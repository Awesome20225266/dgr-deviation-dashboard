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https://o2power-my.sharepoint.com/personal/nilesh_waghmare_o2power_in/Documents/D Drive/O2 DGR/"/>
    </mc:Choice>
  </mc:AlternateContent>
  <xr:revisionPtr revIDLastSave="0" documentId="13_ncr:1_{10DA8491-F34B-4105-BF86-B41C388D7058}" xr6:coauthVersionLast="47" xr6:coauthVersionMax="47" xr10:uidLastSave="{00000000-0000-0000-0000-000000000000}"/>
  <bookViews>
    <workbookView xWindow="-120" yWindow="-120" windowWidth="20730" windowHeight="11040" tabRatio="826" xr2:uid="{00000000-000D-0000-FFFF-FFFF00000000}"/>
  </bookViews>
  <sheets>
    <sheet name="O2Summary" sheetId="11" r:id="rId1"/>
    <sheet name="AnnualKPI" sheetId="10" r:id="rId2"/>
    <sheet name="MonthlyKPI" sheetId="9" r:id="rId3"/>
    <sheet name="Analytices" sheetId="12" r:id="rId4"/>
    <sheet name="Input_Raw" sheetId="1" r:id="rId5"/>
    <sheet name="Daily KPI" sheetId="17" r:id="rId6"/>
    <sheet name="Modelling New" sheetId="18" state="hidden" r:id="rId7"/>
    <sheet name="WTG_BD" sheetId="23" r:id="rId8"/>
    <sheet name="IGA_BD" sheetId="24" r:id="rId9"/>
    <sheet name="Grid_BD" sheetId="25" r:id="rId10"/>
    <sheet name="Basic Data" sheetId="4" state="hidden" r:id="rId11"/>
    <sheet name="WTG Reactive Power" sheetId="19" r:id="rId12"/>
    <sheet name="PM record" sheetId="21" r:id="rId13"/>
    <sheet name="Spar Parts Consumption" sheetId="14" r:id="rId14"/>
  </sheets>
  <externalReferences>
    <externalReference r:id="rId15"/>
  </externalReferences>
  <definedNames>
    <definedName name="BD_Relation" localSheetId="11">#REF!</definedName>
    <definedName name="BD_Relation">#REF!</definedName>
    <definedName name="Date" localSheetId="11">#REF!</definedName>
    <definedName name="Date">#REF!</definedName>
    <definedName name="dccap" localSheetId="11">#REF!</definedName>
    <definedName name="dccap">#REF!</definedName>
    <definedName name="Digos" localSheetId="11">#REF!</definedName>
    <definedName name="Digos">#REF!</definedName>
    <definedName name="engg" localSheetId="11">#REF!</definedName>
    <definedName name="engg">#REF!</definedName>
    <definedName name="Equipment" localSheetId="11">#REF!</definedName>
    <definedName name="Equipment">#REF!</definedName>
    <definedName name="error" localSheetId="11">#REF!</definedName>
    <definedName name="error">#REF!</definedName>
    <definedName name="Gstc" localSheetId="3">#REF!</definedName>
    <definedName name="Gstc" localSheetId="1">#REF!</definedName>
    <definedName name="Gstc" localSheetId="2">#REF!</definedName>
    <definedName name="Gstc" localSheetId="0">#REF!</definedName>
    <definedName name="Gstc">#REF!</definedName>
    <definedName name="Inverter" localSheetId="11">#REF!</definedName>
    <definedName name="Inverter">#REF!</definedName>
    <definedName name="invlook" localSheetId="11">#REF!</definedName>
    <definedName name="invlook">#REF!</definedName>
    <definedName name="JB" localSheetId="11">#REF!</definedName>
    <definedName name="JB">#REF!</definedName>
    <definedName name="jbp" localSheetId="11">#REF!</definedName>
    <definedName name="jbp">#REF!</definedName>
    <definedName name="P1_SnW4240" localSheetId="11">#REF!</definedName>
    <definedName name="P1_SnW4240">#REF!</definedName>
    <definedName name="P1SnW4240" localSheetId="11">#REF!</definedName>
    <definedName name="P1SnW4240">#REF!</definedName>
    <definedName name="P1SnW51" localSheetId="11">#REF!</definedName>
    <definedName name="P1SnW51">#REF!</definedName>
    <definedName name="P1SnW68" localSheetId="11">#REF!</definedName>
    <definedName name="P1SnW68">#REF!</definedName>
    <definedName name="Pstc" localSheetId="3">#REF!</definedName>
    <definedName name="Pstc" localSheetId="1">#REF!</definedName>
    <definedName name="Pstc" localSheetId="2">#REF!</definedName>
    <definedName name="Pstc" localSheetId="0">#REF!</definedName>
    <definedName name="Pstc">#REF!</definedName>
    <definedName name="SCDA" localSheetId="0">#REF!</definedName>
    <definedName name="SCDA" localSheetId="11">#REF!</definedName>
    <definedName name="SCDA">#REF!</definedName>
    <definedName name="Slicer_Affected_WTG">#N/A</definedName>
    <definedName name="Slicer_Calendor_Year">#N/A</definedName>
    <definedName name="Slicer_Date">#N/A</definedName>
    <definedName name="Slicer_Error_Text">#N/A</definedName>
    <definedName name="Slicer_Finacial_Year">#N/A</definedName>
    <definedName name="Slicer_Month">#N/A</definedName>
    <definedName name="Slicer_Operating_Year">#N/A</definedName>
    <definedName name="status" localSheetId="11">#REF!</definedName>
    <definedName name="status">#REF!</definedName>
    <definedName name="stp" localSheetId="11">#REF!</definedName>
    <definedName name="stp">#REF!</definedName>
    <definedName name="String" localSheetId="11">#REF!</definedName>
    <definedName name="String">#REF!</definedName>
    <definedName name="zzzzz" localSheetId="11">#REF!</definedName>
    <definedName name="zzzzz">#REF!</definedName>
  </definedNames>
  <calcPr calcId="191028"/>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034" i="23" l="1"/>
  <c r="AA1035" i="23"/>
  <c r="AA1036" i="23"/>
  <c r="AA1037" i="23"/>
  <c r="AR3" i="19"/>
  <c r="AR4" i="19"/>
  <c r="AR5" i="19"/>
  <c r="AR6" i="19"/>
  <c r="AR7" i="19"/>
  <c r="AR8" i="19"/>
  <c r="AR9" i="19"/>
  <c r="AR10" i="19"/>
  <c r="AR11" i="19"/>
  <c r="AR12" i="19"/>
  <c r="AR13" i="19"/>
  <c r="AR14" i="19"/>
  <c r="AR15" i="19"/>
  <c r="AR16" i="19"/>
  <c r="AR17" i="19"/>
  <c r="AR18" i="19"/>
  <c r="AR19" i="19"/>
  <c r="AR20" i="19"/>
  <c r="AR21" i="19"/>
  <c r="AR22" i="19"/>
  <c r="AR23" i="19"/>
  <c r="AR24" i="19"/>
  <c r="AR25" i="19"/>
  <c r="AR26" i="19"/>
  <c r="AR27" i="19"/>
  <c r="AR28" i="19"/>
  <c r="AR29" i="19"/>
  <c r="AR30" i="19"/>
  <c r="AR31" i="19"/>
  <c r="AR32" i="19"/>
  <c r="AR33" i="19"/>
  <c r="AR34" i="19"/>
  <c r="AR35" i="19"/>
  <c r="AR36" i="19"/>
  <c r="AR37" i="19"/>
  <c r="AR38" i="19"/>
  <c r="AR39" i="19"/>
  <c r="AR40" i="19"/>
  <c r="AR41" i="19"/>
  <c r="AR42" i="19"/>
  <c r="AR43" i="19"/>
  <c r="AR44" i="19"/>
  <c r="AR45" i="19"/>
  <c r="AR46" i="19"/>
  <c r="AR47" i="19"/>
  <c r="AR48" i="19"/>
  <c r="AR49" i="19"/>
  <c r="AR50" i="19"/>
  <c r="AR51" i="19"/>
  <c r="AR52" i="19"/>
  <c r="AR53" i="19"/>
  <c r="AR54" i="19"/>
  <c r="AR55" i="19"/>
  <c r="AR56" i="19"/>
  <c r="AR57" i="19"/>
  <c r="AR58" i="19"/>
  <c r="AR59" i="19"/>
  <c r="AR60" i="19"/>
  <c r="AR61" i="19"/>
  <c r="AR62" i="19"/>
  <c r="AR63" i="19"/>
  <c r="AR64" i="19"/>
  <c r="AR65" i="19"/>
  <c r="AR66" i="19"/>
  <c r="AR67" i="19"/>
  <c r="AR68" i="19"/>
  <c r="AR69" i="19"/>
  <c r="AR70" i="19"/>
  <c r="AR71" i="19"/>
  <c r="AR72" i="19"/>
  <c r="AR73" i="19"/>
  <c r="AR74" i="19"/>
  <c r="AR75" i="19"/>
  <c r="AR76" i="19"/>
  <c r="AR77" i="19"/>
  <c r="AR78" i="19"/>
  <c r="AR79" i="19"/>
  <c r="AR80" i="19"/>
  <c r="AR81" i="19"/>
  <c r="AR82" i="19"/>
  <c r="AR83" i="19"/>
  <c r="AR84" i="19"/>
  <c r="AR85" i="19"/>
  <c r="AR86" i="19"/>
  <c r="AR87" i="19"/>
  <c r="AR88" i="19"/>
  <c r="AR89" i="19"/>
  <c r="AR90" i="19"/>
  <c r="AR91" i="19"/>
  <c r="AR92" i="19"/>
  <c r="AR93" i="19"/>
  <c r="AR94" i="19"/>
  <c r="AR95" i="19"/>
  <c r="AR96" i="19"/>
  <c r="AR97" i="19"/>
  <c r="AR98" i="19"/>
  <c r="AR99" i="19"/>
  <c r="AR100" i="19"/>
  <c r="AR101" i="19"/>
  <c r="AR102" i="19"/>
  <c r="AR103" i="19"/>
  <c r="AR104" i="19"/>
  <c r="AR105" i="19"/>
  <c r="AR106" i="19"/>
  <c r="AR107" i="19"/>
  <c r="AR108" i="19"/>
  <c r="AR109" i="19"/>
  <c r="AR110" i="19"/>
  <c r="AR111" i="19"/>
  <c r="AR112" i="19"/>
  <c r="AR113" i="19"/>
  <c r="AR114" i="19"/>
  <c r="AR115" i="19"/>
  <c r="AR116" i="19"/>
  <c r="AR117" i="19"/>
  <c r="AR118" i="19"/>
  <c r="AR119" i="19"/>
  <c r="AR120" i="19"/>
  <c r="AR121" i="19"/>
  <c r="AR122" i="19"/>
  <c r="AR123" i="19"/>
  <c r="AR124" i="19"/>
  <c r="AR125" i="19"/>
  <c r="AR126" i="19"/>
  <c r="AR127" i="19"/>
  <c r="AR128" i="19"/>
  <c r="AR129" i="19"/>
  <c r="AR130" i="19"/>
  <c r="AR131" i="19"/>
  <c r="AR132" i="19"/>
  <c r="AR133" i="19"/>
  <c r="AR134" i="19"/>
  <c r="AR135" i="19"/>
  <c r="AR136" i="19"/>
  <c r="AR137" i="19"/>
  <c r="AR138" i="19"/>
  <c r="AR139" i="19"/>
  <c r="AR140" i="19"/>
  <c r="AR141" i="19"/>
  <c r="AR142" i="19"/>
  <c r="AR143" i="19"/>
  <c r="AR144" i="19"/>
  <c r="AR145" i="19"/>
  <c r="AR146" i="19"/>
  <c r="AR147" i="19"/>
  <c r="AR148" i="19"/>
  <c r="AR149" i="19"/>
  <c r="AR150" i="19"/>
  <c r="AR151" i="19"/>
  <c r="AR152" i="19"/>
  <c r="AR153" i="19"/>
  <c r="AR154" i="19"/>
  <c r="AR155" i="19"/>
  <c r="AR156" i="19"/>
  <c r="AR157" i="19"/>
  <c r="AR158" i="19"/>
  <c r="AR159" i="19"/>
  <c r="AR160" i="19"/>
  <c r="AR161" i="19"/>
  <c r="AR162" i="19"/>
  <c r="AR163" i="19"/>
  <c r="AR164" i="19"/>
  <c r="AR165" i="19"/>
  <c r="AR166" i="19"/>
  <c r="AR167" i="19"/>
  <c r="AR168" i="19"/>
  <c r="AR169" i="19"/>
  <c r="AR170" i="19"/>
  <c r="AR171" i="19"/>
  <c r="AR172" i="19"/>
  <c r="AR173" i="19"/>
  <c r="AR174" i="19"/>
  <c r="AR175" i="19"/>
  <c r="AR176" i="19"/>
  <c r="AR177" i="19"/>
  <c r="AR178" i="19"/>
  <c r="AR179" i="19"/>
  <c r="AR180" i="19"/>
  <c r="AR181" i="19"/>
  <c r="AR182" i="19"/>
  <c r="AR183" i="19"/>
  <c r="AR184" i="19"/>
  <c r="AR185" i="19"/>
  <c r="AR186" i="19"/>
  <c r="AR187" i="19"/>
  <c r="AR188" i="19"/>
  <c r="AR189" i="19"/>
  <c r="AR190" i="19"/>
  <c r="AR191" i="19"/>
  <c r="AR192" i="19"/>
  <c r="AR193" i="19"/>
  <c r="AR194" i="19"/>
  <c r="AR195" i="19"/>
  <c r="AR196" i="19"/>
  <c r="AR197" i="19"/>
  <c r="AR198" i="19"/>
  <c r="AR199" i="19"/>
  <c r="AR200" i="19"/>
  <c r="AR201" i="19"/>
  <c r="AR202" i="19"/>
  <c r="AR203" i="19"/>
  <c r="AR204" i="19"/>
  <c r="AR205" i="19"/>
  <c r="AR206" i="19"/>
  <c r="AR207" i="19"/>
  <c r="AR208" i="19"/>
  <c r="AR209" i="19"/>
  <c r="AR210" i="19"/>
  <c r="AR211" i="19"/>
  <c r="AR212" i="19"/>
  <c r="AR213" i="19"/>
  <c r="AR214" i="19"/>
  <c r="AR215" i="19"/>
  <c r="AR216" i="19"/>
  <c r="AR217" i="19"/>
  <c r="AR218" i="19"/>
  <c r="AR219" i="19"/>
  <c r="AR220" i="19"/>
  <c r="AR221" i="19"/>
  <c r="AR222" i="19"/>
  <c r="AR223" i="19"/>
  <c r="AR224" i="19"/>
  <c r="AR225" i="19"/>
  <c r="AR226" i="19"/>
  <c r="AR227" i="19"/>
  <c r="AR228" i="19"/>
  <c r="AR229" i="19"/>
  <c r="AR230" i="19"/>
  <c r="AR231" i="19"/>
  <c r="AR232" i="19"/>
  <c r="AR233" i="19"/>
  <c r="AR234" i="19"/>
  <c r="AR235" i="19"/>
  <c r="AR236" i="19"/>
  <c r="AR237" i="19"/>
  <c r="AR238" i="19"/>
  <c r="AR239" i="19"/>
  <c r="AR240" i="19"/>
  <c r="AR241" i="19"/>
  <c r="AR242" i="19"/>
  <c r="AR243" i="19"/>
  <c r="AR244" i="19"/>
  <c r="AR245" i="19"/>
  <c r="AR246" i="19"/>
  <c r="AR247" i="19"/>
  <c r="AR248" i="19"/>
  <c r="AR249" i="19"/>
  <c r="AR250" i="19"/>
  <c r="AR251" i="19"/>
  <c r="AR252" i="19"/>
  <c r="AR253" i="19"/>
  <c r="AR254" i="19"/>
  <c r="AR255" i="19"/>
  <c r="AR256" i="19"/>
  <c r="AR257" i="19"/>
  <c r="AR258" i="19"/>
  <c r="AR259" i="19"/>
  <c r="AR260" i="19"/>
  <c r="AR261" i="19"/>
  <c r="AR262" i="19"/>
  <c r="AR263" i="19"/>
  <c r="AR264" i="19"/>
  <c r="AR265" i="19"/>
  <c r="AR266" i="19"/>
  <c r="AR267" i="19"/>
  <c r="AR268" i="19"/>
  <c r="AR269" i="19"/>
  <c r="AR270" i="19"/>
  <c r="AR271" i="19"/>
  <c r="AR272" i="19"/>
  <c r="AR273" i="19"/>
  <c r="AR274" i="19"/>
  <c r="AR275" i="19"/>
  <c r="AR276" i="19"/>
  <c r="AR277" i="19"/>
  <c r="AR278" i="19"/>
  <c r="AR279" i="19"/>
  <c r="AR280" i="19"/>
  <c r="L1037" i="23"/>
  <c r="L1036" i="23"/>
  <c r="L1035" i="23"/>
  <c r="I1037" i="23"/>
  <c r="H1037" i="23"/>
  <c r="I1036" i="23"/>
  <c r="H1036" i="23"/>
  <c r="I1035" i="23"/>
  <c r="H1035" i="23"/>
  <c r="T1034" i="23"/>
  <c r="W1034" i="23" s="1"/>
  <c r="S1034" i="23"/>
  <c r="R1034" i="23"/>
  <c r="L1034" i="23"/>
  <c r="J1034" i="23"/>
  <c r="I1034" i="23"/>
  <c r="H1034" i="23"/>
  <c r="A1034" i="23"/>
  <c r="A1035" i="23" s="1"/>
  <c r="A1036" i="23" s="1"/>
  <c r="A1037" i="23" s="1"/>
  <c r="B1035" i="23"/>
  <c r="B1036" i="23"/>
  <c r="B1037" i="23"/>
  <c r="C1035" i="23"/>
  <c r="C1036" i="23"/>
  <c r="C1037" i="23"/>
  <c r="E1035" i="23"/>
  <c r="E1036" i="23"/>
  <c r="E1037" i="23"/>
  <c r="J1035" i="23"/>
  <c r="J1036" i="23"/>
  <c r="J1037" i="23"/>
  <c r="R1035" i="23"/>
  <c r="R1036" i="23"/>
  <c r="R1037" i="23"/>
  <c r="S1035" i="23"/>
  <c r="S1036" i="23"/>
  <c r="S1037" i="23"/>
  <c r="T1035" i="23"/>
  <c r="T1036" i="23"/>
  <c r="T1037" i="23"/>
  <c r="W1037" i="23" s="1"/>
  <c r="W1035" i="23"/>
  <c r="W1036" i="23"/>
  <c r="B1034" i="23"/>
  <c r="C1034" i="23"/>
  <c r="E1034" i="23"/>
  <c r="I1033" i="23"/>
  <c r="H1033" i="23"/>
  <c r="B1033" i="23"/>
  <c r="C1033" i="23"/>
  <c r="E1033" i="23"/>
  <c r="J1033" i="23"/>
  <c r="L1033" i="23"/>
  <c r="R1033" i="23"/>
  <c r="S1033" i="23"/>
  <c r="T1033" i="23"/>
  <c r="L1032" i="23"/>
  <c r="L1031" i="23"/>
  <c r="L1030" i="23"/>
  <c r="L1029" i="23"/>
  <c r="I1032" i="23"/>
  <c r="H1032" i="23"/>
  <c r="I1031" i="23"/>
  <c r="H1031" i="23"/>
  <c r="I1030" i="23"/>
  <c r="H1030" i="23"/>
  <c r="I1029" i="23"/>
  <c r="H1029" i="23"/>
  <c r="B1032" i="23"/>
  <c r="C1032" i="23"/>
  <c r="E1032" i="23"/>
  <c r="J1032" i="23"/>
  <c r="R1032" i="23"/>
  <c r="S1032" i="23"/>
  <c r="T1032" i="23"/>
  <c r="T1028" i="23"/>
  <c r="S1028" i="23"/>
  <c r="R1028" i="23"/>
  <c r="L1028" i="23"/>
  <c r="J1028" i="23"/>
  <c r="I1028" i="23"/>
  <c r="H1028" i="23"/>
  <c r="B1029" i="23"/>
  <c r="B1030" i="23"/>
  <c r="B1031" i="23"/>
  <c r="C1029" i="23"/>
  <c r="C1030" i="23"/>
  <c r="C1031" i="23"/>
  <c r="E1029" i="23"/>
  <c r="E1030" i="23"/>
  <c r="E1031" i="23"/>
  <c r="J1029" i="23"/>
  <c r="J1030" i="23"/>
  <c r="J1031" i="23"/>
  <c r="R1029" i="23"/>
  <c r="R1030" i="23"/>
  <c r="R1031" i="23"/>
  <c r="S1029" i="23"/>
  <c r="S1030" i="23"/>
  <c r="S1031" i="23"/>
  <c r="T1029" i="23"/>
  <c r="T1030" i="23"/>
  <c r="T1031" i="23"/>
  <c r="AA1031" i="23" s="1"/>
  <c r="W1031" i="23"/>
  <c r="B1028" i="23"/>
  <c r="C1028" i="23"/>
  <c r="E1028" i="23"/>
  <c r="L1027" i="23"/>
  <c r="L1026" i="23"/>
  <c r="L1025" i="23"/>
  <c r="L1024" i="23"/>
  <c r="I1027" i="23"/>
  <c r="H1027" i="23"/>
  <c r="I1026" i="23"/>
  <c r="H1026" i="23"/>
  <c r="I1025" i="23"/>
  <c r="H1025" i="23"/>
  <c r="I1024" i="23"/>
  <c r="H1024" i="23"/>
  <c r="T1023" i="23"/>
  <c r="S1023" i="23"/>
  <c r="R1023" i="23"/>
  <c r="L1023" i="23"/>
  <c r="J1023" i="23"/>
  <c r="I1023" i="23"/>
  <c r="H1023" i="23"/>
  <c r="B1024" i="23"/>
  <c r="B1025" i="23"/>
  <c r="B1026" i="23"/>
  <c r="B1027" i="23"/>
  <c r="C1024" i="23"/>
  <c r="C1025" i="23"/>
  <c r="C1026" i="23"/>
  <c r="C1027" i="23"/>
  <c r="E1024" i="23"/>
  <c r="E1025" i="23"/>
  <c r="E1026" i="23"/>
  <c r="E1027" i="23"/>
  <c r="J1024" i="23"/>
  <c r="J1025" i="23"/>
  <c r="J1026" i="23"/>
  <c r="J1027" i="23"/>
  <c r="R1024" i="23"/>
  <c r="R1025" i="23"/>
  <c r="R1026" i="23"/>
  <c r="R1027" i="23"/>
  <c r="S1024" i="23"/>
  <c r="S1025" i="23"/>
  <c r="S1026" i="23"/>
  <c r="S1027" i="23"/>
  <c r="T1024" i="23"/>
  <c r="T1025" i="23"/>
  <c r="T1026" i="23"/>
  <c r="AA1026" i="23" s="1"/>
  <c r="T1027" i="23"/>
  <c r="AA1027" i="23" s="1"/>
  <c r="W1026" i="23"/>
  <c r="W1027" i="23"/>
  <c r="B1023" i="23"/>
  <c r="C1023" i="23"/>
  <c r="E1023" i="23"/>
  <c r="L1022" i="23"/>
  <c r="L1021" i="23"/>
  <c r="L1020" i="23"/>
  <c r="L1019" i="23"/>
  <c r="I1022" i="23"/>
  <c r="H1022" i="23"/>
  <c r="I1021" i="23"/>
  <c r="H1021" i="23"/>
  <c r="I1020" i="23"/>
  <c r="H1020" i="23"/>
  <c r="I1019" i="23"/>
  <c r="H1019" i="23"/>
  <c r="T1018" i="23"/>
  <c r="S1018" i="23"/>
  <c r="R1018" i="23"/>
  <c r="L1018" i="23"/>
  <c r="J1018" i="23"/>
  <c r="I1018" i="23"/>
  <c r="H1018" i="23"/>
  <c r="B1019" i="23"/>
  <c r="B1020" i="23"/>
  <c r="B1021" i="23"/>
  <c r="B1022" i="23"/>
  <c r="C1019" i="23"/>
  <c r="C1020" i="23"/>
  <c r="C1021" i="23"/>
  <c r="C1022" i="23"/>
  <c r="E1019" i="23"/>
  <c r="E1020" i="23"/>
  <c r="E1021" i="23"/>
  <c r="E1022" i="23"/>
  <c r="J1019" i="23"/>
  <c r="J1020" i="23"/>
  <c r="J1021" i="23"/>
  <c r="J1022" i="23"/>
  <c r="R1019" i="23"/>
  <c r="R1020" i="23"/>
  <c r="R1021" i="23"/>
  <c r="R1022" i="23"/>
  <c r="S1019" i="23"/>
  <c r="S1020" i="23"/>
  <c r="S1021" i="23"/>
  <c r="S1022" i="23"/>
  <c r="T1019" i="23"/>
  <c r="T1020" i="23"/>
  <c r="T1021" i="23"/>
  <c r="AA1021" i="23" s="1"/>
  <c r="T1022" i="23"/>
  <c r="AA1022" i="23" s="1"/>
  <c r="W1021" i="23"/>
  <c r="W1022" i="23"/>
  <c r="B1018" i="23"/>
  <c r="C1018" i="23"/>
  <c r="E1018" i="23"/>
  <c r="J59" i="24"/>
  <c r="A59" i="24"/>
  <c r="B59" i="24"/>
  <c r="C59" i="24"/>
  <c r="E59" i="24"/>
  <c r="O59" i="24"/>
  <c r="P59" i="24"/>
  <c r="Q59" i="24"/>
  <c r="A58" i="24"/>
  <c r="A57" i="24"/>
  <c r="B57" i="24"/>
  <c r="C57" i="24"/>
  <c r="E57" i="24"/>
  <c r="J57" i="24"/>
  <c r="O57" i="24"/>
  <c r="P57" i="24"/>
  <c r="Q57" i="24"/>
  <c r="A180" i="14"/>
  <c r="A181" i="14"/>
  <c r="A182" i="14"/>
  <c r="A183" i="14"/>
  <c r="A184" i="14"/>
  <c r="CR117" i="1"/>
  <c r="CS117" i="1"/>
  <c r="DA117" i="1" s="1"/>
  <c r="CT117" i="1"/>
  <c r="CU117" i="1"/>
  <c r="CV117" i="1"/>
  <c r="CW117" i="1"/>
  <c r="CX117" i="1"/>
  <c r="CZ117" i="1"/>
  <c r="L1017" i="23"/>
  <c r="L1016" i="23"/>
  <c r="L1015" i="23"/>
  <c r="L1014" i="23"/>
  <c r="L1013" i="23"/>
  <c r="I1017" i="23"/>
  <c r="H1017" i="23"/>
  <c r="I1016" i="23"/>
  <c r="H1016" i="23"/>
  <c r="I1015" i="23"/>
  <c r="H1015" i="23"/>
  <c r="I1014" i="23"/>
  <c r="H1014" i="23"/>
  <c r="I1013" i="23"/>
  <c r="H1013" i="23"/>
  <c r="B1017" i="23"/>
  <c r="C1017" i="23"/>
  <c r="E1017" i="23"/>
  <c r="J1017" i="23"/>
  <c r="R1017" i="23"/>
  <c r="S1017" i="23"/>
  <c r="T1017" i="23"/>
  <c r="T1012" i="23"/>
  <c r="S1012" i="23"/>
  <c r="R1012" i="23"/>
  <c r="L1012" i="23"/>
  <c r="J1012" i="23"/>
  <c r="I1012" i="23"/>
  <c r="H1012" i="23"/>
  <c r="T1011" i="23"/>
  <c r="S1011" i="23"/>
  <c r="R1011" i="23"/>
  <c r="L1011" i="23"/>
  <c r="J1011" i="23"/>
  <c r="I1011" i="23"/>
  <c r="H1011" i="23"/>
  <c r="L1010" i="23"/>
  <c r="B1012" i="23"/>
  <c r="B1013" i="23"/>
  <c r="B1014" i="23"/>
  <c r="B1015" i="23"/>
  <c r="B1016" i="23"/>
  <c r="C1012" i="23"/>
  <c r="C1013" i="23"/>
  <c r="C1014" i="23"/>
  <c r="C1015" i="23"/>
  <c r="C1016" i="23"/>
  <c r="E1012" i="23"/>
  <c r="E1013" i="23"/>
  <c r="E1014" i="23"/>
  <c r="E1015" i="23"/>
  <c r="E1016" i="23"/>
  <c r="J1013" i="23"/>
  <c r="J1014" i="23"/>
  <c r="J1015" i="23"/>
  <c r="J1016" i="23"/>
  <c r="R1013" i="23"/>
  <c r="R1014" i="23"/>
  <c r="R1015" i="23"/>
  <c r="R1016" i="23"/>
  <c r="S1013" i="23"/>
  <c r="S1014" i="23"/>
  <c r="S1015" i="23"/>
  <c r="S1016" i="23"/>
  <c r="T1013" i="23"/>
  <c r="T1014" i="23"/>
  <c r="AA1014" i="23" s="1"/>
  <c r="T1015" i="23"/>
  <c r="AA1015" i="23" s="1"/>
  <c r="T1016" i="23"/>
  <c r="AA1016" i="23" s="1"/>
  <c r="W1014" i="23"/>
  <c r="W1015" i="23"/>
  <c r="W1016" i="23"/>
  <c r="B1011" i="23"/>
  <c r="C1011" i="23"/>
  <c r="E1011" i="23"/>
  <c r="A175" i="14"/>
  <c r="A176" i="14"/>
  <c r="A177" i="14"/>
  <c r="A178" i="14"/>
  <c r="A179" i="14"/>
  <c r="B58" i="24"/>
  <c r="C58" i="24"/>
  <c r="E58" i="24"/>
  <c r="J58" i="24"/>
  <c r="O58" i="24"/>
  <c r="P58" i="24"/>
  <c r="Q58" i="24"/>
  <c r="I1010" i="23"/>
  <c r="H1010" i="23"/>
  <c r="I1009" i="23"/>
  <c r="H1009" i="23"/>
  <c r="I1008" i="23"/>
  <c r="H1008" i="23"/>
  <c r="T1007" i="23"/>
  <c r="S1007" i="23"/>
  <c r="R1007" i="23"/>
  <c r="L1007" i="23"/>
  <c r="J1007" i="23"/>
  <c r="I1007" i="23"/>
  <c r="H1007" i="23"/>
  <c r="T1006" i="23"/>
  <c r="S1006" i="23"/>
  <c r="R1006" i="23"/>
  <c r="L1006" i="23"/>
  <c r="J1006" i="23"/>
  <c r="I1006" i="23"/>
  <c r="H1006" i="23"/>
  <c r="L1005" i="23"/>
  <c r="L1008" i="23"/>
  <c r="L1009" i="23"/>
  <c r="B1007" i="23"/>
  <c r="B1008" i="23"/>
  <c r="B1009" i="23"/>
  <c r="B1010" i="23"/>
  <c r="C1007" i="23"/>
  <c r="C1008" i="23"/>
  <c r="C1009" i="23"/>
  <c r="C1010" i="23"/>
  <c r="E1007" i="23"/>
  <c r="E1008" i="23"/>
  <c r="E1009" i="23"/>
  <c r="E1010" i="23"/>
  <c r="J1008" i="23"/>
  <c r="J1009" i="23"/>
  <c r="J1010" i="23"/>
  <c r="R1008" i="23"/>
  <c r="R1009" i="23"/>
  <c r="R1010" i="23"/>
  <c r="S1008" i="23"/>
  <c r="S1009" i="23"/>
  <c r="S1010" i="23"/>
  <c r="T1008" i="23"/>
  <c r="T1009" i="23"/>
  <c r="T1010" i="23"/>
  <c r="B1006" i="23"/>
  <c r="C1006" i="23"/>
  <c r="E1006" i="23"/>
  <c r="I1005" i="23"/>
  <c r="H1005" i="23"/>
  <c r="B1005" i="23"/>
  <c r="C1005" i="23"/>
  <c r="E1005" i="23"/>
  <c r="J1005" i="23"/>
  <c r="R1005" i="23"/>
  <c r="S1005" i="23"/>
  <c r="T1005" i="23"/>
  <c r="A174" i="14"/>
  <c r="A172" i="14"/>
  <c r="A173" i="14" s="1"/>
  <c r="A158" i="14"/>
  <c r="A159" i="14" s="1"/>
  <c r="A160" i="14" s="1"/>
  <c r="A161" i="14" s="1"/>
  <c r="A162" i="14" s="1"/>
  <c r="A163" i="14" s="1"/>
  <c r="A164" i="14" s="1"/>
  <c r="A165" i="14" s="1"/>
  <c r="A166" i="14" s="1"/>
  <c r="A167" i="14" s="1"/>
  <c r="A168" i="14" s="1"/>
  <c r="A169" i="14" s="1"/>
  <c r="A170" i="14" s="1"/>
  <c r="A171" i="14" s="1"/>
  <c r="T1004" i="23"/>
  <c r="S1004" i="23"/>
  <c r="R1004" i="23"/>
  <c r="T1003" i="23"/>
  <c r="S1003" i="23"/>
  <c r="R1003" i="23"/>
  <c r="T1002" i="23"/>
  <c r="S1002" i="23"/>
  <c r="R1002" i="23"/>
  <c r="T1001" i="23"/>
  <c r="S1001" i="23"/>
  <c r="R1001" i="23"/>
  <c r="T1000" i="23"/>
  <c r="S1000" i="23"/>
  <c r="R1000" i="23"/>
  <c r="T999" i="23"/>
  <c r="S999" i="23"/>
  <c r="R999" i="23"/>
  <c r="T998" i="23"/>
  <c r="S998" i="23"/>
  <c r="R998" i="23"/>
  <c r="T997" i="23"/>
  <c r="S997" i="23"/>
  <c r="R997" i="23"/>
  <c r="T996" i="23"/>
  <c r="S996" i="23"/>
  <c r="R996" i="23"/>
  <c r="T995" i="23"/>
  <c r="S995" i="23"/>
  <c r="R995" i="23"/>
  <c r="T994" i="23"/>
  <c r="AA994" i="23" s="1"/>
  <c r="S994" i="23"/>
  <c r="R994" i="23"/>
  <c r="T993" i="23"/>
  <c r="AA993" i="23" s="1"/>
  <c r="S993" i="23"/>
  <c r="R993" i="23"/>
  <c r="L1004" i="23"/>
  <c r="L1003" i="23"/>
  <c r="L1002" i="23"/>
  <c r="L1001" i="23"/>
  <c r="L1000" i="23"/>
  <c r="L999" i="23"/>
  <c r="L998" i="23"/>
  <c r="L997" i="23"/>
  <c r="L996" i="23"/>
  <c r="L995" i="23"/>
  <c r="L994" i="23"/>
  <c r="L993" i="23"/>
  <c r="I1004" i="23"/>
  <c r="H1004" i="23"/>
  <c r="B1004" i="23"/>
  <c r="C1004" i="23"/>
  <c r="E1004" i="23"/>
  <c r="J1004" i="23"/>
  <c r="I1003" i="23"/>
  <c r="H1003" i="23"/>
  <c r="I1002" i="23"/>
  <c r="H1002" i="23"/>
  <c r="I1001" i="23"/>
  <c r="H1001" i="23"/>
  <c r="I1000" i="23"/>
  <c r="H1000" i="23"/>
  <c r="I999" i="23"/>
  <c r="H999" i="23"/>
  <c r="I998" i="23"/>
  <c r="H998" i="23"/>
  <c r="I997" i="23"/>
  <c r="H997" i="23"/>
  <c r="I996" i="23"/>
  <c r="H996" i="23"/>
  <c r="I995" i="23"/>
  <c r="H995" i="23"/>
  <c r="I994" i="23"/>
  <c r="H994" i="23"/>
  <c r="I993" i="23"/>
  <c r="H993" i="23"/>
  <c r="B1003" i="23"/>
  <c r="C1003" i="23"/>
  <c r="E1003" i="23"/>
  <c r="J1003" i="23"/>
  <c r="B1002" i="23"/>
  <c r="C1002" i="23"/>
  <c r="E1002" i="23"/>
  <c r="J1002" i="23"/>
  <c r="B998" i="23"/>
  <c r="B999" i="23"/>
  <c r="B1000" i="23"/>
  <c r="B1001" i="23"/>
  <c r="C998" i="23"/>
  <c r="C999" i="23"/>
  <c r="C1000" i="23"/>
  <c r="C1001" i="23"/>
  <c r="E998" i="23"/>
  <c r="E999" i="23"/>
  <c r="E1000" i="23"/>
  <c r="E1001" i="23"/>
  <c r="J998" i="23"/>
  <c r="J999" i="23"/>
  <c r="J1000" i="23"/>
  <c r="J1001" i="23"/>
  <c r="T992" i="23"/>
  <c r="S992" i="23"/>
  <c r="R992" i="23"/>
  <c r="L992" i="23"/>
  <c r="J992" i="23"/>
  <c r="I992" i="23"/>
  <c r="H992" i="23"/>
  <c r="T991" i="23"/>
  <c r="S991" i="23"/>
  <c r="R991" i="23"/>
  <c r="L991" i="23"/>
  <c r="J991" i="23"/>
  <c r="I991" i="23"/>
  <c r="H991" i="23"/>
  <c r="B992" i="23"/>
  <c r="B993" i="23"/>
  <c r="B994" i="23"/>
  <c r="B995" i="23"/>
  <c r="B996" i="23"/>
  <c r="B997" i="23"/>
  <c r="C992" i="23"/>
  <c r="C993" i="23"/>
  <c r="C994" i="23"/>
  <c r="C995" i="23"/>
  <c r="C996" i="23"/>
  <c r="C997" i="23"/>
  <c r="E992" i="23"/>
  <c r="E993" i="23"/>
  <c r="E994" i="23"/>
  <c r="E995" i="23"/>
  <c r="E996" i="23"/>
  <c r="E997" i="23"/>
  <c r="J993" i="23"/>
  <c r="J994" i="23"/>
  <c r="J995" i="23"/>
  <c r="J996" i="23"/>
  <c r="J997" i="23"/>
  <c r="W994" i="23"/>
  <c r="W993" i="23"/>
  <c r="B991" i="23"/>
  <c r="C991" i="23"/>
  <c r="E991" i="23"/>
  <c r="L985" i="23"/>
  <c r="L986" i="23"/>
  <c r="L987" i="23"/>
  <c r="L988" i="23"/>
  <c r="L989" i="23"/>
  <c r="L990" i="23"/>
  <c r="A153" i="14"/>
  <c r="A154" i="14"/>
  <c r="A155" i="14"/>
  <c r="A156" i="14"/>
  <c r="A157" i="14"/>
  <c r="B56" i="24"/>
  <c r="C56" i="24"/>
  <c r="E56" i="24"/>
  <c r="J56" i="24"/>
  <c r="O56" i="24"/>
  <c r="P56" i="24"/>
  <c r="Q56" i="24"/>
  <c r="T985" i="23"/>
  <c r="AA985" i="23" s="1"/>
  <c r="T986" i="23"/>
  <c r="AA986" i="23" s="1"/>
  <c r="T987" i="23"/>
  <c r="T988" i="23"/>
  <c r="T989" i="23"/>
  <c r="AA989" i="23" s="1"/>
  <c r="T990" i="23"/>
  <c r="S985" i="23"/>
  <c r="S986" i="23"/>
  <c r="S987" i="23"/>
  <c r="S988" i="23"/>
  <c r="S989" i="23"/>
  <c r="S990" i="23"/>
  <c r="R985" i="23"/>
  <c r="R986" i="23"/>
  <c r="R987" i="23"/>
  <c r="R988" i="23"/>
  <c r="R989" i="23"/>
  <c r="R990" i="23"/>
  <c r="J985" i="23"/>
  <c r="J986" i="23"/>
  <c r="J987" i="23"/>
  <c r="J988" i="23"/>
  <c r="J989" i="23"/>
  <c r="J990" i="23"/>
  <c r="I985" i="23"/>
  <c r="I986" i="23"/>
  <c r="I987" i="23"/>
  <c r="I988" i="23"/>
  <c r="I989" i="23"/>
  <c r="I990" i="23"/>
  <c r="H985" i="23"/>
  <c r="H986" i="23"/>
  <c r="H987" i="23"/>
  <c r="H988" i="23"/>
  <c r="H989" i="23"/>
  <c r="H990" i="23"/>
  <c r="B990" i="23"/>
  <c r="C990" i="23"/>
  <c r="E990" i="23"/>
  <c r="B989" i="23"/>
  <c r="C989" i="23"/>
  <c r="E989" i="23"/>
  <c r="W989" i="23"/>
  <c r="B988" i="23"/>
  <c r="C988" i="23"/>
  <c r="E988" i="23"/>
  <c r="B987" i="23"/>
  <c r="C987" i="23"/>
  <c r="E987" i="23"/>
  <c r="B986" i="23"/>
  <c r="C986" i="23"/>
  <c r="E986" i="23"/>
  <c r="W986" i="23"/>
  <c r="B985" i="23"/>
  <c r="C985" i="23"/>
  <c r="E985" i="23"/>
  <c r="W985" i="23"/>
  <c r="J960" i="23"/>
  <c r="J961" i="23"/>
  <c r="J962" i="23"/>
  <c r="J963" i="23"/>
  <c r="J964" i="23"/>
  <c r="J965" i="23"/>
  <c r="J966" i="23"/>
  <c r="J967" i="23"/>
  <c r="J968" i="23"/>
  <c r="J969" i="23"/>
  <c r="J970" i="23"/>
  <c r="J971" i="23"/>
  <c r="J972" i="23"/>
  <c r="J973" i="23"/>
  <c r="J974" i="23"/>
  <c r="J975" i="23"/>
  <c r="J976" i="23"/>
  <c r="J977" i="23"/>
  <c r="J978" i="23"/>
  <c r="J979" i="23"/>
  <c r="J980" i="23"/>
  <c r="J981" i="23"/>
  <c r="J982" i="23"/>
  <c r="J983" i="23"/>
  <c r="J984" i="23"/>
  <c r="L977" i="23"/>
  <c r="L978" i="23"/>
  <c r="L979" i="23"/>
  <c r="L980" i="23"/>
  <c r="L981" i="23"/>
  <c r="L982" i="23"/>
  <c r="L983" i="23"/>
  <c r="L984" i="23"/>
  <c r="I980" i="23"/>
  <c r="I981" i="23"/>
  <c r="I982" i="23"/>
  <c r="I983" i="23"/>
  <c r="I984" i="23"/>
  <c r="H980" i="23"/>
  <c r="H981" i="23"/>
  <c r="H982" i="23"/>
  <c r="H983" i="23"/>
  <c r="H984" i="23"/>
  <c r="R974" i="23"/>
  <c r="S974" i="23"/>
  <c r="T974" i="23"/>
  <c r="R975" i="23"/>
  <c r="S975" i="23"/>
  <c r="T975" i="23"/>
  <c r="R976" i="23"/>
  <c r="S976" i="23"/>
  <c r="T976" i="23"/>
  <c r="R977" i="23"/>
  <c r="S977" i="23"/>
  <c r="T977" i="23"/>
  <c r="R978" i="23"/>
  <c r="S978" i="23"/>
  <c r="T978" i="23"/>
  <c r="R979" i="23"/>
  <c r="S979" i="23"/>
  <c r="T979" i="23"/>
  <c r="R980" i="23"/>
  <c r="S980" i="23"/>
  <c r="T980" i="23"/>
  <c r="R981" i="23"/>
  <c r="S981" i="23"/>
  <c r="T981" i="23"/>
  <c r="R982" i="23"/>
  <c r="S982" i="23"/>
  <c r="T982" i="23"/>
  <c r="R983" i="23"/>
  <c r="S983" i="23"/>
  <c r="T983" i="23"/>
  <c r="R984" i="23"/>
  <c r="S984" i="23"/>
  <c r="T984" i="23"/>
  <c r="B984" i="23"/>
  <c r="C984" i="23"/>
  <c r="E984" i="23"/>
  <c r="B983" i="23"/>
  <c r="C983" i="23"/>
  <c r="E983" i="23"/>
  <c r="B982" i="23"/>
  <c r="C982" i="23"/>
  <c r="E982" i="23"/>
  <c r="B981" i="23"/>
  <c r="C981" i="23"/>
  <c r="E981" i="23"/>
  <c r="B980" i="23"/>
  <c r="C980" i="23"/>
  <c r="E980" i="23"/>
  <c r="I979" i="23"/>
  <c r="H979" i="23"/>
  <c r="B979" i="23"/>
  <c r="C979" i="23"/>
  <c r="E979" i="23"/>
  <c r="I978" i="23"/>
  <c r="H978" i="23"/>
  <c r="B978" i="23"/>
  <c r="C978" i="23"/>
  <c r="E978" i="23"/>
  <c r="L976" i="23"/>
  <c r="L975" i="23"/>
  <c r="L974" i="23"/>
  <c r="I977" i="23"/>
  <c r="H977" i="23"/>
  <c r="I976" i="23"/>
  <c r="H976" i="23"/>
  <c r="I975" i="23"/>
  <c r="H975" i="23"/>
  <c r="I974" i="23"/>
  <c r="H974" i="23"/>
  <c r="B975" i="23"/>
  <c r="B976" i="23"/>
  <c r="B977" i="23"/>
  <c r="C975" i="23"/>
  <c r="C976" i="23"/>
  <c r="C977" i="23"/>
  <c r="E975" i="23"/>
  <c r="E976" i="23"/>
  <c r="E977" i="23"/>
  <c r="T973" i="23"/>
  <c r="S973" i="23"/>
  <c r="R973" i="23"/>
  <c r="L973" i="23"/>
  <c r="I973" i="23"/>
  <c r="H973" i="23"/>
  <c r="T972" i="23"/>
  <c r="S972" i="23"/>
  <c r="R972" i="23"/>
  <c r="L972" i="23"/>
  <c r="I972" i="23"/>
  <c r="H972" i="23"/>
  <c r="T971" i="23"/>
  <c r="S971" i="23"/>
  <c r="R971" i="23"/>
  <c r="L971" i="23"/>
  <c r="I971" i="23"/>
  <c r="H971" i="23"/>
  <c r="B973" i="23"/>
  <c r="B974" i="23"/>
  <c r="C973" i="23"/>
  <c r="C974" i="23"/>
  <c r="E973" i="23"/>
  <c r="E974" i="23"/>
  <c r="B971" i="23"/>
  <c r="B972" i="23"/>
  <c r="C971" i="23"/>
  <c r="C972" i="23"/>
  <c r="E971" i="23"/>
  <c r="E972" i="23"/>
  <c r="R967" i="23"/>
  <c r="S967" i="23"/>
  <c r="T967" i="23"/>
  <c r="AA967" i="23" s="1"/>
  <c r="R968" i="23"/>
  <c r="S968" i="23"/>
  <c r="T968" i="23"/>
  <c r="AA968" i="23" s="1"/>
  <c r="R969" i="23"/>
  <c r="S969" i="23"/>
  <c r="T969" i="23"/>
  <c r="AA969" i="23" s="1"/>
  <c r="R970" i="23"/>
  <c r="S970" i="23"/>
  <c r="T970" i="23"/>
  <c r="AA970" i="23" s="1"/>
  <c r="L967" i="23"/>
  <c r="L968" i="23"/>
  <c r="L969" i="23"/>
  <c r="L970" i="23"/>
  <c r="H970" i="23"/>
  <c r="H969" i="23"/>
  <c r="H968" i="23"/>
  <c r="I970" i="23"/>
  <c r="I969" i="23"/>
  <c r="I968" i="23"/>
  <c r="I967" i="23"/>
  <c r="H967" i="23"/>
  <c r="B970" i="23"/>
  <c r="C970" i="23"/>
  <c r="E970" i="23"/>
  <c r="W970" i="23"/>
  <c r="B969" i="23"/>
  <c r="C969" i="23"/>
  <c r="E969" i="23"/>
  <c r="W969" i="23"/>
  <c r="B968" i="23"/>
  <c r="C968" i="23"/>
  <c r="E968" i="23"/>
  <c r="W968" i="23"/>
  <c r="B967" i="23"/>
  <c r="C967" i="23"/>
  <c r="E967" i="23"/>
  <c r="W967" i="23"/>
  <c r="CR109" i="1"/>
  <c r="CR110" i="1"/>
  <c r="CR111" i="1"/>
  <c r="CR112" i="1"/>
  <c r="CR113" i="1"/>
  <c r="CR114" i="1"/>
  <c r="CR115" i="1"/>
  <c r="CR116" i="1"/>
  <c r="CR118" i="1"/>
  <c r="CR119" i="1"/>
  <c r="CR120" i="1"/>
  <c r="CR121" i="1"/>
  <c r="CR122" i="1"/>
  <c r="CR123" i="1"/>
  <c r="CR124" i="1"/>
  <c r="CR125" i="1"/>
  <c r="CR126" i="1"/>
  <c r="CR127" i="1"/>
  <c r="CR128" i="1"/>
  <c r="CR129" i="1"/>
  <c r="CR130" i="1"/>
  <c r="CR131" i="1"/>
  <c r="CR132" i="1"/>
  <c r="CR133" i="1"/>
  <c r="CR134" i="1"/>
  <c r="CR135" i="1"/>
  <c r="CR136" i="1"/>
  <c r="CR137" i="1"/>
  <c r="CR138" i="1"/>
  <c r="CR139" i="1"/>
  <c r="CR140" i="1"/>
  <c r="CR141" i="1"/>
  <c r="CR142" i="1"/>
  <c r="CR143" i="1"/>
  <c r="CR144" i="1"/>
  <c r="R961" i="23"/>
  <c r="S961" i="23"/>
  <c r="T961" i="23"/>
  <c r="R962" i="23"/>
  <c r="S962" i="23"/>
  <c r="T962" i="23"/>
  <c r="R963" i="23"/>
  <c r="S963" i="23"/>
  <c r="T963" i="23"/>
  <c r="R964" i="23"/>
  <c r="S964" i="23"/>
  <c r="T964" i="23"/>
  <c r="R965" i="23"/>
  <c r="S965" i="23"/>
  <c r="T965" i="23"/>
  <c r="R966" i="23"/>
  <c r="S966" i="23"/>
  <c r="T966" i="23"/>
  <c r="AA966" i="23" s="1"/>
  <c r="L961" i="23"/>
  <c r="L962" i="23"/>
  <c r="L963" i="23"/>
  <c r="L964" i="23"/>
  <c r="L965" i="23"/>
  <c r="L966" i="23"/>
  <c r="W966" i="23"/>
  <c r="I966" i="23"/>
  <c r="H966" i="23"/>
  <c r="I965" i="23"/>
  <c r="H965" i="23"/>
  <c r="I964" i="23"/>
  <c r="H964" i="23"/>
  <c r="I961" i="23"/>
  <c r="I962" i="23"/>
  <c r="I963" i="23"/>
  <c r="H963" i="23"/>
  <c r="H962" i="23"/>
  <c r="H961" i="23"/>
  <c r="B966" i="23"/>
  <c r="C966" i="23"/>
  <c r="E966" i="23"/>
  <c r="B965" i="23"/>
  <c r="C965" i="23"/>
  <c r="E965" i="23"/>
  <c r="B964" i="23"/>
  <c r="C964" i="23"/>
  <c r="E964" i="23"/>
  <c r="B963" i="23"/>
  <c r="C963" i="23"/>
  <c r="E963" i="23"/>
  <c r="B962" i="23"/>
  <c r="C962" i="23"/>
  <c r="E962" i="23"/>
  <c r="B961" i="23"/>
  <c r="C961" i="23"/>
  <c r="E961" i="23"/>
  <c r="B2" i="12"/>
  <c r="CX109" i="1"/>
  <c r="I960" i="23"/>
  <c r="H960" i="23"/>
  <c r="B960" i="23"/>
  <c r="C960" i="23"/>
  <c r="E960" i="23"/>
  <c r="L960" i="23"/>
  <c r="R960" i="23"/>
  <c r="S960" i="23"/>
  <c r="T960" i="23"/>
  <c r="W960" i="23" s="1"/>
  <c r="I959" i="23"/>
  <c r="H959" i="23"/>
  <c r="T958" i="23"/>
  <c r="AA958" i="23" s="1"/>
  <c r="S958" i="23"/>
  <c r="R958" i="23"/>
  <c r="L958" i="23"/>
  <c r="J958" i="23"/>
  <c r="I958" i="23"/>
  <c r="H958" i="23"/>
  <c r="T957" i="23"/>
  <c r="AA957" i="23" s="1"/>
  <c r="S957" i="23"/>
  <c r="R957" i="23"/>
  <c r="L957" i="23"/>
  <c r="J957" i="23"/>
  <c r="I957" i="23"/>
  <c r="H957" i="23"/>
  <c r="T956" i="23"/>
  <c r="AA956" i="23" s="1"/>
  <c r="S956" i="23"/>
  <c r="R956" i="23"/>
  <c r="L956" i="23"/>
  <c r="J956" i="23"/>
  <c r="I956" i="23"/>
  <c r="H956" i="23"/>
  <c r="B957" i="23"/>
  <c r="B958" i="23"/>
  <c r="B959" i="23"/>
  <c r="C957" i="23"/>
  <c r="C958" i="23"/>
  <c r="C959" i="23"/>
  <c r="E957" i="23"/>
  <c r="E958" i="23"/>
  <c r="E959" i="23"/>
  <c r="J959" i="23"/>
  <c r="L959" i="23"/>
  <c r="R959" i="23"/>
  <c r="S959" i="23"/>
  <c r="T959" i="23"/>
  <c r="W959" i="23" s="1"/>
  <c r="B956" i="23"/>
  <c r="C956" i="23"/>
  <c r="E956" i="23"/>
  <c r="I955" i="23"/>
  <c r="H955" i="23"/>
  <c r="B955" i="23"/>
  <c r="C955" i="23"/>
  <c r="E955" i="23"/>
  <c r="J955" i="23"/>
  <c r="L955" i="23"/>
  <c r="R955" i="23"/>
  <c r="S955" i="23"/>
  <c r="T955" i="23"/>
  <c r="I954" i="23"/>
  <c r="H954" i="23"/>
  <c r="T953" i="23"/>
  <c r="AA953" i="23" s="1"/>
  <c r="S953" i="23"/>
  <c r="R953" i="23"/>
  <c r="L953" i="23"/>
  <c r="J953" i="23"/>
  <c r="I953" i="23"/>
  <c r="H953" i="23"/>
  <c r="T952" i="23"/>
  <c r="AA952" i="23" s="1"/>
  <c r="S952" i="23"/>
  <c r="R952" i="23"/>
  <c r="L952" i="23"/>
  <c r="J952" i="23"/>
  <c r="I952" i="23"/>
  <c r="H952" i="23"/>
  <c r="T951" i="23"/>
  <c r="AA951" i="23" s="1"/>
  <c r="S951" i="23"/>
  <c r="R951" i="23"/>
  <c r="L951" i="23"/>
  <c r="J951" i="23"/>
  <c r="I951" i="23"/>
  <c r="H951" i="23"/>
  <c r="B952" i="23"/>
  <c r="B953" i="23"/>
  <c r="B954" i="23"/>
  <c r="C952" i="23"/>
  <c r="C953" i="23"/>
  <c r="C954" i="23"/>
  <c r="E952" i="23"/>
  <c r="E953" i="23"/>
  <c r="E954" i="23"/>
  <c r="J954" i="23"/>
  <c r="L954" i="23"/>
  <c r="R954" i="23"/>
  <c r="S954" i="23"/>
  <c r="T954" i="23"/>
  <c r="B951" i="23"/>
  <c r="C951" i="23"/>
  <c r="E951" i="23"/>
  <c r="H946" i="23"/>
  <c r="I946" i="23"/>
  <c r="H947" i="23"/>
  <c r="I947" i="23"/>
  <c r="H948" i="23"/>
  <c r="I948" i="23"/>
  <c r="H949" i="23"/>
  <c r="I949" i="23"/>
  <c r="H950" i="23"/>
  <c r="I950" i="23"/>
  <c r="I942" i="23"/>
  <c r="I943" i="23"/>
  <c r="I944" i="23"/>
  <c r="I945" i="23"/>
  <c r="H943" i="23"/>
  <c r="H944" i="23"/>
  <c r="H945" i="23"/>
  <c r="B950" i="23"/>
  <c r="C950" i="23"/>
  <c r="E950" i="23"/>
  <c r="J950" i="23"/>
  <c r="L950" i="23"/>
  <c r="R950" i="23"/>
  <c r="S950" i="23"/>
  <c r="T950" i="23"/>
  <c r="AA950" i="23" s="1"/>
  <c r="B949" i="23"/>
  <c r="C949" i="23"/>
  <c r="E949" i="23"/>
  <c r="J949" i="23"/>
  <c r="L949" i="23"/>
  <c r="R949" i="23"/>
  <c r="S949" i="23"/>
  <c r="T949" i="23"/>
  <c r="B948" i="23"/>
  <c r="C948" i="23"/>
  <c r="E948" i="23"/>
  <c r="J948" i="23"/>
  <c r="L948" i="23"/>
  <c r="R948" i="23"/>
  <c r="S948" i="23"/>
  <c r="T948" i="23"/>
  <c r="B947" i="23"/>
  <c r="C947" i="23"/>
  <c r="E947" i="23"/>
  <c r="J947" i="23"/>
  <c r="L947" i="23"/>
  <c r="R947" i="23"/>
  <c r="S947" i="23"/>
  <c r="T947" i="23"/>
  <c r="AA947" i="23" s="1"/>
  <c r="B946" i="23"/>
  <c r="C946" i="23"/>
  <c r="E946" i="23"/>
  <c r="J946" i="23"/>
  <c r="L946" i="23"/>
  <c r="R946" i="23"/>
  <c r="S946" i="23"/>
  <c r="T946" i="23"/>
  <c r="AA946" i="23" s="1"/>
  <c r="B55" i="24"/>
  <c r="C55" i="24"/>
  <c r="E55" i="24"/>
  <c r="J55" i="24"/>
  <c r="O55" i="24"/>
  <c r="P55" i="24"/>
  <c r="Q55" i="24"/>
  <c r="H942" i="23"/>
  <c r="H941" i="23"/>
  <c r="I941" i="23"/>
  <c r="B945" i="23"/>
  <c r="C945" i="23"/>
  <c r="E945" i="23"/>
  <c r="J945" i="23"/>
  <c r="L945" i="23"/>
  <c r="R945" i="23"/>
  <c r="S945" i="23"/>
  <c r="T945" i="23"/>
  <c r="B944" i="23"/>
  <c r="C944" i="23"/>
  <c r="E944" i="23"/>
  <c r="J944" i="23"/>
  <c r="L944" i="23"/>
  <c r="R944" i="23"/>
  <c r="S944" i="23"/>
  <c r="T944" i="23"/>
  <c r="AA944" i="23" s="1"/>
  <c r="B943" i="23"/>
  <c r="C943" i="23"/>
  <c r="E943" i="23"/>
  <c r="J943" i="23"/>
  <c r="L943" i="23"/>
  <c r="R943" i="23"/>
  <c r="S943" i="23"/>
  <c r="T943" i="23"/>
  <c r="B942" i="23"/>
  <c r="C942" i="23"/>
  <c r="E942" i="23"/>
  <c r="J942" i="23"/>
  <c r="L942" i="23"/>
  <c r="R942" i="23"/>
  <c r="S942" i="23"/>
  <c r="T942" i="23"/>
  <c r="B941" i="23"/>
  <c r="C941" i="23"/>
  <c r="E941" i="23"/>
  <c r="J941" i="23"/>
  <c r="L941" i="23"/>
  <c r="R941" i="23"/>
  <c r="S941" i="23"/>
  <c r="T941" i="23"/>
  <c r="B54" i="24"/>
  <c r="C54" i="24"/>
  <c r="E54" i="24"/>
  <c r="J54" i="24"/>
  <c r="O54" i="24"/>
  <c r="P54" i="24"/>
  <c r="Q54" i="24"/>
  <c r="I940" i="23"/>
  <c r="H940" i="23"/>
  <c r="I939" i="23"/>
  <c r="H939" i="23"/>
  <c r="I938" i="23"/>
  <c r="H938" i="23"/>
  <c r="I937" i="23"/>
  <c r="H937" i="23"/>
  <c r="B940" i="23"/>
  <c r="C940" i="23"/>
  <c r="E940" i="23"/>
  <c r="J940" i="23"/>
  <c r="L940" i="23"/>
  <c r="R940" i="23"/>
  <c r="S940" i="23"/>
  <c r="T940" i="23"/>
  <c r="B939" i="23"/>
  <c r="C939" i="23"/>
  <c r="E939" i="23"/>
  <c r="J939" i="23"/>
  <c r="L939" i="23"/>
  <c r="R939" i="23"/>
  <c r="S939" i="23"/>
  <c r="T939" i="23"/>
  <c r="B938" i="23"/>
  <c r="C938" i="23"/>
  <c r="E938" i="23"/>
  <c r="J938" i="23"/>
  <c r="L938" i="23"/>
  <c r="R938" i="23"/>
  <c r="S938" i="23"/>
  <c r="T938" i="23"/>
  <c r="B937" i="23"/>
  <c r="C937" i="23"/>
  <c r="E937" i="23"/>
  <c r="J937" i="23"/>
  <c r="L937" i="23"/>
  <c r="R937" i="23"/>
  <c r="S937" i="23"/>
  <c r="T937" i="23"/>
  <c r="I936" i="23"/>
  <c r="H936" i="23"/>
  <c r="B936" i="23"/>
  <c r="C936" i="23"/>
  <c r="E936" i="23"/>
  <c r="J936" i="23"/>
  <c r="L936" i="23"/>
  <c r="R936" i="23"/>
  <c r="S936" i="23"/>
  <c r="T936" i="23"/>
  <c r="H935" i="23"/>
  <c r="I935" i="23"/>
  <c r="B935" i="23"/>
  <c r="C935" i="23"/>
  <c r="E935" i="23"/>
  <c r="J935" i="23"/>
  <c r="L935" i="23"/>
  <c r="R935" i="23"/>
  <c r="S935" i="23"/>
  <c r="T935" i="23"/>
  <c r="I934" i="23"/>
  <c r="H934" i="23"/>
  <c r="I933" i="23"/>
  <c r="H933" i="23"/>
  <c r="I932" i="23"/>
  <c r="H932" i="23"/>
  <c r="B934" i="23"/>
  <c r="C934" i="23"/>
  <c r="E934" i="23"/>
  <c r="J934" i="23"/>
  <c r="L934" i="23"/>
  <c r="R934" i="23"/>
  <c r="S934" i="23"/>
  <c r="T934" i="23"/>
  <c r="AA934" i="23" s="1"/>
  <c r="B933" i="23"/>
  <c r="C933" i="23"/>
  <c r="E933" i="23"/>
  <c r="J933" i="23"/>
  <c r="L933" i="23"/>
  <c r="R933" i="23"/>
  <c r="S933" i="23"/>
  <c r="T933" i="23"/>
  <c r="AA933" i="23" s="1"/>
  <c r="B932" i="23"/>
  <c r="C932" i="23"/>
  <c r="E932" i="23"/>
  <c r="J932" i="23"/>
  <c r="L932" i="23"/>
  <c r="R932" i="23"/>
  <c r="S932" i="23"/>
  <c r="T932" i="23"/>
  <c r="AA932" i="23" s="1"/>
  <c r="CR103" i="1"/>
  <c r="CR104" i="1"/>
  <c r="CR105" i="1"/>
  <c r="CR106" i="1"/>
  <c r="CR107" i="1"/>
  <c r="CR108" i="1"/>
  <c r="B53" i="24"/>
  <c r="C53" i="24"/>
  <c r="E53" i="24"/>
  <c r="J53" i="24"/>
  <c r="O53" i="24"/>
  <c r="P53" i="24"/>
  <c r="Q53" i="24"/>
  <c r="B52" i="24"/>
  <c r="C52" i="24"/>
  <c r="E52" i="24"/>
  <c r="J52" i="24"/>
  <c r="O52" i="24"/>
  <c r="P52" i="24"/>
  <c r="Q52" i="24"/>
  <c r="I931" i="23"/>
  <c r="H931" i="23"/>
  <c r="I930" i="23"/>
  <c r="H930" i="23"/>
  <c r="T929" i="23"/>
  <c r="AA929" i="23" s="1"/>
  <c r="S929" i="23"/>
  <c r="R929" i="23"/>
  <c r="L929" i="23"/>
  <c r="J929" i="23"/>
  <c r="I929" i="23"/>
  <c r="H929" i="23"/>
  <c r="T928" i="23"/>
  <c r="S928" i="23"/>
  <c r="R928" i="23"/>
  <c r="L928" i="23"/>
  <c r="J928" i="23"/>
  <c r="I928" i="23"/>
  <c r="H928" i="23"/>
  <c r="T927" i="23"/>
  <c r="S927" i="23"/>
  <c r="R927" i="23"/>
  <c r="L927" i="23"/>
  <c r="J927" i="23"/>
  <c r="I927" i="23"/>
  <c r="H927" i="23"/>
  <c r="B928" i="23"/>
  <c r="B929" i="23"/>
  <c r="B930" i="23"/>
  <c r="B931" i="23"/>
  <c r="C928" i="23"/>
  <c r="C929" i="23"/>
  <c r="C930" i="23"/>
  <c r="C931" i="23"/>
  <c r="E928" i="23"/>
  <c r="E929" i="23"/>
  <c r="E930" i="23"/>
  <c r="E931" i="23"/>
  <c r="J930" i="23"/>
  <c r="J931" i="23"/>
  <c r="L930" i="23"/>
  <c r="L931" i="23"/>
  <c r="R930" i="23"/>
  <c r="R931" i="23"/>
  <c r="S930" i="23"/>
  <c r="S931" i="23"/>
  <c r="T930" i="23"/>
  <c r="AA930" i="23" s="1"/>
  <c r="T931" i="23"/>
  <c r="B927" i="23"/>
  <c r="C927" i="23"/>
  <c r="E927" i="23"/>
  <c r="CR102" i="1"/>
  <c r="I926" i="23"/>
  <c r="H926" i="23"/>
  <c r="B926" i="23"/>
  <c r="C926" i="23"/>
  <c r="E926" i="23"/>
  <c r="J926" i="23"/>
  <c r="L926" i="23"/>
  <c r="R926" i="23"/>
  <c r="S926" i="23"/>
  <c r="T926" i="23"/>
  <c r="I925" i="23"/>
  <c r="H925" i="23"/>
  <c r="I924" i="23"/>
  <c r="H924" i="23"/>
  <c r="L923" i="23"/>
  <c r="J923" i="23"/>
  <c r="I923" i="23"/>
  <c r="H923" i="23"/>
  <c r="L922" i="23"/>
  <c r="J922" i="23"/>
  <c r="I922" i="23"/>
  <c r="H922" i="23"/>
  <c r="L921" i="23"/>
  <c r="J921" i="23"/>
  <c r="I921" i="23"/>
  <c r="H921" i="23"/>
  <c r="B925" i="23"/>
  <c r="C925" i="23"/>
  <c r="E925" i="23"/>
  <c r="J925" i="23"/>
  <c r="L925" i="23"/>
  <c r="R925" i="23"/>
  <c r="S925" i="23"/>
  <c r="T925" i="23"/>
  <c r="B924" i="23"/>
  <c r="C924" i="23"/>
  <c r="E924" i="23"/>
  <c r="J924" i="23"/>
  <c r="L924" i="23"/>
  <c r="R924" i="23"/>
  <c r="S924" i="23"/>
  <c r="T924" i="23"/>
  <c r="B923" i="23"/>
  <c r="C923" i="23"/>
  <c r="E923" i="23"/>
  <c r="R923" i="23"/>
  <c r="S923" i="23"/>
  <c r="T923" i="23"/>
  <c r="B921" i="23"/>
  <c r="B922" i="23"/>
  <c r="C921" i="23"/>
  <c r="C922" i="23"/>
  <c r="E921" i="23"/>
  <c r="E922" i="23"/>
  <c r="R921" i="23"/>
  <c r="R922" i="23"/>
  <c r="S921" i="23"/>
  <c r="S922" i="23"/>
  <c r="T921" i="23"/>
  <c r="AA921" i="23" s="1"/>
  <c r="T922" i="23"/>
  <c r="I920" i="23"/>
  <c r="H920" i="23"/>
  <c r="I919" i="23"/>
  <c r="H919" i="23"/>
  <c r="B920" i="23"/>
  <c r="C920" i="23"/>
  <c r="E920" i="23"/>
  <c r="J920" i="23"/>
  <c r="L920" i="23"/>
  <c r="R920" i="23"/>
  <c r="S920" i="23"/>
  <c r="T920" i="23"/>
  <c r="B919" i="23"/>
  <c r="C919" i="23"/>
  <c r="E919" i="23"/>
  <c r="J919" i="23"/>
  <c r="L919" i="23"/>
  <c r="R919" i="23"/>
  <c r="S919" i="23"/>
  <c r="T919" i="23"/>
  <c r="I918" i="23"/>
  <c r="H918" i="23"/>
  <c r="T917" i="23"/>
  <c r="S917" i="23"/>
  <c r="R917" i="23"/>
  <c r="L917" i="23"/>
  <c r="J917" i="23"/>
  <c r="I917" i="23"/>
  <c r="H917" i="23"/>
  <c r="T916" i="23"/>
  <c r="S916" i="23"/>
  <c r="R916" i="23"/>
  <c r="L916" i="23"/>
  <c r="J916" i="23"/>
  <c r="I916" i="23"/>
  <c r="H916" i="23"/>
  <c r="T915" i="23"/>
  <c r="S915" i="23"/>
  <c r="R915" i="23"/>
  <c r="L915" i="23"/>
  <c r="J915" i="23"/>
  <c r="I915" i="23"/>
  <c r="H915" i="23"/>
  <c r="B916" i="23"/>
  <c r="B917" i="23"/>
  <c r="B918" i="23"/>
  <c r="C916" i="23"/>
  <c r="C917" i="23"/>
  <c r="C918" i="23"/>
  <c r="E916" i="23"/>
  <c r="E917" i="23"/>
  <c r="E918" i="23"/>
  <c r="J918" i="23"/>
  <c r="L918" i="23"/>
  <c r="R918" i="23"/>
  <c r="S918" i="23"/>
  <c r="T918" i="23"/>
  <c r="B915" i="23"/>
  <c r="C915" i="23"/>
  <c r="E915" i="23"/>
  <c r="CF100" i="1"/>
  <c r="CG100" i="1"/>
  <c r="I914" i="23"/>
  <c r="H914" i="23"/>
  <c r="T913" i="23"/>
  <c r="S913" i="23"/>
  <c r="R913" i="23"/>
  <c r="L913" i="23"/>
  <c r="J913" i="23"/>
  <c r="I913" i="23"/>
  <c r="H913" i="23"/>
  <c r="T912" i="23"/>
  <c r="S912" i="23"/>
  <c r="R912" i="23"/>
  <c r="L912" i="23"/>
  <c r="J912" i="23"/>
  <c r="I912" i="23"/>
  <c r="H912" i="23"/>
  <c r="T911" i="23"/>
  <c r="S911" i="23"/>
  <c r="R911" i="23"/>
  <c r="L911" i="23"/>
  <c r="J911" i="23"/>
  <c r="I911" i="23"/>
  <c r="H911" i="23"/>
  <c r="B912" i="23"/>
  <c r="B913" i="23"/>
  <c r="B914" i="23"/>
  <c r="C912" i="23"/>
  <c r="C913" i="23"/>
  <c r="C914" i="23"/>
  <c r="E912" i="23"/>
  <c r="E913" i="23"/>
  <c r="E914" i="23"/>
  <c r="J914" i="23"/>
  <c r="L914" i="23"/>
  <c r="R914" i="23"/>
  <c r="S914" i="23"/>
  <c r="T914" i="23"/>
  <c r="B911" i="23"/>
  <c r="C911" i="23"/>
  <c r="E911" i="23"/>
  <c r="H910" i="23"/>
  <c r="I910" i="23"/>
  <c r="J910" i="23"/>
  <c r="L910" i="23"/>
  <c r="R910" i="23"/>
  <c r="S910" i="23"/>
  <c r="T910" i="23"/>
  <c r="R680" i="23"/>
  <c r="S680" i="23"/>
  <c r="T680" i="23"/>
  <c r="R681" i="23"/>
  <c r="S681" i="23"/>
  <c r="T681" i="23"/>
  <c r="R682" i="23"/>
  <c r="S682" i="23"/>
  <c r="T682" i="23"/>
  <c r="R683" i="23"/>
  <c r="S683" i="23"/>
  <c r="T683" i="23"/>
  <c r="B910" i="23"/>
  <c r="C910" i="23"/>
  <c r="E910" i="23"/>
  <c r="I909" i="23"/>
  <c r="H909" i="23"/>
  <c r="B909" i="23"/>
  <c r="C909" i="23"/>
  <c r="E909" i="23"/>
  <c r="J909" i="23"/>
  <c r="L909" i="23"/>
  <c r="R909" i="23"/>
  <c r="S909" i="23"/>
  <c r="T909" i="23"/>
  <c r="I908" i="23"/>
  <c r="H908" i="23"/>
  <c r="T907" i="23"/>
  <c r="S907" i="23"/>
  <c r="R907" i="23"/>
  <c r="L907" i="23"/>
  <c r="J907" i="23"/>
  <c r="I907" i="23"/>
  <c r="H907" i="23"/>
  <c r="T906" i="23"/>
  <c r="S906" i="23"/>
  <c r="R906" i="23"/>
  <c r="L906" i="23"/>
  <c r="J906" i="23"/>
  <c r="I906" i="23"/>
  <c r="H906" i="23"/>
  <c r="T905" i="23"/>
  <c r="S905" i="23"/>
  <c r="R905" i="23"/>
  <c r="L905" i="23"/>
  <c r="J905" i="23"/>
  <c r="I905" i="23"/>
  <c r="H905" i="23"/>
  <c r="B906" i="23"/>
  <c r="B907" i="23"/>
  <c r="B908" i="23"/>
  <c r="C906" i="23"/>
  <c r="C907" i="23"/>
  <c r="C908" i="23"/>
  <c r="E906" i="23"/>
  <c r="E907" i="23"/>
  <c r="E908" i="23"/>
  <c r="J908" i="23"/>
  <c r="L908" i="23"/>
  <c r="R908" i="23"/>
  <c r="S908" i="23"/>
  <c r="T908" i="23"/>
  <c r="B905" i="23"/>
  <c r="C905" i="23"/>
  <c r="E905" i="23"/>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A82" i="1"/>
  <c r="D82" i="1" s="1"/>
  <c r="R904" i="23"/>
  <c r="T900" i="23"/>
  <c r="T901" i="23"/>
  <c r="T902" i="23"/>
  <c r="T903" i="23"/>
  <c r="T904" i="23"/>
  <c r="S900" i="23"/>
  <c r="S901" i="23"/>
  <c r="S902" i="23"/>
  <c r="S903" i="23"/>
  <c r="S904" i="23"/>
  <c r="R900" i="23"/>
  <c r="R901" i="23"/>
  <c r="R902" i="23"/>
  <c r="R903" i="23"/>
  <c r="H903" i="23"/>
  <c r="I903" i="23"/>
  <c r="H904" i="23"/>
  <c r="I904" i="23"/>
  <c r="I902" i="23"/>
  <c r="H902" i="23"/>
  <c r="I901" i="23"/>
  <c r="H901" i="23"/>
  <c r="I900" i="23"/>
  <c r="H900" i="23"/>
  <c r="B901" i="23"/>
  <c r="B902" i="23"/>
  <c r="B903" i="23"/>
  <c r="B904" i="23"/>
  <c r="C901" i="23"/>
  <c r="C902" i="23"/>
  <c r="C903" i="23"/>
  <c r="C904" i="23"/>
  <c r="E901" i="23"/>
  <c r="E902" i="23"/>
  <c r="E903" i="23"/>
  <c r="E904" i="23"/>
  <c r="J901" i="23"/>
  <c r="J902" i="23"/>
  <c r="J903" i="23"/>
  <c r="J904" i="23"/>
  <c r="L901" i="23"/>
  <c r="L902" i="23"/>
  <c r="L903" i="23"/>
  <c r="L904" i="23"/>
  <c r="B900" i="23"/>
  <c r="C900" i="23"/>
  <c r="E900" i="23"/>
  <c r="J900" i="23"/>
  <c r="L900" i="23"/>
  <c r="H899" i="23"/>
  <c r="I899" i="23"/>
  <c r="B899" i="23"/>
  <c r="C899" i="23"/>
  <c r="E899" i="23"/>
  <c r="J899" i="23"/>
  <c r="L899" i="23"/>
  <c r="R899" i="23"/>
  <c r="S899" i="23"/>
  <c r="T899" i="23"/>
  <c r="H898" i="23"/>
  <c r="I898" i="23"/>
  <c r="B898" i="23"/>
  <c r="C898" i="23"/>
  <c r="E898" i="23"/>
  <c r="J898" i="23"/>
  <c r="L898" i="23"/>
  <c r="R898" i="23"/>
  <c r="S898" i="23"/>
  <c r="T898" i="23"/>
  <c r="H897" i="23"/>
  <c r="I897" i="23"/>
  <c r="H895" i="23"/>
  <c r="I895" i="23"/>
  <c r="H896" i="23"/>
  <c r="I896" i="23"/>
  <c r="I894" i="23"/>
  <c r="H894" i="23"/>
  <c r="I893" i="23"/>
  <c r="H893" i="23"/>
  <c r="I892" i="23"/>
  <c r="H892" i="23"/>
  <c r="B893" i="23"/>
  <c r="B894" i="23"/>
  <c r="B895" i="23"/>
  <c r="B896" i="23"/>
  <c r="B897" i="23"/>
  <c r="C893" i="23"/>
  <c r="C894" i="23"/>
  <c r="C895" i="23"/>
  <c r="C896" i="23"/>
  <c r="C897" i="23"/>
  <c r="E893" i="23"/>
  <c r="E894" i="23"/>
  <c r="E895" i="23"/>
  <c r="E896" i="23"/>
  <c r="E897" i="23"/>
  <c r="J893" i="23"/>
  <c r="J894" i="23"/>
  <c r="J895" i="23"/>
  <c r="J896" i="23"/>
  <c r="J897" i="23"/>
  <c r="L893" i="23"/>
  <c r="L894" i="23"/>
  <c r="L895" i="23"/>
  <c r="L896" i="23"/>
  <c r="L897" i="23"/>
  <c r="R893" i="23"/>
  <c r="R894" i="23"/>
  <c r="R895" i="23"/>
  <c r="R896" i="23"/>
  <c r="R897" i="23"/>
  <c r="S893" i="23"/>
  <c r="S894" i="23"/>
  <c r="S895" i="23"/>
  <c r="S896" i="23"/>
  <c r="S897" i="23"/>
  <c r="T893" i="23"/>
  <c r="T894" i="23"/>
  <c r="T895" i="23"/>
  <c r="T896" i="23"/>
  <c r="T897" i="23"/>
  <c r="AA897" i="23" s="1"/>
  <c r="B892" i="23"/>
  <c r="C892" i="23"/>
  <c r="E892" i="23"/>
  <c r="J892" i="23"/>
  <c r="L892" i="23"/>
  <c r="R892" i="23"/>
  <c r="S892" i="23"/>
  <c r="T892" i="23"/>
  <c r="H891" i="23"/>
  <c r="I891" i="23"/>
  <c r="B891" i="23"/>
  <c r="C891" i="23"/>
  <c r="E891" i="23"/>
  <c r="J891" i="23"/>
  <c r="L891" i="23"/>
  <c r="R891" i="23"/>
  <c r="S891" i="23"/>
  <c r="T891" i="23"/>
  <c r="AA891" i="23" s="1"/>
  <c r="H890" i="23"/>
  <c r="I890" i="23"/>
  <c r="B890" i="23"/>
  <c r="C890" i="23"/>
  <c r="E890" i="23"/>
  <c r="J890" i="23"/>
  <c r="L890" i="23"/>
  <c r="R890" i="23"/>
  <c r="S890" i="23"/>
  <c r="T890" i="23"/>
  <c r="H889" i="23"/>
  <c r="I889" i="23"/>
  <c r="B889" i="23"/>
  <c r="C889" i="23"/>
  <c r="E889" i="23"/>
  <c r="J889" i="23"/>
  <c r="L889" i="23"/>
  <c r="R889" i="23"/>
  <c r="S889" i="23"/>
  <c r="T889" i="23"/>
  <c r="H887" i="23"/>
  <c r="H888" i="23"/>
  <c r="H884" i="23"/>
  <c r="I884" i="23"/>
  <c r="H885" i="23"/>
  <c r="I885" i="23"/>
  <c r="H886" i="23"/>
  <c r="I886" i="23"/>
  <c r="I887" i="23"/>
  <c r="I888" i="23"/>
  <c r="B885" i="23"/>
  <c r="B886" i="23"/>
  <c r="B887" i="23"/>
  <c r="B888" i="23"/>
  <c r="C885" i="23"/>
  <c r="C886" i="23"/>
  <c r="C887" i="23"/>
  <c r="C888" i="23"/>
  <c r="E885" i="23"/>
  <c r="E886" i="23"/>
  <c r="E887" i="23"/>
  <c r="E888" i="23"/>
  <c r="J885" i="23"/>
  <c r="J886" i="23"/>
  <c r="J887" i="23"/>
  <c r="J888" i="23"/>
  <c r="L885" i="23"/>
  <c r="L886" i="23"/>
  <c r="L887" i="23"/>
  <c r="L888" i="23"/>
  <c r="R885" i="23"/>
  <c r="R886" i="23"/>
  <c r="R887" i="23"/>
  <c r="R888" i="23"/>
  <c r="S885" i="23"/>
  <c r="S886" i="23"/>
  <c r="S887" i="23"/>
  <c r="S888" i="23"/>
  <c r="T885" i="23"/>
  <c r="T886" i="23"/>
  <c r="T887" i="23"/>
  <c r="T888" i="23"/>
  <c r="B884" i="23"/>
  <c r="C884" i="23"/>
  <c r="E884" i="23"/>
  <c r="J884" i="23"/>
  <c r="L884" i="23"/>
  <c r="R884" i="23"/>
  <c r="S884" i="23"/>
  <c r="T884" i="23"/>
  <c r="H883" i="23"/>
  <c r="I883" i="23"/>
  <c r="B883" i="23"/>
  <c r="C883" i="23"/>
  <c r="E883" i="23"/>
  <c r="J883" i="23"/>
  <c r="L883" i="23"/>
  <c r="R883" i="23"/>
  <c r="S883" i="23"/>
  <c r="T883" i="23"/>
  <c r="H882" i="23"/>
  <c r="I882" i="23"/>
  <c r="T879" i="23"/>
  <c r="S879" i="23"/>
  <c r="R879" i="23"/>
  <c r="L879" i="23"/>
  <c r="J879" i="23"/>
  <c r="J880" i="23"/>
  <c r="L880" i="23"/>
  <c r="R880" i="23"/>
  <c r="S880" i="23"/>
  <c r="T880" i="23"/>
  <c r="J881" i="23"/>
  <c r="L881" i="23"/>
  <c r="R881" i="23"/>
  <c r="S881" i="23"/>
  <c r="T881" i="23"/>
  <c r="J882" i="23"/>
  <c r="L882" i="23"/>
  <c r="R882" i="23"/>
  <c r="S882" i="23"/>
  <c r="T882" i="23"/>
  <c r="H879" i="23"/>
  <c r="I879" i="23"/>
  <c r="H880" i="23"/>
  <c r="I880" i="23"/>
  <c r="H881" i="23"/>
  <c r="I881" i="23"/>
  <c r="C879" i="23"/>
  <c r="E879" i="23"/>
  <c r="B879" i="23"/>
  <c r="B880" i="23"/>
  <c r="B881" i="23"/>
  <c r="B882" i="23"/>
  <c r="C880" i="23"/>
  <c r="C881" i="23"/>
  <c r="C882" i="23"/>
  <c r="E880" i="23"/>
  <c r="E881" i="23"/>
  <c r="E882" i="23"/>
  <c r="R877" i="23"/>
  <c r="H878" i="23"/>
  <c r="I878" i="23"/>
  <c r="B878" i="23"/>
  <c r="C878" i="23"/>
  <c r="E878" i="23"/>
  <c r="J878" i="23"/>
  <c r="L878" i="23"/>
  <c r="R878" i="23"/>
  <c r="S878" i="23"/>
  <c r="T878" i="23"/>
  <c r="H876" i="23"/>
  <c r="I876" i="23"/>
  <c r="H877" i="23"/>
  <c r="I877" i="23"/>
  <c r="H875" i="23"/>
  <c r="I875" i="23"/>
  <c r="B875" i="23"/>
  <c r="B876" i="23"/>
  <c r="B877" i="23"/>
  <c r="C875" i="23"/>
  <c r="C876" i="23"/>
  <c r="C877" i="23"/>
  <c r="E875" i="23"/>
  <c r="E876" i="23"/>
  <c r="E877" i="23"/>
  <c r="J875" i="23"/>
  <c r="J876" i="23"/>
  <c r="J877" i="23"/>
  <c r="L875" i="23"/>
  <c r="L876" i="23"/>
  <c r="L877" i="23"/>
  <c r="R875" i="23"/>
  <c r="R876" i="23"/>
  <c r="S875" i="23"/>
  <c r="S876" i="23"/>
  <c r="S877" i="23"/>
  <c r="T875" i="23"/>
  <c r="T876" i="23"/>
  <c r="T877" i="23"/>
  <c r="R870" i="23"/>
  <c r="S870" i="23"/>
  <c r="T870" i="23"/>
  <c r="R871" i="23"/>
  <c r="S871" i="23"/>
  <c r="T871" i="23"/>
  <c r="R872" i="23"/>
  <c r="S872" i="23"/>
  <c r="T872" i="23"/>
  <c r="R873" i="23"/>
  <c r="S873" i="23"/>
  <c r="T873" i="23"/>
  <c r="R874" i="23"/>
  <c r="S874" i="23"/>
  <c r="T874" i="23"/>
  <c r="L874" i="23"/>
  <c r="H873" i="23"/>
  <c r="H874" i="23"/>
  <c r="I874" i="23"/>
  <c r="J870" i="23"/>
  <c r="J871" i="23"/>
  <c r="J872" i="23"/>
  <c r="J873" i="23"/>
  <c r="J874" i="23"/>
  <c r="L870" i="23"/>
  <c r="L871" i="23"/>
  <c r="L872" i="23"/>
  <c r="L873" i="23"/>
  <c r="I873" i="23"/>
  <c r="I872" i="23"/>
  <c r="H872" i="23"/>
  <c r="I871" i="23"/>
  <c r="H871" i="23"/>
  <c r="I870" i="23"/>
  <c r="H870" i="23"/>
  <c r="B870" i="23"/>
  <c r="C870" i="23"/>
  <c r="E870" i="23"/>
  <c r="B871" i="23"/>
  <c r="C871" i="23"/>
  <c r="E871" i="23"/>
  <c r="B872" i="23"/>
  <c r="C872" i="23"/>
  <c r="E872" i="23"/>
  <c r="B873" i="23"/>
  <c r="C873" i="23"/>
  <c r="E873" i="23"/>
  <c r="B874" i="23"/>
  <c r="C874" i="23"/>
  <c r="E874" i="23"/>
  <c r="B51" i="24"/>
  <c r="C51" i="24"/>
  <c r="E51" i="24"/>
  <c r="J51" i="24"/>
  <c r="O51" i="24"/>
  <c r="P51" i="24"/>
  <c r="Q51" i="24"/>
  <c r="B50" i="24"/>
  <c r="C50" i="24"/>
  <c r="E50" i="24"/>
  <c r="J50" i="24"/>
  <c r="O50" i="24"/>
  <c r="P50" i="24"/>
  <c r="Q50" i="24"/>
  <c r="L867" i="23"/>
  <c r="L868" i="23"/>
  <c r="L869" i="23"/>
  <c r="H867" i="23"/>
  <c r="I867" i="23"/>
  <c r="H868" i="23"/>
  <c r="I868" i="23"/>
  <c r="H869" i="23"/>
  <c r="I869" i="23"/>
  <c r="B868" i="23"/>
  <c r="B869" i="23"/>
  <c r="C868" i="23"/>
  <c r="C869" i="23"/>
  <c r="E868" i="23"/>
  <c r="E869" i="23"/>
  <c r="J868" i="23"/>
  <c r="J869" i="23"/>
  <c r="R868" i="23"/>
  <c r="R869" i="23"/>
  <c r="S868" i="23"/>
  <c r="S869" i="23"/>
  <c r="T868" i="23"/>
  <c r="T869" i="23"/>
  <c r="I866" i="23"/>
  <c r="H866" i="23"/>
  <c r="I865" i="23"/>
  <c r="H865" i="23"/>
  <c r="I864" i="23"/>
  <c r="H864" i="23"/>
  <c r="B865" i="23"/>
  <c r="B866" i="23"/>
  <c r="B867" i="23"/>
  <c r="C865" i="23"/>
  <c r="C866" i="23"/>
  <c r="C867" i="23"/>
  <c r="E865" i="23"/>
  <c r="E866" i="23"/>
  <c r="E867" i="23"/>
  <c r="J865" i="23"/>
  <c r="J866" i="23"/>
  <c r="J867" i="23"/>
  <c r="L865" i="23"/>
  <c r="L866" i="23"/>
  <c r="R865" i="23"/>
  <c r="R866" i="23"/>
  <c r="R867" i="23"/>
  <c r="S865" i="23"/>
  <c r="S866" i="23"/>
  <c r="S867" i="23"/>
  <c r="T865" i="23"/>
  <c r="T866" i="23"/>
  <c r="T867" i="23"/>
  <c r="B864" i="23"/>
  <c r="C864" i="23"/>
  <c r="E864" i="23"/>
  <c r="J864" i="23"/>
  <c r="L864" i="23"/>
  <c r="R864" i="23"/>
  <c r="S864" i="23"/>
  <c r="T864" i="23"/>
  <c r="L859" i="23"/>
  <c r="L860" i="23"/>
  <c r="L861" i="23"/>
  <c r="L862" i="23"/>
  <c r="L863" i="23"/>
  <c r="L2" i="23"/>
  <c r="L3" i="23"/>
  <c r="L4" i="23"/>
  <c r="L5" i="23"/>
  <c r="L6" i="23"/>
  <c r="L7" i="23"/>
  <c r="L8" i="23"/>
  <c r="L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212" i="23"/>
  <c r="L213" i="23"/>
  <c r="L214" i="23"/>
  <c r="L215" i="23"/>
  <c r="L216" i="23"/>
  <c r="L217" i="23"/>
  <c r="L218" i="23"/>
  <c r="L219" i="23"/>
  <c r="L220" i="23"/>
  <c r="L221" i="23"/>
  <c r="L222" i="23"/>
  <c r="L223" i="23"/>
  <c r="L224" i="23"/>
  <c r="L225" i="23"/>
  <c r="L226" i="23"/>
  <c r="L227" i="23"/>
  <c r="L228" i="23"/>
  <c r="L229" i="23"/>
  <c r="L230" i="23"/>
  <c r="L231" i="23"/>
  <c r="L232" i="23"/>
  <c r="L233" i="23"/>
  <c r="L234" i="23"/>
  <c r="L235" i="23"/>
  <c r="L236" i="23"/>
  <c r="L237" i="23"/>
  <c r="L238" i="23"/>
  <c r="L239" i="23"/>
  <c r="L240" i="23"/>
  <c r="L241" i="23"/>
  <c r="L242" i="23"/>
  <c r="L243" i="23"/>
  <c r="L244" i="23"/>
  <c r="L245" i="23"/>
  <c r="L246" i="23"/>
  <c r="L247" i="23"/>
  <c r="L248" i="23"/>
  <c r="L249" i="23"/>
  <c r="L250" i="23"/>
  <c r="L251" i="23"/>
  <c r="L252" i="23"/>
  <c r="L253" i="23"/>
  <c r="L254" i="23"/>
  <c r="L255" i="23"/>
  <c r="L256" i="23"/>
  <c r="L257" i="23"/>
  <c r="L258" i="23"/>
  <c r="L259" i="23"/>
  <c r="L260" i="23"/>
  <c r="L261" i="23"/>
  <c r="L262" i="23"/>
  <c r="L263" i="23"/>
  <c r="L264" i="23"/>
  <c r="L265" i="23"/>
  <c r="L266" i="23"/>
  <c r="L267" i="23"/>
  <c r="L268" i="23"/>
  <c r="L269" i="23"/>
  <c r="L270" i="23"/>
  <c r="L271" i="23"/>
  <c r="L272" i="23"/>
  <c r="L273" i="23"/>
  <c r="L274" i="23"/>
  <c r="L275" i="23"/>
  <c r="L276" i="23"/>
  <c r="L277" i="23"/>
  <c r="L278" i="23"/>
  <c r="L279" i="23"/>
  <c r="L280" i="23"/>
  <c r="L281" i="23"/>
  <c r="L282" i="23"/>
  <c r="L283" i="23"/>
  <c r="L284" i="23"/>
  <c r="L285" i="23"/>
  <c r="L286" i="23"/>
  <c r="L287" i="23"/>
  <c r="L288" i="23"/>
  <c r="L289" i="23"/>
  <c r="L290" i="23"/>
  <c r="L291" i="23"/>
  <c r="L292" i="23"/>
  <c r="L293" i="23"/>
  <c r="L294" i="23"/>
  <c r="L295" i="23"/>
  <c r="L296" i="23"/>
  <c r="L297" i="23"/>
  <c r="L298" i="23"/>
  <c r="L299" i="23"/>
  <c r="L300" i="23"/>
  <c r="L301" i="23"/>
  <c r="L302" i="23"/>
  <c r="L303" i="23"/>
  <c r="L304" i="23"/>
  <c r="L305" i="23"/>
  <c r="L306" i="23"/>
  <c r="L307" i="23"/>
  <c r="L308" i="23"/>
  <c r="L309" i="23"/>
  <c r="L310" i="23"/>
  <c r="L311" i="23"/>
  <c r="L312" i="23"/>
  <c r="L313" i="23"/>
  <c r="L314" i="23"/>
  <c r="L315" i="23"/>
  <c r="L316" i="23"/>
  <c r="L317" i="23"/>
  <c r="L318" i="23"/>
  <c r="L319" i="23"/>
  <c r="L320" i="23"/>
  <c r="L321" i="23"/>
  <c r="L322" i="23"/>
  <c r="L323" i="23"/>
  <c r="L324" i="23"/>
  <c r="L325" i="23"/>
  <c r="L326" i="23"/>
  <c r="L327" i="23"/>
  <c r="L328" i="23"/>
  <c r="L329" i="23"/>
  <c r="L330" i="23"/>
  <c r="L331" i="23"/>
  <c r="L332" i="23"/>
  <c r="L333" i="23"/>
  <c r="L334" i="23"/>
  <c r="L335" i="23"/>
  <c r="L336" i="23"/>
  <c r="L337" i="23"/>
  <c r="L338" i="23"/>
  <c r="L339" i="23"/>
  <c r="L340" i="23"/>
  <c r="L341" i="23"/>
  <c r="L342" i="23"/>
  <c r="L343" i="23"/>
  <c r="L344" i="23"/>
  <c r="L345" i="23"/>
  <c r="L346" i="23"/>
  <c r="L347" i="23"/>
  <c r="L348" i="23"/>
  <c r="L349" i="23"/>
  <c r="L350" i="23"/>
  <c r="L351" i="23"/>
  <c r="L352" i="23"/>
  <c r="L353" i="23"/>
  <c r="L354" i="23"/>
  <c r="L355" i="23"/>
  <c r="L356" i="23"/>
  <c r="L357" i="23"/>
  <c r="L358" i="23"/>
  <c r="L359" i="23"/>
  <c r="L360" i="23"/>
  <c r="L361" i="23"/>
  <c r="L362" i="23"/>
  <c r="L363" i="23"/>
  <c r="L364" i="23"/>
  <c r="L365" i="23"/>
  <c r="L366" i="23"/>
  <c r="L367" i="23"/>
  <c r="L368" i="23"/>
  <c r="L369" i="23"/>
  <c r="L370" i="23"/>
  <c r="L371" i="23"/>
  <c r="L372" i="23"/>
  <c r="L373" i="23"/>
  <c r="L374" i="23"/>
  <c r="L375" i="23"/>
  <c r="L376" i="23"/>
  <c r="L377" i="23"/>
  <c r="L378" i="23"/>
  <c r="L379" i="23"/>
  <c r="L380" i="23"/>
  <c r="L381" i="23"/>
  <c r="L382" i="23"/>
  <c r="L383" i="23"/>
  <c r="L384" i="23"/>
  <c r="L385" i="23"/>
  <c r="L386" i="23"/>
  <c r="L387" i="23"/>
  <c r="L388" i="23"/>
  <c r="L389" i="23"/>
  <c r="L390" i="23"/>
  <c r="L391" i="23"/>
  <c r="L392" i="23"/>
  <c r="L393" i="23"/>
  <c r="L394" i="23"/>
  <c r="L395" i="23"/>
  <c r="L396" i="23"/>
  <c r="L397" i="23"/>
  <c r="L398" i="23"/>
  <c r="L399" i="23"/>
  <c r="L400" i="23"/>
  <c r="L401" i="23"/>
  <c r="L402" i="23"/>
  <c r="L403" i="23"/>
  <c r="L404" i="23"/>
  <c r="L405" i="23"/>
  <c r="L406" i="23"/>
  <c r="L407" i="23"/>
  <c r="L408" i="23"/>
  <c r="L409" i="23"/>
  <c r="L410" i="23"/>
  <c r="L411" i="23"/>
  <c r="L412" i="23"/>
  <c r="L413" i="23"/>
  <c r="L414" i="23"/>
  <c r="L415" i="23"/>
  <c r="L416" i="23"/>
  <c r="L417" i="23"/>
  <c r="L418" i="23"/>
  <c r="L419" i="23"/>
  <c r="L420" i="23"/>
  <c r="L421" i="23"/>
  <c r="L422" i="23"/>
  <c r="L423" i="23"/>
  <c r="L424" i="23"/>
  <c r="L425" i="23"/>
  <c r="L426" i="23"/>
  <c r="L427" i="23"/>
  <c r="L428" i="23"/>
  <c r="L429" i="23"/>
  <c r="L430" i="23"/>
  <c r="L431" i="23"/>
  <c r="L432" i="23"/>
  <c r="L433" i="23"/>
  <c r="L434" i="23"/>
  <c r="L435" i="23"/>
  <c r="L436" i="23"/>
  <c r="L437" i="23"/>
  <c r="L438" i="23"/>
  <c r="L439" i="23"/>
  <c r="L440" i="23"/>
  <c r="L441" i="23"/>
  <c r="L442" i="23"/>
  <c r="L443" i="23"/>
  <c r="L444" i="23"/>
  <c r="L445" i="23"/>
  <c r="L446" i="23"/>
  <c r="L447" i="23"/>
  <c r="L448" i="23"/>
  <c r="L449" i="23"/>
  <c r="L450" i="23"/>
  <c r="L451" i="23"/>
  <c r="L452" i="23"/>
  <c r="L453" i="23"/>
  <c r="L454" i="23"/>
  <c r="L455" i="23"/>
  <c r="L456" i="23"/>
  <c r="L457" i="23"/>
  <c r="L458" i="23"/>
  <c r="L459" i="23"/>
  <c r="L460" i="23"/>
  <c r="L461" i="23"/>
  <c r="L462" i="23"/>
  <c r="L463" i="23"/>
  <c r="L464" i="23"/>
  <c r="L465" i="23"/>
  <c r="L466" i="23"/>
  <c r="L467" i="23"/>
  <c r="L468" i="23"/>
  <c r="L469" i="23"/>
  <c r="L470" i="23"/>
  <c r="L471" i="23"/>
  <c r="L472" i="23"/>
  <c r="L473" i="23"/>
  <c r="L474" i="23"/>
  <c r="L475" i="23"/>
  <c r="L476" i="23"/>
  <c r="L477" i="23"/>
  <c r="L478" i="23"/>
  <c r="L479" i="23"/>
  <c r="L480" i="23"/>
  <c r="L481" i="23"/>
  <c r="L482" i="23"/>
  <c r="L483" i="23"/>
  <c r="L484" i="23"/>
  <c r="L485" i="23"/>
  <c r="L486" i="23"/>
  <c r="L487" i="23"/>
  <c r="L488" i="23"/>
  <c r="L489" i="23"/>
  <c r="L490" i="23"/>
  <c r="L491" i="23"/>
  <c r="L492" i="23"/>
  <c r="L493" i="23"/>
  <c r="L494" i="23"/>
  <c r="L495" i="23"/>
  <c r="L496" i="23"/>
  <c r="L497" i="23"/>
  <c r="L498" i="23"/>
  <c r="L499" i="23"/>
  <c r="L500" i="23"/>
  <c r="L501" i="23"/>
  <c r="L502" i="23"/>
  <c r="L503" i="23"/>
  <c r="L504" i="23"/>
  <c r="L505" i="23"/>
  <c r="L506" i="23"/>
  <c r="L507" i="23"/>
  <c r="L508" i="23"/>
  <c r="L509" i="23"/>
  <c r="L510" i="23"/>
  <c r="L511" i="23"/>
  <c r="L512" i="23"/>
  <c r="L513" i="23"/>
  <c r="L514" i="23"/>
  <c r="L515" i="23"/>
  <c r="L516" i="23"/>
  <c r="L517" i="23"/>
  <c r="L518" i="23"/>
  <c r="L519" i="23"/>
  <c r="L520" i="23"/>
  <c r="L521" i="23"/>
  <c r="L522" i="23"/>
  <c r="L523" i="23"/>
  <c r="L524" i="23"/>
  <c r="L525" i="23"/>
  <c r="L526" i="23"/>
  <c r="L527" i="23"/>
  <c r="L528" i="23"/>
  <c r="L529" i="23"/>
  <c r="L530" i="23"/>
  <c r="L531" i="23"/>
  <c r="L532" i="23"/>
  <c r="L533" i="23"/>
  <c r="L534" i="23"/>
  <c r="L535" i="23"/>
  <c r="L536" i="23"/>
  <c r="L537" i="23"/>
  <c r="L538" i="23"/>
  <c r="L539" i="23"/>
  <c r="L540" i="23"/>
  <c r="L541" i="23"/>
  <c r="L542" i="23"/>
  <c r="L543" i="23"/>
  <c r="L544" i="23"/>
  <c r="L545" i="23"/>
  <c r="L546" i="23"/>
  <c r="L547" i="23"/>
  <c r="L548" i="23"/>
  <c r="L549" i="23"/>
  <c r="L550" i="23"/>
  <c r="L551" i="23"/>
  <c r="L552" i="23"/>
  <c r="L553" i="23"/>
  <c r="L554" i="23"/>
  <c r="L555" i="23"/>
  <c r="L556" i="23"/>
  <c r="L557" i="23"/>
  <c r="L558" i="23"/>
  <c r="L559" i="23"/>
  <c r="L560" i="23"/>
  <c r="L561" i="23"/>
  <c r="L562" i="23"/>
  <c r="L563" i="23"/>
  <c r="L564" i="23"/>
  <c r="L565" i="23"/>
  <c r="L566" i="23"/>
  <c r="L567" i="23"/>
  <c r="L568" i="23"/>
  <c r="L569" i="23"/>
  <c r="L570" i="23"/>
  <c r="L571" i="23"/>
  <c r="L572" i="23"/>
  <c r="L573" i="23"/>
  <c r="L574" i="23"/>
  <c r="L575" i="23"/>
  <c r="L576" i="23"/>
  <c r="L577" i="23"/>
  <c r="L578" i="23"/>
  <c r="L579" i="23"/>
  <c r="L580" i="23"/>
  <c r="L581" i="23"/>
  <c r="L582" i="23"/>
  <c r="L583" i="23"/>
  <c r="L584" i="23"/>
  <c r="L585" i="23"/>
  <c r="L586" i="23"/>
  <c r="L587" i="23"/>
  <c r="L588" i="23"/>
  <c r="L589" i="23"/>
  <c r="L590" i="23"/>
  <c r="L591" i="23"/>
  <c r="L592" i="23"/>
  <c r="L593" i="23"/>
  <c r="L594" i="23"/>
  <c r="L595" i="23"/>
  <c r="L596" i="23"/>
  <c r="L597" i="23"/>
  <c r="L598" i="23"/>
  <c r="L599" i="23"/>
  <c r="L600" i="23"/>
  <c r="L601" i="23"/>
  <c r="L602" i="23"/>
  <c r="L603" i="23"/>
  <c r="L604" i="23"/>
  <c r="L605" i="23"/>
  <c r="L606" i="23"/>
  <c r="L607" i="23"/>
  <c r="L608" i="23"/>
  <c r="L609" i="23"/>
  <c r="L610" i="23"/>
  <c r="L611" i="23"/>
  <c r="L612" i="23"/>
  <c r="L613" i="23"/>
  <c r="L614" i="23"/>
  <c r="L615" i="23"/>
  <c r="L616" i="23"/>
  <c r="L617" i="23"/>
  <c r="L618" i="23"/>
  <c r="L619" i="23"/>
  <c r="L620" i="23"/>
  <c r="L621" i="23"/>
  <c r="L622" i="23"/>
  <c r="L623" i="23"/>
  <c r="L624" i="23"/>
  <c r="L625" i="23"/>
  <c r="L626" i="23"/>
  <c r="L627" i="23"/>
  <c r="L628" i="23"/>
  <c r="L629" i="23"/>
  <c r="L630" i="23"/>
  <c r="L631" i="23"/>
  <c r="L632" i="23"/>
  <c r="L633" i="23"/>
  <c r="L634" i="23"/>
  <c r="L635" i="23"/>
  <c r="L636" i="23"/>
  <c r="L637" i="23"/>
  <c r="L638" i="23"/>
  <c r="L639" i="23"/>
  <c r="L640" i="23"/>
  <c r="L641" i="23"/>
  <c r="L642" i="23"/>
  <c r="L643" i="23"/>
  <c r="L644" i="23"/>
  <c r="L645" i="23"/>
  <c r="L646" i="23"/>
  <c r="L647" i="23"/>
  <c r="L648" i="23"/>
  <c r="L649" i="23"/>
  <c r="L650" i="23"/>
  <c r="L651" i="23"/>
  <c r="L652" i="23"/>
  <c r="L653" i="23"/>
  <c r="L654" i="23"/>
  <c r="L655" i="23"/>
  <c r="L656" i="23"/>
  <c r="L657" i="23"/>
  <c r="L658" i="23"/>
  <c r="L659" i="23"/>
  <c r="L660" i="23"/>
  <c r="L661" i="23"/>
  <c r="L662" i="23"/>
  <c r="L663" i="23"/>
  <c r="L664" i="23"/>
  <c r="L665" i="23"/>
  <c r="L666" i="23"/>
  <c r="L667" i="23"/>
  <c r="L668" i="23"/>
  <c r="L669" i="23"/>
  <c r="L670" i="23"/>
  <c r="L671" i="23"/>
  <c r="L672" i="23"/>
  <c r="L673" i="23"/>
  <c r="L674" i="23"/>
  <c r="L675" i="23"/>
  <c r="L676" i="23"/>
  <c r="L677" i="23"/>
  <c r="L678" i="23"/>
  <c r="L679" i="23"/>
  <c r="L680" i="23"/>
  <c r="L681" i="23"/>
  <c r="L682" i="23"/>
  <c r="L683" i="23"/>
  <c r="L684" i="23"/>
  <c r="L685" i="23"/>
  <c r="L686" i="23"/>
  <c r="L687" i="23"/>
  <c r="L688" i="23"/>
  <c r="L689" i="23"/>
  <c r="L690" i="23"/>
  <c r="L691" i="23"/>
  <c r="L692" i="23"/>
  <c r="L693" i="23"/>
  <c r="L694" i="23"/>
  <c r="L695" i="23"/>
  <c r="L696" i="23"/>
  <c r="L697" i="23"/>
  <c r="L698" i="23"/>
  <c r="L699" i="23"/>
  <c r="L700" i="23"/>
  <c r="L701" i="23"/>
  <c r="L702" i="23"/>
  <c r="L703" i="23"/>
  <c r="L704" i="23"/>
  <c r="L705" i="23"/>
  <c r="L706" i="23"/>
  <c r="L707" i="23"/>
  <c r="L708" i="23"/>
  <c r="L709" i="23"/>
  <c r="L710" i="23"/>
  <c r="L711" i="23"/>
  <c r="L712" i="23"/>
  <c r="L713" i="23"/>
  <c r="L714" i="23"/>
  <c r="L715" i="23"/>
  <c r="L716" i="23"/>
  <c r="L717" i="23"/>
  <c r="L718" i="23"/>
  <c r="L719" i="23"/>
  <c r="L720" i="23"/>
  <c r="L721" i="23"/>
  <c r="L722" i="23"/>
  <c r="L723" i="23"/>
  <c r="L724" i="23"/>
  <c r="L725" i="23"/>
  <c r="L726" i="23"/>
  <c r="L727" i="23"/>
  <c r="L728" i="23"/>
  <c r="L729" i="23"/>
  <c r="L730" i="23"/>
  <c r="L731" i="23"/>
  <c r="L732" i="23"/>
  <c r="L733" i="23"/>
  <c r="L734" i="23"/>
  <c r="L735" i="23"/>
  <c r="L736" i="23"/>
  <c r="L737" i="23"/>
  <c r="L738" i="23"/>
  <c r="L739" i="23"/>
  <c r="L740" i="23"/>
  <c r="L741" i="23"/>
  <c r="L742" i="23"/>
  <c r="L743" i="23"/>
  <c r="L744" i="23"/>
  <c r="L745" i="23"/>
  <c r="L746" i="23"/>
  <c r="L747" i="23"/>
  <c r="L748" i="23"/>
  <c r="L749" i="23"/>
  <c r="L750" i="23"/>
  <c r="L751" i="23"/>
  <c r="L752" i="23"/>
  <c r="L753" i="23"/>
  <c r="L754" i="23"/>
  <c r="L755" i="23"/>
  <c r="L756" i="23"/>
  <c r="L757" i="23"/>
  <c r="L758" i="23"/>
  <c r="L759" i="23"/>
  <c r="L760" i="23"/>
  <c r="L761" i="23"/>
  <c r="L762" i="23"/>
  <c r="L763" i="23"/>
  <c r="L764" i="23"/>
  <c r="L765" i="23"/>
  <c r="L766" i="23"/>
  <c r="L767" i="23"/>
  <c r="L768" i="23"/>
  <c r="L769" i="23"/>
  <c r="L770" i="23"/>
  <c r="L771" i="23"/>
  <c r="L772" i="23"/>
  <c r="L773" i="23"/>
  <c r="L774" i="23"/>
  <c r="L775" i="23"/>
  <c r="L776" i="23"/>
  <c r="L777" i="23"/>
  <c r="L778" i="23"/>
  <c r="L779" i="23"/>
  <c r="L780" i="23"/>
  <c r="L781" i="23"/>
  <c r="L782" i="23"/>
  <c r="L783" i="23"/>
  <c r="L784" i="23"/>
  <c r="L785" i="23"/>
  <c r="L786" i="23"/>
  <c r="L787" i="23"/>
  <c r="L788" i="23"/>
  <c r="L789" i="23"/>
  <c r="L790" i="23"/>
  <c r="L791" i="23"/>
  <c r="L792" i="23"/>
  <c r="L793" i="23"/>
  <c r="L794" i="23"/>
  <c r="L795" i="23"/>
  <c r="L796" i="23"/>
  <c r="L797" i="23"/>
  <c r="L798" i="23"/>
  <c r="L799" i="23"/>
  <c r="L800" i="23"/>
  <c r="L801" i="23"/>
  <c r="L802" i="23"/>
  <c r="L803" i="23"/>
  <c r="L804" i="23"/>
  <c r="L805" i="23"/>
  <c r="L806" i="23"/>
  <c r="L807" i="23"/>
  <c r="L808" i="23"/>
  <c r="L809" i="23"/>
  <c r="L810" i="23"/>
  <c r="L811" i="23"/>
  <c r="L812" i="23"/>
  <c r="L813" i="23"/>
  <c r="L814" i="23"/>
  <c r="L815" i="23"/>
  <c r="L816" i="23"/>
  <c r="L817" i="23"/>
  <c r="L818" i="23"/>
  <c r="L819" i="23"/>
  <c r="L820" i="23"/>
  <c r="L821" i="23"/>
  <c r="L822" i="23"/>
  <c r="L823" i="23"/>
  <c r="L824" i="23"/>
  <c r="L825" i="23"/>
  <c r="L826" i="23"/>
  <c r="L827" i="23"/>
  <c r="L828" i="23"/>
  <c r="L829" i="23"/>
  <c r="L830" i="23"/>
  <c r="L831" i="23"/>
  <c r="L832" i="23"/>
  <c r="L833" i="23"/>
  <c r="L834" i="23"/>
  <c r="L835" i="23"/>
  <c r="L836" i="23"/>
  <c r="L837" i="23"/>
  <c r="L838" i="23"/>
  <c r="L839" i="23"/>
  <c r="L840" i="23"/>
  <c r="L841" i="23"/>
  <c r="L842" i="23"/>
  <c r="L843" i="23"/>
  <c r="L844" i="23"/>
  <c r="L845" i="23"/>
  <c r="L846" i="23"/>
  <c r="L847" i="23"/>
  <c r="L848" i="23"/>
  <c r="L849" i="23"/>
  <c r="L850" i="23"/>
  <c r="L851" i="23"/>
  <c r="L852" i="23"/>
  <c r="L853" i="23"/>
  <c r="L854" i="23"/>
  <c r="L855" i="23"/>
  <c r="L856" i="23"/>
  <c r="L857" i="23"/>
  <c r="L858" i="23"/>
  <c r="I863" i="23"/>
  <c r="H863" i="23"/>
  <c r="I862" i="23"/>
  <c r="H862" i="23"/>
  <c r="I861" i="23"/>
  <c r="H861" i="23"/>
  <c r="I860" i="23"/>
  <c r="H860" i="23"/>
  <c r="I859" i="23"/>
  <c r="H859" i="23"/>
  <c r="B859" i="23"/>
  <c r="B860" i="23"/>
  <c r="B861" i="23"/>
  <c r="B862" i="23"/>
  <c r="B863" i="23"/>
  <c r="C863" i="23"/>
  <c r="C862" i="23"/>
  <c r="C861" i="23"/>
  <c r="C860" i="23"/>
  <c r="C859" i="23"/>
  <c r="J849" i="23"/>
  <c r="J850" i="23"/>
  <c r="J851" i="23"/>
  <c r="J852" i="23"/>
  <c r="J853" i="23"/>
  <c r="J854" i="23"/>
  <c r="J855" i="23"/>
  <c r="J856" i="23"/>
  <c r="J857" i="23"/>
  <c r="J858" i="23"/>
  <c r="J859" i="23"/>
  <c r="J860" i="23"/>
  <c r="J861" i="23"/>
  <c r="J862" i="23"/>
  <c r="J863" i="23"/>
  <c r="H849" i="23"/>
  <c r="I849" i="23"/>
  <c r="H850" i="23"/>
  <c r="I850" i="23"/>
  <c r="H851" i="23"/>
  <c r="I851" i="23"/>
  <c r="H852" i="23"/>
  <c r="I852" i="23"/>
  <c r="H853" i="23"/>
  <c r="I853" i="23"/>
  <c r="H854" i="23"/>
  <c r="I854" i="23"/>
  <c r="H855" i="23"/>
  <c r="I855" i="23"/>
  <c r="H856" i="23"/>
  <c r="I856" i="23"/>
  <c r="H857" i="23"/>
  <c r="I857" i="23"/>
  <c r="H858" i="23"/>
  <c r="I858" i="23"/>
  <c r="B849" i="23"/>
  <c r="B850" i="23"/>
  <c r="B851" i="23"/>
  <c r="B852" i="23"/>
  <c r="B853" i="23"/>
  <c r="B854" i="23"/>
  <c r="B855" i="23"/>
  <c r="B856" i="23"/>
  <c r="B857" i="23"/>
  <c r="B858" i="23"/>
  <c r="C849" i="23"/>
  <c r="C850" i="23"/>
  <c r="C851" i="23"/>
  <c r="C852" i="23"/>
  <c r="C853" i="23"/>
  <c r="C854" i="23"/>
  <c r="C855" i="23"/>
  <c r="C856" i="23"/>
  <c r="C857" i="23"/>
  <c r="C858" i="23"/>
  <c r="E849" i="23"/>
  <c r="E850" i="23"/>
  <c r="E851" i="23"/>
  <c r="E852" i="23"/>
  <c r="E853" i="23"/>
  <c r="E854" i="23"/>
  <c r="E855" i="23"/>
  <c r="E856" i="23"/>
  <c r="E857" i="23"/>
  <c r="E858" i="23"/>
  <c r="E859" i="23"/>
  <c r="E860" i="23"/>
  <c r="E861" i="23"/>
  <c r="E862" i="23"/>
  <c r="E863" i="23"/>
  <c r="R849" i="23"/>
  <c r="R850" i="23"/>
  <c r="R851" i="23"/>
  <c r="R852" i="23"/>
  <c r="R853" i="23"/>
  <c r="R854" i="23"/>
  <c r="R855" i="23"/>
  <c r="R856" i="23"/>
  <c r="R857" i="23"/>
  <c r="R858" i="23"/>
  <c r="R859" i="23"/>
  <c r="R860" i="23"/>
  <c r="R861" i="23"/>
  <c r="R862" i="23"/>
  <c r="R863" i="23"/>
  <c r="S849" i="23"/>
  <c r="S850" i="23"/>
  <c r="S851" i="23"/>
  <c r="S852" i="23"/>
  <c r="S853" i="23"/>
  <c r="S854" i="23"/>
  <c r="S855" i="23"/>
  <c r="S856" i="23"/>
  <c r="S857" i="23"/>
  <c r="S858" i="23"/>
  <c r="S859" i="23"/>
  <c r="S860" i="23"/>
  <c r="S861" i="23"/>
  <c r="S862" i="23"/>
  <c r="S863" i="23"/>
  <c r="T849" i="23"/>
  <c r="T850" i="23"/>
  <c r="T851" i="23"/>
  <c r="T852" i="23"/>
  <c r="T853" i="23"/>
  <c r="T854" i="23"/>
  <c r="T855" i="23"/>
  <c r="T856" i="23"/>
  <c r="T857" i="23"/>
  <c r="T858" i="23"/>
  <c r="T859" i="23"/>
  <c r="T860" i="23"/>
  <c r="T861" i="23"/>
  <c r="T862" i="23"/>
  <c r="T863" i="23"/>
  <c r="CG91" i="1"/>
  <c r="CF91" i="1"/>
  <c r="W1033" i="23" l="1"/>
  <c r="AA1033" i="23"/>
  <c r="W1032" i="23"/>
  <c r="AA1032" i="23"/>
  <c r="W1028" i="23"/>
  <c r="AA1028" i="23"/>
  <c r="W1029" i="23"/>
  <c r="AA1029" i="23"/>
  <c r="W1030" i="23"/>
  <c r="AA1030" i="23"/>
  <c r="W1023" i="23"/>
  <c r="AA1023" i="23"/>
  <c r="W1024" i="23"/>
  <c r="AA1024" i="23"/>
  <c r="W1025" i="23"/>
  <c r="AA1025" i="23"/>
  <c r="W1018" i="23"/>
  <c r="AA1018" i="23"/>
  <c r="W1019" i="23"/>
  <c r="AA1019" i="23"/>
  <c r="W1020" i="23"/>
  <c r="AA1020" i="23"/>
  <c r="T59" i="24"/>
  <c r="W1017" i="23"/>
  <c r="AA1017" i="23"/>
  <c r="W1012" i="23"/>
  <c r="AA1012" i="23"/>
  <c r="W1011" i="23"/>
  <c r="AA1011" i="23"/>
  <c r="W1013" i="23"/>
  <c r="AA1013" i="23"/>
  <c r="T56" i="24"/>
  <c r="T57" i="24"/>
  <c r="W1007" i="23"/>
  <c r="AA1007" i="23"/>
  <c r="W1006" i="23"/>
  <c r="AA1006" i="23"/>
  <c r="W1008" i="23"/>
  <c r="AA1008" i="23"/>
  <c r="W1009" i="23"/>
  <c r="AA1009" i="23"/>
  <c r="W1010" i="23"/>
  <c r="AA1010" i="23"/>
  <c r="AA1004" i="23"/>
  <c r="W1004" i="23"/>
  <c r="AA1003" i="23"/>
  <c r="W1003" i="23"/>
  <c r="AA1002" i="23"/>
  <c r="W1002" i="23"/>
  <c r="AA1001" i="23"/>
  <c r="W1001" i="23"/>
  <c r="AA1000" i="23"/>
  <c r="W1000" i="23"/>
  <c r="AA999" i="23"/>
  <c r="W999" i="23"/>
  <c r="AA998" i="23"/>
  <c r="W998" i="23"/>
  <c r="AA997" i="23"/>
  <c r="W997" i="23"/>
  <c r="AA996" i="23"/>
  <c r="W996" i="23"/>
  <c r="AA995" i="23"/>
  <c r="W995" i="23"/>
  <c r="T58" i="24"/>
  <c r="AA980" i="23"/>
  <c r="W980" i="23"/>
  <c r="AA981" i="23"/>
  <c r="W981" i="23"/>
  <c r="AA982" i="23"/>
  <c r="W982" i="23"/>
  <c r="AA984" i="23"/>
  <c r="W984" i="23"/>
  <c r="W1005" i="23"/>
  <c r="AA1005" i="23"/>
  <c r="W992" i="23"/>
  <c r="AA992" i="23"/>
  <c r="W991" i="23"/>
  <c r="AA991" i="23"/>
  <c r="W988" i="23"/>
  <c r="AA988" i="23"/>
  <c r="W990" i="23"/>
  <c r="AA990" i="23"/>
  <c r="AA963" i="23"/>
  <c r="W963" i="23"/>
  <c r="AA965" i="23"/>
  <c r="W965" i="23"/>
  <c r="W987" i="23"/>
  <c r="AA987" i="23"/>
  <c r="AA961" i="23"/>
  <c r="W961" i="23"/>
  <c r="AA962" i="23"/>
  <c r="W962" i="23"/>
  <c r="AA978" i="23"/>
  <c r="W978" i="23"/>
  <c r="W983" i="23"/>
  <c r="AA983" i="23"/>
  <c r="W974" i="23"/>
  <c r="AA974" i="23"/>
  <c r="W979" i="23"/>
  <c r="AA979" i="23"/>
  <c r="W975" i="23"/>
  <c r="AA975" i="23"/>
  <c r="W976" i="23"/>
  <c r="AA976" i="23"/>
  <c r="W977" i="23"/>
  <c r="AA977" i="23"/>
  <c r="W973" i="23"/>
  <c r="AA973" i="23"/>
  <c r="W972" i="23"/>
  <c r="AA972" i="23"/>
  <c r="W971" i="23"/>
  <c r="AA971" i="23"/>
  <c r="W964" i="23"/>
  <c r="AA964" i="23"/>
  <c r="AA928" i="23"/>
  <c r="W928" i="23"/>
  <c r="W953" i="23"/>
  <c r="W957" i="23"/>
  <c r="W929" i="23"/>
  <c r="W952" i="23"/>
  <c r="W934" i="23"/>
  <c r="W944" i="23"/>
  <c r="W946" i="23"/>
  <c r="W951" i="23"/>
  <c r="W958" i="23"/>
  <c r="W933" i="23"/>
  <c r="W921" i="23"/>
  <c r="W947" i="23"/>
  <c r="W956" i="23"/>
  <c r="W950" i="23"/>
  <c r="AA960" i="23"/>
  <c r="AA959" i="23"/>
  <c r="W932" i="23"/>
  <c r="W930" i="23"/>
  <c r="AA927" i="23"/>
  <c r="W927" i="23"/>
  <c r="AA945" i="23"/>
  <c r="W945" i="23"/>
  <c r="AA943" i="23"/>
  <c r="W943" i="23"/>
  <c r="AA938" i="23"/>
  <c r="W938" i="23"/>
  <c r="AA900" i="23"/>
  <c r="W900" i="23"/>
  <c r="AA902" i="23"/>
  <c r="W902" i="23"/>
  <c r="AA903" i="23"/>
  <c r="W903" i="23"/>
  <c r="AA904" i="23"/>
  <c r="W904" i="23"/>
  <c r="AA939" i="23"/>
  <c r="W939" i="23"/>
  <c r="W955" i="23"/>
  <c r="AA955" i="23"/>
  <c r="W954" i="23"/>
  <c r="AA954" i="23"/>
  <c r="AA937" i="23"/>
  <c r="W937" i="23"/>
  <c r="W949" i="23"/>
  <c r="AA949" i="23"/>
  <c r="W948" i="23"/>
  <c r="AA948" i="23"/>
  <c r="W942" i="23"/>
  <c r="AA942" i="23"/>
  <c r="T55" i="24"/>
  <c r="AA925" i="23"/>
  <c r="W925" i="23"/>
  <c r="AA893" i="23"/>
  <c r="W893" i="23"/>
  <c r="AA894" i="23"/>
  <c r="W894" i="23"/>
  <c r="AA896" i="23"/>
  <c r="W896" i="23"/>
  <c r="W941" i="23"/>
  <c r="AA941" i="23"/>
  <c r="W940" i="23"/>
  <c r="AA940" i="23"/>
  <c r="AA913" i="23"/>
  <c r="W913" i="23"/>
  <c r="AA912" i="23"/>
  <c r="W912" i="23"/>
  <c r="AA911" i="23"/>
  <c r="W911" i="23"/>
  <c r="T54" i="24"/>
  <c r="AA866" i="23"/>
  <c r="W866" i="23"/>
  <c r="W936" i="23"/>
  <c r="AA936" i="23"/>
  <c r="W935" i="23"/>
  <c r="AA935" i="23"/>
  <c r="AA924" i="23"/>
  <c r="W924" i="23"/>
  <c r="AA923" i="23"/>
  <c r="W923" i="23"/>
  <c r="AA920" i="23"/>
  <c r="W920" i="23"/>
  <c r="AA919" i="23"/>
  <c r="W919" i="23"/>
  <c r="W931" i="23"/>
  <c r="AA931" i="23"/>
  <c r="T53" i="24"/>
  <c r="T52" i="24"/>
  <c r="AA907" i="23"/>
  <c r="W907" i="23"/>
  <c r="AA906" i="23"/>
  <c r="W906" i="23"/>
  <c r="AA905" i="23"/>
  <c r="W905" i="23"/>
  <c r="AA908" i="23"/>
  <c r="W908" i="23"/>
  <c r="AA867" i="23"/>
  <c r="W867" i="23"/>
  <c r="W922" i="23"/>
  <c r="AA922" i="23"/>
  <c r="W926" i="23"/>
  <c r="AA926" i="23"/>
  <c r="W917" i="23"/>
  <c r="AA917" i="23"/>
  <c r="W916" i="23"/>
  <c r="AA916" i="23"/>
  <c r="W915" i="23"/>
  <c r="AA915" i="23"/>
  <c r="W918" i="23"/>
  <c r="AA918" i="23"/>
  <c r="AA898" i="23"/>
  <c r="W898" i="23"/>
  <c r="W914" i="23"/>
  <c r="AA914" i="23"/>
  <c r="W910" i="23"/>
  <c r="AA910" i="23"/>
  <c r="W909" i="23"/>
  <c r="AA909" i="23"/>
  <c r="AA892" i="23"/>
  <c r="W892" i="23"/>
  <c r="W901" i="23"/>
  <c r="AA901" i="23"/>
  <c r="AA881" i="23"/>
  <c r="W881" i="23"/>
  <c r="AA889" i="23"/>
  <c r="W889" i="23"/>
  <c r="AA885" i="23"/>
  <c r="W885" i="23"/>
  <c r="AA886" i="23"/>
  <c r="W886" i="23"/>
  <c r="AA888" i="23"/>
  <c r="W888" i="23"/>
  <c r="AA899" i="23"/>
  <c r="W899" i="23"/>
  <c r="W895" i="23"/>
  <c r="AA895" i="23"/>
  <c r="W897" i="23"/>
  <c r="W891" i="23"/>
  <c r="W890" i="23"/>
  <c r="AA890" i="23"/>
  <c r="W887" i="23"/>
  <c r="AA887" i="23"/>
  <c r="W884" i="23"/>
  <c r="AA884" i="23"/>
  <c r="AA849" i="23"/>
  <c r="W849" i="23"/>
  <c r="AA850" i="23"/>
  <c r="W850" i="23"/>
  <c r="AA851" i="23"/>
  <c r="W851" i="23"/>
  <c r="AA852" i="23"/>
  <c r="W852" i="23"/>
  <c r="AA853" i="23"/>
  <c r="W853" i="23"/>
  <c r="AA854" i="23"/>
  <c r="W854" i="23"/>
  <c r="AA855" i="23"/>
  <c r="W855" i="23"/>
  <c r="AA856" i="23"/>
  <c r="W856" i="23"/>
  <c r="AA857" i="23"/>
  <c r="W857" i="23"/>
  <c r="AA858" i="23"/>
  <c r="W858" i="23"/>
  <c r="AA859" i="23"/>
  <c r="W859" i="23"/>
  <c r="AA860" i="23"/>
  <c r="W860" i="23"/>
  <c r="AA861" i="23"/>
  <c r="W861" i="23"/>
  <c r="AA862" i="23"/>
  <c r="W862" i="23"/>
  <c r="AA863" i="23"/>
  <c r="W863" i="23"/>
  <c r="W883" i="23"/>
  <c r="AA883" i="23"/>
  <c r="W879" i="23"/>
  <c r="AA879" i="23"/>
  <c r="W880" i="23"/>
  <c r="AA880" i="23"/>
  <c r="AA882" i="23"/>
  <c r="W882" i="23"/>
  <c r="W878" i="23"/>
  <c r="AA878" i="23"/>
  <c r="AA865" i="23"/>
  <c r="W865" i="23"/>
  <c r="AA877" i="23"/>
  <c r="W877" i="23"/>
  <c r="W875" i="23"/>
  <c r="AA875" i="23"/>
  <c r="W876" i="23"/>
  <c r="AA876" i="23"/>
  <c r="AA870" i="23"/>
  <c r="W870" i="23"/>
  <c r="AA871" i="23"/>
  <c r="W871" i="23"/>
  <c r="AA872" i="23"/>
  <c r="W872" i="23"/>
  <c r="AA873" i="23"/>
  <c r="W873" i="23"/>
  <c r="W874" i="23"/>
  <c r="AA874" i="23"/>
  <c r="W868" i="23"/>
  <c r="AA868" i="23"/>
  <c r="W869" i="23"/>
  <c r="AA869" i="23"/>
  <c r="T50" i="24"/>
  <c r="T51" i="24"/>
  <c r="AA864" i="23"/>
  <c r="W864" i="23"/>
  <c r="R828" i="23"/>
  <c r="S828" i="23"/>
  <c r="T828" i="23"/>
  <c r="AA828" i="23" s="1"/>
  <c r="R829" i="23"/>
  <c r="S829" i="23"/>
  <c r="T829" i="23"/>
  <c r="AA829" i="23" s="1"/>
  <c r="R830" i="23"/>
  <c r="S830" i="23"/>
  <c r="T830" i="23"/>
  <c r="AA830" i="23" s="1"/>
  <c r="R831" i="23"/>
  <c r="S831" i="23"/>
  <c r="T831" i="23"/>
  <c r="W831" i="23" s="1"/>
  <c r="R832" i="23"/>
  <c r="S832" i="23"/>
  <c r="T832" i="23"/>
  <c r="W832" i="23" s="1"/>
  <c r="R833" i="23"/>
  <c r="S833" i="23"/>
  <c r="T833" i="23"/>
  <c r="W833" i="23" s="1"/>
  <c r="R834" i="23"/>
  <c r="S834" i="23"/>
  <c r="T834" i="23"/>
  <c r="W834" i="23" s="1"/>
  <c r="R835" i="23"/>
  <c r="S835" i="23"/>
  <c r="T835" i="23"/>
  <c r="W835" i="23" s="1"/>
  <c r="R836" i="23"/>
  <c r="S836" i="23"/>
  <c r="T836" i="23"/>
  <c r="AA836" i="23" s="1"/>
  <c r="R837" i="23"/>
  <c r="S837" i="23"/>
  <c r="T837" i="23"/>
  <c r="AA837" i="23" s="1"/>
  <c r="R838" i="23"/>
  <c r="S838" i="23"/>
  <c r="T838" i="23"/>
  <c r="W838" i="23" s="1"/>
  <c r="R839" i="23"/>
  <c r="S839" i="23"/>
  <c r="T839" i="23"/>
  <c r="W839" i="23" s="1"/>
  <c r="R840" i="23"/>
  <c r="S840" i="23"/>
  <c r="T840" i="23"/>
  <c r="AA840" i="23" s="1"/>
  <c r="R841" i="23"/>
  <c r="S841" i="23"/>
  <c r="T841" i="23"/>
  <c r="AA841" i="23" s="1"/>
  <c r="R842" i="23"/>
  <c r="S842" i="23"/>
  <c r="T842" i="23"/>
  <c r="AA842" i="23" s="1"/>
  <c r="R843" i="23"/>
  <c r="S843" i="23"/>
  <c r="T843" i="23"/>
  <c r="W843" i="23" s="1"/>
  <c r="R844" i="23"/>
  <c r="S844" i="23"/>
  <c r="T844" i="23"/>
  <c r="W844" i="23" s="1"/>
  <c r="R845" i="23"/>
  <c r="S845" i="23"/>
  <c r="T845" i="23"/>
  <c r="W845" i="23" s="1"/>
  <c r="R846" i="23"/>
  <c r="S846" i="23"/>
  <c r="T846" i="23"/>
  <c r="W846" i="23" s="1"/>
  <c r="R847" i="23"/>
  <c r="S847" i="23"/>
  <c r="T847" i="23"/>
  <c r="W847" i="23" s="1"/>
  <c r="R848" i="23"/>
  <c r="S848" i="23"/>
  <c r="T848" i="23"/>
  <c r="AA848" i="23" s="1"/>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J655" i="23"/>
  <c r="J656" i="23"/>
  <c r="J657" i="23"/>
  <c r="J658" i="23"/>
  <c r="J659" i="23"/>
  <c r="J660" i="23"/>
  <c r="J661" i="23"/>
  <c r="J662" i="23"/>
  <c r="J663" i="23"/>
  <c r="J664" i="23"/>
  <c r="J665" i="23"/>
  <c r="J666" i="23"/>
  <c r="J667" i="23"/>
  <c r="J668" i="23"/>
  <c r="J669" i="23"/>
  <c r="J670" i="23"/>
  <c r="J671" i="23"/>
  <c r="J672" i="23"/>
  <c r="J673" i="23"/>
  <c r="J674" i="23"/>
  <c r="J675" i="23"/>
  <c r="J676" i="23"/>
  <c r="J677" i="23"/>
  <c r="J678" i="23"/>
  <c r="J679" i="23"/>
  <c r="J680" i="23"/>
  <c r="J681" i="23"/>
  <c r="J682" i="23"/>
  <c r="J683" i="23"/>
  <c r="J684" i="23"/>
  <c r="J685" i="23"/>
  <c r="J686" i="23"/>
  <c r="J687" i="23"/>
  <c r="J688" i="23"/>
  <c r="J689" i="23"/>
  <c r="J690" i="23"/>
  <c r="J691" i="23"/>
  <c r="J692" i="23"/>
  <c r="J693" i="23"/>
  <c r="J694" i="23"/>
  <c r="J695" i="23"/>
  <c r="J696" i="23"/>
  <c r="J697" i="23"/>
  <c r="J698" i="23"/>
  <c r="J699" i="23"/>
  <c r="J700" i="23"/>
  <c r="J701" i="23"/>
  <c r="J702" i="23"/>
  <c r="J703" i="23"/>
  <c r="J704" i="23"/>
  <c r="J705" i="23"/>
  <c r="J706" i="23"/>
  <c r="J707" i="23"/>
  <c r="J708" i="23"/>
  <c r="J709" i="23"/>
  <c r="J710" i="23"/>
  <c r="J711" i="23"/>
  <c r="J712" i="23"/>
  <c r="J713" i="23"/>
  <c r="J714" i="23"/>
  <c r="J715" i="23"/>
  <c r="J716" i="23"/>
  <c r="J717" i="23"/>
  <c r="J718" i="23"/>
  <c r="J719" i="23"/>
  <c r="J720" i="23"/>
  <c r="J721" i="23"/>
  <c r="J722" i="23"/>
  <c r="J723" i="23"/>
  <c r="J724" i="23"/>
  <c r="J725" i="23"/>
  <c r="J726" i="23"/>
  <c r="J727" i="23"/>
  <c r="J728" i="23"/>
  <c r="J729" i="23"/>
  <c r="J730" i="23"/>
  <c r="J731" i="23"/>
  <c r="J732" i="23"/>
  <c r="J733" i="23"/>
  <c r="J734" i="23"/>
  <c r="J735" i="23"/>
  <c r="J736" i="23"/>
  <c r="J737" i="23"/>
  <c r="J738" i="23"/>
  <c r="J739" i="23"/>
  <c r="J740" i="23"/>
  <c r="J741" i="23"/>
  <c r="J742" i="23"/>
  <c r="J743" i="23"/>
  <c r="J744" i="23"/>
  <c r="J745" i="23"/>
  <c r="J746" i="23"/>
  <c r="J747" i="23"/>
  <c r="J748" i="23"/>
  <c r="J749" i="23"/>
  <c r="J750" i="23"/>
  <c r="J751" i="23"/>
  <c r="J752" i="23"/>
  <c r="J753" i="23"/>
  <c r="J754" i="23"/>
  <c r="J755" i="23"/>
  <c r="J756" i="23"/>
  <c r="J757" i="23"/>
  <c r="J758" i="23"/>
  <c r="J759" i="23"/>
  <c r="J760" i="23"/>
  <c r="J761" i="23"/>
  <c r="J762" i="23"/>
  <c r="J763" i="23"/>
  <c r="J764" i="23"/>
  <c r="J765" i="23"/>
  <c r="J766" i="23"/>
  <c r="J767" i="23"/>
  <c r="J768" i="23"/>
  <c r="J769" i="23"/>
  <c r="J770" i="23"/>
  <c r="J771" i="23"/>
  <c r="J772" i="23"/>
  <c r="J773" i="23"/>
  <c r="J774" i="23"/>
  <c r="J775" i="23"/>
  <c r="J776" i="23"/>
  <c r="J777" i="23"/>
  <c r="J778" i="23"/>
  <c r="J779" i="23"/>
  <c r="J780" i="23"/>
  <c r="J781" i="23"/>
  <c r="J782" i="23"/>
  <c r="J783" i="23"/>
  <c r="J784" i="23"/>
  <c r="J785" i="23"/>
  <c r="J786" i="23"/>
  <c r="J787" i="23"/>
  <c r="J788" i="23"/>
  <c r="J789" i="23"/>
  <c r="J790" i="23"/>
  <c r="J791" i="23"/>
  <c r="J792" i="23"/>
  <c r="J793" i="23"/>
  <c r="J794" i="23"/>
  <c r="J795" i="23"/>
  <c r="J796" i="23"/>
  <c r="J797" i="23"/>
  <c r="J798" i="23"/>
  <c r="J799" i="23"/>
  <c r="J800" i="23"/>
  <c r="J801" i="23"/>
  <c r="J802" i="23"/>
  <c r="J803" i="23"/>
  <c r="J804" i="23"/>
  <c r="J805" i="23"/>
  <c r="J806" i="23"/>
  <c r="J807" i="23"/>
  <c r="J808" i="23"/>
  <c r="J809" i="23"/>
  <c r="J810" i="23"/>
  <c r="J811" i="23"/>
  <c r="J812" i="23"/>
  <c r="J813" i="23"/>
  <c r="J814" i="23"/>
  <c r="J815" i="23"/>
  <c r="J816" i="23"/>
  <c r="J817" i="23"/>
  <c r="J818" i="23"/>
  <c r="J819" i="23"/>
  <c r="J820" i="23"/>
  <c r="J821" i="23"/>
  <c r="J822" i="23"/>
  <c r="J823" i="23"/>
  <c r="J824" i="23"/>
  <c r="J825" i="23"/>
  <c r="J826" i="23"/>
  <c r="J827" i="23"/>
  <c r="J828" i="23"/>
  <c r="J829" i="23"/>
  <c r="J830" i="23"/>
  <c r="J831" i="23"/>
  <c r="J832" i="23"/>
  <c r="J833" i="23"/>
  <c r="J834" i="23"/>
  <c r="J835" i="23"/>
  <c r="J836" i="23"/>
  <c r="J837" i="23"/>
  <c r="J838" i="23"/>
  <c r="J839" i="23"/>
  <c r="J840" i="23"/>
  <c r="J841" i="23"/>
  <c r="J842" i="23"/>
  <c r="J843" i="23"/>
  <c r="J844" i="23"/>
  <c r="J845" i="23"/>
  <c r="J846" i="23"/>
  <c r="J847" i="23"/>
  <c r="J848" i="23"/>
  <c r="I828" i="23"/>
  <c r="I829" i="23"/>
  <c r="I830" i="23"/>
  <c r="I831" i="23"/>
  <c r="I832" i="23"/>
  <c r="I833" i="23"/>
  <c r="I834" i="23"/>
  <c r="I835" i="23"/>
  <c r="I836" i="23"/>
  <c r="I837" i="23"/>
  <c r="I838" i="23"/>
  <c r="I839" i="23"/>
  <c r="I840" i="23"/>
  <c r="I841" i="23"/>
  <c r="I842" i="23"/>
  <c r="I843" i="23"/>
  <c r="I844" i="23"/>
  <c r="I845" i="23"/>
  <c r="I846" i="23"/>
  <c r="I847" i="23"/>
  <c r="I848" i="23"/>
  <c r="I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3" i="23"/>
  <c r="I134" i="23"/>
  <c r="I135" i="23"/>
  <c r="I136" i="23"/>
  <c r="I137" i="23"/>
  <c r="I138" i="23"/>
  <c r="I139" i="23"/>
  <c r="I140" i="23"/>
  <c r="I141" i="23"/>
  <c r="I142" i="23"/>
  <c r="I143" i="23"/>
  <c r="I144" i="23"/>
  <c r="I145" i="23"/>
  <c r="I146" i="23"/>
  <c r="I147" i="23"/>
  <c r="I148" i="23"/>
  <c r="I149" i="23"/>
  <c r="I150" i="23"/>
  <c r="I151" i="23"/>
  <c r="I152" i="23"/>
  <c r="I153" i="23"/>
  <c r="I154" i="23"/>
  <c r="I155" i="23"/>
  <c r="I156" i="23"/>
  <c r="I157" i="23"/>
  <c r="I158" i="23"/>
  <c r="I159" i="23"/>
  <c r="I160" i="23"/>
  <c r="I161" i="23"/>
  <c r="I162" i="23"/>
  <c r="I163" i="23"/>
  <c r="I164" i="23"/>
  <c r="I165" i="23"/>
  <c r="I166" i="23"/>
  <c r="I167" i="23"/>
  <c r="I168" i="23"/>
  <c r="I169" i="23"/>
  <c r="I170" i="23"/>
  <c r="I171" i="23"/>
  <c r="I172" i="23"/>
  <c r="I173" i="23"/>
  <c r="I174" i="23"/>
  <c r="I175" i="23"/>
  <c r="I176" i="23"/>
  <c r="I177" i="23"/>
  <c r="I178" i="23"/>
  <c r="I179" i="23"/>
  <c r="I180" i="23"/>
  <c r="I181" i="23"/>
  <c r="I182" i="23"/>
  <c r="I183" i="23"/>
  <c r="I184" i="23"/>
  <c r="I185" i="23"/>
  <c r="I186" i="23"/>
  <c r="I187" i="23"/>
  <c r="I188" i="23"/>
  <c r="I189" i="23"/>
  <c r="I190" i="23"/>
  <c r="I191" i="23"/>
  <c r="I192" i="23"/>
  <c r="I193" i="23"/>
  <c r="I194" i="23"/>
  <c r="I195" i="23"/>
  <c r="I196" i="23"/>
  <c r="I197" i="23"/>
  <c r="I198" i="23"/>
  <c r="I199" i="23"/>
  <c r="I200" i="23"/>
  <c r="I201" i="23"/>
  <c r="I202" i="23"/>
  <c r="I203" i="23"/>
  <c r="I204" i="23"/>
  <c r="I205" i="23"/>
  <c r="I206" i="23"/>
  <c r="I207" i="23"/>
  <c r="I208" i="23"/>
  <c r="I209" i="23"/>
  <c r="I210" i="23"/>
  <c r="I211" i="23"/>
  <c r="I212" i="23"/>
  <c r="I213" i="23"/>
  <c r="I214" i="23"/>
  <c r="I215" i="23"/>
  <c r="I216" i="23"/>
  <c r="I217" i="23"/>
  <c r="I218" i="23"/>
  <c r="I219" i="23"/>
  <c r="I220" i="23"/>
  <c r="I221" i="23"/>
  <c r="I222" i="23"/>
  <c r="I223" i="23"/>
  <c r="I224" i="23"/>
  <c r="I225" i="23"/>
  <c r="I226" i="23"/>
  <c r="I227" i="23"/>
  <c r="I228" i="23"/>
  <c r="I229" i="23"/>
  <c r="I230" i="23"/>
  <c r="I231" i="23"/>
  <c r="I232" i="23"/>
  <c r="I233" i="23"/>
  <c r="I234" i="23"/>
  <c r="I235" i="23"/>
  <c r="I236" i="23"/>
  <c r="I237" i="23"/>
  <c r="I238" i="23"/>
  <c r="I239" i="23"/>
  <c r="I240" i="23"/>
  <c r="I241" i="23"/>
  <c r="I242" i="23"/>
  <c r="I243" i="23"/>
  <c r="I244" i="23"/>
  <c r="I245" i="23"/>
  <c r="I246" i="23"/>
  <c r="I247" i="23"/>
  <c r="I248" i="23"/>
  <c r="I249" i="23"/>
  <c r="I250" i="23"/>
  <c r="I251" i="23"/>
  <c r="I252" i="23"/>
  <c r="I253" i="23"/>
  <c r="I254" i="23"/>
  <c r="I255" i="23"/>
  <c r="I256" i="23"/>
  <c r="I257" i="23"/>
  <c r="I258" i="23"/>
  <c r="I259" i="23"/>
  <c r="I260" i="23"/>
  <c r="I261" i="23"/>
  <c r="I262" i="23"/>
  <c r="I263" i="23"/>
  <c r="I264" i="23"/>
  <c r="I265" i="23"/>
  <c r="I266" i="23"/>
  <c r="I267" i="23"/>
  <c r="I268" i="23"/>
  <c r="I269" i="23"/>
  <c r="I270" i="23"/>
  <c r="I271" i="23"/>
  <c r="I272" i="23"/>
  <c r="I273" i="23"/>
  <c r="I274" i="23"/>
  <c r="I275" i="23"/>
  <c r="I276" i="23"/>
  <c r="I277" i="23"/>
  <c r="I278" i="23"/>
  <c r="I279" i="23"/>
  <c r="I280" i="23"/>
  <c r="I281" i="23"/>
  <c r="I282" i="23"/>
  <c r="I283" i="23"/>
  <c r="I284" i="23"/>
  <c r="I285" i="23"/>
  <c r="I286" i="23"/>
  <c r="I287" i="23"/>
  <c r="I288" i="23"/>
  <c r="I289" i="23"/>
  <c r="I290" i="23"/>
  <c r="I291" i="23"/>
  <c r="I292" i="23"/>
  <c r="I293" i="23"/>
  <c r="I294" i="23"/>
  <c r="I295" i="23"/>
  <c r="I296" i="23"/>
  <c r="I297" i="23"/>
  <c r="I298" i="23"/>
  <c r="I299" i="23"/>
  <c r="I300" i="23"/>
  <c r="I301" i="23"/>
  <c r="I302" i="23"/>
  <c r="I303" i="23"/>
  <c r="I304" i="23"/>
  <c r="I305" i="23"/>
  <c r="I306" i="23"/>
  <c r="I307" i="23"/>
  <c r="I308" i="23"/>
  <c r="I309" i="23"/>
  <c r="I310" i="23"/>
  <c r="I311" i="23"/>
  <c r="I312" i="23"/>
  <c r="I313" i="23"/>
  <c r="I314" i="23"/>
  <c r="I315" i="23"/>
  <c r="I316" i="23"/>
  <c r="I317" i="23"/>
  <c r="I318" i="23"/>
  <c r="I319" i="23"/>
  <c r="I320" i="23"/>
  <c r="I321" i="23"/>
  <c r="I322" i="23"/>
  <c r="I323" i="23"/>
  <c r="I324" i="23"/>
  <c r="I325" i="23"/>
  <c r="I326" i="23"/>
  <c r="I327" i="23"/>
  <c r="I328" i="23"/>
  <c r="I329" i="23"/>
  <c r="I330" i="23"/>
  <c r="I331" i="23"/>
  <c r="I332" i="23"/>
  <c r="I333" i="23"/>
  <c r="I334" i="23"/>
  <c r="I335" i="23"/>
  <c r="I336" i="23"/>
  <c r="I337" i="23"/>
  <c r="I338" i="23"/>
  <c r="I339" i="23"/>
  <c r="I340" i="23"/>
  <c r="I341" i="23"/>
  <c r="I342" i="23"/>
  <c r="I343" i="23"/>
  <c r="I344" i="23"/>
  <c r="I345" i="23"/>
  <c r="I346" i="23"/>
  <c r="I347" i="23"/>
  <c r="I348" i="23"/>
  <c r="I349" i="23"/>
  <c r="I350" i="23"/>
  <c r="I351" i="23"/>
  <c r="I352" i="23"/>
  <c r="I353" i="23"/>
  <c r="I354" i="23"/>
  <c r="I355" i="23"/>
  <c r="I356" i="23"/>
  <c r="I357" i="23"/>
  <c r="I358" i="23"/>
  <c r="I359" i="23"/>
  <c r="I360" i="23"/>
  <c r="I361" i="23"/>
  <c r="I362" i="23"/>
  <c r="I363" i="23"/>
  <c r="I364" i="23"/>
  <c r="I365" i="23"/>
  <c r="I366" i="23"/>
  <c r="I367" i="23"/>
  <c r="I368" i="23"/>
  <c r="I369" i="23"/>
  <c r="I370" i="23"/>
  <c r="I371" i="23"/>
  <c r="I372" i="23"/>
  <c r="I373" i="23"/>
  <c r="I374" i="23"/>
  <c r="I375" i="23"/>
  <c r="I376" i="23"/>
  <c r="I377" i="23"/>
  <c r="I378" i="23"/>
  <c r="I379" i="23"/>
  <c r="I380" i="23"/>
  <c r="I381" i="23"/>
  <c r="I382" i="23"/>
  <c r="I383" i="23"/>
  <c r="I384" i="23"/>
  <c r="I385" i="23"/>
  <c r="I386" i="23"/>
  <c r="I387" i="23"/>
  <c r="I388" i="23"/>
  <c r="I389" i="23"/>
  <c r="I390" i="23"/>
  <c r="I391" i="23"/>
  <c r="I392" i="23"/>
  <c r="I393" i="23"/>
  <c r="I394" i="23"/>
  <c r="I395" i="23"/>
  <c r="I396" i="23"/>
  <c r="I397" i="23"/>
  <c r="I398" i="23"/>
  <c r="I399" i="23"/>
  <c r="I400" i="23"/>
  <c r="I401" i="23"/>
  <c r="I402" i="23"/>
  <c r="I403" i="23"/>
  <c r="I404" i="23"/>
  <c r="I405" i="23"/>
  <c r="I406" i="23"/>
  <c r="I407" i="23"/>
  <c r="I408" i="23"/>
  <c r="I409" i="23"/>
  <c r="I410" i="23"/>
  <c r="I411" i="23"/>
  <c r="I412" i="23"/>
  <c r="I413" i="23"/>
  <c r="I414" i="23"/>
  <c r="I415" i="23"/>
  <c r="I416" i="23"/>
  <c r="I417" i="23"/>
  <c r="I418" i="23"/>
  <c r="I419" i="23"/>
  <c r="I420" i="23"/>
  <c r="I421" i="23"/>
  <c r="I422" i="23"/>
  <c r="I423" i="23"/>
  <c r="I424" i="23"/>
  <c r="I425" i="23"/>
  <c r="I426" i="23"/>
  <c r="I427" i="23"/>
  <c r="I428" i="23"/>
  <c r="I429" i="23"/>
  <c r="I430" i="23"/>
  <c r="I431" i="23"/>
  <c r="I432" i="23"/>
  <c r="I433" i="23"/>
  <c r="I434" i="23"/>
  <c r="I435" i="23"/>
  <c r="I436" i="23"/>
  <c r="I437" i="23"/>
  <c r="I438" i="23"/>
  <c r="I439" i="23"/>
  <c r="I440" i="23"/>
  <c r="I441" i="23"/>
  <c r="I442" i="23"/>
  <c r="I443" i="23"/>
  <c r="I444" i="23"/>
  <c r="I445" i="23"/>
  <c r="I446" i="23"/>
  <c r="I447" i="23"/>
  <c r="I448" i="23"/>
  <c r="I449" i="23"/>
  <c r="I450" i="23"/>
  <c r="I451" i="23"/>
  <c r="I452" i="23"/>
  <c r="I453" i="23"/>
  <c r="I454" i="23"/>
  <c r="I455" i="23"/>
  <c r="I456" i="23"/>
  <c r="I457" i="23"/>
  <c r="I458" i="23"/>
  <c r="I459" i="23"/>
  <c r="I460" i="23"/>
  <c r="I461" i="23"/>
  <c r="I462" i="23"/>
  <c r="I463" i="23"/>
  <c r="I464" i="23"/>
  <c r="I465" i="23"/>
  <c r="I466" i="23"/>
  <c r="I467" i="23"/>
  <c r="I468" i="23"/>
  <c r="I469" i="23"/>
  <c r="I470" i="23"/>
  <c r="I471" i="23"/>
  <c r="I472" i="23"/>
  <c r="I473" i="23"/>
  <c r="I474" i="23"/>
  <c r="I475" i="23"/>
  <c r="I476" i="23"/>
  <c r="I477" i="23"/>
  <c r="I478" i="23"/>
  <c r="I479" i="23"/>
  <c r="I480" i="23"/>
  <c r="I481" i="23"/>
  <c r="I482" i="23"/>
  <c r="I483" i="23"/>
  <c r="I484" i="23"/>
  <c r="I485" i="23"/>
  <c r="I486" i="23"/>
  <c r="I487" i="23"/>
  <c r="I488" i="23"/>
  <c r="I489" i="23"/>
  <c r="I490" i="23"/>
  <c r="I491" i="23"/>
  <c r="I492" i="23"/>
  <c r="I493" i="23"/>
  <c r="I494" i="23"/>
  <c r="I495" i="23"/>
  <c r="I496" i="23"/>
  <c r="I497" i="23"/>
  <c r="I498" i="23"/>
  <c r="I499" i="23"/>
  <c r="I500" i="23"/>
  <c r="I501" i="23"/>
  <c r="I502" i="23"/>
  <c r="I503" i="23"/>
  <c r="I504" i="23"/>
  <c r="I505" i="23"/>
  <c r="I506" i="23"/>
  <c r="I507" i="23"/>
  <c r="I508" i="23"/>
  <c r="I509" i="23"/>
  <c r="I510" i="23"/>
  <c r="I511" i="23"/>
  <c r="I512" i="23"/>
  <c r="I513" i="23"/>
  <c r="I514" i="23"/>
  <c r="I515" i="23"/>
  <c r="I516" i="23"/>
  <c r="I517" i="23"/>
  <c r="I518" i="23"/>
  <c r="I519" i="23"/>
  <c r="I520" i="23"/>
  <c r="I521" i="23"/>
  <c r="I522" i="23"/>
  <c r="I523" i="23"/>
  <c r="I524" i="23"/>
  <c r="I525" i="23"/>
  <c r="I526" i="23"/>
  <c r="I527" i="23"/>
  <c r="I528" i="23"/>
  <c r="I529" i="23"/>
  <c r="I530" i="23"/>
  <c r="I531" i="23"/>
  <c r="I532" i="23"/>
  <c r="I533" i="23"/>
  <c r="I534" i="23"/>
  <c r="I535" i="23"/>
  <c r="I536" i="23"/>
  <c r="I537" i="23"/>
  <c r="I538" i="23"/>
  <c r="I539" i="23"/>
  <c r="I540" i="23"/>
  <c r="I541" i="23"/>
  <c r="I542" i="23"/>
  <c r="I543" i="23"/>
  <c r="I544" i="23"/>
  <c r="I545" i="23"/>
  <c r="I546" i="23"/>
  <c r="I547" i="23"/>
  <c r="I548" i="23"/>
  <c r="I549" i="23"/>
  <c r="I550" i="23"/>
  <c r="I551" i="23"/>
  <c r="I552" i="23"/>
  <c r="I553" i="23"/>
  <c r="I554" i="23"/>
  <c r="I555" i="23"/>
  <c r="I556" i="23"/>
  <c r="I557" i="23"/>
  <c r="I558" i="23"/>
  <c r="I559" i="23"/>
  <c r="I560" i="23"/>
  <c r="I561" i="23"/>
  <c r="I562" i="23"/>
  <c r="I563" i="23"/>
  <c r="I564" i="23"/>
  <c r="I565" i="23"/>
  <c r="I566" i="23"/>
  <c r="I567" i="23"/>
  <c r="I568" i="23"/>
  <c r="I569" i="23"/>
  <c r="I570" i="23"/>
  <c r="I571" i="23"/>
  <c r="I572" i="23"/>
  <c r="I573" i="23"/>
  <c r="I574" i="23"/>
  <c r="I575" i="23"/>
  <c r="I576" i="23"/>
  <c r="I577" i="23"/>
  <c r="I578" i="23"/>
  <c r="I579" i="23"/>
  <c r="I580" i="23"/>
  <c r="I581" i="23"/>
  <c r="I582" i="23"/>
  <c r="I583" i="23"/>
  <c r="I584" i="23"/>
  <c r="I585" i="23"/>
  <c r="I586" i="23"/>
  <c r="I587" i="23"/>
  <c r="I588" i="23"/>
  <c r="I589" i="23"/>
  <c r="I590" i="23"/>
  <c r="I591" i="23"/>
  <c r="I592" i="23"/>
  <c r="I593" i="23"/>
  <c r="I594" i="23"/>
  <c r="I595" i="23"/>
  <c r="I596" i="23"/>
  <c r="I597" i="23"/>
  <c r="I598" i="23"/>
  <c r="I599" i="23"/>
  <c r="I600" i="23"/>
  <c r="I601" i="23"/>
  <c r="I602" i="23"/>
  <c r="I603" i="23"/>
  <c r="I604" i="23"/>
  <c r="I605" i="23"/>
  <c r="I606" i="23"/>
  <c r="I607" i="23"/>
  <c r="I608" i="23"/>
  <c r="I609" i="23"/>
  <c r="I610" i="23"/>
  <c r="I611" i="23"/>
  <c r="I612" i="23"/>
  <c r="I613" i="23"/>
  <c r="I614" i="23"/>
  <c r="I615" i="23"/>
  <c r="I616" i="23"/>
  <c r="I617" i="23"/>
  <c r="I618" i="23"/>
  <c r="I619" i="23"/>
  <c r="I620" i="23"/>
  <c r="I621" i="23"/>
  <c r="I622" i="23"/>
  <c r="I623" i="23"/>
  <c r="I624" i="23"/>
  <c r="I625" i="23"/>
  <c r="I626" i="23"/>
  <c r="I627" i="23"/>
  <c r="I628" i="23"/>
  <c r="I629" i="23"/>
  <c r="I630" i="23"/>
  <c r="I631" i="23"/>
  <c r="I632" i="23"/>
  <c r="I633" i="23"/>
  <c r="I634" i="23"/>
  <c r="I635" i="23"/>
  <c r="I636" i="23"/>
  <c r="I637" i="23"/>
  <c r="I638" i="23"/>
  <c r="I639" i="23"/>
  <c r="I640" i="23"/>
  <c r="I641" i="23"/>
  <c r="I642" i="23"/>
  <c r="I643" i="23"/>
  <c r="I644" i="23"/>
  <c r="I645" i="23"/>
  <c r="I646" i="23"/>
  <c r="I647" i="23"/>
  <c r="I648" i="23"/>
  <c r="I649" i="23"/>
  <c r="I650" i="23"/>
  <c r="I651" i="23"/>
  <c r="I652" i="23"/>
  <c r="I653" i="23"/>
  <c r="I654" i="23"/>
  <c r="I655" i="23"/>
  <c r="I656" i="23"/>
  <c r="I657" i="23"/>
  <c r="I658" i="23"/>
  <c r="I659" i="23"/>
  <c r="I660" i="23"/>
  <c r="I661" i="23"/>
  <c r="I662" i="23"/>
  <c r="I663" i="23"/>
  <c r="I664" i="23"/>
  <c r="I665" i="23"/>
  <c r="I666" i="23"/>
  <c r="I667" i="23"/>
  <c r="I668" i="23"/>
  <c r="I669" i="23"/>
  <c r="I670" i="23"/>
  <c r="I671" i="23"/>
  <c r="I672" i="23"/>
  <c r="I673" i="23"/>
  <c r="I674" i="23"/>
  <c r="I675" i="23"/>
  <c r="I676" i="23"/>
  <c r="I677" i="23"/>
  <c r="I678" i="23"/>
  <c r="I679" i="23"/>
  <c r="I680" i="23"/>
  <c r="I681" i="23"/>
  <c r="I682" i="23"/>
  <c r="I683" i="23"/>
  <c r="I684" i="23"/>
  <c r="I685" i="23"/>
  <c r="I686" i="23"/>
  <c r="I687" i="23"/>
  <c r="I688" i="23"/>
  <c r="I689" i="23"/>
  <c r="I690" i="23"/>
  <c r="I691" i="23"/>
  <c r="I692" i="23"/>
  <c r="I693" i="23"/>
  <c r="I694" i="23"/>
  <c r="I695" i="23"/>
  <c r="I696" i="23"/>
  <c r="I697" i="23"/>
  <c r="I698" i="23"/>
  <c r="I699" i="23"/>
  <c r="I700" i="23"/>
  <c r="I701" i="23"/>
  <c r="I702" i="23"/>
  <c r="I703" i="23"/>
  <c r="I704" i="23"/>
  <c r="I705" i="23"/>
  <c r="I706" i="23"/>
  <c r="I707" i="23"/>
  <c r="I708" i="23"/>
  <c r="I709" i="23"/>
  <c r="I710" i="23"/>
  <c r="I711" i="23"/>
  <c r="I712" i="23"/>
  <c r="I713" i="23"/>
  <c r="I714" i="23"/>
  <c r="I715" i="23"/>
  <c r="I716" i="23"/>
  <c r="I717" i="23"/>
  <c r="I718" i="23"/>
  <c r="I719" i="23"/>
  <c r="I720" i="23"/>
  <c r="I721" i="23"/>
  <c r="I722" i="23"/>
  <c r="I723" i="23"/>
  <c r="I724" i="23"/>
  <c r="I725" i="23"/>
  <c r="I726" i="23"/>
  <c r="I727" i="23"/>
  <c r="I728" i="23"/>
  <c r="I729" i="23"/>
  <c r="I730" i="23"/>
  <c r="I731" i="23"/>
  <c r="I732" i="23"/>
  <c r="I733" i="23"/>
  <c r="I734" i="23"/>
  <c r="I735" i="23"/>
  <c r="I736" i="23"/>
  <c r="I737" i="23"/>
  <c r="I738" i="23"/>
  <c r="I739" i="23"/>
  <c r="I740" i="23"/>
  <c r="I741" i="23"/>
  <c r="I742" i="23"/>
  <c r="I743" i="23"/>
  <c r="I744" i="23"/>
  <c r="I745" i="23"/>
  <c r="I746" i="23"/>
  <c r="I747" i="23"/>
  <c r="I748" i="23"/>
  <c r="I749" i="23"/>
  <c r="I750" i="23"/>
  <c r="I751" i="23"/>
  <c r="I752" i="23"/>
  <c r="I753" i="23"/>
  <c r="I754" i="23"/>
  <c r="I755" i="23"/>
  <c r="I756" i="23"/>
  <c r="I757" i="23"/>
  <c r="I758" i="23"/>
  <c r="I759" i="23"/>
  <c r="I760" i="23"/>
  <c r="I761" i="23"/>
  <c r="I762" i="23"/>
  <c r="I763" i="23"/>
  <c r="I764" i="23"/>
  <c r="I765" i="23"/>
  <c r="I766" i="23"/>
  <c r="I767" i="23"/>
  <c r="I768" i="23"/>
  <c r="I769" i="23"/>
  <c r="I770" i="23"/>
  <c r="I771" i="23"/>
  <c r="I772" i="23"/>
  <c r="I773" i="23"/>
  <c r="I774" i="23"/>
  <c r="I775" i="23"/>
  <c r="I776" i="23"/>
  <c r="I777" i="23"/>
  <c r="I778" i="23"/>
  <c r="I779" i="23"/>
  <c r="I780" i="23"/>
  <c r="I781" i="23"/>
  <c r="I782" i="23"/>
  <c r="I783" i="23"/>
  <c r="I784" i="23"/>
  <c r="I785" i="23"/>
  <c r="I786" i="23"/>
  <c r="I787" i="23"/>
  <c r="I788" i="23"/>
  <c r="I789" i="23"/>
  <c r="I790" i="23"/>
  <c r="I791" i="23"/>
  <c r="I792" i="23"/>
  <c r="I793" i="23"/>
  <c r="I794" i="23"/>
  <c r="I795" i="23"/>
  <c r="I796" i="23"/>
  <c r="I797" i="23"/>
  <c r="I798" i="23"/>
  <c r="I799" i="23"/>
  <c r="I800" i="23"/>
  <c r="I801" i="23"/>
  <c r="I802" i="23"/>
  <c r="I803" i="23"/>
  <c r="I804" i="23"/>
  <c r="I805" i="23"/>
  <c r="I806" i="23"/>
  <c r="I807" i="23"/>
  <c r="I808" i="23"/>
  <c r="I809" i="23"/>
  <c r="I810" i="23"/>
  <c r="I811" i="23"/>
  <c r="I812" i="23"/>
  <c r="I813" i="23"/>
  <c r="I814" i="23"/>
  <c r="I815" i="23"/>
  <c r="I816" i="23"/>
  <c r="I817" i="23"/>
  <c r="I818" i="23"/>
  <c r="I819" i="23"/>
  <c r="I820" i="23"/>
  <c r="I821" i="23"/>
  <c r="I822" i="23"/>
  <c r="I823" i="23"/>
  <c r="I824" i="23"/>
  <c r="I825" i="23"/>
  <c r="I826" i="23"/>
  <c r="I827" i="23"/>
  <c r="I2" i="23"/>
  <c r="H828" i="23"/>
  <c r="H829" i="23"/>
  <c r="H830" i="23"/>
  <c r="H831" i="23"/>
  <c r="H832" i="23"/>
  <c r="H833" i="23"/>
  <c r="H834" i="23"/>
  <c r="H835" i="23"/>
  <c r="H836" i="23"/>
  <c r="H837" i="23"/>
  <c r="H838" i="23"/>
  <c r="H839" i="23"/>
  <c r="H840" i="23"/>
  <c r="H841" i="23"/>
  <c r="H842" i="23"/>
  <c r="H843" i="23"/>
  <c r="H844" i="23"/>
  <c r="H845" i="23"/>
  <c r="H846" i="23"/>
  <c r="H847" i="23"/>
  <c r="H848" i="23"/>
  <c r="H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88" i="23"/>
  <c r="H89" i="23"/>
  <c r="H90" i="23"/>
  <c r="H91" i="23"/>
  <c r="H92" i="23"/>
  <c r="H93"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144"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8" i="23"/>
  <c r="H169" i="23"/>
  <c r="H170" i="23"/>
  <c r="H171" i="23"/>
  <c r="H172" i="23"/>
  <c r="H173" i="23"/>
  <c r="H174"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H231" i="23"/>
  <c r="H232" i="23"/>
  <c r="H233" i="23"/>
  <c r="H234" i="23"/>
  <c r="H235" i="23"/>
  <c r="H236" i="23"/>
  <c r="H237" i="23"/>
  <c r="H238" i="23"/>
  <c r="H239" i="23"/>
  <c r="H240" i="23"/>
  <c r="H241" i="23"/>
  <c r="H242"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8"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H337" i="23"/>
  <c r="H338" i="23"/>
  <c r="H339" i="23"/>
  <c r="H340" i="23"/>
  <c r="H341" i="23"/>
  <c r="H342" i="23"/>
  <c r="H343" i="23"/>
  <c r="H344" i="23"/>
  <c r="H345" i="23"/>
  <c r="H346" i="23"/>
  <c r="H347" i="23"/>
  <c r="H348" i="23"/>
  <c r="H349" i="23"/>
  <c r="H350" i="23"/>
  <c r="H351" i="23"/>
  <c r="H352" i="23"/>
  <c r="H353" i="23"/>
  <c r="H354" i="23"/>
  <c r="H355" i="23"/>
  <c r="H356" i="23"/>
  <c r="H357" i="23"/>
  <c r="H358" i="23"/>
  <c r="H359" i="23"/>
  <c r="H360" i="23"/>
  <c r="H361"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H410" i="23"/>
  <c r="H411" i="23"/>
  <c r="H412" i="23"/>
  <c r="H413" i="23"/>
  <c r="H414" i="23"/>
  <c r="H415" i="23"/>
  <c r="H416" i="23"/>
  <c r="H417"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H466" i="23"/>
  <c r="H467" i="23"/>
  <c r="H468" i="23"/>
  <c r="H469" i="23"/>
  <c r="H470" i="23"/>
  <c r="H471" i="23"/>
  <c r="H472" i="23"/>
  <c r="H473" i="23"/>
  <c r="H474" i="23"/>
  <c r="H475" i="23"/>
  <c r="H476" i="23"/>
  <c r="H477" i="23"/>
  <c r="H478" i="23"/>
  <c r="H479" i="23"/>
  <c r="H480" i="23"/>
  <c r="H481" i="23"/>
  <c r="H482" i="23"/>
  <c r="H483" i="23"/>
  <c r="H484" i="23"/>
  <c r="H485" i="23"/>
  <c r="H486" i="23"/>
  <c r="H487" i="23"/>
  <c r="H488" i="23"/>
  <c r="H489" i="23"/>
  <c r="H490" i="23"/>
  <c r="H491" i="23"/>
  <c r="H492" i="23"/>
  <c r="H493" i="23"/>
  <c r="H494" i="23"/>
  <c r="H495" i="23"/>
  <c r="H496" i="23"/>
  <c r="H497" i="23"/>
  <c r="H498" i="23"/>
  <c r="H499" i="23"/>
  <c r="H500" i="23"/>
  <c r="H501" i="23"/>
  <c r="H502" i="23"/>
  <c r="H503" i="23"/>
  <c r="H504" i="23"/>
  <c r="H505" i="23"/>
  <c r="H506" i="23"/>
  <c r="H507" i="23"/>
  <c r="H508" i="23"/>
  <c r="H509" i="23"/>
  <c r="H510" i="23"/>
  <c r="H511" i="23"/>
  <c r="H512" i="23"/>
  <c r="H513" i="23"/>
  <c r="H514" i="23"/>
  <c r="H515" i="23"/>
  <c r="H516" i="23"/>
  <c r="H517" i="23"/>
  <c r="H518" i="23"/>
  <c r="H519" i="23"/>
  <c r="H520" i="23"/>
  <c r="H521" i="23"/>
  <c r="H522" i="23"/>
  <c r="H523" i="23"/>
  <c r="H524" i="23"/>
  <c r="H525" i="23"/>
  <c r="H526" i="23"/>
  <c r="H527" i="23"/>
  <c r="H528" i="23"/>
  <c r="H529" i="23"/>
  <c r="H530" i="23"/>
  <c r="H531" i="23"/>
  <c r="H532" i="23"/>
  <c r="H533" i="23"/>
  <c r="H534" i="23"/>
  <c r="H535" i="23"/>
  <c r="H536" i="23"/>
  <c r="H537" i="23"/>
  <c r="H538" i="23"/>
  <c r="H539" i="23"/>
  <c r="H540" i="23"/>
  <c r="H541" i="23"/>
  <c r="H542" i="23"/>
  <c r="H543" i="23"/>
  <c r="H544" i="23"/>
  <c r="H545" i="23"/>
  <c r="H546" i="23"/>
  <c r="H547" i="23"/>
  <c r="H548" i="23"/>
  <c r="H549" i="23"/>
  <c r="H550" i="23"/>
  <c r="H551" i="23"/>
  <c r="H552" i="23"/>
  <c r="H553" i="23"/>
  <c r="H554" i="23"/>
  <c r="H555" i="23"/>
  <c r="H556" i="23"/>
  <c r="H557" i="23"/>
  <c r="H558" i="23"/>
  <c r="H559" i="23"/>
  <c r="H560" i="23"/>
  <c r="H561" i="23"/>
  <c r="H562" i="23"/>
  <c r="H563" i="23"/>
  <c r="H564" i="23"/>
  <c r="H565" i="23"/>
  <c r="H566" i="23"/>
  <c r="H567" i="23"/>
  <c r="H568" i="23"/>
  <c r="H569" i="23"/>
  <c r="H570" i="23"/>
  <c r="H571" i="23"/>
  <c r="H572" i="23"/>
  <c r="H573" i="23"/>
  <c r="H574" i="23"/>
  <c r="H575" i="23"/>
  <c r="H576" i="23"/>
  <c r="H577" i="23"/>
  <c r="H578" i="23"/>
  <c r="H579" i="23"/>
  <c r="H580" i="23"/>
  <c r="H581" i="23"/>
  <c r="H582" i="23"/>
  <c r="H583" i="23"/>
  <c r="H584" i="23"/>
  <c r="H585" i="23"/>
  <c r="H586" i="23"/>
  <c r="H587" i="23"/>
  <c r="H588" i="23"/>
  <c r="H589" i="23"/>
  <c r="H590" i="23"/>
  <c r="H591" i="23"/>
  <c r="H592" i="23"/>
  <c r="H593" i="23"/>
  <c r="H594" i="23"/>
  <c r="H595" i="23"/>
  <c r="H596" i="23"/>
  <c r="H597" i="23"/>
  <c r="H598" i="23"/>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H634" i="23"/>
  <c r="H635" i="23"/>
  <c r="H636" i="23"/>
  <c r="H637" i="23"/>
  <c r="H638" i="23"/>
  <c r="H639" i="23"/>
  <c r="H640" i="23"/>
  <c r="H641" i="23"/>
  <c r="H642" i="23"/>
  <c r="H643" i="23"/>
  <c r="H644" i="23"/>
  <c r="H645" i="23"/>
  <c r="H646" i="23"/>
  <c r="H647" i="23"/>
  <c r="H648" i="23"/>
  <c r="H649" i="23"/>
  <c r="H650" i="23"/>
  <c r="H651" i="23"/>
  <c r="H652" i="23"/>
  <c r="H653" i="23"/>
  <c r="H654" i="23"/>
  <c r="H655" i="23"/>
  <c r="H656" i="23"/>
  <c r="H657" i="23"/>
  <c r="H658" i="23"/>
  <c r="H659" i="23"/>
  <c r="H660" i="23"/>
  <c r="H661" i="23"/>
  <c r="H662" i="23"/>
  <c r="H663" i="23"/>
  <c r="H664" i="23"/>
  <c r="H665" i="23"/>
  <c r="H666" i="23"/>
  <c r="H667" i="23"/>
  <c r="H668" i="23"/>
  <c r="H669" i="23"/>
  <c r="H670" i="23"/>
  <c r="H671" i="23"/>
  <c r="H672" i="23"/>
  <c r="H673" i="23"/>
  <c r="H674" i="23"/>
  <c r="H675" i="23"/>
  <c r="H676" i="23"/>
  <c r="H677" i="23"/>
  <c r="H678" i="23"/>
  <c r="H679" i="23"/>
  <c r="H680" i="23"/>
  <c r="H681" i="23"/>
  <c r="H682" i="23"/>
  <c r="H683" i="23"/>
  <c r="H684" i="23"/>
  <c r="H685" i="23"/>
  <c r="H686" i="23"/>
  <c r="H687" i="23"/>
  <c r="H688" i="23"/>
  <c r="H689" i="23"/>
  <c r="H690" i="23"/>
  <c r="H691" i="23"/>
  <c r="H692" i="23"/>
  <c r="H693" i="23"/>
  <c r="H694" i="23"/>
  <c r="H695" i="23"/>
  <c r="H696" i="23"/>
  <c r="H697" i="23"/>
  <c r="H698" i="23"/>
  <c r="H699" i="23"/>
  <c r="H700" i="23"/>
  <c r="H701" i="23"/>
  <c r="H702" i="23"/>
  <c r="H703" i="23"/>
  <c r="H704" i="23"/>
  <c r="H705" i="23"/>
  <c r="H706" i="23"/>
  <c r="H707" i="23"/>
  <c r="H708" i="23"/>
  <c r="H709" i="23"/>
  <c r="H710" i="23"/>
  <c r="H711" i="23"/>
  <c r="H712" i="23"/>
  <c r="H713" i="23"/>
  <c r="H714" i="23"/>
  <c r="H715" i="23"/>
  <c r="H716" i="23"/>
  <c r="H717" i="23"/>
  <c r="H718" i="23"/>
  <c r="H719" i="23"/>
  <c r="H720" i="23"/>
  <c r="H721" i="23"/>
  <c r="H722" i="23"/>
  <c r="H723" i="23"/>
  <c r="H724" i="23"/>
  <c r="H725" i="23"/>
  <c r="H726" i="23"/>
  <c r="H727" i="23"/>
  <c r="H728" i="23"/>
  <c r="H729" i="23"/>
  <c r="H730" i="23"/>
  <c r="H731" i="23"/>
  <c r="H732" i="23"/>
  <c r="H733" i="23"/>
  <c r="H734" i="23"/>
  <c r="H735" i="23"/>
  <c r="H736" i="23"/>
  <c r="H737" i="23"/>
  <c r="H738" i="23"/>
  <c r="H739" i="23"/>
  <c r="H740" i="23"/>
  <c r="H741" i="23"/>
  <c r="H742" i="23"/>
  <c r="H743" i="23"/>
  <c r="H744" i="23"/>
  <c r="H745" i="23"/>
  <c r="H746" i="23"/>
  <c r="H747" i="23"/>
  <c r="H748" i="23"/>
  <c r="H749" i="23"/>
  <c r="H750" i="23"/>
  <c r="H751" i="23"/>
  <c r="H752" i="23"/>
  <c r="H753" i="23"/>
  <c r="H754" i="23"/>
  <c r="H755" i="23"/>
  <c r="H756" i="23"/>
  <c r="H757" i="23"/>
  <c r="H758" i="23"/>
  <c r="H759" i="23"/>
  <c r="H760" i="23"/>
  <c r="H761" i="23"/>
  <c r="H762" i="23"/>
  <c r="H763" i="23"/>
  <c r="H764" i="23"/>
  <c r="H765" i="23"/>
  <c r="H766" i="23"/>
  <c r="H767" i="23"/>
  <c r="H768" i="23"/>
  <c r="H769" i="23"/>
  <c r="H770" i="23"/>
  <c r="H771" i="23"/>
  <c r="H772" i="23"/>
  <c r="H773" i="23"/>
  <c r="H774" i="23"/>
  <c r="H775" i="23"/>
  <c r="H776" i="23"/>
  <c r="H777" i="23"/>
  <c r="H778" i="23"/>
  <c r="H779" i="23"/>
  <c r="H780" i="23"/>
  <c r="H781" i="23"/>
  <c r="H782" i="23"/>
  <c r="H783" i="23"/>
  <c r="H784" i="23"/>
  <c r="H785" i="23"/>
  <c r="H786" i="23"/>
  <c r="H787" i="23"/>
  <c r="H788" i="23"/>
  <c r="H789" i="23"/>
  <c r="H790" i="23"/>
  <c r="H791" i="23"/>
  <c r="H792" i="23"/>
  <c r="H793" i="23"/>
  <c r="H794" i="23"/>
  <c r="H795" i="23"/>
  <c r="H796" i="23"/>
  <c r="H797" i="23"/>
  <c r="H798" i="23"/>
  <c r="H799" i="23"/>
  <c r="H800" i="23"/>
  <c r="H801" i="23"/>
  <c r="H802" i="23"/>
  <c r="H803" i="23"/>
  <c r="H804" i="23"/>
  <c r="H805" i="23"/>
  <c r="H806" i="23"/>
  <c r="H807" i="23"/>
  <c r="H808" i="23"/>
  <c r="H809" i="23"/>
  <c r="H810" i="23"/>
  <c r="H811" i="23"/>
  <c r="H812" i="23"/>
  <c r="H813" i="23"/>
  <c r="H814" i="23"/>
  <c r="H815" i="23"/>
  <c r="H816" i="23"/>
  <c r="H817" i="23"/>
  <c r="H818" i="23"/>
  <c r="H819" i="23"/>
  <c r="H820" i="23"/>
  <c r="H821" i="23"/>
  <c r="H822" i="23"/>
  <c r="H823" i="23"/>
  <c r="H824" i="23"/>
  <c r="H825" i="23"/>
  <c r="H826" i="23"/>
  <c r="H827" i="23"/>
  <c r="H2" i="23"/>
  <c r="B828" i="23"/>
  <c r="B829" i="23"/>
  <c r="B830" i="23"/>
  <c r="B831" i="23"/>
  <c r="B832" i="23"/>
  <c r="B833" i="23"/>
  <c r="B834" i="23"/>
  <c r="B835" i="23"/>
  <c r="B836" i="23"/>
  <c r="B837" i="23"/>
  <c r="B838" i="23"/>
  <c r="B839" i="23"/>
  <c r="B840" i="23"/>
  <c r="B841" i="23"/>
  <c r="B842" i="23"/>
  <c r="B843" i="23"/>
  <c r="B844" i="23"/>
  <c r="B845" i="23"/>
  <c r="B846" i="23"/>
  <c r="B847" i="23"/>
  <c r="B848" i="23"/>
  <c r="C828" i="23"/>
  <c r="C829" i="23"/>
  <c r="C830" i="23"/>
  <c r="C831" i="23"/>
  <c r="C832" i="23"/>
  <c r="C833" i="23"/>
  <c r="C834" i="23"/>
  <c r="C835" i="23"/>
  <c r="C836" i="23"/>
  <c r="C837" i="23"/>
  <c r="C838" i="23"/>
  <c r="C839" i="23"/>
  <c r="C840" i="23"/>
  <c r="C841" i="23"/>
  <c r="C842" i="23"/>
  <c r="C843" i="23"/>
  <c r="C844" i="23"/>
  <c r="C845" i="23"/>
  <c r="C846" i="23"/>
  <c r="C847" i="23"/>
  <c r="C848" i="23"/>
  <c r="E828" i="23"/>
  <c r="E829" i="23"/>
  <c r="E830" i="23"/>
  <c r="E831" i="23"/>
  <c r="E832" i="23"/>
  <c r="E833" i="23"/>
  <c r="E834" i="23"/>
  <c r="E835" i="23"/>
  <c r="E836" i="23"/>
  <c r="E837" i="23"/>
  <c r="E838" i="23"/>
  <c r="E839" i="23"/>
  <c r="E840" i="23"/>
  <c r="E841" i="23"/>
  <c r="E842" i="23"/>
  <c r="E843" i="23"/>
  <c r="E844" i="23"/>
  <c r="E845" i="23"/>
  <c r="E846" i="23"/>
  <c r="E847" i="23"/>
  <c r="E848" i="23"/>
  <c r="CX89" i="1"/>
  <c r="CX90" i="1"/>
  <c r="CX91" i="1"/>
  <c r="CX92" i="1"/>
  <c r="CX93" i="1"/>
  <c r="CX94" i="1"/>
  <c r="CX95" i="1"/>
  <c r="CX96" i="1"/>
  <c r="CX97" i="1"/>
  <c r="CX98" i="1"/>
  <c r="CX99" i="1"/>
  <c r="CX100" i="1"/>
  <c r="CX101" i="1"/>
  <c r="CX102" i="1"/>
  <c r="CX103" i="1"/>
  <c r="CX104" i="1"/>
  <c r="CX105" i="1"/>
  <c r="CX106" i="1"/>
  <c r="CX107" i="1"/>
  <c r="CX108" i="1"/>
  <c r="CX110" i="1"/>
  <c r="CX111" i="1"/>
  <c r="CX112" i="1"/>
  <c r="CX113" i="1"/>
  <c r="CX114" i="1"/>
  <c r="CX115" i="1"/>
  <c r="CX116" i="1"/>
  <c r="CX118" i="1"/>
  <c r="CX119" i="1"/>
  <c r="CX120" i="1"/>
  <c r="CX121" i="1"/>
  <c r="CX122" i="1"/>
  <c r="CX123" i="1"/>
  <c r="CX124" i="1"/>
  <c r="CX125" i="1"/>
  <c r="CX126" i="1"/>
  <c r="CX127" i="1"/>
  <c r="CX128" i="1"/>
  <c r="CX129" i="1"/>
  <c r="CX130" i="1"/>
  <c r="CX131" i="1"/>
  <c r="CX132" i="1"/>
  <c r="CX133" i="1"/>
  <c r="CX134" i="1"/>
  <c r="CX135" i="1"/>
  <c r="CX136" i="1"/>
  <c r="CX137" i="1"/>
  <c r="CX138" i="1"/>
  <c r="CX139" i="1"/>
  <c r="CX140" i="1"/>
  <c r="CX141" i="1"/>
  <c r="CX142" i="1"/>
  <c r="CX143" i="1"/>
  <c r="CX144" i="1"/>
  <c r="CW89" i="1"/>
  <c r="CW90" i="1"/>
  <c r="CW91" i="1"/>
  <c r="CW92" i="1"/>
  <c r="CW93" i="1"/>
  <c r="CW94" i="1"/>
  <c r="CW95" i="1"/>
  <c r="CW96" i="1"/>
  <c r="CW97" i="1"/>
  <c r="CW98" i="1"/>
  <c r="CW99" i="1"/>
  <c r="CW100" i="1"/>
  <c r="CW101" i="1"/>
  <c r="CW102" i="1"/>
  <c r="CW103" i="1"/>
  <c r="CW104" i="1"/>
  <c r="CW105" i="1"/>
  <c r="CW106" i="1"/>
  <c r="CW107" i="1"/>
  <c r="CW108" i="1"/>
  <c r="CW109" i="1"/>
  <c r="CW110" i="1"/>
  <c r="CW111" i="1"/>
  <c r="CW112" i="1"/>
  <c r="CW113" i="1"/>
  <c r="CW114" i="1"/>
  <c r="CW115" i="1"/>
  <c r="CW116" i="1"/>
  <c r="CW118" i="1"/>
  <c r="CW119" i="1"/>
  <c r="CW120" i="1"/>
  <c r="CW121" i="1"/>
  <c r="CW122" i="1"/>
  <c r="CW123" i="1"/>
  <c r="CW124" i="1"/>
  <c r="CW125" i="1"/>
  <c r="CW126" i="1"/>
  <c r="CW127" i="1"/>
  <c r="CW128" i="1"/>
  <c r="CW129" i="1"/>
  <c r="CW130" i="1"/>
  <c r="CW131" i="1"/>
  <c r="CW132" i="1"/>
  <c r="CW133" i="1"/>
  <c r="CW134" i="1"/>
  <c r="CW135" i="1"/>
  <c r="CW136" i="1"/>
  <c r="CW137" i="1"/>
  <c r="CW138" i="1"/>
  <c r="CW139" i="1"/>
  <c r="CW140" i="1"/>
  <c r="CW141" i="1"/>
  <c r="CW142" i="1"/>
  <c r="CW143" i="1"/>
  <c r="CW144" i="1"/>
  <c r="CV89" i="1"/>
  <c r="CV90" i="1"/>
  <c r="CV91" i="1"/>
  <c r="CV92" i="1"/>
  <c r="CV93" i="1"/>
  <c r="CV94" i="1"/>
  <c r="CV95" i="1"/>
  <c r="CV96" i="1"/>
  <c r="CV97" i="1"/>
  <c r="CV98" i="1"/>
  <c r="CV99" i="1"/>
  <c r="CV100" i="1"/>
  <c r="CV101" i="1"/>
  <c r="CV102" i="1"/>
  <c r="CV103" i="1"/>
  <c r="CV104" i="1"/>
  <c r="CV105" i="1"/>
  <c r="CV106" i="1"/>
  <c r="CV107" i="1"/>
  <c r="CV108" i="1"/>
  <c r="CV109" i="1"/>
  <c r="CV110" i="1"/>
  <c r="CV111" i="1"/>
  <c r="CV112" i="1"/>
  <c r="CV113" i="1"/>
  <c r="CV114" i="1"/>
  <c r="CV115" i="1"/>
  <c r="CV116" i="1"/>
  <c r="CV118" i="1"/>
  <c r="CV119" i="1"/>
  <c r="CV120" i="1"/>
  <c r="CV121" i="1"/>
  <c r="CV122" i="1"/>
  <c r="CV123" i="1"/>
  <c r="CV124" i="1"/>
  <c r="CV125" i="1"/>
  <c r="CV126" i="1"/>
  <c r="CV127" i="1"/>
  <c r="CV128" i="1"/>
  <c r="CV129" i="1"/>
  <c r="CV130" i="1"/>
  <c r="CV131" i="1"/>
  <c r="CV132" i="1"/>
  <c r="CV133" i="1"/>
  <c r="CV134" i="1"/>
  <c r="CV135" i="1"/>
  <c r="CV136" i="1"/>
  <c r="CV137" i="1"/>
  <c r="CV138" i="1"/>
  <c r="CV139" i="1"/>
  <c r="CV140" i="1"/>
  <c r="CV141" i="1"/>
  <c r="CV142" i="1"/>
  <c r="CV143" i="1"/>
  <c r="CV144" i="1"/>
  <c r="CU89" i="1"/>
  <c r="CU90" i="1"/>
  <c r="CU91" i="1"/>
  <c r="CU92" i="1"/>
  <c r="CU93" i="1"/>
  <c r="CU94" i="1"/>
  <c r="CU95" i="1"/>
  <c r="CU96" i="1"/>
  <c r="CU97" i="1"/>
  <c r="CU98" i="1"/>
  <c r="CU99" i="1"/>
  <c r="CU100" i="1"/>
  <c r="CU101" i="1"/>
  <c r="CU102" i="1"/>
  <c r="CU103" i="1"/>
  <c r="CU104" i="1"/>
  <c r="CU105" i="1"/>
  <c r="CU106" i="1"/>
  <c r="CU107" i="1"/>
  <c r="CU108" i="1"/>
  <c r="CU109" i="1"/>
  <c r="CU110" i="1"/>
  <c r="CU111" i="1"/>
  <c r="CU112" i="1"/>
  <c r="CU113" i="1"/>
  <c r="CU114" i="1"/>
  <c r="CU115" i="1"/>
  <c r="CU116" i="1"/>
  <c r="CU118" i="1"/>
  <c r="CU119" i="1"/>
  <c r="CU120" i="1"/>
  <c r="CU121" i="1"/>
  <c r="CU122" i="1"/>
  <c r="CU123" i="1"/>
  <c r="CU124" i="1"/>
  <c r="CU125" i="1"/>
  <c r="CU126" i="1"/>
  <c r="CU127" i="1"/>
  <c r="CU128" i="1"/>
  <c r="CU129" i="1"/>
  <c r="CU130" i="1"/>
  <c r="CU131" i="1"/>
  <c r="CU132" i="1"/>
  <c r="CU133" i="1"/>
  <c r="CU134" i="1"/>
  <c r="CU135" i="1"/>
  <c r="CU136" i="1"/>
  <c r="CU137" i="1"/>
  <c r="CU138" i="1"/>
  <c r="CU139" i="1"/>
  <c r="CU140" i="1"/>
  <c r="CU141" i="1"/>
  <c r="CU142" i="1"/>
  <c r="CU143" i="1"/>
  <c r="CU144" i="1"/>
  <c r="CT89" i="1"/>
  <c r="CT90" i="1"/>
  <c r="CT91" i="1"/>
  <c r="CT92" i="1"/>
  <c r="CT93" i="1"/>
  <c r="CT94" i="1"/>
  <c r="CT95" i="1"/>
  <c r="CT96" i="1"/>
  <c r="CT97" i="1"/>
  <c r="CT98" i="1"/>
  <c r="CT99" i="1"/>
  <c r="CT100" i="1"/>
  <c r="CT101" i="1"/>
  <c r="CT102" i="1"/>
  <c r="CT103" i="1"/>
  <c r="CZ103" i="1" s="1"/>
  <c r="CT104" i="1"/>
  <c r="CT105" i="1"/>
  <c r="CT106" i="1"/>
  <c r="CT107" i="1"/>
  <c r="CT108" i="1"/>
  <c r="CT109" i="1"/>
  <c r="CT110" i="1"/>
  <c r="CT111" i="1"/>
  <c r="CT112" i="1"/>
  <c r="CT113" i="1"/>
  <c r="CT114" i="1"/>
  <c r="CT115" i="1"/>
  <c r="CT116" i="1"/>
  <c r="CT118" i="1"/>
  <c r="CT119" i="1"/>
  <c r="CT120" i="1"/>
  <c r="CT121" i="1"/>
  <c r="CT122" i="1"/>
  <c r="CT123" i="1"/>
  <c r="CT124" i="1"/>
  <c r="CT125" i="1"/>
  <c r="CT126" i="1"/>
  <c r="CT127" i="1"/>
  <c r="CT128" i="1"/>
  <c r="CT129" i="1"/>
  <c r="CT130" i="1"/>
  <c r="CT131" i="1"/>
  <c r="CT132" i="1"/>
  <c r="CT133" i="1"/>
  <c r="CT134" i="1"/>
  <c r="CT135" i="1"/>
  <c r="CT136" i="1"/>
  <c r="CT137" i="1"/>
  <c r="CT138" i="1"/>
  <c r="CT139" i="1"/>
  <c r="CT140" i="1"/>
  <c r="CT141" i="1"/>
  <c r="CT142" i="1"/>
  <c r="CT143" i="1"/>
  <c r="CT144" i="1"/>
  <c r="CS89" i="1"/>
  <c r="CS90" i="1"/>
  <c r="CS91" i="1"/>
  <c r="CS92" i="1"/>
  <c r="CS93" i="1"/>
  <c r="CS94" i="1"/>
  <c r="CS95" i="1"/>
  <c r="CS96" i="1"/>
  <c r="CS97" i="1"/>
  <c r="CS98" i="1"/>
  <c r="CS99" i="1"/>
  <c r="CS100" i="1"/>
  <c r="CS101" i="1"/>
  <c r="CS102" i="1"/>
  <c r="CS103" i="1"/>
  <c r="CS104" i="1"/>
  <c r="CS105" i="1"/>
  <c r="CS106" i="1"/>
  <c r="CS107" i="1"/>
  <c r="CS108" i="1"/>
  <c r="CS109" i="1"/>
  <c r="CS110" i="1"/>
  <c r="CS111" i="1"/>
  <c r="CS112" i="1"/>
  <c r="CS113" i="1"/>
  <c r="CS114" i="1"/>
  <c r="CS115" i="1"/>
  <c r="CS116" i="1"/>
  <c r="CS118" i="1"/>
  <c r="CS119" i="1"/>
  <c r="CS120" i="1"/>
  <c r="CS121" i="1"/>
  <c r="CS122" i="1"/>
  <c r="CS123" i="1"/>
  <c r="CS124" i="1"/>
  <c r="CS125" i="1"/>
  <c r="CS126" i="1"/>
  <c r="CS127" i="1"/>
  <c r="CS128" i="1"/>
  <c r="CS129" i="1"/>
  <c r="CS130" i="1"/>
  <c r="CS131" i="1"/>
  <c r="CS132" i="1"/>
  <c r="CS133" i="1"/>
  <c r="CS134" i="1"/>
  <c r="CS135" i="1"/>
  <c r="CS136" i="1"/>
  <c r="CS137" i="1"/>
  <c r="CS138" i="1"/>
  <c r="CS139" i="1"/>
  <c r="CS140" i="1"/>
  <c r="CS141" i="1"/>
  <c r="CS142" i="1"/>
  <c r="CS143" i="1"/>
  <c r="CS144" i="1"/>
  <c r="AA847" i="23" l="1"/>
  <c r="AA838" i="23"/>
  <c r="W830" i="23"/>
  <c r="W828" i="23"/>
  <c r="AA846" i="23"/>
  <c r="W842" i="23"/>
  <c r="AA839" i="23"/>
  <c r="W840" i="23"/>
  <c r="AA835" i="23"/>
  <c r="AA834" i="23"/>
  <c r="W837" i="23"/>
  <c r="W848" i="23"/>
  <c r="W836" i="23"/>
  <c r="AA845" i="23"/>
  <c r="AA833" i="23"/>
  <c r="W829" i="23"/>
  <c r="AA844" i="23"/>
  <c r="AA832" i="23"/>
  <c r="AA843" i="23"/>
  <c r="AA831" i="23"/>
  <c r="W841" i="23"/>
  <c r="E2" i="25"/>
  <c r="E3" i="24"/>
  <c r="E4" i="24"/>
  <c r="E5" i="24"/>
  <c r="E6" i="24"/>
  <c r="E7" i="24"/>
  <c r="E8" i="24"/>
  <c r="E9" i="24"/>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5" i="24"/>
  <c r="E36" i="24"/>
  <c r="E37" i="24"/>
  <c r="E38" i="24"/>
  <c r="E39" i="24"/>
  <c r="E40" i="24"/>
  <c r="E41" i="24"/>
  <c r="E42" i="24"/>
  <c r="E43" i="24"/>
  <c r="E44" i="24"/>
  <c r="E45" i="24"/>
  <c r="E46" i="24"/>
  <c r="E47" i="24"/>
  <c r="E48" i="24"/>
  <c r="E49" i="24"/>
  <c r="E2" i="24"/>
  <c r="Z2" i="25"/>
  <c r="R2" i="25"/>
  <c r="Q2" i="25"/>
  <c r="P2" i="25"/>
  <c r="J2" i="25"/>
  <c r="I2" i="25"/>
  <c r="H2" i="25"/>
  <c r="B2" i="25"/>
  <c r="Q2"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Q40" i="24"/>
  <c r="Q41" i="24"/>
  <c r="Q42" i="24"/>
  <c r="Q43" i="24"/>
  <c r="Q44" i="24"/>
  <c r="Q45" i="24"/>
  <c r="Q46" i="24"/>
  <c r="Q47" i="24"/>
  <c r="Q48" i="24"/>
  <c r="Q49" i="24"/>
  <c r="P2" i="24"/>
  <c r="P3" i="24"/>
  <c r="P4" i="24"/>
  <c r="P5" i="24"/>
  <c r="P6" i="24"/>
  <c r="P7" i="24"/>
  <c r="P8" i="24"/>
  <c r="P9" i="24"/>
  <c r="P10" i="24"/>
  <c r="P11" i="24"/>
  <c r="P12" i="24"/>
  <c r="P13" i="24"/>
  <c r="P14" i="24"/>
  <c r="P15" i="24"/>
  <c r="P16" i="24"/>
  <c r="P17" i="24"/>
  <c r="P18" i="24"/>
  <c r="P19" i="24"/>
  <c r="P20" i="24"/>
  <c r="P21" i="24"/>
  <c r="P22" i="24"/>
  <c r="P23" i="24"/>
  <c r="P24" i="24"/>
  <c r="P25" i="24"/>
  <c r="P26" i="24"/>
  <c r="P27" i="24"/>
  <c r="P28" i="24"/>
  <c r="P29" i="24"/>
  <c r="P30" i="24"/>
  <c r="P31" i="24"/>
  <c r="P32" i="24"/>
  <c r="P33" i="24"/>
  <c r="P34" i="24"/>
  <c r="P35" i="24"/>
  <c r="P36" i="24"/>
  <c r="P37" i="24"/>
  <c r="P38" i="24"/>
  <c r="P39" i="24"/>
  <c r="P40" i="24"/>
  <c r="P41" i="24"/>
  <c r="P42" i="24"/>
  <c r="P43" i="24"/>
  <c r="P44" i="24"/>
  <c r="P45" i="24"/>
  <c r="P46" i="24"/>
  <c r="P47" i="24"/>
  <c r="P48" i="24"/>
  <c r="P49" i="24"/>
  <c r="O2" i="24"/>
  <c r="O3" i="24"/>
  <c r="O4" i="24"/>
  <c r="O5" i="24"/>
  <c r="O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J2" i="24"/>
  <c r="J3" i="24"/>
  <c r="J4" i="24"/>
  <c r="J5" i="24"/>
  <c r="J6" i="24"/>
  <c r="J7" i="24"/>
  <c r="J8" i="24"/>
  <c r="J9" i="24"/>
  <c r="J10" i="24"/>
  <c r="J11" i="24"/>
  <c r="J12" i="24"/>
  <c r="J13" i="24"/>
  <c r="J14" i="24"/>
  <c r="J15"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A3" i="24"/>
  <c r="A4" i="24" s="1"/>
  <c r="A5" i="24" s="1"/>
  <c r="A6" i="24" s="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B3" i="24"/>
  <c r="B4" i="24"/>
  <c r="B5"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C3"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2" i="24"/>
  <c r="B2" i="24"/>
  <c r="E3" i="23"/>
  <c r="E4"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212" i="23"/>
  <c r="E213" i="23"/>
  <c r="E214" i="23"/>
  <c r="E215" i="23"/>
  <c r="E216" i="23"/>
  <c r="E217" i="23"/>
  <c r="E218" i="23"/>
  <c r="E219" i="23"/>
  <c r="E220" i="23"/>
  <c r="E221" i="23"/>
  <c r="E222" i="23"/>
  <c r="E223" i="23"/>
  <c r="E224" i="23"/>
  <c r="E225" i="23"/>
  <c r="E226" i="23"/>
  <c r="E227" i="23"/>
  <c r="E228" i="23"/>
  <c r="E229" i="23"/>
  <c r="E230" i="23"/>
  <c r="E231" i="23"/>
  <c r="E232" i="23"/>
  <c r="E233" i="23"/>
  <c r="E234" i="23"/>
  <c r="E235" i="23"/>
  <c r="E236" i="23"/>
  <c r="E237" i="23"/>
  <c r="E238" i="23"/>
  <c r="E239" i="23"/>
  <c r="E240" i="23"/>
  <c r="E241" i="23"/>
  <c r="E242" i="23"/>
  <c r="E243" i="23"/>
  <c r="E244" i="23"/>
  <c r="E245" i="23"/>
  <c r="E246" i="23"/>
  <c r="E247" i="23"/>
  <c r="E248" i="23"/>
  <c r="E249" i="23"/>
  <c r="E250" i="23"/>
  <c r="E251" i="23"/>
  <c r="E252" i="23"/>
  <c r="E253" i="23"/>
  <c r="E254" i="23"/>
  <c r="E255" i="23"/>
  <c r="E256" i="23"/>
  <c r="E257" i="23"/>
  <c r="E258" i="23"/>
  <c r="E259" i="23"/>
  <c r="E260" i="23"/>
  <c r="E261" i="23"/>
  <c r="E262" i="23"/>
  <c r="E263" i="23"/>
  <c r="E264" i="23"/>
  <c r="E265" i="23"/>
  <c r="E266" i="23"/>
  <c r="E267" i="23"/>
  <c r="E268" i="23"/>
  <c r="E269" i="23"/>
  <c r="E270" i="23"/>
  <c r="E271" i="23"/>
  <c r="E272" i="23"/>
  <c r="E273" i="23"/>
  <c r="E274" i="23"/>
  <c r="E275" i="23"/>
  <c r="E276" i="23"/>
  <c r="E277" i="23"/>
  <c r="E278" i="23"/>
  <c r="E279" i="23"/>
  <c r="E280" i="23"/>
  <c r="E281" i="23"/>
  <c r="E282" i="23"/>
  <c r="E283" i="23"/>
  <c r="E284" i="23"/>
  <c r="E285" i="23"/>
  <c r="E286" i="23"/>
  <c r="E287" i="23"/>
  <c r="E288" i="23"/>
  <c r="E289" i="23"/>
  <c r="E290" i="23"/>
  <c r="E291" i="23"/>
  <c r="E292" i="23"/>
  <c r="E293" i="23"/>
  <c r="E294" i="23"/>
  <c r="E295" i="23"/>
  <c r="E296" i="23"/>
  <c r="E297" i="23"/>
  <c r="E298" i="23"/>
  <c r="E299" i="23"/>
  <c r="E300" i="23"/>
  <c r="E301" i="23"/>
  <c r="E302" i="23"/>
  <c r="E303" i="23"/>
  <c r="E304" i="23"/>
  <c r="E305" i="23"/>
  <c r="E306" i="23"/>
  <c r="E307" i="23"/>
  <c r="E308" i="23"/>
  <c r="E309" i="23"/>
  <c r="E310" i="23"/>
  <c r="E311" i="23"/>
  <c r="E312" i="23"/>
  <c r="E313" i="23"/>
  <c r="E314" i="23"/>
  <c r="E315" i="23"/>
  <c r="E316" i="23"/>
  <c r="E317" i="23"/>
  <c r="E318" i="23"/>
  <c r="E319" i="23"/>
  <c r="E320" i="23"/>
  <c r="E321" i="23"/>
  <c r="E322" i="23"/>
  <c r="E323" i="23"/>
  <c r="E324" i="23"/>
  <c r="E325" i="23"/>
  <c r="E326" i="23"/>
  <c r="E327" i="23"/>
  <c r="E328" i="23"/>
  <c r="E329" i="23"/>
  <c r="E330" i="23"/>
  <c r="E331" i="23"/>
  <c r="E332" i="23"/>
  <c r="E333" i="23"/>
  <c r="E334" i="23"/>
  <c r="E335" i="23"/>
  <c r="E336" i="23"/>
  <c r="E337" i="23"/>
  <c r="E338" i="23"/>
  <c r="E339" i="23"/>
  <c r="E340" i="23"/>
  <c r="E341" i="23"/>
  <c r="E342" i="23"/>
  <c r="E343" i="23"/>
  <c r="E344" i="23"/>
  <c r="E345" i="23"/>
  <c r="E346" i="23"/>
  <c r="E347" i="23"/>
  <c r="E348" i="23"/>
  <c r="E349" i="23"/>
  <c r="E350" i="23"/>
  <c r="E351" i="23"/>
  <c r="E352" i="23"/>
  <c r="E353" i="23"/>
  <c r="E354" i="23"/>
  <c r="E355" i="23"/>
  <c r="E356" i="23"/>
  <c r="E357" i="23"/>
  <c r="E358" i="23"/>
  <c r="E359" i="23"/>
  <c r="E360" i="23"/>
  <c r="E361" i="23"/>
  <c r="E362" i="23"/>
  <c r="E363" i="23"/>
  <c r="E364" i="23"/>
  <c r="E365" i="23"/>
  <c r="E366" i="23"/>
  <c r="E367" i="23"/>
  <c r="E368" i="23"/>
  <c r="E369" i="23"/>
  <c r="E370" i="23"/>
  <c r="E371" i="23"/>
  <c r="E372" i="23"/>
  <c r="E373" i="23"/>
  <c r="E374" i="23"/>
  <c r="E375" i="23"/>
  <c r="E376" i="23"/>
  <c r="E377" i="23"/>
  <c r="E378" i="23"/>
  <c r="E379" i="23"/>
  <c r="E380" i="23"/>
  <c r="E381" i="23"/>
  <c r="E382" i="23"/>
  <c r="E383" i="23"/>
  <c r="E384" i="23"/>
  <c r="E385" i="23"/>
  <c r="E386" i="23"/>
  <c r="E387" i="23"/>
  <c r="E388" i="23"/>
  <c r="E389" i="23"/>
  <c r="E390" i="23"/>
  <c r="E391" i="23"/>
  <c r="E392" i="23"/>
  <c r="E393" i="23"/>
  <c r="E394" i="23"/>
  <c r="E395" i="23"/>
  <c r="E396" i="23"/>
  <c r="E397" i="23"/>
  <c r="E398" i="23"/>
  <c r="E399" i="23"/>
  <c r="E400" i="23"/>
  <c r="E401" i="23"/>
  <c r="E402" i="23"/>
  <c r="E403" i="23"/>
  <c r="E404" i="23"/>
  <c r="E405" i="23"/>
  <c r="E406" i="23"/>
  <c r="E407" i="23"/>
  <c r="E408" i="23"/>
  <c r="E409" i="23"/>
  <c r="E410" i="23"/>
  <c r="E411" i="23"/>
  <c r="E412" i="23"/>
  <c r="E413" i="23"/>
  <c r="E414" i="23"/>
  <c r="E415" i="23"/>
  <c r="E416" i="23"/>
  <c r="E417" i="23"/>
  <c r="E418" i="23"/>
  <c r="E419" i="23"/>
  <c r="E420" i="23"/>
  <c r="E421" i="23"/>
  <c r="E422" i="23"/>
  <c r="E423" i="23"/>
  <c r="E424" i="23"/>
  <c r="E425" i="23"/>
  <c r="E426" i="23"/>
  <c r="E427" i="23"/>
  <c r="E428" i="23"/>
  <c r="E429" i="23"/>
  <c r="E430" i="23"/>
  <c r="E431" i="23"/>
  <c r="E432" i="23"/>
  <c r="E433" i="23"/>
  <c r="E434" i="23"/>
  <c r="E435" i="23"/>
  <c r="E436" i="23"/>
  <c r="E437" i="23"/>
  <c r="E438" i="23"/>
  <c r="E439" i="23"/>
  <c r="E440" i="23"/>
  <c r="E441" i="23"/>
  <c r="E442" i="23"/>
  <c r="E443" i="23"/>
  <c r="E444" i="23"/>
  <c r="E445" i="23"/>
  <c r="E446" i="23"/>
  <c r="E447" i="23"/>
  <c r="E448" i="23"/>
  <c r="E449" i="23"/>
  <c r="E450" i="23"/>
  <c r="E451" i="23"/>
  <c r="E452" i="23"/>
  <c r="E453" i="23"/>
  <c r="E454" i="23"/>
  <c r="E455" i="23"/>
  <c r="E456" i="23"/>
  <c r="E457" i="23"/>
  <c r="E458" i="23"/>
  <c r="E459" i="23"/>
  <c r="E460" i="23"/>
  <c r="E461" i="23"/>
  <c r="E462" i="23"/>
  <c r="E463" i="23"/>
  <c r="E464" i="23"/>
  <c r="E465" i="23"/>
  <c r="E466" i="23"/>
  <c r="E467" i="23"/>
  <c r="E468" i="23"/>
  <c r="E469" i="23"/>
  <c r="E470" i="23"/>
  <c r="E471" i="23"/>
  <c r="E472" i="23"/>
  <c r="E473" i="23"/>
  <c r="E474" i="23"/>
  <c r="E475" i="23"/>
  <c r="E476" i="23"/>
  <c r="E477" i="23"/>
  <c r="E478" i="23"/>
  <c r="E479" i="23"/>
  <c r="E480" i="23"/>
  <c r="E481" i="23"/>
  <c r="E482" i="23"/>
  <c r="E483" i="23"/>
  <c r="E484" i="23"/>
  <c r="E485" i="23"/>
  <c r="E486" i="23"/>
  <c r="E487" i="23"/>
  <c r="E488" i="23"/>
  <c r="E489" i="23"/>
  <c r="E490" i="23"/>
  <c r="E491" i="23"/>
  <c r="E492" i="23"/>
  <c r="E493" i="23"/>
  <c r="E494" i="23"/>
  <c r="E495" i="23"/>
  <c r="E496" i="23"/>
  <c r="E497" i="23"/>
  <c r="E498" i="23"/>
  <c r="E499" i="23"/>
  <c r="E500" i="23"/>
  <c r="E501" i="23"/>
  <c r="E502" i="23"/>
  <c r="E503" i="23"/>
  <c r="E504" i="23"/>
  <c r="E505" i="23"/>
  <c r="E506" i="23"/>
  <c r="E507" i="23"/>
  <c r="E508" i="23"/>
  <c r="E509" i="23"/>
  <c r="E510" i="23"/>
  <c r="E511" i="23"/>
  <c r="E512" i="23"/>
  <c r="E513" i="23"/>
  <c r="E514" i="23"/>
  <c r="E515" i="23"/>
  <c r="E516" i="23"/>
  <c r="E517" i="23"/>
  <c r="E518" i="23"/>
  <c r="E519" i="23"/>
  <c r="E520" i="23"/>
  <c r="E521" i="23"/>
  <c r="E522" i="23"/>
  <c r="E523" i="23"/>
  <c r="E524" i="23"/>
  <c r="E525" i="23"/>
  <c r="E526" i="23"/>
  <c r="E527" i="23"/>
  <c r="E528" i="23"/>
  <c r="E529" i="23"/>
  <c r="E530" i="23"/>
  <c r="E531" i="23"/>
  <c r="E532" i="23"/>
  <c r="E533" i="23"/>
  <c r="E534" i="23"/>
  <c r="E535" i="23"/>
  <c r="E536" i="23"/>
  <c r="E537" i="23"/>
  <c r="E538" i="23"/>
  <c r="E539" i="23"/>
  <c r="E540" i="23"/>
  <c r="E541" i="23"/>
  <c r="E542" i="23"/>
  <c r="E543" i="23"/>
  <c r="E544" i="23"/>
  <c r="E545" i="23"/>
  <c r="E546" i="23"/>
  <c r="E547" i="23"/>
  <c r="E548" i="23"/>
  <c r="E549" i="23"/>
  <c r="E550" i="23"/>
  <c r="E551" i="23"/>
  <c r="E552" i="23"/>
  <c r="E553" i="23"/>
  <c r="E554" i="23"/>
  <c r="E555" i="23"/>
  <c r="E556" i="23"/>
  <c r="E557" i="23"/>
  <c r="E558" i="23"/>
  <c r="E559" i="23"/>
  <c r="E560" i="23"/>
  <c r="E561" i="23"/>
  <c r="E562" i="23"/>
  <c r="E563" i="23"/>
  <c r="E564" i="23"/>
  <c r="E565" i="23"/>
  <c r="E566" i="23"/>
  <c r="E567" i="23"/>
  <c r="E568" i="23"/>
  <c r="E569" i="23"/>
  <c r="E570" i="23"/>
  <c r="E571" i="23"/>
  <c r="E572" i="23"/>
  <c r="E573" i="23"/>
  <c r="E574" i="23"/>
  <c r="E575" i="23"/>
  <c r="E576" i="23"/>
  <c r="E577" i="23"/>
  <c r="E578" i="23"/>
  <c r="E579" i="23"/>
  <c r="E580" i="23"/>
  <c r="E581" i="23"/>
  <c r="E582" i="23"/>
  <c r="E583" i="23"/>
  <c r="E584" i="23"/>
  <c r="E585" i="23"/>
  <c r="E586" i="23"/>
  <c r="E587" i="23"/>
  <c r="E588" i="23"/>
  <c r="E589" i="23"/>
  <c r="E590" i="23"/>
  <c r="E591" i="23"/>
  <c r="E592" i="23"/>
  <c r="E593" i="23"/>
  <c r="E594" i="23"/>
  <c r="E595" i="23"/>
  <c r="E596" i="23"/>
  <c r="E597" i="23"/>
  <c r="E598" i="23"/>
  <c r="E599" i="23"/>
  <c r="E600" i="23"/>
  <c r="E601" i="23"/>
  <c r="E602" i="23"/>
  <c r="E603" i="23"/>
  <c r="E604" i="23"/>
  <c r="E605" i="23"/>
  <c r="E606" i="23"/>
  <c r="E607" i="23"/>
  <c r="E608" i="23"/>
  <c r="E609" i="23"/>
  <c r="E610" i="23"/>
  <c r="E611" i="23"/>
  <c r="E612" i="23"/>
  <c r="E613" i="23"/>
  <c r="E614" i="23"/>
  <c r="E615" i="23"/>
  <c r="E616" i="23"/>
  <c r="E617" i="23"/>
  <c r="E618" i="23"/>
  <c r="E619" i="23"/>
  <c r="E620" i="23"/>
  <c r="E621" i="23"/>
  <c r="E622" i="23"/>
  <c r="E623" i="23"/>
  <c r="E624" i="23"/>
  <c r="E625" i="23"/>
  <c r="E626" i="23"/>
  <c r="E627" i="23"/>
  <c r="E628" i="23"/>
  <c r="E629" i="23"/>
  <c r="E630" i="23"/>
  <c r="E631" i="23"/>
  <c r="E632" i="23"/>
  <c r="E633" i="23"/>
  <c r="E634" i="23"/>
  <c r="E635" i="23"/>
  <c r="E636" i="23"/>
  <c r="E637" i="23"/>
  <c r="E638" i="23"/>
  <c r="E639" i="23"/>
  <c r="E640" i="23"/>
  <c r="E641" i="23"/>
  <c r="E642" i="23"/>
  <c r="E643" i="23"/>
  <c r="E644" i="23"/>
  <c r="E645" i="23"/>
  <c r="E646" i="23"/>
  <c r="E647" i="23"/>
  <c r="E648" i="23"/>
  <c r="E649" i="23"/>
  <c r="E650" i="23"/>
  <c r="E651" i="23"/>
  <c r="E652" i="23"/>
  <c r="E653" i="23"/>
  <c r="E654" i="23"/>
  <c r="E655" i="23"/>
  <c r="E656" i="23"/>
  <c r="E657" i="23"/>
  <c r="E658" i="23"/>
  <c r="E659" i="23"/>
  <c r="E660" i="23"/>
  <c r="E661" i="23"/>
  <c r="E662" i="23"/>
  <c r="E663" i="23"/>
  <c r="E664" i="23"/>
  <c r="E665" i="23"/>
  <c r="E666" i="23"/>
  <c r="E667" i="23"/>
  <c r="E668" i="23"/>
  <c r="E669" i="23"/>
  <c r="E670" i="23"/>
  <c r="E671" i="23"/>
  <c r="E672" i="23"/>
  <c r="E673" i="23"/>
  <c r="E674" i="23"/>
  <c r="E675" i="23"/>
  <c r="E676" i="23"/>
  <c r="E677" i="23"/>
  <c r="E678" i="23"/>
  <c r="E679" i="23"/>
  <c r="E680" i="23"/>
  <c r="E681" i="23"/>
  <c r="E682" i="23"/>
  <c r="E683" i="23"/>
  <c r="E684" i="23"/>
  <c r="E685" i="23"/>
  <c r="E686" i="23"/>
  <c r="E687" i="23"/>
  <c r="E688" i="23"/>
  <c r="E689" i="23"/>
  <c r="E690" i="23"/>
  <c r="E691" i="23"/>
  <c r="E692" i="23"/>
  <c r="E693" i="23"/>
  <c r="E694" i="23"/>
  <c r="E695" i="23"/>
  <c r="E696" i="23"/>
  <c r="E697" i="23"/>
  <c r="E698" i="23"/>
  <c r="E699" i="23"/>
  <c r="E700" i="23"/>
  <c r="E701" i="23"/>
  <c r="E702" i="23"/>
  <c r="E703" i="23"/>
  <c r="E704" i="23"/>
  <c r="E705" i="23"/>
  <c r="E706" i="23"/>
  <c r="E707" i="23"/>
  <c r="E708" i="23"/>
  <c r="E709" i="23"/>
  <c r="E710" i="23"/>
  <c r="E711" i="23"/>
  <c r="E712" i="23"/>
  <c r="E713" i="23"/>
  <c r="E714" i="23"/>
  <c r="E715" i="23"/>
  <c r="E716" i="23"/>
  <c r="E717" i="23"/>
  <c r="E718" i="23"/>
  <c r="E719" i="23"/>
  <c r="E720" i="23"/>
  <c r="E721" i="23"/>
  <c r="E722" i="23"/>
  <c r="E723" i="23"/>
  <c r="E724" i="23"/>
  <c r="E725" i="23"/>
  <c r="E726" i="23"/>
  <c r="E727" i="23"/>
  <c r="E728" i="23"/>
  <c r="E729" i="23"/>
  <c r="E730" i="23"/>
  <c r="E731" i="23"/>
  <c r="E732" i="23"/>
  <c r="E733" i="23"/>
  <c r="E734" i="23"/>
  <c r="E735" i="23"/>
  <c r="E736" i="23"/>
  <c r="E737" i="23"/>
  <c r="E738" i="23"/>
  <c r="E739" i="23"/>
  <c r="E740" i="23"/>
  <c r="E741" i="23"/>
  <c r="E742" i="23"/>
  <c r="E743" i="23"/>
  <c r="E744" i="23"/>
  <c r="E745" i="23"/>
  <c r="E746" i="23"/>
  <c r="E747" i="23"/>
  <c r="E748" i="23"/>
  <c r="E749" i="23"/>
  <c r="E750" i="23"/>
  <c r="E751" i="23"/>
  <c r="E752" i="23"/>
  <c r="E753" i="23"/>
  <c r="E754" i="23"/>
  <c r="E755" i="23"/>
  <c r="E756" i="23"/>
  <c r="E757" i="23"/>
  <c r="E758" i="23"/>
  <c r="E759" i="23"/>
  <c r="E760" i="23"/>
  <c r="E761" i="23"/>
  <c r="E762" i="23"/>
  <c r="E763" i="23"/>
  <c r="E764" i="23"/>
  <c r="E765" i="23"/>
  <c r="E766" i="23"/>
  <c r="E767" i="23"/>
  <c r="E768" i="23"/>
  <c r="E769" i="23"/>
  <c r="E770" i="23"/>
  <c r="E771" i="23"/>
  <c r="E772" i="23"/>
  <c r="E773" i="23"/>
  <c r="E774" i="23"/>
  <c r="E775" i="23"/>
  <c r="E776" i="23"/>
  <c r="E777" i="23"/>
  <c r="E778" i="23"/>
  <c r="E779" i="23"/>
  <c r="E780" i="23"/>
  <c r="E781" i="23"/>
  <c r="E782" i="23"/>
  <c r="E783" i="23"/>
  <c r="E784" i="23"/>
  <c r="E785" i="23"/>
  <c r="E786" i="23"/>
  <c r="E787" i="23"/>
  <c r="E788" i="23"/>
  <c r="E789" i="23"/>
  <c r="E790" i="23"/>
  <c r="E791" i="23"/>
  <c r="E792" i="23"/>
  <c r="E793" i="23"/>
  <c r="E794" i="23"/>
  <c r="E795" i="23"/>
  <c r="E796" i="23"/>
  <c r="E797" i="23"/>
  <c r="E798" i="23"/>
  <c r="E799" i="23"/>
  <c r="E800" i="23"/>
  <c r="E801" i="23"/>
  <c r="E802" i="23"/>
  <c r="E803" i="23"/>
  <c r="E804" i="23"/>
  <c r="E805" i="23"/>
  <c r="E806" i="23"/>
  <c r="E807" i="23"/>
  <c r="E808" i="23"/>
  <c r="E809" i="23"/>
  <c r="E810" i="23"/>
  <c r="E811" i="23"/>
  <c r="E812" i="23"/>
  <c r="E813" i="23"/>
  <c r="E814" i="23"/>
  <c r="E815" i="23"/>
  <c r="E816" i="23"/>
  <c r="E817" i="23"/>
  <c r="E818" i="23"/>
  <c r="E819" i="23"/>
  <c r="E820" i="23"/>
  <c r="E821" i="23"/>
  <c r="E822" i="23"/>
  <c r="E823" i="23"/>
  <c r="E824" i="23"/>
  <c r="E825" i="23"/>
  <c r="E826" i="23"/>
  <c r="E827" i="23"/>
  <c r="T2" i="23"/>
  <c r="W2" i="23" s="1"/>
  <c r="T3" i="23"/>
  <c r="W3" i="23" s="1"/>
  <c r="T4" i="23"/>
  <c r="W4" i="23" s="1"/>
  <c r="T5" i="23"/>
  <c r="W5" i="23" s="1"/>
  <c r="T6" i="23"/>
  <c r="W6" i="23" s="1"/>
  <c r="T7" i="23"/>
  <c r="W7" i="23" s="1"/>
  <c r="T8" i="23"/>
  <c r="W8" i="23" s="1"/>
  <c r="T9" i="23"/>
  <c r="W9" i="23" s="1"/>
  <c r="T10" i="23"/>
  <c r="W10" i="23" s="1"/>
  <c r="T11" i="23"/>
  <c r="W11" i="23" s="1"/>
  <c r="T12" i="23"/>
  <c r="W12" i="23" s="1"/>
  <c r="T13" i="23"/>
  <c r="W13" i="23" s="1"/>
  <c r="T14" i="23"/>
  <c r="W14" i="23" s="1"/>
  <c r="T15" i="23"/>
  <c r="W15" i="23" s="1"/>
  <c r="T16" i="23"/>
  <c r="W16" i="23" s="1"/>
  <c r="T17" i="23"/>
  <c r="W17" i="23" s="1"/>
  <c r="T18" i="23"/>
  <c r="W18" i="23" s="1"/>
  <c r="T19" i="23"/>
  <c r="W19" i="23" s="1"/>
  <c r="T20" i="23"/>
  <c r="W20" i="23" s="1"/>
  <c r="T21" i="23"/>
  <c r="W21" i="23" s="1"/>
  <c r="T22" i="23"/>
  <c r="W22" i="23" s="1"/>
  <c r="T23" i="23"/>
  <c r="W23" i="23" s="1"/>
  <c r="T24" i="23"/>
  <c r="W24" i="23" s="1"/>
  <c r="T25" i="23"/>
  <c r="W25" i="23" s="1"/>
  <c r="T26" i="23"/>
  <c r="W26" i="23" s="1"/>
  <c r="T27" i="23"/>
  <c r="W27" i="23" s="1"/>
  <c r="T28" i="23"/>
  <c r="W28" i="23" s="1"/>
  <c r="T29" i="23"/>
  <c r="W29" i="23" s="1"/>
  <c r="T30" i="23"/>
  <c r="W30" i="23" s="1"/>
  <c r="T31" i="23"/>
  <c r="W31" i="23" s="1"/>
  <c r="T32" i="23"/>
  <c r="W32" i="23" s="1"/>
  <c r="T33" i="23"/>
  <c r="W33" i="23" s="1"/>
  <c r="T34" i="23"/>
  <c r="W34" i="23" s="1"/>
  <c r="T35" i="23"/>
  <c r="W35" i="23" s="1"/>
  <c r="T36" i="23"/>
  <c r="W36" i="23" s="1"/>
  <c r="T37" i="23"/>
  <c r="W37" i="23" s="1"/>
  <c r="T38" i="23"/>
  <c r="W38" i="23" s="1"/>
  <c r="T39" i="23"/>
  <c r="W39" i="23" s="1"/>
  <c r="T40" i="23"/>
  <c r="W40" i="23" s="1"/>
  <c r="T41" i="23"/>
  <c r="W41" i="23" s="1"/>
  <c r="T42" i="23"/>
  <c r="W42" i="23" s="1"/>
  <c r="T43" i="23"/>
  <c r="W43" i="23" s="1"/>
  <c r="T44" i="23"/>
  <c r="W44" i="23" s="1"/>
  <c r="T45" i="23"/>
  <c r="W45" i="23" s="1"/>
  <c r="T46" i="23"/>
  <c r="W46" i="23" s="1"/>
  <c r="T47" i="23"/>
  <c r="W47" i="23" s="1"/>
  <c r="T48" i="23"/>
  <c r="W48" i="23" s="1"/>
  <c r="T49" i="23"/>
  <c r="W49" i="23" s="1"/>
  <c r="T50" i="23"/>
  <c r="W50" i="23" s="1"/>
  <c r="T51" i="23"/>
  <c r="W51" i="23" s="1"/>
  <c r="T52" i="23"/>
  <c r="W52" i="23" s="1"/>
  <c r="T53" i="23"/>
  <c r="W53" i="23" s="1"/>
  <c r="T54" i="23"/>
  <c r="W54" i="23" s="1"/>
  <c r="T55" i="23"/>
  <c r="W55" i="23" s="1"/>
  <c r="T56" i="23"/>
  <c r="W56" i="23" s="1"/>
  <c r="T57" i="23"/>
  <c r="W57" i="23" s="1"/>
  <c r="T58" i="23"/>
  <c r="W58" i="23" s="1"/>
  <c r="T59" i="23"/>
  <c r="W59" i="23" s="1"/>
  <c r="T60" i="23"/>
  <c r="W60" i="23" s="1"/>
  <c r="T61" i="23"/>
  <c r="W61" i="23" s="1"/>
  <c r="T62" i="23"/>
  <c r="W62" i="23" s="1"/>
  <c r="T63" i="23"/>
  <c r="W63" i="23" s="1"/>
  <c r="T64" i="23"/>
  <c r="W64" i="23" s="1"/>
  <c r="T65" i="23"/>
  <c r="W65" i="23" s="1"/>
  <c r="T66" i="23"/>
  <c r="W66" i="23" s="1"/>
  <c r="T67" i="23"/>
  <c r="W67" i="23" s="1"/>
  <c r="T68" i="23"/>
  <c r="W68" i="23" s="1"/>
  <c r="T69" i="23"/>
  <c r="W69" i="23" s="1"/>
  <c r="T70" i="23"/>
  <c r="W70" i="23" s="1"/>
  <c r="T71" i="23"/>
  <c r="W71" i="23" s="1"/>
  <c r="T72" i="23"/>
  <c r="W72" i="23" s="1"/>
  <c r="T73" i="23"/>
  <c r="W73" i="23" s="1"/>
  <c r="T74" i="23"/>
  <c r="W74" i="23" s="1"/>
  <c r="T75" i="23"/>
  <c r="W75" i="23" s="1"/>
  <c r="T76" i="23"/>
  <c r="W76" i="23" s="1"/>
  <c r="T77" i="23"/>
  <c r="W77" i="23" s="1"/>
  <c r="T78" i="23"/>
  <c r="W78" i="23" s="1"/>
  <c r="T79" i="23"/>
  <c r="W79" i="23" s="1"/>
  <c r="T80" i="23"/>
  <c r="W80" i="23" s="1"/>
  <c r="T81" i="23"/>
  <c r="W81" i="23" s="1"/>
  <c r="T82" i="23"/>
  <c r="W82" i="23" s="1"/>
  <c r="T83" i="23"/>
  <c r="W83" i="23" s="1"/>
  <c r="T84" i="23"/>
  <c r="W84" i="23" s="1"/>
  <c r="T85" i="23"/>
  <c r="W85" i="23" s="1"/>
  <c r="T86" i="23"/>
  <c r="W86" i="23" s="1"/>
  <c r="T87" i="23"/>
  <c r="W87" i="23" s="1"/>
  <c r="T88" i="23"/>
  <c r="W88" i="23" s="1"/>
  <c r="T89" i="23"/>
  <c r="W89" i="23" s="1"/>
  <c r="T90" i="23"/>
  <c r="W90" i="23" s="1"/>
  <c r="T91" i="23"/>
  <c r="W91" i="23" s="1"/>
  <c r="T92" i="23"/>
  <c r="W92" i="23" s="1"/>
  <c r="T93" i="23"/>
  <c r="W93" i="23" s="1"/>
  <c r="T94" i="23"/>
  <c r="W94" i="23" s="1"/>
  <c r="T95" i="23"/>
  <c r="W95" i="23" s="1"/>
  <c r="T96" i="23"/>
  <c r="W96" i="23" s="1"/>
  <c r="T97" i="23"/>
  <c r="W97" i="23" s="1"/>
  <c r="T98" i="23"/>
  <c r="W98" i="23" s="1"/>
  <c r="T99" i="23"/>
  <c r="W99" i="23" s="1"/>
  <c r="T100" i="23"/>
  <c r="W100" i="23" s="1"/>
  <c r="T101" i="23"/>
  <c r="W101" i="23" s="1"/>
  <c r="T102" i="23"/>
  <c r="W102" i="23" s="1"/>
  <c r="T103" i="23"/>
  <c r="W103" i="23" s="1"/>
  <c r="T104" i="23"/>
  <c r="W104" i="23" s="1"/>
  <c r="T105" i="23"/>
  <c r="W105" i="23" s="1"/>
  <c r="T106" i="23"/>
  <c r="W106" i="23" s="1"/>
  <c r="T107" i="23"/>
  <c r="W107" i="23" s="1"/>
  <c r="T108" i="23"/>
  <c r="W108" i="23" s="1"/>
  <c r="T109" i="23"/>
  <c r="W109" i="23" s="1"/>
  <c r="T110" i="23"/>
  <c r="W110" i="23" s="1"/>
  <c r="T111" i="23"/>
  <c r="W111" i="23" s="1"/>
  <c r="T112" i="23"/>
  <c r="W112" i="23" s="1"/>
  <c r="T113" i="23"/>
  <c r="W113" i="23" s="1"/>
  <c r="T114" i="23"/>
  <c r="W114" i="23" s="1"/>
  <c r="T115" i="23"/>
  <c r="W115" i="23" s="1"/>
  <c r="T116" i="23"/>
  <c r="W116" i="23" s="1"/>
  <c r="T117" i="23"/>
  <c r="W117" i="23" s="1"/>
  <c r="T118" i="23"/>
  <c r="W118" i="23" s="1"/>
  <c r="T119" i="23"/>
  <c r="W119" i="23" s="1"/>
  <c r="T120" i="23"/>
  <c r="W120" i="23" s="1"/>
  <c r="T121" i="23"/>
  <c r="W121" i="23" s="1"/>
  <c r="T122" i="23"/>
  <c r="W122" i="23" s="1"/>
  <c r="T123" i="23"/>
  <c r="W123" i="23" s="1"/>
  <c r="T124" i="23"/>
  <c r="W124" i="23" s="1"/>
  <c r="T125" i="23"/>
  <c r="W125" i="23" s="1"/>
  <c r="T126" i="23"/>
  <c r="W126" i="23" s="1"/>
  <c r="T127" i="23"/>
  <c r="W127" i="23" s="1"/>
  <c r="T128" i="23"/>
  <c r="W128" i="23" s="1"/>
  <c r="T129" i="23"/>
  <c r="W129" i="23" s="1"/>
  <c r="T130" i="23"/>
  <c r="W130" i="23" s="1"/>
  <c r="T131" i="23"/>
  <c r="W131" i="23" s="1"/>
  <c r="T132" i="23"/>
  <c r="W132" i="23" s="1"/>
  <c r="T133" i="23"/>
  <c r="W133" i="23" s="1"/>
  <c r="T134" i="23"/>
  <c r="W134" i="23" s="1"/>
  <c r="T135" i="23"/>
  <c r="W135" i="23" s="1"/>
  <c r="T136" i="23"/>
  <c r="W136" i="23" s="1"/>
  <c r="T137" i="23"/>
  <c r="W137" i="23" s="1"/>
  <c r="T138" i="23"/>
  <c r="W138" i="23" s="1"/>
  <c r="T139" i="23"/>
  <c r="W139" i="23" s="1"/>
  <c r="T140" i="23"/>
  <c r="W140" i="23" s="1"/>
  <c r="T141" i="23"/>
  <c r="W141" i="23" s="1"/>
  <c r="T142" i="23"/>
  <c r="W142" i="23" s="1"/>
  <c r="T143" i="23"/>
  <c r="W143" i="23" s="1"/>
  <c r="T144" i="23"/>
  <c r="W144" i="23" s="1"/>
  <c r="T145" i="23"/>
  <c r="W145" i="23" s="1"/>
  <c r="T146" i="23"/>
  <c r="W146" i="23" s="1"/>
  <c r="T147" i="23"/>
  <c r="W147" i="23" s="1"/>
  <c r="T148" i="23"/>
  <c r="W148" i="23" s="1"/>
  <c r="T149" i="23"/>
  <c r="W149" i="23" s="1"/>
  <c r="T150" i="23"/>
  <c r="W150" i="23" s="1"/>
  <c r="T151" i="23"/>
  <c r="W151" i="23" s="1"/>
  <c r="T152" i="23"/>
  <c r="W152" i="23" s="1"/>
  <c r="T153" i="23"/>
  <c r="W153" i="23" s="1"/>
  <c r="T154" i="23"/>
  <c r="W154" i="23" s="1"/>
  <c r="T155" i="23"/>
  <c r="W155" i="23" s="1"/>
  <c r="T156" i="23"/>
  <c r="W156" i="23" s="1"/>
  <c r="T157" i="23"/>
  <c r="W157" i="23" s="1"/>
  <c r="T158" i="23"/>
  <c r="W158" i="23" s="1"/>
  <c r="T159" i="23"/>
  <c r="W159" i="23" s="1"/>
  <c r="T160" i="23"/>
  <c r="W160" i="23" s="1"/>
  <c r="T161" i="23"/>
  <c r="W161" i="23" s="1"/>
  <c r="T162" i="23"/>
  <c r="W162" i="23" s="1"/>
  <c r="T163" i="23"/>
  <c r="W163" i="23" s="1"/>
  <c r="T164" i="23"/>
  <c r="W164" i="23" s="1"/>
  <c r="T165" i="23"/>
  <c r="W165" i="23" s="1"/>
  <c r="T166" i="23"/>
  <c r="W166" i="23" s="1"/>
  <c r="T167" i="23"/>
  <c r="W167" i="23" s="1"/>
  <c r="T168" i="23"/>
  <c r="W168" i="23" s="1"/>
  <c r="T169" i="23"/>
  <c r="W169" i="23" s="1"/>
  <c r="T170" i="23"/>
  <c r="W170" i="23" s="1"/>
  <c r="T171" i="23"/>
  <c r="W171" i="23" s="1"/>
  <c r="T172" i="23"/>
  <c r="W172" i="23" s="1"/>
  <c r="T173" i="23"/>
  <c r="W173" i="23" s="1"/>
  <c r="T174" i="23"/>
  <c r="W174" i="23" s="1"/>
  <c r="T175" i="23"/>
  <c r="W175" i="23" s="1"/>
  <c r="T176" i="23"/>
  <c r="W176" i="23" s="1"/>
  <c r="T177" i="23"/>
  <c r="W177" i="23" s="1"/>
  <c r="T178" i="23"/>
  <c r="W178" i="23" s="1"/>
  <c r="T179" i="23"/>
  <c r="W179" i="23" s="1"/>
  <c r="T180" i="23"/>
  <c r="W180" i="23" s="1"/>
  <c r="T181" i="23"/>
  <c r="W181" i="23" s="1"/>
  <c r="T182" i="23"/>
  <c r="W182" i="23" s="1"/>
  <c r="T183" i="23"/>
  <c r="W183" i="23" s="1"/>
  <c r="T184" i="23"/>
  <c r="W184" i="23" s="1"/>
  <c r="T185" i="23"/>
  <c r="W185" i="23" s="1"/>
  <c r="T186" i="23"/>
  <c r="W186" i="23" s="1"/>
  <c r="T187" i="23"/>
  <c r="W187" i="23" s="1"/>
  <c r="T188" i="23"/>
  <c r="W188" i="23" s="1"/>
  <c r="T189" i="23"/>
  <c r="W189" i="23" s="1"/>
  <c r="T190" i="23"/>
  <c r="W190" i="23" s="1"/>
  <c r="T191" i="23"/>
  <c r="W191" i="23" s="1"/>
  <c r="T192" i="23"/>
  <c r="W192" i="23" s="1"/>
  <c r="T193" i="23"/>
  <c r="W193" i="23" s="1"/>
  <c r="T194" i="23"/>
  <c r="W194" i="23" s="1"/>
  <c r="T195" i="23"/>
  <c r="W195" i="23" s="1"/>
  <c r="T196" i="23"/>
  <c r="W196" i="23" s="1"/>
  <c r="T197" i="23"/>
  <c r="W197" i="23" s="1"/>
  <c r="T198" i="23"/>
  <c r="W198" i="23" s="1"/>
  <c r="T199" i="23"/>
  <c r="W199" i="23" s="1"/>
  <c r="T200" i="23"/>
  <c r="W200" i="23" s="1"/>
  <c r="T201" i="23"/>
  <c r="W201" i="23" s="1"/>
  <c r="T202" i="23"/>
  <c r="W202" i="23" s="1"/>
  <c r="T203" i="23"/>
  <c r="W203" i="23" s="1"/>
  <c r="T204" i="23"/>
  <c r="W204" i="23" s="1"/>
  <c r="T205" i="23"/>
  <c r="W205" i="23" s="1"/>
  <c r="T206" i="23"/>
  <c r="W206" i="23" s="1"/>
  <c r="T207" i="23"/>
  <c r="W207" i="23" s="1"/>
  <c r="T208" i="23"/>
  <c r="W208" i="23" s="1"/>
  <c r="T209" i="23"/>
  <c r="W209" i="23" s="1"/>
  <c r="T210" i="23"/>
  <c r="W210" i="23" s="1"/>
  <c r="T211" i="23"/>
  <c r="W211" i="23" s="1"/>
  <c r="T212" i="23"/>
  <c r="W212" i="23" s="1"/>
  <c r="T213" i="23"/>
  <c r="W213" i="23" s="1"/>
  <c r="T214" i="23"/>
  <c r="W214" i="23" s="1"/>
  <c r="T215" i="23"/>
  <c r="W215" i="23" s="1"/>
  <c r="T216" i="23"/>
  <c r="W216" i="23" s="1"/>
  <c r="T217" i="23"/>
  <c r="W217" i="23" s="1"/>
  <c r="T218" i="23"/>
  <c r="W218" i="23" s="1"/>
  <c r="T219" i="23"/>
  <c r="W219" i="23" s="1"/>
  <c r="T220" i="23"/>
  <c r="W220" i="23" s="1"/>
  <c r="T221" i="23"/>
  <c r="W221" i="23" s="1"/>
  <c r="T222" i="23"/>
  <c r="W222" i="23" s="1"/>
  <c r="T223" i="23"/>
  <c r="W223" i="23" s="1"/>
  <c r="T224" i="23"/>
  <c r="W224" i="23" s="1"/>
  <c r="T225" i="23"/>
  <c r="W225" i="23" s="1"/>
  <c r="T226" i="23"/>
  <c r="W226" i="23" s="1"/>
  <c r="T227" i="23"/>
  <c r="W227" i="23" s="1"/>
  <c r="T228" i="23"/>
  <c r="W228" i="23" s="1"/>
  <c r="T229" i="23"/>
  <c r="W229" i="23" s="1"/>
  <c r="T230" i="23"/>
  <c r="W230" i="23" s="1"/>
  <c r="T231" i="23"/>
  <c r="W231" i="23" s="1"/>
  <c r="T232" i="23"/>
  <c r="W232" i="23" s="1"/>
  <c r="T233" i="23"/>
  <c r="W233" i="23" s="1"/>
  <c r="T234" i="23"/>
  <c r="W234" i="23" s="1"/>
  <c r="T235" i="23"/>
  <c r="W235" i="23" s="1"/>
  <c r="T236" i="23"/>
  <c r="W236" i="23" s="1"/>
  <c r="T237" i="23"/>
  <c r="W237" i="23" s="1"/>
  <c r="T238" i="23"/>
  <c r="W238" i="23" s="1"/>
  <c r="T239" i="23"/>
  <c r="W239" i="23" s="1"/>
  <c r="T240" i="23"/>
  <c r="W240" i="23" s="1"/>
  <c r="T241" i="23"/>
  <c r="W241" i="23" s="1"/>
  <c r="T242" i="23"/>
  <c r="W242" i="23" s="1"/>
  <c r="T243" i="23"/>
  <c r="W243" i="23" s="1"/>
  <c r="T244" i="23"/>
  <c r="W244" i="23" s="1"/>
  <c r="T245" i="23"/>
  <c r="W245" i="23" s="1"/>
  <c r="T246" i="23"/>
  <c r="W246" i="23" s="1"/>
  <c r="T247" i="23"/>
  <c r="W247" i="23" s="1"/>
  <c r="T248" i="23"/>
  <c r="W248" i="23" s="1"/>
  <c r="T249" i="23"/>
  <c r="W249" i="23" s="1"/>
  <c r="T250" i="23"/>
  <c r="W250" i="23" s="1"/>
  <c r="T251" i="23"/>
  <c r="W251" i="23" s="1"/>
  <c r="T252" i="23"/>
  <c r="W252" i="23" s="1"/>
  <c r="T253" i="23"/>
  <c r="W253" i="23" s="1"/>
  <c r="T254" i="23"/>
  <c r="W254" i="23" s="1"/>
  <c r="T255" i="23"/>
  <c r="W255" i="23" s="1"/>
  <c r="T256" i="23"/>
  <c r="W256" i="23" s="1"/>
  <c r="T257" i="23"/>
  <c r="W257" i="23" s="1"/>
  <c r="T258" i="23"/>
  <c r="W258" i="23" s="1"/>
  <c r="T259" i="23"/>
  <c r="W259" i="23" s="1"/>
  <c r="T260" i="23"/>
  <c r="W260" i="23" s="1"/>
  <c r="T261" i="23"/>
  <c r="W261" i="23" s="1"/>
  <c r="T262" i="23"/>
  <c r="W262" i="23" s="1"/>
  <c r="T263" i="23"/>
  <c r="W263" i="23" s="1"/>
  <c r="T264" i="23"/>
  <c r="W264" i="23" s="1"/>
  <c r="T265" i="23"/>
  <c r="W265" i="23" s="1"/>
  <c r="T266" i="23"/>
  <c r="W266" i="23" s="1"/>
  <c r="T267" i="23"/>
  <c r="W267" i="23" s="1"/>
  <c r="T268" i="23"/>
  <c r="W268" i="23" s="1"/>
  <c r="T269" i="23"/>
  <c r="W269" i="23" s="1"/>
  <c r="T270" i="23"/>
  <c r="W270" i="23" s="1"/>
  <c r="T271" i="23"/>
  <c r="W271" i="23" s="1"/>
  <c r="T272" i="23"/>
  <c r="W272" i="23" s="1"/>
  <c r="T273" i="23"/>
  <c r="W273" i="23" s="1"/>
  <c r="T274" i="23"/>
  <c r="W274" i="23" s="1"/>
  <c r="T275" i="23"/>
  <c r="W275" i="23" s="1"/>
  <c r="T276" i="23"/>
  <c r="W276" i="23" s="1"/>
  <c r="T277" i="23"/>
  <c r="W277" i="23" s="1"/>
  <c r="T278" i="23"/>
  <c r="W278" i="23" s="1"/>
  <c r="T279" i="23"/>
  <c r="W279" i="23" s="1"/>
  <c r="T280" i="23"/>
  <c r="W280" i="23" s="1"/>
  <c r="T281" i="23"/>
  <c r="W281" i="23" s="1"/>
  <c r="T282" i="23"/>
  <c r="W282" i="23" s="1"/>
  <c r="T283" i="23"/>
  <c r="W283" i="23" s="1"/>
  <c r="T284" i="23"/>
  <c r="W284" i="23" s="1"/>
  <c r="T285" i="23"/>
  <c r="W285" i="23" s="1"/>
  <c r="T286" i="23"/>
  <c r="W286" i="23" s="1"/>
  <c r="T287" i="23"/>
  <c r="W287" i="23" s="1"/>
  <c r="T288" i="23"/>
  <c r="W288" i="23" s="1"/>
  <c r="T289" i="23"/>
  <c r="W289" i="23" s="1"/>
  <c r="T290" i="23"/>
  <c r="W290" i="23" s="1"/>
  <c r="T291" i="23"/>
  <c r="W291" i="23" s="1"/>
  <c r="T292" i="23"/>
  <c r="W292" i="23" s="1"/>
  <c r="T293" i="23"/>
  <c r="W293" i="23" s="1"/>
  <c r="T294" i="23"/>
  <c r="W294" i="23" s="1"/>
  <c r="T295" i="23"/>
  <c r="W295" i="23" s="1"/>
  <c r="T296" i="23"/>
  <c r="W296" i="23" s="1"/>
  <c r="T297" i="23"/>
  <c r="W297" i="23" s="1"/>
  <c r="T298" i="23"/>
  <c r="W298" i="23" s="1"/>
  <c r="T299" i="23"/>
  <c r="W299" i="23" s="1"/>
  <c r="T300" i="23"/>
  <c r="W300" i="23" s="1"/>
  <c r="T301" i="23"/>
  <c r="W301" i="23" s="1"/>
  <c r="T302" i="23"/>
  <c r="W302" i="23" s="1"/>
  <c r="T303" i="23"/>
  <c r="W303" i="23" s="1"/>
  <c r="T304" i="23"/>
  <c r="W304" i="23" s="1"/>
  <c r="T305" i="23"/>
  <c r="W305" i="23" s="1"/>
  <c r="T306" i="23"/>
  <c r="W306" i="23" s="1"/>
  <c r="T307" i="23"/>
  <c r="W307" i="23" s="1"/>
  <c r="T308" i="23"/>
  <c r="W308" i="23" s="1"/>
  <c r="T309" i="23"/>
  <c r="W309" i="23" s="1"/>
  <c r="T310" i="23"/>
  <c r="W310" i="23" s="1"/>
  <c r="T311" i="23"/>
  <c r="W311" i="23" s="1"/>
  <c r="T312" i="23"/>
  <c r="W312" i="23" s="1"/>
  <c r="T313" i="23"/>
  <c r="W313" i="23" s="1"/>
  <c r="T314" i="23"/>
  <c r="W314" i="23" s="1"/>
  <c r="T315" i="23"/>
  <c r="W315" i="23" s="1"/>
  <c r="T316" i="23"/>
  <c r="W316" i="23" s="1"/>
  <c r="T317" i="23"/>
  <c r="W317" i="23" s="1"/>
  <c r="T318" i="23"/>
  <c r="W318" i="23" s="1"/>
  <c r="T319" i="23"/>
  <c r="W319" i="23" s="1"/>
  <c r="T320" i="23"/>
  <c r="W320" i="23" s="1"/>
  <c r="T321" i="23"/>
  <c r="W321" i="23" s="1"/>
  <c r="T322" i="23"/>
  <c r="W322" i="23" s="1"/>
  <c r="T323" i="23"/>
  <c r="W323" i="23" s="1"/>
  <c r="T324" i="23"/>
  <c r="W324" i="23" s="1"/>
  <c r="T325" i="23"/>
  <c r="W325" i="23" s="1"/>
  <c r="T326" i="23"/>
  <c r="W326" i="23" s="1"/>
  <c r="T327" i="23"/>
  <c r="W327" i="23" s="1"/>
  <c r="T328" i="23"/>
  <c r="W328" i="23" s="1"/>
  <c r="T329" i="23"/>
  <c r="W329" i="23" s="1"/>
  <c r="T330" i="23"/>
  <c r="W330" i="23" s="1"/>
  <c r="T331" i="23"/>
  <c r="W331" i="23" s="1"/>
  <c r="T332" i="23"/>
  <c r="W332" i="23" s="1"/>
  <c r="T333" i="23"/>
  <c r="W333" i="23" s="1"/>
  <c r="T334" i="23"/>
  <c r="W334" i="23" s="1"/>
  <c r="T335" i="23"/>
  <c r="W335" i="23" s="1"/>
  <c r="T336" i="23"/>
  <c r="W336" i="23" s="1"/>
  <c r="T337" i="23"/>
  <c r="W337" i="23" s="1"/>
  <c r="T338" i="23"/>
  <c r="W338" i="23" s="1"/>
  <c r="T339" i="23"/>
  <c r="W339" i="23" s="1"/>
  <c r="T340" i="23"/>
  <c r="W340" i="23" s="1"/>
  <c r="T341" i="23"/>
  <c r="W341" i="23" s="1"/>
  <c r="T342" i="23"/>
  <c r="W342" i="23" s="1"/>
  <c r="T343" i="23"/>
  <c r="W343" i="23" s="1"/>
  <c r="T344" i="23"/>
  <c r="W344" i="23" s="1"/>
  <c r="T345" i="23"/>
  <c r="W345" i="23" s="1"/>
  <c r="T346" i="23"/>
  <c r="W346" i="23" s="1"/>
  <c r="T347" i="23"/>
  <c r="W347" i="23" s="1"/>
  <c r="T348" i="23"/>
  <c r="W348" i="23" s="1"/>
  <c r="T349" i="23"/>
  <c r="W349" i="23" s="1"/>
  <c r="T350" i="23"/>
  <c r="W350" i="23" s="1"/>
  <c r="T351" i="23"/>
  <c r="W351" i="23" s="1"/>
  <c r="T352" i="23"/>
  <c r="W352" i="23" s="1"/>
  <c r="T353" i="23"/>
  <c r="W353" i="23" s="1"/>
  <c r="T354" i="23"/>
  <c r="W354" i="23" s="1"/>
  <c r="T355" i="23"/>
  <c r="W355" i="23" s="1"/>
  <c r="T356" i="23"/>
  <c r="W356" i="23" s="1"/>
  <c r="T357" i="23"/>
  <c r="W357" i="23" s="1"/>
  <c r="T358" i="23"/>
  <c r="W358" i="23" s="1"/>
  <c r="T359" i="23"/>
  <c r="W359" i="23" s="1"/>
  <c r="T360" i="23"/>
  <c r="W360" i="23" s="1"/>
  <c r="T361" i="23"/>
  <c r="W361" i="23" s="1"/>
  <c r="T362" i="23"/>
  <c r="W362" i="23" s="1"/>
  <c r="T363" i="23"/>
  <c r="W363" i="23" s="1"/>
  <c r="T364" i="23"/>
  <c r="W364" i="23" s="1"/>
  <c r="T365" i="23"/>
  <c r="W365" i="23" s="1"/>
  <c r="T366" i="23"/>
  <c r="W366" i="23" s="1"/>
  <c r="T367" i="23"/>
  <c r="W367" i="23" s="1"/>
  <c r="T368" i="23"/>
  <c r="W368" i="23" s="1"/>
  <c r="T369" i="23"/>
  <c r="W369" i="23" s="1"/>
  <c r="T370" i="23"/>
  <c r="W370" i="23" s="1"/>
  <c r="T371" i="23"/>
  <c r="W371" i="23" s="1"/>
  <c r="T372" i="23"/>
  <c r="W372" i="23" s="1"/>
  <c r="T373" i="23"/>
  <c r="W373" i="23" s="1"/>
  <c r="T374" i="23"/>
  <c r="W374" i="23" s="1"/>
  <c r="T375" i="23"/>
  <c r="W375" i="23" s="1"/>
  <c r="T376" i="23"/>
  <c r="W376" i="23" s="1"/>
  <c r="T377" i="23"/>
  <c r="W377" i="23" s="1"/>
  <c r="T378" i="23"/>
  <c r="W378" i="23" s="1"/>
  <c r="T379" i="23"/>
  <c r="W379" i="23" s="1"/>
  <c r="T380" i="23"/>
  <c r="W380" i="23" s="1"/>
  <c r="T381" i="23"/>
  <c r="W381" i="23" s="1"/>
  <c r="T382" i="23"/>
  <c r="W382" i="23" s="1"/>
  <c r="T383" i="23"/>
  <c r="W383" i="23" s="1"/>
  <c r="T384" i="23"/>
  <c r="W384" i="23" s="1"/>
  <c r="T385" i="23"/>
  <c r="W385" i="23" s="1"/>
  <c r="T386" i="23"/>
  <c r="W386" i="23" s="1"/>
  <c r="T387" i="23"/>
  <c r="W387" i="23" s="1"/>
  <c r="T388" i="23"/>
  <c r="W388" i="23" s="1"/>
  <c r="T389" i="23"/>
  <c r="W389" i="23" s="1"/>
  <c r="T390" i="23"/>
  <c r="W390" i="23" s="1"/>
  <c r="T391" i="23"/>
  <c r="W391" i="23" s="1"/>
  <c r="T392" i="23"/>
  <c r="W392" i="23" s="1"/>
  <c r="T393" i="23"/>
  <c r="W393" i="23" s="1"/>
  <c r="T394" i="23"/>
  <c r="W394" i="23" s="1"/>
  <c r="T395" i="23"/>
  <c r="W395" i="23" s="1"/>
  <c r="T396" i="23"/>
  <c r="W396" i="23" s="1"/>
  <c r="T397" i="23"/>
  <c r="W397" i="23" s="1"/>
  <c r="T398" i="23"/>
  <c r="W398" i="23" s="1"/>
  <c r="T399" i="23"/>
  <c r="W399" i="23" s="1"/>
  <c r="T400" i="23"/>
  <c r="W400" i="23" s="1"/>
  <c r="T401" i="23"/>
  <c r="W401" i="23" s="1"/>
  <c r="T402" i="23"/>
  <c r="W402" i="23" s="1"/>
  <c r="T403" i="23"/>
  <c r="W403" i="23" s="1"/>
  <c r="T404" i="23"/>
  <c r="W404" i="23" s="1"/>
  <c r="T405" i="23"/>
  <c r="W405" i="23" s="1"/>
  <c r="T406" i="23"/>
  <c r="W406" i="23" s="1"/>
  <c r="T407" i="23"/>
  <c r="W407" i="23" s="1"/>
  <c r="T408" i="23"/>
  <c r="W408" i="23" s="1"/>
  <c r="T409" i="23"/>
  <c r="W409" i="23" s="1"/>
  <c r="T410" i="23"/>
  <c r="W410" i="23" s="1"/>
  <c r="T411" i="23"/>
  <c r="W411" i="23" s="1"/>
  <c r="T412" i="23"/>
  <c r="W412" i="23" s="1"/>
  <c r="T413" i="23"/>
  <c r="W413" i="23" s="1"/>
  <c r="T414" i="23"/>
  <c r="W414" i="23" s="1"/>
  <c r="T415" i="23"/>
  <c r="W415" i="23" s="1"/>
  <c r="T416" i="23"/>
  <c r="W416" i="23" s="1"/>
  <c r="T417" i="23"/>
  <c r="W417" i="23" s="1"/>
  <c r="T418" i="23"/>
  <c r="W418" i="23" s="1"/>
  <c r="T419" i="23"/>
  <c r="W419" i="23" s="1"/>
  <c r="T420" i="23"/>
  <c r="W420" i="23" s="1"/>
  <c r="T421" i="23"/>
  <c r="W421" i="23" s="1"/>
  <c r="T422" i="23"/>
  <c r="W422" i="23" s="1"/>
  <c r="T423" i="23"/>
  <c r="W423" i="23" s="1"/>
  <c r="T424" i="23"/>
  <c r="W424" i="23" s="1"/>
  <c r="T425" i="23"/>
  <c r="W425" i="23" s="1"/>
  <c r="T426" i="23"/>
  <c r="W426" i="23" s="1"/>
  <c r="T427" i="23"/>
  <c r="W427" i="23" s="1"/>
  <c r="T428" i="23"/>
  <c r="W428" i="23" s="1"/>
  <c r="T429" i="23"/>
  <c r="W429" i="23" s="1"/>
  <c r="T430" i="23"/>
  <c r="W430" i="23" s="1"/>
  <c r="T431" i="23"/>
  <c r="W431" i="23" s="1"/>
  <c r="T432" i="23"/>
  <c r="W432" i="23" s="1"/>
  <c r="T433" i="23"/>
  <c r="W433" i="23" s="1"/>
  <c r="T434" i="23"/>
  <c r="W434" i="23" s="1"/>
  <c r="T435" i="23"/>
  <c r="W435" i="23" s="1"/>
  <c r="T436" i="23"/>
  <c r="W436" i="23" s="1"/>
  <c r="T437" i="23"/>
  <c r="W437" i="23" s="1"/>
  <c r="T438" i="23"/>
  <c r="W438" i="23" s="1"/>
  <c r="T439" i="23"/>
  <c r="W439" i="23" s="1"/>
  <c r="T440" i="23"/>
  <c r="W440" i="23" s="1"/>
  <c r="T441" i="23"/>
  <c r="W441" i="23" s="1"/>
  <c r="T442" i="23"/>
  <c r="W442" i="23" s="1"/>
  <c r="T443" i="23"/>
  <c r="W443" i="23" s="1"/>
  <c r="T444" i="23"/>
  <c r="W444" i="23" s="1"/>
  <c r="T445" i="23"/>
  <c r="W445" i="23" s="1"/>
  <c r="T446" i="23"/>
  <c r="W446" i="23" s="1"/>
  <c r="T447" i="23"/>
  <c r="W447" i="23" s="1"/>
  <c r="T448" i="23"/>
  <c r="W448" i="23" s="1"/>
  <c r="T449" i="23"/>
  <c r="W449" i="23" s="1"/>
  <c r="T450" i="23"/>
  <c r="W450" i="23" s="1"/>
  <c r="T451" i="23"/>
  <c r="W451" i="23" s="1"/>
  <c r="T452" i="23"/>
  <c r="W452" i="23" s="1"/>
  <c r="T453" i="23"/>
  <c r="W453" i="23" s="1"/>
  <c r="T454" i="23"/>
  <c r="W454" i="23" s="1"/>
  <c r="T455" i="23"/>
  <c r="W455" i="23" s="1"/>
  <c r="T456" i="23"/>
  <c r="W456" i="23" s="1"/>
  <c r="T457" i="23"/>
  <c r="W457" i="23" s="1"/>
  <c r="T458" i="23"/>
  <c r="W458" i="23" s="1"/>
  <c r="T459" i="23"/>
  <c r="W459" i="23" s="1"/>
  <c r="T460" i="23"/>
  <c r="W460" i="23" s="1"/>
  <c r="T461" i="23"/>
  <c r="W461" i="23" s="1"/>
  <c r="T462" i="23"/>
  <c r="W462" i="23" s="1"/>
  <c r="T463" i="23"/>
  <c r="W463" i="23" s="1"/>
  <c r="T464" i="23"/>
  <c r="W464" i="23" s="1"/>
  <c r="T465" i="23"/>
  <c r="W465" i="23" s="1"/>
  <c r="T466" i="23"/>
  <c r="W466" i="23" s="1"/>
  <c r="T467" i="23"/>
  <c r="W467" i="23" s="1"/>
  <c r="T468" i="23"/>
  <c r="W468" i="23" s="1"/>
  <c r="T469" i="23"/>
  <c r="W469" i="23" s="1"/>
  <c r="T470" i="23"/>
  <c r="W470" i="23" s="1"/>
  <c r="T471" i="23"/>
  <c r="W471" i="23" s="1"/>
  <c r="T472" i="23"/>
  <c r="W472" i="23" s="1"/>
  <c r="T473" i="23"/>
  <c r="W473" i="23" s="1"/>
  <c r="T474" i="23"/>
  <c r="W474" i="23" s="1"/>
  <c r="T475" i="23"/>
  <c r="W475" i="23" s="1"/>
  <c r="T476" i="23"/>
  <c r="W476" i="23" s="1"/>
  <c r="T477" i="23"/>
  <c r="W477" i="23" s="1"/>
  <c r="T478" i="23"/>
  <c r="W478" i="23" s="1"/>
  <c r="T479" i="23"/>
  <c r="W479" i="23" s="1"/>
  <c r="T480" i="23"/>
  <c r="W480" i="23" s="1"/>
  <c r="T481" i="23"/>
  <c r="W481" i="23" s="1"/>
  <c r="T482" i="23"/>
  <c r="W482" i="23" s="1"/>
  <c r="T483" i="23"/>
  <c r="W483" i="23" s="1"/>
  <c r="T484" i="23"/>
  <c r="W484" i="23" s="1"/>
  <c r="T485" i="23"/>
  <c r="W485" i="23" s="1"/>
  <c r="T486" i="23"/>
  <c r="W486" i="23" s="1"/>
  <c r="T487" i="23"/>
  <c r="W487" i="23" s="1"/>
  <c r="T488" i="23"/>
  <c r="W488" i="23" s="1"/>
  <c r="T489" i="23"/>
  <c r="W489" i="23" s="1"/>
  <c r="T490" i="23"/>
  <c r="W490" i="23" s="1"/>
  <c r="T491" i="23"/>
  <c r="W491" i="23" s="1"/>
  <c r="T492" i="23"/>
  <c r="W492" i="23" s="1"/>
  <c r="T493" i="23"/>
  <c r="W493" i="23" s="1"/>
  <c r="T494" i="23"/>
  <c r="W494" i="23" s="1"/>
  <c r="T495" i="23"/>
  <c r="W495" i="23" s="1"/>
  <c r="T496" i="23"/>
  <c r="W496" i="23" s="1"/>
  <c r="T497" i="23"/>
  <c r="W497" i="23" s="1"/>
  <c r="T498" i="23"/>
  <c r="W498" i="23" s="1"/>
  <c r="T499" i="23"/>
  <c r="W499" i="23" s="1"/>
  <c r="T500" i="23"/>
  <c r="W500" i="23" s="1"/>
  <c r="T501" i="23"/>
  <c r="W501" i="23" s="1"/>
  <c r="T502" i="23"/>
  <c r="W502" i="23" s="1"/>
  <c r="T503" i="23"/>
  <c r="W503" i="23" s="1"/>
  <c r="T504" i="23"/>
  <c r="W504" i="23" s="1"/>
  <c r="T505" i="23"/>
  <c r="W505" i="23" s="1"/>
  <c r="T506" i="23"/>
  <c r="W506" i="23" s="1"/>
  <c r="T507" i="23"/>
  <c r="W507" i="23" s="1"/>
  <c r="T508" i="23"/>
  <c r="W508" i="23" s="1"/>
  <c r="T509" i="23"/>
  <c r="W509" i="23" s="1"/>
  <c r="T510" i="23"/>
  <c r="W510" i="23" s="1"/>
  <c r="T511" i="23"/>
  <c r="W511" i="23" s="1"/>
  <c r="T512" i="23"/>
  <c r="W512" i="23" s="1"/>
  <c r="T513" i="23"/>
  <c r="W513" i="23" s="1"/>
  <c r="T514" i="23"/>
  <c r="W514" i="23" s="1"/>
  <c r="T515" i="23"/>
  <c r="W515" i="23" s="1"/>
  <c r="T516" i="23"/>
  <c r="W516" i="23" s="1"/>
  <c r="T517" i="23"/>
  <c r="W517" i="23" s="1"/>
  <c r="T518" i="23"/>
  <c r="W518" i="23" s="1"/>
  <c r="T519" i="23"/>
  <c r="W519" i="23" s="1"/>
  <c r="T520" i="23"/>
  <c r="W520" i="23" s="1"/>
  <c r="T521" i="23"/>
  <c r="W521" i="23" s="1"/>
  <c r="T522" i="23"/>
  <c r="W522" i="23" s="1"/>
  <c r="T523" i="23"/>
  <c r="W523" i="23" s="1"/>
  <c r="T524" i="23"/>
  <c r="W524" i="23" s="1"/>
  <c r="T525" i="23"/>
  <c r="W525" i="23" s="1"/>
  <c r="T526" i="23"/>
  <c r="W526" i="23" s="1"/>
  <c r="T527" i="23"/>
  <c r="W527" i="23" s="1"/>
  <c r="T528" i="23"/>
  <c r="W528" i="23" s="1"/>
  <c r="T529" i="23"/>
  <c r="W529" i="23" s="1"/>
  <c r="T530" i="23"/>
  <c r="W530" i="23" s="1"/>
  <c r="T531" i="23"/>
  <c r="W531" i="23" s="1"/>
  <c r="T532" i="23"/>
  <c r="W532" i="23" s="1"/>
  <c r="T533" i="23"/>
  <c r="W533" i="23" s="1"/>
  <c r="T534" i="23"/>
  <c r="W534" i="23" s="1"/>
  <c r="T535" i="23"/>
  <c r="W535" i="23" s="1"/>
  <c r="T536" i="23"/>
  <c r="W536" i="23" s="1"/>
  <c r="T537" i="23"/>
  <c r="W537" i="23" s="1"/>
  <c r="T538" i="23"/>
  <c r="W538" i="23" s="1"/>
  <c r="T539" i="23"/>
  <c r="W539" i="23" s="1"/>
  <c r="T540" i="23"/>
  <c r="W540" i="23" s="1"/>
  <c r="T541" i="23"/>
  <c r="W541" i="23" s="1"/>
  <c r="T542" i="23"/>
  <c r="W542" i="23" s="1"/>
  <c r="T543" i="23"/>
  <c r="W543" i="23" s="1"/>
  <c r="T544" i="23"/>
  <c r="W544" i="23" s="1"/>
  <c r="T545" i="23"/>
  <c r="W545" i="23" s="1"/>
  <c r="T546" i="23"/>
  <c r="W546" i="23" s="1"/>
  <c r="T547" i="23"/>
  <c r="W547" i="23" s="1"/>
  <c r="T548" i="23"/>
  <c r="W548" i="23" s="1"/>
  <c r="T549" i="23"/>
  <c r="W549" i="23" s="1"/>
  <c r="T550" i="23"/>
  <c r="W550" i="23" s="1"/>
  <c r="T551" i="23"/>
  <c r="W551" i="23" s="1"/>
  <c r="T552" i="23"/>
  <c r="W552" i="23" s="1"/>
  <c r="T553" i="23"/>
  <c r="W553" i="23" s="1"/>
  <c r="T554" i="23"/>
  <c r="W554" i="23" s="1"/>
  <c r="T555" i="23"/>
  <c r="W555" i="23" s="1"/>
  <c r="T556" i="23"/>
  <c r="W556" i="23" s="1"/>
  <c r="T557" i="23"/>
  <c r="W557" i="23" s="1"/>
  <c r="T558" i="23"/>
  <c r="W558" i="23" s="1"/>
  <c r="T559" i="23"/>
  <c r="W559" i="23" s="1"/>
  <c r="T560" i="23"/>
  <c r="W560" i="23" s="1"/>
  <c r="T561" i="23"/>
  <c r="W561" i="23" s="1"/>
  <c r="T562" i="23"/>
  <c r="W562" i="23" s="1"/>
  <c r="T563" i="23"/>
  <c r="W563" i="23" s="1"/>
  <c r="T564" i="23"/>
  <c r="W564" i="23" s="1"/>
  <c r="T565" i="23"/>
  <c r="W565" i="23" s="1"/>
  <c r="T566" i="23"/>
  <c r="W566" i="23" s="1"/>
  <c r="T567" i="23"/>
  <c r="W567" i="23" s="1"/>
  <c r="T568" i="23"/>
  <c r="W568" i="23" s="1"/>
  <c r="T569" i="23"/>
  <c r="W569" i="23" s="1"/>
  <c r="T570" i="23"/>
  <c r="W570" i="23" s="1"/>
  <c r="T571" i="23"/>
  <c r="W571" i="23" s="1"/>
  <c r="T572" i="23"/>
  <c r="W572" i="23" s="1"/>
  <c r="T573" i="23"/>
  <c r="W573" i="23" s="1"/>
  <c r="T574" i="23"/>
  <c r="W574" i="23" s="1"/>
  <c r="T575" i="23"/>
  <c r="W575" i="23" s="1"/>
  <c r="T576" i="23"/>
  <c r="W576" i="23" s="1"/>
  <c r="T577" i="23"/>
  <c r="W577" i="23" s="1"/>
  <c r="T578" i="23"/>
  <c r="W578" i="23" s="1"/>
  <c r="T579" i="23"/>
  <c r="W579" i="23" s="1"/>
  <c r="T580" i="23"/>
  <c r="W580" i="23" s="1"/>
  <c r="T581" i="23"/>
  <c r="W581" i="23" s="1"/>
  <c r="T582" i="23"/>
  <c r="W582" i="23" s="1"/>
  <c r="T583" i="23"/>
  <c r="W583" i="23" s="1"/>
  <c r="T584" i="23"/>
  <c r="W584" i="23" s="1"/>
  <c r="T585" i="23"/>
  <c r="W585" i="23" s="1"/>
  <c r="T586" i="23"/>
  <c r="W586" i="23" s="1"/>
  <c r="T587" i="23"/>
  <c r="W587" i="23" s="1"/>
  <c r="T588" i="23"/>
  <c r="W588" i="23" s="1"/>
  <c r="T589" i="23"/>
  <c r="W589" i="23" s="1"/>
  <c r="T590" i="23"/>
  <c r="W590" i="23" s="1"/>
  <c r="T591" i="23"/>
  <c r="W591" i="23" s="1"/>
  <c r="T592" i="23"/>
  <c r="W592" i="23" s="1"/>
  <c r="T593" i="23"/>
  <c r="W593" i="23" s="1"/>
  <c r="T594" i="23"/>
  <c r="W594" i="23" s="1"/>
  <c r="T595" i="23"/>
  <c r="W595" i="23" s="1"/>
  <c r="T596" i="23"/>
  <c r="W596" i="23" s="1"/>
  <c r="T597" i="23"/>
  <c r="W597" i="23" s="1"/>
  <c r="T598" i="23"/>
  <c r="W598" i="23" s="1"/>
  <c r="T599" i="23"/>
  <c r="W599" i="23" s="1"/>
  <c r="T600" i="23"/>
  <c r="W600" i="23" s="1"/>
  <c r="T601" i="23"/>
  <c r="W601" i="23" s="1"/>
  <c r="T602" i="23"/>
  <c r="W602" i="23" s="1"/>
  <c r="T603" i="23"/>
  <c r="W603" i="23" s="1"/>
  <c r="T604" i="23"/>
  <c r="W604" i="23" s="1"/>
  <c r="T605" i="23"/>
  <c r="W605" i="23" s="1"/>
  <c r="T606" i="23"/>
  <c r="W606" i="23" s="1"/>
  <c r="T607" i="23"/>
  <c r="W607" i="23" s="1"/>
  <c r="T608" i="23"/>
  <c r="W608" i="23" s="1"/>
  <c r="T609" i="23"/>
  <c r="W609" i="23" s="1"/>
  <c r="T610" i="23"/>
  <c r="W610" i="23" s="1"/>
  <c r="T611" i="23"/>
  <c r="W611" i="23" s="1"/>
  <c r="T612" i="23"/>
  <c r="W612" i="23" s="1"/>
  <c r="T613" i="23"/>
  <c r="W613" i="23" s="1"/>
  <c r="T614" i="23"/>
  <c r="W614" i="23" s="1"/>
  <c r="T615" i="23"/>
  <c r="W615" i="23" s="1"/>
  <c r="T616" i="23"/>
  <c r="W616" i="23" s="1"/>
  <c r="T617" i="23"/>
  <c r="W617" i="23" s="1"/>
  <c r="T618" i="23"/>
  <c r="W618" i="23" s="1"/>
  <c r="T619" i="23"/>
  <c r="W619" i="23" s="1"/>
  <c r="T620" i="23"/>
  <c r="W620" i="23" s="1"/>
  <c r="T621" i="23"/>
  <c r="W621" i="23" s="1"/>
  <c r="T622" i="23"/>
  <c r="W622" i="23" s="1"/>
  <c r="T623" i="23"/>
  <c r="W623" i="23" s="1"/>
  <c r="T624" i="23"/>
  <c r="W624" i="23" s="1"/>
  <c r="T625" i="23"/>
  <c r="W625" i="23" s="1"/>
  <c r="T626" i="23"/>
  <c r="W626" i="23" s="1"/>
  <c r="T627" i="23"/>
  <c r="W627" i="23" s="1"/>
  <c r="T628" i="23"/>
  <c r="W628" i="23" s="1"/>
  <c r="T629" i="23"/>
  <c r="W629" i="23" s="1"/>
  <c r="T630" i="23"/>
  <c r="W630" i="23" s="1"/>
  <c r="T631" i="23"/>
  <c r="W631" i="23" s="1"/>
  <c r="T632" i="23"/>
  <c r="W632" i="23" s="1"/>
  <c r="T633" i="23"/>
  <c r="W633" i="23" s="1"/>
  <c r="T634" i="23"/>
  <c r="W634" i="23" s="1"/>
  <c r="T635" i="23"/>
  <c r="W635" i="23" s="1"/>
  <c r="T636" i="23"/>
  <c r="W636" i="23" s="1"/>
  <c r="T637" i="23"/>
  <c r="W637" i="23" s="1"/>
  <c r="T638" i="23"/>
  <c r="W638" i="23" s="1"/>
  <c r="T639" i="23"/>
  <c r="W639" i="23" s="1"/>
  <c r="T640" i="23"/>
  <c r="W640" i="23" s="1"/>
  <c r="T641" i="23"/>
  <c r="W641" i="23" s="1"/>
  <c r="T642" i="23"/>
  <c r="W642" i="23" s="1"/>
  <c r="T643" i="23"/>
  <c r="W643" i="23" s="1"/>
  <c r="T644" i="23"/>
  <c r="W644" i="23" s="1"/>
  <c r="T645" i="23"/>
  <c r="W645" i="23" s="1"/>
  <c r="T646" i="23"/>
  <c r="W646" i="23" s="1"/>
  <c r="T647" i="23"/>
  <c r="W647" i="23" s="1"/>
  <c r="T648" i="23"/>
  <c r="W648" i="23" s="1"/>
  <c r="T649" i="23"/>
  <c r="W649" i="23" s="1"/>
  <c r="T650" i="23"/>
  <c r="W650" i="23" s="1"/>
  <c r="T651" i="23"/>
  <c r="W651" i="23" s="1"/>
  <c r="T652" i="23"/>
  <c r="W652" i="23" s="1"/>
  <c r="T653" i="23"/>
  <c r="W653" i="23" s="1"/>
  <c r="T654" i="23"/>
  <c r="W654" i="23" s="1"/>
  <c r="T655" i="23"/>
  <c r="W655" i="23" s="1"/>
  <c r="T656" i="23"/>
  <c r="W656" i="23" s="1"/>
  <c r="T657" i="23"/>
  <c r="W657" i="23" s="1"/>
  <c r="T658" i="23"/>
  <c r="W658" i="23" s="1"/>
  <c r="T659" i="23"/>
  <c r="W659" i="23" s="1"/>
  <c r="T660" i="23"/>
  <c r="W660" i="23" s="1"/>
  <c r="T661" i="23"/>
  <c r="W661" i="23" s="1"/>
  <c r="T662" i="23"/>
  <c r="W662" i="23" s="1"/>
  <c r="T663" i="23"/>
  <c r="W663" i="23" s="1"/>
  <c r="T664" i="23"/>
  <c r="W664" i="23" s="1"/>
  <c r="T665" i="23"/>
  <c r="W665" i="23" s="1"/>
  <c r="T666" i="23"/>
  <c r="W666" i="23" s="1"/>
  <c r="T667" i="23"/>
  <c r="W667" i="23" s="1"/>
  <c r="T668" i="23"/>
  <c r="W668" i="23" s="1"/>
  <c r="T669" i="23"/>
  <c r="W669" i="23" s="1"/>
  <c r="T670" i="23"/>
  <c r="W670" i="23" s="1"/>
  <c r="T671" i="23"/>
  <c r="W671" i="23" s="1"/>
  <c r="T672" i="23"/>
  <c r="W672" i="23" s="1"/>
  <c r="T673" i="23"/>
  <c r="W673" i="23" s="1"/>
  <c r="T674" i="23"/>
  <c r="W674" i="23" s="1"/>
  <c r="T675" i="23"/>
  <c r="W675" i="23" s="1"/>
  <c r="T676" i="23"/>
  <c r="W676" i="23" s="1"/>
  <c r="T677" i="23"/>
  <c r="W677" i="23" s="1"/>
  <c r="T678" i="23"/>
  <c r="W678" i="23" s="1"/>
  <c r="T679" i="23"/>
  <c r="W679" i="23" s="1"/>
  <c r="W680" i="23"/>
  <c r="W681" i="23"/>
  <c r="W682" i="23"/>
  <c r="W683" i="23"/>
  <c r="T684" i="23"/>
  <c r="T685" i="23"/>
  <c r="W685" i="23" s="1"/>
  <c r="T686" i="23"/>
  <c r="W686" i="23" s="1"/>
  <c r="T687" i="23"/>
  <c r="T688" i="23"/>
  <c r="W688" i="23" s="1"/>
  <c r="T689" i="23"/>
  <c r="T690" i="23"/>
  <c r="W690" i="23" s="1"/>
  <c r="T691" i="23"/>
  <c r="W691" i="23" s="1"/>
  <c r="T692" i="23"/>
  <c r="T693" i="23"/>
  <c r="W693" i="23" s="1"/>
  <c r="T694" i="23"/>
  <c r="W694" i="23" s="1"/>
  <c r="T695" i="23"/>
  <c r="T696" i="23"/>
  <c r="W696" i="23" s="1"/>
  <c r="T697" i="23"/>
  <c r="T698" i="23"/>
  <c r="W698" i="23" s="1"/>
  <c r="T699" i="23"/>
  <c r="T700" i="23"/>
  <c r="T701" i="23"/>
  <c r="W701" i="23" s="1"/>
  <c r="T702" i="23"/>
  <c r="W702" i="23" s="1"/>
  <c r="T703" i="23"/>
  <c r="W703" i="23" s="1"/>
  <c r="T704" i="23"/>
  <c r="W704" i="23" s="1"/>
  <c r="T705" i="23"/>
  <c r="T706" i="23"/>
  <c r="T707" i="23"/>
  <c r="T708" i="23"/>
  <c r="W708" i="23" s="1"/>
  <c r="T709" i="23"/>
  <c r="T710" i="23"/>
  <c r="W710" i="23" s="1"/>
  <c r="T711" i="23"/>
  <c r="W711" i="23" s="1"/>
  <c r="T712" i="23"/>
  <c r="W712" i="23" s="1"/>
  <c r="T713" i="23"/>
  <c r="W713" i="23" s="1"/>
  <c r="T714" i="23"/>
  <c r="W714" i="23" s="1"/>
  <c r="T715" i="23"/>
  <c r="T716" i="23"/>
  <c r="W716" i="23" s="1"/>
  <c r="T717" i="23"/>
  <c r="W717" i="23" s="1"/>
  <c r="T718" i="23"/>
  <c r="T719" i="23"/>
  <c r="W719" i="23" s="1"/>
  <c r="T720" i="23"/>
  <c r="W720" i="23" s="1"/>
  <c r="T721" i="23"/>
  <c r="W721" i="23" s="1"/>
  <c r="T722" i="23"/>
  <c r="W722" i="23" s="1"/>
  <c r="T723" i="23"/>
  <c r="W723" i="23" s="1"/>
  <c r="T724" i="23"/>
  <c r="W724" i="23" s="1"/>
  <c r="T725" i="23"/>
  <c r="W725" i="23" s="1"/>
  <c r="T726" i="23"/>
  <c r="W726" i="23" s="1"/>
  <c r="T727" i="23"/>
  <c r="W727" i="23" s="1"/>
  <c r="T728" i="23"/>
  <c r="W728" i="23" s="1"/>
  <c r="T729" i="23"/>
  <c r="W729" i="23" s="1"/>
  <c r="T730" i="23"/>
  <c r="W730" i="23" s="1"/>
  <c r="T731" i="23"/>
  <c r="W731" i="23" s="1"/>
  <c r="T732" i="23"/>
  <c r="T733" i="23"/>
  <c r="W733" i="23" s="1"/>
  <c r="T734" i="23"/>
  <c r="W734" i="23" s="1"/>
  <c r="T735" i="23"/>
  <c r="T736" i="23"/>
  <c r="W736" i="23" s="1"/>
  <c r="T737" i="23"/>
  <c r="W737" i="23" s="1"/>
  <c r="T738" i="23"/>
  <c r="W738" i="23" s="1"/>
  <c r="T739" i="23"/>
  <c r="T740" i="23"/>
  <c r="W740" i="23" s="1"/>
  <c r="T741" i="23"/>
  <c r="W741" i="23" s="1"/>
  <c r="T742" i="23"/>
  <c r="W742" i="23" s="1"/>
  <c r="T743" i="23"/>
  <c r="W743" i="23" s="1"/>
  <c r="T744" i="23"/>
  <c r="W744" i="23" s="1"/>
  <c r="T745" i="23"/>
  <c r="W745" i="23" s="1"/>
  <c r="T746" i="23"/>
  <c r="W746" i="23" s="1"/>
  <c r="T747" i="23"/>
  <c r="W747" i="23" s="1"/>
  <c r="T748" i="23"/>
  <c r="W748" i="23" s="1"/>
  <c r="T749" i="23"/>
  <c r="W749" i="23" s="1"/>
  <c r="T750" i="23"/>
  <c r="W750" i="23" s="1"/>
  <c r="T751" i="23"/>
  <c r="W751" i="23" s="1"/>
  <c r="T752" i="23"/>
  <c r="W752" i="23" s="1"/>
  <c r="T753" i="23"/>
  <c r="W753" i="23" s="1"/>
  <c r="T754" i="23"/>
  <c r="W754" i="23" s="1"/>
  <c r="T755" i="23"/>
  <c r="T756" i="23"/>
  <c r="T757" i="23"/>
  <c r="W757" i="23" s="1"/>
  <c r="T758" i="23"/>
  <c r="T759" i="23"/>
  <c r="W759" i="23" s="1"/>
  <c r="T760" i="23"/>
  <c r="T761" i="23"/>
  <c r="T762" i="23"/>
  <c r="T763" i="23"/>
  <c r="W763" i="23" s="1"/>
  <c r="T764" i="23"/>
  <c r="W764" i="23" s="1"/>
  <c r="T765" i="23"/>
  <c r="W765" i="23" s="1"/>
  <c r="T766" i="23"/>
  <c r="W766" i="23" s="1"/>
  <c r="T767" i="23"/>
  <c r="W767" i="23" s="1"/>
  <c r="T768" i="23"/>
  <c r="W768" i="23" s="1"/>
  <c r="T769" i="23"/>
  <c r="W769" i="23" s="1"/>
  <c r="T770" i="23"/>
  <c r="W770" i="23" s="1"/>
  <c r="T771" i="23"/>
  <c r="T772" i="23"/>
  <c r="W772" i="23" s="1"/>
  <c r="T773" i="23"/>
  <c r="W773" i="23" s="1"/>
  <c r="T774" i="23"/>
  <c r="W774" i="23" s="1"/>
  <c r="T775" i="23"/>
  <c r="W775" i="23" s="1"/>
  <c r="T776" i="23"/>
  <c r="AA776" i="23" s="1"/>
  <c r="T777" i="23"/>
  <c r="W777" i="23" s="1"/>
  <c r="T778" i="23"/>
  <c r="T779" i="23"/>
  <c r="T780" i="23"/>
  <c r="T781" i="23"/>
  <c r="W781" i="23" s="1"/>
  <c r="T782" i="23"/>
  <c r="AA782" i="23" s="1"/>
  <c r="T783" i="23"/>
  <c r="T784" i="23"/>
  <c r="W784" i="23" s="1"/>
  <c r="T785" i="23"/>
  <c r="T786" i="23"/>
  <c r="T787" i="23"/>
  <c r="AA787" i="23" s="1"/>
  <c r="T788" i="23"/>
  <c r="T789" i="23"/>
  <c r="T790" i="23"/>
  <c r="AA790" i="23" s="1"/>
  <c r="T791" i="23"/>
  <c r="T792" i="23"/>
  <c r="AA792" i="23" s="1"/>
  <c r="T793" i="23"/>
  <c r="W793" i="23" s="1"/>
  <c r="T794" i="23"/>
  <c r="T795" i="23"/>
  <c r="T796" i="23"/>
  <c r="W796" i="23" s="1"/>
  <c r="T797" i="23"/>
  <c r="T798" i="23"/>
  <c r="AA798" i="23" s="1"/>
  <c r="T799" i="23"/>
  <c r="AA799" i="23" s="1"/>
  <c r="T800" i="23"/>
  <c r="AA800" i="23" s="1"/>
  <c r="T801" i="23"/>
  <c r="W801" i="23" s="1"/>
  <c r="T802" i="23"/>
  <c r="T803" i="23"/>
  <c r="T804" i="23"/>
  <c r="T805" i="23"/>
  <c r="W805" i="23" s="1"/>
  <c r="T806" i="23"/>
  <c r="AA806" i="23" s="1"/>
  <c r="T807" i="23"/>
  <c r="W807" i="23" s="1"/>
  <c r="T808" i="23"/>
  <c r="W808" i="23" s="1"/>
  <c r="T809" i="23"/>
  <c r="T810" i="23"/>
  <c r="T811" i="23"/>
  <c r="T812" i="23"/>
  <c r="T813" i="23"/>
  <c r="W813" i="23" s="1"/>
  <c r="T814" i="23"/>
  <c r="AA814" i="23" s="1"/>
  <c r="T815" i="23"/>
  <c r="AA815" i="23" s="1"/>
  <c r="T816" i="23"/>
  <c r="T817" i="23"/>
  <c r="T818" i="23"/>
  <c r="T819" i="23"/>
  <c r="AA819" i="23" s="1"/>
  <c r="T820" i="23"/>
  <c r="AA820" i="23" s="1"/>
  <c r="T821" i="23"/>
  <c r="T822" i="23"/>
  <c r="W822" i="23" s="1"/>
  <c r="T823" i="23"/>
  <c r="AA823" i="23" s="1"/>
  <c r="T824" i="23"/>
  <c r="W824" i="23" s="1"/>
  <c r="T825" i="23"/>
  <c r="T826" i="23"/>
  <c r="W826" i="23" s="1"/>
  <c r="T827" i="23"/>
  <c r="R2" i="23"/>
  <c r="R3" i="23"/>
  <c r="R4" i="23"/>
  <c r="R5" i="23"/>
  <c r="R6" i="23"/>
  <c r="R7" i="23"/>
  <c r="R8" i="23"/>
  <c r="R9" i="23"/>
  <c r="R10" i="23"/>
  <c r="R11" i="23"/>
  <c r="R12"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4" i="23"/>
  <c r="R55" i="23"/>
  <c r="R56" i="23"/>
  <c r="R57" i="23"/>
  <c r="R58"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129" i="23"/>
  <c r="R130" i="23"/>
  <c r="R131" i="23"/>
  <c r="R132" i="23"/>
  <c r="R133" i="23"/>
  <c r="R134" i="23"/>
  <c r="R135" i="23"/>
  <c r="R136" i="23"/>
  <c r="R137" i="23"/>
  <c r="R138" i="23"/>
  <c r="R139" i="23"/>
  <c r="R140" i="23"/>
  <c r="R141" i="23"/>
  <c r="R142" i="23"/>
  <c r="R143" i="23"/>
  <c r="R144" i="23"/>
  <c r="R145" i="23"/>
  <c r="R146" i="23"/>
  <c r="R147" i="23"/>
  <c r="R148" i="23"/>
  <c r="R149" i="23"/>
  <c r="R150" i="23"/>
  <c r="R151" i="23"/>
  <c r="R152" i="23"/>
  <c r="R153" i="23"/>
  <c r="R154" i="23"/>
  <c r="R155" i="23"/>
  <c r="R156" i="23"/>
  <c r="R157" i="23"/>
  <c r="R158" i="23"/>
  <c r="R159" i="23"/>
  <c r="R160" i="23"/>
  <c r="R161" i="23"/>
  <c r="R162" i="23"/>
  <c r="R163" i="23"/>
  <c r="R164" i="23"/>
  <c r="R165" i="23"/>
  <c r="R166" i="23"/>
  <c r="R167" i="23"/>
  <c r="R168" i="23"/>
  <c r="R169" i="23"/>
  <c r="R170" i="23"/>
  <c r="R171" i="23"/>
  <c r="R172" i="23"/>
  <c r="R173" i="23"/>
  <c r="R174" i="23"/>
  <c r="R175" i="23"/>
  <c r="R176" i="23"/>
  <c r="R177" i="23"/>
  <c r="R178" i="23"/>
  <c r="R179" i="23"/>
  <c r="R180" i="23"/>
  <c r="R181" i="23"/>
  <c r="R182" i="23"/>
  <c r="R183" i="23"/>
  <c r="R184" i="23"/>
  <c r="R185" i="23"/>
  <c r="R186" i="23"/>
  <c r="R187" i="23"/>
  <c r="R188" i="23"/>
  <c r="R189" i="23"/>
  <c r="R190" i="23"/>
  <c r="R191" i="23"/>
  <c r="R192" i="23"/>
  <c r="R193" i="23"/>
  <c r="R194" i="23"/>
  <c r="R195" i="23"/>
  <c r="R196" i="23"/>
  <c r="R197" i="23"/>
  <c r="R198" i="23"/>
  <c r="R199" i="23"/>
  <c r="R200" i="23"/>
  <c r="R201" i="23"/>
  <c r="R202" i="23"/>
  <c r="R203" i="23"/>
  <c r="R204" i="23"/>
  <c r="R205" i="23"/>
  <c r="R206" i="23"/>
  <c r="R207" i="23"/>
  <c r="R208" i="23"/>
  <c r="R209" i="23"/>
  <c r="R210" i="23"/>
  <c r="R211" i="23"/>
  <c r="R212" i="23"/>
  <c r="R213" i="23"/>
  <c r="R214" i="23"/>
  <c r="R215" i="23"/>
  <c r="R216" i="23"/>
  <c r="R217" i="23"/>
  <c r="R218" i="23"/>
  <c r="R219" i="23"/>
  <c r="R220" i="23"/>
  <c r="R221" i="23"/>
  <c r="R222" i="23"/>
  <c r="R223" i="23"/>
  <c r="R224" i="23"/>
  <c r="R225" i="23"/>
  <c r="R226" i="23"/>
  <c r="R227" i="23"/>
  <c r="R228" i="23"/>
  <c r="R229" i="23"/>
  <c r="R230" i="23"/>
  <c r="R231" i="23"/>
  <c r="R232" i="23"/>
  <c r="R233" i="23"/>
  <c r="R234" i="23"/>
  <c r="R235" i="23"/>
  <c r="R236" i="23"/>
  <c r="R237" i="23"/>
  <c r="R238" i="23"/>
  <c r="R239" i="23"/>
  <c r="R240" i="23"/>
  <c r="R241" i="23"/>
  <c r="R242" i="23"/>
  <c r="R243" i="23"/>
  <c r="R244" i="23"/>
  <c r="R245" i="23"/>
  <c r="R246" i="23"/>
  <c r="R247" i="23"/>
  <c r="R248" i="23"/>
  <c r="R249" i="23"/>
  <c r="R250" i="23"/>
  <c r="R251" i="23"/>
  <c r="R252" i="23"/>
  <c r="R253" i="23"/>
  <c r="R254" i="23"/>
  <c r="R255" i="23"/>
  <c r="R256" i="23"/>
  <c r="R257" i="23"/>
  <c r="R258" i="23"/>
  <c r="R259" i="23"/>
  <c r="R260" i="23"/>
  <c r="R261" i="23"/>
  <c r="R262" i="23"/>
  <c r="R263" i="23"/>
  <c r="R264" i="23"/>
  <c r="R265" i="23"/>
  <c r="R266" i="23"/>
  <c r="R267" i="23"/>
  <c r="R268" i="23"/>
  <c r="R269" i="23"/>
  <c r="R270" i="23"/>
  <c r="R271" i="23"/>
  <c r="R272" i="23"/>
  <c r="R273" i="23"/>
  <c r="R274" i="23"/>
  <c r="R275" i="23"/>
  <c r="R276" i="23"/>
  <c r="R277" i="23"/>
  <c r="R278" i="23"/>
  <c r="R279" i="23"/>
  <c r="R280" i="23"/>
  <c r="R281" i="23"/>
  <c r="R282" i="23"/>
  <c r="R283" i="23"/>
  <c r="R284" i="23"/>
  <c r="R285" i="23"/>
  <c r="R286" i="23"/>
  <c r="R287" i="23"/>
  <c r="R288" i="23"/>
  <c r="R289" i="23"/>
  <c r="R290" i="23"/>
  <c r="R291" i="23"/>
  <c r="R292" i="23"/>
  <c r="R293" i="23"/>
  <c r="R294" i="23"/>
  <c r="R295" i="23"/>
  <c r="R296" i="23"/>
  <c r="R297" i="23"/>
  <c r="R298" i="23"/>
  <c r="R299" i="23"/>
  <c r="R300" i="23"/>
  <c r="R301" i="23"/>
  <c r="R302" i="23"/>
  <c r="R303" i="23"/>
  <c r="R304" i="23"/>
  <c r="R305" i="23"/>
  <c r="R306" i="23"/>
  <c r="R307" i="23"/>
  <c r="R308" i="23"/>
  <c r="R309" i="23"/>
  <c r="R310" i="23"/>
  <c r="R311" i="23"/>
  <c r="R312" i="23"/>
  <c r="R313" i="23"/>
  <c r="R314" i="23"/>
  <c r="R315" i="23"/>
  <c r="R316" i="23"/>
  <c r="R317" i="23"/>
  <c r="R318" i="23"/>
  <c r="R319" i="23"/>
  <c r="R320" i="23"/>
  <c r="R321" i="23"/>
  <c r="R322" i="23"/>
  <c r="R323" i="23"/>
  <c r="R324" i="23"/>
  <c r="R325" i="23"/>
  <c r="R326" i="23"/>
  <c r="R327" i="23"/>
  <c r="R328" i="23"/>
  <c r="R329" i="23"/>
  <c r="R330" i="23"/>
  <c r="R331" i="23"/>
  <c r="R332" i="23"/>
  <c r="R333" i="23"/>
  <c r="R334" i="23"/>
  <c r="R335" i="23"/>
  <c r="R336" i="23"/>
  <c r="R337" i="23"/>
  <c r="R338" i="23"/>
  <c r="R339" i="23"/>
  <c r="R340" i="23"/>
  <c r="R341" i="23"/>
  <c r="R342" i="23"/>
  <c r="R343" i="23"/>
  <c r="R344" i="23"/>
  <c r="R345" i="23"/>
  <c r="R346" i="23"/>
  <c r="R347" i="23"/>
  <c r="R348" i="23"/>
  <c r="R349" i="23"/>
  <c r="R350" i="23"/>
  <c r="R351" i="23"/>
  <c r="R352" i="23"/>
  <c r="R353" i="23"/>
  <c r="R354" i="23"/>
  <c r="R355" i="23"/>
  <c r="R356" i="23"/>
  <c r="R357" i="23"/>
  <c r="R358" i="23"/>
  <c r="R359" i="23"/>
  <c r="R360" i="23"/>
  <c r="R361" i="23"/>
  <c r="R362" i="23"/>
  <c r="R363" i="23"/>
  <c r="R364" i="23"/>
  <c r="R365" i="23"/>
  <c r="R366" i="23"/>
  <c r="R367" i="23"/>
  <c r="R368" i="23"/>
  <c r="R369" i="23"/>
  <c r="R370" i="23"/>
  <c r="R371" i="23"/>
  <c r="R372" i="23"/>
  <c r="R373" i="23"/>
  <c r="R374" i="23"/>
  <c r="R375" i="23"/>
  <c r="R376" i="23"/>
  <c r="R377" i="23"/>
  <c r="R378" i="23"/>
  <c r="R379" i="23"/>
  <c r="R380" i="23"/>
  <c r="R381" i="23"/>
  <c r="R382" i="23"/>
  <c r="R383" i="23"/>
  <c r="R384" i="23"/>
  <c r="R385" i="23"/>
  <c r="R386" i="23"/>
  <c r="R387" i="23"/>
  <c r="R388" i="23"/>
  <c r="R389" i="23"/>
  <c r="R390" i="23"/>
  <c r="R391" i="23"/>
  <c r="R392" i="23"/>
  <c r="R393" i="23"/>
  <c r="R394" i="23"/>
  <c r="R395" i="23"/>
  <c r="R396" i="23"/>
  <c r="R397" i="23"/>
  <c r="R398" i="23"/>
  <c r="R399" i="23"/>
  <c r="R400" i="23"/>
  <c r="R401" i="23"/>
  <c r="R402" i="23"/>
  <c r="R403" i="23"/>
  <c r="R404" i="23"/>
  <c r="R405" i="23"/>
  <c r="R406" i="23"/>
  <c r="R407" i="23"/>
  <c r="R408" i="23"/>
  <c r="R409" i="23"/>
  <c r="R410" i="23"/>
  <c r="R411" i="23"/>
  <c r="R412" i="23"/>
  <c r="R413" i="23"/>
  <c r="R414" i="23"/>
  <c r="R415" i="23"/>
  <c r="R416" i="23"/>
  <c r="R417" i="23"/>
  <c r="R418" i="23"/>
  <c r="R419" i="23"/>
  <c r="R420" i="23"/>
  <c r="R421" i="23"/>
  <c r="R422" i="23"/>
  <c r="R423" i="23"/>
  <c r="R424" i="23"/>
  <c r="R425" i="23"/>
  <c r="R426" i="23"/>
  <c r="R427" i="23"/>
  <c r="R428" i="23"/>
  <c r="R429" i="23"/>
  <c r="R430" i="23"/>
  <c r="R431" i="23"/>
  <c r="R432" i="23"/>
  <c r="R433" i="23"/>
  <c r="R434" i="23"/>
  <c r="R435" i="23"/>
  <c r="R436" i="23"/>
  <c r="R437" i="23"/>
  <c r="R438" i="23"/>
  <c r="R439" i="23"/>
  <c r="R440" i="23"/>
  <c r="R441" i="23"/>
  <c r="R442" i="23"/>
  <c r="R443" i="23"/>
  <c r="R444" i="23"/>
  <c r="R445" i="23"/>
  <c r="R446" i="23"/>
  <c r="R447" i="23"/>
  <c r="R448" i="23"/>
  <c r="R449" i="23"/>
  <c r="R450" i="23"/>
  <c r="R451" i="23"/>
  <c r="R452" i="23"/>
  <c r="R453" i="23"/>
  <c r="R454" i="23"/>
  <c r="R455" i="23"/>
  <c r="R456" i="23"/>
  <c r="R457" i="23"/>
  <c r="R458" i="23"/>
  <c r="R459" i="23"/>
  <c r="R460" i="23"/>
  <c r="R461" i="23"/>
  <c r="R462" i="23"/>
  <c r="R463" i="23"/>
  <c r="R464" i="23"/>
  <c r="R465" i="23"/>
  <c r="R466" i="23"/>
  <c r="R467" i="23"/>
  <c r="R468" i="23"/>
  <c r="R469" i="23"/>
  <c r="R470" i="23"/>
  <c r="R471" i="23"/>
  <c r="R472" i="23"/>
  <c r="R473" i="23"/>
  <c r="R474" i="23"/>
  <c r="R475" i="23"/>
  <c r="R476" i="23"/>
  <c r="R477" i="23"/>
  <c r="R478" i="23"/>
  <c r="R479" i="23"/>
  <c r="R480" i="23"/>
  <c r="R481" i="23"/>
  <c r="R482" i="23"/>
  <c r="R483" i="23"/>
  <c r="R484" i="23"/>
  <c r="R485" i="23"/>
  <c r="R486" i="23"/>
  <c r="R487" i="23"/>
  <c r="R488" i="23"/>
  <c r="R489" i="23"/>
  <c r="R490" i="23"/>
  <c r="R491" i="23"/>
  <c r="R492" i="23"/>
  <c r="R493" i="23"/>
  <c r="R494" i="23"/>
  <c r="R495" i="23"/>
  <c r="R496" i="23"/>
  <c r="R497" i="23"/>
  <c r="R498" i="23"/>
  <c r="R499" i="23"/>
  <c r="R500" i="23"/>
  <c r="R501" i="23"/>
  <c r="R502" i="23"/>
  <c r="R503" i="23"/>
  <c r="R504" i="23"/>
  <c r="R505" i="23"/>
  <c r="R506" i="23"/>
  <c r="R507" i="23"/>
  <c r="R508" i="23"/>
  <c r="R509" i="23"/>
  <c r="R510" i="23"/>
  <c r="R511" i="23"/>
  <c r="R512" i="23"/>
  <c r="R513" i="23"/>
  <c r="R514" i="23"/>
  <c r="R515" i="23"/>
  <c r="R516" i="23"/>
  <c r="R517" i="23"/>
  <c r="R518" i="23"/>
  <c r="R519" i="23"/>
  <c r="R520" i="23"/>
  <c r="R521" i="23"/>
  <c r="R522" i="23"/>
  <c r="R523" i="23"/>
  <c r="R524" i="23"/>
  <c r="R525" i="23"/>
  <c r="R526" i="23"/>
  <c r="R527" i="23"/>
  <c r="R528" i="23"/>
  <c r="R529" i="23"/>
  <c r="R530" i="23"/>
  <c r="R531" i="23"/>
  <c r="R532" i="23"/>
  <c r="R533" i="23"/>
  <c r="R534" i="23"/>
  <c r="R535" i="23"/>
  <c r="R536" i="23"/>
  <c r="R537" i="23"/>
  <c r="R538" i="23"/>
  <c r="R539" i="23"/>
  <c r="R540" i="23"/>
  <c r="R541" i="23"/>
  <c r="R542" i="23"/>
  <c r="R543" i="23"/>
  <c r="R544" i="23"/>
  <c r="R545" i="23"/>
  <c r="R546" i="23"/>
  <c r="R547" i="23"/>
  <c r="R548" i="23"/>
  <c r="R549" i="23"/>
  <c r="R550" i="23"/>
  <c r="R551" i="23"/>
  <c r="R552" i="23"/>
  <c r="R553" i="23"/>
  <c r="R554" i="23"/>
  <c r="R555" i="23"/>
  <c r="R556" i="23"/>
  <c r="R557" i="23"/>
  <c r="R558" i="23"/>
  <c r="R559" i="23"/>
  <c r="R560" i="23"/>
  <c r="R561" i="23"/>
  <c r="R562" i="23"/>
  <c r="R563" i="23"/>
  <c r="R564" i="23"/>
  <c r="R565" i="23"/>
  <c r="R566" i="23"/>
  <c r="R567" i="23"/>
  <c r="R568" i="23"/>
  <c r="R569" i="23"/>
  <c r="R570" i="23"/>
  <c r="R571" i="23"/>
  <c r="R572" i="23"/>
  <c r="R573" i="23"/>
  <c r="R574" i="23"/>
  <c r="R575" i="23"/>
  <c r="R576" i="23"/>
  <c r="R577" i="23"/>
  <c r="R578" i="23"/>
  <c r="R579" i="23"/>
  <c r="R580" i="23"/>
  <c r="R581" i="23"/>
  <c r="R582" i="23"/>
  <c r="R583" i="23"/>
  <c r="R584" i="23"/>
  <c r="R585" i="23"/>
  <c r="R586" i="23"/>
  <c r="R587" i="23"/>
  <c r="R588" i="23"/>
  <c r="R589" i="23"/>
  <c r="R590" i="23"/>
  <c r="R591" i="23"/>
  <c r="R592" i="23"/>
  <c r="R593" i="23"/>
  <c r="R594" i="23"/>
  <c r="R595" i="23"/>
  <c r="R596" i="23"/>
  <c r="R597" i="23"/>
  <c r="R598" i="23"/>
  <c r="R599" i="23"/>
  <c r="R600" i="23"/>
  <c r="R601" i="23"/>
  <c r="R602" i="23"/>
  <c r="R603" i="23"/>
  <c r="R604" i="23"/>
  <c r="R605" i="23"/>
  <c r="R606" i="23"/>
  <c r="R607" i="23"/>
  <c r="R608" i="23"/>
  <c r="R609" i="23"/>
  <c r="R610" i="23"/>
  <c r="R611" i="23"/>
  <c r="R612" i="23"/>
  <c r="R613" i="23"/>
  <c r="R614" i="23"/>
  <c r="R615" i="23"/>
  <c r="R616" i="23"/>
  <c r="R617" i="23"/>
  <c r="R618" i="23"/>
  <c r="R619" i="23"/>
  <c r="R620" i="23"/>
  <c r="R621" i="23"/>
  <c r="R622" i="23"/>
  <c r="R623" i="23"/>
  <c r="R624" i="23"/>
  <c r="R625" i="23"/>
  <c r="R626" i="23"/>
  <c r="R627" i="23"/>
  <c r="R628" i="23"/>
  <c r="R629" i="23"/>
  <c r="R630" i="23"/>
  <c r="R631" i="23"/>
  <c r="R632" i="23"/>
  <c r="R633" i="23"/>
  <c r="R634" i="23"/>
  <c r="R635" i="23"/>
  <c r="R636" i="23"/>
  <c r="R637" i="23"/>
  <c r="R638" i="23"/>
  <c r="R639" i="23"/>
  <c r="R640" i="23"/>
  <c r="R641" i="23"/>
  <c r="R642" i="23"/>
  <c r="R643" i="23"/>
  <c r="R644" i="23"/>
  <c r="R645" i="23"/>
  <c r="R646" i="23"/>
  <c r="R647" i="23"/>
  <c r="R648" i="23"/>
  <c r="R649" i="23"/>
  <c r="R650" i="23"/>
  <c r="R651" i="23"/>
  <c r="R652" i="23"/>
  <c r="R653" i="23"/>
  <c r="R654" i="23"/>
  <c r="R655" i="23"/>
  <c r="R656" i="23"/>
  <c r="R657" i="23"/>
  <c r="R658" i="23"/>
  <c r="R659" i="23"/>
  <c r="R660" i="23"/>
  <c r="R661" i="23"/>
  <c r="R662" i="23"/>
  <c r="R663" i="23"/>
  <c r="R664" i="23"/>
  <c r="R665" i="23"/>
  <c r="R666" i="23"/>
  <c r="R667" i="23"/>
  <c r="R668" i="23"/>
  <c r="R669" i="23"/>
  <c r="R670" i="23"/>
  <c r="R671" i="23"/>
  <c r="R672" i="23"/>
  <c r="R673" i="23"/>
  <c r="R674" i="23"/>
  <c r="R675" i="23"/>
  <c r="R676" i="23"/>
  <c r="R677" i="23"/>
  <c r="R678" i="23"/>
  <c r="R679" i="23"/>
  <c r="R684" i="23"/>
  <c r="R685" i="23"/>
  <c r="R686" i="23"/>
  <c r="R687" i="23"/>
  <c r="R688" i="23"/>
  <c r="R689" i="23"/>
  <c r="R690" i="23"/>
  <c r="R691" i="23"/>
  <c r="R692" i="23"/>
  <c r="R693" i="23"/>
  <c r="R694" i="23"/>
  <c r="R695" i="23"/>
  <c r="R696" i="23"/>
  <c r="R697" i="23"/>
  <c r="R698" i="23"/>
  <c r="R699" i="23"/>
  <c r="R700" i="23"/>
  <c r="R701" i="23"/>
  <c r="R702" i="23"/>
  <c r="R703" i="23"/>
  <c r="R704" i="23"/>
  <c r="R705" i="23"/>
  <c r="R706" i="23"/>
  <c r="R707" i="23"/>
  <c r="R708" i="23"/>
  <c r="R709" i="23"/>
  <c r="R710" i="23"/>
  <c r="R711" i="23"/>
  <c r="R712" i="23"/>
  <c r="R713" i="23"/>
  <c r="R714" i="23"/>
  <c r="R715" i="23"/>
  <c r="R716" i="23"/>
  <c r="R717" i="23"/>
  <c r="R718" i="23"/>
  <c r="R719" i="23"/>
  <c r="R720" i="23"/>
  <c r="R721" i="23"/>
  <c r="R722" i="23"/>
  <c r="R723" i="23"/>
  <c r="R724" i="23"/>
  <c r="R725" i="23"/>
  <c r="R726" i="23"/>
  <c r="R727" i="23"/>
  <c r="R728" i="23"/>
  <c r="R729" i="23"/>
  <c r="R730" i="23"/>
  <c r="R731" i="23"/>
  <c r="R732" i="23"/>
  <c r="R733" i="23"/>
  <c r="R734" i="23"/>
  <c r="R735" i="23"/>
  <c r="R736" i="23"/>
  <c r="R737" i="23"/>
  <c r="R738" i="23"/>
  <c r="R739" i="23"/>
  <c r="R740" i="23"/>
  <c r="R741" i="23"/>
  <c r="R742" i="23"/>
  <c r="R743" i="23"/>
  <c r="R744" i="23"/>
  <c r="R745" i="23"/>
  <c r="R746" i="23"/>
  <c r="R747" i="23"/>
  <c r="R748" i="23"/>
  <c r="R749" i="23"/>
  <c r="R750" i="23"/>
  <c r="R751" i="23"/>
  <c r="R752" i="23"/>
  <c r="R753" i="23"/>
  <c r="R754" i="23"/>
  <c r="R755" i="23"/>
  <c r="R756" i="23"/>
  <c r="R757" i="23"/>
  <c r="R758" i="23"/>
  <c r="R759" i="23"/>
  <c r="R760" i="23"/>
  <c r="R761" i="23"/>
  <c r="R762" i="23"/>
  <c r="R763" i="23"/>
  <c r="R764" i="23"/>
  <c r="R765" i="23"/>
  <c r="R766" i="23"/>
  <c r="R767" i="23"/>
  <c r="R768" i="23"/>
  <c r="R769" i="23"/>
  <c r="R770" i="23"/>
  <c r="R771" i="23"/>
  <c r="R772" i="23"/>
  <c r="R773" i="23"/>
  <c r="R774" i="23"/>
  <c r="R775" i="23"/>
  <c r="R776" i="23"/>
  <c r="R777" i="23"/>
  <c r="R778" i="23"/>
  <c r="R779" i="23"/>
  <c r="R780" i="23"/>
  <c r="R781" i="23"/>
  <c r="R782" i="23"/>
  <c r="R783" i="23"/>
  <c r="R784" i="23"/>
  <c r="R785" i="23"/>
  <c r="R786" i="23"/>
  <c r="R787" i="23"/>
  <c r="R788" i="23"/>
  <c r="R789" i="23"/>
  <c r="R790" i="23"/>
  <c r="R791" i="23"/>
  <c r="R792" i="23"/>
  <c r="R793" i="23"/>
  <c r="R794" i="23"/>
  <c r="R795" i="23"/>
  <c r="R796" i="23"/>
  <c r="R797" i="23"/>
  <c r="R798" i="23"/>
  <c r="R799" i="23"/>
  <c r="R800" i="23"/>
  <c r="R801" i="23"/>
  <c r="R802" i="23"/>
  <c r="R803" i="23"/>
  <c r="R804" i="23"/>
  <c r="R805" i="23"/>
  <c r="R806" i="23"/>
  <c r="R807" i="23"/>
  <c r="R808" i="23"/>
  <c r="R809" i="23"/>
  <c r="R810" i="23"/>
  <c r="R811" i="23"/>
  <c r="R812" i="23"/>
  <c r="R813" i="23"/>
  <c r="R814" i="23"/>
  <c r="R815" i="23"/>
  <c r="R816" i="23"/>
  <c r="R817" i="23"/>
  <c r="R818" i="23"/>
  <c r="R819" i="23"/>
  <c r="R820" i="23"/>
  <c r="R821" i="23"/>
  <c r="R822" i="23"/>
  <c r="R823" i="23"/>
  <c r="R824" i="23"/>
  <c r="R825" i="23"/>
  <c r="R826" i="23"/>
  <c r="R827" i="23"/>
  <c r="B2" i="23"/>
  <c r="B3" i="23"/>
  <c r="B4" i="23"/>
  <c r="B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212" i="23"/>
  <c r="B213" i="23"/>
  <c r="B214" i="23"/>
  <c r="B215" i="23"/>
  <c r="B216" i="23"/>
  <c r="B217" i="23"/>
  <c r="B218" i="23"/>
  <c r="B219" i="23"/>
  <c r="B220" i="23"/>
  <c r="B221" i="23"/>
  <c r="B222" i="23"/>
  <c r="B223" i="23"/>
  <c r="B224" i="23"/>
  <c r="B225" i="23"/>
  <c r="B226" i="23"/>
  <c r="B227" i="23"/>
  <c r="B228" i="23"/>
  <c r="B229" i="23"/>
  <c r="B230" i="23"/>
  <c r="B231" i="23"/>
  <c r="B232" i="23"/>
  <c r="B233" i="23"/>
  <c r="B234" i="23"/>
  <c r="B235" i="23"/>
  <c r="B236" i="23"/>
  <c r="B237" i="23"/>
  <c r="B238" i="23"/>
  <c r="B239" i="23"/>
  <c r="B240" i="23"/>
  <c r="B241" i="23"/>
  <c r="B242" i="23"/>
  <c r="B243" i="23"/>
  <c r="B244" i="23"/>
  <c r="B245" i="23"/>
  <c r="B246" i="23"/>
  <c r="B247" i="23"/>
  <c r="B248" i="23"/>
  <c r="B249" i="23"/>
  <c r="B250" i="23"/>
  <c r="B251" i="23"/>
  <c r="B252" i="23"/>
  <c r="B253" i="23"/>
  <c r="B254" i="23"/>
  <c r="B255" i="23"/>
  <c r="B256" i="23"/>
  <c r="B257" i="23"/>
  <c r="B258" i="23"/>
  <c r="B259" i="23"/>
  <c r="B260" i="23"/>
  <c r="B261" i="23"/>
  <c r="B262" i="23"/>
  <c r="B263" i="23"/>
  <c r="B264" i="23"/>
  <c r="B265" i="23"/>
  <c r="B266" i="23"/>
  <c r="B267" i="23"/>
  <c r="B268" i="23"/>
  <c r="B269" i="23"/>
  <c r="B270" i="23"/>
  <c r="B271" i="23"/>
  <c r="B272" i="23"/>
  <c r="B273" i="23"/>
  <c r="B274" i="23"/>
  <c r="B275" i="23"/>
  <c r="B276" i="23"/>
  <c r="B277" i="23"/>
  <c r="B278" i="23"/>
  <c r="B279" i="23"/>
  <c r="B280" i="23"/>
  <c r="B281" i="23"/>
  <c r="B282" i="23"/>
  <c r="B283" i="23"/>
  <c r="B284" i="23"/>
  <c r="B285" i="23"/>
  <c r="B286" i="23"/>
  <c r="B287" i="23"/>
  <c r="B288" i="23"/>
  <c r="B289" i="23"/>
  <c r="B290" i="23"/>
  <c r="B291" i="23"/>
  <c r="B292" i="23"/>
  <c r="B293" i="23"/>
  <c r="B294" i="23"/>
  <c r="B295" i="23"/>
  <c r="B296" i="23"/>
  <c r="B297" i="23"/>
  <c r="B298" i="23"/>
  <c r="B299" i="23"/>
  <c r="B300" i="23"/>
  <c r="B301" i="23"/>
  <c r="B302" i="23"/>
  <c r="B303" i="23"/>
  <c r="B304" i="23"/>
  <c r="B305" i="23"/>
  <c r="B306" i="23"/>
  <c r="B307" i="23"/>
  <c r="B308" i="23"/>
  <c r="B309" i="23"/>
  <c r="B310" i="23"/>
  <c r="B311" i="23"/>
  <c r="B312" i="23"/>
  <c r="B313" i="23"/>
  <c r="B314" i="23"/>
  <c r="B315" i="23"/>
  <c r="B316" i="23"/>
  <c r="B317" i="23"/>
  <c r="B318" i="23"/>
  <c r="B319" i="23"/>
  <c r="B320" i="23"/>
  <c r="B321" i="23"/>
  <c r="B322" i="23"/>
  <c r="B323" i="23"/>
  <c r="B324" i="23"/>
  <c r="B325" i="23"/>
  <c r="B326" i="23"/>
  <c r="B327" i="23"/>
  <c r="B328" i="23"/>
  <c r="B329" i="23"/>
  <c r="B330" i="23"/>
  <c r="B331" i="23"/>
  <c r="B332" i="23"/>
  <c r="B333" i="23"/>
  <c r="B334" i="23"/>
  <c r="B335" i="23"/>
  <c r="B336" i="23"/>
  <c r="B337" i="23"/>
  <c r="B338" i="23"/>
  <c r="B339" i="23"/>
  <c r="B340" i="23"/>
  <c r="B341" i="23"/>
  <c r="B342" i="23"/>
  <c r="B343" i="23"/>
  <c r="B344" i="23"/>
  <c r="B345" i="23"/>
  <c r="B346" i="23"/>
  <c r="B347" i="23"/>
  <c r="B348" i="23"/>
  <c r="B349" i="23"/>
  <c r="B350" i="23"/>
  <c r="B351" i="23"/>
  <c r="B352" i="23"/>
  <c r="B353" i="23"/>
  <c r="B354" i="23"/>
  <c r="B355" i="23"/>
  <c r="B356" i="23"/>
  <c r="B357" i="23"/>
  <c r="B358" i="23"/>
  <c r="B359" i="23"/>
  <c r="B360" i="23"/>
  <c r="B361" i="23"/>
  <c r="B362" i="23"/>
  <c r="B363" i="23"/>
  <c r="B364" i="23"/>
  <c r="B365" i="23"/>
  <c r="B366" i="23"/>
  <c r="B367" i="23"/>
  <c r="B368" i="23"/>
  <c r="B369" i="23"/>
  <c r="B370" i="23"/>
  <c r="B371" i="23"/>
  <c r="B372" i="23"/>
  <c r="B373" i="23"/>
  <c r="B374" i="23"/>
  <c r="B375" i="23"/>
  <c r="B376" i="23"/>
  <c r="B377" i="23"/>
  <c r="B378" i="23"/>
  <c r="B379" i="23"/>
  <c r="B380" i="23"/>
  <c r="B381" i="23"/>
  <c r="B382" i="23"/>
  <c r="B383" i="23"/>
  <c r="B384" i="23"/>
  <c r="B385" i="23"/>
  <c r="B386" i="23"/>
  <c r="B387" i="23"/>
  <c r="B388" i="23"/>
  <c r="B389" i="23"/>
  <c r="B390" i="23"/>
  <c r="B391" i="23"/>
  <c r="B392" i="23"/>
  <c r="B393" i="23"/>
  <c r="B394" i="23"/>
  <c r="B395" i="23"/>
  <c r="B396" i="23"/>
  <c r="B397" i="23"/>
  <c r="B398" i="23"/>
  <c r="B399" i="23"/>
  <c r="B400" i="23"/>
  <c r="B401" i="23"/>
  <c r="B402" i="23"/>
  <c r="B403" i="23"/>
  <c r="B404" i="23"/>
  <c r="B405" i="23"/>
  <c r="B406" i="23"/>
  <c r="B407" i="23"/>
  <c r="B408" i="23"/>
  <c r="B409" i="23"/>
  <c r="B410" i="23"/>
  <c r="B411" i="23"/>
  <c r="B412" i="23"/>
  <c r="B413" i="23"/>
  <c r="B414" i="23"/>
  <c r="B415" i="23"/>
  <c r="B416" i="23"/>
  <c r="B417" i="23"/>
  <c r="B418" i="23"/>
  <c r="B419" i="23"/>
  <c r="B420" i="23"/>
  <c r="B421" i="23"/>
  <c r="B422" i="23"/>
  <c r="B423" i="23"/>
  <c r="B424" i="23"/>
  <c r="B425" i="23"/>
  <c r="B426" i="23"/>
  <c r="B427" i="23"/>
  <c r="B428" i="23"/>
  <c r="B429" i="23"/>
  <c r="B430" i="23"/>
  <c r="B431" i="23"/>
  <c r="B432" i="23"/>
  <c r="B433" i="23"/>
  <c r="B434" i="23"/>
  <c r="B435" i="23"/>
  <c r="B436" i="23"/>
  <c r="B437" i="23"/>
  <c r="B438" i="23"/>
  <c r="B439" i="23"/>
  <c r="B440" i="23"/>
  <c r="B441" i="23"/>
  <c r="B442" i="23"/>
  <c r="B443" i="23"/>
  <c r="B444" i="23"/>
  <c r="B445" i="23"/>
  <c r="B446" i="23"/>
  <c r="B447" i="23"/>
  <c r="B448" i="23"/>
  <c r="B449" i="23"/>
  <c r="B450" i="23"/>
  <c r="B451" i="23"/>
  <c r="B452" i="23"/>
  <c r="B453" i="23"/>
  <c r="B454" i="23"/>
  <c r="B455" i="23"/>
  <c r="B456" i="23"/>
  <c r="B457" i="23"/>
  <c r="B458" i="23"/>
  <c r="B459" i="23"/>
  <c r="B460" i="23"/>
  <c r="B461" i="23"/>
  <c r="B462" i="23"/>
  <c r="B463" i="23"/>
  <c r="B464" i="23"/>
  <c r="B465" i="23"/>
  <c r="B466" i="23"/>
  <c r="B467" i="23"/>
  <c r="B468" i="23"/>
  <c r="B469" i="23"/>
  <c r="B470" i="23"/>
  <c r="B471" i="23"/>
  <c r="B472" i="23"/>
  <c r="B473" i="23"/>
  <c r="B474" i="23"/>
  <c r="B475" i="23"/>
  <c r="B476" i="23"/>
  <c r="B477" i="23"/>
  <c r="B478" i="23"/>
  <c r="B479" i="23"/>
  <c r="B480" i="23"/>
  <c r="B481" i="23"/>
  <c r="B482" i="23"/>
  <c r="B483" i="23"/>
  <c r="B484" i="23"/>
  <c r="B485" i="23"/>
  <c r="B486" i="23"/>
  <c r="B487" i="23"/>
  <c r="B488" i="23"/>
  <c r="B489" i="23"/>
  <c r="B490" i="23"/>
  <c r="B491" i="23"/>
  <c r="B492" i="23"/>
  <c r="B493" i="23"/>
  <c r="B494" i="23"/>
  <c r="B495" i="23"/>
  <c r="B496" i="23"/>
  <c r="B497" i="23"/>
  <c r="B498" i="23"/>
  <c r="B499" i="23"/>
  <c r="B500" i="23"/>
  <c r="B501" i="23"/>
  <c r="B502" i="23"/>
  <c r="B503" i="23"/>
  <c r="B504" i="23"/>
  <c r="B505" i="23"/>
  <c r="B506" i="23"/>
  <c r="B507" i="23"/>
  <c r="B508" i="23"/>
  <c r="B509" i="23"/>
  <c r="B510" i="23"/>
  <c r="B511" i="23"/>
  <c r="B512" i="23"/>
  <c r="B513" i="23"/>
  <c r="B514" i="23"/>
  <c r="B515" i="23"/>
  <c r="B516" i="23"/>
  <c r="B517" i="23"/>
  <c r="B518" i="23"/>
  <c r="B519" i="23"/>
  <c r="B520" i="23"/>
  <c r="B521" i="23"/>
  <c r="B522" i="23"/>
  <c r="B523" i="23"/>
  <c r="B524" i="23"/>
  <c r="B525" i="23"/>
  <c r="B526" i="23"/>
  <c r="B527" i="23"/>
  <c r="B528" i="23"/>
  <c r="B529" i="23"/>
  <c r="B530" i="23"/>
  <c r="B531" i="23"/>
  <c r="B532" i="23"/>
  <c r="B533" i="23"/>
  <c r="B534" i="23"/>
  <c r="B535" i="23"/>
  <c r="B536" i="23"/>
  <c r="B537" i="23"/>
  <c r="B538" i="23"/>
  <c r="B539" i="23"/>
  <c r="B540" i="23"/>
  <c r="B541" i="23"/>
  <c r="B542" i="23"/>
  <c r="B543" i="23"/>
  <c r="B544" i="23"/>
  <c r="B545" i="23"/>
  <c r="B546" i="23"/>
  <c r="B547" i="23"/>
  <c r="B548" i="23"/>
  <c r="B549" i="23"/>
  <c r="B550" i="23"/>
  <c r="B551" i="23"/>
  <c r="B552" i="23"/>
  <c r="B553" i="23"/>
  <c r="B554" i="23"/>
  <c r="B555" i="23"/>
  <c r="B556" i="23"/>
  <c r="B557" i="23"/>
  <c r="B558" i="23"/>
  <c r="B559" i="23"/>
  <c r="B560" i="23"/>
  <c r="B561" i="23"/>
  <c r="B562" i="23"/>
  <c r="B563" i="23"/>
  <c r="B564" i="23"/>
  <c r="B565" i="23"/>
  <c r="B566" i="23"/>
  <c r="B567" i="23"/>
  <c r="B568" i="23"/>
  <c r="B569" i="23"/>
  <c r="B570" i="23"/>
  <c r="B571" i="23"/>
  <c r="B572" i="23"/>
  <c r="B573" i="23"/>
  <c r="B574" i="23"/>
  <c r="B575" i="23"/>
  <c r="B576" i="23"/>
  <c r="B577" i="23"/>
  <c r="B578" i="23"/>
  <c r="B579" i="23"/>
  <c r="B580" i="23"/>
  <c r="B581" i="23"/>
  <c r="B582" i="23"/>
  <c r="B583" i="23"/>
  <c r="B584" i="23"/>
  <c r="B585" i="23"/>
  <c r="B586" i="23"/>
  <c r="B587" i="23"/>
  <c r="B588" i="23"/>
  <c r="B589" i="23"/>
  <c r="B590" i="23"/>
  <c r="B591" i="23"/>
  <c r="B592" i="23"/>
  <c r="B593" i="23"/>
  <c r="B594" i="23"/>
  <c r="B595" i="23"/>
  <c r="B596" i="23"/>
  <c r="B597" i="23"/>
  <c r="B598" i="23"/>
  <c r="B599" i="23"/>
  <c r="B600" i="23"/>
  <c r="B601" i="23"/>
  <c r="B602" i="23"/>
  <c r="B603" i="23"/>
  <c r="B604" i="23"/>
  <c r="B605" i="23"/>
  <c r="B606" i="23"/>
  <c r="B607" i="23"/>
  <c r="B608" i="23"/>
  <c r="B609" i="23"/>
  <c r="B610" i="23"/>
  <c r="B611" i="23"/>
  <c r="B612" i="23"/>
  <c r="B613" i="23"/>
  <c r="B614" i="23"/>
  <c r="B615" i="23"/>
  <c r="B616" i="23"/>
  <c r="B617" i="23"/>
  <c r="B618" i="23"/>
  <c r="B619" i="23"/>
  <c r="B620" i="23"/>
  <c r="B621" i="23"/>
  <c r="B622" i="23"/>
  <c r="B623" i="23"/>
  <c r="B624" i="23"/>
  <c r="B625" i="23"/>
  <c r="B626" i="23"/>
  <c r="B627" i="23"/>
  <c r="B628" i="23"/>
  <c r="B629" i="23"/>
  <c r="B630" i="23"/>
  <c r="B631" i="23"/>
  <c r="B632" i="23"/>
  <c r="B633" i="23"/>
  <c r="B634" i="23"/>
  <c r="B635" i="23"/>
  <c r="B636" i="23"/>
  <c r="B637" i="23"/>
  <c r="B638" i="23"/>
  <c r="B639" i="23"/>
  <c r="B640" i="23"/>
  <c r="B641" i="23"/>
  <c r="B642" i="23"/>
  <c r="B643" i="23"/>
  <c r="B644" i="23"/>
  <c r="B645" i="23"/>
  <c r="B646" i="23"/>
  <c r="B647" i="23"/>
  <c r="B648" i="23"/>
  <c r="B649" i="23"/>
  <c r="B650" i="23"/>
  <c r="B651" i="23"/>
  <c r="B652" i="23"/>
  <c r="B653" i="23"/>
  <c r="B654" i="23"/>
  <c r="B655" i="23"/>
  <c r="B656" i="23"/>
  <c r="B657" i="23"/>
  <c r="B658" i="23"/>
  <c r="B659" i="23"/>
  <c r="B660" i="23"/>
  <c r="B661" i="23"/>
  <c r="B662" i="23"/>
  <c r="B663" i="23"/>
  <c r="B664" i="23"/>
  <c r="B665" i="23"/>
  <c r="B666" i="23"/>
  <c r="B667" i="23"/>
  <c r="B668" i="23"/>
  <c r="B669" i="23"/>
  <c r="B670" i="23"/>
  <c r="B671" i="23"/>
  <c r="B672" i="23"/>
  <c r="B673" i="23"/>
  <c r="B674" i="23"/>
  <c r="B675" i="23"/>
  <c r="B676" i="23"/>
  <c r="B677" i="23"/>
  <c r="B678" i="23"/>
  <c r="B679" i="23"/>
  <c r="B680" i="23"/>
  <c r="B681" i="23"/>
  <c r="B682" i="23"/>
  <c r="B683" i="23"/>
  <c r="B684" i="23"/>
  <c r="B685" i="23"/>
  <c r="B686" i="23"/>
  <c r="B687" i="23"/>
  <c r="B688" i="23"/>
  <c r="B689" i="23"/>
  <c r="B690" i="23"/>
  <c r="B691" i="23"/>
  <c r="B692" i="23"/>
  <c r="B693" i="23"/>
  <c r="B694" i="23"/>
  <c r="B695" i="23"/>
  <c r="B696" i="23"/>
  <c r="B697" i="23"/>
  <c r="B698" i="23"/>
  <c r="B699" i="23"/>
  <c r="B700" i="23"/>
  <c r="B701" i="23"/>
  <c r="B702" i="23"/>
  <c r="B703" i="23"/>
  <c r="B704" i="23"/>
  <c r="B705" i="23"/>
  <c r="B706" i="23"/>
  <c r="B707" i="23"/>
  <c r="B708" i="23"/>
  <c r="B709" i="23"/>
  <c r="B710" i="23"/>
  <c r="B711" i="23"/>
  <c r="B712" i="23"/>
  <c r="B713" i="23"/>
  <c r="B714" i="23"/>
  <c r="B715" i="23"/>
  <c r="B716" i="23"/>
  <c r="B717" i="23"/>
  <c r="B718" i="23"/>
  <c r="B719" i="23"/>
  <c r="B720" i="23"/>
  <c r="B721" i="23"/>
  <c r="B722" i="23"/>
  <c r="B723" i="23"/>
  <c r="B724" i="23"/>
  <c r="B725" i="23"/>
  <c r="B726" i="23"/>
  <c r="B727" i="23"/>
  <c r="B728" i="23"/>
  <c r="B729" i="23"/>
  <c r="B730" i="23"/>
  <c r="B731" i="23"/>
  <c r="B732" i="23"/>
  <c r="B733" i="23"/>
  <c r="B734" i="23"/>
  <c r="B735" i="23"/>
  <c r="B736" i="23"/>
  <c r="B737" i="23"/>
  <c r="B738" i="23"/>
  <c r="B739" i="23"/>
  <c r="B740" i="23"/>
  <c r="B741" i="23"/>
  <c r="B742" i="23"/>
  <c r="B743" i="23"/>
  <c r="B744" i="23"/>
  <c r="B745" i="23"/>
  <c r="B746" i="23"/>
  <c r="B747" i="23"/>
  <c r="B748" i="23"/>
  <c r="B749" i="23"/>
  <c r="B750" i="23"/>
  <c r="B751" i="23"/>
  <c r="B752" i="23"/>
  <c r="B753" i="23"/>
  <c r="B754" i="23"/>
  <c r="B755" i="23"/>
  <c r="B756" i="23"/>
  <c r="B757" i="23"/>
  <c r="B758" i="23"/>
  <c r="B759" i="23"/>
  <c r="B760" i="23"/>
  <c r="B761" i="23"/>
  <c r="B762" i="23"/>
  <c r="B763" i="23"/>
  <c r="B764" i="23"/>
  <c r="B765" i="23"/>
  <c r="B766" i="23"/>
  <c r="B767" i="23"/>
  <c r="B768" i="23"/>
  <c r="B769" i="23"/>
  <c r="B770" i="23"/>
  <c r="B771" i="23"/>
  <c r="B772" i="23"/>
  <c r="B773" i="23"/>
  <c r="B774" i="23"/>
  <c r="B775" i="23"/>
  <c r="B776" i="23"/>
  <c r="B777" i="23"/>
  <c r="B778" i="23"/>
  <c r="B779" i="23"/>
  <c r="B780" i="23"/>
  <c r="B781" i="23"/>
  <c r="B782" i="23"/>
  <c r="B783" i="23"/>
  <c r="B784" i="23"/>
  <c r="B785" i="23"/>
  <c r="B786" i="23"/>
  <c r="B787" i="23"/>
  <c r="B788" i="23"/>
  <c r="B789" i="23"/>
  <c r="B790" i="23"/>
  <c r="B791" i="23"/>
  <c r="B792" i="23"/>
  <c r="B793" i="23"/>
  <c r="B794" i="23"/>
  <c r="B795" i="23"/>
  <c r="B796" i="23"/>
  <c r="B797" i="23"/>
  <c r="B798" i="23"/>
  <c r="B799" i="23"/>
  <c r="B800" i="23"/>
  <c r="B801" i="23"/>
  <c r="B802" i="23"/>
  <c r="B803" i="23"/>
  <c r="B804" i="23"/>
  <c r="B805" i="23"/>
  <c r="B806" i="23"/>
  <c r="B807" i="23"/>
  <c r="B808" i="23"/>
  <c r="B809" i="23"/>
  <c r="B810" i="23"/>
  <c r="B811" i="23"/>
  <c r="B812" i="23"/>
  <c r="B813" i="23"/>
  <c r="B814" i="23"/>
  <c r="B815" i="23"/>
  <c r="B816" i="23"/>
  <c r="B817" i="23"/>
  <c r="B818" i="23"/>
  <c r="B819" i="23"/>
  <c r="B820" i="23"/>
  <c r="B821" i="23"/>
  <c r="B822" i="23"/>
  <c r="B823" i="23"/>
  <c r="B824" i="23"/>
  <c r="B825" i="23"/>
  <c r="B826" i="23"/>
  <c r="B827" i="23"/>
  <c r="A3" i="23"/>
  <c r="A4" i="23" s="1"/>
  <c r="A5" i="23" s="1"/>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A258" i="23" s="1"/>
  <c r="A259" i="23" s="1"/>
  <c r="A260" i="23" s="1"/>
  <c r="A261" i="23" s="1"/>
  <c r="A262" i="23" s="1"/>
  <c r="A263" i="23" s="1"/>
  <c r="A264" i="23" s="1"/>
  <c r="A265" i="23" s="1"/>
  <c r="A266" i="23" s="1"/>
  <c r="A267" i="23" s="1"/>
  <c r="A268" i="23" s="1"/>
  <c r="A269" i="23" s="1"/>
  <c r="A270" i="23" s="1"/>
  <c r="A271" i="23" s="1"/>
  <c r="A272" i="23" s="1"/>
  <c r="A273" i="23" s="1"/>
  <c r="A274" i="23" s="1"/>
  <c r="A275" i="23" s="1"/>
  <c r="A276" i="23" s="1"/>
  <c r="A277" i="23" s="1"/>
  <c r="A278" i="23" s="1"/>
  <c r="A279" i="23" s="1"/>
  <c r="A280" i="23" s="1"/>
  <c r="A281" i="23" s="1"/>
  <c r="A282" i="23" s="1"/>
  <c r="A283" i="23" s="1"/>
  <c r="A284" i="23" s="1"/>
  <c r="A285" i="23" s="1"/>
  <c r="A286" i="23" s="1"/>
  <c r="A287" i="23" s="1"/>
  <c r="A288" i="23" s="1"/>
  <c r="A289" i="23" s="1"/>
  <c r="A290" i="23" s="1"/>
  <c r="A291" i="23" s="1"/>
  <c r="A292" i="23" s="1"/>
  <c r="A293" i="23" s="1"/>
  <c r="A294" i="23" s="1"/>
  <c r="A295" i="23" s="1"/>
  <c r="A296" i="23" s="1"/>
  <c r="A297" i="23" s="1"/>
  <c r="A298" i="23" s="1"/>
  <c r="A299" i="23" s="1"/>
  <c r="A300" i="23" s="1"/>
  <c r="A301" i="23" s="1"/>
  <c r="A302" i="23" s="1"/>
  <c r="A303" i="23" s="1"/>
  <c r="A304" i="23" s="1"/>
  <c r="A305" i="23" s="1"/>
  <c r="A306" i="23" s="1"/>
  <c r="A307" i="23" s="1"/>
  <c r="A308" i="23" s="1"/>
  <c r="A309" i="23" s="1"/>
  <c r="A310" i="23" s="1"/>
  <c r="A311" i="23" s="1"/>
  <c r="A312" i="23" s="1"/>
  <c r="A313" i="23" s="1"/>
  <c r="A314" i="23" s="1"/>
  <c r="A315" i="23" s="1"/>
  <c r="A316" i="23" s="1"/>
  <c r="A317" i="23" s="1"/>
  <c r="A318" i="23" s="1"/>
  <c r="A319" i="23" s="1"/>
  <c r="A320" i="23" s="1"/>
  <c r="A321" i="23" s="1"/>
  <c r="A322" i="23" s="1"/>
  <c r="A323" i="23" s="1"/>
  <c r="A324" i="23" s="1"/>
  <c r="A325" i="23" s="1"/>
  <c r="A326" i="23" s="1"/>
  <c r="A327" i="23" s="1"/>
  <c r="A328" i="23" s="1"/>
  <c r="A329" i="23" s="1"/>
  <c r="A330" i="23" s="1"/>
  <c r="A331" i="23" s="1"/>
  <c r="A332" i="23" s="1"/>
  <c r="A333" i="23" s="1"/>
  <c r="A334" i="23" s="1"/>
  <c r="A335" i="23" s="1"/>
  <c r="A336" i="23" s="1"/>
  <c r="A337" i="23" s="1"/>
  <c r="A338" i="23" s="1"/>
  <c r="A339" i="23" s="1"/>
  <c r="A340" i="23" s="1"/>
  <c r="A341" i="23" s="1"/>
  <c r="A342" i="23" s="1"/>
  <c r="A343" i="23" s="1"/>
  <c r="A344" i="23" s="1"/>
  <c r="A345" i="23" s="1"/>
  <c r="A346" i="23" s="1"/>
  <c r="A347" i="23" s="1"/>
  <c r="A348" i="23" s="1"/>
  <c r="A349" i="23" s="1"/>
  <c r="A350" i="23" s="1"/>
  <c r="A351" i="23" s="1"/>
  <c r="A352" i="23" s="1"/>
  <c r="A353" i="23" s="1"/>
  <c r="A354" i="23" s="1"/>
  <c r="A355" i="23" s="1"/>
  <c r="A356" i="23" s="1"/>
  <c r="A357" i="23" s="1"/>
  <c r="A358" i="23" s="1"/>
  <c r="A359" i="23" s="1"/>
  <c r="A360" i="23" s="1"/>
  <c r="A361" i="23" s="1"/>
  <c r="A362" i="23" s="1"/>
  <c r="A363" i="23" s="1"/>
  <c r="A364" i="23" s="1"/>
  <c r="A365" i="23" s="1"/>
  <c r="A366" i="23" s="1"/>
  <c r="A367" i="23" s="1"/>
  <c r="A368" i="23" s="1"/>
  <c r="A369" i="23" s="1"/>
  <c r="A370" i="23" s="1"/>
  <c r="A371" i="23" s="1"/>
  <c r="A372" i="23" s="1"/>
  <c r="A373" i="23" s="1"/>
  <c r="A374" i="23" s="1"/>
  <c r="A375" i="23" s="1"/>
  <c r="A376" i="23" s="1"/>
  <c r="A377" i="23" s="1"/>
  <c r="A378" i="23" s="1"/>
  <c r="A379" i="23" s="1"/>
  <c r="A380" i="23" s="1"/>
  <c r="A381" i="23" s="1"/>
  <c r="A382" i="23" s="1"/>
  <c r="A383" i="23" s="1"/>
  <c r="A384" i="23" s="1"/>
  <c r="A385" i="23" s="1"/>
  <c r="A386" i="23" s="1"/>
  <c r="A387" i="23" s="1"/>
  <c r="A388" i="23" s="1"/>
  <c r="A389" i="23" s="1"/>
  <c r="A390" i="23" s="1"/>
  <c r="A391" i="23" s="1"/>
  <c r="A392" i="23" s="1"/>
  <c r="A393" i="23" s="1"/>
  <c r="A394" i="23" s="1"/>
  <c r="A395" i="23" s="1"/>
  <c r="A396" i="23" s="1"/>
  <c r="A397" i="23" s="1"/>
  <c r="A398" i="23" s="1"/>
  <c r="A399" i="23" s="1"/>
  <c r="A400" i="23" s="1"/>
  <c r="A401" i="23" s="1"/>
  <c r="A402" i="23" s="1"/>
  <c r="A403" i="23" s="1"/>
  <c r="A404" i="23" s="1"/>
  <c r="A405" i="23" s="1"/>
  <c r="A406" i="23" s="1"/>
  <c r="A407" i="23" s="1"/>
  <c r="A408" i="23" s="1"/>
  <c r="A409" i="23" s="1"/>
  <c r="A410" i="23" s="1"/>
  <c r="A411" i="23" s="1"/>
  <c r="A412" i="23" s="1"/>
  <c r="A413" i="23" s="1"/>
  <c r="A414" i="23" s="1"/>
  <c r="A415" i="23" s="1"/>
  <c r="A416" i="23" s="1"/>
  <c r="A417" i="23" s="1"/>
  <c r="A418" i="23" s="1"/>
  <c r="A419" i="23" s="1"/>
  <c r="A420" i="23" s="1"/>
  <c r="A421" i="23" s="1"/>
  <c r="A422" i="23" s="1"/>
  <c r="A423" i="23" s="1"/>
  <c r="A424" i="23" s="1"/>
  <c r="A425" i="23" s="1"/>
  <c r="A426" i="23" s="1"/>
  <c r="A427" i="23" s="1"/>
  <c r="A428" i="23" s="1"/>
  <c r="A429" i="23" s="1"/>
  <c r="A430" i="23" s="1"/>
  <c r="A431" i="23" s="1"/>
  <c r="A432" i="23" s="1"/>
  <c r="A433" i="23" s="1"/>
  <c r="A434" i="23" s="1"/>
  <c r="A435" i="23" s="1"/>
  <c r="A436" i="23" s="1"/>
  <c r="A437" i="23" s="1"/>
  <c r="A438" i="23" s="1"/>
  <c r="A439" i="23" s="1"/>
  <c r="A440" i="23" s="1"/>
  <c r="A441" i="23" s="1"/>
  <c r="A442" i="23" s="1"/>
  <c r="A443" i="23" s="1"/>
  <c r="A444" i="23" s="1"/>
  <c r="A445" i="23" s="1"/>
  <c r="A446" i="23" s="1"/>
  <c r="A447" i="23" s="1"/>
  <c r="A448" i="23" s="1"/>
  <c r="A449" i="23" s="1"/>
  <c r="A450" i="23" s="1"/>
  <c r="A451" i="23" s="1"/>
  <c r="A452" i="23" s="1"/>
  <c r="A453" i="23" s="1"/>
  <c r="A454" i="23" s="1"/>
  <c r="A455" i="23" s="1"/>
  <c r="A456" i="23" s="1"/>
  <c r="A457" i="23" s="1"/>
  <c r="A458" i="23" s="1"/>
  <c r="A459" i="23" s="1"/>
  <c r="A460" i="23" s="1"/>
  <c r="A461" i="23" s="1"/>
  <c r="A462" i="23" s="1"/>
  <c r="A463" i="23" s="1"/>
  <c r="A464" i="23" s="1"/>
  <c r="A465" i="23" s="1"/>
  <c r="A466" i="23" s="1"/>
  <c r="A467" i="23" s="1"/>
  <c r="A468" i="23" s="1"/>
  <c r="A469" i="23" s="1"/>
  <c r="A470" i="23" s="1"/>
  <c r="A471" i="23" s="1"/>
  <c r="A472" i="23" s="1"/>
  <c r="A473" i="23" s="1"/>
  <c r="A474" i="23" s="1"/>
  <c r="A475" i="23" s="1"/>
  <c r="A476" i="23" s="1"/>
  <c r="A477" i="23" s="1"/>
  <c r="A478" i="23" s="1"/>
  <c r="A479" i="23" s="1"/>
  <c r="A480" i="23" s="1"/>
  <c r="A481" i="23" s="1"/>
  <c r="A482" i="23" s="1"/>
  <c r="A483" i="23" s="1"/>
  <c r="A484" i="23" s="1"/>
  <c r="A485" i="23" s="1"/>
  <c r="A486" i="23" s="1"/>
  <c r="A487" i="23" s="1"/>
  <c r="A488" i="23" s="1"/>
  <c r="A489" i="23" s="1"/>
  <c r="A490" i="23" s="1"/>
  <c r="A491" i="23" s="1"/>
  <c r="A492" i="23" s="1"/>
  <c r="A493" i="23" s="1"/>
  <c r="A494" i="23" s="1"/>
  <c r="A495" i="23" s="1"/>
  <c r="A496" i="23" s="1"/>
  <c r="A497" i="23" s="1"/>
  <c r="A498" i="23" s="1"/>
  <c r="A499" i="23" s="1"/>
  <c r="A500" i="23" s="1"/>
  <c r="A501" i="23" s="1"/>
  <c r="A502" i="23" s="1"/>
  <c r="A503" i="23" s="1"/>
  <c r="A504" i="23" s="1"/>
  <c r="A505" i="23" s="1"/>
  <c r="A506" i="23" s="1"/>
  <c r="A507" i="23" s="1"/>
  <c r="A508" i="23" s="1"/>
  <c r="A509" i="23" s="1"/>
  <c r="A510" i="23" s="1"/>
  <c r="A511" i="23" s="1"/>
  <c r="A512" i="23" s="1"/>
  <c r="A513" i="23" s="1"/>
  <c r="A514" i="23" s="1"/>
  <c r="A515" i="23" s="1"/>
  <c r="A516" i="23" s="1"/>
  <c r="A517" i="23" s="1"/>
  <c r="A518" i="23" s="1"/>
  <c r="A519" i="23" s="1"/>
  <c r="A520" i="23" s="1"/>
  <c r="A521" i="23" s="1"/>
  <c r="A522" i="23" s="1"/>
  <c r="A523" i="23" s="1"/>
  <c r="A524" i="23" s="1"/>
  <c r="A525" i="23" s="1"/>
  <c r="A526" i="23" s="1"/>
  <c r="A527" i="23" s="1"/>
  <c r="A528" i="23" s="1"/>
  <c r="A529" i="23" s="1"/>
  <c r="A530" i="23" s="1"/>
  <c r="A531" i="23" s="1"/>
  <c r="A532" i="23" s="1"/>
  <c r="A533" i="23" s="1"/>
  <c r="A534" i="23" s="1"/>
  <c r="A535" i="23" s="1"/>
  <c r="A536" i="23" s="1"/>
  <c r="A537" i="23" s="1"/>
  <c r="A538" i="23" s="1"/>
  <c r="A539" i="23" s="1"/>
  <c r="A540" i="23" s="1"/>
  <c r="A541" i="23" s="1"/>
  <c r="A542" i="23" s="1"/>
  <c r="A543" i="23" s="1"/>
  <c r="A544" i="23" s="1"/>
  <c r="A545" i="23" s="1"/>
  <c r="A546" i="23" s="1"/>
  <c r="A547" i="23" s="1"/>
  <c r="A548" i="23" s="1"/>
  <c r="A549" i="23" s="1"/>
  <c r="A550" i="23" s="1"/>
  <c r="A551" i="23" s="1"/>
  <c r="A552" i="23" s="1"/>
  <c r="A553" i="23" s="1"/>
  <c r="A554" i="23" s="1"/>
  <c r="A555" i="23" s="1"/>
  <c r="A556" i="23" s="1"/>
  <c r="A557" i="23" s="1"/>
  <c r="A558" i="23" s="1"/>
  <c r="A559" i="23" s="1"/>
  <c r="A560" i="23" s="1"/>
  <c r="A561" i="23" s="1"/>
  <c r="A562" i="23" s="1"/>
  <c r="A563" i="23" s="1"/>
  <c r="A564" i="23" s="1"/>
  <c r="A565" i="23" s="1"/>
  <c r="A566" i="23" s="1"/>
  <c r="A567" i="23" s="1"/>
  <c r="A568" i="23" s="1"/>
  <c r="A569" i="23" s="1"/>
  <c r="A570" i="23" s="1"/>
  <c r="A571" i="23" s="1"/>
  <c r="A572" i="23" s="1"/>
  <c r="A573" i="23" s="1"/>
  <c r="A574" i="23" s="1"/>
  <c r="A575" i="23" s="1"/>
  <c r="A576" i="23" s="1"/>
  <c r="A577" i="23" s="1"/>
  <c r="A578" i="23" s="1"/>
  <c r="A579" i="23" s="1"/>
  <c r="A580" i="23" s="1"/>
  <c r="A581" i="23" s="1"/>
  <c r="A582" i="23" s="1"/>
  <c r="A583" i="23" s="1"/>
  <c r="A584" i="23" s="1"/>
  <c r="A585" i="23" s="1"/>
  <c r="A586" i="23" s="1"/>
  <c r="A587" i="23" s="1"/>
  <c r="A588" i="23" s="1"/>
  <c r="A589" i="23" s="1"/>
  <c r="A590" i="23" s="1"/>
  <c r="A591" i="23" s="1"/>
  <c r="A592" i="23" s="1"/>
  <c r="A593" i="23" s="1"/>
  <c r="A594" i="23" s="1"/>
  <c r="A595" i="23" s="1"/>
  <c r="A596" i="23" s="1"/>
  <c r="A597" i="23" s="1"/>
  <c r="A598" i="23" s="1"/>
  <c r="A599" i="23" s="1"/>
  <c r="A600" i="23" s="1"/>
  <c r="A601" i="23" s="1"/>
  <c r="A602" i="23" s="1"/>
  <c r="A603" i="23" s="1"/>
  <c r="A604" i="23" s="1"/>
  <c r="A605" i="23" s="1"/>
  <c r="A606" i="23" s="1"/>
  <c r="A607" i="23" s="1"/>
  <c r="A608" i="23" s="1"/>
  <c r="A609" i="23" s="1"/>
  <c r="A610" i="23" s="1"/>
  <c r="A611" i="23" s="1"/>
  <c r="A612" i="23" s="1"/>
  <c r="A613" i="23" s="1"/>
  <c r="A614" i="23" s="1"/>
  <c r="A615" i="23" s="1"/>
  <c r="A616" i="23" s="1"/>
  <c r="A617" i="23" s="1"/>
  <c r="A618" i="23" s="1"/>
  <c r="A619" i="23" s="1"/>
  <c r="A620" i="23" s="1"/>
  <c r="A621" i="23" s="1"/>
  <c r="A622" i="23" s="1"/>
  <c r="A623" i="23" s="1"/>
  <c r="A624" i="23" s="1"/>
  <c r="A625" i="23" s="1"/>
  <c r="A626" i="23" s="1"/>
  <c r="A627" i="23" s="1"/>
  <c r="A628" i="23" s="1"/>
  <c r="A629" i="23" s="1"/>
  <c r="A630" i="23" s="1"/>
  <c r="A631" i="23" s="1"/>
  <c r="A632" i="23" s="1"/>
  <c r="A633" i="23" s="1"/>
  <c r="A634" i="23" s="1"/>
  <c r="A635" i="23" s="1"/>
  <c r="A636" i="23" s="1"/>
  <c r="A637" i="23" s="1"/>
  <c r="A638" i="23" s="1"/>
  <c r="A639" i="23" s="1"/>
  <c r="A640" i="23" s="1"/>
  <c r="A641" i="23" s="1"/>
  <c r="A642" i="23" s="1"/>
  <c r="A643" i="23" s="1"/>
  <c r="A644" i="23" s="1"/>
  <c r="A645" i="23" s="1"/>
  <c r="A646" i="23" s="1"/>
  <c r="A647" i="23" s="1"/>
  <c r="A648" i="23" s="1"/>
  <c r="A649" i="23" s="1"/>
  <c r="A650" i="23" s="1"/>
  <c r="A651" i="23" s="1"/>
  <c r="A652" i="23" s="1"/>
  <c r="A653" i="23" s="1"/>
  <c r="A654" i="23" s="1"/>
  <c r="A655" i="23" s="1"/>
  <c r="A656" i="23" s="1"/>
  <c r="A657" i="23" s="1"/>
  <c r="A658" i="23" s="1"/>
  <c r="A659" i="23" s="1"/>
  <c r="A660" i="23" s="1"/>
  <c r="A661" i="23" s="1"/>
  <c r="A662" i="23" s="1"/>
  <c r="A663" i="23" s="1"/>
  <c r="A664" i="23" s="1"/>
  <c r="A665" i="23" s="1"/>
  <c r="A666" i="23" s="1"/>
  <c r="A667" i="23" s="1"/>
  <c r="A668" i="23" s="1"/>
  <c r="A669" i="23" s="1"/>
  <c r="A670" i="23" s="1"/>
  <c r="A671" i="23" s="1"/>
  <c r="A672" i="23" s="1"/>
  <c r="A673" i="23" s="1"/>
  <c r="A674" i="23" s="1"/>
  <c r="A675" i="23" s="1"/>
  <c r="A676" i="23" s="1"/>
  <c r="A677" i="23" s="1"/>
  <c r="A678" i="23" s="1"/>
  <c r="A679" i="23" s="1"/>
  <c r="A680" i="23" s="1"/>
  <c r="A681" i="23" s="1"/>
  <c r="A682" i="23" s="1"/>
  <c r="A683" i="23" s="1"/>
  <c r="A684" i="23" s="1"/>
  <c r="A685" i="23" s="1"/>
  <c r="A686" i="23" s="1"/>
  <c r="A687" i="23" s="1"/>
  <c r="A688" i="23" s="1"/>
  <c r="A689" i="23" s="1"/>
  <c r="A690" i="23" s="1"/>
  <c r="A691" i="23" s="1"/>
  <c r="A692" i="23" s="1"/>
  <c r="A693" i="23" s="1"/>
  <c r="A694" i="23" s="1"/>
  <c r="A695" i="23" s="1"/>
  <c r="A696" i="23" s="1"/>
  <c r="A697" i="23" s="1"/>
  <c r="A698" i="23" s="1"/>
  <c r="A699" i="23" s="1"/>
  <c r="A700" i="23" s="1"/>
  <c r="A701" i="23" s="1"/>
  <c r="A702" i="23" s="1"/>
  <c r="A703" i="23" s="1"/>
  <c r="A704" i="23" s="1"/>
  <c r="A705" i="23" s="1"/>
  <c r="A706" i="23" s="1"/>
  <c r="A707" i="23" s="1"/>
  <c r="A708" i="23" s="1"/>
  <c r="A709" i="23" s="1"/>
  <c r="A710" i="23" s="1"/>
  <c r="A711" i="23" s="1"/>
  <c r="A712" i="23" s="1"/>
  <c r="A713" i="23" s="1"/>
  <c r="A714" i="23" s="1"/>
  <c r="A715" i="23" s="1"/>
  <c r="A716" i="23" s="1"/>
  <c r="A717" i="23" s="1"/>
  <c r="A718" i="23" s="1"/>
  <c r="A719" i="23" s="1"/>
  <c r="A720" i="23" s="1"/>
  <c r="A721" i="23" s="1"/>
  <c r="A722" i="23" s="1"/>
  <c r="A723" i="23" s="1"/>
  <c r="A724" i="23" s="1"/>
  <c r="A725" i="23" s="1"/>
  <c r="A726" i="23" s="1"/>
  <c r="A727" i="23" s="1"/>
  <c r="A728" i="23" s="1"/>
  <c r="A729" i="23" s="1"/>
  <c r="A730" i="23" s="1"/>
  <c r="A731" i="23" s="1"/>
  <c r="A732" i="23" s="1"/>
  <c r="A733" i="23" s="1"/>
  <c r="A734" i="23" s="1"/>
  <c r="A735" i="23" s="1"/>
  <c r="A736" i="23" s="1"/>
  <c r="A737" i="23" s="1"/>
  <c r="A738" i="23" s="1"/>
  <c r="A739" i="23" s="1"/>
  <c r="A740" i="23" s="1"/>
  <c r="A741" i="23" s="1"/>
  <c r="A742" i="23" s="1"/>
  <c r="A743" i="23" s="1"/>
  <c r="A744" i="23" s="1"/>
  <c r="A745" i="23" s="1"/>
  <c r="A746" i="23" s="1"/>
  <c r="A747" i="23" s="1"/>
  <c r="A748" i="23" s="1"/>
  <c r="A749" i="23" s="1"/>
  <c r="A750" i="23" s="1"/>
  <c r="A751" i="23" s="1"/>
  <c r="A752" i="23" s="1"/>
  <c r="A753" i="23" s="1"/>
  <c r="A754" i="23" s="1"/>
  <c r="A755" i="23" s="1"/>
  <c r="A756" i="23" s="1"/>
  <c r="A757" i="23" s="1"/>
  <c r="A758" i="23" s="1"/>
  <c r="A759" i="23" s="1"/>
  <c r="A760" i="23" s="1"/>
  <c r="A761" i="23" s="1"/>
  <c r="A762" i="23" s="1"/>
  <c r="A763" i="23" s="1"/>
  <c r="A764" i="23" s="1"/>
  <c r="A765" i="23" s="1"/>
  <c r="A766" i="23" s="1"/>
  <c r="A767" i="23" s="1"/>
  <c r="A768" i="23" s="1"/>
  <c r="A769" i="23" s="1"/>
  <c r="A770" i="23" s="1"/>
  <c r="A771" i="23" s="1"/>
  <c r="A772" i="23" s="1"/>
  <c r="A773" i="23" s="1"/>
  <c r="A774" i="23" s="1"/>
  <c r="A775" i="23" s="1"/>
  <c r="A776" i="23" s="1"/>
  <c r="A777" i="23" s="1"/>
  <c r="A778" i="23" s="1"/>
  <c r="A779" i="23" s="1"/>
  <c r="A780" i="23" s="1"/>
  <c r="A781" i="23" s="1"/>
  <c r="A782" i="23" s="1"/>
  <c r="A783" i="23" s="1"/>
  <c r="A784" i="23" s="1"/>
  <c r="A785" i="23" s="1"/>
  <c r="A786" i="23" s="1"/>
  <c r="A787" i="23" s="1"/>
  <c r="A788" i="23" s="1"/>
  <c r="A789" i="23" s="1"/>
  <c r="A790" i="23" s="1"/>
  <c r="A791" i="23" s="1"/>
  <c r="A792" i="23" s="1"/>
  <c r="A793" i="23" s="1"/>
  <c r="A794" i="23" s="1"/>
  <c r="A795" i="23" s="1"/>
  <c r="A796" i="23" s="1"/>
  <c r="A797" i="23" s="1"/>
  <c r="A798" i="23" s="1"/>
  <c r="A799" i="23" s="1"/>
  <c r="A800" i="23" s="1"/>
  <c r="A801" i="23" s="1"/>
  <c r="A802" i="23" s="1"/>
  <c r="A803" i="23" s="1"/>
  <c r="A804" i="23" s="1"/>
  <c r="A805" i="23" s="1"/>
  <c r="A806" i="23" s="1"/>
  <c r="A807" i="23" s="1"/>
  <c r="A808" i="23" s="1"/>
  <c r="A809" i="23" s="1"/>
  <c r="A810" i="23" s="1"/>
  <c r="A811" i="23" s="1"/>
  <c r="A812" i="23" s="1"/>
  <c r="A813" i="23" s="1"/>
  <c r="A814" i="23" s="1"/>
  <c r="A815" i="23" s="1"/>
  <c r="A816" i="23" s="1"/>
  <c r="A817" i="23" s="1"/>
  <c r="A818" i="23" s="1"/>
  <c r="A819" i="23" s="1"/>
  <c r="A820" i="23" s="1"/>
  <c r="A821" i="23" s="1"/>
  <c r="A822" i="23" s="1"/>
  <c r="A823" i="23" s="1"/>
  <c r="A824" i="23" s="1"/>
  <c r="A825" i="23" s="1"/>
  <c r="A826" i="23" s="1"/>
  <c r="A827" i="23" s="1"/>
  <c r="A828" i="23" s="1"/>
  <c r="A829" i="23" s="1"/>
  <c r="A830" i="23" s="1"/>
  <c r="A831" i="23" s="1"/>
  <c r="A832" i="23" s="1"/>
  <c r="A833" i="23" s="1"/>
  <c r="A834" i="23" s="1"/>
  <c r="A835" i="23" s="1"/>
  <c r="A836" i="23" s="1"/>
  <c r="A837" i="23" s="1"/>
  <c r="A838" i="23" s="1"/>
  <c r="A839" i="23" s="1"/>
  <c r="A840" i="23" s="1"/>
  <c r="A841" i="23" s="1"/>
  <c r="A842" i="23" s="1"/>
  <c r="A843" i="23" s="1"/>
  <c r="A844" i="23" s="1"/>
  <c r="A845" i="23" s="1"/>
  <c r="A846" i="23" s="1"/>
  <c r="A847" i="23" s="1"/>
  <c r="A848" i="23" s="1"/>
  <c r="A849" i="23" s="1"/>
  <c r="A850" i="23" s="1"/>
  <c r="A851" i="23" s="1"/>
  <c r="A852" i="23" s="1"/>
  <c r="A853" i="23" s="1"/>
  <c r="A854" i="23" s="1"/>
  <c r="A855" i="23" s="1"/>
  <c r="A856" i="23" s="1"/>
  <c r="A857" i="23" s="1"/>
  <c r="A858" i="23" s="1"/>
  <c r="A859" i="23" s="1"/>
  <c r="A860" i="23" s="1"/>
  <c r="A861" i="23" s="1"/>
  <c r="A862" i="23" s="1"/>
  <c r="A863" i="23" s="1"/>
  <c r="A864" i="23" s="1"/>
  <c r="A865" i="23" s="1"/>
  <c r="A866" i="23" s="1"/>
  <c r="A867" i="23" s="1"/>
  <c r="A868" i="23" s="1"/>
  <c r="A869" i="23" s="1"/>
  <c r="A870" i="23" s="1"/>
  <c r="A871" i="23" s="1"/>
  <c r="A872" i="23" s="1"/>
  <c r="A873" i="23" s="1"/>
  <c r="A874" i="23" s="1"/>
  <c r="A875" i="23" s="1"/>
  <c r="A876" i="23" s="1"/>
  <c r="A877" i="23" s="1"/>
  <c r="A878" i="23" s="1"/>
  <c r="A879" i="23" s="1"/>
  <c r="A880" i="23" s="1"/>
  <c r="A881" i="23" s="1"/>
  <c r="A882" i="23" s="1"/>
  <c r="A883" i="23" s="1"/>
  <c r="A884" i="23" s="1"/>
  <c r="A885" i="23" s="1"/>
  <c r="A886" i="23" s="1"/>
  <c r="A887" i="23" s="1"/>
  <c r="A888" i="23" s="1"/>
  <c r="A889" i="23" s="1"/>
  <c r="A890" i="23" s="1"/>
  <c r="A891" i="23" s="1"/>
  <c r="A892" i="23" s="1"/>
  <c r="A893" i="23" s="1"/>
  <c r="A894" i="23" s="1"/>
  <c r="A895" i="23" s="1"/>
  <c r="A896" i="23" s="1"/>
  <c r="A897" i="23" s="1"/>
  <c r="A898" i="23" s="1"/>
  <c r="A899" i="23" s="1"/>
  <c r="A900" i="23" s="1"/>
  <c r="A901" i="23" s="1"/>
  <c r="A902" i="23" s="1"/>
  <c r="A903" i="23" s="1"/>
  <c r="A904" i="23" s="1"/>
  <c r="A905" i="23" s="1"/>
  <c r="A906" i="23" s="1"/>
  <c r="A907" i="23" s="1"/>
  <c r="A908" i="23" s="1"/>
  <c r="A909" i="23" s="1"/>
  <c r="A910" i="23" s="1"/>
  <c r="A911" i="23" s="1"/>
  <c r="A912" i="23" s="1"/>
  <c r="A913" i="23" s="1"/>
  <c r="A914" i="23" s="1"/>
  <c r="A915" i="23" s="1"/>
  <c r="A916" i="23" s="1"/>
  <c r="A917" i="23" s="1"/>
  <c r="A918" i="23" s="1"/>
  <c r="A919" i="23" s="1"/>
  <c r="A920" i="23" s="1"/>
  <c r="A921" i="23" s="1"/>
  <c r="A922" i="23" s="1"/>
  <c r="A923" i="23" s="1"/>
  <c r="A924" i="23" s="1"/>
  <c r="A925" i="23" s="1"/>
  <c r="A926" i="23" s="1"/>
  <c r="A927" i="23" s="1"/>
  <c r="A928" i="23" s="1"/>
  <c r="A929" i="23" s="1"/>
  <c r="A930" i="23" s="1"/>
  <c r="A931" i="23" s="1"/>
  <c r="A932" i="23" s="1"/>
  <c r="A933" i="23" s="1"/>
  <c r="A934" i="23" s="1"/>
  <c r="A935" i="23" s="1"/>
  <c r="A936" i="23" s="1"/>
  <c r="A937" i="23" s="1"/>
  <c r="A938" i="23" s="1"/>
  <c r="A939" i="23" s="1"/>
  <c r="A940" i="23" s="1"/>
  <c r="A941" i="23" s="1"/>
  <c r="A942" i="23" s="1"/>
  <c r="A943" i="23" s="1"/>
  <c r="A944" i="23" s="1"/>
  <c r="A945" i="23" s="1"/>
  <c r="A946" i="23" s="1"/>
  <c r="A947" i="23" s="1"/>
  <c r="A948" i="23" s="1"/>
  <c r="A949" i="23" s="1"/>
  <c r="A950" i="23" s="1"/>
  <c r="A951" i="23" s="1"/>
  <c r="A952" i="23" s="1"/>
  <c r="A953" i="23" s="1"/>
  <c r="A954" i="23" s="1"/>
  <c r="A955" i="23" s="1"/>
  <c r="A956" i="23" s="1"/>
  <c r="A957" i="23" s="1"/>
  <c r="A958" i="23" s="1"/>
  <c r="A959" i="23" s="1"/>
  <c r="A960" i="23" s="1"/>
  <c r="A961" i="23" s="1"/>
  <c r="A962" i="23" s="1"/>
  <c r="A963" i="23" s="1"/>
  <c r="A964" i="23" s="1"/>
  <c r="A965" i="23" s="1"/>
  <c r="A966" i="23" s="1"/>
  <c r="A967" i="23" s="1"/>
  <c r="A968" i="23" s="1"/>
  <c r="A969" i="23" s="1"/>
  <c r="A970" i="23" s="1"/>
  <c r="A971" i="23" s="1"/>
  <c r="A972" i="23" s="1"/>
  <c r="A973" i="23" s="1"/>
  <c r="A974" i="23" s="1"/>
  <c r="A975" i="23" s="1"/>
  <c r="A976" i="23" s="1"/>
  <c r="A977" i="23" s="1"/>
  <c r="A978" i="23" s="1"/>
  <c r="A979" i="23" s="1"/>
  <c r="A980" i="23" s="1"/>
  <c r="A981" i="23" s="1"/>
  <c r="A982" i="23" s="1"/>
  <c r="A983" i="23" s="1"/>
  <c r="A984" i="23" s="1"/>
  <c r="A985" i="23" s="1"/>
  <c r="A986" i="23" s="1"/>
  <c r="A987" i="23" s="1"/>
  <c r="A988" i="23" s="1"/>
  <c r="A989" i="23" s="1"/>
  <c r="A990" i="23" s="1"/>
  <c r="A991" i="23" s="1"/>
  <c r="A992" i="23" s="1"/>
  <c r="A993" i="23" s="1"/>
  <c r="A994" i="23" s="1"/>
  <c r="A995" i="23" s="1"/>
  <c r="A996" i="23" s="1"/>
  <c r="A997" i="23" s="1"/>
  <c r="A998" i="23" s="1"/>
  <c r="A999" i="23" s="1"/>
  <c r="A1000" i="23" s="1"/>
  <c r="A1001" i="23" s="1"/>
  <c r="A1002" i="23" s="1"/>
  <c r="A1003" i="23" s="1"/>
  <c r="A1004" i="23" s="1"/>
  <c r="A1005" i="23" s="1"/>
  <c r="A1006" i="23" s="1"/>
  <c r="A1007" i="23" s="1"/>
  <c r="A1008" i="23" s="1"/>
  <c r="A1009" i="23" s="1"/>
  <c r="A1010" i="23" s="1"/>
  <c r="A1011" i="23" s="1"/>
  <c r="A1012" i="23" s="1"/>
  <c r="A1013" i="23" s="1"/>
  <c r="A1014" i="23" s="1"/>
  <c r="A1015" i="23" s="1"/>
  <c r="A1016" i="23" s="1"/>
  <c r="A1017" i="23" s="1"/>
  <c r="A1018" i="23" s="1"/>
  <c r="A1019" i="23" s="1"/>
  <c r="A1020" i="23" s="1"/>
  <c r="A1021" i="23" s="1"/>
  <c r="A1022" i="23" s="1"/>
  <c r="A1023" i="23" s="1"/>
  <c r="A1024" i="23" s="1"/>
  <c r="A1025" i="23" s="1"/>
  <c r="A1026" i="23" s="1"/>
  <c r="A1027" i="23" s="1"/>
  <c r="A1028" i="23" s="1"/>
  <c r="A1029" i="23" s="1"/>
  <c r="A1030" i="23" s="1"/>
  <c r="A1031" i="23" s="1"/>
  <c r="A1032" i="23" s="1"/>
  <c r="A1033" i="23" s="1"/>
  <c r="C3" i="23"/>
  <c r="C4"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212" i="23"/>
  <c r="C213" i="23"/>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64" i="23"/>
  <c r="C265" i="23"/>
  <c r="C266" i="23"/>
  <c r="C267" i="23"/>
  <c r="C268" i="23"/>
  <c r="C269" i="23"/>
  <c r="C270" i="23"/>
  <c r="C271" i="23"/>
  <c r="C272" i="23"/>
  <c r="C273" i="23"/>
  <c r="C274" i="23"/>
  <c r="C275" i="23"/>
  <c r="C276" i="23"/>
  <c r="C277" i="23"/>
  <c r="C278" i="23"/>
  <c r="C279" i="23"/>
  <c r="C280" i="23"/>
  <c r="C281" i="23"/>
  <c r="C282" i="23"/>
  <c r="C283" i="23"/>
  <c r="C284" i="23"/>
  <c r="C285" i="23"/>
  <c r="C286" i="23"/>
  <c r="C287" i="23"/>
  <c r="C288" i="23"/>
  <c r="C289" i="23"/>
  <c r="C290" i="23"/>
  <c r="C291" i="23"/>
  <c r="C292" i="23"/>
  <c r="C293" i="23"/>
  <c r="C294" i="23"/>
  <c r="C295" i="23"/>
  <c r="C296" i="23"/>
  <c r="C297" i="23"/>
  <c r="C298" i="23"/>
  <c r="C299" i="23"/>
  <c r="C300" i="23"/>
  <c r="C301" i="23"/>
  <c r="C302" i="23"/>
  <c r="C303" i="23"/>
  <c r="C304" i="23"/>
  <c r="C305" i="23"/>
  <c r="C306" i="23"/>
  <c r="C307" i="23"/>
  <c r="C308" i="23"/>
  <c r="C309" i="23"/>
  <c r="C310" i="23"/>
  <c r="C311" i="23"/>
  <c r="C312" i="23"/>
  <c r="C313" i="23"/>
  <c r="C314" i="23"/>
  <c r="C315" i="23"/>
  <c r="C316" i="23"/>
  <c r="C317" i="23"/>
  <c r="C318" i="23"/>
  <c r="C319" i="23"/>
  <c r="C320" i="23"/>
  <c r="C321" i="23"/>
  <c r="C322" i="23"/>
  <c r="C323" i="23"/>
  <c r="C324" i="23"/>
  <c r="C325" i="23"/>
  <c r="C326" i="23"/>
  <c r="C327" i="23"/>
  <c r="C328" i="23"/>
  <c r="C329" i="23"/>
  <c r="C330" i="23"/>
  <c r="C331" i="23"/>
  <c r="C332" i="23"/>
  <c r="C333" i="23"/>
  <c r="C334" i="23"/>
  <c r="C335" i="23"/>
  <c r="C336" i="23"/>
  <c r="C337" i="23"/>
  <c r="C338" i="23"/>
  <c r="C339" i="23"/>
  <c r="C340" i="23"/>
  <c r="C341" i="23"/>
  <c r="C342" i="23"/>
  <c r="C343" i="23"/>
  <c r="C344" i="23"/>
  <c r="C345" i="23"/>
  <c r="C346" i="23"/>
  <c r="C347" i="23"/>
  <c r="C348" i="23"/>
  <c r="C349" i="23"/>
  <c r="C350" i="23"/>
  <c r="C351" i="23"/>
  <c r="C352" i="23"/>
  <c r="C353" i="23"/>
  <c r="C354" i="23"/>
  <c r="C355" i="23"/>
  <c r="C356" i="23"/>
  <c r="C357" i="23"/>
  <c r="C358" i="23"/>
  <c r="C359" i="23"/>
  <c r="C360" i="23"/>
  <c r="C361" i="23"/>
  <c r="C362" i="23"/>
  <c r="C363" i="23"/>
  <c r="C364" i="23"/>
  <c r="C365" i="23"/>
  <c r="C366" i="23"/>
  <c r="C367" i="23"/>
  <c r="C368" i="23"/>
  <c r="C369" i="23"/>
  <c r="C370" i="23"/>
  <c r="C371" i="23"/>
  <c r="C372" i="23"/>
  <c r="C373" i="23"/>
  <c r="C374" i="23"/>
  <c r="C375" i="23"/>
  <c r="C376" i="23"/>
  <c r="C377" i="23"/>
  <c r="C378" i="23"/>
  <c r="C379" i="23"/>
  <c r="C380" i="23"/>
  <c r="C381" i="23"/>
  <c r="C382" i="23"/>
  <c r="C383" i="23"/>
  <c r="C384" i="23"/>
  <c r="C385" i="23"/>
  <c r="C386" i="23"/>
  <c r="C387" i="23"/>
  <c r="C388" i="23"/>
  <c r="C389" i="23"/>
  <c r="C390" i="23"/>
  <c r="C391" i="23"/>
  <c r="C392" i="23"/>
  <c r="C393" i="23"/>
  <c r="C394" i="23"/>
  <c r="C395" i="23"/>
  <c r="C396" i="23"/>
  <c r="C397" i="23"/>
  <c r="C398" i="23"/>
  <c r="C399" i="23"/>
  <c r="C400" i="23"/>
  <c r="C401" i="23"/>
  <c r="C402" i="23"/>
  <c r="C403" i="23"/>
  <c r="C404" i="23"/>
  <c r="C405" i="23"/>
  <c r="C406" i="23"/>
  <c r="C407" i="23"/>
  <c r="C408" i="23"/>
  <c r="C409" i="23"/>
  <c r="C410" i="23"/>
  <c r="C411" i="23"/>
  <c r="C412" i="23"/>
  <c r="C413" i="23"/>
  <c r="C414" i="23"/>
  <c r="C415" i="23"/>
  <c r="C416" i="23"/>
  <c r="C417" i="23"/>
  <c r="C418" i="23"/>
  <c r="C419" i="23"/>
  <c r="C420" i="23"/>
  <c r="C421" i="23"/>
  <c r="C422" i="23"/>
  <c r="C423" i="23"/>
  <c r="C424" i="23"/>
  <c r="C425" i="23"/>
  <c r="C426" i="23"/>
  <c r="C427" i="23"/>
  <c r="C428" i="23"/>
  <c r="C429" i="23"/>
  <c r="C430" i="23"/>
  <c r="C431" i="23"/>
  <c r="C432" i="23"/>
  <c r="C433" i="23"/>
  <c r="C434" i="23"/>
  <c r="C435" i="23"/>
  <c r="C436" i="23"/>
  <c r="C437" i="23"/>
  <c r="C438" i="23"/>
  <c r="C439" i="23"/>
  <c r="C440" i="23"/>
  <c r="C441" i="23"/>
  <c r="C442" i="23"/>
  <c r="C443" i="23"/>
  <c r="C444" i="23"/>
  <c r="C445" i="23"/>
  <c r="C446" i="23"/>
  <c r="C447" i="23"/>
  <c r="C448" i="23"/>
  <c r="C449" i="23"/>
  <c r="C450" i="23"/>
  <c r="C451" i="23"/>
  <c r="C452" i="23"/>
  <c r="C453" i="23"/>
  <c r="C454" i="23"/>
  <c r="C455" i="23"/>
  <c r="C456" i="23"/>
  <c r="C457" i="23"/>
  <c r="C458" i="23"/>
  <c r="C459" i="23"/>
  <c r="C460" i="23"/>
  <c r="C461" i="23"/>
  <c r="C462" i="23"/>
  <c r="C463" i="23"/>
  <c r="C464" i="23"/>
  <c r="C465" i="23"/>
  <c r="C466" i="23"/>
  <c r="C467" i="23"/>
  <c r="C468" i="23"/>
  <c r="C469" i="23"/>
  <c r="C470" i="23"/>
  <c r="C471" i="23"/>
  <c r="C472" i="23"/>
  <c r="C473" i="23"/>
  <c r="C474" i="23"/>
  <c r="C475" i="23"/>
  <c r="C476" i="23"/>
  <c r="C477" i="23"/>
  <c r="C478" i="23"/>
  <c r="C479" i="23"/>
  <c r="C480" i="23"/>
  <c r="C481" i="23"/>
  <c r="C482" i="23"/>
  <c r="C483" i="23"/>
  <c r="C484" i="23"/>
  <c r="C485" i="23"/>
  <c r="C486" i="23"/>
  <c r="C487" i="23"/>
  <c r="C488" i="23"/>
  <c r="C489" i="23"/>
  <c r="C490" i="23"/>
  <c r="C491" i="23"/>
  <c r="C492" i="23"/>
  <c r="C493" i="23"/>
  <c r="C494" i="23"/>
  <c r="C495" i="23"/>
  <c r="C496" i="23"/>
  <c r="C497" i="23"/>
  <c r="C498" i="23"/>
  <c r="C499" i="23"/>
  <c r="C500" i="23"/>
  <c r="C501" i="23"/>
  <c r="C502" i="23"/>
  <c r="C503" i="23"/>
  <c r="C504" i="23"/>
  <c r="C505" i="23"/>
  <c r="C506" i="23"/>
  <c r="C507" i="23"/>
  <c r="C508" i="23"/>
  <c r="C509" i="23"/>
  <c r="C510" i="23"/>
  <c r="C511" i="23"/>
  <c r="C512" i="23"/>
  <c r="C513" i="23"/>
  <c r="C514" i="23"/>
  <c r="C515" i="23"/>
  <c r="C516" i="23"/>
  <c r="C517" i="23"/>
  <c r="C518" i="23"/>
  <c r="C519" i="23"/>
  <c r="C520" i="23"/>
  <c r="C521" i="23"/>
  <c r="C522" i="23"/>
  <c r="C523" i="23"/>
  <c r="C524" i="23"/>
  <c r="C525" i="23"/>
  <c r="C526" i="23"/>
  <c r="C527" i="23"/>
  <c r="C528" i="23"/>
  <c r="C529" i="23"/>
  <c r="C530" i="23"/>
  <c r="C531" i="23"/>
  <c r="C532" i="23"/>
  <c r="C533" i="23"/>
  <c r="C534" i="23"/>
  <c r="C535" i="23"/>
  <c r="C536" i="23"/>
  <c r="C537" i="23"/>
  <c r="C538" i="23"/>
  <c r="C539" i="23"/>
  <c r="C540" i="23"/>
  <c r="C541" i="23"/>
  <c r="C542" i="23"/>
  <c r="C543" i="23"/>
  <c r="C544" i="23"/>
  <c r="C545" i="23"/>
  <c r="C546" i="23"/>
  <c r="C547" i="23"/>
  <c r="C548" i="23"/>
  <c r="C549" i="23"/>
  <c r="C550" i="23"/>
  <c r="C551" i="23"/>
  <c r="C552" i="23"/>
  <c r="C553" i="23"/>
  <c r="C554" i="23"/>
  <c r="C555" i="23"/>
  <c r="C556" i="23"/>
  <c r="C557" i="23"/>
  <c r="C558" i="23"/>
  <c r="C559" i="23"/>
  <c r="C560" i="23"/>
  <c r="C561" i="23"/>
  <c r="C562" i="23"/>
  <c r="C563" i="23"/>
  <c r="C564" i="23"/>
  <c r="C565" i="23"/>
  <c r="C566" i="23"/>
  <c r="C567" i="23"/>
  <c r="C568" i="23"/>
  <c r="C569" i="23"/>
  <c r="C570" i="23"/>
  <c r="C571" i="23"/>
  <c r="C572" i="23"/>
  <c r="C573" i="23"/>
  <c r="C574" i="23"/>
  <c r="C575" i="23"/>
  <c r="C576" i="23"/>
  <c r="C577" i="23"/>
  <c r="C578" i="23"/>
  <c r="C579" i="23"/>
  <c r="C580" i="23"/>
  <c r="C581" i="23"/>
  <c r="C582" i="23"/>
  <c r="C583" i="23"/>
  <c r="C584" i="23"/>
  <c r="C585" i="23"/>
  <c r="C586" i="23"/>
  <c r="C587" i="23"/>
  <c r="C588" i="23"/>
  <c r="C589" i="23"/>
  <c r="C590" i="23"/>
  <c r="C591" i="23"/>
  <c r="C592" i="23"/>
  <c r="C593" i="23"/>
  <c r="C594" i="23"/>
  <c r="C595" i="23"/>
  <c r="C596" i="23"/>
  <c r="C597" i="23"/>
  <c r="C598" i="23"/>
  <c r="C599" i="23"/>
  <c r="C600" i="23"/>
  <c r="C601" i="23"/>
  <c r="C602" i="23"/>
  <c r="C603" i="23"/>
  <c r="C604" i="23"/>
  <c r="C605" i="23"/>
  <c r="C606" i="23"/>
  <c r="C607" i="23"/>
  <c r="C608" i="23"/>
  <c r="C609" i="23"/>
  <c r="C610" i="23"/>
  <c r="C611" i="23"/>
  <c r="C612" i="23"/>
  <c r="C613" i="23"/>
  <c r="C614" i="23"/>
  <c r="C615" i="23"/>
  <c r="C616" i="23"/>
  <c r="C617" i="23"/>
  <c r="C618" i="23"/>
  <c r="C619" i="23"/>
  <c r="C620" i="23"/>
  <c r="C621" i="23"/>
  <c r="C622" i="23"/>
  <c r="C623" i="23"/>
  <c r="C624" i="23"/>
  <c r="C625" i="23"/>
  <c r="C626" i="23"/>
  <c r="C627" i="23"/>
  <c r="C628" i="23"/>
  <c r="C629" i="23"/>
  <c r="C630" i="23"/>
  <c r="C631" i="23"/>
  <c r="C632" i="23"/>
  <c r="C633" i="23"/>
  <c r="C634" i="23"/>
  <c r="C635" i="23"/>
  <c r="C636" i="23"/>
  <c r="C637" i="23"/>
  <c r="C638" i="23"/>
  <c r="C639" i="23"/>
  <c r="C640" i="23"/>
  <c r="C641" i="23"/>
  <c r="C642" i="23"/>
  <c r="C643" i="23"/>
  <c r="C644" i="23"/>
  <c r="C645" i="23"/>
  <c r="C646" i="23"/>
  <c r="C647" i="23"/>
  <c r="C648" i="23"/>
  <c r="C649" i="23"/>
  <c r="C650" i="23"/>
  <c r="C651" i="23"/>
  <c r="C652" i="23"/>
  <c r="C653" i="23"/>
  <c r="C654" i="23"/>
  <c r="C655" i="23"/>
  <c r="C656" i="23"/>
  <c r="C657" i="23"/>
  <c r="C658" i="23"/>
  <c r="C659" i="23"/>
  <c r="C660" i="23"/>
  <c r="C661" i="23"/>
  <c r="C662" i="23"/>
  <c r="C663" i="23"/>
  <c r="C664" i="23"/>
  <c r="C665" i="23"/>
  <c r="C666" i="23"/>
  <c r="C667" i="23"/>
  <c r="C668" i="23"/>
  <c r="C669" i="23"/>
  <c r="C670" i="23"/>
  <c r="C671" i="23"/>
  <c r="C672" i="23"/>
  <c r="C673" i="23"/>
  <c r="C674" i="23"/>
  <c r="C675" i="23"/>
  <c r="C676" i="23"/>
  <c r="C677" i="23"/>
  <c r="C678" i="23"/>
  <c r="C679" i="23"/>
  <c r="C680" i="23"/>
  <c r="C681" i="23"/>
  <c r="C682" i="23"/>
  <c r="C683" i="23"/>
  <c r="C684" i="23"/>
  <c r="C685" i="23"/>
  <c r="C686" i="23"/>
  <c r="C687" i="23"/>
  <c r="C688" i="23"/>
  <c r="C689" i="23"/>
  <c r="C690" i="23"/>
  <c r="C691" i="23"/>
  <c r="C692" i="23"/>
  <c r="C693" i="23"/>
  <c r="C694" i="23"/>
  <c r="C695" i="23"/>
  <c r="C696" i="23"/>
  <c r="C697" i="23"/>
  <c r="C698" i="23"/>
  <c r="C699" i="23"/>
  <c r="C700" i="23"/>
  <c r="C701" i="23"/>
  <c r="C702" i="23"/>
  <c r="C703" i="23"/>
  <c r="C704" i="23"/>
  <c r="C705" i="23"/>
  <c r="C706" i="23"/>
  <c r="C707" i="23"/>
  <c r="C708" i="23"/>
  <c r="C709" i="23"/>
  <c r="C710" i="23"/>
  <c r="C711" i="23"/>
  <c r="C712" i="23"/>
  <c r="C713" i="23"/>
  <c r="C714" i="23"/>
  <c r="C715" i="23"/>
  <c r="C716" i="23"/>
  <c r="C717" i="23"/>
  <c r="C718" i="23"/>
  <c r="C719" i="23"/>
  <c r="C720" i="23"/>
  <c r="C721" i="23"/>
  <c r="C722" i="23"/>
  <c r="C723" i="23"/>
  <c r="C724" i="23"/>
  <c r="C725" i="23"/>
  <c r="C726" i="23"/>
  <c r="C727" i="23"/>
  <c r="C728" i="23"/>
  <c r="C729" i="23"/>
  <c r="C730" i="23"/>
  <c r="C731" i="23"/>
  <c r="C732" i="23"/>
  <c r="C733" i="23"/>
  <c r="C734" i="23"/>
  <c r="C735" i="23"/>
  <c r="C736" i="23"/>
  <c r="C737" i="23"/>
  <c r="C738" i="23"/>
  <c r="C739" i="23"/>
  <c r="C740" i="23"/>
  <c r="C741" i="23"/>
  <c r="C742" i="23"/>
  <c r="C743" i="23"/>
  <c r="C744" i="23"/>
  <c r="C745" i="23"/>
  <c r="C746" i="23"/>
  <c r="C747" i="23"/>
  <c r="C748" i="23"/>
  <c r="C749" i="23"/>
  <c r="C750" i="23"/>
  <c r="C751" i="23"/>
  <c r="C752" i="23"/>
  <c r="C753" i="23"/>
  <c r="C754" i="23"/>
  <c r="C755" i="23"/>
  <c r="C756" i="23"/>
  <c r="C757" i="23"/>
  <c r="C758" i="23"/>
  <c r="C759" i="23"/>
  <c r="C760" i="23"/>
  <c r="C761" i="23"/>
  <c r="C762" i="23"/>
  <c r="C763" i="23"/>
  <c r="C764" i="23"/>
  <c r="C765" i="23"/>
  <c r="C766" i="23"/>
  <c r="C767" i="23"/>
  <c r="C768" i="23"/>
  <c r="C769" i="23"/>
  <c r="C770" i="23"/>
  <c r="C771" i="23"/>
  <c r="C772" i="23"/>
  <c r="C773" i="23"/>
  <c r="C774" i="23"/>
  <c r="C775" i="23"/>
  <c r="C776" i="23"/>
  <c r="C777" i="23"/>
  <c r="C778" i="23"/>
  <c r="C779" i="23"/>
  <c r="C780" i="23"/>
  <c r="C781" i="23"/>
  <c r="C782" i="23"/>
  <c r="C783" i="23"/>
  <c r="C784" i="23"/>
  <c r="C785" i="23"/>
  <c r="C786" i="23"/>
  <c r="C787" i="23"/>
  <c r="C788" i="23"/>
  <c r="C789" i="23"/>
  <c r="C790" i="23"/>
  <c r="C791" i="23"/>
  <c r="C792" i="23"/>
  <c r="C793" i="23"/>
  <c r="C794" i="23"/>
  <c r="C795" i="23"/>
  <c r="C796" i="23"/>
  <c r="C797" i="23"/>
  <c r="C798" i="23"/>
  <c r="C799" i="23"/>
  <c r="C800" i="23"/>
  <c r="C801" i="23"/>
  <c r="C802" i="23"/>
  <c r="C803" i="23"/>
  <c r="C804" i="23"/>
  <c r="C805" i="23"/>
  <c r="C806" i="23"/>
  <c r="C807" i="23"/>
  <c r="C808" i="23"/>
  <c r="C809" i="23"/>
  <c r="C810" i="23"/>
  <c r="C811" i="23"/>
  <c r="C812" i="23"/>
  <c r="C813" i="23"/>
  <c r="C814" i="23"/>
  <c r="C815" i="23"/>
  <c r="C816" i="23"/>
  <c r="C817" i="23"/>
  <c r="C818" i="23"/>
  <c r="C819" i="23"/>
  <c r="C820" i="23"/>
  <c r="C821" i="23"/>
  <c r="C822" i="23"/>
  <c r="C823" i="23"/>
  <c r="C824" i="23"/>
  <c r="C825" i="23"/>
  <c r="C826" i="23"/>
  <c r="C827" i="23"/>
  <c r="S3" i="23"/>
  <c r="S4" i="23"/>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S47" i="23"/>
  <c r="S48" i="23"/>
  <c r="S49" i="23"/>
  <c r="S50" i="23"/>
  <c r="S51" i="23"/>
  <c r="S52" i="23"/>
  <c r="S53" i="23"/>
  <c r="S54" i="23"/>
  <c r="S55" i="23"/>
  <c r="S56" i="23"/>
  <c r="S57" i="23"/>
  <c r="S58" i="23"/>
  <c r="S59" i="23"/>
  <c r="S60" i="23"/>
  <c r="S61" i="23"/>
  <c r="S62" i="23"/>
  <c r="S63" i="23"/>
  <c r="S64" i="23"/>
  <c r="S65" i="23"/>
  <c r="S66" i="23"/>
  <c r="S67" i="23"/>
  <c r="S68" i="23"/>
  <c r="S69" i="23"/>
  <c r="S70" i="23"/>
  <c r="S71" i="23"/>
  <c r="S72" i="23"/>
  <c r="S73" i="23"/>
  <c r="S74" i="23"/>
  <c r="S75" i="23"/>
  <c r="S76" i="23"/>
  <c r="S77" i="23"/>
  <c r="S78" i="23"/>
  <c r="S79" i="23"/>
  <c r="S80" i="23"/>
  <c r="S81" i="23"/>
  <c r="S82" i="23"/>
  <c r="S83" i="23"/>
  <c r="S84" i="23"/>
  <c r="S85" i="23"/>
  <c r="S86" i="23"/>
  <c r="S87" i="23"/>
  <c r="S88" i="23"/>
  <c r="S89" i="23"/>
  <c r="S90" i="23"/>
  <c r="S91" i="23"/>
  <c r="S92" i="23"/>
  <c r="S93" i="23"/>
  <c r="S94" i="23"/>
  <c r="S95" i="23"/>
  <c r="S96" i="23"/>
  <c r="S97" i="23"/>
  <c r="S98" i="23"/>
  <c r="S99" i="23"/>
  <c r="S100" i="23"/>
  <c r="S101" i="23"/>
  <c r="S102" i="23"/>
  <c r="S103" i="23"/>
  <c r="S104" i="23"/>
  <c r="S105" i="23"/>
  <c r="S106" i="23"/>
  <c r="S107" i="23"/>
  <c r="S108" i="23"/>
  <c r="S109" i="23"/>
  <c r="S110" i="23"/>
  <c r="S111" i="23"/>
  <c r="S112" i="23"/>
  <c r="S113" i="23"/>
  <c r="S114" i="23"/>
  <c r="S115" i="23"/>
  <c r="S116" i="23"/>
  <c r="S117" i="23"/>
  <c r="S118" i="23"/>
  <c r="S119" i="23"/>
  <c r="S120" i="23"/>
  <c r="S121" i="23"/>
  <c r="S122" i="23"/>
  <c r="S123" i="23"/>
  <c r="S124" i="23"/>
  <c r="S125" i="23"/>
  <c r="S126" i="23"/>
  <c r="S127" i="23"/>
  <c r="S128" i="23"/>
  <c r="S129" i="23"/>
  <c r="S130" i="23"/>
  <c r="S131" i="23"/>
  <c r="S132" i="23"/>
  <c r="S133" i="23"/>
  <c r="S134" i="23"/>
  <c r="S135" i="23"/>
  <c r="S136" i="23"/>
  <c r="S137" i="23"/>
  <c r="S138" i="23"/>
  <c r="S139" i="23"/>
  <c r="S140" i="23"/>
  <c r="S141" i="23"/>
  <c r="S142" i="23"/>
  <c r="S143" i="23"/>
  <c r="S144" i="23"/>
  <c r="S145" i="23"/>
  <c r="S146" i="23"/>
  <c r="S147" i="23"/>
  <c r="S148" i="23"/>
  <c r="S149" i="23"/>
  <c r="S150" i="23"/>
  <c r="S151" i="23"/>
  <c r="S152" i="23"/>
  <c r="S153" i="23"/>
  <c r="S154" i="23"/>
  <c r="S155" i="23"/>
  <c r="S156" i="23"/>
  <c r="S157" i="23"/>
  <c r="S158" i="23"/>
  <c r="S159" i="23"/>
  <c r="S160" i="23"/>
  <c r="S161" i="23"/>
  <c r="S162" i="23"/>
  <c r="S163" i="23"/>
  <c r="S164" i="23"/>
  <c r="S165" i="23"/>
  <c r="S166" i="23"/>
  <c r="S167" i="23"/>
  <c r="S168" i="23"/>
  <c r="S169" i="23"/>
  <c r="S170" i="23"/>
  <c r="S171" i="23"/>
  <c r="S172" i="23"/>
  <c r="S173" i="23"/>
  <c r="S174" i="23"/>
  <c r="S175" i="23"/>
  <c r="S176" i="23"/>
  <c r="S177" i="23"/>
  <c r="S178" i="23"/>
  <c r="S179" i="23"/>
  <c r="S180" i="23"/>
  <c r="S181" i="23"/>
  <c r="S182" i="23"/>
  <c r="S183" i="23"/>
  <c r="S184" i="23"/>
  <c r="S185" i="23"/>
  <c r="S186" i="23"/>
  <c r="S187" i="23"/>
  <c r="S188" i="23"/>
  <c r="S189" i="23"/>
  <c r="S190" i="23"/>
  <c r="S191" i="23"/>
  <c r="S192" i="23"/>
  <c r="S193" i="23"/>
  <c r="S194" i="23"/>
  <c r="S195" i="23"/>
  <c r="S196" i="23"/>
  <c r="S197" i="23"/>
  <c r="S198" i="23"/>
  <c r="S199" i="23"/>
  <c r="S200" i="23"/>
  <c r="S201" i="23"/>
  <c r="S202" i="23"/>
  <c r="S203" i="23"/>
  <c r="S204" i="23"/>
  <c r="S205" i="23"/>
  <c r="S206" i="23"/>
  <c r="S207" i="23"/>
  <c r="S208" i="23"/>
  <c r="S209" i="23"/>
  <c r="S210" i="23"/>
  <c r="S211" i="23"/>
  <c r="S212" i="23"/>
  <c r="S213" i="23"/>
  <c r="S214" i="23"/>
  <c r="S215" i="23"/>
  <c r="S216" i="23"/>
  <c r="S217" i="23"/>
  <c r="S218" i="23"/>
  <c r="S219" i="23"/>
  <c r="S220" i="23"/>
  <c r="S221" i="23"/>
  <c r="S222" i="23"/>
  <c r="S223" i="23"/>
  <c r="S224" i="23"/>
  <c r="S225" i="23"/>
  <c r="S226" i="23"/>
  <c r="S227" i="23"/>
  <c r="S228" i="23"/>
  <c r="S229" i="23"/>
  <c r="S230" i="23"/>
  <c r="S231" i="23"/>
  <c r="S232" i="23"/>
  <c r="S233" i="23"/>
  <c r="S234" i="23"/>
  <c r="S235" i="23"/>
  <c r="S236" i="23"/>
  <c r="S237" i="23"/>
  <c r="S238" i="23"/>
  <c r="S239" i="23"/>
  <c r="S240" i="23"/>
  <c r="S241" i="23"/>
  <c r="S242" i="23"/>
  <c r="S243" i="23"/>
  <c r="S244" i="23"/>
  <c r="S245" i="23"/>
  <c r="S246" i="23"/>
  <c r="S247" i="23"/>
  <c r="S248" i="23"/>
  <c r="S249" i="23"/>
  <c r="S250" i="23"/>
  <c r="S251" i="23"/>
  <c r="S252" i="23"/>
  <c r="S253" i="23"/>
  <c r="S254" i="23"/>
  <c r="S255" i="23"/>
  <c r="S256" i="23"/>
  <c r="S257" i="23"/>
  <c r="S258" i="23"/>
  <c r="S259" i="23"/>
  <c r="S260" i="23"/>
  <c r="S261" i="23"/>
  <c r="S262" i="23"/>
  <c r="S263" i="23"/>
  <c r="S264" i="23"/>
  <c r="S265" i="23"/>
  <c r="S266" i="23"/>
  <c r="S267" i="23"/>
  <c r="S268" i="23"/>
  <c r="S269" i="23"/>
  <c r="S270" i="23"/>
  <c r="S271" i="23"/>
  <c r="S272" i="23"/>
  <c r="S273" i="23"/>
  <c r="S274" i="23"/>
  <c r="S275" i="23"/>
  <c r="S276" i="23"/>
  <c r="S277" i="23"/>
  <c r="S278" i="23"/>
  <c r="S279" i="23"/>
  <c r="S280" i="23"/>
  <c r="S281" i="23"/>
  <c r="S282" i="23"/>
  <c r="S283" i="23"/>
  <c r="S284" i="23"/>
  <c r="S285" i="23"/>
  <c r="S286" i="23"/>
  <c r="S287" i="23"/>
  <c r="S288" i="23"/>
  <c r="S289" i="23"/>
  <c r="S290" i="23"/>
  <c r="S291" i="23"/>
  <c r="S292" i="23"/>
  <c r="S293" i="23"/>
  <c r="S294" i="23"/>
  <c r="S295" i="23"/>
  <c r="S296" i="23"/>
  <c r="S297" i="23"/>
  <c r="S298" i="23"/>
  <c r="S299" i="23"/>
  <c r="S300" i="23"/>
  <c r="S301" i="23"/>
  <c r="S302" i="23"/>
  <c r="S303" i="23"/>
  <c r="S304" i="23"/>
  <c r="S305" i="23"/>
  <c r="S306" i="23"/>
  <c r="S307" i="23"/>
  <c r="S308" i="23"/>
  <c r="S309" i="23"/>
  <c r="S310" i="23"/>
  <c r="S311" i="23"/>
  <c r="S312" i="23"/>
  <c r="S313" i="23"/>
  <c r="S314" i="23"/>
  <c r="S315" i="23"/>
  <c r="S316" i="23"/>
  <c r="S317" i="23"/>
  <c r="S318" i="23"/>
  <c r="S319" i="23"/>
  <c r="S320" i="23"/>
  <c r="S321" i="23"/>
  <c r="S322" i="23"/>
  <c r="S323" i="23"/>
  <c r="S324" i="23"/>
  <c r="S325" i="23"/>
  <c r="S326" i="23"/>
  <c r="S327" i="23"/>
  <c r="S328" i="23"/>
  <c r="S329" i="23"/>
  <c r="S330" i="23"/>
  <c r="S331" i="23"/>
  <c r="S332" i="23"/>
  <c r="S333" i="23"/>
  <c r="S334" i="23"/>
  <c r="S335" i="23"/>
  <c r="S336" i="23"/>
  <c r="S337" i="23"/>
  <c r="S338" i="23"/>
  <c r="S339" i="23"/>
  <c r="S340" i="23"/>
  <c r="S341" i="23"/>
  <c r="S342" i="23"/>
  <c r="S343" i="23"/>
  <c r="S344" i="23"/>
  <c r="S345" i="23"/>
  <c r="S346" i="23"/>
  <c r="S347" i="23"/>
  <c r="S348" i="23"/>
  <c r="S349" i="23"/>
  <c r="S350" i="23"/>
  <c r="S351" i="23"/>
  <c r="S352" i="23"/>
  <c r="S353" i="23"/>
  <c r="S354" i="23"/>
  <c r="S355" i="23"/>
  <c r="S356" i="23"/>
  <c r="S357" i="23"/>
  <c r="S358" i="23"/>
  <c r="S359" i="23"/>
  <c r="S360" i="23"/>
  <c r="S361" i="23"/>
  <c r="S362" i="23"/>
  <c r="S363" i="23"/>
  <c r="S364" i="23"/>
  <c r="S365" i="23"/>
  <c r="S366" i="23"/>
  <c r="S367" i="23"/>
  <c r="S368" i="23"/>
  <c r="S369" i="23"/>
  <c r="S370" i="23"/>
  <c r="S371" i="23"/>
  <c r="S372" i="23"/>
  <c r="S373" i="23"/>
  <c r="S374" i="23"/>
  <c r="S375" i="23"/>
  <c r="S376" i="23"/>
  <c r="S377" i="23"/>
  <c r="S378" i="23"/>
  <c r="S379" i="23"/>
  <c r="S380" i="23"/>
  <c r="S381" i="23"/>
  <c r="S382" i="23"/>
  <c r="S383" i="23"/>
  <c r="S384" i="23"/>
  <c r="S385" i="23"/>
  <c r="S386" i="23"/>
  <c r="S387" i="23"/>
  <c r="S388" i="23"/>
  <c r="S389" i="23"/>
  <c r="S390" i="23"/>
  <c r="S391" i="23"/>
  <c r="S392" i="23"/>
  <c r="S393" i="23"/>
  <c r="S394" i="23"/>
  <c r="S395" i="23"/>
  <c r="S396" i="23"/>
  <c r="S397" i="23"/>
  <c r="S398" i="23"/>
  <c r="S399" i="23"/>
  <c r="S400" i="23"/>
  <c r="S401" i="23"/>
  <c r="S402" i="23"/>
  <c r="S403" i="23"/>
  <c r="S404" i="23"/>
  <c r="S405" i="23"/>
  <c r="S406" i="23"/>
  <c r="S407" i="23"/>
  <c r="S408" i="23"/>
  <c r="S409" i="23"/>
  <c r="S410" i="23"/>
  <c r="S411" i="23"/>
  <c r="S412" i="23"/>
  <c r="S413" i="23"/>
  <c r="S414" i="23"/>
  <c r="S415" i="23"/>
  <c r="S416" i="23"/>
  <c r="S417" i="23"/>
  <c r="S418" i="23"/>
  <c r="S419" i="23"/>
  <c r="S420" i="23"/>
  <c r="S421" i="23"/>
  <c r="S422" i="23"/>
  <c r="S423" i="23"/>
  <c r="S424" i="23"/>
  <c r="S425" i="23"/>
  <c r="S426" i="23"/>
  <c r="S427" i="23"/>
  <c r="S428" i="23"/>
  <c r="S429" i="23"/>
  <c r="S430" i="23"/>
  <c r="S431" i="23"/>
  <c r="S432" i="23"/>
  <c r="S433" i="23"/>
  <c r="S434" i="23"/>
  <c r="S435" i="23"/>
  <c r="S436" i="23"/>
  <c r="S437" i="23"/>
  <c r="S438" i="23"/>
  <c r="S439" i="23"/>
  <c r="S440" i="23"/>
  <c r="S441" i="23"/>
  <c r="S442" i="23"/>
  <c r="S443" i="23"/>
  <c r="S444" i="23"/>
  <c r="S445" i="23"/>
  <c r="S446" i="23"/>
  <c r="S447" i="23"/>
  <c r="S448" i="23"/>
  <c r="S449" i="23"/>
  <c r="S450" i="23"/>
  <c r="S451" i="23"/>
  <c r="S452" i="23"/>
  <c r="S453" i="23"/>
  <c r="S454" i="23"/>
  <c r="S455" i="23"/>
  <c r="S456" i="23"/>
  <c r="S457" i="23"/>
  <c r="S458" i="23"/>
  <c r="S459" i="23"/>
  <c r="S460" i="23"/>
  <c r="S461" i="23"/>
  <c r="S462" i="23"/>
  <c r="S463" i="23"/>
  <c r="S464" i="23"/>
  <c r="S465" i="23"/>
  <c r="S466" i="23"/>
  <c r="S467" i="23"/>
  <c r="S468" i="23"/>
  <c r="S469" i="23"/>
  <c r="S470" i="23"/>
  <c r="S471" i="23"/>
  <c r="S472" i="23"/>
  <c r="S473" i="23"/>
  <c r="S474" i="23"/>
  <c r="S475" i="23"/>
  <c r="S476" i="23"/>
  <c r="S477" i="23"/>
  <c r="S478" i="23"/>
  <c r="S479" i="23"/>
  <c r="S480" i="23"/>
  <c r="S481" i="23"/>
  <c r="S482" i="23"/>
  <c r="S483" i="23"/>
  <c r="S484" i="23"/>
  <c r="S485" i="23"/>
  <c r="S486" i="23"/>
  <c r="S487" i="23"/>
  <c r="S488" i="23"/>
  <c r="S489" i="23"/>
  <c r="S490" i="23"/>
  <c r="S491" i="23"/>
  <c r="S492" i="23"/>
  <c r="S493" i="23"/>
  <c r="S494" i="23"/>
  <c r="S495" i="23"/>
  <c r="S496" i="23"/>
  <c r="S497" i="23"/>
  <c r="S498" i="23"/>
  <c r="S499" i="23"/>
  <c r="S500" i="23"/>
  <c r="S501" i="23"/>
  <c r="S502" i="23"/>
  <c r="S503" i="23"/>
  <c r="S504" i="23"/>
  <c r="S505" i="23"/>
  <c r="S506" i="23"/>
  <c r="S507" i="23"/>
  <c r="S508" i="23"/>
  <c r="S509" i="23"/>
  <c r="S510" i="23"/>
  <c r="S511" i="23"/>
  <c r="S512" i="23"/>
  <c r="S513" i="23"/>
  <c r="S514" i="23"/>
  <c r="S515" i="23"/>
  <c r="S516" i="23"/>
  <c r="S517" i="23"/>
  <c r="S518" i="23"/>
  <c r="S519" i="23"/>
  <c r="S520" i="23"/>
  <c r="S521" i="23"/>
  <c r="S522" i="23"/>
  <c r="S523" i="23"/>
  <c r="S524" i="23"/>
  <c r="S525" i="23"/>
  <c r="S526" i="23"/>
  <c r="S527" i="23"/>
  <c r="S528" i="23"/>
  <c r="S529" i="23"/>
  <c r="S530" i="23"/>
  <c r="S531" i="23"/>
  <c r="S532" i="23"/>
  <c r="S533" i="23"/>
  <c r="S534" i="23"/>
  <c r="S535" i="23"/>
  <c r="S536" i="23"/>
  <c r="S537" i="23"/>
  <c r="S538" i="23"/>
  <c r="S539" i="23"/>
  <c r="S540" i="23"/>
  <c r="S541" i="23"/>
  <c r="S542" i="23"/>
  <c r="S543" i="23"/>
  <c r="S544" i="23"/>
  <c r="S545" i="23"/>
  <c r="S546" i="23"/>
  <c r="S547" i="23"/>
  <c r="S548" i="23"/>
  <c r="S549" i="23"/>
  <c r="S550" i="23"/>
  <c r="S551" i="23"/>
  <c r="S552" i="23"/>
  <c r="S553" i="23"/>
  <c r="S554" i="23"/>
  <c r="S555" i="23"/>
  <c r="S556" i="23"/>
  <c r="S557" i="23"/>
  <c r="S558" i="23"/>
  <c r="S559" i="23"/>
  <c r="S560" i="23"/>
  <c r="S561" i="23"/>
  <c r="S562" i="23"/>
  <c r="S563" i="23"/>
  <c r="S564" i="23"/>
  <c r="S565" i="23"/>
  <c r="S566" i="23"/>
  <c r="S567" i="23"/>
  <c r="S568" i="23"/>
  <c r="S569" i="23"/>
  <c r="S570" i="23"/>
  <c r="S571" i="23"/>
  <c r="S572" i="23"/>
  <c r="S573" i="23"/>
  <c r="S574" i="23"/>
  <c r="S575" i="23"/>
  <c r="S576" i="23"/>
  <c r="S577" i="23"/>
  <c r="S578" i="23"/>
  <c r="S579" i="23"/>
  <c r="S580" i="23"/>
  <c r="S581" i="23"/>
  <c r="S582" i="23"/>
  <c r="S583" i="23"/>
  <c r="S584" i="23"/>
  <c r="S585" i="23"/>
  <c r="S586" i="23"/>
  <c r="S587" i="23"/>
  <c r="S588" i="23"/>
  <c r="S589" i="23"/>
  <c r="S590" i="23"/>
  <c r="S591" i="23"/>
  <c r="S592" i="23"/>
  <c r="S593" i="23"/>
  <c r="S594" i="23"/>
  <c r="S595" i="23"/>
  <c r="S596" i="23"/>
  <c r="S597" i="23"/>
  <c r="S598" i="23"/>
  <c r="S599" i="23"/>
  <c r="S600" i="23"/>
  <c r="S601" i="23"/>
  <c r="S602" i="23"/>
  <c r="S603" i="23"/>
  <c r="S604" i="23"/>
  <c r="S605" i="23"/>
  <c r="S606" i="23"/>
  <c r="S607" i="23"/>
  <c r="S608" i="23"/>
  <c r="S609" i="23"/>
  <c r="S610" i="23"/>
  <c r="S611" i="23"/>
  <c r="S612" i="23"/>
  <c r="S613" i="23"/>
  <c r="S614" i="23"/>
  <c r="S615" i="23"/>
  <c r="S616" i="23"/>
  <c r="S617" i="23"/>
  <c r="S618" i="23"/>
  <c r="S619" i="23"/>
  <c r="S620" i="23"/>
  <c r="S621" i="23"/>
  <c r="S622" i="23"/>
  <c r="S623" i="23"/>
  <c r="S624" i="23"/>
  <c r="S625" i="23"/>
  <c r="S626" i="23"/>
  <c r="S627" i="23"/>
  <c r="S628" i="23"/>
  <c r="S629" i="23"/>
  <c r="S630" i="23"/>
  <c r="S631" i="23"/>
  <c r="S632" i="23"/>
  <c r="S633" i="23"/>
  <c r="S634" i="23"/>
  <c r="S635" i="23"/>
  <c r="S636" i="23"/>
  <c r="S637" i="23"/>
  <c r="S638" i="23"/>
  <c r="S639" i="23"/>
  <c r="S640" i="23"/>
  <c r="S641" i="23"/>
  <c r="S642" i="23"/>
  <c r="S643" i="23"/>
  <c r="S644" i="23"/>
  <c r="S645" i="23"/>
  <c r="S646" i="23"/>
  <c r="S647" i="23"/>
  <c r="S648" i="23"/>
  <c r="S649" i="23"/>
  <c r="S650" i="23"/>
  <c r="S651" i="23"/>
  <c r="S652" i="23"/>
  <c r="S653" i="23"/>
  <c r="S654" i="23"/>
  <c r="S655" i="23"/>
  <c r="S656" i="23"/>
  <c r="S657" i="23"/>
  <c r="S658" i="23"/>
  <c r="S659" i="23"/>
  <c r="S660" i="23"/>
  <c r="S661" i="23"/>
  <c r="S662" i="23"/>
  <c r="S663" i="23"/>
  <c r="S664" i="23"/>
  <c r="S665" i="23"/>
  <c r="S666" i="23"/>
  <c r="S667" i="23"/>
  <c r="S668" i="23"/>
  <c r="S669" i="23"/>
  <c r="S670" i="23"/>
  <c r="S671" i="23"/>
  <c r="S672" i="23"/>
  <c r="S673" i="23"/>
  <c r="S674" i="23"/>
  <c r="S675" i="23"/>
  <c r="S676" i="23"/>
  <c r="S677" i="23"/>
  <c r="S678" i="23"/>
  <c r="S679" i="23"/>
  <c r="S684" i="23"/>
  <c r="S685" i="23"/>
  <c r="S686" i="23"/>
  <c r="S687" i="23"/>
  <c r="S688" i="23"/>
  <c r="S689" i="23"/>
  <c r="S690" i="23"/>
  <c r="S691" i="23"/>
  <c r="S692" i="23"/>
  <c r="S693" i="23"/>
  <c r="S694" i="23"/>
  <c r="S695" i="23"/>
  <c r="S696" i="23"/>
  <c r="S697" i="23"/>
  <c r="S698" i="23"/>
  <c r="S699" i="23"/>
  <c r="S700" i="23"/>
  <c r="S701" i="23"/>
  <c r="S702" i="23"/>
  <c r="S703" i="23"/>
  <c r="S704" i="23"/>
  <c r="S705" i="23"/>
  <c r="S706" i="23"/>
  <c r="S707" i="23"/>
  <c r="S708" i="23"/>
  <c r="S709" i="23"/>
  <c r="S710" i="23"/>
  <c r="S711" i="23"/>
  <c r="S712" i="23"/>
  <c r="S713" i="23"/>
  <c r="S714" i="23"/>
  <c r="S715" i="23"/>
  <c r="S716" i="23"/>
  <c r="S717" i="23"/>
  <c r="S718" i="23"/>
  <c r="S719" i="23"/>
  <c r="S720" i="23"/>
  <c r="S721" i="23"/>
  <c r="S722" i="23"/>
  <c r="S723" i="23"/>
  <c r="S724" i="23"/>
  <c r="S725" i="23"/>
  <c r="S726" i="23"/>
  <c r="S727" i="23"/>
  <c r="S728" i="23"/>
  <c r="S729" i="23"/>
  <c r="S730" i="23"/>
  <c r="S731" i="23"/>
  <c r="S732" i="23"/>
  <c r="S733" i="23"/>
  <c r="S734" i="23"/>
  <c r="S735" i="23"/>
  <c r="S736" i="23"/>
  <c r="S737" i="23"/>
  <c r="S738" i="23"/>
  <c r="S739" i="23"/>
  <c r="S740" i="23"/>
  <c r="S741" i="23"/>
  <c r="S742" i="23"/>
  <c r="S743" i="23"/>
  <c r="S744" i="23"/>
  <c r="S745" i="23"/>
  <c r="S746" i="23"/>
  <c r="S747" i="23"/>
  <c r="S748" i="23"/>
  <c r="S749" i="23"/>
  <c r="S750" i="23"/>
  <c r="S751" i="23"/>
  <c r="S752" i="23"/>
  <c r="S753" i="23"/>
  <c r="S754" i="23"/>
  <c r="S755" i="23"/>
  <c r="S756" i="23"/>
  <c r="S757" i="23"/>
  <c r="S758" i="23"/>
  <c r="S759" i="23"/>
  <c r="S760" i="23"/>
  <c r="S761" i="23"/>
  <c r="S762" i="23"/>
  <c r="S763" i="23"/>
  <c r="S764" i="23"/>
  <c r="S765" i="23"/>
  <c r="S766" i="23"/>
  <c r="S767" i="23"/>
  <c r="S768" i="23"/>
  <c r="S769" i="23"/>
  <c r="S770" i="23"/>
  <c r="S771" i="23"/>
  <c r="S772" i="23"/>
  <c r="S773" i="23"/>
  <c r="S774" i="23"/>
  <c r="S775" i="23"/>
  <c r="S776" i="23"/>
  <c r="S777" i="23"/>
  <c r="S778" i="23"/>
  <c r="S779" i="23"/>
  <c r="S780" i="23"/>
  <c r="S781" i="23"/>
  <c r="S782" i="23"/>
  <c r="S783" i="23"/>
  <c r="S784" i="23"/>
  <c r="S785" i="23"/>
  <c r="S786" i="23"/>
  <c r="S787" i="23"/>
  <c r="S788" i="23"/>
  <c r="S789" i="23"/>
  <c r="S790" i="23"/>
  <c r="S791" i="23"/>
  <c r="S792" i="23"/>
  <c r="S793" i="23"/>
  <c r="S794" i="23"/>
  <c r="S795" i="23"/>
  <c r="S796" i="23"/>
  <c r="S797" i="23"/>
  <c r="S798" i="23"/>
  <c r="S799" i="23"/>
  <c r="S800" i="23"/>
  <c r="S801" i="23"/>
  <c r="S802" i="23"/>
  <c r="S803" i="23"/>
  <c r="S804" i="23"/>
  <c r="S805" i="23"/>
  <c r="S806" i="23"/>
  <c r="S807" i="23"/>
  <c r="S808" i="23"/>
  <c r="S809" i="23"/>
  <c r="S810" i="23"/>
  <c r="S811" i="23"/>
  <c r="S812" i="23"/>
  <c r="S813" i="23"/>
  <c r="S814" i="23"/>
  <c r="S815" i="23"/>
  <c r="S816" i="23"/>
  <c r="S817" i="23"/>
  <c r="S818" i="23"/>
  <c r="S819" i="23"/>
  <c r="S820" i="23"/>
  <c r="S821" i="23"/>
  <c r="S822" i="23"/>
  <c r="S823" i="23"/>
  <c r="S824" i="23"/>
  <c r="S825" i="23"/>
  <c r="S826" i="23"/>
  <c r="S827" i="23"/>
  <c r="S2" i="23"/>
  <c r="J2" i="23"/>
  <c r="E2" i="23"/>
  <c r="C2" i="23"/>
  <c r="W692" i="23" l="1"/>
  <c r="W739" i="23"/>
  <c r="W715" i="23"/>
  <c r="W762" i="23"/>
  <c r="W761" i="23"/>
  <c r="W689" i="23"/>
  <c r="W789" i="23"/>
  <c r="W705" i="23"/>
  <c r="W760" i="23"/>
  <c r="W700" i="23"/>
  <c r="W771" i="23"/>
  <c r="W735" i="23"/>
  <c r="W699" i="23"/>
  <c r="W687" i="23"/>
  <c r="W758" i="23"/>
  <c r="W817" i="23"/>
  <c r="W709" i="23"/>
  <c r="W697" i="23"/>
  <c r="AA816" i="23"/>
  <c r="W756" i="23"/>
  <c r="W732" i="23"/>
  <c r="W684" i="23"/>
  <c r="W755" i="23"/>
  <c r="W707" i="23"/>
  <c r="W695" i="23"/>
  <c r="W718" i="23"/>
  <c r="W706" i="23"/>
  <c r="AA778" i="23"/>
  <c r="W778" i="23"/>
  <c r="AA779" i="23"/>
  <c r="W779" i="23"/>
  <c r="AA780" i="23"/>
  <c r="W780" i="23"/>
  <c r="AA783" i="23"/>
  <c r="W783" i="23"/>
  <c r="AA785" i="23"/>
  <c r="W785" i="23"/>
  <c r="AA786" i="23"/>
  <c r="W786" i="23"/>
  <c r="AA788" i="23"/>
  <c r="W788" i="23"/>
  <c r="AA791" i="23"/>
  <c r="W791" i="23"/>
  <c r="AA794" i="23"/>
  <c r="W794" i="23"/>
  <c r="AA795" i="23"/>
  <c r="W795" i="23"/>
  <c r="AA797" i="23"/>
  <c r="W797" i="23"/>
  <c r="AA802" i="23"/>
  <c r="W802" i="23"/>
  <c r="AA803" i="23"/>
  <c r="W803" i="23"/>
  <c r="AA804" i="23"/>
  <c r="W804" i="23"/>
  <c r="AA809" i="23"/>
  <c r="W809" i="23"/>
  <c r="AA810" i="23"/>
  <c r="W810" i="23"/>
  <c r="AA811" i="23"/>
  <c r="W811" i="23"/>
  <c r="AA812" i="23"/>
  <c r="W812" i="23"/>
  <c r="AA818" i="23"/>
  <c r="W818" i="23"/>
  <c r="AA821" i="23"/>
  <c r="W821" i="23"/>
  <c r="W800" i="23"/>
  <c r="W776" i="23"/>
  <c r="W792" i="23"/>
  <c r="W816" i="23"/>
  <c r="AA784" i="23"/>
  <c r="W799" i="23"/>
  <c r="W815" i="23"/>
  <c r="W798" i="23"/>
  <c r="W782" i="23"/>
  <c r="W814" i="23"/>
  <c r="AA808" i="23"/>
  <c r="W790" i="23"/>
  <c r="AA807" i="23"/>
  <c r="W806" i="23"/>
  <c r="AA796" i="23"/>
  <c r="U2" i="25"/>
  <c r="W827" i="23"/>
  <c r="W820" i="23"/>
  <c r="W819" i="23"/>
  <c r="AA827" i="23"/>
  <c r="AA826" i="23"/>
  <c r="AA825" i="23"/>
  <c r="AA813" i="23"/>
  <c r="AA801" i="23"/>
  <c r="AA789" i="23"/>
  <c r="AA777" i="23"/>
  <c r="W787" i="23"/>
  <c r="AA824" i="23"/>
  <c r="AA822" i="23"/>
  <c r="W825" i="23"/>
  <c r="W823" i="23"/>
  <c r="AA817" i="23"/>
  <c r="AA805" i="23"/>
  <c r="AA793" i="23"/>
  <c r="AA781" i="23"/>
  <c r="T35" i="24"/>
  <c r="T23" i="24"/>
  <c r="T34" i="24"/>
  <c r="T44" i="24"/>
  <c r="T32" i="24"/>
  <c r="T20" i="24"/>
  <c r="T8" i="24"/>
  <c r="T9" i="24"/>
  <c r="T43" i="24"/>
  <c r="T31" i="24"/>
  <c r="T19" i="24"/>
  <c r="T7" i="24"/>
  <c r="T46" i="24"/>
  <c r="T33" i="24"/>
  <c r="T42" i="24"/>
  <c r="T30" i="24"/>
  <c r="T18" i="24"/>
  <c r="T6" i="24"/>
  <c r="T41" i="24"/>
  <c r="T29" i="24"/>
  <c r="T17" i="24"/>
  <c r="T5" i="24"/>
  <c r="T10" i="24"/>
  <c r="T45" i="24"/>
  <c r="T40" i="24"/>
  <c r="T28" i="24"/>
  <c r="T16" i="24"/>
  <c r="T4" i="24"/>
  <c r="T22" i="24"/>
  <c r="T39" i="24"/>
  <c r="T27" i="24"/>
  <c r="T15" i="24"/>
  <c r="T3" i="24"/>
  <c r="T38" i="24"/>
  <c r="T26" i="24"/>
  <c r="T14" i="24"/>
  <c r="T2" i="24"/>
  <c r="T49" i="24"/>
  <c r="T37" i="24"/>
  <c r="T25" i="24"/>
  <c r="T13" i="24"/>
  <c r="T47" i="24"/>
  <c r="T11" i="24"/>
  <c r="T21" i="24"/>
  <c r="T48" i="24"/>
  <c r="T36" i="24"/>
  <c r="T24" i="24"/>
  <c r="T12" i="24"/>
  <c r="CF86" i="1"/>
  <c r="CF87" i="1"/>
  <c r="CF88" i="1"/>
  <c r="CF89" i="1"/>
  <c r="CF90" i="1"/>
  <c r="CS84" i="1"/>
  <c r="CT84" i="1"/>
  <c r="CU84" i="1"/>
  <c r="CV84" i="1"/>
  <c r="CW84" i="1"/>
  <c r="CX84" i="1"/>
  <c r="CY84" i="1"/>
  <c r="CS85" i="1"/>
  <c r="CT85" i="1"/>
  <c r="CU85" i="1"/>
  <c r="CV85" i="1"/>
  <c r="CW85" i="1"/>
  <c r="CX85" i="1"/>
  <c r="CY85" i="1"/>
  <c r="CS86" i="1"/>
  <c r="CT86" i="1"/>
  <c r="CU86" i="1"/>
  <c r="CV86" i="1"/>
  <c r="CW86" i="1"/>
  <c r="CX86" i="1"/>
  <c r="CY86" i="1"/>
  <c r="CS87" i="1"/>
  <c r="CT87" i="1"/>
  <c r="CU87" i="1"/>
  <c r="CV87" i="1"/>
  <c r="CW87" i="1"/>
  <c r="CX87" i="1"/>
  <c r="CY87" i="1"/>
  <c r="CS88" i="1"/>
  <c r="CT88" i="1"/>
  <c r="CU88" i="1"/>
  <c r="CV88" i="1"/>
  <c r="CW88" i="1"/>
  <c r="CX88" i="1"/>
  <c r="CY88" i="1"/>
  <c r="CR84" i="1"/>
  <c r="CZ84" i="1" s="1"/>
  <c r="CR85" i="1"/>
  <c r="CZ85" i="1" s="1"/>
  <c r="CR86" i="1"/>
  <c r="CR87" i="1"/>
  <c r="CR88" i="1"/>
  <c r="CR89" i="1"/>
  <c r="CR90" i="1"/>
  <c r="CR91" i="1"/>
  <c r="CR92" i="1"/>
  <c r="CR93" i="1"/>
  <c r="CR94" i="1"/>
  <c r="CR95" i="1"/>
  <c r="CR96" i="1"/>
  <c r="CR97" i="1"/>
  <c r="CR98" i="1"/>
  <c r="CR99" i="1"/>
  <c r="CR100" i="1"/>
  <c r="CR101" i="1"/>
  <c r="CR83" i="1"/>
  <c r="CR81" i="1"/>
  <c r="CS81" i="1"/>
  <c r="CT81" i="1"/>
  <c r="CU81" i="1"/>
  <c r="CV81" i="1"/>
  <c r="CW81" i="1"/>
  <c r="CX81" i="1"/>
  <c r="CY81" i="1"/>
  <c r="CR82" i="1"/>
  <c r="CS82" i="1"/>
  <c r="CT82" i="1"/>
  <c r="CU82" i="1"/>
  <c r="CV82" i="1"/>
  <c r="CW82" i="1"/>
  <c r="CX82" i="1"/>
  <c r="CY82" i="1"/>
  <c r="CS83" i="1"/>
  <c r="CT83" i="1"/>
  <c r="CU83" i="1"/>
  <c r="CV83" i="1"/>
  <c r="CW83" i="1"/>
  <c r="CX83" i="1"/>
  <c r="CY83" i="1"/>
  <c r="CR77" i="1"/>
  <c r="CS77" i="1"/>
  <c r="CT77" i="1"/>
  <c r="CU77" i="1"/>
  <c r="CV77" i="1"/>
  <c r="CW77" i="1"/>
  <c r="CX77" i="1"/>
  <c r="CY77" i="1"/>
  <c r="CR78" i="1"/>
  <c r="CS78" i="1"/>
  <c r="CT78" i="1"/>
  <c r="CU78" i="1"/>
  <c r="CV78" i="1"/>
  <c r="CW78" i="1"/>
  <c r="CX78" i="1"/>
  <c r="CY78" i="1"/>
  <c r="CR79" i="1"/>
  <c r="CS79" i="1"/>
  <c r="CT79" i="1"/>
  <c r="CU79" i="1"/>
  <c r="CV79" i="1"/>
  <c r="CW79" i="1"/>
  <c r="CX79" i="1"/>
  <c r="CY79" i="1"/>
  <c r="CR80" i="1"/>
  <c r="CS80" i="1"/>
  <c r="CT80" i="1"/>
  <c r="CU80" i="1"/>
  <c r="CV80" i="1"/>
  <c r="CW80" i="1"/>
  <c r="CX80" i="1"/>
  <c r="CY80" i="1"/>
  <c r="CR72" i="1"/>
  <c r="CS72" i="1"/>
  <c r="CT72" i="1"/>
  <c r="CU72" i="1"/>
  <c r="CV72" i="1"/>
  <c r="CW72" i="1"/>
  <c r="CX72" i="1"/>
  <c r="CY72" i="1"/>
  <c r="CR73" i="1"/>
  <c r="CS73" i="1"/>
  <c r="CT73" i="1"/>
  <c r="CU73" i="1"/>
  <c r="CV73" i="1"/>
  <c r="CW73" i="1"/>
  <c r="CX73" i="1"/>
  <c r="CY73" i="1"/>
  <c r="CR74" i="1"/>
  <c r="CS74" i="1"/>
  <c r="CT74" i="1"/>
  <c r="CU74" i="1"/>
  <c r="CV74" i="1"/>
  <c r="CW74" i="1"/>
  <c r="CX74" i="1"/>
  <c r="CY74" i="1"/>
  <c r="CR75" i="1"/>
  <c r="CS75" i="1"/>
  <c r="CT75" i="1"/>
  <c r="CU75" i="1"/>
  <c r="CV75" i="1"/>
  <c r="CW75" i="1"/>
  <c r="CX75" i="1"/>
  <c r="CY75" i="1"/>
  <c r="CR76" i="1"/>
  <c r="CS76" i="1"/>
  <c r="CT76" i="1"/>
  <c r="CU76" i="1"/>
  <c r="CV76" i="1"/>
  <c r="CW76" i="1"/>
  <c r="CX76" i="1"/>
  <c r="CY76" i="1"/>
  <c r="CR67" i="1"/>
  <c r="CS67" i="1"/>
  <c r="CT67" i="1"/>
  <c r="CU67" i="1"/>
  <c r="CV67" i="1"/>
  <c r="CW67" i="1"/>
  <c r="CX67" i="1"/>
  <c r="CY67" i="1"/>
  <c r="CR68" i="1"/>
  <c r="CS68" i="1"/>
  <c r="CT68" i="1"/>
  <c r="CU68" i="1"/>
  <c r="CV68" i="1"/>
  <c r="CW68" i="1"/>
  <c r="CX68" i="1"/>
  <c r="CY68" i="1"/>
  <c r="CR69" i="1"/>
  <c r="CS69" i="1"/>
  <c r="CT69" i="1"/>
  <c r="CU69" i="1"/>
  <c r="CV69" i="1"/>
  <c r="CW69" i="1"/>
  <c r="CX69" i="1"/>
  <c r="CY69" i="1"/>
  <c r="CR70" i="1"/>
  <c r="CS70" i="1"/>
  <c r="CT70" i="1"/>
  <c r="CU70" i="1"/>
  <c r="CV70" i="1"/>
  <c r="CW70" i="1"/>
  <c r="CX70" i="1"/>
  <c r="CY70" i="1"/>
  <c r="CR71" i="1"/>
  <c r="CS71" i="1"/>
  <c r="CT71" i="1"/>
  <c r="CU71" i="1"/>
  <c r="CV71" i="1"/>
  <c r="CW71" i="1"/>
  <c r="CX71" i="1"/>
  <c r="CY71" i="1"/>
  <c r="A58" i="1"/>
  <c r="BP1" i="1"/>
  <c r="AB1" i="19"/>
  <c r="BG44" i="21"/>
  <c r="BH44" i="21" s="1"/>
  <c r="BG43" i="21"/>
  <c r="BH43" i="21" s="1"/>
  <c r="BG42" i="21"/>
  <c r="BH42" i="21" s="1"/>
  <c r="BG41" i="21"/>
  <c r="BH41" i="21" s="1"/>
  <c r="BG40" i="21"/>
  <c r="BH40" i="21" s="1"/>
  <c r="BG39" i="21"/>
  <c r="BH39" i="21" s="1"/>
  <c r="BG38" i="21"/>
  <c r="BH38" i="21" s="1"/>
  <c r="BG37" i="21"/>
  <c r="BH37" i="21" s="1"/>
  <c r="BG36" i="21"/>
  <c r="BH36" i="21" s="1"/>
  <c r="BG35" i="21"/>
  <c r="BH35" i="21" s="1"/>
  <c r="BG34" i="21"/>
  <c r="BH34" i="21" s="1"/>
  <c r="BG33" i="21"/>
  <c r="BH33" i="21" s="1"/>
  <c r="BG32" i="21"/>
  <c r="BH32" i="21" s="1"/>
  <c r="BG31" i="21"/>
  <c r="BH31" i="21" s="1"/>
  <c r="BG30" i="21"/>
  <c r="BH30" i="21" s="1"/>
  <c r="BG29" i="21"/>
  <c r="BH29" i="21" s="1"/>
  <c r="BG28" i="21"/>
  <c r="BH28" i="21" s="1"/>
  <c r="BG27" i="21"/>
  <c r="BH27" i="21" s="1"/>
  <c r="BG26" i="21"/>
  <c r="BH26" i="21" s="1"/>
  <c r="BG25" i="21"/>
  <c r="BH25" i="21" s="1"/>
  <c r="BG24" i="21"/>
  <c r="BH24" i="21" s="1"/>
  <c r="BG23" i="21"/>
  <c r="BH23" i="21" s="1"/>
  <c r="BG22" i="21"/>
  <c r="BH22" i="21" s="1"/>
  <c r="BG21" i="21"/>
  <c r="BH21" i="21" s="1"/>
  <c r="BG20" i="21"/>
  <c r="BH20" i="21" s="1"/>
  <c r="BG19" i="21"/>
  <c r="BH19" i="21" s="1"/>
  <c r="BG18" i="21"/>
  <c r="BH18" i="21" s="1"/>
  <c r="BG17" i="21"/>
  <c r="BH17" i="21" s="1"/>
  <c r="BG16" i="21"/>
  <c r="BH16" i="21" s="1"/>
  <c r="BG15" i="21"/>
  <c r="BH15" i="21" s="1"/>
  <c r="BG14" i="21"/>
  <c r="BH14" i="21" s="1"/>
  <c r="BG13" i="21"/>
  <c r="BH13" i="21" s="1"/>
  <c r="BG12" i="21"/>
  <c r="BH12" i="21" s="1"/>
  <c r="BG11" i="21"/>
  <c r="BH11" i="21" s="1"/>
  <c r="BG10" i="21"/>
  <c r="BH10" i="21" s="1"/>
  <c r="BG9" i="21"/>
  <c r="BH9" i="21" s="1"/>
  <c r="BG8" i="21"/>
  <c r="BH8" i="21" s="1"/>
  <c r="BG7" i="21"/>
  <c r="BH7" i="21" s="1"/>
  <c r="BG6" i="21"/>
  <c r="BH6" i="21" s="1"/>
  <c r="AS44" i="21"/>
  <c r="AN44" i="21"/>
  <c r="AK44" i="21"/>
  <c r="AS43" i="21"/>
  <c r="AN43" i="21"/>
  <c r="AK43" i="21"/>
  <c r="AS42" i="21"/>
  <c r="AN42" i="21"/>
  <c r="AK42" i="21"/>
  <c r="AS41" i="21"/>
  <c r="AN41" i="21"/>
  <c r="AK41" i="21"/>
  <c r="AS40" i="21"/>
  <c r="AN40" i="21"/>
  <c r="AK40" i="21"/>
  <c r="AS39" i="21"/>
  <c r="AN39" i="21"/>
  <c r="AK39" i="21"/>
  <c r="AS38" i="21"/>
  <c r="AN38" i="21"/>
  <c r="AK38" i="21"/>
  <c r="AS37" i="21"/>
  <c r="AN37" i="21"/>
  <c r="AK37" i="21"/>
  <c r="AS36" i="21"/>
  <c r="AN36" i="21"/>
  <c r="AK36" i="21"/>
  <c r="AS35" i="21"/>
  <c r="AN35" i="21"/>
  <c r="AK35" i="21"/>
  <c r="AS34" i="21"/>
  <c r="AN34" i="21"/>
  <c r="AK34" i="21"/>
  <c r="AS33" i="21"/>
  <c r="AN33" i="21"/>
  <c r="AK33" i="21"/>
  <c r="AS32" i="21"/>
  <c r="AN32" i="21"/>
  <c r="AK32" i="21"/>
  <c r="AS31" i="21"/>
  <c r="AN31" i="21"/>
  <c r="AK31" i="21"/>
  <c r="AS30" i="21"/>
  <c r="AN30" i="21"/>
  <c r="AK30" i="21"/>
  <c r="AS29" i="21"/>
  <c r="AN29" i="21"/>
  <c r="AK29" i="21"/>
  <c r="AS28" i="21"/>
  <c r="AN28" i="21"/>
  <c r="AK28" i="21"/>
  <c r="AS27" i="21"/>
  <c r="AN27" i="21"/>
  <c r="AK27" i="21"/>
  <c r="AS26" i="21"/>
  <c r="AN26" i="21"/>
  <c r="AK26" i="21"/>
  <c r="AS25" i="21"/>
  <c r="AN25" i="21"/>
  <c r="AK25" i="21"/>
  <c r="AS24" i="21"/>
  <c r="AN24" i="21"/>
  <c r="AK24" i="21"/>
  <c r="AS23" i="21"/>
  <c r="AN23" i="21"/>
  <c r="AK23" i="21"/>
  <c r="AS22" i="21"/>
  <c r="AN22" i="21"/>
  <c r="AK22" i="21"/>
  <c r="AS21" i="21"/>
  <c r="AN21" i="21"/>
  <c r="AK21" i="21"/>
  <c r="AS20" i="21"/>
  <c r="AN20" i="21"/>
  <c r="AK20" i="21"/>
  <c r="AS19" i="21"/>
  <c r="AN19" i="21"/>
  <c r="AK19" i="21"/>
  <c r="AS18" i="21"/>
  <c r="AN18" i="21"/>
  <c r="AK18" i="21"/>
  <c r="AS17" i="21"/>
  <c r="AN17" i="21"/>
  <c r="AK17" i="21"/>
  <c r="AS16" i="21"/>
  <c r="AN16" i="21"/>
  <c r="AK16" i="21"/>
  <c r="AS15" i="21"/>
  <c r="AN15" i="21"/>
  <c r="AK15" i="21"/>
  <c r="AS14" i="21"/>
  <c r="AN14" i="21"/>
  <c r="AK14" i="21"/>
  <c r="AS13" i="21"/>
  <c r="AN13" i="21"/>
  <c r="AK13" i="21"/>
  <c r="AS12" i="21"/>
  <c r="AN12" i="21"/>
  <c r="AK12" i="21"/>
  <c r="AS11" i="21"/>
  <c r="AN11" i="21"/>
  <c r="AK11" i="21"/>
  <c r="AS10" i="21"/>
  <c r="AN10" i="21"/>
  <c r="AK10" i="21"/>
  <c r="AS9" i="21"/>
  <c r="AN9" i="21"/>
  <c r="AK9" i="21"/>
  <c r="AS8" i="21"/>
  <c r="AN8" i="21"/>
  <c r="AK8" i="21"/>
  <c r="AS7" i="21"/>
  <c r="AN7" i="21"/>
  <c r="AK7" i="21"/>
  <c r="AS6" i="21"/>
  <c r="AN6" i="21"/>
  <c r="AK6" i="21"/>
  <c r="AS5" i="21"/>
  <c r="AN5" i="21"/>
  <c r="AK5" i="21"/>
  <c r="DA72" i="1" l="1"/>
  <c r="DA84" i="1"/>
  <c r="CZ72" i="1"/>
  <c r="DA88" i="1"/>
  <c r="CZ88" i="1"/>
  <c r="DA87" i="1"/>
  <c r="CZ87" i="1"/>
  <c r="CZ86" i="1"/>
  <c r="DA85" i="1"/>
  <c r="DA86" i="1"/>
  <c r="DA83" i="1"/>
  <c r="CZ83" i="1"/>
  <c r="DA81" i="1"/>
  <c r="DA82" i="1"/>
  <c r="CZ81" i="1"/>
  <c r="CZ82" i="1"/>
  <c r="DA80" i="1"/>
  <c r="CZ80" i="1"/>
  <c r="DA79" i="1"/>
  <c r="CZ79" i="1"/>
  <c r="DA77" i="1"/>
  <c r="DA78" i="1"/>
  <c r="CZ77" i="1"/>
  <c r="CZ78" i="1"/>
  <c r="DA76" i="1"/>
  <c r="CZ76" i="1"/>
  <c r="DA75" i="1"/>
  <c r="CZ75" i="1"/>
  <c r="CZ74" i="1"/>
  <c r="DA73" i="1"/>
  <c r="DA74" i="1"/>
  <c r="CZ73" i="1"/>
  <c r="DA71" i="1"/>
  <c r="CZ71" i="1"/>
  <c r="DA70" i="1"/>
  <c r="CZ70" i="1"/>
  <c r="CZ69" i="1"/>
  <c r="DA69" i="1"/>
  <c r="DA67" i="1"/>
  <c r="DA68" i="1"/>
  <c r="CZ67" i="1"/>
  <c r="CZ68" i="1"/>
  <c r="CR55" i="1"/>
  <c r="CS55" i="1"/>
  <c r="CT55" i="1"/>
  <c r="CU55" i="1"/>
  <c r="CV55" i="1"/>
  <c r="CW55" i="1"/>
  <c r="CX55" i="1"/>
  <c r="CY55" i="1"/>
  <c r="CR56" i="1"/>
  <c r="CS56" i="1"/>
  <c r="CT56" i="1"/>
  <c r="CU56" i="1"/>
  <c r="CV56" i="1"/>
  <c r="CW56" i="1"/>
  <c r="CX56" i="1"/>
  <c r="CY56" i="1"/>
  <c r="CR57" i="1"/>
  <c r="CS57" i="1"/>
  <c r="CT57" i="1"/>
  <c r="CU57" i="1"/>
  <c r="CV57" i="1"/>
  <c r="CW57" i="1"/>
  <c r="CX57" i="1"/>
  <c r="CY57" i="1"/>
  <c r="CR58" i="1"/>
  <c r="CS58" i="1"/>
  <c r="CT58" i="1"/>
  <c r="CU58" i="1"/>
  <c r="CV58" i="1"/>
  <c r="CW58" i="1"/>
  <c r="CX58" i="1"/>
  <c r="CY58" i="1"/>
  <c r="CR59" i="1"/>
  <c r="CS59" i="1"/>
  <c r="CT59" i="1"/>
  <c r="CU59" i="1"/>
  <c r="CV59" i="1"/>
  <c r="CW59" i="1"/>
  <c r="CX59" i="1"/>
  <c r="CY59" i="1"/>
  <c r="CR60" i="1"/>
  <c r="CS60" i="1"/>
  <c r="CT60" i="1"/>
  <c r="CU60" i="1"/>
  <c r="CV60" i="1"/>
  <c r="CW60" i="1"/>
  <c r="CX60" i="1"/>
  <c r="CY60" i="1"/>
  <c r="CR61" i="1"/>
  <c r="CS61" i="1"/>
  <c r="CT61" i="1"/>
  <c r="CU61" i="1"/>
  <c r="CV61" i="1"/>
  <c r="CW61" i="1"/>
  <c r="CX61" i="1"/>
  <c r="CY61" i="1"/>
  <c r="CR62" i="1"/>
  <c r="CS62" i="1"/>
  <c r="CT62" i="1"/>
  <c r="CU62" i="1"/>
  <c r="CV62" i="1"/>
  <c r="CW62" i="1"/>
  <c r="CX62" i="1"/>
  <c r="CY62" i="1"/>
  <c r="CR63" i="1"/>
  <c r="CS63" i="1"/>
  <c r="CT63" i="1"/>
  <c r="CU63" i="1"/>
  <c r="CV63" i="1"/>
  <c r="CW63" i="1"/>
  <c r="CX63" i="1"/>
  <c r="CY63" i="1"/>
  <c r="CR64" i="1"/>
  <c r="CS64" i="1"/>
  <c r="CT64" i="1"/>
  <c r="CU64" i="1"/>
  <c r="CV64" i="1"/>
  <c r="CW64" i="1"/>
  <c r="CX64" i="1"/>
  <c r="CY64" i="1"/>
  <c r="CR65" i="1"/>
  <c r="CS65" i="1"/>
  <c r="CT65" i="1"/>
  <c r="CU65" i="1"/>
  <c r="CV65" i="1"/>
  <c r="CW65" i="1"/>
  <c r="CX65" i="1"/>
  <c r="CY65" i="1"/>
  <c r="CR66" i="1"/>
  <c r="CS66" i="1"/>
  <c r="CT66" i="1"/>
  <c r="CU66" i="1"/>
  <c r="CV66" i="1"/>
  <c r="CW66" i="1"/>
  <c r="CX66" i="1"/>
  <c r="CY66" i="1"/>
  <c r="CR54" i="1"/>
  <c r="CR49" i="1"/>
  <c r="CR50" i="1"/>
  <c r="CR51" i="1"/>
  <c r="CR52" i="1"/>
  <c r="CR53" i="1"/>
  <c r="CS48" i="1"/>
  <c r="CT48" i="1"/>
  <c r="CU48" i="1"/>
  <c r="CV48" i="1"/>
  <c r="CW48" i="1"/>
  <c r="CX48" i="1"/>
  <c r="CY48" i="1"/>
  <c r="CS49" i="1"/>
  <c r="CT49" i="1"/>
  <c r="CU49" i="1"/>
  <c r="CV49" i="1"/>
  <c r="CW49" i="1"/>
  <c r="CX49" i="1"/>
  <c r="CY49" i="1"/>
  <c r="CS50" i="1"/>
  <c r="CT50" i="1"/>
  <c r="CU50" i="1"/>
  <c r="CV50" i="1"/>
  <c r="CW50" i="1"/>
  <c r="CX50" i="1"/>
  <c r="CY50" i="1"/>
  <c r="CS51" i="1"/>
  <c r="CT51" i="1"/>
  <c r="CU51" i="1"/>
  <c r="CV51" i="1"/>
  <c r="CW51" i="1"/>
  <c r="CX51" i="1"/>
  <c r="CY51" i="1"/>
  <c r="CS52" i="1"/>
  <c r="CT52" i="1"/>
  <c r="CU52" i="1"/>
  <c r="CV52" i="1"/>
  <c r="CW52" i="1"/>
  <c r="CX52" i="1"/>
  <c r="CY52" i="1"/>
  <c r="CS53" i="1"/>
  <c r="CT53" i="1"/>
  <c r="CU53" i="1"/>
  <c r="CV53" i="1"/>
  <c r="CW53" i="1"/>
  <c r="CX53" i="1"/>
  <c r="CY53" i="1"/>
  <c r="CS54" i="1"/>
  <c r="CT54" i="1"/>
  <c r="CU54" i="1"/>
  <c r="CV54" i="1"/>
  <c r="CW54" i="1"/>
  <c r="CX54" i="1"/>
  <c r="CY54" i="1"/>
  <c r="DA65" i="1" l="1"/>
  <c r="CZ50" i="1"/>
  <c r="CZ66" i="1"/>
  <c r="DA49" i="1"/>
  <c r="CZ51" i="1"/>
  <c r="DA66" i="1"/>
  <c r="DA50" i="1"/>
  <c r="DA48" i="1"/>
  <c r="CZ65" i="1"/>
  <c r="DA51" i="1"/>
  <c r="DA64" i="1"/>
  <c r="CZ64" i="1"/>
  <c r="CZ63" i="1"/>
  <c r="DA62" i="1"/>
  <c r="DA61" i="1"/>
  <c r="CZ61" i="1"/>
  <c r="DA60" i="1"/>
  <c r="CZ60" i="1"/>
  <c r="CZ59" i="1"/>
  <c r="DA59" i="1"/>
  <c r="CZ58" i="1"/>
  <c r="DA58" i="1"/>
  <c r="DA57" i="1"/>
  <c r="CZ57" i="1"/>
  <c r="DA63" i="1"/>
  <c r="CZ49" i="1"/>
  <c r="CZ62" i="1"/>
  <c r="DA56" i="1"/>
  <c r="DA55" i="1"/>
  <c r="CZ56" i="1"/>
  <c r="CZ55" i="1"/>
  <c r="DA54" i="1"/>
  <c r="DA53" i="1"/>
  <c r="CZ53" i="1"/>
  <c r="DA52" i="1"/>
  <c r="CF53" i="1"/>
  <c r="CG53" i="1"/>
  <c r="DB53" i="1" l="1"/>
  <c r="CR44" i="1" l="1"/>
  <c r="CS44" i="1"/>
  <c r="CT44" i="1"/>
  <c r="CU44" i="1"/>
  <c r="CV44" i="1"/>
  <c r="CW44" i="1"/>
  <c r="CX44" i="1"/>
  <c r="CY44" i="1"/>
  <c r="CR45" i="1"/>
  <c r="CS45" i="1"/>
  <c r="CT45" i="1"/>
  <c r="CU45" i="1"/>
  <c r="CV45" i="1"/>
  <c r="CW45" i="1"/>
  <c r="CX45" i="1"/>
  <c r="CY45" i="1"/>
  <c r="CR46" i="1"/>
  <c r="CS46" i="1"/>
  <c r="CT46" i="1"/>
  <c r="CU46" i="1"/>
  <c r="CV46" i="1"/>
  <c r="CW46" i="1"/>
  <c r="CX46" i="1"/>
  <c r="CY46" i="1"/>
  <c r="CR47" i="1"/>
  <c r="CS47" i="1"/>
  <c r="CT47" i="1"/>
  <c r="CU47" i="1"/>
  <c r="CV47" i="1"/>
  <c r="CW47" i="1"/>
  <c r="CX47" i="1"/>
  <c r="CY47" i="1"/>
  <c r="CR48" i="1"/>
  <c r="CZ48" i="1" s="1"/>
  <c r="C17" i="11"/>
  <c r="C18" i="11"/>
  <c r="C16" i="11"/>
  <c r="CZ47" i="1" l="1"/>
  <c r="DA47" i="1"/>
  <c r="DA46" i="1"/>
  <c r="CZ46" i="1"/>
  <c r="CZ45" i="1"/>
  <c r="DA45" i="1"/>
  <c r="DA44" i="1"/>
  <c r="CZ44" i="1"/>
  <c r="W2" i="18" l="1"/>
  <c r="W3" i="18"/>
  <c r="W4" i="18"/>
  <c r="W5" i="18"/>
  <c r="W6" i="18"/>
  <c r="W7" i="18"/>
  <c r="W8" i="18"/>
  <c r="W9" i="18"/>
  <c r="W10" i="18"/>
  <c r="W11" i="18"/>
  <c r="W12" i="18"/>
  <c r="W13" i="18"/>
  <c r="W14" i="18"/>
  <c r="W15" i="18"/>
  <c r="W16" i="18"/>
  <c r="W17" i="18"/>
  <c r="W18" i="18"/>
  <c r="W19" i="18"/>
  <c r="W20" i="18"/>
  <c r="W21" i="18"/>
  <c r="W22" i="18"/>
  <c r="W23" i="18"/>
  <c r="W24" i="18"/>
  <c r="W25" i="18"/>
  <c r="W26" i="18"/>
  <c r="W27" i="18"/>
  <c r="W28" i="18"/>
  <c r="W29" i="18"/>
  <c r="W30" i="18"/>
  <c r="W31" i="18"/>
  <c r="W32" i="18"/>
  <c r="W33" i="18"/>
  <c r="W34" i="18"/>
  <c r="W35" i="18"/>
  <c r="W36" i="18"/>
  <c r="W37" i="18"/>
  <c r="W38" i="18"/>
  <c r="W39" i="18"/>
  <c r="W40" i="18"/>
  <c r="W41" i="18"/>
  <c r="W42" i="18"/>
  <c r="W43" i="18"/>
  <c r="W44" i="18"/>
  <c r="W45" i="18"/>
  <c r="W46" i="18"/>
  <c r="W47" i="18"/>
  <c r="W48" i="18"/>
  <c r="W49" i="18"/>
  <c r="W50" i="18"/>
  <c r="W51" i="18"/>
  <c r="W52" i="18"/>
  <c r="W53" i="18"/>
  <c r="W54" i="18"/>
  <c r="W55" i="18"/>
  <c r="W56" i="18"/>
  <c r="W57" i="18"/>
  <c r="W58" i="18"/>
  <c r="W59" i="18"/>
  <c r="W60" i="18"/>
  <c r="W61" i="18"/>
  <c r="CF44" i="1" l="1"/>
  <c r="DB44" i="1" s="1"/>
  <c r="CF45" i="1"/>
  <c r="DB45" i="1" s="1"/>
  <c r="CF46" i="1"/>
  <c r="DB46" i="1" s="1"/>
  <c r="CF47" i="1"/>
  <c r="DB47" i="1" s="1"/>
  <c r="CF48" i="1"/>
  <c r="DB48" i="1" s="1"/>
  <c r="CF49" i="1"/>
  <c r="DB49" i="1" s="1"/>
  <c r="CF50" i="1"/>
  <c r="DB50" i="1" s="1"/>
  <c r="CF51" i="1"/>
  <c r="DB51" i="1" s="1"/>
  <c r="CF52" i="1"/>
  <c r="CF54" i="1"/>
  <c r="CF55" i="1"/>
  <c r="DB55" i="1" s="1"/>
  <c r="CF56" i="1"/>
  <c r="DB56" i="1" s="1"/>
  <c r="CF57" i="1"/>
  <c r="DB57" i="1" s="1"/>
  <c r="CF58" i="1"/>
  <c r="DB58" i="1" s="1"/>
  <c r="CF59" i="1"/>
  <c r="DB59" i="1" s="1"/>
  <c r="CF60" i="1"/>
  <c r="DB60" i="1" s="1"/>
  <c r="CF61" i="1"/>
  <c r="DB61" i="1" s="1"/>
  <c r="CF62" i="1"/>
  <c r="DB62" i="1" s="1"/>
  <c r="CF63" i="1"/>
  <c r="DB63" i="1" s="1"/>
  <c r="CF64" i="1"/>
  <c r="DB64" i="1" s="1"/>
  <c r="CF65" i="1"/>
  <c r="DB65" i="1" s="1"/>
  <c r="CF66" i="1"/>
  <c r="DB66" i="1" s="1"/>
  <c r="CF67" i="1"/>
  <c r="DB67" i="1" s="1"/>
  <c r="CF68" i="1"/>
  <c r="DB68" i="1" s="1"/>
  <c r="CF69" i="1"/>
  <c r="DB69" i="1" s="1"/>
  <c r="CF70" i="1"/>
  <c r="DB70" i="1" s="1"/>
  <c r="CF71" i="1"/>
  <c r="DB71" i="1" s="1"/>
  <c r="CF72" i="1"/>
  <c r="DB72" i="1" s="1"/>
  <c r="CF73" i="1"/>
  <c r="DB73" i="1" s="1"/>
  <c r="CF74" i="1"/>
  <c r="DB74" i="1" s="1"/>
  <c r="CF75" i="1"/>
  <c r="DB75" i="1" s="1"/>
  <c r="CF76" i="1"/>
  <c r="DB76" i="1" s="1"/>
  <c r="CF77" i="1"/>
  <c r="DB77" i="1" s="1"/>
  <c r="CF78" i="1"/>
  <c r="DB78" i="1" s="1"/>
  <c r="CF79" i="1"/>
  <c r="DB79" i="1" s="1"/>
  <c r="CF80" i="1"/>
  <c r="DB80" i="1" s="1"/>
  <c r="CF81" i="1"/>
  <c r="DB81" i="1" s="1"/>
  <c r="CF82" i="1"/>
  <c r="DB82" i="1" s="1"/>
  <c r="CF83" i="1"/>
  <c r="DB83" i="1" s="1"/>
  <c r="CF84" i="1"/>
  <c r="DB84" i="1" s="1"/>
  <c r="CF85" i="1"/>
  <c r="DB85" i="1" s="1"/>
  <c r="DB86" i="1"/>
  <c r="DB87" i="1"/>
  <c r="DB88" i="1"/>
  <c r="CF92" i="1"/>
  <c r="CF93" i="1"/>
  <c r="CF94" i="1"/>
  <c r="CF95" i="1"/>
  <c r="CF96" i="1"/>
  <c r="CF97" i="1"/>
  <c r="CF98" i="1"/>
  <c r="CF99" i="1"/>
  <c r="DE100" i="1"/>
  <c r="CF101" i="1"/>
  <c r="DE101" i="1" s="1"/>
  <c r="CF102" i="1"/>
  <c r="DE102" i="1" s="1"/>
  <c r="CF103" i="1"/>
  <c r="DE103" i="1" s="1"/>
  <c r="CF104" i="1"/>
  <c r="DE104" i="1" s="1"/>
  <c r="CF105" i="1"/>
  <c r="DE105" i="1" s="1"/>
  <c r="CF106" i="1"/>
  <c r="DE106" i="1" s="1"/>
  <c r="CF107" i="1"/>
  <c r="DE107" i="1" s="1"/>
  <c r="CF108" i="1"/>
  <c r="DE108" i="1" s="1"/>
  <c r="CF109" i="1"/>
  <c r="DE109" i="1" s="1"/>
  <c r="CF110" i="1"/>
  <c r="DE110" i="1" s="1"/>
  <c r="CF111" i="1"/>
  <c r="DE111" i="1" s="1"/>
  <c r="CF112" i="1"/>
  <c r="DE112" i="1" s="1"/>
  <c r="CF113" i="1"/>
  <c r="DE113" i="1" s="1"/>
  <c r="CF114" i="1"/>
  <c r="DE114" i="1" s="1"/>
  <c r="CF115" i="1"/>
  <c r="CF116" i="1"/>
  <c r="CF117" i="1"/>
  <c r="DB117" i="1" s="1"/>
  <c r="CF118" i="1"/>
  <c r="CF119" i="1"/>
  <c r="CF120" i="1"/>
  <c r="CF121" i="1"/>
  <c r="CF122" i="1"/>
  <c r="CF123" i="1"/>
  <c r="CF124" i="1"/>
  <c r="CF125" i="1"/>
  <c r="CF126" i="1"/>
  <c r="CF127" i="1"/>
  <c r="CF128" i="1"/>
  <c r="CF129" i="1"/>
  <c r="CF130" i="1"/>
  <c r="CF131" i="1"/>
  <c r="CF132" i="1"/>
  <c r="CF133" i="1"/>
  <c r="CF134" i="1"/>
  <c r="CF135" i="1"/>
  <c r="CF136" i="1"/>
  <c r="CF137" i="1"/>
  <c r="CF138" i="1"/>
  <c r="CF139" i="1"/>
  <c r="CF140" i="1"/>
  <c r="CF141" i="1"/>
  <c r="CF142" i="1"/>
  <c r="CF143" i="1"/>
  <c r="CF144" i="1"/>
  <c r="CG44" i="1"/>
  <c r="CG45" i="1"/>
  <c r="CG46" i="1"/>
  <c r="CG47" i="1"/>
  <c r="CG48" i="1"/>
  <c r="CG49" i="1"/>
  <c r="CG50" i="1"/>
  <c r="CG51" i="1"/>
  <c r="CG52" i="1"/>
  <c r="CG54" i="1"/>
  <c r="CG55" i="1"/>
  <c r="CG56" i="1"/>
  <c r="CG57" i="1"/>
  <c r="CG58" i="1"/>
  <c r="CG59" i="1"/>
  <c r="CG60" i="1"/>
  <c r="CG61" i="1"/>
  <c r="CG62" i="1"/>
  <c r="CG63" i="1"/>
  <c r="CG64" i="1"/>
  <c r="CG65" i="1"/>
  <c r="CG66" i="1"/>
  <c r="CG67" i="1"/>
  <c r="CG68" i="1"/>
  <c r="CG69" i="1"/>
  <c r="CG70" i="1"/>
  <c r="CG71" i="1"/>
  <c r="CG72" i="1"/>
  <c r="CG73" i="1"/>
  <c r="CG74" i="1"/>
  <c r="CG75" i="1"/>
  <c r="CG76" i="1"/>
  <c r="CG77" i="1"/>
  <c r="CG78" i="1"/>
  <c r="CG79" i="1"/>
  <c r="CG80" i="1"/>
  <c r="CG81" i="1"/>
  <c r="CG82" i="1"/>
  <c r="CG83" i="1"/>
  <c r="CG84" i="1"/>
  <c r="CG85" i="1"/>
  <c r="CG86" i="1"/>
  <c r="CG87" i="1"/>
  <c r="CG88" i="1"/>
  <c r="CG89" i="1"/>
  <c r="CG90" i="1"/>
  <c r="CG92" i="1"/>
  <c r="CG93" i="1"/>
  <c r="CG94" i="1"/>
  <c r="CG95" i="1"/>
  <c r="CG96" i="1"/>
  <c r="CG97" i="1"/>
  <c r="CG98" i="1"/>
  <c r="CG99" i="1"/>
  <c r="CG101" i="1"/>
  <c r="CG102" i="1"/>
  <c r="CG103" i="1"/>
  <c r="CG104" i="1"/>
  <c r="CG105" i="1"/>
  <c r="CG106" i="1"/>
  <c r="CG107" i="1"/>
  <c r="CG108" i="1"/>
  <c r="CG109" i="1"/>
  <c r="CG110" i="1"/>
  <c r="CG111" i="1"/>
  <c r="CG112" i="1"/>
  <c r="CG113" i="1"/>
  <c r="CG114" i="1"/>
  <c r="CG115" i="1"/>
  <c r="CG116" i="1"/>
  <c r="CG117" i="1"/>
  <c r="CG118" i="1"/>
  <c r="CG119" i="1"/>
  <c r="CG120" i="1"/>
  <c r="CG121" i="1"/>
  <c r="CG122" i="1"/>
  <c r="CG123" i="1"/>
  <c r="CG124" i="1"/>
  <c r="CG125" i="1"/>
  <c r="CG126" i="1"/>
  <c r="CG127" i="1"/>
  <c r="CG128" i="1"/>
  <c r="CG129" i="1"/>
  <c r="CG130" i="1"/>
  <c r="CG131" i="1"/>
  <c r="CG132" i="1"/>
  <c r="CG133" i="1"/>
  <c r="CG134" i="1"/>
  <c r="CG135" i="1"/>
  <c r="CG136" i="1"/>
  <c r="CG137" i="1"/>
  <c r="CG138" i="1"/>
  <c r="CG139" i="1"/>
  <c r="CG140" i="1"/>
  <c r="CG141" i="1"/>
  <c r="CG142" i="1"/>
  <c r="CG143" i="1"/>
  <c r="CG144" i="1"/>
  <c r="CZ52" i="1"/>
  <c r="CZ54" i="1"/>
  <c r="CZ89" i="1"/>
  <c r="DB89" i="1" s="1"/>
  <c r="CZ90" i="1"/>
  <c r="DB90" i="1" s="1"/>
  <c r="CZ91" i="1"/>
  <c r="DB91" i="1" s="1"/>
  <c r="CZ92" i="1"/>
  <c r="CZ93" i="1"/>
  <c r="CZ94" i="1"/>
  <c r="CZ95" i="1"/>
  <c r="CZ96" i="1"/>
  <c r="CZ97" i="1"/>
  <c r="CZ98" i="1"/>
  <c r="CZ99" i="1"/>
  <c r="CZ100" i="1"/>
  <c r="CZ101" i="1"/>
  <c r="CZ102" i="1"/>
  <c r="CZ104" i="1"/>
  <c r="CZ105" i="1"/>
  <c r="CZ106" i="1"/>
  <c r="CZ107" i="1"/>
  <c r="CZ108" i="1"/>
  <c r="CZ109" i="1"/>
  <c r="CZ110" i="1"/>
  <c r="CZ111" i="1"/>
  <c r="CZ112" i="1"/>
  <c r="CZ113" i="1"/>
  <c r="CZ114" i="1"/>
  <c r="CZ115" i="1"/>
  <c r="CZ116" i="1"/>
  <c r="CZ118" i="1"/>
  <c r="CZ119" i="1"/>
  <c r="CZ120" i="1"/>
  <c r="CZ121" i="1"/>
  <c r="CZ122" i="1"/>
  <c r="CZ123" i="1"/>
  <c r="CZ124" i="1"/>
  <c r="CZ125" i="1"/>
  <c r="CZ126" i="1"/>
  <c r="CZ127" i="1"/>
  <c r="CZ128" i="1"/>
  <c r="CZ129" i="1"/>
  <c r="CZ130" i="1"/>
  <c r="CZ131" i="1"/>
  <c r="CZ132" i="1"/>
  <c r="CZ133" i="1"/>
  <c r="CZ134" i="1"/>
  <c r="CZ135" i="1"/>
  <c r="CZ136" i="1"/>
  <c r="CZ137" i="1"/>
  <c r="CZ138" i="1"/>
  <c r="CZ139" i="1"/>
  <c r="CZ140" i="1"/>
  <c r="CZ141" i="1"/>
  <c r="CZ142" i="1"/>
  <c r="CZ143" i="1"/>
  <c r="CZ144" i="1"/>
  <c r="DA89" i="1"/>
  <c r="DA90" i="1"/>
  <c r="DA91" i="1"/>
  <c r="DA92" i="1"/>
  <c r="DA93" i="1"/>
  <c r="DA94" i="1"/>
  <c r="DA95" i="1"/>
  <c r="DA96" i="1"/>
  <c r="DA97" i="1"/>
  <c r="DA98" i="1"/>
  <c r="DA99" i="1"/>
  <c r="DA100" i="1"/>
  <c r="DA101" i="1"/>
  <c r="DA102" i="1"/>
  <c r="DA103" i="1"/>
  <c r="DA104" i="1"/>
  <c r="DA105" i="1"/>
  <c r="DA106" i="1"/>
  <c r="DA107" i="1"/>
  <c r="DA108" i="1"/>
  <c r="DA109" i="1"/>
  <c r="DA110" i="1"/>
  <c r="DA111" i="1"/>
  <c r="DA112" i="1"/>
  <c r="DA113" i="1"/>
  <c r="DA114" i="1"/>
  <c r="DA115" i="1"/>
  <c r="DA116" i="1"/>
  <c r="DA118" i="1"/>
  <c r="DA119" i="1"/>
  <c r="DA120" i="1"/>
  <c r="DA121" i="1"/>
  <c r="DA122" i="1"/>
  <c r="DA123" i="1"/>
  <c r="DA124" i="1"/>
  <c r="DA125" i="1"/>
  <c r="DA126" i="1"/>
  <c r="DA127" i="1"/>
  <c r="DA128" i="1"/>
  <c r="DA129" i="1"/>
  <c r="DA130" i="1"/>
  <c r="DA131" i="1"/>
  <c r="DA132" i="1"/>
  <c r="DA133" i="1"/>
  <c r="DA134" i="1"/>
  <c r="DA135" i="1"/>
  <c r="DA136" i="1"/>
  <c r="DA137" i="1"/>
  <c r="DA138" i="1"/>
  <c r="DA139" i="1"/>
  <c r="DA140" i="1"/>
  <c r="DA141" i="1"/>
  <c r="DA142" i="1"/>
  <c r="DA143" i="1"/>
  <c r="DA144" i="1"/>
  <c r="CG5" i="1"/>
  <c r="CG6" i="1"/>
  <c r="CG7" i="1"/>
  <c r="CG8" i="1"/>
  <c r="CG9" i="1"/>
  <c r="CG10" i="1"/>
  <c r="CG11" i="1"/>
  <c r="CG12" i="1"/>
  <c r="CG13" i="1"/>
  <c r="CG14" i="1"/>
  <c r="CG15" i="1"/>
  <c r="CG16" i="1"/>
  <c r="CG17" i="1"/>
  <c r="CG18" i="1"/>
  <c r="CG19" i="1"/>
  <c r="CG20" i="1"/>
  <c r="CG21" i="1"/>
  <c r="CG22" i="1"/>
  <c r="CG23" i="1"/>
  <c r="CG24" i="1"/>
  <c r="CG25" i="1"/>
  <c r="CG26" i="1"/>
  <c r="CG27" i="1"/>
  <c r="CG28" i="1"/>
  <c r="CG29" i="1"/>
  <c r="CG30" i="1"/>
  <c r="CG31" i="1"/>
  <c r="CG32" i="1"/>
  <c r="CG33" i="1"/>
  <c r="CG34" i="1"/>
  <c r="CG35" i="1"/>
  <c r="CG36" i="1"/>
  <c r="CG37" i="1"/>
  <c r="CG38" i="1"/>
  <c r="CG39" i="1"/>
  <c r="CG40" i="1"/>
  <c r="CG41" i="1"/>
  <c r="CG42" i="1"/>
  <c r="CG43" i="1"/>
  <c r="DB133" i="1" l="1"/>
  <c r="DB139" i="1"/>
  <c r="DB142" i="1"/>
  <c r="DB112" i="1"/>
  <c r="DB135" i="1"/>
  <c r="DB136" i="1"/>
  <c r="DB138" i="1"/>
  <c r="DB141" i="1"/>
  <c r="DB134" i="1"/>
  <c r="DB137" i="1"/>
  <c r="DB140" i="1"/>
  <c r="DB111" i="1"/>
  <c r="DB110" i="1"/>
  <c r="DB109" i="1"/>
  <c r="DB108" i="1"/>
  <c r="DB104" i="1"/>
  <c r="DB105" i="1"/>
  <c r="DB106" i="1"/>
  <c r="DB107" i="1"/>
  <c r="DB103" i="1"/>
  <c r="DB102" i="1"/>
  <c r="DB98" i="1"/>
  <c r="DB99" i="1"/>
  <c r="DB100" i="1"/>
  <c r="DB101" i="1"/>
  <c r="DB113" i="1"/>
  <c r="DB114" i="1"/>
  <c r="DB115" i="1"/>
  <c r="DB116" i="1"/>
  <c r="DB118" i="1"/>
  <c r="DB119" i="1"/>
  <c r="DB120" i="1"/>
  <c r="DB121" i="1"/>
  <c r="DB122" i="1"/>
  <c r="DB123" i="1"/>
  <c r="DB124" i="1"/>
  <c r="DB125" i="1"/>
  <c r="DB126" i="1"/>
  <c r="DB127" i="1"/>
  <c r="DB128" i="1"/>
  <c r="DB129" i="1"/>
  <c r="DB130" i="1"/>
  <c r="DB131" i="1"/>
  <c r="DB132" i="1"/>
  <c r="DB143" i="1"/>
  <c r="DB144" i="1"/>
  <c r="DB97" i="1"/>
  <c r="DB96" i="1"/>
  <c r="DB95" i="1"/>
  <c r="DB94" i="1"/>
  <c r="DB93" i="1"/>
  <c r="DB92" i="1"/>
  <c r="DB54" i="1"/>
  <c r="DB52" i="1"/>
  <c r="CF5" i="1"/>
  <c r="CF6" i="1"/>
  <c r="CF7" i="1"/>
  <c r="CF8" i="1"/>
  <c r="CF9" i="1"/>
  <c r="CF10" i="1"/>
  <c r="CF11" i="1"/>
  <c r="CF12" i="1"/>
  <c r="CF13" i="1"/>
  <c r="CF14" i="1"/>
  <c r="CF15" i="1"/>
  <c r="CF16" i="1"/>
  <c r="CF17" i="1"/>
  <c r="CF18" i="1"/>
  <c r="CF19" i="1"/>
  <c r="CF20" i="1"/>
  <c r="CF21" i="1"/>
  <c r="CF22" i="1"/>
  <c r="CF23" i="1"/>
  <c r="CF24" i="1"/>
  <c r="CF25" i="1"/>
  <c r="CF26" i="1"/>
  <c r="CF27" i="1"/>
  <c r="CF28" i="1"/>
  <c r="CF29" i="1"/>
  <c r="CF30" i="1"/>
  <c r="CF31" i="1"/>
  <c r="CF32" i="1"/>
  <c r="CF33" i="1"/>
  <c r="CF34" i="1"/>
  <c r="CF35" i="1"/>
  <c r="CF36" i="1"/>
  <c r="CF37" i="1"/>
  <c r="CF38" i="1"/>
  <c r="CF39" i="1"/>
  <c r="CF40" i="1"/>
  <c r="CF41" i="1"/>
  <c r="CF42" i="1"/>
  <c r="CF43" i="1"/>
  <c r="AQ2" i="18" l="1"/>
  <c r="AQ3" i="18" s="1"/>
  <c r="C26" i="11" l="1"/>
  <c r="C27" i="11"/>
  <c r="C25" i="11"/>
  <c r="C24" i="11"/>
  <c r="C23" i="11"/>
  <c r="C22" i="11"/>
  <c r="C20" i="11"/>
  <c r="C21" i="11"/>
  <c r="C19" i="11"/>
  <c r="C1" i="10"/>
  <c r="K4" i="10" l="1"/>
  <c r="I4" i="10"/>
  <c r="M4" i="10"/>
  <c r="AE2" i="18"/>
  <c r="AE3" i="18"/>
  <c r="AE4" i="18"/>
  <c r="AE5" i="18"/>
  <c r="AE6" i="18"/>
  <c r="AE7" i="18"/>
  <c r="AE8" i="18"/>
  <c r="AE9" i="18"/>
  <c r="AE10" i="18"/>
  <c r="AE11" i="18"/>
  <c r="AE12" i="18"/>
  <c r="AE13" i="18"/>
  <c r="AE14" i="18"/>
  <c r="AE15" i="18"/>
  <c r="AE16" i="18"/>
  <c r="AE17" i="18"/>
  <c r="AE18" i="18"/>
  <c r="AE19" i="18"/>
  <c r="AE20" i="18"/>
  <c r="AE21" i="18"/>
  <c r="AE22" i="18"/>
  <c r="AE23" i="18"/>
  <c r="AE24" i="18"/>
  <c r="AE25" i="18"/>
  <c r="AE26" i="18"/>
  <c r="AE27" i="18"/>
  <c r="AE28" i="18"/>
  <c r="AE29" i="18"/>
  <c r="AE30" i="18"/>
  <c r="AE31" i="18"/>
  <c r="AE32" i="18"/>
  <c r="AE33" i="18"/>
  <c r="AE34" i="18"/>
  <c r="AE35" i="18"/>
  <c r="AE36" i="18"/>
  <c r="AE37" i="18"/>
  <c r="AE38" i="18"/>
  <c r="AE39" i="18"/>
  <c r="AE40" i="18"/>
  <c r="AE41" i="18"/>
  <c r="AE42" i="18"/>
  <c r="AE43" i="18"/>
  <c r="AE44" i="18"/>
  <c r="AE45" i="18"/>
  <c r="AE46" i="18"/>
  <c r="AE47" i="18"/>
  <c r="AE48" i="18"/>
  <c r="AE49" i="18"/>
  <c r="AE50" i="18"/>
  <c r="AE51" i="18"/>
  <c r="AE52" i="18"/>
  <c r="AE53" i="18"/>
  <c r="AE54" i="18"/>
  <c r="AE55" i="18"/>
  <c r="AE56" i="18"/>
  <c r="AE57" i="18"/>
  <c r="AE58" i="18"/>
  <c r="AE59" i="18"/>
  <c r="AE60" i="18"/>
  <c r="AE61" i="18"/>
  <c r="J15" i="18"/>
  <c r="J27" i="18" s="1"/>
  <c r="J39" i="18" s="1"/>
  <c r="J51" i="18" s="1"/>
  <c r="J16" i="18"/>
  <c r="J28" i="18" s="1"/>
  <c r="J40" i="18" s="1"/>
  <c r="J52" i="18" s="1"/>
  <c r="J17" i="18"/>
  <c r="J29" i="18" s="1"/>
  <c r="J41" i="18" s="1"/>
  <c r="J53" i="18" s="1"/>
  <c r="J18" i="18"/>
  <c r="J30" i="18" s="1"/>
  <c r="J42" i="18" s="1"/>
  <c r="J54" i="18" s="1"/>
  <c r="J19" i="18"/>
  <c r="J31" i="18" s="1"/>
  <c r="J43" i="18" s="1"/>
  <c r="J55" i="18" s="1"/>
  <c r="J20" i="18"/>
  <c r="J32" i="18" s="1"/>
  <c r="J44" i="18" s="1"/>
  <c r="J56" i="18" s="1"/>
  <c r="J21" i="18"/>
  <c r="J33" i="18" s="1"/>
  <c r="J45" i="18" s="1"/>
  <c r="J57" i="18" s="1"/>
  <c r="J22" i="18"/>
  <c r="J34" i="18" s="1"/>
  <c r="J46" i="18" s="1"/>
  <c r="J58" i="18" s="1"/>
  <c r="J23" i="18"/>
  <c r="J35" i="18" s="1"/>
  <c r="J47" i="18" s="1"/>
  <c r="J59" i="18" s="1"/>
  <c r="J24" i="18"/>
  <c r="J36" i="18" s="1"/>
  <c r="J48" i="18" s="1"/>
  <c r="J60" i="18" s="1"/>
  <c r="J25" i="18"/>
  <c r="J37" i="18" s="1"/>
  <c r="J49" i="18" s="1"/>
  <c r="J61" i="18" s="1"/>
  <c r="J14" i="18"/>
  <c r="J26" i="18" s="1"/>
  <c r="J38" i="18" s="1"/>
  <c r="J50" i="18" s="1"/>
  <c r="E40" i="18"/>
  <c r="E41" i="18"/>
  <c r="E42" i="18"/>
  <c r="E43" i="18"/>
  <c r="E44" i="18"/>
  <c r="E45" i="18"/>
  <c r="E46" i="18"/>
  <c r="E47" i="18"/>
  <c r="E48" i="18"/>
  <c r="E49" i="18"/>
  <c r="E50" i="18"/>
  <c r="E51" i="18"/>
  <c r="E52" i="18"/>
  <c r="E53" i="18"/>
  <c r="E54" i="18"/>
  <c r="E55" i="18"/>
  <c r="E56" i="18"/>
  <c r="E57" i="18"/>
  <c r="E58" i="18"/>
  <c r="E59" i="18"/>
  <c r="E60" i="18"/>
  <c r="E61" i="18"/>
  <c r="G40" i="18"/>
  <c r="T40" i="18" s="1"/>
  <c r="G41" i="18"/>
  <c r="T41" i="18" s="1"/>
  <c r="G42" i="18"/>
  <c r="T42" i="18" s="1"/>
  <c r="G43" i="18"/>
  <c r="T43" i="18" s="1"/>
  <c r="G44" i="18"/>
  <c r="T44" i="18" s="1"/>
  <c r="G45" i="18"/>
  <c r="T45" i="18" s="1"/>
  <c r="G46" i="18"/>
  <c r="G47" i="18"/>
  <c r="G48" i="18"/>
  <c r="T48" i="18" s="1"/>
  <c r="G49" i="18"/>
  <c r="T49" i="18" s="1"/>
  <c r="G50" i="18"/>
  <c r="T50" i="18" s="1"/>
  <c r="G51" i="18"/>
  <c r="T51" i="18" s="1"/>
  <c r="G52" i="18"/>
  <c r="T52" i="18" s="1"/>
  <c r="G53" i="18"/>
  <c r="T53" i="18" s="1"/>
  <c r="G54" i="18"/>
  <c r="T54" i="18" s="1"/>
  <c r="G55" i="18"/>
  <c r="T55" i="18" s="1"/>
  <c r="G56" i="18"/>
  <c r="T56" i="18" s="1"/>
  <c r="G57" i="18"/>
  <c r="T57" i="18" s="1"/>
  <c r="G58" i="18"/>
  <c r="T58" i="18" s="1"/>
  <c r="G59" i="18"/>
  <c r="G60" i="18"/>
  <c r="T60" i="18" s="1"/>
  <c r="G61" i="18"/>
  <c r="T61" i="18" s="1"/>
  <c r="C15" i="18"/>
  <c r="C16" i="18"/>
  <c r="C17" i="18"/>
  <c r="C18" i="18"/>
  <c r="C19" i="18"/>
  <c r="C31" i="18" s="1"/>
  <c r="C43" i="18" s="1"/>
  <c r="C55" i="18" s="1"/>
  <c r="C20" i="18"/>
  <c r="C21" i="18"/>
  <c r="C22" i="18"/>
  <c r="C23" i="18"/>
  <c r="C24" i="18"/>
  <c r="C25" i="18"/>
  <c r="C27" i="18"/>
  <c r="C28" i="18"/>
  <c r="C40" i="18" s="1"/>
  <c r="C52" i="18" s="1"/>
  <c r="C29" i="18"/>
  <c r="C41" i="18" s="1"/>
  <c r="C53" i="18" s="1"/>
  <c r="C30" i="18"/>
  <c r="C42" i="18" s="1"/>
  <c r="C54" i="18" s="1"/>
  <c r="C32" i="18"/>
  <c r="C44" i="18" s="1"/>
  <c r="C56" i="18" s="1"/>
  <c r="C33" i="18"/>
  <c r="C45" i="18" s="1"/>
  <c r="C57" i="18" s="1"/>
  <c r="C34" i="18"/>
  <c r="C46" i="18" s="1"/>
  <c r="C58" i="18" s="1"/>
  <c r="C35" i="18"/>
  <c r="C47" i="18" s="1"/>
  <c r="C59" i="18" s="1"/>
  <c r="C36" i="18"/>
  <c r="C48" i="18" s="1"/>
  <c r="C60" i="18" s="1"/>
  <c r="C37" i="18"/>
  <c r="C49" i="18" s="1"/>
  <c r="C61" i="18" s="1"/>
  <c r="C39" i="18"/>
  <c r="C51" i="18" s="1"/>
  <c r="C14" i="18"/>
  <c r="C26" i="18" s="1"/>
  <c r="C38" i="18" s="1"/>
  <c r="C50" i="18" s="1"/>
  <c r="B15" i="18"/>
  <c r="B27" i="18" s="1"/>
  <c r="B39" i="18" s="1"/>
  <c r="B51" i="18" s="1"/>
  <c r="B16" i="18"/>
  <c r="B28" i="18" s="1"/>
  <c r="B40" i="18" s="1"/>
  <c r="B52" i="18" s="1"/>
  <c r="B17" i="18"/>
  <c r="B29" i="18" s="1"/>
  <c r="B41" i="18" s="1"/>
  <c r="B53" i="18" s="1"/>
  <c r="B18" i="18"/>
  <c r="B30" i="18" s="1"/>
  <c r="B42" i="18" s="1"/>
  <c r="B54" i="18" s="1"/>
  <c r="B19" i="18"/>
  <c r="B31" i="18" s="1"/>
  <c r="B43" i="18" s="1"/>
  <c r="B55" i="18" s="1"/>
  <c r="B20" i="18"/>
  <c r="B32" i="18" s="1"/>
  <c r="B44" i="18" s="1"/>
  <c r="B56" i="18" s="1"/>
  <c r="B21" i="18"/>
  <c r="B33" i="18" s="1"/>
  <c r="B45" i="18" s="1"/>
  <c r="B57" i="18" s="1"/>
  <c r="B22" i="18"/>
  <c r="B34" i="18" s="1"/>
  <c r="B46" i="18" s="1"/>
  <c r="B58" i="18" s="1"/>
  <c r="B23" i="18"/>
  <c r="B35" i="18" s="1"/>
  <c r="B47" i="18" s="1"/>
  <c r="B59" i="18" s="1"/>
  <c r="B24" i="18"/>
  <c r="B36" i="18" s="1"/>
  <c r="B48" i="18" s="1"/>
  <c r="B60" i="18" s="1"/>
  <c r="B25" i="18"/>
  <c r="B37" i="18" s="1"/>
  <c r="B49" i="18" s="1"/>
  <c r="B61" i="18" s="1"/>
  <c r="B14" i="18"/>
  <c r="B26" i="18" s="1"/>
  <c r="B38" i="18" s="1"/>
  <c r="B50" i="18" s="1"/>
  <c r="D3" i="19"/>
  <c r="C3" i="19"/>
  <c r="B3" i="19"/>
  <c r="A4" i="19"/>
  <c r="B4" i="19" s="1"/>
  <c r="B1" i="19"/>
  <c r="C1" i="19" s="1"/>
  <c r="D1" i="19" s="1"/>
  <c r="E1" i="19" s="1"/>
  <c r="F1" i="19" s="1"/>
  <c r="G1" i="19" s="1"/>
  <c r="H1" i="19" s="1"/>
  <c r="I1" i="19" s="1"/>
  <c r="J1" i="19" s="1"/>
  <c r="K1" i="19" s="1"/>
  <c r="L1" i="19" s="1"/>
  <c r="M1" i="19" s="1"/>
  <c r="N1" i="19" s="1"/>
  <c r="O1" i="19" s="1"/>
  <c r="P1" i="19" s="1"/>
  <c r="Q1" i="19" s="1"/>
  <c r="R1" i="19" s="1"/>
  <c r="S1" i="19" s="1"/>
  <c r="T1" i="19" s="1"/>
  <c r="U1" i="19" s="1"/>
  <c r="V1" i="19" s="1"/>
  <c r="W1" i="19" s="1"/>
  <c r="X1" i="19" s="1"/>
  <c r="Y1" i="19" s="1"/>
  <c r="Z1" i="19" s="1"/>
  <c r="AA1" i="19" s="1"/>
  <c r="AC1" i="19" s="1"/>
  <c r="AD1" i="19" s="1"/>
  <c r="AE1" i="19" s="1"/>
  <c r="AF1" i="19" s="1"/>
  <c r="AG1" i="19" s="1"/>
  <c r="AH1" i="19" s="1"/>
  <c r="AI1" i="19" s="1"/>
  <c r="AJ1" i="19" s="1"/>
  <c r="AK1" i="19" s="1"/>
  <c r="AL1" i="19" s="1"/>
  <c r="AM1" i="19" s="1"/>
  <c r="AN1" i="19" s="1"/>
  <c r="AO1" i="19" s="1"/>
  <c r="AP1" i="19" s="1"/>
  <c r="AQ1" i="19" s="1"/>
  <c r="AR1" i="19" s="1"/>
  <c r="A5" i="19" l="1"/>
  <c r="C4" i="19"/>
  <c r="D4" i="19"/>
  <c r="T59" i="18"/>
  <c r="T47" i="18"/>
  <c r="T46" i="18"/>
  <c r="AC39" i="18"/>
  <c r="AC51" i="18" s="1"/>
  <c r="G39" i="18"/>
  <c r="T39" i="18" s="1"/>
  <c r="E39" i="18"/>
  <c r="AC38" i="18"/>
  <c r="AC50" i="18" s="1"/>
  <c r="G38" i="18"/>
  <c r="E38" i="18"/>
  <c r="AC37" i="18"/>
  <c r="AC49" i="18" s="1"/>
  <c r="AC61" i="18" s="1"/>
  <c r="G37" i="18"/>
  <c r="T37" i="18" s="1"/>
  <c r="E37" i="18"/>
  <c r="AC36" i="18"/>
  <c r="AC48" i="18" s="1"/>
  <c r="AC60" i="18" s="1"/>
  <c r="G36" i="18"/>
  <c r="T36" i="18" s="1"/>
  <c r="E36" i="18"/>
  <c r="AC35" i="18"/>
  <c r="AC47" i="18" s="1"/>
  <c r="AC59" i="18" s="1"/>
  <c r="G35" i="18"/>
  <c r="T35" i="18" s="1"/>
  <c r="E35" i="18"/>
  <c r="AC34" i="18"/>
  <c r="AC46" i="18" s="1"/>
  <c r="AC58" i="18" s="1"/>
  <c r="G34" i="18"/>
  <c r="T34" i="18" s="1"/>
  <c r="E34" i="18"/>
  <c r="AC33" i="18"/>
  <c r="AC45" i="18" s="1"/>
  <c r="AC57" i="18" s="1"/>
  <c r="G33" i="18"/>
  <c r="E33" i="18"/>
  <c r="AC32" i="18"/>
  <c r="AC44" i="18" s="1"/>
  <c r="AC56" i="18" s="1"/>
  <c r="G32" i="18"/>
  <c r="T32" i="18" s="1"/>
  <c r="E32" i="18"/>
  <c r="AC31" i="18"/>
  <c r="AC43" i="18" s="1"/>
  <c r="AC55" i="18" s="1"/>
  <c r="G31" i="18"/>
  <c r="T31" i="18" s="1"/>
  <c r="E31" i="18"/>
  <c r="AC30" i="18"/>
  <c r="AC42" i="18" s="1"/>
  <c r="AC54" i="18" s="1"/>
  <c r="G30" i="18"/>
  <c r="T30" i="18" s="1"/>
  <c r="E30" i="18"/>
  <c r="AC29" i="18"/>
  <c r="AC41" i="18" s="1"/>
  <c r="AC53" i="18" s="1"/>
  <c r="AD61" i="18" s="1"/>
  <c r="G29" i="18"/>
  <c r="T29" i="18" s="1"/>
  <c r="E29" i="18"/>
  <c r="AC28" i="18"/>
  <c r="AC40" i="18" s="1"/>
  <c r="AC52" i="18" s="1"/>
  <c r="G28" i="18"/>
  <c r="T28" i="18" s="1"/>
  <c r="E28" i="18"/>
  <c r="G27" i="18"/>
  <c r="E27" i="18"/>
  <c r="AD26" i="18"/>
  <c r="G26" i="18"/>
  <c r="T26" i="18" s="1"/>
  <c r="E26" i="18"/>
  <c r="AD25" i="18"/>
  <c r="G25" i="18"/>
  <c r="T25" i="18" s="1"/>
  <c r="E25" i="18"/>
  <c r="AD24" i="18"/>
  <c r="G24" i="18"/>
  <c r="T24" i="18" s="1"/>
  <c r="E24" i="18"/>
  <c r="AD23" i="18"/>
  <c r="G23" i="18"/>
  <c r="T23" i="18" s="1"/>
  <c r="E23" i="18"/>
  <c r="AD22" i="18"/>
  <c r="G22" i="18"/>
  <c r="T22" i="18" s="1"/>
  <c r="E22" i="18"/>
  <c r="AD21" i="18"/>
  <c r="G21" i="18"/>
  <c r="T21" i="18" s="1"/>
  <c r="E21" i="18"/>
  <c r="AD20" i="18"/>
  <c r="G20" i="18"/>
  <c r="T20" i="18" s="1"/>
  <c r="E20" i="18"/>
  <c r="AD19" i="18"/>
  <c r="G19" i="18"/>
  <c r="T19" i="18" s="1"/>
  <c r="E19" i="18"/>
  <c r="AD18" i="18"/>
  <c r="G18" i="18"/>
  <c r="T18" i="18" s="1"/>
  <c r="E18" i="18"/>
  <c r="AD17" i="18"/>
  <c r="G17" i="18"/>
  <c r="T17" i="18" s="1"/>
  <c r="E17" i="18"/>
  <c r="AD16" i="18"/>
  <c r="G16" i="18"/>
  <c r="T16" i="18" s="1"/>
  <c r="E16" i="18"/>
  <c r="AD15" i="18"/>
  <c r="G15" i="18"/>
  <c r="T15" i="18" s="1"/>
  <c r="E15" i="18"/>
  <c r="AD14" i="18"/>
  <c r="G14" i="18"/>
  <c r="T14" i="18" s="1"/>
  <c r="E14" i="18"/>
  <c r="AD13" i="18"/>
  <c r="G13" i="18"/>
  <c r="T13" i="18" s="1"/>
  <c r="E13" i="18"/>
  <c r="AD12" i="18"/>
  <c r="G12" i="18"/>
  <c r="E12" i="18"/>
  <c r="AD11" i="18"/>
  <c r="G11" i="18"/>
  <c r="T11" i="18" s="1"/>
  <c r="E11" i="18"/>
  <c r="AD10" i="18"/>
  <c r="G10" i="18"/>
  <c r="T10" i="18" s="1"/>
  <c r="E10" i="18"/>
  <c r="AD9" i="18"/>
  <c r="G9" i="18"/>
  <c r="T9" i="18" s="1"/>
  <c r="E9" i="18"/>
  <c r="AD8" i="18"/>
  <c r="G8" i="18"/>
  <c r="T8" i="18" s="1"/>
  <c r="E8" i="18"/>
  <c r="AD7" i="18"/>
  <c r="G7" i="18"/>
  <c r="T7" i="18" s="1"/>
  <c r="E7" i="18"/>
  <c r="AD6" i="18"/>
  <c r="G6" i="18"/>
  <c r="T6" i="18" s="1"/>
  <c r="E6" i="18"/>
  <c r="AD5" i="18"/>
  <c r="G5" i="18"/>
  <c r="E5" i="18"/>
  <c r="AD4" i="18"/>
  <c r="G4" i="18"/>
  <c r="T4" i="18" s="1"/>
  <c r="E4" i="18"/>
  <c r="AD3" i="18"/>
  <c r="G3" i="18"/>
  <c r="T3" i="18" s="1"/>
  <c r="E3" i="18"/>
  <c r="A3" i="18"/>
  <c r="A4" i="18" s="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D2" i="18"/>
  <c r="G2" i="18"/>
  <c r="T2" i="18" s="1"/>
  <c r="E2" i="18"/>
  <c r="A6" i="19" l="1"/>
  <c r="B5" i="19"/>
  <c r="C5" i="19"/>
  <c r="D5" i="19"/>
  <c r="AD53" i="18"/>
  <c r="AD59" i="18"/>
  <c r="AD55" i="18"/>
  <c r="AD51" i="18"/>
  <c r="AD54" i="18"/>
  <c r="AD56" i="18"/>
  <c r="AD57" i="18"/>
  <c r="C13" i="11"/>
  <c r="AD50" i="18"/>
  <c r="C4" i="10" s="1"/>
  <c r="AD52" i="18"/>
  <c r="AD58" i="18"/>
  <c r="AD60" i="18"/>
  <c r="AD40" i="18"/>
  <c r="AD41" i="18"/>
  <c r="AD42" i="18"/>
  <c r="AD43" i="18"/>
  <c r="AD39" i="18"/>
  <c r="AD44" i="18"/>
  <c r="AD45" i="18"/>
  <c r="AD46" i="18"/>
  <c r="AD47" i="18"/>
  <c r="AD48" i="18"/>
  <c r="AD49" i="18"/>
  <c r="T33" i="18"/>
  <c r="AD28" i="18"/>
  <c r="AD27" i="18"/>
  <c r="T38" i="18"/>
  <c r="T5" i="18"/>
  <c r="T12" i="18"/>
  <c r="T27" i="18"/>
  <c r="AD37" i="18"/>
  <c r="AD32" i="18"/>
  <c r="AD30" i="18"/>
  <c r="AD35" i="18"/>
  <c r="AD33" i="18"/>
  <c r="AD38" i="18"/>
  <c r="AD31" i="18"/>
  <c r="AD36" i="18"/>
  <c r="AD29" i="18"/>
  <c r="AD34" i="18"/>
  <c r="A7" i="19" l="1"/>
  <c r="B6" i="19"/>
  <c r="C6" i="19"/>
  <c r="D6" i="19"/>
  <c r="A8" i="19" l="1"/>
  <c r="B7" i="19"/>
  <c r="C7" i="19"/>
  <c r="D7" i="19"/>
  <c r="A9" i="19" l="1"/>
  <c r="B8" i="19"/>
  <c r="C8" i="19"/>
  <c r="D8" i="19"/>
  <c r="A10" i="19" l="1"/>
  <c r="B9" i="19"/>
  <c r="C9" i="19"/>
  <c r="D9" i="19"/>
  <c r="A11" i="19" l="1"/>
  <c r="B10" i="19"/>
  <c r="C10" i="19"/>
  <c r="D10" i="19"/>
  <c r="A12" i="19" l="1"/>
  <c r="D11" i="19"/>
  <c r="C11" i="19"/>
  <c r="B11" i="19"/>
  <c r="A13" i="19" l="1"/>
  <c r="D12" i="19"/>
  <c r="B12" i="19"/>
  <c r="C12" i="19"/>
  <c r="A14" i="19" l="1"/>
  <c r="D13" i="19"/>
  <c r="B13" i="19"/>
  <c r="C13" i="19"/>
  <c r="A15" i="19" l="1"/>
  <c r="C14" i="19"/>
  <c r="D14" i="19"/>
  <c r="B14" i="19"/>
  <c r="A16" i="19" l="1"/>
  <c r="C15" i="19"/>
  <c r="D15" i="19"/>
  <c r="B15" i="19"/>
  <c r="A17" i="19" l="1"/>
  <c r="C16" i="19"/>
  <c r="D16" i="19"/>
  <c r="B16" i="19"/>
  <c r="A18" i="19" l="1"/>
  <c r="B17" i="19"/>
  <c r="C17" i="19"/>
  <c r="D17" i="19"/>
  <c r="A19" i="19" l="1"/>
  <c r="B18" i="19"/>
  <c r="C18" i="19"/>
  <c r="D18" i="19"/>
  <c r="A20" i="19" l="1"/>
  <c r="B19" i="19"/>
  <c r="C19" i="19"/>
  <c r="D19" i="19"/>
  <c r="A21" i="19" l="1"/>
  <c r="B20" i="19"/>
  <c r="C20" i="19"/>
  <c r="D20" i="19"/>
  <c r="A22" i="19" l="1"/>
  <c r="B21" i="19"/>
  <c r="C21" i="19"/>
  <c r="D21" i="19"/>
  <c r="A23" i="19" l="1"/>
  <c r="B22" i="19"/>
  <c r="C22" i="19"/>
  <c r="D22" i="19"/>
  <c r="A24" i="19" l="1"/>
  <c r="D23" i="19"/>
  <c r="C23" i="19"/>
  <c r="B23" i="19"/>
  <c r="A25" i="19" l="1"/>
  <c r="D24" i="19"/>
  <c r="B24" i="19"/>
  <c r="C24" i="19"/>
  <c r="A26" i="19" l="1"/>
  <c r="D25" i="19"/>
  <c r="B25" i="19"/>
  <c r="C25" i="19"/>
  <c r="A27" i="19" l="1"/>
  <c r="C26" i="19"/>
  <c r="D26" i="19"/>
  <c r="B26" i="19"/>
  <c r="A28" i="19" l="1"/>
  <c r="C27" i="19"/>
  <c r="D27" i="19"/>
  <c r="B27" i="19"/>
  <c r="A29" i="19" l="1"/>
  <c r="C28" i="19"/>
  <c r="D28" i="19"/>
  <c r="B28" i="19"/>
  <c r="A30" i="19" l="1"/>
  <c r="B29" i="19"/>
  <c r="C29" i="19"/>
  <c r="D29" i="19"/>
  <c r="A31" i="19" l="1"/>
  <c r="B30" i="19"/>
  <c r="C30" i="19"/>
  <c r="D30" i="19"/>
  <c r="A32" i="19" l="1"/>
  <c r="B31" i="19"/>
  <c r="C31" i="19"/>
  <c r="D31" i="19"/>
  <c r="A33" i="19" l="1"/>
  <c r="B32" i="19"/>
  <c r="C32" i="19"/>
  <c r="D32" i="19"/>
  <c r="A34" i="19" l="1"/>
  <c r="B33" i="19"/>
  <c r="C33" i="19"/>
  <c r="D33" i="19"/>
  <c r="A35" i="19" l="1"/>
  <c r="B34" i="19"/>
  <c r="C34" i="19"/>
  <c r="D34" i="19"/>
  <c r="A36" i="19" l="1"/>
  <c r="D35" i="19"/>
  <c r="C35" i="19"/>
  <c r="B35" i="19"/>
  <c r="A37" i="19" l="1"/>
  <c r="D36" i="19"/>
  <c r="B36" i="19"/>
  <c r="C36" i="19"/>
  <c r="A38" i="19" l="1"/>
  <c r="D37" i="19"/>
  <c r="B37" i="19"/>
  <c r="C37" i="19"/>
  <c r="A39" i="19" l="1"/>
  <c r="C38" i="19"/>
  <c r="D38" i="19"/>
  <c r="B38" i="19"/>
  <c r="A40" i="19" l="1"/>
  <c r="C39" i="19"/>
  <c r="D39" i="19"/>
  <c r="B39" i="19"/>
  <c r="A41" i="19" l="1"/>
  <c r="C40" i="19"/>
  <c r="D40" i="19"/>
  <c r="B40" i="19"/>
  <c r="A42" i="19" l="1"/>
  <c r="B41" i="19"/>
  <c r="C41" i="19"/>
  <c r="D41" i="19"/>
  <c r="A43" i="19" l="1"/>
  <c r="B42" i="19"/>
  <c r="C42" i="19"/>
  <c r="D42" i="19"/>
  <c r="A44" i="19" l="1"/>
  <c r="B43" i="19"/>
  <c r="C43" i="19"/>
  <c r="D43" i="19"/>
  <c r="A45" i="19" l="1"/>
  <c r="B44" i="19"/>
  <c r="D44" i="19"/>
  <c r="C44" i="19"/>
  <c r="A46" i="19" l="1"/>
  <c r="B45" i="19"/>
  <c r="C45" i="19"/>
  <c r="D45" i="19"/>
  <c r="A47" i="19" l="1"/>
  <c r="B46" i="19"/>
  <c r="C46" i="19"/>
  <c r="D46" i="19"/>
  <c r="A48" i="19" l="1"/>
  <c r="D47" i="19"/>
  <c r="C47" i="19"/>
  <c r="B47" i="19"/>
  <c r="A49" i="19" l="1"/>
  <c r="D48" i="19"/>
  <c r="B48" i="19"/>
  <c r="C48" i="19"/>
  <c r="A50" i="19" l="1"/>
  <c r="D49" i="19"/>
  <c r="B49" i="19"/>
  <c r="C49" i="19"/>
  <c r="A51" i="19" l="1"/>
  <c r="C50" i="19"/>
  <c r="D50" i="19"/>
  <c r="B50" i="19"/>
  <c r="A52" i="19" l="1"/>
  <c r="C51" i="19"/>
  <c r="D51" i="19"/>
  <c r="B51" i="19"/>
  <c r="A53" i="19" l="1"/>
  <c r="C52" i="19"/>
  <c r="D52" i="19"/>
  <c r="B52" i="19"/>
  <c r="A54" i="19" l="1"/>
  <c r="B53" i="19"/>
  <c r="C53" i="19"/>
  <c r="D53" i="19"/>
  <c r="A55" i="19" l="1"/>
  <c r="B54" i="19"/>
  <c r="C54" i="19"/>
  <c r="D54" i="19"/>
  <c r="A56" i="19" l="1"/>
  <c r="B55" i="19"/>
  <c r="C55" i="19"/>
  <c r="D55" i="19"/>
  <c r="A57" i="19" l="1"/>
  <c r="C56" i="19"/>
  <c r="B56" i="19"/>
  <c r="D56" i="19"/>
  <c r="A58" i="19" l="1"/>
  <c r="B57" i="19"/>
  <c r="C57" i="19"/>
  <c r="D57" i="19"/>
  <c r="A59" i="19" l="1"/>
  <c r="B58" i="19"/>
  <c r="C58" i="19"/>
  <c r="D58" i="19"/>
  <c r="A60" i="19" l="1"/>
  <c r="D59" i="19"/>
  <c r="C59" i="19"/>
  <c r="B59" i="19"/>
  <c r="A61" i="19" l="1"/>
  <c r="D60" i="19"/>
  <c r="B60" i="19"/>
  <c r="C60" i="19"/>
  <c r="A62" i="19" l="1"/>
  <c r="D61" i="19"/>
  <c r="B61" i="19"/>
  <c r="C61" i="19"/>
  <c r="A63" i="19" l="1"/>
  <c r="C62" i="19"/>
  <c r="D62" i="19"/>
  <c r="B62" i="19"/>
  <c r="A64" i="19" l="1"/>
  <c r="C63" i="19"/>
  <c r="D63" i="19"/>
  <c r="B63" i="19"/>
  <c r="A65" i="19" l="1"/>
  <c r="C64" i="19"/>
  <c r="D64" i="19"/>
  <c r="B64" i="19"/>
  <c r="A66" i="19" l="1"/>
  <c r="B65" i="19"/>
  <c r="C65" i="19"/>
  <c r="D65" i="19"/>
  <c r="A67" i="19" l="1"/>
  <c r="B66" i="19"/>
  <c r="C66" i="19"/>
  <c r="D66" i="19"/>
  <c r="A68" i="19" l="1"/>
  <c r="B67" i="19"/>
  <c r="C67" i="19"/>
  <c r="D67" i="19"/>
  <c r="A69" i="19" l="1"/>
  <c r="C68" i="19"/>
  <c r="B68" i="19"/>
  <c r="D68" i="19"/>
  <c r="A70" i="19" l="1"/>
  <c r="B69" i="19"/>
  <c r="C69" i="19"/>
  <c r="D69" i="19"/>
  <c r="A71" i="19" l="1"/>
  <c r="B70" i="19"/>
  <c r="C70" i="19"/>
  <c r="D70" i="19"/>
  <c r="A72" i="19" l="1"/>
  <c r="D71" i="19"/>
  <c r="C71" i="19"/>
  <c r="B71" i="19"/>
  <c r="A73" i="19" l="1"/>
  <c r="D72" i="19"/>
  <c r="B72" i="19"/>
  <c r="C72" i="19"/>
  <c r="A74" i="19" l="1"/>
  <c r="D73" i="19"/>
  <c r="B73" i="19"/>
  <c r="C73" i="19"/>
  <c r="A75" i="19" l="1"/>
  <c r="C74" i="19"/>
  <c r="D74" i="19"/>
  <c r="B74" i="19"/>
  <c r="A76" i="19" l="1"/>
  <c r="C75" i="19"/>
  <c r="D75" i="19"/>
  <c r="B75" i="19"/>
  <c r="A77" i="19" l="1"/>
  <c r="C76" i="19"/>
  <c r="D76" i="19"/>
  <c r="B76" i="19"/>
  <c r="A78" i="19" l="1"/>
  <c r="B77" i="19"/>
  <c r="C77" i="19"/>
  <c r="D77" i="19"/>
  <c r="A79" i="19" l="1"/>
  <c r="B78" i="19"/>
  <c r="C78" i="19"/>
  <c r="D78" i="19"/>
  <c r="A80" i="19" l="1"/>
  <c r="B79" i="19"/>
  <c r="C79" i="19"/>
  <c r="D79" i="19"/>
  <c r="A81" i="19" l="1"/>
  <c r="B80" i="19"/>
  <c r="C80" i="19"/>
  <c r="D80" i="19"/>
  <c r="A82" i="19" l="1"/>
  <c r="B81" i="19"/>
  <c r="C81" i="19"/>
  <c r="D81" i="19"/>
  <c r="A83" i="19" l="1"/>
  <c r="B82" i="19"/>
  <c r="C82" i="19"/>
  <c r="D82" i="19"/>
  <c r="A84" i="19" l="1"/>
  <c r="D83" i="19"/>
  <c r="C83" i="19"/>
  <c r="B83" i="19"/>
  <c r="A85" i="19" l="1"/>
  <c r="D84" i="19"/>
  <c r="B84" i="19"/>
  <c r="C84" i="19"/>
  <c r="A86" i="19" l="1"/>
  <c r="D85" i="19"/>
  <c r="B85" i="19"/>
  <c r="C85" i="19"/>
  <c r="A87" i="19" l="1"/>
  <c r="C86" i="19"/>
  <c r="D86" i="19"/>
  <c r="B86" i="19"/>
  <c r="A88" i="19" l="1"/>
  <c r="C87" i="19"/>
  <c r="D87" i="19"/>
  <c r="B87" i="19"/>
  <c r="A89" i="19" l="1"/>
  <c r="C88" i="19"/>
  <c r="D88" i="19"/>
  <c r="B88" i="19"/>
  <c r="A90" i="19" l="1"/>
  <c r="B89" i="19"/>
  <c r="C89" i="19"/>
  <c r="D89" i="19"/>
  <c r="A91" i="19" l="1"/>
  <c r="B90" i="19"/>
  <c r="C90" i="19"/>
  <c r="D90" i="19"/>
  <c r="A92" i="19" l="1"/>
  <c r="B91" i="19"/>
  <c r="C91" i="19"/>
  <c r="D91" i="19"/>
  <c r="A93" i="19" l="1"/>
  <c r="B92" i="19"/>
  <c r="C92" i="19"/>
  <c r="D92" i="19"/>
  <c r="A94" i="19" l="1"/>
  <c r="B93" i="19"/>
  <c r="C93" i="19"/>
  <c r="D93" i="19"/>
  <c r="A95" i="19" l="1"/>
  <c r="B94" i="19"/>
  <c r="C94" i="19"/>
  <c r="D94" i="19"/>
  <c r="A96" i="19" l="1"/>
  <c r="D95" i="19"/>
  <c r="C95" i="19"/>
  <c r="B95" i="19"/>
  <c r="A97" i="19" l="1"/>
  <c r="D96" i="19"/>
  <c r="B96" i="19"/>
  <c r="C96" i="19"/>
  <c r="A98" i="19" l="1"/>
  <c r="D97" i="19"/>
  <c r="B97" i="19"/>
  <c r="C97" i="19"/>
  <c r="A99" i="19" l="1"/>
  <c r="C98" i="19"/>
  <c r="D98" i="19"/>
  <c r="B98" i="19"/>
  <c r="A100" i="19" l="1"/>
  <c r="C99" i="19"/>
  <c r="D99" i="19"/>
  <c r="B99" i="19"/>
  <c r="A101" i="19" l="1"/>
  <c r="C100" i="19"/>
  <c r="D100" i="19"/>
  <c r="B100" i="19"/>
  <c r="A102" i="19" l="1"/>
  <c r="B101" i="19"/>
  <c r="C101" i="19"/>
  <c r="D101" i="19"/>
  <c r="A103" i="19" l="1"/>
  <c r="B102" i="19"/>
  <c r="C102" i="19"/>
  <c r="D102" i="19"/>
  <c r="A104" i="19" l="1"/>
  <c r="B103" i="19"/>
  <c r="C103" i="19"/>
  <c r="D103" i="19"/>
  <c r="A105" i="19" l="1"/>
  <c r="B104" i="19"/>
  <c r="D104" i="19"/>
  <c r="C104" i="19"/>
  <c r="A106" i="19" l="1"/>
  <c r="B105" i="19"/>
  <c r="C105" i="19"/>
  <c r="D105" i="19"/>
  <c r="A107" i="19" l="1"/>
  <c r="B106" i="19"/>
  <c r="C106" i="19"/>
  <c r="D106" i="19"/>
  <c r="A108" i="19" l="1"/>
  <c r="D107" i="19"/>
  <c r="C107" i="19"/>
  <c r="B107" i="19"/>
  <c r="A109" i="19" l="1"/>
  <c r="D108" i="19"/>
  <c r="B108" i="19"/>
  <c r="C108" i="19"/>
  <c r="A110" i="19" l="1"/>
  <c r="D109" i="19"/>
  <c r="B109" i="19"/>
  <c r="C109" i="19"/>
  <c r="A111" i="19" l="1"/>
  <c r="C110" i="19"/>
  <c r="D110" i="19"/>
  <c r="B110" i="19"/>
  <c r="A112" i="19" l="1"/>
  <c r="C111" i="19"/>
  <c r="D111" i="19"/>
  <c r="B111" i="19"/>
  <c r="A113" i="19" l="1"/>
  <c r="C112" i="19"/>
  <c r="D112" i="19"/>
  <c r="B112" i="19"/>
  <c r="A114" i="19" l="1"/>
  <c r="B113" i="19"/>
  <c r="C113" i="19"/>
  <c r="D113" i="19"/>
  <c r="A115" i="19" l="1"/>
  <c r="B114" i="19"/>
  <c r="C114" i="19"/>
  <c r="D114" i="19"/>
  <c r="A116" i="19" l="1"/>
  <c r="B115" i="19"/>
  <c r="C115" i="19"/>
  <c r="D115" i="19"/>
  <c r="A117" i="19" l="1"/>
  <c r="C116" i="19"/>
  <c r="B116" i="19"/>
  <c r="D116" i="19"/>
  <c r="A118" i="19" l="1"/>
  <c r="B117" i="19"/>
  <c r="C117" i="19"/>
  <c r="D117" i="19"/>
  <c r="A119" i="19" l="1"/>
  <c r="B118" i="19"/>
  <c r="C118" i="19"/>
  <c r="D118" i="19"/>
  <c r="A120" i="19" l="1"/>
  <c r="D119" i="19"/>
  <c r="C119" i="19"/>
  <c r="B119" i="19"/>
  <c r="A121" i="19" l="1"/>
  <c r="D120" i="19"/>
  <c r="B120" i="19"/>
  <c r="C120" i="19"/>
  <c r="A122" i="19" l="1"/>
  <c r="D121" i="19"/>
  <c r="B121" i="19"/>
  <c r="C121" i="19"/>
  <c r="A123" i="19" l="1"/>
  <c r="C122" i="19"/>
  <c r="D122" i="19"/>
  <c r="B122" i="19"/>
  <c r="A124" i="19" l="1"/>
  <c r="C123" i="19"/>
  <c r="D123" i="19"/>
  <c r="B123" i="19"/>
  <c r="A125" i="19" l="1"/>
  <c r="C124" i="19"/>
  <c r="D124" i="19"/>
  <c r="B124" i="19"/>
  <c r="A126" i="19" l="1"/>
  <c r="B125" i="19"/>
  <c r="C125" i="19"/>
  <c r="D125" i="19"/>
  <c r="A127" i="19" l="1"/>
  <c r="B126" i="19"/>
  <c r="C126" i="19"/>
  <c r="D126" i="19"/>
  <c r="A128" i="19" l="1"/>
  <c r="B127" i="19"/>
  <c r="C127" i="19"/>
  <c r="D127" i="19"/>
  <c r="A129" i="19" l="1"/>
  <c r="C128" i="19"/>
  <c r="B128" i="19"/>
  <c r="D128" i="19"/>
  <c r="A130" i="19" l="1"/>
  <c r="B129" i="19"/>
  <c r="C129" i="19"/>
  <c r="D129" i="19"/>
  <c r="A131" i="19" l="1"/>
  <c r="B130" i="19"/>
  <c r="C130" i="19"/>
  <c r="D130" i="19"/>
  <c r="A132" i="19" l="1"/>
  <c r="D131" i="19"/>
  <c r="C131" i="19"/>
  <c r="B131" i="19"/>
  <c r="A133" i="19" l="1"/>
  <c r="D132" i="19"/>
  <c r="B132" i="19"/>
  <c r="C132" i="19"/>
  <c r="A134" i="19" l="1"/>
  <c r="D133" i="19"/>
  <c r="B133" i="19"/>
  <c r="C133" i="19"/>
  <c r="A135" i="19" l="1"/>
  <c r="C134" i="19"/>
  <c r="D134" i="19"/>
  <c r="B134" i="19"/>
  <c r="A136" i="19" l="1"/>
  <c r="C135" i="19"/>
  <c r="D135" i="19"/>
  <c r="B135" i="19"/>
  <c r="A137" i="19" l="1"/>
  <c r="C136" i="19"/>
  <c r="D136" i="19"/>
  <c r="B136" i="19"/>
  <c r="A138" i="19" l="1"/>
  <c r="B137" i="19"/>
  <c r="C137" i="19"/>
  <c r="D137" i="19"/>
  <c r="A139" i="19" l="1"/>
  <c r="B138" i="19"/>
  <c r="C138" i="19"/>
  <c r="D138" i="19"/>
  <c r="A140" i="19" l="1"/>
  <c r="B139" i="19"/>
  <c r="C139" i="19"/>
  <c r="D139" i="19"/>
  <c r="A141" i="19" l="1"/>
  <c r="C140" i="19"/>
  <c r="B140" i="19"/>
  <c r="D140" i="19"/>
  <c r="A142" i="19" l="1"/>
  <c r="B141" i="19"/>
  <c r="C141" i="19"/>
  <c r="D141" i="19"/>
  <c r="A143" i="19" l="1"/>
  <c r="B142" i="19"/>
  <c r="C142" i="19"/>
  <c r="D142" i="19"/>
  <c r="A144" i="19" l="1"/>
  <c r="D143" i="19"/>
  <c r="C143" i="19"/>
  <c r="B143" i="19"/>
  <c r="A145" i="19" l="1"/>
  <c r="D144" i="19"/>
  <c r="B144" i="19"/>
  <c r="C144" i="19"/>
  <c r="A146" i="19" l="1"/>
  <c r="D145" i="19"/>
  <c r="B145" i="19"/>
  <c r="C145" i="19"/>
  <c r="A147" i="19" l="1"/>
  <c r="C146" i="19"/>
  <c r="D146" i="19"/>
  <c r="B146" i="19"/>
  <c r="A148" i="19" l="1"/>
  <c r="C147" i="19"/>
  <c r="D147" i="19"/>
  <c r="B147" i="19"/>
  <c r="A149" i="19" l="1"/>
  <c r="C148" i="19"/>
  <c r="D148" i="19"/>
  <c r="B148" i="19"/>
  <c r="A150" i="19" l="1"/>
  <c r="B149" i="19"/>
  <c r="C149" i="19"/>
  <c r="D149" i="19"/>
  <c r="A151" i="19" l="1"/>
  <c r="B150" i="19"/>
  <c r="C150" i="19"/>
  <c r="D150" i="19"/>
  <c r="A152" i="19" l="1"/>
  <c r="B151" i="19"/>
  <c r="C151" i="19"/>
  <c r="D151" i="19"/>
  <c r="A153" i="19" l="1"/>
  <c r="C152" i="19"/>
  <c r="B152" i="19"/>
  <c r="D152" i="19"/>
  <c r="A154" i="19" l="1"/>
  <c r="B153" i="19"/>
  <c r="C153" i="19"/>
  <c r="D153" i="19"/>
  <c r="A155" i="19" l="1"/>
  <c r="B154" i="19"/>
  <c r="C154" i="19"/>
  <c r="D154" i="19"/>
  <c r="A156" i="19" l="1"/>
  <c r="D155" i="19"/>
  <c r="C155" i="19"/>
  <c r="B155" i="19"/>
  <c r="A157" i="19" l="1"/>
  <c r="D156" i="19"/>
  <c r="B156" i="19"/>
  <c r="C156" i="19"/>
  <c r="A158" i="19" l="1"/>
  <c r="D157" i="19"/>
  <c r="B157" i="19"/>
  <c r="C157" i="19"/>
  <c r="A159" i="19" l="1"/>
  <c r="C158" i="19"/>
  <c r="D158" i="19"/>
  <c r="B158" i="19"/>
  <c r="A160" i="19" l="1"/>
  <c r="C159" i="19"/>
  <c r="D159" i="19"/>
  <c r="B159" i="19"/>
  <c r="A161" i="19" l="1"/>
  <c r="C160" i="19"/>
  <c r="D160" i="19"/>
  <c r="B160" i="19"/>
  <c r="A162" i="19" l="1"/>
  <c r="B161" i="19"/>
  <c r="C161" i="19"/>
  <c r="D161" i="19"/>
  <c r="A163" i="19" l="1"/>
  <c r="B162" i="19"/>
  <c r="C162" i="19"/>
  <c r="D162" i="19"/>
  <c r="A164" i="19" l="1"/>
  <c r="B163" i="19"/>
  <c r="C163" i="19"/>
  <c r="D163" i="19"/>
  <c r="A165" i="19" l="1"/>
  <c r="C164" i="19"/>
  <c r="B164" i="19"/>
  <c r="D164" i="19"/>
  <c r="A166" i="19" l="1"/>
  <c r="B165" i="19"/>
  <c r="C165" i="19"/>
  <c r="D165" i="19"/>
  <c r="A167" i="19" l="1"/>
  <c r="B166" i="19"/>
  <c r="C166" i="19"/>
  <c r="D166" i="19"/>
  <c r="A168" i="19" l="1"/>
  <c r="D167" i="19"/>
  <c r="C167" i="19"/>
  <c r="B167" i="19"/>
  <c r="A169" i="19" l="1"/>
  <c r="D168" i="19"/>
  <c r="B168" i="19"/>
  <c r="C168" i="19"/>
  <c r="A170" i="19" l="1"/>
  <c r="D169" i="19"/>
  <c r="B169" i="19"/>
  <c r="C169" i="19"/>
  <c r="A171" i="19" l="1"/>
  <c r="C170" i="19"/>
  <c r="D170" i="19"/>
  <c r="B170" i="19"/>
  <c r="A172" i="19" l="1"/>
  <c r="C171" i="19"/>
  <c r="D171" i="19"/>
  <c r="B171" i="19"/>
  <c r="A173" i="19" l="1"/>
  <c r="C172" i="19"/>
  <c r="D172" i="19"/>
  <c r="B172" i="19"/>
  <c r="A174" i="19" l="1"/>
  <c r="B173" i="19"/>
  <c r="C173" i="19"/>
  <c r="D173" i="19"/>
  <c r="A175" i="19" l="1"/>
  <c r="B174" i="19"/>
  <c r="C174" i="19"/>
  <c r="D174" i="19"/>
  <c r="A176" i="19" l="1"/>
  <c r="B175" i="19"/>
  <c r="C175" i="19"/>
  <c r="D175" i="19"/>
  <c r="A177" i="19" l="1"/>
  <c r="C176" i="19"/>
  <c r="B176" i="19"/>
  <c r="D176" i="19"/>
  <c r="A178" i="19" l="1"/>
  <c r="B177" i="19"/>
  <c r="C177" i="19"/>
  <c r="D177" i="19"/>
  <c r="A179" i="19" l="1"/>
  <c r="B178" i="19"/>
  <c r="C178" i="19"/>
  <c r="D178" i="19"/>
  <c r="A180" i="19" l="1"/>
  <c r="D179" i="19"/>
  <c r="C179" i="19"/>
  <c r="B179" i="19"/>
  <c r="A181" i="19" l="1"/>
  <c r="D180" i="19"/>
  <c r="B180" i="19"/>
  <c r="C180" i="19"/>
  <c r="A182" i="19" l="1"/>
  <c r="D181" i="19"/>
  <c r="B181" i="19"/>
  <c r="C181" i="19"/>
  <c r="A183" i="19" l="1"/>
  <c r="C182" i="19"/>
  <c r="D182" i="19"/>
  <c r="B182" i="19"/>
  <c r="A184" i="19" l="1"/>
  <c r="C183" i="19"/>
  <c r="D183" i="19"/>
  <c r="B183" i="19"/>
  <c r="A185" i="19" l="1"/>
  <c r="C184" i="19"/>
  <c r="D184" i="19"/>
  <c r="B184" i="19"/>
  <c r="A186" i="19" l="1"/>
  <c r="B185" i="19"/>
  <c r="C185" i="19"/>
  <c r="D185" i="19"/>
  <c r="A187" i="19" l="1"/>
  <c r="B186" i="19"/>
  <c r="C186" i="19"/>
  <c r="D186" i="19"/>
  <c r="A188" i="19" l="1"/>
  <c r="B187" i="19"/>
  <c r="C187" i="19"/>
  <c r="D187" i="19"/>
  <c r="A189" i="19" l="1"/>
  <c r="C188" i="19"/>
  <c r="B188" i="19"/>
  <c r="D188" i="19"/>
  <c r="A190" i="19" l="1"/>
  <c r="B189" i="19"/>
  <c r="C189" i="19"/>
  <c r="D189" i="19"/>
  <c r="A191" i="19" l="1"/>
  <c r="B190" i="19"/>
  <c r="C190" i="19"/>
  <c r="D190" i="19"/>
  <c r="A192" i="19" l="1"/>
  <c r="D191" i="19"/>
  <c r="C191" i="19"/>
  <c r="B191" i="19"/>
  <c r="A193" i="19" l="1"/>
  <c r="D192" i="19"/>
  <c r="B192" i="19"/>
  <c r="C192" i="19"/>
  <c r="A194" i="19" l="1"/>
  <c r="D193" i="19"/>
  <c r="B193" i="19"/>
  <c r="C193" i="19"/>
  <c r="A195" i="19" l="1"/>
  <c r="C194" i="19"/>
  <c r="D194" i="19"/>
  <c r="B194" i="19"/>
  <c r="A196" i="19" l="1"/>
  <c r="C195" i="19"/>
  <c r="D195" i="19"/>
  <c r="B195" i="19"/>
  <c r="A197" i="19" l="1"/>
  <c r="C196" i="19"/>
  <c r="D196" i="19"/>
  <c r="B196" i="19"/>
  <c r="A198" i="19" l="1"/>
  <c r="B197" i="19"/>
  <c r="C197" i="19"/>
  <c r="D197" i="19"/>
  <c r="A199" i="19" l="1"/>
  <c r="B198" i="19"/>
  <c r="C198" i="19"/>
  <c r="D198" i="19"/>
  <c r="A200" i="19" l="1"/>
  <c r="B199" i="19"/>
  <c r="C199" i="19"/>
  <c r="D199" i="19"/>
  <c r="A201" i="19" l="1"/>
  <c r="C200" i="19"/>
  <c r="B200" i="19"/>
  <c r="D200" i="19"/>
  <c r="A202" i="19" l="1"/>
  <c r="B201" i="19"/>
  <c r="C201" i="19"/>
  <c r="D201" i="19"/>
  <c r="A203" i="19" l="1"/>
  <c r="B202" i="19"/>
  <c r="C202" i="19"/>
  <c r="D202" i="19"/>
  <c r="A204" i="19" l="1"/>
  <c r="D203" i="19"/>
  <c r="C203" i="19"/>
  <c r="B203" i="19"/>
  <c r="A205" i="19" l="1"/>
  <c r="D204" i="19"/>
  <c r="B204" i="19"/>
  <c r="C204" i="19"/>
  <c r="A206" i="19" l="1"/>
  <c r="D205" i="19"/>
  <c r="B205" i="19"/>
  <c r="C205" i="19"/>
  <c r="A207" i="19" l="1"/>
  <c r="C206" i="19"/>
  <c r="D206" i="19"/>
  <c r="B206" i="19"/>
  <c r="A208" i="19" l="1"/>
  <c r="C207" i="19"/>
  <c r="D207" i="19"/>
  <c r="B207" i="19"/>
  <c r="A209" i="19" l="1"/>
  <c r="C208" i="19"/>
  <c r="D208" i="19"/>
  <c r="B208" i="19"/>
  <c r="A210" i="19" l="1"/>
  <c r="B209" i="19"/>
  <c r="C209" i="19"/>
  <c r="D209" i="19"/>
  <c r="A211" i="19" l="1"/>
  <c r="B210" i="19"/>
  <c r="C210" i="19"/>
  <c r="D210" i="19"/>
  <c r="A212" i="19" l="1"/>
  <c r="B211" i="19"/>
  <c r="C211" i="19"/>
  <c r="D211" i="19"/>
  <c r="A213" i="19" l="1"/>
  <c r="C212" i="19"/>
  <c r="B212" i="19"/>
  <c r="D212" i="19"/>
  <c r="A214" i="19" l="1"/>
  <c r="B213" i="19"/>
  <c r="C213" i="19"/>
  <c r="D213" i="19"/>
  <c r="A215" i="19" l="1"/>
  <c r="B214" i="19"/>
  <c r="C214" i="19"/>
  <c r="D214" i="19"/>
  <c r="A216" i="19" l="1"/>
  <c r="D215" i="19"/>
  <c r="C215" i="19"/>
  <c r="B215" i="19"/>
  <c r="A217" i="19" l="1"/>
  <c r="D216" i="19"/>
  <c r="B216" i="19"/>
  <c r="C216" i="19"/>
  <c r="A218" i="19" l="1"/>
  <c r="D217" i="19"/>
  <c r="B217" i="19"/>
  <c r="C217" i="19"/>
  <c r="A219" i="19" l="1"/>
  <c r="C218" i="19"/>
  <c r="D218" i="19"/>
  <c r="B218" i="19"/>
  <c r="A220" i="19" l="1"/>
  <c r="C219" i="19"/>
  <c r="D219" i="19"/>
  <c r="B219" i="19"/>
  <c r="A221" i="19" l="1"/>
  <c r="C220" i="19"/>
  <c r="D220" i="19"/>
  <c r="B220" i="19"/>
  <c r="A222" i="19" l="1"/>
  <c r="B221" i="19"/>
  <c r="C221" i="19"/>
  <c r="D221" i="19"/>
  <c r="A223" i="19" l="1"/>
  <c r="B222" i="19"/>
  <c r="C222" i="19"/>
  <c r="D222" i="19"/>
  <c r="A224" i="19" l="1"/>
  <c r="B223" i="19"/>
  <c r="C223" i="19"/>
  <c r="D223" i="19"/>
  <c r="A225" i="19" l="1"/>
  <c r="C224" i="19"/>
  <c r="B224" i="19"/>
  <c r="D224" i="19"/>
  <c r="A226" i="19" l="1"/>
  <c r="B225" i="19"/>
  <c r="C225" i="19"/>
  <c r="D225" i="19"/>
  <c r="A227" i="19" l="1"/>
  <c r="B226" i="19"/>
  <c r="C226" i="19"/>
  <c r="D226" i="19"/>
  <c r="A228" i="19" l="1"/>
  <c r="D227" i="19"/>
  <c r="C227" i="19"/>
  <c r="B227" i="19"/>
  <c r="A229" i="19" l="1"/>
  <c r="D228" i="19"/>
  <c r="B228" i="19"/>
  <c r="C228" i="19"/>
  <c r="A230" i="19" l="1"/>
  <c r="D229" i="19"/>
  <c r="B229" i="19"/>
  <c r="C229" i="19"/>
  <c r="A231" i="19" l="1"/>
  <c r="C230" i="19"/>
  <c r="D230" i="19"/>
  <c r="B230" i="19"/>
  <c r="A232" i="19" l="1"/>
  <c r="C231" i="19"/>
  <c r="D231" i="19"/>
  <c r="B231" i="19"/>
  <c r="A233" i="19" l="1"/>
  <c r="C232" i="19"/>
  <c r="D232" i="19"/>
  <c r="B232" i="19"/>
  <c r="A234" i="19" l="1"/>
  <c r="B233" i="19"/>
  <c r="C233" i="19"/>
  <c r="D233" i="19"/>
  <c r="A235" i="19" l="1"/>
  <c r="B234" i="19"/>
  <c r="C234" i="19"/>
  <c r="D234" i="19"/>
  <c r="A236" i="19" l="1"/>
  <c r="B235" i="19"/>
  <c r="C235" i="19"/>
  <c r="D235" i="19"/>
  <c r="A237" i="19" l="1"/>
  <c r="C236" i="19"/>
  <c r="B236" i="19"/>
  <c r="D236" i="19"/>
  <c r="A238" i="19" l="1"/>
  <c r="B237" i="19"/>
  <c r="C237" i="19"/>
  <c r="D237" i="19"/>
  <c r="A239" i="19" l="1"/>
  <c r="B238" i="19"/>
  <c r="C238" i="19"/>
  <c r="D238" i="19"/>
  <c r="A240" i="19" l="1"/>
  <c r="D239" i="19"/>
  <c r="C239" i="19"/>
  <c r="B239" i="19"/>
  <c r="A241" i="19" l="1"/>
  <c r="D240" i="19"/>
  <c r="B240" i="19"/>
  <c r="C240" i="19"/>
  <c r="A242" i="19" l="1"/>
  <c r="D241" i="19"/>
  <c r="B241" i="19"/>
  <c r="C241" i="19"/>
  <c r="A243" i="19" l="1"/>
  <c r="C242" i="19"/>
  <c r="D242" i="19"/>
  <c r="B242" i="19"/>
  <c r="A244" i="19" l="1"/>
  <c r="C243" i="19"/>
  <c r="D243" i="19"/>
  <c r="B243" i="19"/>
  <c r="A245" i="19" l="1"/>
  <c r="C244" i="19"/>
  <c r="D244" i="19"/>
  <c r="B244" i="19"/>
  <c r="A246" i="19" l="1"/>
  <c r="B245" i="19"/>
  <c r="C245" i="19"/>
  <c r="D245" i="19"/>
  <c r="A247" i="19" l="1"/>
  <c r="B246" i="19"/>
  <c r="C246" i="19"/>
  <c r="D246" i="19"/>
  <c r="A248" i="19" l="1"/>
  <c r="B247" i="19"/>
  <c r="C247" i="19"/>
  <c r="D247" i="19"/>
  <c r="A249" i="19" l="1"/>
  <c r="B248" i="19"/>
  <c r="D248" i="19"/>
  <c r="C248" i="19"/>
  <c r="A250" i="19" l="1"/>
  <c r="B249" i="19"/>
  <c r="C249" i="19"/>
  <c r="D249" i="19"/>
  <c r="A251" i="19" l="1"/>
  <c r="B250" i="19"/>
  <c r="C250" i="19"/>
  <c r="D250" i="19"/>
  <c r="A252" i="19" l="1"/>
  <c r="D251" i="19"/>
  <c r="C251" i="19"/>
  <c r="B251" i="19"/>
  <c r="A253" i="19" l="1"/>
  <c r="D252" i="19"/>
  <c r="B252" i="19"/>
  <c r="C252" i="19"/>
  <c r="A254" i="19" l="1"/>
  <c r="D253" i="19"/>
  <c r="B253" i="19"/>
  <c r="C253" i="19"/>
  <c r="A255" i="19" l="1"/>
  <c r="C254" i="19"/>
  <c r="D254" i="19"/>
  <c r="B254" i="19"/>
  <c r="A256" i="19" l="1"/>
  <c r="C255" i="19"/>
  <c r="D255" i="19"/>
  <c r="B255" i="19"/>
  <c r="A257" i="19" l="1"/>
  <c r="C256" i="19"/>
  <c r="D256" i="19"/>
  <c r="B256" i="19"/>
  <c r="A258" i="19" l="1"/>
  <c r="B257" i="19"/>
  <c r="C257" i="19"/>
  <c r="D257" i="19"/>
  <c r="A259" i="19" l="1"/>
  <c r="B258" i="19"/>
  <c r="C258" i="19"/>
  <c r="D258" i="19"/>
  <c r="A260" i="19" l="1"/>
  <c r="B259" i="19"/>
  <c r="C259" i="19"/>
  <c r="D259" i="19"/>
  <c r="A261" i="19" l="1"/>
  <c r="B260" i="19"/>
  <c r="D260" i="19"/>
  <c r="C260" i="19"/>
  <c r="A262" i="19" l="1"/>
  <c r="B261" i="19"/>
  <c r="C261" i="19"/>
  <c r="D261" i="19"/>
  <c r="A263" i="19" l="1"/>
  <c r="B262" i="19"/>
  <c r="C262" i="19"/>
  <c r="D262" i="19"/>
  <c r="A264" i="19" l="1"/>
  <c r="D263" i="19"/>
  <c r="C263" i="19"/>
  <c r="B263" i="19"/>
  <c r="A265" i="19" l="1"/>
  <c r="D264" i="19"/>
  <c r="B264" i="19"/>
  <c r="C264" i="19"/>
  <c r="A266" i="19" l="1"/>
  <c r="D265" i="19"/>
  <c r="B265" i="19"/>
  <c r="C265" i="19"/>
  <c r="A267" i="19" l="1"/>
  <c r="C266" i="19"/>
  <c r="D266" i="19"/>
  <c r="B266" i="19"/>
  <c r="A268" i="19" l="1"/>
  <c r="C267" i="19"/>
  <c r="D267" i="19"/>
  <c r="B267" i="19"/>
  <c r="A269" i="19" l="1"/>
  <c r="C268" i="19"/>
  <c r="D268" i="19"/>
  <c r="B268" i="19"/>
  <c r="A270" i="19" l="1"/>
  <c r="B269" i="19"/>
  <c r="C269" i="19"/>
  <c r="D269" i="19"/>
  <c r="A271" i="19" l="1"/>
  <c r="B270" i="19"/>
  <c r="C270" i="19"/>
  <c r="D270" i="19"/>
  <c r="A272" i="19" l="1"/>
  <c r="B271" i="19"/>
  <c r="C271" i="19"/>
  <c r="D271" i="19"/>
  <c r="A273" i="19" l="1"/>
  <c r="B272" i="19"/>
  <c r="D272" i="19"/>
  <c r="C272" i="19"/>
  <c r="A274" i="19" l="1"/>
  <c r="B273" i="19"/>
  <c r="C273" i="19"/>
  <c r="D273" i="19"/>
  <c r="A275" i="19" l="1"/>
  <c r="B274" i="19"/>
  <c r="C274" i="19"/>
  <c r="D274" i="19"/>
  <c r="A276" i="19" l="1"/>
  <c r="D275" i="19"/>
  <c r="C275" i="19"/>
  <c r="B275" i="19"/>
  <c r="A277" i="19" l="1"/>
  <c r="D276" i="19"/>
  <c r="B276" i="19"/>
  <c r="C276" i="19"/>
  <c r="A278" i="19" l="1"/>
  <c r="D277" i="19"/>
  <c r="B277" i="19"/>
  <c r="C277" i="19"/>
  <c r="A279" i="19" l="1"/>
  <c r="C278" i="19"/>
  <c r="D278" i="19"/>
  <c r="B278" i="19"/>
  <c r="A280" i="19" l="1"/>
  <c r="C279" i="19"/>
  <c r="D279" i="19"/>
  <c r="B279" i="19"/>
  <c r="C280" i="19" l="1"/>
  <c r="D280" i="19"/>
  <c r="B280" i="19"/>
  <c r="A3" i="17" l="1"/>
  <c r="D2" i="17"/>
  <c r="C2" i="17"/>
  <c r="B2" i="17"/>
  <c r="E2" i="17"/>
  <c r="AC2" i="17" l="1"/>
  <c r="AD2" i="17"/>
  <c r="AR2" i="17"/>
  <c r="AQ2" i="17"/>
  <c r="AP2" i="17"/>
  <c r="AH2" i="17"/>
  <c r="AG2" i="17"/>
  <c r="AF2" i="17"/>
  <c r="A4" i="17"/>
  <c r="E3" i="17"/>
  <c r="D3" i="17"/>
  <c r="C3" i="17"/>
  <c r="B3" i="17"/>
  <c r="AC3" i="17" l="1"/>
  <c r="AD3" i="17"/>
  <c r="AR3" i="17"/>
  <c r="AQ3" i="17"/>
  <c r="AP3" i="17"/>
  <c r="AH3" i="17"/>
  <c r="AG3" i="17"/>
  <c r="AF3" i="17"/>
  <c r="E4" i="17"/>
  <c r="D4" i="17"/>
  <c r="A5" i="17"/>
  <c r="B4" i="17"/>
  <c r="C4" i="17"/>
  <c r="AC4" i="17" l="1"/>
  <c r="AD4" i="17"/>
  <c r="AR4" i="17"/>
  <c r="AQ4" i="17"/>
  <c r="AP4" i="17"/>
  <c r="AH4" i="17"/>
  <c r="AG4" i="17"/>
  <c r="AF4" i="17"/>
  <c r="E5" i="17"/>
  <c r="D5" i="17"/>
  <c r="C5" i="17"/>
  <c r="B5" i="17"/>
  <c r="A6" i="17"/>
  <c r="AC5" i="17" l="1"/>
  <c r="AD5" i="17"/>
  <c r="AR5" i="17"/>
  <c r="AQ5" i="17"/>
  <c r="AP5" i="17"/>
  <c r="AH5" i="17"/>
  <c r="AG5" i="17"/>
  <c r="AF5" i="17"/>
  <c r="A7" i="17"/>
  <c r="D6" i="17"/>
  <c r="C6" i="17"/>
  <c r="B6" i="17"/>
  <c r="E6" i="17"/>
  <c r="AC6" i="17" l="1"/>
  <c r="AD6" i="17"/>
  <c r="AR6" i="17"/>
  <c r="AQ6" i="17"/>
  <c r="AP6" i="17"/>
  <c r="AG6" i="17"/>
  <c r="AH6" i="17"/>
  <c r="AF6" i="17"/>
  <c r="E7" i="17"/>
  <c r="B7" i="17"/>
  <c r="A8" i="17"/>
  <c r="C7" i="17"/>
  <c r="D7" i="17"/>
  <c r="AC7" i="17" l="1"/>
  <c r="AD7" i="17"/>
  <c r="AR7" i="17"/>
  <c r="AQ7" i="17"/>
  <c r="AP7" i="17"/>
  <c r="AH7" i="17"/>
  <c r="AG7" i="17"/>
  <c r="AF7" i="17"/>
  <c r="D8" i="17"/>
  <c r="A9" i="17"/>
  <c r="E8" i="17"/>
  <c r="C8" i="17"/>
  <c r="B8" i="17"/>
  <c r="AC8" i="17" l="1"/>
  <c r="AD8" i="17"/>
  <c r="AR8" i="17"/>
  <c r="AQ8" i="17"/>
  <c r="AH8" i="17"/>
  <c r="AP8" i="17"/>
  <c r="AG8" i="17"/>
  <c r="AF8" i="17"/>
  <c r="E9" i="17"/>
  <c r="C9" i="17"/>
  <c r="B9" i="17"/>
  <c r="A10" i="17"/>
  <c r="D9" i="17"/>
  <c r="AC9" i="17" l="1"/>
  <c r="AD9" i="17"/>
  <c r="AR9" i="17"/>
  <c r="AQ9" i="17"/>
  <c r="AP9" i="17"/>
  <c r="AG9" i="17"/>
  <c r="AF9" i="17"/>
  <c r="AH9" i="17"/>
  <c r="A11" i="17"/>
  <c r="D10" i="17"/>
  <c r="C10" i="17"/>
  <c r="B10" i="17"/>
  <c r="E10" i="17"/>
  <c r="AC10" i="17" l="1"/>
  <c r="AD10" i="17"/>
  <c r="AR10" i="17"/>
  <c r="AQ10" i="17"/>
  <c r="AP10" i="17"/>
  <c r="AH10" i="17"/>
  <c r="AG10" i="17"/>
  <c r="AF10" i="17"/>
  <c r="D11" i="17"/>
  <c r="A12" i="17"/>
  <c r="E11" i="17"/>
  <c r="C11" i="17"/>
  <c r="B11" i="17"/>
  <c r="AC11" i="17" l="1"/>
  <c r="AD11" i="17"/>
  <c r="AR11" i="17"/>
  <c r="AP11" i="17"/>
  <c r="AQ11" i="17"/>
  <c r="AH11" i="17"/>
  <c r="AG11" i="17"/>
  <c r="AF11" i="17"/>
  <c r="E12" i="17"/>
  <c r="D12" i="17"/>
  <c r="C12" i="17"/>
  <c r="B12" i="17"/>
  <c r="A13" i="17"/>
  <c r="AC12" i="17" l="1"/>
  <c r="AD12" i="17"/>
  <c r="AR12" i="17"/>
  <c r="AP12" i="17"/>
  <c r="AQ12" i="17"/>
  <c r="AH12" i="17"/>
  <c r="AF12" i="17"/>
  <c r="AG12" i="17"/>
  <c r="E13" i="17"/>
  <c r="B13" i="17"/>
  <c r="A14" i="17"/>
  <c r="D13" i="17"/>
  <c r="C13" i="17"/>
  <c r="AC13" i="17" l="1"/>
  <c r="AD13" i="17"/>
  <c r="AR13" i="17"/>
  <c r="AQ13" i="17"/>
  <c r="AP13" i="17"/>
  <c r="AF13" i="17"/>
  <c r="AH13" i="17"/>
  <c r="AG13" i="17"/>
  <c r="E14" i="17"/>
  <c r="D14" i="17"/>
  <c r="C14" i="17"/>
  <c r="B14" i="17"/>
  <c r="A15" i="17"/>
  <c r="AC14" i="17" l="1"/>
  <c r="AD14" i="17"/>
  <c r="AR14" i="17"/>
  <c r="AQ14" i="17"/>
  <c r="AP14" i="17"/>
  <c r="AH14" i="17"/>
  <c r="AG14" i="17"/>
  <c r="AF14" i="17"/>
  <c r="D15" i="17"/>
  <c r="C15" i="17"/>
  <c r="A16" i="17"/>
  <c r="B15" i="17"/>
  <c r="E15" i="17"/>
  <c r="AC15" i="17" l="1"/>
  <c r="AD15" i="17"/>
  <c r="AR15" i="17"/>
  <c r="AQ15" i="17"/>
  <c r="AH15" i="17"/>
  <c r="AP15" i="17"/>
  <c r="AF15" i="17"/>
  <c r="AG15" i="17"/>
  <c r="A17" i="17"/>
  <c r="D16" i="17"/>
  <c r="C16" i="17"/>
  <c r="B16" i="17"/>
  <c r="E16" i="17"/>
  <c r="AC16" i="17" l="1"/>
  <c r="AD16" i="17"/>
  <c r="AR16" i="17"/>
  <c r="AQ16" i="17"/>
  <c r="AP16" i="17"/>
  <c r="AH16" i="17"/>
  <c r="AG16" i="17"/>
  <c r="AF16" i="17"/>
  <c r="C17" i="17"/>
  <c r="A18" i="17"/>
  <c r="B17" i="17"/>
  <c r="E17" i="17"/>
  <c r="D17" i="17"/>
  <c r="AC17" i="17" l="1"/>
  <c r="AD17" i="17"/>
  <c r="AR17" i="17"/>
  <c r="AP17" i="17"/>
  <c r="AQ17" i="17"/>
  <c r="AH17" i="17"/>
  <c r="AG17" i="17"/>
  <c r="AF17" i="17"/>
  <c r="A19" i="17"/>
  <c r="B18" i="17"/>
  <c r="C18" i="17"/>
  <c r="D18" i="17"/>
  <c r="E18" i="17"/>
  <c r="AC18" i="17" l="1"/>
  <c r="AD18" i="17"/>
  <c r="AR18" i="17"/>
  <c r="AQ18" i="17"/>
  <c r="AH18" i="17"/>
  <c r="AP18" i="17"/>
  <c r="AG18" i="17"/>
  <c r="AF18" i="17"/>
  <c r="D19" i="17"/>
  <c r="C19" i="17"/>
  <c r="B19" i="17"/>
  <c r="E19" i="17"/>
  <c r="A20" i="17"/>
  <c r="AC19" i="17" l="1"/>
  <c r="AD19" i="17"/>
  <c r="AR19" i="17"/>
  <c r="AQ19" i="17"/>
  <c r="AP19" i="17"/>
  <c r="AH19" i="17"/>
  <c r="AG19" i="17"/>
  <c r="AF19" i="17"/>
  <c r="A21" i="17"/>
  <c r="D20" i="17"/>
  <c r="E20" i="17"/>
  <c r="C20" i="17"/>
  <c r="B20" i="17"/>
  <c r="AC20" i="17" l="1"/>
  <c r="AD20" i="17"/>
  <c r="AR20" i="17"/>
  <c r="AQ20" i="17"/>
  <c r="AH20" i="17"/>
  <c r="AP20" i="17"/>
  <c r="AG20" i="17"/>
  <c r="AF20" i="17"/>
  <c r="B21" i="17"/>
  <c r="A22" i="17"/>
  <c r="E21" i="17"/>
  <c r="D21" i="17"/>
  <c r="C21" i="17"/>
  <c r="AC21" i="17" l="1"/>
  <c r="AD21" i="17"/>
  <c r="AR21" i="17"/>
  <c r="AQ21" i="17"/>
  <c r="AP21" i="17"/>
  <c r="AH21" i="17"/>
  <c r="AG21" i="17"/>
  <c r="AF21" i="17"/>
  <c r="C22" i="17"/>
  <c r="B22" i="17"/>
  <c r="D22" i="17"/>
  <c r="E22" i="17"/>
  <c r="A23" i="17"/>
  <c r="AC22" i="17" l="1"/>
  <c r="AD22" i="17"/>
  <c r="AR22" i="17"/>
  <c r="AQ22" i="17"/>
  <c r="AP22" i="17"/>
  <c r="AH22" i="17"/>
  <c r="AG22" i="17"/>
  <c r="AF22" i="17"/>
  <c r="D23" i="17"/>
  <c r="C23" i="17"/>
  <c r="B23" i="17"/>
  <c r="A24" i="17"/>
  <c r="E23" i="17"/>
  <c r="AC23" i="17" l="1"/>
  <c r="AD23" i="17"/>
  <c r="AR23" i="17"/>
  <c r="AQ23" i="17"/>
  <c r="AP23" i="17"/>
  <c r="AG23" i="17"/>
  <c r="AH23" i="17"/>
  <c r="AF23" i="17"/>
  <c r="A25" i="17"/>
  <c r="D24" i="17"/>
  <c r="C24" i="17"/>
  <c r="E24" i="17"/>
  <c r="B24" i="17"/>
  <c r="AC24" i="17" l="1"/>
  <c r="AD24" i="17"/>
  <c r="AR24" i="17"/>
  <c r="AQ24" i="17"/>
  <c r="AP24" i="17"/>
  <c r="AH24" i="17"/>
  <c r="AF24" i="17"/>
  <c r="AG24" i="17"/>
  <c r="C25" i="17"/>
  <c r="E25" i="17"/>
  <c r="D25" i="17"/>
  <c r="B25" i="17"/>
  <c r="A26" i="17"/>
  <c r="AC25" i="17" l="1"/>
  <c r="AD25" i="17"/>
  <c r="AR25" i="17"/>
  <c r="AP25" i="17"/>
  <c r="AQ25" i="17"/>
  <c r="AF25" i="17"/>
  <c r="AG25" i="17"/>
  <c r="AH25" i="17"/>
  <c r="A27" i="17"/>
  <c r="E26" i="17"/>
  <c r="D26" i="17"/>
  <c r="C26" i="17"/>
  <c r="B26" i="17"/>
  <c r="AC26" i="17" l="1"/>
  <c r="AD26" i="17"/>
  <c r="AR26" i="17"/>
  <c r="AP26" i="17"/>
  <c r="AQ26" i="17"/>
  <c r="AG26" i="17"/>
  <c r="AH26" i="17"/>
  <c r="AF26" i="17"/>
  <c r="E27" i="17"/>
  <c r="D27" i="17"/>
  <c r="A28" i="17"/>
  <c r="C27" i="17"/>
  <c r="B27" i="17"/>
  <c r="AC27" i="17" l="1"/>
  <c r="AD27" i="17"/>
  <c r="AR27" i="17"/>
  <c r="AQ27" i="17"/>
  <c r="AP27" i="17"/>
  <c r="AH27" i="17"/>
  <c r="AG27" i="17"/>
  <c r="AF27" i="17"/>
  <c r="A29" i="17"/>
  <c r="D28" i="17"/>
  <c r="C28" i="17"/>
  <c r="B28" i="17"/>
  <c r="E28" i="17"/>
  <c r="AC28" i="17" l="1"/>
  <c r="AD28" i="17"/>
  <c r="AR28" i="17"/>
  <c r="AQ28" i="17"/>
  <c r="AH28" i="17"/>
  <c r="AP28" i="17"/>
  <c r="AF28" i="17"/>
  <c r="AG28" i="17"/>
  <c r="E29" i="17"/>
  <c r="D29" i="17"/>
  <c r="C29" i="17"/>
  <c r="B29" i="17"/>
  <c r="A30" i="17"/>
  <c r="AC29" i="17" l="1"/>
  <c r="AD29" i="17"/>
  <c r="AR29" i="17"/>
  <c r="AP29" i="17"/>
  <c r="AQ29" i="17"/>
  <c r="AH29" i="17"/>
  <c r="AG29" i="17"/>
  <c r="AF29" i="17"/>
  <c r="B30" i="17"/>
  <c r="E30" i="17"/>
  <c r="D30" i="17"/>
  <c r="A31" i="17"/>
  <c r="C30" i="17"/>
  <c r="AC30" i="17" l="1"/>
  <c r="AD30" i="17"/>
  <c r="AR30" i="17"/>
  <c r="AQ30" i="17"/>
  <c r="AP30" i="17"/>
  <c r="AH30" i="17"/>
  <c r="AG30" i="17"/>
  <c r="AF30" i="17"/>
  <c r="E31" i="17"/>
  <c r="A32" i="17"/>
  <c r="C31" i="17"/>
  <c r="D31" i="17"/>
  <c r="B31" i="17"/>
  <c r="AC31" i="17" l="1"/>
  <c r="AD31" i="17"/>
  <c r="AR31" i="17"/>
  <c r="AQ31" i="17"/>
  <c r="AP31" i="17"/>
  <c r="AH31" i="17"/>
  <c r="AG31" i="17"/>
  <c r="AF31" i="17"/>
  <c r="A33" i="17"/>
  <c r="D32" i="17"/>
  <c r="C32" i="17"/>
  <c r="B32" i="17"/>
  <c r="E32" i="17"/>
  <c r="AC32" i="17" l="1"/>
  <c r="AD32" i="17"/>
  <c r="AR32" i="17"/>
  <c r="AQ32" i="17"/>
  <c r="AH32" i="17"/>
  <c r="AP32" i="17"/>
  <c r="AG32" i="17"/>
  <c r="AF32" i="17"/>
  <c r="E33" i="17"/>
  <c r="D33" i="17"/>
  <c r="C33" i="17"/>
  <c r="A34" i="17"/>
  <c r="B33" i="17"/>
  <c r="AC33" i="17" l="1"/>
  <c r="AD33" i="17"/>
  <c r="AR33" i="17"/>
  <c r="AQ33" i="17"/>
  <c r="AP33" i="17"/>
  <c r="AG33" i="17"/>
  <c r="AH33" i="17"/>
  <c r="AF33" i="17"/>
  <c r="A35" i="17"/>
  <c r="B34" i="17"/>
  <c r="D34" i="17"/>
  <c r="C34" i="17"/>
  <c r="E34" i="17"/>
  <c r="AC34" i="17" l="1"/>
  <c r="AD34" i="17"/>
  <c r="AR34" i="17"/>
  <c r="AQ34" i="17"/>
  <c r="AP34" i="17"/>
  <c r="AH34" i="17"/>
  <c r="AG34" i="17"/>
  <c r="AF34" i="17"/>
  <c r="E35" i="17"/>
  <c r="B35" i="17"/>
  <c r="C35" i="17"/>
  <c r="A36" i="17"/>
  <c r="D35" i="17"/>
  <c r="AC35" i="17" l="1"/>
  <c r="AD35" i="17"/>
  <c r="AR35" i="17"/>
  <c r="AQ35" i="17"/>
  <c r="AP35" i="17"/>
  <c r="AH35" i="17"/>
  <c r="AG35" i="17"/>
  <c r="AF35" i="17"/>
  <c r="C36" i="17"/>
  <c r="E36" i="17"/>
  <c r="D36" i="17"/>
  <c r="A37" i="17"/>
  <c r="B36" i="17"/>
  <c r="AC36" i="17" l="1"/>
  <c r="AD36" i="17"/>
  <c r="AR36" i="17"/>
  <c r="AQ36" i="17"/>
  <c r="AP36" i="17"/>
  <c r="AH36" i="17"/>
  <c r="AF36" i="17"/>
  <c r="AG36" i="17"/>
  <c r="E37" i="17"/>
  <c r="D37" i="17"/>
  <c r="C37" i="17"/>
  <c r="A38" i="17"/>
  <c r="B37" i="17"/>
  <c r="AC37" i="17" l="1"/>
  <c r="AD37" i="17"/>
  <c r="AR37" i="17"/>
  <c r="AP37" i="17"/>
  <c r="AQ37" i="17"/>
  <c r="AF37" i="17"/>
  <c r="AG37" i="17"/>
  <c r="AH37" i="17"/>
  <c r="D38" i="17"/>
  <c r="C38" i="17"/>
  <c r="A39" i="17"/>
  <c r="B38" i="17"/>
  <c r="E38" i="17"/>
  <c r="AC38" i="17" l="1"/>
  <c r="AD38" i="17"/>
  <c r="AR38" i="17"/>
  <c r="AQ38" i="17"/>
  <c r="AP38" i="17"/>
  <c r="AH38" i="17"/>
  <c r="AG38" i="17"/>
  <c r="AF38" i="17"/>
  <c r="C39" i="17"/>
  <c r="A40" i="17"/>
  <c r="B39" i="17"/>
  <c r="D39" i="17"/>
  <c r="E39" i="17"/>
  <c r="AC39" i="17" l="1"/>
  <c r="AD39" i="17"/>
  <c r="AR39" i="17"/>
  <c r="AQ39" i="17"/>
  <c r="AP39" i="17"/>
  <c r="AH39" i="17"/>
  <c r="AF39" i="17"/>
  <c r="AG39" i="17"/>
  <c r="C40" i="17"/>
  <c r="B40" i="17"/>
  <c r="A41" i="17"/>
  <c r="E40" i="17"/>
  <c r="D40" i="17"/>
  <c r="AC40" i="17" l="1"/>
  <c r="AD40" i="17"/>
  <c r="AR40" i="17"/>
  <c r="AP40" i="17"/>
  <c r="AH40" i="17"/>
  <c r="AQ40" i="17"/>
  <c r="AG40" i="17"/>
  <c r="AF40" i="17"/>
  <c r="A42" i="17"/>
  <c r="B41" i="17"/>
  <c r="D41" i="17"/>
  <c r="C41" i="17"/>
  <c r="E41" i="17"/>
  <c r="AC41" i="17" l="1"/>
  <c r="AD41" i="17"/>
  <c r="AR41" i="17"/>
  <c r="AP41" i="17"/>
  <c r="AQ41" i="17"/>
  <c r="AH41" i="17"/>
  <c r="AG41" i="17"/>
  <c r="AF41" i="17"/>
  <c r="E42" i="17"/>
  <c r="D42" i="17"/>
  <c r="C42" i="17"/>
  <c r="B42" i="17"/>
  <c r="A43" i="17"/>
  <c r="AC42" i="17" l="1"/>
  <c r="AD42" i="17"/>
  <c r="AR42" i="17"/>
  <c r="AQ42" i="17"/>
  <c r="AP42" i="17"/>
  <c r="AG42" i="17"/>
  <c r="AH42" i="17"/>
  <c r="AF42" i="17"/>
  <c r="A44" i="17"/>
  <c r="D43" i="17"/>
  <c r="C43" i="17"/>
  <c r="B43" i="17"/>
  <c r="E43" i="17"/>
  <c r="AC43" i="17" l="1"/>
  <c r="AD43" i="17"/>
  <c r="AR43" i="17"/>
  <c r="AQ43" i="17"/>
  <c r="AP43" i="17"/>
  <c r="AH43" i="17"/>
  <c r="AF43" i="17"/>
  <c r="AG43" i="17"/>
  <c r="C44" i="17"/>
  <c r="D44" i="17"/>
  <c r="B44" i="17"/>
  <c r="E44" i="17"/>
  <c r="A45" i="17"/>
  <c r="AC44" i="17" l="1"/>
  <c r="AD44" i="17"/>
  <c r="AR44" i="17"/>
  <c r="AQ44" i="17"/>
  <c r="AH44" i="17"/>
  <c r="AP44" i="17"/>
  <c r="AG44" i="17"/>
  <c r="AF44" i="17"/>
  <c r="A46" i="17"/>
  <c r="C45" i="17"/>
  <c r="E45" i="17"/>
  <c r="D45" i="17"/>
  <c r="B45" i="17"/>
  <c r="AC45" i="17" l="1"/>
  <c r="AD45" i="17"/>
  <c r="AR45" i="17"/>
  <c r="AQ45" i="17"/>
  <c r="AP45" i="17"/>
  <c r="AG45" i="17"/>
  <c r="AH45" i="17"/>
  <c r="AF45" i="17"/>
  <c r="B46" i="17"/>
  <c r="E46" i="17"/>
  <c r="D46" i="17"/>
  <c r="C46" i="17"/>
  <c r="A47" i="17"/>
  <c r="AC46" i="17" l="1"/>
  <c r="AD46" i="17"/>
  <c r="AR46" i="17"/>
  <c r="AQ46" i="17"/>
  <c r="AP46" i="17"/>
  <c r="AH46" i="17"/>
  <c r="AG46" i="17"/>
  <c r="AF46" i="17"/>
  <c r="D47" i="17"/>
  <c r="A48" i="17"/>
  <c r="C47" i="17"/>
  <c r="B47" i="17"/>
  <c r="E47" i="17"/>
  <c r="AC47" i="17" l="1"/>
  <c r="AD47" i="17"/>
  <c r="AR47" i="17"/>
  <c r="AQ47" i="17"/>
  <c r="AP47" i="17"/>
  <c r="AH47" i="17"/>
  <c r="AG47" i="17"/>
  <c r="AF47" i="17"/>
  <c r="C48" i="17"/>
  <c r="E48" i="17"/>
  <c r="D48" i="17"/>
  <c r="B48" i="17"/>
  <c r="A49" i="17"/>
  <c r="AC48" i="17" l="1"/>
  <c r="AD48" i="17"/>
  <c r="AR48" i="17"/>
  <c r="AQ48" i="17"/>
  <c r="AP48" i="17"/>
  <c r="AH48" i="17"/>
  <c r="AG48" i="17"/>
  <c r="AF48" i="17"/>
  <c r="E49" i="17"/>
  <c r="D49" i="17"/>
  <c r="A50" i="17"/>
  <c r="C49" i="17"/>
  <c r="B49" i="17"/>
  <c r="AC49" i="17" l="1"/>
  <c r="AD49" i="17"/>
  <c r="AR49" i="17"/>
  <c r="AQ49" i="17"/>
  <c r="AP49" i="17"/>
  <c r="AF49" i="17"/>
  <c r="AG49" i="17"/>
  <c r="AH49" i="17"/>
  <c r="E50" i="17"/>
  <c r="D50" i="17"/>
  <c r="A51" i="17"/>
  <c r="B50" i="17"/>
  <c r="C50" i="17"/>
  <c r="AC50" i="17" l="1"/>
  <c r="AD50" i="17"/>
  <c r="AR50" i="17"/>
  <c r="AP50" i="17"/>
  <c r="AQ50" i="17"/>
  <c r="AH50" i="17"/>
  <c r="AG50" i="17"/>
  <c r="AF50" i="17"/>
  <c r="E51" i="17"/>
  <c r="D51" i="17"/>
  <c r="C51" i="17"/>
  <c r="B51" i="17"/>
  <c r="A52" i="17"/>
  <c r="AC51" i="17" l="1"/>
  <c r="AD51" i="17"/>
  <c r="AR51" i="17"/>
  <c r="AQ51" i="17"/>
  <c r="AP51" i="17"/>
  <c r="AH51" i="17"/>
  <c r="AG51" i="17"/>
  <c r="AF51" i="17"/>
  <c r="C52" i="17"/>
  <c r="E52" i="17"/>
  <c r="D52" i="17"/>
  <c r="B52" i="17"/>
  <c r="A53" i="17"/>
  <c r="AC52" i="17" l="1"/>
  <c r="AD52" i="17"/>
  <c r="AR52" i="17"/>
  <c r="AQ52" i="17"/>
  <c r="AP52" i="17"/>
  <c r="AH52" i="17"/>
  <c r="AG52" i="17"/>
  <c r="AF52" i="17"/>
  <c r="A54" i="17"/>
  <c r="E53" i="17"/>
  <c r="D53" i="17"/>
  <c r="C53" i="17"/>
  <c r="B53" i="17"/>
  <c r="AC53" i="17" l="1"/>
  <c r="AD53" i="17"/>
  <c r="AR53" i="17"/>
  <c r="AP53" i="17"/>
  <c r="AQ53" i="17"/>
  <c r="AH53" i="17"/>
  <c r="AG53" i="17"/>
  <c r="AF53" i="17"/>
  <c r="E54" i="17"/>
  <c r="D54" i="17"/>
  <c r="C54" i="17"/>
  <c r="B54" i="17"/>
  <c r="A55" i="17"/>
  <c r="AC54" i="17" l="1"/>
  <c r="AD54" i="17"/>
  <c r="AR54" i="17"/>
  <c r="AQ54" i="17"/>
  <c r="AH54" i="17"/>
  <c r="AP54" i="17"/>
  <c r="AG54" i="17"/>
  <c r="AF54" i="17"/>
  <c r="E55" i="17"/>
  <c r="B55" i="17"/>
  <c r="D55" i="17"/>
  <c r="C55" i="17"/>
  <c r="A56" i="17"/>
  <c r="AC55" i="17" l="1"/>
  <c r="AD55" i="17"/>
  <c r="AR55" i="17"/>
  <c r="AQ55" i="17"/>
  <c r="AP55" i="17"/>
  <c r="AH55" i="17"/>
  <c r="AG55" i="17"/>
  <c r="AF55" i="17"/>
  <c r="C56" i="17"/>
  <c r="B56" i="17"/>
  <c r="E56" i="17"/>
  <c r="D56" i="17"/>
  <c r="A57" i="17"/>
  <c r="AC56" i="17" l="1"/>
  <c r="AD56" i="17"/>
  <c r="AR56" i="17"/>
  <c r="AQ56" i="17"/>
  <c r="AH56" i="17"/>
  <c r="AP56" i="17"/>
  <c r="AG56" i="17"/>
  <c r="AF56" i="17"/>
  <c r="E57" i="17"/>
  <c r="D57" i="17"/>
  <c r="C57" i="17"/>
  <c r="A58" i="17"/>
  <c r="B57" i="17"/>
  <c r="AC57" i="17" l="1"/>
  <c r="AD57" i="17"/>
  <c r="AR57" i="17"/>
  <c r="AQ57" i="17"/>
  <c r="AP57" i="17"/>
  <c r="AG57" i="17"/>
  <c r="AH57" i="17"/>
  <c r="AF57" i="17"/>
  <c r="A59" i="17"/>
  <c r="D58" i="17"/>
  <c r="C58" i="17"/>
  <c r="B58" i="17"/>
  <c r="E58" i="17"/>
  <c r="AC58" i="17" l="1"/>
  <c r="AD58" i="17"/>
  <c r="AR58" i="17"/>
  <c r="AQ58" i="17"/>
  <c r="AP58" i="17"/>
  <c r="AH58" i="17"/>
  <c r="AG58" i="17"/>
  <c r="AF58" i="17"/>
  <c r="E59" i="17"/>
  <c r="A60" i="17"/>
  <c r="C59" i="17"/>
  <c r="B59" i="17"/>
  <c r="D59" i="17"/>
  <c r="AC59" i="17" l="1"/>
  <c r="AD59" i="17"/>
  <c r="AR59" i="17"/>
  <c r="AP59" i="17"/>
  <c r="AQ59" i="17"/>
  <c r="AG59" i="17"/>
  <c r="AH59" i="17"/>
  <c r="AF59" i="17"/>
  <c r="C60" i="17"/>
  <c r="B60" i="17"/>
  <c r="D60" i="17"/>
  <c r="A61" i="17"/>
  <c r="E60" i="17"/>
  <c r="AC60" i="17" l="1"/>
  <c r="AD60" i="17"/>
  <c r="AR60" i="17"/>
  <c r="AQ60" i="17"/>
  <c r="AP60" i="17"/>
  <c r="AH60" i="17"/>
  <c r="AF60" i="17"/>
  <c r="AG60" i="17"/>
  <c r="A62" i="17"/>
  <c r="E61" i="17"/>
  <c r="D61" i="17"/>
  <c r="C61" i="17"/>
  <c r="B61" i="17"/>
  <c r="AC61" i="17" l="1"/>
  <c r="AD61" i="17"/>
  <c r="AR61" i="17"/>
  <c r="AP61" i="17"/>
  <c r="AQ61" i="17"/>
  <c r="AH61" i="17"/>
  <c r="AF61" i="17"/>
  <c r="AG61" i="17"/>
  <c r="E62" i="17"/>
  <c r="D62" i="17"/>
  <c r="C62" i="17"/>
  <c r="B62" i="17"/>
  <c r="A63" i="17"/>
  <c r="AC62" i="17" l="1"/>
  <c r="AD62" i="17"/>
  <c r="AR62" i="17"/>
  <c r="AQ62" i="17"/>
  <c r="AP62" i="17"/>
  <c r="AH62" i="17"/>
  <c r="AG62" i="17"/>
  <c r="AF62" i="17"/>
  <c r="E63" i="17"/>
  <c r="B63" i="17"/>
  <c r="D63" i="17"/>
  <c r="A64" i="17"/>
  <c r="C63" i="17"/>
  <c r="AC63" i="17" l="1"/>
  <c r="AD63" i="17"/>
  <c r="AR63" i="17"/>
  <c r="AQ63" i="17"/>
  <c r="AP63" i="17"/>
  <c r="AH63" i="17"/>
  <c r="AF63" i="17"/>
  <c r="AG63" i="17"/>
  <c r="C64" i="17"/>
  <c r="B64" i="17"/>
  <c r="E64" i="17"/>
  <c r="D64" i="17"/>
  <c r="A65" i="17"/>
  <c r="AC64" i="17" l="1"/>
  <c r="AD64" i="17"/>
  <c r="AR64" i="17"/>
  <c r="AP64" i="17"/>
  <c r="AH64" i="17"/>
  <c r="AQ64" i="17"/>
  <c r="AG64" i="17"/>
  <c r="AF64" i="17"/>
  <c r="B65" i="17"/>
  <c r="A66" i="17"/>
  <c r="C65" i="17"/>
  <c r="D65" i="17"/>
  <c r="E65" i="17"/>
  <c r="AC65" i="17" l="1"/>
  <c r="AD65" i="17"/>
  <c r="AR65" i="17"/>
  <c r="AP65" i="17"/>
  <c r="AQ65" i="17"/>
  <c r="AH65" i="17"/>
  <c r="AG65" i="17"/>
  <c r="AF65" i="17"/>
  <c r="C66" i="17"/>
  <c r="B66" i="17"/>
  <c r="A67" i="17"/>
  <c r="D66" i="17"/>
  <c r="E66" i="17"/>
  <c r="AC66" i="17" l="1"/>
  <c r="AD66" i="17"/>
  <c r="AR66" i="17"/>
  <c r="AQ66" i="17"/>
  <c r="AP66" i="17"/>
  <c r="AH66" i="17"/>
  <c r="AF66" i="17"/>
  <c r="AG66" i="17"/>
  <c r="E67" i="17"/>
  <c r="A68" i="17"/>
  <c r="D67" i="17"/>
  <c r="B67" i="17"/>
  <c r="C67" i="17"/>
  <c r="AC67" i="17" l="1"/>
  <c r="AD67" i="17"/>
  <c r="AR67" i="17"/>
  <c r="AQ67" i="17"/>
  <c r="AP67" i="17"/>
  <c r="AH67" i="17"/>
  <c r="AG67" i="17"/>
  <c r="AF67" i="17"/>
  <c r="C68" i="17"/>
  <c r="B68" i="17"/>
  <c r="E68" i="17"/>
  <c r="A69" i="17"/>
  <c r="D68" i="17"/>
  <c r="AC68" i="17" l="1"/>
  <c r="AD68" i="17"/>
  <c r="AR68" i="17"/>
  <c r="AQ68" i="17"/>
  <c r="AH68" i="17"/>
  <c r="AP68" i="17"/>
  <c r="AG68" i="17"/>
  <c r="AF68" i="17"/>
  <c r="C69" i="17"/>
  <c r="B69" i="17"/>
  <c r="E69" i="17"/>
  <c r="D69" i="17"/>
  <c r="A70" i="17"/>
  <c r="AC69" i="17" l="1"/>
  <c r="AD69" i="17"/>
  <c r="AR69" i="17"/>
  <c r="AQ69" i="17"/>
  <c r="AP69" i="17"/>
  <c r="AG69" i="17"/>
  <c r="AH69" i="17"/>
  <c r="AF69" i="17"/>
  <c r="E70" i="17"/>
  <c r="D70" i="17"/>
  <c r="C70" i="17"/>
  <c r="A71" i="17"/>
  <c r="B70" i="17"/>
  <c r="AC70" i="17" l="1"/>
  <c r="AD70" i="17"/>
  <c r="AR70" i="17"/>
  <c r="AQ70" i="17"/>
  <c r="AP70" i="17"/>
  <c r="AG70" i="17"/>
  <c r="AH70" i="17"/>
  <c r="AF70" i="17"/>
  <c r="E71" i="17"/>
  <c r="C71" i="17"/>
  <c r="A72" i="17"/>
  <c r="D71" i="17"/>
  <c r="B71" i="17"/>
  <c r="AC71" i="17" l="1"/>
  <c r="AD71" i="17"/>
  <c r="AR71" i="17"/>
  <c r="AQ71" i="17"/>
  <c r="AP71" i="17"/>
  <c r="AH71" i="17"/>
  <c r="AG71" i="17"/>
  <c r="AF71" i="17"/>
  <c r="A73" i="17"/>
  <c r="D72" i="17"/>
  <c r="B72" i="17"/>
  <c r="E72" i="17"/>
  <c r="C72" i="17"/>
  <c r="AC72" i="17" l="1"/>
  <c r="AD72" i="17"/>
  <c r="AR72" i="17"/>
  <c r="AQ72" i="17"/>
  <c r="AH72" i="17"/>
  <c r="AP72" i="17"/>
  <c r="AG72" i="17"/>
  <c r="AF72" i="17"/>
  <c r="A74" i="17"/>
  <c r="E73" i="17"/>
  <c r="D73" i="17"/>
  <c r="B73" i="17"/>
  <c r="C73" i="17"/>
  <c r="AC73" i="17" l="1"/>
  <c r="AD73" i="17"/>
  <c r="AR73" i="17"/>
  <c r="AQ73" i="17"/>
  <c r="AP73" i="17"/>
  <c r="AF73" i="17"/>
  <c r="AH73" i="17"/>
  <c r="AG73" i="17"/>
  <c r="B74" i="17"/>
  <c r="A75" i="17"/>
  <c r="E74" i="17"/>
  <c r="D74" i="17"/>
  <c r="C74" i="17"/>
  <c r="AC74" i="17" l="1"/>
  <c r="AD74" i="17"/>
  <c r="AR74" i="17"/>
  <c r="AQ74" i="17"/>
  <c r="AP74" i="17"/>
  <c r="AH74" i="17"/>
  <c r="AG74" i="17"/>
  <c r="AF74" i="17"/>
  <c r="E75" i="17"/>
  <c r="C75" i="17"/>
  <c r="B75" i="17"/>
  <c r="A76" i="17"/>
  <c r="D75" i="17"/>
  <c r="AC75" i="17" l="1"/>
  <c r="AD75" i="17"/>
  <c r="AR75" i="17"/>
  <c r="AQ75" i="17"/>
  <c r="AP75" i="17"/>
  <c r="AH75" i="17"/>
  <c r="AG75" i="17"/>
  <c r="AF75" i="17"/>
  <c r="A77" i="17"/>
  <c r="D76" i="17"/>
  <c r="B76" i="17"/>
  <c r="E76" i="17"/>
  <c r="C76" i="17"/>
  <c r="AC76" i="17" l="1"/>
  <c r="AD76" i="17"/>
  <c r="AR76" i="17"/>
  <c r="AQ76" i="17"/>
  <c r="AP76" i="17"/>
  <c r="AH76" i="17"/>
  <c r="AG76" i="17"/>
  <c r="AF76" i="17"/>
  <c r="C77" i="17"/>
  <c r="E77" i="17"/>
  <c r="B77" i="17"/>
  <c r="D77" i="17"/>
  <c r="A78" i="17"/>
  <c r="AC77" i="17" l="1"/>
  <c r="AD77" i="17"/>
  <c r="AR77" i="17"/>
  <c r="AQ77" i="17"/>
  <c r="AP77" i="17"/>
  <c r="AH77" i="17"/>
  <c r="AG77" i="17"/>
  <c r="AF77" i="17"/>
  <c r="D78" i="17"/>
  <c r="A79" i="17"/>
  <c r="C78" i="17"/>
  <c r="B78" i="17"/>
  <c r="E78" i="17"/>
  <c r="AC78" i="17" l="1"/>
  <c r="AD78" i="17"/>
  <c r="AR78" i="17"/>
  <c r="AQ78" i="17"/>
  <c r="AP78" i="17"/>
  <c r="AH78" i="17"/>
  <c r="AF78" i="17"/>
  <c r="AG78" i="17"/>
  <c r="E79" i="17"/>
  <c r="C79" i="17"/>
  <c r="D79" i="17"/>
  <c r="A80" i="17"/>
  <c r="B79" i="17"/>
  <c r="AC79" i="17" l="1"/>
  <c r="AD79" i="17"/>
  <c r="AR79" i="17"/>
  <c r="AQ79" i="17"/>
  <c r="AP79" i="17"/>
  <c r="AH79" i="17"/>
  <c r="AG79" i="17"/>
  <c r="AF79" i="17"/>
  <c r="A81" i="17"/>
  <c r="D80" i="17"/>
  <c r="B80" i="17"/>
  <c r="C80" i="17"/>
  <c r="E80" i="17"/>
  <c r="AC80" i="17" l="1"/>
  <c r="AD80" i="17"/>
  <c r="AR80" i="17"/>
  <c r="AQ80" i="17"/>
  <c r="AH80" i="17"/>
  <c r="AP80" i="17"/>
  <c r="AG80" i="17"/>
  <c r="AF80" i="17"/>
  <c r="A82" i="17"/>
  <c r="B81" i="17"/>
  <c r="C81" i="17"/>
  <c r="E81" i="17"/>
  <c r="D81" i="17"/>
  <c r="AC81" i="17" l="1"/>
  <c r="AD81" i="17"/>
  <c r="AR81" i="17"/>
  <c r="AQ81" i="17"/>
  <c r="AP81" i="17"/>
  <c r="AG81" i="17"/>
  <c r="AH81" i="17"/>
  <c r="AF81" i="17"/>
  <c r="B82" i="17"/>
  <c r="A83" i="17"/>
  <c r="D82" i="17"/>
  <c r="C82" i="17"/>
  <c r="E82" i="17"/>
  <c r="AC82" i="17" l="1"/>
  <c r="AD82" i="17"/>
  <c r="AR82" i="17"/>
  <c r="AQ82" i="17"/>
  <c r="AP82" i="17"/>
  <c r="AH82" i="17"/>
  <c r="AF82" i="17"/>
  <c r="AG82" i="17"/>
  <c r="E83" i="17"/>
  <c r="C83" i="17"/>
  <c r="B83" i="17"/>
  <c r="A84" i="17"/>
  <c r="D83" i="17"/>
  <c r="AC83" i="17" l="1"/>
  <c r="AD83" i="17"/>
  <c r="AR83" i="17"/>
  <c r="AP83" i="17"/>
  <c r="AQ83" i="17"/>
  <c r="AH83" i="17"/>
  <c r="AF83" i="17"/>
  <c r="AG83" i="17"/>
  <c r="A85" i="17"/>
  <c r="D84" i="17"/>
  <c r="B84" i="17"/>
  <c r="E84" i="17"/>
  <c r="C84" i="17"/>
  <c r="AC84" i="17" l="1"/>
  <c r="AD84" i="17"/>
  <c r="AR84" i="17"/>
  <c r="AQ84" i="17"/>
  <c r="AP84" i="17"/>
  <c r="AH84" i="17"/>
  <c r="AF84" i="17"/>
  <c r="AG84" i="17"/>
  <c r="C85" i="17"/>
  <c r="E85" i="17"/>
  <c r="A86" i="17"/>
  <c r="D85" i="17"/>
  <c r="B85" i="17"/>
  <c r="AC85" i="17" l="1"/>
  <c r="AD85" i="17"/>
  <c r="AR85" i="17"/>
  <c r="AQ85" i="17"/>
  <c r="AP85" i="17"/>
  <c r="AF85" i="17"/>
  <c r="AG85" i="17"/>
  <c r="AH85" i="17"/>
  <c r="D86" i="17"/>
  <c r="A87" i="17"/>
  <c r="C86" i="17"/>
  <c r="E86" i="17"/>
  <c r="B86" i="17"/>
  <c r="AC86" i="17" l="1"/>
  <c r="AD86" i="17"/>
  <c r="AR86" i="17"/>
  <c r="AQ86" i="17"/>
  <c r="AP86" i="17"/>
  <c r="AH86" i="17"/>
  <c r="AG86" i="17"/>
  <c r="AF86" i="17"/>
  <c r="E87" i="17"/>
  <c r="C87" i="17"/>
  <c r="A88" i="17"/>
  <c r="D87" i="17"/>
  <c r="B87" i="17"/>
  <c r="AC87" i="17" l="1"/>
  <c r="AD87" i="17"/>
  <c r="AR87" i="17"/>
  <c r="AP87" i="17"/>
  <c r="AQ87" i="17"/>
  <c r="AH87" i="17"/>
  <c r="AG87" i="17"/>
  <c r="AF87" i="17"/>
  <c r="A89" i="17"/>
  <c r="D88" i="17"/>
  <c r="B88" i="17"/>
  <c r="E88" i="17"/>
  <c r="C88" i="17"/>
  <c r="AC88" i="17" l="1"/>
  <c r="AD88" i="17"/>
  <c r="AR88" i="17"/>
  <c r="AQ88" i="17"/>
  <c r="AP88" i="17"/>
  <c r="AH88" i="17"/>
  <c r="AG88" i="17"/>
  <c r="AF88" i="17"/>
  <c r="A90" i="17"/>
  <c r="D89" i="17"/>
  <c r="C89" i="17"/>
  <c r="B89" i="17"/>
  <c r="E89" i="17"/>
  <c r="AC89" i="17" l="1"/>
  <c r="AD89" i="17"/>
  <c r="AR89" i="17"/>
  <c r="AQ89" i="17"/>
  <c r="AP89" i="17"/>
  <c r="AH89" i="17"/>
  <c r="AG89" i="17"/>
  <c r="AF89" i="17"/>
  <c r="E90" i="17"/>
  <c r="D90" i="17"/>
  <c r="C90" i="17"/>
  <c r="B90" i="17"/>
  <c r="A91" i="17"/>
  <c r="AC90" i="17" l="1"/>
  <c r="AD90" i="17"/>
  <c r="AR90" i="17"/>
  <c r="AQ90" i="17"/>
  <c r="AP90" i="17"/>
  <c r="AH90" i="17"/>
  <c r="AG90" i="17"/>
  <c r="AF90" i="17"/>
  <c r="A92" i="17"/>
  <c r="D91" i="17"/>
  <c r="E91" i="17"/>
  <c r="C91" i="17"/>
  <c r="B91" i="17"/>
  <c r="AC91" i="17" l="1"/>
  <c r="AD91" i="17"/>
  <c r="AR91" i="17"/>
  <c r="AQ91" i="17"/>
  <c r="AP91" i="17"/>
  <c r="AH91" i="17"/>
  <c r="AF91" i="17"/>
  <c r="AG91" i="17"/>
  <c r="C92" i="17"/>
  <c r="B92" i="17"/>
  <c r="A93" i="17"/>
  <c r="E92" i="17"/>
  <c r="D92" i="17"/>
  <c r="AC92" i="17" l="1"/>
  <c r="AD92" i="17"/>
  <c r="AR92" i="17"/>
  <c r="AQ92" i="17"/>
  <c r="AH92" i="17"/>
  <c r="AP92" i="17"/>
  <c r="AG92" i="17"/>
  <c r="AF92" i="17"/>
  <c r="C93" i="17"/>
  <c r="E93" i="17"/>
  <c r="A94" i="17"/>
  <c r="D93" i="17"/>
  <c r="B93" i="17"/>
  <c r="AC93" i="17" l="1"/>
  <c r="AD93" i="17"/>
  <c r="AR93" i="17"/>
  <c r="AQ93" i="17"/>
  <c r="AP93" i="17"/>
  <c r="AG93" i="17"/>
  <c r="AH93" i="17"/>
  <c r="AF93" i="17"/>
  <c r="B94" i="17"/>
  <c r="D94" i="17"/>
  <c r="A95" i="17"/>
  <c r="E94" i="17"/>
  <c r="C94" i="17"/>
  <c r="AC94" i="17" l="1"/>
  <c r="AD94" i="17"/>
  <c r="AR94" i="17"/>
  <c r="AQ94" i="17"/>
  <c r="AP94" i="17"/>
  <c r="AH94" i="17"/>
  <c r="AF94" i="17"/>
  <c r="AG94" i="17"/>
  <c r="E95" i="17"/>
  <c r="C95" i="17"/>
  <c r="A96" i="17"/>
  <c r="D95" i="17"/>
  <c r="B95" i="17"/>
  <c r="AC95" i="17" l="1"/>
  <c r="AD95" i="17"/>
  <c r="AR95" i="17"/>
  <c r="AQ95" i="17"/>
  <c r="AP95" i="17"/>
  <c r="AH95" i="17"/>
  <c r="AF95" i="17"/>
  <c r="AG95" i="17"/>
  <c r="E96" i="17"/>
  <c r="D96" i="17"/>
  <c r="A97" i="17"/>
  <c r="B96" i="17"/>
  <c r="C96" i="17"/>
  <c r="AC96" i="17" l="1"/>
  <c r="AD96" i="17"/>
  <c r="AR96" i="17"/>
  <c r="AQ96" i="17"/>
  <c r="AP96" i="17"/>
  <c r="AH96" i="17"/>
  <c r="AG96" i="17"/>
  <c r="AF96" i="17"/>
  <c r="C97" i="17"/>
  <c r="E97" i="17"/>
  <c r="D97" i="17"/>
  <c r="A98" i="17"/>
  <c r="B97" i="17"/>
  <c r="AC97" i="17" l="1"/>
  <c r="AD97" i="17"/>
  <c r="AR97" i="17"/>
  <c r="AQ97" i="17"/>
  <c r="AP97" i="17"/>
  <c r="AH97" i="17"/>
  <c r="AF97" i="17"/>
  <c r="AG97" i="17"/>
  <c r="E98" i="17"/>
  <c r="D98" i="17"/>
  <c r="C98" i="17"/>
  <c r="A99" i="17"/>
  <c r="B98" i="17"/>
  <c r="AC98" i="17" l="1"/>
  <c r="AD98" i="17"/>
  <c r="AR98" i="17"/>
  <c r="AQ98" i="17"/>
  <c r="AP98" i="17"/>
  <c r="AH98" i="17"/>
  <c r="AG98" i="17"/>
  <c r="AF98" i="17"/>
  <c r="A100" i="17"/>
  <c r="B99" i="17"/>
  <c r="E99" i="17"/>
  <c r="D99" i="17"/>
  <c r="C99" i="17"/>
  <c r="AC99" i="17" l="1"/>
  <c r="AD99" i="17"/>
  <c r="AR99" i="17"/>
  <c r="AQ99" i="17"/>
  <c r="AP99" i="17"/>
  <c r="AH99" i="17"/>
  <c r="AG99" i="17"/>
  <c r="AF99" i="17"/>
  <c r="E100" i="17"/>
  <c r="A101" i="17"/>
  <c r="D100" i="17"/>
  <c r="C100" i="17"/>
  <c r="B100" i="17"/>
  <c r="AC100" i="17" l="1"/>
  <c r="AD100" i="17"/>
  <c r="AR100" i="17"/>
  <c r="AP100" i="17"/>
  <c r="AH100" i="17"/>
  <c r="AQ100" i="17"/>
  <c r="AG100" i="17"/>
  <c r="AF100" i="17"/>
  <c r="C101" i="17"/>
  <c r="B101" i="17"/>
  <c r="E101" i="17"/>
  <c r="A102" i="17"/>
  <c r="D101" i="17"/>
  <c r="AC101" i="17" l="1"/>
  <c r="AD101" i="17"/>
  <c r="AR101" i="17"/>
  <c r="AP101" i="17"/>
  <c r="AQ101" i="17"/>
  <c r="AH101" i="17"/>
  <c r="AG101" i="17"/>
  <c r="AF101" i="17"/>
  <c r="A103" i="17"/>
  <c r="C102" i="17"/>
  <c r="E102" i="17"/>
  <c r="D102" i="17"/>
  <c r="B102" i="17"/>
  <c r="AC102" i="17" l="1"/>
  <c r="AD102" i="17"/>
  <c r="AR102" i="17"/>
  <c r="AQ102" i="17"/>
  <c r="AP102" i="17"/>
  <c r="AH102" i="17"/>
  <c r="AG102" i="17"/>
  <c r="AF102" i="17"/>
  <c r="D103" i="17"/>
  <c r="A104" i="17"/>
  <c r="B103" i="17"/>
  <c r="E103" i="17"/>
  <c r="C103" i="17"/>
  <c r="AC103" i="17" l="1"/>
  <c r="AD103" i="17"/>
  <c r="AR103" i="17"/>
  <c r="AQ103" i="17"/>
  <c r="AP103" i="17"/>
  <c r="AH103" i="17"/>
  <c r="AG103" i="17"/>
  <c r="AF103" i="17"/>
  <c r="E104" i="17"/>
  <c r="A105" i="17"/>
  <c r="D104" i="17"/>
  <c r="C104" i="17"/>
  <c r="B104" i="17"/>
  <c r="AC104" i="17" l="1"/>
  <c r="AD104" i="17"/>
  <c r="AR104" i="17"/>
  <c r="AP104" i="17"/>
  <c r="AQ104" i="17"/>
  <c r="AH104" i="17"/>
  <c r="AG104" i="17"/>
  <c r="AF104" i="17"/>
  <c r="C105" i="17"/>
  <c r="B105" i="17"/>
  <c r="A106" i="17"/>
  <c r="D105" i="17"/>
  <c r="E105" i="17"/>
  <c r="AC105" i="17" l="1"/>
  <c r="AD105" i="17"/>
  <c r="AR105" i="17"/>
  <c r="AQ105" i="17"/>
  <c r="AP105" i="17"/>
  <c r="AH105" i="17"/>
  <c r="AG105" i="17"/>
  <c r="AF105" i="17"/>
  <c r="D106" i="17"/>
  <c r="A107" i="17"/>
  <c r="E106" i="17"/>
  <c r="C106" i="17"/>
  <c r="B106" i="17"/>
  <c r="AC106" i="17" l="1"/>
  <c r="AD106" i="17"/>
  <c r="AR106" i="17"/>
  <c r="AQ106" i="17"/>
  <c r="AP106" i="17"/>
  <c r="AH106" i="17"/>
  <c r="AG106" i="17"/>
  <c r="AF106" i="17"/>
  <c r="D107" i="17"/>
  <c r="C107" i="17"/>
  <c r="B107" i="17"/>
  <c r="A108" i="17"/>
  <c r="E107" i="17"/>
  <c r="AC107" i="17" l="1"/>
  <c r="AD107" i="17"/>
  <c r="AR107" i="17"/>
  <c r="AQ107" i="17"/>
  <c r="AP107" i="17"/>
  <c r="AH107" i="17"/>
  <c r="AG107" i="17"/>
  <c r="AF107" i="17"/>
  <c r="E108" i="17"/>
  <c r="A109" i="17"/>
  <c r="D108" i="17"/>
  <c r="C108" i="17"/>
  <c r="B108" i="17"/>
  <c r="AC108" i="17" l="1"/>
  <c r="AD108" i="17"/>
  <c r="AR108" i="17"/>
  <c r="AQ108" i="17"/>
  <c r="AH108" i="17"/>
  <c r="AP108" i="17"/>
  <c r="AF108" i="17"/>
  <c r="AG108" i="17"/>
  <c r="C109" i="17"/>
  <c r="B109" i="17"/>
  <c r="D109" i="17"/>
  <c r="E109" i="17"/>
  <c r="A110" i="17"/>
  <c r="AC109" i="17" l="1"/>
  <c r="AD109" i="17"/>
  <c r="AR109" i="17"/>
  <c r="AQ109" i="17"/>
  <c r="AP109" i="17"/>
  <c r="AF109" i="17"/>
  <c r="AH109" i="17"/>
  <c r="AG109" i="17"/>
  <c r="D110" i="17"/>
  <c r="C110" i="17"/>
  <c r="B110" i="17"/>
  <c r="E110" i="17"/>
  <c r="A111" i="17"/>
  <c r="AC110" i="17" l="1"/>
  <c r="AD110" i="17"/>
  <c r="AR110" i="17"/>
  <c r="AQ110" i="17"/>
  <c r="AP110" i="17"/>
  <c r="AH110" i="17"/>
  <c r="AF110" i="17"/>
  <c r="AG110" i="17"/>
  <c r="E111" i="17"/>
  <c r="C111" i="17"/>
  <c r="D111" i="17"/>
  <c r="A112" i="17"/>
  <c r="B111" i="17"/>
  <c r="AC111" i="17" l="1"/>
  <c r="AD111" i="17"/>
  <c r="AR111" i="17"/>
  <c r="AP111" i="17"/>
  <c r="AQ111" i="17"/>
  <c r="AH111" i="17"/>
  <c r="AG111" i="17"/>
  <c r="AF111" i="17"/>
  <c r="E112" i="17"/>
  <c r="A113" i="17"/>
  <c r="D112" i="17"/>
  <c r="C112" i="17"/>
  <c r="B112" i="17"/>
  <c r="AC112" i="17" l="1"/>
  <c r="AD112" i="17"/>
  <c r="AR112" i="17"/>
  <c r="AQ112" i="17"/>
  <c r="AH112" i="17"/>
  <c r="AP112" i="17"/>
  <c r="AG112" i="17"/>
  <c r="AF112" i="17"/>
  <c r="C113" i="17"/>
  <c r="B113" i="17"/>
  <c r="D113" i="17"/>
  <c r="A114" i="17"/>
  <c r="E113" i="17"/>
  <c r="AC113" i="17" l="1"/>
  <c r="AD113" i="17"/>
  <c r="AR113" i="17"/>
  <c r="AP113" i="17"/>
  <c r="AQ113" i="17"/>
  <c r="AH113" i="17"/>
  <c r="AG113" i="17"/>
  <c r="AF113" i="17"/>
  <c r="E114" i="17"/>
  <c r="A115" i="17"/>
  <c r="D114" i="17"/>
  <c r="C114" i="17"/>
  <c r="B114" i="17"/>
  <c r="AC114" i="17" l="1"/>
  <c r="AD114" i="17"/>
  <c r="AR114" i="17"/>
  <c r="AQ114" i="17"/>
  <c r="AP114" i="17"/>
  <c r="AH114" i="17"/>
  <c r="AG114" i="17"/>
  <c r="AF114" i="17"/>
  <c r="A116" i="17"/>
  <c r="C115" i="17"/>
  <c r="E115" i="17"/>
  <c r="D115" i="17"/>
  <c r="B115" i="17"/>
  <c r="AC115" i="17" l="1"/>
  <c r="AD115" i="17"/>
  <c r="AR115" i="17"/>
  <c r="AP115" i="17"/>
  <c r="AH115" i="17"/>
  <c r="AQ115" i="17"/>
  <c r="AG115" i="17"/>
  <c r="AF115" i="17"/>
  <c r="E116" i="17"/>
  <c r="A117" i="17"/>
  <c r="D116" i="17"/>
  <c r="C116" i="17"/>
  <c r="B116" i="17"/>
  <c r="AC116" i="17" l="1"/>
  <c r="AD116" i="17"/>
  <c r="AR116" i="17"/>
  <c r="AQ116" i="17"/>
  <c r="AP116" i="17"/>
  <c r="AH116" i="17"/>
  <c r="AG116" i="17"/>
  <c r="AF116" i="17"/>
  <c r="C117" i="17"/>
  <c r="B117" i="17"/>
  <c r="E117" i="17"/>
  <c r="A118" i="17"/>
  <c r="D117" i="17"/>
  <c r="AC117" i="17" l="1"/>
  <c r="AD117" i="17"/>
  <c r="AR117" i="17"/>
  <c r="AQ117" i="17"/>
  <c r="AP117" i="17"/>
  <c r="AG117" i="17"/>
  <c r="AH117" i="17"/>
  <c r="AF117" i="17"/>
  <c r="A119" i="17"/>
  <c r="B118" i="17"/>
  <c r="E118" i="17"/>
  <c r="D118" i="17"/>
  <c r="C118" i="17"/>
  <c r="AC118" i="17" l="1"/>
  <c r="AD118" i="17"/>
  <c r="AR118" i="17"/>
  <c r="AQ118" i="17"/>
  <c r="AP118" i="17"/>
  <c r="AH118" i="17"/>
  <c r="AG118" i="17"/>
  <c r="AF118" i="17"/>
  <c r="C119" i="17"/>
  <c r="A120" i="17"/>
  <c r="E119" i="17"/>
  <c r="D119" i="17"/>
  <c r="B119" i="17"/>
  <c r="AC119" i="17" l="1"/>
  <c r="AD119" i="17"/>
  <c r="AR119" i="17"/>
  <c r="AQ119" i="17"/>
  <c r="AP119" i="17"/>
  <c r="AH119" i="17"/>
  <c r="AG119" i="17"/>
  <c r="AF119" i="17"/>
  <c r="E120" i="17"/>
  <c r="A121" i="17"/>
  <c r="D120" i="17"/>
  <c r="C120" i="17"/>
  <c r="B120" i="17"/>
  <c r="AC120" i="17" l="1"/>
  <c r="AD120" i="17"/>
  <c r="AR120" i="17"/>
  <c r="AQ120" i="17"/>
  <c r="AP120" i="17"/>
  <c r="AH120" i="17"/>
  <c r="AG120" i="17"/>
  <c r="AF120" i="17"/>
  <c r="C121" i="17"/>
  <c r="B121" i="17"/>
  <c r="A122" i="17"/>
  <c r="E121" i="17"/>
  <c r="D121" i="17"/>
  <c r="AC121" i="17" l="1"/>
  <c r="AD121" i="17"/>
  <c r="AR121" i="17"/>
  <c r="AQ121" i="17"/>
  <c r="AP121" i="17"/>
  <c r="AF121" i="17"/>
  <c r="AG121" i="17"/>
  <c r="AH121" i="17"/>
  <c r="D122" i="17"/>
  <c r="A123" i="17"/>
  <c r="B122" i="17"/>
  <c r="E122" i="17"/>
  <c r="C122" i="17"/>
  <c r="AC122" i="17" l="1"/>
  <c r="AD122" i="17"/>
  <c r="AR122" i="17"/>
  <c r="AQ122" i="17"/>
  <c r="AP122" i="17"/>
  <c r="AH122" i="17"/>
  <c r="AG122" i="17"/>
  <c r="AF122" i="17"/>
  <c r="D123" i="17"/>
  <c r="C123" i="17"/>
  <c r="B123" i="17"/>
  <c r="A124" i="17"/>
  <c r="E123" i="17"/>
  <c r="AC123" i="17" l="1"/>
  <c r="AD123" i="17"/>
  <c r="AR123" i="17"/>
  <c r="AQ123" i="17"/>
  <c r="AP123" i="17"/>
  <c r="AH123" i="17"/>
  <c r="AG123" i="17"/>
  <c r="AF123" i="17"/>
  <c r="E124" i="17"/>
  <c r="A125" i="17"/>
  <c r="D124" i="17"/>
  <c r="B124" i="17"/>
  <c r="C124" i="17"/>
  <c r="AC124" i="17" l="1"/>
  <c r="AD124" i="17"/>
  <c r="AR124" i="17"/>
  <c r="AQ124" i="17"/>
  <c r="AH124" i="17"/>
  <c r="AP124" i="17"/>
  <c r="AG124" i="17"/>
  <c r="AF124" i="17"/>
  <c r="C125" i="17"/>
  <c r="B125" i="17"/>
  <c r="E125" i="17"/>
  <c r="D125" i="17"/>
  <c r="A126" i="17"/>
  <c r="AC125" i="17" l="1"/>
  <c r="AD125" i="17"/>
  <c r="AR125" i="17"/>
  <c r="AQ125" i="17"/>
  <c r="AP125" i="17"/>
  <c r="AH125" i="17"/>
  <c r="AG125" i="17"/>
  <c r="AF125" i="17"/>
  <c r="D126" i="17"/>
  <c r="C126" i="17"/>
  <c r="B126" i="17"/>
  <c r="A127" i="17"/>
  <c r="E126" i="17"/>
  <c r="AC126" i="17" l="1"/>
  <c r="AD126" i="17"/>
  <c r="AR126" i="17"/>
  <c r="AQ126" i="17"/>
  <c r="AP126" i="17"/>
  <c r="AH126" i="17"/>
  <c r="AG126" i="17"/>
  <c r="AF126" i="17"/>
  <c r="C127" i="17"/>
  <c r="A128" i="17"/>
  <c r="B127" i="17"/>
  <c r="E127" i="17"/>
  <c r="D127" i="17"/>
  <c r="AC127" i="17" l="1"/>
  <c r="AD127" i="17"/>
  <c r="AR127" i="17"/>
  <c r="AQ127" i="17"/>
  <c r="AH127" i="17"/>
  <c r="AP127" i="17"/>
  <c r="AG127" i="17"/>
  <c r="AF127" i="17"/>
  <c r="C128" i="17"/>
  <c r="B128" i="17"/>
  <c r="A129" i="17"/>
  <c r="E128" i="17"/>
  <c r="D128" i="17"/>
  <c r="AC128" i="17" l="1"/>
  <c r="AD128" i="17"/>
  <c r="AR128" i="17"/>
  <c r="AP128" i="17"/>
  <c r="AH128" i="17"/>
  <c r="AQ128" i="17"/>
  <c r="AG128" i="17"/>
  <c r="AF128" i="17"/>
  <c r="A130" i="17"/>
  <c r="B129" i="17"/>
  <c r="C129" i="17"/>
  <c r="E129" i="17"/>
  <c r="D129" i="17"/>
  <c r="AC129" i="17" l="1"/>
  <c r="AD129" i="17"/>
  <c r="AR129" i="17"/>
  <c r="AQ129" i="17"/>
  <c r="AP129" i="17"/>
  <c r="AH129" i="17"/>
  <c r="AG129" i="17"/>
  <c r="AF129" i="17"/>
  <c r="A131" i="17"/>
  <c r="E130" i="17"/>
  <c r="D130" i="17"/>
  <c r="C130" i="17"/>
  <c r="B130" i="17"/>
  <c r="AC130" i="17" l="1"/>
  <c r="AD130" i="17"/>
  <c r="AR130" i="17"/>
  <c r="AQ130" i="17"/>
  <c r="AP130" i="17"/>
  <c r="AH130" i="17"/>
  <c r="AF130" i="17"/>
  <c r="AG130" i="17"/>
  <c r="C131" i="17"/>
  <c r="E131" i="17"/>
  <c r="A132" i="17"/>
  <c r="D131" i="17"/>
  <c r="B131" i="17"/>
  <c r="AC131" i="17" l="1"/>
  <c r="AD131" i="17"/>
  <c r="AR131" i="17"/>
  <c r="AQ131" i="17"/>
  <c r="AP131" i="17"/>
  <c r="AH131" i="17"/>
  <c r="AF131" i="17"/>
  <c r="AG131" i="17"/>
  <c r="A133" i="17"/>
  <c r="E132" i="17"/>
  <c r="C132" i="17"/>
  <c r="D132" i="17"/>
  <c r="B132" i="17"/>
  <c r="AC132" i="17" l="1"/>
  <c r="AD132" i="17"/>
  <c r="AR132" i="17"/>
  <c r="AP132" i="17"/>
  <c r="AQ132" i="17"/>
  <c r="AH132" i="17"/>
  <c r="AF132" i="17"/>
  <c r="AG132" i="17"/>
  <c r="E133" i="17"/>
  <c r="D133" i="17"/>
  <c r="C133" i="17"/>
  <c r="B133" i="17"/>
  <c r="A134" i="17"/>
  <c r="AC133" i="17" l="1"/>
  <c r="AD133" i="17"/>
  <c r="AR133" i="17"/>
  <c r="AQ133" i="17"/>
  <c r="AP133" i="17"/>
  <c r="AF133" i="17"/>
  <c r="AG133" i="17"/>
  <c r="AH133" i="17"/>
  <c r="E134" i="17"/>
  <c r="D134" i="17"/>
  <c r="A135" i="17"/>
  <c r="C134" i="17"/>
  <c r="B134" i="17"/>
  <c r="AC134" i="17" l="1"/>
  <c r="AD134" i="17"/>
  <c r="AR134" i="17"/>
  <c r="AQ134" i="17"/>
  <c r="AP134" i="17"/>
  <c r="AG134" i="17"/>
  <c r="AH134" i="17"/>
  <c r="AF134" i="17"/>
  <c r="C135" i="17"/>
  <c r="E135" i="17"/>
  <c r="D135" i="17"/>
  <c r="B135" i="17"/>
  <c r="A136" i="17"/>
  <c r="AC135" i="17" l="1"/>
  <c r="AD135" i="17"/>
  <c r="AR135" i="17"/>
  <c r="AQ135" i="17"/>
  <c r="AP135" i="17"/>
  <c r="AH135" i="17"/>
  <c r="AF135" i="17"/>
  <c r="AG135" i="17"/>
  <c r="E136" i="17"/>
  <c r="D136" i="17"/>
  <c r="C136" i="17"/>
  <c r="A137" i="17"/>
  <c r="B136" i="17"/>
  <c r="AC136" i="17" l="1"/>
  <c r="AD136" i="17"/>
  <c r="AR136" i="17"/>
  <c r="AQ136" i="17"/>
  <c r="AP136" i="17"/>
  <c r="AH136" i="17"/>
  <c r="AG136" i="17"/>
  <c r="AF136" i="17"/>
  <c r="D137" i="17"/>
  <c r="C137" i="17"/>
  <c r="A138" i="17"/>
  <c r="B137" i="17"/>
  <c r="E137" i="17"/>
  <c r="AC137" i="17" l="1"/>
  <c r="AD137" i="17"/>
  <c r="AR137" i="17"/>
  <c r="AQ137" i="17"/>
  <c r="AH137" i="17"/>
  <c r="AP137" i="17"/>
  <c r="AG137" i="17"/>
  <c r="AF137" i="17"/>
  <c r="E138" i="17"/>
  <c r="A139" i="17"/>
  <c r="D138" i="17"/>
  <c r="C138" i="17"/>
  <c r="B138" i="17"/>
  <c r="AC138" i="17" l="1"/>
  <c r="AD138" i="17"/>
  <c r="AR138" i="17"/>
  <c r="AQ138" i="17"/>
  <c r="AP138" i="17"/>
  <c r="AH138" i="17"/>
  <c r="AG138" i="17"/>
  <c r="AF138" i="17"/>
  <c r="C139" i="17"/>
  <c r="B139" i="17"/>
  <c r="E139" i="17"/>
  <c r="D139" i="17"/>
  <c r="A140" i="17"/>
  <c r="AC139" i="17" l="1"/>
  <c r="AD139" i="17"/>
  <c r="AR139" i="17"/>
  <c r="AQ139" i="17"/>
  <c r="AP139" i="17"/>
  <c r="AH139" i="17"/>
  <c r="AF139" i="17"/>
  <c r="AG139" i="17"/>
  <c r="A141" i="17"/>
  <c r="D140" i="17"/>
  <c r="C140" i="17"/>
  <c r="B140" i="17"/>
  <c r="E140" i="17"/>
  <c r="AC140" i="17" l="1"/>
  <c r="AD140" i="17"/>
  <c r="AR140" i="17"/>
  <c r="AQ140" i="17"/>
  <c r="AP140" i="17"/>
  <c r="AH140" i="17"/>
  <c r="AG140" i="17"/>
  <c r="AF140" i="17"/>
  <c r="C141" i="17"/>
  <c r="B141" i="17"/>
  <c r="E141" i="17"/>
  <c r="D141" i="17"/>
  <c r="A142" i="17"/>
  <c r="AC141" i="17" l="1"/>
  <c r="AD141" i="17"/>
  <c r="AR141" i="17"/>
  <c r="AQ141" i="17"/>
  <c r="AP141" i="17"/>
  <c r="AG141" i="17"/>
  <c r="AH141" i="17"/>
  <c r="AF141" i="17"/>
  <c r="E142" i="17"/>
  <c r="A143" i="17"/>
  <c r="D142" i="17"/>
  <c r="C142" i="17"/>
  <c r="B142" i="17"/>
  <c r="AC142" i="17" l="1"/>
  <c r="AD142" i="17"/>
  <c r="AR142" i="17"/>
  <c r="AQ142" i="17"/>
  <c r="AP142" i="17"/>
  <c r="AH142" i="17"/>
  <c r="AG142" i="17"/>
  <c r="AF142" i="17"/>
  <c r="C143" i="17"/>
  <c r="B143" i="17"/>
  <c r="A144" i="17"/>
  <c r="E143" i="17"/>
  <c r="D143" i="17"/>
  <c r="AC143" i="17" l="1"/>
  <c r="AD143" i="17"/>
  <c r="AR143" i="17"/>
  <c r="AQ143" i="17"/>
  <c r="AP143" i="17"/>
  <c r="AH143" i="17"/>
  <c r="AF143" i="17"/>
  <c r="AG143" i="17"/>
  <c r="C144" i="17"/>
  <c r="B144" i="17"/>
  <c r="D144" i="17"/>
  <c r="A145" i="17"/>
  <c r="E144" i="17"/>
  <c r="AC144" i="17" l="1"/>
  <c r="AD144" i="17"/>
  <c r="AR144" i="17"/>
  <c r="AQ144" i="17"/>
  <c r="AP144" i="17"/>
  <c r="AH144" i="17"/>
  <c r="AG144" i="17"/>
  <c r="AF144" i="17"/>
  <c r="E145" i="17"/>
  <c r="D145" i="17"/>
  <c r="A146" i="17"/>
  <c r="C145" i="17"/>
  <c r="B145" i="17"/>
  <c r="AC145" i="17" l="1"/>
  <c r="AD145" i="17"/>
  <c r="AR145" i="17"/>
  <c r="AQ145" i="17"/>
  <c r="AP145" i="17"/>
  <c r="AF145" i="17"/>
  <c r="AH145" i="17"/>
  <c r="AG145" i="17"/>
  <c r="E146" i="17"/>
  <c r="A147" i="17"/>
  <c r="D146" i="17"/>
  <c r="C146" i="17"/>
  <c r="B146" i="17"/>
  <c r="AC146" i="17" l="1"/>
  <c r="AD146" i="17"/>
  <c r="AR146" i="17"/>
  <c r="AQ146" i="17"/>
  <c r="AP146" i="17"/>
  <c r="AH146" i="17"/>
  <c r="AG146" i="17"/>
  <c r="AF146" i="17"/>
  <c r="C147" i="17"/>
  <c r="B147" i="17"/>
  <c r="A148" i="17"/>
  <c r="E147" i="17"/>
  <c r="D147" i="17"/>
  <c r="AC147" i="17" l="1"/>
  <c r="AD147" i="17"/>
  <c r="AR147" i="17"/>
  <c r="AQ147" i="17"/>
  <c r="AP147" i="17"/>
  <c r="AH147" i="17"/>
  <c r="AG147" i="17"/>
  <c r="AF147" i="17"/>
  <c r="E148" i="17"/>
  <c r="D148" i="17"/>
  <c r="C148" i="17"/>
  <c r="B148" i="17"/>
  <c r="A149" i="17"/>
  <c r="AC148" i="17" l="1"/>
  <c r="AD148" i="17"/>
  <c r="AR148" i="17"/>
  <c r="AQ148" i="17"/>
  <c r="AH148" i="17"/>
  <c r="AP148" i="17"/>
  <c r="AG148" i="17"/>
  <c r="AF148" i="17"/>
  <c r="D149" i="17"/>
  <c r="C149" i="17"/>
  <c r="B149" i="17"/>
  <c r="E149" i="17"/>
  <c r="A150" i="17"/>
  <c r="AC149" i="17" l="1"/>
  <c r="AD149" i="17"/>
  <c r="AR149" i="17"/>
  <c r="AP149" i="17"/>
  <c r="AQ149" i="17"/>
  <c r="AH149" i="17"/>
  <c r="AG149" i="17"/>
  <c r="AF149" i="17"/>
  <c r="E150" i="17"/>
  <c r="A151" i="17"/>
  <c r="D150" i="17"/>
  <c r="C150" i="17"/>
  <c r="B150" i="17"/>
  <c r="AC150" i="17" l="1"/>
  <c r="AD150" i="17"/>
  <c r="AR150" i="17"/>
  <c r="AQ150" i="17"/>
  <c r="AP150" i="17"/>
  <c r="AH150" i="17"/>
  <c r="AG150" i="17"/>
  <c r="AF150" i="17"/>
  <c r="C151" i="17"/>
  <c r="B151" i="17"/>
  <c r="E151" i="17"/>
  <c r="D151" i="17"/>
  <c r="A152" i="17"/>
  <c r="AC151" i="17" l="1"/>
  <c r="AD151" i="17"/>
  <c r="AR151" i="17"/>
  <c r="AQ151" i="17"/>
  <c r="AH151" i="17"/>
  <c r="AP151" i="17"/>
  <c r="AG151" i="17"/>
  <c r="AF151" i="17"/>
  <c r="C152" i="17"/>
  <c r="E152" i="17"/>
  <c r="A153" i="17"/>
  <c r="D152" i="17"/>
  <c r="B152" i="17"/>
  <c r="AC152" i="17" l="1"/>
  <c r="AD152" i="17"/>
  <c r="AR152" i="17"/>
  <c r="AQ152" i="17"/>
  <c r="AP152" i="17"/>
  <c r="AH152" i="17"/>
  <c r="AG152" i="17"/>
  <c r="AF152" i="17"/>
  <c r="C153" i="17"/>
  <c r="E153" i="17"/>
  <c r="D153" i="17"/>
  <c r="A154" i="17"/>
  <c r="B153" i="17"/>
  <c r="AC153" i="17" l="1"/>
  <c r="AD153" i="17"/>
  <c r="AR153" i="17"/>
  <c r="AQ153" i="17"/>
  <c r="AP153" i="17"/>
  <c r="AG153" i="17"/>
  <c r="AH153" i="17"/>
  <c r="AF153" i="17"/>
  <c r="C154" i="17"/>
  <c r="A155" i="17"/>
  <c r="E154" i="17"/>
  <c r="D154" i="17"/>
  <c r="B154" i="17"/>
  <c r="AC154" i="17" l="1"/>
  <c r="AD154" i="17"/>
  <c r="AR154" i="17"/>
  <c r="AQ154" i="17"/>
  <c r="AP154" i="17"/>
  <c r="AH154" i="17"/>
  <c r="AG154" i="17"/>
  <c r="AF154" i="17"/>
  <c r="A156" i="17"/>
  <c r="D155" i="17"/>
  <c r="C155" i="17"/>
  <c r="B155" i="17"/>
  <c r="E155" i="17"/>
  <c r="AC155" i="17" l="1"/>
  <c r="AD155" i="17"/>
  <c r="AR155" i="17"/>
  <c r="AQ155" i="17"/>
  <c r="AP155" i="17"/>
  <c r="AG155" i="17"/>
  <c r="AH155" i="17"/>
  <c r="AF155" i="17"/>
  <c r="D156" i="17"/>
  <c r="C156" i="17"/>
  <c r="B156" i="17"/>
  <c r="A157" i="17"/>
  <c r="E156" i="17"/>
  <c r="AC156" i="17" l="1"/>
  <c r="AD156" i="17"/>
  <c r="AR156" i="17"/>
  <c r="AQ156" i="17"/>
  <c r="AP156" i="17"/>
  <c r="AF156" i="17"/>
  <c r="AH156" i="17"/>
  <c r="AG156" i="17"/>
  <c r="E157" i="17"/>
  <c r="D157" i="17"/>
  <c r="C157" i="17"/>
  <c r="A158" i="17"/>
  <c r="B157" i="17"/>
  <c r="AC157" i="17" l="1"/>
  <c r="AD157" i="17"/>
  <c r="AR157" i="17"/>
  <c r="AQ157" i="17"/>
  <c r="AP157" i="17"/>
  <c r="AF157" i="17"/>
  <c r="AH157" i="17"/>
  <c r="AG157" i="17"/>
  <c r="C158" i="17"/>
  <c r="A159" i="17"/>
  <c r="E158" i="17"/>
  <c r="D158" i="17"/>
  <c r="B158" i="17"/>
  <c r="AC158" i="17" l="1"/>
  <c r="AD158" i="17"/>
  <c r="AR158" i="17"/>
  <c r="AP158" i="17"/>
  <c r="AQ158" i="17"/>
  <c r="AH158" i="17"/>
  <c r="AF158" i="17"/>
  <c r="AG158" i="17"/>
  <c r="A160" i="17"/>
  <c r="D159" i="17"/>
  <c r="C159" i="17"/>
  <c r="B159" i="17"/>
  <c r="E159" i="17"/>
  <c r="AC159" i="17" l="1"/>
  <c r="AD159" i="17"/>
  <c r="AR159" i="17"/>
  <c r="AQ159" i="17"/>
  <c r="AH159" i="17"/>
  <c r="AP159" i="17"/>
  <c r="AF159" i="17"/>
  <c r="AG159" i="17"/>
  <c r="E160" i="17"/>
  <c r="D160" i="17"/>
  <c r="C160" i="17"/>
  <c r="A161" i="17"/>
  <c r="B160" i="17"/>
  <c r="AC160" i="17" l="1"/>
  <c r="AD160" i="17"/>
  <c r="AR160" i="17"/>
  <c r="AQ160" i="17"/>
  <c r="AP160" i="17"/>
  <c r="AH160" i="17"/>
  <c r="AF160" i="17"/>
  <c r="AG160" i="17"/>
  <c r="E161" i="17"/>
  <c r="A162" i="17"/>
  <c r="D161" i="17"/>
  <c r="B161" i="17"/>
  <c r="C161" i="17"/>
  <c r="AC161" i="17" l="1"/>
  <c r="AD161" i="17"/>
  <c r="AR161" i="17"/>
  <c r="AQ161" i="17"/>
  <c r="AP161" i="17"/>
  <c r="AH161" i="17"/>
  <c r="AG161" i="17"/>
  <c r="AF161" i="17"/>
  <c r="C162" i="17"/>
  <c r="B162" i="17"/>
  <c r="E162" i="17"/>
  <c r="D162" i="17"/>
  <c r="A163" i="17"/>
  <c r="AC162" i="17" l="1"/>
  <c r="AD162" i="17"/>
  <c r="AR162" i="17"/>
  <c r="AQ162" i="17"/>
  <c r="AP162" i="17"/>
  <c r="AH162" i="17"/>
  <c r="AG162" i="17"/>
  <c r="AF162" i="17"/>
  <c r="A164" i="17"/>
  <c r="D163" i="17"/>
  <c r="C163" i="17"/>
  <c r="E163" i="17"/>
  <c r="B163" i="17"/>
  <c r="AC163" i="17" l="1"/>
  <c r="AD163" i="17"/>
  <c r="AR163" i="17"/>
  <c r="AQ163" i="17"/>
  <c r="AP163" i="17"/>
  <c r="AH163" i="17"/>
  <c r="AF163" i="17"/>
  <c r="AG163" i="17"/>
  <c r="E164" i="17"/>
  <c r="D164" i="17"/>
  <c r="C164" i="17"/>
  <c r="A165" i="17"/>
  <c r="B164" i="17"/>
  <c r="AC164" i="17" l="1"/>
  <c r="AD164" i="17"/>
  <c r="AR164" i="17"/>
  <c r="AQ164" i="17"/>
  <c r="AP164" i="17"/>
  <c r="AH164" i="17"/>
  <c r="AG164" i="17"/>
  <c r="AF164" i="17"/>
  <c r="E165" i="17"/>
  <c r="A166" i="17"/>
  <c r="B165" i="17"/>
  <c r="C165" i="17"/>
  <c r="D165" i="17"/>
  <c r="AC165" i="17" l="1"/>
  <c r="AD165" i="17"/>
  <c r="AR165" i="17"/>
  <c r="AQ165" i="17"/>
  <c r="AP165" i="17"/>
  <c r="AG165" i="17"/>
  <c r="AH165" i="17"/>
  <c r="AF165" i="17"/>
  <c r="C166" i="17"/>
  <c r="B166" i="17"/>
  <c r="E166" i="17"/>
  <c r="D166" i="17"/>
  <c r="A167" i="17"/>
  <c r="AC166" i="17" l="1"/>
  <c r="AD166" i="17"/>
  <c r="AR166" i="17"/>
  <c r="AQ166" i="17"/>
  <c r="AP166" i="17"/>
  <c r="AH166" i="17"/>
  <c r="AG166" i="17"/>
  <c r="AF166" i="17"/>
  <c r="A168" i="17"/>
  <c r="D167" i="17"/>
  <c r="C167" i="17"/>
  <c r="E167" i="17"/>
  <c r="B167" i="17"/>
  <c r="AC167" i="17" l="1"/>
  <c r="AD167" i="17"/>
  <c r="AR167" i="17"/>
  <c r="AQ167" i="17"/>
  <c r="AP167" i="17"/>
  <c r="AH167" i="17"/>
  <c r="AG167" i="17"/>
  <c r="AF167" i="17"/>
  <c r="E168" i="17"/>
  <c r="D168" i="17"/>
  <c r="C168" i="17"/>
  <c r="B168" i="17"/>
  <c r="A169" i="17"/>
  <c r="AC168" i="17" l="1"/>
  <c r="AD168" i="17"/>
  <c r="AR168" i="17"/>
  <c r="AQ168" i="17"/>
  <c r="AP168" i="17"/>
  <c r="AH168" i="17"/>
  <c r="AG168" i="17"/>
  <c r="AF168" i="17"/>
  <c r="E169" i="17"/>
  <c r="A170" i="17"/>
  <c r="B169" i="17"/>
  <c r="D169" i="17"/>
  <c r="C169" i="17"/>
  <c r="AC169" i="17" l="1"/>
  <c r="AD169" i="17"/>
  <c r="AR169" i="17"/>
  <c r="AQ169" i="17"/>
  <c r="AP169" i="17"/>
  <c r="AH169" i="17"/>
  <c r="AF169" i="17"/>
  <c r="AG169" i="17"/>
  <c r="C170" i="17"/>
  <c r="B170" i="17"/>
  <c r="E170" i="17"/>
  <c r="D170" i="17"/>
  <c r="A171" i="17"/>
  <c r="AC170" i="17" l="1"/>
  <c r="AD170" i="17"/>
  <c r="AR170" i="17"/>
  <c r="AQ170" i="17"/>
  <c r="AP170" i="17"/>
  <c r="AG170" i="17"/>
  <c r="AH170" i="17"/>
  <c r="AF170" i="17"/>
  <c r="A172" i="17"/>
  <c r="D171" i="17"/>
  <c r="C171" i="17"/>
  <c r="E171" i="17"/>
  <c r="B171" i="17"/>
  <c r="AC171" i="17" l="1"/>
  <c r="AD171" i="17"/>
  <c r="AR171" i="17"/>
  <c r="AQ171" i="17"/>
  <c r="AP171" i="17"/>
  <c r="AH171" i="17"/>
  <c r="AG171" i="17"/>
  <c r="AF171" i="17"/>
  <c r="A173" i="17"/>
  <c r="E172" i="17"/>
  <c r="D172" i="17"/>
  <c r="C172" i="17"/>
  <c r="B172" i="17"/>
  <c r="AC172" i="17" l="1"/>
  <c r="AD172" i="17"/>
  <c r="AR172" i="17"/>
  <c r="AQ172" i="17"/>
  <c r="AH172" i="17"/>
  <c r="AP172" i="17"/>
  <c r="AG172" i="17"/>
  <c r="AF172" i="17"/>
  <c r="E173" i="17"/>
  <c r="B173" i="17"/>
  <c r="A174" i="17"/>
  <c r="C173" i="17"/>
  <c r="D173" i="17"/>
  <c r="AC173" i="17" l="1"/>
  <c r="AD173" i="17"/>
  <c r="AR173" i="17"/>
  <c r="AQ173" i="17"/>
  <c r="AP173" i="17"/>
  <c r="AH173" i="17"/>
  <c r="AG173" i="17"/>
  <c r="AF173" i="17"/>
  <c r="C174" i="17"/>
  <c r="B174" i="17"/>
  <c r="A175" i="17"/>
  <c r="E174" i="17"/>
  <c r="D174" i="17"/>
  <c r="AC174" i="17" l="1"/>
  <c r="AD174" i="17"/>
  <c r="AR174" i="17"/>
  <c r="AQ174" i="17"/>
  <c r="AP174" i="17"/>
  <c r="AH174" i="17"/>
  <c r="AF174" i="17"/>
  <c r="AG174" i="17"/>
  <c r="A176" i="17"/>
  <c r="D175" i="17"/>
  <c r="C175" i="17"/>
  <c r="E175" i="17"/>
  <c r="B175" i="17"/>
  <c r="AC175" i="17" l="1"/>
  <c r="AD175" i="17"/>
  <c r="AR175" i="17"/>
  <c r="AQ175" i="17"/>
  <c r="AH175" i="17"/>
  <c r="AP175" i="17"/>
  <c r="AG175" i="17"/>
  <c r="AF175" i="17"/>
  <c r="A177" i="17"/>
  <c r="D176" i="17"/>
  <c r="C176" i="17"/>
  <c r="B176" i="17"/>
  <c r="E176" i="17"/>
  <c r="AC176" i="17" l="1"/>
  <c r="AD176" i="17"/>
  <c r="AR176" i="17"/>
  <c r="AQ176" i="17"/>
  <c r="AP176" i="17"/>
  <c r="AH176" i="17"/>
  <c r="AG176" i="17"/>
  <c r="AF176" i="17"/>
  <c r="E177" i="17"/>
  <c r="A178" i="17"/>
  <c r="B177" i="17"/>
  <c r="D177" i="17"/>
  <c r="C177" i="17"/>
  <c r="AC177" i="17" l="1"/>
  <c r="AD177" i="17"/>
  <c r="AR177" i="17"/>
  <c r="AQ177" i="17"/>
  <c r="AP177" i="17"/>
  <c r="AG177" i="17"/>
  <c r="AH177" i="17"/>
  <c r="AF177" i="17"/>
  <c r="C178" i="17"/>
  <c r="B178" i="17"/>
  <c r="E178" i="17"/>
  <c r="A179" i="17"/>
  <c r="D178" i="17"/>
  <c r="AC178" i="17" l="1"/>
  <c r="AD178" i="17"/>
  <c r="AR178" i="17"/>
  <c r="AQ178" i="17"/>
  <c r="AP178" i="17"/>
  <c r="AH178" i="17"/>
  <c r="AF178" i="17"/>
  <c r="AG178" i="17"/>
  <c r="A180" i="17"/>
  <c r="D179" i="17"/>
  <c r="C179" i="17"/>
  <c r="B179" i="17"/>
  <c r="E179" i="17"/>
  <c r="AC179" i="17" l="1"/>
  <c r="AD179" i="17"/>
  <c r="AR179" i="17"/>
  <c r="AP179" i="17"/>
  <c r="AQ179" i="17"/>
  <c r="AH179" i="17"/>
  <c r="AF179" i="17"/>
  <c r="AG179" i="17"/>
  <c r="A181" i="17"/>
  <c r="D180" i="17"/>
  <c r="B180" i="17"/>
  <c r="C180" i="17"/>
  <c r="E180" i="17"/>
  <c r="AC180" i="17" l="1"/>
  <c r="AD180" i="17"/>
  <c r="AR180" i="17"/>
  <c r="AQ180" i="17"/>
  <c r="AP180" i="17"/>
  <c r="AH180" i="17"/>
  <c r="AF180" i="17"/>
  <c r="AG180" i="17"/>
  <c r="E181" i="17"/>
  <c r="A182" i="17"/>
  <c r="D181" i="17"/>
  <c r="C181" i="17"/>
  <c r="B181" i="17"/>
  <c r="AC181" i="17" l="1"/>
  <c r="AD181" i="17"/>
  <c r="AR181" i="17"/>
  <c r="AQ181" i="17"/>
  <c r="AP181" i="17"/>
  <c r="AF181" i="17"/>
  <c r="AG181" i="17"/>
  <c r="AH181" i="17"/>
  <c r="C182" i="17"/>
  <c r="B182" i="17"/>
  <c r="D182" i="17"/>
  <c r="E182" i="17"/>
  <c r="A183" i="17"/>
  <c r="AC182" i="17" l="1"/>
  <c r="AD182" i="17"/>
  <c r="AR182" i="17"/>
  <c r="AQ182" i="17"/>
  <c r="AP182" i="17"/>
  <c r="AH182" i="17"/>
  <c r="AG182" i="17"/>
  <c r="AF182" i="17"/>
  <c r="A184" i="17"/>
  <c r="D183" i="17"/>
  <c r="C183" i="17"/>
  <c r="E183" i="17"/>
  <c r="B183" i="17"/>
  <c r="AC183" i="17" l="1"/>
  <c r="AD183" i="17"/>
  <c r="AR183" i="17"/>
  <c r="AQ183" i="17"/>
  <c r="AP183" i="17"/>
  <c r="AH183" i="17"/>
  <c r="AF183" i="17"/>
  <c r="AG183" i="17"/>
  <c r="E184" i="17"/>
  <c r="A185" i="17"/>
  <c r="D184" i="17"/>
  <c r="C184" i="17"/>
  <c r="B184" i="17"/>
  <c r="AC184" i="17" l="1"/>
  <c r="AD184" i="17"/>
  <c r="AR184" i="17"/>
  <c r="AQ184" i="17"/>
  <c r="AP184" i="17"/>
  <c r="AH184" i="17"/>
  <c r="AG184" i="17"/>
  <c r="AF184" i="17"/>
  <c r="E185" i="17"/>
  <c r="A186" i="17"/>
  <c r="D185" i="17"/>
  <c r="B185" i="17"/>
  <c r="C185" i="17"/>
  <c r="AC185" i="17" l="1"/>
  <c r="AD185" i="17"/>
  <c r="AR185" i="17"/>
  <c r="AQ185" i="17"/>
  <c r="AH185" i="17"/>
  <c r="AG185" i="17"/>
  <c r="AP185" i="17"/>
  <c r="AF185" i="17"/>
  <c r="C186" i="17"/>
  <c r="B186" i="17"/>
  <c r="E186" i="17"/>
  <c r="A187" i="17"/>
  <c r="D186" i="17"/>
  <c r="AC186" i="17" l="1"/>
  <c r="AD186" i="17"/>
  <c r="AR186" i="17"/>
  <c r="AP186" i="17"/>
  <c r="AQ186" i="17"/>
  <c r="AG186" i="17"/>
  <c r="AH186" i="17"/>
  <c r="AF186" i="17"/>
  <c r="A188" i="17"/>
  <c r="D187" i="17"/>
  <c r="C187" i="17"/>
  <c r="B187" i="17"/>
  <c r="E187" i="17"/>
  <c r="AC187" i="17" l="1"/>
  <c r="AD187" i="17"/>
  <c r="AR187" i="17"/>
  <c r="AQ187" i="17"/>
  <c r="AP187" i="17"/>
  <c r="AH187" i="17"/>
  <c r="AF187" i="17"/>
  <c r="AG187" i="17"/>
  <c r="E188" i="17"/>
  <c r="A189" i="17"/>
  <c r="D188" i="17"/>
  <c r="C188" i="17"/>
  <c r="B188" i="17"/>
  <c r="AC188" i="17" l="1"/>
  <c r="AD188" i="17"/>
  <c r="AR188" i="17"/>
  <c r="AQ188" i="17"/>
  <c r="AP188" i="17"/>
  <c r="AH188" i="17"/>
  <c r="AG188" i="17"/>
  <c r="AF188" i="17"/>
  <c r="E189" i="17"/>
  <c r="A190" i="17"/>
  <c r="D189" i="17"/>
  <c r="B189" i="17"/>
  <c r="C189" i="17"/>
  <c r="AC189" i="17" l="1"/>
  <c r="AD189" i="17"/>
  <c r="AR189" i="17"/>
  <c r="A191" i="17"/>
  <c r="AQ189" i="17"/>
  <c r="AP189" i="17"/>
  <c r="AG189" i="17"/>
  <c r="AH189" i="17"/>
  <c r="AF189" i="17"/>
  <c r="C190" i="17"/>
  <c r="B190" i="17"/>
  <c r="E190" i="17"/>
  <c r="D190" i="17"/>
  <c r="AC190" i="17" l="1"/>
  <c r="AD190" i="17"/>
  <c r="AR190" i="17"/>
  <c r="A192" i="17"/>
  <c r="B191" i="17"/>
  <c r="C191" i="17"/>
  <c r="D191" i="17"/>
  <c r="E191" i="17"/>
  <c r="AQ190" i="17"/>
  <c r="AP190" i="17"/>
  <c r="AH190" i="17"/>
  <c r="AF190" i="17"/>
  <c r="AG190" i="17"/>
  <c r="A4" i="14"/>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l="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C191" i="17"/>
  <c r="AD191" i="17"/>
  <c r="AR191" i="17"/>
  <c r="AG191" i="17"/>
  <c r="AH191" i="17"/>
  <c r="AP191" i="17"/>
  <c r="AQ191" i="17"/>
  <c r="AF191" i="17"/>
  <c r="A193" i="17"/>
  <c r="B192" i="17"/>
  <c r="C192" i="17"/>
  <c r="D192" i="17"/>
  <c r="E192" i="17"/>
  <c r="AC192" i="17" l="1"/>
  <c r="AD192" i="17"/>
  <c r="AR192" i="17"/>
  <c r="AH192" i="17"/>
  <c r="AP192" i="17"/>
  <c r="AQ192" i="17"/>
  <c r="AG192" i="17"/>
  <c r="AF192" i="17"/>
  <c r="A194" i="17"/>
  <c r="B193" i="17"/>
  <c r="E193" i="17"/>
  <c r="D193" i="17"/>
  <c r="C193" i="17"/>
  <c r="AC193" i="17" l="1"/>
  <c r="AD193" i="17"/>
  <c r="AR193" i="17"/>
  <c r="AF193" i="17"/>
  <c r="AG193" i="17"/>
  <c r="AQ193" i="17"/>
  <c r="AH193" i="17"/>
  <c r="AP193" i="17"/>
  <c r="A195" i="17"/>
  <c r="D194" i="17"/>
  <c r="C194" i="17"/>
  <c r="B194" i="17"/>
  <c r="E194" i="17"/>
  <c r="AC194" i="17" l="1"/>
  <c r="AD194" i="17"/>
  <c r="AR194" i="17"/>
  <c r="AG194" i="17"/>
  <c r="AP194" i="17"/>
  <c r="AQ194" i="17"/>
  <c r="AF194" i="17"/>
  <c r="AH194" i="17"/>
  <c r="A196" i="17"/>
  <c r="C195" i="17"/>
  <c r="E195" i="17"/>
  <c r="D195" i="17"/>
  <c r="B195" i="17"/>
  <c r="AC195" i="17" l="1"/>
  <c r="AD195" i="17"/>
  <c r="AR195" i="17"/>
  <c r="AG195" i="17"/>
  <c r="AF195" i="17"/>
  <c r="AQ195" i="17"/>
  <c r="AP195" i="17"/>
  <c r="AH195" i="17"/>
  <c r="A197" i="17"/>
  <c r="B196" i="17"/>
  <c r="E196" i="17"/>
  <c r="D196" i="17"/>
  <c r="C196" i="17"/>
  <c r="AC196" i="17" l="1"/>
  <c r="AD196" i="17"/>
  <c r="AR196" i="17"/>
  <c r="AH196" i="17"/>
  <c r="AP196" i="17"/>
  <c r="AF196" i="17"/>
  <c r="AG196" i="17"/>
  <c r="AQ196" i="17"/>
  <c r="A198" i="17"/>
  <c r="B197" i="17"/>
  <c r="D197" i="17"/>
  <c r="C197" i="17"/>
  <c r="E197" i="17"/>
  <c r="AC197" i="17" l="1"/>
  <c r="AD197" i="17"/>
  <c r="AR197" i="17"/>
  <c r="AF197" i="17"/>
  <c r="AP197" i="17"/>
  <c r="AH197" i="17"/>
  <c r="AG197" i="17"/>
  <c r="AQ197" i="17"/>
  <c r="A199" i="17"/>
  <c r="C198" i="17"/>
  <c r="B198" i="17"/>
  <c r="E198" i="17"/>
  <c r="D198" i="17"/>
  <c r="AC198" i="17" l="1"/>
  <c r="AD198" i="17"/>
  <c r="AR198" i="17"/>
  <c r="AH198" i="17"/>
  <c r="AP198" i="17"/>
  <c r="AF198" i="17"/>
  <c r="AG198" i="17"/>
  <c r="AQ198" i="17"/>
  <c r="A200" i="17"/>
  <c r="B199" i="17"/>
  <c r="C199" i="17"/>
  <c r="D199" i="17"/>
  <c r="E199" i="17"/>
  <c r="AC199" i="17" l="1"/>
  <c r="AD199" i="17"/>
  <c r="AR199" i="17"/>
  <c r="AP199" i="17"/>
  <c r="AG199" i="17"/>
  <c r="AH199" i="17"/>
  <c r="AQ199" i="17"/>
  <c r="AF199" i="17"/>
  <c r="A201" i="17"/>
  <c r="E200" i="17"/>
  <c r="D200" i="17"/>
  <c r="C200" i="17"/>
  <c r="B200" i="17"/>
  <c r="AC200" i="17" l="1"/>
  <c r="AD200" i="17"/>
  <c r="AR200" i="17"/>
  <c r="AQ200" i="17"/>
  <c r="AG200" i="17"/>
  <c r="AP200" i="17"/>
  <c r="AH200" i="17"/>
  <c r="AF200" i="17"/>
  <c r="A202" i="17"/>
  <c r="E201" i="17"/>
  <c r="D201" i="17"/>
  <c r="C201" i="17"/>
  <c r="B201" i="17"/>
  <c r="AC201" i="17" l="1"/>
  <c r="AD201" i="17"/>
  <c r="AR201" i="17"/>
  <c r="AH201" i="17"/>
  <c r="AG201" i="17"/>
  <c r="AF201" i="17"/>
  <c r="AP201" i="17"/>
  <c r="AQ201" i="17"/>
  <c r="A203" i="17"/>
  <c r="E202" i="17"/>
  <c r="D202" i="17"/>
  <c r="C202" i="17"/>
  <c r="B202" i="17"/>
  <c r="AC202" i="17" l="1"/>
  <c r="AD202" i="17"/>
  <c r="AR202" i="17"/>
  <c r="AQ202" i="17"/>
  <c r="AF202" i="17"/>
  <c r="AP202" i="17"/>
  <c r="AG202" i="17"/>
  <c r="AH202" i="17"/>
  <c r="A204" i="17"/>
  <c r="D203" i="17"/>
  <c r="E203" i="17"/>
  <c r="C203" i="17"/>
  <c r="B203" i="17"/>
  <c r="AC203" i="17" l="1"/>
  <c r="AD203" i="17"/>
  <c r="AR203" i="17"/>
  <c r="AG203" i="17"/>
  <c r="AF203" i="17"/>
  <c r="AP203" i="17"/>
  <c r="AQ203" i="17"/>
  <c r="AH203" i="17"/>
  <c r="A205" i="17"/>
  <c r="D204" i="17"/>
  <c r="E204" i="17"/>
  <c r="B204" i="17"/>
  <c r="C204" i="17"/>
  <c r="AC204" i="17" l="1"/>
  <c r="AD204" i="17"/>
  <c r="AR204" i="17"/>
  <c r="AQ204" i="17"/>
  <c r="AH204" i="17"/>
  <c r="AG204" i="17"/>
  <c r="AP204" i="17"/>
  <c r="AF204" i="17"/>
  <c r="A206" i="17"/>
  <c r="B205" i="17"/>
  <c r="D205" i="17"/>
  <c r="C205" i="17"/>
  <c r="E205" i="17"/>
  <c r="AC205" i="17" l="1"/>
  <c r="AD205" i="17"/>
  <c r="AR205" i="17"/>
  <c r="AG205" i="17"/>
  <c r="AP205" i="17"/>
  <c r="AH205" i="17"/>
  <c r="AF205" i="17"/>
  <c r="AQ205" i="17"/>
  <c r="A207" i="17"/>
  <c r="B206" i="17"/>
  <c r="E206" i="17"/>
  <c r="C206" i="17"/>
  <c r="D206" i="17"/>
  <c r="AC206" i="17" l="1"/>
  <c r="AD206" i="17"/>
  <c r="AR206" i="17"/>
  <c r="AG206" i="17"/>
  <c r="AH206" i="17"/>
  <c r="AP206" i="17"/>
  <c r="AF206" i="17"/>
  <c r="AQ206" i="17"/>
  <c r="A208" i="17"/>
  <c r="B207" i="17"/>
  <c r="D207" i="17"/>
  <c r="C207" i="17"/>
  <c r="E207" i="17"/>
  <c r="AC207" i="17" l="1"/>
  <c r="AD207" i="17"/>
  <c r="AR207" i="17"/>
  <c r="AF207" i="17"/>
  <c r="AH207" i="17"/>
  <c r="AP207" i="17"/>
  <c r="AQ207" i="17"/>
  <c r="AG207" i="17"/>
  <c r="A209" i="17"/>
  <c r="C208" i="17"/>
  <c r="B208" i="17"/>
  <c r="E208" i="17"/>
  <c r="D208" i="17"/>
  <c r="AC208" i="17" l="1"/>
  <c r="AD208" i="17"/>
  <c r="AR208" i="17"/>
  <c r="AH208" i="17"/>
  <c r="AQ208" i="17"/>
  <c r="AP208" i="17"/>
  <c r="AG208" i="17"/>
  <c r="AF208" i="17"/>
  <c r="A210" i="17"/>
  <c r="D209" i="17"/>
  <c r="B209" i="17"/>
  <c r="C209" i="17"/>
  <c r="E209" i="17"/>
  <c r="AC209" i="17" l="1"/>
  <c r="AD209" i="17"/>
  <c r="AR209" i="17"/>
  <c r="AF209" i="17"/>
  <c r="AP209" i="17"/>
  <c r="AH209" i="17"/>
  <c r="AG209" i="17"/>
  <c r="AQ209" i="17"/>
  <c r="A211" i="17"/>
  <c r="B210" i="17"/>
  <c r="E210" i="17"/>
  <c r="D210" i="17"/>
  <c r="C210" i="17"/>
  <c r="AC210" i="17" l="1"/>
  <c r="AD210" i="17"/>
  <c r="AR210" i="17"/>
  <c r="AH210" i="17"/>
  <c r="AG210" i="17"/>
  <c r="AF210" i="17"/>
  <c r="AP210" i="17"/>
  <c r="AQ210" i="17"/>
  <c r="A212" i="17"/>
  <c r="D211" i="17"/>
  <c r="B211" i="17"/>
  <c r="C211" i="17"/>
  <c r="E211" i="17"/>
  <c r="AC211" i="17" l="1"/>
  <c r="AD211" i="17"/>
  <c r="AR211" i="17"/>
  <c r="AG211" i="17"/>
  <c r="AQ211" i="17"/>
  <c r="AH211" i="17"/>
  <c r="AP211" i="17"/>
  <c r="AF211" i="17"/>
  <c r="A213" i="17"/>
  <c r="E212" i="17"/>
  <c r="D212" i="17"/>
  <c r="C212" i="17"/>
  <c r="B212" i="17"/>
  <c r="AC212" i="17" l="1"/>
  <c r="AD212" i="17"/>
  <c r="AR212" i="17"/>
  <c r="AG212" i="17"/>
  <c r="AQ212" i="17"/>
  <c r="AF212" i="17"/>
  <c r="AP212" i="17"/>
  <c r="AH212" i="17"/>
  <c r="A214" i="17"/>
  <c r="D213" i="17"/>
  <c r="E213" i="17"/>
  <c r="B213" i="17"/>
  <c r="C213" i="17"/>
  <c r="AC213" i="17" l="1"/>
  <c r="AD213" i="17"/>
  <c r="AR213" i="17"/>
  <c r="AH213" i="17"/>
  <c r="AF213" i="17"/>
  <c r="AP213" i="17"/>
  <c r="AQ213" i="17"/>
  <c r="AG213" i="17"/>
  <c r="A215" i="17"/>
  <c r="E214" i="17"/>
  <c r="D214" i="17"/>
  <c r="C214" i="17"/>
  <c r="B214" i="17"/>
  <c r="AC214" i="17" l="1"/>
  <c r="AD214" i="17"/>
  <c r="AR214" i="17"/>
  <c r="AP214" i="17"/>
  <c r="AF214" i="17"/>
  <c r="AH214" i="17"/>
  <c r="AG214" i="17"/>
  <c r="AQ214" i="17"/>
  <c r="A216" i="17"/>
  <c r="D215" i="17"/>
  <c r="C215" i="17"/>
  <c r="B215" i="17"/>
  <c r="E215" i="17"/>
  <c r="AC215" i="17" l="1"/>
  <c r="AD215" i="17"/>
  <c r="AR215" i="17"/>
  <c r="AG215" i="17"/>
  <c r="AQ215" i="17"/>
  <c r="AP215" i="17"/>
  <c r="AF215" i="17"/>
  <c r="AH215" i="17"/>
  <c r="A217" i="17"/>
  <c r="E216" i="17"/>
  <c r="D216" i="17"/>
  <c r="C216" i="17"/>
  <c r="B216" i="17"/>
  <c r="AC216" i="17" l="1"/>
  <c r="AD216" i="17"/>
  <c r="AR216" i="17"/>
  <c r="AF216" i="17"/>
  <c r="AQ216" i="17"/>
  <c r="AP216" i="17"/>
  <c r="AG216" i="17"/>
  <c r="AH216" i="17"/>
  <c r="A218" i="17"/>
  <c r="B217" i="17"/>
  <c r="E217" i="17"/>
  <c r="D217" i="17"/>
  <c r="C217" i="17"/>
  <c r="AC217" i="17" l="1"/>
  <c r="AD217" i="17"/>
  <c r="AR217" i="17"/>
  <c r="AH217" i="17"/>
  <c r="AF217" i="17"/>
  <c r="AP217" i="17"/>
  <c r="AG217" i="17"/>
  <c r="AQ217" i="17"/>
  <c r="A219" i="17"/>
  <c r="C218" i="17"/>
  <c r="E218" i="17"/>
  <c r="D218" i="17"/>
  <c r="B218" i="17"/>
  <c r="AC218" i="17" l="1"/>
  <c r="AD218" i="17"/>
  <c r="AR218" i="17"/>
  <c r="AH218" i="17"/>
  <c r="AQ218" i="17"/>
  <c r="AP218" i="17"/>
  <c r="AG218" i="17"/>
  <c r="AF218" i="17"/>
  <c r="A220" i="17"/>
  <c r="C219" i="17"/>
  <c r="B219" i="17"/>
  <c r="E219" i="17"/>
  <c r="D219" i="17"/>
  <c r="AC219" i="17" l="1"/>
  <c r="AD219" i="17"/>
  <c r="AR219" i="17"/>
  <c r="AF219" i="17"/>
  <c r="AG219" i="17"/>
  <c r="AQ219" i="17"/>
  <c r="AP219" i="17"/>
  <c r="AH219" i="17"/>
  <c r="A221" i="17"/>
  <c r="E220" i="17"/>
  <c r="D220" i="17"/>
  <c r="B220" i="17"/>
  <c r="C220" i="17"/>
  <c r="AC220" i="17" l="1"/>
  <c r="AD220" i="17"/>
  <c r="AR220" i="17"/>
  <c r="AP220" i="17"/>
  <c r="AH220" i="17"/>
  <c r="AG220" i="17"/>
  <c r="AQ220" i="17"/>
  <c r="AF220" i="17"/>
  <c r="A222" i="17"/>
  <c r="D221" i="17"/>
  <c r="C221" i="17"/>
  <c r="B221" i="17"/>
  <c r="E221" i="17"/>
  <c r="AC221" i="17" l="1"/>
  <c r="AD221" i="17"/>
  <c r="AR221" i="17"/>
  <c r="AF221" i="17"/>
  <c r="AP221" i="17"/>
  <c r="AG221" i="17"/>
  <c r="AH221" i="17"/>
  <c r="AQ221" i="17"/>
  <c r="A223" i="17"/>
  <c r="C222" i="17"/>
  <c r="B222" i="17"/>
  <c r="E222" i="17"/>
  <c r="D222" i="17"/>
  <c r="AC222" i="17" l="1"/>
  <c r="AD222" i="17"/>
  <c r="AR222" i="17"/>
  <c r="AH222" i="17"/>
  <c r="AP222" i="17"/>
  <c r="AG222" i="17"/>
  <c r="AF222" i="17"/>
  <c r="AQ222" i="17"/>
  <c r="A224" i="17"/>
  <c r="B223" i="17"/>
  <c r="C223" i="17"/>
  <c r="D223" i="17"/>
  <c r="E223" i="17"/>
  <c r="AC223" i="17" l="1"/>
  <c r="AD223" i="17"/>
  <c r="AR223" i="17"/>
  <c r="AF223" i="17"/>
  <c r="AQ223" i="17"/>
  <c r="AH223" i="17"/>
  <c r="AP223" i="17"/>
  <c r="AG223" i="17"/>
  <c r="A225" i="17"/>
  <c r="B224" i="17"/>
  <c r="E224" i="17"/>
  <c r="D224" i="17"/>
  <c r="C224" i="17"/>
  <c r="AC224" i="17" l="1"/>
  <c r="AD224" i="17"/>
  <c r="AR224" i="17"/>
  <c r="AF224" i="17"/>
  <c r="AQ224" i="17"/>
  <c r="AP224" i="17"/>
  <c r="AH224" i="17"/>
  <c r="AG224" i="17"/>
  <c r="A226" i="17"/>
  <c r="E225" i="17"/>
  <c r="C225" i="17"/>
  <c r="B225" i="17"/>
  <c r="D225" i="17"/>
  <c r="AC225" i="17" l="1"/>
  <c r="AD225" i="17"/>
  <c r="AR225" i="17"/>
  <c r="AG225" i="17"/>
  <c r="AP225" i="17"/>
  <c r="AF225" i="17"/>
  <c r="AQ225" i="17"/>
  <c r="AH225" i="17"/>
  <c r="A227" i="17"/>
  <c r="E226" i="17"/>
  <c r="D226" i="17"/>
  <c r="B226" i="17"/>
  <c r="C226" i="17"/>
  <c r="AC226" i="17" l="1"/>
  <c r="AD226" i="17"/>
  <c r="AR226" i="17"/>
  <c r="AF226" i="17"/>
  <c r="AQ226" i="17"/>
  <c r="AH226" i="17"/>
  <c r="AP226" i="17"/>
  <c r="AG226" i="17"/>
  <c r="A228" i="17"/>
  <c r="E227" i="17"/>
  <c r="D227" i="17"/>
  <c r="C227" i="17"/>
  <c r="B227" i="17"/>
  <c r="AC227" i="17" l="1"/>
  <c r="AD227" i="17"/>
  <c r="AR227" i="17"/>
  <c r="AH227" i="17"/>
  <c r="AF227" i="17"/>
  <c r="AQ227" i="17"/>
  <c r="AG227" i="17"/>
  <c r="AP227" i="17"/>
  <c r="A229" i="17"/>
  <c r="E228" i="17"/>
  <c r="D228" i="17"/>
  <c r="C228" i="17"/>
  <c r="B228" i="17"/>
  <c r="AC228" i="17" l="1"/>
  <c r="AD228" i="17"/>
  <c r="AR228" i="17"/>
  <c r="AH228" i="17"/>
  <c r="AG228" i="17"/>
  <c r="AF228" i="17"/>
  <c r="AP228" i="17"/>
  <c r="AQ228" i="17"/>
  <c r="A230" i="17"/>
  <c r="B229" i="17"/>
  <c r="E229" i="17"/>
  <c r="C229" i="17"/>
  <c r="D229" i="17"/>
  <c r="AC229" i="17" l="1"/>
  <c r="AD229" i="17"/>
  <c r="AR229" i="17"/>
  <c r="AG229" i="17"/>
  <c r="AP229" i="17"/>
  <c r="AQ229" i="17"/>
  <c r="AF229" i="17"/>
  <c r="AH229" i="17"/>
  <c r="A231" i="17"/>
  <c r="B230" i="17"/>
  <c r="C230" i="17"/>
  <c r="E230" i="17"/>
  <c r="D230" i="17"/>
  <c r="AC230" i="17" l="1"/>
  <c r="AD230" i="17"/>
  <c r="AR230" i="17"/>
  <c r="AF230" i="17"/>
  <c r="AH230" i="17"/>
  <c r="AP230" i="17"/>
  <c r="AG230" i="17"/>
  <c r="AQ230" i="17"/>
  <c r="A232" i="17"/>
  <c r="C231" i="17"/>
  <c r="B231" i="17"/>
  <c r="E231" i="17"/>
  <c r="D231" i="17"/>
  <c r="AC231" i="17" l="1"/>
  <c r="AD231" i="17"/>
  <c r="AR231" i="17"/>
  <c r="AP231" i="17"/>
  <c r="AG231" i="17"/>
  <c r="AF231" i="17"/>
  <c r="AH231" i="17"/>
  <c r="AQ231" i="17"/>
  <c r="A233" i="17"/>
  <c r="C232" i="17"/>
  <c r="B232" i="17"/>
  <c r="D232" i="17"/>
  <c r="E232" i="17"/>
  <c r="AC232" i="17" l="1"/>
  <c r="AD232" i="17"/>
  <c r="AR232" i="17"/>
  <c r="AG232" i="17"/>
  <c r="AQ232" i="17"/>
  <c r="AH232" i="17"/>
  <c r="AF232" i="17"/>
  <c r="AP232" i="17"/>
  <c r="A234" i="17"/>
  <c r="C233" i="17"/>
  <c r="E233" i="17"/>
  <c r="B233" i="17"/>
  <c r="D233" i="17"/>
  <c r="AC233" i="17" l="1"/>
  <c r="AD233" i="17"/>
  <c r="AR233" i="17"/>
  <c r="AQ233" i="17"/>
  <c r="AH233" i="17"/>
  <c r="AF233" i="17"/>
  <c r="AP233" i="17"/>
  <c r="AG233" i="17"/>
  <c r="A235" i="17"/>
  <c r="D234" i="17"/>
  <c r="C234" i="17"/>
  <c r="B234" i="17"/>
  <c r="E234" i="17"/>
  <c r="AC234" i="17" l="1"/>
  <c r="AD234" i="17"/>
  <c r="AR234" i="17"/>
  <c r="AF234" i="17"/>
  <c r="AG234" i="17"/>
  <c r="AQ234" i="17"/>
  <c r="AH234" i="17"/>
  <c r="AP234" i="17"/>
  <c r="A236" i="17"/>
  <c r="C235" i="17"/>
  <c r="E235" i="17"/>
  <c r="D235" i="17"/>
  <c r="B235" i="17"/>
  <c r="AC235" i="17" l="1"/>
  <c r="AD235" i="17"/>
  <c r="AR235" i="17"/>
  <c r="AG235" i="17"/>
  <c r="AQ235" i="17"/>
  <c r="AH235" i="17"/>
  <c r="AP235" i="17"/>
  <c r="AF235" i="17"/>
  <c r="A237" i="17"/>
  <c r="C236" i="17"/>
  <c r="B236" i="17"/>
  <c r="D236" i="17"/>
  <c r="E236" i="17"/>
  <c r="AC236" i="17" l="1"/>
  <c r="AD236" i="17"/>
  <c r="AR236" i="17"/>
  <c r="AQ236" i="17"/>
  <c r="AP236" i="17"/>
  <c r="AG236" i="17"/>
  <c r="AF236" i="17"/>
  <c r="AH236" i="17"/>
  <c r="A238" i="17"/>
  <c r="B237" i="17"/>
  <c r="D237" i="17"/>
  <c r="C237" i="17"/>
  <c r="E237" i="17"/>
  <c r="AC237" i="17" l="1"/>
  <c r="AD237" i="17"/>
  <c r="AR237" i="17"/>
  <c r="AH237" i="17"/>
  <c r="AF237" i="17"/>
  <c r="AP237" i="17"/>
  <c r="AG237" i="17"/>
  <c r="AQ237" i="17"/>
  <c r="A239" i="17"/>
  <c r="B238" i="17"/>
  <c r="E238" i="17"/>
  <c r="D238" i="17"/>
  <c r="C238" i="17"/>
  <c r="AC238" i="17" l="1"/>
  <c r="AD238" i="17"/>
  <c r="AR238" i="17"/>
  <c r="AH238" i="17"/>
  <c r="AP238" i="17"/>
  <c r="AG238" i="17"/>
  <c r="AQ238" i="17"/>
  <c r="AF238" i="17"/>
  <c r="A240" i="17"/>
  <c r="D239" i="17"/>
  <c r="E239" i="17"/>
  <c r="B239" i="17"/>
  <c r="C239" i="17"/>
  <c r="AC239" i="17" l="1"/>
  <c r="AD239" i="17"/>
  <c r="AR239" i="17"/>
  <c r="AG239" i="17"/>
  <c r="AP239" i="17"/>
  <c r="AQ239" i="17"/>
  <c r="AF239" i="17"/>
  <c r="AH239" i="17"/>
  <c r="A241" i="17"/>
  <c r="D240" i="17"/>
  <c r="C240" i="17"/>
  <c r="B240" i="17"/>
  <c r="E240" i="17"/>
  <c r="AC240" i="17" l="1"/>
  <c r="AD240" i="17"/>
  <c r="AR240" i="17"/>
  <c r="AF240" i="17"/>
  <c r="AQ240" i="17"/>
  <c r="AH240" i="17"/>
  <c r="AP240" i="17"/>
  <c r="AG240" i="17"/>
  <c r="A242" i="17"/>
  <c r="C241" i="17"/>
  <c r="B241" i="17"/>
  <c r="D241" i="17"/>
  <c r="E241" i="17"/>
  <c r="AC241" i="17" l="1"/>
  <c r="AD241" i="17"/>
  <c r="AR241" i="17"/>
  <c r="AF241" i="17"/>
  <c r="AP241" i="17"/>
  <c r="AH241" i="17"/>
  <c r="AQ241" i="17"/>
  <c r="AG241" i="17"/>
  <c r="A243" i="17"/>
  <c r="E242" i="17"/>
  <c r="D242" i="17"/>
  <c r="C242" i="17"/>
  <c r="B242" i="17"/>
  <c r="AC242" i="17" l="1"/>
  <c r="AD242" i="17"/>
  <c r="AR242" i="17"/>
  <c r="AH242" i="17"/>
  <c r="AG242" i="17"/>
  <c r="AP242" i="17"/>
  <c r="AQ242" i="17"/>
  <c r="AF242" i="17"/>
  <c r="A244" i="17"/>
  <c r="E243" i="17"/>
  <c r="D243" i="17"/>
  <c r="B243" i="17"/>
  <c r="C243" i="17"/>
  <c r="AC243" i="17" l="1"/>
  <c r="AD243" i="17"/>
  <c r="AR243" i="17"/>
  <c r="AG243" i="17"/>
  <c r="AF243" i="17"/>
  <c r="AQ243" i="17"/>
  <c r="AP243" i="17"/>
  <c r="AH243" i="17"/>
  <c r="A245" i="17"/>
  <c r="C244" i="17"/>
  <c r="B244" i="17"/>
  <c r="E244" i="17"/>
  <c r="D244" i="17"/>
  <c r="AC244" i="17" l="1"/>
  <c r="AD244" i="17"/>
  <c r="AR244" i="17"/>
  <c r="AQ244" i="17"/>
  <c r="AP244" i="17"/>
  <c r="AG244" i="17"/>
  <c r="AF244" i="17"/>
  <c r="AH244" i="17"/>
  <c r="A246" i="17"/>
  <c r="D245" i="17"/>
  <c r="C245" i="17"/>
  <c r="E245" i="17"/>
  <c r="B245" i="17"/>
  <c r="AC245" i="17" l="1"/>
  <c r="AD245" i="17"/>
  <c r="AR245" i="17"/>
  <c r="AF245" i="17"/>
  <c r="AP245" i="17"/>
  <c r="AH245" i="17"/>
  <c r="AQ245" i="17"/>
  <c r="AG245" i="17"/>
  <c r="A247" i="17"/>
  <c r="B246" i="17"/>
  <c r="E246" i="17"/>
  <c r="C246" i="17"/>
  <c r="D246" i="17"/>
  <c r="AC246" i="17" l="1"/>
  <c r="AD246" i="17"/>
  <c r="AR246" i="17"/>
  <c r="AG246" i="17"/>
  <c r="AF246" i="17"/>
  <c r="AQ246" i="17"/>
  <c r="AH246" i="17"/>
  <c r="AP246" i="17"/>
  <c r="A248" i="17"/>
  <c r="E247" i="17"/>
  <c r="D247" i="17"/>
  <c r="B247" i="17"/>
  <c r="C247" i="17"/>
  <c r="AC247" i="17" l="1"/>
  <c r="AD247" i="17"/>
  <c r="AR247" i="17"/>
  <c r="AG247" i="17"/>
  <c r="AQ247" i="17"/>
  <c r="AF247" i="17"/>
  <c r="AP247" i="17"/>
  <c r="AH247" i="17"/>
  <c r="A249" i="17"/>
  <c r="D248" i="17"/>
  <c r="C248" i="17"/>
  <c r="B248" i="17"/>
  <c r="E248" i="17"/>
  <c r="AC248" i="17" l="1"/>
  <c r="AD248" i="17"/>
  <c r="AR248" i="17"/>
  <c r="AQ248" i="17"/>
  <c r="AP248" i="17"/>
  <c r="AF248" i="17"/>
  <c r="AG248" i="17"/>
  <c r="AH248" i="17"/>
  <c r="A250" i="17"/>
  <c r="D249" i="17"/>
  <c r="E249" i="17"/>
  <c r="C249" i="17"/>
  <c r="B249" i="17"/>
  <c r="AC249" i="17" l="1"/>
  <c r="AD249" i="17"/>
  <c r="AR249" i="17"/>
  <c r="AP249" i="17"/>
  <c r="AQ249" i="17"/>
  <c r="AG249" i="17"/>
  <c r="AF249" i="17"/>
  <c r="AH249" i="17"/>
  <c r="A251" i="17"/>
  <c r="C250" i="17"/>
  <c r="B250" i="17"/>
  <c r="D250" i="17"/>
  <c r="E250" i="17"/>
  <c r="AC250" i="17" l="1"/>
  <c r="AD250" i="17"/>
  <c r="AR250" i="17"/>
  <c r="AQ250" i="17"/>
  <c r="AG250" i="17"/>
  <c r="AF250" i="17"/>
  <c r="AH250" i="17"/>
  <c r="AP250" i="17"/>
  <c r="A252" i="17"/>
  <c r="C251" i="17"/>
  <c r="E251" i="17"/>
  <c r="D251" i="17"/>
  <c r="B251" i="17"/>
  <c r="AC251" i="17" l="1"/>
  <c r="AD251" i="17"/>
  <c r="AR251" i="17"/>
  <c r="AF251" i="17"/>
  <c r="AQ251" i="17"/>
  <c r="AH251" i="17"/>
  <c r="AP251" i="17"/>
  <c r="AG251" i="17"/>
  <c r="A253" i="17"/>
  <c r="E252" i="17"/>
  <c r="D252" i="17"/>
  <c r="C252" i="17"/>
  <c r="B252" i="17"/>
  <c r="AC252" i="17" l="1"/>
  <c r="AD252" i="17"/>
  <c r="AR252" i="17"/>
  <c r="AF252" i="17"/>
  <c r="AH252" i="17"/>
  <c r="AP252" i="17"/>
  <c r="AQ252" i="17"/>
  <c r="AG252" i="17"/>
  <c r="A254" i="17"/>
  <c r="D253" i="17"/>
  <c r="E253" i="17"/>
  <c r="C253" i="17"/>
  <c r="B253" i="17"/>
  <c r="AC253" i="17" l="1"/>
  <c r="AD253" i="17"/>
  <c r="AR253" i="17"/>
  <c r="AG253" i="17"/>
  <c r="AP253" i="17"/>
  <c r="AQ253" i="17"/>
  <c r="AH253" i="17"/>
  <c r="AF253" i="17"/>
  <c r="A255" i="17"/>
  <c r="B254" i="17"/>
  <c r="E254" i="17"/>
  <c r="D254" i="17"/>
  <c r="C254" i="17"/>
  <c r="AC254" i="17" l="1"/>
  <c r="AD254" i="17"/>
  <c r="AR254" i="17"/>
  <c r="AP254" i="17"/>
  <c r="AH254" i="17"/>
  <c r="AQ254" i="17"/>
  <c r="AF254" i="17"/>
  <c r="AG254" i="17"/>
  <c r="A256" i="17"/>
  <c r="E255" i="17"/>
  <c r="C255" i="17"/>
  <c r="D255" i="17"/>
  <c r="B255" i="17"/>
  <c r="AC255" i="17" l="1"/>
  <c r="AD255" i="17"/>
  <c r="AR255" i="17"/>
  <c r="AQ255" i="17"/>
  <c r="AP255" i="17"/>
  <c r="AF255" i="17"/>
  <c r="AG255" i="17"/>
  <c r="AH255" i="17"/>
  <c r="A257" i="17"/>
  <c r="B256" i="17"/>
  <c r="E256" i="17"/>
  <c r="C256" i="17"/>
  <c r="D256" i="17"/>
  <c r="AC256" i="17" l="1"/>
  <c r="AD256" i="17"/>
  <c r="AR256" i="17"/>
  <c r="AG256" i="17"/>
  <c r="AP256" i="17"/>
  <c r="AH256" i="17"/>
  <c r="AF256" i="17"/>
  <c r="AQ256" i="17"/>
  <c r="A258" i="17"/>
  <c r="C257" i="17"/>
  <c r="E257" i="17"/>
  <c r="B257" i="17"/>
  <c r="D257" i="17"/>
  <c r="AC257" i="17" l="1"/>
  <c r="AD257" i="17"/>
  <c r="AR257" i="17"/>
  <c r="AF257" i="17"/>
  <c r="AG257" i="17"/>
  <c r="AH257" i="17"/>
  <c r="AP257" i="17"/>
  <c r="AQ257" i="17"/>
  <c r="A259" i="17"/>
  <c r="D258" i="17"/>
  <c r="B258" i="17"/>
  <c r="C258" i="17"/>
  <c r="E258" i="17"/>
  <c r="AC258" i="17" l="1"/>
  <c r="AD258" i="17"/>
  <c r="AR258" i="17"/>
  <c r="AH258" i="17"/>
  <c r="AP258" i="17"/>
  <c r="AG258" i="17"/>
  <c r="AF258" i="17"/>
  <c r="AQ258" i="17"/>
  <c r="A260" i="17"/>
  <c r="E259" i="17"/>
  <c r="B259" i="17"/>
  <c r="C259" i="17"/>
  <c r="D259" i="17"/>
  <c r="AC259" i="17" l="1"/>
  <c r="AD259" i="17"/>
  <c r="AR259" i="17"/>
  <c r="AH259" i="17"/>
  <c r="AP259" i="17"/>
  <c r="AF259" i="17"/>
  <c r="AQ259" i="17"/>
  <c r="AG259" i="17"/>
  <c r="A261" i="17"/>
  <c r="E260" i="17"/>
  <c r="D260" i="17"/>
  <c r="B260" i="17"/>
  <c r="C260" i="17"/>
  <c r="AC260" i="17" l="1"/>
  <c r="AD260" i="17"/>
  <c r="AR260" i="17"/>
  <c r="AQ260" i="17"/>
  <c r="AP260" i="17"/>
  <c r="AH260" i="17"/>
  <c r="AF260" i="17"/>
  <c r="AG260" i="17"/>
  <c r="A262" i="17"/>
  <c r="E261" i="17"/>
  <c r="D261" i="17"/>
  <c r="C261" i="17"/>
  <c r="B261" i="17"/>
  <c r="AC261" i="17" l="1"/>
  <c r="AD261" i="17"/>
  <c r="AR261" i="17"/>
  <c r="AG261" i="17"/>
  <c r="AQ261" i="17"/>
  <c r="AF261" i="17"/>
  <c r="AP261" i="17"/>
  <c r="AH261" i="17"/>
  <c r="A263" i="17"/>
  <c r="D262" i="17"/>
  <c r="C262" i="17"/>
  <c r="B262" i="17"/>
  <c r="E262" i="17"/>
  <c r="AC262" i="17" l="1"/>
  <c r="AD262" i="17"/>
  <c r="AR262" i="17"/>
  <c r="AF262" i="17"/>
  <c r="AG262" i="17"/>
  <c r="AH262" i="17"/>
  <c r="AP262" i="17"/>
  <c r="AQ262" i="17"/>
  <c r="A264" i="17"/>
  <c r="B263" i="17"/>
  <c r="C263" i="17"/>
  <c r="D263" i="17"/>
  <c r="E263" i="17"/>
  <c r="AC263" i="17" l="1"/>
  <c r="AD263" i="17"/>
  <c r="AR263" i="17"/>
  <c r="AQ263" i="17"/>
  <c r="AH263" i="17"/>
  <c r="AG263" i="17"/>
  <c r="AF263" i="17"/>
  <c r="AP263" i="17"/>
  <c r="C264" i="17"/>
  <c r="B264" i="17"/>
  <c r="A265" i="17"/>
  <c r="D264" i="17"/>
  <c r="E264" i="17"/>
  <c r="AC264" i="17" l="1"/>
  <c r="AD264" i="17"/>
  <c r="AR264" i="17"/>
  <c r="AF264" i="17"/>
  <c r="AP264" i="17"/>
  <c r="AQ264" i="17"/>
  <c r="AG264" i="17"/>
  <c r="AH264" i="17"/>
  <c r="D265" i="17"/>
  <c r="A266" i="17"/>
  <c r="E265" i="17"/>
  <c r="C265" i="17"/>
  <c r="B265" i="17"/>
  <c r="AC265" i="17" l="1"/>
  <c r="AD265" i="17"/>
  <c r="AR265" i="17"/>
  <c r="E266" i="17"/>
  <c r="C266" i="17"/>
  <c r="D266" i="17"/>
  <c r="A267" i="17"/>
  <c r="B266" i="17"/>
  <c r="AF265" i="17"/>
  <c r="AP265" i="17"/>
  <c r="AG265" i="17"/>
  <c r="AH265" i="17"/>
  <c r="AQ265" i="17"/>
  <c r="AC266" i="17" l="1"/>
  <c r="AD266" i="17"/>
  <c r="AR266" i="17"/>
  <c r="A268" i="17"/>
  <c r="C267" i="17"/>
  <c r="B267" i="17"/>
  <c r="D267" i="17"/>
  <c r="E267" i="17"/>
  <c r="AQ266" i="17"/>
  <c r="AF266" i="17"/>
  <c r="AP266" i="17"/>
  <c r="AH266" i="17"/>
  <c r="AG266" i="17"/>
  <c r="AC267" i="17" l="1"/>
  <c r="AD267" i="17"/>
  <c r="AR267" i="17"/>
  <c r="AF267" i="17"/>
  <c r="AG267" i="17"/>
  <c r="AP267" i="17"/>
  <c r="AH267" i="17"/>
  <c r="AQ267" i="17"/>
  <c r="C268" i="17"/>
  <c r="B268" i="17"/>
  <c r="E268" i="17"/>
  <c r="D268" i="17"/>
  <c r="A269" i="17"/>
  <c r="AC268" i="17" l="1"/>
  <c r="AD268" i="17"/>
  <c r="AR268" i="17"/>
  <c r="B269" i="17"/>
  <c r="A270" i="17"/>
  <c r="D269" i="17"/>
  <c r="E269" i="17"/>
  <c r="C269" i="17"/>
  <c r="AH268" i="17"/>
  <c r="AQ268" i="17"/>
  <c r="AF268" i="17"/>
  <c r="AG268" i="17"/>
  <c r="AP268" i="17"/>
  <c r="AC269" i="17" l="1"/>
  <c r="AD269" i="17"/>
  <c r="AR269" i="17"/>
  <c r="AP269" i="17"/>
  <c r="AF269" i="17"/>
  <c r="AQ269" i="17"/>
  <c r="AG269" i="17"/>
  <c r="AH269" i="17"/>
  <c r="C270" i="17"/>
  <c r="D270" i="17"/>
  <c r="A271" i="17"/>
  <c r="E270" i="17"/>
  <c r="B270" i="17"/>
  <c r="AC270" i="17" l="1"/>
  <c r="AD270" i="17"/>
  <c r="AR270" i="17"/>
  <c r="B271" i="17"/>
  <c r="C271" i="17"/>
  <c r="A272" i="17"/>
  <c r="D271" i="17"/>
  <c r="E271" i="17"/>
  <c r="AH270" i="17"/>
  <c r="AF270" i="17"/>
  <c r="AP270" i="17"/>
  <c r="AQ270" i="17"/>
  <c r="AG270" i="17"/>
  <c r="AC271" i="17" l="1"/>
  <c r="AD271" i="17"/>
  <c r="AR271" i="17"/>
  <c r="AP271" i="17"/>
  <c r="AQ271" i="17"/>
  <c r="AG271" i="17"/>
  <c r="AF271" i="17"/>
  <c r="AH271" i="17"/>
  <c r="D272" i="17"/>
  <c r="E272" i="17"/>
  <c r="C272" i="17"/>
  <c r="A273" i="17"/>
  <c r="B272" i="17"/>
  <c r="AC272" i="17" l="1"/>
  <c r="AD272" i="17"/>
  <c r="AR272" i="17"/>
  <c r="C273" i="17"/>
  <c r="D273" i="17"/>
  <c r="A274" i="17"/>
  <c r="B273" i="17"/>
  <c r="E273" i="17"/>
  <c r="AQ272" i="17"/>
  <c r="AF272" i="17"/>
  <c r="AH272" i="17"/>
  <c r="AG272" i="17"/>
  <c r="AP272" i="17"/>
  <c r="AC273" i="17" l="1"/>
  <c r="AD273" i="17"/>
  <c r="AR273" i="17"/>
  <c r="E274" i="17"/>
  <c r="C274" i="17"/>
  <c r="A275" i="17"/>
  <c r="D274" i="17"/>
  <c r="B274" i="17"/>
  <c r="AF273" i="17"/>
  <c r="AH273" i="17"/>
  <c r="AG273" i="17"/>
  <c r="AQ273" i="17"/>
  <c r="AP273" i="17"/>
  <c r="AC274" i="17" l="1"/>
  <c r="AD274" i="17"/>
  <c r="AR274" i="17"/>
  <c r="AQ274" i="17"/>
  <c r="AF274" i="17"/>
  <c r="AG274" i="17"/>
  <c r="AH274" i="17"/>
  <c r="AP274" i="17"/>
  <c r="A276" i="17"/>
  <c r="E275" i="17"/>
  <c r="C275" i="17"/>
  <c r="B275" i="17"/>
  <c r="D275" i="17"/>
  <c r="AC275" i="17" l="1"/>
  <c r="AD275" i="17"/>
  <c r="AR275" i="17"/>
  <c r="AG275" i="17"/>
  <c r="AQ275" i="17"/>
  <c r="AH275" i="17"/>
  <c r="AF275" i="17"/>
  <c r="AP275" i="17"/>
  <c r="C276" i="17"/>
  <c r="B276" i="17"/>
  <c r="D276" i="17"/>
  <c r="E276" i="17"/>
  <c r="A277" i="17"/>
  <c r="AC276" i="17" l="1"/>
  <c r="AD276" i="17"/>
  <c r="AR276" i="17"/>
  <c r="D277" i="17"/>
  <c r="A278" i="17"/>
  <c r="C277" i="17"/>
  <c r="E277" i="17"/>
  <c r="B277" i="17"/>
  <c r="AG276" i="17"/>
  <c r="AQ276" i="17"/>
  <c r="AP276" i="17"/>
  <c r="AH276" i="17"/>
  <c r="AF276" i="17"/>
  <c r="AC277" i="17" l="1"/>
  <c r="AD277" i="17"/>
  <c r="AR277" i="17"/>
  <c r="B278" i="17"/>
  <c r="E278" i="17"/>
  <c r="A279" i="17"/>
  <c r="C278" i="17"/>
  <c r="D278" i="17"/>
  <c r="AG277" i="17"/>
  <c r="AQ277" i="17"/>
  <c r="AF277" i="17"/>
  <c r="AH277" i="17"/>
  <c r="AP277" i="17"/>
  <c r="AC278" i="17" l="1"/>
  <c r="AD278" i="17"/>
  <c r="AR278" i="17"/>
  <c r="AH278" i="17"/>
  <c r="AG278" i="17"/>
  <c r="AQ278" i="17"/>
  <c r="AF278" i="17"/>
  <c r="AP278" i="17"/>
  <c r="C279" i="17"/>
  <c r="E279" i="17"/>
  <c r="B279" i="17"/>
  <c r="A280" i="17"/>
  <c r="D279" i="17"/>
  <c r="AC279" i="17" l="1"/>
  <c r="AD279" i="17"/>
  <c r="AR279" i="17"/>
  <c r="AG279" i="17"/>
  <c r="AF279" i="17"/>
  <c r="AP279" i="17"/>
  <c r="AQ279" i="17"/>
  <c r="AH279" i="17"/>
  <c r="B280" i="17"/>
  <c r="A281" i="17"/>
  <c r="E280" i="17"/>
  <c r="C280" i="17"/>
  <c r="D280" i="17"/>
  <c r="AC280" i="17" l="1"/>
  <c r="AD280" i="17"/>
  <c r="AR280" i="17"/>
  <c r="AG280" i="17"/>
  <c r="AQ280" i="17"/>
  <c r="AH280" i="17"/>
  <c r="AP280" i="17"/>
  <c r="AF280" i="17"/>
  <c r="D281" i="17"/>
  <c r="B281" i="17"/>
  <c r="C281" i="17"/>
  <c r="E281" i="17"/>
  <c r="A282" i="17"/>
  <c r="AC281" i="17" l="1"/>
  <c r="AD281" i="17"/>
  <c r="AR281" i="17"/>
  <c r="B282" i="17"/>
  <c r="A283" i="17"/>
  <c r="C282" i="17"/>
  <c r="E282" i="17"/>
  <c r="D282" i="17"/>
  <c r="AH281" i="17"/>
  <c r="AP281" i="17"/>
  <c r="AG281" i="17"/>
  <c r="AF281" i="17"/>
  <c r="AQ281" i="17"/>
  <c r="AC282" i="17" l="1"/>
  <c r="AD282" i="17"/>
  <c r="AR282" i="17"/>
  <c r="AH282" i="17"/>
  <c r="AP282" i="17"/>
  <c r="AF282" i="17"/>
  <c r="AQ282" i="17"/>
  <c r="AG282" i="17"/>
  <c r="B283" i="17"/>
  <c r="A284" i="17"/>
  <c r="E283" i="17"/>
  <c r="C283" i="17"/>
  <c r="D283" i="17"/>
  <c r="AC283" i="17" l="1"/>
  <c r="AD283" i="17"/>
  <c r="AR283" i="17"/>
  <c r="AF283" i="17"/>
  <c r="AH283" i="17"/>
  <c r="AP283" i="17"/>
  <c r="AQ283" i="17"/>
  <c r="AG283" i="17"/>
  <c r="C284" i="17"/>
  <c r="B284" i="17"/>
  <c r="A285" i="17"/>
  <c r="D284" i="17"/>
  <c r="E284" i="17"/>
  <c r="AC284" i="17" l="1"/>
  <c r="AD284" i="17"/>
  <c r="AR284" i="17"/>
  <c r="AG284" i="17"/>
  <c r="AF284" i="17"/>
  <c r="AP284" i="17"/>
  <c r="AQ284" i="17"/>
  <c r="AH284" i="17"/>
  <c r="C285" i="17"/>
  <c r="A286" i="17"/>
  <c r="E285" i="17"/>
  <c r="D285" i="17"/>
  <c r="B285" i="17"/>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CY43" i="1"/>
  <c r="CX43" i="1"/>
  <c r="CW43" i="1"/>
  <c r="CV43" i="1"/>
  <c r="CU43" i="1"/>
  <c r="CT43" i="1"/>
  <c r="CS43" i="1"/>
  <c r="CR43" i="1"/>
  <c r="CY42" i="1"/>
  <c r="CX42" i="1"/>
  <c r="CW42" i="1"/>
  <c r="CV42" i="1"/>
  <c r="CU42" i="1"/>
  <c r="CT42" i="1"/>
  <c r="CS42" i="1"/>
  <c r="CR42" i="1"/>
  <c r="CY41" i="1"/>
  <c r="CX41" i="1"/>
  <c r="CW41" i="1"/>
  <c r="CV41" i="1"/>
  <c r="CU41" i="1"/>
  <c r="CT41" i="1"/>
  <c r="CS41" i="1"/>
  <c r="CR41" i="1"/>
  <c r="CY40" i="1"/>
  <c r="CX40" i="1"/>
  <c r="CW40" i="1"/>
  <c r="CV40" i="1"/>
  <c r="CU40" i="1"/>
  <c r="CT40" i="1"/>
  <c r="CS40" i="1"/>
  <c r="CR40" i="1"/>
  <c r="CY39" i="1"/>
  <c r="CX39" i="1"/>
  <c r="CW39" i="1"/>
  <c r="CV39" i="1"/>
  <c r="CU39" i="1"/>
  <c r="CT39" i="1"/>
  <c r="CS39" i="1"/>
  <c r="CR39" i="1"/>
  <c r="CY38" i="1"/>
  <c r="CX38" i="1"/>
  <c r="CW38" i="1"/>
  <c r="CV38" i="1"/>
  <c r="CU38" i="1"/>
  <c r="CT38" i="1"/>
  <c r="CS38" i="1"/>
  <c r="CR38" i="1"/>
  <c r="CY37" i="1"/>
  <c r="CX37" i="1"/>
  <c r="CW37" i="1"/>
  <c r="CV37" i="1"/>
  <c r="CU37" i="1"/>
  <c r="CT37" i="1"/>
  <c r="CS37" i="1"/>
  <c r="CR37" i="1"/>
  <c r="CY36" i="1"/>
  <c r="CX36" i="1"/>
  <c r="CW36" i="1"/>
  <c r="CV36" i="1"/>
  <c r="CU36" i="1"/>
  <c r="CT36" i="1"/>
  <c r="CS36" i="1"/>
  <c r="CR36" i="1"/>
  <c r="CY35" i="1"/>
  <c r="CX35" i="1"/>
  <c r="CW35" i="1"/>
  <c r="CV35" i="1"/>
  <c r="CU35" i="1"/>
  <c r="CT35" i="1"/>
  <c r="CS35" i="1"/>
  <c r="CR35" i="1"/>
  <c r="CY34" i="1"/>
  <c r="CX34" i="1"/>
  <c r="CW34" i="1"/>
  <c r="CV34" i="1"/>
  <c r="CU34" i="1"/>
  <c r="CT34" i="1"/>
  <c r="CS34" i="1"/>
  <c r="CR34" i="1"/>
  <c r="CY33" i="1"/>
  <c r="CX33" i="1"/>
  <c r="CW33" i="1"/>
  <c r="CV33" i="1"/>
  <c r="CU33" i="1"/>
  <c r="CT33" i="1"/>
  <c r="CS33" i="1"/>
  <c r="CR33" i="1"/>
  <c r="CY32" i="1"/>
  <c r="CX32" i="1"/>
  <c r="CW32" i="1"/>
  <c r="CV32" i="1"/>
  <c r="CU32" i="1"/>
  <c r="CT32" i="1"/>
  <c r="CS32" i="1"/>
  <c r="CR32" i="1"/>
  <c r="CY31" i="1"/>
  <c r="CX31" i="1"/>
  <c r="CW31" i="1"/>
  <c r="CV31" i="1"/>
  <c r="CU31" i="1"/>
  <c r="CT31" i="1"/>
  <c r="CS31" i="1"/>
  <c r="CR31" i="1"/>
  <c r="CY30" i="1"/>
  <c r="CX30" i="1"/>
  <c r="CW30" i="1"/>
  <c r="CV30" i="1"/>
  <c r="CU30" i="1"/>
  <c r="CT30" i="1"/>
  <c r="CS30" i="1"/>
  <c r="CR30" i="1"/>
  <c r="CY29" i="1"/>
  <c r="CX29" i="1"/>
  <c r="CW29" i="1"/>
  <c r="CV29" i="1"/>
  <c r="CU29" i="1"/>
  <c r="CT29" i="1"/>
  <c r="CS29" i="1"/>
  <c r="CR29" i="1"/>
  <c r="CY28" i="1"/>
  <c r="CX28" i="1"/>
  <c r="CW28" i="1"/>
  <c r="CV28" i="1"/>
  <c r="CU28" i="1"/>
  <c r="CT28" i="1"/>
  <c r="CS28" i="1"/>
  <c r="CR28" i="1"/>
  <c r="CY27" i="1"/>
  <c r="CX27" i="1"/>
  <c r="CW27" i="1"/>
  <c r="CV27" i="1"/>
  <c r="CU27" i="1"/>
  <c r="CT27" i="1"/>
  <c r="CS27" i="1"/>
  <c r="CR27" i="1"/>
  <c r="CY26" i="1"/>
  <c r="CX26" i="1"/>
  <c r="CW26" i="1"/>
  <c r="CV26" i="1"/>
  <c r="CU26" i="1"/>
  <c r="CT26" i="1"/>
  <c r="CS26" i="1"/>
  <c r="CR26" i="1"/>
  <c r="CY25" i="1"/>
  <c r="CX25" i="1"/>
  <c r="CW25" i="1"/>
  <c r="CV25" i="1"/>
  <c r="CU25" i="1"/>
  <c r="CT25" i="1"/>
  <c r="CS25" i="1"/>
  <c r="CR25" i="1"/>
  <c r="CY24" i="1"/>
  <c r="CX24" i="1"/>
  <c r="CW24" i="1"/>
  <c r="CV24" i="1"/>
  <c r="CU24" i="1"/>
  <c r="CT24" i="1"/>
  <c r="CS24" i="1"/>
  <c r="CR24" i="1"/>
  <c r="CY23" i="1"/>
  <c r="CX23" i="1"/>
  <c r="CW23" i="1"/>
  <c r="CV23" i="1"/>
  <c r="CU23" i="1"/>
  <c r="CT23" i="1"/>
  <c r="CS23" i="1"/>
  <c r="CR23" i="1"/>
  <c r="CY22" i="1"/>
  <c r="CX22" i="1"/>
  <c r="CW22" i="1"/>
  <c r="CV22" i="1"/>
  <c r="CU22" i="1"/>
  <c r="CT22" i="1"/>
  <c r="CS22" i="1"/>
  <c r="CR22" i="1"/>
  <c r="CY21" i="1"/>
  <c r="CX21" i="1"/>
  <c r="CW21" i="1"/>
  <c r="CV21" i="1"/>
  <c r="CU21" i="1"/>
  <c r="CT21" i="1"/>
  <c r="CS21" i="1"/>
  <c r="CR21" i="1"/>
  <c r="CY20" i="1"/>
  <c r="CX20" i="1"/>
  <c r="CW20" i="1"/>
  <c r="CV20" i="1"/>
  <c r="CU20" i="1"/>
  <c r="CT20" i="1"/>
  <c r="CS20" i="1"/>
  <c r="CR20" i="1"/>
  <c r="CY19" i="1"/>
  <c r="CX19" i="1"/>
  <c r="CW19" i="1"/>
  <c r="CV19" i="1"/>
  <c r="CU19" i="1"/>
  <c r="CT19" i="1"/>
  <c r="CS19" i="1"/>
  <c r="CR19" i="1"/>
  <c r="CY18" i="1"/>
  <c r="CX18" i="1"/>
  <c r="CW18" i="1"/>
  <c r="CV18" i="1"/>
  <c r="CU18" i="1"/>
  <c r="CT18" i="1"/>
  <c r="CS18" i="1"/>
  <c r="CR18" i="1"/>
  <c r="CY17" i="1"/>
  <c r="CX17" i="1"/>
  <c r="CW17" i="1"/>
  <c r="CV17" i="1"/>
  <c r="CU17" i="1"/>
  <c r="CT17" i="1"/>
  <c r="CS17" i="1"/>
  <c r="CR17" i="1"/>
  <c r="CY16" i="1"/>
  <c r="CX16" i="1"/>
  <c r="CW16" i="1"/>
  <c r="CV16" i="1"/>
  <c r="CU16" i="1"/>
  <c r="CT16" i="1"/>
  <c r="CS16" i="1"/>
  <c r="CR16" i="1"/>
  <c r="CY15" i="1"/>
  <c r="CX15" i="1"/>
  <c r="CW15" i="1"/>
  <c r="CV15" i="1"/>
  <c r="CU15" i="1"/>
  <c r="CT15" i="1"/>
  <c r="CS15" i="1"/>
  <c r="CR15" i="1"/>
  <c r="CY14" i="1"/>
  <c r="CX14" i="1"/>
  <c r="CW14" i="1"/>
  <c r="CV14" i="1"/>
  <c r="CU14" i="1"/>
  <c r="CT14" i="1"/>
  <c r="CS14" i="1"/>
  <c r="CR14" i="1"/>
  <c r="CY13" i="1"/>
  <c r="CX13" i="1"/>
  <c r="CW13" i="1"/>
  <c r="CV13" i="1"/>
  <c r="CU13" i="1"/>
  <c r="CT13" i="1"/>
  <c r="CS13" i="1"/>
  <c r="CR13" i="1"/>
  <c r="CY12" i="1"/>
  <c r="CX12" i="1"/>
  <c r="CW12" i="1"/>
  <c r="CV12" i="1"/>
  <c r="CU12" i="1"/>
  <c r="CT12" i="1"/>
  <c r="CS12" i="1"/>
  <c r="CR12" i="1"/>
  <c r="CY11" i="1"/>
  <c r="CX11" i="1"/>
  <c r="CW11" i="1"/>
  <c r="CV11" i="1"/>
  <c r="CU11" i="1"/>
  <c r="CT11" i="1"/>
  <c r="CS11" i="1"/>
  <c r="CR11" i="1"/>
  <c r="CY10" i="1"/>
  <c r="CX10" i="1"/>
  <c r="CW10" i="1"/>
  <c r="CV10" i="1"/>
  <c r="CU10" i="1"/>
  <c r="CT10" i="1"/>
  <c r="CS10" i="1"/>
  <c r="CR10" i="1"/>
  <c r="CY9" i="1"/>
  <c r="CX9" i="1"/>
  <c r="CW9" i="1"/>
  <c r="CV9" i="1"/>
  <c r="CU9" i="1"/>
  <c r="CT9" i="1"/>
  <c r="CS9" i="1"/>
  <c r="CR9" i="1"/>
  <c r="CY8" i="1"/>
  <c r="CX8" i="1"/>
  <c r="CW8" i="1"/>
  <c r="CV8" i="1"/>
  <c r="CU8" i="1"/>
  <c r="CT8" i="1"/>
  <c r="CS8" i="1"/>
  <c r="CR8" i="1"/>
  <c r="CY7" i="1"/>
  <c r="CX7" i="1"/>
  <c r="CW7" i="1"/>
  <c r="CV7" i="1"/>
  <c r="CU7" i="1"/>
  <c r="CT7" i="1"/>
  <c r="CS7" i="1"/>
  <c r="CR7" i="1"/>
  <c r="CY6" i="1"/>
  <c r="CX6" i="1"/>
  <c r="CW6" i="1"/>
  <c r="CV6" i="1"/>
  <c r="CU6" i="1"/>
  <c r="CT6" i="1"/>
  <c r="CS6" i="1"/>
  <c r="CR6" i="1"/>
  <c r="CY5" i="1"/>
  <c r="CX5" i="1"/>
  <c r="CW5" i="1"/>
  <c r="CV5" i="1"/>
  <c r="CU5" i="1"/>
  <c r="CT5" i="1"/>
  <c r="CS5" i="1"/>
  <c r="CR5" i="1"/>
  <c r="B1" i="1"/>
  <c r="C1" i="1" s="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F26" i="12"/>
  <c r="D26" i="12" s="1"/>
  <c r="B3" i="12"/>
  <c r="O4" i="10"/>
  <c r="B1" i="10"/>
  <c r="A4" i="9"/>
  <c r="B1" i="9"/>
  <c r="R18" i="12" l="1"/>
  <c r="AD18" i="12"/>
  <c r="E17" i="12"/>
  <c r="Q17" i="12"/>
  <c r="AC17" i="12"/>
  <c r="C17" i="12"/>
  <c r="F18" i="12"/>
  <c r="C18" i="12"/>
  <c r="M18" i="12"/>
  <c r="K18" i="12"/>
  <c r="I18" i="12"/>
  <c r="AE18" i="12"/>
  <c r="O17" i="12"/>
  <c r="AK17" i="12"/>
  <c r="AI17" i="12"/>
  <c r="AG17" i="12"/>
  <c r="B17" i="12"/>
  <c r="S18" i="12"/>
  <c r="AN18" i="12"/>
  <c r="Y17" i="12"/>
  <c r="W17" i="12"/>
  <c r="U17" i="12"/>
  <c r="AE17" i="12"/>
  <c r="G18" i="12"/>
  <c r="AB18" i="12"/>
  <c r="U18" i="12"/>
  <c r="M17" i="12"/>
  <c r="K17" i="12"/>
  <c r="I17" i="12"/>
  <c r="S17" i="12"/>
  <c r="AN17" i="12"/>
  <c r="P18" i="12"/>
  <c r="AL18" i="12"/>
  <c r="AJ18" i="12"/>
  <c r="AH18" i="12"/>
  <c r="G17" i="12"/>
  <c r="AB17" i="12"/>
  <c r="D18" i="12"/>
  <c r="F17" i="12"/>
  <c r="Z18" i="12"/>
  <c r="X18" i="12"/>
  <c r="V18" i="12"/>
  <c r="AF18" i="12"/>
  <c r="P17" i="12"/>
  <c r="AL17" i="12"/>
  <c r="AA17" i="12"/>
  <c r="N18" i="12"/>
  <c r="L18" i="12"/>
  <c r="J18" i="12"/>
  <c r="T18" i="12"/>
  <c r="B18" i="12"/>
  <c r="Z17" i="12"/>
  <c r="AJ17" i="12"/>
  <c r="AH17" i="12"/>
  <c r="AF17" i="12"/>
  <c r="H18" i="12"/>
  <c r="AC18" i="12"/>
  <c r="N17" i="12"/>
  <c r="AI18" i="12"/>
  <c r="AG18" i="12"/>
  <c r="R17" i="12"/>
  <c r="AM17" i="12"/>
  <c r="Y18" i="12"/>
  <c r="X17" i="12"/>
  <c r="V17" i="12"/>
  <c r="T17" i="12"/>
  <c r="D17" i="12"/>
  <c r="Q18" i="12"/>
  <c r="AM18" i="12"/>
  <c r="AK18" i="12"/>
  <c r="O18" i="12"/>
  <c r="W18" i="12"/>
  <c r="L17" i="12"/>
  <c r="J17" i="12"/>
  <c r="H17" i="12"/>
  <c r="AD17" i="12"/>
  <c r="E18" i="12"/>
  <c r="AA18" i="12"/>
  <c r="B14" i="12"/>
  <c r="D11" i="12"/>
  <c r="P11" i="12"/>
  <c r="AB11" i="12"/>
  <c r="AN11" i="12"/>
  <c r="M9" i="12"/>
  <c r="Y9" i="12"/>
  <c r="AK9" i="12"/>
  <c r="L6" i="12"/>
  <c r="AA6" i="12"/>
  <c r="AF11" i="12"/>
  <c r="AG11" i="12"/>
  <c r="H9" i="12"/>
  <c r="AK11" i="12"/>
  <c r="E11" i="12"/>
  <c r="Q11" i="12"/>
  <c r="AC11" i="12"/>
  <c r="B11" i="12"/>
  <c r="N9" i="12"/>
  <c r="Z9" i="12"/>
  <c r="AL9" i="12"/>
  <c r="N6" i="12"/>
  <c r="AD6" i="12"/>
  <c r="H11" i="12"/>
  <c r="E9" i="12"/>
  <c r="Q9" i="12"/>
  <c r="AC9" i="12"/>
  <c r="B9" i="12"/>
  <c r="Q6" i="12"/>
  <c r="AI6" i="12"/>
  <c r="R9" i="12"/>
  <c r="S6" i="12"/>
  <c r="AJ6" i="12"/>
  <c r="V11" i="12"/>
  <c r="S9" i="12"/>
  <c r="AE9" i="12"/>
  <c r="AK6" i="12"/>
  <c r="W11" i="12"/>
  <c r="G6" i="12"/>
  <c r="X11" i="12"/>
  <c r="I9" i="12"/>
  <c r="H6" i="12"/>
  <c r="J9" i="12"/>
  <c r="I6" i="12"/>
  <c r="Z11" i="12"/>
  <c r="W9" i="12"/>
  <c r="J6" i="12"/>
  <c r="O11" i="12"/>
  <c r="L9" i="12"/>
  <c r="K6" i="12"/>
  <c r="F11" i="12"/>
  <c r="R11" i="12"/>
  <c r="AD11" i="12"/>
  <c r="C9" i="12"/>
  <c r="O9" i="12"/>
  <c r="AA9" i="12"/>
  <c r="AM9" i="12"/>
  <c r="O6" i="12"/>
  <c r="AG6" i="12"/>
  <c r="U11" i="12"/>
  <c r="J11" i="12"/>
  <c r="G9" i="12"/>
  <c r="F6" i="12"/>
  <c r="K11" i="12"/>
  <c r="AF9" i="12"/>
  <c r="AL6" i="12"/>
  <c r="L11" i="12"/>
  <c r="U9" i="12"/>
  <c r="W6" i="12"/>
  <c r="M11" i="12"/>
  <c r="V9" i="12"/>
  <c r="X6" i="12"/>
  <c r="N11" i="12"/>
  <c r="K9" i="12"/>
  <c r="Y6" i="12"/>
  <c r="AA11" i="12"/>
  <c r="AM11" i="12"/>
  <c r="AJ9" i="12"/>
  <c r="G11" i="12"/>
  <c r="S11" i="12"/>
  <c r="AE11" i="12"/>
  <c r="D9" i="12"/>
  <c r="P9" i="12"/>
  <c r="AB9" i="12"/>
  <c r="AN9" i="12"/>
  <c r="P6" i="12"/>
  <c r="AH6" i="12"/>
  <c r="T11" i="12"/>
  <c r="I11" i="12"/>
  <c r="F9" i="12"/>
  <c r="AD9" i="12"/>
  <c r="C6" i="12"/>
  <c r="AH11" i="12"/>
  <c r="T6" i="12"/>
  <c r="AI11" i="12"/>
  <c r="T9" i="12"/>
  <c r="V6" i="12"/>
  <c r="AJ11" i="12"/>
  <c r="AG9" i="12"/>
  <c r="AM6" i="12"/>
  <c r="Y11" i="12"/>
  <c r="AH9" i="12"/>
  <c r="AN6" i="12"/>
  <c r="AL11" i="12"/>
  <c r="AI9" i="12"/>
  <c r="B6" i="12"/>
  <c r="C11" i="12"/>
  <c r="X9" i="12"/>
  <c r="Z6" i="12"/>
  <c r="U6" i="12"/>
  <c r="AE6" i="12"/>
  <c r="AB6" i="12"/>
  <c r="R6" i="12"/>
  <c r="D6" i="12"/>
  <c r="E6" i="12"/>
  <c r="M6" i="12"/>
  <c r="AC6" i="12"/>
  <c r="AF6" i="12"/>
  <c r="AD1" i="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AC285" i="17"/>
  <c r="AD285" i="17"/>
  <c r="AR285" i="17"/>
  <c r="I18" i="9"/>
  <c r="K18" i="9"/>
  <c r="M18" i="9"/>
  <c r="A11" i="9"/>
  <c r="K11" i="9"/>
  <c r="M11" i="9"/>
  <c r="I11" i="9"/>
  <c r="K4" i="9"/>
  <c r="I4" i="9"/>
  <c r="M4" i="9"/>
  <c r="C4" i="9"/>
  <c r="B4" i="9"/>
  <c r="AG285" i="17"/>
  <c r="AQ285" i="17"/>
  <c r="AF285" i="17"/>
  <c r="AP285" i="17"/>
  <c r="AH285" i="17"/>
  <c r="D286" i="17"/>
  <c r="C286" i="17"/>
  <c r="B286" i="17"/>
  <c r="E286" i="17"/>
  <c r="A287" i="17"/>
  <c r="C3" i="12"/>
  <c r="CZ8" i="1"/>
  <c r="DB8" i="1" s="1"/>
  <c r="CZ12" i="1"/>
  <c r="DB12" i="1" s="1"/>
  <c r="CZ36" i="1"/>
  <c r="DB36" i="1" s="1"/>
  <c r="DA15" i="1"/>
  <c r="DA27" i="1"/>
  <c r="DA29" i="1"/>
  <c r="DA41" i="1"/>
  <c r="CZ5" i="1"/>
  <c r="DB5" i="1" s="1"/>
  <c r="CZ9" i="1"/>
  <c r="DB9" i="1" s="1"/>
  <c r="CZ17" i="1"/>
  <c r="DB17" i="1" s="1"/>
  <c r="CZ21" i="1"/>
  <c r="DB21" i="1" s="1"/>
  <c r="CZ29" i="1"/>
  <c r="DB29" i="1" s="1"/>
  <c r="CZ33" i="1"/>
  <c r="DB33" i="1" s="1"/>
  <c r="CZ37" i="1"/>
  <c r="DB37" i="1" s="1"/>
  <c r="DA7" i="1"/>
  <c r="DA19" i="1"/>
  <c r="CZ26" i="1"/>
  <c r="DB26" i="1" s="1"/>
  <c r="DA23" i="1"/>
  <c r="DA38" i="1"/>
  <c r="DA39" i="1"/>
  <c r="CZ15" i="1"/>
  <c r="DB15" i="1" s="1"/>
  <c r="CZ23" i="1"/>
  <c r="DB23" i="1" s="1"/>
  <c r="CZ35" i="1"/>
  <c r="DB35" i="1" s="1"/>
  <c r="CZ24" i="1"/>
  <c r="DB24" i="1" s="1"/>
  <c r="CZ41" i="1"/>
  <c r="DB41" i="1" s="1"/>
  <c r="CZ13" i="1"/>
  <c r="DB13" i="1" s="1"/>
  <c r="CZ32" i="1"/>
  <c r="DB32" i="1" s="1"/>
  <c r="DA43" i="1"/>
  <c r="DA17" i="1"/>
  <c r="CZ20" i="1"/>
  <c r="DB20" i="1" s="1"/>
  <c r="DA26" i="1"/>
  <c r="CZ27" i="1"/>
  <c r="DB27" i="1" s="1"/>
  <c r="DA32" i="1"/>
  <c r="DA33" i="1"/>
  <c r="DA37" i="1"/>
  <c r="DA11" i="1"/>
  <c r="CZ14" i="1"/>
  <c r="DB14" i="1" s="1"/>
  <c r="DA20" i="1"/>
  <c r="DA21" i="1"/>
  <c r="CZ30" i="1"/>
  <c r="DB30" i="1" s="1"/>
  <c r="DA5" i="1"/>
  <c r="CZ11" i="1"/>
  <c r="DB11" i="1" s="1"/>
  <c r="DA14" i="1"/>
  <c r="CZ18" i="1"/>
  <c r="DB18" i="1" s="1"/>
  <c r="DA25" i="1"/>
  <c r="DA31" i="1"/>
  <c r="DA8" i="1"/>
  <c r="DA9" i="1"/>
  <c r="DA13" i="1"/>
  <c r="CZ34" i="1"/>
  <c r="DB34" i="1" s="1"/>
  <c r="CZ42" i="1"/>
  <c r="DB42" i="1" s="1"/>
  <c r="CZ6" i="1"/>
  <c r="DB6" i="1" s="1"/>
  <c r="CZ22" i="1"/>
  <c r="DB22" i="1" s="1"/>
  <c r="CZ25" i="1"/>
  <c r="DB25" i="1" s="1"/>
  <c r="DA35" i="1"/>
  <c r="CZ38" i="1"/>
  <c r="DB38" i="1" s="1"/>
  <c r="CZ39" i="1"/>
  <c r="DB39" i="1" s="1"/>
  <c r="B8" i="9"/>
  <c r="B7" i="9" s="1"/>
  <c r="B4" i="10"/>
  <c r="CZ10" i="1"/>
  <c r="DB10" i="1" s="1"/>
  <c r="CZ16" i="1"/>
  <c r="DB16" i="1" s="1"/>
  <c r="CZ28" i="1"/>
  <c r="DB28" i="1" s="1"/>
  <c r="CZ40" i="1"/>
  <c r="DB40" i="1" s="1"/>
  <c r="CZ7" i="1"/>
  <c r="DB7" i="1" s="1"/>
  <c r="CZ19" i="1"/>
  <c r="DB19" i="1" s="1"/>
  <c r="CZ31" i="1"/>
  <c r="DB31" i="1" s="1"/>
  <c r="CZ43" i="1"/>
  <c r="DB43" i="1" s="1"/>
  <c r="DA6" i="1"/>
  <c r="DA12" i="1"/>
  <c r="DA18" i="1"/>
  <c r="DA24" i="1"/>
  <c r="DA30" i="1"/>
  <c r="DA36" i="1"/>
  <c r="DA42" i="1"/>
  <c r="DA10" i="1"/>
  <c r="DA16" i="1"/>
  <c r="DA22" i="1"/>
  <c r="DA28" i="1"/>
  <c r="DA34" i="1"/>
  <c r="DA40" i="1"/>
  <c r="A4" i="10"/>
  <c r="E108" i="12"/>
  <c r="E100" i="12"/>
  <c r="E92" i="12"/>
  <c r="E84" i="12"/>
  <c r="E72" i="12"/>
  <c r="E64" i="12"/>
  <c r="E60" i="12"/>
  <c r="E52" i="12"/>
  <c r="E44" i="12"/>
  <c r="E40" i="12"/>
  <c r="E32" i="12"/>
  <c r="E104" i="12"/>
  <c r="E96" i="12"/>
  <c r="E88" i="12"/>
  <c r="E80" i="12"/>
  <c r="E76" i="12"/>
  <c r="E68" i="12"/>
  <c r="E56" i="12"/>
  <c r="E48" i="12"/>
  <c r="E36" i="12"/>
  <c r="E107" i="12"/>
  <c r="E103" i="12"/>
  <c r="E99" i="12"/>
  <c r="E95" i="12"/>
  <c r="E91" i="12"/>
  <c r="E87" i="12"/>
  <c r="E83" i="12"/>
  <c r="E79" i="12"/>
  <c r="E75" i="12"/>
  <c r="E71" i="12"/>
  <c r="E67" i="12"/>
  <c r="E63" i="12"/>
  <c r="E59" i="12"/>
  <c r="E55" i="12"/>
  <c r="E51" i="12"/>
  <c r="E47" i="12"/>
  <c r="E43" i="12"/>
  <c r="E39" i="12"/>
  <c r="E35" i="12"/>
  <c r="E31" i="12"/>
  <c r="E106" i="12"/>
  <c r="E98" i="12"/>
  <c r="E94" i="12"/>
  <c r="E86" i="12"/>
  <c r="E78" i="12"/>
  <c r="E70" i="12"/>
  <c r="E62" i="12"/>
  <c r="E50" i="12"/>
  <c r="E42" i="12"/>
  <c r="E34" i="12"/>
  <c r="E105" i="12"/>
  <c r="E89" i="12"/>
  <c r="E85" i="12"/>
  <c r="E77" i="12"/>
  <c r="E65" i="12"/>
  <c r="E53" i="12"/>
  <c r="E37" i="12"/>
  <c r="E102" i="12"/>
  <c r="E90" i="12"/>
  <c r="E82" i="12"/>
  <c r="E74" i="12"/>
  <c r="E66" i="12"/>
  <c r="E58" i="12"/>
  <c r="E54" i="12"/>
  <c r="E46" i="12"/>
  <c r="E38" i="12"/>
  <c r="E30" i="12"/>
  <c r="E93" i="12"/>
  <c r="E69" i="12"/>
  <c r="E49" i="12"/>
  <c r="E33" i="12"/>
  <c r="E97" i="12"/>
  <c r="E81" i="12"/>
  <c r="E61" i="12"/>
  <c r="E45" i="12"/>
  <c r="E101" i="12"/>
  <c r="E73" i="12"/>
  <c r="E57" i="12"/>
  <c r="E41" i="12"/>
  <c r="BQ1" i="1" l="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s="1"/>
  <c r="CP1" i="1" s="1"/>
  <c r="CQ1" i="1" s="1"/>
  <c r="CR1" i="1" s="1"/>
  <c r="CS1" i="1" s="1"/>
  <c r="CT1" i="1" s="1"/>
  <c r="CU1" i="1" s="1"/>
  <c r="CV1" i="1" s="1"/>
  <c r="CW1" i="1" s="1"/>
  <c r="CX1" i="1" s="1"/>
  <c r="CY1" i="1" s="1"/>
  <c r="CZ1" i="1" s="1"/>
  <c r="DA1" i="1" s="1"/>
  <c r="DB1" i="1" s="1"/>
  <c r="AC286" i="17"/>
  <c r="AD286" i="17"/>
  <c r="AR286" i="17"/>
  <c r="O18" i="9"/>
  <c r="O4" i="9"/>
  <c r="O11" i="9"/>
  <c r="A18" i="9"/>
  <c r="C18" i="9" s="1"/>
  <c r="C11" i="9"/>
  <c r="D287" i="17"/>
  <c r="B287" i="17"/>
  <c r="C287" i="17"/>
  <c r="A288" i="17"/>
  <c r="E287" i="17"/>
  <c r="AQ286" i="17"/>
  <c r="AF286" i="17"/>
  <c r="AP286" i="17"/>
  <c r="AH286" i="17"/>
  <c r="AG286" i="17"/>
  <c r="B11" i="9"/>
  <c r="B15" i="9"/>
  <c r="B14" i="9" s="1"/>
  <c r="T19" i="12"/>
  <c r="K19" i="12"/>
  <c r="Z19" i="12"/>
  <c r="L19" i="12"/>
  <c r="N19" i="12"/>
  <c r="P19" i="12"/>
  <c r="C19" i="12"/>
  <c r="Y19" i="12"/>
  <c r="AI19" i="12"/>
  <c r="AH19" i="12"/>
  <c r="AA19" i="12"/>
  <c r="D19" i="12"/>
  <c r="AN19" i="12"/>
  <c r="S19" i="12"/>
  <c r="V19" i="12"/>
  <c r="X19" i="12"/>
  <c r="Q19" i="12"/>
  <c r="W19" i="12"/>
  <c r="U19" i="12"/>
  <c r="O19" i="12"/>
  <c r="M19" i="12"/>
  <c r="AM19" i="12"/>
  <c r="G19" i="12"/>
  <c r="AK19" i="12"/>
  <c r="E19" i="12"/>
  <c r="AG19" i="12"/>
  <c r="AE19" i="12"/>
  <c r="AC19" i="12"/>
  <c r="J19" i="12"/>
  <c r="AF19" i="12"/>
  <c r="AG20" i="12"/>
  <c r="Y20" i="12"/>
  <c r="R20" i="12"/>
  <c r="J20" i="12"/>
  <c r="B20" i="12"/>
  <c r="B16" i="12"/>
  <c r="B13" i="12"/>
  <c r="AG7" i="12"/>
  <c r="Y7" i="12"/>
  <c r="R7" i="12"/>
  <c r="J7" i="12"/>
  <c r="B7" i="12"/>
  <c r="AG5" i="12"/>
  <c r="Y5" i="12"/>
  <c r="R5" i="12"/>
  <c r="J5" i="12"/>
  <c r="B5" i="12"/>
  <c r="AN20" i="12"/>
  <c r="AF20" i="12"/>
  <c r="Q20" i="12"/>
  <c r="I20" i="12"/>
  <c r="AN7" i="12"/>
  <c r="AF7" i="12"/>
  <c r="Q7" i="12"/>
  <c r="I7" i="12"/>
  <c r="AN5" i="12"/>
  <c r="AF5" i="12"/>
  <c r="Q5" i="12"/>
  <c r="I5" i="12"/>
  <c r="AM20" i="12"/>
  <c r="AE20" i="12"/>
  <c r="X20" i="12"/>
  <c r="P20" i="12"/>
  <c r="H20" i="12"/>
  <c r="AM7" i="12"/>
  <c r="AE7" i="12"/>
  <c r="X7" i="12"/>
  <c r="P7" i="12"/>
  <c r="H7" i="12"/>
  <c r="AM5" i="12"/>
  <c r="AE5" i="12"/>
  <c r="X5" i="12"/>
  <c r="P5" i="12"/>
  <c r="H5" i="12"/>
  <c r="AI20" i="12"/>
  <c r="AA20" i="12"/>
  <c r="T20" i="12"/>
  <c r="L20" i="12"/>
  <c r="D20" i="12"/>
  <c r="AL20" i="12"/>
  <c r="AD20" i="12"/>
  <c r="W20" i="12"/>
  <c r="O20" i="12"/>
  <c r="G20" i="12"/>
  <c r="AL7" i="12"/>
  <c r="AD7" i="12"/>
  <c r="W7" i="12"/>
  <c r="O7" i="12"/>
  <c r="G7" i="12"/>
  <c r="AL5" i="12"/>
  <c r="AD5" i="12"/>
  <c r="W5" i="12"/>
  <c r="O5" i="12"/>
  <c r="G5" i="12"/>
  <c r="AK20" i="12"/>
  <c r="AC20" i="12"/>
  <c r="V20" i="12"/>
  <c r="N20" i="12"/>
  <c r="F20" i="12"/>
  <c r="AK7" i="12"/>
  <c r="AC7" i="12"/>
  <c r="V7" i="12"/>
  <c r="N7" i="12"/>
  <c r="F7" i="12"/>
  <c r="AK5" i="12"/>
  <c r="AC5" i="12"/>
  <c r="V5" i="12"/>
  <c r="N5" i="12"/>
  <c r="F5" i="12"/>
  <c r="AJ20" i="12"/>
  <c r="AB20" i="12"/>
  <c r="U20" i="12"/>
  <c r="M20" i="12"/>
  <c r="E20" i="12"/>
  <c r="AJ7" i="12"/>
  <c r="AB7" i="12"/>
  <c r="U7" i="12"/>
  <c r="M7" i="12"/>
  <c r="E7" i="12"/>
  <c r="AJ5" i="12"/>
  <c r="AB5" i="12"/>
  <c r="U5" i="12"/>
  <c r="M5" i="12"/>
  <c r="E5" i="12"/>
  <c r="AH20" i="12"/>
  <c r="Z20" i="12"/>
  <c r="S20" i="12"/>
  <c r="K20" i="12"/>
  <c r="C20" i="12"/>
  <c r="T7" i="12"/>
  <c r="L5" i="12"/>
  <c r="K7" i="12"/>
  <c r="AI7" i="12"/>
  <c r="D7" i="12"/>
  <c r="AA7" i="12"/>
  <c r="Z7" i="12"/>
  <c r="S7" i="12"/>
  <c r="K5" i="12"/>
  <c r="L7" i="12"/>
  <c r="AI5" i="12"/>
  <c r="D5" i="12"/>
  <c r="AH5" i="12"/>
  <c r="C5" i="12"/>
  <c r="AA5" i="12"/>
  <c r="T5" i="12"/>
  <c r="S5" i="12"/>
  <c r="AH7" i="12"/>
  <c r="C7" i="12"/>
  <c r="Z5" i="12"/>
  <c r="H19" i="12"/>
  <c r="AL19" i="12"/>
  <c r="F19" i="12"/>
  <c r="AJ19" i="12"/>
  <c r="I19" i="12"/>
  <c r="R19" i="12"/>
  <c r="AG14" i="12"/>
  <c r="AG16" i="12" s="1"/>
  <c r="Y14" i="12"/>
  <c r="Y16" i="12" s="1"/>
  <c r="R14" i="12"/>
  <c r="R16" i="12" s="1"/>
  <c r="J14" i="12"/>
  <c r="J16" i="12" s="1"/>
  <c r="AN14" i="12"/>
  <c r="AN16" i="12" s="1"/>
  <c r="AF14" i="12"/>
  <c r="AF16" i="12" s="1"/>
  <c r="Q14" i="12"/>
  <c r="Q16" i="12" s="1"/>
  <c r="I14" i="12"/>
  <c r="I16" i="12" s="1"/>
  <c r="AM14" i="12"/>
  <c r="AM16" i="12" s="1"/>
  <c r="AE14" i="12"/>
  <c r="AE16" i="12" s="1"/>
  <c r="X14" i="12"/>
  <c r="X16" i="12" s="1"/>
  <c r="P14" i="12"/>
  <c r="P16" i="12" s="1"/>
  <c r="H14" i="12"/>
  <c r="H16" i="12" s="1"/>
  <c r="AL14" i="12"/>
  <c r="AL16" i="12" s="1"/>
  <c r="AD14" i="12"/>
  <c r="AD16" i="12" s="1"/>
  <c r="W14" i="12"/>
  <c r="W16" i="12" s="1"/>
  <c r="O14" i="12"/>
  <c r="O16" i="12" s="1"/>
  <c r="G14" i="12"/>
  <c r="G16" i="12" s="1"/>
  <c r="AK14" i="12"/>
  <c r="AK16" i="12" s="1"/>
  <c r="AC14" i="12"/>
  <c r="AC16" i="12" s="1"/>
  <c r="V14" i="12"/>
  <c r="V16" i="12" s="1"/>
  <c r="N14" i="12"/>
  <c r="N16" i="12" s="1"/>
  <c r="F14" i="12"/>
  <c r="F16" i="12" s="1"/>
  <c r="AJ14" i="12"/>
  <c r="AJ16" i="12" s="1"/>
  <c r="AB14" i="12"/>
  <c r="AB16" i="12" s="1"/>
  <c r="U14" i="12"/>
  <c r="U16" i="12" s="1"/>
  <c r="M14" i="12"/>
  <c r="M16" i="12" s="1"/>
  <c r="E14" i="12"/>
  <c r="E16" i="12" s="1"/>
  <c r="T14" i="12"/>
  <c r="T16" i="12" s="1"/>
  <c r="K14" i="12"/>
  <c r="K16" i="12" s="1"/>
  <c r="AI14" i="12"/>
  <c r="AI16" i="12" s="1"/>
  <c r="D14" i="12"/>
  <c r="D16" i="12" s="1"/>
  <c r="AA14" i="12"/>
  <c r="AA16" i="12" s="1"/>
  <c r="S14" i="12"/>
  <c r="S16" i="12" s="1"/>
  <c r="L14" i="12"/>
  <c r="L16" i="12" s="1"/>
  <c r="Z14" i="12"/>
  <c r="Z16" i="12" s="1"/>
  <c r="AH14" i="12"/>
  <c r="AH16" i="12" s="1"/>
  <c r="C14" i="12"/>
  <c r="C16" i="12" s="1"/>
  <c r="B19" i="12"/>
  <c r="AD19" i="12"/>
  <c r="AB19" i="12"/>
  <c r="AC287" i="17" l="1"/>
  <c r="AD287" i="17"/>
  <c r="AR287" i="17"/>
  <c r="A289" i="17"/>
  <c r="E288" i="17"/>
  <c r="D288" i="17"/>
  <c r="C288" i="17"/>
  <c r="B288" i="17"/>
  <c r="AH287" i="17"/>
  <c r="AF287" i="17"/>
  <c r="AP287" i="17"/>
  <c r="AQ287" i="17"/>
  <c r="AG287" i="17"/>
  <c r="B18" i="9"/>
  <c r="AG13" i="12"/>
  <c r="Y13" i="12"/>
  <c r="R13" i="12"/>
  <c r="J13" i="12"/>
  <c r="AN13" i="12"/>
  <c r="AF13" i="12"/>
  <c r="Q13" i="12"/>
  <c r="I13" i="12"/>
  <c r="AM13" i="12"/>
  <c r="AE13" i="12"/>
  <c r="X13" i="12"/>
  <c r="P13" i="12"/>
  <c r="H13" i="12"/>
  <c r="AL13" i="12"/>
  <c r="AD13" i="12"/>
  <c r="W13" i="12"/>
  <c r="O13" i="12"/>
  <c r="G13" i="12"/>
  <c r="AK13" i="12"/>
  <c r="AC13" i="12"/>
  <c r="V13" i="12"/>
  <c r="N13" i="12"/>
  <c r="F13" i="12"/>
  <c r="AJ13" i="12"/>
  <c r="AB13" i="12"/>
  <c r="U13" i="12"/>
  <c r="M13" i="12"/>
  <c r="E13" i="12"/>
  <c r="AA13" i="12"/>
  <c r="S13" i="12"/>
  <c r="L13" i="12"/>
  <c r="AI13" i="12"/>
  <c r="D13" i="12"/>
  <c r="Z13" i="12"/>
  <c r="T13" i="12"/>
  <c r="AH13" i="12"/>
  <c r="C13" i="12"/>
  <c r="K13" i="12"/>
  <c r="AC288" i="17" l="1"/>
  <c r="AD288" i="17"/>
  <c r="AR288" i="17"/>
  <c r="AQ288" i="17"/>
  <c r="AF288" i="17"/>
  <c r="AG288" i="17"/>
  <c r="AP288" i="17"/>
  <c r="AH288" i="17"/>
  <c r="D289" i="17"/>
  <c r="A290" i="17"/>
  <c r="E289" i="17"/>
  <c r="C289" i="17"/>
  <c r="B289" i="17"/>
  <c r="AC289" i="17" l="1"/>
  <c r="AD289" i="17"/>
  <c r="AR289" i="17"/>
  <c r="E290" i="17"/>
  <c r="D290" i="17"/>
  <c r="C290" i="17"/>
  <c r="A291" i="17"/>
  <c r="B290" i="17"/>
  <c r="AF289" i="17"/>
  <c r="AG289" i="17"/>
  <c r="AP289" i="17"/>
  <c r="AQ289" i="17"/>
  <c r="AH289" i="17"/>
  <c r="AC290" i="17" l="1"/>
  <c r="AD290" i="17"/>
  <c r="AR290" i="17"/>
  <c r="C291" i="17"/>
  <c r="E291" i="17"/>
  <c r="A292" i="17"/>
  <c r="D291" i="17"/>
  <c r="B291" i="17"/>
  <c r="AF290" i="17"/>
  <c r="AP290" i="17"/>
  <c r="AG290" i="17"/>
  <c r="AH290" i="17"/>
  <c r="AQ290" i="17"/>
  <c r="AC291" i="17" l="1"/>
  <c r="AD291" i="17"/>
  <c r="AR291" i="17"/>
  <c r="AG291" i="17"/>
  <c r="AQ291" i="17"/>
  <c r="AH291" i="17"/>
  <c r="AF291" i="17"/>
  <c r="AP291" i="17"/>
  <c r="C292" i="17"/>
  <c r="D292" i="17"/>
  <c r="B292" i="17"/>
  <c r="E292" i="17"/>
  <c r="A293" i="17"/>
  <c r="AC292" i="17" l="1"/>
  <c r="AD292" i="17"/>
  <c r="AR292" i="17"/>
  <c r="A294" i="17"/>
  <c r="D293" i="17"/>
  <c r="B293" i="17"/>
  <c r="E293" i="17"/>
  <c r="C293" i="17"/>
  <c r="AG292" i="17"/>
  <c r="AH292" i="17"/>
  <c r="AF292" i="17"/>
  <c r="AQ292" i="17"/>
  <c r="AP292" i="17"/>
  <c r="AC293" i="17" l="1"/>
  <c r="AD293" i="17"/>
  <c r="AR293" i="17"/>
  <c r="AH293" i="17"/>
  <c r="AG293" i="17"/>
  <c r="AF293" i="17"/>
  <c r="AP293" i="17"/>
  <c r="AQ293" i="17"/>
  <c r="B294" i="17"/>
  <c r="D294" i="17"/>
  <c r="A295" i="17"/>
  <c r="C294" i="17"/>
  <c r="E294" i="17"/>
  <c r="AC294" i="17" l="1"/>
  <c r="AD294" i="17"/>
  <c r="AR294" i="17"/>
  <c r="B295" i="17"/>
  <c r="A296" i="17"/>
  <c r="E295" i="17"/>
  <c r="D295" i="17"/>
  <c r="C295" i="17"/>
  <c r="AH294" i="17"/>
  <c r="AF294" i="17"/>
  <c r="AP294" i="17"/>
  <c r="AQ294" i="17"/>
  <c r="AG294" i="17"/>
  <c r="AC295" i="17" l="1"/>
  <c r="AD295" i="17"/>
  <c r="AR295" i="17"/>
  <c r="AF295" i="17"/>
  <c r="AP295" i="17"/>
  <c r="AH295" i="17"/>
  <c r="AQ295" i="17"/>
  <c r="AG295" i="17"/>
  <c r="C296" i="17"/>
  <c r="B296" i="17"/>
  <c r="A297" i="17"/>
  <c r="E296" i="17"/>
  <c r="D296" i="17"/>
  <c r="AC296" i="17" l="1"/>
  <c r="AD296" i="17"/>
  <c r="AR296" i="17"/>
  <c r="AP296" i="17"/>
  <c r="AH296" i="17"/>
  <c r="AQ296" i="17"/>
  <c r="AG296" i="17"/>
  <c r="AF296" i="17"/>
  <c r="A298" i="17"/>
  <c r="B297" i="17"/>
  <c r="C297" i="17"/>
  <c r="E297" i="17"/>
  <c r="D297" i="17"/>
  <c r="AC297" i="17" l="1"/>
  <c r="AD297" i="17"/>
  <c r="AR297" i="17"/>
  <c r="AG297" i="17"/>
  <c r="AH297" i="17"/>
  <c r="AQ297" i="17"/>
  <c r="AF297" i="17"/>
  <c r="AP297" i="17"/>
  <c r="E298" i="17"/>
  <c r="D298" i="17"/>
  <c r="C298" i="17"/>
  <c r="B298" i="17"/>
  <c r="A299" i="17"/>
  <c r="AC298" i="17" l="1"/>
  <c r="AD298" i="17"/>
  <c r="AR298" i="17"/>
  <c r="D299" i="17"/>
  <c r="B299" i="17"/>
  <c r="A300" i="17"/>
  <c r="C299" i="17"/>
  <c r="E299" i="17"/>
  <c r="AH298" i="17"/>
  <c r="AG298" i="17"/>
  <c r="AQ298" i="17"/>
  <c r="AF298" i="17"/>
  <c r="AP298" i="17"/>
  <c r="AC299" i="17" l="1"/>
  <c r="AD299" i="17"/>
  <c r="AR299" i="17"/>
  <c r="A301" i="17"/>
  <c r="E300" i="17"/>
  <c r="D300" i="17"/>
  <c r="C300" i="17"/>
  <c r="B300" i="17"/>
  <c r="AF299" i="17"/>
  <c r="AQ299" i="17"/>
  <c r="AP299" i="17"/>
  <c r="AG299" i="17"/>
  <c r="AH299" i="17"/>
  <c r="AC300" i="17" l="1"/>
  <c r="AD300" i="17"/>
  <c r="AR300" i="17"/>
  <c r="AG300" i="17"/>
  <c r="AF300" i="17"/>
  <c r="AQ300" i="17"/>
  <c r="AP300" i="17"/>
  <c r="AH300" i="17"/>
  <c r="A302" i="17"/>
  <c r="E301" i="17"/>
  <c r="C301" i="17"/>
  <c r="B301" i="17"/>
  <c r="D301" i="17"/>
  <c r="AC301" i="17" l="1"/>
  <c r="AD301" i="17"/>
  <c r="AR301" i="17"/>
  <c r="AF301" i="17"/>
  <c r="AP301" i="17"/>
  <c r="AH301" i="17"/>
  <c r="AQ301" i="17"/>
  <c r="AG301" i="17"/>
  <c r="A303" i="17"/>
  <c r="E302" i="17"/>
  <c r="D302" i="17"/>
  <c r="C302" i="17"/>
  <c r="B302" i="17"/>
  <c r="AC302" i="17" l="1"/>
  <c r="AD302" i="17"/>
  <c r="AR302" i="17"/>
  <c r="AF302" i="17"/>
  <c r="AP302" i="17"/>
  <c r="AQ302" i="17"/>
  <c r="AH302" i="17"/>
  <c r="AG302" i="17"/>
  <c r="B303" i="17"/>
  <c r="A304" i="17"/>
  <c r="D303" i="17"/>
  <c r="C303" i="17"/>
  <c r="E303" i="17"/>
  <c r="AC303" i="17" l="1"/>
  <c r="AD303" i="17"/>
  <c r="AR303" i="17"/>
  <c r="AG303" i="17"/>
  <c r="AQ303" i="17"/>
  <c r="AF303" i="17"/>
  <c r="AP303" i="17"/>
  <c r="AH303" i="17"/>
  <c r="D304" i="17"/>
  <c r="B304" i="17"/>
  <c r="A305" i="17"/>
  <c r="E304" i="17"/>
  <c r="C304" i="17"/>
  <c r="AC304" i="17" l="1"/>
  <c r="AD304" i="17"/>
  <c r="AR304" i="17"/>
  <c r="A306" i="17"/>
  <c r="C305" i="17"/>
  <c r="E305" i="17"/>
  <c r="B305" i="17"/>
  <c r="D305" i="17"/>
  <c r="AQ304" i="17"/>
  <c r="AP304" i="17"/>
  <c r="AH304" i="17"/>
  <c r="AF304" i="17"/>
  <c r="AG304" i="17"/>
  <c r="AC305" i="17" l="1"/>
  <c r="AD305" i="17"/>
  <c r="AR305" i="17"/>
  <c r="AH305" i="17"/>
  <c r="AF305" i="17"/>
  <c r="AQ305" i="17"/>
  <c r="AP305" i="17"/>
  <c r="AG305" i="17"/>
  <c r="C306" i="17"/>
  <c r="E306" i="17"/>
  <c r="D306" i="17"/>
  <c r="B306" i="17"/>
  <c r="A307" i="17"/>
  <c r="AC306" i="17" l="1"/>
  <c r="AD306" i="17"/>
  <c r="AR306" i="17"/>
  <c r="D307" i="17"/>
  <c r="B307" i="17"/>
  <c r="E307" i="17"/>
  <c r="A308" i="17"/>
  <c r="C307" i="17"/>
  <c r="AH306" i="17"/>
  <c r="AQ306" i="17"/>
  <c r="AG306" i="17"/>
  <c r="AP306" i="17"/>
  <c r="AF306" i="17"/>
  <c r="AC307" i="17" l="1"/>
  <c r="AD307" i="17"/>
  <c r="AR307" i="17"/>
  <c r="C308" i="17"/>
  <c r="B308" i="17"/>
  <c r="E308" i="17"/>
  <c r="A309" i="17"/>
  <c r="D308" i="17"/>
  <c r="AH307" i="17"/>
  <c r="AG307" i="17"/>
  <c r="AQ307" i="17"/>
  <c r="AF307" i="17"/>
  <c r="AP307" i="17"/>
  <c r="AC308" i="17" l="1"/>
  <c r="AD308" i="17"/>
  <c r="AR308" i="17"/>
  <c r="AH308" i="17"/>
  <c r="AG308" i="17"/>
  <c r="AP308" i="17"/>
  <c r="AQ308" i="17"/>
  <c r="AF308" i="17"/>
  <c r="C309" i="17"/>
  <c r="A310" i="17"/>
  <c r="B309" i="17"/>
  <c r="E309" i="17"/>
  <c r="D309" i="17"/>
  <c r="AC309" i="17" l="1"/>
  <c r="AD309" i="17"/>
  <c r="AR309" i="17"/>
  <c r="AP309" i="17"/>
  <c r="AQ309" i="17"/>
  <c r="AF309" i="17"/>
  <c r="AH309" i="17"/>
  <c r="AG309" i="17"/>
  <c r="A311" i="17"/>
  <c r="E310" i="17"/>
  <c r="D310" i="17"/>
  <c r="B310" i="17"/>
  <c r="C310" i="17"/>
  <c r="AC310" i="17" l="1"/>
  <c r="AD310" i="17"/>
  <c r="AR310" i="17"/>
  <c r="AF310" i="17"/>
  <c r="AP310" i="17"/>
  <c r="AQ310" i="17"/>
  <c r="AG310" i="17"/>
  <c r="AH310" i="17"/>
  <c r="C311" i="17"/>
  <c r="D311" i="17"/>
  <c r="B311" i="17"/>
  <c r="A312" i="17"/>
  <c r="E311" i="17"/>
  <c r="AC311" i="17" l="1"/>
  <c r="AD311" i="17"/>
  <c r="AR311" i="17"/>
  <c r="E312" i="17"/>
  <c r="C312" i="17"/>
  <c r="B312" i="17"/>
  <c r="A313" i="17"/>
  <c r="D312" i="17"/>
  <c r="AG311" i="17"/>
  <c r="AH311" i="17"/>
  <c r="AP311" i="17"/>
  <c r="AQ311" i="17"/>
  <c r="AF311" i="17"/>
  <c r="AC312" i="17" l="1"/>
  <c r="AD312" i="17"/>
  <c r="AR312" i="17"/>
  <c r="AP312" i="17"/>
  <c r="AG312" i="17"/>
  <c r="AH312" i="17"/>
  <c r="AQ312" i="17"/>
  <c r="AF312" i="17"/>
  <c r="A314" i="17"/>
  <c r="E313" i="17"/>
  <c r="C313" i="17"/>
  <c r="D313" i="17"/>
  <c r="B313" i="17"/>
  <c r="AC313" i="17" l="1"/>
  <c r="AD313" i="17"/>
  <c r="AR313" i="17"/>
  <c r="AF313" i="17"/>
  <c r="AP313" i="17"/>
  <c r="AQ313" i="17"/>
  <c r="AH313" i="17"/>
  <c r="AG313" i="17"/>
  <c r="E314" i="17"/>
  <c r="D314" i="17"/>
  <c r="C314" i="17"/>
  <c r="B314" i="17"/>
  <c r="A315" i="17"/>
  <c r="AC314" i="17" l="1"/>
  <c r="AD314" i="17"/>
  <c r="AR314" i="17"/>
  <c r="A316" i="17"/>
  <c r="D315" i="17"/>
  <c r="E315" i="17"/>
  <c r="B315" i="17"/>
  <c r="C315" i="17"/>
  <c r="AF314" i="17"/>
  <c r="AP314" i="17"/>
  <c r="AQ314" i="17"/>
  <c r="AG314" i="17"/>
  <c r="AH314" i="17"/>
  <c r="AC315" i="17" l="1"/>
  <c r="AD315" i="17"/>
  <c r="AR315" i="17"/>
  <c r="AG315" i="17"/>
  <c r="AQ315" i="17"/>
  <c r="AH315" i="17"/>
  <c r="AP315" i="17"/>
  <c r="AF315" i="17"/>
  <c r="D316" i="17"/>
  <c r="C316" i="17"/>
  <c r="A317" i="17"/>
  <c r="E316" i="17"/>
  <c r="B316" i="17"/>
  <c r="AC316" i="17" l="1"/>
  <c r="AD316" i="17"/>
  <c r="AR316" i="17"/>
  <c r="A318" i="17"/>
  <c r="B317" i="17"/>
  <c r="C317" i="17"/>
  <c r="E317" i="17"/>
  <c r="D317" i="17"/>
  <c r="AG316" i="17"/>
  <c r="AQ316" i="17"/>
  <c r="AP316" i="17"/>
  <c r="AH316" i="17"/>
  <c r="AF316" i="17"/>
  <c r="AC317" i="17" l="1"/>
  <c r="AD317" i="17"/>
  <c r="AR317" i="17"/>
  <c r="AH317" i="17"/>
  <c r="AF317" i="17"/>
  <c r="AP317" i="17"/>
  <c r="AQ317" i="17"/>
  <c r="AG317" i="17"/>
  <c r="B318" i="17"/>
  <c r="D318" i="17"/>
  <c r="E318" i="17"/>
  <c r="C318" i="17"/>
  <c r="A319" i="17"/>
  <c r="AC318" i="17" l="1"/>
  <c r="AD318" i="17"/>
  <c r="AR318" i="17"/>
  <c r="D319" i="17"/>
  <c r="B319" i="17"/>
  <c r="A320" i="17"/>
  <c r="C319" i="17"/>
  <c r="E319" i="17"/>
  <c r="AF318" i="17"/>
  <c r="AP318" i="17"/>
  <c r="AQ318" i="17"/>
  <c r="AH318" i="17"/>
  <c r="AG318" i="17"/>
  <c r="AC319" i="17" l="1"/>
  <c r="AD319" i="17"/>
  <c r="AR319" i="17"/>
  <c r="D320" i="17"/>
  <c r="C320" i="17"/>
  <c r="E320" i="17"/>
  <c r="B320" i="17"/>
  <c r="A321" i="17"/>
  <c r="AF319" i="17"/>
  <c r="AQ319" i="17"/>
  <c r="AG319" i="17"/>
  <c r="AH319" i="17"/>
  <c r="AP319" i="17"/>
  <c r="AC320" i="17" l="1"/>
  <c r="AD320" i="17"/>
  <c r="AR320" i="17"/>
  <c r="B321" i="17"/>
  <c r="A322" i="17"/>
  <c r="C321" i="17"/>
  <c r="D321" i="17"/>
  <c r="E321" i="17"/>
  <c r="AG320" i="17"/>
  <c r="AP320" i="17"/>
  <c r="AF320" i="17"/>
  <c r="AH320" i="17"/>
  <c r="AQ320" i="17"/>
  <c r="AC321" i="17" l="1"/>
  <c r="AD321" i="17"/>
  <c r="AR321" i="17"/>
  <c r="AG321" i="17"/>
  <c r="AH321" i="17"/>
  <c r="AP321" i="17"/>
  <c r="AQ321" i="17"/>
  <c r="AF321" i="17"/>
  <c r="D322" i="17"/>
  <c r="C322" i="17"/>
  <c r="B322" i="17"/>
  <c r="A323" i="17"/>
  <c r="E322" i="17"/>
  <c r="AC322" i="17" l="1"/>
  <c r="AD322" i="17"/>
  <c r="AR322" i="17"/>
  <c r="D323" i="17"/>
  <c r="B323" i="17"/>
  <c r="C323" i="17"/>
  <c r="A324" i="17"/>
  <c r="E323" i="17"/>
  <c r="AH322" i="17"/>
  <c r="AF322" i="17"/>
  <c r="AP322" i="17"/>
  <c r="AG322" i="17"/>
  <c r="AQ322" i="17"/>
  <c r="AC323" i="17" l="1"/>
  <c r="AD323" i="17"/>
  <c r="AR323" i="17"/>
  <c r="A325" i="17"/>
  <c r="D324" i="17"/>
  <c r="E324" i="17"/>
  <c r="C324" i="17"/>
  <c r="B324" i="17"/>
  <c r="AG323" i="17"/>
  <c r="AH323" i="17"/>
  <c r="AF323" i="17"/>
  <c r="AQ323" i="17"/>
  <c r="AP323" i="17"/>
  <c r="AC324" i="17" l="1"/>
  <c r="AD324" i="17"/>
  <c r="AR324" i="17"/>
  <c r="AP324" i="17"/>
  <c r="AG324" i="17"/>
  <c r="AH324" i="17"/>
  <c r="AF324" i="17"/>
  <c r="AQ324" i="17"/>
  <c r="D325" i="17"/>
  <c r="B325" i="17"/>
  <c r="A326" i="17"/>
  <c r="C325" i="17"/>
  <c r="E325" i="17"/>
  <c r="AC325" i="17" l="1"/>
  <c r="AD325" i="17"/>
  <c r="AR325" i="17"/>
  <c r="A327" i="17"/>
  <c r="B326" i="17"/>
  <c r="D326" i="17"/>
  <c r="C326" i="17"/>
  <c r="E326" i="17"/>
  <c r="AP325" i="17"/>
  <c r="AH325" i="17"/>
  <c r="AF325" i="17"/>
  <c r="AG325" i="17"/>
  <c r="AQ325" i="17"/>
  <c r="AC326" i="17" l="1"/>
  <c r="AD326" i="17"/>
  <c r="AR326" i="17"/>
  <c r="AF326" i="17"/>
  <c r="AP326" i="17"/>
  <c r="AH326" i="17"/>
  <c r="AQ326" i="17"/>
  <c r="AG326" i="17"/>
  <c r="C327" i="17"/>
  <c r="B327" i="17"/>
  <c r="A328" i="17"/>
  <c r="D327" i="17"/>
  <c r="E327" i="17"/>
  <c r="AC327" i="17" l="1"/>
  <c r="AD327" i="17"/>
  <c r="AR327" i="17"/>
  <c r="AG327" i="17"/>
  <c r="AH327" i="17"/>
  <c r="AP327" i="17"/>
  <c r="AQ327" i="17"/>
  <c r="AF327" i="17"/>
  <c r="B328" i="17"/>
  <c r="C328" i="17"/>
  <c r="D328" i="17"/>
  <c r="E328" i="17"/>
  <c r="A329" i="17"/>
  <c r="AC328" i="17" l="1"/>
  <c r="AD328" i="17"/>
  <c r="AR328" i="17"/>
  <c r="A330" i="17"/>
  <c r="C329" i="17"/>
  <c r="B329" i="17"/>
  <c r="D329" i="17"/>
  <c r="E329" i="17"/>
  <c r="AF328" i="17"/>
  <c r="AQ328" i="17"/>
  <c r="AP328" i="17"/>
  <c r="AH328" i="17"/>
  <c r="AG328" i="17"/>
  <c r="AC329" i="17" l="1"/>
  <c r="AD329" i="17"/>
  <c r="AR329" i="17"/>
  <c r="AP329" i="17"/>
  <c r="AF329" i="17"/>
  <c r="AH329" i="17"/>
  <c r="AQ329" i="17"/>
  <c r="AG329" i="17"/>
  <c r="B330" i="17"/>
  <c r="E330" i="17"/>
  <c r="A331" i="17"/>
  <c r="D330" i="17"/>
  <c r="C330" i="17"/>
  <c r="AC330" i="17" l="1"/>
  <c r="AD330" i="17"/>
  <c r="AR330" i="17"/>
  <c r="AH330" i="17"/>
  <c r="AQ330" i="17"/>
  <c r="AG330" i="17"/>
  <c r="AP330" i="17"/>
  <c r="AF330" i="17"/>
  <c r="B331" i="17"/>
  <c r="E331" i="17"/>
  <c r="D331" i="17"/>
  <c r="A332" i="17"/>
  <c r="C331" i="17"/>
  <c r="AC331" i="17" l="1"/>
  <c r="AD331" i="17"/>
  <c r="AR331" i="17"/>
  <c r="C332" i="17"/>
  <c r="A333" i="17"/>
  <c r="B332" i="17"/>
  <c r="D332" i="17"/>
  <c r="E332" i="17"/>
  <c r="AF331" i="17"/>
  <c r="AH331" i="17"/>
  <c r="AG331" i="17"/>
  <c r="AP331" i="17"/>
  <c r="AQ331" i="17"/>
  <c r="AC332" i="17" l="1"/>
  <c r="AD332" i="17"/>
  <c r="AR332" i="17"/>
  <c r="AG332" i="17"/>
  <c r="AH332" i="17"/>
  <c r="AP332" i="17"/>
  <c r="AF332" i="17"/>
  <c r="AQ332" i="17"/>
  <c r="C333" i="17"/>
  <c r="B333" i="17"/>
  <c r="D333" i="17"/>
  <c r="E333" i="17"/>
  <c r="A334" i="17"/>
  <c r="AC333" i="17" l="1"/>
  <c r="AD333" i="17"/>
  <c r="AR333" i="17"/>
  <c r="B334" i="17"/>
  <c r="D334" i="17"/>
  <c r="A335" i="17"/>
  <c r="E334" i="17"/>
  <c r="C334" i="17"/>
  <c r="AG333" i="17"/>
  <c r="AF333" i="17"/>
  <c r="AQ333" i="17"/>
  <c r="AH333" i="17"/>
  <c r="AP333" i="17"/>
  <c r="AC334" i="17" l="1"/>
  <c r="AD334" i="17"/>
  <c r="AR334" i="17"/>
  <c r="B335" i="17"/>
  <c r="A336" i="17"/>
  <c r="E335" i="17"/>
  <c r="D335" i="17"/>
  <c r="C335" i="17"/>
  <c r="AG334" i="17"/>
  <c r="AH334" i="17"/>
  <c r="AP334" i="17"/>
  <c r="AF334" i="17"/>
  <c r="AQ334" i="17"/>
  <c r="AC335" i="17" l="1"/>
  <c r="AD335" i="17"/>
  <c r="AR335" i="17"/>
  <c r="AH335" i="17"/>
  <c r="AP335" i="17"/>
  <c r="AQ335" i="17"/>
  <c r="AF335" i="17"/>
  <c r="AG335" i="17"/>
  <c r="A337" i="17"/>
  <c r="E336" i="17"/>
  <c r="C336" i="17"/>
  <c r="D336" i="17"/>
  <c r="B336" i="17"/>
  <c r="AC336" i="17" l="1"/>
  <c r="AD336" i="17"/>
  <c r="AR336" i="17"/>
  <c r="AH336" i="17"/>
  <c r="AF336" i="17"/>
  <c r="AG336" i="17"/>
  <c r="AQ336" i="17"/>
  <c r="AP336" i="17"/>
  <c r="B337" i="17"/>
  <c r="A338" i="17"/>
  <c r="E337" i="17"/>
  <c r="D337" i="17"/>
  <c r="C337" i="17"/>
  <c r="AC337" i="17" l="1"/>
  <c r="AD337" i="17"/>
  <c r="AR337" i="17"/>
  <c r="AF337" i="17"/>
  <c r="AP337" i="17"/>
  <c r="AG337" i="17"/>
  <c r="AH337" i="17"/>
  <c r="AQ337" i="17"/>
  <c r="E338" i="17"/>
  <c r="C338" i="17"/>
  <c r="D338" i="17"/>
  <c r="B338" i="17"/>
  <c r="A339" i="17"/>
  <c r="AC338" i="17" l="1"/>
  <c r="AD338" i="17"/>
  <c r="AR338" i="17"/>
  <c r="C339" i="17"/>
  <c r="E339" i="17"/>
  <c r="A340" i="17"/>
  <c r="D339" i="17"/>
  <c r="B339" i="17"/>
  <c r="AF338" i="17"/>
  <c r="AH338" i="17"/>
  <c r="AQ338" i="17"/>
  <c r="AP338" i="17"/>
  <c r="AG338" i="17"/>
  <c r="AC339" i="17" l="1"/>
  <c r="AD339" i="17"/>
  <c r="AR339" i="17"/>
  <c r="AG339" i="17"/>
  <c r="AP339" i="17"/>
  <c r="AQ339" i="17"/>
  <c r="AH339" i="17"/>
  <c r="AF339" i="17"/>
  <c r="C340" i="17"/>
  <c r="E340" i="17"/>
  <c r="B340" i="17"/>
  <c r="A341" i="17"/>
  <c r="D340" i="17"/>
  <c r="AC340" i="17" l="1"/>
  <c r="AD340" i="17"/>
  <c r="AR340" i="17"/>
  <c r="AG340" i="17"/>
  <c r="AQ340" i="17"/>
  <c r="AP340" i="17"/>
  <c r="AF340" i="17"/>
  <c r="AH340" i="17"/>
  <c r="D341" i="17"/>
  <c r="E341" i="17"/>
  <c r="C341" i="17"/>
  <c r="A342" i="17"/>
  <c r="B341" i="17"/>
  <c r="AC341" i="17" l="1"/>
  <c r="AD341" i="17"/>
  <c r="AR341" i="17"/>
  <c r="E342" i="17"/>
  <c r="B342" i="17"/>
  <c r="D342" i="17"/>
  <c r="C342" i="17"/>
  <c r="A343" i="17"/>
  <c r="AH341" i="17"/>
  <c r="AQ341" i="17"/>
  <c r="AF341" i="17"/>
  <c r="AG341" i="17"/>
  <c r="AP341" i="17"/>
  <c r="AC342" i="17" l="1"/>
  <c r="AD342" i="17"/>
  <c r="AR342" i="17"/>
  <c r="E343" i="17"/>
  <c r="A344" i="17"/>
  <c r="C343" i="17"/>
  <c r="B343" i="17"/>
  <c r="D343" i="17"/>
  <c r="AF342" i="17"/>
  <c r="AH342" i="17"/>
  <c r="AG342" i="17"/>
  <c r="AP342" i="17"/>
  <c r="AQ342" i="17"/>
  <c r="AC343" i="17" l="1"/>
  <c r="AD343" i="17"/>
  <c r="AR343" i="17"/>
  <c r="AF343" i="17"/>
  <c r="AQ343" i="17"/>
  <c r="AG343" i="17"/>
  <c r="AP343" i="17"/>
  <c r="AH343" i="17"/>
  <c r="D344" i="17"/>
  <c r="C344" i="17"/>
  <c r="B344" i="17"/>
  <c r="A345" i="17"/>
  <c r="E344" i="17"/>
  <c r="AC344" i="17" l="1"/>
  <c r="AD344" i="17"/>
  <c r="AR344" i="17"/>
  <c r="C345" i="17"/>
  <c r="E345" i="17"/>
  <c r="A346" i="17"/>
  <c r="B345" i="17"/>
  <c r="D345" i="17"/>
  <c r="AG344" i="17"/>
  <c r="AH344" i="17"/>
  <c r="AF344" i="17"/>
  <c r="AQ344" i="17"/>
  <c r="AP344" i="17"/>
  <c r="AC345" i="17" l="1"/>
  <c r="AD345" i="17"/>
  <c r="AR345" i="17"/>
  <c r="AG345" i="17"/>
  <c r="AH345" i="17"/>
  <c r="AP345" i="17"/>
  <c r="AF345" i="17"/>
  <c r="AQ345" i="17"/>
  <c r="E346" i="17"/>
  <c r="A347" i="17"/>
  <c r="D346" i="17"/>
  <c r="C346" i="17"/>
  <c r="B346" i="17"/>
  <c r="AC346" i="17" l="1"/>
  <c r="AD346" i="17"/>
  <c r="AR346" i="17"/>
  <c r="AH346" i="17"/>
  <c r="AG346" i="17"/>
  <c r="AQ346" i="17"/>
  <c r="AP346" i="17"/>
  <c r="AF346" i="17"/>
  <c r="B347" i="17"/>
  <c r="E347" i="17"/>
  <c r="C347" i="17"/>
  <c r="D347" i="17"/>
  <c r="A348" i="17"/>
  <c r="AC347" i="17" l="1"/>
  <c r="AD347" i="17"/>
  <c r="AR347" i="17"/>
  <c r="A349" i="17"/>
  <c r="D348" i="17"/>
  <c r="C348" i="17"/>
  <c r="B348" i="17"/>
  <c r="E348" i="17"/>
  <c r="AF347" i="17"/>
  <c r="AP347" i="17"/>
  <c r="AG347" i="17"/>
  <c r="AQ347" i="17"/>
  <c r="AH347" i="17"/>
  <c r="AC348" i="17" l="1"/>
  <c r="AD348" i="17"/>
  <c r="AR348" i="17"/>
  <c r="AF348" i="17"/>
  <c r="AH348" i="17"/>
  <c r="AP348" i="17"/>
  <c r="AQ348" i="17"/>
  <c r="AG348" i="17"/>
  <c r="A350" i="17"/>
  <c r="E349" i="17"/>
  <c r="B349" i="17"/>
  <c r="C349" i="17"/>
  <c r="D349" i="17"/>
  <c r="AC349" i="17" l="1"/>
  <c r="AD349" i="17"/>
  <c r="AR349" i="17"/>
  <c r="AF349" i="17"/>
  <c r="AP349" i="17"/>
  <c r="AG349" i="17"/>
  <c r="AH349" i="17"/>
  <c r="AQ349" i="17"/>
  <c r="C350" i="17"/>
  <c r="A351" i="17"/>
  <c r="B350" i="17"/>
  <c r="D350" i="17"/>
  <c r="E350" i="17"/>
  <c r="AC350" i="17" l="1"/>
  <c r="AD350" i="17"/>
  <c r="AR350" i="17"/>
  <c r="AF350" i="17"/>
  <c r="AP350" i="17"/>
  <c r="AH350" i="17"/>
  <c r="AQ350" i="17"/>
  <c r="AG350" i="17"/>
  <c r="B351" i="17"/>
  <c r="A352" i="17"/>
  <c r="E351" i="17"/>
  <c r="C351" i="17"/>
  <c r="D351" i="17"/>
  <c r="AC351" i="17" l="1"/>
  <c r="AD351" i="17"/>
  <c r="AR351" i="17"/>
  <c r="AG351" i="17"/>
  <c r="AQ351" i="17"/>
  <c r="AF351" i="17"/>
  <c r="AH351" i="17"/>
  <c r="AP351" i="17"/>
  <c r="A353" i="17"/>
  <c r="C352" i="17"/>
  <c r="E352" i="17"/>
  <c r="D352" i="17"/>
  <c r="B352" i="17"/>
  <c r="AC352" i="17" l="1"/>
  <c r="AD352" i="17"/>
  <c r="AR352" i="17"/>
  <c r="AG352" i="17"/>
  <c r="AF352" i="17"/>
  <c r="AP352" i="17"/>
  <c r="AQ352" i="17"/>
  <c r="AH352" i="17"/>
  <c r="E353" i="17"/>
  <c r="C353" i="17"/>
  <c r="A354" i="17"/>
  <c r="D353" i="17"/>
  <c r="B353" i="17"/>
  <c r="AC353" i="17" l="1"/>
  <c r="AD353" i="17"/>
  <c r="AR353" i="17"/>
  <c r="AG353" i="17"/>
  <c r="AQ353" i="17"/>
  <c r="AH353" i="17"/>
  <c r="AF353" i="17"/>
  <c r="AP353" i="17"/>
  <c r="B354" i="17"/>
  <c r="D354" i="17"/>
  <c r="E354" i="17"/>
  <c r="A355" i="17"/>
  <c r="C354" i="17"/>
  <c r="AC354" i="17" l="1"/>
  <c r="AD354" i="17"/>
  <c r="AR354" i="17"/>
  <c r="B355" i="17"/>
  <c r="D355" i="17"/>
  <c r="E355" i="17"/>
  <c r="C355" i="17"/>
  <c r="A356" i="17"/>
  <c r="AH354" i="17"/>
  <c r="AF354" i="17"/>
  <c r="AG354" i="17"/>
  <c r="AP354" i="17"/>
  <c r="AQ354" i="17"/>
  <c r="AC355" i="17" l="1"/>
  <c r="AD355" i="17"/>
  <c r="AR355" i="17"/>
  <c r="E356" i="17"/>
  <c r="C356" i="17"/>
  <c r="D356" i="17"/>
  <c r="A357" i="17"/>
  <c r="B356" i="17"/>
  <c r="AQ355" i="17"/>
  <c r="AF355" i="17"/>
  <c r="AG355" i="17"/>
  <c r="AH355" i="17"/>
  <c r="AP355" i="17"/>
  <c r="AC356" i="17" l="1"/>
  <c r="AD356" i="17"/>
  <c r="AR356" i="17"/>
  <c r="B357" i="17"/>
  <c r="C357" i="17"/>
  <c r="A358" i="17"/>
  <c r="E357" i="17"/>
  <c r="D357" i="17"/>
  <c r="AG356" i="17"/>
  <c r="AH356" i="17"/>
  <c r="AP356" i="17"/>
  <c r="AF356" i="17"/>
  <c r="AQ356" i="17"/>
  <c r="AC357" i="17" l="1"/>
  <c r="AD357" i="17"/>
  <c r="AR357" i="17"/>
  <c r="AQ357" i="17"/>
  <c r="AG357" i="17"/>
  <c r="AP357" i="17"/>
  <c r="AH357" i="17"/>
  <c r="AF357" i="17"/>
  <c r="E358" i="17"/>
  <c r="B358" i="17"/>
  <c r="A359" i="17"/>
  <c r="C358" i="17"/>
  <c r="D358" i="17"/>
  <c r="AC358" i="17" l="1"/>
  <c r="AD358" i="17"/>
  <c r="AR358" i="17"/>
  <c r="AF358" i="17"/>
  <c r="AQ358" i="17"/>
  <c r="AG358" i="17"/>
  <c r="AH358" i="17"/>
  <c r="AP358" i="17"/>
  <c r="A360" i="17"/>
  <c r="D359" i="17"/>
  <c r="B359" i="17"/>
  <c r="E359" i="17"/>
  <c r="C359" i="17"/>
  <c r="AC359" i="17" l="1"/>
  <c r="AD359" i="17"/>
  <c r="AR359" i="17"/>
  <c r="AH359" i="17"/>
  <c r="AG359" i="17"/>
  <c r="AP359" i="17"/>
  <c r="AQ359" i="17"/>
  <c r="AF359" i="17"/>
  <c r="A361" i="17"/>
  <c r="E360" i="17"/>
  <c r="C360" i="17"/>
  <c r="D360" i="17"/>
  <c r="B360" i="17"/>
  <c r="AC360" i="17" l="1"/>
  <c r="AD360" i="17"/>
  <c r="AR360" i="17"/>
  <c r="AQ360" i="17"/>
  <c r="AG360" i="17"/>
  <c r="AH360" i="17"/>
  <c r="AP360" i="17"/>
  <c r="AF360" i="17"/>
  <c r="A362" i="17"/>
  <c r="C361" i="17"/>
  <c r="B361" i="17"/>
  <c r="D361" i="17"/>
  <c r="E361" i="17"/>
  <c r="AC361" i="17" l="1"/>
  <c r="AD361" i="17"/>
  <c r="AR361" i="17"/>
  <c r="AF361" i="17"/>
  <c r="AG361" i="17"/>
  <c r="AH361" i="17"/>
  <c r="AP361" i="17"/>
  <c r="AQ361" i="17"/>
  <c r="D362" i="17"/>
  <c r="A363" i="17"/>
  <c r="C362" i="17"/>
  <c r="B362" i="17"/>
  <c r="E362" i="17"/>
  <c r="AC362" i="17" l="1"/>
  <c r="AD362" i="17"/>
  <c r="AR362" i="17"/>
  <c r="A364" i="17"/>
  <c r="D363" i="17"/>
  <c r="C363" i="17"/>
  <c r="B363" i="17"/>
  <c r="E363" i="17"/>
  <c r="AP362" i="17"/>
  <c r="AQ362" i="17"/>
  <c r="AG362" i="17"/>
  <c r="AH362" i="17"/>
  <c r="AF362" i="17"/>
  <c r="AC363" i="17" l="1"/>
  <c r="AD363" i="17"/>
  <c r="AR363" i="17"/>
  <c r="AG363" i="17"/>
  <c r="AH363" i="17"/>
  <c r="AP363" i="17"/>
  <c r="AQ363" i="17"/>
  <c r="AF363" i="17"/>
  <c r="E364" i="17"/>
  <c r="D364" i="17"/>
  <c r="A365" i="17"/>
  <c r="C364" i="17"/>
  <c r="B364" i="17"/>
  <c r="AC364" i="17" l="1"/>
  <c r="AD364" i="17"/>
  <c r="AR364" i="17"/>
  <c r="A366" i="17"/>
  <c r="C365" i="17"/>
  <c r="B365" i="17"/>
  <c r="D365" i="17"/>
  <c r="E365" i="17"/>
  <c r="AF364" i="17"/>
  <c r="AH364" i="17"/>
  <c r="AP364" i="17"/>
  <c r="AG364" i="17"/>
  <c r="AQ364" i="17"/>
  <c r="AC365" i="17" l="1"/>
  <c r="AD365" i="17"/>
  <c r="AR365" i="17"/>
  <c r="AF365" i="17"/>
  <c r="AP365" i="17"/>
  <c r="AH365" i="17"/>
  <c r="AG365" i="17"/>
  <c r="AQ365" i="17"/>
  <c r="B366" i="17"/>
  <c r="E366" i="17"/>
  <c r="D366" i="17"/>
  <c r="A367" i="17"/>
  <c r="C366" i="17"/>
  <c r="AC366" i="17" l="1"/>
  <c r="AD366" i="17"/>
  <c r="AR366" i="17"/>
  <c r="D367" i="17"/>
  <c r="B367" i="17"/>
  <c r="A368" i="17"/>
  <c r="E367" i="17"/>
  <c r="C367" i="17"/>
  <c r="AH366" i="17"/>
  <c r="AF366" i="17"/>
  <c r="AP366" i="17"/>
  <c r="AQ366" i="17"/>
  <c r="AG366" i="17"/>
  <c r="AC367" i="17" l="1"/>
  <c r="AD367" i="17"/>
  <c r="AR367" i="17"/>
  <c r="C368" i="17"/>
  <c r="B368" i="17"/>
  <c r="E368" i="17"/>
  <c r="A369" i="17"/>
  <c r="D368" i="17"/>
  <c r="AG367" i="17"/>
  <c r="AF367" i="17"/>
  <c r="AP367" i="17"/>
  <c r="AH367" i="17"/>
  <c r="AQ367" i="17"/>
  <c r="C10" i="11" l="1"/>
  <c r="C28" i="11"/>
  <c r="E11" i="9"/>
  <c r="AC368" i="17"/>
  <c r="AD368" i="17"/>
  <c r="AR368" i="17"/>
  <c r="E18" i="9"/>
  <c r="AF368" i="17"/>
  <c r="AH368" i="17"/>
  <c r="AQ368" i="17"/>
  <c r="AP368" i="17"/>
  <c r="AG368" i="17"/>
  <c r="C369" i="17"/>
  <c r="B369" i="17"/>
  <c r="D369" i="17"/>
  <c r="E369" i="17"/>
  <c r="AC369" i="17" l="1"/>
  <c r="AD369" i="17"/>
  <c r="AR369" i="17"/>
  <c r="Z9" i="18"/>
  <c r="Z5" i="18"/>
  <c r="Z7" i="18"/>
  <c r="Z6" i="18"/>
  <c r="Z4" i="18"/>
  <c r="Z2" i="18"/>
  <c r="Z10" i="18"/>
  <c r="Z3" i="18"/>
  <c r="Z8" i="18"/>
  <c r="Q2" i="18"/>
  <c r="Q5" i="18"/>
  <c r="Q8" i="18"/>
  <c r="Q3" i="18"/>
  <c r="Q6" i="18"/>
  <c r="Q9" i="18"/>
  <c r="Q10" i="18"/>
  <c r="Q4" i="18"/>
  <c r="Q7" i="18"/>
  <c r="AG369" i="17"/>
  <c r="AF369" i="17"/>
  <c r="AH369" i="17"/>
  <c r="AP369" i="17"/>
  <c r="AQ369" i="17"/>
  <c r="AA3" i="18" l="1"/>
  <c r="AA4" i="18"/>
  <c r="AA6" i="18"/>
  <c r="AA8" i="18"/>
  <c r="AA2" i="18"/>
  <c r="AA10" i="18"/>
  <c r="AA5" i="18"/>
  <c r="AA7" i="18"/>
  <c r="AA9" i="18"/>
  <c r="U10" i="18"/>
  <c r="X10" i="18" s="1"/>
  <c r="U9" i="18"/>
  <c r="X9" i="18" s="1"/>
  <c r="U2" i="18"/>
  <c r="X2" i="18" s="1"/>
  <c r="U6" i="18"/>
  <c r="X6" i="18" s="1"/>
  <c r="U7" i="18"/>
  <c r="X7" i="18" s="1"/>
  <c r="U3" i="18"/>
  <c r="X3" i="18" s="1"/>
  <c r="U8" i="18"/>
  <c r="X8" i="18" s="1"/>
  <c r="U4" i="18"/>
  <c r="X4" i="18" s="1"/>
  <c r="U5" i="18"/>
  <c r="X5" i="18" s="1"/>
  <c r="V2" i="18" l="1"/>
  <c r="Y2" i="18" s="1"/>
  <c r="V3" i="18"/>
  <c r="Y3" i="18" s="1"/>
  <c r="V4" i="18"/>
  <c r="Y4" i="18" s="1"/>
  <c r="V10" i="18"/>
  <c r="Y10" i="18" s="1"/>
  <c r="V5" i="18"/>
  <c r="Y5" i="18" s="1"/>
  <c r="V7" i="18"/>
  <c r="Y7" i="18" s="1"/>
  <c r="V8" i="18"/>
  <c r="Y8" i="18" s="1"/>
  <c r="V6" i="18"/>
  <c r="Y6" i="18" s="1"/>
  <c r="V9" i="18"/>
  <c r="Y9" i="18" s="1"/>
  <c r="G11" i="9" l="1"/>
  <c r="G18" i="9"/>
  <c r="C15" i="11" l="1"/>
  <c r="C14" i="11"/>
  <c r="A6" i="1" l="1"/>
  <c r="D5" i="1"/>
  <c r="A7" i="1" l="1"/>
  <c r="D6" i="1"/>
  <c r="D7" i="1" l="1"/>
  <c r="A8" i="1"/>
  <c r="A9" i="1" l="1"/>
  <c r="D8" i="1"/>
  <c r="A10" i="1" l="1"/>
  <c r="D9" i="1"/>
  <c r="A11" i="1" l="1"/>
  <c r="D10" i="1"/>
  <c r="A12" i="1" l="1"/>
  <c r="D11" i="1"/>
  <c r="A13" i="1" l="1"/>
  <c r="D12" i="1"/>
  <c r="D13" i="1" l="1"/>
  <c r="A14" i="1"/>
  <c r="A15" i="1" l="1"/>
  <c r="D14" i="1"/>
  <c r="A16" i="1" l="1"/>
  <c r="D15" i="1"/>
  <c r="A17" i="1" l="1"/>
  <c r="D16" i="1"/>
  <c r="A18" i="1" l="1"/>
  <c r="D17" i="1"/>
  <c r="A19" i="1" l="1"/>
  <c r="D18" i="1"/>
  <c r="D19" i="1" l="1"/>
  <c r="A20" i="1"/>
  <c r="A21" i="1" l="1"/>
  <c r="D20" i="1"/>
  <c r="A22" i="1" l="1"/>
  <c r="D21" i="1"/>
  <c r="A23" i="1" l="1"/>
  <c r="D22" i="1"/>
  <c r="A24" i="1" l="1"/>
  <c r="D23" i="1"/>
  <c r="A25" i="1" l="1"/>
  <c r="D24" i="1"/>
  <c r="D25" i="1" l="1"/>
  <c r="A26" i="1"/>
  <c r="A27" i="1" l="1"/>
  <c r="D26" i="1"/>
  <c r="A28" i="1" l="1"/>
  <c r="D27" i="1"/>
  <c r="A29" i="1" l="1"/>
  <c r="D28" i="1"/>
  <c r="A30" i="1" l="1"/>
  <c r="D29" i="1"/>
  <c r="A31" i="1" l="1"/>
  <c r="D30" i="1"/>
  <c r="D31" i="1" l="1"/>
  <c r="A32" i="1"/>
  <c r="A33" i="1" l="1"/>
  <c r="D32" i="1"/>
  <c r="A34" i="1" l="1"/>
  <c r="D33" i="1"/>
  <c r="A35" i="1" l="1"/>
  <c r="D34" i="1"/>
  <c r="A36" i="1" l="1"/>
  <c r="D35" i="1"/>
  <c r="A37" i="1" l="1"/>
  <c r="D36" i="1"/>
  <c r="D37" i="1" l="1"/>
  <c r="A38" i="1"/>
  <c r="A39" i="1" l="1"/>
  <c r="D38" i="1"/>
  <c r="A40" i="1" l="1"/>
  <c r="D39" i="1"/>
  <c r="A41" i="1" l="1"/>
  <c r="D40" i="1"/>
  <c r="A42" i="1" l="1"/>
  <c r="D41" i="1"/>
  <c r="A43" i="1" l="1"/>
  <c r="A44" i="1" s="1"/>
  <c r="D42" i="1"/>
  <c r="A45" i="1" l="1"/>
  <c r="A46" i="1" s="1"/>
  <c r="A47" i="1" s="1"/>
  <c r="A48" i="1" s="1"/>
  <c r="A49" i="1" s="1"/>
  <c r="D44" i="1"/>
  <c r="AI9" i="17"/>
  <c r="AB28" i="17"/>
  <c r="AB34" i="17"/>
  <c r="AI12" i="17"/>
  <c r="AI2" i="17"/>
  <c r="AB7" i="17"/>
  <c r="AB12" i="17"/>
  <c r="AI3" i="17"/>
  <c r="AI19" i="17"/>
  <c r="AI17" i="17"/>
  <c r="AB40" i="17"/>
  <c r="AB5" i="17"/>
  <c r="AB32" i="17"/>
  <c r="AI20" i="17"/>
  <c r="AI38" i="17"/>
  <c r="AB2" i="17"/>
  <c r="AB14" i="17"/>
  <c r="AI8" i="17"/>
  <c r="AI37" i="17"/>
  <c r="AI15" i="17"/>
  <c r="AB15" i="17"/>
  <c r="AI14" i="17"/>
  <c r="AB24" i="17"/>
  <c r="AB18" i="17"/>
  <c r="AI31" i="17"/>
  <c r="AB4" i="17"/>
  <c r="AB20" i="17"/>
  <c r="AI40" i="17"/>
  <c r="AB26" i="17"/>
  <c r="AB17" i="17"/>
  <c r="AI22" i="17"/>
  <c r="AI26" i="17"/>
  <c r="AI13" i="17"/>
  <c r="AI23" i="17"/>
  <c r="AB6" i="17"/>
  <c r="AI34" i="17"/>
  <c r="AI16" i="17"/>
  <c r="AI36" i="17"/>
  <c r="AB37" i="17"/>
  <c r="AB23" i="17"/>
  <c r="AI28" i="17"/>
  <c r="AB22" i="17"/>
  <c r="AB19" i="17"/>
  <c r="AB38" i="17"/>
  <c r="AI4" i="17"/>
  <c r="AB3" i="17"/>
  <c r="AI33" i="17"/>
  <c r="AB33" i="17"/>
  <c r="AI11" i="17"/>
  <c r="AB27" i="17"/>
  <c r="AB31" i="17"/>
  <c r="AI24" i="17"/>
  <c r="AB25" i="17"/>
  <c r="AB10" i="17"/>
  <c r="AB39" i="17"/>
  <c r="AB21" i="17"/>
  <c r="AB13" i="17"/>
  <c r="AI25" i="17"/>
  <c r="AI32" i="17"/>
  <c r="AB35" i="17"/>
  <c r="AB30" i="17"/>
  <c r="AI10" i="17"/>
  <c r="AI6" i="17"/>
  <c r="AB11" i="17"/>
  <c r="AI39" i="17"/>
  <c r="AI21" i="17"/>
  <c r="AI30" i="17"/>
  <c r="AB9" i="17"/>
  <c r="AI7" i="17"/>
  <c r="AI18" i="17"/>
  <c r="AI27" i="17"/>
  <c r="AI5" i="17"/>
  <c r="AN29" i="17"/>
  <c r="AI35" i="17"/>
  <c r="AN15" i="17"/>
  <c r="AN33" i="17"/>
  <c r="AN32" i="17"/>
  <c r="AN16" i="17"/>
  <c r="AN35" i="17"/>
  <c r="AN11" i="17"/>
  <c r="AN9" i="17"/>
  <c r="AB16" i="17"/>
  <c r="AN26" i="17"/>
  <c r="AN34" i="17"/>
  <c r="AN25" i="17"/>
  <c r="AN12" i="17"/>
  <c r="AN30" i="17"/>
  <c r="AN13" i="17"/>
  <c r="AN5" i="17"/>
  <c r="AN28" i="17"/>
  <c r="AN6" i="17"/>
  <c r="AN3" i="17"/>
  <c r="AN7" i="17"/>
  <c r="AI29" i="17"/>
  <c r="AN39" i="17"/>
  <c r="AN40" i="17"/>
  <c r="AN10" i="17"/>
  <c r="AN37" i="17"/>
  <c r="AN14" i="17"/>
  <c r="AN24" i="17"/>
  <c r="AB8" i="17"/>
  <c r="AB29" i="17"/>
  <c r="AN36" i="17"/>
  <c r="AN19" i="17"/>
  <c r="AN31" i="17"/>
  <c r="AN20" i="17"/>
  <c r="AN22" i="17"/>
  <c r="AB36" i="17"/>
  <c r="AN18" i="17"/>
  <c r="AN8" i="17"/>
  <c r="AN2" i="17"/>
  <c r="AN38" i="17"/>
  <c r="AN17" i="17"/>
  <c r="AN27" i="17"/>
  <c r="AN21" i="17"/>
  <c r="AN4" i="17"/>
  <c r="AN23" i="17"/>
  <c r="N17" i="17"/>
  <c r="Y5" i="17"/>
  <c r="M32" i="17"/>
  <c r="X31" i="17"/>
  <c r="AO31" i="17" s="1"/>
  <c r="Y38" i="17"/>
  <c r="M28" i="17"/>
  <c r="Z7" i="17"/>
  <c r="N12" i="17"/>
  <c r="Z13" i="17"/>
  <c r="N14" i="17"/>
  <c r="N6" i="17"/>
  <c r="X16" i="17"/>
  <c r="AO16" i="17" s="1"/>
  <c r="Z26" i="17"/>
  <c r="M8" i="17"/>
  <c r="Z4" i="17"/>
  <c r="Z11" i="17"/>
  <c r="M14" i="17"/>
  <c r="N21" i="17"/>
  <c r="N7" i="17"/>
  <c r="X20" i="17"/>
  <c r="AO20" i="17" s="1"/>
  <c r="N24" i="17"/>
  <c r="N29" i="17"/>
  <c r="N26" i="17"/>
  <c r="N18" i="17"/>
  <c r="Z40" i="17"/>
  <c r="Z33" i="17"/>
  <c r="M39" i="17"/>
  <c r="M6" i="17"/>
  <c r="M24" i="17"/>
  <c r="M33" i="17"/>
  <c r="Z19" i="17"/>
  <c r="Y22" i="17"/>
  <c r="X19" i="17"/>
  <c r="AO19" i="17" s="1"/>
  <c r="M31" i="17"/>
  <c r="M27" i="17"/>
  <c r="N13" i="17"/>
  <c r="M34" i="17"/>
  <c r="Y21" i="17"/>
  <c r="N4" i="17"/>
  <c r="X10" i="17"/>
  <c r="AO10" i="17" s="1"/>
  <c r="M10" i="17"/>
  <c r="M25" i="17"/>
  <c r="X22" i="17"/>
  <c r="AO22" i="17" s="1"/>
  <c r="M16" i="17"/>
  <c r="X2" i="17"/>
  <c r="AO2" i="17" s="1"/>
  <c r="M36" i="17"/>
  <c r="X24" i="17"/>
  <c r="AO24" i="17" s="1"/>
  <c r="M17" i="17"/>
  <c r="Y14" i="17"/>
  <c r="X6" i="17"/>
  <c r="AO6" i="17" s="1"/>
  <c r="N19" i="17"/>
  <c r="M38" i="17"/>
  <c r="N23" i="17"/>
  <c r="Z28" i="17"/>
  <c r="Y34" i="17"/>
  <c r="X18" i="17"/>
  <c r="AO18" i="17" s="1"/>
  <c r="M9" i="17"/>
  <c r="Y20" i="17"/>
  <c r="X5" i="17"/>
  <c r="X15" i="17"/>
  <c r="AO15" i="17" s="1"/>
  <c r="Z35" i="17"/>
  <c r="N25" i="17"/>
  <c r="M37" i="17"/>
  <c r="Z5" i="17"/>
  <c r="N11" i="17"/>
  <c r="Z16" i="17"/>
  <c r="N27" i="17"/>
  <c r="N3" i="17"/>
  <c r="N31" i="17"/>
  <c r="Y24" i="17"/>
  <c r="M40" i="17"/>
  <c r="N35" i="17"/>
  <c r="N32" i="17"/>
  <c r="M7" i="17"/>
  <c r="X34" i="17"/>
  <c r="AO34" i="17" s="1"/>
  <c r="Z31" i="17"/>
  <c r="M22" i="17"/>
  <c r="Y28" i="17"/>
  <c r="X33" i="17"/>
  <c r="AO33" i="17" s="1"/>
  <c r="N8" i="17"/>
  <c r="M12" i="17"/>
  <c r="M4" i="17"/>
  <c r="N39" i="17"/>
  <c r="Y31" i="17"/>
  <c r="Z18" i="17"/>
  <c r="M5" i="17"/>
  <c r="X21" i="17"/>
  <c r="AO21" i="17" s="1"/>
  <c r="Z32" i="17"/>
  <c r="X38" i="17"/>
  <c r="AO38" i="17" s="1"/>
  <c r="Z34" i="17"/>
  <c r="X28" i="17"/>
  <c r="AO28" i="17" s="1"/>
  <c r="N33" i="17"/>
  <c r="Z23" i="17"/>
  <c r="Z12" i="17"/>
  <c r="X12" i="17"/>
  <c r="AO12" i="17" s="1"/>
  <c r="Z20" i="17"/>
  <c r="Y13" i="17"/>
  <c r="X3" i="17"/>
  <c r="AO3" i="17" s="1"/>
  <c r="Y16" i="17"/>
  <c r="N15" i="17"/>
  <c r="Y10" i="17"/>
  <c r="Y30" i="17"/>
  <c r="M21" i="17"/>
  <c r="Z37" i="17"/>
  <c r="Y29" i="17"/>
  <c r="Y32" i="17"/>
  <c r="X39" i="17"/>
  <c r="AO39" i="17" s="1"/>
  <c r="Y18" i="17"/>
  <c r="N16" i="17"/>
  <c r="M18" i="17"/>
  <c r="Y7" i="17"/>
  <c r="Z2" i="17"/>
  <c r="Y35" i="17"/>
  <c r="N34" i="17"/>
  <c r="Y27" i="17"/>
  <c r="X36" i="17"/>
  <c r="AO36" i="17" s="1"/>
  <c r="Z29" i="17"/>
  <c r="X11" i="17"/>
  <c r="AO11" i="17" s="1"/>
  <c r="X32" i="17"/>
  <c r="AO32" i="17" s="1"/>
  <c r="Z30" i="17"/>
  <c r="X27" i="17"/>
  <c r="AO27" i="17" s="1"/>
  <c r="X4" i="17"/>
  <c r="AO4" i="17" s="1"/>
  <c r="Z14" i="17"/>
  <c r="M11" i="17"/>
  <c r="M23" i="17"/>
  <c r="M29" i="17"/>
  <c r="Z6" i="17"/>
  <c r="M30" i="17"/>
  <c r="N37" i="17"/>
  <c r="Z24" i="17"/>
  <c r="Z17" i="17"/>
  <c r="Y12" i="17"/>
  <c r="X30" i="17"/>
  <c r="AO30" i="17" s="1"/>
  <c r="M3" i="17"/>
  <c r="X26" i="17"/>
  <c r="AO26" i="17" s="1"/>
  <c r="X40" i="17"/>
  <c r="AO40" i="17" s="1"/>
  <c r="N20" i="17"/>
  <c r="Y15" i="17"/>
  <c r="Y40" i="17"/>
  <c r="Z25" i="17"/>
  <c r="X7" i="17"/>
  <c r="AO7" i="17" s="1"/>
  <c r="Z36" i="17"/>
  <c r="Z10" i="17"/>
  <c r="Z38" i="17"/>
  <c r="Y39" i="17"/>
  <c r="N38" i="17"/>
  <c r="X29" i="17"/>
  <c r="AO29" i="17" s="1"/>
  <c r="Z39" i="17"/>
  <c r="N28" i="17"/>
  <c r="Y33" i="17"/>
  <c r="Y8" i="17"/>
  <c r="Y23" i="17"/>
  <c r="Z22" i="17"/>
  <c r="X17" i="17"/>
  <c r="AO17" i="17" s="1"/>
  <c r="M26" i="17"/>
  <c r="Z21" i="17"/>
  <c r="Y2" i="17"/>
  <c r="X25" i="17"/>
  <c r="AO25" i="17" s="1"/>
  <c r="Y36" i="17"/>
  <c r="Z9" i="17"/>
  <c r="Y3" i="17"/>
  <c r="X35" i="17"/>
  <c r="AO35" i="17" s="1"/>
  <c r="Y25" i="17"/>
  <c r="M19" i="17"/>
  <c r="Y37" i="17"/>
  <c r="Y6" i="17"/>
  <c r="Z8" i="17"/>
  <c r="Y11" i="17"/>
  <c r="Y19" i="17"/>
  <c r="Y4" i="17"/>
  <c r="Y26" i="17"/>
  <c r="Z15" i="17"/>
  <c r="X13" i="17"/>
  <c r="AO13" i="17" s="1"/>
  <c r="N9" i="17"/>
  <c r="M13" i="17"/>
  <c r="Y17" i="17"/>
  <c r="N30" i="17"/>
  <c r="Y9" i="17"/>
  <c r="X37" i="17"/>
  <c r="AO37" i="17" s="1"/>
  <c r="Z27" i="17"/>
  <c r="Z3" i="17"/>
  <c r="X14" i="17"/>
  <c r="AO14" i="17" s="1"/>
  <c r="X23" i="17"/>
  <c r="AO23" i="17" s="1"/>
  <c r="N22" i="17"/>
  <c r="N36" i="17"/>
  <c r="X8" i="17"/>
  <c r="AO8" i="17" s="1"/>
  <c r="M35" i="17"/>
  <c r="N10" i="17"/>
  <c r="N40" i="17"/>
  <c r="N2" i="17"/>
  <c r="M20" i="17"/>
  <c r="M2" i="17"/>
  <c r="M15" i="17"/>
  <c r="X9" i="17"/>
  <c r="AO9" i="17" s="1"/>
  <c r="N5" i="17"/>
  <c r="D43" i="1"/>
  <c r="AO5" i="17" l="1"/>
  <c r="AA13" i="17"/>
  <c r="Q13" i="17" s="1"/>
  <c r="D45" i="1"/>
  <c r="Z50" i="18"/>
  <c r="AA4" i="17"/>
  <c r="Q4" i="17" s="1"/>
  <c r="AA17" i="17"/>
  <c r="Q17" i="17" s="1"/>
  <c r="AA16" i="17"/>
  <c r="Q16" i="17" s="1"/>
  <c r="AA31" i="17"/>
  <c r="Q31" i="17" s="1"/>
  <c r="AA3" i="17"/>
  <c r="Q3" i="17" s="1"/>
  <c r="AA23" i="17"/>
  <c r="Q23" i="17" s="1"/>
  <c r="AA18" i="17"/>
  <c r="Q18" i="17" s="1"/>
  <c r="AA30" i="17"/>
  <c r="Q30" i="17" s="1"/>
  <c r="AA28" i="17"/>
  <c r="Q28" i="17" s="1"/>
  <c r="Q50" i="18"/>
  <c r="AA6" i="17"/>
  <c r="Q6" i="17" s="1"/>
  <c r="AA25" i="17"/>
  <c r="Q25" i="17" s="1"/>
  <c r="AA27" i="17"/>
  <c r="Q27" i="17" s="1"/>
  <c r="AA2" i="17"/>
  <c r="Q2" i="17" s="1"/>
  <c r="AA35" i="17"/>
  <c r="Q35" i="17" s="1"/>
  <c r="AA38" i="17"/>
  <c r="Q38" i="17" s="1"/>
  <c r="AA40" i="17"/>
  <c r="Q40" i="17" s="1"/>
  <c r="AA33" i="17"/>
  <c r="Q33" i="17" s="1"/>
  <c r="AA12" i="17"/>
  <c r="Q12" i="17" s="1"/>
  <c r="AA20" i="17"/>
  <c r="Q20" i="17" s="1"/>
  <c r="AA5" i="17"/>
  <c r="Q5" i="17" s="1"/>
  <c r="AA37" i="17"/>
  <c r="Q37" i="17" s="1"/>
  <c r="AA19" i="17"/>
  <c r="Q19" i="17" s="1"/>
  <c r="AA39" i="17"/>
  <c r="Q39" i="17" s="1"/>
  <c r="AA10" i="17"/>
  <c r="Q10" i="17" s="1"/>
  <c r="AA26" i="17"/>
  <c r="Q26" i="17" s="1"/>
  <c r="AA34" i="17"/>
  <c r="Q34" i="17" s="1"/>
  <c r="AA9" i="17"/>
  <c r="Q9" i="17" s="1"/>
  <c r="AA8" i="17"/>
  <c r="Q8" i="17" s="1"/>
  <c r="AA7" i="17"/>
  <c r="Q7" i="17" s="1"/>
  <c r="AA24" i="17"/>
  <c r="Q24" i="17" s="1"/>
  <c r="AA21" i="17"/>
  <c r="Q21" i="17" s="1"/>
  <c r="AA11" i="17"/>
  <c r="Q11" i="17" s="1"/>
  <c r="AA36" i="17"/>
  <c r="Q36" i="17" s="1"/>
  <c r="AA15" i="17"/>
  <c r="Q15" i="17" s="1"/>
  <c r="AA32" i="17"/>
  <c r="Q32" i="17" s="1"/>
  <c r="AA14" i="17"/>
  <c r="Q14" i="17" s="1"/>
  <c r="AA22" i="17"/>
  <c r="Q22" i="17" s="1"/>
  <c r="AA29" i="17"/>
  <c r="Q29" i="17" s="1"/>
  <c r="W40" i="17" l="1"/>
  <c r="P40" i="17"/>
  <c r="R40" i="17"/>
  <c r="W38" i="17"/>
  <c r="R38" i="17"/>
  <c r="P38" i="17"/>
  <c r="W29" i="17"/>
  <c r="R29" i="17"/>
  <c r="P29" i="17"/>
  <c r="W35" i="17"/>
  <c r="R35" i="17"/>
  <c r="P35" i="17"/>
  <c r="W14" i="17"/>
  <c r="R14" i="17"/>
  <c r="P14" i="17"/>
  <c r="W2" i="17"/>
  <c r="R2" i="17"/>
  <c r="P2" i="17"/>
  <c r="W10" i="17"/>
  <c r="R10" i="17"/>
  <c r="P10" i="17"/>
  <c r="W4" i="17"/>
  <c r="R4" i="17"/>
  <c r="P4" i="17"/>
  <c r="W39" i="17"/>
  <c r="R39" i="17"/>
  <c r="P39" i="17"/>
  <c r="W19" i="17"/>
  <c r="P19" i="17"/>
  <c r="R19" i="17"/>
  <c r="W36" i="17"/>
  <c r="R36" i="17"/>
  <c r="P36" i="17"/>
  <c r="W30" i="17"/>
  <c r="R30" i="17"/>
  <c r="P30" i="17"/>
  <c r="W11" i="17"/>
  <c r="R11" i="17"/>
  <c r="P11" i="17"/>
  <c r="W28" i="17"/>
  <c r="P28" i="17"/>
  <c r="R28" i="17"/>
  <c r="W20" i="17"/>
  <c r="R20" i="17"/>
  <c r="P20" i="17"/>
  <c r="W12" i="17"/>
  <c r="R12" i="17"/>
  <c r="P12" i="17"/>
  <c r="W18" i="17"/>
  <c r="R18" i="17"/>
  <c r="P18" i="17"/>
  <c r="P13" i="17"/>
  <c r="R13" i="17"/>
  <c r="W8" i="17"/>
  <c r="R8" i="17"/>
  <c r="P8" i="17"/>
  <c r="W3" i="17"/>
  <c r="R3" i="17"/>
  <c r="P3" i="17"/>
  <c r="W9" i="17"/>
  <c r="R9" i="17"/>
  <c r="P9" i="17"/>
  <c r="W31" i="17"/>
  <c r="P31" i="17"/>
  <c r="R31" i="17"/>
  <c r="W34" i="17"/>
  <c r="R34" i="17"/>
  <c r="P34" i="17"/>
  <c r="W16" i="17"/>
  <c r="P16" i="17"/>
  <c r="R16" i="17"/>
  <c r="W22" i="17"/>
  <c r="R22" i="17"/>
  <c r="P22" i="17"/>
  <c r="W26" i="17"/>
  <c r="R26" i="17"/>
  <c r="P26" i="17"/>
  <c r="W17" i="17"/>
  <c r="R17" i="17"/>
  <c r="P17" i="17"/>
  <c r="W27" i="17"/>
  <c r="R27" i="17"/>
  <c r="P27" i="17"/>
  <c r="W32" i="17"/>
  <c r="R32" i="17"/>
  <c r="P32" i="17"/>
  <c r="W25" i="17"/>
  <c r="P25" i="17"/>
  <c r="R25" i="17"/>
  <c r="W15" i="17"/>
  <c r="R15" i="17"/>
  <c r="P15" i="17"/>
  <c r="W6" i="17"/>
  <c r="R6" i="17"/>
  <c r="P6" i="17"/>
  <c r="W37" i="17"/>
  <c r="P37" i="17"/>
  <c r="R37" i="17"/>
  <c r="W5" i="17"/>
  <c r="R5" i="17"/>
  <c r="P5" i="17"/>
  <c r="W21" i="17"/>
  <c r="R21" i="17"/>
  <c r="P21" i="17"/>
  <c r="W24" i="17"/>
  <c r="R24" i="17"/>
  <c r="P24" i="17"/>
  <c r="W7" i="17"/>
  <c r="R7" i="17"/>
  <c r="P7" i="17"/>
  <c r="W33" i="17"/>
  <c r="R33" i="17"/>
  <c r="P33" i="17"/>
  <c r="W23" i="17"/>
  <c r="R23" i="17"/>
  <c r="P23" i="17"/>
  <c r="W13" i="17"/>
  <c r="D46" i="1"/>
  <c r="AA50" i="18"/>
  <c r="U50" i="18"/>
  <c r="X50" i="18" s="1"/>
  <c r="O13" i="17" l="1"/>
  <c r="D47" i="1"/>
  <c r="O14" i="17"/>
  <c r="O6" i="17"/>
  <c r="O37" i="17"/>
  <c r="O21" i="17"/>
  <c r="O22" i="17"/>
  <c r="O30" i="17"/>
  <c r="O38" i="17"/>
  <c r="O27" i="17"/>
  <c r="O33" i="17"/>
  <c r="O20" i="17"/>
  <c r="O26" i="17"/>
  <c r="O9" i="17"/>
  <c r="O17" i="17"/>
  <c r="O5" i="17"/>
  <c r="O40" i="17"/>
  <c r="O25" i="17"/>
  <c r="O2" i="17"/>
  <c r="O18" i="17"/>
  <c r="O34" i="17"/>
  <c r="O32" i="17"/>
  <c r="O3" i="17"/>
  <c r="O29" i="17"/>
  <c r="O39" i="17"/>
  <c r="O11" i="17"/>
  <c r="O31" i="17"/>
  <c r="O35" i="17"/>
  <c r="O12" i="17"/>
  <c r="O24" i="17"/>
  <c r="O4" i="17"/>
  <c r="O19" i="17"/>
  <c r="O15" i="17"/>
  <c r="O10" i="17"/>
  <c r="O23" i="17"/>
  <c r="O8" i="17"/>
  <c r="O28" i="17"/>
  <c r="O7" i="17"/>
  <c r="O16" i="17"/>
  <c r="O36" i="17"/>
  <c r="V50" i="18"/>
  <c r="Y50" i="18" s="1"/>
  <c r="D48" i="1" l="1"/>
  <c r="D49" i="1" l="1"/>
  <c r="A50" i="1"/>
  <c r="D50" i="1" l="1"/>
  <c r="A51" i="1"/>
  <c r="A52" i="1" l="1"/>
  <c r="D51" i="1"/>
  <c r="D52" i="1" l="1"/>
  <c r="A53" i="1"/>
  <c r="D53" i="1" l="1"/>
  <c r="A54" i="1"/>
  <c r="D54" i="1" l="1"/>
  <c r="A55" i="1"/>
  <c r="D55" i="1" l="1"/>
  <c r="A56" i="1"/>
  <c r="A57" i="1" l="1"/>
  <c r="D56" i="1"/>
  <c r="D57" i="1" l="1"/>
  <c r="D58" i="1" l="1"/>
  <c r="A59" i="1"/>
  <c r="A60" i="1" l="1"/>
  <c r="D59" i="1"/>
  <c r="D60" i="1" l="1"/>
  <c r="A61" i="1"/>
  <c r="D61" i="1" l="1"/>
  <c r="A62" i="1"/>
  <c r="D62" i="1" l="1"/>
  <c r="A63" i="1"/>
  <c r="D63" i="1" l="1"/>
  <c r="A64" i="1"/>
  <c r="A65" i="1" l="1"/>
  <c r="D64" i="1"/>
  <c r="D65" i="1" l="1"/>
  <c r="A66" i="1"/>
  <c r="D66" i="1" l="1"/>
  <c r="A67" i="1"/>
  <c r="A68" i="1" l="1"/>
  <c r="D67" i="1"/>
  <c r="D68" i="1" l="1"/>
  <c r="A69" i="1"/>
  <c r="D69" i="1" l="1"/>
  <c r="A70" i="1"/>
  <c r="A71" i="1" l="1"/>
  <c r="D70" i="1"/>
  <c r="D71" i="1" l="1"/>
  <c r="A72" i="1"/>
  <c r="A73" i="1" l="1"/>
  <c r="D72" i="1"/>
  <c r="D73" i="1" l="1"/>
  <c r="A74" i="1"/>
  <c r="D74" i="1" l="1"/>
  <c r="A75" i="1"/>
  <c r="A76" i="1" l="1"/>
  <c r="D75" i="1"/>
  <c r="D76" i="1" l="1"/>
  <c r="A77" i="1"/>
  <c r="D77" i="1" l="1"/>
  <c r="A78" i="1"/>
  <c r="D78" i="1" l="1"/>
  <c r="A79" i="1"/>
  <c r="D79" i="1" l="1"/>
  <c r="A80" i="1"/>
  <c r="A81" i="1" l="1"/>
  <c r="D80" i="1"/>
  <c r="D81" i="1" l="1"/>
  <c r="A83" i="1" l="1"/>
  <c r="A84" i="1" l="1"/>
  <c r="D83" i="1"/>
  <c r="D84" i="1" l="1"/>
  <c r="A85" i="1"/>
  <c r="D85" i="1" l="1"/>
  <c r="A86" i="1"/>
  <c r="A87" i="1" l="1"/>
  <c r="D86" i="1"/>
  <c r="D87" i="1" l="1"/>
  <c r="A88" i="1"/>
  <c r="A89" i="1" l="1"/>
  <c r="D88" i="1"/>
  <c r="D89" i="1" l="1"/>
  <c r="A90" i="1"/>
  <c r="D90" i="1" l="1"/>
  <c r="A91" i="1"/>
  <c r="A92" i="1" l="1"/>
  <c r="D91" i="1"/>
  <c r="D92" i="1" l="1"/>
  <c r="A93" i="1"/>
  <c r="D93" i="1" l="1"/>
  <c r="A94" i="1"/>
  <c r="A95" i="1" l="1"/>
  <c r="D94" i="1"/>
  <c r="D95" i="1" l="1"/>
  <c r="A96" i="1"/>
  <c r="A97" i="1" l="1"/>
  <c r="D96" i="1"/>
  <c r="D97" i="1" l="1"/>
  <c r="A98" i="1"/>
  <c r="D98" i="1" l="1"/>
  <c r="A99" i="1"/>
  <c r="A100" i="1" l="1"/>
  <c r="D99" i="1"/>
  <c r="D100" i="1" l="1"/>
  <c r="A101" i="1"/>
  <c r="D101" i="1" l="1"/>
  <c r="A102" i="1"/>
  <c r="A103" i="1" l="1"/>
  <c r="D102" i="1"/>
  <c r="D103" i="1" l="1"/>
  <c r="A104" i="1"/>
  <c r="A105" i="1" l="1"/>
  <c r="D104" i="1"/>
  <c r="D105" i="1" l="1"/>
  <c r="A106" i="1"/>
  <c r="D106" i="1" l="1"/>
  <c r="A107" i="1"/>
  <c r="A108" i="1" l="1"/>
  <c r="D107" i="1"/>
  <c r="D108" i="1" l="1"/>
  <c r="A109" i="1"/>
  <c r="D109" i="1" l="1"/>
  <c r="A110" i="1"/>
  <c r="A111" i="1" l="1"/>
  <c r="D110" i="1"/>
  <c r="D111" i="1" l="1"/>
  <c r="A112" i="1"/>
  <c r="A113" i="1" l="1"/>
  <c r="D112" i="1"/>
  <c r="D113" i="1" l="1"/>
  <c r="A114" i="1"/>
  <c r="D114" i="1" l="1"/>
  <c r="A115" i="1"/>
  <c r="A116" i="1" l="1"/>
  <c r="D115" i="1"/>
  <c r="D116" i="1" l="1"/>
  <c r="A117" i="1"/>
  <c r="D117" i="1" l="1"/>
  <c r="A118" i="1"/>
  <c r="A119" i="1" l="1"/>
  <c r="D118" i="1"/>
  <c r="D119" i="1" l="1"/>
  <c r="A120" i="1"/>
  <c r="A121" i="1" l="1"/>
  <c r="D120" i="1"/>
  <c r="D121" i="1" l="1"/>
  <c r="A122" i="1"/>
  <c r="D122" i="1" l="1"/>
  <c r="A123" i="1"/>
  <c r="A124" i="1" l="1"/>
  <c r="D123" i="1"/>
  <c r="D124" i="1" l="1"/>
  <c r="A125" i="1"/>
  <c r="D125" i="1" l="1"/>
  <c r="A126" i="1"/>
  <c r="A127" i="1" l="1"/>
  <c r="D126" i="1"/>
  <c r="D127" i="1" l="1"/>
  <c r="A128" i="1"/>
  <c r="A129" i="1" l="1"/>
  <c r="D128" i="1"/>
  <c r="D129" i="1" l="1"/>
  <c r="A130" i="1"/>
  <c r="D130" i="1" l="1"/>
  <c r="A131" i="1"/>
  <c r="A132" i="1" l="1"/>
  <c r="D131" i="1"/>
  <c r="D132" i="1" l="1"/>
  <c r="A133" i="1"/>
  <c r="D133" i="1" l="1"/>
  <c r="A134" i="1"/>
  <c r="D134" i="1" l="1"/>
  <c r="A135" i="1"/>
  <c r="D135" i="1" l="1"/>
  <c r="A136" i="1"/>
  <c r="A137" i="1" l="1"/>
  <c r="D136" i="1"/>
  <c r="D137" i="1" l="1"/>
  <c r="A138" i="1"/>
  <c r="D138" i="1" l="1"/>
  <c r="A139" i="1"/>
  <c r="A140" i="1" l="1"/>
  <c r="D139" i="1"/>
  <c r="D140" i="1" l="1"/>
  <c r="A141" i="1"/>
  <c r="D141" i="1" l="1"/>
  <c r="A142" i="1"/>
  <c r="D142" i="1" l="1"/>
  <c r="A143" i="1"/>
  <c r="D143" i="1" l="1"/>
  <c r="A144" i="1"/>
  <c r="Q21" i="18" l="1"/>
  <c r="U21" i="18" s="1"/>
  <c r="X21" i="18" s="1"/>
  <c r="Q41" i="18"/>
  <c r="U41" i="18" s="1"/>
  <c r="X41" i="18" s="1"/>
  <c r="Z17" i="18"/>
  <c r="Z42" i="17"/>
  <c r="M41" i="17"/>
  <c r="N42" i="17"/>
  <c r="Y41" i="17"/>
  <c r="AN42" i="17"/>
  <c r="AN41" i="17"/>
  <c r="Y42" i="17"/>
  <c r="X42" i="17"/>
  <c r="AO42" i="17" s="1"/>
  <c r="Y43" i="17"/>
  <c r="N41" i="17"/>
  <c r="AN44" i="17"/>
  <c r="X41" i="17"/>
  <c r="Z41" i="17"/>
  <c r="AB41" i="17"/>
  <c r="M44" i="17"/>
  <c r="AB43" i="17"/>
  <c r="Z43" i="17"/>
  <c r="N43" i="17"/>
  <c r="X44" i="17"/>
  <c r="AO44" i="17" s="1"/>
  <c r="AB42" i="17"/>
  <c r="X46" i="17"/>
  <c r="AO46" i="17" s="1"/>
  <c r="AI41" i="17"/>
  <c r="M42" i="17"/>
  <c r="Z45" i="17"/>
  <c r="AN45" i="17"/>
  <c r="M43" i="17"/>
  <c r="AI43" i="17"/>
  <c r="Y44" i="17"/>
  <c r="AI42" i="17"/>
  <c r="AB44" i="17"/>
  <c r="N44" i="17"/>
  <c r="Z44" i="17"/>
  <c r="AN43" i="17"/>
  <c r="Z46" i="17"/>
  <c r="X43" i="17"/>
  <c r="AO43" i="17" s="1"/>
  <c r="M45" i="17"/>
  <c r="AN46" i="17"/>
  <c r="Y45" i="17"/>
  <c r="AI44" i="17"/>
  <c r="X45" i="17"/>
  <c r="AO45" i="17" s="1"/>
  <c r="Y46" i="17"/>
  <c r="AB46" i="17"/>
  <c r="N46" i="17"/>
  <c r="AB45" i="17"/>
  <c r="N45" i="17"/>
  <c r="M47" i="17"/>
  <c r="AI45" i="17"/>
  <c r="M48" i="17"/>
  <c r="AI47" i="17"/>
  <c r="M46" i="17"/>
  <c r="AI48" i="17"/>
  <c r="AI46" i="17"/>
  <c r="AB47" i="17"/>
  <c r="Y48" i="17"/>
  <c r="X49" i="17"/>
  <c r="AO49" i="17" s="1"/>
  <c r="AN48" i="17"/>
  <c r="X47" i="17"/>
  <c r="AO47" i="17" s="1"/>
  <c r="N47" i="17"/>
  <c r="Y47" i="17"/>
  <c r="AB49" i="17"/>
  <c r="AI52" i="17"/>
  <c r="AB48" i="17"/>
  <c r="M50" i="17"/>
  <c r="X48" i="17"/>
  <c r="AO48" i="17" s="1"/>
  <c r="AN49" i="17"/>
  <c r="Z47" i="17"/>
  <c r="AN47" i="17"/>
  <c r="AI50" i="17"/>
  <c r="Y50" i="17"/>
  <c r="AB50" i="17"/>
  <c r="Z48" i="17"/>
  <c r="Z50" i="17"/>
  <c r="N51" i="17"/>
  <c r="N48" i="17"/>
  <c r="N49" i="17"/>
  <c r="AN52" i="17"/>
  <c r="N52" i="17"/>
  <c r="AN50" i="17"/>
  <c r="Z49" i="17"/>
  <c r="X52" i="17"/>
  <c r="AO52" i="17" s="1"/>
  <c r="M49" i="17"/>
  <c r="N50" i="17"/>
  <c r="X50" i="17"/>
  <c r="AO50" i="17" s="1"/>
  <c r="Y49" i="17"/>
  <c r="AI49" i="17"/>
  <c r="X51" i="17"/>
  <c r="AO51" i="17" s="1"/>
  <c r="Z51" i="17"/>
  <c r="AN51" i="17"/>
  <c r="M52" i="17"/>
  <c r="M51" i="17"/>
  <c r="Y51" i="17"/>
  <c r="AI51" i="17"/>
  <c r="Y52" i="17"/>
  <c r="AB51" i="17"/>
  <c r="Z52" i="17"/>
  <c r="D144" i="1"/>
  <c r="AB239" i="17"/>
  <c r="AI85" i="17"/>
  <c r="AB135" i="17"/>
  <c r="M266" i="17"/>
  <c r="Y271" i="17"/>
  <c r="AN109" i="17"/>
  <c r="N255" i="17"/>
  <c r="X199" i="17"/>
  <c r="AO199" i="17" s="1"/>
  <c r="AN161" i="17"/>
  <c r="AB262" i="17"/>
  <c r="AB73" i="17"/>
  <c r="N193" i="17"/>
  <c r="AB177" i="17"/>
  <c r="AN179" i="17"/>
  <c r="AN144" i="17"/>
  <c r="AB138" i="17"/>
  <c r="AN63" i="17"/>
  <c r="Z251" i="17"/>
  <c r="AI222" i="17"/>
  <c r="Y252" i="17"/>
  <c r="AN244" i="17"/>
  <c r="AB80" i="17"/>
  <c r="M207" i="17"/>
  <c r="Z205" i="17"/>
  <c r="N202" i="17"/>
  <c r="N285" i="17"/>
  <c r="AN116" i="17"/>
  <c r="AI134" i="17"/>
  <c r="AI239" i="17"/>
  <c r="AI207" i="17"/>
  <c r="AB185" i="17"/>
  <c r="M272" i="17"/>
  <c r="AB120" i="17"/>
  <c r="X197" i="17"/>
  <c r="AO197" i="17" s="1"/>
  <c r="AN282" i="17"/>
  <c r="Y215" i="17"/>
  <c r="AB56" i="17"/>
  <c r="N234" i="17"/>
  <c r="AB52" i="17"/>
  <c r="M278" i="17"/>
  <c r="AB213" i="17"/>
  <c r="AN198" i="17"/>
  <c r="Z200" i="17"/>
  <c r="M270" i="17"/>
  <c r="M210" i="17"/>
  <c r="AI283" i="17"/>
  <c r="Z244" i="17"/>
  <c r="M205" i="17"/>
  <c r="AI83" i="17"/>
  <c r="Z235" i="17"/>
  <c r="AI105" i="17"/>
  <c r="AB146" i="17"/>
  <c r="AI214" i="17"/>
  <c r="N194" i="17"/>
  <c r="N242" i="17"/>
  <c r="AI72" i="17"/>
  <c r="AN133" i="17"/>
  <c r="Z264" i="17"/>
  <c r="AI202" i="17"/>
  <c r="Y256" i="17"/>
  <c r="AI126" i="17"/>
  <c r="AI244" i="17"/>
  <c r="AI89" i="17"/>
  <c r="M220" i="17"/>
  <c r="X202" i="17"/>
  <c r="AO202" i="17" s="1"/>
  <c r="M227" i="17"/>
  <c r="M198" i="17"/>
  <c r="AI63" i="17"/>
  <c r="AB109" i="17"/>
  <c r="AB194" i="17"/>
  <c r="X249" i="17"/>
  <c r="AO249" i="17" s="1"/>
  <c r="Z229" i="17"/>
  <c r="M229" i="17"/>
  <c r="AB192" i="17"/>
  <c r="AI133" i="17"/>
  <c r="AI174" i="17"/>
  <c r="AB270" i="17"/>
  <c r="N231" i="17"/>
  <c r="M222" i="17"/>
  <c r="X285" i="17"/>
  <c r="AO285" i="17" s="1"/>
  <c r="AB149" i="17"/>
  <c r="AB53" i="17"/>
  <c r="AN67" i="17"/>
  <c r="AB227" i="17"/>
  <c r="AI236" i="17"/>
  <c r="AI205" i="17"/>
  <c r="AI103" i="17"/>
  <c r="AN54" i="17"/>
  <c r="Y240" i="17"/>
  <c r="AB115" i="17"/>
  <c r="AI171" i="17"/>
  <c r="AI210" i="17"/>
  <c r="X278" i="17"/>
  <c r="AO278" i="17" s="1"/>
  <c r="AI223" i="17"/>
  <c r="N277" i="17"/>
  <c r="AI251" i="17"/>
  <c r="AB252" i="17"/>
  <c r="AN260" i="17"/>
  <c r="AI228" i="17"/>
  <c r="AB188" i="17"/>
  <c r="AB174" i="17"/>
  <c r="M209" i="17"/>
  <c r="M271" i="17"/>
  <c r="X215" i="17"/>
  <c r="AO215" i="17" s="1"/>
  <c r="AI88" i="17"/>
  <c r="AN256" i="17"/>
  <c r="X209" i="17"/>
  <c r="AO209" i="17" s="1"/>
  <c r="Y273" i="17"/>
  <c r="AN200" i="17"/>
  <c r="Y283" i="17"/>
  <c r="Z270" i="17"/>
  <c r="Z285" i="17"/>
  <c r="AB231" i="17"/>
  <c r="Y244" i="17"/>
  <c r="AI238" i="17"/>
  <c r="AB95" i="17"/>
  <c r="M267" i="17"/>
  <c r="AB272" i="17"/>
  <c r="AN157" i="17"/>
  <c r="Z258" i="17"/>
  <c r="N192" i="17"/>
  <c r="AN62" i="17"/>
  <c r="X208" i="17"/>
  <c r="AO208" i="17" s="1"/>
  <c r="AI256" i="17"/>
  <c r="Z211" i="17"/>
  <c r="N195" i="17"/>
  <c r="X229" i="17"/>
  <c r="AO229" i="17" s="1"/>
  <c r="AN175" i="17"/>
  <c r="Y264" i="17"/>
  <c r="AN87" i="17"/>
  <c r="AI56" i="17"/>
  <c r="N274" i="17"/>
  <c r="AB157" i="17"/>
  <c r="M259" i="17"/>
  <c r="AN99" i="17"/>
  <c r="Z221" i="17"/>
  <c r="AI166" i="17"/>
  <c r="AN271" i="17"/>
  <c r="AN85" i="17"/>
  <c r="AB111" i="17"/>
  <c r="AI176" i="17"/>
  <c r="AB125" i="17"/>
  <c r="Y217" i="17"/>
  <c r="AB132" i="17"/>
  <c r="Z274" i="17"/>
  <c r="AN267" i="17"/>
  <c r="AN252" i="17"/>
  <c r="N348" i="17"/>
  <c r="AN199" i="17"/>
  <c r="Y303" i="17"/>
  <c r="N289" i="17"/>
  <c r="AN196" i="17"/>
  <c r="X346" i="17"/>
  <c r="AO346" i="17" s="1"/>
  <c r="N74" i="17"/>
  <c r="M162" i="17"/>
  <c r="AI281" i="17"/>
  <c r="M365" i="17"/>
  <c r="AI345" i="17"/>
  <c r="N191" i="17"/>
  <c r="AI97" i="17"/>
  <c r="N229" i="17"/>
  <c r="X252" i="17"/>
  <c r="AO252" i="17" s="1"/>
  <c r="X95" i="17"/>
  <c r="AO95" i="17" s="1"/>
  <c r="X110" i="17"/>
  <c r="AO110" i="17" s="1"/>
  <c r="N291" i="17"/>
  <c r="Y332" i="17"/>
  <c r="Y90" i="17"/>
  <c r="AI77" i="17"/>
  <c r="AB317" i="17"/>
  <c r="X234" i="17"/>
  <c r="AO234" i="17" s="1"/>
  <c r="M305" i="17"/>
  <c r="Y296" i="17"/>
  <c r="AB145" i="17"/>
  <c r="X237" i="17"/>
  <c r="AO237" i="17" s="1"/>
  <c r="Z267" i="17"/>
  <c r="AI153" i="17"/>
  <c r="AN75" i="17"/>
  <c r="X287" i="17"/>
  <c r="AO287" i="17" s="1"/>
  <c r="M86" i="17"/>
  <c r="N140" i="17"/>
  <c r="Y321" i="17"/>
  <c r="AN176" i="17"/>
  <c r="AI148" i="17"/>
  <c r="AB54" i="17"/>
  <c r="X248" i="17"/>
  <c r="AO248" i="17" s="1"/>
  <c r="X103" i="17"/>
  <c r="AO103" i="17" s="1"/>
  <c r="AB335" i="17"/>
  <c r="M245" i="17"/>
  <c r="N61" i="17"/>
  <c r="X188" i="17"/>
  <c r="AO188" i="17" s="1"/>
  <c r="AB334" i="17"/>
  <c r="N72" i="17"/>
  <c r="AN73" i="17"/>
  <c r="N319" i="17"/>
  <c r="Z253" i="17"/>
  <c r="AI99" i="17"/>
  <c r="X325" i="17"/>
  <c r="AO325" i="17" s="1"/>
  <c r="AB182" i="17"/>
  <c r="Y78" i="17"/>
  <c r="AN130" i="17"/>
  <c r="AN358" i="17"/>
  <c r="AI246" i="17"/>
  <c r="Z305" i="17"/>
  <c r="AN204" i="17"/>
  <c r="AI74" i="17"/>
  <c r="AB275" i="17"/>
  <c r="AB348" i="17"/>
  <c r="Y230" i="17"/>
  <c r="AN355" i="17"/>
  <c r="M252" i="17"/>
  <c r="X323" i="17"/>
  <c r="AO323" i="17" s="1"/>
  <c r="AI352" i="17"/>
  <c r="N241" i="17"/>
  <c r="X297" i="17"/>
  <c r="AO297" i="17" s="1"/>
  <c r="Z337" i="17"/>
  <c r="Z185" i="17"/>
  <c r="Y248" i="17"/>
  <c r="N259" i="17"/>
  <c r="Y255" i="17"/>
  <c r="Y239" i="17"/>
  <c r="Z89" i="17"/>
  <c r="AN90" i="17"/>
  <c r="AB294" i="17"/>
  <c r="M131" i="17"/>
  <c r="AB86" i="17"/>
  <c r="AN273" i="17"/>
  <c r="AB355" i="17"/>
  <c r="AB267" i="17"/>
  <c r="AN329" i="17"/>
  <c r="Y330" i="17"/>
  <c r="M260" i="17"/>
  <c r="Z167" i="17"/>
  <c r="N175" i="17"/>
  <c r="AN206" i="17"/>
  <c r="AB181" i="17"/>
  <c r="M367" i="17"/>
  <c r="AI338" i="17"/>
  <c r="T21" i="12"/>
  <c r="Z273" i="17"/>
  <c r="X336" i="17"/>
  <c r="AO336" i="17" s="1"/>
  <c r="N219" i="17"/>
  <c r="M293" i="17"/>
  <c r="Z281" i="17"/>
  <c r="Z291" i="17"/>
  <c r="X342" i="17"/>
  <c r="AO342" i="17" s="1"/>
  <c r="AI193" i="17"/>
  <c r="AB122" i="17"/>
  <c r="AB217" i="17"/>
  <c r="X256" i="17"/>
  <c r="AO256" i="17" s="1"/>
  <c r="N166" i="17"/>
  <c r="N332" i="17"/>
  <c r="AN126" i="17"/>
  <c r="AI159" i="17"/>
  <c r="M102" i="17"/>
  <c r="M196" i="17"/>
  <c r="AB298" i="17"/>
  <c r="Y182" i="17"/>
  <c r="M71" i="17"/>
  <c r="Y65" i="17"/>
  <c r="AI79" i="17"/>
  <c r="Z301" i="17"/>
  <c r="AI184" i="17"/>
  <c r="M273" i="17"/>
  <c r="Y247" i="17"/>
  <c r="X218" i="17"/>
  <c r="AO218" i="17" s="1"/>
  <c r="AI268" i="17"/>
  <c r="AI200" i="17"/>
  <c r="AB258" i="17"/>
  <c r="N281" i="17"/>
  <c r="AB70" i="17"/>
  <c r="X291" i="17"/>
  <c r="AO291" i="17" s="1"/>
  <c r="M138" i="17"/>
  <c r="AI82" i="17"/>
  <c r="X347" i="17"/>
  <c r="AO347" i="17" s="1"/>
  <c r="X260" i="17"/>
  <c r="AO260" i="17" s="1"/>
  <c r="M143" i="17"/>
  <c r="X69" i="17"/>
  <c r="AO69" i="17" s="1"/>
  <c r="X309" i="17"/>
  <c r="AO309" i="17" s="1"/>
  <c r="Z368" i="17"/>
  <c r="X53" i="17"/>
  <c r="AO53" i="17" s="1"/>
  <c r="AI224" i="17"/>
  <c r="AN211" i="17"/>
  <c r="Y277" i="17"/>
  <c r="AI369" i="17"/>
  <c r="Y346" i="17"/>
  <c r="AN163" i="17"/>
  <c r="X232" i="17"/>
  <c r="AO232" i="17" s="1"/>
  <c r="AN152" i="17"/>
  <c r="AI78" i="17"/>
  <c r="AB154" i="17"/>
  <c r="X335" i="17"/>
  <c r="AO335" i="17" s="1"/>
  <c r="AI71" i="17"/>
  <c r="X137" i="17"/>
  <c r="AO137" i="17" s="1"/>
  <c r="X196" i="17"/>
  <c r="AO196" i="17" s="1"/>
  <c r="AB319" i="17"/>
  <c r="AB193" i="17"/>
  <c r="M269" i="17"/>
  <c r="M165" i="17"/>
  <c r="AI233" i="17"/>
  <c r="Z340" i="17"/>
  <c r="N144" i="17"/>
  <c r="AN324" i="17"/>
  <c r="Y134" i="17"/>
  <c r="Z81" i="17"/>
  <c r="AN58" i="17"/>
  <c r="AN205" i="17"/>
  <c r="M181" i="17"/>
  <c r="Z315" i="17"/>
  <c r="Y285" i="17"/>
  <c r="Y309" i="17"/>
  <c r="Z230" i="17"/>
  <c r="N109" i="17"/>
  <c r="AB74" i="17"/>
  <c r="AI123" i="17"/>
  <c r="Y197" i="17"/>
  <c r="AI158" i="17"/>
  <c r="M122" i="17"/>
  <c r="N165" i="17"/>
  <c r="M200" i="17"/>
  <c r="Z298" i="17"/>
  <c r="AI86" i="17"/>
  <c r="AN217" i="17"/>
  <c r="N296" i="17"/>
  <c r="AI113" i="17"/>
  <c r="N336" i="17"/>
  <c r="Z129" i="17"/>
  <c r="M310" i="17"/>
  <c r="N121" i="17"/>
  <c r="Z183" i="17"/>
  <c r="N304" i="17"/>
  <c r="X265" i="17"/>
  <c r="AO265" i="17" s="1"/>
  <c r="Y62" i="17"/>
  <c r="M150" i="17"/>
  <c r="Y76" i="17"/>
  <c r="D21" i="12"/>
  <c r="M90" i="17"/>
  <c r="M137" i="17"/>
  <c r="X152" i="17"/>
  <c r="AO152" i="17" s="1"/>
  <c r="M323" i="17"/>
  <c r="M15" i="12"/>
  <c r="AB303" i="17"/>
  <c r="N313" i="17"/>
  <c r="X117" i="17"/>
  <c r="AO117" i="17" s="1"/>
  <c r="AB107" i="17"/>
  <c r="AB21" i="12"/>
  <c r="Y251" i="17"/>
  <c r="AI293" i="17"/>
  <c r="AI282" i="17"/>
  <c r="X233" i="17"/>
  <c r="AO233" i="17" s="1"/>
  <c r="AI122" i="17"/>
  <c r="AB216" i="17"/>
  <c r="AI175" i="17"/>
  <c r="AI262" i="17"/>
  <c r="N312" i="17"/>
  <c r="AN330" i="17"/>
  <c r="M120" i="17"/>
  <c r="N134" i="17"/>
  <c r="N315" i="17"/>
  <c r="AB68" i="17"/>
  <c r="AN281" i="17"/>
  <c r="Z210" i="17"/>
  <c r="N350" i="17"/>
  <c r="AI366" i="17"/>
  <c r="Y361" i="17"/>
  <c r="Y161" i="17"/>
  <c r="N129" i="17"/>
  <c r="X349" i="17"/>
  <c r="AO349" i="17" s="1"/>
  <c r="AI325" i="17"/>
  <c r="X259" i="17"/>
  <c r="AO259" i="17" s="1"/>
  <c r="AI127" i="17"/>
  <c r="AI270" i="17"/>
  <c r="Z265" i="17"/>
  <c r="AB65" i="17"/>
  <c r="N228" i="17"/>
  <c r="X271" i="17"/>
  <c r="AO271" i="17" s="1"/>
  <c r="AN201" i="17"/>
  <c r="AN139" i="17"/>
  <c r="AI137" i="17"/>
  <c r="N155" i="17"/>
  <c r="X84" i="17"/>
  <c r="AO84" i="17" s="1"/>
  <c r="AB190" i="17"/>
  <c r="AB156" i="17"/>
  <c r="AN79" i="17"/>
  <c r="AB127" i="17"/>
  <c r="AI155" i="17"/>
  <c r="Y204" i="17"/>
  <c r="Z304" i="17"/>
  <c r="X58" i="17"/>
  <c r="AO58" i="17" s="1"/>
  <c r="X141" i="17"/>
  <c r="AO141" i="17" s="1"/>
  <c r="AN317" i="17"/>
  <c r="Z152" i="17"/>
  <c r="Y355" i="17"/>
  <c r="Z90" i="17"/>
  <c r="AI272" i="17"/>
  <c r="Z227" i="17"/>
  <c r="AA15" i="12"/>
  <c r="X204" i="17"/>
  <c r="AO204" i="17" s="1"/>
  <c r="X332" i="17"/>
  <c r="AO332" i="17" s="1"/>
  <c r="AN336" i="17"/>
  <c r="X262" i="17"/>
  <c r="AO262" i="17" s="1"/>
  <c r="X273" i="17"/>
  <c r="AO273" i="17" s="1"/>
  <c r="X79" i="17"/>
  <c r="AO79" i="17" s="1"/>
  <c r="AI59" i="17"/>
  <c r="AI227" i="17"/>
  <c r="AI303" i="17"/>
  <c r="Z241" i="17"/>
  <c r="AI260" i="17"/>
  <c r="AN307" i="17"/>
  <c r="AI187" i="17"/>
  <c r="AB143" i="17"/>
  <c r="AN167" i="17"/>
  <c r="AN172" i="17"/>
  <c r="X214" i="17"/>
  <c r="AO214" i="17" s="1"/>
  <c r="AI84" i="17"/>
  <c r="X239" i="17"/>
  <c r="AO239" i="17" s="1"/>
  <c r="AI120" i="17"/>
  <c r="AN245" i="17"/>
  <c r="AB316" i="17"/>
  <c r="M191" i="17"/>
  <c r="AN170" i="17"/>
  <c r="X301" i="17"/>
  <c r="AO301" i="17" s="1"/>
  <c r="M338" i="17"/>
  <c r="N82" i="17"/>
  <c r="X193" i="17"/>
  <c r="AO193" i="17" s="1"/>
  <c r="M64" i="17"/>
  <c r="AI277" i="17"/>
  <c r="Z133" i="17"/>
  <c r="AN318" i="17"/>
  <c r="N198" i="17"/>
  <c r="M221" i="17"/>
  <c r="M67" i="17"/>
  <c r="N226" i="17"/>
  <c r="AB179" i="17"/>
  <c r="AB175" i="17"/>
  <c r="Z334" i="17"/>
  <c r="AI65" i="17"/>
  <c r="AN112" i="17"/>
  <c r="AI109" i="17"/>
  <c r="AI129" i="17"/>
  <c r="Y258" i="17"/>
  <c r="M275" i="17"/>
  <c r="X360" i="17"/>
  <c r="AO360" i="17" s="1"/>
  <c r="X326" i="17"/>
  <c r="AO326" i="17" s="1"/>
  <c r="Z271" i="17"/>
  <c r="X236" i="17"/>
  <c r="AO236" i="17" s="1"/>
  <c r="AI337" i="17"/>
  <c r="N263" i="17"/>
  <c r="X307" i="17"/>
  <c r="AO307" i="17" s="1"/>
  <c r="AN269" i="17"/>
  <c r="N83" i="17"/>
  <c r="N57" i="17"/>
  <c r="X128" i="17"/>
  <c r="AO128" i="17" s="1"/>
  <c r="AB302" i="17"/>
  <c r="M354" i="17"/>
  <c r="Z84" i="17"/>
  <c r="Z57" i="17"/>
  <c r="M123" i="17"/>
  <c r="AB276" i="17"/>
  <c r="AB261" i="17"/>
  <c r="Z67" i="17"/>
  <c r="M328" i="17"/>
  <c r="N297" i="17"/>
  <c r="AB153" i="17"/>
  <c r="AB253" i="17"/>
  <c r="AN231" i="17"/>
  <c r="Z201" i="17"/>
  <c r="N317" i="17"/>
  <c r="AB110" i="17"/>
  <c r="AB345" i="17"/>
  <c r="M287" i="17"/>
  <c r="AN314" i="17"/>
  <c r="M69" i="17"/>
  <c r="Z325" i="17"/>
  <c r="Y117" i="17"/>
  <c r="Y279" i="17"/>
  <c r="Z71" i="17"/>
  <c r="Y139" i="17"/>
  <c r="X149" i="17"/>
  <c r="AO149" i="17" s="1"/>
  <c r="AB203" i="17"/>
  <c r="X319" i="17"/>
  <c r="AO319" i="17" s="1"/>
  <c r="M186" i="17"/>
  <c r="AN113" i="17"/>
  <c r="AN156" i="17"/>
  <c r="N236" i="17"/>
  <c r="Z310" i="17"/>
  <c r="M318" i="17"/>
  <c r="AB187" i="17"/>
  <c r="Y203" i="17"/>
  <c r="AB100" i="17"/>
  <c r="X368" i="17"/>
  <c r="AO368" i="17" s="1"/>
  <c r="AN342" i="17"/>
  <c r="X184" i="17"/>
  <c r="AO184" i="17" s="1"/>
  <c r="M161" i="17"/>
  <c r="Y194" i="17"/>
  <c r="N325" i="17"/>
  <c r="AB364" i="17"/>
  <c r="AB165" i="17"/>
  <c r="AN77" i="17"/>
  <c r="Y157" i="17"/>
  <c r="Y327" i="17"/>
  <c r="N132" i="17"/>
  <c r="Y162" i="17"/>
  <c r="X247" i="17"/>
  <c r="AO247" i="17" s="1"/>
  <c r="Y266" i="17"/>
  <c r="Z318" i="17"/>
  <c r="AB207" i="17"/>
  <c r="Y268" i="17"/>
  <c r="C15" i="12"/>
  <c r="N333" i="17"/>
  <c r="Z189" i="17"/>
  <c r="Z224" i="17"/>
  <c r="M61" i="17"/>
  <c r="AB59" i="17"/>
  <c r="AI178" i="17"/>
  <c r="Z174" i="17"/>
  <c r="Z63" i="17"/>
  <c r="Y202" i="17"/>
  <c r="AB313" i="17"/>
  <c r="N282" i="17"/>
  <c r="M325" i="17"/>
  <c r="M119" i="17"/>
  <c r="Z348" i="17"/>
  <c r="M279" i="17"/>
  <c r="Y116" i="17"/>
  <c r="AB357" i="17"/>
  <c r="N318" i="17"/>
  <c r="M85" i="17"/>
  <c r="X322" i="17"/>
  <c r="AO322" i="17" s="1"/>
  <c r="X136" i="17"/>
  <c r="AO136" i="17" s="1"/>
  <c r="AN263" i="17"/>
  <c r="Y186" i="17"/>
  <c r="AI177" i="17"/>
  <c r="M92" i="17"/>
  <c r="Z293" i="17"/>
  <c r="AN322" i="17"/>
  <c r="AB259" i="17"/>
  <c r="X162" i="17"/>
  <c r="AO162" i="17" s="1"/>
  <c r="Y336" i="17"/>
  <c r="X87" i="17"/>
  <c r="AO87" i="17" s="1"/>
  <c r="Z280" i="17"/>
  <c r="X321" i="17"/>
  <c r="AO321" i="17" s="1"/>
  <c r="N116" i="17"/>
  <c r="X21" i="12"/>
  <c r="AI289" i="17"/>
  <c r="X182" i="17"/>
  <c r="AO182" i="17" s="1"/>
  <c r="M126" i="17"/>
  <c r="N254" i="17"/>
  <c r="M294" i="17"/>
  <c r="AB89" i="17"/>
  <c r="M57" i="17"/>
  <c r="AN190" i="17"/>
  <c r="AB235" i="17"/>
  <c r="AN259" i="17"/>
  <c r="N216" i="17"/>
  <c r="Y337" i="17"/>
  <c r="Y281" i="17"/>
  <c r="AN275" i="17"/>
  <c r="AN165" i="17"/>
  <c r="AN369" i="17"/>
  <c r="N341" i="17"/>
  <c r="Z283" i="17"/>
  <c r="AN237" i="17"/>
  <c r="AN262" i="17"/>
  <c r="Y199" i="17"/>
  <c r="AI259" i="17"/>
  <c r="AB300" i="17"/>
  <c r="AI138" i="17"/>
  <c r="M168" i="17"/>
  <c r="N94" i="17"/>
  <c r="AN290" i="17"/>
  <c r="AK15" i="12"/>
  <c r="N264" i="17"/>
  <c r="Y342" i="17"/>
  <c r="Y237" i="17"/>
  <c r="X288" i="17"/>
  <c r="AO288" i="17" s="1"/>
  <c r="Y249" i="17"/>
  <c r="Z250" i="17"/>
  <c r="Y290" i="17"/>
  <c r="M241" i="17"/>
  <c r="AB221" i="17"/>
  <c r="AB251" i="17"/>
  <c r="M236" i="17"/>
  <c r="AB341" i="17"/>
  <c r="AI147" i="17"/>
  <c r="AI284" i="17"/>
  <c r="Y211" i="17"/>
  <c r="M243" i="17"/>
  <c r="Y366" i="17"/>
  <c r="AN276" i="17"/>
  <c r="N344" i="17"/>
  <c r="AI319" i="17"/>
  <c r="N79" i="17"/>
  <c r="M336" i="17"/>
  <c r="M139" i="17"/>
  <c r="Z346" i="17"/>
  <c r="Q21" i="12"/>
  <c r="AI131" i="17"/>
  <c r="AI348" i="17"/>
  <c r="AN159" i="17"/>
  <c r="AI212" i="17"/>
  <c r="AB242" i="17"/>
  <c r="X276" i="17"/>
  <c r="AO276" i="17" s="1"/>
  <c r="N295" i="17"/>
  <c r="AI130" i="17"/>
  <c r="AI365" i="17"/>
  <c r="AB129" i="17"/>
  <c r="Y354" i="17"/>
  <c r="AN168" i="17"/>
  <c r="N262" i="17"/>
  <c r="M219" i="17"/>
  <c r="N298" i="17"/>
  <c r="M283" i="17"/>
  <c r="Y313" i="17"/>
  <c r="Z344" i="17"/>
  <c r="AB209" i="17"/>
  <c r="M103" i="17"/>
  <c r="Z282" i="17"/>
  <c r="N210" i="17"/>
  <c r="M253" i="17"/>
  <c r="Z303" i="17"/>
  <c r="N261" i="17"/>
  <c r="AN125" i="17"/>
  <c r="Z222" i="17"/>
  <c r="X213" i="17"/>
  <c r="AO213" i="17" s="1"/>
  <c r="AI343" i="17"/>
  <c r="Y367" i="17"/>
  <c r="AI106" i="17"/>
  <c r="AI136" i="17"/>
  <c r="AI312" i="17"/>
  <c r="AN272" i="17"/>
  <c r="Y245" i="17"/>
  <c r="N245" i="17"/>
  <c r="M357" i="17"/>
  <c r="X338" i="17"/>
  <c r="AO338" i="17" s="1"/>
  <c r="N170" i="17"/>
  <c r="N199" i="17"/>
  <c r="M132" i="17"/>
  <c r="AN242" i="17"/>
  <c r="M195" i="17"/>
  <c r="AN66" i="17"/>
  <c r="Z204" i="17"/>
  <c r="Z313" i="17"/>
  <c r="AN232" i="17"/>
  <c r="M206" i="17"/>
  <c r="Z272" i="17"/>
  <c r="X145" i="17"/>
  <c r="AO145" i="17" s="1"/>
  <c r="AB343" i="17"/>
  <c r="N218" i="17"/>
  <c r="AB91" i="17"/>
  <c r="AN96" i="17"/>
  <c r="Y216" i="17"/>
  <c r="N339" i="17"/>
  <c r="Z366" i="17"/>
  <c r="Y167" i="17"/>
  <c r="X133" i="17"/>
  <c r="AO133" i="17" s="1"/>
  <c r="X174" i="17"/>
  <c r="AO174" i="17" s="1"/>
  <c r="AN365" i="17"/>
  <c r="X72" i="17"/>
  <c r="AO72" i="17" s="1"/>
  <c r="Y96" i="17"/>
  <c r="X318" i="17"/>
  <c r="AO318" i="17" s="1"/>
  <c r="M70" i="17"/>
  <c r="M284" i="17"/>
  <c r="N197" i="17"/>
  <c r="Y232" i="17"/>
  <c r="X195" i="17"/>
  <c r="AO195" i="17" s="1"/>
  <c r="AB339" i="17"/>
  <c r="M208" i="17"/>
  <c r="X191" i="17"/>
  <c r="AO191" i="17" s="1"/>
  <c r="AI232" i="17"/>
  <c r="M94" i="17"/>
  <c r="AB186" i="17"/>
  <c r="X154" i="17"/>
  <c r="AO154" i="17" s="1"/>
  <c r="Z225" i="17"/>
  <c r="AN160" i="17"/>
  <c r="AB295" i="17"/>
  <c r="M349" i="17"/>
  <c r="Y275" i="17"/>
  <c r="Z113" i="17"/>
  <c r="X206" i="17"/>
  <c r="AO206" i="17" s="1"/>
  <c r="M343" i="17"/>
  <c r="Z88" i="17"/>
  <c r="Y86" i="17"/>
  <c r="AI226" i="17"/>
  <c r="Z115" i="17"/>
  <c r="N292" i="17"/>
  <c r="AN158" i="17"/>
  <c r="X333" i="17"/>
  <c r="AO333" i="17" s="1"/>
  <c r="AB171" i="17"/>
  <c r="Z338" i="17"/>
  <c r="AI278" i="17"/>
  <c r="N77" i="17"/>
  <c r="AN74" i="17"/>
  <c r="N221" i="17"/>
  <c r="Z146" i="17"/>
  <c r="N217" i="17"/>
  <c r="AN98" i="17"/>
  <c r="AI364" i="17"/>
  <c r="AB256" i="17"/>
  <c r="Z69" i="17"/>
  <c r="AB305" i="17"/>
  <c r="M170" i="17"/>
  <c r="AB113" i="17"/>
  <c r="M128" i="17"/>
  <c r="N328" i="17"/>
  <c r="N306" i="17"/>
  <c r="G21" i="12"/>
  <c r="X257" i="17"/>
  <c r="AO257" i="17" s="1"/>
  <c r="AN138" i="17"/>
  <c r="Z70" i="17"/>
  <c r="AN173" i="17"/>
  <c r="AB141" i="17"/>
  <c r="M218" i="17"/>
  <c r="AB250" i="17"/>
  <c r="N346" i="17"/>
  <c r="Z142" i="17"/>
  <c r="AB229" i="17"/>
  <c r="N223" i="17"/>
  <c r="N214" i="17"/>
  <c r="AI195" i="17"/>
  <c r="Y87" i="17"/>
  <c r="X263" i="17"/>
  <c r="AO263" i="17" s="1"/>
  <c r="Y320" i="17"/>
  <c r="Y201" i="17"/>
  <c r="Z213" i="17"/>
  <c r="AI255" i="17"/>
  <c r="AI112" i="17"/>
  <c r="Y297" i="17"/>
  <c r="X284" i="17"/>
  <c r="AO284" i="17" s="1"/>
  <c r="X81" i="17"/>
  <c r="AO81" i="17" s="1"/>
  <c r="N335" i="17"/>
  <c r="AN197" i="17"/>
  <c r="AB211" i="17"/>
  <c r="Z254" i="17"/>
  <c r="AN326" i="17"/>
  <c r="X85" i="17"/>
  <c r="AO85" i="17" s="1"/>
  <c r="M327" i="17"/>
  <c r="M353" i="17"/>
  <c r="Z112" i="17"/>
  <c r="X151" i="17"/>
  <c r="AO151" i="17" s="1"/>
  <c r="X135" i="17"/>
  <c r="AO135" i="17" s="1"/>
  <c r="AI101" i="17"/>
  <c r="AI90" i="17"/>
  <c r="Z364" i="17"/>
  <c r="AB266" i="17"/>
  <c r="Z330" i="17"/>
  <c r="AI221" i="17"/>
  <c r="AB150" i="17"/>
  <c r="AB198" i="17"/>
  <c r="Z236" i="17"/>
  <c r="AN141" i="17"/>
  <c r="AI321" i="17"/>
  <c r="AB325" i="17"/>
  <c r="M281" i="17"/>
  <c r="N284" i="17"/>
  <c r="M76" i="17"/>
  <c r="AN186" i="17"/>
  <c r="N272" i="17"/>
  <c r="M234" i="17"/>
  <c r="Y325" i="17"/>
  <c r="Z349" i="17"/>
  <c r="N73" i="17"/>
  <c r="AN251" i="17"/>
  <c r="Y89" i="17"/>
  <c r="X124" i="17"/>
  <c r="AO124" i="17" s="1"/>
  <c r="AB337" i="17"/>
  <c r="Y351" i="17"/>
  <c r="Y307" i="17"/>
  <c r="N143" i="17"/>
  <c r="AB167" i="17"/>
  <c r="M255" i="17"/>
  <c r="N342" i="17"/>
  <c r="Y241" i="17"/>
  <c r="AI73" i="17"/>
  <c r="M232" i="17"/>
  <c r="AB201" i="17"/>
  <c r="X292" i="17"/>
  <c r="AO292" i="17" s="1"/>
  <c r="Y314" i="17"/>
  <c r="Z171" i="17"/>
  <c r="AB85" i="17"/>
  <c r="Y238" i="17"/>
  <c r="X334" i="17"/>
  <c r="AO334" i="17" s="1"/>
  <c r="AI206" i="17"/>
  <c r="Z218" i="17"/>
  <c r="AM15" i="12"/>
  <c r="AN224" i="17"/>
  <c r="N115" i="17"/>
  <c r="AN216" i="17"/>
  <c r="AI267" i="17"/>
  <c r="M256" i="17"/>
  <c r="AN288" i="17"/>
  <c r="AN284" i="17"/>
  <c r="AN121" i="17"/>
  <c r="AN292" i="17"/>
  <c r="AB90" i="17"/>
  <c r="Z216" i="17"/>
  <c r="Z130" i="17"/>
  <c r="AB283" i="17"/>
  <c r="N271" i="17"/>
  <c r="N252" i="17"/>
  <c r="AN274" i="17"/>
  <c r="AN335" i="17"/>
  <c r="Z180" i="17"/>
  <c r="Y357" i="17"/>
  <c r="X67" i="17"/>
  <c r="AO67" i="17" s="1"/>
  <c r="AH21" i="12"/>
  <c r="X350" i="17"/>
  <c r="AO350" i="17" s="1"/>
  <c r="N63" i="17"/>
  <c r="AI280" i="17"/>
  <c r="AB214" i="17"/>
  <c r="Z223" i="17"/>
  <c r="N268" i="17"/>
  <c r="AN210" i="17"/>
  <c r="AN128" i="17"/>
  <c r="Y329" i="17"/>
  <c r="N266" i="17"/>
  <c r="N238" i="17"/>
  <c r="N227" i="17"/>
  <c r="AN287" i="17"/>
  <c r="AN122" i="17"/>
  <c r="M239" i="17"/>
  <c r="AB178" i="17"/>
  <c r="AB308" i="17"/>
  <c r="AN162" i="17"/>
  <c r="Y341" i="17"/>
  <c r="M56" i="17"/>
  <c r="N123" i="17"/>
  <c r="M320" i="17"/>
  <c r="Y114" i="17"/>
  <c r="AI231" i="17"/>
  <c r="AB315" i="17"/>
  <c r="Z341" i="17"/>
  <c r="AB263" i="17"/>
  <c r="AN249" i="17"/>
  <c r="AN180" i="17"/>
  <c r="Z192" i="17"/>
  <c r="AI128" i="17"/>
  <c r="X192" i="17"/>
  <c r="AO192" i="17" s="1"/>
  <c r="AB97" i="17"/>
  <c r="AI274" i="17"/>
  <c r="X359" i="17"/>
  <c r="AO359" i="17" s="1"/>
  <c r="Y210" i="17"/>
  <c r="AN164" i="17"/>
  <c r="X362" i="17"/>
  <c r="AO362" i="17" s="1"/>
  <c r="AI108" i="17"/>
  <c r="AB92" i="17"/>
  <c r="M78" i="17"/>
  <c r="X294" i="17"/>
  <c r="AO294" i="17" s="1"/>
  <c r="AI157" i="17"/>
  <c r="Z255" i="17"/>
  <c r="X82" i="17"/>
  <c r="AO82" i="17" s="1"/>
  <c r="Y71" i="17"/>
  <c r="M77" i="17"/>
  <c r="Z209" i="17"/>
  <c r="X365" i="17"/>
  <c r="AO365" i="17" s="1"/>
  <c r="AB282" i="17"/>
  <c r="N279" i="17"/>
  <c r="AN225" i="17"/>
  <c r="AN255" i="17"/>
  <c r="X366" i="17"/>
  <c r="AO366" i="17" s="1"/>
  <c r="AN105" i="17"/>
  <c r="AB170" i="17"/>
  <c r="Y362" i="17"/>
  <c r="X176" i="17"/>
  <c r="AO176" i="17" s="1"/>
  <c r="AI287" i="17"/>
  <c r="AB271" i="17"/>
  <c r="Z197" i="17"/>
  <c r="Y209" i="17"/>
  <c r="Y276" i="17"/>
  <c r="AN346" i="17"/>
  <c r="AI285" i="17"/>
  <c r="AB195" i="17"/>
  <c r="N101" i="17"/>
  <c r="Z194" i="17"/>
  <c r="AN338" i="17"/>
  <c r="V21" i="12"/>
  <c r="N248" i="17"/>
  <c r="Z276" i="17"/>
  <c r="Y270" i="17"/>
  <c r="AI199" i="17"/>
  <c r="AI111" i="17"/>
  <c r="N225" i="17"/>
  <c r="AI243" i="17"/>
  <c r="Y267" i="17"/>
  <c r="Y208" i="17"/>
  <c r="N153" i="17"/>
  <c r="Z365" i="17"/>
  <c r="Z122" i="17"/>
  <c r="X222" i="17"/>
  <c r="AO222" i="17" s="1"/>
  <c r="N267" i="17"/>
  <c r="AI186" i="17"/>
  <c r="Y323" i="17"/>
  <c r="Z237" i="17"/>
  <c r="AI152" i="17"/>
  <c r="AB82" i="17"/>
  <c r="AB66" i="17"/>
  <c r="AB249" i="17"/>
  <c r="N288" i="17"/>
  <c r="AN60" i="17"/>
  <c r="M175" i="17"/>
  <c r="AI100" i="17"/>
  <c r="AN119" i="17"/>
  <c r="AI309" i="17"/>
  <c r="M223" i="17"/>
  <c r="Z257" i="17"/>
  <c r="AN84" i="17"/>
  <c r="Z74" i="17"/>
  <c r="AI229" i="17"/>
  <c r="Y66" i="17"/>
  <c r="AK21" i="12"/>
  <c r="Z357" i="17"/>
  <c r="AI308" i="17"/>
  <c r="AB180" i="17"/>
  <c r="M355" i="17"/>
  <c r="AB210" i="17"/>
  <c r="N103" i="17"/>
  <c r="Y229" i="17"/>
  <c r="M276" i="17"/>
  <c r="AN97" i="17"/>
  <c r="AI211" i="17"/>
  <c r="N258" i="17"/>
  <c r="M277" i="17"/>
  <c r="M216" i="17"/>
  <c r="M344" i="17"/>
  <c r="M224" i="17"/>
  <c r="AI340" i="17"/>
  <c r="X221" i="17"/>
  <c r="AO221" i="17" s="1"/>
  <c r="AI271" i="17"/>
  <c r="M286" i="17"/>
  <c r="N323" i="17"/>
  <c r="AN366" i="17"/>
  <c r="Z148" i="17"/>
  <c r="AN78" i="17"/>
  <c r="X327" i="17"/>
  <c r="AO327" i="17" s="1"/>
  <c r="Z166" i="17"/>
  <c r="N309" i="17"/>
  <c r="AM21" i="12"/>
  <c r="N287" i="17"/>
  <c r="AB328" i="17"/>
  <c r="AN57" i="17"/>
  <c r="M299" i="17"/>
  <c r="AI198" i="17"/>
  <c r="AN182" i="17"/>
  <c r="M291" i="17"/>
  <c r="AN134" i="17"/>
  <c r="AB255" i="17"/>
  <c r="AB81" i="17"/>
  <c r="AB208" i="17"/>
  <c r="Z21" i="12"/>
  <c r="AI245" i="17"/>
  <c r="AN192" i="17"/>
  <c r="AN91" i="17"/>
  <c r="Y278" i="17"/>
  <c r="Y339" i="17"/>
  <c r="AN283" i="17"/>
  <c r="M214" i="17"/>
  <c r="AB296" i="17"/>
  <c r="M247" i="17"/>
  <c r="N251" i="17"/>
  <c r="AB228" i="17"/>
  <c r="AI154" i="17"/>
  <c r="AB112" i="17"/>
  <c r="AB183" i="17"/>
  <c r="X217" i="17"/>
  <c r="AO217" i="17" s="1"/>
  <c r="AB61" i="17"/>
  <c r="Y220" i="17"/>
  <c r="N117" i="17"/>
  <c r="AN101" i="17"/>
  <c r="AN154" i="17"/>
  <c r="AB117" i="17"/>
  <c r="AI194" i="17"/>
  <c r="AI257" i="17"/>
  <c r="X131" i="17"/>
  <c r="AO131" i="17" s="1"/>
  <c r="N363" i="17"/>
  <c r="Y125" i="17"/>
  <c r="Y284" i="17"/>
  <c r="Y195" i="17"/>
  <c r="AI315" i="17"/>
  <c r="AI276" i="17"/>
  <c r="N243" i="17"/>
  <c r="AB241" i="17"/>
  <c r="AI167" i="17"/>
  <c r="AI273" i="17"/>
  <c r="AB99" i="17"/>
  <c r="AI69" i="17"/>
  <c r="AI264" i="17"/>
  <c r="M135" i="17"/>
  <c r="Y311" i="17"/>
  <c r="N273" i="17"/>
  <c r="AI169" i="17"/>
  <c r="AN103" i="17"/>
  <c r="Y282" i="17"/>
  <c r="Y287" i="17"/>
  <c r="N256" i="17"/>
  <c r="Z117" i="17"/>
  <c r="Z136" i="17"/>
  <c r="M105" i="17"/>
  <c r="M136" i="17"/>
  <c r="X112" i="17"/>
  <c r="AO112" i="17" s="1"/>
  <c r="X198" i="17"/>
  <c r="AO198" i="17" s="1"/>
  <c r="AI328" i="17"/>
  <c r="K21" i="12"/>
  <c r="AN310" i="17"/>
  <c r="AB202" i="17"/>
  <c r="AB102" i="17"/>
  <c r="M204" i="17"/>
  <c r="AN226" i="17"/>
  <c r="Y292" i="17"/>
  <c r="AN188" i="17"/>
  <c r="AB142" i="17"/>
  <c r="AI347" i="17"/>
  <c r="AI240" i="17"/>
  <c r="N235" i="17"/>
  <c r="AI54" i="17"/>
  <c r="AB77" i="17"/>
  <c r="AB144" i="17"/>
  <c r="AI92" i="17"/>
  <c r="AI68" i="17"/>
  <c r="AI344" i="17"/>
  <c r="X68" i="17"/>
  <c r="AI353" i="17"/>
  <c r="Z59" i="17"/>
  <c r="M185" i="17"/>
  <c r="AI250" i="17"/>
  <c r="AI219" i="17"/>
  <c r="M240" i="17"/>
  <c r="AI300" i="17"/>
  <c r="AI140" i="17"/>
  <c r="Z215" i="17"/>
  <c r="X230" i="17"/>
  <c r="AO230" i="17" s="1"/>
  <c r="N249" i="17"/>
  <c r="Z147" i="17"/>
  <c r="AI91" i="17"/>
  <c r="AN362" i="17"/>
  <c r="AN261" i="17"/>
  <c r="N300" i="17"/>
  <c r="AN143" i="17"/>
  <c r="N232" i="17"/>
  <c r="AB212" i="17"/>
  <c r="Z324" i="17"/>
  <c r="M331" i="17"/>
  <c r="AN320" i="17"/>
  <c r="X354" i="17"/>
  <c r="AO354" i="17" s="1"/>
  <c r="N178" i="17"/>
  <c r="N269" i="17"/>
  <c r="N152" i="17"/>
  <c r="Y153" i="17"/>
  <c r="X220" i="17"/>
  <c r="AO220" i="17" s="1"/>
  <c r="AN187" i="17"/>
  <c r="N119" i="17"/>
  <c r="Y207" i="17"/>
  <c r="Z202" i="17"/>
  <c r="AB248" i="17"/>
  <c r="N265" i="17"/>
  <c r="AN92" i="17"/>
  <c r="AB101" i="17"/>
  <c r="X211" i="17"/>
  <c r="AO211" i="17" s="1"/>
  <c r="AB331" i="17"/>
  <c r="Z191" i="17"/>
  <c r="AI298" i="17"/>
  <c r="N208" i="17"/>
  <c r="AI263" i="17"/>
  <c r="AN102" i="17"/>
  <c r="AB131" i="17"/>
  <c r="AN348" i="17"/>
  <c r="X283" i="17"/>
  <c r="AO283" i="17" s="1"/>
  <c r="AN106" i="17"/>
  <c r="M98" i="17"/>
  <c r="G15" i="12"/>
  <c r="AB169" i="17"/>
  <c r="N69" i="17"/>
  <c r="M297" i="17"/>
  <c r="Z137" i="17"/>
  <c r="Z158" i="17"/>
  <c r="N354" i="17"/>
  <c r="N302" i="17"/>
  <c r="Y192" i="17"/>
  <c r="AB230" i="17"/>
  <c r="Y175" i="17"/>
  <c r="Z360" i="17"/>
  <c r="X181" i="17"/>
  <c r="AO181" i="17" s="1"/>
  <c r="O15" i="12"/>
  <c r="AI161" i="17"/>
  <c r="AN221" i="17"/>
  <c r="AB327" i="17"/>
  <c r="Y198" i="17"/>
  <c r="Y335" i="17"/>
  <c r="AB155" i="17"/>
  <c r="Y299" i="17"/>
  <c r="N260" i="17"/>
  <c r="AB254" i="17"/>
  <c r="AN59" i="17"/>
  <c r="Y250" i="17"/>
  <c r="M332" i="17"/>
  <c r="M290" i="17"/>
  <c r="AI237" i="17"/>
  <c r="AI185" i="17"/>
  <c r="Y274" i="17"/>
  <c r="AB84" i="17"/>
  <c r="M309" i="17"/>
  <c r="M156" i="17"/>
  <c r="M121" i="17"/>
  <c r="Y334" i="17"/>
  <c r="V15" i="12"/>
  <c r="Z358" i="17"/>
  <c r="AI102" i="17"/>
  <c r="M337" i="17"/>
  <c r="Y59" i="17"/>
  <c r="Z206" i="17"/>
  <c r="Z102" i="17"/>
  <c r="X367" i="17"/>
  <c r="AO367" i="17" s="1"/>
  <c r="Z105" i="17"/>
  <c r="AI67" i="17"/>
  <c r="M351" i="17"/>
  <c r="M262" i="17"/>
  <c r="AI142" i="17"/>
  <c r="Z331" i="17"/>
  <c r="N180" i="17"/>
  <c r="AB147" i="17"/>
  <c r="M73" i="17"/>
  <c r="AI118" i="17"/>
  <c r="AB369" i="17"/>
  <c r="Y227" i="17"/>
  <c r="Y68" i="17"/>
  <c r="X75" i="17"/>
  <c r="AO75" i="17" s="1"/>
  <c r="Z101" i="17"/>
  <c r="AN302" i="17"/>
  <c r="Y55" i="17"/>
  <c r="Y269" i="17"/>
  <c r="Z56" i="17"/>
  <c r="M230" i="17"/>
  <c r="AI75" i="17"/>
  <c r="Z182" i="17"/>
  <c r="AN306" i="17"/>
  <c r="N203" i="17"/>
  <c r="Z277" i="17"/>
  <c r="M238" i="17"/>
  <c r="AB93" i="17"/>
  <c r="AN289" i="17"/>
  <c r="AI216" i="17"/>
  <c r="M233" i="17"/>
  <c r="Y295" i="17"/>
  <c r="AB244" i="17"/>
  <c r="Z196" i="17"/>
  <c r="N222" i="17"/>
  <c r="Y263" i="17"/>
  <c r="X258" i="17"/>
  <c r="AO258" i="17" s="1"/>
  <c r="AI234" i="17"/>
  <c r="AN166" i="17"/>
  <c r="N205" i="17"/>
  <c r="Y163" i="17"/>
  <c r="AN285" i="17"/>
  <c r="M303" i="17"/>
  <c r="Z243" i="17"/>
  <c r="AI247" i="17"/>
  <c r="AN191" i="17"/>
  <c r="N280" i="17"/>
  <c r="AI95" i="17"/>
  <c r="AI66" i="17"/>
  <c r="AB238" i="17"/>
  <c r="Y317" i="17"/>
  <c r="AB63" i="17"/>
  <c r="AN325" i="17"/>
  <c r="AN296" i="17"/>
  <c r="AB151" i="17"/>
  <c r="AI323" i="17"/>
  <c r="M361" i="17"/>
  <c r="N316" i="17"/>
  <c r="Y61" i="17"/>
  <c r="AN55" i="17"/>
  <c r="X269" i="17"/>
  <c r="AO269" i="17" s="1"/>
  <c r="Y219" i="17"/>
  <c r="AB161" i="17"/>
  <c r="X293" i="17"/>
  <c r="AO293" i="17" s="1"/>
  <c r="AB223" i="17"/>
  <c r="Y226" i="17"/>
  <c r="Y213" i="17"/>
  <c r="AN247" i="17"/>
  <c r="N200" i="17"/>
  <c r="AB314" i="17"/>
  <c r="Z118" i="17"/>
  <c r="X207" i="17"/>
  <c r="AO207" i="17" s="1"/>
  <c r="N215" i="17"/>
  <c r="Z212" i="17"/>
  <c r="X290" i="17"/>
  <c r="AO290" i="17" s="1"/>
  <c r="AN312" i="17"/>
  <c r="M348" i="17"/>
  <c r="X331" i="17"/>
  <c r="AO331" i="17" s="1"/>
  <c r="X73" i="17"/>
  <c r="AO73" i="17" s="1"/>
  <c r="M183" i="17"/>
  <c r="AB342" i="17"/>
  <c r="Y93" i="17"/>
  <c r="AN137" i="17"/>
  <c r="X324" i="17"/>
  <c r="AO324" i="17" s="1"/>
  <c r="AI279" i="17"/>
  <c r="AI351" i="17"/>
  <c r="AB128" i="17"/>
  <c r="AN64" i="17"/>
  <c r="Y253" i="17"/>
  <c r="AN253" i="17"/>
  <c r="AB260" i="17"/>
  <c r="AI156" i="17"/>
  <c r="AI197" i="17"/>
  <c r="AN136" i="17"/>
  <c r="Z314" i="17"/>
  <c r="M316" i="17"/>
  <c r="AB62" i="17"/>
  <c r="AN215" i="17"/>
  <c r="AI81" i="17"/>
  <c r="AI170" i="17"/>
  <c r="N310" i="17"/>
  <c r="Z195" i="17"/>
  <c r="AI64" i="17"/>
  <c r="AH15" i="12"/>
  <c r="AN169" i="17"/>
  <c r="M193" i="17"/>
  <c r="X355" i="17"/>
  <c r="AO355" i="17" s="1"/>
  <c r="X223" i="17"/>
  <c r="AO223" i="17" s="1"/>
  <c r="X246" i="17"/>
  <c r="AO246" i="17" s="1"/>
  <c r="AI60" i="17"/>
  <c r="Y260" i="17"/>
  <c r="AN246" i="17"/>
  <c r="Z207" i="17"/>
  <c r="M60" i="17"/>
  <c r="X275" i="17"/>
  <c r="AO275" i="17" s="1"/>
  <c r="AB326" i="17"/>
  <c r="AN360" i="17"/>
  <c r="AI93" i="17"/>
  <c r="AN181" i="17"/>
  <c r="Y262" i="17"/>
  <c r="X250" i="17"/>
  <c r="AO250" i="17" s="1"/>
  <c r="Z266" i="17"/>
  <c r="M211" i="17"/>
  <c r="X120" i="17"/>
  <c r="AO120" i="17" s="1"/>
  <c r="Y180" i="17"/>
  <c r="O21" i="12"/>
  <c r="AI249" i="17"/>
  <c r="Y156" i="17"/>
  <c r="AB158" i="17"/>
  <c r="X212" i="17"/>
  <c r="AO212" i="17" s="1"/>
  <c r="Z339" i="17"/>
  <c r="M308" i="17"/>
  <c r="N230" i="17"/>
  <c r="N127" i="17"/>
  <c r="AI124" i="17"/>
  <c r="Z278" i="17"/>
  <c r="X235" i="17"/>
  <c r="AO235" i="17" s="1"/>
  <c r="M228" i="17"/>
  <c r="AN83" i="17"/>
  <c r="X242" i="17"/>
  <c r="AO242" i="17" s="1"/>
  <c r="X353" i="17"/>
  <c r="AO353" i="17" s="1"/>
  <c r="AB351" i="17"/>
  <c r="M202" i="17"/>
  <c r="AB83" i="17"/>
  <c r="AN72" i="17"/>
  <c r="AB246" i="17"/>
  <c r="N120" i="17"/>
  <c r="AI218" i="17"/>
  <c r="AB232" i="17"/>
  <c r="M127" i="17"/>
  <c r="N126" i="17"/>
  <c r="AB215" i="17"/>
  <c r="M125" i="17"/>
  <c r="M292" i="17"/>
  <c r="M217" i="17"/>
  <c r="AB199" i="17"/>
  <c r="AI305" i="17"/>
  <c r="Z145" i="17"/>
  <c r="AI58" i="17"/>
  <c r="N211" i="17"/>
  <c r="AN193" i="17"/>
  <c r="AN222" i="17"/>
  <c r="AI306" i="17"/>
  <c r="Z108" i="17"/>
  <c r="Y304" i="17"/>
  <c r="AN328" i="17"/>
  <c r="Z217" i="17"/>
  <c r="M288" i="17"/>
  <c r="AN150" i="17"/>
  <c r="Y206" i="17"/>
  <c r="X272" i="17"/>
  <c r="AO272" i="17" s="1"/>
  <c r="M96" i="17"/>
  <c r="N275" i="17"/>
  <c r="N362" i="17"/>
  <c r="AB121" i="17"/>
  <c r="AN343" i="17"/>
  <c r="M282" i="17"/>
  <c r="X228" i="17"/>
  <c r="AO228" i="17" s="1"/>
  <c r="AN229" i="17"/>
  <c r="AI98" i="17"/>
  <c r="AB293" i="17"/>
  <c r="AI114" i="17"/>
  <c r="AN340" i="17"/>
  <c r="M246" i="17"/>
  <c r="AN202" i="17"/>
  <c r="AI150" i="17"/>
  <c r="Y151" i="17"/>
  <c r="AI275" i="17"/>
  <c r="AN88" i="17"/>
  <c r="Y221" i="17"/>
  <c r="AB307" i="17"/>
  <c r="Y350" i="17"/>
  <c r="X328" i="17"/>
  <c r="AO328" i="17" s="1"/>
  <c r="AI331" i="17"/>
  <c r="AI322" i="17"/>
  <c r="AI333" i="17"/>
  <c r="AB64" i="17"/>
  <c r="AN294" i="17"/>
  <c r="AI172" i="17"/>
  <c r="AB233" i="17"/>
  <c r="AN297" i="17"/>
  <c r="Y242" i="17"/>
  <c r="Z260" i="17"/>
  <c r="AI115" i="17"/>
  <c r="N257" i="17"/>
  <c r="Y222" i="17"/>
  <c r="AN178" i="17"/>
  <c r="AN234" i="17"/>
  <c r="X254" i="17"/>
  <c r="AO254" i="17" s="1"/>
  <c r="AI242" i="17"/>
  <c r="M116" i="17"/>
  <c r="AB75" i="17"/>
  <c r="AB234" i="17"/>
  <c r="AN111" i="17"/>
  <c r="AB333" i="17"/>
  <c r="Y225" i="17"/>
  <c r="N213" i="17"/>
  <c r="Z219" i="17"/>
  <c r="X89" i="17"/>
  <c r="AO89" i="17" s="1"/>
  <c r="Z232" i="17"/>
  <c r="N173" i="17"/>
  <c r="Z193" i="17"/>
  <c r="N270" i="17"/>
  <c r="AN110" i="17"/>
  <c r="X281" i="17"/>
  <c r="AO281" i="17" s="1"/>
  <c r="Y363" i="17"/>
  <c r="X178" i="17"/>
  <c r="AO178" i="17" s="1"/>
  <c r="AN115" i="17"/>
  <c r="Y305" i="17"/>
  <c r="Y234" i="17"/>
  <c r="AN248" i="17"/>
  <c r="AN339" i="17"/>
  <c r="Z343" i="17"/>
  <c r="N330" i="17"/>
  <c r="X134" i="17"/>
  <c r="AO134" i="17" s="1"/>
  <c r="AB116" i="17"/>
  <c r="Y223" i="17"/>
  <c r="X348" i="17"/>
  <c r="AO348" i="17" s="1"/>
  <c r="AI62" i="17"/>
  <c r="AN233" i="17"/>
  <c r="AB119" i="17"/>
  <c r="AI346" i="17"/>
  <c r="AB236" i="17"/>
  <c r="AI235" i="17"/>
  <c r="AN153" i="17"/>
  <c r="AI117" i="17"/>
  <c r="N345" i="17"/>
  <c r="AN236" i="17"/>
  <c r="AN94" i="17"/>
  <c r="Z329" i="17"/>
  <c r="AN315" i="17"/>
  <c r="Z361" i="17"/>
  <c r="AB265" i="17"/>
  <c r="AB72" i="17"/>
  <c r="AI162" i="17"/>
  <c r="I21" i="12"/>
  <c r="Z279" i="17"/>
  <c r="Y289" i="17"/>
  <c r="AI21" i="12"/>
  <c r="X364" i="17"/>
  <c r="AO364" i="17" s="1"/>
  <c r="X351" i="17"/>
  <c r="AO351" i="17" s="1"/>
  <c r="Y272" i="17"/>
  <c r="AN53" i="17"/>
  <c r="X268" i="17"/>
  <c r="AO268" i="17" s="1"/>
  <c r="AN93" i="17"/>
  <c r="AB318" i="17"/>
  <c r="AN194" i="17"/>
  <c r="AI192" i="17"/>
  <c r="AN177" i="17"/>
  <c r="AI173" i="17"/>
  <c r="AB206" i="17"/>
  <c r="X286" i="17"/>
  <c r="AO286" i="17" s="1"/>
  <c r="M110" i="17"/>
  <c r="Z159" i="17"/>
  <c r="AB191" i="17"/>
  <c r="AB220" i="17"/>
  <c r="AN80" i="17"/>
  <c r="Y246" i="17"/>
  <c r="AB311" i="17"/>
  <c r="AB224" i="17"/>
  <c r="AN367" i="17"/>
  <c r="Y124" i="17"/>
  <c r="AN214" i="17"/>
  <c r="Y218" i="17"/>
  <c r="AB126" i="17"/>
  <c r="AI189" i="17"/>
  <c r="AI355" i="17"/>
  <c r="AI144" i="17"/>
  <c r="X329" i="17"/>
  <c r="AO329" i="17" s="1"/>
  <c r="AN239" i="17"/>
  <c r="X194" i="17"/>
  <c r="AO194" i="17" s="1"/>
  <c r="AN76" i="17"/>
  <c r="AB240" i="17"/>
  <c r="AI57" i="17"/>
  <c r="N278" i="17"/>
  <c r="AN266" i="17"/>
  <c r="AN227" i="17"/>
  <c r="AB219" i="17"/>
  <c r="AI135" i="17"/>
  <c r="M158" i="17"/>
  <c r="AI349" i="17"/>
  <c r="Y280" i="17"/>
  <c r="X98" i="17"/>
  <c r="AO98" i="17" s="1"/>
  <c r="Y143" i="17"/>
  <c r="M274" i="17"/>
  <c r="N70" i="17"/>
  <c r="M79" i="17"/>
  <c r="AN100" i="17"/>
  <c r="AI266" i="17"/>
  <c r="Z294" i="17"/>
  <c r="Y231" i="17"/>
  <c r="X227" i="17"/>
  <c r="AO227" i="17" s="1"/>
  <c r="AB148" i="17"/>
  <c r="AN319" i="17"/>
  <c r="AN265" i="17"/>
  <c r="AB88" i="17"/>
  <c r="AN140" i="17"/>
  <c r="AB164" i="17"/>
  <c r="N358" i="17"/>
  <c r="M226" i="17"/>
  <c r="AI220" i="17"/>
  <c r="AN332" i="17"/>
  <c r="Y228" i="17"/>
  <c r="AI116" i="17"/>
  <c r="N366" i="17"/>
  <c r="Z98" i="17"/>
  <c r="Y288" i="17"/>
  <c r="X172" i="17"/>
  <c r="AO172" i="17" s="1"/>
  <c r="Y15" i="12"/>
  <c r="Y70" i="17"/>
  <c r="M53" i="17"/>
  <c r="X302" i="17"/>
  <c r="AO302" i="17" s="1"/>
  <c r="M342" i="17"/>
  <c r="Y293" i="17"/>
  <c r="X343" i="17"/>
  <c r="AO343" i="17" s="1"/>
  <c r="AI248" i="17"/>
  <c r="M182" i="17"/>
  <c r="Y188" i="17"/>
  <c r="AI141" i="17"/>
  <c r="N84" i="17"/>
  <c r="Z322" i="17"/>
  <c r="M124" i="17"/>
  <c r="N224" i="17"/>
  <c r="N113" i="17"/>
  <c r="Y67" i="17"/>
  <c r="AI304" i="17"/>
  <c r="W15" i="12"/>
  <c r="N331" i="17"/>
  <c r="X168" i="17"/>
  <c r="AO168" i="17" s="1"/>
  <c r="Z125" i="17"/>
  <c r="N96" i="17"/>
  <c r="AN61" i="17"/>
  <c r="AB60" i="17"/>
  <c r="X183" i="17"/>
  <c r="AO183" i="17" s="1"/>
  <c r="Z284" i="17"/>
  <c r="Z82" i="17"/>
  <c r="AN71" i="17"/>
  <c r="M88" i="17"/>
  <c r="Y135" i="17"/>
  <c r="X78" i="17"/>
  <c r="AO78" i="17" s="1"/>
  <c r="Y119" i="17"/>
  <c r="Y324" i="17"/>
  <c r="AN353" i="17"/>
  <c r="X62" i="17"/>
  <c r="AO62" i="17" s="1"/>
  <c r="M187" i="17"/>
  <c r="Z141" i="17"/>
  <c r="Y343" i="17"/>
  <c r="M350" i="17"/>
  <c r="N364" i="17"/>
  <c r="X109" i="17"/>
  <c r="AO109" i="17" s="1"/>
  <c r="X308" i="17"/>
  <c r="AO308" i="17" s="1"/>
  <c r="M302" i="17"/>
  <c r="Y83" i="17"/>
  <c r="Z332" i="17"/>
  <c r="N58" i="17"/>
  <c r="AI139" i="17"/>
  <c r="Z247" i="17"/>
  <c r="M152" i="17"/>
  <c r="AB346" i="17"/>
  <c r="Y338" i="17"/>
  <c r="X119" i="17"/>
  <c r="AO119" i="17" s="1"/>
  <c r="AB332" i="17"/>
  <c r="J21" i="12"/>
  <c r="AN278" i="17"/>
  <c r="AI302" i="17"/>
  <c r="AN207" i="17"/>
  <c r="M265" i="17"/>
  <c r="AB222" i="17"/>
  <c r="Y200" i="17"/>
  <c r="Z317" i="17"/>
  <c r="Y261" i="17"/>
  <c r="M315" i="17"/>
  <c r="AI183" i="17"/>
  <c r="AI190" i="17"/>
  <c r="M201" i="17"/>
  <c r="Y101" i="17"/>
  <c r="Z268" i="17"/>
  <c r="Y191" i="17"/>
  <c r="AN117" i="17"/>
  <c r="AB329" i="17"/>
  <c r="AI299" i="17"/>
  <c r="N343" i="17"/>
  <c r="N188" i="17"/>
  <c r="N171" i="17"/>
  <c r="Y185" i="17"/>
  <c r="M55" i="17"/>
  <c r="AN223" i="17"/>
  <c r="N108" i="17"/>
  <c r="AI203" i="17"/>
  <c r="AB281" i="17"/>
  <c r="X216" i="17"/>
  <c r="AO216" i="17" s="1"/>
  <c r="AB197" i="17"/>
  <c r="AI297" i="17"/>
  <c r="M306" i="17"/>
  <c r="M225" i="17"/>
  <c r="AN279" i="17"/>
  <c r="M301" i="17"/>
  <c r="X226" i="17"/>
  <c r="AO226" i="17" s="1"/>
  <c r="M280" i="17"/>
  <c r="AB280" i="17"/>
  <c r="N355" i="17"/>
  <c r="AI70" i="17"/>
  <c r="Y265" i="17"/>
  <c r="Z68" i="17"/>
  <c r="N352" i="17"/>
  <c r="AI339" i="17"/>
  <c r="Y100" i="17"/>
  <c r="N174" i="17"/>
  <c r="Y115" i="17"/>
  <c r="AB338" i="17"/>
  <c r="M91" i="17"/>
  <c r="AB176" i="17"/>
  <c r="AB76" i="17"/>
  <c r="AB277" i="17"/>
  <c r="AB173" i="17"/>
  <c r="Z321" i="17"/>
  <c r="X266" i="17"/>
  <c r="AO266" i="17" s="1"/>
  <c r="AB322" i="17"/>
  <c r="AB225" i="17"/>
  <c r="AI87" i="17"/>
  <c r="AB301" i="17"/>
  <c r="M258" i="17"/>
  <c r="N196" i="17"/>
  <c r="X54" i="17"/>
  <c r="AO54" i="17" s="1"/>
  <c r="AB168" i="17"/>
  <c r="AI201" i="17"/>
  <c r="AI241" i="17"/>
  <c r="Z214" i="17"/>
  <c r="AI179" i="17"/>
  <c r="X243" i="17"/>
  <c r="AO243" i="17" s="1"/>
  <c r="Z311" i="17"/>
  <c r="M352" i="17"/>
  <c r="M192" i="17"/>
  <c r="X86" i="17"/>
  <c r="AO86" i="17" s="1"/>
  <c r="AB274" i="17"/>
  <c r="M369" i="17"/>
  <c r="AB285" i="17"/>
  <c r="AI324" i="17"/>
  <c r="AI217" i="17"/>
  <c r="N244" i="17"/>
  <c r="M263" i="17"/>
  <c r="M313" i="17"/>
  <c r="X205" i="17"/>
  <c r="AO205" i="17" s="1"/>
  <c r="AN295" i="17"/>
  <c r="X201" i="17"/>
  <c r="AO201" i="17" s="1"/>
  <c r="AB363" i="17"/>
  <c r="AB356" i="17"/>
  <c r="AN228" i="17"/>
  <c r="AB159" i="17"/>
  <c r="Z99" i="17"/>
  <c r="AN241" i="17"/>
  <c r="Z238" i="17"/>
  <c r="AB204" i="17"/>
  <c r="X251" i="17"/>
  <c r="AO251" i="17" s="1"/>
  <c r="N361" i="17"/>
  <c r="AN65" i="17"/>
  <c r="AN304" i="17"/>
  <c r="AB278" i="17"/>
  <c r="Y294" i="17"/>
  <c r="AB55" i="17"/>
  <c r="M285" i="17"/>
  <c r="Y286" i="17"/>
  <c r="N290" i="17"/>
  <c r="AB196" i="17"/>
  <c r="Y107" i="17"/>
  <c r="AI215" i="17"/>
  <c r="M341" i="17"/>
  <c r="N368" i="17"/>
  <c r="AI317" i="17"/>
  <c r="M146" i="17"/>
  <c r="X96" i="17"/>
  <c r="AO96" i="17" s="1"/>
  <c r="Y312" i="17"/>
  <c r="Y349" i="17"/>
  <c r="X164" i="17"/>
  <c r="AO164" i="17" s="1"/>
  <c r="AN334" i="17"/>
  <c r="Z190" i="17"/>
  <c r="Z239" i="17"/>
  <c r="Z208" i="17"/>
  <c r="AN341" i="17"/>
  <c r="M237" i="17"/>
  <c r="X121" i="17"/>
  <c r="AO121" i="17" s="1"/>
  <c r="M257" i="17"/>
  <c r="Z288" i="17"/>
  <c r="AI258" i="17"/>
  <c r="AN286" i="17"/>
  <c r="AI94" i="17"/>
  <c r="AN131" i="17"/>
  <c r="AB323" i="17"/>
  <c r="AN301" i="17"/>
  <c r="AN250" i="17"/>
  <c r="M249" i="17"/>
  <c r="Z296" i="17"/>
  <c r="AB133" i="17"/>
  <c r="Y344" i="17"/>
  <c r="Z233" i="17"/>
  <c r="M213" i="17"/>
  <c r="X74" i="17"/>
  <c r="AO74" i="17" s="1"/>
  <c r="AN203" i="17"/>
  <c r="Y214" i="17"/>
  <c r="X224" i="17"/>
  <c r="AO224" i="17" s="1"/>
  <c r="AB79" i="17"/>
  <c r="N308" i="17"/>
  <c r="X282" i="17"/>
  <c r="AO282" i="17" s="1"/>
  <c r="X279" i="17"/>
  <c r="AO279" i="17" s="1"/>
  <c r="AI165" i="17"/>
  <c r="AN56" i="17"/>
  <c r="AN127" i="17"/>
  <c r="AB96" i="17"/>
  <c r="AB347" i="17"/>
  <c r="M144" i="17"/>
  <c r="AB205" i="17"/>
  <c r="Z290" i="17"/>
  <c r="AI163" i="17"/>
  <c r="AN142" i="17"/>
  <c r="N356" i="17"/>
  <c r="M99" i="17"/>
  <c r="Z240" i="17"/>
  <c r="Y53" i="17"/>
  <c r="N15" i="12"/>
  <c r="AN316" i="17"/>
  <c r="Z156" i="17"/>
  <c r="X300" i="17"/>
  <c r="AO300" i="17" s="1"/>
  <c r="AB87" i="17"/>
  <c r="AB152" i="17"/>
  <c r="X289" i="17"/>
  <c r="AO289" i="17" s="1"/>
  <c r="X255" i="17"/>
  <c r="AO255" i="17" s="1"/>
  <c r="AI121" i="17"/>
  <c r="AB287" i="17"/>
  <c r="AB304" i="17"/>
  <c r="AB172" i="17"/>
  <c r="X261" i="17"/>
  <c r="AO261" i="17" s="1"/>
  <c r="AN220" i="17"/>
  <c r="N250" i="17"/>
  <c r="M179" i="17"/>
  <c r="X153" i="17"/>
  <c r="AO153" i="17" s="1"/>
  <c r="Z242" i="17"/>
  <c r="Y364" i="17"/>
  <c r="AN70" i="17"/>
  <c r="X238" i="17"/>
  <c r="AO238" i="17" s="1"/>
  <c r="M264" i="17"/>
  <c r="AN155" i="17"/>
  <c r="Z85" i="17"/>
  <c r="N80" i="17"/>
  <c r="AN257" i="17"/>
  <c r="M363" i="17"/>
  <c r="X144" i="17"/>
  <c r="AO144" i="17" s="1"/>
  <c r="AI180" i="17"/>
  <c r="M311" i="17"/>
  <c r="Y347" i="17"/>
  <c r="AI332" i="17"/>
  <c r="M324" i="17"/>
  <c r="Z157" i="17"/>
  <c r="X303" i="17"/>
  <c r="AO303" i="17" s="1"/>
  <c r="Y358" i="17"/>
  <c r="F21" i="12"/>
  <c r="AI125" i="17"/>
  <c r="Z62" i="17"/>
  <c r="M314" i="17"/>
  <c r="AB269" i="17"/>
  <c r="N118" i="17"/>
  <c r="AB118" i="17"/>
  <c r="X64" i="17"/>
  <c r="AO64" i="17" s="1"/>
  <c r="M95" i="17"/>
  <c r="AN95" i="17"/>
  <c r="AB365" i="17"/>
  <c r="N62" i="17"/>
  <c r="Z198" i="17"/>
  <c r="AB247" i="17"/>
  <c r="AN151" i="17"/>
  <c r="X245" i="17"/>
  <c r="AO245" i="17" s="1"/>
  <c r="M189" i="17"/>
  <c r="Y177" i="17"/>
  <c r="Y132" i="17"/>
  <c r="AB354" i="17"/>
  <c r="AN293" i="17"/>
  <c r="Z320" i="17"/>
  <c r="Z61" i="17"/>
  <c r="X161" i="17"/>
  <c r="AO161" i="17" s="1"/>
  <c r="N93" i="17"/>
  <c r="AB104" i="17"/>
  <c r="Z355" i="17"/>
  <c r="X132" i="17"/>
  <c r="AO132" i="17" s="1"/>
  <c r="Q11" i="9"/>
  <c r="Y133" i="17"/>
  <c r="AN305" i="17"/>
  <c r="X57" i="17"/>
  <c r="AO57" i="17" s="1"/>
  <c r="X83" i="17"/>
  <c r="AO83" i="17" s="1"/>
  <c r="Z165" i="17"/>
  <c r="M97" i="17"/>
  <c r="Y302" i="17"/>
  <c r="AI316" i="17"/>
  <c r="N95" i="17"/>
  <c r="AB226" i="17"/>
  <c r="M368" i="17"/>
  <c r="W21" i="12"/>
  <c r="AB312" i="17"/>
  <c r="AN189" i="17"/>
  <c r="N239" i="17"/>
  <c r="AI356" i="17"/>
  <c r="Z94" i="17"/>
  <c r="AN368" i="17"/>
  <c r="AB320" i="17"/>
  <c r="X94" i="17"/>
  <c r="AO94" i="17" s="1"/>
  <c r="M133" i="17"/>
  <c r="Z345" i="17"/>
  <c r="AN243" i="17"/>
  <c r="AI361" i="17"/>
  <c r="X122" i="17"/>
  <c r="AO122" i="17" s="1"/>
  <c r="AN277" i="17"/>
  <c r="N360" i="17"/>
  <c r="Z187" i="17"/>
  <c r="N167" i="17"/>
  <c r="AB137" i="17"/>
  <c r="N53" i="17"/>
  <c r="X317" i="17"/>
  <c r="AO317" i="17" s="1"/>
  <c r="M154" i="17"/>
  <c r="N75" i="17"/>
  <c r="Z143" i="17"/>
  <c r="Y176" i="17"/>
  <c r="N220" i="17"/>
  <c r="AB218" i="17"/>
  <c r="M231" i="17"/>
  <c r="P15" i="12"/>
  <c r="X298" i="17"/>
  <c r="AO298" i="17" s="1"/>
  <c r="AB105" i="17"/>
  <c r="U15" i="12"/>
  <c r="Y146" i="17"/>
  <c r="H21" i="12"/>
  <c r="AB309" i="17"/>
  <c r="AB366" i="17"/>
  <c r="Y193" i="17"/>
  <c r="M188" i="17"/>
  <c r="X61" i="17"/>
  <c r="AO61" i="17" s="1"/>
  <c r="AI146" i="17"/>
  <c r="Z300" i="17"/>
  <c r="M118" i="17"/>
  <c r="X203" i="17"/>
  <c r="AO203" i="17" s="1"/>
  <c r="E15" i="12"/>
  <c r="AN171" i="17"/>
  <c r="AB103" i="17"/>
  <c r="Y171" i="17"/>
  <c r="AB340" i="17"/>
  <c r="N81" i="17"/>
  <c r="X313" i="17"/>
  <c r="AO313" i="17" s="1"/>
  <c r="Z73" i="17"/>
  <c r="M326" i="17"/>
  <c r="Z287" i="17"/>
  <c r="X169" i="17"/>
  <c r="AO169" i="17" s="1"/>
  <c r="X170" i="17"/>
  <c r="AO170" i="17" s="1"/>
  <c r="N177" i="17"/>
  <c r="AI208" i="17"/>
  <c r="M298" i="17"/>
  <c r="AN240" i="17"/>
  <c r="Y257" i="17"/>
  <c r="Z123" i="17"/>
  <c r="AD15" i="12"/>
  <c r="AN352" i="17"/>
  <c r="AN185" i="17"/>
  <c r="X80" i="17"/>
  <c r="AO80" i="17" s="1"/>
  <c r="Y310" i="17"/>
  <c r="M215" i="17"/>
  <c r="Z228" i="17"/>
  <c r="X306" i="17"/>
  <c r="AO306" i="17" s="1"/>
  <c r="Y306" i="17"/>
  <c r="AB237" i="17"/>
  <c r="AN349" i="17"/>
  <c r="M89" i="17"/>
  <c r="Y359" i="17"/>
  <c r="Y183" i="17"/>
  <c r="AI354" i="17"/>
  <c r="X106" i="17"/>
  <c r="AO106" i="17" s="1"/>
  <c r="Y99" i="17"/>
  <c r="Y318" i="17"/>
  <c r="AN333" i="17"/>
  <c r="AI296" i="17"/>
  <c r="AB324" i="17"/>
  <c r="AI359" i="17"/>
  <c r="Z359" i="17"/>
  <c r="X369" i="17"/>
  <c r="N209" i="17"/>
  <c r="M54" i="17"/>
  <c r="N189" i="17"/>
  <c r="N320" i="17"/>
  <c r="AI334" i="17"/>
  <c r="N293" i="17"/>
  <c r="M59" i="17"/>
  <c r="N92" i="17"/>
  <c r="M317" i="17"/>
  <c r="X166" i="17"/>
  <c r="AO166" i="17" s="1"/>
  <c r="AB360" i="17"/>
  <c r="T15" i="12"/>
  <c r="N128" i="17"/>
  <c r="M149" i="17"/>
  <c r="AN123" i="17"/>
  <c r="N110" i="17"/>
  <c r="M203" i="17"/>
  <c r="M157" i="17"/>
  <c r="Z83" i="17"/>
  <c r="AI350" i="17"/>
  <c r="Y172" i="17"/>
  <c r="M140" i="17"/>
  <c r="AB15" i="12"/>
  <c r="Y85" i="17"/>
  <c r="Z86" i="17"/>
  <c r="AB57" i="17"/>
  <c r="Z256" i="17"/>
  <c r="AB140" i="17"/>
  <c r="M312" i="17"/>
  <c r="AN147" i="17"/>
  <c r="AB245" i="17"/>
  <c r="AB189" i="17"/>
  <c r="AN183" i="17"/>
  <c r="X55" i="17"/>
  <c r="AO55" i="17" s="1"/>
  <c r="Z302" i="17"/>
  <c r="N349" i="17"/>
  <c r="AI320" i="17"/>
  <c r="AN149" i="17"/>
  <c r="X116" i="17"/>
  <c r="AO116" i="17" s="1"/>
  <c r="AN230" i="17"/>
  <c r="N105" i="17"/>
  <c r="AI96" i="17"/>
  <c r="M141" i="17"/>
  <c r="Z259" i="17"/>
  <c r="Y60" i="17"/>
  <c r="AN298" i="17"/>
  <c r="M93" i="17"/>
  <c r="N106" i="17"/>
  <c r="AB330" i="17"/>
  <c r="X15" i="12"/>
  <c r="N182" i="17"/>
  <c r="AN82" i="17"/>
  <c r="N135" i="17"/>
  <c r="Z203" i="17"/>
  <c r="AN313" i="17"/>
  <c r="N334" i="17"/>
  <c r="N207" i="17"/>
  <c r="Z72" i="17"/>
  <c r="N56" i="17"/>
  <c r="AB362" i="17"/>
  <c r="Z95" i="17"/>
  <c r="Y345" i="17"/>
  <c r="Y104" i="17"/>
  <c r="AN323" i="17"/>
  <c r="Y259" i="17"/>
  <c r="M65" i="17"/>
  <c r="N206" i="17"/>
  <c r="M72" i="17"/>
  <c r="M104" i="17"/>
  <c r="M84" i="17"/>
  <c r="N124" i="17"/>
  <c r="AN124" i="17"/>
  <c r="N247" i="17"/>
  <c r="X363" i="17"/>
  <c r="AO363" i="17" s="1"/>
  <c r="AF15" i="12"/>
  <c r="X267" i="17"/>
  <c r="AO267" i="17" s="1"/>
  <c r="Y75" i="17"/>
  <c r="Z150" i="17"/>
  <c r="AN337" i="17"/>
  <c r="AC21" i="12"/>
  <c r="AN135" i="17"/>
  <c r="AI362" i="17"/>
  <c r="Y205" i="17"/>
  <c r="Z367" i="17"/>
  <c r="Y109" i="17"/>
  <c r="Y105" i="17"/>
  <c r="X157" i="17"/>
  <c r="AO157" i="17" s="1"/>
  <c r="N311" i="17"/>
  <c r="N162" i="17"/>
  <c r="Z319" i="17"/>
  <c r="AI254" i="17"/>
  <c r="M80" i="17"/>
  <c r="X105" i="17"/>
  <c r="AO105" i="17" s="1"/>
  <c r="Y189" i="17"/>
  <c r="Z248" i="17"/>
  <c r="AB306" i="17"/>
  <c r="N253" i="17"/>
  <c r="AI292" i="17"/>
  <c r="X277" i="17"/>
  <c r="AO277" i="17" s="1"/>
  <c r="AB78" i="17"/>
  <c r="Y77" i="17"/>
  <c r="AI252" i="17"/>
  <c r="Y142" i="17"/>
  <c r="X296" i="17"/>
  <c r="AO296" i="17" s="1"/>
  <c r="N204" i="17"/>
  <c r="Y106" i="17"/>
  <c r="U21" i="12"/>
  <c r="Y308" i="17"/>
  <c r="Y88" i="17"/>
  <c r="X330" i="17"/>
  <c r="AO330" i="17" s="1"/>
  <c r="M364" i="17"/>
  <c r="AN21" i="12"/>
  <c r="AB124" i="17"/>
  <c r="Z170" i="17"/>
  <c r="AI310" i="17"/>
  <c r="AB344" i="17"/>
  <c r="X93" i="17"/>
  <c r="AO93" i="17" s="1"/>
  <c r="Y166" i="17"/>
  <c r="Y340" i="17"/>
  <c r="M250" i="17"/>
  <c r="AI53" i="17"/>
  <c r="AI360" i="17"/>
  <c r="AI145" i="17"/>
  <c r="M268" i="17"/>
  <c r="AB353" i="17"/>
  <c r="X123" i="17"/>
  <c r="AO123" i="17" s="1"/>
  <c r="AI294" i="17"/>
  <c r="M108" i="17"/>
  <c r="M358" i="17"/>
  <c r="Z106" i="17"/>
  <c r="X91" i="17"/>
  <c r="AO91" i="17" s="1"/>
  <c r="N276" i="17"/>
  <c r="Z75" i="17"/>
  <c r="X231" i="17"/>
  <c r="AO231" i="17" s="1"/>
  <c r="AI132" i="17"/>
  <c r="Z263" i="17"/>
  <c r="Y137" i="17"/>
  <c r="Z126" i="17"/>
  <c r="M58" i="17"/>
  <c r="Z120" i="17"/>
  <c r="Y92" i="17"/>
  <c r="X167" i="17"/>
  <c r="AO167" i="17" s="1"/>
  <c r="Y97" i="17"/>
  <c r="Z299" i="17"/>
  <c r="M21" i="12"/>
  <c r="M345" i="17"/>
  <c r="Z176" i="17"/>
  <c r="X114" i="17"/>
  <c r="AO114" i="17" s="1"/>
  <c r="AL15" i="12"/>
  <c r="Y155" i="17"/>
  <c r="AN254" i="17"/>
  <c r="AN345" i="17"/>
  <c r="AN68" i="17"/>
  <c r="M244" i="17"/>
  <c r="X146" i="17"/>
  <c r="AO146" i="17" s="1"/>
  <c r="AB160" i="17"/>
  <c r="Z188" i="17"/>
  <c r="AB114" i="17"/>
  <c r="M304" i="17"/>
  <c r="N154" i="17"/>
  <c r="X340" i="17"/>
  <c r="AO340" i="17" s="1"/>
  <c r="AI318" i="17"/>
  <c r="AI357" i="17"/>
  <c r="Z97" i="17"/>
  <c r="M359" i="17"/>
  <c r="AJ21" i="12"/>
  <c r="N347" i="17"/>
  <c r="X339" i="17"/>
  <c r="AO339" i="17" s="1"/>
  <c r="AI164" i="17"/>
  <c r="AI160" i="17"/>
  <c r="X175" i="17"/>
  <c r="AO175" i="17" s="1"/>
  <c r="Y136" i="17"/>
  <c r="AN264" i="17"/>
  <c r="Z153" i="17"/>
  <c r="Z326" i="17"/>
  <c r="Z309" i="17"/>
  <c r="Y82" i="17"/>
  <c r="B15" i="12"/>
  <c r="M68" i="17"/>
  <c r="Z58" i="17"/>
  <c r="AN86" i="17"/>
  <c r="M295" i="17"/>
  <c r="S21" i="12"/>
  <c r="N151" i="17"/>
  <c r="Y322" i="17"/>
  <c r="Y369" i="17"/>
  <c r="M212" i="17"/>
  <c r="X60" i="17"/>
  <c r="AO60" i="17" s="1"/>
  <c r="X107" i="17"/>
  <c r="AO107" i="17" s="1"/>
  <c r="Y353" i="17"/>
  <c r="N246" i="17"/>
  <c r="Z80" i="17"/>
  <c r="AB273" i="17"/>
  <c r="Y149" i="17"/>
  <c r="X299" i="17"/>
  <c r="AO299" i="17" s="1"/>
  <c r="AN174" i="17"/>
  <c r="Z76" i="17"/>
  <c r="Y84" i="17"/>
  <c r="M172" i="17"/>
  <c r="M329" i="17"/>
  <c r="X159" i="17"/>
  <c r="AO159" i="17" s="1"/>
  <c r="AN258" i="17"/>
  <c r="M319" i="17"/>
  <c r="X165" i="17"/>
  <c r="AO165" i="17" s="1"/>
  <c r="AI301" i="17"/>
  <c r="X270" i="17"/>
  <c r="AO270" i="17" s="1"/>
  <c r="M74" i="17"/>
  <c r="AI209" i="17"/>
  <c r="AN81" i="17"/>
  <c r="X210" i="17"/>
  <c r="AO210" i="17" s="1"/>
  <c r="AJ15" i="12"/>
  <c r="M180" i="17"/>
  <c r="AB106" i="17"/>
  <c r="X316" i="17"/>
  <c r="AO316" i="17" s="1"/>
  <c r="AI367" i="17"/>
  <c r="M296" i="17"/>
  <c r="AI295" i="17"/>
  <c r="AI326" i="17"/>
  <c r="N160" i="17"/>
  <c r="N365" i="17"/>
  <c r="AI253" i="17"/>
  <c r="Z328" i="17"/>
  <c r="X160" i="17"/>
  <c r="AO160" i="17" s="1"/>
  <c r="AB292" i="17"/>
  <c r="Y243" i="17"/>
  <c r="AI327" i="17"/>
  <c r="Z65" i="17"/>
  <c r="Z354" i="17"/>
  <c r="AE21" i="12"/>
  <c r="Z350" i="17"/>
  <c r="M242" i="17"/>
  <c r="N130" i="17"/>
  <c r="Y316" i="17"/>
  <c r="H15" i="12"/>
  <c r="AB200" i="17"/>
  <c r="AN238" i="17"/>
  <c r="X310" i="17"/>
  <c r="AO310" i="17" s="1"/>
  <c r="N351" i="17"/>
  <c r="AB291" i="17"/>
  <c r="AB310" i="17"/>
  <c r="X147" i="17"/>
  <c r="AO147" i="17" s="1"/>
  <c r="AN351" i="17"/>
  <c r="N136" i="17"/>
  <c r="X138" i="17"/>
  <c r="AO138" i="17" s="1"/>
  <c r="Y328" i="17"/>
  <c r="N148" i="17"/>
  <c r="Y315" i="17"/>
  <c r="AB264" i="17"/>
  <c r="AB268" i="17"/>
  <c r="M194" i="17"/>
  <c r="Y98" i="17"/>
  <c r="N190" i="17"/>
  <c r="Y236" i="17"/>
  <c r="Z144" i="17"/>
  <c r="Z220" i="17"/>
  <c r="AI330" i="17"/>
  <c r="AN347" i="17"/>
  <c r="N88" i="17"/>
  <c r="Z323" i="17"/>
  <c r="X101" i="17"/>
  <c r="AO101" i="17" s="1"/>
  <c r="M134" i="17"/>
  <c r="X150" i="17"/>
  <c r="AO150" i="17" s="1"/>
  <c r="X337" i="17"/>
  <c r="AO337" i="17" s="1"/>
  <c r="N301" i="17"/>
  <c r="AN114" i="17"/>
  <c r="N161" i="17"/>
  <c r="AN270" i="17"/>
  <c r="M335" i="17"/>
  <c r="Z109" i="17"/>
  <c r="X312" i="17"/>
  <c r="AO312" i="17" s="1"/>
  <c r="X173" i="17"/>
  <c r="AO173" i="17" s="1"/>
  <c r="AI119" i="17"/>
  <c r="Y58" i="17"/>
  <c r="Y184" i="17"/>
  <c r="X77" i="17"/>
  <c r="AO77" i="17" s="1"/>
  <c r="Z336" i="17"/>
  <c r="AI110" i="17"/>
  <c r="AI313" i="17"/>
  <c r="X56" i="17"/>
  <c r="AO56" i="17" s="1"/>
  <c r="AI291" i="17"/>
  <c r="AB108" i="17"/>
  <c r="X320" i="17"/>
  <c r="AO320" i="17" s="1"/>
  <c r="Z181" i="17"/>
  <c r="AN218" i="17"/>
  <c r="N359" i="17"/>
  <c r="Y131" i="17"/>
  <c r="AB166" i="17"/>
  <c r="Q15" i="12"/>
  <c r="X113" i="17"/>
  <c r="AO113" i="17" s="1"/>
  <c r="Y331" i="17"/>
  <c r="Z184" i="17"/>
  <c r="Y81" i="17"/>
  <c r="X142" i="17"/>
  <c r="AO142" i="17" s="1"/>
  <c r="Y154" i="17"/>
  <c r="X156" i="17"/>
  <c r="AO156" i="17" s="1"/>
  <c r="N321" i="17"/>
  <c r="AD21" i="12"/>
  <c r="M173" i="17"/>
  <c r="M235" i="17"/>
  <c r="AN321" i="17"/>
  <c r="X357" i="17"/>
  <c r="AO357" i="17" s="1"/>
  <c r="X148" i="17"/>
  <c r="AO148" i="17" s="1"/>
  <c r="Z312" i="17"/>
  <c r="Y69" i="17"/>
  <c r="AN69" i="17"/>
  <c r="AB130" i="17"/>
  <c r="X70" i="17"/>
  <c r="AO70" i="17" s="1"/>
  <c r="Z178" i="17"/>
  <c r="AB297" i="17"/>
  <c r="M171" i="17"/>
  <c r="X314" i="17"/>
  <c r="AO314" i="17" s="1"/>
  <c r="X88" i="17"/>
  <c r="AO88" i="17" s="1"/>
  <c r="X253" i="17"/>
  <c r="AO253" i="17" s="1"/>
  <c r="X200" i="17"/>
  <c r="AO200" i="17" s="1"/>
  <c r="N142" i="17"/>
  <c r="Y319" i="17"/>
  <c r="AI342" i="17"/>
  <c r="AN361" i="17"/>
  <c r="M330" i="17"/>
  <c r="Z15" i="12"/>
  <c r="Y158" i="17"/>
  <c r="X186" i="17"/>
  <c r="AO186" i="17" s="1"/>
  <c r="Y94" i="17"/>
  <c r="AB257" i="17"/>
  <c r="AB67" i="17"/>
  <c r="M81" i="17"/>
  <c r="Y233" i="17"/>
  <c r="M153" i="17"/>
  <c r="Z356" i="17"/>
  <c r="AN108" i="17"/>
  <c r="Y174" i="17"/>
  <c r="AI182" i="17"/>
  <c r="Y73" i="17"/>
  <c r="AN208" i="17"/>
  <c r="Y298" i="17"/>
  <c r="N184" i="17"/>
  <c r="Z226" i="17"/>
  <c r="N168" i="17"/>
  <c r="X190" i="17"/>
  <c r="AO190" i="17" s="1"/>
  <c r="Z77" i="17"/>
  <c r="Z335" i="17"/>
  <c r="Z139" i="17"/>
  <c r="N233" i="17"/>
  <c r="Z262" i="17"/>
  <c r="Y54" i="17"/>
  <c r="AN327" i="17"/>
  <c r="Z114" i="17"/>
  <c r="X171" i="17"/>
  <c r="AO171" i="17" s="1"/>
  <c r="Z64" i="17"/>
  <c r="AI213" i="17"/>
  <c r="AN308" i="17"/>
  <c r="Y173" i="17"/>
  <c r="Z352" i="17"/>
  <c r="AB349" i="17"/>
  <c r="Y178" i="17"/>
  <c r="AB184" i="17"/>
  <c r="Y118" i="17"/>
  <c r="N179" i="17"/>
  <c r="AL21" i="12"/>
  <c r="Z199" i="17"/>
  <c r="Y129" i="17"/>
  <c r="M174" i="17"/>
  <c r="Z353" i="17"/>
  <c r="AN184" i="17"/>
  <c r="AN359" i="17"/>
  <c r="X315" i="17"/>
  <c r="AO315" i="17" s="1"/>
  <c r="N60" i="17"/>
  <c r="N147" i="17"/>
  <c r="X163" i="17"/>
  <c r="AO163" i="17" s="1"/>
  <c r="AB69" i="17"/>
  <c r="M155" i="17"/>
  <c r="X241" i="17"/>
  <c r="AO241" i="17" s="1"/>
  <c r="N283" i="17"/>
  <c r="N314" i="17"/>
  <c r="X358" i="17"/>
  <c r="AO358" i="17" s="1"/>
  <c r="Z362" i="17"/>
  <c r="N150" i="17"/>
  <c r="AB358" i="17"/>
  <c r="Y128" i="17"/>
  <c r="AN195" i="17"/>
  <c r="M87" i="17"/>
  <c r="AN209" i="17"/>
  <c r="M63" i="17"/>
  <c r="Z269" i="17"/>
  <c r="N86" i="17"/>
  <c r="Z297" i="17"/>
  <c r="M300" i="17"/>
  <c r="Z161" i="17"/>
  <c r="N357" i="17"/>
  <c r="Z55" i="17"/>
  <c r="Y150" i="17"/>
  <c r="Y181" i="17"/>
  <c r="X240" i="17"/>
  <c r="AO240" i="17" s="1"/>
  <c r="N324" i="17"/>
  <c r="Y141" i="17"/>
  <c r="Y145" i="17"/>
  <c r="Z252" i="17"/>
  <c r="X225" i="17"/>
  <c r="AO225" i="17" s="1"/>
  <c r="C21" i="12"/>
  <c r="X140" i="17"/>
  <c r="AO140" i="17" s="1"/>
  <c r="AN357" i="17"/>
  <c r="Z292" i="17"/>
  <c r="X76" i="17"/>
  <c r="AO76" i="17" s="1"/>
  <c r="X219" i="17"/>
  <c r="AO219" i="17" s="1"/>
  <c r="X102" i="17"/>
  <c r="AO102" i="17" s="1"/>
  <c r="AN132" i="17"/>
  <c r="M117" i="17"/>
  <c r="M184" i="17"/>
  <c r="N159" i="17"/>
  <c r="AB163" i="17"/>
  <c r="Z173" i="17"/>
  <c r="M362" i="17"/>
  <c r="Y57" i="17"/>
  <c r="Y72" i="17"/>
  <c r="Z121" i="17"/>
  <c r="Z53" i="17"/>
  <c r="AN354" i="17"/>
  <c r="L15" i="12"/>
  <c r="Y140" i="17"/>
  <c r="M106" i="17"/>
  <c r="Y196" i="17"/>
  <c r="M75" i="17"/>
  <c r="Z275" i="17"/>
  <c r="X187" i="17"/>
  <c r="AO187" i="17" s="1"/>
  <c r="Z54" i="17"/>
  <c r="AB139" i="17"/>
  <c r="F15" i="12"/>
  <c r="AI269" i="17"/>
  <c r="AE15" i="12"/>
  <c r="M333" i="17"/>
  <c r="X295" i="17"/>
  <c r="AO295" i="17" s="1"/>
  <c r="Y130" i="17"/>
  <c r="Z246" i="17"/>
  <c r="X361" i="17"/>
  <c r="AO361" i="17" s="1"/>
  <c r="X71" i="17"/>
  <c r="AO71" i="17" s="1"/>
  <c r="Z347" i="17"/>
  <c r="AN311" i="17"/>
  <c r="Z363" i="17"/>
  <c r="X356" i="17"/>
  <c r="AO356" i="17" s="1"/>
  <c r="X127" i="17"/>
  <c r="AO127" i="17" s="1"/>
  <c r="AB162" i="17"/>
  <c r="M167" i="17"/>
  <c r="Y291" i="17"/>
  <c r="Z369" i="17"/>
  <c r="M62" i="17"/>
  <c r="M159" i="17"/>
  <c r="X177" i="17"/>
  <c r="AO177" i="17" s="1"/>
  <c r="Y126" i="17"/>
  <c r="N337" i="17"/>
  <c r="AI265" i="17"/>
  <c r="Z132" i="17"/>
  <c r="AN129" i="17"/>
  <c r="R21" i="12"/>
  <c r="Z327" i="17"/>
  <c r="AI168" i="17"/>
  <c r="Y165" i="17"/>
  <c r="Y164" i="17"/>
  <c r="Z160" i="17"/>
  <c r="AI104" i="17"/>
  <c r="N158" i="17"/>
  <c r="M176" i="17"/>
  <c r="AB58" i="17"/>
  <c r="X139" i="17"/>
  <c r="AO139" i="17" s="1"/>
  <c r="M142" i="17"/>
  <c r="N68" i="17"/>
  <c r="AB279" i="17"/>
  <c r="M147" i="17"/>
  <c r="N54" i="17"/>
  <c r="N172" i="17"/>
  <c r="B21" i="12"/>
  <c r="AI61" i="17"/>
  <c r="M339" i="17"/>
  <c r="X100" i="17"/>
  <c r="AO100" i="17" s="1"/>
  <c r="AN104" i="17"/>
  <c r="Z245" i="17"/>
  <c r="Y301" i="17"/>
  <c r="Y144" i="17"/>
  <c r="M307" i="17"/>
  <c r="X179" i="17"/>
  <c r="AO179" i="17" s="1"/>
  <c r="M197" i="17"/>
  <c r="Z351" i="17"/>
  <c r="M177" i="17"/>
  <c r="N66" i="17"/>
  <c r="N286" i="17"/>
  <c r="N240" i="17"/>
  <c r="Z289" i="17"/>
  <c r="M148" i="17"/>
  <c r="AB123" i="17"/>
  <c r="N294" i="17"/>
  <c r="S15" i="12"/>
  <c r="Z231" i="17"/>
  <c r="N21" i="12"/>
  <c r="Z134" i="17"/>
  <c r="Y103" i="17"/>
  <c r="AI107" i="17"/>
  <c r="Z333" i="17"/>
  <c r="N169" i="17"/>
  <c r="N369" i="17"/>
  <c r="X104" i="17"/>
  <c r="AO104" i="17" s="1"/>
  <c r="Z295" i="17"/>
  <c r="X143" i="17"/>
  <c r="AO143" i="17" s="1"/>
  <c r="AB71" i="17"/>
  <c r="Z91" i="17"/>
  <c r="X63" i="17"/>
  <c r="AO63" i="17" s="1"/>
  <c r="M111" i="17"/>
  <c r="AN235" i="17"/>
  <c r="K15" i="12"/>
  <c r="X305" i="17"/>
  <c r="AO305" i="17" s="1"/>
  <c r="Z154" i="17"/>
  <c r="Y113" i="17"/>
  <c r="AI368" i="17"/>
  <c r="Y159" i="17"/>
  <c r="AN280" i="17"/>
  <c r="Z234" i="17"/>
  <c r="AB286" i="17"/>
  <c r="Z96" i="17"/>
  <c r="AI290" i="17"/>
  <c r="Y300" i="17"/>
  <c r="Y80" i="17"/>
  <c r="Y224" i="17"/>
  <c r="N55" i="17"/>
  <c r="M347" i="17"/>
  <c r="N146" i="17"/>
  <c r="AN15" i="12"/>
  <c r="N78" i="17"/>
  <c r="N303" i="17"/>
  <c r="Y212" i="17"/>
  <c r="AB290" i="17"/>
  <c r="M115" i="17"/>
  <c r="N340" i="17"/>
  <c r="N76" i="17"/>
  <c r="Y160" i="17"/>
  <c r="Z66" i="17"/>
  <c r="N138" i="17"/>
  <c r="M254" i="17"/>
  <c r="Z175" i="17"/>
  <c r="X99" i="17"/>
  <c r="AO99" i="17" s="1"/>
  <c r="AN145" i="17"/>
  <c r="AN331" i="17"/>
  <c r="N64" i="17"/>
  <c r="Y110" i="17"/>
  <c r="Z342" i="17"/>
  <c r="Z308" i="17"/>
  <c r="AN213" i="17"/>
  <c r="Z116" i="17"/>
  <c r="M321" i="17"/>
  <c r="AI358" i="17"/>
  <c r="X264" i="17"/>
  <c r="AO264" i="17" s="1"/>
  <c r="X341" i="17"/>
  <c r="AO341" i="17" s="1"/>
  <c r="M360" i="17"/>
  <c r="AA21" i="12"/>
  <c r="Y56" i="17"/>
  <c r="M145" i="17"/>
  <c r="Y365" i="17"/>
  <c r="N186" i="17"/>
  <c r="Z138" i="17"/>
  <c r="N201" i="17"/>
  <c r="N71" i="17"/>
  <c r="Z163" i="17"/>
  <c r="AI286" i="17"/>
  <c r="AN212" i="17"/>
  <c r="Y123" i="17"/>
  <c r="N353" i="17"/>
  <c r="X65" i="17"/>
  <c r="AO65" i="17" s="1"/>
  <c r="AB361" i="17"/>
  <c r="AN309" i="17"/>
  <c r="R15" i="12"/>
  <c r="AN89" i="17"/>
  <c r="M164" i="17"/>
  <c r="N89" i="17"/>
  <c r="Y326" i="17"/>
  <c r="N65" i="17"/>
  <c r="AB368" i="17"/>
  <c r="Y179" i="17"/>
  <c r="AN268" i="17"/>
  <c r="Z124" i="17"/>
  <c r="AB367" i="17"/>
  <c r="Z186" i="17"/>
  <c r="Z131" i="17"/>
  <c r="Y63" i="17"/>
  <c r="AN107" i="17"/>
  <c r="X280" i="17"/>
  <c r="AO280" i="17" s="1"/>
  <c r="N133" i="17"/>
  <c r="X344" i="17"/>
  <c r="AO344" i="17" s="1"/>
  <c r="M346" i="17"/>
  <c r="Y360" i="17"/>
  <c r="X125" i="17"/>
  <c r="AO125" i="17" s="1"/>
  <c r="M160" i="17"/>
  <c r="E21" i="12"/>
  <c r="N85" i="17"/>
  <c r="P21" i="12"/>
  <c r="M178" i="17"/>
  <c r="AN303" i="17"/>
  <c r="Z135" i="17"/>
  <c r="AI188" i="17"/>
  <c r="M83" i="17"/>
  <c r="M340" i="17"/>
  <c r="N87" i="17"/>
  <c r="X304" i="17"/>
  <c r="AO304" i="17" s="1"/>
  <c r="Y187" i="17"/>
  <c r="M151" i="17"/>
  <c r="Y112" i="17"/>
  <c r="AB336" i="17"/>
  <c r="M366" i="17"/>
  <c r="Z155" i="17"/>
  <c r="Y74" i="17"/>
  <c r="N212" i="17"/>
  <c r="AB289" i="17"/>
  <c r="Y127" i="17"/>
  <c r="M163" i="17"/>
  <c r="Z100" i="17"/>
  <c r="N131" i="17"/>
  <c r="AI311" i="17"/>
  <c r="Y120" i="17"/>
  <c r="Y122" i="17"/>
  <c r="AN363" i="17"/>
  <c r="Y168" i="17"/>
  <c r="AI55" i="17"/>
  <c r="Y170" i="17"/>
  <c r="Y111" i="17"/>
  <c r="AB350" i="17"/>
  <c r="N187" i="17"/>
  <c r="AB134" i="17"/>
  <c r="AI314" i="17"/>
  <c r="N97" i="17"/>
  <c r="N329" i="17"/>
  <c r="Z128" i="17"/>
  <c r="Z127" i="17"/>
  <c r="Y102" i="17"/>
  <c r="Z177" i="17"/>
  <c r="Y348" i="17"/>
  <c r="AN118" i="17"/>
  <c r="N322" i="17"/>
  <c r="Z110" i="17"/>
  <c r="AI307" i="17"/>
  <c r="AF21" i="12"/>
  <c r="X118" i="17"/>
  <c r="AO118" i="17" s="1"/>
  <c r="AI288" i="17"/>
  <c r="Y121" i="17"/>
  <c r="M289" i="17"/>
  <c r="N139" i="17"/>
  <c r="M322" i="17"/>
  <c r="N122" i="17"/>
  <c r="M190" i="17"/>
  <c r="M114" i="17"/>
  <c r="N338" i="17"/>
  <c r="M166" i="17"/>
  <c r="X274" i="17"/>
  <c r="AO274" i="17" s="1"/>
  <c r="X130" i="17"/>
  <c r="AO130" i="17" s="1"/>
  <c r="AB321" i="17"/>
  <c r="Z93" i="17"/>
  <c r="J15" i="12"/>
  <c r="X126" i="17"/>
  <c r="AO126" i="17" s="1"/>
  <c r="M100" i="17"/>
  <c r="AI143" i="17"/>
  <c r="N183" i="17"/>
  <c r="AI191" i="17"/>
  <c r="N90" i="17"/>
  <c r="N185" i="17"/>
  <c r="N157" i="17"/>
  <c r="M261" i="17"/>
  <c r="Y356" i="17"/>
  <c r="AN364" i="17"/>
  <c r="N326" i="17"/>
  <c r="N59" i="17"/>
  <c r="M113" i="17"/>
  <c r="Z168" i="17"/>
  <c r="M129" i="17"/>
  <c r="AI149" i="17"/>
  <c r="X155" i="17"/>
  <c r="AO155" i="17" s="1"/>
  <c r="X311" i="17"/>
  <c r="AO311" i="17" s="1"/>
  <c r="Z103" i="17"/>
  <c r="AN148" i="17"/>
  <c r="Y333" i="17"/>
  <c r="Y138" i="17"/>
  <c r="AN350" i="17"/>
  <c r="S4" i="9"/>
  <c r="AB352" i="17"/>
  <c r="N112" i="17"/>
  <c r="AI204" i="17"/>
  <c r="AN120" i="17"/>
  <c r="AN146" i="17"/>
  <c r="N125" i="17"/>
  <c r="X189" i="17"/>
  <c r="AO189" i="17" s="1"/>
  <c r="Y152" i="17"/>
  <c r="Z149" i="17"/>
  <c r="AB288" i="17"/>
  <c r="Z306" i="17"/>
  <c r="Z78" i="17"/>
  <c r="N111" i="17"/>
  <c r="M199" i="17"/>
  <c r="Y235" i="17"/>
  <c r="Z107" i="17"/>
  <c r="AB243" i="17"/>
  <c r="Z104" i="17"/>
  <c r="X244" i="17"/>
  <c r="AO244" i="17" s="1"/>
  <c r="AG21" i="12"/>
  <c r="AB136" i="17"/>
  <c r="AI80" i="17"/>
  <c r="M334" i="17"/>
  <c r="AN219" i="17"/>
  <c r="X97" i="17"/>
  <c r="AO97" i="17" s="1"/>
  <c r="X115" i="17"/>
  <c r="AO115" i="17" s="1"/>
  <c r="N91" i="17"/>
  <c r="Y64" i="17"/>
  <c r="N137" i="17"/>
  <c r="N107" i="17"/>
  <c r="N67" i="17"/>
  <c r="Z286" i="17"/>
  <c r="Y108" i="17"/>
  <c r="Z111" i="17"/>
  <c r="N299" i="17"/>
  <c r="X66" i="17"/>
  <c r="L21" i="12"/>
  <c r="Z316" i="17"/>
  <c r="Y79" i="17"/>
  <c r="AI335" i="17"/>
  <c r="X185" i="17"/>
  <c r="AO185" i="17" s="1"/>
  <c r="AB299" i="17"/>
  <c r="Z162" i="17"/>
  <c r="AI336" i="17"/>
  <c r="AC15" i="12"/>
  <c r="Y148" i="17"/>
  <c r="Z92" i="17"/>
  <c r="Z172" i="17"/>
  <c r="M109" i="17"/>
  <c r="AI15" i="12"/>
  <c r="AI363" i="17"/>
  <c r="AI151" i="17"/>
  <c r="Y91" i="17"/>
  <c r="Z307" i="17"/>
  <c r="N176" i="17"/>
  <c r="X90" i="17"/>
  <c r="AO90" i="17" s="1"/>
  <c r="M356" i="17"/>
  <c r="N141" i="17"/>
  <c r="N307" i="17"/>
  <c r="X92" i="17"/>
  <c r="AO92" i="17" s="1"/>
  <c r="AI196" i="17"/>
  <c r="AN356" i="17"/>
  <c r="M169" i="17"/>
  <c r="AI76" i="17"/>
  <c r="Z179" i="17"/>
  <c r="N327" i="17"/>
  <c r="AN344" i="17"/>
  <c r="Y169" i="17"/>
  <c r="AI341" i="17"/>
  <c r="M101" i="17"/>
  <c r="AB98" i="17"/>
  <c r="Z164" i="17"/>
  <c r="Y352" i="17"/>
  <c r="Y95" i="17"/>
  <c r="D15" i="12"/>
  <c r="N237" i="17"/>
  <c r="AB359" i="17"/>
  <c r="Z261" i="17"/>
  <c r="N156" i="17"/>
  <c r="X59" i="17"/>
  <c r="AO59" i="17" s="1"/>
  <c r="X352" i="17"/>
  <c r="AO352" i="17" s="1"/>
  <c r="N98" i="17"/>
  <c r="I15" i="12"/>
  <c r="Z249" i="17"/>
  <c r="X111" i="17"/>
  <c r="AO111" i="17" s="1"/>
  <c r="AB284" i="17"/>
  <c r="AI181" i="17"/>
  <c r="Z60" i="17"/>
  <c r="Z169" i="17"/>
  <c r="Z87" i="17"/>
  <c r="Y21" i="12"/>
  <c r="AN299" i="17"/>
  <c r="M251" i="17"/>
  <c r="X180" i="17"/>
  <c r="AO180" i="17" s="1"/>
  <c r="AI230" i="17"/>
  <c r="N305" i="17"/>
  <c r="M112" i="17"/>
  <c r="N181" i="17"/>
  <c r="X108" i="17"/>
  <c r="AO108" i="17" s="1"/>
  <c r="N367" i="17"/>
  <c r="AB94" i="17"/>
  <c r="N149" i="17"/>
  <c r="AN300" i="17"/>
  <c r="X158" i="17"/>
  <c r="AO158" i="17" s="1"/>
  <c r="AI225" i="17"/>
  <c r="N114" i="17"/>
  <c r="M248" i="17"/>
  <c r="Y254" i="17"/>
  <c r="N102" i="17"/>
  <c r="Z119" i="17"/>
  <c r="AI261" i="17"/>
  <c r="M107" i="17"/>
  <c r="N164" i="17"/>
  <c r="N145" i="17"/>
  <c r="Z79" i="17"/>
  <c r="N163" i="17"/>
  <c r="Y368" i="17"/>
  <c r="Z140" i="17"/>
  <c r="X129" i="17"/>
  <c r="AO129" i="17" s="1"/>
  <c r="M130" i="17"/>
  <c r="N99" i="17"/>
  <c r="N100" i="17"/>
  <c r="Y147" i="17"/>
  <c r="Z151" i="17"/>
  <c r="Y190" i="17"/>
  <c r="AI329" i="17"/>
  <c r="X345" i="17"/>
  <c r="AO345" i="17" s="1"/>
  <c r="AN291" i="17"/>
  <c r="N104" i="17"/>
  <c r="M82" i="17"/>
  <c r="M66" i="17"/>
  <c r="AG15" i="12"/>
  <c r="AO41" i="17" l="1"/>
  <c r="D39" i="11"/>
  <c r="AO68" i="17"/>
  <c r="D37" i="11"/>
  <c r="AO66" i="17"/>
  <c r="D38" i="11"/>
  <c r="AA200" i="17"/>
  <c r="Q200" i="17" s="1"/>
  <c r="AA205" i="17"/>
  <c r="Q205" i="17" s="1"/>
  <c r="AA229" i="17"/>
  <c r="Q229" i="17" s="1"/>
  <c r="AA235" i="17"/>
  <c r="Q235" i="17" s="1"/>
  <c r="AA251" i="17"/>
  <c r="Q251" i="17" s="1"/>
  <c r="Q20" i="18"/>
  <c r="U20" i="18" s="1"/>
  <c r="X20" i="18" s="1"/>
  <c r="Q22" i="18"/>
  <c r="U22" i="18" s="1"/>
  <c r="X22" i="18" s="1"/>
  <c r="Q23" i="18"/>
  <c r="U23" i="18" s="1"/>
  <c r="X23" i="18" s="1"/>
  <c r="Z23" i="18"/>
  <c r="Q43" i="18"/>
  <c r="U43" i="18" s="1"/>
  <c r="X43" i="18" s="1"/>
  <c r="Z27" i="18"/>
  <c r="Z47" i="18"/>
  <c r="Z20" i="18"/>
  <c r="Z28" i="18"/>
  <c r="Q30" i="18"/>
  <c r="U30" i="18" s="1"/>
  <c r="X30" i="18" s="1"/>
  <c r="Q18" i="18"/>
  <c r="U18" i="18" s="1"/>
  <c r="X18" i="18" s="1"/>
  <c r="Z32" i="18"/>
  <c r="Z48" i="18"/>
  <c r="Z25" i="18"/>
  <c r="Z44" i="18"/>
  <c r="Z38" i="18"/>
  <c r="Z24" i="18"/>
  <c r="Z40" i="18"/>
  <c r="Z46" i="18"/>
  <c r="Q34" i="18"/>
  <c r="U34" i="18" s="1"/>
  <c r="X34" i="18" s="1"/>
  <c r="Q49" i="18"/>
  <c r="U49" i="18" s="1"/>
  <c r="X49" i="18" s="1"/>
  <c r="Q40" i="18"/>
  <c r="U40" i="18" s="1"/>
  <c r="X40" i="18" s="1"/>
  <c r="Q29" i="18"/>
  <c r="U29" i="18" s="1"/>
  <c r="X29" i="18" s="1"/>
  <c r="Q15" i="18"/>
  <c r="U15" i="18" s="1"/>
  <c r="X15" i="18" s="1"/>
  <c r="Q47" i="18"/>
  <c r="U47" i="18" s="1"/>
  <c r="X47" i="18" s="1"/>
  <c r="Z43" i="18"/>
  <c r="Z41" i="18"/>
  <c r="Z13" i="18"/>
  <c r="Q25" i="18"/>
  <c r="U25" i="18" s="1"/>
  <c r="X25" i="18" s="1"/>
  <c r="Z18" i="18"/>
  <c r="Q14" i="18"/>
  <c r="U14" i="18" s="1"/>
  <c r="Q31" i="18"/>
  <c r="U31" i="18" s="1"/>
  <c r="X31" i="18" s="1"/>
  <c r="Q35" i="18"/>
  <c r="U35" i="18" s="1"/>
  <c r="X35" i="18" s="1"/>
  <c r="Z42" i="18"/>
  <c r="Z34" i="18"/>
  <c r="Q44" i="18"/>
  <c r="U44" i="18" s="1"/>
  <c r="X44" i="18" s="1"/>
  <c r="Z30" i="18"/>
  <c r="Z33" i="18"/>
  <c r="Z12" i="18"/>
  <c r="Q16" i="18"/>
  <c r="U16" i="18" s="1"/>
  <c r="X16" i="18" s="1"/>
  <c r="Q11" i="18"/>
  <c r="U11" i="18" s="1"/>
  <c r="Z16" i="18"/>
  <c r="Z37" i="18"/>
  <c r="Q26" i="18"/>
  <c r="U26" i="18" s="1"/>
  <c r="Q48" i="18"/>
  <c r="U48" i="18" s="1"/>
  <c r="X48" i="18" s="1"/>
  <c r="Z31" i="18"/>
  <c r="Z49" i="18"/>
  <c r="Z36" i="18"/>
  <c r="Z45" i="18"/>
  <c r="Z29" i="18"/>
  <c r="Z39" i="18"/>
  <c r="Q12" i="18"/>
  <c r="U12" i="18" s="1"/>
  <c r="X12" i="18" s="1"/>
  <c r="Q13" i="18"/>
  <c r="U13" i="18" s="1"/>
  <c r="X13" i="18" s="1"/>
  <c r="Z22" i="18"/>
  <c r="Z26" i="18"/>
  <c r="Z21" i="18"/>
  <c r="Q46" i="18"/>
  <c r="U46" i="18" s="1"/>
  <c r="X46" i="18" s="1"/>
  <c r="Q39" i="18"/>
  <c r="U39" i="18" s="1"/>
  <c r="X39" i="18" s="1"/>
  <c r="Q42" i="18"/>
  <c r="U42" i="18" s="1"/>
  <c r="X42" i="18" s="1"/>
  <c r="Q33" i="18"/>
  <c r="U33" i="18" s="1"/>
  <c r="X33" i="18" s="1"/>
  <c r="Z11" i="18"/>
  <c r="Q27" i="18"/>
  <c r="U27" i="18" s="1"/>
  <c r="X27" i="18" s="1"/>
  <c r="Z19" i="18"/>
  <c r="Q17" i="18"/>
  <c r="U17" i="18" s="1"/>
  <c r="X17" i="18" s="1"/>
  <c r="Z14" i="18"/>
  <c r="Q28" i="18"/>
  <c r="U28" i="18" s="1"/>
  <c r="X28" i="18" s="1"/>
  <c r="Q36" i="18"/>
  <c r="U36" i="18" s="1"/>
  <c r="X36" i="18" s="1"/>
  <c r="Q32" i="18"/>
  <c r="U32" i="18" s="1"/>
  <c r="X32" i="18" s="1"/>
  <c r="Z35" i="18"/>
  <c r="Q24" i="18"/>
  <c r="U24" i="18" s="1"/>
  <c r="X24" i="18" s="1"/>
  <c r="Q45" i="18"/>
  <c r="U45" i="18" s="1"/>
  <c r="X45" i="18" s="1"/>
  <c r="Q37" i="18"/>
  <c r="U37" i="18" s="1"/>
  <c r="X37" i="18" s="1"/>
  <c r="Z15" i="18"/>
  <c r="Q19" i="18"/>
  <c r="U19" i="18" s="1"/>
  <c r="X19" i="18" s="1"/>
  <c r="Q38" i="18"/>
  <c r="U38" i="18" s="1"/>
  <c r="AA258" i="17"/>
  <c r="Q258" i="17" s="1"/>
  <c r="AA337" i="17"/>
  <c r="Q337" i="17" s="1"/>
  <c r="AA210" i="17"/>
  <c r="Q210" i="17" s="1"/>
  <c r="AA267" i="17"/>
  <c r="Q267" i="17" s="1"/>
  <c r="AA324" i="17"/>
  <c r="Q324" i="17" s="1"/>
  <c r="AA291" i="17"/>
  <c r="Q291" i="17" s="1"/>
  <c r="AA56" i="17"/>
  <c r="Q56" i="17" s="1"/>
  <c r="AA298" i="17"/>
  <c r="Q298" i="17" s="1"/>
  <c r="AA340" i="17"/>
  <c r="Q340" i="17" s="1"/>
  <c r="AA265" i="17"/>
  <c r="Q265" i="17" s="1"/>
  <c r="AA84" i="17"/>
  <c r="Q84" i="17" s="1"/>
  <c r="AA270" i="17"/>
  <c r="Q270" i="17" s="1"/>
  <c r="AA63" i="17"/>
  <c r="Q63" i="17" s="1"/>
  <c r="AA67" i="17"/>
  <c r="Q67" i="17" s="1"/>
  <c r="AA233" i="17"/>
  <c r="Q233" i="17" s="1"/>
  <c r="AA274" i="17"/>
  <c r="Q274" i="17" s="1"/>
  <c r="AA253" i="17"/>
  <c r="Q253" i="17" s="1"/>
  <c r="AA180" i="17"/>
  <c r="Q180" i="17" s="1"/>
  <c r="AA305" i="17"/>
  <c r="Q305" i="17" s="1"/>
  <c r="AA223" i="17"/>
  <c r="Q223" i="17" s="1"/>
  <c r="AA280" i="17"/>
  <c r="Q280" i="17" s="1"/>
  <c r="AA257" i="17"/>
  <c r="Q257" i="17" s="1"/>
  <c r="C37" i="11"/>
  <c r="Q4" i="10"/>
  <c r="C39" i="11" s="1"/>
  <c r="R4" i="10"/>
  <c r="D33" i="11" s="1"/>
  <c r="E33" i="11" s="1"/>
  <c r="U4" i="9"/>
  <c r="D32" i="11" s="1"/>
  <c r="E32" i="11" s="1"/>
  <c r="D31" i="11"/>
  <c r="E31" i="11" s="1"/>
  <c r="D34" i="11"/>
  <c r="E34" i="11" s="1"/>
  <c r="D4" i="10"/>
  <c r="D15" i="11" s="1"/>
  <c r="E15" i="11" s="1"/>
  <c r="D18" i="9"/>
  <c r="D13" i="11"/>
  <c r="E13" i="11" s="1"/>
  <c r="D11" i="9"/>
  <c r="AA211" i="17"/>
  <c r="Q211" i="17" s="1"/>
  <c r="AA301" i="17"/>
  <c r="Q301" i="17" s="1"/>
  <c r="AA322" i="17"/>
  <c r="Q322" i="17" s="1"/>
  <c r="AA338" i="17"/>
  <c r="Q338" i="17" s="1"/>
  <c r="AA41" i="17"/>
  <c r="Q41" i="17" s="1"/>
  <c r="AA315" i="17"/>
  <c r="Q315" i="17" s="1"/>
  <c r="AA121" i="17"/>
  <c r="Q121" i="17" s="1"/>
  <c r="AA152" i="17"/>
  <c r="Q152" i="17" s="1"/>
  <c r="AA105" i="17"/>
  <c r="Q105" i="17" s="1"/>
  <c r="AA345" i="17"/>
  <c r="Q345" i="17" s="1"/>
  <c r="AA71" i="17"/>
  <c r="Q71" i="17" s="1"/>
  <c r="AA333" i="17"/>
  <c r="Q333" i="17" s="1"/>
  <c r="AA112" i="17"/>
  <c r="Q112" i="17" s="1"/>
  <c r="AA123" i="17"/>
  <c r="Q123" i="17" s="1"/>
  <c r="AA318" i="17"/>
  <c r="Q318" i="17" s="1"/>
  <c r="AA171" i="17"/>
  <c r="Q171" i="17" s="1"/>
  <c r="AA191" i="17"/>
  <c r="Q191" i="17" s="1"/>
  <c r="AA246" i="17"/>
  <c r="Q246" i="17" s="1"/>
  <c r="AA221" i="17"/>
  <c r="Q221" i="17" s="1"/>
  <c r="AA201" i="17"/>
  <c r="Q201" i="17" s="1"/>
  <c r="AA268" i="17"/>
  <c r="Q268" i="17" s="1"/>
  <c r="AA197" i="17"/>
  <c r="Q197" i="17" s="1"/>
  <c r="AA255" i="17"/>
  <c r="Q255" i="17" s="1"/>
  <c r="AA48" i="17"/>
  <c r="Q48" i="17" s="1"/>
  <c r="AA222" i="17"/>
  <c r="Q222" i="17" s="1"/>
  <c r="AA219" i="17"/>
  <c r="Q219" i="17" s="1"/>
  <c r="AA157" i="17"/>
  <c r="Q157" i="17" s="1"/>
  <c r="AA158" i="17"/>
  <c r="Q158" i="17" s="1"/>
  <c r="AA243" i="17"/>
  <c r="Q243" i="17" s="1"/>
  <c r="AA82" i="17"/>
  <c r="Q82" i="17" s="1"/>
  <c r="AA52" i="17"/>
  <c r="Q52" i="17" s="1"/>
  <c r="AA368" i="17"/>
  <c r="Q368" i="17" s="1"/>
  <c r="AA360" i="17"/>
  <c r="Q360" i="17" s="1"/>
  <c r="AA224" i="17"/>
  <c r="Q224" i="17" s="1"/>
  <c r="AA49" i="17"/>
  <c r="Q49" i="17" s="1"/>
  <c r="AA122" i="17"/>
  <c r="Q122" i="17" s="1"/>
  <c r="AA212" i="17"/>
  <c r="Q212" i="17" s="1"/>
  <c r="AA150" i="17"/>
  <c r="Q150" i="17" s="1"/>
  <c r="AA341" i="17"/>
  <c r="Q341" i="17" s="1"/>
  <c r="AA266" i="17"/>
  <c r="Q266" i="17" s="1"/>
  <c r="AA203" i="17"/>
  <c r="Q203" i="17" s="1"/>
  <c r="AA355" i="17"/>
  <c r="Q355" i="17" s="1"/>
  <c r="AA230" i="17"/>
  <c r="Q230" i="17" s="1"/>
  <c r="AA51" i="17"/>
  <c r="Q51" i="17" s="1"/>
  <c r="AA225" i="17"/>
  <c r="Q225" i="17" s="1"/>
  <c r="AA313" i="17"/>
  <c r="Q313" i="17" s="1"/>
  <c r="AA170" i="17"/>
  <c r="Q170" i="17" s="1"/>
  <c r="AA326" i="17"/>
  <c r="Q326" i="17" s="1"/>
  <c r="AA141" i="17"/>
  <c r="Q141" i="17" s="1"/>
  <c r="AA174" i="17"/>
  <c r="Q174" i="17" s="1"/>
  <c r="AA94" i="17"/>
  <c r="Q94" i="17" s="1"/>
  <c r="AA98" i="17"/>
  <c r="Q98" i="17" s="1"/>
  <c r="AA250" i="17"/>
  <c r="Q250" i="17" s="1"/>
  <c r="AA42" i="17"/>
  <c r="Q42" i="17" s="1"/>
  <c r="AA45" i="17"/>
  <c r="Q45" i="17" s="1"/>
  <c r="AA50" i="17"/>
  <c r="Q50" i="17" s="1"/>
  <c r="AA44" i="17"/>
  <c r="Q44" i="17" s="1"/>
  <c r="AA352" i="17"/>
  <c r="Q352" i="17" s="1"/>
  <c r="AA47" i="17"/>
  <c r="Q47" i="17" s="1"/>
  <c r="AA348" i="17"/>
  <c r="Q348" i="17" s="1"/>
  <c r="AA104" i="17"/>
  <c r="Q104" i="17" s="1"/>
  <c r="AA299" i="17"/>
  <c r="Q299" i="17" s="1"/>
  <c r="AA103" i="17"/>
  <c r="Q103" i="17" s="1"/>
  <c r="AA183" i="17"/>
  <c r="Q183" i="17" s="1"/>
  <c r="AA282" i="17"/>
  <c r="Q282" i="17" s="1"/>
  <c r="AA325" i="17"/>
  <c r="Q325" i="17" s="1"/>
  <c r="AA108" i="17"/>
  <c r="Q108" i="17" s="1"/>
  <c r="AA80" i="17"/>
  <c r="Q80" i="17" s="1"/>
  <c r="AA269" i="17"/>
  <c r="Q269" i="17" s="1"/>
  <c r="AA287" i="17"/>
  <c r="Q287" i="17" s="1"/>
  <c r="AA87" i="17"/>
  <c r="Q87" i="17" s="1"/>
  <c r="AA232" i="17"/>
  <c r="Q232" i="17" s="1"/>
  <c r="AA102" i="17"/>
  <c r="Q102" i="17" s="1"/>
  <c r="AA236" i="17"/>
  <c r="Q236" i="17" s="1"/>
  <c r="AA88" i="17"/>
  <c r="Q88" i="17" s="1"/>
  <c r="AA310" i="17"/>
  <c r="Q310" i="17" s="1"/>
  <c r="AA46" i="17"/>
  <c r="Q46" i="17" s="1"/>
  <c r="AA43" i="17"/>
  <c r="Q43" i="17" s="1"/>
  <c r="AA146" i="17"/>
  <c r="Q146" i="17" s="1"/>
  <c r="AA190" i="17"/>
  <c r="Q190" i="17" s="1"/>
  <c r="AA138" i="17"/>
  <c r="Q138" i="17" s="1"/>
  <c r="AA140" i="17"/>
  <c r="Q140" i="17" s="1"/>
  <c r="AA178" i="17"/>
  <c r="Q178" i="17" s="1"/>
  <c r="AA214" i="17"/>
  <c r="Q214" i="17" s="1"/>
  <c r="AA343" i="17"/>
  <c r="Q343" i="17" s="1"/>
  <c r="AA276" i="17"/>
  <c r="Q276" i="17" s="1"/>
  <c r="AA238" i="17"/>
  <c r="Q238" i="17" s="1"/>
  <c r="AA254" i="17"/>
  <c r="Q254" i="17" s="1"/>
  <c r="AA64" i="17"/>
  <c r="Q64" i="17" s="1"/>
  <c r="AA369" i="17"/>
  <c r="Q369" i="17" s="1"/>
  <c r="AA97" i="17"/>
  <c r="Q97" i="17" s="1"/>
  <c r="AA142" i="17"/>
  <c r="Q142" i="17" s="1"/>
  <c r="AA302" i="17"/>
  <c r="Q302" i="17" s="1"/>
  <c r="Q59" i="18"/>
  <c r="U59" i="18" s="1"/>
  <c r="X59" i="18" s="1"/>
  <c r="AA213" i="17"/>
  <c r="Q213" i="17" s="1"/>
  <c r="AA61" i="17"/>
  <c r="Q61" i="17" s="1"/>
  <c r="AA317" i="17"/>
  <c r="Q317" i="17" s="1"/>
  <c r="AA195" i="17"/>
  <c r="Q195" i="17" s="1"/>
  <c r="AA278" i="17"/>
  <c r="Q278" i="17" s="1"/>
  <c r="AA247" i="17"/>
  <c r="Q247" i="17" s="1"/>
  <c r="AA356" i="17"/>
  <c r="Q356" i="17" s="1"/>
  <c r="AA120" i="17"/>
  <c r="Q120" i="17" s="1"/>
  <c r="AA74" i="17"/>
  <c r="Q74" i="17" s="1"/>
  <c r="AA300" i="17"/>
  <c r="Q300" i="17" s="1"/>
  <c r="AA113" i="17"/>
  <c r="Q113" i="17" s="1"/>
  <c r="AA154" i="17"/>
  <c r="Q154" i="17" s="1"/>
  <c r="AA155" i="17"/>
  <c r="Q155" i="17" s="1"/>
  <c r="AA166" i="17"/>
  <c r="Q166" i="17" s="1"/>
  <c r="AA189" i="17"/>
  <c r="Q189" i="17" s="1"/>
  <c r="AA53" i="17"/>
  <c r="Q53" i="17" s="1"/>
  <c r="AA344" i="17"/>
  <c r="Q344" i="17" s="1"/>
  <c r="AA188" i="17"/>
  <c r="Q188" i="17" s="1"/>
  <c r="AA70" i="17"/>
  <c r="Q70" i="17" s="1"/>
  <c r="AA124" i="17"/>
  <c r="Q124" i="17" s="1"/>
  <c r="AA242" i="17"/>
  <c r="Q242" i="17" s="1"/>
  <c r="AA206" i="17"/>
  <c r="Q206" i="17" s="1"/>
  <c r="AA226" i="17"/>
  <c r="Q226" i="17" s="1"/>
  <c r="AA354" i="17"/>
  <c r="Q354" i="17" s="1"/>
  <c r="AA134" i="17"/>
  <c r="Q134" i="17" s="1"/>
  <c r="AA261" i="17"/>
  <c r="Q261" i="17" s="1"/>
  <c r="AA66" i="17"/>
  <c r="Q66" i="17" s="1"/>
  <c r="AA241" i="17"/>
  <c r="Q241" i="17" s="1"/>
  <c r="AA365" i="17"/>
  <c r="Q365" i="17" s="1"/>
  <c r="AA331" i="17"/>
  <c r="Q331" i="17" s="1"/>
  <c r="AA293" i="17"/>
  <c r="Q293" i="17" s="1"/>
  <c r="AA272" i="17"/>
  <c r="Q272" i="17" s="1"/>
  <c r="AA68" i="17"/>
  <c r="Q68" i="17" s="1"/>
  <c r="AA59" i="17"/>
  <c r="Q59" i="17" s="1"/>
  <c r="AA209" i="17"/>
  <c r="Q209" i="17" s="1"/>
  <c r="AA357" i="17"/>
  <c r="Q357" i="17" s="1"/>
  <c r="AA89" i="17"/>
  <c r="Q89" i="17" s="1"/>
  <c r="AA96" i="17"/>
  <c r="Q96" i="17" s="1"/>
  <c r="AA279" i="17"/>
  <c r="Q279" i="17" s="1"/>
  <c r="AA129" i="17"/>
  <c r="Q129" i="17" s="1"/>
  <c r="AA207" i="17"/>
  <c r="Q207" i="17" s="1"/>
  <c r="AA95" i="17"/>
  <c r="Q95" i="17" s="1"/>
  <c r="AA187" i="17"/>
  <c r="Q187" i="17" s="1"/>
  <c r="AA165" i="17"/>
  <c r="Q165" i="17" s="1"/>
  <c r="AA101" i="17"/>
  <c r="Q101" i="17" s="1"/>
  <c r="AA78" i="17"/>
  <c r="Q78" i="17" s="1"/>
  <c r="AA90" i="17"/>
  <c r="Q90" i="17" s="1"/>
  <c r="AA217" i="17"/>
  <c r="Q217" i="17" s="1"/>
  <c r="AA100" i="17"/>
  <c r="Q100" i="17" s="1"/>
  <c r="AA228" i="17"/>
  <c r="Q228" i="17" s="1"/>
  <c r="Z58" i="18"/>
  <c r="AA179" i="17"/>
  <c r="Q179" i="17" s="1"/>
  <c r="AA286" i="17"/>
  <c r="Q286" i="17" s="1"/>
  <c r="AA289" i="17"/>
  <c r="Q289" i="17" s="1"/>
  <c r="AA363" i="17"/>
  <c r="Q363" i="17" s="1"/>
  <c r="AA93" i="17"/>
  <c r="Q93" i="17" s="1"/>
  <c r="AA55" i="17"/>
  <c r="Q55" i="17" s="1"/>
  <c r="AA284" i="17"/>
  <c r="Q284" i="17" s="1"/>
  <c r="AA307" i="17"/>
  <c r="Q307" i="17" s="1"/>
  <c r="AA297" i="17"/>
  <c r="Q297" i="17" s="1"/>
  <c r="AA245" i="17"/>
  <c r="Q245" i="17" s="1"/>
  <c r="AA79" i="17"/>
  <c r="Q79" i="17" s="1"/>
  <c r="AA110" i="17"/>
  <c r="Q110" i="17" s="1"/>
  <c r="AA144" i="17"/>
  <c r="Q144" i="17" s="1"/>
  <c r="AA196" i="17"/>
  <c r="Q196" i="17" s="1"/>
  <c r="AA57" i="17"/>
  <c r="Q57" i="17" s="1"/>
  <c r="AA118" i="17"/>
  <c r="Q118" i="17" s="1"/>
  <c r="AA73" i="17"/>
  <c r="Q73" i="17" s="1"/>
  <c r="AA328" i="17"/>
  <c r="Q328" i="17" s="1"/>
  <c r="AA92" i="17"/>
  <c r="Q92" i="17" s="1"/>
  <c r="AA77" i="17"/>
  <c r="Q77" i="17" s="1"/>
  <c r="AA109" i="17"/>
  <c r="Q109" i="17" s="1"/>
  <c r="AA75" i="17"/>
  <c r="Q75" i="17" s="1"/>
  <c r="AA60" i="17"/>
  <c r="Q60" i="17" s="1"/>
  <c r="AA172" i="17"/>
  <c r="Q172" i="17" s="1"/>
  <c r="AA359" i="17"/>
  <c r="Q359" i="17" s="1"/>
  <c r="AA347" i="17"/>
  <c r="Q347" i="17" s="1"/>
  <c r="AA119" i="17"/>
  <c r="Q119" i="17" s="1"/>
  <c r="Z55" i="18"/>
  <c r="AA163" i="17"/>
  <c r="Q163" i="17" s="1"/>
  <c r="AA334" i="17"/>
  <c r="Q334" i="17" s="1"/>
  <c r="AA335" i="17"/>
  <c r="Q335" i="17" s="1"/>
  <c r="AA175" i="17"/>
  <c r="Q175" i="17" s="1"/>
  <c r="AA153" i="17"/>
  <c r="Q153" i="17" s="1"/>
  <c r="AA125" i="17"/>
  <c r="Q125" i="17" s="1"/>
  <c r="AA362" i="17"/>
  <c r="Q362" i="17" s="1"/>
  <c r="AA329" i="17"/>
  <c r="Q329" i="17" s="1"/>
  <c r="AA351" i="17"/>
  <c r="Q351" i="17" s="1"/>
  <c r="AA167" i="17"/>
  <c r="Q167" i="17" s="1"/>
  <c r="AA237" i="17"/>
  <c r="Q237" i="17" s="1"/>
  <c r="AA162" i="17"/>
  <c r="Q162" i="17" s="1"/>
  <c r="AA194" i="17"/>
  <c r="Q194" i="17" s="1"/>
  <c r="AA76" i="17"/>
  <c r="Q76" i="17" s="1"/>
  <c r="AA309" i="17"/>
  <c r="Q309" i="17" s="1"/>
  <c r="AA330" i="17"/>
  <c r="Q330" i="17" s="1"/>
  <c r="AA332" i="17"/>
  <c r="Q332" i="17" s="1"/>
  <c r="AA303" i="17"/>
  <c r="Q303" i="17" s="1"/>
  <c r="AA283" i="17"/>
  <c r="Q283" i="17" s="1"/>
  <c r="AA151" i="17"/>
  <c r="Q151" i="17" s="1"/>
  <c r="D3" i="12"/>
  <c r="AA72" i="17"/>
  <c r="Q72" i="17" s="1"/>
  <c r="AA131" i="17"/>
  <c r="Q131" i="17" s="1"/>
  <c r="AA353" i="17"/>
  <c r="Q353" i="17" s="1"/>
  <c r="AA132" i="17"/>
  <c r="Q132" i="17" s="1"/>
  <c r="Z57" i="18"/>
  <c r="AA292" i="17"/>
  <c r="Q292" i="17" s="1"/>
  <c r="Z52" i="18"/>
  <c r="AA148" i="17"/>
  <c r="Q148" i="17" s="1"/>
  <c r="AA111" i="17"/>
  <c r="Q111" i="17" s="1"/>
  <c r="AA160" i="17"/>
  <c r="Q160" i="17" s="1"/>
  <c r="AA145" i="17"/>
  <c r="Q145" i="17" s="1"/>
  <c r="AA319" i="17"/>
  <c r="Q319" i="17" s="1"/>
  <c r="AA81" i="17"/>
  <c r="Q81" i="17" s="1"/>
  <c r="AA136" i="17"/>
  <c r="Q136" i="17" s="1"/>
  <c r="AA308" i="17"/>
  <c r="Q308" i="17" s="1"/>
  <c r="AA176" i="17"/>
  <c r="Q176" i="17" s="1"/>
  <c r="AA177" i="17"/>
  <c r="Q177" i="17" s="1"/>
  <c r="Q60" i="18"/>
  <c r="U60" i="18" s="1"/>
  <c r="X60" i="18" s="1"/>
  <c r="Z53" i="18"/>
  <c r="D4" i="9"/>
  <c r="D14" i="11" s="1"/>
  <c r="E14" i="11" s="1"/>
  <c r="Q51" i="18"/>
  <c r="AA143" i="17"/>
  <c r="Q143" i="17" s="1"/>
  <c r="AA350" i="17"/>
  <c r="Q350" i="17" s="1"/>
  <c r="AA156" i="17"/>
  <c r="Q156" i="17" s="1"/>
  <c r="AA262" i="17"/>
  <c r="Q262" i="17" s="1"/>
  <c r="AA295" i="17"/>
  <c r="Q295" i="17" s="1"/>
  <c r="AA198" i="17"/>
  <c r="Q198" i="17" s="1"/>
  <c r="AA220" i="17"/>
  <c r="Q220" i="17" s="1"/>
  <c r="AA275" i="17"/>
  <c r="Q275" i="17" s="1"/>
  <c r="AA342" i="17"/>
  <c r="Q342" i="17" s="1"/>
  <c r="AA202" i="17"/>
  <c r="Q202" i="17" s="1"/>
  <c r="AA139" i="17"/>
  <c r="Q139" i="17" s="1"/>
  <c r="AA161" i="17"/>
  <c r="Q161" i="17" s="1"/>
  <c r="AA285" i="17"/>
  <c r="Q285" i="17" s="1"/>
  <c r="AA346" i="17"/>
  <c r="Q346" i="17" s="1"/>
  <c r="AA321" i="17"/>
  <c r="Q321" i="17" s="1"/>
  <c r="AA271" i="17"/>
  <c r="Q271" i="17" s="1"/>
  <c r="AA128" i="17"/>
  <c r="Q128" i="17" s="1"/>
  <c r="Q58" i="18"/>
  <c r="U58" i="18" s="1"/>
  <c r="X58" i="18" s="1"/>
  <c r="AA294" i="17"/>
  <c r="Q294" i="17" s="1"/>
  <c r="AA135" i="17"/>
  <c r="Q135" i="17" s="1"/>
  <c r="AA288" i="17"/>
  <c r="Q288" i="17" s="1"/>
  <c r="AA231" i="17"/>
  <c r="Q231" i="17" s="1"/>
  <c r="Z60" i="18"/>
  <c r="AA260" i="17"/>
  <c r="Q260" i="17" s="1"/>
  <c r="AA192" i="17"/>
  <c r="Q192" i="17" s="1"/>
  <c r="AA208" i="17"/>
  <c r="Q208" i="17" s="1"/>
  <c r="AA114" i="17"/>
  <c r="Q114" i="17" s="1"/>
  <c r="AA366" i="17"/>
  <c r="Q366" i="17" s="1"/>
  <c r="AA199" i="17"/>
  <c r="Q199" i="17" s="1"/>
  <c r="AA281" i="17"/>
  <c r="Q281" i="17" s="1"/>
  <c r="AA116" i="17"/>
  <c r="Q116" i="17" s="1"/>
  <c r="AA327" i="17"/>
  <c r="Q327" i="17" s="1"/>
  <c r="AA361" i="17"/>
  <c r="Q361" i="17" s="1"/>
  <c r="AA62" i="17"/>
  <c r="Q62" i="17" s="1"/>
  <c r="T4" i="9"/>
  <c r="C38" i="11" s="1"/>
  <c r="AA239" i="17"/>
  <c r="Q239" i="17" s="1"/>
  <c r="AA296" i="17"/>
  <c r="Q296" i="17" s="1"/>
  <c r="AA273" i="17"/>
  <c r="Q273" i="17" s="1"/>
  <c r="Z56" i="18"/>
  <c r="AA256" i="17"/>
  <c r="Q256" i="17" s="1"/>
  <c r="AA215" i="17"/>
  <c r="Q215" i="17" s="1"/>
  <c r="AA252" i="17"/>
  <c r="Q252" i="17" s="1"/>
  <c r="AA169" i="17"/>
  <c r="Q169" i="17" s="1"/>
  <c r="AA91" i="17"/>
  <c r="Q91" i="17" s="1"/>
  <c r="AA184" i="17"/>
  <c r="Q184" i="17" s="1"/>
  <c r="AA149" i="17"/>
  <c r="Q149" i="17" s="1"/>
  <c r="AA106" i="17"/>
  <c r="Q106" i="17" s="1"/>
  <c r="Q54" i="18"/>
  <c r="U54" i="18" s="1"/>
  <c r="X54" i="18" s="1"/>
  <c r="AA311" i="17"/>
  <c r="Q311" i="17" s="1"/>
  <c r="AA216" i="17"/>
  <c r="Q216" i="17" s="1"/>
  <c r="AA186" i="17"/>
  <c r="Q186" i="17" s="1"/>
  <c r="AA277" i="17"/>
  <c r="Q277" i="17" s="1"/>
  <c r="AA65" i="17"/>
  <c r="Q65" i="17" s="1"/>
  <c r="Q52" i="18"/>
  <c r="U52" i="18" s="1"/>
  <c r="X52" i="18" s="1"/>
  <c r="AA147" i="17"/>
  <c r="Q147" i="17" s="1"/>
  <c r="AA168" i="17"/>
  <c r="Q168" i="17" s="1"/>
  <c r="AA127" i="17"/>
  <c r="Q127" i="17" s="1"/>
  <c r="AA164" i="17"/>
  <c r="Q164" i="17" s="1"/>
  <c r="AA54" i="17"/>
  <c r="Q54" i="17" s="1"/>
  <c r="AA58" i="17"/>
  <c r="Q58" i="17" s="1"/>
  <c r="AA316" i="17"/>
  <c r="Q316" i="17" s="1"/>
  <c r="AA137" i="17"/>
  <c r="Q137" i="17" s="1"/>
  <c r="AA259" i="17"/>
  <c r="Q259" i="17" s="1"/>
  <c r="AA99" i="17"/>
  <c r="Q99" i="17" s="1"/>
  <c r="AA306" i="17"/>
  <c r="Q306" i="17" s="1"/>
  <c r="Q56" i="18"/>
  <c r="U56" i="18" s="1"/>
  <c r="X56" i="18" s="1"/>
  <c r="AA133" i="17"/>
  <c r="Q133" i="17" s="1"/>
  <c r="AA364" i="17"/>
  <c r="Q364" i="17" s="1"/>
  <c r="AA349" i="17"/>
  <c r="Q349" i="17" s="1"/>
  <c r="AA107" i="17"/>
  <c r="Q107" i="17" s="1"/>
  <c r="AA115" i="17"/>
  <c r="Q115" i="17" s="1"/>
  <c r="AA185" i="17"/>
  <c r="Q185" i="17" s="1"/>
  <c r="AA83" i="17"/>
  <c r="Q83" i="17" s="1"/>
  <c r="AA304" i="17"/>
  <c r="Q304" i="17" s="1"/>
  <c r="AA227" i="17"/>
  <c r="Q227" i="17" s="1"/>
  <c r="AA320" i="17"/>
  <c r="Q320" i="17" s="1"/>
  <c r="AA86" i="17"/>
  <c r="Q86" i="17" s="1"/>
  <c r="Z61" i="18"/>
  <c r="AA367" i="17"/>
  <c r="Q367" i="17" s="1"/>
  <c r="Q57" i="18"/>
  <c r="U57" i="18" s="1"/>
  <c r="X57" i="18" s="1"/>
  <c r="AA290" i="17"/>
  <c r="Q290" i="17" s="1"/>
  <c r="AA336" i="17"/>
  <c r="Q336" i="17" s="1"/>
  <c r="AA117" i="17"/>
  <c r="Q117" i="17" s="1"/>
  <c r="AA204" i="17"/>
  <c r="Q204" i="17" s="1"/>
  <c r="AA244" i="17"/>
  <c r="Q244" i="17" s="1"/>
  <c r="AA358" i="17"/>
  <c r="Q358" i="17" s="1"/>
  <c r="AA234" i="17"/>
  <c r="Q234" i="17" s="1"/>
  <c r="AA323" i="17"/>
  <c r="Q323" i="17" s="1"/>
  <c r="AA159" i="17"/>
  <c r="Q159" i="17" s="1"/>
  <c r="Q61" i="18"/>
  <c r="U61" i="18" s="1"/>
  <c r="X61" i="18" s="1"/>
  <c r="AA126" i="17"/>
  <c r="Q126" i="17" s="1"/>
  <c r="AA130" i="17"/>
  <c r="Q130" i="17" s="1"/>
  <c r="AA181" i="17"/>
  <c r="Q181" i="17" s="1"/>
  <c r="AA173" i="17"/>
  <c r="Q173" i="17" s="1"/>
  <c r="AA69" i="17"/>
  <c r="Q69" i="17" s="1"/>
  <c r="AA85" i="17"/>
  <c r="Q85" i="17" s="1"/>
  <c r="AO369" i="17"/>
  <c r="Q4" i="9"/>
  <c r="AA193" i="17"/>
  <c r="Q193" i="17" s="1"/>
  <c r="AA312" i="17"/>
  <c r="Q312" i="17" s="1"/>
  <c r="Z59" i="18"/>
  <c r="Q55" i="18"/>
  <c r="U55" i="18" s="1"/>
  <c r="X55" i="18" s="1"/>
  <c r="AA218" i="17"/>
  <c r="Q218" i="17" s="1"/>
  <c r="Q53" i="18"/>
  <c r="U53" i="18" s="1"/>
  <c r="X53" i="18" s="1"/>
  <c r="AA263" i="17"/>
  <c r="Q263" i="17" s="1"/>
  <c r="Z51" i="18"/>
  <c r="AA339" i="17"/>
  <c r="Q339" i="17" s="1"/>
  <c r="AA314" i="17"/>
  <c r="Q314" i="17" s="1"/>
  <c r="AA182" i="17"/>
  <c r="Q182" i="17" s="1"/>
  <c r="AA248" i="17"/>
  <c r="Q248" i="17" s="1"/>
  <c r="AA264" i="17"/>
  <c r="Q264" i="17" s="1"/>
  <c r="AA240" i="17"/>
  <c r="Q240" i="17" s="1"/>
  <c r="AA249" i="17"/>
  <c r="Q249" i="17" s="1"/>
  <c r="Z54" i="18"/>
  <c r="P239" i="17" l="1"/>
  <c r="R239" i="17"/>
  <c r="R260" i="17"/>
  <c r="P260" i="17"/>
  <c r="P161" i="17"/>
  <c r="R161" i="17"/>
  <c r="P218" i="17"/>
  <c r="R218" i="17"/>
  <c r="R126" i="17"/>
  <c r="P126" i="17"/>
  <c r="P367" i="17"/>
  <c r="R367" i="17"/>
  <c r="P133" i="17"/>
  <c r="R133" i="17"/>
  <c r="R147" i="17"/>
  <c r="P147" i="17"/>
  <c r="P169" i="17"/>
  <c r="R169" i="17"/>
  <c r="P116" i="17"/>
  <c r="R116" i="17"/>
  <c r="R294" i="17"/>
  <c r="P294" i="17"/>
  <c r="P220" i="17"/>
  <c r="R220" i="17"/>
  <c r="P176" i="17"/>
  <c r="R176" i="17"/>
  <c r="P132" i="17"/>
  <c r="R132" i="17"/>
  <c r="P194" i="17"/>
  <c r="R194" i="17"/>
  <c r="R163" i="17"/>
  <c r="P163" i="17"/>
  <c r="P73" i="17"/>
  <c r="R73" i="17"/>
  <c r="R93" i="17"/>
  <c r="P93" i="17"/>
  <c r="R165" i="17"/>
  <c r="P165" i="17"/>
  <c r="W272" i="17"/>
  <c r="R272" i="17"/>
  <c r="P272" i="17"/>
  <c r="W124" i="17"/>
  <c r="P124" i="17"/>
  <c r="R124" i="17"/>
  <c r="W120" i="17"/>
  <c r="P120" i="17"/>
  <c r="R120" i="17"/>
  <c r="W369" i="17"/>
  <c r="R369" i="17"/>
  <c r="P369" i="17"/>
  <c r="P43" i="17"/>
  <c r="R43" i="17"/>
  <c r="P325" i="17"/>
  <c r="O325" i="17" s="1"/>
  <c r="R325" i="17"/>
  <c r="R42" i="17"/>
  <c r="P42" i="17"/>
  <c r="P355" i="17"/>
  <c r="R355" i="17"/>
  <c r="W82" i="17"/>
  <c r="R82" i="17"/>
  <c r="P82" i="17"/>
  <c r="R246" i="17"/>
  <c r="P246" i="17"/>
  <c r="R315" i="17"/>
  <c r="P315" i="17"/>
  <c r="O315" i="17" s="1"/>
  <c r="P67" i="17"/>
  <c r="R67" i="17"/>
  <c r="R337" i="17"/>
  <c r="P337" i="17"/>
  <c r="P252" i="17"/>
  <c r="R252" i="17"/>
  <c r="P281" i="17"/>
  <c r="R281" i="17"/>
  <c r="P240" i="17"/>
  <c r="R240" i="17"/>
  <c r="R312" i="17"/>
  <c r="P312" i="17"/>
  <c r="R323" i="17"/>
  <c r="P323" i="17"/>
  <c r="R320" i="17"/>
  <c r="P320" i="17"/>
  <c r="R99" i="17"/>
  <c r="P99" i="17"/>
  <c r="R277" i="17"/>
  <c r="P277" i="17"/>
  <c r="P256" i="17"/>
  <c r="R256" i="17"/>
  <c r="R366" i="17"/>
  <c r="P366" i="17"/>
  <c r="R271" i="17"/>
  <c r="P271" i="17"/>
  <c r="R262" i="17"/>
  <c r="P262" i="17"/>
  <c r="R81" i="17"/>
  <c r="P81" i="17"/>
  <c r="R72" i="17"/>
  <c r="P72" i="17"/>
  <c r="P167" i="17"/>
  <c r="R167" i="17"/>
  <c r="R347" i="17"/>
  <c r="P347" i="17"/>
  <c r="P196" i="17"/>
  <c r="R196" i="17"/>
  <c r="R286" i="17"/>
  <c r="P286" i="17"/>
  <c r="R207" i="17"/>
  <c r="P207" i="17"/>
  <c r="W365" i="17"/>
  <c r="P365" i="17"/>
  <c r="R365" i="17"/>
  <c r="R344" i="17"/>
  <c r="P344" i="17"/>
  <c r="O344" i="17" s="1"/>
  <c r="R278" i="17"/>
  <c r="P278" i="17"/>
  <c r="P238" i="17"/>
  <c r="O238" i="17" s="1"/>
  <c r="R238" i="17"/>
  <c r="P88" i="17"/>
  <c r="O88" i="17" s="1"/>
  <c r="R88" i="17"/>
  <c r="W103" i="17"/>
  <c r="P103" i="17"/>
  <c r="R103" i="17"/>
  <c r="P94" i="17"/>
  <c r="R94" i="17"/>
  <c r="R341" i="17"/>
  <c r="P341" i="17"/>
  <c r="W157" i="17"/>
  <c r="P157" i="17"/>
  <c r="R157" i="17"/>
  <c r="R318" i="17"/>
  <c r="P318" i="17"/>
  <c r="R322" i="17"/>
  <c r="P322" i="17"/>
  <c r="R84" i="17"/>
  <c r="P84" i="17"/>
  <c r="R264" i="17"/>
  <c r="P264" i="17"/>
  <c r="P193" i="17"/>
  <c r="R193" i="17"/>
  <c r="R234" i="17"/>
  <c r="P234" i="17"/>
  <c r="P227" i="17"/>
  <c r="R227" i="17"/>
  <c r="P259" i="17"/>
  <c r="R259" i="17"/>
  <c r="R186" i="17"/>
  <c r="P186" i="17"/>
  <c r="R114" i="17"/>
  <c r="P114" i="17"/>
  <c r="R321" i="17"/>
  <c r="P321" i="17"/>
  <c r="P156" i="17"/>
  <c r="R156" i="17"/>
  <c r="P319" i="17"/>
  <c r="R319" i="17"/>
  <c r="R351" i="17"/>
  <c r="P351" i="17"/>
  <c r="R359" i="17"/>
  <c r="P359" i="17"/>
  <c r="P144" i="17"/>
  <c r="R144" i="17"/>
  <c r="P179" i="17"/>
  <c r="R179" i="17"/>
  <c r="R129" i="17"/>
  <c r="P129" i="17"/>
  <c r="P241" i="17"/>
  <c r="O241" i="17" s="1"/>
  <c r="R241" i="17"/>
  <c r="W53" i="17"/>
  <c r="R53" i="17"/>
  <c r="P53" i="17"/>
  <c r="W195" i="17"/>
  <c r="R195" i="17"/>
  <c r="P195" i="17"/>
  <c r="R276" i="17"/>
  <c r="P276" i="17"/>
  <c r="P236" i="17"/>
  <c r="O236" i="17" s="1"/>
  <c r="R236" i="17"/>
  <c r="R299" i="17"/>
  <c r="P299" i="17"/>
  <c r="R174" i="17"/>
  <c r="P174" i="17"/>
  <c r="R150" i="17"/>
  <c r="P150" i="17"/>
  <c r="R219" i="17"/>
  <c r="P219" i="17"/>
  <c r="W123" i="17"/>
  <c r="R123" i="17"/>
  <c r="P123" i="17"/>
  <c r="W301" i="17"/>
  <c r="R301" i="17"/>
  <c r="P301" i="17"/>
  <c r="W257" i="17"/>
  <c r="P257" i="17"/>
  <c r="R257" i="17"/>
  <c r="R265" i="17"/>
  <c r="P265" i="17"/>
  <c r="P251" i="17"/>
  <c r="R251" i="17"/>
  <c r="R235" i="17"/>
  <c r="P235" i="17"/>
  <c r="P229" i="17"/>
  <c r="R229" i="17"/>
  <c r="R111" i="17"/>
  <c r="P111" i="17"/>
  <c r="R303" i="17"/>
  <c r="P303" i="17"/>
  <c r="P125" i="17"/>
  <c r="R125" i="17"/>
  <c r="R75" i="17"/>
  <c r="P75" i="17"/>
  <c r="P245" i="17"/>
  <c r="R245" i="17"/>
  <c r="P100" i="17"/>
  <c r="R100" i="17"/>
  <c r="P89" i="17"/>
  <c r="O89" i="17" s="1"/>
  <c r="R89" i="17"/>
  <c r="W134" i="17"/>
  <c r="P134" i="17"/>
  <c r="R134" i="17"/>
  <c r="P155" i="17"/>
  <c r="R155" i="17"/>
  <c r="W213" i="17"/>
  <c r="R213" i="17"/>
  <c r="P213" i="17"/>
  <c r="P178" i="17"/>
  <c r="R178" i="17"/>
  <c r="W87" i="17"/>
  <c r="R87" i="17"/>
  <c r="P87" i="17"/>
  <c r="R47" i="17"/>
  <c r="P47" i="17"/>
  <c r="P170" i="17"/>
  <c r="R170" i="17"/>
  <c r="W49" i="17"/>
  <c r="P49" i="17"/>
  <c r="R49" i="17"/>
  <c r="R255" i="17"/>
  <c r="P255" i="17"/>
  <c r="W71" i="17"/>
  <c r="R71" i="17"/>
  <c r="P71" i="17"/>
  <c r="R305" i="17"/>
  <c r="P305" i="17"/>
  <c r="R56" i="17"/>
  <c r="P56" i="17"/>
  <c r="R339" i="17"/>
  <c r="P339" i="17"/>
  <c r="R69" i="17"/>
  <c r="P69" i="17"/>
  <c r="R117" i="17"/>
  <c r="P117" i="17"/>
  <c r="P115" i="17"/>
  <c r="R115" i="17"/>
  <c r="R54" i="17"/>
  <c r="P54" i="17"/>
  <c r="P106" i="17"/>
  <c r="R106" i="17"/>
  <c r="R139" i="17"/>
  <c r="P139" i="17"/>
  <c r="P148" i="17"/>
  <c r="R148" i="17"/>
  <c r="R332" i="17"/>
  <c r="P332" i="17"/>
  <c r="R153" i="17"/>
  <c r="P153" i="17"/>
  <c r="P109" i="17"/>
  <c r="R109" i="17"/>
  <c r="R297" i="17"/>
  <c r="P297" i="17"/>
  <c r="P217" i="17"/>
  <c r="R217" i="17"/>
  <c r="R357" i="17"/>
  <c r="P357" i="17"/>
  <c r="O357" i="17" s="1"/>
  <c r="R354" i="17"/>
  <c r="P354" i="17"/>
  <c r="O354" i="17" s="1"/>
  <c r="W154" i="17"/>
  <c r="P154" i="17"/>
  <c r="R154" i="17"/>
  <c r="P205" i="17"/>
  <c r="O205" i="17" s="1"/>
  <c r="R205" i="17"/>
  <c r="P304" i="17"/>
  <c r="R304" i="17"/>
  <c r="P137" i="17"/>
  <c r="R137" i="17"/>
  <c r="R273" i="17"/>
  <c r="P273" i="17"/>
  <c r="P208" i="17"/>
  <c r="R208" i="17"/>
  <c r="R346" i="17"/>
  <c r="P346" i="17"/>
  <c r="P145" i="17"/>
  <c r="R145" i="17"/>
  <c r="P151" i="17"/>
  <c r="R151" i="17"/>
  <c r="P329" i="17"/>
  <c r="R329" i="17"/>
  <c r="P172" i="17"/>
  <c r="R172" i="17"/>
  <c r="P110" i="17"/>
  <c r="R110" i="17"/>
  <c r="R279" i="17"/>
  <c r="P279" i="17"/>
  <c r="W66" i="17"/>
  <c r="R66" i="17"/>
  <c r="P66" i="17"/>
  <c r="R189" i="17"/>
  <c r="P189" i="17"/>
  <c r="P317" i="17"/>
  <c r="O317" i="17" s="1"/>
  <c r="R317" i="17"/>
  <c r="R343" i="17"/>
  <c r="P343" i="17"/>
  <c r="W102" i="17"/>
  <c r="R102" i="17"/>
  <c r="P102" i="17"/>
  <c r="P104" i="17"/>
  <c r="O104" i="17" s="1"/>
  <c r="R104" i="17"/>
  <c r="R141" i="17"/>
  <c r="P141" i="17"/>
  <c r="P212" i="17"/>
  <c r="R212" i="17"/>
  <c r="R222" i="17"/>
  <c r="P222" i="17"/>
  <c r="W112" i="17"/>
  <c r="P112" i="17"/>
  <c r="R112" i="17"/>
  <c r="R211" i="17"/>
  <c r="P211" i="17"/>
  <c r="R280" i="17"/>
  <c r="P280" i="17"/>
  <c r="P340" i="17"/>
  <c r="O340" i="17" s="1"/>
  <c r="R340" i="17"/>
  <c r="P182" i="17"/>
  <c r="R182" i="17"/>
  <c r="P244" i="17"/>
  <c r="R244" i="17"/>
  <c r="R83" i="17"/>
  <c r="P83" i="17"/>
  <c r="R311" i="17"/>
  <c r="P311" i="17"/>
  <c r="P192" i="17"/>
  <c r="R192" i="17"/>
  <c r="P143" i="17"/>
  <c r="R143" i="17"/>
  <c r="P283" i="17"/>
  <c r="R283" i="17"/>
  <c r="R60" i="17"/>
  <c r="P60" i="17"/>
  <c r="P79" i="17"/>
  <c r="R79" i="17"/>
  <c r="W96" i="17"/>
  <c r="P96" i="17"/>
  <c r="R96" i="17"/>
  <c r="W166" i="17"/>
  <c r="P166" i="17"/>
  <c r="R166" i="17"/>
  <c r="W61" i="17"/>
  <c r="P61" i="17"/>
  <c r="R61" i="17"/>
  <c r="W232" i="17"/>
  <c r="P232" i="17"/>
  <c r="R232" i="17"/>
  <c r="W326" i="17"/>
  <c r="R326" i="17"/>
  <c r="P326" i="17"/>
  <c r="P122" i="17"/>
  <c r="O122" i="17" s="1"/>
  <c r="R122" i="17"/>
  <c r="W48" i="17"/>
  <c r="R48" i="17"/>
  <c r="P48" i="17"/>
  <c r="P223" i="17"/>
  <c r="R223" i="17"/>
  <c r="R298" i="17"/>
  <c r="P298" i="17"/>
  <c r="R314" i="17"/>
  <c r="P314" i="17"/>
  <c r="P85" i="17"/>
  <c r="R85" i="17"/>
  <c r="P204" i="17"/>
  <c r="R204" i="17"/>
  <c r="P185" i="17"/>
  <c r="R185" i="17"/>
  <c r="R58" i="17"/>
  <c r="P58" i="17"/>
  <c r="P200" i="17"/>
  <c r="R200" i="17"/>
  <c r="P248" i="17"/>
  <c r="R248" i="17"/>
  <c r="R358" i="17"/>
  <c r="P358" i="17"/>
  <c r="P216" i="17"/>
  <c r="R216" i="17"/>
  <c r="R350" i="17"/>
  <c r="P350" i="17"/>
  <c r="P173" i="17"/>
  <c r="R173" i="17"/>
  <c r="R336" i="17"/>
  <c r="P336" i="17"/>
  <c r="P107" i="17"/>
  <c r="R107" i="17"/>
  <c r="P164" i="17"/>
  <c r="R164" i="17"/>
  <c r="P149" i="17"/>
  <c r="R149" i="17"/>
  <c r="R62" i="17"/>
  <c r="P62" i="17"/>
  <c r="R231" i="17"/>
  <c r="P231" i="17"/>
  <c r="P202" i="17"/>
  <c r="R202" i="17"/>
  <c r="R330" i="17"/>
  <c r="P330" i="17"/>
  <c r="R175" i="17"/>
  <c r="P175" i="17"/>
  <c r="P77" i="17"/>
  <c r="R77" i="17"/>
  <c r="R307" i="17"/>
  <c r="P307" i="17"/>
  <c r="R90" i="17"/>
  <c r="P90" i="17"/>
  <c r="W209" i="17"/>
  <c r="P209" i="17"/>
  <c r="R209" i="17"/>
  <c r="P226" i="17"/>
  <c r="O226" i="17" s="1"/>
  <c r="R226" i="17"/>
  <c r="P113" i="17"/>
  <c r="R113" i="17"/>
  <c r="W302" i="17"/>
  <c r="R302" i="17"/>
  <c r="P302" i="17"/>
  <c r="R138" i="17"/>
  <c r="P138" i="17"/>
  <c r="R269" i="17"/>
  <c r="P269" i="17"/>
  <c r="R44" i="17"/>
  <c r="P44" i="17"/>
  <c r="R225" i="17"/>
  <c r="P225" i="17"/>
  <c r="R360" i="17"/>
  <c r="P360" i="17"/>
  <c r="R268" i="17"/>
  <c r="P268" i="17"/>
  <c r="O268" i="17" s="1"/>
  <c r="W105" i="17"/>
  <c r="R105" i="17"/>
  <c r="P105" i="17"/>
  <c r="P253" i="17"/>
  <c r="R253" i="17"/>
  <c r="R324" i="17"/>
  <c r="P324" i="17"/>
  <c r="R263" i="17"/>
  <c r="P263" i="17"/>
  <c r="P181" i="17"/>
  <c r="R181" i="17"/>
  <c r="R290" i="17"/>
  <c r="P290" i="17"/>
  <c r="R349" i="17"/>
  <c r="P349" i="17"/>
  <c r="R127" i="17"/>
  <c r="P127" i="17"/>
  <c r="P184" i="17"/>
  <c r="R184" i="17"/>
  <c r="R361" i="17"/>
  <c r="P361" i="17"/>
  <c r="R288" i="17"/>
  <c r="P288" i="17"/>
  <c r="R342" i="17"/>
  <c r="P342" i="17"/>
  <c r="P292" i="17"/>
  <c r="R292" i="17"/>
  <c r="R309" i="17"/>
  <c r="P309" i="17"/>
  <c r="R335" i="17"/>
  <c r="P335" i="17"/>
  <c r="P92" i="17"/>
  <c r="R92" i="17"/>
  <c r="R284" i="17"/>
  <c r="P284" i="17"/>
  <c r="R78" i="17"/>
  <c r="P78" i="17"/>
  <c r="R59" i="17"/>
  <c r="P59" i="17"/>
  <c r="O59" i="17" s="1"/>
  <c r="W206" i="17"/>
  <c r="P206" i="17"/>
  <c r="R206" i="17"/>
  <c r="W300" i="17"/>
  <c r="R300" i="17"/>
  <c r="P300" i="17"/>
  <c r="W142" i="17"/>
  <c r="P142" i="17"/>
  <c r="R142" i="17"/>
  <c r="P190" i="17"/>
  <c r="R190" i="17"/>
  <c r="W80" i="17"/>
  <c r="R80" i="17"/>
  <c r="P80" i="17"/>
  <c r="R50" i="17"/>
  <c r="P50" i="17"/>
  <c r="R51" i="17"/>
  <c r="P51" i="17"/>
  <c r="O51" i="17" s="1"/>
  <c r="R368" i="17"/>
  <c r="P368" i="17"/>
  <c r="R201" i="17"/>
  <c r="P201" i="17"/>
  <c r="W152" i="17"/>
  <c r="P152" i="17"/>
  <c r="R152" i="17"/>
  <c r="R274" i="17"/>
  <c r="P274" i="17"/>
  <c r="R267" i="17"/>
  <c r="P267" i="17"/>
  <c r="W140" i="17"/>
  <c r="P140" i="17"/>
  <c r="R140" i="17"/>
  <c r="R287" i="17"/>
  <c r="P287" i="17"/>
  <c r="O287" i="17" s="1"/>
  <c r="R352" i="17"/>
  <c r="P352" i="17"/>
  <c r="W313" i="17"/>
  <c r="R313" i="17"/>
  <c r="P313" i="17"/>
  <c r="P224" i="17"/>
  <c r="R224" i="17"/>
  <c r="P197" i="17"/>
  <c r="R197" i="17"/>
  <c r="R345" i="17"/>
  <c r="P345" i="17"/>
  <c r="P180" i="17"/>
  <c r="R180" i="17"/>
  <c r="R291" i="17"/>
  <c r="P291" i="17"/>
  <c r="P130" i="17"/>
  <c r="R130" i="17"/>
  <c r="P364" i="17"/>
  <c r="R364" i="17"/>
  <c r="P168" i="17"/>
  <c r="R168" i="17"/>
  <c r="R91" i="17"/>
  <c r="P91" i="17"/>
  <c r="R327" i="17"/>
  <c r="P327" i="17"/>
  <c r="R135" i="17"/>
  <c r="P135" i="17"/>
  <c r="R275" i="17"/>
  <c r="P275" i="17"/>
  <c r="R177" i="17"/>
  <c r="P177" i="17"/>
  <c r="P76" i="17"/>
  <c r="R76" i="17"/>
  <c r="R334" i="17"/>
  <c r="P334" i="17"/>
  <c r="P328" i="17"/>
  <c r="R328" i="17"/>
  <c r="P55" i="17"/>
  <c r="R55" i="17"/>
  <c r="W101" i="17"/>
  <c r="P101" i="17"/>
  <c r="R101" i="17"/>
  <c r="R68" i="17"/>
  <c r="P68" i="17"/>
  <c r="P242" i="17"/>
  <c r="O242" i="17" s="1"/>
  <c r="R242" i="17"/>
  <c r="R74" i="17"/>
  <c r="P74" i="17"/>
  <c r="P97" i="17"/>
  <c r="R97" i="17"/>
  <c r="P146" i="17"/>
  <c r="R146" i="17"/>
  <c r="P108" i="17"/>
  <c r="O108" i="17" s="1"/>
  <c r="R108" i="17"/>
  <c r="R45" i="17"/>
  <c r="P45" i="17"/>
  <c r="W230" i="17"/>
  <c r="P230" i="17"/>
  <c r="R230" i="17"/>
  <c r="P52" i="17"/>
  <c r="R52" i="17"/>
  <c r="P221" i="17"/>
  <c r="R221" i="17"/>
  <c r="P121" i="17"/>
  <c r="R121" i="17"/>
  <c r="P233" i="17"/>
  <c r="R233" i="17"/>
  <c r="R210" i="17"/>
  <c r="P210" i="17"/>
  <c r="R198" i="17"/>
  <c r="P198" i="17"/>
  <c r="R308" i="17"/>
  <c r="P308" i="17"/>
  <c r="P353" i="17"/>
  <c r="R353" i="17"/>
  <c r="R162" i="17"/>
  <c r="P162" i="17"/>
  <c r="P118" i="17"/>
  <c r="R118" i="17"/>
  <c r="R363" i="17"/>
  <c r="P363" i="17"/>
  <c r="W187" i="17"/>
  <c r="P187" i="17"/>
  <c r="R187" i="17"/>
  <c r="P293" i="17"/>
  <c r="O293" i="17" s="1"/>
  <c r="R293" i="17"/>
  <c r="W70" i="17"/>
  <c r="R70" i="17"/>
  <c r="P70" i="17"/>
  <c r="R356" i="17"/>
  <c r="P356" i="17"/>
  <c r="O356" i="17" s="1"/>
  <c r="P64" i="17"/>
  <c r="R64" i="17"/>
  <c r="R46" i="17"/>
  <c r="P46" i="17"/>
  <c r="W282" i="17"/>
  <c r="R282" i="17"/>
  <c r="P282" i="17"/>
  <c r="W250" i="17"/>
  <c r="P250" i="17"/>
  <c r="R250" i="17"/>
  <c r="W203" i="17"/>
  <c r="P203" i="17"/>
  <c r="R203" i="17"/>
  <c r="R243" i="17"/>
  <c r="P243" i="17"/>
  <c r="P191" i="17"/>
  <c r="R191" i="17"/>
  <c r="P41" i="17"/>
  <c r="R41" i="17"/>
  <c r="R63" i="17"/>
  <c r="P63" i="17"/>
  <c r="R258" i="17"/>
  <c r="P258" i="17"/>
  <c r="R249" i="17"/>
  <c r="P249" i="17"/>
  <c r="R159" i="17"/>
  <c r="P159" i="17"/>
  <c r="P86" i="17"/>
  <c r="R86" i="17"/>
  <c r="R306" i="17"/>
  <c r="P306" i="17"/>
  <c r="R65" i="17"/>
  <c r="P65" i="17"/>
  <c r="P215" i="17"/>
  <c r="R215" i="17"/>
  <c r="R199" i="17"/>
  <c r="P199" i="17"/>
  <c r="P128" i="17"/>
  <c r="R128" i="17"/>
  <c r="P295" i="17"/>
  <c r="R295" i="17"/>
  <c r="P136" i="17"/>
  <c r="R136" i="17"/>
  <c r="P131" i="17"/>
  <c r="R131" i="17"/>
  <c r="R237" i="17"/>
  <c r="P237" i="17"/>
  <c r="P119" i="17"/>
  <c r="R119" i="17"/>
  <c r="R57" i="17"/>
  <c r="P57" i="17"/>
  <c r="R289" i="17"/>
  <c r="P289" i="17"/>
  <c r="P95" i="17"/>
  <c r="R95" i="17"/>
  <c r="W331" i="17"/>
  <c r="P331" i="17"/>
  <c r="R331" i="17"/>
  <c r="P188" i="17"/>
  <c r="R188" i="17"/>
  <c r="W247" i="17"/>
  <c r="P247" i="17"/>
  <c r="R247" i="17"/>
  <c r="R254" i="17"/>
  <c r="P254" i="17"/>
  <c r="R310" i="17"/>
  <c r="P310" i="17"/>
  <c r="W183" i="17"/>
  <c r="R183" i="17"/>
  <c r="P183" i="17"/>
  <c r="W98" i="17"/>
  <c r="P98" i="17"/>
  <c r="R98" i="17"/>
  <c r="R266" i="17"/>
  <c r="P266" i="17"/>
  <c r="W158" i="17"/>
  <c r="P158" i="17"/>
  <c r="R158" i="17"/>
  <c r="W171" i="17"/>
  <c r="R171" i="17"/>
  <c r="P171" i="17"/>
  <c r="R338" i="17"/>
  <c r="P338" i="17"/>
  <c r="R270" i="17"/>
  <c r="P270" i="17"/>
  <c r="R316" i="17"/>
  <c r="P316" i="17"/>
  <c r="R296" i="17"/>
  <c r="P296" i="17"/>
  <c r="R285" i="17"/>
  <c r="P285" i="17"/>
  <c r="P160" i="17"/>
  <c r="R160" i="17"/>
  <c r="R362" i="17"/>
  <c r="P362" i="17"/>
  <c r="P228" i="17"/>
  <c r="R228" i="17"/>
  <c r="W261" i="17"/>
  <c r="R261" i="17"/>
  <c r="P261" i="17"/>
  <c r="P214" i="17"/>
  <c r="R214" i="17"/>
  <c r="W348" i="17"/>
  <c r="R348" i="17"/>
  <c r="P348" i="17"/>
  <c r="R333" i="17"/>
  <c r="P333" i="17"/>
  <c r="W200" i="17"/>
  <c r="W205" i="17"/>
  <c r="V4" i="9"/>
  <c r="D35" i="11" s="1"/>
  <c r="E35" i="11" s="1"/>
  <c r="S4" i="10"/>
  <c r="D36" i="11" s="1"/>
  <c r="E36" i="11" s="1"/>
  <c r="W251" i="17"/>
  <c r="W229" i="17"/>
  <c r="W235" i="17"/>
  <c r="X26" i="18"/>
  <c r="V26" i="18"/>
  <c r="Y26" i="18" s="1"/>
  <c r="V36" i="18"/>
  <c r="Y36" i="18" s="1"/>
  <c r="V27" i="18"/>
  <c r="Y27" i="18" s="1"/>
  <c r="V30" i="18"/>
  <c r="Y30" i="18" s="1"/>
  <c r="V32" i="18"/>
  <c r="Y32" i="18" s="1"/>
  <c r="V35" i="18"/>
  <c r="Y35" i="18" s="1"/>
  <c r="V29" i="18"/>
  <c r="Y29" i="18" s="1"/>
  <c r="V28" i="18"/>
  <c r="Y28" i="18" s="1"/>
  <c r="V33" i="18"/>
  <c r="Y33" i="18" s="1"/>
  <c r="V37" i="18"/>
  <c r="Y37" i="18" s="1"/>
  <c r="V31" i="18"/>
  <c r="Y31" i="18" s="1"/>
  <c r="V34" i="18"/>
  <c r="Y34" i="18" s="1"/>
  <c r="X11" i="18"/>
  <c r="V11" i="18"/>
  <c r="Y11" i="18" s="1"/>
  <c r="V12" i="18"/>
  <c r="Y12" i="18" s="1"/>
  <c r="V13" i="18"/>
  <c r="Y13" i="18" s="1"/>
  <c r="X14" i="18"/>
  <c r="V20" i="18"/>
  <c r="Y20" i="18" s="1"/>
  <c r="V22" i="18"/>
  <c r="Y22" i="18" s="1"/>
  <c r="V15" i="18"/>
  <c r="Y15" i="18" s="1"/>
  <c r="V19" i="18"/>
  <c r="Y19" i="18" s="1"/>
  <c r="V25" i="18"/>
  <c r="Y25" i="18" s="1"/>
  <c r="V16" i="18"/>
  <c r="Y16" i="18" s="1"/>
  <c r="V14" i="18"/>
  <c r="Y14" i="18" s="1"/>
  <c r="V23" i="18"/>
  <c r="Y23" i="18" s="1"/>
  <c r="V24" i="18"/>
  <c r="Y24" i="18" s="1"/>
  <c r="V21" i="18"/>
  <c r="Y21" i="18" s="1"/>
  <c r="V18" i="18"/>
  <c r="Y18" i="18" s="1"/>
  <c r="V17" i="18"/>
  <c r="Y17" i="18" s="1"/>
  <c r="AA25" i="18"/>
  <c r="AA18" i="18"/>
  <c r="AA23" i="18"/>
  <c r="AA22" i="18"/>
  <c r="AA17" i="18"/>
  <c r="AA20" i="18"/>
  <c r="AA24" i="18"/>
  <c r="AA14" i="18"/>
  <c r="AA21" i="18"/>
  <c r="AA19" i="18"/>
  <c r="AA16" i="18"/>
  <c r="AA15" i="18"/>
  <c r="AA11" i="18"/>
  <c r="AA12" i="18"/>
  <c r="AA13" i="18"/>
  <c r="AA39" i="18"/>
  <c r="AA49" i="18"/>
  <c r="AA40" i="18"/>
  <c r="AA47" i="18"/>
  <c r="AA48" i="18"/>
  <c r="AA41" i="18"/>
  <c r="AA42" i="18"/>
  <c r="AA45" i="18"/>
  <c r="AA46" i="18"/>
  <c r="AA44" i="18"/>
  <c r="AA43" i="18"/>
  <c r="AA38" i="18"/>
  <c r="X38" i="18"/>
  <c r="V40" i="18"/>
  <c r="Y40" i="18" s="1"/>
  <c r="V39" i="18"/>
  <c r="Y39" i="18" s="1"/>
  <c r="V44" i="18"/>
  <c r="Y44" i="18" s="1"/>
  <c r="V49" i="18"/>
  <c r="Y49" i="18" s="1"/>
  <c r="V43" i="18"/>
  <c r="Y43" i="18" s="1"/>
  <c r="V48" i="18"/>
  <c r="Y48" i="18" s="1"/>
  <c r="V47" i="18"/>
  <c r="Y47" i="18" s="1"/>
  <c r="V42" i="18"/>
  <c r="Y42" i="18" s="1"/>
  <c r="V46" i="18"/>
  <c r="Y46" i="18" s="1"/>
  <c r="V41" i="18"/>
  <c r="Y41" i="18" s="1"/>
  <c r="V38" i="18"/>
  <c r="Y38" i="18" s="1"/>
  <c r="V45" i="18"/>
  <c r="Y45" i="18" s="1"/>
  <c r="AA27" i="18"/>
  <c r="AA30" i="18"/>
  <c r="AA28" i="18"/>
  <c r="AA32" i="18"/>
  <c r="AA36" i="18"/>
  <c r="AA35" i="18"/>
  <c r="AA34" i="18"/>
  <c r="AA37" i="18"/>
  <c r="AA26" i="18"/>
  <c r="AA29" i="18"/>
  <c r="AA31" i="18"/>
  <c r="AA33" i="18"/>
  <c r="W258" i="17"/>
  <c r="W337" i="17"/>
  <c r="W210" i="17"/>
  <c r="W267" i="17"/>
  <c r="W324" i="17"/>
  <c r="W291" i="17"/>
  <c r="W56" i="17"/>
  <c r="W298" i="17"/>
  <c r="W265" i="17"/>
  <c r="W84" i="17"/>
  <c r="W270" i="17"/>
  <c r="W63" i="17"/>
  <c r="W67" i="17"/>
  <c r="W274" i="17"/>
  <c r="W253" i="17"/>
  <c r="W180" i="17"/>
  <c r="W305" i="17"/>
  <c r="W223" i="17"/>
  <c r="W280" i="17"/>
  <c r="W340" i="17"/>
  <c r="W233" i="17"/>
  <c r="W211" i="17"/>
  <c r="W207" i="17"/>
  <c r="W318" i="17"/>
  <c r="W246" i="17"/>
  <c r="W255" i="17"/>
  <c r="W222" i="17"/>
  <c r="W243" i="17"/>
  <c r="W341" i="17"/>
  <c r="W355" i="17"/>
  <c r="W170" i="17"/>
  <c r="W299" i="17"/>
  <c r="W269" i="17"/>
  <c r="W95" i="17"/>
  <c r="W68" i="17"/>
  <c r="W238" i="17"/>
  <c r="W315" i="17"/>
  <c r="W197" i="17"/>
  <c r="W146" i="17"/>
  <c r="W352" i="17"/>
  <c r="W224" i="17"/>
  <c r="W219" i="17"/>
  <c r="W174" i="17"/>
  <c r="W254" i="17"/>
  <c r="W59" i="17"/>
  <c r="W279" i="17"/>
  <c r="W293" i="17"/>
  <c r="W268" i="17"/>
  <c r="W190" i="17"/>
  <c r="W343" i="17"/>
  <c r="W322" i="17"/>
  <c r="W94" i="17"/>
  <c r="W344" i="17"/>
  <c r="W345" i="17"/>
  <c r="W214" i="17"/>
  <c r="W338" i="17"/>
  <c r="W201" i="17"/>
  <c r="W333" i="17"/>
  <c r="W51" i="17"/>
  <c r="W226" i="17"/>
  <c r="W122" i="17"/>
  <c r="W356" i="17"/>
  <c r="W104" i="17"/>
  <c r="W189" i="17"/>
  <c r="W150" i="17"/>
  <c r="W188" i="17"/>
  <c r="W225" i="17"/>
  <c r="W212" i="17"/>
  <c r="W41" i="17"/>
  <c r="D10" i="11"/>
  <c r="F4" i="10"/>
  <c r="F11" i="9"/>
  <c r="H11" i="9" s="1"/>
  <c r="F18" i="9"/>
  <c r="H18" i="9" s="1"/>
  <c r="W276" i="17"/>
  <c r="W266" i="17"/>
  <c r="W165" i="17"/>
  <c r="W278" i="17"/>
  <c r="W108" i="17"/>
  <c r="W178" i="17"/>
  <c r="W121" i="17"/>
  <c r="W138" i="17"/>
  <c r="W287" i="17"/>
  <c r="W325" i="17"/>
  <c r="W97" i="17"/>
  <c r="W113" i="17"/>
  <c r="W64" i="17"/>
  <c r="W317" i="17"/>
  <c r="W236" i="17"/>
  <c r="W360" i="17"/>
  <c r="W191" i="17"/>
  <c r="W141" i="17"/>
  <c r="W241" i="17"/>
  <c r="W357" i="17"/>
  <c r="W74" i="17"/>
  <c r="W221" i="17"/>
  <c r="W89" i="17"/>
  <c r="W88" i="17"/>
  <c r="W242" i="17"/>
  <c r="W129" i="17"/>
  <c r="W368" i="17"/>
  <c r="W310" i="17"/>
  <c r="W155" i="17"/>
  <c r="W52" i="17"/>
  <c r="W45" i="17"/>
  <c r="W43" i="17"/>
  <c r="W46" i="17"/>
  <c r="W50" i="17"/>
  <c r="W47" i="17"/>
  <c r="W42" i="17"/>
  <c r="W44" i="17"/>
  <c r="W354" i="17"/>
  <c r="W264" i="17"/>
  <c r="W339" i="17"/>
  <c r="W218" i="17"/>
  <c r="W69" i="17"/>
  <c r="W117" i="17"/>
  <c r="W367" i="17"/>
  <c r="W227" i="17"/>
  <c r="W133" i="17"/>
  <c r="W54" i="17"/>
  <c r="W147" i="17"/>
  <c r="W186" i="17"/>
  <c r="W106" i="17"/>
  <c r="W239" i="17"/>
  <c r="W366" i="17"/>
  <c r="W135" i="17"/>
  <c r="W161" i="17"/>
  <c r="W275" i="17"/>
  <c r="W177" i="17"/>
  <c r="W81" i="17"/>
  <c r="W76" i="17"/>
  <c r="W334" i="17"/>
  <c r="W245" i="17"/>
  <c r="W286" i="17"/>
  <c r="W100" i="17"/>
  <c r="W248" i="17"/>
  <c r="W173" i="17"/>
  <c r="W358" i="17"/>
  <c r="W336" i="17"/>
  <c r="F4" i="9"/>
  <c r="R4" i="9" s="1"/>
  <c r="W169" i="17"/>
  <c r="W114" i="17"/>
  <c r="W139" i="17"/>
  <c r="W220" i="17"/>
  <c r="W176" i="17"/>
  <c r="W319" i="17"/>
  <c r="W132" i="17"/>
  <c r="W194" i="17"/>
  <c r="W163" i="17"/>
  <c r="W359" i="17"/>
  <c r="W73" i="17"/>
  <c r="W297" i="17"/>
  <c r="W179" i="17"/>
  <c r="W181" i="17"/>
  <c r="W159" i="17"/>
  <c r="W244" i="17"/>
  <c r="W290" i="17"/>
  <c r="W86" i="17"/>
  <c r="W306" i="17"/>
  <c r="W316" i="17"/>
  <c r="W311" i="17"/>
  <c r="W252" i="17"/>
  <c r="W62" i="17"/>
  <c r="W202" i="17"/>
  <c r="W198" i="17"/>
  <c r="W145" i="17"/>
  <c r="W162" i="17"/>
  <c r="W172" i="17"/>
  <c r="W118" i="17"/>
  <c r="W363" i="17"/>
  <c r="W314" i="17"/>
  <c r="W312" i="17"/>
  <c r="W130" i="17"/>
  <c r="W323" i="17"/>
  <c r="W320" i="17"/>
  <c r="W185" i="17"/>
  <c r="W99" i="17"/>
  <c r="W58" i="17"/>
  <c r="W215" i="17"/>
  <c r="W361" i="17"/>
  <c r="W342" i="17"/>
  <c r="W295" i="17"/>
  <c r="W143" i="17"/>
  <c r="W131" i="17"/>
  <c r="W283" i="17"/>
  <c r="W237" i="17"/>
  <c r="W119" i="17"/>
  <c r="W60" i="17"/>
  <c r="W92" i="17"/>
  <c r="W57" i="17"/>
  <c r="W289" i="17"/>
  <c r="W182" i="17"/>
  <c r="W91" i="17"/>
  <c r="W256" i="17"/>
  <c r="W327" i="17"/>
  <c r="W260" i="17"/>
  <c r="W271" i="17"/>
  <c r="W262" i="17"/>
  <c r="U51" i="18"/>
  <c r="W111" i="17"/>
  <c r="W72" i="17"/>
  <c r="W303" i="17"/>
  <c r="W167" i="17"/>
  <c r="W125" i="17"/>
  <c r="W347" i="17"/>
  <c r="W75" i="17"/>
  <c r="W328" i="17"/>
  <c r="W196" i="17"/>
  <c r="W55" i="17"/>
  <c r="W115" i="17"/>
  <c r="W259" i="17"/>
  <c r="AA51" i="18"/>
  <c r="AA53" i="18"/>
  <c r="AA56" i="18"/>
  <c r="AA60" i="18"/>
  <c r="AA59" i="18"/>
  <c r="AA52" i="18"/>
  <c r="AA54" i="18"/>
  <c r="AA58" i="18"/>
  <c r="AA61" i="18"/>
  <c r="AA55" i="18"/>
  <c r="AA57" i="18"/>
  <c r="W304" i="17"/>
  <c r="W107" i="17"/>
  <c r="W137" i="17"/>
  <c r="W164" i="17"/>
  <c r="W216" i="17"/>
  <c r="W116" i="17"/>
  <c r="W294" i="17"/>
  <c r="W321" i="17"/>
  <c r="W156" i="17"/>
  <c r="W148" i="17"/>
  <c r="W332" i="17"/>
  <c r="W351" i="17"/>
  <c r="W153" i="17"/>
  <c r="W109" i="17"/>
  <c r="W144" i="17"/>
  <c r="W93" i="17"/>
  <c r="W217" i="17"/>
  <c r="W249" i="17"/>
  <c r="W263" i="17"/>
  <c r="W127" i="17"/>
  <c r="W65" i="17"/>
  <c r="W149" i="17"/>
  <c r="W273" i="17"/>
  <c r="W281" i="17"/>
  <c r="W208" i="17"/>
  <c r="W231" i="17"/>
  <c r="W346" i="17"/>
  <c r="W350" i="17"/>
  <c r="W308" i="17"/>
  <c r="W353" i="17"/>
  <c r="W151" i="17"/>
  <c r="W330" i="17"/>
  <c r="W329" i="17"/>
  <c r="W175" i="17"/>
  <c r="W77" i="17"/>
  <c r="W110" i="17"/>
  <c r="W307" i="17"/>
  <c r="W90" i="17"/>
  <c r="W193" i="17"/>
  <c r="W126" i="17"/>
  <c r="W234" i="17"/>
  <c r="W83" i="17"/>
  <c r="W349" i="17"/>
  <c r="W240" i="17"/>
  <c r="W85" i="17"/>
  <c r="W204" i="17"/>
  <c r="W364" i="17"/>
  <c r="W168" i="17"/>
  <c r="W277" i="17"/>
  <c r="W184" i="17"/>
  <c r="W296" i="17"/>
  <c r="W199" i="17"/>
  <c r="W192" i="17"/>
  <c r="W288" i="17"/>
  <c r="W128" i="17"/>
  <c r="W285" i="17"/>
  <c r="W136" i="17"/>
  <c r="W160" i="17"/>
  <c r="W292" i="17"/>
  <c r="W309" i="17"/>
  <c r="W362" i="17"/>
  <c r="W335" i="17"/>
  <c r="W79" i="17"/>
  <c r="W284" i="17"/>
  <c r="W228" i="17"/>
  <c r="W78" i="17"/>
  <c r="O141" i="17" l="1"/>
  <c r="O266" i="17"/>
  <c r="O352" i="17"/>
  <c r="O113" i="17"/>
  <c r="O343" i="17"/>
  <c r="O279" i="17"/>
  <c r="O155" i="17"/>
  <c r="O121" i="17"/>
  <c r="O174" i="17"/>
  <c r="O258" i="17"/>
  <c r="O310" i="17"/>
  <c r="O64" i="17"/>
  <c r="O52" i="17"/>
  <c r="O368" i="17"/>
  <c r="O338" i="17"/>
  <c r="O221" i="17"/>
  <c r="O200" i="17"/>
  <c r="O251" i="17"/>
  <c r="O235" i="17"/>
  <c r="O229" i="17"/>
  <c r="O291" i="17"/>
  <c r="O324" i="17"/>
  <c r="O337" i="17"/>
  <c r="O180" i="17"/>
  <c r="O56" i="17"/>
  <c r="O267" i="17"/>
  <c r="O210" i="17"/>
  <c r="O225" i="17"/>
  <c r="O270" i="17"/>
  <c r="O299" i="17"/>
  <c r="O257" i="17"/>
  <c r="O305" i="17"/>
  <c r="O298" i="17"/>
  <c r="O84" i="17"/>
  <c r="O223" i="17"/>
  <c r="O265" i="17"/>
  <c r="O67" i="17"/>
  <c r="O274" i="17"/>
  <c r="O280" i="17"/>
  <c r="O233" i="17"/>
  <c r="O253" i="17"/>
  <c r="O63" i="17"/>
  <c r="O269" i="17"/>
  <c r="O243" i="17"/>
  <c r="O318" i="17"/>
  <c r="O255" i="17"/>
  <c r="O197" i="17"/>
  <c r="O224" i="17"/>
  <c r="O341" i="17"/>
  <c r="O219" i="17"/>
  <c r="O112" i="17"/>
  <c r="O211" i="17"/>
  <c r="O355" i="17"/>
  <c r="O68" i="17"/>
  <c r="O207" i="17"/>
  <c r="O150" i="17"/>
  <c r="O170" i="17"/>
  <c r="O209" i="17"/>
  <c r="O345" i="17"/>
  <c r="O94" i="17"/>
  <c r="O71" i="17"/>
  <c r="O82" i="17"/>
  <c r="O66" i="17"/>
  <c r="O123" i="17"/>
  <c r="O95" i="17"/>
  <c r="O313" i="17"/>
  <c r="O183" i="17"/>
  <c r="O254" i="17"/>
  <c r="O322" i="17"/>
  <c r="O301" i="17"/>
  <c r="O98" i="17"/>
  <c r="O103" i="17"/>
  <c r="O246" i="17"/>
  <c r="O158" i="17"/>
  <c r="O190" i="17"/>
  <c r="O61" i="17"/>
  <c r="O146" i="17"/>
  <c r="O230" i="17"/>
  <c r="O261" i="17"/>
  <c r="O152" i="17"/>
  <c r="O278" i="17"/>
  <c r="O140" i="17"/>
  <c r="O213" i="17"/>
  <c r="O166" i="17"/>
  <c r="O333" i="17"/>
  <c r="O201" i="17"/>
  <c r="O212" i="17"/>
  <c r="O187" i="17"/>
  <c r="D19" i="11"/>
  <c r="E19" i="11" s="1"/>
  <c r="O189" i="17"/>
  <c r="O302" i="17"/>
  <c r="O232" i="17"/>
  <c r="O250" i="17"/>
  <c r="O188" i="17"/>
  <c r="O154" i="17"/>
  <c r="N4" i="10"/>
  <c r="D27" i="11" s="1"/>
  <c r="E27" i="11" s="1"/>
  <c r="O348" i="17"/>
  <c r="O134" i="17"/>
  <c r="N18" i="9"/>
  <c r="N11" i="9"/>
  <c r="O120" i="17"/>
  <c r="D25" i="11"/>
  <c r="E25" i="11" s="1"/>
  <c r="O74" i="17"/>
  <c r="D28" i="11"/>
  <c r="E28" i="11" s="1"/>
  <c r="L18" i="9"/>
  <c r="L4" i="9"/>
  <c r="D20" i="11" s="1"/>
  <c r="E20" i="11" s="1"/>
  <c r="L4" i="10"/>
  <c r="D21" i="11" s="1"/>
  <c r="E21" i="11" s="1"/>
  <c r="L11" i="9"/>
  <c r="O48" i="17"/>
  <c r="N4" i="9"/>
  <c r="D26" i="11" s="1"/>
  <c r="E26" i="11" s="1"/>
  <c r="O191" i="17"/>
  <c r="O41" i="17"/>
  <c r="J18" i="9"/>
  <c r="D22" i="11"/>
  <c r="E22" i="11" s="1"/>
  <c r="J11" i="9"/>
  <c r="J4" i="10"/>
  <c r="D24" i="11" s="1"/>
  <c r="E24" i="11" s="1"/>
  <c r="J4" i="9"/>
  <c r="D23" i="11" s="1"/>
  <c r="E23" i="11" s="1"/>
  <c r="O282" i="17"/>
  <c r="H4" i="10"/>
  <c r="D30" i="11" s="1"/>
  <c r="D12" i="11"/>
  <c r="E39" i="11" s="1"/>
  <c r="E10" i="11"/>
  <c r="E37" i="11"/>
  <c r="O101" i="17"/>
  <c r="O360" i="17"/>
  <c r="O97" i="17"/>
  <c r="O171" i="17"/>
  <c r="O165" i="17"/>
  <c r="O222" i="17"/>
  <c r="O124" i="17"/>
  <c r="O102" i="17"/>
  <c r="O365" i="17"/>
  <c r="O203" i="17"/>
  <c r="O178" i="17"/>
  <c r="O177" i="17"/>
  <c r="O227" i="17"/>
  <c r="O329" i="17"/>
  <c r="O54" i="17"/>
  <c r="O312" i="17"/>
  <c r="O91" i="17"/>
  <c r="O138" i="17"/>
  <c r="O105" i="17"/>
  <c r="O369" i="17"/>
  <c r="O157" i="17"/>
  <c r="O70" i="17"/>
  <c r="O300" i="17"/>
  <c r="O45" i="17"/>
  <c r="O272" i="17"/>
  <c r="O87" i="17"/>
  <c r="O80" i="17"/>
  <c r="O264" i="17"/>
  <c r="O53" i="17"/>
  <c r="O133" i="17"/>
  <c r="O285" i="17"/>
  <c r="O281" i="17"/>
  <c r="O249" i="17"/>
  <c r="O96" i="17"/>
  <c r="O193" i="17"/>
  <c r="O162" i="17"/>
  <c r="O284" i="17"/>
  <c r="O195" i="17"/>
  <c r="O181" i="17"/>
  <c r="O47" i="17"/>
  <c r="O335" i="17"/>
  <c r="O262" i="17"/>
  <c r="O276" i="17"/>
  <c r="O326" i="17"/>
  <c r="O206" i="17"/>
  <c r="O142" i="17"/>
  <c r="O149" i="17"/>
  <c r="O237" i="17"/>
  <c r="O363" i="17"/>
  <c r="O76" i="17"/>
  <c r="O49" i="17"/>
  <c r="O78" i="17"/>
  <c r="O245" i="17"/>
  <c r="O46" i="17"/>
  <c r="O260" i="17"/>
  <c r="O117" i="17"/>
  <c r="O220" i="17"/>
  <c r="O334" i="17"/>
  <c r="O339" i="17"/>
  <c r="O77" i="17"/>
  <c r="O308" i="17"/>
  <c r="O57" i="17"/>
  <c r="O136" i="17"/>
  <c r="O111" i="17"/>
  <c r="O215" i="17"/>
  <c r="O99" i="17"/>
  <c r="O244" i="17"/>
  <c r="O100" i="17"/>
  <c r="O214" i="17"/>
  <c r="O331" i="17"/>
  <c r="O248" i="17"/>
  <c r="O147" i="17"/>
  <c r="O277" i="17"/>
  <c r="O81" i="17"/>
  <c r="O332" i="17"/>
  <c r="O199" i="17"/>
  <c r="O184" i="17"/>
  <c r="O107" i="17"/>
  <c r="O44" i="17"/>
  <c r="O50" i="17"/>
  <c r="O58" i="17"/>
  <c r="O159" i="17"/>
  <c r="O179" i="17"/>
  <c r="O114" i="17"/>
  <c r="O275" i="17"/>
  <c r="O185" i="17"/>
  <c r="O218" i="17"/>
  <c r="O42" i="17"/>
  <c r="O247" i="17"/>
  <c r="O175" i="17"/>
  <c r="O153" i="17"/>
  <c r="O216" i="17"/>
  <c r="O137" i="17"/>
  <c r="O256" i="17"/>
  <c r="O182" i="17"/>
  <c r="O327" i="17"/>
  <c r="O342" i="17"/>
  <c r="O311" i="17"/>
  <c r="O118" i="17"/>
  <c r="O125" i="17"/>
  <c r="O303" i="17"/>
  <c r="O43" i="17"/>
  <c r="O69" i="17"/>
  <c r="O90" i="17"/>
  <c r="O346" i="17"/>
  <c r="O263" i="17"/>
  <c r="O93" i="17"/>
  <c r="O109" i="17"/>
  <c r="O351" i="17"/>
  <c r="O294" i="17"/>
  <c r="O217" i="17"/>
  <c r="O119" i="17"/>
  <c r="O143" i="17"/>
  <c r="O361" i="17"/>
  <c r="O161" i="17"/>
  <c r="O83" i="17"/>
  <c r="O79" i="17"/>
  <c r="O296" i="17"/>
  <c r="O273" i="17"/>
  <c r="O148" i="17"/>
  <c r="O167" i="17"/>
  <c r="O72" i="17"/>
  <c r="X51" i="18"/>
  <c r="G4" i="9" s="1"/>
  <c r="C29" i="11" s="1"/>
  <c r="E4" i="9"/>
  <c r="C11" i="11" s="1"/>
  <c r="O62" i="17"/>
  <c r="O366" i="17"/>
  <c r="O129" i="17"/>
  <c r="O231" i="17"/>
  <c r="O194" i="17"/>
  <c r="O196" i="17"/>
  <c r="O259" i="17"/>
  <c r="O172" i="17"/>
  <c r="O132" i="17"/>
  <c r="O328" i="17"/>
  <c r="O320" i="17"/>
  <c r="O139" i="17"/>
  <c r="O169" i="17"/>
  <c r="O135" i="17"/>
  <c r="O65" i="17"/>
  <c r="O128" i="17"/>
  <c r="O168" i="17"/>
  <c r="O204" i="17"/>
  <c r="O208" i="17"/>
  <c r="O164" i="17"/>
  <c r="O55" i="17"/>
  <c r="O347" i="17"/>
  <c r="O271" i="17"/>
  <c r="O73" i="17"/>
  <c r="O163" i="17"/>
  <c r="O176" i="17"/>
  <c r="O173" i="17"/>
  <c r="O239" i="17"/>
  <c r="O228" i="17"/>
  <c r="O362" i="17"/>
  <c r="O192" i="17"/>
  <c r="O240" i="17"/>
  <c r="O126" i="17"/>
  <c r="O110" i="17"/>
  <c r="O330" i="17"/>
  <c r="O353" i="17"/>
  <c r="O350" i="17"/>
  <c r="O321" i="17"/>
  <c r="O304" i="17"/>
  <c r="O115" i="17"/>
  <c r="O289" i="17"/>
  <c r="O145" i="17"/>
  <c r="O202" i="17"/>
  <c r="O306" i="17"/>
  <c r="O290" i="17"/>
  <c r="O297" i="17"/>
  <c r="O186" i="17"/>
  <c r="V54" i="18"/>
  <c r="Y54" i="18" s="1"/>
  <c r="V58" i="18"/>
  <c r="Y58" i="18" s="1"/>
  <c r="V57" i="18"/>
  <c r="Y57" i="18" s="1"/>
  <c r="V55" i="18"/>
  <c r="Y55" i="18" s="1"/>
  <c r="V60" i="18"/>
  <c r="Y60" i="18" s="1"/>
  <c r="V56" i="18"/>
  <c r="Y56" i="18" s="1"/>
  <c r="V52" i="18"/>
  <c r="Y52" i="18" s="1"/>
  <c r="V61" i="18"/>
  <c r="Y61" i="18" s="1"/>
  <c r="V59" i="18"/>
  <c r="Y59" i="18" s="1"/>
  <c r="V53" i="18"/>
  <c r="Y53" i="18" s="1"/>
  <c r="V51" i="18"/>
  <c r="O92" i="17"/>
  <c r="O283" i="17"/>
  <c r="O319" i="17"/>
  <c r="H4" i="9"/>
  <c r="D29" i="11" s="1"/>
  <c r="D11" i="11"/>
  <c r="O358" i="17"/>
  <c r="O286" i="17"/>
  <c r="O292" i="17"/>
  <c r="O144" i="17"/>
  <c r="O116" i="17"/>
  <c r="O130" i="17"/>
  <c r="O160" i="17"/>
  <c r="O364" i="17"/>
  <c r="O127" i="17"/>
  <c r="O75" i="17"/>
  <c r="O60" i="17"/>
  <c r="O131" i="17"/>
  <c r="O295" i="17"/>
  <c r="O314" i="17"/>
  <c r="O252" i="17"/>
  <c r="O359" i="17"/>
  <c r="O336" i="17"/>
  <c r="O106" i="17"/>
  <c r="O309" i="17"/>
  <c r="O288" i="17"/>
  <c r="O85" i="17"/>
  <c r="O349" i="17"/>
  <c r="O234" i="17"/>
  <c r="O307" i="17"/>
  <c r="O151" i="17"/>
  <c r="O156" i="17"/>
  <c r="O323" i="17"/>
  <c r="O198" i="17"/>
  <c r="O316" i="17"/>
  <c r="O86" i="17"/>
  <c r="O367" i="17"/>
  <c r="P18" i="9" l="1"/>
  <c r="P11" i="9"/>
  <c r="D16" i="11"/>
  <c r="E16" i="11" s="1"/>
  <c r="P4" i="10"/>
  <c r="D18" i="11" s="1"/>
  <c r="E18" i="11" s="1"/>
  <c r="P4" i="9"/>
  <c r="D17" i="11" s="1"/>
  <c r="E17" i="11" s="1"/>
  <c r="E4" i="10"/>
  <c r="C12" i="11" s="1"/>
  <c r="E12" i="11" s="1"/>
  <c r="Y51" i="18"/>
  <c r="G4" i="10" s="1"/>
  <c r="C30" i="11" s="1"/>
  <c r="E30" i="11" s="1"/>
  <c r="E38" i="11"/>
  <c r="E11" i="11"/>
  <c r="E29" i="11"/>
</calcChain>
</file>

<file path=xl/sharedStrings.xml><?xml version="1.0" encoding="utf-8"?>
<sst xmlns="http://schemas.openxmlformats.org/spreadsheetml/2006/main" count="12700" uniqueCount="1397">
  <si>
    <t>Performance Summary PWEGPL</t>
  </si>
  <si>
    <t xml:space="preserve">Month </t>
  </si>
  <si>
    <t xml:space="preserve">Date </t>
  </si>
  <si>
    <t>Financial Year</t>
  </si>
  <si>
    <t>Year-3</t>
  </si>
  <si>
    <t>Year Start Date</t>
  </si>
  <si>
    <t>Year End Date</t>
  </si>
  <si>
    <t>Sr. No.</t>
  </si>
  <si>
    <t>Particular</t>
  </si>
  <si>
    <t>Target</t>
  </si>
  <si>
    <t>Measured</t>
  </si>
  <si>
    <t>Deviation</t>
  </si>
  <si>
    <t>Remarks</t>
  </si>
  <si>
    <t>E_Grid Daily (MWh)</t>
  </si>
  <si>
    <t>E_Grid MTD(MWh)</t>
  </si>
  <si>
    <t>E_Grid YTD (MWh)</t>
  </si>
  <si>
    <t>Wind Speed Daily</t>
  </si>
  <si>
    <t>Wind Speed MTD</t>
  </si>
  <si>
    <t>Wind Speed YTD</t>
  </si>
  <si>
    <t>PA Daily</t>
  </si>
  <si>
    <t>PA MTD</t>
  </si>
  <si>
    <t>PA YTD</t>
  </si>
  <si>
    <t>MA Daily</t>
  </si>
  <si>
    <t>MA MTD</t>
  </si>
  <si>
    <t>MA YTD</t>
  </si>
  <si>
    <t>EGA Daily</t>
  </si>
  <si>
    <t>EGA MTD</t>
  </si>
  <si>
    <t>EGA YTD</t>
  </si>
  <si>
    <t>IGA Daily</t>
  </si>
  <si>
    <t>IGA MTD</t>
  </si>
  <si>
    <t>IGA YTD</t>
  </si>
  <si>
    <t>CUF Daily</t>
  </si>
  <si>
    <t>CUF MTD</t>
  </si>
  <si>
    <t>CUF YTD</t>
  </si>
  <si>
    <t>Line Loss Daily</t>
  </si>
  <si>
    <t>Line Loss MTD</t>
  </si>
  <si>
    <t>Line Loss YTD</t>
  </si>
  <si>
    <t>Reactive Power Daily</t>
  </si>
  <si>
    <t>Reactive Power MTD</t>
  </si>
  <si>
    <t>Reactive Power YTD</t>
  </si>
  <si>
    <t>Expected Energy Daily</t>
  </si>
  <si>
    <t>Expected Energy MTD</t>
  </si>
  <si>
    <t>Expected Energy YTD</t>
  </si>
  <si>
    <t>Till Date</t>
  </si>
  <si>
    <t>PWEGPL Performance Summary-YTD</t>
  </si>
  <si>
    <t>Year</t>
  </si>
  <si>
    <t>Days</t>
  </si>
  <si>
    <t>Estimated WS(m/s)</t>
  </si>
  <si>
    <t>Measured WS (m/s)</t>
  </si>
  <si>
    <t>Budgeted Energy (MWh)</t>
  </si>
  <si>
    <t>Measured Energy (MWh)</t>
  </si>
  <si>
    <t>Target CUF (%)</t>
  </si>
  <si>
    <t>Measured CUF (%)</t>
  </si>
  <si>
    <t>Target GA (%)</t>
  </si>
  <si>
    <t>Measured GA (%)</t>
  </si>
  <si>
    <t>Target MA (%)</t>
  </si>
  <si>
    <t>Measured MA (%)</t>
  </si>
  <si>
    <t>Target IGA(%)</t>
  </si>
  <si>
    <t>Measured IGA (%)</t>
  </si>
  <si>
    <t>Target PA(%)</t>
  </si>
  <si>
    <t>Measured PA (%)</t>
  </si>
  <si>
    <t>Expected Energy</t>
  </si>
  <si>
    <t>Loss (%)</t>
  </si>
  <si>
    <t>Reactive Power (%)</t>
  </si>
  <si>
    <t>PWEGPL Performance Summary (MTD)</t>
  </si>
  <si>
    <t>Target IGA (%)</t>
  </si>
  <si>
    <t>WTG Total (MWh)</t>
  </si>
  <si>
    <t>Line Losses(%)</t>
  </si>
  <si>
    <t>E_WS_Corrected</t>
  </si>
  <si>
    <t>Start Date</t>
  </si>
  <si>
    <t>End Date</t>
  </si>
  <si>
    <t>PWEGPL Performance Summary (WTD)</t>
  </si>
  <si>
    <t>PWEGPL Performance Summary (LTD)</t>
  </si>
  <si>
    <t>Date</t>
  </si>
  <si>
    <t>Calendar Year</t>
  </si>
  <si>
    <t>Month Year</t>
  </si>
  <si>
    <t>Operating Hours</t>
  </si>
  <si>
    <t>GHI-UP (KWh/m2)</t>
  </si>
  <si>
    <t>GHI-Down(KWh/m2)</t>
  </si>
  <si>
    <t>POA-UP(KWh/m2)</t>
  </si>
  <si>
    <t>POA-Down(KWh/m2)</t>
  </si>
  <si>
    <t>Amb_Temp(°C)</t>
  </si>
  <si>
    <t>Mod_Temp(°C)</t>
  </si>
  <si>
    <t>WS_Avg(m/s)</t>
  </si>
  <si>
    <t>WS_Max(m/s)</t>
  </si>
  <si>
    <t>PA(%)</t>
  </si>
  <si>
    <t>MA (%)</t>
  </si>
  <si>
    <t>IGA (%)</t>
  </si>
  <si>
    <t>EGA(%)</t>
  </si>
  <si>
    <t>EMA (%)</t>
  </si>
  <si>
    <t>TA (%)</t>
  </si>
  <si>
    <t>PR(%)</t>
  </si>
  <si>
    <t>WPR(%)</t>
  </si>
  <si>
    <t>CUF(%)</t>
  </si>
  <si>
    <t>Gen_Exp (kWh)</t>
  </si>
  <si>
    <t>Mtr_Export (kWh)</t>
  </si>
  <si>
    <t>Mtr_Import (kWh)</t>
  </si>
  <si>
    <t>Mtr_Net_Exp (KWh)</t>
  </si>
  <si>
    <t>Operational Capacity (MW)</t>
  </si>
  <si>
    <t>Bugt_Resource</t>
  </si>
  <si>
    <t>Bugt_Energy</t>
  </si>
  <si>
    <t>Bugt PR</t>
  </si>
  <si>
    <t>Bugt CUF</t>
  </si>
  <si>
    <t>Bugt_PA</t>
  </si>
  <si>
    <t>Bugt_EGA</t>
  </si>
  <si>
    <t>Actual Energy WPR</t>
  </si>
  <si>
    <t>RA (%)</t>
  </si>
  <si>
    <t>Mod Clean Dry (Num)</t>
  </si>
  <si>
    <t>Mod Clean Wet (Num)</t>
  </si>
  <si>
    <t>Line Loss(%)</t>
  </si>
  <si>
    <t>Bugt Line loss (%) (Wind)</t>
  </si>
  <si>
    <t>Bugt Reactive Power (%) (Wind)</t>
  </si>
  <si>
    <t>Bugt Capacity</t>
  </si>
  <si>
    <t>CC*Bugt</t>
  </si>
  <si>
    <t>WTG No.</t>
  </si>
  <si>
    <t>G01</t>
  </si>
  <si>
    <t>G02</t>
  </si>
  <si>
    <t>G03</t>
  </si>
  <si>
    <t>G04</t>
  </si>
  <si>
    <t>G05</t>
  </si>
  <si>
    <t>G06</t>
  </si>
  <si>
    <t>G07</t>
  </si>
  <si>
    <t>G08</t>
  </si>
  <si>
    <t>G09</t>
  </si>
  <si>
    <t>G10</t>
  </si>
  <si>
    <t>G11</t>
  </si>
  <si>
    <t>G12</t>
  </si>
  <si>
    <t>G13</t>
  </si>
  <si>
    <t>G14</t>
  </si>
  <si>
    <t>G15</t>
  </si>
  <si>
    <t>G16</t>
  </si>
  <si>
    <t>G17</t>
  </si>
  <si>
    <t>G18</t>
  </si>
  <si>
    <t>G19</t>
  </si>
  <si>
    <t>G20</t>
  </si>
  <si>
    <t>G21</t>
  </si>
  <si>
    <t>G22</t>
  </si>
  <si>
    <t>G23</t>
  </si>
  <si>
    <t>G25</t>
  </si>
  <si>
    <t>G26</t>
  </si>
  <si>
    <t>G27</t>
  </si>
  <si>
    <t>G28</t>
  </si>
  <si>
    <t>G29</t>
  </si>
  <si>
    <t>G30</t>
  </si>
  <si>
    <t>G31</t>
  </si>
  <si>
    <t>G32</t>
  </si>
  <si>
    <t>G33</t>
  </si>
  <si>
    <t>G34</t>
  </si>
  <si>
    <t>G35</t>
  </si>
  <si>
    <t>G36</t>
  </si>
  <si>
    <t>G37</t>
  </si>
  <si>
    <t>G38</t>
  </si>
  <si>
    <t>G39</t>
  </si>
  <si>
    <t>G40</t>
  </si>
  <si>
    <t>MA</t>
  </si>
  <si>
    <t>WTG BD Hours</t>
  </si>
  <si>
    <t>IGA</t>
  </si>
  <si>
    <t>METERING YARD</t>
  </si>
  <si>
    <t>FEEDER</t>
  </si>
  <si>
    <t>OG</t>
  </si>
  <si>
    <t>TRANSFER</t>
  </si>
  <si>
    <t>USS</t>
  </si>
  <si>
    <t>EGA</t>
  </si>
  <si>
    <t>External Grid</t>
  </si>
  <si>
    <t>Generation</t>
  </si>
  <si>
    <t>PA</t>
  </si>
  <si>
    <t>Sum of BD</t>
  </si>
  <si>
    <t>Count of BD</t>
  </si>
  <si>
    <t>MTTR WTG</t>
  </si>
  <si>
    <t>MTBF WTG</t>
  </si>
  <si>
    <t>WS (M/S)</t>
  </si>
  <si>
    <t>Fault Analysis</t>
  </si>
  <si>
    <t>Put hour Here</t>
  </si>
  <si>
    <t>Default hour for full Data</t>
  </si>
  <si>
    <t>Finacial Year</t>
  </si>
  <si>
    <t>(Multiple Items)</t>
  </si>
  <si>
    <t>Row Labels</t>
  </si>
  <si>
    <t>Sum of Breakdown Time</t>
  </si>
  <si>
    <t>Count of Error Text</t>
  </si>
  <si>
    <t>MTTR</t>
  </si>
  <si>
    <t>MTBF</t>
  </si>
  <si>
    <t>Active Crowbar Failure</t>
  </si>
  <si>
    <t>Active Crowbar IGBT Errors</t>
  </si>
  <si>
    <t>Analogue Card Failure</t>
  </si>
  <si>
    <t>Automatic Secondaries Not OK Too Long</t>
  </si>
  <si>
    <t>Automatic Unwinding</t>
  </si>
  <si>
    <t>Blade Position Meas. Error</t>
  </si>
  <si>
    <t>Bus Error - Interbus Failure</t>
  </si>
  <si>
    <t>Bus Preload Protection Thermal Relay Failure</t>
  </si>
  <si>
    <t>CAN Communication Failure</t>
  </si>
  <si>
    <t>CCW Feedback Failure</t>
  </si>
  <si>
    <t>Change Pause-Remote Control Reset</t>
  </si>
  <si>
    <t>Controlled Emergency Series Battery Failure</t>
  </si>
  <si>
    <t>Converter High Ambient Temperature Alarm</t>
  </si>
  <si>
    <t>Coolant Of The Coolant Circuit Failure</t>
  </si>
  <si>
    <t>CW Feedback Failure</t>
  </si>
  <si>
    <t>DTD Filter Alarm 1</t>
  </si>
  <si>
    <t>Emergency Series HUB Trigger</t>
  </si>
  <si>
    <t>Emergency Series Not OK</t>
  </si>
  <si>
    <t>Error In Phase R Of The Inverter</t>
  </si>
  <si>
    <t>Error In Phase S Of The Inverter</t>
  </si>
  <si>
    <t>Error In Phase T Of The Inverter</t>
  </si>
  <si>
    <t>Error In Phase T Of The Rectifier</t>
  </si>
  <si>
    <t>Excess Current Phase R Of Stator</t>
  </si>
  <si>
    <t>Excessive Temperature Of Coolant At The Input Of The Cooling Circuit</t>
  </si>
  <si>
    <t>Excessive Temperature Of The Control Module</t>
  </si>
  <si>
    <t>Failure Of The Contactor's Rotor Power</t>
  </si>
  <si>
    <t>Frequency Failure</t>
  </si>
  <si>
    <t>Gearbox Fan Thermal Relays</t>
  </si>
  <si>
    <t>Gearbox Pump Thermal Relay Triggered and High Gearbox Oil Temperature</t>
  </si>
  <si>
    <t>Generator Fans Thermal Relay Triggered Too Long</t>
  </si>
  <si>
    <t>Generator NDE Bearing High Temperature Alarm</t>
  </si>
  <si>
    <t>Generator Slipping Ring High Temperature</t>
  </si>
  <si>
    <t>Grid Voltage Failure</t>
  </si>
  <si>
    <t>Heating Protection Triggered</t>
  </si>
  <si>
    <t>Heating/Coolant Thermal Magnetic Failure</t>
  </si>
  <si>
    <t>High Gearbox Oil Temperature</t>
  </si>
  <si>
    <t>High Generator Speed</t>
  </si>
  <si>
    <t>High Generator Winding Temperature</t>
  </si>
  <si>
    <t xml:space="preserve">High Grid Harmonic Distortion </t>
  </si>
  <si>
    <t>High Temperature Of Coolant In The Input Of The Cooling Circuit</t>
  </si>
  <si>
    <t>High Yaw Brake Pressure</t>
  </si>
  <si>
    <t>HU Pump Drive Failure</t>
  </si>
  <si>
    <t>Hydraulic Oil High Temperature</t>
  </si>
  <si>
    <t>Low Level Hydraulic Group Refrigeration Oil</t>
  </si>
  <si>
    <t>Low Pitch Value In Stop Mode (1 Cylinder)</t>
  </si>
  <si>
    <t>Low Pressure Of Emergency Accumulators</t>
  </si>
  <si>
    <t>Low Pressure On Hydraulic Group</t>
  </si>
  <si>
    <t>Magnetothermic Of The Stator Protection Failure Or Door Open</t>
  </si>
  <si>
    <t>Magnetothermic Trigger Of The Stator Protection</t>
  </si>
  <si>
    <t>Manual Stop</t>
  </si>
  <si>
    <t>Max. Pump time</t>
  </si>
  <si>
    <t>OGS</t>
  </si>
  <si>
    <t>Orienting and High Yaw Brake Pressure</t>
  </si>
  <si>
    <t>Orienting and Low Yaw Brake Pressure</t>
  </si>
  <si>
    <t>Overheating In The Grid's Inductance</t>
  </si>
  <si>
    <t>Pitch Drive Error</t>
  </si>
  <si>
    <t>PLC Module Failure</t>
  </si>
  <si>
    <t>PLC-Converter Communication Error</t>
  </si>
  <si>
    <t>Preload Failure</t>
  </si>
  <si>
    <t>Rotor Or Generator High Speed in STOP Or EMERGENCY</t>
  </si>
  <si>
    <t>Rotor Protection Thermal Magnetic Failure</t>
  </si>
  <si>
    <t>Rotor Speed Reading Failure</t>
  </si>
  <si>
    <t>Speed Read Incorrectly</t>
  </si>
  <si>
    <t>Temp. Measurement Module Failure</t>
  </si>
  <si>
    <t>Top Emergency Button</t>
  </si>
  <si>
    <t>Trafo Fan Thermal Relay Triggered Too Long</t>
  </si>
  <si>
    <t>Very High Disalignment</t>
  </si>
  <si>
    <t>Very Low Pressure On Hydraulic Unit</t>
  </si>
  <si>
    <t>Vibration Sensor</t>
  </si>
  <si>
    <t>Wear Brushes Generator Triggered Too Long</t>
  </si>
  <si>
    <t>Wind Vane Failure Alarm</t>
  </si>
  <si>
    <t>Yaw Contactor Active</t>
  </si>
  <si>
    <t>Yaw Motors Error</t>
  </si>
  <si>
    <t xml:space="preserve">Yaw Motors Over Current Protection </t>
  </si>
  <si>
    <t>Yaw Sensor Wiring Error</t>
  </si>
  <si>
    <t>Yawing Motor Thermal Relays</t>
  </si>
  <si>
    <t>Yawing Sensor Failure</t>
  </si>
  <si>
    <t>(blank)</t>
  </si>
  <si>
    <t>Stator Contactor Failure</t>
  </si>
  <si>
    <t>Hydraulic Filter Dirty</t>
  </si>
  <si>
    <t>Slipping Rings Fan Or Heating Resistor Failure</t>
  </si>
  <si>
    <t>Gearbox Oil High Temperature Warning</t>
  </si>
  <si>
    <t>Difference Between 2 Blades Too High</t>
  </si>
  <si>
    <t>Low Bus Voltage</t>
  </si>
  <si>
    <t>Change Emergency-Local Reset</t>
  </si>
  <si>
    <t>Trigger Of Overvoltage Protection</t>
  </si>
  <si>
    <t>Initialization Failure</t>
  </si>
  <si>
    <t>Gearbox Oil Level Low</t>
  </si>
  <si>
    <t>SF6 Breaker Fault</t>
  </si>
  <si>
    <t>Low Pressure On Brake Circuit</t>
  </si>
  <si>
    <t>Transmission Line Related work</t>
  </si>
  <si>
    <t>Manual Stop - Preventive Maintenance Activity</t>
  </si>
  <si>
    <t>Manual Stop - Audit</t>
  </si>
  <si>
    <t>Minimum Hydraulic Unit Temperature</t>
  </si>
  <si>
    <t>Generator DE Bearing High Temperature Alarm</t>
  </si>
  <si>
    <t>Generator's Fans Failure Confirmation</t>
  </si>
  <si>
    <t>Low Pressure In Gearbox</t>
  </si>
  <si>
    <t>Fault In 24v Power Supply</t>
  </si>
  <si>
    <t>Out Of Range In Slippage</t>
  </si>
  <si>
    <t>High Gearbox Bearing Temperature</t>
  </si>
  <si>
    <t>Gearbox Pump Thermal Relay</t>
  </si>
  <si>
    <t>Major BD - Transformer</t>
  </si>
  <si>
    <t>Major BD - Blade</t>
  </si>
  <si>
    <t>Failure In The Gearbox Oil Particle Sensor</t>
  </si>
  <si>
    <t>Rectifier Phase S Overcurrent</t>
  </si>
  <si>
    <t>UPS breakdown</t>
  </si>
  <si>
    <t>Maximum Synchronization Time</t>
  </si>
  <si>
    <t>Encoder Suynchronism Error</t>
  </si>
  <si>
    <t>Transformer Fan Control Failure</t>
  </si>
  <si>
    <t>Encoder Not OK</t>
  </si>
  <si>
    <t>Maximum Time For Stator Disconnection</t>
  </si>
  <si>
    <t>High Rotor Speed</t>
  </si>
  <si>
    <t>Magnetothermic Trigger Of The Line Protection</t>
  </si>
  <si>
    <t>Hydraulic Pump Protection</t>
  </si>
  <si>
    <t>Gearbox Bearing High Temperature Warning</t>
  </si>
  <si>
    <t>Max Orientation Time</t>
  </si>
  <si>
    <t>General Work Stoppage</t>
  </si>
  <si>
    <t>Gearbox Fan Feedback Failure</t>
  </si>
  <si>
    <t>Automatics Not Ok</t>
  </si>
  <si>
    <t>Gearbox Fan Thermal Relays Triggered and High Gearbox Oil Temperature</t>
  </si>
  <si>
    <t>Wear Brushes Generator</t>
  </si>
  <si>
    <t>Hydraulic Unit Cooling Failure</t>
  </si>
  <si>
    <t>SF6 and HV side</t>
  </si>
  <si>
    <t>Fault In Analog Electronic Power Supply</t>
  </si>
  <si>
    <t>Very High Temperature Of Hydraulic Unit Oil</t>
  </si>
  <si>
    <t>High Temperature Of The Control Module</t>
  </si>
  <si>
    <t>Grand Total</t>
  </si>
  <si>
    <t>Energy Generated by individual Turbine</t>
  </si>
  <si>
    <t>Wind Speed (M/s)</t>
  </si>
  <si>
    <t>Meter Readings</t>
  </si>
  <si>
    <t>Calculated Energy Numbers</t>
  </si>
  <si>
    <t>Calendor Year</t>
  </si>
  <si>
    <t>WS_G01</t>
  </si>
  <si>
    <t>WS_G02</t>
  </si>
  <si>
    <t>WS_G03</t>
  </si>
  <si>
    <t>WS_G04</t>
  </si>
  <si>
    <t>WS_G05</t>
  </si>
  <si>
    <t>WS_G06</t>
  </si>
  <si>
    <t>WS_G07</t>
  </si>
  <si>
    <t>WS_G08</t>
  </si>
  <si>
    <t>WS_G09</t>
  </si>
  <si>
    <t>WS_G10</t>
  </si>
  <si>
    <t>WS_G11</t>
  </si>
  <si>
    <t>WS_G12</t>
  </si>
  <si>
    <t>WS_G13</t>
  </si>
  <si>
    <t>WS_G14</t>
  </si>
  <si>
    <t>WS_G15</t>
  </si>
  <si>
    <t>WS_G16</t>
  </si>
  <si>
    <t>WS_G17</t>
  </si>
  <si>
    <t>WS_G18</t>
  </si>
  <si>
    <t>WS_G19</t>
  </si>
  <si>
    <t>WS_G20</t>
  </si>
  <si>
    <t>WS_G21</t>
  </si>
  <si>
    <t>WS_G22</t>
  </si>
  <si>
    <t>WS_G23</t>
  </si>
  <si>
    <t>WS_G25</t>
  </si>
  <si>
    <t>WS_G26</t>
  </si>
  <si>
    <t>WS_G27</t>
  </si>
  <si>
    <t>WS_G28</t>
  </si>
  <si>
    <t>WS_G29</t>
  </si>
  <si>
    <t>WS_G30</t>
  </si>
  <si>
    <t>WS_G31</t>
  </si>
  <si>
    <t>WS_G32</t>
  </si>
  <si>
    <t>WS_G33</t>
  </si>
  <si>
    <t>WS_G34</t>
  </si>
  <si>
    <t>WS_G35</t>
  </si>
  <si>
    <t>WS_G36</t>
  </si>
  <si>
    <t>WS_G37</t>
  </si>
  <si>
    <t>WS_G38</t>
  </si>
  <si>
    <t>WS_G39</t>
  </si>
  <si>
    <t>WS_G40</t>
  </si>
  <si>
    <t>WTG Total Gneration (KWh)</t>
  </si>
  <si>
    <t>Wind Speed Average cumulative (m/S)2</t>
  </si>
  <si>
    <t>Wind Speed Max (m/S)</t>
  </si>
  <si>
    <t>Rain (mm)</t>
  </si>
  <si>
    <t>33 kV_Wind_F1_Export reading</t>
  </si>
  <si>
    <t>33 kV_Wind_F1_Import reading</t>
  </si>
  <si>
    <t>33 kV_Wind_F2_Export_reading</t>
  </si>
  <si>
    <t>33 kV_Wind_F2_Import_reading</t>
  </si>
  <si>
    <t>33 kV_Wind_F3_Export_Reading</t>
  </si>
  <si>
    <t>33 kV_Wind_F3_Import_Reading</t>
  </si>
  <si>
    <t>33 kV_Wind_F4_Export Reading</t>
  </si>
  <si>
    <t>33 kV_Wind_F4_Import Reading</t>
  </si>
  <si>
    <t>33 kV_F1_Total_Export (KWh)</t>
  </si>
  <si>
    <t>33 kV_Wind_F1_Import (KWh)</t>
  </si>
  <si>
    <t>33 kV_F2_Total_Export (KWh)2</t>
  </si>
  <si>
    <t>33 kV_Wind_F2_Import (KWh)</t>
  </si>
  <si>
    <t>33 kV_Wind_F3_Export (KWh)</t>
  </si>
  <si>
    <t>33 kV_Wind_F3_Import (KWh)2</t>
  </si>
  <si>
    <t>33 kV_Wind_F4_Export (KWh)</t>
  </si>
  <si>
    <t>33 kV_Wind_F4_Import (KWh)2</t>
  </si>
  <si>
    <t>33 kV_Wind_Total_Export (KWh)</t>
  </si>
  <si>
    <t>33 kV_Wind_Total_Import (KWh)</t>
  </si>
  <si>
    <t>33 kV Line Loss (%)</t>
  </si>
  <si>
    <t>Forecasting Data count received on Forecasting Portal</t>
  </si>
  <si>
    <t>Forecasting Penalties (INR)</t>
  </si>
  <si>
    <t>Expected Energy As Per Power Curve  (MWh)</t>
  </si>
  <si>
    <t>Reactive Energy (MVArH)</t>
  </si>
  <si>
    <t>Operational Capacity</t>
  </si>
  <si>
    <t>Column1</t>
  </si>
  <si>
    <t>No scada available server OS failed</t>
  </si>
  <si>
    <t>0,0</t>
  </si>
  <si>
    <t>Month Name</t>
  </si>
  <si>
    <t>Month Number</t>
  </si>
  <si>
    <t>Month</t>
  </si>
  <si>
    <t>CY</t>
  </si>
  <si>
    <t>FY</t>
  </si>
  <si>
    <t>No. of Days in Month</t>
  </si>
  <si>
    <t>GHI</t>
  </si>
  <si>
    <t>POA</t>
  </si>
  <si>
    <t>WS</t>
  </si>
  <si>
    <t>Tamb</t>
  </si>
  <si>
    <t>Tmod</t>
  </si>
  <si>
    <t>Egrid (MWh)</t>
  </si>
  <si>
    <t>Bugt_Capacity</t>
  </si>
  <si>
    <t>PR</t>
  </si>
  <si>
    <t>Daily POA</t>
  </si>
  <si>
    <t>Days Operated</t>
  </si>
  <si>
    <t>MTD POA</t>
  </si>
  <si>
    <t>YTD POA</t>
  </si>
  <si>
    <t>Daily Energy (MWh)</t>
  </si>
  <si>
    <t>MTD Energy (MWh)</t>
  </si>
  <si>
    <t>YTD Energy (MWh)</t>
  </si>
  <si>
    <t>Bugt CUF (%)</t>
  </si>
  <si>
    <t>Bugt CUF (%) MTD</t>
  </si>
  <si>
    <t>Bugt CUF (%)YTD</t>
  </si>
  <si>
    <t>Ave. Cap MTD</t>
  </si>
  <si>
    <t>Ave. Cap YTD</t>
  </si>
  <si>
    <t>CC Energy MTD</t>
  </si>
  <si>
    <t>WS MTD</t>
  </si>
  <si>
    <t>WS YTD</t>
  </si>
  <si>
    <t>Bugt PA</t>
  </si>
  <si>
    <t>Bugt EGA</t>
  </si>
  <si>
    <t>Bugt TA</t>
  </si>
  <si>
    <t>Bugt MA</t>
  </si>
  <si>
    <t>Bugt IGA</t>
  </si>
  <si>
    <t>Corelation</t>
  </si>
  <si>
    <t>Bugt Line loss</t>
  </si>
  <si>
    <t>Bugt Reactive Power</t>
  </si>
  <si>
    <t xml:space="preserve"> Capacity</t>
  </si>
  <si>
    <t>April</t>
  </si>
  <si>
    <t>FY22</t>
  </si>
  <si>
    <t>Hourly reactive power bugt</t>
  </si>
  <si>
    <t>May</t>
  </si>
  <si>
    <t>Day</t>
  </si>
  <si>
    <t>June</t>
  </si>
  <si>
    <t>July</t>
  </si>
  <si>
    <t>August</t>
  </si>
  <si>
    <t>September</t>
  </si>
  <si>
    <t>October</t>
  </si>
  <si>
    <t>November</t>
  </si>
  <si>
    <t>December</t>
  </si>
  <si>
    <t>January</t>
  </si>
  <si>
    <t>February</t>
  </si>
  <si>
    <t>March</t>
  </si>
  <si>
    <t>FY23</t>
  </si>
  <si>
    <t>FY24</t>
  </si>
  <si>
    <t>FY25</t>
  </si>
  <si>
    <t>FY26</t>
  </si>
  <si>
    <t>Operating Year</t>
  </si>
  <si>
    <t>Affected WTG</t>
  </si>
  <si>
    <t>SPV</t>
  </si>
  <si>
    <t>Concumaer</t>
  </si>
  <si>
    <t>Plant Equivalent Weightage</t>
  </si>
  <si>
    <t>Error Code</t>
  </si>
  <si>
    <t>Error Text</t>
  </si>
  <si>
    <t>Breakdown Description</t>
  </si>
  <si>
    <t>Fault Start TimeStamp</t>
  </si>
  <si>
    <t>Work Start TimeStamp</t>
  </si>
  <si>
    <t>Fault Clearance time</t>
  </si>
  <si>
    <t>Response Time</t>
  </si>
  <si>
    <t>Resolution Time</t>
  </si>
  <si>
    <t>Breakdown Time</t>
  </si>
  <si>
    <t>Action taken</t>
  </si>
  <si>
    <t>Status</t>
  </si>
  <si>
    <t>Plant Equivalent breakdown</t>
  </si>
  <si>
    <t>Paired WTG for Enegy based MA</t>
  </si>
  <si>
    <t>Fault Category</t>
  </si>
  <si>
    <t>PTW No.</t>
  </si>
  <si>
    <t>Job Card No.</t>
  </si>
  <si>
    <t>Year_1</t>
  </si>
  <si>
    <t>BD</t>
  </si>
  <si>
    <t>Close</t>
  </si>
  <si>
    <t>WTG Unscheduled Maintenance</t>
  </si>
  <si>
    <t>WTG Breakdown Maintenance</t>
  </si>
  <si>
    <t>CE100001</t>
  </si>
  <si>
    <t>WTG Scheduled Maintenance</t>
  </si>
  <si>
    <t>WTG Force Majeaure</t>
  </si>
  <si>
    <t>IG Unscheduled Maintenance</t>
  </si>
  <si>
    <t>IG Breakdown Maintenance</t>
  </si>
  <si>
    <t>IG Scheduled Maintenance</t>
  </si>
  <si>
    <t>IG Force Majeaure</t>
  </si>
  <si>
    <t>Open</t>
  </si>
  <si>
    <t>PM</t>
  </si>
  <si>
    <t>CE100007</t>
  </si>
  <si>
    <t>CE100010</t>
  </si>
  <si>
    <t>CE100014</t>
  </si>
  <si>
    <t>None</t>
  </si>
  <si>
    <t>Manual stop</t>
  </si>
  <si>
    <t>Auto reset</t>
  </si>
  <si>
    <t>FM</t>
  </si>
  <si>
    <t>CE100003</t>
  </si>
  <si>
    <t>CE100002</t>
  </si>
  <si>
    <t>PWEGPL</t>
  </si>
  <si>
    <t>MSEDCL</t>
  </si>
  <si>
    <t>CE100017</t>
  </si>
  <si>
    <t>CE100008</t>
  </si>
  <si>
    <t>CE100018</t>
  </si>
  <si>
    <t>Slip ring clean then restore wtg.</t>
  </si>
  <si>
    <t>Year_3</t>
  </si>
  <si>
    <t>Reboot then restore wtg.</t>
  </si>
  <si>
    <t>CE100015</t>
  </si>
  <si>
    <t>Reset then restore wtg.</t>
  </si>
  <si>
    <t>CE100013</t>
  </si>
  <si>
    <t>Untwist then restore wtg.</t>
  </si>
  <si>
    <t>Manual stop for Blade A pitch seal replacement work</t>
  </si>
  <si>
    <t>Manual stop for Blade B pitch seal replacement work</t>
  </si>
  <si>
    <t>Manual stop for blade bush gap issue retrofitting work</t>
  </si>
  <si>
    <t>CCU reset then restore wtg.</t>
  </si>
  <si>
    <t>work in progress</t>
  </si>
  <si>
    <t>Manual stop for blade bush gap inspection work</t>
  </si>
  <si>
    <t>Checked related circuit found ok the restore wtg.</t>
  </si>
  <si>
    <t>Check related circuit found ok then restore wtg.</t>
  </si>
  <si>
    <t>Manual stop for blade bush gap inspection  work</t>
  </si>
  <si>
    <t>Manual stop for blade bush gap inspection work.</t>
  </si>
  <si>
    <t>Checked related circuit found HU contactor failure so replaced with new one then restore wtg.</t>
  </si>
  <si>
    <t>Manual stop/Customer</t>
  </si>
  <si>
    <t>Manual stop for Blade bush gap inspection work</t>
  </si>
  <si>
    <t>Checked related circuit found no leakage then restore wtg.</t>
  </si>
  <si>
    <t>Checked related circuit found yaw motor failure so replaced yaw motor with new one then restore wtg.</t>
  </si>
  <si>
    <t>Checked related circuit found ok then restore wtg.</t>
  </si>
  <si>
    <t>Checked related circuit found leakage form yaw caliper so replaced yaw caliper seal then top-up 30 liter oil then restore wtg.</t>
  </si>
  <si>
    <t>Manual stop for Yaw caliper seal replacement work.</t>
  </si>
  <si>
    <t>Check related circuit found loose connection so tight it then restore wtg.</t>
  </si>
  <si>
    <t>Checked related circuit found CCU coolant cooling motor failure so replaced then start wtg.</t>
  </si>
  <si>
    <t>Check related circuit found yaw motor failure so replace with new one then restore wtg.</t>
  </si>
  <si>
    <t>Check related circuit found RTD module failure so repalced with new one then restore wtg.</t>
  </si>
  <si>
    <t>Checked related circuit found no leakage then top-up 5 liter HU oil then restore wtg.</t>
  </si>
  <si>
    <t>Checked and found MPCB tripped so recorrect it then restore wtg.</t>
  </si>
  <si>
    <t>Checked and found Balde A proportional valve failure so replaced with new one then restore wtg</t>
  </si>
  <si>
    <t>Checked and found Netural relay failure so rplaced with new one then restore wtg.</t>
  </si>
  <si>
    <t xml:space="preserve">Checked and found balluf sensor cable failure so replaced with new one then restore then restore </t>
  </si>
  <si>
    <t>Checked and found no leakage then tou-up 5 litre oil then restore wtg.</t>
  </si>
  <si>
    <t>Reset CCU tchen restore wtg.</t>
  </si>
  <si>
    <t>Checked related circuit found MPCB failure so replaced with new one then restore wtg.</t>
  </si>
  <si>
    <t>Found addon block loose so tight it then restore wtg.</t>
  </si>
  <si>
    <t>Found addon block malfunction  so replaced it then restore wtg.</t>
  </si>
  <si>
    <t>Checked and found SF-6 breaker tripped so charge SF-6 breaker then chen all motor found ok then restore wtg.</t>
  </si>
  <si>
    <t>Checked related circuit found module failure so replace module then found nacelle to hub cable one core failure so used spare cable core then restore wtg.</t>
  </si>
  <si>
    <t>Checked related circuit found pressure switch and solenid valve cable failure so replaced with new one the restore wtg.</t>
  </si>
  <si>
    <t>checked related circuit found MPCB tripped  so correct it then restore wtg.</t>
  </si>
  <si>
    <t>Check related circuit found loose connection so tight it then update software then restore wtg.</t>
  </si>
  <si>
    <t>Checked related circuit found SF-6 breaker tripped so we checked T connector found ok then checked power cable then checked transformer then restore wtg.</t>
  </si>
  <si>
    <t>manual stop for blade bush gap inspection work</t>
  </si>
  <si>
    <t>check and found SF-6 breaker tripped so charge it then checked all motors then restore wtg.</t>
  </si>
  <si>
    <t>Checked related circuit found relay failure so replaced reley then restore wtg.</t>
  </si>
  <si>
    <t>Coolant cooling rediator clean then restore wtg.</t>
  </si>
  <si>
    <t>Gear box oil leakage arrest then top-up 15 liter gear oil then start wtg.</t>
  </si>
  <si>
    <t>Checked related circuit found contactor straked so replaced with new one then restore wtg.</t>
  </si>
  <si>
    <t>Checked related circuit found ccU coolant cooling motor &amp; MPCB failure so replaced with new one then restore wtg. then start wtg.</t>
  </si>
  <si>
    <t>Replaced Carbon brush and holder then restore wtg and power set to 500 kw</t>
  </si>
  <si>
    <t>Due to material shortage power set on 500 kw</t>
  </si>
  <si>
    <t>Manual stop for gear box hose replacement work</t>
  </si>
  <si>
    <t>Manual stop for CCU raditor cleaning work</t>
  </si>
  <si>
    <t>check related circuit found ACB relay malfuction so replace with new one then restore wtg.</t>
  </si>
  <si>
    <t>Check related circuit found no leakage  then restore wtg.</t>
  </si>
  <si>
    <t>Manual stop for Lift supporting &amp; plateform guide clamp replaced then clean CCU radiator then restore wyg.</t>
  </si>
  <si>
    <t>Checked related circuit found ok then interchange addon then restore wtg.</t>
  </si>
  <si>
    <t>Blade C Pitch seal replaced then start wtg.</t>
  </si>
  <si>
    <t>Checked related circuit found addon loose so tight it then restore wtg.</t>
  </si>
  <si>
    <t>Check related circuit found internal leakage from proportional valve so replaced with new one then restore wtg.</t>
  </si>
  <si>
    <t>check related circuit found generator earthing brush wear out then replace it then restore wtg.</t>
  </si>
  <si>
    <t>Check related circuit found MPCB tripped so correct it then check motor found ok then check connection then restore wtg.</t>
  </si>
  <si>
    <t xml:space="preserve">check related circuit found rotor sensor connection loose so tight it </t>
  </si>
  <si>
    <t>Check related circuit found proportion valve cable connector loose so tight it then restore wtg.</t>
  </si>
  <si>
    <t>Checked related circuit found Sensor ok then replaced module</t>
  </si>
  <si>
    <t>Manual stop for generator cooling motor inspection and rectification work</t>
  </si>
  <si>
    <t>Manual stop for Slipring carbon brush &amp; spring replacement and power set to 2000kw max.</t>
  </si>
  <si>
    <t>Manual stop for CCU motor replaced then restore wtg.</t>
  </si>
  <si>
    <t>Manual stop for transformer fan replacement work</t>
  </si>
  <si>
    <t xml:space="preserve">Manual stop for generator temp. Apply grease and connections checking </t>
  </si>
  <si>
    <t>Check and found PLC card failure so replaced card then update softwear then restore wtg.</t>
  </si>
  <si>
    <t>Manual stop for repeted error found pressure switch loose connection so tight it then restore wtg.</t>
  </si>
  <si>
    <t>Check and found yaw encoder failure so replaced with new one then restore wtg.</t>
  </si>
  <si>
    <t>Manual stop for HYPM work</t>
  </si>
  <si>
    <t>OGS reset then restore wg.</t>
  </si>
  <si>
    <t>HYPM done then restore wtg.</t>
  </si>
  <si>
    <t>Check related circuit found Hub main accumulator failure so replaced with new one then restore wtg.</t>
  </si>
  <si>
    <t>Check OGS sensor Replaced OGS guard then restore wtg.</t>
  </si>
  <si>
    <t>Check related circuit found hub main accumulator failure so replaced accumulator then found gear box oil leakage from hose so replaced GB hose then restore wtg.</t>
  </si>
  <si>
    <t>Check related  circuit found HU pressure drop continuous so check HU pump then check NRV valve then replaced RV 8-10 &amp; Break Valve restore wtg.</t>
  </si>
  <si>
    <t>Check related circuit found single winding temp. high so check sensor then used spare sensor then restore wtg.</t>
  </si>
  <si>
    <t>Check related circuit found MPCB tripped so correct it then restore wtg.</t>
  </si>
  <si>
    <t>Check related circuit found loose connection so tigh it then restore wtg.</t>
  </si>
  <si>
    <t>Checked related circuit found relay malfuction so interchage reley then restore wtg.</t>
  </si>
  <si>
    <t>Manual stop for oil leakage inspection work. Found  oil leakage from Blade C so replaced pitch seal then restore wtg.</t>
  </si>
  <si>
    <t>Check related circuit found oil leakage from Blade B. So replaced pitch seal then top-up 15 liter oil then restore wtg.</t>
  </si>
  <si>
    <t>Checked related circuit found carbon brush spring and holder failure so replaced with new one then restore wtg.</t>
  </si>
  <si>
    <t>Manual stop for oil leakage inspection &amp; rectification found oil leak for Blade B pitch seal so replaced pith seal then restore wtg.</t>
  </si>
  <si>
    <t>HYPM done then checked blade bush gap inspection then restore wtg.</t>
  </si>
  <si>
    <t>Manual stop for pitch seal replacement work (work in progress)</t>
  </si>
  <si>
    <t>HYPM done then then restore wtg.</t>
  </si>
  <si>
    <t>SEM meter Pole CT &amp; PT installation work</t>
  </si>
  <si>
    <t>Check related circuit check all motor found ok then restore wtg.</t>
  </si>
  <si>
    <t>Replaced Blade B pitch cylinder then top up 22 liter HU oil then restore wtg.</t>
  </si>
  <si>
    <t>Checked related circuit found MPCB tripped so checked motor resistance then restore wtg.</t>
  </si>
  <si>
    <t>Check related circuit found MPCB &amp; Contactor failure so replaced with new one then restore wtg.</t>
  </si>
  <si>
    <t>Checked related circuit found oil leakage from Blade A. so replaced pitch seal then restore wtg.</t>
  </si>
  <si>
    <t>Manual stop for oil leakage inspection work</t>
  </si>
  <si>
    <t>Check related circuit found 33k resistor and RC filter card failure so replaced both with new one then restore wtg.</t>
  </si>
  <si>
    <t>Checked related circuit found propotional valve failure then replaced .</t>
  </si>
  <si>
    <t>Change PRV-10 &amp; RV  8-10 Valve than start the WTG</t>
  </si>
  <si>
    <t xml:space="preserve">Checked related circuit found KC004 Contactor replace </t>
  </si>
  <si>
    <t>Checked related circuit &amp; replace slipring and CAP module than start WTG</t>
  </si>
  <si>
    <t>Checked related circuit found niddel valve failure than replace .</t>
  </si>
  <si>
    <t>Checked related circuit found Cab module failure then replace.</t>
  </si>
  <si>
    <t xml:space="preserve">Checked related circuit found KC004 Contactor addon replace </t>
  </si>
  <si>
    <t>Checked related circuit no any obsarvation than start WTG</t>
  </si>
  <si>
    <t>Material shotage Tee connector.</t>
  </si>
  <si>
    <t>Check related ckt found bulluf sensor failure then replaced &amp; restore WTG.</t>
  </si>
  <si>
    <t xml:space="preserve">Check related ckt found  Component failure then replace Rectifire Side 3 IGBT,Fuse ,KC002 Contactor ,800 HC resistor and check capacitor bank then restore WTG. </t>
  </si>
  <si>
    <t>Check related  ckt found hose damaged then replaced and restore WTG.</t>
  </si>
  <si>
    <t>Transformer inspection work.</t>
  </si>
  <si>
    <t>Manual stop for Gearbox fan motor replaced then restore wtg.</t>
  </si>
  <si>
    <t>Check related circuit found B Phase Tee connector failure so replaced with new one then restore wtg.</t>
  </si>
  <si>
    <t>Checked related circuit found loose connection so tight it then restore wtg.</t>
  </si>
  <si>
    <t>Manual stop for SEM meter CT/PT istallation work</t>
  </si>
  <si>
    <t>Check related circuit found ok then set PRV 8-10 Valve then replaced Gearbox cooling fan motor replaced then restore wtg.</t>
  </si>
  <si>
    <t>Manual stop for pitch seal replacement work (Pitch cylinder head sturcked work in progress)</t>
  </si>
  <si>
    <t>Checked related circuit found ok then replaced smoke sensor then restore wtg.</t>
  </si>
  <si>
    <t>Manual stop for Blade B pitch cylinder replaced then restore wtg.</t>
  </si>
  <si>
    <t>Slipring clean then restore wtg</t>
  </si>
  <si>
    <t>Total Reactive Power (kVArh)</t>
  </si>
  <si>
    <t>No scada available server OS failed-reading as per billing meter</t>
  </si>
  <si>
    <t xml:space="preserve">Affected Feeder </t>
  </si>
  <si>
    <t>Scope</t>
  </si>
  <si>
    <t>Wind_F1</t>
  </si>
  <si>
    <t>Wind_F3</t>
  </si>
  <si>
    <t>Wind_F4</t>
  </si>
  <si>
    <t>Wind_F2</t>
  </si>
  <si>
    <t>SGSL</t>
  </si>
  <si>
    <t>Wind_F4_Ckt1</t>
  </si>
  <si>
    <t>Test charged &amp; stood ok</t>
  </si>
  <si>
    <t>Wind_F4_Ckt2</t>
  </si>
  <si>
    <t>O2 power</t>
  </si>
  <si>
    <t>Wind_F3_Ckt2</t>
  </si>
  <si>
    <t>Wind_F3_Ckt1</t>
  </si>
  <si>
    <t>Wind_F2_Ckt1</t>
  </si>
  <si>
    <t>Wind_F1_Ckt1</t>
  </si>
  <si>
    <t>Wind_F2_Ckt2</t>
  </si>
  <si>
    <t>Wind_F1_Ckt2</t>
  </si>
  <si>
    <t xml:space="preserve">F-2 tripped due to Earth fault </t>
  </si>
  <si>
    <t xml:space="preserve">F-3 tripped due to Earth fault </t>
  </si>
  <si>
    <t xml:space="preserve">F-1 tripped due to Earth fault </t>
  </si>
  <si>
    <t xml:space="preserve">F-3 tripped due to Earth fault / Over current </t>
  </si>
  <si>
    <t xml:space="preserve">F-1 tripped due to Earth fault / Over current </t>
  </si>
  <si>
    <t>Circuit open then close one by one</t>
  </si>
  <si>
    <t>F-3 Shutdown taken for scada cable rectification work</t>
  </si>
  <si>
    <t>Scada cable rejoint then restore feeder</t>
  </si>
  <si>
    <t>F-4 Shutdown taken for scada cable rectification work</t>
  </si>
  <si>
    <t>F-3 Shutdown taken for 11Kv line restoration work.</t>
  </si>
  <si>
    <t>11 Kv line restore then restore feeder</t>
  </si>
  <si>
    <t>F-4 Shutdown taken for 11Kv line restoration work.</t>
  </si>
  <si>
    <t xml:space="preserve">F-4 Shutdown taken for line &amp; HT yard preventive maintenance work </t>
  </si>
  <si>
    <t>Line &amp; HT yard maintenance work done then restore circuit</t>
  </si>
  <si>
    <t xml:space="preserve">F-3 Shutdown taken for line &amp; HT yard preventive maintenance work </t>
  </si>
  <si>
    <t>Line &amp; HT yard maintenance work done then restore feeder</t>
  </si>
  <si>
    <t>Line1</t>
  </si>
  <si>
    <t>Grid Failure</t>
  </si>
  <si>
    <t>Charged feeders post Grid resume</t>
  </si>
  <si>
    <t>Location</t>
  </si>
  <si>
    <t>Material Name</t>
  </si>
  <si>
    <t>Quantity</t>
  </si>
  <si>
    <t>UoM</t>
  </si>
  <si>
    <t>Remark</t>
  </si>
  <si>
    <t>Hydraulic Oil</t>
  </si>
  <si>
    <t>liter</t>
  </si>
  <si>
    <t>set</t>
  </si>
  <si>
    <t>pc</t>
  </si>
  <si>
    <t>Pitch seal kit</t>
  </si>
  <si>
    <t>IGBT</t>
  </si>
  <si>
    <t>HU contactor</t>
  </si>
  <si>
    <t>Yaw motor</t>
  </si>
  <si>
    <t>HU oil</t>
  </si>
  <si>
    <t xml:space="preserve">NO addon </t>
  </si>
  <si>
    <t>Gear box oil</t>
  </si>
  <si>
    <t>Proportional valve</t>
  </si>
  <si>
    <t>CCU coolant motor</t>
  </si>
  <si>
    <t xml:space="preserve">Yaw encoder </t>
  </si>
  <si>
    <t>shim (1mm)</t>
  </si>
  <si>
    <t xml:space="preserve">Gear box hose </t>
  </si>
  <si>
    <t>AI module</t>
  </si>
  <si>
    <t>Yaw motor (Bonifigoli)</t>
  </si>
  <si>
    <t>Yaw contactor (26-30-10)</t>
  </si>
  <si>
    <t>Addon (NC)</t>
  </si>
  <si>
    <t>proportional valve</t>
  </si>
  <si>
    <t>WS251 cable</t>
  </si>
  <si>
    <t>netural relay</t>
  </si>
  <si>
    <t>cab module 9 pin</t>
  </si>
  <si>
    <t>WS240 cable</t>
  </si>
  <si>
    <t>MPCB</t>
  </si>
  <si>
    <t>ACB reley (F5103057)</t>
  </si>
  <si>
    <t>HU contactor (52-30-10)</t>
  </si>
  <si>
    <t>Brush holder</t>
  </si>
  <si>
    <t>Brush holder spring</t>
  </si>
  <si>
    <t>Transformer fan</t>
  </si>
  <si>
    <t>Plc Flash card</t>
  </si>
  <si>
    <t>Accumulator (24 liter) 143 bar</t>
  </si>
  <si>
    <t>OGS garud</t>
  </si>
  <si>
    <t>Hub Main accumulator (143 bar) 24 liter</t>
  </si>
  <si>
    <t>RV 8-10</t>
  </si>
  <si>
    <t>Electro operate valve</t>
  </si>
  <si>
    <t>HU Contactor</t>
  </si>
  <si>
    <t>Addon (NO)</t>
  </si>
  <si>
    <t>Yaw Caliper Seal</t>
  </si>
  <si>
    <t xml:space="preserve">Pitch cylinder </t>
  </si>
  <si>
    <t>MPCB (1.6 to 2.4)</t>
  </si>
  <si>
    <t>Contactor (12-30-10)</t>
  </si>
  <si>
    <t>33k Resistor</t>
  </si>
  <si>
    <t>RC bus filter card</t>
  </si>
  <si>
    <t>PRV-10 valve</t>
  </si>
  <si>
    <t>RV 8-10 valve</t>
  </si>
  <si>
    <t>Propotional Valve</t>
  </si>
  <si>
    <t>CAB Module</t>
  </si>
  <si>
    <t>KC004 contactor</t>
  </si>
  <si>
    <t>Needle Valve</t>
  </si>
  <si>
    <t>Single Drive card</t>
  </si>
  <si>
    <t>125A Fuse</t>
  </si>
  <si>
    <t>KC002 Contactor</t>
  </si>
  <si>
    <t>800 HC Resistor</t>
  </si>
  <si>
    <t>Hydraulic pump hose</t>
  </si>
  <si>
    <t>Power supply (10 Amp)</t>
  </si>
  <si>
    <t>Gearbox fan cooling motor</t>
  </si>
  <si>
    <t>Tee - Connector</t>
  </si>
  <si>
    <t>Gear box fan cooling motor</t>
  </si>
  <si>
    <t>Sealant</t>
  </si>
  <si>
    <t>Generator</t>
  </si>
  <si>
    <t>Consumer</t>
  </si>
  <si>
    <t>Capacity</t>
  </si>
  <si>
    <t>% Plant Equiva. Weightage</t>
  </si>
  <si>
    <t>Feeder</t>
  </si>
  <si>
    <t>TX</t>
  </si>
  <si>
    <t>MY</t>
  </si>
  <si>
    <t>Maximum Winding Error</t>
  </si>
  <si>
    <t>TX2</t>
  </si>
  <si>
    <t>Total Capacity</t>
  </si>
  <si>
    <t>Maximum Unwinding Time</t>
  </si>
  <si>
    <t>TX1</t>
  </si>
  <si>
    <t>Unwinding Error</t>
  </si>
  <si>
    <t>Yaw Beak Wear</t>
  </si>
  <si>
    <t>Low Yaw Brake Pressure</t>
  </si>
  <si>
    <t>Low Grease Level for Yaw Plates</t>
  </si>
  <si>
    <t>Yaw Plate Lubrication Failure</t>
  </si>
  <si>
    <t>Low Grease Level For Yaw Pinion</t>
  </si>
  <si>
    <t>Yaw Pinion Lubrication Failure</t>
  </si>
  <si>
    <t>Excessive Yaw Drag</t>
  </si>
  <si>
    <t>Possible Yaw Circuit Leakages</t>
  </si>
  <si>
    <t>Auto Yaw Not Possible</t>
  </si>
  <si>
    <t>Yaw Pinion Lubrication Failure Too Long</t>
  </si>
  <si>
    <t>Hydraulic HUB Filter Dirty</t>
  </si>
  <si>
    <t>Leakage In The HUB</t>
  </si>
  <si>
    <t>Maximum HU Preheating Time</t>
  </si>
  <si>
    <t>Warning Load Control valve Malfunction</t>
  </si>
  <si>
    <t>Low Oil Temperature : Heating Procedure Request</t>
  </si>
  <si>
    <t>Hydraulic Unit Alarm Temperature</t>
  </si>
  <si>
    <t>Hydraulic Filter Dirty Too Long</t>
  </si>
  <si>
    <t>Hydraulic HUB Filter Dirty Too Long</t>
  </si>
  <si>
    <t>Time Out For Oil Heating In Operation</t>
  </si>
  <si>
    <t>Anemo Failure</t>
  </si>
  <si>
    <t>High Wind Speed</t>
  </si>
  <si>
    <t>TOP Zero Degrees</t>
  </si>
  <si>
    <t>Ambient Temperature Low</t>
  </si>
  <si>
    <t>Ambient Temperature High</t>
  </si>
  <si>
    <t>High Temperature On Trafo Winding</t>
  </si>
  <si>
    <t>Overheating On Trafo Winding</t>
  </si>
  <si>
    <t>Smoke Sensor</t>
  </si>
  <si>
    <t>Machine On Preheating</t>
  </si>
  <si>
    <t>Zero Degrees HUB</t>
  </si>
  <si>
    <t>High Misalignment and Orienting Badly</t>
  </si>
  <si>
    <t>Beacon Failure</t>
  </si>
  <si>
    <t>Low Nacelle Temperature</t>
  </si>
  <si>
    <t>High Nacelle Temperature</t>
  </si>
  <si>
    <t>Ice On Nacelle</t>
  </si>
  <si>
    <t>Ice Sensor Error</t>
  </si>
  <si>
    <t>Low Ground Cabinet Temperature</t>
  </si>
  <si>
    <t>High Temperature Kit System Failure</t>
  </si>
  <si>
    <t>High Temperature Kit Feedback Failure</t>
  </si>
  <si>
    <t>Low Temperature Kit System Failure</t>
  </si>
  <si>
    <t>Low Temperature Kit Feedback Error</t>
  </si>
  <si>
    <t>Ice Shake</t>
  </si>
  <si>
    <t>Turbine Under Ice Operation</t>
  </si>
  <si>
    <t>High Temperature In Auxiliary Transformer</t>
  </si>
  <si>
    <t>Very High Temperature In Auxiliary Transformer</t>
  </si>
  <si>
    <t>GUYS Functionality Active</t>
  </si>
  <si>
    <t>Transformer Winding High Temperature Warning</t>
  </si>
  <si>
    <t>Converter Water Pressure High</t>
  </si>
  <si>
    <t>Converter Water Pressure Low</t>
  </si>
  <si>
    <t>Auxiliary Transformer Windings High Temperature Warning</t>
  </si>
  <si>
    <t>SADEI System Failure</t>
  </si>
  <si>
    <t>High Wind Turbulence Intensity Alarm</t>
  </si>
  <si>
    <t>VHT - Top Cabinet Maximum Temperature</t>
  </si>
  <si>
    <t>VHT - Ground Cabinet Maximum Temperature</t>
  </si>
  <si>
    <t>VHT - HUB Cabinet Maximum Temperature</t>
  </si>
  <si>
    <t>VHT - Air Conditioning Top Cabinet Feedback</t>
  </si>
  <si>
    <t>VHT - Air Conditioning Ground Cabinet Feedback</t>
  </si>
  <si>
    <t>VHT - Air Conditioning HUB Cabinet Feedback</t>
  </si>
  <si>
    <t>Maximum Generator - Rotor Discrepancy</t>
  </si>
  <si>
    <t>Rotor Or Generator High Speed In Pause</t>
  </si>
  <si>
    <t>Generator - Rotor Discrepancy</t>
  </si>
  <si>
    <t>High Brake Temperature</t>
  </si>
  <si>
    <t>Gearbox Fans Active</t>
  </si>
  <si>
    <t>Low Gearbox Oil Temperature</t>
  </si>
  <si>
    <t>Gearbox Main Filter Dirty</t>
  </si>
  <si>
    <t>Auxiliary Gearbox Filter Dirty</t>
  </si>
  <si>
    <t>Gearbox Pump Feedback Failure</t>
  </si>
  <si>
    <t>Gearbox Pump Auxiliary Filter Thermal Relay</t>
  </si>
  <si>
    <t>Gearbox Main Filter Dirty Warning</t>
  </si>
  <si>
    <t>Gearbox Oil Heating Thermal Circuit Breaker</t>
  </si>
  <si>
    <t>Gearbox Heating Resistors Feedback Failure</t>
  </si>
  <si>
    <t>Gearbox Auxiliary Filter Dirty Warning</t>
  </si>
  <si>
    <t>Vibration Sensor After Switching To STOP Or EMERGENCY Mode</t>
  </si>
  <si>
    <t>Metal Particles In Gearbox Oil</t>
  </si>
  <si>
    <t>Low Grease Level for Main Shaft Bearing</t>
  </si>
  <si>
    <t>Main Shaft Bearing Lubrication Failure</t>
  </si>
  <si>
    <t>Gearbox Pump Contactor Feedback Failure and High Gearbox Oil Temperature</t>
  </si>
  <si>
    <t>Gearbox Pump Auxiliary Filter Thermal Relay Triggered Too Long</t>
  </si>
  <si>
    <t>Gearbox Fan Feedback Failure and High Gearbox Oil Temperature</t>
  </si>
  <si>
    <t>Gearbox Heating Resistor Feedback Failure and High Gearbox Oil Temperature</t>
  </si>
  <si>
    <t>Main Shaft Bearing Lubrication Failure Too Long</t>
  </si>
  <si>
    <t>Generator Thermal Relay Fans</t>
  </si>
  <si>
    <t>Grid Voltage Dip Warning</t>
  </si>
  <si>
    <t>Active Crowbar On Warning</t>
  </si>
  <si>
    <t>Generator Winding High Temperature Warning</t>
  </si>
  <si>
    <t>Generator DE Bearing High Temperature Warning</t>
  </si>
  <si>
    <t>Generator NDE Bearing High Temperature Warning</t>
  </si>
  <si>
    <t>Nacelle Temperature</t>
  </si>
  <si>
    <t>High Ambient Temperature In The Converter</t>
  </si>
  <si>
    <t>High Ambient Temperature In The Stator Thermo-Magnet</t>
  </si>
  <si>
    <t>High Temperature Of Upper Radiator</t>
  </si>
  <si>
    <t>High Temperature Of Lower Radiator</t>
  </si>
  <si>
    <t>High Temperature Of Inver Inductance</t>
  </si>
  <si>
    <t>Low Grease Level For Generator Bearings</t>
  </si>
  <si>
    <t>Generator Bearing Lubrication Failure</t>
  </si>
  <si>
    <t>Maximum Slip Rings Heating Time</t>
  </si>
  <si>
    <t>Converter Inlet Ambient Temperature Sensor Failure</t>
  </si>
  <si>
    <t>Generator Bearing Lubrication Failure Too Long</t>
  </si>
  <si>
    <t>Main Shaft Front Bearing Extreme Temperature</t>
  </si>
  <si>
    <t>Main Shaft Front Bearing High Temperature Warning</t>
  </si>
  <si>
    <t>Main Shaft Rear Bearing Extreme Temperature</t>
  </si>
  <si>
    <t>Main Shaft Rear Bearing High Temperature Warning</t>
  </si>
  <si>
    <t>Generator Slip Rings High Temperature Warning</t>
  </si>
  <si>
    <t>Converter Coolant In The Input Of The Cooling Circuit High Temperature Warning</t>
  </si>
  <si>
    <t>Converter Control Module High Temperature Warning</t>
  </si>
  <si>
    <t>Converter Upper Radiator High Temperature Warning</t>
  </si>
  <si>
    <t>Converter Lower Radiator High Temperature Warning</t>
  </si>
  <si>
    <t>Generator Fans Failure Too Long</t>
  </si>
  <si>
    <t>ATD Filters Out Of Range</t>
  </si>
  <si>
    <t>ATD Saturation Alarm</t>
  </si>
  <si>
    <t>Maximum Time For Stator Connection</t>
  </si>
  <si>
    <t>Speed Reference Not Allowed</t>
  </si>
  <si>
    <t>Permission Denied For Star and Delta Connection</t>
  </si>
  <si>
    <t>Maximum Time To Make A Connection Change In The Stator</t>
  </si>
  <si>
    <t>Maximum Time For Connection In Star</t>
  </si>
  <si>
    <t>Maximum Time For Connection In Delta</t>
  </si>
  <si>
    <t>Accelerometer Vibration Alarm</t>
  </si>
  <si>
    <t>Rotor Block</t>
  </si>
  <si>
    <t>Calibration Test Not Executed Or NO OK</t>
  </si>
  <si>
    <t>Non-Consecutive Accelerometer Reading Error</t>
  </si>
  <si>
    <t>Accelerometer Measurement Error</t>
  </si>
  <si>
    <t>LTD Saturation Alarm</t>
  </si>
  <si>
    <t>LTD Filters Out Of Range</t>
  </si>
  <si>
    <t>Azimuth Inductive Sensor Failure</t>
  </si>
  <si>
    <t>Grid Frequency Disturbance - Inertia Emulation Activation</t>
  </si>
  <si>
    <t>Pitch LTD Saturation Alarm</t>
  </si>
  <si>
    <t>Pitch LTD Filters Out Of Range</t>
  </si>
  <si>
    <t>Sonic Communication Failure</t>
  </si>
  <si>
    <t>Remote Control Com Failure</t>
  </si>
  <si>
    <t>SMP Communication Failure</t>
  </si>
  <si>
    <t>Pause Due To Remote Control Communications Failure</t>
  </si>
  <si>
    <t>Sonic Error.NRG Operates</t>
  </si>
  <si>
    <t>Wattmeter Failure</t>
  </si>
  <si>
    <t>NRG.Error Sonic Operates</t>
  </si>
  <si>
    <t>NRG Failure</t>
  </si>
  <si>
    <t>24 Hours With NRG Or Too Many Sonic-NRG Changes</t>
  </si>
  <si>
    <t>Cup Anemometer Failure Warning</t>
  </si>
  <si>
    <t>Sonic Failure, Cup Anemometer Operates Warning</t>
  </si>
  <si>
    <t>Wind Vane Failure Warning</t>
  </si>
  <si>
    <t>WTG PLC-GENSET Communication Failure</t>
  </si>
  <si>
    <t>Low Pitch Value In Stop Mode (2 Cylinders)</t>
  </si>
  <si>
    <t>Possible Ice On Blades</t>
  </si>
  <si>
    <t>Non-Consecutive Pitch Reading Errors</t>
  </si>
  <si>
    <t>ACP Alarm</t>
  </si>
  <si>
    <t>Blade Bearing Lubrication System Problem</t>
  </si>
  <si>
    <t>Blade Bearing Lubrication System Error</t>
  </si>
  <si>
    <t>Low Grease Level For Blade Bearings</t>
  </si>
  <si>
    <t>Blade Bearing Lubrication Failure</t>
  </si>
  <si>
    <t>Incorrect Emergency Speed</t>
  </si>
  <si>
    <t>Blade Bearing Lubrication Failure Too Long</t>
  </si>
  <si>
    <t>Pitch Rate Error During TPR Shutdown</t>
  </si>
  <si>
    <t>Pitch Electrovalves Power Supply Failure</t>
  </si>
  <si>
    <t>Emergency Series Feedback Error</t>
  </si>
  <si>
    <t>Opening Series For Test</t>
  </si>
  <si>
    <t>Authoriz Person In Turbine</t>
  </si>
  <si>
    <t>Presence Of Unauth. Person In Turbine</t>
  </si>
  <si>
    <t>Trigger Of FG230 Or FM230</t>
  </si>
  <si>
    <t>Ground Emergency Button</t>
  </si>
  <si>
    <t>Change Emergency-Remote Control Reset</t>
  </si>
  <si>
    <t>Change Stop Local Reset</t>
  </si>
  <si>
    <t>Change Stop-Remote Control Reset</t>
  </si>
  <si>
    <t>Change Pause-Local Reset</t>
  </si>
  <si>
    <t>Basic Data Incorrectly Entered</t>
  </si>
  <si>
    <t>WTG Shutdown Requested By Flight Manager</t>
  </si>
  <si>
    <t>Not Performing Pole Trial</t>
  </si>
  <si>
    <t>Pole Test Missing</t>
  </si>
  <si>
    <t>Lock And Send To Run: Frequency Out Of Range</t>
  </si>
  <si>
    <t>DTD Filter Alarm 2</t>
  </si>
  <si>
    <t>Speed Filters Alarm Torque Loop</t>
  </si>
  <si>
    <t>Speed Filters Alarm Speed Loop</t>
  </si>
  <si>
    <t>Switchgear Contactor Trigger</t>
  </si>
  <si>
    <t>RC Filter Failure</t>
  </si>
  <si>
    <t>RC Filter</t>
  </si>
  <si>
    <t>Discussion Due To Low Temperature</t>
  </si>
  <si>
    <t>Coolant Confirmation Failure</t>
  </si>
  <si>
    <t>Trafo Fan Thermal Relay</t>
  </si>
  <si>
    <t>Reactive Power Production By The Converter Is Limited</t>
  </si>
  <si>
    <t>MV Switch Trip From Arc Detector</t>
  </si>
  <si>
    <t>MV Switch Trip From Neutral Detector</t>
  </si>
  <si>
    <t>MV Switch Trip From Transformer Fuses</t>
  </si>
  <si>
    <t>MV Switch Trip From CCU</t>
  </si>
  <si>
    <t>Lock And Send To Run: Voltage Out Of Range</t>
  </si>
  <si>
    <t>Transformer Over Voltage Operation Time Exceeded</t>
  </si>
  <si>
    <t>Latched Control Relay Fault Alarm</t>
  </si>
  <si>
    <t>MV Switch Trip From TOP Cabinet Button Or Latched Control Relay Handle</t>
  </si>
  <si>
    <t>The MV Switch Gear Has Not Tripped</t>
  </si>
  <si>
    <t>Smoke Sensor In Ground</t>
  </si>
  <si>
    <t>Warning Auxiliary Leakage Current</t>
  </si>
  <si>
    <t>Alarm Auxiliary Leakage Current</t>
  </si>
  <si>
    <t>Transformer Auxiliary Services Fuses</t>
  </si>
  <si>
    <t>External Temperature Multiplexer Failure</t>
  </si>
  <si>
    <t>Auxiliary Leakage Current Too Long</t>
  </si>
  <si>
    <t>Low Grid Voltage</t>
  </si>
  <si>
    <t>Automatic Secondaries Not OK</t>
  </si>
  <si>
    <t>WT UY Ground Power Supply Circuit Breaker Tripped</t>
  </si>
  <si>
    <t>WT UY Top Power Supply Circuit Breaker Tripped</t>
  </si>
  <si>
    <t>WT UY Ground KMGS1 Contactor Failure</t>
  </si>
  <si>
    <t>WT UY Top KMGS2 Contactor Failure</t>
  </si>
  <si>
    <t>WT UY Ground Switch Selector Active</t>
  </si>
  <si>
    <t>WT UY Impulse Relay activation (TL) Failure</t>
  </si>
  <si>
    <t>WT UY System Is Initializing</t>
  </si>
  <si>
    <t>Discrepancy Between Emergency Indicators</t>
  </si>
  <si>
    <t>PLC Voltage Recovery</t>
  </si>
  <si>
    <t>Counter Card Failure</t>
  </si>
  <si>
    <t>Cycle Time Exceeded</t>
  </si>
  <si>
    <t>Change Auto Reset-&gt;Remote</t>
  </si>
  <si>
    <t>Change Remote Reset-&gt;Local</t>
  </si>
  <si>
    <t>PLC Internal Error Warning</t>
  </si>
  <si>
    <t>CTRL Error - Processor Stopped</t>
  </si>
  <si>
    <t>Optical Fiber Low Quality</t>
  </si>
  <si>
    <t>Flash Writing Error</t>
  </si>
  <si>
    <t>Flash Writing Limit Exveeded</t>
  </si>
  <si>
    <t>PLC Data Incorrect</t>
  </si>
  <si>
    <t>GATEWAY Configuration Error</t>
  </si>
  <si>
    <t>UPS Fail</t>
  </si>
  <si>
    <t>Temperature Measurement Module Failure</t>
  </si>
  <si>
    <t>Brake Chopper Failure</t>
  </si>
  <si>
    <t>Brake Chopper IGBT 2 Failure</t>
  </si>
  <si>
    <t>Brake Chopper Driver 2 Failure</t>
  </si>
  <si>
    <t>Crowbar Overvoltage</t>
  </si>
  <si>
    <t>Crowbar Not OK</t>
  </si>
  <si>
    <t>Phase Rotation Failure</t>
  </si>
  <si>
    <t>Brake Chopper Driver 1 Failure</t>
  </si>
  <si>
    <t>Data Capture Failure In Test</t>
  </si>
  <si>
    <t>Test Rotor Movement</t>
  </si>
  <si>
    <t>Discrepancy In power Regulation</t>
  </si>
  <si>
    <t>Error In Phase R Of The Rectifier</t>
  </si>
  <si>
    <t>Error In Phase S Of The Rectifier</t>
  </si>
  <si>
    <t>Rectifier Driver Error (Edriver) Or Of The Inverter (Edriver I)</t>
  </si>
  <si>
    <t>Rectifier Phase R Overcurrent</t>
  </si>
  <si>
    <t>Excess Current Phase R Of Rotor</t>
  </si>
  <si>
    <t>Excess Current Phasse S Of Rotor</t>
  </si>
  <si>
    <t>Excess Current Phase S Of Stator</t>
  </si>
  <si>
    <t>Bus Over Voltage Detected By Hardware</t>
  </si>
  <si>
    <t>Bus Over Voltage Detected By Software</t>
  </si>
  <si>
    <t>Earth Leakage In The Stator</t>
  </si>
  <si>
    <t>Brake Chopper IGBT 1 Failure</t>
  </si>
  <si>
    <t>Actuator Of The Coolant Circuit Failure</t>
  </si>
  <si>
    <t>Excess Temperature In The Radiator's Hardware</t>
  </si>
  <si>
    <t>Overtemperature Thermostats Of The Cabinet Cubicle</t>
  </si>
  <si>
    <t>Excessive Ambient Temperature Of The Converter</t>
  </si>
  <si>
    <t>Excess Ambient Temperature In The Stator Thermo-Magnet</t>
  </si>
  <si>
    <t>Excessive Temperature Of The Upper Radiator</t>
  </si>
  <si>
    <t>Excessive Temperature Of The Lower Radiator</t>
  </si>
  <si>
    <t>Overheating In The Rectifiers Inductance</t>
  </si>
  <si>
    <t>Overheating In The Inverter's Inductance</t>
  </si>
  <si>
    <t>High Transient Grid Harmonic Distortion</t>
  </si>
  <si>
    <t>High Grid Harmonic Voltage Distortion</t>
  </si>
  <si>
    <t>Power Transformer Internal Failure</t>
  </si>
  <si>
    <t>690V Circuits Ground Faults</t>
  </si>
  <si>
    <t>High Grid Harmonic Distortion Warning</t>
  </si>
  <si>
    <t>Earth Leakage In The Rotor</t>
  </si>
  <si>
    <t>CE100004</t>
  </si>
  <si>
    <t>Major BD - Generator</t>
  </si>
  <si>
    <t>CE100005</t>
  </si>
  <si>
    <t>Major BD - Gearbox</t>
  </si>
  <si>
    <t>CE100006</t>
  </si>
  <si>
    <t>Major BD - Main Bearing</t>
  </si>
  <si>
    <t>CE100009</t>
  </si>
  <si>
    <t>Major BD - Power Cable</t>
  </si>
  <si>
    <t>CE100011</t>
  </si>
  <si>
    <t>Major BD - DFIG</t>
  </si>
  <si>
    <t>CE100012</t>
  </si>
  <si>
    <t>Major BD - Foundation</t>
  </si>
  <si>
    <t>Theft</t>
  </si>
  <si>
    <t>Manual Stop - Safety Related</t>
  </si>
  <si>
    <t>CE100016</t>
  </si>
  <si>
    <t>Manual Stop - Blade Cleaning</t>
  </si>
  <si>
    <t xml:space="preserve">F-4 tripped due to Earth fault </t>
  </si>
  <si>
    <t>Circuit 2 isolator open then closed</t>
  </si>
  <si>
    <t>Manual stop for lift clamp replacement work</t>
  </si>
  <si>
    <t xml:space="preserve">F-4 Ckt-1 Shutdown taken for line &amp; HT yard preventive maintenance work </t>
  </si>
  <si>
    <t xml:space="preserve">F-1 Shutdown taken for line &amp; HT yard preventive maintenance work </t>
  </si>
  <si>
    <t>LA failure in G12 HT yard so replaced it then restore feeder</t>
  </si>
  <si>
    <t>Lift guide clamp</t>
  </si>
  <si>
    <t>Slipring unit</t>
  </si>
  <si>
    <t>No leakage fond than start WTG</t>
  </si>
  <si>
    <t xml:space="preserve">WTG Environmental </t>
  </si>
  <si>
    <t>EG Unscheduled Maintenance</t>
  </si>
  <si>
    <t>EG Breakdown Maintenance</t>
  </si>
  <si>
    <t>EG Scheduled Maintenance</t>
  </si>
  <si>
    <t>checked related circuit found no leakage then top-up 10 liter HU oil then restore wtg.</t>
  </si>
  <si>
    <t xml:space="preserve">F-2 Shutdown taken for line &amp; HT yard preventive maintenance work </t>
  </si>
  <si>
    <t xml:space="preserve">HU oil </t>
  </si>
  <si>
    <t>Suzlon Mirkala Yearly maintenance schedule Plan Vs Actual Year 2023-24</t>
  </si>
  <si>
    <t>Sr No</t>
  </si>
  <si>
    <t>Turbine No</t>
  </si>
  <si>
    <t>Generator Make</t>
  </si>
  <si>
    <t>Turbine ID</t>
  </si>
  <si>
    <t>6 Months Schedule Date</t>
  </si>
  <si>
    <t>Completed Date</t>
  </si>
  <si>
    <t>12 Months Schedule Date</t>
  </si>
  <si>
    <t>18 Months Schedule Date</t>
  </si>
  <si>
    <t>24 Months Schedule Date</t>
  </si>
  <si>
    <t>30 Months Schedule Date</t>
  </si>
  <si>
    <t>36 Months Schedule Date</t>
  </si>
  <si>
    <t>42 Months Schedule Date</t>
  </si>
  <si>
    <t>48 Months Schedule Date</t>
  </si>
  <si>
    <t>54 Month PM Schedule Date</t>
  </si>
  <si>
    <t>60Month PM Schedule Date</t>
  </si>
  <si>
    <t>66 Month PM Schedule Date</t>
  </si>
  <si>
    <t>72 Month PM Schedule Date</t>
  </si>
  <si>
    <t>78 Month PM Schedule Date</t>
  </si>
  <si>
    <t>84 Month PM Schedule Date</t>
  </si>
  <si>
    <t>90 Month PM Schedule Date</t>
  </si>
  <si>
    <t>96 Month PM Schedule Date</t>
  </si>
  <si>
    <t>Delay in Days</t>
  </si>
  <si>
    <t>102 Month PM Schedule Date</t>
  </si>
  <si>
    <t>108 Month PM Schedule Date(Suzlon)
Day-1</t>
  </si>
  <si>
    <t>108 Month PM Schedule Date(Suzlon) 
Day-2</t>
  </si>
  <si>
    <t>Completed Date
Day1</t>
  </si>
  <si>
    <t>Completed Date
Day2</t>
  </si>
  <si>
    <t>PM delay resons</t>
  </si>
  <si>
    <t>114 Month Half year PM Schedule Date</t>
  </si>
  <si>
    <t>120 Month YPM  Schedule Date
(Day-01)</t>
  </si>
  <si>
    <t>120 Month YPM  Schedule Date
(Day-02)</t>
  </si>
  <si>
    <t>120 Month YPM  Completed Date
(Day-01)</t>
  </si>
  <si>
    <t>120 Month YPM  Completed Date
(Day-02)</t>
  </si>
  <si>
    <t>G 24</t>
  </si>
  <si>
    <t>ABB</t>
  </si>
  <si>
    <t>G 25</t>
  </si>
  <si>
    <t> </t>
  </si>
  <si>
    <t>G 27</t>
  </si>
  <si>
    <t>G 31</t>
  </si>
  <si>
    <t>CANTERY</t>
  </si>
  <si>
    <t>ROW at site office (11-10-23 to 16-10-23) for crane movement to G20 &amp; Multiple activities at site BD &amp; G20 restoration work.(20-10-23 to 27-10-2023) /limited manpower at site</t>
  </si>
  <si>
    <t> Manual stop for blade bush gap issue retrofitting work on 14-Dec-24 @15:02</t>
  </si>
  <si>
    <t>G 30</t>
  </si>
  <si>
    <t>G 29</t>
  </si>
  <si>
    <t>G 34</t>
  </si>
  <si>
    <t>G 33</t>
  </si>
  <si>
    <t>G 35</t>
  </si>
  <si>
    <t>G 36</t>
  </si>
  <si>
    <t>G 37</t>
  </si>
  <si>
    <t>G 38</t>
  </si>
  <si>
    <t>G 39</t>
  </si>
  <si>
    <t xml:space="preserve"> 02 days Maint activity stopped for G-25 PM pending completion work.
</t>
  </si>
  <si>
    <t>G 40</t>
  </si>
  <si>
    <t>PM team has taken weekly off and they continue to PM work on Sunday</t>
  </si>
  <si>
    <t>PM postpone to 10-12-24 due to N2 Not avail.</t>
  </si>
  <si>
    <t>G 26</t>
  </si>
  <si>
    <t xml:space="preserve">PM team-02 employees on leave. Date- 28-11-23 </t>
  </si>
  <si>
    <t>PM Postpone 2day to 15-12-24 ,due to G-33 Pitch seal replacement work &amp; team busy in 14-12-24 &amp;G-26 B.D</t>
  </si>
  <si>
    <t>G 32</t>
  </si>
  <si>
    <t xml:space="preserve">PM team-02 employees on leave. Date- 29-11-23 </t>
  </si>
  <si>
    <t>Delay due to G-26 ,pin ball hardware damaged from 12-dec-24 to 18-dec-24</t>
  </si>
  <si>
    <t>G 28</t>
  </si>
  <si>
    <t>ROW at site office (11-10-23 to 16-10-23) for crane movement to G20</t>
  </si>
  <si>
    <t>G 21</t>
  </si>
  <si>
    <t>92</t>
  </si>
  <si>
    <t>Major B.D(Stopped due to Blade Root gap) on 15-July-24@12:51 ,Repair work completed on 15-Feb-25</t>
  </si>
  <si>
    <t>G 22</t>
  </si>
  <si>
    <t>G 23</t>
  </si>
  <si>
    <t>WTG under major BM blade crack</t>
  </si>
  <si>
    <t>G 05</t>
  </si>
  <si>
    <t xml:space="preserve">Little early taken due to HG temp error &amp; resolved </t>
  </si>
  <si>
    <t>G 15</t>
  </si>
  <si>
    <t>G 16</t>
  </si>
  <si>
    <t>PM team have taken off on 31/12/24</t>
  </si>
  <si>
    <t>G 17</t>
  </si>
  <si>
    <t xml:space="preserve">PM team have taken off on 01/01/25 &amp; on dated 05/01/25 PM cancelled due to vehicle issue </t>
  </si>
  <si>
    <t>G 18</t>
  </si>
  <si>
    <t>Team-01 assigned Yaw drive replacement work at G-15</t>
  </si>
  <si>
    <t>G 19</t>
  </si>
  <si>
    <t> on dated 09-Jan-25 ,PM cancelled due to G-18 PM Pending point Closing work</t>
  </si>
  <si>
    <t>G 20</t>
  </si>
  <si>
    <t>G 14</t>
  </si>
  <si>
    <t>on the date 15-01-25 PM Team Taken w-off</t>
  </si>
  <si>
    <t>G 13</t>
  </si>
  <si>
    <t>PM Postpone to 20-01-24,due to recreational(Sports) event as per sidhu's mail communication</t>
  </si>
  <si>
    <t>G 12</t>
  </si>
  <si>
    <t>G 09</t>
  </si>
  <si>
    <t>PM Cancelled  in 26th jan ,Republic day</t>
  </si>
  <si>
    <t>G 08</t>
  </si>
  <si>
    <t>G 06</t>
  </si>
  <si>
    <t>G 03</t>
  </si>
  <si>
    <t>Day-02 Activity not taken due to N2 Not avail.(&amp; day-2 taken after G-04)</t>
  </si>
  <si>
    <t>G 04</t>
  </si>
  <si>
    <t>Day-02 not taken due to Annual Blood donation drive</t>
  </si>
  <si>
    <t>G 02</t>
  </si>
  <si>
    <t>G 07</t>
  </si>
  <si>
    <t>G 01</t>
  </si>
  <si>
    <t>G 10</t>
  </si>
  <si>
    <t>G 11</t>
  </si>
  <si>
    <t>PM 1day postpone due to G-37 B.D(HU oil level)so replaced 3nos accumulator</t>
  </si>
  <si>
    <t>PWEGPL25</t>
  </si>
  <si>
    <t>PWEGPL27</t>
  </si>
  <si>
    <t>PWEGPL31</t>
  </si>
  <si>
    <t>PWEGPL30</t>
  </si>
  <si>
    <t>PWEGPL29</t>
  </si>
  <si>
    <t>PWEGPL28</t>
  </si>
  <si>
    <t>PWEGPL34</t>
  </si>
  <si>
    <t>PWEGPL33</t>
  </si>
  <si>
    <t>PWEGPL35</t>
  </si>
  <si>
    <t>PWEGPL36</t>
  </si>
  <si>
    <t>PWEGPL37</t>
  </si>
  <si>
    <t>PWEGPL38</t>
  </si>
  <si>
    <t>PWEGPL39</t>
  </si>
  <si>
    <t>PWEGPL40</t>
  </si>
  <si>
    <t>PWEGPL26</t>
  </si>
  <si>
    <t>PWEGPL32</t>
  </si>
  <si>
    <t>PWEGPL21</t>
  </si>
  <si>
    <t>PWEGPL22</t>
  </si>
  <si>
    <t>PWEGPL23</t>
  </si>
  <si>
    <t>PWEGPL05</t>
  </si>
  <si>
    <t>PWEGPL15</t>
  </si>
  <si>
    <t>PWEGPL16</t>
  </si>
  <si>
    <t>PWEGPL17</t>
  </si>
  <si>
    <t>PWEGPL18</t>
  </si>
  <si>
    <t>PWEGPL19</t>
  </si>
  <si>
    <t>PWEGPL20</t>
  </si>
  <si>
    <t>PWEGPL14</t>
  </si>
  <si>
    <t>PWEGPL13</t>
  </si>
  <si>
    <t>PWEGPL12</t>
  </si>
  <si>
    <t>PWEGPL09</t>
  </si>
  <si>
    <t>PWEGPL08</t>
  </si>
  <si>
    <t>PWEGPL06</t>
  </si>
  <si>
    <t>PWEGPL03</t>
  </si>
  <si>
    <t>PWEGPL04</t>
  </si>
  <si>
    <t>PWEGPL02</t>
  </si>
  <si>
    <t>PWEGPL07</t>
  </si>
  <si>
    <t>PWEGPL01</t>
  </si>
  <si>
    <t>PWEGPL10</t>
  </si>
  <si>
    <t>PWEGPL11</t>
  </si>
  <si>
    <t>Diff. Days</t>
  </si>
  <si>
    <t>Adherence</t>
  </si>
  <si>
    <t>126 Month
Plan Date
HYPM</t>
  </si>
  <si>
    <t>126 Month
Actual Date
HYPM</t>
  </si>
  <si>
    <t>WTG</t>
  </si>
  <si>
    <t>Delay due to payment issue</t>
  </si>
  <si>
    <t>Major B.D Blade root bush gap issue in blade no 596</t>
  </si>
  <si>
    <t>Major B.D Blade root bush gap issue blade 636 de erected</t>
  </si>
  <si>
    <t>delay due to Pitch seal replaced in G-07</t>
  </si>
  <si>
    <t>Delay due to Pitch cylinder replacement work in G-26</t>
  </si>
  <si>
    <t>Delayed due to  8 employess GWO training(for 4days)</t>
  </si>
  <si>
    <t>Manual stop for Carbon brush replacement work.</t>
  </si>
  <si>
    <t>Carbon brush ABB</t>
  </si>
  <si>
    <t>Carbon brush Spring ABB</t>
  </si>
  <si>
    <t>Manual stop for repeted error (low pressure on hydraulic group and failure of the rotor power supply failure) found losse connection and set RV8-10 valve then restore wtg.</t>
  </si>
  <si>
    <t xml:space="preserve">F-1 Shutdown taken for line &amp; VCB yard preventive maintenance work </t>
  </si>
  <si>
    <t xml:space="preserve">F-2 Shutdown taken for line &amp; VCB yard preventive maintenance work </t>
  </si>
  <si>
    <t>Line &amp; VCB yard maintenance work done then restore feeder</t>
  </si>
  <si>
    <t xml:space="preserve">F-4 Shutdown taken for container movement work </t>
  </si>
  <si>
    <t>F-4 Shutdown taken for PT replacement work .</t>
  </si>
  <si>
    <t xml:space="preserve">PT replaced then restore feeder </t>
  </si>
  <si>
    <t>Container movement then restore feeder</t>
  </si>
  <si>
    <t>Manual stop for SEM meter CT/PT earthing istallation work</t>
  </si>
  <si>
    <t>Manual stop for HU main accumulator replacement work</t>
  </si>
  <si>
    <t>F-4 shutdown taken for Protection PT replaced</t>
  </si>
  <si>
    <t>HU main accumulator (32 liter)</t>
  </si>
  <si>
    <t>Checked and found FG780 MPCB tripped so correct it then checked motor and connections then restore wtg.</t>
  </si>
  <si>
    <t xml:space="preserve">Manual stop for Customer audit work </t>
  </si>
  <si>
    <t>(work in progress) Tee-connector failure wtg side.</t>
  </si>
  <si>
    <t>G01 Isolator open then restore feeder</t>
  </si>
  <si>
    <t>Checked related circuit found Tee connector failure so replaced Tee connector with new one then restore wtg.</t>
  </si>
  <si>
    <t>Checked related circuit found TA033 power supply failure so replaced with new one then restore wtg.</t>
  </si>
  <si>
    <t>Power supply (20 Amp)</t>
  </si>
  <si>
    <t>Checked related circuit found Diode failure so replaced with new one then restore wtg.</t>
  </si>
  <si>
    <t>Manual stop for Customer audit point rectification and Gear box damper replacement work.</t>
  </si>
  <si>
    <t>Gear box damper</t>
  </si>
  <si>
    <t>Checked reslsted circuit found PRV valve failure so replaced with new one then restore wtg.</t>
  </si>
  <si>
    <t>Check related circuit found Addon and CCU malfunction so replaced addon and reset CCU then restore wtg.</t>
  </si>
  <si>
    <t>Manual stop for SEM meter CT/PT connection work</t>
  </si>
  <si>
    <t>Check related circuit found Proportion valve cable damage form connecter side so replaced it then take tail after that error occurred heating /coolant thermal relay failure so checked and found Coolant pump and motor failure so replaced with new one then restore wtg.</t>
  </si>
  <si>
    <t>Checked releated circuit found proportional valve failure so replaced with new one then restore wtg.</t>
  </si>
  <si>
    <t>Coolant pump  with motor</t>
  </si>
  <si>
    <t xml:space="preserve">Addon </t>
  </si>
  <si>
    <t>Circuit 2 petorling done then charge circuit 2</t>
  </si>
  <si>
    <t>Circuit 2 isolator open then charge feeder circuit 1</t>
  </si>
  <si>
    <t>Checked related circuit found Coolant motor failure so replaced with new one then restore wtg.</t>
  </si>
  <si>
    <t>Checked related circuit found cab module malfunction so interchange then restore wtg.</t>
  </si>
  <si>
    <t>Checked related circuit found slip ring TB damage so replaced TB then reconnection done then restore wtg.</t>
  </si>
  <si>
    <t>Coolant motor</t>
  </si>
  <si>
    <t>Checked related circuit found HU hose failure so replaced with new one then restore wtg.</t>
  </si>
  <si>
    <t>Checked related circuit found ccU coolant cooling motor failure so replaced with new one then restore wtg. then start wtg.</t>
  </si>
  <si>
    <t>HU hose (GP037088</t>
  </si>
  <si>
    <t>CCU cooling motor</t>
  </si>
  <si>
    <t>Carbon brush</t>
  </si>
  <si>
    <t xml:space="preserve">carbon brush </t>
  </si>
  <si>
    <t>Checked releated circuit found MPCB failure so replaced with new one then restore wtg.</t>
  </si>
  <si>
    <t xml:space="preserve">Checked related circuit found  losse connection in yaw sensor so tight it then restore wtg. </t>
  </si>
  <si>
    <t>IG Force Majeure</t>
  </si>
  <si>
    <t>EG Force Majeure</t>
  </si>
  <si>
    <t>WTG Force Majeure</t>
  </si>
  <si>
    <t>Manual stop for HYPM pending piont rectification work</t>
  </si>
  <si>
    <t xml:space="preserve">F-3 Shutdown taken for line &amp; VCB yard preventive maintenance work </t>
  </si>
  <si>
    <t xml:space="preserve">F-4 Shutdown taken for line &amp; VCB yard preventive maintenance work </t>
  </si>
  <si>
    <t xml:space="preserve">F-2 Shutdown taken for Protection CT replacement work </t>
  </si>
  <si>
    <t xml:space="preserve">Portection CT replaced then restore feeder </t>
  </si>
  <si>
    <t xml:space="preserve">Carbon brush </t>
  </si>
  <si>
    <t>Manual stop for repeated error found valve malfunction so replaced with new one then restore wtg.</t>
  </si>
  <si>
    <t>PRV8-10 valve</t>
  </si>
  <si>
    <t>Checked related circuit found oil leakage from Blade C Accumulator so replaced with new one then N2 refilling done then restore wtg.</t>
  </si>
  <si>
    <t>Manual stop for HYPM pending point rectification and radaitor clening work</t>
  </si>
  <si>
    <t>SEM Yard Earthing work done then restore wtg.</t>
  </si>
  <si>
    <t>checked T connector failure (work in progress)</t>
  </si>
  <si>
    <t>Line petroling done then charged feeder</t>
  </si>
  <si>
    <t>F-2 tripped due to Over current</t>
  </si>
  <si>
    <t>Checked related coircuit found HU main accumulator pressure low so refilled N2 then restore wtg.</t>
  </si>
  <si>
    <t>Inspection done then restore wtg.</t>
  </si>
  <si>
    <t>Checked related circuit found KR003 relay in loose condition so tight it then restore wtg</t>
  </si>
  <si>
    <t>Checked related circuit found PRV -8 Valve failure so replaced with new one then restore wtg.</t>
  </si>
  <si>
    <t>Manual stop for yaw abnormal sound rectification work</t>
  </si>
  <si>
    <t>checked related circuit found loose connection so tight it  then apply sealant then restore wtg.</t>
  </si>
  <si>
    <t>Replaced lift guide clamp then checked related circuit found generator carbon brush wear out and spring damage so replaced with new one then restore wtg.</t>
  </si>
  <si>
    <t>gadus</t>
  </si>
  <si>
    <t>PRV1-10 valve</t>
  </si>
  <si>
    <t>RV8-10 valve</t>
  </si>
  <si>
    <t>F-3 tripped due to Over current</t>
  </si>
  <si>
    <t>Manual stop for HYPM pending point rectification work</t>
  </si>
  <si>
    <t>Checked related circuit found cable connection loose so tight it then restore wtg</t>
  </si>
  <si>
    <t>Checked related circuit checked SF-6 breaker &amp; Transformer (work in progress)</t>
  </si>
  <si>
    <t>F-2 Shutdown taken for PG connector sparking rectification work</t>
  </si>
  <si>
    <t>PG connector replaced then restore circuit</t>
  </si>
  <si>
    <t>Manual stop for Trf Temperature high trouble shooting work</t>
  </si>
  <si>
    <t xml:space="preserve">Slipring cleaned Then Start WTG. </t>
  </si>
  <si>
    <t>Check related ckt found connection loose then tighted properly &amp; Reatore</t>
  </si>
  <si>
    <t>Material arrangement in progress</t>
  </si>
  <si>
    <t>Take meggering &amp; MBT test found trf failure (Work in progress)</t>
  </si>
  <si>
    <t>As per error check &amp; found B blade pressure switch cable disconnected so reconnect it then restore WTG.</t>
  </si>
  <si>
    <t>Checked related ckt found kroo2 relay found malfunctional so cleaned and interchanged relay then restore</t>
  </si>
  <si>
    <t>Check related ckt found brake power supply battery failure so replace it &amp; also transformer inspected then restore WTG.</t>
  </si>
  <si>
    <t>chack related circuit, found mcb triped. So, on it and start the wtg</t>
  </si>
  <si>
    <t>Check related ckt found MCB tripped ,on it then restore WTG.</t>
  </si>
  <si>
    <t>Found radiator dust then CCU Cooling radiatir cleaned &amp; coolant sensor cleaned then restore.</t>
  </si>
  <si>
    <t>Check related ckt, sensor checked &amp; grease applied &amp; adjusted air exit cover then restored wtg.</t>
  </si>
  <si>
    <t>Check pressure switch connection, KR919 Relay,TA 031 Power supply .(work in progress)</t>
  </si>
  <si>
    <t>Check related ckt found WS220B cable loose conection so proper tightened then restore WTG</t>
  </si>
  <si>
    <t xml:space="preserve">Check related ckt found fg480 mpcb failure then replaced it then found hose leakage then hose replaced then restore WTG. </t>
  </si>
  <si>
    <t>Check temperature sensor &amp; gb oil level &amp; cooling motor found everything ok then restore wtg.</t>
  </si>
  <si>
    <t xml:space="preserve">F-1 tripped due to Earth fault/ Over Current </t>
  </si>
  <si>
    <t>Check pressure switch connection, KR919 Relay,TA 031 Power supply output cable was short circuit,in hub pressure switch.so, corrected the circuit and restore the wtg</t>
  </si>
  <si>
    <t>MPCB (2.5 to 4.0)</t>
  </si>
  <si>
    <t>Gearbox Pump Hose</t>
  </si>
  <si>
    <t>Mnaual stop for hub leak sensor warning attending work</t>
  </si>
  <si>
    <t>Manual stop for Upper rediator high temp warning rectification work</t>
  </si>
  <si>
    <t xml:space="preserve">check ckt found C blade proportional Valve failure Replaced it then restore WTG. </t>
  </si>
  <si>
    <t>Check ckt found communication cable connection loosen so fixed it then restore WTG.</t>
  </si>
  <si>
    <t>propotional valve</t>
  </si>
  <si>
    <t>Stoppage Type</t>
  </si>
  <si>
    <t>Major Breakdown</t>
  </si>
  <si>
    <t>Breakdown</t>
  </si>
  <si>
    <t>ROW</t>
  </si>
  <si>
    <t>Paired WTG Generation for loss calculation</t>
  </si>
  <si>
    <t>Estimated Energy Loss (kWh)</t>
  </si>
  <si>
    <t>Special Remarks</t>
  </si>
  <si>
    <t>Breakdown Type</t>
  </si>
  <si>
    <t>Curtailment Order imit.</t>
  </si>
  <si>
    <t>EGA_Including_CurtailmentOrder</t>
  </si>
  <si>
    <t xml:space="preserve">Slipring cleaned &amp;  Post PM inspection done Then Start WTG. </t>
  </si>
  <si>
    <t xml:space="preserve">Check related ckt found fg480 mpcb failure then replaced it then restore WTG. </t>
  </si>
  <si>
    <t>Adjusted PRV8 or RV10 Valve then restore WTG.</t>
  </si>
  <si>
    <t>Manually stop for generator winding temperature high</t>
  </si>
  <si>
    <t>Check related ckt found A blade propotional valve failure then replaced &amp; start WTG.</t>
  </si>
  <si>
    <t>Resolved warning rectification work</t>
  </si>
  <si>
    <t>Manually stop for HYPM audit pending point closing work &amp; Nose cone DM Work</t>
  </si>
  <si>
    <t>Replaced HU main Accumulator,then start the WTG</t>
  </si>
  <si>
    <t>Chacked and found yaw contactor was stuck,after removing stuck started the WTG</t>
  </si>
  <si>
    <t>Interchange the RV-8-10 valve,then started the WTG</t>
  </si>
  <si>
    <t>ROW issue</t>
  </si>
  <si>
    <t>Replaced yaw contactor,then started the WTG</t>
  </si>
  <si>
    <t>Multiwing fan</t>
  </si>
  <si>
    <t xml:space="preserve">Light </t>
  </si>
  <si>
    <t xml:space="preserve">MPCB </t>
  </si>
  <si>
    <t>Rotor Handle</t>
  </si>
  <si>
    <t>sealant</t>
  </si>
  <si>
    <t>ABB internal Generator motor</t>
  </si>
  <si>
    <t>ABB carbon brush</t>
  </si>
  <si>
    <t>Checked and found WS243C cable was faulty so,replaced it.</t>
  </si>
  <si>
    <t>RV-8-10 valve setting done,then started the WTG</t>
  </si>
  <si>
    <t>Replaced 2nos. Trafo fan(R-HV,B-LV)</t>
  </si>
  <si>
    <t>Shutdown taken for External line LT conductor rejoin work</t>
  </si>
  <si>
    <t>After the work feeder charged</t>
  </si>
  <si>
    <t>chacked and found slipring connection cable loose, so,fixed it. Then replaced a 80w panel fan</t>
  </si>
  <si>
    <t>Chacked and found gearbox hose leakage so,replaced it. Top up 90 lit GB Oil</t>
  </si>
  <si>
    <t>Replaced 4nos. Trafo fan(B-HV,R,Y&amp;B-LV)</t>
  </si>
  <si>
    <t>gearbox manifold to metal hose connecting hose</t>
  </si>
  <si>
    <t>GB Oil</t>
  </si>
  <si>
    <t>LA hammer</t>
  </si>
  <si>
    <t>Post PM audit done</t>
  </si>
  <si>
    <t>3 nos.L A Hammer replaced,sealant applied</t>
  </si>
  <si>
    <t>chack related circuit found cable loose,after fixing cable start the wtg</t>
  </si>
  <si>
    <t>chack and found Gearbox manifold to metal hose connecting hose leakage,so replaced it. And also fond 2 nos. 80w fan failure. So,replaced it.</t>
  </si>
  <si>
    <t>chacked and found hu motor side coupler and spidex failure,so replaced it. During run trial found KR240A relay base failure so, replaced it.then start the WTG.</t>
  </si>
  <si>
    <t>80w fan</t>
  </si>
  <si>
    <t>motor side coupler</t>
  </si>
  <si>
    <t>spider</t>
  </si>
  <si>
    <t>relay base</t>
  </si>
  <si>
    <t>chacked electrovalves,pressure switch connection,pressure valves setting then fix them again and start the WTG</t>
  </si>
  <si>
    <t>found pressure switch connection cable faulty,so rejoin it and start the WTG</t>
  </si>
  <si>
    <t>clean slipring,and pm pending poins closed</t>
  </si>
  <si>
    <t>127 w panel fan</t>
  </si>
  <si>
    <t>cab module</t>
  </si>
  <si>
    <t>chack slipring connection,module, found cab module failure, so,replaced it.</t>
  </si>
  <si>
    <t>updated  PLC software</t>
  </si>
  <si>
    <t>Chacked ccu,encoder connection,corrected encoder cable connection,then started the WTG</t>
  </si>
  <si>
    <t>Blade inspection done</t>
  </si>
  <si>
    <t>Check slipring carbon brush found all are ok then check feedback ckt found ok then restore wtg</t>
  </si>
  <si>
    <t>80 w panel fan</t>
  </si>
  <si>
    <t>Check related ckt found HU contactor failure so replaced then restore WTG</t>
  </si>
  <si>
    <t>Check related circuit we found PRV 1-10 valve issue so replaced it &amp;found hydraulic main hose damage so we replaced the hose</t>
  </si>
  <si>
    <t>HU Main Hose</t>
  </si>
  <si>
    <t>Check related ckt found ground brush feedback failure so replaced.</t>
  </si>
  <si>
    <t>Shutdown taken for scada cable rejoined work .</t>
  </si>
  <si>
    <t>Check releted circuit found Cap anemometer connection loose so tighed than start WTG</t>
  </si>
  <si>
    <t>Generator bearing apply grease slipring 4 carbon brush change than start WTG</t>
  </si>
  <si>
    <t>Kluberplex BEM 41-132</t>
  </si>
  <si>
    <t>gm</t>
  </si>
  <si>
    <t xml:space="preserve">line clearance for crane </t>
  </si>
  <si>
    <t>crane passed then restore feeder</t>
  </si>
  <si>
    <t>Checked leakage, no leakage found then restore wtg.</t>
  </si>
  <si>
    <t xml:space="preserve"> Check releted circuit found proportional valve failure so replace it, than start WTG</t>
  </si>
  <si>
    <t xml:space="preserve">Proportional valve </t>
  </si>
  <si>
    <t>MPCB MS 132 (8A-12A)</t>
  </si>
  <si>
    <t>Clean slipring than start WTG</t>
  </si>
  <si>
    <t>Check releted circuit found FG781A connection loose so tighed than start WTG</t>
  </si>
  <si>
    <t>Check related ckt found  connection loose , connection tighten properly &amp; trail taken then FG280 MPCB Tripped so stand mpcb then restore wtg.</t>
  </si>
  <si>
    <t>Check related ckt found fg280 mpcb tripped so mpcb stand &amp; connection checked then trail taken again mpcb trip so check KM004 Contactor connection found connection loose then tighten properly then restore wtg.</t>
  </si>
  <si>
    <t>Material Shortage(21 Items)</t>
  </si>
  <si>
    <t>Material arrangement Work in Progress</t>
  </si>
  <si>
    <t>Transformer Commisioning Work Completed &amp; Material(CCU) arrangement work in Progress</t>
  </si>
  <si>
    <t>Transformer Erection Work completed &amp; Pending WIP</t>
  </si>
  <si>
    <t>Transformer Dismantaling Structure removal completed &amp; Pending WIP</t>
  </si>
  <si>
    <t>Trafo Commissioning Work in Progress</t>
  </si>
  <si>
    <t>Material Shortage(CCU)</t>
  </si>
  <si>
    <t xml:space="preserve"> Material(CCU) arrangement work in Progress</t>
  </si>
  <si>
    <t>check related circuit no leakage found so reset and start wtg</t>
  </si>
  <si>
    <t>check related circuit found FG280 mpcb feedback cable open so tight after reconnection trail teken then start WTG</t>
  </si>
  <si>
    <t>check related circuit found  feedback cable open so tight after reconnection trail teken then start WTG</t>
  </si>
  <si>
    <t>checked related circuit found slipring connection loose so tigh it then restore wtg.</t>
  </si>
  <si>
    <t>Check releted circuit contactor stuck found so stuck remove than start WTG</t>
  </si>
  <si>
    <t>Reaplaced CCU &amp; Lambad power supply then take test then restrore wtg.</t>
  </si>
  <si>
    <t>manual stop</t>
  </si>
  <si>
    <t>half moon sim installation work</t>
  </si>
  <si>
    <t>check reletad circuit found mcb trip so correct it than start WTG</t>
  </si>
  <si>
    <t>CCU</t>
  </si>
  <si>
    <t>LAMDA POWER SUPLY</t>
  </si>
  <si>
    <t>ENCODER</t>
  </si>
  <si>
    <t>1.6-2.5A MPCB</t>
  </si>
  <si>
    <t>PC</t>
  </si>
  <si>
    <t>Reset CCU then restore wtg.</t>
  </si>
  <si>
    <t>Checked related circuit found MCB tripped so restore MCB then checked related circuit then restore wtg.</t>
  </si>
  <si>
    <t>Transformer inspection done then restore wtg</t>
  </si>
  <si>
    <t>33kva transformer</t>
  </si>
  <si>
    <t>Lambda power supply</t>
  </si>
  <si>
    <t>2.5-4.0A MPCB</t>
  </si>
  <si>
    <t>8.0-12.0A MPCB</t>
  </si>
  <si>
    <t>addon rotor contactor</t>
  </si>
  <si>
    <t>addon stator contactor</t>
  </si>
  <si>
    <t>Emergency reset relay</t>
  </si>
  <si>
    <t>12-30-10 Contactor</t>
  </si>
  <si>
    <t>HU Contactor replaced then restore WTG.</t>
  </si>
  <si>
    <t>Material Shortage(04 Items)</t>
  </si>
  <si>
    <t>Checked related circuit found CCU malfuction so replaced with new one then take test error occurred crowbar card not ok then replaced crow bar card then occurred error active crowbar error so replaced active crow bar card with igbt then restore wtg.</t>
  </si>
  <si>
    <t>Checked related circuit found CCU malfuction so reset CCU then restore wtg.</t>
  </si>
  <si>
    <t>TU reset then restore wtg.</t>
  </si>
  <si>
    <t>Passive crowbar card</t>
  </si>
  <si>
    <t>Active igbt</t>
  </si>
  <si>
    <t>carbon brush with spring</t>
  </si>
  <si>
    <t>PRV 1-10 valve</t>
  </si>
  <si>
    <t>CNT module</t>
  </si>
  <si>
    <t>Stator contactor feedback</t>
  </si>
  <si>
    <t>Checked related circuit found internal leakage form proportional valve so replaced with new one then restore wtg.</t>
  </si>
  <si>
    <t>Checked related circuit found MPCB tripped so correct it then restore wtg.</t>
  </si>
  <si>
    <t>Manual stop for carbon brush &amp; CCU inspection work</t>
  </si>
  <si>
    <t>Checked related circuit found carbon brush wear out so replaced it then found Hu cooling motor MPCB also tripped then checked related circuit found HU cooling motor failure so replaced with new one then then restore wtg.</t>
  </si>
  <si>
    <t>Hu cooling motor</t>
  </si>
  <si>
    <t>Checked related circuit found CCU malfuction so replaced with new one then restore wtg.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</si>
</sst>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409]d/mmm/yy;@"/>
    <numFmt numFmtId="166" formatCode="[$-409]mmm/yy;@"/>
    <numFmt numFmtId="167" formatCode="[$-409]d\-mmm\-yy;@"/>
    <numFmt numFmtId="168" formatCode="_ * #,##0_ ;_ * \-#,##0_ ;_ * &quot;-&quot;??_ ;_ @_ "/>
    <numFmt numFmtId="169" formatCode="0.0%"/>
    <numFmt numFmtId="170" formatCode="h:mm;@"/>
    <numFmt numFmtId="171" formatCode="dd/mmm/yyyy"/>
  </numFmts>
  <fonts count="36">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11"/>
      <color indexed="8"/>
      <name val="Calibri"/>
      <family val="2"/>
    </font>
    <font>
      <sz val="11"/>
      <name val="Calibri"/>
      <family val="2"/>
      <scheme val="minor"/>
    </font>
    <font>
      <sz val="11"/>
      <color indexed="8"/>
      <name val="Calibri"/>
      <family val="2"/>
      <charset val="134"/>
    </font>
    <font>
      <sz val="10"/>
      <name val="Palatino Linotype"/>
      <family val="1"/>
      <charset val="134"/>
    </font>
    <font>
      <b/>
      <sz val="11"/>
      <color theme="0"/>
      <name val="Calibri"/>
      <family val="2"/>
      <scheme val="minor"/>
    </font>
    <font>
      <sz val="8"/>
      <name val="Calibri"/>
      <family val="2"/>
      <scheme val="minor"/>
    </font>
    <font>
      <sz val="11"/>
      <color theme="1"/>
      <name val="Cambria"/>
      <family val="1"/>
    </font>
    <font>
      <u/>
      <sz val="11"/>
      <color theme="10"/>
      <name val="Calibri"/>
      <family val="2"/>
      <scheme val="minor"/>
    </font>
    <font>
      <b/>
      <sz val="16"/>
      <color theme="0"/>
      <name val="Calibri"/>
      <family val="2"/>
      <scheme val="minor"/>
    </font>
    <font>
      <b/>
      <sz val="10"/>
      <color theme="0"/>
      <name val="Hadassah Friedlaender"/>
      <family val="1"/>
      <charset val="177"/>
    </font>
    <font>
      <sz val="10"/>
      <name val="Arial"/>
      <family val="2"/>
    </font>
    <font>
      <sz val="10"/>
      <name val="Hadassah Friedlaender"/>
      <family val="1"/>
      <charset val="177"/>
    </font>
    <font>
      <sz val="10"/>
      <color theme="1"/>
      <name val="Hadassah Friedlaender"/>
      <family val="1"/>
      <charset val="177"/>
    </font>
    <font>
      <b/>
      <sz val="10"/>
      <name val="Hadassah Friedlaender"/>
      <family val="1"/>
      <charset val="177"/>
    </font>
    <font>
      <sz val="10"/>
      <name val="Arial"/>
      <family val="2"/>
      <charset val="134"/>
    </font>
    <font>
      <sz val="10"/>
      <color theme="1"/>
      <name val="Cambria"/>
      <family val="1"/>
    </font>
    <font>
      <b/>
      <i/>
      <u/>
      <sz val="11"/>
      <color theme="1"/>
      <name val="Calibri"/>
      <family val="2"/>
      <scheme val="minor"/>
    </font>
    <font>
      <sz val="11"/>
      <color rgb="FF000000"/>
      <name val="Calibri"/>
      <family val="2"/>
      <scheme val="minor"/>
    </font>
    <font>
      <sz val="11"/>
      <color theme="1"/>
      <name val="Calibri"/>
      <family val="2"/>
    </font>
    <font>
      <b/>
      <i/>
      <u/>
      <sz val="12"/>
      <color theme="3" tint="0.39997558519241921"/>
      <name val="Calibri"/>
      <family val="2"/>
      <scheme val="minor"/>
    </font>
    <font>
      <sz val="11"/>
      <color theme="1"/>
      <name val="Verdana"/>
      <family val="2"/>
    </font>
    <font>
      <b/>
      <sz val="10"/>
      <color theme="1"/>
      <name val="Verdana"/>
      <family val="2"/>
    </font>
    <font>
      <b/>
      <sz val="11"/>
      <color theme="1"/>
      <name val="Verdana"/>
      <family val="2"/>
    </font>
    <font>
      <sz val="10"/>
      <name val="Verdana"/>
      <family val="2"/>
    </font>
    <font>
      <sz val="10"/>
      <color theme="1"/>
      <name val="Verdana"/>
      <family val="2"/>
    </font>
    <font>
      <sz val="8"/>
      <color theme="1"/>
      <name val="Verdana"/>
      <family val="2"/>
    </font>
    <font>
      <sz val="10"/>
      <color indexed="8"/>
      <name val="Verdana"/>
      <family val="2"/>
    </font>
    <font>
      <sz val="11"/>
      <color rgb="FF000000"/>
      <name val="Calibri"/>
      <family val="2"/>
    </font>
    <font>
      <b/>
      <sz val="11"/>
      <color rgb="FF000000"/>
      <name val="Calibri"/>
      <family val="2"/>
    </font>
    <font>
      <sz val="10"/>
      <color rgb="FF000000"/>
      <name val="Cambria"/>
      <family val="1"/>
    </font>
    <font>
      <sz val="11"/>
      <name val="Calibri"/>
      <family val="2"/>
      <scheme val="minor"/>
    </font>
    <font>
      <sz val="11"/>
      <name val="Calibri"/>
      <scheme val="minor"/>
    </font>
  </fonts>
  <fills count="29">
    <fill>
      <patternFill patternType="none"/>
    </fill>
    <fill>
      <patternFill patternType="gray125"/>
    </fill>
    <fill>
      <patternFill patternType="solid">
        <fgColor theme="9" tint="0.79998168889431442"/>
        <bgColor indexed="64"/>
      </patternFill>
    </fill>
    <fill>
      <patternFill patternType="solid">
        <fgColor theme="9"/>
        <bgColor indexed="64"/>
      </patternFill>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7"/>
        <bgColor indexed="64"/>
      </patternFill>
    </fill>
    <fill>
      <patternFill patternType="solid">
        <fgColor theme="2" tint="-9.9978637043366805E-2"/>
        <bgColor indexed="64"/>
      </patternFill>
    </fill>
    <fill>
      <patternFill patternType="solid">
        <fgColor theme="5"/>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9" tint="0.59999389629810485"/>
        <bgColor theme="9" tint="0.59999389629810485"/>
      </patternFill>
    </fill>
    <fill>
      <patternFill patternType="solid">
        <fgColor rgb="FFFFFF00"/>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rgb="FF92D05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63BE7B"/>
        <bgColor rgb="FF000000"/>
      </patternFill>
    </fill>
    <fill>
      <patternFill patternType="solid">
        <fgColor theme="0" tint="-4.9989318521683403E-2"/>
        <bgColor indexed="64"/>
      </patternFill>
    </fill>
  </fills>
  <borders count="92">
    <border>
      <left/>
      <right/>
      <top/>
      <bottom/>
      <diagonal/>
    </border>
    <border>
      <left style="dotted">
        <color theme="2" tint="-9.9917600024414813E-2"/>
      </left>
      <right style="dotted">
        <color theme="2" tint="-9.9917600024414813E-2"/>
      </right>
      <top style="dotted">
        <color theme="2" tint="-9.9917600024414813E-2"/>
      </top>
      <bottom style="dotted">
        <color theme="2" tint="-9.9917600024414813E-2"/>
      </bottom>
      <diagonal/>
    </border>
    <border>
      <left/>
      <right style="dotted">
        <color theme="2" tint="-9.9917600024414813E-2"/>
      </right>
      <top/>
      <bottom style="dotted">
        <color theme="2" tint="-9.9917600024414813E-2"/>
      </bottom>
      <diagonal/>
    </border>
    <border>
      <left style="dotted">
        <color theme="2" tint="-9.9917600024414813E-2"/>
      </left>
      <right style="dotted">
        <color theme="2" tint="-9.9917600024414813E-2"/>
      </right>
      <top/>
      <bottom style="dotted">
        <color theme="2" tint="-9.9917600024414813E-2"/>
      </bottom>
      <diagonal/>
    </border>
    <border>
      <left style="dotted">
        <color theme="2" tint="-9.9917600024414813E-2"/>
      </left>
      <right/>
      <top/>
      <bottom style="dotted">
        <color theme="2" tint="-9.9917600024414813E-2"/>
      </bottom>
      <diagonal/>
    </border>
    <border>
      <left/>
      <right style="dotted">
        <color theme="2" tint="-9.9917600024414813E-2"/>
      </right>
      <top style="dotted">
        <color theme="2" tint="-9.9917600024414813E-2"/>
      </top>
      <bottom/>
      <diagonal/>
    </border>
    <border>
      <left style="dotted">
        <color theme="2" tint="-9.9917600024414813E-2"/>
      </left>
      <right style="dotted">
        <color theme="2" tint="-9.9917600024414813E-2"/>
      </right>
      <top style="dotted">
        <color theme="2" tint="-9.9917600024414813E-2"/>
      </top>
      <bottom/>
      <diagonal/>
    </border>
    <border>
      <left style="dotted">
        <color theme="2" tint="-9.9917600024414813E-2"/>
      </left>
      <right/>
      <top style="dotted">
        <color theme="2" tint="-9.9917600024414813E-2"/>
      </top>
      <bottom/>
      <diagonal/>
    </border>
    <border>
      <left style="thin">
        <color auto="1"/>
      </left>
      <right style="thin">
        <color auto="1"/>
      </right>
      <top style="thin">
        <color auto="1"/>
      </top>
      <bottom style="thin">
        <color auto="1"/>
      </bottom>
      <diagonal/>
    </border>
    <border>
      <left style="dotted">
        <color theme="2" tint="-9.9948118533890809E-2"/>
      </left>
      <right style="dotted">
        <color theme="2" tint="-9.9948118533890809E-2"/>
      </right>
      <top style="dotted">
        <color theme="2" tint="-9.9948118533890809E-2"/>
      </top>
      <bottom style="dotted">
        <color theme="2" tint="-9.9948118533890809E-2"/>
      </bottom>
      <diagonal/>
    </border>
    <border>
      <left style="dotted">
        <color theme="2" tint="-9.9948118533890809E-2"/>
      </left>
      <right style="dotted">
        <color theme="2" tint="-9.9948118533890809E-2"/>
      </right>
      <top/>
      <bottom style="dotted">
        <color theme="2" tint="-9.9948118533890809E-2"/>
      </bottom>
      <diagonal/>
    </border>
    <border>
      <left style="thin">
        <color auto="1"/>
      </left>
      <right/>
      <top/>
      <bottom style="thin">
        <color auto="1"/>
      </bottom>
      <diagonal/>
    </border>
    <border>
      <left/>
      <right/>
      <top/>
      <bottom style="thin">
        <color auto="1"/>
      </bottom>
      <diagonal/>
    </border>
    <border>
      <left style="medium">
        <color indexed="64"/>
      </left>
      <right/>
      <top style="hair">
        <color theme="5"/>
      </top>
      <bottom style="hair">
        <color theme="5"/>
      </bottom>
      <diagonal/>
    </border>
    <border>
      <left/>
      <right/>
      <top style="hair">
        <color theme="5"/>
      </top>
      <bottom style="hair">
        <color theme="5"/>
      </bottom>
      <diagonal/>
    </border>
    <border>
      <left/>
      <right style="medium">
        <color indexed="64"/>
      </right>
      <top style="hair">
        <color theme="5"/>
      </top>
      <bottom style="hair">
        <color theme="5"/>
      </bottom>
      <diagonal/>
    </border>
    <border>
      <left style="medium">
        <color indexed="64"/>
      </left>
      <right style="double">
        <color theme="5" tint="0.59996337778862885"/>
      </right>
      <top/>
      <bottom style="medium">
        <color indexed="64"/>
      </bottom>
      <diagonal/>
    </border>
    <border>
      <left style="double">
        <color theme="5" tint="0.59996337778862885"/>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theme="5" tint="0.59996337778862885"/>
      </left>
      <right style="double">
        <color theme="5" tint="0.59996337778862885"/>
      </right>
      <top/>
      <bottom/>
      <diagonal/>
    </border>
    <border>
      <left style="medium">
        <color indexed="64"/>
      </left>
      <right style="hair">
        <color theme="5"/>
      </right>
      <top style="medium">
        <color indexed="64"/>
      </top>
      <bottom style="medium">
        <color indexed="64"/>
      </bottom>
      <diagonal/>
    </border>
    <border>
      <left style="hair">
        <color theme="5"/>
      </left>
      <right style="hair">
        <color theme="5"/>
      </right>
      <top style="medium">
        <color indexed="64"/>
      </top>
      <bottom style="medium">
        <color indexed="64"/>
      </bottom>
      <diagonal/>
    </border>
    <border>
      <left style="hair">
        <color theme="5"/>
      </left>
      <right style="medium">
        <color indexed="64"/>
      </right>
      <top style="medium">
        <color indexed="64"/>
      </top>
      <bottom style="medium">
        <color indexed="64"/>
      </bottom>
      <diagonal/>
    </border>
    <border>
      <left style="hair">
        <color theme="5"/>
      </left>
      <right style="hair">
        <color theme="5"/>
      </right>
      <top style="medium">
        <color indexed="64"/>
      </top>
      <bottom style="hair">
        <color theme="5"/>
      </bottom>
      <diagonal/>
    </border>
    <border>
      <left style="hair">
        <color theme="5"/>
      </left>
      <right style="medium">
        <color indexed="64"/>
      </right>
      <top style="medium">
        <color indexed="64"/>
      </top>
      <bottom style="hair">
        <color theme="5"/>
      </bottom>
      <diagonal/>
    </border>
    <border>
      <left style="hair">
        <color theme="5"/>
      </left>
      <right style="hair">
        <color theme="5"/>
      </right>
      <top style="hair">
        <color theme="5"/>
      </top>
      <bottom style="hair">
        <color theme="5"/>
      </bottom>
      <diagonal/>
    </border>
    <border>
      <left style="hair">
        <color theme="5"/>
      </left>
      <right style="medium">
        <color indexed="64"/>
      </right>
      <top style="hair">
        <color theme="5"/>
      </top>
      <bottom style="hair">
        <color theme="5"/>
      </bottom>
      <diagonal/>
    </border>
    <border>
      <left style="hair">
        <color theme="5"/>
      </left>
      <right style="hair">
        <color theme="5"/>
      </right>
      <top style="hair">
        <color theme="5"/>
      </top>
      <bottom style="medium">
        <color indexed="64"/>
      </bottom>
      <diagonal/>
    </border>
    <border>
      <left style="hair">
        <color theme="5"/>
      </left>
      <right style="medium">
        <color indexed="64"/>
      </right>
      <top style="hair">
        <color theme="5"/>
      </top>
      <bottom style="medium">
        <color indexed="64"/>
      </bottom>
      <diagonal/>
    </border>
    <border>
      <left style="medium">
        <color indexed="64"/>
      </left>
      <right style="hair">
        <color theme="5"/>
      </right>
      <top style="medium">
        <color indexed="64"/>
      </top>
      <bottom/>
      <diagonal/>
    </border>
    <border>
      <left style="medium">
        <color indexed="64"/>
      </left>
      <right style="hair">
        <color theme="5"/>
      </right>
      <top/>
      <bottom/>
      <diagonal/>
    </border>
    <border>
      <left style="medium">
        <color indexed="64"/>
      </left>
      <right style="hair">
        <color theme="5"/>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indexed="64"/>
      </right>
      <top style="thin">
        <color indexed="64"/>
      </top>
      <bottom style="thin">
        <color theme="4" tint="0.39997558519241921"/>
      </bottom>
      <diagonal/>
    </border>
    <border>
      <left style="medium">
        <color indexed="64"/>
      </left>
      <right/>
      <top style="medium">
        <color indexed="64"/>
      </top>
      <bottom style="hair">
        <color theme="5"/>
      </bottom>
      <diagonal/>
    </border>
    <border>
      <left/>
      <right/>
      <top style="medium">
        <color indexed="64"/>
      </top>
      <bottom style="hair">
        <color theme="5"/>
      </bottom>
      <diagonal/>
    </border>
    <border>
      <left/>
      <right style="medium">
        <color indexed="64"/>
      </right>
      <top style="medium">
        <color indexed="64"/>
      </top>
      <bottom style="hair">
        <color theme="5"/>
      </bottom>
      <diagonal/>
    </border>
    <border>
      <left style="dotted">
        <color auto="1"/>
      </left>
      <right style="dotted">
        <color auto="1"/>
      </right>
      <top/>
      <bottom style="dotted">
        <color auto="1"/>
      </bottom>
      <diagonal/>
    </border>
    <border>
      <left/>
      <right style="thin">
        <color theme="0"/>
      </right>
      <top style="thin">
        <color theme="0"/>
      </top>
      <bottom style="thin">
        <color theme="0"/>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style="dotted">
        <color auto="1"/>
      </right>
      <top/>
      <bottom style="dotted">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hair">
        <color theme="5"/>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indexed="64"/>
      </right>
      <top style="medium">
        <color rgb="FF000000"/>
      </top>
      <bottom style="medium">
        <color rgb="FF000000"/>
      </bottom>
      <diagonal/>
    </border>
    <border>
      <left style="thin">
        <color indexed="64"/>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indexed="64"/>
      </bottom>
      <diagonal/>
    </border>
    <border>
      <left style="thin">
        <color indexed="64"/>
      </left>
      <right style="medium">
        <color rgb="FF000000"/>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indexed="64"/>
      </right>
      <top/>
      <bottom style="thin">
        <color indexed="64"/>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medium">
        <color rgb="FF000000"/>
      </left>
      <right style="thin">
        <color indexed="64"/>
      </right>
      <top/>
      <bottom/>
      <diagonal/>
    </border>
    <border>
      <left/>
      <right style="medium">
        <color rgb="FF000000"/>
      </right>
      <top/>
      <bottom style="thin">
        <color indexed="64"/>
      </bottom>
      <diagonal/>
    </border>
    <border>
      <left/>
      <right style="medium">
        <color rgb="FF000000"/>
      </right>
      <top/>
      <bottom style="medium">
        <color rgb="FF000000"/>
      </bottom>
      <diagonal/>
    </border>
    <border>
      <left style="medium">
        <color indexed="64"/>
      </left>
      <right style="thin">
        <color indexed="64"/>
      </right>
      <top style="medium">
        <color indexed="64"/>
      </top>
      <bottom style="medium">
        <color indexed="64"/>
      </bottom>
      <diagonal/>
    </border>
    <border>
      <left style="medium">
        <color rgb="FF000000"/>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2">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4" fillId="0" borderId="0" applyFont="0" applyFill="0" applyBorder="0" applyAlignment="0" applyProtection="0"/>
    <xf numFmtId="0" fontId="6" fillId="0" borderId="0">
      <alignment vertical="center"/>
    </xf>
    <xf numFmtId="0" fontId="11" fillId="0" borderId="0" applyNumberFormat="0" applyFill="0" applyBorder="0" applyAlignment="0" applyProtection="0"/>
    <xf numFmtId="0" fontId="1" fillId="0" borderId="0"/>
    <xf numFmtId="0" fontId="14" fillId="0" borderId="0"/>
    <xf numFmtId="9" fontId="6" fillId="0" borderId="0" applyFont="0" applyFill="0" applyBorder="0" applyAlignment="0" applyProtection="0">
      <alignment vertical="center"/>
    </xf>
    <xf numFmtId="0" fontId="18" fillId="0" borderId="0">
      <alignment vertical="center"/>
    </xf>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2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cellStyleXfs>
  <cellXfs count="407">
    <xf numFmtId="0" fontId="0" fillId="0" borderId="0" xfId="0"/>
    <xf numFmtId="0" fontId="0" fillId="0" borderId="0" xfId="0" applyAlignment="1">
      <alignment horizontal="center"/>
    </xf>
    <xf numFmtId="164" fontId="0" fillId="0" borderId="0" xfId="0" applyNumberFormat="1" applyAlignment="1">
      <alignment horizontal="center"/>
    </xf>
    <xf numFmtId="1" fontId="0" fillId="0" borderId="0" xfId="0" applyNumberFormat="1"/>
    <xf numFmtId="0" fontId="0" fillId="2" borderId="0" xfId="0" applyFill="1" applyAlignment="1">
      <alignment horizontal="centerContinuous"/>
    </xf>
    <xf numFmtId="0" fontId="0" fillId="6" borderId="0" xfId="0" applyFill="1" applyAlignment="1">
      <alignment horizontal="centerContinuous"/>
    </xf>
    <xf numFmtId="0" fontId="0" fillId="4" borderId="0" xfId="0" applyFill="1" applyAlignment="1">
      <alignment horizontal="centerContinuous"/>
    </xf>
    <xf numFmtId="0" fontId="5" fillId="8" borderId="0" xfId="0" applyFont="1" applyFill="1" applyAlignment="1">
      <alignment horizontal="centerContinuous"/>
    </xf>
    <xf numFmtId="165" fontId="3" fillId="3" borderId="2" xfId="3" applyNumberFormat="1" applyFont="1" applyFill="1" applyBorder="1" applyAlignment="1">
      <alignment horizontal="center" vertical="center" wrapText="1"/>
    </xf>
    <xf numFmtId="0" fontId="3" fillId="3" borderId="3" xfId="3" applyFont="1" applyFill="1" applyBorder="1" applyAlignment="1">
      <alignment horizontal="center" vertical="center" wrapText="1"/>
    </xf>
    <xf numFmtId="10" fontId="3" fillId="3" borderId="3" xfId="4" applyNumberFormat="1" applyFont="1" applyFill="1" applyBorder="1" applyAlignment="1">
      <alignment horizontal="center" vertical="center" wrapText="1"/>
    </xf>
    <xf numFmtId="10" fontId="3" fillId="3" borderId="4" xfId="4" applyNumberFormat="1" applyFont="1" applyFill="1" applyBorder="1" applyAlignment="1">
      <alignment horizontal="center" vertical="center" wrapText="1"/>
    </xf>
    <xf numFmtId="1" fontId="5" fillId="7" borderId="1" xfId="0" applyNumberFormat="1" applyFont="1" applyFill="1" applyBorder="1" applyAlignment="1">
      <alignment horizontal="center"/>
    </xf>
    <xf numFmtId="0" fontId="5" fillId="7" borderId="1" xfId="0" applyFont="1" applyFill="1" applyBorder="1" applyAlignment="1">
      <alignment horizontal="center"/>
    </xf>
    <xf numFmtId="166" fontId="5" fillId="7" borderId="1" xfId="0" applyNumberFormat="1" applyFont="1" applyFill="1" applyBorder="1" applyAlignment="1">
      <alignment horizontal="center"/>
    </xf>
    <xf numFmtId="1" fontId="5" fillId="0" borderId="1" xfId="4" applyNumberFormat="1" applyFont="1" applyFill="1" applyBorder="1" applyAlignment="1">
      <alignment horizontal="center"/>
    </xf>
    <xf numFmtId="164" fontId="5" fillId="0" borderId="1" xfId="4" applyNumberFormat="1" applyFont="1" applyFill="1" applyBorder="1" applyAlignment="1">
      <alignment horizontal="center"/>
    </xf>
    <xf numFmtId="168" fontId="5" fillId="7" borderId="1" xfId="1" applyNumberFormat="1" applyFont="1" applyFill="1" applyBorder="1" applyAlignment="1">
      <alignment horizontal="center"/>
    </xf>
    <xf numFmtId="164" fontId="5" fillId="7" borderId="1" xfId="4" applyNumberFormat="1" applyFont="1" applyFill="1" applyBorder="1" applyAlignment="1">
      <alignment horizontal="center"/>
    </xf>
    <xf numFmtId="1" fontId="5" fillId="5" borderId="1" xfId="4" applyNumberFormat="1" applyFont="1" applyFill="1" applyBorder="1" applyAlignment="1">
      <alignment horizontal="center"/>
    </xf>
    <xf numFmtId="167" fontId="7" fillId="0" borderId="5" xfId="5" applyNumberFormat="1" applyFont="1" applyBorder="1" applyAlignment="1">
      <alignment horizontal="center" vertical="center"/>
    </xf>
    <xf numFmtId="10" fontId="5" fillId="7" borderId="7" xfId="2" applyNumberFormat="1" applyFont="1" applyFill="1" applyBorder="1" applyAlignment="1">
      <alignment horizontal="center"/>
    </xf>
    <xf numFmtId="0" fontId="11" fillId="0" borderId="0" xfId="6"/>
    <xf numFmtId="10" fontId="0" fillId="0" borderId="0" xfId="2" applyNumberFormat="1" applyFont="1" applyAlignment="1">
      <alignment horizontal="center"/>
    </xf>
    <xf numFmtId="0" fontId="3" fillId="3" borderId="10" xfId="3" applyFont="1" applyFill="1" applyBorder="1" applyAlignment="1">
      <alignment horizontal="center" vertical="center" wrapText="1"/>
    </xf>
    <xf numFmtId="2" fontId="10" fillId="7" borderId="9" xfId="0" applyNumberFormat="1" applyFont="1" applyFill="1" applyBorder="1" applyAlignment="1">
      <alignment horizontal="center"/>
    </xf>
    <xf numFmtId="0" fontId="0" fillId="9" borderId="0" xfId="0" applyFill="1" applyAlignment="1">
      <alignment vertical="center"/>
    </xf>
    <xf numFmtId="15" fontId="0" fillId="10" borderId="0" xfId="0" applyNumberFormat="1" applyFill="1" applyAlignment="1">
      <alignment horizontal="center" vertical="center"/>
    </xf>
    <xf numFmtId="0" fontId="2" fillId="0" borderId="0" xfId="0" applyFont="1"/>
    <xf numFmtId="0" fontId="8" fillId="12" borderId="8" xfId="0" applyFont="1" applyFill="1" applyBorder="1" applyAlignment="1">
      <alignment vertical="center"/>
    </xf>
    <xf numFmtId="0" fontId="8" fillId="12" borderId="8" xfId="0" applyFont="1" applyFill="1" applyBorder="1" applyAlignment="1">
      <alignment horizontal="center" vertical="center" wrapText="1"/>
    </xf>
    <xf numFmtId="17" fontId="2" fillId="12" borderId="8" xfId="0" applyNumberFormat="1" applyFont="1" applyFill="1" applyBorder="1" applyAlignment="1">
      <alignment horizontal="center" vertical="center"/>
    </xf>
    <xf numFmtId="1" fontId="0" fillId="13" borderId="8" xfId="0" applyNumberFormat="1" applyFill="1" applyBorder="1" applyAlignment="1">
      <alignment horizontal="center" vertical="center"/>
    </xf>
    <xf numFmtId="2" fontId="0" fillId="13" borderId="8" xfId="0" applyNumberFormat="1" applyFill="1" applyBorder="1" applyAlignment="1">
      <alignment horizontal="center" vertical="center"/>
    </xf>
    <xf numFmtId="2" fontId="0" fillId="14" borderId="8" xfId="0" applyNumberFormat="1" applyFill="1" applyBorder="1" applyAlignment="1">
      <alignment horizontal="center" vertical="center"/>
    </xf>
    <xf numFmtId="1" fontId="0" fillId="14" borderId="8" xfId="0" applyNumberFormat="1" applyFill="1" applyBorder="1" applyAlignment="1">
      <alignment horizontal="center" vertical="center"/>
    </xf>
    <xf numFmtId="169" fontId="0" fillId="13" borderId="8" xfId="2" applyNumberFormat="1" applyFont="1" applyFill="1" applyBorder="1" applyAlignment="1">
      <alignment horizontal="center" vertical="center"/>
    </xf>
    <xf numFmtId="169" fontId="0" fillId="14" borderId="8" xfId="2" applyNumberFormat="1" applyFont="1" applyFill="1" applyBorder="1" applyAlignment="1">
      <alignment horizontal="center" vertical="center"/>
    </xf>
    <xf numFmtId="10" fontId="0" fillId="14" borderId="8" xfId="2" applyNumberFormat="1" applyFont="1" applyFill="1" applyBorder="1" applyAlignment="1">
      <alignment horizontal="center" vertical="center"/>
    </xf>
    <xf numFmtId="0" fontId="0" fillId="0" borderId="0" xfId="0" applyAlignment="1">
      <alignment vertical="center"/>
    </xf>
    <xf numFmtId="10" fontId="0" fillId="0" borderId="0" xfId="2" applyNumberFormat="1" applyFont="1"/>
    <xf numFmtId="0" fontId="8" fillId="12" borderId="8" xfId="0" applyFont="1" applyFill="1" applyBorder="1" applyAlignment="1">
      <alignment horizontal="center" vertical="center"/>
    </xf>
    <xf numFmtId="0" fontId="1" fillId="0" borderId="0" xfId="7" applyAlignment="1">
      <alignment horizontal="center"/>
    </xf>
    <xf numFmtId="0" fontId="1" fillId="0" borderId="0" xfId="7"/>
    <xf numFmtId="0" fontId="1" fillId="0" borderId="0" xfId="7" applyAlignment="1">
      <alignment horizontal="right"/>
    </xf>
    <xf numFmtId="0" fontId="13" fillId="15" borderId="13" xfId="0" applyFont="1" applyFill="1" applyBorder="1"/>
    <xf numFmtId="166" fontId="15" fillId="5" borderId="14" xfId="8" applyNumberFormat="1" applyFont="1" applyFill="1" applyBorder="1" applyAlignment="1">
      <alignment horizontal="left" vertical="center"/>
    </xf>
    <xf numFmtId="166" fontId="15" fillId="5" borderId="14" xfId="8" applyNumberFormat="1" applyFont="1" applyFill="1" applyBorder="1" applyAlignment="1">
      <alignment vertical="center"/>
    </xf>
    <xf numFmtId="166" fontId="15" fillId="5" borderId="15" xfId="8" applyNumberFormat="1" applyFont="1" applyFill="1" applyBorder="1" applyAlignment="1">
      <alignment vertical="center"/>
    </xf>
    <xf numFmtId="165" fontId="15" fillId="5" borderId="14" xfId="8" applyNumberFormat="1" applyFont="1" applyFill="1" applyBorder="1" applyAlignment="1">
      <alignment horizontal="left" vertical="center"/>
    </xf>
    <xf numFmtId="0" fontId="9" fillId="0" borderId="0" xfId="8" applyFont="1" applyAlignment="1">
      <alignment horizontal="center" vertical="center"/>
    </xf>
    <xf numFmtId="0" fontId="1" fillId="0" borderId="0" xfId="7" applyAlignment="1">
      <alignment vertical="center"/>
    </xf>
    <xf numFmtId="0" fontId="13" fillId="15" borderId="16" xfId="0" applyFont="1" applyFill="1" applyBorder="1"/>
    <xf numFmtId="165" fontId="15" fillId="5" borderId="17" xfId="8" applyNumberFormat="1" applyFont="1" applyFill="1" applyBorder="1" applyAlignment="1">
      <alignment horizontal="left" vertical="center"/>
    </xf>
    <xf numFmtId="166" fontId="15" fillId="5" borderId="18" xfId="8" applyNumberFormat="1" applyFont="1" applyFill="1" applyBorder="1" applyAlignment="1">
      <alignment vertical="center"/>
    </xf>
    <xf numFmtId="166" fontId="15" fillId="5" borderId="19" xfId="8" applyNumberFormat="1" applyFont="1" applyFill="1" applyBorder="1" applyAlignment="1">
      <alignment vertical="center"/>
    </xf>
    <xf numFmtId="0" fontId="16" fillId="5" borderId="20" xfId="0" applyFont="1" applyFill="1" applyBorder="1"/>
    <xf numFmtId="165" fontId="17" fillId="5" borderId="20" xfId="8" applyNumberFormat="1" applyFont="1" applyFill="1" applyBorder="1" applyAlignment="1">
      <alignment horizontal="left" vertical="center"/>
    </xf>
    <xf numFmtId="0" fontId="13" fillId="15" borderId="21" xfId="0" applyFont="1" applyFill="1" applyBorder="1" applyAlignment="1">
      <alignment horizontal="center" vertical="center" wrapText="1"/>
    </xf>
    <xf numFmtId="0" fontId="13" fillId="15" borderId="22" xfId="0" applyFont="1" applyFill="1" applyBorder="1" applyAlignment="1">
      <alignment horizontal="center" vertical="center" wrapText="1"/>
    </xf>
    <xf numFmtId="0" fontId="13" fillId="15" borderId="23" xfId="0" applyFont="1" applyFill="1" applyBorder="1" applyAlignment="1">
      <alignment horizontal="center" vertical="center" wrapText="1"/>
    </xf>
    <xf numFmtId="0" fontId="16" fillId="5" borderId="24" xfId="0" applyFont="1" applyFill="1" applyBorder="1"/>
    <xf numFmtId="1" fontId="15" fillId="5" borderId="24" xfId="2" applyNumberFormat="1" applyFont="1" applyFill="1" applyBorder="1" applyAlignment="1">
      <alignment horizontal="center" vertical="center"/>
    </xf>
    <xf numFmtId="1" fontId="16" fillId="5" borderId="24" xfId="2" applyNumberFormat="1" applyFont="1" applyFill="1" applyBorder="1" applyAlignment="1">
      <alignment horizontal="center"/>
    </xf>
    <xf numFmtId="10" fontId="16" fillId="5" borderId="24" xfId="9" applyNumberFormat="1" applyFont="1" applyFill="1" applyBorder="1" applyAlignment="1">
      <alignment horizontal="center"/>
    </xf>
    <xf numFmtId="0" fontId="16" fillId="5" borderId="26" xfId="0" applyFont="1" applyFill="1" applyBorder="1"/>
    <xf numFmtId="1" fontId="15" fillId="5" borderId="26" xfId="2" applyNumberFormat="1" applyFont="1" applyFill="1" applyBorder="1" applyAlignment="1">
      <alignment horizontal="center" vertical="center"/>
    </xf>
    <xf numFmtId="1" fontId="16" fillId="5" borderId="26" xfId="2" applyNumberFormat="1" applyFont="1" applyFill="1" applyBorder="1" applyAlignment="1">
      <alignment horizontal="center"/>
    </xf>
    <xf numFmtId="10" fontId="16" fillId="5" borderId="26" xfId="9" applyNumberFormat="1" applyFont="1" applyFill="1" applyBorder="1" applyAlignment="1">
      <alignment horizontal="center"/>
    </xf>
    <xf numFmtId="0" fontId="16" fillId="5" borderId="28" xfId="0" applyFont="1" applyFill="1" applyBorder="1"/>
    <xf numFmtId="1" fontId="15" fillId="5" borderId="28" xfId="2" applyNumberFormat="1" applyFont="1" applyFill="1" applyBorder="1" applyAlignment="1">
      <alignment horizontal="center" vertical="center"/>
    </xf>
    <xf numFmtId="1" fontId="16" fillId="5" borderId="28" xfId="2" applyNumberFormat="1" applyFont="1" applyFill="1" applyBorder="1" applyAlignment="1">
      <alignment horizontal="center"/>
    </xf>
    <xf numFmtId="10" fontId="16" fillId="5" borderId="28" xfId="9" applyNumberFormat="1" applyFont="1" applyFill="1" applyBorder="1" applyAlignment="1">
      <alignment horizontal="center"/>
    </xf>
    <xf numFmtId="164" fontId="15" fillId="5" borderId="24" xfId="2" applyNumberFormat="1" applyFont="1" applyFill="1" applyBorder="1" applyAlignment="1">
      <alignment horizontal="center" vertical="center"/>
    </xf>
    <xf numFmtId="164" fontId="16" fillId="5" borderId="24" xfId="2" applyNumberFormat="1" applyFont="1" applyFill="1" applyBorder="1" applyAlignment="1">
      <alignment horizontal="center"/>
    </xf>
    <xf numFmtId="164" fontId="15" fillId="5" borderId="26" xfId="2" applyNumberFormat="1" applyFont="1" applyFill="1" applyBorder="1" applyAlignment="1">
      <alignment horizontal="center" vertical="center"/>
    </xf>
    <xf numFmtId="164" fontId="16" fillId="5" borderId="26" xfId="2" applyNumberFormat="1" applyFont="1" applyFill="1" applyBorder="1" applyAlignment="1">
      <alignment horizontal="center"/>
    </xf>
    <xf numFmtId="164" fontId="15" fillId="5" borderId="28" xfId="2" applyNumberFormat="1" applyFont="1" applyFill="1" applyBorder="1" applyAlignment="1">
      <alignment horizontal="center" vertical="center"/>
    </xf>
    <xf numFmtId="164" fontId="16" fillId="5" borderId="28" xfId="2" applyNumberFormat="1" applyFont="1" applyFill="1" applyBorder="1" applyAlignment="1">
      <alignment horizontal="center"/>
    </xf>
    <xf numFmtId="169" fontId="16" fillId="5" borderId="24" xfId="2" applyNumberFormat="1" applyFont="1" applyFill="1" applyBorder="1" applyAlignment="1">
      <alignment horizontal="center"/>
    </xf>
    <xf numFmtId="169" fontId="16" fillId="5" borderId="26" xfId="2" applyNumberFormat="1" applyFont="1" applyFill="1" applyBorder="1" applyAlignment="1">
      <alignment horizontal="center"/>
    </xf>
    <xf numFmtId="169" fontId="16" fillId="5" borderId="28" xfId="2" applyNumberFormat="1" applyFont="1" applyFill="1" applyBorder="1" applyAlignment="1">
      <alignment horizontal="center"/>
    </xf>
    <xf numFmtId="1" fontId="2" fillId="12" borderId="8" xfId="0" applyNumberFormat="1" applyFont="1" applyFill="1" applyBorder="1" applyAlignment="1">
      <alignment horizontal="center" vertical="center"/>
    </xf>
    <xf numFmtId="0" fontId="19" fillId="0" borderId="8" xfId="0" applyFont="1" applyBorder="1" applyAlignment="1">
      <alignment horizontal="left"/>
    </xf>
    <xf numFmtId="0" fontId="0" fillId="0" borderId="8" xfId="0" applyBorder="1"/>
    <xf numFmtId="1" fontId="3" fillId="3" borderId="3" xfId="0" applyNumberFormat="1" applyFont="1" applyFill="1" applyBorder="1" applyAlignment="1">
      <alignment horizontal="center" vertical="center" wrapText="1"/>
    </xf>
    <xf numFmtId="10" fontId="3" fillId="3" borderId="3" xfId="0" applyNumberFormat="1" applyFont="1" applyFill="1" applyBorder="1" applyAlignment="1">
      <alignment horizontal="center" vertical="center" wrapText="1"/>
    </xf>
    <xf numFmtId="1" fontId="5" fillId="0" borderId="1" xfId="1" applyNumberFormat="1" applyFont="1" applyFill="1" applyBorder="1" applyAlignment="1">
      <alignment horizontal="center"/>
    </xf>
    <xf numFmtId="1" fontId="5" fillId="0" borderId="1" xfId="0" applyNumberFormat="1" applyFont="1" applyBorder="1" applyAlignment="1">
      <alignment horizontal="center"/>
    </xf>
    <xf numFmtId="164" fontId="5" fillId="0" borderId="1" xfId="0" applyNumberFormat="1" applyFont="1" applyBorder="1" applyAlignment="1">
      <alignment horizontal="center"/>
    </xf>
    <xf numFmtId="0" fontId="5" fillId="0" borderId="1" xfId="1" applyNumberFormat="1" applyFont="1" applyFill="1" applyBorder="1" applyAlignment="1">
      <alignment horizontal="center"/>
    </xf>
    <xf numFmtId="168" fontId="5" fillId="7" borderId="6" xfId="1" applyNumberFormat="1" applyFont="1" applyFill="1" applyBorder="1" applyAlignment="1">
      <alignment horizontal="center"/>
    </xf>
    <xf numFmtId="0" fontId="0" fillId="17" borderId="0" xfId="0" applyFill="1"/>
    <xf numFmtId="0" fontId="0" fillId="18" borderId="0" xfId="0" applyFill="1"/>
    <xf numFmtId="0" fontId="0" fillId="0" borderId="35" xfId="0" applyBorder="1" applyAlignment="1">
      <alignment horizontal="left"/>
    </xf>
    <xf numFmtId="0" fontId="0" fillId="0" borderId="35" xfId="0" applyBorder="1"/>
    <xf numFmtId="0" fontId="13" fillId="15" borderId="13" xfId="0" applyFont="1" applyFill="1" applyBorder="1" applyAlignment="1">
      <alignment vertical="center"/>
    </xf>
    <xf numFmtId="2" fontId="0" fillId="0" borderId="0" xfId="0" applyNumberFormat="1"/>
    <xf numFmtId="0" fontId="0" fillId="0" borderId="8" xfId="0" applyBorder="1" applyAlignment="1">
      <alignment horizontal="left"/>
    </xf>
    <xf numFmtId="10" fontId="5" fillId="0" borderId="0" xfId="0" applyNumberFormat="1" applyFont="1" applyAlignment="1">
      <alignment horizontal="center"/>
    </xf>
    <xf numFmtId="1" fontId="5" fillId="0" borderId="1" xfId="3" applyNumberFormat="1" applyFont="1" applyBorder="1" applyAlignment="1">
      <alignment horizontal="center"/>
    </xf>
    <xf numFmtId="1" fontId="5" fillId="0" borderId="0" xfId="0" applyNumberFormat="1" applyFont="1" applyAlignment="1">
      <alignment horizontal="center"/>
    </xf>
    <xf numFmtId="2" fontId="5" fillId="0" borderId="0" xfId="0" applyNumberFormat="1" applyFont="1" applyAlignment="1">
      <alignment horizontal="center"/>
    </xf>
    <xf numFmtId="0" fontId="0" fillId="19" borderId="8" xfId="0" applyFill="1" applyBorder="1" applyAlignment="1">
      <alignment horizontal="left"/>
    </xf>
    <xf numFmtId="0" fontId="0" fillId="19" borderId="8" xfId="0" applyFill="1" applyBorder="1"/>
    <xf numFmtId="0" fontId="0" fillId="0" borderId="0" xfId="0" applyAlignment="1">
      <alignment horizontal="center" vertical="center"/>
    </xf>
    <xf numFmtId="171" fontId="0" fillId="0" borderId="0" xfId="0" applyNumberFormat="1"/>
    <xf numFmtId="1" fontId="0" fillId="0" borderId="0" xfId="0" applyNumberFormat="1" applyAlignment="1">
      <alignment horizontal="center" vertical="center"/>
    </xf>
    <xf numFmtId="2" fontId="0" fillId="0" borderId="0" xfId="46" applyNumberFormat="1" applyFont="1" applyFill="1" applyAlignment="1">
      <alignment horizontal="center" vertical="center"/>
    </xf>
    <xf numFmtId="164" fontId="0" fillId="0" borderId="0" xfId="46" applyNumberFormat="1" applyFont="1" applyFill="1" applyBorder="1" applyAlignment="1">
      <alignment horizontal="center" vertical="center"/>
    </xf>
    <xf numFmtId="0" fontId="0" fillId="0" borderId="42" xfId="47" applyNumberFormat="1" applyFont="1" applyFill="1" applyBorder="1" applyAlignment="1">
      <alignment horizontal="center" vertical="center"/>
    </xf>
    <xf numFmtId="10" fontId="0" fillId="0" borderId="42" xfId="46" applyNumberFormat="1" applyFont="1" applyFill="1" applyBorder="1" applyAlignment="1">
      <alignment horizontal="center" vertical="center"/>
    </xf>
    <xf numFmtId="0" fontId="0" fillId="0" borderId="43" xfId="47" applyNumberFormat="1" applyFont="1" applyFill="1" applyBorder="1" applyAlignment="1">
      <alignment horizontal="center" vertical="center"/>
    </xf>
    <xf numFmtId="10" fontId="0" fillId="0" borderId="43" xfId="46" applyNumberFormat="1" applyFont="1" applyFill="1" applyBorder="1" applyAlignment="1">
      <alignment horizontal="center" vertical="center"/>
    </xf>
    <xf numFmtId="165" fontId="3" fillId="3" borderId="39" xfId="43" applyNumberFormat="1" applyFont="1" applyFill="1" applyBorder="1" applyAlignment="1">
      <alignment horizontal="center" vertical="center" wrapText="1"/>
    </xf>
    <xf numFmtId="0" fontId="3" fillId="3" borderId="39" xfId="43" applyFont="1" applyFill="1" applyBorder="1" applyAlignment="1">
      <alignment horizontal="center" vertical="center" wrapText="1"/>
    </xf>
    <xf numFmtId="0" fontId="8" fillId="20" borderId="39" xfId="0" applyFont="1" applyFill="1" applyBorder="1" applyAlignment="1">
      <alignment horizontal="center" vertical="center" wrapText="1"/>
    </xf>
    <xf numFmtId="9" fontId="8" fillId="20" borderId="39" xfId="2" applyFont="1" applyFill="1" applyBorder="1" applyAlignment="1">
      <alignment horizontal="center" vertical="center" wrapText="1"/>
    </xf>
    <xf numFmtId="15" fontId="0" fillId="0" borderId="0" xfId="0" applyNumberFormat="1" applyAlignment="1">
      <alignment horizontal="center" vertical="center"/>
    </xf>
    <xf numFmtId="17" fontId="0" fillId="0" borderId="0" xfId="0" applyNumberFormat="1" applyAlignment="1">
      <alignment horizontal="center" vertical="center"/>
    </xf>
    <xf numFmtId="2" fontId="0" fillId="0" borderId="0" xfId="46" applyNumberFormat="1" applyFont="1" applyFill="1" applyBorder="1" applyAlignment="1">
      <alignment horizontal="center" vertical="center"/>
    </xf>
    <xf numFmtId="9" fontId="0" fillId="0" borderId="0" xfId="46" applyFont="1" applyAlignment="1">
      <alignment horizontal="center" vertical="center"/>
    </xf>
    <xf numFmtId="10" fontId="22" fillId="0" borderId="0" xfId="46" applyNumberFormat="1" applyFont="1" applyAlignment="1">
      <alignment horizontal="center" vertical="center"/>
    </xf>
    <xf numFmtId="169" fontId="0" fillId="0" borderId="0" xfId="46" applyNumberFormat="1" applyFont="1" applyAlignment="1">
      <alignment horizontal="center" vertical="center"/>
    </xf>
    <xf numFmtId="10" fontId="0" fillId="0" borderId="0" xfId="46" applyNumberFormat="1" applyFont="1" applyAlignment="1">
      <alignment horizontal="center" vertical="center"/>
    </xf>
    <xf numFmtId="164" fontId="0" fillId="0" borderId="0" xfId="0" applyNumberFormat="1" applyAlignment="1">
      <alignment horizontal="center" vertical="center"/>
    </xf>
    <xf numFmtId="9" fontId="0" fillId="0" borderId="0" xfId="2" applyFont="1" applyAlignment="1">
      <alignment horizontal="center" vertical="center"/>
    </xf>
    <xf numFmtId="9" fontId="0" fillId="0" borderId="0" xfId="0" applyNumberFormat="1" applyAlignment="1">
      <alignment horizontal="center" vertical="center"/>
    </xf>
    <xf numFmtId="9" fontId="0" fillId="0" borderId="0" xfId="2" applyFont="1"/>
    <xf numFmtId="0" fontId="8" fillId="0" borderId="41" xfId="0" applyFont="1" applyBorder="1" applyAlignment="1">
      <alignment horizontal="center" vertical="center" wrapText="1"/>
    </xf>
    <xf numFmtId="2" fontId="0" fillId="0" borderId="0" xfId="0" applyNumberFormat="1" applyAlignment="1">
      <alignment horizontal="center" vertical="center"/>
    </xf>
    <xf numFmtId="0" fontId="0" fillId="0" borderId="43" xfId="0" applyBorder="1" applyAlignment="1">
      <alignment horizontal="center" vertical="center"/>
    </xf>
    <xf numFmtId="17" fontId="0" fillId="0" borderId="43" xfId="47" applyNumberFormat="1" applyFont="1" applyFill="1" applyBorder="1" applyAlignment="1">
      <alignment horizontal="center" vertical="center"/>
    </xf>
    <xf numFmtId="0" fontId="0" fillId="0" borderId="42" xfId="0" applyBorder="1" applyAlignment="1">
      <alignment horizontal="center" vertical="center"/>
    </xf>
    <xf numFmtId="2" fontId="0" fillId="0" borderId="43" xfId="0" applyNumberFormat="1" applyBorder="1" applyAlignment="1">
      <alignment horizontal="center" vertical="center"/>
    </xf>
    <xf numFmtId="164" fontId="0" fillId="0" borderId="43" xfId="0" applyNumberFormat="1" applyBorder="1" applyAlignment="1">
      <alignment horizontal="center" vertical="center"/>
    </xf>
    <xf numFmtId="1" fontId="0" fillId="0" borderId="43" xfId="0" applyNumberFormat="1" applyBorder="1" applyAlignment="1">
      <alignment horizontal="center" vertical="center"/>
    </xf>
    <xf numFmtId="2" fontId="0" fillId="0" borderId="42" xfId="0" applyNumberFormat="1" applyBorder="1" applyAlignment="1">
      <alignment horizontal="center" vertical="center"/>
    </xf>
    <xf numFmtId="164" fontId="0" fillId="0" borderId="42" xfId="0" applyNumberFormat="1" applyBorder="1" applyAlignment="1">
      <alignment horizontal="center" vertical="center"/>
    </xf>
    <xf numFmtId="1" fontId="0" fillId="0" borderId="42" xfId="0" applyNumberFormat="1" applyBorder="1" applyAlignment="1">
      <alignment horizontal="center" vertical="center"/>
    </xf>
    <xf numFmtId="10" fontId="0" fillId="0" borderId="0" xfId="0" applyNumberFormat="1" applyAlignment="1">
      <alignment horizontal="center" vertical="center"/>
    </xf>
    <xf numFmtId="0" fontId="1" fillId="0" borderId="0" xfId="48" applyAlignment="1">
      <alignment horizontal="center" vertical="center"/>
    </xf>
    <xf numFmtId="165" fontId="3" fillId="3" borderId="44" xfId="43" applyNumberFormat="1" applyFont="1" applyFill="1" applyBorder="1" applyAlignment="1">
      <alignment horizontal="center" vertical="center" wrapText="1"/>
    </xf>
    <xf numFmtId="17" fontId="1" fillId="0" borderId="0" xfId="48" applyNumberFormat="1" applyAlignment="1">
      <alignment horizontal="center" vertical="center"/>
    </xf>
    <xf numFmtId="15" fontId="1" fillId="21" borderId="40" xfId="48" applyNumberFormat="1" applyFill="1" applyBorder="1" applyAlignment="1">
      <alignment horizontal="center" vertical="center"/>
    </xf>
    <xf numFmtId="0" fontId="8" fillId="12" borderId="34" xfId="0" applyFont="1" applyFill="1" applyBorder="1" applyAlignment="1">
      <alignment horizontal="center" vertical="center" wrapText="1"/>
    </xf>
    <xf numFmtId="1" fontId="1" fillId="0" borderId="0" xfId="48" applyNumberFormat="1" applyAlignment="1">
      <alignment horizontal="center" vertical="center"/>
    </xf>
    <xf numFmtId="169" fontId="15" fillId="0" borderId="24" xfId="2" applyNumberFormat="1" applyFont="1" applyFill="1" applyBorder="1" applyAlignment="1">
      <alignment horizontal="center" vertical="center"/>
    </xf>
    <xf numFmtId="169" fontId="15" fillId="0" borderId="26" xfId="2" applyNumberFormat="1" applyFont="1" applyFill="1" applyBorder="1" applyAlignment="1">
      <alignment horizontal="center" vertical="center"/>
    </xf>
    <xf numFmtId="169" fontId="15" fillId="0" borderId="28" xfId="2" applyNumberFormat="1" applyFont="1" applyFill="1" applyBorder="1" applyAlignment="1">
      <alignment horizontal="center" vertical="center"/>
    </xf>
    <xf numFmtId="10" fontId="0" fillId="0" borderId="0" xfId="0" applyNumberFormat="1"/>
    <xf numFmtId="169" fontId="16" fillId="0" borderId="26" xfId="2" applyNumberFormat="1" applyFont="1" applyFill="1" applyBorder="1" applyAlignment="1">
      <alignment horizontal="center"/>
    </xf>
    <xf numFmtId="1" fontId="15" fillId="0" borderId="24" xfId="2" applyNumberFormat="1" applyFont="1" applyFill="1" applyBorder="1" applyAlignment="1">
      <alignment horizontal="center" vertical="center"/>
    </xf>
    <xf numFmtId="1" fontId="15" fillId="0" borderId="26" xfId="2" applyNumberFormat="1" applyFont="1" applyFill="1" applyBorder="1" applyAlignment="1">
      <alignment horizontal="center" vertical="center"/>
    </xf>
    <xf numFmtId="1" fontId="15" fillId="0" borderId="28" xfId="2" applyNumberFormat="1" applyFont="1" applyFill="1" applyBorder="1" applyAlignment="1">
      <alignment horizontal="center" vertical="center"/>
    </xf>
    <xf numFmtId="10" fontId="16" fillId="5" borderId="24" xfId="2" applyNumberFormat="1" applyFont="1" applyFill="1" applyBorder="1" applyAlignment="1">
      <alignment horizontal="center"/>
    </xf>
    <xf numFmtId="10" fontId="16" fillId="5" borderId="26" xfId="2" applyNumberFormat="1" applyFont="1" applyFill="1" applyBorder="1" applyAlignment="1">
      <alignment horizontal="center"/>
    </xf>
    <xf numFmtId="10" fontId="16" fillId="5" borderId="28" xfId="2" applyNumberFormat="1" applyFont="1" applyFill="1" applyBorder="1" applyAlignment="1">
      <alignment horizontal="center"/>
    </xf>
    <xf numFmtId="0" fontId="5" fillId="0" borderId="0" xfId="0" applyFont="1" applyAlignment="1">
      <alignment horizontal="left" vertical="center"/>
    </xf>
    <xf numFmtId="10" fontId="8" fillId="0" borderId="43" xfId="2" applyNumberFormat="1" applyFont="1" applyFill="1" applyBorder="1" applyAlignment="1">
      <alignment horizontal="center" vertical="center"/>
    </xf>
    <xf numFmtId="10" fontId="8" fillId="0" borderId="41" xfId="2" applyNumberFormat="1" applyFont="1" applyFill="1" applyBorder="1" applyAlignment="1">
      <alignment horizontal="center" vertical="center"/>
    </xf>
    <xf numFmtId="10" fontId="8" fillId="0" borderId="42" xfId="2" applyNumberFormat="1" applyFont="1" applyFill="1" applyBorder="1" applyAlignment="1">
      <alignment horizontal="center" vertical="center"/>
    </xf>
    <xf numFmtId="166" fontId="15" fillId="5" borderId="14" xfId="8" applyNumberFormat="1" applyFont="1" applyFill="1" applyBorder="1" applyAlignment="1" applyProtection="1">
      <alignment horizontal="left" vertical="center"/>
      <protection locked="0"/>
    </xf>
    <xf numFmtId="165" fontId="15" fillId="5" borderId="14" xfId="8" applyNumberFormat="1" applyFont="1" applyFill="1" applyBorder="1" applyAlignment="1" applyProtection="1">
      <alignment horizontal="left" vertical="center"/>
      <protection locked="0"/>
    </xf>
    <xf numFmtId="1" fontId="16" fillId="5" borderId="25" xfId="0" applyNumberFormat="1" applyFont="1" applyFill="1" applyBorder="1" applyProtection="1">
      <protection locked="0"/>
    </xf>
    <xf numFmtId="0" fontId="16" fillId="5" borderId="27" xfId="0" applyFont="1" applyFill="1" applyBorder="1" applyProtection="1">
      <protection locked="0"/>
    </xf>
    <xf numFmtId="0" fontId="16" fillId="5" borderId="29" xfId="0" applyFont="1" applyFill="1" applyBorder="1" applyProtection="1">
      <protection locked="0"/>
    </xf>
    <xf numFmtId="10" fontId="5" fillId="0" borderId="0" xfId="0" applyNumberFormat="1" applyFont="1" applyAlignment="1">
      <alignment horizontal="left" vertical="top"/>
    </xf>
    <xf numFmtId="10" fontId="5" fillId="0" borderId="0" xfId="0" applyNumberFormat="1" applyFont="1" applyAlignment="1">
      <alignment horizontal="left"/>
    </xf>
    <xf numFmtId="0" fontId="1" fillId="0" borderId="0" xfId="48" applyAlignment="1">
      <alignment horizontal="left" vertical="center"/>
    </xf>
    <xf numFmtId="0" fontId="16" fillId="5" borderId="48" xfId="0" applyFont="1" applyFill="1" applyBorder="1" applyProtection="1">
      <protection locked="0"/>
    </xf>
    <xf numFmtId="2" fontId="5" fillId="0" borderId="1" xfId="3" applyNumberFormat="1" applyFont="1" applyBorder="1" applyAlignment="1">
      <alignment horizontal="center"/>
    </xf>
    <xf numFmtId="168" fontId="5" fillId="7" borderId="1" xfId="3" applyNumberFormat="1" applyFont="1" applyFill="1" applyBorder="1" applyAlignment="1">
      <alignment horizontal="center"/>
    </xf>
    <xf numFmtId="10" fontId="5" fillId="0" borderId="1" xfId="3" applyNumberFormat="1" applyFont="1" applyBorder="1" applyAlignment="1">
      <alignment horizontal="center"/>
    </xf>
    <xf numFmtId="0" fontId="23" fillId="5" borderId="51" xfId="0" applyFont="1" applyFill="1" applyBorder="1" applyAlignment="1">
      <alignment horizontal="center" vertical="center"/>
    </xf>
    <xf numFmtId="0" fontId="0" fillId="5" borderId="0" xfId="0" applyFill="1"/>
    <xf numFmtId="0" fontId="23" fillId="5" borderId="53" xfId="0" applyFont="1" applyFill="1" applyBorder="1" applyAlignment="1">
      <alignment horizontal="center" vertical="center"/>
    </xf>
    <xf numFmtId="0" fontId="25" fillId="13" borderId="54" xfId="0" applyFont="1" applyFill="1" applyBorder="1" applyAlignment="1">
      <alignment horizontal="center" vertical="center" wrapText="1"/>
    </xf>
    <xf numFmtId="0" fontId="25" fillId="13" borderId="55" xfId="0" applyFont="1" applyFill="1" applyBorder="1" applyAlignment="1">
      <alignment horizontal="center" vertical="center" wrapText="1"/>
    </xf>
    <xf numFmtId="0" fontId="25" fillId="22" borderId="55" xfId="0" applyFont="1" applyFill="1" applyBorder="1" applyAlignment="1">
      <alignment horizontal="left" vertical="center" wrapText="1"/>
    </xf>
    <xf numFmtId="0" fontId="25" fillId="13" borderId="56" xfId="0" applyFont="1" applyFill="1" applyBorder="1" applyAlignment="1">
      <alignment horizontal="center" vertical="center" wrapText="1"/>
    </xf>
    <xf numFmtId="0" fontId="25" fillId="13" borderId="57" xfId="0" applyFont="1" applyFill="1" applyBorder="1" applyAlignment="1">
      <alignment horizontal="center" vertical="center" wrapText="1"/>
    </xf>
    <xf numFmtId="0" fontId="25" fillId="13" borderId="58" xfId="0" applyFont="1" applyFill="1" applyBorder="1" applyAlignment="1">
      <alignment horizontal="center" vertical="center" wrapText="1"/>
    </xf>
    <xf numFmtId="0" fontId="25" fillId="13" borderId="59" xfId="0" applyFont="1" applyFill="1" applyBorder="1" applyAlignment="1">
      <alignment horizontal="center" vertical="center" wrapText="1"/>
    </xf>
    <xf numFmtId="0" fontId="25" fillId="13" borderId="60" xfId="0" applyFont="1" applyFill="1" applyBorder="1" applyAlignment="1">
      <alignment horizontal="center" vertical="center" wrapText="1"/>
    </xf>
    <xf numFmtId="0" fontId="26" fillId="5" borderId="0" xfId="0" applyFont="1" applyFill="1"/>
    <xf numFmtId="0" fontId="24" fillId="7" borderId="61" xfId="0" applyFont="1" applyFill="1" applyBorder="1" applyAlignment="1">
      <alignment horizontal="center"/>
    </xf>
    <xf numFmtId="0" fontId="27" fillId="7" borderId="46" xfId="0" applyFont="1" applyFill="1" applyBorder="1" applyAlignment="1">
      <alignment horizontal="center" vertical="center"/>
    </xf>
    <xf numFmtId="0" fontId="24" fillId="7" borderId="46" xfId="0" applyFont="1" applyFill="1" applyBorder="1" applyAlignment="1">
      <alignment horizontal="center" vertical="center"/>
    </xf>
    <xf numFmtId="167" fontId="28" fillId="14" borderId="46" xfId="0" applyNumberFormat="1" applyFont="1" applyFill="1" applyBorder="1" applyAlignment="1">
      <alignment horizontal="center" vertical="center"/>
    </xf>
    <xf numFmtId="167" fontId="28" fillId="23" borderId="46" xfId="0" applyNumberFormat="1" applyFont="1" applyFill="1" applyBorder="1" applyAlignment="1">
      <alignment horizontal="center" vertical="center"/>
    </xf>
    <xf numFmtId="167" fontId="28" fillId="8" borderId="46" xfId="0" applyNumberFormat="1" applyFont="1" applyFill="1" applyBorder="1" applyAlignment="1">
      <alignment horizontal="center" vertical="center"/>
    </xf>
    <xf numFmtId="15" fontId="27" fillId="24" borderId="46" xfId="0" applyNumberFormat="1" applyFont="1" applyFill="1" applyBorder="1" applyAlignment="1">
      <alignment horizontal="center" vertical="center"/>
    </xf>
    <xf numFmtId="15" fontId="24" fillId="14" borderId="46" xfId="0" applyNumberFormat="1" applyFont="1" applyFill="1" applyBorder="1"/>
    <xf numFmtId="15" fontId="24" fillId="8" borderId="46" xfId="0" applyNumberFormat="1" applyFont="1" applyFill="1" applyBorder="1"/>
    <xf numFmtId="167" fontId="24" fillId="14" borderId="46" xfId="0" applyNumberFormat="1" applyFont="1" applyFill="1" applyBorder="1"/>
    <xf numFmtId="167" fontId="24" fillId="8" borderId="46" xfId="0" applyNumberFormat="1" applyFont="1" applyFill="1" applyBorder="1"/>
    <xf numFmtId="0" fontId="24" fillId="8" borderId="46" xfId="0" applyFont="1" applyFill="1" applyBorder="1" applyAlignment="1">
      <alignment horizontal="center"/>
    </xf>
    <xf numFmtId="167" fontId="0" fillId="17" borderId="46" xfId="0" applyNumberFormat="1" applyFill="1" applyBorder="1" applyAlignment="1">
      <alignment horizontal="center" vertical="center"/>
    </xf>
    <xf numFmtId="167" fontId="0" fillId="5" borderId="46" xfId="0" applyNumberFormat="1" applyFill="1" applyBorder="1" applyAlignment="1">
      <alignment horizontal="center" vertical="center"/>
    </xf>
    <xf numFmtId="0" fontId="24" fillId="5" borderId="46" xfId="0" applyFont="1" applyFill="1" applyBorder="1" applyAlignment="1">
      <alignment horizontal="center"/>
    </xf>
    <xf numFmtId="167" fontId="24" fillId="22" borderId="46" xfId="0" applyNumberFormat="1" applyFont="1" applyFill="1" applyBorder="1" applyAlignment="1">
      <alignment horizontal="left"/>
    </xf>
    <xf numFmtId="15" fontId="24" fillId="5" borderId="46" xfId="0" applyNumberFormat="1" applyFont="1" applyFill="1" applyBorder="1"/>
    <xf numFmtId="0" fontId="24" fillId="7" borderId="62" xfId="0" applyFont="1" applyFill="1" applyBorder="1"/>
    <xf numFmtId="0" fontId="24" fillId="5" borderId="46" xfId="0" applyFont="1" applyFill="1" applyBorder="1"/>
    <xf numFmtId="167" fontId="28" fillId="14" borderId="11" xfId="0" applyNumberFormat="1" applyFont="1" applyFill="1" applyBorder="1" applyAlignment="1">
      <alignment horizontal="center"/>
    </xf>
    <xf numFmtId="167" fontId="28" fillId="14" borderId="63" xfId="0" applyNumberFormat="1" applyFont="1" applyFill="1" applyBorder="1" applyAlignment="1">
      <alignment horizontal="center"/>
    </xf>
    <xf numFmtId="49" fontId="28" fillId="14" borderId="64" xfId="0" applyNumberFormat="1" applyFont="1" applyFill="1" applyBorder="1" applyAlignment="1">
      <alignment horizontal="center"/>
    </xf>
    <xf numFmtId="167" fontId="28" fillId="24" borderId="65" xfId="0" applyNumberFormat="1" applyFont="1" applyFill="1" applyBorder="1" applyAlignment="1">
      <alignment horizontal="center"/>
    </xf>
    <xf numFmtId="167" fontId="28" fillId="24" borderId="11" xfId="0" applyNumberFormat="1" applyFont="1" applyFill="1" applyBorder="1" applyAlignment="1">
      <alignment horizontal="center"/>
    </xf>
    <xf numFmtId="167" fontId="28" fillId="24" borderId="66" xfId="0" applyNumberFormat="1" applyFont="1" applyFill="1" applyBorder="1" applyAlignment="1">
      <alignment horizontal="left"/>
    </xf>
    <xf numFmtId="0" fontId="24" fillId="5" borderId="0" xfId="0" applyFont="1" applyFill="1"/>
    <xf numFmtId="0" fontId="24" fillId="7" borderId="67" xfId="0" applyFont="1" applyFill="1" applyBorder="1" applyAlignment="1">
      <alignment horizontal="center"/>
    </xf>
    <xf numFmtId="0" fontId="27" fillId="7" borderId="8" xfId="0" applyFont="1" applyFill="1" applyBorder="1" applyAlignment="1">
      <alignment horizontal="center" vertical="center"/>
    </xf>
    <xf numFmtId="0" fontId="24" fillId="7" borderId="8" xfId="0" applyFont="1" applyFill="1" applyBorder="1" applyAlignment="1">
      <alignment horizontal="center" vertical="center"/>
    </xf>
    <xf numFmtId="167" fontId="28" fillId="14" borderId="8" xfId="0" applyNumberFormat="1" applyFont="1" applyFill="1" applyBorder="1" applyAlignment="1">
      <alignment horizontal="center" vertical="center"/>
    </xf>
    <xf numFmtId="167" fontId="28" fillId="23" borderId="8" xfId="0" applyNumberFormat="1" applyFont="1" applyFill="1" applyBorder="1" applyAlignment="1">
      <alignment horizontal="center" vertical="center"/>
    </xf>
    <xf numFmtId="167" fontId="28" fillId="8" borderId="8" xfId="0" applyNumberFormat="1" applyFont="1" applyFill="1" applyBorder="1" applyAlignment="1">
      <alignment horizontal="center" vertical="center"/>
    </xf>
    <xf numFmtId="15" fontId="27" fillId="24" borderId="8" xfId="0" applyNumberFormat="1" applyFont="1" applyFill="1" applyBorder="1" applyAlignment="1">
      <alignment horizontal="center" vertical="center"/>
    </xf>
    <xf numFmtId="15" fontId="24" fillId="14" borderId="8" xfId="0" applyNumberFormat="1" applyFont="1" applyFill="1" applyBorder="1"/>
    <xf numFmtId="15" fontId="24" fillId="8" borderId="8" xfId="0" applyNumberFormat="1" applyFont="1" applyFill="1" applyBorder="1"/>
    <xf numFmtId="167" fontId="24" fillId="14" borderId="8" xfId="0" applyNumberFormat="1" applyFont="1" applyFill="1" applyBorder="1"/>
    <xf numFmtId="167" fontId="24" fillId="8" borderId="8" xfId="0" applyNumberFormat="1" applyFont="1" applyFill="1" applyBorder="1"/>
    <xf numFmtId="0" fontId="24" fillId="8" borderId="8" xfId="0" applyFont="1" applyFill="1" applyBorder="1" applyAlignment="1">
      <alignment horizontal="center"/>
    </xf>
    <xf numFmtId="167" fontId="0" fillId="5" borderId="8" xfId="0" applyNumberFormat="1" applyFill="1" applyBorder="1" applyAlignment="1">
      <alignment horizontal="center" vertical="center"/>
    </xf>
    <xf numFmtId="0" fontId="24" fillId="5" borderId="8" xfId="0" applyFont="1" applyFill="1" applyBorder="1" applyAlignment="1">
      <alignment horizontal="center"/>
    </xf>
    <xf numFmtId="167" fontId="24" fillId="22" borderId="8" xfId="0" applyNumberFormat="1" applyFont="1" applyFill="1" applyBorder="1" applyAlignment="1">
      <alignment horizontal="left"/>
    </xf>
    <xf numFmtId="15" fontId="24" fillId="5" borderId="8" xfId="0" applyNumberFormat="1" applyFont="1" applyFill="1" applyBorder="1"/>
    <xf numFmtId="0" fontId="24" fillId="7" borderId="68" xfId="0" applyFont="1" applyFill="1" applyBorder="1"/>
    <xf numFmtId="0" fontId="24" fillId="5" borderId="8" xfId="0" applyFont="1" applyFill="1" applyBorder="1"/>
    <xf numFmtId="167" fontId="28" fillId="14" borderId="47" xfId="0" applyNumberFormat="1" applyFont="1" applyFill="1" applyBorder="1" applyAlignment="1">
      <alignment horizontal="center"/>
    </xf>
    <xf numFmtId="167" fontId="28" fillId="14" borderId="69" xfId="0" applyNumberFormat="1" applyFont="1" applyFill="1" applyBorder="1" applyAlignment="1">
      <alignment horizontal="center"/>
    </xf>
    <xf numFmtId="49" fontId="28" fillId="14" borderId="70" xfId="0" applyNumberFormat="1" applyFont="1" applyFill="1" applyBorder="1" applyAlignment="1">
      <alignment horizontal="center"/>
    </xf>
    <xf numFmtId="167" fontId="28" fillId="24" borderId="71" xfId="0" applyNumberFormat="1" applyFont="1" applyFill="1" applyBorder="1" applyAlignment="1">
      <alignment horizontal="center"/>
    </xf>
    <xf numFmtId="167" fontId="28" fillId="24" borderId="8" xfId="0" applyNumberFormat="1" applyFont="1" applyFill="1" applyBorder="1" applyAlignment="1">
      <alignment horizontal="center"/>
    </xf>
    <xf numFmtId="49" fontId="28" fillId="24" borderId="8" xfId="0" applyNumberFormat="1" applyFont="1" applyFill="1" applyBorder="1" applyAlignment="1">
      <alignment horizontal="center"/>
    </xf>
    <xf numFmtId="167" fontId="28" fillId="24" borderId="72" xfId="0" applyNumberFormat="1" applyFont="1" applyFill="1" applyBorder="1" applyAlignment="1">
      <alignment horizontal="right"/>
    </xf>
    <xf numFmtId="0" fontId="29" fillId="5" borderId="8" xfId="0" applyFont="1" applyFill="1" applyBorder="1"/>
    <xf numFmtId="167" fontId="27" fillId="14" borderId="8" xfId="0" applyNumberFormat="1" applyFont="1" applyFill="1" applyBorder="1" applyAlignment="1">
      <alignment horizontal="center" vertical="center"/>
    </xf>
    <xf numFmtId="167" fontId="27" fillId="23" borderId="8" xfId="0" applyNumberFormat="1" applyFont="1" applyFill="1" applyBorder="1" applyAlignment="1">
      <alignment horizontal="center" vertical="center"/>
    </xf>
    <xf numFmtId="167" fontId="0" fillId="0" borderId="8" xfId="0" applyNumberFormat="1" applyBorder="1" applyAlignment="1">
      <alignment horizontal="center" vertical="center"/>
    </xf>
    <xf numFmtId="0" fontId="28" fillId="7" borderId="8" xfId="0" applyFont="1" applyFill="1" applyBorder="1" applyAlignment="1">
      <alignment horizontal="center" vertical="center"/>
    </xf>
    <xf numFmtId="167" fontId="30" fillId="14" borderId="8" xfId="0" applyNumberFormat="1" applyFont="1" applyFill="1" applyBorder="1" applyAlignment="1">
      <alignment horizontal="center" vertical="center"/>
    </xf>
    <xf numFmtId="167" fontId="30" fillId="23" borderId="8" xfId="0" applyNumberFormat="1" applyFont="1" applyFill="1" applyBorder="1" applyAlignment="1">
      <alignment horizontal="center" vertical="center"/>
    </xf>
    <xf numFmtId="167" fontId="7" fillId="0" borderId="8" xfId="5" applyNumberFormat="1" applyFont="1" applyBorder="1" applyAlignment="1">
      <alignment horizontal="center" vertical="center"/>
    </xf>
    <xf numFmtId="167" fontId="24" fillId="5" borderId="8" xfId="0" applyNumberFormat="1" applyFont="1" applyFill="1" applyBorder="1"/>
    <xf numFmtId="15" fontId="0" fillId="16" borderId="69" xfId="0" applyNumberFormat="1" applyFill="1" applyBorder="1" applyAlignment="1">
      <alignment horizontal="center" vertical="center"/>
    </xf>
    <xf numFmtId="15" fontId="0" fillId="24" borderId="71" xfId="0" applyNumberFormat="1" applyFill="1" applyBorder="1" applyAlignment="1">
      <alignment horizontal="center" vertical="center"/>
    </xf>
    <xf numFmtId="15" fontId="0" fillId="24" borderId="8" xfId="0" applyNumberFormat="1" applyFill="1" applyBorder="1" applyAlignment="1">
      <alignment horizontal="center" vertical="center"/>
    </xf>
    <xf numFmtId="15" fontId="0" fillId="24" borderId="72" xfId="0" applyNumberFormat="1" applyFill="1" applyBorder="1" applyAlignment="1">
      <alignment horizontal="right" vertical="center"/>
    </xf>
    <xf numFmtId="0" fontId="24" fillId="7" borderId="8" xfId="0" applyFont="1" applyFill="1" applyBorder="1" applyAlignment="1">
      <alignment horizontal="center"/>
    </xf>
    <xf numFmtId="0" fontId="24" fillId="7" borderId="47" xfId="0" applyFont="1" applyFill="1" applyBorder="1"/>
    <xf numFmtId="0" fontId="28" fillId="7" borderId="46" xfId="0" applyFont="1" applyFill="1" applyBorder="1" applyAlignment="1">
      <alignment horizontal="center" vertical="center"/>
    </xf>
    <xf numFmtId="167" fontId="30" fillId="14" borderId="46" xfId="0" applyNumberFormat="1" applyFont="1" applyFill="1" applyBorder="1" applyAlignment="1">
      <alignment horizontal="center" vertical="center"/>
    </xf>
    <xf numFmtId="167" fontId="30" fillId="23" borderId="46" xfId="0" applyNumberFormat="1" applyFont="1" applyFill="1" applyBorder="1" applyAlignment="1">
      <alignment horizontal="center" vertical="center"/>
    </xf>
    <xf numFmtId="167" fontId="0" fillId="0" borderId="46" xfId="0" applyNumberFormat="1" applyBorder="1" applyAlignment="1">
      <alignment horizontal="center" vertical="center"/>
    </xf>
    <xf numFmtId="167" fontId="7" fillId="0" borderId="46" xfId="5" applyNumberFormat="1" applyFont="1" applyBorder="1" applyAlignment="1">
      <alignment horizontal="center" vertical="center"/>
    </xf>
    <xf numFmtId="167" fontId="30" fillId="14" borderId="8" xfId="0" applyNumberFormat="1" applyFont="1" applyFill="1" applyBorder="1" applyAlignment="1">
      <alignment horizontal="center"/>
    </xf>
    <xf numFmtId="167" fontId="30" fillId="23" borderId="8" xfId="0" applyNumberFormat="1" applyFont="1" applyFill="1" applyBorder="1" applyAlignment="1">
      <alignment horizontal="center"/>
    </xf>
    <xf numFmtId="167" fontId="27" fillId="14" borderId="8" xfId="0" applyNumberFormat="1" applyFont="1" applyFill="1" applyBorder="1" applyAlignment="1">
      <alignment horizontal="center"/>
    </xf>
    <xf numFmtId="0" fontId="24" fillId="7" borderId="73" xfId="0" applyFont="1" applyFill="1" applyBorder="1" applyAlignment="1">
      <alignment horizontal="center"/>
    </xf>
    <xf numFmtId="0" fontId="28" fillId="7" borderId="74" xfId="0" applyFont="1" applyFill="1" applyBorder="1" applyAlignment="1">
      <alignment horizontal="center" vertical="center"/>
    </xf>
    <xf numFmtId="0" fontId="24" fillId="7" borderId="74" xfId="0" applyFont="1" applyFill="1" applyBorder="1" applyAlignment="1">
      <alignment horizontal="center" vertical="center"/>
    </xf>
    <xf numFmtId="167" fontId="30" fillId="14" borderId="74" xfId="0" applyNumberFormat="1" applyFont="1" applyFill="1" applyBorder="1" applyAlignment="1">
      <alignment horizontal="center" vertical="center"/>
    </xf>
    <xf numFmtId="167" fontId="30" fillId="23" borderId="74" xfId="0" applyNumberFormat="1" applyFont="1" applyFill="1" applyBorder="1" applyAlignment="1">
      <alignment horizontal="center" vertical="center"/>
    </xf>
    <xf numFmtId="167" fontId="28" fillId="14" borderId="74" xfId="0" applyNumberFormat="1" applyFont="1" applyFill="1" applyBorder="1" applyAlignment="1">
      <alignment horizontal="center" vertical="center"/>
    </xf>
    <xf numFmtId="167" fontId="28" fillId="8" borderId="74" xfId="0" applyNumberFormat="1" applyFont="1" applyFill="1" applyBorder="1" applyAlignment="1">
      <alignment horizontal="center" vertical="center"/>
    </xf>
    <xf numFmtId="15" fontId="27" fillId="24" borderId="74" xfId="0" applyNumberFormat="1" applyFont="1" applyFill="1" applyBorder="1" applyAlignment="1">
      <alignment horizontal="center" vertical="center"/>
    </xf>
    <xf numFmtId="15" fontId="24" fillId="14" borderId="74" xfId="0" applyNumberFormat="1" applyFont="1" applyFill="1" applyBorder="1"/>
    <xf numFmtId="15" fontId="24" fillId="8" borderId="74" xfId="0" applyNumberFormat="1" applyFont="1" applyFill="1" applyBorder="1"/>
    <xf numFmtId="167" fontId="24" fillId="14" borderId="74" xfId="0" applyNumberFormat="1" applyFont="1" applyFill="1" applyBorder="1"/>
    <xf numFmtId="167" fontId="24" fillId="8" borderId="74" xfId="0" applyNumberFormat="1" applyFont="1" applyFill="1" applyBorder="1"/>
    <xf numFmtId="0" fontId="24" fillId="8" borderId="74" xfId="0" applyFont="1" applyFill="1" applyBorder="1" applyAlignment="1">
      <alignment horizontal="center"/>
    </xf>
    <xf numFmtId="167" fontId="0" fillId="0" borderId="74" xfId="0" applyNumberFormat="1" applyBorder="1" applyAlignment="1">
      <alignment horizontal="center" vertical="center"/>
    </xf>
    <xf numFmtId="0" fontId="24" fillId="5" borderId="74" xfId="0" applyFont="1" applyFill="1" applyBorder="1" applyAlignment="1">
      <alignment horizontal="center"/>
    </xf>
    <xf numFmtId="167" fontId="24" fillId="22" borderId="74" xfId="0" applyNumberFormat="1" applyFont="1" applyFill="1" applyBorder="1" applyAlignment="1">
      <alignment horizontal="left"/>
    </xf>
    <xf numFmtId="15" fontId="24" fillId="5" borderId="74" xfId="0" applyNumberFormat="1" applyFont="1" applyFill="1" applyBorder="1"/>
    <xf numFmtId="15" fontId="0" fillId="24" borderId="75" xfId="0" applyNumberFormat="1" applyFill="1" applyBorder="1" applyAlignment="1">
      <alignment horizontal="center" vertical="center"/>
    </xf>
    <xf numFmtId="15" fontId="0" fillId="24" borderId="76" xfId="0" applyNumberFormat="1" applyFill="1" applyBorder="1" applyAlignment="1">
      <alignment horizontal="center" vertical="center"/>
    </xf>
    <xf numFmtId="49" fontId="28" fillId="24" borderId="76" xfId="0" applyNumberFormat="1" applyFont="1" applyFill="1" applyBorder="1" applyAlignment="1">
      <alignment horizontal="center"/>
    </xf>
    <xf numFmtId="15" fontId="0" fillId="24" borderId="77" xfId="0" applyNumberFormat="1" applyFill="1" applyBorder="1" applyAlignment="1">
      <alignment horizontal="right" vertical="center"/>
    </xf>
    <xf numFmtId="0" fontId="0" fillId="5" borderId="0" xfId="0" applyFill="1" applyAlignment="1">
      <alignment horizontal="center"/>
    </xf>
    <xf numFmtId="0" fontId="0" fillId="5" borderId="0" xfId="0" applyFill="1" applyAlignment="1">
      <alignment horizontal="left"/>
    </xf>
    <xf numFmtId="15" fontId="24" fillId="5" borderId="0" xfId="0" applyNumberFormat="1" applyFont="1" applyFill="1"/>
    <xf numFmtId="0" fontId="0" fillId="5" borderId="0" xfId="0" applyFill="1" applyAlignment="1">
      <alignment horizontal="center" vertical="center"/>
    </xf>
    <xf numFmtId="15" fontId="31" fillId="0" borderId="69" xfId="0" applyNumberFormat="1" applyFont="1" applyBorder="1" applyAlignment="1">
      <alignment horizontal="center" indent="1"/>
    </xf>
    <xf numFmtId="15" fontId="31" fillId="0" borderId="45" xfId="0" applyNumberFormat="1" applyFont="1" applyBorder="1" applyAlignment="1">
      <alignment horizontal="center" indent="1"/>
    </xf>
    <xf numFmtId="15" fontId="31" fillId="5" borderId="78" xfId="0" applyNumberFormat="1" applyFont="1" applyFill="1" applyBorder="1" applyAlignment="1">
      <alignment horizontal="center" indent="1"/>
    </xf>
    <xf numFmtId="15" fontId="31" fillId="25" borderId="79" xfId="0" applyNumberFormat="1" applyFont="1" applyFill="1" applyBorder="1" applyAlignment="1">
      <alignment horizontal="center" indent="1"/>
    </xf>
    <xf numFmtId="15" fontId="31" fillId="25" borderId="45" xfId="0" applyNumberFormat="1" applyFont="1" applyFill="1" applyBorder="1" applyAlignment="1">
      <alignment horizontal="center" indent="1"/>
    </xf>
    <xf numFmtId="15" fontId="31" fillId="5" borderId="79" xfId="0" applyNumberFormat="1" applyFont="1" applyFill="1" applyBorder="1" applyAlignment="1">
      <alignment horizontal="center" indent="1"/>
    </xf>
    <xf numFmtId="15" fontId="31" fillId="0" borderId="79" xfId="0" applyNumberFormat="1" applyFont="1" applyBorder="1" applyAlignment="1">
      <alignment horizontal="center" indent="1"/>
    </xf>
    <xf numFmtId="15" fontId="31" fillId="0" borderId="80" xfId="0" applyNumberFormat="1" applyFont="1" applyBorder="1" applyAlignment="1">
      <alignment horizontal="center" indent="1"/>
    </xf>
    <xf numFmtId="15" fontId="31" fillId="0" borderId="80" xfId="0" applyNumberFormat="1" applyFont="1" applyBorder="1" applyAlignment="1">
      <alignment horizontal="center" indent="2"/>
    </xf>
    <xf numFmtId="15" fontId="31" fillId="5" borderId="80" xfId="0" applyNumberFormat="1" applyFont="1" applyFill="1" applyBorder="1" applyAlignment="1">
      <alignment horizontal="center" indent="1"/>
    </xf>
    <xf numFmtId="15" fontId="31" fillId="5" borderId="45" xfId="0" applyNumberFormat="1" applyFont="1" applyFill="1" applyBorder="1" applyAlignment="1">
      <alignment horizontal="center" indent="1"/>
    </xf>
    <xf numFmtId="15" fontId="31" fillId="0" borderId="81" xfId="0" applyNumberFormat="1" applyFont="1" applyBorder="1" applyAlignment="1">
      <alignment horizontal="center" indent="1"/>
    </xf>
    <xf numFmtId="0" fontId="31" fillId="0" borderId="45" xfId="0" applyFont="1" applyBorder="1" applyAlignment="1">
      <alignment horizontal="center" indent="2"/>
    </xf>
    <xf numFmtId="0" fontId="31" fillId="25" borderId="45" xfId="0" applyFont="1" applyFill="1" applyBorder="1" applyAlignment="1">
      <alignment horizontal="center" indent="2"/>
    </xf>
    <xf numFmtId="0" fontId="31" fillId="5" borderId="45" xfId="0" applyFont="1" applyFill="1" applyBorder="1" applyAlignment="1">
      <alignment horizontal="center" indent="2"/>
    </xf>
    <xf numFmtId="0" fontId="31" fillId="0" borderId="82" xfId="0" applyFont="1" applyBorder="1" applyAlignment="1">
      <alignment horizontal="center" indent="2"/>
    </xf>
    <xf numFmtId="0" fontId="31" fillId="0" borderId="45" xfId="0" applyFont="1" applyBorder="1" applyAlignment="1">
      <alignment horizontal="left"/>
    </xf>
    <xf numFmtId="0" fontId="31" fillId="0" borderId="45" xfId="0" applyFont="1" applyBorder="1" applyAlignment="1">
      <alignment horizontal="center" indent="1"/>
    </xf>
    <xf numFmtId="0" fontId="31" fillId="27" borderId="72" xfId="0" applyFont="1" applyFill="1" applyBorder="1" applyAlignment="1">
      <alignment horizontal="center" indent="1"/>
    </xf>
    <xf numFmtId="0" fontId="31" fillId="0" borderId="84" xfId="0" applyFont="1" applyBorder="1" applyAlignment="1">
      <alignment horizontal="center" indent="1"/>
    </xf>
    <xf numFmtId="0" fontId="31" fillId="25" borderId="45" xfId="0" applyFont="1" applyFill="1" applyBorder="1" applyAlignment="1">
      <alignment horizontal="center" indent="1"/>
    </xf>
    <xf numFmtId="0" fontId="31" fillId="25" borderId="72" xfId="0" applyFont="1" applyFill="1" applyBorder="1" applyAlignment="1">
      <alignment horizontal="center" indent="1"/>
    </xf>
    <xf numFmtId="0" fontId="31" fillId="25" borderId="84" xfId="0" applyFont="1" applyFill="1" applyBorder="1" applyAlignment="1">
      <alignment horizontal="center" indent="1"/>
    </xf>
    <xf numFmtId="0" fontId="31" fillId="0" borderId="84" xfId="0" applyFont="1" applyBorder="1" applyAlignment="1">
      <alignment horizontal="left" wrapText="1" indent="3"/>
    </xf>
    <xf numFmtId="0" fontId="31" fillId="5" borderId="45" xfId="0" applyFont="1" applyFill="1" applyBorder="1" applyAlignment="1">
      <alignment horizontal="center" indent="1"/>
    </xf>
    <xf numFmtId="0" fontId="31" fillId="5" borderId="84" xfId="0" applyFont="1" applyFill="1" applyBorder="1" applyAlignment="1">
      <alignment horizontal="center" indent="1"/>
    </xf>
    <xf numFmtId="0" fontId="31" fillId="0" borderId="82" xfId="0" applyFont="1" applyBorder="1" applyAlignment="1">
      <alignment horizontal="center" indent="1"/>
    </xf>
    <xf numFmtId="0" fontId="31" fillId="27" borderId="77" xfId="0" applyFont="1" applyFill="1" applyBorder="1" applyAlignment="1">
      <alignment horizontal="center" indent="1"/>
    </xf>
    <xf numFmtId="0" fontId="31" fillId="0" borderId="85" xfId="0" applyFont="1" applyBorder="1" applyAlignment="1">
      <alignment horizontal="center" indent="1"/>
    </xf>
    <xf numFmtId="15" fontId="31" fillId="25" borderId="83" xfId="0" applyNumberFormat="1" applyFont="1" applyFill="1" applyBorder="1" applyAlignment="1">
      <alignment horizontal="center" indent="1"/>
    </xf>
    <xf numFmtId="0" fontId="31" fillId="25" borderId="66" xfId="0" applyFont="1" applyFill="1" applyBorder="1" applyAlignment="1">
      <alignment horizontal="center" indent="1"/>
    </xf>
    <xf numFmtId="0" fontId="31" fillId="25" borderId="12" xfId="0" applyFont="1" applyFill="1" applyBorder="1" applyAlignment="1">
      <alignment horizontal="center" indent="1"/>
    </xf>
    <xf numFmtId="0" fontId="32" fillId="26" borderId="86" xfId="0" applyFont="1" applyFill="1" applyBorder="1" applyAlignment="1">
      <alignment horizontal="center" vertical="center" wrapText="1"/>
    </xf>
    <xf numFmtId="0" fontId="32" fillId="26" borderId="87" xfId="0" applyFont="1" applyFill="1" applyBorder="1" applyAlignment="1">
      <alignment horizontal="center" vertical="center" wrapText="1"/>
    </xf>
    <xf numFmtId="0" fontId="32" fillId="26" borderId="88" xfId="0" applyFont="1" applyFill="1" applyBorder="1" applyAlignment="1">
      <alignment horizontal="center" vertical="center"/>
    </xf>
    <xf numFmtId="0" fontId="32" fillId="26" borderId="89" xfId="0" applyFont="1" applyFill="1" applyBorder="1" applyAlignment="1">
      <alignment horizontal="center" vertical="center"/>
    </xf>
    <xf numFmtId="0" fontId="32" fillId="26" borderId="90" xfId="0" applyFont="1" applyFill="1" applyBorder="1" applyAlignment="1">
      <alignment horizontal="center" vertical="center"/>
    </xf>
    <xf numFmtId="0" fontId="33" fillId="0" borderId="91" xfId="0" applyFont="1" applyBorder="1" applyAlignment="1">
      <alignment vertical="center"/>
    </xf>
    <xf numFmtId="1" fontId="5" fillId="0" borderId="1" xfId="2" applyNumberFormat="1" applyFont="1" applyBorder="1" applyAlignment="1">
      <alignment horizontal="center"/>
    </xf>
    <xf numFmtId="0" fontId="3" fillId="3" borderId="0" xfId="3" applyFont="1" applyFill="1" applyAlignment="1">
      <alignment horizontal="center" vertical="center" wrapText="1"/>
    </xf>
    <xf numFmtId="0" fontId="31" fillId="0" borderId="0" xfId="0" applyFont="1"/>
    <xf numFmtId="165" fontId="3" fillId="3" borderId="0" xfId="3" applyNumberFormat="1" applyFont="1" applyFill="1" applyAlignment="1">
      <alignment horizontal="center" vertical="center" wrapText="1"/>
    </xf>
    <xf numFmtId="43" fontId="3" fillId="3" borderId="0" xfId="1" applyFont="1" applyFill="1" applyAlignment="1">
      <alignment horizontal="center" vertical="center" wrapText="1"/>
    </xf>
    <xf numFmtId="0" fontId="3" fillId="3" borderId="34" xfId="0" applyFont="1" applyFill="1" applyBorder="1" applyAlignment="1">
      <alignment horizontal="center" vertical="center" wrapText="1"/>
    </xf>
    <xf numFmtId="169" fontId="0" fillId="0" borderId="0" xfId="2" applyNumberFormat="1" applyFont="1" applyAlignment="1">
      <alignment horizontal="center" vertical="center"/>
    </xf>
    <xf numFmtId="170" fontId="0" fillId="0" borderId="0" xfId="0" applyNumberFormat="1" applyAlignment="1">
      <alignment horizontal="center" vertical="center"/>
    </xf>
    <xf numFmtId="169" fontId="0" fillId="0" borderId="0" xfId="2" applyNumberFormat="1" applyFont="1" applyFill="1" applyBorder="1" applyAlignment="1">
      <alignment horizontal="center"/>
    </xf>
    <xf numFmtId="170" fontId="0" fillId="0" borderId="0" xfId="0" applyNumberFormat="1" applyAlignment="1">
      <alignment horizontal="center"/>
    </xf>
    <xf numFmtId="20" fontId="0" fillId="0" borderId="0" xfId="0" applyNumberFormat="1" applyAlignment="1">
      <alignment horizontal="center"/>
    </xf>
    <xf numFmtId="0" fontId="10" fillId="0" borderId="0" xfId="0" applyFont="1" applyAlignment="1">
      <alignment horizontal="left"/>
    </xf>
    <xf numFmtId="43" fontId="0" fillId="0" borderId="0" xfId="1" applyFont="1" applyAlignment="1">
      <alignment horizontal="center"/>
    </xf>
    <xf numFmtId="43" fontId="0" fillId="0" borderId="0" xfId="1" applyFont="1" applyFill="1" applyBorder="1" applyAlignment="1">
      <alignment horizontal="left" vertical="center"/>
    </xf>
    <xf numFmtId="43" fontId="0" fillId="0" borderId="0" xfId="1" applyFont="1" applyBorder="1" applyAlignment="1">
      <alignment horizontal="left" vertical="center"/>
    </xf>
    <xf numFmtId="43" fontId="0" fillId="0" borderId="0" xfId="1" applyFont="1" applyFill="1" applyBorder="1" applyAlignment="1">
      <alignment horizontal="right" vertical="center"/>
    </xf>
    <xf numFmtId="43" fontId="0" fillId="0" borderId="0" xfId="1" applyFont="1" applyBorder="1" applyAlignment="1">
      <alignment horizontal="right" vertical="center"/>
    </xf>
    <xf numFmtId="0" fontId="3" fillId="3" borderId="0" xfId="3" applyFont="1" applyFill="1" applyAlignment="1">
      <alignment horizontal="left" vertical="center" wrapText="1"/>
    </xf>
    <xf numFmtId="0" fontId="3" fillId="3" borderId="0" xfId="3" applyFont="1" applyFill="1" applyAlignment="1">
      <alignment horizontal="right" vertical="center" wrapText="1"/>
    </xf>
    <xf numFmtId="43" fontId="3" fillId="3" borderId="0" xfId="1" applyFont="1" applyFill="1" applyBorder="1" applyAlignment="1">
      <alignment horizontal="right" vertical="center" wrapText="1"/>
    </xf>
    <xf numFmtId="43" fontId="3" fillId="3" borderId="0" xfId="1" applyFont="1" applyFill="1" applyBorder="1" applyAlignment="1">
      <alignment horizontal="left" vertical="center" wrapText="1"/>
    </xf>
    <xf numFmtId="0" fontId="3" fillId="3" borderId="0" xfId="0" applyFont="1" applyFill="1" applyAlignment="1">
      <alignment horizontal="center" vertical="center" wrapText="1"/>
    </xf>
    <xf numFmtId="169" fontId="0" fillId="0" borderId="0" xfId="0" applyNumberFormat="1" applyAlignment="1">
      <alignment horizontal="center" vertical="center"/>
    </xf>
    <xf numFmtId="0" fontId="0" fillId="0" borderId="0" xfId="0" applyAlignment="1">
      <alignment horizontal="left" vertical="center"/>
    </xf>
    <xf numFmtId="170" fontId="22" fillId="0" borderId="0" xfId="0" applyNumberFormat="1" applyFont="1" applyAlignment="1">
      <alignment horizontal="center" vertical="center"/>
    </xf>
    <xf numFmtId="2" fontId="0" fillId="0" borderId="0" xfId="0" applyNumberFormat="1" applyAlignment="1">
      <alignment vertical="center"/>
    </xf>
    <xf numFmtId="2" fontId="10" fillId="0" borderId="0" xfId="0" applyNumberFormat="1" applyFont="1" applyAlignment="1">
      <alignment horizontal="center" vertical="center"/>
    </xf>
    <xf numFmtId="2" fontId="10" fillId="0" borderId="0" xfId="0" applyNumberFormat="1" applyFont="1" applyAlignment="1">
      <alignment horizontal="right" vertical="center"/>
    </xf>
    <xf numFmtId="0" fontId="1" fillId="0" borderId="0" xfId="0" applyFont="1" applyAlignment="1">
      <alignment horizontal="left" vertical="center"/>
    </xf>
    <xf numFmtId="9" fontId="0" fillId="0" borderId="0" xfId="0" applyNumberFormat="1" applyAlignment="1">
      <alignment horizontal="left" vertical="center"/>
    </xf>
    <xf numFmtId="0" fontId="0" fillId="0" borderId="0" xfId="0" applyAlignment="1">
      <alignment horizontal="right" vertical="center"/>
    </xf>
    <xf numFmtId="1" fontId="0" fillId="0" borderId="0" xfId="0" applyNumberFormat="1" applyAlignment="1">
      <alignment horizontal="center"/>
    </xf>
    <xf numFmtId="15" fontId="0" fillId="10" borderId="33" xfId="0" applyNumberFormat="1" applyFill="1" applyBorder="1" applyAlignment="1">
      <alignment horizontal="center" vertical="center"/>
    </xf>
    <xf numFmtId="0" fontId="0" fillId="9" borderId="8" xfId="0" applyFill="1" applyBorder="1" applyAlignment="1">
      <alignment vertical="center"/>
    </xf>
    <xf numFmtId="0" fontId="0" fillId="9" borderId="33" xfId="0" applyFill="1" applyBorder="1" applyAlignment="1">
      <alignment vertical="center"/>
    </xf>
    <xf numFmtId="43" fontId="0" fillId="0" borderId="0" xfId="0" applyNumberFormat="1"/>
    <xf numFmtId="0" fontId="0" fillId="0" borderId="8" xfId="0" applyBorder="1" applyAlignment="1">
      <alignment horizontal="left" vertical="top"/>
    </xf>
    <xf numFmtId="10" fontId="3" fillId="3" borderId="8" xfId="4" applyNumberFormat="1" applyFont="1" applyFill="1" applyBorder="1" applyAlignment="1" applyProtection="1">
      <alignment horizontal="center" vertical="center" wrapText="1"/>
    </xf>
    <xf numFmtId="10" fontId="0" fillId="0" borderId="8" xfId="2" applyNumberFormat="1" applyFont="1" applyBorder="1" applyProtection="1"/>
    <xf numFmtId="0" fontId="0" fillId="17" borderId="8" xfId="0" applyFill="1" applyBorder="1" applyAlignment="1">
      <alignment horizontal="left" vertical="top"/>
    </xf>
    <xf numFmtId="43" fontId="0" fillId="0" borderId="8" xfId="1" applyFont="1" applyBorder="1" applyProtection="1"/>
    <xf numFmtId="9" fontId="0" fillId="0" borderId="8" xfId="2" applyFont="1" applyBorder="1" applyProtection="1"/>
    <xf numFmtId="169" fontId="0" fillId="0" borderId="8" xfId="2" applyNumberFormat="1" applyFont="1" applyBorder="1" applyProtection="1"/>
    <xf numFmtId="169" fontId="0" fillId="0" borderId="8" xfId="0" applyNumberFormat="1" applyBorder="1"/>
    <xf numFmtId="0" fontId="0" fillId="0" borderId="34" xfId="0" applyBorder="1" applyAlignment="1">
      <alignment horizontal="left" vertical="top"/>
    </xf>
    <xf numFmtId="16" fontId="0" fillId="0" borderId="0" xfId="0" applyNumberFormat="1"/>
    <xf numFmtId="0" fontId="0" fillId="0" borderId="8" xfId="0" pivotButton="1" applyBorder="1"/>
    <xf numFmtId="43" fontId="0" fillId="0" borderId="8" xfId="0" applyNumberFormat="1" applyBorder="1"/>
    <xf numFmtId="1" fontId="0" fillId="16" borderId="0" xfId="0" applyNumberFormat="1" applyFill="1" applyAlignment="1">
      <alignment horizontal="center" vertical="center"/>
    </xf>
    <xf numFmtId="0" fontId="0" fillId="16" borderId="0" xfId="0" applyFill="1" applyAlignment="1">
      <alignment horizontal="center" vertical="center"/>
    </xf>
    <xf numFmtId="15" fontId="0" fillId="16" borderId="0" xfId="0" applyNumberFormat="1" applyFill="1" applyAlignment="1">
      <alignment horizontal="center" vertical="center"/>
    </xf>
    <xf numFmtId="0" fontId="6" fillId="0" borderId="0" xfId="5" applyAlignment="1">
      <alignment horizontal="center" vertical="center"/>
    </xf>
    <xf numFmtId="2" fontId="0" fillId="0" borderId="0" xfId="1" applyNumberFormat="1" applyFont="1" applyFill="1" applyBorder="1" applyAlignment="1">
      <alignment horizontal="right" vertical="center"/>
    </xf>
    <xf numFmtId="1" fontId="34" fillId="0" borderId="1" xfId="0" applyNumberFormat="1" applyFont="1" applyBorder="1" applyAlignment="1">
      <alignment horizontal="center"/>
    </xf>
    <xf numFmtId="2" fontId="0" fillId="0" borderId="0" xfId="1" applyNumberFormat="1" applyFont="1" applyBorder="1" applyAlignment="1">
      <alignment horizontal="right" vertical="center"/>
    </xf>
    <xf numFmtId="0" fontId="0" fillId="0" borderId="0" xfId="0" applyAlignment="1">
      <alignment horizontal="left" vertical="top"/>
    </xf>
    <xf numFmtId="1" fontId="35" fillId="0" borderId="1" xfId="0" applyNumberFormat="1" applyFont="1" applyBorder="1" applyAlignment="1">
      <alignment horizontal="center"/>
    </xf>
    <xf numFmtId="1" fontId="5" fillId="0" borderId="0" xfId="4" applyNumberFormat="1" applyFont="1" applyFill="1" applyBorder="1" applyAlignment="1">
      <alignment horizontal="center" vertical="center"/>
    </xf>
    <xf numFmtId="169" fontId="0" fillId="7" borderId="0" xfId="2" applyNumberFormat="1" applyFont="1" applyFill="1" applyAlignment="1">
      <alignment horizontal="center" vertical="center"/>
    </xf>
    <xf numFmtId="2" fontId="0" fillId="7" borderId="0" xfId="0" applyNumberFormat="1" applyFill="1" applyAlignment="1">
      <alignment horizontal="center" vertical="center"/>
    </xf>
    <xf numFmtId="2" fontId="10" fillId="7" borderId="0" xfId="0" applyNumberFormat="1" applyFont="1" applyFill="1" applyAlignment="1">
      <alignment horizontal="center" vertical="center"/>
    </xf>
    <xf numFmtId="2" fontId="10" fillId="7" borderId="0" xfId="0" applyNumberFormat="1" applyFont="1" applyFill="1" applyAlignment="1">
      <alignment horizontal="right" vertical="center"/>
    </xf>
    <xf numFmtId="2" fontId="0" fillId="7" borderId="0" xfId="0" applyNumberFormat="1" applyFill="1" applyAlignment="1">
      <alignment horizontal="right" vertical="center"/>
    </xf>
    <xf numFmtId="169" fontId="0" fillId="0" borderId="0" xfId="2" applyNumberFormat="1" applyFont="1" applyBorder="1" applyAlignment="1">
      <alignment horizontal="center" vertical="center"/>
    </xf>
    <xf numFmtId="0" fontId="6" fillId="28" borderId="0" xfId="5" applyFill="1" applyAlignment="1">
      <alignment horizontal="left" vertical="center"/>
    </xf>
    <xf numFmtId="0" fontId="13" fillId="15" borderId="36" xfId="0" applyFont="1" applyFill="1" applyBorder="1" applyAlignment="1">
      <alignment horizontal="center" vertical="center"/>
    </xf>
    <xf numFmtId="0" fontId="13" fillId="15" borderId="37" xfId="0" applyFont="1" applyFill="1" applyBorder="1" applyAlignment="1">
      <alignment horizontal="center" vertical="center"/>
    </xf>
    <xf numFmtId="0" fontId="13" fillId="15" borderId="38" xfId="0" applyFont="1" applyFill="1" applyBorder="1" applyAlignment="1">
      <alignment horizontal="center" vertical="center"/>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16" fillId="5" borderId="32" xfId="0" applyFont="1" applyFill="1" applyBorder="1" applyAlignment="1">
      <alignment horizontal="center" vertical="center"/>
    </xf>
    <xf numFmtId="0" fontId="12" fillId="11" borderId="11" xfId="0" applyFont="1" applyFill="1" applyBorder="1" applyAlignment="1">
      <alignment horizontal="center" vertical="center"/>
    </xf>
    <xf numFmtId="0" fontId="12" fillId="11" borderId="12" xfId="0" applyFont="1" applyFill="1" applyBorder="1" applyAlignment="1">
      <alignment horizontal="center" vertical="center"/>
    </xf>
    <xf numFmtId="0" fontId="0" fillId="0" borderId="8" xfId="0" applyBorder="1" applyAlignment="1">
      <alignment horizontal="center" vertical="center"/>
    </xf>
    <xf numFmtId="43" fontId="0" fillId="0" borderId="8" xfId="1" applyFont="1" applyBorder="1" applyAlignment="1" applyProtection="1">
      <alignment horizontal="center" vertical="center"/>
    </xf>
    <xf numFmtId="0" fontId="20" fillId="0" borderId="8" xfId="0" applyFont="1" applyBorder="1" applyAlignment="1">
      <alignment horizontal="center" vertical="center"/>
    </xf>
    <xf numFmtId="0" fontId="3" fillId="3" borderId="11" xfId="3" applyFont="1" applyFill="1" applyBorder="1" applyAlignment="1">
      <alignment horizontal="center" vertical="center" wrapText="1"/>
    </xf>
    <xf numFmtId="0" fontId="3" fillId="3" borderId="12" xfId="3" applyFont="1" applyFill="1" applyBorder="1" applyAlignment="1">
      <alignment horizontal="center" vertical="center" wrapText="1"/>
    </xf>
    <xf numFmtId="0" fontId="23" fillId="5" borderId="49" xfId="0" applyFont="1" applyFill="1" applyBorder="1" applyAlignment="1">
      <alignment horizontal="center" vertical="center"/>
    </xf>
    <xf numFmtId="0" fontId="23" fillId="5" borderId="50" xfId="0" applyFont="1" applyFill="1" applyBorder="1" applyAlignment="1">
      <alignment horizontal="center" vertical="center"/>
    </xf>
    <xf numFmtId="0" fontId="23" fillId="5" borderId="51" xfId="0" applyFont="1" applyFill="1" applyBorder="1" applyAlignment="1">
      <alignment horizontal="center" vertical="center"/>
    </xf>
    <xf numFmtId="0" fontId="23" fillId="5" borderId="52" xfId="0" applyFont="1" applyFill="1" applyBorder="1" applyAlignment="1">
      <alignment horizontal="center" vertical="center"/>
    </xf>
    <xf numFmtId="0" fontId="23" fillId="5" borderId="0" xfId="0" applyFont="1" applyFill="1" applyAlignment="1">
      <alignment horizontal="center" vertical="center"/>
    </xf>
    <xf numFmtId="0" fontId="23" fillId="5" borderId="53" xfId="0" applyFont="1" applyFill="1" applyBorder="1" applyAlignment="1">
      <alignment horizontal="center" vertical="center"/>
    </xf>
  </cellXfs>
  <cellStyles count="82">
    <cellStyle name="Comma" xfId="1" builtinId="3"/>
    <cellStyle name="Comma 2" xfId="11" xr:uid="{00000000-0005-0000-0000-000001000000}"/>
    <cellStyle name="Comma 2 2" xfId="13" xr:uid="{00000000-0005-0000-0000-000002000000}"/>
    <cellStyle name="Comma 2 2 2" xfId="17" xr:uid="{00000000-0005-0000-0000-000003000000}"/>
    <cellStyle name="Comma 2 2 2 2" xfId="25" xr:uid="{00000000-0005-0000-0000-000004000000}"/>
    <cellStyle name="Comma 2 2 2 2 2" xfId="41" xr:uid="{00000000-0005-0000-0000-000005000000}"/>
    <cellStyle name="Comma 2 2 2 2 2 2" xfId="80" xr:uid="{06201301-3793-4E27-85CD-33D5EC2F9E9A}"/>
    <cellStyle name="Comma 2 2 2 2 3" xfId="64" xr:uid="{DB4E8185-6840-44DA-A462-35FF85175AB6}"/>
    <cellStyle name="Comma 2 2 2 3" xfId="33" xr:uid="{00000000-0005-0000-0000-000006000000}"/>
    <cellStyle name="Comma 2 2 2 3 2" xfId="72" xr:uid="{EE8EA780-057E-4F5C-BC4E-F08A9E5EF29A}"/>
    <cellStyle name="Comma 2 2 2 4" xfId="56" xr:uid="{5EF7B552-9B48-4056-9568-234904C58D13}"/>
    <cellStyle name="Comma 2 2 3" xfId="21" xr:uid="{00000000-0005-0000-0000-000007000000}"/>
    <cellStyle name="Comma 2 2 3 2" xfId="37" xr:uid="{00000000-0005-0000-0000-000008000000}"/>
    <cellStyle name="Comma 2 2 3 2 2" xfId="76" xr:uid="{53206572-E211-4F7F-908C-640034A06F6F}"/>
    <cellStyle name="Comma 2 2 3 3" xfId="60" xr:uid="{11EB2C1A-706C-4292-8C54-1DE6D80E2CF9}"/>
    <cellStyle name="Comma 2 2 4" xfId="29" xr:uid="{00000000-0005-0000-0000-000009000000}"/>
    <cellStyle name="Comma 2 2 4 2" xfId="68" xr:uid="{6C87CF02-9AA0-466C-869D-651222BD7594}"/>
    <cellStyle name="Comma 2 2 5" xfId="52" xr:uid="{65644B77-D19E-43EA-B596-4676991F63F5}"/>
    <cellStyle name="Comma 2 3" xfId="15" xr:uid="{00000000-0005-0000-0000-00000A000000}"/>
    <cellStyle name="Comma 2 3 2" xfId="23" xr:uid="{00000000-0005-0000-0000-00000B000000}"/>
    <cellStyle name="Comma 2 3 2 2" xfId="39" xr:uid="{00000000-0005-0000-0000-00000C000000}"/>
    <cellStyle name="Comma 2 3 2 2 2" xfId="78" xr:uid="{81BEF97A-C9E8-424B-B52C-6180AE85A1B7}"/>
    <cellStyle name="Comma 2 3 2 3" xfId="62" xr:uid="{71307EE7-2308-4E79-BD53-766843B53330}"/>
    <cellStyle name="Comma 2 3 3" xfId="31" xr:uid="{00000000-0005-0000-0000-00000D000000}"/>
    <cellStyle name="Comma 2 3 3 2" xfId="70" xr:uid="{3EB6CFFA-D265-4DE6-92EE-C601391B8FE6}"/>
    <cellStyle name="Comma 2 3 4" xfId="54" xr:uid="{4E359376-E51C-49E9-AD7E-249A68E42738}"/>
    <cellStyle name="Comma 2 4" xfId="19" xr:uid="{00000000-0005-0000-0000-00000E000000}"/>
    <cellStyle name="Comma 2 4 2" xfId="35" xr:uid="{00000000-0005-0000-0000-00000F000000}"/>
    <cellStyle name="Comma 2 4 2 2" xfId="74" xr:uid="{0CF11379-7F74-43B6-8364-6B915EB8642A}"/>
    <cellStyle name="Comma 2 4 3" xfId="58" xr:uid="{435FE3E2-5B38-4F68-8545-8CDCCF414572}"/>
    <cellStyle name="Comma 2 5" xfId="27" xr:uid="{00000000-0005-0000-0000-000010000000}"/>
    <cellStyle name="Comma 2 5 2" xfId="66" xr:uid="{04A047FE-BE0F-4A1B-BF5D-694C244F2043}"/>
    <cellStyle name="Comma 2 6" xfId="50" xr:uid="{A3482BC2-73CD-4A0F-B4FF-D65C87718DF2}"/>
    <cellStyle name="Comma 3" xfId="12" xr:uid="{00000000-0005-0000-0000-000011000000}"/>
    <cellStyle name="Comma 3 2" xfId="16" xr:uid="{00000000-0005-0000-0000-000012000000}"/>
    <cellStyle name="Comma 3 2 2" xfId="24" xr:uid="{00000000-0005-0000-0000-000013000000}"/>
    <cellStyle name="Comma 3 2 2 2" xfId="40" xr:uid="{00000000-0005-0000-0000-000014000000}"/>
    <cellStyle name="Comma 3 2 2 2 2" xfId="79" xr:uid="{EDCED970-C3C1-41E2-9F67-8CB09987BA84}"/>
    <cellStyle name="Comma 3 2 2 3" xfId="63" xr:uid="{3654816B-4F35-4418-B449-D75CA0027F63}"/>
    <cellStyle name="Comma 3 2 3" xfId="32" xr:uid="{00000000-0005-0000-0000-000015000000}"/>
    <cellStyle name="Comma 3 2 3 2" xfId="71" xr:uid="{91F04212-C2AF-4CA4-A06C-CA012AD64B37}"/>
    <cellStyle name="Comma 3 2 4" xfId="55" xr:uid="{E10AF020-08F6-4C5F-A7D5-A6E584A91915}"/>
    <cellStyle name="Comma 3 3" xfId="20" xr:uid="{00000000-0005-0000-0000-000016000000}"/>
    <cellStyle name="Comma 3 3 2" xfId="36" xr:uid="{00000000-0005-0000-0000-000017000000}"/>
    <cellStyle name="Comma 3 3 2 2" xfId="75" xr:uid="{7C5CB95A-1711-4287-9A7A-A933EEC90633}"/>
    <cellStyle name="Comma 3 3 3" xfId="59" xr:uid="{0D06ADE4-7A95-4CC8-9DE7-79AF26ACFD31}"/>
    <cellStyle name="Comma 3 4" xfId="28" xr:uid="{00000000-0005-0000-0000-000018000000}"/>
    <cellStyle name="Comma 3 4 2" xfId="67" xr:uid="{79AB7939-3CE4-4A21-AF30-15ACBAB7B3AA}"/>
    <cellStyle name="Comma 3 5" xfId="51" xr:uid="{960263CF-3A9D-4320-A794-996A420C3E48}"/>
    <cellStyle name="Comma 4" xfId="14" xr:uid="{00000000-0005-0000-0000-000019000000}"/>
    <cellStyle name="Comma 4 2" xfId="22" xr:uid="{00000000-0005-0000-0000-00001A000000}"/>
    <cellStyle name="Comma 4 2 2" xfId="38" xr:uid="{00000000-0005-0000-0000-00001B000000}"/>
    <cellStyle name="Comma 4 2 2 2" xfId="77" xr:uid="{A5652DDF-EF80-454E-8146-ED03AE3EAA86}"/>
    <cellStyle name="Comma 4 2 3" xfId="61" xr:uid="{89B45AB9-7184-4FE5-93D1-BBF8108103FD}"/>
    <cellStyle name="Comma 4 3" xfId="30" xr:uid="{00000000-0005-0000-0000-00001C000000}"/>
    <cellStyle name="Comma 4 3 2" xfId="69" xr:uid="{D86FF3B7-D6AB-4D59-B01E-34FA837F92B6}"/>
    <cellStyle name="Comma 4 4" xfId="53" xr:uid="{3EA2286D-6CCF-4DEB-BF1C-AB3A864947D3}"/>
    <cellStyle name="Comma 42" xfId="47" xr:uid="{B5296D73-D80F-4A22-A5D1-95DE5E76359B}"/>
    <cellStyle name="Comma 42 2" xfId="81" xr:uid="{14EC92BB-09CF-446C-951A-69434B98F937}"/>
    <cellStyle name="Comma 5" xfId="18" xr:uid="{00000000-0005-0000-0000-00001D000000}"/>
    <cellStyle name="Comma 5 2" xfId="34" xr:uid="{00000000-0005-0000-0000-00001E000000}"/>
    <cellStyle name="Comma 5 2 2" xfId="73" xr:uid="{469AA7F4-66BC-4E11-A579-7B10447D280E}"/>
    <cellStyle name="Comma 5 3" xfId="57" xr:uid="{399E6F6E-D25B-45FC-9C20-A14A28519A50}"/>
    <cellStyle name="Comma 6" xfId="26" xr:uid="{00000000-0005-0000-0000-00001F000000}"/>
    <cellStyle name="Comma 6 2" xfId="65" xr:uid="{FF8D4148-1752-45E5-A1EE-966E19FCCB7A}"/>
    <cellStyle name="Comma 7" xfId="49" xr:uid="{80016D51-20FC-448B-962B-5F9B214B5D5E}"/>
    <cellStyle name="Hyperlink" xfId="6" builtinId="8"/>
    <cellStyle name="Normal" xfId="0" builtinId="0"/>
    <cellStyle name="Normal 11" xfId="48" xr:uid="{F6C42253-735B-4F19-9E8C-E9C905794099}"/>
    <cellStyle name="Normal 2" xfId="7" xr:uid="{00000000-0005-0000-0000-000022000000}"/>
    <cellStyle name="Normal 2 2" xfId="8" xr:uid="{00000000-0005-0000-0000-000023000000}"/>
    <cellStyle name="Normal 2 3" xfId="10" xr:uid="{00000000-0005-0000-0000-000024000000}"/>
    <cellStyle name="Normal 26" xfId="3" xr:uid="{00000000-0005-0000-0000-000025000000}"/>
    <cellStyle name="Normal 26 41" xfId="43" xr:uid="{131778D7-BC4B-4148-8856-766FF7205C74}"/>
    <cellStyle name="Normal 27" xfId="5" xr:uid="{00000000-0005-0000-0000-000026000000}"/>
    <cellStyle name="Normal 3" xfId="42" xr:uid="{00000000-0005-0000-0000-000027000000}"/>
    <cellStyle name="Normal 53" xfId="44" xr:uid="{1EC17DD0-7851-4597-B460-2AE621502D97}"/>
    <cellStyle name="Percent" xfId="2" builtinId="5"/>
    <cellStyle name="Percent 2" xfId="4" xr:uid="{00000000-0005-0000-0000-000029000000}"/>
    <cellStyle name="Percent 35" xfId="45" xr:uid="{86B78D9D-9B25-45FD-A602-7AD2FA481CFF}"/>
    <cellStyle name="Percent 4" xfId="9" xr:uid="{00000000-0005-0000-0000-00002A000000}"/>
    <cellStyle name="Percent 43" xfId="46" xr:uid="{20A3B7CC-B8A6-49A2-97EE-4DC94AAFB4F8}"/>
  </cellStyles>
  <dxfs count="394">
    <dxf>
      <font>
        <color rgb="FF9C0006"/>
      </font>
      <fill>
        <patternFill>
          <bgColor rgb="FFFFC7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numFmt numFmtId="171" formatCode="dd/mmm/yyyy"/>
    </dxf>
    <dxf>
      <alignment horizont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charset val="134"/>
        <scheme val="minor"/>
      </font>
      <numFmt numFmtId="22" formatCode="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charset val="134"/>
        <scheme val="minor"/>
      </font>
      <numFmt numFmtId="0" formatCode="General"/>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charset val="134"/>
        <scheme val="minor"/>
      </font>
      <numFmt numFmtId="1" formatCode="0"/>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charset val="134"/>
        <scheme val="minor"/>
      </font>
      <numFmt numFmtId="20" formatCode="dd/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right style="thin">
          <color theme="0"/>
        </right>
        <top style="thin">
          <color theme="0"/>
        </top>
        <bottom style="thin">
          <color theme="0"/>
        </bottom>
      </border>
    </dxf>
    <dxf>
      <border outline="0">
        <top style="thin">
          <color theme="0"/>
        </top>
      </border>
    </dxf>
    <dxf>
      <border outline="0">
        <left style="dotted">
          <color auto="1"/>
        </left>
        <top style="dotted">
          <color auto="1"/>
        </top>
        <bottom style="thin">
          <color theme="0"/>
        </bottom>
      </border>
    </dxf>
    <dxf>
      <numFmt numFmtId="0" formatCode="General"/>
      <alignment horizontal="center" vertical="center" textRotation="0" indent="0" justifyLastLine="0" shrinkToFit="0" readingOrder="0"/>
    </dxf>
    <dxf>
      <border outline="0">
        <bottom style="dotted">
          <color auto="1"/>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bottom/>
      </border>
    </dxf>
    <dxf>
      <numFmt numFmtId="14" formatCode="0.0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mbria"/>
        <family val="1"/>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mbria"/>
        <family val="1"/>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25" formatCode="hh:mm"/>
      <alignment horizontal="center" vertical="bottom" textRotation="0" wrapText="0" indent="0" justifyLastLine="0" shrinkToFit="0" readingOrder="0"/>
    </dxf>
    <dxf>
      <numFmt numFmtId="25" formatCode="hh:mm"/>
      <alignment horizontal="center" vertical="bottom" textRotation="0" wrapText="0" indent="0" justifyLastLine="0" shrinkToFit="0" readingOrder="0"/>
    </dxf>
    <dxf>
      <numFmt numFmtId="170" formatCode="h:m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0.0%"/>
      <fill>
        <patternFill patternType="none">
          <fgColor indexed="64"/>
          <bgColor indexed="65"/>
        </patternFill>
      </fill>
      <alignment horizontal="center" vertical="bottom" textRotation="0" wrapText="0" indent="0" justifyLastLine="0" shrinkToFit="0" readingOrder="0"/>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theme="0"/>
        <name val="Calibri"/>
        <family val="2"/>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1" formatCode="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dxf>
    <dxf>
      <numFmt numFmtId="2" formatCode="0.00"/>
    </dxf>
    <dxf>
      <numFmt numFmtId="2" formatCode="0.00"/>
    </dxf>
    <dxf>
      <numFmt numFmtId="170" formatCode="h:mm;@"/>
      <alignment horizontal="center" vertical="center" textRotation="0" wrapText="0" indent="0" justifyLastLine="0" shrinkToFit="0" readingOrder="0"/>
    </dxf>
    <dxf>
      <numFmt numFmtId="170" formatCode="h:mm;@"/>
      <alignment horizontal="center" vertical="center" textRotation="0" wrapText="0" indent="0" justifyLastLine="0" shrinkToFit="0" readingOrder="0"/>
    </dxf>
    <dxf>
      <numFmt numFmtId="170" formatCode="h:mm;@"/>
      <alignment horizontal="center" vertical="center" textRotation="0" wrapText="0" indent="0" justifyLastLine="0" shrinkToFit="0" readingOrder="0"/>
    </dxf>
    <dxf>
      <numFmt numFmtId="169" formatCode="0.0%"/>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theme="0" tint="-0.14999847407452621"/>
        </patternFill>
      </fill>
      <alignment horizontal="center" vertical="bottom" textRotation="0" wrapText="0" indent="0" justifyLastLine="0" shrinkToFit="0" readingOrder="0"/>
      <border diagonalUp="0" diagonalDown="0">
        <left/>
        <right style="dotted">
          <color theme="2" tint="-9.9948118533890809E-2"/>
        </right>
        <top style="dotted">
          <color theme="2" tint="-9.9948118533890809E-2"/>
        </top>
        <bottom style="dotted">
          <color theme="2" tint="-9.9948118533890809E-2"/>
        </bottom>
        <vertical/>
        <horizontal/>
      </border>
    </dxf>
    <dxf>
      <font>
        <b/>
        <i val="0"/>
        <strike val="0"/>
        <condense val="0"/>
        <extend val="0"/>
        <outline val="0"/>
        <shadow val="0"/>
        <u val="none"/>
        <vertAlign val="baseline"/>
        <sz val="9"/>
        <color theme="0"/>
        <name val="Calibri"/>
        <family val="2"/>
        <scheme val="minor"/>
      </font>
      <fill>
        <patternFill patternType="solid">
          <fgColor indexed="64"/>
          <bgColor theme="9"/>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fill>
        <patternFill patternType="solid">
          <fgColor indexed="64"/>
          <bgColor theme="0" tint="-0.14999847407452621"/>
        </patternFill>
      </fill>
      <alignment horizontal="right" vertical="center" textRotation="0" wrapText="0" indent="0" justifyLastLine="0" shrinkToFit="0" readingOrder="0"/>
    </dxf>
    <dxf>
      <numFmt numFmtId="2" formatCode="0.00"/>
      <fill>
        <patternFill patternType="solid">
          <fgColor indexed="64"/>
          <bgColor theme="0" tint="-0.14999847407452621"/>
        </patternFill>
      </fill>
      <alignment horizontal="center" vertical="center" textRotation="0" wrapText="0" indent="0" justifyLastLine="0" shrinkToFit="0" readingOrder="0"/>
    </dxf>
    <dxf>
      <numFmt numFmtId="2" formatCode="0.00"/>
      <fill>
        <patternFill patternType="solid">
          <fgColor indexed="64"/>
          <bgColor theme="0" tint="-0.14999847407452621"/>
        </patternFill>
      </fill>
      <alignment horizontal="center" vertical="center" textRotation="0" wrapText="0" indent="0" justifyLastLine="0" shrinkToFit="0" readingOrder="0"/>
    </dxf>
    <dxf>
      <numFmt numFmtId="170" formatCode="h:mm;@"/>
      <alignment horizontal="center" vertical="center" textRotation="0" wrapText="0" indent="0" justifyLastLine="0" shrinkToFit="0" readingOrder="0"/>
    </dxf>
    <dxf>
      <numFmt numFmtId="170" formatCode="h:mm;@"/>
      <alignment horizontal="center" vertical="center" textRotation="0" wrapText="0" indent="0" justifyLastLine="0" shrinkToFit="0" readingOrder="0"/>
    </dxf>
    <dxf>
      <numFmt numFmtId="170" formatCode="h:mm;@"/>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0.0%"/>
      <fill>
        <patternFill patternType="solid">
          <fgColor indexed="64"/>
          <bgColor theme="0" tint="-0.14999847407452621"/>
        </patternFill>
      </fill>
      <alignment horizontal="center" vertical="center" textRotation="0" wrapText="0" indent="0" justifyLastLine="0" shrinkToFit="0" readingOrder="0"/>
    </dxf>
    <dxf>
      <fill>
        <patternFill patternType="solid">
          <fgColor indexed="64"/>
          <bgColor theme="0" tint="-0.14999847407452621"/>
        </patternFill>
      </fill>
      <alignment horizontal="center" vertical="center" textRotation="0" wrapText="0" indent="0" justifyLastLine="0" shrinkToFit="0" readingOrder="0"/>
    </dxf>
    <dxf>
      <fill>
        <patternFill patternType="solid">
          <fgColor indexed="64"/>
          <bgColor theme="0" tint="-0.14999847407452621"/>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d/mmm/yy"/>
      <fill>
        <patternFill patternType="solid">
          <fgColor theme="9" tint="0.59999389629810485"/>
          <bgColor theme="9" tint="0.59999389629810485"/>
        </patternFill>
      </fill>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fill>
        <patternFill patternType="solid">
          <fgColor theme="9" tint="0.59999389629810485"/>
          <bgColor theme="9" tint="0.59999389629810485"/>
        </patternFill>
      </fill>
      <alignment horizontal="center" vertical="center" textRotation="0" wrapText="0" indent="0" justifyLastLine="0" shrinkToFit="0" readingOrder="0"/>
    </dxf>
    <dxf>
      <fill>
        <patternFill patternType="solid">
          <fgColor theme="9" tint="0.59999389629810485"/>
          <bgColor theme="9" tint="0.59999389629810485"/>
        </patternFill>
      </fill>
      <alignment horizontal="center" vertical="center" textRotation="0" wrapText="0" indent="0" justifyLastLine="0" shrinkToFit="0" readingOrder="0"/>
    </dxf>
    <dxf>
      <numFmt numFmtId="1" formatCode="0"/>
      <fill>
        <patternFill patternType="solid">
          <fgColor theme="9" tint="0.59999389629810485"/>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theme="0" tint="-0.14999847407452621"/>
        </patternFill>
      </fill>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border>
        <bottom style="thin">
          <color indexed="64"/>
        </bottom>
      </border>
    </dxf>
    <dxf>
      <font>
        <b/>
        <i val="0"/>
        <strike val="0"/>
        <condense val="0"/>
        <extend val="0"/>
        <outline val="0"/>
        <shadow val="0"/>
        <u val="none"/>
        <vertAlign val="baseline"/>
        <sz val="9"/>
        <color theme="0"/>
        <name val="Calibri"/>
        <family val="2"/>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0"/>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4"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3" formatCode="0%"/>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solid">
          <fgColor theme="9"/>
          <bgColor theme="9"/>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solid">
          <fgColor theme="9"/>
          <bgColor theme="9"/>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64" formatCode="0.0"/>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solid">
          <fgColor theme="9"/>
          <bgColor theme="9"/>
        </patternFill>
      </fill>
      <alignment horizontal="center" vertical="center" textRotation="0" wrapText="0" indent="0" justifyLastLine="0" shrinkToFit="0" readingOrder="0"/>
      <border diagonalUp="0" diagonalDown="0" outline="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solid">
          <fgColor theme="9"/>
          <bgColor theme="9"/>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9" formatCode="0.0%"/>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none"/>
      </font>
      <numFmt numFmtId="14" formatCode="0.00%"/>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3" formatCode="0%"/>
      <fill>
        <patternFill patternType="solid">
          <fgColor theme="9"/>
          <bgColor theme="9"/>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family val="2"/>
        <scheme val="none"/>
      </font>
      <numFmt numFmtId="14" formatCode="0.00%"/>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3" formatCode="0%"/>
      <fill>
        <patternFill patternType="solid">
          <fgColor theme="9"/>
          <bgColor theme="9"/>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3" formatCode="0%"/>
      <fill>
        <patternFill patternType="solid">
          <fgColor theme="9"/>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top style="dotted">
          <color auto="1"/>
        </top>
        <bottom/>
      </border>
      <protection locked="1" hidden="0"/>
    </dxf>
    <dxf>
      <font>
        <b/>
        <i val="0"/>
        <strike val="0"/>
        <condense val="0"/>
        <extend val="0"/>
        <outline val="0"/>
        <shadow val="0"/>
        <u val="none"/>
        <vertAlign val="baseline"/>
        <sz val="9"/>
        <color theme="0"/>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9"/>
        <color theme="0"/>
        <name val="Calibri"/>
        <family val="2"/>
        <scheme val="minor"/>
      </font>
      <numFmt numFmtId="22" formatCode="mmm/yy"/>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22" formatCode="mmm/yy"/>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1" formatCode="0"/>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165" formatCode="[$-409]d/mmm/yy;@"/>
      <fill>
        <patternFill patternType="solid">
          <fgColor indexed="64"/>
          <bgColor theme="9"/>
        </patternFill>
      </fill>
      <alignment horizontal="center" vertical="bottom" textRotation="0" wrapText="0" indent="0" justifyLastLine="0" shrinkToFit="0" readingOrder="0"/>
      <border diagonalUp="0" diagonalDown="0" outline="0">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20" formatCode="dd/mmm/yy"/>
      <fill>
        <patternFill patternType="solid">
          <fgColor indexed="64"/>
          <bgColor theme="9"/>
        </patternFill>
      </fill>
      <alignment horizontal="center" vertical="center" textRotation="0" wrapText="0" indent="0" justifyLastLine="0" shrinkToFit="0" readingOrder="0"/>
      <border diagonalUp="0" diagonalDown="0" outline="0">
        <left/>
        <right style="dotted">
          <color auto="1"/>
        </right>
        <top style="dotted">
          <color auto="1"/>
        </top>
        <bottom/>
      </border>
    </dxf>
    <dxf>
      <border outline="0">
        <top style="dotted">
          <color auto="1"/>
        </top>
      </border>
    </dxf>
    <dxf>
      <alignment horizontal="center" vertical="center" textRotation="0" wrapText="0" indent="0" justifyLastLine="0" shrinkToFit="0" readingOrder="0"/>
    </dxf>
    <dxf>
      <border outline="0">
        <left style="dotted">
          <color auto="1"/>
        </left>
        <right style="dotted">
          <color auto="1"/>
        </right>
        <top style="dotted">
          <color auto="1"/>
        </top>
        <bottom style="dotted">
          <color auto="1"/>
        </bottom>
      </border>
    </dxf>
    <dxf>
      <border outline="0">
        <bottom style="dotted">
          <color auto="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4"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166" formatCode="[$-409]mmm/yy;@"/>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1" formatCode="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0"/>
        <color auto="1"/>
        <name val="Palatino Linotype"/>
        <scheme val="none"/>
      </font>
      <numFmt numFmtId="167" formatCode="[$-409]d\-mmm\-yy;@"/>
      <fill>
        <patternFill patternType="none">
          <fgColor indexed="64"/>
          <bgColor auto="1"/>
        </patternFill>
      </fill>
      <alignment horizontal="center" vertical="center" textRotation="0" wrapText="0" indent="0" justifyLastLine="0" shrinkToFit="0" readingOrder="0"/>
      <border diagonalUp="0" diagonalDown="0">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border>
        <top style="dotted">
          <color theme="2" tint="-9.9917600024414813E-2"/>
        </top>
      </border>
    </dxf>
    <dxf>
      <border diagonalUp="0" diagonalDown="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dxf>
    <dxf>
      <border>
        <bottom style="dotted">
          <color theme="2" tint="-9.9917600024414813E-2"/>
        </bottom>
      </border>
    </dxf>
    <dxf>
      <font>
        <b/>
        <i val="0"/>
        <strike val="0"/>
        <condense val="0"/>
        <extend val="0"/>
        <outline val="0"/>
        <shadow val="0"/>
        <u val="none"/>
        <vertAlign val="baseline"/>
        <sz val="9"/>
        <color theme="0"/>
        <name val="Calibri"/>
        <scheme val="minor"/>
      </font>
      <numFmt numFmtId="14" formatCode="0.00%"/>
      <fill>
        <patternFill patternType="solid">
          <fgColor indexed="64"/>
          <bgColor theme="9"/>
        </patternFill>
      </fill>
      <alignment horizontal="center" vertical="center" textRotation="0" wrapText="1" indent="0" justifyLastLine="0" shrinkToFit="0" readingOrder="0"/>
      <border diagonalUp="0" diagonalDown="0">
        <left style="dotted">
          <color theme="2" tint="-9.9917600024414813E-2"/>
        </left>
        <right style="dotted">
          <color theme="2" tint="-9.9917600024414813E-2"/>
        </right>
        <top/>
        <bottom/>
        <vertical style="dotted">
          <color theme="2" tint="-9.9917600024414813E-2"/>
        </vertical>
        <horizontal style="dotted">
          <color theme="2" tint="-9.9917600024414813E-2"/>
        </horizontal>
      </border>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s>
  <tableStyles count="0" defaultTableStyle="TableStyleMedium2" defaultPivotStyle="PivotStyleLight16"/>
  <colors>
    <mruColors>
      <color rgb="FFD6EEBC"/>
      <color rgb="FF8BE58B"/>
      <color rgb="FFB8EB95"/>
      <color rgb="FFC2E59B"/>
      <color rgb="FFA9DA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07/relationships/slicerCache" Target="slicerCaches/slicerCache7.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[DGR_PWEGPL.xlsx]Analytices!PivotTable3</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s>
    <c:plotArea>
      <c:layout/>
      <c:doughnutChart>
        <c:varyColors val="1"/>
        <c:ser>
          <c:idx val="0"/>
          <c:order val="0"/>
          <c:tx>
            <c:strRef>
              <c:f>Analytices!$B$29</c:f>
              <c:strCache>
                <c:ptCount val="1"/>
                <c:pt idx="0">
                  <c:v>Sum of Breakdown Time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0B-AE42-9BEB-D4CDB9E4ED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0B-AE42-9BEB-D4CDB9E4ED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0B-AE42-9BEB-D4CDB9E4ED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0B-AE42-9BEB-D4CDB9E4ED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0B-AE42-9BEB-D4CDB9E4ED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0B-AE42-9BEB-D4CDB9E4ED4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0B-AE42-9BEB-D4CDB9E4ED4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80B-AE42-9BEB-D4CDB9E4ED4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80B-AE42-9BEB-D4CDB9E4ED4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80B-AE42-9BEB-D4CDB9E4ED4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80B-AE42-9BEB-D4CDB9E4ED4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80B-AE42-9BEB-D4CDB9E4ED4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80B-AE42-9BEB-D4CDB9E4ED4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80B-AE42-9BEB-D4CDB9E4ED4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80B-AE42-9BEB-D4CDB9E4ED4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80B-AE42-9BEB-D4CDB9E4ED4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80B-AE42-9BEB-D4CDB9E4ED4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80B-AE42-9BEB-D4CDB9E4ED4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80B-AE42-9BEB-D4CDB9E4ED4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80B-AE42-9BEB-D4CDB9E4ED4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980B-AE42-9BEB-D4CDB9E4ED4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980B-AE42-9BEB-D4CDB9E4ED4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980B-AE42-9BEB-D4CDB9E4ED4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980B-AE42-9BEB-D4CDB9E4ED4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980B-AE42-9BEB-D4CDB9E4ED4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980B-AE42-9BEB-D4CDB9E4ED4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980B-AE42-9BEB-D4CDB9E4ED4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980B-AE42-9BEB-D4CDB9E4ED4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980B-AE42-9BEB-D4CDB9E4ED4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980B-AE42-9BEB-D4CDB9E4ED4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980B-AE42-9BEB-D4CDB9E4ED4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980B-AE42-9BEB-D4CDB9E4ED4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980B-AE42-9BEB-D4CDB9E4ED4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980B-AE42-9BEB-D4CDB9E4ED4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980B-AE42-9BEB-D4CDB9E4ED4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980B-AE42-9BEB-D4CDB9E4ED4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980B-AE42-9BEB-D4CDB9E4ED4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980B-AE42-9BEB-D4CDB9E4ED4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980B-AE42-9BEB-D4CDB9E4ED4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980B-AE42-9BEB-D4CDB9E4ED4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980B-AE42-9BEB-D4CDB9E4ED4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980B-AE42-9BEB-D4CDB9E4ED4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980B-AE42-9BEB-D4CDB9E4ED4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980B-AE42-9BEB-D4CDB9E4ED4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980B-AE42-9BEB-D4CDB9E4ED4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980B-AE42-9BEB-D4CDB9E4ED4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980B-AE42-9BEB-D4CDB9E4ED4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980B-AE42-9BEB-D4CDB9E4ED4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980B-AE42-9BEB-D4CDB9E4ED4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980B-AE42-9BEB-D4CDB9E4ED4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980B-AE42-9BEB-D4CDB9E4ED45}"/>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980B-AE42-9BEB-D4CDB9E4ED45}"/>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980B-AE42-9BEB-D4CDB9E4ED45}"/>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980B-AE42-9BEB-D4CDB9E4ED45}"/>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980B-AE42-9BEB-D4CDB9E4ED45}"/>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980B-AE42-9BEB-D4CDB9E4ED45}"/>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980B-AE42-9BEB-D4CDB9E4ED45}"/>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980B-AE42-9BEB-D4CDB9E4ED45}"/>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980B-AE42-9BEB-D4CDB9E4ED45}"/>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980B-AE42-9BEB-D4CDB9E4ED45}"/>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980B-AE42-9BEB-D4CDB9E4ED45}"/>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980B-AE42-9BEB-D4CDB9E4ED45}"/>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980B-AE42-9BEB-D4CDB9E4ED45}"/>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980B-AE42-9BEB-D4CDB9E4ED45}"/>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980B-AE42-9BEB-D4CDB9E4ED45}"/>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980B-AE42-9BEB-D4CDB9E4ED45}"/>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980B-AE42-9BEB-D4CDB9E4ED45}"/>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980B-AE42-9BEB-D4CDB9E4ED45}"/>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980B-AE42-9BEB-D4CDB9E4ED45}"/>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980B-AE42-9BEB-D4CDB9E4ED45}"/>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980B-AE42-9BEB-D4CDB9E4ED45}"/>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980B-AE42-9BEB-D4CDB9E4ED45}"/>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980B-AE42-9BEB-D4CDB9E4ED45}"/>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980B-AE42-9BEB-D4CDB9E4ED45}"/>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980B-AE42-9BEB-D4CDB9E4ED45}"/>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980B-AE42-9BEB-D4CDB9E4ED45}"/>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980B-AE42-9BEB-D4CDB9E4ED45}"/>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980B-AE42-9BEB-D4CDB9E4ED45}"/>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93EA-4F79-98FD-CFE04086B5AC}"/>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93EA-4F79-98FD-CFE04086B5AC}"/>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93EA-4F79-98FD-CFE04086B5AC}"/>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93EA-4F79-98FD-CFE04086B5AC}"/>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93EA-4F79-98FD-CFE04086B5AC}"/>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93EA-4F79-98FD-CFE04086B5AC}"/>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93EA-4F79-98FD-CFE04086B5AC}"/>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93EA-4F79-98FD-CFE04086B5AC}"/>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93EA-4F79-98FD-CFE04086B5AC}"/>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93EA-4F79-98FD-CFE04086B5AC}"/>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93EA-4F79-98FD-CFE04086B5AC}"/>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94E0-4748-80C3-9D9DF4A48EDE}"/>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94E0-4748-80C3-9D9DF4A48EDE}"/>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94E0-4748-80C3-9D9DF4A48EDE}"/>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94E0-4748-80C3-9D9DF4A48EDE}"/>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94E0-4748-80C3-9D9DF4A48EDE}"/>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94E0-4748-80C3-9D9DF4A48EDE}"/>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94E0-4748-80C3-9D9DF4A48EDE}"/>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94E0-4748-80C3-9D9DF4A48EDE}"/>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94E0-4748-80C3-9D9DF4A48EDE}"/>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94E0-4748-80C3-9D9DF4A48EDE}"/>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94E0-4748-80C3-9D9DF4A48EDE}"/>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94E0-4748-80C3-9D9DF4A48EDE}"/>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94E0-4748-80C3-9D9DF4A48EDE}"/>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94E0-4748-80C3-9D9DF4A48EDE}"/>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94E0-4748-80C3-9D9DF4A48EDE}"/>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94E0-4748-80C3-9D9DF4A48EDE}"/>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94E0-4748-80C3-9D9DF4A48EDE}"/>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94E0-4748-80C3-9D9DF4A48EDE}"/>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94E0-4748-80C3-9D9DF4A48EDE}"/>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94E0-4748-80C3-9D9DF4A48EDE}"/>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94E0-4748-80C3-9D9DF4A48EDE}"/>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94E0-4748-80C3-9D9DF4A48EDE}"/>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94E0-4748-80C3-9D9DF4A48EDE}"/>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94E0-4748-80C3-9D9DF4A48EDE}"/>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94E0-4748-80C3-9D9DF4A48EDE}"/>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94E0-4748-80C3-9D9DF4A48EDE}"/>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94E0-4748-80C3-9D9DF4A48EDE}"/>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94E0-4748-80C3-9D9DF4A48EDE}"/>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94E0-4748-80C3-9D9DF4A48EDE}"/>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94E0-4748-80C3-9D9DF4A48EDE}"/>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94E0-4748-80C3-9D9DF4A48EDE}"/>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94E0-4748-80C3-9D9DF4A48EDE}"/>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94E0-4748-80C3-9D9DF4A48EDE}"/>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94E0-4748-80C3-9D9DF4A48EDE}"/>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94E0-4748-80C3-9D9DF4A48EDE}"/>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94E0-4748-80C3-9D9DF4A48EDE}"/>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1CA9-4613-B204-E52A77C1ED28}"/>
              </c:ext>
            </c:extLst>
          </c:dPt>
          <c:cat>
            <c:strRef>
              <c:f>Analytices!$A$30:$A$156</c:f>
              <c:strCache>
                <c:ptCount val="126"/>
                <c:pt idx="0">
                  <c:v>Active Crowbar Failure</c:v>
                </c:pt>
                <c:pt idx="1">
                  <c:v>Active Crowbar IGBT Errors</c:v>
                </c:pt>
                <c:pt idx="2">
                  <c:v>Analogue Card Failure</c:v>
                </c:pt>
                <c:pt idx="3">
                  <c:v>Automatic Secondaries Not OK Too Long</c:v>
                </c:pt>
                <c:pt idx="4">
                  <c:v>Automatic Unwinding</c:v>
                </c:pt>
                <c:pt idx="5">
                  <c:v>Blade Position Meas. Error</c:v>
                </c:pt>
                <c:pt idx="6">
                  <c:v>Bus Error - Interbus Failure</c:v>
                </c:pt>
                <c:pt idx="7">
                  <c:v>Bus Preload Protection Thermal Relay Failure</c:v>
                </c:pt>
                <c:pt idx="8">
                  <c:v>CAN Communication Failure</c:v>
                </c:pt>
                <c:pt idx="9">
                  <c:v>CCW Feedback Failure</c:v>
                </c:pt>
                <c:pt idx="10">
                  <c:v>Change Pause-Remote Control Reset</c:v>
                </c:pt>
                <c:pt idx="11">
                  <c:v>Controlled Emergency Series Battery Failure</c:v>
                </c:pt>
                <c:pt idx="12">
                  <c:v>Converter High Ambient Temperature Alarm</c:v>
                </c:pt>
                <c:pt idx="13">
                  <c:v>Coolant Of The Coolant Circuit Failure</c:v>
                </c:pt>
                <c:pt idx="14">
                  <c:v>CW Feedback Failure</c:v>
                </c:pt>
                <c:pt idx="15">
                  <c:v>DTD Filter Alarm 1</c:v>
                </c:pt>
                <c:pt idx="16">
                  <c:v>Emergency Series HUB Trigger</c:v>
                </c:pt>
                <c:pt idx="17">
                  <c:v>Emergency Series Not OK</c:v>
                </c:pt>
                <c:pt idx="18">
                  <c:v>Error In Phase R Of The Inverter</c:v>
                </c:pt>
                <c:pt idx="19">
                  <c:v>Error In Phase S Of The Inverter</c:v>
                </c:pt>
                <c:pt idx="20">
                  <c:v>Error In Phase T Of The Inverter</c:v>
                </c:pt>
                <c:pt idx="21">
                  <c:v>Error In Phase T Of The Rectifier</c:v>
                </c:pt>
                <c:pt idx="22">
                  <c:v>Excess Current Phase R Of Stator</c:v>
                </c:pt>
                <c:pt idx="23">
                  <c:v>Excessive Temperature Of Coolant At The Input Of The Cooling Circuit</c:v>
                </c:pt>
                <c:pt idx="24">
                  <c:v>Excessive Temperature Of The Control Module</c:v>
                </c:pt>
                <c:pt idx="25">
                  <c:v>Failure Of The Contactor's Rotor Power</c:v>
                </c:pt>
                <c:pt idx="26">
                  <c:v>Frequency Failure</c:v>
                </c:pt>
                <c:pt idx="27">
                  <c:v>Gearbox Fan Thermal Relays</c:v>
                </c:pt>
                <c:pt idx="28">
                  <c:v>Gearbox Pump Thermal Relay Triggered and High Gearbox Oil Temperature</c:v>
                </c:pt>
                <c:pt idx="29">
                  <c:v>Generator Fans Thermal Relay Triggered Too Long</c:v>
                </c:pt>
                <c:pt idx="30">
                  <c:v>Generator NDE Bearing High Temperature Alarm</c:v>
                </c:pt>
                <c:pt idx="31">
                  <c:v>Generator Slipping Ring High Temperature</c:v>
                </c:pt>
                <c:pt idx="32">
                  <c:v>Grid Voltage Failure</c:v>
                </c:pt>
                <c:pt idx="33">
                  <c:v>Heating Protection Triggered</c:v>
                </c:pt>
                <c:pt idx="34">
                  <c:v>Heating/Coolant Thermal Magnetic Failure</c:v>
                </c:pt>
                <c:pt idx="35">
                  <c:v>High Gearbox Oil Temperature</c:v>
                </c:pt>
                <c:pt idx="36">
                  <c:v>High Generator Speed</c:v>
                </c:pt>
                <c:pt idx="37">
                  <c:v>High Generator Winding Temperature</c:v>
                </c:pt>
                <c:pt idx="38">
                  <c:v>High Grid Harmonic Distortion </c:v>
                </c:pt>
                <c:pt idx="39">
                  <c:v>High Temperature Of Coolant In The Input Of The Cooling Circuit</c:v>
                </c:pt>
                <c:pt idx="40">
                  <c:v>High Yaw Brake Pressure</c:v>
                </c:pt>
                <c:pt idx="41">
                  <c:v>HU Pump Drive Failure</c:v>
                </c:pt>
                <c:pt idx="42">
                  <c:v>Hydraulic Oil High Temperature</c:v>
                </c:pt>
                <c:pt idx="43">
                  <c:v>Low Level Hydraulic Group Refrigeration Oil</c:v>
                </c:pt>
                <c:pt idx="44">
                  <c:v>Low Pitch Value In Stop Mode (1 Cylinder)</c:v>
                </c:pt>
                <c:pt idx="45">
                  <c:v>Low Pressure Of Emergency Accumulators</c:v>
                </c:pt>
                <c:pt idx="46">
                  <c:v>Low Pressure On Hydraulic Group</c:v>
                </c:pt>
                <c:pt idx="47">
                  <c:v>Magnetothermic Of The Stator Protection Failure Or Door Open</c:v>
                </c:pt>
                <c:pt idx="48">
                  <c:v>Magnetothermic Trigger Of The Stator Protection</c:v>
                </c:pt>
                <c:pt idx="49">
                  <c:v>Manual Stop</c:v>
                </c:pt>
                <c:pt idx="50">
                  <c:v>Max. Pump time</c:v>
                </c:pt>
                <c:pt idx="51">
                  <c:v>OGS</c:v>
                </c:pt>
                <c:pt idx="52">
                  <c:v>Orienting and High Yaw Brake Pressure</c:v>
                </c:pt>
                <c:pt idx="53">
                  <c:v>Orienting and Low Yaw Brake Pressure</c:v>
                </c:pt>
                <c:pt idx="54">
                  <c:v>Overheating In The Grid's Inductance</c:v>
                </c:pt>
                <c:pt idx="55">
                  <c:v>Pitch Drive Error</c:v>
                </c:pt>
                <c:pt idx="56">
                  <c:v>PLC Module Failure</c:v>
                </c:pt>
                <c:pt idx="57">
                  <c:v>PLC-Converter Communication Error</c:v>
                </c:pt>
                <c:pt idx="58">
                  <c:v>Preload Failure</c:v>
                </c:pt>
                <c:pt idx="59">
                  <c:v>Rotor Or Generator High Speed in STOP Or EMERGENCY</c:v>
                </c:pt>
                <c:pt idx="60">
                  <c:v>Rotor Protection Thermal Magnetic Failure</c:v>
                </c:pt>
                <c:pt idx="61">
                  <c:v>Rotor Speed Reading Failure</c:v>
                </c:pt>
                <c:pt idx="62">
                  <c:v>Speed Read Incorrectly</c:v>
                </c:pt>
                <c:pt idx="63">
                  <c:v>Temp. Measurement Module Failure</c:v>
                </c:pt>
                <c:pt idx="64">
                  <c:v>Top Emergency Button</c:v>
                </c:pt>
                <c:pt idx="65">
                  <c:v>Trafo Fan Thermal Relay Triggered Too Long</c:v>
                </c:pt>
                <c:pt idx="66">
                  <c:v>Very High Disalignment</c:v>
                </c:pt>
                <c:pt idx="67">
                  <c:v>Very Low Pressure On Hydraulic Unit</c:v>
                </c:pt>
                <c:pt idx="68">
                  <c:v>Vibration Sensor</c:v>
                </c:pt>
                <c:pt idx="69">
                  <c:v>Wear Brushes Generator Triggered Too Long</c:v>
                </c:pt>
                <c:pt idx="70">
                  <c:v>Wind Vane Failure Alarm</c:v>
                </c:pt>
                <c:pt idx="71">
                  <c:v>Yaw Contactor Active</c:v>
                </c:pt>
                <c:pt idx="72">
                  <c:v>Yaw Motors Error</c:v>
                </c:pt>
                <c:pt idx="73">
                  <c:v>Yaw Motors Over Current Protection </c:v>
                </c:pt>
                <c:pt idx="74">
                  <c:v>Yaw Sensor Wiring Error</c:v>
                </c:pt>
                <c:pt idx="75">
                  <c:v>Yawing Motor Thermal Relays</c:v>
                </c:pt>
                <c:pt idx="76">
                  <c:v>Yawing Sensor Failure</c:v>
                </c:pt>
                <c:pt idx="77">
                  <c:v>(blank)</c:v>
                </c:pt>
                <c:pt idx="78">
                  <c:v>Stator Contactor Failure</c:v>
                </c:pt>
                <c:pt idx="79">
                  <c:v>Hydraulic Filter Dirty</c:v>
                </c:pt>
                <c:pt idx="80">
                  <c:v>Slipping Rings Fan Or Heating Resistor Failure</c:v>
                </c:pt>
                <c:pt idx="81">
                  <c:v>Gearbox Oil High Temperature Warning</c:v>
                </c:pt>
                <c:pt idx="82">
                  <c:v>Difference Between 2 Blades Too High</c:v>
                </c:pt>
                <c:pt idx="83">
                  <c:v>Low Bus Voltage</c:v>
                </c:pt>
                <c:pt idx="84">
                  <c:v>Change Emergency-Local Reset</c:v>
                </c:pt>
                <c:pt idx="85">
                  <c:v>Trigger Of Overvoltage Protection</c:v>
                </c:pt>
                <c:pt idx="86">
                  <c:v>Initialization Failure</c:v>
                </c:pt>
                <c:pt idx="87">
                  <c:v>Gearbox Oil Level Low</c:v>
                </c:pt>
                <c:pt idx="88">
                  <c:v>SF6 Breaker Fault</c:v>
                </c:pt>
                <c:pt idx="89">
                  <c:v>Low Pressure On Brake Circuit</c:v>
                </c:pt>
                <c:pt idx="90">
                  <c:v>Transmission Line Related work</c:v>
                </c:pt>
                <c:pt idx="91">
                  <c:v>Manual Stop - Preventive Maintenance Activity</c:v>
                </c:pt>
                <c:pt idx="92">
                  <c:v>Manual Stop - Audit</c:v>
                </c:pt>
                <c:pt idx="93">
                  <c:v>Minimum Hydraulic Unit Temperature</c:v>
                </c:pt>
                <c:pt idx="94">
                  <c:v>Generator DE Bearing High Temperature Alarm</c:v>
                </c:pt>
                <c:pt idx="95">
                  <c:v>Generator's Fans Failure Confirmation</c:v>
                </c:pt>
                <c:pt idx="96">
                  <c:v>Low Pressure In Gearbox</c:v>
                </c:pt>
                <c:pt idx="97">
                  <c:v>Fault In 24v Power Supply</c:v>
                </c:pt>
                <c:pt idx="98">
                  <c:v>Out Of Range In Slippage</c:v>
                </c:pt>
                <c:pt idx="99">
                  <c:v>High Gearbox Bearing Temperature</c:v>
                </c:pt>
                <c:pt idx="100">
                  <c:v>Gearbox Pump Thermal Relay</c:v>
                </c:pt>
                <c:pt idx="101">
                  <c:v>Major BD - Transformer</c:v>
                </c:pt>
                <c:pt idx="102">
                  <c:v>Major BD - Blade</c:v>
                </c:pt>
                <c:pt idx="103">
                  <c:v>Failure In The Gearbox Oil Particle Sensor</c:v>
                </c:pt>
                <c:pt idx="104">
                  <c:v>Rectifier Phase S Overcurrent</c:v>
                </c:pt>
                <c:pt idx="105">
                  <c:v>UPS breakdown</c:v>
                </c:pt>
                <c:pt idx="106">
                  <c:v>Maximum Synchronization Time</c:v>
                </c:pt>
                <c:pt idx="107">
                  <c:v>Encoder Suynchronism Error</c:v>
                </c:pt>
                <c:pt idx="108">
                  <c:v>Transformer Fan Control Failure</c:v>
                </c:pt>
                <c:pt idx="109">
                  <c:v>Encoder Not OK</c:v>
                </c:pt>
                <c:pt idx="110">
                  <c:v>Maximum Time For Stator Disconnection</c:v>
                </c:pt>
                <c:pt idx="111">
                  <c:v>High Rotor Speed</c:v>
                </c:pt>
                <c:pt idx="112">
                  <c:v>Magnetothermic Trigger Of The Line Protection</c:v>
                </c:pt>
                <c:pt idx="113">
                  <c:v>Hydraulic Pump Protection</c:v>
                </c:pt>
                <c:pt idx="114">
                  <c:v>Gearbox Bearing High Temperature Warning</c:v>
                </c:pt>
                <c:pt idx="115">
                  <c:v>Max Orientation Time</c:v>
                </c:pt>
                <c:pt idx="116">
                  <c:v>General Work Stoppage</c:v>
                </c:pt>
                <c:pt idx="117">
                  <c:v>Gearbox Fan Feedback Failure</c:v>
                </c:pt>
                <c:pt idx="118">
                  <c:v>Automatics Not Ok</c:v>
                </c:pt>
                <c:pt idx="119">
                  <c:v>Gearbox Fan Thermal Relays Triggered and High Gearbox Oil Temperature</c:v>
                </c:pt>
                <c:pt idx="120">
                  <c:v>Wear Brushes Generator</c:v>
                </c:pt>
                <c:pt idx="121">
                  <c:v>Hydraulic Unit Cooling Failure</c:v>
                </c:pt>
                <c:pt idx="122">
                  <c:v>SF6 and HV side</c:v>
                </c:pt>
                <c:pt idx="123">
                  <c:v>Fault In Analog Electronic Power Supply</c:v>
                </c:pt>
                <c:pt idx="124">
                  <c:v>Very High Temperature Of Hydraulic Unit Oil</c:v>
                </c:pt>
                <c:pt idx="125">
                  <c:v>High Temperature Of The Control Module</c:v>
                </c:pt>
              </c:strCache>
            </c:strRef>
          </c:cat>
          <c:val>
            <c:numRef>
              <c:f>Analytices!$B$30:$B$156</c:f>
              <c:numCache>
                <c:formatCode>General</c:formatCode>
                <c:ptCount val="126"/>
                <c:pt idx="0">
                  <c:v>0.21666666666666856</c:v>
                </c:pt>
                <c:pt idx="1">
                  <c:v>9.3333333333333357</c:v>
                </c:pt>
                <c:pt idx="2">
                  <c:v>6.0666666666666691</c:v>
                </c:pt>
                <c:pt idx="3">
                  <c:v>33.93333333333333</c:v>
                </c:pt>
                <c:pt idx="4">
                  <c:v>14.616666666666678</c:v>
                </c:pt>
                <c:pt idx="5">
                  <c:v>22.416666666666664</c:v>
                </c:pt>
                <c:pt idx="6">
                  <c:v>325.73333333333335</c:v>
                </c:pt>
                <c:pt idx="7">
                  <c:v>31.283333333333331</c:v>
                </c:pt>
                <c:pt idx="8">
                  <c:v>30.949999999999996</c:v>
                </c:pt>
                <c:pt idx="9">
                  <c:v>72.816666666666649</c:v>
                </c:pt>
                <c:pt idx="10">
                  <c:v>5.1666666666666679</c:v>
                </c:pt>
                <c:pt idx="11">
                  <c:v>13.316666666666663</c:v>
                </c:pt>
                <c:pt idx="12">
                  <c:v>0.41666666666666785</c:v>
                </c:pt>
                <c:pt idx="13">
                  <c:v>0.33333333333333215</c:v>
                </c:pt>
                <c:pt idx="14">
                  <c:v>40.266666666666673</c:v>
                </c:pt>
                <c:pt idx="15">
                  <c:v>9.9666666666666615</c:v>
                </c:pt>
                <c:pt idx="16">
                  <c:v>45.133333333333333</c:v>
                </c:pt>
                <c:pt idx="17">
                  <c:v>1.8999999999999981</c:v>
                </c:pt>
                <c:pt idx="18">
                  <c:v>9.9833333333333307</c:v>
                </c:pt>
                <c:pt idx="19">
                  <c:v>13.5</c:v>
                </c:pt>
                <c:pt idx="20">
                  <c:v>3.2500000000000018</c:v>
                </c:pt>
                <c:pt idx="21">
                  <c:v>14.86666666666666</c:v>
                </c:pt>
                <c:pt idx="22">
                  <c:v>1.5166666666666666</c:v>
                </c:pt>
                <c:pt idx="23">
                  <c:v>0.36666666666666803</c:v>
                </c:pt>
                <c:pt idx="24">
                  <c:v>7.0833333333333339</c:v>
                </c:pt>
                <c:pt idx="25">
                  <c:v>13.066666666666663</c:v>
                </c:pt>
                <c:pt idx="26">
                  <c:v>2.35</c:v>
                </c:pt>
                <c:pt idx="27">
                  <c:v>50.683333333333337</c:v>
                </c:pt>
                <c:pt idx="28">
                  <c:v>6.6666666666666679</c:v>
                </c:pt>
                <c:pt idx="29">
                  <c:v>7.9999999999999947</c:v>
                </c:pt>
                <c:pt idx="30">
                  <c:v>7.0833333333333313</c:v>
                </c:pt>
                <c:pt idx="31">
                  <c:v>45.050000000000004</c:v>
                </c:pt>
                <c:pt idx="32">
                  <c:v>168.99999999999997</c:v>
                </c:pt>
                <c:pt idx="33">
                  <c:v>3.6333333333333337</c:v>
                </c:pt>
                <c:pt idx="34">
                  <c:v>107.58333333333334</c:v>
                </c:pt>
                <c:pt idx="35">
                  <c:v>3.8833333333333302</c:v>
                </c:pt>
                <c:pt idx="36">
                  <c:v>0.46666666666666501</c:v>
                </c:pt>
                <c:pt idx="37">
                  <c:v>21.883333333333333</c:v>
                </c:pt>
                <c:pt idx="38">
                  <c:v>3.5499999999999994</c:v>
                </c:pt>
                <c:pt idx="39">
                  <c:v>10.433333333333334</c:v>
                </c:pt>
                <c:pt idx="40">
                  <c:v>120.08333333333333</c:v>
                </c:pt>
                <c:pt idx="41">
                  <c:v>48.433333333333337</c:v>
                </c:pt>
                <c:pt idx="42">
                  <c:v>40.04999999999999</c:v>
                </c:pt>
                <c:pt idx="43">
                  <c:v>917.15000000000055</c:v>
                </c:pt>
                <c:pt idx="44">
                  <c:v>147.41666666666669</c:v>
                </c:pt>
                <c:pt idx="45">
                  <c:v>35.799999999999997</c:v>
                </c:pt>
                <c:pt idx="46">
                  <c:v>152.71666666666673</c:v>
                </c:pt>
                <c:pt idx="47">
                  <c:v>15.916666666666663</c:v>
                </c:pt>
                <c:pt idx="48">
                  <c:v>74.63333333333334</c:v>
                </c:pt>
                <c:pt idx="49">
                  <c:v>241.31611111111107</c:v>
                </c:pt>
                <c:pt idx="50">
                  <c:v>12.233333333333338</c:v>
                </c:pt>
                <c:pt idx="51">
                  <c:v>25.333333333333329</c:v>
                </c:pt>
                <c:pt idx="52">
                  <c:v>20.683333333333341</c:v>
                </c:pt>
                <c:pt idx="53">
                  <c:v>4.9833333333333325</c:v>
                </c:pt>
                <c:pt idx="54">
                  <c:v>3.5166666666666693</c:v>
                </c:pt>
                <c:pt idx="55">
                  <c:v>287.5333333333333</c:v>
                </c:pt>
                <c:pt idx="56">
                  <c:v>29.383333333333336</c:v>
                </c:pt>
                <c:pt idx="57">
                  <c:v>420.54999999999995</c:v>
                </c:pt>
                <c:pt idx="58">
                  <c:v>24.283333333333335</c:v>
                </c:pt>
                <c:pt idx="59">
                  <c:v>9.1499999999999986</c:v>
                </c:pt>
                <c:pt idx="60">
                  <c:v>3.5999999999999979</c:v>
                </c:pt>
                <c:pt idx="61">
                  <c:v>7.2333333333333325</c:v>
                </c:pt>
                <c:pt idx="62">
                  <c:v>92.783333333333346</c:v>
                </c:pt>
                <c:pt idx="63">
                  <c:v>4.2333333333333343</c:v>
                </c:pt>
                <c:pt idx="64">
                  <c:v>2.6833333333333327</c:v>
                </c:pt>
                <c:pt idx="65">
                  <c:v>8.5333333333333314</c:v>
                </c:pt>
                <c:pt idx="66">
                  <c:v>5.6666666666666679</c:v>
                </c:pt>
                <c:pt idx="67">
                  <c:v>33.916666666666671</c:v>
                </c:pt>
                <c:pt idx="68">
                  <c:v>22.583333333333336</c:v>
                </c:pt>
                <c:pt idx="69">
                  <c:v>6.6499999999999995</c:v>
                </c:pt>
                <c:pt idx="70">
                  <c:v>3.1666666666666661</c:v>
                </c:pt>
                <c:pt idx="71">
                  <c:v>12.033333333333333</c:v>
                </c:pt>
                <c:pt idx="72">
                  <c:v>74.649999999999991</c:v>
                </c:pt>
                <c:pt idx="73">
                  <c:v>11.083333333333332</c:v>
                </c:pt>
                <c:pt idx="74">
                  <c:v>79.483333333333348</c:v>
                </c:pt>
                <c:pt idx="75">
                  <c:v>9.8333333333333357</c:v>
                </c:pt>
                <c:pt idx="76">
                  <c:v>9.2166666666666668</c:v>
                </c:pt>
                <c:pt idx="77">
                  <c:v>0</c:v>
                </c:pt>
                <c:pt idx="78">
                  <c:v>4.9000000000000012</c:v>
                </c:pt>
                <c:pt idx="79">
                  <c:v>1.5833333333333357</c:v>
                </c:pt>
                <c:pt idx="80">
                  <c:v>9.1666666666666679</c:v>
                </c:pt>
                <c:pt idx="81">
                  <c:v>46.416666666666664</c:v>
                </c:pt>
                <c:pt idx="82">
                  <c:v>69.316666666666649</c:v>
                </c:pt>
                <c:pt idx="83">
                  <c:v>12.083333333333332</c:v>
                </c:pt>
                <c:pt idx="84">
                  <c:v>7.5166666666666666</c:v>
                </c:pt>
                <c:pt idx="85">
                  <c:v>8.0499999999999972</c:v>
                </c:pt>
                <c:pt idx="86">
                  <c:v>20.916666666666664</c:v>
                </c:pt>
                <c:pt idx="87">
                  <c:v>97.38333333333334</c:v>
                </c:pt>
                <c:pt idx="88">
                  <c:v>751.81666666666695</c:v>
                </c:pt>
                <c:pt idx="89">
                  <c:v>6.5</c:v>
                </c:pt>
                <c:pt idx="90">
                  <c:v>141.13333333333341</c:v>
                </c:pt>
                <c:pt idx="91">
                  <c:v>1141.2666666666657</c:v>
                </c:pt>
                <c:pt idx="92">
                  <c:v>626.25000000000034</c:v>
                </c:pt>
                <c:pt idx="93">
                  <c:v>27.383055555555551</c:v>
                </c:pt>
                <c:pt idx="94">
                  <c:v>19.45</c:v>
                </c:pt>
                <c:pt idx="95">
                  <c:v>37.866666666666667</c:v>
                </c:pt>
                <c:pt idx="96">
                  <c:v>7.5499999999999989</c:v>
                </c:pt>
                <c:pt idx="97">
                  <c:v>0.61666666666666714</c:v>
                </c:pt>
                <c:pt idx="98">
                  <c:v>6.6666666666666679</c:v>
                </c:pt>
                <c:pt idx="99">
                  <c:v>28.116666666666667</c:v>
                </c:pt>
                <c:pt idx="100">
                  <c:v>8.716666666666665</c:v>
                </c:pt>
                <c:pt idx="101">
                  <c:v>1528.4150000000009</c:v>
                </c:pt>
                <c:pt idx="102">
                  <c:v>3511.6666666666551</c:v>
                </c:pt>
                <c:pt idx="103">
                  <c:v>61.566666666666663</c:v>
                </c:pt>
                <c:pt idx="104">
                  <c:v>86.966666666666669</c:v>
                </c:pt>
                <c:pt idx="105">
                  <c:v>3.3166666666666695</c:v>
                </c:pt>
                <c:pt idx="106">
                  <c:v>2.4000000000000021</c:v>
                </c:pt>
                <c:pt idx="107">
                  <c:v>16.766666666666662</c:v>
                </c:pt>
                <c:pt idx="108">
                  <c:v>2.9000000000000004</c:v>
                </c:pt>
                <c:pt idx="109">
                  <c:v>37.049999999999997</c:v>
                </c:pt>
                <c:pt idx="110">
                  <c:v>2.9333333333333358</c:v>
                </c:pt>
                <c:pt idx="111">
                  <c:v>326.2166666666667</c:v>
                </c:pt>
                <c:pt idx="112">
                  <c:v>4.5666666666666664</c:v>
                </c:pt>
                <c:pt idx="113">
                  <c:v>25.150000000000006</c:v>
                </c:pt>
                <c:pt idx="114">
                  <c:v>28.6</c:v>
                </c:pt>
                <c:pt idx="115">
                  <c:v>7.9666666666666686</c:v>
                </c:pt>
                <c:pt idx="116">
                  <c:v>85.916666666666714</c:v>
                </c:pt>
                <c:pt idx="117">
                  <c:v>3.4833333333333343</c:v>
                </c:pt>
                <c:pt idx="118">
                  <c:v>0.4499999999999984</c:v>
                </c:pt>
                <c:pt idx="119">
                  <c:v>9.0500000000000007</c:v>
                </c:pt>
                <c:pt idx="120">
                  <c:v>6.5000000000000009</c:v>
                </c:pt>
                <c:pt idx="121">
                  <c:v>4.7666666666666675</c:v>
                </c:pt>
                <c:pt idx="122">
                  <c:v>230.83333333333337</c:v>
                </c:pt>
                <c:pt idx="123">
                  <c:v>4.6999999999999993</c:v>
                </c:pt>
                <c:pt idx="124">
                  <c:v>2.3833333333333355</c:v>
                </c:pt>
                <c:pt idx="125">
                  <c:v>4.0666666666666655</c:v>
                </c:pt>
              </c:numCache>
            </c:numRef>
          </c:val>
          <c:extLst>
            <c:ext xmlns:c16="http://schemas.microsoft.com/office/drawing/2014/chart" uri="{C3380CC4-5D6E-409C-BE32-E72D297353CC}">
              <c16:uniqueId val="{00000000-4CA9-9647-BA4D-01E327B498D1}"/>
            </c:ext>
          </c:extLst>
        </c:ser>
        <c:ser>
          <c:idx val="1"/>
          <c:order val="1"/>
          <c:tx>
            <c:strRef>
              <c:f>Analytices!$C$29</c:f>
              <c:strCache>
                <c:ptCount val="1"/>
                <c:pt idx="0">
                  <c:v>Count of Error Text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D-980B-AE42-9BEB-D4CDB9E4ED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F-980B-AE42-9BEB-D4CDB9E4ED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1-980B-AE42-9BEB-D4CDB9E4ED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3-980B-AE42-9BEB-D4CDB9E4ED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5-980B-AE42-9BEB-D4CDB9E4ED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7-980B-AE42-9BEB-D4CDB9E4ED4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9-980B-AE42-9BEB-D4CDB9E4ED4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B-980B-AE42-9BEB-D4CDB9E4ED4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AD-980B-AE42-9BEB-D4CDB9E4ED4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AF-980B-AE42-9BEB-D4CDB9E4ED4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B1-980B-AE42-9BEB-D4CDB9E4ED4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B3-980B-AE42-9BEB-D4CDB9E4ED4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B5-980B-AE42-9BEB-D4CDB9E4ED4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B7-980B-AE42-9BEB-D4CDB9E4ED4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B9-980B-AE42-9BEB-D4CDB9E4ED4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BB-980B-AE42-9BEB-D4CDB9E4ED4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BD-980B-AE42-9BEB-D4CDB9E4ED4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BF-980B-AE42-9BEB-D4CDB9E4ED4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C1-980B-AE42-9BEB-D4CDB9E4ED4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C3-980B-AE42-9BEB-D4CDB9E4ED4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C5-980B-AE42-9BEB-D4CDB9E4ED4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C7-980B-AE42-9BEB-D4CDB9E4ED4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C9-980B-AE42-9BEB-D4CDB9E4ED4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CB-980B-AE42-9BEB-D4CDB9E4ED4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CD-980B-AE42-9BEB-D4CDB9E4ED4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CF-980B-AE42-9BEB-D4CDB9E4ED4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D1-980B-AE42-9BEB-D4CDB9E4ED4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D3-980B-AE42-9BEB-D4CDB9E4ED4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D5-980B-AE42-9BEB-D4CDB9E4ED4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D7-980B-AE42-9BEB-D4CDB9E4ED4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D9-980B-AE42-9BEB-D4CDB9E4ED4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DB-980B-AE42-9BEB-D4CDB9E4ED4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DD-980B-AE42-9BEB-D4CDB9E4ED4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DF-980B-AE42-9BEB-D4CDB9E4ED4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E1-980B-AE42-9BEB-D4CDB9E4ED4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E3-980B-AE42-9BEB-D4CDB9E4ED4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E5-980B-AE42-9BEB-D4CDB9E4ED4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E7-980B-AE42-9BEB-D4CDB9E4ED4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E9-980B-AE42-9BEB-D4CDB9E4ED4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EB-980B-AE42-9BEB-D4CDB9E4ED4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ED-980B-AE42-9BEB-D4CDB9E4ED4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EF-980B-AE42-9BEB-D4CDB9E4ED4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F1-980B-AE42-9BEB-D4CDB9E4ED4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F3-980B-AE42-9BEB-D4CDB9E4ED4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F5-980B-AE42-9BEB-D4CDB9E4ED4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F7-980B-AE42-9BEB-D4CDB9E4ED4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F9-980B-AE42-9BEB-D4CDB9E4ED4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FB-980B-AE42-9BEB-D4CDB9E4ED4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FD-980B-AE42-9BEB-D4CDB9E4ED4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FF-980B-AE42-9BEB-D4CDB9E4ED4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01-980B-AE42-9BEB-D4CDB9E4ED45}"/>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03-980B-AE42-9BEB-D4CDB9E4ED45}"/>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05-980B-AE42-9BEB-D4CDB9E4ED45}"/>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07-980B-AE42-9BEB-D4CDB9E4ED45}"/>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09-980B-AE42-9BEB-D4CDB9E4ED45}"/>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0B-980B-AE42-9BEB-D4CDB9E4ED45}"/>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0D-980B-AE42-9BEB-D4CDB9E4ED45}"/>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0F-980B-AE42-9BEB-D4CDB9E4ED45}"/>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11-980B-AE42-9BEB-D4CDB9E4ED45}"/>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13-980B-AE42-9BEB-D4CDB9E4ED45}"/>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15-980B-AE42-9BEB-D4CDB9E4ED45}"/>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17-980B-AE42-9BEB-D4CDB9E4ED45}"/>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19-980B-AE42-9BEB-D4CDB9E4ED45}"/>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1B-980B-AE42-9BEB-D4CDB9E4ED45}"/>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1D-980B-AE42-9BEB-D4CDB9E4ED45}"/>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1F-980B-AE42-9BEB-D4CDB9E4ED45}"/>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21-980B-AE42-9BEB-D4CDB9E4ED45}"/>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23-980B-AE42-9BEB-D4CDB9E4ED45}"/>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25-980B-AE42-9BEB-D4CDB9E4ED45}"/>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27-980B-AE42-9BEB-D4CDB9E4ED45}"/>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29-980B-AE42-9BEB-D4CDB9E4ED45}"/>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2B-980B-AE42-9BEB-D4CDB9E4ED45}"/>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2D-980B-AE42-9BEB-D4CDB9E4ED45}"/>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2F-980B-AE42-9BEB-D4CDB9E4ED45}"/>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31-980B-AE42-9BEB-D4CDB9E4ED45}"/>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33-980B-AE42-9BEB-D4CDB9E4ED45}"/>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35-980B-AE42-9BEB-D4CDB9E4ED45}"/>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37-980B-AE42-9BEB-D4CDB9E4ED45}"/>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4F-93EA-4F79-98FD-CFE04086B5AC}"/>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51-93EA-4F79-98FD-CFE04086B5AC}"/>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53-93EA-4F79-98FD-CFE04086B5AC}"/>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55-93EA-4F79-98FD-CFE04086B5AC}"/>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57-93EA-4F79-98FD-CFE04086B5AC}"/>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59-93EA-4F79-98FD-CFE04086B5AC}"/>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5B-93EA-4F79-98FD-CFE04086B5AC}"/>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5D-93EA-4F79-98FD-CFE04086B5AC}"/>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5F-93EA-4F79-98FD-CFE04086B5AC}"/>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61-93EA-4F79-98FD-CFE04086B5AC}"/>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63-93EA-4F79-98FD-CFE04086B5AC}"/>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AD-94E0-4748-80C3-9D9DF4A48EDE}"/>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AF-94E0-4748-80C3-9D9DF4A48EDE}"/>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B1-94E0-4748-80C3-9D9DF4A48EDE}"/>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B3-94E0-4748-80C3-9D9DF4A48EDE}"/>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B5-94E0-4748-80C3-9D9DF4A48EDE}"/>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B7-94E0-4748-80C3-9D9DF4A48EDE}"/>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B9-94E0-4748-80C3-9D9DF4A48EDE}"/>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BB-94E0-4748-80C3-9D9DF4A48EDE}"/>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BD-94E0-4748-80C3-9D9DF4A48EDE}"/>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BF-94E0-4748-80C3-9D9DF4A48EDE}"/>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C1-94E0-4748-80C3-9D9DF4A48EDE}"/>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C3-94E0-4748-80C3-9D9DF4A48EDE}"/>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C5-94E0-4748-80C3-9D9DF4A48EDE}"/>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C7-94E0-4748-80C3-9D9DF4A48EDE}"/>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C9-94E0-4748-80C3-9D9DF4A48EDE}"/>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CB-94E0-4748-80C3-9D9DF4A48EDE}"/>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CD-94E0-4748-80C3-9D9DF4A48EDE}"/>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CF-94E0-4748-80C3-9D9DF4A48EDE}"/>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D1-94E0-4748-80C3-9D9DF4A48EDE}"/>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1D3-94E0-4748-80C3-9D9DF4A48EDE}"/>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1D5-94E0-4748-80C3-9D9DF4A48EDE}"/>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1D7-94E0-4748-80C3-9D9DF4A48EDE}"/>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1D9-94E0-4748-80C3-9D9DF4A48EDE}"/>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1DB-94E0-4748-80C3-9D9DF4A48EDE}"/>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1DD-94E0-4748-80C3-9D9DF4A48EDE}"/>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DF-94E0-4748-80C3-9D9DF4A48EDE}"/>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E1-94E0-4748-80C3-9D9DF4A48EDE}"/>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E3-94E0-4748-80C3-9D9DF4A48EDE}"/>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E5-94E0-4748-80C3-9D9DF4A48EDE}"/>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E7-94E0-4748-80C3-9D9DF4A48EDE}"/>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E9-94E0-4748-80C3-9D9DF4A48EDE}"/>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EB-94E0-4748-80C3-9D9DF4A48EDE}"/>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ED-94E0-4748-80C3-9D9DF4A48EDE}"/>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EF-94E0-4748-80C3-9D9DF4A48EDE}"/>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F1-94E0-4748-80C3-9D9DF4A48EDE}"/>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F3-94E0-4748-80C3-9D9DF4A48EDE}"/>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F7-1CA9-4613-B204-E52A77C1ED28}"/>
              </c:ext>
            </c:extLst>
          </c:dPt>
          <c:cat>
            <c:strRef>
              <c:f>Analytices!$A$30:$A$156</c:f>
              <c:strCache>
                <c:ptCount val="126"/>
                <c:pt idx="0">
                  <c:v>Active Crowbar Failure</c:v>
                </c:pt>
                <c:pt idx="1">
                  <c:v>Active Crowbar IGBT Errors</c:v>
                </c:pt>
                <c:pt idx="2">
                  <c:v>Analogue Card Failure</c:v>
                </c:pt>
                <c:pt idx="3">
                  <c:v>Automatic Secondaries Not OK Too Long</c:v>
                </c:pt>
                <c:pt idx="4">
                  <c:v>Automatic Unwinding</c:v>
                </c:pt>
                <c:pt idx="5">
                  <c:v>Blade Position Meas. Error</c:v>
                </c:pt>
                <c:pt idx="6">
                  <c:v>Bus Error - Interbus Failure</c:v>
                </c:pt>
                <c:pt idx="7">
                  <c:v>Bus Preload Protection Thermal Relay Failure</c:v>
                </c:pt>
                <c:pt idx="8">
                  <c:v>CAN Communication Failure</c:v>
                </c:pt>
                <c:pt idx="9">
                  <c:v>CCW Feedback Failure</c:v>
                </c:pt>
                <c:pt idx="10">
                  <c:v>Change Pause-Remote Control Reset</c:v>
                </c:pt>
                <c:pt idx="11">
                  <c:v>Controlled Emergency Series Battery Failure</c:v>
                </c:pt>
                <c:pt idx="12">
                  <c:v>Converter High Ambient Temperature Alarm</c:v>
                </c:pt>
                <c:pt idx="13">
                  <c:v>Coolant Of The Coolant Circuit Failure</c:v>
                </c:pt>
                <c:pt idx="14">
                  <c:v>CW Feedback Failure</c:v>
                </c:pt>
                <c:pt idx="15">
                  <c:v>DTD Filter Alarm 1</c:v>
                </c:pt>
                <c:pt idx="16">
                  <c:v>Emergency Series HUB Trigger</c:v>
                </c:pt>
                <c:pt idx="17">
                  <c:v>Emergency Series Not OK</c:v>
                </c:pt>
                <c:pt idx="18">
                  <c:v>Error In Phase R Of The Inverter</c:v>
                </c:pt>
                <c:pt idx="19">
                  <c:v>Error In Phase S Of The Inverter</c:v>
                </c:pt>
                <c:pt idx="20">
                  <c:v>Error In Phase T Of The Inverter</c:v>
                </c:pt>
                <c:pt idx="21">
                  <c:v>Error In Phase T Of The Rectifier</c:v>
                </c:pt>
                <c:pt idx="22">
                  <c:v>Excess Current Phase R Of Stator</c:v>
                </c:pt>
                <c:pt idx="23">
                  <c:v>Excessive Temperature Of Coolant At The Input Of The Cooling Circuit</c:v>
                </c:pt>
                <c:pt idx="24">
                  <c:v>Excessive Temperature Of The Control Module</c:v>
                </c:pt>
                <c:pt idx="25">
                  <c:v>Failure Of The Contactor's Rotor Power</c:v>
                </c:pt>
                <c:pt idx="26">
                  <c:v>Frequency Failure</c:v>
                </c:pt>
                <c:pt idx="27">
                  <c:v>Gearbox Fan Thermal Relays</c:v>
                </c:pt>
                <c:pt idx="28">
                  <c:v>Gearbox Pump Thermal Relay Triggered and High Gearbox Oil Temperature</c:v>
                </c:pt>
                <c:pt idx="29">
                  <c:v>Generator Fans Thermal Relay Triggered Too Long</c:v>
                </c:pt>
                <c:pt idx="30">
                  <c:v>Generator NDE Bearing High Temperature Alarm</c:v>
                </c:pt>
                <c:pt idx="31">
                  <c:v>Generator Slipping Ring High Temperature</c:v>
                </c:pt>
                <c:pt idx="32">
                  <c:v>Grid Voltage Failure</c:v>
                </c:pt>
                <c:pt idx="33">
                  <c:v>Heating Protection Triggered</c:v>
                </c:pt>
                <c:pt idx="34">
                  <c:v>Heating/Coolant Thermal Magnetic Failure</c:v>
                </c:pt>
                <c:pt idx="35">
                  <c:v>High Gearbox Oil Temperature</c:v>
                </c:pt>
                <c:pt idx="36">
                  <c:v>High Generator Speed</c:v>
                </c:pt>
                <c:pt idx="37">
                  <c:v>High Generator Winding Temperature</c:v>
                </c:pt>
                <c:pt idx="38">
                  <c:v>High Grid Harmonic Distortion </c:v>
                </c:pt>
                <c:pt idx="39">
                  <c:v>High Temperature Of Coolant In The Input Of The Cooling Circuit</c:v>
                </c:pt>
                <c:pt idx="40">
                  <c:v>High Yaw Brake Pressure</c:v>
                </c:pt>
                <c:pt idx="41">
                  <c:v>HU Pump Drive Failure</c:v>
                </c:pt>
                <c:pt idx="42">
                  <c:v>Hydraulic Oil High Temperature</c:v>
                </c:pt>
                <c:pt idx="43">
                  <c:v>Low Level Hydraulic Group Refrigeration Oil</c:v>
                </c:pt>
                <c:pt idx="44">
                  <c:v>Low Pitch Value In Stop Mode (1 Cylinder)</c:v>
                </c:pt>
                <c:pt idx="45">
                  <c:v>Low Pressure Of Emergency Accumulators</c:v>
                </c:pt>
                <c:pt idx="46">
                  <c:v>Low Pressure On Hydraulic Group</c:v>
                </c:pt>
                <c:pt idx="47">
                  <c:v>Magnetothermic Of The Stator Protection Failure Or Door Open</c:v>
                </c:pt>
                <c:pt idx="48">
                  <c:v>Magnetothermic Trigger Of The Stator Protection</c:v>
                </c:pt>
                <c:pt idx="49">
                  <c:v>Manual Stop</c:v>
                </c:pt>
                <c:pt idx="50">
                  <c:v>Max. Pump time</c:v>
                </c:pt>
                <c:pt idx="51">
                  <c:v>OGS</c:v>
                </c:pt>
                <c:pt idx="52">
                  <c:v>Orienting and High Yaw Brake Pressure</c:v>
                </c:pt>
                <c:pt idx="53">
                  <c:v>Orienting and Low Yaw Brake Pressure</c:v>
                </c:pt>
                <c:pt idx="54">
                  <c:v>Overheating In The Grid's Inductance</c:v>
                </c:pt>
                <c:pt idx="55">
                  <c:v>Pitch Drive Error</c:v>
                </c:pt>
                <c:pt idx="56">
                  <c:v>PLC Module Failure</c:v>
                </c:pt>
                <c:pt idx="57">
                  <c:v>PLC-Converter Communication Error</c:v>
                </c:pt>
                <c:pt idx="58">
                  <c:v>Preload Failure</c:v>
                </c:pt>
                <c:pt idx="59">
                  <c:v>Rotor Or Generator High Speed in STOP Or EMERGENCY</c:v>
                </c:pt>
                <c:pt idx="60">
                  <c:v>Rotor Protection Thermal Magnetic Failure</c:v>
                </c:pt>
                <c:pt idx="61">
                  <c:v>Rotor Speed Reading Failure</c:v>
                </c:pt>
                <c:pt idx="62">
                  <c:v>Speed Read Incorrectly</c:v>
                </c:pt>
                <c:pt idx="63">
                  <c:v>Temp. Measurement Module Failure</c:v>
                </c:pt>
                <c:pt idx="64">
                  <c:v>Top Emergency Button</c:v>
                </c:pt>
                <c:pt idx="65">
                  <c:v>Trafo Fan Thermal Relay Triggered Too Long</c:v>
                </c:pt>
                <c:pt idx="66">
                  <c:v>Very High Disalignment</c:v>
                </c:pt>
                <c:pt idx="67">
                  <c:v>Very Low Pressure On Hydraulic Unit</c:v>
                </c:pt>
                <c:pt idx="68">
                  <c:v>Vibration Sensor</c:v>
                </c:pt>
                <c:pt idx="69">
                  <c:v>Wear Brushes Generator Triggered Too Long</c:v>
                </c:pt>
                <c:pt idx="70">
                  <c:v>Wind Vane Failure Alarm</c:v>
                </c:pt>
                <c:pt idx="71">
                  <c:v>Yaw Contactor Active</c:v>
                </c:pt>
                <c:pt idx="72">
                  <c:v>Yaw Motors Error</c:v>
                </c:pt>
                <c:pt idx="73">
                  <c:v>Yaw Motors Over Current Protection </c:v>
                </c:pt>
                <c:pt idx="74">
                  <c:v>Yaw Sensor Wiring Error</c:v>
                </c:pt>
                <c:pt idx="75">
                  <c:v>Yawing Motor Thermal Relays</c:v>
                </c:pt>
                <c:pt idx="76">
                  <c:v>Yawing Sensor Failure</c:v>
                </c:pt>
                <c:pt idx="77">
                  <c:v>(blank)</c:v>
                </c:pt>
                <c:pt idx="78">
                  <c:v>Stator Contactor Failure</c:v>
                </c:pt>
                <c:pt idx="79">
                  <c:v>Hydraulic Filter Dirty</c:v>
                </c:pt>
                <c:pt idx="80">
                  <c:v>Slipping Rings Fan Or Heating Resistor Failure</c:v>
                </c:pt>
                <c:pt idx="81">
                  <c:v>Gearbox Oil High Temperature Warning</c:v>
                </c:pt>
                <c:pt idx="82">
                  <c:v>Difference Between 2 Blades Too High</c:v>
                </c:pt>
                <c:pt idx="83">
                  <c:v>Low Bus Voltage</c:v>
                </c:pt>
                <c:pt idx="84">
                  <c:v>Change Emergency-Local Reset</c:v>
                </c:pt>
                <c:pt idx="85">
                  <c:v>Trigger Of Overvoltage Protection</c:v>
                </c:pt>
                <c:pt idx="86">
                  <c:v>Initialization Failure</c:v>
                </c:pt>
                <c:pt idx="87">
                  <c:v>Gearbox Oil Level Low</c:v>
                </c:pt>
                <c:pt idx="88">
                  <c:v>SF6 Breaker Fault</c:v>
                </c:pt>
                <c:pt idx="89">
                  <c:v>Low Pressure On Brake Circuit</c:v>
                </c:pt>
                <c:pt idx="90">
                  <c:v>Transmission Line Related work</c:v>
                </c:pt>
                <c:pt idx="91">
                  <c:v>Manual Stop - Preventive Maintenance Activity</c:v>
                </c:pt>
                <c:pt idx="92">
                  <c:v>Manual Stop - Audit</c:v>
                </c:pt>
                <c:pt idx="93">
                  <c:v>Minimum Hydraulic Unit Temperature</c:v>
                </c:pt>
                <c:pt idx="94">
                  <c:v>Generator DE Bearing High Temperature Alarm</c:v>
                </c:pt>
                <c:pt idx="95">
                  <c:v>Generator's Fans Failure Confirmation</c:v>
                </c:pt>
                <c:pt idx="96">
                  <c:v>Low Pressure In Gearbox</c:v>
                </c:pt>
                <c:pt idx="97">
                  <c:v>Fault In 24v Power Supply</c:v>
                </c:pt>
                <c:pt idx="98">
                  <c:v>Out Of Range In Slippage</c:v>
                </c:pt>
                <c:pt idx="99">
                  <c:v>High Gearbox Bearing Temperature</c:v>
                </c:pt>
                <c:pt idx="100">
                  <c:v>Gearbox Pump Thermal Relay</c:v>
                </c:pt>
                <c:pt idx="101">
                  <c:v>Major BD - Transformer</c:v>
                </c:pt>
                <c:pt idx="102">
                  <c:v>Major BD - Blade</c:v>
                </c:pt>
                <c:pt idx="103">
                  <c:v>Failure In The Gearbox Oil Particle Sensor</c:v>
                </c:pt>
                <c:pt idx="104">
                  <c:v>Rectifier Phase S Overcurrent</c:v>
                </c:pt>
                <c:pt idx="105">
                  <c:v>UPS breakdown</c:v>
                </c:pt>
                <c:pt idx="106">
                  <c:v>Maximum Synchronization Time</c:v>
                </c:pt>
                <c:pt idx="107">
                  <c:v>Encoder Suynchronism Error</c:v>
                </c:pt>
                <c:pt idx="108">
                  <c:v>Transformer Fan Control Failure</c:v>
                </c:pt>
                <c:pt idx="109">
                  <c:v>Encoder Not OK</c:v>
                </c:pt>
                <c:pt idx="110">
                  <c:v>Maximum Time For Stator Disconnection</c:v>
                </c:pt>
                <c:pt idx="111">
                  <c:v>High Rotor Speed</c:v>
                </c:pt>
                <c:pt idx="112">
                  <c:v>Magnetothermic Trigger Of The Line Protection</c:v>
                </c:pt>
                <c:pt idx="113">
                  <c:v>Hydraulic Pump Protection</c:v>
                </c:pt>
                <c:pt idx="114">
                  <c:v>Gearbox Bearing High Temperature Warning</c:v>
                </c:pt>
                <c:pt idx="115">
                  <c:v>Max Orientation Time</c:v>
                </c:pt>
                <c:pt idx="116">
                  <c:v>General Work Stoppage</c:v>
                </c:pt>
                <c:pt idx="117">
                  <c:v>Gearbox Fan Feedback Failure</c:v>
                </c:pt>
                <c:pt idx="118">
                  <c:v>Automatics Not Ok</c:v>
                </c:pt>
                <c:pt idx="119">
                  <c:v>Gearbox Fan Thermal Relays Triggered and High Gearbox Oil Temperature</c:v>
                </c:pt>
                <c:pt idx="120">
                  <c:v>Wear Brushes Generator</c:v>
                </c:pt>
                <c:pt idx="121">
                  <c:v>Hydraulic Unit Cooling Failure</c:v>
                </c:pt>
                <c:pt idx="122">
                  <c:v>SF6 and HV side</c:v>
                </c:pt>
                <c:pt idx="123">
                  <c:v>Fault In Analog Electronic Power Supply</c:v>
                </c:pt>
                <c:pt idx="124">
                  <c:v>Very High Temperature Of Hydraulic Unit Oil</c:v>
                </c:pt>
                <c:pt idx="125">
                  <c:v>High Temperature Of The Control Module</c:v>
                </c:pt>
              </c:strCache>
            </c:strRef>
          </c:cat>
          <c:val>
            <c:numRef>
              <c:f>Analytices!$C$30:$C$156</c:f>
              <c:numCache>
                <c:formatCode>General</c:formatCode>
                <c:ptCount val="126"/>
                <c:pt idx="0">
                  <c:v>1</c:v>
                </c:pt>
                <c:pt idx="1">
                  <c:v>2</c:v>
                </c:pt>
                <c:pt idx="2">
                  <c:v>2</c:v>
                </c:pt>
                <c:pt idx="3">
                  <c:v>20</c:v>
                </c:pt>
                <c:pt idx="4">
                  <c:v>7</c:v>
                </c:pt>
                <c:pt idx="5">
                  <c:v>6</c:v>
                </c:pt>
                <c:pt idx="6">
                  <c:v>93</c:v>
                </c:pt>
                <c:pt idx="7">
                  <c:v>12</c:v>
                </c:pt>
                <c:pt idx="8">
                  <c:v>19</c:v>
                </c:pt>
                <c:pt idx="9">
                  <c:v>10</c:v>
                </c:pt>
                <c:pt idx="10">
                  <c:v>1</c:v>
                </c:pt>
                <c:pt idx="11">
                  <c:v>5</c:v>
                </c:pt>
                <c:pt idx="12">
                  <c:v>1</c:v>
                </c:pt>
                <c:pt idx="13">
                  <c:v>2</c:v>
                </c:pt>
                <c:pt idx="14">
                  <c:v>13</c:v>
                </c:pt>
                <c:pt idx="15">
                  <c:v>7</c:v>
                </c:pt>
                <c:pt idx="16">
                  <c:v>18</c:v>
                </c:pt>
                <c:pt idx="17">
                  <c:v>2</c:v>
                </c:pt>
                <c:pt idx="18">
                  <c:v>4</c:v>
                </c:pt>
                <c:pt idx="19">
                  <c:v>2</c:v>
                </c:pt>
                <c:pt idx="20">
                  <c:v>2</c:v>
                </c:pt>
                <c:pt idx="21">
                  <c:v>4</c:v>
                </c:pt>
                <c:pt idx="22">
                  <c:v>1</c:v>
                </c:pt>
                <c:pt idx="23">
                  <c:v>1</c:v>
                </c:pt>
                <c:pt idx="24">
                  <c:v>3</c:v>
                </c:pt>
                <c:pt idx="25">
                  <c:v>19</c:v>
                </c:pt>
                <c:pt idx="26">
                  <c:v>2</c:v>
                </c:pt>
                <c:pt idx="27">
                  <c:v>11</c:v>
                </c:pt>
                <c:pt idx="28">
                  <c:v>2</c:v>
                </c:pt>
                <c:pt idx="29">
                  <c:v>7</c:v>
                </c:pt>
                <c:pt idx="30">
                  <c:v>8</c:v>
                </c:pt>
                <c:pt idx="31">
                  <c:v>18</c:v>
                </c:pt>
                <c:pt idx="32">
                  <c:v>71</c:v>
                </c:pt>
                <c:pt idx="33">
                  <c:v>2</c:v>
                </c:pt>
                <c:pt idx="34">
                  <c:v>18</c:v>
                </c:pt>
                <c:pt idx="35">
                  <c:v>2</c:v>
                </c:pt>
                <c:pt idx="36">
                  <c:v>1</c:v>
                </c:pt>
                <c:pt idx="37">
                  <c:v>11</c:v>
                </c:pt>
                <c:pt idx="38">
                  <c:v>3</c:v>
                </c:pt>
                <c:pt idx="39">
                  <c:v>5</c:v>
                </c:pt>
                <c:pt idx="40">
                  <c:v>23</c:v>
                </c:pt>
                <c:pt idx="41">
                  <c:v>12</c:v>
                </c:pt>
                <c:pt idx="42">
                  <c:v>13</c:v>
                </c:pt>
                <c:pt idx="43">
                  <c:v>200</c:v>
                </c:pt>
                <c:pt idx="44">
                  <c:v>7</c:v>
                </c:pt>
                <c:pt idx="45">
                  <c:v>10</c:v>
                </c:pt>
                <c:pt idx="46">
                  <c:v>47</c:v>
                </c:pt>
                <c:pt idx="47">
                  <c:v>4</c:v>
                </c:pt>
                <c:pt idx="48">
                  <c:v>34</c:v>
                </c:pt>
                <c:pt idx="49">
                  <c:v>69</c:v>
                </c:pt>
                <c:pt idx="50">
                  <c:v>4</c:v>
                </c:pt>
                <c:pt idx="51">
                  <c:v>6</c:v>
                </c:pt>
                <c:pt idx="52">
                  <c:v>5</c:v>
                </c:pt>
                <c:pt idx="53">
                  <c:v>1</c:v>
                </c:pt>
                <c:pt idx="54">
                  <c:v>3</c:v>
                </c:pt>
                <c:pt idx="55">
                  <c:v>50</c:v>
                </c:pt>
                <c:pt idx="56">
                  <c:v>12</c:v>
                </c:pt>
                <c:pt idx="57">
                  <c:v>64</c:v>
                </c:pt>
                <c:pt idx="58">
                  <c:v>8</c:v>
                </c:pt>
                <c:pt idx="59">
                  <c:v>3</c:v>
                </c:pt>
                <c:pt idx="60">
                  <c:v>1</c:v>
                </c:pt>
                <c:pt idx="61">
                  <c:v>4</c:v>
                </c:pt>
                <c:pt idx="62">
                  <c:v>15</c:v>
                </c:pt>
                <c:pt idx="63">
                  <c:v>3</c:v>
                </c:pt>
                <c:pt idx="64">
                  <c:v>4</c:v>
                </c:pt>
                <c:pt idx="65">
                  <c:v>10</c:v>
                </c:pt>
                <c:pt idx="66">
                  <c:v>1</c:v>
                </c:pt>
                <c:pt idx="67">
                  <c:v>11</c:v>
                </c:pt>
                <c:pt idx="68">
                  <c:v>4</c:v>
                </c:pt>
                <c:pt idx="69">
                  <c:v>5</c:v>
                </c:pt>
                <c:pt idx="70">
                  <c:v>1</c:v>
                </c:pt>
                <c:pt idx="71">
                  <c:v>4</c:v>
                </c:pt>
                <c:pt idx="72">
                  <c:v>24</c:v>
                </c:pt>
                <c:pt idx="73">
                  <c:v>5</c:v>
                </c:pt>
                <c:pt idx="74">
                  <c:v>40</c:v>
                </c:pt>
                <c:pt idx="75">
                  <c:v>3</c:v>
                </c:pt>
                <c:pt idx="76">
                  <c:v>2</c:v>
                </c:pt>
                <c:pt idx="78">
                  <c:v>1</c:v>
                </c:pt>
                <c:pt idx="79">
                  <c:v>1</c:v>
                </c:pt>
                <c:pt idx="80">
                  <c:v>3</c:v>
                </c:pt>
                <c:pt idx="81">
                  <c:v>15</c:v>
                </c:pt>
                <c:pt idx="82">
                  <c:v>12</c:v>
                </c:pt>
                <c:pt idx="83">
                  <c:v>1</c:v>
                </c:pt>
                <c:pt idx="84">
                  <c:v>1</c:v>
                </c:pt>
                <c:pt idx="85">
                  <c:v>1</c:v>
                </c:pt>
                <c:pt idx="86">
                  <c:v>3</c:v>
                </c:pt>
                <c:pt idx="87">
                  <c:v>27</c:v>
                </c:pt>
                <c:pt idx="88">
                  <c:v>49</c:v>
                </c:pt>
                <c:pt idx="89">
                  <c:v>2</c:v>
                </c:pt>
                <c:pt idx="90">
                  <c:v>74</c:v>
                </c:pt>
                <c:pt idx="91">
                  <c:v>151</c:v>
                </c:pt>
                <c:pt idx="92">
                  <c:v>174</c:v>
                </c:pt>
                <c:pt idx="93">
                  <c:v>8</c:v>
                </c:pt>
                <c:pt idx="94">
                  <c:v>2</c:v>
                </c:pt>
                <c:pt idx="95">
                  <c:v>19</c:v>
                </c:pt>
                <c:pt idx="96">
                  <c:v>4</c:v>
                </c:pt>
                <c:pt idx="97">
                  <c:v>1</c:v>
                </c:pt>
                <c:pt idx="98">
                  <c:v>1</c:v>
                </c:pt>
                <c:pt idx="99">
                  <c:v>8</c:v>
                </c:pt>
                <c:pt idx="100">
                  <c:v>5</c:v>
                </c:pt>
                <c:pt idx="101">
                  <c:v>65</c:v>
                </c:pt>
                <c:pt idx="102">
                  <c:v>148</c:v>
                </c:pt>
                <c:pt idx="103">
                  <c:v>6</c:v>
                </c:pt>
                <c:pt idx="104">
                  <c:v>5</c:v>
                </c:pt>
                <c:pt idx="105">
                  <c:v>13</c:v>
                </c:pt>
                <c:pt idx="106">
                  <c:v>1</c:v>
                </c:pt>
                <c:pt idx="107">
                  <c:v>6</c:v>
                </c:pt>
                <c:pt idx="108">
                  <c:v>1</c:v>
                </c:pt>
                <c:pt idx="109">
                  <c:v>5</c:v>
                </c:pt>
                <c:pt idx="110">
                  <c:v>2</c:v>
                </c:pt>
                <c:pt idx="111">
                  <c:v>16</c:v>
                </c:pt>
                <c:pt idx="112">
                  <c:v>1</c:v>
                </c:pt>
                <c:pt idx="113">
                  <c:v>4</c:v>
                </c:pt>
                <c:pt idx="114">
                  <c:v>3</c:v>
                </c:pt>
                <c:pt idx="115">
                  <c:v>2</c:v>
                </c:pt>
                <c:pt idx="116">
                  <c:v>34</c:v>
                </c:pt>
                <c:pt idx="117">
                  <c:v>2</c:v>
                </c:pt>
                <c:pt idx="118">
                  <c:v>1</c:v>
                </c:pt>
                <c:pt idx="119">
                  <c:v>3</c:v>
                </c:pt>
                <c:pt idx="120">
                  <c:v>3</c:v>
                </c:pt>
                <c:pt idx="121">
                  <c:v>1</c:v>
                </c:pt>
                <c:pt idx="122">
                  <c:v>50</c:v>
                </c:pt>
                <c:pt idx="123">
                  <c:v>1</c:v>
                </c:pt>
                <c:pt idx="124">
                  <c:v>2</c:v>
                </c:pt>
                <c:pt idx="125">
                  <c:v>1</c:v>
                </c:pt>
              </c:numCache>
            </c:numRef>
          </c:val>
          <c:extLst>
            <c:ext xmlns:c16="http://schemas.microsoft.com/office/drawing/2014/chart" uri="{C3380CC4-5D6E-409C-BE32-E72D297353CC}">
              <c16:uniqueId val="{00000002-4CA9-9647-BA4D-01E327B498D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21</xdr:col>
      <xdr:colOff>167758</xdr:colOff>
      <xdr:row>28</xdr:row>
      <xdr:rowOff>63795</xdr:rowOff>
    </xdr:from>
    <xdr:to>
      <xdr:col>24</xdr:col>
      <xdr:colOff>3323</xdr:colOff>
      <xdr:row>34</xdr:row>
      <xdr:rowOff>277547</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8A146832-367B-9078-172D-6E531B9FE9E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3190200" y="707833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281173</xdr:colOff>
      <xdr:row>30</xdr:row>
      <xdr:rowOff>265815</xdr:rowOff>
    </xdr:from>
    <xdr:to>
      <xdr:col>21</xdr:col>
      <xdr:colOff>38838</xdr:colOff>
      <xdr:row>34</xdr:row>
      <xdr:rowOff>14768</xdr:rowOff>
    </xdr:to>
    <mc:AlternateContent xmlns:mc="http://schemas.openxmlformats.org/markup-compatibility/2006" xmlns:a14="http://schemas.microsoft.com/office/drawing/2010/main">
      <mc:Choice Requires="a14">
        <xdr:graphicFrame macro="">
          <xdr:nvGraphicFramePr>
            <xdr:cNvPr id="3" name="Finacial Year">
              <a:extLst>
                <a:ext uri="{FF2B5EF4-FFF2-40B4-BE49-F238E27FC236}">
                  <a16:creationId xmlns:a16="http://schemas.microsoft.com/office/drawing/2014/main" id="{095A9163-A53F-D9CD-D674-20DF6F013AEC}"/>
                </a:ext>
              </a:extLst>
            </xdr:cNvPr>
            <xdr:cNvGraphicFramePr/>
          </xdr:nvGraphicFramePr>
          <xdr:xfrm>
            <a:off x="0" y="0"/>
            <a:ext cx="0" cy="0"/>
          </xdr:xfrm>
          <a:graphic>
            <a:graphicData uri="http://schemas.microsoft.com/office/drawing/2010/slicer">
              <sle:slicer xmlns:sle="http://schemas.microsoft.com/office/drawing/2010/slicer" name="Finacial Year"/>
            </a:graphicData>
          </a:graphic>
        </xdr:graphicFrame>
      </mc:Choice>
      <mc:Fallback xmlns="">
        <xdr:sp macro="" textlink="">
          <xdr:nvSpPr>
            <xdr:cNvPr id="0" name=""/>
            <xdr:cNvSpPr>
              <a:spLocks noTextEdit="1"/>
            </xdr:cNvSpPr>
          </xdr:nvSpPr>
          <xdr:spPr>
            <a:xfrm>
              <a:off x="21265708" y="8018722"/>
              <a:ext cx="1828800" cy="12256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261680</xdr:colOff>
      <xdr:row>28</xdr:row>
      <xdr:rowOff>39576</xdr:rowOff>
    </xdr:from>
    <xdr:to>
      <xdr:col>21</xdr:col>
      <xdr:colOff>19345</xdr:colOff>
      <xdr:row>30</xdr:row>
      <xdr:rowOff>221511</xdr:rowOff>
    </xdr:to>
    <mc:AlternateContent xmlns:mc="http://schemas.openxmlformats.org/markup-compatibility/2006" xmlns:a14="http://schemas.microsoft.com/office/drawing/2010/main">
      <mc:Choice Requires="a14">
        <xdr:graphicFrame macro="">
          <xdr:nvGraphicFramePr>
            <xdr:cNvPr id="4" name="Calendor Year">
              <a:extLst>
                <a:ext uri="{FF2B5EF4-FFF2-40B4-BE49-F238E27FC236}">
                  <a16:creationId xmlns:a16="http://schemas.microsoft.com/office/drawing/2014/main" id="{C06BCBB3-75E0-9254-DCDF-10B56BDBB71A}"/>
                </a:ext>
              </a:extLst>
            </xdr:cNvPr>
            <xdr:cNvGraphicFramePr/>
          </xdr:nvGraphicFramePr>
          <xdr:xfrm>
            <a:off x="0" y="0"/>
            <a:ext cx="0" cy="0"/>
          </xdr:xfrm>
          <a:graphic>
            <a:graphicData uri="http://schemas.microsoft.com/office/drawing/2010/slicer">
              <sle:slicer xmlns:sle="http://schemas.microsoft.com/office/drawing/2010/slicer" name="Calendor Year"/>
            </a:graphicData>
          </a:graphic>
        </xdr:graphicFrame>
      </mc:Choice>
      <mc:Fallback xmlns="">
        <xdr:sp macro="" textlink="">
          <xdr:nvSpPr>
            <xdr:cNvPr id="0" name=""/>
            <xdr:cNvSpPr>
              <a:spLocks noTextEdit="1"/>
            </xdr:cNvSpPr>
          </xdr:nvSpPr>
          <xdr:spPr>
            <a:xfrm>
              <a:off x="21246215" y="7054111"/>
              <a:ext cx="1828800" cy="9203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197882</xdr:colOff>
      <xdr:row>34</xdr:row>
      <xdr:rowOff>344968</xdr:rowOff>
    </xdr:from>
    <xdr:to>
      <xdr:col>24</xdr:col>
      <xdr:colOff>4872</xdr:colOff>
      <xdr:row>41</xdr:row>
      <xdr:rowOff>189535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E7E55CBD-B2F9-7CC6-2761-72530D82C19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220324" y="9574619"/>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296530</xdr:colOff>
      <xdr:row>34</xdr:row>
      <xdr:rowOff>74429</xdr:rowOff>
    </xdr:from>
    <xdr:to>
      <xdr:col>21</xdr:col>
      <xdr:colOff>54195</xdr:colOff>
      <xdr:row>40</xdr:row>
      <xdr:rowOff>288182</xdr:rowOff>
    </xdr:to>
    <mc:AlternateContent xmlns:mc="http://schemas.openxmlformats.org/markup-compatibility/2006" xmlns:a14="http://schemas.microsoft.com/office/drawing/2010/main">
      <mc:Choice Requires="a14">
        <xdr:graphicFrame macro="">
          <xdr:nvGraphicFramePr>
            <xdr:cNvPr id="6" name="Operating Year">
              <a:extLst>
                <a:ext uri="{FF2B5EF4-FFF2-40B4-BE49-F238E27FC236}">
                  <a16:creationId xmlns:a16="http://schemas.microsoft.com/office/drawing/2014/main" id="{A3CF57B8-1E1E-6804-E18C-6475A702657C}"/>
                </a:ext>
              </a:extLst>
            </xdr:cNvPr>
            <xdr:cNvGraphicFramePr/>
          </xdr:nvGraphicFramePr>
          <xdr:xfrm>
            <a:off x="0" y="0"/>
            <a:ext cx="0" cy="0"/>
          </xdr:xfrm>
          <a:graphic>
            <a:graphicData uri="http://schemas.microsoft.com/office/drawing/2010/slicer">
              <sle:slicer xmlns:sle="http://schemas.microsoft.com/office/drawing/2010/slicer" name="Operating Year"/>
            </a:graphicData>
          </a:graphic>
        </xdr:graphicFrame>
      </mc:Choice>
      <mc:Fallback xmlns="">
        <xdr:sp macro="" textlink="">
          <xdr:nvSpPr>
            <xdr:cNvPr id="0" name=""/>
            <xdr:cNvSpPr>
              <a:spLocks noTextEdit="1"/>
            </xdr:cNvSpPr>
          </xdr:nvSpPr>
          <xdr:spPr>
            <a:xfrm>
              <a:off x="21281065" y="930408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11222</xdr:colOff>
      <xdr:row>28</xdr:row>
      <xdr:rowOff>40168</xdr:rowOff>
    </xdr:from>
    <xdr:to>
      <xdr:col>18</xdr:col>
      <xdr:colOff>211912</xdr:colOff>
      <xdr:row>41</xdr:row>
      <xdr:rowOff>177209</xdr:rowOff>
    </xdr:to>
    <mc:AlternateContent xmlns:mc="http://schemas.openxmlformats.org/markup-compatibility/2006" xmlns:a14="http://schemas.microsoft.com/office/drawing/2010/main">
      <mc:Choice Requires="a14">
        <xdr:graphicFrame macro="">
          <xdr:nvGraphicFramePr>
            <xdr:cNvPr id="7" name="Affected WTG">
              <a:extLst>
                <a:ext uri="{FF2B5EF4-FFF2-40B4-BE49-F238E27FC236}">
                  <a16:creationId xmlns:a16="http://schemas.microsoft.com/office/drawing/2014/main" id="{8FB428DE-23C0-9B7F-3CB0-475B1441499E}"/>
                </a:ext>
              </a:extLst>
            </xdr:cNvPr>
            <xdr:cNvGraphicFramePr/>
          </xdr:nvGraphicFramePr>
          <xdr:xfrm>
            <a:off x="0" y="0"/>
            <a:ext cx="0" cy="0"/>
          </xdr:xfrm>
          <a:graphic>
            <a:graphicData uri="http://schemas.microsoft.com/office/drawing/2010/slicer">
              <sle:slicer xmlns:sle="http://schemas.microsoft.com/office/drawing/2010/slicer" name="Affected WTG"/>
            </a:graphicData>
          </a:graphic>
        </xdr:graphicFrame>
      </mc:Choice>
      <mc:Fallback xmlns="">
        <xdr:sp macro="" textlink="">
          <xdr:nvSpPr>
            <xdr:cNvPr id="0" name=""/>
            <xdr:cNvSpPr>
              <a:spLocks noTextEdit="1"/>
            </xdr:cNvSpPr>
          </xdr:nvSpPr>
          <xdr:spPr>
            <a:xfrm>
              <a:off x="19400873" y="7054703"/>
              <a:ext cx="1828800" cy="49364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907311</xdr:colOff>
      <xdr:row>28</xdr:row>
      <xdr:rowOff>35442</xdr:rowOff>
    </xdr:from>
    <xdr:to>
      <xdr:col>16</xdr:col>
      <xdr:colOff>222</xdr:colOff>
      <xdr:row>41</xdr:row>
      <xdr:rowOff>339651</xdr:rowOff>
    </xdr:to>
    <mc:AlternateContent xmlns:mc="http://schemas.openxmlformats.org/markup-compatibility/2006" xmlns:a14="http://schemas.microsoft.com/office/drawing/2010/main">
      <mc:Choice Requires="a14">
        <xdr:graphicFrame macro="">
          <xdr:nvGraphicFramePr>
            <xdr:cNvPr id="8" name="Error Text">
              <a:extLst>
                <a:ext uri="{FF2B5EF4-FFF2-40B4-BE49-F238E27FC236}">
                  <a16:creationId xmlns:a16="http://schemas.microsoft.com/office/drawing/2014/main" id="{31BA1C0F-2855-DE42-E06C-CB113217AC6D}"/>
                </a:ext>
              </a:extLst>
            </xdr:cNvPr>
            <xdr:cNvGraphicFramePr/>
          </xdr:nvGraphicFramePr>
          <xdr:xfrm>
            <a:off x="0" y="0"/>
            <a:ext cx="0" cy="0"/>
          </xdr:xfrm>
          <a:graphic>
            <a:graphicData uri="http://schemas.microsoft.com/office/drawing/2010/slicer">
              <sle:slicer xmlns:sle="http://schemas.microsoft.com/office/drawing/2010/slicer" name="Error Text"/>
            </a:graphicData>
          </a:graphic>
        </xdr:graphicFrame>
      </mc:Choice>
      <mc:Fallback xmlns="">
        <xdr:sp macro="" textlink="">
          <xdr:nvSpPr>
            <xdr:cNvPr id="0" name=""/>
            <xdr:cNvSpPr>
              <a:spLocks noTextEdit="1"/>
            </xdr:cNvSpPr>
          </xdr:nvSpPr>
          <xdr:spPr>
            <a:xfrm>
              <a:off x="17505916" y="7049977"/>
              <a:ext cx="1828800" cy="51036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497663</xdr:colOff>
      <xdr:row>28</xdr:row>
      <xdr:rowOff>90376</xdr:rowOff>
    </xdr:from>
    <xdr:to>
      <xdr:col>13</xdr:col>
      <xdr:colOff>826977</xdr:colOff>
      <xdr:row>40</xdr:row>
      <xdr:rowOff>221511</xdr:rowOff>
    </xdr:to>
    <xdr:graphicFrame macro="">
      <xdr:nvGraphicFramePr>
        <xdr:cNvPr id="9" name="Chart 8">
          <a:extLst>
            <a:ext uri="{FF2B5EF4-FFF2-40B4-BE49-F238E27FC236}">
              <a16:creationId xmlns:a16="http://schemas.microsoft.com/office/drawing/2014/main" id="{7EBBACE1-17B3-5C00-3866-89D724B37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787400</xdr:colOff>
      <xdr:row>24</xdr:row>
      <xdr:rowOff>88900</xdr:rowOff>
    </xdr:from>
    <xdr:to>
      <xdr:col>4</xdr:col>
      <xdr:colOff>977900</xdr:colOff>
      <xdr:row>24</xdr:row>
      <xdr:rowOff>317500</xdr:rowOff>
    </xdr:to>
    <xdr:sp macro="" textlink="">
      <xdr:nvSpPr>
        <xdr:cNvPr id="10" name="Down Arrow 9">
          <a:extLst>
            <a:ext uri="{FF2B5EF4-FFF2-40B4-BE49-F238E27FC236}">
              <a16:creationId xmlns:a16="http://schemas.microsoft.com/office/drawing/2014/main" id="{D969C7AB-31EE-B040-A249-D5DD393D0125}"/>
            </a:ext>
          </a:extLst>
        </xdr:cNvPr>
        <xdr:cNvSpPr/>
      </xdr:nvSpPr>
      <xdr:spPr>
        <a:xfrm>
          <a:off x="7454900" y="5435600"/>
          <a:ext cx="190500" cy="228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42050\Desktop\June%20Month%20DGR\DGR_PWEGPL%2029%20June%2025.xlsx" TargetMode="External"/><Relationship Id="rId1" Type="http://schemas.openxmlformats.org/officeDocument/2006/relationships/externalLinkPath" Target="/personal/manoranjan_khatua_o2power_in/Documents/Desktop/June%20Month%20DGR/DGR_PWEGPL%2029%20June%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2Summary"/>
      <sheetName val="AnnualKPI"/>
      <sheetName val="MonthlyKPI"/>
      <sheetName val="Daily KPI"/>
      <sheetName val="Analytices"/>
      <sheetName val="Input_Raw"/>
      <sheetName val="Modelling New"/>
      <sheetName val="WTG_BD"/>
      <sheetName val="IGA_BD"/>
      <sheetName val="Grid_BD"/>
      <sheetName val="Basic Data"/>
      <sheetName val="WTG Reactive Power"/>
      <sheetName val="PM record"/>
      <sheetName val="Spar Parts Consumption"/>
      <sheetName val="DGR_PWEGPL 29 June 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ranjan Barik" refreshedDate="45410.757970370367" createdVersion="8" refreshedVersion="8" minRefreshableVersion="3" recordCount="3189" xr:uid="{00000000-000A-0000-FFFF-FFFF00000000}">
  <cacheSource type="worksheet">
    <worksheetSource ref="A1:AF1048576" sheet="WTG_BD"/>
  </cacheSource>
  <cacheFields count="32">
    <cacheField name="Sr. No." numFmtId="0">
      <sharedItems containsString="0" containsBlank="1" containsNumber="1" containsInteger="1" minValue="1" maxValue="2500"/>
    </cacheField>
    <cacheField name="Date" numFmtId="0">
      <sharedItems containsNonDate="0" containsDate="1" containsString="0" containsBlank="1" minDate="2023-02-13T00:00:00" maxDate="2024-07-25T00:00:00" count="439">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20T00:00:00"/>
        <d v="2023-07-21T00:00:00"/>
        <d v="2023-07-22T00:00:00"/>
        <d v="2023-07-23T00:00:00"/>
        <d v="2023-07-24T00:00:00"/>
        <d v="2023-07-25T00:00:00"/>
        <d v="2023-07-26T00:00:00"/>
        <d v="2023-07-27T00:00:00"/>
        <d v="2023-07-28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m/>
        <d v="2024-07-24T00:00:00" u="1"/>
      </sharedItems>
    </cacheField>
    <cacheField name="Finacial Year" numFmtId="0">
      <sharedItems containsString="0" containsBlank="1" containsNumber="1" containsInteger="1" minValue="2023" maxValue="2025" count="4">
        <n v="2023"/>
        <n v="2024"/>
        <n v="2025"/>
        <m/>
      </sharedItems>
    </cacheField>
    <cacheField name="Calendor Year" numFmtId="0">
      <sharedItems containsString="0" containsBlank="1" containsNumber="1" containsInteger="1" minValue="2023" maxValue="2024" count="3">
        <n v="2023"/>
        <n v="2024"/>
        <m/>
      </sharedItems>
    </cacheField>
    <cacheField name="Month" numFmtId="0">
      <sharedItems containsNonDate="0" containsDate="1" containsString="0" containsBlank="1" minDate="1899-12-31T00:00:00" maxDate="2024-07-02T00:00:00" count="18">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1899-12-31T00:00:00"/>
        <m/>
        <d v="2024-07-01T00:00:00" u="1"/>
      </sharedItems>
    </cacheField>
    <cacheField name="Operating Year" numFmtId="0">
      <sharedItems containsBlank="1" count="4">
        <s v="Year_1"/>
        <s v="Year_2"/>
        <s v="Year_3"/>
        <m/>
      </sharedItems>
    </cacheField>
    <cacheField name="Affected WTG" numFmtId="0">
      <sharedItems containsBlank="1" count="44">
        <s v="G17"/>
        <s v="G23"/>
        <s v="G26"/>
        <s v="G32"/>
        <s v="G37"/>
        <s v="G38"/>
        <s v="G39"/>
        <s v="G40"/>
        <s v="G27"/>
        <s v="G28"/>
        <s v="G29"/>
        <s v="G30"/>
        <s v="G31"/>
        <s v="G33"/>
        <s v="G34"/>
        <s v="G35"/>
        <s v="G36"/>
        <s v="G08"/>
        <s v="G19"/>
        <s v="G20"/>
        <s v="G01"/>
        <s v="G02"/>
        <s v="G03"/>
        <s v="G04"/>
        <s v="G05"/>
        <s v="G06"/>
        <s v="G07"/>
        <s v="G09"/>
        <s v="G10"/>
        <s v="G11"/>
        <s v="G12"/>
        <s v="G13"/>
        <s v="G14"/>
        <s v="G21"/>
        <s v="G22"/>
        <s v="G24"/>
        <s v="G25"/>
        <s v="G16"/>
        <s v="G18"/>
        <s v="G15"/>
        <s v="G25 "/>
        <s v="G30 "/>
        <s v="G17 "/>
        <m/>
      </sharedItems>
    </cacheField>
    <cacheField name="SPV" numFmtId="0">
      <sharedItems containsBlank="1"/>
    </cacheField>
    <cacheField name="Concumaer" numFmtId="0">
      <sharedItems containsBlank="1"/>
    </cacheField>
    <cacheField name="Plant Equivalent Weightage" numFmtId="0">
      <sharedItems containsBlank="1" containsMixedTypes="1" containsNumber="1" minValue="2.5000000000000001E-2" maxValue="2.5000000000000001E-2"/>
    </cacheField>
    <cacheField name="Error Code" numFmtId="0">
      <sharedItems containsBlank="1" containsMixedTypes="1" containsNumber="1" containsInteger="1" minValue="100" maxValue="9922"/>
    </cacheField>
    <cacheField name="Error Text" numFmtId="0">
      <sharedItems containsBlank="1" count="420">
        <s v="Error Code : 5219 - Coolant  of the  coolant circuit failure 00:00 To 09"/>
        <s v="Error Code : 205 - Low level hydraulic group refrigeration oil From 04:56 To 05:56"/>
        <s v="Error Code :10007 - Manual stop for TPI Inspection work From 12:00 To 13:05"/>
        <s v="Error Code : 10007 - Manual stop for TPI inspection work From 11:10 To 11:50"/>
        <s v="Error Code : 10007 - Manual stop for TPI Inspection work From 16:13 To 16:46"/>
        <s v="Error Code : 10007 - Manual stop for TPI Inspection work From 15:19 To 15:59"/>
        <s v="Error Code : 10007 - Manual stop for TPI Inspection work From 14:27 To 15:08"/>
        <s v="Error Code : 10007 - Manual stop for TPI Inspection work From 13:36 To 14:20"/>
        <s v="Error Code : 10007 - Manual stop for OFC joint work "/>
        <s v="Error code : 205 - low level hydraulic group refrigeration oil from 08:52 To 15:54"/>
        <s v="Error Code : 10007 - Manual stop for TPI inspection work From 16:03 To 16:37"/>
        <s v="Error Code : 10007 - Manual stop for TPI inspection work From 16:42 To 17:34"/>
        <s v="Error Code : 10007 - Manual stop for TPI inspection work From 17:17 To 17:52"/>
        <s v="Error Code : 10007 - Manual stop for TPI Inspection work From 16:15 To 17:01"/>
        <s v="Error Code : 10007 - Manual stop for OFC joint work From 16:50 To 17:15"/>
        <s v="Error Code : 10007 - Manual stop for TPI Inspection work From 14:51 To 15:28"/>
        <s v="Error Code : 10007 - Manual stop for TPI Inspection work From 15:01 To 15:54"/>
        <s v="Error Code : 10007 - Manual stop for TPI Inspection work From 13:39 To 14:40"/>
        <s v="Error Code : 10007 - Manual stop for TPI Inspection work From 12:39 To 13:30"/>
        <s v="Error Code : 208 - HG feedback failure From 12:13 To 15:09"/>
        <s v="Error Code : 10007 - Manual stop for PLC software update From 16:47 To 17:28"/>
        <s v="Error Code : 10007 Manual stop for PLC software update From 17:36 To 17:54"/>
        <s v="Error Code : 5204 - Emergency series not ok From 05:17 To 07:57  "/>
        <s v="Error Code : 205 - Low level hydraulic group refrigeration oil From 10:10 To 11:51"/>
        <s v="Error code : 5201 - Magnetothermic trigger of the stator protection From 09:59 To 12:29"/>
        <s v="Error Code : 5204 - Emergency series not ok From 08:49 To 11:44"/>
        <s v="Error Code : 10007 - Manual stop for TPI inspection work From 10:48 To 11:39"/>
        <s v="Error Code : 10007 - Manual stop for TPI inspection work From 10:30 To 11:06"/>
        <s v="Error Code : 10007 - Manual stop for TPI inspection work From 11:57 To 12:36"/>
        <s v="Error Code : 10007 - Manual stop for TPI inspection work From 11:36 To 12:14"/>
        <s v="Error code : 5216 - Grid Voltage failure From 02:03 To 02:07"/>
        <s v="Error Code : 10007 - Manual stop for TPI inspection work 12:26 To 13:01"/>
        <s v="Error code : 10007 - Manual stop for TPI inspection work From 10:32 To 11:34"/>
        <s v="Error  Code : 10007 - Manual stop for TPI inspection work From 12:47 To 13:23"/>
        <s v="Error Code : 10007 - Manual stop for TPI inspection work From 14:25 To 14:58"/>
        <s v="Error Code : 10007 - Manual stop for TPI inspection work From 14:49 To 15:21"/>
        <s v="Error Code : 10007 - Manual stop for TPI inspection work From 14:28 To 15:00"/>
        <s v="Error Code : 10007 - Manual stop for TPI inspection work From 15:05 To 15:51"/>
        <s v="Error Code : 10007 - Manual stop for TPI inspection work From 15:41 To 16:17"/>
        <s v="Error Code : 10007 - Manual stop for TPI inspection work From 15:56 To 16:40"/>
        <s v="Error code : 5216 - Grid Voltage failure From 02:03 To 02:07 "/>
        <s v=" Error code : 5216 - Grid Voltage failure from 02:03 To 02:07"/>
        <s v="Error Code: 907 - Hub Emergency mode triggered From 02:11 to 03:08"/>
        <s v="Error Code :5201 - Magnetothermic trigger of the stator protection From 12:33 To 15:09 "/>
        <s v="Error Code : 10007 - Manual stop for TPI inspection work From 12:18 to 13:01"/>
        <s v="Error code : 552 - Wear brushes generator triggerd too long from 18:30 to 19:04"/>
        <s v="Error Code : 10007 - Manual stop for TPI inspection work From 12:02 to 12:31"/>
        <s v="Error Code : 10007 - Manual stop for TPI inspection work From 11:27 to 12:17"/>
        <s v="Error Code : 10007 - Manual stop for TPI inspection work From 10:58 to 11:44"/>
        <s v="Error Code : 10007 - Manual stop for TPI inspection work From 13:14 to 13:59"/>
        <s v="Error Code : 10007 - Manual stop for TPI inspection work From 14:44 to 15:28"/>
        <s v="Error Code : 10007 - Manual stop for TPI inspection work From 15:12 to 16:14"/>
        <s v="Error code : 5201 - Magentothermic trigger of the stator protection from 12:46 to 12:52"/>
        <s v="Error code : 5201 - Magnetothermic trigger of the Line protection From 19:40 To 23:09"/>
        <s v="Error code : 5203 - Heating Coolant thermal magnetic failure From 00:48 To 02:05"/>
        <s v="Error Code : 205 - Low level hydraulic group refrigeration oil From 00:59 to 17:29"/>
        <s v="Error Code : 5200 - Magenetothermic trigger of the line protection From 15:34 to 22:23"/>
        <s v="Error code : 110 - Error Yaw Sensor Wiring from 00:27 to 03:22"/>
        <s v="Error code : 800 - Pitch Activation error from 12:10 to 13:51"/>
        <s v="Error code : 205 - low level hydraulic group refrigeration oil from 05:23 to 07:46"/>
        <s v="Error Code : 10007 - Manual stop for pitch cylinder oil seal replace work from 10:25 to 18:05"/>
        <s v="Error code : 205 - low level hydraulic group refrigeration oil from 00:00 to 01:35"/>
        <s v="Error code : 110 - Error Yaw Sensor Wiring from 03:22 to 06:23"/>
        <s v="Error code : 110 - Error Yaw Sensor Wiring from 02:47 to 05:42"/>
        <s v=" Error code : 5202 - stators contactor failure from 18:54 to 23:59"/>
        <s v="Error Code : 800 - Pitch activation error From 12:52 to 16:07"/>
        <s v="Error Code : 10007 - Manual stop for yaw caliper oil seal replacement work from 11:09 to 16:49"/>
        <s v="Error code : 1819 - RC filter failure from 16:07 to 18:12"/>
        <s v="Error Code : 800 - Pitch activation error From 14:07 TO 16:14"/>
        <s v="Error code : 205 - low level hydraulic group refrigeration oil from 00:00 to 00:43"/>
        <s v=" Error Code : 800 - Pitch activation error From 14:55 to 16:48"/>
        <s v="Error code : 1819 - RC filter failure from 18:14 to 19:27"/>
        <s v="Error code : 205 - low level hydraulic group refrigeration oil from 22:45 to 23:59"/>
        <s v="Error Code : 800 - Pitch activation error From 10:17 to 16:41"/>
        <s v="Error code : 5216 - Grid Voltage failure From 08:29 to 08:32"/>
        <s v="Error code : 5216 - Grid Voltage failure From 00:26 to 00:27"/>
        <s v="Error Code: 907 - Hub Emergency mode triggered From 08:39 to 10:22"/>
        <s v="Error code : 205 - low level hydraulic group refrigeration oil ( yaw caliper oil seal replacement )from 00:00 to 16:44"/>
        <s v="Error code : 205 - low level hydraulic group refrigeration oil from 04:36 to 08:01"/>
        <s v="Error Code : 800 - Pitch activation error From 12:19 to 18:20"/>
        <s v="Error code : 5203 - Heating Coolant thermal magnetic failure From 00:39 to 03:32"/>
        <s v="Error code :110 - Error yaw sensor wiring from 10:43 to 14:48"/>
        <s v="Error code : 205 - low level hydraulic group refrigeration oil from 10:12 to 15:56"/>
        <s v="Error code : 5212 - bus preload protection thermal replay failure from 00:26 to 12:51"/>
        <s v="Error Code : 800 - Pitch activation error From 12:55 to 13:35"/>
        <s v="Error Code : 10007 - Manual stop for oil leackage arresting work from 11:25 to 14:54"/>
        <s v="Error cod : 700 - PLC/converter communication failure from 16:54 to 01:54"/>
        <s v="Error code : 5216 - Grid Voltage failure From 11:43 to 11:47"/>
        <s v="Error code : 552 - Wear brushes generator triggerd too long from 00:00 to 02:38"/>
        <s v="Error code : 1819 - RC filter failure from 16:23 to 17:12"/>
        <s v="Error Code : 800 - Pitch activation error From 13:00 to 16:43"/>
        <s v="Error Code : 800 - Pitch activation error From 00:00 to 16:20"/>
        <s v="Error code : 552 - Wear brushes generator triggerd too long from 10:42 to 11:38"/>
        <s v="Error code : 1893 - Trafo Fan Thermal Realy triggered too long from 06:26 to 08:12"/>
        <s v="Error Code : 800 - Pitch activation error From 08:06 to 12:18"/>
        <s v="Error Code : 800 - Pitch activation error From 12:33 to 14:05"/>
        <s v="Error Code : 800 - Pitch activation error From 14:48 to 15:40"/>
        <s v="Error Code : 800 - Pitch activation error From 03:21 to 04:13"/>
        <s v="Error Code : 800 - Pitch activation error From 14:34 to 16:28"/>
        <s v="Error Code : 800 - Pitch activation error From 16:41 to 22:55"/>
        <s v="Error Code : 800 - Pitch activation error From 12:53 to 23:21"/>
        <s v="Error Code : 800 - Pitch activation error From 03:02 to 04:38"/>
        <s v="Error Code : 800 - Pitch activation error From 12:32 to 14:54"/>
        <s v="Error Code : 800 - Pitch activation error From 12:53 to 15:04"/>
        <s v="Error Code : 800 - Pitch activation error From 14:22 to 16:39"/>
        <s v="Error code : 500 - High T ( gen coils ) from 23:05 to 23:48"/>
        <s v="Error code : 800 - pitch activation errror from 14:10 to 16:28"/>
        <s v=" Error Code : 800 - Pitch activation error From 12:17 to 17:04"/>
        <s v="Error code : 5216 - Grid Voltage failure From 08:02 to 10:52"/>
        <s v=" Error code : 5216 - Grid Voltage failure From 08:02 to 10:52"/>
        <s v="Error code : 500 - High T ( gen coils ) from 06:43 to 08:54"/>
        <s v="Error code : 800 - pitch activation errror from 08:54 to 11:48 "/>
        <s v=" Error Code : 800 - Pitch activation error From 12:10 to 14:39"/>
        <s v="Error Code : 800 - Pitch activation error From 11:32 to 14:52 "/>
        <s v=" &amp; Error code : 108 - Automatic unwinding from 14:26 to 17:08"/>
        <s v="Error code : 10007 - Manual stop for gear oil level low from 10:29 to 16:24"/>
        <s v="Error code : 10007 - Manual stop for gearbox hose replacement work 11:03 to 14:21"/>
        <s v="Error code : 800 - pitch activation errror from 09:27 to 11:50"/>
        <s v="Error code : 9922 - LC taken by customer for tree cutting work from 13:45 to 15:07"/>
        <s v="  Error code : 9922 - LC taken by customer for tree cutting work from 13:45 to 15:07"/>
        <s v="Error Code : 800 - Pitch activation error From 12:56 to 15:04 "/>
        <s v="Error code : 800 - pitch activation errror from 02:37 to 04:54 "/>
        <s v=" Error code : 800 - pitch activation errror from12:53 to 14:46"/>
        <s v="Error Code : 5200 - Magenetothermic trigger of the line protection From 08:58 to 11:57"/>
        <s v=" Error Code : 800 - Pitch activation error From 12:46 to 16:32"/>
        <s v="Error code : 205 - Low level hydraulic group refrigeration oil from 13:27 to 12:41"/>
        <s v="Error Code : 800 - Pitch activation error From 07:26 to 09:54"/>
        <s v="Error code : 800 - pitch activation errror from 12:00 to 13:56"/>
        <s v="Error code : 205 - Low level hydraulic group refrigeration oil from 07:51 to 12:36"/>
        <s v="Error code : 700 - PLC/converter Communication failure from 10:12 to 13:17"/>
        <s v=" Error Code : 800 - Pitch activation error From 13:50 to 17:46"/>
        <s v="Error Code : 804 - Difference between 2 blades very high From 05:37 to 07:12 "/>
        <s v=" Error code : 800 - pitch activation error from 08:52 to 22:37"/>
        <s v="Error code : 5216 - Grid Voltage failure From 21:36 to 21:37"/>
        <s v="Error Code : 800 - Pitch activation error From 02:02 to 12:02"/>
        <s v="Error code : 205 - Low level hydraulic group refrigeration oil from 10:52 to 11:41 &amp; Error code : 5216 - Grid Voltage failure From 21:36 to 21:37"/>
        <s v="Error Code: 907 - Hub Emergency mode triggered From 21:39 to 23:59 &amp;Error code : 5216 - Grid Voltage failure From 21:36 to 21:37"/>
        <s v="Error code : 900 - Top emergency button from 21:50 to 23:59 &amp; Error code : 5216 - Grid Voltage failure From 21:47 to 21:48 &amp; Error code : 5216 - Grid Voltage failure From 23:33 to 23:53"/>
        <s v="Error code : 205 - low level hydraulic group refrigeration oil from 14:20 to 23:59 &amp; Error code : 5216 - Grid Voltage failure From 21:36 to 21:37"/>
        <s v="Error code : 800 - pitch activation errror from 08:21 to 12:25 &amp; Error code : 205 - Low level hydraulic group refrigeration oil from 12:36 to 16:16 &amp; Error code : 5216 - Grid Voltage failure From 21:36 to 21:37"/>
        <s v="Error code : 5216 - Grid Voltage failure From 21:47 to 21:48 &amp; Error code : 5216 - Grid Voltage failure From 23:33 to 23:53"/>
        <s v=" Error Code : 800 - Pitch activation error From 12:41 to 13:29"/>
        <s v=" Error code : 800 - pitch activation error from 01:00 to 23:59"/>
        <s v="Error code : 5212 - Bus preload protection thermal realy failure from 22:11 to 23:59 "/>
        <s v="Error Code : 800 - Pitch activation error From 05:22 to 10:41"/>
        <s v="Error code : 5212 - Bus preload protection thermal relay failure from 14:47 to 17:06"/>
        <s v="Error code : 205 - Low level hydraulic group refrigeration oil from 22:34 to 23:13"/>
        <s v="Error Code: 907 - Hub Emergency mode triggered From 00:00 to 2:17"/>
        <s v="Error code : 900 - Top emergency button from 00:00 to 02:45"/>
        <s v="Error code : 205 - low level hydraulic group refrigeration oil ( Yaw caliper oil seal replacement work ) from 00:00 to 16:12"/>
        <s v="Error code : 800 - pitch activation errror from 05:02 to 07:28 "/>
        <s v=" Error code : 800 - pitch activation errror from 13:39 to 14:54"/>
        <s v=" Error code : 800 - pitch activation error from 00:00 to 07:10"/>
        <s v="Error code : 5212 - Bus preload protection thermal realy failure from 00:00 to 03:19"/>
        <s v="Error code : 10007 - Manual stop for yaw caliper oil seal replacement work from 11:11 to 17:31 "/>
        <s v=" Error code : 2118 - Bus error / interbus failure from 21:52 to 23:59"/>
        <s v="Error code : 2118 - Bus error / interbus failure from 22:00 to 23:59"/>
        <s v="Error code : 800 - pitch activation errror from 12:42 to 16:14"/>
        <s v="Error code : 125 - Yaw motors over current protec. From 13:05 to 23:52"/>
        <s v="Error code : 101 - Max winding error from 16:49 to 17:32"/>
        <s v=" Error code : 2118 - Bus error / interbus failure from 00:00 to 01:29"/>
        <s v="Error code : 2118 - Bus error / interbus failure from 00:00 to 00:49"/>
        <s v="Error code : 2118 - CAN communication failure from 10:50 to 12:38"/>
        <s v="Error Code : 10007 - Manual stop for for porportional valve replacement &amp; KM004 From 10:46 To 12:48"/>
        <s v="Error code : 9922 - LC taken by customer for tree cutting work from 14:15 to 16:10"/>
        <s v=" Error Code : 9922 - LC taken by customer for tree cutting work From 14:15 To16:10"/>
        <s v="Error Code : 10007 - Manual stop for porportional valve replacement work &amp; KM004 From 11:12 To 14:06 "/>
        <s v="Error Code : 412 - Gear box fan thermal relay From 10:47 To 18:27"/>
        <s v="Error Code : 2102 - PLC module failure From 22:18 To 23:02"/>
        <s v="Error Code : 10007 - Manual stop for generator fan thermals warning From 12:31 To 12:57"/>
        <s v="Error Code : 10007 - Manual stop for Gear box manifold valve with washer replacement From 11:53 To 12:16"/>
        <s v="Error Code : 9922 -LC taken  for Tree trimming work From 12:12 To 12:57"/>
        <s v="Error Code : 800 - Pitch activation error From 10:31 To 10:59 "/>
        <s v=" Error Code : 9922 -LC taken  for Tree trimming work From 12:12 To 12:57"/>
        <s v="Error Code : 700 - PLC/Converter Communication Failure From 15:08 To 23:59 "/>
        <s v="Error Code : 800 - Pitch activation error From 11:27 To 16:30"/>
        <s v="Error Code : 700 - PLC/Converter Communication Failure From 00:00 To 23:59"/>
        <s v="Error Code : 5203 - Heating/coolant thermal magnetic failure From 19:20 To 22:31"/>
        <s v="Error Code : 108 - Automatic Unwinding From 13:01 To 16:10"/>
        <s v="Error Code : 205 - Low level hydraulic group refrigeration oil From 15:49 To 23:59"/>
        <s v="Error Code : 9922 - LC Taken S/D for DP yard yearly maintenance From 11:22 To 15:16"/>
        <s v="Error Code : 9922 - LC taken DP yard yearly maintenance From 11:22 To 15:16"/>
        <s v="Error Code : 9922 - LC taken for DP Yard yearly maintenance From 11:22 To 15:16"/>
        <s v="Error Code : 10007 - Manual stop for 102 PM From 10:46 To 18:20"/>
        <s v="Error Code : 108 - Automatic unwinding From 12:57 To 13:33"/>
        <s v="Error Code : 110 - Error Yaw Sensor Wiring From 06:24 To 07:33"/>
        <s v="Error Code : Low level hydraulic group refrigeration oil From 00:00 To 16:41"/>
        <s v="Error Code : 907 - HUB emergency - mode trigger From 20:20 To 20:30"/>
        <s v="Error Code : 550 - Gen. Fans Thermal Relay triggered too long From 02:35 To 04:18"/>
        <s v="Error Code : 700 - PLC/Converter Communication Failure From 00:00 To 02:53"/>
        <s v="Error code : 5216 - Grid Voltage failure From 05:35 to 05:38 "/>
        <s v="Error code : 5216 - Grid voltage failure From 20:52 to 21:21 "/>
        <s v="Error code : 5216 - Grid voltage failure  from 20:52 To 21:21  "/>
        <s v="Error code : 5216 - Grid voltage failure From 20:52 to 21:21  "/>
        <s v="   &amp; Error code : 5216 - Grid voltage failure From 20:52 to 21:21 "/>
        <s v="Error code : 5216 - Grid Voltage failure From 09:21 to 09:22"/>
        <s v="Error code : 5216 - Grid Voltage failure From 09:21 to 09:22 "/>
        <s v=" Error code : 5216 - Grid Voltage failure From 07:43 to 07:48."/>
        <s v="Error code : 5216 - Grid Voltage failure From 07:43 to 07:48."/>
        <s v="Error code : 5216 - Grid Voltage failure From 07:43 to 07:48 "/>
        <s v="Error code : 5216 - Grid Voltage failure From 07:43 to 07:48. "/>
        <s v="SF6 Breaker Fault"/>
        <s v=" Error code:5222 - Speed reading Incorrectly From 21:45 to 22:54."/>
        <s v=" Error Code : 205 - Low level hydraulic group refrigeration oil From 00:00 to 16:00 "/>
        <s v="Error code: 2118- Bus error Interbus Failure from 21:21 to 23:09."/>
        <s v="Error code : 205 - Low level hydraulic group refrigeration oil from 22:04 to 22:54"/>
        <s v="Error Code : 907 - HUB emergency - mode trigger From 00:00 to 17:43"/>
        <s v="&amp; Error Code : 907 - HUB emergency - mode trigger From 21:23 to 23:59."/>
        <s v="&amp;  Error code : 205 - Low level hydraulic group refrigeration oil from 21:36 to 23:59."/>
        <s v="&amp; Error Code: 2118 - Bus Error- Inturbus failure From 15:53 to 19:22"/>
        <s v="Error Code: 2299- LC taken for disc insulator replacement work from 13:20 to 14:34."/>
        <s v="Error Code: 2299- LC taken for disc insulator replacement work from 13:20 to 14:34 &amp; "/>
        <s v="Error Code : 205 - Low level hydraulic group refrigeration oil  From 06:33 To 07:26"/>
        <s v="Error Code : 907 - HUB emergency - mode trigger From 00:00 to 1:04"/>
        <s v="Error Code : 10007 - Manual stop for 102 PM From 09:45 to 17:00."/>
        <s v=" Error Code : 205- Low level of hydraulic group refrigeration oil from 07:09 to 12:19"/>
        <s v="Error code : 205 - Low level hydraulic group refrigeration oil from 00:00 to 01:39."/>
        <s v="Error code : 110- Yaw Sensor wiring  error from 16:01 to 18:05"/>
        <s v="Error Code : 205- Low level of hydraulic group refrigeration oil from 09:32 to 11:04."/>
        <s v="Error Code : 5201- Magnetothermic trigger of the stator protection."/>
        <s v=" Error code : 2118 - Bus error / interbus failure from 14:34 to 15:36"/>
        <s v=" &amp; Error code : 2118 - Bus error / interbus failure from 16:01 to 16:43"/>
        <s v="&amp; Error code : 812 - Error in blade position measurment error from 17:55 to 18:39."/>
        <s v=" Error code : 2118 - Bus error / interbus failure from 14:51 to 15:38  "/>
        <s v="&amp; Error code : 2118 - Bus error / interbus failure from 16:37to 17:00"/>
        <s v="&amp; Error code : 2118 - Bus error / interbus failure from 20:41 to 21:23"/>
        <s v="&amp;Error Code: 907- Hub Emergency mode triggered from 07:33 to 10:07 "/>
        <s v="&amp;Error Code: 907- Hub Emergency mode triggered from 10:23 to 11:29 "/>
        <s v=" &amp; Error Code: 907- Hub Emergency mode triggered From 14:37 to 15:57"/>
        <s v=" Error Code: 907- Hub Emergency mode triggered from 18:31 to 22:48"/>
        <s v="&amp; Error code : 205- Low level of hydraulic group refrigeration oil from 23:22 to 23:59."/>
        <s v="Error Code : 5222- Speed Reading incorrectly from 13:22 to 13:37"/>
        <s v="Error Code : 5210 - Failure of the contractor rotor power From 15:02 To 17:19"/>
        <s v="Error Code : 205 - Low level hydraulic roup refrigeration oil From 08:38 To 10:40"/>
        <s v="Error Code : 102 - CW motor failure From 20:54 To 23:59"/>
        <s v="Error Code : 205 - Low level hydraulic refrigeration oil From 00:00 To 03:51"/>
        <s v="Error Code : 110 - Yaw Sensor Wiring From 08:53 To 12:26"/>
        <s v="Error Code : 110 - Yaw Sensor wiring From 08:58 To 12:18"/>
        <s v="Error Code : 102 - CW motor failure From 00:00 to 00:59 ."/>
        <s v="Error Code: 2118- Bus error Inturbus failure From 18:09 to 19:19"/>
        <s v="Error Code :550- Gen. Fan Thermal Relay triggered to long 11:04 to 12:05"/>
        <s v="Error Code: 2118- Bus error Inturbus failure From 19:58 to 23:59."/>
        <s v="Error Code : 205 - Low level hydraulic group refrigeration oil From 13:48 to 22:22"/>
        <s v="Error code : 552 - Wear brushes generator triggered too long from 04:14 to 06:00"/>
        <s v="Error Code : 10007 - Manual stop for 102 PM From 09:40 to 17:21"/>
        <s v="Error Code: 800 - Pitch acitivation error  From 00:00 to 04:52"/>
        <s v=" Error code : 9922 - LC tekan by customer DP-Yard yearly maintanance from 13:30 to 15:09"/>
        <s v=" &amp;  Error code : 9922 - LC tekan by customer DP-Yard yearly maintanance from 13:30 to 15:09"/>
        <s v="Error code : 800 - Pitch activation error from 20:36 to 23:59"/>
        <s v="Error code : 10007 - Manual stop for yaw caliper oil seal replacement work from 13:42 to 18:12"/>
        <s v="Error Code: 2118- Bus error Inturbus failure From 01:44 to 03:27"/>
        <s v="Error code : 103 - CW motor failure from 12:20 to 15:57"/>
        <s v="Error code : 2118 - Bus error / interbus failure from 12:36 to 13:49"/>
        <s v="Error code : 1894 - Automatic Secondaries not ok too long from 11:30 to 12:33"/>
        <s v=" Error code : 9922 - LC tekan by customer DP-Yard yearly maintanance from 13:24 to 15:42"/>
        <s v="Error Code: 2118- Bus error Inturbus failure From 06:51 to 07:48 &amp; "/>
        <s v="Error code : 2118 - Bus error / interbus failure from 10:16 to 13:42"/>
        <s v="Error Code : 10007 - Manual stop for 102 PM From 10:29 to 17:44"/>
        <s v="Error code : 416 - Vibrations sensor from 01:35 to 02:30"/>
        <s v="Error Code: 2118- Bus error Inturbus failure From 07:15 to 08:06 &amp;"/>
        <s v=" Error Code: 2118- Bus error Inturbus failure From 11:32 to 12:36"/>
        <s v="Error code : 10007 - Manual stop for generator cooling motor replacement work from 11:16 to 13:33"/>
        <s v="Error Code : 1894 - Automatic Secondaries not OK too long From 13:29 To 14:55"/>
        <s v="Error Code : 205 - Low level hydraulic group refrigeration oil From 12:32 To 13:15"/>
        <s v="Error Code : 10007 - Manual stop for 102 month preventive maintanance From 10:15 To 18:00"/>
        <s v="Error Code : 2118  - Bus error /Interbus failure From 17:02 To 18:04"/>
        <s v="Error Code : 9922 - LC Taken by custmour for DP Yard yearly maintanance work From 11:53 To 14:06"/>
        <s v="Error Code : 9922 - LC taken by customer DP yard yearly maintanance From 11:53 To 14:06"/>
        <s v="Error Code : 9922 - LC taken by custmour for DP yard yealy maintanance work From 11:53 To 14:06"/>
        <s v="Error Code : 9922 - LC taken by customer for DP yard yearly maintanance From 11:53 To 14:06"/>
        <s v="Error Code : 9922 - LC taken by Custmour for DP yard yearly maintanance From 11:53 To 14:06 "/>
        <s v="Error code : 552 - Wear brushes generator triggered too long from 05:11 To 06:52 /"/>
        <s v="Error Code : 208 _ HG Feedback failure From 01:17 To 05:22"/>
        <s v="Error Code : 10007 - Manual stop for 102 month Preventive Maintanance From 09:57 To 17:31"/>
        <s v="Error Code : 10007 - Manual stop for Bus Interbus failure troubleshooting work From 11:56 To 16:43"/>
        <s v=" Error Code : 552 - Wear brushes generator triggered too long From 22:18 To 23:19"/>
        <s v="Error Code : 5204 - Emergency series not ok From 21:40 To 23:59"/>
        <s v="Error Code : 205 - Low level hydraulic group refigeration oil From 14:18 To 17:23"/>
        <s v="Error Code : 110 - Error Yaw Sensor Wiring From 12:40 To 14:06"/>
        <s v="Error Code : 10007 - Manual stop for 102 Month Preventive Maintanance From 09:50 To 16:58"/>
        <s v="Error Code : 5204 - Emergency series not ok From 00:00 To 13:36"/>
        <s v="Error Code : 110 - Error Yaw Sensor Wiring From 10:11 To 11:09"/>
        <s v="Error Code : 10007 - Manual stop for 102 month Preventive Maintanance From 10:02 To 17:52"/>
        <s v="Error Code : 110 - Error Yaw Sensor Wiring From 14:02 To 16:04"/>
        <s v="Error Code : 10007 Manual stop For Error : 523 High T of coolant in input of cooling circuit From 16:20 To 16:55"/>
        <s v="Error Code : 10007 - Manual stop for Ware brush generator From 17:03 To 17:33"/>
        <s v="Analogue Card Failure"/>
        <s v="Yaw Sensor Wiring Error"/>
        <s v="Manual Stop"/>
        <s v="Heating Protection Triggered"/>
        <s v="Low Pressure On Hydraulic Group"/>
        <s v="Low Pressure On Brake Circuit"/>
        <s v="Emergency Series HUB Trigger"/>
        <s v="Bus Error - Interbus Failure"/>
        <s v="Heating/Coolant Thermal Magnetic Failure"/>
        <s v="Transmission Line Related work"/>
        <s v="Manual Stop - Preventive Maintenance Activity"/>
        <s v="Generator Fans Thermal Relay Triggered Too Long"/>
        <s v="Pitch Drive Error"/>
        <s v="Magnetothermic Trigger Of The Stator Protection"/>
        <s v="Gearbox Oil Level Low"/>
        <s v="Generator Slipping Ring High Temperature"/>
        <s v="High Generator Winding Temperature"/>
        <s v="Yawing Sensor Failure"/>
        <s v="Wear Brushes Generator Triggered Too Long"/>
        <s v="Manual Stop - Audit"/>
        <s v="Grid Voltage Failure"/>
        <s v="CCW Feedback Failure"/>
        <s v="High Yaw Brake Pressure"/>
        <s v="Hydraulic Oil High Temperature"/>
        <s v="Automatic Unwinding"/>
        <s v="CAN Communication Failure"/>
        <s v="Low Level Hydraulic Group Refrigeration Oil"/>
        <s v="Yaw Motors Error"/>
        <s v="Minimum Hydraulic Unit Temperature"/>
        <s v="Speed Read Incorrectly"/>
        <s v="Gearbox Oil High Temperature Warning"/>
        <s v="Generator DE Bearing High Temperature Alarm"/>
        <s v="Generator's Fans Failure Confirmation"/>
        <s v="Bus Preload Protection Thermal Relay Failure"/>
        <s v="PLC Module Failure"/>
        <s v="Temp. Measurement Module Failure"/>
        <s v="OGS"/>
        <s v="Very Low Pressure On Hydraulic Unit"/>
        <s v="Low Pitch Value In Stop Mode (1 Cylinder)"/>
        <s v="Automatic Secondaries Not OK Too Long"/>
        <s v="Magnetothermic Of The Stator Protection Failure Or Door Open"/>
        <s v="Blade Position Meas. Error"/>
        <s v="Max. Pump time"/>
        <s v="PLC-Converter Communication Error"/>
        <s v="Top Emergency Button"/>
        <s v="Low Pressure In Gearbox"/>
        <s v="DTD Filter Alarm 1"/>
        <s v="Excessive Temperature Of The Control Module"/>
        <s v="Vibration Sensor"/>
        <s v="High Temperature Of Coolant In The Input Of The Cooling Circuit"/>
        <s v="Gearbox Fan Thermal Relays"/>
        <s v="CW Feedback Failure"/>
        <s v="Gearbox Pump Thermal Relay Triggered and High Gearbox Oil Temperature"/>
        <s v="Frequency Failure"/>
        <s v="Fault In 24v Power Supply"/>
        <s v="Out Of Range In Slippage"/>
        <s v="High Grid Harmonic Distortion "/>
        <s v="Yaw Motors Over Current Protection "/>
        <s v="Yaw Contactor Active"/>
        <s v="Change Pause-Remote Control Reset"/>
        <s v="Preload Failure"/>
        <s v="Generator NDE Bearing High Temperature Alarm"/>
        <s v="Excessive Temperature Of Coolant At The Input Of The Cooling Circuit"/>
        <s v="Error In Phase T Of The Inverter"/>
        <s v="Controlled Emergency Series Battery Failure"/>
        <s v="Error In Phase T Of The Rectifier"/>
        <s v="High Gearbox Bearing Temperature"/>
        <s v="Rotor Speed Reading Failure"/>
        <s v="Yawing Motor Thermal Relays"/>
        <s v="Converter High Ambient Temperature Alarm"/>
        <s v="Active Crowbar IGBT Errors"/>
        <s v="Excess Current Phase R Of Stator"/>
        <s v="Coolant Of The Coolant Circuit Failure"/>
        <s v="Active Crowbar Failure"/>
        <s v="High Generator Speed"/>
        <s v="Orienting and High Yaw Brake Pressure"/>
        <s v="Trafo Fan Thermal Relay Triggered Too Long"/>
        <s v="Error In Phase R Of The Inverter"/>
        <s v="Gearbox Pump Thermal Relay"/>
        <s v="High Gearbox Oil Temperature"/>
        <s v="HU Pump Drive Failure"/>
        <s v="Very High Disalignment"/>
        <s v="Wind Vane Failure Alarm"/>
        <s v="Emergency Series Not OK"/>
        <s v="Rotor Or Generator High Speed in STOP Or EMERGENCY"/>
        <s v="Failure Of The Contactor's Rotor Power"/>
        <s v="Error In Phase S Of The Inverter"/>
        <s v="Overheating In The Grid's Inductance"/>
        <s v="Rotor Protection Thermal Magnetic Failure"/>
        <s v="Orienting and Low Yaw Brake Pressure"/>
        <s v="Low Pressure Of Emergency Accumulators"/>
        <s v="Stator Contactor Failure"/>
        <s v="Hydraulic Filter Dirty"/>
        <s v="Slipping Rings Fan Or Heating Resistor Failure"/>
        <s v="Major BD - Transformer"/>
        <s v="Major BD - Blade"/>
        <s v="Difference Between 2 Blades Too High"/>
        <s v="Low Bus Voltage"/>
        <s v="Change Emergency-Local Reset"/>
        <s v="Trigger Of Overvoltage Protection"/>
        <s v="Initialization Failure"/>
        <s v="Failure In The Gearbox Oil Particle Sensor"/>
        <s v="Rectifier Phase S Overcurrent"/>
        <s v="UPS breakdown"/>
        <s v="Maximum Synchronization Time"/>
        <s v="Encoder Suynchronism Error"/>
        <s v="Transformer Fan Control Failure"/>
        <s v="Encoder Not OK"/>
        <s v="Maximum Time For Stator Disconnection"/>
        <s v="High Rotor Speed"/>
        <s v="Magnetothermic Trigger Of The Line Protection"/>
        <s v="Hydraulic Pump Protection"/>
        <s v="Gearbox Bearing High Temperature Warning"/>
        <s v="Max Orientation Time"/>
        <s v="General Work Stoppage"/>
        <s v="Gearbox Fan Feedback Failure"/>
        <s v="Automatics Not Ok"/>
        <s v="Gearbox Fan Thermal Relays Triggered and High Gearbox Oil Temperature"/>
        <s v="Wear Brushes Generator"/>
        <s v="Hydraulic Unit Cooling Failure"/>
        <s v="SF6 and HV side"/>
        <s v="Fault In Analog Electronic Power Supply"/>
        <s v="Very High Temperature Of Hydraulic Unit Oil"/>
        <s v="High Temperature Of The Control Module"/>
        <m/>
        <s v=" Error code : 2509 - Communication Error From 05:38 to 08:30" u="1"/>
        <s v=" Error code : 2509 - Communication Error From 05:38 to 08:20" u="1"/>
        <s v="Error code : 2509 - Communication Error From 05:38 to 07:50" u="1"/>
        <s v=" Error code: 5228 - Preload failure from 05:38 to 13:25" u="1"/>
        <s v=" Error code : 2509 - Communication Error From 05:38 to 10:27" u="1"/>
        <s v=" Error code : 2509 - Communication Error From 05:38 to 08:25" u="1"/>
        <s v=" &amp; Error code: 2509- SF6 Breaker T connecter failure From 05:38 to 18:10" u="1"/>
        <s v="Error code : 2509 - communication error ( SF6 breaker trip ) from 14:33 to 19:14" u="1"/>
        <e v="#N/A" u="1"/>
      </sharedItems>
    </cacheField>
    <cacheField name="Breakdown Description" numFmtId="0">
      <sharedItems containsBlank="1"/>
    </cacheField>
    <cacheField name="Fault Start TimeStamp" numFmtId="0">
      <sharedItems containsDate="1" containsBlank="1" containsMixedTypes="1" minDate="1899-12-30T00:00:00" maxDate="1899-12-31T00:00:00"/>
    </cacheField>
    <cacheField name="Work Start TimeStamp" numFmtId="0">
      <sharedItems containsNonDate="0" containsDate="1" containsString="0" containsBlank="1" minDate="1899-12-30T00:00:00" maxDate="1899-12-31T00:00:00"/>
    </cacheField>
    <cacheField name="Fault Clearance time" numFmtId="0">
      <sharedItems containsNonDate="0" containsDate="1" containsString="0" containsBlank="1" minDate="1899-12-30T00:05:00" maxDate="1899-12-30T23:59:59"/>
    </cacheField>
    <cacheField name="Response Time" numFmtId="0">
      <sharedItems containsBlank="1" containsMixedTypes="1" containsNumber="1" minValue="-11.999999999999996" maxValue="23.983333333333334"/>
    </cacheField>
    <cacheField name="Resolution Time" numFmtId="0">
      <sharedItems containsString="0" containsBlank="1" containsNumber="1" minValue="0" maxValue="23.999722222222221"/>
    </cacheField>
    <cacheField name="Breakdown Time" numFmtId="0">
      <sharedItems containsString="0" containsBlank="1" containsNumber="1" minValue="0" maxValue="23.999722222222221"/>
    </cacheField>
    <cacheField name="Action taken" numFmtId="0">
      <sharedItems containsBlank="1"/>
    </cacheField>
    <cacheField name="Status" numFmtId="0">
      <sharedItems containsBlank="1"/>
    </cacheField>
    <cacheField name="Plant Equivalent breakdown" numFmtId="0">
      <sharedItems containsBlank="1" containsMixedTypes="1" containsNumber="1" minValue="4.1666666666663189E-4" maxValue="0.5999930555555556"/>
    </cacheField>
    <cacheField name="Paired WTG for Enegy based MA" numFmtId="0">
      <sharedItems containsBlank="1"/>
    </cacheField>
    <cacheField name="Energy Production during breakdwon of paired WTG" numFmtId="0">
      <sharedItems containsString="0" containsBlank="1" containsNumber="1" minValue="-10.559872685185205" maxValue="32673.294444444444"/>
    </cacheField>
    <cacheField name="Special remarks" numFmtId="0">
      <sharedItems containsBlank="1"/>
    </cacheField>
    <cacheField name="Fault Category" numFmtId="0">
      <sharedItems containsBlank="1"/>
    </cacheField>
    <cacheField name="Paired WTG Generation for loss calculation." numFmtId="0">
      <sharedItems containsString="0" containsBlank="1" containsNumber="1" minValue="-460.79444444444465" maxValue="32706"/>
    </cacheField>
    <cacheField name="loss" numFmtId="0">
      <sharedItems containsString="0" containsBlank="1" containsNumber="1" minValue="-10.559872685185205" maxValue="32673.294444444444"/>
    </cacheField>
    <cacheField name="Column4" numFmtId="0">
      <sharedItems containsNonDate="0" containsString="0" containsBlank="1"/>
    </cacheField>
    <cacheField name="Column5" numFmtId="0">
      <sharedItems containsNonDate="0" containsString="0" containsBlank="1"/>
    </cacheField>
    <cacheField name="Column6" numFmtId="0">
      <sharedItems containsNonDate="0" containsString="0" containsBlank="1"/>
    </cacheField>
    <cacheField name="Column7" numFmtId="0">
      <sharedItems containsNonDate="0" containsString="0" containsBlank="1"/>
    </cacheField>
  </cacheFields>
  <extLst>
    <ext xmlns:x14="http://schemas.microsoft.com/office/spreadsheetml/2009/9/main" uri="{725AE2AE-9491-48be-B2B4-4EB974FC3084}">
      <x14:pivotCacheDefinition pivotCacheId="861024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89">
  <r>
    <n v="1"/>
    <x v="0"/>
    <x v="0"/>
    <x v="0"/>
    <x v="0"/>
    <x v="0"/>
    <x v="0"/>
    <s v="PWEGPL"/>
    <s v="MSEDCL"/>
    <n v="2.5000000000000001E-2"/>
    <n v="5219"/>
    <x v="0"/>
    <s v="BD"/>
    <d v="1899-12-30T00:00:00"/>
    <d v="1899-12-30T00:00:00"/>
    <d v="1899-12-30T00:09:00"/>
    <n v="0"/>
    <n v="0.15"/>
    <n v="0.15"/>
    <s v="Coolant Topup"/>
    <s v="Close"/>
    <n v="3.7499999999999999E-3"/>
    <m/>
    <n v="0"/>
    <m/>
    <m/>
    <m/>
    <n v="0"/>
    <m/>
    <m/>
    <m/>
    <m/>
  </r>
  <r>
    <n v="2"/>
    <x v="0"/>
    <x v="0"/>
    <x v="0"/>
    <x v="0"/>
    <x v="0"/>
    <x v="1"/>
    <s v="PWEGPL"/>
    <s v="MSEDCL"/>
    <n v="2.5000000000000001E-2"/>
    <n v="205"/>
    <x v="1"/>
    <s v="BD"/>
    <d v="1899-12-30T04:56:00"/>
    <d v="1899-12-30T05:10:00"/>
    <d v="1899-12-30T05:56:00"/>
    <n v="0.23333333333333317"/>
    <n v="0.76666666666666661"/>
    <n v="0.99999999999999978"/>
    <s v="Oil Topup"/>
    <s v="Close"/>
    <n v="2.4999999999999994E-2"/>
    <m/>
    <n v="0"/>
    <m/>
    <m/>
    <m/>
    <n v="0"/>
    <m/>
    <m/>
    <m/>
    <m/>
  </r>
  <r>
    <n v="3"/>
    <x v="0"/>
    <x v="0"/>
    <x v="0"/>
    <x v="0"/>
    <x v="0"/>
    <x v="2"/>
    <s v="PWEGPL"/>
    <s v="MSEDCL"/>
    <n v="2.5000000000000001E-2"/>
    <s v="CE100001"/>
    <x v="2"/>
    <m/>
    <d v="1899-12-30T12:00:00"/>
    <d v="1899-12-30T12:00:00"/>
    <d v="1899-12-30T13:05:00"/>
    <n v="0"/>
    <n v="1.0833333333333348"/>
    <n v="1.0833333333333348"/>
    <s v="TPI Inspection"/>
    <s v="Close"/>
    <n v="2.7083333333333372E-2"/>
    <m/>
    <n v="0"/>
    <m/>
    <m/>
    <m/>
    <n v="0"/>
    <m/>
    <m/>
    <m/>
    <m/>
  </r>
  <r>
    <n v="4"/>
    <x v="0"/>
    <x v="0"/>
    <x v="0"/>
    <x v="0"/>
    <x v="0"/>
    <x v="3"/>
    <s v="PWEGPL"/>
    <s v="MSEDCL"/>
    <n v="2.5000000000000001E-2"/>
    <s v="CE100001"/>
    <x v="3"/>
    <m/>
    <d v="1899-12-30T11:10:00"/>
    <d v="1899-12-30T11:10:00"/>
    <d v="1899-12-30T11:50:00"/>
    <n v="0"/>
    <n v="0.66666666666666829"/>
    <n v="0.66666666666666829"/>
    <s v="TPI Inspection"/>
    <s v="Close"/>
    <n v="1.6666666666666708E-2"/>
    <m/>
    <n v="0"/>
    <m/>
    <m/>
    <m/>
    <n v="0"/>
    <m/>
    <m/>
    <m/>
    <m/>
  </r>
  <r>
    <n v="5"/>
    <x v="0"/>
    <x v="0"/>
    <x v="0"/>
    <x v="0"/>
    <x v="0"/>
    <x v="4"/>
    <s v="PWEGPL"/>
    <s v="MSEDCL"/>
    <n v="2.5000000000000001E-2"/>
    <s v="CE100001"/>
    <x v="4"/>
    <m/>
    <d v="1899-12-30T16:13:00"/>
    <d v="1899-12-30T16:13:00"/>
    <d v="1899-12-30T16:46:00"/>
    <n v="0"/>
    <n v="0.55000000000000071"/>
    <n v="0.55000000000000071"/>
    <s v="TPI Inspection"/>
    <s v="Close"/>
    <n v="1.3750000000000019E-2"/>
    <m/>
    <n v="0"/>
    <m/>
    <m/>
    <m/>
    <n v="0"/>
    <m/>
    <m/>
    <m/>
    <m/>
  </r>
  <r>
    <n v="6"/>
    <x v="0"/>
    <x v="0"/>
    <x v="0"/>
    <x v="0"/>
    <x v="0"/>
    <x v="5"/>
    <s v="PWEGPL"/>
    <s v="MSEDCL"/>
    <n v="2.5000000000000001E-2"/>
    <s v="CE100001"/>
    <x v="5"/>
    <m/>
    <d v="1899-12-30T15:19:00"/>
    <d v="1899-12-30T15:19:00"/>
    <d v="1899-12-30T15:59:00"/>
    <n v="0"/>
    <n v="0.66666666666666696"/>
    <n v="0.66666666666666696"/>
    <s v="TPI Inspection"/>
    <s v="Close"/>
    <n v="1.6666666666666673E-2"/>
    <m/>
    <n v="0"/>
    <m/>
    <m/>
    <m/>
    <n v="0"/>
    <m/>
    <m/>
    <m/>
    <m/>
  </r>
  <r>
    <n v="7"/>
    <x v="0"/>
    <x v="0"/>
    <x v="0"/>
    <x v="0"/>
    <x v="0"/>
    <x v="6"/>
    <s v="PWEGPL"/>
    <s v="MSEDCL"/>
    <n v="2.5000000000000001E-2"/>
    <s v="CE100001"/>
    <x v="6"/>
    <m/>
    <d v="1899-12-30T14:27:00"/>
    <d v="1899-12-30T14:27:00"/>
    <d v="1899-12-30T15:08:00"/>
    <n v="0"/>
    <n v="0.68333333333333357"/>
    <n v="0.68333333333333357"/>
    <s v="TPI Inspection"/>
    <s v="Close"/>
    <n v="1.7083333333333339E-2"/>
    <m/>
    <n v="0"/>
    <m/>
    <m/>
    <m/>
    <n v="0"/>
    <m/>
    <m/>
    <m/>
    <m/>
  </r>
  <r>
    <n v="8"/>
    <x v="0"/>
    <x v="0"/>
    <x v="0"/>
    <x v="0"/>
    <x v="0"/>
    <x v="7"/>
    <s v="PWEGPL"/>
    <s v="MSEDCL"/>
    <n v="2.5000000000000001E-2"/>
    <s v="CE100001"/>
    <x v="7"/>
    <m/>
    <d v="1899-12-30T13:36:00"/>
    <d v="1899-12-30T13:36:00"/>
    <d v="1899-12-30T14:20:00"/>
    <n v="0"/>
    <n v="0.73333333333333339"/>
    <n v="0.73333333333333339"/>
    <s v="TPI Inspection"/>
    <s v="Close"/>
    <n v="1.8333333333333337E-2"/>
    <m/>
    <n v="0"/>
    <m/>
    <m/>
    <m/>
    <n v="0"/>
    <m/>
    <m/>
    <m/>
    <m/>
  </r>
  <r>
    <n v="9"/>
    <x v="1"/>
    <x v="0"/>
    <x v="0"/>
    <x v="0"/>
    <x v="0"/>
    <x v="2"/>
    <s v="PWEGPL"/>
    <s v="MSEDCL"/>
    <n v="2.5000000000000001E-2"/>
    <s v="CE100001"/>
    <x v="8"/>
    <m/>
    <d v="1899-12-30T16:50:00"/>
    <d v="1899-12-30T16:50:00"/>
    <d v="1899-12-30T17:15:00"/>
    <n v="0"/>
    <n v="0.41666666666666785"/>
    <n v="0.41666666666666785"/>
    <s v="OFC Splicing"/>
    <s v="Close"/>
    <n v="1.0416666666666697E-2"/>
    <m/>
    <n v="0"/>
    <m/>
    <m/>
    <m/>
    <n v="0"/>
    <m/>
    <m/>
    <m/>
    <m/>
  </r>
  <r>
    <n v="10"/>
    <x v="1"/>
    <x v="0"/>
    <x v="0"/>
    <x v="0"/>
    <x v="0"/>
    <x v="8"/>
    <s v="PWEGPL"/>
    <s v="MSEDCL"/>
    <n v="2.5000000000000001E-2"/>
    <n v="205"/>
    <x v="9"/>
    <m/>
    <d v="1899-12-30T08:52:00"/>
    <d v="1899-12-30T10:45:00"/>
    <d v="1899-12-30T15:54:00"/>
    <n v="1.8833333333333333"/>
    <n v="5.1499999999999986"/>
    <n v="7.0333333333333323"/>
    <s v="Oil Topup"/>
    <s v="Close"/>
    <n v="0.17583333333333331"/>
    <m/>
    <n v="0"/>
    <m/>
    <m/>
    <m/>
    <n v="0"/>
    <m/>
    <m/>
    <m/>
    <m/>
  </r>
  <r>
    <n v="11"/>
    <x v="1"/>
    <x v="0"/>
    <x v="0"/>
    <x v="0"/>
    <x v="0"/>
    <x v="9"/>
    <s v="PWEGPL"/>
    <s v="MSEDCL"/>
    <n v="2.5000000000000001E-2"/>
    <s v="CE100001"/>
    <x v="10"/>
    <m/>
    <d v="1899-12-30T16:03:00"/>
    <d v="1899-12-30T16:03:00"/>
    <d v="1899-12-30T16:37:00"/>
    <n v="0"/>
    <n v="0.56666666666666465"/>
    <n v="0.56666666666666465"/>
    <s v="TPI Inspection"/>
    <s v="Close"/>
    <n v="1.4166666666666617E-2"/>
    <m/>
    <n v="0"/>
    <m/>
    <m/>
    <m/>
    <n v="0"/>
    <m/>
    <m/>
    <m/>
    <m/>
  </r>
  <r>
    <n v="12"/>
    <x v="1"/>
    <x v="0"/>
    <x v="0"/>
    <x v="0"/>
    <x v="0"/>
    <x v="10"/>
    <s v="PWEGPL"/>
    <s v="MSEDCL"/>
    <n v="2.5000000000000001E-2"/>
    <s v="CE100001"/>
    <x v="11"/>
    <m/>
    <d v="1899-12-30T16:42:00"/>
    <d v="1899-12-30T16:42:00"/>
    <d v="1899-12-30T17:34:00"/>
    <n v="0"/>
    <n v="0.86666666666666625"/>
    <n v="0.86666666666666625"/>
    <s v="TPI Inspection"/>
    <s v="Close"/>
    <n v="2.1666666666666657E-2"/>
    <m/>
    <n v="0"/>
    <m/>
    <m/>
    <m/>
    <n v="0"/>
    <m/>
    <m/>
    <m/>
    <m/>
  </r>
  <r>
    <n v="13"/>
    <x v="1"/>
    <x v="0"/>
    <x v="0"/>
    <x v="0"/>
    <x v="0"/>
    <x v="11"/>
    <s v="PWEGPL"/>
    <s v="MSEDCL"/>
    <n v="2.5000000000000001E-2"/>
    <s v="CE100001"/>
    <x v="12"/>
    <m/>
    <d v="1899-12-30T17:17:00"/>
    <d v="1899-12-30T17:17:00"/>
    <d v="1899-12-30T17:52:00"/>
    <n v="0"/>
    <n v="0.58333333333333126"/>
    <n v="0.58333333333333126"/>
    <s v="TPI Inspection"/>
    <s v="Close"/>
    <n v="1.4583333333333282E-2"/>
    <m/>
    <n v="0"/>
    <m/>
    <m/>
    <m/>
    <n v="0"/>
    <m/>
    <m/>
    <m/>
    <m/>
  </r>
  <r>
    <n v="14"/>
    <x v="1"/>
    <x v="0"/>
    <x v="0"/>
    <x v="0"/>
    <x v="0"/>
    <x v="12"/>
    <s v="PWEGPL"/>
    <s v="MSEDCL"/>
    <n v="2.5000000000000001E-2"/>
    <s v="CE100001"/>
    <x v="13"/>
    <m/>
    <d v="1899-12-30T16:15:00"/>
    <d v="1899-12-30T16:15:00"/>
    <d v="1899-12-30T17:01:00"/>
    <n v="0"/>
    <n v="0.76666666666666394"/>
    <n v="0.76666666666666394"/>
    <s v="TPI Inspection"/>
    <s v="Close"/>
    <n v="1.9166666666666599E-2"/>
    <m/>
    <n v="0"/>
    <m/>
    <m/>
    <m/>
    <n v="0"/>
    <m/>
    <m/>
    <m/>
    <m/>
  </r>
  <r>
    <n v="15"/>
    <x v="1"/>
    <x v="0"/>
    <x v="0"/>
    <x v="0"/>
    <x v="0"/>
    <x v="3"/>
    <s v="PWEGPL"/>
    <s v="MSEDCL"/>
    <n v="2.5000000000000001E-2"/>
    <s v="CE100001"/>
    <x v="14"/>
    <m/>
    <d v="1899-12-30T16:50:00"/>
    <d v="1899-12-30T16:50:00"/>
    <d v="1899-12-30T17:15:00"/>
    <n v="0"/>
    <n v="0.41666666666666785"/>
    <n v="0.41666666666666785"/>
    <s v="OFC Splicing"/>
    <s v="Close"/>
    <n v="1.0416666666666697E-2"/>
    <m/>
    <n v="0"/>
    <m/>
    <m/>
    <m/>
    <n v="0"/>
    <m/>
    <m/>
    <m/>
    <m/>
  </r>
  <r>
    <n v="16"/>
    <x v="1"/>
    <x v="0"/>
    <x v="0"/>
    <x v="0"/>
    <x v="0"/>
    <x v="13"/>
    <s v="PWEGPL"/>
    <s v="MSEDCL"/>
    <n v="2.5000000000000001E-2"/>
    <s v="CE100001"/>
    <x v="15"/>
    <m/>
    <d v="1899-12-30T14:51:00"/>
    <d v="1899-12-30T14:51:00"/>
    <d v="1899-12-30T15:28:00"/>
    <n v="0"/>
    <n v="0.61666666666666714"/>
    <n v="0.61666666666666714"/>
    <s v="TPI Inspection"/>
    <s v="Close"/>
    <n v="1.5416666666666679E-2"/>
    <m/>
    <n v="0"/>
    <m/>
    <m/>
    <m/>
    <n v="0"/>
    <m/>
    <m/>
    <m/>
    <m/>
  </r>
  <r>
    <n v="17"/>
    <x v="1"/>
    <x v="0"/>
    <x v="0"/>
    <x v="0"/>
    <x v="0"/>
    <x v="14"/>
    <s v="PWEGPL"/>
    <s v="MSEDCL"/>
    <n v="2.5000000000000001E-2"/>
    <s v="CE100001"/>
    <x v="16"/>
    <m/>
    <d v="1899-12-30T15:01:00"/>
    <d v="1899-12-30T15:01:00"/>
    <d v="1899-12-30T15:54:00"/>
    <n v="0"/>
    <n v="0.88333333333333286"/>
    <n v="0.88333333333333286"/>
    <s v="TPI Inspection"/>
    <s v="Close"/>
    <n v="2.2083333333333323E-2"/>
    <m/>
    <n v="0"/>
    <m/>
    <m/>
    <m/>
    <n v="0"/>
    <m/>
    <m/>
    <m/>
    <m/>
  </r>
  <r>
    <n v="18"/>
    <x v="1"/>
    <x v="0"/>
    <x v="0"/>
    <x v="0"/>
    <x v="0"/>
    <x v="15"/>
    <s v="PWEGPL"/>
    <s v="MSEDCL"/>
    <n v="2.5000000000000001E-2"/>
    <s v="CE100001"/>
    <x v="17"/>
    <m/>
    <d v="1899-12-30T13:39:00"/>
    <d v="1899-12-30T13:39:00"/>
    <d v="1899-12-30T14:40:00"/>
    <n v="0"/>
    <n v="1.0166666666666657"/>
    <n v="1.0166666666666657"/>
    <s v="TPI Inspection"/>
    <s v="Close"/>
    <n v="2.5416666666666643E-2"/>
    <m/>
    <n v="0"/>
    <m/>
    <m/>
    <m/>
    <n v="0"/>
    <m/>
    <m/>
    <m/>
    <m/>
  </r>
  <r>
    <n v="19"/>
    <x v="1"/>
    <x v="0"/>
    <x v="0"/>
    <x v="0"/>
    <x v="0"/>
    <x v="16"/>
    <s v="PWEGPL"/>
    <s v="MSEDCL"/>
    <n v="2.5000000000000001E-2"/>
    <s v="CE100001"/>
    <x v="18"/>
    <m/>
    <d v="1899-12-30T12:39:00"/>
    <d v="1899-12-30T12:39:00"/>
    <d v="1899-12-30T13:30:00"/>
    <n v="0"/>
    <n v="0.84999999999999964"/>
    <n v="0.84999999999999964"/>
    <s v="TPI Inspection"/>
    <s v="Close"/>
    <n v="2.1249999999999991E-2"/>
    <m/>
    <n v="0"/>
    <m/>
    <m/>
    <m/>
    <n v="0"/>
    <m/>
    <m/>
    <m/>
    <m/>
  </r>
  <r>
    <n v="20"/>
    <x v="1"/>
    <x v="0"/>
    <x v="0"/>
    <x v="0"/>
    <x v="0"/>
    <x v="5"/>
    <s v="PWEGPL"/>
    <s v="MSEDCL"/>
    <n v="2.5000000000000001E-2"/>
    <s v="CE100001"/>
    <x v="14"/>
    <m/>
    <d v="1899-12-30T16:50:00"/>
    <d v="1899-12-30T16:50:00"/>
    <d v="1899-12-30T17:15:00"/>
    <n v="0"/>
    <n v="0.41666666666666785"/>
    <n v="0.41666666666666785"/>
    <s v="OFC Splicing"/>
    <s v="Close"/>
    <n v="1.0416666666666697E-2"/>
    <m/>
    <n v="0"/>
    <m/>
    <m/>
    <m/>
    <n v="0"/>
    <m/>
    <m/>
    <m/>
    <m/>
  </r>
  <r>
    <n v="21"/>
    <x v="1"/>
    <x v="0"/>
    <x v="0"/>
    <x v="0"/>
    <x v="0"/>
    <x v="6"/>
    <s v="PWEGPL"/>
    <s v="MSEDCL"/>
    <n v="2.5000000000000001E-2"/>
    <s v="CE100001"/>
    <x v="14"/>
    <m/>
    <d v="1899-12-30T16:50:00"/>
    <d v="1899-12-30T16:50:00"/>
    <d v="1899-12-30T17:15:00"/>
    <n v="0"/>
    <n v="0.41666666666666785"/>
    <n v="0.41666666666666785"/>
    <s v="OFC Splicing"/>
    <s v="Close"/>
    <n v="1.0416666666666697E-2"/>
    <m/>
    <n v="0"/>
    <m/>
    <m/>
    <m/>
    <n v="0"/>
    <m/>
    <m/>
    <m/>
    <m/>
  </r>
  <r>
    <n v="22"/>
    <x v="1"/>
    <x v="0"/>
    <x v="0"/>
    <x v="0"/>
    <x v="0"/>
    <x v="7"/>
    <s v="PWEGPL"/>
    <s v="MSEDCL"/>
    <n v="2.5000000000000001E-2"/>
    <s v="CE100001"/>
    <x v="14"/>
    <m/>
    <d v="1899-12-30T16:50:00"/>
    <d v="1899-12-30T16:50:00"/>
    <d v="1899-12-30T17:15:00"/>
    <n v="0"/>
    <n v="0.41666666666666785"/>
    <n v="0.41666666666666785"/>
    <s v="OFC Splicing"/>
    <s v="Close"/>
    <n v="1.0416666666666697E-2"/>
    <m/>
    <n v="0"/>
    <m/>
    <m/>
    <m/>
    <n v="0"/>
    <m/>
    <m/>
    <m/>
    <m/>
  </r>
  <r>
    <n v="23"/>
    <x v="2"/>
    <x v="0"/>
    <x v="0"/>
    <x v="0"/>
    <x v="0"/>
    <x v="17"/>
    <s v="PWEGPL"/>
    <s v="MSEDCL"/>
    <n v="2.5000000000000001E-2"/>
    <n v="208"/>
    <x v="19"/>
    <m/>
    <d v="1899-12-30T12:13:00"/>
    <d v="1899-12-30T12:30:00"/>
    <d v="1899-12-30T15:09:00"/>
    <n v="0.28333333333333499"/>
    <n v="2.6499999999999986"/>
    <n v="2.9333333333333336"/>
    <s v="Hydraulic motor Contactor changed"/>
    <s v="Close"/>
    <n v="7.3333333333333348E-2"/>
    <m/>
    <n v="0"/>
    <m/>
    <m/>
    <m/>
    <n v="0"/>
    <m/>
    <m/>
    <m/>
    <m/>
  </r>
  <r>
    <n v="24"/>
    <x v="2"/>
    <x v="0"/>
    <x v="0"/>
    <x v="0"/>
    <x v="0"/>
    <x v="18"/>
    <s v="PWEGPL"/>
    <s v="MSEDCL"/>
    <n v="2.5000000000000001E-2"/>
    <s v="CE100001"/>
    <x v="20"/>
    <m/>
    <d v="1899-12-30T16:47:00"/>
    <d v="1899-12-30T16:47:00"/>
    <d v="1899-12-30T17:28:00"/>
    <n v="0"/>
    <n v="0.68333333333333091"/>
    <n v="0.68333333333333091"/>
    <s v="Software Updated"/>
    <s v="Close"/>
    <n v="1.7083333333333273E-2"/>
    <m/>
    <n v="0"/>
    <m/>
    <m/>
    <m/>
    <n v="0"/>
    <m/>
    <m/>
    <m/>
    <m/>
  </r>
  <r>
    <n v="25"/>
    <x v="2"/>
    <x v="0"/>
    <x v="0"/>
    <x v="0"/>
    <x v="0"/>
    <x v="19"/>
    <s v="PWEGPL"/>
    <s v="MSEDCL"/>
    <n v="2.5000000000000001E-2"/>
    <s v="CE100001"/>
    <x v="21"/>
    <m/>
    <d v="1899-12-30T17:36:00"/>
    <d v="1899-12-30T17:36:00"/>
    <d v="1899-12-30T17:54:00"/>
    <n v="0"/>
    <n v="0.29999999999999627"/>
    <n v="0.29999999999999627"/>
    <s v="Software Updated"/>
    <s v="Close"/>
    <n v="7.4999999999999069E-3"/>
    <m/>
    <n v="0"/>
    <m/>
    <m/>
    <m/>
    <n v="0"/>
    <m/>
    <m/>
    <m/>
    <m/>
  </r>
  <r>
    <n v="26"/>
    <x v="2"/>
    <x v="0"/>
    <x v="0"/>
    <x v="0"/>
    <x v="0"/>
    <x v="9"/>
    <s v="PWEGPL"/>
    <s v="MSEDCL"/>
    <n v="2.5000000000000001E-2"/>
    <n v="5204"/>
    <x v="22"/>
    <m/>
    <d v="1899-12-30T05:17:00"/>
    <d v="1899-12-30T05:45:00"/>
    <d v="1899-12-30T07:57:00"/>
    <n v="0.46666666666666701"/>
    <n v="2.1999999999999993"/>
    <n v="2.6666666666666665"/>
    <s v="Relay with Base changed"/>
    <s v="Close"/>
    <n v="6.6666666666666666E-2"/>
    <m/>
    <n v="0"/>
    <m/>
    <m/>
    <m/>
    <n v="0"/>
    <m/>
    <m/>
    <m/>
    <m/>
  </r>
  <r>
    <n v="27"/>
    <x v="2"/>
    <x v="0"/>
    <x v="0"/>
    <x v="0"/>
    <x v="0"/>
    <x v="12"/>
    <s v="PWEGPL"/>
    <s v="MSEDCL"/>
    <n v="2.5000000000000001E-2"/>
    <n v="205"/>
    <x v="23"/>
    <m/>
    <d v="1899-12-30T10:10:00"/>
    <d v="1899-12-30T10:40:00"/>
    <d v="1899-12-30T11:51:00"/>
    <n v="0.49999999999999956"/>
    <n v="1.1833333333333331"/>
    <n v="1.6833333333333327"/>
    <s v="Oil Topup"/>
    <s v="Close"/>
    <n v="4.208333333333332E-2"/>
    <m/>
    <n v="0"/>
    <m/>
    <m/>
    <m/>
    <n v="0"/>
    <m/>
    <m/>
    <m/>
    <m/>
  </r>
  <r>
    <n v="28"/>
    <x v="2"/>
    <x v="0"/>
    <x v="0"/>
    <x v="0"/>
    <x v="0"/>
    <x v="5"/>
    <s v="PWEGPL"/>
    <s v="MSEDCL"/>
    <n v="2.5000000000000001E-2"/>
    <n v="5201"/>
    <x v="24"/>
    <m/>
    <d v="1899-12-30T09:59:00"/>
    <d v="1899-12-30T10:30:00"/>
    <d v="1899-12-30T12:29:00"/>
    <n v="0.5166666666666675"/>
    <n v="1.9833333333333316"/>
    <n v="2.4999999999999991"/>
    <s v="Converter changed"/>
    <s v="Close"/>
    <n v="6.2499999999999979E-2"/>
    <m/>
    <n v="0"/>
    <m/>
    <m/>
    <m/>
    <n v="0"/>
    <m/>
    <m/>
    <m/>
    <m/>
  </r>
  <r>
    <n v="29"/>
    <x v="2"/>
    <x v="0"/>
    <x v="0"/>
    <x v="0"/>
    <x v="0"/>
    <x v="9"/>
    <s v="PWEGPL"/>
    <s v="MSEDCL"/>
    <n v="2.5000000000000001E-2"/>
    <n v="5204"/>
    <x v="25"/>
    <m/>
    <d v="1899-12-30T08:49:00"/>
    <d v="1899-12-30T09:50:00"/>
    <d v="1899-12-30T11:44:00"/>
    <n v="1.0166666666666684"/>
    <n v="1.8999999999999986"/>
    <n v="2.916666666666667"/>
    <s v="Relay with Base changed"/>
    <s v="Close"/>
    <n v="7.2916666666666671E-2"/>
    <m/>
    <n v="0"/>
    <m/>
    <m/>
    <m/>
    <n v="0"/>
    <m/>
    <m/>
    <m/>
    <m/>
  </r>
  <r>
    <n v="30"/>
    <x v="3"/>
    <x v="0"/>
    <x v="0"/>
    <x v="0"/>
    <x v="0"/>
    <x v="20"/>
    <s v="PWEGPL"/>
    <s v="MSEDCL"/>
    <n v="2.5000000000000001E-2"/>
    <s v="CE100001"/>
    <x v="26"/>
    <m/>
    <d v="1899-12-30T10:48:00"/>
    <d v="1899-12-30T10:48:00"/>
    <d v="1899-12-30T11:39:00"/>
    <n v="0"/>
    <n v="0.84999999999999964"/>
    <n v="0.84999999999999964"/>
    <s v="TPI Inspection"/>
    <s v="Close"/>
    <n v="2.1249999999999991E-2"/>
    <m/>
    <n v="0"/>
    <m/>
    <m/>
    <m/>
    <n v="0"/>
    <m/>
    <m/>
    <m/>
    <m/>
  </r>
  <r>
    <n v="31"/>
    <x v="3"/>
    <x v="0"/>
    <x v="0"/>
    <x v="0"/>
    <x v="0"/>
    <x v="21"/>
    <s v="PWEGPL"/>
    <s v="MSEDCL"/>
    <n v="2.5000000000000001E-2"/>
    <s v="CE100001"/>
    <x v="27"/>
    <m/>
    <d v="1899-12-30T10:30:00"/>
    <d v="1899-12-30T10:30:00"/>
    <d v="1899-12-30T11:06:00"/>
    <n v="0"/>
    <n v="0.5999999999999992"/>
    <n v="0.5999999999999992"/>
    <s v="TPI Inspection"/>
    <s v="Close"/>
    <n v="1.499999999999998E-2"/>
    <m/>
    <n v="0"/>
    <m/>
    <m/>
    <m/>
    <n v="0"/>
    <m/>
    <m/>
    <m/>
    <m/>
  </r>
  <r>
    <n v="32"/>
    <x v="3"/>
    <x v="0"/>
    <x v="0"/>
    <x v="0"/>
    <x v="0"/>
    <x v="22"/>
    <s v="PWEGPL"/>
    <s v="MSEDCL"/>
    <n v="2.5000000000000001E-2"/>
    <s v="CE100001"/>
    <x v="28"/>
    <m/>
    <d v="1899-12-30T11:57:00"/>
    <d v="1899-12-30T11:57:00"/>
    <d v="1899-12-30T12:36:00"/>
    <n v="0"/>
    <n v="0.65000000000000169"/>
    <n v="0.65000000000000169"/>
    <s v="TPI Inspection"/>
    <s v="Close"/>
    <n v="1.6250000000000042E-2"/>
    <m/>
    <n v="0"/>
    <m/>
    <m/>
    <m/>
    <n v="0"/>
    <m/>
    <m/>
    <m/>
    <m/>
  </r>
  <r>
    <n v="33"/>
    <x v="3"/>
    <x v="0"/>
    <x v="0"/>
    <x v="0"/>
    <x v="0"/>
    <x v="23"/>
    <s v="PWEGPL"/>
    <s v="MSEDCL"/>
    <n v="2.5000000000000001E-2"/>
    <s v="CE100001"/>
    <x v="29"/>
    <m/>
    <d v="1899-12-30T11:36:00"/>
    <d v="1899-12-30T11:36:00"/>
    <d v="1899-12-30T12:14:00"/>
    <n v="0"/>
    <n v="0.63333333333333242"/>
    <n v="0.63333333333333242"/>
    <s v="TPI Inspection"/>
    <s v="Close"/>
    <n v="1.583333333333331E-2"/>
    <m/>
    <n v="0"/>
    <m/>
    <m/>
    <m/>
    <n v="0"/>
    <m/>
    <m/>
    <m/>
    <m/>
  </r>
  <r>
    <n v="34"/>
    <x v="3"/>
    <x v="0"/>
    <x v="0"/>
    <x v="0"/>
    <x v="0"/>
    <x v="24"/>
    <s v="PWEGPL"/>
    <s v="MSEDCL"/>
    <n v="2.5000000000000001E-2"/>
    <n v="5216"/>
    <x v="30"/>
    <m/>
    <d v="1899-12-30T02:03:00"/>
    <d v="1899-12-30T02:03:00"/>
    <d v="1899-12-30T02:07:00"/>
    <n v="0"/>
    <n v="6.6666666666667096E-2"/>
    <n v="6.6666666666667096E-2"/>
    <s v="External Grid Failure"/>
    <s v="Close"/>
    <n v="1.6666666666666774E-3"/>
    <m/>
    <n v="0"/>
    <m/>
    <m/>
    <m/>
    <n v="0"/>
    <m/>
    <m/>
    <m/>
    <m/>
  </r>
  <r>
    <n v="35"/>
    <x v="3"/>
    <x v="0"/>
    <x v="0"/>
    <x v="0"/>
    <x v="0"/>
    <x v="25"/>
    <s v="PWEGPL"/>
    <s v="MSEDCL"/>
    <n v="2.5000000000000001E-2"/>
    <s v="CE100001"/>
    <x v="31"/>
    <m/>
    <d v="1899-12-30T12:26:00"/>
    <d v="1899-12-30T12:26:00"/>
    <d v="1899-12-30T13:01:00"/>
    <n v="0"/>
    <n v="0.58333333333333393"/>
    <n v="0.58333333333333393"/>
    <s v="TPI Inspection"/>
    <s v="Close"/>
    <n v="1.4583333333333349E-2"/>
    <m/>
    <n v="0"/>
    <m/>
    <m/>
    <m/>
    <n v="0"/>
    <m/>
    <m/>
    <m/>
    <m/>
  </r>
  <r>
    <n v="36"/>
    <x v="3"/>
    <x v="0"/>
    <x v="0"/>
    <x v="0"/>
    <x v="0"/>
    <x v="26"/>
    <s v="PWEGPL"/>
    <s v="MSEDCL"/>
    <n v="2.5000000000000001E-2"/>
    <s v="CE100001"/>
    <x v="32"/>
    <m/>
    <d v="1899-12-30T10:32:00"/>
    <d v="1899-12-30T10:32:00"/>
    <d v="1899-12-30T11:34:00"/>
    <n v="0"/>
    <n v="1.0333333333333337"/>
    <n v="1.0333333333333337"/>
    <s v="TPI Inspection"/>
    <s v="Close"/>
    <n v="2.5833333333333344E-2"/>
    <m/>
    <n v="0"/>
    <m/>
    <m/>
    <m/>
    <n v="0"/>
    <m/>
    <m/>
    <m/>
    <m/>
  </r>
  <r>
    <n v="37"/>
    <x v="3"/>
    <x v="0"/>
    <x v="0"/>
    <x v="0"/>
    <x v="0"/>
    <x v="17"/>
    <s v="PWEGPL"/>
    <s v="MSEDCL"/>
    <n v="2.5000000000000001E-2"/>
    <s v="CE100001"/>
    <x v="33"/>
    <m/>
    <d v="1899-12-30T12:47:00"/>
    <d v="1899-12-30T12:47:00"/>
    <d v="1899-12-30T13:23:00"/>
    <n v="0"/>
    <n v="0.60000000000000053"/>
    <n v="0.60000000000000053"/>
    <s v="TPI Inspection"/>
    <s v="Close"/>
    <n v="1.5000000000000013E-2"/>
    <m/>
    <n v="0"/>
    <m/>
    <m/>
    <m/>
    <n v="0"/>
    <m/>
    <m/>
    <m/>
    <m/>
  </r>
  <r>
    <n v="38"/>
    <x v="3"/>
    <x v="0"/>
    <x v="0"/>
    <x v="0"/>
    <x v="0"/>
    <x v="27"/>
    <s v="PWEGPL"/>
    <s v="MSEDCL"/>
    <n v="2.5000000000000001E-2"/>
    <s v="CE100001"/>
    <x v="34"/>
    <m/>
    <d v="1899-12-30T14:25:00"/>
    <d v="1899-12-30T14:25:00"/>
    <d v="1899-12-30T14:58:00"/>
    <n v="0"/>
    <n v="0.55000000000000071"/>
    <n v="0.55000000000000071"/>
    <s v="TPI Inspection"/>
    <s v="Close"/>
    <n v="1.3750000000000019E-2"/>
    <m/>
    <n v="0"/>
    <m/>
    <m/>
    <m/>
    <n v="0"/>
    <m/>
    <m/>
    <m/>
    <m/>
  </r>
  <r>
    <n v="39"/>
    <x v="3"/>
    <x v="0"/>
    <x v="0"/>
    <x v="0"/>
    <x v="0"/>
    <x v="28"/>
    <s v="PWEGPL"/>
    <s v="MSEDCL"/>
    <n v="2.5000000000000001E-2"/>
    <s v="CE100001"/>
    <x v="35"/>
    <m/>
    <d v="1899-12-30T14:49:00"/>
    <d v="1899-12-30T14:49:00"/>
    <d v="1899-12-30T15:21:00"/>
    <n v="0"/>
    <n v="0.53333333333333144"/>
    <n v="0.53333333333333144"/>
    <s v="TPI Inspection"/>
    <s v="Close"/>
    <n v="1.3333333333333287E-2"/>
    <m/>
    <n v="0"/>
    <m/>
    <m/>
    <m/>
    <n v="0"/>
    <m/>
    <m/>
    <m/>
    <m/>
  </r>
  <r>
    <n v="40"/>
    <x v="3"/>
    <x v="0"/>
    <x v="0"/>
    <x v="0"/>
    <x v="0"/>
    <x v="29"/>
    <s v="PWEGPL"/>
    <s v="MSEDCL"/>
    <n v="2.5000000000000001E-2"/>
    <s v="CE100001"/>
    <x v="36"/>
    <m/>
    <d v="1899-12-30T14:28:00"/>
    <d v="1899-12-30T14:28:00"/>
    <d v="1899-12-30T15:00:00"/>
    <n v="0"/>
    <n v="0.5333333333333341"/>
    <n v="0.5333333333333341"/>
    <s v="TPI Inspection"/>
    <s v="Close"/>
    <n v="1.3333333333333353E-2"/>
    <m/>
    <n v="0"/>
    <m/>
    <m/>
    <m/>
    <n v="0"/>
    <m/>
    <m/>
    <m/>
    <m/>
  </r>
  <r>
    <n v="41"/>
    <x v="3"/>
    <x v="0"/>
    <x v="0"/>
    <x v="0"/>
    <x v="0"/>
    <x v="30"/>
    <s v="PWEGPL"/>
    <s v="MSEDCL"/>
    <n v="2.5000000000000001E-2"/>
    <s v="CE100001"/>
    <x v="37"/>
    <m/>
    <d v="1899-12-30T15:05:00"/>
    <d v="1899-12-30T15:05:00"/>
    <d v="1899-12-30T15:51:00"/>
    <n v="0"/>
    <n v="0.76666666666666661"/>
    <n v="0.76666666666666661"/>
    <s v="TPI Inspection"/>
    <s v="Close"/>
    <n v="1.9166666666666665E-2"/>
    <m/>
    <n v="0"/>
    <m/>
    <m/>
    <m/>
    <n v="0"/>
    <m/>
    <m/>
    <m/>
    <m/>
  </r>
  <r>
    <n v="42"/>
    <x v="3"/>
    <x v="0"/>
    <x v="0"/>
    <x v="0"/>
    <x v="0"/>
    <x v="31"/>
    <s v="PWEGPL"/>
    <s v="MSEDCL"/>
    <n v="2.5000000000000001E-2"/>
    <s v="CE100001"/>
    <x v="38"/>
    <m/>
    <d v="1899-12-30T15:41:00"/>
    <d v="1899-12-30T15:41:00"/>
    <d v="1899-12-30T16:17:00"/>
    <n v="0"/>
    <n v="0.60000000000000053"/>
    <n v="0.60000000000000053"/>
    <s v="TPI Inspection"/>
    <s v="Close"/>
    <n v="1.5000000000000013E-2"/>
    <m/>
    <n v="0"/>
    <m/>
    <m/>
    <m/>
    <n v="0"/>
    <m/>
    <m/>
    <m/>
    <m/>
  </r>
  <r>
    <n v="43"/>
    <x v="3"/>
    <x v="0"/>
    <x v="0"/>
    <x v="0"/>
    <x v="0"/>
    <x v="32"/>
    <s v="PWEGPL"/>
    <s v="MSEDCL"/>
    <n v="2.5000000000000001E-2"/>
    <s v="CE100001"/>
    <x v="39"/>
    <m/>
    <d v="1899-12-30T15:56:00"/>
    <d v="1899-12-30T15:56:00"/>
    <d v="1899-12-30T16:40:00"/>
    <n v="0"/>
    <n v="0.73333333333333606"/>
    <n v="0.73333333333333606"/>
    <s v="TPI Inspection"/>
    <s v="Close"/>
    <n v="1.8333333333333403E-2"/>
    <m/>
    <n v="0"/>
    <m/>
    <m/>
    <m/>
    <n v="0"/>
    <m/>
    <m/>
    <m/>
    <m/>
  </r>
  <r>
    <n v="44"/>
    <x v="3"/>
    <x v="0"/>
    <x v="0"/>
    <x v="0"/>
    <x v="0"/>
    <x v="33"/>
    <s v="PWEGPL"/>
    <s v="MSEDCL"/>
    <n v="2.5000000000000001E-2"/>
    <n v="5216"/>
    <x v="40"/>
    <m/>
    <d v="1899-12-30T02:03:00"/>
    <d v="1899-12-30T02:03:00"/>
    <d v="1899-12-30T02:07:00"/>
    <n v="0"/>
    <n v="6.6666666666667096E-2"/>
    <n v="6.6666666666667096E-2"/>
    <s v="External Grid Failure"/>
    <s v="Close"/>
    <n v="1.6666666666666774E-3"/>
    <m/>
    <n v="0"/>
    <m/>
    <m/>
    <m/>
    <n v="0"/>
    <m/>
    <m/>
    <m/>
    <m/>
  </r>
  <r>
    <n v="45"/>
    <x v="3"/>
    <x v="0"/>
    <x v="0"/>
    <x v="0"/>
    <x v="0"/>
    <x v="34"/>
    <s v="PWEGPL"/>
    <s v="MSEDCL"/>
    <n v="2.5000000000000001E-2"/>
    <n v="5216"/>
    <x v="30"/>
    <m/>
    <d v="1899-12-30T02:03:00"/>
    <d v="1899-12-30T02:03:00"/>
    <d v="1899-12-30T02:07:00"/>
    <n v="0"/>
    <n v="6.6666666666667096E-2"/>
    <n v="6.6666666666667096E-2"/>
    <s v="External Grid Failure"/>
    <s v="Close"/>
    <n v="1.6666666666666774E-3"/>
    <m/>
    <n v="0"/>
    <m/>
    <m/>
    <m/>
    <n v="0"/>
    <m/>
    <m/>
    <m/>
    <m/>
  </r>
  <r>
    <n v="46"/>
    <x v="3"/>
    <x v="0"/>
    <x v="0"/>
    <x v="0"/>
    <x v="0"/>
    <x v="1"/>
    <s v="PWEGPL"/>
    <s v="MSEDCL"/>
    <n v="2.5000000000000001E-2"/>
    <n v="5216"/>
    <x v="30"/>
    <m/>
    <d v="1899-12-30T02:03:00"/>
    <d v="1899-12-30T02:03:00"/>
    <d v="1899-12-30T02:07:00"/>
    <n v="0"/>
    <n v="6.6666666666667096E-2"/>
    <n v="6.6666666666667096E-2"/>
    <s v="External Grid Failure"/>
    <s v="Close"/>
    <n v="1.6666666666666774E-3"/>
    <m/>
    <n v="0"/>
    <m/>
    <m/>
    <m/>
    <n v="0"/>
    <m/>
    <m/>
    <m/>
    <m/>
  </r>
  <r>
    <n v="47"/>
    <x v="3"/>
    <x v="0"/>
    <x v="0"/>
    <x v="0"/>
    <x v="0"/>
    <x v="35"/>
    <s v="PWEGPL"/>
    <s v="MSEDCL"/>
    <n v="2.5000000000000001E-2"/>
    <n v="5216"/>
    <x v="40"/>
    <m/>
    <d v="1899-12-30T02:03:00"/>
    <d v="1899-12-30T02:03:00"/>
    <d v="1899-12-30T02:07:00"/>
    <n v="0"/>
    <n v="6.6666666666667096E-2"/>
    <n v="6.6666666666667096E-2"/>
    <s v="External Grid Failure"/>
    <s v="Close"/>
    <n v="1.6666666666666774E-3"/>
    <m/>
    <n v="0"/>
    <m/>
    <m/>
    <m/>
    <n v="0"/>
    <m/>
    <m/>
    <m/>
    <m/>
  </r>
  <r>
    <n v="48"/>
    <x v="3"/>
    <x v="0"/>
    <x v="0"/>
    <x v="0"/>
    <x v="0"/>
    <x v="36"/>
    <s v="PWEGPL"/>
    <s v="MSEDCL"/>
    <n v="2.5000000000000001E-2"/>
    <n v="5216"/>
    <x v="30"/>
    <m/>
    <d v="1899-12-30T02:03:00"/>
    <d v="1899-12-30T02:03:00"/>
    <d v="1899-12-30T02:07:00"/>
    <n v="0"/>
    <n v="6.6666666666667096E-2"/>
    <n v="6.6666666666667096E-2"/>
    <s v="External Grid Failure"/>
    <s v="Close"/>
    <n v="1.6666666666666774E-3"/>
    <m/>
    <n v="0"/>
    <m/>
    <m/>
    <m/>
    <n v="0"/>
    <m/>
    <m/>
    <m/>
    <m/>
  </r>
  <r>
    <n v="49"/>
    <x v="3"/>
    <x v="0"/>
    <x v="0"/>
    <x v="0"/>
    <x v="0"/>
    <x v="8"/>
    <s v="PWEGPL"/>
    <s v="MSEDCL"/>
    <n v="2.5000000000000001E-2"/>
    <n v="5216"/>
    <x v="30"/>
    <m/>
    <d v="1899-12-30T02:03:00"/>
    <d v="1899-12-30T02:03:00"/>
    <d v="1899-12-30T02:07:00"/>
    <n v="0"/>
    <n v="6.6666666666667096E-2"/>
    <n v="6.6666666666667096E-2"/>
    <s v="External Grid Failure"/>
    <s v="Close"/>
    <n v="1.6666666666666774E-3"/>
    <m/>
    <n v="0"/>
    <m/>
    <m/>
    <m/>
    <n v="0"/>
    <m/>
    <m/>
    <m/>
    <m/>
  </r>
  <r>
    <n v="50"/>
    <x v="3"/>
    <x v="0"/>
    <x v="0"/>
    <x v="0"/>
    <x v="0"/>
    <x v="9"/>
    <s v="PWEGPL"/>
    <s v="MSEDCL"/>
    <n v="2.5000000000000001E-2"/>
    <n v="5216"/>
    <x v="30"/>
    <m/>
    <d v="1899-12-30T02:03:00"/>
    <d v="1899-12-30T02:03:00"/>
    <d v="1899-12-30T02:07:00"/>
    <n v="0"/>
    <n v="6.6666666666667096E-2"/>
    <n v="6.6666666666667096E-2"/>
    <s v="External Grid Failure"/>
    <s v="Close"/>
    <n v="1.6666666666666774E-3"/>
    <m/>
    <n v="0"/>
    <m/>
    <m/>
    <m/>
    <n v="0"/>
    <m/>
    <m/>
    <m/>
    <m/>
  </r>
  <r>
    <n v="51"/>
    <x v="3"/>
    <x v="0"/>
    <x v="0"/>
    <x v="0"/>
    <x v="0"/>
    <x v="10"/>
    <s v="PWEGPL"/>
    <s v="MSEDCL"/>
    <n v="2.5000000000000001E-2"/>
    <n v="5216"/>
    <x v="30"/>
    <m/>
    <d v="1899-12-30T02:03:00"/>
    <d v="1899-12-30T02:03:00"/>
    <d v="1899-12-30T02:07:00"/>
    <n v="0"/>
    <n v="6.6666666666667096E-2"/>
    <n v="6.6666666666667096E-2"/>
    <s v="External Grid Failure"/>
    <s v="Close"/>
    <n v="1.6666666666666774E-3"/>
    <m/>
    <n v="0"/>
    <m/>
    <m/>
    <m/>
    <n v="0"/>
    <m/>
    <m/>
    <m/>
    <m/>
  </r>
  <r>
    <n v="52"/>
    <x v="3"/>
    <x v="0"/>
    <x v="0"/>
    <x v="0"/>
    <x v="0"/>
    <x v="11"/>
    <s v="PWEGPL"/>
    <s v="MSEDCL"/>
    <n v="2.5000000000000001E-2"/>
    <n v="5216"/>
    <x v="41"/>
    <m/>
    <d v="1899-12-30T02:03:00"/>
    <d v="1899-12-30T02:03:00"/>
    <d v="1899-12-30T02:07:00"/>
    <n v="0"/>
    <n v="6.6666666666667096E-2"/>
    <n v="6.6666666666667096E-2"/>
    <s v="External Grid Failure"/>
    <s v="Close"/>
    <n v="1.6666666666666774E-3"/>
    <m/>
    <n v="0"/>
    <m/>
    <m/>
    <m/>
    <n v="0"/>
    <m/>
    <m/>
    <m/>
    <m/>
  </r>
  <r>
    <n v="53"/>
    <x v="3"/>
    <x v="0"/>
    <x v="0"/>
    <x v="0"/>
    <x v="0"/>
    <x v="12"/>
    <s v="PWEGPL"/>
    <s v="MSEDCL"/>
    <n v="2.5000000000000001E-2"/>
    <n v="5216"/>
    <x v="30"/>
    <m/>
    <d v="1899-12-30T02:03:00"/>
    <d v="1899-12-30T02:03:00"/>
    <d v="1899-12-30T02:07:00"/>
    <n v="0"/>
    <n v="6.6666666666667096E-2"/>
    <n v="6.6666666666667096E-2"/>
    <s v="External Grid Failure"/>
    <s v="Close"/>
    <n v="1.6666666666666774E-3"/>
    <m/>
    <n v="0"/>
    <m/>
    <m/>
    <m/>
    <n v="0"/>
    <m/>
    <m/>
    <m/>
    <m/>
  </r>
  <r>
    <n v="54"/>
    <x v="3"/>
    <x v="0"/>
    <x v="0"/>
    <x v="0"/>
    <x v="0"/>
    <x v="35"/>
    <s v="PWEGPL"/>
    <s v="MSEDCL"/>
    <n v="2.5000000000000001E-2"/>
    <n v="907"/>
    <x v="42"/>
    <m/>
    <d v="1899-12-30T02:11:00"/>
    <d v="1899-12-30T02:30:00"/>
    <d v="1899-12-30T03:08:00"/>
    <n v="0.31666666666666687"/>
    <n v="0.63333333333333341"/>
    <n v="0.95000000000000029"/>
    <s v="Hydraulic Pressure Deveeloped &amp; Reseted"/>
    <s v="Close"/>
    <n v="2.3750000000000007E-2"/>
    <m/>
    <n v="0"/>
    <m/>
    <m/>
    <m/>
    <n v="0"/>
    <m/>
    <m/>
    <m/>
    <m/>
  </r>
  <r>
    <n v="55"/>
    <x v="3"/>
    <x v="0"/>
    <x v="0"/>
    <x v="0"/>
    <x v="0"/>
    <x v="11"/>
    <s v="PWEGPL"/>
    <s v="MSEDCL"/>
    <n v="2.5000000000000001E-2"/>
    <n v="5201"/>
    <x v="43"/>
    <m/>
    <d v="1899-12-30T12:33:00"/>
    <d v="1899-12-30T13:30:00"/>
    <d v="1899-12-30T15:09:00"/>
    <n v="0.94999999999999929"/>
    <n v="1.6499999999999995"/>
    <n v="2.5999999999999988"/>
    <s v="Relay with Base changed"/>
    <s v="Close"/>
    <n v="6.4999999999999974E-2"/>
    <m/>
    <n v="0"/>
    <m/>
    <m/>
    <m/>
    <n v="0"/>
    <m/>
    <m/>
    <m/>
    <m/>
  </r>
  <r>
    <n v="56"/>
    <x v="4"/>
    <x v="0"/>
    <x v="0"/>
    <x v="0"/>
    <x v="0"/>
    <x v="24"/>
    <s v="PWEGPL"/>
    <s v="MSEDCL"/>
    <n v="2.5000000000000001E-2"/>
    <s v="CE100001"/>
    <x v="44"/>
    <m/>
    <d v="1899-12-30T12:18:00"/>
    <d v="1899-12-30T12:18:00"/>
    <d v="1899-12-30T13:01:00"/>
    <n v="0"/>
    <n v="0.71666666666666679"/>
    <n v="0.71666666666666679"/>
    <s v="TPI Inspection"/>
    <s v="Close"/>
    <n v="1.7916666666666671E-2"/>
    <m/>
    <n v="0"/>
    <m/>
    <m/>
    <m/>
    <n v="0"/>
    <m/>
    <m/>
    <m/>
    <m/>
  </r>
  <r>
    <n v="57"/>
    <x v="4"/>
    <x v="0"/>
    <x v="0"/>
    <x v="0"/>
    <x v="0"/>
    <x v="37"/>
    <s v="PWEGPL"/>
    <s v="MSEDCL"/>
    <n v="2.5000000000000001E-2"/>
    <n v="552"/>
    <x v="45"/>
    <m/>
    <d v="1899-12-30T18:30:00"/>
    <d v="1899-12-30T18:45:00"/>
    <d v="1899-12-30T19:04:00"/>
    <n v="0.24999999999999911"/>
    <n v="0.31666666666666554"/>
    <n v="0.56666666666666465"/>
    <s v="Reboot SW"/>
    <s v="Close"/>
    <n v="1.4166666666666617E-2"/>
    <m/>
    <n v="0"/>
    <m/>
    <m/>
    <m/>
    <n v="0"/>
    <m/>
    <m/>
    <m/>
    <m/>
  </r>
  <r>
    <n v="58"/>
    <x v="4"/>
    <x v="0"/>
    <x v="0"/>
    <x v="0"/>
    <x v="0"/>
    <x v="33"/>
    <s v="PWEGPL"/>
    <s v="MSEDCL"/>
    <n v="2.5000000000000001E-2"/>
    <s v="CE100001"/>
    <x v="46"/>
    <m/>
    <d v="1899-12-30T12:02:00"/>
    <d v="1899-12-30T12:02:00"/>
    <d v="1899-12-30T12:31:00"/>
    <n v="0"/>
    <n v="0.48333333333333428"/>
    <n v="0.48333333333333428"/>
    <s v="TPI Inspection"/>
    <s v="Close"/>
    <n v="1.2083333333333357E-2"/>
    <m/>
    <n v="0"/>
    <m/>
    <m/>
    <m/>
    <n v="0"/>
    <m/>
    <m/>
    <m/>
    <m/>
  </r>
  <r>
    <n v="59"/>
    <x v="4"/>
    <x v="0"/>
    <x v="0"/>
    <x v="0"/>
    <x v="0"/>
    <x v="34"/>
    <s v="PWEGPL"/>
    <s v="MSEDCL"/>
    <n v="2.5000000000000001E-2"/>
    <s v="CE100001"/>
    <x v="47"/>
    <m/>
    <d v="1899-12-30T11:27:00"/>
    <d v="1899-12-30T11:27:00"/>
    <d v="1899-12-30T12:17:00"/>
    <n v="0"/>
    <n v="0.83333333333333304"/>
    <n v="0.83333333333333304"/>
    <s v="TPI Inspection"/>
    <s v="Close"/>
    <n v="2.0833333333333329E-2"/>
    <m/>
    <n v="0"/>
    <m/>
    <m/>
    <m/>
    <n v="0"/>
    <m/>
    <m/>
    <m/>
    <m/>
  </r>
  <r>
    <n v="60"/>
    <x v="4"/>
    <x v="0"/>
    <x v="0"/>
    <x v="0"/>
    <x v="0"/>
    <x v="1"/>
    <s v="PWEGPL"/>
    <s v="MSEDCL"/>
    <n v="2.5000000000000001E-2"/>
    <s v="CE100001"/>
    <x v="48"/>
    <m/>
    <d v="1899-12-30T10:58:00"/>
    <d v="1899-12-30T10:58:00"/>
    <d v="1899-12-30T11:44:00"/>
    <n v="0"/>
    <n v="0.76666666666666661"/>
    <n v="0.76666666666666661"/>
    <s v="TPI Inspection"/>
    <s v="Close"/>
    <n v="1.9166666666666665E-2"/>
    <m/>
    <n v="0"/>
    <m/>
    <m/>
    <m/>
    <n v="0"/>
    <m/>
    <m/>
    <m/>
    <m/>
  </r>
  <r>
    <n v="61"/>
    <x v="4"/>
    <x v="0"/>
    <x v="0"/>
    <x v="0"/>
    <x v="0"/>
    <x v="35"/>
    <s v="PWEGPL"/>
    <s v="MSEDCL"/>
    <n v="2.5000000000000001E-2"/>
    <s v="CE100001"/>
    <x v="49"/>
    <m/>
    <d v="1899-12-30T13:14:00"/>
    <d v="1899-12-30T13:14:00"/>
    <d v="1899-12-30T13:59:00"/>
    <n v="0"/>
    <n v="0.75"/>
    <n v="0.75"/>
    <s v="TPI Inspection"/>
    <s v="Close"/>
    <n v="1.8750000000000003E-2"/>
    <m/>
    <n v="0"/>
    <m/>
    <m/>
    <m/>
    <n v="0"/>
    <m/>
    <m/>
    <m/>
    <m/>
  </r>
  <r>
    <n v="62"/>
    <x v="4"/>
    <x v="0"/>
    <x v="0"/>
    <x v="0"/>
    <x v="0"/>
    <x v="36"/>
    <s v="PWEGPL"/>
    <s v="MSEDCL"/>
    <n v="2.5000000000000001E-2"/>
    <s v="CE100001"/>
    <x v="50"/>
    <m/>
    <d v="1899-12-30T14:44:00"/>
    <d v="1899-12-30T14:44:00"/>
    <d v="1899-12-30T15:28:00"/>
    <n v="0"/>
    <n v="0.73333333333333606"/>
    <n v="0.73333333333333606"/>
    <s v="TPI Inspection"/>
    <s v="Close"/>
    <n v="1.8333333333333403E-2"/>
    <m/>
    <n v="0"/>
    <m/>
    <m/>
    <m/>
    <n v="0"/>
    <m/>
    <m/>
    <m/>
    <m/>
  </r>
  <r>
    <n v="63"/>
    <x v="4"/>
    <x v="0"/>
    <x v="0"/>
    <x v="0"/>
    <x v="0"/>
    <x v="8"/>
    <s v="PWEGPL"/>
    <s v="MSEDCL"/>
    <n v="2.5000000000000001E-2"/>
    <s v="CE100001"/>
    <x v="51"/>
    <m/>
    <d v="1899-12-30T15:12:00"/>
    <d v="1899-12-30T15:12:00"/>
    <d v="1899-12-30T16:14:00"/>
    <n v="0"/>
    <n v="1.033333333333335"/>
    <n v="1.033333333333335"/>
    <s v="TPI Inspection"/>
    <s v="Close"/>
    <n v="2.5833333333333375E-2"/>
    <m/>
    <n v="0"/>
    <m/>
    <m/>
    <m/>
    <n v="0"/>
    <m/>
    <m/>
    <m/>
    <m/>
  </r>
  <r>
    <n v="64"/>
    <x v="5"/>
    <x v="0"/>
    <x v="0"/>
    <x v="0"/>
    <x v="0"/>
    <x v="17"/>
    <s v="PWEGPL"/>
    <s v="MSEDCL"/>
    <n v="2.5000000000000001E-2"/>
    <n v="5201"/>
    <x v="52"/>
    <m/>
    <d v="1899-12-30T12:46:00"/>
    <d v="1899-12-30T12:48:00"/>
    <d v="1899-12-30T12:52:00"/>
    <n v="3.3333333333333215E-2"/>
    <n v="6.666666666666643E-2"/>
    <n v="9.9999999999999645E-2"/>
    <s v="Error reset"/>
    <s v="Close"/>
    <n v="2.4999999999999914E-3"/>
    <m/>
    <n v="0"/>
    <m/>
    <m/>
    <m/>
    <n v="0"/>
    <m/>
    <m/>
    <m/>
    <m/>
  </r>
  <r>
    <n v="65"/>
    <x v="6"/>
    <x v="0"/>
    <x v="0"/>
    <x v="0"/>
    <x v="0"/>
    <x v="27"/>
    <s v="PWEGPL"/>
    <s v="MSEDCL"/>
    <n v="2.5000000000000001E-2"/>
    <n v="5200"/>
    <x v="53"/>
    <m/>
    <d v="1899-12-30T19:40:00"/>
    <d v="1899-12-30T22:59:00"/>
    <d v="1899-12-30T23:09:00"/>
    <n v="3.3166666666666655"/>
    <n v="0.16666666666666341"/>
    <n v="3.483333333333329"/>
    <s v="Local reset Delay due to ROW"/>
    <s v="Close"/>
    <n v="8.7083333333333235E-2"/>
    <m/>
    <n v="0"/>
    <m/>
    <m/>
    <m/>
    <n v="0"/>
    <m/>
    <m/>
    <m/>
    <m/>
  </r>
  <r>
    <n v="66"/>
    <x v="6"/>
    <x v="0"/>
    <x v="0"/>
    <x v="0"/>
    <x v="0"/>
    <x v="33"/>
    <s v="PWEGPL"/>
    <s v="MSEDCL"/>
    <n v="2.5000000000000001E-2"/>
    <n v="5203"/>
    <x v="54"/>
    <m/>
    <d v="1899-12-30T00:48:00"/>
    <d v="1899-12-30T01:18:00"/>
    <d v="1899-12-30T02:05:00"/>
    <n v="0.5"/>
    <n v="0.78333333333333355"/>
    <n v="1.2833333333333337"/>
    <s v="Inspection"/>
    <s v="Close"/>
    <n v="3.2083333333333346E-2"/>
    <m/>
    <n v="0"/>
    <m/>
    <m/>
    <m/>
    <n v="0"/>
    <m/>
    <m/>
    <m/>
    <m/>
  </r>
  <r>
    <n v="67"/>
    <x v="6"/>
    <x v="0"/>
    <x v="0"/>
    <x v="0"/>
    <x v="0"/>
    <x v="1"/>
    <s v="PWEGPL"/>
    <s v="MSEDCL"/>
    <n v="2.5000000000000001E-2"/>
    <n v="205"/>
    <x v="55"/>
    <m/>
    <d v="1899-12-30T00:59:00"/>
    <d v="1899-12-30T02:59:00"/>
    <d v="1899-12-30T17:29:00"/>
    <n v="2"/>
    <n v="14.500000000000002"/>
    <n v="16.500000000000004"/>
    <s v="Yaw caliper oil seal replace"/>
    <s v="Close"/>
    <n v="0.41250000000000009"/>
    <m/>
    <n v="0"/>
    <m/>
    <m/>
    <m/>
    <n v="0"/>
    <m/>
    <m/>
    <m/>
    <m/>
  </r>
  <r>
    <n v="68"/>
    <x v="6"/>
    <x v="0"/>
    <x v="0"/>
    <x v="0"/>
    <x v="0"/>
    <x v="3"/>
    <s v="PWEGPL"/>
    <s v="MSEDCL"/>
    <n v="2.5000000000000001E-2"/>
    <n v="5200"/>
    <x v="56"/>
    <m/>
    <d v="1899-12-30T15:34:00"/>
    <d v="1899-12-30T16:55:00"/>
    <d v="1899-12-30T22:23:00"/>
    <n v="1.3500000000000005"/>
    <n v="5.4666666666666659"/>
    <n v="6.8166666666666664"/>
    <s v="Attend and found MPCB trip so stand it."/>
    <s v="Close"/>
    <n v="0.17041666666666666"/>
    <m/>
    <n v="0"/>
    <m/>
    <m/>
    <m/>
    <n v="0"/>
    <m/>
    <m/>
    <m/>
    <m/>
  </r>
  <r>
    <n v="69"/>
    <x v="7"/>
    <x v="0"/>
    <x v="0"/>
    <x v="0"/>
    <x v="0"/>
    <x v="21"/>
    <s v="PWEGPL"/>
    <s v="MSEDCL"/>
    <n v="2.5000000000000001E-2"/>
    <n v="110"/>
    <x v="57"/>
    <m/>
    <d v="1899-12-30T00:27:00"/>
    <d v="1899-12-30T02:44:00"/>
    <d v="1899-12-30T03:22:00"/>
    <n v="2.2833333333333332"/>
    <n v="0.63333333333333341"/>
    <n v="2.9166666666666665"/>
    <s v="Remove cable twist ."/>
    <s v="Close"/>
    <n v="7.2916666666666671E-2"/>
    <m/>
    <n v="0"/>
    <m/>
    <m/>
    <m/>
    <n v="0"/>
    <m/>
    <m/>
    <m/>
    <m/>
  </r>
  <r>
    <n v="70"/>
    <x v="7"/>
    <x v="0"/>
    <x v="0"/>
    <x v="0"/>
    <x v="0"/>
    <x v="17"/>
    <s v="PWEGPL"/>
    <s v="MSEDCL"/>
    <n v="2.5000000000000001E-2"/>
    <n v="800"/>
    <x v="58"/>
    <m/>
    <d v="1899-12-30T12:10:00"/>
    <d v="1899-12-30T12:41:00"/>
    <d v="1899-12-30T13:51:00"/>
    <n v="0.5166666666666675"/>
    <n v="1.1666666666666652"/>
    <n v="1.6833333333333327"/>
    <s v="Troble shooting work WIP"/>
    <s v="Close"/>
    <n v="4.208333333333332E-2"/>
    <m/>
    <n v="0"/>
    <m/>
    <m/>
    <m/>
    <n v="0"/>
    <m/>
    <m/>
    <m/>
    <m/>
  </r>
  <r>
    <n v="71"/>
    <x v="7"/>
    <x v="0"/>
    <x v="0"/>
    <x v="0"/>
    <x v="0"/>
    <x v="38"/>
    <s v="PWEGPL"/>
    <s v="MSEDCL"/>
    <n v="2.5000000000000001E-2"/>
    <n v="205"/>
    <x v="59"/>
    <m/>
    <d v="1899-12-30T05:23:00"/>
    <d v="1899-12-30T07:23:00"/>
    <d v="1899-12-30T07:46:00"/>
    <n v="2"/>
    <n v="0.3833333333333333"/>
    <n v="2.3833333333333337"/>
    <s v="Oil Topup"/>
    <s v="Close"/>
    <n v="5.9583333333333349E-2"/>
    <m/>
    <n v="0"/>
    <m/>
    <m/>
    <m/>
    <n v="0"/>
    <m/>
    <m/>
    <m/>
    <m/>
  </r>
  <r>
    <n v="72"/>
    <x v="7"/>
    <x v="0"/>
    <x v="0"/>
    <x v="0"/>
    <x v="0"/>
    <x v="8"/>
    <s v="PWEGPL"/>
    <s v="MSEDCL"/>
    <n v="2.5000000000000001E-2"/>
    <s v="CE100001"/>
    <x v="60"/>
    <m/>
    <d v="1899-12-30T10:25:00"/>
    <d v="1899-12-30T10:25:00"/>
    <d v="1899-12-30T18:05:00"/>
    <n v="0"/>
    <n v="7.6666666666666679"/>
    <n v="7.6666666666666679"/>
    <s v="pitch cylinder oil seal replace"/>
    <s v="Close"/>
    <n v="0.19166666666666671"/>
    <m/>
    <n v="0"/>
    <m/>
    <m/>
    <m/>
    <n v="0"/>
    <m/>
    <m/>
    <m/>
    <m/>
  </r>
  <r>
    <n v="73"/>
    <x v="7"/>
    <x v="0"/>
    <x v="0"/>
    <x v="0"/>
    <x v="0"/>
    <x v="9"/>
    <s v="PWEGPL"/>
    <s v="MSEDCL"/>
    <n v="2.5000000000000001E-2"/>
    <n v="205"/>
    <x v="61"/>
    <m/>
    <d v="1899-12-30T00:00:00"/>
    <d v="1899-12-30T00:50:00"/>
    <d v="1899-12-30T01:35:00"/>
    <n v="0.83333333333333337"/>
    <n v="0.75"/>
    <n v="1.5833333333333335"/>
    <s v="Oil Topup"/>
    <s v="Close"/>
    <n v="3.9583333333333338E-2"/>
    <m/>
    <n v="0"/>
    <m/>
    <m/>
    <m/>
    <n v="0"/>
    <m/>
    <m/>
    <m/>
    <m/>
  </r>
  <r>
    <n v="74"/>
    <x v="7"/>
    <x v="0"/>
    <x v="0"/>
    <x v="0"/>
    <x v="0"/>
    <x v="10"/>
    <s v="PWEGPL"/>
    <s v="MSEDCL"/>
    <n v="2.5000000000000001E-2"/>
    <n v="110"/>
    <x v="62"/>
    <m/>
    <d v="1899-12-30T03:22:00"/>
    <d v="1899-12-30T05:52:00"/>
    <d v="1899-12-30T06:23:00"/>
    <n v="2.5000000000000004"/>
    <n v="0.51666666666666616"/>
    <n v="3.0166666666666666"/>
    <s v="Remove cable twist ."/>
    <s v="Close"/>
    <n v="7.5416666666666674E-2"/>
    <m/>
    <n v="0"/>
    <m/>
    <m/>
    <m/>
    <n v="0"/>
    <m/>
    <m/>
    <m/>
    <m/>
  </r>
  <r>
    <n v="75"/>
    <x v="7"/>
    <x v="0"/>
    <x v="0"/>
    <x v="0"/>
    <x v="0"/>
    <x v="14"/>
    <s v="PWEGPL"/>
    <s v="MSEDCL"/>
    <n v="2.5000000000000001E-2"/>
    <n v="110"/>
    <x v="63"/>
    <m/>
    <d v="1899-12-30T02:47:00"/>
    <d v="1899-12-30T05:09:00"/>
    <d v="1899-12-30T05:42:00"/>
    <n v="2.3666666666666671"/>
    <n v="0.55000000000000004"/>
    <n v="2.9166666666666674"/>
    <s v="Remove cable twist ."/>
    <s v="Close"/>
    <n v="7.2916666666666685E-2"/>
    <m/>
    <n v="0"/>
    <m/>
    <m/>
    <m/>
    <n v="0"/>
    <m/>
    <m/>
    <m/>
    <m/>
  </r>
  <r>
    <n v="76"/>
    <x v="7"/>
    <x v="0"/>
    <x v="0"/>
    <x v="0"/>
    <x v="0"/>
    <x v="5"/>
    <s v="PWEGPL"/>
    <s v="MSEDCL"/>
    <n v="2.5000000000000001E-2"/>
    <n v="5202"/>
    <x v="64"/>
    <m/>
    <d v="1899-12-30T18:54:00"/>
    <d v="1899-12-30T23:45:00"/>
    <d v="1899-12-30T23:59:00"/>
    <n v="4.8500000000000014"/>
    <n v="0.2333333333333325"/>
    <n v="5.0833333333333339"/>
    <s v="Ingetean panel relay failure so replaced it with new one."/>
    <s v="Close"/>
    <n v="0.12708333333333335"/>
    <m/>
    <n v="0"/>
    <m/>
    <m/>
    <m/>
    <n v="0"/>
    <m/>
    <m/>
    <m/>
    <m/>
  </r>
  <r>
    <n v="77"/>
    <x v="8"/>
    <x v="0"/>
    <x v="0"/>
    <x v="0"/>
    <x v="0"/>
    <x v="17"/>
    <s v="PWEGPL"/>
    <s v="MSEDCL"/>
    <n v="2.5000000000000001E-2"/>
    <n v="800"/>
    <x v="65"/>
    <m/>
    <d v="1899-12-30T12:52:00"/>
    <d v="1899-12-30T13:58:00"/>
    <d v="1899-12-30T16:07:00"/>
    <n v="1.1000000000000014"/>
    <n v="2.1500000000000004"/>
    <n v="3.2500000000000018"/>
    <s v="Troble shooting work WIP"/>
    <s v="Close"/>
    <n v="8.1250000000000044E-2"/>
    <m/>
    <n v="0"/>
    <m/>
    <m/>
    <m/>
    <n v="0"/>
    <m/>
    <m/>
    <m/>
    <m/>
  </r>
  <r>
    <n v="78"/>
    <x v="8"/>
    <x v="0"/>
    <x v="0"/>
    <x v="0"/>
    <x v="0"/>
    <x v="8"/>
    <s v="PWEGPL"/>
    <s v="MSEDCL"/>
    <n v="2.5000000000000001E-2"/>
    <s v="CE100001"/>
    <x v="66"/>
    <m/>
    <d v="1899-12-30T11:09:00"/>
    <d v="1899-12-30T11:09:00"/>
    <d v="1899-12-30T16:49:00"/>
    <n v="0"/>
    <n v="5.6666666666666652"/>
    <n v="5.6666666666666652"/>
    <s v="Yaw caliper oil seal replace"/>
    <s v="Close"/>
    <n v="0.14166666666666664"/>
    <m/>
    <n v="0"/>
    <m/>
    <m/>
    <m/>
    <n v="0"/>
    <m/>
    <m/>
    <m/>
    <m/>
  </r>
  <r>
    <n v="79"/>
    <x v="8"/>
    <x v="0"/>
    <x v="0"/>
    <x v="0"/>
    <x v="0"/>
    <x v="10"/>
    <s v="PWEGPL"/>
    <s v="MSEDCL"/>
    <n v="2.5000000000000001E-2"/>
    <n v="1819"/>
    <x v="67"/>
    <m/>
    <d v="1899-12-30T16:07:00"/>
    <d v="1899-12-30T17:47:00"/>
    <d v="1899-12-30T18:12:00"/>
    <n v="1.6666666666666661"/>
    <n v="0.41666666666666519"/>
    <n v="2.0833333333333313"/>
    <s v="Reboot &amp; local reset"/>
    <s v="Close"/>
    <n v="5.2083333333333287E-2"/>
    <m/>
    <n v="0"/>
    <m/>
    <m/>
    <m/>
    <n v="0"/>
    <m/>
    <m/>
    <m/>
    <m/>
  </r>
  <r>
    <n v="80"/>
    <x v="8"/>
    <x v="0"/>
    <x v="0"/>
    <x v="0"/>
    <x v="0"/>
    <x v="15"/>
    <s v="PWEGPL"/>
    <s v="MSEDCL"/>
    <n v="2.5000000000000001E-2"/>
    <n v="800"/>
    <x v="68"/>
    <m/>
    <d v="1899-12-30T14:07:00"/>
    <d v="1899-12-30T15:08:00"/>
    <d v="1899-12-30T16:14:00"/>
    <n v="1.0166666666666657"/>
    <n v="1.1000000000000014"/>
    <n v="2.1166666666666671"/>
    <s v="Proportional valve connector tighten"/>
    <s v="Close"/>
    <n v="5.2916666666666681E-2"/>
    <m/>
    <n v="0"/>
    <m/>
    <m/>
    <m/>
    <n v="0"/>
    <m/>
    <m/>
    <m/>
    <m/>
  </r>
  <r>
    <n v="81"/>
    <x v="8"/>
    <x v="0"/>
    <x v="0"/>
    <x v="0"/>
    <x v="0"/>
    <x v="4"/>
    <s v="PWEGPL"/>
    <s v="MSEDCL"/>
    <n v="2.5000000000000001E-2"/>
    <n v="205"/>
    <x v="69"/>
    <m/>
    <d v="1899-12-30T00:00:00"/>
    <d v="1899-12-30T00:24:00"/>
    <d v="1899-12-30T00:43:00"/>
    <n v="0.4"/>
    <n v="0.31666666666666671"/>
    <n v="0.71666666666666667"/>
    <s v="Oil Topup"/>
    <s v="Close"/>
    <n v="1.7916666666666668E-2"/>
    <m/>
    <n v="0"/>
    <m/>
    <m/>
    <m/>
    <n v="0"/>
    <m/>
    <m/>
    <m/>
    <m/>
  </r>
  <r>
    <n v="82"/>
    <x v="9"/>
    <x v="0"/>
    <x v="0"/>
    <x v="0"/>
    <x v="0"/>
    <x v="15"/>
    <s v="PWEGPL"/>
    <s v="MSEDCL"/>
    <n v="2.5000000000000001E-2"/>
    <n v="800"/>
    <x v="70"/>
    <m/>
    <d v="1899-12-30T14:55:00"/>
    <d v="1899-12-30T15:51:00"/>
    <d v="1899-12-30T16:48:00"/>
    <n v="0.93333333333333268"/>
    <n v="0.95000000000000195"/>
    <n v="1.8833333333333346"/>
    <s v="Reboot and reset"/>
    <s v="Close"/>
    <n v="4.7083333333333366E-2"/>
    <m/>
    <n v="0"/>
    <m/>
    <m/>
    <m/>
    <n v="0"/>
    <m/>
    <m/>
    <m/>
    <m/>
  </r>
  <r>
    <n v="83"/>
    <x v="9"/>
    <x v="0"/>
    <x v="0"/>
    <x v="0"/>
    <x v="0"/>
    <x v="10"/>
    <s v="PWEGPL"/>
    <s v="MSEDCL"/>
    <n v="2.5000000000000001E-2"/>
    <n v="1819"/>
    <x v="71"/>
    <m/>
    <d v="1899-12-30T18:14:00"/>
    <d v="1899-12-30T19:02:00"/>
    <d v="1899-12-30T19:27:00"/>
    <n v="0.79999999999999982"/>
    <n v="0.41666666666666519"/>
    <n v="1.216666666666665"/>
    <s v="Reboot and reset"/>
    <s v="Close"/>
    <n v="3.0416666666666627E-2"/>
    <m/>
    <n v="0"/>
    <m/>
    <m/>
    <m/>
    <n v="0"/>
    <m/>
    <m/>
    <m/>
    <m/>
  </r>
  <r>
    <n v="84"/>
    <x v="9"/>
    <x v="0"/>
    <x v="0"/>
    <x v="0"/>
    <x v="0"/>
    <x v="8"/>
    <s v="PWEGPL"/>
    <s v="MSEDCL"/>
    <n v="2.5000000000000001E-2"/>
    <n v="205"/>
    <x v="72"/>
    <m/>
    <d v="1899-12-30T22:45:00"/>
    <d v="1899-12-30T23:59:00"/>
    <d v="1899-12-30T23:59:00"/>
    <n v="1.2333333333333343"/>
    <n v="0"/>
    <n v="1.2333333333333343"/>
    <s v="Yaw caliper failuer - WIP"/>
    <s v="Open"/>
    <n v="3.0833333333333358E-2"/>
    <m/>
    <n v="0"/>
    <m/>
    <m/>
    <m/>
    <n v="0"/>
    <m/>
    <m/>
    <m/>
    <m/>
  </r>
  <r>
    <n v="85"/>
    <x v="9"/>
    <x v="0"/>
    <x v="0"/>
    <x v="0"/>
    <x v="0"/>
    <x v="17"/>
    <s v="PWEGPL"/>
    <s v="MSEDCL"/>
    <n v="2.5000000000000001E-2"/>
    <n v="800"/>
    <x v="73"/>
    <m/>
    <d v="1899-12-30T10:17:00"/>
    <d v="1899-12-30T11:29:00"/>
    <d v="1899-12-30T16:41:00"/>
    <n v="1.1999999999999997"/>
    <n v="5.2"/>
    <n v="6.4"/>
    <s v="Proportional valve connector tighten"/>
    <s v="Close"/>
    <n v="0.16000000000000003"/>
    <m/>
    <n v="0"/>
    <m/>
    <m/>
    <m/>
    <n v="0"/>
    <m/>
    <m/>
    <m/>
    <m/>
  </r>
  <r>
    <n v="86"/>
    <x v="10"/>
    <x v="0"/>
    <x v="0"/>
    <x v="0"/>
    <x v="0"/>
    <x v="24"/>
    <s v="PWEGPL"/>
    <s v="MSEDCL"/>
    <n v="2.5000000000000001E-2"/>
    <n v="5216"/>
    <x v="74"/>
    <m/>
    <d v="1899-12-30T08:29:00"/>
    <d v="1899-12-30T08:29:00"/>
    <d v="1899-12-30T08:32:00"/>
    <n v="0"/>
    <n v="5.0000000000001155E-2"/>
    <n v="5.0000000000001155E-2"/>
    <s v="External Grid Failure"/>
    <s v="Close"/>
    <n v="1.2500000000000289E-3"/>
    <m/>
    <n v="0"/>
    <m/>
    <m/>
    <m/>
    <n v="0"/>
    <m/>
    <m/>
    <m/>
    <m/>
  </r>
  <r>
    <n v="87"/>
    <x v="10"/>
    <x v="0"/>
    <x v="0"/>
    <x v="0"/>
    <x v="0"/>
    <x v="33"/>
    <s v="PWEGPL"/>
    <s v="MSEDCL"/>
    <n v="2.5000000000000001E-2"/>
    <n v="5216"/>
    <x v="74"/>
    <m/>
    <d v="1899-12-30T08:29:00"/>
    <d v="1899-12-30T08:29:00"/>
    <d v="1899-12-30T08:32:00"/>
    <n v="0"/>
    <n v="5.0000000000001155E-2"/>
    <n v="5.0000000000001155E-2"/>
    <s v="External Grid Failure"/>
    <s v="Close"/>
    <n v="1.2500000000000289E-3"/>
    <m/>
    <n v="0"/>
    <m/>
    <m/>
    <m/>
    <n v="0"/>
    <m/>
    <m/>
    <m/>
    <m/>
  </r>
  <r>
    <n v="88"/>
    <x v="10"/>
    <x v="0"/>
    <x v="0"/>
    <x v="0"/>
    <x v="0"/>
    <x v="34"/>
    <s v="PWEGPL"/>
    <s v="MSEDCL"/>
    <n v="2.5000000000000001E-2"/>
    <n v="5216"/>
    <x v="74"/>
    <m/>
    <d v="1899-12-30T08:29:00"/>
    <d v="1899-12-30T08:29:00"/>
    <d v="1899-12-30T08:32:00"/>
    <n v="0"/>
    <n v="5.0000000000001155E-2"/>
    <n v="5.0000000000001155E-2"/>
    <s v="External Grid Failure"/>
    <s v="Close"/>
    <n v="1.2500000000000289E-3"/>
    <m/>
    <n v="0"/>
    <m/>
    <m/>
    <m/>
    <n v="0"/>
    <m/>
    <m/>
    <m/>
    <m/>
  </r>
  <r>
    <n v="89"/>
    <x v="10"/>
    <x v="0"/>
    <x v="0"/>
    <x v="0"/>
    <x v="0"/>
    <x v="1"/>
    <s v="PWEGPL"/>
    <s v="MSEDCL"/>
    <n v="2.5000000000000001E-2"/>
    <n v="5216"/>
    <x v="74"/>
    <m/>
    <d v="1899-12-30T08:29:00"/>
    <d v="1899-12-30T08:29:00"/>
    <d v="1899-12-30T08:32:00"/>
    <n v="0"/>
    <n v="5.0000000000001155E-2"/>
    <n v="5.0000000000001155E-2"/>
    <s v="External Grid Failure"/>
    <s v="Close"/>
    <n v="1.2500000000000289E-3"/>
    <m/>
    <n v="0"/>
    <m/>
    <m/>
    <m/>
    <n v="0"/>
    <m/>
    <m/>
    <m/>
    <m/>
  </r>
  <r>
    <n v="90"/>
    <x v="10"/>
    <x v="0"/>
    <x v="0"/>
    <x v="0"/>
    <x v="0"/>
    <x v="35"/>
    <s v="PWEGPL"/>
    <s v="MSEDCL"/>
    <n v="2.5000000000000001E-2"/>
    <n v="5216"/>
    <x v="74"/>
    <m/>
    <d v="1899-12-30T08:29:00"/>
    <d v="1899-12-30T08:29:00"/>
    <d v="1899-12-30T08:32:00"/>
    <n v="0"/>
    <n v="5.0000000000001155E-2"/>
    <n v="5.0000000000001155E-2"/>
    <s v="External Grid Failure"/>
    <s v="Close"/>
    <n v="1.2500000000000289E-3"/>
    <m/>
    <n v="0"/>
    <m/>
    <m/>
    <m/>
    <n v="0"/>
    <m/>
    <m/>
    <m/>
    <m/>
  </r>
  <r>
    <n v="91"/>
    <x v="10"/>
    <x v="0"/>
    <x v="0"/>
    <x v="0"/>
    <x v="0"/>
    <x v="36"/>
    <s v="PWEGPL"/>
    <s v="MSEDCL"/>
    <n v="2.5000000000000001E-2"/>
    <n v="5216"/>
    <x v="74"/>
    <m/>
    <d v="1899-12-30T08:29:00"/>
    <d v="1899-12-30T08:29:00"/>
    <d v="1899-12-30T08:32:00"/>
    <n v="0"/>
    <n v="5.0000000000001155E-2"/>
    <n v="5.0000000000001155E-2"/>
    <s v="External Grid Failure"/>
    <s v="Close"/>
    <n v="1.2500000000000289E-3"/>
    <m/>
    <n v="0"/>
    <m/>
    <m/>
    <m/>
    <n v="0"/>
    <m/>
    <m/>
    <m/>
    <m/>
  </r>
  <r>
    <n v="92"/>
    <x v="10"/>
    <x v="0"/>
    <x v="0"/>
    <x v="0"/>
    <x v="0"/>
    <x v="8"/>
    <s v="PWEGPL"/>
    <s v="MSEDCL"/>
    <n v="2.5000000000000001E-2"/>
    <n v="5216"/>
    <x v="74"/>
    <m/>
    <d v="1899-12-30T08:29:00"/>
    <d v="1899-12-30T08:29:00"/>
    <d v="1899-12-30T08:32:00"/>
    <n v="0"/>
    <n v="5.0000000000001155E-2"/>
    <n v="5.0000000000001155E-2"/>
    <s v="External Grid Failure"/>
    <s v="Close"/>
    <n v="1.2500000000000289E-3"/>
    <m/>
    <n v="0"/>
    <m/>
    <m/>
    <m/>
    <n v="0"/>
    <m/>
    <m/>
    <m/>
    <m/>
  </r>
  <r>
    <n v="93"/>
    <x v="10"/>
    <x v="0"/>
    <x v="0"/>
    <x v="0"/>
    <x v="0"/>
    <x v="9"/>
    <s v="PWEGPL"/>
    <s v="MSEDCL"/>
    <n v="2.5000000000000001E-2"/>
    <n v="5216"/>
    <x v="74"/>
    <m/>
    <d v="1899-12-30T08:29:00"/>
    <d v="1899-12-30T08:29:00"/>
    <d v="1899-12-30T08:32:00"/>
    <n v="0"/>
    <n v="5.0000000000001155E-2"/>
    <n v="5.0000000000001155E-2"/>
    <s v="External Grid Failure"/>
    <s v="Close"/>
    <n v="1.2500000000000289E-3"/>
    <m/>
    <n v="0"/>
    <m/>
    <m/>
    <m/>
    <n v="0"/>
    <m/>
    <m/>
    <m/>
    <m/>
  </r>
  <r>
    <n v="94"/>
    <x v="10"/>
    <x v="0"/>
    <x v="0"/>
    <x v="0"/>
    <x v="0"/>
    <x v="10"/>
    <s v="PWEGPL"/>
    <s v="MSEDCL"/>
    <n v="2.5000000000000001E-2"/>
    <n v="5216"/>
    <x v="74"/>
    <m/>
    <d v="1899-12-30T08:29:00"/>
    <d v="1899-12-30T08:29:00"/>
    <d v="1899-12-30T08:32:00"/>
    <n v="0"/>
    <n v="5.0000000000001155E-2"/>
    <n v="5.0000000000001155E-2"/>
    <s v="External Grid Failure"/>
    <s v="Close"/>
    <n v="1.2500000000000289E-3"/>
    <m/>
    <n v="0"/>
    <m/>
    <m/>
    <m/>
    <n v="0"/>
    <m/>
    <m/>
    <m/>
    <m/>
  </r>
  <r>
    <n v="95"/>
    <x v="10"/>
    <x v="0"/>
    <x v="0"/>
    <x v="0"/>
    <x v="0"/>
    <x v="11"/>
    <s v="PWEGPL"/>
    <s v="MSEDCL"/>
    <n v="2.5000000000000001E-2"/>
    <n v="5216"/>
    <x v="74"/>
    <m/>
    <d v="1899-12-30T08:29:00"/>
    <d v="1899-12-30T08:29:00"/>
    <d v="1899-12-30T08:32:00"/>
    <n v="0"/>
    <n v="5.0000000000001155E-2"/>
    <n v="5.0000000000001155E-2"/>
    <s v="External Grid Failure"/>
    <s v="Close"/>
    <n v="1.2500000000000289E-3"/>
    <m/>
    <n v="0"/>
    <m/>
    <m/>
    <m/>
    <n v="0"/>
    <m/>
    <m/>
    <m/>
    <m/>
  </r>
  <r>
    <n v="96"/>
    <x v="10"/>
    <x v="0"/>
    <x v="0"/>
    <x v="0"/>
    <x v="0"/>
    <x v="12"/>
    <s v="PWEGPL"/>
    <s v="MSEDCL"/>
    <n v="2.5000000000000001E-2"/>
    <n v="5216"/>
    <x v="74"/>
    <m/>
    <d v="1899-12-30T08:29:00"/>
    <d v="1899-12-30T08:29:00"/>
    <d v="1899-12-30T08:32:00"/>
    <n v="0"/>
    <n v="5.0000000000001155E-2"/>
    <n v="5.0000000000001155E-2"/>
    <s v="External Grid Failure"/>
    <s v="Close"/>
    <n v="1.2500000000000289E-3"/>
    <m/>
    <n v="0"/>
    <m/>
    <m/>
    <m/>
    <n v="0"/>
    <m/>
    <m/>
    <m/>
    <m/>
  </r>
  <r>
    <n v="97"/>
    <x v="10"/>
    <x v="0"/>
    <x v="0"/>
    <x v="0"/>
    <x v="0"/>
    <x v="2"/>
    <s v="PWEGPL"/>
    <s v="MSEDCL"/>
    <n v="2.5000000000000001E-2"/>
    <n v="5216"/>
    <x v="75"/>
    <m/>
    <d v="1899-12-30T00:26:00"/>
    <d v="1899-12-30T00:26:00"/>
    <d v="1899-12-30T00:27:00"/>
    <n v="0"/>
    <n v="1.6666666666666607E-2"/>
    <n v="1.6666666666666607E-2"/>
    <s v="External Grid Failure"/>
    <s v="Close"/>
    <n v="4.1666666666666523E-4"/>
    <m/>
    <n v="0"/>
    <m/>
    <m/>
    <m/>
    <n v="0"/>
    <m/>
    <m/>
    <m/>
    <m/>
  </r>
  <r>
    <n v="98"/>
    <x v="10"/>
    <x v="0"/>
    <x v="0"/>
    <x v="0"/>
    <x v="0"/>
    <x v="3"/>
    <s v="PWEGPL"/>
    <s v="MSEDCL"/>
    <n v="2.5000000000000001E-2"/>
    <n v="5216"/>
    <x v="75"/>
    <m/>
    <d v="1899-12-30T00:26:00"/>
    <d v="1899-12-30T00:26:00"/>
    <d v="1899-12-30T00:27:00"/>
    <n v="0"/>
    <n v="1.6666666666666607E-2"/>
    <n v="1.6666666666666607E-2"/>
    <s v="External Grid Failure"/>
    <s v="Close"/>
    <n v="4.1666666666666523E-4"/>
    <m/>
    <n v="0"/>
    <m/>
    <m/>
    <m/>
    <n v="0"/>
    <m/>
    <m/>
    <m/>
    <m/>
  </r>
  <r>
    <n v="99"/>
    <x v="10"/>
    <x v="0"/>
    <x v="0"/>
    <x v="0"/>
    <x v="0"/>
    <x v="13"/>
    <s v="PWEGPL"/>
    <s v="MSEDCL"/>
    <n v="2.5000000000000001E-2"/>
    <n v="5216"/>
    <x v="75"/>
    <m/>
    <d v="1899-12-30T00:26:00"/>
    <d v="1899-12-30T00:26:00"/>
    <d v="1899-12-30T00:27:00"/>
    <n v="0"/>
    <n v="1.6666666666666607E-2"/>
    <n v="1.6666666666666607E-2"/>
    <s v="External Grid Failure"/>
    <s v="Close"/>
    <n v="4.1666666666666523E-4"/>
    <m/>
    <n v="0"/>
    <m/>
    <m/>
    <m/>
    <n v="0"/>
    <m/>
    <m/>
    <m/>
    <m/>
  </r>
  <r>
    <n v="100"/>
    <x v="10"/>
    <x v="0"/>
    <x v="0"/>
    <x v="0"/>
    <x v="0"/>
    <x v="14"/>
    <s v="PWEGPL"/>
    <s v="MSEDCL"/>
    <n v="2.5000000000000001E-2"/>
    <n v="5216"/>
    <x v="75"/>
    <m/>
    <d v="1899-12-30T00:26:00"/>
    <d v="1899-12-30T00:26:00"/>
    <d v="1899-12-30T00:27:00"/>
    <n v="0"/>
    <n v="1.6666666666666607E-2"/>
    <n v="1.6666666666666607E-2"/>
    <s v="External Grid Failure"/>
    <s v="Close"/>
    <n v="4.1666666666666523E-4"/>
    <m/>
    <n v="0"/>
    <m/>
    <m/>
    <m/>
    <n v="0"/>
    <m/>
    <m/>
    <m/>
    <m/>
  </r>
  <r>
    <n v="101"/>
    <x v="10"/>
    <x v="0"/>
    <x v="0"/>
    <x v="0"/>
    <x v="0"/>
    <x v="15"/>
    <s v="PWEGPL"/>
    <s v="MSEDCL"/>
    <n v="2.5000000000000001E-2"/>
    <n v="5216"/>
    <x v="75"/>
    <m/>
    <d v="1899-12-30T00:26:00"/>
    <d v="1899-12-30T00:26:00"/>
    <d v="1899-12-30T00:27:00"/>
    <n v="0"/>
    <n v="1.6666666666666607E-2"/>
    <n v="1.6666666666666607E-2"/>
    <s v="External Grid Failure"/>
    <s v="Close"/>
    <n v="4.1666666666666523E-4"/>
    <m/>
    <n v="0"/>
    <m/>
    <m/>
    <m/>
    <n v="0"/>
    <m/>
    <m/>
    <m/>
    <m/>
  </r>
  <r>
    <n v="102"/>
    <x v="10"/>
    <x v="0"/>
    <x v="0"/>
    <x v="0"/>
    <x v="0"/>
    <x v="16"/>
    <s v="PWEGPL"/>
    <s v="MSEDCL"/>
    <n v="2.5000000000000001E-2"/>
    <n v="5216"/>
    <x v="75"/>
    <m/>
    <d v="1899-12-30T00:26:00"/>
    <d v="1899-12-30T00:26:00"/>
    <d v="1899-12-30T00:27:00"/>
    <n v="0"/>
    <n v="1.6666666666666607E-2"/>
    <n v="1.6666666666666607E-2"/>
    <s v="External Grid Failure"/>
    <s v="Close"/>
    <n v="4.1666666666666523E-4"/>
    <m/>
    <n v="0"/>
    <m/>
    <m/>
    <m/>
    <n v="0"/>
    <m/>
    <m/>
    <m/>
    <m/>
  </r>
  <r>
    <n v="103"/>
    <x v="10"/>
    <x v="0"/>
    <x v="0"/>
    <x v="0"/>
    <x v="0"/>
    <x v="4"/>
    <s v="PWEGPL"/>
    <s v="MSEDCL"/>
    <n v="2.5000000000000001E-2"/>
    <n v="5216"/>
    <x v="75"/>
    <m/>
    <d v="1899-12-30T00:26:00"/>
    <d v="1899-12-30T00:26:00"/>
    <d v="1899-12-30T00:27:00"/>
    <n v="0"/>
    <n v="1.6666666666666607E-2"/>
    <n v="1.6666666666666607E-2"/>
    <s v="External Grid Failure"/>
    <s v="Close"/>
    <n v="4.1666666666666523E-4"/>
    <m/>
    <n v="0"/>
    <m/>
    <m/>
    <m/>
    <n v="0"/>
    <m/>
    <m/>
    <m/>
    <m/>
  </r>
  <r>
    <n v="104"/>
    <x v="10"/>
    <x v="0"/>
    <x v="0"/>
    <x v="0"/>
    <x v="0"/>
    <x v="5"/>
    <s v="PWEGPL"/>
    <s v="MSEDCL"/>
    <n v="2.5000000000000001E-2"/>
    <n v="5216"/>
    <x v="75"/>
    <m/>
    <d v="1899-12-30T00:26:00"/>
    <d v="1899-12-30T00:26:00"/>
    <d v="1899-12-30T00:27:00"/>
    <n v="0"/>
    <n v="1.6666666666666607E-2"/>
    <n v="1.6666666666666607E-2"/>
    <s v="External Grid Failure"/>
    <s v="Close"/>
    <n v="4.1666666666666523E-4"/>
    <m/>
    <n v="0"/>
    <m/>
    <m/>
    <m/>
    <n v="0"/>
    <m/>
    <m/>
    <m/>
    <m/>
  </r>
  <r>
    <n v="105"/>
    <x v="10"/>
    <x v="0"/>
    <x v="0"/>
    <x v="0"/>
    <x v="0"/>
    <x v="6"/>
    <s v="PWEGPL"/>
    <s v="MSEDCL"/>
    <n v="2.5000000000000001E-2"/>
    <n v="5216"/>
    <x v="75"/>
    <m/>
    <d v="1899-12-30T00:26:00"/>
    <d v="1899-12-30T00:26:00"/>
    <d v="1899-12-30T00:27:00"/>
    <n v="0"/>
    <n v="1.6666666666666607E-2"/>
    <n v="1.6666666666666607E-2"/>
    <s v="External Grid Failure"/>
    <s v="Close"/>
    <n v="4.1666666666666523E-4"/>
    <m/>
    <n v="0"/>
    <m/>
    <m/>
    <m/>
    <n v="0"/>
    <m/>
    <m/>
    <m/>
    <m/>
  </r>
  <r>
    <n v="106"/>
    <x v="10"/>
    <x v="0"/>
    <x v="0"/>
    <x v="0"/>
    <x v="0"/>
    <x v="7"/>
    <s v="PWEGPL"/>
    <s v="MSEDCL"/>
    <n v="2.5000000000000001E-2"/>
    <n v="5216"/>
    <x v="75"/>
    <m/>
    <d v="1899-12-30T00:26:00"/>
    <d v="1899-12-30T00:26:00"/>
    <d v="1899-12-30T00:27:00"/>
    <n v="0"/>
    <n v="1.6666666666666607E-2"/>
    <n v="1.6666666666666607E-2"/>
    <s v="External Grid Failure"/>
    <s v="Close"/>
    <n v="4.1666666666666523E-4"/>
    <m/>
    <n v="0"/>
    <m/>
    <m/>
    <m/>
    <n v="0"/>
    <m/>
    <m/>
    <m/>
    <m/>
  </r>
  <r>
    <n v="107"/>
    <x v="10"/>
    <x v="0"/>
    <x v="0"/>
    <x v="0"/>
    <x v="0"/>
    <x v="35"/>
    <s v="PWEGPL"/>
    <s v="MSEDCL"/>
    <n v="2.5000000000000001E-2"/>
    <n v="907"/>
    <x v="76"/>
    <m/>
    <d v="1899-12-30T08:39:00"/>
    <d v="1899-12-30T09:58:00"/>
    <d v="1899-12-30T10:22:00"/>
    <n v="1.3166666666666673"/>
    <n v="0.39999999999999991"/>
    <n v="1.7166666666666672"/>
    <s v="Local Reset"/>
    <s v="Close"/>
    <n v="4.2916666666666686E-2"/>
    <m/>
    <n v="0"/>
    <m/>
    <m/>
    <m/>
    <n v="0"/>
    <m/>
    <m/>
    <m/>
    <m/>
  </r>
  <r>
    <n v="108"/>
    <x v="10"/>
    <x v="0"/>
    <x v="0"/>
    <x v="0"/>
    <x v="0"/>
    <x v="8"/>
    <s v="PWEGPL"/>
    <s v="MSEDCL"/>
    <n v="2.5000000000000001E-2"/>
    <n v="205"/>
    <x v="77"/>
    <m/>
    <d v="1899-12-30T00:00:00"/>
    <d v="1899-12-30T00:00:00"/>
    <d v="1899-12-30T16:44:00"/>
    <n v="0"/>
    <n v="16.733333333333334"/>
    <n v="16.733333333333334"/>
    <s v="Yaw caliper oil seal replace"/>
    <s v="Close"/>
    <n v="0.41833333333333339"/>
    <m/>
    <n v="0"/>
    <m/>
    <m/>
    <m/>
    <n v="0"/>
    <m/>
    <m/>
    <m/>
    <m/>
  </r>
  <r>
    <n v="109"/>
    <x v="10"/>
    <x v="0"/>
    <x v="0"/>
    <x v="0"/>
    <x v="0"/>
    <x v="9"/>
    <s v="PWEGPL"/>
    <s v="MSEDCL"/>
    <n v="2.5000000000000001E-2"/>
    <n v="205"/>
    <x v="78"/>
    <m/>
    <d v="1899-12-30T04:36:00"/>
    <d v="1899-12-30T07:25:00"/>
    <d v="1899-12-30T08:01:00"/>
    <n v="2.8166666666666673"/>
    <n v="0.60000000000000053"/>
    <n v="3.4166666666666679"/>
    <s v="Oil Topup"/>
    <s v="Close"/>
    <n v="8.5416666666666696E-2"/>
    <m/>
    <n v="0"/>
    <m/>
    <m/>
    <m/>
    <n v="0"/>
    <m/>
    <m/>
    <m/>
    <m/>
  </r>
  <r>
    <n v="110"/>
    <x v="10"/>
    <x v="0"/>
    <x v="0"/>
    <x v="0"/>
    <x v="0"/>
    <x v="15"/>
    <s v="PWEGPL"/>
    <s v="MSEDCL"/>
    <n v="2.5000000000000001E-2"/>
    <n v="800"/>
    <x v="79"/>
    <m/>
    <d v="1899-12-30T12:19:00"/>
    <d v="1899-12-30T13:02:00"/>
    <d v="1899-12-30T18:20:00"/>
    <n v="0.71666666666666679"/>
    <n v="5.3"/>
    <n v="6.0166666666666666"/>
    <s v="Attend and found proportional valve cable loose so reconnect the connection "/>
    <s v="Close"/>
    <n v="0.15041666666666667"/>
    <m/>
    <n v="0"/>
    <m/>
    <m/>
    <m/>
    <n v="0"/>
    <m/>
    <m/>
    <m/>
    <m/>
  </r>
  <r>
    <n v="111"/>
    <x v="10"/>
    <x v="0"/>
    <x v="0"/>
    <x v="0"/>
    <x v="0"/>
    <x v="4"/>
    <s v="PWEGPL"/>
    <s v="MSEDCL"/>
    <n v="2.5000000000000001E-2"/>
    <n v="5203"/>
    <x v="80"/>
    <m/>
    <d v="1899-12-30T00:39:00"/>
    <d v="1899-12-30T03:15:00"/>
    <d v="1899-12-30T03:32:00"/>
    <n v="2.5999999999999996"/>
    <n v="0.28333333333333366"/>
    <n v="2.8833333333333333"/>
    <s v="Local Reset"/>
    <s v="Close"/>
    <n v="7.2083333333333333E-2"/>
    <m/>
    <n v="0"/>
    <m/>
    <m/>
    <m/>
    <n v="0"/>
    <m/>
    <m/>
    <m/>
    <m/>
  </r>
  <r>
    <n v="112"/>
    <x v="10"/>
    <x v="0"/>
    <x v="0"/>
    <x v="0"/>
    <x v="0"/>
    <x v="4"/>
    <s v="PWEGPL"/>
    <s v="MSEDCL"/>
    <n v="2.5000000000000001E-2"/>
    <n v="110"/>
    <x v="81"/>
    <m/>
    <d v="1899-12-30T10:43:00"/>
    <d v="1899-12-30T14:12:00"/>
    <d v="1899-12-30T14:48:00"/>
    <n v="3.4833333333333329"/>
    <n v="0.60000000000000053"/>
    <n v="4.0833333333333339"/>
    <s v="Remove the ceble twist then start the WTG."/>
    <s v="Close"/>
    <n v="0.10208333333333336"/>
    <m/>
    <n v="0"/>
    <m/>
    <m/>
    <m/>
    <n v="0"/>
    <m/>
    <m/>
    <m/>
    <m/>
  </r>
  <r>
    <n v="113"/>
    <x v="10"/>
    <x v="0"/>
    <x v="0"/>
    <x v="0"/>
    <x v="0"/>
    <x v="5"/>
    <s v="PWEGPL"/>
    <s v="MSEDCL"/>
    <n v="2.5000000000000001E-2"/>
    <n v="205"/>
    <x v="82"/>
    <m/>
    <d v="1899-12-30T10:12:00"/>
    <d v="1899-12-30T14:58:00"/>
    <d v="1899-12-30T15:16:00"/>
    <n v="4.7666666666666675"/>
    <n v="0.3000000000000016"/>
    <n v="5.0666666666666682"/>
    <s v="Oil Topup"/>
    <s v="Close"/>
    <n v="0.12666666666666671"/>
    <m/>
    <n v="0"/>
    <m/>
    <m/>
    <m/>
    <n v="0"/>
    <m/>
    <m/>
    <m/>
    <m/>
  </r>
  <r>
    <n v="114"/>
    <x v="10"/>
    <x v="0"/>
    <x v="0"/>
    <x v="0"/>
    <x v="0"/>
    <x v="13"/>
    <s v="PWEGPL"/>
    <s v="MSEDCL"/>
    <n v="2.5000000000000001E-2"/>
    <n v="5212"/>
    <x v="83"/>
    <m/>
    <d v="1899-12-30T00:26:00"/>
    <d v="1899-12-30T01:35:00"/>
    <d v="1899-12-30T12:51:00"/>
    <n v="1.1499999999999999"/>
    <n v="11.266666666666666"/>
    <n v="12.416666666666664"/>
    <s v="KC001 contactor replaced in ingetam panel"/>
    <s v="Close"/>
    <n v="0.31041666666666662"/>
    <m/>
    <n v="0"/>
    <m/>
    <m/>
    <m/>
    <n v="0"/>
    <m/>
    <m/>
    <m/>
    <m/>
  </r>
  <r>
    <n v="115"/>
    <x v="11"/>
    <x v="0"/>
    <x v="0"/>
    <x v="0"/>
    <x v="0"/>
    <x v="15"/>
    <s v="PWEGPL"/>
    <s v="MSEDCL"/>
    <n v="2.5000000000000001E-2"/>
    <n v="800"/>
    <x v="84"/>
    <m/>
    <d v="1899-12-30T12:55:00"/>
    <d v="1899-12-30T13:29:00"/>
    <d v="1899-12-30T13:35:00"/>
    <n v="0.56666666666666732"/>
    <n v="9.9999999999999645E-2"/>
    <n v="0.66666666666666696"/>
    <s v="Local Reset"/>
    <s v="Close"/>
    <n v="1.6666666666666673E-2"/>
    <m/>
    <n v="0"/>
    <m/>
    <m/>
    <m/>
    <n v="0"/>
    <m/>
    <m/>
    <m/>
    <m/>
  </r>
  <r>
    <n v="116"/>
    <x v="11"/>
    <x v="0"/>
    <x v="0"/>
    <x v="0"/>
    <x v="0"/>
    <x v="5"/>
    <s v="PWEGPL"/>
    <s v="MSEDCL"/>
    <n v="2.5000000000000001E-2"/>
    <s v="CE100001"/>
    <x v="85"/>
    <m/>
    <d v="1899-12-30T11:25:00"/>
    <d v="1899-12-30T11:25:00"/>
    <d v="1899-12-30T14:54:00"/>
    <n v="0"/>
    <n v="3.4833333333333343"/>
    <n v="3.4833333333333343"/>
    <s v="leackage arresting work"/>
    <s v="Close"/>
    <n v="8.708333333333336E-2"/>
    <m/>
    <n v="0"/>
    <m/>
    <m/>
    <m/>
    <n v="0"/>
    <m/>
    <m/>
    <m/>
    <m/>
  </r>
  <r>
    <n v="117"/>
    <x v="11"/>
    <x v="0"/>
    <x v="0"/>
    <x v="0"/>
    <x v="0"/>
    <x v="7"/>
    <s v="PWEGPL"/>
    <s v="MSEDCL"/>
    <n v="2.5000000000000001E-2"/>
    <n v="700"/>
    <x v="86"/>
    <m/>
    <d v="1899-12-30T16:54:00"/>
    <d v="1899-12-30T17:50:00"/>
    <d v="1899-12-30T23:59:00"/>
    <n v="0.93333333333333268"/>
    <n v="6.1500000000000021"/>
    <n v="7.0833333333333348"/>
    <s v="replace lemda powre supply"/>
    <s v="Close"/>
    <n v="0.17708333333333337"/>
    <m/>
    <n v="0"/>
    <m/>
    <m/>
    <m/>
    <n v="0"/>
    <m/>
    <m/>
    <m/>
    <m/>
  </r>
  <r>
    <n v="118"/>
    <x v="11"/>
    <x v="0"/>
    <x v="0"/>
    <x v="0"/>
    <x v="0"/>
    <x v="2"/>
    <s v="PWEGPL"/>
    <s v="MSEDCL"/>
    <n v="2.5000000000000001E-2"/>
    <n v="5216"/>
    <x v="87"/>
    <m/>
    <d v="1899-12-30T11:43:00"/>
    <d v="1899-12-30T11:43:00"/>
    <d v="1899-12-30T11:47:00"/>
    <n v="0"/>
    <n v="6.666666666666643E-2"/>
    <n v="6.666666666666643E-2"/>
    <s v="External Grid Failure"/>
    <s v="Close"/>
    <n v="1.6666666666666609E-3"/>
    <m/>
    <n v="0"/>
    <m/>
    <m/>
    <m/>
    <n v="0"/>
    <m/>
    <m/>
    <m/>
    <m/>
  </r>
  <r>
    <n v="119"/>
    <x v="11"/>
    <x v="0"/>
    <x v="0"/>
    <x v="0"/>
    <x v="0"/>
    <x v="3"/>
    <s v="PWEGPL"/>
    <s v="MSEDCL"/>
    <n v="2.5000000000000001E-2"/>
    <n v="5216"/>
    <x v="87"/>
    <m/>
    <d v="1899-12-30T11:43:00"/>
    <d v="1899-12-30T11:43:00"/>
    <d v="1899-12-30T11:47:00"/>
    <n v="0"/>
    <n v="6.666666666666643E-2"/>
    <n v="6.666666666666643E-2"/>
    <s v="External Grid Failure"/>
    <s v="Close"/>
    <n v="1.6666666666666609E-3"/>
    <m/>
    <n v="0"/>
    <m/>
    <m/>
    <m/>
    <n v="0"/>
    <m/>
    <m/>
    <m/>
    <m/>
  </r>
  <r>
    <n v="120"/>
    <x v="11"/>
    <x v="0"/>
    <x v="0"/>
    <x v="0"/>
    <x v="0"/>
    <x v="13"/>
    <s v="PWEGPL"/>
    <s v="MSEDCL"/>
    <n v="2.5000000000000001E-2"/>
    <n v="5216"/>
    <x v="87"/>
    <m/>
    <d v="1899-12-30T11:43:00"/>
    <d v="1899-12-30T11:43:00"/>
    <d v="1899-12-30T11:47:00"/>
    <n v="0"/>
    <n v="6.666666666666643E-2"/>
    <n v="6.666666666666643E-2"/>
    <s v="External Grid Failure"/>
    <s v="Close"/>
    <n v="1.6666666666666609E-3"/>
    <m/>
    <n v="0"/>
    <m/>
    <m/>
    <m/>
    <n v="0"/>
    <m/>
    <m/>
    <m/>
    <m/>
  </r>
  <r>
    <n v="121"/>
    <x v="11"/>
    <x v="0"/>
    <x v="0"/>
    <x v="0"/>
    <x v="0"/>
    <x v="14"/>
    <s v="PWEGPL"/>
    <s v="MSEDCL"/>
    <n v="2.5000000000000001E-2"/>
    <n v="5216"/>
    <x v="87"/>
    <m/>
    <d v="1899-12-30T11:43:00"/>
    <d v="1899-12-30T11:43:00"/>
    <d v="1899-12-30T11:47:00"/>
    <n v="0"/>
    <n v="6.666666666666643E-2"/>
    <n v="6.666666666666643E-2"/>
    <s v="External Grid Failure"/>
    <s v="Close"/>
    <n v="1.6666666666666609E-3"/>
    <m/>
    <n v="0"/>
    <m/>
    <m/>
    <m/>
    <n v="0"/>
    <m/>
    <m/>
    <m/>
    <m/>
  </r>
  <r>
    <n v="122"/>
    <x v="11"/>
    <x v="0"/>
    <x v="0"/>
    <x v="0"/>
    <x v="0"/>
    <x v="15"/>
    <s v="PWEGPL"/>
    <s v="MSEDCL"/>
    <n v="2.5000000000000001E-2"/>
    <n v="5216"/>
    <x v="87"/>
    <m/>
    <d v="1899-12-30T11:43:00"/>
    <d v="1899-12-30T11:43:00"/>
    <d v="1899-12-30T11:47:00"/>
    <n v="0"/>
    <n v="6.666666666666643E-2"/>
    <n v="6.666666666666643E-2"/>
    <s v="External Grid Failure"/>
    <s v="Close"/>
    <n v="1.6666666666666609E-3"/>
    <m/>
    <n v="0"/>
    <m/>
    <m/>
    <m/>
    <n v="0"/>
    <m/>
    <m/>
    <m/>
    <m/>
  </r>
  <r>
    <n v="123"/>
    <x v="11"/>
    <x v="0"/>
    <x v="0"/>
    <x v="0"/>
    <x v="0"/>
    <x v="16"/>
    <s v="PWEGPL"/>
    <s v="MSEDCL"/>
    <n v="2.5000000000000001E-2"/>
    <n v="5216"/>
    <x v="87"/>
    <m/>
    <d v="1899-12-30T11:43:00"/>
    <d v="1899-12-30T11:43:00"/>
    <d v="1899-12-30T11:47:00"/>
    <n v="0"/>
    <n v="6.666666666666643E-2"/>
    <n v="6.666666666666643E-2"/>
    <s v="External Grid Failure"/>
    <s v="Close"/>
    <n v="1.6666666666666609E-3"/>
    <m/>
    <n v="0"/>
    <m/>
    <m/>
    <m/>
    <n v="0"/>
    <m/>
    <m/>
    <m/>
    <m/>
  </r>
  <r>
    <n v="124"/>
    <x v="11"/>
    <x v="0"/>
    <x v="0"/>
    <x v="0"/>
    <x v="0"/>
    <x v="4"/>
    <s v="PWEGPL"/>
    <s v="MSEDCL"/>
    <n v="2.5000000000000001E-2"/>
    <n v="5216"/>
    <x v="87"/>
    <m/>
    <d v="1899-12-30T11:43:00"/>
    <d v="1899-12-30T11:43:00"/>
    <d v="1899-12-30T11:47:00"/>
    <n v="0"/>
    <n v="6.666666666666643E-2"/>
    <n v="6.666666666666643E-2"/>
    <s v="External Grid Failure"/>
    <s v="Close"/>
    <n v="1.6666666666666609E-3"/>
    <m/>
    <n v="0"/>
    <m/>
    <m/>
    <m/>
    <n v="0"/>
    <m/>
    <m/>
    <m/>
    <m/>
  </r>
  <r>
    <n v="125"/>
    <x v="11"/>
    <x v="0"/>
    <x v="0"/>
    <x v="0"/>
    <x v="0"/>
    <x v="5"/>
    <s v="PWEGPL"/>
    <s v="MSEDCL"/>
    <n v="2.5000000000000001E-2"/>
    <n v="5216"/>
    <x v="87"/>
    <m/>
    <d v="1899-12-30T11:43:00"/>
    <d v="1899-12-30T11:43:00"/>
    <d v="1899-12-30T11:47:00"/>
    <n v="0"/>
    <n v="6.666666666666643E-2"/>
    <n v="6.666666666666643E-2"/>
    <s v="External Grid Failure"/>
    <s v="Close"/>
    <n v="1.6666666666666609E-3"/>
    <m/>
    <n v="0"/>
    <m/>
    <m/>
    <m/>
    <n v="0"/>
    <m/>
    <m/>
    <m/>
    <m/>
  </r>
  <r>
    <n v="126"/>
    <x v="11"/>
    <x v="0"/>
    <x v="0"/>
    <x v="0"/>
    <x v="0"/>
    <x v="6"/>
    <s v="PWEGPL"/>
    <s v="MSEDCL"/>
    <n v="2.5000000000000001E-2"/>
    <n v="5216"/>
    <x v="87"/>
    <m/>
    <d v="1899-12-30T11:43:00"/>
    <d v="1899-12-30T11:43:00"/>
    <d v="1899-12-30T11:47:00"/>
    <n v="0"/>
    <n v="6.666666666666643E-2"/>
    <n v="6.666666666666643E-2"/>
    <s v="External Grid Failure"/>
    <s v="Close"/>
    <n v="1.6666666666666609E-3"/>
    <m/>
    <n v="0"/>
    <m/>
    <m/>
    <m/>
    <n v="0"/>
    <m/>
    <m/>
    <m/>
    <m/>
  </r>
  <r>
    <n v="127"/>
    <x v="11"/>
    <x v="0"/>
    <x v="0"/>
    <x v="0"/>
    <x v="0"/>
    <x v="7"/>
    <s v="PWEGPL"/>
    <s v="MSEDCL"/>
    <n v="2.5000000000000001E-2"/>
    <n v="5216"/>
    <x v="87"/>
    <m/>
    <d v="1899-12-30T11:43:00"/>
    <d v="1899-12-30T11:43:00"/>
    <d v="1899-12-30T11:47:00"/>
    <n v="0"/>
    <n v="6.666666666666643E-2"/>
    <n v="6.666666666666643E-2"/>
    <s v="External Grid Failure"/>
    <s v="Close"/>
    <n v="1.6666666666666609E-3"/>
    <m/>
    <n v="0"/>
    <m/>
    <m/>
    <m/>
    <n v="0"/>
    <m/>
    <m/>
    <m/>
    <m/>
  </r>
  <r>
    <n v="128"/>
    <x v="12"/>
    <x v="0"/>
    <x v="0"/>
    <x v="0"/>
    <x v="0"/>
    <x v="37"/>
    <s v="PWEGPL"/>
    <s v="MSEDCL"/>
    <n v="2.5000000000000001E-2"/>
    <n v="552"/>
    <x v="88"/>
    <m/>
    <d v="1899-12-30T00:00:00"/>
    <d v="1899-12-30T02:30:00"/>
    <d v="1899-12-30T02:38:00"/>
    <n v="2.5"/>
    <n v="0.13333333333333319"/>
    <n v="2.6333333333333333"/>
    <s v="Reboot WTG"/>
    <s v="Close"/>
    <n v="6.5833333333333341E-2"/>
    <m/>
    <n v="0"/>
    <m/>
    <m/>
    <m/>
    <n v="0"/>
    <m/>
    <m/>
    <m/>
    <m/>
  </r>
  <r>
    <n v="129"/>
    <x v="12"/>
    <x v="0"/>
    <x v="0"/>
    <x v="0"/>
    <x v="0"/>
    <x v="10"/>
    <s v="PWEGPL"/>
    <s v="MSEDCL"/>
    <n v="2.5000000000000001E-2"/>
    <n v="1819"/>
    <x v="89"/>
    <m/>
    <d v="1899-12-30T16:23:00"/>
    <d v="1899-12-30T17:02:00"/>
    <d v="1899-12-30T17:12:00"/>
    <n v="0.65000000000000036"/>
    <n v="0.16666666666666607"/>
    <n v="0.81666666666666643"/>
    <s v="Reboot WTG"/>
    <s v="Close"/>
    <n v="2.0416666666666663E-2"/>
    <m/>
    <n v="0"/>
    <m/>
    <m/>
    <m/>
    <n v="0"/>
    <m/>
    <m/>
    <m/>
    <m/>
  </r>
  <r>
    <n v="130"/>
    <x v="12"/>
    <x v="0"/>
    <x v="0"/>
    <x v="0"/>
    <x v="0"/>
    <x v="15"/>
    <s v="PWEGPL"/>
    <s v="MSEDCL"/>
    <n v="2.5000000000000001E-2"/>
    <n v="800"/>
    <x v="90"/>
    <m/>
    <d v="1899-12-30T13:00:00"/>
    <d v="1899-12-30T14:23:00"/>
    <d v="1899-12-30T16:43:00"/>
    <n v="1.3833333333333337"/>
    <n v="2.333333333333333"/>
    <n v="3.7166666666666668"/>
    <s v="Remove the cable twist then start the WTG."/>
    <s v="Close"/>
    <n v="9.2916666666666675E-2"/>
    <m/>
    <n v="0"/>
    <m/>
    <m/>
    <m/>
    <n v="0"/>
    <m/>
    <m/>
    <m/>
    <m/>
  </r>
  <r>
    <n v="131"/>
    <x v="12"/>
    <x v="0"/>
    <x v="0"/>
    <x v="0"/>
    <x v="0"/>
    <x v="9"/>
    <s v="PWEGPL"/>
    <s v="MSEDCL"/>
    <n v="2.5000000000000001E-2"/>
    <n v="800"/>
    <x v="91"/>
    <m/>
    <d v="1899-12-30T00:00:00"/>
    <d v="1899-12-30T00:00:00"/>
    <d v="1899-12-30T16:20:00"/>
    <n v="0"/>
    <n v="16.333333333333332"/>
    <n v="16.333333333333332"/>
    <s v="check proportional valve ,cable connection check,check circuit, change cable"/>
    <s v="Close"/>
    <n v="0.40833333333333333"/>
    <m/>
    <n v="0"/>
    <m/>
    <m/>
    <m/>
    <n v="0"/>
    <m/>
    <m/>
    <m/>
    <m/>
  </r>
  <r>
    <n v="132"/>
    <x v="12"/>
    <x v="0"/>
    <x v="0"/>
    <x v="0"/>
    <x v="0"/>
    <x v="37"/>
    <s v="PWEGPL"/>
    <s v="MSEDCL"/>
    <n v="2.5000000000000001E-2"/>
    <n v="1819"/>
    <x v="92"/>
    <m/>
    <d v="1899-12-30T10:42:00"/>
    <d v="1899-12-30T10:42:00"/>
    <d v="1899-12-30T11:38:00"/>
    <n v="0"/>
    <n v="0.93333333333333401"/>
    <n v="0.93333333333333401"/>
    <s v="change generator brush and start WTG"/>
    <s v="Close"/>
    <n v="2.3333333333333352E-2"/>
    <m/>
    <n v="0"/>
    <m/>
    <m/>
    <m/>
    <n v="0"/>
    <m/>
    <m/>
    <m/>
    <m/>
  </r>
  <r>
    <n v="133"/>
    <x v="13"/>
    <x v="0"/>
    <x v="0"/>
    <x v="0"/>
    <x v="0"/>
    <x v="29"/>
    <s v="PWEGPL"/>
    <s v="MSEDCL"/>
    <n v="2.5000000000000001E-2"/>
    <n v="1893"/>
    <x v="93"/>
    <m/>
    <d v="1899-12-30T06:26:00"/>
    <d v="1899-12-30T08:02:00"/>
    <d v="1899-12-30T08:12:00"/>
    <n v="1.5999999999999996"/>
    <n v="0.16666666666666607"/>
    <n v="1.7666666666666657"/>
    <s v="Local Reset"/>
    <s v="Close"/>
    <n v="4.4166666666666646E-2"/>
    <m/>
    <n v="0"/>
    <m/>
    <m/>
    <m/>
    <n v="0"/>
    <m/>
    <m/>
    <m/>
    <m/>
  </r>
  <r>
    <n v="134"/>
    <x v="13"/>
    <x v="0"/>
    <x v="0"/>
    <x v="0"/>
    <x v="0"/>
    <x v="9"/>
    <s v="PWEGPL"/>
    <s v="MSEDCL"/>
    <n v="2.5000000000000001E-2"/>
    <n v="800"/>
    <x v="94"/>
    <m/>
    <d v="1899-12-30T08:06:00"/>
    <d v="1899-12-30T11:01:00"/>
    <d v="1899-12-30T12:18:00"/>
    <n v="2.9166666666666683"/>
    <n v="1.2833333333333341"/>
    <n v="4.2000000000000028"/>
    <s v="check proportional valve ,cable connection check,check circuit, change cable"/>
    <s v="Close"/>
    <n v="0.10500000000000008"/>
    <m/>
    <n v="0"/>
    <m/>
    <m/>
    <m/>
    <n v="0"/>
    <m/>
    <m/>
    <m/>
    <m/>
  </r>
  <r>
    <n v="135"/>
    <x v="13"/>
    <x v="0"/>
    <x v="0"/>
    <x v="0"/>
    <x v="0"/>
    <x v="15"/>
    <s v="PWEGPL"/>
    <s v="MSEDCL"/>
    <n v="2.5000000000000001E-2"/>
    <n v="800"/>
    <x v="95"/>
    <m/>
    <d v="1899-12-30T12:33:00"/>
    <d v="1899-12-30T13:51:00"/>
    <d v="1899-12-30T14:05:00"/>
    <n v="1.299999999999998"/>
    <n v="0.23333333333333517"/>
    <n v="1.5333333333333332"/>
    <s v="Local Reset"/>
    <s v="Close"/>
    <n v="3.833333333333333E-2"/>
    <m/>
    <n v="0"/>
    <m/>
    <m/>
    <m/>
    <n v="0"/>
    <m/>
    <m/>
    <m/>
    <m/>
  </r>
  <r>
    <n v="136"/>
    <x v="13"/>
    <x v="0"/>
    <x v="0"/>
    <x v="0"/>
    <x v="0"/>
    <x v="17"/>
    <s v="PWEGPL"/>
    <s v="MSEDCL"/>
    <n v="2.5000000000000001E-2"/>
    <n v="800"/>
    <x v="96"/>
    <m/>
    <d v="1899-12-30T14:48:00"/>
    <d v="1899-12-30T15:20:00"/>
    <d v="1899-12-30T15:40:00"/>
    <n v="0.5333333333333341"/>
    <n v="0.33333333333333215"/>
    <n v="0.86666666666666625"/>
    <s v="Local Reset"/>
    <s v="Close"/>
    <n v="2.1666666666666657E-2"/>
    <m/>
    <n v="0"/>
    <m/>
    <m/>
    <m/>
    <n v="0"/>
    <m/>
    <m/>
    <m/>
    <m/>
  </r>
  <r>
    <n v="137"/>
    <x v="14"/>
    <x v="0"/>
    <x v="0"/>
    <x v="0"/>
    <x v="0"/>
    <x v="17"/>
    <s v="PWEGPL"/>
    <s v="MSEDCL"/>
    <n v="2.5000000000000001E-2"/>
    <n v="800"/>
    <x v="97"/>
    <m/>
    <d v="1899-12-30T03:21:00"/>
    <d v="1899-12-30T04:09:00"/>
    <d v="1899-12-30T04:13:00"/>
    <n v="0.80000000000000049"/>
    <n v="6.666666666666643E-2"/>
    <n v="0.86666666666666692"/>
    <s v="Local Reset"/>
    <s v="Close"/>
    <n v="2.1666666666666674E-2"/>
    <m/>
    <n v="0"/>
    <m/>
    <m/>
    <m/>
    <n v="0"/>
    <m/>
    <m/>
    <m/>
    <m/>
  </r>
  <r>
    <n v="138"/>
    <x v="14"/>
    <x v="0"/>
    <x v="0"/>
    <x v="0"/>
    <x v="0"/>
    <x v="17"/>
    <s v="PWEGPL"/>
    <s v="MSEDCL"/>
    <n v="2.5000000000000001E-2"/>
    <n v="800"/>
    <x v="98"/>
    <m/>
    <d v="1899-12-30T14:34:00"/>
    <d v="1899-12-30T15:17:00"/>
    <d v="1899-12-30T16:28:00"/>
    <n v="0.71666666666666679"/>
    <n v="1.1833333333333318"/>
    <n v="1.8999999999999986"/>
    <s v="check proportional valve ,cable connection check,check circuit, change cable"/>
    <s v="Close"/>
    <n v="4.7499999999999966E-2"/>
    <m/>
    <n v="0"/>
    <m/>
    <m/>
    <m/>
    <n v="0"/>
    <m/>
    <m/>
    <m/>
    <m/>
  </r>
  <r>
    <n v="139"/>
    <x v="14"/>
    <x v="0"/>
    <x v="0"/>
    <x v="0"/>
    <x v="0"/>
    <x v="9"/>
    <s v="PWEGPL"/>
    <s v="MSEDCL"/>
    <n v="2.5000000000000001E-2"/>
    <n v="800"/>
    <x v="99"/>
    <m/>
    <d v="1899-12-30T16:41:00"/>
    <d v="1899-12-30T16:59:00"/>
    <d v="1899-12-30T22:55:00"/>
    <n v="0.3000000000000016"/>
    <n v="5.9333333333333336"/>
    <n v="6.2333333333333352"/>
    <s v="check proportional valve ,cable connection check,check circuit, change cable"/>
    <s v="Close"/>
    <n v="0.15583333333333338"/>
    <m/>
    <n v="0"/>
    <m/>
    <m/>
    <m/>
    <n v="0"/>
    <m/>
    <m/>
    <m/>
    <m/>
  </r>
  <r>
    <n v="140"/>
    <x v="14"/>
    <x v="0"/>
    <x v="0"/>
    <x v="0"/>
    <x v="0"/>
    <x v="15"/>
    <s v="PWEGPL"/>
    <s v="MSEDCL"/>
    <n v="2.5000000000000001E-2"/>
    <n v="800"/>
    <x v="100"/>
    <m/>
    <d v="1899-12-30T12:53:00"/>
    <d v="1899-12-30T14:24:00"/>
    <d v="1899-12-30T23:21:00"/>
    <n v="1.5166666666666666"/>
    <n v="8.9500000000000028"/>
    <n v="10.466666666666669"/>
    <s v="check proportional valve ,cable connection check,check circuit, change cable"/>
    <s v="Close"/>
    <n v="0.26166666666666671"/>
    <m/>
    <n v="0"/>
    <m/>
    <m/>
    <m/>
    <n v="0"/>
    <m/>
    <m/>
    <m/>
    <m/>
  </r>
  <r>
    <n v="141"/>
    <x v="15"/>
    <x v="0"/>
    <x v="0"/>
    <x v="0"/>
    <x v="0"/>
    <x v="17"/>
    <s v="PWEGPL"/>
    <s v="MSEDCL"/>
    <n v="2.5000000000000001E-2"/>
    <n v="800"/>
    <x v="101"/>
    <m/>
    <d v="1899-12-30T03:02:00"/>
    <d v="1899-12-30T04:30:00"/>
    <d v="1899-12-30T04:38:00"/>
    <n v="1.4666666666666668"/>
    <n v="0.13333333333333286"/>
    <n v="1.5999999999999996"/>
    <s v="Local Reset"/>
    <s v="Close"/>
    <n v="3.9999999999999994E-2"/>
    <m/>
    <n v="0"/>
    <m/>
    <m/>
    <m/>
    <n v="0"/>
    <m/>
    <m/>
    <m/>
    <m/>
  </r>
  <r>
    <n v="142"/>
    <x v="15"/>
    <x v="0"/>
    <x v="0"/>
    <x v="0"/>
    <x v="0"/>
    <x v="17"/>
    <s v="PWEGPL"/>
    <s v="MSEDCL"/>
    <n v="2.5000000000000001E-2"/>
    <n v="800"/>
    <x v="102"/>
    <m/>
    <d v="1899-12-30T12:32:00"/>
    <d v="1899-12-30T13:48:00"/>
    <d v="1899-12-30T14:54:00"/>
    <n v="1.2666666666666675"/>
    <n v="1.0999999999999988"/>
    <n v="2.3666666666666663"/>
    <s v="check proportional valve ,cable connection check circuit"/>
    <s v="Close"/>
    <n v="5.9166666666666659E-2"/>
    <m/>
    <n v="0"/>
    <m/>
    <m/>
    <m/>
    <n v="0"/>
    <m/>
    <m/>
    <m/>
    <m/>
  </r>
  <r>
    <n v="143"/>
    <x v="15"/>
    <x v="0"/>
    <x v="0"/>
    <x v="0"/>
    <x v="0"/>
    <x v="15"/>
    <s v="PWEGPL"/>
    <s v="MSEDCL"/>
    <n v="2.5000000000000001E-2"/>
    <n v="800"/>
    <x v="103"/>
    <m/>
    <d v="1899-12-30T12:53:00"/>
    <d v="1899-12-30T14:03:00"/>
    <d v="1899-12-30T15:04:00"/>
    <n v="1.1666666666666679"/>
    <n v="1.0166666666666657"/>
    <n v="2.1833333333333336"/>
    <s v="check proportional valve ,cable connection check circuit"/>
    <s v="Close"/>
    <n v="5.4583333333333345E-2"/>
    <m/>
    <n v="0"/>
    <m/>
    <m/>
    <m/>
    <n v="0"/>
    <m/>
    <m/>
    <m/>
    <m/>
  </r>
  <r>
    <n v="144"/>
    <x v="16"/>
    <x v="0"/>
    <x v="0"/>
    <x v="1"/>
    <x v="0"/>
    <x v="17"/>
    <s v="PWEGPL"/>
    <s v="MSEDCL"/>
    <n v="2.5000000000000001E-2"/>
    <n v="800"/>
    <x v="104"/>
    <m/>
    <d v="1899-12-30T14:22:00"/>
    <d v="1899-12-30T15:15:00"/>
    <d v="1899-12-30T16:39:00"/>
    <n v="0.88333333333333286"/>
    <n v="1.4000000000000004"/>
    <n v="2.2833333333333332"/>
    <s v="Troubleshooting done"/>
    <s v="Close"/>
    <n v="5.7083333333333333E-2"/>
    <m/>
    <n v="0"/>
    <m/>
    <m/>
    <m/>
    <n v="0"/>
    <m/>
    <m/>
    <m/>
    <m/>
  </r>
  <r>
    <n v="145"/>
    <x v="16"/>
    <x v="0"/>
    <x v="0"/>
    <x v="1"/>
    <x v="0"/>
    <x v="27"/>
    <s v="PWEGPL"/>
    <s v="MSEDCL"/>
    <n v="2.5000000000000001E-2"/>
    <n v="500"/>
    <x v="105"/>
    <m/>
    <d v="1899-12-30T23:05:00"/>
    <d v="1899-12-30T23:20:00"/>
    <d v="1899-12-30T23:48:00"/>
    <n v="0.25000000000000178"/>
    <n v="0.46666666666666767"/>
    <n v="0.71666666666666945"/>
    <s v="Auto-Reset"/>
    <s v="Close"/>
    <n v="1.7916666666666737E-2"/>
    <m/>
    <n v="0"/>
    <m/>
    <m/>
    <m/>
    <n v="0"/>
    <m/>
    <m/>
    <m/>
    <m/>
  </r>
  <r>
    <n v="146"/>
    <x v="16"/>
    <x v="0"/>
    <x v="0"/>
    <x v="1"/>
    <x v="0"/>
    <x v="9"/>
    <s v="PWEGPL"/>
    <s v="MSEDCL"/>
    <n v="2.5000000000000001E-2"/>
    <n v="800"/>
    <x v="106"/>
    <m/>
    <d v="1899-12-30T14:10:00"/>
    <d v="1899-12-30T14:50:00"/>
    <d v="1899-12-30T16:28:00"/>
    <n v="0.66666666666666696"/>
    <n v="1.6333333333333302"/>
    <n v="2.2999999999999972"/>
    <s v="Troubleshooting done"/>
    <s v="Close"/>
    <n v="5.7499999999999933E-2"/>
    <m/>
    <n v="0"/>
    <m/>
    <m/>
    <m/>
    <n v="0"/>
    <m/>
    <m/>
    <m/>
    <m/>
  </r>
  <r>
    <n v="147"/>
    <x v="16"/>
    <x v="0"/>
    <x v="0"/>
    <x v="1"/>
    <x v="0"/>
    <x v="15"/>
    <s v="PWEGPL"/>
    <s v="MSEDCL"/>
    <n v="2.5000000000000001E-2"/>
    <n v="800"/>
    <x v="107"/>
    <m/>
    <d v="1899-12-30T12:17:00"/>
    <d v="1899-12-30T13:15:00"/>
    <d v="1899-12-30T17:04:00"/>
    <n v="0.96666666666666856"/>
    <n v="3.8166666666666664"/>
    <n v="4.783333333333335"/>
    <s v="Troubleshooting done"/>
    <s v="Close"/>
    <n v="0.11958333333333337"/>
    <m/>
    <n v="0"/>
    <m/>
    <m/>
    <m/>
    <n v="0"/>
    <m/>
    <m/>
    <m/>
    <m/>
  </r>
  <r>
    <n v="148"/>
    <x v="17"/>
    <x v="0"/>
    <x v="0"/>
    <x v="1"/>
    <x v="0"/>
    <x v="20"/>
    <s v="PWEGPL"/>
    <s v="MSEDCL"/>
    <n v="2.5000000000000001E-2"/>
    <n v="5216"/>
    <x v="108"/>
    <m/>
    <d v="1899-12-30T08:02:00"/>
    <d v="1899-12-30T10:50:00"/>
    <d v="1899-12-30T10:52:00"/>
    <n v="2.8000000000000007"/>
    <n v="3.3333333333333215E-2"/>
    <n v="2.8333333333333339"/>
    <s v="Reset &amp; Stand Feeder"/>
    <s v="Close"/>
    <n v="7.0833333333333345E-2"/>
    <m/>
    <n v="0"/>
    <m/>
    <m/>
    <m/>
    <n v="0"/>
    <m/>
    <m/>
    <m/>
    <m/>
  </r>
  <r>
    <n v="149"/>
    <x v="17"/>
    <x v="0"/>
    <x v="0"/>
    <x v="1"/>
    <x v="0"/>
    <x v="21"/>
    <s v="PWEGPL"/>
    <s v="MSEDCL"/>
    <n v="2.5000000000000001E-2"/>
    <n v="5216"/>
    <x v="108"/>
    <m/>
    <d v="1899-12-30T08:02:00"/>
    <d v="1899-12-30T10:50:00"/>
    <d v="1899-12-30T10:52:00"/>
    <n v="2.8000000000000007"/>
    <n v="3.3333333333333215E-2"/>
    <n v="2.8333333333333339"/>
    <s v="Reset &amp; Stand Feeder"/>
    <s v="Close"/>
    <n v="7.0833333333333345E-2"/>
    <m/>
    <n v="0"/>
    <m/>
    <m/>
    <m/>
    <n v="0"/>
    <m/>
    <m/>
    <m/>
    <m/>
  </r>
  <r>
    <n v="150"/>
    <x v="17"/>
    <x v="0"/>
    <x v="0"/>
    <x v="1"/>
    <x v="0"/>
    <x v="22"/>
    <s v="PWEGPL"/>
    <s v="MSEDCL"/>
    <n v="2.5000000000000001E-2"/>
    <n v="5216"/>
    <x v="108"/>
    <m/>
    <d v="1899-12-30T08:02:00"/>
    <d v="1899-12-30T10:50:00"/>
    <d v="1899-12-30T10:52:00"/>
    <n v="2.8000000000000007"/>
    <n v="3.3333333333333215E-2"/>
    <n v="2.8333333333333339"/>
    <s v="Reset &amp; Stand Feeder"/>
    <s v="Close"/>
    <n v="7.0833333333333345E-2"/>
    <m/>
    <n v="0"/>
    <m/>
    <m/>
    <m/>
    <n v="0"/>
    <m/>
    <m/>
    <m/>
    <m/>
  </r>
  <r>
    <n v="151"/>
    <x v="17"/>
    <x v="0"/>
    <x v="0"/>
    <x v="1"/>
    <x v="0"/>
    <x v="23"/>
    <s v="PWEGPL"/>
    <s v="MSEDCL"/>
    <n v="2.5000000000000001E-2"/>
    <n v="5216"/>
    <x v="108"/>
    <m/>
    <d v="1899-12-30T08:02:00"/>
    <d v="1899-12-30T10:50:00"/>
    <d v="1899-12-30T10:52:00"/>
    <n v="2.8000000000000007"/>
    <n v="3.3333333333333215E-2"/>
    <n v="2.8333333333333339"/>
    <s v="Reset &amp; Stand Feeder"/>
    <s v="Close"/>
    <n v="7.0833333333333345E-2"/>
    <m/>
    <n v="0"/>
    <m/>
    <m/>
    <m/>
    <n v="0"/>
    <m/>
    <m/>
    <m/>
    <m/>
  </r>
  <r>
    <n v="152"/>
    <x v="17"/>
    <x v="0"/>
    <x v="0"/>
    <x v="1"/>
    <x v="0"/>
    <x v="25"/>
    <s v="PWEGPL"/>
    <s v="MSEDCL"/>
    <n v="2.5000000000000001E-2"/>
    <n v="5216"/>
    <x v="108"/>
    <m/>
    <d v="1899-12-30T08:02:00"/>
    <d v="1899-12-30T10:50:00"/>
    <d v="1899-12-30T10:52:00"/>
    <n v="2.8000000000000007"/>
    <n v="3.3333333333333215E-2"/>
    <n v="2.8333333333333339"/>
    <s v="Reset &amp; Stand Feeder"/>
    <s v="Close"/>
    <n v="7.0833333333333345E-2"/>
    <m/>
    <n v="0"/>
    <m/>
    <m/>
    <m/>
    <n v="0"/>
    <m/>
    <m/>
    <m/>
    <m/>
  </r>
  <r>
    <n v="153"/>
    <x v="17"/>
    <x v="0"/>
    <x v="0"/>
    <x v="1"/>
    <x v="0"/>
    <x v="26"/>
    <s v="PWEGPL"/>
    <s v="MSEDCL"/>
    <n v="2.5000000000000001E-2"/>
    <n v="5216"/>
    <x v="108"/>
    <m/>
    <d v="1899-12-30T08:02:00"/>
    <d v="1899-12-30T10:50:00"/>
    <d v="1899-12-30T10:52:00"/>
    <n v="2.8000000000000007"/>
    <n v="3.3333333333333215E-2"/>
    <n v="2.8333333333333339"/>
    <s v="Reset &amp; Stand Feeder"/>
    <s v="Close"/>
    <n v="7.0833333333333345E-2"/>
    <m/>
    <n v="0"/>
    <m/>
    <m/>
    <m/>
    <n v="0"/>
    <m/>
    <m/>
    <m/>
    <m/>
  </r>
  <r>
    <n v="154"/>
    <x v="17"/>
    <x v="0"/>
    <x v="0"/>
    <x v="1"/>
    <x v="0"/>
    <x v="17"/>
    <s v="PWEGPL"/>
    <s v="MSEDCL"/>
    <n v="2.5000000000000001E-2"/>
    <n v="5216"/>
    <x v="109"/>
    <m/>
    <d v="1899-12-30T08:02:00"/>
    <d v="1899-12-30T10:50:00"/>
    <d v="1899-12-30T10:52:00"/>
    <n v="2.8000000000000007"/>
    <n v="3.3333333333333215E-2"/>
    <n v="2.8333333333333339"/>
    <s v="Reset &amp; Stand Feeder"/>
    <s v="Close"/>
    <n v="7.0833333333333345E-2"/>
    <m/>
    <n v="0"/>
    <m/>
    <m/>
    <m/>
    <n v="0"/>
    <m/>
    <m/>
    <m/>
    <m/>
  </r>
  <r>
    <n v="155"/>
    <x v="17"/>
    <x v="0"/>
    <x v="0"/>
    <x v="1"/>
    <x v="0"/>
    <x v="27"/>
    <s v="PWEGPL"/>
    <s v="MSEDCL"/>
    <n v="2.5000000000000001E-2"/>
    <n v="500"/>
    <x v="110"/>
    <m/>
    <d v="1899-12-30T06:43:00"/>
    <d v="1899-12-30T07:15:00"/>
    <d v="1899-12-30T08:54:00"/>
    <n v="0.53333333333333277"/>
    <n v="1.6500000000000008"/>
    <n v="2.1833333333333336"/>
    <s v=" Generator Earthing brush changed"/>
    <s v="Close"/>
    <n v="5.4583333333333345E-2"/>
    <m/>
    <n v="0"/>
    <m/>
    <m/>
    <m/>
    <n v="0"/>
    <m/>
    <m/>
    <m/>
    <m/>
  </r>
  <r>
    <n v="156"/>
    <x v="17"/>
    <x v="0"/>
    <x v="0"/>
    <x v="1"/>
    <x v="0"/>
    <x v="28"/>
    <s v="PWEGPL"/>
    <s v="MSEDCL"/>
    <n v="2.5000000000000001E-2"/>
    <n v="5216"/>
    <x v="108"/>
    <m/>
    <d v="1899-12-30T08:02:00"/>
    <d v="1899-12-30T10:50:00"/>
    <d v="1899-12-30T10:52:00"/>
    <n v="2.8000000000000007"/>
    <n v="3.3333333333333215E-2"/>
    <n v="2.8333333333333339"/>
    <s v="Reset &amp; Stand Feeder"/>
    <s v="Close"/>
    <n v="7.0833333333333345E-2"/>
    <m/>
    <n v="0"/>
    <m/>
    <m/>
    <m/>
    <n v="0"/>
    <m/>
    <m/>
    <m/>
    <m/>
  </r>
  <r>
    <n v="157"/>
    <x v="17"/>
    <x v="0"/>
    <x v="0"/>
    <x v="1"/>
    <x v="0"/>
    <x v="29"/>
    <s v="PWEGPL"/>
    <s v="MSEDCL"/>
    <n v="2.5000000000000001E-2"/>
    <n v="5216"/>
    <x v="108"/>
    <m/>
    <d v="1899-12-30T08:02:00"/>
    <d v="1899-12-30T10:50:00"/>
    <d v="1899-12-30T10:52:00"/>
    <n v="2.8000000000000007"/>
    <n v="3.3333333333333215E-2"/>
    <n v="2.8333333333333339"/>
    <s v="Reset &amp; Stand Feeder"/>
    <s v="Close"/>
    <n v="7.0833333333333345E-2"/>
    <m/>
    <n v="0"/>
    <m/>
    <m/>
    <m/>
    <n v="0"/>
    <m/>
    <m/>
    <m/>
    <m/>
  </r>
  <r>
    <n v="158"/>
    <x v="17"/>
    <x v="0"/>
    <x v="0"/>
    <x v="1"/>
    <x v="0"/>
    <x v="9"/>
    <s v="PWEGPL"/>
    <s v="MSEDCL"/>
    <n v="2.5000000000000001E-2"/>
    <n v="800"/>
    <x v="111"/>
    <m/>
    <d v="1899-12-30T08:54:00"/>
    <d v="1899-12-30T09:45:00"/>
    <d v="1899-12-30T11:48:00"/>
    <n v="0.84999999999999964"/>
    <n v="2.0500000000000007"/>
    <n v="2.9000000000000004"/>
    <s v="Troubleshooting done &amp; Reset the Machine-Material not available"/>
    <s v="Close"/>
    <n v="7.2500000000000009E-2"/>
    <m/>
    <n v="0"/>
    <m/>
    <m/>
    <m/>
    <n v="0"/>
    <m/>
    <m/>
    <m/>
    <m/>
  </r>
  <r>
    <n v="159"/>
    <x v="17"/>
    <x v="0"/>
    <x v="0"/>
    <x v="1"/>
    <x v="0"/>
    <x v="15"/>
    <s v="PWEGPL"/>
    <s v="MSEDCL"/>
    <n v="2.5000000000000001E-2"/>
    <n v="800"/>
    <x v="112"/>
    <m/>
    <d v="1899-12-30T12:10:00"/>
    <d v="1899-12-30T13:00:00"/>
    <d v="1899-12-30T14:39:00"/>
    <n v="0.83333333333333304"/>
    <n v="1.6500000000000021"/>
    <n v="2.4833333333333352"/>
    <s v="Troubleshooting done &amp; Reset the Machine-Material not available"/>
    <s v="Close"/>
    <n v="6.2083333333333379E-2"/>
    <m/>
    <n v="0"/>
    <m/>
    <m/>
    <m/>
    <n v="0"/>
    <m/>
    <m/>
    <m/>
    <m/>
  </r>
  <r>
    <n v="160"/>
    <x v="17"/>
    <x v="0"/>
    <x v="0"/>
    <x v="1"/>
    <x v="0"/>
    <x v="17"/>
    <s v="PWEGPL"/>
    <s v="MSEDCL"/>
    <n v="2.5000000000000001E-2"/>
    <n v="800"/>
    <x v="113"/>
    <m/>
    <d v="1899-12-30T11:32:00"/>
    <d v="1899-12-30T13:00:00"/>
    <d v="1899-12-30T14:52:00"/>
    <n v="1.4666666666666655"/>
    <n v="1.866666666666668"/>
    <n v="3.3333333333333335"/>
    <s v="PLC replaced"/>
    <s v="Close"/>
    <n v="8.3333333333333343E-2"/>
    <m/>
    <n v="0"/>
    <m/>
    <m/>
    <m/>
    <n v="0"/>
    <m/>
    <m/>
    <m/>
    <m/>
  </r>
  <r>
    <n v="161"/>
    <x v="17"/>
    <x v="0"/>
    <x v="0"/>
    <x v="1"/>
    <x v="0"/>
    <x v="15"/>
    <s v="PWEGPL"/>
    <s v="MSEDCL"/>
    <n v="2.5000000000000001E-2"/>
    <n v="108"/>
    <x v="114"/>
    <m/>
    <d v="1899-12-30T14:26:00"/>
    <d v="1899-12-30T15:30:00"/>
    <d v="1899-12-30T17:08:00"/>
    <n v="1.0666666666666682"/>
    <n v="1.6333333333333329"/>
    <n v="2.7000000000000011"/>
    <s v="Troubleshooting done &amp; Reset the Machine-Material not available"/>
    <s v="Close"/>
    <n v="6.7500000000000032E-2"/>
    <m/>
    <n v="0"/>
    <m/>
    <m/>
    <m/>
    <n v="0"/>
    <m/>
    <m/>
    <m/>
    <m/>
  </r>
  <r>
    <n v="162"/>
    <x v="18"/>
    <x v="0"/>
    <x v="0"/>
    <x v="1"/>
    <x v="0"/>
    <x v="18"/>
    <s v="PWEGPL"/>
    <s v="MSEDCL"/>
    <n v="2.5000000000000001E-2"/>
    <s v="CE100001"/>
    <x v="115"/>
    <m/>
    <d v="1899-12-30T10:29:00"/>
    <d v="1899-12-30T10:29:00"/>
    <d v="1899-12-30T16:24:00"/>
    <n v="0"/>
    <n v="5.9166666666666661"/>
    <n v="5.9166666666666661"/>
    <s v="Manual Stop"/>
    <s v="Close"/>
    <n v="0.14791666666666667"/>
    <m/>
    <n v="0"/>
    <m/>
    <m/>
    <m/>
    <n v="0"/>
    <m/>
    <m/>
    <m/>
    <m/>
  </r>
  <r>
    <n v="163"/>
    <x v="18"/>
    <x v="0"/>
    <x v="0"/>
    <x v="1"/>
    <x v="0"/>
    <x v="8"/>
    <s v="PWEGPL"/>
    <s v="MSEDCL"/>
    <n v="2.5000000000000001E-2"/>
    <s v="CE100001"/>
    <x v="116"/>
    <m/>
    <d v="1899-12-30T11:03:00"/>
    <d v="1899-12-30T11:03:00"/>
    <d v="1899-12-30T14:21:00"/>
    <n v="0"/>
    <n v="3.2999999999999989"/>
    <n v="3.2999999999999989"/>
    <s v="Manual Stop"/>
    <s v="Close"/>
    <n v="8.2499999999999976E-2"/>
    <m/>
    <n v="0"/>
    <m/>
    <m/>
    <m/>
    <n v="0"/>
    <m/>
    <m/>
    <m/>
    <m/>
  </r>
  <r>
    <n v="164"/>
    <x v="18"/>
    <x v="0"/>
    <x v="0"/>
    <x v="1"/>
    <x v="0"/>
    <x v="9"/>
    <s v="PWEGPL"/>
    <s v="MSEDCL"/>
    <n v="2.5000000000000001E-2"/>
    <n v="800"/>
    <x v="117"/>
    <m/>
    <d v="1899-12-30T09:27:00"/>
    <d v="1899-12-30T11:16:00"/>
    <d v="1899-12-30T11:50:00"/>
    <n v="1.8166666666666682"/>
    <n v="0.56666666666666599"/>
    <n v="2.3833333333333342"/>
    <s v="Troubleshooting done &amp; Reset the Machine-Material not available"/>
    <s v="Close"/>
    <n v="5.9583333333333356E-2"/>
    <m/>
    <n v="0"/>
    <m/>
    <m/>
    <m/>
    <n v="0"/>
    <m/>
    <m/>
    <m/>
    <m/>
  </r>
  <r>
    <n v="165"/>
    <x v="18"/>
    <x v="0"/>
    <x v="0"/>
    <x v="1"/>
    <x v="0"/>
    <x v="13"/>
    <s v="PWEGPL"/>
    <s v="MSEDCL"/>
    <n v="2.5000000000000001E-2"/>
    <n v="9922"/>
    <x v="118"/>
    <m/>
    <d v="1899-12-30T13:45:00"/>
    <d v="1899-12-30T13:45:00"/>
    <d v="1899-12-30T15:07:00"/>
    <n v="0"/>
    <n v="1.3666666666666671"/>
    <n v="1.3666666666666671"/>
    <s v="LC taken for Tree cutting"/>
    <s v="Close"/>
    <n v="3.4166666666666679E-2"/>
    <m/>
    <n v="0"/>
    <m/>
    <m/>
    <m/>
    <n v="0"/>
    <m/>
    <m/>
    <m/>
    <m/>
  </r>
  <r>
    <n v="166"/>
    <x v="18"/>
    <x v="0"/>
    <x v="0"/>
    <x v="1"/>
    <x v="0"/>
    <x v="14"/>
    <s v="PWEGPL"/>
    <s v="MSEDCL"/>
    <n v="2.5000000000000001E-2"/>
    <n v="9922"/>
    <x v="118"/>
    <m/>
    <d v="1899-12-30T13:45:00"/>
    <d v="1899-12-30T13:45:00"/>
    <d v="1899-12-30T15:07:00"/>
    <n v="0"/>
    <n v="1.3666666666666671"/>
    <n v="1.3666666666666671"/>
    <s v="LC taken for Tree cutting"/>
    <s v="Close"/>
    <n v="3.4166666666666679E-2"/>
    <m/>
    <n v="0"/>
    <m/>
    <m/>
    <m/>
    <n v="0"/>
    <m/>
    <m/>
    <m/>
    <m/>
  </r>
  <r>
    <n v="167"/>
    <x v="18"/>
    <x v="0"/>
    <x v="0"/>
    <x v="1"/>
    <x v="0"/>
    <x v="15"/>
    <s v="PWEGPL"/>
    <s v="MSEDCL"/>
    <n v="2.5000000000000001E-2"/>
    <n v="9922"/>
    <x v="119"/>
    <m/>
    <d v="1899-12-30T13:45:00"/>
    <d v="1899-12-30T13:45:00"/>
    <d v="1899-12-30T15:07:00"/>
    <n v="0"/>
    <n v="1.3666666666666671"/>
    <n v="1.3666666666666671"/>
    <s v="LC taken for Tree cutting"/>
    <s v="Close"/>
    <n v="3.4166666666666679E-2"/>
    <m/>
    <n v="0"/>
    <m/>
    <m/>
    <m/>
    <n v="0"/>
    <m/>
    <m/>
    <m/>
    <m/>
  </r>
  <r>
    <n v="168"/>
    <x v="18"/>
    <x v="0"/>
    <x v="0"/>
    <x v="1"/>
    <x v="0"/>
    <x v="16"/>
    <s v="PWEGPL"/>
    <s v="MSEDCL"/>
    <n v="2.5000000000000001E-2"/>
    <n v="9922"/>
    <x v="118"/>
    <m/>
    <d v="1899-12-30T13:45:00"/>
    <d v="1899-12-30T13:45:00"/>
    <d v="1899-12-30T15:07:00"/>
    <n v="0"/>
    <n v="1.3666666666666671"/>
    <n v="1.3666666666666671"/>
    <s v="LC taken for Tree cutting"/>
    <s v="Close"/>
    <n v="3.4166666666666679E-2"/>
    <m/>
    <n v="0"/>
    <m/>
    <m/>
    <m/>
    <n v="0"/>
    <m/>
    <m/>
    <m/>
    <m/>
  </r>
  <r>
    <n v="169"/>
    <x v="18"/>
    <x v="0"/>
    <x v="0"/>
    <x v="1"/>
    <x v="0"/>
    <x v="4"/>
    <s v="PWEGPL"/>
    <s v="MSEDCL"/>
    <n v="2.5000000000000001E-2"/>
    <n v="9922"/>
    <x v="118"/>
    <m/>
    <d v="1899-12-30T13:45:00"/>
    <d v="1899-12-30T13:45:00"/>
    <d v="1899-12-30T15:07:00"/>
    <n v="0"/>
    <n v="1.3666666666666671"/>
    <n v="1.3666666666666671"/>
    <s v="LC taken for Tree cutting"/>
    <s v="Close"/>
    <n v="3.4166666666666679E-2"/>
    <m/>
    <n v="0"/>
    <m/>
    <m/>
    <m/>
    <n v="0"/>
    <m/>
    <m/>
    <m/>
    <m/>
  </r>
  <r>
    <n v="170"/>
    <x v="18"/>
    <x v="0"/>
    <x v="0"/>
    <x v="1"/>
    <x v="0"/>
    <x v="15"/>
    <s v="PWEGPL"/>
    <s v="MSEDCL"/>
    <n v="2.5000000000000001E-2"/>
    <n v="800"/>
    <x v="120"/>
    <m/>
    <d v="1899-12-30T12:56:00"/>
    <d v="1899-12-30T14:45:00"/>
    <d v="1899-12-30T15:04:00"/>
    <n v="1.8166666666666682"/>
    <n v="0.31666666666666554"/>
    <n v="2.1333333333333337"/>
    <s v="Troubleshooting done &amp; Reset the Machine-Material not available"/>
    <s v="Close"/>
    <n v="5.3333333333333344E-2"/>
    <m/>
    <n v="0"/>
    <m/>
    <m/>
    <m/>
    <n v="0"/>
    <m/>
    <m/>
    <m/>
    <m/>
  </r>
  <r>
    <n v="171"/>
    <x v="19"/>
    <x v="0"/>
    <x v="0"/>
    <x v="1"/>
    <x v="0"/>
    <x v="9"/>
    <s v="PWEGPL"/>
    <s v="MSEDCL"/>
    <n v="2.5000000000000001E-2"/>
    <n v="800"/>
    <x v="121"/>
    <m/>
    <d v="1899-12-30T02:37:00"/>
    <d v="1899-12-30T04:10:00"/>
    <d v="1899-12-30T04:54:00"/>
    <n v="1.5500000000000005"/>
    <n v="0.73333333333333339"/>
    <n v="2.2833333333333341"/>
    <s v="Troubleshooting done &amp; Reset the Machine-Material not available"/>
    <s v="Close"/>
    <n v="5.7083333333333354E-2"/>
    <m/>
    <n v="0"/>
    <m/>
    <m/>
    <m/>
    <n v="0"/>
    <m/>
    <m/>
    <m/>
    <m/>
  </r>
  <r>
    <n v="172"/>
    <x v="19"/>
    <x v="0"/>
    <x v="0"/>
    <x v="1"/>
    <x v="0"/>
    <x v="9"/>
    <s v="PWEGPL"/>
    <s v="MSEDCL"/>
    <n v="2.5000000000000001E-2"/>
    <n v="800"/>
    <x v="122"/>
    <m/>
    <d v="1899-12-30T12:53:00"/>
    <d v="1899-12-30T13:30:00"/>
    <d v="1899-12-30T14:46:00"/>
    <n v="0.61666666666666714"/>
    <n v="1.2666666666666675"/>
    <n v="1.8833333333333346"/>
    <s v="Troubleshooting done &amp; Reset the Machine-Material not available"/>
    <s v="Close"/>
    <n v="4.7083333333333366E-2"/>
    <m/>
    <n v="0"/>
    <m/>
    <m/>
    <m/>
    <n v="0"/>
    <m/>
    <m/>
    <m/>
    <m/>
  </r>
  <r>
    <n v="173"/>
    <x v="19"/>
    <x v="0"/>
    <x v="0"/>
    <x v="1"/>
    <x v="0"/>
    <x v="3"/>
    <s v="PWEGPL"/>
    <s v="MSEDCL"/>
    <n v="2.5000000000000001E-2"/>
    <n v="5200"/>
    <x v="123"/>
    <m/>
    <d v="1899-12-30T08:58:00"/>
    <d v="1899-12-30T10:54:00"/>
    <d v="1899-12-30T11:57:00"/>
    <n v="1.9333333333333331"/>
    <n v="1.0499999999999989"/>
    <n v="2.9833333333333321"/>
    <s v="MPCB tripped- Started"/>
    <s v="Close"/>
    <n v="7.4583333333333307E-2"/>
    <m/>
    <n v="0"/>
    <m/>
    <m/>
    <m/>
    <n v="0"/>
    <m/>
    <m/>
    <m/>
    <m/>
  </r>
  <r>
    <n v="174"/>
    <x v="19"/>
    <x v="0"/>
    <x v="0"/>
    <x v="1"/>
    <x v="0"/>
    <x v="15"/>
    <s v="PWEGPL"/>
    <s v="MSEDCL"/>
    <n v="2.5000000000000001E-2"/>
    <n v="800"/>
    <x v="124"/>
    <m/>
    <d v="1899-12-30T12:46:00"/>
    <d v="1899-12-30T15:16:00"/>
    <d v="1899-12-30T16:32:00"/>
    <n v="2.5000000000000018"/>
    <n v="1.2666666666666675"/>
    <n v="3.7666666666666693"/>
    <s v="Troubleshooting done &amp; Reset the Machine-Material not available"/>
    <s v="Close"/>
    <n v="9.4166666666666732E-2"/>
    <m/>
    <n v="0"/>
    <m/>
    <m/>
    <m/>
    <n v="0"/>
    <m/>
    <m/>
    <m/>
    <m/>
  </r>
  <r>
    <n v="175"/>
    <x v="20"/>
    <x v="0"/>
    <x v="0"/>
    <x v="1"/>
    <x v="0"/>
    <x v="21"/>
    <s v="PWEGPL"/>
    <s v="MSEDCL"/>
    <n v="2.5000000000000001E-2"/>
    <n v="205"/>
    <x v="125"/>
    <m/>
    <d v="1899-12-30T13:27:00"/>
    <d v="1899-12-30T15:12:00"/>
    <d v="1899-12-30T15:41:00"/>
    <n v="1.7499999999999991"/>
    <n v="0.48333333333333428"/>
    <n v="2.2333333333333334"/>
    <s v="Oil Topup"/>
    <s v="Close"/>
    <n v="5.5833333333333339E-2"/>
    <m/>
    <n v="0"/>
    <m/>
    <m/>
    <m/>
    <n v="0"/>
    <m/>
    <m/>
    <m/>
    <m/>
  </r>
  <r>
    <n v="176"/>
    <x v="20"/>
    <x v="0"/>
    <x v="0"/>
    <x v="1"/>
    <x v="0"/>
    <x v="17"/>
    <s v="PWEGPL"/>
    <s v="MSEDCL"/>
    <n v="2.5000000000000001E-2"/>
    <n v="800"/>
    <x v="126"/>
    <m/>
    <d v="1899-12-30T07:26:00"/>
    <d v="1899-12-30T09:43:00"/>
    <d v="1899-12-30T09:54:00"/>
    <n v="2.2833333333333332"/>
    <n v="0.18333333333333401"/>
    <n v="2.4666666666666672"/>
    <s v="Troubleshooting done &amp; Reset the Machine-Material not available"/>
    <s v="Close"/>
    <n v="6.1666666666666682E-2"/>
    <m/>
    <n v="0"/>
    <m/>
    <m/>
    <m/>
    <n v="0"/>
    <m/>
    <m/>
    <m/>
    <m/>
  </r>
  <r>
    <n v="177"/>
    <x v="20"/>
    <x v="0"/>
    <x v="0"/>
    <x v="1"/>
    <x v="0"/>
    <x v="9"/>
    <s v="PWEGPL"/>
    <s v="MSEDCL"/>
    <n v="2.5000000000000001E-2"/>
    <n v="800"/>
    <x v="127"/>
    <m/>
    <d v="1899-12-30T12:00:00"/>
    <d v="1899-12-30T13:02:00"/>
    <d v="1899-12-30T13:56:00"/>
    <n v="1.0333333333333323"/>
    <n v="0.90000000000000213"/>
    <n v="1.9333333333333345"/>
    <s v="Troubleshooting done &amp; Reset the Machine-Material not available"/>
    <s v="Close"/>
    <n v="4.8333333333333367E-2"/>
    <m/>
    <n v="0"/>
    <m/>
    <m/>
    <m/>
    <n v="0"/>
    <m/>
    <m/>
    <m/>
    <m/>
  </r>
  <r>
    <n v="178"/>
    <x v="20"/>
    <x v="0"/>
    <x v="0"/>
    <x v="1"/>
    <x v="0"/>
    <x v="11"/>
    <s v="PWEGPL"/>
    <s v="MSEDCL"/>
    <n v="2.5000000000000001E-2"/>
    <n v="205"/>
    <x v="128"/>
    <m/>
    <d v="1899-12-30T07:51:00"/>
    <d v="1899-12-30T11:18:00"/>
    <d v="1899-12-30T12:36:00"/>
    <n v="3.4500000000000011"/>
    <n v="1.2999999999999994"/>
    <n v="4.75"/>
    <s v="Oil Topup"/>
    <s v="Close"/>
    <n v="0.11875000000000001"/>
    <m/>
    <n v="0"/>
    <m/>
    <m/>
    <m/>
    <n v="0"/>
    <m/>
    <m/>
    <m/>
    <m/>
  </r>
  <r>
    <n v="179"/>
    <x v="20"/>
    <x v="0"/>
    <x v="0"/>
    <x v="1"/>
    <x v="0"/>
    <x v="12"/>
    <s v="PWEGPL"/>
    <s v="MSEDCL"/>
    <n v="2.5000000000000001E-2"/>
    <n v="700"/>
    <x v="129"/>
    <m/>
    <d v="1899-12-30T10:12:00"/>
    <d v="1899-12-30T12:43:00"/>
    <d v="1899-12-30T13:17:00"/>
    <n v="2.5166666666666671"/>
    <n v="0.56666666666666732"/>
    <n v="3.0833333333333344"/>
    <s v="Slip ring cleaning done"/>
    <s v="Close"/>
    <n v="7.7083333333333365E-2"/>
    <m/>
    <n v="0"/>
    <m/>
    <m/>
    <m/>
    <n v="0"/>
    <m/>
    <m/>
    <m/>
    <m/>
  </r>
  <r>
    <n v="180"/>
    <x v="20"/>
    <x v="0"/>
    <x v="0"/>
    <x v="1"/>
    <x v="0"/>
    <x v="15"/>
    <s v="PWEGPL"/>
    <s v="MSEDCL"/>
    <n v="2.5000000000000001E-2"/>
    <n v="800"/>
    <x v="130"/>
    <m/>
    <d v="1899-12-30T13:50:00"/>
    <d v="1899-12-30T17:24:00"/>
    <d v="1899-12-30T17:46:00"/>
    <n v="3.5666666666666647"/>
    <n v="0.36666666666666536"/>
    <n v="3.93333333333333"/>
    <s v="Troubleshooting done &amp; Reset the Machine-Material not available"/>
    <s v="Close"/>
    <n v="9.8333333333333259E-2"/>
    <m/>
    <n v="0"/>
    <m/>
    <m/>
    <m/>
    <n v="0"/>
    <m/>
    <m/>
    <m/>
    <m/>
  </r>
  <r>
    <n v="181"/>
    <x v="20"/>
    <x v="0"/>
    <x v="0"/>
    <x v="1"/>
    <x v="0"/>
    <x v="5"/>
    <s v="PWEGPL"/>
    <s v="MSEDCL"/>
    <n v="2.5000000000000001E-2"/>
    <n v="804"/>
    <x v="131"/>
    <m/>
    <d v="1899-12-30T05:37:00"/>
    <d v="1899-12-30T06:17:00"/>
    <d v="1899-12-30T07:12:00"/>
    <n v="0.6666666666666663"/>
    <n v="0.91666666666666607"/>
    <n v="1.5833333333333324"/>
    <s v="Troubleshooting done &amp; Reset the Machine-Material not available"/>
    <s v="Close"/>
    <n v="3.9583333333333311E-2"/>
    <m/>
    <n v="0"/>
    <m/>
    <m/>
    <m/>
    <n v="0"/>
    <m/>
    <m/>
    <m/>
    <m/>
  </r>
  <r>
    <n v="182"/>
    <x v="20"/>
    <x v="0"/>
    <x v="0"/>
    <x v="1"/>
    <x v="0"/>
    <x v="5"/>
    <s v="PWEGPL"/>
    <s v="MSEDCL"/>
    <n v="2.5000000000000001E-2"/>
    <n v="800"/>
    <x v="132"/>
    <m/>
    <d v="1899-12-30T08:52:00"/>
    <d v="1899-12-30T15:29:00"/>
    <d v="1899-12-30T22:37:00"/>
    <n v="6.6166666666666645"/>
    <n v="7.1333333333333346"/>
    <n v="13.75"/>
    <s v="Troubleshooting done &amp; Reset the Machine-Material not available"/>
    <s v="Close"/>
    <n v="0.34375"/>
    <m/>
    <n v="0"/>
    <m/>
    <m/>
    <m/>
    <n v="0"/>
    <m/>
    <m/>
    <m/>
    <m/>
  </r>
  <r>
    <n v="183"/>
    <x v="21"/>
    <x v="0"/>
    <x v="0"/>
    <x v="1"/>
    <x v="0"/>
    <x v="24"/>
    <s v="PWEGPL"/>
    <s v="MSEDCL"/>
    <n v="2.5000000000000001E-2"/>
    <n v="5216"/>
    <x v="133"/>
    <m/>
    <d v="1899-12-30T21:36:00"/>
    <d v="1899-12-30T21:36:00"/>
    <d v="1899-12-30T21:37:00"/>
    <n v="0"/>
    <n v="1.6666666666666607E-2"/>
    <n v="1.6666666666666607E-2"/>
    <s v="Reset &amp; Stand Feeder"/>
    <s v="Close"/>
    <n v="4.1666666666666523E-4"/>
    <m/>
    <n v="0"/>
    <m/>
    <m/>
    <m/>
    <n v="0"/>
    <m/>
    <m/>
    <m/>
    <m/>
  </r>
  <r>
    <n v="184"/>
    <x v="21"/>
    <x v="0"/>
    <x v="0"/>
    <x v="1"/>
    <x v="0"/>
    <x v="17"/>
    <s v="PWEGPL"/>
    <s v="MSEDCL"/>
    <n v="2.5000000000000001E-2"/>
    <n v="800"/>
    <x v="134"/>
    <m/>
    <d v="1899-12-30T02:02:00"/>
    <d v="1899-12-30T05:52:00"/>
    <d v="1899-12-30T12:02:00"/>
    <n v="3.8333333333333344"/>
    <n v="6.1666666666666661"/>
    <n v="10"/>
    <m/>
    <s v="Close"/>
    <n v="0.25"/>
    <m/>
    <n v="0"/>
    <m/>
    <m/>
    <m/>
    <n v="0"/>
    <m/>
    <m/>
    <m/>
    <m/>
  </r>
  <r>
    <n v="185"/>
    <x v="21"/>
    <x v="0"/>
    <x v="0"/>
    <x v="1"/>
    <x v="0"/>
    <x v="33"/>
    <s v="PWEGPL"/>
    <s v="MSEDCL"/>
    <n v="2.5000000000000001E-2"/>
    <n v="205"/>
    <x v="135"/>
    <m/>
    <d v="1899-12-30T10:52:00"/>
    <d v="1899-12-30T10:52:00"/>
    <d v="1899-12-30T11:41:00"/>
    <n v="0"/>
    <n v="0.81666666666666643"/>
    <n v="0.81666666666666643"/>
    <m/>
    <s v="Close"/>
    <n v="2.0416666666666663E-2"/>
    <m/>
    <n v="0"/>
    <m/>
    <m/>
    <m/>
    <n v="0"/>
    <m/>
    <m/>
    <m/>
    <m/>
  </r>
  <r>
    <n v="186"/>
    <x v="21"/>
    <x v="0"/>
    <x v="0"/>
    <x v="1"/>
    <x v="0"/>
    <x v="34"/>
    <s v="PWEGPL"/>
    <s v="MSEDCL"/>
    <n v="2.5000000000000001E-2"/>
    <n v="5216"/>
    <x v="133"/>
    <m/>
    <d v="1899-12-30T21:36:00"/>
    <d v="1899-12-30T21:36:00"/>
    <d v="1899-12-30T21:37:00"/>
    <n v="0"/>
    <n v="1.6666666666666607E-2"/>
    <n v="1.6666666666666607E-2"/>
    <s v="Reset &amp; Stand Feeder"/>
    <s v="Close"/>
    <n v="4.1666666666666523E-4"/>
    <m/>
    <n v="0"/>
    <m/>
    <m/>
    <m/>
    <n v="0"/>
    <m/>
    <m/>
    <m/>
    <m/>
  </r>
  <r>
    <n v="187"/>
    <x v="21"/>
    <x v="0"/>
    <x v="0"/>
    <x v="1"/>
    <x v="0"/>
    <x v="1"/>
    <s v="PWEGPL"/>
    <s v="MSEDCL"/>
    <n v="2.5000000000000001E-2"/>
    <n v="5216"/>
    <x v="133"/>
    <m/>
    <d v="1899-12-30T21:36:00"/>
    <d v="1899-12-30T21:36:00"/>
    <d v="1899-12-30T21:37:00"/>
    <n v="0"/>
    <n v="1.6666666666666607E-2"/>
    <n v="1.6666666666666607E-2"/>
    <s v="Reset &amp; Stand Feeder"/>
    <s v="Close"/>
    <n v="4.1666666666666523E-4"/>
    <m/>
    <n v="0"/>
    <m/>
    <m/>
    <m/>
    <n v="0"/>
    <m/>
    <m/>
    <m/>
    <m/>
  </r>
  <r>
    <n v="188"/>
    <x v="21"/>
    <x v="0"/>
    <x v="0"/>
    <x v="1"/>
    <x v="0"/>
    <x v="35"/>
    <s v="PWEGPL"/>
    <s v="MSEDCL"/>
    <n v="2.5000000000000001E-2"/>
    <n v="907"/>
    <x v="136"/>
    <m/>
    <d v="1899-12-30T21:39:00"/>
    <d v="1899-12-30T23:59:00"/>
    <d v="1899-12-30T23:59:00"/>
    <n v="2.3333333333333357"/>
    <n v="0"/>
    <n v="2.3333333333333357"/>
    <m/>
    <s v="Close"/>
    <n v="5.8333333333333397E-2"/>
    <m/>
    <n v="0"/>
    <m/>
    <m/>
    <m/>
    <n v="0"/>
    <m/>
    <m/>
    <m/>
    <m/>
  </r>
  <r>
    <n v="189"/>
    <x v="21"/>
    <x v="0"/>
    <x v="0"/>
    <x v="1"/>
    <x v="0"/>
    <x v="36"/>
    <s v="PWEGPL"/>
    <s v="MSEDCL"/>
    <n v="2.5000000000000001E-2"/>
    <n v="5216"/>
    <x v="133"/>
    <m/>
    <d v="1899-12-30T21:36:00"/>
    <d v="1899-12-30T21:36:00"/>
    <d v="1899-12-30T21:37:00"/>
    <n v="0"/>
    <n v="1.6666666666666607E-2"/>
    <n v="1.6666666666666607E-2"/>
    <s v="Reset &amp; Stand Feeder"/>
    <s v="Close"/>
    <n v="4.1666666666666523E-4"/>
    <m/>
    <n v="0"/>
    <m/>
    <m/>
    <m/>
    <n v="0"/>
    <m/>
    <m/>
    <m/>
    <m/>
  </r>
  <r>
    <n v="190"/>
    <x v="21"/>
    <x v="0"/>
    <x v="0"/>
    <x v="1"/>
    <x v="0"/>
    <x v="2"/>
    <s v="PWEGPL"/>
    <s v="MSEDCL"/>
    <n v="2.5000000000000001E-2"/>
    <n v="900"/>
    <x v="137"/>
    <m/>
    <d v="1899-12-30T21:50:00"/>
    <d v="1899-12-30T23:33:00"/>
    <d v="1899-12-30T23:59:00"/>
    <n v="1.7166666666666686"/>
    <n v="0.43333333333333179"/>
    <n v="2.1500000000000004"/>
    <m/>
    <s v="Close"/>
    <n v="5.3750000000000013E-2"/>
    <m/>
    <n v="0"/>
    <m/>
    <m/>
    <m/>
    <n v="0"/>
    <m/>
    <m/>
    <m/>
    <m/>
  </r>
  <r>
    <n v="191"/>
    <x v="21"/>
    <x v="0"/>
    <x v="0"/>
    <x v="1"/>
    <x v="0"/>
    <x v="8"/>
    <s v="PWEGPL"/>
    <s v="MSEDCL"/>
    <n v="2.5000000000000001E-2"/>
    <n v="205"/>
    <x v="138"/>
    <m/>
    <d v="1899-12-30T14:20:00"/>
    <d v="1899-12-30T14:49:00"/>
    <d v="1899-12-30T23:59:00"/>
    <n v="0.48333333333333428"/>
    <n v="9.1666666666666661"/>
    <n v="9.65"/>
    <s v="WIP- Oil seal replacment"/>
    <s v="Open"/>
    <n v="0.24125000000000002"/>
    <m/>
    <n v="0"/>
    <m/>
    <m/>
    <m/>
    <n v="0"/>
    <m/>
    <m/>
    <m/>
    <m/>
  </r>
  <r>
    <n v="192"/>
    <x v="21"/>
    <x v="0"/>
    <x v="0"/>
    <x v="1"/>
    <x v="0"/>
    <x v="9"/>
    <s v="PWEGPL"/>
    <s v="MSEDCL"/>
    <n v="2.5000000000000001E-2"/>
    <n v="800"/>
    <x v="139"/>
    <m/>
    <d v="1899-12-30T08:21:00"/>
    <d v="1899-12-30T12:21:00"/>
    <d v="1899-12-30T16:16:00"/>
    <n v="3.9999999999999991"/>
    <n v="3.9166666666666661"/>
    <n v="7.9166666666666652"/>
    <m/>
    <s v="Close"/>
    <n v="0.19791666666666663"/>
    <m/>
    <n v="0"/>
    <m/>
    <m/>
    <m/>
    <n v="0"/>
    <m/>
    <m/>
    <m/>
    <m/>
  </r>
  <r>
    <n v="193"/>
    <x v="21"/>
    <x v="0"/>
    <x v="0"/>
    <x v="1"/>
    <x v="0"/>
    <x v="10"/>
    <s v="PWEGPL"/>
    <s v="MSEDCL"/>
    <n v="2.5000000000000001E-2"/>
    <n v="5216"/>
    <x v="133"/>
    <m/>
    <d v="1899-12-30T21:36:00"/>
    <d v="1899-12-30T21:36:00"/>
    <d v="1899-12-30T21:37:00"/>
    <n v="0"/>
    <n v="1.6666666666666607E-2"/>
    <n v="1.6666666666666607E-2"/>
    <s v="Reset &amp; Stand Feeder"/>
    <s v="Close"/>
    <n v="4.1666666666666523E-4"/>
    <m/>
    <n v="0"/>
    <m/>
    <m/>
    <m/>
    <n v="0"/>
    <m/>
    <m/>
    <m/>
    <m/>
  </r>
  <r>
    <n v="194"/>
    <x v="21"/>
    <x v="0"/>
    <x v="0"/>
    <x v="1"/>
    <x v="0"/>
    <x v="11"/>
    <s v="PWEGPL"/>
    <s v="MSEDCL"/>
    <n v="2.5000000000000001E-2"/>
    <n v="5216"/>
    <x v="133"/>
    <m/>
    <d v="1899-12-30T21:36:00"/>
    <d v="1899-12-30T21:36:00"/>
    <d v="1899-12-30T21:37:00"/>
    <n v="0"/>
    <n v="1.6666666666666607E-2"/>
    <n v="1.6666666666666607E-2"/>
    <s v="Reset &amp; Stand Feeder"/>
    <s v="Close"/>
    <n v="4.1666666666666523E-4"/>
    <m/>
    <n v="0"/>
    <m/>
    <m/>
    <m/>
    <n v="0"/>
    <m/>
    <m/>
    <m/>
    <m/>
  </r>
  <r>
    <n v="195"/>
    <x v="21"/>
    <x v="0"/>
    <x v="0"/>
    <x v="1"/>
    <x v="0"/>
    <x v="12"/>
    <s v="PWEGPL"/>
    <s v="MSEDCL"/>
    <n v="2.5000000000000001E-2"/>
    <n v="5216"/>
    <x v="133"/>
    <m/>
    <d v="1899-12-30T21:36:00"/>
    <d v="1899-12-30T21:36:00"/>
    <d v="1899-12-30T21:37:00"/>
    <n v="0"/>
    <n v="1.6666666666666607E-2"/>
    <n v="1.6666666666666607E-2"/>
    <s v="Reset &amp; Stand Feeder"/>
    <s v="Close"/>
    <n v="4.1666666666666523E-4"/>
    <m/>
    <n v="0"/>
    <m/>
    <m/>
    <m/>
    <n v="0"/>
    <m/>
    <m/>
    <m/>
    <m/>
  </r>
  <r>
    <n v="196"/>
    <x v="21"/>
    <x v="0"/>
    <x v="0"/>
    <x v="1"/>
    <x v="0"/>
    <x v="3"/>
    <s v="PWEGPL"/>
    <s v="MSEDCL"/>
    <n v="2.5000000000000001E-2"/>
    <n v="5216"/>
    <x v="140"/>
    <m/>
    <d v="1899-12-30T23:33:00"/>
    <d v="1899-12-30T23:33:00"/>
    <d v="1899-12-30T23:53:00"/>
    <n v="0"/>
    <n v="0.33333333333333215"/>
    <n v="0.33333333333333215"/>
    <s v="Reset &amp; Stand Feeder"/>
    <s v="Close"/>
    <n v="8.3333333333333037E-3"/>
    <m/>
    <n v="0"/>
    <m/>
    <m/>
    <m/>
    <n v="0"/>
    <m/>
    <m/>
    <m/>
    <m/>
  </r>
  <r>
    <n v="197"/>
    <x v="21"/>
    <x v="0"/>
    <x v="0"/>
    <x v="1"/>
    <x v="0"/>
    <x v="13"/>
    <s v="PWEGPL"/>
    <s v="MSEDCL"/>
    <n v="2.5000000000000001E-2"/>
    <n v="5216"/>
    <x v="140"/>
    <m/>
    <d v="1899-12-30T23:33:00"/>
    <d v="1899-12-30T23:33:00"/>
    <d v="1899-12-30T23:53:00"/>
    <n v="0"/>
    <n v="0.33333333333333215"/>
    <n v="0.33333333333333215"/>
    <s v="Reset &amp; Stand Feeder"/>
    <s v="Close"/>
    <n v="8.3333333333333037E-3"/>
    <m/>
    <n v="0"/>
    <m/>
    <m/>
    <m/>
    <n v="0"/>
    <m/>
    <m/>
    <m/>
    <m/>
  </r>
  <r>
    <n v="198"/>
    <x v="21"/>
    <x v="0"/>
    <x v="0"/>
    <x v="1"/>
    <x v="0"/>
    <x v="14"/>
    <s v="PWEGPL"/>
    <s v="MSEDCL"/>
    <n v="2.5000000000000001E-2"/>
    <n v="5216"/>
    <x v="140"/>
    <m/>
    <d v="1899-12-30T23:33:00"/>
    <d v="1899-12-30T23:33:00"/>
    <d v="1899-12-30T23:53:00"/>
    <n v="0"/>
    <n v="0.33333333333333215"/>
    <n v="0.33333333333333215"/>
    <s v="Reset &amp; Stand Feeder"/>
    <s v="Close"/>
    <n v="8.3333333333333037E-3"/>
    <m/>
    <n v="0"/>
    <m/>
    <m/>
    <m/>
    <n v="0"/>
    <m/>
    <m/>
    <m/>
    <m/>
  </r>
  <r>
    <n v="199"/>
    <x v="21"/>
    <x v="0"/>
    <x v="0"/>
    <x v="1"/>
    <x v="0"/>
    <x v="15"/>
    <s v="PWEGPL"/>
    <s v="MSEDCL"/>
    <n v="2.5000000000000001E-2"/>
    <n v="800"/>
    <x v="141"/>
    <m/>
    <d v="1899-12-30T12:41:00"/>
    <d v="1899-12-30T12:41:00"/>
    <d v="1899-12-30T13:29:00"/>
    <n v="0"/>
    <n v="0.79999999999999982"/>
    <n v="0.79999999999999982"/>
    <m/>
    <s v="Close"/>
    <n v="1.9999999999999997E-2"/>
    <m/>
    <n v="0"/>
    <m/>
    <m/>
    <m/>
    <n v="0"/>
    <m/>
    <m/>
    <m/>
    <m/>
  </r>
  <r>
    <n v="200"/>
    <x v="21"/>
    <x v="0"/>
    <x v="0"/>
    <x v="1"/>
    <x v="0"/>
    <x v="16"/>
    <s v="PWEGPL"/>
    <s v="MSEDCL"/>
    <n v="2.5000000000000001E-2"/>
    <n v="5216"/>
    <x v="140"/>
    <m/>
    <d v="1899-12-30T23:33:00"/>
    <d v="1899-12-30T23:33:00"/>
    <d v="1899-12-30T23:53:00"/>
    <n v="0"/>
    <n v="0.33333333333333215"/>
    <n v="0.33333333333333215"/>
    <s v="Reset &amp; Stand Feeder"/>
    <s v="Close"/>
    <n v="8.3333333333333037E-3"/>
    <m/>
    <n v="0"/>
    <m/>
    <m/>
    <m/>
    <n v="0"/>
    <m/>
    <m/>
    <m/>
    <m/>
  </r>
  <r>
    <n v="201"/>
    <x v="21"/>
    <x v="0"/>
    <x v="0"/>
    <x v="1"/>
    <x v="0"/>
    <x v="4"/>
    <s v="PWEGPL"/>
    <s v="MSEDCL"/>
    <n v="2.5000000000000001E-2"/>
    <n v="5216"/>
    <x v="140"/>
    <m/>
    <d v="1899-12-30T23:33:00"/>
    <d v="1899-12-30T23:33:00"/>
    <d v="1899-12-30T23:53:00"/>
    <n v="0"/>
    <n v="0.33333333333333215"/>
    <n v="0.33333333333333215"/>
    <s v="Reset &amp; Stand Feeder"/>
    <s v="Close"/>
    <n v="8.3333333333333037E-3"/>
    <m/>
    <n v="0"/>
    <m/>
    <m/>
    <m/>
    <n v="0"/>
    <m/>
    <m/>
    <m/>
    <m/>
  </r>
  <r>
    <n v="202"/>
    <x v="21"/>
    <x v="0"/>
    <x v="0"/>
    <x v="1"/>
    <x v="0"/>
    <x v="5"/>
    <s v="PWEGPL"/>
    <s v="MSEDCL"/>
    <n v="2.5000000000000001E-2"/>
    <n v="800"/>
    <x v="142"/>
    <m/>
    <m/>
    <d v="1899-12-30T01:00:00"/>
    <d v="1899-12-30T23:59:00"/>
    <n v="1"/>
    <n v="22.983333333333334"/>
    <n v="23.983333333333334"/>
    <m/>
    <s v="Close"/>
    <n v="0.59958333333333336"/>
    <m/>
    <n v="0"/>
    <m/>
    <m/>
    <m/>
    <n v="0"/>
    <m/>
    <m/>
    <m/>
    <m/>
  </r>
  <r>
    <n v="203"/>
    <x v="21"/>
    <x v="0"/>
    <x v="0"/>
    <x v="1"/>
    <x v="0"/>
    <x v="6"/>
    <s v="PWEGPL"/>
    <s v="MSEDCL"/>
    <n v="2.5000000000000001E-2"/>
    <n v="5216"/>
    <x v="140"/>
    <m/>
    <d v="1899-12-30T23:33:00"/>
    <d v="1899-12-30T23:33:00"/>
    <d v="1899-12-30T23:53:00"/>
    <n v="0"/>
    <n v="0.33333333333333215"/>
    <n v="0.33333333333333215"/>
    <s v="Reset &amp; Stand Feeder"/>
    <s v="Close"/>
    <n v="8.3333333333333037E-3"/>
    <m/>
    <n v="0"/>
    <m/>
    <m/>
    <m/>
    <n v="0"/>
    <m/>
    <m/>
    <m/>
    <m/>
  </r>
  <r>
    <n v="204"/>
    <x v="21"/>
    <x v="0"/>
    <x v="0"/>
    <x v="1"/>
    <x v="0"/>
    <x v="7"/>
    <s v="PWEGPL"/>
    <s v="MSEDCL"/>
    <n v="2.5000000000000001E-2"/>
    <n v="5212"/>
    <x v="143"/>
    <m/>
    <d v="1899-12-30T22:11:00"/>
    <d v="1899-12-30T23:33:00"/>
    <d v="1899-12-30T23:59:00"/>
    <n v="1.3666666666666671"/>
    <n v="0.43333333333333179"/>
    <n v="1.7999999999999989"/>
    <m/>
    <s v="Close"/>
    <n v="4.4999999999999978E-2"/>
    <m/>
    <n v="0"/>
    <m/>
    <m/>
    <m/>
    <n v="0"/>
    <m/>
    <m/>
    <m/>
    <m/>
  </r>
  <r>
    <n v="205"/>
    <x v="21"/>
    <x v="0"/>
    <x v="0"/>
    <x v="1"/>
    <x v="0"/>
    <x v="7"/>
    <s v="PWEGPL"/>
    <s v="MSEDCL"/>
    <n v="2.5000000000000001E-2"/>
    <n v="5216"/>
    <x v="140"/>
    <m/>
    <d v="1899-12-30T23:33:00"/>
    <d v="1899-12-30T23:33:00"/>
    <d v="1899-12-30T23:53:00"/>
    <n v="0"/>
    <n v="0.33333333333333215"/>
    <n v="0.33333333333333215"/>
    <s v="Reset &amp; Stand Feeder"/>
    <s v="Close"/>
    <n v="8.3333333333333037E-3"/>
    <m/>
    <n v="0"/>
    <m/>
    <m/>
    <m/>
    <n v="0"/>
    <m/>
    <m/>
    <m/>
    <m/>
  </r>
  <r>
    <n v="206"/>
    <x v="21"/>
    <x v="0"/>
    <x v="0"/>
    <x v="1"/>
    <x v="0"/>
    <x v="15"/>
    <s v="PWEGPL"/>
    <s v="MSEDCL"/>
    <n v="2.5000000000000001E-2"/>
    <n v="800"/>
    <x v="140"/>
    <m/>
    <d v="1899-12-30T23:33:00"/>
    <d v="1899-12-30T23:33:00"/>
    <d v="1899-12-30T23:53:00"/>
    <n v="0"/>
    <n v="0.33333333333333215"/>
    <n v="0.33333333333333215"/>
    <s v="Reset &amp; Stand Feeder"/>
    <s v="Close"/>
    <n v="8.3333333333333037E-3"/>
    <m/>
    <n v="0"/>
    <m/>
    <m/>
    <m/>
    <n v="0"/>
    <m/>
    <m/>
    <m/>
    <m/>
  </r>
  <r>
    <n v="207"/>
    <x v="21"/>
    <x v="0"/>
    <x v="0"/>
    <x v="1"/>
    <x v="0"/>
    <x v="5"/>
    <s v="PWEGPL"/>
    <s v="MSEDCL"/>
    <n v="2.5000000000000001E-2"/>
    <n v="800"/>
    <x v="140"/>
    <m/>
    <d v="1899-12-30T23:33:00"/>
    <d v="1899-12-30T23:33:00"/>
    <d v="1899-12-30T23:53:00"/>
    <n v="0"/>
    <n v="0.33333333333333215"/>
    <n v="0.33333333333333215"/>
    <s v="Reset &amp; Stand Feeder"/>
    <s v="Close"/>
    <n v="8.3333333333333037E-3"/>
    <m/>
    <n v="0"/>
    <m/>
    <m/>
    <m/>
    <n v="0"/>
    <m/>
    <m/>
    <m/>
    <m/>
  </r>
  <r>
    <n v="208"/>
    <x v="22"/>
    <x v="0"/>
    <x v="0"/>
    <x v="1"/>
    <x v="0"/>
    <x v="17"/>
    <s v="PWEGPL"/>
    <s v="MSEDCL"/>
    <n v="2.5000000000000001E-2"/>
    <n v="800"/>
    <x v="144"/>
    <m/>
    <d v="1899-12-30T05:22:00"/>
    <d v="1899-12-30T09:35:00"/>
    <d v="1899-12-30T10:41:00"/>
    <n v="4.2166666666666677"/>
    <n v="1.1000000000000001"/>
    <n v="5.3166666666666682"/>
    <s v="Reset"/>
    <s v="Close"/>
    <n v="0.13291666666666671"/>
    <m/>
    <n v="0"/>
    <m/>
    <m/>
    <m/>
    <n v="0"/>
    <m/>
    <m/>
    <m/>
    <m/>
  </r>
  <r>
    <n v="209"/>
    <x v="22"/>
    <x v="0"/>
    <x v="0"/>
    <x v="1"/>
    <x v="0"/>
    <x v="29"/>
    <s v="PWEGPL"/>
    <s v="MSEDCL"/>
    <n v="2.5000000000000001E-2"/>
    <n v="5212"/>
    <x v="145"/>
    <m/>
    <d v="1899-12-30T14:47:00"/>
    <d v="1899-12-30T14:47:00"/>
    <d v="1899-12-30T17:06:00"/>
    <n v="0"/>
    <n v="2.3166666666666664"/>
    <n v="2.3166666666666664"/>
    <s v="Reset"/>
    <s v="Close"/>
    <n v="5.7916666666666665E-2"/>
    <m/>
    <n v="0"/>
    <m/>
    <m/>
    <m/>
    <n v="0"/>
    <m/>
    <m/>
    <m/>
    <m/>
  </r>
  <r>
    <n v="210"/>
    <x v="22"/>
    <x v="0"/>
    <x v="0"/>
    <x v="1"/>
    <x v="0"/>
    <x v="39"/>
    <s v="PWEGPL"/>
    <s v="MSEDCL"/>
    <n v="2.5000000000000001E-2"/>
    <n v="205"/>
    <x v="146"/>
    <m/>
    <d v="1899-12-30T22:34:00"/>
    <d v="1899-12-30T22:50:00"/>
    <d v="1899-12-30T23:13:00"/>
    <n v="0.26666666666666572"/>
    <n v="0.38333333333333197"/>
    <n v="0.64999999999999769"/>
    <s v="Oil Topup"/>
    <s v="Close"/>
    <n v="1.6249999999999942E-2"/>
    <m/>
    <n v="0"/>
    <m/>
    <m/>
    <m/>
    <n v="0"/>
    <m/>
    <m/>
    <m/>
    <m/>
  </r>
  <r>
    <n v="211"/>
    <x v="22"/>
    <x v="0"/>
    <x v="0"/>
    <x v="1"/>
    <x v="0"/>
    <x v="35"/>
    <s v="PWEGPL"/>
    <s v="MSEDCL"/>
    <n v="2.5000000000000001E-2"/>
    <n v="907"/>
    <x v="147"/>
    <m/>
    <d v="1899-12-30T00:00:00"/>
    <d v="1899-12-30T02:14:00"/>
    <d v="1899-12-30T02:17:00"/>
    <n v="2.2333333333333334"/>
    <n v="4.9999999999999822E-2"/>
    <n v="2.2833333333333332"/>
    <s v="Reset"/>
    <s v="Close"/>
    <n v="5.7083333333333333E-2"/>
    <m/>
    <n v="0"/>
    <m/>
    <m/>
    <m/>
    <n v="0"/>
    <m/>
    <m/>
    <m/>
    <m/>
  </r>
  <r>
    <n v="212"/>
    <x v="22"/>
    <x v="0"/>
    <x v="0"/>
    <x v="1"/>
    <x v="0"/>
    <x v="2"/>
    <s v="PWEGPL"/>
    <s v="MSEDCL"/>
    <n v="2.5000000000000001E-2"/>
    <n v="900"/>
    <x v="148"/>
    <m/>
    <d v="1899-12-30T00:00:00"/>
    <d v="1899-12-30T02:44:00"/>
    <d v="1899-12-30T02:45:00"/>
    <n v="2.7333333333333334"/>
    <n v="1.6666666666666607E-2"/>
    <n v="2.75"/>
    <s v="Reset"/>
    <s v="Close"/>
    <n v="6.8750000000000006E-2"/>
    <m/>
    <n v="0"/>
    <m/>
    <m/>
    <m/>
    <n v="0"/>
    <m/>
    <m/>
    <m/>
    <m/>
  </r>
  <r>
    <n v="213"/>
    <x v="22"/>
    <x v="0"/>
    <x v="0"/>
    <x v="1"/>
    <x v="0"/>
    <x v="8"/>
    <s v="PWEGPL"/>
    <s v="MSEDCL"/>
    <n v="2.5000000000000001E-2"/>
    <n v="205"/>
    <x v="149"/>
    <m/>
    <d v="1899-12-30T00:00:00"/>
    <d v="1899-12-30T15:18:00"/>
    <d v="1899-12-30T16:12:00"/>
    <n v="15.3"/>
    <n v="0.8999999999999968"/>
    <n v="16.2"/>
    <s v="Oil Caliper seal replacement"/>
    <s v="Close"/>
    <n v="0.40500000000000003"/>
    <m/>
    <n v="0"/>
    <m/>
    <m/>
    <m/>
    <n v="0"/>
    <m/>
    <m/>
    <m/>
    <m/>
  </r>
  <r>
    <n v="214"/>
    <x v="22"/>
    <x v="0"/>
    <x v="0"/>
    <x v="1"/>
    <x v="0"/>
    <x v="9"/>
    <s v="PWEGPL"/>
    <s v="MSEDCL"/>
    <n v="2.5000000000000001E-2"/>
    <n v="800"/>
    <x v="150"/>
    <m/>
    <d v="1899-12-30T05:02:00"/>
    <d v="1899-12-30T06:02:00"/>
    <d v="1899-12-30T07:28:00"/>
    <n v="0.99999999999999978"/>
    <n v="1.4333333333333336"/>
    <n v="2.4333333333333336"/>
    <s v="Reset"/>
    <s v="Close"/>
    <n v="6.0833333333333343E-2"/>
    <m/>
    <n v="0"/>
    <m/>
    <m/>
    <m/>
    <n v="0"/>
    <m/>
    <m/>
    <m/>
    <m/>
  </r>
  <r>
    <n v="215"/>
    <x v="22"/>
    <x v="0"/>
    <x v="0"/>
    <x v="1"/>
    <x v="0"/>
    <x v="9"/>
    <s v="PWEGPL"/>
    <s v="MSEDCL"/>
    <n v="2.5000000000000001E-2"/>
    <n v="800"/>
    <x v="151"/>
    <m/>
    <d v="1899-12-30T13:39:00"/>
    <d v="1899-12-30T14:35:00"/>
    <d v="1899-12-30T14:54:00"/>
    <n v="0.93333333333333535"/>
    <n v="0.31666666666666554"/>
    <n v="1.2500000000000009"/>
    <s v="Reset"/>
    <s v="Close"/>
    <n v="3.1250000000000021E-2"/>
    <m/>
    <n v="0"/>
    <m/>
    <m/>
    <m/>
    <n v="0"/>
    <m/>
    <m/>
    <m/>
    <m/>
  </r>
  <r>
    <n v="216"/>
    <x v="22"/>
    <x v="0"/>
    <x v="0"/>
    <x v="1"/>
    <x v="0"/>
    <x v="5"/>
    <s v="PWEGPL"/>
    <s v="MSEDCL"/>
    <n v="2.5000000000000001E-2"/>
    <n v="800"/>
    <x v="152"/>
    <m/>
    <d v="1899-12-30T00:00:00"/>
    <d v="1899-12-30T02:24:00"/>
    <d v="1899-12-30T07:10:00"/>
    <n v="2.4"/>
    <n v="4.7666666666666675"/>
    <n v="7.1666666666666661"/>
    <s v="Propotional valve changed"/>
    <s v="Close"/>
    <n v="0.17916666666666667"/>
    <m/>
    <n v="0"/>
    <m/>
    <m/>
    <m/>
    <n v="0"/>
    <m/>
    <m/>
    <m/>
    <m/>
  </r>
  <r>
    <n v="217"/>
    <x v="22"/>
    <x v="0"/>
    <x v="0"/>
    <x v="1"/>
    <x v="0"/>
    <x v="7"/>
    <s v="PWEGPL"/>
    <s v="MSEDCL"/>
    <n v="2.5000000000000001E-2"/>
    <n v="5212"/>
    <x v="153"/>
    <m/>
    <d v="1899-12-30T00:00:00"/>
    <d v="1899-12-30T02:49:00"/>
    <d v="1899-12-30T03:19:00"/>
    <n v="2.8166666666666664"/>
    <n v="0.49999999999999989"/>
    <n v="3.3166666666666664"/>
    <s v="MPCB changrd"/>
    <s v="Close"/>
    <n v="8.2916666666666666E-2"/>
    <m/>
    <n v="0"/>
    <m/>
    <m/>
    <m/>
    <n v="0"/>
    <m/>
    <m/>
    <m/>
    <m/>
  </r>
  <r>
    <n v="218"/>
    <x v="23"/>
    <x v="0"/>
    <x v="0"/>
    <x v="1"/>
    <x v="0"/>
    <x v="29"/>
    <s v="PWEGPL"/>
    <s v="MSEDCL"/>
    <n v="2.5000000000000001E-2"/>
    <s v="CE100001"/>
    <x v="154"/>
    <m/>
    <d v="1899-12-30T11:11:00"/>
    <d v="1899-12-30T11:11:00"/>
    <d v="1899-12-30T17:31:00"/>
    <n v="0"/>
    <n v="6.3333333333333321"/>
    <n v="6.3333333333333321"/>
    <s v="Yaw caliper oil seal replacement"/>
    <s v="Close"/>
    <n v="0.15833333333333333"/>
    <m/>
    <n v="0"/>
    <m/>
    <m/>
    <m/>
    <n v="0"/>
    <m/>
    <m/>
    <m/>
    <m/>
  </r>
  <r>
    <n v="219"/>
    <x v="23"/>
    <x v="0"/>
    <x v="0"/>
    <x v="1"/>
    <x v="0"/>
    <x v="29"/>
    <s v="PWEGPL"/>
    <s v="MSEDCL"/>
    <n v="2.5000000000000001E-2"/>
    <n v="2118"/>
    <x v="155"/>
    <m/>
    <d v="1899-12-30T21:52:00"/>
    <d v="1899-12-30T23:59:00"/>
    <d v="1899-12-30T23:59:00"/>
    <n v="2.1166666666666671"/>
    <n v="0"/>
    <n v="2.1166666666666671"/>
    <s v="Reset"/>
    <s v="Close"/>
    <n v="5.2916666666666681E-2"/>
    <m/>
    <n v="0"/>
    <m/>
    <m/>
    <m/>
    <n v="0"/>
    <m/>
    <m/>
    <m/>
    <m/>
  </r>
  <r>
    <n v="220"/>
    <x v="23"/>
    <x v="0"/>
    <x v="0"/>
    <x v="1"/>
    <x v="0"/>
    <x v="37"/>
    <s v="PWEGPL"/>
    <s v="MSEDCL"/>
    <n v="2.5000000000000001E-2"/>
    <n v="2118"/>
    <x v="156"/>
    <m/>
    <d v="1899-12-30T22:00:00"/>
    <d v="1899-12-30T23:59:00"/>
    <d v="1899-12-30T23:59:00"/>
    <n v="1.9833333333333343"/>
    <n v="0"/>
    <n v="1.9833333333333343"/>
    <s v="Reset"/>
    <s v="Close"/>
    <n v="4.9583333333333361E-2"/>
    <m/>
    <n v="0"/>
    <m/>
    <m/>
    <m/>
    <n v="0"/>
    <m/>
    <m/>
    <m/>
    <m/>
  </r>
  <r>
    <n v="221"/>
    <x v="23"/>
    <x v="0"/>
    <x v="0"/>
    <x v="1"/>
    <x v="0"/>
    <x v="9"/>
    <s v="PWEGPL"/>
    <s v="MSEDCL"/>
    <n v="2.5000000000000001E-2"/>
    <n v="800"/>
    <x v="157"/>
    <m/>
    <d v="1899-12-30T12:42:00"/>
    <d v="1899-12-30T12:42:00"/>
    <d v="1899-12-30T16:14:00"/>
    <n v="0"/>
    <n v="3.5333333333333341"/>
    <n v="3.5333333333333341"/>
    <s v="Propotional valve changed"/>
    <s v="Close"/>
    <n v="8.8333333333333361E-2"/>
    <m/>
    <n v="0"/>
    <m/>
    <m/>
    <m/>
    <n v="0"/>
    <m/>
    <m/>
    <m/>
    <m/>
  </r>
  <r>
    <n v="222"/>
    <x v="23"/>
    <x v="0"/>
    <x v="0"/>
    <x v="1"/>
    <x v="0"/>
    <x v="15"/>
    <s v="PWEGPL"/>
    <s v="MSEDCL"/>
    <n v="2.5000000000000001E-2"/>
    <n v="125"/>
    <x v="158"/>
    <m/>
    <d v="1899-12-30T13:05:00"/>
    <d v="1899-12-30T16:30:00"/>
    <d v="1899-12-30T23:52:00"/>
    <n v="3.4166666666666652"/>
    <n v="7.3666666666666671"/>
    <n v="10.783333333333331"/>
    <s v="Yaw motor replaced"/>
    <s v="Close"/>
    <n v="0.26958333333333329"/>
    <m/>
    <n v="0"/>
    <m/>
    <m/>
    <m/>
    <n v="0"/>
    <m/>
    <m/>
    <m/>
    <m/>
  </r>
  <r>
    <n v="223"/>
    <x v="24"/>
    <x v="0"/>
    <x v="0"/>
    <x v="1"/>
    <x v="0"/>
    <x v="25"/>
    <s v="PWEGPL"/>
    <s v="MSEDCL"/>
    <n v="2.5000000000000001E-2"/>
    <n v="101"/>
    <x v="159"/>
    <m/>
    <d v="1899-12-30T16:49:00"/>
    <d v="1899-12-30T17:22:00"/>
    <d v="1899-12-30T17:32:00"/>
    <n v="0.55000000000000071"/>
    <n v="0.16666666666666874"/>
    <n v="0.71666666666666945"/>
    <s v="Reset"/>
    <s v="Close"/>
    <n v="1.7916666666666737E-2"/>
    <m/>
    <n v="0"/>
    <m/>
    <m/>
    <m/>
    <n v="0"/>
    <m/>
    <m/>
    <m/>
    <m/>
  </r>
  <r>
    <n v="224"/>
    <x v="24"/>
    <x v="0"/>
    <x v="0"/>
    <x v="1"/>
    <x v="0"/>
    <x v="29"/>
    <s v="PWEGPL"/>
    <s v="MSEDCL"/>
    <n v="2.5000000000000001E-2"/>
    <n v="2118"/>
    <x v="160"/>
    <m/>
    <d v="1899-12-30T00:00:00"/>
    <d v="1899-12-30T01:11:00"/>
    <d v="1899-12-30T01:29:00"/>
    <n v="1.1833333333333333"/>
    <n v="0.3000000000000001"/>
    <n v="1.4833333333333334"/>
    <s v="Reset"/>
    <s v="Close"/>
    <n v="3.7083333333333336E-2"/>
    <m/>
    <n v="0"/>
    <m/>
    <m/>
    <m/>
    <n v="0"/>
    <m/>
    <m/>
    <m/>
    <m/>
  </r>
  <r>
    <n v="225"/>
    <x v="24"/>
    <x v="0"/>
    <x v="0"/>
    <x v="1"/>
    <x v="0"/>
    <x v="37"/>
    <s v="PWEGPL"/>
    <s v="MSEDCL"/>
    <n v="2.5000000000000001E-2"/>
    <n v="2118"/>
    <x v="161"/>
    <m/>
    <d v="1899-12-30T00:00:00"/>
    <d v="1899-12-30T00:45:00"/>
    <d v="1899-12-30T00:49:00"/>
    <n v="0.75"/>
    <n v="6.6666666666666596E-2"/>
    <n v="0.81666666666666665"/>
    <s v="Reset"/>
    <s v="Close"/>
    <n v="2.0416666666666666E-2"/>
    <m/>
    <n v="0"/>
    <m/>
    <m/>
    <m/>
    <n v="0"/>
    <m/>
    <m/>
    <m/>
    <m/>
  </r>
  <r>
    <n v="226"/>
    <x v="24"/>
    <x v="0"/>
    <x v="0"/>
    <x v="1"/>
    <x v="0"/>
    <x v="12"/>
    <s v="PWEGPL"/>
    <s v="MSEDCL"/>
    <n v="2.5000000000000001E-2"/>
    <n v="2118"/>
    <x v="162"/>
    <m/>
    <d v="1899-12-30T10:50:00"/>
    <d v="1899-12-30T10:54:00"/>
    <d v="1899-12-30T12:38:00"/>
    <n v="6.666666666666643E-2"/>
    <n v="1.7333333333333338"/>
    <n v="1.8000000000000003"/>
    <s v="Slip ring replaced"/>
    <s v="Close"/>
    <n v="4.5000000000000012E-2"/>
    <m/>
    <n v="0"/>
    <m/>
    <m/>
    <m/>
    <n v="0"/>
    <m/>
    <m/>
    <m/>
    <m/>
  </r>
  <r>
    <n v="227"/>
    <x v="25"/>
    <x v="0"/>
    <x v="0"/>
    <x v="1"/>
    <x v="0"/>
    <x v="17"/>
    <s v="PWEGPL"/>
    <s v="MSEDCL"/>
    <n v="2.5000000000000001E-2"/>
    <n v="1007"/>
    <x v="163"/>
    <m/>
    <d v="1899-12-30T10:46:00"/>
    <d v="1899-12-30T10:46:00"/>
    <d v="1899-12-30T12:48:00"/>
    <n v="0"/>
    <n v="2.0333333333333328"/>
    <n v="2.0333333333333328"/>
    <s v="Propotional valve changed"/>
    <s v="Close"/>
    <n v="5.0833333333333321E-2"/>
    <m/>
    <n v="0"/>
    <m/>
    <m/>
    <m/>
    <n v="0"/>
    <m/>
    <m/>
    <m/>
    <m/>
  </r>
  <r>
    <n v="228"/>
    <x v="25"/>
    <x v="0"/>
    <x v="0"/>
    <x v="1"/>
    <x v="0"/>
    <x v="13"/>
    <s v="PWEGPL"/>
    <s v="MSEDCL"/>
    <n v="2.5000000000000001E-2"/>
    <n v="9922"/>
    <x v="164"/>
    <m/>
    <d v="1899-12-30T14:15:00"/>
    <d v="1899-12-30T14:15:00"/>
    <d v="1899-12-30T16:10:00"/>
    <n v="0"/>
    <n v="1.9166666666666679"/>
    <n v="1.9166666666666679"/>
    <s v="Tree cutting"/>
    <s v="Close"/>
    <n v="4.7916666666666698E-2"/>
    <m/>
    <n v="0"/>
    <m/>
    <m/>
    <m/>
    <n v="0"/>
    <m/>
    <m/>
    <m/>
    <m/>
  </r>
  <r>
    <n v="229"/>
    <x v="25"/>
    <x v="0"/>
    <x v="0"/>
    <x v="1"/>
    <x v="0"/>
    <x v="14"/>
    <s v="PWEGPL"/>
    <s v="MSEDCL"/>
    <n v="2.5000000000000001E-2"/>
    <n v="9922"/>
    <x v="164"/>
    <m/>
    <d v="1899-12-30T14:15:00"/>
    <d v="1899-12-30T14:15:00"/>
    <d v="1899-12-30T16:10:00"/>
    <n v="0"/>
    <n v="1.9166666666666679"/>
    <n v="1.9166666666666679"/>
    <s v="Tree cutting"/>
    <s v="Close"/>
    <n v="4.7916666666666698E-2"/>
    <m/>
    <n v="0"/>
    <m/>
    <m/>
    <m/>
    <n v="0"/>
    <m/>
    <m/>
    <m/>
    <m/>
  </r>
  <r>
    <n v="230"/>
    <x v="25"/>
    <x v="0"/>
    <x v="0"/>
    <x v="1"/>
    <x v="0"/>
    <x v="15"/>
    <s v="PWEGPL"/>
    <s v="MSEDCL"/>
    <n v="2.5000000000000001E-2"/>
    <n v="9922"/>
    <x v="165"/>
    <m/>
    <d v="1899-12-30T14:15:00"/>
    <d v="1899-12-30T14:15:00"/>
    <d v="1899-12-30T16:10:00"/>
    <n v="0"/>
    <n v="1.9166666666666679"/>
    <n v="1.9166666666666679"/>
    <s v="Tree cutting"/>
    <s v="Close"/>
    <n v="4.7916666666666698E-2"/>
    <m/>
    <n v="0"/>
    <m/>
    <m/>
    <m/>
    <n v="0"/>
    <m/>
    <m/>
    <m/>
    <m/>
  </r>
  <r>
    <n v="231"/>
    <x v="25"/>
    <x v="0"/>
    <x v="0"/>
    <x v="1"/>
    <x v="0"/>
    <x v="16"/>
    <s v="PWEGPL"/>
    <s v="MSEDCL"/>
    <n v="2.5000000000000001E-2"/>
    <n v="9922"/>
    <x v="164"/>
    <m/>
    <d v="1899-12-30T14:15:00"/>
    <d v="1899-12-30T14:15:00"/>
    <d v="1899-12-30T16:10:00"/>
    <n v="0"/>
    <n v="1.9166666666666679"/>
    <n v="1.9166666666666679"/>
    <s v="Tree cutting"/>
    <s v="Close"/>
    <n v="4.7916666666666698E-2"/>
    <m/>
    <n v="0"/>
    <m/>
    <m/>
    <m/>
    <n v="0"/>
    <m/>
    <m/>
    <m/>
    <m/>
  </r>
  <r>
    <n v="232"/>
    <x v="25"/>
    <x v="0"/>
    <x v="0"/>
    <x v="1"/>
    <x v="0"/>
    <x v="4"/>
    <s v="PWEGPL"/>
    <s v="MSEDCL"/>
    <n v="2.5000000000000001E-2"/>
    <n v="9922"/>
    <x v="164"/>
    <m/>
    <d v="1899-12-30T14:15:00"/>
    <d v="1899-12-30T14:15:00"/>
    <d v="1899-12-30T16:10:00"/>
    <n v="0"/>
    <n v="1.9166666666666679"/>
    <n v="1.9166666666666679"/>
    <s v="Tree cutting"/>
    <s v="Close"/>
    <n v="4.7916666666666698E-2"/>
    <m/>
    <n v="0"/>
    <m/>
    <m/>
    <m/>
    <n v="0"/>
    <m/>
    <m/>
    <m/>
    <m/>
  </r>
  <r>
    <n v="233"/>
    <x v="25"/>
    <x v="0"/>
    <x v="0"/>
    <x v="1"/>
    <x v="0"/>
    <x v="15"/>
    <s v="PWEGPL"/>
    <s v="MSEDCL"/>
    <n v="2.5000000000000001E-2"/>
    <s v="CE100001"/>
    <x v="166"/>
    <m/>
    <d v="1899-12-30T11:12:00"/>
    <d v="1899-12-30T11:12:00"/>
    <d v="1899-12-30T14:06:00"/>
    <n v="0"/>
    <n v="2.9000000000000017"/>
    <n v="2.9000000000000017"/>
    <s v="Propotional valve changed"/>
    <s v="Close"/>
    <n v="7.2500000000000051E-2"/>
    <m/>
    <n v="0"/>
    <m/>
    <m/>
    <m/>
    <n v="0"/>
    <m/>
    <m/>
    <m/>
    <m/>
  </r>
  <r>
    <n v="234"/>
    <x v="26"/>
    <x v="0"/>
    <x v="0"/>
    <x v="1"/>
    <x v="0"/>
    <x v="31"/>
    <s v="PWEGPL"/>
    <s v="MSEDCL"/>
    <n v="2.5000000000000001E-2"/>
    <n v="412"/>
    <x v="167"/>
    <m/>
    <d v="1899-12-30T10:47:00"/>
    <d v="1899-12-30T10:47:00"/>
    <d v="1899-12-30T18:27:00"/>
    <n v="0"/>
    <n v="7.6666666666666643"/>
    <n v="7.6666666666666643"/>
    <s v="Gearbox radiator cooling motor changed"/>
    <s v="Close"/>
    <n v="0.19166666666666662"/>
    <m/>
    <n v="0"/>
    <m/>
    <m/>
    <m/>
    <n v="0"/>
    <m/>
    <m/>
    <m/>
    <m/>
  </r>
  <r>
    <n v="235"/>
    <x v="26"/>
    <x v="0"/>
    <x v="0"/>
    <x v="1"/>
    <x v="0"/>
    <x v="18"/>
    <s v="PWEGPL"/>
    <s v="MSEDCL"/>
    <n v="2.5000000000000001E-2"/>
    <n v="2102"/>
    <x v="168"/>
    <s v="PM"/>
    <d v="1899-12-30T22:18:00"/>
    <d v="1899-12-30T22:46:00"/>
    <d v="1899-12-30T23:02:00"/>
    <n v="0.46666666666666501"/>
    <n v="0.26666666666666838"/>
    <n v="0.73333333333333339"/>
    <s v="Reset"/>
    <s v="Close"/>
    <n v="1.8333333333333337E-2"/>
    <m/>
    <n v="0"/>
    <m/>
    <m/>
    <m/>
    <n v="0"/>
    <m/>
    <m/>
    <m/>
    <m/>
  </r>
  <r>
    <n v="236"/>
    <x v="26"/>
    <x v="0"/>
    <x v="0"/>
    <x v="1"/>
    <x v="0"/>
    <x v="16"/>
    <s v="PWEGPL"/>
    <s v="MSEDCL"/>
    <n v="2.5000000000000001E-2"/>
    <s v="CE100001"/>
    <x v="169"/>
    <m/>
    <d v="1899-12-30T12:31:00"/>
    <d v="1899-12-30T12:31:00"/>
    <d v="1899-12-30T12:57:00"/>
    <n v="0"/>
    <n v="0.43333333333333179"/>
    <n v="0.43333333333333179"/>
    <s v="MPCB reseted"/>
    <s v="Close"/>
    <n v="1.0833333333333296E-2"/>
    <m/>
    <n v="0"/>
    <m/>
    <m/>
    <m/>
    <n v="0"/>
    <m/>
    <m/>
    <m/>
    <m/>
  </r>
  <r>
    <n v="237"/>
    <x v="26"/>
    <x v="0"/>
    <x v="0"/>
    <x v="1"/>
    <x v="0"/>
    <x v="7"/>
    <s v="PWEGPL"/>
    <s v="MSEDCL"/>
    <n v="2.5000000000000001E-2"/>
    <s v="CE100001"/>
    <x v="170"/>
    <m/>
    <d v="1899-12-30T11:53:00"/>
    <d v="1899-12-30T11:53:00"/>
    <d v="1899-12-30T12:16:00"/>
    <n v="0"/>
    <n v="0.38333333333333597"/>
    <n v="0.38333333333333597"/>
    <s v="Gearbox manifold valve washer replaced"/>
    <s v="Close"/>
    <n v="9.5833333333334002E-3"/>
    <m/>
    <n v="0"/>
    <m/>
    <m/>
    <m/>
    <n v="0"/>
    <m/>
    <m/>
    <m/>
    <m/>
  </r>
  <r>
    <n v="238"/>
    <x v="27"/>
    <x v="0"/>
    <x v="0"/>
    <x v="1"/>
    <x v="0"/>
    <x v="2"/>
    <s v="PWEGPL"/>
    <s v="MSEDCL"/>
    <n v="2.5000000000000001E-2"/>
    <n v="9922"/>
    <x v="171"/>
    <m/>
    <d v="1899-12-30T12:12:00"/>
    <d v="1899-12-30T12:12:00"/>
    <d v="1899-12-30T12:57:00"/>
    <n v="0"/>
    <n v="0.75"/>
    <n v="0.75"/>
    <s v="Tree Trimming"/>
    <s v="Close"/>
    <n v="1.8750000000000003E-2"/>
    <m/>
    <n v="0"/>
    <m/>
    <m/>
    <m/>
    <n v="0"/>
    <m/>
    <m/>
    <m/>
    <m/>
  </r>
  <r>
    <n v="239"/>
    <x v="27"/>
    <x v="0"/>
    <x v="0"/>
    <x v="1"/>
    <x v="0"/>
    <x v="3"/>
    <s v="PWEGPL"/>
    <s v="MSEDCL"/>
    <n v="2.5000000000000001E-2"/>
    <n v="9922"/>
    <x v="171"/>
    <m/>
    <d v="1899-12-30T12:12:00"/>
    <d v="1899-12-30T12:12:00"/>
    <d v="1899-12-30T12:57:00"/>
    <n v="0"/>
    <n v="0.75"/>
    <n v="0.75"/>
    <s v="Tree Trimming"/>
    <s v="Close"/>
    <n v="1.8750000000000003E-2"/>
    <m/>
    <n v="0"/>
    <m/>
    <m/>
    <m/>
    <n v="0"/>
    <m/>
    <m/>
    <m/>
    <m/>
  </r>
  <r>
    <n v="240"/>
    <x v="27"/>
    <x v="0"/>
    <x v="0"/>
    <x v="1"/>
    <x v="0"/>
    <x v="15"/>
    <s v="PWEGPL"/>
    <s v="MSEDCL"/>
    <n v="2.5000000000000001E-2"/>
    <n v="800"/>
    <x v="172"/>
    <m/>
    <d v="1899-12-30T10:31:00"/>
    <d v="1899-12-30T10:45:00"/>
    <d v="1899-12-30T10:59:00"/>
    <n v="0.2333333333333325"/>
    <n v="0.2333333333333325"/>
    <n v="0.46666666666666501"/>
    <s v="Propotional valve &amp; Solenoid valve checked &amp; started"/>
    <s v="Close"/>
    <n v="1.1666666666666626E-2"/>
    <m/>
    <n v="0"/>
    <m/>
    <m/>
    <m/>
    <n v="0"/>
    <m/>
    <m/>
    <m/>
    <m/>
  </r>
  <r>
    <n v="241"/>
    <x v="27"/>
    <x v="0"/>
    <x v="0"/>
    <x v="1"/>
    <x v="0"/>
    <x v="5"/>
    <s v="PWEGPL"/>
    <s v="MSEDCL"/>
    <n v="2.5000000000000001E-2"/>
    <n v="9922"/>
    <x v="171"/>
    <m/>
    <d v="1899-12-30T12:12:00"/>
    <d v="1899-12-30T12:12:00"/>
    <d v="1899-12-30T12:57:00"/>
    <n v="0"/>
    <n v="0.75"/>
    <n v="0.75"/>
    <s v="Tree Trimming"/>
    <s v="Close"/>
    <n v="1.8750000000000003E-2"/>
    <m/>
    <n v="0"/>
    <m/>
    <m/>
    <m/>
    <n v="0"/>
    <m/>
    <m/>
    <m/>
    <m/>
  </r>
  <r>
    <n v="242"/>
    <x v="27"/>
    <x v="0"/>
    <x v="0"/>
    <x v="1"/>
    <x v="0"/>
    <x v="6"/>
    <s v="PWEGPL"/>
    <s v="MSEDCL"/>
    <n v="2.5000000000000001E-2"/>
    <n v="9922"/>
    <x v="171"/>
    <m/>
    <d v="1899-12-30T12:12:00"/>
    <d v="1899-12-30T12:12:00"/>
    <d v="1899-12-30T12:57:00"/>
    <n v="0"/>
    <n v="0.75"/>
    <n v="0.75"/>
    <s v="Tree Trimming"/>
    <s v="Close"/>
    <n v="1.8750000000000003E-2"/>
    <m/>
    <n v="0"/>
    <m/>
    <m/>
    <m/>
    <n v="0"/>
    <m/>
    <m/>
    <m/>
    <m/>
  </r>
  <r>
    <n v="243"/>
    <x v="27"/>
    <x v="0"/>
    <x v="0"/>
    <x v="1"/>
    <x v="0"/>
    <x v="7"/>
    <s v="PWEGPL"/>
    <s v="MSEDCL"/>
    <n v="2.5000000000000001E-2"/>
    <n v="9922"/>
    <x v="173"/>
    <m/>
    <d v="1899-12-30T12:12:00"/>
    <d v="1899-12-30T12:12:00"/>
    <d v="1899-12-30T12:57:00"/>
    <n v="0"/>
    <n v="0.75"/>
    <n v="0.75"/>
    <s v="Tree Trimming"/>
    <s v="Close"/>
    <n v="1.8750000000000003E-2"/>
    <m/>
    <n v="0"/>
    <m/>
    <m/>
    <m/>
    <n v="0"/>
    <m/>
    <m/>
    <m/>
    <m/>
  </r>
  <r>
    <n v="244"/>
    <x v="27"/>
    <x v="0"/>
    <x v="0"/>
    <x v="1"/>
    <x v="0"/>
    <x v="7"/>
    <s v="PWEGPL"/>
    <s v="MSEDCL"/>
    <n v="2.5000000000000001E-2"/>
    <n v="700"/>
    <x v="174"/>
    <m/>
    <d v="1899-12-30T15:08:00"/>
    <d v="1899-12-30T16:06:00"/>
    <d v="1899-12-30T23:59:00"/>
    <n v="0.96666666666666856"/>
    <n v="7.883333333333332"/>
    <n v="8.8500000000000014"/>
    <s v="Lamda power supply failure"/>
    <s v="Close"/>
    <n v="0.22125000000000006"/>
    <m/>
    <n v="0"/>
    <m/>
    <m/>
    <m/>
    <n v="0"/>
    <m/>
    <m/>
    <m/>
    <m/>
  </r>
  <r>
    <n v="245"/>
    <x v="28"/>
    <x v="0"/>
    <x v="0"/>
    <x v="1"/>
    <x v="0"/>
    <x v="15"/>
    <s v="PWEGPL"/>
    <s v="MSEDCL"/>
    <n v="2.5000000000000001E-2"/>
    <n v="800"/>
    <x v="175"/>
    <m/>
    <d v="1899-12-30T11:27:00"/>
    <d v="1899-12-30T12:27:00"/>
    <d v="1899-12-30T16:30:00"/>
    <n v="0.99999999999999911"/>
    <n v="4.0500000000000016"/>
    <n v="5.0500000000000007"/>
    <s v="B-blade propotional valve cable changed"/>
    <s v="Close"/>
    <n v="0.12625000000000003"/>
    <m/>
    <n v="0"/>
    <m/>
    <m/>
    <m/>
    <n v="0"/>
    <m/>
    <m/>
    <m/>
    <m/>
  </r>
  <r>
    <n v="246"/>
    <x v="28"/>
    <x v="0"/>
    <x v="0"/>
    <x v="1"/>
    <x v="0"/>
    <x v="7"/>
    <s v="PWEGPL"/>
    <s v="MSEDCL"/>
    <n v="2.5000000000000001E-2"/>
    <n v="700"/>
    <x v="176"/>
    <m/>
    <d v="1899-12-30T00:00:00"/>
    <d v="1899-12-30T23:59:00"/>
    <d v="1899-12-30T23:59:00"/>
    <n v="23.983333333333334"/>
    <n v="0"/>
    <n v="23.983333333333334"/>
    <s v="Material not available"/>
    <s v="Open"/>
    <n v="0.59958333333333336"/>
    <m/>
    <n v="0"/>
    <m/>
    <m/>
    <m/>
    <n v="0"/>
    <m/>
    <m/>
    <m/>
    <m/>
  </r>
  <r>
    <n v="247"/>
    <x v="29"/>
    <x v="0"/>
    <x v="0"/>
    <x v="1"/>
    <x v="0"/>
    <x v="22"/>
    <s v="PWEGPL"/>
    <s v="MSEDCL"/>
    <n v="2.5000000000000001E-2"/>
    <n v="5203"/>
    <x v="177"/>
    <m/>
    <d v="1899-12-30T19:02:00"/>
    <d v="1899-12-30T21:58:00"/>
    <d v="1899-12-30T22:31:00"/>
    <n v="2.9333333333333309"/>
    <n v="0.55000000000000071"/>
    <n v="3.4833333333333316"/>
    <s v="MCB tripped -Reseted"/>
    <s v="Close"/>
    <n v="8.708333333333329E-2"/>
    <m/>
    <n v="0"/>
    <m/>
    <m/>
    <m/>
    <n v="0"/>
    <m/>
    <m/>
    <m/>
    <m/>
  </r>
  <r>
    <n v="248"/>
    <x v="29"/>
    <x v="0"/>
    <x v="0"/>
    <x v="1"/>
    <x v="0"/>
    <x v="28"/>
    <s v="PWEGPL"/>
    <s v="MSEDCL"/>
    <n v="2.5000000000000001E-2"/>
    <n v="108"/>
    <x v="178"/>
    <m/>
    <d v="1899-12-30T13:01:00"/>
    <d v="1899-12-30T15:04:00"/>
    <d v="1899-12-30T16:10:00"/>
    <n v="2.049999999999998"/>
    <n v="1.1000000000000014"/>
    <n v="3.1499999999999995"/>
    <s v="Cable twist removed &amp; started"/>
    <s v="Close"/>
    <n v="7.8749999999999987E-2"/>
    <m/>
    <n v="0"/>
    <m/>
    <m/>
    <m/>
    <n v="0"/>
    <m/>
    <m/>
    <m/>
    <m/>
  </r>
  <r>
    <n v="249"/>
    <x v="29"/>
    <x v="0"/>
    <x v="0"/>
    <x v="1"/>
    <x v="0"/>
    <x v="29"/>
    <s v="PWEGPL"/>
    <s v="MSEDCL"/>
    <n v="2.5000000000000001E-2"/>
    <n v="205"/>
    <x v="179"/>
    <m/>
    <d v="1899-12-30T15:49:00"/>
    <d v="1899-12-30T15:49:00"/>
    <d v="1899-12-30T23:59:00"/>
    <n v="0"/>
    <n v="8.1666666666666679"/>
    <n v="8.1666666666666679"/>
    <s v="Yaw caliper failure"/>
    <s v="Open"/>
    <n v="0.20416666666666672"/>
    <m/>
    <n v="0"/>
    <m/>
    <m/>
    <m/>
    <n v="0"/>
    <m/>
    <m/>
    <m/>
    <m/>
  </r>
  <r>
    <n v="250"/>
    <x v="29"/>
    <x v="0"/>
    <x v="0"/>
    <x v="1"/>
    <x v="0"/>
    <x v="37"/>
    <s v="PWEGPL"/>
    <s v="MSEDCL"/>
    <n v="2.5000000000000001E-2"/>
    <n v="9922"/>
    <x v="180"/>
    <m/>
    <d v="1899-12-30T11:22:00"/>
    <d v="1899-12-30T11:22:00"/>
    <d v="1899-12-30T15:16:00"/>
    <n v="0"/>
    <n v="3.9000000000000008"/>
    <n v="3.9000000000000008"/>
    <s v="LC taken for DP-yard yearly maintenance"/>
    <s v="Close"/>
    <n v="9.7500000000000031E-2"/>
    <m/>
    <n v="0"/>
    <m/>
    <m/>
    <m/>
    <n v="0"/>
    <m/>
    <m/>
    <m/>
    <m/>
  </r>
  <r>
    <n v="251"/>
    <x v="29"/>
    <x v="0"/>
    <x v="0"/>
    <x v="1"/>
    <x v="0"/>
    <x v="0"/>
    <s v="PWEGPL"/>
    <s v="MSEDCL"/>
    <n v="2.5000000000000001E-2"/>
    <n v="9922"/>
    <x v="181"/>
    <m/>
    <d v="1899-12-30T11:22:00"/>
    <d v="1899-12-30T11:22:00"/>
    <d v="1899-12-30T15:16:00"/>
    <n v="0"/>
    <n v="3.9000000000000008"/>
    <n v="3.9000000000000008"/>
    <s v="LC taken for DP-yard yearly maintenance"/>
    <s v="Close"/>
    <n v="9.7500000000000031E-2"/>
    <m/>
    <n v="0"/>
    <m/>
    <m/>
    <m/>
    <n v="0"/>
    <m/>
    <m/>
    <m/>
    <m/>
  </r>
  <r>
    <n v="252"/>
    <x v="29"/>
    <x v="0"/>
    <x v="0"/>
    <x v="1"/>
    <x v="0"/>
    <x v="38"/>
    <s v="PWEGPL"/>
    <s v="MSEDCL"/>
    <n v="2.5000000000000001E-2"/>
    <n v="9922"/>
    <x v="182"/>
    <m/>
    <d v="1899-12-30T11:22:00"/>
    <d v="1899-12-30T11:22:00"/>
    <d v="1899-12-30T15:16:00"/>
    <n v="0"/>
    <n v="3.9000000000000008"/>
    <n v="3.9000000000000008"/>
    <s v="LC taken for DP-yard yearly maintenance"/>
    <s v="Close"/>
    <n v="9.7500000000000031E-2"/>
    <m/>
    <n v="0"/>
    <m/>
    <m/>
    <m/>
    <n v="0"/>
    <m/>
    <m/>
    <m/>
    <m/>
  </r>
  <r>
    <n v="253"/>
    <x v="29"/>
    <x v="0"/>
    <x v="0"/>
    <x v="1"/>
    <x v="0"/>
    <x v="18"/>
    <s v="PWEGPL"/>
    <s v="MSEDCL"/>
    <n v="2.5000000000000001E-2"/>
    <n v="9922"/>
    <x v="182"/>
    <m/>
    <d v="1899-12-30T11:22:00"/>
    <d v="1899-12-30T11:22:00"/>
    <d v="1899-12-30T15:16:00"/>
    <n v="0"/>
    <n v="3.9000000000000008"/>
    <n v="3.9000000000000008"/>
    <s v="LC taken for DP-yard yearly maintenance"/>
    <s v="Close"/>
    <n v="9.7500000000000031E-2"/>
    <m/>
    <n v="0"/>
    <m/>
    <m/>
    <m/>
    <n v="0"/>
    <m/>
    <m/>
    <m/>
    <m/>
  </r>
  <r>
    <n v="254"/>
    <x v="29"/>
    <x v="0"/>
    <x v="0"/>
    <x v="1"/>
    <x v="0"/>
    <x v="19"/>
    <s v="PWEGPL"/>
    <s v="MSEDCL"/>
    <n v="2.5000000000000001E-2"/>
    <n v="9922"/>
    <x v="182"/>
    <m/>
    <d v="1899-12-30T11:22:00"/>
    <d v="1899-12-30T11:22:00"/>
    <d v="1899-12-30T15:16:00"/>
    <n v="0"/>
    <n v="3.9000000000000008"/>
    <n v="3.9000000000000008"/>
    <s v="LC taken for DP-yard yearly maintenance"/>
    <s v="Close"/>
    <n v="9.7500000000000031E-2"/>
    <m/>
    <n v="0"/>
    <m/>
    <m/>
    <m/>
    <n v="0"/>
    <m/>
    <m/>
    <m/>
    <m/>
  </r>
  <r>
    <n v="255"/>
    <x v="29"/>
    <x v="0"/>
    <x v="0"/>
    <x v="1"/>
    <x v="0"/>
    <x v="35"/>
    <s v="PWEGPL"/>
    <s v="MSEDCL"/>
    <n v="2.5000000000000001E-2"/>
    <s v="CE100001"/>
    <x v="183"/>
    <s v="PM"/>
    <d v="1899-12-30T10:46:00"/>
    <d v="1899-12-30T10:46:00"/>
    <d v="1899-12-30T18:20:00"/>
    <n v="0"/>
    <n v="7.5666666666666647"/>
    <n v="7.5666666666666647"/>
    <s v="102-Month-PM-Scheduled"/>
    <s v="Close"/>
    <n v="0.18916666666666662"/>
    <m/>
    <n v="0"/>
    <m/>
    <m/>
    <m/>
    <n v="0"/>
    <m/>
    <m/>
    <m/>
    <m/>
  </r>
  <r>
    <n v="256"/>
    <x v="29"/>
    <x v="0"/>
    <x v="0"/>
    <x v="1"/>
    <x v="0"/>
    <x v="12"/>
    <s v="PWEGPL"/>
    <s v="MSEDCL"/>
    <n v="2.5000000000000001E-2"/>
    <n v="108"/>
    <x v="184"/>
    <m/>
    <d v="1899-12-30T12:57:00"/>
    <d v="1899-12-30T13:00:00"/>
    <d v="1899-12-30T13:33:00"/>
    <n v="4.9999999999999822E-2"/>
    <n v="0.55000000000000071"/>
    <n v="0.60000000000000053"/>
    <s v="Cable twist removed &amp; started"/>
    <s v="Close"/>
    <n v="1.5000000000000013E-2"/>
    <m/>
    <n v="0"/>
    <m/>
    <m/>
    <m/>
    <n v="0"/>
    <m/>
    <m/>
    <m/>
    <m/>
  </r>
  <r>
    <n v="257"/>
    <x v="29"/>
    <x v="0"/>
    <x v="0"/>
    <x v="1"/>
    <x v="0"/>
    <x v="14"/>
    <s v="PWEGPL"/>
    <s v="MSEDCL"/>
    <n v="2.5000000000000001E-2"/>
    <n v="110"/>
    <x v="185"/>
    <m/>
    <d v="1899-12-30T06:24:00"/>
    <d v="1899-12-30T07:08:00"/>
    <d v="1899-12-30T07:33:00"/>
    <n v="0.73333333333333339"/>
    <n v="0.41666666666666652"/>
    <n v="1.1499999999999999"/>
    <s v="Cable twist removed &amp; started"/>
    <s v="Close"/>
    <n v="2.8749999999999998E-2"/>
    <m/>
    <n v="0"/>
    <m/>
    <m/>
    <m/>
    <n v="0"/>
    <m/>
    <m/>
    <m/>
    <m/>
  </r>
  <r>
    <n v="258"/>
    <x v="29"/>
    <x v="0"/>
    <x v="0"/>
    <x v="1"/>
    <x v="0"/>
    <x v="7"/>
    <s v="PWEGPL"/>
    <s v="MSEDCL"/>
    <n v="2.5000000000000001E-2"/>
    <n v="700"/>
    <x v="176"/>
    <m/>
    <d v="1899-12-30T00:00:00"/>
    <d v="1899-12-30T23:59:00"/>
    <d v="1899-12-30T23:59:00"/>
    <n v="23.983333333333334"/>
    <n v="0"/>
    <n v="23.983333333333334"/>
    <s v="Lamda power supply failure"/>
    <s v="Open"/>
    <n v="0.59958333333333336"/>
    <m/>
    <n v="0"/>
    <m/>
    <m/>
    <m/>
    <n v="0"/>
    <m/>
    <m/>
    <m/>
    <m/>
  </r>
  <r>
    <n v="259"/>
    <x v="30"/>
    <x v="0"/>
    <x v="0"/>
    <x v="1"/>
    <x v="0"/>
    <x v="29"/>
    <s v="PWEGPL"/>
    <s v="MSEDCL"/>
    <n v="2.5000000000000001E-2"/>
    <n v="205"/>
    <x v="186"/>
    <m/>
    <d v="1899-12-30T00:00:00"/>
    <d v="1899-12-30T10:05:00"/>
    <d v="1899-12-30T16:41:00"/>
    <n v="10.083333333333334"/>
    <n v="6.6"/>
    <n v="16.683333333333334"/>
    <s v="Work in Progress -Yaw caliper replacement &amp; Lambda power supply"/>
    <s v="Open"/>
    <n v="0.41708333333333336"/>
    <m/>
    <n v="0"/>
    <m/>
    <m/>
    <m/>
    <n v="0"/>
    <m/>
    <m/>
    <m/>
    <m/>
  </r>
  <r>
    <n v="260"/>
    <x v="30"/>
    <x v="0"/>
    <x v="0"/>
    <x v="1"/>
    <x v="0"/>
    <x v="35"/>
    <s v="PWEGPL"/>
    <s v="MSEDCL"/>
    <n v="2.5000000000000001E-2"/>
    <n v="907"/>
    <x v="187"/>
    <m/>
    <d v="1899-12-30T20:20:00"/>
    <d v="1899-12-30T20:25:00"/>
    <d v="1899-12-30T20:30:00"/>
    <n v="8.3333333333335702E-2"/>
    <n v="8.3333333333330373E-2"/>
    <n v="0.16666666666666607"/>
    <s v="WIS- Lambada power supply Failure"/>
    <s v="Open"/>
    <n v="4.1666666666666519E-3"/>
    <m/>
    <n v="0"/>
    <m/>
    <m/>
    <m/>
    <n v="0"/>
    <m/>
    <m/>
    <m/>
    <m/>
  </r>
  <r>
    <n v="261"/>
    <x v="30"/>
    <x v="0"/>
    <x v="0"/>
    <x v="1"/>
    <x v="0"/>
    <x v="16"/>
    <s v="PWEGPL"/>
    <s v="MSEDCL"/>
    <n v="2.5000000000000001E-2"/>
    <n v="550"/>
    <x v="188"/>
    <m/>
    <d v="1899-12-30T02:35:00"/>
    <d v="1899-12-30T04:07:00"/>
    <d v="1899-12-30T04:18:00"/>
    <n v="1.5333333333333325"/>
    <n v="0.18333333333333401"/>
    <n v="1.7166666666666666"/>
    <s v="Reset"/>
    <s v="Close"/>
    <n v="4.2916666666666665E-2"/>
    <m/>
    <n v="0"/>
    <m/>
    <m/>
    <m/>
    <n v="0"/>
    <m/>
    <m/>
    <m/>
    <m/>
  </r>
  <r>
    <n v="262"/>
    <x v="30"/>
    <x v="0"/>
    <x v="0"/>
    <x v="1"/>
    <x v="0"/>
    <x v="7"/>
    <s v="PWEGPL"/>
    <s v="MSEDCL"/>
    <n v="2.5000000000000001E-2"/>
    <n v="700"/>
    <x v="189"/>
    <m/>
    <d v="1899-12-30T00:00:00"/>
    <d v="1899-12-30T00:30:00"/>
    <d v="1899-12-30T02:53:00"/>
    <n v="0.5"/>
    <n v="2.3833333333333337"/>
    <n v="2.8833333333333333"/>
    <s v="Lamda power supply repaced"/>
    <s v="Close"/>
    <n v="7.2083333333333333E-2"/>
    <m/>
    <n v="0"/>
    <m/>
    <m/>
    <m/>
    <n v="0"/>
    <m/>
    <m/>
    <m/>
    <m/>
  </r>
  <r>
    <n v="263"/>
    <x v="31"/>
    <x v="0"/>
    <x v="0"/>
    <x v="1"/>
    <x v="0"/>
    <x v="20"/>
    <s v="PWEGPL"/>
    <s v="MSEDCL"/>
    <n v="2.5000000000000001E-2"/>
    <n v="5216"/>
    <x v="190"/>
    <m/>
    <d v="1899-12-30T05:35:00"/>
    <d v="1899-12-30T05:35:00"/>
    <d v="1899-12-30T05:38:00"/>
    <n v="0"/>
    <n v="4.9999999999999822E-2"/>
    <n v="4.9999999999999822E-2"/>
    <s v="Reset &amp; Started"/>
    <s v="Close"/>
    <n v="1.2499999999999957E-3"/>
    <m/>
    <n v="0"/>
    <m/>
    <m/>
    <m/>
    <n v="0"/>
    <m/>
    <m/>
    <m/>
    <m/>
  </r>
  <r>
    <n v="264"/>
    <x v="31"/>
    <x v="0"/>
    <x v="0"/>
    <x v="1"/>
    <x v="0"/>
    <x v="21"/>
    <s v="PWEGPL"/>
    <s v="MSEDCL"/>
    <n v="2.5000000000000001E-2"/>
    <n v="5216"/>
    <x v="190"/>
    <m/>
    <d v="1899-12-30T05:35:00"/>
    <d v="1899-12-30T05:35:00"/>
    <d v="1899-12-30T05:38:00"/>
    <n v="0"/>
    <n v="4.9999999999999822E-2"/>
    <n v="4.9999999999999822E-2"/>
    <s v="Reset &amp; Started"/>
    <s v="Close"/>
    <n v="1.2499999999999957E-3"/>
    <m/>
    <n v="0"/>
    <m/>
    <m/>
    <m/>
    <n v="0"/>
    <m/>
    <m/>
    <m/>
    <m/>
  </r>
  <r>
    <n v="265"/>
    <x v="31"/>
    <x v="0"/>
    <x v="0"/>
    <x v="1"/>
    <x v="0"/>
    <x v="22"/>
    <s v="PWEGPL"/>
    <s v="MSEDCL"/>
    <n v="2.5000000000000001E-2"/>
    <n v="5216"/>
    <x v="190"/>
    <m/>
    <d v="1899-12-30T05:35:00"/>
    <d v="1899-12-30T05:35:00"/>
    <d v="1899-12-30T05:38:00"/>
    <n v="0"/>
    <n v="4.9999999999999822E-2"/>
    <n v="4.9999999999999822E-2"/>
    <s v="Reset &amp; Started"/>
    <s v="Close"/>
    <n v="1.2499999999999957E-3"/>
    <m/>
    <n v="0"/>
    <m/>
    <m/>
    <m/>
    <n v="0"/>
    <m/>
    <m/>
    <m/>
    <m/>
  </r>
  <r>
    <n v="266"/>
    <x v="31"/>
    <x v="0"/>
    <x v="0"/>
    <x v="1"/>
    <x v="0"/>
    <x v="23"/>
    <s v="PWEGPL"/>
    <s v="MSEDCL"/>
    <n v="2.5000000000000001E-2"/>
    <n v="5216"/>
    <x v="190"/>
    <m/>
    <d v="1899-12-30T05:35:00"/>
    <d v="1899-12-30T05:35:00"/>
    <d v="1899-12-30T05:38:00"/>
    <n v="0"/>
    <n v="4.9999999999999822E-2"/>
    <n v="4.9999999999999822E-2"/>
    <s v="Reset &amp; Started"/>
    <s v="Close"/>
    <n v="1.2499999999999957E-3"/>
    <m/>
    <n v="0"/>
    <m/>
    <m/>
    <m/>
    <n v="0"/>
    <m/>
    <m/>
    <m/>
    <m/>
  </r>
  <r>
    <n v="267"/>
    <x v="31"/>
    <x v="0"/>
    <x v="0"/>
    <x v="1"/>
    <x v="0"/>
    <x v="24"/>
    <s v="PWEGPL"/>
    <s v="MSEDCL"/>
    <n v="2.5000000000000001E-2"/>
    <n v="5216"/>
    <x v="191"/>
    <m/>
    <d v="1899-12-30T20:52:00"/>
    <d v="1899-12-30T20:52:00"/>
    <d v="1899-12-30T21:21:00"/>
    <n v="0"/>
    <n v="0.48333333333333428"/>
    <n v="0.48333333333333428"/>
    <s v="Reset &amp; Started"/>
    <s v="Close"/>
    <n v="1.2083333333333357E-2"/>
    <m/>
    <n v="0"/>
    <m/>
    <m/>
    <m/>
    <n v="0"/>
    <m/>
    <m/>
    <m/>
    <m/>
  </r>
  <r>
    <n v="268"/>
    <x v="31"/>
    <x v="0"/>
    <x v="0"/>
    <x v="1"/>
    <x v="0"/>
    <x v="25"/>
    <s v="PWEGPL"/>
    <s v="MSEDCL"/>
    <n v="2.5000000000000001E-2"/>
    <n v="5216"/>
    <x v="190"/>
    <m/>
    <d v="1899-12-30T05:35:00"/>
    <d v="1899-12-30T05:35:00"/>
    <d v="1899-12-30T05:38:00"/>
    <n v="0"/>
    <n v="4.9999999999999822E-2"/>
    <n v="4.9999999999999822E-2"/>
    <s v="Reset &amp; Started"/>
    <s v="Close"/>
    <n v="1.2499999999999957E-3"/>
    <m/>
    <n v="0"/>
    <m/>
    <m/>
    <m/>
    <n v="0"/>
    <m/>
    <m/>
    <m/>
    <m/>
  </r>
  <r>
    <n v="269"/>
    <x v="31"/>
    <x v="0"/>
    <x v="0"/>
    <x v="1"/>
    <x v="0"/>
    <x v="26"/>
    <s v="PWEGPL"/>
    <s v="MSEDCL"/>
    <n v="2.5000000000000001E-2"/>
    <n v="5216"/>
    <x v="190"/>
    <m/>
    <d v="1899-12-30T05:35:00"/>
    <d v="1899-12-30T05:35:00"/>
    <d v="1899-12-30T05:38:00"/>
    <n v="0"/>
    <n v="4.9999999999999822E-2"/>
    <n v="4.9999999999999822E-2"/>
    <s v="Reset &amp; Started"/>
    <s v="Close"/>
    <n v="1.2499999999999957E-3"/>
    <m/>
    <n v="0"/>
    <m/>
    <m/>
    <m/>
    <n v="0"/>
    <m/>
    <m/>
    <m/>
    <m/>
  </r>
  <r>
    <n v="270"/>
    <x v="31"/>
    <x v="0"/>
    <x v="0"/>
    <x v="1"/>
    <x v="0"/>
    <x v="17"/>
    <s v="PWEGPL"/>
    <s v="MSEDCL"/>
    <n v="2.5000000000000001E-2"/>
    <n v="5216"/>
    <x v="190"/>
    <m/>
    <d v="1899-12-30T05:35:00"/>
    <d v="1899-12-30T05:35:00"/>
    <d v="1899-12-30T05:38:00"/>
    <n v="0"/>
    <n v="4.9999999999999822E-2"/>
    <n v="4.9999999999999822E-2"/>
    <s v="Reset &amp; Started"/>
    <s v="Close"/>
    <n v="1.2499999999999957E-3"/>
    <m/>
    <n v="0"/>
    <m/>
    <m/>
    <m/>
    <n v="0"/>
    <m/>
    <m/>
    <m/>
    <m/>
  </r>
  <r>
    <n v="271"/>
    <x v="31"/>
    <x v="0"/>
    <x v="0"/>
    <x v="1"/>
    <x v="0"/>
    <x v="27"/>
    <s v="PWEGPL"/>
    <s v="MSEDCL"/>
    <n v="2.5000000000000001E-2"/>
    <n v="5216"/>
    <x v="192"/>
    <m/>
    <d v="1899-12-30T05:35:00"/>
    <d v="1899-12-30T05:35:00"/>
    <d v="1899-12-30T05:38:00"/>
    <n v="0"/>
    <n v="4.9999999999999822E-2"/>
    <n v="4.9999999999999822E-2"/>
    <s v="Reset &amp; Started"/>
    <s v="Close"/>
    <n v="1.2499999999999957E-3"/>
    <m/>
    <n v="0"/>
    <m/>
    <m/>
    <m/>
    <n v="0"/>
    <m/>
    <m/>
    <m/>
    <m/>
  </r>
  <r>
    <n v="272"/>
    <x v="31"/>
    <x v="0"/>
    <x v="0"/>
    <x v="1"/>
    <x v="0"/>
    <x v="28"/>
    <s v="PWEGPL"/>
    <s v="MSEDCL"/>
    <n v="2.5000000000000001E-2"/>
    <n v="5216"/>
    <x v="190"/>
    <m/>
    <d v="1899-12-30T20:52:00"/>
    <d v="1899-12-30T20:52:00"/>
    <d v="1899-12-30T21:21:00"/>
    <n v="0"/>
    <n v="0.48333333333333428"/>
    <n v="0.48333333333333428"/>
    <s v="Reset &amp; Started"/>
    <s v="Close"/>
    <n v="1.2083333333333357E-2"/>
    <m/>
    <n v="0"/>
    <m/>
    <m/>
    <m/>
    <n v="0"/>
    <m/>
    <m/>
    <m/>
    <m/>
  </r>
  <r>
    <n v="273"/>
    <x v="31"/>
    <x v="0"/>
    <x v="0"/>
    <x v="1"/>
    <x v="0"/>
    <x v="29"/>
    <s v="PWEGPL"/>
    <s v="MSEDCL"/>
    <n v="2.5000000000000001E-2"/>
    <n v="5216"/>
    <x v="190"/>
    <m/>
    <d v="1899-12-30T05:35:00"/>
    <d v="1899-12-30T05:35:00"/>
    <d v="1899-12-30T05:38:00"/>
    <n v="0"/>
    <n v="4.9999999999999822E-2"/>
    <n v="4.9999999999999822E-2"/>
    <s v="Reset &amp; Started"/>
    <s v="Close"/>
    <n v="1.2499999999999957E-3"/>
    <m/>
    <n v="0"/>
    <m/>
    <m/>
    <m/>
    <n v="0"/>
    <m/>
    <m/>
    <m/>
    <m/>
  </r>
  <r>
    <n v="274"/>
    <x v="31"/>
    <x v="0"/>
    <x v="0"/>
    <x v="1"/>
    <x v="0"/>
    <x v="30"/>
    <s v="PWEGPL"/>
    <s v="MSEDCL"/>
    <n v="2.5000000000000001E-2"/>
    <n v="5216"/>
    <x v="191"/>
    <m/>
    <d v="1899-12-30T20:52:00"/>
    <d v="1899-12-30T20:52:00"/>
    <d v="1899-12-30T21:21:00"/>
    <n v="0"/>
    <n v="0.48333333333333428"/>
    <n v="0.48333333333333428"/>
    <s v="Reset &amp; Started"/>
    <s v="Close"/>
    <n v="1.2083333333333357E-2"/>
    <m/>
    <n v="0"/>
    <m/>
    <m/>
    <m/>
    <n v="0"/>
    <m/>
    <m/>
    <m/>
    <m/>
  </r>
  <r>
    <n v="275"/>
    <x v="31"/>
    <x v="0"/>
    <x v="0"/>
    <x v="1"/>
    <x v="0"/>
    <x v="31"/>
    <s v="PWEGPL"/>
    <s v="MSEDCL"/>
    <n v="2.5000000000000001E-2"/>
    <n v="5216"/>
    <x v="191"/>
    <m/>
    <d v="1899-12-30T20:52:00"/>
    <d v="1899-12-30T20:52:00"/>
    <d v="1899-12-30T21:21:00"/>
    <n v="0"/>
    <n v="0.48333333333333428"/>
    <n v="0.48333333333333428"/>
    <s v="Reset &amp; Started"/>
    <s v="Close"/>
    <n v="1.2083333333333357E-2"/>
    <m/>
    <n v="0"/>
    <m/>
    <m/>
    <m/>
    <n v="0"/>
    <m/>
    <m/>
    <m/>
    <m/>
  </r>
  <r>
    <n v="276"/>
    <x v="31"/>
    <x v="0"/>
    <x v="0"/>
    <x v="1"/>
    <x v="0"/>
    <x v="32"/>
    <s v="PWEGPL"/>
    <s v="MSEDCL"/>
    <n v="2.5000000000000001E-2"/>
    <n v="5216"/>
    <x v="191"/>
    <m/>
    <d v="1899-12-30T20:52:00"/>
    <d v="1899-12-30T20:52:00"/>
    <d v="1899-12-30T21:21:00"/>
    <n v="0"/>
    <n v="0.48333333333333428"/>
    <n v="0.48333333333333428"/>
    <s v="Reset &amp; Started"/>
    <s v="Close"/>
    <n v="1.2083333333333357E-2"/>
    <m/>
    <n v="0"/>
    <m/>
    <m/>
    <m/>
    <n v="0"/>
    <m/>
    <m/>
    <m/>
    <m/>
  </r>
  <r>
    <n v="277"/>
    <x v="31"/>
    <x v="0"/>
    <x v="0"/>
    <x v="1"/>
    <x v="0"/>
    <x v="39"/>
    <s v="PWEGPL"/>
    <s v="MSEDCL"/>
    <n v="2.5000000000000001E-2"/>
    <n v="5216"/>
    <x v="191"/>
    <m/>
    <d v="1899-12-30T20:52:00"/>
    <d v="1899-12-30T20:52:00"/>
    <d v="1899-12-30T21:21:00"/>
    <n v="0"/>
    <n v="0.48333333333333428"/>
    <n v="0.48333333333333428"/>
    <s v="Reset &amp; Started"/>
    <s v="Close"/>
    <n v="1.2083333333333357E-2"/>
    <m/>
    <n v="0"/>
    <m/>
    <m/>
    <m/>
    <n v="0"/>
    <m/>
    <m/>
    <m/>
    <m/>
  </r>
  <r>
    <n v="278"/>
    <x v="31"/>
    <x v="0"/>
    <x v="0"/>
    <x v="1"/>
    <x v="0"/>
    <x v="37"/>
    <s v="PWEGPL"/>
    <s v="MSEDCL"/>
    <n v="2.5000000000000001E-2"/>
    <n v="5216"/>
    <x v="191"/>
    <m/>
    <d v="1899-12-30T20:52:00"/>
    <d v="1899-12-30T20:52:00"/>
    <d v="1899-12-30T21:21:00"/>
    <n v="0"/>
    <n v="0.48333333333333428"/>
    <n v="0.48333333333333428"/>
    <s v="Reset &amp; Started"/>
    <s v="Close"/>
    <n v="1.2083333333333357E-2"/>
    <m/>
    <n v="0"/>
    <m/>
    <m/>
    <m/>
    <n v="0"/>
    <m/>
    <m/>
    <m/>
    <m/>
  </r>
  <r>
    <n v="279"/>
    <x v="31"/>
    <x v="0"/>
    <x v="0"/>
    <x v="1"/>
    <x v="0"/>
    <x v="0"/>
    <s v="PWEGPL"/>
    <s v="MSEDCL"/>
    <n v="2.5000000000000001E-2"/>
    <n v="5216"/>
    <x v="191"/>
    <m/>
    <d v="1899-12-30T20:52:00"/>
    <d v="1899-12-30T20:52:00"/>
    <d v="1899-12-30T21:21:00"/>
    <n v="0"/>
    <n v="0.48333333333333428"/>
    <n v="0.48333333333333428"/>
    <s v="Reset &amp; Started"/>
    <s v="Close"/>
    <n v="1.2083333333333357E-2"/>
    <m/>
    <n v="0"/>
    <m/>
    <m/>
    <m/>
    <n v="0"/>
    <m/>
    <m/>
    <m/>
    <m/>
  </r>
  <r>
    <n v="280"/>
    <x v="31"/>
    <x v="0"/>
    <x v="0"/>
    <x v="1"/>
    <x v="0"/>
    <x v="38"/>
    <s v="PWEGPL"/>
    <s v="MSEDCL"/>
    <n v="2.5000000000000001E-2"/>
    <n v="5216"/>
    <x v="191"/>
    <m/>
    <d v="1899-12-30T20:52:00"/>
    <d v="1899-12-30T20:52:00"/>
    <d v="1899-12-30T21:21:00"/>
    <n v="0"/>
    <n v="0.48333333333333428"/>
    <n v="0.48333333333333428"/>
    <s v="Reset &amp; Started"/>
    <s v="Close"/>
    <n v="1.2083333333333357E-2"/>
    <m/>
    <n v="0"/>
    <m/>
    <m/>
    <m/>
    <n v="0"/>
    <m/>
    <m/>
    <m/>
    <m/>
  </r>
  <r>
    <n v="281"/>
    <x v="31"/>
    <x v="0"/>
    <x v="0"/>
    <x v="1"/>
    <x v="0"/>
    <x v="18"/>
    <s v="PWEGPL"/>
    <s v="MSEDCL"/>
    <n v="2.5000000000000001E-2"/>
    <n v="5216"/>
    <x v="191"/>
    <m/>
    <d v="1899-12-30T20:52:00"/>
    <d v="1899-12-30T20:52:00"/>
    <d v="1899-12-30T21:21:00"/>
    <n v="0"/>
    <n v="0.48333333333333428"/>
    <n v="0.48333333333333428"/>
    <s v="Reset &amp; Started"/>
    <s v="Close"/>
    <n v="1.2083333333333357E-2"/>
    <m/>
    <n v="0"/>
    <m/>
    <m/>
    <m/>
    <n v="0"/>
    <m/>
    <m/>
    <m/>
    <m/>
  </r>
  <r>
    <n v="282"/>
    <x v="31"/>
    <x v="0"/>
    <x v="0"/>
    <x v="1"/>
    <x v="0"/>
    <x v="19"/>
    <s v="PWEGPL"/>
    <s v="MSEDCL"/>
    <n v="2.5000000000000001E-2"/>
    <n v="5216"/>
    <x v="191"/>
    <m/>
    <d v="1899-12-30T20:52:00"/>
    <d v="1899-12-30T20:52:00"/>
    <d v="1899-12-30T21:21:00"/>
    <n v="0"/>
    <n v="0.48333333333333428"/>
    <n v="0.48333333333333428"/>
    <s v="Reset &amp; Started"/>
    <s v="Close"/>
    <n v="1.2083333333333357E-2"/>
    <m/>
    <n v="0"/>
    <m/>
    <m/>
    <m/>
    <n v="0"/>
    <m/>
    <m/>
    <m/>
    <m/>
  </r>
  <r>
    <n v="283"/>
    <x v="31"/>
    <x v="0"/>
    <x v="0"/>
    <x v="1"/>
    <x v="0"/>
    <x v="33"/>
    <s v="PWEGPL"/>
    <s v="MSEDCL"/>
    <n v="2.5000000000000001E-2"/>
    <n v="5216"/>
    <x v="191"/>
    <m/>
    <d v="1899-12-30T20:52:00"/>
    <d v="1899-12-30T20:52:00"/>
    <d v="1899-12-30T21:21:00"/>
    <n v="0"/>
    <n v="0.48333333333333428"/>
    <n v="0.48333333333333428"/>
    <s v="Reset &amp; Started"/>
    <s v="Close"/>
    <n v="1.2083333333333357E-2"/>
    <m/>
    <n v="0"/>
    <m/>
    <m/>
    <m/>
    <n v="0"/>
    <m/>
    <m/>
    <m/>
    <m/>
  </r>
  <r>
    <n v="284"/>
    <x v="31"/>
    <x v="0"/>
    <x v="0"/>
    <x v="1"/>
    <x v="0"/>
    <x v="34"/>
    <s v="PWEGPL"/>
    <s v="MSEDCL"/>
    <n v="2.5000000000000001E-2"/>
    <n v="5216"/>
    <x v="193"/>
    <m/>
    <d v="1899-12-30T20:52:00"/>
    <d v="1899-12-30T20:52:00"/>
    <d v="1899-12-30T21:21:00"/>
    <n v="0"/>
    <n v="0.48333333333333428"/>
    <n v="0.48333333333333428"/>
    <s v="Reset &amp; Started"/>
    <s v="Close"/>
    <n v="1.2083333333333357E-2"/>
    <m/>
    <n v="0"/>
    <m/>
    <m/>
    <m/>
    <n v="0"/>
    <m/>
    <m/>
    <m/>
    <m/>
  </r>
  <r>
    <n v="285"/>
    <x v="31"/>
    <x v="0"/>
    <x v="0"/>
    <x v="1"/>
    <x v="0"/>
    <x v="1"/>
    <s v="PWEGPL"/>
    <s v="MSEDCL"/>
    <n v="2.5000000000000001E-2"/>
    <n v="5216"/>
    <x v="191"/>
    <m/>
    <d v="1899-12-30T20:52:00"/>
    <d v="1899-12-30T20:52:00"/>
    <d v="1899-12-30T21:21:00"/>
    <n v="0"/>
    <n v="0.48333333333333428"/>
    <n v="0.48333333333333428"/>
    <s v="Reset &amp; Started"/>
    <s v="Close"/>
    <n v="1.2083333333333357E-2"/>
    <m/>
    <n v="0"/>
    <m/>
    <m/>
    <m/>
    <n v="0"/>
    <m/>
    <m/>
    <m/>
    <m/>
  </r>
  <r>
    <n v="286"/>
    <x v="31"/>
    <x v="0"/>
    <x v="0"/>
    <x v="1"/>
    <x v="0"/>
    <x v="35"/>
    <s v="PWEGPL"/>
    <s v="MSEDCL"/>
    <n v="2.5000000000000001E-2"/>
    <n v="5216"/>
    <x v="194"/>
    <m/>
    <d v="1899-12-30T20:52:00"/>
    <d v="1899-12-30T20:52:00"/>
    <d v="1899-12-30T21:21:00"/>
    <n v="0"/>
    <n v="0.48333333333333428"/>
    <n v="0.48333333333333428"/>
    <s v="Reset &amp; Started"/>
    <s v="Close"/>
    <n v="1.2083333333333357E-2"/>
    <m/>
    <n v="0"/>
    <m/>
    <m/>
    <m/>
    <n v="0"/>
    <m/>
    <m/>
    <m/>
    <m/>
  </r>
  <r>
    <n v="287"/>
    <x v="31"/>
    <x v="0"/>
    <x v="0"/>
    <x v="1"/>
    <x v="0"/>
    <x v="36"/>
    <s v="PWEGPL"/>
    <s v="MSEDCL"/>
    <n v="2.5000000000000001E-2"/>
    <n v="5216"/>
    <x v="191"/>
    <m/>
    <d v="1899-12-30T20:52:00"/>
    <d v="1899-12-30T20:52:00"/>
    <d v="1899-12-30T21:21:00"/>
    <n v="0"/>
    <n v="0.48333333333333428"/>
    <n v="0.48333333333333428"/>
    <s v="Reset &amp; Started"/>
    <s v="Close"/>
    <n v="1.2083333333333357E-2"/>
    <m/>
    <n v="0"/>
    <m/>
    <m/>
    <m/>
    <n v="0"/>
    <m/>
    <m/>
    <m/>
    <m/>
  </r>
  <r>
    <n v="288"/>
    <x v="31"/>
    <x v="0"/>
    <x v="0"/>
    <x v="1"/>
    <x v="0"/>
    <x v="2"/>
    <s v="PWEGPL"/>
    <s v="MSEDCL"/>
    <n v="2.5000000000000001E-2"/>
    <n v="5216"/>
    <x v="195"/>
    <m/>
    <d v="1899-12-30T09:21:00"/>
    <d v="1899-12-30T09:21:00"/>
    <d v="1899-12-30T09:22:00"/>
    <n v="0"/>
    <n v="1.6666666666666607E-2"/>
    <n v="1.6666666666666607E-2"/>
    <s v="Reset &amp; Started"/>
    <s v="Close"/>
    <n v="4.1666666666666523E-4"/>
    <m/>
    <n v="0"/>
    <m/>
    <m/>
    <m/>
    <n v="0"/>
    <m/>
    <m/>
    <m/>
    <m/>
  </r>
  <r>
    <n v="289"/>
    <x v="31"/>
    <x v="0"/>
    <x v="0"/>
    <x v="1"/>
    <x v="0"/>
    <x v="8"/>
    <s v="PWEGPL"/>
    <s v="MSEDCL"/>
    <n v="2.5000000000000001E-2"/>
    <n v="5216"/>
    <x v="191"/>
    <m/>
    <d v="1899-12-30T20:52:00"/>
    <d v="1899-12-30T20:52:00"/>
    <d v="1899-12-30T21:21:00"/>
    <n v="0"/>
    <n v="0.48333333333333428"/>
    <n v="0.48333333333333428"/>
    <s v="Reset &amp; Started"/>
    <s v="Close"/>
    <n v="1.2083333333333357E-2"/>
    <m/>
    <n v="0"/>
    <m/>
    <m/>
    <m/>
    <n v="0"/>
    <m/>
    <m/>
    <m/>
    <m/>
  </r>
  <r>
    <n v="290"/>
    <x v="31"/>
    <x v="0"/>
    <x v="0"/>
    <x v="1"/>
    <x v="0"/>
    <x v="9"/>
    <s v="PWEGPL"/>
    <s v="MSEDCL"/>
    <n v="2.5000000000000001E-2"/>
    <n v="5216"/>
    <x v="191"/>
    <m/>
    <d v="1899-12-30T20:52:00"/>
    <d v="1899-12-30T20:52:00"/>
    <d v="1899-12-30T21:21:00"/>
    <n v="0"/>
    <n v="0.48333333333333428"/>
    <n v="0.48333333333333428"/>
    <s v="Reset &amp; Started"/>
    <s v="Close"/>
    <n v="1.2083333333333357E-2"/>
    <m/>
    <n v="0"/>
    <m/>
    <m/>
    <m/>
    <n v="0"/>
    <m/>
    <m/>
    <m/>
    <m/>
  </r>
  <r>
    <n v="291"/>
    <x v="31"/>
    <x v="0"/>
    <x v="0"/>
    <x v="1"/>
    <x v="0"/>
    <x v="10"/>
    <s v="PWEGPL"/>
    <s v="MSEDCL"/>
    <n v="2.5000000000000001E-2"/>
    <n v="5216"/>
    <x v="191"/>
    <m/>
    <d v="1899-12-30T20:52:00"/>
    <d v="1899-12-30T20:52:00"/>
    <d v="1899-12-30T21:21:00"/>
    <n v="0"/>
    <n v="0.48333333333333428"/>
    <n v="0.48333333333333428"/>
    <s v="Reset &amp; Started"/>
    <s v="Close"/>
    <n v="1.2083333333333357E-2"/>
    <m/>
    <n v="0"/>
    <m/>
    <m/>
    <m/>
    <n v="0"/>
    <m/>
    <m/>
    <m/>
    <m/>
  </r>
  <r>
    <n v="292"/>
    <x v="31"/>
    <x v="0"/>
    <x v="0"/>
    <x v="1"/>
    <x v="0"/>
    <x v="11"/>
    <s v="PWEGPL"/>
    <s v="MSEDCL"/>
    <n v="2.5000000000000001E-2"/>
    <n v="5216"/>
    <x v="191"/>
    <m/>
    <d v="1899-12-30T20:52:00"/>
    <d v="1899-12-30T20:52:00"/>
    <d v="1899-12-30T21:21:00"/>
    <n v="0"/>
    <n v="0.48333333333333428"/>
    <n v="0.48333333333333428"/>
    <s v="Reset &amp; Started"/>
    <s v="Close"/>
    <n v="1.2083333333333357E-2"/>
    <m/>
    <n v="0"/>
    <m/>
    <m/>
    <m/>
    <n v="0"/>
    <m/>
    <m/>
    <m/>
    <m/>
  </r>
  <r>
    <n v="293"/>
    <x v="31"/>
    <x v="0"/>
    <x v="0"/>
    <x v="1"/>
    <x v="0"/>
    <x v="12"/>
    <s v="PWEGPL"/>
    <s v="MSEDCL"/>
    <n v="2.5000000000000001E-2"/>
    <n v="5216"/>
    <x v="191"/>
    <m/>
    <d v="1899-12-30T20:52:00"/>
    <d v="1899-12-30T20:52:00"/>
    <d v="1899-12-30T21:21:00"/>
    <n v="0"/>
    <n v="0.48333333333333428"/>
    <n v="0.48333333333333428"/>
    <s v="Reset &amp; Started"/>
    <s v="Close"/>
    <n v="1.2083333333333357E-2"/>
    <m/>
    <n v="0"/>
    <m/>
    <m/>
    <m/>
    <n v="0"/>
    <m/>
    <m/>
    <m/>
    <m/>
  </r>
  <r>
    <n v="294"/>
    <x v="31"/>
    <x v="0"/>
    <x v="0"/>
    <x v="1"/>
    <x v="0"/>
    <x v="3"/>
    <s v="PWEGPL"/>
    <s v="MSEDCL"/>
    <n v="2.5000000000000001E-2"/>
    <n v="5216"/>
    <x v="195"/>
    <m/>
    <d v="1899-12-30T09:21:00"/>
    <d v="1899-12-30T09:21:00"/>
    <d v="1899-12-30T09:22:00"/>
    <n v="0"/>
    <n v="1.6666666666666607E-2"/>
    <n v="1.6666666666666607E-2"/>
    <s v="Reset &amp; Started"/>
    <s v="Close"/>
    <n v="4.1666666666666523E-4"/>
    <m/>
    <n v="0"/>
    <m/>
    <m/>
    <m/>
    <n v="0"/>
    <m/>
    <m/>
    <m/>
    <m/>
  </r>
  <r>
    <n v="295"/>
    <x v="31"/>
    <x v="0"/>
    <x v="0"/>
    <x v="1"/>
    <x v="0"/>
    <x v="13"/>
    <s v="PWEGPL"/>
    <s v="MSEDCL"/>
    <n v="2.5000000000000001E-2"/>
    <n v="5216"/>
    <x v="195"/>
    <m/>
    <d v="1899-12-30T09:21:00"/>
    <d v="1899-12-30T09:21:00"/>
    <d v="1899-12-30T09:22:00"/>
    <n v="0"/>
    <n v="1.6666666666666607E-2"/>
    <n v="1.6666666666666607E-2"/>
    <s v="Reset &amp; Started"/>
    <s v="Close"/>
    <n v="4.1666666666666523E-4"/>
    <m/>
    <n v="0"/>
    <m/>
    <m/>
    <m/>
    <n v="0"/>
    <m/>
    <m/>
    <m/>
    <m/>
  </r>
  <r>
    <n v="296"/>
    <x v="31"/>
    <x v="0"/>
    <x v="0"/>
    <x v="1"/>
    <x v="0"/>
    <x v="14"/>
    <s v="PWEGPL"/>
    <s v="MSEDCL"/>
    <n v="2.5000000000000001E-2"/>
    <n v="5216"/>
    <x v="195"/>
    <m/>
    <d v="1899-12-30T09:21:00"/>
    <d v="1899-12-30T09:21:00"/>
    <d v="1899-12-30T09:22:00"/>
    <n v="0"/>
    <n v="1.6666666666666607E-2"/>
    <n v="1.6666666666666607E-2"/>
    <s v="Reset &amp; Started"/>
    <s v="Close"/>
    <n v="4.1666666666666523E-4"/>
    <m/>
    <n v="0"/>
    <m/>
    <m/>
    <m/>
    <n v="0"/>
    <m/>
    <m/>
    <m/>
    <m/>
  </r>
  <r>
    <n v="297"/>
    <x v="31"/>
    <x v="0"/>
    <x v="0"/>
    <x v="1"/>
    <x v="0"/>
    <x v="15"/>
    <s v="PWEGPL"/>
    <s v="MSEDCL"/>
    <n v="2.5000000000000001E-2"/>
    <n v="5216"/>
    <x v="196"/>
    <m/>
    <d v="1899-12-30T09:21:00"/>
    <d v="1899-12-30T09:21:00"/>
    <d v="1899-12-30T09:22:00"/>
    <n v="0"/>
    <n v="1.6666666666666607E-2"/>
    <n v="1.6666666666666607E-2"/>
    <s v="Reset &amp; Started"/>
    <s v="Close"/>
    <n v="4.1666666666666523E-4"/>
    <m/>
    <n v="0"/>
    <m/>
    <m/>
    <m/>
    <n v="0"/>
    <m/>
    <m/>
    <m/>
    <m/>
  </r>
  <r>
    <n v="298"/>
    <x v="31"/>
    <x v="0"/>
    <x v="0"/>
    <x v="1"/>
    <x v="0"/>
    <x v="16"/>
    <s v="PWEGPL"/>
    <s v="MSEDCL"/>
    <n v="2.5000000000000001E-2"/>
    <n v="5216"/>
    <x v="195"/>
    <m/>
    <d v="1899-12-30T09:21:00"/>
    <d v="1899-12-30T09:21:00"/>
    <d v="1899-12-30T09:22:00"/>
    <n v="0"/>
    <n v="1.6666666666666607E-2"/>
    <n v="1.6666666666666607E-2"/>
    <s v="Reset &amp; Started"/>
    <s v="Close"/>
    <n v="4.1666666666666523E-4"/>
    <m/>
    <n v="0"/>
    <m/>
    <m/>
    <m/>
    <n v="0"/>
    <m/>
    <m/>
    <m/>
    <m/>
  </r>
  <r>
    <n v="299"/>
    <x v="31"/>
    <x v="0"/>
    <x v="0"/>
    <x v="1"/>
    <x v="0"/>
    <x v="4"/>
    <s v="PWEGPL"/>
    <s v="MSEDCL"/>
    <n v="2.5000000000000001E-2"/>
    <n v="5216"/>
    <x v="195"/>
    <m/>
    <d v="1899-12-30T09:21:00"/>
    <d v="1899-12-30T09:21:00"/>
    <d v="1899-12-30T09:22:00"/>
    <n v="0"/>
    <n v="1.6666666666666607E-2"/>
    <n v="1.6666666666666607E-2"/>
    <s v="Reset &amp; Started"/>
    <s v="Close"/>
    <n v="4.1666666666666523E-4"/>
    <m/>
    <n v="0"/>
    <m/>
    <m/>
    <m/>
    <n v="0"/>
    <m/>
    <m/>
    <m/>
    <m/>
  </r>
  <r>
    <n v="300"/>
    <x v="31"/>
    <x v="0"/>
    <x v="0"/>
    <x v="1"/>
    <x v="0"/>
    <x v="5"/>
    <s v="PWEGPL"/>
    <s v="MSEDCL"/>
    <n v="2.5000000000000001E-2"/>
    <n v="5216"/>
    <x v="195"/>
    <m/>
    <d v="1899-12-30T09:21:00"/>
    <d v="1899-12-30T09:21:00"/>
    <d v="1899-12-30T09:22:00"/>
    <n v="0"/>
    <n v="1.6666666666666607E-2"/>
    <n v="1.6666666666666607E-2"/>
    <s v="Reset &amp; Started"/>
    <s v="Close"/>
    <n v="4.1666666666666523E-4"/>
    <m/>
    <n v="0"/>
    <m/>
    <m/>
    <m/>
    <n v="0"/>
    <m/>
    <m/>
    <m/>
    <m/>
  </r>
  <r>
    <n v="301"/>
    <x v="31"/>
    <x v="0"/>
    <x v="0"/>
    <x v="1"/>
    <x v="0"/>
    <x v="6"/>
    <s v="PWEGPL"/>
    <s v="MSEDCL"/>
    <n v="2.5000000000000001E-2"/>
    <n v="5216"/>
    <x v="195"/>
    <m/>
    <d v="1899-12-30T09:21:00"/>
    <d v="1899-12-30T09:21:00"/>
    <d v="1899-12-30T09:22:00"/>
    <n v="0"/>
    <n v="1.6666666666666607E-2"/>
    <n v="1.6666666666666607E-2"/>
    <s v="Reset &amp; Started"/>
    <s v="Close"/>
    <n v="4.1666666666666523E-4"/>
    <m/>
    <n v="0"/>
    <m/>
    <m/>
    <m/>
    <n v="0"/>
    <m/>
    <m/>
    <m/>
    <m/>
  </r>
  <r>
    <n v="302"/>
    <x v="31"/>
    <x v="0"/>
    <x v="0"/>
    <x v="1"/>
    <x v="0"/>
    <x v="7"/>
    <s v="PWEGPL"/>
    <s v="MSEDCL"/>
    <n v="2.5000000000000001E-2"/>
    <n v="5216"/>
    <x v="195"/>
    <m/>
    <d v="1899-12-30T09:21:00"/>
    <d v="1899-12-30T09:21:00"/>
    <d v="1899-12-30T09:22:00"/>
    <n v="0"/>
    <n v="1.6666666666666607E-2"/>
    <n v="1.6666666666666607E-2"/>
    <s v="Reset &amp; Started"/>
    <s v="Close"/>
    <n v="4.1666666666666523E-4"/>
    <m/>
    <n v="0"/>
    <m/>
    <m/>
    <m/>
    <n v="0"/>
    <m/>
    <m/>
    <m/>
    <m/>
  </r>
  <r>
    <n v="303"/>
    <x v="31"/>
    <x v="0"/>
    <x v="0"/>
    <x v="1"/>
    <x v="0"/>
    <x v="20"/>
    <s v="PWEGPL"/>
    <s v="MSEDCL"/>
    <n v="2.5000000000000001E-2"/>
    <n v="5216"/>
    <x v="197"/>
    <m/>
    <d v="1899-12-30T07:43:00"/>
    <d v="1899-12-30T07:43:00"/>
    <d v="1899-12-30T07:48:00"/>
    <n v="0"/>
    <n v="8.3333333333333037E-2"/>
    <n v="8.3333333333333037E-2"/>
    <s v="Reset &amp; Started"/>
    <s v="Close"/>
    <n v="2.0833333333333259E-3"/>
    <m/>
    <n v="0"/>
    <m/>
    <m/>
    <m/>
    <n v="0"/>
    <m/>
    <m/>
    <m/>
    <m/>
  </r>
  <r>
    <n v="304"/>
    <x v="31"/>
    <x v="0"/>
    <x v="0"/>
    <x v="1"/>
    <x v="0"/>
    <x v="21"/>
    <s v="PWEGPL"/>
    <s v="MSEDCL"/>
    <n v="2.5000000000000001E-2"/>
    <n v="5216"/>
    <x v="198"/>
    <m/>
    <d v="1899-12-30T07:43:00"/>
    <d v="1899-12-30T07:43:00"/>
    <d v="1899-12-30T07:48:00"/>
    <n v="0"/>
    <n v="8.3333333333333037E-2"/>
    <n v="8.3333333333333037E-2"/>
    <s v="Reset &amp; Started"/>
    <s v="Close"/>
    <n v="2.0833333333333259E-3"/>
    <m/>
    <n v="0"/>
    <m/>
    <m/>
    <m/>
    <n v="0"/>
    <m/>
    <m/>
    <m/>
    <m/>
  </r>
  <r>
    <n v="305"/>
    <x v="31"/>
    <x v="0"/>
    <x v="0"/>
    <x v="1"/>
    <x v="0"/>
    <x v="22"/>
    <s v="PWEGPL"/>
    <s v="MSEDCL"/>
    <n v="2.5000000000000001E-2"/>
    <n v="5216"/>
    <x v="199"/>
    <m/>
    <d v="1899-12-30T07:43:00"/>
    <d v="1899-12-30T07:43:00"/>
    <d v="1899-12-30T07:48:00"/>
    <n v="0"/>
    <n v="8.3333333333333037E-2"/>
    <n v="8.3333333333333037E-2"/>
    <s v="Reset &amp; Started"/>
    <s v="Close"/>
    <n v="2.0833333333333259E-3"/>
    <m/>
    <n v="0"/>
    <m/>
    <m/>
    <m/>
    <n v="0"/>
    <m/>
    <m/>
    <m/>
    <m/>
  </r>
  <r>
    <n v="306"/>
    <x v="31"/>
    <x v="0"/>
    <x v="0"/>
    <x v="1"/>
    <x v="0"/>
    <x v="23"/>
    <s v="PWEGPL"/>
    <s v="MSEDCL"/>
    <n v="2.5000000000000001E-2"/>
    <n v="5216"/>
    <x v="198"/>
    <m/>
    <d v="1899-12-30T07:43:00"/>
    <d v="1899-12-30T07:43:00"/>
    <d v="1899-12-30T07:48:00"/>
    <n v="0"/>
    <n v="8.3333333333333037E-2"/>
    <n v="8.3333333333333037E-2"/>
    <s v="Reset &amp; Started"/>
    <s v="Close"/>
    <n v="2.0833333333333259E-3"/>
    <m/>
    <n v="0"/>
    <m/>
    <m/>
    <m/>
    <n v="0"/>
    <m/>
    <m/>
    <m/>
    <m/>
  </r>
  <r>
    <n v="307"/>
    <x v="31"/>
    <x v="0"/>
    <x v="0"/>
    <x v="1"/>
    <x v="0"/>
    <x v="25"/>
    <s v="PWEGPL"/>
    <s v="MSEDCL"/>
    <n v="2.5000000000000001E-2"/>
    <n v="5216"/>
    <x v="200"/>
    <m/>
    <d v="1899-12-30T07:43:00"/>
    <d v="1899-12-30T07:43:00"/>
    <d v="1899-12-30T07:48:00"/>
    <n v="0"/>
    <n v="8.3333333333333037E-2"/>
    <n v="8.3333333333333037E-2"/>
    <s v="Reset &amp; Started"/>
    <s v="Close"/>
    <n v="2.0833333333333259E-3"/>
    <m/>
    <n v="0"/>
    <m/>
    <m/>
    <m/>
    <n v="0"/>
    <m/>
    <m/>
    <m/>
    <m/>
  </r>
  <r>
    <n v="308"/>
    <x v="31"/>
    <x v="0"/>
    <x v="0"/>
    <x v="1"/>
    <x v="0"/>
    <x v="26"/>
    <s v="PWEGPL"/>
    <s v="MSEDCL"/>
    <n v="2.5000000000000001E-2"/>
    <n v="5216"/>
    <x v="200"/>
    <m/>
    <d v="1899-12-30T07:43:00"/>
    <d v="1899-12-30T07:43:00"/>
    <d v="1899-12-30T07:48:00"/>
    <n v="0"/>
    <n v="8.3333333333333037E-2"/>
    <n v="8.3333333333333037E-2"/>
    <s v="Reset &amp; Started"/>
    <s v="Close"/>
    <n v="2.0833333333333259E-3"/>
    <m/>
    <n v="0"/>
    <m/>
    <m/>
    <m/>
    <n v="0"/>
    <m/>
    <m/>
    <m/>
    <m/>
  </r>
  <r>
    <n v="309"/>
    <x v="31"/>
    <x v="0"/>
    <x v="0"/>
    <x v="1"/>
    <x v="0"/>
    <x v="17"/>
    <s v="PWEGPL"/>
    <s v="MSEDCL"/>
    <n v="2.5000000000000001E-2"/>
    <n v="5216"/>
    <x v="198"/>
    <m/>
    <d v="1899-12-30T07:43:00"/>
    <d v="1899-12-30T07:43:00"/>
    <d v="1899-12-30T07:48:00"/>
    <n v="0"/>
    <n v="8.3333333333333037E-2"/>
    <n v="8.3333333333333037E-2"/>
    <s v="Reset &amp; Started"/>
    <s v="Close"/>
    <n v="2.0833333333333259E-3"/>
    <m/>
    <n v="0"/>
    <m/>
    <m/>
    <m/>
    <n v="0"/>
    <m/>
    <m/>
    <m/>
    <m/>
  </r>
  <r>
    <n v="310"/>
    <x v="31"/>
    <x v="0"/>
    <x v="0"/>
    <x v="1"/>
    <x v="0"/>
    <x v="28"/>
    <s v="PWEGPL"/>
    <s v="MSEDCL"/>
    <n v="2.5000000000000001E-2"/>
    <n v="5216"/>
    <x v="198"/>
    <m/>
    <d v="1899-12-30T07:43:00"/>
    <d v="1899-12-30T07:43:00"/>
    <d v="1899-12-30T07:48:00"/>
    <n v="0"/>
    <n v="8.3333333333333037E-2"/>
    <n v="8.3333333333333037E-2"/>
    <s v="Reset &amp; Started"/>
    <s v="Close"/>
    <n v="2.0833333333333259E-3"/>
    <m/>
    <n v="0"/>
    <m/>
    <m/>
    <m/>
    <n v="0"/>
    <m/>
    <m/>
    <m/>
    <m/>
  </r>
  <r>
    <n v="311"/>
    <x v="31"/>
    <x v="0"/>
    <x v="0"/>
    <x v="1"/>
    <x v="0"/>
    <x v="29"/>
    <s v="PWEGPL"/>
    <s v="MSEDCL"/>
    <n v="2.5000000000000001E-2"/>
    <n v="5216"/>
    <x v="198"/>
    <m/>
    <d v="1899-12-30T07:43:00"/>
    <d v="1899-12-30T07:43:00"/>
    <d v="1899-12-30T07:48:00"/>
    <n v="0"/>
    <n v="8.3333333333333037E-2"/>
    <n v="8.3333333333333037E-2"/>
    <s v="Reset &amp; Started"/>
    <s v="Close"/>
    <n v="2.0833333333333259E-3"/>
    <m/>
    <n v="0"/>
    <m/>
    <m/>
    <m/>
    <n v="0"/>
    <m/>
    <m/>
    <m/>
    <m/>
  </r>
  <r>
    <n v="312"/>
    <x v="31"/>
    <x v="0"/>
    <x v="0"/>
    <x v="1"/>
    <x v="0"/>
    <x v="20"/>
    <s v="PWEGPL"/>
    <s v="MSEDCL"/>
    <n v="2.5000000000000001E-2"/>
    <n v="2509"/>
    <x v="201"/>
    <m/>
    <d v="1899-12-30T05:38:00"/>
    <d v="1899-12-30T05:38:00"/>
    <d v="1899-12-30T08:30:00"/>
    <n v="0"/>
    <n v="2.866666666666668"/>
    <n v="2.866666666666668"/>
    <s v="Reset &amp; Started"/>
    <s v="Close"/>
    <n v="7.1666666666666698E-2"/>
    <m/>
    <n v="0"/>
    <m/>
    <m/>
    <m/>
    <n v="0"/>
    <m/>
    <m/>
    <m/>
    <m/>
  </r>
  <r>
    <n v="313"/>
    <x v="31"/>
    <x v="0"/>
    <x v="0"/>
    <x v="1"/>
    <x v="0"/>
    <x v="21"/>
    <s v="PWEGPL"/>
    <s v="MSEDCL"/>
    <n v="2.5000000000000001E-2"/>
    <n v="2509"/>
    <x v="201"/>
    <m/>
    <d v="1899-12-30T05:38:00"/>
    <d v="1899-12-30T05:38:00"/>
    <d v="1899-12-30T08:20:00"/>
    <n v="0"/>
    <n v="2.700000000000002"/>
    <n v="2.700000000000002"/>
    <s v="Reset &amp; Started"/>
    <s v="Close"/>
    <n v="6.7500000000000046E-2"/>
    <m/>
    <n v="0"/>
    <m/>
    <m/>
    <m/>
    <n v="0"/>
    <m/>
    <m/>
    <m/>
    <m/>
  </r>
  <r>
    <n v="314"/>
    <x v="31"/>
    <x v="0"/>
    <x v="0"/>
    <x v="1"/>
    <x v="0"/>
    <x v="22"/>
    <s v="PWEGPL"/>
    <s v="MSEDCL"/>
    <n v="2.5000000000000001E-2"/>
    <n v="2509"/>
    <x v="201"/>
    <m/>
    <d v="1899-12-30T05:38:00"/>
    <d v="1899-12-30T05:38:00"/>
    <d v="1899-12-30T07:50:00"/>
    <n v="0"/>
    <n v="2.2000000000000011"/>
    <n v="2.2000000000000011"/>
    <s v="Reset &amp; Started"/>
    <s v="Close"/>
    <n v="5.5000000000000028E-2"/>
    <m/>
    <n v="0"/>
    <m/>
    <m/>
    <m/>
    <n v="0"/>
    <m/>
    <m/>
    <m/>
    <m/>
  </r>
  <r>
    <n v="315"/>
    <x v="31"/>
    <x v="0"/>
    <x v="0"/>
    <x v="1"/>
    <x v="0"/>
    <x v="23"/>
    <s v="PWEGPL"/>
    <s v="MSEDCL"/>
    <n v="2.5000000000000001E-2"/>
    <n v="2509"/>
    <x v="201"/>
    <m/>
    <d v="1899-12-30T05:38:00"/>
    <d v="1899-12-30T05:38:00"/>
    <d v="1899-12-30T13:25:00"/>
    <n v="0"/>
    <n v="7.783333333333335"/>
    <n v="7.783333333333335"/>
    <s v="Reset &amp; Started"/>
    <s v="Close"/>
    <n v="0.19458333333333339"/>
    <m/>
    <n v="0"/>
    <m/>
    <m/>
    <m/>
    <n v="0"/>
    <m/>
    <m/>
    <m/>
    <m/>
  </r>
  <r>
    <n v="316"/>
    <x v="31"/>
    <x v="0"/>
    <x v="0"/>
    <x v="1"/>
    <x v="0"/>
    <x v="25"/>
    <s v="PWEGPL"/>
    <s v="MSEDCL"/>
    <n v="2.5000000000000001E-2"/>
    <n v="2509"/>
    <x v="201"/>
    <m/>
    <d v="1899-12-30T05:38:00"/>
    <d v="1899-12-30T05:38:00"/>
    <d v="1899-12-30T10:27:00"/>
    <n v="0"/>
    <n v="4.8166666666666664"/>
    <n v="4.8166666666666664"/>
    <s v="Reset &amp; Started"/>
    <s v="Close"/>
    <n v="0.12041666666666667"/>
    <m/>
    <n v="0"/>
    <m/>
    <m/>
    <m/>
    <n v="0"/>
    <m/>
    <m/>
    <m/>
    <m/>
  </r>
  <r>
    <n v="317"/>
    <x v="31"/>
    <x v="0"/>
    <x v="0"/>
    <x v="1"/>
    <x v="0"/>
    <x v="26"/>
    <s v="PWEGPL"/>
    <s v="MSEDCL"/>
    <n v="2.5000000000000001E-2"/>
    <n v="2509"/>
    <x v="201"/>
    <m/>
    <d v="1899-12-30T05:38:00"/>
    <d v="1899-12-30T05:38:00"/>
    <d v="1899-12-30T08:25:00"/>
    <n v="0"/>
    <n v="2.7833333333333332"/>
    <n v="2.7833333333333332"/>
    <s v="Reset &amp; Started"/>
    <s v="Close"/>
    <n v="6.958333333333333E-2"/>
    <m/>
    <n v="0"/>
    <m/>
    <m/>
    <m/>
    <n v="0"/>
    <m/>
    <m/>
    <m/>
    <m/>
  </r>
  <r>
    <n v="318"/>
    <x v="31"/>
    <x v="0"/>
    <x v="0"/>
    <x v="1"/>
    <x v="0"/>
    <x v="17"/>
    <s v="PWEGPL"/>
    <s v="MSEDCL"/>
    <n v="2.5000000000000001E-2"/>
    <n v="2509"/>
    <x v="201"/>
    <m/>
    <d v="1899-12-30T05:38:00"/>
    <d v="1899-12-30T05:38:00"/>
    <d v="1899-12-30T18:10:00"/>
    <n v="0"/>
    <n v="12.533333333333337"/>
    <n v="12.533333333333337"/>
    <s v="T-Connector replaced"/>
    <s v="Close"/>
    <n v="0.31333333333333346"/>
    <m/>
    <n v="0"/>
    <m/>
    <m/>
    <m/>
    <n v="0"/>
    <m/>
    <m/>
    <m/>
    <m/>
  </r>
  <r>
    <n v="319"/>
    <x v="31"/>
    <x v="0"/>
    <x v="0"/>
    <x v="1"/>
    <x v="0"/>
    <x v="27"/>
    <s v="PWEGPL"/>
    <s v="MSEDCL"/>
    <n v="2.5000000000000001E-2"/>
    <n v="5222"/>
    <x v="202"/>
    <m/>
    <d v="1899-12-30T21:45:00"/>
    <d v="1899-12-30T22:54:00"/>
    <d v="1899-12-30T22:54:00"/>
    <n v="1.1499999999999986"/>
    <n v="0"/>
    <n v="1.1499999999999986"/>
    <s v="Reset"/>
    <s v="Close"/>
    <n v="2.8749999999999967E-2"/>
    <m/>
    <n v="0"/>
    <m/>
    <m/>
    <m/>
    <n v="0"/>
    <m/>
    <m/>
    <m/>
    <m/>
  </r>
  <r>
    <n v="320"/>
    <x v="31"/>
    <x v="0"/>
    <x v="0"/>
    <x v="1"/>
    <x v="0"/>
    <x v="29"/>
    <s v="PWEGPL"/>
    <s v="MSEDCL"/>
    <n v="2.5000000000000001E-2"/>
    <n v="205"/>
    <x v="203"/>
    <m/>
    <d v="1899-12-30T00:00:00"/>
    <d v="1899-12-30T15:00:00"/>
    <d v="1899-12-30T16:00:00"/>
    <n v="15"/>
    <n v="0.99999999999999911"/>
    <n v="16"/>
    <s v="Lambda power supply replaced"/>
    <s v="Close"/>
    <n v="0.4"/>
    <m/>
    <n v="0"/>
    <m/>
    <m/>
    <m/>
    <n v="0"/>
    <m/>
    <m/>
    <m/>
    <m/>
  </r>
  <r>
    <n v="321"/>
    <x v="31"/>
    <x v="0"/>
    <x v="0"/>
    <x v="1"/>
    <x v="0"/>
    <x v="29"/>
    <s v="PWEGPL"/>
    <s v="MSEDCL"/>
    <n v="2.5000000000000001E-2"/>
    <n v="2118"/>
    <x v="204"/>
    <m/>
    <d v="1899-12-30T21:21:00"/>
    <d v="1899-12-30T23:09:00"/>
    <d v="1899-12-30T23:09:00"/>
    <n v="1.7999999999999963"/>
    <n v="0"/>
    <n v="1.7999999999999963"/>
    <s v="Reset"/>
    <s v="Close"/>
    <n v="4.4999999999999908E-2"/>
    <m/>
    <n v="0"/>
    <m/>
    <m/>
    <m/>
    <n v="0"/>
    <m/>
    <m/>
    <m/>
    <m/>
  </r>
  <r>
    <n v="322"/>
    <x v="31"/>
    <x v="0"/>
    <x v="0"/>
    <x v="1"/>
    <x v="0"/>
    <x v="34"/>
    <s v="PWEGPL"/>
    <s v="MSEDCL"/>
    <n v="2.5000000000000001E-2"/>
    <n v="205"/>
    <x v="205"/>
    <m/>
    <d v="1899-12-30T22:04:00"/>
    <d v="1899-12-30T22:54:00"/>
    <d v="1899-12-30T22:54:00"/>
    <n v="0.83333333333333304"/>
    <n v="0"/>
    <n v="0.83333333333333304"/>
    <s v="Reset"/>
    <s v="Close"/>
    <n v="2.0833333333333329E-2"/>
    <m/>
    <n v="0"/>
    <m/>
    <m/>
    <m/>
    <n v="0"/>
    <m/>
    <m/>
    <m/>
    <m/>
  </r>
  <r>
    <n v="323"/>
    <x v="31"/>
    <x v="0"/>
    <x v="0"/>
    <x v="1"/>
    <x v="0"/>
    <x v="35"/>
    <s v="PWEGPL"/>
    <s v="MSEDCL"/>
    <n v="2.5000000000000001E-2"/>
    <n v="907"/>
    <x v="206"/>
    <m/>
    <d v="1899-12-30T00:00:00"/>
    <d v="1899-12-30T17:36:00"/>
    <d v="1899-12-30T17:43:00"/>
    <n v="17.600000000000001"/>
    <n v="0.11666666666666359"/>
    <n v="17.716666666666665"/>
    <s v="Lambda power supply replaced"/>
    <s v="Close"/>
    <n v="0.44291666666666663"/>
    <m/>
    <n v="0"/>
    <m/>
    <m/>
    <m/>
    <n v="0"/>
    <m/>
    <m/>
    <m/>
    <m/>
  </r>
  <r>
    <n v="324"/>
    <x v="31"/>
    <x v="0"/>
    <x v="0"/>
    <x v="1"/>
    <x v="0"/>
    <x v="35"/>
    <s v="PWEGPL"/>
    <s v="MSEDCL"/>
    <n v="2.5000000000000001E-2"/>
    <n v="907"/>
    <x v="207"/>
    <m/>
    <d v="1899-12-30T21:23:00"/>
    <d v="1899-12-30T23:59:00"/>
    <d v="1899-12-30T23:59:00"/>
    <n v="2.6000000000000014"/>
    <n v="0"/>
    <n v="2.6000000000000014"/>
    <s v="Reset"/>
    <s v="Close"/>
    <n v="6.5000000000000044E-2"/>
    <m/>
    <n v="0"/>
    <m/>
    <m/>
    <m/>
    <n v="0"/>
    <m/>
    <m/>
    <m/>
    <m/>
  </r>
  <r>
    <n v="325"/>
    <x v="31"/>
    <x v="0"/>
    <x v="0"/>
    <x v="1"/>
    <x v="0"/>
    <x v="9"/>
    <s v="PWEGPL"/>
    <s v="MSEDCL"/>
    <n v="2.5000000000000001E-2"/>
    <n v="205"/>
    <x v="208"/>
    <m/>
    <d v="1899-12-30T21:36:00"/>
    <d v="1899-12-30T23:59:00"/>
    <d v="1899-12-30T23:59:00"/>
    <n v="2.3833333333333329"/>
    <n v="0"/>
    <n v="2.3833333333333329"/>
    <s v="Oil Topup"/>
    <s v="Close"/>
    <n v="5.9583333333333321E-2"/>
    <m/>
    <n v="0"/>
    <m/>
    <m/>
    <m/>
    <n v="0"/>
    <m/>
    <m/>
    <m/>
    <m/>
  </r>
  <r>
    <n v="326"/>
    <x v="31"/>
    <x v="0"/>
    <x v="0"/>
    <x v="1"/>
    <x v="0"/>
    <x v="15"/>
    <s v="PWEGPL"/>
    <s v="MSEDCL"/>
    <n v="2.5000000000000001E-2"/>
    <n v="2118"/>
    <x v="209"/>
    <m/>
    <d v="1899-12-30T15:53:00"/>
    <d v="1899-12-30T16:49:00"/>
    <d v="1899-12-30T19:22:00"/>
    <n v="0.93333333333333268"/>
    <n v="2.5500000000000016"/>
    <n v="3.4833333333333343"/>
    <s v="Relay tightened"/>
    <s v="Close"/>
    <n v="8.708333333333336E-2"/>
    <m/>
    <n v="0"/>
    <m/>
    <m/>
    <m/>
    <n v="0"/>
    <m/>
    <m/>
    <m/>
    <m/>
  </r>
  <r>
    <n v="327"/>
    <x v="32"/>
    <x v="0"/>
    <x v="0"/>
    <x v="1"/>
    <x v="0"/>
    <x v="37"/>
    <s v="PWEGPL"/>
    <s v="MSEDCL"/>
    <n v="2.5000000000000001E-2"/>
    <n v="2299"/>
    <x v="210"/>
    <m/>
    <d v="1899-12-30T13:20:00"/>
    <d v="1899-12-30T13:20:00"/>
    <d v="1899-12-30T14:34:00"/>
    <n v="0"/>
    <n v="1.2333333333333316"/>
    <n v="1.2333333333333316"/>
    <s v="Disc insulator replaced"/>
    <s v="Close"/>
    <n v="3.0833333333333292E-2"/>
    <m/>
    <n v="0"/>
    <m/>
    <m/>
    <m/>
    <n v="0"/>
    <m/>
    <m/>
    <m/>
    <m/>
  </r>
  <r>
    <n v="328"/>
    <x v="32"/>
    <x v="0"/>
    <x v="0"/>
    <x v="1"/>
    <x v="0"/>
    <x v="0"/>
    <s v="PWEGPL"/>
    <s v="MSEDCL"/>
    <n v="2.5000000000000001E-2"/>
    <n v="2299"/>
    <x v="211"/>
    <m/>
    <d v="1899-12-30T13:20:00"/>
    <d v="1899-12-30T13:20:00"/>
    <d v="1899-12-30T14:34:00"/>
    <n v="0"/>
    <n v="1.2333333333333316"/>
    <n v="1.2333333333333316"/>
    <s v="Disc insulator replaced"/>
    <s v="Close"/>
    <n v="3.0833333333333292E-2"/>
    <m/>
    <n v="0"/>
    <m/>
    <m/>
    <m/>
    <n v="0"/>
    <m/>
    <m/>
    <m/>
    <m/>
  </r>
  <r>
    <n v="329"/>
    <x v="32"/>
    <x v="0"/>
    <x v="0"/>
    <x v="1"/>
    <x v="0"/>
    <x v="38"/>
    <s v="PWEGPL"/>
    <s v="MSEDCL"/>
    <n v="2.5000000000000001E-2"/>
    <n v="2299"/>
    <x v="210"/>
    <m/>
    <d v="1899-12-30T13:20:00"/>
    <d v="1899-12-30T13:20:00"/>
    <d v="1899-12-30T14:34:00"/>
    <n v="0"/>
    <n v="1.2333333333333316"/>
    <n v="1.2333333333333316"/>
    <s v="Disc insulator replaced"/>
    <s v="Close"/>
    <n v="3.0833333333333292E-2"/>
    <m/>
    <n v="0"/>
    <m/>
    <m/>
    <m/>
    <n v="0"/>
    <m/>
    <m/>
    <m/>
    <m/>
  </r>
  <r>
    <n v="330"/>
    <x v="32"/>
    <x v="0"/>
    <x v="0"/>
    <x v="1"/>
    <x v="0"/>
    <x v="18"/>
    <s v="PWEGPL"/>
    <s v="MSEDCL"/>
    <n v="2.5000000000000001E-2"/>
    <n v="2299"/>
    <x v="211"/>
    <m/>
    <d v="1899-12-30T13:20:00"/>
    <d v="1899-12-30T13:20:00"/>
    <d v="1899-12-30T14:34:00"/>
    <n v="0"/>
    <n v="1.2333333333333316"/>
    <n v="1.2333333333333316"/>
    <s v="Disc insulator replaced"/>
    <s v="Close"/>
    <n v="3.0833333333333292E-2"/>
    <m/>
    <n v="0"/>
    <m/>
    <m/>
    <m/>
    <n v="0"/>
    <m/>
    <m/>
    <m/>
    <m/>
  </r>
  <r>
    <n v="331"/>
    <x v="32"/>
    <x v="0"/>
    <x v="0"/>
    <x v="1"/>
    <x v="0"/>
    <x v="19"/>
    <s v="PWEGPL"/>
    <s v="MSEDCL"/>
    <n v="2.5000000000000001E-2"/>
    <n v="2299"/>
    <x v="210"/>
    <m/>
    <d v="1899-12-30T13:20:00"/>
    <d v="1899-12-30T13:20:00"/>
    <d v="1899-12-30T14:34:00"/>
    <n v="0"/>
    <n v="1.2333333333333316"/>
    <n v="1.2333333333333316"/>
    <s v="Disc insulator replaced"/>
    <s v="Close"/>
    <n v="3.0833333333333292E-2"/>
    <m/>
    <n v="0"/>
    <m/>
    <m/>
    <m/>
    <n v="0"/>
    <m/>
    <m/>
    <m/>
    <m/>
  </r>
  <r>
    <n v="332"/>
    <x v="32"/>
    <x v="0"/>
    <x v="0"/>
    <x v="1"/>
    <x v="0"/>
    <x v="34"/>
    <s v="PWEGPL"/>
    <s v="MSEDCL"/>
    <n v="2.5000000000000001E-2"/>
    <n v="205"/>
    <x v="212"/>
    <m/>
    <d v="1899-12-30T13:20:00"/>
    <d v="1899-12-30T13:20:00"/>
    <d v="1899-12-30T14:34:00"/>
    <n v="0"/>
    <n v="1.2333333333333316"/>
    <n v="1.2333333333333316"/>
    <s v="Disc insulator replaced"/>
    <s v="Close"/>
    <n v="3.0833333333333292E-2"/>
    <m/>
    <n v="0"/>
    <m/>
    <m/>
    <m/>
    <n v="0"/>
    <m/>
    <m/>
    <m/>
    <m/>
  </r>
  <r>
    <n v="333"/>
    <x v="32"/>
    <x v="0"/>
    <x v="0"/>
    <x v="1"/>
    <x v="0"/>
    <x v="35"/>
    <s v="PWEGPL"/>
    <s v="MSEDCL"/>
    <n v="2.5000000000000001E-2"/>
    <n v="907"/>
    <x v="213"/>
    <m/>
    <d v="1899-12-30T00:00:00"/>
    <d v="1899-12-30T00:00:00"/>
    <d v="1899-12-30T01:04:00"/>
    <n v="0"/>
    <n v="1.0666666666666667"/>
    <n v="1.0666666666666667"/>
    <s v="Reset"/>
    <s v="Close"/>
    <n v="2.6666666666666668E-2"/>
    <m/>
    <n v="0"/>
    <m/>
    <m/>
    <m/>
    <n v="0"/>
    <m/>
    <m/>
    <m/>
    <m/>
  </r>
  <r>
    <n v="334"/>
    <x v="32"/>
    <x v="0"/>
    <x v="0"/>
    <x v="1"/>
    <x v="0"/>
    <x v="36"/>
    <s v="PWEGPL"/>
    <s v="MSEDCL"/>
    <n v="2.5000000000000001E-2"/>
    <n v="1007"/>
    <x v="214"/>
    <s v="PM"/>
    <d v="1899-12-30T09:45:00"/>
    <d v="1899-12-30T09:45:00"/>
    <d v="1899-12-30T17:00:00"/>
    <n v="0"/>
    <n v="7.2500000000000009"/>
    <n v="7.2500000000000009"/>
    <s v="Reset"/>
    <s v="Close"/>
    <n v="0.18125000000000002"/>
    <m/>
    <n v="0"/>
    <m/>
    <m/>
    <m/>
    <n v="0"/>
    <m/>
    <m/>
    <m/>
    <m/>
  </r>
  <r>
    <n v="335"/>
    <x v="32"/>
    <x v="0"/>
    <x v="0"/>
    <x v="1"/>
    <x v="0"/>
    <x v="2"/>
    <s v="PWEGPL"/>
    <s v="MSEDCL"/>
    <n v="2.5000000000000001E-2"/>
    <n v="205"/>
    <x v="215"/>
    <m/>
    <d v="1899-12-30T07:09:00"/>
    <d v="1899-12-30T11:54:00"/>
    <d v="1899-12-30T12:19:00"/>
    <n v="4.75"/>
    <n v="0.41666666666666519"/>
    <n v="5.1666666666666661"/>
    <s v="Oil Topup"/>
    <s v="Close"/>
    <n v="0.12916666666666665"/>
    <m/>
    <n v="0"/>
    <m/>
    <m/>
    <m/>
    <n v="0"/>
    <m/>
    <m/>
    <m/>
    <m/>
  </r>
  <r>
    <n v="336"/>
    <x v="32"/>
    <x v="0"/>
    <x v="0"/>
    <x v="1"/>
    <x v="0"/>
    <x v="9"/>
    <s v="PWEGPL"/>
    <s v="MSEDCL"/>
    <n v="2.5000000000000001E-2"/>
    <n v="205"/>
    <x v="216"/>
    <m/>
    <d v="1899-12-30T00:00:00"/>
    <d v="1899-12-30T01:19:00"/>
    <d v="1899-12-30T01:39:00"/>
    <n v="1.3166666666666667"/>
    <n v="0.33333333333333315"/>
    <n v="1.65"/>
    <s v="Oil Topup"/>
    <s v="Close"/>
    <n v="4.1250000000000002E-2"/>
    <m/>
    <n v="0"/>
    <m/>
    <m/>
    <m/>
    <n v="0"/>
    <m/>
    <m/>
    <m/>
    <m/>
  </r>
  <r>
    <n v="337"/>
    <x v="32"/>
    <x v="0"/>
    <x v="0"/>
    <x v="1"/>
    <x v="0"/>
    <x v="4"/>
    <s v="PWEGPL"/>
    <s v="MSEDCL"/>
    <n v="2.5000000000000001E-2"/>
    <n v="110"/>
    <x v="217"/>
    <m/>
    <d v="1899-12-30T16:01:00"/>
    <d v="1899-12-30T17:24:00"/>
    <d v="1899-12-30T18:05:00"/>
    <n v="1.3833333333333337"/>
    <n v="0.68333333333333357"/>
    <n v="2.0666666666666673"/>
    <s v="Reset"/>
    <s v="Close"/>
    <n v="5.1666666666666687E-2"/>
    <m/>
    <n v="0"/>
    <m/>
    <m/>
    <m/>
    <n v="0"/>
    <m/>
    <m/>
    <m/>
    <m/>
  </r>
  <r>
    <n v="338"/>
    <x v="32"/>
    <x v="0"/>
    <x v="0"/>
    <x v="1"/>
    <x v="0"/>
    <x v="0"/>
    <s v="PWEGPL"/>
    <s v="MSEDCL"/>
    <n v="2.5000000000000001E-2"/>
    <n v="205"/>
    <x v="218"/>
    <m/>
    <d v="1899-12-30T09:32:00"/>
    <d v="1899-12-30T10:36:00"/>
    <d v="1899-12-30T11:04:00"/>
    <n v="1.0666666666666669"/>
    <n v="0.46666666666666634"/>
    <n v="1.5333333333333332"/>
    <s v="Oil Topup"/>
    <s v="Close"/>
    <n v="3.833333333333333E-2"/>
    <m/>
    <n v="0"/>
    <m/>
    <m/>
    <m/>
    <n v="0"/>
    <m/>
    <m/>
    <m/>
    <m/>
  </r>
  <r>
    <n v="339"/>
    <x v="32"/>
    <x v="0"/>
    <x v="0"/>
    <x v="1"/>
    <x v="0"/>
    <x v="18"/>
    <s v="PWEGPL"/>
    <s v="MSEDCL"/>
    <n v="2.5000000000000001E-2"/>
    <n v="5201"/>
    <x v="219"/>
    <m/>
    <d v="1899-12-30T14:41:00"/>
    <d v="1899-12-30T14:41:00"/>
    <d v="1899-12-30T14:52:00"/>
    <n v="0"/>
    <n v="0.18333333333333268"/>
    <n v="0.18333333333333268"/>
    <s v="Reset"/>
    <s v="Close"/>
    <n v="4.5833333333333169E-3"/>
    <m/>
    <n v="0"/>
    <m/>
    <m/>
    <m/>
    <n v="0"/>
    <m/>
    <m/>
    <m/>
    <m/>
  </r>
  <r>
    <n v="340"/>
    <x v="33"/>
    <x v="0"/>
    <x v="0"/>
    <x v="1"/>
    <x v="0"/>
    <x v="29"/>
    <s v="PWEGPL"/>
    <s v="MSEDCL"/>
    <n v="2.5000000000000001E-2"/>
    <n v="2118"/>
    <x v="220"/>
    <m/>
    <d v="1899-12-30T14:34:00"/>
    <d v="1899-12-30T15:03:00"/>
    <d v="1899-12-30T15:36:00"/>
    <n v="0.48333333333333428"/>
    <n v="0.55000000000000071"/>
    <n v="1.033333333333335"/>
    <s v="Reset"/>
    <s v="Close"/>
    <n v="2.5833333333333375E-2"/>
    <m/>
    <n v="0"/>
    <m/>
    <m/>
    <m/>
    <n v="0"/>
    <m/>
    <m/>
    <m/>
    <m/>
  </r>
  <r>
    <n v="341"/>
    <x v="33"/>
    <x v="0"/>
    <x v="0"/>
    <x v="1"/>
    <x v="0"/>
    <x v="29"/>
    <s v="PWEGPL"/>
    <s v="MSEDCL"/>
    <n v="2.5000000000000001E-2"/>
    <n v="2118"/>
    <x v="221"/>
    <m/>
    <d v="1899-12-30T16:01:00"/>
    <d v="1899-12-30T16:34:00"/>
    <d v="1899-12-30T16:43:00"/>
    <n v="0.55000000000000071"/>
    <n v="0.14999999999999947"/>
    <n v="0.70000000000000018"/>
    <s v="Reset"/>
    <s v="Close"/>
    <n v="1.7500000000000005E-2"/>
    <m/>
    <n v="0"/>
    <m/>
    <m/>
    <m/>
    <n v="0"/>
    <m/>
    <m/>
    <m/>
    <m/>
  </r>
  <r>
    <n v="342"/>
    <x v="33"/>
    <x v="0"/>
    <x v="0"/>
    <x v="1"/>
    <x v="0"/>
    <x v="29"/>
    <s v="PWEGPL"/>
    <s v="MSEDCL"/>
    <n v="2.5000000000000001E-2"/>
    <n v="812"/>
    <x v="222"/>
    <m/>
    <d v="1899-12-30T17:55:00"/>
    <d v="1899-12-30T18:31:00"/>
    <d v="1899-12-30T18:39:00"/>
    <n v="0.59999999999999787"/>
    <n v="0.13333333333333286"/>
    <n v="0.73333333333333073"/>
    <s v="Reset"/>
    <s v="Close"/>
    <n v="1.8333333333333268E-2"/>
    <m/>
    <n v="0"/>
    <m/>
    <m/>
    <m/>
    <n v="0"/>
    <m/>
    <m/>
    <m/>
    <m/>
  </r>
  <r>
    <n v="343"/>
    <x v="33"/>
    <x v="0"/>
    <x v="0"/>
    <x v="1"/>
    <x v="0"/>
    <x v="37"/>
    <s v="PWEGPL"/>
    <s v="MSEDCL"/>
    <n v="2.5000000000000001E-2"/>
    <n v="2118"/>
    <x v="223"/>
    <m/>
    <d v="1899-12-30T14:51:00"/>
    <d v="1899-12-30T15:28:00"/>
    <d v="1899-12-30T15:38:00"/>
    <n v="0.61666666666666714"/>
    <n v="0.16666666666666607"/>
    <n v="0.78333333333333321"/>
    <s v="Reset"/>
    <s v="Close"/>
    <n v="1.9583333333333331E-2"/>
    <m/>
    <n v="0"/>
    <m/>
    <m/>
    <m/>
    <n v="0"/>
    <m/>
    <m/>
    <m/>
    <m/>
  </r>
  <r>
    <n v="344"/>
    <x v="33"/>
    <x v="0"/>
    <x v="0"/>
    <x v="1"/>
    <x v="0"/>
    <x v="37"/>
    <s v="PWEGPL"/>
    <s v="MSEDCL"/>
    <n v="2.5000000000000001E-2"/>
    <n v="2118"/>
    <x v="224"/>
    <m/>
    <d v="1899-12-30T16:37:00"/>
    <d v="1899-12-30T16:51:00"/>
    <d v="1899-12-30T17:00:00"/>
    <n v="0.23333333333333517"/>
    <n v="0.14999999999999947"/>
    <n v="0.38333333333333464"/>
    <s v="Reset"/>
    <s v="Close"/>
    <n v="9.5833333333333673E-3"/>
    <m/>
    <n v="0"/>
    <m/>
    <m/>
    <m/>
    <n v="0"/>
    <m/>
    <m/>
    <m/>
    <m/>
  </r>
  <r>
    <n v="345"/>
    <x v="33"/>
    <x v="0"/>
    <x v="0"/>
    <x v="1"/>
    <x v="0"/>
    <x v="37"/>
    <s v="PWEGPL"/>
    <s v="MSEDCL"/>
    <n v="2.5000000000000001E-2"/>
    <n v="2118"/>
    <x v="225"/>
    <m/>
    <d v="1899-12-30T20:41:00"/>
    <d v="1899-12-30T21:08:00"/>
    <d v="1899-12-30T21:23:00"/>
    <n v="0.4499999999999984"/>
    <n v="0.24999999999999911"/>
    <n v="0.69999999999999751"/>
    <s v="Reset"/>
    <s v="Close"/>
    <n v="1.7499999999999939E-2"/>
    <m/>
    <n v="0"/>
    <m/>
    <m/>
    <m/>
    <n v="0"/>
    <m/>
    <m/>
    <m/>
    <m/>
  </r>
  <r>
    <n v="346"/>
    <x v="33"/>
    <x v="0"/>
    <x v="0"/>
    <x v="1"/>
    <x v="0"/>
    <x v="35"/>
    <s v="PWEGPL"/>
    <s v="MSEDCL"/>
    <n v="2.5000000000000001E-2"/>
    <n v="907"/>
    <x v="226"/>
    <m/>
    <d v="1899-12-30T07:33:00"/>
    <d v="1899-12-30T09:47:00"/>
    <d v="1899-12-30T10:07:00"/>
    <n v="2.2333333333333334"/>
    <n v="0.33333333333333348"/>
    <n v="2.5666666666666669"/>
    <s v="Reset"/>
    <s v="Close"/>
    <n v="6.4166666666666677E-2"/>
    <m/>
    <n v="0"/>
    <m/>
    <m/>
    <m/>
    <n v="0"/>
    <m/>
    <m/>
    <m/>
    <m/>
  </r>
  <r>
    <n v="347"/>
    <x v="33"/>
    <x v="0"/>
    <x v="0"/>
    <x v="1"/>
    <x v="0"/>
    <x v="35"/>
    <s v="PWEGPL"/>
    <s v="MSEDCL"/>
    <n v="2.5000000000000001E-2"/>
    <n v="907"/>
    <x v="227"/>
    <m/>
    <d v="1899-12-30T10:23:00"/>
    <d v="1899-12-30T10:39:00"/>
    <d v="1899-12-30T11:29:00"/>
    <n v="0.26666666666666838"/>
    <n v="0.83333333333333171"/>
    <n v="1.1000000000000001"/>
    <s v="Reset"/>
    <s v="Close"/>
    <n v="2.7500000000000004E-2"/>
    <m/>
    <n v="0"/>
    <m/>
    <m/>
    <m/>
    <n v="0"/>
    <m/>
    <m/>
    <m/>
    <m/>
  </r>
  <r>
    <n v="348"/>
    <x v="33"/>
    <x v="0"/>
    <x v="0"/>
    <x v="1"/>
    <x v="0"/>
    <x v="35"/>
    <s v="PWEGPL"/>
    <s v="MSEDCL"/>
    <n v="2.5000000000000001E-2"/>
    <n v="907"/>
    <x v="228"/>
    <m/>
    <d v="1899-12-30T14:37:00"/>
    <d v="1899-12-30T15:21:00"/>
    <d v="1899-12-30T15:57:00"/>
    <n v="0.73333333333333073"/>
    <n v="0.60000000000000053"/>
    <n v="1.3333333333333313"/>
    <s v="Reset"/>
    <s v="Close"/>
    <n v="3.3333333333333284E-2"/>
    <m/>
    <n v="0"/>
    <m/>
    <m/>
    <m/>
    <n v="0"/>
    <m/>
    <m/>
    <m/>
    <m/>
  </r>
  <r>
    <n v="349"/>
    <x v="33"/>
    <x v="0"/>
    <x v="0"/>
    <x v="1"/>
    <x v="0"/>
    <x v="35"/>
    <s v="PWEGPL"/>
    <s v="MSEDCL"/>
    <n v="2.5000000000000001E-2"/>
    <n v="907"/>
    <x v="229"/>
    <m/>
    <d v="1899-12-30T18:31:00"/>
    <d v="1899-12-30T22:30:00"/>
    <d v="1899-12-30T22:48:00"/>
    <n v="3.9833333333333352"/>
    <n v="0.3000000000000016"/>
    <n v="4.2833333333333368"/>
    <s v="Reset"/>
    <s v="Close"/>
    <n v="0.10708333333333342"/>
    <m/>
    <n v="0"/>
    <m/>
    <m/>
    <m/>
    <n v="0"/>
    <m/>
    <m/>
    <m/>
    <m/>
  </r>
  <r>
    <n v="350"/>
    <x v="33"/>
    <x v="0"/>
    <x v="0"/>
    <x v="1"/>
    <x v="0"/>
    <x v="35"/>
    <s v="PWEGPL"/>
    <s v="MSEDCL"/>
    <n v="2.5000000000000001E-2"/>
    <n v="205"/>
    <x v="230"/>
    <m/>
    <d v="1899-12-30T23:22:00"/>
    <d v="1899-12-30T23:59:00"/>
    <d v="1899-12-30T23:59:00"/>
    <n v="0.61666666666666714"/>
    <n v="0"/>
    <n v="0.61666666666666714"/>
    <s v="Reset"/>
    <s v="Close"/>
    <n v="1.5416666666666679E-2"/>
    <m/>
    <n v="0"/>
    <m/>
    <m/>
    <m/>
    <n v="0"/>
    <m/>
    <m/>
    <m/>
    <m/>
  </r>
  <r>
    <n v="351"/>
    <x v="33"/>
    <x v="0"/>
    <x v="0"/>
    <x v="1"/>
    <x v="0"/>
    <x v="4"/>
    <s v="PWEGPL"/>
    <s v="MSEDCL"/>
    <n v="2.5000000000000001E-2"/>
    <n v="5222"/>
    <x v="231"/>
    <m/>
    <d v="1899-12-30T13:22:00"/>
    <d v="1899-12-30T13:30:00"/>
    <d v="1899-12-30T13:37:00"/>
    <n v="0.13333333333333286"/>
    <n v="0.11666666666666625"/>
    <n v="0.24999999999999911"/>
    <s v="Reset"/>
    <s v="Close"/>
    <n v="6.2499999999999778E-3"/>
    <m/>
    <n v="0"/>
    <m/>
    <m/>
    <m/>
    <n v="0"/>
    <m/>
    <m/>
    <m/>
    <m/>
  </r>
  <r>
    <n v="352"/>
    <x v="34"/>
    <x v="0"/>
    <x v="0"/>
    <x v="1"/>
    <x v="0"/>
    <x v="27"/>
    <s v="PWEGPL"/>
    <s v="MSEDCL"/>
    <n v="2.5000000000000001E-2"/>
    <n v="5210"/>
    <x v="232"/>
    <m/>
    <d v="1899-12-30T15:02:00"/>
    <d v="1899-12-30T15:14:00"/>
    <d v="1899-12-30T17:19:00"/>
    <n v="0.19999999999999929"/>
    <n v="2.0833333333333339"/>
    <n v="2.2833333333333332"/>
    <s v="Rotor contactor feedback module replaced"/>
    <s v="Close"/>
    <n v="5.7083333333333333E-2"/>
    <m/>
    <n v="0"/>
    <m/>
    <m/>
    <m/>
    <n v="0"/>
    <m/>
    <m/>
    <m/>
    <m/>
  </r>
  <r>
    <n v="353"/>
    <x v="34"/>
    <x v="0"/>
    <x v="0"/>
    <x v="1"/>
    <x v="0"/>
    <x v="32"/>
    <s v="PWEGPL"/>
    <s v="MSEDCL"/>
    <n v="2.5000000000000001E-2"/>
    <n v="205"/>
    <x v="233"/>
    <m/>
    <d v="1899-12-30T08:38:00"/>
    <d v="1899-12-30T09:33:00"/>
    <d v="1899-12-30T10:40:00"/>
    <n v="0.91666666666666741"/>
    <n v="1.1166666666666654"/>
    <n v="2.0333333333333328"/>
    <s v="Oil topup"/>
    <s v="Close"/>
    <n v="5.0833333333333321E-2"/>
    <m/>
    <n v="0"/>
    <m/>
    <m/>
    <m/>
    <n v="0"/>
    <m/>
    <m/>
    <m/>
    <m/>
  </r>
  <r>
    <n v="354"/>
    <x v="34"/>
    <x v="0"/>
    <x v="0"/>
    <x v="1"/>
    <x v="0"/>
    <x v="37"/>
    <s v="PWEGPL"/>
    <s v="MSEDCL"/>
    <n v="2.5000000000000001E-2"/>
    <n v="102"/>
    <x v="234"/>
    <s v="PM"/>
    <d v="1899-12-30T20:54:00"/>
    <d v="1899-12-30T23:59:00"/>
    <d v="1899-12-30T23:59:00"/>
    <n v="3.0833333333333357"/>
    <n v="0"/>
    <n v="3.0833333333333357"/>
    <s v="Reset"/>
    <s v="Close"/>
    <n v="7.7083333333333393E-2"/>
    <m/>
    <n v="0"/>
    <m/>
    <m/>
    <m/>
    <n v="0"/>
    <m/>
    <m/>
    <m/>
    <m/>
  </r>
  <r>
    <n v="355"/>
    <x v="34"/>
    <x v="0"/>
    <x v="0"/>
    <x v="1"/>
    <x v="0"/>
    <x v="35"/>
    <s v="PWEGPL"/>
    <s v="MSEDCL"/>
    <n v="2.5000000000000001E-2"/>
    <n v="205"/>
    <x v="235"/>
    <m/>
    <d v="1899-12-30T00:00:00"/>
    <d v="1899-12-30T02:26:00"/>
    <d v="1899-12-30T03:51:00"/>
    <n v="2.4333333333333336"/>
    <n v="1.4166666666666665"/>
    <n v="3.8500000000000005"/>
    <s v="Oil Topup"/>
    <s v="Close"/>
    <n v="9.6250000000000016E-2"/>
    <m/>
    <n v="0"/>
    <m/>
    <m/>
    <m/>
    <n v="0"/>
    <m/>
    <m/>
    <m/>
    <m/>
  </r>
  <r>
    <n v="356"/>
    <x v="34"/>
    <x v="0"/>
    <x v="0"/>
    <x v="1"/>
    <x v="0"/>
    <x v="9"/>
    <s v="PWEGPL"/>
    <s v="MSEDCL"/>
    <n v="2.5000000000000001E-2"/>
    <n v="110"/>
    <x v="236"/>
    <m/>
    <d v="1899-12-30T08:53:00"/>
    <d v="1899-12-30T11:07:00"/>
    <d v="1899-12-30T12:26:00"/>
    <n v="2.2333333333333347"/>
    <n v="1.3166666666666673"/>
    <n v="3.550000000000002"/>
    <s v="Cable twist removed &amp; started"/>
    <s v="Close"/>
    <n v="8.8750000000000051E-2"/>
    <m/>
    <n v="0"/>
    <m/>
    <m/>
    <m/>
    <n v="0"/>
    <m/>
    <m/>
    <m/>
    <m/>
  </r>
  <r>
    <n v="357"/>
    <x v="34"/>
    <x v="0"/>
    <x v="0"/>
    <x v="1"/>
    <x v="0"/>
    <x v="4"/>
    <s v="PWEGPL"/>
    <s v="MSEDCL"/>
    <n v="2.5000000000000001E-2"/>
    <n v="110"/>
    <x v="237"/>
    <m/>
    <d v="1899-12-30T08:58:00"/>
    <d v="1899-12-30T11:15:00"/>
    <d v="1899-12-30T12:18:00"/>
    <n v="2.2833333333333332"/>
    <n v="1.0500000000000016"/>
    <n v="3.3333333333333348"/>
    <s v="Cable twist removed &amp; started"/>
    <s v="Close"/>
    <n v="8.333333333333337E-2"/>
    <m/>
    <n v="0"/>
    <m/>
    <m/>
    <m/>
    <n v="0"/>
    <m/>
    <m/>
    <m/>
    <m/>
  </r>
  <r>
    <n v="358"/>
    <x v="35"/>
    <x v="0"/>
    <x v="0"/>
    <x v="1"/>
    <x v="0"/>
    <x v="37"/>
    <s v="PWEGPL"/>
    <s v="MSEDCL"/>
    <n v="2.5000000000000001E-2"/>
    <n v="102"/>
    <x v="238"/>
    <s v="PM"/>
    <d v="1899-12-30T00:00:00"/>
    <d v="1899-12-30T00:00:00"/>
    <d v="1899-12-30T00:59:00"/>
    <n v="0"/>
    <n v="0.98333333333333339"/>
    <n v="0.98333333333333339"/>
    <s v="Yaw fault finding"/>
    <s v="Close"/>
    <n v="2.4583333333333336E-2"/>
    <m/>
    <n v="0"/>
    <m/>
    <m/>
    <m/>
    <n v="0"/>
    <m/>
    <m/>
    <m/>
    <m/>
  </r>
  <r>
    <n v="359"/>
    <x v="35"/>
    <x v="0"/>
    <x v="0"/>
    <x v="1"/>
    <x v="0"/>
    <x v="12"/>
    <s v="PWEGPL"/>
    <s v="MSEDCL"/>
    <n v="2.5000000000000001E-2"/>
    <n v="2118"/>
    <x v="239"/>
    <m/>
    <d v="1899-12-30T18:09:00"/>
    <d v="1899-12-30T19:03:00"/>
    <d v="1899-12-30T19:19:00"/>
    <n v="0.90000000000000213"/>
    <n v="0.26666666666666572"/>
    <n v="1.1666666666666679"/>
    <s v="Fault finding ang and coummunication restored"/>
    <s v="Close"/>
    <n v="2.9166666666666698E-2"/>
    <m/>
    <n v="0"/>
    <m/>
    <m/>
    <m/>
    <n v="0"/>
    <m/>
    <m/>
    <m/>
    <m/>
  </r>
  <r>
    <n v="360"/>
    <x v="35"/>
    <x v="0"/>
    <x v="0"/>
    <x v="1"/>
    <x v="0"/>
    <x v="16"/>
    <s v="PWEGPL"/>
    <s v="MSEDCL"/>
    <n v="2.5000000000000001E-2"/>
    <n v="550"/>
    <x v="240"/>
    <m/>
    <d v="1899-12-30T11:04:00"/>
    <d v="1899-12-30T11:56:00"/>
    <d v="1899-12-30T12:05:00"/>
    <n v="0.86666666666666758"/>
    <n v="0.14999999999999947"/>
    <n v="1.0166666666666671"/>
    <s v="Reset"/>
    <s v="Close"/>
    <n v="2.5416666666666678E-2"/>
    <m/>
    <n v="0"/>
    <m/>
    <m/>
    <m/>
    <n v="0"/>
    <m/>
    <m/>
    <m/>
    <m/>
  </r>
  <r>
    <n v="361"/>
    <x v="35"/>
    <x v="0"/>
    <x v="0"/>
    <x v="1"/>
    <x v="0"/>
    <x v="12"/>
    <s v="PWEGPL"/>
    <s v="MSEDCL"/>
    <n v="2.5000000000000001E-2"/>
    <n v="2118"/>
    <x v="241"/>
    <m/>
    <d v="1899-12-30T19:58:00"/>
    <d v="1899-12-30T22:47:00"/>
    <d v="1899-12-30T23:59:00"/>
    <n v="2.81666666666667"/>
    <n v="1.1999999999999984"/>
    <n v="4.0166666666666684"/>
    <s v="Propotional valve replaced"/>
    <s v="Close"/>
    <n v="0.10041666666666671"/>
    <m/>
    <n v="0"/>
    <m/>
    <m/>
    <m/>
    <n v="0"/>
    <m/>
    <m/>
    <m/>
    <m/>
  </r>
  <r>
    <n v="362"/>
    <x v="36"/>
    <x v="0"/>
    <x v="0"/>
    <x v="1"/>
    <x v="0"/>
    <x v="29"/>
    <s v="PWEGPL"/>
    <s v="MSEDCL"/>
    <n v="2.5000000000000001E-2"/>
    <n v="205"/>
    <x v="242"/>
    <m/>
    <d v="1899-12-30T13:48:00"/>
    <d v="1899-12-30T14:26:00"/>
    <d v="1899-12-30T22:22:00"/>
    <n v="0.63333333333333108"/>
    <n v="7.9333333333333345"/>
    <n v="8.5666666666666664"/>
    <s v="Oil topup"/>
    <s v="Close"/>
    <n v="0.21416666666666667"/>
    <m/>
    <n v="0"/>
    <m/>
    <m/>
    <m/>
    <n v="0"/>
    <m/>
    <m/>
    <m/>
    <m/>
  </r>
  <r>
    <n v="363"/>
    <x v="36"/>
    <x v="0"/>
    <x v="0"/>
    <x v="1"/>
    <x v="0"/>
    <x v="19"/>
    <s v="PWEGPL"/>
    <s v="MSEDCL"/>
    <n v="2.5000000000000001E-2"/>
    <n v="552"/>
    <x v="243"/>
    <m/>
    <d v="1899-12-30T04:14:00"/>
    <d v="1899-12-30T05:52:00"/>
    <d v="1899-12-30T06:00:00"/>
    <n v="1.6333333333333335"/>
    <n v="0.13333333333333286"/>
    <n v="1.7666666666666664"/>
    <s v="Reset"/>
    <s v="Close"/>
    <n v="4.416666666666666E-2"/>
    <m/>
    <n v="0"/>
    <m/>
    <m/>
    <m/>
    <n v="0"/>
    <m/>
    <m/>
    <m/>
    <m/>
  </r>
  <r>
    <n v="364"/>
    <x v="36"/>
    <x v="0"/>
    <x v="0"/>
    <x v="1"/>
    <x v="0"/>
    <x v="8"/>
    <s v="PWEGPL"/>
    <s v="MSEDCL"/>
    <n v="2.5000000000000001E-2"/>
    <n v="1007"/>
    <x v="244"/>
    <s v="PM"/>
    <d v="1899-12-30T09:40:00"/>
    <d v="1899-12-30T09:40:00"/>
    <d v="1899-12-30T17:21:00"/>
    <n v="0"/>
    <n v="7.6833333333333371"/>
    <n v="7.6833333333333371"/>
    <s v="102 PM service"/>
    <s v="Close"/>
    <n v="0.19208333333333344"/>
    <m/>
    <n v="0"/>
    <m/>
    <m/>
    <m/>
    <n v="0"/>
    <m/>
    <m/>
    <m/>
    <m/>
  </r>
  <r>
    <n v="365"/>
    <x v="36"/>
    <x v="0"/>
    <x v="0"/>
    <x v="1"/>
    <x v="0"/>
    <x v="12"/>
    <s v="PWEGPL"/>
    <s v="MSEDCL"/>
    <n v="2.5000000000000001E-2"/>
    <n v="800"/>
    <x v="245"/>
    <m/>
    <d v="1899-12-30T00:00:00"/>
    <d v="1899-12-30T00:00:00"/>
    <d v="1899-12-30T04:52:00"/>
    <n v="0"/>
    <n v="4.8666666666666671"/>
    <n v="4.8666666666666671"/>
    <s v="C-Blade propotional valve changed"/>
    <s v="Close"/>
    <n v="0.12166666666666669"/>
    <m/>
    <n v="0"/>
    <m/>
    <m/>
    <m/>
    <n v="0"/>
    <m/>
    <m/>
    <m/>
    <m/>
  </r>
  <r>
    <n v="366"/>
    <x v="36"/>
    <x v="0"/>
    <x v="0"/>
    <x v="1"/>
    <x v="0"/>
    <x v="3"/>
    <s v="PWEGPL"/>
    <s v="MSEDCL"/>
    <n v="2.5000000000000001E-2"/>
    <n v="2509"/>
    <x v="201"/>
    <m/>
    <d v="1899-12-30T14:33:00"/>
    <d v="1899-12-30T18:00:00"/>
    <d v="1899-12-30T19:14:00"/>
    <n v="3.4499999999999984"/>
    <n v="1.2333333333333343"/>
    <n v="4.6833333333333327"/>
    <s v="SF-6 Breaker charged"/>
    <s v="Close"/>
    <n v="0.11708333333333332"/>
    <m/>
    <n v="0"/>
    <m/>
    <m/>
    <m/>
    <n v="0"/>
    <m/>
    <m/>
    <m/>
    <m/>
  </r>
  <r>
    <n v="367"/>
    <x v="37"/>
    <x v="0"/>
    <x v="0"/>
    <x v="1"/>
    <x v="0"/>
    <x v="20"/>
    <s v="PWEGPL"/>
    <s v="MSEDCL"/>
    <n v="2.5000000000000001E-2"/>
    <n v="9922"/>
    <x v="246"/>
    <m/>
    <d v="1899-12-30T13:30:00"/>
    <d v="1899-12-30T15:09:00"/>
    <d v="1899-12-30T15:09:00"/>
    <n v="1.6499999999999995"/>
    <n v="0"/>
    <n v="1.6499999999999995"/>
    <s v="LC taken for DP-yard yearly maintenance"/>
    <s v="Close"/>
    <n v="4.1249999999999988E-2"/>
    <m/>
    <n v="0"/>
    <m/>
    <m/>
    <m/>
    <n v="0"/>
    <m/>
    <m/>
    <m/>
    <m/>
  </r>
  <r>
    <n v="368"/>
    <x v="37"/>
    <x v="0"/>
    <x v="0"/>
    <x v="1"/>
    <x v="0"/>
    <x v="21"/>
    <s v="PWEGPL"/>
    <s v="MSEDCL"/>
    <n v="2.5000000000000001E-2"/>
    <n v="9922"/>
    <x v="247"/>
    <m/>
    <d v="1899-12-30T13:30:00"/>
    <d v="1899-12-30T15:09:00"/>
    <d v="1899-12-30T15:09:00"/>
    <n v="1.6499999999999995"/>
    <n v="0"/>
    <n v="1.6499999999999995"/>
    <s v="LC taken for DP-yard yearly maintenance"/>
    <s v="Close"/>
    <n v="4.1249999999999988E-2"/>
    <m/>
    <n v="0"/>
    <m/>
    <m/>
    <m/>
    <n v="0"/>
    <m/>
    <m/>
    <m/>
    <m/>
  </r>
  <r>
    <n v="369"/>
    <x v="37"/>
    <x v="0"/>
    <x v="0"/>
    <x v="1"/>
    <x v="0"/>
    <x v="22"/>
    <s v="PWEGPL"/>
    <s v="MSEDCL"/>
    <n v="2.5000000000000001E-2"/>
    <n v="9922"/>
    <x v="246"/>
    <m/>
    <d v="1899-12-30T13:30:00"/>
    <d v="1899-12-30T15:09:00"/>
    <d v="1899-12-30T15:09:00"/>
    <n v="1.6499999999999995"/>
    <n v="0"/>
    <n v="1.6499999999999995"/>
    <s v="LC taken for DP-yard yearly maintenance"/>
    <s v="Close"/>
    <n v="4.1249999999999988E-2"/>
    <m/>
    <n v="0"/>
    <m/>
    <m/>
    <m/>
    <n v="0"/>
    <m/>
    <m/>
    <m/>
    <m/>
  </r>
  <r>
    <n v="370"/>
    <x v="37"/>
    <x v="0"/>
    <x v="0"/>
    <x v="1"/>
    <x v="0"/>
    <x v="23"/>
    <s v="PWEGPL"/>
    <s v="MSEDCL"/>
    <n v="2.5000000000000001E-2"/>
    <n v="9922"/>
    <x v="246"/>
    <m/>
    <d v="1899-12-30T13:30:00"/>
    <d v="1899-12-30T15:09:00"/>
    <d v="1899-12-30T15:09:00"/>
    <n v="1.6499999999999995"/>
    <n v="0"/>
    <n v="1.6499999999999995"/>
    <s v="LC taken for DP-yard yearly maintenance"/>
    <s v="Close"/>
    <n v="4.1249999999999988E-2"/>
    <m/>
    <n v="0"/>
    <m/>
    <m/>
    <m/>
    <n v="0"/>
    <m/>
    <m/>
    <m/>
    <m/>
  </r>
  <r>
    <n v="371"/>
    <x v="37"/>
    <x v="0"/>
    <x v="0"/>
    <x v="1"/>
    <x v="0"/>
    <x v="24"/>
    <s v="PWEGPL"/>
    <s v="MSEDCL"/>
    <n v="2.5000000000000001E-2"/>
    <n v="800"/>
    <x v="248"/>
    <m/>
    <d v="1899-12-30T20:36:00"/>
    <d v="1899-12-30T22:57:00"/>
    <d v="1899-12-30T23:59:00"/>
    <n v="2.349999999999997"/>
    <n v="1.033333333333335"/>
    <n v="3.383333333333332"/>
    <s v="Propotional valve cable tightened"/>
    <s v="Close"/>
    <n v="8.4583333333333302E-2"/>
    <m/>
    <n v="0"/>
    <m/>
    <m/>
    <m/>
    <n v="0"/>
    <m/>
    <m/>
    <m/>
    <m/>
  </r>
  <r>
    <n v="372"/>
    <x v="37"/>
    <x v="0"/>
    <x v="0"/>
    <x v="1"/>
    <x v="0"/>
    <x v="26"/>
    <s v="PWEGPL"/>
    <s v="MSEDCL"/>
    <n v="2.5000000000000001E-2"/>
    <n v="9922"/>
    <x v="246"/>
    <m/>
    <d v="1899-12-30T13:30:00"/>
    <d v="1899-12-30T15:09:00"/>
    <d v="1899-12-30T15:09:00"/>
    <n v="1.6499999999999995"/>
    <n v="0"/>
    <n v="1.6499999999999995"/>
    <s v="LC taken for DP-yard yearly maintenance"/>
    <s v="Close"/>
    <n v="4.1249999999999988E-2"/>
    <m/>
    <n v="0"/>
    <m/>
    <m/>
    <m/>
    <n v="0"/>
    <m/>
    <m/>
    <m/>
    <m/>
  </r>
  <r>
    <n v="373"/>
    <x v="37"/>
    <x v="0"/>
    <x v="0"/>
    <x v="1"/>
    <x v="0"/>
    <x v="29"/>
    <s v="PWEGPL"/>
    <s v="MSEDCL"/>
    <n v="2.5000000000000001E-2"/>
    <s v="CE100001"/>
    <x v="249"/>
    <m/>
    <d v="1899-12-30T13:42:00"/>
    <d v="1899-12-30T13:42:00"/>
    <d v="1899-12-30T18:12:00"/>
    <n v="0"/>
    <n v="4.5"/>
    <n v="4.5"/>
    <s v="Manual stop for yaw caliper oil seal replacement"/>
    <s v="Close"/>
    <n v="0.1125"/>
    <m/>
    <n v="0"/>
    <m/>
    <m/>
    <m/>
    <n v="0"/>
    <m/>
    <m/>
    <m/>
    <m/>
  </r>
  <r>
    <n v="374"/>
    <x v="37"/>
    <x v="0"/>
    <x v="0"/>
    <x v="1"/>
    <x v="0"/>
    <x v="12"/>
    <s v="PWEGPL"/>
    <s v="MSEDCL"/>
    <n v="2.5000000000000001E-2"/>
    <n v="2118"/>
    <x v="250"/>
    <m/>
    <d v="1899-12-30T01:44:00"/>
    <d v="1899-12-30T03:02:00"/>
    <d v="1899-12-30T03:27:00"/>
    <n v="1.2999999999999998"/>
    <n v="0.41666666666666718"/>
    <n v="1.7166666666666668"/>
    <s v="Reset"/>
    <s v="Close"/>
    <n v="4.2916666666666672E-2"/>
    <m/>
    <n v="0"/>
    <m/>
    <m/>
    <m/>
    <n v="0"/>
    <m/>
    <m/>
    <m/>
    <m/>
  </r>
  <r>
    <n v="375"/>
    <x v="37"/>
    <x v="0"/>
    <x v="0"/>
    <x v="1"/>
    <x v="0"/>
    <x v="3"/>
    <s v="PWEGPL"/>
    <s v="MSEDCL"/>
    <n v="2.5000000000000001E-2"/>
    <n v="103"/>
    <x v="251"/>
    <m/>
    <d v="1899-12-30T12:20:00"/>
    <d v="1899-12-30T14:16:00"/>
    <d v="1899-12-30T15:57:00"/>
    <n v="1.9333333333333318"/>
    <n v="1.6833333333333327"/>
    <n v="3.6166666666666645"/>
    <s v="Contactor replaced"/>
    <s v="Close"/>
    <n v="9.0416666666666617E-2"/>
    <m/>
    <n v="0"/>
    <m/>
    <m/>
    <m/>
    <n v="0"/>
    <m/>
    <m/>
    <m/>
    <m/>
  </r>
  <r>
    <n v="376"/>
    <x v="37"/>
    <x v="0"/>
    <x v="0"/>
    <x v="1"/>
    <x v="0"/>
    <x v="14"/>
    <s v="PWEGPL"/>
    <s v="MSEDCL"/>
    <n v="2.5000000000000001E-2"/>
    <n v="2118"/>
    <x v="252"/>
    <m/>
    <d v="1899-12-30T12:36:00"/>
    <d v="1899-12-30T13:44:00"/>
    <d v="1899-12-30T13:49:00"/>
    <n v="1.133333333333332"/>
    <n v="8.3333333333333037E-2"/>
    <n v="1.216666666666665"/>
    <s v="Reset"/>
    <s v="Close"/>
    <n v="3.0416666666666627E-2"/>
    <m/>
    <n v="0"/>
    <m/>
    <m/>
    <m/>
    <n v="0"/>
    <m/>
    <m/>
    <m/>
    <m/>
  </r>
  <r>
    <n v="377"/>
    <x v="37"/>
    <x v="0"/>
    <x v="0"/>
    <x v="1"/>
    <x v="0"/>
    <x v="21"/>
    <s v="PWEGPL"/>
    <s v="MSEDCL"/>
    <n v="2.5000000000000001E-2"/>
    <n v="1894"/>
    <x v="253"/>
    <m/>
    <d v="1899-12-30T11:30:00"/>
    <d v="1899-12-30T12:19:00"/>
    <d v="1899-12-30T12:33:00"/>
    <n v="0.8166666666666651"/>
    <n v="0.23333333333333517"/>
    <n v="1.0500000000000003"/>
    <s v="Reset"/>
    <s v="Close"/>
    <n v="2.6250000000000009E-2"/>
    <m/>
    <n v="0"/>
    <m/>
    <m/>
    <m/>
    <n v="0"/>
    <m/>
    <m/>
    <m/>
    <m/>
  </r>
  <r>
    <n v="378"/>
    <x v="38"/>
    <x v="0"/>
    <x v="0"/>
    <x v="1"/>
    <x v="0"/>
    <x v="2"/>
    <s v="PWEGPL"/>
    <s v="MSEDCL"/>
    <n v="2.5000000000000001E-2"/>
    <n v="9922"/>
    <x v="254"/>
    <m/>
    <d v="1899-12-30T13:24:00"/>
    <d v="1899-12-30T13:24:00"/>
    <d v="1899-12-30T15:42:00"/>
    <n v="0"/>
    <n v="2.2999999999999998"/>
    <n v="2.2999999999999998"/>
    <s v="LC taken for DP-yard yearly maintenance"/>
    <s v="Close"/>
    <n v="5.7499999999999996E-2"/>
    <m/>
    <n v="0"/>
    <m/>
    <m/>
    <m/>
    <n v="0"/>
    <m/>
    <m/>
    <m/>
    <m/>
  </r>
  <r>
    <n v="379"/>
    <x v="38"/>
    <x v="0"/>
    <x v="0"/>
    <x v="1"/>
    <x v="0"/>
    <x v="12"/>
    <s v="PWEGPL"/>
    <s v="MSEDCL"/>
    <n v="2.5000000000000001E-2"/>
    <n v="2118"/>
    <x v="255"/>
    <m/>
    <d v="1899-12-30T06:51:00"/>
    <d v="1899-12-30T06:51:00"/>
    <d v="1899-12-30T07:48:00"/>
    <n v="0"/>
    <n v="0.95000000000000062"/>
    <n v="0.95000000000000062"/>
    <s v="Reset"/>
    <s v="Close"/>
    <n v="2.3750000000000018E-2"/>
    <m/>
    <n v="0"/>
    <m/>
    <m/>
    <m/>
    <n v="0"/>
    <m/>
    <m/>
    <m/>
    <m/>
  </r>
  <r>
    <n v="380"/>
    <x v="38"/>
    <x v="0"/>
    <x v="0"/>
    <x v="1"/>
    <x v="0"/>
    <x v="3"/>
    <s v="PWEGPL"/>
    <s v="MSEDCL"/>
    <n v="2.5000000000000001E-2"/>
    <n v="9922"/>
    <x v="254"/>
    <m/>
    <d v="1899-12-30T13:24:00"/>
    <d v="1899-12-30T13:24:00"/>
    <d v="1899-12-30T15:42:00"/>
    <n v="0"/>
    <n v="2.2999999999999998"/>
    <n v="2.2999999999999998"/>
    <s v="LC taken for DP-yard yearly maintenance"/>
    <s v="Close"/>
    <n v="5.7499999999999996E-2"/>
    <m/>
    <n v="0"/>
    <m/>
    <m/>
    <m/>
    <n v="0"/>
    <m/>
    <m/>
    <m/>
    <m/>
  </r>
  <r>
    <n v="381"/>
    <x v="38"/>
    <x v="0"/>
    <x v="0"/>
    <x v="1"/>
    <x v="0"/>
    <x v="14"/>
    <s v="PWEGPL"/>
    <s v="MSEDCL"/>
    <n v="2.5000000000000001E-2"/>
    <n v="2118"/>
    <x v="256"/>
    <m/>
    <d v="1899-12-30T10:16:00"/>
    <d v="1899-12-30T11:30:00"/>
    <d v="1899-12-30T13:42:00"/>
    <n v="1.2333333333333329"/>
    <n v="2.1999999999999988"/>
    <n v="3.4333333333333318"/>
    <s v="Slipring changed"/>
    <s v="Close"/>
    <n v="8.5833333333333303E-2"/>
    <m/>
    <n v="0"/>
    <m/>
    <m/>
    <m/>
    <n v="0"/>
    <m/>
    <m/>
    <m/>
    <m/>
  </r>
  <r>
    <n v="382"/>
    <x v="38"/>
    <x v="0"/>
    <x v="0"/>
    <x v="1"/>
    <x v="0"/>
    <x v="5"/>
    <s v="PWEGPL"/>
    <s v="MSEDCL"/>
    <n v="2.5000000000000001E-2"/>
    <n v="9922"/>
    <x v="254"/>
    <m/>
    <d v="1899-12-30T13:24:00"/>
    <d v="1899-12-30T13:24:00"/>
    <d v="1899-12-30T15:42:00"/>
    <n v="0"/>
    <n v="2.2999999999999998"/>
    <n v="2.2999999999999998"/>
    <s v="LC taken for DP-yard yearly maintenance"/>
    <s v="Close"/>
    <n v="5.7499999999999996E-2"/>
    <m/>
    <n v="0"/>
    <m/>
    <m/>
    <m/>
    <n v="0"/>
    <m/>
    <m/>
    <m/>
    <m/>
  </r>
  <r>
    <n v="383"/>
    <x v="38"/>
    <x v="0"/>
    <x v="0"/>
    <x v="1"/>
    <x v="0"/>
    <x v="6"/>
    <s v="PWEGPL"/>
    <s v="MSEDCL"/>
    <n v="2.5000000000000001E-2"/>
    <n v="9922"/>
    <x v="254"/>
    <m/>
    <d v="1899-12-30T13:24:00"/>
    <d v="1899-12-30T13:24:00"/>
    <d v="1899-12-30T15:42:00"/>
    <n v="0"/>
    <n v="2.2999999999999998"/>
    <n v="2.2999999999999998"/>
    <s v="LC taken for DP-yard yearly maintenance"/>
    <s v="Close"/>
    <n v="5.7499999999999996E-2"/>
    <m/>
    <n v="0"/>
    <m/>
    <m/>
    <m/>
    <n v="0"/>
    <m/>
    <m/>
    <m/>
    <m/>
  </r>
  <r>
    <n v="384"/>
    <x v="38"/>
    <x v="0"/>
    <x v="0"/>
    <x v="1"/>
    <x v="0"/>
    <x v="7"/>
    <s v="PWEGPL"/>
    <s v="MSEDCL"/>
    <n v="2.5000000000000001E-2"/>
    <n v="9922"/>
    <x v="254"/>
    <m/>
    <d v="1899-12-30T13:24:00"/>
    <d v="1899-12-30T13:24:00"/>
    <d v="1899-12-30T15:42:00"/>
    <n v="0"/>
    <n v="2.2999999999999998"/>
    <n v="2.2999999999999998"/>
    <s v="LC taken for DP-yard yearly maintenance"/>
    <s v="Close"/>
    <n v="5.7499999999999996E-2"/>
    <m/>
    <n v="0"/>
    <m/>
    <m/>
    <m/>
    <n v="0"/>
    <m/>
    <m/>
    <m/>
    <m/>
  </r>
  <r>
    <n v="385"/>
    <x v="38"/>
    <x v="0"/>
    <x v="0"/>
    <x v="1"/>
    <x v="0"/>
    <x v="12"/>
    <s v="PWEGPL"/>
    <s v="MSEDCL"/>
    <n v="2.5000000000000001E-2"/>
    <n v="1007"/>
    <x v="257"/>
    <s v="PM"/>
    <d v="1899-12-30T10:29:00"/>
    <d v="1899-12-30T10:29:00"/>
    <d v="1899-12-30T17:44:00"/>
    <n v="0"/>
    <n v="7.2500000000000018"/>
    <n v="7.2500000000000018"/>
    <s v="102 PM service"/>
    <s v="Close"/>
    <n v="0.18125000000000005"/>
    <m/>
    <n v="0"/>
    <m/>
    <m/>
    <m/>
    <n v="0"/>
    <m/>
    <m/>
    <m/>
    <m/>
  </r>
  <r>
    <n v="386"/>
    <x v="39"/>
    <x v="0"/>
    <x v="0"/>
    <x v="1"/>
    <x v="0"/>
    <x v="27"/>
    <s v="PWEGPL"/>
    <s v="MSEDCL"/>
    <n v="2.5000000000000001E-2"/>
    <n v="416"/>
    <x v="258"/>
    <m/>
    <d v="1899-12-30T01:35:00"/>
    <d v="1899-12-30T02:20:00"/>
    <d v="1899-12-30T02:30:00"/>
    <n v="0.75"/>
    <n v="0.16666666666666674"/>
    <n v="0.91666666666666674"/>
    <s v="Reset"/>
    <s v="Close"/>
    <n v="2.2916666666666669E-2"/>
    <m/>
    <n v="0"/>
    <m/>
    <m/>
    <m/>
    <n v="0"/>
    <m/>
    <m/>
    <m/>
    <m/>
  </r>
  <r>
    <n v="387"/>
    <x v="40"/>
    <x v="0"/>
    <x v="0"/>
    <x v="1"/>
    <x v="0"/>
    <x v="12"/>
    <s v="PWEGPL"/>
    <s v="MSEDCL"/>
    <n v="2.5000000000000001E-2"/>
    <n v="2118"/>
    <x v="259"/>
    <m/>
    <d v="1899-12-30T07:15:00"/>
    <d v="1899-12-30T08:00:00"/>
    <d v="1899-12-30T08:06:00"/>
    <n v="0.75"/>
    <n v="9.9999999999999645E-2"/>
    <n v="0.84999999999999964"/>
    <s v="Reset"/>
    <s v="Close"/>
    <n v="2.1249999999999991E-2"/>
    <m/>
    <n v="0"/>
    <m/>
    <m/>
    <m/>
    <n v="0"/>
    <m/>
    <m/>
    <m/>
    <m/>
  </r>
  <r>
    <n v="388"/>
    <x v="40"/>
    <x v="0"/>
    <x v="0"/>
    <x v="1"/>
    <x v="0"/>
    <x v="12"/>
    <s v="PWEGPL"/>
    <s v="MSEDCL"/>
    <n v="2.5000000000000001E-2"/>
    <n v="2118"/>
    <x v="260"/>
    <m/>
    <d v="1899-12-30T11:32:00"/>
    <d v="1899-12-30T12:19:00"/>
    <d v="1899-12-30T12:36:00"/>
    <n v="0.78333333333333188"/>
    <n v="0.28333333333333499"/>
    <n v="1.0666666666666669"/>
    <s v="Reset"/>
    <s v="Close"/>
    <n v="2.6666666666666672E-2"/>
    <m/>
    <n v="0"/>
    <m/>
    <m/>
    <m/>
    <n v="0"/>
    <m/>
    <m/>
    <m/>
    <m/>
  </r>
  <r>
    <n v="389"/>
    <x v="40"/>
    <x v="0"/>
    <x v="0"/>
    <x v="1"/>
    <x v="0"/>
    <x v="16"/>
    <s v="PWEGPL"/>
    <s v="MSEDCL"/>
    <n v="2.5000000000000001E-2"/>
    <n v="1007"/>
    <x v="261"/>
    <m/>
    <d v="1899-12-30T11:16:00"/>
    <d v="1899-12-30T11:16:00"/>
    <d v="1899-12-30T13:33:00"/>
    <n v="0"/>
    <n v="2.2833333333333319"/>
    <n v="2.2833333333333319"/>
    <s v="Cooling motor replaced"/>
    <s v="Close"/>
    <n v="5.7083333333333298E-2"/>
    <m/>
    <n v="0"/>
    <m/>
    <m/>
    <m/>
    <n v="0"/>
    <m/>
    <m/>
    <m/>
    <m/>
  </r>
  <r>
    <n v="390"/>
    <x v="41"/>
    <x v="0"/>
    <x v="0"/>
    <x v="1"/>
    <x v="0"/>
    <x v="24"/>
    <s v="PWEGPL"/>
    <s v="MSEDCL"/>
    <n v="2.5000000000000001E-2"/>
    <n v="1894"/>
    <x v="262"/>
    <m/>
    <d v="1899-12-30T13:29:00"/>
    <d v="1899-12-30T14:31:00"/>
    <d v="1899-12-30T14:55:00"/>
    <n v="1.033333333333335"/>
    <n v="0.39999999999999858"/>
    <n v="1.4333333333333336"/>
    <s v="MCB charged"/>
    <s v="Close"/>
    <n v="3.5833333333333342E-2"/>
    <m/>
    <n v="0"/>
    <m/>
    <m/>
    <m/>
    <n v="0"/>
    <m/>
    <m/>
    <m/>
    <m/>
  </r>
  <r>
    <n v="391"/>
    <x v="41"/>
    <x v="0"/>
    <x v="0"/>
    <x v="1"/>
    <x v="0"/>
    <x v="33"/>
    <s v="PWEGPL"/>
    <s v="MSEDCL"/>
    <n v="2.5000000000000001E-2"/>
    <n v="205"/>
    <x v="263"/>
    <m/>
    <d v="1899-12-30T12:32:00"/>
    <d v="1899-12-30T12:32:00"/>
    <d v="1899-12-30T13:15:00"/>
    <n v="0"/>
    <n v="0.71666666666666679"/>
    <n v="0.71666666666666679"/>
    <s v="Oil Topup"/>
    <s v="Close"/>
    <n v="1.7916666666666671E-2"/>
    <m/>
    <n v="0"/>
    <m/>
    <m/>
    <m/>
    <n v="0"/>
    <m/>
    <m/>
    <m/>
    <m/>
  </r>
  <r>
    <n v="392"/>
    <x v="41"/>
    <x v="0"/>
    <x v="0"/>
    <x v="1"/>
    <x v="0"/>
    <x v="11"/>
    <s v="PWEGPL"/>
    <s v="MSEDCL"/>
    <n v="2.5000000000000001E-2"/>
    <s v="CE100001"/>
    <x v="264"/>
    <s v="PM"/>
    <d v="1899-12-30T10:05:00"/>
    <d v="1899-12-30T10:15:00"/>
    <d v="1899-12-30T18:00:00"/>
    <n v="0.16666666666666607"/>
    <n v="7.75"/>
    <n v="7.9166666666666661"/>
    <s v="102 PM service"/>
    <s v="Close"/>
    <n v="0.19791666666666666"/>
    <m/>
    <n v="0"/>
    <m/>
    <m/>
    <m/>
    <n v="0"/>
    <m/>
    <m/>
    <m/>
    <m/>
  </r>
  <r>
    <n v="393"/>
    <x v="41"/>
    <x v="0"/>
    <x v="0"/>
    <x v="1"/>
    <x v="0"/>
    <x v="12"/>
    <s v="PWEGPL"/>
    <s v="MSEDCL"/>
    <n v="2.5000000000000001E-2"/>
    <n v="9922"/>
    <x v="265"/>
    <m/>
    <d v="1899-12-30T17:02:00"/>
    <d v="1899-12-30T17:41:00"/>
    <d v="1899-12-30T18:04:00"/>
    <n v="0.65000000000000036"/>
    <n v="0.38333333333333197"/>
    <n v="1.0333333333333323"/>
    <s v="Reset"/>
    <s v="Close"/>
    <n v="2.5833333333333309E-2"/>
    <m/>
    <n v="0"/>
    <m/>
    <m/>
    <m/>
    <n v="0"/>
    <m/>
    <m/>
    <m/>
    <m/>
  </r>
  <r>
    <n v="394"/>
    <x v="41"/>
    <x v="0"/>
    <x v="0"/>
    <x v="1"/>
    <x v="0"/>
    <x v="13"/>
    <s v="PWEGPL"/>
    <s v="MSEDCL"/>
    <n v="2.5000000000000001E-2"/>
    <n v="9922"/>
    <x v="266"/>
    <m/>
    <d v="1899-12-30T11:53:00"/>
    <d v="1899-12-30T11:53:00"/>
    <d v="1899-12-30T14:06:00"/>
    <n v="0"/>
    <n v="2.2166666666666681"/>
    <n v="2.2166666666666681"/>
    <s v="LC taken for DP-yard yearly maintenance"/>
    <s v="Close"/>
    <n v="5.5416666666666704E-2"/>
    <m/>
    <n v="0"/>
    <m/>
    <m/>
    <m/>
    <n v="0"/>
    <m/>
    <m/>
    <m/>
    <m/>
  </r>
  <r>
    <n v="395"/>
    <x v="41"/>
    <x v="0"/>
    <x v="0"/>
    <x v="1"/>
    <x v="0"/>
    <x v="14"/>
    <s v="PWEGPL"/>
    <s v="MSEDCL"/>
    <n v="2.5000000000000001E-2"/>
    <n v="9922"/>
    <x v="267"/>
    <m/>
    <d v="1899-12-30T11:53:00"/>
    <d v="1899-12-30T11:53:00"/>
    <d v="1899-12-30T14:06:00"/>
    <n v="0"/>
    <n v="2.2166666666666681"/>
    <n v="2.2166666666666681"/>
    <s v="LC taken for DP-yard yearly maintenance"/>
    <s v="Close"/>
    <n v="5.5416666666666704E-2"/>
    <m/>
    <n v="0"/>
    <m/>
    <m/>
    <m/>
    <n v="0"/>
    <m/>
    <m/>
    <m/>
    <m/>
  </r>
  <r>
    <n v="396"/>
    <x v="41"/>
    <x v="0"/>
    <x v="0"/>
    <x v="1"/>
    <x v="0"/>
    <x v="15"/>
    <s v="PWEGPL"/>
    <s v="MSEDCL"/>
    <n v="2.5000000000000001E-2"/>
    <n v="9922"/>
    <x v="268"/>
    <m/>
    <d v="1899-12-30T11:53:00"/>
    <d v="1899-12-30T11:53:00"/>
    <d v="1899-12-30T14:06:00"/>
    <n v="0"/>
    <n v="2.2166666666666681"/>
    <n v="2.2166666666666681"/>
    <s v="LC taken for DP-yard yearly maintenance"/>
    <s v="Close"/>
    <n v="5.5416666666666704E-2"/>
    <m/>
    <n v="0"/>
    <m/>
    <m/>
    <m/>
    <n v="0"/>
    <m/>
    <m/>
    <m/>
    <m/>
  </r>
  <r>
    <n v="397"/>
    <x v="41"/>
    <x v="0"/>
    <x v="0"/>
    <x v="1"/>
    <x v="0"/>
    <x v="16"/>
    <s v="PWEGPL"/>
    <s v="MSEDCL"/>
    <n v="2.5000000000000001E-2"/>
    <n v="9922"/>
    <x v="269"/>
    <m/>
    <d v="1899-12-30T11:53:00"/>
    <d v="1899-12-30T11:53:00"/>
    <d v="1899-12-30T14:06:00"/>
    <n v="0"/>
    <n v="2.2166666666666681"/>
    <n v="2.2166666666666681"/>
    <s v="LC taken for DP-yard yearly maintenance"/>
    <s v="Close"/>
    <n v="5.5416666666666704E-2"/>
    <m/>
    <n v="0"/>
    <m/>
    <m/>
    <m/>
    <n v="0"/>
    <m/>
    <m/>
    <m/>
    <m/>
  </r>
  <r>
    <n v="398"/>
    <x v="41"/>
    <x v="0"/>
    <x v="0"/>
    <x v="1"/>
    <x v="0"/>
    <x v="4"/>
    <s v="PWEGPL"/>
    <s v="MSEDCL"/>
    <n v="2.5000000000000001E-2"/>
    <n v="9922"/>
    <x v="270"/>
    <m/>
    <d v="1899-12-30T11:53:00"/>
    <d v="1899-12-30T11:53:00"/>
    <d v="1899-12-30T14:06:00"/>
    <n v="0"/>
    <n v="2.2166666666666681"/>
    <n v="2.2166666666666681"/>
    <s v="LC taken for DP-yard yearly maintenance"/>
    <s v="Close"/>
    <n v="5.5416666666666704E-2"/>
    <m/>
    <n v="0"/>
    <m/>
    <m/>
    <m/>
    <n v="0"/>
    <m/>
    <m/>
    <m/>
    <m/>
  </r>
  <r>
    <n v="399"/>
    <x v="42"/>
    <x v="0"/>
    <x v="0"/>
    <x v="1"/>
    <x v="0"/>
    <x v="19"/>
    <s v="PWEGPL"/>
    <s v="MSEDCL"/>
    <n v="2.5000000000000001E-2"/>
    <n v="552"/>
    <x v="271"/>
    <m/>
    <d v="1899-12-30T05:11:00"/>
    <d v="1899-12-30T06:47:00"/>
    <d v="1899-12-30T06:52:00"/>
    <n v="1.5999999999999996"/>
    <n v="8.333333333333437E-2"/>
    <n v="1.683333333333334"/>
    <s v="Reset"/>
    <s v="Close"/>
    <n v="4.2083333333333355E-2"/>
    <m/>
    <n v="0"/>
    <m/>
    <m/>
    <m/>
    <n v="0"/>
    <m/>
    <m/>
    <m/>
    <m/>
  </r>
  <r>
    <n v="400"/>
    <x v="42"/>
    <x v="0"/>
    <x v="0"/>
    <x v="1"/>
    <x v="0"/>
    <x v="33"/>
    <s v="PWEGPL"/>
    <s v="MSEDCL"/>
    <n v="2.5000000000000001E-2"/>
    <n v="208"/>
    <x v="272"/>
    <m/>
    <d v="1899-12-30T01:17:00"/>
    <d v="1899-12-30T02:19:00"/>
    <d v="1899-12-30T05:22:00"/>
    <n v="1.0333333333333332"/>
    <n v="3.05"/>
    <n v="4.083333333333333"/>
    <s v="Contactor changed"/>
    <s v="Close"/>
    <n v="0.10208333333333333"/>
    <m/>
    <n v="0"/>
    <m/>
    <m/>
    <m/>
    <n v="0"/>
    <m/>
    <m/>
    <m/>
    <m/>
  </r>
  <r>
    <n v="401"/>
    <x v="42"/>
    <x v="0"/>
    <x v="0"/>
    <x v="1"/>
    <x v="0"/>
    <x v="10"/>
    <s v="PWEGPL"/>
    <s v="MSEDCL"/>
    <n v="2.5000000000000001E-2"/>
    <s v="CE100001"/>
    <x v="273"/>
    <s v="PM"/>
    <d v="1899-12-30T09:57:00"/>
    <d v="1899-12-30T09:57:00"/>
    <d v="1899-12-30T17:31:00"/>
    <n v="0"/>
    <n v="7.5666666666666664"/>
    <n v="7.5666666666666664"/>
    <s v="102 PM service"/>
    <s v="Close"/>
    <n v="0.18916666666666668"/>
    <m/>
    <n v="0"/>
    <m/>
    <m/>
    <m/>
    <n v="0"/>
    <m/>
    <m/>
    <m/>
    <m/>
  </r>
  <r>
    <n v="402"/>
    <x v="42"/>
    <x v="0"/>
    <x v="0"/>
    <x v="1"/>
    <x v="0"/>
    <x v="12"/>
    <s v="PWEGPL"/>
    <s v="MSEDCL"/>
    <n v="2.5000000000000001E-2"/>
    <s v="CE100001"/>
    <x v="274"/>
    <m/>
    <d v="1899-12-30T11:56:00"/>
    <d v="1899-12-30T11:56:00"/>
    <d v="1899-12-30T16:43:00"/>
    <n v="0"/>
    <n v="4.7833333333333323"/>
    <n v="4.7833333333333323"/>
    <s v="Manual stop for Bus Interbus failure troubleshooting work"/>
    <s v="Close"/>
    <n v="0.11958333333333332"/>
    <m/>
    <n v="0"/>
    <m/>
    <m/>
    <m/>
    <n v="0"/>
    <m/>
    <m/>
    <m/>
    <m/>
  </r>
  <r>
    <n v="403"/>
    <x v="42"/>
    <x v="0"/>
    <x v="0"/>
    <x v="1"/>
    <x v="0"/>
    <x v="19"/>
    <s v="PWEGPL"/>
    <s v="MSEDCL"/>
    <n v="2.5000000000000001E-2"/>
    <n v="552"/>
    <x v="275"/>
    <m/>
    <d v="1899-12-30T22:18:00"/>
    <d v="1899-12-30T22:18:00"/>
    <d v="1899-12-30T23:19:00"/>
    <n v="0"/>
    <n v="1.0166666666666657"/>
    <n v="1.0166666666666657"/>
    <s v="Carbon Brush replaced"/>
    <s v="Close"/>
    <n v="2.5416666666666643E-2"/>
    <m/>
    <n v="0"/>
    <m/>
    <m/>
    <m/>
    <n v="0"/>
    <m/>
    <m/>
    <m/>
    <m/>
  </r>
  <r>
    <n v="404"/>
    <x v="43"/>
    <x v="0"/>
    <x v="0"/>
    <x v="1"/>
    <x v="0"/>
    <x v="17"/>
    <s v="PWEGPL"/>
    <s v="MSEDCL"/>
    <n v="2.5000000000000001E-2"/>
    <n v="5204"/>
    <x v="276"/>
    <m/>
    <d v="1899-12-30T21:40:00"/>
    <d v="1899-12-30T23:59:00"/>
    <d v="1899-12-30T23:59:00"/>
    <n v="2.3166666666666664"/>
    <n v="0"/>
    <n v="2.3166666666666664"/>
    <m/>
    <s v="Close"/>
    <n v="5.7916666666666665E-2"/>
    <m/>
    <n v="0"/>
    <m/>
    <m/>
    <m/>
    <n v="0"/>
    <m/>
    <m/>
    <m/>
    <m/>
  </r>
  <r>
    <n v="405"/>
    <x v="43"/>
    <x v="0"/>
    <x v="0"/>
    <x v="1"/>
    <x v="0"/>
    <x v="29"/>
    <s v="PWEGPL"/>
    <s v="MSEDCL"/>
    <n v="2.5000000000000001E-2"/>
    <n v="205"/>
    <x v="277"/>
    <m/>
    <d v="1899-12-30T14:18:00"/>
    <d v="1899-12-30T15:21:00"/>
    <d v="1899-12-30T17:23:00"/>
    <n v="1.0499999999999989"/>
    <n v="2.0333333333333341"/>
    <n v="3.083333333333333"/>
    <s v="Oil Topup"/>
    <s v="Close"/>
    <n v="7.7083333333333337E-2"/>
    <m/>
    <n v="0"/>
    <m/>
    <m/>
    <m/>
    <n v="0"/>
    <m/>
    <m/>
    <m/>
    <m/>
  </r>
  <r>
    <n v="406"/>
    <x v="43"/>
    <x v="0"/>
    <x v="0"/>
    <x v="1"/>
    <x v="0"/>
    <x v="2"/>
    <s v="PWEGPL"/>
    <s v="MSEDCL"/>
    <n v="2.5000000000000001E-2"/>
    <n v="110"/>
    <x v="278"/>
    <m/>
    <d v="1899-12-30T12:40:00"/>
    <d v="1899-12-30T13:33:00"/>
    <d v="1899-12-30T14:06:00"/>
    <n v="0.88333333333333286"/>
    <n v="0.55000000000000071"/>
    <n v="1.4333333333333336"/>
    <s v="Cable Untwisting"/>
    <s v="Close"/>
    <n v="3.5833333333333342E-2"/>
    <m/>
    <n v="0"/>
    <m/>
    <m/>
    <m/>
    <n v="0"/>
    <m/>
    <m/>
    <m/>
    <m/>
  </r>
  <r>
    <n v="407"/>
    <x v="43"/>
    <x v="0"/>
    <x v="0"/>
    <x v="1"/>
    <x v="0"/>
    <x v="9"/>
    <s v="PWEGPL"/>
    <s v="MSEDCL"/>
    <n v="2.5000000000000001E-2"/>
    <s v="CE100001"/>
    <x v="279"/>
    <s v="PM"/>
    <d v="1899-12-30T09:50:00"/>
    <d v="1899-12-30T09:50:00"/>
    <d v="1899-12-30T16:58:00"/>
    <n v="0"/>
    <n v="7.1333333333333311"/>
    <n v="7.1333333333333311"/>
    <s v="102 PM service"/>
    <s v="Close"/>
    <n v="0.17833333333333329"/>
    <m/>
    <n v="0"/>
    <m/>
    <m/>
    <m/>
    <n v="0"/>
    <m/>
    <m/>
    <m/>
    <m/>
  </r>
  <r>
    <n v="408"/>
    <x v="44"/>
    <x v="0"/>
    <x v="0"/>
    <x v="1"/>
    <x v="0"/>
    <x v="17"/>
    <s v="PWEGPL"/>
    <s v="MSEDCL"/>
    <n v="2.5000000000000001E-2"/>
    <n v="5204"/>
    <x v="280"/>
    <m/>
    <d v="1899-12-30T00:00:00"/>
    <d v="1899-12-30T00:30:00"/>
    <d v="1899-12-30T13:36:00"/>
    <n v="0.5"/>
    <n v="13.099999999999998"/>
    <n v="13.6"/>
    <s v="Loose connection Tightened &amp; Safety Relay changed"/>
    <s v="Close"/>
    <n v="0.34"/>
    <m/>
    <n v="0"/>
    <m/>
    <m/>
    <m/>
    <n v="0"/>
    <m/>
    <m/>
    <m/>
    <m/>
  </r>
  <r>
    <n v="409"/>
    <x v="44"/>
    <x v="0"/>
    <x v="0"/>
    <x v="1"/>
    <x v="0"/>
    <x v="0"/>
    <s v="PWEGPL"/>
    <s v="MSEDCL"/>
    <n v="2.5000000000000001E-2"/>
    <n v="110"/>
    <x v="281"/>
    <m/>
    <d v="1899-12-30T10:11:00"/>
    <d v="1899-12-30T10:31:00"/>
    <d v="1899-12-30T11:09:00"/>
    <n v="0.33333333333333481"/>
    <n v="0.63333333333333242"/>
    <n v="0.96666666666666723"/>
    <s v="Cable untwisting removed"/>
    <s v="Close"/>
    <n v="2.4166666666666684E-2"/>
    <m/>
    <n v="0"/>
    <m/>
    <m/>
    <m/>
    <n v="0"/>
    <m/>
    <m/>
    <m/>
    <m/>
  </r>
  <r>
    <n v="410"/>
    <x v="44"/>
    <x v="0"/>
    <x v="0"/>
    <x v="1"/>
    <x v="0"/>
    <x v="14"/>
    <s v="PWEGPL"/>
    <s v="MSEDCL"/>
    <n v="2.5000000000000001E-2"/>
    <s v="CE100001"/>
    <x v="282"/>
    <s v="PM"/>
    <d v="1899-12-30T10:02:00"/>
    <d v="1899-12-30T10:02:00"/>
    <d v="1899-12-30T17:52:00"/>
    <n v="0"/>
    <n v="7.8333333333333339"/>
    <n v="7.8333333333333339"/>
    <s v="102 PM service"/>
    <s v="Close"/>
    <n v="0.19583333333333336"/>
    <m/>
    <n v="0"/>
    <m/>
    <m/>
    <m/>
    <n v="0"/>
    <m/>
    <m/>
    <m/>
    <m/>
  </r>
  <r>
    <n v="411"/>
    <x v="44"/>
    <x v="0"/>
    <x v="0"/>
    <x v="1"/>
    <x v="0"/>
    <x v="15"/>
    <s v="PWEGPL"/>
    <s v="MSEDCL"/>
    <n v="2.5000000000000001E-2"/>
    <n v="110"/>
    <x v="283"/>
    <m/>
    <d v="1899-12-30T14:02:00"/>
    <d v="1899-12-30T15:35:00"/>
    <d v="1899-12-30T16:04:00"/>
    <n v="1.5499999999999998"/>
    <n v="0.48333333333333162"/>
    <n v="2.0333333333333314"/>
    <s v="Cable untwisting removed"/>
    <s v="Close"/>
    <n v="5.0833333333333286E-2"/>
    <m/>
    <n v="0"/>
    <m/>
    <m/>
    <m/>
    <n v="0"/>
    <m/>
    <m/>
    <m/>
    <m/>
  </r>
  <r>
    <n v="412"/>
    <x v="45"/>
    <x v="0"/>
    <x v="0"/>
    <x v="1"/>
    <x v="0"/>
    <x v="20"/>
    <s v="PWEGPL"/>
    <s v="MSEDCL"/>
    <n v="2.5000000000000001E-2"/>
    <s v="CE100001"/>
    <x v="284"/>
    <m/>
    <d v="1899-12-30T16:20:00"/>
    <d v="1899-12-30T16:20:00"/>
    <d v="1899-12-30T16:55:00"/>
    <n v="0"/>
    <n v="0.58333333333333659"/>
    <n v="0.58333333333333659"/>
    <s v="Troubleshooting work"/>
    <s v="Close"/>
    <n v="1.4583333333333415E-2"/>
    <m/>
    <n v="0"/>
    <m/>
    <m/>
    <m/>
    <n v="0"/>
    <m/>
    <m/>
    <m/>
    <m/>
  </r>
  <r>
    <n v="413"/>
    <x v="45"/>
    <x v="0"/>
    <x v="0"/>
    <x v="1"/>
    <x v="0"/>
    <x v="22"/>
    <s v="PWEGPL"/>
    <s v="MSEDCL"/>
    <n v="2.5000000000000001E-2"/>
    <s v="CE100001"/>
    <x v="285"/>
    <m/>
    <d v="1899-12-30T17:03:00"/>
    <d v="1899-12-30T17:03:00"/>
    <d v="1899-12-30T17:33:00"/>
    <n v="0"/>
    <n v="0.50000000000000089"/>
    <n v="0.50000000000000089"/>
    <s v="Carbon brush replaced"/>
    <s v="Close"/>
    <n v="1.2500000000000023E-2"/>
    <m/>
    <n v="0"/>
    <m/>
    <m/>
    <m/>
    <n v="0"/>
    <m/>
    <m/>
    <m/>
    <m/>
  </r>
  <r>
    <n v="414"/>
    <x v="45"/>
    <x v="0"/>
    <x v="0"/>
    <x v="1"/>
    <x v="0"/>
    <x v="17"/>
    <s v="PWEGPL"/>
    <s v="MSEDCL"/>
    <n v="2.5000000000000001E-2"/>
    <n v="2114"/>
    <x v="286"/>
    <m/>
    <d v="1899-12-30T09:42:00"/>
    <d v="1899-12-30T10:44:00"/>
    <d v="1899-12-30T16:41:00"/>
    <n v="1.0333333333333337"/>
    <n v="5.95"/>
    <n v="6.9833333333333343"/>
    <s v="Hydraulic valve &amp; F/B module replaced"/>
    <s v="Close"/>
    <n v="0.17458333333333337"/>
    <m/>
    <n v="0"/>
    <m/>
    <m/>
    <m/>
    <n v="0"/>
    <m/>
    <m/>
    <m/>
    <m/>
  </r>
  <r>
    <n v="415"/>
    <x v="45"/>
    <x v="0"/>
    <x v="0"/>
    <x v="1"/>
    <x v="0"/>
    <x v="34"/>
    <s v="PWEGPL"/>
    <s v="MSEDCL"/>
    <n v="2.5000000000000001E-2"/>
    <n v="110"/>
    <x v="287"/>
    <m/>
    <d v="1899-12-30T13:51:00"/>
    <d v="1899-12-30T14:21:00"/>
    <d v="1899-12-30T15:05:00"/>
    <n v="0.50000000000000089"/>
    <n v="0.73333333333333339"/>
    <n v="1.2333333333333343"/>
    <s v="Cable twist removed &amp; started"/>
    <s v="Close"/>
    <n v="3.0833333333333358E-2"/>
    <m/>
    <n v="0"/>
    <m/>
    <m/>
    <m/>
    <n v="0"/>
    <m/>
    <m/>
    <m/>
    <m/>
  </r>
  <r>
    <n v="416"/>
    <x v="45"/>
    <x v="0"/>
    <x v="0"/>
    <x v="1"/>
    <x v="0"/>
    <x v="10"/>
    <s v="PWEGPL"/>
    <s v="MSEDCL"/>
    <n v="2.5000000000000001E-2"/>
    <s v="CE100001"/>
    <x v="288"/>
    <m/>
    <d v="1899-12-30T12:08:00"/>
    <d v="1899-12-30T12:08:00"/>
    <d v="1899-12-30T12:44:00"/>
    <n v="0"/>
    <n v="0.60000000000000053"/>
    <n v="0.60000000000000053"/>
    <s v="Troubleshooting work"/>
    <s v="Close"/>
    <n v="1.5000000000000013E-2"/>
    <m/>
    <n v="0"/>
    <m/>
    <m/>
    <m/>
    <n v="0"/>
    <m/>
    <m/>
    <m/>
    <m/>
  </r>
  <r>
    <n v="417"/>
    <x v="45"/>
    <x v="0"/>
    <x v="0"/>
    <x v="1"/>
    <x v="0"/>
    <x v="12"/>
    <s v="PWEGPL"/>
    <s v="MSEDCL"/>
    <n v="2.5000000000000001E-2"/>
    <s v="CE100001"/>
    <x v="288"/>
    <m/>
    <d v="1899-12-30T01:28:00"/>
    <d v="1899-12-30T01:28:00"/>
    <d v="1899-12-30T02:41:00"/>
    <n v="0"/>
    <n v="1.2166666666666668"/>
    <n v="1.2166666666666668"/>
    <s v="Troubleshooting work"/>
    <s v="Close"/>
    <n v="3.0416666666666672E-2"/>
    <m/>
    <n v="0"/>
    <m/>
    <m/>
    <m/>
    <n v="0"/>
    <m/>
    <m/>
    <m/>
    <m/>
  </r>
  <r>
    <n v="418"/>
    <x v="45"/>
    <x v="0"/>
    <x v="0"/>
    <x v="1"/>
    <x v="0"/>
    <x v="12"/>
    <s v="PWEGPL"/>
    <s v="MSEDCL"/>
    <n v="2.5000000000000001E-2"/>
    <n v="1821"/>
    <x v="289"/>
    <m/>
    <d v="1899-12-30T11:24:00"/>
    <d v="1899-12-30T11:24:00"/>
    <d v="1899-12-30T11:58:00"/>
    <n v="0"/>
    <n v="0.56666666666666599"/>
    <n v="0.56666666666666599"/>
    <s v="MCB charged"/>
    <s v="Close"/>
    <n v="1.416666666666665E-2"/>
    <m/>
    <n v="0"/>
    <m/>
    <m/>
    <m/>
    <n v="0"/>
    <m/>
    <m/>
    <m/>
    <m/>
  </r>
  <r>
    <n v="419"/>
    <x v="45"/>
    <x v="0"/>
    <x v="0"/>
    <x v="1"/>
    <x v="0"/>
    <x v="13"/>
    <s v="PWEGPL"/>
    <s v="MSEDCL"/>
    <n v="2.5000000000000001E-2"/>
    <s v="CE100001"/>
    <x v="288"/>
    <s v="PM"/>
    <d v="1899-12-30T10:10:00"/>
    <d v="1899-12-30T10:10:00"/>
    <d v="1899-12-30T17:39:00"/>
    <n v="0"/>
    <n v="7.4833333333333325"/>
    <n v="7.4833333333333325"/>
    <s v="102 PM service"/>
    <s v="Close"/>
    <n v="0.18708333333333332"/>
    <m/>
    <n v="0"/>
    <m/>
    <m/>
    <m/>
    <n v="0"/>
    <m/>
    <m/>
    <m/>
    <m/>
  </r>
  <r>
    <n v="420"/>
    <x v="46"/>
    <x v="1"/>
    <x v="0"/>
    <x v="2"/>
    <x v="1"/>
    <x v="17"/>
    <s v="PWEGPL"/>
    <s v="MSEDCL"/>
    <n v="2.5000000000000001E-2"/>
    <n v="203"/>
    <x v="290"/>
    <s v="BD"/>
    <d v="1899-12-30T17:29:00"/>
    <d v="1899-12-30T17:45:00"/>
    <d v="1899-12-30T18:06:00"/>
    <n v="0.26666666666666572"/>
    <n v="0.35000000000000142"/>
    <n v="0.61666666666666714"/>
    <s v="Oil Topup"/>
    <s v="Close"/>
    <n v="1.5416666666666679E-2"/>
    <s v="G9"/>
    <n v="6.8119897762345776"/>
    <m/>
    <m/>
    <n v="265.11527777777798"/>
    <n v="6.8119897762345776"/>
    <m/>
    <m/>
    <m/>
    <m/>
  </r>
  <r>
    <n v="421"/>
    <x v="47"/>
    <x v="1"/>
    <x v="0"/>
    <x v="2"/>
    <x v="1"/>
    <x v="17"/>
    <s v="PWEGPL"/>
    <s v="MSEDCL"/>
    <n v="2.5000000000000001E-2"/>
    <n v="202"/>
    <x v="291"/>
    <s v="BD"/>
    <d v="1899-12-30T10:58:00"/>
    <d v="1899-12-30T10:58:00"/>
    <d v="1899-12-30T15:07:00"/>
    <n v="0"/>
    <n v="4.1500000000000004"/>
    <n v="4.1500000000000004"/>
    <s v=" Nacelle main accumulator replaced"/>
    <s v="Close"/>
    <n v="0.10375000000000001"/>
    <s v="G9"/>
    <n v="160.80313368055559"/>
    <m/>
    <m/>
    <n v="929.94583333333344"/>
    <n v="160.80313368055559"/>
    <m/>
    <m/>
    <m/>
    <m/>
  </r>
  <r>
    <n v="422"/>
    <x v="47"/>
    <x v="1"/>
    <x v="0"/>
    <x v="2"/>
    <x v="1"/>
    <x v="28"/>
    <s v="PWEGPL"/>
    <s v="MSEDCL"/>
    <n v="2.5000000000000001E-2"/>
    <n v="110"/>
    <x v="287"/>
    <s v="BD"/>
    <d v="1899-12-30T14:00:00"/>
    <d v="1899-12-30T15:17:00"/>
    <d v="1899-12-30T16:07:00"/>
    <n v="1.2833333333333314"/>
    <n v="0.8333333333333357"/>
    <n v="2.1166666666666671"/>
    <s v="Cable twisting removed"/>
    <s v="Close"/>
    <n v="5.2916666666666681E-2"/>
    <s v="G11"/>
    <n v="62.80167148919756"/>
    <m/>
    <m/>
    <n v="712.08194444444462"/>
    <n v="62.80167148919756"/>
    <m/>
    <m/>
    <m/>
    <m/>
  </r>
  <r>
    <n v="423"/>
    <x v="47"/>
    <x v="1"/>
    <x v="0"/>
    <x v="2"/>
    <x v="1"/>
    <x v="35"/>
    <s v="PWEGPL"/>
    <s v="MSEDCL"/>
    <n v="2.5000000000000001E-2"/>
    <n v="907"/>
    <x v="292"/>
    <s v="BD"/>
    <d v="1899-12-30T12:09:00"/>
    <d v="1899-12-30T12:09:00"/>
    <d v="1899-12-30T12:31:00"/>
    <n v="0"/>
    <n v="0.36666666666666803"/>
    <n v="0.36666666666666803"/>
    <s v="Reset"/>
    <s v="Close"/>
    <n v="9.1666666666667014E-3"/>
    <s v="G25"/>
    <n v="1.3327739197530961"/>
    <m/>
    <m/>
    <n v="87.236111111111427"/>
    <n v="1.3327739197530961"/>
    <m/>
    <m/>
    <m/>
    <m/>
  </r>
  <r>
    <n v="424"/>
    <x v="47"/>
    <x v="1"/>
    <x v="0"/>
    <x v="2"/>
    <x v="1"/>
    <x v="12"/>
    <s v="PWEGPL"/>
    <s v="MSEDCL"/>
    <n v="2.5000000000000001E-2"/>
    <n v="2118"/>
    <x v="293"/>
    <s v="BD"/>
    <d v="1899-12-30T18:47:00"/>
    <d v="1899-12-30T22:23:00"/>
    <d v="1899-12-30T23:59:00"/>
    <n v="3.5999999999999979"/>
    <n v="1.5999999999999996"/>
    <n v="5.1999999999999975"/>
    <s v="Slipring &amp; F/B module replaced"/>
    <s v="Close"/>
    <n v="0.12999999999999995"/>
    <s v="G32"/>
    <n v="231.81166666666644"/>
    <m/>
    <m/>
    <n v="1069.8999999999994"/>
    <n v="231.81166666666644"/>
    <m/>
    <m/>
    <m/>
    <m/>
  </r>
  <r>
    <n v="425"/>
    <x v="47"/>
    <x v="1"/>
    <x v="0"/>
    <x v="2"/>
    <x v="1"/>
    <x v="3"/>
    <s v="PWEGPL"/>
    <s v="MSEDCL"/>
    <n v="2.5000000000000001E-2"/>
    <n v="110"/>
    <x v="287"/>
    <s v="BD"/>
    <d v="1899-12-30T14:06:00"/>
    <d v="1899-12-30T14:06:00"/>
    <d v="1899-12-30T15:00:00"/>
    <n v="0"/>
    <n v="0.89999999999999947"/>
    <n v="0.89999999999999947"/>
    <s v="Cable twisting removed"/>
    <s v="Close"/>
    <n v="2.2499999999999989E-2"/>
    <s v="G26"/>
    <n v="8.035312499999991"/>
    <m/>
    <m/>
    <n v="214.27499999999989"/>
    <n v="8.035312499999991"/>
    <m/>
    <m/>
    <m/>
    <m/>
  </r>
  <r>
    <n v="426"/>
    <x v="47"/>
    <x v="1"/>
    <x v="0"/>
    <x v="2"/>
    <x v="1"/>
    <x v="7"/>
    <s v="PWEGPL"/>
    <s v="MSEDCL"/>
    <n v="2.5000000000000001E-2"/>
    <n v="110"/>
    <x v="287"/>
    <s v="BD"/>
    <d v="1899-12-30T13:43:00"/>
    <d v="1899-12-30T15:08:00"/>
    <d v="1899-12-30T15:50:00"/>
    <n v="1.416666666666667"/>
    <n v="0.70000000000000018"/>
    <n v="2.1166666666666671"/>
    <s v="Cable twisting removed"/>
    <s v="Close"/>
    <n v="5.2916666666666681E-2"/>
    <s v="G39"/>
    <n v="40.695856481481506"/>
    <m/>
    <m/>
    <n v="461.43333333333345"/>
    <n v="40.695856481481506"/>
    <m/>
    <m/>
    <m/>
    <m/>
  </r>
  <r>
    <n v="427"/>
    <x v="48"/>
    <x v="1"/>
    <x v="0"/>
    <x v="2"/>
    <x v="1"/>
    <x v="22"/>
    <s v="PWEGPL"/>
    <s v="MSEDCL"/>
    <n v="2.5000000000000001E-2"/>
    <n v="5203"/>
    <x v="294"/>
    <s v="BD"/>
    <d v="1899-12-30T01:31:00"/>
    <d v="1899-12-30T04:10:00"/>
    <d v="1899-12-30T14:53:00"/>
    <n v="2.6500000000000004"/>
    <n v="10.716666666666665"/>
    <n v="13.366666666666667"/>
    <s v="Radiator Motor replaced"/>
    <s v="Close"/>
    <n v="0.33416666666666672"/>
    <s v="G4"/>
    <n v="3863.6906944444445"/>
    <m/>
    <m/>
    <n v="6937.3"/>
    <n v="3863.6906944444445"/>
    <m/>
    <m/>
    <m/>
    <m/>
  </r>
  <r>
    <n v="428"/>
    <x v="48"/>
    <x v="1"/>
    <x v="0"/>
    <x v="2"/>
    <x v="1"/>
    <x v="17"/>
    <s v="PWEGPL"/>
    <s v="MSEDCL"/>
    <n v="2.5000000000000001E-2"/>
    <n v="2114"/>
    <x v="286"/>
    <s v="BD"/>
    <d v="1899-12-30T11:09:00"/>
    <d v="1899-12-30T11:46:00"/>
    <d v="1899-12-30T16:21:00"/>
    <n v="0.61666666666666714"/>
    <n v="4.583333333333333"/>
    <n v="5.2"/>
    <s v="Reset"/>
    <s v="Close"/>
    <n v="0.13"/>
    <s v="G9"/>
    <n v="503.62000000000006"/>
    <m/>
    <m/>
    <n v="2324.4"/>
    <n v="503.62000000000006"/>
    <m/>
    <m/>
    <m/>
    <m/>
  </r>
  <r>
    <n v="429"/>
    <x v="48"/>
    <x v="1"/>
    <x v="0"/>
    <x v="2"/>
    <x v="1"/>
    <x v="17"/>
    <s v="PWEGPL"/>
    <s v="MSEDCL"/>
    <n v="2.5000000000000001E-2"/>
    <n v="2114"/>
    <x v="286"/>
    <s v="BD"/>
    <d v="1899-12-30T16:57:00"/>
    <d v="1899-12-30T17:15:00"/>
    <d v="1899-12-30T17:49:00"/>
    <n v="0.3000000000000016"/>
    <n v="0.56666666666666732"/>
    <n v="0.86666666666666892"/>
    <s v="Reset"/>
    <s v="Close"/>
    <n v="2.1666666666666723E-2"/>
    <s v="G9"/>
    <n v="13.989444444444517"/>
    <m/>
    <m/>
    <n v="387.400000000001"/>
    <n v="13.989444444444517"/>
    <m/>
    <m/>
    <m/>
    <m/>
  </r>
  <r>
    <n v="430"/>
    <x v="48"/>
    <x v="1"/>
    <x v="0"/>
    <x v="2"/>
    <x v="1"/>
    <x v="38"/>
    <s v="PWEGPL"/>
    <s v="MSEDCL"/>
    <n v="2.5000000000000001E-2"/>
    <n v="203"/>
    <x v="290"/>
    <s v="BD"/>
    <d v="1899-12-30T04:07:00"/>
    <d v="1899-12-30T05:33:00"/>
    <d v="1899-12-30T06:08:00"/>
    <n v="1.4333333333333336"/>
    <n v="0.58333333333333459"/>
    <n v="2.0166666666666684"/>
    <s v="Reset"/>
    <s v="Close"/>
    <n v="5.0416666666666714E-2"/>
    <s v="G19"/>
    <n v="89.190351080247055"/>
    <m/>
    <m/>
    <n v="1061.4388888888898"/>
    <n v="89.190351080247055"/>
    <m/>
    <m/>
    <m/>
    <m/>
  </r>
  <r>
    <n v="431"/>
    <x v="48"/>
    <x v="1"/>
    <x v="0"/>
    <x v="2"/>
    <x v="1"/>
    <x v="38"/>
    <s v="PWEGPL"/>
    <s v="MSEDCL"/>
    <n v="2.5000000000000001E-2"/>
    <n v="110"/>
    <x v="287"/>
    <s v="BD"/>
    <d v="1899-12-30T14:36:00"/>
    <d v="1899-12-30T15:11:00"/>
    <d v="1899-12-30T15:56:00"/>
    <n v="0.58333333333333393"/>
    <n v="0.75"/>
    <n v="1.3333333333333339"/>
    <s v="Cable twist removed &amp; started"/>
    <s v="Close"/>
    <n v="3.3333333333333347E-2"/>
    <s v="G19"/>
    <n v="38.987654320987694"/>
    <m/>
    <m/>
    <n v="701.77777777777817"/>
    <n v="38.987654320987694"/>
    <m/>
    <m/>
    <m/>
    <m/>
  </r>
  <r>
    <n v="432"/>
    <x v="48"/>
    <x v="1"/>
    <x v="0"/>
    <x v="2"/>
    <x v="1"/>
    <x v="36"/>
    <s v="PWEGPL"/>
    <s v="MSEDCL"/>
    <n v="2.5000000000000001E-2"/>
    <s v="CE100007"/>
    <x v="295"/>
    <s v="Audit"/>
    <d v="1899-12-30T12:07:00"/>
    <d v="1899-12-30T12:07:00"/>
    <d v="1899-12-30T15:18:00"/>
    <n v="0"/>
    <n v="3.1833333333333353"/>
    <n v="3.1833333333333353"/>
    <s v="LC taken for DP-yard yearly maintenance"/>
    <s v="Close"/>
    <n v="7.9583333333333395E-2"/>
    <s v="G26"/>
    <n v="194.3331047453706"/>
    <m/>
    <m/>
    <n v="1465.1291666666675"/>
    <n v="194.3331047453706"/>
    <m/>
    <m/>
    <m/>
    <m/>
  </r>
  <r>
    <n v="433"/>
    <x v="48"/>
    <x v="1"/>
    <x v="0"/>
    <x v="2"/>
    <x v="1"/>
    <x v="8"/>
    <s v="PWEGPL"/>
    <s v="MSEDCL"/>
    <n v="2.5000000000000001E-2"/>
    <s v="CE100007"/>
    <x v="295"/>
    <s v="Audit"/>
    <d v="1899-12-30T12:07:00"/>
    <d v="1899-12-30T12:07:00"/>
    <d v="1899-12-30T15:18:00"/>
    <n v="0"/>
    <n v="3.1833333333333353"/>
    <n v="3.1833333333333353"/>
    <s v="LC taken for DP-yard yearly maintenance"/>
    <s v="Close"/>
    <n v="7.9583333333333395E-2"/>
    <s v="G28"/>
    <n v="176.00112075617307"/>
    <m/>
    <m/>
    <n v="1326.9194444444452"/>
    <n v="176.00112075617307"/>
    <m/>
    <m/>
    <m/>
    <m/>
  </r>
  <r>
    <n v="434"/>
    <x v="48"/>
    <x v="1"/>
    <x v="0"/>
    <x v="2"/>
    <x v="1"/>
    <x v="9"/>
    <s v="PWEGPL"/>
    <s v="MSEDCL"/>
    <n v="2.5000000000000001E-2"/>
    <s v="CE100007"/>
    <x v="295"/>
    <s v="Audit"/>
    <d v="1899-12-30T12:07:00"/>
    <d v="1899-12-30T12:07:00"/>
    <d v="1899-12-30T15:18:00"/>
    <n v="0"/>
    <n v="3.1833333333333353"/>
    <n v="3.1833333333333353"/>
    <s v="LC taken for DP-yard yearly maintenance"/>
    <s v="Close"/>
    <n v="7.9583333333333395E-2"/>
    <s v="G29"/>
    <n v="186.87364101080271"/>
    <m/>
    <m/>
    <n v="1408.8902777777787"/>
    <n v="186.87364101080271"/>
    <m/>
    <m/>
    <m/>
    <m/>
  </r>
  <r>
    <n v="435"/>
    <x v="48"/>
    <x v="1"/>
    <x v="0"/>
    <x v="2"/>
    <x v="1"/>
    <x v="10"/>
    <s v="PWEGPL"/>
    <s v="MSEDCL"/>
    <n v="2.5000000000000001E-2"/>
    <s v="CE100007"/>
    <x v="295"/>
    <s v="Audit"/>
    <d v="1899-12-30T12:07:00"/>
    <d v="1899-12-30T12:07:00"/>
    <d v="1899-12-30T15:18:00"/>
    <n v="0"/>
    <n v="3.1833333333333353"/>
    <n v="3.1833333333333353"/>
    <s v="LC taken for DP-yard yearly maintenance"/>
    <s v="Close"/>
    <n v="7.9583333333333395E-2"/>
    <s v="G30"/>
    <n v="195.24794463734594"/>
    <m/>
    <m/>
    <n v="1472.0263888888899"/>
    <n v="195.24794463734594"/>
    <m/>
    <m/>
    <m/>
    <m/>
  </r>
  <r>
    <n v="436"/>
    <x v="48"/>
    <x v="1"/>
    <x v="0"/>
    <x v="2"/>
    <x v="1"/>
    <x v="11"/>
    <s v="PWEGPL"/>
    <s v="MSEDCL"/>
    <n v="2.5000000000000001E-2"/>
    <s v="CE100007"/>
    <x v="295"/>
    <s v="Audit"/>
    <d v="1899-12-30T12:07:00"/>
    <d v="1899-12-30T12:07:00"/>
    <d v="1899-12-30T15:18:00"/>
    <n v="0"/>
    <n v="3.1833333333333353"/>
    <n v="3.1833333333333353"/>
    <s v="LC taken for DP-yard yearly maintenance"/>
    <s v="Close"/>
    <n v="7.9583333333333395E-2"/>
    <s v="G31"/>
    <n v="181.52534625771628"/>
    <m/>
    <m/>
    <n v="1368.5680555555564"/>
    <n v="181.52534625771628"/>
    <m/>
    <m/>
    <m/>
    <m/>
  </r>
  <r>
    <n v="437"/>
    <x v="48"/>
    <x v="1"/>
    <x v="0"/>
    <x v="2"/>
    <x v="1"/>
    <x v="12"/>
    <s v="PWEGPL"/>
    <s v="MSEDCL"/>
    <n v="2.5000000000000001E-2"/>
    <s v="CE100007"/>
    <x v="295"/>
    <s v="Audit"/>
    <d v="1899-12-30T12:07:00"/>
    <d v="1899-12-30T12:07:00"/>
    <d v="1899-12-30T15:18:00"/>
    <n v="0"/>
    <n v="3.1833333333333353"/>
    <n v="3.1833333333333353"/>
    <s v="LC taken for DP-yard yearly maintenance"/>
    <s v="Close"/>
    <n v="7.9583333333333395E-2"/>
    <s v="G32"/>
    <n v="177.93635898919777"/>
    <m/>
    <m/>
    <n v="1341.5097222222232"/>
    <n v="177.93635898919777"/>
    <m/>
    <m/>
    <m/>
    <m/>
  </r>
  <r>
    <n v="438"/>
    <x v="48"/>
    <x v="1"/>
    <x v="0"/>
    <x v="2"/>
    <x v="1"/>
    <x v="9"/>
    <s v="PWEGPL"/>
    <s v="MSEDCL"/>
    <n v="2.5000000000000001E-2"/>
    <n v="2509"/>
    <x v="201"/>
    <s v="Audit"/>
    <d v="1899-12-30T17:21:00"/>
    <d v="1899-12-30T17:21:00"/>
    <d v="1899-12-30T19:50:00"/>
    <n v="0"/>
    <n v="2.4833333333333298"/>
    <n v="2.4833333333333298"/>
    <s v="SF6 Breaker Charged &amp; started"/>
    <s v="Close"/>
    <n v="6.2083333333333247E-2"/>
    <s v="G29"/>
    <n v="113.72445119598733"/>
    <m/>
    <m/>
    <n v="1099.0819444444428"/>
    <n v="113.72445119598733"/>
    <m/>
    <m/>
    <m/>
    <m/>
  </r>
  <r>
    <n v="439"/>
    <x v="48"/>
    <x v="1"/>
    <x v="0"/>
    <x v="2"/>
    <x v="1"/>
    <x v="16"/>
    <s v="PWEGPL"/>
    <s v="MSEDCL"/>
    <n v="2.5000000000000001E-2"/>
    <s v="CE100010"/>
    <x v="296"/>
    <s v="PM"/>
    <d v="1899-12-30T10:24:00"/>
    <d v="1899-12-30T10:24:00"/>
    <d v="1899-12-30T17:25:00"/>
    <n v="0"/>
    <n v="7.0166666666666684"/>
    <n v="7.0166666666666684"/>
    <s v="102 PM service"/>
    <s v="Close"/>
    <n v="0.17541666666666672"/>
    <s v="G37"/>
    <n v="904.66760416666716"/>
    <m/>
    <m/>
    <n v="3094.3500000000008"/>
    <n v="904.66760416666716"/>
    <m/>
    <m/>
    <m/>
    <m/>
  </r>
  <r>
    <n v="440"/>
    <x v="49"/>
    <x v="1"/>
    <x v="0"/>
    <x v="2"/>
    <x v="1"/>
    <x v="17"/>
    <s v="PWEGPL"/>
    <s v="MSEDCL"/>
    <n v="2.5000000000000001E-2"/>
    <n v="203"/>
    <x v="290"/>
    <s v="BD"/>
    <d v="1899-12-30T05:24:00"/>
    <d v="1899-12-30T06:45:00"/>
    <d v="1899-12-30T06:52:00"/>
    <n v="1.3499999999999999"/>
    <n v="0.11666666666666758"/>
    <n v="1.4666666666666675"/>
    <s v="Pressure sensor replaced"/>
    <s v="Close"/>
    <n v="3.6666666666666688E-2"/>
    <s v="G9"/>
    <n v="21.97419753086422"/>
    <m/>
    <m/>
    <n v="359.57777777777795"/>
    <n v="21.97419753086422"/>
    <m/>
    <m/>
    <m/>
    <m/>
  </r>
  <r>
    <n v="441"/>
    <x v="49"/>
    <x v="1"/>
    <x v="0"/>
    <x v="2"/>
    <x v="1"/>
    <x v="17"/>
    <s v="PWEGPL"/>
    <s v="MSEDCL"/>
    <n v="2.5000000000000001E-2"/>
    <n v="203"/>
    <x v="290"/>
    <s v="BD"/>
    <d v="1899-12-30T10:18:00"/>
    <d v="1899-12-30T12:25:00"/>
    <d v="1899-12-30T13:54:00"/>
    <n v="2.1166666666666645"/>
    <n v="1.4833333333333361"/>
    <n v="3.6000000000000005"/>
    <s v="F/B module replaced"/>
    <s v="Close"/>
    <n v="9.0000000000000024E-2"/>
    <s v="G9"/>
    <n v="132.39000000000004"/>
    <m/>
    <m/>
    <n v="882.60000000000014"/>
    <n v="132.39000000000004"/>
    <m/>
    <m/>
    <m/>
    <m/>
  </r>
  <r>
    <n v="442"/>
    <x v="49"/>
    <x v="1"/>
    <x v="0"/>
    <x v="2"/>
    <x v="1"/>
    <x v="17"/>
    <s v="PWEGPL"/>
    <s v="MSEDCL"/>
    <n v="2.5000000000000001E-2"/>
    <n v="203"/>
    <x v="290"/>
    <s v="BD"/>
    <d v="1899-12-30T17:05:00"/>
    <d v="1899-12-30T18:44:00"/>
    <d v="1899-12-30T18:51:00"/>
    <n v="1.6500000000000021"/>
    <n v="0.11666666666666892"/>
    <n v="1.766666666666671"/>
    <s v="Troubleshooting done &amp; Reset "/>
    <s v="Close"/>
    <n v="4.4166666666666778E-2"/>
    <s v="G9"/>
    <n v="31.883016975308799"/>
    <m/>
    <m/>
    <n v="433.12777777777882"/>
    <n v="31.883016975308799"/>
    <m/>
    <m/>
    <m/>
    <m/>
  </r>
  <r>
    <n v="443"/>
    <x v="49"/>
    <x v="1"/>
    <x v="0"/>
    <x v="2"/>
    <x v="1"/>
    <x v="35"/>
    <s v="PWEGPL"/>
    <s v="MSEDCL"/>
    <n v="2.5000000000000001E-2"/>
    <n v="907"/>
    <x v="292"/>
    <s v="BD"/>
    <d v="1899-12-30T11:11:00"/>
    <d v="1899-12-30T13:40:00"/>
    <d v="1899-12-30T14:27:00"/>
    <n v="2.4833333333333325"/>
    <n v="0.78333333333333321"/>
    <n v="3.2666666666666657"/>
    <s v="Reset"/>
    <s v="Close"/>
    <n v="8.1666666666666651E-2"/>
    <s v="G25"/>
    <n v="140.35475308641966"/>
    <m/>
    <m/>
    <n v="1031.1777777777775"/>
    <n v="140.35475308641966"/>
    <m/>
    <m/>
    <m/>
    <m/>
  </r>
  <r>
    <n v="444"/>
    <x v="49"/>
    <x v="1"/>
    <x v="0"/>
    <x v="2"/>
    <x v="1"/>
    <x v="35"/>
    <s v="PWEGPL"/>
    <s v="MSEDCL"/>
    <n v="2.5000000000000001E-2"/>
    <n v="907"/>
    <x v="292"/>
    <s v="BD"/>
    <d v="1899-12-30T15:43:00"/>
    <d v="1899-12-30T17:08:00"/>
    <d v="1899-12-30T18:51:00"/>
    <n v="1.416666666666667"/>
    <n v="1.7166666666666686"/>
    <n v="3.1333333333333355"/>
    <s v="Yawing contactor replaced"/>
    <s v="Close"/>
    <n v="7.8333333333333394E-2"/>
    <s v="G25"/>
    <n v="129.13104938271624"/>
    <m/>
    <m/>
    <n v="989.08888888888964"/>
    <n v="129.13104938271624"/>
    <m/>
    <m/>
    <m/>
    <m/>
  </r>
  <r>
    <n v="445"/>
    <x v="49"/>
    <x v="1"/>
    <x v="0"/>
    <x v="2"/>
    <x v="1"/>
    <x v="15"/>
    <s v="PWEGPL"/>
    <s v="MSEDCL"/>
    <n v="2.5000000000000001E-2"/>
    <s v="CE100010"/>
    <x v="296"/>
    <s v="PM"/>
    <d v="1899-12-30T10:30:00"/>
    <d v="1899-12-30T10:30:00"/>
    <d v="1899-12-30T18:02:00"/>
    <n v="0"/>
    <n v="7.5333333333333359"/>
    <n v="7.5333333333333359"/>
    <s v="102 PM service"/>
    <s v="Close"/>
    <n v="0.18833333333333341"/>
    <s v="G36"/>
    <n v="769.29283950617344"/>
    <m/>
    <m/>
    <n v="2450.8444444444453"/>
    <n v="769.29283950617344"/>
    <m/>
    <m/>
    <m/>
    <m/>
  </r>
  <r>
    <n v="446"/>
    <x v="49"/>
    <x v="1"/>
    <x v="0"/>
    <x v="2"/>
    <x v="1"/>
    <x v="4"/>
    <s v="PWEGPL"/>
    <s v="MSEDCL"/>
    <n v="2.5000000000000001E-2"/>
    <n v="550"/>
    <x v="297"/>
    <s v="BD"/>
    <d v="1899-12-30T20:51:00"/>
    <d v="1899-12-30T21:59:00"/>
    <d v="1899-12-30T22:18:00"/>
    <n v="1.1333333333333346"/>
    <n v="0.31666666666666554"/>
    <n v="1.4500000000000002"/>
    <s v="MCB charged"/>
    <s v="Close"/>
    <n v="3.6250000000000004E-2"/>
    <s v="G38"/>
    <n v="24.85768229166667"/>
    <m/>
    <m/>
    <n v="411.43750000000006"/>
    <n v="24.85768229166667"/>
    <m/>
    <m/>
    <m/>
    <m/>
  </r>
  <r>
    <n v="447"/>
    <x v="49"/>
    <x v="1"/>
    <x v="0"/>
    <x v="2"/>
    <x v="1"/>
    <x v="7"/>
    <s v="PWEGPL"/>
    <s v="MSEDCL"/>
    <n v="2.5000000000000001E-2"/>
    <n v="800"/>
    <x v="298"/>
    <s v="BD"/>
    <d v="1899-12-30T12:01:00"/>
    <d v="1899-12-30T13:40:00"/>
    <d v="1899-12-30T18:14:00"/>
    <n v="1.6499999999999995"/>
    <n v="4.5666666666666691"/>
    <n v="6.2166666666666686"/>
    <s v="Pitching relay &amp; F/B module replaced"/>
    <s v="Close"/>
    <n v="0.15541666666666673"/>
    <s v="G39"/>
    <n v="494.49302179783973"/>
    <m/>
    <m/>
    <n v="1909.0347222222226"/>
    <n v="494.49302179783973"/>
    <m/>
    <m/>
    <m/>
    <m/>
  </r>
  <r>
    <n v="448"/>
    <x v="50"/>
    <x v="1"/>
    <x v="0"/>
    <x v="2"/>
    <x v="1"/>
    <x v="17"/>
    <s v="PWEGPL"/>
    <s v="MSEDCL"/>
    <n v="2.5000000000000001E-2"/>
    <n v="203"/>
    <x v="290"/>
    <s v="BD"/>
    <d v="1899-12-30T00:22:00"/>
    <d v="1899-12-30T00:47:00"/>
    <d v="1899-12-30T00:49:00"/>
    <n v="0.41666666666666669"/>
    <n v="3.3333333333333215E-2"/>
    <n v="0.4499999999999999"/>
    <s v="Reset "/>
    <s v="Close"/>
    <n v="1.1249999999999998E-2"/>
    <s v="G9"/>
    <n v="1.3338281249999995"/>
    <m/>
    <m/>
    <n v="71.137499999999989"/>
    <n v="1.3338281249999995"/>
    <m/>
    <m/>
    <m/>
    <m/>
  </r>
  <r>
    <n v="449"/>
    <x v="50"/>
    <x v="1"/>
    <x v="0"/>
    <x v="2"/>
    <x v="1"/>
    <x v="17"/>
    <s v="PWEGPL"/>
    <s v="MSEDCL"/>
    <n v="2.5000000000000001E-2"/>
    <n v="203"/>
    <x v="290"/>
    <s v="BD"/>
    <d v="1899-12-30T03:27:00"/>
    <d v="1899-12-30T03:27:00"/>
    <d v="1899-12-30T05:38:00"/>
    <n v="0"/>
    <n v="2.1833333333333322"/>
    <n v="2.1833333333333322"/>
    <s v="Reset"/>
    <s v="Close"/>
    <n v="5.458333333333331E-2"/>
    <s v="G9"/>
    <n v="31.398936149691327"/>
    <m/>
    <m/>
    <n v="345.14861111111094"/>
    <n v="31.398936149691327"/>
    <m/>
    <m/>
    <m/>
    <m/>
  </r>
  <r>
    <n v="450"/>
    <x v="50"/>
    <x v="1"/>
    <x v="0"/>
    <x v="2"/>
    <x v="1"/>
    <x v="17"/>
    <s v="PWEGPL"/>
    <s v="MSEDCL"/>
    <n v="2.5000000000000001E-2"/>
    <n v="203"/>
    <x v="290"/>
    <s v="BD"/>
    <d v="1899-12-30T09:10:00"/>
    <d v="1899-12-30T10:35:00"/>
    <d v="1899-12-30T14:05:00"/>
    <n v="1.4166666666666683"/>
    <n v="3.4999999999999996"/>
    <n v="4.9166666666666679"/>
    <s v=" Loose connection tightened"/>
    <s v="Close"/>
    <n v="0.1229166666666667"/>
    <s v="G9"/>
    <n v="159.22687596450626"/>
    <m/>
    <m/>
    <n v="777.24305555555577"/>
    <n v="159.22687596450626"/>
    <m/>
    <m/>
    <m/>
    <m/>
  </r>
  <r>
    <n v="451"/>
    <x v="50"/>
    <x v="1"/>
    <x v="0"/>
    <x v="2"/>
    <x v="1"/>
    <x v="1"/>
    <s v="PWEGPL"/>
    <s v="MSEDCL"/>
    <n v="2.5000000000000001E-2"/>
    <n v="5201"/>
    <x v="299"/>
    <s v="BD"/>
    <d v="1899-12-30T09:27:00"/>
    <d v="1899-12-30T11:57:00"/>
    <d v="1899-12-30T12:31:00"/>
    <n v="2.4999999999999991"/>
    <n v="0.56666666666666865"/>
    <n v="3.0666666666666678"/>
    <s v="Reset"/>
    <s v="Close"/>
    <n v="7.6666666666666702E-2"/>
    <s v="G24"/>
    <n v="63.675925925925974"/>
    <m/>
    <m/>
    <n v="498.33333333333348"/>
    <n v="63.675925925925974"/>
    <m/>
    <m/>
    <m/>
    <m/>
  </r>
  <r>
    <n v="452"/>
    <x v="50"/>
    <x v="1"/>
    <x v="0"/>
    <x v="2"/>
    <x v="1"/>
    <x v="3"/>
    <s v="PWEGPL"/>
    <s v="MSEDCL"/>
    <n v="2.5000000000000001E-2"/>
    <n v="402"/>
    <x v="300"/>
    <s v="BD"/>
    <d v="1899-12-30T14:42:00"/>
    <d v="1899-12-30T14:42:00"/>
    <d v="1899-12-30T15:20:00"/>
    <n v="0"/>
    <n v="0.63333333333333641"/>
    <n v="0.63333333333333641"/>
    <s v="Oil leakage arrested"/>
    <s v="Close"/>
    <n v="1.5833333333333411E-2"/>
    <s v="G26"/>
    <n v="2.1601504629629837"/>
    <m/>
    <m/>
    <n v="81.858333333333732"/>
    <n v="2.1601504629629837"/>
    <m/>
    <m/>
    <m/>
    <m/>
  </r>
  <r>
    <n v="453"/>
    <x v="50"/>
    <x v="1"/>
    <x v="0"/>
    <x v="2"/>
    <x v="1"/>
    <x v="4"/>
    <s v="PWEGPL"/>
    <s v="MSEDCL"/>
    <n v="2.5000000000000001E-2"/>
    <s v="CE100010"/>
    <x v="296"/>
    <s v="PM"/>
    <d v="1899-12-30T10:48:00"/>
    <d v="1899-12-30T10:48:00"/>
    <d v="1899-12-30T17:42:00"/>
    <n v="0"/>
    <n v="6.8999999999999986"/>
    <n v="6.8999999999999986"/>
    <s v="102 PM service"/>
    <s v="Close"/>
    <n v="0.17249999999999999"/>
    <s v="G38"/>
    <n v="223.33718749999991"/>
    <m/>
    <m/>
    <n v="776.82499999999982"/>
    <n v="223.33718749999991"/>
    <m/>
    <m/>
    <m/>
    <m/>
  </r>
  <r>
    <n v="454"/>
    <x v="50"/>
    <x v="1"/>
    <x v="0"/>
    <x v="2"/>
    <x v="1"/>
    <x v="7"/>
    <s v="PWEGPL"/>
    <s v="MSEDCL"/>
    <n v="2.5000000000000001E-2"/>
    <n v="5203"/>
    <x v="294"/>
    <s v="BD"/>
    <d v="1899-12-30T05:59:00"/>
    <d v="1899-12-30T09:23:00"/>
    <d v="1899-12-30T14:33:00"/>
    <n v="3.4"/>
    <n v="5.1666666666666679"/>
    <n v="8.5666666666666682"/>
    <s v="MPCB charged"/>
    <s v="Close"/>
    <n v="0.21416666666666673"/>
    <s v="G39"/>
    <n v="367.1937075617285"/>
    <m/>
    <m/>
    <n v="1028.713888888889"/>
    <n v="367.1937075617285"/>
    <m/>
    <m/>
    <m/>
    <m/>
  </r>
  <r>
    <n v="455"/>
    <x v="51"/>
    <x v="1"/>
    <x v="0"/>
    <x v="2"/>
    <x v="1"/>
    <x v="17"/>
    <s v="PWEGPL"/>
    <s v="MSEDCL"/>
    <n v="2.5000000000000001E-2"/>
    <n v="509"/>
    <x v="301"/>
    <s v="BD"/>
    <d v="1899-12-30T20:32:00"/>
    <d v="1899-12-30T22:01:00"/>
    <d v="1899-12-30T23:59:00"/>
    <n v="1.4833333333333307"/>
    <n v="1.9666666666666677"/>
    <n v="3.4499999999999984"/>
    <s v="Filter cleaned"/>
    <s v="Close"/>
    <n v="8.6249999999999966E-2"/>
    <s v="G9"/>
    <n v="100.01406249999989"/>
    <m/>
    <m/>
    <n v="695.74999999999966"/>
    <n v="100.01406249999989"/>
    <m/>
    <m/>
    <m/>
    <m/>
  </r>
  <r>
    <n v="456"/>
    <x v="51"/>
    <x v="1"/>
    <x v="0"/>
    <x v="2"/>
    <x v="1"/>
    <x v="38"/>
    <s v="PWEGPL"/>
    <s v="MSEDCL"/>
    <n v="2.5000000000000001E-2"/>
    <n v="500"/>
    <x v="302"/>
    <s v="BD"/>
    <d v="1899-12-30T17:00:00"/>
    <d v="1899-12-30T18:05:00"/>
    <d v="1899-12-30T18:36:00"/>
    <n v="1.0833333333333321"/>
    <n v="0.5166666666666675"/>
    <n v="1.5999999999999996"/>
    <s v="Reset"/>
    <s v="Close"/>
    <n v="3.9999999999999994E-2"/>
    <s v="G19"/>
    <n v="23.955555555555545"/>
    <m/>
    <m/>
    <n v="359.33333333333326"/>
    <n v="23.955555555555545"/>
    <m/>
    <m/>
    <m/>
    <m/>
  </r>
  <r>
    <n v="457"/>
    <x v="51"/>
    <x v="1"/>
    <x v="0"/>
    <x v="2"/>
    <x v="1"/>
    <x v="38"/>
    <s v="PWEGPL"/>
    <s v="MSEDCL"/>
    <n v="2.5000000000000001E-2"/>
    <n v="500"/>
    <x v="302"/>
    <s v="BD"/>
    <d v="1899-12-30T19:41:00"/>
    <d v="1899-12-30T20:07:00"/>
    <d v="1899-12-30T23:59:00"/>
    <n v="0.43333333333333446"/>
    <n v="3.8666666666666663"/>
    <n v="4.3000000000000007"/>
    <s v="Cooling motor replaced"/>
    <s v="Close"/>
    <n v="0.10750000000000003"/>
    <s v="G19"/>
    <n v="173.02274305555562"/>
    <m/>
    <m/>
    <n v="965.70833333333348"/>
    <n v="173.02274305555562"/>
    <m/>
    <m/>
    <m/>
    <m/>
  </r>
  <r>
    <n v="458"/>
    <x v="51"/>
    <x v="1"/>
    <x v="0"/>
    <x v="2"/>
    <x v="1"/>
    <x v="13"/>
    <s v="PWEGPL"/>
    <s v="MSEDCL"/>
    <n v="2.5000000000000001E-2"/>
    <n v="100"/>
    <x v="303"/>
    <s v="BD"/>
    <d v="1899-12-30T11:00:00"/>
    <d v="1899-12-30T12:11:00"/>
    <d v="1899-12-30T12:45:00"/>
    <n v="1.1833333333333331"/>
    <n v="0.56666666666666732"/>
    <n v="1.7500000000000004"/>
    <s v="Cable twist removed &amp; started"/>
    <s v="Close"/>
    <n v="4.3750000000000011E-2"/>
    <s v="G34"/>
    <n v="25.169921875000014"/>
    <m/>
    <m/>
    <n v="345.18750000000011"/>
    <n v="25.169921875000014"/>
    <m/>
    <m/>
    <m/>
    <m/>
  </r>
  <r>
    <n v="459"/>
    <x v="51"/>
    <x v="1"/>
    <x v="0"/>
    <x v="2"/>
    <x v="1"/>
    <x v="5"/>
    <s v="PWEGPL"/>
    <s v="MSEDCL"/>
    <n v="2.5000000000000001E-2"/>
    <s v="CE100010"/>
    <x v="296"/>
    <s v="PM"/>
    <d v="1899-12-30T10:31:00"/>
    <d v="1899-12-30T10:31:00"/>
    <d v="1899-12-30T18:09:00"/>
    <n v="0"/>
    <n v="7.6333333333333311"/>
    <n v="7.6333333333333311"/>
    <s v="102 PM service"/>
    <s v="Close"/>
    <n v="0.1908333333333333"/>
    <s v="G39"/>
    <n v="472.61641975308612"/>
    <m/>
    <m/>
    <n v="1485.9555555555551"/>
    <n v="472.61641975308612"/>
    <m/>
    <m/>
    <m/>
    <m/>
  </r>
  <r>
    <n v="460"/>
    <x v="52"/>
    <x v="1"/>
    <x v="0"/>
    <x v="2"/>
    <x v="1"/>
    <x v="17"/>
    <s v="PWEGPL"/>
    <s v="MSEDCL"/>
    <n v="2.5000000000000001E-2"/>
    <n v="509"/>
    <x v="301"/>
    <s v="BD"/>
    <d v="1899-12-30T00:00:00"/>
    <d v="1899-12-30T02:41:00"/>
    <d v="1899-12-30T03:43:00"/>
    <n v="2.6833333333333336"/>
    <n v="1.0333333333333332"/>
    <n v="3.7166666666666668"/>
    <s v="Fan capacitor replaced"/>
    <s v="Close"/>
    <n v="9.2916666666666675E-2"/>
    <s v="G9"/>
    <n v="224.18339699074073"/>
    <m/>
    <m/>
    <n v="1447.6416666666667"/>
    <n v="224.18339699074073"/>
    <m/>
    <m/>
    <m/>
    <m/>
  </r>
  <r>
    <n v="461"/>
    <x v="52"/>
    <x v="1"/>
    <x v="0"/>
    <x v="2"/>
    <x v="1"/>
    <x v="17"/>
    <s v="PWEGPL"/>
    <s v="MSEDCL"/>
    <n v="2.5000000000000001E-2"/>
    <n v="509"/>
    <x v="301"/>
    <s v="BD"/>
    <d v="1899-12-30T12:00:00"/>
    <d v="1899-12-30T12:01:00"/>
    <d v="1899-12-30T15:25:00"/>
    <n v="1.6666666666666607E-2"/>
    <n v="3.3999999999999986"/>
    <n v="3.4166666666666652"/>
    <s v="Reset"/>
    <s v="Close"/>
    <n v="8.5416666666666641E-2"/>
    <s v="G9"/>
    <n v="189.45298032407391"/>
    <m/>
    <m/>
    <n v="1330.7916666666661"/>
    <n v="189.45298032407391"/>
    <m/>
    <m/>
    <m/>
    <m/>
  </r>
  <r>
    <n v="462"/>
    <x v="52"/>
    <x v="1"/>
    <x v="0"/>
    <x v="2"/>
    <x v="1"/>
    <x v="38"/>
    <s v="PWEGPL"/>
    <s v="MSEDCL"/>
    <n v="2.5000000000000001E-2"/>
    <n v="500"/>
    <x v="302"/>
    <s v="BD"/>
    <d v="1899-12-30T00:00:00"/>
    <d v="1899-12-30T00:00:00"/>
    <d v="1899-12-30T01:50:00"/>
    <n v="0"/>
    <n v="1.8333333333333335"/>
    <n v="1.8333333333333335"/>
    <s v="Cooling motor replaced"/>
    <s v="Close"/>
    <n v="4.5833333333333337E-2"/>
    <s v="G19"/>
    <n v="52.937500000000007"/>
    <m/>
    <m/>
    <n v="693"/>
    <n v="52.937500000000007"/>
    <m/>
    <m/>
    <m/>
    <m/>
  </r>
  <r>
    <n v="463"/>
    <x v="52"/>
    <x v="1"/>
    <x v="0"/>
    <x v="2"/>
    <x v="1"/>
    <x v="19"/>
    <s v="PWEGPL"/>
    <s v="MSEDCL"/>
    <n v="2.5000000000000001E-2"/>
    <n v="552"/>
    <x v="304"/>
    <s v="BD"/>
    <d v="1899-12-30T00:00:00"/>
    <d v="1899-12-30T02:19:00"/>
    <d v="1899-12-30T02:23:00"/>
    <n v="2.3166666666666664"/>
    <n v="6.6666666666666763E-2"/>
    <n v="2.3833333333333333"/>
    <s v="Reset"/>
    <s v="Close"/>
    <n v="5.9583333333333335E-2"/>
    <s v="G19"/>
    <n v="89.464375000000004"/>
    <m/>
    <m/>
    <n v="900.9"/>
    <n v="89.464375000000004"/>
    <m/>
    <m/>
    <m/>
    <m/>
  </r>
  <r>
    <n v="464"/>
    <x v="52"/>
    <x v="1"/>
    <x v="0"/>
    <x v="2"/>
    <x v="1"/>
    <x v="33"/>
    <s v="PWEGPL"/>
    <s v="MSEDCL"/>
    <n v="2.5000000000000001E-2"/>
    <s v="CE100014"/>
    <x v="305"/>
    <s v="PM/Lift inspention"/>
    <d v="1899-12-30T10:58:00"/>
    <d v="1899-12-30T10:58:00"/>
    <d v="1899-12-30T14:13:00"/>
    <n v="0"/>
    <n v="3.2500000000000004"/>
    <n v="3.2500000000000004"/>
    <s v="Avanti lift inspection"/>
    <s v="Close"/>
    <n v="8.1250000000000017E-2"/>
    <s v="G22"/>
    <n v="134.15842013888891"/>
    <m/>
    <m/>
    <n v="990.70833333333337"/>
    <n v="134.15842013888891"/>
    <m/>
    <m/>
    <m/>
    <m/>
  </r>
  <r>
    <n v="465"/>
    <x v="52"/>
    <x v="1"/>
    <x v="0"/>
    <x v="2"/>
    <x v="1"/>
    <x v="34"/>
    <s v="PWEGPL"/>
    <s v="MSEDCL"/>
    <n v="2.5000000000000001E-2"/>
    <s v="CE100014"/>
    <x v="305"/>
    <s v="PM/Lift inspention"/>
    <d v="1899-12-30T14:18:00"/>
    <d v="1899-12-30T14:18:00"/>
    <d v="1899-12-30T16:38:00"/>
    <n v="0"/>
    <n v="2.333333333333333"/>
    <n v="2.333333333333333"/>
    <s v="Avanti lift inspection"/>
    <s v="Close"/>
    <n v="5.8333333333333327E-2"/>
    <s v="G23"/>
    <n v="68.981867283950592"/>
    <m/>
    <m/>
    <n v="709.5277777777776"/>
    <n v="68.981867283950592"/>
    <m/>
    <m/>
    <m/>
    <m/>
  </r>
  <r>
    <n v="466"/>
    <x v="52"/>
    <x v="1"/>
    <x v="0"/>
    <x v="2"/>
    <x v="1"/>
    <x v="6"/>
    <s v="PWEGPL"/>
    <s v="MSEDCL"/>
    <n v="2.5000000000000001E-2"/>
    <s v="CE100010"/>
    <x v="296"/>
    <s v="PM"/>
    <d v="1899-12-30T10:17:00"/>
    <d v="1899-12-30T10:17:00"/>
    <d v="1899-12-30T17:58:00"/>
    <n v="0"/>
    <n v="7.6833333333333318"/>
    <n v="7.6833333333333318"/>
    <s v="102 PM service"/>
    <s v="Close"/>
    <n v="0.1920833333333333"/>
    <s v="G40"/>
    <n v="693.84990837191333"/>
    <m/>
    <m/>
    <n v="2167.3402777777774"/>
    <n v="693.84990837191333"/>
    <m/>
    <m/>
    <m/>
    <m/>
  </r>
  <r>
    <n v="467"/>
    <x v="53"/>
    <x v="1"/>
    <x v="0"/>
    <x v="2"/>
    <x v="1"/>
    <x v="20"/>
    <s v="PWEGPL"/>
    <s v="MSEDCL"/>
    <n v="2.5000000000000001E-2"/>
    <n v="5216"/>
    <x v="306"/>
    <s v="BD"/>
    <d v="1899-12-30T06:42:00"/>
    <d v="1899-12-30T06:42:00"/>
    <d v="1899-12-30T09:26:00"/>
    <n v="0"/>
    <n v="2.7333333333333329"/>
    <n v="2.7333333333333329"/>
    <s v=" One Pin &amp; two LA replaced"/>
    <s v="Close"/>
    <n v="6.8333333333333329E-2"/>
    <s v="G2"/>
    <n v="161.86110339506169"/>
    <m/>
    <m/>
    <n v="1421.2194444444444"/>
    <n v="161.86110339506169"/>
    <m/>
    <m/>
    <m/>
    <m/>
  </r>
  <r>
    <n v="468"/>
    <x v="53"/>
    <x v="1"/>
    <x v="0"/>
    <x v="2"/>
    <x v="1"/>
    <x v="21"/>
    <s v="PWEGPL"/>
    <s v="MSEDCL"/>
    <n v="2.5000000000000001E-2"/>
    <n v="5216"/>
    <x v="306"/>
    <s v="BD"/>
    <d v="1899-12-30T06:42:00"/>
    <d v="1899-12-30T06:42:00"/>
    <d v="1899-12-30T09:26:00"/>
    <n v="0"/>
    <n v="2.7333333333333329"/>
    <n v="2.7333333333333329"/>
    <s v=" One Pin &amp; two LA replaced"/>
    <s v="Close"/>
    <n v="6.8333333333333329E-2"/>
    <s v="G3"/>
    <n v="169.50083333333328"/>
    <m/>
    <m/>
    <n v="1488.2999999999997"/>
    <n v="169.50083333333328"/>
    <m/>
    <m/>
    <m/>
    <m/>
  </r>
  <r>
    <n v="469"/>
    <x v="53"/>
    <x v="1"/>
    <x v="0"/>
    <x v="2"/>
    <x v="1"/>
    <x v="22"/>
    <s v="PWEGPL"/>
    <s v="MSEDCL"/>
    <n v="2.5000000000000001E-2"/>
    <n v="5216"/>
    <x v="306"/>
    <s v="BD"/>
    <d v="1899-12-30T06:42:00"/>
    <d v="1899-12-30T06:42:00"/>
    <d v="1899-12-30T09:26:00"/>
    <n v="0"/>
    <n v="2.7333333333333329"/>
    <n v="2.7333333333333329"/>
    <s v=" One Pin &amp; two LA replaced"/>
    <s v="Close"/>
    <n v="6.8333333333333329E-2"/>
    <s v="G4"/>
    <n v="15.045987654320983"/>
    <m/>
    <m/>
    <n v="132.11111111111109"/>
    <n v="15.045987654320983"/>
    <m/>
    <m/>
    <m/>
    <m/>
  </r>
  <r>
    <n v="470"/>
    <x v="53"/>
    <x v="1"/>
    <x v="0"/>
    <x v="2"/>
    <x v="1"/>
    <x v="23"/>
    <s v="PWEGPL"/>
    <s v="MSEDCL"/>
    <n v="2.5000000000000001E-2"/>
    <n v="5216"/>
    <x v="306"/>
    <s v="BD"/>
    <d v="1899-12-30T06:42:00"/>
    <d v="1899-12-30T06:42:00"/>
    <d v="1899-12-30T09:26:00"/>
    <n v="0"/>
    <n v="2.7333333333333329"/>
    <n v="2.7333333333333329"/>
    <s v=" One Pin &amp; two LA replaced"/>
    <s v="Close"/>
    <n v="6.8333333333333329E-2"/>
    <s v="G5"/>
    <n v="206.58400462962959"/>
    <m/>
    <m/>
    <n v="1813.9083333333331"/>
    <n v="206.58400462962959"/>
    <m/>
    <m/>
    <m/>
    <m/>
  </r>
  <r>
    <n v="471"/>
    <x v="53"/>
    <x v="1"/>
    <x v="0"/>
    <x v="2"/>
    <x v="1"/>
    <x v="24"/>
    <s v="PWEGPL"/>
    <s v="MSEDCL"/>
    <n v="2.5000000000000001E-2"/>
    <s v="CE100014"/>
    <x v="305"/>
    <s v="BD"/>
    <d v="1899-12-30T13:13:00"/>
    <d v="1899-12-30T13:13:00"/>
    <d v="1899-12-30T15:51:00"/>
    <n v="0"/>
    <n v="2.633333333333332"/>
    <n v="2.633333333333332"/>
    <s v="Avanti lift inspection"/>
    <s v="Close"/>
    <n v="6.5833333333333299E-2"/>
    <s v="G6"/>
    <n v="168.97892746913564"/>
    <m/>
    <m/>
    <n v="1540.0611111111104"/>
    <n v="168.97892746913564"/>
    <m/>
    <m/>
    <m/>
    <m/>
  </r>
  <r>
    <n v="472"/>
    <x v="53"/>
    <x v="1"/>
    <x v="0"/>
    <x v="2"/>
    <x v="1"/>
    <x v="25"/>
    <s v="PWEGPL"/>
    <s v="MSEDCL"/>
    <n v="2.5000000000000001E-2"/>
    <n v="5216"/>
    <x v="306"/>
    <s v="BD"/>
    <d v="1899-12-30T06:42:00"/>
    <d v="1899-12-30T06:42:00"/>
    <d v="1899-12-30T08:43:00"/>
    <n v="0"/>
    <n v="2.0166666666666662"/>
    <n v="2.0166666666666662"/>
    <s v=" One Pin &amp; two LA replaced"/>
    <s v="Close"/>
    <n v="5.0416666666666658E-2"/>
    <s v="G7"/>
    <n v="87.227485532407357"/>
    <m/>
    <m/>
    <n v="1038.0791666666664"/>
    <n v="87.227485532407357"/>
    <m/>
    <m/>
    <m/>
    <m/>
  </r>
  <r>
    <n v="473"/>
    <x v="53"/>
    <x v="1"/>
    <x v="0"/>
    <x v="2"/>
    <x v="1"/>
    <x v="26"/>
    <s v="PWEGPL"/>
    <s v="MSEDCL"/>
    <n v="2.5000000000000001E-2"/>
    <n v="5216"/>
    <x v="306"/>
    <s v="BD"/>
    <d v="1899-12-30T06:42:00"/>
    <d v="1899-12-30T06:42:00"/>
    <d v="1899-12-30T09:26:00"/>
    <n v="0"/>
    <n v="2.7333333333333329"/>
    <n v="2.7333333333333329"/>
    <s v=" One Pin &amp; two LA replaced"/>
    <s v="Close"/>
    <n v="6.8333333333333329E-2"/>
    <s v="G8"/>
    <n v="136.0624228395061"/>
    <m/>
    <m/>
    <n v="1194.6944444444441"/>
    <n v="136.0624228395061"/>
    <m/>
    <m/>
    <m/>
    <m/>
  </r>
  <r>
    <n v="474"/>
    <x v="53"/>
    <x v="1"/>
    <x v="0"/>
    <x v="2"/>
    <x v="1"/>
    <x v="17"/>
    <s v="PWEGPL"/>
    <s v="MSEDCL"/>
    <n v="2.5000000000000001E-2"/>
    <n v="5216"/>
    <x v="306"/>
    <s v="BD"/>
    <d v="1899-12-30T06:42:00"/>
    <d v="1899-12-30T06:42:00"/>
    <d v="1899-12-30T09:26:00"/>
    <n v="0"/>
    <n v="2.7333333333333329"/>
    <n v="2.7333333333333329"/>
    <s v=" One Pin &amp; two LA replaced"/>
    <s v="Close"/>
    <n v="6.8333333333333329E-2"/>
    <s v="G9"/>
    <n v="237.4931327160493"/>
    <m/>
    <m/>
    <n v="2085.3055555555552"/>
    <n v="237.4931327160493"/>
    <m/>
    <m/>
    <m/>
    <m/>
  </r>
  <r>
    <n v="475"/>
    <x v="53"/>
    <x v="1"/>
    <x v="0"/>
    <x v="2"/>
    <x v="1"/>
    <x v="28"/>
    <s v="PWEGPL"/>
    <s v="MSEDCL"/>
    <n v="2.5000000000000001E-2"/>
    <n v="5216"/>
    <x v="306"/>
    <s v="BD"/>
    <d v="1899-12-30T06:42:00"/>
    <d v="1899-12-30T06:42:00"/>
    <d v="1899-12-30T09:26:00"/>
    <n v="0"/>
    <n v="2.7333333333333329"/>
    <n v="2.7333333333333329"/>
    <s v=" One Pin &amp; two LA replaced"/>
    <s v="Close"/>
    <n v="6.8333333333333329E-2"/>
    <s v="G11"/>
    <n v="105.16626543209874"/>
    <m/>
    <m/>
    <n v="923.41111111111093"/>
    <n v="105.16626543209874"/>
    <m/>
    <m/>
    <m/>
    <m/>
  </r>
  <r>
    <n v="476"/>
    <x v="53"/>
    <x v="1"/>
    <x v="0"/>
    <x v="2"/>
    <x v="1"/>
    <x v="29"/>
    <s v="PWEGPL"/>
    <s v="MSEDCL"/>
    <n v="2.5000000000000001E-2"/>
    <n v="5216"/>
    <x v="306"/>
    <s v="BD"/>
    <d v="1899-12-30T06:42:00"/>
    <d v="1899-12-30T06:42:00"/>
    <d v="1899-12-30T09:26:00"/>
    <n v="0"/>
    <n v="2.7333333333333329"/>
    <n v="2.7333333333333329"/>
    <s v=" One Pin &amp; two LA replaced"/>
    <s v="Close"/>
    <n v="6.8333333333333329E-2"/>
    <s v="G12"/>
    <n v="225.84546296296293"/>
    <m/>
    <m/>
    <n v="1983.0333333333331"/>
    <n v="225.84546296296293"/>
    <m/>
    <m/>
    <m/>
    <m/>
  </r>
  <r>
    <n v="477"/>
    <x v="53"/>
    <x v="1"/>
    <x v="0"/>
    <x v="2"/>
    <x v="1"/>
    <x v="37"/>
    <s v="PWEGPL"/>
    <s v="MSEDCL"/>
    <n v="2.5000000000000001E-2"/>
    <n v="2118"/>
    <x v="293"/>
    <s v="BD"/>
    <d v="1899-12-30T08:06:00"/>
    <d v="1899-12-30T08:34:00"/>
    <d v="1899-12-30T08:40:00"/>
    <n v="0.46666666666666767"/>
    <n v="9.9999999999999645E-2"/>
    <n v="0.56666666666666732"/>
    <s v="Reset"/>
    <s v="Close"/>
    <n v="1.4166666666666683E-2"/>
    <s v="G17"/>
    <n v="10.581057098765458"/>
    <m/>
    <m/>
    <n v="448.13888888888943"/>
    <n v="10.581057098765458"/>
    <m/>
    <m/>
    <m/>
    <m/>
  </r>
  <r>
    <n v="478"/>
    <x v="53"/>
    <x v="1"/>
    <x v="0"/>
    <x v="2"/>
    <x v="1"/>
    <x v="1"/>
    <s v="PWEGPL"/>
    <s v="MSEDCL"/>
    <n v="2.5000000000000001E-2"/>
    <s v="CE100014"/>
    <x v="305"/>
    <s v="PM/Lift inspention"/>
    <d v="1899-12-30T10:25:00"/>
    <d v="1899-12-30T10:25:00"/>
    <d v="1899-12-30T13:00:00"/>
    <n v="0"/>
    <n v="2.5833333333333335"/>
    <n v="2.5833333333333335"/>
    <s v="Avanti lift inspection"/>
    <s v="Close"/>
    <n v="6.458333333333334E-2"/>
    <s v="G24"/>
    <n v="234.29472897376547"/>
    <m/>
    <m/>
    <n v="2176.6736111111113"/>
    <n v="234.29472897376547"/>
    <m/>
    <m/>
    <m/>
    <m/>
  </r>
  <r>
    <n v="479"/>
    <x v="53"/>
    <x v="1"/>
    <x v="0"/>
    <x v="2"/>
    <x v="1"/>
    <x v="8"/>
    <s v="PWEGPL"/>
    <s v="MSEDCL"/>
    <n v="2.5000000000000001E-2"/>
    <n v="110"/>
    <x v="287"/>
    <s v="BD"/>
    <d v="1899-12-30T01:25:00"/>
    <d v="1899-12-30T02:49:00"/>
    <d v="1899-12-30T03:16:00"/>
    <n v="1.3999999999999995"/>
    <n v="0.45000000000000007"/>
    <n v="1.8499999999999994"/>
    <s v="Cable twist removed &amp; started"/>
    <s v="Close"/>
    <n v="4.6249999999999986E-2"/>
    <s v="G28"/>
    <n v="109.69825520833326"/>
    <m/>
    <m/>
    <n v="1423.1124999999995"/>
    <n v="109.69825520833326"/>
    <m/>
    <m/>
    <m/>
    <m/>
  </r>
  <r>
    <n v="480"/>
    <x v="53"/>
    <x v="1"/>
    <x v="0"/>
    <x v="2"/>
    <x v="1"/>
    <x v="9"/>
    <s v="PWEGPL"/>
    <s v="MSEDCL"/>
    <n v="2.5000000000000001E-2"/>
    <n v="110"/>
    <x v="287"/>
    <s v="BD"/>
    <d v="1899-12-30T00:40:00"/>
    <d v="1899-12-30T01:20:00"/>
    <d v="1899-12-30T01:54:00"/>
    <n v="0.66666666666666663"/>
    <n v="0.56666666666666665"/>
    <n v="1.2333333333333334"/>
    <s v="Cable twist removed &amp; started"/>
    <s v="Close"/>
    <n v="3.0833333333333338E-2"/>
    <s v="G29"/>
    <n v="47.878028549382712"/>
    <m/>
    <m/>
    <n v="931.68055555555554"/>
    <n v="47.878028549382712"/>
    <m/>
    <m/>
    <m/>
    <m/>
  </r>
  <r>
    <n v="481"/>
    <x v="53"/>
    <x v="1"/>
    <x v="0"/>
    <x v="2"/>
    <x v="1"/>
    <x v="3"/>
    <s v="PWEGPL"/>
    <s v="MSEDCL"/>
    <n v="2.5000000000000001E-2"/>
    <n v="110"/>
    <x v="287"/>
    <s v="BD"/>
    <d v="1899-12-30T07:57:00"/>
    <d v="1899-12-30T10:40:00"/>
    <d v="1899-12-30T11:29:00"/>
    <n v="2.7166666666666663"/>
    <n v="0.81666666666666643"/>
    <n v="3.5333333333333328"/>
    <s v="Cable twist removed &amp; started"/>
    <s v="Close"/>
    <n v="8.8333333333333319E-2"/>
    <s v="G26"/>
    <n v="449.83013888888871"/>
    <m/>
    <m/>
    <n v="3055.4499999999994"/>
    <n v="449.83013888888871"/>
    <m/>
    <m/>
    <m/>
    <m/>
  </r>
  <r>
    <n v="482"/>
    <x v="53"/>
    <x v="1"/>
    <x v="0"/>
    <x v="2"/>
    <x v="1"/>
    <x v="7"/>
    <s v="PWEGPL"/>
    <s v="MSEDCL"/>
    <n v="2.5000000000000001E-2"/>
    <n v="2118"/>
    <x v="293"/>
    <s v="BD"/>
    <d v="1899-12-30T07:56:00"/>
    <d v="1899-12-30T10:46:00"/>
    <d v="1899-12-30T11:29:00"/>
    <n v="2.8333333333333339"/>
    <n v="0.71666666666666545"/>
    <n v="3.5499999999999994"/>
    <s v="Reset"/>
    <s v="Close"/>
    <n v="8.8749999999999996E-2"/>
    <s v="G39"/>
    <n v="411.15656249999984"/>
    <m/>
    <m/>
    <n v="2779.6499999999996"/>
    <n v="411.15656249999984"/>
    <m/>
    <m/>
    <m/>
    <m/>
  </r>
  <r>
    <n v="483"/>
    <x v="53"/>
    <x v="1"/>
    <x v="0"/>
    <x v="2"/>
    <x v="1"/>
    <x v="23"/>
    <s v="PWEGPL"/>
    <s v="MSEDCL"/>
    <n v="2.5000000000000001E-2"/>
    <n v="2509"/>
    <x v="201"/>
    <s v="BD"/>
    <d v="1899-12-30T09:26:00"/>
    <d v="1899-12-30T09:26:00"/>
    <d v="1899-12-30T23:59:00"/>
    <n v="0"/>
    <n v="14.549999999999999"/>
    <n v="14.549999999999999"/>
    <s v="SF6 breaker T-connector replaced"/>
    <s v="Close"/>
    <n v="0.36375000000000002"/>
    <s v="G5"/>
    <n v="5853.7946484374988"/>
    <m/>
    <m/>
    <n v="9655.7437499999996"/>
    <n v="5853.7946484374988"/>
    <m/>
    <m/>
    <m/>
    <m/>
  </r>
  <r>
    <n v="484"/>
    <x v="53"/>
    <x v="1"/>
    <x v="0"/>
    <x v="2"/>
    <x v="1"/>
    <x v="25"/>
    <s v="PWEGPL"/>
    <s v="MSEDCL"/>
    <n v="2.5000000000000001E-2"/>
    <n v="5216"/>
    <x v="306"/>
    <s v="BD"/>
    <d v="1899-12-30T07:41:00"/>
    <d v="1899-12-30T07:41:00"/>
    <d v="1899-12-30T08:43:00"/>
    <n v="0"/>
    <n v="1.0333333333333323"/>
    <n v="1.0333333333333323"/>
    <s v=" One Pin &amp; two LA replaced"/>
    <s v="Close"/>
    <n v="2.5833333333333309E-2"/>
    <s v="G7"/>
    <n v="22.901608796296252"/>
    <m/>
    <m/>
    <n v="531.90833333333285"/>
    <n v="22.901608796296252"/>
    <m/>
    <m/>
    <m/>
    <m/>
  </r>
  <r>
    <n v="485"/>
    <x v="53"/>
    <x v="1"/>
    <x v="0"/>
    <x v="2"/>
    <x v="1"/>
    <x v="25"/>
    <s v="PWEGPL"/>
    <s v="MSEDCL"/>
    <n v="2.5000000000000001E-2"/>
    <n v="5216"/>
    <x v="306"/>
    <s v="BD"/>
    <d v="1899-12-30T08:46:00"/>
    <d v="1899-12-30T08:46:00"/>
    <d v="1899-12-30T09:26:00"/>
    <n v="0"/>
    <n v="0.66666666666666563"/>
    <n v="0.66666666666666563"/>
    <s v=" One Pin &amp; two LA replaced"/>
    <s v="Close"/>
    <n v="1.6666666666666642E-2"/>
    <s v="G7"/>
    <n v="9.5324074074073764"/>
    <m/>
    <m/>
    <n v="343.16666666666612"/>
    <n v="9.5324074074073764"/>
    <m/>
    <m/>
    <m/>
    <m/>
  </r>
  <r>
    <n v="486"/>
    <x v="53"/>
    <x v="1"/>
    <x v="0"/>
    <x v="2"/>
    <x v="1"/>
    <x v="25"/>
    <s v="PWEGPL"/>
    <s v="MSEDCL"/>
    <n v="2.5000000000000001E-2"/>
    <n v="2509"/>
    <x v="201"/>
    <s v="BD"/>
    <d v="1899-12-30T09:26:00"/>
    <d v="1899-12-30T09:26:00"/>
    <d v="1899-12-30T10:24:00"/>
    <n v="0"/>
    <n v="0.96666666666666723"/>
    <n v="0.96666666666666723"/>
    <s v="SF6 Breaker Charged &amp; started"/>
    <s v="Close"/>
    <n v="2.4166666666666684E-2"/>
    <s v="G7"/>
    <n v="20.041886574074098"/>
    <m/>
    <m/>
    <n v="497.59166666666698"/>
    <n v="20.041886574074098"/>
    <m/>
    <m/>
    <m/>
    <m/>
  </r>
  <r>
    <n v="487"/>
    <x v="53"/>
    <x v="1"/>
    <x v="0"/>
    <x v="2"/>
    <x v="1"/>
    <x v="17"/>
    <s v="PWEGPL"/>
    <s v="MSEDCL"/>
    <n v="2.5000000000000001E-2"/>
    <n v="5216"/>
    <x v="306"/>
    <s v="BD"/>
    <d v="1899-12-30T07:41:00"/>
    <d v="1899-12-30T07:41:00"/>
    <d v="1899-12-30T08:43:00"/>
    <n v="0"/>
    <n v="1.0333333333333323"/>
    <n v="1.0333333333333323"/>
    <s v=" One Pin &amp; two LA replaced"/>
    <s v="Close"/>
    <n v="2.5833333333333309E-2"/>
    <s v="G9"/>
    <n v="33.942727623456719"/>
    <m/>
    <m/>
    <n v="788.34722222222138"/>
    <n v="33.942727623456719"/>
    <m/>
    <m/>
    <m/>
    <m/>
  </r>
  <r>
    <n v="488"/>
    <x v="53"/>
    <x v="1"/>
    <x v="0"/>
    <x v="2"/>
    <x v="1"/>
    <x v="17"/>
    <s v="PWEGPL"/>
    <s v="MSEDCL"/>
    <n v="2.5000000000000001E-2"/>
    <n v="5216"/>
    <x v="306"/>
    <s v="BD"/>
    <d v="1899-12-30T08:46:00"/>
    <d v="1899-12-30T08:46:00"/>
    <d v="1899-12-30T09:26:00"/>
    <n v="0"/>
    <n v="0.66666666666666563"/>
    <n v="0.66666666666666563"/>
    <s v=" One Pin &amp; two LA replaced"/>
    <s v="Close"/>
    <n v="1.6666666666666642E-2"/>
    <s v="G9"/>
    <n v="14.128086419753041"/>
    <m/>
    <m/>
    <n v="508.61111111111029"/>
    <n v="14.128086419753041"/>
    <m/>
    <m/>
    <m/>
    <m/>
  </r>
  <r>
    <n v="489"/>
    <x v="53"/>
    <x v="1"/>
    <x v="0"/>
    <x v="2"/>
    <x v="1"/>
    <x v="28"/>
    <s v="PWEGPL"/>
    <s v="MSEDCL"/>
    <n v="2.5000000000000001E-2"/>
    <n v="5216"/>
    <x v="306"/>
    <s v="BD"/>
    <d v="1899-12-30T07:41:00"/>
    <d v="1899-12-30T07:41:00"/>
    <d v="1899-12-30T08:43:00"/>
    <n v="0"/>
    <n v="1.0333333333333323"/>
    <n v="1.0333333333333323"/>
    <s v=" One Pin &amp; two LA replaced"/>
    <s v="Close"/>
    <n v="2.5833333333333309E-2"/>
    <s v="G11"/>
    <n v="15.030455246913549"/>
    <m/>
    <m/>
    <n v="349.09444444444409"/>
    <n v="15.030455246913549"/>
    <m/>
    <m/>
    <m/>
    <m/>
  </r>
  <r>
    <n v="490"/>
    <x v="53"/>
    <x v="1"/>
    <x v="0"/>
    <x v="2"/>
    <x v="1"/>
    <x v="28"/>
    <s v="PWEGPL"/>
    <s v="MSEDCL"/>
    <n v="2.5000000000000001E-2"/>
    <n v="5216"/>
    <x v="306"/>
    <s v="BD"/>
    <d v="1899-12-30T08:46:00"/>
    <d v="1899-12-30T08:46:00"/>
    <d v="1899-12-30T09:26:00"/>
    <n v="0"/>
    <n v="0.66666666666666563"/>
    <n v="0.66666666666666563"/>
    <s v=" One Pin &amp; two LA replaced"/>
    <s v="Close"/>
    <n v="1.6666666666666642E-2"/>
    <s v="G11"/>
    <n v="6.2561728395061529"/>
    <m/>
    <m/>
    <n v="225.22222222222186"/>
    <n v="6.2561728395061529"/>
    <m/>
    <m/>
    <m/>
    <m/>
  </r>
  <r>
    <n v="491"/>
    <x v="53"/>
    <x v="1"/>
    <x v="0"/>
    <x v="2"/>
    <x v="1"/>
    <x v="29"/>
    <s v="PWEGPL"/>
    <s v="MSEDCL"/>
    <n v="2.5000000000000001E-2"/>
    <n v="5216"/>
    <x v="306"/>
    <s v="BD"/>
    <d v="1899-12-30T07:41:00"/>
    <d v="1899-12-30T07:41:00"/>
    <d v="1899-12-30T08:43:00"/>
    <n v="0"/>
    <n v="1.0333333333333323"/>
    <n v="1.0333333333333323"/>
    <s v=" One Pin &amp; two LA replaced"/>
    <s v="Close"/>
    <n v="2.5833333333333309E-2"/>
    <s v="G12"/>
    <n v="32.278032407407345"/>
    <m/>
    <m/>
    <n v="749.6833333333326"/>
    <n v="32.278032407407345"/>
    <m/>
    <m/>
    <m/>
    <m/>
  </r>
  <r>
    <n v="492"/>
    <x v="53"/>
    <x v="1"/>
    <x v="0"/>
    <x v="2"/>
    <x v="1"/>
    <x v="29"/>
    <s v="PWEGPL"/>
    <s v="MSEDCL"/>
    <n v="2.5000000000000001E-2"/>
    <n v="5216"/>
    <x v="306"/>
    <s v="BD"/>
    <d v="1899-12-30T08:46:00"/>
    <d v="1899-12-30T08:46:00"/>
    <d v="1899-12-30T09:26:00"/>
    <n v="0"/>
    <n v="0.66666666666666563"/>
    <n v="0.66666666666666563"/>
    <s v=" One Pin &amp; two LA replaced"/>
    <s v="Close"/>
    <n v="1.6666666666666642E-2"/>
    <s v="G12"/>
    <n v="13.435185185185144"/>
    <m/>
    <m/>
    <n v="483.66666666666589"/>
    <n v="13.435185185185144"/>
    <m/>
    <m/>
    <m/>
    <m/>
  </r>
  <r>
    <n v="493"/>
    <x v="53"/>
    <x v="1"/>
    <x v="0"/>
    <x v="2"/>
    <x v="1"/>
    <x v="29"/>
    <s v="PWEGPL"/>
    <s v="MSEDCL"/>
    <n v="2.5000000000000001E-2"/>
    <n v="2118"/>
    <x v="293"/>
    <s v="BD"/>
    <d v="1899-12-30T15:47:00"/>
    <d v="1899-12-30T16:56:00"/>
    <d v="1899-12-30T16:59:00"/>
    <n v="1.1500000000000012"/>
    <n v="4.9999999999999822E-2"/>
    <n v="1.2000000000000011"/>
    <s v="Reset"/>
    <s v="Close"/>
    <n v="3.0000000000000027E-2"/>
    <s v="G12"/>
    <n v="43.530000000000079"/>
    <m/>
    <m/>
    <n v="870.60000000000082"/>
    <n v="43.530000000000079"/>
    <m/>
    <m/>
    <m/>
    <m/>
  </r>
  <r>
    <n v="494"/>
    <x v="53"/>
    <x v="1"/>
    <x v="0"/>
    <x v="2"/>
    <x v="1"/>
    <x v="29"/>
    <s v="PWEGPL"/>
    <s v="MSEDCL"/>
    <n v="2.5000000000000001E-2"/>
    <n v="2118"/>
    <x v="293"/>
    <s v="BD"/>
    <d v="1899-12-30T18:33:00"/>
    <d v="1899-12-30T21:28:00"/>
    <d v="1899-12-30T22:32:00"/>
    <n v="2.9166666666666643"/>
    <n v="1.0666666666666709"/>
    <n v="3.9833333333333352"/>
    <s v="Reset"/>
    <s v="Close"/>
    <n v="9.9583333333333385E-2"/>
    <s v="G12"/>
    <n v="479.6445081018523"/>
    <m/>
    <m/>
    <n v="2889.9083333333347"/>
    <n v="479.6445081018523"/>
    <m/>
    <m/>
    <m/>
    <m/>
  </r>
  <r>
    <n v="495"/>
    <x v="53"/>
    <x v="1"/>
    <x v="0"/>
    <x v="2"/>
    <x v="1"/>
    <x v="37"/>
    <s v="PWEGPL"/>
    <s v="MSEDCL"/>
    <n v="2.5000000000000001E-2"/>
    <n v="2118"/>
    <x v="293"/>
    <s v="BD"/>
    <d v="1899-12-30T16:36:00"/>
    <d v="1899-12-30T18:00:00"/>
    <d v="1899-12-30T18:10:00"/>
    <n v="1.3999999999999977"/>
    <n v="0.16666666666666874"/>
    <n v="1.5666666666666664"/>
    <s v="Reset"/>
    <s v="Close"/>
    <n v="3.9166666666666662E-2"/>
    <s v="G17"/>
    <n v="80.877353395061704"/>
    <m/>
    <m/>
    <n v="1238.9722222222222"/>
    <n v="80.877353395061704"/>
    <m/>
    <m/>
    <m/>
    <m/>
  </r>
  <r>
    <n v="496"/>
    <x v="53"/>
    <x v="1"/>
    <x v="0"/>
    <x v="2"/>
    <x v="1"/>
    <x v="37"/>
    <s v="PWEGPL"/>
    <s v="MSEDCL"/>
    <n v="2.5000000000000001E-2"/>
    <n v="2118"/>
    <x v="293"/>
    <s v="BD"/>
    <d v="1899-12-30T22:22:00"/>
    <d v="1899-12-30T23:03:00"/>
    <d v="1899-12-30T23:23:00"/>
    <n v="0.68333333333333357"/>
    <n v="0.33333333333333215"/>
    <n v="1.0166666666666657"/>
    <s v="Reset"/>
    <s v="Close"/>
    <n v="2.5416666666666643E-2"/>
    <s v="G17"/>
    <n v="34.058921682098706"/>
    <m/>
    <m/>
    <n v="804.01388888888823"/>
    <n v="34.058921682098706"/>
    <m/>
    <m/>
    <m/>
    <m/>
  </r>
  <r>
    <n v="497"/>
    <x v="53"/>
    <x v="1"/>
    <x v="0"/>
    <x v="2"/>
    <x v="1"/>
    <x v="8"/>
    <s v="PWEGPL"/>
    <s v="MSEDCL"/>
    <n v="2.5000000000000001E-2"/>
    <n v="2118"/>
    <x v="293"/>
    <s v="BD"/>
    <d v="1899-12-30T16:22:00"/>
    <d v="1899-12-30T17:10:00"/>
    <d v="1899-12-30T17:23:00"/>
    <n v="0.79999999999999982"/>
    <n v="0.2166666666666659"/>
    <n v="1.0166666666666657"/>
    <s v="Reset"/>
    <s v="Close"/>
    <n v="2.5416666666666643E-2"/>
    <s v="G28"/>
    <n v="33.129389467592532"/>
    <m/>
    <m/>
    <n v="782.07083333333264"/>
    <n v="33.129389467592532"/>
    <m/>
    <m/>
    <m/>
    <m/>
  </r>
  <r>
    <n v="498"/>
    <x v="54"/>
    <x v="1"/>
    <x v="0"/>
    <x v="2"/>
    <x v="1"/>
    <x v="23"/>
    <s v="PWEGPL"/>
    <s v="MSEDCL"/>
    <n v="2.5000000000000001E-2"/>
    <n v="2509"/>
    <x v="201"/>
    <s v="BD"/>
    <d v="1899-12-30T00:00:00"/>
    <d v="1899-12-30T10:30:00"/>
    <d v="1899-12-30T14:15:00"/>
    <n v="10.5"/>
    <n v="3.75"/>
    <n v="14.25"/>
    <s v=" SF6  breaker T-connector replaced"/>
    <s v="Close"/>
    <n v="0.35625000000000001"/>
    <s v="G5"/>
    <n v="1093.576171875"/>
    <m/>
    <m/>
    <n v="1841.8125"/>
    <n v="1093.576171875"/>
    <m/>
    <m/>
    <m/>
    <m/>
  </r>
  <r>
    <n v="499"/>
    <x v="54"/>
    <x v="1"/>
    <x v="0"/>
    <x v="2"/>
    <x v="1"/>
    <x v="23"/>
    <s v="PWEGPL"/>
    <s v="MSEDCL"/>
    <n v="2.5000000000000001E-2"/>
    <n v="402"/>
    <x v="300"/>
    <s v="BD"/>
    <d v="1899-12-30T16:06:00"/>
    <d v="1899-12-30T16:06:00"/>
    <d v="1899-12-30T17:44:00"/>
    <n v="0"/>
    <n v="1.6333333333333329"/>
    <n v="1.6333333333333329"/>
    <s v="Gearbox oil hose replacement"/>
    <s v="Close"/>
    <n v="4.0833333333333326E-2"/>
    <s v="G5"/>
    <n v="14.367094907407399"/>
    <m/>
    <m/>
    <n v="211.10833333333326"/>
    <n v="14.367094907407399"/>
    <m/>
    <m/>
    <m/>
    <m/>
  </r>
  <r>
    <n v="500"/>
    <x v="54"/>
    <x v="1"/>
    <x v="0"/>
    <x v="2"/>
    <x v="1"/>
    <x v="19"/>
    <s v="PWEGPL"/>
    <s v="MSEDCL"/>
    <n v="2.5000000000000001E-2"/>
    <n v="552"/>
    <x v="304"/>
    <s v="BD"/>
    <d v="1899-12-30T15:58:00"/>
    <d v="1899-12-30T15:58:00"/>
    <d v="1899-12-30T16:55:00"/>
    <n v="0"/>
    <n v="0.95000000000000195"/>
    <n v="0.95000000000000195"/>
    <s v="Carbon brush holder replaced"/>
    <s v="Close"/>
    <n v="2.3750000000000049E-2"/>
    <s v="G19"/>
    <n v="5.5403472222222447"/>
    <m/>
    <m/>
    <n v="139.96666666666695"/>
    <n v="5.5403472222222447"/>
    <m/>
    <m/>
    <m/>
    <m/>
  </r>
  <r>
    <n v="501"/>
    <x v="55"/>
    <x v="1"/>
    <x v="0"/>
    <x v="2"/>
    <x v="1"/>
    <x v="20"/>
    <s v="PWEGPL"/>
    <s v="MSEDCL"/>
    <n v="2.5000000000000001E-2"/>
    <s v="CE100007"/>
    <x v="295"/>
    <s v="PM"/>
    <d v="1899-12-30T11:13:00"/>
    <d v="1899-12-30T11:13:00"/>
    <d v="1899-12-30T11:58:00"/>
    <n v="0"/>
    <n v="0.75"/>
    <n v="0.75"/>
    <s v="LC taken for DP-yard yearly maintenance"/>
    <s v="Close"/>
    <n v="1.8750000000000003E-2"/>
    <s v="G2"/>
    <n v="4.63671875"/>
    <m/>
    <m/>
    <n v="148.375"/>
    <n v="4.63671875"/>
    <m/>
    <m/>
    <m/>
    <m/>
  </r>
  <r>
    <n v="502"/>
    <x v="55"/>
    <x v="1"/>
    <x v="0"/>
    <x v="2"/>
    <x v="1"/>
    <x v="21"/>
    <s v="PWEGPL"/>
    <s v="MSEDCL"/>
    <n v="2.5000000000000001E-2"/>
    <s v="CE100007"/>
    <x v="295"/>
    <s v="PM"/>
    <d v="1899-12-30T11:13:00"/>
    <d v="1899-12-30T11:13:00"/>
    <d v="1899-12-30T11:58:00"/>
    <n v="0"/>
    <n v="0.75"/>
    <n v="0.75"/>
    <s v="LC taken for DP-yard yearly maintenance"/>
    <s v="Close"/>
    <n v="1.8750000000000003E-2"/>
    <s v="G3"/>
    <n v="3.6875"/>
    <m/>
    <m/>
    <n v="118"/>
    <n v="3.6875"/>
    <m/>
    <m/>
    <m/>
    <m/>
  </r>
  <r>
    <n v="503"/>
    <x v="55"/>
    <x v="1"/>
    <x v="0"/>
    <x v="2"/>
    <x v="1"/>
    <x v="22"/>
    <s v="PWEGPL"/>
    <s v="MSEDCL"/>
    <n v="2.5000000000000001E-2"/>
    <s v="CE100007"/>
    <x v="295"/>
    <s v="PM"/>
    <d v="1899-12-30T11:13:00"/>
    <d v="1899-12-30T11:13:00"/>
    <d v="1899-12-30T11:58:00"/>
    <n v="0"/>
    <n v="0.75"/>
    <n v="0.75"/>
    <s v="LC taken for DP-yard yearly maintenance"/>
    <s v="Close"/>
    <n v="1.8750000000000003E-2"/>
    <s v="G4"/>
    <n v="4.0234375"/>
    <m/>
    <m/>
    <n v="128.75"/>
    <n v="4.0234375"/>
    <m/>
    <m/>
    <m/>
    <m/>
  </r>
  <r>
    <n v="504"/>
    <x v="55"/>
    <x v="1"/>
    <x v="0"/>
    <x v="2"/>
    <x v="1"/>
    <x v="23"/>
    <s v="PWEGPL"/>
    <s v="MSEDCL"/>
    <n v="2.5000000000000001E-2"/>
    <s v="CE100007"/>
    <x v="295"/>
    <s v="PM"/>
    <d v="1899-12-30T11:13:00"/>
    <d v="1899-12-30T11:13:00"/>
    <d v="1899-12-30T11:58:00"/>
    <n v="0"/>
    <n v="0.75"/>
    <n v="0.75"/>
    <s v="LC taken for DP-yard yearly maintenance"/>
    <s v="Close"/>
    <n v="1.8750000000000003E-2"/>
    <s v="G5"/>
    <n v="3.8916015625"/>
    <m/>
    <m/>
    <n v="124.53125"/>
    <n v="3.8916015625"/>
    <m/>
    <m/>
    <m/>
    <m/>
  </r>
  <r>
    <n v="505"/>
    <x v="55"/>
    <x v="1"/>
    <x v="0"/>
    <x v="2"/>
    <x v="1"/>
    <x v="25"/>
    <s v="PWEGPL"/>
    <s v="MSEDCL"/>
    <n v="2.5000000000000001E-2"/>
    <s v="CE100007"/>
    <x v="295"/>
    <s v="PM"/>
    <d v="1899-12-30T11:13:00"/>
    <d v="1899-12-30T11:13:00"/>
    <d v="1899-12-30T11:58:00"/>
    <n v="0"/>
    <n v="0.75"/>
    <n v="0.75"/>
    <s v="LC taken for DP-yard yearly maintenance"/>
    <s v="Close"/>
    <n v="1.8750000000000003E-2"/>
    <s v="G7"/>
    <n v="4.345703125"/>
    <m/>
    <m/>
    <n v="139.0625"/>
    <n v="4.345703125"/>
    <m/>
    <m/>
    <m/>
    <m/>
  </r>
  <r>
    <n v="506"/>
    <x v="55"/>
    <x v="1"/>
    <x v="0"/>
    <x v="2"/>
    <x v="1"/>
    <x v="26"/>
    <s v="PWEGPL"/>
    <s v="MSEDCL"/>
    <n v="2.5000000000000001E-2"/>
    <s v="CE100007"/>
    <x v="295"/>
    <s v="PM"/>
    <d v="1899-12-30T11:13:00"/>
    <d v="1899-12-30T11:13:00"/>
    <d v="1899-12-30T11:58:00"/>
    <n v="0"/>
    <n v="0.75"/>
    <n v="0.75"/>
    <s v="LC taken for DP-yard yearly maintenance"/>
    <s v="Close"/>
    <n v="1.8750000000000003E-2"/>
    <s v="G8"/>
    <n v="4"/>
    <m/>
    <m/>
    <n v="128"/>
    <n v="4"/>
    <m/>
    <m/>
    <m/>
    <m/>
  </r>
  <r>
    <n v="507"/>
    <x v="55"/>
    <x v="1"/>
    <x v="0"/>
    <x v="2"/>
    <x v="1"/>
    <x v="17"/>
    <s v="PWEGPL"/>
    <s v="MSEDCL"/>
    <n v="2.5000000000000001E-2"/>
    <s v="CE100007"/>
    <x v="295"/>
    <s v="PM"/>
    <d v="1899-12-30T11:13:00"/>
    <d v="1899-12-30T11:13:00"/>
    <d v="1899-12-30T11:58:00"/>
    <n v="0"/>
    <n v="0.75"/>
    <n v="0.75"/>
    <s v="LC taken for DP-yard yearly maintenance"/>
    <s v="Close"/>
    <n v="1.8750000000000003E-2"/>
    <s v="G9"/>
    <n v="4.796875"/>
    <m/>
    <m/>
    <n v="153.5"/>
    <n v="4.796875"/>
    <m/>
    <m/>
    <m/>
    <m/>
  </r>
  <r>
    <n v="508"/>
    <x v="55"/>
    <x v="1"/>
    <x v="0"/>
    <x v="2"/>
    <x v="1"/>
    <x v="28"/>
    <s v="PWEGPL"/>
    <s v="MSEDCL"/>
    <n v="2.5000000000000001E-2"/>
    <s v="CE100007"/>
    <x v="295"/>
    <s v="PM"/>
    <d v="1899-12-30T11:13:00"/>
    <d v="1899-12-30T11:13:00"/>
    <d v="1899-12-30T11:58:00"/>
    <n v="0"/>
    <n v="0.75"/>
    <n v="0.75"/>
    <s v="LC taken for DP-yard yearly maintenance"/>
    <s v="Close"/>
    <n v="1.8750000000000003E-2"/>
    <s v="G11"/>
    <n v="4.736328125"/>
    <m/>
    <m/>
    <n v="151.5625"/>
    <n v="4.736328125"/>
    <m/>
    <m/>
    <m/>
    <m/>
  </r>
  <r>
    <n v="509"/>
    <x v="55"/>
    <x v="1"/>
    <x v="0"/>
    <x v="2"/>
    <x v="1"/>
    <x v="29"/>
    <s v="PWEGPL"/>
    <s v="MSEDCL"/>
    <n v="2.5000000000000001E-2"/>
    <s v="CE100007"/>
    <x v="295"/>
    <s v="PM"/>
    <d v="1899-12-30T11:13:00"/>
    <d v="1899-12-30T11:13:00"/>
    <d v="1899-12-30T11:58:00"/>
    <n v="0"/>
    <n v="0.75"/>
    <n v="0.75"/>
    <s v="LC taken for DP-yard yearly maintenance"/>
    <s v="Close"/>
    <n v="1.8750000000000003E-2"/>
    <s v="G12"/>
    <n v="4.806640625"/>
    <m/>
    <m/>
    <n v="153.8125"/>
    <n v="4.806640625"/>
    <m/>
    <m/>
    <m/>
    <m/>
  </r>
  <r>
    <n v="510"/>
    <x v="55"/>
    <x v="1"/>
    <x v="0"/>
    <x v="2"/>
    <x v="1"/>
    <x v="32"/>
    <s v="PWEGPL"/>
    <s v="MSEDCL"/>
    <n v="2.5000000000000001E-2"/>
    <s v="CE100014"/>
    <x v="305"/>
    <s v="PM/Lift inspention"/>
    <d v="1899-12-30T10:28:00"/>
    <d v="1899-12-30T10:28:00"/>
    <d v="1899-12-30T14:10:00"/>
    <n v="0"/>
    <n v="3.7"/>
    <n v="3.7"/>
    <s v="Avanti lift inspection"/>
    <s v="Close"/>
    <n v="9.2500000000000013E-2"/>
    <s v="G15"/>
    <n v="83.328368055555572"/>
    <m/>
    <m/>
    <n v="540.50833333333344"/>
    <n v="83.328368055555572"/>
    <m/>
    <m/>
    <m/>
    <m/>
  </r>
  <r>
    <n v="511"/>
    <x v="55"/>
    <x v="1"/>
    <x v="0"/>
    <x v="2"/>
    <x v="1"/>
    <x v="39"/>
    <s v="PWEGPL"/>
    <s v="MSEDCL"/>
    <n v="2.5000000000000001E-2"/>
    <n v="103"/>
    <x v="307"/>
    <s v="BD"/>
    <d v="1899-12-30T12:43:00"/>
    <d v="1899-12-30T12:43:00"/>
    <d v="1899-12-30T23:59:00"/>
    <n v="0"/>
    <n v="11.266666666666666"/>
    <n v="11.266666666666666"/>
    <s v="Yaw motor replacement WIP"/>
    <s v="Open"/>
    <n v="0.28166666666666668"/>
    <s v="G16"/>
    <n v="901.78712962962948"/>
    <m/>
    <m/>
    <n v="1920.9666666666665"/>
    <n v="901.78712962962948"/>
    <m/>
    <m/>
    <m/>
    <m/>
  </r>
  <r>
    <n v="512"/>
    <x v="55"/>
    <x v="1"/>
    <x v="0"/>
    <x v="2"/>
    <x v="1"/>
    <x v="0"/>
    <s v="PWEGPL"/>
    <s v="MSEDCL"/>
    <n v="2.5000000000000001E-2"/>
    <n v="110"/>
    <x v="287"/>
    <s v="BD"/>
    <d v="1899-12-30T01:34:00"/>
    <d v="1899-12-30T01:44:00"/>
    <d v="1899-12-30T02:24:00"/>
    <n v="0.16666666666666674"/>
    <n v="0.6666666666666663"/>
    <n v="0.83333333333333304"/>
    <s v="Cable twist removed &amp; started"/>
    <s v="Close"/>
    <n v="2.0833333333333329E-2"/>
    <s v="G18"/>
    <n v="5.2830825617283921"/>
    <m/>
    <m/>
    <n v="152.15277777777774"/>
    <n v="5.2830825617283921"/>
    <m/>
    <m/>
    <m/>
    <m/>
  </r>
  <r>
    <n v="513"/>
    <x v="55"/>
    <x v="1"/>
    <x v="0"/>
    <x v="2"/>
    <x v="1"/>
    <x v="38"/>
    <s v="PWEGPL"/>
    <s v="MSEDCL"/>
    <n v="2.5000000000000001E-2"/>
    <s v="CE100014"/>
    <x v="305"/>
    <s v="PM/Lift inspention"/>
    <d v="1899-12-30T14:33:00"/>
    <d v="1899-12-30T14:33:00"/>
    <d v="1899-12-30T16:51:00"/>
    <n v="0"/>
    <n v="2.2999999999999998"/>
    <n v="2.2999999999999998"/>
    <s v="Avanti lift inspection"/>
    <s v="Close"/>
    <n v="5.7499999999999996E-2"/>
    <s v="G19"/>
    <n v="49.630486111111104"/>
    <m/>
    <m/>
    <n v="517.88333333333333"/>
    <n v="49.630486111111104"/>
    <m/>
    <m/>
    <m/>
    <m/>
  </r>
  <r>
    <n v="514"/>
    <x v="55"/>
    <x v="1"/>
    <x v="0"/>
    <x v="2"/>
    <x v="1"/>
    <x v="1"/>
    <s v="PWEGPL"/>
    <s v="MSEDCL"/>
    <n v="2.5000000000000001E-2"/>
    <n v="110"/>
    <x v="287"/>
    <s v="BD"/>
    <d v="1899-12-30T12:27:00"/>
    <d v="1899-12-30T13:48:00"/>
    <d v="1899-12-30T14:25:00"/>
    <n v="1.3500000000000032"/>
    <n v="0.61666666666666448"/>
    <n v="1.9666666666666677"/>
    <s v="Cable twist removed &amp; started"/>
    <s v="Close"/>
    <n v="4.9166666666666692E-2"/>
    <s v="G24"/>
    <n v="28.699448302469172"/>
    <m/>
    <m/>
    <n v="350.23055555555578"/>
    <n v="28.699448302469172"/>
    <m/>
    <m/>
    <m/>
    <m/>
  </r>
  <r>
    <n v="515"/>
    <x v="55"/>
    <x v="1"/>
    <x v="0"/>
    <x v="2"/>
    <x v="1"/>
    <x v="25"/>
    <s v="PWEGPL"/>
    <s v="MSEDCL"/>
    <n v="2.5000000000000001E-2"/>
    <s v="CE100007"/>
    <x v="295"/>
    <s v="PM"/>
    <d v="1899-12-30T11:13:00"/>
    <d v="1899-12-30T11:13:00"/>
    <d v="1899-12-30T13:23:00"/>
    <n v="0"/>
    <n v="2.166666666666667"/>
    <n v="2.166666666666667"/>
    <s v="LC taken for DP-yard yearly maintenance"/>
    <s v="Close"/>
    <n v="5.4166666666666675E-2"/>
    <s v="G7"/>
    <n v="36.267843364197539"/>
    <m/>
    <m/>
    <n v="401.73611111111114"/>
    <n v="36.267843364197539"/>
    <m/>
    <m/>
    <m/>
    <m/>
  </r>
  <r>
    <n v="516"/>
    <x v="55"/>
    <x v="1"/>
    <x v="0"/>
    <x v="2"/>
    <x v="1"/>
    <x v="17"/>
    <s v="PWEGPL"/>
    <s v="MSEDCL"/>
    <n v="2.5000000000000001E-2"/>
    <s v="CE100007"/>
    <x v="295"/>
    <s v="PM"/>
    <d v="1899-12-30T11:13:00"/>
    <d v="1899-12-30T11:13:00"/>
    <d v="1899-12-30T13:23:00"/>
    <n v="0"/>
    <n v="2.166666666666667"/>
    <n v="2.166666666666667"/>
    <s v="LC taken for DP-yard yearly maintenance"/>
    <s v="Close"/>
    <n v="5.4166666666666675E-2"/>
    <s v="G9"/>
    <n v="40.033179012345684"/>
    <m/>
    <m/>
    <n v="443.44444444444446"/>
    <n v="40.033179012345684"/>
    <m/>
    <m/>
    <m/>
    <m/>
  </r>
  <r>
    <n v="517"/>
    <x v="55"/>
    <x v="1"/>
    <x v="0"/>
    <x v="2"/>
    <x v="1"/>
    <x v="28"/>
    <s v="PWEGPL"/>
    <s v="MSEDCL"/>
    <n v="2.5000000000000001E-2"/>
    <s v="CE100007"/>
    <x v="295"/>
    <s v="PM"/>
    <d v="1899-12-30T11:13:00"/>
    <d v="1899-12-30T11:13:00"/>
    <d v="1899-12-30T13:23:00"/>
    <n v="0"/>
    <n v="2.166666666666667"/>
    <n v="2.166666666666667"/>
    <s v="LC taken for DP-yard yearly maintenance"/>
    <s v="Close"/>
    <n v="5.4166666666666675E-2"/>
    <s v="G11"/>
    <n v="39.527874228395078"/>
    <m/>
    <m/>
    <n v="437.84722222222229"/>
    <n v="39.527874228395078"/>
    <m/>
    <m/>
    <m/>
    <m/>
  </r>
  <r>
    <n v="518"/>
    <x v="55"/>
    <x v="1"/>
    <x v="0"/>
    <x v="2"/>
    <x v="1"/>
    <x v="29"/>
    <s v="PWEGPL"/>
    <s v="MSEDCL"/>
    <n v="2.5000000000000001E-2"/>
    <s v="CE100007"/>
    <x v="295"/>
    <s v="PM"/>
    <d v="1899-12-30T11:13:00"/>
    <d v="1899-12-30T11:13:00"/>
    <d v="1899-12-30T13:23:00"/>
    <n v="0"/>
    <n v="2.166666666666667"/>
    <n v="2.166666666666667"/>
    <s v="LC taken for DP-yard yearly maintenance"/>
    <s v="Close"/>
    <n v="5.4166666666666675E-2"/>
    <s v="G12"/>
    <n v="40.114679783950628"/>
    <m/>
    <m/>
    <n v="444.34722222222229"/>
    <n v="40.114679783950628"/>
    <m/>
    <m/>
    <m/>
    <m/>
  </r>
  <r>
    <n v="519"/>
    <x v="56"/>
    <x v="1"/>
    <x v="0"/>
    <x v="2"/>
    <x v="1"/>
    <x v="20"/>
    <s v="PWEGPL"/>
    <s v="MSEDCL"/>
    <n v="2.5000000000000001E-2"/>
    <s v="CE100014"/>
    <x v="305"/>
    <s v="PM/Lift inspention"/>
    <d v="1899-12-30T11:09:00"/>
    <d v="1899-12-30T11:09:00"/>
    <d v="1899-12-30T13:41:00"/>
    <n v="0"/>
    <n v="2.5333333333333323"/>
    <n v="2.5333333333333323"/>
    <s v="Avanti lift inspection"/>
    <s v="Close"/>
    <n v="6.3333333333333311E-2"/>
    <s v="G2"/>
    <n v="23.999814814814798"/>
    <m/>
    <m/>
    <n v="227.36666666666659"/>
    <n v="23.999814814814798"/>
    <m/>
    <m/>
    <m/>
    <m/>
  </r>
  <r>
    <n v="520"/>
    <x v="56"/>
    <x v="1"/>
    <x v="0"/>
    <x v="2"/>
    <x v="1"/>
    <x v="25"/>
    <s v="PWEGPL"/>
    <s v="MSEDCL"/>
    <n v="2.5000000000000001E-2"/>
    <n v="115"/>
    <x v="308"/>
    <s v="BD"/>
    <d v="1899-12-30T00:00:00"/>
    <d v="1899-12-30T00:00:00"/>
    <d v="1899-12-30T17:53:00"/>
    <n v="0"/>
    <n v="17.883333333333333"/>
    <n v="17.883333333333333"/>
    <s v="Neccel accumulator replaced"/>
    <s v="Close"/>
    <n v="0.44708333333333333"/>
    <s v="G7"/>
    <n v="1474.6960956790124"/>
    <m/>
    <m/>
    <n v="1979.088888888889"/>
    <n v="1474.6960956790124"/>
    <m/>
    <m/>
    <m/>
    <m/>
  </r>
  <r>
    <n v="521"/>
    <x v="56"/>
    <x v="1"/>
    <x v="0"/>
    <x v="2"/>
    <x v="1"/>
    <x v="26"/>
    <s v="PWEGPL"/>
    <s v="MSEDCL"/>
    <n v="2.5000000000000001E-2"/>
    <s v="CE100014"/>
    <x v="305"/>
    <s v="PM/Lift inspention"/>
    <d v="1899-12-30T13:51:00"/>
    <d v="1899-12-30T13:51:00"/>
    <d v="1899-12-30T16:13:00"/>
    <n v="0"/>
    <n v="2.3666666666666663"/>
    <n v="2.3666666666666663"/>
    <s v="Avanti lift inspection"/>
    <s v="Close"/>
    <n v="5.9166666666666659E-2"/>
    <s v="G8"/>
    <n v="26.585829475308635"/>
    <m/>
    <m/>
    <n v="269.60277777777776"/>
    <n v="26.585829475308635"/>
    <m/>
    <m/>
    <m/>
    <m/>
  </r>
  <r>
    <n v="522"/>
    <x v="56"/>
    <x v="1"/>
    <x v="0"/>
    <x v="2"/>
    <x v="1"/>
    <x v="39"/>
    <s v="PWEGPL"/>
    <s v="MSEDCL"/>
    <n v="2.5000000000000001E-2"/>
    <n v="103"/>
    <x v="307"/>
    <s v="BD"/>
    <d v="1899-12-30T00:00:00"/>
    <d v="1899-12-30T00:00:00"/>
    <d v="1899-12-30T14:04:00"/>
    <n v="0"/>
    <n v="14.066666666666666"/>
    <n v="14.066666666666666"/>
    <s v="Yaw motor replaced"/>
    <s v="Close"/>
    <n v="0.35166666666666668"/>
    <s v="G16"/>
    <n v="581.24638888888887"/>
    <m/>
    <m/>
    <n v="991.69999999999993"/>
    <n v="581.24638888888887"/>
    <m/>
    <m/>
    <m/>
    <m/>
  </r>
  <r>
    <n v="523"/>
    <x v="56"/>
    <x v="1"/>
    <x v="0"/>
    <x v="2"/>
    <x v="1"/>
    <x v="33"/>
    <s v="PWEGPL"/>
    <s v="MSEDCL"/>
    <n v="2.5000000000000001E-2"/>
    <n v="207"/>
    <x v="309"/>
    <s v="BD"/>
    <d v="1899-12-30T15:42:00"/>
    <d v="1899-12-30T16:25:00"/>
    <d v="1899-12-30T16:25:00"/>
    <n v="0.71666666666666679"/>
    <n v="0"/>
    <n v="0.71666666666666679"/>
    <s v="Reset"/>
    <s v="Close"/>
    <n v="1.7916666666666671E-2"/>
    <s v="G22"/>
    <n v="1.8315229552469141"/>
    <m/>
    <m/>
    <n v="61.334722222222226"/>
    <n v="1.8315229552469141"/>
    <m/>
    <m/>
    <m/>
    <m/>
  </r>
  <r>
    <n v="524"/>
    <x v="56"/>
    <x v="1"/>
    <x v="0"/>
    <x v="2"/>
    <x v="1"/>
    <x v="35"/>
    <s v="PWEGPL"/>
    <s v="MSEDCL"/>
    <n v="2.5000000000000001E-2"/>
    <n v="108"/>
    <x v="310"/>
    <s v="BD"/>
    <d v="1899-12-30T05:34:00"/>
    <d v="1899-12-30T05:34:00"/>
    <d v="1899-12-30T06:12:00"/>
    <n v="0"/>
    <n v="0.63333333333333441"/>
    <n v="0.63333333333333441"/>
    <s v="Cable twist removed &amp; started"/>
    <s v="Close"/>
    <n v="1.5833333333333362E-2"/>
    <s v="G25"/>
    <n v="1.4038888888888936"/>
    <m/>
    <m/>
    <n v="53.200000000000088"/>
    <n v="1.4038888888888936"/>
    <m/>
    <m/>
    <m/>
    <m/>
  </r>
  <r>
    <n v="525"/>
    <x v="57"/>
    <x v="1"/>
    <x v="0"/>
    <x v="2"/>
    <x v="1"/>
    <x v="21"/>
    <s v="PWEGPL"/>
    <s v="MSEDCL"/>
    <n v="2.5000000000000001E-2"/>
    <s v="CE100014"/>
    <x v="305"/>
    <s v="PM/Lift inspention"/>
    <d v="1899-12-30T10:45:00"/>
    <d v="1899-12-30T10:45:00"/>
    <d v="1899-12-30T13:16:00"/>
    <n v="0"/>
    <n v="2.5166666666666671"/>
    <n v="2.5166666666666671"/>
    <s v="Avanti lift inspection"/>
    <s v="Close"/>
    <n v="6.2916666666666676E-2"/>
    <s v="G3"/>
    <n v="7.7293124999999998"/>
    <m/>
    <m/>
    <n v="73.709999999999994"/>
    <n v="7.7293124999999998"/>
    <m/>
    <m/>
    <m/>
    <m/>
  </r>
  <r>
    <n v="526"/>
    <x v="57"/>
    <x v="1"/>
    <x v="0"/>
    <x v="2"/>
    <x v="1"/>
    <x v="23"/>
    <s v="PWEGPL"/>
    <s v="MSEDCL"/>
    <n v="2.5000000000000001E-2"/>
    <s v="CE100014"/>
    <x v="305"/>
    <s v="PM/Lift inspention"/>
    <d v="1899-12-30T13:28:00"/>
    <d v="1899-12-30T13:28:00"/>
    <d v="1899-12-30T16:16:00"/>
    <n v="0"/>
    <n v="2.799999999999998"/>
    <n v="2.799999999999998"/>
    <s v="Avanti lift inspection"/>
    <s v="Close"/>
    <n v="6.9999999999999951E-2"/>
    <s v="G5"/>
    <n v="16.333333333333311"/>
    <m/>
    <m/>
    <n v="139.99999999999991"/>
    <n v="16.333333333333311"/>
    <m/>
    <m/>
    <m/>
    <m/>
  </r>
  <r>
    <n v="527"/>
    <x v="57"/>
    <x v="1"/>
    <x v="0"/>
    <x v="2"/>
    <x v="1"/>
    <x v="29"/>
    <s v="PWEGPL"/>
    <s v="MSEDCL"/>
    <n v="2.5000000000000001E-2"/>
    <n v="5263"/>
    <x v="311"/>
    <s v="BD"/>
    <d v="1899-12-30T11:07:00"/>
    <d v="1899-12-30T11:40:00"/>
    <d v="1899-12-30T13:01:00"/>
    <n v="0.54999999999999938"/>
    <n v="1.3500000000000019"/>
    <n v="1.9000000000000012"/>
    <s v="Reset"/>
    <s v="Close"/>
    <n v="4.7500000000000035E-2"/>
    <s v="G12"/>
    <n v="5.5403472222222296"/>
    <m/>
    <m/>
    <n v="69.983333333333377"/>
    <n v="5.5403472222222296"/>
    <m/>
    <m/>
    <m/>
    <m/>
  </r>
  <r>
    <n v="528"/>
    <x v="57"/>
    <x v="1"/>
    <x v="0"/>
    <x v="2"/>
    <x v="1"/>
    <x v="19"/>
    <s v="PWEGPL"/>
    <s v="MSEDCL"/>
    <n v="2.5000000000000001E-2"/>
    <n v="205"/>
    <x v="312"/>
    <s v="BD"/>
    <d v="1899-12-30T01:54:00"/>
    <d v="1899-12-30T02:37:00"/>
    <d v="1899-12-30T02:37:00"/>
    <n v="0.71666666666666679"/>
    <n v="0"/>
    <n v="0.71666666666666679"/>
    <s v="Oil Topup"/>
    <s v="Close"/>
    <n v="1.7916666666666671E-2"/>
    <s v="G19"/>
    <n v="1.1467081404320991"/>
    <m/>
    <m/>
    <n v="38.401388888888896"/>
    <n v="1.1467081404320991"/>
    <m/>
    <m/>
    <m/>
    <m/>
  </r>
  <r>
    <n v="529"/>
    <x v="57"/>
    <x v="1"/>
    <x v="0"/>
    <x v="2"/>
    <x v="1"/>
    <x v="33"/>
    <s v="PWEGPL"/>
    <s v="MSEDCL"/>
    <n v="2.5000000000000001E-2"/>
    <n v="207"/>
    <x v="309"/>
    <s v="BD"/>
    <d v="1899-12-30T16:14:00"/>
    <d v="1899-12-30T18:40:00"/>
    <d v="1899-12-30T18:44:00"/>
    <n v="2.4333333333333327"/>
    <n v="6.666666666666643E-2"/>
    <n v="2.4999999999999991"/>
    <s v="Reset"/>
    <s v="Close"/>
    <n v="6.2499999999999979E-2"/>
    <s v="G22"/>
    <n v="16.471354166666654"/>
    <m/>
    <m/>
    <n v="158.12499999999994"/>
    <n v="16.471354166666654"/>
    <m/>
    <m/>
    <m/>
    <m/>
  </r>
  <r>
    <n v="530"/>
    <x v="57"/>
    <x v="1"/>
    <x v="0"/>
    <x v="2"/>
    <x v="1"/>
    <x v="1"/>
    <s v="PWEGPL"/>
    <s v="MSEDCL"/>
    <n v="2.5000000000000001E-2"/>
    <n v="205"/>
    <x v="312"/>
    <s v="BD"/>
    <d v="1899-12-30T14:26:00"/>
    <d v="1899-12-30T15:10:00"/>
    <d v="1899-12-30T16:09:00"/>
    <n v="0.73333333333333339"/>
    <n v="0.9833333333333325"/>
    <n v="1.7166666666666659"/>
    <s v="Oil Topup"/>
    <s v="Close"/>
    <n v="4.2916666666666652E-2"/>
    <s v="G24"/>
    <n v="7.1013175154320916"/>
    <m/>
    <m/>
    <n v="99.280555555555509"/>
    <n v="7.1013175154320916"/>
    <m/>
    <m/>
    <m/>
    <m/>
  </r>
  <r>
    <n v="531"/>
    <x v="57"/>
    <x v="1"/>
    <x v="0"/>
    <x v="2"/>
    <x v="1"/>
    <x v="35"/>
    <s v="PWEGPL"/>
    <s v="MSEDCL"/>
    <n v="2.5000000000000001E-2"/>
    <n v="907"/>
    <x v="292"/>
    <s v="BD"/>
    <d v="1899-12-30T11:31:00"/>
    <d v="1899-12-30T12:01:00"/>
    <d v="1899-12-30T14:09:00"/>
    <n v="0.49999999999999956"/>
    <n v="2.1333333333333337"/>
    <n v="2.6333333333333333"/>
    <s v="Relay replaced 24 volt"/>
    <s v="Close"/>
    <n v="6.5833333333333341E-2"/>
    <s v="G25"/>
    <n v="17.095331790123456"/>
    <m/>
    <m/>
    <n v="155.80555555555554"/>
    <n v="17.095331790123456"/>
    <m/>
    <m/>
    <m/>
    <m/>
  </r>
  <r>
    <n v="532"/>
    <x v="57"/>
    <x v="1"/>
    <x v="0"/>
    <x v="2"/>
    <x v="1"/>
    <x v="7"/>
    <s v="PWEGPL"/>
    <s v="MSEDCL"/>
    <n v="2.5000000000000001E-2"/>
    <s v="CE100010"/>
    <x v="296"/>
    <s v="PM"/>
    <d v="1899-12-30T10:02:00"/>
    <d v="1899-12-30T10:02:00"/>
    <d v="1899-12-30T17:40:00"/>
    <n v="0"/>
    <n v="7.6333333333333346"/>
    <n v="7.6333333333333346"/>
    <s v="102 PM service"/>
    <s v="Close"/>
    <n v="0.19083333333333338"/>
    <s v="G39"/>
    <n v="157.20160879629637"/>
    <m/>
    <m/>
    <n v="494.25833333333344"/>
    <n v="157.20160879629637"/>
    <m/>
    <m/>
    <m/>
    <m/>
  </r>
  <r>
    <n v="533"/>
    <x v="57"/>
    <x v="1"/>
    <x v="0"/>
    <x v="2"/>
    <x v="1"/>
    <x v="29"/>
    <s v="PWEGPL"/>
    <s v="MSEDCL"/>
    <n v="2.5000000000000001E-2"/>
    <n v="5263"/>
    <x v="311"/>
    <s v="BD"/>
    <d v="1899-12-30T00:19:00"/>
    <d v="1899-12-30T01:03:00"/>
    <d v="1899-12-30T01:13:00"/>
    <n v="0.73333333333333339"/>
    <n v="0.16666666666666674"/>
    <n v="0.90000000000000013"/>
    <s v="Reset"/>
    <s v="Close"/>
    <n v="2.2500000000000006E-2"/>
    <s v="G12"/>
    <n v="1.2431250000000005"/>
    <m/>
    <m/>
    <n v="33.150000000000006"/>
    <n v="1.2431250000000005"/>
    <m/>
    <m/>
    <m/>
    <m/>
  </r>
  <r>
    <n v="534"/>
    <x v="58"/>
    <x v="1"/>
    <x v="0"/>
    <x v="2"/>
    <x v="1"/>
    <x v="22"/>
    <s v="PWEGPL"/>
    <s v="MSEDCL"/>
    <n v="2.5000000000000001E-2"/>
    <s v="CE100014"/>
    <x v="305"/>
    <s v="PM/Lift inspention"/>
    <d v="1899-12-30T11:01:00"/>
    <d v="1899-12-30T11:01:00"/>
    <d v="1899-12-30T13:24:00"/>
    <n v="0"/>
    <n v="2.3833333333333329"/>
    <n v="2.3833333333333329"/>
    <s v="Avanti lift inspection"/>
    <s v="Close"/>
    <n v="5.9583333333333321E-2"/>
    <s v="G4"/>
    <n v="35.896199845678993"/>
    <m/>
    <m/>
    <n v="361.47222222222211"/>
    <n v="35.896199845678993"/>
    <m/>
    <m/>
    <m/>
    <m/>
  </r>
  <r>
    <n v="535"/>
    <x v="58"/>
    <x v="1"/>
    <x v="0"/>
    <x v="2"/>
    <x v="1"/>
    <x v="24"/>
    <s v="PWEGPL"/>
    <s v="MSEDCL"/>
    <n v="2.5000000000000001E-2"/>
    <n v="118"/>
    <x v="313"/>
    <s v="BD"/>
    <d v="1899-12-30T14:26:00"/>
    <d v="1899-12-30T15:01:00"/>
    <d v="1899-12-30T17:14:00"/>
    <n v="0.58333333333333393"/>
    <n v="2.2166666666666668"/>
    <n v="2.8000000000000007"/>
    <s v="Repair work yaw system"/>
    <s v="Close"/>
    <n v="7.0000000000000021E-2"/>
    <s v="G6"/>
    <n v="49.285833333333358"/>
    <m/>
    <m/>
    <n v="422.4500000000001"/>
    <n v="49.285833333333358"/>
    <m/>
    <m/>
    <m/>
    <m/>
  </r>
  <r>
    <n v="536"/>
    <x v="58"/>
    <x v="1"/>
    <x v="0"/>
    <x v="2"/>
    <x v="1"/>
    <x v="25"/>
    <s v="PWEGPL"/>
    <s v="MSEDCL"/>
    <n v="2.5000000000000001E-2"/>
    <s v="CE100014"/>
    <x v="305"/>
    <s v="PM/Lift inspention"/>
    <d v="1899-12-30T13:35:00"/>
    <d v="1899-12-30T13:35:00"/>
    <d v="1899-12-30T15:52:00"/>
    <n v="0"/>
    <n v="2.2833333333333332"/>
    <n v="2.2833333333333332"/>
    <s v="Avanti lift inspection"/>
    <s v="Close"/>
    <n v="5.7083333333333333E-2"/>
    <s v="G7"/>
    <n v="33.037639853395063"/>
    <m/>
    <m/>
    <n v="347.25694444444446"/>
    <n v="33.037639853395063"/>
    <m/>
    <m/>
    <m/>
    <m/>
  </r>
  <r>
    <n v="537"/>
    <x v="58"/>
    <x v="1"/>
    <x v="0"/>
    <x v="2"/>
    <x v="1"/>
    <x v="29"/>
    <s v="PWEGPL"/>
    <s v="MSEDCL"/>
    <n v="2.5000000000000001E-2"/>
    <n v="2118"/>
    <x v="293"/>
    <s v="BD"/>
    <d v="1899-12-30T17:51:00"/>
    <d v="1899-12-30T18:20:00"/>
    <d v="1899-12-30T18:30:00"/>
    <n v="0.48333333333333162"/>
    <n v="0.16666666666666874"/>
    <n v="0.65000000000000036"/>
    <s v="reset"/>
    <s v="Close"/>
    <n v="1.6250000000000011E-2"/>
    <s v="G12"/>
    <n v="2.5320659722222252"/>
    <m/>
    <m/>
    <n v="93.491666666666717"/>
    <n v="2.5320659722222252"/>
    <m/>
    <m/>
    <m/>
    <m/>
  </r>
  <r>
    <n v="538"/>
    <x v="58"/>
    <x v="1"/>
    <x v="0"/>
    <x v="2"/>
    <x v="1"/>
    <x v="37"/>
    <s v="PWEGPL"/>
    <s v="MSEDCL"/>
    <n v="2.5000000000000001E-2"/>
    <s v="CE100007"/>
    <x v="295"/>
    <s v="BD"/>
    <d v="1899-12-30T04:58:00"/>
    <d v="1899-12-30T04:58:00"/>
    <d v="1899-12-30T05:29:00"/>
    <n v="0"/>
    <n v="0.51666666666666616"/>
    <n v="0.51666666666666616"/>
    <s v="Isolator female jaw replaced"/>
    <s v="Close"/>
    <n v="1.2916666666666654E-2"/>
    <s v="G17"/>
    <n v="2.0725270061728356"/>
    <m/>
    <m/>
    <n v="96.27222222222214"/>
    <n v="2.0725270061728356"/>
    <m/>
    <m/>
    <m/>
    <m/>
  </r>
  <r>
    <n v="539"/>
    <x v="58"/>
    <x v="1"/>
    <x v="0"/>
    <x v="2"/>
    <x v="1"/>
    <x v="0"/>
    <s v="PWEGPL"/>
    <s v="MSEDCL"/>
    <n v="2.5000000000000001E-2"/>
    <s v="CE100007"/>
    <x v="295"/>
    <s v="BD"/>
    <d v="1899-12-30T04:58:00"/>
    <d v="1899-12-30T04:58:00"/>
    <d v="1899-12-30T05:29:00"/>
    <n v="0"/>
    <n v="0.51666666666666616"/>
    <n v="0.51666666666666616"/>
    <s v="Isolator female jaw replaced"/>
    <s v="Close"/>
    <n v="1.2916666666666654E-2"/>
    <s v="G18"/>
    <n v="1.8500733024691323"/>
    <m/>
    <m/>
    <n v="85.938888888888812"/>
    <n v="1.8500733024691323"/>
    <m/>
    <m/>
    <m/>
    <m/>
  </r>
  <r>
    <n v="540"/>
    <x v="58"/>
    <x v="1"/>
    <x v="0"/>
    <x v="2"/>
    <x v="1"/>
    <x v="38"/>
    <s v="PWEGPL"/>
    <s v="MSEDCL"/>
    <n v="2.5000000000000001E-2"/>
    <s v="CE100007"/>
    <x v="295"/>
    <s v="BD"/>
    <d v="1899-12-30T04:58:00"/>
    <d v="1899-12-30T04:58:00"/>
    <d v="1899-12-30T05:29:00"/>
    <n v="0"/>
    <n v="0.51666666666666616"/>
    <n v="0.51666666666666616"/>
    <s v="Isolator female jaw replaced"/>
    <s v="Close"/>
    <n v="1.2916666666666654E-2"/>
    <s v="G19"/>
    <n v="1.8871489197530829"/>
    <m/>
    <m/>
    <n v="87.661111111111026"/>
    <n v="1.8871489197530829"/>
    <m/>
    <m/>
    <m/>
    <m/>
  </r>
  <r>
    <n v="541"/>
    <x v="58"/>
    <x v="1"/>
    <x v="0"/>
    <x v="2"/>
    <x v="1"/>
    <x v="18"/>
    <s v="PWEGPL"/>
    <s v="MSEDCL"/>
    <n v="2.5000000000000001E-2"/>
    <s v="CE100007"/>
    <x v="295"/>
    <s v="BD"/>
    <d v="1899-12-30T04:58:00"/>
    <d v="1899-12-30T04:58:00"/>
    <d v="1899-12-30T05:29:00"/>
    <n v="0"/>
    <n v="0.51666666666666616"/>
    <n v="0.51666666666666616"/>
    <s v="Isolator female jaw replaced"/>
    <s v="Close"/>
    <n v="1.2916666666666654E-2"/>
    <s v="G20"/>
    <n v="2.1318479938271562"/>
    <m/>
    <m/>
    <n v="99.027777777777672"/>
    <n v="2.1318479938271562"/>
    <m/>
    <m/>
    <m/>
    <m/>
  </r>
  <r>
    <n v="542"/>
    <x v="58"/>
    <x v="1"/>
    <x v="0"/>
    <x v="2"/>
    <x v="1"/>
    <x v="19"/>
    <s v="PWEGPL"/>
    <s v="MSEDCL"/>
    <n v="2.5000000000000001E-2"/>
    <s v="CE100007"/>
    <x v="295"/>
    <s v="BD"/>
    <d v="1899-12-30T04:58:00"/>
    <d v="1899-12-30T04:58:00"/>
    <d v="1899-12-30T05:29:00"/>
    <n v="0"/>
    <n v="0.51666666666666616"/>
    <n v="0.51666666666666616"/>
    <s v="Isolator female jaw replaced"/>
    <s v="Close"/>
    <n v="1.2916666666666654E-2"/>
    <s v="G19"/>
    <n v="1.8871489197530829"/>
    <m/>
    <m/>
    <n v="87.661111111111026"/>
    <n v="1.8871489197530829"/>
    <m/>
    <m/>
    <m/>
    <m/>
  </r>
  <r>
    <n v="543"/>
    <x v="58"/>
    <x v="1"/>
    <x v="0"/>
    <x v="2"/>
    <x v="1"/>
    <x v="33"/>
    <s v="PWEGPL"/>
    <s v="MSEDCL"/>
    <n v="2.5000000000000001E-2"/>
    <n v="200"/>
    <x v="314"/>
    <s v="BD"/>
    <d v="1899-12-30T11:20:00"/>
    <d v="1899-12-30T11:20:00"/>
    <d v="1899-12-30T16:23:00"/>
    <n v="0"/>
    <n v="5.0499999999999989"/>
    <n v="5.0499999999999989"/>
    <s v="accumulator replaced"/>
    <s v="Close"/>
    <n v="0.12624999999999997"/>
    <s v="G22"/>
    <n v="250.59748263888878"/>
    <m/>
    <m/>
    <n v="1190.958333333333"/>
    <n v="250.59748263888878"/>
    <m/>
    <m/>
    <m/>
    <m/>
  </r>
  <r>
    <n v="544"/>
    <x v="58"/>
    <x v="1"/>
    <x v="0"/>
    <x v="2"/>
    <x v="1"/>
    <x v="34"/>
    <s v="PWEGPL"/>
    <s v="MSEDCL"/>
    <n v="2.5000000000000001E-2"/>
    <n v="5216"/>
    <x v="306"/>
    <s v="BD"/>
    <d v="1899-12-30T06:52:00"/>
    <d v="1899-12-30T06:52:00"/>
    <d v="1899-12-30T06:53:00"/>
    <n v="0"/>
    <n v="1.6666666666665275E-2"/>
    <n v="1.6666666666665275E-2"/>
    <s v="reset"/>
    <s v="Close"/>
    <n v="4.1666666666663189E-4"/>
    <s v="G23"/>
    <n v="2.465277777777366E-3"/>
    <m/>
    <m/>
    <n v="3.5499999999997036"/>
    <n v="2.465277777777366E-3"/>
    <m/>
    <m/>
    <m/>
    <m/>
  </r>
  <r>
    <n v="545"/>
    <x v="58"/>
    <x v="1"/>
    <x v="0"/>
    <x v="2"/>
    <x v="1"/>
    <x v="1"/>
    <s v="PWEGPL"/>
    <s v="MSEDCL"/>
    <n v="2.5000000000000001E-2"/>
    <n v="115"/>
    <x v="308"/>
    <s v="BD"/>
    <d v="1899-12-30T11:45:00"/>
    <d v="1899-12-30T11:45:00"/>
    <d v="1899-12-30T18:16:00"/>
    <n v="0"/>
    <n v="6.5166666666666657"/>
    <n v="6.5166666666666657"/>
    <s v="Yaw caliper replaced"/>
    <s v="Close"/>
    <n v="0.16291666666666665"/>
    <s v="G24"/>
    <n v="395.32596547067885"/>
    <m/>
    <m/>
    <n v="1455.9319444444441"/>
    <n v="395.32596547067885"/>
    <m/>
    <m/>
    <m/>
    <m/>
  </r>
  <r>
    <n v="546"/>
    <x v="58"/>
    <x v="1"/>
    <x v="0"/>
    <x v="2"/>
    <x v="1"/>
    <x v="35"/>
    <s v="PWEGPL"/>
    <s v="MSEDCL"/>
    <n v="2.5000000000000001E-2"/>
    <n v="5216"/>
    <x v="306"/>
    <s v="BD"/>
    <d v="1899-12-30T06:52:00"/>
    <d v="1899-12-30T06:52:00"/>
    <d v="1899-12-30T06:53:00"/>
    <n v="0"/>
    <n v="1.6666666666665275E-2"/>
    <n v="1.6666666666665275E-2"/>
    <s v="reset"/>
    <s v="Close"/>
    <n v="4.1666666666663189E-4"/>
    <s v="G25"/>
    <n v="2.4131944444440415E-3"/>
    <m/>
    <m/>
    <n v="3.4749999999997101"/>
    <n v="2.4131944444440415E-3"/>
    <m/>
    <m/>
    <m/>
    <m/>
  </r>
  <r>
    <n v="547"/>
    <x v="58"/>
    <x v="1"/>
    <x v="0"/>
    <x v="2"/>
    <x v="1"/>
    <x v="36"/>
    <s v="PWEGPL"/>
    <s v="MSEDCL"/>
    <n v="2.5000000000000001E-2"/>
    <n v="5216"/>
    <x v="306"/>
    <s v="BD"/>
    <d v="1899-12-30T06:52:00"/>
    <d v="1899-12-30T06:52:00"/>
    <d v="1899-12-30T06:53:00"/>
    <n v="0"/>
    <n v="1.6666666666665275E-2"/>
    <n v="1.6666666666665275E-2"/>
    <s v="reset"/>
    <s v="Close"/>
    <n v="4.1666666666663189E-4"/>
    <s v="G26"/>
    <n v="2.8115354938266909E-3"/>
    <m/>
    <m/>
    <n v="4.0486111111107732"/>
    <n v="2.8115354938266909E-3"/>
    <m/>
    <m/>
    <m/>
    <m/>
  </r>
  <r>
    <n v="548"/>
    <x v="58"/>
    <x v="1"/>
    <x v="0"/>
    <x v="2"/>
    <x v="1"/>
    <x v="8"/>
    <s v="PWEGPL"/>
    <s v="MSEDCL"/>
    <n v="2.5000000000000001E-2"/>
    <n v="5216"/>
    <x v="306"/>
    <s v="BD"/>
    <d v="1899-12-30T06:52:00"/>
    <d v="1899-12-30T06:52:00"/>
    <d v="1899-12-30T06:53:00"/>
    <n v="0"/>
    <n v="1.6666666666665275E-2"/>
    <n v="1.6666666666665275E-2"/>
    <s v="reset"/>
    <s v="Close"/>
    <n v="4.1666666666663189E-4"/>
    <s v="G28"/>
    <n v="2.0871913580243432E-3"/>
    <m/>
    <m/>
    <n v="3.0055555555553046"/>
    <n v="2.0871913580243432E-3"/>
    <m/>
    <m/>
    <m/>
    <m/>
  </r>
  <r>
    <n v="549"/>
    <x v="58"/>
    <x v="1"/>
    <x v="0"/>
    <x v="2"/>
    <x v="1"/>
    <x v="9"/>
    <s v="PWEGPL"/>
    <s v="MSEDCL"/>
    <n v="2.5000000000000001E-2"/>
    <n v="800"/>
    <x v="298"/>
    <s v="BD"/>
    <d v="1899-12-30T06:23:00"/>
    <d v="1899-12-30T09:10:00"/>
    <d v="1899-12-30T12:35:00"/>
    <n v="2.7833333333333328"/>
    <n v="3.4166666666666679"/>
    <n v="6.2000000000000011"/>
    <s v="proportional valve changed"/>
    <s v="Close"/>
    <n v="0.15500000000000003"/>
    <s v="G29"/>
    <n v="359.30722222222238"/>
    <m/>
    <m/>
    <n v="1390.866666666667"/>
    <n v="359.30722222222238"/>
    <m/>
    <m/>
    <m/>
    <m/>
  </r>
  <r>
    <n v="550"/>
    <x v="58"/>
    <x v="1"/>
    <x v="0"/>
    <x v="2"/>
    <x v="1"/>
    <x v="10"/>
    <s v="PWEGPL"/>
    <s v="MSEDCL"/>
    <n v="2.5000000000000001E-2"/>
    <n v="5216"/>
    <x v="306"/>
    <s v="BD"/>
    <d v="1899-12-30T06:52:00"/>
    <d v="1899-12-30T06:52:00"/>
    <d v="1899-12-30T06:53:00"/>
    <n v="0"/>
    <n v="1.6666666666665275E-2"/>
    <n v="1.6666666666665275E-2"/>
    <s v="reset"/>
    <s v="Close"/>
    <n v="4.1666666666663189E-4"/>
    <s v="G30"/>
    <n v="2.6890432098760943E-3"/>
    <m/>
    <m/>
    <n v="3.8722222222218989"/>
    <n v="2.6890432098760943E-3"/>
    <m/>
    <m/>
    <m/>
    <m/>
  </r>
  <r>
    <n v="551"/>
    <x v="58"/>
    <x v="1"/>
    <x v="0"/>
    <x v="2"/>
    <x v="1"/>
    <x v="11"/>
    <s v="PWEGPL"/>
    <s v="MSEDCL"/>
    <n v="2.5000000000000001E-2"/>
    <n v="5216"/>
    <x v="306"/>
    <s v="BD"/>
    <d v="1899-12-30T06:52:00"/>
    <d v="1899-12-30T06:52:00"/>
    <d v="1899-12-30T06:53:00"/>
    <n v="0"/>
    <n v="1.6666666666665275E-2"/>
    <n v="1.6666666666665275E-2"/>
    <s v="reset"/>
    <s v="Close"/>
    <n v="4.1666666666663189E-4"/>
    <s v="G31"/>
    <n v="2.96006944444395E-3"/>
    <m/>
    <m/>
    <n v="4.262499999999644"/>
    <n v="2.96006944444395E-3"/>
    <m/>
    <m/>
    <m/>
    <m/>
  </r>
  <r>
    <n v="552"/>
    <x v="58"/>
    <x v="1"/>
    <x v="0"/>
    <x v="2"/>
    <x v="1"/>
    <x v="12"/>
    <s v="PWEGPL"/>
    <s v="MSEDCL"/>
    <n v="2.5000000000000001E-2"/>
    <n v="5216"/>
    <x v="306"/>
    <s v="BD"/>
    <d v="1899-12-30T06:52:00"/>
    <d v="1899-12-30T06:52:00"/>
    <d v="1899-12-30T06:53:00"/>
    <n v="0"/>
    <n v="1.6666666666665275E-2"/>
    <n v="1.6666666666665275E-2"/>
    <s v="reset"/>
    <s v="Close"/>
    <n v="4.1666666666663189E-4"/>
    <s v="G32"/>
    <n v="2.4546682098761335E-3"/>
    <m/>
    <m/>
    <n v="3.5347222222219274"/>
    <n v="2.4546682098761335E-3"/>
    <m/>
    <m/>
    <m/>
    <m/>
  </r>
  <r>
    <n v="553"/>
    <x v="59"/>
    <x v="1"/>
    <x v="0"/>
    <x v="2"/>
    <x v="1"/>
    <x v="24"/>
    <s v="PWEGPL"/>
    <s v="MSEDCL"/>
    <n v="2.5000000000000001E-2"/>
    <n v="118"/>
    <x v="313"/>
    <s v="BD"/>
    <d v="1899-12-30T00:12:00"/>
    <d v="1899-12-30T01:07:00"/>
    <d v="1899-12-30T02:58:00"/>
    <n v="0.91666666666666674"/>
    <n v="1.85"/>
    <n v="2.7666666666666666"/>
    <s v="Trouble shooting"/>
    <s v="Close"/>
    <n v="6.9166666666666668E-2"/>
    <s v="G6"/>
    <n v="157.44766975308642"/>
    <m/>
    <m/>
    <n v="1365.8111111111111"/>
    <n v="157.44766975308642"/>
    <m/>
    <m/>
    <m/>
    <m/>
  </r>
  <r>
    <n v="554"/>
    <x v="59"/>
    <x v="1"/>
    <x v="0"/>
    <x v="2"/>
    <x v="1"/>
    <x v="27"/>
    <s v="PWEGPL"/>
    <s v="MSEDCL"/>
    <n v="2.5000000000000001E-2"/>
    <s v="CE100007"/>
    <x v="295"/>
    <s v="PM"/>
    <d v="1899-12-30T11:22:00"/>
    <d v="1899-12-30T11:22:00"/>
    <d v="1899-12-30T12:28:00"/>
    <n v="0"/>
    <n v="1.1000000000000001"/>
    <n v="1.1000000000000001"/>
    <s v="LC taken for VCB-yard yearly maintenance"/>
    <s v="Close"/>
    <n v="2.7500000000000004E-2"/>
    <s v="G10"/>
    <n v="25.309166666666673"/>
    <m/>
    <m/>
    <n v="552.20000000000005"/>
    <n v="25.309166666666673"/>
    <m/>
    <m/>
    <m/>
    <m/>
  </r>
  <r>
    <n v="555"/>
    <x v="59"/>
    <x v="1"/>
    <x v="0"/>
    <x v="2"/>
    <x v="1"/>
    <x v="28"/>
    <s v="PWEGPL"/>
    <s v="MSEDCL"/>
    <n v="2.5000000000000001E-2"/>
    <s v="CE100014"/>
    <x v="305"/>
    <s v="PM/Lift inspention"/>
    <d v="1899-12-30T13:13:00"/>
    <d v="1899-12-30T13:13:00"/>
    <d v="1899-12-30T15:33:00"/>
    <n v="0"/>
    <n v="2.333333333333333"/>
    <n v="2.333333333333333"/>
    <s v=" Avanti Lift Inspection"/>
    <s v="Close"/>
    <n v="5.8333333333333327E-2"/>
    <s v="G11"/>
    <n v="74.6909722222222"/>
    <m/>
    <m/>
    <n v="768.24999999999989"/>
    <n v="74.6909722222222"/>
    <m/>
    <m/>
    <m/>
    <m/>
  </r>
  <r>
    <n v="556"/>
    <x v="59"/>
    <x v="1"/>
    <x v="0"/>
    <x v="2"/>
    <x v="1"/>
    <x v="29"/>
    <s v="PWEGPL"/>
    <s v="MSEDCL"/>
    <n v="2.5000000000000001E-2"/>
    <s v="CE100014"/>
    <x v="305"/>
    <s v="PM/Lift inspention"/>
    <d v="1899-12-30T10:41:00"/>
    <d v="1899-12-30T10:41:00"/>
    <d v="1899-12-30T13:06:00"/>
    <n v="0"/>
    <n v="2.4166666666666647"/>
    <n v="2.4166666666666647"/>
    <s v=" Avanti Lift Inspection"/>
    <s v="Close"/>
    <n v="6.0416666666666619E-2"/>
    <s v="G12"/>
    <n v="107.01092303240723"/>
    <m/>
    <m/>
    <n v="1062.7291666666658"/>
    <n v="107.01092303240723"/>
    <m/>
    <m/>
    <m/>
    <m/>
  </r>
  <r>
    <n v="557"/>
    <x v="59"/>
    <x v="1"/>
    <x v="0"/>
    <x v="2"/>
    <x v="1"/>
    <x v="30"/>
    <s v="PWEGPL"/>
    <s v="MSEDCL"/>
    <n v="2.5000000000000001E-2"/>
    <s v="CE100007"/>
    <x v="295"/>
    <s v="PM"/>
    <d v="1899-12-30T11:22:00"/>
    <d v="1899-12-30T11:22:00"/>
    <d v="1899-12-30T12:28:00"/>
    <n v="0"/>
    <n v="1.1000000000000001"/>
    <n v="1.1000000000000001"/>
    <s v="LC taken for VCB-yard yearly maintenance"/>
    <s v="Close"/>
    <n v="2.7500000000000004E-2"/>
    <s v="G13"/>
    <n v="22.406006944444449"/>
    <m/>
    <m/>
    <n v="488.85833333333341"/>
    <n v="22.406006944444449"/>
    <m/>
    <m/>
    <m/>
    <m/>
  </r>
  <r>
    <n v="558"/>
    <x v="59"/>
    <x v="1"/>
    <x v="0"/>
    <x v="2"/>
    <x v="1"/>
    <x v="31"/>
    <s v="PWEGPL"/>
    <s v="MSEDCL"/>
    <n v="2.5000000000000001E-2"/>
    <s v="CE100007"/>
    <x v="295"/>
    <s v="PM"/>
    <d v="1899-12-30T11:22:00"/>
    <d v="1899-12-30T11:22:00"/>
    <d v="1899-12-30T12:28:00"/>
    <n v="0"/>
    <n v="1.1000000000000001"/>
    <n v="1.1000000000000001"/>
    <s v="LC taken for VCB-yard yearly maintenance"/>
    <s v="Close"/>
    <n v="2.7500000000000004E-2"/>
    <s v="G14"/>
    <n v="22.095104166666673"/>
    <m/>
    <m/>
    <n v="482.07500000000005"/>
    <n v="22.095104166666673"/>
    <m/>
    <m/>
    <m/>
    <m/>
  </r>
  <r>
    <n v="559"/>
    <x v="59"/>
    <x v="1"/>
    <x v="0"/>
    <x v="2"/>
    <x v="1"/>
    <x v="32"/>
    <s v="PWEGPL"/>
    <s v="MSEDCL"/>
    <n v="2.5000000000000001E-2"/>
    <s v="CE100007"/>
    <x v="295"/>
    <s v="PM"/>
    <d v="1899-12-30T11:22:00"/>
    <d v="1899-12-30T11:22:00"/>
    <d v="1899-12-30T12:28:00"/>
    <n v="0"/>
    <n v="1.1000000000000001"/>
    <n v="1.1000000000000001"/>
    <s v="LC taken for VCB-yard yearly maintenance"/>
    <s v="Close"/>
    <n v="2.7500000000000004E-2"/>
    <s v="G15"/>
    <n v="21.897638888888892"/>
    <m/>
    <m/>
    <n v="477.76666666666671"/>
    <n v="21.897638888888892"/>
    <m/>
    <m/>
    <m/>
    <m/>
  </r>
  <r>
    <n v="560"/>
    <x v="59"/>
    <x v="1"/>
    <x v="0"/>
    <x v="2"/>
    <x v="1"/>
    <x v="39"/>
    <s v="PWEGPL"/>
    <s v="MSEDCL"/>
    <n v="2.5000000000000001E-2"/>
    <s v="CE100007"/>
    <x v="295"/>
    <s v="PM"/>
    <d v="1899-12-30T11:22:00"/>
    <d v="1899-12-30T11:22:00"/>
    <d v="1899-12-30T12:28:00"/>
    <n v="0"/>
    <n v="1.1000000000000001"/>
    <n v="1.1000000000000001"/>
    <s v="LC taken for VCB-yard yearly maintenance"/>
    <s v="Close"/>
    <n v="2.7500000000000004E-2"/>
    <s v="G16"/>
    <n v="16.427430555555556"/>
    <m/>
    <m/>
    <n v="358.41666666666669"/>
    <n v="16.427430555555556"/>
    <m/>
    <m/>
    <m/>
    <m/>
  </r>
  <r>
    <n v="561"/>
    <x v="59"/>
    <x v="1"/>
    <x v="0"/>
    <x v="2"/>
    <x v="1"/>
    <x v="37"/>
    <s v="PWEGPL"/>
    <s v="MSEDCL"/>
    <n v="2.5000000000000001E-2"/>
    <s v="CE100007"/>
    <x v="295"/>
    <s v="PM"/>
    <d v="1899-12-30T11:22:00"/>
    <d v="1899-12-30T11:22:00"/>
    <d v="1899-12-30T12:28:00"/>
    <n v="0"/>
    <n v="1.1000000000000001"/>
    <n v="1.1000000000000001"/>
    <s v="LC taken for VCB-yard yearly maintenance"/>
    <s v="Close"/>
    <n v="2.7500000000000004E-2"/>
    <s v="G17"/>
    <n v="24.326041666666669"/>
    <m/>
    <m/>
    <n v="530.75"/>
    <n v="24.326041666666669"/>
    <m/>
    <m/>
    <m/>
    <m/>
  </r>
  <r>
    <n v="562"/>
    <x v="59"/>
    <x v="1"/>
    <x v="0"/>
    <x v="2"/>
    <x v="1"/>
    <x v="0"/>
    <s v="PWEGPL"/>
    <s v="MSEDCL"/>
    <n v="2.5000000000000001E-2"/>
    <s v="CE100007"/>
    <x v="295"/>
    <s v="PM"/>
    <d v="1899-12-30T11:22:00"/>
    <d v="1899-12-30T11:22:00"/>
    <d v="1899-12-30T12:28:00"/>
    <n v="0"/>
    <n v="1.1000000000000001"/>
    <n v="1.1000000000000001"/>
    <s v="LC taken for VCB-yard yearly maintenance"/>
    <s v="Close"/>
    <n v="2.7500000000000004E-2"/>
    <s v="G18"/>
    <n v="25.031875000000007"/>
    <m/>
    <m/>
    <n v="546.15000000000009"/>
    <n v="25.031875000000007"/>
    <m/>
    <m/>
    <m/>
    <m/>
  </r>
  <r>
    <n v="563"/>
    <x v="59"/>
    <x v="1"/>
    <x v="0"/>
    <x v="2"/>
    <x v="1"/>
    <x v="38"/>
    <s v="PWEGPL"/>
    <s v="MSEDCL"/>
    <n v="2.5000000000000001E-2"/>
    <s v="CE100007"/>
    <x v="295"/>
    <s v="PM"/>
    <d v="1899-12-30T11:22:00"/>
    <d v="1899-12-30T11:22:00"/>
    <d v="1899-12-30T12:28:00"/>
    <n v="0"/>
    <n v="1.1000000000000001"/>
    <n v="1.1000000000000001"/>
    <s v="LC taken for VCB-yard yearly maintenance"/>
    <s v="Close"/>
    <n v="2.7500000000000004E-2"/>
    <s v="G19"/>
    <n v="25.258750000000003"/>
    <m/>
    <m/>
    <n v="551.1"/>
    <n v="25.258750000000003"/>
    <m/>
    <m/>
    <m/>
    <m/>
  </r>
  <r>
    <n v="564"/>
    <x v="59"/>
    <x v="1"/>
    <x v="0"/>
    <x v="2"/>
    <x v="1"/>
    <x v="18"/>
    <s v="PWEGPL"/>
    <s v="MSEDCL"/>
    <n v="2.5000000000000001E-2"/>
    <s v="CE100007"/>
    <x v="295"/>
    <s v="PM"/>
    <d v="1899-12-30T11:22:00"/>
    <d v="1899-12-30T11:22:00"/>
    <d v="1899-12-30T12:28:00"/>
    <n v="0"/>
    <n v="1.1000000000000001"/>
    <n v="1.1000000000000001"/>
    <s v="LC taken for VCB-yard yearly maintenance"/>
    <s v="Close"/>
    <n v="2.7500000000000004E-2"/>
    <s v="G20"/>
    <n v="28.40769097222223"/>
    <m/>
    <m/>
    <n v="619.80416666666679"/>
    <n v="28.40769097222223"/>
    <m/>
    <m/>
    <m/>
    <m/>
  </r>
  <r>
    <n v="565"/>
    <x v="59"/>
    <x v="1"/>
    <x v="0"/>
    <x v="2"/>
    <x v="1"/>
    <x v="19"/>
    <s v="PWEGPL"/>
    <s v="MSEDCL"/>
    <n v="2.5000000000000001E-2"/>
    <s v="CE100007"/>
    <x v="295"/>
    <s v="PM"/>
    <d v="1899-12-30T11:22:00"/>
    <d v="1899-12-30T11:22:00"/>
    <d v="1899-12-30T12:28:00"/>
    <n v="0"/>
    <n v="1.1000000000000001"/>
    <n v="1.1000000000000001"/>
    <s v="LC taken for VCB-yard yearly maintenance"/>
    <s v="Close"/>
    <n v="2.7500000000000004E-2"/>
    <s v="G19"/>
    <n v="25.258750000000003"/>
    <m/>
    <m/>
    <n v="551.1"/>
    <n v="25.258750000000003"/>
    <m/>
    <m/>
    <m/>
    <m/>
  </r>
  <r>
    <n v="566"/>
    <x v="59"/>
    <x v="1"/>
    <x v="0"/>
    <x v="2"/>
    <x v="1"/>
    <x v="35"/>
    <s v="PWEGPL"/>
    <s v="MSEDCL"/>
    <n v="2.5000000000000001E-2"/>
    <n v="907"/>
    <x v="292"/>
    <s v="BD"/>
    <d v="1899-12-30T16:56:00"/>
    <d v="1899-12-30T17:21:00"/>
    <d v="1899-12-30T17:36:00"/>
    <n v="0.41666666666666785"/>
    <n v="0.24999999999999911"/>
    <n v="0.66666666666666696"/>
    <s v="reset"/>
    <s v="Close"/>
    <n v="1.6666666666666673E-2"/>
    <s v="G25"/>
    <n v="7.4737654320987712"/>
    <m/>
    <m/>
    <n v="269.05555555555566"/>
    <n v="7.4737654320987712"/>
    <m/>
    <m/>
    <m/>
    <m/>
  </r>
  <r>
    <n v="567"/>
    <x v="59"/>
    <x v="1"/>
    <x v="0"/>
    <x v="2"/>
    <x v="1"/>
    <x v="2"/>
    <s v="PWEGPL"/>
    <s v="MSEDCL"/>
    <n v="2.5000000000000001E-2"/>
    <s v="CE100010"/>
    <x v="296"/>
    <s v="PM"/>
    <d v="1899-12-30T09:56:00"/>
    <d v="1899-12-30T09:56:00"/>
    <d v="1899-12-30T17:38:00"/>
    <n v="0"/>
    <n v="7.6999999999999975"/>
    <n v="7.6999999999999975"/>
    <s v="102 PM service"/>
    <s v="Close"/>
    <n v="0.19249999999999995"/>
    <s v="G32"/>
    <n v="799.17979166666623"/>
    <m/>
    <m/>
    <n v="2490.9499999999994"/>
    <n v="799.17979166666623"/>
    <m/>
    <m/>
    <m/>
    <m/>
  </r>
  <r>
    <n v="568"/>
    <x v="59"/>
    <x v="1"/>
    <x v="0"/>
    <x v="2"/>
    <x v="1"/>
    <x v="4"/>
    <s v="PWEGPL"/>
    <s v="MSEDCL"/>
    <n v="2.5000000000000001E-2"/>
    <n v="500"/>
    <x v="302"/>
    <s v="BD"/>
    <d v="1899-12-30T23:31:00"/>
    <d v="1899-12-30T23:40:00"/>
    <d v="1899-12-30T23:48:00"/>
    <n v="0.15000000000000213"/>
    <n v="0.13333333333333286"/>
    <n v="0.28333333333333499"/>
    <s v="reset"/>
    <s v="Close"/>
    <n v="7.0833333333333755E-3"/>
    <s v="G38"/>
    <n v="1.2512741126543356"/>
    <m/>
    <m/>
    <n v="105.99027777777839"/>
    <n v="1.2512741126543356"/>
    <m/>
    <m/>
    <m/>
    <m/>
  </r>
  <r>
    <n v="569"/>
    <x v="59"/>
    <x v="1"/>
    <x v="0"/>
    <x v="2"/>
    <x v="1"/>
    <x v="29"/>
    <s v="PWEGPL"/>
    <s v="MSEDCL"/>
    <n v="2.5000000000000001E-2"/>
    <n v="2118"/>
    <x v="293"/>
    <s v="BD"/>
    <d v="1899-12-30T21:44:00"/>
    <d v="1899-12-30T23:09:00"/>
    <d v="1899-12-30T23:56:00"/>
    <n v="1.4166666666666643"/>
    <n v="0.78333333333333588"/>
    <n v="2.2000000000000002"/>
    <s v="reset"/>
    <s v="Close"/>
    <n v="5.5000000000000007E-2"/>
    <s v="G12"/>
    <n v="88.682916666666685"/>
    <m/>
    <m/>
    <n v="967.45"/>
    <n v="88.682916666666685"/>
    <m/>
    <m/>
    <m/>
    <m/>
  </r>
  <r>
    <n v="570"/>
    <x v="59"/>
    <x v="1"/>
    <x v="0"/>
    <x v="2"/>
    <x v="1"/>
    <x v="37"/>
    <s v="PWEGPL"/>
    <s v="MSEDCL"/>
    <n v="2.5000000000000001E-2"/>
    <n v="2118"/>
    <x v="293"/>
    <s v="BD"/>
    <d v="1899-12-30T21:51:00"/>
    <d v="1899-12-30T22:27:00"/>
    <d v="1899-12-30T22:27:00"/>
    <n v="0.59999999999999787"/>
    <n v="0"/>
    <n v="0.59999999999999787"/>
    <s v="reset"/>
    <s v="Close"/>
    <n v="1.4999999999999947E-2"/>
    <s v="G17"/>
    <n v="7.2374999999999483"/>
    <m/>
    <m/>
    <n v="289.49999999999898"/>
    <n v="7.2374999999999483"/>
    <m/>
    <m/>
    <m/>
    <m/>
  </r>
  <r>
    <n v="571"/>
    <x v="59"/>
    <x v="1"/>
    <x v="0"/>
    <x v="2"/>
    <x v="1"/>
    <x v="37"/>
    <s v="PWEGPL"/>
    <s v="MSEDCL"/>
    <n v="2.5000000000000001E-2"/>
    <n v="5201"/>
    <x v="299"/>
    <s v="BD"/>
    <d v="1899-12-30T23:28:00"/>
    <d v="1899-12-30T23:59:00"/>
    <d v="1899-12-30T23:59:00"/>
    <n v="0.5166666666666675"/>
    <n v="0"/>
    <n v="0.5166666666666675"/>
    <s v="reset"/>
    <s v="Close"/>
    <n v="1.2916666666666687E-2"/>
    <s v="G17"/>
    <n v="5.3666956018518688"/>
    <m/>
    <m/>
    <n v="249.29166666666706"/>
    <n v="5.3666956018518688"/>
    <m/>
    <m/>
    <m/>
    <m/>
  </r>
  <r>
    <n v="572"/>
    <x v="60"/>
    <x v="1"/>
    <x v="0"/>
    <x v="2"/>
    <x v="1"/>
    <x v="23"/>
    <s v="PWEGPL"/>
    <s v="MSEDCL"/>
    <n v="2.5000000000000001E-2"/>
    <n v="5222"/>
    <x v="315"/>
    <s v="BD"/>
    <d v="1899-12-30T23:11:00"/>
    <d v="1899-12-30T23:59:00"/>
    <d v="1899-12-30T23:59:00"/>
    <n v="0.79999999999999982"/>
    <n v="0"/>
    <n v="0.79999999999999982"/>
    <s v="reset"/>
    <s v="Open"/>
    <n v="1.9999999999999997E-2"/>
    <s v="G5"/>
    <n v="15.907777777777769"/>
    <m/>
    <m/>
    <n v="477.23333333333318"/>
    <n v="15.907777777777769"/>
    <m/>
    <m/>
    <m/>
    <m/>
  </r>
  <r>
    <n v="573"/>
    <x v="60"/>
    <x v="1"/>
    <x v="0"/>
    <x v="2"/>
    <x v="1"/>
    <x v="17"/>
    <s v="PWEGPL"/>
    <s v="MSEDCL"/>
    <n v="2.5000000000000001E-2"/>
    <s v="CE100014"/>
    <x v="305"/>
    <s v="PM/Lift inspention"/>
    <d v="1899-12-30T10:48:00"/>
    <d v="1899-12-30T10:48:00"/>
    <d v="1899-12-30T13:08:00"/>
    <n v="0"/>
    <n v="2.3333333333333317"/>
    <n v="2.3333333333333317"/>
    <s v="Avanti lift inspection"/>
    <s v="Close"/>
    <n v="5.8333333333333293E-2"/>
    <s v="G9"/>
    <n v="121.42245370370354"/>
    <m/>
    <m/>
    <n v="1248.9166666666658"/>
    <n v="121.42245370370354"/>
    <m/>
    <m/>
    <m/>
    <m/>
  </r>
  <r>
    <n v="574"/>
    <x v="60"/>
    <x v="1"/>
    <x v="0"/>
    <x v="2"/>
    <x v="1"/>
    <x v="27"/>
    <s v="PWEGPL"/>
    <s v="MSEDCL"/>
    <n v="2.5000000000000001E-2"/>
    <s v="CE100014"/>
    <x v="305"/>
    <s v="PM/Lift inspention"/>
    <d v="1899-12-30T13:25:00"/>
    <d v="1899-12-30T13:25:00"/>
    <d v="1899-12-30T15:35:00"/>
    <n v="0"/>
    <n v="2.166666666666667"/>
    <n v="2.166666666666667"/>
    <s v="Avanti lift inspection"/>
    <s v="Close"/>
    <n v="5.4166666666666675E-2"/>
    <s v="G10"/>
    <n v="130.6131365740741"/>
    <m/>
    <m/>
    <n v="1446.791666666667"/>
    <n v="130.6131365740741"/>
    <m/>
    <m/>
    <m/>
    <m/>
  </r>
  <r>
    <n v="575"/>
    <x v="60"/>
    <x v="1"/>
    <x v="0"/>
    <x v="2"/>
    <x v="1"/>
    <x v="29"/>
    <s v="PWEGPL"/>
    <s v="MSEDCL"/>
    <n v="2.5000000000000001E-2"/>
    <n v="2118"/>
    <x v="293"/>
    <s v="BD"/>
    <d v="1899-12-30T20:59:00"/>
    <d v="1899-12-30T23:09:00"/>
    <d v="1899-12-30T23:55:00"/>
    <n v="2.1666666666666643"/>
    <n v="0.76666666666666927"/>
    <n v="2.9333333333333336"/>
    <s v="reset"/>
    <s v="Close"/>
    <n v="7.3333333333333348E-2"/>
    <s v="G12"/>
    <n v="218.51703703703708"/>
    <m/>
    <m/>
    <n v="1787.8666666666668"/>
    <n v="218.51703703703708"/>
    <m/>
    <m/>
    <m/>
    <m/>
  </r>
  <r>
    <n v="576"/>
    <x v="60"/>
    <x v="1"/>
    <x v="0"/>
    <x v="2"/>
    <x v="1"/>
    <x v="1"/>
    <s v="PWEGPL"/>
    <s v="MSEDCL"/>
    <n v="2.5000000000000001E-2"/>
    <n v="509"/>
    <x v="301"/>
    <s v="BD"/>
    <d v="1899-12-30T22:11:00"/>
    <d v="1899-12-30T22:11:00"/>
    <d v="1899-12-30T22:59:00"/>
    <n v="0"/>
    <n v="0.79999999999999982"/>
    <n v="0.79999999999999982"/>
    <s v="Fan capacitor replaced"/>
    <s v="Close"/>
    <n v="1.9999999999999997E-2"/>
    <s v="G24"/>
    <n v="18.744444444444433"/>
    <m/>
    <m/>
    <n v="562.33333333333314"/>
    <n v="18.744444444444433"/>
    <m/>
    <m/>
    <m/>
    <m/>
  </r>
  <r>
    <n v="577"/>
    <x v="60"/>
    <x v="1"/>
    <x v="0"/>
    <x v="2"/>
    <x v="1"/>
    <x v="9"/>
    <s v="PWEGPL"/>
    <s v="MSEDCL"/>
    <n v="2.5000000000000001E-2"/>
    <n v="800"/>
    <x v="298"/>
    <s v="BD"/>
    <d v="1899-12-30T00:02:00"/>
    <d v="1899-12-30T01:35:00"/>
    <d v="1899-12-30T06:43:00"/>
    <n v="1.5500000000000003"/>
    <n v="5.1333333333333337"/>
    <n v="6.6833333333333336"/>
    <s v="Propotional valve loose connection tightened"/>
    <s v="Close"/>
    <n v="0.16708333333333336"/>
    <s v="G29"/>
    <n v="1285.1052141203706"/>
    <m/>
    <m/>
    <n v="4614.8416666666672"/>
    <n v="1285.1052141203706"/>
    <m/>
    <m/>
    <m/>
    <m/>
  </r>
  <r>
    <n v="578"/>
    <x v="60"/>
    <x v="1"/>
    <x v="0"/>
    <x v="2"/>
    <x v="1"/>
    <x v="9"/>
    <s v="PWEGPL"/>
    <s v="MSEDCL"/>
    <n v="2.5000000000000001E-2"/>
    <n v="429"/>
    <x v="316"/>
    <s v="BD"/>
    <d v="1899-12-30T14:54:00"/>
    <d v="1899-12-30T14:54:00"/>
    <d v="1899-12-30T15:34:00"/>
    <n v="0"/>
    <n v="0.66666666666666696"/>
    <n v="0.66666666666666696"/>
    <s v="Radiator cleaned"/>
    <s v="Close"/>
    <n v="1.6666666666666673E-2"/>
    <s v="G29"/>
    <n v="12.787037037037049"/>
    <m/>
    <m/>
    <n v="460.33333333333354"/>
    <n v="12.787037037037049"/>
    <m/>
    <m/>
    <m/>
    <m/>
  </r>
  <r>
    <n v="579"/>
    <x v="60"/>
    <x v="1"/>
    <x v="0"/>
    <x v="2"/>
    <x v="1"/>
    <x v="3"/>
    <s v="PWEGPL"/>
    <s v="MSEDCL"/>
    <n v="2.5000000000000001E-2"/>
    <n v="429"/>
    <x v="316"/>
    <s v="BD"/>
    <d v="1899-12-30T13:51:00"/>
    <d v="1899-12-30T13:51:00"/>
    <d v="1899-12-30T14:21:00"/>
    <n v="0"/>
    <n v="0.50000000000000089"/>
    <n v="0.50000000000000089"/>
    <s v="Radiator cleaned"/>
    <s v="Close"/>
    <n v="1.2500000000000023E-2"/>
    <s v="G26"/>
    <n v="6.1024305555555776"/>
    <m/>
    <m/>
    <n v="292.9166666666672"/>
    <n v="6.1024305555555776"/>
    <m/>
    <m/>
    <m/>
    <m/>
  </r>
  <r>
    <n v="580"/>
    <x v="60"/>
    <x v="1"/>
    <x v="0"/>
    <x v="2"/>
    <x v="1"/>
    <x v="4"/>
    <s v="PWEGPL"/>
    <s v="MSEDCL"/>
    <n v="2.5000000000000001E-2"/>
    <n v="500"/>
    <x v="302"/>
    <s v="BD"/>
    <d v="1899-12-30T01:26:00"/>
    <d v="1899-12-30T01:26:00"/>
    <d v="1899-12-30T03:03:00"/>
    <n v="0"/>
    <n v="1.6166666666666663"/>
    <n v="1.6166666666666663"/>
    <s v="reset"/>
    <s v="Close"/>
    <n v="4.0416666666666656E-2"/>
    <s v="G38"/>
    <n v="67.708862847222193"/>
    <m/>
    <m/>
    <n v="1005.1624999999998"/>
    <n v="67.708862847222193"/>
    <m/>
    <m/>
    <m/>
    <m/>
  </r>
  <r>
    <n v="581"/>
    <x v="60"/>
    <x v="1"/>
    <x v="0"/>
    <x v="2"/>
    <x v="1"/>
    <x v="4"/>
    <s v="PWEGPL"/>
    <s v="MSEDCL"/>
    <n v="2.5000000000000001E-2"/>
    <n v="501"/>
    <x v="317"/>
    <s v="BD"/>
    <d v="1899-12-30T11:10:00"/>
    <d v="1899-12-30T11:10:00"/>
    <d v="1899-12-30T13:17:00"/>
    <n v="0"/>
    <n v="2.1166666666666685"/>
    <n v="2.1166666666666685"/>
    <s v="Generator Motor replaced"/>
    <s v="Close"/>
    <n v="5.2916666666666716E-2"/>
    <s v="G38"/>
    <n v="116.06719618055574"/>
    <m/>
    <m/>
    <n v="1316.037500000001"/>
    <n v="116.06719618055574"/>
    <m/>
    <m/>
    <m/>
    <m/>
  </r>
  <r>
    <n v="582"/>
    <x v="60"/>
    <x v="1"/>
    <x v="0"/>
    <x v="2"/>
    <x v="1"/>
    <x v="4"/>
    <s v="PWEGPL"/>
    <s v="MSEDCL"/>
    <n v="2.5000000000000001E-2"/>
    <s v="CE100001"/>
    <x v="288"/>
    <s v="BD"/>
    <d v="1899-12-30T15:16:00"/>
    <d v="1899-12-30T15:16:00"/>
    <d v="1899-12-30T15:56:00"/>
    <n v="0"/>
    <n v="0.6666666666666643"/>
    <n v="0.6666666666666643"/>
    <s v="Contactor changed"/>
    <s v="Close"/>
    <n v="1.6666666666666607E-2"/>
    <s v="G38"/>
    <n v="11.513888888888808"/>
    <m/>
    <m/>
    <n v="414.49999999999852"/>
    <n v="11.513888888888808"/>
    <m/>
    <m/>
    <m/>
    <m/>
  </r>
  <r>
    <n v="583"/>
    <x v="61"/>
    <x v="1"/>
    <x v="0"/>
    <x v="2"/>
    <x v="1"/>
    <x v="21"/>
    <s v="PWEGPL"/>
    <s v="MSEDCL"/>
    <n v="2.5000000000000001E-2"/>
    <n v="552"/>
    <x v="304"/>
    <s v="BD"/>
    <d v="1899-12-30T15:18:00"/>
    <d v="1899-12-30T16:04:00"/>
    <d v="1899-12-30T16:16:00"/>
    <n v="0.76666666666666394"/>
    <n v="0.19999999999999929"/>
    <n v="0.96666666666666323"/>
    <s v="Reset"/>
    <s v="Close"/>
    <n v="2.4166666666666583E-2"/>
    <s v="G3"/>
    <n v="3.935698302469107"/>
    <m/>
    <m/>
    <n v="97.713888888888533"/>
    <n v="3.935698302469107"/>
    <m/>
    <m/>
    <m/>
    <m/>
  </r>
  <r>
    <n v="584"/>
    <x v="61"/>
    <x v="1"/>
    <x v="0"/>
    <x v="2"/>
    <x v="1"/>
    <x v="29"/>
    <s v="PWEGPL"/>
    <s v="MSEDCL"/>
    <n v="2.5000000000000001E-2"/>
    <n v="2118"/>
    <x v="293"/>
    <s v="BD"/>
    <d v="1899-12-30T20:15:00"/>
    <d v="1899-12-30T21:52:00"/>
    <d v="1899-12-30T22:01:00"/>
    <n v="1.6166666666666663"/>
    <n v="0.14999999999999947"/>
    <n v="1.7666666666666657"/>
    <s v="Reset"/>
    <s v="Close"/>
    <n v="4.4166666666666646E-2"/>
    <s v="G12"/>
    <n v="13.438117283950604"/>
    <m/>
    <m/>
    <n v="182.55555555555546"/>
    <n v="13.438117283950604"/>
    <m/>
    <m/>
    <m/>
    <m/>
  </r>
  <r>
    <n v="585"/>
    <x v="61"/>
    <x v="1"/>
    <x v="0"/>
    <x v="2"/>
    <x v="1"/>
    <x v="9"/>
    <s v="PWEGPL"/>
    <s v="MSEDCL"/>
    <n v="2.5000000000000001E-2"/>
    <n v="507"/>
    <x v="318"/>
    <s v="BD"/>
    <d v="1899-12-30T11:10:00"/>
    <d v="1899-12-30T11:10:00"/>
    <d v="1899-12-30T16:46:00"/>
    <n v="0"/>
    <n v="5.6"/>
    <n v="5.6"/>
    <s v="Generator Internal cooling motor replaced"/>
    <s v="Close"/>
    <n v="0.13999999999999999"/>
    <s v="G29"/>
    <n v="112.80888888888887"/>
    <m/>
    <m/>
    <n v="483.46666666666658"/>
    <n v="112.80888888888887"/>
    <m/>
    <m/>
    <m/>
    <m/>
  </r>
  <r>
    <n v="586"/>
    <x v="62"/>
    <x v="1"/>
    <x v="0"/>
    <x v="2"/>
    <x v="1"/>
    <x v="24"/>
    <s v="PWEGPL"/>
    <s v="MSEDCL"/>
    <n v="2.5000000000000001E-2"/>
    <s v="CE100007"/>
    <x v="295"/>
    <s v="PM"/>
    <d v="1899-12-30T12:31:00"/>
    <d v="1899-12-30T12:31:00"/>
    <d v="1899-12-30T15:25:00"/>
    <n v="0"/>
    <n v="2.8999999999999977"/>
    <n v="2.8999999999999977"/>
    <s v="LC taken for VCB &amp; DP-yard yearly maintenance"/>
    <s v="Close"/>
    <n v="7.2499999999999939E-2"/>
    <s v="G6"/>
    <n v="73.529097222222106"/>
    <m/>
    <m/>
    <n v="608.5166666666662"/>
    <n v="73.529097222222106"/>
    <m/>
    <m/>
    <m/>
    <m/>
  </r>
  <r>
    <n v="587"/>
    <x v="62"/>
    <x v="1"/>
    <x v="0"/>
    <x v="2"/>
    <x v="1"/>
    <x v="29"/>
    <s v="PWEGPL"/>
    <s v="MSEDCL"/>
    <n v="2.5000000000000001E-2"/>
    <s v="CE100001"/>
    <x v="288"/>
    <s v="BD"/>
    <d v="1899-12-30T11:02:00"/>
    <d v="1899-12-30T11:02:00"/>
    <d v="1899-12-30T14:08:00"/>
    <n v="0"/>
    <n v="3.100000000000001"/>
    <n v="3.100000000000001"/>
    <s v="Troubleshooting work"/>
    <s v="Close"/>
    <n v="7.7500000000000027E-2"/>
    <s v="G12"/>
    <n v="46.948854166666699"/>
    <m/>
    <m/>
    <n v="363.47500000000014"/>
    <n v="46.948854166666699"/>
    <m/>
    <m/>
    <m/>
    <m/>
  </r>
  <r>
    <n v="588"/>
    <x v="62"/>
    <x v="1"/>
    <x v="0"/>
    <x v="2"/>
    <x v="1"/>
    <x v="30"/>
    <s v="PWEGPL"/>
    <s v="MSEDCL"/>
    <n v="2.5000000000000001E-2"/>
    <s v="CE100014"/>
    <x v="305"/>
    <s v="PM/Lift inspention"/>
    <d v="1899-12-30T10:37:00"/>
    <d v="1899-12-30T10:37:00"/>
    <d v="1899-12-30T13:17:00"/>
    <n v="0"/>
    <n v="2.6666666666666665"/>
    <n v="2.6666666666666665"/>
    <s v="Avanti lift inspection"/>
    <s v="Close"/>
    <n v="6.6666666666666666E-2"/>
    <s v="G13"/>
    <n v="50.728395061728392"/>
    <m/>
    <m/>
    <n v="456.55555555555554"/>
    <n v="50.728395061728392"/>
    <m/>
    <m/>
    <m/>
    <m/>
  </r>
  <r>
    <n v="589"/>
    <x v="62"/>
    <x v="1"/>
    <x v="0"/>
    <x v="2"/>
    <x v="1"/>
    <x v="31"/>
    <s v="PWEGPL"/>
    <s v="MSEDCL"/>
    <n v="2.5000000000000001E-2"/>
    <s v="CE100014"/>
    <x v="305"/>
    <s v="PM/Lift inspention"/>
    <d v="1899-12-30T13:27:00"/>
    <d v="1899-12-30T13:27:00"/>
    <d v="1899-12-30T17:48:00"/>
    <n v="0"/>
    <n v="4.3500000000000005"/>
    <n v="4.3500000000000005"/>
    <s v="Avanti lift inspection"/>
    <s v="Close"/>
    <n v="0.10875000000000001"/>
    <s v="G14"/>
    <n v="126.47851562500001"/>
    <m/>
    <m/>
    <n v="697.8125"/>
    <n v="126.47851562500001"/>
    <m/>
    <m/>
    <m/>
    <m/>
  </r>
  <r>
    <n v="590"/>
    <x v="62"/>
    <x v="1"/>
    <x v="0"/>
    <x v="2"/>
    <x v="1"/>
    <x v="33"/>
    <s v="PWEGPL"/>
    <s v="MSEDCL"/>
    <n v="2.5000000000000001E-2"/>
    <s v="CE100007"/>
    <x v="295"/>
    <s v="PM"/>
    <d v="1899-12-30T12:31:00"/>
    <d v="1899-12-30T12:31:00"/>
    <d v="1899-12-30T15:25:00"/>
    <n v="0"/>
    <n v="2.8999999999999977"/>
    <n v="2.8999999999999977"/>
    <s v="LC taken for VCB &amp; DP-yard yearly maintenance"/>
    <s v="Close"/>
    <n v="7.2499999999999939E-2"/>
    <s v="G22"/>
    <n v="52.095277777777696"/>
    <m/>
    <m/>
    <n v="431.13333333333298"/>
    <n v="52.095277777777696"/>
    <m/>
    <m/>
    <m/>
    <m/>
  </r>
  <r>
    <n v="591"/>
    <x v="62"/>
    <x v="1"/>
    <x v="0"/>
    <x v="2"/>
    <x v="1"/>
    <x v="34"/>
    <s v="PWEGPL"/>
    <s v="MSEDCL"/>
    <n v="2.5000000000000001E-2"/>
    <s v="CE100007"/>
    <x v="295"/>
    <s v="PM"/>
    <d v="1899-12-30T12:31:00"/>
    <d v="1899-12-30T12:31:00"/>
    <d v="1899-12-30T15:25:00"/>
    <n v="0"/>
    <n v="2.8999999999999977"/>
    <n v="2.8999999999999977"/>
    <s v="LC taken for VCB &amp; DP-yard yearly maintenance"/>
    <s v="Close"/>
    <n v="7.2499999999999939E-2"/>
    <s v="G23"/>
    <n v="40.122708333333264"/>
    <m/>
    <m/>
    <n v="332.04999999999973"/>
    <n v="40.122708333333264"/>
    <m/>
    <m/>
    <m/>
    <m/>
  </r>
  <r>
    <n v="592"/>
    <x v="62"/>
    <x v="1"/>
    <x v="0"/>
    <x v="2"/>
    <x v="1"/>
    <x v="1"/>
    <s v="PWEGPL"/>
    <s v="MSEDCL"/>
    <n v="2.5000000000000001E-2"/>
    <s v="CE100007"/>
    <x v="295"/>
    <s v="PM"/>
    <d v="1899-12-30T12:31:00"/>
    <d v="1899-12-30T12:31:00"/>
    <d v="1899-12-30T15:25:00"/>
    <n v="0"/>
    <n v="2.8999999999999977"/>
    <n v="2.8999999999999977"/>
    <s v="LC taken for VCB &amp; DP-yard yearly maintenance"/>
    <s v="Close"/>
    <n v="7.2499999999999939E-2"/>
    <s v="G24"/>
    <n v="46.430208333333262"/>
    <m/>
    <m/>
    <n v="384.24999999999972"/>
    <n v="46.430208333333262"/>
    <m/>
    <m/>
    <m/>
    <m/>
  </r>
  <r>
    <n v="593"/>
    <x v="62"/>
    <x v="1"/>
    <x v="0"/>
    <x v="2"/>
    <x v="1"/>
    <x v="35"/>
    <s v="PWEGPL"/>
    <s v="MSEDCL"/>
    <n v="2.5000000000000001E-2"/>
    <s v="CE100007"/>
    <x v="295"/>
    <s v="PM"/>
    <d v="1899-12-30T12:31:00"/>
    <d v="1899-12-30T12:31:00"/>
    <d v="1899-12-30T15:25:00"/>
    <n v="0"/>
    <n v="2.8999999999999977"/>
    <n v="2.8999999999999977"/>
    <s v="LC taken for VCB &amp; DP-yard yearly maintenance"/>
    <s v="Close"/>
    <n v="7.2499999999999939E-2"/>
    <s v="G25"/>
    <n v="40.794340277777714"/>
    <m/>
    <m/>
    <n v="337.60833333333306"/>
    <n v="40.794340277777714"/>
    <m/>
    <m/>
    <m/>
    <m/>
  </r>
  <r>
    <n v="594"/>
    <x v="62"/>
    <x v="1"/>
    <x v="0"/>
    <x v="2"/>
    <x v="1"/>
    <x v="36"/>
    <s v="PWEGPL"/>
    <s v="MSEDCL"/>
    <n v="2.5000000000000001E-2"/>
    <s v="CE100007"/>
    <x v="295"/>
    <s v="PM"/>
    <d v="1899-12-30T12:31:00"/>
    <d v="1899-12-30T12:31:00"/>
    <d v="1899-12-30T15:25:00"/>
    <n v="0"/>
    <n v="2.8999999999999977"/>
    <n v="2.8999999999999977"/>
    <s v="LC taken for VCB &amp; DP-yard yearly maintenance"/>
    <s v="Close"/>
    <n v="7.2499999999999939E-2"/>
    <s v="G26"/>
    <n v="39.275868055555492"/>
    <m/>
    <m/>
    <n v="325.0416666666664"/>
    <n v="39.275868055555492"/>
    <m/>
    <m/>
    <m/>
    <m/>
  </r>
  <r>
    <n v="595"/>
    <x v="62"/>
    <x v="1"/>
    <x v="0"/>
    <x v="2"/>
    <x v="1"/>
    <x v="8"/>
    <s v="PWEGPL"/>
    <s v="MSEDCL"/>
    <n v="2.5000000000000001E-2"/>
    <s v="CE100007"/>
    <x v="295"/>
    <s v="PM"/>
    <d v="1899-12-30T12:31:00"/>
    <d v="1899-12-30T12:31:00"/>
    <d v="1899-12-30T15:25:00"/>
    <n v="0"/>
    <n v="2.8999999999999977"/>
    <n v="2.8999999999999977"/>
    <s v="LC taken for VCB &amp; DP-yard yearly maintenance"/>
    <s v="Close"/>
    <n v="7.2499999999999939E-2"/>
    <s v="G28"/>
    <n v="38.487430555555498"/>
    <m/>
    <m/>
    <n v="318.51666666666642"/>
    <n v="38.487430555555498"/>
    <m/>
    <m/>
    <m/>
    <m/>
  </r>
  <r>
    <n v="596"/>
    <x v="62"/>
    <x v="1"/>
    <x v="0"/>
    <x v="2"/>
    <x v="1"/>
    <x v="9"/>
    <s v="PWEGPL"/>
    <s v="MSEDCL"/>
    <n v="2.5000000000000001E-2"/>
    <s v="CE100007"/>
    <x v="295"/>
    <s v="PM"/>
    <d v="1899-12-30T12:31:00"/>
    <d v="1899-12-30T12:31:00"/>
    <d v="1899-12-30T15:25:00"/>
    <n v="0"/>
    <n v="2.8999999999999977"/>
    <n v="2.8999999999999977"/>
    <s v="LC taken for VCB &amp; DP-yard yearly maintenance"/>
    <s v="Close"/>
    <n v="7.2499999999999939E-2"/>
    <s v="G29"/>
    <n v="46.605416666666599"/>
    <m/>
    <m/>
    <n v="385.6999999999997"/>
    <n v="46.605416666666599"/>
    <m/>
    <m/>
    <m/>
    <m/>
  </r>
  <r>
    <n v="597"/>
    <x v="62"/>
    <x v="1"/>
    <x v="0"/>
    <x v="2"/>
    <x v="1"/>
    <x v="10"/>
    <s v="PWEGPL"/>
    <s v="MSEDCL"/>
    <n v="2.5000000000000001E-2"/>
    <s v="CE100007"/>
    <x v="295"/>
    <s v="PM"/>
    <d v="1899-12-30T12:31:00"/>
    <d v="1899-12-30T12:31:00"/>
    <d v="1899-12-30T15:25:00"/>
    <n v="0"/>
    <n v="2.8999999999999977"/>
    <n v="2.8999999999999977"/>
    <s v="LC taken for VCB &amp; DP-yard yearly maintenance"/>
    <s v="Close"/>
    <n v="7.2499999999999939E-2"/>
    <s v="G30"/>
    <n v="40.677534722222155"/>
    <m/>
    <m/>
    <n v="336.64166666666637"/>
    <n v="40.677534722222155"/>
    <m/>
    <m/>
    <m/>
    <m/>
  </r>
  <r>
    <n v="598"/>
    <x v="62"/>
    <x v="1"/>
    <x v="0"/>
    <x v="2"/>
    <x v="1"/>
    <x v="11"/>
    <s v="PWEGPL"/>
    <s v="MSEDCL"/>
    <n v="2.5000000000000001E-2"/>
    <s v="CE100007"/>
    <x v="295"/>
    <s v="PM"/>
    <d v="1899-12-30T12:31:00"/>
    <d v="1899-12-30T12:31:00"/>
    <d v="1899-12-30T15:25:00"/>
    <n v="0"/>
    <n v="2.8999999999999977"/>
    <n v="2.8999999999999977"/>
    <s v="LC taken for VCB &amp; DP-yard yearly maintenance"/>
    <s v="Close"/>
    <n v="7.2499999999999939E-2"/>
    <s v="G31"/>
    <n v="54.51899305555547"/>
    <m/>
    <m/>
    <n v="451.19166666666632"/>
    <n v="54.51899305555547"/>
    <m/>
    <m/>
    <m/>
    <m/>
  </r>
  <r>
    <n v="599"/>
    <x v="62"/>
    <x v="1"/>
    <x v="0"/>
    <x v="2"/>
    <x v="1"/>
    <x v="12"/>
    <s v="PWEGPL"/>
    <s v="MSEDCL"/>
    <n v="2.5000000000000001E-2"/>
    <s v="CE100007"/>
    <x v="295"/>
    <s v="PM"/>
    <d v="1899-12-30T12:31:00"/>
    <d v="1899-12-30T12:31:00"/>
    <d v="1899-12-30T15:25:00"/>
    <n v="0"/>
    <n v="2.8999999999999977"/>
    <n v="2.8999999999999977"/>
    <s v="LC taken for VCB &amp; DP-yard yearly maintenance"/>
    <s v="Close"/>
    <n v="7.2499999999999939E-2"/>
    <s v="G32"/>
    <n v="40.385520833333267"/>
    <m/>
    <m/>
    <n v="334.22499999999974"/>
    <n v="40.385520833333267"/>
    <m/>
    <m/>
    <m/>
    <m/>
  </r>
  <r>
    <n v="600"/>
    <x v="62"/>
    <x v="1"/>
    <x v="0"/>
    <x v="2"/>
    <x v="1"/>
    <x v="3"/>
    <s v="PWEGPL"/>
    <s v="MSEDCL"/>
    <n v="2.5000000000000001E-2"/>
    <s v="CE100010"/>
    <x v="296"/>
    <s v="PM"/>
    <d v="1899-12-30T10:06:00"/>
    <d v="1899-12-30T10:06:00"/>
    <d v="1899-12-30T17:24:00"/>
    <n v="0"/>
    <n v="7.2999999999999989"/>
    <n v="7.2999999999999989"/>
    <s v="102 PM service"/>
    <s v="Close"/>
    <n v="0.1825"/>
    <s v="G26"/>
    <n v="248.87170138888877"/>
    <m/>
    <m/>
    <n v="818.20833333333314"/>
    <n v="248.87170138888877"/>
    <m/>
    <m/>
    <m/>
    <m/>
  </r>
  <r>
    <n v="601"/>
    <x v="62"/>
    <x v="1"/>
    <x v="0"/>
    <x v="2"/>
    <x v="1"/>
    <x v="9"/>
    <s v="PWEGPL"/>
    <s v="MSEDCL"/>
    <n v="2.5000000000000001E-2"/>
    <n v="5212"/>
    <x v="319"/>
    <s v="BD"/>
    <d v="1899-12-30T15:33:00"/>
    <d v="1899-12-30T16:39:00"/>
    <d v="1899-12-30T17:12:00"/>
    <n v="1.0999999999999988"/>
    <n v="0.55000000000000071"/>
    <n v="1.6499999999999995"/>
    <s v="Rebot &amp; Reset"/>
    <s v="Close"/>
    <n v="4.1249999999999988E-2"/>
    <s v="G29"/>
    <n v="15.08718749999999"/>
    <m/>
    <m/>
    <n v="219.44999999999993"/>
    <n v="15.08718749999999"/>
    <m/>
    <m/>
    <m/>
    <m/>
  </r>
  <r>
    <n v="602"/>
    <x v="62"/>
    <x v="1"/>
    <x v="0"/>
    <x v="2"/>
    <x v="1"/>
    <x v="35"/>
    <s v="PWEGPL"/>
    <s v="MSEDCL"/>
    <n v="2.5000000000000001E-2"/>
    <n v="907"/>
    <x v="292"/>
    <s v="BD"/>
    <d v="1899-12-30T15:28:00"/>
    <d v="1899-12-30T16:21:00"/>
    <d v="1899-12-30T16:55:00"/>
    <n v="0.88333333333333286"/>
    <n v="0.56666666666666732"/>
    <n v="1.4500000000000002"/>
    <s v="Rebot &amp; Reset"/>
    <s v="Close"/>
    <n v="3.6250000000000004E-2"/>
    <s v="G25"/>
    <n v="10.198585069444448"/>
    <m/>
    <m/>
    <n v="168.8041666666667"/>
    <n v="10.198585069444448"/>
    <m/>
    <m/>
    <m/>
    <m/>
  </r>
  <r>
    <n v="603"/>
    <x v="63"/>
    <x v="1"/>
    <x v="0"/>
    <x v="2"/>
    <x v="1"/>
    <x v="29"/>
    <s v="PWEGPL"/>
    <s v="MSEDCL"/>
    <n v="2.5000000000000001E-2"/>
    <n v="2102"/>
    <x v="320"/>
    <s v="BD"/>
    <d v="1899-12-30T03:10:00"/>
    <d v="1899-12-30T05:06:00"/>
    <d v="1899-12-30T05:10:00"/>
    <n v="1.9333333333333331"/>
    <n v="6.6666666666667096E-2"/>
    <n v="2"/>
    <s v="Rebot &amp; Reset"/>
    <s v="Close"/>
    <n v="0.05"/>
    <s v="G12"/>
    <n v="38.111111111111107"/>
    <m/>
    <m/>
    <n v="457.33333333333331"/>
    <n v="38.111111111111107"/>
    <m/>
    <m/>
    <m/>
    <m/>
  </r>
  <r>
    <n v="604"/>
    <x v="63"/>
    <x v="1"/>
    <x v="0"/>
    <x v="2"/>
    <x v="1"/>
    <x v="30"/>
    <s v="PWEGPL"/>
    <s v="MSEDCL"/>
    <n v="2.5000000000000001E-2"/>
    <n v="2106"/>
    <x v="321"/>
    <s v="BD"/>
    <d v="1899-12-30T13:44:00"/>
    <d v="1899-12-30T14:11:00"/>
    <d v="1899-12-30T14:26:00"/>
    <n v="0.45000000000000107"/>
    <n v="0.24999999999999911"/>
    <n v="0.70000000000000018"/>
    <s v="Rebot &amp; Reset"/>
    <s v="Close"/>
    <n v="1.7500000000000005E-2"/>
    <s v="G13"/>
    <n v="5.0429166666666694"/>
    <m/>
    <m/>
    <n v="172.90000000000003"/>
    <n v="5.0429166666666694"/>
    <m/>
    <m/>
    <m/>
    <m/>
  </r>
  <r>
    <n v="605"/>
    <x v="63"/>
    <x v="1"/>
    <x v="0"/>
    <x v="2"/>
    <x v="1"/>
    <x v="39"/>
    <s v="PWEGPL"/>
    <s v="MSEDCL"/>
    <n v="2.5000000000000001E-2"/>
    <s v="CE100014"/>
    <x v="305"/>
    <s v="PM/Lift inspention"/>
    <d v="1899-12-30T10:21:00"/>
    <d v="1899-12-30T10:21:00"/>
    <d v="1899-12-30T13:09:00"/>
    <n v="0"/>
    <n v="2.800000000000002"/>
    <n v="2.800000000000002"/>
    <s v="Avanti lift inspection"/>
    <s v="Close"/>
    <n v="7.0000000000000048E-2"/>
    <s v="G16"/>
    <n v="53.137777777777856"/>
    <m/>
    <m/>
    <n v="455.46666666666698"/>
    <n v="53.137777777777856"/>
    <m/>
    <m/>
    <m/>
    <m/>
  </r>
  <r>
    <n v="606"/>
    <x v="63"/>
    <x v="1"/>
    <x v="0"/>
    <x v="2"/>
    <x v="1"/>
    <x v="37"/>
    <s v="PWEGPL"/>
    <s v="MSEDCL"/>
    <n v="2.5000000000000001E-2"/>
    <s v="CE100001"/>
    <x v="288"/>
    <s v="BD"/>
    <d v="1899-12-30T11:04:00"/>
    <d v="1899-12-30T11:04:00"/>
    <d v="1899-12-30T13:21:00"/>
    <n v="0"/>
    <n v="2.2833333333333345"/>
    <n v="2.2833333333333345"/>
    <s v="Troubleshooting work"/>
    <s v="Close"/>
    <n v="5.7083333333333368E-2"/>
    <s v="G17"/>
    <n v="54.163626543209944"/>
    <m/>
    <m/>
    <n v="569.31111111111147"/>
    <n v="54.163626543209944"/>
    <m/>
    <m/>
    <m/>
    <m/>
  </r>
  <r>
    <n v="607"/>
    <x v="63"/>
    <x v="1"/>
    <x v="0"/>
    <x v="2"/>
    <x v="1"/>
    <x v="19"/>
    <s v="PWEGPL"/>
    <s v="MSEDCL"/>
    <n v="2.5000000000000001E-2"/>
    <s v="CE100014"/>
    <x v="305"/>
    <s v="PM/Lift inspention"/>
    <d v="1899-12-30T13:26:00"/>
    <d v="1899-12-30T13:26:00"/>
    <d v="1899-12-30T16:05:00"/>
    <n v="0"/>
    <n v="2.6499999999999986"/>
    <n v="2.6499999999999986"/>
    <s v="Avanti lift inspection"/>
    <s v="Close"/>
    <n v="6.6249999999999962E-2"/>
    <s v="G19"/>
    <n v="68.810746527777695"/>
    <m/>
    <m/>
    <n v="623.19166666666626"/>
    <n v="68.810746527777695"/>
    <m/>
    <m/>
    <m/>
    <m/>
  </r>
  <r>
    <n v="608"/>
    <x v="63"/>
    <x v="1"/>
    <x v="0"/>
    <x v="2"/>
    <x v="1"/>
    <x v="33"/>
    <s v="PWEGPL"/>
    <s v="MSEDCL"/>
    <n v="2.5000000000000001E-2"/>
    <s v="CE100010"/>
    <x v="296"/>
    <s v="PM"/>
    <d v="1899-12-30T10:18:00"/>
    <d v="1899-12-30T10:18:00"/>
    <d v="1899-12-30T17:28:00"/>
    <n v="0"/>
    <n v="7.1666666666666652"/>
    <n v="7.1666666666666652"/>
    <s v="102 PM service"/>
    <s v="Close"/>
    <n v="0.17916666666666664"/>
    <s v="G22"/>
    <n v="433.35937499999989"/>
    <m/>
    <m/>
    <n v="1451.2499999999998"/>
    <n v="433.35937499999989"/>
    <m/>
    <m/>
    <m/>
    <m/>
  </r>
  <r>
    <n v="609"/>
    <x v="63"/>
    <x v="1"/>
    <x v="0"/>
    <x v="2"/>
    <x v="1"/>
    <x v="3"/>
    <s v="PWEGPL"/>
    <s v="MSEDCL"/>
    <n v="2.5000000000000001E-2"/>
    <n v="2118"/>
    <x v="293"/>
    <s v="BD"/>
    <d v="1899-12-30T23:09:00"/>
    <d v="1899-12-30T23:48:00"/>
    <d v="1899-12-30T23:59:00"/>
    <n v="0.65000000000000302"/>
    <n v="0.18333333333333268"/>
    <n v="0.8333333333333357"/>
    <s v="Rebot &amp; Reset"/>
    <s v="Open"/>
    <n v="2.0833333333333395E-2"/>
    <s v="G26"/>
    <n v="5.5242091049383024"/>
    <m/>
    <m/>
    <n v="159.09722222222265"/>
    <n v="5.5242091049383024"/>
    <m/>
    <m/>
    <m/>
    <m/>
  </r>
  <r>
    <n v="610"/>
    <x v="63"/>
    <x v="1"/>
    <x v="0"/>
    <x v="2"/>
    <x v="1"/>
    <x v="7"/>
    <s v="PWEGPL"/>
    <s v="MSEDCL"/>
    <n v="2.5000000000000001E-2"/>
    <n v="2118"/>
    <x v="293"/>
    <s v="BD"/>
    <d v="1899-12-30T23:08:00"/>
    <d v="1899-12-30T23:59:00"/>
    <d v="1899-12-30T23:59:00"/>
    <n v="0.84999999999999964"/>
    <n v="0"/>
    <n v="0.84999999999999964"/>
    <s v="Rebot &amp; Reset"/>
    <s v="Open"/>
    <n v="2.1249999999999991E-2"/>
    <s v="G39"/>
    <n v="5.4287847222222183"/>
    <m/>
    <m/>
    <n v="153.28333333333327"/>
    <n v="5.4287847222222183"/>
    <m/>
    <m/>
    <m/>
    <m/>
  </r>
  <r>
    <n v="611"/>
    <x v="63"/>
    <x v="1"/>
    <x v="0"/>
    <x v="2"/>
    <x v="1"/>
    <x v="29"/>
    <s v="PWEGPL"/>
    <s v="MSEDCL"/>
    <n v="2.5000000000000001E-2"/>
    <s v="CE100001"/>
    <x v="288"/>
    <s v="BD"/>
    <d v="1899-12-30T11:31:00"/>
    <d v="1899-12-30T11:31:00"/>
    <d v="1899-12-30T12:32:00"/>
    <n v="0"/>
    <n v="1.0166666666666671"/>
    <n v="1.0166666666666671"/>
    <s v="PLC module replaced"/>
    <s v="Close"/>
    <n v="2.5416666666666678E-2"/>
    <s v="G12"/>
    <n v="9.8480169753086493"/>
    <m/>
    <m/>
    <n v="232.47777777777785"/>
    <n v="9.8480169753086493"/>
    <m/>
    <m/>
    <m/>
    <m/>
  </r>
  <r>
    <n v="612"/>
    <x v="64"/>
    <x v="1"/>
    <x v="0"/>
    <x v="2"/>
    <x v="1"/>
    <x v="20"/>
    <s v="PWEGPL"/>
    <s v="MSEDCL"/>
    <n v="2.5000000000000001E-2"/>
    <n v="410"/>
    <x v="322"/>
    <s v="BD"/>
    <d v="1899-12-30T21:37:00"/>
    <d v="1899-12-30T21:44:00"/>
    <d v="1899-12-30T23:06:00"/>
    <n v="0.11666666666666625"/>
    <n v="1.3666666666666671"/>
    <n v="1.4833333333333334"/>
    <s v="Rebot &amp; Reset"/>
    <s v="Close"/>
    <n v="3.7083333333333336E-2"/>
    <s v="G2"/>
    <n v="37.381802662037039"/>
    <m/>
    <m/>
    <n v="604.82916666666665"/>
    <n v="37.381802662037039"/>
    <m/>
    <m/>
    <m/>
    <m/>
  </r>
  <r>
    <n v="613"/>
    <x v="64"/>
    <x v="1"/>
    <x v="0"/>
    <x v="2"/>
    <x v="1"/>
    <x v="23"/>
    <s v="PWEGPL"/>
    <s v="MSEDCL"/>
    <n v="2.5000000000000001E-2"/>
    <n v="5212"/>
    <x v="319"/>
    <s v="BD"/>
    <d v="1899-12-30T21:37:00"/>
    <d v="1899-12-30T21:44:00"/>
    <d v="1899-12-30T23:59:00"/>
    <n v="0.11666666666666625"/>
    <n v="2.25"/>
    <n v="2.3666666666666663"/>
    <s v="Rebot &amp; Reset"/>
    <s v="Open"/>
    <n v="5.9166666666666659E-2"/>
    <s v="G5"/>
    <n v="78.59059027777775"/>
    <m/>
    <m/>
    <n v="796.97499999999991"/>
    <n v="78.59059027777775"/>
    <m/>
    <m/>
    <m/>
    <m/>
  </r>
  <r>
    <n v="614"/>
    <x v="64"/>
    <x v="1"/>
    <x v="0"/>
    <x v="2"/>
    <x v="1"/>
    <x v="26"/>
    <s v="PWEGPL"/>
    <s v="MSEDCL"/>
    <n v="2.5000000000000001E-2"/>
    <n v="222"/>
    <x v="323"/>
    <s v="BD"/>
    <d v="1899-12-30T13:19:00"/>
    <d v="1899-12-30T16:46:00"/>
    <d v="1899-12-30T16:51:00"/>
    <n v="3.4499999999999984"/>
    <n v="8.3333333333335702E-2"/>
    <n v="3.5333333333333341"/>
    <s v="Rebot &amp; Reset"/>
    <s v="Close"/>
    <n v="8.8333333333333361E-2"/>
    <s v="G8"/>
    <n v="213.83945987654332"/>
    <m/>
    <m/>
    <n v="1452.4944444444448"/>
    <n v="213.83945987654332"/>
    <m/>
    <m/>
    <m/>
    <m/>
  </r>
  <r>
    <n v="615"/>
    <x v="64"/>
    <x v="1"/>
    <x v="0"/>
    <x v="2"/>
    <x v="1"/>
    <x v="30"/>
    <s v="PWEGPL"/>
    <s v="MSEDCL"/>
    <n v="2.5000000000000001E-2"/>
    <n v="2106"/>
    <x v="321"/>
    <s v="BD"/>
    <d v="1899-12-30T14:00:00"/>
    <d v="1899-12-30T16:45:00"/>
    <d v="1899-12-30T17:04:00"/>
    <n v="2.7499999999999982"/>
    <n v="0.31666666666666821"/>
    <n v="3.0666666666666664"/>
    <s v="Rebot &amp; Reset"/>
    <s v="Close"/>
    <n v="7.6666666666666661E-2"/>
    <s v="G13"/>
    <n v="171.50049382716048"/>
    <m/>
    <m/>
    <n v="1342.1777777777777"/>
    <n v="171.50049382716048"/>
    <m/>
    <m/>
    <m/>
    <m/>
  </r>
  <r>
    <n v="616"/>
    <x v="64"/>
    <x v="1"/>
    <x v="0"/>
    <x v="2"/>
    <x v="1"/>
    <x v="37"/>
    <s v="PWEGPL"/>
    <s v="MSEDCL"/>
    <n v="2.5000000000000001E-2"/>
    <n v="2118"/>
    <x v="293"/>
    <s v="BD"/>
    <d v="1899-12-30T00:00:00"/>
    <d v="1899-12-30T01:18:00"/>
    <d v="1899-12-30T01:24:00"/>
    <n v="1.3"/>
    <n v="9.9999999999999811E-2"/>
    <n v="1.4"/>
    <s v="Rebot &amp; Reset"/>
    <s v="Close"/>
    <n v="3.4999999999999996E-2"/>
    <s v="G17"/>
    <n v="39.186388888888885"/>
    <m/>
    <m/>
    <n v="671.76666666666665"/>
    <n v="39.186388888888885"/>
    <m/>
    <m/>
    <m/>
    <m/>
  </r>
  <r>
    <n v="617"/>
    <x v="64"/>
    <x v="1"/>
    <x v="0"/>
    <x v="2"/>
    <x v="1"/>
    <x v="34"/>
    <s v="PWEGPL"/>
    <s v="MSEDCL"/>
    <n v="2.5000000000000001E-2"/>
    <s v="CE100010"/>
    <x v="296"/>
    <s v="PM"/>
    <d v="1899-12-30T09:57:00"/>
    <d v="1899-12-30T09:57:00"/>
    <d v="1899-12-30T17:50:00"/>
    <n v="0"/>
    <n v="7.883333333333332"/>
    <n v="7.883333333333332"/>
    <s v="102 PM service"/>
    <s v="Close"/>
    <n v="0.1970833333333333"/>
    <s v="G23"/>
    <n v="942.77777874228366"/>
    <m/>
    <m/>
    <n v="2870.1902777777773"/>
    <n v="942.77777874228366"/>
    <m/>
    <m/>
    <m/>
    <m/>
  </r>
  <r>
    <n v="618"/>
    <x v="64"/>
    <x v="1"/>
    <x v="0"/>
    <x v="2"/>
    <x v="1"/>
    <x v="35"/>
    <s v="PWEGPL"/>
    <s v="MSEDCL"/>
    <n v="2.5000000000000001E-2"/>
    <s v="CE100014"/>
    <x v="305"/>
    <s v="PM/Lift inspention"/>
    <d v="1899-12-30T10:32:00"/>
    <d v="1899-12-30T10:32:00"/>
    <d v="1899-12-30T15:00:00"/>
    <n v="0"/>
    <n v="4.4666666666666668"/>
    <n v="4.4666666666666668"/>
    <s v="Avanti lift inspection"/>
    <s v="Close"/>
    <n v="0.11166666666666668"/>
    <s v="G25"/>
    <n v="334.45820987654321"/>
    <m/>
    <m/>
    <n v="1797.088888888889"/>
    <n v="334.45820987654321"/>
    <m/>
    <m/>
    <m/>
    <m/>
  </r>
  <r>
    <n v="619"/>
    <x v="64"/>
    <x v="1"/>
    <x v="0"/>
    <x v="2"/>
    <x v="1"/>
    <x v="36"/>
    <s v="PWEGPL"/>
    <s v="MSEDCL"/>
    <n v="2.5000000000000001E-2"/>
    <s v="CE100014"/>
    <x v="305"/>
    <s v="PM/Lift inspention"/>
    <d v="1899-12-30T13:05:00"/>
    <d v="1899-12-30T13:05:00"/>
    <d v="1899-12-30T15:07:00"/>
    <n v="0"/>
    <n v="2.0333333333333314"/>
    <n v="2.0333333333333314"/>
    <s v="Avanti lift inspection"/>
    <s v="Close"/>
    <n v="5.0833333333333286E-2"/>
    <s v="G26"/>
    <n v="63.236902006172713"/>
    <m/>
    <m/>
    <n v="746.40277777777703"/>
    <n v="63.236902006172713"/>
    <m/>
    <m/>
    <m/>
    <m/>
  </r>
  <r>
    <n v="620"/>
    <x v="64"/>
    <x v="1"/>
    <x v="0"/>
    <x v="2"/>
    <x v="1"/>
    <x v="9"/>
    <s v="PWEGPL"/>
    <s v="MSEDCL"/>
    <n v="2.5000000000000001E-2"/>
    <n v="5212"/>
    <x v="319"/>
    <s v="BD"/>
    <d v="1899-12-30T19:52:00"/>
    <d v="1899-12-30T21:06:00"/>
    <d v="1899-12-30T23:59:00"/>
    <n v="1.2333333333333343"/>
    <n v="2.8833333333333311"/>
    <n v="4.1166666666666654"/>
    <s v="Rebot &amp; Reset"/>
    <s v="Open"/>
    <n v="0.10291666666666664"/>
    <s v="G29"/>
    <n v="262.14804687499981"/>
    <m/>
    <m/>
    <n v="1528.3124999999995"/>
    <n v="262.14804687499981"/>
    <m/>
    <m/>
    <m/>
    <m/>
  </r>
  <r>
    <n v="621"/>
    <x v="64"/>
    <x v="1"/>
    <x v="0"/>
    <x v="2"/>
    <x v="1"/>
    <x v="3"/>
    <s v="PWEGPL"/>
    <s v="MSEDCL"/>
    <n v="2.5000000000000001E-2"/>
    <s v="CE100001"/>
    <x v="288"/>
    <s v="BD"/>
    <d v="1899-12-30T11:25:00"/>
    <d v="1899-12-30T11:25:00"/>
    <d v="1899-12-30T13:50:00"/>
    <n v="0"/>
    <n v="2.4166666666666687"/>
    <n v="2.4166666666666687"/>
    <s v="Troubleshooting work"/>
    <s v="Close"/>
    <n v="6.0416666666666723E-2"/>
    <s v="G26"/>
    <n v="89.327859760802625"/>
    <m/>
    <m/>
    <n v="887.11805555555623"/>
    <n v="89.327859760802625"/>
    <m/>
    <m/>
    <m/>
    <m/>
  </r>
  <r>
    <n v="622"/>
    <x v="64"/>
    <x v="1"/>
    <x v="0"/>
    <x v="2"/>
    <x v="1"/>
    <x v="7"/>
    <s v="PWEGPL"/>
    <s v="MSEDCL"/>
    <n v="2.5000000000000001E-2"/>
    <n v="2118"/>
    <x v="293"/>
    <s v="BD"/>
    <d v="1899-12-30T00:00:00"/>
    <d v="1899-12-30T00:18:00"/>
    <d v="1899-12-30T00:41:00"/>
    <n v="0.3"/>
    <n v="0.3833333333333333"/>
    <n v="0.68333333333333335"/>
    <s v="Troubleshooting work in progress"/>
    <s v="Close"/>
    <n v="1.7083333333333336E-2"/>
    <s v="G39"/>
    <n v="7.4824604552469127"/>
    <m/>
    <m/>
    <n v="262.79861111111109"/>
    <n v="7.4824604552469127"/>
    <m/>
    <m/>
    <m/>
    <m/>
  </r>
  <r>
    <n v="623"/>
    <x v="64"/>
    <x v="1"/>
    <x v="0"/>
    <x v="2"/>
    <x v="1"/>
    <x v="30"/>
    <s v="PWEGPL"/>
    <s v="MSEDCL"/>
    <n v="2.5000000000000001E-2"/>
    <s v="CE100007"/>
    <x v="295"/>
    <s v="BD"/>
    <d v="1899-12-30T18:39:00"/>
    <d v="1899-12-30T18:39:00"/>
    <d v="1899-12-30T21:59:00"/>
    <n v="0"/>
    <n v="3.3333333333333375"/>
    <n v="3.3333333333333375"/>
    <s v="Breaker charged"/>
    <s v="Close"/>
    <n v="8.333333333333344E-2"/>
    <s v="G13"/>
    <n v="202.62345679012398"/>
    <m/>
    <m/>
    <n v="1458.8888888888907"/>
    <n v="202.62345679012398"/>
    <m/>
    <m/>
    <m/>
    <m/>
  </r>
  <r>
    <n v="624"/>
    <x v="64"/>
    <x v="1"/>
    <x v="0"/>
    <x v="2"/>
    <x v="1"/>
    <x v="35"/>
    <s v="PWEGPL"/>
    <s v="MSEDCL"/>
    <n v="2.5000000000000001E-2"/>
    <n v="803"/>
    <x v="324"/>
    <s v="BD"/>
    <d v="1899-12-30T15:00:00"/>
    <d v="1899-12-30T15:40:00"/>
    <d v="1899-12-30T23:59:00"/>
    <n v="0.66666666666666696"/>
    <n v="8.3166666666666664"/>
    <n v="8.9833333333333343"/>
    <s v="Troubleshooting work in progress"/>
    <s v="Open"/>
    <n v="0.22458333333333336"/>
    <s v="G25"/>
    <n v="1352.8504899691359"/>
    <m/>
    <m/>
    <n v="3614.2944444444447"/>
    <n v="1352.8504899691359"/>
    <m/>
    <m/>
    <m/>
    <m/>
  </r>
  <r>
    <n v="625"/>
    <x v="65"/>
    <x v="1"/>
    <x v="0"/>
    <x v="2"/>
    <x v="1"/>
    <x v="23"/>
    <s v="PWEGPL"/>
    <s v="MSEDCL"/>
    <n v="2.5000000000000001E-2"/>
    <n v="205"/>
    <x v="312"/>
    <s v="BD"/>
    <d v="1899-12-30T08:53:00"/>
    <d v="1899-12-30T10:30:00"/>
    <d v="1899-12-30T23:59:00"/>
    <n v="1.6166666666666676"/>
    <n v="13.483333333333334"/>
    <n v="15.1"/>
    <s v="Oil seal failuer"/>
    <s v="Open"/>
    <n v="0.3775"/>
    <s v="G5"/>
    <n v="969.83420138888891"/>
    <m/>
    <m/>
    <n v="1541.4583333333333"/>
    <n v="969.83420138888891"/>
    <m/>
    <m/>
    <m/>
    <m/>
  </r>
  <r>
    <n v="626"/>
    <x v="65"/>
    <x v="1"/>
    <x v="0"/>
    <x v="2"/>
    <x v="1"/>
    <x v="30"/>
    <s v="PWEGPL"/>
    <s v="MSEDCL"/>
    <n v="2.5000000000000001E-2"/>
    <n v="2106"/>
    <x v="321"/>
    <s v="BD"/>
    <d v="1899-12-30T15:57:00"/>
    <d v="1899-12-30T16:10:00"/>
    <d v="1899-12-30T16:25:00"/>
    <n v="0.21666666666666856"/>
    <n v="0.24999999999999911"/>
    <n v="0.46666666666666767"/>
    <s v="Feed back replaced"/>
    <s v="Close"/>
    <n v="1.1666666666666693E-2"/>
    <s v="G13"/>
    <n v="1.2113888888888942"/>
    <m/>
    <m/>
    <n v="62.300000000000132"/>
    <n v="1.2113888888888942"/>
    <m/>
    <m/>
    <m/>
    <m/>
  </r>
  <r>
    <n v="627"/>
    <x v="65"/>
    <x v="1"/>
    <x v="0"/>
    <x v="2"/>
    <x v="1"/>
    <x v="35"/>
    <s v="PWEGPL"/>
    <s v="MSEDCL"/>
    <n v="2.5000000000000001E-2"/>
    <n v="803"/>
    <x v="324"/>
    <s v="BD"/>
    <d v="1899-12-30T00:00:00"/>
    <d v="1899-12-30T00:00:00"/>
    <d v="1899-12-30T23:59:00"/>
    <n v="0"/>
    <n v="23.983333333333334"/>
    <n v="23.983333333333334"/>
    <s v="Pitch cylender failuier"/>
    <s v="Open"/>
    <n v="0.59958333333333336"/>
    <s v="G25"/>
    <n v="2842.0485947145062"/>
    <m/>
    <m/>
    <n v="2844.0236111111112"/>
    <n v="2842.0485947145062"/>
    <m/>
    <m/>
    <m/>
    <m/>
  </r>
  <r>
    <n v="628"/>
    <x v="65"/>
    <x v="1"/>
    <x v="0"/>
    <x v="2"/>
    <x v="1"/>
    <x v="8"/>
    <s v="PWEGPL"/>
    <s v="MSEDCL"/>
    <n v="2.5000000000000001E-2"/>
    <n v="205"/>
    <x v="312"/>
    <s v="BD"/>
    <d v="1899-12-30T09:41:00"/>
    <d v="1899-12-30T10:28:00"/>
    <d v="1899-12-30T12:36:00"/>
    <n v="0.78333333333333321"/>
    <n v="2.1333333333333337"/>
    <n v="2.916666666666667"/>
    <s v="Oil top up"/>
    <s v="Close"/>
    <n v="7.2916666666666671E-2"/>
    <s v="G28"/>
    <n v="33.407479745370381"/>
    <m/>
    <m/>
    <n v="274.89583333333337"/>
    <n v="33.407479745370381"/>
    <m/>
    <m/>
    <m/>
    <m/>
  </r>
  <r>
    <n v="629"/>
    <x v="65"/>
    <x v="1"/>
    <x v="0"/>
    <x v="2"/>
    <x v="1"/>
    <x v="9"/>
    <s v="PWEGPL"/>
    <s v="MSEDCL"/>
    <n v="2.5000000000000001E-2"/>
    <n v="5212"/>
    <x v="319"/>
    <s v="BD"/>
    <d v="1899-12-30T00:00:00"/>
    <d v="1899-12-30T00:00:00"/>
    <d v="1899-12-30T02:09:00"/>
    <n v="0"/>
    <n v="2.15"/>
    <n v="2.15"/>
    <s v="Reset"/>
    <s v="Close"/>
    <n v="5.3749999999999999E-2"/>
    <s v="G29"/>
    <n v="17.254123263888886"/>
    <m/>
    <m/>
    <n v="192.60416666666666"/>
    <n v="17.254123263888886"/>
    <m/>
    <m/>
    <m/>
    <m/>
  </r>
  <r>
    <n v="630"/>
    <x v="65"/>
    <x v="1"/>
    <x v="0"/>
    <x v="2"/>
    <x v="1"/>
    <x v="11"/>
    <s v="PWEGPL"/>
    <s v="MSEDCL"/>
    <n v="2.5000000000000001E-2"/>
    <s v="CE100014"/>
    <x v="305"/>
    <s v="PM/Lift inspention"/>
    <d v="1899-12-30T11:10:00"/>
    <d v="1899-12-30T11:10:00"/>
    <d v="1899-12-30T13:34:00"/>
    <n v="0"/>
    <n v="2.4000000000000008"/>
    <n v="2.4000000000000008"/>
    <s v="Avanti lift inspection"/>
    <s v="Close"/>
    <n v="6.0000000000000026E-2"/>
    <s v="G31"/>
    <n v="26.000000000000014"/>
    <m/>
    <m/>
    <n v="260.00000000000006"/>
    <n v="26.000000000000014"/>
    <m/>
    <m/>
    <m/>
    <m/>
  </r>
  <r>
    <n v="631"/>
    <x v="65"/>
    <x v="1"/>
    <x v="0"/>
    <x v="2"/>
    <x v="1"/>
    <x v="12"/>
    <s v="PWEGPL"/>
    <s v="MSEDCL"/>
    <n v="2.5000000000000001E-2"/>
    <s v="CE100014"/>
    <x v="305"/>
    <s v="PM/Lift inspention"/>
    <d v="1899-12-30T13:42:00"/>
    <d v="1899-12-30T13:42:00"/>
    <d v="1899-12-30T16:06:00"/>
    <n v="0"/>
    <n v="2.4000000000000021"/>
    <n v="2.4000000000000021"/>
    <s v="Avanti lift inspection"/>
    <s v="Close"/>
    <n v="6.0000000000000053E-2"/>
    <s v="G32"/>
    <n v="32.100000000000058"/>
    <m/>
    <m/>
    <n v="321.00000000000028"/>
    <n v="32.100000000000058"/>
    <m/>
    <m/>
    <m/>
    <m/>
  </r>
  <r>
    <n v="632"/>
    <x v="65"/>
    <x v="1"/>
    <x v="0"/>
    <x v="2"/>
    <x v="1"/>
    <x v="16"/>
    <s v="PWEGPL"/>
    <s v="MSEDCL"/>
    <n v="2.5000000000000001E-2"/>
    <n v="110"/>
    <x v="287"/>
    <s v="BD"/>
    <d v="1899-12-30T00:00:00"/>
    <d v="1899-12-30T00:00:00"/>
    <d v="1899-12-30T03:04:00"/>
    <n v="0"/>
    <n v="3.0666666666666673"/>
    <n v="3.0666666666666673"/>
    <s v="Cable twist removed &amp; started"/>
    <s v="Close"/>
    <n v="7.6666666666666689E-2"/>
    <s v="G37"/>
    <n v="48.295740740740762"/>
    <m/>
    <m/>
    <n v="377.96666666666675"/>
    <n v="48.295740740740762"/>
    <m/>
    <m/>
    <m/>
    <m/>
  </r>
  <r>
    <n v="633"/>
    <x v="66"/>
    <x v="1"/>
    <x v="0"/>
    <x v="2"/>
    <x v="1"/>
    <x v="23"/>
    <s v="PWEGPL"/>
    <s v="MSEDCL"/>
    <n v="2.5000000000000001E-2"/>
    <n v="205"/>
    <x v="312"/>
    <s v="BD"/>
    <d v="1899-12-30T00:00:00"/>
    <d v="1899-12-30T00:00:00"/>
    <d v="1899-12-30T17:51:00"/>
    <n v="0"/>
    <n v="17.850000000000001"/>
    <n v="17.850000000000001"/>
    <s v="Oil seal replaced"/>
    <s v="Close"/>
    <n v="0.44625000000000004"/>
    <s v="G5"/>
    <n v="3122.6111328125012"/>
    <m/>
    <m/>
    <n v="4198.4687500000009"/>
    <n v="3122.6111328125012"/>
    <m/>
    <m/>
    <m/>
    <m/>
  </r>
  <r>
    <n v="634"/>
    <x v="66"/>
    <x v="1"/>
    <x v="0"/>
    <x v="2"/>
    <x v="1"/>
    <x v="17"/>
    <s v="PWEGPL"/>
    <s v="MSEDCL"/>
    <n v="2.5000000000000001E-2"/>
    <n v="509"/>
    <x v="301"/>
    <s v="BD"/>
    <d v="1899-12-30T20:50:00"/>
    <d v="1899-12-30T20:50:00"/>
    <d v="1899-12-30T23:43:00"/>
    <n v="0"/>
    <n v="2.8833333333333337"/>
    <n v="2.8833333333333337"/>
    <s v="Fan relay replaced"/>
    <s v="Close"/>
    <n v="7.2083333333333346E-2"/>
    <s v="G9"/>
    <n v="98.377731481481504"/>
    <m/>
    <m/>
    <n v="818.86666666666679"/>
    <n v="98.377731481481504"/>
    <m/>
    <m/>
    <m/>
    <m/>
  </r>
  <r>
    <n v="635"/>
    <x v="66"/>
    <x v="1"/>
    <x v="0"/>
    <x v="2"/>
    <x v="1"/>
    <x v="1"/>
    <s v="PWEGPL"/>
    <s v="MSEDCL"/>
    <n v="2.5000000000000001E-2"/>
    <n v="205"/>
    <x v="312"/>
    <s v="BD"/>
    <d v="1899-12-30T00:31:00"/>
    <d v="1899-12-30T00:31:00"/>
    <d v="1899-12-30T01:42:00"/>
    <n v="0"/>
    <n v="1.1833333333333331"/>
    <n v="1.1833333333333331"/>
    <s v="Oil topup"/>
    <s v="Close"/>
    <n v="2.958333333333333E-2"/>
    <s v="G24"/>
    <n v="16.176125578703697"/>
    <m/>
    <m/>
    <n v="328.07916666666659"/>
    <n v="16.176125578703697"/>
    <m/>
    <m/>
    <m/>
    <m/>
  </r>
  <r>
    <n v="636"/>
    <x v="66"/>
    <x v="1"/>
    <x v="0"/>
    <x v="2"/>
    <x v="1"/>
    <x v="35"/>
    <s v="PWEGPL"/>
    <s v="MSEDCL"/>
    <n v="2.5000000000000001E-2"/>
    <n v="803"/>
    <x v="324"/>
    <s v="BD"/>
    <d v="1899-12-30T00:00:00"/>
    <d v="1899-12-30T00:00:00"/>
    <d v="1899-12-30T23:59:00"/>
    <n v="0"/>
    <n v="23.983333333333334"/>
    <n v="23.983333333333334"/>
    <s v="Pitch cylender failuier- wip"/>
    <s v="Open"/>
    <n v="0.59958333333333336"/>
    <s v="G25"/>
    <n v="6644.7615422453709"/>
    <m/>
    <m/>
    <n v="6649.3791666666666"/>
    <n v="6644.7615422453709"/>
    <m/>
    <m/>
    <m/>
    <m/>
  </r>
  <r>
    <n v="637"/>
    <x v="66"/>
    <x v="1"/>
    <x v="0"/>
    <x v="2"/>
    <x v="1"/>
    <x v="36"/>
    <s v="PWEGPL"/>
    <s v="MSEDCL"/>
    <n v="2.5000000000000001E-2"/>
    <n v="1894"/>
    <x v="325"/>
    <s v="BD"/>
    <d v="1899-12-30T02:58:00"/>
    <d v="1899-12-30T02:58:00"/>
    <d v="1899-12-30T03:48:00"/>
    <n v="0"/>
    <n v="0.83333333333333304"/>
    <n v="0.83333333333333304"/>
    <s v="reboot"/>
    <s v="Close"/>
    <n v="2.0833333333333329E-2"/>
    <s v="G26"/>
    <n v="7.4291087962962905"/>
    <m/>
    <m/>
    <n v="213.95833333333326"/>
    <n v="7.4291087962962905"/>
    <m/>
    <m/>
    <m/>
    <m/>
  </r>
  <r>
    <n v="638"/>
    <x v="66"/>
    <x v="1"/>
    <x v="0"/>
    <x v="2"/>
    <x v="1"/>
    <x v="2"/>
    <s v="PWEGPL"/>
    <s v="MSEDCL"/>
    <n v="2.5000000000000001E-2"/>
    <n v="110"/>
    <x v="287"/>
    <s v="BD"/>
    <d v="1899-12-30T08:07:00"/>
    <d v="1899-12-30T08:07:00"/>
    <d v="1899-12-30T11:47:00"/>
    <n v="0"/>
    <n v="3.6666666666666656"/>
    <n v="3.6666666666666656"/>
    <s v="Cable twist removed &amp; started"/>
    <s v="Close"/>
    <n v="9.1666666666666646E-2"/>
    <s v="G32"/>
    <n v="108.3024691358024"/>
    <m/>
    <m/>
    <n v="708.88888888888869"/>
    <n v="108.3024691358024"/>
    <m/>
    <m/>
    <m/>
    <m/>
  </r>
  <r>
    <n v="639"/>
    <x v="66"/>
    <x v="1"/>
    <x v="0"/>
    <x v="2"/>
    <x v="1"/>
    <x v="3"/>
    <s v="PWEGPL"/>
    <s v="MSEDCL"/>
    <n v="2.5000000000000001E-2"/>
    <s v="CE100007"/>
    <x v="295"/>
    <s v="PM"/>
    <d v="1899-12-30T15:13:00"/>
    <d v="1899-12-30T15:13:00"/>
    <d v="1899-12-30T15:53:00"/>
    <n v="0"/>
    <n v="0.66666666666666696"/>
    <n v="0.66666666666666696"/>
    <s v="LC taken for VCB01 yearly maintenance"/>
    <s v="Close"/>
    <n v="1.6666666666666673E-2"/>
    <s v="G26"/>
    <n v="4.7546296296296333"/>
    <m/>
    <m/>
    <n v="171.16666666666674"/>
    <n v="4.7546296296296333"/>
    <m/>
    <m/>
    <m/>
    <m/>
  </r>
  <r>
    <n v="640"/>
    <x v="66"/>
    <x v="1"/>
    <x v="0"/>
    <x v="2"/>
    <x v="1"/>
    <x v="13"/>
    <s v="PWEGPL"/>
    <s v="MSEDCL"/>
    <n v="2.5000000000000001E-2"/>
    <s v="CE100007"/>
    <x v="295"/>
    <s v="PM"/>
    <d v="1899-12-30T15:13:00"/>
    <d v="1899-12-30T15:13:00"/>
    <d v="1899-12-30T15:53:00"/>
    <n v="0"/>
    <n v="0.66666666666666696"/>
    <n v="0.66666666666666696"/>
    <s v="LC taken for VCB01 yearly maintenance"/>
    <s v="Close"/>
    <n v="1.6666666666666673E-2"/>
    <s v="G34"/>
    <n v="5.1682098765432141"/>
    <m/>
    <m/>
    <n v="186.05555555555563"/>
    <n v="5.1682098765432141"/>
    <m/>
    <m/>
    <m/>
    <m/>
  </r>
  <r>
    <n v="641"/>
    <x v="66"/>
    <x v="1"/>
    <x v="0"/>
    <x v="2"/>
    <x v="1"/>
    <x v="14"/>
    <s v="PWEGPL"/>
    <s v="MSEDCL"/>
    <n v="2.5000000000000001E-2"/>
    <s v="CE100007"/>
    <x v="295"/>
    <s v="PM"/>
    <d v="1899-12-30T15:13:00"/>
    <d v="1899-12-30T15:13:00"/>
    <d v="1899-12-30T15:53:00"/>
    <n v="0"/>
    <n v="0.66666666666666696"/>
    <n v="0.66666666666666696"/>
    <s v="LC taken for VCB01 yearly maintenance"/>
    <s v="Close"/>
    <n v="1.6666666666666673E-2"/>
    <s v="G35"/>
    <n v="4.0524691358024727"/>
    <m/>
    <m/>
    <n v="145.88888888888897"/>
    <n v="4.0524691358024727"/>
    <m/>
    <m/>
    <m/>
    <m/>
  </r>
  <r>
    <n v="642"/>
    <x v="66"/>
    <x v="1"/>
    <x v="0"/>
    <x v="2"/>
    <x v="1"/>
    <x v="15"/>
    <s v="PWEGPL"/>
    <s v="MSEDCL"/>
    <n v="2.5000000000000001E-2"/>
    <s v="CE100007"/>
    <x v="295"/>
    <s v="PM"/>
    <d v="1899-12-30T15:13:00"/>
    <d v="1899-12-30T15:13:00"/>
    <d v="1899-12-30T15:53:00"/>
    <n v="0"/>
    <n v="0.66666666666666696"/>
    <n v="0.66666666666666696"/>
    <s v="LC taken for VCB01 yearly maintenance"/>
    <s v="Close"/>
    <n v="1.6666666666666673E-2"/>
    <s v="G36"/>
    <n v="4.6805555555555598"/>
    <m/>
    <m/>
    <n v="168.50000000000009"/>
    <n v="4.6805555555555598"/>
    <m/>
    <m/>
    <m/>
    <m/>
  </r>
  <r>
    <n v="643"/>
    <x v="66"/>
    <x v="1"/>
    <x v="0"/>
    <x v="2"/>
    <x v="1"/>
    <x v="16"/>
    <s v="PWEGPL"/>
    <s v="MSEDCL"/>
    <n v="2.5000000000000001E-2"/>
    <s v="CE100007"/>
    <x v="295"/>
    <s v="PM"/>
    <d v="1899-12-30T15:13:00"/>
    <d v="1899-12-30T15:13:00"/>
    <d v="1899-12-30T15:53:00"/>
    <n v="0"/>
    <n v="0.66666666666666696"/>
    <n v="0.66666666666666696"/>
    <s v="LC taken for VCB01 yearly maintenance"/>
    <s v="Close"/>
    <n v="1.6666666666666673E-2"/>
    <s v="G37"/>
    <n v="5.0756172839506215"/>
    <m/>
    <m/>
    <n v="182.72222222222229"/>
    <n v="5.0756172839506215"/>
    <m/>
    <m/>
    <m/>
    <m/>
  </r>
  <r>
    <n v="644"/>
    <x v="66"/>
    <x v="1"/>
    <x v="0"/>
    <x v="2"/>
    <x v="1"/>
    <x v="4"/>
    <s v="PWEGPL"/>
    <s v="MSEDCL"/>
    <n v="2.5000000000000001E-2"/>
    <s v="CE100007"/>
    <x v="295"/>
    <s v="PM"/>
    <d v="1899-12-30T15:13:00"/>
    <d v="1899-12-30T15:13:00"/>
    <d v="1899-12-30T15:53:00"/>
    <n v="0"/>
    <n v="0.66666666666666696"/>
    <n v="0.66666666666666696"/>
    <s v="LC taken for VCB01 yearly maintenance"/>
    <s v="Close"/>
    <n v="1.6666666666666673E-2"/>
    <s v="G38"/>
    <n v="4.2114197530864237"/>
    <m/>
    <m/>
    <n v="151.61111111111117"/>
    <n v="4.2114197530864237"/>
    <m/>
    <m/>
    <m/>
    <m/>
  </r>
  <r>
    <n v="645"/>
    <x v="66"/>
    <x v="1"/>
    <x v="0"/>
    <x v="2"/>
    <x v="1"/>
    <x v="5"/>
    <s v="PWEGPL"/>
    <s v="MSEDCL"/>
    <n v="2.5000000000000001E-2"/>
    <s v="CE100007"/>
    <x v="295"/>
    <s v="PM"/>
    <d v="1899-12-30T15:13:00"/>
    <d v="1899-12-30T15:13:00"/>
    <d v="1899-12-30T15:53:00"/>
    <n v="0"/>
    <n v="0.66666666666666696"/>
    <n v="0.66666666666666696"/>
    <s v="LC taken for VCB01 yearly maintenance"/>
    <s v="Close"/>
    <n v="1.6666666666666673E-2"/>
    <s v="G39"/>
    <n v="4.8271604938271651"/>
    <m/>
    <m/>
    <n v="173.77777777777786"/>
    <n v="4.8271604938271651"/>
    <m/>
    <m/>
    <m/>
    <m/>
  </r>
  <r>
    <n v="646"/>
    <x v="66"/>
    <x v="1"/>
    <x v="0"/>
    <x v="2"/>
    <x v="1"/>
    <x v="6"/>
    <s v="PWEGPL"/>
    <s v="MSEDCL"/>
    <n v="2.5000000000000001E-2"/>
    <s v="CE100007"/>
    <x v="295"/>
    <s v="PM"/>
    <d v="1899-12-30T15:13:00"/>
    <d v="1899-12-30T15:13:00"/>
    <d v="1899-12-30T15:53:00"/>
    <n v="0"/>
    <n v="0.66666666666666696"/>
    <n v="0.66666666666666696"/>
    <s v="LC taken for VCB01 yearly maintenance"/>
    <s v="Close"/>
    <n v="1.6666666666666673E-2"/>
    <s v="G40"/>
    <n v="5.3703703703703747"/>
    <m/>
    <m/>
    <n v="193.33333333333343"/>
    <n v="5.3703703703703747"/>
    <m/>
    <m/>
    <m/>
    <m/>
  </r>
  <r>
    <n v="647"/>
    <x v="66"/>
    <x v="1"/>
    <x v="0"/>
    <x v="2"/>
    <x v="1"/>
    <x v="7"/>
    <s v="PWEGPL"/>
    <s v="MSEDCL"/>
    <n v="2.5000000000000001E-2"/>
    <s v="CE100007"/>
    <x v="295"/>
    <s v="PM"/>
    <d v="1899-12-30T15:13:00"/>
    <d v="1899-12-30T15:13:00"/>
    <d v="1899-12-30T15:53:00"/>
    <n v="0"/>
    <n v="0.66666666666666696"/>
    <n v="0.66666666666666696"/>
    <s v="LC taken for VCB01 yearly maintenance"/>
    <s v="Close"/>
    <n v="1.6666666666666673E-2"/>
    <s v="G39"/>
    <n v="4.8271604938271651"/>
    <m/>
    <m/>
    <n v="173.77777777777786"/>
    <n v="4.8271604938271651"/>
    <m/>
    <m/>
    <m/>
    <m/>
  </r>
  <r>
    <n v="648"/>
    <x v="66"/>
    <x v="1"/>
    <x v="0"/>
    <x v="2"/>
    <x v="1"/>
    <x v="2"/>
    <s v="PWEGPL"/>
    <s v="MSEDCL"/>
    <n v="2.5000000000000001E-2"/>
    <s v="CE100007"/>
    <x v="295"/>
    <s v="PM"/>
    <d v="1899-12-30T15:13:00"/>
    <d v="1899-12-30T15:13:00"/>
    <d v="1899-12-30T15:53:00"/>
    <n v="0"/>
    <n v="0.66666666666666696"/>
    <n v="0.66666666666666696"/>
    <s v="LC taken for VCB01 yearly maintenance"/>
    <s v="Close"/>
    <n v="1.6666666666666673E-2"/>
    <s v="G32"/>
    <n v="3.5802469135802504"/>
    <m/>
    <m/>
    <n v="128.88888888888894"/>
    <n v="3.5802469135802504"/>
    <m/>
    <m/>
    <m/>
    <m/>
  </r>
  <r>
    <n v="649"/>
    <x v="67"/>
    <x v="1"/>
    <x v="0"/>
    <x v="2"/>
    <x v="1"/>
    <x v="21"/>
    <s v="PWEGPL"/>
    <s v="MSEDCL"/>
    <n v="2.5000000000000001E-2"/>
    <n v="552"/>
    <x v="304"/>
    <s v="BD"/>
    <d v="1899-12-30T11:54:00"/>
    <d v="1899-12-30T12:22:00"/>
    <d v="1899-12-30T12:32:00"/>
    <n v="0.46666666666666767"/>
    <n v="0.16666666666666607"/>
    <n v="0.63333333333333375"/>
    <s v="Reset"/>
    <s v="Close"/>
    <n v="1.5833333333333345E-2"/>
    <s v="G3"/>
    <n v="7.8314158950617374"/>
    <m/>
    <m/>
    <n v="296.76944444444462"/>
    <n v="7.8314158950617374"/>
    <m/>
    <m/>
    <m/>
    <m/>
  </r>
  <r>
    <n v="650"/>
    <x v="67"/>
    <x v="1"/>
    <x v="0"/>
    <x v="2"/>
    <x v="1"/>
    <x v="35"/>
    <s v="PWEGPL"/>
    <s v="MSEDCL"/>
    <n v="2.5000000000000001E-2"/>
    <n v="803"/>
    <x v="324"/>
    <s v="BD"/>
    <d v="1899-12-30T00:00:00"/>
    <d v="1899-12-30T23:59:00"/>
    <d v="1899-12-30T23:59:00"/>
    <n v="23.983333333333334"/>
    <n v="0"/>
    <n v="23.983333333333334"/>
    <s v="Pitch cylender failuier- WIP"/>
    <s v="Open"/>
    <n v="0.59958333333333336"/>
    <s v="G25"/>
    <n v="10359.596669560186"/>
    <m/>
    <m/>
    <n v="10366.795833333334"/>
    <n v="10359.596669560186"/>
    <m/>
    <m/>
    <m/>
    <m/>
  </r>
  <r>
    <n v="651"/>
    <x v="67"/>
    <x v="1"/>
    <x v="0"/>
    <x v="2"/>
    <x v="1"/>
    <x v="13"/>
    <s v="PWEGPL"/>
    <s v="MSEDCL"/>
    <n v="2.5000000000000001E-2"/>
    <s v="CE100014"/>
    <x v="305"/>
    <s v="PM/Lift inspention"/>
    <d v="1899-12-30T11:07:00"/>
    <d v="1899-12-30T11:07:00"/>
    <d v="1899-12-30T13:23:00"/>
    <n v="0"/>
    <n v="2.2666666666666666"/>
    <n v="2.2666666666666666"/>
    <s v="Avanti lift inspection"/>
    <s v="Close"/>
    <n v="5.6666666666666671E-2"/>
    <s v="G34"/>
    <n v="96.440370370370374"/>
    <m/>
    <m/>
    <n v="1021.1333333333333"/>
    <n v="96.440370370370374"/>
    <m/>
    <m/>
    <m/>
    <m/>
  </r>
  <r>
    <n v="652"/>
    <x v="67"/>
    <x v="1"/>
    <x v="0"/>
    <x v="2"/>
    <x v="1"/>
    <x v="14"/>
    <s v="PWEGPL"/>
    <s v="MSEDCL"/>
    <n v="2.5000000000000001E-2"/>
    <s v="CE100014"/>
    <x v="305"/>
    <s v="PM/Lift inspention"/>
    <d v="1899-12-30T13:28:00"/>
    <d v="1899-12-30T13:28:00"/>
    <d v="1899-12-30T15:45:00"/>
    <n v="0"/>
    <n v="2.2833333333333332"/>
    <n v="2.2833333333333332"/>
    <s v="Avanti lift inspection"/>
    <s v="Close"/>
    <n v="5.7083333333333333E-2"/>
    <s v="G35"/>
    <n v="100.28960262345679"/>
    <m/>
    <m/>
    <n v="1054.1388888888889"/>
    <n v="100.28960262345679"/>
    <m/>
    <m/>
    <m/>
    <m/>
  </r>
  <r>
    <n v="653"/>
    <x v="68"/>
    <x v="1"/>
    <x v="0"/>
    <x v="2"/>
    <x v="1"/>
    <x v="32"/>
    <s v="PWEGPL"/>
    <s v="MSEDCL"/>
    <n v="2.5000000000000001E-2"/>
    <n v="1894"/>
    <x v="325"/>
    <s v="BD"/>
    <d v="1899-12-30T08:00:00"/>
    <d v="1899-12-30T09:26:00"/>
    <d v="1899-12-30T09:36:00"/>
    <n v="1.4333333333333336"/>
    <n v="0.16666666666666607"/>
    <n v="1.5999999999999996"/>
    <s v="reset &amp; Rebot"/>
    <s v="Close"/>
    <n v="3.9999999999999994E-2"/>
    <s v="G15"/>
    <n v="18.026666666666657"/>
    <m/>
    <m/>
    <n v="270.39999999999992"/>
    <n v="18.026666666666657"/>
    <m/>
    <m/>
    <m/>
    <m/>
  </r>
  <r>
    <n v="654"/>
    <x v="68"/>
    <x v="1"/>
    <x v="0"/>
    <x v="2"/>
    <x v="1"/>
    <x v="35"/>
    <s v="PWEGPL"/>
    <s v="MSEDCL"/>
    <n v="2.5000000000000001E-2"/>
    <n v="803"/>
    <x v="324"/>
    <s v="BD"/>
    <d v="1899-12-30T00:00:00"/>
    <d v="1899-12-30T00:00:00"/>
    <d v="1899-12-30T23:59:00"/>
    <n v="0"/>
    <n v="23.983333333333334"/>
    <n v="23.983333333333334"/>
    <s v="Pitch cylender failuier- WIP"/>
    <s v="Open"/>
    <n v="0.59958333333333336"/>
    <s v="G25"/>
    <n v="3856.6379735725309"/>
    <m/>
    <m/>
    <n v="3859.3180555555555"/>
    <n v="3856.6379735725309"/>
    <m/>
    <m/>
    <m/>
    <m/>
  </r>
  <r>
    <n v="655"/>
    <x v="68"/>
    <x v="1"/>
    <x v="0"/>
    <x v="2"/>
    <x v="1"/>
    <x v="3"/>
    <s v="PWEGPL"/>
    <s v="MSEDCL"/>
    <n v="2.5000000000000001E-2"/>
    <n v="108"/>
    <x v="310"/>
    <s v="BD"/>
    <d v="1899-12-30T12:01:00"/>
    <d v="1899-12-30T12:33:00"/>
    <d v="1899-12-30T13:19:00"/>
    <n v="0.5333333333333341"/>
    <n v="0.76666666666666661"/>
    <n v="1.3000000000000007"/>
    <s v="Cable twist removed &amp; started"/>
    <s v="Close"/>
    <n v="3.2500000000000022E-2"/>
    <s v="G26"/>
    <n v="10.005034722222234"/>
    <m/>
    <m/>
    <n v="184.70833333333346"/>
    <n v="10.005034722222234"/>
    <m/>
    <m/>
    <m/>
    <m/>
  </r>
  <r>
    <n v="656"/>
    <x v="69"/>
    <x v="1"/>
    <x v="0"/>
    <x v="2"/>
    <x v="1"/>
    <x v="20"/>
    <s v="PWEGPL"/>
    <s v="MSEDCL"/>
    <n v="2.5000000000000001E-2"/>
    <s v="CE100007"/>
    <x v="295"/>
    <s v="BD"/>
    <d v="1899-12-30T12:53:00"/>
    <d v="1899-12-30T12:53:00"/>
    <d v="1899-12-30T15:03:00"/>
    <n v="0"/>
    <n v="2.166666666666667"/>
    <n v="2.166666666666667"/>
    <s v="LC taken for G-02 Two LA replacement"/>
    <s v="Close"/>
    <n v="5.4166666666666675E-2"/>
    <s v="G2"/>
    <n v="34.262924382716058"/>
    <m/>
    <m/>
    <n v="379.52777777777783"/>
    <n v="34.262924382716058"/>
    <m/>
    <m/>
    <m/>
    <m/>
  </r>
  <r>
    <n v="657"/>
    <x v="69"/>
    <x v="1"/>
    <x v="0"/>
    <x v="2"/>
    <x v="1"/>
    <x v="21"/>
    <s v="PWEGPL"/>
    <s v="MSEDCL"/>
    <n v="2.5000000000000001E-2"/>
    <s v="CE100007"/>
    <x v="295"/>
    <s v="BD"/>
    <d v="1899-12-30T12:53:00"/>
    <d v="1899-12-30T12:53:00"/>
    <d v="1899-12-30T15:03:00"/>
    <n v="0"/>
    <n v="2.166666666666667"/>
    <n v="2.166666666666667"/>
    <s v="LC taken for G-02 Two LA replacement"/>
    <s v="Close"/>
    <n v="5.4166666666666675E-2"/>
    <s v="G3"/>
    <n v="33.545717592592602"/>
    <m/>
    <m/>
    <n v="371.58333333333337"/>
    <n v="33.545717592592602"/>
    <m/>
    <m/>
    <m/>
    <m/>
  </r>
  <r>
    <n v="658"/>
    <x v="69"/>
    <x v="1"/>
    <x v="0"/>
    <x v="2"/>
    <x v="1"/>
    <x v="22"/>
    <s v="PWEGPL"/>
    <s v="MSEDCL"/>
    <n v="2.5000000000000001E-2"/>
    <s v="CE100007"/>
    <x v="295"/>
    <s v="BD"/>
    <d v="1899-12-30T12:53:00"/>
    <d v="1899-12-30T12:53:00"/>
    <d v="1899-12-30T15:03:00"/>
    <n v="0"/>
    <n v="2.166666666666667"/>
    <n v="2.166666666666667"/>
    <s v="LC taken for G-02 Two LA replacement"/>
    <s v="Close"/>
    <n v="5.4166666666666675E-2"/>
    <s v="G4"/>
    <n v="31.361496913580257"/>
    <m/>
    <m/>
    <n v="347.38888888888897"/>
    <n v="31.361496913580257"/>
    <m/>
    <m/>
    <m/>
    <m/>
  </r>
  <r>
    <n v="659"/>
    <x v="69"/>
    <x v="1"/>
    <x v="0"/>
    <x v="2"/>
    <x v="1"/>
    <x v="23"/>
    <s v="PWEGPL"/>
    <s v="MSEDCL"/>
    <n v="2.5000000000000001E-2"/>
    <s v="CE100007"/>
    <x v="295"/>
    <s v="BD"/>
    <d v="1899-12-30T12:53:00"/>
    <d v="1899-12-30T12:53:00"/>
    <d v="1899-12-30T15:03:00"/>
    <n v="0"/>
    <n v="2.166666666666667"/>
    <n v="2.166666666666667"/>
    <s v="LC taken for G-02 Two LA replacement"/>
    <s v="Close"/>
    <n v="5.4166666666666675E-2"/>
    <s v="G5"/>
    <n v="24.083478009259267"/>
    <m/>
    <m/>
    <n v="266.77083333333337"/>
    <n v="24.083478009259267"/>
    <m/>
    <m/>
    <m/>
    <m/>
  </r>
  <r>
    <n v="660"/>
    <x v="69"/>
    <x v="1"/>
    <x v="0"/>
    <x v="2"/>
    <x v="1"/>
    <x v="26"/>
    <s v="PWEGPL"/>
    <s v="MSEDCL"/>
    <n v="2.5000000000000001E-2"/>
    <s v="CE100007"/>
    <x v="295"/>
    <s v="BD"/>
    <d v="1899-12-30T12:53:00"/>
    <d v="1899-12-30T12:53:00"/>
    <d v="1899-12-30T15:03:00"/>
    <n v="0"/>
    <n v="2.166666666666667"/>
    <n v="2.166666666666667"/>
    <s v="LC taken for G-02 Two LA replacement"/>
    <s v="Close"/>
    <n v="5.4166666666666675E-2"/>
    <s v="G8"/>
    <n v="32.616608796296312"/>
    <m/>
    <m/>
    <n v="361.29166666666674"/>
    <n v="32.616608796296312"/>
    <m/>
    <m/>
    <m/>
    <m/>
  </r>
  <r>
    <n v="661"/>
    <x v="69"/>
    <x v="1"/>
    <x v="0"/>
    <x v="2"/>
    <x v="1"/>
    <x v="35"/>
    <s v="PWEGPL"/>
    <s v="MSEDCL"/>
    <n v="2.5000000000000001E-2"/>
    <n v="803"/>
    <x v="324"/>
    <s v="BD"/>
    <d v="1899-12-30T00:00:00"/>
    <d v="1899-12-30T00:00:00"/>
    <d v="1899-12-30T23:59:00"/>
    <n v="0"/>
    <n v="23.983333333333334"/>
    <n v="23.983333333333334"/>
    <s v="Pitch cylender failuier- WIP"/>
    <s v="Open"/>
    <n v="0.59958333333333336"/>
    <s v="G25"/>
    <n v="3720.8267968750001"/>
    <m/>
    <m/>
    <n v="3723.4125000000004"/>
    <n v="3720.8267968750001"/>
    <m/>
    <m/>
    <m/>
    <m/>
  </r>
  <r>
    <n v="662"/>
    <x v="69"/>
    <x v="1"/>
    <x v="0"/>
    <x v="2"/>
    <x v="1"/>
    <x v="15"/>
    <s v="PWEGPL"/>
    <s v="MSEDCL"/>
    <n v="2.5000000000000001E-2"/>
    <s v="CE100014"/>
    <x v="305"/>
    <s v="PM/Lift inspention"/>
    <d v="1899-12-30T11:23:00"/>
    <d v="1899-12-30T11:23:00"/>
    <d v="1899-12-30T13:51:00"/>
    <n v="0"/>
    <n v="2.4666666666666659"/>
    <n v="2.4666666666666659"/>
    <s v="Avanti lift inspection"/>
    <s v="Close"/>
    <n v="6.1666666666666647E-2"/>
    <s v="G36"/>
    <n v="46.943179012345645"/>
    <m/>
    <m/>
    <n v="456.7444444444443"/>
    <n v="46.943179012345645"/>
    <m/>
    <m/>
    <m/>
    <m/>
  </r>
  <r>
    <n v="663"/>
    <x v="69"/>
    <x v="1"/>
    <x v="0"/>
    <x v="2"/>
    <x v="1"/>
    <x v="16"/>
    <s v="PWEGPL"/>
    <s v="MSEDCL"/>
    <n v="2.5000000000000001E-2"/>
    <s v="CE100014"/>
    <x v="305"/>
    <s v="PM/Lift inspention"/>
    <d v="1899-12-30T13:58:00"/>
    <d v="1899-12-30T13:58:00"/>
    <d v="1899-12-30T16:09:00"/>
    <n v="0"/>
    <n v="2.1833333333333309"/>
    <n v="2.1833333333333309"/>
    <s v="Avanti lift inspection"/>
    <s v="Close"/>
    <n v="5.4583333333333275E-2"/>
    <s v="G37"/>
    <n v="34.643106674382636"/>
    <m/>
    <m/>
    <n v="380.80972222222175"/>
    <n v="34.643106674382636"/>
    <m/>
    <m/>
    <m/>
    <m/>
  </r>
  <r>
    <n v="664"/>
    <x v="69"/>
    <x v="1"/>
    <x v="0"/>
    <x v="2"/>
    <x v="1"/>
    <x v="4"/>
    <s v="PWEGPL"/>
    <s v="MSEDCL"/>
    <n v="2.5000000000000001E-2"/>
    <n v="205"/>
    <x v="312"/>
    <s v="BD"/>
    <d v="1899-12-30T13:51:00"/>
    <d v="1899-12-30T17:00:00"/>
    <d v="1899-12-30T17:30:00"/>
    <n v="3.1500000000000021"/>
    <n v="0.49999999999999822"/>
    <n v="3.6500000000000004"/>
    <s v="Oil Topup"/>
    <s v="Close"/>
    <n v="9.1250000000000012E-2"/>
    <s v="G38"/>
    <n v="85.994887152777792"/>
    <m/>
    <m/>
    <n v="565.44583333333333"/>
    <n v="85.994887152777792"/>
    <m/>
    <m/>
    <m/>
    <m/>
  </r>
  <r>
    <n v="665"/>
    <x v="69"/>
    <x v="1"/>
    <x v="0"/>
    <x v="2"/>
    <x v="1"/>
    <x v="23"/>
    <s v="PWEGPL"/>
    <s v="MSEDCL"/>
    <n v="2.5000000000000001E-2"/>
    <s v="CE100001"/>
    <x v="288"/>
    <s v="BD"/>
    <d v="1899-12-30T11:47:00"/>
    <d v="1899-12-30T11:47:00"/>
    <d v="1899-12-30T12:53:00"/>
    <n v="0"/>
    <n v="1.1000000000000001"/>
    <n v="1.1000000000000001"/>
    <s v="Troubleshooting work"/>
    <s v="Close"/>
    <n v="2.7500000000000004E-2"/>
    <s v="G5"/>
    <n v="6.2075520833333337"/>
    <m/>
    <m/>
    <n v="135.4375"/>
    <n v="6.2075520833333337"/>
    <m/>
    <m/>
    <m/>
    <m/>
  </r>
  <r>
    <n v="666"/>
    <x v="70"/>
    <x v="1"/>
    <x v="0"/>
    <x v="2"/>
    <x v="1"/>
    <x v="17"/>
    <s v="PWEGPL"/>
    <s v="MSEDCL"/>
    <n v="2.5000000000000001E-2"/>
    <n v="800"/>
    <x v="298"/>
    <s v="BD"/>
    <d v="1899-12-30T02:28:00"/>
    <d v="1899-12-30T03:31:00"/>
    <d v="1899-12-30T12:30:00"/>
    <n v="1.0499999999999998"/>
    <n v="8.9833333333333343"/>
    <n v="10.033333333333333"/>
    <s v="Loose connection tightened"/>
    <s v="Close"/>
    <n v="0.25083333333333335"/>
    <s v="G9"/>
    <n v="1989.586774691358"/>
    <m/>
    <m/>
    <n v="4759.1444444444442"/>
    <n v="1989.586774691358"/>
    <m/>
    <m/>
    <m/>
    <m/>
  </r>
  <r>
    <n v="667"/>
    <x v="70"/>
    <x v="1"/>
    <x v="0"/>
    <x v="2"/>
    <x v="1"/>
    <x v="1"/>
    <s v="PWEGPL"/>
    <s v="MSEDCL"/>
    <n v="2.5000000000000001E-2"/>
    <n v="205"/>
    <x v="312"/>
    <s v="BD"/>
    <d v="1899-12-30T11:18:00"/>
    <d v="1899-12-30T13:46:00"/>
    <d v="1899-12-30T14:05:00"/>
    <n v="2.4666666666666672"/>
    <n v="0.31666666666666554"/>
    <n v="2.7833333333333328"/>
    <s v="Oil Topup"/>
    <s v="Close"/>
    <n v="6.9583333333333316E-2"/>
    <s v="G24"/>
    <n v="130.94488040123451"/>
    <m/>
    <m/>
    <n v="1129.1055555555554"/>
    <n v="130.94488040123451"/>
    <m/>
    <m/>
    <m/>
    <m/>
  </r>
  <r>
    <n v="668"/>
    <x v="70"/>
    <x v="1"/>
    <x v="0"/>
    <x v="2"/>
    <x v="1"/>
    <x v="35"/>
    <s v="PWEGPL"/>
    <s v="MSEDCL"/>
    <n v="2.5000000000000001E-2"/>
    <n v="803"/>
    <x v="324"/>
    <s v="BD"/>
    <d v="1899-12-30T00:00:00"/>
    <d v="1899-12-30T00:00:00"/>
    <d v="1899-12-30T18:31:00"/>
    <n v="0"/>
    <n v="18.516666666666666"/>
    <n v="18.516666666666666"/>
    <s v="Pitch cylinder replaced"/>
    <s v="Open"/>
    <n v="0.46291666666666664"/>
    <s v="G25"/>
    <n v="5795.403769290122"/>
    <m/>
    <m/>
    <n v="7511.594444444444"/>
    <n v="5795.403769290122"/>
    <m/>
    <m/>
    <m/>
    <m/>
  </r>
  <r>
    <n v="669"/>
    <x v="70"/>
    <x v="1"/>
    <x v="0"/>
    <x v="2"/>
    <x v="1"/>
    <x v="35"/>
    <s v="PWEGPL"/>
    <s v="MSEDCL"/>
    <n v="2.5000000000000001E-2"/>
    <n v="5205"/>
    <x v="326"/>
    <s v="BD"/>
    <d v="1899-12-30T19:46:00"/>
    <d v="1899-12-30T21:26:00"/>
    <d v="1899-12-30T23:59:00"/>
    <n v="1.6666666666666687"/>
    <n v="2.5499999999999989"/>
    <n v="4.2166666666666677"/>
    <s v="Troubleshooting done"/>
    <s v="Close"/>
    <n v="0.1054166666666667"/>
    <s v="G25"/>
    <n v="300.53608410493842"/>
    <m/>
    <m/>
    <n v="1710.5611111111116"/>
    <n v="300.53608410493842"/>
    <m/>
    <m/>
    <m/>
    <m/>
  </r>
  <r>
    <n v="670"/>
    <x v="70"/>
    <x v="1"/>
    <x v="0"/>
    <x v="2"/>
    <x v="1"/>
    <x v="4"/>
    <s v="PWEGPL"/>
    <s v="MSEDCL"/>
    <n v="2.5000000000000001E-2"/>
    <s v="CE100014"/>
    <x v="305"/>
    <s v="PM/Lift inspention"/>
    <d v="1899-12-30T11:14:00"/>
    <d v="1899-12-30T11:14:00"/>
    <d v="1899-12-30T13:37:00"/>
    <n v="0"/>
    <n v="2.3833333333333342"/>
    <n v="2.3833333333333342"/>
    <s v="Avanti lift inspection"/>
    <s v="Close"/>
    <n v="5.9583333333333356E-2"/>
    <s v="G38"/>
    <n v="70.194821566358073"/>
    <m/>
    <m/>
    <n v="706.85694444444471"/>
    <n v="70.194821566358073"/>
    <m/>
    <m/>
    <m/>
    <m/>
  </r>
  <r>
    <n v="671"/>
    <x v="70"/>
    <x v="1"/>
    <x v="0"/>
    <x v="2"/>
    <x v="1"/>
    <x v="5"/>
    <s v="PWEGPL"/>
    <s v="MSEDCL"/>
    <n v="2.5000000000000001E-2"/>
    <s v="CE100014"/>
    <x v="305"/>
    <s v="PM/Lift inspention"/>
    <d v="1899-12-30T13:46:00"/>
    <d v="1899-12-30T13:46:00"/>
    <d v="1899-12-30T16:15:00"/>
    <n v="0"/>
    <n v="2.4833333333333325"/>
    <n v="2.4833333333333325"/>
    <s v="Avanti lift inspection"/>
    <s v="Close"/>
    <n v="6.2083333333333317E-2"/>
    <s v="G39"/>
    <n v="89.377868441357961"/>
    <m/>
    <m/>
    <n v="863.78611111111081"/>
    <n v="89.377868441357961"/>
    <m/>
    <m/>
    <m/>
    <m/>
  </r>
  <r>
    <n v="672"/>
    <x v="71"/>
    <x v="1"/>
    <x v="0"/>
    <x v="2"/>
    <x v="1"/>
    <x v="24"/>
    <s v="PWEGPL"/>
    <s v="MSEDCL"/>
    <n v="2.5000000000000001E-2"/>
    <n v="110"/>
    <x v="287"/>
    <s v="BD"/>
    <d v="1899-12-30T12:17:00"/>
    <d v="1899-12-30T13:02:00"/>
    <d v="1899-12-30T13:23:00"/>
    <n v="0.75"/>
    <n v="0.35000000000000142"/>
    <n v="1.1000000000000014"/>
    <s v="Cable twist removed &amp; started"/>
    <s v="Close"/>
    <n v="2.7500000000000038E-2"/>
    <s v="G6"/>
    <n v="15.912760416666707"/>
    <m/>
    <m/>
    <n v="347.18750000000045"/>
    <n v="15.912760416666707"/>
    <m/>
    <m/>
    <m/>
    <m/>
  </r>
  <r>
    <n v="673"/>
    <x v="71"/>
    <x v="1"/>
    <x v="0"/>
    <x v="2"/>
    <x v="1"/>
    <x v="30"/>
    <s v="PWEGPL"/>
    <s v="MSEDCL"/>
    <n v="2.5000000000000001E-2"/>
    <n v="205"/>
    <x v="312"/>
    <s v="BD"/>
    <d v="1899-12-30T10:33:00"/>
    <d v="1899-12-30T11:00:00"/>
    <d v="1899-12-30T11:40:00"/>
    <n v="0.4499999999999984"/>
    <n v="0.66666666666666696"/>
    <n v="1.1166666666666654"/>
    <s v="oil topup"/>
    <s v="Close"/>
    <n v="2.7916666666666635E-2"/>
    <s v="G13"/>
    <n v="17.076211419753047"/>
    <m/>
    <m/>
    <n v="367.01111111111072"/>
    <n v="17.076211419753047"/>
    <m/>
    <m/>
    <m/>
    <m/>
  </r>
  <r>
    <n v="674"/>
    <x v="71"/>
    <x v="1"/>
    <x v="0"/>
    <x v="2"/>
    <x v="1"/>
    <x v="35"/>
    <s v="PWEGPL"/>
    <s v="MSEDCL"/>
    <n v="2.5000000000000001E-2"/>
    <n v="907"/>
    <x v="292"/>
    <s v="BD"/>
    <d v="1899-12-30T00:00:00"/>
    <d v="1899-12-30T00:00:00"/>
    <d v="1899-12-30T01:00:00"/>
    <n v="0"/>
    <n v="1"/>
    <n v="1"/>
    <s v="Trouble shooting and reset"/>
    <s v="Close"/>
    <n v="2.5000000000000001E-2"/>
    <s v="G25"/>
    <n v="10.5625"/>
    <m/>
    <m/>
    <n v="253.5"/>
    <n v="10.5625"/>
    <m/>
    <m/>
    <m/>
    <m/>
  </r>
  <r>
    <n v="675"/>
    <x v="71"/>
    <x v="1"/>
    <x v="0"/>
    <x v="2"/>
    <x v="1"/>
    <x v="9"/>
    <s v="PWEGPL"/>
    <s v="MSEDCL"/>
    <n v="2.5000000000000001E-2"/>
    <n v="110"/>
    <x v="287"/>
    <s v="BD"/>
    <d v="1899-12-30T15:30:00"/>
    <d v="1899-12-30T16:00:00"/>
    <d v="1899-12-30T17:22:00"/>
    <n v="0.49999999999999822"/>
    <n v="1.3666666666666671"/>
    <n v="1.8666666666666654"/>
    <s v="Cable twist removed &amp; started"/>
    <s v="Close"/>
    <n v="4.6666666666666634E-2"/>
    <s v="G29"/>
    <n v="39.151604938271554"/>
    <m/>
    <m/>
    <n v="503.37777777777745"/>
    <n v="39.151604938271554"/>
    <m/>
    <m/>
    <m/>
    <m/>
  </r>
  <r>
    <n v="676"/>
    <x v="71"/>
    <x v="1"/>
    <x v="0"/>
    <x v="2"/>
    <x v="1"/>
    <x v="6"/>
    <s v="PWEGPL"/>
    <s v="MSEDCL"/>
    <n v="2.5000000000000001E-2"/>
    <s v="CE100014"/>
    <x v="305"/>
    <s v="PM/Lift inspention"/>
    <d v="1899-12-30T11:20:00"/>
    <d v="1899-12-30T11:20:00"/>
    <d v="1899-12-30T14:07:00"/>
    <n v="0"/>
    <n v="2.7833333333333328"/>
    <n v="2.7833333333333328"/>
    <s v="Avanti lift inspection"/>
    <s v="Close"/>
    <n v="6.9583333333333316E-2"/>
    <s v="G40"/>
    <n v="76.770067515432075"/>
    <m/>
    <m/>
    <n v="661.96944444444432"/>
    <n v="76.770067515432075"/>
    <m/>
    <m/>
    <m/>
    <m/>
  </r>
  <r>
    <n v="677"/>
    <x v="71"/>
    <x v="1"/>
    <x v="0"/>
    <x v="2"/>
    <x v="1"/>
    <x v="7"/>
    <s v="PWEGPL"/>
    <s v="MSEDCL"/>
    <n v="2.5000000000000001E-2"/>
    <s v="CE100014"/>
    <x v="305"/>
    <s v="PM/Lift inspention"/>
    <d v="1899-12-30T13:58:00"/>
    <d v="1899-12-30T13:58:00"/>
    <d v="1899-12-30T16:17:00"/>
    <n v="0"/>
    <n v="2.3166666666666664"/>
    <n v="2.3166666666666664"/>
    <s v="Avanti lift inspection"/>
    <s v="Close"/>
    <n v="5.7916666666666665E-2"/>
    <s v="G39"/>
    <n v="60.713559027777762"/>
    <m/>
    <m/>
    <n v="628.97499999999991"/>
    <n v="60.713559027777762"/>
    <m/>
    <m/>
    <m/>
    <m/>
  </r>
  <r>
    <n v="678"/>
    <x v="71"/>
    <x v="1"/>
    <x v="0"/>
    <x v="2"/>
    <x v="1"/>
    <x v="7"/>
    <s v="PWEGPL"/>
    <s v="MSEDCL"/>
    <n v="2.5000000000000001E-2"/>
    <n v="812"/>
    <x v="327"/>
    <s v="BD"/>
    <d v="1899-12-30T21:39:00"/>
    <d v="1899-12-30T22:08:00"/>
    <d v="1899-12-30T22:22:00"/>
    <n v="0.48333333333333428"/>
    <n v="0.23333333333333517"/>
    <n v="0.71666666666666945"/>
    <s v="Reset"/>
    <s v="Close"/>
    <n v="1.7916666666666737E-2"/>
    <s v="G39"/>
    <n v="5.8102256944444903"/>
    <m/>
    <m/>
    <n v="194.57500000000076"/>
    <n v="5.8102256944444903"/>
    <m/>
    <m/>
    <m/>
    <m/>
  </r>
  <r>
    <n v="679"/>
    <x v="72"/>
    <x v="1"/>
    <x v="0"/>
    <x v="2"/>
    <x v="1"/>
    <x v="20"/>
    <s v="PWEGPL"/>
    <s v="MSEDCL"/>
    <n v="2.5000000000000001E-2"/>
    <n v="5216"/>
    <x v="306"/>
    <s v="BD"/>
    <d v="1899-12-30T19:19:00"/>
    <d v="1899-12-30T19:19:00"/>
    <d v="1899-12-30T19:27:00"/>
    <n v="0"/>
    <n v="0.13333333333333286"/>
    <n v="0.13333333333333286"/>
    <s v="Restored again"/>
    <s v="Close"/>
    <n v="3.3333333333333218E-3"/>
    <s v="G2"/>
    <n v="0.30209876543209657"/>
    <m/>
    <m/>
    <n v="54.377777777777581"/>
    <n v="0.30209876543209657"/>
    <m/>
    <m/>
    <m/>
    <m/>
  </r>
  <r>
    <n v="680"/>
    <x v="72"/>
    <x v="1"/>
    <x v="0"/>
    <x v="2"/>
    <x v="1"/>
    <x v="21"/>
    <s v="PWEGPL"/>
    <s v="MSEDCL"/>
    <n v="2.5000000000000001E-2"/>
    <n v="5216"/>
    <x v="306"/>
    <s v="BD"/>
    <d v="1899-12-30T19:19:00"/>
    <d v="1899-12-30T19:19:00"/>
    <d v="1899-12-30T19:27:00"/>
    <n v="0"/>
    <n v="0.13333333333333286"/>
    <n v="0.13333333333333286"/>
    <s v="Restored again"/>
    <s v="Close"/>
    <n v="3.3333333333333218E-3"/>
    <s v="G3"/>
    <n v="0.19444444444444303"/>
    <m/>
    <m/>
    <n v="34.999999999999872"/>
    <n v="0.19444444444444303"/>
    <m/>
    <m/>
    <m/>
    <m/>
  </r>
  <r>
    <n v="681"/>
    <x v="72"/>
    <x v="1"/>
    <x v="0"/>
    <x v="2"/>
    <x v="1"/>
    <x v="22"/>
    <s v="PWEGPL"/>
    <s v="MSEDCL"/>
    <n v="2.5000000000000001E-2"/>
    <n v="5216"/>
    <x v="306"/>
    <s v="BD"/>
    <d v="1899-12-30T19:19:00"/>
    <d v="1899-12-30T19:19:00"/>
    <d v="1899-12-30T19:27:00"/>
    <n v="0"/>
    <n v="0.13333333333333286"/>
    <n v="0.13333333333333286"/>
    <s v="Restored again"/>
    <s v="Close"/>
    <n v="3.3333333333333218E-3"/>
    <s v="G4"/>
    <n v="7.4135802469135287E-2"/>
    <m/>
    <m/>
    <n v="13.344444444444397"/>
    <n v="7.4135802469135287E-2"/>
    <m/>
    <m/>
    <m/>
    <m/>
  </r>
  <r>
    <n v="682"/>
    <x v="72"/>
    <x v="1"/>
    <x v="0"/>
    <x v="2"/>
    <x v="1"/>
    <x v="23"/>
    <s v="PWEGPL"/>
    <s v="MSEDCL"/>
    <n v="2.5000000000000001E-2"/>
    <n v="5216"/>
    <x v="306"/>
    <s v="BD"/>
    <d v="1899-12-30T19:19:00"/>
    <d v="1899-12-30T19:19:00"/>
    <d v="1899-12-30T19:27:00"/>
    <n v="0"/>
    <n v="0.13333333333333286"/>
    <n v="0.13333333333333286"/>
    <s v="Restored again"/>
    <s v="Close"/>
    <n v="3.3333333333333218E-3"/>
    <s v="G5"/>
    <n v="0.1842901234567888"/>
    <m/>
    <m/>
    <n v="33.172222222222103"/>
    <n v="0.1842901234567888"/>
    <m/>
    <m/>
    <m/>
    <m/>
  </r>
  <r>
    <n v="683"/>
    <x v="72"/>
    <x v="1"/>
    <x v="0"/>
    <x v="2"/>
    <x v="1"/>
    <x v="23"/>
    <s v="PWEGPL"/>
    <s v="MSEDCL"/>
    <n v="2.5000000000000001E-2"/>
    <n v="5222"/>
    <x v="315"/>
    <s v="BD"/>
    <d v="1899-12-30T18:42:00"/>
    <d v="1899-12-30T23:59:00"/>
    <d v="1899-12-30T23:59:00"/>
    <n v="5.2833333333333332"/>
    <n v="0"/>
    <n v="5.2833333333333332"/>
    <s v="Not attend due to mvehicle stuck in mud."/>
    <s v="Close"/>
    <n v="0.13208333333333333"/>
    <s v="G5"/>
    <n v="289.36140962577156"/>
    <m/>
    <m/>
    <n v="1314.4493055555554"/>
    <n v="289.36140962577156"/>
    <m/>
    <m/>
    <m/>
    <m/>
  </r>
  <r>
    <n v="684"/>
    <x v="72"/>
    <x v="1"/>
    <x v="0"/>
    <x v="2"/>
    <x v="1"/>
    <x v="24"/>
    <s v="PWEGPL"/>
    <s v="MSEDCL"/>
    <n v="2.5000000000000001E-2"/>
    <n v="201"/>
    <x v="328"/>
    <s v="BD"/>
    <d v="1899-12-30T19:34:00"/>
    <d v="1899-12-30T21:05:00"/>
    <d v="1899-12-30T21:33:00"/>
    <n v="1.5166666666666666"/>
    <n v="0.46666666666666767"/>
    <n v="1.9833333333333343"/>
    <s v="Reset"/>
    <s v="Close"/>
    <n v="4.9583333333333361E-2"/>
    <s v="G6"/>
    <n v="23.642641782407431"/>
    <m/>
    <m/>
    <n v="286.09583333333347"/>
    <n v="23.642641782407431"/>
    <m/>
    <m/>
    <m/>
    <m/>
  </r>
  <r>
    <n v="685"/>
    <x v="72"/>
    <x v="1"/>
    <x v="0"/>
    <x v="2"/>
    <x v="1"/>
    <x v="25"/>
    <s v="PWEGPL"/>
    <s v="MSEDCL"/>
    <n v="2.5000000000000001E-2"/>
    <n v="5216"/>
    <x v="306"/>
    <s v="BD"/>
    <d v="1899-12-30T19:19:00"/>
    <d v="1899-12-30T19:19:00"/>
    <d v="1899-12-30T19:27:00"/>
    <n v="0"/>
    <n v="0.13333333333333286"/>
    <n v="0.13333333333333286"/>
    <s v="Restored again"/>
    <s v="Close"/>
    <n v="3.3333333333333218E-3"/>
    <s v="G7"/>
    <n v="0.22425925925925766"/>
    <m/>
    <m/>
    <n v="40.366666666666525"/>
    <n v="0.22425925925925766"/>
    <m/>
    <m/>
    <m/>
    <m/>
  </r>
  <r>
    <n v="686"/>
    <x v="72"/>
    <x v="1"/>
    <x v="0"/>
    <x v="2"/>
    <x v="1"/>
    <x v="25"/>
    <s v="PWEGPL"/>
    <s v="MSEDCL"/>
    <n v="2.5000000000000001E-2"/>
    <n v="700"/>
    <x v="329"/>
    <s v="BD"/>
    <d v="1899-12-30T19:18:00"/>
    <d v="1899-12-30T23:59:00"/>
    <d v="1899-12-30T23:59:00"/>
    <n v="4.6833333333333327"/>
    <n v="0"/>
    <n v="4.6833333333333327"/>
    <s v="Not attend due to mvehicle stuck in mud."/>
    <s v="Close"/>
    <n v="0.11708333333333332"/>
    <s v="G7"/>
    <n v="276.68336516203698"/>
    <m/>
    <m/>
    <n v="1417.8791666666664"/>
    <n v="276.68336516203698"/>
    <m/>
    <m/>
    <m/>
    <m/>
  </r>
  <r>
    <n v="687"/>
    <x v="72"/>
    <x v="1"/>
    <x v="0"/>
    <x v="2"/>
    <x v="1"/>
    <x v="26"/>
    <s v="PWEGPL"/>
    <s v="MSEDCL"/>
    <n v="2.5000000000000001E-2"/>
    <n v="203"/>
    <x v="290"/>
    <s v="BD"/>
    <d v="1899-12-30T10:32:00"/>
    <d v="1899-12-30T11:03:00"/>
    <d v="1899-12-30T12:30:00"/>
    <n v="0.5166666666666675"/>
    <n v="1.4500000000000002"/>
    <n v="1.9666666666666677"/>
    <s v="Oil top up"/>
    <s v="Close"/>
    <n v="4.9166666666666692E-2"/>
    <s v="G8"/>
    <n v="40.974270833333378"/>
    <m/>
    <m/>
    <n v="500.02500000000026"/>
    <n v="40.974270833333378"/>
    <m/>
    <m/>
    <m/>
    <m/>
  </r>
  <r>
    <n v="688"/>
    <x v="72"/>
    <x v="1"/>
    <x v="0"/>
    <x v="2"/>
    <x v="1"/>
    <x v="26"/>
    <s v="PWEGPL"/>
    <s v="MSEDCL"/>
    <n v="2.5000000000000001E-2"/>
    <n v="5216"/>
    <x v="306"/>
    <s v="BD"/>
    <d v="1899-12-30T19:19:00"/>
    <d v="1899-12-30T19:19:00"/>
    <d v="1899-12-30T19:27:00"/>
    <n v="0"/>
    <n v="0.13333333333333286"/>
    <n v="0.13333333333333286"/>
    <s v="Restored again"/>
    <s v="Close"/>
    <n v="3.3333333333333218E-3"/>
    <s v="G8"/>
    <n v="0.18833333333333199"/>
    <m/>
    <m/>
    <n v="33.899999999999878"/>
    <n v="0.18833333333333199"/>
    <m/>
    <m/>
    <m/>
    <m/>
  </r>
  <r>
    <n v="689"/>
    <x v="72"/>
    <x v="1"/>
    <x v="0"/>
    <x v="2"/>
    <x v="1"/>
    <x v="17"/>
    <s v="PWEGPL"/>
    <s v="MSEDCL"/>
    <n v="2.5000000000000001E-2"/>
    <n v="5216"/>
    <x v="306"/>
    <s v="BD"/>
    <d v="1899-12-30T19:19:00"/>
    <d v="1899-12-30T19:19:00"/>
    <d v="1899-12-30T19:27:00"/>
    <n v="0"/>
    <n v="0.13333333333333286"/>
    <n v="0.13333333333333286"/>
    <s v="Restored again"/>
    <s v="Close"/>
    <n v="3.3333333333333218E-3"/>
    <s v="G9"/>
    <n v="0.34462962962962718"/>
    <m/>
    <m/>
    <n v="62.033333333333111"/>
    <n v="0.34462962962962718"/>
    <m/>
    <m/>
    <m/>
    <m/>
  </r>
  <r>
    <n v="690"/>
    <x v="72"/>
    <x v="1"/>
    <x v="0"/>
    <x v="2"/>
    <x v="1"/>
    <x v="28"/>
    <s v="PWEGPL"/>
    <s v="MSEDCL"/>
    <n v="2.5000000000000001E-2"/>
    <n v="5216"/>
    <x v="306"/>
    <s v="BD"/>
    <d v="1899-12-30T19:19:00"/>
    <d v="1899-12-30T19:19:00"/>
    <d v="1899-12-30T19:27:00"/>
    <n v="0"/>
    <n v="0.13333333333333286"/>
    <n v="0.13333333333333286"/>
    <s v="Restored again"/>
    <s v="Close"/>
    <n v="3.3333333333333218E-3"/>
    <s v="G11"/>
    <n v="0.28351851851851656"/>
    <m/>
    <m/>
    <n v="51.033333333333154"/>
    <n v="0.28351851851851656"/>
    <m/>
    <m/>
    <m/>
    <m/>
  </r>
  <r>
    <n v="691"/>
    <x v="72"/>
    <x v="1"/>
    <x v="0"/>
    <x v="2"/>
    <x v="1"/>
    <x v="29"/>
    <s v="PWEGPL"/>
    <s v="MSEDCL"/>
    <n v="2.5000000000000001E-2"/>
    <n v="5216"/>
    <x v="306"/>
    <s v="BD"/>
    <d v="1899-12-30T19:19:00"/>
    <d v="1899-12-30T19:19:00"/>
    <d v="1899-12-30T19:27:00"/>
    <n v="0"/>
    <n v="0.13333333333333286"/>
    <n v="0.13333333333333286"/>
    <s v="Restored again"/>
    <s v="Close"/>
    <n v="3.3333333333333218E-3"/>
    <s v="G12"/>
    <n v="0.26802469135802276"/>
    <m/>
    <m/>
    <n v="48.244444444444269"/>
    <n v="0.26802469135802276"/>
    <m/>
    <m/>
    <m/>
    <m/>
  </r>
  <r>
    <n v="692"/>
    <x v="72"/>
    <x v="1"/>
    <x v="0"/>
    <x v="2"/>
    <x v="1"/>
    <x v="18"/>
    <s v="PWEGPL"/>
    <s v="MSEDCL"/>
    <n v="2.5000000000000001E-2"/>
    <n v="2102"/>
    <x v="320"/>
    <s v="BD"/>
    <d v="1899-12-30T15:45:00"/>
    <d v="1899-12-30T16:00:00"/>
    <d v="1899-12-30T17:18:00"/>
    <n v="0.24999999999999911"/>
    <n v="1.3000000000000007"/>
    <n v="1.5499999999999998"/>
    <s v="Reset"/>
    <s v="Close"/>
    <n v="3.875E-2"/>
    <s v="G20"/>
    <n v="46.010377604166656"/>
    <m/>
    <m/>
    <n v="712.41874999999993"/>
    <n v="46.010377604166656"/>
    <m/>
    <m/>
    <m/>
    <m/>
  </r>
  <r>
    <n v="693"/>
    <x v="72"/>
    <x v="1"/>
    <x v="0"/>
    <x v="2"/>
    <x v="1"/>
    <x v="2"/>
    <s v="PWEGPL"/>
    <s v="MSEDCL"/>
    <n v="2.5000000000000001E-2"/>
    <s v="CE100014"/>
    <x v="305"/>
    <s v="PM/Lift inspention"/>
    <d v="1899-12-30T10:33:00"/>
    <d v="1899-12-30T10:33:00"/>
    <d v="1899-12-30T13:05:00"/>
    <n v="0"/>
    <n v="2.5333333333333337"/>
    <n v="2.5333333333333337"/>
    <s v="Avanti lift inspection"/>
    <s v="Close"/>
    <n v="6.3333333333333339E-2"/>
    <s v="G32"/>
    <n v="79.598271604938304"/>
    <m/>
    <m/>
    <n v="754.08888888888907"/>
    <n v="79.598271604938304"/>
    <m/>
    <m/>
    <m/>
    <m/>
  </r>
  <r>
    <n v="694"/>
    <x v="72"/>
    <x v="1"/>
    <x v="0"/>
    <x v="2"/>
    <x v="1"/>
    <x v="3"/>
    <s v="PWEGPL"/>
    <s v="MSEDCL"/>
    <n v="2.5000000000000001E-2"/>
    <s v="CE100014"/>
    <x v="305"/>
    <s v="PM/Lift inspention"/>
    <d v="1899-12-30T13:13:00"/>
    <d v="1899-12-30T13:13:00"/>
    <d v="1899-12-30T16:00:00"/>
    <n v="0"/>
    <n v="2.7833333333333314"/>
    <n v="2.7833333333333314"/>
    <s v="Avanti lift inspection"/>
    <s v="Close"/>
    <n v="6.9583333333333289E-2"/>
    <s v="G26"/>
    <n v="115.77378086419736"/>
    <m/>
    <m/>
    <n v="998.28888888888821"/>
    <n v="115.77378086419736"/>
    <m/>
    <m/>
    <m/>
    <m/>
  </r>
  <r>
    <n v="695"/>
    <x v="72"/>
    <x v="1"/>
    <x v="0"/>
    <x v="2"/>
    <x v="1"/>
    <x v="13"/>
    <s v="PWEGPL"/>
    <s v="MSEDCL"/>
    <n v="2.5000000000000001E-2"/>
    <n v="800"/>
    <x v="298"/>
    <s v="BD"/>
    <d v="1899-12-30T07:19:00"/>
    <d v="1899-12-30T11:08:00"/>
    <d v="1899-12-30T18:12:00"/>
    <n v="3.8166666666666664"/>
    <n v="7.0666666666666664"/>
    <n v="10.883333333333333"/>
    <s v="Cable failuer replaced."/>
    <s v="Close"/>
    <n v="0.27208333333333334"/>
    <s v="G34"/>
    <n v="1656.6121257716052"/>
    <m/>
    <m/>
    <n v="3653.1722222222224"/>
    <n v="1656.6121257716052"/>
    <m/>
    <m/>
    <m/>
    <m/>
  </r>
  <r>
    <n v="696"/>
    <x v="72"/>
    <x v="1"/>
    <x v="0"/>
    <x v="2"/>
    <x v="1"/>
    <x v="2"/>
    <s v="PWEGPL"/>
    <s v="MSEDCL"/>
    <n v="2.5000000000000001E-2"/>
    <n v="5216"/>
    <x v="306"/>
    <s v="BD"/>
    <d v="1899-12-30T19:15:00"/>
    <d v="1899-12-30T19:15:00"/>
    <d v="1899-12-30T19:25:00"/>
    <n v="0"/>
    <n v="0.16666666666666607"/>
    <n v="0.16666666666666607"/>
    <s v="Restored again"/>
    <s v="Close"/>
    <n v="4.1666666666666519E-3"/>
    <s v="G32"/>
    <n v="0.34452160493826917"/>
    <m/>
    <m/>
    <n v="49.611111111110937"/>
    <n v="0.34452160493826917"/>
    <m/>
    <m/>
    <m/>
    <m/>
  </r>
  <r>
    <n v="697"/>
    <x v="72"/>
    <x v="1"/>
    <x v="0"/>
    <x v="2"/>
    <x v="1"/>
    <x v="3"/>
    <s v="PWEGPL"/>
    <s v="MSEDCL"/>
    <n v="2.5000000000000001E-2"/>
    <n v="5216"/>
    <x v="306"/>
    <s v="BD"/>
    <d v="1899-12-30T19:15:00"/>
    <d v="1899-12-30T19:15:00"/>
    <d v="1899-12-30T19:25:00"/>
    <n v="0"/>
    <n v="0.16666666666666607"/>
    <n v="0.16666666666666607"/>
    <s v="Restored again"/>
    <s v="Close"/>
    <n v="4.1666666666666519E-3"/>
    <s v="G26"/>
    <n v="0.41512345679012053"/>
    <m/>
    <m/>
    <n v="59.777777777777565"/>
    <n v="0.41512345679012053"/>
    <m/>
    <m/>
    <m/>
    <m/>
  </r>
  <r>
    <n v="698"/>
    <x v="72"/>
    <x v="1"/>
    <x v="0"/>
    <x v="2"/>
    <x v="1"/>
    <x v="13"/>
    <s v="PWEGPL"/>
    <s v="MSEDCL"/>
    <n v="2.5000000000000001E-2"/>
    <n v="5216"/>
    <x v="306"/>
    <s v="BD"/>
    <d v="1899-12-30T19:15:00"/>
    <d v="1899-12-30T19:15:00"/>
    <d v="1899-12-30T19:25:00"/>
    <n v="0"/>
    <n v="0.16666666666666607"/>
    <n v="0.16666666666666607"/>
    <s v="Restored again"/>
    <s v="Close"/>
    <n v="4.1666666666666519E-3"/>
    <s v="G34"/>
    <n v="0.3885030864197504"/>
    <m/>
    <m/>
    <n v="55.944444444444251"/>
    <n v="0.3885030864197504"/>
    <m/>
    <m/>
    <m/>
    <m/>
  </r>
  <r>
    <n v="699"/>
    <x v="72"/>
    <x v="1"/>
    <x v="0"/>
    <x v="2"/>
    <x v="1"/>
    <x v="14"/>
    <s v="PWEGPL"/>
    <s v="MSEDCL"/>
    <n v="2.5000000000000001E-2"/>
    <n v="5216"/>
    <x v="306"/>
    <s v="BD"/>
    <d v="1899-12-30T19:15:00"/>
    <d v="1899-12-30T19:15:00"/>
    <d v="1899-12-30T19:25:00"/>
    <n v="0"/>
    <n v="0.16666666666666607"/>
    <n v="0.16666666666666607"/>
    <s v="Restored again"/>
    <s v="Close"/>
    <n v="4.1666666666666519E-3"/>
    <s v="G35"/>
    <n v="0.20322145061728253"/>
    <m/>
    <m/>
    <n v="29.263888888888786"/>
    <n v="0.20322145061728253"/>
    <m/>
    <m/>
    <m/>
    <m/>
  </r>
  <r>
    <n v="700"/>
    <x v="72"/>
    <x v="1"/>
    <x v="0"/>
    <x v="2"/>
    <x v="1"/>
    <x v="15"/>
    <s v="PWEGPL"/>
    <s v="MSEDCL"/>
    <n v="2.5000000000000001E-2"/>
    <n v="5216"/>
    <x v="306"/>
    <s v="BD"/>
    <d v="1899-12-30T19:15:00"/>
    <d v="1899-12-30T19:15:00"/>
    <d v="1899-12-30T19:25:00"/>
    <n v="0"/>
    <n v="0.16666666666666607"/>
    <n v="0.16666666666666607"/>
    <s v="Restored again"/>
    <s v="Close"/>
    <n v="4.1666666666666519E-3"/>
    <s v="G36"/>
    <n v="0.423804012345676"/>
    <m/>
    <m/>
    <n v="61.027777777777565"/>
    <n v="0.423804012345676"/>
    <m/>
    <m/>
    <m/>
    <m/>
  </r>
  <r>
    <n v="701"/>
    <x v="72"/>
    <x v="1"/>
    <x v="0"/>
    <x v="2"/>
    <x v="1"/>
    <x v="16"/>
    <s v="PWEGPL"/>
    <s v="MSEDCL"/>
    <n v="2.5000000000000001E-2"/>
    <n v="5216"/>
    <x v="306"/>
    <s v="BD"/>
    <d v="1899-12-30T19:15:00"/>
    <d v="1899-12-30T19:15:00"/>
    <d v="1899-12-30T19:25:00"/>
    <n v="0"/>
    <n v="0.16666666666666607"/>
    <n v="0.16666666666666607"/>
    <s v="Restored again"/>
    <s v="Close"/>
    <n v="4.1666666666666519E-3"/>
    <s v="G37"/>
    <n v="0.41859567901234268"/>
    <m/>
    <m/>
    <n v="60.277777777777565"/>
    <n v="0.41859567901234268"/>
    <m/>
    <m/>
    <m/>
    <m/>
  </r>
  <r>
    <n v="702"/>
    <x v="72"/>
    <x v="1"/>
    <x v="0"/>
    <x v="2"/>
    <x v="1"/>
    <x v="4"/>
    <s v="PWEGPL"/>
    <s v="MSEDCL"/>
    <n v="2.5000000000000001E-2"/>
    <n v="5216"/>
    <x v="306"/>
    <s v="BD"/>
    <d v="1899-12-30T19:15:00"/>
    <d v="1899-12-30T19:15:00"/>
    <d v="1899-12-30T19:25:00"/>
    <n v="0"/>
    <n v="0.16666666666666607"/>
    <n v="0.16666666666666607"/>
    <s v="Restored again"/>
    <s v="Close"/>
    <n v="4.1666666666666519E-3"/>
    <s v="G38"/>
    <n v="0.10542052469135726"/>
    <m/>
    <m/>
    <n v="15.1805555555555"/>
    <n v="0.10542052469135726"/>
    <m/>
    <m/>
    <m/>
    <m/>
  </r>
  <r>
    <n v="703"/>
    <x v="72"/>
    <x v="1"/>
    <x v="0"/>
    <x v="2"/>
    <x v="1"/>
    <x v="5"/>
    <s v="PWEGPL"/>
    <s v="MSEDCL"/>
    <n v="2.5000000000000001E-2"/>
    <n v="5216"/>
    <x v="306"/>
    <s v="BD"/>
    <d v="1899-12-30T19:15:00"/>
    <d v="1899-12-30T19:15:00"/>
    <d v="1899-12-30T19:25:00"/>
    <n v="0"/>
    <n v="0.16666666666666607"/>
    <n v="0.16666666666666607"/>
    <s v="Restored again"/>
    <s v="Close"/>
    <n v="4.1666666666666519E-3"/>
    <s v="G39"/>
    <n v="0.42939814814814514"/>
    <m/>
    <m/>
    <n v="61.833333333333115"/>
    <n v="0.42939814814814514"/>
    <m/>
    <m/>
    <m/>
    <m/>
  </r>
  <r>
    <n v="704"/>
    <x v="72"/>
    <x v="1"/>
    <x v="0"/>
    <x v="2"/>
    <x v="1"/>
    <x v="6"/>
    <s v="PWEGPL"/>
    <s v="MSEDCL"/>
    <n v="2.5000000000000001E-2"/>
    <n v="5216"/>
    <x v="306"/>
    <s v="BD"/>
    <d v="1899-12-30T19:15:00"/>
    <d v="1899-12-30T19:15:00"/>
    <d v="1899-12-30T19:25:00"/>
    <n v="0"/>
    <n v="0.16666666666666607"/>
    <n v="0.16666666666666607"/>
    <s v="Restored again"/>
    <s v="Close"/>
    <n v="4.1666666666666519E-3"/>
    <s v="G40"/>
    <n v="0.431616512345676"/>
    <m/>
    <m/>
    <n v="62.152777777777558"/>
    <n v="0.431616512345676"/>
    <m/>
    <m/>
    <m/>
    <m/>
  </r>
  <r>
    <n v="705"/>
    <x v="72"/>
    <x v="1"/>
    <x v="0"/>
    <x v="2"/>
    <x v="1"/>
    <x v="7"/>
    <s v="PWEGPL"/>
    <s v="MSEDCL"/>
    <n v="2.5000000000000001E-2"/>
    <n v="5216"/>
    <x v="306"/>
    <s v="BD"/>
    <d v="1899-12-30T19:15:00"/>
    <d v="1899-12-30T19:15:00"/>
    <d v="1899-12-30T19:25:00"/>
    <n v="0"/>
    <n v="0.16666666666666607"/>
    <n v="0.16666666666666607"/>
    <s v="Restored again"/>
    <s v="Close"/>
    <n v="4.1666666666666519E-3"/>
    <s v="G39"/>
    <n v="0.42939814814814514"/>
    <m/>
    <m/>
    <n v="61.833333333333115"/>
    <n v="0.42939814814814514"/>
    <m/>
    <m/>
    <m/>
    <m/>
  </r>
  <r>
    <n v="706"/>
    <x v="73"/>
    <x v="1"/>
    <x v="0"/>
    <x v="2"/>
    <x v="1"/>
    <x v="20"/>
    <s v="PWEGPL"/>
    <s v="MSEDCL"/>
    <n v="2.5000000000000001E-2"/>
    <n v="410"/>
    <x v="322"/>
    <s v="BD"/>
    <d v="1899-12-30T12:55:00"/>
    <d v="1899-12-30T23:59:00"/>
    <d v="1899-12-30T23:59:00"/>
    <n v="11.066666666666666"/>
    <n v="0"/>
    <n v="11.066666666666666"/>
    <s v="reset"/>
    <s v="Close"/>
    <n v="0.27666666666666667"/>
    <s v="G2"/>
    <n v="1925.0927777777777"/>
    <m/>
    <m/>
    <n v="4174.8999999999996"/>
    <n v="1925.0927777777777"/>
    <m/>
    <m/>
    <m/>
    <m/>
  </r>
  <r>
    <n v="707"/>
    <x v="73"/>
    <x v="1"/>
    <x v="0"/>
    <x v="2"/>
    <x v="1"/>
    <x v="21"/>
    <s v="PWEGPL"/>
    <s v="MSEDCL"/>
    <n v="2.5000000000000001E-2"/>
    <n v="5216"/>
    <x v="306"/>
    <s v="BD"/>
    <d v="1899-12-30T12:38:00"/>
    <d v="1899-12-30T12:38:00"/>
    <d v="1899-12-30T12:52:00"/>
    <n v="0"/>
    <n v="0.2333333333333325"/>
    <n v="0.2333333333333325"/>
    <s v="reset"/>
    <s v="Close"/>
    <n v="5.8333333333333128E-3"/>
    <s v="G3"/>
    <n v="0.2351697530864181"/>
    <m/>
    <m/>
    <n v="24.188888888888805"/>
    <n v="0.2351697530864181"/>
    <m/>
    <m/>
    <m/>
    <m/>
  </r>
  <r>
    <n v="708"/>
    <x v="73"/>
    <x v="1"/>
    <x v="0"/>
    <x v="2"/>
    <x v="1"/>
    <x v="22"/>
    <s v="PWEGPL"/>
    <s v="MSEDCL"/>
    <n v="2.5000000000000001E-2"/>
    <n v="700"/>
    <x v="329"/>
    <s v="BD"/>
    <d v="1899-12-30T12:38:00"/>
    <d v="1899-12-30T12:38:00"/>
    <d v="1899-12-30T23:59:00"/>
    <n v="0"/>
    <n v="11.35"/>
    <n v="11.35"/>
    <s v="Not attend"/>
    <s v="Open"/>
    <n v="0.28375"/>
    <s v="G4"/>
    <n v="556.44163194444445"/>
    <m/>
    <m/>
    <n v="1176.6166666666668"/>
    <n v="556.44163194444445"/>
    <m/>
    <m/>
    <m/>
    <m/>
  </r>
  <r>
    <n v="709"/>
    <x v="73"/>
    <x v="1"/>
    <x v="0"/>
    <x v="2"/>
    <x v="1"/>
    <x v="23"/>
    <s v="PWEGPL"/>
    <s v="MSEDCL"/>
    <n v="2.5000000000000001E-2"/>
    <n v="5222"/>
    <x v="315"/>
    <s v="BD"/>
    <d v="1899-12-30T00:00:00"/>
    <d v="1899-12-30T00:00:00"/>
    <d v="1899-12-30T23:59:00"/>
    <n v="0"/>
    <n v="23.983333333333334"/>
    <n v="23.983333333333334"/>
    <s v="Not attend"/>
    <s v="Open"/>
    <n v="0.59958333333333336"/>
    <s v="G5"/>
    <n v="5873.8333921682106"/>
    <m/>
    <m/>
    <n v="5877.9152777777781"/>
    <n v="5873.8333921682106"/>
    <m/>
    <m/>
    <m/>
    <m/>
  </r>
  <r>
    <n v="710"/>
    <x v="73"/>
    <x v="1"/>
    <x v="0"/>
    <x v="2"/>
    <x v="1"/>
    <x v="24"/>
    <s v="PWEGPL"/>
    <s v="MSEDCL"/>
    <n v="2.5000000000000001E-2"/>
    <n v="700"/>
    <x v="329"/>
    <s v="BD"/>
    <d v="1899-12-30T15:33:00"/>
    <d v="1899-12-30T15:33:00"/>
    <d v="1899-12-30T16:00:00"/>
    <n v="0"/>
    <n v="0.4499999999999984"/>
    <n v="0.4499999999999984"/>
    <s v="reset"/>
    <s v="Close"/>
    <n v="1.1249999999999961E-2"/>
    <s v="G6"/>
    <n v="2.6201953124999817"/>
    <m/>
    <m/>
    <n v="139.74374999999952"/>
    <n v="2.6201953124999817"/>
    <m/>
    <m/>
    <m/>
    <m/>
  </r>
  <r>
    <n v="711"/>
    <x v="73"/>
    <x v="1"/>
    <x v="0"/>
    <x v="2"/>
    <x v="1"/>
    <x v="25"/>
    <s v="PWEGPL"/>
    <s v="MSEDCL"/>
    <n v="2.5000000000000001E-2"/>
    <s v="CE100007"/>
    <x v="295"/>
    <s v="BD"/>
    <d v="1899-12-30T00:00:00"/>
    <d v="1899-12-30T00:00:00"/>
    <d v="1899-12-30T11:18:00"/>
    <n v="0"/>
    <n v="11.3"/>
    <n v="11.3"/>
    <s v="reset"/>
    <s v="Close"/>
    <n v="0.28250000000000003"/>
    <s v="G7"/>
    <n v="328.53572916666673"/>
    <m/>
    <m/>
    <n v="697.77500000000009"/>
    <n v="328.53572916666673"/>
    <m/>
    <m/>
    <m/>
    <m/>
  </r>
  <r>
    <n v="712"/>
    <x v="73"/>
    <x v="1"/>
    <x v="0"/>
    <x v="2"/>
    <x v="1"/>
    <x v="26"/>
    <s v="PWEGPL"/>
    <s v="MSEDCL"/>
    <n v="2.5000000000000001E-2"/>
    <n v="5201"/>
    <x v="299"/>
    <s v="BD"/>
    <d v="1899-12-30T12:55:00"/>
    <d v="1899-12-30T12:55:00"/>
    <d v="1899-12-30T23:59:00"/>
    <n v="0"/>
    <n v="11.066666666666666"/>
    <n v="11.066666666666666"/>
    <s v="reset"/>
    <s v="Close"/>
    <n v="0.27666666666666667"/>
    <s v="G8"/>
    <n v="378.46975308641976"/>
    <m/>
    <m/>
    <n v="820.77777777777783"/>
    <n v="378.46975308641976"/>
    <m/>
    <m/>
    <m/>
    <m/>
  </r>
  <r>
    <n v="713"/>
    <x v="73"/>
    <x v="1"/>
    <x v="0"/>
    <x v="2"/>
    <x v="1"/>
    <x v="17"/>
    <s v="PWEGPL"/>
    <s v="MSEDCL"/>
    <n v="2.5000000000000001E-2"/>
    <n v="5203"/>
    <x v="294"/>
    <s v="BD"/>
    <d v="1899-12-30T12:54:00"/>
    <d v="1899-12-30T12:54:00"/>
    <d v="1899-12-30T23:59:00"/>
    <n v="0"/>
    <n v="11.083333333333334"/>
    <n v="11.083333333333334"/>
    <s v="Not attend"/>
    <s v="Open"/>
    <n v="0.27708333333333335"/>
    <s v="G9"/>
    <n v="2324.5816454475307"/>
    <m/>
    <m/>
    <n v="5033.6805555555557"/>
    <n v="2324.5816454475307"/>
    <m/>
    <m/>
    <m/>
    <m/>
  </r>
  <r>
    <n v="714"/>
    <x v="73"/>
    <x v="1"/>
    <x v="0"/>
    <x v="2"/>
    <x v="1"/>
    <x v="27"/>
    <s v="PWEGPL"/>
    <s v="MSEDCL"/>
    <n v="2.5000000000000001E-2"/>
    <n v="5216"/>
    <x v="306"/>
    <s v="BD"/>
    <d v="1899-12-30T12:12:00"/>
    <d v="1899-12-30T12:12:00"/>
    <d v="1899-12-30T14:20:00"/>
    <n v="0"/>
    <n v="2.1333333333333337"/>
    <n v="2.1333333333333337"/>
    <s v="reset"/>
    <s v="Close"/>
    <n v="5.3333333333333344E-2"/>
    <s v="G10"/>
    <n v="91.417283950617303"/>
    <m/>
    <m/>
    <n v="1028.4444444444446"/>
    <n v="91.417283950617303"/>
    <m/>
    <m/>
    <m/>
    <m/>
  </r>
  <r>
    <n v="715"/>
    <x v="73"/>
    <x v="1"/>
    <x v="0"/>
    <x v="2"/>
    <x v="1"/>
    <x v="28"/>
    <s v="PWEGPL"/>
    <s v="MSEDCL"/>
    <n v="2.5000000000000001E-2"/>
    <n v="5216"/>
    <x v="306"/>
    <s v="BD"/>
    <d v="1899-12-30T12:38:00"/>
    <d v="1899-12-30T12:38:00"/>
    <d v="1899-12-30T12:52:00"/>
    <n v="0"/>
    <n v="0.2333333333333325"/>
    <n v="0.2333333333333325"/>
    <s v="reset"/>
    <s v="Close"/>
    <n v="5.8333333333333128E-3"/>
    <s v="G11"/>
    <n v="0.32988040123456558"/>
    <m/>
    <m/>
    <n v="33.930555555555436"/>
    <n v="0.32988040123456558"/>
    <m/>
    <m/>
    <m/>
    <m/>
  </r>
  <r>
    <n v="716"/>
    <x v="73"/>
    <x v="1"/>
    <x v="0"/>
    <x v="2"/>
    <x v="1"/>
    <x v="29"/>
    <s v="PWEGPL"/>
    <s v="MSEDCL"/>
    <n v="2.5000000000000001E-2"/>
    <n v="2118"/>
    <x v="293"/>
    <s v="BD"/>
    <d v="1899-12-30T17:46:00"/>
    <d v="1899-12-30T17:46:00"/>
    <d v="1899-12-30T22:00:00"/>
    <n v="0"/>
    <n v="4.2333333333333343"/>
    <n v="4.2333333333333343"/>
    <s v="reset"/>
    <s v="Close"/>
    <n v="0.10583333333333336"/>
    <s v="G12"/>
    <n v="290.4091165123458"/>
    <m/>
    <m/>
    <n v="1646.4138888888892"/>
    <n v="290.4091165123458"/>
    <m/>
    <m/>
    <m/>
    <m/>
  </r>
  <r>
    <n v="717"/>
    <x v="73"/>
    <x v="1"/>
    <x v="0"/>
    <x v="2"/>
    <x v="1"/>
    <x v="30"/>
    <s v="PWEGPL"/>
    <s v="MSEDCL"/>
    <n v="2.5000000000000001E-2"/>
    <n v="5216"/>
    <x v="306"/>
    <s v="BD"/>
    <d v="1899-12-30T12:12:00"/>
    <d v="1899-12-30T12:12:00"/>
    <d v="1899-12-30T14:20:00"/>
    <n v="0"/>
    <n v="2.1333333333333337"/>
    <n v="2.1333333333333337"/>
    <s v="reset"/>
    <s v="Close"/>
    <n v="5.3333333333333344E-2"/>
    <s v="G13"/>
    <n v="70.597530864197566"/>
    <m/>
    <m/>
    <n v="794.2222222222224"/>
    <n v="70.597530864197566"/>
    <m/>
    <m/>
    <m/>
    <m/>
  </r>
  <r>
    <n v="718"/>
    <x v="73"/>
    <x v="1"/>
    <x v="0"/>
    <x v="2"/>
    <x v="1"/>
    <x v="31"/>
    <s v="PWEGPL"/>
    <s v="MSEDCL"/>
    <n v="2.5000000000000001E-2"/>
    <n v="5216"/>
    <x v="306"/>
    <s v="BD"/>
    <d v="1899-12-30T12:12:00"/>
    <d v="1899-12-30T12:12:00"/>
    <d v="1899-12-30T14:20:00"/>
    <n v="0"/>
    <n v="2.1333333333333337"/>
    <n v="2.1333333333333337"/>
    <s v="Fault rectification"/>
    <s v="Close"/>
    <n v="5.3333333333333344E-2"/>
    <s v="G14"/>
    <n v="78.680493827160532"/>
    <m/>
    <m/>
    <n v="885.15555555555579"/>
    <n v="78.680493827160532"/>
    <m/>
    <m/>
    <m/>
    <m/>
  </r>
  <r>
    <n v="719"/>
    <x v="73"/>
    <x v="1"/>
    <x v="0"/>
    <x v="2"/>
    <x v="1"/>
    <x v="32"/>
    <s v="PWEGPL"/>
    <s v="MSEDCL"/>
    <n v="2.5000000000000001E-2"/>
    <n v="5216"/>
    <x v="306"/>
    <s v="BD"/>
    <d v="1899-12-30T12:12:00"/>
    <d v="1899-12-30T12:12:00"/>
    <d v="1899-12-30T14:20:00"/>
    <n v="0"/>
    <n v="2.1333333333333337"/>
    <n v="2.1333333333333337"/>
    <s v="Fault rectification"/>
    <s v="Close"/>
    <n v="5.3333333333333344E-2"/>
    <s v="G15"/>
    <n v="69.878518518518547"/>
    <m/>
    <m/>
    <n v="786.13333333333344"/>
    <n v="69.878518518518547"/>
    <m/>
    <m/>
    <m/>
    <m/>
  </r>
  <r>
    <n v="720"/>
    <x v="73"/>
    <x v="1"/>
    <x v="0"/>
    <x v="2"/>
    <x v="1"/>
    <x v="39"/>
    <s v="PWEGPL"/>
    <s v="MSEDCL"/>
    <n v="2.5000000000000001E-2"/>
    <n v="5216"/>
    <x v="306"/>
    <s v="BD"/>
    <d v="1899-12-30T12:12:00"/>
    <d v="1899-12-30T12:12:00"/>
    <d v="1899-12-30T14:20:00"/>
    <n v="0"/>
    <n v="2.1333333333333337"/>
    <n v="2.1333333333333337"/>
    <s v="Fault rectification"/>
    <s v="Close"/>
    <n v="5.3333333333333344E-2"/>
    <s v="G16"/>
    <n v="55.261234567901262"/>
    <m/>
    <m/>
    <n v="621.6888888888891"/>
    <n v="55.261234567901262"/>
    <m/>
    <m/>
    <m/>
    <m/>
  </r>
  <r>
    <n v="721"/>
    <x v="73"/>
    <x v="1"/>
    <x v="0"/>
    <x v="2"/>
    <x v="1"/>
    <x v="37"/>
    <s v="PWEGPL"/>
    <s v="MSEDCL"/>
    <n v="2.5000000000000001E-2"/>
    <n v="205"/>
    <x v="312"/>
    <s v="BD"/>
    <d v="1899-12-30T12:12:00"/>
    <d v="1899-12-30T12:12:00"/>
    <d v="1899-12-30T14:20:00"/>
    <n v="0"/>
    <n v="2.1333333333333337"/>
    <n v="2.1333333333333337"/>
    <s v="Fault rectification"/>
    <s v="Close"/>
    <n v="5.3333333333333344E-2"/>
    <s v="G17"/>
    <n v="68.314074074074114"/>
    <m/>
    <m/>
    <n v="768.53333333333353"/>
    <n v="68.314074074074114"/>
    <m/>
    <m/>
    <m/>
    <m/>
  </r>
  <r>
    <n v="722"/>
    <x v="73"/>
    <x v="1"/>
    <x v="0"/>
    <x v="2"/>
    <x v="1"/>
    <x v="0"/>
    <s v="PWEGPL"/>
    <s v="MSEDCL"/>
    <n v="2.5000000000000001E-2"/>
    <n v="5216"/>
    <x v="306"/>
    <s v="BD"/>
    <d v="1899-12-30T12:12:00"/>
    <d v="1899-12-30T12:12:00"/>
    <d v="1899-12-30T14:20:00"/>
    <n v="0"/>
    <n v="2.1333333333333337"/>
    <n v="2.1333333333333337"/>
    <s v="Fault rectification"/>
    <s v="Close"/>
    <n v="5.3333333333333344E-2"/>
    <s v="G18"/>
    <n v="73.98716049382719"/>
    <m/>
    <m/>
    <n v="832.35555555555572"/>
    <n v="73.98716049382719"/>
    <m/>
    <m/>
    <m/>
    <m/>
  </r>
  <r>
    <n v="723"/>
    <x v="73"/>
    <x v="1"/>
    <x v="0"/>
    <x v="2"/>
    <x v="1"/>
    <x v="38"/>
    <s v="PWEGPL"/>
    <s v="MSEDCL"/>
    <n v="2.5000000000000001E-2"/>
    <n v="5216"/>
    <x v="306"/>
    <s v="BD"/>
    <d v="1899-12-30T12:12:00"/>
    <d v="1899-12-30T12:12:00"/>
    <d v="1899-12-30T14:20:00"/>
    <n v="0"/>
    <n v="2.1333333333333337"/>
    <n v="2.1333333333333337"/>
    <s v="Fault rectification"/>
    <s v="Close"/>
    <n v="5.3333333333333344E-2"/>
    <s v="G19"/>
    <n v="15.360000000000007"/>
    <m/>
    <m/>
    <n v="172.80000000000004"/>
    <n v="15.360000000000007"/>
    <m/>
    <m/>
    <m/>
    <m/>
  </r>
  <r>
    <n v="724"/>
    <x v="73"/>
    <x v="1"/>
    <x v="0"/>
    <x v="2"/>
    <x v="1"/>
    <x v="18"/>
    <s v="PWEGPL"/>
    <s v="MSEDCL"/>
    <n v="2.5000000000000001E-2"/>
    <n v="2509"/>
    <x v="201"/>
    <s v="BD"/>
    <d v="1899-12-30T10:23:00"/>
    <d v="1899-12-30T10:23:00"/>
    <d v="1899-12-30T23:59:00"/>
    <n v="0"/>
    <n v="13.6"/>
    <n v="13.6"/>
    <s v="SF6 breaker T- connector failed"/>
    <s v="Open"/>
    <n v="0.34"/>
    <s v="G20"/>
    <n v="3625.9866666666667"/>
    <m/>
    <m/>
    <n v="6398.8"/>
    <n v="3625.9866666666667"/>
    <m/>
    <m/>
    <m/>
    <m/>
  </r>
  <r>
    <n v="725"/>
    <x v="73"/>
    <x v="1"/>
    <x v="0"/>
    <x v="2"/>
    <x v="1"/>
    <x v="19"/>
    <s v="PWEGPL"/>
    <s v="MSEDCL"/>
    <n v="2.5000000000000001E-2"/>
    <n v="5216"/>
    <x v="306"/>
    <s v="BD"/>
    <d v="1899-12-30T12:12:00"/>
    <d v="1899-12-30T12:12:00"/>
    <d v="1899-12-30T14:20:00"/>
    <n v="0"/>
    <n v="2.1333333333333337"/>
    <n v="2.1333333333333337"/>
    <s v="Fault rectification"/>
    <s v="Close"/>
    <n v="5.3333333333333344E-2"/>
    <s v="G19"/>
    <n v="15.360000000000007"/>
    <m/>
    <m/>
    <n v="172.80000000000004"/>
    <n v="15.360000000000007"/>
    <m/>
    <m/>
    <m/>
    <m/>
  </r>
  <r>
    <n v="726"/>
    <x v="73"/>
    <x v="1"/>
    <x v="0"/>
    <x v="2"/>
    <x v="1"/>
    <x v="33"/>
    <s v="PWEGPL"/>
    <s v="MSEDCL"/>
    <n v="2.5000000000000001E-2"/>
    <s v="CE100007"/>
    <x v="295"/>
    <s v="BD"/>
    <d v="1899-12-30T15:33:00"/>
    <d v="1899-12-30T15:33:00"/>
    <d v="1899-12-30T16:00:00"/>
    <n v="0"/>
    <n v="0.4499999999999984"/>
    <n v="0.4499999999999984"/>
    <s v="Fault rectification"/>
    <s v="Close"/>
    <n v="1.1249999999999961E-2"/>
    <s v="G22"/>
    <n v="2.6078906249999814"/>
    <m/>
    <m/>
    <n v="139.08749999999949"/>
    <n v="2.6078906249999814"/>
    <m/>
    <m/>
    <m/>
    <m/>
  </r>
  <r>
    <n v="727"/>
    <x v="73"/>
    <x v="1"/>
    <x v="0"/>
    <x v="2"/>
    <x v="1"/>
    <x v="34"/>
    <s v="PWEGPL"/>
    <s v="MSEDCL"/>
    <n v="2.5000000000000001E-2"/>
    <s v="CE100007"/>
    <x v="295"/>
    <s v="BD"/>
    <d v="1899-12-30T15:33:00"/>
    <d v="1899-12-30T15:33:00"/>
    <d v="1899-12-30T16:00:00"/>
    <n v="0"/>
    <n v="0.4499999999999984"/>
    <n v="0.4499999999999984"/>
    <s v="Fault rectification"/>
    <s v="Close"/>
    <n v="1.1249999999999961E-2"/>
    <s v="G23"/>
    <n v="2.4131249999999826"/>
    <m/>
    <m/>
    <n v="128.69999999999953"/>
    <n v="2.4131249999999826"/>
    <m/>
    <m/>
    <m/>
    <m/>
  </r>
  <r>
    <n v="728"/>
    <x v="73"/>
    <x v="1"/>
    <x v="0"/>
    <x v="2"/>
    <x v="1"/>
    <x v="1"/>
    <s v="PWEGPL"/>
    <s v="MSEDCL"/>
    <n v="2.5000000000000001E-2"/>
    <s v="CE100007"/>
    <x v="295"/>
    <s v="BD"/>
    <d v="1899-12-30T15:33:00"/>
    <d v="1899-12-30T15:33:00"/>
    <d v="1899-12-30T16:00:00"/>
    <n v="0"/>
    <n v="0.4499999999999984"/>
    <n v="0.4499999999999984"/>
    <s v="Fault rectification"/>
    <s v="Close"/>
    <n v="1.1249999999999961E-2"/>
    <s v="G24"/>
    <n v="2.7801562499999801"/>
    <m/>
    <m/>
    <n v="148.27499999999947"/>
    <n v="2.7801562499999801"/>
    <m/>
    <m/>
    <m/>
    <m/>
  </r>
  <r>
    <n v="729"/>
    <x v="73"/>
    <x v="1"/>
    <x v="0"/>
    <x v="2"/>
    <x v="1"/>
    <x v="35"/>
    <s v="PWEGPL"/>
    <s v="MSEDCL"/>
    <n v="2.5000000000000001E-2"/>
    <s v="CE100007"/>
    <x v="295"/>
    <s v="BD"/>
    <d v="1899-12-30T15:33:00"/>
    <d v="1899-12-30T15:33:00"/>
    <d v="1899-12-30T16:00:00"/>
    <n v="0"/>
    <n v="0.4499999999999984"/>
    <n v="0.4499999999999984"/>
    <s v="Fault rectification"/>
    <s v="Close"/>
    <n v="1.1249999999999961E-2"/>
    <s v="G25"/>
    <n v="3.851015624999973"/>
    <m/>
    <m/>
    <n v="205.38749999999928"/>
    <n v="3.851015624999973"/>
    <m/>
    <m/>
    <m/>
    <m/>
  </r>
  <r>
    <n v="730"/>
    <x v="73"/>
    <x v="1"/>
    <x v="0"/>
    <x v="2"/>
    <x v="1"/>
    <x v="36"/>
    <s v="PWEGPL"/>
    <s v="MSEDCL"/>
    <n v="2.5000000000000001E-2"/>
    <s v="CE100007"/>
    <x v="295"/>
    <s v="BD"/>
    <d v="1899-12-30T15:33:00"/>
    <d v="1899-12-30T15:33:00"/>
    <d v="1899-12-30T16:00:00"/>
    <n v="0"/>
    <n v="0.4499999999999984"/>
    <n v="0.4499999999999984"/>
    <s v="Fault rectification"/>
    <s v="Close"/>
    <n v="1.1249999999999961E-2"/>
    <s v="G26"/>
    <n v="2.690859374999981"/>
    <m/>
    <m/>
    <n v="143.51249999999951"/>
    <n v="2.690859374999981"/>
    <m/>
    <m/>
    <m/>
    <m/>
  </r>
  <r>
    <n v="731"/>
    <x v="73"/>
    <x v="1"/>
    <x v="0"/>
    <x v="2"/>
    <x v="1"/>
    <x v="8"/>
    <s v="PWEGPL"/>
    <s v="MSEDCL"/>
    <n v="2.5000000000000001E-2"/>
    <s v="CE100007"/>
    <x v="295"/>
    <s v="BD"/>
    <d v="1899-12-30T15:33:00"/>
    <d v="1899-12-30T15:33:00"/>
    <d v="1899-12-30T16:00:00"/>
    <n v="0"/>
    <n v="0.4499999999999984"/>
    <n v="0.4499999999999984"/>
    <s v="Fault rectification"/>
    <s v="Close"/>
    <n v="1.1249999999999961E-2"/>
    <s v="G28"/>
    <n v="3.3876562499999761"/>
    <m/>
    <m/>
    <n v="180.67499999999936"/>
    <n v="3.3876562499999761"/>
    <m/>
    <m/>
    <m/>
    <m/>
  </r>
  <r>
    <n v="732"/>
    <x v="73"/>
    <x v="1"/>
    <x v="0"/>
    <x v="2"/>
    <x v="1"/>
    <x v="9"/>
    <s v="PWEGPL"/>
    <s v="MSEDCL"/>
    <n v="2.5000000000000001E-2"/>
    <s v="CE100007"/>
    <x v="295"/>
    <s v="BD"/>
    <d v="1899-12-30T15:33:00"/>
    <d v="1899-12-30T15:33:00"/>
    <d v="1899-12-30T16:00:00"/>
    <n v="0"/>
    <n v="0.4499999999999984"/>
    <n v="0.4499999999999984"/>
    <s v="Fault rectification"/>
    <s v="Close"/>
    <n v="1.1249999999999961E-2"/>
    <s v="G29"/>
    <n v="4.0274999999999705"/>
    <m/>
    <m/>
    <n v="214.79999999999922"/>
    <n v="4.0274999999999705"/>
    <m/>
    <m/>
    <m/>
    <m/>
  </r>
  <r>
    <n v="733"/>
    <x v="73"/>
    <x v="1"/>
    <x v="0"/>
    <x v="2"/>
    <x v="1"/>
    <x v="10"/>
    <s v="PWEGPL"/>
    <s v="MSEDCL"/>
    <n v="2.5000000000000001E-2"/>
    <s v="CE100007"/>
    <x v="295"/>
    <s v="BD"/>
    <d v="1899-12-30T15:33:00"/>
    <d v="1899-12-30T15:33:00"/>
    <d v="1899-12-30T16:00:00"/>
    <n v="0"/>
    <n v="0.4499999999999984"/>
    <n v="0.4499999999999984"/>
    <s v="Fault rectification"/>
    <s v="Close"/>
    <n v="1.1249999999999961E-2"/>
    <s v="G30"/>
    <n v="3.1528124999999778"/>
    <m/>
    <m/>
    <n v="168.14999999999941"/>
    <n v="3.1528124999999778"/>
    <m/>
    <m/>
    <m/>
    <m/>
  </r>
  <r>
    <n v="734"/>
    <x v="73"/>
    <x v="1"/>
    <x v="0"/>
    <x v="2"/>
    <x v="1"/>
    <x v="11"/>
    <s v="PWEGPL"/>
    <s v="MSEDCL"/>
    <n v="2.5000000000000001E-2"/>
    <s v="CE100007"/>
    <x v="295"/>
    <s v="BD"/>
    <d v="1899-12-30T15:33:00"/>
    <d v="1899-12-30T15:33:00"/>
    <d v="1899-12-30T16:00:00"/>
    <n v="0"/>
    <n v="0.4499999999999984"/>
    <n v="0.4499999999999984"/>
    <s v="Fault rectification"/>
    <s v="Close"/>
    <n v="1.1249999999999961E-2"/>
    <s v="G31"/>
    <n v="2.76609374999998"/>
    <m/>
    <m/>
    <n v="147.52499999999947"/>
    <n v="2.76609374999998"/>
    <m/>
    <m/>
    <m/>
    <m/>
  </r>
  <r>
    <n v="735"/>
    <x v="73"/>
    <x v="1"/>
    <x v="0"/>
    <x v="2"/>
    <x v="1"/>
    <x v="12"/>
    <s v="PWEGPL"/>
    <s v="MSEDCL"/>
    <n v="2.5000000000000001E-2"/>
    <s v="CE100007"/>
    <x v="295"/>
    <s v="BD"/>
    <d v="1899-12-30T15:33:00"/>
    <d v="1899-12-30T15:33:00"/>
    <d v="1899-12-30T16:00:00"/>
    <n v="0"/>
    <n v="0.4499999999999984"/>
    <n v="0.4499999999999984"/>
    <s v="Fault rectification"/>
    <s v="Close"/>
    <n v="1.1249999999999961E-2"/>
    <s v="G32"/>
    <n v="3.2034374999999771"/>
    <m/>
    <m/>
    <n v="170.8499999999994"/>
    <n v="3.2034374999999771"/>
    <m/>
    <m/>
    <m/>
    <m/>
  </r>
  <r>
    <n v="736"/>
    <x v="73"/>
    <x v="1"/>
    <x v="0"/>
    <x v="2"/>
    <x v="1"/>
    <x v="14"/>
    <s v="PWEGPL"/>
    <s v="MSEDCL"/>
    <n v="2.5000000000000001E-2"/>
    <n v="205"/>
    <x v="312"/>
    <s v="BD"/>
    <d v="1899-12-30T17:18:00"/>
    <d v="1899-12-30T17:18:00"/>
    <d v="1899-12-30T18:07:00"/>
    <n v="0"/>
    <n v="0.81666666666666643"/>
    <n v="0.81666666666666643"/>
    <s v="reset"/>
    <s v="Close"/>
    <n v="2.0416666666666663E-2"/>
    <s v="G35"/>
    <n v="13.109626736111103"/>
    <m/>
    <m/>
    <n v="385.26249999999987"/>
    <n v="13.109626736111103"/>
    <m/>
    <m/>
    <m/>
    <m/>
  </r>
  <r>
    <n v="737"/>
    <x v="73"/>
    <x v="1"/>
    <x v="0"/>
    <x v="2"/>
    <x v="1"/>
    <x v="5"/>
    <s v="PWEGPL"/>
    <s v="MSEDCL"/>
    <n v="2.5000000000000001E-2"/>
    <n v="900"/>
    <x v="330"/>
    <s v="BD"/>
    <d v="1899-12-30T00:00:00"/>
    <d v="1899-12-30T00:00:00"/>
    <d v="1899-12-30T00:16:00"/>
    <n v="0"/>
    <n v="0.26666666666666666"/>
    <n v="0.26666666666666666"/>
    <s v="reset"/>
    <s v="Close"/>
    <n v="6.6666666666666671E-3"/>
    <s v="G39"/>
    <n v="0.96246913580246907"/>
    <m/>
    <m/>
    <n v="86.62222222222222"/>
    <n v="0.96246913580246907"/>
    <m/>
    <m/>
    <m/>
    <m/>
  </r>
  <r>
    <n v="738"/>
    <x v="74"/>
    <x v="1"/>
    <x v="0"/>
    <x v="2"/>
    <x v="1"/>
    <x v="20"/>
    <s v="PWEGPL"/>
    <s v="MSEDCL"/>
    <n v="2.5000000000000001E-2"/>
    <n v="410"/>
    <x v="322"/>
    <s v="BD"/>
    <d v="1899-12-30T00:00:00"/>
    <d v="1899-12-30T00:00:00"/>
    <d v="1899-12-30T01:12:00"/>
    <n v="0"/>
    <n v="1.2"/>
    <n v="1.2"/>
    <s v="Reset"/>
    <s v="Close"/>
    <n v="0.03"/>
    <s v="G2"/>
    <n v="13.194999999999999"/>
    <m/>
    <m/>
    <n v="263.89999999999998"/>
    <n v="13.194999999999999"/>
    <m/>
    <m/>
    <m/>
    <m/>
  </r>
  <r>
    <n v="739"/>
    <x v="74"/>
    <x v="1"/>
    <x v="0"/>
    <x v="2"/>
    <x v="1"/>
    <x v="21"/>
    <s v="PWEGPL"/>
    <s v="MSEDCL"/>
    <n v="2.5000000000000001E-2"/>
    <n v="205"/>
    <x v="312"/>
    <s v="BD"/>
    <d v="1899-12-30T07:59:00"/>
    <d v="1899-12-30T10:10:00"/>
    <d v="1899-12-30T11:41:00"/>
    <n v="2.1833333333333336"/>
    <n v="1.5166666666666666"/>
    <n v="3.7"/>
    <s v="oil top up"/>
    <s v="Close"/>
    <n v="9.2500000000000013E-2"/>
    <s v="G3"/>
    <n v="69.685902777777798"/>
    <m/>
    <m/>
    <n v="452.01666666666671"/>
    <n v="69.685902777777798"/>
    <m/>
    <m/>
    <m/>
    <m/>
  </r>
  <r>
    <n v="740"/>
    <x v="74"/>
    <x v="1"/>
    <x v="0"/>
    <x v="2"/>
    <x v="1"/>
    <x v="22"/>
    <s v="PWEGPL"/>
    <s v="MSEDCL"/>
    <n v="2.5000000000000001E-2"/>
    <n v="2509"/>
    <x v="201"/>
    <s v="BD"/>
    <d v="1899-12-30T00:00:00"/>
    <d v="1899-12-30T23:59:00"/>
    <d v="1899-12-30T23:59:00"/>
    <n v="23.983333333333334"/>
    <n v="0"/>
    <n v="23.983333333333334"/>
    <s v="Not attend"/>
    <s v="Open"/>
    <n v="0.59958333333333336"/>
    <s v="G4"/>
    <n v="2927.9291917438272"/>
    <m/>
    <m/>
    <n v="2929.963888888889"/>
    <n v="2927.9291917438272"/>
    <m/>
    <m/>
    <m/>
    <m/>
  </r>
  <r>
    <n v="741"/>
    <x v="74"/>
    <x v="1"/>
    <x v="0"/>
    <x v="2"/>
    <x v="1"/>
    <x v="23"/>
    <s v="PWEGPL"/>
    <s v="MSEDCL"/>
    <n v="2.5000000000000001E-2"/>
    <n v="5222"/>
    <x v="315"/>
    <s v="BD"/>
    <d v="1899-12-30T00:00:00"/>
    <d v="1899-12-30T00:00:00"/>
    <d v="1899-12-30T17:40:00"/>
    <n v="0"/>
    <n v="17.666666666666668"/>
    <n v="17.666666666666668"/>
    <s v="gear box damper encoder cable replaced"/>
    <s v="Close"/>
    <n v="0.44166666666666671"/>
    <s v="G5"/>
    <n v="2166.3545524691363"/>
    <m/>
    <m/>
    <n v="2942.9722222222226"/>
    <n v="2166.3545524691363"/>
    <m/>
    <m/>
    <m/>
    <m/>
  </r>
  <r>
    <n v="742"/>
    <x v="74"/>
    <x v="1"/>
    <x v="0"/>
    <x v="2"/>
    <x v="1"/>
    <x v="26"/>
    <s v="PWEGPL"/>
    <s v="MSEDCL"/>
    <n v="2.5000000000000001E-2"/>
    <n v="5201"/>
    <x v="299"/>
    <s v="BD"/>
    <d v="1899-12-30T00:00:00"/>
    <d v="1899-12-30T01:00:00"/>
    <d v="1899-12-30T02:10:00"/>
    <n v="1"/>
    <n v="1.1666666666666667"/>
    <n v="2.1666666666666665"/>
    <s v="relay replaced"/>
    <s v="Close"/>
    <n v="5.4166666666666669E-2"/>
    <s v="G8"/>
    <n v="42.902006172839506"/>
    <m/>
    <m/>
    <n v="475.22222222222223"/>
    <n v="42.902006172839506"/>
    <m/>
    <m/>
    <m/>
    <m/>
  </r>
  <r>
    <n v="743"/>
    <x v="74"/>
    <x v="1"/>
    <x v="0"/>
    <x v="2"/>
    <x v="1"/>
    <x v="29"/>
    <s v="PWEGPL"/>
    <s v="MSEDCL"/>
    <n v="2.5000000000000001E-2"/>
    <n v="2118"/>
    <x v="293"/>
    <s v="BD"/>
    <d v="1899-12-30T16:34:00"/>
    <d v="1899-12-30T22:10:00"/>
    <d v="1899-12-30T22:20:00"/>
    <n v="5.6000000000000014"/>
    <n v="0.16666666666666341"/>
    <n v="5.7666666666666648"/>
    <s v="Reset"/>
    <s v="Close"/>
    <n v="0.14416666666666664"/>
    <s v="G12"/>
    <n v="82.789710648148102"/>
    <m/>
    <m/>
    <n v="344.55833333333322"/>
    <n v="82.789710648148102"/>
    <m/>
    <m/>
    <m/>
    <m/>
  </r>
  <r>
    <n v="744"/>
    <x v="74"/>
    <x v="1"/>
    <x v="0"/>
    <x v="2"/>
    <x v="1"/>
    <x v="30"/>
    <s v="PWEGPL"/>
    <s v="MSEDCL"/>
    <n v="2.5000000000000001E-2"/>
    <n v="5212"/>
    <x v="319"/>
    <s v="BD"/>
    <d v="1899-12-30T16:36:00"/>
    <d v="1899-12-30T23:59:00"/>
    <d v="1899-12-30T23:59:00"/>
    <n v="7.3833333333333311"/>
    <n v="0"/>
    <n v="7.3833333333333311"/>
    <s v="contactor replaced"/>
    <s v="Close"/>
    <n v="0.18458333333333329"/>
    <s v="G13"/>
    <n v="460.33716049382679"/>
    <m/>
    <m/>
    <n v="1496.3555555555549"/>
    <n v="460.33716049382679"/>
    <m/>
    <m/>
    <m/>
    <m/>
  </r>
  <r>
    <n v="745"/>
    <x v="74"/>
    <x v="1"/>
    <x v="0"/>
    <x v="2"/>
    <x v="1"/>
    <x v="37"/>
    <s v="PWEGPL"/>
    <s v="MSEDCL"/>
    <n v="2.5000000000000001E-2"/>
    <n v="5212"/>
    <x v="319"/>
    <s v="BD"/>
    <d v="1899-12-30T22:16:00"/>
    <d v="1899-12-30T23:59:00"/>
    <d v="1899-12-30T23:59:00"/>
    <n v="1.7166666666666686"/>
    <n v="0"/>
    <n v="1.7166666666666686"/>
    <s v="contactor repaired"/>
    <s v="Close"/>
    <n v="4.2916666666666714E-2"/>
    <s v="G17"/>
    <n v="23.145792824074125"/>
    <m/>
    <m/>
    <n v="323.59166666666704"/>
    <n v="23.145792824074125"/>
    <m/>
    <m/>
    <m/>
    <m/>
  </r>
  <r>
    <n v="746"/>
    <x v="74"/>
    <x v="1"/>
    <x v="0"/>
    <x v="2"/>
    <x v="1"/>
    <x v="0"/>
    <s v="PWEGPL"/>
    <s v="MSEDCL"/>
    <n v="2.5000000000000001E-2"/>
    <n v="5201"/>
    <x v="299"/>
    <s v="BD"/>
    <d v="1899-12-30T15:12:00"/>
    <d v="1899-12-30T15:13:00"/>
    <d v="1899-12-30T15:21:00"/>
    <n v="1.6666666666666607E-2"/>
    <n v="0.13333333333333286"/>
    <n v="0.14999999999999947"/>
    <s v="reset"/>
    <s v="Close"/>
    <n v="3.7499999999999869E-3"/>
    <s v="G18"/>
    <n v="0.19882812499999861"/>
    <m/>
    <m/>
    <n v="31.81249999999989"/>
    <n v="0.19882812499999861"/>
    <m/>
    <m/>
    <m/>
    <m/>
  </r>
  <r>
    <n v="747"/>
    <x v="74"/>
    <x v="1"/>
    <x v="0"/>
    <x v="2"/>
    <x v="1"/>
    <x v="18"/>
    <s v="PWEGPL"/>
    <s v="MSEDCL"/>
    <n v="2.5000000000000001E-2"/>
    <s v="CE100007"/>
    <x v="295"/>
    <s v="BD"/>
    <d v="1899-12-30T00:00:00"/>
    <d v="1899-12-30T00:01:00"/>
    <d v="1899-12-30T19:36:00"/>
    <n v="1.6666666666666666E-2"/>
    <n v="19.583333333333336"/>
    <n v="19.600000000000001"/>
    <s v="T- connector replaced"/>
    <s v="Close"/>
    <n v="0.49000000000000005"/>
    <s v="G20"/>
    <n v="4290.4536111111129"/>
    <m/>
    <m/>
    <n v="5253.6166666666677"/>
    <n v="4290.4536111111129"/>
    <m/>
    <m/>
    <m/>
    <m/>
  </r>
  <r>
    <n v="748"/>
    <x v="74"/>
    <x v="1"/>
    <x v="0"/>
    <x v="2"/>
    <x v="1"/>
    <x v="35"/>
    <s v="PWEGPL"/>
    <s v="MSEDCL"/>
    <n v="2.5000000000000001E-2"/>
    <n v="108"/>
    <x v="310"/>
    <s v="BD"/>
    <d v="1899-12-30T16:08:00"/>
    <d v="1899-12-30T18:50:00"/>
    <d v="1899-12-30T19:17:00"/>
    <n v="2.7000000000000011"/>
    <n v="0.45000000000000107"/>
    <n v="3.1500000000000021"/>
    <s v="Cable twist removed"/>
    <s v="Close"/>
    <n v="7.8750000000000056E-2"/>
    <s v="G25"/>
    <n v="95.193984375000127"/>
    <m/>
    <m/>
    <n v="725.28750000000048"/>
    <n v="95.193984375000127"/>
    <m/>
    <m/>
    <m/>
    <m/>
  </r>
  <r>
    <n v="749"/>
    <x v="74"/>
    <x v="1"/>
    <x v="0"/>
    <x v="2"/>
    <x v="1"/>
    <x v="9"/>
    <s v="PWEGPL"/>
    <s v="MSEDCL"/>
    <n v="2.5000000000000001E-2"/>
    <n v="108"/>
    <x v="310"/>
    <s v="BD"/>
    <d v="1899-12-30T16:09:00"/>
    <d v="1899-12-30T18:56:00"/>
    <d v="1899-12-30T19:23:00"/>
    <n v="2.7833333333333341"/>
    <n v="0.45000000000000107"/>
    <n v="3.2333333333333352"/>
    <s v="Cable twist removed"/>
    <s v="Close"/>
    <n v="8.0833333333333382E-2"/>
    <s v="G29"/>
    <n v="102.14863425925938"/>
    <m/>
    <m/>
    <n v="758.21666666666715"/>
    <n v="102.14863425925938"/>
    <m/>
    <m/>
    <m/>
    <m/>
  </r>
  <r>
    <n v="750"/>
    <x v="74"/>
    <x v="1"/>
    <x v="0"/>
    <x v="2"/>
    <x v="1"/>
    <x v="7"/>
    <s v="PWEGPL"/>
    <s v="MSEDCL"/>
    <n v="2.5000000000000001E-2"/>
    <n v="222"/>
    <x v="323"/>
    <s v="BD"/>
    <d v="1899-12-30T13:00:00"/>
    <d v="1899-12-30T23:59:00"/>
    <d v="1899-12-30T23:59:00"/>
    <n v="10.983333333333334"/>
    <n v="0"/>
    <n v="10.983333333333334"/>
    <s v="Reset- scada comunication failuer."/>
    <s v="Close"/>
    <n v="0.27458333333333335"/>
    <s v="G39"/>
    <n v="1154.8155063657409"/>
    <m/>
    <m/>
    <n v="2523.4208333333336"/>
    <n v="1154.8155063657409"/>
    <m/>
    <m/>
    <m/>
    <m/>
  </r>
  <r>
    <n v="751"/>
    <x v="75"/>
    <x v="1"/>
    <x v="0"/>
    <x v="2"/>
    <x v="1"/>
    <x v="22"/>
    <s v="PWEGPL"/>
    <s v="MSEDCL"/>
    <n v="2.5000000000000001E-2"/>
    <n v="2509"/>
    <x v="201"/>
    <s v="BD"/>
    <d v="1899-12-30T00:00:00"/>
    <d v="1899-12-30T11:00:00"/>
    <d v="1899-12-30T13:10:00"/>
    <n v="11"/>
    <n v="2.1666666666666656"/>
    <n v="13.166666666666664"/>
    <s v="SF6 breaker T- connector replaced"/>
    <s v="Close"/>
    <n v="0.32916666666666661"/>
    <s v="G4"/>
    <n v="1327.8979552469132"/>
    <m/>
    <m/>
    <n v="2420.4722222222217"/>
    <n v="1327.8979552469132"/>
    <m/>
    <m/>
    <m/>
    <m/>
  </r>
  <r>
    <n v="752"/>
    <x v="75"/>
    <x v="1"/>
    <x v="0"/>
    <x v="2"/>
    <x v="1"/>
    <x v="17"/>
    <s v="PWEGPL"/>
    <s v="MSEDCL"/>
    <n v="2.5000000000000001E-2"/>
    <n v="5203"/>
    <x v="294"/>
    <s v="BD"/>
    <d v="1899-12-30T00:00:00"/>
    <d v="1899-12-30T12:30:00"/>
    <d v="1899-12-30T13:00:00"/>
    <n v="12.5"/>
    <n v="0.49999999999999822"/>
    <n v="13"/>
    <s v="Radiator cooling motor changrd"/>
    <s v="Close"/>
    <n v="0.32500000000000001"/>
    <s v="G9"/>
    <n v="1956.9965277777778"/>
    <m/>
    <m/>
    <n v="3612.916666666667"/>
    <n v="1956.9965277777778"/>
    <m/>
    <m/>
    <m/>
    <m/>
  </r>
  <r>
    <n v="753"/>
    <x v="75"/>
    <x v="1"/>
    <x v="0"/>
    <x v="2"/>
    <x v="1"/>
    <x v="30"/>
    <s v="PWEGPL"/>
    <s v="MSEDCL"/>
    <n v="2.5000000000000001E-2"/>
    <n v="5212"/>
    <x v="319"/>
    <s v="BD"/>
    <d v="1899-12-30T00:00:00"/>
    <d v="1899-12-30T02:01:00"/>
    <d v="1899-12-30T02:07:00"/>
    <n v="2.0166666666666666"/>
    <n v="0.10000000000000031"/>
    <n v="2.1166666666666667"/>
    <s v="Contactor changed"/>
    <s v="Close"/>
    <n v="5.2916666666666667E-2"/>
    <s v="G13"/>
    <n v="49.983098958333329"/>
    <m/>
    <m/>
    <n v="566.73749999999995"/>
    <n v="49.983098958333329"/>
    <m/>
    <m/>
    <m/>
    <m/>
  </r>
  <r>
    <n v="754"/>
    <x v="75"/>
    <x v="1"/>
    <x v="0"/>
    <x v="2"/>
    <x v="1"/>
    <x v="37"/>
    <s v="PWEGPL"/>
    <s v="MSEDCL"/>
    <n v="2.5000000000000001E-2"/>
    <n v="5212"/>
    <x v="319"/>
    <s v="BD"/>
    <d v="1899-12-30T00:00:00"/>
    <d v="1899-12-30T00:24:00"/>
    <d v="1899-12-30T03:27:00"/>
    <n v="0.4"/>
    <n v="3.0500000000000007"/>
    <n v="3.45"/>
    <s v="Reset"/>
    <s v="Close"/>
    <n v="8.6250000000000007E-2"/>
    <s v="G17"/>
    <n v="143.49124999999998"/>
    <m/>
    <m/>
    <n v="998.19999999999993"/>
    <n v="143.49124999999998"/>
    <m/>
    <m/>
    <m/>
    <m/>
  </r>
  <r>
    <n v="755"/>
    <x v="75"/>
    <x v="1"/>
    <x v="0"/>
    <x v="2"/>
    <x v="1"/>
    <x v="18"/>
    <s v="PWEGPL"/>
    <s v="MSEDCL"/>
    <n v="2.5000000000000001E-2"/>
    <s v="CE100014"/>
    <x v="305"/>
    <s v="PM/Lift inspention"/>
    <d v="1899-12-30T13:50:00"/>
    <d v="1899-12-30T13:50:00"/>
    <d v="1899-12-30T14:17:00"/>
    <n v="0"/>
    <n v="0.4499999999999984"/>
    <n v="0.4499999999999984"/>
    <s v="Avanti lift inspection"/>
    <s v="Close"/>
    <n v="1.1249999999999961E-2"/>
    <s v="G20"/>
    <n v="2.4321093749999827"/>
    <m/>
    <m/>
    <n v="129.71249999999955"/>
    <n v="2.4321093749999827"/>
    <m/>
    <m/>
    <m/>
    <m/>
  </r>
  <r>
    <n v="756"/>
    <x v="75"/>
    <x v="1"/>
    <x v="0"/>
    <x v="2"/>
    <x v="1"/>
    <x v="8"/>
    <s v="PWEGPL"/>
    <s v="MSEDCL"/>
    <n v="2.5000000000000001E-2"/>
    <s v="CE100014"/>
    <x v="305"/>
    <s v="PM/Lift inspention"/>
    <d v="1899-12-30T10:39:00"/>
    <d v="1899-12-30T10:39:00"/>
    <d v="1899-12-30T12:39:00"/>
    <n v="0"/>
    <n v="1.9999999999999996"/>
    <n v="1.9999999999999996"/>
    <s v="Avanti lift inspection"/>
    <s v="Close"/>
    <n v="4.9999999999999989E-2"/>
    <s v="G28"/>
    <n v="30.541666666666654"/>
    <m/>
    <m/>
    <n v="366.49999999999994"/>
    <n v="30.541666666666654"/>
    <m/>
    <m/>
    <m/>
    <m/>
  </r>
  <r>
    <n v="757"/>
    <x v="75"/>
    <x v="1"/>
    <x v="0"/>
    <x v="2"/>
    <x v="1"/>
    <x v="7"/>
    <s v="PWEGPL"/>
    <s v="MSEDCL"/>
    <n v="2.5000000000000001E-2"/>
    <n v="222"/>
    <x v="323"/>
    <s v="BD"/>
    <d v="1899-12-30T00:00:00"/>
    <d v="1899-12-30T00:30:00"/>
    <d v="1899-12-30T04:00:00"/>
    <n v="0.5"/>
    <n v="3.4999999999999996"/>
    <n v="4"/>
    <s v="Reset"/>
    <s v="Close"/>
    <n v="0.1"/>
    <s v="G39"/>
    <n v="147.05555555555557"/>
    <m/>
    <m/>
    <n v="882.33333333333337"/>
    <n v="147.05555555555557"/>
    <m/>
    <m/>
    <m/>
    <m/>
  </r>
  <r>
    <n v="758"/>
    <x v="76"/>
    <x v="1"/>
    <x v="0"/>
    <x v="3"/>
    <x v="1"/>
    <x v="1"/>
    <s v="PWEGPL"/>
    <s v="MSEDCL"/>
    <n v="2.5000000000000001E-2"/>
    <n v="115"/>
    <x v="308"/>
    <s v="BD"/>
    <d v="1899-12-30T10:52:00"/>
    <d v="1899-12-30T10:52:00"/>
    <d v="1899-12-30T16:44:00"/>
    <n v="0"/>
    <n v="5.8666666666666689"/>
    <n v="5.8666666666666689"/>
    <s v="Yaw caliper seal replaced"/>
    <s v="Close"/>
    <n v="0.14666666666666672"/>
    <s v="G22"/>
    <n v="134.44444444444451"/>
    <s v="None"/>
    <m/>
    <n v="550"/>
    <n v="134.44444444444451"/>
    <m/>
    <m/>
    <m/>
    <m/>
  </r>
  <r>
    <n v="759"/>
    <x v="77"/>
    <x v="1"/>
    <x v="0"/>
    <x v="3"/>
    <x v="1"/>
    <x v="23"/>
    <s v="PWEGPL"/>
    <s v="MSEDCL"/>
    <n v="2.5000000000000001E-2"/>
    <n v="1894"/>
    <x v="325"/>
    <s v="BD"/>
    <d v="1899-12-30T14:33:00"/>
    <d v="1899-12-30T15:11:00"/>
    <d v="1899-12-30T17:31:00"/>
    <n v="0.63333333333333108"/>
    <n v="2.333333333333333"/>
    <n v="2.9666666666666641"/>
    <s v="Gear box hose replaced &amp;MPCB reset."/>
    <s v="Close"/>
    <n v="7.4166666666666603E-2"/>
    <s v="G03"/>
    <n v="59.086111111111066"/>
    <s v="None"/>
    <m/>
    <n v="478"/>
    <n v="59.086111111111066"/>
    <m/>
    <m/>
    <m/>
    <m/>
  </r>
  <r>
    <n v="760"/>
    <x v="77"/>
    <x v="1"/>
    <x v="0"/>
    <x v="3"/>
    <x v="1"/>
    <x v="1"/>
    <s v="PWEGPL"/>
    <s v="MSEDCL"/>
    <n v="2.5000000000000001E-2"/>
    <n v="115"/>
    <x v="308"/>
    <s v="BD"/>
    <d v="1899-12-30T10:23:00"/>
    <d v="1899-12-30T10:23:00"/>
    <d v="1899-12-30T13:59:00"/>
    <n v="0"/>
    <n v="3.5999999999999992"/>
    <n v="3.5999999999999992"/>
    <s v="Yaw caliper replacment"/>
    <s v="Close"/>
    <n v="8.9999999999999983E-2"/>
    <s v="G22"/>
    <n v="45.749999999999993"/>
    <s v="None"/>
    <m/>
    <n v="305"/>
    <n v="45.749999999999993"/>
    <m/>
    <m/>
    <m/>
    <m/>
  </r>
  <r>
    <n v="761"/>
    <x v="77"/>
    <x v="1"/>
    <x v="0"/>
    <x v="3"/>
    <x v="1"/>
    <x v="9"/>
    <s v="PWEGPL"/>
    <s v="MSEDCL"/>
    <n v="2.5000000000000001E-2"/>
    <n v="207"/>
    <x v="309"/>
    <s v="BD"/>
    <d v="1899-12-30T16:31:00"/>
    <d v="1899-12-30T17:32:00"/>
    <d v="1899-12-30T23:59:00"/>
    <n v="1.0166666666666684"/>
    <n v="6.4499999999999984"/>
    <n v="7.4666666666666668"/>
    <s v="Hydraulic valve replaced"/>
    <s v="Close"/>
    <n v="0.18666666666666668"/>
    <s v="G29"/>
    <n v="260.71111111111111"/>
    <s v="None"/>
    <m/>
    <n v="838"/>
    <n v="260.71111111111111"/>
    <m/>
    <m/>
    <m/>
    <m/>
  </r>
  <r>
    <n v="762"/>
    <x v="78"/>
    <x v="1"/>
    <x v="0"/>
    <x v="3"/>
    <x v="1"/>
    <x v="31"/>
    <s v="PWEGPL"/>
    <s v="MSEDCL"/>
    <n v="2.5000000000000001E-2"/>
    <n v="115"/>
    <x v="308"/>
    <s v="BD"/>
    <d v="1899-12-30T10:32:00"/>
    <d v="1899-12-30T10:32:00"/>
    <d v="1899-12-30T18:39:00"/>
    <n v="0"/>
    <n v="8.1166666666666636"/>
    <n v="8.1166666666666636"/>
    <s v="Yaw caliper replacment"/>
    <s v="Close"/>
    <n v="0.20291666666666661"/>
    <s v="G12"/>
    <n v="393.65833333333319"/>
    <s v="None"/>
    <m/>
    <n v="1164"/>
    <n v="393.65833333333319"/>
    <m/>
    <m/>
    <m/>
    <m/>
  </r>
  <r>
    <n v="763"/>
    <x v="78"/>
    <x v="1"/>
    <x v="0"/>
    <x v="3"/>
    <x v="1"/>
    <x v="9"/>
    <s v="PWEGPL"/>
    <s v="MSEDCL"/>
    <n v="2.5000000000000001E-2"/>
    <n v="207"/>
    <x v="309"/>
    <s v="BD"/>
    <d v="1899-12-30T08:55:00"/>
    <d v="1899-12-30T11:11:00"/>
    <d v="1899-12-30T16:06:00"/>
    <n v="2.2666666666666679"/>
    <n v="4.9166666666666679"/>
    <n v="7.1833333333333353"/>
    <s v="Cable twist removed and hydraulic hose pipe replaced for oil leakage."/>
    <s v="Close"/>
    <n v="0.1795833333333334"/>
    <s v="G29"/>
    <n v="92.186111111111146"/>
    <s v="None"/>
    <m/>
    <n v="308"/>
    <n v="92.186111111111146"/>
    <m/>
    <m/>
    <m/>
    <m/>
  </r>
  <r>
    <n v="764"/>
    <x v="78"/>
    <x v="1"/>
    <x v="0"/>
    <x v="3"/>
    <x v="1"/>
    <x v="6"/>
    <s v="PWEGPL"/>
    <s v="MSEDCL"/>
    <n v="2.5000000000000001E-2"/>
    <n v="5216"/>
    <x v="306"/>
    <s v="BD"/>
    <d v="1899-12-30T23:35:00"/>
    <d v="1899-12-30T23:59:00"/>
    <d v="1899-12-30T23:59:00"/>
    <n v="0.40000000000000124"/>
    <n v="0"/>
    <n v="0.40000000000000124"/>
    <s v="Yaw pulse counter replaced."/>
    <s v="Close"/>
    <n v="1.0000000000000031E-2"/>
    <s v="G40"/>
    <n v="0.85000000000000264"/>
    <s v="None"/>
    <m/>
    <n v="51"/>
    <n v="0.85000000000000264"/>
    <m/>
    <m/>
    <m/>
    <m/>
  </r>
  <r>
    <n v="765"/>
    <x v="79"/>
    <x v="1"/>
    <x v="0"/>
    <x v="3"/>
    <x v="1"/>
    <x v="8"/>
    <s v="PWEGPL"/>
    <s v="MSEDCL"/>
    <n v="2.5000000000000001E-2"/>
    <n v="115"/>
    <x v="308"/>
    <s v="BD"/>
    <d v="1899-12-30T10:42:00"/>
    <d v="1899-12-30T10:42:00"/>
    <d v="1899-12-30T14:34:00"/>
    <n v="0"/>
    <n v="3.8666666666666663"/>
    <n v="3.8666666666666663"/>
    <s v="yaw caliper oil seal replacement"/>
    <s v="Close"/>
    <n v="9.6666666666666665E-2"/>
    <s v="G25"/>
    <n v="108.58888888888887"/>
    <s v="None"/>
    <m/>
    <n v="674"/>
    <n v="108.58888888888887"/>
    <m/>
    <m/>
    <m/>
    <m/>
  </r>
  <r>
    <n v="766"/>
    <x v="79"/>
    <x v="1"/>
    <x v="0"/>
    <x v="3"/>
    <x v="1"/>
    <x v="3"/>
    <s v="PWEGPL"/>
    <s v="MSEDCL"/>
    <n v="2.5000000000000001E-2"/>
    <n v="118"/>
    <x v="313"/>
    <s v="BD"/>
    <d v="1899-12-30T11:24:00"/>
    <d v="1899-12-30T11:24:00"/>
    <d v="1899-12-30T13:42:00"/>
    <n v="0"/>
    <n v="2.2999999999999985"/>
    <n v="2.2999999999999985"/>
    <s v="Yaw motor replaced"/>
    <s v="Close"/>
    <n v="5.7499999999999968E-2"/>
    <s v="G26"/>
    <n v="38.429166666666639"/>
    <s v="None"/>
    <m/>
    <n v="401"/>
    <n v="38.429166666666639"/>
    <m/>
    <m/>
    <m/>
    <m/>
  </r>
  <r>
    <n v="767"/>
    <x v="79"/>
    <x v="1"/>
    <x v="0"/>
    <x v="3"/>
    <x v="1"/>
    <x v="6"/>
    <s v="PWEGPL"/>
    <s v="MSEDCL"/>
    <n v="2.5000000000000001E-2"/>
    <n v="5216"/>
    <x v="306"/>
    <s v="BD"/>
    <d v="1899-12-30T00:00:00"/>
    <d v="1899-12-30T00:11:00"/>
    <d v="1899-12-30T02:37:00"/>
    <n v="0.18333333333333332"/>
    <n v="2.4333333333333336"/>
    <n v="2.6166666666666667"/>
    <s v="Yaw pulse counter replaced."/>
    <s v="Close"/>
    <n v="6.5416666666666665E-2"/>
    <s v="G40"/>
    <n v="52.66041666666667"/>
    <s v="None"/>
    <m/>
    <n v="483"/>
    <n v="52.66041666666667"/>
    <m/>
    <m/>
    <m/>
    <m/>
  </r>
  <r>
    <n v="768"/>
    <x v="80"/>
    <x v="1"/>
    <x v="0"/>
    <x v="3"/>
    <x v="1"/>
    <x v="29"/>
    <s v="PWEGPL"/>
    <s v="MSEDCL"/>
    <n v="2.5000000000000001E-2"/>
    <n v="115"/>
    <x v="308"/>
    <s v="BD"/>
    <d v="1899-12-30T11:25:00"/>
    <d v="1899-12-30T11:25:00"/>
    <d v="1899-12-30T16:49:00"/>
    <n v="0"/>
    <n v="5.3999999999999995"/>
    <n v="5.3999999999999995"/>
    <s v="yaw caliper oil seal replacement"/>
    <s v="Close"/>
    <n v="0.13499999999999998"/>
    <s v="G10"/>
    <n v="69.974999999999994"/>
    <s v="None"/>
    <m/>
    <n v="311"/>
    <n v="69.974999999999994"/>
    <m/>
    <m/>
    <m/>
    <m/>
  </r>
  <r>
    <n v="769"/>
    <x v="80"/>
    <x v="1"/>
    <x v="0"/>
    <x v="3"/>
    <x v="1"/>
    <x v="37"/>
    <s v="PWEGPL"/>
    <s v="MSEDCL"/>
    <n v="2.5000000000000001E-2"/>
    <n v="118"/>
    <x v="313"/>
    <s v="BD"/>
    <d v="1899-12-30T11:20:00"/>
    <d v="1899-12-30T11:20:00"/>
    <d v="1899-12-30T16:49:00"/>
    <n v="0"/>
    <n v="5.4833333333333307"/>
    <n v="5.4833333333333307"/>
    <s v="Yaw motor replaced"/>
    <s v="Close"/>
    <n v="0.13708333333333328"/>
    <s v="G17"/>
    <n v="75.3958333333333"/>
    <s v="None"/>
    <m/>
    <n v="330"/>
    <n v="75.3958333333333"/>
    <m/>
    <m/>
    <m/>
    <m/>
  </r>
  <r>
    <n v="770"/>
    <x v="80"/>
    <x v="1"/>
    <x v="0"/>
    <x v="3"/>
    <x v="1"/>
    <x v="36"/>
    <s v="PWEGPL"/>
    <s v="MSEDCL"/>
    <n v="2.5000000000000001E-2"/>
    <n v="1894"/>
    <x v="325"/>
    <s v="BD"/>
    <d v="1899-12-30T20:10:00"/>
    <d v="1899-12-30T20:40:00"/>
    <d v="1899-12-30T21:56:00"/>
    <n v="0.50000000000000089"/>
    <n v="1.2666666666666648"/>
    <n v="1.7666666666666657"/>
    <s v="Trouble shooting and reset"/>
    <s v="Close"/>
    <n v="4.4166666666666646E-2"/>
    <s v="G27"/>
    <n v="3.9013888888888872"/>
    <s v="None"/>
    <m/>
    <n v="53"/>
    <n v="3.9013888888888872"/>
    <m/>
    <m/>
    <m/>
    <m/>
  </r>
  <r>
    <n v="771"/>
    <x v="81"/>
    <x v="1"/>
    <x v="0"/>
    <x v="3"/>
    <x v="1"/>
    <x v="23"/>
    <s v="PWEGPL"/>
    <s v="MSEDCL"/>
    <n v="2.5000000000000001E-2"/>
    <n v="550"/>
    <x v="297"/>
    <s v="BD"/>
    <d v="1899-12-30T20:55:00"/>
    <d v="1899-12-30T21:15:00"/>
    <d v="1899-12-30T22:30:00"/>
    <n v="0.33333333333333215"/>
    <n v="1.2500000000000009"/>
    <n v="1.583333333333333"/>
    <s v="mpcb reset generator motor"/>
    <s v="Close"/>
    <n v="3.9583333333333331E-2"/>
    <s v="G03"/>
    <n v="11.017361111111109"/>
    <s v="None"/>
    <m/>
    <n v="167"/>
    <n v="11.017361111111109"/>
    <m/>
    <m/>
    <m/>
    <m/>
  </r>
  <r>
    <n v="772"/>
    <x v="81"/>
    <x v="1"/>
    <x v="0"/>
    <x v="3"/>
    <x v="1"/>
    <x v="24"/>
    <s v="PWEGPL"/>
    <s v="MSEDCL"/>
    <n v="2.5000000000000001E-2"/>
    <n v="700"/>
    <x v="329"/>
    <s v="BD"/>
    <d v="1899-12-30T16:30:00"/>
    <d v="1899-12-30T17:30:00"/>
    <d v="1899-12-30T23:59:00"/>
    <n v="0.99999999999999911"/>
    <n v="6.4833333333333343"/>
    <n v="7.4833333333333334"/>
    <s v="Trouble shotting WIP"/>
    <s v="Open"/>
    <n v="0.18708333333333335"/>
    <s v="G22"/>
    <n v="359.82361111111112"/>
    <s v="material shortage- pcb active crowbar card failuier"/>
    <m/>
    <n v="1154"/>
    <n v="359.82361111111112"/>
    <m/>
    <m/>
    <m/>
    <m/>
  </r>
  <r>
    <n v="773"/>
    <x v="81"/>
    <x v="1"/>
    <x v="0"/>
    <x v="3"/>
    <x v="1"/>
    <x v="1"/>
    <s v="PWEGPL"/>
    <s v="MSEDCL"/>
    <n v="2.5000000000000001E-2"/>
    <s v="CE100010"/>
    <x v="296"/>
    <s v="PM"/>
    <d v="1899-12-30T10:59:00"/>
    <d v="1899-12-30T10:59:00"/>
    <d v="1899-12-30T17:43:00"/>
    <n v="0"/>
    <n v="6.7333333333333325"/>
    <n v="6.7333333333333325"/>
    <s v="PM 102 month service"/>
    <s v="Close"/>
    <n v="0.16833333333333333"/>
    <s v="G22"/>
    <n v="292.33888888888885"/>
    <s v="None"/>
    <m/>
    <n v="1042"/>
    <n v="292.33888888888885"/>
    <m/>
    <m/>
    <m/>
    <m/>
  </r>
  <r>
    <n v="774"/>
    <x v="81"/>
    <x v="1"/>
    <x v="0"/>
    <x v="3"/>
    <x v="1"/>
    <x v="6"/>
    <s v="PWEGPL"/>
    <s v="MSEDCL"/>
    <n v="2.5000000000000001E-2"/>
    <n v="103"/>
    <x v="307"/>
    <s v="BD"/>
    <d v="1899-12-30T17:37:00"/>
    <d v="1899-12-30T23:05:00"/>
    <d v="1899-12-30T23:59:00"/>
    <n v="5.4666666666666632"/>
    <n v="0.90000000000000213"/>
    <n v="6.3666666666666654"/>
    <s v="Yaw mototr contactor replaced"/>
    <s v="Close"/>
    <n v="0.15916666666666665"/>
    <s v="G40"/>
    <n v="187.28611111111107"/>
    <s v="None"/>
    <m/>
    <n v="706"/>
    <n v="187.28611111111107"/>
    <m/>
    <m/>
    <m/>
    <m/>
  </r>
  <r>
    <n v="775"/>
    <x v="82"/>
    <x v="1"/>
    <x v="0"/>
    <x v="3"/>
    <x v="1"/>
    <x v="23"/>
    <s v="PWEGPL"/>
    <s v="MSEDCL"/>
    <n v="2.5000000000000001E-2"/>
    <n v="700"/>
    <x v="329"/>
    <s v="BD"/>
    <d v="1899-12-30T02:02:00"/>
    <d v="1899-12-30T02:40:00"/>
    <d v="1899-12-30T02:50:00"/>
    <n v="0.63333333333333341"/>
    <n v="0.16666666666666707"/>
    <n v="0.80000000000000049"/>
    <s v="rese &amp; reboot"/>
    <s v="Close"/>
    <n v="2.0000000000000014E-2"/>
    <s v="G03"/>
    <n v="6.0333333333333377"/>
    <s v="None"/>
    <m/>
    <n v="181"/>
    <n v="6.0333333333333377"/>
    <m/>
    <m/>
    <m/>
    <m/>
  </r>
  <r>
    <n v="776"/>
    <x v="82"/>
    <x v="1"/>
    <x v="0"/>
    <x v="3"/>
    <x v="1"/>
    <x v="24"/>
    <s v="PWEGPL"/>
    <s v="MSEDCL"/>
    <n v="2.5000000000000001E-2"/>
    <n v="700"/>
    <x v="329"/>
    <s v="BD"/>
    <d v="1899-12-30T00:00:00"/>
    <d v="1899-12-30T00:00:00"/>
    <d v="1899-12-30T09:10:00"/>
    <n v="0"/>
    <n v="9.1666666666666661"/>
    <n v="9.1666666666666661"/>
    <s v="pcb active crowbar card replaced"/>
    <s v="Close"/>
    <n v="0.22916666666666666"/>
    <s v="G22"/>
    <n v="649.6875"/>
    <s v="None"/>
    <m/>
    <n v="1701"/>
    <n v="649.6875"/>
    <m/>
    <m/>
    <m/>
    <m/>
  </r>
  <r>
    <n v="777"/>
    <x v="82"/>
    <x v="1"/>
    <x v="0"/>
    <x v="3"/>
    <x v="1"/>
    <x v="17"/>
    <s v="PWEGPL"/>
    <s v="MSEDCL"/>
    <n v="2.5000000000000001E-2"/>
    <n v="2509"/>
    <x v="201"/>
    <s v="BD"/>
    <d v="1899-12-30T22:30:00"/>
    <d v="1899-12-30T23:59:00"/>
    <d v="1899-12-30T23:59:00"/>
    <n v="1.4833333333333334"/>
    <n v="0"/>
    <n v="1.4833333333333334"/>
    <s v="SF6 breaker tripped."/>
    <s v="Open"/>
    <n v="3.7083333333333336E-2"/>
    <s v="G06"/>
    <n v="24.784027777777776"/>
    <s v="None"/>
    <m/>
    <n v="401"/>
    <n v="24.784027777777776"/>
    <m/>
    <m/>
    <m/>
    <m/>
  </r>
  <r>
    <n v="778"/>
    <x v="82"/>
    <x v="1"/>
    <x v="0"/>
    <x v="3"/>
    <x v="1"/>
    <x v="8"/>
    <s v="PWEGPL"/>
    <s v="MSEDCL"/>
    <n v="2.5000000000000001E-2"/>
    <n v="207"/>
    <x v="309"/>
    <s v="BD"/>
    <d v="1899-12-30T21:40:00"/>
    <d v="1899-12-30T22:40:00"/>
    <d v="1899-12-30T23:59:00"/>
    <n v="1.0000000000000018"/>
    <n v="1.3166666666666647"/>
    <n v="2.3166666666666664"/>
    <s v="reset &amp; Rebot"/>
    <s v="Close"/>
    <n v="5.7916666666666665E-2"/>
    <s v="G25"/>
    <n v="38.90069444444444"/>
    <s v="None"/>
    <m/>
    <n v="403"/>
    <n v="38.90069444444444"/>
    <m/>
    <m/>
    <m/>
    <m/>
  </r>
  <r>
    <n v="779"/>
    <x v="82"/>
    <x v="1"/>
    <x v="0"/>
    <x v="3"/>
    <x v="1"/>
    <x v="16"/>
    <s v="PWEGPL"/>
    <s v="MSEDCL"/>
    <n v="2.5000000000000001E-2"/>
    <n v="700"/>
    <x v="329"/>
    <s v="BD"/>
    <d v="1899-12-30T21:53:00"/>
    <d v="1899-12-30T22:30:00"/>
    <d v="1899-12-30T22:57:00"/>
    <n v="0.61666666666666714"/>
    <n v="0.4499999999999984"/>
    <n v="1.0666666666666655"/>
    <s v="reset &amp; Rebot"/>
    <s v="Close"/>
    <n v="2.6666666666666641E-2"/>
    <s v="G37"/>
    <n v="8.7999999999999901"/>
    <s v="None"/>
    <m/>
    <n v="198"/>
    <n v="8.7999999999999901"/>
    <m/>
    <m/>
    <m/>
    <m/>
  </r>
  <r>
    <n v="780"/>
    <x v="82"/>
    <x v="1"/>
    <x v="0"/>
    <x v="3"/>
    <x v="1"/>
    <x v="6"/>
    <s v="PWEGPL"/>
    <s v="MSEDCL"/>
    <n v="2.5000000000000001E-2"/>
    <n v="103"/>
    <x v="307"/>
    <s v="BD"/>
    <d v="1899-12-30T00:00:00"/>
    <d v="1899-12-30T00:00:00"/>
    <d v="1899-12-30T01:08:00"/>
    <n v="0"/>
    <n v="1.1333333333333333"/>
    <n v="1.1333333333333333"/>
    <s v="Yaw mototr contactor replaced"/>
    <s v="Close"/>
    <n v="2.8333333333333335E-2"/>
    <s v="G40"/>
    <n v="9.5388888888888879"/>
    <s v="None"/>
    <m/>
    <n v="202"/>
    <n v="9.5388888888888879"/>
    <m/>
    <m/>
    <m/>
    <m/>
  </r>
  <r>
    <n v="781"/>
    <x v="82"/>
    <x v="1"/>
    <x v="0"/>
    <x v="3"/>
    <x v="1"/>
    <x v="24"/>
    <s v="PWEGPL"/>
    <s v="MSEDCL"/>
    <n v="2.5000000000000001E-2"/>
    <s v="CE100010"/>
    <x v="296"/>
    <s v="PM"/>
    <d v="1899-12-30T09:10:00"/>
    <d v="1899-12-30T09:10:00"/>
    <d v="1899-12-30T17:37:00"/>
    <n v="0"/>
    <n v="8.4500000000000028"/>
    <n v="8.4500000000000028"/>
    <s v="PM 102 month service"/>
    <s v="Close"/>
    <n v="0.21125000000000008"/>
    <s v="G22"/>
    <n v="565.79791666666677"/>
    <s v="None"/>
    <m/>
    <n v="1607"/>
    <n v="565.79791666666677"/>
    <m/>
    <m/>
    <m/>
    <m/>
  </r>
  <r>
    <n v="782"/>
    <x v="83"/>
    <x v="1"/>
    <x v="0"/>
    <x v="3"/>
    <x v="1"/>
    <x v="23"/>
    <s v="PWEGPL"/>
    <s v="MSEDCL"/>
    <n v="2.5000000000000001E-2"/>
    <n v="700"/>
    <x v="329"/>
    <s v="BD"/>
    <d v="1899-12-30T21:04:00"/>
    <d v="1899-12-30T22:21:00"/>
    <d v="1899-12-30T22:36:00"/>
    <n v="1.2833333333333341"/>
    <n v="0.25000000000000178"/>
    <n v="1.5333333333333359"/>
    <s v="Rebot reset"/>
    <s v="Close"/>
    <n v="3.83333333333334E-2"/>
    <s v="G03"/>
    <n v="24.597222222222264"/>
    <s v="None"/>
    <m/>
    <n v="385"/>
    <n v="24.597222222222264"/>
    <m/>
    <m/>
    <m/>
    <m/>
  </r>
  <r>
    <n v="783"/>
    <x v="83"/>
    <x v="1"/>
    <x v="0"/>
    <x v="3"/>
    <x v="1"/>
    <x v="24"/>
    <s v="PWEGPL"/>
    <s v="MSEDCL"/>
    <n v="2.5000000000000001E-2"/>
    <n v="700"/>
    <x v="329"/>
    <s v="BD"/>
    <d v="1899-12-30T14:10:00"/>
    <d v="1899-12-30T16:44:00"/>
    <d v="1899-12-30T23:59:00"/>
    <n v="2.5666666666666682"/>
    <n v="7.2499999999999982"/>
    <n v="9.8166666666666664"/>
    <s v="Material- Lambda power supply not available"/>
    <s v="Close"/>
    <n v="0.24541666666666667"/>
    <s v="G22"/>
    <n v="956.30694444444441"/>
    <s v="material shortage- pcb active crowbar card failuier"/>
    <m/>
    <n v="2338"/>
    <n v="956.30694444444441"/>
    <m/>
    <m/>
    <m/>
    <m/>
  </r>
  <r>
    <n v="784"/>
    <x v="83"/>
    <x v="1"/>
    <x v="0"/>
    <x v="3"/>
    <x v="1"/>
    <x v="17"/>
    <s v="PWEGPL"/>
    <s v="MSEDCL"/>
    <n v="2.5000000000000001E-2"/>
    <n v="5216"/>
    <x v="306"/>
    <s v="BD"/>
    <d v="1899-12-30T03:21:00"/>
    <d v="1899-12-30T03:45:00"/>
    <d v="1899-12-30T12:15:00"/>
    <n v="0.39999999999999991"/>
    <n v="8.5"/>
    <n v="8.8999999999999986"/>
    <s v="PLC replaced"/>
    <s v="Close"/>
    <n v="0.22249999999999998"/>
    <s v="G10"/>
    <n v="792.09999999999991"/>
    <s v="None"/>
    <m/>
    <n v="2136"/>
    <n v="792.09999999999991"/>
    <m/>
    <m/>
    <m/>
    <m/>
  </r>
  <r>
    <n v="785"/>
    <x v="83"/>
    <x v="1"/>
    <x v="0"/>
    <x v="3"/>
    <x v="1"/>
    <x v="39"/>
    <s v="PWEGPL"/>
    <s v="MSEDCL"/>
    <n v="2.5000000000000001E-2"/>
    <s v="CE100010"/>
    <x v="296"/>
    <s v="PM"/>
    <d v="1899-12-30T10:55:00"/>
    <d v="1899-12-30T10:55:00"/>
    <d v="1899-12-30T18:01:00"/>
    <n v="0"/>
    <n v="7.1"/>
    <n v="7.1"/>
    <s v="PM 102 month service"/>
    <s v="Close"/>
    <n v="0.17749999999999999"/>
    <s v="G16"/>
    <n v="400.55833333333328"/>
    <s v="None"/>
    <m/>
    <n v="1354"/>
    <n v="400.55833333333328"/>
    <m/>
    <m/>
    <m/>
    <m/>
  </r>
  <r>
    <n v="786"/>
    <x v="83"/>
    <x v="1"/>
    <x v="0"/>
    <x v="3"/>
    <x v="1"/>
    <x v="8"/>
    <s v="PWEGPL"/>
    <s v="MSEDCL"/>
    <n v="2.5000000000000001E-2"/>
    <n v="207"/>
    <x v="309"/>
    <s v="BD"/>
    <d v="1899-12-30T00:00:00"/>
    <d v="1899-12-30T00:01:00"/>
    <d v="1899-12-30T02:26:00"/>
    <n v="1.6666666666666666E-2"/>
    <n v="2.416666666666667"/>
    <n v="2.4333333333333336"/>
    <s v="Rebot reset"/>
    <s v="Close"/>
    <n v="6.0833333333333343E-2"/>
    <s v="G25"/>
    <n v="57.487500000000004"/>
    <s v="None"/>
    <m/>
    <n v="567"/>
    <n v="57.487500000000004"/>
    <m/>
    <m/>
    <m/>
    <m/>
  </r>
  <r>
    <n v="787"/>
    <x v="83"/>
    <x v="1"/>
    <x v="0"/>
    <x v="3"/>
    <x v="1"/>
    <x v="16"/>
    <s v="PWEGPL"/>
    <s v="MSEDCL"/>
    <n v="2.5000000000000001E-2"/>
    <n v="401"/>
    <x v="331"/>
    <s v="BD"/>
    <d v="1899-12-30T13:15:00"/>
    <d v="1899-12-30T13:15:00"/>
    <d v="1899-12-30T14:20:00"/>
    <n v="0"/>
    <n v="1.0833333333333321"/>
    <n v="1.0833333333333321"/>
    <s v="gearbox fim added"/>
    <s v="Close"/>
    <n v="2.7083333333333307E-2"/>
    <s v="G35"/>
    <n v="10.065972222222211"/>
    <s v="None"/>
    <m/>
    <n v="223"/>
    <n v="10.065972222222211"/>
    <m/>
    <m/>
    <m/>
    <m/>
  </r>
  <r>
    <n v="788"/>
    <x v="83"/>
    <x v="1"/>
    <x v="0"/>
    <x v="3"/>
    <x v="1"/>
    <x v="8"/>
    <s v="PWEGPL"/>
    <s v="MSEDCL"/>
    <n v="2.5000000000000001E-2"/>
    <n v="5263"/>
    <x v="311"/>
    <s v="BD"/>
    <d v="1899-12-30T13:26:00"/>
    <d v="1899-12-30T14:45:00"/>
    <d v="1899-12-30T14:45:00"/>
    <n v="1.3166666666666673"/>
    <n v="0"/>
    <n v="1.3166666666666673"/>
    <s v="optical cable changed"/>
    <s v="Close"/>
    <n v="3.2916666666666684E-2"/>
    <s v="G25"/>
    <n v="16.842361111111117"/>
    <s v="None"/>
    <m/>
    <n v="307"/>
    <n v="16.842361111111117"/>
    <m/>
    <m/>
    <m/>
    <m/>
  </r>
  <r>
    <n v="789"/>
    <x v="84"/>
    <x v="1"/>
    <x v="0"/>
    <x v="3"/>
    <x v="1"/>
    <x v="39"/>
    <s v="PWEGPL"/>
    <s v="MSEDCL"/>
    <n v="2.5000000000000001E-2"/>
    <n v="5216"/>
    <x v="306"/>
    <s v="BD"/>
    <d v="1899-12-30T17:11:00"/>
    <d v="1899-12-30T17:30:00"/>
    <d v="1899-12-30T23:59:00"/>
    <n v="0.31666666666666554"/>
    <n v="6.4833333333333343"/>
    <n v="6.8"/>
    <s v="Lambda power supply failuier"/>
    <s v="Open"/>
    <n v="0.17"/>
    <s v="G20"/>
    <n v="388.16666666666669"/>
    <s v="material shortage- pcb active crowbar card failuier"/>
    <m/>
    <n v="1370"/>
    <n v="388.16666666666669"/>
    <m/>
    <m/>
    <m/>
    <m/>
  </r>
  <r>
    <n v="790"/>
    <x v="84"/>
    <x v="1"/>
    <x v="0"/>
    <x v="3"/>
    <x v="1"/>
    <x v="18"/>
    <s v="PWEGPL"/>
    <s v="MSEDCL"/>
    <n v="2.5000000000000001E-2"/>
    <n v="1813"/>
    <x v="332"/>
    <s v="BD"/>
    <d v="1899-12-30T09:24:00"/>
    <d v="1899-12-30T10:02:00"/>
    <d v="1899-12-30T11:15:00"/>
    <n v="0.63333333333333375"/>
    <n v="1.2166666666666663"/>
    <n v="1.85"/>
    <s v="SIM added"/>
    <s v="Close"/>
    <n v="4.6250000000000006E-2"/>
    <s v="G25"/>
    <n v="28.59791666666667"/>
    <s v="None"/>
    <m/>
    <n v="371"/>
    <n v="28.59791666666667"/>
    <m/>
    <m/>
    <m/>
    <m/>
  </r>
  <r>
    <n v="791"/>
    <x v="84"/>
    <x v="1"/>
    <x v="0"/>
    <x v="3"/>
    <x v="1"/>
    <x v="35"/>
    <s v="PWEGPL"/>
    <s v="MSEDCL"/>
    <n v="2.5000000000000001E-2"/>
    <n v="108"/>
    <x v="310"/>
    <s v="BD"/>
    <d v="1899-12-30T13:21:00"/>
    <d v="1899-12-30T13:40:00"/>
    <d v="1899-12-30T14:01:00"/>
    <n v="0.31666666666666554"/>
    <n v="0.35000000000000142"/>
    <n v="0.66666666666666696"/>
    <s v="cable twist removed"/>
    <s v="Close"/>
    <n v="1.6666666666666673E-2"/>
    <s v="G28"/>
    <n v="2.4444444444444455"/>
    <s v="None"/>
    <m/>
    <n v="88"/>
    <n v="2.4444444444444455"/>
    <m/>
    <m/>
    <m/>
    <m/>
  </r>
  <r>
    <n v="792"/>
    <x v="84"/>
    <x v="1"/>
    <x v="0"/>
    <x v="3"/>
    <x v="1"/>
    <x v="36"/>
    <s v="PWEGPL"/>
    <s v="MSEDCL"/>
    <n v="2.5000000000000001E-2"/>
    <n v="1894"/>
    <x v="325"/>
    <s v="BD"/>
    <d v="1899-12-30T11:16:00"/>
    <d v="1899-12-30T12:10:00"/>
    <d v="1899-12-30T13:20:00"/>
    <n v="0.89999999999999813"/>
    <n v="1.1666666666666679"/>
    <n v="2.066666666666666"/>
    <s v="Reboot &amp; Reset"/>
    <s v="Close"/>
    <n v="5.1666666666666652E-2"/>
    <s v="G28"/>
    <n v="23.594444444444434"/>
    <s v="None"/>
    <m/>
    <n v="274"/>
    <n v="23.594444444444434"/>
    <m/>
    <m/>
    <m/>
    <m/>
  </r>
  <r>
    <n v="793"/>
    <x v="84"/>
    <x v="1"/>
    <x v="0"/>
    <x v="3"/>
    <x v="1"/>
    <x v="2"/>
    <s v="PWEGPL"/>
    <s v="MSEDCL"/>
    <n v="2.5000000000000001E-2"/>
    <n v="1894"/>
    <x v="325"/>
    <s v="BD"/>
    <d v="1899-12-30T13:20:00"/>
    <d v="1899-12-30T14:30:00"/>
    <d v="1899-12-30T16:14:00"/>
    <n v="1.1666666666666652"/>
    <n v="1.7333333333333352"/>
    <n v="2.9000000000000004"/>
    <s v="MPCB reset"/>
    <s v="Close"/>
    <n v="7.2500000000000009E-2"/>
    <s v="G28"/>
    <n v="46.400000000000006"/>
    <s v="None"/>
    <m/>
    <n v="384"/>
    <n v="46.400000000000006"/>
    <m/>
    <m/>
    <m/>
    <m/>
  </r>
  <r>
    <n v="794"/>
    <x v="84"/>
    <x v="1"/>
    <x v="0"/>
    <x v="3"/>
    <x v="1"/>
    <x v="8"/>
    <s v="PWEGPL"/>
    <s v="MSEDCL"/>
    <n v="2.5000000000000001E-2"/>
    <n v="207"/>
    <x v="309"/>
    <s v="BD"/>
    <d v="1899-12-30T11:57:00"/>
    <d v="1899-12-30T12:20:00"/>
    <d v="1899-12-30T13:13:00"/>
    <n v="0.38333333333333597"/>
    <n v="0.88333333333333286"/>
    <n v="1.2666666666666688"/>
    <s v="Generator relay replaced"/>
    <s v="Close"/>
    <n v="3.1666666666666725E-2"/>
    <s v="G28"/>
    <n v="8.8138888888889042"/>
    <s v="None"/>
    <m/>
    <n v="167"/>
    <n v="8.8138888888889042"/>
    <m/>
    <m/>
    <m/>
    <m/>
  </r>
  <r>
    <n v="795"/>
    <x v="84"/>
    <x v="1"/>
    <x v="0"/>
    <x v="3"/>
    <x v="1"/>
    <x v="10"/>
    <s v="PWEGPL"/>
    <s v="MSEDCL"/>
    <n v="2.5000000000000001E-2"/>
    <n v="110"/>
    <x v="287"/>
    <s v="BD"/>
    <d v="1899-12-30T13:57:00"/>
    <d v="1899-12-30T14:10:00"/>
    <d v="1899-12-30T14:43:00"/>
    <n v="0.21666666666666856"/>
    <n v="0.55000000000000071"/>
    <n v="0.76666666666666927"/>
    <s v="cable twist removed"/>
    <s v="Close"/>
    <n v="1.9166666666666735E-2"/>
    <s v="G39"/>
    <n v="3.2263888888888994"/>
    <s v="None"/>
    <m/>
    <n v="101"/>
    <n v="3.2263888888888994"/>
    <m/>
    <m/>
    <m/>
    <m/>
  </r>
  <r>
    <n v="796"/>
    <x v="84"/>
    <x v="1"/>
    <x v="0"/>
    <x v="3"/>
    <x v="1"/>
    <x v="7"/>
    <s v="PWEGPL"/>
    <s v="MSEDCL"/>
    <n v="2.5000000000000001E-2"/>
    <n v="110"/>
    <x v="287"/>
    <s v="BD"/>
    <d v="1899-12-30T00:17:00"/>
    <d v="1899-12-30T01:10:00"/>
    <d v="1899-12-30T01:36:00"/>
    <n v="0.8833333333333333"/>
    <n v="0.43333333333333329"/>
    <n v="1.3166666666666667"/>
    <s v="cable twist removed"/>
    <s v="Close"/>
    <n v="3.291666666666667E-2"/>
    <s v="G15"/>
    <n v="8.3388888888888886"/>
    <s v="None"/>
    <m/>
    <n v="152"/>
    <n v="8.3388888888888886"/>
    <m/>
    <m/>
    <m/>
    <m/>
  </r>
  <r>
    <n v="797"/>
    <x v="84"/>
    <x v="1"/>
    <x v="0"/>
    <x v="3"/>
    <x v="1"/>
    <x v="37"/>
    <s v="PWEGPL"/>
    <s v="MSEDCL"/>
    <n v="2.5000000000000001E-2"/>
    <s v="CE100010"/>
    <x v="296"/>
    <s v="PM"/>
    <d v="1899-12-30T09:37:00"/>
    <d v="1899-12-30T09:37:00"/>
    <d v="1899-12-30T16:49:00"/>
    <n v="0"/>
    <n v="7.1999999999999984"/>
    <n v="7.1999999999999984"/>
    <s v="PM 102 month service"/>
    <s v="Close"/>
    <n v="0.17999999999999997"/>
    <s v="G22"/>
    <n v="435.2999999999999"/>
    <s v="None"/>
    <m/>
    <n v="1451"/>
    <n v="435.2999999999999"/>
    <m/>
    <m/>
    <m/>
    <m/>
  </r>
  <r>
    <n v="798"/>
    <x v="84"/>
    <x v="1"/>
    <x v="0"/>
    <x v="3"/>
    <x v="1"/>
    <x v="37"/>
    <s v="PWEGPL"/>
    <s v="MSEDCL"/>
    <n v="2.5000000000000001E-2"/>
    <n v="700"/>
    <x v="329"/>
    <s v="BD"/>
    <d v="1899-12-30T00:00:00"/>
    <d v="1899-12-30T00:00:00"/>
    <d v="1899-12-30T23:59:00"/>
    <n v="0"/>
    <n v="23.983333333333334"/>
    <n v="23.983333333333334"/>
    <s v="Lambda power supply failuier"/>
    <s v="Open"/>
    <n v="0.59958333333333336"/>
    <s v="G03"/>
    <n v="3870.3104166666667"/>
    <s v="material shortage- pcb active crowbar card failuier"/>
    <m/>
    <n v="3873"/>
    <n v="3870.3104166666667"/>
    <m/>
    <m/>
    <m/>
    <m/>
  </r>
  <r>
    <n v="799"/>
    <x v="85"/>
    <x v="1"/>
    <x v="0"/>
    <x v="3"/>
    <x v="1"/>
    <x v="23"/>
    <s v="PWEGPL"/>
    <s v="MSEDCL"/>
    <n v="2.5000000000000001E-2"/>
    <n v="700"/>
    <x v="329"/>
    <s v="BD"/>
    <d v="1899-12-30T10:25:00"/>
    <d v="1899-12-30T12:22:00"/>
    <d v="1899-12-30T13:43:00"/>
    <n v="1.9500000000000024"/>
    <n v="1.3499999999999979"/>
    <n v="3.3000000000000003"/>
    <s v="Loose OFC connection tightened"/>
    <s v="Close"/>
    <n v="8.2500000000000018E-2"/>
    <s v="G22"/>
    <n v="171.1875"/>
    <s v="None"/>
    <m/>
    <n v="1245"/>
    <n v="171.1875"/>
    <m/>
    <m/>
    <m/>
    <m/>
  </r>
  <r>
    <n v="800"/>
    <x v="85"/>
    <x v="1"/>
    <x v="0"/>
    <x v="3"/>
    <x v="1"/>
    <x v="24"/>
    <s v="PWEGPL"/>
    <s v="MSEDCL"/>
    <n v="2.5000000000000001E-2"/>
    <n v="700"/>
    <x v="329"/>
    <s v="BD"/>
    <d v="1899-12-30T00:00:00"/>
    <d v="1899-12-30T23:59:00"/>
    <d v="1899-12-30T23:59:00"/>
    <n v="23.983333333333334"/>
    <n v="0"/>
    <n v="23.983333333333334"/>
    <s v="Lambda power supply failuier"/>
    <s v="Open"/>
    <n v="0.59958333333333336"/>
    <s v="G10"/>
    <n v="8574.0416666666679"/>
    <s v="material shortage- pcb active crowbar card failuier"/>
    <m/>
    <n v="8580"/>
    <n v="8574.0416666666679"/>
    <m/>
    <m/>
    <m/>
    <m/>
  </r>
  <r>
    <n v="801"/>
    <x v="85"/>
    <x v="1"/>
    <x v="0"/>
    <x v="3"/>
    <x v="1"/>
    <x v="17"/>
    <s v="PWEGPL"/>
    <s v="MSEDCL"/>
    <n v="2.5000000000000001E-2"/>
    <n v="509"/>
    <x v="301"/>
    <s v="BD"/>
    <d v="1899-12-30T04:30:00"/>
    <d v="1899-12-30T04:45:00"/>
    <d v="1899-12-30T06:30:00"/>
    <n v="0.24999999999999978"/>
    <n v="1.7499999999999998"/>
    <n v="1.9999999999999996"/>
    <s v="Reboot &amp; Reset"/>
    <s v="Close"/>
    <n v="4.9999999999999989E-2"/>
    <s v="G13"/>
    <n v="72.166666666666657"/>
    <s v="None"/>
    <m/>
    <n v="866"/>
    <n v="72.166666666666657"/>
    <m/>
    <m/>
    <m/>
    <m/>
  </r>
  <r>
    <n v="802"/>
    <x v="85"/>
    <x v="1"/>
    <x v="0"/>
    <x v="3"/>
    <x v="1"/>
    <x v="27"/>
    <s v="PWEGPL"/>
    <s v="MSEDCL"/>
    <n v="2.5000000000000001E-2"/>
    <s v="CE100001"/>
    <x v="288"/>
    <s v="BD"/>
    <d v="1899-12-30T15:03:00"/>
    <d v="1899-12-30T15:03:00"/>
    <d v="1899-12-30T16:54:00"/>
    <n v="0"/>
    <n v="1.8499999999999988"/>
    <n v="1.8499999999999988"/>
    <s v="Greace applied"/>
    <s v="Close"/>
    <n v="4.6249999999999972E-2"/>
    <s v="G16"/>
    <n v="61.743749999999956"/>
    <s v="None"/>
    <m/>
    <n v="801"/>
    <n v="61.743749999999956"/>
    <m/>
    <m/>
    <m/>
    <m/>
  </r>
  <r>
    <n v="803"/>
    <x v="85"/>
    <x v="1"/>
    <x v="0"/>
    <x v="3"/>
    <x v="1"/>
    <x v="39"/>
    <s v="PWEGPL"/>
    <s v="MSEDCL"/>
    <n v="2.5000000000000001E-2"/>
    <n v="5216"/>
    <x v="306"/>
    <s v="BD"/>
    <d v="1899-12-30T00:00:00"/>
    <d v="1899-12-30T23:59:00"/>
    <d v="1899-12-30T23:59:00"/>
    <n v="23.983333333333334"/>
    <n v="0"/>
    <n v="23.983333333333334"/>
    <s v="Lambda power supply failuier"/>
    <s v="Open"/>
    <n v="0.59958333333333336"/>
    <s v="G21"/>
    <n v="8851.8486111111106"/>
    <s v="material shortage- pcb active crowbar card failuier"/>
    <m/>
    <n v="8858"/>
    <n v="8851.8486111111106"/>
    <m/>
    <m/>
    <m/>
    <m/>
  </r>
  <r>
    <n v="804"/>
    <x v="85"/>
    <x v="1"/>
    <x v="0"/>
    <x v="3"/>
    <x v="1"/>
    <x v="34"/>
    <s v="PWEGPL"/>
    <s v="MSEDCL"/>
    <n v="2.5000000000000001E-2"/>
    <n v="110"/>
    <x v="287"/>
    <s v="BD"/>
    <d v="1899-12-30T10:25:00"/>
    <d v="1899-12-30T10:47:00"/>
    <d v="1899-12-30T11:43:00"/>
    <n v="0.36666666666666803"/>
    <n v="0.93333333333333268"/>
    <n v="1.3000000000000007"/>
    <s v="cable twist removed"/>
    <s v="Close"/>
    <n v="3.2500000000000022E-2"/>
    <s v="G21"/>
    <n v="24.375000000000014"/>
    <s v="None"/>
    <m/>
    <n v="450"/>
    <n v="24.375000000000014"/>
    <m/>
    <m/>
    <m/>
    <m/>
  </r>
  <r>
    <n v="805"/>
    <x v="85"/>
    <x v="1"/>
    <x v="0"/>
    <x v="3"/>
    <x v="1"/>
    <x v="2"/>
    <s v="PWEGPL"/>
    <s v="MSEDCL"/>
    <n v="2.5000000000000001E-2"/>
    <n v="5216"/>
    <x v="306"/>
    <s v="BD"/>
    <d v="1899-12-30T15:00:00"/>
    <d v="1899-12-30T16:22:00"/>
    <d v="1899-12-30T16:22:00"/>
    <n v="1.3666666666666671"/>
    <n v="0"/>
    <n v="1.3666666666666671"/>
    <s v="LC taken foe scada cable lifting work"/>
    <s v="Close"/>
    <n v="3.4166666666666679E-2"/>
    <s v="G35"/>
    <n v="28.244444444444454"/>
    <s v="None"/>
    <m/>
    <n v="496"/>
    <n v="28.244444444444454"/>
    <m/>
    <m/>
    <m/>
    <m/>
  </r>
  <r>
    <n v="806"/>
    <x v="85"/>
    <x v="1"/>
    <x v="0"/>
    <x v="3"/>
    <x v="1"/>
    <x v="3"/>
    <s v="PWEGPL"/>
    <s v="MSEDCL"/>
    <n v="2.5000000000000001E-2"/>
    <n v="5216"/>
    <x v="306"/>
    <s v="BD"/>
    <d v="1899-12-30T15:00:00"/>
    <d v="1899-12-30T16:22:00"/>
    <d v="1899-12-30T16:22:00"/>
    <n v="1.3666666666666671"/>
    <n v="0"/>
    <n v="1.3666666666666671"/>
    <s v="LC taken foe scada cable lifting work"/>
    <s v="Close"/>
    <n v="3.4166666666666679E-2"/>
    <s v="G35"/>
    <n v="28.244444444444454"/>
    <s v="None"/>
    <m/>
    <n v="496"/>
    <n v="28.244444444444454"/>
    <m/>
    <m/>
    <m/>
    <m/>
  </r>
  <r>
    <n v="807"/>
    <x v="85"/>
    <x v="1"/>
    <x v="0"/>
    <x v="3"/>
    <x v="1"/>
    <x v="5"/>
    <s v="PWEGPL"/>
    <s v="MSEDCL"/>
    <n v="2.5000000000000001E-2"/>
    <n v="5216"/>
    <x v="306"/>
    <s v="BD"/>
    <d v="1899-12-30T15:00:00"/>
    <d v="1899-12-30T16:22:00"/>
    <d v="1899-12-30T16:22:00"/>
    <n v="1.3666666666666671"/>
    <n v="0"/>
    <n v="1.3666666666666671"/>
    <s v="LC taken foe scada cable lifting work"/>
    <s v="Close"/>
    <n v="3.4166666666666679E-2"/>
    <s v="G35"/>
    <n v="28.244444444444454"/>
    <s v="None"/>
    <m/>
    <n v="496"/>
    <n v="28.244444444444454"/>
    <m/>
    <m/>
    <m/>
    <m/>
  </r>
  <r>
    <n v="808"/>
    <x v="85"/>
    <x v="1"/>
    <x v="0"/>
    <x v="3"/>
    <x v="1"/>
    <x v="6"/>
    <s v="PWEGPL"/>
    <s v="MSEDCL"/>
    <n v="2.5000000000000001E-2"/>
    <n v="5216"/>
    <x v="306"/>
    <s v="BD"/>
    <d v="1899-12-30T15:00:00"/>
    <d v="1899-12-30T16:22:00"/>
    <d v="1899-12-30T16:22:00"/>
    <n v="1.3666666666666671"/>
    <n v="0"/>
    <n v="1.3666666666666671"/>
    <s v="LC taken foe scada cable lifting work"/>
    <s v="Close"/>
    <n v="3.4166666666666679E-2"/>
    <s v="G35"/>
    <n v="28.244444444444454"/>
    <s v="None"/>
    <m/>
    <n v="496"/>
    <n v="28.244444444444454"/>
    <m/>
    <m/>
    <m/>
    <m/>
  </r>
  <r>
    <n v="809"/>
    <x v="85"/>
    <x v="1"/>
    <x v="0"/>
    <x v="3"/>
    <x v="1"/>
    <x v="7"/>
    <s v="PWEGPL"/>
    <s v="MSEDCL"/>
    <n v="2.5000000000000001E-2"/>
    <n v="5216"/>
    <x v="306"/>
    <s v="BD"/>
    <d v="1899-12-30T15:00:00"/>
    <d v="1899-12-30T16:22:00"/>
    <d v="1899-12-30T16:22:00"/>
    <n v="1.3666666666666671"/>
    <n v="0"/>
    <n v="1.3666666666666671"/>
    <s v="LC taken foe scada cable lifting work"/>
    <s v="Close"/>
    <n v="3.4166666666666679E-2"/>
    <s v="G35"/>
    <n v="28.244444444444454"/>
    <s v="None"/>
    <m/>
    <n v="496"/>
    <n v="28.244444444444454"/>
    <m/>
    <m/>
    <m/>
    <m/>
  </r>
  <r>
    <n v="810"/>
    <x v="85"/>
    <x v="1"/>
    <x v="0"/>
    <x v="3"/>
    <x v="1"/>
    <x v="4"/>
    <s v="PWEGPL"/>
    <s v="MSEDCL"/>
    <n v="2.5000000000000001E-2"/>
    <n v="205"/>
    <x v="312"/>
    <s v="BD"/>
    <d v="1899-12-30T08:21:00"/>
    <d v="1899-12-30T10:32:00"/>
    <d v="1899-12-30T11:15:00"/>
    <n v="2.1833333333333336"/>
    <n v="0.71666666666666679"/>
    <n v="2.9000000000000004"/>
    <s v="Oil Topup"/>
    <s v="Close"/>
    <n v="7.2500000000000009E-2"/>
    <s v="G36"/>
    <n v="127.11666666666669"/>
    <s v="None"/>
    <m/>
    <n v="1052"/>
    <n v="127.11666666666669"/>
    <m/>
    <m/>
    <m/>
    <m/>
  </r>
  <r>
    <n v="811"/>
    <x v="86"/>
    <x v="1"/>
    <x v="0"/>
    <x v="3"/>
    <x v="1"/>
    <x v="24"/>
    <s v="PWEGPL"/>
    <s v="MSEDCL"/>
    <n v="2.5000000000000001E-2"/>
    <n v="700"/>
    <x v="329"/>
    <s v="BD"/>
    <d v="1899-12-30T00:00:00"/>
    <d v="1899-12-30T18:49:00"/>
    <d v="1899-12-30T18:49:00"/>
    <n v="18.816666666666666"/>
    <n v="0"/>
    <n v="18.816666666666666"/>
    <s v="lambda power supply replaced"/>
    <s v="Close"/>
    <n v="0.47041666666666671"/>
    <s v="G22"/>
    <n v="1355.5840277777779"/>
    <s v="None"/>
    <m/>
    <n v="1729"/>
    <n v="1355.5840277777779"/>
    <m/>
    <m/>
    <m/>
    <m/>
  </r>
  <r>
    <n v="812"/>
    <x v="86"/>
    <x v="1"/>
    <x v="0"/>
    <x v="3"/>
    <x v="1"/>
    <x v="30"/>
    <s v="PWEGPL"/>
    <s v="MSEDCL"/>
    <n v="2.5000000000000001E-2"/>
    <n v="800"/>
    <x v="298"/>
    <s v="BD"/>
    <d v="1899-12-30T02:37:00"/>
    <d v="1899-12-30T03:10:00"/>
    <d v="1899-12-30T13:52:00"/>
    <n v="0.55000000000000004"/>
    <n v="10.700000000000003"/>
    <n v="11.250000000000002"/>
    <s v="proportional valve changed"/>
    <s v="Close"/>
    <n v="0.28125000000000006"/>
    <s v="G13"/>
    <n v="25.781250000000004"/>
    <s v="None"/>
    <m/>
    <n v="55"/>
    <n v="25.781250000000004"/>
    <m/>
    <m/>
    <m/>
    <m/>
  </r>
  <r>
    <n v="813"/>
    <x v="86"/>
    <x v="1"/>
    <x v="0"/>
    <x v="3"/>
    <x v="1"/>
    <x v="39"/>
    <s v="PWEGPL"/>
    <s v="MSEDCL"/>
    <n v="2.5000000000000001E-2"/>
    <n v="5216"/>
    <x v="306"/>
    <s v="BD"/>
    <d v="1899-12-30T00:00:00"/>
    <d v="1899-12-30T23:59:00"/>
    <d v="1899-12-30T23:59:00"/>
    <n v="23.983333333333334"/>
    <n v="0"/>
    <n v="23.983333333333334"/>
    <s v="lambda power supply replaced"/>
    <s v="Close"/>
    <n v="0.59958333333333336"/>
    <s v="G16"/>
    <n v="1915.66875"/>
    <s v="None"/>
    <m/>
    <n v="1917"/>
    <n v="1915.66875"/>
    <m/>
    <m/>
    <m/>
    <m/>
  </r>
  <r>
    <n v="814"/>
    <x v="86"/>
    <x v="1"/>
    <x v="0"/>
    <x v="3"/>
    <x v="1"/>
    <x v="36"/>
    <s v="PWEGPL"/>
    <s v="MSEDCL"/>
    <n v="2.5000000000000001E-2"/>
    <n v="5254"/>
    <x v="333"/>
    <s v="BD"/>
    <d v="1899-12-30T09:42:00"/>
    <d v="1899-12-30T10:10:00"/>
    <d v="1899-12-30T14:44:00"/>
    <n v="0.46666666666666767"/>
    <n v="4.5666666666666647"/>
    <n v="5.0333333333333332"/>
    <s v="contactor repaired"/>
    <s v="Close"/>
    <n v="0.12583333333333332"/>
    <s v="G27"/>
    <n v="73.402777777777786"/>
    <s v="None"/>
    <m/>
    <n v="350"/>
    <n v="73.402777777777786"/>
    <m/>
    <m/>
    <m/>
    <m/>
  </r>
  <r>
    <n v="815"/>
    <x v="86"/>
    <x v="1"/>
    <x v="0"/>
    <x v="3"/>
    <x v="1"/>
    <x v="6"/>
    <s v="PWEGPL"/>
    <s v="MSEDCL"/>
    <n v="2.5000000000000001E-2"/>
    <n v="800"/>
    <x v="298"/>
    <s v="BD"/>
    <d v="1899-12-30T19:01:00"/>
    <d v="1899-12-30T22:05:00"/>
    <d v="1899-12-30T22:21:00"/>
    <n v="3.0666666666666664"/>
    <n v="0.26666666666666838"/>
    <n v="3.3333333333333348"/>
    <s v="Reboot &amp; Reset"/>
    <s v="Close"/>
    <n v="8.333333333333337E-2"/>
    <s v="G40"/>
    <n v="24.166666666666679"/>
    <s v="None"/>
    <m/>
    <n v="174"/>
    <n v="24.166666666666679"/>
    <m/>
    <m/>
    <m/>
    <m/>
  </r>
  <r>
    <n v="816"/>
    <x v="87"/>
    <x v="1"/>
    <x v="0"/>
    <x v="3"/>
    <x v="1"/>
    <x v="27"/>
    <s v="PWEGPL"/>
    <s v="MSEDCL"/>
    <n v="2.5000000000000001E-2"/>
    <s v="CE100001"/>
    <x v="288"/>
    <s v="BD"/>
    <d v="1899-12-30T10:59:00"/>
    <d v="1899-12-30T10:59:00"/>
    <d v="1899-12-30T14:21:00"/>
    <n v="0"/>
    <n v="3.3666666666666667"/>
    <n v="3.3666666666666667"/>
    <s v="Oil seal replaced"/>
    <s v="Close"/>
    <n v="8.4166666666666667E-2"/>
    <s v="G12"/>
    <n v="119.9375"/>
    <s v="None"/>
    <m/>
    <n v="855"/>
    <n v="119.9375"/>
    <m/>
    <m/>
    <m/>
    <m/>
  </r>
  <r>
    <n v="817"/>
    <x v="87"/>
    <x v="1"/>
    <x v="0"/>
    <x v="3"/>
    <x v="1"/>
    <x v="39"/>
    <s v="PWEGPL"/>
    <s v="MSEDCL"/>
    <n v="2.5000000000000001E-2"/>
    <n v="5216"/>
    <x v="306"/>
    <s v="BD"/>
    <d v="1899-12-30T00:00:00"/>
    <d v="1899-12-30T00:00:00"/>
    <d v="1899-12-30T17:30:00"/>
    <n v="0"/>
    <n v="17.5"/>
    <n v="17.5"/>
    <s v="PLC programming reinstalled"/>
    <s v="Close"/>
    <n v="0.4375"/>
    <s v="G14"/>
    <n v="4246.6666666666661"/>
    <s v="material shortage- pcb active crowbar card failuier"/>
    <m/>
    <n v="5824"/>
    <n v="4246.6666666666661"/>
    <m/>
    <m/>
    <m/>
    <m/>
  </r>
  <r>
    <n v="818"/>
    <x v="87"/>
    <x v="1"/>
    <x v="0"/>
    <x v="3"/>
    <x v="1"/>
    <x v="37"/>
    <s v="PWEGPL"/>
    <s v="MSEDCL"/>
    <n v="2.5000000000000001E-2"/>
    <n v="700"/>
    <x v="329"/>
    <s v="BD"/>
    <d v="1899-12-30T22:10:00"/>
    <d v="1899-12-30T22:30:00"/>
    <d v="1899-12-30T23:59:00"/>
    <n v="0.33333333333333215"/>
    <n v="1.4833333333333334"/>
    <n v="1.8166666666666655"/>
    <s v="CCU replaced"/>
    <s v="Close"/>
    <n v="4.541666666666664E-2"/>
    <s v="G17"/>
    <n v="45.340972222222192"/>
    <s v="None"/>
    <m/>
    <n v="599"/>
    <n v="45.340972222222192"/>
    <m/>
    <m/>
    <m/>
    <m/>
  </r>
  <r>
    <n v="819"/>
    <x v="87"/>
    <x v="1"/>
    <x v="0"/>
    <x v="3"/>
    <x v="1"/>
    <x v="35"/>
    <s v="PWEGPL"/>
    <s v="MSEDCL"/>
    <n v="2.5000000000000001E-2"/>
    <n v="118"/>
    <x v="313"/>
    <s v="BD"/>
    <d v="1899-12-30T11:30:00"/>
    <d v="1899-12-30T13:00:00"/>
    <d v="1899-12-30T13:30:00"/>
    <n v="1.4999999999999987"/>
    <n v="0.50000000000000089"/>
    <n v="1.9999999999999996"/>
    <s v="Reboot &amp; Reset"/>
    <s v="Close"/>
    <n v="4.9999999999999989E-2"/>
    <s v="G25"/>
    <n v="69.999999999999986"/>
    <s v="None"/>
    <m/>
    <n v="840"/>
    <n v="69.999999999999986"/>
    <m/>
    <m/>
    <m/>
    <m/>
  </r>
  <r>
    <n v="820"/>
    <x v="87"/>
    <x v="1"/>
    <x v="0"/>
    <x v="3"/>
    <x v="1"/>
    <x v="6"/>
    <s v="PWEGPL"/>
    <s v="MSEDCL"/>
    <n v="2.5000000000000001E-2"/>
    <n v="800"/>
    <x v="298"/>
    <s v="BD"/>
    <d v="1899-12-30T10:55:00"/>
    <d v="1899-12-30T12:00:00"/>
    <d v="1899-12-30T12:47:00"/>
    <n v="1.0833333333333335"/>
    <n v="0.78333333333333321"/>
    <n v="1.8666666666666667"/>
    <s v="Reboot &amp; Reset"/>
    <s v="Close"/>
    <n v="4.6666666666666669E-2"/>
    <s v="G40"/>
    <n v="44.87777777777778"/>
    <s v="None"/>
    <m/>
    <n v="577"/>
    <n v="44.87777777777778"/>
    <m/>
    <m/>
    <m/>
    <m/>
  </r>
  <r>
    <n v="821"/>
    <x v="88"/>
    <x v="1"/>
    <x v="0"/>
    <x v="3"/>
    <x v="1"/>
    <x v="17"/>
    <s v="PWEGPL"/>
    <s v="MSEDCL"/>
    <n v="2.5000000000000001E-2"/>
    <n v="509"/>
    <x v="301"/>
    <s v="BD"/>
    <d v="1899-12-30T00:23:00"/>
    <d v="1899-12-30T01:00:00"/>
    <d v="1899-12-30T06:10:00"/>
    <n v="0.61666666666666659"/>
    <n v="5.1666666666666679"/>
    <n v="5.7833333333333341"/>
    <s v="Reboot &amp; Reset"/>
    <s v="Close"/>
    <n v="0.14458333333333337"/>
    <s v="G10"/>
    <n v="1036.1805555555557"/>
    <s v="None"/>
    <m/>
    <n v="4300"/>
    <n v="1036.1805555555557"/>
    <m/>
    <m/>
    <m/>
    <m/>
  </r>
  <r>
    <n v="822"/>
    <x v="88"/>
    <x v="1"/>
    <x v="0"/>
    <x v="3"/>
    <x v="1"/>
    <x v="27"/>
    <s v="PWEGPL"/>
    <s v="MSEDCL"/>
    <n v="2.5000000000000001E-2"/>
    <n v="416"/>
    <x v="334"/>
    <s v="BD"/>
    <d v="1899-12-30T07:18:00"/>
    <d v="1899-12-30T11:27:00"/>
    <d v="1899-12-30T13:58:00"/>
    <n v="4.1500000000000004"/>
    <n v="2.5166666666666684"/>
    <n v="6.6666666666666679"/>
    <s v="Troubleshooting &amp;Reset"/>
    <s v="Close"/>
    <n v="0.16666666666666671"/>
    <s v="G12"/>
    <n v="1298.8888888888891"/>
    <s v="None"/>
    <m/>
    <n v="4676"/>
    <n v="1298.8888888888891"/>
    <m/>
    <m/>
    <m/>
    <m/>
  </r>
  <r>
    <n v="823"/>
    <x v="88"/>
    <x v="1"/>
    <x v="0"/>
    <x v="3"/>
    <x v="1"/>
    <x v="30"/>
    <s v="PWEGPL"/>
    <s v="MSEDCL"/>
    <n v="2.5000000000000001E-2"/>
    <n v="800"/>
    <x v="298"/>
    <s v="BD"/>
    <d v="1899-12-30T16:00:00"/>
    <d v="1899-12-30T16:06:00"/>
    <d v="1899-12-30T18:13:00"/>
    <n v="0.10000000000000231"/>
    <n v="2.1166666666666645"/>
    <n v="2.2166666666666668"/>
    <s v="Troubleshooting &amp;Reset"/>
    <s v="Close"/>
    <n v="5.541666666666667E-2"/>
    <s v="G13"/>
    <n v="190.72569444444446"/>
    <s v="None"/>
    <m/>
    <n v="2065"/>
    <n v="190.72569444444446"/>
    <m/>
    <m/>
    <m/>
    <m/>
  </r>
  <r>
    <n v="824"/>
    <x v="88"/>
    <x v="1"/>
    <x v="0"/>
    <x v="3"/>
    <x v="1"/>
    <x v="37"/>
    <s v="PWEGPL"/>
    <s v="MSEDCL"/>
    <n v="2.5000000000000001E-2"/>
    <n v="700"/>
    <x v="329"/>
    <s v="BD"/>
    <d v="1899-12-30T00:00:00"/>
    <d v="1899-12-30T00:01:00"/>
    <d v="1899-12-30T06:40:00"/>
    <n v="1.6666666666666666E-2"/>
    <n v="6.65"/>
    <n v="6.666666666666667"/>
    <s v="CCU changed"/>
    <s v="Close"/>
    <n v="0.16666666666666669"/>
    <s v="G17"/>
    <n v="1731.1111111111113"/>
    <s v="None"/>
    <m/>
    <n v="6232"/>
    <n v="1731.1111111111113"/>
    <m/>
    <m/>
    <m/>
    <m/>
  </r>
  <r>
    <n v="825"/>
    <x v="88"/>
    <x v="1"/>
    <x v="0"/>
    <x v="3"/>
    <x v="1"/>
    <x v="35"/>
    <s v="PWEGPL"/>
    <s v="MSEDCL"/>
    <n v="2.5000000000000001E-2"/>
    <n v="907"/>
    <x v="292"/>
    <s v="BD"/>
    <d v="1899-12-30T06:30:00"/>
    <d v="1899-12-30T07:20:00"/>
    <d v="1899-12-30T10:30:00"/>
    <n v="0.83333333333333304"/>
    <n v="3.1666666666666674"/>
    <n v="4"/>
    <s v="Troubleshooting &amp;Reset"/>
    <s v="Close"/>
    <n v="0.1"/>
    <s v="G25"/>
    <n v="571.66666666666663"/>
    <s v="None"/>
    <m/>
    <n v="3430"/>
    <n v="571.66666666666663"/>
    <m/>
    <m/>
    <m/>
    <m/>
  </r>
  <r>
    <n v="826"/>
    <x v="88"/>
    <x v="1"/>
    <x v="0"/>
    <x v="3"/>
    <x v="1"/>
    <x v="14"/>
    <s v="PWEGPL"/>
    <s v="MSEDCL"/>
    <n v="2.5000000000000001E-2"/>
    <n v="205"/>
    <x v="312"/>
    <s v="BD"/>
    <d v="1899-12-30T05:47:00"/>
    <d v="1899-12-30T11:29:00"/>
    <d v="1899-12-30T12:31:00"/>
    <n v="5.6999999999999993"/>
    <n v="1.033333333333335"/>
    <n v="6.7333333333333334"/>
    <s v="Oil Topup"/>
    <s v="Close"/>
    <n v="0.16833333333333333"/>
    <s v="G34"/>
    <n v="1168.5138888888889"/>
    <s v="None"/>
    <m/>
    <n v="4165"/>
    <n v="1168.5138888888889"/>
    <m/>
    <m/>
    <m/>
    <m/>
  </r>
  <r>
    <n v="827"/>
    <x v="89"/>
    <x v="1"/>
    <x v="0"/>
    <x v="3"/>
    <x v="1"/>
    <x v="17"/>
    <s v="PWEGPL"/>
    <s v="MSEDCL"/>
    <n v="2.5000000000000001E-2"/>
    <n v="509"/>
    <x v="301"/>
    <s v="BD"/>
    <d v="1899-12-30T08:30:00"/>
    <d v="1899-12-30T10:02:00"/>
    <d v="1899-12-30T10:30:00"/>
    <n v="1.5333333333333332"/>
    <n v="0.46666666666666634"/>
    <n v="1.9999999999999996"/>
    <s v="Reboot &amp; Reset"/>
    <s v="Close"/>
    <n v="4.9999999999999989E-2"/>
    <s v="G06"/>
    <n v="209.99999999999994"/>
    <s v="None"/>
    <m/>
    <n v="2520"/>
    <n v="209.99999999999994"/>
    <m/>
    <m/>
    <m/>
    <m/>
  </r>
  <r>
    <n v="828"/>
    <x v="89"/>
    <x v="1"/>
    <x v="0"/>
    <x v="3"/>
    <x v="1"/>
    <x v="27"/>
    <s v="PWEGPL"/>
    <s v="MSEDCL"/>
    <n v="2.5000000000000001E-2"/>
    <n v="416"/>
    <x v="334"/>
    <s v="BD"/>
    <d v="1899-12-30T01:48:00"/>
    <d v="1899-12-30T02:40:00"/>
    <d v="1899-12-30T05:00:00"/>
    <n v="0.86666666666666659"/>
    <n v="2.3333333333333339"/>
    <n v="3.2000000000000006"/>
    <s v="Troubleshooting &amp;Reset"/>
    <s v="Close"/>
    <n v="8.0000000000000016E-2"/>
    <s v="G12"/>
    <n v="441.73333333333341"/>
    <s v="None"/>
    <m/>
    <n v="3313"/>
    <n v="441.73333333333341"/>
    <m/>
    <m/>
    <m/>
    <m/>
  </r>
  <r>
    <n v="829"/>
    <x v="89"/>
    <x v="1"/>
    <x v="0"/>
    <x v="3"/>
    <x v="1"/>
    <x v="29"/>
    <s v="PWEGPL"/>
    <s v="MSEDCL"/>
    <n v="2.5000000000000001E-2"/>
    <n v="523"/>
    <x v="335"/>
    <s v="BD"/>
    <d v="1899-12-30T20:14:00"/>
    <d v="1899-12-30T22:10:00"/>
    <d v="1899-12-30T22:37:00"/>
    <n v="1.9333333333333345"/>
    <n v="0.4499999999999984"/>
    <n v="2.3833333333333329"/>
    <s v="Reboot &amp; Reset"/>
    <s v="Close"/>
    <n v="5.9583333333333321E-2"/>
    <s v="G10"/>
    <n v="306.65555555555545"/>
    <s v="None"/>
    <m/>
    <n v="3088"/>
    <n v="306.65555555555545"/>
    <m/>
    <m/>
    <m/>
    <m/>
  </r>
  <r>
    <n v="830"/>
    <x v="89"/>
    <x v="1"/>
    <x v="0"/>
    <x v="3"/>
    <x v="1"/>
    <x v="35"/>
    <s v="PWEGPL"/>
    <s v="MSEDCL"/>
    <n v="2.5000000000000001E-2"/>
    <n v="412"/>
    <x v="336"/>
    <s v="BD"/>
    <d v="1899-12-30T14:08:00"/>
    <d v="1899-12-30T15:02:00"/>
    <d v="1899-12-30T23:59:00"/>
    <n v="0.89999999999999947"/>
    <n v="8.9499999999999993"/>
    <n v="9.85"/>
    <s v="material shortage- MPCB &amp; Contactor Generator cooling CKT"/>
    <s v="Open"/>
    <n v="0.24625"/>
    <s v="G25"/>
    <n v="4118.9416666666666"/>
    <s v="material shortage- MPCB &amp; Contactor Generator cooling CKT"/>
    <m/>
    <n v="10036"/>
    <n v="4118.9416666666666"/>
    <m/>
    <m/>
    <m/>
    <m/>
  </r>
  <r>
    <n v="831"/>
    <x v="90"/>
    <x v="1"/>
    <x v="0"/>
    <x v="3"/>
    <x v="1"/>
    <x v="26"/>
    <s v="PWEGPL"/>
    <s v="MSEDCL"/>
    <n v="2.5000000000000001E-2"/>
    <n v="203"/>
    <x v="290"/>
    <s v="BD"/>
    <d v="1899-12-30T21:44:00"/>
    <d v="1899-12-30T22:30:00"/>
    <d v="1899-12-30T23:59:00"/>
    <n v="0.76666666666666661"/>
    <n v="1.4833333333333334"/>
    <n v="2.25"/>
    <s v="Reboot &amp; Reset"/>
    <s v="Close"/>
    <n v="5.6250000000000001E-2"/>
    <s v="G01"/>
    <n v="270.1875"/>
    <s v="None"/>
    <m/>
    <n v="2882"/>
    <n v="270.1875"/>
    <m/>
    <m/>
    <m/>
    <m/>
  </r>
  <r>
    <n v="832"/>
    <x v="90"/>
    <x v="1"/>
    <x v="0"/>
    <x v="3"/>
    <x v="1"/>
    <x v="17"/>
    <s v="PWEGPL"/>
    <s v="MSEDCL"/>
    <n v="2.5000000000000001E-2"/>
    <n v="509"/>
    <x v="301"/>
    <s v="BD"/>
    <d v="1899-12-30T21:08:00"/>
    <d v="1899-12-30T23:59:00"/>
    <d v="1899-12-30T23:59:00"/>
    <n v="2.8500000000000005"/>
    <n v="0"/>
    <n v="2.8500000000000005"/>
    <s v="Reboot &amp; Reset"/>
    <s v="Close"/>
    <n v="7.1250000000000022E-2"/>
    <s v="G06"/>
    <n v="456.59375000000011"/>
    <s v="None"/>
    <m/>
    <n v="3845"/>
    <n v="456.59375000000011"/>
    <m/>
    <m/>
    <m/>
    <m/>
  </r>
  <r>
    <n v="833"/>
    <x v="90"/>
    <x v="1"/>
    <x v="0"/>
    <x v="3"/>
    <x v="1"/>
    <x v="35"/>
    <s v="PWEGPL"/>
    <s v="MSEDCL"/>
    <n v="2.5000000000000001E-2"/>
    <n v="412"/>
    <x v="336"/>
    <s v="BD"/>
    <d v="1899-12-30T00:00:00"/>
    <d v="1899-12-30T00:00:00"/>
    <d v="1899-12-30T23:24:00"/>
    <n v="0"/>
    <n v="23.4"/>
    <n v="23.4"/>
    <s v="MPCB and contactor changed"/>
    <s v="Close"/>
    <n v="0.58499999999999996"/>
    <s v="G22"/>
    <n v="27790.424999999999"/>
    <s v="material shortage- MPCB &amp; Contactor Generator cooling CKT"/>
    <m/>
    <n v="28503"/>
    <n v="27790.424999999999"/>
    <m/>
    <m/>
    <m/>
    <m/>
  </r>
  <r>
    <n v="834"/>
    <x v="90"/>
    <x v="1"/>
    <x v="0"/>
    <x v="3"/>
    <x v="1"/>
    <x v="15"/>
    <s v="PWEGPL"/>
    <s v="MSEDCL"/>
    <n v="2.5000000000000001E-2"/>
    <n v="2118"/>
    <x v="293"/>
    <s v="BD"/>
    <d v="1899-12-30T18:06:00"/>
    <d v="1899-12-30T23:47:00"/>
    <d v="1899-12-30T23:59:00"/>
    <n v="5.6833333333333318"/>
    <n v="0.19999999999999929"/>
    <n v="5.8833333333333311"/>
    <s v="slip ringed cleaned"/>
    <s v="Close"/>
    <n v="0.14708333333333329"/>
    <s v="G35"/>
    <n v="624.85902777777756"/>
    <s v="None"/>
    <m/>
    <n v="2549"/>
    <n v="624.85902777777756"/>
    <m/>
    <m/>
    <m/>
    <m/>
  </r>
  <r>
    <n v="835"/>
    <x v="90"/>
    <x v="1"/>
    <x v="0"/>
    <x v="3"/>
    <x v="1"/>
    <x v="27"/>
    <s v="PWEGPL"/>
    <s v="MSEDCL"/>
    <n v="2.5000000000000001E-2"/>
    <n v="416"/>
    <x v="334"/>
    <s v="BD"/>
    <d v="1899-12-30T00:46:00"/>
    <d v="1899-12-30T04:57:00"/>
    <d v="1899-12-30T11:58:00"/>
    <n v="4.1833333333333336"/>
    <n v="7.0166666666666657"/>
    <n v="11.2"/>
    <s v="PLC software update and WTG inspection"/>
    <s v="Close"/>
    <n v="0.27999999999999997"/>
    <s v="G12"/>
    <n v="5018.5333333333328"/>
    <s v="Serious fault need inspection"/>
    <m/>
    <n v="10754"/>
    <n v="5018.5333333333328"/>
    <m/>
    <m/>
    <m/>
    <m/>
  </r>
  <r>
    <n v="836"/>
    <x v="91"/>
    <x v="1"/>
    <x v="0"/>
    <x v="3"/>
    <x v="1"/>
    <x v="21"/>
    <s v="PWEGPL"/>
    <s v="MSEDCL"/>
    <n v="2.5000000000000001E-2"/>
    <n v="205"/>
    <x v="312"/>
    <s v="BD"/>
    <d v="1899-12-30T02:11:00"/>
    <d v="1899-12-30T04:13:00"/>
    <d v="1899-12-30T04:14:00"/>
    <n v="2.0333333333333337"/>
    <n v="1.6666666666666607E-2"/>
    <n v="2.0500000000000003"/>
    <s v="Reboot &amp; Reset"/>
    <s v="Close"/>
    <n v="5.1250000000000011E-2"/>
    <s v="G06"/>
    <n v="220.20416666666671"/>
    <s v="None"/>
    <m/>
    <n v="2578"/>
    <n v="220.20416666666671"/>
    <m/>
    <m/>
    <m/>
    <m/>
  </r>
  <r>
    <n v="837"/>
    <x v="91"/>
    <x v="1"/>
    <x v="0"/>
    <x v="3"/>
    <x v="1"/>
    <x v="26"/>
    <s v="PWEGPL"/>
    <s v="MSEDCL"/>
    <n v="2.5000000000000001E-2"/>
    <n v="203"/>
    <x v="290"/>
    <s v="BD"/>
    <d v="1899-12-30T09:25:00"/>
    <d v="1899-12-30T11:01:00"/>
    <d v="1899-12-30T15:06:00"/>
    <n v="1.600000000000001"/>
    <n v="4.0833333333333321"/>
    <n v="5.6833333333333336"/>
    <s v="accumulator replaced"/>
    <s v="Close"/>
    <n v="0.14208333333333334"/>
    <s v="G04"/>
    <n v="1559.601388888889"/>
    <s v="None"/>
    <m/>
    <n v="6586"/>
    <n v="1559.601388888889"/>
    <m/>
    <m/>
    <m/>
    <m/>
  </r>
  <r>
    <n v="838"/>
    <x v="91"/>
    <x v="1"/>
    <x v="0"/>
    <x v="3"/>
    <x v="1"/>
    <x v="17"/>
    <s v="PWEGPL"/>
    <s v="MSEDCL"/>
    <n v="2.5000000000000001E-2"/>
    <n v="509"/>
    <x v="301"/>
    <s v="BD"/>
    <d v="1899-12-30T10:15:00"/>
    <d v="1899-12-30T11:15:00"/>
    <d v="1899-12-30T14:15:00"/>
    <n v="1.0000000000000004"/>
    <n v="3"/>
    <n v="4"/>
    <s v="Reboot &amp; Reset"/>
    <s v="Close"/>
    <n v="0.1"/>
    <s v="G06"/>
    <n v="866.66666666666663"/>
    <s v="Material shortage- Generator cooling fan"/>
    <m/>
    <n v="5200"/>
    <n v="866.66666666666663"/>
    <m/>
    <m/>
    <m/>
    <m/>
  </r>
  <r>
    <n v="839"/>
    <x v="91"/>
    <x v="1"/>
    <x v="0"/>
    <x v="3"/>
    <x v="1"/>
    <x v="27"/>
    <s v="PWEGPL"/>
    <s v="MSEDCL"/>
    <n v="2.5000000000000001E-2"/>
    <n v="416"/>
    <x v="334"/>
    <s v="BD"/>
    <d v="1899-12-30T00:32:00"/>
    <d v="1899-12-30T00:58:00"/>
    <d v="1899-12-30T02:03:00"/>
    <n v="0.43333333333333335"/>
    <n v="1.083333333333333"/>
    <n v="1.5166666666666662"/>
    <s v="Reboot &amp; Reset"/>
    <s v="Close"/>
    <n v="3.7916666666666654E-2"/>
    <s v="G12"/>
    <n v="99.278472222222177"/>
    <s v="None"/>
    <m/>
    <n v="1571"/>
    <n v="99.278472222222177"/>
    <m/>
    <m/>
    <m/>
    <m/>
  </r>
  <r>
    <n v="840"/>
    <x v="91"/>
    <x v="1"/>
    <x v="0"/>
    <x v="3"/>
    <x v="1"/>
    <x v="28"/>
    <s v="PWEGPL"/>
    <s v="MSEDCL"/>
    <n v="2.5000000000000001E-2"/>
    <n v="205"/>
    <x v="312"/>
    <s v="BD"/>
    <d v="1899-12-30T07:55:00"/>
    <d v="1899-12-30T10:47:00"/>
    <d v="1899-12-30T11:41:00"/>
    <n v="2.8666666666666671"/>
    <n v="0.89999999999999947"/>
    <n v="3.7666666666666666"/>
    <s v="oil topup"/>
    <s v="Close"/>
    <n v="9.4166666666666676E-2"/>
    <s v="G11"/>
    <n v="694.32222222222219"/>
    <s v="None"/>
    <m/>
    <n v="4424"/>
    <n v="694.32222222222219"/>
    <m/>
    <m/>
    <m/>
    <m/>
  </r>
  <r>
    <n v="841"/>
    <x v="91"/>
    <x v="1"/>
    <x v="0"/>
    <x v="3"/>
    <x v="1"/>
    <x v="35"/>
    <s v="PWEGPL"/>
    <s v="MSEDCL"/>
    <n v="2.5000000000000001E-2"/>
    <n v="907"/>
    <x v="292"/>
    <s v="BD"/>
    <d v="1899-12-30T17:24:00"/>
    <d v="1899-12-30T18:24:00"/>
    <d v="1899-12-30T18:45:00"/>
    <n v="0.99999999999999911"/>
    <n v="0.35000000000000142"/>
    <n v="1.3500000000000005"/>
    <s v="Reboot &amp; Reset"/>
    <s v="Close"/>
    <n v="3.3750000000000016E-2"/>
    <s v="G22"/>
    <n v="98.100000000000051"/>
    <s v="None"/>
    <m/>
    <n v="1744"/>
    <n v="98.100000000000051"/>
    <m/>
    <m/>
    <m/>
    <m/>
  </r>
  <r>
    <n v="842"/>
    <x v="91"/>
    <x v="1"/>
    <x v="0"/>
    <x v="3"/>
    <x v="1"/>
    <x v="15"/>
    <s v="PWEGPL"/>
    <s v="MSEDCL"/>
    <n v="2.5000000000000001E-2"/>
    <n v="2118"/>
    <x v="293"/>
    <s v="BD"/>
    <d v="1899-12-30T00:00:00"/>
    <d v="1899-12-30T00:00:00"/>
    <d v="1899-12-30T00:52:00"/>
    <n v="0"/>
    <n v="0.8666666666666667"/>
    <n v="0.8666666666666667"/>
    <s v="slip ringed cleaned"/>
    <s v="Close"/>
    <n v="2.1666666666666667E-2"/>
    <s v="G36"/>
    <n v="20.872222222222224"/>
    <s v="None"/>
    <m/>
    <n v="578"/>
    <n v="20.872222222222224"/>
    <m/>
    <m/>
    <m/>
    <m/>
  </r>
  <r>
    <n v="843"/>
    <x v="91"/>
    <x v="1"/>
    <x v="0"/>
    <x v="3"/>
    <x v="1"/>
    <x v="21"/>
    <s v="PWEGPL"/>
    <s v="MSEDCL"/>
    <n v="2.5000000000000001E-2"/>
    <n v="102"/>
    <x v="337"/>
    <s v="BD"/>
    <d v="1899-12-30T14:34:00"/>
    <d v="1899-12-30T15:19:00"/>
    <d v="1899-12-30T19:39:00"/>
    <n v="0.75"/>
    <n v="4.3333333333333339"/>
    <n v="5.0833333333333339"/>
    <s v="cw motor replaced"/>
    <s v="Close"/>
    <n v="0.12708333333333335"/>
    <s v="G04"/>
    <n v="1224.2361111111113"/>
    <s v="None"/>
    <m/>
    <n v="5780"/>
    <n v="1224.2361111111113"/>
    <m/>
    <m/>
    <m/>
    <m/>
  </r>
  <r>
    <n v="844"/>
    <x v="91"/>
    <x v="1"/>
    <x v="0"/>
    <x v="3"/>
    <x v="1"/>
    <x v="26"/>
    <s v="PWEGPL"/>
    <s v="MSEDCL"/>
    <n v="2.5000000000000001E-2"/>
    <n v="207"/>
    <x v="309"/>
    <s v="BD"/>
    <d v="1899-12-30T21:55:00"/>
    <d v="1899-12-30T23:03:00"/>
    <d v="1899-12-30T23:13:00"/>
    <n v="1.133333333333332"/>
    <n v="0.16666666666666341"/>
    <n v="1.2999999999999954"/>
    <s v="Reboot &amp; Reset"/>
    <s v="Close"/>
    <n v="3.2499999999999883E-2"/>
    <s v="G06"/>
    <n v="75.833333333333073"/>
    <s v="None"/>
    <m/>
    <n v="1400"/>
    <n v="75.833333333333073"/>
    <m/>
    <m/>
    <m/>
    <m/>
  </r>
  <r>
    <n v="845"/>
    <x v="92"/>
    <x v="1"/>
    <x v="0"/>
    <x v="3"/>
    <x v="1"/>
    <x v="24"/>
    <s v="PWEGPL"/>
    <s v="MSEDCL"/>
    <n v="2.5000000000000001E-2"/>
    <n v="700"/>
    <x v="329"/>
    <s v="BD"/>
    <d v="1899-12-30T13:10:00"/>
    <d v="1899-12-30T14:20:00"/>
    <d v="1899-12-30T23:59:00"/>
    <n v="1.1666666666666679"/>
    <n v="9.65"/>
    <n v="10.816666666666668"/>
    <s v="Lambda power supply failuier"/>
    <s v="Open"/>
    <n v="0.27041666666666669"/>
    <s v="G22"/>
    <n v="4462.3256944444456"/>
    <s v="material shortage- pcb Lambda power supply failuier"/>
    <m/>
    <n v="9901"/>
    <n v="4462.3256944444456"/>
    <m/>
    <m/>
    <m/>
    <m/>
  </r>
  <r>
    <n v="846"/>
    <x v="92"/>
    <x v="1"/>
    <x v="0"/>
    <x v="3"/>
    <x v="1"/>
    <x v="26"/>
    <s v="PWEGPL"/>
    <s v="MSEDCL"/>
    <n v="2.5000000000000001E-2"/>
    <n v="207"/>
    <x v="309"/>
    <s v="BD"/>
    <d v="1899-12-30T08:50:00"/>
    <d v="1899-12-30T12:05:00"/>
    <d v="1899-12-30T12:30:00"/>
    <n v="3.2499999999999991"/>
    <n v="0.41666666666666785"/>
    <n v="3.666666666666667"/>
    <s v="Reboot &amp; Reset"/>
    <s v="Close"/>
    <n v="9.1666666666666674E-2"/>
    <s v="G01"/>
    <n v="565.73611111111109"/>
    <s v="None"/>
    <m/>
    <n v="3703"/>
    <n v="565.73611111111109"/>
    <m/>
    <m/>
    <m/>
    <m/>
  </r>
  <r>
    <n v="847"/>
    <x v="92"/>
    <x v="1"/>
    <x v="0"/>
    <x v="3"/>
    <x v="1"/>
    <x v="17"/>
    <s v="PWEGPL"/>
    <s v="MSEDCL"/>
    <n v="2.5000000000000001E-2"/>
    <n v="200"/>
    <x v="314"/>
    <s v="Manual stop"/>
    <d v="1899-12-30T15:00:00"/>
    <d v="1899-12-30T15:00:00"/>
    <d v="1899-12-30T15:38:00"/>
    <n v="0"/>
    <n v="0.63333333333333375"/>
    <n v="0.63333333333333375"/>
    <s v="PLC replaced"/>
    <s v="Close"/>
    <n v="1.5833333333333345E-2"/>
    <s v="G06"/>
    <n v="18.683333333333344"/>
    <s v="None"/>
    <m/>
    <n v="708"/>
    <n v="18.683333333333344"/>
    <m/>
    <m/>
    <m/>
    <m/>
  </r>
  <r>
    <n v="848"/>
    <x v="92"/>
    <x v="1"/>
    <x v="0"/>
    <x v="3"/>
    <x v="1"/>
    <x v="27"/>
    <s v="PWEGPL"/>
    <s v="MSEDCL"/>
    <n v="2.5000000000000001E-2"/>
    <n v="444"/>
    <x v="338"/>
    <s v="BD"/>
    <d v="1899-12-30T11:33:00"/>
    <d v="1899-12-30T12:10:00"/>
    <d v="1899-12-30T15:06:00"/>
    <n v="0.61666666666666581"/>
    <n v="2.9333333333333336"/>
    <n v="3.5499999999999994"/>
    <s v="Contactor replaced"/>
    <s v="Close"/>
    <n v="8.8749999999999996E-2"/>
    <s v="G10"/>
    <n v="539.15624999999989"/>
    <s v="None"/>
    <m/>
    <n v="3645"/>
    <n v="539.15624999999989"/>
    <m/>
    <m/>
    <m/>
    <m/>
  </r>
  <r>
    <n v="849"/>
    <x v="92"/>
    <x v="1"/>
    <x v="0"/>
    <x v="3"/>
    <x v="1"/>
    <x v="35"/>
    <s v="PWEGPL"/>
    <s v="MSEDCL"/>
    <n v="2.5000000000000001E-2"/>
    <n v="907"/>
    <x v="292"/>
    <s v="BD"/>
    <d v="1899-12-30T15:05:00"/>
    <d v="1899-12-30T16:10:00"/>
    <d v="1899-12-30T16:28:00"/>
    <n v="1.0833333333333348"/>
    <n v="0.29999999999999627"/>
    <n v="1.3833333333333311"/>
    <s v="Reboot &amp; Reset"/>
    <s v="Close"/>
    <n v="3.4583333333333278E-2"/>
    <s v="G22"/>
    <n v="73.950694444444323"/>
    <s v="None"/>
    <m/>
    <n v="1283"/>
    <n v="73.950694444444323"/>
    <m/>
    <m/>
    <m/>
    <m/>
  </r>
  <r>
    <n v="850"/>
    <x v="93"/>
    <x v="1"/>
    <x v="0"/>
    <x v="3"/>
    <x v="1"/>
    <x v="20"/>
    <s v="PWEGPL"/>
    <s v="MSEDCL"/>
    <n v="2.5000000000000001E-2"/>
    <n v="205"/>
    <x v="312"/>
    <s v="BD"/>
    <d v="1899-12-30T12:27:00"/>
    <d v="1899-12-30T13:10:00"/>
    <d v="1899-12-30T15:27:00"/>
    <n v="0.71666666666666679"/>
    <n v="2.2833333333333332"/>
    <n v="3"/>
    <s v="Oil top done"/>
    <s v="Close"/>
    <n v="7.5000000000000011E-2"/>
    <s v="G06"/>
    <n v="297.5"/>
    <s v="None"/>
    <m/>
    <n v="2380"/>
    <n v="297.5"/>
    <m/>
    <m/>
    <m/>
    <m/>
  </r>
  <r>
    <n v="851"/>
    <x v="93"/>
    <x v="1"/>
    <x v="0"/>
    <x v="3"/>
    <x v="1"/>
    <x v="23"/>
    <s v="PWEGPL"/>
    <s v="MSEDCL"/>
    <n v="2.5000000000000001E-2"/>
    <n v="2509"/>
    <x v="201"/>
    <s v="BD"/>
    <d v="1899-12-30T16:12:00"/>
    <d v="1899-12-30T17:20:00"/>
    <d v="1899-12-30T23:59:00"/>
    <n v="1.1333333333333346"/>
    <n v="6.65"/>
    <n v="7.783333333333335"/>
    <s v="generator motor cooling fan"/>
    <s v="Open"/>
    <n v="0.19458333333333339"/>
    <s v="G03"/>
    <n v="1655.5798611111115"/>
    <s v="Material shortage- Generator cooling fan"/>
    <m/>
    <n v="5105"/>
    <n v="1655.5798611111115"/>
    <m/>
    <m/>
    <m/>
    <m/>
  </r>
  <r>
    <n v="852"/>
    <x v="93"/>
    <x v="1"/>
    <x v="0"/>
    <x v="3"/>
    <x v="1"/>
    <x v="24"/>
    <s v="PWEGPL"/>
    <s v="MSEDCL"/>
    <n v="2.5000000000000001E-2"/>
    <n v="700"/>
    <x v="329"/>
    <s v="BD"/>
    <d v="1899-12-30T00:00:00"/>
    <d v="1899-12-30T00:00:00"/>
    <d v="1899-12-30T23:59:00"/>
    <n v="0"/>
    <n v="23.983333333333334"/>
    <n v="23.983333333333334"/>
    <s v="Lambda power supply failuier"/>
    <s v="Open"/>
    <n v="0.59958333333333336"/>
    <s v="G22"/>
    <n v="15751.054166666667"/>
    <s v="material shortage- pcb Lambda power supply failuier"/>
    <m/>
    <n v="15762"/>
    <n v="15751.054166666667"/>
    <m/>
    <m/>
    <m/>
    <m/>
  </r>
  <r>
    <n v="853"/>
    <x v="93"/>
    <x v="1"/>
    <x v="0"/>
    <x v="3"/>
    <x v="1"/>
    <x v="26"/>
    <s v="PWEGPL"/>
    <s v="MSEDCL"/>
    <n v="2.5000000000000001E-2"/>
    <n v="207"/>
    <x v="309"/>
    <s v="BD"/>
    <d v="1899-12-30T10:55:00"/>
    <d v="1899-12-30T11:34:00"/>
    <d v="1899-12-30T13:06:00"/>
    <n v="0.65000000000000036"/>
    <n v="1.5333333333333319"/>
    <n v="2.1833333333333322"/>
    <s v="bulluf sensor cable replaced"/>
    <s v="Close"/>
    <n v="5.458333333333331E-2"/>
    <s v="G01"/>
    <n v="135.27569444444438"/>
    <s v="None"/>
    <m/>
    <n v="1487"/>
    <n v="135.27569444444438"/>
    <m/>
    <m/>
    <m/>
    <m/>
  </r>
  <r>
    <n v="854"/>
    <x v="93"/>
    <x v="1"/>
    <x v="0"/>
    <x v="3"/>
    <x v="1"/>
    <x v="13"/>
    <s v="PWEGPL"/>
    <s v="MSEDCL"/>
    <n v="2.5000000000000001E-2"/>
    <n v="800"/>
    <x v="298"/>
    <s v="BD"/>
    <d v="1899-12-30T16:28:00"/>
    <d v="1899-12-30T17:30:00"/>
    <d v="1899-12-30T23:59:00"/>
    <n v="1.033333333333335"/>
    <n v="6.4833333333333343"/>
    <n v="7.5166666666666693"/>
    <s v="cable replaced solenoid valve"/>
    <s v="Close"/>
    <n v="0.18791666666666673"/>
    <s v="G34"/>
    <n v="1493.9375000000005"/>
    <s v="None"/>
    <m/>
    <n v="4770"/>
    <n v="1493.9375000000005"/>
    <m/>
    <m/>
    <m/>
    <m/>
  </r>
  <r>
    <n v="855"/>
    <x v="93"/>
    <x v="1"/>
    <x v="0"/>
    <x v="3"/>
    <x v="1"/>
    <x v="4"/>
    <s v="PWEGPL"/>
    <s v="MSEDCL"/>
    <n v="2.5000000000000001E-2"/>
    <n v="5203"/>
    <x v="294"/>
    <s v="BD"/>
    <d v="1899-12-30T18:15:00"/>
    <d v="1899-12-30T22:15:00"/>
    <d v="1899-12-30T23:55:00"/>
    <n v="4.0000000000000018"/>
    <n v="1.6666666666666661"/>
    <n v="5.6666666666666679"/>
    <s v="mpcb reset"/>
    <s v="Close"/>
    <n v="0.14166666666666669"/>
    <s v="G39"/>
    <n v="643.63888888888903"/>
    <s v="None"/>
    <m/>
    <n v="2726"/>
    <n v="643.63888888888903"/>
    <m/>
    <m/>
    <m/>
    <m/>
  </r>
  <r>
    <n v="856"/>
    <x v="94"/>
    <x v="1"/>
    <x v="0"/>
    <x v="3"/>
    <x v="1"/>
    <x v="20"/>
    <s v="PWEGPL"/>
    <s v="MSEDCL"/>
    <n v="2.5000000000000001E-2"/>
    <n v="205"/>
    <x v="312"/>
    <s v="BD"/>
    <d v="1899-12-30T15:03:00"/>
    <d v="1899-12-30T15:30:00"/>
    <d v="1899-12-30T15:49:00"/>
    <n v="0.45000000000000107"/>
    <n v="0.31666666666666554"/>
    <n v="0.76666666666666661"/>
    <s v="oil top up"/>
    <s v="Close"/>
    <n v="1.9166666666666665E-2"/>
    <s v="G06"/>
    <n v="20.348611111111111"/>
    <s v="None"/>
    <m/>
    <n v="637"/>
    <n v="20.348611111111111"/>
    <m/>
    <m/>
    <m/>
    <m/>
  </r>
  <r>
    <n v="857"/>
    <x v="94"/>
    <x v="1"/>
    <x v="0"/>
    <x v="3"/>
    <x v="1"/>
    <x v="23"/>
    <s v="PWEGPL"/>
    <s v="MSEDCL"/>
    <n v="2.5000000000000001E-2"/>
    <n v="2509"/>
    <x v="201"/>
    <s v="BD"/>
    <d v="1899-12-30T00:00:00"/>
    <d v="1899-12-30T00:00:00"/>
    <d v="1899-12-30T15:34:00"/>
    <n v="0"/>
    <n v="15.566666666666666"/>
    <n v="15.566666666666666"/>
    <s v="generator cooling motor replaced"/>
    <s v="Close"/>
    <n v="0.38916666666666666"/>
    <s v="G03"/>
    <n v="5875.7680555555553"/>
    <s v="None"/>
    <m/>
    <n v="9059"/>
    <n v="5875.7680555555553"/>
    <m/>
    <m/>
    <m/>
    <m/>
  </r>
  <r>
    <n v="858"/>
    <x v="94"/>
    <x v="1"/>
    <x v="0"/>
    <x v="3"/>
    <x v="1"/>
    <x v="24"/>
    <s v="PWEGPL"/>
    <s v="MSEDCL"/>
    <n v="2.5000000000000001E-2"/>
    <n v="700"/>
    <x v="329"/>
    <s v="BD"/>
    <d v="1899-12-30T00:00:00"/>
    <d v="1899-12-30T00:00:00"/>
    <d v="1899-12-30T12:25:00"/>
    <n v="0"/>
    <n v="12.416666666666664"/>
    <n v="12.416666666666664"/>
    <s v="Lambda power supply failuier"/>
    <s v="Close"/>
    <n v="0.31041666666666662"/>
    <s v="G22"/>
    <n v="5116.1840277777774"/>
    <s v="None"/>
    <m/>
    <n v="9889"/>
    <n v="5116.1840277777774"/>
    <m/>
    <m/>
    <m/>
    <m/>
  </r>
  <r>
    <n v="859"/>
    <x v="94"/>
    <x v="1"/>
    <x v="0"/>
    <x v="3"/>
    <x v="1"/>
    <x v="1"/>
    <s v="PWEGPL"/>
    <s v="MSEDCL"/>
    <n v="2.5000000000000001E-2"/>
    <n v="2102"/>
    <x v="320"/>
    <s v="BD"/>
    <d v="1899-12-30T14:55:00"/>
    <d v="1899-12-30T21:42:00"/>
    <d v="1899-12-30T22:50:00"/>
    <n v="6.7833333333333332"/>
    <n v="1.133333333333332"/>
    <n v="7.9166666666666652"/>
    <s v="AI module replaced"/>
    <s v="Close"/>
    <n v="0.19791666666666663"/>
    <s v="G22"/>
    <n v="2078.1249999999995"/>
    <s v="None"/>
    <m/>
    <n v="6300"/>
    <n v="2078.1249999999995"/>
    <m/>
    <m/>
    <m/>
    <m/>
  </r>
  <r>
    <n v="860"/>
    <x v="94"/>
    <x v="1"/>
    <x v="0"/>
    <x v="3"/>
    <x v="1"/>
    <x v="13"/>
    <s v="PWEGPL"/>
    <s v="MSEDCL"/>
    <n v="2.5000000000000001E-2"/>
    <n v="800"/>
    <x v="298"/>
    <s v="BD"/>
    <d v="1899-12-30T00:00:00"/>
    <d v="1899-12-30T00:00:00"/>
    <d v="1899-12-30T01:54:00"/>
    <n v="0"/>
    <n v="1.9"/>
    <n v="1.9"/>
    <s v="solenoid cacle repaired."/>
    <s v="Close"/>
    <n v="4.7500000000000001E-2"/>
    <s v="G34"/>
    <n v="114.2375"/>
    <s v="None"/>
    <m/>
    <n v="1443"/>
    <n v="114.2375"/>
    <m/>
    <m/>
    <m/>
    <m/>
  </r>
  <r>
    <n v="861"/>
    <x v="94"/>
    <x v="1"/>
    <x v="0"/>
    <x v="3"/>
    <x v="1"/>
    <x v="20"/>
    <s v="PWEGPL"/>
    <s v="MSEDCL"/>
    <n v="2.5000000000000001E-2"/>
    <n v="205"/>
    <x v="312"/>
    <s v="BD"/>
    <d v="1899-12-30T19:20:00"/>
    <d v="1899-12-30T23:30:00"/>
    <d v="1899-12-30T23:59:00"/>
    <n v="4.1666666666666679"/>
    <n v="0.48333333333333428"/>
    <n v="4.6500000000000021"/>
    <s v="Pitch cylender oil seal damaged"/>
    <s v="Open"/>
    <n v="0.11625000000000006"/>
    <s v="G06"/>
    <n v="774.22500000000036"/>
    <s v="Major activity"/>
    <m/>
    <n v="3996"/>
    <n v="774.22500000000036"/>
    <m/>
    <m/>
    <m/>
    <m/>
  </r>
  <r>
    <n v="862"/>
    <x v="95"/>
    <x v="1"/>
    <x v="0"/>
    <x v="3"/>
    <x v="1"/>
    <x v="20"/>
    <s v="PWEGPL"/>
    <s v="MSEDCL"/>
    <n v="2.5000000000000001E-2"/>
    <n v="205"/>
    <x v="312"/>
    <s v="BD"/>
    <d v="1899-12-30T00:00:00"/>
    <d v="1899-12-30T02:48:00"/>
    <d v="1899-12-30T18:05:00"/>
    <n v="2.8"/>
    <n v="15.283333333333331"/>
    <n v="18.083333333333332"/>
    <s v="Pitch cylender oil seal replaced"/>
    <s v="Close"/>
    <n v="0.45208333333333334"/>
    <s v="G07"/>
    <n v="13726.003472222221"/>
    <s v="Major activity"/>
    <m/>
    <n v="18217"/>
    <n v="13726.003472222221"/>
    <m/>
    <m/>
    <m/>
    <m/>
  </r>
  <r>
    <n v="863"/>
    <x v="95"/>
    <x v="1"/>
    <x v="0"/>
    <x v="3"/>
    <x v="1"/>
    <x v="17"/>
    <s v="PWEGPL"/>
    <s v="MSEDCL"/>
    <n v="2.5000000000000001E-2"/>
    <n v="222"/>
    <x v="323"/>
    <s v="BD"/>
    <d v="1899-12-30T09:45:00"/>
    <d v="1899-12-30T11:27:00"/>
    <d v="1899-12-30T13:21:00"/>
    <n v="1.6999999999999993"/>
    <n v="1.9000000000000012"/>
    <n v="3.6000000000000005"/>
    <s v="PRV 110 valve changed"/>
    <s v="Close"/>
    <n v="9.0000000000000024E-2"/>
    <s v="G10"/>
    <n v="544.95000000000005"/>
    <s v="None"/>
    <m/>
    <n v="3633"/>
    <n v="544.95000000000005"/>
    <m/>
    <m/>
    <m/>
    <m/>
  </r>
  <r>
    <n v="864"/>
    <x v="95"/>
    <x v="1"/>
    <x v="0"/>
    <x v="3"/>
    <x v="1"/>
    <x v="35"/>
    <s v="PWEGPL"/>
    <s v="MSEDCL"/>
    <n v="2.5000000000000001E-2"/>
    <n v="907"/>
    <x v="292"/>
    <s v="BD"/>
    <d v="1899-12-30T05:02:00"/>
    <d v="1899-12-30T05:26:00"/>
    <d v="1899-12-30T08:26:00"/>
    <n v="0.39999999999999991"/>
    <n v="3.0000000000000009"/>
    <n v="3.4000000000000004"/>
    <s v="Reboot Reset"/>
    <s v="Close"/>
    <n v="8.500000000000002E-2"/>
    <s v="G25"/>
    <n v="423.30000000000007"/>
    <s v="None"/>
    <m/>
    <n v="2988"/>
    <n v="423.30000000000007"/>
    <m/>
    <m/>
    <m/>
    <m/>
  </r>
  <r>
    <n v="865"/>
    <x v="95"/>
    <x v="1"/>
    <x v="0"/>
    <x v="3"/>
    <x v="1"/>
    <x v="6"/>
    <s v="PWEGPL"/>
    <s v="MSEDCL"/>
    <n v="2.5000000000000001E-2"/>
    <n v="800"/>
    <x v="298"/>
    <s v="BD"/>
    <d v="1899-12-30T15:24:00"/>
    <d v="1899-12-30T16:06:00"/>
    <d v="1899-12-30T17:21:00"/>
    <n v="0.70000000000000018"/>
    <n v="1.2500000000000009"/>
    <n v="1.9500000000000011"/>
    <s v="Short cable repaired"/>
    <s v="Close"/>
    <n v="4.8750000000000029E-2"/>
    <s v="G40"/>
    <n v="117.32500000000006"/>
    <s v="None"/>
    <m/>
    <n v="1444"/>
    <n v="117.32500000000006"/>
    <m/>
    <m/>
    <m/>
    <m/>
  </r>
  <r>
    <n v="866"/>
    <x v="95"/>
    <x v="1"/>
    <x v="0"/>
    <x v="3"/>
    <x v="1"/>
    <x v="6"/>
    <s v="PWEGPL"/>
    <s v="MSEDCL"/>
    <n v="2.5000000000000001E-2"/>
    <n v="800"/>
    <x v="298"/>
    <s v="BD"/>
    <d v="1899-12-30T18:32:00"/>
    <d v="1899-12-30T18:32:00"/>
    <d v="1899-12-30T23:51:00"/>
    <n v="0"/>
    <n v="5.3166666666666664"/>
    <n v="5.3166666666666664"/>
    <s v="Propotional valve changed"/>
    <s v="Close"/>
    <n v="0.13291666666666666"/>
    <s v="G40"/>
    <n v="872.59791666666661"/>
    <s v="None"/>
    <m/>
    <n v="3939"/>
    <n v="872.59791666666661"/>
    <m/>
    <m/>
    <m/>
    <m/>
  </r>
  <r>
    <n v="867"/>
    <x v="96"/>
    <x v="1"/>
    <x v="0"/>
    <x v="3"/>
    <x v="1"/>
    <x v="17"/>
    <s v="PWEGPL"/>
    <s v="MSEDCL"/>
    <n v="2.5000000000000001E-2"/>
    <n v="5217"/>
    <x v="339"/>
    <s v="BD"/>
    <d v="1899-12-30T01:40:00"/>
    <d v="1899-12-30T02:30:00"/>
    <d v="1899-12-30T03:09:00"/>
    <n v="0.8333333333333337"/>
    <n v="0.65"/>
    <n v="1.4833333333333338"/>
    <s v="Trouble shooting and reset"/>
    <s v="Close"/>
    <n v="3.708333333333335E-2"/>
    <s v="G06"/>
    <n v="79.605555555555583"/>
    <s v="None"/>
    <m/>
    <n v="1288"/>
    <n v="79.605555555555583"/>
    <m/>
    <m/>
    <m/>
    <m/>
  </r>
  <r>
    <n v="868"/>
    <x v="96"/>
    <x v="1"/>
    <x v="0"/>
    <x v="3"/>
    <x v="1"/>
    <x v="2"/>
    <s v="PWEGPL"/>
    <s v="MSEDCL"/>
    <n v="2.5000000000000001E-2"/>
    <n v="205"/>
    <x v="312"/>
    <s v="BD"/>
    <d v="1899-12-30T22:50:00"/>
    <d v="1899-12-30T23:30:00"/>
    <d v="1899-12-30T23:59:00"/>
    <n v="0.66666666666666696"/>
    <n v="0.48333333333333428"/>
    <n v="1.1500000000000012"/>
    <s v="oil top up"/>
    <s v="Close"/>
    <n v="2.8750000000000032E-2"/>
    <s v="G32"/>
    <n v="30.187500000000032"/>
    <s v="None"/>
    <m/>
    <n v="630"/>
    <n v="30.187500000000032"/>
    <m/>
    <m/>
    <m/>
    <m/>
  </r>
  <r>
    <n v="869"/>
    <x v="96"/>
    <x v="1"/>
    <x v="0"/>
    <x v="3"/>
    <x v="1"/>
    <x v="6"/>
    <s v="PWEGPL"/>
    <s v="MSEDCL"/>
    <n v="2.5000000000000001E-2"/>
    <n v="800"/>
    <x v="298"/>
    <s v="BD"/>
    <d v="1899-12-30T12:40:00"/>
    <d v="1899-12-30T13:45:00"/>
    <d v="1899-12-30T17:53:00"/>
    <n v="1.0833333333333321"/>
    <n v="4.1333333333333346"/>
    <n v="5.2166666666666668"/>
    <s v="AI module replaced"/>
    <s v="Close"/>
    <n v="0.13041666666666668"/>
    <s v="G40"/>
    <n v="665.99444444444453"/>
    <s v="None"/>
    <m/>
    <n v="3064"/>
    <n v="665.99444444444453"/>
    <m/>
    <m/>
    <m/>
    <m/>
  </r>
  <r>
    <n v="870"/>
    <x v="97"/>
    <x v="1"/>
    <x v="0"/>
    <x v="3"/>
    <x v="1"/>
    <x v="24"/>
    <s v="PWEGPL"/>
    <s v="MSEDCL"/>
    <n v="2.5000000000000001E-2"/>
    <n v="205"/>
    <x v="312"/>
    <s v="BD"/>
    <d v="1899-12-30T08:51:00"/>
    <d v="1899-12-30T10:14:00"/>
    <d v="1899-12-30T10:37:00"/>
    <n v="1.3833333333333337"/>
    <n v="0.38333333333333464"/>
    <n v="1.7666666666666684"/>
    <s v="oil topup"/>
    <s v="Close"/>
    <n v="4.4166666666666715E-2"/>
    <s v="G22"/>
    <n v="30.106944444444476"/>
    <s v="None"/>
    <m/>
    <n v="409"/>
    <n v="30.106944444444476"/>
    <m/>
    <m/>
    <m/>
    <m/>
  </r>
  <r>
    <n v="871"/>
    <x v="97"/>
    <x v="1"/>
    <x v="0"/>
    <x v="3"/>
    <x v="1"/>
    <x v="18"/>
    <s v="PWEGPL"/>
    <s v="MSEDCL"/>
    <n v="2.5000000000000001E-2"/>
    <n v="205"/>
    <x v="312"/>
    <s v="BD"/>
    <d v="1899-12-30T00:26:00"/>
    <d v="1899-12-30T01:04:00"/>
    <d v="1899-12-30T01:30:00"/>
    <n v="0.6333333333333333"/>
    <n v="0.43333333333333329"/>
    <n v="1.0666666666666664"/>
    <s v="oil top up"/>
    <s v="Close"/>
    <n v="2.6666666666666661E-2"/>
    <s v="G20"/>
    <n v="11.955555555555554"/>
    <s v="None"/>
    <m/>
    <n v="269"/>
    <n v="11.955555555555554"/>
    <m/>
    <m/>
    <m/>
    <m/>
  </r>
  <r>
    <n v="872"/>
    <x v="97"/>
    <x v="1"/>
    <x v="0"/>
    <x v="3"/>
    <x v="1"/>
    <x v="33"/>
    <s v="PWEGPL"/>
    <s v="MSEDCL"/>
    <n v="2.5000000000000001E-2"/>
    <n v="110"/>
    <x v="287"/>
    <s v="BD"/>
    <d v="1899-12-30T13:49:00"/>
    <d v="1899-12-30T14:22:00"/>
    <d v="1899-12-30T15:01:00"/>
    <n v="0.55000000000000071"/>
    <n v="0.65000000000000036"/>
    <n v="1.2000000000000011"/>
    <s v="untwist cable"/>
    <s v="Close"/>
    <n v="3.0000000000000027E-2"/>
    <s v="G20"/>
    <n v="15.100000000000014"/>
    <s v="None"/>
    <m/>
    <n v="302"/>
    <n v="15.100000000000014"/>
    <m/>
    <m/>
    <m/>
    <m/>
  </r>
  <r>
    <n v="873"/>
    <x v="97"/>
    <x v="1"/>
    <x v="0"/>
    <x v="3"/>
    <x v="1"/>
    <x v="3"/>
    <s v="PWEGPL"/>
    <s v="MSEDCL"/>
    <n v="2.5000000000000001E-2"/>
    <n v="110"/>
    <x v="287"/>
    <s v="BD"/>
    <d v="1899-12-30T21:24:00"/>
    <d v="1899-12-30T21:57:00"/>
    <d v="1899-12-30T22:40:00"/>
    <n v="0.55000000000000071"/>
    <n v="0.71666666666666945"/>
    <n v="1.2666666666666702"/>
    <s v="untwist cable"/>
    <s v="Close"/>
    <n v="3.1666666666666753E-2"/>
    <s v="G26"/>
    <n v="10.291666666666694"/>
    <s v="None"/>
    <m/>
    <n v="195"/>
    <n v="10.291666666666694"/>
    <m/>
    <m/>
    <m/>
    <m/>
  </r>
  <r>
    <n v="874"/>
    <x v="97"/>
    <x v="1"/>
    <x v="0"/>
    <x v="3"/>
    <x v="1"/>
    <x v="4"/>
    <s v="PWEGPL"/>
    <s v="MSEDCL"/>
    <n v="2.5000000000000001E-2"/>
    <n v="205"/>
    <x v="312"/>
    <s v="BD"/>
    <d v="1899-12-30T13:40:00"/>
    <d v="1899-12-30T13:40:00"/>
    <d v="1899-12-30T18:39:00"/>
    <n v="0"/>
    <n v="4.9833333333333316"/>
    <n v="4.9833333333333316"/>
    <s v="Oil hose pipe replaced"/>
    <s v="Close"/>
    <n v="0.1245833333333333"/>
    <s v="G38"/>
    <n v="164.03472222222214"/>
    <s v="None"/>
    <m/>
    <n v="790"/>
    <n v="164.03472222222214"/>
    <m/>
    <m/>
    <m/>
    <m/>
  </r>
  <r>
    <n v="875"/>
    <x v="97"/>
    <x v="1"/>
    <x v="0"/>
    <x v="3"/>
    <x v="1"/>
    <x v="6"/>
    <s v="PWEGPL"/>
    <s v="MSEDCL"/>
    <n v="2.5000000000000001E-2"/>
    <n v="800"/>
    <x v="298"/>
    <s v="BD"/>
    <d v="1899-12-30T16:50:00"/>
    <d v="1899-12-30T17:53:00"/>
    <d v="1899-12-30T18:51:00"/>
    <n v="1.0500000000000016"/>
    <n v="0.96666666666666856"/>
    <n v="2.0166666666666702"/>
    <s v="reboot reset"/>
    <s v="Close"/>
    <n v="5.0416666666666755E-2"/>
    <s v="G40"/>
    <n v="32.014583333333391"/>
    <s v="None"/>
    <m/>
    <n v="381"/>
    <n v="32.014583333333391"/>
    <m/>
    <m/>
    <m/>
    <m/>
  </r>
  <r>
    <n v="876"/>
    <x v="98"/>
    <x v="1"/>
    <x v="0"/>
    <x v="3"/>
    <x v="1"/>
    <x v="17"/>
    <s v="PWEGPL"/>
    <s v="MSEDCL"/>
    <n v="2.5000000000000001E-2"/>
    <n v="5217"/>
    <x v="339"/>
    <s v="BD"/>
    <d v="1899-12-30T03:14:00"/>
    <d v="1899-12-30T03:54:00"/>
    <d v="1899-12-30T04:06:00"/>
    <n v="0.66666666666666696"/>
    <n v="0.19999999999999929"/>
    <n v="0.86666666666666625"/>
    <s v="reboot reset"/>
    <s v="Close"/>
    <n v="2.1666666666666657E-2"/>
    <s v="G06"/>
    <n v="9.3527777777777725"/>
    <s v="None"/>
    <m/>
    <n v="259"/>
    <n v="9.3527777777777725"/>
    <m/>
    <m/>
    <m/>
    <m/>
  </r>
  <r>
    <n v="877"/>
    <x v="98"/>
    <x v="1"/>
    <x v="0"/>
    <x v="3"/>
    <x v="1"/>
    <x v="35"/>
    <s v="PWEGPL"/>
    <s v="MSEDCL"/>
    <n v="2.5000000000000001E-2"/>
    <n v="907"/>
    <x v="292"/>
    <s v="BD"/>
    <d v="1899-12-30T22:23:00"/>
    <d v="1899-12-30T23:21:00"/>
    <d v="1899-12-30T23:59:00"/>
    <n v="0.96666666666666856"/>
    <n v="0.63333333333333108"/>
    <n v="1.5999999999999996"/>
    <s v="reboot reset"/>
    <s v="Close"/>
    <n v="3.9999999999999994E-2"/>
    <s v="G25"/>
    <n v="25.599999999999994"/>
    <s v="None"/>
    <m/>
    <n v="384"/>
    <n v="25.599999999999994"/>
    <m/>
    <m/>
    <m/>
    <m/>
  </r>
  <r>
    <n v="878"/>
    <x v="98"/>
    <x v="1"/>
    <x v="0"/>
    <x v="3"/>
    <x v="1"/>
    <x v="15"/>
    <s v="PWEGPL"/>
    <s v="MSEDCL"/>
    <n v="2.5000000000000001E-2"/>
    <n v="2118"/>
    <x v="293"/>
    <s v="BD"/>
    <d v="1899-12-30T11:25:00"/>
    <d v="1899-12-30T12:47:00"/>
    <d v="1899-12-30T17:30:00"/>
    <n v="1.3666666666666671"/>
    <n v="4.7166666666666659"/>
    <n v="6.083333333333333"/>
    <s v="reboot reset"/>
    <s v="Close"/>
    <n v="0.15208333333333335"/>
    <s v="G36"/>
    <n v="396.17708333333331"/>
    <s v="Man power shortage- Team busy with G39- JACC team not available due to payment issue."/>
    <m/>
    <n v="1563"/>
    <n v="396.17708333333331"/>
    <m/>
    <m/>
    <m/>
    <m/>
  </r>
  <r>
    <n v="879"/>
    <x v="98"/>
    <x v="1"/>
    <x v="0"/>
    <x v="3"/>
    <x v="1"/>
    <x v="6"/>
    <s v="PWEGPL"/>
    <s v="MSEDCL"/>
    <n v="2.5000000000000001E-2"/>
    <n v="800"/>
    <x v="298"/>
    <s v="BD"/>
    <d v="1899-12-30T18:34:00"/>
    <d v="1899-12-30T20:02:00"/>
    <d v="1899-12-30T22:51:00"/>
    <n v="1.4666666666666668"/>
    <n v="2.8166666666666673"/>
    <n v="4.2833333333333341"/>
    <s v="reboot reset"/>
    <s v="Close"/>
    <n v="0.10708333333333336"/>
    <s v="G38"/>
    <n v="176.68750000000003"/>
    <s v="None"/>
    <m/>
    <n v="990"/>
    <n v="176.68750000000003"/>
    <m/>
    <m/>
    <m/>
    <m/>
  </r>
  <r>
    <n v="880"/>
    <x v="98"/>
    <x v="1"/>
    <x v="0"/>
    <x v="3"/>
    <x v="1"/>
    <x v="7"/>
    <s v="PWEGPL"/>
    <s v="MSEDCL"/>
    <n v="2.5000000000000001E-2"/>
    <n v="110"/>
    <x v="287"/>
    <s v="BD"/>
    <d v="1899-12-30T23:30:00"/>
    <d v="1899-12-30T23:59:00"/>
    <d v="1899-12-30T23:59:00"/>
    <n v="0.48333333333333428"/>
    <n v="0"/>
    <n v="0.48333333333333428"/>
    <s v="untwist cable"/>
    <s v="Close"/>
    <n v="1.2083333333333357E-2"/>
    <s v="G26"/>
    <n v="2.3159722222222268"/>
    <s v="None"/>
    <m/>
    <n v="115"/>
    <n v="2.3159722222222268"/>
    <m/>
    <m/>
    <m/>
    <m/>
  </r>
  <r>
    <n v="881"/>
    <x v="98"/>
    <x v="1"/>
    <x v="0"/>
    <x v="3"/>
    <x v="1"/>
    <x v="6"/>
    <s v="PWEGPL"/>
    <s v="MSEDCL"/>
    <n v="2.5000000000000001E-2"/>
    <n v="200"/>
    <x v="314"/>
    <s v="Manual stop"/>
    <d v="1899-12-30T12:25:00"/>
    <d v="1899-12-30T12:25:00"/>
    <d v="1899-12-30T17:46:00"/>
    <n v="0"/>
    <n v="5.35"/>
    <n v="5.35"/>
    <s v="accumulator replaced"/>
    <s v="Close"/>
    <n v="0.13375000000000001"/>
    <s v="G38"/>
    <n v="275.74791666666664"/>
    <s v="Major activity"/>
    <m/>
    <n v="1237"/>
    <n v="275.74791666666664"/>
    <m/>
    <m/>
    <m/>
    <m/>
  </r>
  <r>
    <n v="882"/>
    <x v="99"/>
    <x v="1"/>
    <x v="0"/>
    <x v="3"/>
    <x v="1"/>
    <x v="28"/>
    <s v="PWEGPL"/>
    <s v="MSEDCL"/>
    <n v="2.5000000000000001E-2"/>
    <n v="110"/>
    <x v="287"/>
    <s v="BD"/>
    <d v="1899-12-30T00:00:00"/>
    <d v="1899-12-30T02:36:00"/>
    <d v="1899-12-30T03:26:00"/>
    <n v="2.6"/>
    <n v="0.8333333333333337"/>
    <n v="3.4333333333333336"/>
    <s v="untwist cable"/>
    <s v="Close"/>
    <n v="8.5833333333333345E-2"/>
    <s v="G11"/>
    <n v="372.37361111111113"/>
    <s v="None"/>
    <m/>
    <n v="2603"/>
    <n v="372.37361111111113"/>
    <m/>
    <m/>
    <m/>
    <m/>
  </r>
  <r>
    <n v="883"/>
    <x v="99"/>
    <x v="1"/>
    <x v="0"/>
    <x v="3"/>
    <x v="1"/>
    <x v="3"/>
    <s v="PWEGPL"/>
    <s v="MSEDCL"/>
    <n v="2.5000000000000001E-2"/>
    <n v="205"/>
    <x v="312"/>
    <s v="BD"/>
    <d v="1899-12-30T15:03:00"/>
    <d v="1899-12-30T16:39:00"/>
    <d v="1899-12-30T17:01:00"/>
    <n v="1.5999999999999996"/>
    <n v="0.36666666666666536"/>
    <n v="1.966666666666665"/>
    <s v="oil topup hose replaced"/>
    <s v="Close"/>
    <n v="4.9166666666666629E-2"/>
    <s v="G26"/>
    <n v="75.798611111111043"/>
    <s v="None"/>
    <m/>
    <n v="925"/>
    <n v="75.798611111111043"/>
    <m/>
    <m/>
    <m/>
    <m/>
  </r>
  <r>
    <n v="884"/>
    <x v="99"/>
    <x v="1"/>
    <x v="0"/>
    <x v="3"/>
    <x v="1"/>
    <x v="15"/>
    <s v="PWEGPL"/>
    <s v="MSEDCL"/>
    <n v="2.5000000000000001E-2"/>
    <n v="700"/>
    <x v="329"/>
    <s v="BD"/>
    <d v="1899-12-30T03:12:00"/>
    <d v="1899-12-30T04:26:00"/>
    <d v="1899-12-30T04:35:00"/>
    <n v="1.2333333333333336"/>
    <n v="0.14999999999999947"/>
    <n v="1.3833333333333331"/>
    <s v="reboot reset"/>
    <s v="Close"/>
    <n v="3.4583333333333327E-2"/>
    <s v="G34"/>
    <n v="42.076388888888886"/>
    <s v="None"/>
    <m/>
    <n v="730"/>
    <n v="42.076388888888886"/>
    <m/>
    <m/>
    <m/>
    <m/>
  </r>
  <r>
    <n v="885"/>
    <x v="99"/>
    <x v="1"/>
    <x v="0"/>
    <x v="3"/>
    <x v="1"/>
    <x v="5"/>
    <s v="PWEGPL"/>
    <s v="MSEDCL"/>
    <n v="2.5000000000000001E-2"/>
    <n v="205"/>
    <x v="312"/>
    <s v="BD"/>
    <d v="1899-12-30T11:22:00"/>
    <d v="1899-12-30T12:19:00"/>
    <d v="1899-12-30T13:21:00"/>
    <n v="0.94999999999999796"/>
    <n v="1.033333333333335"/>
    <n v="1.9833333333333329"/>
    <s v="oil top up"/>
    <s v="Close"/>
    <n v="4.9583333333333326E-2"/>
    <s v="G37"/>
    <n v="77.184722222222206"/>
    <s v="None"/>
    <m/>
    <n v="934"/>
    <n v="77.184722222222206"/>
    <m/>
    <m/>
    <m/>
    <m/>
  </r>
  <r>
    <n v="886"/>
    <x v="99"/>
    <x v="1"/>
    <x v="0"/>
    <x v="3"/>
    <x v="1"/>
    <x v="6"/>
    <s v="PWEGPL"/>
    <s v="MSEDCL"/>
    <n v="2.5000000000000001E-2"/>
    <n v="200"/>
    <x v="314"/>
    <s v="Manual stop"/>
    <d v="1899-12-30T10:51:00"/>
    <d v="1899-12-30T10:51:00"/>
    <d v="1899-12-30T18:49:00"/>
    <n v="0"/>
    <n v="7.9666666666666668"/>
    <n v="7.9666666666666668"/>
    <s v="accumulator replaced"/>
    <s v="Close"/>
    <n v="0.19916666666666669"/>
    <s v="G37"/>
    <n v="1248.1111111111111"/>
    <s v="Major activity"/>
    <m/>
    <n v="3760"/>
    <n v="1248.1111111111111"/>
    <m/>
    <m/>
    <m/>
    <m/>
  </r>
  <r>
    <n v="887"/>
    <x v="99"/>
    <x v="1"/>
    <x v="0"/>
    <x v="3"/>
    <x v="1"/>
    <x v="7"/>
    <s v="PWEGPL"/>
    <s v="MSEDCL"/>
    <n v="2.5000000000000001E-2"/>
    <n v="5216"/>
    <x v="306"/>
    <s v="BD"/>
    <d v="1899-12-30T00:00:00"/>
    <d v="1899-12-30T01:10:00"/>
    <d v="1899-12-30T01:37:00"/>
    <n v="1.1666666666666667"/>
    <n v="0.4499999999999999"/>
    <n v="1.6166666666666667"/>
    <s v="untwist cable"/>
    <s v="Close"/>
    <n v="4.041666666666667E-2"/>
    <s v="G26"/>
    <n v="51.19444444444445"/>
    <s v="None"/>
    <m/>
    <n v="760"/>
    <n v="51.19444444444445"/>
    <m/>
    <m/>
    <m/>
    <m/>
  </r>
  <r>
    <n v="888"/>
    <x v="99"/>
    <x v="1"/>
    <x v="0"/>
    <x v="3"/>
    <x v="1"/>
    <x v="15"/>
    <s v="PWEGPL"/>
    <s v="MSEDCL"/>
    <n v="2.5000000000000001E-2"/>
    <n v="700"/>
    <x v="329"/>
    <s v="BD"/>
    <d v="1899-12-30T11:12:00"/>
    <d v="1899-12-30T11:22:00"/>
    <d v="1899-12-30T14:38:00"/>
    <n v="0.16666666666666874"/>
    <n v="3.2666666666666644"/>
    <n v="3.4333333333333331"/>
    <s v="reboot reset"/>
    <s v="Close"/>
    <n v="8.5833333333333331E-2"/>
    <s v="G34"/>
    <n v="259.50277777777774"/>
    <s v="None"/>
    <m/>
    <n v="1814"/>
    <n v="259.50277777777774"/>
    <m/>
    <m/>
    <m/>
    <m/>
  </r>
  <r>
    <n v="889"/>
    <x v="100"/>
    <x v="1"/>
    <x v="0"/>
    <x v="3"/>
    <x v="1"/>
    <x v="38"/>
    <s v="PWEGPL"/>
    <s v="MSEDCL"/>
    <n v="2.5000000000000001E-2"/>
    <n v="203"/>
    <x v="290"/>
    <s v="BD"/>
    <d v="1899-12-30T16:09:00"/>
    <d v="1899-12-30T16:39:00"/>
    <d v="1899-12-30T18:54:00"/>
    <n v="0.50000000000000089"/>
    <n v="2.25"/>
    <n v="2.7500000000000009"/>
    <s v="oil top up done"/>
    <s v="Close"/>
    <n v="6.8750000000000019E-2"/>
    <s v="G19"/>
    <n v="340.08333333333343"/>
    <s v="None"/>
    <m/>
    <n v="2968"/>
    <n v="340.08333333333343"/>
    <m/>
    <m/>
    <m/>
    <m/>
  </r>
  <r>
    <n v="890"/>
    <x v="101"/>
    <x v="1"/>
    <x v="0"/>
    <x v="3"/>
    <x v="1"/>
    <x v="29"/>
    <s v="PWEGPL"/>
    <s v="MSEDCL"/>
    <n v="2.5000000000000001E-2"/>
    <n v="523"/>
    <x v="335"/>
    <s v="BD"/>
    <d v="1899-12-30T12:05:00"/>
    <d v="1899-12-30T12:28:00"/>
    <d v="1899-12-30T15:16:00"/>
    <n v="0.38333333333333464"/>
    <n v="2.8000000000000007"/>
    <n v="3.1833333333333353"/>
    <s v="Radiator cleaned"/>
    <s v="Close"/>
    <n v="7.9583333333333395E-2"/>
    <s v="G-10"/>
    <n v="420.46527777777806"/>
    <s v="None"/>
    <m/>
    <n v="3170"/>
    <n v="420.46527777777806"/>
    <m/>
    <m/>
    <m/>
    <m/>
  </r>
  <r>
    <n v="891"/>
    <x v="101"/>
    <x v="1"/>
    <x v="0"/>
    <x v="3"/>
    <x v="1"/>
    <x v="38"/>
    <s v="PWEGPL"/>
    <s v="MSEDCL"/>
    <n v="2.5000000000000001E-2"/>
    <n v="203"/>
    <x v="290"/>
    <s v="Manual stop"/>
    <d v="1899-12-30T14:06:00"/>
    <d v="1899-12-30T14:06:00"/>
    <d v="1899-12-30T16:54:00"/>
    <n v="0"/>
    <n v="2.799999999999998"/>
    <n v="2.799999999999998"/>
    <s v="Hydraulic pump replaced"/>
    <s v="Close"/>
    <n v="6.9999999999999951E-2"/>
    <s v="G-19"/>
    <n v="320.94999999999976"/>
    <s v="None"/>
    <m/>
    <n v="2751"/>
    <n v="320.94999999999976"/>
    <m/>
    <m/>
    <m/>
    <m/>
  </r>
  <r>
    <n v="892"/>
    <x v="102"/>
    <x v="1"/>
    <x v="0"/>
    <x v="3"/>
    <x v="1"/>
    <x v="19"/>
    <s v="PWEGPL"/>
    <s v="MSEDCL"/>
    <n v="2.5000000000000001E-2"/>
    <n v="5227"/>
    <x v="340"/>
    <s v="BD"/>
    <d v="1899-12-30T17:43:00"/>
    <d v="1899-12-30T18:01:00"/>
    <d v="1899-12-30T18:20:00"/>
    <n v="0.3000000000000016"/>
    <n v="0.31666666666666554"/>
    <n v="0.61666666666666714"/>
    <s v="Mpcb reset"/>
    <s v="Close"/>
    <n v="1.5416666666666679E-2"/>
    <s v="G19"/>
    <n v="15.108333333333345"/>
    <s v="None"/>
    <m/>
    <n v="588"/>
    <n v="15.108333333333345"/>
    <m/>
    <m/>
    <m/>
    <m/>
  </r>
  <r>
    <n v="893"/>
    <x v="102"/>
    <x v="1"/>
    <x v="0"/>
    <x v="3"/>
    <x v="1"/>
    <x v="35"/>
    <s v="PWEGPL"/>
    <s v="MSEDCL"/>
    <n v="2.5000000000000001E-2"/>
    <n v="100"/>
    <x v="303"/>
    <s v="BD"/>
    <d v="1899-12-30T09:31:00"/>
    <d v="1899-12-30T15:15:00"/>
    <d v="1899-12-30T16:59:00"/>
    <n v="5.7333333333333316"/>
    <n v="1.7333333333333352"/>
    <n v="7.4666666666666668"/>
    <s v="cable twist sensor setting done."/>
    <s v="Close"/>
    <n v="0.18666666666666668"/>
    <s v="G25"/>
    <n v="1854.8444444444444"/>
    <s v="Delay to attend WTG due to Vehicle owner strike due to payment issue and man power shortage. Only two SGRE employee present at site."/>
    <m/>
    <n v="5962"/>
    <n v="1854.8444444444444"/>
    <m/>
    <m/>
    <m/>
    <m/>
  </r>
  <r>
    <n v="894"/>
    <x v="102"/>
    <x v="1"/>
    <x v="0"/>
    <x v="3"/>
    <x v="1"/>
    <x v="3"/>
    <s v="PWEGPL"/>
    <s v="MSEDCL"/>
    <n v="2.5000000000000001E-2"/>
    <n v="700"/>
    <x v="329"/>
    <s v="BD"/>
    <d v="1899-12-30T07:26:00"/>
    <d v="1899-12-30T11:35:00"/>
    <d v="1899-12-30T11:43:00"/>
    <n v="4.1500000000000004"/>
    <n v="0.13333333333333286"/>
    <n v="4.2833333333333332"/>
    <s v="reboot or reset"/>
    <s v="Close"/>
    <n v="0.10708333333333334"/>
    <s v="G26"/>
    <n v="500.97152777777774"/>
    <s v="Delay to attend WTG due to Vehicle owner strike due to payment issue and man power shortage. Only two SGRE employee present at site."/>
    <m/>
    <n v="2807"/>
    <n v="500.97152777777774"/>
    <m/>
    <m/>
    <m/>
    <m/>
  </r>
  <r>
    <n v="895"/>
    <x v="102"/>
    <x v="1"/>
    <x v="0"/>
    <x v="3"/>
    <x v="1"/>
    <x v="15"/>
    <s v="PWEGPL"/>
    <s v="MSEDCL"/>
    <n v="2.5000000000000001E-2"/>
    <n v="5224"/>
    <x v="341"/>
    <s v="BD"/>
    <d v="1899-12-30T08:44:00"/>
    <d v="1899-12-30T11:55:00"/>
    <d v="1899-12-30T15:24:00"/>
    <n v="3.1833333333333327"/>
    <n v="3.4833333333333356"/>
    <n v="6.6666666666666679"/>
    <s v="Slipring changed"/>
    <s v="Close"/>
    <n v="0.16666666666666671"/>
    <s v="G36"/>
    <n v="1084.166666666667"/>
    <s v="Delay to attend WTG due to Vehicle owner strike due to payment issue and man power shortage. Only two SGRE employee present at site."/>
    <m/>
    <n v="3903"/>
    <n v="1084.166666666667"/>
    <m/>
    <m/>
    <m/>
    <m/>
  </r>
  <r>
    <n v="896"/>
    <x v="103"/>
    <x v="1"/>
    <x v="0"/>
    <x v="3"/>
    <x v="1"/>
    <x v="17"/>
    <s v="PWEGPL"/>
    <s v="MSEDCL"/>
    <n v="2.5000000000000001E-2"/>
    <n v="5268"/>
    <x v="342"/>
    <s v="BD"/>
    <d v="1899-12-30T08:17:00"/>
    <d v="1899-12-30T10:10:00"/>
    <d v="1899-12-30T10:17:00"/>
    <n v="1.8833333333333333"/>
    <n v="0.11666666666666625"/>
    <n v="1.9999999999999996"/>
    <s v="reboot or reset"/>
    <s v="Close"/>
    <n v="4.9999999999999989E-2"/>
    <s v="G06"/>
    <n v="168.49999999999997"/>
    <s v="None"/>
    <m/>
    <n v="2022"/>
    <n v="168.49999999999997"/>
    <m/>
    <m/>
    <m/>
    <m/>
  </r>
  <r>
    <n v="897"/>
    <x v="103"/>
    <x v="1"/>
    <x v="0"/>
    <x v="3"/>
    <x v="1"/>
    <x v="30"/>
    <s v="PWEGPL"/>
    <s v="MSEDCL"/>
    <n v="2.5000000000000001E-2"/>
    <n v="203"/>
    <x v="290"/>
    <s v="BD"/>
    <d v="1899-12-30T06:30:00"/>
    <d v="1899-12-30T06:55:00"/>
    <d v="1899-12-30T07:03:00"/>
    <n v="0.41666666666666785"/>
    <n v="0.13333333333333286"/>
    <n v="0.55000000000000071"/>
    <s v="reboot or reset"/>
    <s v="Close"/>
    <n v="1.3750000000000019E-2"/>
    <s v="G13"/>
    <n v="10.289583333333345"/>
    <s v="None"/>
    <m/>
    <n v="449"/>
    <n v="10.289583333333345"/>
    <m/>
    <m/>
    <m/>
    <m/>
  </r>
  <r>
    <n v="898"/>
    <x v="103"/>
    <x v="1"/>
    <x v="0"/>
    <x v="3"/>
    <x v="1"/>
    <x v="0"/>
    <s v="PWEGPL"/>
    <s v="MSEDCL"/>
    <n v="2.5000000000000001E-2"/>
    <s v="CE100010"/>
    <x v="296"/>
    <s v="PM"/>
    <d v="1899-12-30T10:21:00"/>
    <d v="1899-12-30T10:21:00"/>
    <d v="1899-12-30T17:25:00"/>
    <n v="0"/>
    <n v="7.06666666666667"/>
    <n v="7.06666666666667"/>
    <s v="102 month PM done"/>
    <s v="Close"/>
    <n v="0.17666666666666675"/>
    <s v="G16"/>
    <n v="1466.0388888888897"/>
    <s v="None"/>
    <m/>
    <n v="4979"/>
    <n v="1466.0388888888897"/>
    <m/>
    <m/>
    <m/>
    <m/>
  </r>
  <r>
    <n v="899"/>
    <x v="103"/>
    <x v="1"/>
    <x v="0"/>
    <x v="3"/>
    <x v="1"/>
    <x v="3"/>
    <s v="PWEGPL"/>
    <s v="MSEDCL"/>
    <n v="2.5000000000000001E-2"/>
    <n v="205"/>
    <x v="312"/>
    <s v="BD"/>
    <d v="1899-12-30T11:41:00"/>
    <d v="1899-12-30T12:35:00"/>
    <d v="1899-12-30T14:17:00"/>
    <n v="0.9000000000000008"/>
    <n v="1.6999999999999993"/>
    <n v="2.6"/>
    <s v="oil topup"/>
    <s v="Close"/>
    <n v="6.5000000000000002E-2"/>
    <s v="G26"/>
    <n v="181.24166666666667"/>
    <s v="None"/>
    <m/>
    <n v="1673"/>
    <n v="181.24166666666667"/>
    <m/>
    <m/>
    <m/>
    <m/>
  </r>
  <r>
    <n v="900"/>
    <x v="104"/>
    <x v="1"/>
    <x v="0"/>
    <x v="3"/>
    <x v="1"/>
    <x v="20"/>
    <s v="PWEGPL"/>
    <s v="MSEDCL"/>
    <n v="2.5000000000000001E-2"/>
    <n v="125"/>
    <x v="343"/>
    <s v="BD"/>
    <d v="1899-12-30T16:43:00"/>
    <d v="1899-12-30T16:44:00"/>
    <d v="1899-12-30T17:38:00"/>
    <n v="1.6666666666669272E-2"/>
    <n v="0.8999999999999968"/>
    <n v="0.91666666666666607"/>
    <s v="reboot or reset"/>
    <s v="Close"/>
    <n v="2.2916666666666655E-2"/>
    <s v="G06"/>
    <n v="20.013888888888875"/>
    <s v="None"/>
    <m/>
    <n v="524"/>
    <n v="20.013888888888875"/>
    <m/>
    <m/>
    <m/>
    <m/>
  </r>
  <r>
    <n v="901"/>
    <x v="104"/>
    <x v="1"/>
    <x v="0"/>
    <x v="3"/>
    <x v="1"/>
    <x v="24"/>
    <s v="PWEGPL"/>
    <s v="MSEDCL"/>
    <n v="2.5000000000000001E-2"/>
    <n v="205"/>
    <x v="312"/>
    <s v="BD"/>
    <d v="1899-12-30T09:04:00"/>
    <d v="1899-12-30T10:29:00"/>
    <d v="1899-12-30T14:31:00"/>
    <n v="1.4166666666666656"/>
    <n v="4.0333333333333368"/>
    <n v="5.450000000000002"/>
    <s v="oil top up done"/>
    <s v="Close"/>
    <n v="0.13625000000000007"/>
    <s v="G22"/>
    <n v="574.06666666666683"/>
    <s v="None"/>
    <m/>
    <n v="2528"/>
    <n v="574.06666666666683"/>
    <m/>
    <m/>
    <m/>
    <m/>
  </r>
  <r>
    <n v="902"/>
    <x v="104"/>
    <x v="1"/>
    <x v="0"/>
    <x v="3"/>
    <x v="1"/>
    <x v="30"/>
    <s v="PWEGPL"/>
    <s v="MSEDCL"/>
    <n v="2.5000000000000001E-2"/>
    <n v="103"/>
    <x v="307"/>
    <s v="BD"/>
    <d v="1899-12-30T21:41:00"/>
    <d v="1899-12-30T22:17:00"/>
    <d v="1899-12-30T22:47:00"/>
    <n v="0.60000000000000053"/>
    <n v="0.50000000000000089"/>
    <n v="1.1000000000000014"/>
    <s v="reboot or reset"/>
    <s v="Close"/>
    <n v="2.7500000000000038E-2"/>
    <s v="G13"/>
    <n v="21.862500000000029"/>
    <s v="None"/>
    <m/>
    <n v="477"/>
    <n v="21.862500000000029"/>
    <m/>
    <m/>
    <m/>
    <m/>
  </r>
  <r>
    <n v="903"/>
    <x v="104"/>
    <x v="1"/>
    <x v="0"/>
    <x v="3"/>
    <x v="1"/>
    <x v="37"/>
    <s v="PWEGPL"/>
    <s v="MSEDCL"/>
    <n v="2.5000000000000001E-2"/>
    <n v="2102"/>
    <x v="320"/>
    <s v="BD"/>
    <d v="1899-12-30T23:12:00"/>
    <d v="1899-12-30T23:41:00"/>
    <d v="1899-12-30T23:48:00"/>
    <n v="0.48333333333333428"/>
    <n v="0.11666666666666625"/>
    <n v="0.60000000000000053"/>
    <s v="reboot or reset"/>
    <s v="Close"/>
    <n v="1.5000000000000013E-2"/>
    <s v="G17"/>
    <n v="7.6250000000000071"/>
    <s v="None"/>
    <m/>
    <n v="305"/>
    <n v="7.6250000000000071"/>
    <m/>
    <m/>
    <m/>
    <m/>
  </r>
  <r>
    <n v="904"/>
    <x v="104"/>
    <x v="1"/>
    <x v="0"/>
    <x v="3"/>
    <x v="1"/>
    <x v="38"/>
    <s v="PWEGPL"/>
    <s v="MSEDCL"/>
    <n v="2.5000000000000001E-2"/>
    <s v="CE100010"/>
    <x v="296"/>
    <s v="PM"/>
    <d v="1899-12-30T09:07:00"/>
    <d v="1899-12-30T09:07:00"/>
    <d v="1899-12-30T17:39:00"/>
    <n v="0"/>
    <n v="8.5333333333333314"/>
    <n v="8.5333333333333314"/>
    <s v="102 month PM done"/>
    <s v="Close"/>
    <n v="0.21333333333333329"/>
    <s v="G20"/>
    <n v="1877.6888888888884"/>
    <s v="None"/>
    <m/>
    <n v="5281"/>
    <n v="1877.6888888888884"/>
    <m/>
    <m/>
    <m/>
    <m/>
  </r>
  <r>
    <n v="905"/>
    <x v="104"/>
    <x v="1"/>
    <x v="0"/>
    <x v="3"/>
    <x v="1"/>
    <x v="18"/>
    <s v="PWEGPL"/>
    <s v="MSEDCL"/>
    <n v="2.5000000000000001E-2"/>
    <s v="CE100010"/>
    <x v="296"/>
    <s v="PM"/>
    <d v="1899-12-30T07:37:00"/>
    <d v="1899-12-30T07:37:00"/>
    <d v="1899-12-30T17:54:00"/>
    <n v="0"/>
    <n v="10.28333333333333"/>
    <n v="10.28333333333333"/>
    <s v="102 month PM done"/>
    <s v="Close"/>
    <n v="0.25708333333333327"/>
    <s v="G20"/>
    <n v="2726.7972222222215"/>
    <s v="None"/>
    <m/>
    <n v="6364"/>
    <n v="2726.7972222222215"/>
    <m/>
    <m/>
    <m/>
    <m/>
  </r>
  <r>
    <n v="906"/>
    <x v="104"/>
    <x v="1"/>
    <x v="0"/>
    <x v="3"/>
    <x v="1"/>
    <x v="34"/>
    <s v="PWEGPL"/>
    <s v="MSEDCL"/>
    <n v="2.5000000000000001E-2"/>
    <n v="205"/>
    <x v="312"/>
    <s v="BD"/>
    <d v="1899-12-30T08:51:00"/>
    <d v="1899-12-30T10:37:00"/>
    <d v="1899-12-30T11:05:00"/>
    <n v="1.7666666666666684"/>
    <n v="0.46666666666666634"/>
    <n v="2.2333333333333347"/>
    <s v="oil top up done"/>
    <s v="Close"/>
    <n v="5.5833333333333374E-2"/>
    <s v="G21"/>
    <n v="90.915277777777845"/>
    <s v="None"/>
    <m/>
    <n v="977"/>
    <n v="90.915277777777845"/>
    <m/>
    <m/>
    <m/>
    <m/>
  </r>
  <r>
    <n v="907"/>
    <x v="104"/>
    <x v="1"/>
    <x v="0"/>
    <x v="3"/>
    <x v="1"/>
    <x v="1"/>
    <s v="PWEGPL"/>
    <s v="MSEDCL"/>
    <n v="2.5000000000000001E-2"/>
    <n v="205"/>
    <x v="312"/>
    <s v="BD"/>
    <d v="1899-12-30T09:11:00"/>
    <d v="1899-12-30T11:18:00"/>
    <d v="1899-12-30T12:37:00"/>
    <n v="2.1166666666666671"/>
    <n v="1.316666666666666"/>
    <n v="3.4333333333333331"/>
    <s v="oil top up done"/>
    <s v="Close"/>
    <n v="8.5833333333333331E-2"/>
    <s v="G21"/>
    <n v="215.01249999999999"/>
    <s v="None"/>
    <m/>
    <n v="1503"/>
    <n v="215.01249999999999"/>
    <m/>
    <m/>
    <m/>
    <m/>
  </r>
  <r>
    <n v="908"/>
    <x v="104"/>
    <x v="1"/>
    <x v="0"/>
    <x v="3"/>
    <x v="1"/>
    <x v="35"/>
    <s v="PWEGPL"/>
    <s v="MSEDCL"/>
    <n v="2.5000000000000001E-2"/>
    <n v="118"/>
    <x v="313"/>
    <s v="BD"/>
    <d v="1899-12-30T11:43:00"/>
    <d v="1899-12-30T15:29:00"/>
    <d v="1899-12-30T15:49:00"/>
    <n v="3.7666666666666653"/>
    <n v="0.33333333333333481"/>
    <n v="4.0999999999999996"/>
    <s v="trouble shooting &amp; reboot or reset"/>
    <s v="Close"/>
    <n v="0.10249999999999999"/>
    <s v="G25"/>
    <n v="318.60416666666663"/>
    <s v="None"/>
    <m/>
    <n v="1865"/>
    <n v="318.60416666666663"/>
    <m/>
    <m/>
    <m/>
    <m/>
  </r>
  <r>
    <n v="909"/>
    <x v="105"/>
    <x v="1"/>
    <x v="0"/>
    <x v="3"/>
    <x v="1"/>
    <x v="20"/>
    <s v="PWEGPL"/>
    <s v="MSEDCL"/>
    <n v="2.5000000000000001E-2"/>
    <n v="700"/>
    <x v="329"/>
    <s v="BD"/>
    <d v="1899-12-30T15:22:00"/>
    <d v="1899-12-30T15:46:00"/>
    <d v="1899-12-30T17:19:00"/>
    <n v="0.39999999999999858"/>
    <n v="1.5499999999999998"/>
    <n v="1.9499999999999984"/>
    <s v="slipring cleaned"/>
    <s v="Close"/>
    <n v="4.874999999999996E-2"/>
    <s v="G06"/>
    <n v="53.543749999999953"/>
    <s v="None"/>
    <m/>
    <n v="659"/>
    <n v="53.543749999999953"/>
    <m/>
    <m/>
    <m/>
    <m/>
  </r>
  <r>
    <n v="910"/>
    <x v="105"/>
    <x v="1"/>
    <x v="0"/>
    <x v="3"/>
    <x v="1"/>
    <x v="30"/>
    <s v="PWEGPL"/>
    <s v="MSEDCL"/>
    <n v="2.5000000000000001E-2"/>
    <n v="119"/>
    <x v="344"/>
    <s v="BD"/>
    <d v="1899-12-30T13:07:00"/>
    <d v="1899-12-30T13:37:00"/>
    <d v="1899-12-30T15:08:00"/>
    <n v="0.49999999999999822"/>
    <n v="1.5166666666666666"/>
    <n v="2.0166666666666648"/>
    <s v="contactor replaced yaw"/>
    <s v="Close"/>
    <n v="5.0416666666666624E-2"/>
    <s v="G13"/>
    <n v="39.156944444444413"/>
    <s v="None"/>
    <m/>
    <n v="466"/>
    <n v="39.156944444444413"/>
    <m/>
    <m/>
    <m/>
    <m/>
  </r>
  <r>
    <n v="911"/>
    <x v="105"/>
    <x v="1"/>
    <x v="0"/>
    <x v="3"/>
    <x v="1"/>
    <x v="32"/>
    <s v="PWEGPL"/>
    <s v="MSEDCL"/>
    <n v="2.5000000000000001E-2"/>
    <s v="CE100010"/>
    <x v="296"/>
    <s v="PM"/>
    <d v="1899-12-30T10:46:00"/>
    <d v="1899-12-30T10:46:00"/>
    <d v="1899-12-30T17:29:00"/>
    <n v="0"/>
    <n v="6.7166666666666686"/>
    <n v="6.7166666666666686"/>
    <s v="102 month PM done"/>
    <s v="Close"/>
    <n v="0.16791666666666671"/>
    <s v="G15"/>
    <n v="430.14652777777792"/>
    <s v="None"/>
    <m/>
    <n v="1537"/>
    <n v="430.14652777777792"/>
    <m/>
    <m/>
    <m/>
    <m/>
  </r>
  <r>
    <n v="912"/>
    <x v="105"/>
    <x v="1"/>
    <x v="0"/>
    <x v="3"/>
    <x v="1"/>
    <x v="19"/>
    <s v="PWEGPL"/>
    <s v="MSEDCL"/>
    <n v="2.5000000000000001E-2"/>
    <s v="CE100010"/>
    <x v="296"/>
    <s v="PM"/>
    <d v="1899-12-30T10:27:00"/>
    <d v="1899-12-30T10:27:00"/>
    <d v="1899-12-30T17:45:00"/>
    <n v="0"/>
    <n v="7.3000000000000025"/>
    <n v="7.3000000000000025"/>
    <s v="102 month PM done"/>
    <s v="Close"/>
    <n v="0.18250000000000008"/>
    <s v="G19"/>
    <n v="699.88750000000027"/>
    <s v="None"/>
    <m/>
    <n v="2301"/>
    <n v="699.88750000000027"/>
    <m/>
    <m/>
    <m/>
    <m/>
  </r>
  <r>
    <n v="913"/>
    <x v="105"/>
    <x v="1"/>
    <x v="0"/>
    <x v="3"/>
    <x v="1"/>
    <x v="35"/>
    <s v="PWEGPL"/>
    <s v="MSEDCL"/>
    <n v="2.5000000000000001E-2"/>
    <n v="108"/>
    <x v="310"/>
    <s v="BD"/>
    <d v="1899-12-30T20:42:00"/>
    <d v="1899-12-30T22:30:00"/>
    <d v="1899-12-30T23:29:00"/>
    <n v="1.8000000000000016"/>
    <n v="0.98333333333333517"/>
    <n v="2.7833333333333368"/>
    <s v="untwist cable and reset"/>
    <s v="Close"/>
    <n v="6.9583333333333428E-2"/>
    <s v="G25"/>
    <n v="89.646527777777891"/>
    <s v="None"/>
    <m/>
    <n v="773"/>
    <n v="89.646527777777891"/>
    <m/>
    <m/>
    <m/>
    <m/>
  </r>
  <r>
    <n v="914"/>
    <x v="105"/>
    <x v="1"/>
    <x v="0"/>
    <x v="3"/>
    <x v="1"/>
    <x v="7"/>
    <s v="PWEGPL"/>
    <s v="MSEDCL"/>
    <n v="2.5000000000000001E-2"/>
    <n v="1894"/>
    <x v="325"/>
    <s v="BD"/>
    <d v="1899-12-30T09:43:00"/>
    <d v="1899-12-30T11:25:00"/>
    <d v="1899-12-30T12:01:00"/>
    <n v="1.6999999999999993"/>
    <n v="0.60000000000000053"/>
    <n v="2.2999999999999998"/>
    <s v="MCB RESET"/>
    <s v="Close"/>
    <n v="5.7499999999999996E-2"/>
    <s v="G39"/>
    <n v="23.287499999999998"/>
    <s v="None"/>
    <m/>
    <n v="243"/>
    <n v="23.287499999999998"/>
    <m/>
    <m/>
    <m/>
    <m/>
  </r>
  <r>
    <n v="915"/>
    <x v="106"/>
    <x v="1"/>
    <x v="0"/>
    <x v="3"/>
    <x v="1"/>
    <x v="25"/>
    <s v="PWEGPL"/>
    <s v="MSEDCL"/>
    <n v="2.5000000000000001E-2"/>
    <n v="205"/>
    <x v="312"/>
    <s v="BD"/>
    <d v="1899-12-30T18:48:00"/>
    <d v="1899-12-30T21:39:00"/>
    <d v="1899-12-30T22:41:00"/>
    <n v="2.8499999999999979"/>
    <n v="1.033333333333335"/>
    <n v="3.8833333333333329"/>
    <s v="Oil Topup"/>
    <s v="Close"/>
    <n v="9.7083333333333327E-2"/>
    <s v="G03"/>
    <n v="114.07291666666666"/>
    <s v="None"/>
    <m/>
    <n v="705"/>
    <n v="114.07291666666666"/>
    <m/>
    <m/>
    <m/>
    <m/>
  </r>
  <r>
    <n v="916"/>
    <x v="106"/>
    <x v="1"/>
    <x v="0"/>
    <x v="3"/>
    <x v="1"/>
    <x v="17"/>
    <s v="PWEGPL"/>
    <s v="MSEDCL"/>
    <n v="2.5000000000000001E-2"/>
    <n v="5254"/>
    <x v="333"/>
    <s v="BD"/>
    <d v="1899-12-30T16:16:00"/>
    <d v="1899-12-30T16:38:00"/>
    <d v="1899-12-30T16:49:00"/>
    <n v="0.36666666666666803"/>
    <n v="0.18333333333333268"/>
    <n v="0.55000000000000071"/>
    <s v="Rebot &amp; Reset"/>
    <s v="Close"/>
    <n v="1.3750000000000019E-2"/>
    <s v="G03"/>
    <n v="2.0625000000000027"/>
    <s v="None"/>
    <m/>
    <n v="90"/>
    <n v="2.0625000000000027"/>
    <m/>
    <m/>
    <m/>
    <m/>
  </r>
  <r>
    <n v="917"/>
    <x v="106"/>
    <x v="1"/>
    <x v="0"/>
    <x v="3"/>
    <x v="1"/>
    <x v="30"/>
    <s v="PWEGPL"/>
    <s v="MSEDCL"/>
    <n v="2.5000000000000001E-2"/>
    <s v="CE100010"/>
    <x v="296"/>
    <s v="PM"/>
    <d v="1899-12-30T10:26:00"/>
    <d v="1899-12-30T10:26:00"/>
    <d v="1899-12-30T17:16:00"/>
    <n v="0"/>
    <n v="6.833333333333333"/>
    <n v="6.833333333333333"/>
    <s v="102 month PM done"/>
    <s v="Close"/>
    <n v="0.17083333333333334"/>
    <s v="G14"/>
    <n v="341.66666666666663"/>
    <s v="None"/>
    <m/>
    <n v="1200"/>
    <n v="341.66666666666663"/>
    <m/>
    <m/>
    <m/>
    <m/>
  </r>
  <r>
    <n v="918"/>
    <x v="106"/>
    <x v="1"/>
    <x v="0"/>
    <x v="3"/>
    <x v="1"/>
    <x v="31"/>
    <s v="PWEGPL"/>
    <s v="MSEDCL"/>
    <n v="2.5000000000000001E-2"/>
    <s v="CE100010"/>
    <x v="296"/>
    <s v="PM"/>
    <d v="1899-12-30T10:23:00"/>
    <d v="1899-12-30T10:23:00"/>
    <d v="1899-12-30T17:29:00"/>
    <n v="0"/>
    <n v="7.1000000000000032"/>
    <n v="7.1000000000000032"/>
    <s v="102 month PM done"/>
    <s v="Close"/>
    <n v="0.1775000000000001"/>
    <s v="G14"/>
    <n v="360.32500000000016"/>
    <s v="None"/>
    <m/>
    <n v="1218"/>
    <n v="360.32500000000016"/>
    <m/>
    <m/>
    <m/>
    <m/>
  </r>
  <r>
    <n v="919"/>
    <x v="106"/>
    <x v="1"/>
    <x v="0"/>
    <x v="3"/>
    <x v="1"/>
    <x v="18"/>
    <s v="PWEGPL"/>
    <s v="MSEDCL"/>
    <n v="2.5000000000000001E-2"/>
    <n v="916"/>
    <x v="345"/>
    <s v="BD"/>
    <d v="1899-12-30T10:25:00"/>
    <d v="1899-12-30T15:23:00"/>
    <d v="1899-12-30T15:35:00"/>
    <n v="4.9666666666666668"/>
    <n v="0.20000000000000195"/>
    <n v="5.1666666666666679"/>
    <s v="Rebot &amp; Reset"/>
    <s v="Close"/>
    <n v="0.12916666666666671"/>
    <s v="G20"/>
    <n v="331.52777777777789"/>
    <s v="None"/>
    <m/>
    <n v="1540"/>
    <n v="331.52777777777789"/>
    <m/>
    <m/>
    <m/>
    <m/>
  </r>
  <r>
    <n v="920"/>
    <x v="106"/>
    <x v="1"/>
    <x v="0"/>
    <x v="3"/>
    <x v="1"/>
    <x v="1"/>
    <s v="PWEGPL"/>
    <s v="MSEDCL"/>
    <n v="2.5000000000000001E-2"/>
    <n v="222"/>
    <x v="323"/>
    <s v="BD"/>
    <d v="1899-12-30T11:21:00"/>
    <d v="1899-12-30T14:23:00"/>
    <d v="1899-12-30T15:34:00"/>
    <n v="3.0333333333333332"/>
    <n v="1.1833333333333345"/>
    <n v="4.2166666666666677"/>
    <s v="Rebot &amp; Reset"/>
    <s v="Close"/>
    <n v="0.1054166666666667"/>
    <s v="G22"/>
    <n v="175.34305555555559"/>
    <s v="None"/>
    <m/>
    <n v="998"/>
    <n v="175.34305555555559"/>
    <m/>
    <m/>
    <m/>
    <m/>
  </r>
  <r>
    <n v="921"/>
    <x v="106"/>
    <x v="1"/>
    <x v="0"/>
    <x v="3"/>
    <x v="1"/>
    <x v="9"/>
    <s v="PWEGPL"/>
    <s v="MSEDCL"/>
    <n v="2.5000000000000001E-2"/>
    <n v="115"/>
    <x v="308"/>
    <s v="BD"/>
    <d v="1899-12-30T13:11:00"/>
    <d v="1899-12-30T14:23:00"/>
    <d v="1899-12-30T14:59:00"/>
    <n v="1.1999999999999984"/>
    <n v="0.60000000000000053"/>
    <n v="1.7999999999999989"/>
    <s v="hydraulic relay changed"/>
    <s v="Close"/>
    <n v="4.4999999999999978E-2"/>
    <s v="G29"/>
    <n v="31.72499999999998"/>
    <s v="None"/>
    <m/>
    <n v="423"/>
    <n v="31.72499999999998"/>
    <m/>
    <m/>
    <m/>
    <m/>
  </r>
  <r>
    <n v="922"/>
    <x v="106"/>
    <x v="1"/>
    <x v="0"/>
    <x v="3"/>
    <x v="1"/>
    <x v="12"/>
    <s v="PWEGPL"/>
    <s v="MSEDCL"/>
    <n v="2.5000000000000001E-2"/>
    <n v="1894"/>
    <x v="325"/>
    <s v="BD"/>
    <s v="05:59"/>
    <d v="1899-12-30T07:19:00"/>
    <d v="1899-12-30T07:53:00"/>
    <n v="1.3333333333333326"/>
    <n v="0.56666666666666732"/>
    <n v="1.9"/>
    <s v="Rebot &amp; Reset"/>
    <s v="Close"/>
    <n v="4.7500000000000001E-2"/>
    <s v="G29"/>
    <n v="31.74583333333333"/>
    <s v="None"/>
    <m/>
    <n v="401"/>
    <n v="31.74583333333333"/>
    <m/>
    <m/>
    <m/>
    <m/>
  </r>
  <r>
    <n v="923"/>
    <x v="106"/>
    <x v="1"/>
    <x v="0"/>
    <x v="3"/>
    <x v="1"/>
    <x v="35"/>
    <s v="PWEGPL"/>
    <s v="MSEDCL"/>
    <n v="2.5000000000000001E-2"/>
    <s v="CE100001"/>
    <x v="288"/>
    <s v="Manual stop"/>
    <d v="1899-12-30T10:47:00"/>
    <d v="1899-12-30T10:47:00"/>
    <d v="1899-12-30T13:33:00"/>
    <n v="0"/>
    <n v="2.7666666666666662"/>
    <n v="2.7666666666666662"/>
    <s v="Troubleshooting work"/>
    <s v="Close"/>
    <n v="6.9166666666666654E-2"/>
    <s v="G25"/>
    <n v="76.774999999999991"/>
    <s v="None"/>
    <m/>
    <n v="666"/>
    <n v="76.774999999999991"/>
    <m/>
    <m/>
    <m/>
    <m/>
  </r>
  <r>
    <n v="924"/>
    <x v="107"/>
    <x v="1"/>
    <x v="0"/>
    <x v="4"/>
    <x v="1"/>
    <x v="24"/>
    <s v="PWEGPL"/>
    <s v="MSEDCL"/>
    <n v="2.5000000000000001E-2"/>
    <n v="205"/>
    <x v="312"/>
    <s v="BD"/>
    <d v="1899-12-30T09:42:00"/>
    <d v="1899-12-30T10:00:00"/>
    <d v="1899-12-30T14:23:00"/>
    <n v="0.3000000000000016"/>
    <n v="4.3833333333333329"/>
    <n v="4.6833333333333336"/>
    <s v="oil topup &amp; generator slipring fan changed"/>
    <s v="Close"/>
    <n v="0.11708333333333334"/>
    <s v="G22"/>
    <n v="404.13263888888895"/>
    <s v="None"/>
    <s v="WTG Breakdown Maintenance"/>
    <n v="2071"/>
    <n v="404.13263888888895"/>
    <m/>
    <m/>
    <m/>
    <m/>
  </r>
  <r>
    <n v="925"/>
    <x v="107"/>
    <x v="1"/>
    <x v="0"/>
    <x v="4"/>
    <x v="1"/>
    <x v="17"/>
    <s v="PWEGPL"/>
    <s v="MSEDCL"/>
    <n v="2.5000000000000001E-2"/>
    <s v="CE100010"/>
    <x v="296"/>
    <s v="PM"/>
    <d v="1899-12-30T10:41:00"/>
    <d v="1899-12-30T10:41:00"/>
    <d v="1899-12-30T18:11:00"/>
    <n v="0"/>
    <n v="7.4999999999999982"/>
    <n v="7.4999999999999982"/>
    <s v="102 month PM done"/>
    <s v="Close"/>
    <n v="0.18749999999999997"/>
    <s v="G06"/>
    <n v="837.81249999999977"/>
    <s v="None"/>
    <s v="WTG Scheduled Maintenance"/>
    <n v="2681"/>
    <n v="837.81249999999977"/>
    <m/>
    <m/>
    <m/>
    <m/>
  </r>
  <r>
    <n v="926"/>
    <x v="107"/>
    <x v="1"/>
    <x v="0"/>
    <x v="4"/>
    <x v="1"/>
    <x v="27"/>
    <s v="PWEGPL"/>
    <s v="MSEDCL"/>
    <n v="2.5000000000000001E-2"/>
    <s v="CE100010"/>
    <x v="296"/>
    <s v="PM"/>
    <d v="1899-12-30T07:43:00"/>
    <d v="1899-12-30T07:43:00"/>
    <d v="1899-12-30T15:04:00"/>
    <n v="0"/>
    <n v="7.35"/>
    <n v="7.35"/>
    <s v="102 month PM done"/>
    <s v="Close"/>
    <n v="0.18375"/>
    <s v="G12"/>
    <n v="725.8125"/>
    <s v="None"/>
    <s v="WTG Scheduled Maintenance"/>
    <n v="2370"/>
    <n v="725.8125"/>
    <m/>
    <m/>
    <m/>
    <m/>
  </r>
  <r>
    <n v="927"/>
    <x v="107"/>
    <x v="1"/>
    <x v="0"/>
    <x v="4"/>
    <x v="1"/>
    <x v="3"/>
    <s v="PWEGPL"/>
    <s v="MSEDCL"/>
    <n v="2.5000000000000001E-2"/>
    <n v="700"/>
    <x v="329"/>
    <s v="BD"/>
    <d v="1899-12-30T21:04:00"/>
    <d v="1899-12-30T22:30:00"/>
    <d v="1899-12-30T22:53:00"/>
    <n v="1.4333333333333336"/>
    <n v="0.38333333333333197"/>
    <n v="1.8166666666666655"/>
    <s v="Reboot &amp; Reset"/>
    <s v="Close"/>
    <n v="4.541666666666664E-2"/>
    <s v="G26"/>
    <n v="62.599305555555524"/>
    <s v="None"/>
    <s v="WTG Breakdown Maintenance"/>
    <n v="827"/>
    <n v="62.599305555555524"/>
    <m/>
    <m/>
    <m/>
    <m/>
  </r>
  <r>
    <n v="928"/>
    <x v="107"/>
    <x v="1"/>
    <x v="0"/>
    <x v="4"/>
    <x v="1"/>
    <x v="17"/>
    <s v="PWEGPL"/>
    <s v="MSEDCL"/>
    <n v="2.5000000000000001E-2"/>
    <n v="5228"/>
    <x v="346"/>
    <s v="BD"/>
    <d v="1899-12-30T20:30:00"/>
    <d v="1899-12-30T21:22:00"/>
    <d v="1899-12-30T23:59:00"/>
    <n v="0.86666666666666892"/>
    <n v="2.6166666666666654"/>
    <n v="3.4833333333333343"/>
    <s v="Troubleshooting work"/>
    <s v="Close"/>
    <n v="8.708333333333336E-2"/>
    <s v="G06"/>
    <n v="180.55277777777783"/>
    <s v="None"/>
    <s v="WTG Breakdown Maintenance"/>
    <n v="1244"/>
    <n v="180.55277777777783"/>
    <m/>
    <m/>
    <m/>
    <m/>
  </r>
  <r>
    <n v="929"/>
    <x v="107"/>
    <x v="1"/>
    <x v="0"/>
    <x v="4"/>
    <x v="1"/>
    <x v="27"/>
    <s v="PWEGPL"/>
    <s v="MSEDCL"/>
    <n v="2.5000000000000001E-2"/>
    <n v="502"/>
    <x v="347"/>
    <s v="BD"/>
    <d v="1899-12-30T23:18:00"/>
    <d v="1899-12-30T23:24:00"/>
    <d v="1899-12-30T23:30:00"/>
    <n v="9.9999999999999645E-2"/>
    <n v="9.9999999999999645E-2"/>
    <n v="0.19999999999999929"/>
    <s v="Reboot &amp; Reset"/>
    <s v="Close"/>
    <n v="4.9999999999999828E-3"/>
    <s v="G12"/>
    <n v="0.53333333333333144"/>
    <s v="None"/>
    <s v="WTG Breakdown Maintenance"/>
    <n v="64"/>
    <n v="0.53333333333333144"/>
    <m/>
    <m/>
    <m/>
    <m/>
  </r>
  <r>
    <n v="930"/>
    <x v="108"/>
    <x v="1"/>
    <x v="0"/>
    <x v="4"/>
    <x v="1"/>
    <x v="17"/>
    <s v="PWEGPL"/>
    <s v="MSEDCL"/>
    <n v="2.5000000000000001E-2"/>
    <n v="5228"/>
    <x v="346"/>
    <s v="BD"/>
    <d v="1899-12-30T00:00:00"/>
    <d v="1899-12-30T00:00:00"/>
    <d v="1899-12-30T00:46:00"/>
    <n v="0"/>
    <n v="0.76666666666666683"/>
    <n v="0.76666666666666683"/>
    <s v="Troubleshooting work"/>
    <s v="Close"/>
    <n v="1.9166666666666672E-2"/>
    <s v="G06"/>
    <n v="27.025000000000006"/>
    <s v="None"/>
    <s v="WTG Breakdown Maintenance"/>
    <n v="846"/>
    <n v="27.025000000000006"/>
    <m/>
    <m/>
    <m/>
    <m/>
  </r>
  <r>
    <n v="931"/>
    <x v="108"/>
    <x v="1"/>
    <x v="0"/>
    <x v="4"/>
    <x v="1"/>
    <x v="27"/>
    <s v="PWEGPL"/>
    <s v="MSEDCL"/>
    <n v="2.5000000000000001E-2"/>
    <n v="502"/>
    <x v="347"/>
    <s v="BD"/>
    <d v="1899-12-30T01:12:00"/>
    <d v="1899-12-30T04:00:00"/>
    <d v="1899-12-30T04:10:00"/>
    <n v="2.8"/>
    <n v="0.16666666666666741"/>
    <n v="2.9666666666666677"/>
    <s v="reboot &amp;reset"/>
    <s v="Close"/>
    <n v="7.41666666666667E-2"/>
    <s v="G12"/>
    <n v="278.86666666666679"/>
    <s v="None"/>
    <s v="WTG Breakdown Maintenance"/>
    <n v="2256"/>
    <n v="278.86666666666679"/>
    <m/>
    <m/>
    <m/>
    <m/>
  </r>
  <r>
    <n v="932"/>
    <x v="108"/>
    <x v="1"/>
    <x v="0"/>
    <x v="4"/>
    <x v="1"/>
    <x v="28"/>
    <s v="PWEGPL"/>
    <s v="MSEDCL"/>
    <n v="2.5000000000000001E-2"/>
    <s v="CE100010"/>
    <x v="296"/>
    <s v="PM"/>
    <d v="1899-12-30T07:56:00"/>
    <d v="1899-12-30T07:56:00"/>
    <d v="1899-12-30T15:20:00"/>
    <n v="0"/>
    <n v="7.4000000000000021"/>
    <n v="7.4000000000000021"/>
    <s v="102 month PM done"/>
    <s v="Close"/>
    <n v="0.18500000000000005"/>
    <s v="G12"/>
    <n v="1733.1416666666673"/>
    <s v="None"/>
    <s v="WTG Scheduled Maintenance"/>
    <n v="5621"/>
    <n v="1733.1416666666673"/>
    <m/>
    <m/>
    <m/>
    <m/>
  </r>
  <r>
    <n v="933"/>
    <x v="108"/>
    <x v="1"/>
    <x v="0"/>
    <x v="4"/>
    <x v="1"/>
    <x v="29"/>
    <s v="PWEGPL"/>
    <s v="MSEDCL"/>
    <n v="2.5000000000000001E-2"/>
    <s v="CE100010"/>
    <x v="296"/>
    <s v="PM"/>
    <d v="1899-12-30T10:37:00"/>
    <d v="1899-12-30T10:37:00"/>
    <d v="1899-12-30T17:33:00"/>
    <n v="0"/>
    <n v="6.9333333333333336"/>
    <n v="6.9333333333333336"/>
    <s v="102 month PM done"/>
    <s v="Close"/>
    <n v="0.17333333333333334"/>
    <s v="G12"/>
    <n v="1520.7111111111112"/>
    <s v="None"/>
    <s v="WTG Scheduled Maintenance"/>
    <n v="5264"/>
    <n v="1520.7111111111112"/>
    <m/>
    <m/>
    <m/>
    <m/>
  </r>
  <r>
    <n v="934"/>
    <x v="108"/>
    <x v="1"/>
    <x v="0"/>
    <x v="4"/>
    <x v="1"/>
    <x v="0"/>
    <s v="PWEGPL"/>
    <s v="MSEDCL"/>
    <n v="2.5000000000000001E-2"/>
    <n v="502"/>
    <x v="347"/>
    <s v="BD"/>
    <d v="1899-12-30T04:35:00"/>
    <d v="1899-12-30T05:30:00"/>
    <d v="1899-12-30T05:48:00"/>
    <n v="0.91666666666666674"/>
    <n v="0.30000000000000027"/>
    <n v="1.216666666666667"/>
    <s v="Rebot &amp; Reset"/>
    <s v="Close"/>
    <n v="3.0416666666666675E-2"/>
    <s v="G18"/>
    <n v="76.041666666666686"/>
    <s v="None"/>
    <s v="WTG Breakdown Maintenance"/>
    <n v="1500"/>
    <n v="76.041666666666686"/>
    <m/>
    <m/>
    <m/>
    <m/>
  </r>
  <r>
    <n v="935"/>
    <x v="108"/>
    <x v="1"/>
    <x v="0"/>
    <x v="4"/>
    <x v="1"/>
    <x v="18"/>
    <s v="PWEGPL"/>
    <s v="MSEDCL"/>
    <n v="2.5000000000000001E-2"/>
    <n v="502"/>
    <x v="347"/>
    <s v="BD"/>
    <d v="1899-12-30T03:00:00"/>
    <d v="1899-12-30T03:15:00"/>
    <d v="1899-12-30T03:23:00"/>
    <n v="0.24999999999999978"/>
    <n v="0.13333333333333353"/>
    <n v="0.3833333333333333"/>
    <s v="Rebot &amp; Reset"/>
    <s v="Close"/>
    <n v="9.5833333333333326E-3"/>
    <s v="G20"/>
    <n v="6.9798611111111102"/>
    <s v="None"/>
    <s v="WTG Breakdown Maintenance"/>
    <n v="437"/>
    <n v="6.9798611111111102"/>
    <m/>
    <m/>
    <m/>
    <m/>
  </r>
  <r>
    <n v="936"/>
    <x v="108"/>
    <x v="1"/>
    <x v="0"/>
    <x v="4"/>
    <x v="1"/>
    <x v="1"/>
    <s v="PWEGPL"/>
    <s v="MSEDCL"/>
    <n v="2.5000000000000001E-2"/>
    <n v="812"/>
    <x v="327"/>
    <s v="BD"/>
    <d v="1899-12-30T13:17:00"/>
    <d v="1899-12-30T14:00:00"/>
    <d v="1899-12-30T15:46:00"/>
    <n v="0.71666666666666679"/>
    <n v="1.7666666666666657"/>
    <n v="2.4833333333333325"/>
    <s v="bulluf sensor cable replaced"/>
    <s v="Close"/>
    <n v="6.2083333333333317E-2"/>
    <s v="G22"/>
    <n v="283.61736111111099"/>
    <s v="None"/>
    <s v="WTG Breakdown Maintenance"/>
    <n v="2741"/>
    <n v="283.61736111111099"/>
    <m/>
    <m/>
    <m/>
    <m/>
  </r>
  <r>
    <n v="937"/>
    <x v="109"/>
    <x v="1"/>
    <x v="0"/>
    <x v="4"/>
    <x v="1"/>
    <x v="22"/>
    <s v="PWEGPL"/>
    <s v="MSEDCL"/>
    <n v="2.5000000000000001E-2"/>
    <s v="CE100010"/>
    <x v="296"/>
    <s v="PM"/>
    <d v="1899-12-30T10:48:00"/>
    <d v="1899-12-30T10:48:00"/>
    <d v="1899-12-30T18:05:00"/>
    <n v="0"/>
    <n v="7.2833333333333332"/>
    <n v="7.2833333333333332"/>
    <s v="102 month PM done"/>
    <s v="Close"/>
    <n v="0.18208333333333335"/>
    <s v="G04"/>
    <n v="1516.7541666666666"/>
    <s v="None"/>
    <s v="WTG Scheduled Maintenance"/>
    <n v="4998"/>
    <n v="1516.7541666666666"/>
    <m/>
    <m/>
    <m/>
    <m/>
  </r>
  <r>
    <n v="938"/>
    <x v="109"/>
    <x v="1"/>
    <x v="0"/>
    <x v="4"/>
    <x v="1"/>
    <x v="25"/>
    <s v="PWEGPL"/>
    <s v="MSEDCL"/>
    <n v="2.5000000000000001E-2"/>
    <s v="CE100010"/>
    <x v="296"/>
    <s v="PM"/>
    <d v="1899-12-30T07:30:00"/>
    <d v="1899-12-30T07:30:00"/>
    <d v="1899-12-30T15:30:00"/>
    <n v="0"/>
    <n v="8"/>
    <n v="8"/>
    <s v="102 month PM done"/>
    <s v="Close"/>
    <n v="0.2"/>
    <s v="G04"/>
    <n v="1877.3333333333333"/>
    <s v="None"/>
    <s v="WTG Scheduled Maintenance"/>
    <n v="5632"/>
    <n v="1877.3333333333333"/>
    <m/>
    <m/>
    <m/>
    <m/>
  </r>
  <r>
    <n v="939"/>
    <x v="109"/>
    <x v="1"/>
    <x v="0"/>
    <x v="4"/>
    <x v="1"/>
    <x v="32"/>
    <s v="PWEGPL"/>
    <s v="MSEDCL"/>
    <n v="2.5000000000000001E-2"/>
    <n v="205"/>
    <x v="312"/>
    <s v="BD"/>
    <d v="1899-12-30T05:10:00"/>
    <d v="1899-12-30T06:23:00"/>
    <d v="1899-12-30T11:59:00"/>
    <n v="1.2166666666666663"/>
    <n v="5.5999999999999988"/>
    <n v="6.8166666666666647"/>
    <s v="Oil Topup"/>
    <s v="Close"/>
    <n v="0.17041666666666663"/>
    <s v="G15"/>
    <n v="1388.3277777777773"/>
    <s v="None"/>
    <s v="WTG Breakdown Maintenance"/>
    <n v="4888"/>
    <n v="1388.3277777777773"/>
    <m/>
    <m/>
    <m/>
    <m/>
  </r>
  <r>
    <n v="940"/>
    <x v="109"/>
    <x v="1"/>
    <x v="0"/>
    <x v="4"/>
    <x v="1"/>
    <x v="12"/>
    <s v="PWEGPL"/>
    <s v="MSEDCL"/>
    <n v="2.5000000000000001E-2"/>
    <n v="205"/>
    <x v="312"/>
    <s v="BD"/>
    <d v="1899-12-30T00:16:00"/>
    <d v="1899-12-30T00:16:00"/>
    <d v="1899-12-30T03:35:00"/>
    <n v="0"/>
    <n v="3.3166666666666669"/>
    <n v="3.3166666666666669"/>
    <s v="Oil Topup"/>
    <s v="Close"/>
    <n v="8.291666666666668E-2"/>
    <s v="G30"/>
    <n v="238.8"/>
    <s v="None"/>
    <s v="WTG Breakdown Maintenance"/>
    <n v="1728"/>
    <n v="238.8"/>
    <m/>
    <m/>
    <m/>
    <m/>
  </r>
  <r>
    <n v="941"/>
    <x v="109"/>
    <x v="1"/>
    <x v="0"/>
    <x v="4"/>
    <x v="1"/>
    <x v="3"/>
    <s v="PWEGPL"/>
    <s v="MSEDCL"/>
    <n v="2.5000000000000001E-2"/>
    <n v="700"/>
    <x v="329"/>
    <s v="BD"/>
    <d v="1899-12-30T03:48:00"/>
    <d v="1899-12-30T04:43:00"/>
    <d v="1899-12-30T04:58:00"/>
    <n v="0.91666666666666674"/>
    <n v="0.25000000000000044"/>
    <n v="1.1666666666666672"/>
    <s v="Rebot &amp; Reset"/>
    <s v="Close"/>
    <n v="2.9166666666666681E-2"/>
    <s v="G26"/>
    <n v="28.097222222222232"/>
    <s v="None"/>
    <s v="WTG Breakdown Maintenance"/>
    <n v="578"/>
    <n v="28.097222222222232"/>
    <m/>
    <m/>
    <m/>
    <m/>
  </r>
  <r>
    <n v="942"/>
    <x v="109"/>
    <x v="1"/>
    <x v="0"/>
    <x v="4"/>
    <x v="1"/>
    <x v="4"/>
    <s v="PWEGPL"/>
    <s v="MSEDCL"/>
    <n v="2.5000000000000001E-2"/>
    <n v="205"/>
    <x v="312"/>
    <s v="BD"/>
    <d v="1899-12-30T01:24:00"/>
    <d v="1899-12-30T02:15:00"/>
    <d v="1899-12-30T02:34:00"/>
    <n v="0.85000000000000009"/>
    <n v="0.31666666666666654"/>
    <n v="1.1666666666666667"/>
    <s v="Rebot &amp; Reset"/>
    <s v="Close"/>
    <n v="2.9166666666666671E-2"/>
    <s v="G36"/>
    <n v="26.979166666666668"/>
    <s v="None"/>
    <s v="WTG Breakdown Maintenance"/>
    <n v="555"/>
    <n v="26.979166666666668"/>
    <m/>
    <m/>
    <m/>
    <m/>
  </r>
  <r>
    <n v="943"/>
    <x v="109"/>
    <x v="1"/>
    <x v="0"/>
    <x v="4"/>
    <x v="1"/>
    <x v="3"/>
    <s v="PWEGPL"/>
    <s v="MSEDCL"/>
    <n v="2.5000000000000001E-2"/>
    <n v="700"/>
    <x v="329"/>
    <s v="BD"/>
    <d v="1899-12-30T11:57:00"/>
    <d v="1899-12-30T12:22:00"/>
    <d v="1899-12-30T12:30:00"/>
    <n v="0.41666666666666918"/>
    <n v="0.13333333333333286"/>
    <n v="0.55000000000000204"/>
    <s v="Rebot &amp; Reset"/>
    <s v="Close"/>
    <n v="1.3750000000000052E-2"/>
    <s v="G26"/>
    <n v="7.2187500000000266"/>
    <s v="None"/>
    <s v="WTG Breakdown Maintenance"/>
    <n v="315"/>
    <n v="7.2187500000000266"/>
    <m/>
    <m/>
    <m/>
    <m/>
  </r>
  <r>
    <n v="944"/>
    <x v="109"/>
    <x v="1"/>
    <x v="0"/>
    <x v="4"/>
    <x v="1"/>
    <x v="4"/>
    <s v="PWEGPL"/>
    <s v="MSEDCL"/>
    <n v="2.5000000000000001E-2"/>
    <n v="205"/>
    <x v="312"/>
    <s v="BD"/>
    <d v="1899-12-30T20:01:00"/>
    <d v="1899-12-30T21:35:00"/>
    <d v="1899-12-30T21:41:00"/>
    <n v="1.5666666666666664"/>
    <n v="0.10000000000000231"/>
    <n v="1.6666666666666687"/>
    <s v="Oil Topup"/>
    <s v="Close"/>
    <n v="4.166666666666672E-2"/>
    <s v="G36"/>
    <n v="52.569444444444514"/>
    <s v="None"/>
    <s v="WTG Breakdown Maintenance"/>
    <n v="757"/>
    <n v="52.569444444444514"/>
    <m/>
    <m/>
    <m/>
    <m/>
  </r>
  <r>
    <n v="945"/>
    <x v="110"/>
    <x v="1"/>
    <x v="0"/>
    <x v="4"/>
    <x v="1"/>
    <x v="20"/>
    <s v="PWEGPL"/>
    <s v="MSEDCL"/>
    <n v="2.5000000000000001E-2"/>
    <s v="CE100010"/>
    <x v="296"/>
    <s v="PM"/>
    <d v="1899-12-30T11:13:00"/>
    <d v="1899-12-30T11:13:00"/>
    <d v="1899-12-30T17:38:00"/>
    <n v="0"/>
    <n v="6.4166666666666652"/>
    <n v="6.4166666666666652"/>
    <s v="102 month PM done"/>
    <s v="Close"/>
    <n v="0.16041666666666665"/>
    <s v="G06"/>
    <n v="1223.7118055555554"/>
    <s v="None"/>
    <s v="WTG Scheduled Maintenance"/>
    <n v="4577"/>
    <n v="1223.7118055555554"/>
    <m/>
    <m/>
    <m/>
    <m/>
  </r>
  <r>
    <n v="946"/>
    <x v="110"/>
    <x v="1"/>
    <x v="0"/>
    <x v="4"/>
    <x v="1"/>
    <x v="23"/>
    <s v="PWEGPL"/>
    <s v="MSEDCL"/>
    <n v="2.5000000000000001E-2"/>
    <s v="CE100010"/>
    <x v="296"/>
    <s v="PM"/>
    <d v="1899-12-30T08:09:00"/>
    <d v="1899-12-30T08:09:00"/>
    <d v="1899-12-30T15:53:00"/>
    <n v="0"/>
    <n v="7.7333333333333325"/>
    <n v="7.7333333333333325"/>
    <s v="102 month PM done"/>
    <s v="Close"/>
    <n v="0.19333333333333333"/>
    <s v="G03"/>
    <n v="1268.5888888888887"/>
    <s v="None"/>
    <s v="WTG Scheduled Maintenance"/>
    <n v="3937"/>
    <n v="1268.5888888888887"/>
    <m/>
    <m/>
    <m/>
    <m/>
  </r>
  <r>
    <n v="947"/>
    <x v="110"/>
    <x v="1"/>
    <x v="0"/>
    <x v="4"/>
    <x v="1"/>
    <x v="35"/>
    <s v="PWEGPL"/>
    <s v="MSEDCL"/>
    <n v="2.5000000000000001E-2"/>
    <n v="812"/>
    <x v="327"/>
    <s v="BD"/>
    <d v="1899-12-30T15:15:00"/>
    <d v="1899-12-30T15:46:00"/>
    <d v="1899-12-30T15:48:00"/>
    <n v="0.5166666666666675"/>
    <n v="3.3333333333333215E-2"/>
    <n v="0.55000000000000071"/>
    <s v="Rebot &amp; Reset"/>
    <s v="Close"/>
    <n v="1.3750000000000019E-2"/>
    <s v="G25"/>
    <n v="7.9520833333333441"/>
    <s v="None"/>
    <s v="WTG Breakdown Maintenance"/>
    <n v="347"/>
    <n v="7.9520833333333441"/>
    <m/>
    <m/>
    <m/>
    <m/>
  </r>
  <r>
    <n v="948"/>
    <x v="110"/>
    <x v="1"/>
    <x v="0"/>
    <x v="4"/>
    <x v="1"/>
    <x v="8"/>
    <s v="PWEGPL"/>
    <s v="MSEDCL"/>
    <n v="2.5000000000000001E-2"/>
    <n v="5207"/>
    <x v="348"/>
    <s v="BD"/>
    <d v="1899-12-30T15:17:00"/>
    <d v="1899-12-30T15:29:00"/>
    <d v="1899-12-30T15:39:00"/>
    <n v="0.19999999999999929"/>
    <n v="0.16666666666666874"/>
    <n v="0.36666666666666803"/>
    <s v="Rebot &amp; Reset"/>
    <s v="Close"/>
    <n v="9.1666666666667014E-3"/>
    <s v="G25"/>
    <n v="3.5750000000000135"/>
    <s v="None"/>
    <s v="WTG Breakdown Maintenance"/>
    <n v="234"/>
    <n v="3.5750000000000135"/>
    <m/>
    <m/>
    <m/>
    <m/>
  </r>
  <r>
    <n v="949"/>
    <x v="110"/>
    <x v="1"/>
    <x v="0"/>
    <x v="4"/>
    <x v="1"/>
    <x v="9"/>
    <s v="PWEGPL"/>
    <s v="MSEDCL"/>
    <n v="2.5000000000000001E-2"/>
    <n v="900"/>
    <x v="330"/>
    <s v="BD"/>
    <d v="1899-12-30T14:51:00"/>
    <d v="1899-12-30T16:00:00"/>
    <d v="1899-12-30T16:01:00"/>
    <n v="1.1499999999999986"/>
    <n v="1.6666666666666607E-2"/>
    <n v="1.1666666666666652"/>
    <s v="Rebot &amp; Reset"/>
    <s v="Close"/>
    <n v="2.9166666666666632E-2"/>
    <s v="G29"/>
    <n v="32.131944444444407"/>
    <s v="None"/>
    <s v="WTG Breakdown Maintenance"/>
    <n v="661"/>
    <n v="32.131944444444407"/>
    <m/>
    <m/>
    <m/>
    <m/>
  </r>
  <r>
    <n v="950"/>
    <x v="110"/>
    <x v="1"/>
    <x v="0"/>
    <x v="4"/>
    <x v="1"/>
    <x v="3"/>
    <s v="PWEGPL"/>
    <s v="MSEDCL"/>
    <n v="2.5000000000000001E-2"/>
    <n v="700"/>
    <x v="329"/>
    <s v="BD"/>
    <d v="1899-12-30T07:29:00"/>
    <d v="1899-12-30T12:07:00"/>
    <d v="1899-12-30T12:15:00"/>
    <n v="4.6333333333333329"/>
    <n v="0.13333333333333286"/>
    <n v="4.7666666666666657"/>
    <s v="Rebot &amp; Reset"/>
    <s v="Close"/>
    <n v="0.11916666666666664"/>
    <s v="G26"/>
    <n v="551.94027777777774"/>
    <s v="None"/>
    <s v="WTG Breakdown Maintenance"/>
    <n v="2779"/>
    <n v="551.94027777777774"/>
    <m/>
    <m/>
    <m/>
    <m/>
  </r>
  <r>
    <n v="951"/>
    <x v="110"/>
    <x v="1"/>
    <x v="0"/>
    <x v="4"/>
    <x v="1"/>
    <x v="4"/>
    <s v="PWEGPL"/>
    <s v="MSEDCL"/>
    <n v="2.5000000000000001E-2"/>
    <n v="205"/>
    <x v="312"/>
    <s v="BD"/>
    <d v="1899-12-30T21:56:00"/>
    <d v="1899-12-30T23:59:00"/>
    <d v="1899-12-30T23:59:00"/>
    <n v="2.0500000000000007"/>
    <n v="0"/>
    <n v="2.0500000000000007"/>
    <s v="Oil Topup"/>
    <s v="Close"/>
    <n v="5.1250000000000018E-2"/>
    <s v="G36"/>
    <n v="229.25833333333341"/>
    <s v="None"/>
    <s v="WTG Breakdown Maintenance"/>
    <n v="2684"/>
    <n v="229.25833333333341"/>
    <m/>
    <m/>
    <m/>
    <m/>
  </r>
  <r>
    <n v="952"/>
    <x v="110"/>
    <x v="1"/>
    <x v="0"/>
    <x v="4"/>
    <x v="1"/>
    <x v="5"/>
    <s v="PWEGPL"/>
    <s v="MSEDCL"/>
    <n v="2.5000000000000001E-2"/>
    <n v="205"/>
    <x v="312"/>
    <s v="BD"/>
    <d v="1899-12-30T15:21:00"/>
    <d v="1899-12-30T17:01:00"/>
    <d v="1899-12-30T23:59:00"/>
    <n v="1.6666666666666661"/>
    <n v="6.9666666666666686"/>
    <n v="8.6333333333333346"/>
    <s v="oil topup"/>
    <s v="Close"/>
    <n v="0.21583333333333338"/>
    <s v="G39"/>
    <n v="1767.6750000000002"/>
    <s v="None"/>
    <s v="WTG Breakdown Maintenance"/>
    <n v="4914"/>
    <n v="1767.6750000000002"/>
    <m/>
    <m/>
    <m/>
    <m/>
  </r>
  <r>
    <n v="953"/>
    <x v="110"/>
    <x v="1"/>
    <x v="0"/>
    <x v="4"/>
    <x v="1"/>
    <x v="3"/>
    <s v="PWEGPL"/>
    <s v="MSEDCL"/>
    <n v="2.5000000000000001E-2"/>
    <n v="700"/>
    <x v="329"/>
    <s v="BD"/>
    <d v="1899-12-30T12:47:00"/>
    <d v="1899-12-30T14:13:00"/>
    <d v="1899-12-30T14:49:00"/>
    <n v="1.4333333333333336"/>
    <n v="0.60000000000000053"/>
    <n v="2.0333333333333341"/>
    <s v="Rebot &amp; Reset"/>
    <s v="Close"/>
    <n v="5.0833333333333355E-2"/>
    <s v="G26"/>
    <n v="100.14166666666671"/>
    <s v="None"/>
    <s v="WTG Breakdown Maintenance"/>
    <n v="1182"/>
    <n v="100.14166666666671"/>
    <m/>
    <m/>
    <m/>
    <m/>
  </r>
  <r>
    <n v="954"/>
    <x v="110"/>
    <x v="1"/>
    <x v="0"/>
    <x v="4"/>
    <x v="1"/>
    <x v="4"/>
    <s v="PWEGPL"/>
    <s v="MSEDCL"/>
    <n v="2.5000000000000001E-2"/>
    <n v="205"/>
    <x v="312"/>
    <s v="BD"/>
    <d v="1899-12-30T00:00:00"/>
    <d v="1899-12-30T01:06:00"/>
    <d v="1899-12-30T02:12:00"/>
    <n v="1.1000000000000001"/>
    <n v="1.1000000000000001"/>
    <n v="2.2000000000000002"/>
    <s v="Rebot &amp; Reset"/>
    <s v="Close"/>
    <n v="5.5000000000000007E-2"/>
    <s v="G36"/>
    <n v="107.15833333333335"/>
    <s v="None"/>
    <s v="WTG Breakdown Maintenance"/>
    <n v="1169"/>
    <n v="107.15833333333335"/>
    <m/>
    <m/>
    <m/>
    <m/>
  </r>
  <r>
    <n v="955"/>
    <x v="111"/>
    <x v="1"/>
    <x v="0"/>
    <x v="4"/>
    <x v="1"/>
    <x v="21"/>
    <s v="PWEGPL"/>
    <s v="MSEDCL"/>
    <n v="2.5000000000000001E-2"/>
    <s v="CE100010"/>
    <x v="296"/>
    <s v="PM"/>
    <d v="1899-12-30T10:09:00"/>
    <d v="1899-12-30T10:09:00"/>
    <d v="1899-12-30T18:47:00"/>
    <n v="0"/>
    <n v="8.6333333333333364"/>
    <n v="8.6333333333333364"/>
    <s v="102 month PM done"/>
    <s v="Close"/>
    <n v="0.21583333333333343"/>
    <s v="G04"/>
    <n v="2177.3986111111121"/>
    <s v="None"/>
    <s v="WTG Scheduled Maintenance"/>
    <n v="6053"/>
    <n v="2177.3986111111121"/>
    <m/>
    <m/>
    <m/>
    <m/>
  </r>
  <r>
    <n v="956"/>
    <x v="111"/>
    <x v="1"/>
    <x v="0"/>
    <x v="4"/>
    <x v="1"/>
    <x v="26"/>
    <s v="PWEGPL"/>
    <s v="MSEDCL"/>
    <n v="2.5000000000000001E-2"/>
    <s v="CE100010"/>
    <x v="296"/>
    <s v="PM"/>
    <d v="1899-12-30T07:38:00"/>
    <d v="1899-12-30T07:38:00"/>
    <d v="1899-12-30T15:01:00"/>
    <n v="0"/>
    <n v="7.3833333333333337"/>
    <n v="7.3833333333333337"/>
    <s v="102 month PM done"/>
    <s v="Close"/>
    <n v="0.18458333333333335"/>
    <s v="G01"/>
    <n v="1727.0847222222224"/>
    <s v="None"/>
    <s v="WTG Scheduled Maintenance"/>
    <n v="5614"/>
    <n v="1727.0847222222224"/>
    <m/>
    <m/>
    <m/>
    <m/>
  </r>
  <r>
    <n v="957"/>
    <x v="111"/>
    <x v="1"/>
    <x v="0"/>
    <x v="4"/>
    <x v="1"/>
    <x v="18"/>
    <s v="PWEGPL"/>
    <s v="MSEDCL"/>
    <n v="2.5000000000000001E-2"/>
    <n v="1813"/>
    <x v="332"/>
    <s v="BD"/>
    <d v="1899-12-30T00:56:00"/>
    <d v="1899-12-30T01:00:00"/>
    <d v="1899-12-30T01:10:00"/>
    <n v="6.6666666666666596E-2"/>
    <n v="0.16666666666666674"/>
    <n v="0.23333333333333334"/>
    <s v="Rebot &amp; Reset"/>
    <s v="Close"/>
    <n v="5.8333333333333336E-3"/>
    <s v="G18"/>
    <n v="1.7986111111111112"/>
    <s v="None"/>
    <s v="WTG Breakdown Maintenance"/>
    <n v="185"/>
    <n v="1.7986111111111112"/>
    <m/>
    <m/>
    <m/>
    <m/>
  </r>
  <r>
    <n v="958"/>
    <x v="111"/>
    <x v="1"/>
    <x v="0"/>
    <x v="4"/>
    <x v="1"/>
    <x v="19"/>
    <s v="PWEGPL"/>
    <s v="MSEDCL"/>
    <n v="2.5000000000000001E-2"/>
    <n v="5238"/>
    <x v="349"/>
    <s v="BD"/>
    <d v="1899-12-30T17:43:00"/>
    <d v="1899-12-30T18:07:00"/>
    <d v="1899-12-30T18:13:00"/>
    <n v="0.40000000000000124"/>
    <n v="9.9999999999999645E-2"/>
    <n v="0.50000000000000089"/>
    <s v="Rebot &amp; Reset"/>
    <s v="Close"/>
    <n v="1.2500000000000023E-2"/>
    <s v="G19"/>
    <n v="8.1666666666666803"/>
    <s v="None"/>
    <s v="WTG Breakdown Maintenance"/>
    <n v="392"/>
    <n v="8.1666666666666803"/>
    <m/>
    <m/>
    <m/>
    <m/>
  </r>
  <r>
    <n v="959"/>
    <x v="111"/>
    <x v="1"/>
    <x v="0"/>
    <x v="4"/>
    <x v="1"/>
    <x v="3"/>
    <s v="PWEGPL"/>
    <s v="MSEDCL"/>
    <n v="2.5000000000000001E-2"/>
    <n v="700"/>
    <x v="329"/>
    <s v="BD"/>
    <d v="1899-12-30T20:01:00"/>
    <d v="1899-12-30T21:48:00"/>
    <d v="1899-12-30T22:09:00"/>
    <n v="1.783333333333335"/>
    <n v="0.34999999999999876"/>
    <n v="2.1333333333333337"/>
    <s v="Rebot &amp; Reset"/>
    <s v="Close"/>
    <n v="5.3333333333333344E-2"/>
    <s v="G26"/>
    <n v="115.55555555555557"/>
    <s v="None"/>
    <s v="WTG Breakdown Maintenance"/>
    <n v="1300"/>
    <n v="115.55555555555557"/>
    <m/>
    <m/>
    <m/>
    <m/>
  </r>
  <r>
    <n v="960"/>
    <x v="111"/>
    <x v="1"/>
    <x v="0"/>
    <x v="4"/>
    <x v="1"/>
    <x v="4"/>
    <s v="PWEGPL"/>
    <s v="MSEDCL"/>
    <n v="2.5000000000000001E-2"/>
    <n v="205"/>
    <x v="312"/>
    <s v="BD"/>
    <d v="1899-12-30T21:26:00"/>
    <d v="1899-12-30T22:25:00"/>
    <d v="1899-12-30T23:00:00"/>
    <n v="0.9833333333333325"/>
    <n v="0.58333333333333393"/>
    <n v="1.5666666666666664"/>
    <s v="Oil Topup"/>
    <s v="Close"/>
    <n v="3.9166666666666662E-2"/>
    <s v="G36"/>
    <n v="55.943055555555553"/>
    <s v="None"/>
    <s v="WTG Breakdown Maintenance"/>
    <n v="857"/>
    <n v="55.943055555555553"/>
    <m/>
    <m/>
    <m/>
    <m/>
  </r>
  <r>
    <n v="961"/>
    <x v="111"/>
    <x v="1"/>
    <x v="0"/>
    <x v="4"/>
    <x v="1"/>
    <x v="5"/>
    <s v="PWEGPL"/>
    <s v="MSEDCL"/>
    <n v="2.5000000000000001E-2"/>
    <n v="205"/>
    <x v="312"/>
    <s v="BD"/>
    <d v="1899-12-30T00:00:00"/>
    <d v="1899-12-30T01:35:00"/>
    <d v="1899-12-30T02:44:00"/>
    <n v="1.5833333333333335"/>
    <n v="1.1499999999999999"/>
    <n v="2.7333333333333334"/>
    <s v="Oil Topup"/>
    <s v="Close"/>
    <n v="6.8333333333333343E-2"/>
    <s v="G39"/>
    <n v="174.93333333333334"/>
    <s v="None"/>
    <s v="WTG Breakdown Maintenance"/>
    <n v="1536"/>
    <n v="174.93333333333334"/>
    <m/>
    <m/>
    <m/>
    <m/>
  </r>
  <r>
    <n v="962"/>
    <x v="111"/>
    <x v="1"/>
    <x v="0"/>
    <x v="4"/>
    <x v="1"/>
    <x v="4"/>
    <s v="PWEGPL"/>
    <s v="MSEDCL"/>
    <n v="2.5000000000000001E-2"/>
    <n v="205"/>
    <x v="312"/>
    <s v="BD"/>
    <d v="1899-12-30T00:00:00"/>
    <d v="1899-12-30T03:16:00"/>
    <d v="1899-12-30T03:33:00"/>
    <n v="3.2666666666666666"/>
    <n v="0.28333333333333366"/>
    <n v="3.55"/>
    <s v="Rebot &amp; Reset"/>
    <s v="Close"/>
    <n v="8.8749999999999996E-2"/>
    <s v="G36"/>
    <n v="286.66249999999997"/>
    <s v="None"/>
    <s v="WTG Breakdown Maintenance"/>
    <n v="1938"/>
    <n v="286.66249999999997"/>
    <m/>
    <m/>
    <m/>
    <m/>
  </r>
  <r>
    <n v="963"/>
    <x v="112"/>
    <x v="1"/>
    <x v="0"/>
    <x v="4"/>
    <x v="1"/>
    <x v="17"/>
    <s v="PWEGPL"/>
    <s v="MSEDCL"/>
    <n v="2.5000000000000001E-2"/>
    <n v="5201"/>
    <x v="299"/>
    <s v="BD"/>
    <d v="1899-12-30T06:59:00"/>
    <d v="1899-12-30T09:41:00"/>
    <d v="1899-12-30T09:47:00"/>
    <n v="2.6999999999999997"/>
    <n v="9.9999999999999645E-2"/>
    <n v="2.7999999999999994"/>
    <s v="Rebot &amp; Reset"/>
    <s v="Close"/>
    <n v="6.9999999999999993E-2"/>
    <s v="G06"/>
    <n v="264.01666666666659"/>
    <s v="None"/>
    <s v="WTG Breakdown Maintenance"/>
    <n v="2263"/>
    <n v="264.01666666666659"/>
    <m/>
    <m/>
    <m/>
    <m/>
  </r>
  <r>
    <n v="964"/>
    <x v="112"/>
    <x v="1"/>
    <x v="0"/>
    <x v="4"/>
    <x v="1"/>
    <x v="37"/>
    <s v="PWEGPL"/>
    <s v="MSEDCL"/>
    <n v="2.5000000000000001E-2"/>
    <n v="125"/>
    <x v="343"/>
    <s v="BD"/>
    <d v="1899-12-30T06:39:00"/>
    <d v="1899-12-30T06:56:00"/>
    <d v="1899-12-30T10:53:00"/>
    <n v="0.28333333333333366"/>
    <n v="3.9499999999999993"/>
    <n v="4.2333333333333325"/>
    <s v="contactor malfunction trouble shooting"/>
    <s v="Close"/>
    <n v="0.10583333333333332"/>
    <s v="G17"/>
    <n v="441.67777777777769"/>
    <s v="None"/>
    <s v="WTG Breakdown Maintenance"/>
    <n v="2504"/>
    <n v="441.67777777777769"/>
    <m/>
    <m/>
    <m/>
    <m/>
  </r>
  <r>
    <n v="965"/>
    <x v="112"/>
    <x v="1"/>
    <x v="0"/>
    <x v="4"/>
    <x v="1"/>
    <x v="34"/>
    <s v="PWEGPL"/>
    <s v="MSEDCL"/>
    <n v="2.5000000000000001E-2"/>
    <n v="2118"/>
    <x v="293"/>
    <s v="BD"/>
    <d v="1899-12-30T11:07:00"/>
    <d v="1899-12-30T11:27:00"/>
    <d v="1899-12-30T12:30:00"/>
    <n v="0.33333333333333215"/>
    <n v="1.0500000000000016"/>
    <n v="1.3833333333333337"/>
    <s v="slipring cleaned"/>
    <s v="Close"/>
    <n v="3.4583333333333348E-2"/>
    <s v="G21"/>
    <n v="53.719444444444463"/>
    <s v="None"/>
    <s v="WTG Breakdown Maintenance"/>
    <n v="932"/>
    <n v="53.719444444444463"/>
    <m/>
    <m/>
    <m/>
    <m/>
  </r>
  <r>
    <n v="966"/>
    <x v="112"/>
    <x v="1"/>
    <x v="0"/>
    <x v="4"/>
    <x v="1"/>
    <x v="3"/>
    <s v="PWEGPL"/>
    <s v="MSEDCL"/>
    <n v="2.5000000000000001E-2"/>
    <n v="700"/>
    <x v="329"/>
    <s v="BD"/>
    <d v="1899-12-30T02:56:00"/>
    <d v="1899-12-30T03:40:00"/>
    <d v="1899-12-30T03:51:00"/>
    <n v="0.73333333333333273"/>
    <n v="0.18333333333333401"/>
    <n v="0.91666666666666674"/>
    <s v="Rebot &amp; Reset"/>
    <s v="Close"/>
    <n v="2.2916666666666669E-2"/>
    <s v="G26"/>
    <n v="19.326388888888889"/>
    <s v="None"/>
    <s v="WTG Breakdown Maintenance"/>
    <n v="506"/>
    <n v="19.326388888888889"/>
    <m/>
    <m/>
    <m/>
    <m/>
  </r>
  <r>
    <n v="967"/>
    <x v="112"/>
    <x v="1"/>
    <x v="0"/>
    <x v="4"/>
    <x v="1"/>
    <x v="4"/>
    <s v="PWEGPL"/>
    <s v="MSEDCL"/>
    <n v="2.5000000000000001E-2"/>
    <n v="205"/>
    <x v="312"/>
    <s v="Manual stop"/>
    <d v="1899-12-30T15:06:00"/>
    <d v="1899-12-30T15:06:00"/>
    <d v="1899-12-30T15:46:00"/>
    <n v="0"/>
    <n v="0.66666666666666696"/>
    <n v="0.66666666666666696"/>
    <s v="oil top up"/>
    <s v="Close"/>
    <n v="1.6666666666666673E-2"/>
    <s v="G36"/>
    <n v="8.0555555555555589"/>
    <s v="None"/>
    <s v="WTG Unscheduled Maintenance"/>
    <n v="290"/>
    <n v="8.0555555555555589"/>
    <m/>
    <m/>
    <m/>
    <m/>
  </r>
  <r>
    <n v="968"/>
    <x v="112"/>
    <x v="1"/>
    <x v="0"/>
    <x v="4"/>
    <x v="1"/>
    <x v="5"/>
    <s v="PWEGPL"/>
    <s v="MSEDCL"/>
    <n v="2.5000000000000001E-2"/>
    <n v="1894"/>
    <x v="325"/>
    <s v="BD"/>
    <d v="1899-12-30T08:28:00"/>
    <d v="1899-12-30T10:29:00"/>
    <d v="1899-12-30T10:57:00"/>
    <n v="2.0166666666666648"/>
    <n v="0.46666666666666767"/>
    <n v="2.4833333333333325"/>
    <s v="mcb reset"/>
    <s v="Close"/>
    <n v="6.2083333333333317E-2"/>
    <s v="G36"/>
    <n v="111.23263888888884"/>
    <s v="None"/>
    <s v="WTG Breakdown Maintenance"/>
    <n v="1075"/>
    <n v="111.23263888888884"/>
    <m/>
    <m/>
    <m/>
    <m/>
  </r>
  <r>
    <n v="969"/>
    <x v="112"/>
    <x v="1"/>
    <x v="0"/>
    <x v="4"/>
    <x v="1"/>
    <x v="3"/>
    <s v="PWEGPL"/>
    <s v="MSEDCL"/>
    <n v="2.5000000000000001E-2"/>
    <n v="700"/>
    <x v="329"/>
    <s v="BD"/>
    <d v="1899-12-30T11:09:00"/>
    <d v="1899-12-30T11:09:00"/>
    <d v="1899-12-30T11:21:00"/>
    <n v="0"/>
    <n v="0.19999999999999929"/>
    <n v="0.19999999999999929"/>
    <s v="Rebot &amp; Reset"/>
    <s v="Close"/>
    <n v="4.9999999999999828E-3"/>
    <s v="G26"/>
    <n v="0.9166666666666633"/>
    <s v="None"/>
    <s v="WTG Breakdown Maintenance"/>
    <n v="110"/>
    <n v="0.9166666666666633"/>
    <m/>
    <m/>
    <m/>
    <m/>
  </r>
  <r>
    <n v="970"/>
    <x v="112"/>
    <x v="1"/>
    <x v="0"/>
    <x v="4"/>
    <x v="1"/>
    <x v="3"/>
    <s v="PWEGPL"/>
    <s v="MSEDCL"/>
    <n v="2.5000000000000001E-2"/>
    <n v="700"/>
    <x v="329"/>
    <s v="BD"/>
    <d v="1899-12-30T07:09:00"/>
    <d v="1899-12-30T07:49:00"/>
    <d v="1899-12-30T08:02:00"/>
    <n v="0.66666666666666696"/>
    <n v="0.2166666666666659"/>
    <n v="0.88333333333333286"/>
    <s v="Rebot &amp; Reset"/>
    <s v="Close"/>
    <n v="2.2083333333333323E-2"/>
    <s v="G26"/>
    <n v="17.813888888888879"/>
    <s v="None"/>
    <s v="WTG Breakdown Maintenance"/>
    <n v="484"/>
    <n v="17.813888888888879"/>
    <m/>
    <m/>
    <m/>
    <m/>
  </r>
  <r>
    <n v="971"/>
    <x v="112"/>
    <x v="1"/>
    <x v="0"/>
    <x v="4"/>
    <x v="1"/>
    <x v="37"/>
    <s v="PWEGPL"/>
    <s v="MSEDCL"/>
    <n v="2.5000000000000001E-2"/>
    <n v="125"/>
    <x v="343"/>
    <s v="BD"/>
    <d v="1899-12-30T05:28:00"/>
    <d v="1899-12-30T06:02:00"/>
    <d v="1899-12-30T06:13:00"/>
    <n v="0.56666666666666665"/>
    <n v="0.18333333333333401"/>
    <n v="0.75000000000000067"/>
    <s v="Rebot &amp; Reset"/>
    <s v="Close"/>
    <n v="1.8750000000000017E-2"/>
    <s v="G17"/>
    <n v="9.6875000000000089"/>
    <s v="None"/>
    <s v="WTG Breakdown Maintenance"/>
    <n v="310"/>
    <n v="9.6875000000000089"/>
    <m/>
    <m/>
    <m/>
    <m/>
  </r>
  <r>
    <n v="972"/>
    <x v="113"/>
    <x v="1"/>
    <x v="0"/>
    <x v="4"/>
    <x v="1"/>
    <x v="17"/>
    <s v="PWEGPL"/>
    <s v="MSEDCL"/>
    <n v="2.5000000000000001E-2"/>
    <n v="222"/>
    <x v="323"/>
    <s v="BD"/>
    <d v="1899-12-30T22:58:00"/>
    <d v="1899-12-30T23:59:00"/>
    <d v="1899-12-30T23:59:00"/>
    <n v="1.0166666666666684"/>
    <n v="0"/>
    <n v="1.0166666666666684"/>
    <s v="reset"/>
    <s v="Close"/>
    <n v="2.5416666666666712E-2"/>
    <s v="G06"/>
    <n v="31.851731288580353"/>
    <s v="None"/>
    <s v="WTG Breakdown Maintenance"/>
    <n v="751.90972222222354"/>
    <n v="31.851731288580353"/>
    <m/>
    <m/>
    <m/>
    <m/>
  </r>
  <r>
    <n v="973"/>
    <x v="113"/>
    <x v="1"/>
    <x v="0"/>
    <x v="4"/>
    <x v="1"/>
    <x v="37"/>
    <s v="PWEGPL"/>
    <s v="MSEDCL"/>
    <n v="2.5000000000000001E-2"/>
    <n v="102"/>
    <x v="337"/>
    <s v="BD"/>
    <d v="1899-12-30T14:32:00"/>
    <d v="1899-12-30T16:06:00"/>
    <d v="1899-12-30T16:23:00"/>
    <n v="1.5666666666666691"/>
    <n v="0.28333333333333233"/>
    <n v="1.8500000000000014"/>
    <s v="reset"/>
    <s v="Close"/>
    <n v="4.6250000000000041E-2"/>
    <s v="G17"/>
    <n v="81.533932291666787"/>
    <s v="None"/>
    <s v="WTG Breakdown Maintenance"/>
    <n v="1057.7375000000009"/>
    <n v="81.533932291666787"/>
    <m/>
    <m/>
    <m/>
    <m/>
  </r>
  <r>
    <n v="974"/>
    <x v="113"/>
    <x v="1"/>
    <x v="0"/>
    <x v="4"/>
    <x v="1"/>
    <x v="15"/>
    <s v="PWEGPL"/>
    <s v="MSEDCL"/>
    <n v="2.5000000000000001E-2"/>
    <n v="102"/>
    <x v="337"/>
    <s v="BD"/>
    <d v="1899-12-30T11:31:00"/>
    <d v="1899-12-30T11:31:00"/>
    <d v="1899-12-30T12:00:00"/>
    <n v="0"/>
    <n v="0.48333333333333295"/>
    <n v="0.48333333333333295"/>
    <s v="Trouble shotting WIP"/>
    <s v="Close"/>
    <n v="1.2083333333333324E-2"/>
    <s v="G36"/>
    <n v="4.1319965277777708"/>
    <s v="None"/>
    <s v="WTG Breakdown Maintenance"/>
    <n v="205.17499999999984"/>
    <n v="4.1319965277777708"/>
    <m/>
    <m/>
    <m/>
    <m/>
  </r>
  <r>
    <n v="975"/>
    <x v="113"/>
    <x v="1"/>
    <x v="0"/>
    <x v="4"/>
    <x v="1"/>
    <x v="4"/>
    <s v="PWEGPL"/>
    <s v="MSEDCL"/>
    <n v="2.5000000000000001E-2"/>
    <n v="402"/>
    <x v="300"/>
    <s v="Manual stop"/>
    <d v="1899-12-30T11:41:00"/>
    <d v="1899-12-30T11:41:00"/>
    <d v="1899-12-30T16:46:00"/>
    <n v="0"/>
    <n v="5.0833333333333321"/>
    <n v="5.0833333333333321"/>
    <s v="oil leakage arresing work"/>
    <s v="Close"/>
    <n v="0.1270833333333333"/>
    <s v="G36"/>
    <n v="457.04991319444423"/>
    <s v="None"/>
    <s v="WTG Unscheduled Maintenance"/>
    <n v="2157.8749999999995"/>
    <n v="457.04991319444423"/>
    <m/>
    <m/>
    <m/>
    <m/>
  </r>
  <r>
    <n v="976"/>
    <x v="113"/>
    <x v="1"/>
    <x v="0"/>
    <x v="4"/>
    <x v="1"/>
    <x v="7"/>
    <s v="PWEGPL"/>
    <s v="MSEDCL"/>
    <n v="2.5000000000000001E-2"/>
    <n v="905"/>
    <x v="350"/>
    <s v="BD"/>
    <d v="1899-12-30T13:54:00"/>
    <d v="1899-12-30T14:32:00"/>
    <d v="1899-12-30T15:07:00"/>
    <n v="0.63333333333333108"/>
    <n v="0.58333333333333393"/>
    <n v="1.216666666666665"/>
    <s v="break power supply replaced."/>
    <s v="Close"/>
    <n v="3.0416666666666627E-2"/>
    <s v="G39"/>
    <n v="26.768356481481408"/>
    <s v="None"/>
    <s v="WTG Breakdown Maintenance"/>
    <n v="528.03333333333262"/>
    <n v="26.768356481481408"/>
    <m/>
    <m/>
    <m/>
    <m/>
  </r>
  <r>
    <n v="977"/>
    <x v="113"/>
    <x v="1"/>
    <x v="0"/>
    <x v="4"/>
    <x v="1"/>
    <x v="3"/>
    <s v="PWEGPL"/>
    <s v="MSEDCL"/>
    <n v="2.5000000000000001E-2"/>
    <n v="700"/>
    <x v="329"/>
    <s v="BD"/>
    <d v="1899-12-30T22:24:00"/>
    <d v="1899-12-30T23:59:00"/>
    <d v="1899-12-30T23:59:00"/>
    <n v="1.5833333333333357"/>
    <n v="0"/>
    <n v="1.5833333333333357"/>
    <s v="reset"/>
    <s v="Close"/>
    <n v="3.9583333333333394E-2"/>
    <s v="G26"/>
    <n v="52.843750000000078"/>
    <s v="None"/>
    <s v="WTG Breakdown Maintenance"/>
    <n v="801"/>
    <n v="52.843750000000078"/>
    <m/>
    <m/>
    <m/>
    <m/>
  </r>
  <r>
    <n v="978"/>
    <x v="114"/>
    <x v="1"/>
    <x v="0"/>
    <x v="4"/>
    <x v="1"/>
    <x v="17"/>
    <s v="PWEGPL"/>
    <s v="MSEDCL"/>
    <n v="2.5000000000000001E-2"/>
    <n v="222"/>
    <x v="323"/>
    <s v="BD"/>
    <d v="1899-12-30T00:00:00"/>
    <d v="1899-12-30T00:03:00"/>
    <d v="1899-12-30T00:05:00"/>
    <n v="0.05"/>
    <n v="3.3333333333333326E-2"/>
    <n v="8.3333333333333329E-2"/>
    <s v="reset"/>
    <s v="Close"/>
    <n v="2.0833333333333333E-3"/>
    <s v="G06"/>
    <n v="0.15453800154320985"/>
    <s v="None"/>
    <s v="WTG Breakdown Maintenance"/>
    <n v="44.506944444444443"/>
    <n v="0.15453800154320985"/>
    <m/>
    <m/>
    <m/>
    <m/>
  </r>
  <r>
    <n v="979"/>
    <x v="114"/>
    <x v="1"/>
    <x v="0"/>
    <x v="4"/>
    <x v="1"/>
    <x v="37"/>
    <s v="PWEGPL"/>
    <s v="MSEDCL"/>
    <n v="2.5000000000000001E-2"/>
    <s v="CE100001"/>
    <x v="288"/>
    <s v="Manual stop"/>
    <d v="1899-12-30T10:44:00"/>
    <d v="1899-12-30T10:44:00"/>
    <d v="1899-12-30T12:17:00"/>
    <n v="0"/>
    <n v="1.5499999999999998"/>
    <n v="1.5499999999999998"/>
    <s v="Motor contactor replaced"/>
    <s v="Close"/>
    <n v="3.875E-2"/>
    <s v="G17"/>
    <n v="44.429565972222214"/>
    <s v="None"/>
    <s v="WTG Unscheduled Maintenance"/>
    <n v="687.94166666666661"/>
    <n v="44.429565972222214"/>
    <m/>
    <m/>
    <m/>
    <m/>
  </r>
  <r>
    <n v="980"/>
    <x v="114"/>
    <x v="1"/>
    <x v="0"/>
    <x v="4"/>
    <x v="1"/>
    <x v="12"/>
    <s v="PWEGPL"/>
    <s v="MSEDCL"/>
    <n v="2.5000000000000001E-2"/>
    <n v="205"/>
    <x v="312"/>
    <s v="BD"/>
    <d v="1899-12-30T04:34:00"/>
    <d v="1899-12-30T05:45:00"/>
    <d v="1899-12-30T07:06:00"/>
    <n v="1.1833333333333338"/>
    <n v="1.3499999999999999"/>
    <n v="2.5333333333333337"/>
    <s v="Oil top up"/>
    <s v="Close"/>
    <n v="6.3333333333333339E-2"/>
    <s v="G30"/>
    <n v="115.02975308641977"/>
    <s v="None"/>
    <s v="WTG Breakdown Maintenance"/>
    <n v="1089.7555555555557"/>
    <n v="115.02975308641977"/>
    <m/>
    <m/>
    <m/>
    <m/>
  </r>
  <r>
    <n v="981"/>
    <x v="114"/>
    <x v="1"/>
    <x v="0"/>
    <x v="4"/>
    <x v="1"/>
    <x v="3"/>
    <s v="PWEGPL"/>
    <s v="MSEDCL"/>
    <n v="2.5000000000000001E-2"/>
    <n v="700"/>
    <x v="329"/>
    <s v="BD"/>
    <d v="1899-12-30T00:00:00"/>
    <d v="1899-12-30T01:39:00"/>
    <d v="1899-12-30T01:40:00"/>
    <n v="1.65"/>
    <n v="1.6666666666666607E-2"/>
    <n v="1.6666666666666665"/>
    <s v="reset"/>
    <s v="Close"/>
    <n v="4.1666666666666664E-2"/>
    <s v="G26"/>
    <n v="44.502314814814802"/>
    <s v="None"/>
    <s v="WTG Breakdown Maintenance"/>
    <n v="640.83333333333326"/>
    <n v="44.502314814814802"/>
    <m/>
    <m/>
    <m/>
    <m/>
  </r>
  <r>
    <n v="982"/>
    <x v="114"/>
    <x v="1"/>
    <x v="0"/>
    <x v="4"/>
    <x v="1"/>
    <x v="16"/>
    <s v="PWEGPL"/>
    <s v="MSEDCL"/>
    <n v="2.5000000000000001E-2"/>
    <n v="1894"/>
    <x v="325"/>
    <s v="BD"/>
    <d v="1899-12-30T06:24:00"/>
    <d v="1899-12-30T07:22:00"/>
    <d v="1899-12-30T07:25:00"/>
    <n v="0.9666666666666659"/>
    <n v="5.0000000000001155E-2"/>
    <n v="1.0166666666666671"/>
    <s v="reset"/>
    <s v="Close"/>
    <n v="2.5416666666666678E-2"/>
    <s v="G35"/>
    <n v="18.526043595679027"/>
    <s v="None"/>
    <s v="WTG Breakdown Maintenance"/>
    <n v="437.33611111111128"/>
    <n v="18.526043595679027"/>
    <m/>
    <m/>
    <m/>
    <m/>
  </r>
  <r>
    <n v="983"/>
    <x v="114"/>
    <x v="1"/>
    <x v="0"/>
    <x v="4"/>
    <x v="1"/>
    <x v="3"/>
    <s v="PWEGPL"/>
    <s v="MSEDCL"/>
    <n v="2.5000000000000001E-2"/>
    <s v="CE100001"/>
    <x v="288"/>
    <s v="Manual stop"/>
    <d v="1899-12-30T14:27:00"/>
    <d v="1899-12-30T14:27:00"/>
    <d v="1899-12-30T15:44:00"/>
    <n v="0"/>
    <n v="1.2833333333333341"/>
    <n v="1.2833333333333341"/>
    <s v="slipring changed"/>
    <s v="Close"/>
    <n v="3.2083333333333353E-2"/>
    <s v="G26"/>
    <n v="28.135300925925961"/>
    <s v="None"/>
    <s v="WTG Unscheduled Maintenance"/>
    <n v="526.16666666666697"/>
    <n v="28.135300925925961"/>
    <m/>
    <m/>
    <m/>
    <m/>
  </r>
  <r>
    <n v="984"/>
    <x v="114"/>
    <x v="1"/>
    <x v="0"/>
    <x v="4"/>
    <x v="1"/>
    <x v="24"/>
    <s v="PWEGPL"/>
    <s v="MSEDCL"/>
    <n v="2.5000000000000001E-2"/>
    <n v="205"/>
    <x v="312"/>
    <s v="BD"/>
    <d v="1899-12-30T16:12:00"/>
    <d v="1899-12-30T16:15:00"/>
    <d v="1899-12-30T17:04:00"/>
    <n v="5.0000000000002487E-2"/>
    <n v="0.81666666666666643"/>
    <n v="0.86666666666666892"/>
    <s v="oil top up"/>
    <s v="Close"/>
    <n v="2.1666666666666723E-2"/>
    <s v="G22"/>
    <n v="15.648148148148231"/>
    <s v="None"/>
    <s v="WTG Breakdown Maintenance"/>
    <n v="433.33333333333445"/>
    <n v="15.648148148148231"/>
    <m/>
    <m/>
    <m/>
    <m/>
  </r>
  <r>
    <n v="985"/>
    <x v="115"/>
    <x v="1"/>
    <x v="0"/>
    <x v="4"/>
    <x v="1"/>
    <x v="21"/>
    <s v="PWEGPL"/>
    <s v="MSEDCL"/>
    <n v="2.5000000000000001E-2"/>
    <n v="5234"/>
    <x v="351"/>
    <s v="BD"/>
    <d v="1899-12-30T17:29:00"/>
    <d v="1899-12-30T17:29:00"/>
    <d v="1899-12-30T18:15:00"/>
    <n v="0"/>
    <n v="0.76666666666666394"/>
    <n v="0.76666666666666394"/>
    <s v="reset"/>
    <s v="Close"/>
    <n v="1.9166666666666599E-2"/>
    <s v="G07"/>
    <n v="34.837058256172696"/>
    <s v="None"/>
    <s v="WTG Breakdown Maintenance"/>
    <n v="1090.5513888888884"/>
    <n v="34.837058256172696"/>
    <m/>
    <m/>
    <m/>
    <m/>
  </r>
  <r>
    <n v="986"/>
    <x v="115"/>
    <x v="1"/>
    <x v="0"/>
    <x v="4"/>
    <x v="1"/>
    <x v="38"/>
    <s v="PWEGPL"/>
    <s v="MSEDCL"/>
    <n v="2.5000000000000001E-2"/>
    <n v="5268"/>
    <x v="342"/>
    <s v="BD"/>
    <d v="1899-12-30T14:09:00"/>
    <d v="1899-12-30T14:30:00"/>
    <d v="1899-12-30T14:46:00"/>
    <n v="0.34999999999999876"/>
    <n v="0.26666666666666838"/>
    <n v="0.61666666666666714"/>
    <s v="reset"/>
    <s v="Close"/>
    <n v="1.5416666666666679E-2"/>
    <s v="G19"/>
    <n v="7.3758043981481594"/>
    <s v="None"/>
    <s v="WTG Breakdown Maintenance"/>
    <n v="287.05833333333356"/>
    <n v="7.3758043981481594"/>
    <m/>
    <m/>
    <m/>
    <m/>
  </r>
  <r>
    <n v="987"/>
    <x v="115"/>
    <x v="1"/>
    <x v="0"/>
    <x v="4"/>
    <x v="1"/>
    <x v="18"/>
    <s v="PWEGPL"/>
    <s v="MSEDCL"/>
    <n v="2.5000000000000001E-2"/>
    <n v="404"/>
    <x v="352"/>
    <s v="Manual stop"/>
    <d v="1899-12-30T10:46:00"/>
    <d v="1899-12-30T10:46:00"/>
    <d v="1899-12-30T17:55:00"/>
    <n v="0"/>
    <n v="7.15"/>
    <n v="7.15"/>
    <s v="Gear box damper replaced"/>
    <s v="Close"/>
    <n v="0.17875000000000002"/>
    <s v="G20"/>
    <n v="1286.9379340277778"/>
    <s v="None"/>
    <s v="WTG Unscheduled Maintenance"/>
    <n v="4319.791666666667"/>
    <n v="1286.9379340277778"/>
    <m/>
    <m/>
    <m/>
    <m/>
  </r>
  <r>
    <n v="988"/>
    <x v="115"/>
    <x v="1"/>
    <x v="0"/>
    <x v="4"/>
    <x v="1"/>
    <x v="16"/>
    <s v="PWEGPL"/>
    <s v="MSEDCL"/>
    <n v="2.5000000000000001E-2"/>
    <n v="118"/>
    <x v="313"/>
    <s v="BD"/>
    <d v="1899-12-30T16:30:00"/>
    <d v="1899-12-30T16:53:00"/>
    <d v="1899-12-30T23:58:00"/>
    <n v="0.38333333333333197"/>
    <n v="7.0833333333333321"/>
    <n v="7.4666666666666641"/>
    <s v="Yaw encoder replaced"/>
    <s v="Close"/>
    <n v="0.18666666666666662"/>
    <s v="G35"/>
    <n v="881.3708641975303"/>
    <s v="None"/>
    <s v="WTG Breakdown Maintenance"/>
    <n v="2832.9777777777767"/>
    <n v="881.3708641975303"/>
    <m/>
    <m/>
    <m/>
    <m/>
  </r>
  <r>
    <n v="989"/>
    <x v="116"/>
    <x v="1"/>
    <x v="0"/>
    <x v="4"/>
    <x v="1"/>
    <x v="22"/>
    <s v="PWEGPL"/>
    <s v="MSEDCL"/>
    <n v="2.5000000000000001E-2"/>
    <n v="426"/>
    <x v="353"/>
    <s v="BD"/>
    <d v="1899-12-30T16:41:00"/>
    <d v="1899-12-30T17:40:00"/>
    <d v="1899-12-30T18:17:00"/>
    <n v="0.98333333333333517"/>
    <n v="0.61666666666666714"/>
    <n v="1.6000000000000023"/>
    <s v="Sensor replaced"/>
    <s v="Close"/>
    <n v="4.0000000000000063E-2"/>
    <s v="G04"/>
    <n v="72.466666666666768"/>
    <s v="None"/>
    <s v="WTG Breakdown Maintenance"/>
    <n v="1087"/>
    <n v="72.466666666666768"/>
    <m/>
    <m/>
    <m/>
    <m/>
  </r>
  <r>
    <n v="990"/>
    <x v="116"/>
    <x v="1"/>
    <x v="0"/>
    <x v="4"/>
    <x v="1"/>
    <x v="26"/>
    <s v="PWEGPL"/>
    <s v="MSEDCL"/>
    <n v="2.5000000000000001E-2"/>
    <n v="2118"/>
    <x v="293"/>
    <s v="BD"/>
    <d v="1899-12-30T17:42:00"/>
    <d v="1899-12-30T18:29:00"/>
    <d v="1899-12-30T18:33:00"/>
    <n v="0.78333333333333588"/>
    <n v="6.666666666666643E-2"/>
    <n v="0.85000000000000231"/>
    <s v="Rebot &amp; Reset"/>
    <s v="Close"/>
    <n v="2.1250000000000061E-2"/>
    <s v="G04"/>
    <n v="20.435416666666722"/>
    <s v="None"/>
    <s v="WTG Breakdown Maintenance"/>
    <n v="577"/>
    <n v="20.435416666666722"/>
    <m/>
    <m/>
    <m/>
    <m/>
  </r>
  <r>
    <n v="991"/>
    <x v="116"/>
    <x v="1"/>
    <x v="0"/>
    <x v="4"/>
    <x v="1"/>
    <x v="29"/>
    <s v="PWEGPL"/>
    <s v="MSEDCL"/>
    <n v="2.5000000000000001E-2"/>
    <n v="700"/>
    <x v="329"/>
    <s v="BD"/>
    <d v="1899-12-30T17:15:00"/>
    <d v="1899-12-30T17:19:00"/>
    <d v="1899-12-30T17:52:00"/>
    <n v="6.666666666666643E-2"/>
    <n v="0.55000000000000071"/>
    <n v="0.61666666666666714"/>
    <s v="Rebot &amp; Reset"/>
    <s v="Close"/>
    <n v="1.5416666666666679E-2"/>
    <s v="G10"/>
    <n v="11.922222222222231"/>
    <s v="None"/>
    <s v="WTG Breakdown Maintenance"/>
    <n v="464"/>
    <n v="11.922222222222231"/>
    <m/>
    <m/>
    <m/>
    <m/>
  </r>
  <r>
    <n v="992"/>
    <x v="116"/>
    <x v="1"/>
    <x v="0"/>
    <x v="4"/>
    <x v="1"/>
    <x v="29"/>
    <s v="PWEGPL"/>
    <s v="MSEDCL"/>
    <n v="2.5000000000000001E-2"/>
    <n v="2118"/>
    <x v="293"/>
    <s v="BD"/>
    <d v="1899-12-30T19:57:00"/>
    <d v="1899-12-30T23:59:00"/>
    <d v="1899-12-30T23:59:00"/>
    <n v="4.033333333333335"/>
    <n v="0"/>
    <n v="4.033333333333335"/>
    <s v="Rebot &amp; Reset"/>
    <s v="Open"/>
    <n v="0.10083333333333339"/>
    <s v="G10"/>
    <n v="510.38472222222248"/>
    <s v="None"/>
    <s v="WTG Breakdown Maintenance"/>
    <n v="3037"/>
    <n v="510.38472222222248"/>
    <m/>
    <m/>
    <m/>
    <m/>
  </r>
  <r>
    <n v="993"/>
    <x v="116"/>
    <x v="1"/>
    <x v="0"/>
    <x v="4"/>
    <x v="1"/>
    <x v="37"/>
    <s v="PWEGPL"/>
    <s v="MSEDCL"/>
    <n v="2.5000000000000001E-2"/>
    <n v="5201"/>
    <x v="299"/>
    <s v="BD"/>
    <d v="1899-12-30T19:53:00"/>
    <d v="1899-12-30T21:05:00"/>
    <d v="1899-12-30T21:38:00"/>
    <n v="1.2000000000000011"/>
    <n v="0.55000000000000071"/>
    <n v="1.7500000000000018"/>
    <s v="Rebot &amp; Reset"/>
    <s v="Close"/>
    <n v="4.3750000000000046E-2"/>
    <s v="G15"/>
    <n v="94.208333333333428"/>
    <s v="None"/>
    <s v="WTG Breakdown Maintenance"/>
    <n v="1292"/>
    <n v="94.208333333333428"/>
    <m/>
    <m/>
    <m/>
    <m/>
  </r>
  <r>
    <n v="994"/>
    <x v="116"/>
    <x v="1"/>
    <x v="0"/>
    <x v="4"/>
    <x v="1"/>
    <x v="0"/>
    <s v="PWEGPL"/>
    <s v="MSEDCL"/>
    <n v="2.5000000000000001E-2"/>
    <n v="5201"/>
    <x v="299"/>
    <s v="BD"/>
    <d v="1899-12-30T20:26:00"/>
    <d v="1899-12-30T21:22:00"/>
    <d v="1899-12-30T21:32:00"/>
    <n v="0.93333333333333535"/>
    <n v="0.16666666666666607"/>
    <n v="1.1000000000000014"/>
    <s v="Rebot &amp; Reset"/>
    <s v="Close"/>
    <n v="2.7500000000000038E-2"/>
    <s v="G15"/>
    <n v="37.216666666666718"/>
    <s v="None"/>
    <s v="WTG Breakdown Maintenance"/>
    <n v="812"/>
    <n v="37.216666666666718"/>
    <m/>
    <m/>
    <m/>
    <m/>
  </r>
  <r>
    <n v="995"/>
    <x v="116"/>
    <x v="1"/>
    <x v="0"/>
    <x v="4"/>
    <x v="1"/>
    <x v="18"/>
    <s v="PWEGPL"/>
    <s v="MSEDCL"/>
    <n v="2.5000000000000001E-2"/>
    <s v="CE100001"/>
    <x v="288"/>
    <s v="Manual stop"/>
    <d v="1899-12-30T12:45:00"/>
    <d v="1899-12-30T12:45:00"/>
    <d v="1899-12-30T15:49:00"/>
    <n v="0"/>
    <n v="3.0666666666666664"/>
    <n v="3.0666666666666664"/>
    <s v="Hose replaced"/>
    <s v="Close"/>
    <n v="7.6666666666666661E-2"/>
    <s v="G20"/>
    <n v="320.84999999999997"/>
    <s v="None"/>
    <s v="WTG Unscheduled Maintenance"/>
    <n v="2511"/>
    <n v="320.84999999999997"/>
    <m/>
    <m/>
    <m/>
    <m/>
  </r>
  <r>
    <n v="996"/>
    <x v="116"/>
    <x v="1"/>
    <x v="0"/>
    <x v="4"/>
    <x v="1"/>
    <x v="15"/>
    <s v="PWEGPL"/>
    <s v="MSEDCL"/>
    <n v="2.5000000000000001E-2"/>
    <n v="107"/>
    <x v="354"/>
    <s v="BD"/>
    <d v="1899-12-30T16:08:00"/>
    <d v="1899-12-30T17:45:00"/>
    <d v="1899-12-30T18:30:00"/>
    <n v="1.6166666666666689"/>
    <n v="0.75"/>
    <n v="2.3666666666666689"/>
    <s v="Rebot &amp; Reset"/>
    <s v="Close"/>
    <n v="5.9166666666666728E-2"/>
    <s v="G34"/>
    <n v="109.16250000000011"/>
    <s v="None"/>
    <s v="WTG Breakdown Maintenance"/>
    <n v="1107"/>
    <n v="109.16250000000011"/>
    <m/>
    <m/>
    <m/>
    <m/>
  </r>
  <r>
    <n v="997"/>
    <x v="116"/>
    <x v="1"/>
    <x v="0"/>
    <x v="4"/>
    <x v="1"/>
    <x v="16"/>
    <s v="PWEGPL"/>
    <s v="MSEDCL"/>
    <n v="2.5000000000000001E-2"/>
    <n v="118"/>
    <x v="313"/>
    <s v="BD"/>
    <d v="1899-12-30T00:00:00"/>
    <d v="1899-12-30T00:01:00"/>
    <d v="1899-12-30T01:07:00"/>
    <n v="1.6666666666666666E-2"/>
    <n v="1.1000000000000001"/>
    <n v="1.1166666666666667"/>
    <s v="Software updated"/>
    <s v="Close"/>
    <n v="2.7916666666666669E-2"/>
    <s v="G34"/>
    <n v="24.287500000000001"/>
    <s v="None"/>
    <s v="WTG Breakdown Maintenance"/>
    <n v="522"/>
    <n v="24.287500000000001"/>
    <m/>
    <m/>
    <m/>
    <m/>
  </r>
  <r>
    <n v="998"/>
    <x v="117"/>
    <x v="1"/>
    <x v="0"/>
    <x v="4"/>
    <x v="1"/>
    <x v="21"/>
    <s v="PWEGPL"/>
    <s v="MSEDCL"/>
    <n v="2.5000000000000001E-2"/>
    <n v="200"/>
    <x v="314"/>
    <s v="Manual stop"/>
    <d v="1899-12-30T13:47:00"/>
    <d v="1899-12-30T13:47:00"/>
    <d v="1899-12-30T14:47:00"/>
    <n v="0"/>
    <n v="1.0000000000000018"/>
    <n v="1.0000000000000018"/>
    <s v=" hyd pump spider replacement work"/>
    <s v="Close"/>
    <n v="2.5000000000000046E-2"/>
    <s v="G03"/>
    <n v="24.611111111111196"/>
    <s v="None"/>
    <s v="WTG Unscheduled Maintenance"/>
    <n v="590.66666666666765"/>
    <n v="24.611111111111196"/>
    <m/>
    <m/>
    <m/>
    <m/>
  </r>
  <r>
    <n v="999"/>
    <x v="117"/>
    <x v="1"/>
    <x v="0"/>
    <x v="4"/>
    <x v="1"/>
    <x v="24"/>
    <s v="PWEGPL"/>
    <s v="MSEDCL"/>
    <n v="2.5000000000000001E-2"/>
    <n v="200"/>
    <x v="314"/>
    <s v="Manual stop"/>
    <d v="1899-12-30T10:47:00"/>
    <d v="1899-12-30T10:47:00"/>
    <d v="1899-12-30T12:19:00"/>
    <n v="0"/>
    <n v="1.5333333333333319"/>
    <n v="1.5333333333333319"/>
    <s v=" hyd pump spider replacement work"/>
    <s v="Close"/>
    <n v="3.8333333333333303E-2"/>
    <s v="G22"/>
    <n v="52.630601851851743"/>
    <s v="None"/>
    <s v="WTG Unscheduled Maintenance"/>
    <n v="823.78333333333251"/>
    <n v="52.630601851851743"/>
    <m/>
    <m/>
    <m/>
    <m/>
  </r>
  <r>
    <n v="1000"/>
    <x v="117"/>
    <x v="1"/>
    <x v="0"/>
    <x v="4"/>
    <x v="1"/>
    <x v="29"/>
    <s v="PWEGPL"/>
    <s v="MSEDCL"/>
    <n v="2.5000000000000001E-2"/>
    <n v="2118"/>
    <x v="293"/>
    <s v="BD"/>
    <d v="1899-12-30T00:00:00"/>
    <d v="1899-12-30T01:28:00"/>
    <d v="1899-12-30T01:45:00"/>
    <n v="1.4666666666666668"/>
    <n v="0.28333333333333333"/>
    <n v="1.75"/>
    <s v="Rebot &amp; Reset"/>
    <s v="Close"/>
    <n v="4.3750000000000004E-2"/>
    <s v="G10"/>
    <n v="79.773871527777757"/>
    <s v="None"/>
    <s v="WTG Breakdown Maintenance"/>
    <n v="1094.0416666666665"/>
    <n v="79.773871527777757"/>
    <m/>
    <m/>
    <m/>
    <m/>
  </r>
  <r>
    <n v="1001"/>
    <x v="117"/>
    <x v="1"/>
    <x v="0"/>
    <x v="4"/>
    <x v="1"/>
    <x v="0"/>
    <s v="PWEGPL"/>
    <s v="MSEDCL"/>
    <n v="2.5000000000000001E-2"/>
    <n v="205"/>
    <x v="312"/>
    <s v="BD"/>
    <d v="1899-12-30T05:08:00"/>
    <d v="1899-12-30T05:59:00"/>
    <d v="1899-12-30T06:23:00"/>
    <n v="0.84999999999999964"/>
    <n v="0.39999999999999991"/>
    <n v="1.2499999999999996"/>
    <s v="oil top up"/>
    <s v="Close"/>
    <n v="3.124999999999999E-2"/>
    <s v="G16"/>
    <n v="40.066189236111086"/>
    <s v="None"/>
    <s v="WTG Breakdown Maintenance"/>
    <n v="769.27083333333303"/>
    <n v="40.066189236111086"/>
    <m/>
    <m/>
    <m/>
    <m/>
  </r>
  <r>
    <n v="1002"/>
    <x v="117"/>
    <x v="1"/>
    <x v="0"/>
    <x v="4"/>
    <x v="1"/>
    <x v="33"/>
    <s v="PWEGPL"/>
    <s v="MSEDCL"/>
    <n v="2.5000000000000001E-2"/>
    <n v="404"/>
    <x v="352"/>
    <s v="Manual stop"/>
    <d v="1899-12-30T10:47:00"/>
    <d v="1899-12-30T10:47:00"/>
    <d v="1899-12-30T14:41:00"/>
    <n v="0"/>
    <n v="3.9000000000000008"/>
    <n v="3.9000000000000008"/>
    <s v="Gear box hose replacment"/>
    <s v="Close"/>
    <n v="9.7500000000000031E-2"/>
    <s v="G23"/>
    <n v="308.5306250000001"/>
    <s v="None"/>
    <s v="WTG Unscheduled Maintenance"/>
    <n v="1898.6500000000003"/>
    <n v="308.5306250000001"/>
    <m/>
    <m/>
    <m/>
    <m/>
  </r>
  <r>
    <n v="1003"/>
    <x v="117"/>
    <x v="1"/>
    <x v="0"/>
    <x v="4"/>
    <x v="1"/>
    <x v="2"/>
    <s v="PWEGPL"/>
    <s v="MSEDCL"/>
    <n v="2.5000000000000001E-2"/>
    <n v="110"/>
    <x v="287"/>
    <s v="BD"/>
    <d v="1899-12-30T01:17:00"/>
    <d v="1899-12-30T02:42:00"/>
    <d v="1899-12-30T03:22:00"/>
    <n v="1.4166666666666667"/>
    <n v="0.66666666666666663"/>
    <n v="2.083333333333333"/>
    <s v="untwist cable and reset"/>
    <s v="Close"/>
    <n v="5.2083333333333329E-2"/>
    <s v="G32"/>
    <n v="77.19816984953701"/>
    <s v="None"/>
    <s v="WTG Breakdown Maintenance"/>
    <n v="889.32291666666652"/>
    <n v="77.19816984953701"/>
    <m/>
    <m/>
    <m/>
    <m/>
  </r>
  <r>
    <n v="1004"/>
    <x v="117"/>
    <x v="1"/>
    <x v="0"/>
    <x v="4"/>
    <x v="1"/>
    <x v="29"/>
    <s v="PWEGPL"/>
    <s v="MSEDCL"/>
    <n v="2.5000000000000001E-2"/>
    <n v="2118"/>
    <x v="293"/>
    <s v="BD"/>
    <d v="1899-12-30T20:36:00"/>
    <d v="1899-12-30T22:18:00"/>
    <d v="1899-12-30T22:26:00"/>
    <n v="1.6999999999999993"/>
    <n v="0.13333333333333286"/>
    <n v="1.8333333333333321"/>
    <s v="Rebot &amp; Reset"/>
    <s v="Close"/>
    <n v="4.5833333333333309E-2"/>
    <s v="G10"/>
    <n v="87.552276234567785"/>
    <s v="None"/>
    <s v="WTG Breakdown Maintenance"/>
    <n v="1146.138888888888"/>
    <n v="87.552276234567785"/>
    <m/>
    <m/>
    <m/>
    <m/>
  </r>
  <r>
    <n v="1005"/>
    <x v="118"/>
    <x v="1"/>
    <x v="0"/>
    <x v="4"/>
    <x v="1"/>
    <x v="17"/>
    <s v="PWEGPL"/>
    <s v="MSEDCL"/>
    <n v="2.5000000000000001E-2"/>
    <n v="5268"/>
    <x v="342"/>
    <s v="BD"/>
    <d v="1899-12-30T13:32:00"/>
    <d v="1899-12-30T14:04:00"/>
    <d v="1899-12-30T14:28:00"/>
    <n v="0.5333333333333341"/>
    <n v="0.39999999999999858"/>
    <n v="0.93333333333333268"/>
    <s v="Rebot &amp; Reset"/>
    <s v="Close"/>
    <n v="2.3333333333333317E-2"/>
    <s v="G06"/>
    <n v="22.617129629629598"/>
    <s v="None"/>
    <s v="WTG Breakdown Maintenance"/>
    <n v="581.58333333333292"/>
    <n v="22.617129629629598"/>
    <m/>
    <m/>
    <m/>
    <m/>
  </r>
  <r>
    <n v="1006"/>
    <x v="118"/>
    <x v="1"/>
    <x v="0"/>
    <x v="4"/>
    <x v="1"/>
    <x v="29"/>
    <s v="PWEGPL"/>
    <s v="MSEDCL"/>
    <n v="2.5000000000000001E-2"/>
    <n v="2118"/>
    <x v="293"/>
    <s v="BD"/>
    <d v="1899-12-30T03:21:00"/>
    <d v="1899-12-30T04:14:00"/>
    <d v="1899-12-30T04:25:00"/>
    <n v="0.88333333333333353"/>
    <n v="0.18333333333333335"/>
    <n v="1.0666666666666669"/>
    <s v="Rebot &amp; Reset"/>
    <s v="Close"/>
    <n v="2.6666666666666672E-2"/>
    <s v="G10"/>
    <n v="38.127407407407418"/>
    <s v="None"/>
    <s v="WTG Breakdown Maintenance"/>
    <n v="857.86666666666679"/>
    <n v="38.127407407407418"/>
    <m/>
    <m/>
    <m/>
    <m/>
  </r>
  <r>
    <n v="1007"/>
    <x v="118"/>
    <x v="1"/>
    <x v="0"/>
    <x v="4"/>
    <x v="1"/>
    <x v="30"/>
    <s v="PWEGPL"/>
    <s v="MSEDCL"/>
    <n v="2.5000000000000001E-2"/>
    <n v="5216"/>
    <x v="306"/>
    <s v="BD"/>
    <d v="1899-12-30T14:53:00"/>
    <d v="1899-12-30T15:07:00"/>
    <d v="1899-12-30T15:14:00"/>
    <n v="0.2333333333333325"/>
    <n v="0.11666666666666625"/>
    <n v="0.34999999999999876"/>
    <s v="Rebot &amp; Reset"/>
    <s v="Close"/>
    <n v="8.7499999999999696E-3"/>
    <s v="G13"/>
    <n v="4.5122960069444122"/>
    <s v="None"/>
    <s v="WTG Breakdown Maintenance"/>
    <n v="309.41458333333225"/>
    <n v="4.5122960069444122"/>
    <m/>
    <m/>
    <m/>
    <m/>
  </r>
  <r>
    <n v="1008"/>
    <x v="118"/>
    <x v="1"/>
    <x v="0"/>
    <x v="4"/>
    <x v="1"/>
    <x v="35"/>
    <s v="PWEGPL"/>
    <s v="MSEDCL"/>
    <n v="2.5000000000000001E-2"/>
    <n v="509"/>
    <x v="301"/>
    <s v="BD"/>
    <d v="1899-12-30T18:11:00"/>
    <d v="1899-12-30T18:46:00"/>
    <d v="1899-12-30T19:32:00"/>
    <n v="0.58333333333333393"/>
    <n v="0.76666666666666927"/>
    <n v="1.3500000000000032"/>
    <s v="generator earthing brush replaced"/>
    <s v="Close"/>
    <n v="3.3750000000000079E-2"/>
    <s v="G25"/>
    <n v="48.024140625000229"/>
    <s v="None"/>
    <s v="WTG Breakdown Maintenance"/>
    <n v="853.76250000000198"/>
    <n v="48.024140625000229"/>
    <m/>
    <m/>
    <m/>
    <m/>
  </r>
  <r>
    <n v="1009"/>
    <x v="118"/>
    <x v="1"/>
    <x v="0"/>
    <x v="4"/>
    <x v="1"/>
    <x v="7"/>
    <s v="PWEGPL"/>
    <s v="MSEDCL"/>
    <n v="2.5000000000000001E-2"/>
    <n v="404"/>
    <x v="352"/>
    <s v="Manual stop"/>
    <d v="1899-12-30T11:59:00"/>
    <d v="1899-12-30T11:59:00"/>
    <d v="1899-12-30T13:25:00"/>
    <n v="0"/>
    <n v="1.4333333333333349"/>
    <n v="1.4333333333333349"/>
    <s v="Gear box oil topup done."/>
    <s v="Close"/>
    <n v="3.5833333333333377E-2"/>
    <s v="G39"/>
    <n v="41.802237654321075"/>
    <s v="None"/>
    <s v="WTG Unscheduled Maintenance"/>
    <n v="699.94444444444514"/>
    <n v="41.802237654321075"/>
    <m/>
    <m/>
    <m/>
    <m/>
  </r>
  <r>
    <n v="1010"/>
    <x v="118"/>
    <x v="1"/>
    <x v="0"/>
    <x v="4"/>
    <x v="1"/>
    <x v="29"/>
    <s v="PWEGPL"/>
    <s v="MSEDCL"/>
    <n v="2.5000000000000001E-2"/>
    <n v="2118"/>
    <x v="293"/>
    <s v="BD"/>
    <d v="1899-12-30T07:33:00"/>
    <d v="1899-12-30T10:30:00"/>
    <d v="1899-12-30T12:41:00"/>
    <n v="2.95"/>
    <n v="2.1833333333333336"/>
    <n v="5.1333333333333337"/>
    <s v="gear box slipring changed"/>
    <s v="Close"/>
    <n v="0.12833333333333335"/>
    <s v="G10"/>
    <n v="883.03671296296318"/>
    <s v="None"/>
    <s v="WTG Breakdown Maintenance"/>
    <n v="4128.4833333333336"/>
    <n v="883.03671296296318"/>
    <m/>
    <m/>
    <m/>
    <m/>
  </r>
  <r>
    <n v="1011"/>
    <x v="119"/>
    <x v="1"/>
    <x v="0"/>
    <x v="4"/>
    <x v="1"/>
    <x v="17"/>
    <s v="PWEGPL"/>
    <s v="MSEDCL"/>
    <n v="2.5000000000000001E-2"/>
    <n v="203"/>
    <x v="290"/>
    <s v="BD"/>
    <d v="1899-12-30T13:39:00"/>
    <d v="1899-12-30T15:04:00"/>
    <d v="1899-12-30T15:25:00"/>
    <n v="1.416666666666667"/>
    <n v="0.34999999999999876"/>
    <n v="1.7666666666666657"/>
    <s v="Rebot &amp; Reset"/>
    <s v="Close"/>
    <n v="4.4166666666666646E-2"/>
    <s v="G10"/>
    <n v="127.49444444444438"/>
    <s v="None"/>
    <s v="WTG Breakdown Maintenance"/>
    <n v="1732"/>
    <n v="127.49444444444438"/>
    <m/>
    <m/>
    <m/>
    <m/>
  </r>
  <r>
    <n v="1012"/>
    <x v="119"/>
    <x v="1"/>
    <x v="0"/>
    <x v="4"/>
    <x v="1"/>
    <x v="0"/>
    <s v="PWEGPL"/>
    <s v="MSEDCL"/>
    <n v="2.5000000000000001E-2"/>
    <n v="5234"/>
    <x v="351"/>
    <s v="BD"/>
    <d v="1899-12-30T19:47:00"/>
    <d v="1899-12-30T21:43:00"/>
    <d v="1899-12-30T23:59:00"/>
    <n v="1.9333333333333291"/>
    <n v="2.2666666666666693"/>
    <n v="4.1999999999999984"/>
    <s v="PLC software updated"/>
    <s v="Open"/>
    <n v="0.10499999999999997"/>
    <s v="G18"/>
    <n v="702.79999999999973"/>
    <s v="None"/>
    <s v="WTG Breakdown Maintenance"/>
    <n v="4016"/>
    <n v="702.79999999999973"/>
    <m/>
    <m/>
    <m/>
    <m/>
  </r>
  <r>
    <n v="1013"/>
    <x v="119"/>
    <x v="1"/>
    <x v="0"/>
    <x v="4"/>
    <x v="1"/>
    <x v="18"/>
    <s v="PWEGPL"/>
    <s v="MSEDCL"/>
    <n v="2.5000000000000001E-2"/>
    <s v="CE100001"/>
    <x v="288"/>
    <s v="Manual stop"/>
    <d v="1899-12-30T14:04:00"/>
    <d v="1899-12-30T14:04:00"/>
    <d v="1899-12-30T14:55:00"/>
    <n v="0"/>
    <n v="0.84999999999999964"/>
    <n v="0.84999999999999964"/>
    <s v="Slipring cleaned"/>
    <s v="Close"/>
    <n v="2.1249999999999991E-2"/>
    <s v="G18"/>
    <n v="28.758333333333322"/>
    <s v="None"/>
    <s v="WTG Unscheduled Maintenance"/>
    <n v="812"/>
    <n v="28.758333333333322"/>
    <m/>
    <m/>
    <m/>
    <m/>
  </r>
  <r>
    <n v="1014"/>
    <x v="119"/>
    <x v="1"/>
    <x v="0"/>
    <x v="4"/>
    <x v="1"/>
    <x v="33"/>
    <s v="PWEGPL"/>
    <s v="MSEDCL"/>
    <n v="2.5000000000000001E-2"/>
    <n v="509"/>
    <x v="301"/>
    <s v="BD"/>
    <d v="1899-12-30T17:26:00"/>
    <d v="1899-12-30T17:55:00"/>
    <d v="1899-12-30T19:45:00"/>
    <n v="0.48333333333333428"/>
    <n v="1.8333333333333321"/>
    <n v="2.3166666666666664"/>
    <s v="Slipring brush changed"/>
    <s v="Close"/>
    <n v="5.7916666666666665E-2"/>
    <s v="G22"/>
    <n v="208.21041666666665"/>
    <s v="None"/>
    <s v="WTG Breakdown Maintenance"/>
    <n v="2157"/>
    <n v="208.21041666666665"/>
    <m/>
    <m/>
    <m/>
    <m/>
  </r>
  <r>
    <n v="1015"/>
    <x v="120"/>
    <x v="1"/>
    <x v="0"/>
    <x v="4"/>
    <x v="1"/>
    <x v="21"/>
    <s v="PWEGPL"/>
    <s v="MSEDCL"/>
    <n v="2.5000000000000001E-2"/>
    <n v="2509"/>
    <x v="201"/>
    <s v="BD"/>
    <d v="1899-12-30T15:18:00"/>
    <d v="1899-12-30T16:10:00"/>
    <d v="1899-12-30T22:01:00"/>
    <n v="0.86666666666666625"/>
    <n v="5.8499999999999979"/>
    <n v="6.7166666666666641"/>
    <s v="Relay replaced nutrual"/>
    <s v="Close"/>
    <n v="0.1679166666666666"/>
    <s v="G04"/>
    <n v="1925.3173408564801"/>
    <s v="None"/>
    <s v="WTG Breakdown Maintenance"/>
    <n v="6879.5458333333308"/>
    <n v="1925.3173408564801"/>
    <m/>
    <m/>
    <m/>
    <m/>
  </r>
  <r>
    <n v="1016"/>
    <x v="120"/>
    <x v="1"/>
    <x v="0"/>
    <x v="4"/>
    <x v="1"/>
    <x v="17"/>
    <s v="PWEGPL"/>
    <s v="MSEDCL"/>
    <n v="2.5000000000000001E-2"/>
    <n v="538"/>
    <x v="355"/>
    <s v="BD"/>
    <d v="1899-12-30T20:38:00"/>
    <d v="1899-12-30T20:50:00"/>
    <d v="1899-12-30T21:03:00"/>
    <n v="0.19999999999999929"/>
    <n v="0.21666666666666856"/>
    <n v="0.41666666666666785"/>
    <s v="reset from scada"/>
    <s v="Close"/>
    <n v="1.0416666666666697E-2"/>
    <s v="G06"/>
    <n v="6.0136959876543168"/>
    <s v="None"/>
    <s v="WTG Breakdown Maintenance"/>
    <n v="346.38888888888766"/>
    <n v="6.0136959876543168"/>
    <m/>
    <m/>
    <m/>
    <m/>
  </r>
  <r>
    <n v="1017"/>
    <x v="120"/>
    <x v="1"/>
    <x v="0"/>
    <x v="4"/>
    <x v="1"/>
    <x v="32"/>
    <s v="PWEGPL"/>
    <s v="MSEDCL"/>
    <n v="2.5000000000000001E-2"/>
    <n v="700"/>
    <x v="329"/>
    <s v="BD"/>
    <d v="1899-12-30T12:13:00"/>
    <d v="1899-12-30T12:17:00"/>
    <d v="1899-12-30T13:22:00"/>
    <n v="6.666666666666643E-2"/>
    <n v="1.0833333333333348"/>
    <n v="1.1500000000000012"/>
    <s v="gear box slipring cleaned"/>
    <s v="Close"/>
    <n v="2.8750000000000032E-2"/>
    <s v="G15"/>
    <n v="62.855486111111254"/>
    <s v="None"/>
    <s v="WTG Breakdown Maintenance"/>
    <n v="1311.7666666666682"/>
    <n v="62.855486111111254"/>
    <m/>
    <m/>
    <m/>
    <m/>
  </r>
  <r>
    <n v="1018"/>
    <x v="120"/>
    <x v="1"/>
    <x v="0"/>
    <x v="4"/>
    <x v="1"/>
    <x v="0"/>
    <s v="PWEGPL"/>
    <s v="MSEDCL"/>
    <n v="2.5000000000000001E-2"/>
    <n v="5254"/>
    <x v="333"/>
    <s v="BD"/>
    <d v="1899-12-30T10:19:00"/>
    <d v="1899-12-30T10:26:00"/>
    <d v="1899-12-30T11:49:00"/>
    <n v="0.11666666666666758"/>
    <n v="1.3833333333333324"/>
    <n v="1.5"/>
    <s v="reset"/>
    <s v="Close"/>
    <n v="3.7500000000000006E-2"/>
    <s v="G18"/>
    <n v="86.9609375"/>
    <s v="None"/>
    <s v="WTG Breakdown Maintenance"/>
    <n v="1391.375"/>
    <n v="86.9609375"/>
    <m/>
    <m/>
    <m/>
    <m/>
  </r>
  <r>
    <n v="1019"/>
    <x v="120"/>
    <x v="1"/>
    <x v="0"/>
    <x v="4"/>
    <x v="1"/>
    <x v="19"/>
    <s v="PWEGPL"/>
    <s v="MSEDCL"/>
    <n v="2.5000000000000001E-2"/>
    <s v="CE100001"/>
    <x v="288"/>
    <s v="Manual stop"/>
    <d v="1899-12-30T15:00:00"/>
    <d v="1899-12-30T15:00:00"/>
    <d v="1899-12-30T15:55:00"/>
    <n v="0"/>
    <n v="0.91666666666666607"/>
    <n v="0.91666666666666607"/>
    <s v="Bearing greasing done and wiring changed.."/>
    <s v="Close"/>
    <n v="2.2916666666666655E-2"/>
    <s v="G19"/>
    <n v="38.94745852623452"/>
    <s v="None"/>
    <s v="WTG Unscheduled Maintenance"/>
    <n v="1019.7152777777771"/>
    <n v="38.94745852623452"/>
    <m/>
    <m/>
    <m/>
    <m/>
  </r>
  <r>
    <n v="1020"/>
    <x v="120"/>
    <x v="1"/>
    <x v="0"/>
    <x v="4"/>
    <x v="1"/>
    <x v="19"/>
    <s v="PWEGPL"/>
    <s v="MSEDCL"/>
    <n v="2.5000000000000001E-2"/>
    <s v="CE100001"/>
    <x v="288"/>
    <s v="Manual stop"/>
    <d v="1899-12-30T16:49:00"/>
    <d v="1899-12-30T16:49:00"/>
    <d v="1899-12-30T18:03:00"/>
    <n v="0"/>
    <n v="1.2333333333333343"/>
    <n v="1.2333333333333343"/>
    <s v="Bearing greasing done and wiring changed.."/>
    <s v="Close"/>
    <n v="3.0833333333333358E-2"/>
    <s v="G19"/>
    <n v="70.504556327160614"/>
    <s v="None"/>
    <s v="WTG Unscheduled Maintenance"/>
    <n v="1371.9805555555567"/>
    <n v="70.504556327160614"/>
    <m/>
    <m/>
    <m/>
    <m/>
  </r>
  <r>
    <n v="1021"/>
    <x v="121"/>
    <x v="1"/>
    <x v="0"/>
    <x v="4"/>
    <x v="1"/>
    <x v="37"/>
    <s v="PWEGPL"/>
    <s v="MSEDCL"/>
    <n v="2.5000000000000001E-2"/>
    <n v="5248"/>
    <x v="356"/>
    <s v="BD"/>
    <d v="1899-12-30T00:05:00"/>
    <d v="1899-12-30T00:25:00"/>
    <d v="1899-12-30T04:35:00"/>
    <n v="0.33333333333333337"/>
    <n v="4.1666666666666661"/>
    <n v="4.5"/>
    <s v="Generator brush replaced"/>
    <s v="Close"/>
    <n v="0.1125"/>
    <s v="G15"/>
    <n v="887.8125"/>
    <s v="None"/>
    <s v="WTG Breakdown Maintenance"/>
    <n v="4735"/>
    <n v="887.8125"/>
    <m/>
    <m/>
    <m/>
    <m/>
  </r>
  <r>
    <n v="1022"/>
    <x v="121"/>
    <x v="1"/>
    <x v="0"/>
    <x v="4"/>
    <x v="1"/>
    <x v="0"/>
    <s v="PWEGPL"/>
    <s v="MSEDCL"/>
    <n v="2.5000000000000001E-2"/>
    <n v="507"/>
    <x v="318"/>
    <s v="Manual stop"/>
    <d v="1899-12-30T13:00:00"/>
    <d v="1899-12-30T13:00:00"/>
    <d v="1899-12-30T16:42:00"/>
    <n v="0"/>
    <n v="3.7"/>
    <n v="3.7"/>
    <s v="Generator damper replaced"/>
    <s v="Close"/>
    <n v="9.2500000000000013E-2"/>
    <s v="G15"/>
    <n v="600.17083333333335"/>
    <s v="None"/>
    <s v="WTG Unscheduled Maintenance"/>
    <n v="3893"/>
    <n v="600.17083333333335"/>
    <m/>
    <m/>
    <m/>
    <m/>
  </r>
  <r>
    <n v="1023"/>
    <x v="121"/>
    <x v="1"/>
    <x v="0"/>
    <x v="4"/>
    <x v="1"/>
    <x v="1"/>
    <s v="PWEGPL"/>
    <s v="MSEDCL"/>
    <n v="2.5000000000000001E-2"/>
    <n v="5203"/>
    <x v="294"/>
    <s v="BD"/>
    <d v="1899-12-30T13:17:00"/>
    <d v="1899-12-30T13:50:00"/>
    <d v="1899-12-30T15:46:00"/>
    <n v="0.55000000000000071"/>
    <n v="1.9333333333333318"/>
    <n v="2.4833333333333325"/>
    <s v="MCB charged"/>
    <s v="Close"/>
    <n v="6.2083333333333317E-2"/>
    <s v="G22"/>
    <n v="179.11041666666659"/>
    <s v="None"/>
    <s v="WTG Breakdown Maintenance"/>
    <n v="1731"/>
    <n v="179.11041666666659"/>
    <m/>
    <m/>
    <m/>
    <m/>
  </r>
  <r>
    <n v="1024"/>
    <x v="121"/>
    <x v="1"/>
    <x v="0"/>
    <x v="4"/>
    <x v="1"/>
    <x v="36"/>
    <s v="PWEGPL"/>
    <s v="MSEDCL"/>
    <n v="2.5000000000000001E-2"/>
    <n v="5243"/>
    <x v="357"/>
    <s v="BD"/>
    <d v="1899-12-30T13:37:00"/>
    <d v="1899-12-30T13:41:00"/>
    <d v="1899-12-30T15:08:00"/>
    <n v="6.666666666666643E-2"/>
    <n v="1.4500000000000002"/>
    <n v="1.5166666666666666"/>
    <s v="Generator brush replaced"/>
    <s v="Close"/>
    <n v="3.7916666666666668E-2"/>
    <s v="G27"/>
    <n v="77.539583333333326"/>
    <s v="None"/>
    <s v="WTG Breakdown Maintenance"/>
    <n v="1227"/>
    <n v="77.539583333333326"/>
    <m/>
    <m/>
    <m/>
    <m/>
  </r>
  <r>
    <n v="1025"/>
    <x v="121"/>
    <x v="1"/>
    <x v="0"/>
    <x v="4"/>
    <x v="1"/>
    <x v="11"/>
    <s v="PWEGPL"/>
    <s v="MSEDCL"/>
    <n v="2.5000000000000001E-2"/>
    <n v="523"/>
    <x v="335"/>
    <s v="BD"/>
    <d v="1899-12-30T14:43:00"/>
    <d v="1899-12-30T15:04:00"/>
    <d v="1899-12-30T15:04:00"/>
    <n v="0.34999999999999876"/>
    <n v="0"/>
    <n v="0.34999999999999876"/>
    <s v="Autoreset"/>
    <s v="Close"/>
    <n v="8.7499999999999696E-3"/>
    <s v="G31"/>
    <n v="3.8208333333333195"/>
    <s v="None"/>
    <s v="WTG Breakdown Maintenance"/>
    <n v="262"/>
    <n v="3.8208333333333195"/>
    <m/>
    <m/>
    <m/>
    <m/>
  </r>
  <r>
    <n v="1026"/>
    <x v="121"/>
    <x v="1"/>
    <x v="0"/>
    <x v="4"/>
    <x v="1"/>
    <x v="3"/>
    <s v="PWEGPL"/>
    <s v="MSEDCL"/>
    <n v="2.5000000000000001E-2"/>
    <n v="203"/>
    <x v="290"/>
    <s v="BD"/>
    <d v="1899-12-30T20:27:00"/>
    <d v="1899-12-30T21:56:00"/>
    <d v="1899-12-30T22:03:00"/>
    <n v="1.4833333333333334"/>
    <n v="0.11666666666666892"/>
    <n v="1.6000000000000023"/>
    <s v="Rebot &amp; Reset"/>
    <s v="Close"/>
    <n v="4.0000000000000063E-2"/>
    <s v="G26"/>
    <n v="86.400000000000119"/>
    <s v="None"/>
    <s v="WTG Breakdown Maintenance"/>
    <n v="1296"/>
    <n v="86.400000000000119"/>
    <m/>
    <m/>
    <m/>
    <m/>
  </r>
  <r>
    <n v="1027"/>
    <x v="122"/>
    <x v="1"/>
    <x v="0"/>
    <x v="4"/>
    <x v="1"/>
    <x v="28"/>
    <s v="PWEGPL"/>
    <s v="MSEDCL"/>
    <n v="2.5000000000000001E-2"/>
    <n v="205"/>
    <x v="312"/>
    <s v="BD"/>
    <d v="1899-12-30T16:09:00"/>
    <d v="1899-12-30T17:00:00"/>
    <d v="1899-12-30T18:42:00"/>
    <n v="0.85000000000000231"/>
    <n v="1.6999999999999993"/>
    <n v="2.5500000000000016"/>
    <s v="Oil topup"/>
    <s v="Close"/>
    <n v="6.3750000000000043E-2"/>
    <s v="G11"/>
    <n v="323.10625000000022"/>
    <s v="None"/>
    <s v="WTG Breakdown Maintenance"/>
    <n v="3041"/>
    <n v="323.10625000000022"/>
    <m/>
    <m/>
    <m/>
    <m/>
  </r>
  <r>
    <n v="1028"/>
    <x v="122"/>
    <x v="1"/>
    <x v="0"/>
    <x v="4"/>
    <x v="1"/>
    <x v="0"/>
    <s v="PWEGPL"/>
    <s v="MSEDCL"/>
    <n v="2.5000000000000001E-2"/>
    <n v="222"/>
    <x v="323"/>
    <s v="BD"/>
    <d v="1899-12-30T06:09:00"/>
    <d v="1899-12-30T06:39:00"/>
    <d v="1899-12-30T06:49:00"/>
    <n v="0.49999999999999956"/>
    <n v="0.16666666666666607"/>
    <n v="0.66666666666666563"/>
    <s v="Rebot &amp; Reset"/>
    <s v="Close"/>
    <n v="1.6666666666666642E-2"/>
    <s v="G16"/>
    <n v="26.916666666666625"/>
    <s v="Material shotrage of PLC"/>
    <s v="WTG Breakdown Maintenance"/>
    <n v="969"/>
    <n v="26.916666666666625"/>
    <m/>
    <m/>
    <m/>
    <m/>
  </r>
  <r>
    <n v="1029"/>
    <x v="122"/>
    <x v="1"/>
    <x v="0"/>
    <x v="4"/>
    <x v="1"/>
    <x v="35"/>
    <s v="PWEGPL"/>
    <s v="MSEDCL"/>
    <n v="2.5000000000000001E-2"/>
    <n v="523"/>
    <x v="335"/>
    <s v="BD"/>
    <d v="1899-12-30T17:47:00"/>
    <d v="1899-12-30T21:51:00"/>
    <d v="1899-12-30T21:52:00"/>
    <n v="4.0666666666666682"/>
    <n v="1.6666666666663943E-2"/>
    <n v="4.0833333333333321"/>
    <s v="Auto reset"/>
    <s v="Close"/>
    <n v="0.1020833333333333"/>
    <s v="G25"/>
    <n v="806.11805555555532"/>
    <s v="None"/>
    <s v="WTG Breakdown Maintenance"/>
    <n v="4738"/>
    <n v="806.11805555555532"/>
    <m/>
    <m/>
    <m/>
    <m/>
  </r>
  <r>
    <n v="1030"/>
    <x v="122"/>
    <x v="1"/>
    <x v="0"/>
    <x v="4"/>
    <x v="1"/>
    <x v="11"/>
    <s v="PWEGPL"/>
    <s v="MSEDCL"/>
    <n v="2.5000000000000001E-2"/>
    <n v="5222"/>
    <x v="315"/>
    <s v="BD"/>
    <d v="1899-12-30T12:42:00"/>
    <d v="1899-12-30T13:10:00"/>
    <d v="1899-12-30T14:10:00"/>
    <n v="0.46666666666666501"/>
    <n v="1.0000000000000018"/>
    <n v="1.4666666666666668"/>
    <s v="rotor speed sensor replaced"/>
    <s v="Close"/>
    <n v="3.6666666666666674E-2"/>
    <s v="G31"/>
    <n v="113.97222222222223"/>
    <s v="None"/>
    <s v="WTG Breakdown Maintenance"/>
    <n v="1865"/>
    <n v="113.97222222222223"/>
    <m/>
    <m/>
    <m/>
    <m/>
  </r>
  <r>
    <n v="1031"/>
    <x v="122"/>
    <x v="1"/>
    <x v="0"/>
    <x v="4"/>
    <x v="1"/>
    <x v="3"/>
    <s v="PWEGPL"/>
    <s v="MSEDCL"/>
    <n v="2.5000000000000001E-2"/>
    <n v="203"/>
    <x v="290"/>
    <s v="BD"/>
    <d v="1899-12-30T19:26:00"/>
    <d v="1899-12-30T22:20:00"/>
    <d v="1899-12-30T22:26:00"/>
    <n v="2.8999999999999977"/>
    <n v="0.10000000000000231"/>
    <n v="3"/>
    <s v="Rebot &amp;Reset"/>
    <s v="Close"/>
    <n v="7.5000000000000011E-2"/>
    <s v="G26"/>
    <n v="492.25"/>
    <s v="None"/>
    <s v="WTG Breakdown Maintenance"/>
    <n v="3938"/>
    <n v="492.25"/>
    <m/>
    <m/>
    <m/>
    <m/>
  </r>
  <r>
    <n v="1032"/>
    <x v="122"/>
    <x v="1"/>
    <x v="0"/>
    <x v="4"/>
    <x v="1"/>
    <x v="6"/>
    <s v="PWEGPL"/>
    <s v="MSEDCL"/>
    <n v="2.5000000000000001E-2"/>
    <n v="5219"/>
    <x v="358"/>
    <s v="BD"/>
    <d v="1899-12-30T11:54:00"/>
    <d v="1899-12-30T11:55:00"/>
    <d v="1899-12-30T11:59:00"/>
    <n v="1.6666666666665275E-2"/>
    <n v="6.666666666666643E-2"/>
    <n v="8.3333333333331705E-2"/>
    <s v="Control level sensor replaced"/>
    <s v="Close"/>
    <n v="2.0833333333332925E-3"/>
    <s v="G40"/>
    <n v="0.37499999999999267"/>
    <s v="None"/>
    <s v="WTG Breakdown Maintenance"/>
    <n v="108"/>
    <n v="0.37499999999999267"/>
    <m/>
    <m/>
    <m/>
    <m/>
  </r>
  <r>
    <n v="1033"/>
    <x v="122"/>
    <x v="1"/>
    <x v="0"/>
    <x v="4"/>
    <x v="1"/>
    <x v="0"/>
    <s v="PWEGPL"/>
    <s v="MSEDCL"/>
    <n v="2.5000000000000001E-2"/>
    <n v="5251"/>
    <x v="359"/>
    <s v="BD"/>
    <d v="1899-12-30T16:12:00"/>
    <d v="1899-12-30T16:10:00"/>
    <d v="1899-12-30T16:25:00"/>
    <n v="-3.333333333333055E-2"/>
    <n v="0.24999999999999911"/>
    <n v="0.21666666666666856"/>
    <s v="Rebot &amp;Reset"/>
    <s v="Close"/>
    <n v="5.4166666666667146E-3"/>
    <s v="G16"/>
    <n v="2.8437500000000249"/>
    <s v="None"/>
    <s v="WTG Breakdown Maintenance"/>
    <n v="315"/>
    <n v="2.8437500000000249"/>
    <m/>
    <m/>
    <m/>
    <m/>
  </r>
  <r>
    <n v="1034"/>
    <x v="122"/>
    <x v="1"/>
    <x v="0"/>
    <x v="4"/>
    <x v="1"/>
    <x v="0"/>
    <s v="PWEGPL"/>
    <s v="MSEDCL"/>
    <n v="2.5000000000000001E-2"/>
    <n v="406"/>
    <x v="360"/>
    <s v="BD"/>
    <d v="1899-12-30T13:19:00"/>
    <d v="1899-12-30T13:40:00"/>
    <d v="1899-12-30T13:47:00"/>
    <n v="0.34999999999999876"/>
    <n v="0.11666666666666625"/>
    <n v="0.46666666666666501"/>
    <s v="Rebot &amp;Reset"/>
    <s v="Close"/>
    <n v="1.1666666666666626E-2"/>
    <s v="G16"/>
    <n v="13.183333333333287"/>
    <s v="None"/>
    <s v="WTG Breakdown Maintenance"/>
    <n v="678"/>
    <n v="13.183333333333287"/>
    <m/>
    <m/>
    <m/>
    <m/>
  </r>
  <r>
    <n v="1035"/>
    <x v="122"/>
    <x v="1"/>
    <x v="0"/>
    <x v="4"/>
    <x v="1"/>
    <x v="6"/>
    <s v="PWEGPL"/>
    <s v="MSEDCL"/>
    <n v="2.5000000000000001E-2"/>
    <s v="CE100001"/>
    <x v="288"/>
    <s v="Manual stop"/>
    <d v="1899-12-30T12:15:00"/>
    <d v="1899-12-30T12:15:00"/>
    <d v="1899-12-30T13:08:00"/>
    <n v="0"/>
    <n v="0.88333333333333286"/>
    <n v="0.88333333333333286"/>
    <s v="Control level sensor replaced"/>
    <s v="Close"/>
    <n v="2.2083333333333323E-2"/>
    <s v="G40"/>
    <n v="42.215972222222199"/>
    <s v="None"/>
    <s v="WTG Unscheduled Maintenance"/>
    <n v="1147"/>
    <n v="42.215972222222199"/>
    <m/>
    <m/>
    <m/>
    <m/>
  </r>
  <r>
    <n v="1036"/>
    <x v="122"/>
    <x v="1"/>
    <x v="0"/>
    <x v="4"/>
    <x v="1"/>
    <x v="6"/>
    <s v="PWEGPL"/>
    <s v="MSEDCL"/>
    <n v="2.5000000000000001E-2"/>
    <s v="CE100001"/>
    <x v="288"/>
    <s v="Manual stop"/>
    <d v="1899-12-30T14:25:00"/>
    <d v="1899-12-30T14:25:00"/>
    <d v="1899-12-30T14:54:00"/>
    <n v="0"/>
    <n v="0.48333333333333428"/>
    <n v="0.48333333333333428"/>
    <s v="Control level sensor replaced"/>
    <s v="Close"/>
    <n v="1.2083333333333357E-2"/>
    <s v="G40"/>
    <n v="12.647222222222247"/>
    <s v="None"/>
    <s v="WTG Unscheduled Maintenance"/>
    <n v="628"/>
    <n v="12.647222222222247"/>
    <m/>
    <m/>
    <m/>
    <m/>
  </r>
  <r>
    <n v="1037"/>
    <x v="122"/>
    <x v="1"/>
    <x v="0"/>
    <x v="4"/>
    <x v="1"/>
    <x v="3"/>
    <s v="PWEGPL"/>
    <s v="MSEDCL"/>
    <n v="2.5000000000000001E-2"/>
    <n v="203"/>
    <x v="290"/>
    <s v="BD"/>
    <d v="1899-12-30T13:08:00"/>
    <d v="1899-12-30T13:52:00"/>
    <d v="1899-12-30T13:58:00"/>
    <n v="0.73333333333333606"/>
    <n v="9.9999999999999645E-2"/>
    <n v="0.8333333333333357"/>
    <s v="Rebot &amp;Reset"/>
    <s v="Close"/>
    <n v="2.0833333333333395E-2"/>
    <s v="G26"/>
    <n v="37.986111111111221"/>
    <s v="None"/>
    <s v="WTG Breakdown Maintenance"/>
    <n v="1094"/>
    <n v="37.986111111111221"/>
    <m/>
    <m/>
    <m/>
    <m/>
  </r>
  <r>
    <n v="1038"/>
    <x v="122"/>
    <x v="1"/>
    <x v="0"/>
    <x v="4"/>
    <x v="1"/>
    <x v="6"/>
    <s v="PWEGPL"/>
    <s v="MSEDCL"/>
    <n v="2.5000000000000001E-2"/>
    <n v="5219"/>
    <x v="358"/>
    <s v="BD"/>
    <d v="1899-12-30T11:10:00"/>
    <d v="1899-12-30T11:15:00"/>
    <d v="1899-12-30T11:25:00"/>
    <n v="8.333333333333437E-2"/>
    <n v="0.16666666666666607"/>
    <n v="0.25000000000000044"/>
    <s v="Control level sensor replaced"/>
    <s v="Close"/>
    <n v="6.2500000000000116E-3"/>
    <s v="G40"/>
    <n v="3.3750000000000062"/>
    <s v="None"/>
    <s v="WTG Breakdown Maintenance"/>
    <n v="324"/>
    <n v="3.3750000000000062"/>
    <m/>
    <m/>
    <m/>
    <m/>
  </r>
  <r>
    <n v="1039"/>
    <x v="123"/>
    <x v="1"/>
    <x v="0"/>
    <x v="4"/>
    <x v="1"/>
    <x v="0"/>
    <s v="PWEGPL"/>
    <s v="MSEDCL"/>
    <n v="2.5000000000000001E-2"/>
    <n v="222"/>
    <x v="323"/>
    <s v="BD"/>
    <d v="1899-12-30T21:25:00"/>
    <d v="1899-12-30T23:59:00"/>
    <d v="1899-12-30T23:59:00"/>
    <n v="2.5666666666666655"/>
    <n v="0"/>
    <n v="2.5666666666666655"/>
    <s v="PLC software updated"/>
    <s v="Open"/>
    <n v="6.4166666666666636E-2"/>
    <s v="G16"/>
    <n v="198.27499999999992"/>
    <s v="Material shotrage of PLC"/>
    <s v="WTG Breakdown Maintenance"/>
    <n v="1854"/>
    <n v="198.27499999999992"/>
    <m/>
    <m/>
    <m/>
    <m/>
  </r>
  <r>
    <n v="1040"/>
    <x v="123"/>
    <x v="1"/>
    <x v="0"/>
    <x v="4"/>
    <x v="1"/>
    <x v="0"/>
    <s v="PWEGPL"/>
    <s v="MSEDCL"/>
    <n v="2.5000000000000001E-2"/>
    <n v="5216"/>
    <x v="306"/>
    <s v="BD"/>
    <d v="1899-12-30T04:47:00"/>
    <d v="1899-12-30T05:02:00"/>
    <d v="1899-12-30T05:02:00"/>
    <n v="0.25000000000000044"/>
    <n v="0"/>
    <n v="0.25000000000000044"/>
    <s v="Reset"/>
    <s v="Close"/>
    <n v="6.2500000000000116E-3"/>
    <s v="G16"/>
    <n v="1.9375000000000036"/>
    <s v="None"/>
    <s v="WTG Breakdown Maintenance"/>
    <n v="186"/>
    <n v="1.9375000000000036"/>
    <m/>
    <m/>
    <m/>
    <m/>
  </r>
  <r>
    <n v="1041"/>
    <x v="123"/>
    <x v="1"/>
    <x v="0"/>
    <x v="4"/>
    <x v="1"/>
    <x v="35"/>
    <s v="PWEGPL"/>
    <s v="MSEDCL"/>
    <n v="2.5000000000000001E-2"/>
    <s v="CE100001"/>
    <x v="288"/>
    <s v="Manual stop"/>
    <d v="1899-12-30T12:10:00"/>
    <d v="1899-12-30T12:10:00"/>
    <d v="1899-12-30T13:47:00"/>
    <n v="0"/>
    <n v="1.6166666666666663"/>
    <n v="1.6166666666666663"/>
    <s v="Repeated error troubleshooting work"/>
    <s v="Close"/>
    <n v="4.0416666666666656E-2"/>
    <s v="G27"/>
    <n v="106.02638888888886"/>
    <s v="None"/>
    <s v="WTG Unscheduled Maintenance"/>
    <n v="1574"/>
    <n v="106.02638888888886"/>
    <m/>
    <m/>
    <m/>
    <m/>
  </r>
  <r>
    <n v="1042"/>
    <x v="123"/>
    <x v="1"/>
    <x v="0"/>
    <x v="4"/>
    <x v="1"/>
    <x v="36"/>
    <s v="PWEGPL"/>
    <s v="MSEDCL"/>
    <n v="2.5000000000000001E-2"/>
    <n v="523"/>
    <x v="335"/>
    <s v="BD"/>
    <d v="1899-12-30T11:52:00"/>
    <d v="1899-12-30T12:10:00"/>
    <d v="1899-12-30T12:18:00"/>
    <n v="0.29999999999999893"/>
    <n v="0.13333333333333552"/>
    <n v="0.43333333333333446"/>
    <s v="AutoReset"/>
    <s v="Close"/>
    <n v="1.0833333333333361E-2"/>
    <s v="G27"/>
    <n v="7.6013888888889092"/>
    <s v="None"/>
    <s v="WTG Breakdown Maintenance"/>
    <n v="421"/>
    <n v="7.6013888888889092"/>
    <m/>
    <m/>
    <m/>
    <m/>
  </r>
  <r>
    <n v="1043"/>
    <x v="123"/>
    <x v="1"/>
    <x v="0"/>
    <x v="4"/>
    <x v="1"/>
    <x v="6"/>
    <s v="PWEGPL"/>
    <s v="MSEDCL"/>
    <n v="2.5000000000000001E-2"/>
    <n v="116"/>
    <x v="361"/>
    <s v="BD"/>
    <d v="1899-12-30T12:19:00"/>
    <d v="1899-12-30T12:22:00"/>
    <d v="1899-12-30T23:59:00"/>
    <n v="5.0000000000002487E-2"/>
    <n v="11.616666666666665"/>
    <n v="11.666666666666668"/>
    <s v="PLC software updation work in progress"/>
    <s v="Open"/>
    <n v="0.29166666666666669"/>
    <s v="G40"/>
    <n v="4035.6944444444453"/>
    <s v="None"/>
    <s v="WTG Breakdown Maintenance"/>
    <n v="8302"/>
    <n v="4035.6944444444453"/>
    <m/>
    <m/>
    <m/>
    <m/>
  </r>
  <r>
    <n v="1044"/>
    <x v="124"/>
    <x v="1"/>
    <x v="0"/>
    <x v="4"/>
    <x v="1"/>
    <x v="21"/>
    <s v="PWEGPL"/>
    <s v="MSEDCL"/>
    <n v="2.5000000000000001E-2"/>
    <s v="CE100001"/>
    <x v="288"/>
    <s v="Manual stop"/>
    <d v="1899-12-30T10:56:00"/>
    <d v="1899-12-30T10:56:00"/>
    <d v="1899-12-30T13:17:00"/>
    <n v="0"/>
    <n v="2.350000000000001"/>
    <n v="2.350000000000001"/>
    <s v="KM004 contactor replacement work"/>
    <s v="Close"/>
    <n v="5.8750000000000024E-2"/>
    <s v="G04"/>
    <n v="235.53078993055578"/>
    <s v="None"/>
    <s v="WTG Unscheduled Maintenance"/>
    <n v="2405.4208333333345"/>
    <n v="235.53078993055578"/>
    <m/>
    <m/>
    <m/>
    <m/>
  </r>
  <r>
    <n v="1045"/>
    <x v="124"/>
    <x v="1"/>
    <x v="0"/>
    <x v="4"/>
    <x v="1"/>
    <x v="30"/>
    <s v="PWEGPL"/>
    <s v="MSEDCL"/>
    <n v="2.5000000000000001E-2"/>
    <s v="CE100001"/>
    <x v="288"/>
    <s v="Manual stop"/>
    <d v="1899-12-30T14:40:00"/>
    <d v="1899-12-30T14:40:00"/>
    <d v="1899-12-30T15:52:00"/>
    <n v="0"/>
    <n v="1.2000000000000011"/>
    <n v="1.2000000000000011"/>
    <s v="KM004 contactor replacement work"/>
    <s v="Close"/>
    <n v="3.0000000000000027E-2"/>
    <s v="G11"/>
    <n v="64.055000000000106"/>
    <s v="None"/>
    <s v="WTG Unscheduled Maintenance"/>
    <n v="1281.100000000001"/>
    <n v="64.055000000000106"/>
    <m/>
    <m/>
    <m/>
    <m/>
  </r>
  <r>
    <n v="1046"/>
    <x v="124"/>
    <x v="1"/>
    <x v="0"/>
    <x v="4"/>
    <x v="1"/>
    <x v="0"/>
    <s v="PWEGPL"/>
    <s v="MSEDCL"/>
    <n v="2.5000000000000001E-2"/>
    <n v="700"/>
    <x v="329"/>
    <s v="BD"/>
    <d v="1899-12-30T05:25:00"/>
    <d v="1899-12-30T05:41:00"/>
    <d v="1899-12-30T05:48:00"/>
    <n v="0.26666666666666705"/>
    <n v="0.11666666666666625"/>
    <n v="0.3833333333333333"/>
    <s v="Rebot &amp;Reset"/>
    <s v="Close"/>
    <n v="9.5833333333333326E-3"/>
    <s v="G16"/>
    <n v="6.2573842592592577"/>
    <s v="Material shotrage of PLC"/>
    <s v="WTG Breakdown Maintenance"/>
    <n v="391.76666666666665"/>
    <n v="6.2573842592592577"/>
    <m/>
    <m/>
    <m/>
    <m/>
  </r>
  <r>
    <n v="1047"/>
    <x v="124"/>
    <x v="1"/>
    <x v="0"/>
    <x v="4"/>
    <x v="1"/>
    <x v="0"/>
    <s v="PWEGPL"/>
    <s v="MSEDCL"/>
    <n v="2.5000000000000001E-2"/>
    <n v="203"/>
    <x v="290"/>
    <s v="BD"/>
    <d v="1899-12-30T07:45:00"/>
    <d v="1899-12-30T08:04:00"/>
    <d v="1899-12-30T08:10:00"/>
    <n v="0.31666666666666554"/>
    <n v="9.9999999999999645E-2"/>
    <n v="0.41666666666666519"/>
    <s v="Rebot &amp;Reset"/>
    <s v="Close"/>
    <n v="1.041666666666663E-2"/>
    <s v="G16"/>
    <n v="7.3929398148147625"/>
    <s v="Material shotrage of PLC"/>
    <s v="WTG Breakdown Maintenance"/>
    <n v="425.83333333333184"/>
    <n v="7.3929398148147625"/>
    <m/>
    <m/>
    <m/>
    <m/>
  </r>
  <r>
    <n v="1048"/>
    <x v="124"/>
    <x v="1"/>
    <x v="0"/>
    <x v="4"/>
    <x v="1"/>
    <x v="0"/>
    <s v="PWEGPL"/>
    <s v="MSEDCL"/>
    <n v="2.5000000000000001E-2"/>
    <n v="203"/>
    <x v="290"/>
    <s v="BD"/>
    <d v="1899-12-30T15:30:00"/>
    <d v="1899-12-30T15:42:00"/>
    <d v="1899-12-30T15:52:00"/>
    <n v="0.19999999999999929"/>
    <n v="0.16666666666666607"/>
    <n v="0.36666666666666536"/>
    <s v="Rebot &amp;Reset"/>
    <s v="Close"/>
    <n v="9.1666666666666338E-3"/>
    <s v="G16"/>
    <n v="5.7250925925925511"/>
    <s v="Material shotrage of PLC"/>
    <s v="WTG Breakdown Maintenance"/>
    <n v="374.73333333333198"/>
    <n v="5.7250925925925511"/>
    <m/>
    <m/>
    <m/>
    <m/>
  </r>
  <r>
    <n v="1049"/>
    <x v="124"/>
    <x v="1"/>
    <x v="0"/>
    <x v="4"/>
    <x v="1"/>
    <x v="0"/>
    <s v="PWEGPL"/>
    <s v="MSEDCL"/>
    <n v="2.5000000000000001E-2"/>
    <n v="203"/>
    <x v="290"/>
    <s v="BD"/>
    <d v="1899-12-30T22:36:00"/>
    <d v="1899-12-30T23:29:00"/>
    <d v="1899-12-30T23:41:00"/>
    <n v="0.88333333333333286"/>
    <n v="0.19999999999999929"/>
    <n v="1.0833333333333321"/>
    <s v="Rebot &amp;Reset"/>
    <s v="Close"/>
    <n v="2.7083333333333307E-2"/>
    <s v="G16"/>
    <n v="49.976273148148039"/>
    <s v="Material shotrage of PLC"/>
    <s v="WTG Breakdown Maintenance"/>
    <n v="1107.1666666666654"/>
    <n v="49.976273148148039"/>
    <m/>
    <m/>
    <m/>
    <m/>
  </r>
  <r>
    <n v="1050"/>
    <x v="125"/>
    <x v="1"/>
    <x v="0"/>
    <x v="4"/>
    <x v="1"/>
    <x v="20"/>
    <s v="PWEGPL"/>
    <s v="MSEDCL"/>
    <n v="2.5000000000000001E-2"/>
    <s v="CE100001"/>
    <x v="288"/>
    <s v="Manual stop"/>
    <d v="1899-12-30T11:06:00"/>
    <d v="1899-12-30T11:06:00"/>
    <d v="1899-12-30T12:09:00"/>
    <n v="0"/>
    <n v="1.0500000000000003"/>
    <n v="1.0500000000000003"/>
    <s v="KM004 contactor replacement work"/>
    <s v="Close"/>
    <n v="2.6250000000000009E-2"/>
    <s v="G06"/>
    <n v="37.716601562500024"/>
    <s v="None"/>
    <s v="WTG Unscheduled Maintenance"/>
    <n v="862.09375000000023"/>
    <n v="37.716601562500024"/>
    <m/>
    <m/>
    <m/>
    <m/>
  </r>
  <r>
    <n v="1051"/>
    <x v="125"/>
    <x v="1"/>
    <x v="0"/>
    <x v="4"/>
    <x v="1"/>
    <x v="26"/>
    <s v="PWEGPL"/>
    <s v="MSEDCL"/>
    <n v="2.5000000000000001E-2"/>
    <s v="CE100001"/>
    <x v="288"/>
    <s v="Manual stop"/>
    <d v="1899-12-30T12:17:00"/>
    <d v="1899-12-30T12:17:00"/>
    <d v="1899-12-30T13:43:00"/>
    <n v="0"/>
    <n v="1.4333333333333336"/>
    <n v="1.4333333333333336"/>
    <s v="KM004 contactor replacement work"/>
    <s v="Close"/>
    <n v="3.5833333333333342E-2"/>
    <s v="G08"/>
    <n v="63.002962962962975"/>
    <s v="None"/>
    <s v="WTG Unscheduled Maintenance"/>
    <n v="1054.9333333333334"/>
    <n v="63.002962962962975"/>
    <m/>
    <m/>
    <m/>
    <m/>
  </r>
  <r>
    <n v="1052"/>
    <x v="125"/>
    <x v="1"/>
    <x v="0"/>
    <x v="4"/>
    <x v="1"/>
    <x v="0"/>
    <s v="PWEGPL"/>
    <s v="MSEDCL"/>
    <n v="2.5000000000000001E-2"/>
    <n v="700"/>
    <x v="329"/>
    <s v="BD"/>
    <d v="1899-12-30T17:32:00"/>
    <d v="1899-12-30T17:40:00"/>
    <d v="1899-12-30T18:38:00"/>
    <n v="0.13333333333333286"/>
    <n v="0.9666666666666659"/>
    <n v="1.0999999999999988"/>
    <s v="Reset"/>
    <s v="Close"/>
    <n v="2.7499999999999969E-2"/>
    <s v="G18"/>
    <n v="46.484166666666567"/>
    <s v="None"/>
    <s v="WTG Breakdown Maintenance"/>
    <n v="1014.1999999999989"/>
    <n v="46.484166666666567"/>
    <m/>
    <m/>
    <m/>
    <m/>
  </r>
  <r>
    <n v="1053"/>
    <x v="125"/>
    <x v="1"/>
    <x v="0"/>
    <x v="4"/>
    <x v="1"/>
    <x v="36"/>
    <s v="PWEGPL"/>
    <s v="MSEDCL"/>
    <n v="2.5000000000000001E-2"/>
    <n v="429"/>
    <x v="316"/>
    <s v="Manual stop"/>
    <d v="1899-12-30T11:37:00"/>
    <d v="1899-12-30T11:37:00"/>
    <d v="1899-12-30T13:00:00"/>
    <n v="0"/>
    <n v="1.3833333333333324"/>
    <n v="1.3833333333333324"/>
    <s v="Radiator cleaning done"/>
    <s v="Close"/>
    <n v="3.4583333333333313E-2"/>
    <s v="G27"/>
    <n v="49.97980131172833"/>
    <s v="None"/>
    <s v="WTG Unscheduled Maintenance"/>
    <n v="867.11944444444396"/>
    <n v="49.97980131172833"/>
    <m/>
    <m/>
    <m/>
    <m/>
  </r>
  <r>
    <n v="1054"/>
    <x v="125"/>
    <x v="1"/>
    <x v="0"/>
    <x v="4"/>
    <x v="1"/>
    <x v="8"/>
    <s v="PWEGPL"/>
    <s v="MSEDCL"/>
    <n v="2.5000000000000001E-2"/>
    <n v="429"/>
    <x v="316"/>
    <s v="Manual stop"/>
    <d v="1899-12-30T13:37:00"/>
    <d v="1899-12-30T13:37:00"/>
    <d v="1899-12-30T15:26:00"/>
    <n v="0"/>
    <n v="1.8166666666666682"/>
    <n v="1.8166666666666682"/>
    <s v="Radiator cleaning done"/>
    <s v="Close"/>
    <n v="4.5416666666666709E-2"/>
    <s v="G28"/>
    <n v="104.24523244598784"/>
    <s v="None"/>
    <s v="WTG Unscheduled Maintenance"/>
    <n v="1377.1847222222234"/>
    <n v="104.24523244598784"/>
    <m/>
    <m/>
    <m/>
    <m/>
  </r>
  <r>
    <n v="1055"/>
    <x v="126"/>
    <x v="1"/>
    <x v="0"/>
    <x v="4"/>
    <x v="1"/>
    <x v="0"/>
    <s v="PWEGPL"/>
    <s v="MSEDCL"/>
    <n v="2.5000000000000001E-2"/>
    <n v="2509"/>
    <x v="201"/>
    <s v="BD"/>
    <d v="1899-12-30T07:25:00"/>
    <d v="1899-12-30T10:00:00"/>
    <d v="1899-12-30T10:18:00"/>
    <n v="2.5833333333333335"/>
    <n v="0.30000000000000027"/>
    <n v="2.8833333333333337"/>
    <s v="Reset"/>
    <s v="Close"/>
    <n v="7.2083333333333346E-2"/>
    <s v="G18"/>
    <n v="307.8345447530865"/>
    <s v="Material shotrage of PLC"/>
    <s v="WTG Breakdown Maintenance"/>
    <n v="2562.3222222222225"/>
    <n v="307.8345447530865"/>
    <m/>
    <m/>
    <m/>
    <m/>
  </r>
  <r>
    <n v="1056"/>
    <x v="126"/>
    <x v="1"/>
    <x v="0"/>
    <x v="4"/>
    <x v="1"/>
    <x v="6"/>
    <s v="PWEGPL"/>
    <s v="MSEDCL"/>
    <n v="2.5000000000000001E-2"/>
    <s v="CE100001"/>
    <x v="288"/>
    <s v="Manual stop"/>
    <d v="1899-12-30T11:25:00"/>
    <d v="1899-12-30T11:25:00"/>
    <d v="1899-12-30T18:05:00"/>
    <n v="0"/>
    <n v="6.666666666666667"/>
    <n v="6.666666666666667"/>
    <s v="Hub accumulator blader replacement"/>
    <s v="Close"/>
    <n v="0.16666666666666669"/>
    <s v="G40"/>
    <n v="1108.179012345679"/>
    <s v="None"/>
    <s v="WTG Unscheduled Maintenance"/>
    <n v="3989.4444444444443"/>
    <n v="1108.179012345679"/>
    <m/>
    <m/>
    <m/>
    <m/>
  </r>
  <r>
    <n v="1057"/>
    <x v="126"/>
    <x v="1"/>
    <x v="0"/>
    <x v="4"/>
    <x v="1"/>
    <x v="0"/>
    <s v="PWEGPL"/>
    <s v="MSEDCL"/>
    <n v="2.5000000000000001E-2"/>
    <n v="2509"/>
    <x v="201"/>
    <s v="BD"/>
    <d v="1899-12-30T18:33:00"/>
    <d v="1899-12-30T18:40:00"/>
    <d v="1899-12-30T23:59:00"/>
    <n v="0.11666666666666625"/>
    <n v="5.3166666666666664"/>
    <n v="5.4333333333333327"/>
    <s v="Material shortage - PLC failed"/>
    <s v="Open"/>
    <n v="0.13583333333333333"/>
    <s v="G18"/>
    <n v="1093.1011419753083"/>
    <s v="Material shotrage of PLC"/>
    <s v="WTG Breakdown Maintenance"/>
    <n v="4828.4222222222215"/>
    <n v="1093.1011419753083"/>
    <m/>
    <m/>
    <m/>
    <m/>
  </r>
  <r>
    <n v="1058"/>
    <x v="127"/>
    <x v="1"/>
    <x v="0"/>
    <x v="4"/>
    <x v="1"/>
    <x v="0"/>
    <s v="PWEGPL"/>
    <s v="MSEDCL"/>
    <n v="2.5000000000000001E-2"/>
    <n v="2509"/>
    <x v="201"/>
    <s v="BD"/>
    <d v="1899-12-30T00:00:00"/>
    <d v="1899-12-30T23:59:00"/>
    <d v="1899-12-30T23:59:00"/>
    <n v="23.983333333333334"/>
    <n v="0"/>
    <n v="23.983333333333334"/>
    <s v="Material shortage - PLC failed"/>
    <s v="Open"/>
    <n v="0.59958333333333336"/>
    <s v="G16"/>
    <n v="16592.469444444447"/>
    <s v="Material shotrage of PLC"/>
    <s v="WTG Breakdown Maintenance"/>
    <n v="16604"/>
    <n v="16592.469444444447"/>
    <m/>
    <m/>
    <m/>
    <m/>
  </r>
  <r>
    <n v="1059"/>
    <x v="127"/>
    <x v="1"/>
    <x v="0"/>
    <x v="4"/>
    <x v="1"/>
    <x v="2"/>
    <s v="PWEGPL"/>
    <s v="MSEDCL"/>
    <n v="2.5000000000000001E-2"/>
    <n v="205"/>
    <x v="312"/>
    <s v="BD"/>
    <d v="1899-12-30T12:30:00"/>
    <d v="1899-12-30T12:30:00"/>
    <d v="1899-12-30T13:00:00"/>
    <n v="0"/>
    <n v="0.49999999999999822"/>
    <n v="0.49999999999999822"/>
    <s v="Oil topup"/>
    <s v="Close"/>
    <n v="1.2499999999999956E-2"/>
    <s v="G32"/>
    <n v="4.9999999999999822"/>
    <s v="None"/>
    <s v="WTG Breakdown Maintenance"/>
    <n v="240"/>
    <n v="4.9999999999999822"/>
    <m/>
    <m/>
    <m/>
    <m/>
  </r>
  <r>
    <n v="1060"/>
    <x v="127"/>
    <x v="1"/>
    <x v="0"/>
    <x v="4"/>
    <x v="1"/>
    <x v="9"/>
    <s v="PWEGPL"/>
    <s v="MSEDCL"/>
    <n v="2.5000000000000001E-2"/>
    <n v="205"/>
    <x v="312"/>
    <s v="BD"/>
    <d v="1899-12-30T14:00:00"/>
    <d v="1899-12-30T14:00:00"/>
    <d v="1899-12-30T14:30:00"/>
    <n v="0"/>
    <n v="0.49999999999999822"/>
    <n v="0.49999999999999822"/>
    <s v="Oil topup"/>
    <s v="Close"/>
    <n v="1.2499999999999956E-2"/>
    <s v="G29"/>
    <n v="5.5833333333333135"/>
    <s v="None"/>
    <s v="WTG Breakdown Maintenance"/>
    <n v="268"/>
    <n v="5.5833333333333135"/>
    <m/>
    <m/>
    <m/>
    <m/>
  </r>
  <r>
    <n v="1061"/>
    <x v="127"/>
    <x v="1"/>
    <x v="0"/>
    <x v="4"/>
    <x v="1"/>
    <x v="7"/>
    <s v="PWEGPL"/>
    <s v="MSEDCL"/>
    <n v="2.5000000000000001E-2"/>
    <n v="205"/>
    <x v="312"/>
    <s v="BD"/>
    <d v="1899-12-30T11:45:00"/>
    <d v="1899-12-30T11:45:00"/>
    <d v="1899-12-30T12:15:00"/>
    <n v="0"/>
    <n v="0.49999999999999956"/>
    <n v="0.49999999999999956"/>
    <s v="Oil topup"/>
    <s v="Close"/>
    <n v="1.249999999999999E-2"/>
    <s v="G39"/>
    <n v="4.7083333333333286"/>
    <s v="None"/>
    <s v="WTG Breakdown Maintenance"/>
    <n v="226"/>
    <n v="4.7083333333333286"/>
    <m/>
    <m/>
    <m/>
    <m/>
  </r>
  <r>
    <n v="1062"/>
    <x v="128"/>
    <x v="1"/>
    <x v="0"/>
    <x v="4"/>
    <x v="1"/>
    <x v="28"/>
    <s v="PWEGPL"/>
    <s v="MSEDCL"/>
    <n v="2.5000000000000001E-2"/>
    <n v="429"/>
    <x v="316"/>
    <s v="Manual stop"/>
    <d v="1899-12-30T13:32:00"/>
    <d v="1899-12-30T15:37:00"/>
    <d v="1899-12-30T15:37:00"/>
    <n v="2.0833333333333339"/>
    <n v="0"/>
    <n v="2.0833333333333339"/>
    <s v="Radiator cleaning done"/>
    <s v="Close"/>
    <n v="5.208333333333335E-2"/>
    <s v="G08"/>
    <n v="117.97116126543217"/>
    <s v="None"/>
    <s v="WTG Unscheduled Maintenance"/>
    <n v="1359.0277777777783"/>
    <n v="117.97116126543217"/>
    <m/>
    <m/>
    <m/>
    <m/>
  </r>
  <r>
    <n v="1063"/>
    <x v="128"/>
    <x v="1"/>
    <x v="0"/>
    <x v="4"/>
    <x v="1"/>
    <x v="29"/>
    <s v="PWEGPL"/>
    <s v="MSEDCL"/>
    <n v="2.5000000000000001E-2"/>
    <n v="429"/>
    <x v="316"/>
    <s v="Manual stop"/>
    <d v="1899-12-30T10:59:00"/>
    <d v="1899-12-30T10:59:00"/>
    <d v="1899-12-30T12:46:00"/>
    <n v="0"/>
    <n v="1.7833333333333337"/>
    <n v="1.7833333333333337"/>
    <s v="Radiator cleaning done"/>
    <s v="Close"/>
    <n v="4.4583333333333343E-2"/>
    <s v="G09"/>
    <n v="92.051373456790145"/>
    <s v="None"/>
    <s v="WTG Unscheduled Maintenance"/>
    <n v="1238.8222222222223"/>
    <n v="92.051373456790145"/>
    <m/>
    <m/>
    <m/>
    <m/>
  </r>
  <r>
    <n v="1064"/>
    <x v="128"/>
    <x v="1"/>
    <x v="0"/>
    <x v="4"/>
    <x v="1"/>
    <x v="0"/>
    <s v="PWEGPL"/>
    <s v="MSEDCL"/>
    <n v="2.5000000000000001E-2"/>
    <n v="2509"/>
    <x v="201"/>
    <s v="BD"/>
    <d v="1899-12-30T00:00:00"/>
    <d v="1899-12-30T00:00:00"/>
    <d v="1899-12-30T03:12:00"/>
    <n v="0"/>
    <n v="3.2"/>
    <n v="3.2"/>
    <s v="PLC replaced"/>
    <s v="Close"/>
    <n v="8.0000000000000016E-2"/>
    <s v="G18"/>
    <n v="388.26666666666665"/>
    <s v="Material shotrage of PLC"/>
    <s v="WTG Breakdown Maintenance"/>
    <n v="2912"/>
    <n v="388.26666666666665"/>
    <m/>
    <m/>
    <m/>
    <m/>
  </r>
  <r>
    <n v="1065"/>
    <x v="128"/>
    <x v="1"/>
    <x v="0"/>
    <x v="4"/>
    <x v="1"/>
    <x v="6"/>
    <s v="PWEGPL"/>
    <s v="MSEDCL"/>
    <n v="2.5000000000000001E-2"/>
    <n v="2102"/>
    <x v="320"/>
    <s v="Manual stop"/>
    <d v="1899-12-30T17:10:00"/>
    <d v="1899-12-30T17:10:00"/>
    <d v="1899-12-30T17:48:00"/>
    <n v="0"/>
    <n v="0.63333333333333375"/>
    <n v="0.63333333333333375"/>
    <s v="PLC replaced"/>
    <s v="Close"/>
    <n v="1.5833333333333345E-2"/>
    <s v="G40"/>
    <n v="10.6336226851852"/>
    <s v="None"/>
    <s v="WTG Unscheduled Maintenance"/>
    <n v="402.9583333333336"/>
    <n v="10.6336226851852"/>
    <m/>
    <m/>
    <m/>
    <m/>
  </r>
  <r>
    <n v="1066"/>
    <x v="128"/>
    <x v="1"/>
    <x v="0"/>
    <x v="4"/>
    <x v="1"/>
    <x v="0"/>
    <s v="PWEGPL"/>
    <s v="MSEDCL"/>
    <n v="2.5000000000000001E-2"/>
    <n v="2509"/>
    <x v="201"/>
    <s v="BD"/>
    <d v="1899-12-30T16:24:00"/>
    <d v="1899-12-30T16:35:00"/>
    <d v="1899-12-30T16:38:00"/>
    <n v="0.18333333333333535"/>
    <n v="4.9999999999999822E-2"/>
    <n v="0.23333333333333517"/>
    <s v="reset"/>
    <s v="Close"/>
    <n v="5.8333333333333796E-3"/>
    <s v="G18"/>
    <n v="2.0416666666666829"/>
    <s v="None"/>
    <s v="WTG Breakdown Maintenance"/>
    <n v="210"/>
    <n v="2.0416666666666829"/>
    <m/>
    <m/>
    <m/>
    <m/>
  </r>
  <r>
    <n v="1067"/>
    <x v="129"/>
    <x v="1"/>
    <x v="0"/>
    <x v="4"/>
    <x v="1"/>
    <x v="28"/>
    <s v="PWEGPL"/>
    <s v="MSEDCL"/>
    <n v="2.5000000000000001E-2"/>
    <n v="203"/>
    <x v="290"/>
    <s v="BD"/>
    <d v="1899-12-30T14:14:00"/>
    <d v="1899-12-30T15:01:00"/>
    <d v="1899-12-30T15:33:00"/>
    <n v="0.78333333333333321"/>
    <n v="0.5333333333333341"/>
    <n v="1.3166666666666673"/>
    <s v="oil top up done."/>
    <s v="Close"/>
    <n v="3.2916666666666684E-2"/>
    <s v="G11"/>
    <n v="33.347935956790153"/>
    <s v="None"/>
    <s v="WTG Breakdown Maintenance"/>
    <n v="607.86111111111143"/>
    <n v="33.347935956790153"/>
    <m/>
    <m/>
    <m/>
    <m/>
  </r>
  <r>
    <n v="1068"/>
    <x v="129"/>
    <x v="1"/>
    <x v="0"/>
    <x v="4"/>
    <x v="1"/>
    <x v="19"/>
    <s v="PWEGPL"/>
    <s v="MSEDCL"/>
    <n v="2.5000000000000001E-2"/>
    <n v="1893"/>
    <x v="362"/>
    <s v="BD"/>
    <d v="1899-12-30T02:55:00"/>
    <d v="1899-12-30T05:14:00"/>
    <d v="1899-12-30T05:47:00"/>
    <n v="2.3166666666666669"/>
    <n v="0.55000000000000004"/>
    <n v="2.8666666666666667"/>
    <s v="oil top up done."/>
    <s v="Close"/>
    <n v="7.166666666666667E-2"/>
    <s v="G19"/>
    <n v="157.87834876543209"/>
    <s v="None"/>
    <s v="WTG Breakdown Maintenance"/>
    <n v="1321.7722222222221"/>
    <n v="157.87834876543209"/>
    <m/>
    <m/>
    <m/>
    <m/>
  </r>
  <r>
    <n v="1069"/>
    <x v="129"/>
    <x v="1"/>
    <x v="0"/>
    <x v="4"/>
    <x v="1"/>
    <x v="11"/>
    <s v="PWEGPL"/>
    <s v="MSEDCL"/>
    <n v="2.5000000000000001E-2"/>
    <n v="429"/>
    <x v="316"/>
    <s v="Manual stop"/>
    <d v="1899-12-30T11:11:00"/>
    <d v="1899-12-30T11:11:00"/>
    <d v="1899-12-30T15:27:00"/>
    <n v="0"/>
    <n v="4.2666666666666648"/>
    <n v="4.2666666666666648"/>
    <s v="Gear box damper replaced and radiator cleaning done."/>
    <s v="Close"/>
    <n v="0.10666666666666663"/>
    <s v="G31"/>
    <n v="366.68049382716021"/>
    <s v="None"/>
    <s v="WTG Unscheduled Maintenance"/>
    <n v="2062.5777777777771"/>
    <n v="366.68049382716021"/>
    <m/>
    <m/>
    <m/>
    <m/>
  </r>
  <r>
    <n v="1070"/>
    <x v="130"/>
    <x v="1"/>
    <x v="0"/>
    <x v="4"/>
    <x v="1"/>
    <x v="28"/>
    <s v="PWEGPL"/>
    <s v="MSEDCL"/>
    <n v="2.5000000000000001E-2"/>
    <n v="402"/>
    <x v="300"/>
    <s v="Manual stop"/>
    <d v="1899-12-30T10:23:00"/>
    <d v="1899-12-30T10:23:00"/>
    <d v="1899-12-30T17:02:00"/>
    <n v="0"/>
    <n v="6.6500000000000021"/>
    <n v="6.6500000000000021"/>
    <s v="Gear box damper pad replaced"/>
    <s v="Close"/>
    <n v="0.16625000000000006"/>
    <s v="G11"/>
    <n v="811.3000000000003"/>
    <s v="None"/>
    <s v="WTG Unscheduled Maintenance"/>
    <n v="2928"/>
    <n v="811.3000000000003"/>
    <m/>
    <m/>
    <m/>
    <m/>
  </r>
  <r>
    <n v="1071"/>
    <x v="130"/>
    <x v="1"/>
    <x v="0"/>
    <x v="4"/>
    <x v="1"/>
    <x v="35"/>
    <s v="PWEGPL"/>
    <s v="MSEDCL"/>
    <n v="2.5000000000000001E-2"/>
    <n v="907"/>
    <x v="292"/>
    <s v="BD"/>
    <d v="1899-12-30T21:29:00"/>
    <d v="1899-12-30T22:00:00"/>
    <d v="1899-12-30T22:07:00"/>
    <n v="0.51666666666666483"/>
    <n v="0.11666666666666892"/>
    <n v="0.63333333333333375"/>
    <s v="Reset"/>
    <s v="Close"/>
    <n v="1.5833333333333345E-2"/>
    <s v="G25"/>
    <n v="6.3333333333333375"/>
    <s v="None"/>
    <s v="WTG Breakdown Maintenance"/>
    <n v="240"/>
    <n v="6.3333333333333375"/>
    <m/>
    <m/>
    <m/>
    <m/>
  </r>
  <r>
    <n v="1072"/>
    <x v="130"/>
    <x v="1"/>
    <x v="0"/>
    <x v="4"/>
    <x v="1"/>
    <x v="10"/>
    <s v="PWEGPL"/>
    <s v="MSEDCL"/>
    <n v="2.5000000000000001E-2"/>
    <n v="205"/>
    <x v="312"/>
    <s v="BD"/>
    <d v="1899-12-30T04:19:00"/>
    <d v="1899-12-30T04:40:00"/>
    <d v="1899-12-30T04:45:00"/>
    <n v="0.35000000000000009"/>
    <n v="8.3333333333333037E-2"/>
    <n v="0.43333333333333313"/>
    <s v="Reset"/>
    <s v="Close"/>
    <n v="1.0833333333333328E-2"/>
    <s v="G30"/>
    <n v="3.1416666666666653"/>
    <s v="None"/>
    <s v="WTG Breakdown Maintenance"/>
    <n v="174"/>
    <n v="3.1416666666666653"/>
    <m/>
    <m/>
    <m/>
    <m/>
  </r>
  <r>
    <n v="1073"/>
    <x v="130"/>
    <x v="1"/>
    <x v="0"/>
    <x v="4"/>
    <x v="1"/>
    <x v="12"/>
    <s v="PWEGPL"/>
    <s v="MSEDCL"/>
    <n v="2.5000000000000001E-2"/>
    <n v="205"/>
    <x v="312"/>
    <s v="BD"/>
    <d v="1899-12-30T04:06:00"/>
    <d v="1899-12-30T04:20:00"/>
    <d v="1899-12-30T04:34:00"/>
    <n v="0.23333333333333384"/>
    <n v="0.23333333333333317"/>
    <n v="0.46666666666666701"/>
    <s v="Reset"/>
    <s v="Close"/>
    <n v="1.1666666666666676E-2"/>
    <s v="G30"/>
    <n v="3.6361111111111137"/>
    <s v="None"/>
    <s v="WTG Breakdown Maintenance"/>
    <n v="187"/>
    <n v="3.6361111111111137"/>
    <m/>
    <m/>
    <m/>
    <m/>
  </r>
  <r>
    <n v="1074"/>
    <x v="130"/>
    <x v="1"/>
    <x v="0"/>
    <x v="4"/>
    <x v="1"/>
    <x v="16"/>
    <s v="PWEGPL"/>
    <s v="MSEDCL"/>
    <n v="2.5000000000000001E-2"/>
    <n v="1813"/>
    <x v="332"/>
    <s v="BD"/>
    <d v="1899-12-30T06:16:00"/>
    <d v="1899-12-30T10:43:00"/>
    <d v="1899-12-30T10:55:00"/>
    <n v="4.45"/>
    <n v="0.19999999999999929"/>
    <n v="4.6499999999999995"/>
    <s v="Reset"/>
    <s v="Close"/>
    <n v="0.11624999999999999"/>
    <s v="G35"/>
    <n v="348.55624999999992"/>
    <s v="None"/>
    <s v="WTG Breakdown Maintenance"/>
    <n v="1799"/>
    <n v="348.55624999999992"/>
    <m/>
    <m/>
    <m/>
    <m/>
  </r>
  <r>
    <n v="1075"/>
    <x v="130"/>
    <x v="1"/>
    <x v="0"/>
    <x v="4"/>
    <x v="1"/>
    <x v="4"/>
    <s v="PWEGPL"/>
    <s v="MSEDCL"/>
    <n v="2.5000000000000001E-2"/>
    <n v="110"/>
    <x v="287"/>
    <s v="BD"/>
    <d v="1899-12-30T04:44:00"/>
    <d v="1899-12-30T08:30:00"/>
    <d v="1899-12-30T10:36:00"/>
    <n v="3.7666666666666675"/>
    <n v="2.0999999999999992"/>
    <n v="5.8666666666666663"/>
    <s v="Untwisted the cable"/>
    <s v="Close"/>
    <n v="0.14666666666666667"/>
    <s v="G35"/>
    <n v="554.8888888888888"/>
    <s v="None"/>
    <s v="WTG Breakdown Maintenance"/>
    <n v="2270"/>
    <n v="554.8888888888888"/>
    <m/>
    <m/>
    <m/>
    <m/>
  </r>
  <r>
    <n v="1076"/>
    <x v="130"/>
    <x v="1"/>
    <x v="0"/>
    <x v="4"/>
    <x v="1"/>
    <x v="6"/>
    <s v="PWEGPL"/>
    <s v="MSEDCL"/>
    <n v="2.5000000000000001E-2"/>
    <n v="2102"/>
    <x v="320"/>
    <s v="BD"/>
    <d v="1899-12-30T22:11:00"/>
    <d v="1899-12-30T22:45:00"/>
    <d v="1899-12-30T22:50:00"/>
    <n v="0.56666666666666465"/>
    <n v="8.3333333333333037E-2"/>
    <n v="0.64999999999999769"/>
    <s v="Reset"/>
    <s v="Close"/>
    <n v="1.6249999999999942E-2"/>
    <s v="G40"/>
    <n v="6.7979166666666426"/>
    <s v="None"/>
    <s v="WTG Breakdown Maintenance"/>
    <n v="251"/>
    <n v="6.7979166666666426"/>
    <m/>
    <m/>
    <m/>
    <m/>
  </r>
  <r>
    <n v="1077"/>
    <x v="130"/>
    <x v="1"/>
    <x v="0"/>
    <x v="4"/>
    <x v="1"/>
    <x v="10"/>
    <s v="PWEGPL"/>
    <s v="MSEDCL"/>
    <n v="2.5000000000000001E-2"/>
    <n v="205"/>
    <x v="312"/>
    <s v="BD"/>
    <d v="1899-12-30T05:48:00"/>
    <d v="1899-12-30T05:48:00"/>
    <d v="1899-12-30T07:10:00"/>
    <n v="0"/>
    <n v="1.3666666666666665"/>
    <n v="1.3666666666666665"/>
    <s v="Oil Topup"/>
    <s v="Close"/>
    <n v="3.4166666666666665E-2"/>
    <s v="G30"/>
    <n v="31.319444444444443"/>
    <s v="None"/>
    <s v="WTG Breakdown Maintenance"/>
    <n v="550"/>
    <n v="31.319444444444443"/>
    <m/>
    <m/>
    <m/>
    <m/>
  </r>
  <r>
    <n v="1078"/>
    <x v="130"/>
    <x v="1"/>
    <x v="0"/>
    <x v="4"/>
    <x v="1"/>
    <x v="12"/>
    <s v="PWEGPL"/>
    <s v="MSEDCL"/>
    <n v="2.5000000000000001E-2"/>
    <n v="205"/>
    <x v="312"/>
    <s v="BD"/>
    <d v="1899-12-30T04:59:00"/>
    <d v="1899-12-30T04:59:00"/>
    <d v="1899-12-30T05:40:00"/>
    <n v="0"/>
    <n v="0.68333333333333357"/>
    <n v="0.68333333333333357"/>
    <s v="Oil Topup"/>
    <s v="Close"/>
    <n v="1.7083333333333339E-2"/>
    <s v="G30"/>
    <n v="7.8298611111111143"/>
    <s v="None"/>
    <s v="WTG Breakdown Maintenance"/>
    <n v="275"/>
    <n v="7.8298611111111143"/>
    <m/>
    <m/>
    <m/>
    <m/>
  </r>
  <r>
    <n v="1079"/>
    <x v="131"/>
    <x v="1"/>
    <x v="0"/>
    <x v="4"/>
    <x v="1"/>
    <x v="25"/>
    <s v="PWEGPL"/>
    <s v="MSEDCL"/>
    <n v="2.5000000000000001E-2"/>
    <n v="205"/>
    <x v="312"/>
    <s v="BD"/>
    <d v="1899-12-30T10:10:00"/>
    <d v="1899-12-30T10:51:00"/>
    <d v="1899-12-30T11:52:00"/>
    <n v="0.68333333333333357"/>
    <n v="1.0166666666666671"/>
    <n v="1.7000000000000006"/>
    <s v="Oil Topup"/>
    <s v="Close"/>
    <n v="4.2500000000000017E-2"/>
    <s v="G08"/>
    <n v="83.117604166666723"/>
    <s v="None"/>
    <s v="WTG Breakdown Maintenance"/>
    <n v="1173.4250000000004"/>
    <n v="83.117604166666723"/>
    <m/>
    <m/>
    <m/>
    <m/>
  </r>
  <r>
    <n v="1080"/>
    <x v="131"/>
    <x v="1"/>
    <x v="0"/>
    <x v="4"/>
    <x v="1"/>
    <x v="0"/>
    <s v="PWEGPL"/>
    <s v="MSEDCL"/>
    <n v="2.5000000000000001E-2"/>
    <n v="2509"/>
    <x v="201"/>
    <s v="BD"/>
    <d v="1899-12-30T21:08:00"/>
    <d v="1899-12-30T21:08:00"/>
    <d v="1899-12-30T23:42:00"/>
    <n v="0"/>
    <n v="2.5666666666666655"/>
    <n v="2.5666666666666655"/>
    <s v="PLC Module replaced"/>
    <s v="Close"/>
    <n v="6.4166666666666636E-2"/>
    <s v="G18"/>
    <n v="194.38519290123438"/>
    <s v="None"/>
    <s v="WTG Breakdown Maintenance"/>
    <n v="1817.6277777777768"/>
    <n v="194.38519290123438"/>
    <m/>
    <m/>
    <m/>
    <m/>
  </r>
  <r>
    <n v="1081"/>
    <x v="131"/>
    <x v="1"/>
    <x v="0"/>
    <x v="4"/>
    <x v="1"/>
    <x v="33"/>
    <s v="PWEGPL"/>
    <s v="MSEDCL"/>
    <n v="2.5000000000000001E-2"/>
    <n v="5236"/>
    <x v="363"/>
    <s v="BD"/>
    <d v="1899-12-30T22:53:00"/>
    <d v="1899-12-30T23:59:00"/>
    <d v="1899-12-30T23:59:00"/>
    <n v="1.1000000000000014"/>
    <n v="0"/>
    <n v="1.1000000000000014"/>
    <s v="slipring carbon brush replaced"/>
    <s v="Open"/>
    <n v="2.7500000000000038E-2"/>
    <s v="G22"/>
    <n v="33.25399305555564"/>
    <s v="None"/>
    <s v="WTG Breakdown Maintenance"/>
    <n v="725.54166666666765"/>
    <n v="33.25399305555564"/>
    <m/>
    <m/>
    <m/>
    <m/>
  </r>
  <r>
    <n v="1082"/>
    <x v="131"/>
    <x v="1"/>
    <x v="0"/>
    <x v="4"/>
    <x v="1"/>
    <x v="12"/>
    <s v="PWEGPL"/>
    <s v="MSEDCL"/>
    <n v="2.5000000000000001E-2"/>
    <n v="2102"/>
    <x v="320"/>
    <s v="BD"/>
    <d v="1899-12-30T15:40:00"/>
    <d v="1899-12-30T16:35:00"/>
    <d v="1899-12-30T19:15:00"/>
    <n v="0.91666666666666607"/>
    <n v="2.6666666666666679"/>
    <n v="3.5833333333333339"/>
    <s v="Module replaced"/>
    <s v="Close"/>
    <n v="8.9583333333333348E-2"/>
    <s v="G30"/>
    <n v="308.34500385802477"/>
    <s v="None"/>
    <s v="WTG Breakdown Maintenance"/>
    <n v="2065.1944444444448"/>
    <n v="308.34500385802477"/>
    <m/>
    <m/>
    <m/>
    <m/>
  </r>
  <r>
    <n v="1083"/>
    <x v="131"/>
    <x v="1"/>
    <x v="0"/>
    <x v="4"/>
    <x v="1"/>
    <x v="16"/>
    <s v="PWEGPL"/>
    <s v="MSEDCL"/>
    <n v="2.5000000000000001E-2"/>
    <n v="421"/>
    <x v="364"/>
    <s v="BD"/>
    <d v="1899-12-30T10:22:00"/>
    <d v="1899-12-30T10:22:00"/>
    <d v="1899-12-30T11:37:00"/>
    <n v="0"/>
    <n v="1.2499999999999996"/>
    <n v="1.2499999999999996"/>
    <s v="Gearbox pump treplaced"/>
    <s v="Close"/>
    <n v="3.124999999999999E-2"/>
    <s v="G35"/>
    <n v="33.555772569444414"/>
    <s v="None"/>
    <s v="WTG Unscheduled Maintenance"/>
    <n v="644.27083333333303"/>
    <n v="33.555772569444414"/>
    <m/>
    <m/>
    <m/>
    <m/>
  </r>
  <r>
    <n v="1084"/>
    <x v="132"/>
    <x v="1"/>
    <x v="0"/>
    <x v="4"/>
    <x v="1"/>
    <x v="23"/>
    <s v="PWEGPL"/>
    <s v="MSEDCL"/>
    <n v="2.5000000000000001E-2"/>
    <n v="205"/>
    <x v="312"/>
    <s v="BD"/>
    <d v="1899-12-30T20:00:00"/>
    <d v="1899-12-30T21:47:00"/>
    <d v="1899-12-30T22:41:00"/>
    <n v="1.783333333333335"/>
    <n v="0.8999999999999968"/>
    <n v="2.6833333333333318"/>
    <s v="Oil Topup"/>
    <s v="Close"/>
    <n v="6.70833333333333E-2"/>
    <s v="G03"/>
    <n v="161.13121624228378"/>
    <s v="None"/>
    <s v="WTG Breakdown Maintenance"/>
    <n v="1441.1736111111104"/>
    <n v="161.13121624228378"/>
    <m/>
    <m/>
    <m/>
    <m/>
  </r>
  <r>
    <n v="1085"/>
    <x v="132"/>
    <x v="1"/>
    <x v="0"/>
    <x v="4"/>
    <x v="1"/>
    <x v="0"/>
    <s v="PWEGPL"/>
    <s v="MSEDCL"/>
    <n v="2.5000000000000001E-2"/>
    <n v="110"/>
    <x v="287"/>
    <s v="BD"/>
    <d v="1899-12-30T15:29:00"/>
    <d v="1899-12-30T16:01:00"/>
    <d v="1899-12-30T16:41:00"/>
    <n v="0.5333333333333341"/>
    <n v="0.66666666666666696"/>
    <n v="1.2000000000000011"/>
    <s v="Cable twist removed."/>
    <s v="Close"/>
    <n v="3.0000000000000027E-2"/>
    <s v="G18"/>
    <n v="45.605000000000082"/>
    <s v="None"/>
    <s v="WTG Breakdown Maintenance"/>
    <n v="912.10000000000082"/>
    <n v="45.605000000000082"/>
    <m/>
    <m/>
    <m/>
    <m/>
  </r>
  <r>
    <n v="1086"/>
    <x v="132"/>
    <x v="1"/>
    <x v="0"/>
    <x v="4"/>
    <x v="1"/>
    <x v="33"/>
    <s v="PWEGPL"/>
    <s v="MSEDCL"/>
    <n v="2.5000000000000001E-2"/>
    <n v="5236"/>
    <x v="363"/>
    <s v="BD"/>
    <d v="1899-12-30T00:00:00"/>
    <d v="1899-12-30T00:48:00"/>
    <d v="1899-12-30T05:06:00"/>
    <n v="0.8"/>
    <n v="4.3"/>
    <n v="5.0999999999999996"/>
    <s v="slipring carbon brush replaced"/>
    <s v="Close"/>
    <n v="0.1275"/>
    <s v="G22"/>
    <n v="751.4"/>
    <s v="None"/>
    <s v="WTG Breakdown Maintenance"/>
    <n v="3536"/>
    <n v="751.4"/>
    <m/>
    <m/>
    <m/>
    <m/>
  </r>
  <r>
    <n v="1087"/>
    <x v="133"/>
    <x v="1"/>
    <x v="0"/>
    <x v="4"/>
    <x v="1"/>
    <x v="36"/>
    <s v="PWEGPL"/>
    <s v="MSEDCL"/>
    <n v="2.5000000000000001E-2"/>
    <n v="403"/>
    <x v="365"/>
    <s v="BD"/>
    <d v="1899-12-30T22:14:00"/>
    <d v="1899-12-30T23:28:00"/>
    <d v="1899-12-30T23:55:00"/>
    <n v="1.2333333333333316"/>
    <n v="0.45000000000000107"/>
    <n v="1.6833333333333327"/>
    <s v="MPCB charged"/>
    <s v="Close"/>
    <n v="4.208333333333332E-2"/>
    <s v="G27"/>
    <n v="201.5090277777777"/>
    <s v="None"/>
    <s v="WTG Breakdown Maintenance"/>
    <n v="2873"/>
    <n v="201.5090277777777"/>
    <m/>
    <m/>
    <m/>
    <m/>
  </r>
  <r>
    <n v="1088"/>
    <x v="134"/>
    <x v="1"/>
    <x v="0"/>
    <x v="4"/>
    <x v="1"/>
    <x v="16"/>
    <s v="PWEGPL"/>
    <s v="MSEDCL"/>
    <n v="2.5000000000000001E-2"/>
    <n v="404"/>
    <x v="352"/>
    <s v="Manual stop"/>
    <d v="1899-12-30T11:14:00"/>
    <d v="1899-12-30T11:14:00"/>
    <d v="1899-12-30T12:12:00"/>
    <n v="0"/>
    <n v="0.96666666666666723"/>
    <n v="0.96666666666666723"/>
    <s v="Gear box damper pad replacement WIP"/>
    <s v="Close"/>
    <n v="2.4166666666666684E-2"/>
    <s v="G35"/>
    <n v="20.1388888888889"/>
    <s v="None"/>
    <s v="WTG Unscheduled Maintenance"/>
    <n v="500"/>
    <n v="20.1388888888889"/>
    <m/>
    <m/>
    <m/>
    <m/>
  </r>
  <r>
    <n v="1089"/>
    <x v="134"/>
    <x v="1"/>
    <x v="0"/>
    <x v="4"/>
    <x v="1"/>
    <x v="16"/>
    <s v="PWEGPL"/>
    <s v="MSEDCL"/>
    <n v="2.5000000000000001E-2"/>
    <n v="404"/>
    <x v="352"/>
    <s v="Manual stop"/>
    <d v="1899-12-30T15:05:00"/>
    <d v="1899-12-30T15:05:00"/>
    <d v="1899-12-30T16:23:00"/>
    <n v="0"/>
    <n v="1.3000000000000007"/>
    <n v="1.3000000000000007"/>
    <s v="Gear box damper pad replacement WIP"/>
    <s v="Close"/>
    <n v="3.2500000000000022E-2"/>
    <s v="G35"/>
    <n v="36.454166666666687"/>
    <s v="None"/>
    <s v="WTG Unscheduled Maintenance"/>
    <n v="673"/>
    <n v="36.454166666666687"/>
    <m/>
    <m/>
    <m/>
    <m/>
  </r>
  <r>
    <n v="1090"/>
    <x v="135"/>
    <x v="1"/>
    <x v="0"/>
    <x v="4"/>
    <x v="1"/>
    <x v="30"/>
    <s v="PWEGPL"/>
    <s v="MSEDCL"/>
    <n v="2.5000000000000001E-2"/>
    <n v="404"/>
    <x v="352"/>
    <s v="Manual stop"/>
    <d v="1899-12-30T11:30:00"/>
    <d v="1899-12-30T11:30:00"/>
    <d v="1899-12-30T15:35:00"/>
    <n v="0"/>
    <n v="4.0833333333333339"/>
    <n v="4.0833333333333339"/>
    <s v="Gear box damper pad replacement "/>
    <s v="Close"/>
    <n v="0.10208333333333336"/>
    <s v="G11"/>
    <n v="714.53370949074099"/>
    <s v="None"/>
    <s v="WTG Unscheduled Maintenance"/>
    <n v="4199.7083333333339"/>
    <n v="714.53370949074099"/>
    <m/>
    <m/>
    <m/>
    <m/>
  </r>
  <r>
    <n v="1091"/>
    <x v="135"/>
    <x v="1"/>
    <x v="0"/>
    <x v="4"/>
    <x v="1"/>
    <x v="11"/>
    <s v="PWEGPL"/>
    <s v="MSEDCL"/>
    <n v="2.5000000000000001E-2"/>
    <n v="907"/>
    <x v="292"/>
    <s v="BD"/>
    <d v="1899-12-30T08:20:00"/>
    <d v="1899-12-30T10:33:00"/>
    <d v="1899-12-30T14:23:00"/>
    <n v="2.2166666666666668"/>
    <n v="3.8333333333333317"/>
    <n v="6.0499999999999989"/>
    <s v="Gear box oil hose pipe replaced and oil top up done."/>
    <s v="Close"/>
    <n v="0.15125"/>
    <s v="G31"/>
    <n v="1330.3992013888885"/>
    <s v="None"/>
    <s v="WTG Breakdown Maintenance"/>
    <n v="5277.6166666666659"/>
    <n v="1330.3992013888885"/>
    <m/>
    <m/>
    <m/>
    <m/>
  </r>
  <r>
    <n v="1092"/>
    <x v="135"/>
    <x v="1"/>
    <x v="0"/>
    <x v="4"/>
    <x v="1"/>
    <x v="15"/>
    <s v="PWEGPL"/>
    <s v="MSEDCL"/>
    <n v="2.5000000000000001E-2"/>
    <n v="2118"/>
    <x v="293"/>
    <s v="BD"/>
    <d v="1899-12-30T05:20:00"/>
    <d v="1899-12-30T06:18:00"/>
    <d v="1899-12-30T08:18:00"/>
    <n v="0.96666666666666723"/>
    <n v="2.0000000000000009"/>
    <n v="2.9666666666666681"/>
    <s v="gear box rotating joint replaced"/>
    <s v="Close"/>
    <n v="7.41666666666667E-2"/>
    <s v="G36"/>
    <n v="333.9838310185188"/>
    <s v="None"/>
    <s v="WTG Breakdown Maintenance"/>
    <n v="2701.8916666666678"/>
    <n v="333.9838310185188"/>
    <m/>
    <m/>
    <m/>
    <m/>
  </r>
  <r>
    <n v="1093"/>
    <x v="136"/>
    <x v="1"/>
    <x v="0"/>
    <x v="4"/>
    <x v="1"/>
    <x v="29"/>
    <s v="PWEGPL"/>
    <s v="MSEDCL"/>
    <n v="2.5000000000000001E-2"/>
    <s v="CE100001"/>
    <x v="288"/>
    <s v="BD"/>
    <d v="1899-12-30T15:59:00"/>
    <d v="1899-12-30T15:59:00"/>
    <d v="1899-12-30T17:51:00"/>
    <n v="0"/>
    <n v="1.866666666666668"/>
    <n v="1.866666666666668"/>
    <s v="cooling fan replaced"/>
    <s v="Close"/>
    <n v="4.6666666666666703E-2"/>
    <s v="G10"/>
    <n v="240.39037037037073"/>
    <s v="None"/>
    <s v="WTG Breakdown Maintenance"/>
    <n v="3090.7333333333354"/>
    <n v="240.39037037037073"/>
    <m/>
    <m/>
    <m/>
    <m/>
  </r>
  <r>
    <n v="1094"/>
    <x v="136"/>
    <x v="1"/>
    <x v="0"/>
    <x v="4"/>
    <x v="1"/>
    <x v="32"/>
    <s v="PWEGPL"/>
    <s v="MSEDCL"/>
    <n v="2.5000000000000001E-2"/>
    <n v="700"/>
    <x v="329"/>
    <s v="BD"/>
    <d v="1899-12-30T03:46:00"/>
    <d v="1899-12-30T04:00:00"/>
    <d v="1899-12-30T04:02:00"/>
    <n v="0.23333333333333317"/>
    <n v="3.3333333333333215E-2"/>
    <n v="0.26666666666666639"/>
    <s v="Rebot &amp;Reset"/>
    <s v="Close"/>
    <n v="6.6666666666666602E-3"/>
    <s v="G15"/>
    <n v="4.8012345679012247"/>
    <s v="None"/>
    <s v="WTG Breakdown Maintenance"/>
    <n v="432.11111111111069"/>
    <n v="4.8012345679012247"/>
    <m/>
    <m/>
    <m/>
    <m/>
  </r>
  <r>
    <n v="1095"/>
    <x v="136"/>
    <x v="1"/>
    <x v="0"/>
    <x v="4"/>
    <x v="1"/>
    <x v="37"/>
    <s v="PWEGPL"/>
    <s v="MSEDCL"/>
    <n v="2.5000000000000001E-2"/>
    <n v="1893"/>
    <x v="362"/>
    <s v="BD"/>
    <d v="1899-12-30T02:44:00"/>
    <d v="1899-12-30T03:21:00"/>
    <d v="1899-12-30T03:31:00"/>
    <n v="0.61666666666666681"/>
    <n v="0.16666666666666674"/>
    <n v="0.78333333333333355"/>
    <s v="Rebot &amp;Reset"/>
    <s v="Close"/>
    <n v="1.9583333333333341E-2"/>
    <s v="G18"/>
    <n v="39.741972415123485"/>
    <s v="None"/>
    <s v="WTG Breakdown Maintenance"/>
    <n v="1217.6263888888893"/>
    <n v="39.741972415123485"/>
    <m/>
    <m/>
    <m/>
    <m/>
  </r>
  <r>
    <n v="1096"/>
    <x v="136"/>
    <x v="1"/>
    <x v="0"/>
    <x v="4"/>
    <x v="1"/>
    <x v="0"/>
    <s v="PWEGPL"/>
    <s v="MSEDCL"/>
    <n v="2.5000000000000001E-2"/>
    <n v="421"/>
    <x v="364"/>
    <s v="BD"/>
    <d v="1899-12-30T10:34:00"/>
    <d v="1899-12-30T10:34:00"/>
    <d v="1899-12-30T12:43:00"/>
    <n v="0"/>
    <n v="2.1500000000000004"/>
    <n v="2.1500000000000004"/>
    <s v="Repeated error attend and gearbox hose pipe replaced and bearing greasing done"/>
    <s v="Close"/>
    <n v="5.3750000000000013E-2"/>
    <s v="G18"/>
    <n v="299.38712673611121"/>
    <s v="None"/>
    <s v="WTG Unscheduled Maintenance"/>
    <n v="3341.9958333333338"/>
    <n v="299.38712673611121"/>
    <m/>
    <m/>
    <m/>
    <m/>
  </r>
  <r>
    <n v="1097"/>
    <x v="137"/>
    <x v="1"/>
    <x v="0"/>
    <x v="5"/>
    <x v="1"/>
    <x v="10"/>
    <s v="PWEGPL"/>
    <s v="MSEDCL"/>
    <n v="2.5000000000000001E-2"/>
    <n v="429"/>
    <x v="316"/>
    <s v="Manual stop"/>
    <d v="1899-12-30T11:24:00"/>
    <d v="1899-12-30T11:24:00"/>
    <d v="1899-12-30T15:35:00"/>
    <n v="0"/>
    <n v="4.1833333333333336"/>
    <n v="4.1833333333333336"/>
    <s v="GB radiator motor replaced"/>
    <s v="Close"/>
    <n v="0.10458333333333335"/>
    <s v="G30"/>
    <n v="927.15013310185202"/>
    <s v="None"/>
    <s v="WTG Unscheduled Maintenance"/>
    <n v="5319.1083333333336"/>
    <n v="927.15013310185202"/>
    <m/>
    <m/>
    <m/>
    <m/>
  </r>
  <r>
    <n v="1098"/>
    <x v="137"/>
    <x v="1"/>
    <x v="0"/>
    <x v="5"/>
    <x v="1"/>
    <x v="12"/>
    <s v="PWEGPL"/>
    <s v="MSEDCL"/>
    <n v="2.5000000000000001E-2"/>
    <n v="5222"/>
    <x v="315"/>
    <s v="BD"/>
    <d v="1899-12-30T12:44:00"/>
    <d v="1899-12-30T13:02:00"/>
    <d v="1899-12-30T13:11:00"/>
    <n v="0.29999999999999893"/>
    <n v="0.15000000000000213"/>
    <n v="0.45000000000000107"/>
    <s v="Reset"/>
    <s v="Close"/>
    <n v="1.1250000000000027E-2"/>
    <s v="G30"/>
    <n v="10.72828125000005"/>
    <s v="None"/>
    <s v="WTG Breakdown Maintenance"/>
    <n v="572.17500000000132"/>
    <n v="10.72828125000005"/>
    <m/>
    <m/>
    <m/>
    <m/>
  </r>
  <r>
    <n v="1099"/>
    <x v="137"/>
    <x v="1"/>
    <x v="0"/>
    <x v="5"/>
    <x v="1"/>
    <x v="15"/>
    <s v="PWEGPL"/>
    <s v="MSEDCL"/>
    <n v="2.5000000000000001E-2"/>
    <n v="203"/>
    <x v="290"/>
    <s v="BD"/>
    <d v="1899-12-30T15:30:00"/>
    <d v="1899-12-30T16:28:00"/>
    <d v="1899-12-30T16:38:00"/>
    <n v="0.96666666666666323"/>
    <n v="0.16666666666666874"/>
    <n v="1.133333333333332"/>
    <s v="Reset"/>
    <s v="Close"/>
    <n v="2.8333333333333301E-2"/>
    <s v="G36"/>
    <n v="67.923919753086267"/>
    <s v="None"/>
    <s v="WTG Breakdown Maintenance"/>
    <n v="1438.3888888888873"/>
    <n v="67.923919753086267"/>
    <m/>
    <m/>
    <m/>
    <m/>
  </r>
  <r>
    <n v="1100"/>
    <x v="137"/>
    <x v="1"/>
    <x v="0"/>
    <x v="5"/>
    <x v="1"/>
    <x v="12"/>
    <s v="PWEGPL"/>
    <s v="MSEDCL"/>
    <n v="2.5000000000000001E-2"/>
    <n v="429"/>
    <x v="316"/>
    <s v="Manual stop"/>
    <d v="1899-12-30T15:41:00"/>
    <d v="1899-12-30T15:41:00"/>
    <d v="1899-12-30T16:43:00"/>
    <n v="0"/>
    <n v="1.0333333333333323"/>
    <n v="1.0333333333333323"/>
    <s v="CCU radiator cleaned"/>
    <s v="Close"/>
    <n v="2.5833333333333309E-2"/>
    <s v="G30"/>
    <n v="56.569976851851742"/>
    <s v="None"/>
    <s v="WTG Unscheduled Maintenance"/>
    <n v="1313.8833333333321"/>
    <n v="56.569976851851742"/>
    <m/>
    <m/>
    <m/>
    <m/>
  </r>
  <r>
    <n v="1101"/>
    <x v="138"/>
    <x v="1"/>
    <x v="0"/>
    <x v="5"/>
    <x v="1"/>
    <x v="20"/>
    <s v="PWEGPL"/>
    <s v="MSEDCL"/>
    <n v="2.5000000000000001E-2"/>
    <n v="429"/>
    <x v="316"/>
    <s v="Manual stop"/>
    <d v="1899-12-30T10:52:00"/>
    <d v="1899-12-30T10:52:00"/>
    <d v="1899-12-30T11:44:00"/>
    <n v="0"/>
    <n v="0.86666666666666625"/>
    <n v="0.86666666666666625"/>
    <s v="coolant radiator cleaning work done."/>
    <s v="Close"/>
    <n v="2.1666666666666657E-2"/>
    <s v="G03"/>
    <n v="18.803858024691344"/>
    <s v="None"/>
    <s v="WTG Unscheduled Maintenance"/>
    <n v="520.72222222222206"/>
    <n v="18.803858024691344"/>
    <m/>
    <m/>
    <m/>
    <m/>
  </r>
  <r>
    <n v="1102"/>
    <x v="138"/>
    <x v="1"/>
    <x v="0"/>
    <x v="5"/>
    <x v="1"/>
    <x v="21"/>
    <s v="PWEGPL"/>
    <s v="MSEDCL"/>
    <n v="2.5000000000000001E-2"/>
    <n v="429"/>
    <x v="316"/>
    <s v="Manual stop"/>
    <d v="1899-12-30T12:04:00"/>
    <d v="1899-12-30T12:04:00"/>
    <d v="1899-12-30T12:54:00"/>
    <n v="0"/>
    <n v="0.83333333333333304"/>
    <n v="0.83333333333333304"/>
    <s v="coolant radiator cleaning work done."/>
    <s v="Close"/>
    <n v="2.0833333333333329E-2"/>
    <s v="G04"/>
    <n v="17.614293981481467"/>
    <s v="None"/>
    <s v="WTG Unscheduled Maintenance"/>
    <n v="507.29166666666646"/>
    <n v="17.614293981481467"/>
    <m/>
    <m/>
    <m/>
    <m/>
  </r>
  <r>
    <n v="1103"/>
    <x v="139"/>
    <x v="1"/>
    <x v="0"/>
    <x v="5"/>
    <x v="1"/>
    <x v="25"/>
    <s v="PWEGPL"/>
    <s v="MSEDCL"/>
    <n v="2.5000000000000001E-2"/>
    <n v="429"/>
    <x v="316"/>
    <s v="Manual stop"/>
    <d v="1899-12-30T11:02:00"/>
    <d v="1899-12-30T11:02:00"/>
    <d v="1899-12-30T12:08:00"/>
    <n v="0"/>
    <n v="1.1000000000000001"/>
    <n v="1.1000000000000001"/>
    <s v="Radiator cleaned"/>
    <s v="Close"/>
    <n v="2.7500000000000004E-2"/>
    <s v="G08"/>
    <n v="18.070173611111112"/>
    <s v="None"/>
    <s v="WTG Unscheduled Maintenance"/>
    <n v="394.25833333333338"/>
    <n v="18.070173611111112"/>
    <m/>
    <m/>
    <m/>
    <m/>
  </r>
  <r>
    <n v="1104"/>
    <x v="139"/>
    <x v="1"/>
    <x v="0"/>
    <x v="5"/>
    <x v="1"/>
    <x v="32"/>
    <s v="PWEGPL"/>
    <s v="MSEDCL"/>
    <n v="2.5000000000000001E-2"/>
    <n v="700"/>
    <x v="329"/>
    <s v="BD"/>
    <d v="1899-12-30T09:01:00"/>
    <m/>
    <d v="1899-12-30T11:06:00"/>
    <s v=""/>
    <n v="11.1"/>
    <n v="2.0833333333333313"/>
    <s v="Slipring cleaned"/>
    <s v="Close"/>
    <n v="5.2083333333333287E-2"/>
    <s v="G15"/>
    <n v="69.489655671296163"/>
    <s v="None"/>
    <s v="WTG Breakdown Maintenance"/>
    <n v="800.52083333333258"/>
    <n v="69.489655671296163"/>
    <m/>
    <m/>
    <m/>
    <m/>
  </r>
  <r>
    <n v="1105"/>
    <x v="139"/>
    <x v="1"/>
    <x v="0"/>
    <x v="5"/>
    <x v="1"/>
    <x v="19"/>
    <s v="PWEGPL"/>
    <s v="MSEDCL"/>
    <n v="2.5000000000000001E-2"/>
    <n v="429"/>
    <x v="316"/>
    <s v="Manual stop"/>
    <d v="1899-12-30T14:08:00"/>
    <d v="1899-12-30T14:08:00"/>
    <d v="1899-12-30T15:03:00"/>
    <n v="0"/>
    <n v="0.91666666666666607"/>
    <n v="0.91666666666666607"/>
    <s v="Radiator cleaned"/>
    <s v="Close"/>
    <n v="2.2916666666666655E-2"/>
    <s v="G19"/>
    <n v="16.058641975308621"/>
    <s v="None"/>
    <s v="WTG Unscheduled Maintenance"/>
    <n v="420.44444444444417"/>
    <n v="16.058641975308621"/>
    <m/>
    <m/>
    <m/>
    <m/>
  </r>
  <r>
    <n v="1106"/>
    <x v="139"/>
    <x v="1"/>
    <x v="0"/>
    <x v="5"/>
    <x v="1"/>
    <x v="16"/>
    <s v="PWEGPL"/>
    <s v="MSEDCL"/>
    <n v="2.5000000000000001E-2"/>
    <n v="1813"/>
    <x v="332"/>
    <s v="BD"/>
    <d v="1899-12-30T17:49:00"/>
    <m/>
    <d v="1899-12-30T17:59:00"/>
    <s v=""/>
    <n v="17.983333333333334"/>
    <n v="0.16666666666666607"/>
    <s v="AutoReset"/>
    <s v="Close"/>
    <n v="4.1666666666666519E-3"/>
    <s v="G35"/>
    <n v="0.31664737654320763"/>
    <s v="None"/>
    <s v="WTG Breakdown Maintenance"/>
    <n v="45.597222222222058"/>
    <n v="0.31664737654320763"/>
    <m/>
    <m/>
    <m/>
    <m/>
  </r>
  <r>
    <n v="1107"/>
    <x v="139"/>
    <x v="1"/>
    <x v="0"/>
    <x v="5"/>
    <x v="1"/>
    <x v="6"/>
    <s v="PWEGPL"/>
    <s v="MSEDCL"/>
    <n v="2.5000000000000001E-2"/>
    <n v="1813"/>
    <x v="332"/>
    <s v="BD"/>
    <d v="1899-12-30T18:10:00"/>
    <m/>
    <d v="1899-12-30T18:48:00"/>
    <s v=""/>
    <n v="18.8"/>
    <n v="0.63333333333333108"/>
    <s v="Autoreset"/>
    <s v="Close"/>
    <n v="1.5833333333333279E-2"/>
    <s v="G40"/>
    <n v="4.1615277777777484"/>
    <s v="None"/>
    <s v="WTG Breakdown Maintenance"/>
    <n v="157.69999999999945"/>
    <n v="4.1615277777777484"/>
    <m/>
    <m/>
    <m/>
    <m/>
  </r>
  <r>
    <n v="1108"/>
    <x v="140"/>
    <x v="1"/>
    <x v="0"/>
    <x v="5"/>
    <x v="1"/>
    <x v="21"/>
    <s v="PWEGPL"/>
    <s v="MSEDCL"/>
    <n v="2.5000000000000001E-2"/>
    <n v="208"/>
    <x v="366"/>
    <s v="BD"/>
    <d v="1899-12-30T07:00:00"/>
    <d v="1899-12-30T10:10:00"/>
    <d v="1899-12-30T11:09:00"/>
    <n v="3.1666666666666661"/>
    <n v="0.98333333333333384"/>
    <n v="4.1500000000000004"/>
    <s v="Contactor feedback replaced"/>
    <s v="Close"/>
    <n v="0.10375000000000001"/>
    <s v="G04"/>
    <n v="193.87272569444448"/>
    <s v="None"/>
    <s v="WTG Breakdown Maintenance"/>
    <n v="1121.1916666666668"/>
    <n v="193.87272569444448"/>
    <m/>
    <m/>
    <m/>
    <m/>
  </r>
  <r>
    <n v="1109"/>
    <x v="140"/>
    <x v="1"/>
    <x v="0"/>
    <x v="5"/>
    <x v="1"/>
    <x v="22"/>
    <s v="PWEGPL"/>
    <s v="MSEDCL"/>
    <n v="2.5000000000000001E-2"/>
    <n v="205"/>
    <x v="312"/>
    <s v="BD"/>
    <d v="1899-12-30T20:19:00"/>
    <d v="1899-12-30T21:44:00"/>
    <d v="1899-12-30T23:59:00"/>
    <n v="1.416666666666667"/>
    <n v="2.25"/>
    <n v="3.666666666666667"/>
    <s v="WIP"/>
    <s v="Open"/>
    <n v="9.1666666666666674E-2"/>
    <s v="G04"/>
    <n v="151.34336419753089"/>
    <s v="None"/>
    <s v="WTG Breakdown Maintenance"/>
    <n v="990.61111111111131"/>
    <n v="151.34336419753089"/>
    <m/>
    <m/>
    <m/>
    <m/>
  </r>
  <r>
    <n v="1110"/>
    <x v="140"/>
    <x v="1"/>
    <x v="0"/>
    <x v="5"/>
    <x v="1"/>
    <x v="17"/>
    <s v="PWEGPL"/>
    <s v="MSEDCL"/>
    <n v="2.5000000000000001E-2"/>
    <s v="CE100001"/>
    <x v="288"/>
    <s v="Manual stop"/>
    <d v="1899-12-30T16:28:00"/>
    <d v="1899-12-30T16:28:00"/>
    <d v="1899-12-30T17:25:00"/>
    <n v="0"/>
    <n v="0.95000000000000462"/>
    <n v="0.95000000000000462"/>
    <s v="Greaceing done"/>
    <s v="Close"/>
    <n v="2.3750000000000118E-2"/>
    <s v="G10"/>
    <n v="9.7661154513889841"/>
    <s v="None"/>
    <s v="WTG Unscheduled Maintenance"/>
    <n v="246.72291666666786"/>
    <n v="9.7661154513889841"/>
    <m/>
    <m/>
    <m/>
    <m/>
  </r>
  <r>
    <n v="1111"/>
    <x v="140"/>
    <x v="1"/>
    <x v="0"/>
    <x v="5"/>
    <x v="1"/>
    <x v="29"/>
    <s v="PWEGPL"/>
    <s v="MSEDCL"/>
    <n v="2.5000000000000001E-2"/>
    <n v="2118"/>
    <x v="293"/>
    <s v="BD"/>
    <d v="1899-12-30T23:29:00"/>
    <d v="1899-12-30T23:50:00"/>
    <d v="1899-12-30T23:59:00"/>
    <n v="0.34999999999999609"/>
    <n v="0.15000000000000213"/>
    <n v="0.49999999999999822"/>
    <s v="Reset"/>
    <s v="Open"/>
    <n v="1.2499999999999956E-2"/>
    <s v="G10"/>
    <n v="2.7052951388888693"/>
    <s v="None"/>
    <s v="WTG Breakdown Maintenance"/>
    <n v="129.8541666666662"/>
    <n v="2.7052951388888693"/>
    <m/>
    <m/>
    <m/>
    <m/>
  </r>
  <r>
    <n v="1112"/>
    <x v="140"/>
    <x v="1"/>
    <x v="0"/>
    <x v="5"/>
    <x v="1"/>
    <x v="32"/>
    <s v="PWEGPL"/>
    <s v="MSEDCL"/>
    <n v="2.5000000000000001E-2"/>
    <n v="5203"/>
    <x v="294"/>
    <s v="BD"/>
    <d v="1899-12-30T21:35:00"/>
    <d v="1899-12-30T21:40:00"/>
    <d v="1899-12-30T21:44:00"/>
    <n v="8.3333333333335702E-2"/>
    <n v="6.666666666666643E-2"/>
    <n v="0.15000000000000213"/>
    <s v="MCB charged"/>
    <s v="Close"/>
    <n v="3.7500000000000536E-3"/>
    <s v="G13"/>
    <n v="0.26804687500000768"/>
    <s v="None"/>
    <s v="WTG Breakdown Maintenance"/>
    <n v="42.887500000000614"/>
    <n v="0.26804687500000768"/>
    <m/>
    <m/>
    <m/>
    <m/>
  </r>
  <r>
    <n v="1113"/>
    <x v="140"/>
    <x v="1"/>
    <x v="0"/>
    <x v="5"/>
    <x v="1"/>
    <x v="19"/>
    <s v="PWEGPL"/>
    <s v="MSEDCL"/>
    <n v="2.5000000000000001E-2"/>
    <n v="5201"/>
    <x v="299"/>
    <s v="BD"/>
    <d v="1899-12-30T21:49:00"/>
    <d v="1899-12-30T23:59:00"/>
    <d v="1899-12-30T23:59:00"/>
    <n v="2.166666666666667"/>
    <n v="0"/>
    <n v="2.166666666666667"/>
    <s v="Reset from WTG"/>
    <s v="Open"/>
    <n v="5.4166666666666675E-2"/>
    <s v="G19"/>
    <n v="47.050395447530882"/>
    <s v="None"/>
    <s v="WTG Breakdown Maintenance"/>
    <n v="521.1736111111112"/>
    <n v="47.050395447530882"/>
    <m/>
    <m/>
    <m/>
    <m/>
  </r>
  <r>
    <n v="1114"/>
    <x v="140"/>
    <x v="1"/>
    <x v="0"/>
    <x v="5"/>
    <x v="1"/>
    <x v="2"/>
    <s v="PWEGPL"/>
    <s v="MSEDCL"/>
    <n v="2.5000000000000001E-2"/>
    <n v="205"/>
    <x v="312"/>
    <s v="BD"/>
    <d v="1899-12-30T11:42:00"/>
    <d v="1899-12-30T12:22:00"/>
    <d v="1899-12-30T14:19:00"/>
    <n v="0.66666666666666829"/>
    <n v="1.9499999999999984"/>
    <n v="2.6166666666666667"/>
    <s v="Oil topup"/>
    <s v="Close"/>
    <n v="6.5416666666666665E-2"/>
    <s v="G32"/>
    <n v="76.933028549382726"/>
    <s v="None"/>
    <s v="WTG Breakdown Maintenance"/>
    <n v="705.62777777777785"/>
    <n v="76.933028549382726"/>
    <m/>
    <m/>
    <m/>
    <m/>
  </r>
  <r>
    <n v="1115"/>
    <x v="140"/>
    <x v="1"/>
    <x v="0"/>
    <x v="5"/>
    <x v="1"/>
    <x v="8"/>
    <s v="PWEGPL"/>
    <s v="MSEDCL"/>
    <n v="2.5000000000000001E-2"/>
    <n v="205"/>
    <x v="312"/>
    <s v="BD"/>
    <d v="1899-12-30T20:41:00"/>
    <d v="1899-12-30T20:45:00"/>
    <d v="1899-12-30T23:59:00"/>
    <n v="6.666666666666643E-2"/>
    <n v="3.2333333333333325"/>
    <n v="3.2999999999999989"/>
    <s v="Oil topup"/>
    <s v="Open"/>
    <n v="8.2499999999999976E-2"/>
    <s v="G28"/>
    <n v="79.444062499999959"/>
    <s v="None"/>
    <s v="WTG Breakdown Maintenance"/>
    <n v="577.77499999999986"/>
    <n v="79.444062499999959"/>
    <m/>
    <m/>
    <m/>
    <m/>
  </r>
  <r>
    <n v="1116"/>
    <x v="140"/>
    <x v="1"/>
    <x v="0"/>
    <x v="5"/>
    <x v="1"/>
    <x v="9"/>
    <s v="PWEGPL"/>
    <s v="MSEDCL"/>
    <n v="2.5000000000000001E-2"/>
    <n v="205"/>
    <x v="312"/>
    <s v="BD"/>
    <d v="1899-12-30T12:52:00"/>
    <d v="1899-12-30T15:32:00"/>
    <d v="1899-12-30T16:02:00"/>
    <n v="2.6666666666666679"/>
    <n v="0.50000000000000089"/>
    <n v="3.1666666666666687"/>
    <s v="Oil topup"/>
    <s v="Close"/>
    <n v="7.9166666666666718E-2"/>
    <s v="G29"/>
    <n v="88.369791666666785"/>
    <s v="None"/>
    <s v="WTG Breakdown Maintenance"/>
    <n v="669.75000000000045"/>
    <n v="88.369791666666785"/>
    <m/>
    <m/>
    <m/>
    <m/>
  </r>
  <r>
    <n v="1117"/>
    <x v="140"/>
    <x v="1"/>
    <x v="0"/>
    <x v="5"/>
    <x v="1"/>
    <x v="5"/>
    <s v="PWEGPL"/>
    <s v="MSEDCL"/>
    <n v="2.5000000000000001E-2"/>
    <n v="205"/>
    <x v="312"/>
    <s v="BD"/>
    <d v="1899-12-30T11:55:00"/>
    <d v="1899-12-30T13:30:00"/>
    <d v="1899-12-30T14:25:00"/>
    <n v="1.5833333333333344"/>
    <n v="0.91666666666666607"/>
    <n v="2.5000000000000004"/>
    <s v="Oil topup"/>
    <s v="Close"/>
    <n v="6.2500000000000014E-2"/>
    <s v="g37"/>
    <n v="51.323784722222243"/>
    <s v="None"/>
    <s v="WTG Breakdown Maintenance"/>
    <n v="492.70833333333343"/>
    <n v="51.323784722222243"/>
    <m/>
    <m/>
    <m/>
    <m/>
  </r>
  <r>
    <n v="1118"/>
    <x v="140"/>
    <x v="1"/>
    <x v="0"/>
    <x v="5"/>
    <x v="1"/>
    <x v="6"/>
    <s v="PWEGPL"/>
    <s v="MSEDCL"/>
    <n v="2.5000000000000001E-2"/>
    <s v="CE100001"/>
    <x v="288"/>
    <s v="Manual stop"/>
    <d v="1899-12-30T10:21:00"/>
    <d v="1899-12-30T10:21:00"/>
    <d v="1899-12-30T14:53:00"/>
    <n v="0"/>
    <n v="4.533333333333335"/>
    <n v="4.533333333333335"/>
    <s v="Damper replaced"/>
    <s v="Close"/>
    <n v="0.11333333333333338"/>
    <s v="G40"/>
    <n v="196.73407407407421"/>
    <s v="None"/>
    <s v="WTG Unscheduled Maintenance"/>
    <n v="1041.5333333333338"/>
    <n v="196.73407407407421"/>
    <m/>
    <m/>
    <m/>
    <m/>
  </r>
  <r>
    <n v="1119"/>
    <x v="140"/>
    <x v="1"/>
    <x v="0"/>
    <x v="5"/>
    <x v="1"/>
    <x v="32"/>
    <s v="PWEGPL"/>
    <s v="MSEDCL"/>
    <n v="2.5000000000000001E-2"/>
    <n v="5203"/>
    <x v="294"/>
    <s v="BD"/>
    <d v="1899-12-30T21:48:00"/>
    <d v="1899-12-30T22:57:00"/>
    <d v="1899-12-30T23:21:00"/>
    <n v="1.1499999999999986"/>
    <n v="0.40000000000000391"/>
    <n v="1.5500000000000025"/>
    <s v="MCB charged"/>
    <s v="Close"/>
    <n v="3.8750000000000062E-2"/>
    <s v="G13"/>
    <n v="20.775785590277842"/>
    <s v="None"/>
    <s v="WTG Breakdown Maintenance"/>
    <n v="321.68958333333381"/>
    <n v="20.775785590277842"/>
    <m/>
    <m/>
    <m/>
    <m/>
  </r>
  <r>
    <n v="1120"/>
    <x v="141"/>
    <x v="1"/>
    <x v="0"/>
    <x v="5"/>
    <x v="1"/>
    <x v="22"/>
    <s v="PWEGPL"/>
    <s v="MSEDCL"/>
    <n v="2.5000000000000001E-2"/>
    <n v="205"/>
    <x v="312"/>
    <s v="BD"/>
    <d v="1899-12-30T00:00:00"/>
    <d v="1899-12-30T00:00:00"/>
    <d v="1899-12-30T18:26:00"/>
    <n v="0"/>
    <n v="18.433333333333334"/>
    <n v="18.433333333333334"/>
    <s v="Hydraulic hose pipe &amp; proportional valve replaced"/>
    <s v="Close"/>
    <n v="0.46083333333333337"/>
    <s v="G04"/>
    <n v="2011.5908371913583"/>
    <s v="None"/>
    <s v="WTG Breakdown Maintenance"/>
    <n v="2619.0694444444448"/>
    <n v="2011.5908371913583"/>
    <m/>
    <m/>
    <m/>
    <m/>
  </r>
  <r>
    <n v="1121"/>
    <x v="141"/>
    <x v="1"/>
    <x v="0"/>
    <x v="5"/>
    <x v="1"/>
    <x v="25"/>
    <s v="PWEGPL"/>
    <s v="MSEDCL"/>
    <n v="2.5000000000000001E-2"/>
    <n v="313"/>
    <x v="367"/>
    <s v="BD"/>
    <d v="1899-12-30T17:26:00"/>
    <d v="1899-12-30T17:38:00"/>
    <d v="1899-12-30T23:06:00"/>
    <n v="0.19999999999999929"/>
    <n v="5.4666666666666686"/>
    <n v="5.6666666666666679"/>
    <s v="breaker charged"/>
    <s v="Close"/>
    <n v="0.14166666666666669"/>
    <s v="G08"/>
    <n v="168.24884259259267"/>
    <s v="None"/>
    <s v="WTG Breakdown Maintenance"/>
    <n v="712.58333333333348"/>
    <n v="168.24884259259267"/>
    <m/>
    <m/>
    <m/>
    <m/>
  </r>
  <r>
    <n v="1122"/>
    <x v="141"/>
    <x v="1"/>
    <x v="0"/>
    <x v="5"/>
    <x v="1"/>
    <x v="29"/>
    <s v="PWEGPL"/>
    <s v="MSEDCL"/>
    <n v="2.5000000000000001E-2"/>
    <n v="2118"/>
    <x v="293"/>
    <s v="BD"/>
    <d v="1899-12-30T00:00:00"/>
    <d v="1899-12-30T00:00:00"/>
    <d v="1899-12-30T05:13:00"/>
    <n v="0"/>
    <n v="5.2166666666666668"/>
    <n v="5.2166666666666668"/>
    <s v="Reset "/>
    <s v="Close"/>
    <n v="0.13041666666666668"/>
    <s v="G10"/>
    <n v="187.37705150462963"/>
    <s v="None"/>
    <s v="WTG Breakdown Maintenance"/>
    <n v="862.05416666666667"/>
    <n v="187.37705150462963"/>
    <m/>
    <m/>
    <m/>
    <m/>
  </r>
  <r>
    <n v="1123"/>
    <x v="141"/>
    <x v="1"/>
    <x v="0"/>
    <x v="5"/>
    <x v="1"/>
    <x v="31"/>
    <s v="PWEGPL"/>
    <s v="MSEDCL"/>
    <n v="2.5000000000000001E-2"/>
    <n v="5203"/>
    <x v="294"/>
    <s v="BD"/>
    <d v="1899-12-30T07:41:00"/>
    <d v="1899-12-30T09:59:00"/>
    <d v="1899-12-30T10:15:00"/>
    <n v="2.2999999999999985"/>
    <n v="0.26666666666666705"/>
    <n v="2.5666666666666655"/>
    <s v="MCB tripped, charged"/>
    <s v="Close"/>
    <n v="6.4166666666666636E-2"/>
    <s v="G12"/>
    <n v="34.036851851851821"/>
    <s v="None"/>
    <s v="WTG Breakdown Maintenance"/>
    <n v="318.26666666666654"/>
    <n v="34.036851851851821"/>
    <m/>
    <m/>
    <m/>
    <m/>
  </r>
  <r>
    <n v="1124"/>
    <x v="141"/>
    <x v="1"/>
    <x v="0"/>
    <x v="5"/>
    <x v="1"/>
    <x v="39"/>
    <s v="PWEGPL"/>
    <s v="MSEDCL"/>
    <n v="2.5000000000000001E-2"/>
    <n v="722"/>
    <x v="368"/>
    <s v="BD"/>
    <d v="1899-12-30T16:23:00"/>
    <d v="1899-12-30T19:09:00"/>
    <d v="1899-12-30T19:33:00"/>
    <n v="2.7666666666666648"/>
    <n v="0.40000000000000124"/>
    <n v="3.1666666666666661"/>
    <s v="reset"/>
    <s v="Close"/>
    <n v="7.9166666666666663E-2"/>
    <s v="G14"/>
    <n v="60.932677469135783"/>
    <s v="None"/>
    <s v="WTG Breakdown Maintenance"/>
    <n v="461.80555555555549"/>
    <n v="60.932677469135783"/>
    <m/>
    <m/>
    <m/>
    <m/>
  </r>
  <r>
    <n v="1125"/>
    <x v="141"/>
    <x v="1"/>
    <x v="0"/>
    <x v="5"/>
    <x v="1"/>
    <x v="16"/>
    <s v="PWEGPL"/>
    <s v="MSEDCL"/>
    <n v="2.5000000000000001E-2"/>
    <n v="1813"/>
    <x v="332"/>
    <s v="BD"/>
    <d v="1899-12-30T05:39:00"/>
    <d v="1899-12-30T06:49:00"/>
    <d v="1899-12-30T06:52:00"/>
    <n v="1.1666666666666659"/>
    <n v="5.0000000000001155E-2"/>
    <n v="1.216666666666667"/>
    <s v="reset"/>
    <s v="Close"/>
    <n v="3.0416666666666675E-2"/>
    <s v="G35"/>
    <n v="6.5533130787037077"/>
    <s v="None"/>
    <s v="WTG Breakdown Maintenance"/>
    <n v="129.27083333333337"/>
    <n v="6.5533130787037077"/>
    <m/>
    <m/>
    <m/>
    <m/>
  </r>
  <r>
    <n v="1126"/>
    <x v="141"/>
    <x v="1"/>
    <x v="0"/>
    <x v="5"/>
    <x v="1"/>
    <x v="4"/>
    <s v="PWEGPL"/>
    <s v="MSEDCL"/>
    <n v="2.5000000000000001E-2"/>
    <n v="110"/>
    <x v="287"/>
    <s v="BD"/>
    <d v="1899-12-30T18:32:00"/>
    <d v="1899-12-30T19:38:00"/>
    <d v="1899-12-30T20:02:00"/>
    <n v="1.0999999999999988"/>
    <n v="0.40000000000000124"/>
    <n v="1.5"/>
    <s v="untwisting done"/>
    <s v="Close"/>
    <n v="3.7500000000000006E-2"/>
    <s v="G38"/>
    <n v="8.2421875"/>
    <s v="None"/>
    <s v="WTG Breakdown Maintenance"/>
    <n v="131.875"/>
    <n v="8.2421875"/>
    <m/>
    <m/>
    <m/>
    <m/>
  </r>
  <r>
    <n v="1127"/>
    <x v="141"/>
    <x v="1"/>
    <x v="0"/>
    <x v="5"/>
    <x v="1"/>
    <x v="31"/>
    <s v="PWEGPL"/>
    <s v="MSEDCL"/>
    <n v="2.5000000000000001E-2"/>
    <n v="222"/>
    <x v="323"/>
    <s v="BD"/>
    <d v="1899-12-30T16:28:00"/>
    <d v="1899-12-30T18:17:00"/>
    <d v="1899-12-30T19:17:00"/>
    <n v="1.8166666666666709"/>
    <n v="0.99999999999999911"/>
    <n v="2.81666666666667"/>
    <s v="reset"/>
    <s v="Close"/>
    <n v="7.0416666666666752E-2"/>
    <s v="G12"/>
    <n v="40.990324074074174"/>
    <s v="None"/>
    <s v="WTG Breakdown Maintenance"/>
    <n v="349.26666666666711"/>
    <n v="40.990324074074174"/>
    <m/>
    <m/>
    <m/>
    <m/>
  </r>
  <r>
    <n v="1128"/>
    <x v="141"/>
    <x v="1"/>
    <x v="0"/>
    <x v="5"/>
    <x v="1"/>
    <x v="16"/>
    <s v="PWEGPL"/>
    <s v="MSEDCL"/>
    <n v="2.5000000000000001E-2"/>
    <n v="421"/>
    <x v="364"/>
    <s v="BD"/>
    <d v="1899-12-30T15:12:00"/>
    <d v="1899-12-30T15:12:00"/>
    <d v="1899-12-30T19:20:00"/>
    <n v="0"/>
    <n v="4.133333333333332"/>
    <n v="4.133333333333332"/>
    <s v="gearbox damper replaced"/>
    <s v="Close"/>
    <n v="0.1033333333333333"/>
    <s v="G35"/>
    <n v="75.63425925925921"/>
    <s v="None"/>
    <s v="WTG Unscheduled Maintenance"/>
    <n v="439.16666666666652"/>
    <n v="75.63425925925921"/>
    <m/>
    <m/>
    <m/>
    <m/>
  </r>
  <r>
    <n v="1129"/>
    <x v="141"/>
    <x v="1"/>
    <x v="0"/>
    <x v="5"/>
    <x v="1"/>
    <x v="16"/>
    <s v="PWEGPL"/>
    <s v="MSEDCL"/>
    <n v="2.5000000000000001E-2"/>
    <n v="5204"/>
    <x v="369"/>
    <s v="BD"/>
    <d v="1899-12-30T22:44:00"/>
    <d v="1899-12-30T23:59:00"/>
    <d v="1899-12-30T23:59:00"/>
    <n v="1.2499999999999982"/>
    <n v="0"/>
    <n v="1.2499999999999982"/>
    <s v="Reset"/>
    <s v="Close"/>
    <n v="3.1249999999999958E-2"/>
    <s v="G35"/>
    <n v="6.9173177083333126"/>
    <s v="None"/>
    <s v="WTG Breakdown Maintenance"/>
    <n v="132.8124999999998"/>
    <n v="6.9173177083333126"/>
    <m/>
    <m/>
    <m/>
    <m/>
  </r>
  <r>
    <n v="1130"/>
    <x v="142"/>
    <x v="1"/>
    <x v="0"/>
    <x v="5"/>
    <x v="1"/>
    <x v="21"/>
    <s v="PWEGPL"/>
    <s v="MSEDCL"/>
    <n v="2.5000000000000001E-2"/>
    <n v="5203"/>
    <x v="294"/>
    <s v="BD"/>
    <d v="1899-12-30T02:57:00"/>
    <d v="1899-12-30T03:58:00"/>
    <d v="1899-12-30T04:21:00"/>
    <n v="1.0166666666666664"/>
    <n v="0.3833333333333333"/>
    <n v="1.3999999999999997"/>
    <s v="Reset"/>
    <s v="Close"/>
    <n v="3.4999999999999996E-2"/>
    <s v="G02"/>
    <n v="55.070555555555529"/>
    <s v="None"/>
    <s v="WTG Breakdown Maintenance"/>
    <n v="944.06666666666649"/>
    <n v="55.070555555555529"/>
    <m/>
    <m/>
    <m/>
    <m/>
  </r>
  <r>
    <n v="1131"/>
    <x v="142"/>
    <x v="1"/>
    <x v="0"/>
    <x v="5"/>
    <x v="1"/>
    <x v="22"/>
    <s v="PWEGPL"/>
    <s v="MSEDCL"/>
    <n v="2.5000000000000001E-2"/>
    <n v="405"/>
    <x v="370"/>
    <s v="BD"/>
    <d v="1899-12-30T22:39:00"/>
    <d v="1899-12-30T23:18:00"/>
    <d v="1899-12-30T23:59:00"/>
    <n v="0.65000000000000036"/>
    <n v="0.68333333333333357"/>
    <n v="1.3333333333333339"/>
    <s v="Reset"/>
    <s v="Close"/>
    <n v="3.3333333333333347E-2"/>
    <s v="G03"/>
    <n v="49.950617283950663"/>
    <s v="None"/>
    <s v="WTG Breakdown Maintenance"/>
    <n v="899.11111111111154"/>
    <n v="49.950617283950663"/>
    <m/>
    <m/>
    <m/>
    <m/>
  </r>
  <r>
    <n v="1132"/>
    <x v="142"/>
    <x v="1"/>
    <x v="0"/>
    <x v="5"/>
    <x v="1"/>
    <x v="24"/>
    <s v="PWEGPL"/>
    <s v="MSEDCL"/>
    <n v="2.5000000000000001E-2"/>
    <n v="5210"/>
    <x v="371"/>
    <s v="BD"/>
    <d v="1899-12-30T05:55:00"/>
    <d v="1899-12-30T05:55:00"/>
    <d v="1899-12-30T06:05:00"/>
    <n v="0"/>
    <n v="0.16666666666666607"/>
    <n v="0.16666666666666607"/>
    <s v="Reset"/>
    <s v="Close"/>
    <n v="4.1666666666666519E-3"/>
    <s v="G05"/>
    <n v="0.7804783950617229"/>
    <s v="None"/>
    <s v="WTG Breakdown Maintenance"/>
    <n v="112.3888888888885"/>
    <n v="0.7804783950617229"/>
    <m/>
    <m/>
    <m/>
    <m/>
  </r>
  <r>
    <n v="1133"/>
    <x v="142"/>
    <x v="1"/>
    <x v="0"/>
    <x v="5"/>
    <x v="1"/>
    <x v="33"/>
    <s v="PWEGPL"/>
    <s v="MSEDCL"/>
    <n v="2.5000000000000001E-2"/>
    <n v="5210"/>
    <x v="371"/>
    <s v="BD"/>
    <d v="1899-12-30T05:55:00"/>
    <d v="1899-12-30T05:55:00"/>
    <d v="1899-12-30T06:05:00"/>
    <n v="0"/>
    <n v="0.16666666666666607"/>
    <n v="0.16666666666666607"/>
    <s v="Reset"/>
    <s v="Close"/>
    <n v="4.1666666666666519E-3"/>
    <s v="G21"/>
    <n v="0.7804783950617229"/>
    <s v="None"/>
    <s v="WTG Breakdown Maintenance"/>
    <n v="112.3888888888885"/>
    <n v="0.7804783950617229"/>
    <m/>
    <m/>
    <m/>
    <m/>
  </r>
  <r>
    <n v="1134"/>
    <x v="142"/>
    <x v="1"/>
    <x v="0"/>
    <x v="5"/>
    <x v="1"/>
    <x v="34"/>
    <s v="PWEGPL"/>
    <s v="MSEDCL"/>
    <n v="2.5000000000000001E-2"/>
    <n v="5210"/>
    <x v="371"/>
    <s v="BD"/>
    <d v="1899-12-30T05:55:00"/>
    <d v="1899-12-30T05:55:00"/>
    <d v="1899-12-30T06:05:00"/>
    <n v="0"/>
    <n v="0.16666666666666607"/>
    <n v="0.16666666666666607"/>
    <s v="Reset"/>
    <s v="Close"/>
    <n v="4.1666666666666519E-3"/>
    <s v="G22"/>
    <n v="0.7804783950617229"/>
    <s v="None"/>
    <s v="WTG Breakdown Maintenance"/>
    <n v="112.3888888888885"/>
    <n v="0.7804783950617229"/>
    <m/>
    <m/>
    <m/>
    <m/>
  </r>
  <r>
    <n v="1135"/>
    <x v="142"/>
    <x v="1"/>
    <x v="0"/>
    <x v="5"/>
    <x v="1"/>
    <x v="1"/>
    <s v="PWEGPL"/>
    <s v="MSEDCL"/>
    <n v="2.5000000000000001E-2"/>
    <n v="5210"/>
    <x v="371"/>
    <s v="BD"/>
    <d v="1899-12-30T05:55:00"/>
    <d v="1899-12-30T05:55:00"/>
    <d v="1899-12-30T06:05:00"/>
    <n v="0"/>
    <n v="0.16666666666666607"/>
    <n v="0.16666666666666607"/>
    <s v="Reset"/>
    <s v="Close"/>
    <n v="4.1666666666666519E-3"/>
    <s v="G23"/>
    <n v="0.7804783950617229"/>
    <s v="None"/>
    <s v="WTG Breakdown Maintenance"/>
    <n v="112.3888888888885"/>
    <n v="0.7804783950617229"/>
    <m/>
    <m/>
    <m/>
    <m/>
  </r>
  <r>
    <n v="1136"/>
    <x v="142"/>
    <x v="1"/>
    <x v="0"/>
    <x v="5"/>
    <x v="1"/>
    <x v="35"/>
    <s v="PWEGPL"/>
    <s v="MSEDCL"/>
    <n v="2.5000000000000001E-2"/>
    <n v="5210"/>
    <x v="371"/>
    <s v="BD"/>
    <d v="1899-12-30T05:55:00"/>
    <d v="1899-12-30T05:55:00"/>
    <d v="1899-12-30T06:05:00"/>
    <n v="0"/>
    <n v="0.16666666666666607"/>
    <n v="0.16666666666666607"/>
    <s v="Reset"/>
    <s v="Close"/>
    <n v="4.1666666666666519E-3"/>
    <s v="G24"/>
    <n v="0.7804783950617229"/>
    <s v="None"/>
    <s v="WTG Breakdown Maintenance"/>
    <n v="112.3888888888885"/>
    <n v="0.7804783950617229"/>
    <m/>
    <m/>
    <m/>
    <m/>
  </r>
  <r>
    <n v="1137"/>
    <x v="142"/>
    <x v="1"/>
    <x v="0"/>
    <x v="5"/>
    <x v="1"/>
    <x v="36"/>
    <s v="PWEGPL"/>
    <s v="MSEDCL"/>
    <n v="2.5000000000000001E-2"/>
    <n v="5210"/>
    <x v="371"/>
    <s v="BD"/>
    <d v="1899-12-30T05:55:00"/>
    <d v="1899-12-30T05:55:00"/>
    <d v="1899-12-30T06:05:00"/>
    <n v="0"/>
    <n v="0.16666666666666607"/>
    <n v="0.16666666666666607"/>
    <s v="Reset"/>
    <s v="Close"/>
    <n v="4.1666666666666519E-3"/>
    <s v="G25"/>
    <n v="0.7804783950617229"/>
    <s v="None"/>
    <s v="WTG Breakdown Maintenance"/>
    <n v="112.3888888888885"/>
    <n v="0.7804783950617229"/>
    <m/>
    <m/>
    <m/>
    <m/>
  </r>
  <r>
    <n v="1138"/>
    <x v="142"/>
    <x v="1"/>
    <x v="0"/>
    <x v="5"/>
    <x v="1"/>
    <x v="2"/>
    <s v="PWEGPL"/>
    <s v="MSEDCL"/>
    <n v="2.5000000000000001E-2"/>
    <n v="5210"/>
    <x v="371"/>
    <s v="BD"/>
    <d v="1899-12-30T05:55:00"/>
    <d v="1899-12-30T05:55:00"/>
    <d v="1899-12-30T06:05:00"/>
    <n v="0"/>
    <n v="0.16666666666666607"/>
    <n v="0.16666666666666607"/>
    <s v="Reset"/>
    <s v="Close"/>
    <n v="4.1666666666666519E-3"/>
    <s v="G26"/>
    <n v="0.7804783950617229"/>
    <s v="None"/>
    <s v="WTG Breakdown Maintenance"/>
    <n v="112.3888888888885"/>
    <n v="0.7804783950617229"/>
    <m/>
    <m/>
    <m/>
    <m/>
  </r>
  <r>
    <n v="1139"/>
    <x v="142"/>
    <x v="1"/>
    <x v="0"/>
    <x v="5"/>
    <x v="1"/>
    <x v="8"/>
    <s v="PWEGPL"/>
    <s v="MSEDCL"/>
    <n v="2.5000000000000001E-2"/>
    <n v="5210"/>
    <x v="371"/>
    <s v="BD"/>
    <d v="1899-12-30T05:55:00"/>
    <d v="1899-12-30T05:55:00"/>
    <d v="1899-12-30T06:05:00"/>
    <n v="0"/>
    <n v="0.16666666666666607"/>
    <n v="0.16666666666666607"/>
    <s v="Reset"/>
    <s v="Close"/>
    <n v="4.1666666666666519E-3"/>
    <s v="G27"/>
    <n v="0.7804783950617229"/>
    <s v="None"/>
    <s v="WTG Breakdown Maintenance"/>
    <n v="112.3888888888885"/>
    <n v="0.7804783950617229"/>
    <m/>
    <m/>
    <m/>
    <m/>
  </r>
  <r>
    <n v="1140"/>
    <x v="142"/>
    <x v="1"/>
    <x v="0"/>
    <x v="5"/>
    <x v="1"/>
    <x v="9"/>
    <s v="PWEGPL"/>
    <s v="MSEDCL"/>
    <n v="2.5000000000000001E-2"/>
    <n v="5210"/>
    <x v="371"/>
    <s v="BD"/>
    <d v="1899-12-30T08:27:00"/>
    <d v="1899-12-30T10:07:00"/>
    <d v="1899-12-30T10:19:00"/>
    <n v="1.6666666666666674"/>
    <n v="0.19999999999999929"/>
    <n v="1.8666666666666667"/>
    <s v="Reset"/>
    <s v="Close"/>
    <n v="4.6666666666666669E-2"/>
    <s v="G28"/>
    <n v="97.903209876543229"/>
    <s v="None"/>
    <s v="WTG Breakdown Maintenance"/>
    <n v="1258.7555555555557"/>
    <n v="97.903209876543229"/>
    <m/>
    <m/>
    <m/>
    <m/>
  </r>
  <r>
    <n v="1141"/>
    <x v="142"/>
    <x v="1"/>
    <x v="0"/>
    <x v="5"/>
    <x v="1"/>
    <x v="11"/>
    <s v="PWEGPL"/>
    <s v="MSEDCL"/>
    <n v="2.5000000000000001E-2"/>
    <n v="5210"/>
    <x v="371"/>
    <s v="BD"/>
    <d v="1899-12-30T08:27:00"/>
    <d v="1899-12-30T08:27:00"/>
    <d v="1899-12-30T08:42:00"/>
    <n v="0"/>
    <n v="0.25000000000000044"/>
    <n v="0.25000000000000044"/>
    <s v="Reset"/>
    <s v="Close"/>
    <n v="6.2500000000000116E-3"/>
    <s v="G30"/>
    <n v="1.7560763888888953"/>
    <s v="None"/>
    <s v="WTG Breakdown Maintenance"/>
    <n v="168.58333333333366"/>
    <n v="1.7560763888888953"/>
    <m/>
    <m/>
    <m/>
    <m/>
  </r>
  <r>
    <n v="1142"/>
    <x v="142"/>
    <x v="1"/>
    <x v="0"/>
    <x v="5"/>
    <x v="1"/>
    <x v="12"/>
    <s v="PWEGPL"/>
    <s v="MSEDCL"/>
    <n v="2.5000000000000001E-2"/>
    <n v="5210"/>
    <x v="371"/>
    <s v="BD"/>
    <d v="1899-12-30T08:27:00"/>
    <d v="1899-12-30T10:07:00"/>
    <d v="1899-12-30T10:19:00"/>
    <n v="1.6666666666666674"/>
    <n v="0.19999999999999929"/>
    <n v="1.8666666666666667"/>
    <s v="Reset"/>
    <s v="Close"/>
    <n v="4.6666666666666669E-2"/>
    <s v="G31"/>
    <n v="97.903209876543229"/>
    <s v="None"/>
    <s v="WTG Breakdown Maintenance"/>
    <n v="1258.7555555555557"/>
    <n v="97.903209876543229"/>
    <m/>
    <m/>
    <m/>
    <m/>
  </r>
  <r>
    <n v="1143"/>
    <x v="142"/>
    <x v="1"/>
    <x v="0"/>
    <x v="5"/>
    <x v="1"/>
    <x v="3"/>
    <s v="PWEGPL"/>
    <s v="MSEDCL"/>
    <n v="2.5000000000000001E-2"/>
    <n v="5210"/>
    <x v="371"/>
    <s v="BD"/>
    <d v="1899-12-30T08:27:00"/>
    <d v="1899-12-30T10:07:00"/>
    <d v="1899-12-30T10:19:00"/>
    <n v="1.6666666666666674"/>
    <n v="0.19999999999999929"/>
    <n v="1.8666666666666667"/>
    <s v="Reset"/>
    <s v="Close"/>
    <n v="4.6666666666666669E-2"/>
    <s v="G32"/>
    <n v="97.903209876543229"/>
    <s v="None"/>
    <s v="WTG Breakdown Maintenance"/>
    <n v="1258.7555555555557"/>
    <n v="97.903209876543229"/>
    <m/>
    <m/>
    <m/>
    <m/>
  </r>
  <r>
    <n v="1144"/>
    <x v="142"/>
    <x v="1"/>
    <x v="0"/>
    <x v="5"/>
    <x v="1"/>
    <x v="14"/>
    <s v="PWEGPL"/>
    <s v="MSEDCL"/>
    <n v="2.5000000000000001E-2"/>
    <n v="5210"/>
    <x v="371"/>
    <s v="BD"/>
    <d v="1899-12-30T08:27:00"/>
    <d v="1899-12-30T10:07:00"/>
    <d v="1899-12-30T10:19:00"/>
    <n v="1.6666666666666674"/>
    <n v="0.19999999999999929"/>
    <n v="1.8666666666666667"/>
    <s v="Reset"/>
    <s v="Close"/>
    <n v="4.6666666666666669E-2"/>
    <s v="G34"/>
    <n v="97.903209876543229"/>
    <s v="None"/>
    <s v="WTG Breakdown Maintenance"/>
    <n v="1258.7555555555557"/>
    <n v="97.903209876543229"/>
    <m/>
    <m/>
    <m/>
    <m/>
  </r>
  <r>
    <n v="1145"/>
    <x v="142"/>
    <x v="1"/>
    <x v="0"/>
    <x v="5"/>
    <x v="1"/>
    <x v="15"/>
    <s v="PWEGPL"/>
    <s v="MSEDCL"/>
    <n v="2.5000000000000001E-2"/>
    <n v="5210"/>
    <x v="371"/>
    <s v="BD"/>
    <d v="1899-12-30T05:55:00"/>
    <d v="1899-12-30T05:55:00"/>
    <d v="1899-12-30T06:05:00"/>
    <n v="0"/>
    <n v="0.16666666666666607"/>
    <n v="0.16666666666666607"/>
    <s v="Reset"/>
    <s v="Close"/>
    <n v="4.1666666666666519E-3"/>
    <s v="G35"/>
    <n v="0.7804783950617229"/>
    <s v="None"/>
    <s v="WTG Breakdown Maintenance"/>
    <n v="112.3888888888885"/>
    <n v="0.7804783950617229"/>
    <m/>
    <m/>
    <m/>
    <m/>
  </r>
  <r>
    <n v="1146"/>
    <x v="142"/>
    <x v="1"/>
    <x v="0"/>
    <x v="5"/>
    <x v="1"/>
    <x v="16"/>
    <s v="PWEGPL"/>
    <s v="MSEDCL"/>
    <n v="2.5000000000000001E-2"/>
    <n v="5204"/>
    <x v="369"/>
    <s v="BD"/>
    <d v="1899-12-30T00:00:00"/>
    <d v="1899-12-30T00:30:00"/>
    <d v="1899-12-30T00:39:00"/>
    <n v="0.5"/>
    <n v="0.15000000000000005"/>
    <n v="0.65"/>
    <s v="Reset"/>
    <s v="Close"/>
    <n v="1.6250000000000001E-2"/>
    <s v="G36"/>
    <n v="11.871076388888891"/>
    <s v="None"/>
    <s v="WTG Breakdown Maintenance"/>
    <n v="438.31666666666672"/>
    <n v="11.871076388888891"/>
    <m/>
    <m/>
    <m/>
    <m/>
  </r>
  <r>
    <n v="1147"/>
    <x v="142"/>
    <x v="1"/>
    <x v="0"/>
    <x v="5"/>
    <x v="1"/>
    <x v="4"/>
    <s v="PWEGPL"/>
    <s v="MSEDCL"/>
    <n v="2.5000000000000001E-2"/>
    <n v="5210"/>
    <x v="371"/>
    <s v="BD"/>
    <d v="1899-12-30T08:27:00"/>
    <d v="1899-12-30T08:27:00"/>
    <d v="1899-12-30T08:42:00"/>
    <n v="0"/>
    <n v="0.25000000000000044"/>
    <n v="0.25000000000000044"/>
    <s v="Reset"/>
    <s v="Close"/>
    <n v="6.2500000000000116E-3"/>
    <s v="G37"/>
    <n v="1.7560763888888953"/>
    <s v="None"/>
    <s v="WTG Breakdown Maintenance"/>
    <n v="168.58333333333366"/>
    <n v="1.7560763888888953"/>
    <m/>
    <m/>
    <m/>
    <m/>
  </r>
  <r>
    <n v="1148"/>
    <x v="142"/>
    <x v="1"/>
    <x v="0"/>
    <x v="5"/>
    <x v="1"/>
    <x v="5"/>
    <s v="PWEGPL"/>
    <s v="MSEDCL"/>
    <n v="2.5000000000000001E-2"/>
    <n v="5210"/>
    <x v="371"/>
    <s v="BD"/>
    <d v="1899-12-30T05:55:00"/>
    <d v="1899-12-30T05:55:00"/>
    <d v="1899-12-30T06:05:00"/>
    <n v="0"/>
    <n v="0.16666666666666607"/>
    <n v="0.16666666666666607"/>
    <s v="Reset"/>
    <s v="Close"/>
    <n v="4.1666666666666519E-3"/>
    <s v="G38"/>
    <n v="0.7804783950617229"/>
    <s v="None"/>
    <s v="WTG Breakdown Maintenance"/>
    <n v="112.3888888888885"/>
    <n v="0.7804783950617229"/>
    <m/>
    <m/>
    <m/>
    <m/>
  </r>
  <r>
    <n v="1149"/>
    <x v="142"/>
    <x v="1"/>
    <x v="0"/>
    <x v="5"/>
    <x v="1"/>
    <x v="6"/>
    <s v="PWEGPL"/>
    <s v="MSEDCL"/>
    <n v="2.5000000000000001E-2"/>
    <n v="5210"/>
    <x v="371"/>
    <s v="BD"/>
    <d v="1899-12-30T05:55:00"/>
    <d v="1899-12-30T05:55:00"/>
    <d v="1899-12-30T06:05:00"/>
    <n v="0"/>
    <n v="0.16666666666666607"/>
    <n v="0.16666666666666607"/>
    <s v="Reset"/>
    <s v="Close"/>
    <n v="4.1666666666666519E-3"/>
    <s v="G39"/>
    <n v="0.7804783950617229"/>
    <s v="None"/>
    <s v="WTG Breakdown Maintenance"/>
    <n v="112.3888888888885"/>
    <n v="0.7804783950617229"/>
    <m/>
    <m/>
    <m/>
    <m/>
  </r>
  <r>
    <n v="1150"/>
    <x v="142"/>
    <x v="1"/>
    <x v="0"/>
    <x v="5"/>
    <x v="1"/>
    <x v="7"/>
    <s v="PWEGPL"/>
    <s v="MSEDCL"/>
    <n v="2.5000000000000001E-2"/>
    <n v="5210"/>
    <x v="371"/>
    <s v="BD"/>
    <d v="1899-12-30T08:27:00"/>
    <d v="1899-12-30T08:27:00"/>
    <d v="1899-12-30T08:42:00"/>
    <n v="0"/>
    <n v="0.25000000000000044"/>
    <n v="0.25000000000000044"/>
    <s v="Reset"/>
    <s v="Close"/>
    <n v="6.2500000000000116E-3"/>
    <s v="G40"/>
    <n v="1.7560763888888953"/>
    <s v="None"/>
    <s v="WTG Breakdown Maintenance"/>
    <n v="168.58333333333366"/>
    <n v="1.7560763888888953"/>
    <m/>
    <m/>
    <m/>
    <m/>
  </r>
  <r>
    <n v="1151"/>
    <x v="142"/>
    <x v="1"/>
    <x v="0"/>
    <x v="5"/>
    <x v="1"/>
    <x v="24"/>
    <s v="PWEGPL"/>
    <s v="MSEDCL"/>
    <n v="2.5000000000000001E-2"/>
    <n v="5201"/>
    <x v="299"/>
    <s v="BD"/>
    <d v="1899-12-30T08:27:00"/>
    <d v="1899-12-30T10:07:00"/>
    <d v="1899-12-30T10:09:00"/>
    <n v="1.6666666666666674"/>
    <n v="3.3333333333333215E-2"/>
    <n v="1.7000000000000006"/>
    <s v="Reset"/>
    <s v="Close"/>
    <n v="4.2500000000000017E-2"/>
    <s v="G05"/>
    <n v="81.20097222222229"/>
    <s v="None"/>
    <s v="WTG Breakdown Maintenance"/>
    <n v="1146.3666666666672"/>
    <n v="81.20097222222229"/>
    <m/>
    <m/>
    <m/>
    <m/>
  </r>
  <r>
    <n v="1152"/>
    <x v="142"/>
    <x v="1"/>
    <x v="0"/>
    <x v="5"/>
    <x v="1"/>
    <x v="33"/>
    <s v="PWEGPL"/>
    <s v="MSEDCL"/>
    <n v="2.5000000000000001E-2"/>
    <n v="5201"/>
    <x v="299"/>
    <s v="BD"/>
    <d v="1899-12-30T08:27:00"/>
    <d v="1899-12-30T10:07:00"/>
    <d v="1899-12-30T10:09:00"/>
    <n v="1.6666666666666674"/>
    <n v="3.3333333333333215E-2"/>
    <n v="1.7000000000000006"/>
    <s v="Reset"/>
    <s v="Close"/>
    <n v="4.2500000000000017E-2"/>
    <s v="G21"/>
    <n v="81.20097222222229"/>
    <s v="None"/>
    <s v="WTG Breakdown Maintenance"/>
    <n v="1146.3666666666672"/>
    <n v="81.20097222222229"/>
    <m/>
    <m/>
    <m/>
    <m/>
  </r>
  <r>
    <n v="1153"/>
    <x v="142"/>
    <x v="1"/>
    <x v="0"/>
    <x v="5"/>
    <x v="1"/>
    <x v="34"/>
    <s v="PWEGPL"/>
    <s v="MSEDCL"/>
    <n v="2.5000000000000001E-2"/>
    <n v="5201"/>
    <x v="299"/>
    <s v="BD"/>
    <d v="1899-12-30T08:27:00"/>
    <d v="1899-12-30T10:07:00"/>
    <d v="1899-12-30T10:19:00"/>
    <n v="1.6666666666666674"/>
    <n v="0.19999999999999929"/>
    <n v="1.8666666666666667"/>
    <s v="Reset"/>
    <s v="Close"/>
    <n v="4.6666666666666669E-2"/>
    <s v="G22"/>
    <n v="97.903209876543229"/>
    <s v="None"/>
    <s v="WTG Breakdown Maintenance"/>
    <n v="1258.7555555555557"/>
    <n v="97.903209876543229"/>
    <m/>
    <m/>
    <m/>
    <m/>
  </r>
  <r>
    <n v="1154"/>
    <x v="142"/>
    <x v="1"/>
    <x v="0"/>
    <x v="5"/>
    <x v="1"/>
    <x v="1"/>
    <s v="PWEGPL"/>
    <s v="MSEDCL"/>
    <n v="2.5000000000000001E-2"/>
    <n v="5201"/>
    <x v="299"/>
    <s v="BD"/>
    <d v="1899-12-30T08:27:00"/>
    <d v="1899-12-30T10:07:00"/>
    <d v="1899-12-30T10:09:00"/>
    <n v="1.6666666666666674"/>
    <n v="3.3333333333333215E-2"/>
    <n v="1.7000000000000006"/>
    <s v="Reset"/>
    <s v="Close"/>
    <n v="4.2500000000000017E-2"/>
    <s v="G23"/>
    <n v="81.20097222222229"/>
    <s v="None"/>
    <s v="WTG Breakdown Maintenance"/>
    <n v="1146.3666666666672"/>
    <n v="81.20097222222229"/>
    <m/>
    <m/>
    <m/>
    <m/>
  </r>
  <r>
    <n v="1155"/>
    <x v="142"/>
    <x v="1"/>
    <x v="0"/>
    <x v="5"/>
    <x v="1"/>
    <x v="35"/>
    <s v="PWEGPL"/>
    <s v="MSEDCL"/>
    <n v="2.5000000000000001E-2"/>
    <n v="5201"/>
    <x v="299"/>
    <s v="BD"/>
    <d v="1899-12-30T08:27:00"/>
    <d v="1899-12-30T10:07:00"/>
    <d v="1899-12-30T10:09:00"/>
    <n v="1.6666666666666674"/>
    <n v="3.3333333333333215E-2"/>
    <n v="1.7000000000000006"/>
    <s v="Reset"/>
    <s v="Close"/>
    <n v="4.2500000000000017E-2"/>
    <s v="G24"/>
    <n v="81.20097222222229"/>
    <s v="None"/>
    <s v="WTG Breakdown Maintenance"/>
    <n v="1146.3666666666672"/>
    <n v="81.20097222222229"/>
    <m/>
    <m/>
    <m/>
    <m/>
  </r>
  <r>
    <n v="1156"/>
    <x v="142"/>
    <x v="1"/>
    <x v="0"/>
    <x v="5"/>
    <x v="1"/>
    <x v="36"/>
    <s v="PWEGPL"/>
    <s v="MSEDCL"/>
    <n v="2.5000000000000001E-2"/>
    <n v="5201"/>
    <x v="299"/>
    <s v="BD"/>
    <d v="1899-12-30T08:27:00"/>
    <d v="1899-12-30T10:07:00"/>
    <d v="1899-12-30T10:19:00"/>
    <n v="1.6666666666666674"/>
    <n v="0.19999999999999929"/>
    <n v="1.8666666666666667"/>
    <s v="Reset"/>
    <s v="Close"/>
    <n v="4.6666666666666669E-2"/>
    <s v="G25"/>
    <n v="97.903209876543229"/>
    <s v="None"/>
    <s v="WTG Breakdown Maintenance"/>
    <n v="1258.7555555555557"/>
    <n v="97.903209876543229"/>
    <m/>
    <m/>
    <m/>
    <m/>
  </r>
  <r>
    <n v="1157"/>
    <x v="142"/>
    <x v="1"/>
    <x v="0"/>
    <x v="5"/>
    <x v="1"/>
    <x v="2"/>
    <s v="PWEGPL"/>
    <s v="MSEDCL"/>
    <n v="2.5000000000000001E-2"/>
    <n v="5201"/>
    <x v="299"/>
    <s v="BD"/>
    <d v="1899-12-30T08:27:00"/>
    <d v="1899-12-30T10:07:00"/>
    <d v="1899-12-30T10:09:00"/>
    <n v="1.6666666666666674"/>
    <n v="3.3333333333333215E-2"/>
    <n v="1.7000000000000006"/>
    <s v="Reset"/>
    <s v="Close"/>
    <n v="4.2500000000000017E-2"/>
    <s v="G26"/>
    <n v="81.20097222222229"/>
    <s v="None"/>
    <s v="WTG Breakdown Maintenance"/>
    <n v="1146.3666666666672"/>
    <n v="81.20097222222229"/>
    <m/>
    <m/>
    <m/>
    <m/>
  </r>
  <r>
    <n v="1158"/>
    <x v="142"/>
    <x v="1"/>
    <x v="0"/>
    <x v="5"/>
    <x v="1"/>
    <x v="8"/>
    <s v="PWEGPL"/>
    <s v="MSEDCL"/>
    <n v="2.5000000000000001E-2"/>
    <n v="5201"/>
    <x v="299"/>
    <s v="BD"/>
    <d v="1899-12-30T08:27:00"/>
    <d v="1899-12-30T10:07:00"/>
    <d v="1899-12-30T10:09:00"/>
    <n v="1.6666666666666674"/>
    <n v="3.3333333333333215E-2"/>
    <n v="1.7000000000000006"/>
    <s v="Reset"/>
    <s v="Close"/>
    <n v="4.2500000000000017E-2"/>
    <s v="G27"/>
    <n v="81.20097222222229"/>
    <s v="None"/>
    <s v="WTG Breakdown Maintenance"/>
    <n v="1146.3666666666672"/>
    <n v="81.20097222222229"/>
    <m/>
    <m/>
    <m/>
    <m/>
  </r>
  <r>
    <n v="1159"/>
    <x v="142"/>
    <x v="1"/>
    <x v="0"/>
    <x v="5"/>
    <x v="1"/>
    <x v="14"/>
    <s v="PWEGPL"/>
    <s v="MSEDCL"/>
    <n v="2.5000000000000001E-2"/>
    <n v="205"/>
    <x v="312"/>
    <s v="BD"/>
    <d v="1899-12-30T11:00:00"/>
    <d v="1899-12-30T11:27:00"/>
    <d v="1899-12-30T11:33:00"/>
    <n v="0.44999999999999973"/>
    <n v="0.10000000000000098"/>
    <n v="0.55000000000000071"/>
    <s v="Reset"/>
    <s v="Close"/>
    <n v="1.3750000000000019E-2"/>
    <s v="G34"/>
    <n v="-10.559872685185205"/>
    <s v="None"/>
    <s v="WTG Breakdown Maintenance"/>
    <n v="-460.79444444444465"/>
    <n v="-10.559872685185205"/>
    <m/>
    <m/>
    <m/>
    <m/>
  </r>
  <r>
    <n v="1160"/>
    <x v="142"/>
    <x v="1"/>
    <x v="0"/>
    <x v="5"/>
    <x v="1"/>
    <x v="15"/>
    <s v="PWEGPL"/>
    <s v="MSEDCL"/>
    <n v="2.5000000000000001E-2"/>
    <n v="5201"/>
    <x v="299"/>
    <s v="BD"/>
    <d v="1899-12-30T08:27:00"/>
    <d v="1899-12-30T10:07:00"/>
    <d v="1899-12-30T10:09:00"/>
    <n v="1.6666666666666674"/>
    <n v="3.3333333333333215E-2"/>
    <n v="1.7000000000000006"/>
    <s v="Reset"/>
    <s v="Close"/>
    <n v="4.2500000000000017E-2"/>
    <s v="G35"/>
    <n v="81.20097222222229"/>
    <s v="None"/>
    <s v="WTG Breakdown Maintenance"/>
    <n v="1146.3666666666672"/>
    <n v="81.20097222222229"/>
    <m/>
    <m/>
    <m/>
    <m/>
  </r>
  <r>
    <n v="1161"/>
    <x v="142"/>
    <x v="1"/>
    <x v="0"/>
    <x v="5"/>
    <x v="1"/>
    <x v="16"/>
    <s v="PWEGPL"/>
    <s v="MSEDCL"/>
    <n v="2.5000000000000001E-2"/>
    <n v="5201"/>
    <x v="299"/>
    <s v="BD"/>
    <d v="1899-12-30T08:27:00"/>
    <d v="1899-12-30T10:07:00"/>
    <d v="1899-12-30T10:09:00"/>
    <n v="1.6666666666666674"/>
    <n v="3.3333333333333215E-2"/>
    <n v="1.7000000000000006"/>
    <s v="Reset"/>
    <s v="Close"/>
    <n v="4.2500000000000017E-2"/>
    <s v="G36"/>
    <n v="81.20097222222229"/>
    <s v="None"/>
    <s v="WTG Breakdown Maintenance"/>
    <n v="1146.3666666666672"/>
    <n v="81.20097222222229"/>
    <m/>
    <m/>
    <m/>
    <m/>
  </r>
  <r>
    <n v="1162"/>
    <x v="142"/>
    <x v="1"/>
    <x v="0"/>
    <x v="5"/>
    <x v="1"/>
    <x v="7"/>
    <s v="PWEGPL"/>
    <s v="MSEDCL"/>
    <n v="2.5000000000000001E-2"/>
    <n v="205"/>
    <x v="312"/>
    <s v="BD"/>
    <d v="1899-12-30T10:13:00"/>
    <d v="1899-12-30T10:47:00"/>
    <d v="1899-12-30T11:31:00"/>
    <n v="0.56666666666666732"/>
    <n v="0.73333333333333339"/>
    <n v="1.3000000000000007"/>
    <s v="Reset"/>
    <s v="Close"/>
    <n v="3.2500000000000022E-2"/>
    <s v="G40"/>
    <n v="47.484305555555608"/>
    <s v="None"/>
    <s v="WTG Breakdown Maintenance"/>
    <n v="876.63333333333389"/>
    <n v="47.484305555555608"/>
    <m/>
    <m/>
    <m/>
    <m/>
  </r>
  <r>
    <n v="1163"/>
    <x v="142"/>
    <x v="1"/>
    <x v="0"/>
    <x v="5"/>
    <x v="1"/>
    <x v="5"/>
    <s v="PWEGPL"/>
    <s v="MSEDCL"/>
    <n v="2.5000000000000001E-2"/>
    <n v="5201"/>
    <x v="299"/>
    <s v="BD"/>
    <d v="1899-12-30T08:27:00"/>
    <d v="1899-12-30T10:07:00"/>
    <d v="1899-12-30T10:09:00"/>
    <n v="1.6666666666666674"/>
    <n v="3.3333333333333215E-2"/>
    <n v="1.7000000000000006"/>
    <s v="Reset"/>
    <s v="Close"/>
    <n v="4.2500000000000017E-2"/>
    <s v="G38"/>
    <n v="81.20097222222229"/>
    <s v="None"/>
    <s v="WTG Breakdown Maintenance"/>
    <n v="1146.3666666666672"/>
    <n v="81.20097222222229"/>
    <m/>
    <m/>
    <m/>
    <m/>
  </r>
  <r>
    <n v="1164"/>
    <x v="142"/>
    <x v="1"/>
    <x v="0"/>
    <x v="5"/>
    <x v="1"/>
    <x v="6"/>
    <s v="PWEGPL"/>
    <s v="MSEDCL"/>
    <n v="2.5000000000000001E-2"/>
    <n v="5201"/>
    <x v="299"/>
    <s v="BD"/>
    <d v="1899-12-30T08:27:00"/>
    <d v="1899-12-30T10:07:00"/>
    <d v="1899-12-30T10:09:00"/>
    <n v="1.6666666666666674"/>
    <n v="3.3333333333333215E-2"/>
    <n v="1.7000000000000006"/>
    <s v="Reset"/>
    <s v="Close"/>
    <n v="4.2500000000000017E-2"/>
    <s v="G39"/>
    <n v="81.20097222222229"/>
    <s v="None"/>
    <s v="WTG Breakdown Maintenance"/>
    <n v="1146.3666666666672"/>
    <n v="81.20097222222229"/>
    <m/>
    <m/>
    <m/>
    <m/>
  </r>
  <r>
    <n v="1165"/>
    <x v="142"/>
    <x v="1"/>
    <x v="0"/>
    <x v="5"/>
    <x v="1"/>
    <x v="33"/>
    <s v="PWEGPL"/>
    <s v="MSEDCL"/>
    <n v="2.5000000000000001E-2"/>
    <n v="205"/>
    <x v="312"/>
    <s v="BD"/>
    <d v="1899-12-30T10:20:00"/>
    <d v="1899-12-30T12:37:00"/>
    <d v="1899-12-30T13:27:00"/>
    <n v="2.2833333333333332"/>
    <n v="0.83333333333333304"/>
    <n v="3.1166666666666663"/>
    <s v="Reset"/>
    <s v="Close"/>
    <n v="7.7916666666666662E-2"/>
    <s v="G21"/>
    <n v="272.92548996913575"/>
    <s v="None"/>
    <s v="WTG Breakdown Maintenance"/>
    <n v="2101.672222222222"/>
    <n v="272.92548996913575"/>
    <m/>
    <m/>
    <m/>
    <m/>
  </r>
  <r>
    <n v="1166"/>
    <x v="142"/>
    <x v="1"/>
    <x v="0"/>
    <x v="5"/>
    <x v="1"/>
    <x v="1"/>
    <s v="PWEGPL"/>
    <s v="MSEDCL"/>
    <n v="2.5000000000000001E-2"/>
    <n v="205"/>
    <x v="312"/>
    <s v="BD"/>
    <d v="1899-12-30T12:16:00"/>
    <d v="1899-12-30T12:31:00"/>
    <d v="1899-12-30T13:46:00"/>
    <n v="0.24999999999999911"/>
    <n v="1.2500000000000009"/>
    <n v="1.5"/>
    <s v="Reset"/>
    <s v="Close"/>
    <n v="3.7500000000000006E-2"/>
    <s v="G23"/>
    <n v="63.21875"/>
    <s v="None"/>
    <s v="WTG Breakdown Maintenance"/>
    <n v="1011.5"/>
    <n v="63.21875"/>
    <m/>
    <m/>
    <m/>
    <m/>
  </r>
  <r>
    <n v="1167"/>
    <x v="143"/>
    <x v="1"/>
    <x v="0"/>
    <x v="5"/>
    <x v="1"/>
    <x v="22"/>
    <s v="PWEGPL"/>
    <s v="MSEDCL"/>
    <n v="2.5000000000000001E-2"/>
    <n v="405"/>
    <x v="370"/>
    <s v="BD"/>
    <d v="1899-12-30T00:00:00"/>
    <d v="1899-12-30T00:00:00"/>
    <d v="1899-12-30T05:15:00"/>
    <n v="0"/>
    <n v="5.25"/>
    <n v="5.25"/>
    <s v="Lambda power supply and relay changed."/>
    <s v="Close"/>
    <n v="0.13125000000000001"/>
    <s v="G04"/>
    <n v="1075.990234375"/>
    <s v="None"/>
    <s v="WTG Breakdown Maintenance"/>
    <n v="4918.8125"/>
    <n v="1075.990234375"/>
    <m/>
    <m/>
    <m/>
    <m/>
  </r>
  <r>
    <n v="1168"/>
    <x v="143"/>
    <x v="1"/>
    <x v="0"/>
    <x v="5"/>
    <x v="1"/>
    <x v="26"/>
    <s v="PWEGPL"/>
    <s v="MSEDCL"/>
    <n v="2.5000000000000001E-2"/>
    <n v="500"/>
    <x v="302"/>
    <s v="BD"/>
    <d v="1899-12-30T18:28:00"/>
    <d v="1899-12-30T18:30:00"/>
    <d v="1899-12-30T19:19:00"/>
    <n v="3.3333333333335879E-2"/>
    <n v="0.81666666666666643"/>
    <n v="0.85000000000000231"/>
    <s v="reset"/>
    <s v="Close"/>
    <n v="2.1250000000000061E-2"/>
    <s v="G06"/>
    <n v="25.747842881944582"/>
    <s v="None"/>
    <s v="WTG Breakdown Maintenance"/>
    <n v="726.99791666666863"/>
    <n v="25.747842881944582"/>
    <m/>
    <m/>
    <m/>
    <m/>
  </r>
  <r>
    <n v="1169"/>
    <x v="143"/>
    <x v="1"/>
    <x v="0"/>
    <x v="5"/>
    <x v="1"/>
    <x v="27"/>
    <s v="PWEGPL"/>
    <s v="MSEDCL"/>
    <n v="2.5000000000000001E-2"/>
    <s v="CE100001"/>
    <x v="288"/>
    <s v="Manual stop"/>
    <d v="1899-12-30T18:17:00"/>
    <d v="1899-12-30T18:17:00"/>
    <d v="1899-12-30T18:57:00"/>
    <n v="0"/>
    <n v="0.6666666666666643"/>
    <n v="0.6666666666666643"/>
    <s v="Bearing greasing done."/>
    <s v="Close"/>
    <n v="1.6666666666666607E-2"/>
    <s v="G12"/>
    <n v="22.600308641975147"/>
    <s v="None"/>
    <s v="WTG Unscheduled Maintenance"/>
    <n v="813.61111111110824"/>
    <n v="22.600308641975147"/>
    <m/>
    <m/>
    <m/>
    <m/>
  </r>
  <r>
    <n v="1170"/>
    <x v="143"/>
    <x v="1"/>
    <x v="0"/>
    <x v="5"/>
    <x v="1"/>
    <x v="3"/>
    <s v="PWEGPL"/>
    <s v="MSEDCL"/>
    <n v="2.5000000000000001E-2"/>
    <s v="CE100001"/>
    <x v="288"/>
    <s v="Manual stop"/>
    <d v="1899-12-30T16:05:00"/>
    <d v="1899-12-30T16:05:00"/>
    <d v="1899-12-30T16:40:00"/>
    <n v="0"/>
    <n v="0.58333333333333659"/>
    <n v="0.58333333333333659"/>
    <s v="Bearing greasing done."/>
    <s v="Close"/>
    <n v="1.4583333333333415E-2"/>
    <s v="G26"/>
    <n v="12.229914158950754"/>
    <s v="None"/>
    <s v="WTG Unscheduled Maintenance"/>
    <n v="503.17361111111393"/>
    <n v="12.229914158950754"/>
    <m/>
    <m/>
    <m/>
    <m/>
  </r>
  <r>
    <n v="1171"/>
    <x v="144"/>
    <x v="1"/>
    <x v="0"/>
    <x v="5"/>
    <x v="1"/>
    <x v="26"/>
    <s v="PWEGPL"/>
    <s v="MSEDCL"/>
    <n v="2.5000000000000001E-2"/>
    <n v="500"/>
    <x v="302"/>
    <s v="BD"/>
    <d v="1899-12-30T14:02:00"/>
    <d v="1899-12-30T14:13:00"/>
    <d v="1899-12-30T17:27:00"/>
    <n v="0.18333333333333268"/>
    <n v="3.2333333333333325"/>
    <n v="3.4166666666666652"/>
    <s v="Generator cooliing motor replaced"/>
    <s v="Close"/>
    <n v="8.5416666666666641E-2"/>
    <s v="G01"/>
    <n v="557.49599729938234"/>
    <s v="None"/>
    <s v="WTG Breakdown Maintenance"/>
    <n v="3916.069444444443"/>
    <n v="557.49599729938234"/>
    <m/>
    <m/>
    <m/>
    <m/>
  </r>
  <r>
    <n v="1172"/>
    <x v="144"/>
    <x v="1"/>
    <x v="0"/>
    <x v="5"/>
    <x v="1"/>
    <x v="27"/>
    <s v="PWEGPL"/>
    <s v="MSEDCL"/>
    <n v="2.5000000000000001E-2"/>
    <n v="502"/>
    <x v="347"/>
    <s v="BD"/>
    <d v="1899-12-30T14:04:00"/>
    <d v="1899-12-30T15:06:00"/>
    <d v="1899-12-30T15:17:00"/>
    <n v="1.0333333333333323"/>
    <n v="0.18333333333333268"/>
    <n v="1.216666666666665"/>
    <s v="Autoreset"/>
    <s v="Close"/>
    <n v="3.0416666666666627E-2"/>
    <s v="G12"/>
    <n v="83.378701774691123"/>
    <s v="None"/>
    <s v="WTG Breakdown Maintenance"/>
    <n v="1644.7305555555531"/>
    <n v="83.378701774691123"/>
    <m/>
    <m/>
    <m/>
    <m/>
  </r>
  <r>
    <n v="1173"/>
    <x v="144"/>
    <x v="1"/>
    <x v="0"/>
    <x v="5"/>
    <x v="1"/>
    <x v="8"/>
    <s v="PWEGPL"/>
    <s v="MSEDCL"/>
    <n v="2.5000000000000001E-2"/>
    <n v="500"/>
    <x v="302"/>
    <s v="BD"/>
    <d v="1899-12-30T17:17:00"/>
    <d v="1899-12-30T18:30:00"/>
    <d v="1899-12-30T21:49:00"/>
    <n v="1.216666666666665"/>
    <n v="3.3166666666666655"/>
    <n v="4.5333333333333306"/>
    <s v="MCB chrged"/>
    <s v="Close"/>
    <n v="0.11333333333333327"/>
    <s v="G25"/>
    <n v="1008.8597530864186"/>
    <s v="None"/>
    <s v="WTG Breakdown Maintenance"/>
    <n v="5341.0222222222192"/>
    <n v="1008.8597530864186"/>
    <m/>
    <m/>
    <m/>
    <m/>
  </r>
  <r>
    <n v="1174"/>
    <x v="144"/>
    <x v="1"/>
    <x v="0"/>
    <x v="5"/>
    <x v="1"/>
    <x v="3"/>
    <s v="PWEGPL"/>
    <s v="MSEDCL"/>
    <n v="2.5000000000000001E-2"/>
    <n v="502"/>
    <x v="347"/>
    <s v="BD"/>
    <d v="1899-12-30T13:19:00"/>
    <d v="1899-12-30T13:25:00"/>
    <d v="1899-12-30T13:30:00"/>
    <n v="9.9999999999999645E-2"/>
    <n v="8.3333333333333037E-2"/>
    <n v="0.18333333333333268"/>
    <s v="Autoreset"/>
    <s v="Close"/>
    <n v="4.5833333333333169E-3"/>
    <s v="G26"/>
    <n v="1.2907600308641882"/>
    <s v="None"/>
    <s v="WTG Breakdown Maintenance"/>
    <n v="168.9722222222216"/>
    <n v="1.2907600308641882"/>
    <m/>
    <m/>
    <m/>
    <m/>
  </r>
  <r>
    <n v="1175"/>
    <x v="144"/>
    <x v="1"/>
    <x v="0"/>
    <x v="5"/>
    <x v="1"/>
    <x v="7"/>
    <s v="PWEGPL"/>
    <s v="MSEDCL"/>
    <n v="2.5000000000000001E-2"/>
    <n v="205"/>
    <x v="312"/>
    <s v="BD"/>
    <d v="1899-12-30T02:40:00"/>
    <d v="1899-12-30T03:21:00"/>
    <d v="1899-12-30T04:58:00"/>
    <n v="0.68333333333333357"/>
    <n v="1.6166666666666669"/>
    <n v="2.3000000000000007"/>
    <s v="Oil Topup"/>
    <s v="Close"/>
    <n v="5.7500000000000023E-2"/>
    <s v="G39"/>
    <n v="196.44635416666679"/>
    <s v="None"/>
    <s v="WTG Breakdown Maintenance"/>
    <n v="2049.8750000000005"/>
    <n v="196.44635416666679"/>
    <m/>
    <m/>
    <m/>
    <m/>
  </r>
  <r>
    <n v="1176"/>
    <x v="145"/>
    <x v="1"/>
    <x v="0"/>
    <x v="5"/>
    <x v="1"/>
    <x v="22"/>
    <s v="PWEGPL"/>
    <s v="MSEDCL"/>
    <n v="2.5000000000000001E-2"/>
    <n v="700"/>
    <x v="329"/>
    <s v="BD"/>
    <d v="1899-12-30T02:40:00"/>
    <d v="1899-12-30T03:10:00"/>
    <d v="1899-12-30T07:33:00"/>
    <n v="0.50000000000000022"/>
    <n v="4.3833333333333329"/>
    <n v="4.8833333333333329"/>
    <s v="Lamda power supply replaced"/>
    <s v="Close"/>
    <n v="0.12208333333333332"/>
    <s v="G04"/>
    <n v="1045.2910648148147"/>
    <s v="None"/>
    <s v="WTG Breakdown Maintenance"/>
    <n v="5137.2666666666664"/>
    <n v="1045.2910648148147"/>
    <m/>
    <m/>
    <m/>
    <m/>
  </r>
  <r>
    <n v="1177"/>
    <x v="145"/>
    <x v="1"/>
    <x v="0"/>
    <x v="5"/>
    <x v="1"/>
    <x v="27"/>
    <s v="PWEGPL"/>
    <s v="MSEDCL"/>
    <n v="2.5000000000000001E-2"/>
    <s v="CE100001"/>
    <x v="288"/>
    <s v="Manual stop"/>
    <d v="1899-12-30T10:38:00"/>
    <d v="1899-12-30T10:38:00"/>
    <d v="1899-12-30T12:47:00"/>
    <n v="0"/>
    <n v="2.1500000000000004"/>
    <n v="2.1500000000000004"/>
    <s v="PT 100 sensor replaced"/>
    <s v="Close"/>
    <n v="5.3750000000000013E-2"/>
    <s v="G12"/>
    <n v="232.24852430555563"/>
    <s v="None"/>
    <s v="IG Unscheduled Maintenance"/>
    <n v="2592.541666666667"/>
    <n v="232.24852430555563"/>
    <m/>
    <m/>
    <m/>
    <m/>
  </r>
  <r>
    <n v="1178"/>
    <x v="145"/>
    <x v="1"/>
    <x v="0"/>
    <x v="5"/>
    <x v="1"/>
    <x v="22"/>
    <s v="PWEGPL"/>
    <s v="MSEDCL"/>
    <n v="2.5000000000000001E-2"/>
    <n v="5236"/>
    <x v="363"/>
    <s v="BD"/>
    <d v="1899-12-30T14:19:00"/>
    <d v="1899-12-30T14:59:00"/>
    <d v="1899-12-30T15:23:00"/>
    <n v="0.66666666666666696"/>
    <n v="0.39999999999999858"/>
    <n v="1.0666666666666655"/>
    <s v="Lamda power supply replaced"/>
    <s v="Close"/>
    <n v="2.6666666666666641E-2"/>
    <s v="G12"/>
    <n v="49.872592592592483"/>
    <s v="None"/>
    <s v="WTG Breakdown Maintenance"/>
    <n v="1122.1333333333321"/>
    <n v="49.872592592592483"/>
    <m/>
    <m/>
    <m/>
    <m/>
  </r>
  <r>
    <n v="1179"/>
    <x v="145"/>
    <x v="1"/>
    <x v="0"/>
    <x v="5"/>
    <x v="1"/>
    <x v="22"/>
    <s v="PWEGPL"/>
    <s v="MSEDCL"/>
    <n v="2.5000000000000001E-2"/>
    <n v="5216"/>
    <x v="306"/>
    <s v="BD"/>
    <d v="1899-12-30T16:42:00"/>
    <d v="1899-12-30T16:59:00"/>
    <d v="1899-12-30T18:50:00"/>
    <n v="0.28333333333333499"/>
    <n v="1.8499999999999988"/>
    <n v="2.1333333333333337"/>
    <s v="Lamda power supply replaced"/>
    <s v="Close"/>
    <n v="5.3333333333333344E-2"/>
    <s v="G12"/>
    <n v="199.49037037037041"/>
    <s v="None"/>
    <s v="WTG Breakdown Maintenance"/>
    <n v="2244.2666666666669"/>
    <n v="199.49037037037041"/>
    <m/>
    <m/>
    <m/>
    <m/>
  </r>
  <r>
    <n v="1180"/>
    <x v="145"/>
    <x v="1"/>
    <x v="0"/>
    <x v="5"/>
    <x v="1"/>
    <x v="22"/>
    <s v="PWEGPL"/>
    <s v="MSEDCL"/>
    <n v="2.5000000000000001E-2"/>
    <n v="700"/>
    <x v="329"/>
    <s v="BD"/>
    <d v="1899-12-30T22:30:00"/>
    <d v="1899-12-30T23:47:00"/>
    <d v="1899-12-30T23:59:00"/>
    <n v="1.2833333333333341"/>
    <n v="0.19999999999999929"/>
    <n v="1.4833333333333334"/>
    <s v="Lamda power supply replaced"/>
    <s v="Close"/>
    <n v="3.7083333333333336E-2"/>
    <s v="G12"/>
    <n v="96.445509259259268"/>
    <s v="None"/>
    <s v="WTG Breakdown Maintenance"/>
    <n v="1560.4666666666667"/>
    <n v="96.445509259259268"/>
    <m/>
    <m/>
    <m/>
    <m/>
  </r>
  <r>
    <n v="1181"/>
    <x v="146"/>
    <x v="1"/>
    <x v="0"/>
    <x v="5"/>
    <x v="1"/>
    <x v="22"/>
    <s v="PWEGPL"/>
    <s v="MSEDCL"/>
    <n v="2.5000000000000001E-2"/>
    <n v="700"/>
    <x v="329"/>
    <s v="BD"/>
    <d v="1899-12-30T00:01:00"/>
    <d v="1899-12-30T00:01:00"/>
    <d v="1899-12-30T00:30:00"/>
    <n v="0"/>
    <n v="0.48333333333333328"/>
    <n v="0.48333333333333328"/>
    <s v="Reset"/>
    <s v="Close"/>
    <n v="1.2083333333333333E-2"/>
    <s v="G04"/>
    <n v="9.8806143904320969"/>
    <s v="None"/>
    <s v="WTG Breakdown Maintenance"/>
    <n v="490.62361111111107"/>
    <n v="9.8806143904320969"/>
    <m/>
    <m/>
    <m/>
    <m/>
  </r>
  <r>
    <n v="1182"/>
    <x v="146"/>
    <x v="1"/>
    <x v="0"/>
    <x v="5"/>
    <x v="1"/>
    <x v="24"/>
    <s v="PWEGPL"/>
    <s v="MSEDCL"/>
    <n v="2.5000000000000001E-2"/>
    <n v="5201"/>
    <x v="299"/>
    <s v="BD"/>
    <d v="1899-12-30T12:13:00"/>
    <d v="1899-12-30T13:49:00"/>
    <d v="1899-12-30T14:04:00"/>
    <n v="1.5999999999999996"/>
    <n v="0.25000000000000178"/>
    <n v="1.8500000000000014"/>
    <s v="reset"/>
    <s v="Close"/>
    <n v="4.6250000000000041E-2"/>
    <s v="G22"/>
    <n v="138.42111111111132"/>
    <s v="None"/>
    <s v="WTG Breakdown Maintenance"/>
    <n v="1795.7333333333347"/>
    <n v="138.42111111111132"/>
    <m/>
    <m/>
    <m/>
    <m/>
  </r>
  <r>
    <n v="1183"/>
    <x v="146"/>
    <x v="1"/>
    <x v="0"/>
    <x v="5"/>
    <x v="1"/>
    <x v="33"/>
    <s v="PWEGPL"/>
    <s v="MSEDCL"/>
    <n v="2.5000000000000001E-2"/>
    <n v="205"/>
    <x v="312"/>
    <s v="BD"/>
    <d v="1899-12-30T12:15:00"/>
    <d v="1899-12-30T14:13:00"/>
    <d v="1899-12-30T14:16:00"/>
    <n v="1.9666666666666677"/>
    <n v="4.9999999999999822E-2"/>
    <n v="2.0166666666666675"/>
    <s v="reset"/>
    <s v="Close"/>
    <n v="5.0416666666666693E-2"/>
    <s v="G29"/>
    <n v="150.89148148148166"/>
    <s v="None"/>
    <s v="WTG Breakdown Maintenance"/>
    <n v="1795.7333333333347"/>
    <n v="150.89148148148166"/>
    <m/>
    <m/>
    <m/>
    <m/>
  </r>
  <r>
    <n v="1184"/>
    <x v="146"/>
    <x v="1"/>
    <x v="0"/>
    <x v="5"/>
    <x v="1"/>
    <x v="10"/>
    <s v="PWEGPL"/>
    <s v="MSEDCL"/>
    <n v="2.5000000000000001E-2"/>
    <n v="507"/>
    <x v="318"/>
    <s v="Manual stop"/>
    <d v="1899-12-30T10:39:00"/>
    <d v="1899-12-30T10:39:00"/>
    <d v="1899-12-30T13:38:00"/>
    <n v="0"/>
    <n v="2.9833333333333321"/>
    <n v="2.9833333333333321"/>
    <s v="generator cooling fan replaced."/>
    <s v="Close"/>
    <n v="7.4583333333333307E-2"/>
    <s v="G32"/>
    <n v="227.51559510030864"/>
    <s v="None"/>
    <s v="IG Unscheduled Maintenance"/>
    <n v="1830.2930555555563"/>
    <n v="227.51559510030864"/>
    <m/>
    <m/>
    <m/>
    <m/>
  </r>
  <r>
    <n v="1185"/>
    <x v="146"/>
    <x v="1"/>
    <x v="0"/>
    <x v="5"/>
    <x v="1"/>
    <x v="12"/>
    <s v="PWEGPL"/>
    <s v="MSEDCL"/>
    <n v="2.5000000000000001E-2"/>
    <n v="5201"/>
    <x v="299"/>
    <s v="BD"/>
    <d v="1899-12-30T17:54:00"/>
    <d v="1899-12-30T19:02:00"/>
    <d v="1899-12-30T19:18:00"/>
    <n v="1.1333333333333373"/>
    <n v="0.26666666666666572"/>
    <n v="1.400000000000003"/>
    <s v="TU reset"/>
    <s v="Close"/>
    <n v="3.500000000000008E-2"/>
    <s v="G30"/>
    <n v="130.14377314814837"/>
    <s v="None"/>
    <s v="WTG Breakdown Maintenance"/>
    <n v="2231.0361111111101"/>
    <n v="130.14377314814837"/>
    <m/>
    <m/>
    <m/>
    <m/>
  </r>
  <r>
    <n v="1186"/>
    <x v="146"/>
    <x v="1"/>
    <x v="0"/>
    <x v="5"/>
    <x v="1"/>
    <x v="7"/>
    <s v="PWEGPL"/>
    <s v="MSEDCL"/>
    <n v="2.5000000000000001E-2"/>
    <n v="205"/>
    <x v="312"/>
    <s v="BD"/>
    <d v="1899-12-30T15:06:00"/>
    <d v="1899-12-30T16:32:00"/>
    <d v="1899-12-30T18:08:00"/>
    <n v="1.4333333333333362"/>
    <n v="1.599999999999997"/>
    <n v="3.0333333333333332"/>
    <s v="Oil topup"/>
    <s v="Close"/>
    <n v="7.5833333333333336E-2"/>
    <s v="G39"/>
    <n v="134.00592592592619"/>
    <s v="None"/>
    <s v="WTG Breakdown Maintenance"/>
    <n v="1060.2666666666689"/>
    <n v="134.00592592592619"/>
    <m/>
    <m/>
    <m/>
    <m/>
  </r>
  <r>
    <n v="1187"/>
    <x v="147"/>
    <x v="1"/>
    <x v="0"/>
    <x v="5"/>
    <x v="1"/>
    <x v="26"/>
    <s v="PWEGPL"/>
    <s v="MSEDCL"/>
    <n v="2.5000000000000001E-2"/>
    <s v="CE100001"/>
    <x v="288"/>
    <s v="Manual stop"/>
    <d v="1899-12-30T11:42:00"/>
    <d v="1899-12-30T11:42:00"/>
    <d v="1899-12-30T12:37:00"/>
    <n v="0"/>
    <n v="0.91666666666666741"/>
    <n v="0.91666666666666741"/>
    <s v="contactor replaced"/>
    <s v="Close"/>
    <n v="2.2916666666666686E-2"/>
    <s v="G01"/>
    <n v="22.290702160493861"/>
    <s v="None"/>
    <s v="WTG Unscheduled Maintenance"/>
    <n v="583.61111111111154"/>
    <n v="22.290702160493861"/>
    <m/>
    <m/>
    <m/>
    <m/>
  </r>
  <r>
    <n v="1188"/>
    <x v="147"/>
    <x v="1"/>
    <x v="0"/>
    <x v="5"/>
    <x v="1"/>
    <x v="37"/>
    <s v="PWEGPL"/>
    <s v="MSEDCL"/>
    <n v="2.5000000000000001E-2"/>
    <n v="800"/>
    <x v="298"/>
    <s v="BD"/>
    <d v="1899-12-30T17:42:00"/>
    <d v="1899-12-30T18:01:00"/>
    <d v="1899-12-30T23:59:00"/>
    <n v="0.31666666666666821"/>
    <n v="5.9666666666666668"/>
    <n v="6.283333333333335"/>
    <s v="Pitch proporsnal valve replaced"/>
    <s v="Open"/>
    <n v="0.15708333333333338"/>
    <s v="G17"/>
    <n v="1240.3387268518527"/>
    <s v="None"/>
    <s v="WTG Breakdown Maintenance"/>
    <n v="4737.633333333335"/>
    <n v="1240.3387268518527"/>
    <m/>
    <m/>
    <m/>
    <m/>
  </r>
  <r>
    <n v="1189"/>
    <x v="147"/>
    <x v="1"/>
    <x v="0"/>
    <x v="5"/>
    <x v="1"/>
    <x v="33"/>
    <s v="PWEGPL"/>
    <s v="MSEDCL"/>
    <n v="2.5000000000000001E-2"/>
    <n v="205"/>
    <x v="312"/>
    <s v="BD"/>
    <d v="1899-12-30T20:19:00"/>
    <d v="1899-12-30T21:55:00"/>
    <d v="1899-12-30T22:30:00"/>
    <n v="1.6000000000000023"/>
    <n v="0.58333333333333126"/>
    <n v="2.1833333333333336"/>
    <s v="oil topup done."/>
    <s v="Close"/>
    <n v="5.4583333333333345E-2"/>
    <s v="G22"/>
    <n v="128.62474054783954"/>
    <s v="None"/>
    <s v="WTG Breakdown Maintenance"/>
    <n v="1413.890277777778"/>
    <n v="128.62474054783954"/>
    <m/>
    <m/>
    <m/>
    <m/>
  </r>
  <r>
    <n v="1190"/>
    <x v="147"/>
    <x v="1"/>
    <x v="0"/>
    <x v="5"/>
    <x v="1"/>
    <x v="7"/>
    <s v="PWEGPL"/>
    <s v="MSEDCL"/>
    <n v="2.5000000000000001E-2"/>
    <s v="CE100001"/>
    <x v="288"/>
    <s v="Manual stop"/>
    <d v="1899-12-30T10:54:00"/>
    <d v="1899-12-30T10:54:00"/>
    <d v="1899-12-30T17:18:00"/>
    <n v="0"/>
    <n v="6.4"/>
    <n v="6.4"/>
    <s v="Pitch cylinder oil seal replaced"/>
    <s v="Close"/>
    <n v="0.16000000000000003"/>
    <s v="G39"/>
    <n v="728.74666666666678"/>
    <s v="None"/>
    <s v="WTG Unscheduled Maintenance"/>
    <n v="2732.8"/>
    <n v="728.74666666666678"/>
    <m/>
    <m/>
    <m/>
    <m/>
  </r>
  <r>
    <n v="1191"/>
    <x v="148"/>
    <x v="1"/>
    <x v="0"/>
    <x v="5"/>
    <x v="1"/>
    <x v="37"/>
    <s v="PWEGPL"/>
    <s v="MSEDCL"/>
    <n v="2.5000000000000001E-2"/>
    <n v="5237"/>
    <x v="372"/>
    <s v="BD"/>
    <d v="1899-12-30T00:00:00"/>
    <d v="1899-12-30T00:47:00"/>
    <d v="1899-12-30T11:56:00"/>
    <n v="0.78333333333333344"/>
    <n v="11.15"/>
    <n v="11.933333333333334"/>
    <s v="Doide card replaced"/>
    <s v="Close"/>
    <n v="0.29833333333333334"/>
    <s v="G17"/>
    <n v="3773.7177777777779"/>
    <s v="None"/>
    <s v="WTG Breakdown Maintenance"/>
    <n v="7589.6"/>
    <n v="3773.7177777777779"/>
    <m/>
    <m/>
    <m/>
    <m/>
  </r>
  <r>
    <n v="1192"/>
    <x v="148"/>
    <x v="1"/>
    <x v="0"/>
    <x v="5"/>
    <x v="1"/>
    <x v="7"/>
    <s v="PWEGPL"/>
    <s v="MSEDCL"/>
    <n v="2.5000000000000001E-2"/>
    <n v="5260"/>
    <x v="373"/>
    <s v="BD"/>
    <d v="1899-12-30T21:11:00"/>
    <d v="1899-12-30T22:02:00"/>
    <d v="1899-12-30T23:02:00"/>
    <n v="0.85000000000000231"/>
    <n v="0.99999999999999911"/>
    <n v="1.8500000000000014"/>
    <s v="Cable loose connection tightened"/>
    <s v="Close"/>
    <n v="4.6250000000000041E-2"/>
    <s v="G39"/>
    <n v="65.835590277777882"/>
    <s v="None"/>
    <s v="WTG Breakdown Maintenance"/>
    <n v="854.08333333333405"/>
    <n v="65.835590277777882"/>
    <m/>
    <m/>
    <m/>
    <m/>
  </r>
  <r>
    <n v="1193"/>
    <x v="148"/>
    <x v="1"/>
    <x v="0"/>
    <x v="5"/>
    <x v="1"/>
    <x v="37"/>
    <s v="PWEGPL"/>
    <s v="MSEDCL"/>
    <n v="2.5000000000000001E-2"/>
    <n v="5237"/>
    <x v="372"/>
    <s v="BD"/>
    <d v="1899-12-30T12:22:00"/>
    <d v="1899-12-30T13:03:00"/>
    <d v="1899-12-30T13:56:00"/>
    <n v="0.68333333333333357"/>
    <n v="0.88333333333333286"/>
    <n v="1.5666666666666664"/>
    <s v="IGBT card replaced"/>
    <s v="Close"/>
    <n v="3.9166666666666662E-2"/>
    <s v="G17"/>
    <n v="65.042777777777758"/>
    <s v="None"/>
    <s v="WTG Breakdown Maintenance"/>
    <n v="996.39999999999986"/>
    <n v="65.042777777777758"/>
    <m/>
    <m/>
    <m/>
    <m/>
  </r>
  <r>
    <n v="1194"/>
    <x v="149"/>
    <x v="1"/>
    <x v="0"/>
    <x v="5"/>
    <x v="1"/>
    <x v="22"/>
    <s v="PWEGPL"/>
    <s v="MSEDCL"/>
    <n v="2.5000000000000001E-2"/>
    <n v="405"/>
    <x v="370"/>
    <s v="BD"/>
    <d v="1899-12-30T10:34:00"/>
    <d v="1899-12-30T11:22:00"/>
    <d v="1899-12-30T13:08:00"/>
    <n v="0.80000000000000115"/>
    <n v="1.7666666666666644"/>
    <n v="2.5666666666666655"/>
    <s v="CCU &amp; lambda power supply replaced"/>
    <s v="Close"/>
    <n v="6.4166666666666636E-2"/>
    <s v="G04"/>
    <n v="124.916161265432"/>
    <s v="None"/>
    <s v="WTG Breakdown Maintenance"/>
    <n v="1168.0472222222218"/>
    <n v="124.916161265432"/>
    <m/>
    <m/>
    <m/>
    <m/>
  </r>
  <r>
    <n v="1195"/>
    <x v="149"/>
    <x v="1"/>
    <x v="0"/>
    <x v="5"/>
    <x v="1"/>
    <x v="25"/>
    <s v="PWEGPL"/>
    <s v="MSEDCL"/>
    <n v="2.5000000000000001E-2"/>
    <s v="CE100007"/>
    <x v="295"/>
    <s v="BD"/>
    <d v="1899-12-30T17:56:00"/>
    <d v="1899-12-30T20:22:00"/>
    <d v="1899-12-30T22:50:00"/>
    <n v="2.4333333333333327"/>
    <n v="2.4666666666666659"/>
    <n v="4.8999999999999986"/>
    <s v="breaker charged"/>
    <s v="Close"/>
    <n v="0.12249999999999997"/>
    <s v="G08"/>
    <n v="325.05204861111093"/>
    <s v="None"/>
    <s v="WTG Breakdown Maintenance"/>
    <n v="1592.0916666666662"/>
    <n v="325.05204861111093"/>
    <m/>
    <m/>
    <m/>
    <m/>
  </r>
  <r>
    <n v="1196"/>
    <x v="149"/>
    <x v="1"/>
    <x v="0"/>
    <x v="5"/>
    <x v="1"/>
    <x v="17"/>
    <s v="PWEGPL"/>
    <s v="MSEDCL"/>
    <n v="2.5000000000000001E-2"/>
    <s v="CE100001"/>
    <x v="288"/>
    <s v="Manual stop"/>
    <d v="1899-12-30T22:59:00"/>
    <d v="1899-12-30T22:59:00"/>
    <d v="1899-12-30T23:56:00"/>
    <n v="0"/>
    <n v="0.94999999999999929"/>
    <n v="0.94999999999999929"/>
    <s v="slipring cleaned"/>
    <s v="Close"/>
    <n v="2.3749999999999983E-2"/>
    <s v="G10"/>
    <n v="17.062890624999973"/>
    <s v="None"/>
    <s v="WTG Unscheduled Maintenance"/>
    <n v="431.06249999999966"/>
    <n v="17.062890624999973"/>
    <m/>
    <m/>
    <m/>
    <m/>
  </r>
  <r>
    <n v="1197"/>
    <x v="149"/>
    <x v="1"/>
    <x v="0"/>
    <x v="5"/>
    <x v="1"/>
    <x v="37"/>
    <s v="PWEGPL"/>
    <s v="MSEDCL"/>
    <n v="2.5000000000000001E-2"/>
    <n v="118"/>
    <x v="313"/>
    <s v="Manual stop"/>
    <d v="1899-12-30T14:40:00"/>
    <d v="1899-12-30T14:40:00"/>
    <d v="1899-12-30T16:05:00"/>
    <n v="0"/>
    <n v="1.416666666666667"/>
    <n v="1.416666666666667"/>
    <s v="Yaw motor replaced"/>
    <s v="Close"/>
    <n v="3.5416666666666673E-2"/>
    <s v="G15"/>
    <n v="39.581404320987673"/>
    <s v="None"/>
    <s v="WTG Unscheduled Maintenance"/>
    <n v="670.55555555555566"/>
    <n v="39.581404320987673"/>
    <m/>
    <m/>
    <m/>
    <m/>
  </r>
  <r>
    <n v="1198"/>
    <x v="149"/>
    <x v="1"/>
    <x v="0"/>
    <x v="5"/>
    <x v="1"/>
    <x v="14"/>
    <s v="PWEGPL"/>
    <s v="MSEDCL"/>
    <n v="2.5000000000000001E-2"/>
    <n v="205"/>
    <x v="312"/>
    <s v="BD"/>
    <d v="1899-12-30T19:27:00"/>
    <d v="1899-12-30T20:28:00"/>
    <d v="1899-12-30T23:59:00"/>
    <n v="1.0166666666666657"/>
    <n v="3.5166666666666675"/>
    <n v="4.5333333333333332"/>
    <s v="WIP"/>
    <s v="Open"/>
    <n v="0.11333333333333334"/>
    <s v="G33"/>
    <n v="294.10209876543206"/>
    <s v="None"/>
    <s v="WTG Breakdown Maintenance"/>
    <n v="1557.0111111111109"/>
    <n v="294.10209876543206"/>
    <m/>
    <m/>
    <m/>
    <m/>
  </r>
  <r>
    <n v="1199"/>
    <x v="149"/>
    <x v="1"/>
    <x v="0"/>
    <x v="5"/>
    <x v="1"/>
    <x v="6"/>
    <s v="PWEGPL"/>
    <s v="MSEDCL"/>
    <n v="2.5000000000000001E-2"/>
    <n v="5263"/>
    <x v="311"/>
    <s v="BD"/>
    <d v="1899-12-30T07:37:00"/>
    <d v="1899-12-30T10:05:00"/>
    <d v="1899-12-30T10:16:00"/>
    <n v="2.4666666666666659"/>
    <n v="0.18333333333333401"/>
    <n v="2.65"/>
    <s v="reset &amp; Rebot"/>
    <s v="Close"/>
    <n v="6.6250000000000003E-2"/>
    <s v="G40"/>
    <n v="98.022395833333334"/>
    <s v="None"/>
    <s v="WTG Breakdown Maintenance"/>
    <n v="887.75"/>
    <n v="98.022395833333334"/>
    <m/>
    <m/>
    <m/>
    <m/>
  </r>
  <r>
    <n v="1200"/>
    <x v="149"/>
    <x v="1"/>
    <x v="0"/>
    <x v="5"/>
    <x v="1"/>
    <x v="6"/>
    <s v="PWEGPL"/>
    <s v="MSEDCL"/>
    <n v="2.5000000000000001E-2"/>
    <s v="CE100001"/>
    <x v="288"/>
    <s v="Manual stop"/>
    <d v="1899-12-30T14:54:00"/>
    <d v="1899-12-30T14:54:00"/>
    <d v="1899-12-30T16:01:00"/>
    <n v="0"/>
    <n v="1.1166666666666654"/>
    <n v="1.1166666666666654"/>
    <s v="slipring cleaned"/>
    <s v="Close"/>
    <n v="2.7916666666666635E-2"/>
    <s v="G40"/>
    <n v="17.405266203703665"/>
    <s v="None"/>
    <s v="WTG Unscheduled Maintenance"/>
    <n v="374.08333333333292"/>
    <n v="17.405266203703665"/>
    <m/>
    <m/>
    <m/>
    <m/>
  </r>
  <r>
    <n v="1201"/>
    <x v="150"/>
    <x v="1"/>
    <x v="0"/>
    <x v="5"/>
    <x v="1"/>
    <x v="24"/>
    <s v="PWEGPL"/>
    <s v="MSEDCL"/>
    <n v="2.5000000000000001E-2"/>
    <n v="205"/>
    <x v="312"/>
    <s v="BD"/>
    <d v="1899-12-30T13:25:00"/>
    <d v="1899-12-30T14:13:00"/>
    <d v="1899-12-30T14:35:00"/>
    <n v="0.79999999999999982"/>
    <n v="0.36666666666666803"/>
    <n v="1.1666666666666679"/>
    <s v="Oil Topup"/>
    <s v="Close"/>
    <n v="2.9166666666666698E-2"/>
    <s v="G22"/>
    <n v="30.780960648148209"/>
    <s v="None"/>
    <s v="WTG Breakdown Maintenance"/>
    <n v="633.20833333333394"/>
    <n v="30.780960648148209"/>
    <m/>
    <m/>
    <m/>
    <m/>
  </r>
  <r>
    <n v="1202"/>
    <x v="150"/>
    <x v="1"/>
    <x v="0"/>
    <x v="5"/>
    <x v="1"/>
    <x v="13"/>
    <s v="PWEGPL"/>
    <s v="MSEDCL"/>
    <n v="2.5000000000000001E-2"/>
    <n v="205"/>
    <x v="312"/>
    <s v="BD"/>
    <d v="1899-12-30T13:15:00"/>
    <d v="1899-12-30T13:20:00"/>
    <d v="1899-12-30T13:28:00"/>
    <n v="8.3333333333333037E-2"/>
    <n v="0.13333333333333286"/>
    <n v="0.2166666666666659"/>
    <s v="Oil Topup"/>
    <s v="Close"/>
    <n v="5.4166666666666478E-3"/>
    <s v="G35"/>
    <n v="0.8722212577160432"/>
    <s v="None"/>
    <s v="WTG Breakdown Maintenance"/>
    <n v="96.615277777777436"/>
    <n v="0.8722212577160432"/>
    <m/>
    <m/>
    <m/>
    <m/>
  </r>
  <r>
    <n v="1203"/>
    <x v="150"/>
    <x v="1"/>
    <x v="0"/>
    <x v="5"/>
    <x v="1"/>
    <x v="14"/>
    <s v="PWEGPL"/>
    <s v="MSEDCL"/>
    <n v="2.5000000000000001E-2"/>
    <n v="205"/>
    <x v="312"/>
    <s v="BD"/>
    <d v="1899-12-30T00:00:00"/>
    <d v="1899-12-30T00:00:00"/>
    <d v="1899-12-30T19:15:00"/>
    <n v="0"/>
    <n v="19.25"/>
    <n v="19.25"/>
    <s v="Accumulator fixed &amp; its accessories replaced"/>
    <s v="Close"/>
    <n v="0.48125000000000001"/>
    <s v="G35"/>
    <n v="6884.9997829861113"/>
    <s v="None"/>
    <s v="WTG Breakdown Maintenance"/>
    <n v="8583.8958333333339"/>
    <n v="6884.9997829861113"/>
    <m/>
    <m/>
    <m/>
    <m/>
  </r>
  <r>
    <n v="1204"/>
    <x v="150"/>
    <x v="1"/>
    <x v="0"/>
    <x v="5"/>
    <x v="1"/>
    <x v="13"/>
    <s v="PWEGPL"/>
    <s v="MSEDCL"/>
    <n v="2.5000000000000001E-2"/>
    <n v="205"/>
    <x v="312"/>
    <s v="BD"/>
    <d v="1899-12-30T16:52:00"/>
    <d v="1899-12-30T17:00:00"/>
    <d v="1899-12-30T17:09:00"/>
    <n v="0.13333333333333286"/>
    <n v="0.1499999999999968"/>
    <n v="0.28333333333332966"/>
    <s v="Oil Topup"/>
    <s v="Close"/>
    <n v="7.0833333333332419E-3"/>
    <s v="G35"/>
    <n v="1.4915499614197143"/>
    <s v="None"/>
    <s v="WTG Breakdown Maintenance"/>
    <n v="126.34305555555392"/>
    <n v="1.4915499614197143"/>
    <m/>
    <m/>
    <m/>
    <m/>
  </r>
  <r>
    <n v="1205"/>
    <x v="151"/>
    <x v="1"/>
    <x v="0"/>
    <x v="5"/>
    <x v="1"/>
    <x v="32"/>
    <s v="PWEGPL"/>
    <s v="MSEDCL"/>
    <n v="2.5000000000000001E-2"/>
    <n v="1893"/>
    <x v="362"/>
    <s v="BD"/>
    <d v="1899-12-30T01:28:00"/>
    <d v="1899-12-30T01:48:00"/>
    <d v="1899-12-30T01:52:00"/>
    <n v="0.33333333333333315"/>
    <n v="6.6666666666666763E-2"/>
    <n v="0.39999999999999991"/>
    <s v="Reset"/>
    <s v="Close"/>
    <n v="9.9999999999999985E-3"/>
    <s v="G15"/>
    <n v="4.6011111111111092"/>
    <s v="None"/>
    <s v="WTG Breakdown Maintenance"/>
    <n v="276.06666666666661"/>
    <n v="4.6011111111111092"/>
    <m/>
    <m/>
    <m/>
    <m/>
  </r>
  <r>
    <n v="1206"/>
    <x v="151"/>
    <x v="1"/>
    <x v="0"/>
    <x v="5"/>
    <x v="1"/>
    <x v="19"/>
    <s v="PWEGPL"/>
    <s v="MSEDCL"/>
    <n v="2.5000000000000001E-2"/>
    <n v="5215"/>
    <x v="374"/>
    <s v="BD"/>
    <d v="1899-12-30T19:14:00"/>
    <d v="1899-12-30T21:43:00"/>
    <d v="1899-12-30T22:50:00"/>
    <n v="2.4833333333333298"/>
    <n v="1.116666666666668"/>
    <n v="3.5999999999999979"/>
    <s v="Reset"/>
    <s v="Close"/>
    <n v="8.9999999999999955E-2"/>
    <s v="G19"/>
    <n v="350.09999999999957"/>
    <s v="None"/>
    <s v="WTG Breakdown Maintenance"/>
    <n v="2333.9999999999986"/>
    <n v="350.09999999999957"/>
    <m/>
    <m/>
    <m/>
    <m/>
  </r>
  <r>
    <n v="1207"/>
    <x v="151"/>
    <x v="1"/>
    <x v="0"/>
    <x v="5"/>
    <x v="1"/>
    <x v="33"/>
    <s v="PWEGPL"/>
    <s v="MSEDCL"/>
    <n v="2.5000000000000001E-2"/>
    <n v="203"/>
    <x v="290"/>
    <s v="BD"/>
    <d v="1899-12-30T08:11:00"/>
    <d v="1899-12-30T10:42:00"/>
    <d v="1899-12-30T11:07:00"/>
    <n v="2.5166666666666657"/>
    <n v="0.41666666666666785"/>
    <n v="2.9333333333333336"/>
    <s v="Reset"/>
    <s v="Close"/>
    <n v="7.3333333333333348E-2"/>
    <s v="G22"/>
    <n v="202.92148148148155"/>
    <s v="None"/>
    <s v="WTG Breakdown Maintenance"/>
    <n v="1660.2666666666669"/>
    <n v="202.92148148148155"/>
    <m/>
    <m/>
    <m/>
    <m/>
  </r>
  <r>
    <n v="1208"/>
    <x v="151"/>
    <x v="1"/>
    <x v="0"/>
    <x v="5"/>
    <x v="1"/>
    <x v="14"/>
    <s v="PWEGPL"/>
    <s v="MSEDCL"/>
    <n v="2.5000000000000001E-2"/>
    <n v="205"/>
    <x v="312"/>
    <s v="BD"/>
    <d v="1899-12-30T20:41:00"/>
    <d v="1899-12-30T23:55:00"/>
    <d v="1899-12-30T23:59:00"/>
    <n v="3.2333333333333325"/>
    <n v="6.666666666666643E-2"/>
    <n v="3.2999999999999989"/>
    <s v="Oil Topup"/>
    <s v="Open"/>
    <n v="8.2499999999999976E-2"/>
    <s v="G33"/>
    <n v="145.35124999999991"/>
    <s v="None"/>
    <s v="WTG Breakdown Maintenance"/>
    <n v="1057.0999999999997"/>
    <n v="145.35124999999991"/>
    <m/>
    <m/>
    <m/>
    <m/>
  </r>
  <r>
    <n v="1209"/>
    <x v="151"/>
    <x v="1"/>
    <x v="0"/>
    <x v="5"/>
    <x v="1"/>
    <x v="33"/>
    <s v="PWEGPL"/>
    <s v="MSEDCL"/>
    <n v="2.5000000000000001E-2"/>
    <n v="202"/>
    <x v="291"/>
    <s v="Manual stop"/>
    <d v="1899-12-30T14:01:00"/>
    <d v="1899-12-30T14:01:00"/>
    <d v="1899-12-30T16:22:00"/>
    <n v="0"/>
    <n v="2.3499999999999996"/>
    <n v="2.3499999999999996"/>
    <s v="Nitrogen gas filled"/>
    <s v="Close"/>
    <n v="5.8749999999999997E-2"/>
    <s v="G22"/>
    <n v="130.2389583333333"/>
    <s v="None"/>
    <s v="WTG Unscheduled Maintenance"/>
    <n v="1330.1"/>
    <n v="130.2389583333333"/>
    <m/>
    <m/>
    <m/>
    <m/>
  </r>
  <r>
    <n v="1210"/>
    <x v="152"/>
    <x v="1"/>
    <x v="0"/>
    <x v="5"/>
    <x v="1"/>
    <x v="14"/>
    <s v="PWEGPL"/>
    <s v="MSEDCL"/>
    <n v="2.5000000000000001E-2"/>
    <n v="205"/>
    <x v="312"/>
    <s v="BD"/>
    <d v="1899-12-30T00:00:00"/>
    <d v="1899-12-30T00:00:00"/>
    <d v="1899-12-30T01:17:00"/>
    <n v="0"/>
    <n v="1.2833333333333332"/>
    <n v="1.2833333333333332"/>
    <s v="Oil Topup"/>
    <s v="Close"/>
    <n v="3.2083333333333332E-2"/>
    <s v="G35"/>
    <n v="14.044776234567898"/>
    <s v="None"/>
    <s v="WTG Breakdown Maintenance"/>
    <n v="262.65555555555551"/>
    <n v="14.044776234567898"/>
    <m/>
    <m/>
    <m/>
    <m/>
  </r>
  <r>
    <n v="1211"/>
    <x v="152"/>
    <x v="1"/>
    <x v="0"/>
    <x v="5"/>
    <x v="1"/>
    <x v="14"/>
    <s v="PWEGPL"/>
    <s v="MSEDCL"/>
    <n v="2.5000000000000001E-2"/>
    <s v="CE100001"/>
    <x v="288"/>
    <s v="Manual stop"/>
    <d v="1899-12-30T10:56:00"/>
    <d v="1899-12-30T10:56:00"/>
    <d v="1899-12-30T16:03:00"/>
    <n v="0"/>
    <n v="5.1166666666666689"/>
    <n v="5.1166666666666689"/>
    <s v="Hose replaced"/>
    <s v="Close"/>
    <n v="0.12791666666666673"/>
    <s v="G35"/>
    <n v="223.25959104938289"/>
    <s v="None"/>
    <s v="WTG Unscheduled Maintenance"/>
    <n v="1047.2111111111114"/>
    <n v="223.25959104938289"/>
    <m/>
    <m/>
    <m/>
    <m/>
  </r>
  <r>
    <n v="1212"/>
    <x v="153"/>
    <x v="1"/>
    <x v="0"/>
    <x v="5"/>
    <x v="1"/>
    <x v="33"/>
    <s v="PWEGPL"/>
    <s v="MSEDCL"/>
    <n v="2.5000000000000001E-2"/>
    <n v="117"/>
    <x v="375"/>
    <s v="BD"/>
    <d v="1899-12-30T07:16:00"/>
    <d v="1899-12-30T07:55:00"/>
    <d v="1899-12-30T12:15:00"/>
    <n v="0.65000000000000036"/>
    <n v="4.3333333333333321"/>
    <n v="4.9833333333333325"/>
    <s v="Hydraulic valve replaced &amp; SW update"/>
    <s v="Close"/>
    <n v="0.12458333333333332"/>
    <s v="G22"/>
    <n v="786.57014081790089"/>
    <s v="None"/>
    <s v="WTG Breakdown Maintenance"/>
    <n v="3788.1638888888879"/>
    <n v="786.57014081790089"/>
    <m/>
    <m/>
    <m/>
    <m/>
  </r>
  <r>
    <n v="1213"/>
    <x v="153"/>
    <x v="1"/>
    <x v="0"/>
    <x v="5"/>
    <x v="1"/>
    <x v="8"/>
    <s v="PWEGPL"/>
    <s v="MSEDCL"/>
    <n v="2.5000000000000001E-2"/>
    <n v="550"/>
    <x v="297"/>
    <s v="BD"/>
    <d v="1899-12-30T16:03:00"/>
    <d v="1899-12-30T16:37:00"/>
    <d v="1899-12-30T16:46:00"/>
    <n v="0.56666666666666465"/>
    <n v="0.14999999999999947"/>
    <n v="0.71666666666666412"/>
    <s v="Reboot &amp; Reset"/>
    <s v="Close"/>
    <n v="1.7916666666666605E-2"/>
    <s v="G27"/>
    <n v="17.616147762345552"/>
    <s v="None"/>
    <s v="WTG Breakdown Maintenance"/>
    <n v="589.93611111110897"/>
    <n v="17.616147762345552"/>
    <m/>
    <m/>
    <m/>
    <m/>
  </r>
  <r>
    <n v="1214"/>
    <x v="154"/>
    <x v="1"/>
    <x v="0"/>
    <x v="5"/>
    <x v="1"/>
    <x v="21"/>
    <s v="PWEGPL"/>
    <s v="MSEDCL"/>
    <n v="2.5000000000000001E-2"/>
    <n v="205"/>
    <x v="312"/>
    <s v="BD"/>
    <d v="1899-12-30T10:41:00"/>
    <d v="1899-12-30T11:42:00"/>
    <d v="1899-12-30T13:04:00"/>
    <n v="1.0166666666666657"/>
    <n v="1.3666666666666658"/>
    <n v="2.3833333333333315"/>
    <s v="oil topup"/>
    <s v="Close"/>
    <n v="5.9583333333333294E-2"/>
    <s v="G07"/>
    <n v="179.42182966820963"/>
    <s v="None"/>
    <s v="WTG Breakdown Maintenance"/>
    <n v="1806.7652777777764"/>
    <n v="179.42182966820963"/>
    <m/>
    <m/>
    <m/>
    <m/>
  </r>
  <r>
    <n v="1215"/>
    <x v="154"/>
    <x v="1"/>
    <x v="0"/>
    <x v="5"/>
    <x v="1"/>
    <x v="27"/>
    <s v="PWEGPL"/>
    <s v="MSEDCL"/>
    <n v="2.5000000000000001E-2"/>
    <n v="205"/>
    <x v="312"/>
    <s v="BD"/>
    <d v="1899-12-30T22:12:00"/>
    <d v="1899-12-30T22:38:00"/>
    <d v="1899-12-30T23:23:00"/>
    <n v="0.43333333333333446"/>
    <n v="0.75"/>
    <n v="1.1833333333333345"/>
    <s v="oil topup"/>
    <s v="Close"/>
    <n v="2.9583333333333364E-2"/>
    <s v="G10"/>
    <n v="47.551099537037125"/>
    <s v="None"/>
    <s v="WTG Breakdown Maintenance"/>
    <n v="964.41666666666754"/>
    <n v="47.551099537037125"/>
    <m/>
    <m/>
    <m/>
    <m/>
  </r>
  <r>
    <n v="1216"/>
    <x v="154"/>
    <x v="1"/>
    <x v="0"/>
    <x v="5"/>
    <x v="1"/>
    <x v="35"/>
    <s v="PWEGPL"/>
    <s v="MSEDCL"/>
    <n v="2.5000000000000001E-2"/>
    <n v="1893"/>
    <x v="362"/>
    <s v="BD"/>
    <d v="1899-12-30T20:29:00"/>
    <d v="1899-12-30T21:32:00"/>
    <d v="1899-12-30T21:43:00"/>
    <n v="1.0499999999999989"/>
    <n v="0.18333333333333002"/>
    <n v="1.233333333333329"/>
    <s v="Reboot &amp; Reset"/>
    <s v="Close"/>
    <n v="3.0833333333333227E-2"/>
    <s v="G25"/>
    <n v="48.865694444444088"/>
    <s v="None"/>
    <s v="WTG Breakdown Maintenance"/>
    <n v="950.89999999999657"/>
    <n v="48.865694444444088"/>
    <m/>
    <m/>
    <m/>
    <m/>
  </r>
  <r>
    <n v="1217"/>
    <x v="155"/>
    <x v="1"/>
    <x v="0"/>
    <x v="5"/>
    <x v="1"/>
    <x v="18"/>
    <s v="PWEGPL"/>
    <s v="MSEDCL"/>
    <n v="2.5000000000000001E-2"/>
    <s v="CE100001"/>
    <x v="288"/>
    <s v="BD"/>
    <d v="1899-12-30T12:02:00"/>
    <d v="1899-12-30T12:02:00"/>
    <d v="1899-12-30T12:42:00"/>
    <n v="0"/>
    <n v="0.66666666666666696"/>
    <n v="0.66666666666666696"/>
    <s v="Bearind greasing done and sensor checked"/>
    <s v="Close"/>
    <n v="1.6666666666666673E-2"/>
    <s v="G20"/>
    <n v="21.657407407407423"/>
    <s v="None"/>
    <s v="WTG Unscheduled Maintenance"/>
    <n v="779.66666666666697"/>
    <n v="21.657407407407423"/>
    <m/>
    <m/>
    <m/>
    <m/>
  </r>
  <r>
    <n v="1218"/>
    <x v="156"/>
    <x v="1"/>
    <x v="0"/>
    <x v="5"/>
    <x v="1"/>
    <x v="17"/>
    <s v="PWEGPL"/>
    <s v="MSEDCL"/>
    <n v="2.5000000000000001E-2"/>
    <n v="410"/>
    <x v="322"/>
    <s v="BD"/>
    <d v="1899-12-30T19:22:00"/>
    <d v="1899-12-30T21:21:00"/>
    <d v="1899-12-30T21:28:00"/>
    <n v="1.9833333333333343"/>
    <n v="0.11666666666666359"/>
    <n v="2.0999999999999979"/>
    <s v="slipring cleaned &amp; cab module replaced"/>
    <s v="Close"/>
    <n v="5.2499999999999949E-2"/>
    <s v="G06"/>
    <n v="167.28140624999966"/>
    <s v="None"/>
    <s v="WTG Breakdown Maintenance"/>
    <n v="1911.7874999999981"/>
    <n v="167.28140624999966"/>
    <m/>
    <m/>
    <m/>
    <m/>
  </r>
  <r>
    <n v="1219"/>
    <x v="156"/>
    <x v="1"/>
    <x v="0"/>
    <x v="5"/>
    <x v="1"/>
    <x v="33"/>
    <s v="PWEGPL"/>
    <s v="MSEDCL"/>
    <n v="2.5000000000000001E-2"/>
    <n v="1894"/>
    <x v="325"/>
    <s v="BD"/>
    <d v="1899-12-30T01:59:00"/>
    <d v="1899-12-30T02:47:00"/>
    <d v="1899-12-30T02:51:00"/>
    <n v="0.79999999999999982"/>
    <n v="6.6666666666667096E-2"/>
    <n v="0.86666666666666692"/>
    <s v="reboot reset"/>
    <s v="Close"/>
    <n v="2.1666666666666674E-2"/>
    <s v="G22"/>
    <n v="30.11225308641977"/>
    <s v="None"/>
    <s v="WTG Breakdown Maintenance"/>
    <n v="833.87777777777796"/>
    <n v="30.11225308641977"/>
    <m/>
    <m/>
    <m/>
    <m/>
  </r>
  <r>
    <n v="1220"/>
    <x v="156"/>
    <x v="1"/>
    <x v="0"/>
    <x v="5"/>
    <x v="1"/>
    <x v="8"/>
    <s v="PWEGPL"/>
    <s v="MSEDCL"/>
    <n v="2.5000000000000001E-2"/>
    <n v="550"/>
    <x v="297"/>
    <s v="BD"/>
    <d v="1899-12-30T06:18:00"/>
    <d v="1899-12-30T06:47:00"/>
    <d v="1899-12-30T06:51:00"/>
    <n v="0.48333333333333295"/>
    <n v="6.666666666666643E-2"/>
    <n v="0.54999999999999938"/>
    <s v="reboot reset"/>
    <s v="Close"/>
    <n v="1.3749999999999984E-2"/>
    <s v="G25"/>
    <n v="9.5056423611110876"/>
    <s v="None"/>
    <s v="WTG Breakdown Maintenance"/>
    <n v="414.79166666666617"/>
    <n v="9.5056423611110876"/>
    <m/>
    <m/>
    <m/>
    <m/>
  </r>
  <r>
    <n v="1221"/>
    <x v="156"/>
    <x v="1"/>
    <x v="0"/>
    <x v="5"/>
    <x v="1"/>
    <x v="6"/>
    <s v="PWEGPL"/>
    <s v="MSEDCL"/>
    <n v="2.5000000000000001E-2"/>
    <n v="5263"/>
    <x v="311"/>
    <s v="Manual stop"/>
    <d v="1899-12-30T16:26:00"/>
    <d v="1899-12-30T16:26:00"/>
    <d v="1899-12-30T18:42:00"/>
    <n v="0"/>
    <n v="2.2666666666666666"/>
    <n v="2.2666666666666666"/>
    <s v="slipring cleaned &amp; software update"/>
    <s v="Close"/>
    <n v="5.6666666666666671E-2"/>
    <s v="G40"/>
    <n v="143.92913580246912"/>
    <s v="None"/>
    <s v="WTG Breakdown Maintenance"/>
    <n v="1523.9555555555555"/>
    <n v="143.92913580246912"/>
    <m/>
    <m/>
    <m/>
    <m/>
  </r>
  <r>
    <n v="1222"/>
    <x v="156"/>
    <x v="1"/>
    <x v="0"/>
    <x v="5"/>
    <x v="1"/>
    <x v="17"/>
    <s v="PWEGPL"/>
    <s v="MSEDCL"/>
    <n v="2.5000000000000001E-2"/>
    <n v="2118"/>
    <x v="293"/>
    <s v="BD"/>
    <d v="1899-12-30T21:48:00"/>
    <d v="1899-12-30T21:54:00"/>
    <d v="1899-12-30T23:11:00"/>
    <n v="9.9999999999999645E-2"/>
    <n v="1.2833333333333341"/>
    <n v="1.3833333333333337"/>
    <s v="trouble shootind and inspection."/>
    <s v="Open"/>
    <n v="3.4583333333333348E-2"/>
    <s v="G06"/>
    <n v="72.587654803240781"/>
    <s v="None"/>
    <s v="WTG Breakdown Maintenance"/>
    <n v="1259.3520833333337"/>
    <n v="72.587654803240781"/>
    <m/>
    <m/>
    <m/>
    <m/>
  </r>
  <r>
    <n v="1223"/>
    <x v="157"/>
    <x v="1"/>
    <x v="0"/>
    <x v="5"/>
    <x v="1"/>
    <x v="17"/>
    <s v="PWEGPL"/>
    <s v="MSEDCL"/>
    <n v="2.5000000000000001E-2"/>
    <n v="2118"/>
    <x v="293"/>
    <s v="BD"/>
    <d v="1899-12-30T01:41:00"/>
    <d v="1899-12-30T23:59:00"/>
    <d v="1899-12-30T23:59:00"/>
    <n v="22.3"/>
    <n v="0"/>
    <n v="22.3"/>
    <s v="WIP"/>
    <s v="Open"/>
    <n v="0.5575"/>
    <s v="G10"/>
    <n v="19164.658715277776"/>
    <s v="Due to Material &amp;Tools shortage"/>
    <s v="WTG Breakdown Maintenance"/>
    <n v="20625.641666666666"/>
    <n v="19164.658715277776"/>
    <m/>
    <m/>
    <m/>
    <m/>
  </r>
  <r>
    <n v="1224"/>
    <x v="157"/>
    <x v="1"/>
    <x v="0"/>
    <x v="5"/>
    <x v="1"/>
    <x v="37"/>
    <s v="PWEGPL"/>
    <s v="MSEDCL"/>
    <n v="2.5000000000000001E-2"/>
    <n v="1893"/>
    <x v="362"/>
    <s v="BD"/>
    <d v="1899-12-30T04:34:00"/>
    <d v="1899-12-30T04:49:00"/>
    <d v="1899-12-30T04:49:00"/>
    <n v="0.24999999999999978"/>
    <n v="0"/>
    <n v="0.24999999999999978"/>
    <s v="Rebot &amp; Reset"/>
    <s v="Close"/>
    <n v="6.2499999999999951E-3"/>
    <s v="G17"/>
    <n v="2.6241319444444398"/>
    <s v="None"/>
    <s v="WTG Breakdown Maintenance"/>
    <n v="251.91666666666643"/>
    <n v="2.6241319444444398"/>
    <m/>
    <m/>
    <m/>
    <m/>
  </r>
  <r>
    <n v="1225"/>
    <x v="158"/>
    <x v="1"/>
    <x v="0"/>
    <x v="5"/>
    <x v="1"/>
    <x v="17"/>
    <s v="PWEGPL"/>
    <s v="MSEDCL"/>
    <n v="2.5000000000000001E-2"/>
    <n v="2118"/>
    <x v="293"/>
    <s v="BD"/>
    <d v="1899-12-30T00:00:00"/>
    <d v="1899-12-30T09:30:00"/>
    <d v="1899-12-30T16:52:00"/>
    <n v="9.5"/>
    <n v="7.3666666666666689"/>
    <n v="16.866666666666667"/>
    <s v="Nose cone hardware replaced"/>
    <s v="Close"/>
    <n v="0.42166666666666669"/>
    <s v="G06"/>
    <n v="9118.8130169753094"/>
    <s v="Due to Material &amp;Tools shortage"/>
    <s v="WTG Breakdown Maintenance"/>
    <n v="12975.386111111111"/>
    <n v="9118.8130169753094"/>
    <m/>
    <m/>
    <m/>
    <m/>
  </r>
  <r>
    <n v="1226"/>
    <x v="158"/>
    <x v="1"/>
    <x v="0"/>
    <x v="5"/>
    <x v="1"/>
    <x v="32"/>
    <s v="PWEGPL"/>
    <s v="MSEDCL"/>
    <n v="2.5000000000000001E-2"/>
    <n v="1893"/>
    <x v="362"/>
    <s v="BD"/>
    <d v="1899-12-30T08:51:00"/>
    <d v="1899-12-30T09:33:00"/>
    <d v="1899-12-30T09:39:00"/>
    <n v="0.70000000000000151"/>
    <n v="9.9999999999999645E-2"/>
    <n v="0.80000000000000115"/>
    <s v="Reset"/>
    <s v="Close"/>
    <n v="2.0000000000000032E-2"/>
    <s v="G15"/>
    <n v="30.806666666666757"/>
    <s v="None"/>
    <s v="WTG Breakdown Maintenance"/>
    <n v="924.2000000000013"/>
    <n v="30.806666666666757"/>
    <m/>
    <m/>
    <m/>
    <m/>
  </r>
  <r>
    <n v="1227"/>
    <x v="158"/>
    <x v="1"/>
    <x v="0"/>
    <x v="5"/>
    <x v="1"/>
    <x v="6"/>
    <s v="PWEGPL"/>
    <s v="MSEDCL"/>
    <n v="2.5000000000000001E-2"/>
    <n v="5263"/>
    <x v="311"/>
    <s v="BD"/>
    <d v="1899-12-30T12:09:00"/>
    <d v="1899-12-30T12:53:00"/>
    <d v="1899-12-30T13:00:00"/>
    <n v="0.73333333333333339"/>
    <n v="0.11666666666666625"/>
    <n v="0.84999999999999964"/>
    <s v="trouble shootind and inspection."/>
    <s v="Close"/>
    <n v="2.1249999999999991E-2"/>
    <s v="G40"/>
    <n v="23.527660590277758"/>
    <s v="None"/>
    <s v="WTG Breakdown Maintenance"/>
    <n v="664.31041666666636"/>
    <n v="23.527660590277758"/>
    <m/>
    <m/>
    <m/>
    <m/>
  </r>
  <r>
    <n v="1228"/>
    <x v="158"/>
    <x v="1"/>
    <x v="0"/>
    <x v="5"/>
    <x v="1"/>
    <x v="6"/>
    <s v="PWEGPL"/>
    <s v="MSEDCL"/>
    <n v="2.5000000000000001E-2"/>
    <n v="2118"/>
    <x v="293"/>
    <s v="BD"/>
    <d v="1899-12-30T21:59:00"/>
    <d v="1899-12-30T22:41:00"/>
    <d v="1899-12-30T23:59:00"/>
    <n v="0.69999999999999751"/>
    <n v="1.3000000000000007"/>
    <n v="1.9999999999999982"/>
    <s v="Slipring cleaned."/>
    <s v="Open"/>
    <n v="4.9999999999999961E-2"/>
    <s v="G40"/>
    <n v="130.2569444444442"/>
    <s v="None"/>
    <s v="WTG Breakdown Maintenance"/>
    <n v="1563.0833333333319"/>
    <n v="130.2569444444442"/>
    <m/>
    <m/>
    <m/>
    <m/>
  </r>
  <r>
    <n v="1229"/>
    <x v="159"/>
    <x v="1"/>
    <x v="0"/>
    <x v="5"/>
    <x v="1"/>
    <x v="24"/>
    <s v="PWEGPL"/>
    <s v="MSEDCL"/>
    <n v="2.5000000000000001E-2"/>
    <n v="125"/>
    <x v="343"/>
    <s v="BD"/>
    <d v="1899-12-30T09:47:00"/>
    <d v="1899-12-30T10:58:00"/>
    <d v="1899-12-30T13:22:00"/>
    <n v="1.1833333333333331"/>
    <n v="2.4000000000000008"/>
    <n v="3.5833333333333339"/>
    <s v="yaw motor replaced"/>
    <s v="Close"/>
    <n v="8.9583333333333348E-2"/>
    <s v="G22"/>
    <n v="322.74573206018528"/>
    <s v="None"/>
    <s v="WTG Breakdown Maintenance"/>
    <n v="2161.6458333333335"/>
    <n v="322.74573206018528"/>
    <m/>
    <m/>
    <m/>
    <m/>
  </r>
  <r>
    <n v="1230"/>
    <x v="159"/>
    <x v="1"/>
    <x v="0"/>
    <x v="5"/>
    <x v="1"/>
    <x v="18"/>
    <s v="PWEGPL"/>
    <s v="MSEDCL"/>
    <n v="2.5000000000000001E-2"/>
    <n v="205"/>
    <x v="312"/>
    <s v="BD"/>
    <d v="1899-12-30T15:48:00"/>
    <d v="1899-12-30T16:30:00"/>
    <d v="1899-12-30T23:59:00"/>
    <n v="0.70000000000000018"/>
    <n v="7.4833333333333334"/>
    <n v="8.1833333333333336"/>
    <s v="yaw caliper oil seal replacment WIP"/>
    <s v="Open"/>
    <n v="0.20458333333333334"/>
    <s v="G20"/>
    <n v="1727.5378949652779"/>
    <s v="Manpower shortage in night shift."/>
    <s v="WTG Breakdown Maintenance"/>
    <n v="5066.5062500000004"/>
    <n v="1727.5378949652779"/>
    <m/>
    <m/>
    <m/>
    <m/>
  </r>
  <r>
    <n v="1231"/>
    <x v="159"/>
    <x v="1"/>
    <x v="0"/>
    <x v="5"/>
    <x v="1"/>
    <x v="33"/>
    <s v="PWEGPL"/>
    <s v="MSEDCL"/>
    <n v="2.5000000000000001E-2"/>
    <n v="1894"/>
    <x v="325"/>
    <s v="BD"/>
    <d v="1899-12-30T16:34:00"/>
    <d v="1899-12-30T17:37:00"/>
    <d v="1899-12-30T17:42:00"/>
    <n v="1.0500000000000016"/>
    <n v="8.3333333333330373E-2"/>
    <n v="1.133333333333332"/>
    <s v="reset"/>
    <s v="Close"/>
    <n v="2.8333333333333301E-2"/>
    <s v="G22"/>
    <n v="32.285046296296215"/>
    <s v="None"/>
    <s v="WTG Breakdown Maintenance"/>
    <n v="683.68333333333248"/>
    <n v="32.285046296296215"/>
    <m/>
    <m/>
    <m/>
    <m/>
  </r>
  <r>
    <n v="1232"/>
    <x v="159"/>
    <x v="1"/>
    <x v="0"/>
    <x v="5"/>
    <x v="1"/>
    <x v="8"/>
    <s v="PWEGPL"/>
    <s v="MSEDCL"/>
    <n v="2.5000000000000001E-2"/>
    <n v="550"/>
    <x v="297"/>
    <s v="BD"/>
    <d v="1899-12-30T20:25:00"/>
    <d v="1899-12-30T21:36:00"/>
    <d v="1899-12-30T21:39:00"/>
    <n v="1.1833333333333318"/>
    <n v="4.9999999999997158E-2"/>
    <n v="1.233333333333329"/>
    <s v="reset"/>
    <s v="Close"/>
    <n v="3.0833333333333227E-2"/>
    <s v="G25"/>
    <n v="34.161620370370123"/>
    <s v="None"/>
    <s v="WTG Breakdown Maintenance"/>
    <n v="664.76666666666426"/>
    <n v="34.161620370370123"/>
    <m/>
    <m/>
    <m/>
    <m/>
  </r>
  <r>
    <n v="1233"/>
    <x v="159"/>
    <x v="1"/>
    <x v="0"/>
    <x v="5"/>
    <x v="1"/>
    <x v="6"/>
    <s v="PWEGPL"/>
    <s v="MSEDCL"/>
    <n v="2.5000000000000001E-2"/>
    <n v="2118"/>
    <x v="293"/>
    <s v="BD"/>
    <d v="1899-12-30T00:00:00"/>
    <d v="1899-12-30T00:00:00"/>
    <d v="1899-12-30T00:24:00"/>
    <n v="0"/>
    <n v="0.4"/>
    <n v="0.4"/>
    <s v="Slipring cleaned."/>
    <s v="Close"/>
    <n v="1.0000000000000002E-2"/>
    <s v="G40"/>
    <n v="3.4466666666666672"/>
    <s v="None"/>
    <s v="WTG Breakdown Maintenance"/>
    <n v="206.8"/>
    <n v="3.4466666666666672"/>
    <m/>
    <m/>
    <m/>
    <m/>
  </r>
  <r>
    <n v="1234"/>
    <x v="160"/>
    <x v="1"/>
    <x v="0"/>
    <x v="5"/>
    <x v="1"/>
    <x v="23"/>
    <s v="PWEGPL"/>
    <s v="MSEDCL"/>
    <n v="2.5000000000000001E-2"/>
    <n v="813"/>
    <x v="376"/>
    <s v="BD"/>
    <d v="1899-12-30T17:34:00"/>
    <d v="1899-12-30T17:34:00"/>
    <d v="1899-12-30T17:39:00"/>
    <n v="0"/>
    <n v="8.3333333333333037E-2"/>
    <n v="8.3333333333333037E-2"/>
    <s v="Reset"/>
    <s v="Close"/>
    <n v="2.0833333333333259E-3"/>
    <s v="G03"/>
    <n v="0.15649112654320876"/>
    <s v="None"/>
    <s v="WTG Breakdown Maintenance"/>
    <n v="45.069444444444287"/>
    <n v="0.15649112654320876"/>
    <m/>
    <m/>
    <m/>
    <m/>
  </r>
  <r>
    <n v="1235"/>
    <x v="160"/>
    <x v="1"/>
    <x v="0"/>
    <x v="5"/>
    <x v="1"/>
    <x v="29"/>
    <s v="PWEGPL"/>
    <s v="MSEDCL"/>
    <n v="2.5000000000000001E-2"/>
    <n v="2118"/>
    <x v="293"/>
    <s v="BD"/>
    <d v="1899-12-30T20:31:00"/>
    <d v="1899-12-30T20:31:00"/>
    <d v="1899-12-30T20:36:00"/>
    <n v="0"/>
    <n v="8.3333333333335702E-2"/>
    <n v="8.3333333333335702E-2"/>
    <s v="Reset"/>
    <s v="Close"/>
    <n v="2.0833333333333927E-3"/>
    <s v="G10"/>
    <n v="0.18518518518519572"/>
    <s v="None"/>
    <s v="WTG Breakdown Maintenance"/>
    <n v="53.333333333334849"/>
    <n v="0.18518518518519572"/>
    <m/>
    <m/>
    <m/>
    <m/>
  </r>
  <r>
    <n v="1236"/>
    <x v="160"/>
    <x v="1"/>
    <x v="0"/>
    <x v="5"/>
    <x v="1"/>
    <x v="18"/>
    <s v="PWEGPL"/>
    <s v="MSEDCL"/>
    <n v="2.5000000000000001E-2"/>
    <n v="205"/>
    <x v="312"/>
    <s v="BD"/>
    <d v="1899-12-30T00:00:00"/>
    <d v="1899-12-30T09:30:00"/>
    <d v="1899-12-30T16:21:00"/>
    <n v="9.5"/>
    <n v="6.8500000000000014"/>
    <n v="16.350000000000001"/>
    <s v="Yaw caliper oil seal replaced."/>
    <s v="Close"/>
    <n v="0.40875000000000006"/>
    <s v="G18"/>
    <n v="7785.767812500002"/>
    <s v="Manpower shortage in night shift, not attended."/>
    <s v="WTG Breakdown Maintenance"/>
    <n v="11428.650000000001"/>
    <n v="7785.767812500002"/>
    <m/>
    <m/>
    <m/>
    <m/>
  </r>
  <r>
    <n v="1237"/>
    <x v="160"/>
    <x v="1"/>
    <x v="0"/>
    <x v="5"/>
    <x v="1"/>
    <x v="19"/>
    <s v="PWEGPL"/>
    <s v="MSEDCL"/>
    <n v="2.5000000000000001E-2"/>
    <n v="1893"/>
    <x v="362"/>
    <s v="BD"/>
    <d v="1899-12-30T10:17:00"/>
    <d v="1899-12-30T10:45:00"/>
    <d v="1899-12-30T10:50:00"/>
    <n v="0.46666666666666767"/>
    <n v="8.3333333333333037E-2"/>
    <n v="0.55000000000000071"/>
    <s v="Reboot &amp; reset"/>
    <s v="Close"/>
    <n v="1.3750000000000019E-2"/>
    <s v="G18"/>
    <n v="8.8103125000000233"/>
    <s v="None"/>
    <s v="WTG Breakdown Maintenance"/>
    <n v="384.4500000000005"/>
    <n v="8.8103125000000233"/>
    <m/>
    <m/>
    <m/>
    <m/>
  </r>
  <r>
    <n v="1238"/>
    <x v="161"/>
    <x v="1"/>
    <x v="0"/>
    <x v="5"/>
    <x v="1"/>
    <x v="24"/>
    <s v="PWEGPL"/>
    <s v="MSEDCL"/>
    <n v="2.5000000000000001E-2"/>
    <n v="2509"/>
    <x v="201"/>
    <s v="BD"/>
    <d v="1899-12-30T08:50:00"/>
    <d v="1899-12-30T11:40:00"/>
    <d v="1899-12-30T12:40:00"/>
    <n v="2.8333333333333326"/>
    <n v="1.0000000000000004"/>
    <n v="3.833333333333333"/>
    <s v="SF6 breaker tripped."/>
    <s v="Close"/>
    <n v="9.5833333333333326E-2"/>
    <s v="G22"/>
    <n v="444.35387731481478"/>
    <s v="Delay due to shift change over - manpower shortage."/>
    <s v="WTG Breakdown Maintenance"/>
    <n v="2782.0416666666665"/>
    <n v="444.35387731481478"/>
    <m/>
    <m/>
    <m/>
    <m/>
  </r>
  <r>
    <n v="1239"/>
    <x v="161"/>
    <x v="1"/>
    <x v="0"/>
    <x v="5"/>
    <x v="1"/>
    <x v="1"/>
    <s v="PWEGPL"/>
    <s v="MSEDCL"/>
    <n v="2.5000000000000001E-2"/>
    <n v="900"/>
    <x v="330"/>
    <s v="BD"/>
    <d v="1899-12-30T08:50:00"/>
    <d v="1899-12-30T09:25:00"/>
    <d v="1899-12-30T09:39:00"/>
    <n v="0.58333333333333259"/>
    <n v="0.23333333333333384"/>
    <n v="0.81666666666666643"/>
    <s v="Reset"/>
    <s v="Close"/>
    <n v="2.0416666666666663E-2"/>
    <s v="G24"/>
    <n v="17.662448881172832"/>
    <s v="Delay due to shift change over - manpower shortage."/>
    <s v="WTG Breakdown Maintenance"/>
    <n v="519.05972222222215"/>
    <n v="17.662448881172832"/>
    <m/>
    <m/>
    <m/>
    <m/>
  </r>
  <r>
    <n v="1240"/>
    <x v="161"/>
    <x v="1"/>
    <x v="0"/>
    <x v="5"/>
    <x v="1"/>
    <x v="12"/>
    <s v="PWEGPL"/>
    <s v="MSEDCL"/>
    <n v="2.5000000000000001E-2"/>
    <n v="700"/>
    <x v="329"/>
    <s v="BD"/>
    <d v="1899-12-30T08:50:00"/>
    <d v="1899-12-30T10:45:00"/>
    <d v="1899-12-30T11:09:00"/>
    <n v="1.9166666666666665"/>
    <n v="0.39999999999999991"/>
    <n v="2.3166666666666664"/>
    <s v="PLC reset"/>
    <s v="Close"/>
    <n v="5.7916666666666665E-2"/>
    <s v="G30"/>
    <n v="134.95629050925922"/>
    <s v="Delay due to shift change over - manpower shortage."/>
    <s v="WTG Breakdown Maintenance"/>
    <n v="1398.1083333333331"/>
    <n v="134.95629050925922"/>
    <m/>
    <m/>
    <m/>
    <m/>
  </r>
  <r>
    <n v="1241"/>
    <x v="161"/>
    <x v="1"/>
    <x v="0"/>
    <x v="5"/>
    <x v="1"/>
    <x v="14"/>
    <s v="PWEGPL"/>
    <s v="MSEDCL"/>
    <n v="2.5000000000000001E-2"/>
    <n v="5222"/>
    <x v="315"/>
    <s v="BD"/>
    <d v="1899-12-30T16:38:00"/>
    <d v="1899-12-30T17:30:00"/>
    <d v="1899-12-30T18:29:00"/>
    <n v="0.86666666666666625"/>
    <n v="0.98333333333333517"/>
    <n v="1.8500000000000014"/>
    <s v="Speed sensor replaced"/>
    <s v="Close"/>
    <n v="4.6250000000000041E-2"/>
    <s v="G35"/>
    <n v="82.413324652777916"/>
    <s v="None"/>
    <s v="WTG Breakdown Maintenance"/>
    <n v="1069.1458333333342"/>
    <n v="82.413324652777916"/>
    <m/>
    <m/>
    <m/>
    <m/>
  </r>
  <r>
    <n v="1242"/>
    <x v="162"/>
    <x v="1"/>
    <x v="0"/>
    <x v="5"/>
    <x v="1"/>
    <x v="18"/>
    <s v="PWEGPL"/>
    <s v="MSEDCL"/>
    <n v="2.5000000000000001E-2"/>
    <n v="502"/>
    <x v="347"/>
    <s v="BD"/>
    <d v="1899-12-30T18:24:00"/>
    <d v="1899-12-30T18:35:00"/>
    <d v="1899-12-30T18:44:00"/>
    <n v="0.18333333333333268"/>
    <n v="0.15000000000000213"/>
    <n v="0.33333333333333481"/>
    <s v="Reset"/>
    <s v="Close"/>
    <n v="8.3333333333333714E-3"/>
    <s v="G20"/>
    <n v="5.1963734567901696"/>
    <s v="None"/>
    <s v="WTG Breakdown Maintenance"/>
    <n v="374.13888888889056"/>
    <n v="5.1963734567901696"/>
    <m/>
    <m/>
    <m/>
    <m/>
  </r>
  <r>
    <n v="1243"/>
    <x v="162"/>
    <x v="1"/>
    <x v="0"/>
    <x v="5"/>
    <x v="1"/>
    <x v="8"/>
    <s v="PWEGPL"/>
    <s v="MSEDCL"/>
    <n v="2.5000000000000001E-2"/>
    <n v="203"/>
    <x v="290"/>
    <s v="BD"/>
    <d v="1899-12-30T19:10:00"/>
    <d v="1899-12-30T21:26:00"/>
    <d v="1899-12-30T21:35:00"/>
    <n v="2.2666666666666666"/>
    <n v="0.1499999999999968"/>
    <n v="2.4166666666666634"/>
    <s v="reset"/>
    <s v="Close"/>
    <n v="6.0416666666666591E-2"/>
    <s v="G25"/>
    <n v="202.78742283950564"/>
    <s v="None"/>
    <s v="WTG Breakdown Maintenance"/>
    <n v="2013.8888888888862"/>
    <n v="202.78742283950564"/>
    <m/>
    <m/>
    <m/>
    <m/>
  </r>
  <r>
    <n v="1244"/>
    <x v="162"/>
    <x v="1"/>
    <x v="0"/>
    <x v="5"/>
    <x v="1"/>
    <x v="16"/>
    <s v="PWEGPL"/>
    <s v="MSEDCL"/>
    <n v="2.5000000000000001E-2"/>
    <n v="402"/>
    <x v="300"/>
    <s v="BD"/>
    <d v="1899-12-30T13:46:00"/>
    <d v="1899-12-30T13:46:00"/>
    <d v="1899-12-30T16:01:00"/>
    <n v="0"/>
    <n v="2.2499999999999973"/>
    <n v="2.2499999999999973"/>
    <s v="Gearbox hose replacment"/>
    <s v="Close"/>
    <n v="5.6249999999999939E-2"/>
    <s v="G35"/>
    <n v="157.95703124999966"/>
    <s v="None"/>
    <s v="WTG Unscheduled Maintenance"/>
    <n v="1684.8749999999982"/>
    <n v="157.95703124999966"/>
    <m/>
    <m/>
    <m/>
    <m/>
  </r>
  <r>
    <n v="1245"/>
    <x v="162"/>
    <x v="1"/>
    <x v="0"/>
    <x v="5"/>
    <x v="1"/>
    <x v="6"/>
    <s v="PWEGPL"/>
    <s v="MSEDCL"/>
    <n v="2.5000000000000001E-2"/>
    <n v="402"/>
    <x v="300"/>
    <s v="BD"/>
    <d v="1899-12-30T12:07:00"/>
    <d v="1899-12-30T12:07:00"/>
    <d v="1899-12-30T13:00:00"/>
    <n v="0"/>
    <n v="0.88333333333333286"/>
    <n v="0.88333333333333286"/>
    <s v="Gearbox hose replacment"/>
    <s v="Close"/>
    <n v="2.2083333333333323E-2"/>
    <s v="G40"/>
    <n v="24.635645254629605"/>
    <s v="None"/>
    <s v="WTG Unscheduled Maintenance"/>
    <n v="669.34583333333296"/>
    <n v="24.635645254629605"/>
    <m/>
    <m/>
    <m/>
    <m/>
  </r>
  <r>
    <n v="1246"/>
    <x v="162"/>
    <x v="1"/>
    <x v="0"/>
    <x v="5"/>
    <x v="1"/>
    <x v="18"/>
    <s v="PWEGPL"/>
    <s v="MSEDCL"/>
    <n v="2.5000000000000001E-2"/>
    <n v="502"/>
    <x v="347"/>
    <s v="BD"/>
    <d v="1899-12-30T20:52:00"/>
    <d v="1899-12-30T21:12:00"/>
    <d v="1899-12-30T21:27:00"/>
    <n v="0.33333333333333215"/>
    <n v="0.24999999999999911"/>
    <n v="0.58333333333333126"/>
    <s v="reset"/>
    <s v="Close"/>
    <n v="1.4583333333333282E-2"/>
    <s v="G20"/>
    <n v="15.913893711419641"/>
    <s v="None"/>
    <s v="WTG Breakdown Maintenance"/>
    <n v="654.74305555555327"/>
    <n v="15.913893711419641"/>
    <m/>
    <m/>
    <m/>
    <m/>
  </r>
  <r>
    <n v="1247"/>
    <x v="163"/>
    <x v="1"/>
    <x v="0"/>
    <x v="5"/>
    <x v="1"/>
    <x v="29"/>
    <s v="PWEGPL"/>
    <s v="MSEDCL"/>
    <n v="2.5000000000000001E-2"/>
    <n v="2118"/>
    <x v="293"/>
    <s v="BD"/>
    <d v="1899-12-30T11:04:00"/>
    <d v="1899-12-30T12:12:00"/>
    <d v="1899-12-30T12:21:00"/>
    <n v="1.1333333333333333"/>
    <n v="0.14999999999999947"/>
    <n v="1.2833333333333328"/>
    <s v="Silpring cleaned"/>
    <s v="Close"/>
    <n v="3.2083333333333318E-2"/>
    <s v="G10"/>
    <n v="66.941429398148088"/>
    <s v="None"/>
    <s v="WTG Breakdown Maintenance"/>
    <n v="1251.8916666666662"/>
    <n v="66.941429398148088"/>
    <m/>
    <m/>
    <m/>
    <m/>
  </r>
  <r>
    <n v="1248"/>
    <x v="163"/>
    <x v="1"/>
    <x v="0"/>
    <x v="5"/>
    <x v="1"/>
    <x v="33"/>
    <s v="PWEGPL"/>
    <s v="MSEDCL"/>
    <n v="2.5000000000000001E-2"/>
    <n v="404"/>
    <x v="352"/>
    <s v="Manual stop"/>
    <d v="1899-12-30T10:30:00"/>
    <d v="1899-12-30T10:30:00"/>
    <d v="1899-12-30T13:44:00"/>
    <n v="0"/>
    <n v="3.2333333333333325"/>
    <n v="3.2333333333333325"/>
    <s v="Gear box cooling fan motor replaced"/>
    <s v="Close"/>
    <n v="8.0833333333333313E-2"/>
    <s v="G22"/>
    <n v="375.05319444444422"/>
    <s v="None"/>
    <s v="WTG Unscheduled Maintenance"/>
    <n v="2783.8999999999992"/>
    <n v="375.05319444444422"/>
    <m/>
    <m/>
    <m/>
    <m/>
  </r>
  <r>
    <n v="1249"/>
    <x v="164"/>
    <x v="1"/>
    <x v="0"/>
    <x v="5"/>
    <x v="1"/>
    <x v="27"/>
    <s v="PWEGPL"/>
    <s v="MSEDCL"/>
    <n v="2.5000000000000001E-2"/>
    <n v="205"/>
    <x v="312"/>
    <s v="BD"/>
    <d v="1899-12-30T16:45:00"/>
    <d v="1899-12-30T17:12:00"/>
    <d v="1899-12-30T17:45:00"/>
    <n v="0.45000000000000107"/>
    <n v="0.55000000000000071"/>
    <n v="1.0000000000000018"/>
    <s v="oil topup"/>
    <s v="Close"/>
    <n v="2.5000000000000046E-2"/>
    <s v="G12"/>
    <n v="33.718750000000121"/>
    <s v="None"/>
    <s v="WTG Breakdown Maintenance"/>
    <n v="809.25000000000148"/>
    <n v="33.718750000000121"/>
    <m/>
    <m/>
    <m/>
    <m/>
  </r>
  <r>
    <n v="1250"/>
    <x v="164"/>
    <x v="1"/>
    <x v="0"/>
    <x v="5"/>
    <x v="1"/>
    <x v="8"/>
    <s v="PWEGPL"/>
    <s v="MSEDCL"/>
    <n v="2.5000000000000001E-2"/>
    <n v="507"/>
    <x v="318"/>
    <s v="BD"/>
    <d v="1899-12-30T10:49:00"/>
    <d v="1899-12-30T10:49:00"/>
    <d v="1899-12-30T15:25:00"/>
    <n v="0"/>
    <n v="4.5999999999999979"/>
    <n v="4.5999999999999979"/>
    <s v="generator cooling fan replaced."/>
    <s v="Close"/>
    <n v="0.11499999999999995"/>
    <s v="G25"/>
    <n v="626.57111111111044"/>
    <s v="None"/>
    <s v="WTG Breakdown Maintenance"/>
    <n v="3269.0666666666648"/>
    <n v="626.57111111111044"/>
    <m/>
    <m/>
    <m/>
    <m/>
  </r>
  <r>
    <n v="1251"/>
    <x v="165"/>
    <x v="1"/>
    <x v="0"/>
    <x v="5"/>
    <x v="1"/>
    <x v="32"/>
    <s v="PWEGPL"/>
    <s v="MSEDCL"/>
    <n v="2.5000000000000001E-2"/>
    <n v="1893"/>
    <x v="362"/>
    <s v="BD"/>
    <d v="1899-12-30T16:54:00"/>
    <d v="1899-12-30T17:03:00"/>
    <d v="1899-12-30T17:08:00"/>
    <n v="0.15000000000000213"/>
    <n v="8.3333333333333037E-2"/>
    <n v="0.23333333333333517"/>
    <s v="reset"/>
    <s v="Close"/>
    <n v="5.8333333333333796E-3"/>
    <s v="G15"/>
    <n v="1.790428240740769"/>
    <s v="None"/>
    <s v="WTG Breakdown Maintenance"/>
    <n v="184.15833333333478"/>
    <n v="1.790428240740769"/>
    <m/>
    <m/>
    <m/>
    <m/>
  </r>
  <r>
    <n v="1252"/>
    <x v="165"/>
    <x v="1"/>
    <x v="0"/>
    <x v="5"/>
    <x v="1"/>
    <x v="6"/>
    <s v="PWEGPL"/>
    <s v="MSEDCL"/>
    <n v="2.5000000000000001E-2"/>
    <n v="2118"/>
    <x v="293"/>
    <s v="BD"/>
    <d v="1899-12-30T07:31:00"/>
    <d v="1899-12-30T09:31:00"/>
    <d v="1899-12-30T13:17:00"/>
    <n v="2.0000000000000009"/>
    <n v="3.7666666666666666"/>
    <n v="5.7666666666666675"/>
    <s v="slipring replaced"/>
    <s v="Close"/>
    <n v="0.14416666666666669"/>
    <s v="G40"/>
    <n v="840.59845679012369"/>
    <s v="Delay due to shift change over - manpower shortage."/>
    <s v="WTG Breakdown Maintenance"/>
    <n v="3498.4444444444448"/>
    <n v="840.59845679012369"/>
    <m/>
    <m/>
    <m/>
    <m/>
  </r>
  <r>
    <n v="1253"/>
    <x v="166"/>
    <x v="1"/>
    <x v="0"/>
    <x v="6"/>
    <x v="1"/>
    <x v="27"/>
    <s v="PWEGPL"/>
    <s v="MSEDCL"/>
    <n v="2.5000000000000001E-2"/>
    <n v="507"/>
    <x v="318"/>
    <s v="BD"/>
    <d v="1899-12-30T17:11:00"/>
    <d v="1899-12-30T17:11:00"/>
    <d v="1899-12-30T18:07:00"/>
    <n v="0"/>
    <n v="0.93333333333333268"/>
    <n v="0.93333333333333268"/>
    <s v="trouble shooting for error retification work of Generator NDE bearing high temperature- greasing done."/>
    <s v="Close"/>
    <n v="2.3333333333333317E-2"/>
    <s v="G12"/>
    <n v="34.995679012345633"/>
    <s v="None"/>
    <s v="WTG Breakdown Maintenance"/>
    <n v="899.88888888888823"/>
    <n v="34.995679012345633"/>
    <m/>
    <m/>
    <m/>
    <m/>
  </r>
  <r>
    <n v="1254"/>
    <x v="167"/>
    <x v="1"/>
    <x v="0"/>
    <x v="6"/>
    <x v="1"/>
    <x v="27"/>
    <s v="PWEGPL"/>
    <s v="MSEDCL"/>
    <n v="2.5000000000000001E-2"/>
    <n v="205"/>
    <x v="312"/>
    <s v="BD"/>
    <d v="1899-12-30T13:05:00"/>
    <d v="1899-12-30T13:28:00"/>
    <d v="1899-12-30T16:41:00"/>
    <n v="0.38333333333333197"/>
    <n v="3.2166666666666659"/>
    <n v="3.5999999999999979"/>
    <s v="Leakage arrested"/>
    <s v="Close"/>
    <n v="8.9999999999999955E-2"/>
    <s v="G12"/>
    <n v="555.43499999999926"/>
    <s v="None"/>
    <s v="WTG Breakdown Maintenance"/>
    <n v="3702.8999999999974"/>
    <n v="555.43499999999926"/>
    <m/>
    <m/>
    <m/>
    <m/>
  </r>
  <r>
    <n v="1255"/>
    <x v="167"/>
    <x v="1"/>
    <x v="0"/>
    <x v="6"/>
    <x v="1"/>
    <x v="30"/>
    <s v="PWEGPL"/>
    <s v="MSEDCL"/>
    <n v="2.5000000000000001E-2"/>
    <n v="205"/>
    <x v="312"/>
    <s v="BD"/>
    <d v="1899-12-30T13:55:00"/>
    <d v="1899-12-30T14:48:00"/>
    <d v="1899-12-30T15:29:00"/>
    <n v="0.88333333333333552"/>
    <n v="0.68333333333333091"/>
    <n v="1.5666666666666664"/>
    <s v="Oil topup"/>
    <s v="Close"/>
    <n v="3.9166666666666662E-2"/>
    <s v="G13"/>
    <n v="117.11449845679009"/>
    <s v="None"/>
    <s v="WTG Breakdown Maintenance"/>
    <n v="1794.0944444444442"/>
    <n v="117.11449845679009"/>
    <m/>
    <m/>
    <m/>
    <m/>
  </r>
  <r>
    <n v="1256"/>
    <x v="167"/>
    <x v="1"/>
    <x v="0"/>
    <x v="6"/>
    <x v="1"/>
    <x v="34"/>
    <s v="PWEGPL"/>
    <s v="MSEDCL"/>
    <n v="2.5000000000000001E-2"/>
    <n v="205"/>
    <x v="312"/>
    <s v="BD"/>
    <d v="1899-12-30T14:45:00"/>
    <d v="1899-12-30T16:06:00"/>
    <d v="1899-12-30T16:28:00"/>
    <n v="1.3500000000000005"/>
    <n v="0.3666666666666627"/>
    <n v="1.7166666666666632"/>
    <s v="Oil topup"/>
    <s v="Close"/>
    <n v="4.2916666666666582E-2"/>
    <s v="G21"/>
    <n v="120.04705632716002"/>
    <s v="None"/>
    <s v="WTG Breakdown Maintenance"/>
    <n v="1678.3277777777744"/>
    <n v="120.04705632716002"/>
    <m/>
    <m/>
    <m/>
    <m/>
  </r>
  <r>
    <n v="1257"/>
    <x v="167"/>
    <x v="1"/>
    <x v="0"/>
    <x v="6"/>
    <x v="1"/>
    <x v="34"/>
    <s v="PWEGPL"/>
    <s v="MSEDCL"/>
    <n v="2.5000000000000001E-2"/>
    <n v="412"/>
    <x v="336"/>
    <s v="BD"/>
    <d v="1899-12-30T16:28:00"/>
    <d v="1899-12-30T17:58:00"/>
    <d v="1899-12-30T18:29:00"/>
    <n v="1.5"/>
    <n v="0.51666666666667016"/>
    <n v="2.0166666666666702"/>
    <s v=" MCB charged"/>
    <s v="Close"/>
    <n v="5.0416666666666755E-2"/>
    <s v="G21"/>
    <n v="165.67150077160551"/>
    <s v="None"/>
    <s v="WTG Breakdown Maintenance"/>
    <n v="1971.6277777777811"/>
    <n v="165.67150077160551"/>
    <m/>
    <m/>
    <m/>
    <m/>
  </r>
  <r>
    <n v="1258"/>
    <x v="168"/>
    <x v="1"/>
    <x v="0"/>
    <x v="6"/>
    <x v="1"/>
    <x v="22"/>
    <s v="PWEGPL"/>
    <s v="MSEDCL"/>
    <n v="2.5000000000000001E-2"/>
    <n v="552"/>
    <x v="304"/>
    <s v="BD"/>
    <d v="1899-12-30T00:00:00"/>
    <d v="1899-12-30T00:45:00"/>
    <d v="1899-12-30T01:43:00"/>
    <n v="0.75"/>
    <n v="0.9666666666666669"/>
    <n v="1.7166666666666668"/>
    <s v="earthing bus changed"/>
    <s v="Close"/>
    <n v="4.2916666666666672E-2"/>
    <s v="G04"/>
    <n v="99.766348379629648"/>
    <s v="None"/>
    <s v="WTG Breakdown Maintenance"/>
    <n v="1394.7916666666667"/>
    <n v="99.766348379629648"/>
    <m/>
    <m/>
    <m/>
    <m/>
  </r>
  <r>
    <n v="1259"/>
    <x v="168"/>
    <x v="1"/>
    <x v="0"/>
    <x v="6"/>
    <x v="1"/>
    <x v="18"/>
    <s v="PWEGPL"/>
    <s v="MSEDCL"/>
    <n v="2.5000000000000001E-2"/>
    <n v="115"/>
    <x v="308"/>
    <s v="Manual stop"/>
    <d v="1899-12-30T10:52:00"/>
    <d v="1899-12-30T10:52:00"/>
    <d v="1899-12-30T16:24:00"/>
    <n v="0"/>
    <n v="5.5333333333333314"/>
    <n v="5.5333333333333314"/>
    <s v="Yaw caliper seal replaced"/>
    <s v="Close"/>
    <n v="0.13833333333333328"/>
    <s v="G18"/>
    <n v="1125.2033333333327"/>
    <s v="None"/>
    <s v="WTG Unscheduled Maintenance"/>
    <n v="4880.3999999999987"/>
    <n v="1125.2033333333327"/>
    <m/>
    <m/>
    <m/>
    <m/>
  </r>
  <r>
    <n v="1260"/>
    <x v="168"/>
    <x v="1"/>
    <x v="0"/>
    <x v="6"/>
    <x v="1"/>
    <x v="19"/>
    <s v="PWEGPL"/>
    <s v="MSEDCL"/>
    <n v="2.5000000000000001E-2"/>
    <n v="205"/>
    <x v="312"/>
    <s v="BD"/>
    <d v="1899-12-30T08:18:00"/>
    <d v="1899-12-30T09:57:00"/>
    <d v="1899-12-30T10:18:00"/>
    <n v="1.6499999999999981"/>
    <n v="0.35000000000000142"/>
    <n v="1.9999999999999996"/>
    <s v="oil topup done."/>
    <s v="Close"/>
    <n v="4.9999999999999989E-2"/>
    <s v="G18"/>
    <n v="146.99999999999994"/>
    <s v="None"/>
    <s v="WTG Breakdown Maintenance"/>
    <n v="1763.9999999999995"/>
    <n v="146.99999999999994"/>
    <m/>
    <m/>
    <m/>
    <m/>
  </r>
  <r>
    <n v="1261"/>
    <x v="168"/>
    <x v="1"/>
    <x v="0"/>
    <x v="6"/>
    <x v="1"/>
    <x v="5"/>
    <s v="PWEGPL"/>
    <s v="MSEDCL"/>
    <n v="2.5000000000000001E-2"/>
    <n v="507"/>
    <x v="318"/>
    <s v="Manual stop"/>
    <d v="1899-12-30T11:36:00"/>
    <d v="1899-12-30T11:36:00"/>
    <d v="1899-12-30T11:56:00"/>
    <n v="0"/>
    <n v="0.33333333333333348"/>
    <n v="0.33333333333333348"/>
    <s v="Warning attend generator thermal relay fan."/>
    <s v="Close"/>
    <n v="8.3333333333333367E-3"/>
    <s v="G39"/>
    <n v="3.0073302469135834"/>
    <s v="None"/>
    <s v="WTG Unscheduled Maintenance"/>
    <n v="216.52777777777789"/>
    <n v="3.0073302469135834"/>
    <m/>
    <m/>
    <m/>
    <m/>
  </r>
  <r>
    <n v="1262"/>
    <x v="168"/>
    <x v="1"/>
    <x v="0"/>
    <x v="6"/>
    <x v="1"/>
    <x v="19"/>
    <s v="PWEGPL"/>
    <s v="MSEDCL"/>
    <n v="2.5000000000000001E-2"/>
    <n v="1893"/>
    <x v="362"/>
    <s v="BD"/>
    <d v="1899-12-30T22:52:00"/>
    <d v="1899-12-30T23:15:00"/>
    <d v="1899-12-30T23:22:00"/>
    <n v="0.38333333333333197"/>
    <n v="0.11666666666666625"/>
    <n v="0.49999999999999822"/>
    <s v="reset"/>
    <s v="Close"/>
    <n v="1.2499999999999956E-2"/>
    <s v="G18"/>
    <n v="9.1874999999999343"/>
    <s v="None"/>
    <s v="WTG Breakdown Maintenance"/>
    <n v="440.99999999999841"/>
    <n v="9.1874999999999343"/>
    <m/>
    <m/>
    <m/>
    <m/>
  </r>
  <r>
    <n v="1263"/>
    <x v="169"/>
    <x v="1"/>
    <x v="0"/>
    <x v="6"/>
    <x v="1"/>
    <x v="25"/>
    <s v="PWEGPL"/>
    <s v="MSEDCL"/>
    <n v="2.5000000000000001E-2"/>
    <n v="115"/>
    <x v="308"/>
    <s v="BD"/>
    <d v="1899-12-30T10:54:00"/>
    <d v="1899-12-30T10:54:00"/>
    <d v="1899-12-30T15:28:00"/>
    <n v="0"/>
    <n v="4.5666666666666682"/>
    <n v="4.5666666666666682"/>
    <s v="Yaw caliper seal replaced"/>
    <s v="Close"/>
    <n v="0.11416666666666671"/>
    <s v="G08"/>
    <n v="919.11619212963024"/>
    <s v="None"/>
    <s v="WTG Breakdown Maintenance"/>
    <n v="4830.3916666666682"/>
    <n v="919.11619212963024"/>
    <m/>
    <m/>
    <m/>
    <m/>
  </r>
  <r>
    <n v="1264"/>
    <x v="169"/>
    <x v="1"/>
    <x v="0"/>
    <x v="6"/>
    <x v="1"/>
    <x v="19"/>
    <s v="PWEGPL"/>
    <s v="MSEDCL"/>
    <n v="2.5000000000000001E-2"/>
    <n v="5201"/>
    <x v="299"/>
    <s v="BD"/>
    <d v="1899-12-30T18:57:00"/>
    <m/>
    <d v="1899-12-30T21:13:00"/>
    <s v=""/>
    <n v="21.216666666666665"/>
    <n v="2.2666666666666666"/>
    <s v="Reset &amp; Rebot"/>
    <s v="Close"/>
    <n v="5.6666666666666671E-2"/>
    <s v="G19"/>
    <n v="226.27629629629629"/>
    <s v="None"/>
    <s v="WTG Breakdown Maintenance"/>
    <n v="2395.8666666666668"/>
    <n v="226.27629629629629"/>
    <m/>
    <m/>
    <m/>
    <m/>
  </r>
  <r>
    <n v="1265"/>
    <x v="169"/>
    <x v="1"/>
    <x v="0"/>
    <x v="6"/>
    <x v="1"/>
    <x v="16"/>
    <s v="PWEGPL"/>
    <s v="MSEDCL"/>
    <n v="2.5000000000000001E-2"/>
    <n v="426"/>
    <x v="353"/>
    <s v="BD"/>
    <d v="1899-12-30T08:49:00"/>
    <m/>
    <d v="1899-12-30T08:54:00"/>
    <s v=""/>
    <n v="8.9"/>
    <n v="8.333333333333437E-2"/>
    <s v="Reset"/>
    <s v="Close"/>
    <n v="2.0833333333333593E-3"/>
    <s v="G35"/>
    <n v="0.20601851851852365"/>
    <s v="None"/>
    <s v="WTG Breakdown Maintenance"/>
    <n v="59.333333333334068"/>
    <n v="0.20601851851852365"/>
    <m/>
    <m/>
    <m/>
    <m/>
  </r>
  <r>
    <n v="1266"/>
    <x v="169"/>
    <x v="1"/>
    <x v="0"/>
    <x v="6"/>
    <x v="1"/>
    <x v="16"/>
    <s v="PWEGPL"/>
    <s v="MSEDCL"/>
    <n v="2.5000000000000001E-2"/>
    <n v="426"/>
    <x v="353"/>
    <s v="BD"/>
    <d v="1899-12-30T12:12:00"/>
    <m/>
    <d v="1899-12-30T12:17:00"/>
    <s v=""/>
    <n v="12.283333333333331"/>
    <n v="8.3333333333333037E-2"/>
    <s v="Reset"/>
    <s v="Close"/>
    <n v="2.0833333333333259E-3"/>
    <s v="G35"/>
    <n v="0.20601851851851705"/>
    <s v="None"/>
    <s v="WTG Breakdown Maintenance"/>
    <n v="59.333333333333123"/>
    <n v="0.20601851851851705"/>
    <m/>
    <m/>
    <m/>
    <m/>
  </r>
  <r>
    <n v="1267"/>
    <x v="169"/>
    <x v="1"/>
    <x v="0"/>
    <x v="6"/>
    <x v="1"/>
    <x v="16"/>
    <s v="PWEGPL"/>
    <s v="MSEDCL"/>
    <n v="2.5000000000000001E-2"/>
    <s v="CE100001"/>
    <x v="288"/>
    <s v="Manual stop"/>
    <d v="1899-12-30T15:07:00"/>
    <d v="1899-12-30T15:07:00"/>
    <d v="1899-12-30T16:05:00"/>
    <n v="0"/>
    <n v="0.9666666666666659"/>
    <n v="0.9666666666666659"/>
    <s v="S-reading sensor replaced"/>
    <s v="Close"/>
    <n v="2.4166666666666649E-2"/>
    <s v="G35"/>
    <n v="27.721851851851806"/>
    <s v="None"/>
    <s v="IG Unscheduled Maintenance"/>
    <n v="688.26666666666608"/>
    <n v="27.721851851851806"/>
    <m/>
    <m/>
    <m/>
    <m/>
  </r>
  <r>
    <n v="1268"/>
    <x v="169"/>
    <x v="1"/>
    <x v="0"/>
    <x v="6"/>
    <x v="1"/>
    <x v="6"/>
    <s v="PWEGPL"/>
    <s v="MSEDCL"/>
    <n v="2.5000000000000001E-2"/>
    <n v="5210"/>
    <x v="371"/>
    <s v="BD"/>
    <d v="1899-12-30T02:20:00"/>
    <m/>
    <d v="1899-12-30T05:21:00"/>
    <s v=""/>
    <n v="5.35"/>
    <n v="3.0166666666666666"/>
    <s v="MPCB replaced"/>
    <s v="Close"/>
    <n v="7.5416666666666674E-2"/>
    <s v="G40"/>
    <n v="290.75071518132717"/>
    <s v="None"/>
    <s v="WTG Breakdown Maintenance"/>
    <n v="2313.1548611111111"/>
    <n v="290.75071518132717"/>
    <m/>
    <m/>
    <m/>
    <m/>
  </r>
  <r>
    <n v="1269"/>
    <x v="170"/>
    <x v="1"/>
    <x v="0"/>
    <x v="6"/>
    <x v="1"/>
    <x v="19"/>
    <s v="PWEGPL"/>
    <s v="MSEDCL"/>
    <n v="2.5000000000000001E-2"/>
    <n v="118"/>
    <x v="313"/>
    <s v="BD"/>
    <d v="1899-12-30T13:02:00"/>
    <m/>
    <d v="1899-12-30T13:12:00"/>
    <s v=""/>
    <n v="13.2"/>
    <n v="0.16666666666666607"/>
    <s v="Yaw motor replaced"/>
    <s v="Close"/>
    <n v="4.1666666666666519E-3"/>
    <s v="G19"/>
    <n v="1.2810570987654228"/>
    <s v="None"/>
    <s v="WTG Breakdown Maintenance"/>
    <n v="184.47222222222155"/>
    <n v="1.2810570987654228"/>
    <m/>
    <m/>
    <m/>
    <m/>
  </r>
  <r>
    <n v="1270"/>
    <x v="170"/>
    <x v="1"/>
    <x v="0"/>
    <x v="6"/>
    <x v="1"/>
    <x v="19"/>
    <s v="PWEGPL"/>
    <s v="MSEDCL"/>
    <n v="2.5000000000000001E-2"/>
    <n v="118"/>
    <x v="313"/>
    <s v="BD"/>
    <d v="1899-12-30T13:57:00"/>
    <m/>
    <d v="1899-12-30T14:02:00"/>
    <s v=""/>
    <n v="14.033333333333335"/>
    <n v="8.3333333333335702E-2"/>
    <s v="Reset &amp; Rebot"/>
    <s v="Close"/>
    <n v="2.0833333333333927E-3"/>
    <s v="G19"/>
    <n v="0.32026427469137625"/>
    <s v="None"/>
    <s v="WTG Breakdown Maintenance"/>
    <n v="92.236111111113729"/>
    <n v="0.32026427469137625"/>
    <m/>
    <m/>
    <m/>
    <m/>
  </r>
  <r>
    <n v="1271"/>
    <x v="170"/>
    <x v="1"/>
    <x v="0"/>
    <x v="6"/>
    <x v="1"/>
    <x v="19"/>
    <s v="PWEGPL"/>
    <s v="MSEDCL"/>
    <n v="2.5000000000000001E-2"/>
    <s v="CE100001"/>
    <x v="288"/>
    <s v="Manual stop"/>
    <d v="1899-12-30T14:13:00"/>
    <d v="1899-12-30T14:13:00"/>
    <d v="1899-12-30T15:52:00"/>
    <n v="0"/>
    <n v="1.6499999999999995"/>
    <n v="1.6499999999999995"/>
    <s v="Reset &amp; Rebot"/>
    <s v="Close"/>
    <n v="4.1249999999999988E-2"/>
    <s v="G19"/>
    <n v="125.55640624999991"/>
    <s v="None"/>
    <s v="WTG Unscheduled Maintenance"/>
    <n v="1826.2749999999992"/>
    <n v="125.55640624999991"/>
    <m/>
    <m/>
    <m/>
    <m/>
  </r>
  <r>
    <n v="1272"/>
    <x v="170"/>
    <x v="1"/>
    <x v="0"/>
    <x v="6"/>
    <x v="1"/>
    <x v="10"/>
    <s v="PWEGPL"/>
    <s v="MSEDCL"/>
    <n v="2.5000000000000001E-2"/>
    <n v="5216"/>
    <x v="306"/>
    <s v="FM"/>
    <d v="1899-12-30T01:17:00"/>
    <d v="1899-12-30T02:00:00"/>
    <d v="1899-12-30T04:39:00"/>
    <n v="0.71666666666666656"/>
    <n v="2.6500000000000004"/>
    <n v="3.3666666666666667"/>
    <s v="FM- unkwon person opened isolator &amp; theft the eathing cable"/>
    <s v="Close"/>
    <n v="8.4166666666666667E-2"/>
    <s v="G30"/>
    <n v="415.55694058641973"/>
    <s v="FM- unkwon person opened isolator &amp; theft the eathing cable - closed isolator and start WTG"/>
    <s v="WTG Force Majeaure"/>
    <n v="2962.3861111111109"/>
    <n v="415.55694058641973"/>
    <m/>
    <m/>
    <m/>
    <m/>
  </r>
  <r>
    <n v="1273"/>
    <x v="171"/>
    <x v="1"/>
    <x v="0"/>
    <x v="6"/>
    <x v="1"/>
    <x v="37"/>
    <s v="PWEGPL"/>
    <s v="MSEDCL"/>
    <n v="2.5000000000000001E-2"/>
    <n v="125"/>
    <x v="343"/>
    <s v="BD"/>
    <d v="1899-12-30T16:48:00"/>
    <m/>
    <d v="1899-12-30T18:24:00"/>
    <s v=""/>
    <n v="18.399999999999999"/>
    <n v="1.599999999999997"/>
    <s v="Reset"/>
    <s v="Close"/>
    <n v="3.9999999999999925E-2"/>
    <s v="G17"/>
    <n v="129.06666666666618"/>
    <s v="None"/>
    <s v="WTG Breakdown Maintenance"/>
    <n v="1935.9999999999964"/>
    <n v="129.06666666666618"/>
    <m/>
    <m/>
    <m/>
    <m/>
  </r>
  <r>
    <n v="1274"/>
    <x v="172"/>
    <x v="1"/>
    <x v="0"/>
    <x v="6"/>
    <x v="1"/>
    <x v="23"/>
    <s v="PWEGPL"/>
    <s v="MSEDCL"/>
    <n v="2.5000000000000001E-2"/>
    <s v="CE100001"/>
    <x v="288"/>
    <s v="Manual stop"/>
    <d v="1899-12-30T10:00:00"/>
    <d v="1899-12-30T10:00:00"/>
    <d v="1899-12-30T10:07:00"/>
    <n v="0"/>
    <n v="0.11666666666666625"/>
    <n v="0.11666666666666625"/>
    <s v="Cable theft checking"/>
    <s v="Close"/>
    <n v="2.9166666666666564E-3"/>
    <s v="G03"/>
    <n v="0.61869116512345246"/>
    <s v="None"/>
    <s v="WTG Unscheduled Maintenance"/>
    <n v="127.27361111111067"/>
    <n v="0.61869116512345246"/>
    <m/>
    <m/>
    <m/>
    <m/>
  </r>
  <r>
    <n v="1275"/>
    <x v="172"/>
    <x v="1"/>
    <x v="0"/>
    <x v="6"/>
    <x v="1"/>
    <x v="26"/>
    <s v="PWEGPL"/>
    <s v="MSEDCL"/>
    <n v="2.5000000000000001E-2"/>
    <s v="CE100001"/>
    <x v="288"/>
    <s v="Manual stop"/>
    <d v="1899-12-30T12:03:00"/>
    <d v="1899-12-30T12:03:00"/>
    <d v="1899-12-30T12:28:00"/>
    <n v="0"/>
    <n v="0.41666666666666785"/>
    <n v="0.41666666666666785"/>
    <s v="Cable theft checking"/>
    <s v="Close"/>
    <n v="1.0416666666666697E-2"/>
    <s v="G06"/>
    <n v="6.6204306520062106"/>
    <s v="None"/>
    <s v="WTG Unscheduled Maintenance"/>
    <n v="381.33680555555668"/>
    <n v="6.6204306520062106"/>
    <m/>
    <m/>
    <m/>
    <m/>
  </r>
  <r>
    <n v="1276"/>
    <x v="172"/>
    <x v="1"/>
    <x v="0"/>
    <x v="6"/>
    <x v="1"/>
    <x v="37"/>
    <s v="PWEGPL"/>
    <s v="MSEDCL"/>
    <n v="2.5000000000000001E-2"/>
    <n v="118"/>
    <x v="313"/>
    <s v="Manual stop"/>
    <d v="1899-12-30T11:30:00"/>
    <d v="1899-12-30T11:30:00"/>
    <d v="1899-12-30T13:03:00"/>
    <n v="0"/>
    <n v="1.5500000000000012"/>
    <n v="1.5500000000000012"/>
    <s v="Yaw motor replaced"/>
    <s v="Close"/>
    <n v="3.8750000000000034E-2"/>
    <s v="G15"/>
    <n v="126.52332465277796"/>
    <s v="None"/>
    <s v="WTG Unscheduled Maintenance"/>
    <n v="1959.0708333333348"/>
    <n v="126.52332465277796"/>
    <m/>
    <m/>
    <m/>
    <m/>
  </r>
  <r>
    <n v="1277"/>
    <x v="172"/>
    <x v="1"/>
    <x v="0"/>
    <x v="6"/>
    <x v="1"/>
    <x v="37"/>
    <s v="PWEGPL"/>
    <s v="MSEDCL"/>
    <n v="2.5000000000000001E-2"/>
    <n v="102"/>
    <x v="337"/>
    <s v="BD"/>
    <d v="1899-12-30T13:52:00"/>
    <m/>
    <d v="1899-12-30T16:26:00"/>
    <s v=""/>
    <n v="16.433333333333334"/>
    <n v="2.5666666666666655"/>
    <s v="Yaw motor replaced"/>
    <s v="Close"/>
    <n v="6.4166666666666636E-2"/>
    <s v="G15"/>
    <n v="346.93342206790095"/>
    <s v="None"/>
    <s v="WTG Breakdown Maintenance"/>
    <n v="3244.0527777777766"/>
    <n v="346.93342206790095"/>
    <m/>
    <m/>
    <m/>
    <m/>
  </r>
  <r>
    <n v="1278"/>
    <x v="173"/>
    <x v="1"/>
    <x v="0"/>
    <x v="6"/>
    <x v="1"/>
    <x v="38"/>
    <s v="PWEGPL"/>
    <s v="MSEDCL"/>
    <n v="2.5000000000000001E-2"/>
    <n v="421"/>
    <x v="364"/>
    <s v="BD"/>
    <d v="1899-12-30T13:56:00"/>
    <d v="1899-12-30T13:56:00"/>
    <d v="1899-12-30T14:14:00"/>
    <n v="0"/>
    <n v="0.29999999999999893"/>
    <n v="0.29999999999999893"/>
    <s v="Gearbox valve replaced"/>
    <s v="Close"/>
    <n v="7.4999999999999737E-3"/>
    <s v="G19"/>
    <n v="3.5290624999999753"/>
    <s v="None"/>
    <s v="WTG Unscheduled Maintenance"/>
    <n v="282.32499999999902"/>
    <n v="3.5290624999999753"/>
    <m/>
    <m/>
    <m/>
    <m/>
  </r>
  <r>
    <n v="1279"/>
    <x v="173"/>
    <x v="1"/>
    <x v="0"/>
    <x v="6"/>
    <x v="1"/>
    <x v="5"/>
    <s v="PWEGPL"/>
    <s v="MSEDCL"/>
    <n v="2.5000000000000001E-2"/>
    <n v="507"/>
    <x v="318"/>
    <s v="Manual stop"/>
    <d v="1899-12-30T10:35:00"/>
    <d v="1899-12-30T10:35:00"/>
    <d v="1899-12-30T12:27:00"/>
    <n v="0"/>
    <n v="1.866666666666664"/>
    <n v="1.866666666666664"/>
    <s v="generator cooling motor replaced"/>
    <s v="Close"/>
    <n v="4.6666666666666606E-2"/>
    <s v="G39"/>
    <n v="74.492098765431891"/>
    <s v="None"/>
    <s v="WTG Unscheduled Maintenance"/>
    <n v="957.75555555555422"/>
    <n v="74.492098765431891"/>
    <m/>
    <m/>
    <m/>
    <m/>
  </r>
  <r>
    <n v="1280"/>
    <x v="174"/>
    <x v="1"/>
    <x v="0"/>
    <x v="6"/>
    <x v="1"/>
    <x v="15"/>
    <s v="PWEGPL"/>
    <s v="MSEDCL"/>
    <n v="2.5000000000000001E-2"/>
    <n v="5263"/>
    <x v="311"/>
    <s v="BD"/>
    <d v="1899-12-30T08:20:00"/>
    <m/>
    <d v="1899-12-30T14:00:00"/>
    <s v=""/>
    <n v="14"/>
    <n v="5.6666666666666661"/>
    <s v="Slipring cleaned"/>
    <s v="Close"/>
    <n v="0.14166666666666666"/>
    <s v="G36"/>
    <n v="638.71006944444423"/>
    <s v="None"/>
    <s v="WTG Breakdown Maintenance"/>
    <n v="2705.1249999999995"/>
    <n v="638.71006944444423"/>
    <m/>
    <m/>
    <m/>
    <m/>
  </r>
  <r>
    <n v="1281"/>
    <x v="174"/>
    <x v="1"/>
    <x v="0"/>
    <x v="6"/>
    <x v="1"/>
    <x v="5"/>
    <s v="PWEGPL"/>
    <s v="MSEDCL"/>
    <n v="2.5000000000000001E-2"/>
    <n v="119"/>
    <x v="344"/>
    <s v="Manual stop"/>
    <d v="1899-12-30T10:58:00"/>
    <d v="1899-12-30T10:58:00"/>
    <d v="1899-12-30T15:50:00"/>
    <n v="0"/>
    <n v="4.8666666666666671"/>
    <n v="4.8666666666666671"/>
    <s v="Yaw caliper seal replacement"/>
    <s v="Close"/>
    <n v="0.12166666666666669"/>
    <s v="G39"/>
    <n v="358.22722222222228"/>
    <s v="None"/>
    <s v="WTG Unscheduled Maintenance"/>
    <n v="1766.6000000000001"/>
    <n v="358.22722222222228"/>
    <m/>
    <m/>
    <m/>
    <m/>
  </r>
  <r>
    <n v="1282"/>
    <x v="175"/>
    <x v="1"/>
    <x v="0"/>
    <x v="6"/>
    <x v="1"/>
    <x v="31"/>
    <s v="PWEGPL"/>
    <s v="MSEDCL"/>
    <n v="2.5000000000000001E-2"/>
    <n v="2509"/>
    <x v="201"/>
    <s v="BD"/>
    <d v="1899-12-30T07:27:00"/>
    <m/>
    <d v="1899-12-30T10:00:00"/>
    <s v=""/>
    <n v="10"/>
    <n v="2.5500000000000003"/>
    <s v="SF6 Breaker charged"/>
    <s v="Close"/>
    <n v="6.3750000000000015E-2"/>
    <s v="G14"/>
    <n v="82.737539062500019"/>
    <s v="None"/>
    <s v="WTG Breakdown Maintenance"/>
    <n v="778.70625000000007"/>
    <n v="82.737539062500019"/>
    <m/>
    <m/>
    <m/>
    <m/>
  </r>
  <r>
    <n v="1283"/>
    <x v="175"/>
    <x v="1"/>
    <x v="0"/>
    <x v="6"/>
    <x v="1"/>
    <x v="18"/>
    <s v="PWEGPL"/>
    <s v="MSEDCL"/>
    <n v="2.5000000000000001E-2"/>
    <n v="2509"/>
    <x v="201"/>
    <s v="BD"/>
    <d v="1899-12-30T07:27:00"/>
    <m/>
    <d v="1899-12-30T23:59:00"/>
    <s v=""/>
    <n v="23.983333333333334"/>
    <n v="16.533333333333331"/>
    <s v="SF6 breaker failed- material shortage"/>
    <s v="Open"/>
    <n v="0.41333333333333333"/>
    <s v="G18"/>
    <n v="3446.786666666666"/>
    <s v="Material shortage SF6 breaker"/>
    <s v="WTG Breakdown Maintenance"/>
    <n v="5003.3999999999996"/>
    <n v="3446.786666666666"/>
    <m/>
    <m/>
    <m/>
    <m/>
  </r>
  <r>
    <n v="1284"/>
    <x v="175"/>
    <x v="1"/>
    <x v="0"/>
    <x v="6"/>
    <x v="1"/>
    <x v="8"/>
    <s v="PWEGPL"/>
    <s v="MSEDCL"/>
    <n v="2.5000000000000001E-2"/>
    <n v="1894"/>
    <x v="325"/>
    <s v="BD"/>
    <d v="1899-12-30T06:40:00"/>
    <m/>
    <d v="1899-12-30T07:42:00"/>
    <s v=""/>
    <n v="7.7000000000000011"/>
    <n v="1.0333333333333337"/>
    <s v="MCB charged"/>
    <s v="Close"/>
    <n v="2.5833333333333344E-2"/>
    <s v="G25"/>
    <n v="14.626331018518528"/>
    <s v="None"/>
    <s v="WTG Breakdown Maintenance"/>
    <n v="339.70833333333343"/>
    <n v="14.626331018518528"/>
    <m/>
    <m/>
    <m/>
    <m/>
  </r>
  <r>
    <n v="1285"/>
    <x v="175"/>
    <x v="1"/>
    <x v="0"/>
    <x v="6"/>
    <x v="1"/>
    <x v="5"/>
    <s v="PWEGPL"/>
    <s v="MSEDCL"/>
    <n v="2.5000000000000001E-2"/>
    <n v="5202"/>
    <x v="377"/>
    <s v="BD"/>
    <d v="1899-12-30T10:36:00"/>
    <m/>
    <d v="1899-12-30T15:30:00"/>
    <s v=""/>
    <n v="15.5"/>
    <n v="4.9000000000000012"/>
    <s v="Relay loose contact tightened"/>
    <s v="Close"/>
    <n v="0.12250000000000004"/>
    <s v="G39"/>
    <n v="249.68732638888901"/>
    <s v="None"/>
    <s v="WTG Breakdown Maintenance"/>
    <n v="1222.9583333333337"/>
    <n v="249.68732638888901"/>
    <m/>
    <m/>
    <m/>
    <m/>
  </r>
  <r>
    <n v="1286"/>
    <x v="176"/>
    <x v="1"/>
    <x v="0"/>
    <x v="6"/>
    <x v="1"/>
    <x v="21"/>
    <s v="PWEGPL"/>
    <s v="MSEDCL"/>
    <n v="2.5000000000000001E-2"/>
    <n v="119"/>
    <x v="344"/>
    <s v="BD"/>
    <d v="1899-12-30T17:00:00"/>
    <m/>
    <d v="1899-12-30T18:30:00"/>
    <s v=""/>
    <n v="18.5"/>
    <n v="1.5"/>
    <m/>
    <s v="Close"/>
    <n v="3.7500000000000006E-2"/>
    <s v="G01"/>
    <n v="377.4375"/>
    <s v="None"/>
    <s v="WTG Breakdown Maintenance"/>
    <n v="6039"/>
    <n v="377.4375"/>
    <m/>
    <m/>
    <m/>
    <m/>
  </r>
  <r>
    <n v="1287"/>
    <x v="176"/>
    <x v="1"/>
    <x v="0"/>
    <x v="6"/>
    <x v="1"/>
    <x v="23"/>
    <s v="PWEGPL"/>
    <s v="MSEDCL"/>
    <n v="2.5000000000000001E-2"/>
    <n v="204"/>
    <x v="378"/>
    <s v="BD"/>
    <d v="1899-12-30T12:25:00"/>
    <m/>
    <d v="1899-12-30T14:00:00"/>
    <s v=""/>
    <n v="14"/>
    <n v="1.5833333333333357"/>
    <m/>
    <s v="Close"/>
    <n v="3.9583333333333394E-2"/>
    <s v="G03"/>
    <n v="410.67708333333394"/>
    <s v="None"/>
    <s v="WTG Breakdown Maintenance"/>
    <n v="6225"/>
    <n v="410.67708333333394"/>
    <m/>
    <m/>
    <m/>
    <m/>
  </r>
  <r>
    <n v="1288"/>
    <x v="176"/>
    <x v="1"/>
    <x v="0"/>
    <x v="6"/>
    <x v="1"/>
    <x v="39"/>
    <s v="PWEGPL"/>
    <s v="MSEDCL"/>
    <n v="2.5000000000000001E-2"/>
    <s v="CE100014"/>
    <x v="305"/>
    <s v="Manual stop"/>
    <d v="1899-12-30T11:00:00"/>
    <d v="1899-12-30T11:00:00"/>
    <d v="1899-12-30T19:50:00"/>
    <n v="0"/>
    <n v="8.8333333333333321"/>
    <n v="8.8333333333333321"/>
    <s v="TCA audit done"/>
    <s v="Close"/>
    <n v="0.22083333333333333"/>
    <s v="G06"/>
    <n v="3192.5138888888887"/>
    <s v="None"/>
    <s v="WTG Unscheduled Maintenance"/>
    <n v="8674"/>
    <n v="3192.5138888888887"/>
    <m/>
    <m/>
    <m/>
    <m/>
  </r>
  <r>
    <n v="1289"/>
    <x v="176"/>
    <x v="1"/>
    <x v="0"/>
    <x v="6"/>
    <x v="1"/>
    <x v="37"/>
    <s v="PWEGPL"/>
    <s v="MSEDCL"/>
    <n v="2.5000000000000001E-2"/>
    <s v="CE100014"/>
    <x v="305"/>
    <s v="Manual stop"/>
    <d v="1899-12-30T10:58:00"/>
    <d v="1899-12-30T10:58:00"/>
    <d v="1899-12-30T18:40:00"/>
    <n v="0"/>
    <n v="7.7000000000000011"/>
    <n v="7.7000000000000011"/>
    <s v="TCA audit done"/>
    <s v="Close"/>
    <n v="0.19250000000000003"/>
    <s v="G17"/>
    <n v="2778.416666666667"/>
    <s v="None"/>
    <s v="WTG Unscheduled Maintenance"/>
    <n v="8660"/>
    <n v="2778.416666666667"/>
    <m/>
    <m/>
    <m/>
    <m/>
  </r>
  <r>
    <n v="1290"/>
    <x v="176"/>
    <x v="1"/>
    <x v="0"/>
    <x v="6"/>
    <x v="1"/>
    <x v="38"/>
    <s v="PWEGPL"/>
    <s v="MSEDCL"/>
    <n v="2.5000000000000001E-2"/>
    <n v="412"/>
    <x v="336"/>
    <s v="BD"/>
    <d v="1899-12-30T00:30:00"/>
    <m/>
    <d v="1899-12-30T02:05:00"/>
    <s v=""/>
    <n v="2.0833333333333335"/>
    <n v="1.5833333333333337"/>
    <s v="Reset"/>
    <s v="Close"/>
    <n v="3.9583333333333345E-2"/>
    <s v="G18"/>
    <n v="547.23958333333348"/>
    <s v="None"/>
    <s v="WTG Breakdown Maintenance"/>
    <n v="8295"/>
    <n v="547.23958333333348"/>
    <m/>
    <m/>
    <m/>
    <m/>
  </r>
  <r>
    <n v="1291"/>
    <x v="176"/>
    <x v="1"/>
    <x v="0"/>
    <x v="6"/>
    <x v="1"/>
    <x v="18"/>
    <s v="PWEGPL"/>
    <s v="MSEDCL"/>
    <n v="2.5000000000000001E-2"/>
    <n v="2509"/>
    <x v="201"/>
    <s v="BD"/>
    <d v="1899-12-30T00:00:00"/>
    <m/>
    <d v="1899-12-30T23:59:00"/>
    <s v=""/>
    <n v="23.983333333333334"/>
    <n v="23.983333333333334"/>
    <s v="SF6 breaker failed- material shortage"/>
    <s v="Open"/>
    <n v="0.59958333333333336"/>
    <s v="G20"/>
    <n v="6965.1597222222226"/>
    <s v="Material shortage SF6 breaker"/>
    <s v="WTG Breakdown Maintenance"/>
    <n v="6970"/>
    <n v="6965.1597222222226"/>
    <m/>
    <m/>
    <m/>
    <m/>
  </r>
  <r>
    <n v="1292"/>
    <x v="177"/>
    <x v="1"/>
    <x v="0"/>
    <x v="6"/>
    <x v="1"/>
    <x v="21"/>
    <s v="PWEGPL"/>
    <s v="MSEDCL"/>
    <n v="2.5000000000000001E-2"/>
    <n v="102"/>
    <x v="337"/>
    <s v="BD"/>
    <d v="1899-12-30T16:05:00"/>
    <m/>
    <d v="1899-12-30T17:15:00"/>
    <s v=""/>
    <n v="17.25"/>
    <n v="1.1666666666666679"/>
    <s v="Feedback changed"/>
    <s v="Close"/>
    <n v="2.9166666666666698E-2"/>
    <s v="G01"/>
    <n v="33.200713734567969"/>
    <s v="None"/>
    <s v="WTG Breakdown Maintenance"/>
    <n v="682.98611111111177"/>
    <n v="33.200713734567969"/>
    <m/>
    <m/>
    <m/>
    <m/>
  </r>
  <r>
    <n v="1293"/>
    <x v="177"/>
    <x v="1"/>
    <x v="0"/>
    <x v="6"/>
    <x v="1"/>
    <x v="23"/>
    <s v="PWEGPL"/>
    <s v="MSEDCL"/>
    <n v="2.5000000000000001E-2"/>
    <n v="203"/>
    <x v="290"/>
    <s v="BD"/>
    <d v="1899-12-30T10:26:00"/>
    <m/>
    <d v="1899-12-30T18:30:00"/>
    <s v=""/>
    <n v="18.5"/>
    <n v="8.0666666666666664"/>
    <s v="hydraulic valve changed"/>
    <s v="Close"/>
    <n v="0.20166666666666666"/>
    <s v="G03"/>
    <n v="1596.6146064814814"/>
    <s v="None"/>
    <s v="WTG Breakdown Maintenance"/>
    <n v="4750.2583333333332"/>
    <n v="1596.6146064814814"/>
    <m/>
    <m/>
    <m/>
    <m/>
  </r>
  <r>
    <n v="1294"/>
    <x v="177"/>
    <x v="1"/>
    <x v="0"/>
    <x v="6"/>
    <x v="1"/>
    <x v="0"/>
    <s v="PWEGPL"/>
    <s v="MSEDCL"/>
    <n v="2.5000000000000001E-2"/>
    <s v="CE100014"/>
    <x v="305"/>
    <s v="Manual stop"/>
    <d v="1899-12-30T10:45:00"/>
    <d v="1899-12-30T10:45:00"/>
    <d v="1899-12-30T18:30:00"/>
    <n v="0"/>
    <n v="7.75"/>
    <n v="7.75"/>
    <s v="TCA audit done"/>
    <s v="Close"/>
    <n v="0.19375000000000001"/>
    <s v="G15"/>
    <n v="1689.4663628472224"/>
    <s v="None"/>
    <s v="WTG Unscheduled Maintenance"/>
    <n v="5231.8958333333339"/>
    <n v="1689.4663628472224"/>
    <m/>
    <m/>
    <m/>
    <m/>
  </r>
  <r>
    <n v="1295"/>
    <x v="177"/>
    <x v="1"/>
    <x v="0"/>
    <x v="6"/>
    <x v="1"/>
    <x v="38"/>
    <s v="PWEGPL"/>
    <s v="MSEDCL"/>
    <n v="2.5000000000000001E-2"/>
    <s v="CE100014"/>
    <x v="305"/>
    <s v="Manual stop"/>
    <d v="1899-12-30T10:30:00"/>
    <d v="1899-12-30T10:30:00"/>
    <d v="1899-12-30T17:32:00"/>
    <n v="0"/>
    <n v="7.033333333333335"/>
    <n v="7.033333333333335"/>
    <s v="TCA audit done"/>
    <s v="Close"/>
    <n v="0.1758333333333334"/>
    <s v="G16"/>
    <n v="838.63342013888916"/>
    <s v="None"/>
    <s v="WTG Unscheduled Maintenance"/>
    <n v="2861.6875000000005"/>
    <n v="838.63342013888916"/>
    <m/>
    <m/>
    <m/>
    <m/>
  </r>
  <r>
    <n v="1296"/>
    <x v="177"/>
    <x v="1"/>
    <x v="0"/>
    <x v="6"/>
    <x v="1"/>
    <x v="18"/>
    <s v="PWEGPL"/>
    <s v="MSEDCL"/>
    <n v="2.5000000000000001E-2"/>
    <n v="2509"/>
    <x v="201"/>
    <s v="BD"/>
    <d v="1899-12-30T00:00:00"/>
    <m/>
    <d v="1899-12-30T23:59:00"/>
    <s v=""/>
    <n v="23.983333333333334"/>
    <n v="23.983333333333334"/>
    <s v="SF6 breaker replacement WIP"/>
    <s v="Open"/>
    <n v="0.59958333333333336"/>
    <s v="G20"/>
    <n v="13401.367582947531"/>
    <s v="Material shortage SF6 breaker"/>
    <s v="WTG Breakdown Maintenance"/>
    <n v="13410.680555555555"/>
    <n v="13401.367582947531"/>
    <m/>
    <m/>
    <m/>
    <m/>
  </r>
  <r>
    <n v="1297"/>
    <x v="177"/>
    <x v="1"/>
    <x v="0"/>
    <x v="6"/>
    <x v="1"/>
    <x v="2"/>
    <s v="PWEGPL"/>
    <s v="MSEDCL"/>
    <n v="2.5000000000000001E-2"/>
    <n v="205"/>
    <x v="312"/>
    <s v="BD"/>
    <d v="1899-12-30T16:35:00"/>
    <m/>
    <d v="1899-12-30T18:07:00"/>
    <s v=""/>
    <n v="18.116666666666667"/>
    <n v="1.5333333333333332"/>
    <s v="Oil Topup"/>
    <s v="Close"/>
    <n v="3.833333333333333E-2"/>
    <s v="G32"/>
    <n v="49.728449074074064"/>
    <s v="None"/>
    <s v="WTG Breakdown Maintenance"/>
    <n v="778.35833333333323"/>
    <n v="49.728449074074064"/>
    <m/>
    <m/>
    <m/>
    <m/>
  </r>
  <r>
    <n v="1298"/>
    <x v="178"/>
    <x v="1"/>
    <x v="0"/>
    <x v="6"/>
    <x v="1"/>
    <x v="21"/>
    <s v="PWEGPL"/>
    <s v="MSEDCL"/>
    <n v="2.5000000000000001E-2"/>
    <n v="102"/>
    <x v="337"/>
    <s v="BD"/>
    <d v="1899-12-30T16:00:00"/>
    <m/>
    <d v="1899-12-30T19:25:00"/>
    <s v=""/>
    <n v="19.416666666666668"/>
    <n v="3.4166666666666679"/>
    <s v="reset"/>
    <s v="Close"/>
    <n v="8.5416666666666696E-2"/>
    <s v="G01"/>
    <n v="361.84141107253112"/>
    <s v="None"/>
    <s v="WTG Breakdown Maintenance"/>
    <n v="2541.7152777777787"/>
    <n v="361.84141107253112"/>
    <m/>
    <m/>
    <m/>
    <m/>
  </r>
  <r>
    <n v="1299"/>
    <x v="178"/>
    <x v="1"/>
    <x v="0"/>
    <x v="6"/>
    <x v="1"/>
    <x v="24"/>
    <s v="PWEGPL"/>
    <s v="MSEDCL"/>
    <n v="2.5000000000000001E-2"/>
    <s v="CE100014"/>
    <x v="305"/>
    <s v="Manual stop"/>
    <d v="1899-12-30T14:30:00"/>
    <d v="1899-12-30T14:30:00"/>
    <d v="1899-12-30T17:15:00"/>
    <n v="0"/>
    <n v="2.7500000000000009"/>
    <n v="2.7500000000000009"/>
    <s v="TCA audit done"/>
    <s v="Close"/>
    <n v="6.8750000000000019E-2"/>
    <s v="G18"/>
    <n v="256.59982638888908"/>
    <s v="None"/>
    <s v="WTG Unscheduled Maintenance"/>
    <n v="2239.4166666666674"/>
    <n v="256.59982638888908"/>
    <m/>
    <m/>
    <m/>
    <m/>
  </r>
  <r>
    <n v="1300"/>
    <x v="178"/>
    <x v="1"/>
    <x v="0"/>
    <x v="6"/>
    <x v="1"/>
    <x v="18"/>
    <s v="PWEGPL"/>
    <s v="MSEDCL"/>
    <n v="2.5000000000000001E-2"/>
    <n v="2509"/>
    <x v="201"/>
    <s v="BD"/>
    <d v="1899-12-30T00:00:00"/>
    <m/>
    <d v="1899-12-30T18:00:00"/>
    <s v=""/>
    <n v="18"/>
    <n v="18"/>
    <s v="SF6 breaker changed"/>
    <s v="Close"/>
    <n v="0.45"/>
    <s v="G18"/>
    <n v="10993.5"/>
    <s v="Material shortage SF6 breaker"/>
    <s v="WTG Breakdown Maintenance"/>
    <n v="14658"/>
    <n v="10993.5"/>
    <m/>
    <m/>
    <m/>
    <m/>
  </r>
  <r>
    <n v="1301"/>
    <x v="178"/>
    <x v="1"/>
    <x v="0"/>
    <x v="6"/>
    <x v="1"/>
    <x v="33"/>
    <s v="PWEGPL"/>
    <s v="MSEDCL"/>
    <n v="2.5000000000000001E-2"/>
    <s v="CE100014"/>
    <x v="305"/>
    <s v="Manual stop"/>
    <d v="1899-12-30T10:41:00"/>
    <d v="1899-12-30T10:41:00"/>
    <d v="1899-12-30T13:44:00"/>
    <n v="0"/>
    <n v="3.0499999999999985"/>
    <n v="3.0499999999999985"/>
    <s v="TCA audit done"/>
    <s v="Close"/>
    <n v="7.6249999999999971E-2"/>
    <s v="G18"/>
    <n v="315.6389930555552"/>
    <s v="None"/>
    <s v="WTG Unscheduled Maintenance"/>
    <n v="2483.7166666666653"/>
    <n v="315.6389930555552"/>
    <m/>
    <m/>
    <m/>
    <m/>
  </r>
  <r>
    <n v="1302"/>
    <x v="178"/>
    <x v="1"/>
    <x v="0"/>
    <x v="6"/>
    <x v="1"/>
    <x v="34"/>
    <s v="PWEGPL"/>
    <s v="MSEDCL"/>
    <n v="2.5000000000000001E-2"/>
    <s v="CE100014"/>
    <x v="305"/>
    <s v="Manual stop"/>
    <d v="1899-12-30T10:40:00"/>
    <d v="1899-12-30T10:40:00"/>
    <d v="1899-12-30T14:15:00"/>
    <n v="0"/>
    <n v="3.5833333333333339"/>
    <n v="3.5833333333333339"/>
    <s v="TCA audit done"/>
    <s v="Close"/>
    <n v="8.9583333333333348E-2"/>
    <s v="G18"/>
    <n v="435.67775848765444"/>
    <s v="None"/>
    <s v="WTG Unscheduled Maintenance"/>
    <n v="2918.0277777777783"/>
    <n v="435.67775848765444"/>
    <m/>
    <m/>
    <m/>
    <m/>
  </r>
  <r>
    <n v="1303"/>
    <x v="178"/>
    <x v="1"/>
    <x v="0"/>
    <x v="6"/>
    <x v="1"/>
    <x v="1"/>
    <s v="PWEGPL"/>
    <s v="MSEDCL"/>
    <n v="2.5000000000000001E-2"/>
    <s v="CE100014"/>
    <x v="305"/>
    <s v="Manual stop"/>
    <d v="1899-12-30T15:15:00"/>
    <d v="1899-12-30T15:15:00"/>
    <d v="1899-12-30T18:20:00"/>
    <n v="0"/>
    <n v="3.083333333333333"/>
    <n v="3.083333333333333"/>
    <s v="TCA audit done"/>
    <s v="Close"/>
    <n v="7.7083333333333337E-2"/>
    <s v="G18"/>
    <n v="322.57590663580237"/>
    <s v="None"/>
    <s v="WTG Unscheduled Maintenance"/>
    <n v="2510.8611111111109"/>
    <n v="322.57590663580237"/>
    <m/>
    <m/>
    <m/>
    <m/>
  </r>
  <r>
    <n v="1304"/>
    <x v="178"/>
    <x v="1"/>
    <x v="0"/>
    <x v="6"/>
    <x v="1"/>
    <x v="8"/>
    <s v="PWEGPL"/>
    <s v="MSEDCL"/>
    <n v="2.5000000000000001E-2"/>
    <n v="203"/>
    <x v="290"/>
    <s v="BD"/>
    <d v="1899-12-30T21:39:00"/>
    <m/>
    <d v="1899-12-30T22:49:00"/>
    <s v=""/>
    <n v="22.816666666666666"/>
    <n v="1.1666666666666679"/>
    <s v="Reset"/>
    <s v="Close"/>
    <n v="2.9166666666666698E-2"/>
    <s v="G25"/>
    <n v="33.439380787037102"/>
    <s v="None"/>
    <s v="WTG Breakdown Maintenance"/>
    <n v="687.89583333333405"/>
    <n v="33.439380787037102"/>
    <m/>
    <m/>
    <m/>
    <m/>
  </r>
  <r>
    <n v="1305"/>
    <x v="178"/>
    <x v="1"/>
    <x v="0"/>
    <x v="6"/>
    <x v="1"/>
    <x v="12"/>
    <s v="PWEGPL"/>
    <s v="MSEDCL"/>
    <n v="2.5000000000000001E-2"/>
    <n v="205"/>
    <x v="312"/>
    <s v="BD"/>
    <d v="1899-12-30T10:00:00"/>
    <m/>
    <d v="1899-12-30T13:30:00"/>
    <s v=""/>
    <n v="13.5"/>
    <n v="3.4999999999999996"/>
    <s v="Oil Topup"/>
    <s v="Close"/>
    <n v="8.7499999999999994E-2"/>
    <s v="G31"/>
    <n v="237.30121527777771"/>
    <s v="None"/>
    <s v="WTG Breakdown Maintenance"/>
    <n v="1627.2083333333333"/>
    <n v="237.30121527777771"/>
    <m/>
    <m/>
    <m/>
    <m/>
  </r>
  <r>
    <n v="1306"/>
    <x v="179"/>
    <x v="1"/>
    <x v="0"/>
    <x v="6"/>
    <x v="1"/>
    <x v="21"/>
    <s v="PWEGPL"/>
    <s v="MSEDCL"/>
    <n v="2.5000000000000001E-2"/>
    <n v="102"/>
    <x v="337"/>
    <s v="BD"/>
    <d v="1899-12-30T12:00:00"/>
    <m/>
    <d v="1899-12-30T13:25:00"/>
    <s v=""/>
    <n v="13.416666666666668"/>
    <n v="1.416666666666667"/>
    <s v="Rebbot &amp; reset"/>
    <s v="Close"/>
    <n v="3.5416666666666673E-2"/>
    <s v="G04"/>
    <n v="52.751977237654344"/>
    <s v="None"/>
    <s v="WTG Breakdown Maintenance"/>
    <n v="893.68055555555577"/>
    <n v="52.751977237654344"/>
    <m/>
    <m/>
    <m/>
    <m/>
  </r>
  <r>
    <n v="1307"/>
    <x v="179"/>
    <x v="1"/>
    <x v="0"/>
    <x v="6"/>
    <x v="1"/>
    <x v="24"/>
    <s v="PWEGPL"/>
    <s v="MSEDCL"/>
    <n v="2.5000000000000001E-2"/>
    <n v="5201"/>
    <x v="299"/>
    <s v="BD"/>
    <d v="1899-12-30T09:30:00"/>
    <m/>
    <d v="1899-12-30T10:30:00"/>
    <s v=""/>
    <n v="10.5"/>
    <n v="1.0000000000000004"/>
    <s v="reset"/>
    <s v="Close"/>
    <n v="2.5000000000000012E-2"/>
    <s v="G22"/>
    <n v="15.545138888888902"/>
    <s v="None"/>
    <s v="WTG Breakdown Maintenance"/>
    <n v="373.08333333333348"/>
    <n v="15.545138888888902"/>
    <m/>
    <m/>
    <m/>
    <m/>
  </r>
  <r>
    <n v="1308"/>
    <x v="179"/>
    <x v="1"/>
    <x v="0"/>
    <x v="6"/>
    <x v="1"/>
    <x v="30"/>
    <s v="PWEGPL"/>
    <s v="MSEDCL"/>
    <n v="2.5000000000000001E-2"/>
    <n v="200"/>
    <x v="314"/>
    <s v="Manual stop"/>
    <d v="1899-12-30T21:00:00"/>
    <d v="1899-12-30T21:00:00"/>
    <d v="1899-12-30T23:59:59"/>
    <n v="0"/>
    <n v="2.9997222222222204"/>
    <n v="2.9997222222222204"/>
    <s v="hydraulic oil leakage from pitch cylender"/>
    <s v="Open"/>
    <n v="7.4993055555555521E-2"/>
    <s v="G13"/>
    <n v="288.899617639344"/>
    <s v="manpower shortage could not attend in night shift"/>
    <s v="WTG Unscheduled Maintenance"/>
    <n v="2311.4109606481466"/>
    <n v="288.899617639344"/>
    <m/>
    <m/>
    <m/>
    <m/>
  </r>
  <r>
    <n v="1309"/>
    <x v="179"/>
    <x v="1"/>
    <x v="0"/>
    <x v="6"/>
    <x v="1"/>
    <x v="18"/>
    <s v="PWEGPL"/>
    <s v="MSEDCL"/>
    <n v="2.5000000000000001E-2"/>
    <n v="203"/>
    <x v="290"/>
    <s v="BD"/>
    <d v="1899-12-30T01:00:00"/>
    <m/>
    <d v="1899-12-30T04:12:00"/>
    <s v=""/>
    <n v="4.2"/>
    <n v="3.2000000000000006"/>
    <s v="reset"/>
    <s v="Close"/>
    <n v="8.0000000000000016E-2"/>
    <s v="G20"/>
    <n v="325.15555555555574"/>
    <s v="None"/>
    <s v="WTG Breakdown Maintenance"/>
    <n v="2438.6666666666674"/>
    <n v="325.15555555555574"/>
    <m/>
    <m/>
    <m/>
    <m/>
  </r>
  <r>
    <n v="1310"/>
    <x v="179"/>
    <x v="1"/>
    <x v="0"/>
    <x v="6"/>
    <x v="1"/>
    <x v="34"/>
    <s v="PWEGPL"/>
    <s v="MSEDCL"/>
    <n v="2.5000000000000001E-2"/>
    <n v="5201"/>
    <x v="299"/>
    <s v="BD"/>
    <d v="1899-12-30T09:30:00"/>
    <m/>
    <d v="1899-12-30T10:00:00"/>
    <s v=""/>
    <n v="10"/>
    <n v="0.50000000000000089"/>
    <s v="reset"/>
    <s v="Close"/>
    <n v="1.2500000000000023E-2"/>
    <s v="G23"/>
    <n v="6.0269097222222436"/>
    <s v="None"/>
    <s v="WTG Breakdown Maintenance"/>
    <n v="289.2916666666672"/>
    <n v="6.0269097222222436"/>
    <m/>
    <m/>
    <m/>
    <m/>
  </r>
  <r>
    <n v="1311"/>
    <x v="179"/>
    <x v="1"/>
    <x v="0"/>
    <x v="6"/>
    <x v="1"/>
    <x v="34"/>
    <s v="PWEGPL"/>
    <s v="MSEDCL"/>
    <n v="2.5000000000000001E-2"/>
    <n v="412"/>
    <x v="336"/>
    <s v="BD"/>
    <d v="1899-12-30T14:00:00"/>
    <m/>
    <d v="1899-12-30T18:00:00"/>
    <s v=""/>
    <n v="18"/>
    <n v="3.9999999999999991"/>
    <s v="MPCB reset"/>
    <s v="Close"/>
    <n v="9.9999999999999978E-2"/>
    <s v="G23"/>
    <n v="385.72222222222206"/>
    <s v="None"/>
    <s v="WTG Breakdown Maintenance"/>
    <n v="2314.333333333333"/>
    <n v="385.72222222222206"/>
    <m/>
    <m/>
    <m/>
    <m/>
  </r>
  <r>
    <n v="1312"/>
    <x v="179"/>
    <x v="1"/>
    <x v="0"/>
    <x v="6"/>
    <x v="1"/>
    <x v="2"/>
    <s v="PWEGPL"/>
    <s v="MSEDCL"/>
    <n v="2.5000000000000001E-2"/>
    <s v="CE100014"/>
    <x v="305"/>
    <s v="Manual stop"/>
    <d v="1899-12-30T11:33:00"/>
    <d v="1899-12-30T11:33:00"/>
    <d v="1899-12-30T14:48:00"/>
    <n v="0"/>
    <n v="3.2500000000000004"/>
    <n v="3.2500000000000004"/>
    <s v="TCA audit done"/>
    <s v="Close"/>
    <n v="8.1250000000000017E-2"/>
    <s v="G32"/>
    <n v="138.77951388888891"/>
    <s v="None"/>
    <s v="WTG Unscheduled Maintenance"/>
    <n v="1024.8333333333335"/>
    <n v="138.77951388888891"/>
    <m/>
    <m/>
    <m/>
    <m/>
  </r>
  <r>
    <n v="1313"/>
    <x v="179"/>
    <x v="1"/>
    <x v="0"/>
    <x v="6"/>
    <x v="1"/>
    <x v="12"/>
    <s v="PWEGPL"/>
    <s v="MSEDCL"/>
    <n v="2.5000000000000001E-2"/>
    <n v="205"/>
    <x v="312"/>
    <s v="BD"/>
    <d v="1899-12-30T05:00:00"/>
    <m/>
    <d v="1899-12-30T08:07:00"/>
    <s v=""/>
    <n v="8.1166666666666671"/>
    <n v="3.1166666666666671"/>
    <s v="Oil topup"/>
    <s v="Close"/>
    <n v="7.791666666666669E-2"/>
    <s v="G30"/>
    <n v="255.30270592206799"/>
    <s v="None"/>
    <s v="WTG Breakdown Maintenance"/>
    <n v="1965.9673611111114"/>
    <n v="255.30270592206799"/>
    <m/>
    <m/>
    <m/>
    <m/>
  </r>
  <r>
    <n v="1314"/>
    <x v="179"/>
    <x v="1"/>
    <x v="0"/>
    <x v="6"/>
    <x v="1"/>
    <x v="3"/>
    <s v="PWEGPL"/>
    <s v="MSEDCL"/>
    <n v="2.5000000000000001E-2"/>
    <s v="CE100014"/>
    <x v="305"/>
    <s v="Manual stop"/>
    <d v="1899-12-30T11:25:00"/>
    <d v="1899-12-30T11:25:00"/>
    <d v="1899-12-30T14:30:00"/>
    <n v="0"/>
    <n v="3.083333333333333"/>
    <n v="3.083333333333333"/>
    <s v="TCA audit done"/>
    <s v="Close"/>
    <n v="7.7083333333333337E-2"/>
    <s v="G26"/>
    <n v="165.81035397376539"/>
    <s v="None"/>
    <s v="WTG Unscheduled Maintenance"/>
    <n v="1290.6319444444443"/>
    <n v="165.81035397376539"/>
    <m/>
    <m/>
    <m/>
    <m/>
  </r>
  <r>
    <n v="1315"/>
    <x v="179"/>
    <x v="1"/>
    <x v="0"/>
    <x v="6"/>
    <x v="1"/>
    <x v="4"/>
    <s v="PWEGPL"/>
    <s v="MSEDCL"/>
    <n v="2.5000000000000001E-2"/>
    <n v="205"/>
    <x v="312"/>
    <s v="BD"/>
    <d v="1899-12-30T09:43:00"/>
    <m/>
    <d v="1899-12-30T12:00:00"/>
    <s v=""/>
    <n v="12"/>
    <n v="2.2833333333333332"/>
    <s v="oil topup"/>
    <s v="Close"/>
    <n v="5.7083333333333333E-2"/>
    <s v="G38"/>
    <n v="94.605318287037036"/>
    <s v="None"/>
    <s v="WTG Breakdown Maintenance"/>
    <n v="994.39166666666665"/>
    <n v="94.605318287037036"/>
    <m/>
    <m/>
    <m/>
    <m/>
  </r>
  <r>
    <n v="1316"/>
    <x v="179"/>
    <x v="1"/>
    <x v="0"/>
    <x v="6"/>
    <x v="1"/>
    <x v="6"/>
    <s v="PWEGPL"/>
    <s v="MSEDCL"/>
    <n v="2.5000000000000001E-2"/>
    <s v="CE100014"/>
    <x v="305"/>
    <s v="Manual stop"/>
    <d v="1899-12-30T14:40:00"/>
    <d v="1899-12-30T14:40:00"/>
    <d v="1899-12-30T18:00:00"/>
    <n v="0"/>
    <n v="3.3333333333333348"/>
    <n v="3.3333333333333348"/>
    <s v="TCA audit done"/>
    <s v="Close"/>
    <n v="8.333333333333337E-2"/>
    <s v="G40"/>
    <n v="227.83564814814835"/>
    <s v="None"/>
    <s v="WTG Unscheduled Maintenance"/>
    <n v="1640.4166666666674"/>
    <n v="227.83564814814835"/>
    <m/>
    <m/>
    <m/>
    <m/>
  </r>
  <r>
    <n v="1317"/>
    <x v="179"/>
    <x v="1"/>
    <x v="0"/>
    <x v="6"/>
    <x v="1"/>
    <x v="12"/>
    <s v="PWEGPL"/>
    <s v="MSEDCL"/>
    <n v="2.5000000000000001E-2"/>
    <n v="205"/>
    <x v="312"/>
    <s v="BD"/>
    <d v="1899-12-30T09:43:00"/>
    <m/>
    <d v="1899-12-30T16:18:00"/>
    <s v=""/>
    <n v="16.3"/>
    <n v="6.5833333333333339"/>
    <s v="Yaw caliper seal replaced"/>
    <s v="Close"/>
    <n v="0.16458333333333336"/>
    <s v="G30"/>
    <n v="1139.1119188850309"/>
    <s v="None"/>
    <s v="WTG Breakdown Maintenance"/>
    <n v="4152.7118055555557"/>
    <n v="1139.1119188850309"/>
    <m/>
    <m/>
    <m/>
    <m/>
  </r>
  <r>
    <n v="1318"/>
    <x v="180"/>
    <x v="1"/>
    <x v="0"/>
    <x v="6"/>
    <x v="1"/>
    <x v="21"/>
    <s v="PWEGPL"/>
    <s v="MSEDCL"/>
    <n v="2.5000000000000001E-2"/>
    <n v="115"/>
    <x v="308"/>
    <s v="Manual stop"/>
    <d v="1899-12-30T11:26:00"/>
    <d v="1899-12-30T11:26:00"/>
    <d v="1899-12-30T12:30:00"/>
    <n v="0"/>
    <n v="1.0666666666666669"/>
    <n v="1.0666666666666669"/>
    <s v="Yaw contactor replaced"/>
    <s v="Close"/>
    <n v="2.6666666666666672E-2"/>
    <s v="G01"/>
    <n v="18.690370370370378"/>
    <s v="None"/>
    <s v="WTG Unscheduled Maintenance"/>
    <n v="420.53333333333342"/>
    <n v="18.690370370370378"/>
    <m/>
    <m/>
    <m/>
    <m/>
  </r>
  <r>
    <n v="1319"/>
    <x v="180"/>
    <x v="1"/>
    <x v="0"/>
    <x v="6"/>
    <x v="1"/>
    <x v="23"/>
    <s v="PWEGPL"/>
    <s v="MSEDCL"/>
    <n v="2.5000000000000001E-2"/>
    <n v="5263"/>
    <x v="311"/>
    <s v="BD"/>
    <d v="1899-12-30T05:55:00"/>
    <m/>
    <d v="1899-12-30T06:53:00"/>
    <s v=""/>
    <n v="6.8833333333333329"/>
    <n v="0.9666666666666659"/>
    <s v="Reboot reset"/>
    <s v="Close"/>
    <n v="2.4166666666666649E-2"/>
    <s v="G03"/>
    <n v="16.161346450617255"/>
    <s v="None"/>
    <s v="WTG Breakdown Maintenance"/>
    <n v="401.24722222222186"/>
    <n v="16.161346450617255"/>
    <m/>
    <m/>
    <m/>
    <m/>
  </r>
  <r>
    <n v="1320"/>
    <x v="180"/>
    <x v="1"/>
    <x v="0"/>
    <x v="6"/>
    <x v="1"/>
    <x v="30"/>
    <s v="PWEGPL"/>
    <s v="MSEDCL"/>
    <n v="2.5000000000000001E-2"/>
    <s v="CE100001"/>
    <x v="288"/>
    <s v="Manual stop"/>
    <d v="1899-12-30T00:00:00"/>
    <d v="1899-12-30T00:00:00"/>
    <d v="1899-12-30T06:53:00"/>
    <n v="0"/>
    <n v="6.8833333333333329"/>
    <n v="6.8833333333333329"/>
    <s v="Pitch cylender oil seal replaced."/>
    <s v="Close"/>
    <n v="0.17208333333333334"/>
    <s v="G13"/>
    <n v="849.96599006558631"/>
    <s v="manpower shortage could not attend in night shift"/>
    <s v="WTG Unscheduled Maintenance"/>
    <n v="2963.5618055555556"/>
    <n v="849.96599006558631"/>
    <m/>
    <m/>
    <m/>
    <m/>
  </r>
  <r>
    <n v="1321"/>
    <x v="181"/>
    <x v="1"/>
    <x v="0"/>
    <x v="6"/>
    <x v="1"/>
    <x v="23"/>
    <s v="PWEGPL"/>
    <s v="MSEDCL"/>
    <n v="2.5000000000000001E-2"/>
    <n v="5263"/>
    <x v="311"/>
    <s v="BD"/>
    <d v="1899-12-30T15:00:00"/>
    <m/>
    <d v="1899-12-30T15:29:00"/>
    <s v=""/>
    <n v="15.483333333333331"/>
    <n v="0.48333333333333162"/>
    <s v="Reboot and reset"/>
    <s v="Close"/>
    <n v="1.2083333333333291E-2"/>
    <s v="G03"/>
    <n v="3.8850014467592318"/>
    <s v="None"/>
    <s v="WTG Breakdown Maintenance"/>
    <n v="192.91041666666598"/>
    <n v="3.8850014467592318"/>
    <m/>
    <m/>
    <m/>
    <m/>
  </r>
  <r>
    <n v="1322"/>
    <x v="181"/>
    <x v="1"/>
    <x v="0"/>
    <x v="6"/>
    <x v="1"/>
    <x v="25"/>
    <s v="PWEGPL"/>
    <s v="MSEDCL"/>
    <n v="2.5000000000000001E-2"/>
    <s v="CE100014"/>
    <x v="305"/>
    <s v="Manual stop"/>
    <d v="1899-12-30T15:30:00"/>
    <d v="1899-12-30T15:30:00"/>
    <d v="1899-12-30T19:08:00"/>
    <n v="0"/>
    <n v="3.6333333333333311"/>
    <n v="3.6333333333333311"/>
    <s v="TCA audit done"/>
    <s v="Close"/>
    <n v="9.083333333333328E-2"/>
    <s v="G07"/>
    <n v="225.31271412037009"/>
    <s v="None"/>
    <s v="WTG Unscheduled Maintenance"/>
    <n v="1488.3041666666657"/>
    <n v="225.31271412037009"/>
    <m/>
    <m/>
    <m/>
    <m/>
  </r>
  <r>
    <n v="1323"/>
    <x v="181"/>
    <x v="1"/>
    <x v="0"/>
    <x v="6"/>
    <x v="1"/>
    <x v="17"/>
    <s v="PWEGPL"/>
    <s v="MSEDCL"/>
    <n v="2.5000000000000001E-2"/>
    <s v="CE100014"/>
    <x v="305"/>
    <s v="Manual stop"/>
    <d v="1899-12-30T15:19:00"/>
    <d v="1899-12-30T15:19:00"/>
    <d v="1899-12-30T19:00:00"/>
    <n v="0"/>
    <n v="3.6833333333333336"/>
    <n v="3.6833333333333336"/>
    <s v="TCA audit done"/>
    <s v="Close"/>
    <n v="9.208333333333335E-2"/>
    <s v="G12"/>
    <n v="202.82110869984572"/>
    <s v="None"/>
    <s v="WTG Unscheduled Maintenance"/>
    <n v="1321.5493055555557"/>
    <n v="202.82110869984572"/>
    <m/>
    <m/>
    <m/>
    <m/>
  </r>
  <r>
    <n v="1324"/>
    <x v="181"/>
    <x v="1"/>
    <x v="0"/>
    <x v="6"/>
    <x v="1"/>
    <x v="27"/>
    <s v="PWEGPL"/>
    <s v="MSEDCL"/>
    <n v="2.5000000000000001E-2"/>
    <s v="CE100001"/>
    <x v="288"/>
    <s v="Manual stop"/>
    <d v="1899-12-30T14:25:00"/>
    <d v="1899-12-30T14:25:00"/>
    <d v="1899-12-30T16:38:00"/>
    <n v="0"/>
    <n v="2.2166666666666668"/>
    <n v="2.2166666666666668"/>
    <s v="Winch repair work"/>
    <s v="Close"/>
    <n v="5.541666666666667E-2"/>
    <s v="G12"/>
    <n v="73.456779996141989"/>
    <s v="None"/>
    <s v="WTG Unscheduled Maintenance"/>
    <n v="795.32152777777787"/>
    <n v="73.456779996141989"/>
    <m/>
    <m/>
    <m/>
    <m/>
  </r>
  <r>
    <n v="1325"/>
    <x v="181"/>
    <x v="1"/>
    <x v="0"/>
    <x v="6"/>
    <x v="1"/>
    <x v="28"/>
    <s v="PWEGPL"/>
    <s v="MSEDCL"/>
    <n v="2.5000000000000001E-2"/>
    <s v="CE100014"/>
    <x v="305"/>
    <s v="Manual stop"/>
    <d v="1899-12-30T10:40:00"/>
    <d v="1899-12-30T10:40:00"/>
    <d v="1899-12-30T15:00:00"/>
    <n v="0"/>
    <n v="4.3333333333333339"/>
    <n v="4.3333333333333339"/>
    <s v="TCA audit done"/>
    <s v="Close"/>
    <n v="0.10833333333333335"/>
    <s v="G12"/>
    <n v="280.72125771604942"/>
    <s v="None"/>
    <s v="WTG Unscheduled Maintenance"/>
    <n v="1554.7638888888891"/>
    <n v="280.72125771604942"/>
    <m/>
    <m/>
    <m/>
    <m/>
  </r>
  <r>
    <n v="1326"/>
    <x v="181"/>
    <x v="1"/>
    <x v="0"/>
    <x v="6"/>
    <x v="1"/>
    <x v="29"/>
    <s v="PWEGPL"/>
    <s v="MSEDCL"/>
    <n v="2.5000000000000001E-2"/>
    <s v="CE100014"/>
    <x v="305"/>
    <s v="Manual stop"/>
    <d v="1899-12-30T10:14:00"/>
    <d v="1899-12-30T10:14:00"/>
    <d v="1899-12-30T15:16:00"/>
    <n v="0"/>
    <n v="5.033333333333335"/>
    <n v="5.033333333333335"/>
    <s v="TCA audit done"/>
    <s v="Close"/>
    <n v="0.12583333333333338"/>
    <s v="G12"/>
    <n v="378.74114776234597"/>
    <s v="None"/>
    <s v="WTG Unscheduled Maintenance"/>
    <n v="1805.9180555555563"/>
    <n v="378.74114776234597"/>
    <m/>
    <m/>
    <m/>
    <m/>
  </r>
  <r>
    <n v="1327"/>
    <x v="181"/>
    <x v="1"/>
    <x v="0"/>
    <x v="6"/>
    <x v="1"/>
    <x v="38"/>
    <s v="PWEGPL"/>
    <s v="MSEDCL"/>
    <n v="2.5000000000000001E-2"/>
    <n v="403"/>
    <x v="365"/>
    <s v="BD"/>
    <d v="1899-12-30T18:30:00"/>
    <m/>
    <d v="1899-12-30T20:42:00"/>
    <s v=""/>
    <n v="20.7"/>
    <n v="2.1999999999999975"/>
    <s v="MPCB reset"/>
    <s v="Close"/>
    <n v="5.4999999999999938E-2"/>
    <s v="G19"/>
    <n v="96.799999999999784"/>
    <s v="None"/>
    <s v="WTG Breakdown Maintenance"/>
    <n v="1055.9999999999989"/>
    <n v="96.799999999999784"/>
    <m/>
    <m/>
    <m/>
    <m/>
  </r>
  <r>
    <n v="1328"/>
    <x v="181"/>
    <x v="1"/>
    <x v="0"/>
    <x v="6"/>
    <x v="1"/>
    <x v="1"/>
    <s v="PWEGPL"/>
    <s v="MSEDCL"/>
    <n v="2.5000000000000001E-2"/>
    <s v="CE100014"/>
    <x v="305"/>
    <s v="Manual stop"/>
    <d v="1899-12-30T09:00:00"/>
    <d v="1899-12-30T09:00:00"/>
    <d v="1899-12-30T09:30:00"/>
    <n v="0"/>
    <n v="0.49999999999999956"/>
    <n v="0.49999999999999956"/>
    <s v="TCA audit done"/>
    <s v="Close"/>
    <n v="1.249999999999999E-2"/>
    <s v="G22"/>
    <n v="4.6992187499999911"/>
    <s v="None"/>
    <s v="WTG Unscheduled Maintenance"/>
    <n v="225.5624999999998"/>
    <n v="4.6992187499999911"/>
    <m/>
    <m/>
    <m/>
    <m/>
  </r>
  <r>
    <n v="1329"/>
    <x v="181"/>
    <x v="1"/>
    <x v="0"/>
    <x v="6"/>
    <x v="1"/>
    <x v="17"/>
    <s v="PWEGPL"/>
    <s v="MSEDCL"/>
    <n v="2.5000000000000001E-2"/>
    <n v="577"/>
    <x v="379"/>
    <s v="BD"/>
    <d v="1899-12-30T19:00:00"/>
    <m/>
    <d v="1899-12-30T21:30:00"/>
    <s v=""/>
    <n v="21.5"/>
    <n v="2.5000000000000018"/>
    <s v="Relay replaced"/>
    <s v="Close"/>
    <n v="6.2500000000000042E-2"/>
    <s v="G12"/>
    <n v="93.435329861111242"/>
    <s v="None"/>
    <s v="WTG Breakdown Maintenance"/>
    <n v="896.97916666666731"/>
    <n v="93.435329861111242"/>
    <m/>
    <m/>
    <m/>
    <m/>
  </r>
  <r>
    <n v="1330"/>
    <x v="182"/>
    <x v="1"/>
    <x v="0"/>
    <x v="6"/>
    <x v="1"/>
    <x v="9"/>
    <s v="PWEGPL"/>
    <s v="MSEDCL"/>
    <n v="2.5000000000000001E-2"/>
    <n v="115"/>
    <x v="308"/>
    <s v="Manual stop"/>
    <d v="1899-12-30T11:30:00"/>
    <d v="1899-12-30T11:30:00"/>
    <d v="1899-12-30T16:32:00"/>
    <n v="0"/>
    <n v="5.033333333333335"/>
    <n v="5.033333333333335"/>
    <s v="Yaw caliper oil seal replaced."/>
    <s v="Close"/>
    <n v="0.12583333333333338"/>
    <s v="G29"/>
    <n v="588.71794945987699"/>
    <s v="None"/>
    <s v="WTG Unscheduled Maintenance"/>
    <n v="2807.1319444444457"/>
    <n v="588.71794945987699"/>
    <m/>
    <m/>
    <m/>
    <m/>
  </r>
  <r>
    <n v="1331"/>
    <x v="182"/>
    <x v="1"/>
    <x v="0"/>
    <x v="6"/>
    <x v="1"/>
    <x v="3"/>
    <s v="PWEGPL"/>
    <s v="MSEDCL"/>
    <n v="2.5000000000000001E-2"/>
    <n v="205"/>
    <x v="312"/>
    <s v="BD"/>
    <d v="1899-12-30T01:10:00"/>
    <m/>
    <d v="1899-12-30T04:24:00"/>
    <s v=""/>
    <n v="4.4000000000000004"/>
    <n v="3.2333333333333338"/>
    <s v="oil topup"/>
    <s v="Close"/>
    <n v="8.0833333333333354E-2"/>
    <s v="G34"/>
    <n v="246.82289930555564"/>
    <s v="None"/>
    <s v="WTG Breakdown Maintenance"/>
    <n v="1832.0875000000003"/>
    <n v="246.82289930555564"/>
    <m/>
    <m/>
    <m/>
    <m/>
  </r>
  <r>
    <n v="1332"/>
    <x v="182"/>
    <x v="1"/>
    <x v="0"/>
    <x v="6"/>
    <x v="1"/>
    <x v="15"/>
    <s v="PWEGPL"/>
    <s v="MSEDCL"/>
    <n v="2.5000000000000001E-2"/>
    <s v="CE100014"/>
    <x v="305"/>
    <s v="Manual stop"/>
    <d v="1899-12-30T14:20:00"/>
    <d v="1899-12-30T14:20:00"/>
    <d v="1899-12-30T17:02:00"/>
    <n v="0"/>
    <n v="2.7000000000000011"/>
    <n v="2.7000000000000011"/>
    <s v="TCA audit done"/>
    <s v="Close"/>
    <n v="6.7500000000000032E-2"/>
    <s v="G40"/>
    <n v="162.40500000000009"/>
    <s v="None"/>
    <s v="WTG Unscheduled Maintenance"/>
    <n v="1443.6000000000004"/>
    <n v="162.40500000000009"/>
    <m/>
    <m/>
    <m/>
    <m/>
  </r>
  <r>
    <n v="1333"/>
    <x v="182"/>
    <x v="1"/>
    <x v="0"/>
    <x v="6"/>
    <x v="1"/>
    <x v="16"/>
    <s v="PWEGPL"/>
    <s v="MSEDCL"/>
    <n v="2.5000000000000001E-2"/>
    <s v="CE100014"/>
    <x v="305"/>
    <s v="Manual stop"/>
    <d v="1899-12-30T14:15:00"/>
    <d v="1899-12-30T14:15:00"/>
    <d v="1899-12-30T16:40:00"/>
    <n v="0"/>
    <n v="2.4166666666666687"/>
    <n v="2.4166666666666687"/>
    <s v="TCA audit done"/>
    <s v="Close"/>
    <n v="6.0416666666666723E-2"/>
    <s v="G40"/>
    <n v="130.10841049382739"/>
    <s v="None"/>
    <s v="WTG Unscheduled Maintenance"/>
    <n v="1292.1111111111122"/>
    <n v="130.10841049382739"/>
    <m/>
    <m/>
    <m/>
    <m/>
  </r>
  <r>
    <n v="1334"/>
    <x v="182"/>
    <x v="1"/>
    <x v="0"/>
    <x v="6"/>
    <x v="1"/>
    <x v="4"/>
    <s v="PWEGPL"/>
    <s v="MSEDCL"/>
    <n v="2.5000000000000001E-2"/>
    <s v="CE100014"/>
    <x v="305"/>
    <s v="Manual stop"/>
    <d v="1899-12-30T10:10:00"/>
    <d v="1899-12-30T10:10:00"/>
    <d v="1899-12-30T13:50:00"/>
    <n v="0"/>
    <n v="3.6666666666666683"/>
    <n v="3.6666666666666683"/>
    <s v="TCA audit done"/>
    <s v="Close"/>
    <n v="9.1666666666666716E-2"/>
    <s v="G40"/>
    <n v="299.51234567901258"/>
    <s v="None"/>
    <s v="WTG Unscheduled Maintenance"/>
    <n v="1960.4444444444453"/>
    <n v="299.51234567901258"/>
    <m/>
    <m/>
    <m/>
    <m/>
  </r>
  <r>
    <n v="1335"/>
    <x v="182"/>
    <x v="1"/>
    <x v="0"/>
    <x v="6"/>
    <x v="1"/>
    <x v="5"/>
    <s v="PWEGPL"/>
    <s v="MSEDCL"/>
    <n v="2.5000000000000001E-2"/>
    <s v="CE100014"/>
    <x v="305"/>
    <s v="Manual stop"/>
    <d v="1899-12-30T10:40:00"/>
    <d v="1899-12-30T10:40:00"/>
    <d v="1899-12-30T13:50:00"/>
    <n v="0"/>
    <n v="3.1666666666666687"/>
    <n v="3.1666666666666687"/>
    <s v="TCA audit done"/>
    <s v="Close"/>
    <n v="7.9166666666666718E-2"/>
    <s v="G40"/>
    <n v="223.39660493827188"/>
    <s v="None"/>
    <s v="WTG Unscheduled Maintenance"/>
    <n v="1693.111111111112"/>
    <n v="223.39660493827188"/>
    <m/>
    <m/>
    <m/>
    <m/>
  </r>
  <r>
    <n v="1336"/>
    <x v="183"/>
    <x v="1"/>
    <x v="0"/>
    <x v="6"/>
    <x v="1"/>
    <x v="27"/>
    <s v="PWEGPL"/>
    <s v="MSEDCL"/>
    <n v="2.5000000000000001E-2"/>
    <s v="CE100014"/>
    <x v="305"/>
    <s v="Manual stop"/>
    <d v="1899-12-30T16:30:00"/>
    <d v="1899-12-30T16:30:00"/>
    <d v="1899-12-30T17:02:00"/>
    <n v="0"/>
    <n v="0.5333333333333341"/>
    <n v="0.5333333333333341"/>
    <s v="TCA audit done"/>
    <s v="Close"/>
    <n v="1.3333333333333353E-2"/>
    <s v="G10"/>
    <n v="8.7772839506173099"/>
    <s v="None"/>
    <s v="WTG Unscheduled Maintenance"/>
    <n v="394.97777777777839"/>
    <n v="8.7772839506173099"/>
    <m/>
    <m/>
    <m/>
    <m/>
  </r>
  <r>
    <n v="1337"/>
    <x v="183"/>
    <x v="1"/>
    <x v="0"/>
    <x v="6"/>
    <x v="1"/>
    <x v="10"/>
    <s v="PWEGPL"/>
    <s v="MSEDCL"/>
    <n v="2.5000000000000001E-2"/>
    <s v="CE100014"/>
    <x v="305"/>
    <s v="Manual stop"/>
    <d v="1899-12-30T14:48:00"/>
    <d v="1899-12-30T14:48:00"/>
    <d v="1899-12-30T17:30:00"/>
    <n v="0"/>
    <n v="2.6999999999999984"/>
    <n v="2.6999999999999984"/>
    <s v="TCA audit done"/>
    <s v="Close"/>
    <n v="6.7499999999999963E-2"/>
    <s v="G28"/>
    <n v="129.61265624999984"/>
    <s v="None"/>
    <s v="WTG Unscheduled Maintenance"/>
    <n v="1152.1124999999993"/>
    <n v="129.61265624999984"/>
    <m/>
    <m/>
    <m/>
    <m/>
  </r>
  <r>
    <n v="1338"/>
    <x v="183"/>
    <x v="1"/>
    <x v="0"/>
    <x v="6"/>
    <x v="1"/>
    <x v="11"/>
    <s v="PWEGPL"/>
    <s v="MSEDCL"/>
    <n v="2.5000000000000001E-2"/>
    <s v="CE100014"/>
    <x v="305"/>
    <s v="Manual stop"/>
    <d v="1899-12-30T11:04:00"/>
    <d v="1899-12-30T11:04:00"/>
    <d v="1899-12-30T14:24:00"/>
    <n v="0"/>
    <n v="3.3333333333333335"/>
    <n v="3.3333333333333335"/>
    <s v="TCA audit done"/>
    <s v="Close"/>
    <n v="8.3333333333333343E-2"/>
    <s v="G28"/>
    <n v="197.55015432098767"/>
    <s v="None"/>
    <s v="WTG Unscheduled Maintenance"/>
    <n v="1422.3611111111111"/>
    <n v="197.55015432098767"/>
    <m/>
    <m/>
    <m/>
    <m/>
  </r>
  <r>
    <n v="1339"/>
    <x v="183"/>
    <x v="1"/>
    <x v="0"/>
    <x v="6"/>
    <x v="1"/>
    <x v="12"/>
    <s v="PWEGPL"/>
    <s v="MSEDCL"/>
    <n v="2.5000000000000001E-2"/>
    <s v="CE100014"/>
    <x v="305"/>
    <s v="Manual stop"/>
    <d v="1899-12-30T10:59:00"/>
    <d v="1899-12-30T10:59:00"/>
    <d v="1899-12-30T14:10:00"/>
    <n v="0"/>
    <n v="3.183333333333334"/>
    <n v="3.183333333333334"/>
    <s v="TCA audit done"/>
    <s v="Close"/>
    <n v="7.9583333333333353E-2"/>
    <s v="G28"/>
    <n v="180.17067949459886"/>
    <s v="None"/>
    <s v="WTG Unscheduled Maintenance"/>
    <n v="1358.3548611111114"/>
    <n v="180.17067949459886"/>
    <m/>
    <m/>
    <m/>
    <m/>
  </r>
  <r>
    <n v="1340"/>
    <x v="183"/>
    <x v="1"/>
    <x v="0"/>
    <x v="6"/>
    <x v="1"/>
    <x v="4"/>
    <s v="PWEGPL"/>
    <s v="MSEDCL"/>
    <n v="2.5000000000000001E-2"/>
    <s v="CE100014"/>
    <x v="305"/>
    <s v="Manual stop"/>
    <d v="1899-12-30T11:50:00"/>
    <d v="1899-12-30T11:50:00"/>
    <d v="1899-12-30T16:10:00"/>
    <n v="0"/>
    <n v="4.3333333333333339"/>
    <n v="4.3333333333333339"/>
    <s v="TCA audit done"/>
    <s v="Close"/>
    <n v="0.10833333333333335"/>
    <s v="G38"/>
    <n v="314.49517746913585"/>
    <s v="None"/>
    <s v="WTG Unscheduled Maintenance"/>
    <n v="1741.8194444444446"/>
    <n v="314.49517746913585"/>
    <m/>
    <m/>
    <m/>
    <m/>
  </r>
  <r>
    <n v="1341"/>
    <x v="183"/>
    <x v="1"/>
    <x v="0"/>
    <x v="6"/>
    <x v="1"/>
    <x v="11"/>
    <s v="PWEGPL"/>
    <s v="MSEDCL"/>
    <n v="2.5000000000000001E-2"/>
    <n v="907"/>
    <x v="292"/>
    <s v="BD"/>
    <d v="1899-12-30T14:25:00"/>
    <m/>
    <d v="1899-12-30T20:30:00"/>
    <s v=""/>
    <n v="20.5"/>
    <n v="6.083333333333333"/>
    <s v="3A power supply changed"/>
    <s v="Close"/>
    <n v="0.15208333333333335"/>
    <s v="G28"/>
    <n v="657.96548273533938"/>
    <s v="None"/>
    <s v="WTG Breakdown Maintenance"/>
    <n v="2595.8090277777774"/>
    <n v="657.96548273533938"/>
    <m/>
    <m/>
    <m/>
    <m/>
  </r>
  <r>
    <n v="1342"/>
    <x v="184"/>
    <x v="1"/>
    <x v="0"/>
    <x v="6"/>
    <x v="1"/>
    <x v="31"/>
    <s v="PWEGPL"/>
    <s v="MSEDCL"/>
    <n v="2.5000000000000001E-2"/>
    <s v="CE100014"/>
    <x v="305"/>
    <s v="Manual stop"/>
    <d v="1899-12-30T11:46:00"/>
    <d v="1899-12-30T11:46:00"/>
    <d v="1899-12-30T14:59:00"/>
    <n v="0"/>
    <n v="3.2166666666666659"/>
    <n v="3.2166666666666659"/>
    <s v="TCA audit done"/>
    <s v="Close"/>
    <n v="8.041666666666665E-2"/>
    <s v="G12"/>
    <n v="248.21888599537024"/>
    <s v="None"/>
    <s v="WTG Unscheduled Maintenance"/>
    <n v="1851.9958333333329"/>
    <n v="248.21888599537024"/>
    <m/>
    <m/>
    <m/>
    <m/>
  </r>
  <r>
    <n v="1343"/>
    <x v="184"/>
    <x v="1"/>
    <x v="0"/>
    <x v="6"/>
    <x v="1"/>
    <x v="32"/>
    <s v="PWEGPL"/>
    <s v="MSEDCL"/>
    <n v="2.5000000000000001E-2"/>
    <s v="CE100014"/>
    <x v="305"/>
    <s v="Manual stop"/>
    <d v="1899-12-30T15:05:00"/>
    <d v="1899-12-30T15:05:00"/>
    <d v="1899-12-30T17:25:00"/>
    <n v="0"/>
    <n v="2.3333333333333357"/>
    <n v="2.3333333333333357"/>
    <s v="TCA audit done"/>
    <s v="Close"/>
    <n v="5.8333333333333397E-2"/>
    <s v="G15"/>
    <n v="172.93672839506209"/>
    <s v="None"/>
    <s v="WTG Unscheduled Maintenance"/>
    <n v="1778.7777777777796"/>
    <n v="172.93672839506209"/>
    <m/>
    <m/>
    <m/>
    <m/>
  </r>
  <r>
    <n v="1344"/>
    <x v="184"/>
    <x v="1"/>
    <x v="0"/>
    <x v="6"/>
    <x v="1"/>
    <x v="12"/>
    <s v="PWEGPL"/>
    <s v="MSEDCL"/>
    <n v="2.5000000000000001E-2"/>
    <n v="5201"/>
    <x v="299"/>
    <s v="BD"/>
    <d v="1899-12-30T06:55:00"/>
    <m/>
    <d v="1899-12-30T11:06:00"/>
    <s v=""/>
    <n v="11.1"/>
    <n v="4.1833333333333318"/>
    <s v="ACB loose connection tightened"/>
    <s v="Close"/>
    <n v="0.10458333333333331"/>
    <s v="G30"/>
    <n v="419.2471059992281"/>
    <s v="None"/>
    <s v="WTG Breakdown Maintenance"/>
    <n v="2405.2423611111103"/>
    <n v="419.2471059992281"/>
    <m/>
    <m/>
    <m/>
    <m/>
  </r>
  <r>
    <n v="1345"/>
    <x v="184"/>
    <x v="1"/>
    <x v="0"/>
    <x v="6"/>
    <x v="1"/>
    <x v="3"/>
    <s v="PWEGPL"/>
    <s v="MSEDCL"/>
    <n v="2.5000000000000001E-2"/>
    <n v="205"/>
    <x v="312"/>
    <s v="BD"/>
    <d v="1899-12-30T08:25:00"/>
    <m/>
    <d v="1899-12-30T11:35:00"/>
    <s v=""/>
    <n v="11.583333333333334"/>
    <n v="3.1666666666666674"/>
    <s v="Oil Topup"/>
    <s v="Close"/>
    <n v="7.9166666666666691E-2"/>
    <s v="G26"/>
    <n v="227.41816165123467"/>
    <s v="None"/>
    <s v="WTG Breakdown Maintenance"/>
    <n v="1723.5902777777781"/>
    <n v="227.41816165123467"/>
    <m/>
    <m/>
    <m/>
    <m/>
  </r>
  <r>
    <n v="1346"/>
    <x v="184"/>
    <x v="1"/>
    <x v="0"/>
    <x v="6"/>
    <x v="1"/>
    <x v="13"/>
    <s v="PWEGPL"/>
    <s v="MSEDCL"/>
    <n v="2.5000000000000001E-2"/>
    <s v="CE100014"/>
    <x v="305"/>
    <s v="Manual stop"/>
    <d v="1899-12-30T11:21:00"/>
    <d v="1899-12-30T11:21:00"/>
    <d v="1899-12-30T15:06:00"/>
    <n v="0"/>
    <n v="3.75"/>
    <n v="3.75"/>
    <s v="TCA audit done"/>
    <s v="Close"/>
    <n v="9.375E-2"/>
    <s v="G35"/>
    <n v="338.5009765625"/>
    <s v="None"/>
    <s v="WTG Unscheduled Maintenance"/>
    <n v="2166.40625"/>
    <n v="338.5009765625"/>
    <m/>
    <m/>
    <m/>
    <m/>
  </r>
  <r>
    <n v="1347"/>
    <x v="184"/>
    <x v="1"/>
    <x v="0"/>
    <x v="6"/>
    <x v="1"/>
    <x v="14"/>
    <s v="PWEGPL"/>
    <s v="MSEDCL"/>
    <n v="2.5000000000000001E-2"/>
    <s v="CE100014"/>
    <x v="305"/>
    <s v="Manual stop"/>
    <d v="1899-12-30T15:16:00"/>
    <d v="1899-12-30T15:16:00"/>
    <d v="1899-12-30T17:20:00"/>
    <n v="0"/>
    <n v="2.0666666666666647"/>
    <n v="2.0666666666666647"/>
    <s v="TCA audit done"/>
    <s v="Close"/>
    <n v="5.1666666666666618E-2"/>
    <s v="G35"/>
    <n v="102.81068672839487"/>
    <s v="None"/>
    <s v="WTG Unscheduled Maintenance"/>
    <n v="1193.9305555555545"/>
    <n v="102.81068672839487"/>
    <m/>
    <m/>
    <m/>
    <m/>
  </r>
  <r>
    <n v="1348"/>
    <x v="184"/>
    <x v="1"/>
    <x v="0"/>
    <x v="6"/>
    <x v="1"/>
    <x v="5"/>
    <s v="PWEGPL"/>
    <s v="MSEDCL"/>
    <n v="2.5000000000000001E-2"/>
    <n v="800"/>
    <x v="298"/>
    <s v="BD"/>
    <d v="1899-12-30T00:55:00"/>
    <m/>
    <d v="1899-12-30T20:10:00"/>
    <s v=""/>
    <n v="20.166666666666668"/>
    <n v="19.25"/>
    <s v="Solenoid valve cable Bulmm sensor cable changed"/>
    <s v="Close"/>
    <n v="0.48125000000000001"/>
    <s v="G39"/>
    <n v="8642.5983072916661"/>
    <s v="None"/>
    <s v="WTG Breakdown Maintenance"/>
    <n v="10775.1875"/>
    <n v="8642.5983072916661"/>
    <m/>
    <m/>
    <m/>
    <m/>
  </r>
  <r>
    <n v="1349"/>
    <x v="185"/>
    <x v="1"/>
    <x v="0"/>
    <x v="6"/>
    <x v="1"/>
    <x v="29"/>
    <s v="PWEGPL"/>
    <s v="MSEDCL"/>
    <n v="2.5000000000000001E-2"/>
    <n v="2118"/>
    <x v="293"/>
    <s v="BD"/>
    <d v="1899-12-30T09:48:00"/>
    <m/>
    <d v="1899-12-30T11:20:00"/>
    <s v=""/>
    <n v="11.333333333333334"/>
    <n v="1.5333333333333332"/>
    <s v="Trouble shooting and reset"/>
    <s v="Close"/>
    <n v="3.833333333333333E-2"/>
    <s v="G10"/>
    <n v="71.312955246913575"/>
    <s v="None"/>
    <s v="WTG Breakdown Maintenance"/>
    <n v="1116.2027777777778"/>
    <n v="71.312955246913575"/>
    <m/>
    <m/>
    <m/>
    <m/>
  </r>
  <r>
    <n v="1350"/>
    <x v="186"/>
    <x v="1"/>
    <x v="0"/>
    <x v="6"/>
    <x v="1"/>
    <x v="29"/>
    <s v="PWEGPL"/>
    <s v="MSEDCL"/>
    <n v="2.5000000000000001E-2"/>
    <n v="2118"/>
    <x v="293"/>
    <s v="BD"/>
    <d v="1899-12-30T13:12:00"/>
    <m/>
    <d v="1899-12-30T15:54:00"/>
    <s v=""/>
    <n v="15.899999999999999"/>
    <n v="2.7000000000000011"/>
    <s v="slipring cleaned"/>
    <s v="Close"/>
    <n v="6.7500000000000032E-2"/>
    <s v="G10"/>
    <n v="197.34890625000017"/>
    <s v="None"/>
    <s v="WTG Breakdown Maintenance"/>
    <n v="1754.2125000000008"/>
    <n v="197.34890625000017"/>
    <m/>
    <m/>
    <m/>
    <m/>
  </r>
  <r>
    <n v="1351"/>
    <x v="186"/>
    <x v="1"/>
    <x v="0"/>
    <x v="6"/>
    <x v="1"/>
    <x v="1"/>
    <s v="PWEGPL"/>
    <s v="MSEDCL"/>
    <n v="2.5000000000000001E-2"/>
    <n v="203"/>
    <x v="290"/>
    <s v="BD"/>
    <d v="1899-12-30T09:58:00"/>
    <m/>
    <d v="1899-12-30T14:29:00"/>
    <s v=""/>
    <n v="14.483333333333333"/>
    <n v="4.5166666666666657"/>
    <s v="oil topup done."/>
    <s v="Close"/>
    <n v="0.11291666666666665"/>
    <s v="G22"/>
    <n v="470.83557773919733"/>
    <s v="None"/>
    <s v="WTG Breakdown Maintenance"/>
    <n v="2501.8569444444438"/>
    <n v="470.83557773919733"/>
    <m/>
    <m/>
    <m/>
    <m/>
  </r>
  <r>
    <n v="1352"/>
    <x v="186"/>
    <x v="1"/>
    <x v="0"/>
    <x v="6"/>
    <x v="1"/>
    <x v="35"/>
    <s v="PWEGPL"/>
    <s v="MSEDCL"/>
    <n v="2.5000000000000001E-2"/>
    <s v="CE100014"/>
    <x v="305"/>
    <s v="Manual stop"/>
    <d v="1899-12-30T14:54:00"/>
    <d v="1899-12-30T14:54:00"/>
    <d v="1899-12-30T16:15:00"/>
    <n v="0"/>
    <n v="1.3500000000000005"/>
    <n v="1.3500000000000005"/>
    <s v="TCA audit done"/>
    <s v="Close"/>
    <n v="3.3750000000000016E-2"/>
    <s v="G22"/>
    <n v="42.063046875000026"/>
    <s v="None"/>
    <s v="WTG Unscheduled Maintenance"/>
    <n v="747.78750000000025"/>
    <n v="42.063046875000026"/>
    <m/>
    <m/>
    <m/>
    <m/>
  </r>
  <r>
    <n v="1353"/>
    <x v="186"/>
    <x v="1"/>
    <x v="0"/>
    <x v="6"/>
    <x v="1"/>
    <x v="36"/>
    <s v="PWEGPL"/>
    <s v="MSEDCL"/>
    <n v="2.5000000000000001E-2"/>
    <s v="CE100014"/>
    <x v="305"/>
    <s v="Manual stop"/>
    <d v="1899-12-30T14:10:00"/>
    <d v="1899-12-30T14:10:00"/>
    <d v="1899-12-30T16:50:00"/>
    <n v="0"/>
    <n v="2.6666666666666652"/>
    <n v="2.6666666666666652"/>
    <s v="TCA audit done"/>
    <s v="Close"/>
    <n v="6.6666666666666638E-2"/>
    <s v="G22"/>
    <n v="164.12345679012324"/>
    <s v="None"/>
    <s v="WTG Unscheduled Maintenance"/>
    <n v="1477.1111111111102"/>
    <n v="164.12345679012324"/>
    <m/>
    <m/>
    <m/>
    <m/>
  </r>
  <r>
    <n v="1354"/>
    <x v="186"/>
    <x v="1"/>
    <x v="0"/>
    <x v="6"/>
    <x v="1"/>
    <x v="8"/>
    <s v="PWEGPL"/>
    <s v="MSEDCL"/>
    <n v="2.5000000000000001E-2"/>
    <s v="CE100014"/>
    <x v="305"/>
    <s v="Manual stop"/>
    <d v="1899-12-30T10:30:00"/>
    <d v="1899-12-30T10:30:00"/>
    <d v="1899-12-30T16:42:00"/>
    <n v="0"/>
    <n v="6.1999999999999993"/>
    <n v="6.1999999999999993"/>
    <s v="TCA audit done"/>
    <s v="Close"/>
    <n v="0.155"/>
    <s v="G22"/>
    <n v="887.18986111111087"/>
    <s v="None"/>
    <s v="WTG Unscheduled Maintenance"/>
    <n v="3434.2833333333328"/>
    <n v="887.18986111111087"/>
    <m/>
    <m/>
    <m/>
    <m/>
  </r>
  <r>
    <n v="1355"/>
    <x v="186"/>
    <x v="1"/>
    <x v="0"/>
    <x v="6"/>
    <x v="1"/>
    <x v="9"/>
    <s v="PWEGPL"/>
    <s v="MSEDCL"/>
    <n v="2.5000000000000001E-2"/>
    <s v="CE100014"/>
    <x v="305"/>
    <s v="Manual stop"/>
    <d v="1899-12-30T11:00:00"/>
    <d v="1899-12-30T11:00:00"/>
    <d v="1899-12-30T13:50:00"/>
    <n v="0"/>
    <n v="2.8333333333333353"/>
    <n v="2.8333333333333353"/>
    <s v="TCA audit done"/>
    <s v="Close"/>
    <n v="7.0833333333333387E-2"/>
    <s v="G22"/>
    <n v="185.27999614197554"/>
    <s v="None"/>
    <s v="WTG Unscheduled Maintenance"/>
    <n v="1569.4305555555566"/>
    <n v="185.27999614197554"/>
    <m/>
    <m/>
    <m/>
    <m/>
  </r>
  <r>
    <n v="1356"/>
    <x v="186"/>
    <x v="1"/>
    <x v="0"/>
    <x v="6"/>
    <x v="1"/>
    <x v="29"/>
    <s v="PWEGPL"/>
    <s v="MSEDCL"/>
    <n v="2.5000000000000001E-2"/>
    <n v="2118"/>
    <x v="293"/>
    <s v="BD"/>
    <d v="1899-12-30T16:11:00"/>
    <d v="1899-12-30T16:11:00"/>
    <d v="1899-12-30T18:00:00"/>
    <n v="0"/>
    <n v="1.8166666666666655"/>
    <n v="1.8166666666666655"/>
    <s v="reset"/>
    <s v="Close"/>
    <n v="4.541666666666664E-2"/>
    <s v="G10"/>
    <n v="89.342415605709775"/>
    <s v="None"/>
    <s v="WTG Breakdown Maintenance"/>
    <n v="1180.3034722222217"/>
    <n v="89.342415605709775"/>
    <m/>
    <m/>
    <m/>
    <m/>
  </r>
  <r>
    <n v="1357"/>
    <x v="187"/>
    <x v="1"/>
    <x v="0"/>
    <x v="6"/>
    <x v="1"/>
    <x v="20"/>
    <s v="PWEGPL"/>
    <s v="MSEDCL"/>
    <n v="2.5000000000000001E-2"/>
    <s v="CE100014"/>
    <x v="305"/>
    <s v="Manual stop"/>
    <d v="1899-12-30T14:04:00"/>
    <d v="1899-12-30T14:04:00"/>
    <d v="1899-12-30T16:31:00"/>
    <n v="0"/>
    <n v="2.4499999999999993"/>
    <n v="2.4499999999999993"/>
    <s v="TCA audit done"/>
    <s v="Close"/>
    <n v="6.1249999999999985E-2"/>
    <s v="G03"/>
    <n v="106.37763888888882"/>
    <s v="None"/>
    <s v="WTG Unscheduled Maintenance"/>
    <n v="1042.0666666666664"/>
    <n v="106.37763888888882"/>
    <m/>
    <m/>
    <m/>
    <m/>
  </r>
  <r>
    <n v="1358"/>
    <x v="187"/>
    <x v="1"/>
    <x v="0"/>
    <x v="6"/>
    <x v="1"/>
    <x v="21"/>
    <s v="PWEGPL"/>
    <s v="MSEDCL"/>
    <n v="2.5000000000000001E-2"/>
    <s v="CE100014"/>
    <x v="305"/>
    <s v="Manual stop"/>
    <d v="1899-12-30T10:39:00"/>
    <d v="1899-12-30T10:39:00"/>
    <d v="1899-12-30T14:15:00"/>
    <n v="0"/>
    <n v="3.5999999999999992"/>
    <n v="3.5999999999999992"/>
    <s v="TCA audit done"/>
    <s v="Close"/>
    <n v="8.9999999999999983E-2"/>
    <s v="G03"/>
    <n v="229.67999999999989"/>
    <s v="None"/>
    <s v="WTG Unscheduled Maintenance"/>
    <n v="1531.1999999999996"/>
    <n v="229.67999999999989"/>
    <m/>
    <m/>
    <m/>
    <m/>
  </r>
  <r>
    <n v="1359"/>
    <x v="187"/>
    <x v="1"/>
    <x v="0"/>
    <x v="6"/>
    <x v="1"/>
    <x v="23"/>
    <s v="PWEGPL"/>
    <s v="MSEDCL"/>
    <n v="2.5000000000000001E-2"/>
    <s v="CE100014"/>
    <x v="305"/>
    <s v="Manual stop"/>
    <d v="1899-12-30T10:22:00"/>
    <d v="1899-12-30T10:22:00"/>
    <d v="1899-12-30T13:50:00"/>
    <n v="0"/>
    <n v="3.4666666666666677"/>
    <n v="3.4666666666666677"/>
    <s v="TCA audit done"/>
    <s v="Close"/>
    <n v="8.6666666666666697E-2"/>
    <s v="G03"/>
    <n v="212.98172839506185"/>
    <s v="None"/>
    <s v="WTG Unscheduled Maintenance"/>
    <n v="1474.4888888888893"/>
    <n v="212.98172839506185"/>
    <m/>
    <m/>
    <m/>
    <m/>
  </r>
  <r>
    <n v="1360"/>
    <x v="187"/>
    <x v="1"/>
    <x v="0"/>
    <x v="6"/>
    <x v="1"/>
    <x v="26"/>
    <s v="PWEGPL"/>
    <s v="MSEDCL"/>
    <n v="2.5000000000000001E-2"/>
    <s v="CE100014"/>
    <x v="305"/>
    <s v="Manual stop"/>
    <d v="1899-12-30T14:30:00"/>
    <d v="1899-12-30T14:30:00"/>
    <d v="1899-12-30T17:25:00"/>
    <n v="0"/>
    <n v="2.9166666666666696"/>
    <n v="2.9166666666666696"/>
    <s v="TCA audit done"/>
    <s v="Close"/>
    <n v="7.2916666666666741E-2"/>
    <s v="G03"/>
    <n v="150.7619598765435"/>
    <s v="None"/>
    <s v="WTG Unscheduled Maintenance"/>
    <n v="1240.5555555555568"/>
    <n v="150.7619598765435"/>
    <m/>
    <m/>
    <m/>
    <m/>
  </r>
  <r>
    <n v="1361"/>
    <x v="187"/>
    <x v="1"/>
    <x v="0"/>
    <x v="6"/>
    <x v="1"/>
    <x v="5"/>
    <s v="PWEGPL"/>
    <s v="MSEDCL"/>
    <n v="2.5000000000000001E-2"/>
    <n v="5203"/>
    <x v="294"/>
    <s v="BD"/>
    <d v="1899-12-30T16:34:00"/>
    <m/>
    <d v="1899-12-30T17:38:00"/>
    <s v=""/>
    <n v="17.633333333333333"/>
    <n v="1.0666666666666655"/>
    <s v="Reset from WTG"/>
    <s v="Close"/>
    <n v="2.6666666666666641E-2"/>
    <s v="G39"/>
    <n v="15.57728395061725"/>
    <s v="None"/>
    <s v="WTG Breakdown Maintenance"/>
    <n v="350.48888888888848"/>
    <n v="15.57728395061725"/>
    <m/>
    <m/>
    <m/>
    <m/>
  </r>
  <r>
    <n v="1362"/>
    <x v="188"/>
    <x v="1"/>
    <x v="0"/>
    <x v="6"/>
    <x v="1"/>
    <x v="27"/>
    <s v="PWEGPL"/>
    <s v="MSEDCL"/>
    <n v="2.5000000000000001E-2"/>
    <s v="CE100014"/>
    <x v="305"/>
    <s v="Manual stop"/>
    <d v="1899-12-30T10:30:00"/>
    <d v="1899-12-30T10:30:00"/>
    <d v="1899-12-30T13:00:00"/>
    <n v="0"/>
    <n v="2.4999999999999991"/>
    <n v="2.4999999999999991"/>
    <s v="TCA audit done"/>
    <s v="Close"/>
    <n v="6.2499999999999979E-2"/>
    <s v="G13"/>
    <n v="126.23697916666659"/>
    <s v="None"/>
    <s v="WTG Unscheduled Maintenance"/>
    <n v="1211.8749999999995"/>
    <n v="126.23697916666659"/>
    <m/>
    <m/>
    <m/>
    <m/>
  </r>
  <r>
    <n v="1363"/>
    <x v="188"/>
    <x v="1"/>
    <x v="0"/>
    <x v="6"/>
    <x v="1"/>
    <x v="30"/>
    <s v="PWEGPL"/>
    <s v="MSEDCL"/>
    <n v="2.5000000000000001E-2"/>
    <s v="CE100014"/>
    <x v="305"/>
    <s v="Manual stop"/>
    <d v="1899-12-30T10:08:00"/>
    <d v="1899-12-30T10:08:00"/>
    <d v="1899-12-30T13:00:00"/>
    <n v="0"/>
    <n v="2.8666666666666658"/>
    <n v="2.8666666666666658"/>
    <s v="TCA audit done"/>
    <s v="Close"/>
    <n v="7.1666666666666642E-2"/>
    <s v="G13"/>
    <n v="165.98199074074066"/>
    <s v="None"/>
    <s v="WTG Unscheduled Maintenance"/>
    <n v="1389.6166666666663"/>
    <n v="165.98199074074066"/>
    <m/>
    <m/>
    <m/>
    <m/>
  </r>
  <r>
    <n v="1364"/>
    <x v="188"/>
    <x v="1"/>
    <x v="0"/>
    <x v="6"/>
    <x v="1"/>
    <x v="18"/>
    <s v="PWEGPL"/>
    <s v="MSEDCL"/>
    <n v="2.5000000000000001E-2"/>
    <s v="CE100014"/>
    <x v="305"/>
    <s v="Manual stop"/>
    <d v="1899-12-30T13:21:00"/>
    <d v="1899-12-30T13:21:00"/>
    <d v="1899-12-30T17:00:00"/>
    <n v="0"/>
    <n v="3.6500000000000004"/>
    <n v="3.6500000000000004"/>
    <s v="TCA audit done"/>
    <s v="Close"/>
    <n v="9.1250000000000012E-2"/>
    <s v="G18"/>
    <n v="304.08143663194443"/>
    <s v="None"/>
    <s v="WTG Unscheduled Maintenance"/>
    <n v="1999.4395833333333"/>
    <n v="304.08143663194443"/>
    <m/>
    <m/>
    <m/>
    <m/>
  </r>
  <r>
    <n v="1365"/>
    <x v="188"/>
    <x v="1"/>
    <x v="0"/>
    <x v="6"/>
    <x v="1"/>
    <x v="19"/>
    <s v="PWEGPL"/>
    <s v="MSEDCL"/>
    <n v="2.5000000000000001E-2"/>
    <s v="CE100014"/>
    <x v="305"/>
    <s v="Manual stop"/>
    <d v="1899-12-30T14:00:00"/>
    <d v="1899-12-30T14:00:00"/>
    <d v="1899-12-30T17:00:00"/>
    <n v="0"/>
    <n v="3"/>
    <n v="3"/>
    <s v="TCA audit done"/>
    <s v="Close"/>
    <n v="7.5000000000000011E-2"/>
    <s v="G18"/>
    <n v="205.421875"/>
    <s v="None"/>
    <s v="WTG Unscheduled Maintenance"/>
    <n v="1643.375"/>
    <n v="205.421875"/>
    <m/>
    <m/>
    <m/>
    <m/>
  </r>
  <r>
    <n v="1366"/>
    <x v="188"/>
    <x v="1"/>
    <x v="0"/>
    <x v="6"/>
    <x v="1"/>
    <x v="8"/>
    <s v="PWEGPL"/>
    <s v="MSEDCL"/>
    <n v="2.5000000000000001E-2"/>
    <n v="203"/>
    <x v="290"/>
    <s v="BD"/>
    <d v="1899-12-30T09:27:00"/>
    <m/>
    <d v="1899-12-30T11:40:00"/>
    <s v=""/>
    <n v="11.666666666666666"/>
    <n v="2.2166666666666668"/>
    <s v=" Nacelle needel valve tightened"/>
    <s v="Close"/>
    <n v="5.541666666666667E-2"/>
    <s v="G25"/>
    <n v="91.251559124228393"/>
    <s v="None"/>
    <s v="WTG Breakdown Maintenance"/>
    <n v="987.98680555555552"/>
    <n v="91.251559124228393"/>
    <m/>
    <m/>
    <m/>
    <m/>
  </r>
  <r>
    <n v="1367"/>
    <x v="188"/>
    <x v="1"/>
    <x v="0"/>
    <x v="6"/>
    <x v="1"/>
    <x v="3"/>
    <s v="PWEGPL"/>
    <s v="MSEDCL"/>
    <n v="2.5000000000000001E-2"/>
    <n v="205"/>
    <x v="312"/>
    <s v="BD"/>
    <d v="1899-12-30T10:40:00"/>
    <m/>
    <d v="1899-12-30T11:35:00"/>
    <s v=""/>
    <n v="11.583333333333334"/>
    <n v="0.91666666666666741"/>
    <s v="Oil topup"/>
    <s v="Close"/>
    <n v="2.2916666666666686E-2"/>
    <s v="G26"/>
    <n v="13.113293306327183"/>
    <s v="None"/>
    <s v="WTG Breakdown Maintenance"/>
    <n v="343.32986111111143"/>
    <n v="13.113293306327183"/>
    <m/>
    <m/>
    <m/>
    <m/>
  </r>
  <r>
    <n v="1368"/>
    <x v="188"/>
    <x v="1"/>
    <x v="0"/>
    <x v="6"/>
    <x v="1"/>
    <x v="19"/>
    <s v="PWEGPL"/>
    <s v="MSEDCL"/>
    <n v="2.5000000000000001E-2"/>
    <s v="CE100003"/>
    <x v="380"/>
    <s v="BD/TCA"/>
    <d v="1899-12-30T17:00:00"/>
    <d v="1899-12-30T17:00:00"/>
    <d v="1899-12-30T23:59:00"/>
    <n v="0"/>
    <n v="6.9833333333333325"/>
    <n v="6.9833333333333325"/>
    <s v="Transformer mounting structure bolt broken waiting for material and technical team guidence."/>
    <s v="Open"/>
    <n v="0.17458333333333331"/>
    <s v="G18"/>
    <n v="1113.0885739776231"/>
    <s v="Material shortage-Transformer mounting M20x40 bolt found broken 04 pc."/>
    <s v="WTG Breakdown Maintenance"/>
    <n v="3825.411805555555"/>
    <n v="1113.0885739776231"/>
    <m/>
    <m/>
    <m/>
    <m/>
  </r>
  <r>
    <n v="1369"/>
    <x v="189"/>
    <x v="1"/>
    <x v="0"/>
    <x v="6"/>
    <x v="1"/>
    <x v="22"/>
    <s v="PWEGPL"/>
    <s v="MSEDCL"/>
    <n v="2.5000000000000001E-2"/>
    <s v="CE100014"/>
    <x v="305"/>
    <s v="Manual stop"/>
    <d v="1899-12-30T10:48:00"/>
    <d v="1899-12-30T10:48:00"/>
    <d v="1899-12-30T13:15:00"/>
    <n v="0"/>
    <n v="2.4500000000000006"/>
    <n v="2.4500000000000006"/>
    <s v="TCA audit done"/>
    <s v="Close"/>
    <n v="6.125000000000002E-2"/>
    <s v="G01"/>
    <n v="127.06333767361119"/>
    <s v="None"/>
    <s v="WTG Unscheduled Maintenance"/>
    <n v="1244.7020833333338"/>
    <n v="127.06333767361119"/>
    <m/>
    <m/>
    <m/>
    <m/>
  </r>
  <r>
    <n v="1370"/>
    <x v="189"/>
    <x v="1"/>
    <x v="0"/>
    <x v="6"/>
    <x v="1"/>
    <x v="23"/>
    <s v="PWEGPL"/>
    <s v="MSEDCL"/>
    <n v="2.5000000000000001E-2"/>
    <n v="2118"/>
    <x v="293"/>
    <s v="BD"/>
    <d v="1899-12-30T16:30:00"/>
    <m/>
    <d v="1899-12-30T18:10:00"/>
    <s v=""/>
    <n v="18.166666666666668"/>
    <n v="1.6666666666666687"/>
    <s v="OFC cable replacement-CCU to Gateway"/>
    <s v="Close"/>
    <n v="4.166666666666672E-2"/>
    <s v="G07"/>
    <n v="64.790702160493979"/>
    <s v="None"/>
    <s v="WTG Breakdown Maintenance"/>
    <n v="932.98611111111222"/>
    <n v="64.790702160493979"/>
    <m/>
    <m/>
    <m/>
    <m/>
  </r>
  <r>
    <n v="1371"/>
    <x v="189"/>
    <x v="1"/>
    <x v="0"/>
    <x v="6"/>
    <x v="1"/>
    <x v="0"/>
    <s v="PWEGPL"/>
    <s v="MSEDCL"/>
    <n v="2.5000000000000001E-2"/>
    <n v="5205"/>
    <x v="326"/>
    <s v="BD"/>
    <d v="1899-12-30T04:19:00"/>
    <m/>
    <d v="1899-12-30T07:49:00"/>
    <s v=""/>
    <n v="7.8166666666666664"/>
    <n v="3.5"/>
    <s v="ACB charged"/>
    <s v="Close"/>
    <n v="8.7500000000000008E-2"/>
    <s v="G16"/>
    <n v="341.0008680555556"/>
    <s v="None"/>
    <s v="WTG Breakdown Maintenance"/>
    <n v="2338.291666666667"/>
    <n v="341.0008680555556"/>
    <m/>
    <m/>
    <m/>
    <m/>
  </r>
  <r>
    <n v="1372"/>
    <x v="189"/>
    <x v="1"/>
    <x v="0"/>
    <x v="6"/>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4654.6251326196"/>
    <s v="Material shortage-Transformer mounting M20x40 bolt found broken 04 pc."/>
    <s v="WTG Breakdown Maintenance"/>
    <n v="14664.809027777779"/>
    <n v="14654.6251326196"/>
    <m/>
    <m/>
    <m/>
    <m/>
  </r>
  <r>
    <n v="1373"/>
    <x v="189"/>
    <x v="1"/>
    <x v="0"/>
    <x v="6"/>
    <x v="1"/>
    <x v="5"/>
    <s v="PWEGPL"/>
    <s v="MSEDCL"/>
    <n v="2.5000000000000001E-2"/>
    <s v="CE100001"/>
    <x v="288"/>
    <s v="Manual stop"/>
    <d v="1899-12-30T15:00:00"/>
    <d v="1899-12-30T15:00:00"/>
    <d v="1899-12-30T16:16:00"/>
    <n v="0"/>
    <n v="1.2666666666666648"/>
    <n v="1.2666666666666648"/>
    <s v="Relay replaced"/>
    <s v="Close"/>
    <n v="3.1666666666666621E-2"/>
    <s v="G39"/>
    <n v="26.283919753086344"/>
    <s v="None"/>
    <s v="WTG Unscheduled Maintenance"/>
    <n v="498.01111111111044"/>
    <n v="26.283919753086344"/>
    <m/>
    <m/>
    <m/>
    <m/>
  </r>
  <r>
    <n v="1374"/>
    <x v="189"/>
    <x v="1"/>
    <x v="0"/>
    <x v="6"/>
    <x v="1"/>
    <x v="7"/>
    <s v="PWEGPL"/>
    <s v="MSEDCL"/>
    <n v="2.5000000000000001E-2"/>
    <s v="CE100014"/>
    <x v="305"/>
    <s v="Manual stop"/>
    <d v="1899-12-30T14:02:00"/>
    <d v="1899-12-30T14:02:00"/>
    <d v="1899-12-30T16:40:00"/>
    <n v="0"/>
    <n v="2.6333333333333346"/>
    <n v="2.6333333333333346"/>
    <s v="TCA audit done"/>
    <s v="Close"/>
    <n v="6.5833333333333369E-2"/>
    <s v="G39"/>
    <n v="113.59968364197542"/>
    <s v="None"/>
    <s v="WTG Unscheduled Maintenance"/>
    <n v="1035.3388888888894"/>
    <n v="113.59968364197542"/>
    <m/>
    <m/>
    <m/>
    <m/>
  </r>
  <r>
    <n v="1375"/>
    <x v="190"/>
    <x v="1"/>
    <x v="0"/>
    <x v="6"/>
    <x v="1"/>
    <x v="21"/>
    <s v="PWEGPL"/>
    <s v="MSEDCL"/>
    <n v="2.5000000000000001E-2"/>
    <n v="5205"/>
    <x v="326"/>
    <s v="BD"/>
    <d v="1899-12-30T21:30:00"/>
    <m/>
    <d v="1899-12-30T22:28:00"/>
    <s v=""/>
    <n v="22.466666666666665"/>
    <n v="0.96666666666666323"/>
    <s v="reset"/>
    <s v="Close"/>
    <n v="2.4166666666666583E-2"/>
    <s v="G04"/>
    <n v="23.825088734567732"/>
    <s v="None"/>
    <s v="WTG Unscheduled Maintenance"/>
    <n v="591.51944444444234"/>
    <n v="23.825088734567732"/>
    <m/>
    <m/>
    <m/>
    <m/>
  </r>
  <r>
    <n v="1376"/>
    <x v="190"/>
    <x v="1"/>
    <x v="0"/>
    <x v="6"/>
    <x v="1"/>
    <x v="27"/>
    <s v="PWEGPL"/>
    <s v="MSEDCL"/>
    <n v="2.5000000000000001E-2"/>
    <s v="CE100014"/>
    <x v="305"/>
    <s v="Manual stop"/>
    <d v="1899-12-30T11:42:00"/>
    <d v="1899-12-30T11:42:00"/>
    <d v="1899-12-30T15:26:00"/>
    <n v="0"/>
    <n v="3.7333333333333347"/>
    <n v="3.7333333333333347"/>
    <s v="TCA-Gear box inspection"/>
    <s v="Close"/>
    <n v="9.3333333333333379E-2"/>
    <s v="G12"/>
    <n v="376.53777777777805"/>
    <s v="None"/>
    <s v="WTG Unscheduled Maintenance"/>
    <n v="2420.6000000000008"/>
    <n v="376.53777777777805"/>
    <m/>
    <m/>
    <m/>
    <m/>
  </r>
  <r>
    <n v="1377"/>
    <x v="190"/>
    <x v="1"/>
    <x v="0"/>
    <x v="6"/>
    <x v="1"/>
    <x v="31"/>
    <s v="PWEGPL"/>
    <s v="MSEDCL"/>
    <n v="2.5000000000000001E-2"/>
    <s v="CE100014"/>
    <x v="305"/>
    <s v="Manual stop"/>
    <d v="1899-12-30T02:33:00"/>
    <d v="1899-12-30T02:33:00"/>
    <d v="1899-12-30T07:22:00"/>
    <n v="0"/>
    <n v="4.8166666666666655"/>
    <n v="4.8166666666666655"/>
    <s v="TCA-Gear box inspection"/>
    <s v="Close"/>
    <n v="0.12041666666666664"/>
    <s v="G14"/>
    <n v="681.06509886188235"/>
    <s v="None"/>
    <s v="WTG Breakdown Maintenance"/>
    <n v="3393.54236111111"/>
    <n v="681.06509886188235"/>
    <m/>
    <m/>
    <m/>
    <m/>
  </r>
  <r>
    <n v="1378"/>
    <x v="190"/>
    <x v="1"/>
    <x v="0"/>
    <x v="6"/>
    <x v="1"/>
    <x v="19"/>
    <s v="PWEGPL"/>
    <s v="MSEDCL"/>
    <n v="2.5000000000000001E-2"/>
    <s v="CE100003"/>
    <x v="380"/>
    <s v="BD/TCA"/>
    <d v="1899-12-30T00:00:00"/>
    <d v="1899-12-30T00:00:00"/>
    <d v="1899-12-30T23:59:59"/>
    <n v="0"/>
    <n v="23.999722222222221"/>
    <n v="23.999722222222221"/>
    <s v="Transformer mounting structure bolt broken waiting for material and technical team guidence."/>
    <s v="Open"/>
    <n v="0.5999930555555556"/>
    <s v="G19"/>
    <n v="21278.50743340607"/>
    <s v="Material shortage-Transformer mounting M20x40 bolt found broken 04 pc."/>
    <s v="WTG Breakdown Maintenance"/>
    <n v="21278.753715277777"/>
    <n v="21278.50743340607"/>
    <m/>
    <m/>
    <m/>
    <m/>
  </r>
  <r>
    <n v="1379"/>
    <x v="190"/>
    <x v="1"/>
    <x v="0"/>
    <x v="6"/>
    <x v="1"/>
    <x v="34"/>
    <s v="PWEGPL"/>
    <s v="MSEDCL"/>
    <n v="2.5000000000000001E-2"/>
    <n v="429"/>
    <x v="316"/>
    <s v="BD"/>
    <d v="1899-12-30T17:30:00"/>
    <m/>
    <d v="1899-12-30T18:30:00"/>
    <s v=""/>
    <n v="18.5"/>
    <n v="1.0000000000000018"/>
    <s v="reset"/>
    <s v="Close"/>
    <n v="2.5000000000000046E-2"/>
    <s v="G23"/>
    <n v="21.935763888888967"/>
    <s v="None"/>
    <s v="WTG Breakdown Maintenance"/>
    <n v="526.45833333333428"/>
    <n v="21.935763888888967"/>
    <m/>
    <m/>
    <m/>
    <m/>
  </r>
  <r>
    <n v="1380"/>
    <x v="191"/>
    <x v="1"/>
    <x v="0"/>
    <x v="6"/>
    <x v="1"/>
    <x v="28"/>
    <s v="PWEGPL"/>
    <s v="MSEDCL"/>
    <n v="2.5000000000000001E-2"/>
    <s v="CE100014"/>
    <x v="305"/>
    <s v="Manual stop"/>
    <d v="1899-12-30T10:21:00"/>
    <d v="1899-12-30T10:21:00"/>
    <d v="1899-12-30T17:21:00"/>
    <n v="0"/>
    <n v="7.0000000000000036"/>
    <n v="7.0000000000000036"/>
    <s v="TCA-Gear box inspection"/>
    <s v="Close"/>
    <n v="0.1750000000000001"/>
    <s v="G08"/>
    <n v="1373.0208333333348"/>
    <s v="None"/>
    <s v="WTG Unscheduled Maintenance"/>
    <n v="4707.5000000000027"/>
    <n v="1373.0208333333348"/>
    <m/>
    <m/>
    <m/>
    <m/>
  </r>
  <r>
    <n v="1381"/>
    <x v="191"/>
    <x v="1"/>
    <x v="0"/>
    <x v="6"/>
    <x v="1"/>
    <x v="29"/>
    <s v="PWEGPL"/>
    <s v="MSEDCL"/>
    <n v="2.5000000000000001E-2"/>
    <s v="CE100014"/>
    <x v="305"/>
    <s v="Manual stop"/>
    <d v="1899-12-30T10:40:00"/>
    <d v="1899-12-30T10:40:00"/>
    <d v="1899-12-30T16:55:00"/>
    <n v="0"/>
    <n v="6.2500000000000018"/>
    <n v="6.2500000000000018"/>
    <s v="TCA-Gear box inspection"/>
    <s v="Close"/>
    <n v="0.15625000000000006"/>
    <s v="G09"/>
    <n v="1034.0033637152783"/>
    <s v="None"/>
    <s v="WTG Unscheduled Maintenance"/>
    <n v="3970.5729166666674"/>
    <n v="1034.0033637152783"/>
    <m/>
    <m/>
    <m/>
    <m/>
  </r>
  <r>
    <n v="1382"/>
    <x v="191"/>
    <x v="1"/>
    <x v="0"/>
    <x v="6"/>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21569.011805073307"/>
    <s v="Material shortage-Transformer mounting M20x40 bolt found broken 04 pc."/>
    <s v="WTG Breakdown Maintenance"/>
    <n v="21584.000694444447"/>
    <n v="21569.011805073307"/>
    <m/>
    <m/>
    <m/>
    <m/>
  </r>
  <r>
    <n v="1383"/>
    <x v="191"/>
    <x v="1"/>
    <x v="0"/>
    <x v="6"/>
    <x v="1"/>
    <x v="1"/>
    <s v="PWEGPL"/>
    <s v="MSEDCL"/>
    <n v="2.5000000000000001E-2"/>
    <s v="CE100002"/>
    <x v="381"/>
    <s v="Manual stop"/>
    <d v="1899-12-30T10:00:00"/>
    <d v="1899-12-30T10:00:00"/>
    <d v="1899-12-30T11:00:00"/>
    <n v="0"/>
    <n v="0.99999999999999911"/>
    <n v="0.99999999999999911"/>
    <s v="Blade inspection work"/>
    <s v="Close"/>
    <n v="2.4999999999999981E-2"/>
    <s v="G22"/>
    <n v="27.791666666666618"/>
    <s v="None"/>
    <s v="WTG Unscheduled Maintenance"/>
    <n v="666.99999999999943"/>
    <n v="27.791666666666618"/>
    <m/>
    <m/>
    <m/>
    <m/>
  </r>
  <r>
    <n v="1384"/>
    <x v="192"/>
    <x v="1"/>
    <x v="0"/>
    <x v="6"/>
    <x v="1"/>
    <x v="28"/>
    <s v="PWEGPL"/>
    <s v="MSEDCL"/>
    <n v="2.5000000000000001E-2"/>
    <n v="2509"/>
    <x v="201"/>
    <s v="BD"/>
    <d v="1899-12-30T17:45:00"/>
    <m/>
    <d v="1899-12-30T23:59:00"/>
    <s v=""/>
    <n v="23.983333333333334"/>
    <n v="6.2333333333333325"/>
    <s v="SF6 breaker WIP"/>
    <s v="Open"/>
    <n v="0.15583333333333332"/>
    <s v="G11"/>
    <n v="979.1859645061727"/>
    <s v="None"/>
    <s v="WTG Breakdown Maintenance"/>
    <n v="3770.1277777777777"/>
    <n v="979.1859645061727"/>
    <m/>
    <m/>
    <m/>
    <m/>
  </r>
  <r>
    <n v="1385"/>
    <x v="192"/>
    <x v="1"/>
    <x v="0"/>
    <x v="6"/>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8758.918781346452"/>
    <s v="Material shortage-Transformer mounting M20x40 bolt found broken 04 pc."/>
    <s v="WTG Unscheduled Maintenance"/>
    <n v="18771.954861111113"/>
    <n v="18758.918781346452"/>
    <m/>
    <m/>
    <m/>
    <m/>
  </r>
  <r>
    <n v="1386"/>
    <x v="192"/>
    <x v="1"/>
    <x v="0"/>
    <x v="6"/>
    <x v="1"/>
    <x v="2"/>
    <s v="PWEGPL"/>
    <s v="MSEDCL"/>
    <n v="2.5000000000000001E-2"/>
    <n v="205"/>
    <x v="312"/>
    <s v="BD"/>
    <d v="1899-12-30T16:43:00"/>
    <m/>
    <d v="1899-12-30T18:05:00"/>
    <s v=""/>
    <n v="18.083333333333332"/>
    <n v="1.3666666666666671"/>
    <s v="Oil topup"/>
    <s v="Close"/>
    <n v="3.4166666666666679E-2"/>
    <s v="G40"/>
    <n v="39.959419367283985"/>
    <s v="None"/>
    <s v="WTG Breakdown Maintenance"/>
    <n v="701.72638888888923"/>
    <n v="39.959419367283985"/>
    <m/>
    <m/>
    <m/>
    <m/>
  </r>
  <r>
    <n v="1387"/>
    <x v="193"/>
    <x v="1"/>
    <x v="0"/>
    <x v="6"/>
    <x v="1"/>
    <x v="28"/>
    <s v="PWEGPL"/>
    <s v="MSEDCL"/>
    <n v="2.5000000000000001E-2"/>
    <n v="2509"/>
    <x v="201"/>
    <s v="BD"/>
    <d v="1899-12-30T00:00:00"/>
    <d v="1899-12-30T10:30:00"/>
    <d v="1899-12-30T16:00:00"/>
    <n v="10.5"/>
    <n v="5.4999999999999991"/>
    <n v="16"/>
    <s v="SF6 breaker T-connector replaced"/>
    <s v="Close"/>
    <n v="0.4"/>
    <s v="G11"/>
    <n v="6976"/>
    <s v="None"/>
    <s v="WTG Breakdown Maintenance"/>
    <n v="10464"/>
    <n v="6976"/>
    <m/>
    <m/>
    <m/>
    <m/>
  </r>
  <r>
    <n v="1388"/>
    <x v="193"/>
    <x v="1"/>
    <x v="0"/>
    <x v="6"/>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2975.959044174382"/>
    <s v="Material shortage-Transformer mounting M20x40 bolt found broken 04 pc."/>
    <s v="WTG Breakdown Maintenance"/>
    <n v="12984.976388888888"/>
    <n v="12975.959044174382"/>
    <m/>
    <m/>
    <m/>
    <m/>
  </r>
  <r>
    <n v="1389"/>
    <x v="193"/>
    <x v="1"/>
    <x v="0"/>
    <x v="6"/>
    <x v="1"/>
    <x v="1"/>
    <s v="PWEGPL"/>
    <s v="MSEDCL"/>
    <n v="2.5000000000000001E-2"/>
    <n v="905"/>
    <x v="350"/>
    <s v="BD"/>
    <d v="1899-12-30T17:00:00"/>
    <m/>
    <d v="1899-12-30T18:46:00"/>
    <s v=""/>
    <n v="18.766666666666666"/>
    <n v="1.7666666666666657"/>
    <s v="Emergency circuit loose connection Tightened"/>
    <s v="Close"/>
    <n v="4.4166666666666646E-2"/>
    <s v="G22"/>
    <n v="66.572866512345598"/>
    <s v="None"/>
    <s v="WTG Breakdown Maintenance"/>
    <n v="904.38611111111061"/>
    <n v="66.572866512345598"/>
    <m/>
    <m/>
    <m/>
    <m/>
  </r>
  <r>
    <n v="1390"/>
    <x v="193"/>
    <x v="1"/>
    <x v="0"/>
    <x v="6"/>
    <x v="1"/>
    <x v="9"/>
    <s v="PWEGPL"/>
    <s v="MSEDCL"/>
    <n v="2.5000000000000001E-2"/>
    <s v="CE100014"/>
    <x v="305"/>
    <s v="Manual stop"/>
    <d v="1899-12-30T10:50:00"/>
    <d v="1899-12-30T10:50:00"/>
    <d v="1899-12-30T17:02:00"/>
    <n v="0"/>
    <n v="6.2000000000000011"/>
    <n v="6.2000000000000011"/>
    <s v="TCA-Gear box inspection"/>
    <s v="Close"/>
    <n v="0.15500000000000003"/>
    <s v="G30"/>
    <n v="711.67388888888922"/>
    <s v="None"/>
    <s v="WTG Unscheduled Maintenance"/>
    <n v="2754.8666666666672"/>
    <n v="711.67388888888922"/>
    <m/>
    <m/>
    <m/>
    <m/>
  </r>
  <r>
    <n v="1391"/>
    <x v="193"/>
    <x v="1"/>
    <x v="0"/>
    <x v="6"/>
    <x v="1"/>
    <x v="10"/>
    <s v="PWEGPL"/>
    <s v="MSEDCL"/>
    <n v="2.5000000000000001E-2"/>
    <s v="CE100014"/>
    <x v="305"/>
    <s v="Manual stop"/>
    <d v="1899-12-30T10:58:00"/>
    <d v="1899-12-30T10:58:00"/>
    <d v="1899-12-30T14:41:00"/>
    <n v="0"/>
    <n v="3.7166666666666681"/>
    <n v="3.7166666666666681"/>
    <s v="TCA-Gear box inspection"/>
    <s v="Close"/>
    <n v="9.2916666666666703E-2"/>
    <s v="G31`"/>
    <n v="268.33419222608046"/>
    <s v="None"/>
    <s v="WTG Unscheduled Maintenance"/>
    <n v="1732.7409722222228"/>
    <n v="268.33419222608046"/>
    <m/>
    <m/>
    <m/>
    <m/>
  </r>
  <r>
    <n v="1392"/>
    <x v="194"/>
    <x v="1"/>
    <x v="0"/>
    <x v="6"/>
    <x v="1"/>
    <x v="25"/>
    <s v="PWEGPL"/>
    <s v="MSEDCL"/>
    <n v="2.5000000000000001E-2"/>
    <s v="CE100014"/>
    <x v="305"/>
    <s v="Manual stop"/>
    <d v="1899-12-30T10:44:00"/>
    <d v="1899-12-30T10:44:00"/>
    <d v="1899-12-30T15:14:00"/>
    <n v="0"/>
    <n v="4.5"/>
    <n v="4.5"/>
    <s v="TCA-Gear box inspection"/>
    <s v="Close"/>
    <n v="0.1125"/>
    <s v="G01"/>
    <n v="162.421875"/>
    <s v="None"/>
    <s v="WTG Unscheduled Maintenance"/>
    <n v="866.25"/>
    <n v="162.421875"/>
    <m/>
    <m/>
    <m/>
    <m/>
  </r>
  <r>
    <n v="1393"/>
    <x v="194"/>
    <x v="1"/>
    <x v="0"/>
    <x v="6"/>
    <x v="1"/>
    <x v="17"/>
    <s v="PWEGPL"/>
    <s v="MSEDCL"/>
    <n v="2.5000000000000001E-2"/>
    <s v="CE100014"/>
    <x v="305"/>
    <s v="Manual stop"/>
    <d v="1899-12-30T10:41:00"/>
    <d v="1899-12-30T10:41:00"/>
    <d v="1899-12-30T17:18:00"/>
    <n v="0"/>
    <n v="6.6166666666666654"/>
    <n v="6.6166666666666654"/>
    <s v="TCA-Gear box inspection"/>
    <s v="Close"/>
    <n v="0.16541666666666666"/>
    <s v="G09"/>
    <n v="293.08463734567891"/>
    <s v="None"/>
    <s v="WTG Unscheduled Maintenance"/>
    <n v="1063.0777777777776"/>
    <n v="293.08463734567891"/>
    <m/>
    <m/>
    <m/>
    <m/>
  </r>
  <r>
    <n v="1394"/>
    <x v="194"/>
    <x v="1"/>
    <x v="0"/>
    <x v="6"/>
    <x v="1"/>
    <x v="0"/>
    <s v="PWEGPL"/>
    <s v="MSEDCL"/>
    <n v="2.5000000000000001E-2"/>
    <n v="804"/>
    <x v="382"/>
    <s v="BD"/>
    <d v="1899-12-30T02:00:00"/>
    <m/>
    <d v="1899-12-30T12:56:00"/>
    <s v=""/>
    <n v="12.933333333333334"/>
    <n v="10.933333333333334"/>
    <s v="proportional valve changed"/>
    <s v="Close"/>
    <n v="0.27333333333333337"/>
    <s v="G18"/>
    <n v="982.24358024691367"/>
    <s v="None"/>
    <s v="WTG Breakdown Maintenance"/>
    <n v="2156.1444444444446"/>
    <n v="982.24358024691367"/>
    <m/>
    <m/>
    <m/>
    <m/>
  </r>
  <r>
    <n v="1395"/>
    <x v="194"/>
    <x v="1"/>
    <x v="0"/>
    <x v="6"/>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5022.0177030285495"/>
    <s v="Material shortage-Transformer mounting M20x40 bolt found broken 04 pc."/>
    <s v="WTG Breakdown Maintenance"/>
    <n v="5025.5076388888892"/>
    <n v="5022.0177030285495"/>
    <m/>
    <m/>
    <m/>
    <m/>
  </r>
  <r>
    <n v="1396"/>
    <x v="194"/>
    <x v="1"/>
    <x v="0"/>
    <x v="6"/>
    <x v="1"/>
    <x v="6"/>
    <s v="PWEGPL"/>
    <s v="MSEDCL"/>
    <n v="2.5000000000000001E-2"/>
    <n v="203"/>
    <x v="290"/>
    <s v="BD"/>
    <d v="1899-12-30T02:39:00"/>
    <m/>
    <d v="1899-12-30T12:00:00"/>
    <s v=""/>
    <n v="12"/>
    <n v="9.35"/>
    <s v="solinoid valve replaced"/>
    <s v="Close"/>
    <n v="0.23375000000000001"/>
    <s v="G40"/>
    <n v="450.62049045138889"/>
    <s v="None"/>
    <s v="WTG Breakdown Maintenance"/>
    <n v="1156.6729166666667"/>
    <n v="450.62049045138889"/>
    <m/>
    <m/>
    <m/>
    <m/>
  </r>
  <r>
    <n v="1397"/>
    <x v="195"/>
    <x v="1"/>
    <x v="0"/>
    <x v="6"/>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6731.6407508680559"/>
    <s v="Material shortage-Transformer mounting M20x40 bolt found broken 04 pc."/>
    <s v="WTG Breakdown Maintenance"/>
    <n v="6736.3187500000004"/>
    <n v="6731.6407508680559"/>
    <m/>
    <m/>
    <m/>
    <m/>
  </r>
  <r>
    <n v="1398"/>
    <x v="195"/>
    <x v="1"/>
    <x v="0"/>
    <x v="6"/>
    <x v="1"/>
    <x v="34"/>
    <s v="PWEGPL"/>
    <s v="MSEDCL"/>
    <n v="2.5000000000000001E-2"/>
    <n v="110"/>
    <x v="287"/>
    <s v="BD"/>
    <d v="1899-12-30T13:05:00"/>
    <m/>
    <d v="1899-12-30T14:10:00"/>
    <s v=""/>
    <n v="14.166666666666668"/>
    <n v="1.0833333333333321"/>
    <s v="Cable twist removed"/>
    <s v="Close"/>
    <n v="2.7083333333333307E-2"/>
    <s v="G23"/>
    <n v="8.9976851851851656"/>
    <s v="None"/>
    <s v="WTG Breakdown Maintenance"/>
    <n v="199.33333333333312"/>
    <n v="8.9976851851851656"/>
    <m/>
    <m/>
    <m/>
    <m/>
  </r>
  <r>
    <n v="1399"/>
    <x v="195"/>
    <x v="1"/>
    <x v="0"/>
    <x v="6"/>
    <x v="1"/>
    <x v="9"/>
    <s v="PWEGPL"/>
    <s v="MSEDCL"/>
    <n v="2.5000000000000001E-2"/>
    <n v="110"/>
    <x v="287"/>
    <s v="BD"/>
    <d v="1899-12-30T09:40:00"/>
    <m/>
    <d v="1899-12-30T12:35:00"/>
    <s v=""/>
    <n v="12.583333333333334"/>
    <n v="2.9166666666666683"/>
    <s v="Cable twist removed"/>
    <s v="Close"/>
    <n v="7.2916666666666713E-2"/>
    <s v="G29"/>
    <n v="73.150860821759338"/>
    <s v="None"/>
    <s v="WTG Breakdown Maintenance"/>
    <n v="601.92708333333371"/>
    <n v="73.150860821759338"/>
    <m/>
    <m/>
    <m/>
    <m/>
  </r>
  <r>
    <n v="1400"/>
    <x v="195"/>
    <x v="1"/>
    <x v="0"/>
    <x v="6"/>
    <x v="1"/>
    <x v="13"/>
    <s v="PWEGPL"/>
    <s v="MSEDCL"/>
    <n v="2.5000000000000001E-2"/>
    <s v="CE100014"/>
    <x v="305"/>
    <s v="Manual stop"/>
    <d v="1899-12-30T10:41:00"/>
    <d v="1899-12-30T10:41:00"/>
    <d v="1899-12-30T15:05:00"/>
    <n v="0"/>
    <n v="4.3999999999999986"/>
    <n v="4.3999999999999986"/>
    <s v="TCA-Gear box inspection"/>
    <s v="Close"/>
    <n v="0.10999999999999997"/>
    <s v="G34"/>
    <n v="163.41722222222214"/>
    <s v="None"/>
    <s v="WTG Unscheduled Maintenance"/>
    <n v="891.36666666666645"/>
    <n v="163.41722222222214"/>
    <m/>
    <m/>
    <m/>
    <m/>
  </r>
  <r>
    <n v="1401"/>
    <x v="195"/>
    <x v="1"/>
    <x v="0"/>
    <x v="6"/>
    <x v="1"/>
    <x v="15"/>
    <s v="PWEGPL"/>
    <s v="MSEDCL"/>
    <n v="2.5000000000000001E-2"/>
    <s v="CE100014"/>
    <x v="305"/>
    <s v="Manual stop"/>
    <d v="1899-12-30T11:09:00"/>
    <d v="1899-12-30T11:09:00"/>
    <d v="1899-12-30T14:45:00"/>
    <n v="0"/>
    <n v="3.6000000000000005"/>
    <n v="3.6000000000000005"/>
    <s v="TCA-Gear box inspection"/>
    <s v="Close"/>
    <n v="9.0000000000000024E-2"/>
    <s v="G36"/>
    <n v="108.51750000000004"/>
    <s v="None"/>
    <s v="WTG Unscheduled Maintenance"/>
    <n v="723.45000000000016"/>
    <n v="108.51750000000004"/>
    <m/>
    <m/>
    <m/>
    <m/>
  </r>
  <r>
    <n v="1402"/>
    <x v="196"/>
    <x v="1"/>
    <x v="0"/>
    <x v="6"/>
    <x v="1"/>
    <x v="20"/>
    <s v="PWEGPL"/>
    <s v="MSEDCL"/>
    <n v="2.5000000000000001E-2"/>
    <s v="CE100014"/>
    <x v="305"/>
    <s v="Manual stop"/>
    <d v="1899-12-30T10:50:00"/>
    <d v="1899-12-30T10:50:00"/>
    <d v="1899-12-30T15:00:00"/>
    <n v="0"/>
    <n v="4.1666666666666661"/>
    <n v="4.1666666666666661"/>
    <s v="TCA-Gear box inspection"/>
    <s v="Close"/>
    <n v="0.10416666666666666"/>
    <s v="G04"/>
    <n v="115.86130401234564"/>
    <s v="None"/>
    <s v="WTG Unscheduled Maintenance"/>
    <n v="667.36111111111097"/>
    <n v="115.86130401234564"/>
    <m/>
    <m/>
    <m/>
    <m/>
  </r>
  <r>
    <n v="1403"/>
    <x v="196"/>
    <x v="1"/>
    <x v="0"/>
    <x v="6"/>
    <x v="1"/>
    <x v="21"/>
    <s v="PWEGPL"/>
    <s v="MSEDCL"/>
    <n v="2.5000000000000001E-2"/>
    <s v="CE100001"/>
    <x v="288"/>
    <s v="Manual stop"/>
    <d v="1899-12-30T15:30:00"/>
    <d v="1899-12-30T15:30:00"/>
    <d v="1899-12-30T16:05:00"/>
    <n v="0"/>
    <n v="0.58333333333333126"/>
    <n v="0.58333333333333126"/>
    <s v="Tower door lock repair"/>
    <s v="Close"/>
    <n v="1.4583333333333282E-2"/>
    <s v="G04"/>
    <n v="2.2708815586419591"/>
    <s v="None"/>
    <s v="WTG Unscheduled Maintenance"/>
    <n v="93.430555555555216"/>
    <n v="2.2708815586419591"/>
    <m/>
    <m/>
    <m/>
    <m/>
  </r>
  <r>
    <n v="1404"/>
    <x v="196"/>
    <x v="1"/>
    <x v="0"/>
    <x v="6"/>
    <x v="1"/>
    <x v="26"/>
    <s v="PWEGPL"/>
    <s v="MSEDCL"/>
    <n v="2.5000000000000001E-2"/>
    <s v="CE100014"/>
    <x v="305"/>
    <s v="Manual stop"/>
    <d v="1899-12-30T10:52:00"/>
    <d v="1899-12-30T10:52:00"/>
    <d v="1899-12-30T15:14:00"/>
    <n v="0"/>
    <n v="4.3666666666666654"/>
    <n v="4.3666666666666654"/>
    <s v="TCA-Gear box inspection"/>
    <s v="Close"/>
    <n v="0.10916666666666663"/>
    <s v="G04"/>
    <n v="127.25093364197522"/>
    <s v="None"/>
    <s v="WTG Unscheduled Maintenance"/>
    <n v="699.39444444444416"/>
    <n v="127.25093364197522"/>
    <m/>
    <m/>
    <m/>
    <m/>
  </r>
  <r>
    <n v="1405"/>
    <x v="196"/>
    <x v="1"/>
    <x v="0"/>
    <x v="6"/>
    <x v="1"/>
    <x v="30"/>
    <s v="PWEGPL"/>
    <s v="MSEDCL"/>
    <n v="2.5000000000000001E-2"/>
    <n v="5247"/>
    <x v="383"/>
    <s v="BD"/>
    <d v="1899-12-30T04:45:00"/>
    <m/>
    <d v="1899-12-30T16:50:00"/>
    <s v=""/>
    <n v="16.833333333333332"/>
    <n v="12.083333333333332"/>
    <s v="IGBT 06 pc &amp; crowbar card 01 pc replaced"/>
    <s v="Close"/>
    <n v="0.30208333333333331"/>
    <s v="G13"/>
    <n v="1028.6392023533949"/>
    <s v="None"/>
    <s v="WTG Breakdown Maintenance"/>
    <n v="2043.0902777777776"/>
    <n v="1028.6392023533949"/>
    <m/>
    <m/>
    <m/>
    <m/>
  </r>
  <r>
    <n v="1406"/>
    <x v="196"/>
    <x v="1"/>
    <x v="0"/>
    <x v="6"/>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4385.9021180555555"/>
    <s v="Material shortage-Transformer mounting M20x40 bolt found broken 04 pc."/>
    <s v="WTG Breakdown Maintenance"/>
    <n v="4388.95"/>
    <n v="4385.9021180555555"/>
    <m/>
    <m/>
    <m/>
    <m/>
  </r>
  <r>
    <n v="1407"/>
    <x v="196"/>
    <x v="1"/>
    <x v="0"/>
    <x v="6"/>
    <x v="1"/>
    <x v="10"/>
    <s v="PWEGPL"/>
    <s v="MSEDCL"/>
    <n v="2.5000000000000001E-2"/>
    <s v="CE100001"/>
    <x v="288"/>
    <s v="Manual stop"/>
    <d v="1899-12-30T12:40:00"/>
    <d v="1899-12-30T12:40:00"/>
    <d v="1899-12-30T14:00:00"/>
    <n v="0"/>
    <n v="1.3333333333333339"/>
    <n v="1.3333333333333339"/>
    <s v="Tower door lock repair"/>
    <s v="Close"/>
    <n v="3.3333333333333347E-2"/>
    <s v="G30"/>
    <n v="14.604938271604951"/>
    <s v="None"/>
    <s v="WTG Unscheduled Maintenance"/>
    <n v="262.88888888888897"/>
    <n v="14.604938271604951"/>
    <m/>
    <m/>
    <m/>
    <m/>
  </r>
  <r>
    <n v="1408"/>
    <x v="196"/>
    <x v="1"/>
    <x v="0"/>
    <x v="6"/>
    <x v="1"/>
    <x v="16"/>
    <s v="PWEGPL"/>
    <s v="MSEDCL"/>
    <n v="2.5000000000000001E-2"/>
    <n v="2118"/>
    <x v="293"/>
    <s v="BD"/>
    <d v="1899-12-30T02:21:00"/>
    <m/>
    <d v="1899-12-30T12:55:00"/>
    <s v=""/>
    <n v="12.916666666666666"/>
    <n v="10.566666666666666"/>
    <s v="slipring cleaned"/>
    <s v="Close"/>
    <n v="0.26416666666666666"/>
    <s v="G35"/>
    <n v="813.17776813271587"/>
    <s v="None"/>
    <s v="WTG Breakdown Maintenance"/>
    <n v="1846.9652777777776"/>
    <n v="813.17776813271587"/>
    <m/>
    <m/>
    <m/>
    <m/>
  </r>
  <r>
    <n v="1409"/>
    <x v="196"/>
    <x v="1"/>
    <x v="0"/>
    <x v="6"/>
    <x v="1"/>
    <x v="26"/>
    <s v="PWEGPL"/>
    <s v="MSEDCL"/>
    <n v="2.5000000000000001E-2"/>
    <s v="CE100001"/>
    <x v="288"/>
    <s v="Manual stop"/>
    <d v="1899-12-30T16:15:00"/>
    <d v="1899-12-30T16:15:00"/>
    <d v="1899-12-30T17:00:00"/>
    <n v="0"/>
    <n v="0.75"/>
    <n v="0.75"/>
    <s v="Tower door lock repair"/>
    <s v="Close"/>
    <n v="1.8750000000000003E-2"/>
    <s v="G04"/>
    <n v="4.1025390625"/>
    <s v="None"/>
    <s v="WTG Unscheduled Maintenance"/>
    <n v="131.28125"/>
    <n v="4.1025390625"/>
    <m/>
    <m/>
    <m/>
    <m/>
  </r>
  <r>
    <n v="1410"/>
    <x v="197"/>
    <x v="1"/>
    <x v="0"/>
    <x v="7"/>
    <x v="1"/>
    <x v="20"/>
    <s v="PWEGPL"/>
    <s v="MSEDCL"/>
    <n v="2.5000000000000001E-2"/>
    <n v="911"/>
    <x v="384"/>
    <s v="BD"/>
    <d v="1899-12-30T09:00:00"/>
    <m/>
    <d v="1899-12-30T16:31:00"/>
    <s v=""/>
    <n v="16.516666666666666"/>
    <n v="7.5166666666666666"/>
    <s v="Change Emergency Local Reset "/>
    <s v="Close"/>
    <n v="0.18791666666666668"/>
    <s v="G07"/>
    <n v="1088.663888888889"/>
    <s v="None"/>
    <s v="WTG Breakdown Maintenance"/>
    <n v="3476"/>
    <n v="1088.663888888889"/>
    <m/>
    <m/>
    <m/>
    <m/>
  </r>
  <r>
    <n v="1411"/>
    <x v="197"/>
    <x v="1"/>
    <x v="0"/>
    <x v="7"/>
    <x v="1"/>
    <x v="22"/>
    <s v="PWEGPL"/>
    <s v="MSEDCL"/>
    <n v="2.5000000000000001E-2"/>
    <n v="5205"/>
    <x v="326"/>
    <s v="BD"/>
    <d v="1899-12-30T10:09:00"/>
    <m/>
    <d v="1899-12-30T17:23:00"/>
    <s v=""/>
    <n v="17.383333333333333"/>
    <n v="7.2333333333333325"/>
    <s v="Magnetothermic Tigger of Stator Protection"/>
    <s v="Close"/>
    <n v="0.18083333333333332"/>
    <s v="G04"/>
    <n v="820.38055555555547"/>
    <s v="None"/>
    <s v="WTG Breakdown Maintenance"/>
    <n v="2722"/>
    <n v="820.38055555555547"/>
    <m/>
    <m/>
    <m/>
    <m/>
  </r>
  <r>
    <n v="1412"/>
    <x v="197"/>
    <x v="1"/>
    <x v="0"/>
    <x v="7"/>
    <x v="1"/>
    <x v="19"/>
    <s v="PWEGPL"/>
    <s v="MSEDCL"/>
    <n v="2.5000000000000001E-2"/>
    <s v="CE100003"/>
    <x v="380"/>
    <s v="BD/TCA"/>
    <d v="1899-12-30T00:00:00"/>
    <d v="1899-12-30T00:00:00"/>
    <d v="1899-12-30T23:59:59"/>
    <n v="0"/>
    <n v="23.999722222222221"/>
    <n v="23.999722222222221"/>
    <s v="Transformer mounting structure bolt broken waiting for material and technical team guidence."/>
    <s v="Open"/>
    <n v="0.5999930555555556"/>
    <s v="G19"/>
    <n v="2734.9683449074073"/>
    <s v="Material shortage-Transformer mounting M20x40 bolt found broken 04 pc."/>
    <s v="WTG Breakdown Maintenance"/>
    <n v="2735"/>
    <n v="2734.9683449074073"/>
    <m/>
    <m/>
    <m/>
    <m/>
  </r>
  <r>
    <n v="1413"/>
    <x v="197"/>
    <x v="1"/>
    <x v="0"/>
    <x v="7"/>
    <x v="1"/>
    <x v="1"/>
    <s v="PWEGPL"/>
    <s v="MSEDCL"/>
    <n v="2.5000000000000001E-2"/>
    <n v="205"/>
    <x v="312"/>
    <s v="BD"/>
    <d v="1899-12-30T07:38:00"/>
    <m/>
    <d v="1899-12-30T16:32:00"/>
    <s v=""/>
    <n v="16.533333333333335"/>
    <n v="8.9000000000000021"/>
    <s v="Low Level Hydrulic Group Refrigation "/>
    <s v="Close"/>
    <n v="0.22250000000000006"/>
    <s v="G22"/>
    <n v="891.85416666666686"/>
    <s v="None"/>
    <s v="WTG Breakdown Maintenance"/>
    <n v="2405"/>
    <n v="891.85416666666686"/>
    <m/>
    <m/>
    <m/>
    <m/>
  </r>
  <r>
    <n v="1414"/>
    <x v="197"/>
    <x v="1"/>
    <x v="0"/>
    <x v="7"/>
    <x v="1"/>
    <x v="3"/>
    <s v="PWEGPL"/>
    <s v="MSEDCL"/>
    <n v="2.5000000000000001E-2"/>
    <n v="205"/>
    <x v="312"/>
    <s v="BD"/>
    <d v="1899-12-30T08:29:00"/>
    <m/>
    <d v="1899-12-30T18:15:00"/>
    <s v=""/>
    <n v="18.25"/>
    <n v="9.7666666666666657"/>
    <s v="Low Level Hydrulic Group Refrigation "/>
    <s v="Close"/>
    <n v="0.24416666666666664"/>
    <s v="G26"/>
    <n v="854.99027777777769"/>
    <s v="None"/>
    <s v="WTG Breakdown Maintenance"/>
    <n v="2101"/>
    <n v="854.99027777777769"/>
    <m/>
    <m/>
    <m/>
    <m/>
  </r>
  <r>
    <n v="1415"/>
    <x v="197"/>
    <x v="1"/>
    <x v="0"/>
    <x v="7"/>
    <x v="1"/>
    <x v="14"/>
    <s v="PWEGPL"/>
    <s v="MSEDCL"/>
    <n v="2.5000000000000001E-2"/>
    <n v="1828"/>
    <x v="385"/>
    <s v="BD"/>
    <d v="1899-12-30T08:17:00"/>
    <m/>
    <d v="1899-12-30T16:20:00"/>
    <s v=""/>
    <n v="16.333333333333332"/>
    <n v="8.0499999999999972"/>
    <s v="Tigger Over Voltage"/>
    <s v="Close"/>
    <n v="0.20124999999999993"/>
    <s v="G35"/>
    <n v="744.96041666666645"/>
    <s v="None"/>
    <s v="WTG Breakdown Maintenance"/>
    <n v="2221"/>
    <n v="744.96041666666645"/>
    <m/>
    <m/>
    <m/>
    <m/>
  </r>
  <r>
    <n v="1416"/>
    <x v="197"/>
    <x v="1"/>
    <x v="0"/>
    <x v="7"/>
    <x v="1"/>
    <x v="7"/>
    <s v="PWEGPL"/>
    <s v="MSEDCL"/>
    <n v="2.5000000000000001E-2"/>
    <n v="900"/>
    <x v="330"/>
    <s v="BD"/>
    <d v="1899-12-30T15:44:00"/>
    <m/>
    <d v="1899-12-30T16:10:00"/>
    <s v=""/>
    <n v="16.166666666666668"/>
    <n v="0.43333333333333446"/>
    <s v="Top Emergency"/>
    <s v="Close"/>
    <n v="1.0833333333333361E-2"/>
    <s v="G39"/>
    <n v="32.084722222222311"/>
    <s v="None"/>
    <s v="WTG Breakdown Maintenance"/>
    <n v="1777"/>
    <n v="32.084722222222311"/>
    <m/>
    <m/>
    <m/>
    <m/>
  </r>
  <r>
    <n v="1417"/>
    <x v="198"/>
    <x v="1"/>
    <x v="0"/>
    <x v="7"/>
    <x v="1"/>
    <x v="20"/>
    <s v="PWEGPL"/>
    <s v="MSEDCL"/>
    <n v="2.5000000000000001E-2"/>
    <n v="2118"/>
    <x v="293"/>
    <s v="BD"/>
    <d v="1899-12-30T12:29:00"/>
    <m/>
    <d v="1899-12-30T15:45:00"/>
    <s v=""/>
    <n v="15.75"/>
    <n v="3.2666666666666684"/>
    <m/>
    <s v="Close"/>
    <n v="8.1666666666666721E-2"/>
    <s v="G07"/>
    <n v="864.7138888888893"/>
    <s v="None"/>
    <s v="WTG Breakdown Maintenance"/>
    <n v="6353"/>
    <n v="864.7138888888893"/>
    <m/>
    <m/>
    <m/>
    <m/>
  </r>
  <r>
    <n v="1418"/>
    <x v="198"/>
    <x v="1"/>
    <x v="0"/>
    <x v="7"/>
    <x v="1"/>
    <x v="34"/>
    <s v="PWEGPL"/>
    <s v="MSEDCL"/>
    <n v="2.5000000000000001E-2"/>
    <s v="CE100014"/>
    <x v="305"/>
    <s v="Manual stop"/>
    <d v="1899-12-30T11:30:00"/>
    <d v="1899-12-30T11:30:00"/>
    <d v="1899-12-30T16:00:00"/>
    <n v="0"/>
    <n v="4.4999999999999982"/>
    <n v="4.4999999999999982"/>
    <s v="TCA-Gear box inspection"/>
    <s v="Close"/>
    <n v="0.11249999999999996"/>
    <s v="G21"/>
    <n v="744.56249999999977"/>
    <s v="None"/>
    <s v="WTG Scheduled Maintenance"/>
    <n v="3971"/>
    <n v="744.56249999999977"/>
    <m/>
    <m/>
    <m/>
    <m/>
  </r>
  <r>
    <n v="1419"/>
    <x v="198"/>
    <x v="1"/>
    <x v="0"/>
    <x v="7"/>
    <x v="1"/>
    <x v="1"/>
    <s v="PWEGPL"/>
    <s v="MSEDCL"/>
    <n v="2.5000000000000001E-2"/>
    <n v="5201"/>
    <x v="299"/>
    <s v="BD"/>
    <d v="1899-12-30T08:48:00"/>
    <m/>
    <d v="1899-12-30T16:22:00"/>
    <s v=""/>
    <n v="16.366666666666667"/>
    <n v="7.5666666666666664"/>
    <m/>
    <s v="Close"/>
    <n v="0.18916666666666668"/>
    <s v="G24"/>
    <n v="1187.9666666666667"/>
    <s v="None"/>
    <s v="WTG Breakdown Maintenance"/>
    <n v="3768"/>
    <n v="1187.9666666666667"/>
    <m/>
    <m/>
    <m/>
    <m/>
  </r>
  <r>
    <n v="1420"/>
    <x v="198"/>
    <x v="1"/>
    <x v="0"/>
    <x v="7"/>
    <x v="1"/>
    <x v="3"/>
    <s v="PWEGPL"/>
    <s v="MSEDCL"/>
    <n v="2.5000000000000001E-2"/>
    <s v="CE100014"/>
    <x v="305"/>
    <s v="Manual stop"/>
    <d v="1899-12-30T11:43:00"/>
    <d v="1899-12-30T11:43:00"/>
    <d v="1899-12-30T14:48:00"/>
    <n v="0"/>
    <n v="3.0833333333333344"/>
    <n v="3.0833333333333344"/>
    <s v="TCA closing work"/>
    <s v="Close"/>
    <n v="7.7083333333333365E-2"/>
    <s v="G26"/>
    <n v="401.98958333333348"/>
    <s v="None"/>
    <s v="WTG Unscheduled Maintenance"/>
    <n v="3129"/>
    <n v="401.98958333333348"/>
    <m/>
    <m/>
    <m/>
    <m/>
  </r>
  <r>
    <n v="1421"/>
    <x v="198"/>
    <x v="1"/>
    <x v="0"/>
    <x v="7"/>
    <x v="1"/>
    <x v="19"/>
    <s v="PWEGPL"/>
    <s v="MSEDCL"/>
    <n v="2.5000000000000001E-2"/>
    <s v="CE100003"/>
    <x v="380"/>
    <s v="BD/TCA"/>
    <d v="1899-12-30T00:00:00"/>
    <d v="1899-12-30T00:00:00"/>
    <d v="1899-12-30T23:59:59"/>
    <n v="0"/>
    <n v="23.999722222222221"/>
    <n v="23.999722222222221"/>
    <s v="Transformer mounting structure bolt broken waiting for material and technical team guidence."/>
    <s v="Open"/>
    <n v="0.5999930555555556"/>
    <s v="G19"/>
    <n v="4208.9512847222222"/>
    <s v="Material shortage-Transformer mounting M20x40 bolt found broken 04 pc."/>
    <m/>
    <n v="4209"/>
    <n v="4208.9512847222222"/>
    <m/>
    <m/>
    <m/>
    <m/>
  </r>
  <r>
    <n v="1422"/>
    <x v="199"/>
    <x v="1"/>
    <x v="0"/>
    <x v="7"/>
    <x v="1"/>
    <x v="19"/>
    <s v="PWEGPL"/>
    <s v="MSEDCL"/>
    <n v="2.5000000000000001E-2"/>
    <s v="CE100003"/>
    <x v="380"/>
    <s v="BD/TCA"/>
    <d v="1899-12-30T00:00:00"/>
    <d v="1899-12-30T00:00:00"/>
    <d v="1899-12-30T23:59:59"/>
    <n v="0"/>
    <n v="23.999722222222221"/>
    <n v="23.999722222222221"/>
    <s v="Transformer mounting structure bolt broken waiting for material and technical team guidence."/>
    <s v="Open"/>
    <n v="0.5999930555555556"/>
    <s v="G19"/>
    <n v="8347.903379629628"/>
    <s v="Material shortage-Transformer mounting M20x40 bolt found broken 04 pc."/>
    <m/>
    <n v="8348"/>
    <n v="8347.903379629628"/>
    <m/>
    <m/>
    <m/>
    <m/>
  </r>
  <r>
    <n v="1423"/>
    <x v="199"/>
    <x v="1"/>
    <x v="0"/>
    <x v="7"/>
    <x v="1"/>
    <x v="33"/>
    <s v="PWEGPL"/>
    <s v="MSEDCL"/>
    <n v="2.5000000000000001E-2"/>
    <s v="CE100014"/>
    <x v="305"/>
    <s v="Manual stop"/>
    <d v="1899-12-30T11:10:00"/>
    <d v="1899-12-30T11:10:00"/>
    <d v="1899-12-30T15:27:00"/>
    <n v="0"/>
    <n v="4.2833333333333332"/>
    <n v="4.2833333333333332"/>
    <s v="TCA-Gear box inspection"/>
    <s v="Close"/>
    <n v="0.10708333333333334"/>
    <s v="G22"/>
    <n v="1323.3715277777776"/>
    <s v="None"/>
    <s v="WTG Scheduled Maintenance"/>
    <n v="7415"/>
    <n v="1323.3715277777776"/>
    <m/>
    <m/>
    <m/>
    <m/>
  </r>
  <r>
    <n v="1424"/>
    <x v="199"/>
    <x v="1"/>
    <x v="0"/>
    <x v="7"/>
    <x v="1"/>
    <x v="1"/>
    <s v="PWEGPL"/>
    <s v="MSEDCL"/>
    <n v="2.5000000000000001E-2"/>
    <n v="222"/>
    <x v="323"/>
    <s v="BD"/>
    <d v="1899-12-30T10:43:00"/>
    <m/>
    <d v="1899-12-30T11:09:00"/>
    <s v=""/>
    <n v="11.15"/>
    <n v="0.43333333333333313"/>
    <s v="Reset and start"/>
    <s v="Close"/>
    <n v="1.0833333333333328E-2"/>
    <s v="G24"/>
    <n v="131.55277777777772"/>
    <s v="None"/>
    <s v="WTG Breakdown Maintenance"/>
    <n v="7286"/>
    <n v="131.55277777777772"/>
    <m/>
    <m/>
    <m/>
    <m/>
  </r>
  <r>
    <n v="1425"/>
    <x v="199"/>
    <x v="1"/>
    <x v="0"/>
    <x v="7"/>
    <x v="1"/>
    <x v="24"/>
    <s v="PWEGPL"/>
    <s v="MSEDCL"/>
    <n v="2.5000000000000001E-2"/>
    <s v="CE100014"/>
    <x v="305"/>
    <s v="Manual stop"/>
    <d v="1899-12-30T11:45:00"/>
    <d v="1899-12-30T11:45:00"/>
    <d v="1899-12-30T16:07:00"/>
    <n v="0"/>
    <n v="4.3666666666666689"/>
    <n v="4.3666666666666689"/>
    <s v="TCA-Gear box inspection"/>
    <s v="Close"/>
    <n v="0.10916666666666673"/>
    <s v="G24"/>
    <n v="1325.6472222222228"/>
    <s v="None"/>
    <s v="WTG Scheduled Maintenance"/>
    <n v="7286"/>
    <n v="1325.6472222222228"/>
    <m/>
    <m/>
    <m/>
    <m/>
  </r>
  <r>
    <n v="1426"/>
    <x v="200"/>
    <x v="1"/>
    <x v="0"/>
    <x v="7"/>
    <x v="1"/>
    <x v="1"/>
    <s v="PWEGPL"/>
    <s v="MSEDCL"/>
    <n v="2.5000000000000001E-2"/>
    <n v="205"/>
    <x v="312"/>
    <s v="BD"/>
    <d v="1899-12-30T07:57:00"/>
    <m/>
    <d v="1899-12-30T16:10:00"/>
    <s v=""/>
    <n v="16.166666666666668"/>
    <n v="8.2166666666666686"/>
    <s v="Oil top up done."/>
    <s v="Close"/>
    <n v="0.20541666666666672"/>
    <s v="G22"/>
    <n v="5844.446527777779"/>
    <s v="None"/>
    <s v="WTG Breakdown Maintenance"/>
    <n v="17071"/>
    <n v="5844.446527777779"/>
    <m/>
    <m/>
    <m/>
    <m/>
  </r>
  <r>
    <n v="1427"/>
    <x v="200"/>
    <x v="1"/>
    <x v="0"/>
    <x v="7"/>
    <x v="1"/>
    <x v="35"/>
    <s v="PWEGPL"/>
    <s v="MSEDCL"/>
    <n v="2.5000000000000001E-2"/>
    <s v="CE100014"/>
    <x v="305"/>
    <s v="Manual stop"/>
    <d v="1899-12-30T10:54:00"/>
    <d v="1899-12-30T10:54:00"/>
    <d v="1899-12-30T17:26:00"/>
    <n v="0"/>
    <n v="6.5333333333333332"/>
    <n v="6.5333333333333332"/>
    <s v="Gear Box Inspection (TCA)"/>
    <s v="Close"/>
    <n v="0.16333333333333333"/>
    <s v="G25"/>
    <n v="4032.1555555555551"/>
    <s v="None"/>
    <s v="WTG Scheduled Maintenance"/>
    <n v="14812"/>
    <n v="4032.1555555555551"/>
    <m/>
    <m/>
    <m/>
    <m/>
  </r>
  <r>
    <n v="1428"/>
    <x v="200"/>
    <x v="1"/>
    <x v="0"/>
    <x v="7"/>
    <x v="1"/>
    <x v="40"/>
    <s v="PWEGPL"/>
    <s v="MSEDCL"/>
    <n v="2.5000000000000001E-2"/>
    <s v="CE100014"/>
    <x v="305"/>
    <s v="Manual stop"/>
    <d v="1899-12-30T10:00:00"/>
    <d v="1899-12-30T10:00:00"/>
    <d v="1899-12-30T16:00:00"/>
    <n v="0"/>
    <n v="5.9999999999999982"/>
    <n v="5.9999999999999982"/>
    <s v="Gear Box Inspection (TCA)"/>
    <s v="Close"/>
    <n v="0.14999999999999997"/>
    <s v="G27"/>
    <n v="3891.7499999999986"/>
    <s v="None"/>
    <s v="WTG Scheduled Maintenance"/>
    <n v="15567"/>
    <n v="3891.7499999999986"/>
    <m/>
    <m/>
    <m/>
    <m/>
  </r>
  <r>
    <n v="1429"/>
    <x v="200"/>
    <x v="1"/>
    <x v="0"/>
    <x v="7"/>
    <x v="1"/>
    <x v="41"/>
    <s v="PWEGPL"/>
    <s v="MSEDCL"/>
    <n v="2.5000000000000001E-2"/>
    <n v="110"/>
    <x v="287"/>
    <s v="BD"/>
    <d v="1899-12-30T11:03:00"/>
    <m/>
    <d v="1899-12-30T12:28:00"/>
    <s v=""/>
    <n v="12.466666666666669"/>
    <n v="1.416666666666667"/>
    <s v="Yaw sensor wiring "/>
    <s v="Close"/>
    <n v="3.5416666666666673E-2"/>
    <s v="G31"/>
    <n v="1004.6527777777779"/>
    <s v="None"/>
    <s v="WTG Breakdown Maintenance"/>
    <n v="17020"/>
    <n v="1004.6527777777779"/>
    <m/>
    <m/>
    <m/>
    <m/>
  </r>
  <r>
    <n v="1430"/>
    <x v="200"/>
    <x v="1"/>
    <x v="0"/>
    <x v="7"/>
    <x v="1"/>
    <x v="42"/>
    <s v="PWEGPL"/>
    <s v="MSEDCL"/>
    <n v="2.5000000000000001E-2"/>
    <s v="CE100001"/>
    <x v="288"/>
    <s v="Manual stop"/>
    <d v="1899-12-30T11:30:00"/>
    <d v="1899-12-30T11:30:00"/>
    <d v="1899-12-30T23:59:00"/>
    <n v="0"/>
    <n v="12.483333333333334"/>
    <n v="12.483333333333334"/>
    <s v="Pitch Cylinder oil leak repaired"/>
    <s v="Close"/>
    <n v="0.31208333333333338"/>
    <s v="G18 "/>
    <n v="10144.268750000001"/>
    <s v="None"/>
    <s v="WTG Unscheduled Maintenance"/>
    <n v="19503"/>
    <n v="10144.268750000001"/>
    <m/>
    <m/>
    <m/>
    <m/>
  </r>
  <r>
    <n v="1431"/>
    <x v="200"/>
    <x v="1"/>
    <x v="0"/>
    <x v="7"/>
    <x v="1"/>
    <x v="4"/>
    <s v="PWEGPL"/>
    <s v="MSEDCL"/>
    <n v="2.5000000000000001E-2"/>
    <n v="110"/>
    <x v="287"/>
    <s v="BD"/>
    <d v="1899-12-30T12:36:00"/>
    <m/>
    <d v="1899-12-30T17:53:00"/>
    <s v=""/>
    <n v="17.883333333333333"/>
    <n v="5.2833333333333332"/>
    <s v="Yaw sensor wiring "/>
    <s v="Close"/>
    <n v="0.13208333333333333"/>
    <s v="G38"/>
    <n v="2660.598611111111"/>
    <s v="None"/>
    <s v="WTG Breakdown Maintenance"/>
    <n v="12086"/>
    <n v="2660.598611111111"/>
    <m/>
    <m/>
    <m/>
    <m/>
  </r>
  <r>
    <n v="1432"/>
    <x v="200"/>
    <x v="1"/>
    <x v="0"/>
    <x v="7"/>
    <x v="1"/>
    <x v="19"/>
    <s v="PWEGPL"/>
    <s v="MSEDCL"/>
    <n v="2.5000000000000001E-2"/>
    <s v="CE100003"/>
    <x v="380"/>
    <s v="BD/TCA"/>
    <d v="1899-12-30T00:00:00"/>
    <d v="1899-12-30T00:00:00"/>
    <d v="1899-12-30T23:59:59"/>
    <n v="0"/>
    <n v="23.999722222222221"/>
    <n v="23.999722222222221"/>
    <s v="Transformer mounting structure bolt broken waiting for material and technical team guidence."/>
    <s v="Open"/>
    <n v="0.5999930555555556"/>
    <s v="G18"/>
    <n v="19502.774270833332"/>
    <s v="None"/>
    <s v="WTG Breakdown Maintenance"/>
    <n v="19503"/>
    <n v="19502.774270833332"/>
    <m/>
    <m/>
    <m/>
    <m/>
  </r>
  <r>
    <n v="1433"/>
    <x v="201"/>
    <x v="1"/>
    <x v="0"/>
    <x v="7"/>
    <x v="1"/>
    <x v="0"/>
    <s v="PWEGPL"/>
    <s v="MSEDCL"/>
    <n v="2.5000000000000001E-2"/>
    <s v="CE100001"/>
    <x v="288"/>
    <s v="Manual stop"/>
    <d v="1899-12-30T00:00:00"/>
    <d v="1899-12-30T00:00:00"/>
    <d v="1899-12-30T15:40:00"/>
    <n v="0"/>
    <n v="15.666666666666668"/>
    <n v="15.666666666666668"/>
    <s v="Pitch cylender oil leakage arrested."/>
    <s v="Close"/>
    <n v="0.39166666666666672"/>
    <s v="G18"/>
    <n v="21125.847222222223"/>
    <s v="None"/>
    <s v="WTG Unscheduled Maintenance"/>
    <n v="32363"/>
    <n v="21125.847222222223"/>
    <m/>
    <m/>
    <m/>
    <m/>
  </r>
  <r>
    <n v="1434"/>
    <x v="201"/>
    <x v="1"/>
    <x v="0"/>
    <x v="7"/>
    <x v="1"/>
    <x v="35"/>
    <s v="PWEGPL"/>
    <s v="MSEDCL"/>
    <n v="2.5000000000000001E-2"/>
    <s v="CE100014"/>
    <x v="305"/>
    <s v="Manual stop"/>
    <d v="1899-12-30T11:40:00"/>
    <d v="1899-12-30T11:40:00"/>
    <d v="1899-12-30T15:10:00"/>
    <n v="0"/>
    <n v="3.4999999999999996"/>
    <n v="3.4999999999999996"/>
    <s v="Gear Box Inspection (TCA)"/>
    <s v="Close"/>
    <n v="8.7499999999999994E-2"/>
    <s v="G25"/>
    <n v="3344.8333333333326"/>
    <s v="None"/>
    <s v="WTG Scheduled Maintenance"/>
    <n v="22936"/>
    <n v="3344.8333333333326"/>
    <m/>
    <m/>
    <m/>
    <m/>
  </r>
  <r>
    <n v="1435"/>
    <x v="201"/>
    <x v="1"/>
    <x v="0"/>
    <x v="7"/>
    <x v="1"/>
    <x v="27"/>
    <s v="PWEGPL"/>
    <s v="MSEDCL"/>
    <n v="2.5000000000000001E-2"/>
    <n v="509"/>
    <x v="301"/>
    <s v="BD"/>
    <d v="1899-12-30T07:57:00"/>
    <d v="1899-12-30T10:10:00"/>
    <d v="1899-12-30T10:37:00"/>
    <n v="2.2166666666666668"/>
    <n v="0.45000000000000107"/>
    <n v="2.6666666666666679"/>
    <s v="Checked &amp; Reset"/>
    <s v="Close"/>
    <n v="6.6666666666666693E-2"/>
    <s v="G12"/>
    <n v="2314.3333333333344"/>
    <s v="None"/>
    <s v="WTG Breakdown Maintenance"/>
    <n v="20829"/>
    <n v="2314.3333333333344"/>
    <m/>
    <m/>
    <m/>
    <m/>
  </r>
  <r>
    <n v="1436"/>
    <x v="201"/>
    <x v="1"/>
    <x v="0"/>
    <x v="7"/>
    <x v="1"/>
    <x v="19"/>
    <s v="PWEGPL"/>
    <s v="MSEDCL"/>
    <n v="2.5000000000000001E-2"/>
    <s v="CE100003"/>
    <x v="380"/>
    <s v="BD/TCA"/>
    <d v="1899-12-30T00:00:00"/>
    <d v="1899-12-30T00:00:00"/>
    <d v="1899-12-30T23:59:59"/>
    <n v="0"/>
    <n v="23.999722222222221"/>
    <n v="23.999722222222221"/>
    <s v="Transformer mounting structure bolt broken waiting for material and technical team guidence."/>
    <s v="Close"/>
    <n v="0.5999930555555556"/>
    <s v="G19"/>
    <n v="28881.665717592594"/>
    <s v="Material shortage-Transformer mounting M20x40 bolt found broken 04 pc."/>
    <m/>
    <n v="28882"/>
    <n v="28881.665717592594"/>
    <m/>
    <m/>
    <m/>
    <m/>
  </r>
  <r>
    <n v="1437"/>
    <x v="202"/>
    <x v="1"/>
    <x v="0"/>
    <x v="7"/>
    <x v="1"/>
    <x v="21"/>
    <s v="PWEGPL"/>
    <s v="MSEDCL"/>
    <n v="2.5000000000000001E-2"/>
    <s v="CE100014"/>
    <x v="305"/>
    <s v="Manual stop"/>
    <d v="1899-12-30T11:26:00"/>
    <d v="1899-12-30T11:26:00"/>
    <d v="1899-12-30T14:30:00"/>
    <n v="0"/>
    <n v="3.0666666666666651"/>
    <n v="3.0666666666666651"/>
    <s v="Gear Box Inspection (TCA)"/>
    <s v="Close"/>
    <n v="7.6666666666666633E-2"/>
    <s v="G03"/>
    <n v="3540.4666666666649"/>
    <s v="None"/>
    <s v="WTG Scheduled Maintenance"/>
    <n v="27708"/>
    <n v="3540.4666666666649"/>
    <m/>
    <m/>
    <m/>
    <m/>
  </r>
  <r>
    <n v="1438"/>
    <x v="202"/>
    <x v="1"/>
    <x v="0"/>
    <x v="7"/>
    <x v="1"/>
    <x v="23"/>
    <s v="PWEGPL"/>
    <s v="MSEDCL"/>
    <n v="2.5000000000000001E-2"/>
    <s v="CE100014"/>
    <x v="305"/>
    <s v="Manual stop"/>
    <d v="1899-12-30T11:26:00"/>
    <d v="1899-12-30T11:26:00"/>
    <d v="1899-12-30T14:30:00"/>
    <n v="0"/>
    <n v="3.0666666666666651"/>
    <n v="3.0666666666666651"/>
    <s v="Gear Box Inspection (TCA)"/>
    <s v="Close"/>
    <n v="7.6666666666666633E-2"/>
    <s v="G06"/>
    <n v="4161.7222222222199"/>
    <s v="None"/>
    <s v="WTG Scheduled Maintenance"/>
    <n v="32570"/>
    <n v="4161.7222222222199"/>
    <m/>
    <m/>
    <m/>
    <m/>
  </r>
  <r>
    <n v="1439"/>
    <x v="202"/>
    <x v="1"/>
    <x v="0"/>
    <x v="7"/>
    <x v="1"/>
    <x v="39"/>
    <s v="PWEGPL"/>
    <s v="MSEDCL"/>
    <n v="2.5000000000000001E-2"/>
    <s v="CE100001"/>
    <x v="288"/>
    <s v="Manual stop"/>
    <d v="1899-12-30T15:10:00"/>
    <d v="1899-12-30T15:10:00"/>
    <d v="1899-12-30T15:20:00"/>
    <n v="0"/>
    <n v="0.16666666666666874"/>
    <n v="0.16666666666666874"/>
    <s v="Manual stop to check connections "/>
    <s v="Close"/>
    <n v="4.1666666666667187E-3"/>
    <s v="G14"/>
    <n v="210.24305555555816"/>
    <s v="None"/>
    <s v="WTG Unscheduled Maintenance"/>
    <n v="30275"/>
    <n v="210.24305555555816"/>
    <m/>
    <m/>
    <m/>
    <m/>
  </r>
  <r>
    <n v="1440"/>
    <x v="202"/>
    <x v="1"/>
    <x v="0"/>
    <x v="7"/>
    <x v="1"/>
    <x v="37"/>
    <s v="PWEGPL"/>
    <s v="MSEDCL"/>
    <n v="2.5000000000000001E-2"/>
    <s v="CE100014"/>
    <x v="305"/>
    <s v="Manual stop"/>
    <d v="1899-12-30T19:30:00"/>
    <d v="1899-12-30T19:30:00"/>
    <d v="1899-12-30T23:59:00"/>
    <n v="0"/>
    <n v="4.4833333333333334"/>
    <n v="4.4833333333333334"/>
    <s v="Checked &amp; disconnected broken yaw gear unit connection to avoid run with broken gears 19:30 to 23:59 hrs (TCA Pending work)"/>
    <s v="Close"/>
    <n v="0.11208333333333334"/>
    <s v="G17"/>
    <n v="5602.1118055555562"/>
    <s v="None"/>
    <s v="WTG Unscheduled Maintenance"/>
    <n v="29989"/>
    <n v="5602.1118055555562"/>
    <m/>
    <m/>
    <m/>
    <m/>
  </r>
  <r>
    <n v="1441"/>
    <x v="202"/>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32607.340277777777"/>
    <s v="Material shortage-Transformer mounting M20x40 bolt found broken 04 pc."/>
    <m/>
    <n v="32630"/>
    <n v="32607.340277777777"/>
    <m/>
    <m/>
    <m/>
    <m/>
  </r>
  <r>
    <n v="1442"/>
    <x v="202"/>
    <x v="1"/>
    <x v="0"/>
    <x v="7"/>
    <x v="1"/>
    <x v="12"/>
    <s v="PWEGPL"/>
    <s v="MSEDCL"/>
    <n v="2.5000000000000001E-2"/>
    <n v="5222"/>
    <x v="315"/>
    <s v="BD"/>
    <d v="1899-12-30T11:04:00"/>
    <m/>
    <d v="1899-12-30T13:27:00"/>
    <s v=""/>
    <n v="13.45"/>
    <n v="2.3833333333333342"/>
    <s v="Checked encoder , motor sensor &amp; CCU connections , reset"/>
    <s v="Close"/>
    <n v="5.9583333333333356E-2"/>
    <s v="G30"/>
    <n v="2625.9368055555565"/>
    <s v="None"/>
    <s v="WTG Breakdown Maintenance"/>
    <n v="26443"/>
    <n v="2625.9368055555565"/>
    <m/>
    <m/>
    <m/>
    <m/>
  </r>
  <r>
    <n v="1443"/>
    <x v="202"/>
    <x v="1"/>
    <x v="0"/>
    <x v="7"/>
    <x v="1"/>
    <x v="16"/>
    <s v="PWEGPL"/>
    <s v="MSEDCL"/>
    <n v="2.5000000000000001E-2"/>
    <n v="2107"/>
    <x v="386"/>
    <s v="BD"/>
    <d v="1899-12-30T12:05:00"/>
    <m/>
    <d v="1899-12-30T15:45:00"/>
    <s v=""/>
    <n v="15.75"/>
    <n v="3.666666666666667"/>
    <s v="Reboot and reset the turbine "/>
    <s v="Close"/>
    <n v="9.1666666666666674E-2"/>
    <s v="G35"/>
    <n v="4206.7361111111113"/>
    <s v="None"/>
    <s v="WTG Breakdown Maintenance"/>
    <n v="27535"/>
    <n v="4206.7361111111113"/>
    <m/>
    <m/>
    <m/>
    <m/>
  </r>
  <r>
    <n v="1444"/>
    <x v="203"/>
    <x v="1"/>
    <x v="0"/>
    <x v="7"/>
    <x v="1"/>
    <x v="30"/>
    <s v="PWEGPL"/>
    <s v="MSEDCL"/>
    <n v="2.5000000000000001E-2"/>
    <s v="CE100014"/>
    <x v="305"/>
    <s v="Manual stop"/>
    <d v="1899-12-30T09:46:00"/>
    <d v="1899-12-30T09:46:00"/>
    <d v="1899-12-30T12:06:00"/>
    <n v="0"/>
    <n v="2.3333333333333317"/>
    <n v="2.3333333333333317"/>
    <s v="GB inspection work TCA work"/>
    <s v="Close"/>
    <n v="5.8333333333333293E-2"/>
    <s v="G13"/>
    <n v="2413.152777777776"/>
    <s v="None"/>
    <s v="WTG Scheduled Maintenance"/>
    <n v="24821"/>
    <n v="2413.152777777776"/>
    <m/>
    <m/>
    <m/>
    <m/>
  </r>
  <r>
    <n v="1445"/>
    <x v="203"/>
    <x v="1"/>
    <x v="0"/>
    <x v="7"/>
    <x v="1"/>
    <x v="32"/>
    <s v="PWEGPL"/>
    <s v="MSEDCL"/>
    <n v="2.5000000000000001E-2"/>
    <n v="205"/>
    <x v="312"/>
    <s v="BD"/>
    <d v="1899-12-30T04:41:00"/>
    <m/>
    <d v="1899-12-30T11:24:00"/>
    <s v=""/>
    <n v="11.4"/>
    <n v="6.7166666666666668"/>
    <s v="Top up Hyd Oil 10 Ltrs"/>
    <s v="Close"/>
    <n v="0.16791666666666669"/>
    <s v="G15"/>
    <n v="9153.1375000000007"/>
    <s v="None"/>
    <s v="WTG Breakdown Maintenance"/>
    <n v="32706"/>
    <n v="9153.1375000000007"/>
    <m/>
    <m/>
    <m/>
    <m/>
  </r>
  <r>
    <n v="1446"/>
    <x v="203"/>
    <x v="1"/>
    <x v="0"/>
    <x v="7"/>
    <x v="1"/>
    <x v="1"/>
    <s v="PWEGPL"/>
    <s v="MSEDCL"/>
    <n v="2.5000000000000001E-2"/>
    <n v="115"/>
    <x v="308"/>
    <s v="BD"/>
    <d v="1899-12-30T16:26:00"/>
    <m/>
    <d v="1899-12-30T19:42:00"/>
    <s v=""/>
    <n v="19.7"/>
    <n v="3.2666666666666657"/>
    <s v="Checked the valves and reset"/>
    <s v="Close"/>
    <n v="8.1666666666666651E-2"/>
    <s v="G22"/>
    <n v="3243.6638888888879"/>
    <s v="None"/>
    <s v="WTG Breakdown Maintenance"/>
    <n v="23831"/>
    <n v="3243.6638888888879"/>
    <m/>
    <m/>
    <m/>
    <m/>
  </r>
  <r>
    <n v="1447"/>
    <x v="203"/>
    <x v="1"/>
    <x v="0"/>
    <x v="7"/>
    <x v="1"/>
    <x v="12"/>
    <s v="PWEGPL"/>
    <s v="MSEDCL"/>
    <n v="2.5000000000000001E-2"/>
    <n v="5222"/>
    <x v="315"/>
    <s v="BD"/>
    <d v="1899-12-30T14:38:00"/>
    <m/>
    <d v="1899-12-30T15:35:00"/>
    <s v=""/>
    <n v="15.583333333333334"/>
    <n v="0.95000000000000195"/>
    <s v="Checked encoder , motor sensor &amp; CCU connections , reset"/>
    <m/>
    <n v="2.3750000000000049E-2"/>
    <s v="G30"/>
    <n v="883.34166666666852"/>
    <s v="None"/>
    <s v="WTG Breakdown Maintenance"/>
    <n v="22316"/>
    <n v="883.34166666666852"/>
    <m/>
    <m/>
    <m/>
    <m/>
  </r>
  <r>
    <n v="1448"/>
    <x v="203"/>
    <x v="1"/>
    <x v="0"/>
    <x v="7"/>
    <x v="1"/>
    <x v="16"/>
    <s v="PWEGPL"/>
    <s v="MSEDCL"/>
    <n v="2.5000000000000001E-2"/>
    <n v="2107"/>
    <x v="386"/>
    <s v="BD"/>
    <d v="1899-12-30T08:36:00"/>
    <m/>
    <d v="1899-12-30T23:59:00"/>
    <s v=""/>
    <n v="23.983333333333334"/>
    <n v="15.383333333333335"/>
    <s v="Inspecting going on"/>
    <s v="Open"/>
    <n v="0.38458333333333339"/>
    <s v="G35"/>
    <n v="12631.639583333334"/>
    <s v="Material shortage Generator speed sensor failed."/>
    <s v="WTG Breakdown Maintenance"/>
    <n v="19707"/>
    <n v="12631.639583333334"/>
    <m/>
    <m/>
    <m/>
    <m/>
  </r>
  <r>
    <n v="1449"/>
    <x v="203"/>
    <x v="1"/>
    <x v="0"/>
    <x v="7"/>
    <x v="1"/>
    <x v="5"/>
    <s v="PWEGPL"/>
    <s v="MSEDCL"/>
    <n v="2.5000000000000001E-2"/>
    <s v="CE100014"/>
    <x v="305"/>
    <s v="Manual stop"/>
    <d v="1899-12-30T12:35:00"/>
    <d v="1899-12-30T12:35:00"/>
    <d v="1899-12-30T16:23:00"/>
    <n v="0"/>
    <n v="3.8"/>
    <n v="3.8"/>
    <s v="GB inspection work TCA work"/>
    <s v="Close"/>
    <n v="9.5000000000000001E-2"/>
    <s v="G37"/>
    <n v="3336.875"/>
    <s v="None"/>
    <s v="WTG Scheduled Maintenance"/>
    <n v="21075"/>
    <n v="3336.875"/>
    <m/>
    <m/>
    <m/>
    <m/>
  </r>
  <r>
    <n v="1450"/>
    <x v="203"/>
    <x v="1"/>
    <x v="0"/>
    <x v="7"/>
    <x v="1"/>
    <x v="6"/>
    <s v="PWEGPL"/>
    <s v="MSEDCL"/>
    <n v="2.5000000000000001E-2"/>
    <s v="CE100014"/>
    <x v="305"/>
    <s v="Manual stop"/>
    <d v="1899-12-30T14:56:00"/>
    <d v="1899-12-30T14:56:00"/>
    <d v="1899-12-30T19:18:00"/>
    <n v="0"/>
    <n v="4.3666666666666671"/>
    <n v="4.3666666666666671"/>
    <s v="GB inspection work TCA work"/>
    <s v="Close"/>
    <n v="0.10916666666666669"/>
    <s v="G40"/>
    <n v="2454.6125000000002"/>
    <s v="None"/>
    <s v="WTG Scheduled Maintenance"/>
    <n v="13491"/>
    <n v="2454.6125000000002"/>
    <m/>
    <m/>
    <m/>
    <m/>
  </r>
  <r>
    <n v="1451"/>
    <x v="203"/>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28000.541666666668"/>
    <s v="Material shortage-Transformer mounting M20x40 bolt found broken 04 pc."/>
    <s v="WTG Breakdown Maintenance"/>
    <n v="28020"/>
    <n v="28000.541666666668"/>
    <m/>
    <m/>
    <m/>
    <m/>
  </r>
  <r>
    <n v="1452"/>
    <x v="204"/>
    <x v="1"/>
    <x v="0"/>
    <x v="7"/>
    <x v="1"/>
    <x v="28"/>
    <s v="PWEGPL"/>
    <s v="MSEDCL"/>
    <n v="2.5000000000000001E-2"/>
    <n v="1821"/>
    <x v="289"/>
    <s v="BD"/>
    <d v="1899-12-30T21:50:00"/>
    <d v="1899-12-30T22:59:00"/>
    <d v="1899-12-30T23:59:00"/>
    <n v="1.1500000000000012"/>
    <n v="0.99999999999999911"/>
    <n v="2.1500000000000004"/>
    <s v="Earth bresh failed /Reset "/>
    <s v="Open"/>
    <n v="5.3750000000000013E-2"/>
    <s v="G09"/>
    <n v="1937.5083333333337"/>
    <s v="None"/>
    <s v="WTG Breakdown Maintenance"/>
    <n v="21628"/>
    <n v="1937.5083333333337"/>
    <m/>
    <m/>
    <m/>
    <m/>
  </r>
  <r>
    <n v="1453"/>
    <x v="204"/>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30342.913888888892"/>
    <s v="Material shortage-Transformer mounting M20x40 bolt found broken 04 pc."/>
    <s v="WTG Breakdown Maintenance"/>
    <n v="30364"/>
    <n v="30342.913888888892"/>
    <m/>
    <m/>
    <m/>
    <m/>
  </r>
  <r>
    <n v="1454"/>
    <x v="204"/>
    <x v="1"/>
    <x v="0"/>
    <x v="7"/>
    <x v="1"/>
    <x v="2"/>
    <s v="PWEGPL"/>
    <s v="MSEDCL"/>
    <n v="2.5000000000000001E-2"/>
    <n v="205"/>
    <x v="312"/>
    <s v="BD"/>
    <d v="1899-12-30T12:36:00"/>
    <m/>
    <d v="1899-12-30T15:20:00"/>
    <s v=""/>
    <n v="15.333333333333336"/>
    <n v="2.7333333333333343"/>
    <s v="Hyd Oil top up"/>
    <s v="Close"/>
    <n v="6.8333333333333357E-2"/>
    <s v="G32"/>
    <n v="1582.8277777777785"/>
    <s v="None"/>
    <s v="WTG Breakdown Maintenance"/>
    <n v="13898"/>
    <n v="1582.8277777777785"/>
    <m/>
    <m/>
    <m/>
    <m/>
  </r>
  <r>
    <n v="1455"/>
    <x v="204"/>
    <x v="1"/>
    <x v="0"/>
    <x v="7"/>
    <x v="1"/>
    <x v="16"/>
    <s v="PWEGPL"/>
    <s v="MSEDCL"/>
    <n v="2.5000000000000001E-2"/>
    <n v="5222"/>
    <x v="315"/>
    <s v="BD"/>
    <d v="1899-12-30T00:00:00"/>
    <m/>
    <d v="1899-12-30T17:41:00"/>
    <s v=""/>
    <n v="17.683333333333334"/>
    <n v="17.683333333333334"/>
    <s v="wiring was damaged, rectified and resumed"/>
    <s v="Close"/>
    <n v="0.44208333333333338"/>
    <s v="G40"/>
    <n v="12021.719444444445"/>
    <s v="None"/>
    <s v="WTG Breakdown Maintenance"/>
    <n v="16316"/>
    <n v="12021.719444444445"/>
    <m/>
    <m/>
    <m/>
    <m/>
  </r>
  <r>
    <n v="1456"/>
    <x v="205"/>
    <x v="1"/>
    <x v="0"/>
    <x v="7"/>
    <x v="1"/>
    <x v="28"/>
    <s v="PWEGPL"/>
    <s v="MSEDCL"/>
    <n v="2.5000000000000001E-2"/>
    <n v="1821"/>
    <x v="289"/>
    <s v="BD"/>
    <d v="1899-12-30T00:00:00"/>
    <m/>
    <d v="1899-12-30T01:29:00"/>
    <s v=""/>
    <n v="1.4833333333333334"/>
    <n v="1.4833333333333334"/>
    <s v="Cooling fan connection loose found then corrected"/>
    <s v="Close"/>
    <n v="3.7083333333333336E-2"/>
    <s v="G09"/>
    <n v="1476.9673611111111"/>
    <s v="None"/>
    <s v="WTG Breakdown Maintenance"/>
    <n v="23897"/>
    <n v="1476.9673611111111"/>
    <m/>
    <m/>
    <m/>
    <m/>
  </r>
  <r>
    <n v="1457"/>
    <x v="205"/>
    <x v="1"/>
    <x v="0"/>
    <x v="7"/>
    <x v="1"/>
    <x v="7"/>
    <s v="PWEGPL"/>
    <s v="MSEDCL"/>
    <n v="2.5000000000000001E-2"/>
    <n v="203"/>
    <x v="290"/>
    <s v="BD"/>
    <d v="1899-12-30T04:31:00"/>
    <d v="1899-12-30T05:15:00"/>
    <d v="1899-12-30T07:25:00"/>
    <n v="0.73333333333333339"/>
    <n v="2.166666666666667"/>
    <n v="2.9000000000000004"/>
    <s v="Baluff sensor cable connector found loosen and then properly tightned"/>
    <s v="Close"/>
    <n v="7.2500000000000009E-2"/>
    <s v="G39"/>
    <n v="2145.8791666666671"/>
    <s v="None"/>
    <s v="WTG Breakdown Maintenance"/>
    <n v="17759"/>
    <n v="2145.8791666666671"/>
    <m/>
    <m/>
    <m/>
    <m/>
  </r>
  <r>
    <n v="1458"/>
    <x v="205"/>
    <x v="1"/>
    <x v="0"/>
    <x v="7"/>
    <x v="1"/>
    <x v="35"/>
    <s v="PWEGPL"/>
    <s v="MSEDCL"/>
    <n v="2.5000000000000001E-2"/>
    <n v="1894"/>
    <x v="325"/>
    <s v="BD"/>
    <d v="1899-12-30T06:54:00"/>
    <d v="1899-12-30T08:41:00"/>
    <d v="1899-12-30T08:55:00"/>
    <n v="1.7833333333333323"/>
    <n v="0.2333333333333325"/>
    <n v="2.0166666666666648"/>
    <s v="Hard rebooted and restored"/>
    <s v="Close"/>
    <n v="5.0416666666666624E-2"/>
    <s v="G25"/>
    <n v="1823.2347222222206"/>
    <s v="None"/>
    <s v="WTG Breakdown Maintenance"/>
    <n v="21698"/>
    <n v="1823.2347222222206"/>
    <m/>
    <m/>
    <m/>
    <m/>
  </r>
  <r>
    <n v="1459"/>
    <x v="205"/>
    <x v="1"/>
    <x v="0"/>
    <x v="7"/>
    <x v="1"/>
    <x v="12"/>
    <s v="PWEGPL"/>
    <s v="MSEDCL"/>
    <n v="2.5000000000000001E-2"/>
    <n v="5222"/>
    <x v="315"/>
    <s v="BD/TCA"/>
    <d v="1899-12-30T05:22:00"/>
    <m/>
    <d v="1899-12-30T17:50:00"/>
    <s v=""/>
    <n v="17.833333333333332"/>
    <n v="12.466666666666665"/>
    <s v="As per our observartions TCA point Gearbox both arm dampers replaced and restored"/>
    <s v="Close"/>
    <n v="0.31166666666666665"/>
    <s v="G30"/>
    <n v="11014.3"/>
    <s v="None"/>
    <s v="WTG Scheduled Maintenance"/>
    <n v="21204"/>
    <n v="11014.3"/>
    <m/>
    <m/>
    <m/>
    <m/>
  </r>
  <r>
    <n v="1460"/>
    <x v="205"/>
    <x v="1"/>
    <x v="0"/>
    <x v="7"/>
    <x v="1"/>
    <x v="2"/>
    <s v="PWEGPL"/>
    <s v="MSEDCL"/>
    <n v="2.5000000000000001E-2"/>
    <s v="CE100014"/>
    <x v="305"/>
    <s v="Manual stop"/>
    <d v="1899-12-30T12:03:00"/>
    <d v="1899-12-30T12:03:00"/>
    <d v="1899-12-30T14:38:00"/>
    <n v="0"/>
    <n v="2.5833333333333321"/>
    <n v="2.5833333333333321"/>
    <s v="GB inspection work TCA work"/>
    <s v="Close"/>
    <n v="6.4583333333333312E-2"/>
    <s v="G39"/>
    <n v="1911.5590277777769"/>
    <s v="None"/>
    <s v="WTG Scheduled Maintenance"/>
    <n v="17759"/>
    <n v="1911.5590277777769"/>
    <m/>
    <m/>
    <m/>
    <m/>
  </r>
  <r>
    <n v="1461"/>
    <x v="205"/>
    <x v="1"/>
    <x v="0"/>
    <x v="7"/>
    <x v="1"/>
    <x v="3"/>
    <s v="PWEGPL"/>
    <s v="MSEDCL"/>
    <n v="2.5000000000000001E-2"/>
    <s v="CE100014"/>
    <x v="305"/>
    <s v="Manual stop"/>
    <d v="1899-12-30T12:06:00"/>
    <d v="1899-12-30T12:06:00"/>
    <d v="1899-12-30T16:21:00"/>
    <n v="0"/>
    <n v="4.2500000000000009"/>
    <n v="4.2500000000000009"/>
    <s v="GB inspection work TCA work"/>
    <s v="Close"/>
    <n v="0.10625000000000002"/>
    <s v="G39"/>
    <n v="3144.8229166666674"/>
    <s v="None"/>
    <s v="WTG Scheduled Maintenance"/>
    <n v="17759"/>
    <n v="3144.8229166666674"/>
    <m/>
    <m/>
    <m/>
    <m/>
  </r>
  <r>
    <n v="1462"/>
    <x v="205"/>
    <x v="1"/>
    <x v="0"/>
    <x v="7"/>
    <x v="1"/>
    <x v="7"/>
    <s v="PWEGPL"/>
    <s v="MSEDCL"/>
    <n v="2.5000000000000001E-2"/>
    <s v="CE100014"/>
    <x v="305"/>
    <s v="Manual stop"/>
    <d v="1899-12-30T15:17:00"/>
    <d v="1899-12-30T15:17:00"/>
    <d v="1899-12-30T17:35:00"/>
    <n v="0"/>
    <n v="2.2999999999999998"/>
    <n v="2.2999999999999998"/>
    <s v="GB inspection work TCA work"/>
    <s v="Close"/>
    <n v="5.7499999999999996E-2"/>
    <s v="G37"/>
    <n v="1887.5333333333331"/>
    <s v="None"/>
    <s v="WTG Scheduled Maintenance"/>
    <n v="19696"/>
    <n v="1887.5333333333331"/>
    <m/>
    <m/>
    <m/>
    <m/>
  </r>
  <r>
    <n v="1463"/>
    <x v="205"/>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28761.013194444444"/>
    <s v="Material shortage-Transformer mounting M20x40 bolt found broken 04 pc."/>
    <s v="WTG Breakdown Maintenance"/>
    <n v="28781"/>
    <n v="28761.013194444444"/>
    <m/>
    <m/>
    <m/>
    <m/>
  </r>
  <r>
    <n v="1464"/>
    <x v="206"/>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9896.173611111113"/>
    <s v="Material shortage-Transformer mounting M20x40 bolt found broken 04 pc."/>
    <s v="WTG Breakdown Maintenance"/>
    <n v="19910"/>
    <n v="19896.173611111113"/>
    <m/>
    <m/>
    <m/>
    <m/>
  </r>
  <r>
    <n v="1465"/>
    <x v="206"/>
    <x v="1"/>
    <x v="0"/>
    <x v="7"/>
    <x v="1"/>
    <x v="12"/>
    <s v="PWEGPL"/>
    <s v="MSEDCL"/>
    <n v="2.5000000000000001E-2"/>
    <n v="700"/>
    <x v="329"/>
    <s v="BD/TCA"/>
    <d v="1899-12-30T08:32:00"/>
    <d v="1899-12-30T09:10:00"/>
    <d v="1899-12-30T11:12:00"/>
    <n v="0.63333333333333242"/>
    <n v="2.0333333333333328"/>
    <n v="2.6666666666666652"/>
    <s v="Replaced LAMADA power supply and restored"/>
    <s v="Close"/>
    <n v="6.6666666666666638E-2"/>
    <s v="G30"/>
    <n v="1577.1111111111102"/>
    <s v="None"/>
    <s v="WTG Breakdown Maintenance"/>
    <n v="14194"/>
    <n v="1577.1111111111102"/>
    <m/>
    <m/>
    <m/>
    <m/>
  </r>
  <r>
    <n v="1466"/>
    <x v="206"/>
    <x v="1"/>
    <x v="0"/>
    <x v="7"/>
    <x v="1"/>
    <x v="12"/>
    <s v="PWEGPL"/>
    <s v="MSEDCL"/>
    <n v="2.5000000000000001E-2"/>
    <s v="CE100014"/>
    <x v="305"/>
    <s v="Manual stop"/>
    <d v="1899-12-30T11:12:00"/>
    <d v="1899-12-30T11:12:00"/>
    <d v="1899-12-30T16:10:00"/>
    <n v="0"/>
    <n v="4.9666666666666686"/>
    <n v="4.9666666666666686"/>
    <s v="GB inspection work TCA work"/>
    <s v="Close"/>
    <n v="0.12416666666666672"/>
    <s v="G30"/>
    <n v="2937.3694444444454"/>
    <s v="None"/>
    <s v="WTG Scheduled Maintenance"/>
    <n v="14194"/>
    <n v="2937.3694444444454"/>
    <m/>
    <m/>
    <m/>
    <m/>
  </r>
  <r>
    <n v="1467"/>
    <x v="206"/>
    <x v="1"/>
    <x v="0"/>
    <x v="7"/>
    <x v="1"/>
    <x v="11"/>
    <s v="PWEGPL"/>
    <s v="MSEDCL"/>
    <n v="2.5000000000000001E-2"/>
    <s v="CE100014"/>
    <x v="305"/>
    <s v="Manual stop"/>
    <d v="1899-12-30T10:12:00"/>
    <d v="1899-12-30T10:12:00"/>
    <d v="1899-12-30T13:41:00"/>
    <n v="0"/>
    <n v="3.4833333333333329"/>
    <n v="3.4833333333333329"/>
    <s v="GB inspection work TCA work"/>
    <s v="Close"/>
    <n v="8.7083333333333332E-2"/>
    <s v="G29"/>
    <n v="2132.5256944444445"/>
    <s v="None"/>
    <s v="WTG Scheduled Maintenance"/>
    <n v="14693"/>
    <n v="2132.5256944444445"/>
    <m/>
    <m/>
    <m/>
    <m/>
  </r>
  <r>
    <n v="1468"/>
    <x v="206"/>
    <x v="1"/>
    <x v="0"/>
    <x v="7"/>
    <x v="1"/>
    <x v="16"/>
    <s v="PWEGPL"/>
    <s v="MSEDCL"/>
    <n v="2.5000000000000001E-2"/>
    <s v="CE100014"/>
    <x v="305"/>
    <s v="Manual stop"/>
    <d v="1899-12-30T14:50:00"/>
    <d v="1899-12-30T14:50:00"/>
    <d v="1899-12-30T17:46:00"/>
    <n v="0"/>
    <n v="2.9333333333333309"/>
    <n v="2.9333333333333309"/>
    <s v="GB inspection work TCA work"/>
    <s v="Close"/>
    <n v="7.3333333333333278E-2"/>
    <s v="G35"/>
    <n v="1849.9555555555539"/>
    <s v="None"/>
    <s v="WTG Scheduled Maintenance"/>
    <n v="15136"/>
    <n v="1849.9555555555539"/>
    <m/>
    <m/>
    <m/>
    <m/>
  </r>
  <r>
    <n v="1469"/>
    <x v="206"/>
    <x v="1"/>
    <x v="0"/>
    <x v="7"/>
    <x v="1"/>
    <x v="4"/>
    <s v="PWEGPL"/>
    <s v="MSEDCL"/>
    <n v="2.5000000000000001E-2"/>
    <s v="CE100014"/>
    <x v="305"/>
    <s v="Manual stop"/>
    <d v="1899-12-30T14:57:00"/>
    <d v="1899-12-30T14:57:00"/>
    <d v="1899-12-30T17:30:00"/>
    <n v="0"/>
    <n v="2.5499999999999989"/>
    <n v="2.5499999999999989"/>
    <s v="GB inspection work TCA work"/>
    <s v="Close"/>
    <n v="6.3749999999999973E-2"/>
    <s v="G35"/>
    <n v="1608.1999999999991"/>
    <s v="None"/>
    <s v="WTG Scheduled Maintenance"/>
    <n v="15136"/>
    <n v="1608.1999999999991"/>
    <m/>
    <m/>
    <m/>
    <m/>
  </r>
  <r>
    <n v="1470"/>
    <x v="207"/>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2692.179861111112"/>
    <s v="Material shortage-Transformer mounting M20x40 bolt found broken 04 pc."/>
    <s v="WTG Breakdown Maintenance"/>
    <n v="12701"/>
    <n v="12692.179861111112"/>
    <m/>
    <m/>
    <m/>
    <m/>
  </r>
  <r>
    <n v="1471"/>
    <x v="207"/>
    <x v="1"/>
    <x v="0"/>
    <x v="7"/>
    <x v="1"/>
    <x v="18"/>
    <s v="PWEGPL"/>
    <s v="MSEDCL"/>
    <n v="2.5000000000000001E-2"/>
    <s v="CE100014"/>
    <x v="305"/>
    <s v="Manual stop"/>
    <d v="1899-12-30T10:40:00"/>
    <d v="1899-12-30T10:40:00"/>
    <d v="1899-12-30T16:20:00"/>
    <n v="0"/>
    <n v="5.6666666666666652"/>
    <n v="5.6666666666666652"/>
    <s v="GB inspection work TCA work"/>
    <s v="Close"/>
    <n v="0.14166666666666664"/>
    <s v="G17"/>
    <n v="3684.5138888888882"/>
    <s v="None"/>
    <s v="WTG Scheduled Maintenance"/>
    <n v="15605"/>
    <n v="3684.5138888888882"/>
    <m/>
    <m/>
    <m/>
    <m/>
  </r>
  <r>
    <n v="1472"/>
    <x v="207"/>
    <x v="1"/>
    <x v="0"/>
    <x v="7"/>
    <x v="1"/>
    <x v="22"/>
    <s v="PWEGPL"/>
    <s v="MSEDCL"/>
    <n v="2.5000000000000001E-2"/>
    <s v="CE100014"/>
    <x v="305"/>
    <s v="Manual stop"/>
    <d v="1899-12-30T10:36:00"/>
    <d v="1899-12-30T10:36:00"/>
    <d v="1899-12-30T13:15:00"/>
    <n v="0"/>
    <n v="2.6500000000000012"/>
    <n v="2.6500000000000012"/>
    <s v="GB inspection work TCA work"/>
    <s v="Close"/>
    <n v="6.6250000000000031E-2"/>
    <s v="G02"/>
    <n v="1657.0229166666672"/>
    <s v="None"/>
    <s v="WTG Scheduled Maintenance"/>
    <n v="15007"/>
    <n v="1657.0229166666672"/>
    <m/>
    <m/>
    <m/>
    <m/>
  </r>
  <r>
    <n v="1473"/>
    <x v="207"/>
    <x v="1"/>
    <x v="0"/>
    <x v="7"/>
    <x v="1"/>
    <x v="14"/>
    <s v="PWEGPL"/>
    <s v="MSEDCL"/>
    <n v="2.5000000000000001E-2"/>
    <n v="433"/>
    <x v="387"/>
    <s v="BD"/>
    <d v="1899-12-30T11:22:00"/>
    <d v="1899-12-30T11:22:00"/>
    <d v="1899-12-30T15:43:00"/>
    <n v="0"/>
    <n v="4.3499999999999996"/>
    <n v="4.3499999999999996"/>
    <s v="As per our observartions TCA point Gearbox both arm dampers replaced and restored"/>
    <s v="Close"/>
    <n v="0.10875"/>
    <s v="G32"/>
    <n v="1658.4374999999998"/>
    <s v="None"/>
    <s v="WTG Scheduled Maintenance"/>
    <n v="9150"/>
    <n v="1658.4374999999998"/>
    <m/>
    <m/>
    <m/>
    <m/>
  </r>
  <r>
    <n v="1474"/>
    <x v="207"/>
    <x v="1"/>
    <x v="0"/>
    <x v="7"/>
    <x v="1"/>
    <x v="38"/>
    <s v="PWEGPL"/>
    <s v="MSEDCL"/>
    <n v="2.5000000000000001E-2"/>
    <n v="412"/>
    <x v="336"/>
    <s v="BD"/>
    <d v="1899-12-30T15:28:00"/>
    <d v="1899-12-30T15:45:00"/>
    <d v="1899-12-30T16:29:00"/>
    <n v="0.28333333333333233"/>
    <n v="0.73333333333333339"/>
    <n v="1.0166666666666657"/>
    <s v="Rebooted and restored"/>
    <s v="Close"/>
    <n v="2.5416666666666643E-2"/>
    <s v="G17"/>
    <n v="661.04513888888835"/>
    <s v="None"/>
    <s v="WTG Breakdown Maintenance"/>
    <n v="15605"/>
    <n v="661.04513888888835"/>
    <m/>
    <m/>
    <m/>
    <m/>
  </r>
  <r>
    <n v="1475"/>
    <x v="207"/>
    <x v="1"/>
    <x v="0"/>
    <x v="7"/>
    <x v="1"/>
    <x v="20"/>
    <s v="PWEGPL"/>
    <s v="MSEDCL"/>
    <n v="2.5000000000000001E-2"/>
    <n v="2118"/>
    <x v="293"/>
    <s v="BD"/>
    <d v="1899-12-30T14:27:00"/>
    <d v="1899-12-30T15:01:00"/>
    <d v="1899-12-30T17:20:00"/>
    <n v="0.56666666666666732"/>
    <n v="2.3166666666666664"/>
    <n v="2.8833333333333337"/>
    <s v="Found slipring dust accumulated then cleaned and restored"/>
    <s v="Close"/>
    <n v="7.2083333333333346E-2"/>
    <s v="G02"/>
    <n v="1802.9243055555557"/>
    <s v="None"/>
    <s v="WTG Breakdown Maintenance"/>
    <n v="15007"/>
    <n v="1802.9243055555557"/>
    <m/>
    <m/>
    <m/>
    <m/>
  </r>
  <r>
    <n v="1476"/>
    <x v="207"/>
    <x v="1"/>
    <x v="0"/>
    <x v="7"/>
    <x v="1"/>
    <x v="38"/>
    <s v="PWEGPL"/>
    <s v="MSEDCL"/>
    <n v="2.5000000000000001E-2"/>
    <n v="412"/>
    <x v="336"/>
    <s v="BD"/>
    <d v="1899-12-30T17:40:00"/>
    <d v="1899-12-30T17:54:00"/>
    <d v="1899-12-30T19:56:00"/>
    <n v="0.23333333333332984"/>
    <n v="2.0333333333333368"/>
    <n v="2.2666666666666666"/>
    <s v="Checked all related cooling motors and contactors while checking found KM004 contactor spark marks on contacting points then serviced contactor properly and restored"/>
    <s v="Close"/>
    <n v="5.6666666666666671E-2"/>
    <s v="G17"/>
    <n v="1473.8055555555557"/>
    <s v="None"/>
    <s v="WTG Breakdown Maintenance"/>
    <n v="15605"/>
    <n v="1473.8055555555557"/>
    <m/>
    <m/>
    <m/>
    <m/>
  </r>
  <r>
    <n v="1477"/>
    <x v="208"/>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5815.009722222221"/>
    <s v="Material shortage-Transformer mounting M20x40 bolt found broken 04 pc."/>
    <s v="WTG Breakdown Maintenance"/>
    <n v="15826"/>
    <n v="15815.009722222221"/>
    <m/>
    <m/>
    <m/>
    <m/>
  </r>
  <r>
    <n v="1478"/>
    <x v="208"/>
    <x v="1"/>
    <x v="0"/>
    <x v="7"/>
    <x v="1"/>
    <x v="14"/>
    <s v="PWEGPL"/>
    <s v="MSEDCL"/>
    <n v="2.5000000000000001E-2"/>
    <s v="CE100014"/>
    <x v="305"/>
    <s v="Manual stop"/>
    <d v="1899-12-30T10:29:00"/>
    <d v="1899-12-30T10:29:00"/>
    <d v="1899-12-30T14:18:00"/>
    <n v="0"/>
    <n v="3.8166666666666678"/>
    <n v="3.8166666666666678"/>
    <s v="GB inspection work TCA work"/>
    <s v="Close"/>
    <n v="9.5416666666666705E-2"/>
    <s v="G37"/>
    <n v="1842.8138888888893"/>
    <s v="None"/>
    <s v="WTG Scheduled Maintenance"/>
    <n v="11588"/>
    <n v="1842.8138888888893"/>
    <m/>
    <m/>
    <m/>
    <m/>
  </r>
  <r>
    <n v="1479"/>
    <x v="209"/>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4269.084027777779"/>
    <s v="Material shortage-Transformer mounting M20x40 bolt found broken 04 pc."/>
    <s v="WTG Breakdown Maintenance"/>
    <n v="14279"/>
    <n v="14269.084027777779"/>
    <m/>
    <m/>
    <m/>
    <m/>
  </r>
  <r>
    <n v="1480"/>
    <x v="209"/>
    <x v="1"/>
    <x v="0"/>
    <x v="7"/>
    <x v="1"/>
    <x v="22"/>
    <s v="PWEGPL"/>
    <s v="MSEDCL"/>
    <n v="2.5000000000000001E-2"/>
    <n v="402"/>
    <x v="300"/>
    <s v="BD/TCA"/>
    <d v="1899-12-30T08:41:00"/>
    <d v="1899-12-30T10:50:00"/>
    <d v="1899-12-30T19:24:00"/>
    <n v="2.1500000000000004"/>
    <n v="8.5666666666666647"/>
    <n v="10.716666666666665"/>
    <s v="Checked gearbox oil and found leakages then arrested and oil top up"/>
    <s v="Close"/>
    <n v="0.26791666666666664"/>
    <s v="G02"/>
    <n v="5958.9131944444434"/>
    <s v="Material shortage gearbox oil"/>
    <s v="WTG Breakdown Maintenance"/>
    <n v="13345"/>
    <n v="5958.9131944444434"/>
    <m/>
    <m/>
    <m/>
    <m/>
  </r>
  <r>
    <n v="1481"/>
    <x v="209"/>
    <x v="1"/>
    <x v="0"/>
    <x v="7"/>
    <x v="1"/>
    <x v="37"/>
    <s v="PWEGPL"/>
    <s v="MSEDCL"/>
    <n v="2.5000000000000001E-2"/>
    <s v="CE100014"/>
    <x v="305"/>
    <s v="Manual stop/TCA"/>
    <d v="1899-12-30T10:25:00"/>
    <d v="1899-12-30T10:25:00"/>
    <d v="1899-12-30T15:30:00"/>
    <n v="0"/>
    <n v="5.0833333333333357"/>
    <n v="5.0833333333333357"/>
    <s v="As per our observartions TCA point Gearbox both arm dampers replaced and restored"/>
    <s v="Close"/>
    <n v="0.12708333333333341"/>
    <s v="G17"/>
    <n v="2927.3645833333348"/>
    <s v="None"/>
    <s v="WTG Scheduled Maintenance"/>
    <n v="13821"/>
    <n v="2927.3645833333348"/>
    <m/>
    <m/>
    <m/>
    <m/>
  </r>
  <r>
    <n v="1482"/>
    <x v="210"/>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2068.613194444444"/>
    <s v="Material shortage-Transformer mounting M20x40 bolt found broken 04 pc."/>
    <s v="WTG Breakdown Maintenance"/>
    <n v="12077"/>
    <n v="12068.613194444444"/>
    <m/>
    <m/>
    <m/>
    <m/>
  </r>
  <r>
    <n v="1483"/>
    <x v="210"/>
    <x v="1"/>
    <x v="0"/>
    <x v="7"/>
    <x v="1"/>
    <x v="1"/>
    <s v="PWEGPL"/>
    <s v="MSEDCL"/>
    <n v="2.5000000000000001E-2"/>
    <n v="203"/>
    <x v="290"/>
    <s v="BD"/>
    <d v="1899-12-30T15:36:00"/>
    <d v="1899-12-30T15:55:00"/>
    <d v="1899-12-30T18:05:00"/>
    <n v="0.31666666666666554"/>
    <n v="2.166666666666667"/>
    <n v="2.4833333333333325"/>
    <s v="Checked all hydraulic values setting and pressure setting found all normal then reboot and resetted"/>
    <s v="Close"/>
    <n v="6.2083333333333317E-2"/>
    <s v="G21"/>
    <n v="1169.9604166666663"/>
    <s v="None"/>
    <s v="WTG Breakdown Maintenance"/>
    <n v="11307"/>
    <n v="1169.9604166666663"/>
    <m/>
    <m/>
    <m/>
    <m/>
  </r>
  <r>
    <n v="1484"/>
    <x v="210"/>
    <x v="1"/>
    <x v="0"/>
    <x v="7"/>
    <x v="1"/>
    <x v="8"/>
    <s v="PWEGPL"/>
    <s v="MSEDCL"/>
    <n v="2.5000000000000001E-2"/>
    <n v="205"/>
    <x v="312"/>
    <s v="BD"/>
    <d v="1899-12-30T20:24:00"/>
    <d v="1899-12-30T23:07:00"/>
    <d v="1899-12-30T23:59:00"/>
    <n v="2.7166666666666677"/>
    <n v="0.86666666666666625"/>
    <n v="3.5833333333333339"/>
    <s v="Work under progress"/>
    <s v="Open"/>
    <n v="8.9583333333333348E-2"/>
    <s v="G28"/>
    <n v="1294.0312500000002"/>
    <s v="Material shortage-Hydraulic oil"/>
    <s v="WTG Breakdown Maintenance"/>
    <n v="8667"/>
    <n v="1294.0312500000002"/>
    <m/>
    <m/>
    <m/>
    <m/>
  </r>
  <r>
    <n v="1485"/>
    <x v="210"/>
    <x v="1"/>
    <x v="0"/>
    <x v="7"/>
    <x v="1"/>
    <x v="34"/>
    <s v="PWEGPL"/>
    <s v="MSEDCL"/>
    <n v="2.5000000000000001E-2"/>
    <n v="205"/>
    <x v="312"/>
    <s v="BD"/>
    <d v="1899-12-30T18:36:00"/>
    <d v="1899-12-30T23:59:00"/>
    <d v="1899-12-30T23:59:00"/>
    <n v="5.3833333333333329"/>
    <n v="0"/>
    <n v="5.3833333333333329"/>
    <s v="Work under progress"/>
    <s v="Open"/>
    <n v="0.13458333333333333"/>
    <s v="G21"/>
    <n v="2536.2229166666666"/>
    <s v="Material shortage-Hydraulic oil"/>
    <s v="WTG Breakdown Maintenance"/>
    <n v="11307"/>
    <n v="2536.2229166666666"/>
    <m/>
    <m/>
    <m/>
    <m/>
  </r>
  <r>
    <n v="1486"/>
    <x v="210"/>
    <x v="1"/>
    <x v="0"/>
    <x v="7"/>
    <x v="1"/>
    <x v="10"/>
    <s v="PWEGPL"/>
    <s v="MSEDCL"/>
    <n v="2.5000000000000001E-2"/>
    <n v="205"/>
    <x v="312"/>
    <s v="BD"/>
    <d v="1899-12-30T20:24:00"/>
    <d v="1899-12-30T20:55:00"/>
    <d v="1899-12-30T21:26:00"/>
    <n v="0.5166666666666675"/>
    <n v="0.5166666666666675"/>
    <n v="1.033333333333335"/>
    <s v="Rebooted and restored"/>
    <s v="Close"/>
    <n v="2.5833333333333375E-2"/>
    <s v="G30"/>
    <n v="381.08472222222287"/>
    <s v="None"/>
    <s v="WTG Breakdown Maintenance"/>
    <n v="8851"/>
    <n v="381.08472222222287"/>
    <m/>
    <m/>
    <m/>
    <m/>
  </r>
  <r>
    <n v="1487"/>
    <x v="211"/>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18478.15902777778"/>
    <s v="Material shortage-Transformer mounting M20x40 bolt found broken 04 pc."/>
    <s v="WTG Breakdown Maintenance"/>
    <n v="18491"/>
    <n v="18478.15902777778"/>
    <m/>
    <m/>
    <m/>
    <m/>
  </r>
  <r>
    <n v="1488"/>
    <x v="211"/>
    <x v="1"/>
    <x v="0"/>
    <x v="7"/>
    <x v="1"/>
    <x v="8"/>
    <s v="PWEGPL"/>
    <s v="MSEDCL"/>
    <n v="2.5000000000000001E-2"/>
    <n v="205"/>
    <x v="312"/>
    <s v="BD"/>
    <d v="1899-12-30T00:00:00"/>
    <d v="1899-12-30T00:00:00"/>
    <d v="1899-12-30T03:29:00"/>
    <n v="0"/>
    <n v="3.4833333333333334"/>
    <n v="3.4833333333333334"/>
    <s v="Oil top up and restored the WTG"/>
    <s v="Close"/>
    <n v="8.7083333333333346E-2"/>
    <s v="G28"/>
    <n v="1711.4777777777776"/>
    <s v="Material shortage-Hydraulic oil"/>
    <s v="WTG Breakdown Maintenance"/>
    <n v="11792"/>
    <n v="1711.4777777777776"/>
    <m/>
    <m/>
    <m/>
    <m/>
  </r>
  <r>
    <n v="1489"/>
    <x v="211"/>
    <x v="1"/>
    <x v="0"/>
    <x v="7"/>
    <x v="1"/>
    <x v="34"/>
    <s v="PWEGPL"/>
    <s v="MSEDCL"/>
    <n v="2.5000000000000001E-2"/>
    <n v="205"/>
    <x v="312"/>
    <s v="BD"/>
    <d v="1899-12-30T00:00:00"/>
    <d v="1899-12-30T08:55:00"/>
    <d v="1899-12-30T16:50:00"/>
    <n v="8.9166666666666661"/>
    <n v="7.9166666666666661"/>
    <n v="16.833333333333332"/>
    <s v="Oil top up and restored the WTG"/>
    <s v="Close"/>
    <n v="0.42083333333333334"/>
    <s v="G21"/>
    <n v="10451.395833333332"/>
    <s v="Main tower entrance door lock mechanism issue"/>
    <s v="WTG Breakdown Maintenance"/>
    <n v="14901"/>
    <n v="10451.395833333332"/>
    <m/>
    <m/>
    <m/>
    <m/>
  </r>
  <r>
    <n v="1490"/>
    <x v="211"/>
    <x v="1"/>
    <x v="0"/>
    <x v="7"/>
    <x v="1"/>
    <x v="32"/>
    <s v="PWEGPL"/>
    <s v="MSEDCL"/>
    <n v="2.5000000000000001E-2"/>
    <n v="1894"/>
    <x v="325"/>
    <s v="BD"/>
    <d v="1899-12-30T01:05:00"/>
    <d v="1899-12-30T01:20:00"/>
    <d v="1899-12-30T01:27:00"/>
    <n v="0.24999999999999994"/>
    <n v="0.11666666666666675"/>
    <n v="0.3666666666666667"/>
    <s v="Rebooted and restored"/>
    <s v="Close"/>
    <n v="9.1666666666666684E-3"/>
    <s v="G15"/>
    <n v="240.9"/>
    <s v="None"/>
    <s v="WTG Breakdown Maintenance"/>
    <n v="15768"/>
    <n v="240.9"/>
    <m/>
    <m/>
    <m/>
    <m/>
  </r>
  <r>
    <n v="1491"/>
    <x v="211"/>
    <x v="1"/>
    <x v="0"/>
    <x v="7"/>
    <x v="1"/>
    <x v="20"/>
    <s v="PWEGPL"/>
    <s v="MSEDCL"/>
    <n v="2.5000000000000001E-2"/>
    <n v="2118"/>
    <x v="293"/>
    <s v="BD"/>
    <d v="1899-12-30T06:24:00"/>
    <d v="1899-12-30T06:55:00"/>
    <d v="1899-12-30T09:23:00"/>
    <n v="0.5166666666666675"/>
    <n v="2.4666666666666659"/>
    <n v="2.9833333333333334"/>
    <s v="Sliprng cleaned and restored the turbine"/>
    <s v="Close"/>
    <n v="7.4583333333333335E-2"/>
    <s v="G02"/>
    <n v="1890.190277777778"/>
    <s v="None"/>
    <s v="WTG Breakdown Maintenance"/>
    <n v="15206"/>
    <n v="1890.190277777778"/>
    <m/>
    <m/>
    <m/>
    <m/>
  </r>
  <r>
    <n v="1492"/>
    <x v="211"/>
    <x v="1"/>
    <x v="0"/>
    <x v="7"/>
    <x v="1"/>
    <x v="37"/>
    <s v="PWEGPL"/>
    <s v="MSEDCL"/>
    <n v="2.5000000000000001E-2"/>
    <s v="CE100014"/>
    <x v="305"/>
    <s v="Manual stop/TCA"/>
    <d v="1899-12-30T13:36:00"/>
    <d v="1899-12-30T13:36:00"/>
    <d v="1899-12-30T16:13:00"/>
    <n v="0"/>
    <n v="2.6166666666666654"/>
    <n v="2.6166666666666654"/>
    <s v="As per TCA point Yaw drive failure dismentle work done"/>
    <s v="Close"/>
    <n v="6.5416666666666637E-2"/>
    <s v="G17"/>
    <n v="1680.1180555555547"/>
    <s v="None"/>
    <s v="WTG Scheduled Maintenance"/>
    <n v="15410"/>
    <n v="1680.1180555555547"/>
    <m/>
    <m/>
    <m/>
    <m/>
  </r>
  <r>
    <n v="1493"/>
    <x v="212"/>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32600.345138888893"/>
    <s v="Material shortage-Transformer mounting M20x40 bolt found broken 04 pc."/>
    <s v="WTG Breakdown Maintenance"/>
    <n v="32623"/>
    <n v="32600.345138888893"/>
    <m/>
    <m/>
    <m/>
    <m/>
  </r>
  <r>
    <n v="1494"/>
    <x v="212"/>
    <x v="1"/>
    <x v="0"/>
    <x v="7"/>
    <x v="1"/>
    <x v="34"/>
    <s v="PWEGPL"/>
    <s v="MSEDCL"/>
    <n v="2.5000000000000001E-2"/>
    <n v="1894"/>
    <x v="325"/>
    <s v="BD"/>
    <d v="1899-12-30T08:36:00"/>
    <d v="1899-12-30T09:45:00"/>
    <d v="1899-12-30T09:58:00"/>
    <n v="1.1499999999999999"/>
    <n v="0.21666666666666723"/>
    <n v="1.3666666666666671"/>
    <s v="Rebooted and restored"/>
    <s v="Close"/>
    <n v="3.4166666666666679E-2"/>
    <s v="G25"/>
    <n v="1398.7833333333338"/>
    <s v="None"/>
    <s v="WTG Breakdown Maintenance"/>
    <n v="24564"/>
    <n v="1398.7833333333338"/>
    <m/>
    <m/>
    <m/>
    <m/>
  </r>
  <r>
    <n v="1495"/>
    <x v="212"/>
    <x v="1"/>
    <x v="0"/>
    <x v="7"/>
    <x v="1"/>
    <x v="37"/>
    <s v="PWEGPL"/>
    <s v="MSEDCL"/>
    <n v="2.5000000000000001E-2"/>
    <s v="CE100014"/>
    <x v="305"/>
    <s v="Manual stop/TCA"/>
    <d v="1899-12-30T10:58:00"/>
    <d v="1899-12-30T10:58:00"/>
    <d v="1899-12-30T19:01:00"/>
    <n v="0"/>
    <n v="8.0499999999999989"/>
    <n v="8.0499999999999989"/>
    <s v="As per TCA point Yaw drive failure dismentle work done"/>
    <s v="Close"/>
    <n v="0.20124999999999998"/>
    <s v="G17"/>
    <n v="10476.068749999999"/>
    <s v="None"/>
    <s v="WTG Scheduled Maintenance"/>
    <n v="31233"/>
    <n v="10476.068749999999"/>
    <m/>
    <m/>
    <m/>
    <m/>
  </r>
  <r>
    <n v="1496"/>
    <x v="212"/>
    <x v="1"/>
    <x v="0"/>
    <x v="7"/>
    <x v="1"/>
    <x v="34"/>
    <s v="PWEGPL"/>
    <s v="MSEDCL"/>
    <n v="2.5000000000000001E-2"/>
    <n v="444"/>
    <x v="338"/>
    <s v="BD"/>
    <d v="1899-12-30T12:11:00"/>
    <d v="1899-12-30T13:04:00"/>
    <d v="1899-12-30T15:18:00"/>
    <n v="0.88333333333333286"/>
    <n v="2.2333333333333361"/>
    <n v="3.1166666666666689"/>
    <s v="Checked gearbox pump operaion and all found ok then MCB switched on and restored"/>
    <s v="Close"/>
    <n v="7.7916666666666731E-2"/>
    <s v="G21"/>
    <n v="3237.9569444444469"/>
    <s v="None"/>
    <s v="WTG Breakdown Maintenance"/>
    <n v="24934"/>
    <n v="3237.9569444444469"/>
    <m/>
    <m/>
    <m/>
    <m/>
  </r>
  <r>
    <n v="1497"/>
    <x v="212"/>
    <x v="1"/>
    <x v="0"/>
    <x v="7"/>
    <x v="1"/>
    <x v="34"/>
    <s v="PWEGPL"/>
    <s v="MSEDCL"/>
    <n v="2.5000000000000001E-2"/>
    <n v="412"/>
    <x v="336"/>
    <s v="Manual stop"/>
    <d v="1899-12-30T16:01:00"/>
    <d v="1899-12-30T16:01:00"/>
    <d v="1899-12-30T16:38:00"/>
    <n v="0"/>
    <n v="0.61666666666666714"/>
    <n v="0.61666666666666714"/>
    <s v="KM004 contactor serviced and rstored"/>
    <s v="Close"/>
    <n v="1.5416666666666679E-2"/>
    <s v="G21"/>
    <n v="640.66527777777833"/>
    <s v="None"/>
    <s v="WTG Scheduled Maintenance"/>
    <n v="24934"/>
    <n v="640.66527777777833"/>
    <m/>
    <m/>
    <m/>
    <m/>
  </r>
  <r>
    <n v="1498"/>
    <x v="213"/>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9"/>
    <n v="32673.294444444444"/>
    <s v="Material shortage-Transformer mounting M20x40 bolt found broken 04 pc."/>
    <s v="WTG Breakdown Maintenance"/>
    <n v="32696"/>
    <n v="32673.294444444444"/>
    <m/>
    <m/>
    <m/>
    <m/>
  </r>
  <r>
    <n v="1499"/>
    <x v="213"/>
    <x v="1"/>
    <x v="0"/>
    <x v="7"/>
    <x v="1"/>
    <x v="37"/>
    <s v="PWEGPL"/>
    <s v="MSEDCL"/>
    <n v="2.5000000000000001E-2"/>
    <n v="115"/>
    <x v="308"/>
    <s v="Manual stop/TCA"/>
    <d v="1899-12-30T10:15:00"/>
    <d v="1899-12-30T10:15:00"/>
    <d v="1899-12-30T15:27:00"/>
    <n v="0"/>
    <n v="5.1999999999999993"/>
    <n v="5.1999999999999993"/>
    <s v="Yaw drive replaced with new one and restored "/>
    <s v="Close"/>
    <n v="0.12999999999999998"/>
    <s v="G17"/>
    <n v="6888.2666666666664"/>
    <s v="None"/>
    <s v="WTG Scheduled Maintenance"/>
    <n v="31792"/>
    <n v="6888.2666666666664"/>
    <m/>
    <m/>
    <m/>
    <m/>
  </r>
  <r>
    <n v="1500"/>
    <x v="213"/>
    <x v="1"/>
    <x v="0"/>
    <x v="7"/>
    <x v="1"/>
    <x v="34"/>
    <s v="PWEGPL"/>
    <s v="MSEDCL"/>
    <n v="2.5000000000000001E-2"/>
    <n v="804"/>
    <x v="382"/>
    <s v="BD"/>
    <d v="1899-12-30T11:17:00"/>
    <d v="1899-12-30T11:58:00"/>
    <d v="1899-12-30T17:55:00"/>
    <n v="0.68333333333333357"/>
    <n v="5.95"/>
    <n v="6.6333333333333337"/>
    <s v="Checekd all related connections components wiring condition found all physically ok but while manually pitching found abnormal on blade B then checkec relays found failure then replaced with new one and restored"/>
    <s v="Close"/>
    <n v="0.16583333333333336"/>
    <s v="G21"/>
    <n v="6338.979166666667"/>
    <s v="None"/>
    <s v="WTG Breakdown Maintenance"/>
    <n v="22935"/>
    <n v="6338.979166666667"/>
    <m/>
    <m/>
    <m/>
    <m/>
  </r>
  <r>
    <n v="1501"/>
    <x v="213"/>
    <x v="1"/>
    <x v="0"/>
    <x v="7"/>
    <x v="1"/>
    <x v="34"/>
    <s v="PWEGPL"/>
    <s v="MSEDCL"/>
    <n v="2.5000000000000001E-2"/>
    <n v="813"/>
    <x v="376"/>
    <s v="BD"/>
    <d v="1899-12-30T18:43:00"/>
    <d v="1899-12-30T19:12:00"/>
    <d v="1899-12-30T23:59:00"/>
    <n v="0.48333333333333428"/>
    <n v="4.783333333333335"/>
    <n v="5.2666666666666693"/>
    <s v="Work under progress"/>
    <s v="Open"/>
    <n v="0.13166666666666674"/>
    <s v="G21"/>
    <n v="5032.9583333333358"/>
    <s v="None"/>
    <s v="WTG Breakdown Maintenance"/>
    <n v="22935"/>
    <n v="5032.9583333333358"/>
    <m/>
    <m/>
    <m/>
    <m/>
  </r>
  <r>
    <n v="1502"/>
    <x v="214"/>
    <x v="1"/>
    <x v="0"/>
    <x v="7"/>
    <x v="1"/>
    <x v="34"/>
    <s v="PWEGPL"/>
    <s v="MSEDCL"/>
    <n v="2.5000000000000001E-2"/>
    <n v="813"/>
    <x v="376"/>
    <s v="BD"/>
    <d v="1899-12-30T00:00:00"/>
    <d v="1899-12-30T00:00:00"/>
    <d v="1899-12-30T00:37:00"/>
    <n v="0"/>
    <n v="0.6166666666666667"/>
    <n v="0.6166666666666667"/>
    <s v="OGS sensor replaced and restored"/>
    <s v="Close"/>
    <n v="1.5416666666666669E-2"/>
    <s v="G21"/>
    <n v="366.32569444444442"/>
    <s v="None"/>
    <s v="WTG Breakdown Maintenance"/>
    <n v="14257"/>
    <n v="366.32569444444442"/>
    <m/>
    <m/>
    <m/>
    <m/>
  </r>
  <r>
    <n v="1503"/>
    <x v="214"/>
    <x v="1"/>
    <x v="0"/>
    <x v="7"/>
    <x v="1"/>
    <x v="19"/>
    <s v="PWEGPL"/>
    <s v="MSEDCL"/>
    <n v="2.5000000000000001E-2"/>
    <s v="CE100003"/>
    <x v="380"/>
    <s v="BD/TCA"/>
    <d v="1899-12-30T00:00:00"/>
    <d v="1899-12-30T00:00:00"/>
    <d v="1899-12-30T23:59:00"/>
    <n v="0"/>
    <n v="23.983333333333334"/>
    <n v="23.983333333333334"/>
    <s v="Transformer mounting structure bolt broken waiting for material and technical team guidence."/>
    <s v="Open"/>
    <n v="0.59958333333333336"/>
    <s v="G18"/>
    <n v="16182.754166666668"/>
    <s v="Material shortage-Transformer mounting M20x40 bolt found broken 04 pc."/>
    <s v="WTG Breakdown Maintenance"/>
    <n v="16194"/>
    <n v="16182.754166666668"/>
    <m/>
    <m/>
    <m/>
    <m/>
  </r>
  <r>
    <n v="1504"/>
    <x v="214"/>
    <x v="1"/>
    <x v="0"/>
    <x v="7"/>
    <x v="1"/>
    <x v="39"/>
    <s v="PWEGPL"/>
    <s v="MSEDCL"/>
    <n v="2.5000000000000001E-2"/>
    <n v="115"/>
    <x v="308"/>
    <s v="BD"/>
    <d v="1899-12-30T09:18:00"/>
    <d v="1899-12-30T09:27:00"/>
    <d v="1899-12-30T11:23:00"/>
    <n v="0.14999999999999947"/>
    <n v="1.9333333333333331"/>
    <n v="2.0833333333333326"/>
    <s v="Pressure setting done and restored"/>
    <s v="Close"/>
    <n v="5.2083333333333315E-2"/>
    <s v="G13"/>
    <n v="1526.649305555555"/>
    <s v="None"/>
    <s v="WTG Breakdown Maintenance"/>
    <n v="17587"/>
    <n v="1526.649305555555"/>
    <m/>
    <m/>
    <m/>
    <m/>
  </r>
  <r>
    <n v="1505"/>
    <x v="214"/>
    <x v="1"/>
    <x v="0"/>
    <x v="7"/>
    <x v="1"/>
    <x v="32"/>
    <s v="PWEGPL"/>
    <s v="MSEDCL"/>
    <n v="2.5000000000000001E-2"/>
    <n v="433"/>
    <x v="387"/>
    <s v="BD"/>
    <d v="1899-12-30T10:17:00"/>
    <d v="1899-12-30T10:17:00"/>
    <d v="1899-12-30T14:02:00"/>
    <n v="0"/>
    <n v="3.7500000000000013"/>
    <n v="3.7500000000000013"/>
    <s v="Gearbox auxilury pump motor replaced and restored"/>
    <s v="Close"/>
    <n v="9.3750000000000042E-2"/>
    <s v="G13"/>
    <n v="2747.9687500000009"/>
    <s v="None"/>
    <s v="WTG Scheduled Maintenance"/>
    <n v="17587"/>
    <n v="2747.9687500000009"/>
    <m/>
    <m/>
    <m/>
    <m/>
  </r>
  <r>
    <n v="1506"/>
    <x v="214"/>
    <x v="1"/>
    <x v="0"/>
    <x v="7"/>
    <x v="1"/>
    <x v="18"/>
    <s v="PWEGPL"/>
    <s v="MSEDCL"/>
    <n v="2.5000000000000001E-2"/>
    <s v="CE100001"/>
    <x v="288"/>
    <s v="Manual stop"/>
    <d v="1899-12-30T16:06:00"/>
    <d v="1899-12-30T16:06:00"/>
    <d v="1899-12-30T18:42:00"/>
    <n v="0"/>
    <n v="2.5999999999999988"/>
    <n v="2.5999999999999988"/>
    <s v="Power curve deviation related checked and found all ok and then restored"/>
    <s v="Close"/>
    <n v="6.4999999999999974E-2"/>
    <s v="G17"/>
    <n v="2231.1249999999991"/>
    <s v="None"/>
    <s v="WTG Scheduled Maintenance"/>
    <n v="20595"/>
    <n v="2231.1249999999991"/>
    <m/>
    <m/>
    <m/>
    <m/>
  </r>
  <r>
    <n v="1507"/>
    <x v="214"/>
    <x v="1"/>
    <x v="0"/>
    <x v="7"/>
    <x v="1"/>
    <x v="29"/>
    <s v="PWEGPL"/>
    <s v="MSEDCL"/>
    <n v="2.5000000000000001E-2"/>
    <n v="5240"/>
    <x v="388"/>
    <s v="BD"/>
    <d v="1899-12-30T19:13:00"/>
    <d v="1899-12-30T21:30:00"/>
    <d v="1899-12-30T23:59:00"/>
    <n v="2.2833333333333359"/>
    <n v="2.4833333333333325"/>
    <n v="4.7666666666666684"/>
    <s v="Work under progress"/>
    <s v="Open"/>
    <n v="0.11916666666666671"/>
    <s v="G12"/>
    <n v="3287.8083333333343"/>
    <s v="None"/>
    <s v="WTG Breakdown Maintenance"/>
    <n v="16554"/>
    <n v="3287.8083333333343"/>
    <m/>
    <m/>
    <m/>
    <m/>
  </r>
  <r>
    <n v="1508"/>
    <x v="214"/>
    <x v="1"/>
    <x v="0"/>
    <x v="7"/>
    <x v="1"/>
    <x v="20"/>
    <s v="PWEGPL"/>
    <s v="MSEDCL"/>
    <n v="2.5000000000000001E-2"/>
    <n v="2118"/>
    <x v="293"/>
    <s v="BD"/>
    <d v="1899-12-30T21:43:00"/>
    <d v="1899-12-30T23:37:00"/>
    <d v="1899-12-30T23:59:00"/>
    <n v="1.9000000000000039"/>
    <n v="0.36666666666666536"/>
    <n v="2.2666666666666693"/>
    <s v="Work under progress"/>
    <s v="Open"/>
    <n v="5.6666666666666733E-2"/>
    <s v="G02"/>
    <n v="1422.5222222222239"/>
    <s v="None"/>
    <s v="WTG Breakdown Maintenance"/>
    <n v="15062"/>
    <n v="1422.5222222222239"/>
    <m/>
    <m/>
    <m/>
    <m/>
  </r>
  <r>
    <n v="1509"/>
    <x v="215"/>
    <x v="1"/>
    <x v="0"/>
    <x v="7"/>
    <x v="1"/>
    <x v="20"/>
    <s v="PWEGPL"/>
    <s v="MSEDCL"/>
    <n v="2.5000000000000001E-2"/>
    <n v="2118"/>
    <x v="293"/>
    <s v="BD"/>
    <d v="1899-12-30T00:00:00"/>
    <d v="1899-12-30T00:00:00"/>
    <d v="1899-12-30T01:25:00"/>
    <n v="0"/>
    <n v="1.4166666666666667"/>
    <n v="1.4166666666666667"/>
    <s v="Slipring cleaned and restored"/>
    <s v="Close"/>
    <n v="3.5416666666666673E-2"/>
    <s v="G02"/>
    <n v="555.15625"/>
    <s v="None"/>
    <s v="WTG Breakdown Maintenance"/>
    <n v="9405"/>
    <n v="555.15625"/>
    <m/>
    <m/>
    <m/>
    <m/>
  </r>
  <r>
    <n v="1510"/>
    <x v="215"/>
    <x v="1"/>
    <x v="0"/>
    <x v="7"/>
    <x v="1"/>
    <x v="29"/>
    <s v="PWEGPL"/>
    <s v="MSEDCL"/>
    <n v="2.5000000000000001E-2"/>
    <n v="5240"/>
    <x v="388"/>
    <s v="BD"/>
    <d v="1899-12-30T00:00:00"/>
    <d v="1899-12-30T00:00:00"/>
    <d v="1899-12-30T23:59:00"/>
    <n v="0"/>
    <n v="23.983333333333334"/>
    <n v="23.983333333333334"/>
    <s v="IGBT failure so converter healthiness checking under profress"/>
    <s v="Open"/>
    <n v="0.59958333333333336"/>
    <s v="G10"/>
    <n v="11048.322222222223"/>
    <s v="Material shortage-IGBT"/>
    <s v="WTG Breakdown Maintenance"/>
    <n v="11056"/>
    <n v="11048.322222222223"/>
    <m/>
    <m/>
    <m/>
    <m/>
  </r>
  <r>
    <n v="1511"/>
    <x v="215"/>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0807.489583333334"/>
    <s v="Material shortage-Transformer mounting M20x40 bolt found broken 04 pc."/>
    <s v="WTG Breakdown Maintenance"/>
    <n v="10815"/>
    <n v="10807.489583333334"/>
    <m/>
    <m/>
    <m/>
    <m/>
  </r>
  <r>
    <n v="1512"/>
    <x v="215"/>
    <x v="1"/>
    <x v="0"/>
    <x v="7"/>
    <x v="1"/>
    <x v="35"/>
    <s v="PWEGPL"/>
    <s v="MSEDCL"/>
    <n v="2.5000000000000001E-2"/>
    <n v="433"/>
    <x v="387"/>
    <s v="BD"/>
    <d v="1899-12-30T11:18:00"/>
    <d v="1899-12-30T11:18:00"/>
    <d v="1899-12-30T15:09:00"/>
    <n v="0"/>
    <n v="3.8499999999999983"/>
    <n v="3.8499999999999983"/>
    <s v="Gearbox auxilury pump motor replaced and restored"/>
    <s v="Close"/>
    <n v="9.6249999999999961E-2"/>
    <s v="G25"/>
    <n v="1327.9291666666661"/>
    <s v="None"/>
    <s v="WTG Scheduled Maintenance"/>
    <n v="8278"/>
    <n v="1327.9291666666661"/>
    <m/>
    <m/>
    <m/>
    <m/>
  </r>
  <r>
    <n v="1513"/>
    <x v="215"/>
    <x v="1"/>
    <x v="0"/>
    <x v="7"/>
    <x v="1"/>
    <x v="34"/>
    <s v="PWEGPL"/>
    <s v="MSEDCL"/>
    <n v="2.5000000000000001E-2"/>
    <n v="813"/>
    <x v="376"/>
    <s v="BD"/>
    <d v="1899-12-30T23:19:00"/>
    <d v="1899-12-30T23:45:00"/>
    <d v="1899-12-30T23:59:00"/>
    <n v="0.43333333333333446"/>
    <n v="0.2333333333333325"/>
    <n v="0.66666666666666696"/>
    <s v="Work under progress"/>
    <s v="Close"/>
    <n v="1.6666666666666673E-2"/>
    <s v="G21"/>
    <n v="190.83333333333343"/>
    <s v="None"/>
    <s v="WTG Breakdown Maintenance"/>
    <n v="6870"/>
    <n v="190.83333333333343"/>
    <m/>
    <m/>
    <m/>
    <m/>
  </r>
  <r>
    <n v="1514"/>
    <x v="216"/>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8365.1868055555569"/>
    <s v="Material shortage-Transformer mounting M20x40 bolt found broken 04 pc."/>
    <s v="WTG Breakdown Maintenance"/>
    <n v="8371"/>
    <n v="8365.1868055555569"/>
    <m/>
    <m/>
    <m/>
    <m/>
  </r>
  <r>
    <n v="1515"/>
    <x v="216"/>
    <x v="1"/>
    <x v="0"/>
    <x v="7"/>
    <x v="1"/>
    <x v="29"/>
    <s v="PWEGPL"/>
    <s v="MSEDCL"/>
    <n v="2.5000000000000001E-2"/>
    <n v="5240"/>
    <x v="388"/>
    <s v="BD"/>
    <d v="1899-12-30T00:00:00"/>
    <d v="1899-12-30T00:00:00"/>
    <d v="1899-12-30T23:59:00"/>
    <n v="0"/>
    <n v="23.983333333333334"/>
    <n v="23.983333333333334"/>
    <s v="IGBT failure so converter healthiness checking under profress"/>
    <s v="Open"/>
    <n v="0.59958333333333336"/>
    <s v="G10"/>
    <n v="8228.2819444444449"/>
    <s v="Material shortage-IGBT"/>
    <s v="WTG Breakdown Maintenance"/>
    <n v="8234"/>
    <n v="8228.2819444444449"/>
    <m/>
    <m/>
    <m/>
    <m/>
  </r>
  <r>
    <n v="1516"/>
    <x v="216"/>
    <x v="1"/>
    <x v="0"/>
    <x v="7"/>
    <x v="1"/>
    <x v="34"/>
    <s v="PWEGPL"/>
    <s v="MSEDCL"/>
    <n v="2.5000000000000001E-2"/>
    <n v="813"/>
    <x v="376"/>
    <s v="BD"/>
    <d v="1899-12-30T00:00:00"/>
    <d v="1899-12-30T00:00:00"/>
    <d v="1899-12-30T17:50:00"/>
    <n v="0"/>
    <n v="17.833333333333332"/>
    <n v="17.833333333333332"/>
    <s v="Relay failured replaced with new one and restored"/>
    <s v="Close"/>
    <n v="0.4458333333333333"/>
    <s v="G21"/>
    <n v="3958.2569444444443"/>
    <s v="None"/>
    <s v="WTG Breakdown Maintenance"/>
    <n v="5327"/>
    <n v="3958.2569444444443"/>
    <m/>
    <m/>
    <m/>
    <m/>
  </r>
  <r>
    <n v="1517"/>
    <x v="216"/>
    <x v="1"/>
    <x v="0"/>
    <x v="7"/>
    <x v="1"/>
    <x v="21"/>
    <s v="PWEGPL"/>
    <s v="MSEDCL"/>
    <n v="2.5000000000000001E-2"/>
    <n v="205"/>
    <x v="312"/>
    <s v="BD"/>
    <d v="1899-12-30T21:27:00"/>
    <d v="1899-12-30T23:30:00"/>
    <d v="1899-12-30T23:59:00"/>
    <n v="2.0500000000000007"/>
    <n v="0.48333333333333428"/>
    <n v="2.533333333333335"/>
    <s v="Work under progress"/>
    <s v="Open"/>
    <n v="6.333333333333338E-2"/>
    <s v="G03"/>
    <n v="741.9500000000005"/>
    <s v="Multiple Breakdowns"/>
    <s v="WTG Breakdown Maintenance"/>
    <n v="7029"/>
    <n v="741.9500000000005"/>
    <m/>
    <m/>
    <m/>
    <m/>
  </r>
  <r>
    <n v="1518"/>
    <x v="216"/>
    <x v="1"/>
    <x v="0"/>
    <x v="7"/>
    <x v="1"/>
    <x v="20"/>
    <s v="PWEGPL"/>
    <s v="MSEDCL"/>
    <n v="2.5000000000000001E-2"/>
    <n v="2118"/>
    <x v="293"/>
    <s v="BD"/>
    <d v="1899-12-30T23:34:00"/>
    <d v="1899-12-30T23:59:00"/>
    <d v="1899-12-30T23:59:00"/>
    <n v="0.41666666666666785"/>
    <n v="0"/>
    <n v="0.41666666666666785"/>
    <s v="Work under progress"/>
    <s v="Open"/>
    <n v="1.0416666666666697E-2"/>
    <s v="G03"/>
    <n v="122.03125000000034"/>
    <s v="Multiple Breakdowns"/>
    <s v="WTG Breakdown Maintenance"/>
    <n v="7029"/>
    <n v="122.03125000000034"/>
    <m/>
    <m/>
    <m/>
    <m/>
  </r>
  <r>
    <n v="1519"/>
    <x v="216"/>
    <x v="1"/>
    <x v="0"/>
    <x v="7"/>
    <x v="1"/>
    <x v="10"/>
    <s v="PWEGPL"/>
    <s v="MSEDCL"/>
    <n v="2.5000000000000001E-2"/>
    <n v="205"/>
    <x v="312"/>
    <s v="BD"/>
    <d v="1899-12-30T21:38:00"/>
    <d v="1899-12-30T22:50:00"/>
    <d v="1899-12-30T23:59:00"/>
    <n v="1.1999999999999984"/>
    <n v="1.1500000000000012"/>
    <n v="2.3499999999999996"/>
    <s v="Work under progress"/>
    <s v="Open"/>
    <n v="5.8749999999999997E-2"/>
    <s v="G30"/>
    <n v="637.73124999999993"/>
    <s v="Multiple Breakdowns"/>
    <s v="WTG Breakdown Maintenance"/>
    <n v="6513"/>
    <n v="637.73124999999993"/>
    <m/>
    <m/>
    <m/>
    <m/>
  </r>
  <r>
    <n v="1520"/>
    <x v="216"/>
    <x v="1"/>
    <x v="0"/>
    <x v="7"/>
    <x v="1"/>
    <x v="3"/>
    <s v="PWEGPL"/>
    <s v="MSEDCL"/>
    <n v="2.5000000000000001E-2"/>
    <n v="205"/>
    <x v="312"/>
    <s v="BD"/>
    <d v="1899-12-30T20:45:00"/>
    <d v="1899-12-30T22:55:00"/>
    <d v="1899-12-30T23:16:00"/>
    <n v="2.166666666666667"/>
    <n v="0.34999999999999876"/>
    <n v="2.5166666666666657"/>
    <s v="Reset and restored "/>
    <s v="Close"/>
    <n v="6.2916666666666649E-2"/>
    <s v="G33"/>
    <n v="511.0930555555554"/>
    <s v="None"/>
    <s v="WTG Breakdown Maintenance"/>
    <n v="4874"/>
    <n v="511.0930555555554"/>
    <m/>
    <m/>
    <m/>
    <m/>
  </r>
  <r>
    <n v="1521"/>
    <x v="216"/>
    <x v="1"/>
    <x v="0"/>
    <x v="7"/>
    <x v="1"/>
    <x v="38"/>
    <s v="PWEGPL"/>
    <s v="MSEDCL"/>
    <n v="2.5000000000000001E-2"/>
    <s v="CE100014"/>
    <x v="305"/>
    <s v="Manual stop/TCA"/>
    <d v="1899-12-30T10:54:00"/>
    <d v="1899-12-30T10:54:00"/>
    <d v="1899-12-30T14:28:00"/>
    <n v="0"/>
    <n v="3.566666666666666"/>
    <n v="3.566666666666666"/>
    <s v="TCA points closed"/>
    <s v="Close"/>
    <n v="8.9166666666666658E-2"/>
    <s v="G17"/>
    <n v="1180.1208333333332"/>
    <s v="None"/>
    <s v="WTG Scheduled Maintenance"/>
    <n v="7941"/>
    <n v="1180.1208333333332"/>
    <m/>
    <m/>
    <m/>
    <m/>
  </r>
  <r>
    <n v="1522"/>
    <x v="216"/>
    <x v="1"/>
    <x v="0"/>
    <x v="7"/>
    <x v="1"/>
    <x v="38"/>
    <s v="PWEGPL"/>
    <s v="MSEDCL"/>
    <n v="2.5000000000000001E-2"/>
    <n v="426"/>
    <x v="353"/>
    <s v="BD/TCA"/>
    <d v="1899-12-30T14:37:00"/>
    <d v="1899-12-30T15:57:00"/>
    <d v="1899-12-30T20:05:00"/>
    <n v="1.3333333333333313"/>
    <n v="4.133333333333332"/>
    <n v="5.4666666666666632"/>
    <s v="rotor speed sensor replaced"/>
    <s v="Close"/>
    <n v="0.13666666666666658"/>
    <s v="G17"/>
    <n v="1808.7833333333322"/>
    <s v="None"/>
    <s v="WTG Breakdown Maintenance"/>
    <n v="7941"/>
    <n v="1808.7833333333322"/>
    <m/>
    <m/>
    <m/>
    <m/>
  </r>
  <r>
    <n v="1523"/>
    <x v="217"/>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7993.4451388888892"/>
    <s v="Material shortage-Transformer mounting M20x40 bolt found broken 04 pc."/>
    <s v="WTG Breakdown Maintenance"/>
    <n v="7999"/>
    <n v="7993.4451388888892"/>
    <m/>
    <m/>
    <m/>
    <m/>
  </r>
  <r>
    <n v="1524"/>
    <x v="217"/>
    <x v="1"/>
    <x v="0"/>
    <x v="7"/>
    <x v="1"/>
    <x v="29"/>
    <s v="PWEGPL"/>
    <s v="MSEDCL"/>
    <n v="2.5000000000000001E-2"/>
    <n v="5240"/>
    <x v="388"/>
    <s v="BD"/>
    <d v="1899-12-30T00:00:00"/>
    <d v="1899-12-30T00:00:00"/>
    <d v="1899-12-30T23:59:00"/>
    <n v="0"/>
    <n v="23.983333333333334"/>
    <n v="23.983333333333334"/>
    <s v="IGBT failure so converter healthiness checking under profress"/>
    <s v="Open"/>
    <n v="0.59958333333333336"/>
    <s v="G10"/>
    <n v="8839.8569444444438"/>
    <s v="Material shortage-IGBT"/>
    <s v="WTG Breakdown Maintenance"/>
    <n v="8846"/>
    <n v="8839.8569444444438"/>
    <m/>
    <m/>
    <m/>
    <m/>
  </r>
  <r>
    <n v="1525"/>
    <x v="217"/>
    <x v="1"/>
    <x v="0"/>
    <x v="7"/>
    <x v="1"/>
    <x v="20"/>
    <s v="PWEGPL"/>
    <s v="MSEDCL"/>
    <n v="2.5000000000000001E-2"/>
    <n v="2118"/>
    <x v="293"/>
    <s v="BD"/>
    <d v="1899-12-30T00:00:00"/>
    <d v="1899-12-30T00:00:00"/>
    <d v="1899-12-30T03:06:00"/>
    <n v="0"/>
    <n v="3.1000000000000005"/>
    <n v="3.1000000000000005"/>
    <s v="Slipring cleaned "/>
    <s v="Close"/>
    <n v="7.7500000000000013E-2"/>
    <s v="G02"/>
    <n v="902.74583333333339"/>
    <s v="None"/>
    <s v="WTG Breakdown Maintenance"/>
    <n v="6989"/>
    <n v="902.74583333333339"/>
    <m/>
    <m/>
    <m/>
    <m/>
  </r>
  <r>
    <n v="1526"/>
    <x v="217"/>
    <x v="1"/>
    <x v="0"/>
    <x v="7"/>
    <x v="1"/>
    <x v="0"/>
    <s v="PWEGPL"/>
    <s v="MSEDCL"/>
    <n v="2.5000000000000001E-2"/>
    <s v="CE100014"/>
    <x v="305"/>
    <s v="Manual stop/TCA"/>
    <d v="1899-12-30T11:43:00"/>
    <d v="1899-12-30T11:43:00"/>
    <d v="1899-12-30T17:38:00"/>
    <n v="0"/>
    <n v="5.9166666666666661"/>
    <n v="5.9166666666666661"/>
    <s v="TCA points closed"/>
    <s v="Close"/>
    <n v="0.14791666666666667"/>
    <s v="G16"/>
    <n v="1962.114583333333"/>
    <s v="None"/>
    <s v="WTG Scheduled Maintenance"/>
    <n v="7959"/>
    <n v="1962.114583333333"/>
    <m/>
    <m/>
    <m/>
    <m/>
  </r>
  <r>
    <n v="1527"/>
    <x v="217"/>
    <x v="1"/>
    <x v="0"/>
    <x v="7"/>
    <x v="1"/>
    <x v="10"/>
    <s v="PWEGPL"/>
    <s v="MSEDCL"/>
    <n v="2.5000000000000001E-2"/>
    <n v="205"/>
    <x v="312"/>
    <s v="BD"/>
    <d v="1899-12-30T00:00:00"/>
    <d v="1899-12-30T00:00:00"/>
    <d v="1899-12-30T00:17:00"/>
    <n v="0"/>
    <n v="0.28333333333333333"/>
    <n v="0.28333333333333333"/>
    <s v="Oil top up and restored the WTG"/>
    <s v="Close"/>
    <n v="7.0833333333333338E-3"/>
    <s v="G28"/>
    <n v="68.188888888888883"/>
    <s v="None"/>
    <s v="WTG Breakdown Maintenance"/>
    <n v="5776"/>
    <n v="68.188888888888883"/>
    <m/>
    <m/>
    <m/>
    <m/>
  </r>
  <r>
    <n v="1528"/>
    <x v="217"/>
    <x v="1"/>
    <x v="0"/>
    <x v="7"/>
    <x v="1"/>
    <x v="21"/>
    <s v="PWEGPL"/>
    <s v="MSEDCL"/>
    <n v="2.5000000000000001E-2"/>
    <n v="205"/>
    <x v="312"/>
    <s v="BD"/>
    <d v="1899-12-30T00:00:00"/>
    <d v="1899-12-30T00:00:00"/>
    <d v="1899-12-30T01:53:00"/>
    <n v="0"/>
    <n v="1.8833333333333333"/>
    <n v="1.8833333333333333"/>
    <s v="Oil top up and restored the WTG"/>
    <s v="Close"/>
    <n v="4.7083333333333338E-2"/>
    <s v="G03"/>
    <n v="600.46944444444443"/>
    <s v="None"/>
    <s v="WTG Breakdown Maintenance"/>
    <n v="7652"/>
    <n v="600.46944444444443"/>
    <m/>
    <m/>
    <m/>
    <m/>
  </r>
  <r>
    <n v="1529"/>
    <x v="217"/>
    <x v="1"/>
    <x v="0"/>
    <x v="7"/>
    <x v="1"/>
    <x v="20"/>
    <s v="PWEGPL"/>
    <s v="MSEDCL"/>
    <n v="2.5000000000000001E-2"/>
    <n v="2118"/>
    <x v="293"/>
    <s v="BD"/>
    <d v="1899-12-30T10:59:00"/>
    <d v="1899-12-30T11:23:00"/>
    <d v="1899-12-30T21:48:00"/>
    <n v="0.39999999999999991"/>
    <n v="10.416666666666668"/>
    <n v="10.816666666666666"/>
    <s v="sliprimng cleaned and restored"/>
    <s v="Close"/>
    <n v="0.27041666666666669"/>
    <s v="G03"/>
    <n v="3448.7138888888885"/>
    <s v="None"/>
    <s v="WTG Breakdown Maintenance"/>
    <n v="7652"/>
    <n v="3448.7138888888885"/>
    <m/>
    <m/>
    <m/>
    <m/>
  </r>
  <r>
    <n v="1530"/>
    <x v="217"/>
    <x v="1"/>
    <x v="0"/>
    <x v="7"/>
    <x v="1"/>
    <x v="20"/>
    <s v="PWEGPL"/>
    <s v="MSEDCL"/>
    <n v="2.5000000000000001E-2"/>
    <n v="2118"/>
    <x v="293"/>
    <s v="BD"/>
    <d v="1899-12-30T22:42:00"/>
    <d v="1899-12-30T23:30:00"/>
    <d v="1899-12-30T23:59:00"/>
    <n v="0.79999999999999982"/>
    <n v="0.48333333333333428"/>
    <n v="1.2833333333333341"/>
    <s v="work under progress"/>
    <s v="Open"/>
    <n v="3.2083333333333353E-2"/>
    <s v="G03"/>
    <n v="409.16944444444465"/>
    <s v="None"/>
    <s v="WTG Breakdown Maintenance"/>
    <n v="7652"/>
    <n v="409.16944444444465"/>
    <m/>
    <m/>
    <m/>
    <m/>
  </r>
  <r>
    <n v="1531"/>
    <x v="217"/>
    <x v="1"/>
    <x v="0"/>
    <x v="7"/>
    <x v="1"/>
    <x v="39"/>
    <s v="PWEGPL"/>
    <s v="MSEDCL"/>
    <n v="2.5000000000000001E-2"/>
    <n v="205"/>
    <x v="312"/>
    <s v="BD"/>
    <d v="1899-12-30T20:12:00"/>
    <d v="1899-12-30T21:23:00"/>
    <d v="1899-12-30T22:13:00"/>
    <n v="1.1833333333333318"/>
    <n v="0.83333333333333304"/>
    <n v="2.0166666666666648"/>
    <s v="Oil top up and restored the WTG"/>
    <s v="Close"/>
    <n v="5.0416666666666624E-2"/>
    <s v="G14"/>
    <n v="676.33958333333271"/>
    <s v="None"/>
    <s v="WTG Breakdown Maintenance"/>
    <n v="8049"/>
    <n v="676.33958333333271"/>
    <m/>
    <m/>
    <m/>
    <m/>
  </r>
  <r>
    <n v="1532"/>
    <x v="218"/>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7562.7444444444445"/>
    <s v="Material shortage-Transformer mounting M20x40 bolt found broken 04 pc."/>
    <s v="WTG Breakdown Maintenance"/>
    <n v="7568"/>
    <n v="7562.7444444444445"/>
    <m/>
    <m/>
    <m/>
    <m/>
  </r>
  <r>
    <n v="1533"/>
    <x v="218"/>
    <x v="1"/>
    <x v="0"/>
    <x v="7"/>
    <x v="1"/>
    <x v="20"/>
    <s v="PWEGPL"/>
    <s v="MSEDCL"/>
    <n v="2.5000000000000001E-2"/>
    <n v="2118"/>
    <x v="293"/>
    <s v="BD"/>
    <d v="1899-12-30T00:00:00"/>
    <d v="1899-12-30T00:00:00"/>
    <d v="1899-12-30T13:04:00"/>
    <n v="0"/>
    <n v="13.066666666666666"/>
    <n v="13.066666666666666"/>
    <s v="Slipring spare connection given and restored"/>
    <s v="Close"/>
    <n v="0.32666666666666666"/>
    <s v="G04"/>
    <n v="3627.0888888888885"/>
    <s v="None"/>
    <s v="WTG Breakdown Maintenance"/>
    <n v="6662"/>
    <n v="3627.0888888888885"/>
    <m/>
    <m/>
    <m/>
    <m/>
  </r>
  <r>
    <n v="1534"/>
    <x v="218"/>
    <x v="1"/>
    <x v="0"/>
    <x v="7"/>
    <x v="1"/>
    <x v="29"/>
    <s v="PWEGPL"/>
    <s v="MSEDCL"/>
    <n v="2.5000000000000001E-2"/>
    <n v="5240"/>
    <x v="388"/>
    <s v="BD"/>
    <d v="1899-12-30T00:00:00"/>
    <d v="1899-12-30T00:00:00"/>
    <d v="1899-12-30T10:15:00"/>
    <n v="0"/>
    <n v="10.25"/>
    <n v="10.25"/>
    <s v="Replaced IGBT in inverter side T phase and rectifier side R &amp; S phase then pole test taken and found ok"/>
    <s v="Close"/>
    <n v="0.25625000000000003"/>
    <s v="G10"/>
    <n v="3507.2083333333335"/>
    <s v="Material shortage-IGBT"/>
    <s v="WTG Breakdown Maintenance"/>
    <n v="8212"/>
    <n v="3507.2083333333335"/>
    <m/>
    <m/>
    <m/>
    <m/>
  </r>
  <r>
    <n v="1535"/>
    <x v="218"/>
    <x v="1"/>
    <x v="0"/>
    <x v="7"/>
    <x v="1"/>
    <x v="31"/>
    <s v="PWEGPL"/>
    <s v="MSEDCL"/>
    <n v="2.5000000000000001E-2"/>
    <n v="110"/>
    <x v="287"/>
    <s v="BD"/>
    <d v="1899-12-30T10:30:00"/>
    <d v="1899-12-30T10:45:00"/>
    <d v="1899-12-30T11:40:00"/>
    <n v="0.25000000000000044"/>
    <n v="0.91666666666666607"/>
    <n v="1.1666666666666665"/>
    <s v="Yaw twist released and restored"/>
    <s v="Close"/>
    <n v="2.9166666666666664E-2"/>
    <s v="G14"/>
    <n v="329.53472222222217"/>
    <s v="None"/>
    <s v="WTG Breakdown Maintenance"/>
    <n v="6779"/>
    <n v="329.53472222222217"/>
    <m/>
    <m/>
    <m/>
    <m/>
  </r>
  <r>
    <n v="1536"/>
    <x v="218"/>
    <x v="1"/>
    <x v="0"/>
    <x v="7"/>
    <x v="1"/>
    <x v="0"/>
    <s v="PWEGPL"/>
    <s v="MSEDCL"/>
    <n v="2.5000000000000001E-2"/>
    <n v="110"/>
    <x v="287"/>
    <s v="BD"/>
    <d v="1899-12-30T13:10:00"/>
    <d v="1899-12-30T13:24:00"/>
    <d v="1899-12-30T14:00:00"/>
    <n v="0.23333333333333517"/>
    <n v="0.60000000000000053"/>
    <n v="0.8333333333333357"/>
    <s v="Yaw twist released and restored"/>
    <s v="Close"/>
    <n v="2.0833333333333395E-2"/>
    <s v="G18"/>
    <n v="279.93055555555634"/>
    <s v="None"/>
    <s v="WTG Breakdown Maintenance"/>
    <n v="8062"/>
    <n v="279.93055555555634"/>
    <m/>
    <m/>
    <m/>
    <m/>
  </r>
  <r>
    <n v="1537"/>
    <x v="218"/>
    <x v="1"/>
    <x v="0"/>
    <x v="7"/>
    <x v="1"/>
    <x v="1"/>
    <s v="PWEGPL"/>
    <s v="MSEDCL"/>
    <n v="2.5000000000000001E-2"/>
    <n v="5201"/>
    <x v="299"/>
    <s v="BD"/>
    <d v="1899-12-30T15:35:00"/>
    <d v="1899-12-30T16:00:00"/>
    <d v="1899-12-30T17:12:00"/>
    <n v="0.41666666666666519"/>
    <n v="1.2000000000000011"/>
    <n v="1.6166666666666663"/>
    <s v="ACB TU reset done and restored"/>
    <s v="Close"/>
    <n v="4.0416666666666656E-2"/>
    <s v="G22"/>
    <n v="392.78263888888881"/>
    <s v="Due to Gid fault"/>
    <s v="WTG Breakdown Maintenance"/>
    <n v="5831"/>
    <n v="392.78263888888881"/>
    <m/>
    <m/>
    <m/>
    <m/>
  </r>
  <r>
    <n v="1538"/>
    <x v="218"/>
    <x v="1"/>
    <x v="0"/>
    <x v="7"/>
    <x v="1"/>
    <x v="2"/>
    <s v="PWEGPL"/>
    <s v="MSEDCL"/>
    <n v="2.5000000000000001E-2"/>
    <n v="5201"/>
    <x v="299"/>
    <s v="BD"/>
    <d v="1899-12-30T15:35:00"/>
    <d v="1899-12-30T15:35:00"/>
    <d v="1899-12-30T16:58:00"/>
    <n v="0"/>
    <n v="1.3833333333333311"/>
    <n v="1.3833333333333311"/>
    <s v="ACB TU reset done and restored"/>
    <s v="Close"/>
    <n v="3.4583333333333278E-2"/>
    <s v="G25"/>
    <n v="347.33194444444388"/>
    <s v="Due to Gid fault"/>
    <s v="WTG Breakdown Maintenance"/>
    <n v="6026"/>
    <n v="347.33194444444388"/>
    <m/>
    <m/>
    <m/>
    <m/>
  </r>
  <r>
    <n v="1539"/>
    <x v="218"/>
    <x v="1"/>
    <x v="0"/>
    <x v="7"/>
    <x v="1"/>
    <x v="15"/>
    <s v="PWEGPL"/>
    <s v="MSEDCL"/>
    <n v="2.5000000000000001E-2"/>
    <n v="5201"/>
    <x v="299"/>
    <s v="BD"/>
    <d v="1899-12-30T15:35:00"/>
    <d v="1899-12-30T17:57:00"/>
    <d v="1899-12-30T18:08:00"/>
    <n v="2.3666666666666663"/>
    <n v="0.18333333333333268"/>
    <n v="2.5499999999999989"/>
    <s v="ACB TU reset done and restored"/>
    <s v="Close"/>
    <n v="6.3749999999999973E-2"/>
    <s v="G34"/>
    <n v="574.5999999999998"/>
    <s v="Due to Gid fault"/>
    <s v="WTG Breakdown Maintenance"/>
    <n v="5408"/>
    <n v="574.5999999999998"/>
    <m/>
    <m/>
    <m/>
    <m/>
  </r>
  <r>
    <n v="1540"/>
    <x v="218"/>
    <x v="1"/>
    <x v="0"/>
    <x v="7"/>
    <x v="1"/>
    <x v="16"/>
    <s v="PWEGPL"/>
    <s v="MSEDCL"/>
    <n v="2.5000000000000001E-2"/>
    <n v="5201"/>
    <x v="299"/>
    <s v="BD"/>
    <d v="1899-12-30T15:35:00"/>
    <d v="1899-12-30T17:15:00"/>
    <d v="1899-12-30T18:08:00"/>
    <n v="1.6666666666666661"/>
    <n v="0.88333333333333286"/>
    <n v="2.5499999999999989"/>
    <s v="ACB TU reset done and restored"/>
    <s v="Close"/>
    <n v="6.3749999999999973E-2"/>
    <s v="G34"/>
    <n v="574.5999999999998"/>
    <s v="Due to Gid fault"/>
    <s v="WTG Breakdown Maintenance"/>
    <n v="5408"/>
    <n v="574.5999999999998"/>
    <m/>
    <m/>
    <m/>
    <m/>
  </r>
  <r>
    <n v="1541"/>
    <x v="218"/>
    <x v="1"/>
    <x v="0"/>
    <x v="7"/>
    <x v="1"/>
    <x v="6"/>
    <s v="PWEGPL"/>
    <s v="MSEDCL"/>
    <n v="2.5000000000000001E-2"/>
    <n v="2118"/>
    <x v="293"/>
    <s v="BD"/>
    <d v="1899-12-30T21:09:00"/>
    <d v="1899-12-30T22:01:00"/>
    <d v="1899-12-30T23:59:00"/>
    <n v="0.86666666666666625"/>
    <n v="1.9666666666666677"/>
    <n v="2.8333333333333339"/>
    <s v="Work under progress"/>
    <s v="Open"/>
    <n v="7.0833333333333345E-2"/>
    <s v="G40"/>
    <n v="532.5486111111112"/>
    <s v="None"/>
    <s v="WTG Breakdown Maintenance"/>
    <n v="4511"/>
    <n v="532.5486111111112"/>
    <m/>
    <m/>
    <m/>
    <m/>
  </r>
  <r>
    <n v="1542"/>
    <x v="219"/>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7770.6"/>
    <s v="Material shortage-Transformer mounting M20x40 bolt found broken 04 pc."/>
    <s v="WTG Breakdown Maintenance"/>
    <n v="7776"/>
    <n v="7770.6"/>
    <m/>
    <m/>
    <m/>
    <m/>
  </r>
  <r>
    <n v="1543"/>
    <x v="219"/>
    <x v="1"/>
    <x v="0"/>
    <x v="7"/>
    <x v="1"/>
    <x v="36"/>
    <s v="PWEGPL"/>
    <s v="MSEDCL"/>
    <n v="2.5000000000000001E-2"/>
    <n v="205"/>
    <x v="312"/>
    <s v="BD"/>
    <d v="1899-12-30T09:14:00"/>
    <d v="1899-12-30T10:05:00"/>
    <d v="1899-12-30T11:14:00"/>
    <n v="0.85000000000000098"/>
    <n v="1.1499999999999986"/>
    <n v="1.9999999999999996"/>
    <s v="Oil top up and restored the WTG"/>
    <s v="Close"/>
    <n v="4.9999999999999989E-2"/>
    <s v="G24"/>
    <n v="501.41666666666657"/>
    <s v="None"/>
    <s v="WTG Breakdown Maintenance"/>
    <n v="6017"/>
    <n v="501.41666666666657"/>
    <m/>
    <m/>
    <m/>
    <m/>
  </r>
  <r>
    <n v="1544"/>
    <x v="219"/>
    <x v="1"/>
    <x v="0"/>
    <x v="7"/>
    <x v="1"/>
    <x v="6"/>
    <s v="PWEGPL"/>
    <s v="MSEDCL"/>
    <n v="2.5000000000000001E-2"/>
    <n v="2118"/>
    <x v="293"/>
    <s v="BD"/>
    <d v="1899-12-30T00:00:00"/>
    <d v="1899-12-30T00:00:00"/>
    <d v="1899-12-30T00:11:00"/>
    <n v="0"/>
    <n v="0.18333333333333332"/>
    <n v="0.18333333333333332"/>
    <s v="Slipriing cleaned and restored"/>
    <s v="Close"/>
    <n v="4.5833333333333334E-3"/>
    <s v="G40"/>
    <n v="34.046527777777776"/>
    <s v="None"/>
    <s v="WTG Breakdown Maintenance"/>
    <n v="4457"/>
    <n v="34.046527777777776"/>
    <m/>
    <m/>
    <m/>
    <m/>
  </r>
  <r>
    <n v="1545"/>
    <x v="219"/>
    <x v="1"/>
    <x v="0"/>
    <x v="7"/>
    <x v="1"/>
    <x v="14"/>
    <s v="PWEGPL"/>
    <s v="MSEDCL"/>
    <n v="2.5000000000000001E-2"/>
    <n v="401"/>
    <x v="331"/>
    <s v="BD"/>
    <d v="1899-12-30T14:57:00"/>
    <d v="1899-12-30T15:30:00"/>
    <d v="1899-12-30T18:48:00"/>
    <n v="0.55000000000000071"/>
    <n v="3.2999999999999989"/>
    <n v="3.8499999999999996"/>
    <s v="Gear oil top up and restored"/>
    <s v="Close"/>
    <n v="9.6250000000000002E-2"/>
    <s v="G35"/>
    <n v="915.49791666666658"/>
    <s v="None"/>
    <s v="WTG Breakdown Maintenance"/>
    <n v="5707"/>
    <n v="915.49791666666658"/>
    <m/>
    <m/>
    <m/>
    <m/>
  </r>
  <r>
    <n v="1546"/>
    <x v="219"/>
    <x v="1"/>
    <x v="0"/>
    <x v="7"/>
    <x v="1"/>
    <x v="13"/>
    <s v="PWEGPL"/>
    <s v="MSEDCL"/>
    <n v="2.5000000000000001E-2"/>
    <n v="5228"/>
    <x v="346"/>
    <s v="BD"/>
    <d v="1899-12-30T09:37:00"/>
    <d v="1899-12-30T11:25:00"/>
    <d v="1899-12-30T14:37:00"/>
    <n v="1.7999999999999989"/>
    <n v="3.200000000000002"/>
    <n v="5.0000000000000009"/>
    <s v="Contactor serviced and restored"/>
    <s v="Close"/>
    <n v="0.12500000000000003"/>
    <s v="G32"/>
    <n v="955.62500000000011"/>
    <s v="None"/>
    <s v="WTG Breakdown Maintenance"/>
    <n v="4587"/>
    <n v="955.62500000000011"/>
    <m/>
    <m/>
    <m/>
    <m/>
  </r>
  <r>
    <n v="1547"/>
    <x v="220"/>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1846.767361111111"/>
    <s v="Material shortage-Transformer mounting M20x40 bolt found broken 04 pc."/>
    <s v="WTG Breakdown Maintenance"/>
    <n v="11855"/>
    <n v="11846.767361111111"/>
    <m/>
    <m/>
    <m/>
    <m/>
  </r>
  <r>
    <n v="1548"/>
    <x v="220"/>
    <x v="1"/>
    <x v="0"/>
    <x v="7"/>
    <x v="1"/>
    <x v="15"/>
    <s v="PWEGPL"/>
    <s v="MSEDCL"/>
    <n v="2.5000000000000001E-2"/>
    <n v="800"/>
    <x v="298"/>
    <s v="BD"/>
    <d v="1899-12-30T09:10:00"/>
    <d v="1899-12-30T10:23:00"/>
    <d v="1899-12-30T13:43:00"/>
    <n v="1.2166666666666663"/>
    <n v="3.3333333333333335"/>
    <n v="4.55"/>
    <s v="Module intercahnged and restored"/>
    <s v="Close"/>
    <n v="0.11375"/>
    <s v="G34"/>
    <n v="1801.2312499999998"/>
    <s v="None"/>
    <s v="WTG Breakdown Maintenance"/>
    <n v="9501"/>
    <n v="1801.2312499999998"/>
    <m/>
    <m/>
    <m/>
    <m/>
  </r>
  <r>
    <n v="1549"/>
    <x v="220"/>
    <x v="1"/>
    <x v="0"/>
    <x v="7"/>
    <x v="1"/>
    <x v="15"/>
    <s v="PWEGPL"/>
    <s v="MSEDCL"/>
    <n v="2.5000000000000001E-2"/>
    <n v="804"/>
    <x v="382"/>
    <s v="BD"/>
    <d v="1899-12-30T16:03:00"/>
    <d v="1899-12-30T17:10:00"/>
    <d v="1899-12-30T19:40:00"/>
    <n v="1.1166666666666654"/>
    <n v="2.5000000000000018"/>
    <n v="3.6166666666666671"/>
    <s v="Module replaced amd restored"/>
    <s v="Close"/>
    <n v="9.0416666666666687E-2"/>
    <s v="G34"/>
    <n v="1431.7479166666669"/>
    <s v="None"/>
    <s v="WTG Breakdown Maintenance"/>
    <n v="9501"/>
    <n v="1431.7479166666669"/>
    <m/>
    <m/>
    <m/>
    <m/>
  </r>
  <r>
    <n v="1550"/>
    <x v="221"/>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6861.2319444444447"/>
    <s v="Material shortage-Transformer mounting M20x40 bolt found broken 04 pc."/>
    <s v="WTG Breakdown Maintenance"/>
    <n v="6866"/>
    <n v="6861.2319444444447"/>
    <m/>
    <m/>
    <m/>
    <m/>
  </r>
  <r>
    <n v="1551"/>
    <x v="221"/>
    <x v="1"/>
    <x v="0"/>
    <x v="7"/>
    <x v="1"/>
    <x v="23"/>
    <s v="PWEGPL"/>
    <s v="MSEDCL"/>
    <n v="2.5000000000000001E-2"/>
    <n v="700"/>
    <x v="329"/>
    <s v="BD"/>
    <d v="1899-12-30T06:27:00"/>
    <d v="1899-12-30T08:25:00"/>
    <d v="1899-12-30T09:37:00"/>
    <n v="1.9666666666666663"/>
    <n v="1.2000000000000011"/>
    <n v="3.1666666666666674"/>
    <s v="Slipring cleaned and restored"/>
    <s v="Close"/>
    <n v="7.9166666666666691E-2"/>
    <s v="G01"/>
    <n v="937.06944444444468"/>
    <s v="None"/>
    <s v="WTG Breakdown Maintenance"/>
    <n v="7102"/>
    <n v="937.06944444444468"/>
    <m/>
    <m/>
    <m/>
    <m/>
  </r>
  <r>
    <n v="1552"/>
    <x v="221"/>
    <x v="1"/>
    <x v="0"/>
    <x v="7"/>
    <x v="1"/>
    <x v="14"/>
    <s v="PWEGPL"/>
    <s v="MSEDCL"/>
    <n v="2.5000000000000001E-2"/>
    <n v="402"/>
    <x v="300"/>
    <s v="Manual stop"/>
    <d v="1899-12-30T12:23:00"/>
    <d v="1899-12-30T12:23:00"/>
    <d v="1899-12-30T14:20:00"/>
    <n v="0"/>
    <n v="1.9500000000000011"/>
    <n v="1.9500000000000011"/>
    <s v="Hose replaced and arrested the leakages"/>
    <s v="Close"/>
    <n v="4.8750000000000029E-2"/>
    <s v="G37"/>
    <n v="358.80000000000018"/>
    <s v="None"/>
    <s v="WTG Scheduled Maintenance"/>
    <n v="4416"/>
    <n v="358.80000000000018"/>
    <m/>
    <m/>
    <m/>
    <m/>
  </r>
  <r>
    <n v="1553"/>
    <x v="221"/>
    <x v="1"/>
    <x v="0"/>
    <x v="7"/>
    <x v="1"/>
    <x v="2"/>
    <s v="PWEGPL"/>
    <s v="MSEDCL"/>
    <n v="2.5000000000000001E-2"/>
    <s v="CE100014"/>
    <x v="305"/>
    <s v="Manual stop/TCA"/>
    <d v="1899-12-30T11:50:00"/>
    <d v="1899-12-30T11:50:00"/>
    <d v="1899-12-30T16:49:00"/>
    <n v="0"/>
    <n v="4.9833333333333316"/>
    <n v="4.9833333333333316"/>
    <s v="TCA points closed and restored"/>
    <s v="Close"/>
    <n v="0.1245833333333333"/>
    <s v="G25"/>
    <n v="1115.8513888888886"/>
    <s v="None"/>
    <s v="WTG Scheduled Maintenance"/>
    <n v="5374"/>
    <n v="1115.8513888888886"/>
    <m/>
    <m/>
    <m/>
    <m/>
  </r>
  <r>
    <n v="1554"/>
    <x v="221"/>
    <x v="1"/>
    <x v="0"/>
    <x v="7"/>
    <x v="1"/>
    <x v="32"/>
    <s v="PWEGPL"/>
    <s v="MSEDCL"/>
    <n v="2.5000000000000001E-2"/>
    <s v="CE100001"/>
    <x v="288"/>
    <s v="Manual stop"/>
    <d v="1899-12-30T14:41:00"/>
    <d v="1899-12-30T14:41:00"/>
    <d v="1899-12-30T16:53:00"/>
    <n v="0"/>
    <n v="2.1999999999999975"/>
    <n v="2.1999999999999975"/>
    <s v="MCB switched ON and checked fans found ok"/>
    <s v="Close"/>
    <n v="5.4999999999999938E-2"/>
    <s v="G15"/>
    <n v="497.56666666666609"/>
    <s v="None"/>
    <s v="WTG Scheduled Maintenance"/>
    <n v="5428"/>
    <n v="497.56666666666609"/>
    <m/>
    <m/>
    <m/>
    <m/>
  </r>
  <r>
    <n v="1555"/>
    <x v="222"/>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723.1076388888891"/>
    <s v="Material shortage-Transformer mounting M20x40 bolt found broken 04 pc."/>
    <s v="WTG Breakdown Maintenance"/>
    <n v="2725"/>
    <n v="2723.1076388888891"/>
    <m/>
    <m/>
    <m/>
    <m/>
  </r>
  <r>
    <n v="1556"/>
    <x v="222"/>
    <x v="1"/>
    <x v="0"/>
    <x v="7"/>
    <x v="1"/>
    <x v="6"/>
    <s v="PWEGPL"/>
    <s v="MSEDCL"/>
    <n v="2.5000000000000001E-2"/>
    <n v="2118"/>
    <x v="293"/>
    <s v="BD"/>
    <d v="1899-12-30T09:32:00"/>
    <d v="1899-12-30T10:47:00"/>
    <d v="1899-12-30T12:17:00"/>
    <n v="1.2500000000000009"/>
    <n v="1.4999999999999987"/>
    <n v="2.7499999999999996"/>
    <s v="Slipring cleaned and restored"/>
    <s v="Close"/>
    <n v="6.8749999999999992E-2"/>
    <s v="G38"/>
    <n v="198.57291666666663"/>
    <s v="None"/>
    <s v="WTG Breakdown Maintenance"/>
    <n v="1733"/>
    <n v="198.57291666666663"/>
    <m/>
    <m/>
    <m/>
    <m/>
  </r>
  <r>
    <n v="1557"/>
    <x v="222"/>
    <x v="1"/>
    <x v="0"/>
    <x v="7"/>
    <x v="1"/>
    <x v="35"/>
    <s v="PWEGPL"/>
    <s v="MSEDCL"/>
    <n v="2.5000000000000001E-2"/>
    <n v="110"/>
    <x v="287"/>
    <s v="BD"/>
    <d v="1899-12-30T06:59:00"/>
    <d v="1899-12-30T08:45:00"/>
    <d v="1899-12-30T09:15:00"/>
    <n v="1.7666666666666657"/>
    <n v="0.50000000000000089"/>
    <n v="2.2666666666666666"/>
    <s v="Unwinding done restored"/>
    <s v="Close"/>
    <n v="5.6666666666666671E-2"/>
    <s v="G25"/>
    <n v="229.87777777777779"/>
    <s v="Response time delay due to acess road not available to approach the turbine"/>
    <s v="WTG Breakdown Maintenance"/>
    <n v="2434"/>
    <n v="229.87777777777779"/>
    <m/>
    <m/>
    <m/>
    <m/>
  </r>
  <r>
    <n v="1558"/>
    <x v="222"/>
    <x v="1"/>
    <x v="0"/>
    <x v="7"/>
    <x v="1"/>
    <x v="32"/>
    <s v="PWEGPL"/>
    <s v="MSEDCL"/>
    <n v="2.5000000000000001E-2"/>
    <n v="2118"/>
    <x v="293"/>
    <s v="BD"/>
    <d v="1899-12-30T09:55:00"/>
    <d v="1899-12-30T10:08:00"/>
    <d v="1899-12-30T12:12:00"/>
    <n v="0.21666666666666723"/>
    <n v="2.066666666666666"/>
    <n v="2.2833333333333332"/>
    <s v="Slipring cleaned and restored"/>
    <s v="Close"/>
    <n v="5.7083333333333333E-2"/>
    <s v="G15"/>
    <n v="240.13055555555556"/>
    <s v="None"/>
    <s v="WTG Breakdown Maintenance"/>
    <n v="2524"/>
    <n v="240.13055555555556"/>
    <m/>
    <m/>
    <m/>
    <m/>
  </r>
  <r>
    <n v="1559"/>
    <x v="222"/>
    <x v="1"/>
    <x v="0"/>
    <x v="7"/>
    <x v="1"/>
    <x v="7"/>
    <s v="PWEGPL"/>
    <s v="MSEDCL"/>
    <n v="2.5000000000000001E-2"/>
    <s v="CE100014"/>
    <x v="305"/>
    <s v="Manual stop/TCA"/>
    <d v="1899-12-30T12:42:00"/>
    <d v="1899-12-30T12:42:00"/>
    <d v="1899-12-30T14:50:00"/>
    <n v="0"/>
    <n v="2.1333333333333337"/>
    <n v="2.1333333333333337"/>
    <s v="TCA points closed and restored"/>
    <s v="Close"/>
    <n v="5.3333333333333344E-2"/>
    <s v="G38"/>
    <n v="154.04444444444445"/>
    <s v="None"/>
    <s v="WTG Scheduled Maintenance"/>
    <n v="1733"/>
    <n v="154.04444444444445"/>
    <m/>
    <m/>
    <m/>
    <m/>
  </r>
  <r>
    <n v="1560"/>
    <x v="222"/>
    <x v="1"/>
    <x v="0"/>
    <x v="7"/>
    <x v="1"/>
    <x v="0"/>
    <s v="PWEGPL"/>
    <s v="MSEDCL"/>
    <n v="2.5000000000000001E-2"/>
    <n v="205"/>
    <x v="312"/>
    <s v="BD"/>
    <d v="1899-12-30T13:29:00"/>
    <d v="1899-12-30T15:10:00"/>
    <d v="1899-12-30T15:26:00"/>
    <n v="1.6833333333333327"/>
    <n v="0.26666666666666838"/>
    <n v="1.9500000000000011"/>
    <s v="Oil topup and restored"/>
    <s v="Close"/>
    <n v="4.8750000000000029E-2"/>
    <s v="G18"/>
    <n v="216.6125000000001"/>
    <s v="None"/>
    <s v="WTG Breakdown Maintenance"/>
    <n v="2666"/>
    <n v="216.6125000000001"/>
    <m/>
    <m/>
    <m/>
    <m/>
  </r>
  <r>
    <n v="1561"/>
    <x v="222"/>
    <x v="1"/>
    <x v="0"/>
    <x v="7"/>
    <x v="1"/>
    <x v="22"/>
    <s v="PWEGPL"/>
    <s v="MSEDCL"/>
    <n v="2.5000000000000001E-2"/>
    <n v="205"/>
    <x v="312"/>
    <s v="BD"/>
    <d v="1899-12-30T15:14:00"/>
    <d v="1899-12-30T15:39:00"/>
    <d v="1899-12-30T16:00:00"/>
    <n v="0.41666666666666785"/>
    <n v="0.34999999999999876"/>
    <n v="0.76666666666666661"/>
    <s v="Oil topup and restored"/>
    <s v="Close"/>
    <n v="1.9166666666666665E-2"/>
    <s v="G04"/>
    <n v="85.515277777777769"/>
    <s v="None"/>
    <s v="WTG Breakdown Maintenance"/>
    <n v="2677"/>
    <n v="85.515277777777769"/>
    <m/>
    <m/>
    <m/>
    <m/>
  </r>
  <r>
    <n v="1562"/>
    <x v="223"/>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293.1013888888888"/>
    <s v="Material shortage-Transformer mounting M20x40 bolt found broken 04 pc."/>
    <s v="WTG Breakdown Maintenance"/>
    <n v="1294"/>
    <n v="1293.1013888888888"/>
    <m/>
    <m/>
    <m/>
    <m/>
  </r>
  <r>
    <n v="1563"/>
    <x v="223"/>
    <x v="1"/>
    <x v="0"/>
    <x v="7"/>
    <x v="1"/>
    <x v="24"/>
    <s v="PWEGPL"/>
    <s v="MSEDCL"/>
    <n v="2.5000000000000001E-2"/>
    <s v="CE100001"/>
    <x v="288"/>
    <s v="Manual stop"/>
    <d v="1899-12-30T10:51:00"/>
    <d v="1899-12-30T10:51:00"/>
    <d v="1899-12-30T12:42:00"/>
    <n v="0"/>
    <n v="1.85"/>
    <n v="1.85"/>
    <s v="GB auxilury pump motor replaced and restored"/>
    <s v="Close"/>
    <n v="4.6250000000000006E-2"/>
    <s v="G21"/>
    <n v="120.63541666666666"/>
    <s v="None"/>
    <s v="WTG Scheduled Maintenance"/>
    <n v="1565"/>
    <n v="120.63541666666666"/>
    <m/>
    <m/>
    <m/>
    <m/>
  </r>
  <r>
    <n v="1564"/>
    <x v="223"/>
    <x v="1"/>
    <x v="0"/>
    <x v="7"/>
    <x v="1"/>
    <x v="24"/>
    <s v="PWEGPL"/>
    <s v="MSEDCL"/>
    <n v="2.5000000000000001E-2"/>
    <s v="CE100014"/>
    <x v="305"/>
    <s v="Manual stop/TCA"/>
    <d v="1899-12-30T14:04:00"/>
    <d v="1899-12-30T14:04:00"/>
    <d v="1899-12-30T17:08:00"/>
    <n v="0"/>
    <n v="3.0666666666666664"/>
    <n v="3.0666666666666664"/>
    <s v="TCA points partcially closed and continued by tomorrow"/>
    <s v="Close"/>
    <n v="7.6666666666666661E-2"/>
    <s v="G21"/>
    <n v="199.9722222222222"/>
    <s v="None"/>
    <s v="WTG Scheduled Maintenance"/>
    <n v="1565"/>
    <n v="199.9722222222222"/>
    <m/>
    <m/>
    <m/>
    <m/>
  </r>
  <r>
    <n v="1565"/>
    <x v="223"/>
    <x v="1"/>
    <x v="0"/>
    <x v="7"/>
    <x v="1"/>
    <x v="7"/>
    <s v="PWEGPL"/>
    <s v="MSEDCL"/>
    <n v="2.5000000000000001E-2"/>
    <n v="115"/>
    <x v="308"/>
    <s v="BD"/>
    <d v="1899-12-30T10:16:00"/>
    <d v="1899-12-30T12:05:00"/>
    <d v="1899-12-30T13:35:00"/>
    <n v="1.8166666666666655"/>
    <n v="1.5"/>
    <n v="3.3166666666666655"/>
    <s v="Pressure setting value tuning done and restored"/>
    <s v="Close"/>
    <n v="8.2916666666666639E-2"/>
    <s v="G39"/>
    <n v="161.54930555555552"/>
    <s v="None"/>
    <s v="WTG Breakdown Maintenance"/>
    <n v="1169"/>
    <n v="161.54930555555552"/>
    <m/>
    <m/>
    <m/>
    <m/>
  </r>
  <r>
    <n v="1566"/>
    <x v="223"/>
    <x v="1"/>
    <x v="0"/>
    <x v="7"/>
    <x v="1"/>
    <x v="3"/>
    <s v="PWEGPL"/>
    <s v="MSEDCL"/>
    <n v="2.5000000000000001E-2"/>
    <s v="CE100001"/>
    <x v="288"/>
    <s v="Manual stop"/>
    <d v="1899-12-30T14:38:00"/>
    <d v="1899-12-30T14:38:00"/>
    <d v="1899-12-30T15:59:00"/>
    <n v="0"/>
    <n v="1.3500000000000005"/>
    <n v="1.3500000000000005"/>
    <s v="Tower main door entrance secendary lock installed"/>
    <s v="Close"/>
    <n v="3.3750000000000016E-2"/>
    <s v="G40"/>
    <n v="66.543750000000017"/>
    <s v="Main door key installed"/>
    <s v="WTG Scheduled Maintenance"/>
    <n v="1183"/>
    <n v="66.543750000000017"/>
    <m/>
    <m/>
    <m/>
    <m/>
  </r>
  <r>
    <n v="1567"/>
    <x v="223"/>
    <x v="1"/>
    <x v="0"/>
    <x v="7"/>
    <x v="1"/>
    <x v="34"/>
    <s v="PWEGPL"/>
    <s v="MSEDCL"/>
    <n v="2.5000000000000001E-2"/>
    <s v="CE100001"/>
    <x v="288"/>
    <s v="Manual stop"/>
    <d v="1899-12-30T16:25:00"/>
    <d v="1899-12-30T16:25:00"/>
    <d v="1899-12-30T17:12:00"/>
    <n v="0"/>
    <n v="0.78333333333333321"/>
    <n v="0.78333333333333321"/>
    <s v="Tower main door entrance secendary lock installed"/>
    <s v="Close"/>
    <n v="1.9583333333333331E-2"/>
    <s v="G21"/>
    <n v="51.0798611111111"/>
    <s v="Main door key installed"/>
    <s v="WTG Scheduled Maintenance"/>
    <n v="1565"/>
    <n v="51.0798611111111"/>
    <m/>
    <m/>
    <m/>
    <m/>
  </r>
  <r>
    <n v="1568"/>
    <x v="223"/>
    <x v="1"/>
    <x v="0"/>
    <x v="7"/>
    <x v="1"/>
    <x v="39"/>
    <s v="PWEGPL"/>
    <s v="MSEDCL"/>
    <n v="2.5000000000000001E-2"/>
    <n v="507"/>
    <x v="318"/>
    <s v="Manual stop"/>
    <d v="1899-12-30T10:48:00"/>
    <d v="1899-12-30T10:48:00"/>
    <d v="1899-12-30T13:06:00"/>
    <n v="0"/>
    <n v="2.2999999999999985"/>
    <n v="2.2999999999999985"/>
    <s v="Power curve deviation related checked and Generartor carbon brush and all ok but panle cooling fans failure so need to replace"/>
    <s v="Close"/>
    <n v="5.7499999999999968E-2"/>
    <s v="G14"/>
    <n v="169.24166666666653"/>
    <s v="None"/>
    <s v="WTG Scheduled Maintenance"/>
    <n v="1766"/>
    <n v="169.24166666666653"/>
    <m/>
    <m/>
    <m/>
    <m/>
  </r>
  <r>
    <n v="1569"/>
    <x v="223"/>
    <x v="1"/>
    <x v="0"/>
    <x v="7"/>
    <x v="1"/>
    <x v="39"/>
    <s v="PWEGPL"/>
    <s v="MSEDCL"/>
    <n v="2.5000000000000001E-2"/>
    <s v="CE100017"/>
    <x v="389"/>
    <s v="Manual stop/TCA"/>
    <d v="1899-12-30T15:15:00"/>
    <d v="1899-12-30T15:15:00"/>
    <d v="1899-12-30T15:32:00"/>
    <n v="0"/>
    <n v="0.28333333333333499"/>
    <n v="0.28333333333333499"/>
    <s v="New ETN make UPS replaced and restored"/>
    <s v="Close"/>
    <n v="7.0833333333333755E-3"/>
    <s v="G14"/>
    <n v="20.848611111111232"/>
    <s v="None"/>
    <s v="WTG Scheduled Maintenance"/>
    <n v="1766"/>
    <n v="20.848611111111232"/>
    <m/>
    <m/>
    <m/>
    <m/>
  </r>
  <r>
    <n v="1570"/>
    <x v="224"/>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297.0986111111113"/>
    <s v="Material shortage-Transformer mounting M20x40 bolt found broken 04 pc."/>
    <s v="WTG Breakdown Maintenance"/>
    <n v="1298"/>
    <n v="1297.0986111111113"/>
    <m/>
    <m/>
    <m/>
    <m/>
  </r>
  <r>
    <n v="1571"/>
    <x v="224"/>
    <x v="1"/>
    <x v="0"/>
    <x v="7"/>
    <x v="1"/>
    <x v="0"/>
    <s v="PWEGPL"/>
    <s v="MSEDCL"/>
    <n v="2.5000000000000001E-2"/>
    <n v="507"/>
    <x v="318"/>
    <s v="Manual stop"/>
    <d v="1899-12-30T10:47:00"/>
    <d v="1899-12-30T10:47:00"/>
    <d v="1899-12-30T12:24:00"/>
    <n v="0"/>
    <n v="1.6166666666666676"/>
    <n v="1.6166666666666676"/>
    <s v="Power curve deviation related checked and Generartor carbon brush and all ok but panle cooling fans failure so need to replace"/>
    <s v="Close"/>
    <n v="4.0416666666666691E-2"/>
    <s v="G18"/>
    <n v="83.999305555555608"/>
    <s v="None"/>
    <s v="WTG Breakdown Maintenance"/>
    <n v="1247"/>
    <n v="83.999305555555608"/>
    <m/>
    <m/>
    <m/>
    <m/>
  </r>
  <r>
    <n v="1572"/>
    <x v="224"/>
    <x v="1"/>
    <x v="0"/>
    <x v="7"/>
    <x v="1"/>
    <x v="0"/>
    <s v="PWEGPL"/>
    <s v="MSEDCL"/>
    <n v="2.5000000000000001E-2"/>
    <n v="5201"/>
    <x v="299"/>
    <s v="BD"/>
    <d v="1899-12-30T14:45:00"/>
    <d v="1899-12-30T15:34:00"/>
    <d v="1899-12-30T15:36:00"/>
    <n v="0.81666666666666643"/>
    <n v="3.3333333333333215E-2"/>
    <n v="0.84999999999999964"/>
    <s v="Reboot and restored"/>
    <s v="Close"/>
    <n v="2.1249999999999991E-2"/>
    <s v="G18"/>
    <n v="44.164583333333319"/>
    <s v="None"/>
    <s v="WTG Breakdown Maintenance"/>
    <n v="1247"/>
    <n v="44.164583333333319"/>
    <m/>
    <m/>
    <m/>
    <m/>
  </r>
  <r>
    <n v="1573"/>
    <x v="224"/>
    <x v="1"/>
    <x v="0"/>
    <x v="7"/>
    <x v="1"/>
    <x v="6"/>
    <s v="PWEGPL"/>
    <s v="MSEDCL"/>
    <n v="2.5000000000000001E-2"/>
    <n v="2102"/>
    <x v="320"/>
    <s v="BD"/>
    <d v="1899-12-30T19:20:00"/>
    <d v="1899-12-30T20:26:00"/>
    <d v="1899-12-30T20:31:00"/>
    <n v="1.1000000000000014"/>
    <n v="8.3333333333333037E-2"/>
    <n v="1.1833333333333345"/>
    <s v="Reboot and restored"/>
    <s v="Close"/>
    <n v="2.9583333333333364E-2"/>
    <s v="G40"/>
    <n v="57.736805555555605"/>
    <s v="None"/>
    <s v="WTG Breakdown Maintenance"/>
    <n v="1171"/>
    <n v="57.736805555555605"/>
    <m/>
    <m/>
    <m/>
    <m/>
  </r>
  <r>
    <n v="1574"/>
    <x v="224"/>
    <x v="1"/>
    <x v="0"/>
    <x v="7"/>
    <x v="1"/>
    <x v="37"/>
    <s v="PWEGPL"/>
    <s v="MSEDCL"/>
    <n v="2.5000000000000001E-2"/>
    <n v="2118"/>
    <x v="293"/>
    <s v="BD"/>
    <d v="1899-12-30T18:18:00"/>
    <d v="1899-12-30T18:18:00"/>
    <d v="1899-12-30T18:33:00"/>
    <n v="0"/>
    <n v="0.24999999999999911"/>
    <n v="0.24999999999999911"/>
    <s v="Reboot and restored"/>
    <s v="Close"/>
    <n v="6.2499999999999778E-3"/>
    <s v="G18"/>
    <n v="12.989583333333288"/>
    <s v="None"/>
    <s v="WTG Breakdown Maintenance"/>
    <n v="1247"/>
    <n v="12.989583333333288"/>
    <m/>
    <m/>
    <m/>
    <m/>
  </r>
  <r>
    <n v="1575"/>
    <x v="225"/>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739.0965277777777"/>
    <s v="Material shortage-Transformer mounting M20x40 bolt found broken 04 pc."/>
    <s v="WTG Breakdown Maintenance"/>
    <n v="2741"/>
    <n v="2739.0965277777777"/>
    <m/>
    <m/>
    <m/>
    <m/>
  </r>
  <r>
    <n v="1576"/>
    <x v="225"/>
    <x v="1"/>
    <x v="0"/>
    <x v="7"/>
    <x v="1"/>
    <x v="24"/>
    <s v="PWEGPL"/>
    <s v="MSEDCL"/>
    <n v="2.5000000000000001E-2"/>
    <s v="CE100014"/>
    <x v="305"/>
    <s v="Manual stop/TCA"/>
    <d v="1899-12-30T11:26:00"/>
    <d v="1899-12-30T11:26:00"/>
    <d v="1899-12-30T14:59:00"/>
    <n v="0"/>
    <n v="3.5499999999999994"/>
    <n v="3.5499999999999994"/>
    <s v="TCA points closed and restored"/>
    <s v="Close"/>
    <n v="8.8749999999999996E-2"/>
    <s v="G22"/>
    <n v="297.46041666666662"/>
    <s v="None"/>
    <s v="WTG Scheduled Maintenance"/>
    <n v="2011"/>
    <n v="297.46041666666662"/>
    <m/>
    <m/>
    <m/>
    <m/>
  </r>
  <r>
    <n v="1577"/>
    <x v="225"/>
    <x v="1"/>
    <x v="0"/>
    <x v="7"/>
    <x v="1"/>
    <x v="39"/>
    <s v="PWEGPL"/>
    <s v="MSEDCL"/>
    <n v="2.5000000000000001E-2"/>
    <n v="205"/>
    <x v="312"/>
    <s v="BD"/>
    <d v="1899-12-30T12:00:00"/>
    <d v="1899-12-30T12:25:00"/>
    <d v="1899-12-30T12:47:00"/>
    <n v="0.41666666666666519"/>
    <n v="0.36666666666666803"/>
    <n v="0.78333333333333321"/>
    <s v="Oil top up and restored the WTG"/>
    <s v="Close"/>
    <n v="1.9583333333333331E-2"/>
    <s v="G14"/>
    <n v="63.939583333333324"/>
    <s v="None"/>
    <s v="WTG Breakdown Maintenance"/>
    <n v="1959"/>
    <n v="63.939583333333324"/>
    <m/>
    <m/>
    <m/>
    <m/>
  </r>
  <r>
    <n v="1578"/>
    <x v="225"/>
    <x v="1"/>
    <x v="0"/>
    <x v="7"/>
    <x v="1"/>
    <x v="33"/>
    <s v="PWEGPL"/>
    <s v="MSEDCL"/>
    <n v="2.5000000000000001E-2"/>
    <n v="207"/>
    <x v="309"/>
    <s v="BD"/>
    <d v="1899-12-30T14:03:00"/>
    <d v="1899-12-30T15:12:00"/>
    <d v="1899-12-30T17:24:00"/>
    <n v="1.1499999999999986"/>
    <n v="2.2000000000000002"/>
    <n v="3.3499999999999988"/>
    <s v="Pos 110 value setting done and restored"/>
    <s v="Close"/>
    <n v="8.3749999999999977E-2"/>
    <s v="G22"/>
    <n v="280.70208333333323"/>
    <s v="None"/>
    <s v="WTG Breakdown Maintenance"/>
    <n v="2011"/>
    <n v="280.70208333333323"/>
    <m/>
    <m/>
    <m/>
    <m/>
  </r>
  <r>
    <n v="1579"/>
    <x v="225"/>
    <x v="1"/>
    <x v="0"/>
    <x v="7"/>
    <x v="1"/>
    <x v="2"/>
    <s v="PWEGPL"/>
    <s v="MSEDCL"/>
    <n v="2.5000000000000001E-2"/>
    <s v="CE100014"/>
    <x v="305"/>
    <s v="Manual stop/TCA"/>
    <d v="1899-12-30T16:29:00"/>
    <d v="1899-12-30T16:29:00"/>
    <d v="1899-12-30T17:12:00"/>
    <n v="0"/>
    <n v="0.71666666666666679"/>
    <n v="0.71666666666666679"/>
    <s v="TCA points closed and restored"/>
    <s v="Close"/>
    <n v="1.7916666666666671E-2"/>
    <s v="G27"/>
    <n v="50.674305555555563"/>
    <s v="None"/>
    <s v="WTG Scheduled Maintenance"/>
    <n v="1697"/>
    <n v="50.674305555555563"/>
    <m/>
    <m/>
    <m/>
    <m/>
  </r>
  <r>
    <n v="1580"/>
    <x v="225"/>
    <x v="1"/>
    <x v="0"/>
    <x v="7"/>
    <x v="1"/>
    <x v="29"/>
    <s v="PWEGPL"/>
    <s v="MSEDCL"/>
    <n v="2.5000000000000001E-2"/>
    <n v="2118"/>
    <x v="293"/>
    <s v="BD"/>
    <d v="1899-12-30T16:24:00"/>
    <d v="1899-12-30T18:04:00"/>
    <d v="1899-12-30T18:16:00"/>
    <n v="1.6666666666666687"/>
    <n v="0.19999999999999929"/>
    <n v="1.866666666666668"/>
    <s v="Rebooted and restored"/>
    <s v="Close"/>
    <n v="4.6666666666666703E-2"/>
    <s v="G10"/>
    <n v="126.62222222222231"/>
    <s v="None"/>
    <s v="WTG Breakdown Maintenance"/>
    <n v="1628"/>
    <n v="126.62222222222231"/>
    <m/>
    <m/>
    <m/>
    <m/>
  </r>
  <r>
    <n v="1581"/>
    <x v="226"/>
    <x v="1"/>
    <x v="0"/>
    <x v="7"/>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4329.9909722222219"/>
    <s v="Material shortage-Transformer mounting M20x40 bolt found broken 04 pc."/>
    <s v="WTG Breakdown Maintenance"/>
    <n v="4333"/>
    <n v="4329.9909722222219"/>
    <m/>
    <m/>
    <m/>
    <m/>
  </r>
  <r>
    <n v="1582"/>
    <x v="226"/>
    <x v="1"/>
    <x v="0"/>
    <x v="7"/>
    <x v="1"/>
    <x v="25"/>
    <s v="PWEGPL"/>
    <s v="MSEDCL"/>
    <n v="2.5000000000000001E-2"/>
    <n v="621"/>
    <x v="390"/>
    <s v="BD"/>
    <d v="1899-12-30T14:40:00"/>
    <d v="1899-12-30T15:39:00"/>
    <d v="1899-12-30T17:04:00"/>
    <n v="0.98333333333333517"/>
    <n v="1.416666666666667"/>
    <n v="2.4000000000000021"/>
    <s v="Checked generator encoder and all found mounting screw loose then tightned and restored"/>
    <s v="Close"/>
    <n v="6.0000000000000053E-2"/>
    <s v="G04"/>
    <n v="366.80000000000035"/>
    <s v="None"/>
    <s v="WTG Breakdown Maintenance"/>
    <n v="3668"/>
    <n v="366.80000000000035"/>
    <m/>
    <m/>
    <m/>
    <m/>
  </r>
  <r>
    <n v="1583"/>
    <x v="226"/>
    <x v="1"/>
    <x v="0"/>
    <x v="7"/>
    <x v="1"/>
    <x v="4"/>
    <s v="PWEGPL"/>
    <s v="MSEDCL"/>
    <n v="2.5000000000000001E-2"/>
    <s v="CE100014"/>
    <x v="305"/>
    <s v="Manual stop/TCA"/>
    <d v="1899-12-30T12:53:00"/>
    <d v="1899-12-30T12:53:00"/>
    <d v="1899-12-30T15:45:00"/>
    <n v="0"/>
    <n v="2.8666666666666671"/>
    <n v="2.8666666666666671"/>
    <s v="TCA points closed and restored"/>
    <s v="Close"/>
    <n v="7.1666666666666684E-2"/>
    <s v="G38"/>
    <n v="304.22500000000002"/>
    <s v="None"/>
    <s v="WTG Scheduled Maintenance"/>
    <n v="2547"/>
    <n v="304.22500000000002"/>
    <m/>
    <m/>
    <m/>
    <m/>
  </r>
  <r>
    <n v="1584"/>
    <x v="226"/>
    <x v="1"/>
    <x v="0"/>
    <x v="7"/>
    <x v="1"/>
    <x v="4"/>
    <s v="PWEGPL"/>
    <s v="MSEDCL"/>
    <n v="2.5000000000000001E-2"/>
    <n v="5221"/>
    <x v="391"/>
    <s v="BD"/>
    <d v="1899-12-30T17:14:00"/>
    <d v="1899-12-30T18:06:00"/>
    <d v="1899-12-30T19:45:00"/>
    <n v="0.86666666666666892"/>
    <n v="1.6499999999999968"/>
    <n v="2.5166666666666657"/>
    <s v="Checked generator encoder and cable connection also found ok then reset and restored"/>
    <s v="Close"/>
    <n v="6.2916666666666649E-2"/>
    <s v="G38"/>
    <n v="267.0812499999999"/>
    <s v="None"/>
    <s v="WTG Breakdown Maintenance"/>
    <n v="2547"/>
    <n v="267.0812499999999"/>
    <m/>
    <m/>
    <m/>
    <m/>
  </r>
  <r>
    <n v="1585"/>
    <x v="227"/>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5590.1152777777779"/>
    <s v="Material shortage-Transformer mounting M20x40 bolt found broken 04 pc."/>
    <s v="WTG Breakdown Maintenance"/>
    <n v="5594"/>
    <n v="5590.1152777777779"/>
    <m/>
    <m/>
    <m/>
    <m/>
  </r>
  <r>
    <n v="1586"/>
    <x v="227"/>
    <x v="1"/>
    <x v="0"/>
    <x v="8"/>
    <x v="1"/>
    <x v="23"/>
    <s v="PWEGPL"/>
    <s v="MSEDCL"/>
    <n v="2.5000000000000001E-2"/>
    <n v="110"/>
    <x v="287"/>
    <s v="BD"/>
    <d v="1899-12-30T10:46:00"/>
    <d v="1899-12-30T11:39:00"/>
    <d v="1899-12-30T12:23:00"/>
    <n v="0.88333333333333286"/>
    <n v="0.73333333333333206"/>
    <n v="1.6166666666666649"/>
    <s v="Cable untwisted and restored"/>
    <s v="Close"/>
    <n v="4.0416666666666629E-2"/>
    <s v="G01"/>
    <n v="303.12499999999966"/>
    <s v="None"/>
    <s v="WTG Breakdown Maintenance"/>
    <n v="4500"/>
    <n v="303.12499999999966"/>
    <m/>
    <m/>
    <m/>
    <m/>
  </r>
  <r>
    <n v="1587"/>
    <x v="227"/>
    <x v="1"/>
    <x v="0"/>
    <x v="8"/>
    <x v="1"/>
    <x v="32"/>
    <s v="PWEGPL"/>
    <s v="MSEDCL"/>
    <n v="2.5000000000000001E-2"/>
    <n v="1833"/>
    <x v="392"/>
    <s v="Manual stop/TCA"/>
    <d v="1899-12-30T12:07:00"/>
    <d v="1899-12-30T12:07:00"/>
    <d v="1899-12-30T15:01:00"/>
    <n v="0"/>
    <n v="2.9000000000000004"/>
    <n v="2.9000000000000004"/>
    <s v="Transformer cooling fan removed and rstored"/>
    <s v="Close"/>
    <n v="7.2500000000000009E-2"/>
    <s v="G15"/>
    <n v="536.98333333333335"/>
    <s v="None"/>
    <s v="WTG Scheduled Maintenance"/>
    <n v="4444"/>
    <n v="536.98333333333335"/>
    <m/>
    <m/>
    <m/>
    <m/>
  </r>
  <r>
    <n v="1588"/>
    <x v="227"/>
    <x v="1"/>
    <x v="0"/>
    <x v="8"/>
    <x v="1"/>
    <x v="16"/>
    <s v="PWEGPL"/>
    <s v="MSEDCL"/>
    <n v="2.5000000000000001E-2"/>
    <n v="700"/>
    <x v="329"/>
    <s v="BD"/>
    <d v="1899-12-30T18:09:00"/>
    <d v="1899-12-30T19:58:00"/>
    <d v="1899-12-30T20:05:00"/>
    <n v="1.8166666666666655"/>
    <n v="0.11666666666666625"/>
    <n v="1.9333333333333318"/>
    <s v="Reboot and restored"/>
    <s v="Close"/>
    <n v="4.8333333333333298E-2"/>
    <s v="G35"/>
    <n v="364.83611111111082"/>
    <s v="None"/>
    <s v="WTG Breakdown Maintenance"/>
    <n v="4529"/>
    <n v="364.83611111111082"/>
    <m/>
    <m/>
    <m/>
    <m/>
  </r>
  <r>
    <n v="1589"/>
    <x v="227"/>
    <x v="1"/>
    <x v="0"/>
    <x v="8"/>
    <x v="1"/>
    <x v="4"/>
    <s v="PWEGPL"/>
    <s v="MSEDCL"/>
    <n v="2.5000000000000001E-2"/>
    <n v="5222"/>
    <x v="315"/>
    <s v="BD"/>
    <d v="1899-12-30T17:59:00"/>
    <d v="1899-12-30T20:53:00"/>
    <d v="1899-12-30T21:32:00"/>
    <n v="2.9000000000000004"/>
    <n v="0.65000000000000036"/>
    <n v="3.5500000000000007"/>
    <s v="Checked generator encoder and cable connection also found ok then reset and restored"/>
    <s v="Close"/>
    <n v="8.8750000000000023E-2"/>
    <s v="G38"/>
    <n v="455.4354166666667"/>
    <s v="None"/>
    <s v="WTG Breakdown Maintenance"/>
    <n v="3079"/>
    <n v="455.4354166666667"/>
    <m/>
    <m/>
    <m/>
    <m/>
  </r>
  <r>
    <n v="1590"/>
    <x v="227"/>
    <x v="1"/>
    <x v="0"/>
    <x v="8"/>
    <x v="1"/>
    <x v="34"/>
    <s v="PWEGPL"/>
    <s v="MSEDCL"/>
    <n v="2.5000000000000001E-2"/>
    <n v="800"/>
    <x v="298"/>
    <s v="BD"/>
    <d v="1899-12-30T23:10:00"/>
    <d v="1899-12-30T23:59:00"/>
    <d v="1899-12-30T23:59:00"/>
    <n v="0.81666666666666643"/>
    <n v="0"/>
    <n v="0.81666666666666643"/>
    <s v="Work under progress"/>
    <s v="Open"/>
    <n v="2.0416666666666663E-2"/>
    <s v="G21"/>
    <n v="159.01180555555553"/>
    <s v="None"/>
    <s v="WTG Breakdown Maintenance"/>
    <n v="4673"/>
    <n v="159.01180555555553"/>
    <m/>
    <m/>
    <m/>
    <m/>
  </r>
  <r>
    <n v="1591"/>
    <x v="228"/>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9778.255555555555"/>
    <s v="Material shortage-Transformer mounting M20x40 bolt found broken 04 pc."/>
    <s v="WTG Breakdown Maintenance"/>
    <n v="19792"/>
    <n v="19778.255555555555"/>
    <m/>
    <m/>
    <m/>
    <m/>
  </r>
  <r>
    <n v="1592"/>
    <x v="228"/>
    <x v="1"/>
    <x v="0"/>
    <x v="8"/>
    <x v="1"/>
    <x v="34"/>
    <s v="PWEGPL"/>
    <s v="MSEDCL"/>
    <n v="2.5000000000000001E-2"/>
    <n v="800"/>
    <x v="298"/>
    <s v="BD"/>
    <d v="1899-12-30T00:00:00"/>
    <d v="1899-12-30T00:00:00"/>
    <d v="1899-12-30T06:46:00"/>
    <n v="0"/>
    <n v="6.7666666666666666"/>
    <n v="6.7666666666666666"/>
    <s v="Solonoid cable found damaged then corrected and restored"/>
    <s v="Close"/>
    <n v="0.16916666666666669"/>
    <s v="G21"/>
    <n v="4552.5569444444445"/>
    <s v="None"/>
    <s v="WTG Breakdown Maintenance"/>
    <n v="16147"/>
    <n v="4552.5569444444445"/>
    <m/>
    <m/>
    <m/>
    <m/>
  </r>
  <r>
    <n v="1593"/>
    <x v="228"/>
    <x v="1"/>
    <x v="0"/>
    <x v="8"/>
    <x v="1"/>
    <x v="16"/>
    <s v="PWEGPL"/>
    <s v="MSEDCL"/>
    <n v="2.5000000000000001E-2"/>
    <n v="700"/>
    <x v="329"/>
    <s v="BD"/>
    <d v="1899-12-30T02:01:00"/>
    <d v="1899-12-30T08:12:00"/>
    <d v="1899-12-30T08:17:00"/>
    <n v="6.1833333333333327"/>
    <n v="8.333333333333437E-2"/>
    <n v="6.2666666666666675"/>
    <s v="Slipring cleaned and restored the turbine"/>
    <s v="Close"/>
    <n v="0.1566666666666667"/>
    <s v="G35"/>
    <n v="3346.6611111111115"/>
    <s v="Response time delay due to multiplr breakdowens"/>
    <s v="WTG Breakdown Maintenance"/>
    <n v="12817"/>
    <n v="3346.6611111111115"/>
    <m/>
    <m/>
    <m/>
    <m/>
  </r>
  <r>
    <n v="1594"/>
    <x v="228"/>
    <x v="1"/>
    <x v="0"/>
    <x v="8"/>
    <x v="1"/>
    <x v="4"/>
    <s v="PWEGPL"/>
    <s v="MSEDCL"/>
    <n v="2.5000000000000001E-2"/>
    <n v="5221"/>
    <x v="391"/>
    <s v="BD"/>
    <d v="1899-12-30T22:31:00"/>
    <d v="1899-12-30T23:43:00"/>
    <d v="1899-12-30T23:48:00"/>
    <n v="1.1999999999999984"/>
    <n v="8.3333333333335702E-2"/>
    <n v="1.2833333333333341"/>
    <s v="reboot and restored"/>
    <s v="Close"/>
    <n v="3.2083333333333353E-2"/>
    <s v="G38"/>
    <n v="561.03055555555591"/>
    <s v="Response time delay due to multiplr breakdowens"/>
    <s v="WTG Breakdown Maintenance"/>
    <n v="10492"/>
    <n v="561.03055555555591"/>
    <m/>
    <m/>
    <m/>
    <m/>
  </r>
  <r>
    <n v="1595"/>
    <x v="228"/>
    <x v="1"/>
    <x v="0"/>
    <x v="8"/>
    <x v="1"/>
    <x v="16"/>
    <s v="PWEGPL"/>
    <s v="MSEDCL"/>
    <n v="2.5000000000000001E-2"/>
    <n v="5212"/>
    <x v="319"/>
    <s v="BD"/>
    <d v="1899-12-30T09:41:00"/>
    <d v="1899-12-30T11:04:00"/>
    <d v="1899-12-30T12:20:00"/>
    <n v="1.3833333333333324"/>
    <n v="1.2666666666666688"/>
    <n v="2.6500000000000012"/>
    <s v="KC001 contcator serviced and the checked operation found ok then restored the turbine"/>
    <s v="Close"/>
    <n v="6.6250000000000031E-2"/>
    <s v="G35"/>
    <n v="1415.2104166666672"/>
    <s v="None"/>
    <s v="WTG Breakdown Maintenance"/>
    <n v="12817"/>
    <n v="1415.2104166666672"/>
    <m/>
    <m/>
    <m/>
    <m/>
  </r>
  <r>
    <n v="1596"/>
    <x v="228"/>
    <x v="1"/>
    <x v="0"/>
    <x v="8"/>
    <x v="1"/>
    <x v="20"/>
    <s v="PWEGPL"/>
    <s v="MSEDCL"/>
    <n v="2.5000000000000001E-2"/>
    <n v="700"/>
    <x v="329"/>
    <s v="BD"/>
    <d v="1899-12-30T20:41:00"/>
    <d v="1899-12-30T22:06:00"/>
    <d v="1899-12-30T22:28:00"/>
    <n v="1.416666666666667"/>
    <n v="0.3666666666666627"/>
    <n v="1.7833333333333297"/>
    <s v="reboot and restored"/>
    <s v="Close"/>
    <n v="4.4583333333333246E-2"/>
    <s v="G04"/>
    <n v="1255.318055555553"/>
    <s v="None"/>
    <s v="WTG Breakdown Maintenance"/>
    <n v="16894"/>
    <n v="1255.318055555553"/>
    <m/>
    <m/>
    <m/>
    <m/>
  </r>
  <r>
    <n v="1597"/>
    <x v="229"/>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7727.680555555555"/>
    <s v="Material shortage-Transformer mounting M20x40 bolt found broken 04 pc."/>
    <s v="WTG Breakdown Maintenance"/>
    <n v="17740"/>
    <n v="17727.680555555555"/>
    <m/>
    <m/>
    <m/>
    <m/>
  </r>
  <r>
    <n v="1598"/>
    <x v="230"/>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9267.5597222222223"/>
    <s v="Material shortage-Transformer mounting M20x40 bolt found broken 04 pc."/>
    <s v="WTG Breakdown Maintenance"/>
    <n v="9274"/>
    <n v="9267.5597222222223"/>
    <m/>
    <m/>
    <m/>
    <m/>
  </r>
  <r>
    <n v="1599"/>
    <x v="230"/>
    <x v="1"/>
    <x v="0"/>
    <x v="8"/>
    <x v="1"/>
    <x v="34"/>
    <s v="PWEGPL"/>
    <s v="MSEDCL"/>
    <n v="2.5000000000000001E-2"/>
    <n v="118"/>
    <x v="313"/>
    <s v="BD"/>
    <d v="1899-12-30T19:59:00"/>
    <d v="1899-12-30T21:23:00"/>
    <d v="1899-12-30T21:36:00"/>
    <n v="1.3999999999999977"/>
    <n v="0.21666666666666856"/>
    <n v="1.6166666666666663"/>
    <s v="Reboot and restored"/>
    <s v="Close"/>
    <n v="4.0416666666666656E-2"/>
    <s v="G21"/>
    <n v="659.4652777777776"/>
    <s v="None"/>
    <s v="WTG Breakdown Maintenance"/>
    <n v="9790"/>
    <n v="659.4652777777776"/>
    <m/>
    <m/>
    <m/>
    <m/>
  </r>
  <r>
    <n v="1600"/>
    <x v="231"/>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6555.4444444444443"/>
    <s v="Material shortage-Transformer mounting M20x40 bolt found broken 04 pc."/>
    <s v="WTG Breakdown Maintenance"/>
    <n v="6560"/>
    <n v="6555.4444444444443"/>
    <m/>
    <m/>
    <m/>
    <m/>
  </r>
  <r>
    <n v="1601"/>
    <x v="231"/>
    <x v="1"/>
    <x v="0"/>
    <x v="8"/>
    <x v="1"/>
    <x v="34"/>
    <s v="PWEGPL"/>
    <s v="MSEDCL"/>
    <n v="2.5000000000000001E-2"/>
    <n v="813"/>
    <x v="376"/>
    <s v="BD"/>
    <d v="1899-12-30T07:08:00"/>
    <d v="1899-12-30T07:48:00"/>
    <d v="1899-12-30T10:44:00"/>
    <n v="0.66666666666666696"/>
    <n v="2.9333333333333322"/>
    <n v="3.5999999999999992"/>
    <s v="Solonoid cable found disconnected and then corrected and restored"/>
    <s v="Close"/>
    <n v="8.9999999999999983E-2"/>
    <s v="G21"/>
    <n v="1039.7999999999997"/>
    <s v="None"/>
    <s v="WTG Breakdown Maintenance"/>
    <n v="6932"/>
    <n v="1039.7999999999997"/>
    <m/>
    <m/>
    <m/>
    <m/>
  </r>
  <r>
    <n v="1602"/>
    <x v="231"/>
    <x v="1"/>
    <x v="0"/>
    <x v="8"/>
    <x v="1"/>
    <x v="34"/>
    <s v="PWEGPL"/>
    <s v="MSEDCL"/>
    <n v="2.5000000000000001E-2"/>
    <n v="118"/>
    <x v="313"/>
    <s v="BD"/>
    <d v="1899-12-30T10:54:00"/>
    <d v="1899-12-30T10:55:00"/>
    <d v="1899-12-30T19:03:00"/>
    <n v="1.6666666666666607E-2"/>
    <n v="8.1333333333333346"/>
    <n v="8.1500000000000021"/>
    <s v="Cable twist limit switch encoder replaced and restored"/>
    <s v="Close"/>
    <n v="0.20375000000000007"/>
    <s v="G21"/>
    <n v="2353.9916666666672"/>
    <s v="None"/>
    <s v="WTG Breakdown Maintenance"/>
    <n v="6932"/>
    <n v="2353.9916666666672"/>
    <m/>
    <m/>
    <m/>
    <m/>
  </r>
  <r>
    <n v="1603"/>
    <x v="231"/>
    <x v="1"/>
    <x v="0"/>
    <x v="8"/>
    <x v="1"/>
    <x v="14"/>
    <s v="PWEGPL"/>
    <s v="MSEDCL"/>
    <n v="2.5000000000000001E-2"/>
    <s v="CE100014"/>
    <x v="305"/>
    <s v="Manual stop/TCA"/>
    <d v="1899-12-30T12:11:00"/>
    <d v="1899-12-30T12:11:00"/>
    <d v="1899-12-30T13:50:00"/>
    <n v="0"/>
    <n v="1.6500000000000021"/>
    <n v="1.6500000000000021"/>
    <s v="TCA points closed and restored"/>
    <s v="Close"/>
    <n v="4.1250000000000057E-2"/>
    <s v="G35"/>
    <n v="464.61250000000058"/>
    <s v="None"/>
    <s v="WTG Scheduled Maintenance"/>
    <n v="6758"/>
    <n v="464.61250000000058"/>
    <m/>
    <m/>
    <m/>
    <m/>
  </r>
  <r>
    <n v="1604"/>
    <x v="232"/>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8626.0055555555555"/>
    <s v="Material shortage-Transformer mounting M20x40 bolt found broken 04 pc."/>
    <s v="WTG Breakdown Maintenance"/>
    <n v="8632"/>
    <n v="8626.0055555555555"/>
    <m/>
    <m/>
    <m/>
    <m/>
  </r>
  <r>
    <n v="1605"/>
    <x v="232"/>
    <x v="1"/>
    <x v="0"/>
    <x v="8"/>
    <x v="1"/>
    <x v="34"/>
    <s v="PWEGPL"/>
    <s v="MSEDCL"/>
    <n v="2.5000000000000001E-2"/>
    <s v="CE100001"/>
    <x v="288"/>
    <s v="Manual stop"/>
    <d v="1899-12-30T11:20:00"/>
    <d v="1899-12-30T11:20:00"/>
    <d v="1899-12-30T16:57:00"/>
    <n v="0"/>
    <n v="5.6166666666666636"/>
    <n v="5.6166666666666636"/>
    <s v="Checked repearated error related and found loose connection in module then corrected and restored"/>
    <s v="Close"/>
    <n v="0.14041666666666661"/>
    <s v="G21"/>
    <n v="2121.2277777777767"/>
    <s v="None"/>
    <s v="WTG Scheduled Maintenance"/>
    <n v="9064"/>
    <n v="2121.2277777777767"/>
    <m/>
    <m/>
    <m/>
    <m/>
  </r>
  <r>
    <n v="1606"/>
    <x v="232"/>
    <x v="1"/>
    <x v="0"/>
    <x v="8"/>
    <x v="1"/>
    <x v="20"/>
    <s v="PWEGPL"/>
    <s v="MSEDCL"/>
    <n v="2.5000000000000001E-2"/>
    <n v="2118"/>
    <x v="293"/>
    <s v="BD"/>
    <d v="1899-12-30T07:49:00"/>
    <d v="1899-12-30T08:25:00"/>
    <d v="1899-12-30T08:33:00"/>
    <n v="0.5999999999999992"/>
    <n v="0.13333333333333419"/>
    <n v="0.73333333333333339"/>
    <s v="Rebooted and restored"/>
    <s v="Close"/>
    <n v="1.8333333333333337E-2"/>
    <s v="G04"/>
    <n v="203.37777777777779"/>
    <s v="None"/>
    <s v="WTG Breakdown Maintenance"/>
    <n v="6656"/>
    <n v="203.37777777777779"/>
    <m/>
    <m/>
    <m/>
    <m/>
  </r>
  <r>
    <n v="1607"/>
    <x v="232"/>
    <x v="1"/>
    <x v="0"/>
    <x v="8"/>
    <x v="1"/>
    <x v="20"/>
    <s v="PWEGPL"/>
    <s v="MSEDCL"/>
    <n v="2.5000000000000001E-2"/>
    <s v="CE100001"/>
    <x v="288"/>
    <s v="Manual stop"/>
    <d v="1899-12-30T14:47:00"/>
    <d v="1899-12-30T14:47:00"/>
    <d v="1899-12-30T15:47:00"/>
    <n v="0"/>
    <n v="0.99999999999999911"/>
    <n v="0.99999999999999911"/>
    <s v="Slipring cleaned and restored"/>
    <s v="Close"/>
    <n v="2.4999999999999981E-2"/>
    <s v="G04"/>
    <n v="277.33333333333309"/>
    <s v="None"/>
    <s v="WTG Scheduled Maintenance"/>
    <n v="6656"/>
    <n v="277.33333333333309"/>
    <m/>
    <m/>
    <m/>
    <m/>
  </r>
  <r>
    <n v="1608"/>
    <x v="232"/>
    <x v="1"/>
    <x v="0"/>
    <x v="8"/>
    <x v="1"/>
    <x v="38"/>
    <s v="PWEGPL"/>
    <s v="MSEDCL"/>
    <n v="2.5000000000000001E-2"/>
    <s v="CE100014"/>
    <x v="305"/>
    <s v="Manual stop/TCA"/>
    <d v="1899-12-30T10:49:00"/>
    <d v="1899-12-30T10:49:00"/>
    <d v="1899-12-30T12:33:00"/>
    <n v="0"/>
    <n v="1.7333333333333338"/>
    <n v="1.7333333333333338"/>
    <s v="TCA pending points closed and restored"/>
    <s v="Close"/>
    <n v="4.3333333333333349E-2"/>
    <s v="G17"/>
    <n v="605.80000000000018"/>
    <s v="None"/>
    <s v="WTG Scheduled Maintenance"/>
    <n v="8388"/>
    <n v="605.80000000000018"/>
    <m/>
    <m/>
    <m/>
    <m/>
  </r>
  <r>
    <n v="1609"/>
    <x v="232"/>
    <x v="1"/>
    <x v="0"/>
    <x v="8"/>
    <x v="1"/>
    <x v="4"/>
    <s v="PWEGPL"/>
    <s v="MSEDCL"/>
    <n v="2.5000000000000001E-2"/>
    <n v="5221"/>
    <x v="391"/>
    <s v="BD"/>
    <d v="1899-12-30T01:20:00"/>
    <d v="1899-12-30T02:58:00"/>
    <d v="1899-12-30T03:03:00"/>
    <n v="1.6333333333333335"/>
    <n v="8.3333333333333037E-2"/>
    <n v="1.7166666666666666"/>
    <s v="Rebooted and restored"/>
    <s v="Close"/>
    <n v="4.2916666666666665E-2"/>
    <s v="G38"/>
    <n v="595.68333333333328"/>
    <s v="None"/>
    <s v="WTG Breakdown Maintenance"/>
    <n v="8328"/>
    <n v="595.68333333333328"/>
    <m/>
    <m/>
    <m/>
    <m/>
  </r>
  <r>
    <n v="1610"/>
    <x v="233"/>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948.9506944444443"/>
    <s v="Material shortage-Transformer mounting M20x40 bolt found broken 04 pc."/>
    <s v="WTG Breakdown Maintenance"/>
    <n v="2951"/>
    <n v="2948.9506944444443"/>
    <m/>
    <m/>
    <m/>
    <m/>
  </r>
  <r>
    <n v="1611"/>
    <x v="233"/>
    <x v="1"/>
    <x v="0"/>
    <x v="8"/>
    <x v="1"/>
    <x v="39"/>
    <s v="PWEGPL"/>
    <s v="MSEDCL"/>
    <n v="2.5000000000000001E-2"/>
    <n v="205"/>
    <x v="312"/>
    <s v="BD"/>
    <d v="1899-12-30T01:55:00"/>
    <d v="1899-12-30T02:57:00"/>
    <d v="1899-12-30T03:21:00"/>
    <n v="1.0333333333333337"/>
    <n v="0.39999999999999991"/>
    <n v="1.4333333333333336"/>
    <s v="Oil top up and restored the WTG"/>
    <s v="Close"/>
    <n v="3.5833333333333342E-2"/>
    <s v="G14"/>
    <n v="187.05000000000004"/>
    <s v="None"/>
    <s v="WTG Breakdown Maintenance"/>
    <n v="3132"/>
    <n v="187.05000000000004"/>
    <m/>
    <m/>
    <m/>
    <m/>
  </r>
  <r>
    <n v="1612"/>
    <x v="233"/>
    <x v="1"/>
    <x v="0"/>
    <x v="8"/>
    <x v="1"/>
    <x v="31"/>
    <s v="PWEGPL"/>
    <s v="MSEDCL"/>
    <n v="2.5000000000000001E-2"/>
    <n v="5263"/>
    <x v="311"/>
    <s v="BD"/>
    <d v="1899-12-30T07:20:00"/>
    <d v="1899-12-30T08:00:00"/>
    <d v="1899-12-30T08:58:00"/>
    <n v="0.66666666666666696"/>
    <n v="0.96666666666666723"/>
    <n v="1.6333333333333342"/>
    <s v="Slipring cleaned and restored the turbine"/>
    <s v="Close"/>
    <n v="4.083333333333336E-2"/>
    <s v="G14"/>
    <n v="213.15000000000012"/>
    <s v="None"/>
    <s v="WTG Breakdown Maintenance"/>
    <n v="3132"/>
    <n v="213.15000000000012"/>
    <m/>
    <m/>
    <m/>
    <m/>
  </r>
  <r>
    <n v="1613"/>
    <x v="233"/>
    <x v="1"/>
    <x v="0"/>
    <x v="8"/>
    <x v="1"/>
    <x v="2"/>
    <s v="PWEGPL"/>
    <s v="MSEDCL"/>
    <n v="2.5000000000000001E-2"/>
    <n v="205"/>
    <x v="312"/>
    <s v="BD"/>
    <d v="1899-12-30T14:05:00"/>
    <d v="1899-12-30T14:29:00"/>
    <d v="1899-12-30T14:50:00"/>
    <n v="0.39999999999999858"/>
    <n v="0.35000000000000142"/>
    <n v="0.75"/>
    <s v="Oil top up and restored the WTG"/>
    <s v="Close"/>
    <n v="1.8750000000000003E-2"/>
    <s v="G25"/>
    <n v="77.40625"/>
    <s v="None"/>
    <s v="WTG Breakdown Maintenance"/>
    <n v="2477"/>
    <n v="77.40625"/>
    <m/>
    <m/>
    <m/>
    <m/>
  </r>
  <r>
    <n v="1614"/>
    <x v="233"/>
    <x v="1"/>
    <x v="0"/>
    <x v="8"/>
    <x v="1"/>
    <x v="3"/>
    <s v="PWEGPL"/>
    <s v="MSEDCL"/>
    <n v="2.5000000000000001E-2"/>
    <s v="CE100014"/>
    <x v="305"/>
    <s v="Manual stop/TCA"/>
    <d v="1899-12-30T11:27:00"/>
    <d v="1899-12-30T11:27:00"/>
    <d v="1899-12-30T13:32:00"/>
    <n v="0"/>
    <n v="2.0833333333333339"/>
    <n v="2.0833333333333339"/>
    <s v="TCA points closed and restored"/>
    <s v="Close"/>
    <n v="5.208333333333335E-2"/>
    <s v="G31"/>
    <n v="306.07638888888897"/>
    <s v="None"/>
    <s v="WTG Scheduled Maintenance"/>
    <n v="3526"/>
    <n v="306.07638888888897"/>
    <m/>
    <m/>
    <m/>
    <m/>
  </r>
  <r>
    <n v="1615"/>
    <x v="234"/>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307.0916666666667"/>
    <s v="Material shortage-Transformer mounting M20x40 bolt found broken 04 pc."/>
    <s v="WTG Breakdown Maintenance"/>
    <n v="1308"/>
    <n v="1307.0916666666667"/>
    <m/>
    <m/>
    <m/>
    <m/>
  </r>
  <r>
    <n v="1616"/>
    <x v="234"/>
    <x v="1"/>
    <x v="0"/>
    <x v="8"/>
    <x v="1"/>
    <x v="32"/>
    <s v="PWEGPL"/>
    <s v="MSEDCL"/>
    <n v="2.5000000000000001E-2"/>
    <s v="CE100014"/>
    <x v="305"/>
    <s v="Manual stop/TCA"/>
    <d v="1899-12-30T11:11:00"/>
    <d v="1899-12-30T11:11:00"/>
    <d v="1899-12-30T17:36:00"/>
    <n v="0"/>
    <n v="6.4166666666666679"/>
    <n v="6.4166666666666679"/>
    <s v="TCA points tyransformer cooling fans replaced and restored"/>
    <s v="Close"/>
    <n v="0.16041666666666671"/>
    <s v="G15"/>
    <n v="391.95138888888897"/>
    <s v="None"/>
    <s v="WTG Scheduled Maintenance"/>
    <n v="1466"/>
    <n v="391.95138888888897"/>
    <m/>
    <m/>
    <m/>
    <m/>
  </r>
  <r>
    <n v="1617"/>
    <x v="234"/>
    <x v="1"/>
    <x v="0"/>
    <x v="8"/>
    <x v="1"/>
    <x v="11"/>
    <s v="PWEGPL"/>
    <s v="MSEDCL"/>
    <n v="2.5000000000000001E-2"/>
    <n v="804"/>
    <x v="382"/>
    <s v="BD"/>
    <d v="1899-12-30T14:55:00"/>
    <d v="1899-12-30T16:51:00"/>
    <d v="1899-12-30T16:57:00"/>
    <n v="1.9333333333333345"/>
    <n v="9.999999999999698E-2"/>
    <n v="2.0333333333333314"/>
    <s v="Reboot and restored"/>
    <s v="Close"/>
    <n v="5.0833333333333286E-2"/>
    <s v="G31"/>
    <n v="115.05277777777768"/>
    <s v="None"/>
    <s v="WTG Breakdown Maintenance"/>
    <n v="1358"/>
    <n v="115.05277777777768"/>
    <m/>
    <m/>
    <m/>
    <m/>
  </r>
  <r>
    <n v="1618"/>
    <x v="234"/>
    <x v="1"/>
    <x v="0"/>
    <x v="8"/>
    <x v="1"/>
    <x v="37"/>
    <s v="PWEGPL"/>
    <s v="MSEDCL"/>
    <n v="2.5000000000000001E-2"/>
    <n v="5201"/>
    <x v="299"/>
    <s v="BD"/>
    <d v="1899-12-30T19:00:00"/>
    <d v="1899-12-30T20:18:00"/>
    <d v="1899-12-30T20:24:00"/>
    <n v="1.3000000000000007"/>
    <n v="9.9999999999999645E-2"/>
    <n v="1.4000000000000004"/>
    <s v="Reboot and restored"/>
    <s v="Close"/>
    <n v="3.500000000000001E-2"/>
    <s v="G15"/>
    <n v="85.516666666666694"/>
    <s v="None"/>
    <s v="WTG Breakdown Maintenance"/>
    <n v="1466"/>
    <n v="85.516666666666694"/>
    <m/>
    <m/>
    <m/>
    <m/>
  </r>
  <r>
    <n v="1619"/>
    <x v="234"/>
    <x v="1"/>
    <x v="0"/>
    <x v="8"/>
    <x v="1"/>
    <x v="33"/>
    <s v="PWEGPL"/>
    <s v="MSEDCL"/>
    <n v="2.5000000000000001E-2"/>
    <n v="207"/>
    <x v="309"/>
    <s v="BD"/>
    <d v="1899-12-30T16:45:00"/>
    <d v="1899-12-30T18:31:00"/>
    <d v="1899-12-30T20:42:00"/>
    <n v="1.7666666666666657"/>
    <n v="2.1833333333333336"/>
    <n v="3.9499999999999993"/>
    <s v="Pos 110 value setting done and restored"/>
    <s v="Close"/>
    <n v="9.8749999999999991E-2"/>
    <s v="G22"/>
    <n v="131.0083333333333"/>
    <s v="None"/>
    <s v="WTG Breakdown Maintenance"/>
    <n v="796"/>
    <n v="131.0083333333333"/>
    <m/>
    <m/>
    <m/>
    <m/>
  </r>
  <r>
    <n v="1620"/>
    <x v="234"/>
    <x v="1"/>
    <x v="0"/>
    <x v="8"/>
    <x v="1"/>
    <x v="28"/>
    <s v="PWEGPL"/>
    <s v="MSEDCL"/>
    <n v="2.5000000000000001E-2"/>
    <n v="2509"/>
    <x v="201"/>
    <s v="BD"/>
    <d v="1899-12-30T14:52:00"/>
    <d v="1899-12-30T14:52:00"/>
    <d v="1899-12-30T23:59:00"/>
    <n v="0"/>
    <n v="9.1166666666666671"/>
    <n v="9.1166666666666671"/>
    <s v="SF6 btreaker issue work under progress"/>
    <s v="Open"/>
    <n v="0.22791666666666668"/>
    <s v="G09"/>
    <n v="492.3"/>
    <s v="None"/>
    <s v="WTG Breakdown Maintenance"/>
    <n v="1296"/>
    <n v="492.3"/>
    <m/>
    <m/>
    <m/>
    <m/>
  </r>
  <r>
    <n v="1621"/>
    <x v="235"/>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206.4666666666667"/>
    <s v="Material shortage-Transformer mounting M20x40 bolt found broken 04 pc."/>
    <s v="WTG Breakdown Maintenance"/>
    <n v="2208"/>
    <n v="2206.4666666666667"/>
    <m/>
    <m/>
    <m/>
    <m/>
  </r>
  <r>
    <n v="1622"/>
    <x v="235"/>
    <x v="1"/>
    <x v="0"/>
    <x v="8"/>
    <x v="1"/>
    <x v="28"/>
    <s v="PWEGPL"/>
    <s v="MSEDCL"/>
    <n v="2.5000000000000001E-2"/>
    <n v="2509"/>
    <x v="201"/>
    <s v="BD"/>
    <d v="1899-12-30T00:00:00"/>
    <d v="1899-12-30T00:00:00"/>
    <d v="1899-12-30T23:59:00"/>
    <n v="0"/>
    <n v="23.983333333333334"/>
    <n v="23.983333333333334"/>
    <s v="SF6 btreaker issue work under progress"/>
    <s v="Open"/>
    <n v="0.59958333333333336"/>
    <s v="G09"/>
    <n v="2074.5583333333334"/>
    <s v="Material shortage-SF6 breaker"/>
    <s v="WTG Breakdown Maintenance"/>
    <n v="2076"/>
    <n v="2074.5583333333334"/>
    <m/>
    <m/>
    <m/>
    <m/>
  </r>
  <r>
    <n v="1623"/>
    <x v="235"/>
    <x v="1"/>
    <x v="0"/>
    <x v="8"/>
    <x v="1"/>
    <x v="6"/>
    <s v="PWEGPL"/>
    <s v="MSEDCL"/>
    <n v="2.5000000000000001E-2"/>
    <n v="700"/>
    <x v="329"/>
    <s v="BD"/>
    <d v="1899-12-30T09:18:00"/>
    <d v="1899-12-30T10:35:00"/>
    <d v="1899-12-30T11:45:00"/>
    <n v="1.2833333333333341"/>
    <n v="1.1666666666666652"/>
    <n v="2.4499999999999993"/>
    <s v="Slipring cleaned and restored"/>
    <s v="Close"/>
    <n v="6.1249999999999985E-2"/>
    <s v="G40"/>
    <n v="137.19999999999996"/>
    <s v="None"/>
    <s v="WTG Breakdown Maintenance"/>
    <n v="1344"/>
    <n v="137.19999999999996"/>
    <m/>
    <m/>
    <m/>
    <m/>
  </r>
  <r>
    <n v="1624"/>
    <x v="235"/>
    <x v="1"/>
    <x v="0"/>
    <x v="8"/>
    <x v="1"/>
    <x v="24"/>
    <s v="PWEGPL"/>
    <s v="MSEDCL"/>
    <n v="2.5000000000000001E-2"/>
    <n v="205"/>
    <x v="312"/>
    <s v="BD"/>
    <d v="1899-12-30T11:01:00"/>
    <d v="1899-12-30T13:21:00"/>
    <d v="1899-12-30T14:00:00"/>
    <n v="2.333333333333333"/>
    <n v="0.65000000000000036"/>
    <n v="2.9833333333333334"/>
    <s v="Oil top up and restored the WTG"/>
    <s v="Close"/>
    <n v="7.4583333333333335E-2"/>
    <s v="G22"/>
    <n v="193.17083333333335"/>
    <s v="None"/>
    <s v="WTG Breakdown Maintenance"/>
    <n v="1554"/>
    <n v="193.17083333333335"/>
    <m/>
    <m/>
    <m/>
    <m/>
  </r>
  <r>
    <n v="1625"/>
    <x v="235"/>
    <x v="1"/>
    <x v="0"/>
    <x v="8"/>
    <x v="1"/>
    <x v="26"/>
    <s v="PWEGPL"/>
    <s v="MSEDCL"/>
    <n v="2.5000000000000001E-2"/>
    <n v="205"/>
    <x v="312"/>
    <s v="BD"/>
    <d v="1899-12-30T11:01:00"/>
    <d v="1899-12-30T14:05:00"/>
    <d v="1899-12-30T21:34:00"/>
    <n v="3.0666666666666664"/>
    <n v="7.4833333333333334"/>
    <n v="10.55"/>
    <s v="Oil top up and pos104 value setting done andrestored the WTG"/>
    <s v="Close"/>
    <n v="0.26375000000000004"/>
    <s v="G01"/>
    <n v="790.37083333333339"/>
    <s v="None"/>
    <s v="WTG Breakdown Maintenance"/>
    <n v="1798"/>
    <n v="790.37083333333339"/>
    <m/>
    <m/>
    <m/>
    <m/>
  </r>
  <r>
    <n v="1626"/>
    <x v="236"/>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525.9395833333333"/>
    <s v="Material shortage-Transformer mounting M20x40 bolt found broken 04 pc."/>
    <s v="WTG Breakdown Maintenance"/>
    <n v="1527"/>
    <n v="1525.9395833333333"/>
    <m/>
    <m/>
    <m/>
    <m/>
  </r>
  <r>
    <n v="1627"/>
    <x v="236"/>
    <x v="1"/>
    <x v="0"/>
    <x v="8"/>
    <x v="1"/>
    <x v="36"/>
    <s v="PWEGPL"/>
    <s v="MSEDCL"/>
    <n v="2.5000000000000001E-2"/>
    <s v="CE100010"/>
    <x v="296"/>
    <s v="PM"/>
    <d v="1899-12-30T11:06:00"/>
    <d v="1899-12-30T11:06:00"/>
    <d v="1899-12-30T18:53:00"/>
    <n v="0"/>
    <n v="7.7833333333333332"/>
    <n v="7.7833333333333332"/>
    <s v="Yearly preventive maintenace completed Day 1"/>
    <s v="Close"/>
    <n v="0.19458333333333333"/>
    <s v="G27"/>
    <n v="346.03402777777779"/>
    <s v="None"/>
    <s v="WTG Scheduled Maintenance"/>
    <n v="1067"/>
    <n v="346.03402777777779"/>
    <m/>
    <m/>
    <m/>
    <m/>
  </r>
  <r>
    <n v="1628"/>
    <x v="236"/>
    <x v="1"/>
    <x v="0"/>
    <x v="8"/>
    <x v="1"/>
    <x v="23"/>
    <s v="PWEGPL"/>
    <s v="MSEDCL"/>
    <n v="2.5000000000000001E-2"/>
    <n v="700"/>
    <x v="329"/>
    <s v="BD"/>
    <d v="1899-12-30T12:43:00"/>
    <d v="1899-12-30T13:31:00"/>
    <d v="1899-12-30T13:37:00"/>
    <n v="0.79999999999999982"/>
    <n v="9.9999999999999645E-2"/>
    <n v="0.89999999999999947"/>
    <s v="Rebooted and restored"/>
    <s v="Close"/>
    <n v="2.2499999999999989E-2"/>
    <s v="G06"/>
    <n v="59.287499999999966"/>
    <s v="None"/>
    <s v="WTG Breakdown Maintenance"/>
    <n v="1581"/>
    <n v="59.287499999999966"/>
    <m/>
    <m/>
    <m/>
    <m/>
  </r>
  <r>
    <n v="1629"/>
    <x v="236"/>
    <x v="1"/>
    <x v="0"/>
    <x v="8"/>
    <x v="1"/>
    <x v="3"/>
    <s v="PWEGPL"/>
    <s v="MSEDCL"/>
    <n v="2.5000000000000001E-2"/>
    <n v="813"/>
    <x v="376"/>
    <s v="BD"/>
    <d v="1899-12-30T16:48:00"/>
    <d v="1899-12-30T17:35:00"/>
    <d v="1899-12-30T18:20:00"/>
    <n v="0.78333333333333055"/>
    <n v="0.75"/>
    <n v="1.5333333333333306"/>
    <s v="Balluff sensor cable found loose then corrected and restore"/>
    <s v="Close"/>
    <n v="3.8333333333333268E-2"/>
    <s v="G26"/>
    <n v="113.27499999999979"/>
    <s v="None"/>
    <s v="WTG Breakdown Maintenance"/>
    <n v="1773"/>
    <n v="113.27499999999979"/>
    <m/>
    <m/>
    <m/>
    <m/>
  </r>
  <r>
    <n v="1630"/>
    <x v="236"/>
    <x v="1"/>
    <x v="0"/>
    <x v="8"/>
    <x v="1"/>
    <x v="35"/>
    <s v="PWEGPL"/>
    <s v="MSEDCL"/>
    <n v="2.5000000000000001E-2"/>
    <n v="1893"/>
    <x v="362"/>
    <s v="BD"/>
    <d v="1899-12-30T14:49:00"/>
    <d v="1899-12-30T15:38:00"/>
    <d v="1899-12-30T15:44:00"/>
    <n v="0.81666666666666643"/>
    <n v="9.9999999999999645E-2"/>
    <n v="0.91666666666666607"/>
    <s v="Rebooted and restored"/>
    <s v="Close"/>
    <n v="2.2916666666666655E-2"/>
    <s v="G27"/>
    <n v="40.7534722222222"/>
    <s v="None"/>
    <s v="WTG Breakdown Maintenance"/>
    <n v="1067"/>
    <n v="40.7534722222222"/>
    <m/>
    <m/>
    <m/>
    <m/>
  </r>
  <r>
    <n v="1631"/>
    <x v="236"/>
    <x v="1"/>
    <x v="0"/>
    <x v="8"/>
    <x v="1"/>
    <x v="30"/>
    <s v="PWEGPL"/>
    <s v="MSEDCL"/>
    <n v="2.5000000000000001E-2"/>
    <n v="804"/>
    <x v="382"/>
    <s v="BD"/>
    <d v="1899-12-30T21:32:00"/>
    <d v="1899-12-30T22:50:00"/>
    <d v="1899-12-30T23:58:00"/>
    <n v="1.299999999999998"/>
    <n v="1.133333333333332"/>
    <n v="2.43333333333333"/>
    <s v="Balluff sensor cable found loose then corrected and restore"/>
    <s v="Close"/>
    <n v="6.0833333333333253E-2"/>
    <s v="G13"/>
    <n v="129.06805555555536"/>
    <s v="None"/>
    <s v="WTG Breakdown Maintenance"/>
    <n v="1273"/>
    <n v="129.06805555555536"/>
    <m/>
    <m/>
    <m/>
    <m/>
  </r>
  <r>
    <n v="1632"/>
    <x v="236"/>
    <x v="1"/>
    <x v="0"/>
    <x v="8"/>
    <x v="1"/>
    <x v="21"/>
    <s v="PWEGPL"/>
    <s v="MSEDCL"/>
    <n v="2.5000000000000001E-2"/>
    <n v="205"/>
    <x v="312"/>
    <s v="BD"/>
    <d v="1899-12-30T00:16:00"/>
    <d v="1899-12-30T01:20:00"/>
    <d v="1899-12-30T01:46:00"/>
    <n v="1.0666666666666664"/>
    <n v="0.43333333333333346"/>
    <n v="1.5"/>
    <s v="Oil top up and restored the WTG"/>
    <s v="Close"/>
    <n v="3.7500000000000006E-2"/>
    <s v="G06"/>
    <n v="98.8125"/>
    <s v="None"/>
    <s v="WTG Breakdown Maintenance"/>
    <n v="1581"/>
    <n v="98.8125"/>
    <m/>
    <m/>
    <m/>
    <m/>
  </r>
  <r>
    <n v="1633"/>
    <x v="236"/>
    <x v="1"/>
    <x v="0"/>
    <x v="8"/>
    <x v="1"/>
    <x v="28"/>
    <s v="PWEGPL"/>
    <s v="MSEDCL"/>
    <n v="2.5000000000000001E-2"/>
    <n v="2509"/>
    <x v="201"/>
    <s v="BD"/>
    <d v="1899-12-30T00:00:00"/>
    <d v="1899-12-30T00:00:00"/>
    <d v="1899-12-30T23:59:00"/>
    <n v="0"/>
    <n v="23.983333333333334"/>
    <n v="23.983333333333334"/>
    <s v="SF6 btreaker issue work under progress"/>
    <s v="Open"/>
    <n v="0.59958333333333336"/>
    <s v="G11"/>
    <n v="1751.7826388888891"/>
    <s v="Material shortage-SF6 breaker"/>
    <s v="WTG Breakdown Maintenance"/>
    <n v="1753"/>
    <n v="1751.7826388888891"/>
    <m/>
    <m/>
    <m/>
    <m/>
  </r>
  <r>
    <n v="1634"/>
    <x v="237"/>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186.4805555555558"/>
    <s v="Material shortage-Transformer mounting M20x40 bolt found broken 04 pc."/>
    <s v="WTG Breakdown Maintenance"/>
    <n v="2188"/>
    <n v="2186.4805555555558"/>
    <m/>
    <m/>
    <m/>
    <m/>
  </r>
  <r>
    <n v="1635"/>
    <x v="237"/>
    <x v="1"/>
    <x v="0"/>
    <x v="8"/>
    <x v="1"/>
    <x v="28"/>
    <s v="PWEGPL"/>
    <s v="MSEDCL"/>
    <n v="2.5000000000000001E-2"/>
    <n v="2509"/>
    <x v="201"/>
    <s v="BD"/>
    <d v="1899-12-30T00:00:00"/>
    <d v="1899-12-30T00:00:00"/>
    <d v="1899-12-30T23:59:00"/>
    <n v="0"/>
    <n v="23.983333333333334"/>
    <n v="23.983333333333334"/>
    <s v="SF6 btreaker issue work under progress"/>
    <s v="Open"/>
    <n v="0.59958333333333336"/>
    <s v="G11"/>
    <n v="1048.2715277777779"/>
    <s v="Material shortage-SF6 breaker"/>
    <s v="WTG Breakdown Maintenance"/>
    <n v="1049"/>
    <n v="1048.2715277777779"/>
    <m/>
    <m/>
    <m/>
    <m/>
  </r>
  <r>
    <n v="1636"/>
    <x v="237"/>
    <x v="1"/>
    <x v="0"/>
    <x v="8"/>
    <x v="1"/>
    <x v="9"/>
    <s v="PWEGPL"/>
    <s v="MSEDCL"/>
    <n v="2.5000000000000001E-2"/>
    <s v="CE100010"/>
    <x v="296"/>
    <s v="PM"/>
    <d v="1899-12-30T10:34:00"/>
    <d v="1899-12-30T10:34:00"/>
    <d v="1899-12-30T16:53:00"/>
    <n v="0"/>
    <n v="6.3166666666666655"/>
    <n v="6.3166666666666655"/>
    <s v="Yearly preventive maintenace completed Day 1"/>
    <s v="Close"/>
    <n v="0.15791666666666665"/>
    <s v="G29"/>
    <n v="333.20416666666659"/>
    <s v="None"/>
    <s v="WTG Scheduled Maintenance"/>
    <n v="1266"/>
    <n v="333.20416666666659"/>
    <m/>
    <m/>
    <m/>
    <m/>
  </r>
  <r>
    <n v="1637"/>
    <x v="238"/>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3645.4666666666667"/>
    <s v="Material shortage-Transformer mounting M20x40 bolt found broken 04 pc."/>
    <s v="WTG Breakdown Maintenance"/>
    <n v="3648"/>
    <n v="3645.4666666666667"/>
    <m/>
    <m/>
    <m/>
    <m/>
  </r>
  <r>
    <n v="1638"/>
    <x v="238"/>
    <x v="1"/>
    <x v="0"/>
    <x v="8"/>
    <x v="1"/>
    <x v="28"/>
    <s v="PWEGPL"/>
    <s v="MSEDCL"/>
    <n v="2.5000000000000001E-2"/>
    <n v="2509"/>
    <x v="201"/>
    <s v="BD"/>
    <d v="1899-12-30T00:00:00"/>
    <d v="1899-12-30T00:00:00"/>
    <d v="1899-12-30T23:59:00"/>
    <n v="0"/>
    <n v="23.983333333333334"/>
    <n v="23.983333333333334"/>
    <s v="SF6 btreaker issue work under progress"/>
    <s v="Open"/>
    <n v="0.59958333333333336"/>
    <s v="G11"/>
    <n v="1231.1444444444446"/>
    <s v="Material shortage-SF6 breaker"/>
    <s v="WTG Breakdown Maintenance"/>
    <n v="1232"/>
    <n v="1231.1444444444446"/>
    <m/>
    <m/>
    <m/>
    <m/>
  </r>
  <r>
    <n v="1639"/>
    <x v="238"/>
    <x v="1"/>
    <x v="0"/>
    <x v="8"/>
    <x v="1"/>
    <x v="10"/>
    <s v="PWEGPL"/>
    <s v="MSEDCL"/>
    <n v="2.5000000000000001E-2"/>
    <n v="2118"/>
    <x v="293"/>
    <s v="BD"/>
    <d v="1899-12-30T05:28:00"/>
    <d v="1899-12-30T23:59:00"/>
    <d v="1899-12-30T23:59:00"/>
    <n v="18.516666666666666"/>
    <n v="0"/>
    <n v="18.516666666666666"/>
    <s v="Work under progress"/>
    <s v="Open"/>
    <n v="0.46291666666666664"/>
    <s v="G31"/>
    <n v="1257.5902777777778"/>
    <s v="ROW- For crain movement and access road stopped by local leaders"/>
    <s v="WTG Force Majeaure"/>
    <n v="1630"/>
    <n v="1257.5902777777778"/>
    <m/>
    <m/>
    <m/>
    <m/>
  </r>
  <r>
    <n v="1640"/>
    <x v="238"/>
    <x v="1"/>
    <x v="0"/>
    <x v="8"/>
    <x v="1"/>
    <x v="11"/>
    <s v="PWEGPL"/>
    <s v="MSEDCL"/>
    <n v="2.5000000000000001E-2"/>
    <n v="800"/>
    <x v="298"/>
    <s v="BD"/>
    <d v="1899-12-30T12:32:00"/>
    <d v="1899-12-30T23:59:00"/>
    <d v="1899-12-30T23:59:00"/>
    <n v="11.45"/>
    <n v="0"/>
    <n v="11.45"/>
    <s v="Work under progress"/>
    <s v="Open"/>
    <n v="0.28625"/>
    <s v="G31"/>
    <n v="777.64583333333337"/>
    <s v="ROW- For crain movement and access road stopped by local leaders"/>
    <s v="WTG Force Majeaure"/>
    <n v="1630"/>
    <n v="777.64583333333337"/>
    <m/>
    <m/>
    <m/>
    <m/>
  </r>
  <r>
    <n v="1641"/>
    <x v="238"/>
    <x v="1"/>
    <x v="0"/>
    <x v="8"/>
    <x v="1"/>
    <x v="7"/>
    <s v="PWEGPL"/>
    <s v="MSEDCL"/>
    <n v="2.5000000000000001E-2"/>
    <n v="205"/>
    <x v="312"/>
    <s v="BD"/>
    <d v="1899-12-30T05:16:00"/>
    <d v="1899-12-30T23:59:00"/>
    <d v="1899-12-30T23:59:00"/>
    <n v="18.716666666666669"/>
    <n v="0"/>
    <n v="18.716666666666669"/>
    <s v="Work under progress"/>
    <s v="Open"/>
    <n v="0.46791666666666676"/>
    <s v="G39"/>
    <n v="2026.0791666666669"/>
    <s v="ROW- For crain movement and access road stopped by local leaders"/>
    <s v="WTG Force Majeaure"/>
    <n v="2598"/>
    <n v="2026.0791666666669"/>
    <m/>
    <m/>
    <m/>
    <m/>
  </r>
  <r>
    <n v="1642"/>
    <x v="238"/>
    <x v="1"/>
    <x v="0"/>
    <x v="8"/>
    <x v="1"/>
    <x v="23"/>
    <s v="PWEGPL"/>
    <s v="MSEDCL"/>
    <n v="2.5000000000000001E-2"/>
    <n v="2118"/>
    <x v="293"/>
    <s v="BD"/>
    <d v="1899-12-30T10:29:00"/>
    <d v="1899-12-30T23:59:00"/>
    <d v="1899-12-30T23:59:00"/>
    <n v="13.5"/>
    <n v="0"/>
    <n v="13.5"/>
    <s v="Work under progress"/>
    <s v="Open"/>
    <n v="0.33750000000000002"/>
    <s v="G01"/>
    <n v="1347.1875"/>
    <s v="ROW- For crain movement and access road stopped by local leaders"/>
    <s v="WTG Force Majeaure"/>
    <n v="2395"/>
    <n v="1347.1875"/>
    <m/>
    <m/>
    <m/>
    <m/>
  </r>
  <r>
    <n v="1643"/>
    <x v="238"/>
    <x v="1"/>
    <x v="0"/>
    <x v="8"/>
    <x v="1"/>
    <x v="25"/>
    <s v="PWEGPL"/>
    <s v="MSEDCL"/>
    <n v="2.5000000000000001E-2"/>
    <n v="5220"/>
    <x v="393"/>
    <s v="BD"/>
    <d v="1899-12-30T11:45:00"/>
    <d v="1899-12-30T23:59:00"/>
    <d v="1899-12-30T23:59:00"/>
    <n v="12.233333333333333"/>
    <n v="0"/>
    <n v="12.233333333333333"/>
    <s v="Work under progress"/>
    <s v="Open"/>
    <n v="0.30583333333333335"/>
    <s v="G07"/>
    <n v="1391.5416666666665"/>
    <s v="ROW- For crain movement and access road stopped by local leaders"/>
    <s v="WTG Force Majeaure"/>
    <n v="2730"/>
    <n v="1391.5416666666665"/>
    <m/>
    <m/>
    <m/>
    <m/>
  </r>
  <r>
    <n v="1644"/>
    <x v="238"/>
    <x v="1"/>
    <x v="0"/>
    <x v="8"/>
    <x v="1"/>
    <x v="37"/>
    <s v="PWEGPL"/>
    <s v="MSEDCL"/>
    <n v="2.5000000000000001E-2"/>
    <n v="800"/>
    <x v="298"/>
    <s v="BD"/>
    <d v="1899-12-30T10:38:00"/>
    <d v="1899-12-30T23:59:00"/>
    <d v="1899-12-30T23:59:00"/>
    <n v="13.350000000000001"/>
    <n v="0"/>
    <n v="13.350000000000001"/>
    <s v="Work under progress"/>
    <s v="Open"/>
    <n v="0.33375000000000005"/>
    <s v="G17"/>
    <n v="1785.5625000000002"/>
    <s v="ROW- For crain movement and access road stopped by local leaders"/>
    <s v="WTG Force Majeaure"/>
    <n v="3210"/>
    <n v="1785.5625000000002"/>
    <m/>
    <m/>
    <m/>
    <m/>
  </r>
  <r>
    <n v="1645"/>
    <x v="239"/>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073.5590277777778"/>
    <s v="Material shortage-Transformer mounting M20x40 bolt found broken 04 pc."/>
    <s v="WTG Breakdown Maintenance"/>
    <n v="2075"/>
    <n v="2073.5590277777778"/>
    <m/>
    <m/>
    <m/>
    <m/>
  </r>
  <r>
    <n v="1646"/>
    <x v="239"/>
    <x v="1"/>
    <x v="0"/>
    <x v="8"/>
    <x v="1"/>
    <x v="28"/>
    <s v="PWEGPL"/>
    <s v="MSEDCL"/>
    <n v="2.5000000000000001E-2"/>
    <n v="2509"/>
    <x v="201"/>
    <s v="BD"/>
    <d v="1899-12-30T00:00:00"/>
    <d v="1899-12-30T00:00:00"/>
    <d v="1899-12-30T23:59:00"/>
    <n v="0"/>
    <n v="23.983333333333334"/>
    <n v="23.983333333333334"/>
    <s v="SF6 btreaker issue work under progress"/>
    <s v="Open"/>
    <n v="0.59958333333333336"/>
    <s v="G11"/>
    <n v="2417.3201388888892"/>
    <s v="Material shortage-SF6 breaker"/>
    <s v="WTG Breakdown Maintenance"/>
    <n v="2419"/>
    <n v="2417.3201388888892"/>
    <m/>
    <m/>
    <m/>
    <m/>
  </r>
  <r>
    <n v="1647"/>
    <x v="239"/>
    <x v="1"/>
    <x v="0"/>
    <x v="8"/>
    <x v="1"/>
    <x v="10"/>
    <s v="PWEGPL"/>
    <s v="MSEDCL"/>
    <n v="2.5000000000000001E-2"/>
    <n v="2118"/>
    <x v="293"/>
    <s v="BD"/>
    <d v="1899-12-30T00:00:00"/>
    <d v="1899-12-30T11:45:00"/>
    <d v="1899-12-30T12:27:00"/>
    <n v="11.75"/>
    <n v="0.69999999999999885"/>
    <n v="12.45"/>
    <s v="Slipring cleaned and restored"/>
    <s v="Close"/>
    <n v="0.31125000000000003"/>
    <s v="G31"/>
    <n v="947.23749999999984"/>
    <s v="ROW- For crain movement and access road stopped by local leaders"/>
    <s v="WTG Force Majeaure"/>
    <n v="1826"/>
    <n v="947.23749999999984"/>
    <m/>
    <m/>
    <m/>
    <m/>
  </r>
  <r>
    <n v="1648"/>
    <x v="239"/>
    <x v="1"/>
    <x v="0"/>
    <x v="8"/>
    <x v="1"/>
    <x v="11"/>
    <s v="PWEGPL"/>
    <s v="MSEDCL"/>
    <n v="2.5000000000000001E-2"/>
    <n v="800"/>
    <x v="298"/>
    <s v="BD"/>
    <d v="1899-12-30T00:00:00"/>
    <d v="1899-12-30T11:54:00"/>
    <d v="1899-12-30T13:39:00"/>
    <n v="11.9"/>
    <n v="1.7499999999999991"/>
    <n v="13.649999999999999"/>
    <s v="Checked all blades pitchiong m,anually found ok but while running triggering the error so KR209 relay interchanged and restored"/>
    <s v="Close"/>
    <n v="0.34125"/>
    <s v="G31"/>
    <n v="1038.5374999999999"/>
    <s v="ROW- For crain movement and access road stopped by local leaders"/>
    <s v="WTG Force Majeaure"/>
    <n v="1826"/>
    <n v="1038.5374999999999"/>
    <m/>
    <m/>
    <m/>
    <m/>
  </r>
  <r>
    <n v="1649"/>
    <x v="239"/>
    <x v="1"/>
    <x v="0"/>
    <x v="8"/>
    <x v="1"/>
    <x v="7"/>
    <s v="PWEGPL"/>
    <s v="MSEDCL"/>
    <n v="2.5000000000000001E-2"/>
    <n v="205"/>
    <x v="312"/>
    <s v="BD"/>
    <d v="1899-12-30T00:00:00"/>
    <d v="1899-12-30T13:37:00"/>
    <d v="1899-12-30T14:14:00"/>
    <n v="13.616666666666667"/>
    <n v="0.61666666666666714"/>
    <n v="14.233333333333334"/>
    <s v="HU oil top up and restored"/>
    <s v="Close"/>
    <n v="0.35583333333333339"/>
    <s v="G39"/>
    <n v="830.87083333333339"/>
    <s v="ROW- For crain movement and access road stopped by local leaders"/>
    <s v="WTG Force Majeaure"/>
    <n v="1401"/>
    <n v="830.87083333333339"/>
    <m/>
    <m/>
    <m/>
    <m/>
  </r>
  <r>
    <n v="1650"/>
    <x v="239"/>
    <x v="1"/>
    <x v="0"/>
    <x v="8"/>
    <x v="1"/>
    <x v="23"/>
    <s v="PWEGPL"/>
    <s v="MSEDCL"/>
    <n v="2.5000000000000001E-2"/>
    <n v="2118"/>
    <x v="293"/>
    <s v="BD"/>
    <d v="1899-12-30T00:00:00"/>
    <d v="1899-12-30T10:53:00"/>
    <d v="1899-12-30T12:06:00"/>
    <n v="10.883333333333333"/>
    <n v="1.2166666666666663"/>
    <n v="12.1"/>
    <s v="slipring cleaned and restored"/>
    <s v="Close"/>
    <n v="0.30249999999999999"/>
    <s v="G01"/>
    <n v="1040.0958333333333"/>
    <s v="ROW- For crain movement and access road stopped by local leaders"/>
    <s v="WTG Force Majeaure"/>
    <n v="2063"/>
    <n v="1040.0958333333333"/>
    <m/>
    <m/>
    <m/>
    <m/>
  </r>
  <r>
    <n v="1651"/>
    <x v="239"/>
    <x v="1"/>
    <x v="0"/>
    <x v="8"/>
    <x v="1"/>
    <x v="25"/>
    <s v="PWEGPL"/>
    <s v="MSEDCL"/>
    <n v="2.5000000000000001E-2"/>
    <n v="5220"/>
    <x v="393"/>
    <s v="BD"/>
    <d v="1899-12-30T00:00:00"/>
    <d v="1899-12-30T12:29:00"/>
    <d v="1899-12-30T13:43:00"/>
    <n v="12.483333333333331"/>
    <n v="1.2333333333333343"/>
    <n v="13.716666666666665"/>
    <s v="Found encoder cable damged and then corrected and restored"/>
    <s v="Close"/>
    <n v="0.34291666666666665"/>
    <s v="G07"/>
    <n v="889.2972222222221"/>
    <s v="ROW- For crain movement and access road stopped by local leaders"/>
    <s v="WTG Force Majeaure"/>
    <n v="1556"/>
    <n v="889.2972222222221"/>
    <m/>
    <m/>
    <m/>
    <m/>
  </r>
  <r>
    <n v="1652"/>
    <x v="239"/>
    <x v="1"/>
    <x v="0"/>
    <x v="8"/>
    <x v="1"/>
    <x v="37"/>
    <s v="PWEGPL"/>
    <s v="MSEDCL"/>
    <n v="2.5000000000000001E-2"/>
    <n v="800"/>
    <x v="298"/>
    <s v="BD"/>
    <d v="1899-12-30T00:00:00"/>
    <d v="1899-12-30T14:36:00"/>
    <d v="1899-12-30T14:37:00"/>
    <n v="14.599999999999998"/>
    <n v="1.6666666666669272E-2"/>
    <n v="14.616666666666667"/>
    <s v="Reboot and restored"/>
    <s v="Close"/>
    <n v="0.36541666666666672"/>
    <s v="G17"/>
    <n v="1115.7388888888888"/>
    <s v="ROW- For crain movement and access road stopped by local leaders"/>
    <s v="WTG Force Majeaure"/>
    <n v="1832"/>
    <n v="1115.7388888888888"/>
    <m/>
    <m/>
    <m/>
    <m/>
  </r>
  <r>
    <n v="1653"/>
    <x v="239"/>
    <x v="1"/>
    <x v="0"/>
    <x v="8"/>
    <x v="1"/>
    <x v="37"/>
    <s v="PWEGPL"/>
    <s v="MSEDCL"/>
    <n v="2.5000000000000001E-2"/>
    <n v="800"/>
    <x v="298"/>
    <s v="BD"/>
    <d v="1899-12-30T17:03:00"/>
    <d v="1899-12-30T18:14:00"/>
    <d v="1899-12-30T19:29:00"/>
    <n v="1.1833333333333345"/>
    <n v="1.2499999999999982"/>
    <n v="2.4333333333333327"/>
    <s v="Troubleshooting done and found loose connection in propectional value trhen properly connected and restored "/>
    <s v="Close"/>
    <n v="6.0833333333333323E-2"/>
    <s v="G17"/>
    <n v="185.74444444444438"/>
    <s v="ROW- For crain movement and access road stopped by local leaders"/>
    <s v="WTG Force Majeaure"/>
    <n v="1832"/>
    <n v="185.74444444444438"/>
    <m/>
    <m/>
    <m/>
    <m/>
  </r>
  <r>
    <n v="1654"/>
    <x v="239"/>
    <x v="1"/>
    <x v="0"/>
    <x v="8"/>
    <x v="1"/>
    <x v="8"/>
    <s v="PWEGPL"/>
    <s v="MSEDCL"/>
    <n v="2.5000000000000001E-2"/>
    <n v="603"/>
    <x v="394"/>
    <s v="BD"/>
    <d v="1899-12-30T21:43:00"/>
    <d v="1899-12-30T23:59:00"/>
    <d v="1899-12-30T23:59:00"/>
    <n v="2.2666666666666693"/>
    <n v="0"/>
    <n v="2.2666666666666693"/>
    <s v="Work under progress"/>
    <s v="Open"/>
    <n v="5.6666666666666733E-2"/>
    <s v="G28"/>
    <n v="193.80000000000021"/>
    <s v="ROW- For crain movement and access road stopped by local leaders"/>
    <s v="WTG Force Majeaure"/>
    <n v="2052"/>
    <n v="193.80000000000021"/>
    <m/>
    <m/>
    <m/>
    <m/>
  </r>
  <r>
    <n v="1655"/>
    <x v="240"/>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270.4222222222224"/>
    <s v="Material shortage-Transformer mounting M20x40 bolt found broken 04 pc."/>
    <s v="WTG Breakdown Maintenance"/>
    <n v="2272"/>
    <n v="2270.4222222222224"/>
    <m/>
    <m/>
    <m/>
    <m/>
  </r>
  <r>
    <n v="1656"/>
    <x v="240"/>
    <x v="1"/>
    <x v="0"/>
    <x v="8"/>
    <x v="1"/>
    <x v="28"/>
    <s v="PWEGPL"/>
    <s v="MSEDCL"/>
    <n v="2.5000000000000001E-2"/>
    <n v="2509"/>
    <x v="201"/>
    <s v="BD"/>
    <d v="1899-12-30T00:00:00"/>
    <d v="1899-12-30T00:00:00"/>
    <d v="1899-12-30T23:59:00"/>
    <n v="0"/>
    <n v="23.983333333333334"/>
    <n v="23.983333333333334"/>
    <s v="SF6 btreaker issue work under progress"/>
    <s v="Open"/>
    <n v="0.59958333333333336"/>
    <s v="G11"/>
    <n v="1650.8527777777776"/>
    <s v="Material shortage-SF6 breaker"/>
    <s v="WTG Breakdown Maintenance"/>
    <n v="1652"/>
    <n v="1650.8527777777776"/>
    <m/>
    <m/>
    <m/>
    <m/>
  </r>
  <r>
    <n v="1657"/>
    <x v="240"/>
    <x v="1"/>
    <x v="0"/>
    <x v="8"/>
    <x v="1"/>
    <x v="2"/>
    <s v="PWEGPL"/>
    <s v="MSEDCL"/>
    <n v="2.5000000000000001E-2"/>
    <n v="5220"/>
    <x v="393"/>
    <s v="BD"/>
    <d v="1899-12-30T07:30:00"/>
    <d v="1899-12-30T11:08:00"/>
    <d v="1899-12-30T13:12:00"/>
    <n v="3.6333333333333324"/>
    <n v="2.066666666666666"/>
    <n v="5.6999999999999984"/>
    <s v="Fouse encoder cable connection loose then properly connected and restored"/>
    <s v="Close"/>
    <n v="0.14249999999999996"/>
    <s v="G32"/>
    <n v="132.04999999999998"/>
    <s v="ROW- For crain movement and access road stopped by local leaders"/>
    <s v="WTG Force Majeaure"/>
    <n v="556"/>
    <n v="132.04999999999998"/>
    <m/>
    <m/>
    <m/>
    <m/>
  </r>
  <r>
    <n v="1658"/>
    <x v="240"/>
    <x v="1"/>
    <x v="0"/>
    <x v="8"/>
    <x v="1"/>
    <x v="8"/>
    <s v="PWEGPL"/>
    <s v="MSEDCL"/>
    <n v="2.5000000000000001E-2"/>
    <n v="603"/>
    <x v="394"/>
    <s v="BD"/>
    <d v="1899-12-30T00:00:00"/>
    <d v="1899-12-30T00:35:00"/>
    <d v="1899-12-30T00:40:00"/>
    <n v="0.58333333333333337"/>
    <n v="8.3333333333333287E-2"/>
    <n v="0.66666666666666663"/>
    <s v="Reboot and restored"/>
    <s v="Close"/>
    <n v="1.6666666666666666E-2"/>
    <s v="G28"/>
    <n v="28.361111111111107"/>
    <s v="ROW- For crain movement and access road stopped by local leaders"/>
    <s v="WTG Force Majeaure"/>
    <n v="1021"/>
    <n v="28.361111111111107"/>
    <m/>
    <m/>
    <m/>
    <m/>
  </r>
  <r>
    <n v="1659"/>
    <x v="240"/>
    <x v="1"/>
    <x v="0"/>
    <x v="8"/>
    <x v="1"/>
    <x v="7"/>
    <s v="PWEGPL"/>
    <s v="MSEDCL"/>
    <n v="2.5000000000000001E-2"/>
    <n v="115"/>
    <x v="308"/>
    <s v="BD"/>
    <d v="1899-12-30T09:50:00"/>
    <d v="1899-12-30T13:18:00"/>
    <d v="1899-12-30T13:24:00"/>
    <n v="3.4666666666666663"/>
    <n v="9.9999999999999645E-2"/>
    <n v="3.566666666666666"/>
    <s v="Reboot and restored"/>
    <s v="Close"/>
    <n v="8.9166666666666658E-2"/>
    <s v="G39"/>
    <n v="122.90138888888887"/>
    <s v="ROW- For crain movement and access road stopped by local leaders"/>
    <s v="WTG Force Majeaure"/>
    <n v="827"/>
    <n v="122.90138888888887"/>
    <m/>
    <m/>
    <m/>
    <m/>
  </r>
  <r>
    <n v="1660"/>
    <x v="241"/>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087.2444444444445"/>
    <s v="Material shortage-Transformer mounting M20x40 bolt found broken 04 pc."/>
    <s v="WTG Breakdown Maintenance"/>
    <n v="1088"/>
    <n v="1087.2444444444445"/>
    <m/>
    <m/>
    <m/>
    <m/>
  </r>
  <r>
    <n v="1661"/>
    <x v="241"/>
    <x v="1"/>
    <x v="0"/>
    <x v="8"/>
    <x v="1"/>
    <x v="28"/>
    <s v="PWEGPL"/>
    <s v="MSEDCL"/>
    <n v="2.5000000000000001E-2"/>
    <n v="2509"/>
    <x v="201"/>
    <s v="BD"/>
    <d v="1899-12-30T00:00:00"/>
    <d v="1899-12-30T00:00:00"/>
    <d v="1899-12-30T23:59:00"/>
    <n v="0"/>
    <n v="23.983333333333334"/>
    <n v="23.983333333333334"/>
    <s v="SF6 btreaker issue work under progress"/>
    <s v="Open"/>
    <n v="0.59958333333333336"/>
    <s v="G11"/>
    <n v="410.71458333333334"/>
    <s v="Material shortage-SF6 breaker"/>
    <s v="WTG Breakdown Maintenance"/>
    <n v="411"/>
    <n v="410.71458333333334"/>
    <m/>
    <m/>
    <m/>
    <m/>
  </r>
  <r>
    <n v="1662"/>
    <x v="242"/>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106.23125"/>
    <s v="Material shortage-Transformer mounting M20x40 bolt found broken 04 pc."/>
    <s v="WTG Breakdown Maintenance"/>
    <n v="1107"/>
    <n v="1106.23125"/>
    <m/>
    <m/>
    <m/>
    <m/>
  </r>
  <r>
    <n v="1663"/>
    <x v="242"/>
    <x v="1"/>
    <x v="0"/>
    <x v="8"/>
    <x v="1"/>
    <x v="28"/>
    <s v="PWEGPL"/>
    <s v="MSEDCL"/>
    <n v="2.5000000000000001E-2"/>
    <n v="2509"/>
    <x v="201"/>
    <s v="BD"/>
    <d v="1899-12-30T00:00:00"/>
    <d v="1899-12-30T00:00:00"/>
    <d v="1899-12-30T23:59:00"/>
    <n v="0"/>
    <n v="23.983333333333334"/>
    <n v="23.983333333333334"/>
    <s v="SF6 btreaker issue work under progress"/>
    <s v="Open"/>
    <n v="0.59958333333333336"/>
    <s v="G11"/>
    <n v="1212.1576388888889"/>
    <s v="Material shortage-SF6 breaker"/>
    <s v="WTG Breakdown Maintenance"/>
    <n v="1213"/>
    <n v="1212.1576388888889"/>
    <m/>
    <m/>
    <m/>
    <m/>
  </r>
  <r>
    <n v="1664"/>
    <x v="242"/>
    <x v="1"/>
    <x v="0"/>
    <x v="8"/>
    <x v="1"/>
    <x v="31"/>
    <s v="PWEGPL"/>
    <s v="MSEDCL"/>
    <n v="2.5000000000000001E-2"/>
    <n v="800"/>
    <x v="298"/>
    <s v="BD"/>
    <d v="1899-12-30T11:16:00"/>
    <d v="1899-12-30T15:05:00"/>
    <d v="1899-12-30T15:11:00"/>
    <n v="3.8166666666666651"/>
    <n v="9.9999999999999645E-2"/>
    <n v="3.9166666666666647"/>
    <s v="Rebooted and restored"/>
    <s v="Close"/>
    <n v="9.7916666666666624E-2"/>
    <s v="G14"/>
    <n v="165.31597222222214"/>
    <s v="ROW- For crain movement and access road stopped by local leaders"/>
    <s v="WTG Force Majeaure"/>
    <n v="1013"/>
    <n v="165.31597222222214"/>
    <m/>
    <m/>
    <m/>
    <m/>
  </r>
  <r>
    <n v="1665"/>
    <x v="242"/>
    <x v="1"/>
    <x v="0"/>
    <x v="8"/>
    <x v="1"/>
    <x v="7"/>
    <s v="PWEGPL"/>
    <s v="MSEDCL"/>
    <n v="2.5000000000000001E-2"/>
    <n v="115"/>
    <x v="308"/>
    <s v="BD"/>
    <d v="1899-12-30T12:15:00"/>
    <d v="1899-12-30T19:45:00"/>
    <d v="1899-12-30T19:53:00"/>
    <n v="7.5"/>
    <n v="0.13333333333333286"/>
    <n v="7.6333333333333329"/>
    <s v="Rebooted and restored"/>
    <s v="Close"/>
    <n v="0.19083333333333333"/>
    <s v="G39"/>
    <n v="328.86944444444447"/>
    <s v="ROW- For crain movement and access road stopped by local leaders"/>
    <s v="WTG Force Majeaure"/>
    <n v="1034"/>
    <n v="328.86944444444447"/>
    <m/>
    <m/>
    <m/>
    <m/>
  </r>
  <r>
    <n v="1666"/>
    <x v="243"/>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3197.7777777777783"/>
    <s v="Material shortage-Transformer mounting M20x40 bolt found broken 04 pc."/>
    <s v="WTG Breakdown Maintenance"/>
    <n v="3200"/>
    <n v="3197.7777777777783"/>
    <m/>
    <m/>
    <m/>
    <m/>
  </r>
  <r>
    <n v="1667"/>
    <x v="243"/>
    <x v="1"/>
    <x v="0"/>
    <x v="8"/>
    <x v="1"/>
    <x v="28"/>
    <s v="PWEGPL"/>
    <s v="MSEDCL"/>
    <n v="2.5000000000000001E-2"/>
    <n v="2509"/>
    <x v="201"/>
    <s v="BD"/>
    <d v="1899-12-30T00:00:00"/>
    <d v="1899-12-30T00:00:00"/>
    <d v="1899-12-30T15:54:00"/>
    <n v="0"/>
    <n v="15.899999999999999"/>
    <n v="15.899999999999999"/>
    <s v="SF6 breaker gas leakage arrested and gas top up and then checked the operation found ok "/>
    <s v="Close"/>
    <n v="0.39749999999999996"/>
    <s v="G11"/>
    <n v="1419.7375"/>
    <s v="None"/>
    <s v="WTG Breakdown Maintenance"/>
    <n v="2143"/>
    <n v="1419.7375"/>
    <m/>
    <m/>
    <m/>
    <m/>
  </r>
  <r>
    <n v="1668"/>
    <x v="243"/>
    <x v="1"/>
    <x v="0"/>
    <x v="8"/>
    <x v="1"/>
    <x v="21"/>
    <s v="PWEGPL"/>
    <s v="MSEDCL"/>
    <n v="2.5000000000000001E-2"/>
    <n v="205"/>
    <x v="312"/>
    <s v="BD"/>
    <d v="1899-12-30T07:20:00"/>
    <d v="1899-12-30T10:58:00"/>
    <d v="1899-12-30T11:28:00"/>
    <n v="3.6333333333333337"/>
    <n v="0.50000000000000089"/>
    <n v="4.1333333333333346"/>
    <s v="Oil top up and restored the WTG"/>
    <s v="Close"/>
    <n v="0.10333333333333337"/>
    <s v="G01"/>
    <n v="362.52777777777789"/>
    <s v="None"/>
    <s v="WTG Breakdown Maintenance"/>
    <n v="2105"/>
    <n v="362.52777777777789"/>
    <m/>
    <m/>
    <m/>
    <m/>
  </r>
  <r>
    <n v="1669"/>
    <x v="243"/>
    <x v="1"/>
    <x v="0"/>
    <x v="8"/>
    <x v="1"/>
    <x v="10"/>
    <s v="PWEGPL"/>
    <s v="MSEDCL"/>
    <n v="2.5000000000000001E-2"/>
    <s v="CE100010"/>
    <x v="296"/>
    <s v="PM"/>
    <d v="1899-12-30T10:47:00"/>
    <d v="1899-12-30T10:47:00"/>
    <d v="1899-12-30T17:06:00"/>
    <n v="0"/>
    <n v="6.3166666666666664"/>
    <n v="6.3166666666666664"/>
    <s v="Yearly preventive maintenace completed Day 1"/>
    <s v="Close"/>
    <n v="0.15791666666666668"/>
    <s v="G30"/>
    <n v="563.49930555555545"/>
    <s v="None"/>
    <s v="WTG Scheduled Maintenance"/>
    <n v="2141"/>
    <n v="563.49930555555545"/>
    <m/>
    <m/>
    <m/>
    <m/>
  </r>
  <r>
    <n v="1670"/>
    <x v="243"/>
    <x v="1"/>
    <x v="0"/>
    <x v="8"/>
    <x v="1"/>
    <x v="37"/>
    <s v="PWEGPL"/>
    <s v="MSEDCL"/>
    <n v="2.5000000000000001E-2"/>
    <s v="CE100001"/>
    <x v="288"/>
    <s v="Manual stop"/>
    <d v="1899-12-30T10:14:00"/>
    <d v="1899-12-30T10:14:00"/>
    <d v="1899-12-30T18:03:00"/>
    <n v="0"/>
    <n v="7.8166666666666664"/>
    <n v="7.8166666666666664"/>
    <s v="Manually stopped due to oil spillage in land"/>
    <s v="Close"/>
    <n v="0.19541666666666668"/>
    <s v="G17"/>
    <n v="987.50555555555547"/>
    <s v="None"/>
    <s v="WTG Breakdown Maintenance"/>
    <n v="3032"/>
    <n v="987.50555555555547"/>
    <m/>
    <m/>
    <m/>
    <m/>
  </r>
  <r>
    <n v="1671"/>
    <x v="243"/>
    <x v="1"/>
    <x v="0"/>
    <x v="8"/>
    <x v="1"/>
    <x v="14"/>
    <s v="PWEGPL"/>
    <s v="MSEDCL"/>
    <n v="2.5000000000000001E-2"/>
    <n v="402"/>
    <x v="300"/>
    <s v="BD"/>
    <d v="1899-12-30T19:16:00"/>
    <d v="1899-12-30T21:58:00"/>
    <d v="1899-12-30T22:04:00"/>
    <n v="2.7000000000000011"/>
    <n v="9.9999999999999645E-2"/>
    <n v="2.8000000000000007"/>
    <s v="Reboot and restored"/>
    <s v="Close"/>
    <n v="7.0000000000000021E-2"/>
    <s v="G35"/>
    <n v="268.21666666666675"/>
    <s v="None"/>
    <s v="WTG Breakdown Maintenance"/>
    <n v="2299"/>
    <n v="268.21666666666675"/>
    <m/>
    <m/>
    <m/>
    <m/>
  </r>
  <r>
    <n v="1672"/>
    <x v="243"/>
    <x v="1"/>
    <x v="0"/>
    <x v="8"/>
    <x v="1"/>
    <x v="14"/>
    <s v="PWEGPL"/>
    <s v="MSEDCL"/>
    <n v="2.5000000000000001E-2"/>
    <n v="407"/>
    <x v="395"/>
    <s v="BD"/>
    <d v="1899-12-30T22:08:00"/>
    <d v="1899-12-30T22:08:00"/>
    <d v="1899-12-30T23:59:00"/>
    <n v="0"/>
    <n v="1.8500000000000014"/>
    <n v="1.8500000000000014"/>
    <s v="Manually stopped due to abnormal siound from nacelle then inspected and found coupling dampers briken"/>
    <s v="Open"/>
    <n v="4.6250000000000041E-2"/>
    <s v="G35"/>
    <n v="177.21458333333348"/>
    <s v="Materail shortage- coupling"/>
    <s v="WTG Unscheduled Maintenance"/>
    <n v="2299"/>
    <n v="177.21458333333348"/>
    <m/>
    <m/>
    <m/>
    <m/>
  </r>
  <r>
    <n v="1673"/>
    <x v="244"/>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8"/>
    <n v="996.30763888888885"/>
    <s v="Material shortage-Transformer mounting M20x40 bolt found broken 04 pc."/>
    <s v="WTG Breakdown Maintenance"/>
    <n v="997"/>
    <n v="996.30763888888885"/>
    <m/>
    <m/>
    <m/>
    <m/>
  </r>
  <r>
    <n v="1674"/>
    <x v="244"/>
    <x v="1"/>
    <x v="0"/>
    <x v="8"/>
    <x v="1"/>
    <x v="8"/>
    <s v="PWEGPL"/>
    <s v="MSEDCL"/>
    <n v="2.5000000000000001E-2"/>
    <n v="205"/>
    <x v="312"/>
    <s v="BD"/>
    <d v="1899-12-30T09:46:00"/>
    <d v="1899-12-30T11:39:00"/>
    <d v="1899-12-30T13:07:00"/>
    <n v="1.883333333333332"/>
    <n v="1.4666666666666681"/>
    <n v="3.35"/>
    <s v="Oil top up and restored the WTG"/>
    <s v="Close"/>
    <n v="8.3750000000000005E-2"/>
    <s v="G25"/>
    <n v="87.518749999999997"/>
    <s v="None"/>
    <s v="WTG Breakdown Maintenance"/>
    <n v="627"/>
    <n v="87.518749999999997"/>
    <m/>
    <m/>
    <m/>
    <m/>
  </r>
  <r>
    <n v="1675"/>
    <x v="244"/>
    <x v="1"/>
    <x v="0"/>
    <x v="8"/>
    <x v="1"/>
    <x v="31"/>
    <s v="PWEGPL"/>
    <s v="MSEDCL"/>
    <n v="2.5000000000000001E-2"/>
    <n v="800"/>
    <x v="298"/>
    <s v="BD"/>
    <d v="1899-12-30T09:50:00"/>
    <d v="1899-12-30T12:31:00"/>
    <d v="1899-12-30T12:43:00"/>
    <n v="2.6833333333333331"/>
    <n v="0.19999999999999929"/>
    <n v="2.8833333333333324"/>
    <s v="reboot and restored"/>
    <s v="Close"/>
    <n v="7.2083333333333319E-2"/>
    <s v="G14"/>
    <n v="104.04027777777775"/>
    <s v="None"/>
    <s v="WTG Breakdown Maintenance"/>
    <n v="866"/>
    <n v="104.04027777777775"/>
    <m/>
    <m/>
    <m/>
    <m/>
  </r>
  <r>
    <n v="1676"/>
    <x v="244"/>
    <x v="1"/>
    <x v="0"/>
    <x v="8"/>
    <x v="1"/>
    <x v="28"/>
    <s v="PWEGPL"/>
    <s v="MSEDCL"/>
    <n v="2.5000000000000001E-2"/>
    <n v="205"/>
    <x v="312"/>
    <s v="BD"/>
    <d v="1899-12-30T11:50:00"/>
    <d v="1899-12-30T13:11:00"/>
    <d v="1899-12-30T13:59:00"/>
    <n v="1.3500000000000005"/>
    <n v="0.79999999999999716"/>
    <n v="2.1499999999999977"/>
    <s v="Oil top up and restored the WTG"/>
    <s v="Close"/>
    <n v="5.3749999999999944E-2"/>
    <s v="G11"/>
    <n v="72.383333333333255"/>
    <s v="None"/>
    <s v="WTG Breakdown Maintenance"/>
    <n v="808"/>
    <n v="72.383333333333255"/>
    <m/>
    <m/>
    <m/>
    <m/>
  </r>
  <r>
    <n v="1677"/>
    <x v="244"/>
    <x v="1"/>
    <x v="0"/>
    <x v="8"/>
    <x v="1"/>
    <x v="18"/>
    <s v="PWEGPL"/>
    <s v="MSEDCL"/>
    <n v="2.5000000000000001E-2"/>
    <n v="116"/>
    <x v="361"/>
    <s v="BD"/>
    <d v="1899-12-30T12:27:00"/>
    <d v="1899-12-30T15:07:00"/>
    <d v="1899-12-30T16:36:00"/>
    <n v="2.6666666666666679"/>
    <n v="1.4833333333333361"/>
    <n v="4.1500000000000039"/>
    <s v="Pos110 value setting done and restored"/>
    <s v="Close"/>
    <n v="0.10375000000000011"/>
    <s v="G18"/>
    <n v="172.39791666666682"/>
    <s v="None"/>
    <s v="WTG Breakdown Maintenance"/>
    <n v="997"/>
    <n v="172.39791666666682"/>
    <m/>
    <m/>
    <m/>
    <m/>
  </r>
  <r>
    <n v="1678"/>
    <x v="244"/>
    <x v="1"/>
    <x v="0"/>
    <x v="8"/>
    <x v="1"/>
    <x v="11"/>
    <s v="PWEGPL"/>
    <s v="MSEDCL"/>
    <n v="2.5000000000000001E-2"/>
    <s v="CE100010"/>
    <x v="296"/>
    <s v="PM"/>
    <d v="1899-12-30T10:24:00"/>
    <d v="1899-12-30T10:24:00"/>
    <d v="1899-12-30T17:51:00"/>
    <n v="0"/>
    <n v="7.45"/>
    <n v="7.45"/>
    <s v="Yearly preventive maintenace completed Day 1"/>
    <s v="Close"/>
    <n v="0.18625000000000003"/>
    <s v="G29"/>
    <n v="180.04166666666669"/>
    <s v="None"/>
    <s v="WTG Scheduled Maintenance"/>
    <n v="580"/>
    <n v="180.04166666666669"/>
    <m/>
    <m/>
    <m/>
    <m/>
  </r>
  <r>
    <n v="1679"/>
    <x v="244"/>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706.50902777777776"/>
    <s v="Materail shortage- coupling"/>
    <s v="WTG Unscheduled Maintenance"/>
    <n v="707"/>
    <n v="706.50902777777776"/>
    <m/>
    <m/>
    <m/>
    <m/>
  </r>
  <r>
    <n v="1680"/>
    <x v="245"/>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407.0222222222221"/>
    <s v="Material shortage-Transformer mounting M20x40 bolt found broken 04 pc."/>
    <s v="WTG Breakdown Maintenance"/>
    <n v="1408"/>
    <n v="1407.0222222222221"/>
    <m/>
    <m/>
    <m/>
    <m/>
  </r>
  <r>
    <n v="1681"/>
    <x v="245"/>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1297.0986111111113"/>
    <s v="Materail shortage- coupling"/>
    <s v="WTG Unscheduled Maintenance"/>
    <n v="1298"/>
    <n v="1297.0986111111113"/>
    <m/>
    <m/>
    <m/>
    <m/>
  </r>
  <r>
    <n v="1682"/>
    <x v="245"/>
    <x v="1"/>
    <x v="0"/>
    <x v="8"/>
    <x v="1"/>
    <x v="1"/>
    <s v="PWEGPL"/>
    <s v="MSEDCL"/>
    <n v="2.5000000000000001E-2"/>
    <s v="CE100002"/>
    <x v="381"/>
    <s v="Manual stop/TCA"/>
    <d v="1899-12-30T11:46:00"/>
    <d v="1899-12-30T11:46:00"/>
    <d v="1899-12-30T23:59:00"/>
    <n v="0"/>
    <n v="12.216666666666665"/>
    <n v="12.216666666666665"/>
    <s v="Blade repair work"/>
    <s v="Close"/>
    <n v="0.30541666666666667"/>
    <s v="G22"/>
    <n v="570.11111111111097"/>
    <s v="None"/>
    <s v="WTG Unscheduled Maintenance"/>
    <n v="1120"/>
    <n v="570.11111111111097"/>
    <m/>
    <m/>
    <m/>
    <m/>
  </r>
  <r>
    <n v="1683"/>
    <x v="245"/>
    <x v="1"/>
    <x v="0"/>
    <x v="8"/>
    <x v="1"/>
    <x v="12"/>
    <s v="PWEGPL"/>
    <s v="MSEDCL"/>
    <n v="2.5000000000000001E-2"/>
    <s v="CE100010"/>
    <x v="296"/>
    <s v="PM"/>
    <d v="1899-12-30T10:16:00"/>
    <d v="1899-12-30T10:16:00"/>
    <d v="1899-12-30T17:58:00"/>
    <n v="0"/>
    <n v="7.6999999999999966"/>
    <n v="7.6999999999999966"/>
    <s v="Yearly preventive maintenace completed Day 1"/>
    <s v="Close"/>
    <n v="0.19249999999999992"/>
    <s v="G30"/>
    <n v="389.81249999999983"/>
    <s v="None"/>
    <s v="WTG Scheduled Maintenance"/>
    <n v="1215"/>
    <n v="389.81249999999983"/>
    <m/>
    <m/>
    <m/>
    <m/>
  </r>
  <r>
    <n v="1684"/>
    <x v="245"/>
    <x v="1"/>
    <x v="0"/>
    <x v="8"/>
    <x v="1"/>
    <x v="0"/>
    <s v="PWEGPL"/>
    <s v="MSEDCL"/>
    <n v="2.5000000000000001E-2"/>
    <n v="5200"/>
    <x v="396"/>
    <s v="BD"/>
    <d v="1899-12-30T12:46:00"/>
    <d v="1899-12-30T14:47:00"/>
    <d v="1899-12-30T17:20:00"/>
    <n v="2.0166666666666675"/>
    <n v="2.5499999999999989"/>
    <n v="4.5666666666666664"/>
    <s v="FG003 MCB replaced and restored"/>
    <s v="Close"/>
    <n v="0.11416666666666667"/>
    <s v="G16"/>
    <n v="314.14861111111111"/>
    <s v="None"/>
    <s v="WTG Breakdown Maintenance"/>
    <n v="1651"/>
    <n v="314.14861111111111"/>
    <m/>
    <m/>
    <m/>
    <m/>
  </r>
  <r>
    <n v="1685"/>
    <x v="246"/>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2986.9243055555557"/>
    <s v="Material shortage-Transformer mounting M20x40 bolt found broken 04 pc."/>
    <s v="WTG Breakdown Maintenance"/>
    <n v="2989"/>
    <n v="2986.9243055555557"/>
    <m/>
    <m/>
    <m/>
    <m/>
  </r>
  <r>
    <n v="1686"/>
    <x v="246"/>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1737.7923611111112"/>
    <s v="Materail shortage- coupling"/>
    <s v="WTG Unscheduled Maintenance"/>
    <n v="1739"/>
    <n v="1737.7923611111112"/>
    <m/>
    <m/>
    <m/>
    <m/>
  </r>
  <r>
    <n v="1687"/>
    <x v="246"/>
    <x v="1"/>
    <x v="0"/>
    <x v="8"/>
    <x v="1"/>
    <x v="1"/>
    <s v="PWEGPL"/>
    <s v="MSEDCL"/>
    <n v="2.5000000000000001E-2"/>
    <s v="CE100002"/>
    <x v="381"/>
    <s v="Manual stop/TCA"/>
    <d v="1899-12-30T00:00:00"/>
    <d v="1899-12-30T00:00:00"/>
    <d v="1899-12-30T23:59:00"/>
    <n v="0"/>
    <n v="23.983333333333334"/>
    <n v="23.983333333333334"/>
    <s v="Blade repair work"/>
    <s v="Open"/>
    <n v="0.59958333333333336"/>
    <s v="G22"/>
    <n v="2293.40625"/>
    <s v="None"/>
    <s v="WTG Unscheduled Maintenance"/>
    <n v="2295"/>
    <n v="2293.40625"/>
    <m/>
    <m/>
    <m/>
    <m/>
  </r>
  <r>
    <n v="1688"/>
    <x v="246"/>
    <x v="1"/>
    <x v="0"/>
    <x v="8"/>
    <x v="1"/>
    <x v="37"/>
    <s v="PWEGPL"/>
    <s v="MSEDCL"/>
    <n v="2.5000000000000001E-2"/>
    <n v="433"/>
    <x v="387"/>
    <s v="BD"/>
    <d v="1899-12-30T12:22:00"/>
    <d v="1899-12-30T12:22:00"/>
    <d v="1899-12-30T14:01:00"/>
    <n v="0"/>
    <n v="1.6499999999999995"/>
    <n v="1.6499999999999995"/>
    <s v="Gearbox oil leakakes arrested and nhose replaced"/>
    <s v="Close"/>
    <n v="4.1249999999999988E-2"/>
    <s v="G17"/>
    <n v="160.87499999999994"/>
    <s v="None"/>
    <s v="WTG Scheduled Maintenance"/>
    <n v="2340"/>
    <n v="160.87499999999994"/>
    <m/>
    <m/>
    <m/>
    <m/>
  </r>
  <r>
    <n v="1689"/>
    <x v="246"/>
    <x v="1"/>
    <x v="0"/>
    <x v="8"/>
    <x v="1"/>
    <x v="35"/>
    <s v="PWEGPL"/>
    <s v="MSEDCL"/>
    <n v="2.5000000000000001E-2"/>
    <n v="5222"/>
    <x v="315"/>
    <s v="BD"/>
    <d v="1899-12-30T23:20:00"/>
    <d v="1899-12-30T23:59:00"/>
    <d v="1899-12-30T23:59:00"/>
    <n v="0.65000000000000036"/>
    <n v="0"/>
    <n v="0.65000000000000036"/>
    <s v="Work under progress"/>
    <s v="Open"/>
    <n v="1.6250000000000011E-2"/>
    <s v="G32"/>
    <n v="39.704166666666687"/>
    <s v="None"/>
    <s v="WTG Breakdown Maintenance"/>
    <n v="1466"/>
    <n v="39.704166666666687"/>
    <m/>
    <m/>
    <m/>
    <m/>
  </r>
  <r>
    <n v="1690"/>
    <x v="247"/>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14329.042361111113"/>
    <s v="Material shortage-Transformer mounting M20x40 bolt found broken 04 pc."/>
    <s v="WTG Breakdown Maintenance"/>
    <n v="14339"/>
    <n v="14329.042361111113"/>
    <m/>
    <m/>
    <m/>
    <m/>
  </r>
  <r>
    <n v="1691"/>
    <x v="247"/>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8740.9256944444442"/>
    <s v="Materail shortage- coupling"/>
    <s v="WTG Unscheduled Maintenance"/>
    <n v="8747"/>
    <n v="8740.9256944444442"/>
    <m/>
    <m/>
    <m/>
    <m/>
  </r>
  <r>
    <n v="1692"/>
    <x v="247"/>
    <x v="1"/>
    <x v="0"/>
    <x v="8"/>
    <x v="1"/>
    <x v="1"/>
    <s v="PWEGPL"/>
    <s v="MSEDCL"/>
    <n v="2.5000000000000001E-2"/>
    <s v="CE100002"/>
    <x v="381"/>
    <s v="Manual stop/TCA"/>
    <d v="1899-12-30T00:00:00"/>
    <d v="1899-12-30T00:00:00"/>
    <d v="1899-12-30T23:59:00"/>
    <n v="0"/>
    <n v="23.983333333333334"/>
    <n v="23.983333333333334"/>
    <s v="Blade repair work"/>
    <s v="Open"/>
    <n v="0.59958333333333336"/>
    <s v="G22"/>
    <n v="12510.30625"/>
    <s v="None"/>
    <s v="WTG Unscheduled Maintenance"/>
    <n v="12519"/>
    <n v="12510.30625"/>
    <m/>
    <m/>
    <m/>
    <m/>
  </r>
  <r>
    <n v="1693"/>
    <x v="247"/>
    <x v="1"/>
    <x v="0"/>
    <x v="8"/>
    <x v="1"/>
    <x v="25"/>
    <s v="PWEGPL"/>
    <s v="MSEDCL"/>
    <n v="2.5000000000000001E-2"/>
    <n v="5222"/>
    <x v="315"/>
    <s v="BD"/>
    <d v="1899-12-30T14:43:00"/>
    <d v="1899-12-30T15:56:00"/>
    <d v="1899-12-30T16:37:00"/>
    <n v="1.216666666666665"/>
    <n v="0.68333333333333357"/>
    <n v="1.8999999999999986"/>
    <s v="Checked all cable connection of encoder and restored"/>
    <s v="Close"/>
    <n v="4.7499999999999966E-2"/>
    <s v="G07"/>
    <n v="986.57499999999925"/>
    <s v="None"/>
    <s v="WTG Breakdown Maintenance"/>
    <n v="12462"/>
    <n v="986.57499999999925"/>
    <m/>
    <m/>
    <m/>
    <m/>
  </r>
  <r>
    <n v="1694"/>
    <x v="247"/>
    <x v="1"/>
    <x v="0"/>
    <x v="8"/>
    <x v="1"/>
    <x v="2"/>
    <s v="PWEGPL"/>
    <s v="MSEDCL"/>
    <n v="2.5000000000000001E-2"/>
    <n v="5220"/>
    <x v="393"/>
    <s v="BD"/>
    <d v="1899-12-30T00:00:00"/>
    <d v="1899-12-30T00:03:00"/>
    <d v="1899-12-30T04:03:00"/>
    <n v="0.05"/>
    <n v="4"/>
    <n v="4.05"/>
    <s v="Checked all cable connection of encoder and restored"/>
    <s v="Close"/>
    <n v="0.10125000000000001"/>
    <s v="G36"/>
    <n v="1576.4624999999999"/>
    <s v="None"/>
    <s v="WTG Breakdown Maintenance"/>
    <n v="9342"/>
    <n v="1576.4624999999999"/>
    <m/>
    <m/>
    <m/>
    <m/>
  </r>
  <r>
    <n v="1695"/>
    <x v="247"/>
    <x v="1"/>
    <x v="0"/>
    <x v="8"/>
    <x v="1"/>
    <x v="4"/>
    <s v="PWEGPL"/>
    <s v="MSEDCL"/>
    <n v="2.5000000000000001E-2"/>
    <n v="5221"/>
    <x v="391"/>
    <s v="BD"/>
    <d v="1899-12-30T21:30:00"/>
    <d v="1899-12-30T23:00:00"/>
    <d v="1899-12-30T23:08:00"/>
    <n v="1.5"/>
    <n v="0.13333333333333286"/>
    <n v="1.6333333333333329"/>
    <s v="Reboot and restored"/>
    <s v="Close"/>
    <n v="4.0833333333333326E-2"/>
    <s v="G32"/>
    <n v="480.13194444444429"/>
    <s v="None"/>
    <s v="WTG Breakdown Maintenance"/>
    <n v="7055"/>
    <n v="480.13194444444429"/>
    <m/>
    <m/>
    <m/>
    <m/>
  </r>
  <r>
    <n v="1696"/>
    <x v="247"/>
    <x v="1"/>
    <x v="0"/>
    <x v="8"/>
    <x v="1"/>
    <x v="23"/>
    <s v="PWEGPL"/>
    <s v="MSEDCL"/>
    <n v="2.5000000000000001E-2"/>
    <n v="2118"/>
    <x v="293"/>
    <s v="BD"/>
    <d v="1899-12-30T08:34:00"/>
    <d v="1899-12-30T10:58:00"/>
    <d v="1899-12-30T12:10:00"/>
    <n v="2.3999999999999995"/>
    <n v="1.1999999999999997"/>
    <n v="3.5999999999999992"/>
    <s v="Cleaned slipring unit and restored"/>
    <s v="Close"/>
    <n v="8.9999999999999983E-2"/>
    <s v="G03"/>
    <n v="1660.4999999999995"/>
    <s v="None"/>
    <s v="WTG Breakdown Maintenance"/>
    <n v="11070"/>
    <n v="1660.4999999999995"/>
    <m/>
    <m/>
    <m/>
    <m/>
  </r>
  <r>
    <n v="1697"/>
    <x v="248"/>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8191.3076388888894"/>
    <s v="Material shortage-Transformer mounting M20x40 bolt found broken 04 pc."/>
    <s v="WTG Breakdown Maintenance"/>
    <n v="8197"/>
    <n v="8191.3076388888894"/>
    <m/>
    <m/>
    <m/>
    <m/>
  </r>
  <r>
    <n v="1698"/>
    <x v="248"/>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5021.510416666667"/>
    <s v="Materail shortage- coupling"/>
    <s v="WTG Unscheduled Maintenance"/>
    <n v="5025"/>
    <n v="5021.510416666667"/>
    <m/>
    <m/>
    <m/>
    <m/>
  </r>
  <r>
    <n v="1699"/>
    <x v="248"/>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6284.6326388888892"/>
    <s v="None"/>
    <s v="WTG Unscheduled Maintenance"/>
    <n v="6289"/>
    <n v="6284.6326388888892"/>
    <m/>
    <m/>
    <m/>
    <m/>
  </r>
  <r>
    <n v="1700"/>
    <x v="248"/>
    <x v="1"/>
    <x v="0"/>
    <x v="8"/>
    <x v="1"/>
    <x v="26"/>
    <s v="PWEGPL"/>
    <s v="MSEDCL"/>
    <n v="2.5000000000000001E-2"/>
    <n v="203"/>
    <x v="290"/>
    <s v="BD"/>
    <d v="1899-12-30T10:53:00"/>
    <d v="1899-12-30T11:34:00"/>
    <d v="1899-12-30T11:35:00"/>
    <n v="0.68333333333333357"/>
    <n v="1.6666666666666607E-2"/>
    <n v="0.70000000000000018"/>
    <s v="Rebooted and restored"/>
    <s v="Close"/>
    <n v="1.7500000000000005E-2"/>
    <s v="G01"/>
    <n v="161.08750000000003"/>
    <s v="None"/>
    <s v="WTG Breakdown Maintenance"/>
    <n v="5523"/>
    <n v="161.08750000000003"/>
    <m/>
    <m/>
    <m/>
    <m/>
  </r>
  <r>
    <n v="1701"/>
    <x v="248"/>
    <x v="1"/>
    <x v="0"/>
    <x v="8"/>
    <x v="1"/>
    <x v="36"/>
    <s v="PWEGPL"/>
    <s v="MSEDCL"/>
    <n v="2.5000000000000001E-2"/>
    <n v="2107"/>
    <x v="386"/>
    <s v="BD"/>
    <d v="1899-12-30T13:22:00"/>
    <d v="1899-12-30T14:18:00"/>
    <d v="1899-12-30T15:14:00"/>
    <n v="0.93333333333333268"/>
    <n v="0.93333333333333268"/>
    <n v="1.8666666666666654"/>
    <s v="Slipring cleaned and restored"/>
    <s v="Close"/>
    <n v="4.6666666666666634E-2"/>
    <s v="G24"/>
    <n v="371.62222222222198"/>
    <s v="None"/>
    <s v="WTG Breakdown Maintenance"/>
    <n v="4778"/>
    <n v="371.62222222222198"/>
    <m/>
    <m/>
    <m/>
    <m/>
  </r>
  <r>
    <n v="1702"/>
    <x v="248"/>
    <x v="1"/>
    <x v="0"/>
    <x v="8"/>
    <x v="1"/>
    <x v="25"/>
    <s v="PWEGPL"/>
    <s v="MSEDCL"/>
    <n v="2.5000000000000001E-2"/>
    <n v="5221"/>
    <x v="391"/>
    <s v="BD"/>
    <d v="1899-12-30T00:29:00"/>
    <d v="1899-12-30T01:32:00"/>
    <d v="1899-12-30T03:39:00"/>
    <n v="1.0499999999999998"/>
    <n v="2.1166666666666663"/>
    <n v="3.1666666666666661"/>
    <s v="Checked all cable connection of encoder and restored"/>
    <s v="Close"/>
    <n v="7.9166666666666663E-2"/>
    <s v="G03"/>
    <n v="729.3888888888888"/>
    <s v="None"/>
    <s v="WTG Breakdown Maintenance"/>
    <n v="5528"/>
    <n v="729.3888888888888"/>
    <m/>
    <m/>
    <m/>
    <m/>
  </r>
  <r>
    <n v="1703"/>
    <x v="248"/>
    <x v="1"/>
    <x v="0"/>
    <x v="8"/>
    <x v="1"/>
    <x v="4"/>
    <s v="PWEGPL"/>
    <s v="MSEDCL"/>
    <n v="2.5000000000000001E-2"/>
    <n v="5220"/>
    <x v="393"/>
    <s v="BD"/>
    <d v="1899-12-30T00:16:00"/>
    <d v="1899-12-30T01:10:00"/>
    <d v="1899-12-30T01:37:00"/>
    <n v="0.89999999999999991"/>
    <n v="0.4499999999999999"/>
    <n v="1.3499999999999999"/>
    <s v="Checked all cable connection in CCU of encoder and restored"/>
    <s v="Close"/>
    <n v="3.3749999999999995E-2"/>
    <s v="G36"/>
    <n v="339.86249999999995"/>
    <s v="None"/>
    <s v="WTG Breakdown Maintenance"/>
    <n v="6042"/>
    <n v="339.86249999999995"/>
    <m/>
    <m/>
    <m/>
    <m/>
  </r>
  <r>
    <n v="1704"/>
    <x v="249"/>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4162.1076388888887"/>
    <s v="Material shortage-Transformer mounting M20x40 bolt found broken 04 pc."/>
    <s v="WTG Breakdown Maintenance"/>
    <n v="4165"/>
    <n v="4162.1076388888887"/>
    <m/>
    <m/>
    <m/>
    <m/>
  </r>
  <r>
    <n v="1705"/>
    <x v="249"/>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2360.3597222222224"/>
    <s v="Materail shortage- coupling"/>
    <s v="WTG Unscheduled Maintenance"/>
    <n v="2362"/>
    <n v="2360.3597222222224"/>
    <m/>
    <m/>
    <m/>
    <m/>
  </r>
  <r>
    <n v="1706"/>
    <x v="249"/>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564.2180555555556"/>
    <s v="None"/>
    <s v="WTG Unscheduled Maintenance"/>
    <n v="2566"/>
    <n v="2564.2180555555556"/>
    <m/>
    <m/>
    <m/>
    <m/>
  </r>
  <r>
    <n v="1707"/>
    <x v="249"/>
    <x v="1"/>
    <x v="0"/>
    <x v="8"/>
    <x v="1"/>
    <x v="25"/>
    <s v="PWEGPL"/>
    <s v="MSEDCL"/>
    <n v="2.5000000000000001E-2"/>
    <n v="5221"/>
    <x v="391"/>
    <s v="BD"/>
    <d v="1899-12-30T12:16:00"/>
    <d v="1899-12-30T12:16:00"/>
    <d v="1899-12-30T18:43:00"/>
    <n v="0"/>
    <n v="6.4499999999999957"/>
    <n v="6.4499999999999957"/>
    <s v="Checked encoder cable and shielding and found shielding not proper then corrected and restored"/>
    <s v="Close"/>
    <n v="0.16124999999999989"/>
    <s v="G07"/>
    <n v="906.4937499999993"/>
    <s v="None"/>
    <s v="WTG Breakdown Maintenance"/>
    <n v="3373"/>
    <n v="906.4937499999993"/>
    <m/>
    <m/>
    <m/>
    <m/>
  </r>
  <r>
    <n v="1708"/>
    <x v="249"/>
    <x v="1"/>
    <x v="0"/>
    <x v="8"/>
    <x v="1"/>
    <x v="7"/>
    <s v="PWEGPL"/>
    <s v="MSEDCL"/>
    <n v="2.5000000000000001E-2"/>
    <n v="205"/>
    <x v="312"/>
    <s v="BD"/>
    <d v="1899-12-30T07:10:00"/>
    <d v="1899-12-30T11:25:00"/>
    <d v="1899-12-30T11:50:00"/>
    <n v="4.25"/>
    <n v="0.41666666666666785"/>
    <n v="4.6666666666666679"/>
    <s v="oil top and restored"/>
    <s v="Close"/>
    <n v="0.1166666666666667"/>
    <s v="G39"/>
    <n v="380.33333333333343"/>
    <s v="None"/>
    <s v="WTG Breakdown Maintenance"/>
    <n v="1956"/>
    <n v="380.33333333333343"/>
    <m/>
    <m/>
    <m/>
    <m/>
  </r>
  <r>
    <n v="1709"/>
    <x v="249"/>
    <x v="1"/>
    <x v="0"/>
    <x v="8"/>
    <x v="1"/>
    <x v="27"/>
    <s v="PWEGPL"/>
    <s v="MSEDCL"/>
    <n v="2.5000000000000001E-2"/>
    <n v="800"/>
    <x v="298"/>
    <s v="BD"/>
    <d v="1899-12-30T08:39:00"/>
    <d v="1899-12-30T10:29:00"/>
    <d v="1899-12-30T16:03:00"/>
    <n v="1.8333333333333321"/>
    <n v="5.56666666666667"/>
    <n v="7.4000000000000021"/>
    <s v="Profectional value replaced and restored"/>
    <s v="Close"/>
    <n v="0.18500000000000005"/>
    <s v="G12"/>
    <n v="1016.8833333333336"/>
    <s v="None"/>
    <s v="WTG Breakdown Maintenance"/>
    <n v="3298"/>
    <n v="1016.8833333333336"/>
    <m/>
    <m/>
    <m/>
    <m/>
  </r>
  <r>
    <n v="1710"/>
    <x v="249"/>
    <x v="1"/>
    <x v="0"/>
    <x v="8"/>
    <x v="1"/>
    <x v="21"/>
    <s v="PWEGPL"/>
    <s v="MSEDCL"/>
    <n v="2.5000000000000001E-2"/>
    <n v="205"/>
    <x v="312"/>
    <s v="BD"/>
    <d v="1899-12-30T08:56:00"/>
    <d v="1899-12-30T12:26:00"/>
    <d v="1899-12-30T12:47:00"/>
    <n v="3.5000000000000009"/>
    <n v="0.34999999999999876"/>
    <n v="3.8499999999999996"/>
    <s v="Oil top up and restored the WTG"/>
    <s v="Close"/>
    <n v="9.6250000000000002E-2"/>
    <s v="G01"/>
    <n v="483.01458333333329"/>
    <s v="None"/>
    <s v="WTG Breakdown Maintenance"/>
    <n v="3011"/>
    <n v="483.01458333333329"/>
    <m/>
    <m/>
    <m/>
    <m/>
  </r>
  <r>
    <n v="1711"/>
    <x v="250"/>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3255.7375000000002"/>
    <s v="Material shortage-Transformer mounting M20x40 bolt found broken 04 pc."/>
    <s v="WTG Breakdown Maintenance"/>
    <n v="3258"/>
    <n v="3255.7375000000002"/>
    <m/>
    <m/>
    <m/>
    <m/>
  </r>
  <r>
    <n v="1712"/>
    <x v="250"/>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2283.4131944444443"/>
    <s v="Materail shortage- coupling"/>
    <s v="WTG Unscheduled Maintenance"/>
    <n v="2285"/>
    <n v="2283.4131944444443"/>
    <m/>
    <m/>
    <m/>
    <m/>
  </r>
  <r>
    <n v="1713"/>
    <x v="250"/>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560.2208333333333"/>
    <s v="None"/>
    <s v="WTG Unscheduled Maintenance"/>
    <n v="2562"/>
    <n v="2560.2208333333333"/>
    <m/>
    <m/>
    <m/>
    <m/>
  </r>
  <r>
    <n v="1714"/>
    <x v="250"/>
    <x v="1"/>
    <x v="0"/>
    <x v="8"/>
    <x v="1"/>
    <x v="26"/>
    <s v="PWEGPL"/>
    <s v="MSEDCL"/>
    <n v="2.5000000000000001E-2"/>
    <n v="203"/>
    <x v="290"/>
    <s v="BD"/>
    <d v="1899-12-30T17:36:00"/>
    <d v="1899-12-30T18:34:00"/>
    <d v="1899-12-30T18:45:00"/>
    <n v="0.9666666666666659"/>
    <n v="0.18333333333333268"/>
    <n v="1.1499999999999986"/>
    <s v="Rebooted and restored"/>
    <s v="Close"/>
    <n v="2.8749999999999967E-2"/>
    <s v="G01"/>
    <n v="123.38541666666652"/>
    <s v="None"/>
    <s v="WTG Breakdown Maintenance"/>
    <n v="2575"/>
    <n v="123.38541666666652"/>
    <m/>
    <m/>
    <m/>
    <m/>
  </r>
  <r>
    <n v="1715"/>
    <x v="251"/>
    <x v="1"/>
    <x v="0"/>
    <x v="8"/>
    <x v="1"/>
    <x v="19"/>
    <s v="PWEGPL"/>
    <s v="MSEDCL"/>
    <n v="2.5000000000000001E-2"/>
    <s v="CE100003"/>
    <x v="380"/>
    <s v="Manual stop/TCA"/>
    <d v="1899-12-30T00:00:00"/>
    <d v="1899-12-30T00:00:00"/>
    <d v="1899-12-30T23:59:00"/>
    <n v="0"/>
    <n v="23.983333333333334"/>
    <n v="23.983333333333334"/>
    <s v="Transformer mounting structure bolt broken waiting for material and technical team guidence."/>
    <s v="Open"/>
    <n v="0.59958333333333336"/>
    <s v="G19"/>
    <n v="6369.5736111111109"/>
    <s v="Material shortage-Transformer mounting M20x40 bolt found broken 04 pc."/>
    <s v="WTG Breakdown Maintenance"/>
    <n v="6374"/>
    <n v="6369.5736111111109"/>
    <m/>
    <m/>
    <m/>
    <m/>
  </r>
  <r>
    <n v="1716"/>
    <x v="251"/>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2258.4305555555557"/>
    <s v="Materail shortage- coupling"/>
    <s v="WTG Unscheduled Maintenance"/>
    <n v="2260"/>
    <n v="2258.4305555555557"/>
    <m/>
    <m/>
    <m/>
    <m/>
  </r>
  <r>
    <n v="1717"/>
    <x v="251"/>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118.8326388888886"/>
    <s v="None"/>
    <s v="WTG Unscheduled Maintenance"/>
    <n v="3121"/>
    <n v="3118.8326388888886"/>
    <m/>
    <m/>
    <m/>
    <m/>
  </r>
  <r>
    <n v="1718"/>
    <x v="251"/>
    <x v="1"/>
    <x v="0"/>
    <x v="8"/>
    <x v="1"/>
    <x v="34"/>
    <s v="PWEGPL"/>
    <s v="MSEDCL"/>
    <n v="2.5000000000000001E-2"/>
    <n v="205"/>
    <x v="312"/>
    <s v="BD"/>
    <d v="1899-12-30T20:51:00"/>
    <d v="1899-12-30T22:10:00"/>
    <d v="1899-12-30T23:59:00"/>
    <n v="1.3166666666666673"/>
    <n v="1.8166666666666655"/>
    <n v="3.1333333333333329"/>
    <s v="Work under progress"/>
    <s v="Open"/>
    <n v="7.8333333333333324E-2"/>
    <s v="G21"/>
    <n v="407.46388888888879"/>
    <s v="None"/>
    <s v="WTG Breakdown Maintenance"/>
    <n v="3121"/>
    <n v="407.46388888888879"/>
    <m/>
    <m/>
    <m/>
    <m/>
  </r>
  <r>
    <n v="1719"/>
    <x v="252"/>
    <x v="1"/>
    <x v="0"/>
    <x v="8"/>
    <x v="1"/>
    <x v="19"/>
    <s v="PWEGPL"/>
    <s v="MSEDCL"/>
    <n v="2.5000000000000001E-2"/>
    <s v="CE100003"/>
    <x v="380"/>
    <s v="Manual stop/TCA"/>
    <d v="1899-12-30T00:00:00"/>
    <d v="1899-12-30T00:00:00"/>
    <d v="1899-12-30T10:23:00"/>
    <n v="0"/>
    <n v="10.383333333333333"/>
    <n v="10.383333333333333"/>
    <s v="Transformer mounting bold replaced and restored"/>
    <s v="Close"/>
    <n v="0.25958333333333333"/>
    <s v="G19"/>
    <n v="3513.8930555555557"/>
    <s v="Material shortage-Transformer mounting M20x40 bolt found broken 04 pc."/>
    <s v="WTG Breakdown Maintenance"/>
    <n v="8122"/>
    <n v="3513.8930555555557"/>
    <m/>
    <m/>
    <m/>
    <m/>
  </r>
  <r>
    <n v="1720"/>
    <x v="252"/>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4859.6229166666672"/>
    <s v="Materail shortage- coupling"/>
    <s v="WTG Unscheduled Maintenance"/>
    <n v="4863"/>
    <n v="4859.6229166666672"/>
    <m/>
    <m/>
    <m/>
    <m/>
  </r>
  <r>
    <n v="1721"/>
    <x v="252"/>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5906.8951388888891"/>
    <s v="None"/>
    <s v="WTG Unscheduled Maintenance"/>
    <n v="5911"/>
    <n v="5906.8951388888891"/>
    <m/>
    <m/>
    <m/>
    <m/>
  </r>
  <r>
    <n v="1722"/>
    <x v="252"/>
    <x v="1"/>
    <x v="0"/>
    <x v="8"/>
    <x v="1"/>
    <x v="34"/>
    <s v="PWEGPL"/>
    <s v="MSEDCL"/>
    <n v="2.5000000000000001E-2"/>
    <n v="205"/>
    <x v="312"/>
    <s v="BD"/>
    <d v="1899-12-30T00:00:00"/>
    <d v="1899-12-30T00:00:00"/>
    <d v="1899-12-30T04:16:00"/>
    <n v="0"/>
    <n v="4.2666666666666666"/>
    <n v="4.2666666666666666"/>
    <s v="Oil leakages from profectional value mounting then propen tighten and restored"/>
    <s v="Close"/>
    <n v="0.10666666666666667"/>
    <s v="G21"/>
    <n v="1050.8444444444444"/>
    <s v="None"/>
    <s v="WTG Breakdown Maintenance"/>
    <n v="5911"/>
    <n v="1050.8444444444444"/>
    <m/>
    <m/>
    <m/>
    <m/>
  </r>
  <r>
    <n v="1723"/>
    <x v="252"/>
    <x v="1"/>
    <x v="0"/>
    <x v="8"/>
    <x v="1"/>
    <x v="24"/>
    <s v="PWEGPL"/>
    <s v="MSEDCL"/>
    <n v="2.5000000000000001E-2"/>
    <n v="205"/>
    <x v="312"/>
    <s v="BD"/>
    <d v="1899-12-30T06:08:00"/>
    <d v="1899-12-30T07:47:00"/>
    <d v="1899-12-30T10:02:00"/>
    <n v="1.6499999999999995"/>
    <n v="2.25"/>
    <n v="3.8999999999999995"/>
    <s v="Oil top up and restored the WTG"/>
    <s v="Close"/>
    <n v="9.7499999999999989E-2"/>
    <s v="G21"/>
    <n v="960.5374999999998"/>
    <s v="None"/>
    <s v="WTG Breakdown Maintenance"/>
    <n v="5911"/>
    <n v="960.5374999999998"/>
    <m/>
    <m/>
    <m/>
    <m/>
  </r>
  <r>
    <n v="1724"/>
    <x v="252"/>
    <x v="1"/>
    <x v="0"/>
    <x v="8"/>
    <x v="1"/>
    <x v="19"/>
    <s v="PWEGPL"/>
    <s v="MSEDCL"/>
    <n v="2.5000000000000001E-2"/>
    <n v="118"/>
    <x v="313"/>
    <s v="BD"/>
    <d v="1899-12-30T12:28:00"/>
    <d v="1899-12-30T12:48:00"/>
    <d v="1899-12-30T16:40:00"/>
    <n v="0.33333333333333215"/>
    <n v="3.8666666666666689"/>
    <n v="4.2000000000000011"/>
    <s v="Cable twist limit switch replaced and restored"/>
    <s v="Close"/>
    <n v="0.10500000000000004"/>
    <s v="G19"/>
    <n v="1421.3500000000004"/>
    <s v="None"/>
    <s v="WTG Breakdown Maintenance"/>
    <n v="8122"/>
    <n v="1421.3500000000004"/>
    <m/>
    <m/>
    <m/>
    <m/>
  </r>
  <r>
    <n v="1725"/>
    <x v="253"/>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2714.1138888888891"/>
    <s v="Materail shortage- coupling"/>
    <s v="WTG Unscheduled Maintenance"/>
    <n v="2716"/>
    <n v="2714.1138888888891"/>
    <m/>
    <m/>
    <m/>
    <m/>
  </r>
  <r>
    <n v="1726"/>
    <x v="253"/>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357.666666666667"/>
    <s v="None"/>
    <s v="WTG Unscheduled Maintenance"/>
    <n v="3360"/>
    <n v="3357.666666666667"/>
    <m/>
    <m/>
    <m/>
    <m/>
  </r>
  <r>
    <n v="1727"/>
    <x v="253"/>
    <x v="1"/>
    <x v="0"/>
    <x v="8"/>
    <x v="1"/>
    <x v="13"/>
    <s v="PWEGPL"/>
    <s v="MSEDCL"/>
    <n v="2.5000000000000001E-2"/>
    <s v="CE100010"/>
    <x v="296"/>
    <s v="PM"/>
    <d v="1899-12-30T11:26:00"/>
    <d v="1899-12-30T11:26:00"/>
    <d v="1899-12-30T18:08:00"/>
    <n v="0"/>
    <n v="6.6999999999999993"/>
    <n v="6.6999999999999993"/>
    <s v="Yearly preventive maintenace completed Day 1"/>
    <s v="Close"/>
    <n v="0.16749999999999998"/>
    <s v="G32"/>
    <n v="574.80416666666667"/>
    <s v="None"/>
    <s v="WTG Scheduled Maintenance"/>
    <n v="2059"/>
    <n v="574.80416666666667"/>
    <m/>
    <m/>
    <m/>
    <m/>
  </r>
  <r>
    <n v="1728"/>
    <x v="253"/>
    <x v="1"/>
    <x v="0"/>
    <x v="8"/>
    <x v="1"/>
    <x v="36"/>
    <s v="PWEGPL"/>
    <s v="MSEDCL"/>
    <n v="2.5000000000000001E-2"/>
    <n v="700"/>
    <x v="329"/>
    <s v="BD"/>
    <d v="1899-12-30T11:55:00"/>
    <d v="1899-12-30T12:27:00"/>
    <d v="1899-12-30T13:38:00"/>
    <n v="0.53333333333333277"/>
    <n v="1.1833333333333345"/>
    <n v="1.7166666666666672"/>
    <s v="Slipring cleaned and restored"/>
    <s v="Close"/>
    <n v="4.2916666666666686E-2"/>
    <s v="G24"/>
    <n v="236.97152777777785"/>
    <s v="None"/>
    <s v="WTG Breakdown Maintenance"/>
    <n v="3313"/>
    <n v="236.97152777777785"/>
    <m/>
    <m/>
    <m/>
    <m/>
  </r>
  <r>
    <n v="1729"/>
    <x v="253"/>
    <x v="1"/>
    <x v="0"/>
    <x v="8"/>
    <x v="1"/>
    <x v="19"/>
    <s v="PWEGPL"/>
    <s v="MSEDCL"/>
    <n v="2.5000000000000001E-2"/>
    <n v="577"/>
    <x v="379"/>
    <s v="BD"/>
    <d v="1899-12-30T12:51:00"/>
    <d v="1899-12-30T15:09:00"/>
    <d v="1899-12-30T15:44:00"/>
    <n v="2.2999999999999998"/>
    <n v="0.58333333333333393"/>
    <n v="2.8833333333333337"/>
    <s v="Checked  all slipring cooling fan and all found running then reset and rerstored"/>
    <s v="Close"/>
    <n v="7.2083333333333346E-2"/>
    <s v="G19"/>
    <n v="536.30000000000007"/>
    <s v="None"/>
    <s v="WTG Breakdown Maintenance"/>
    <n v="4464"/>
    <n v="536.30000000000007"/>
    <m/>
    <m/>
    <m/>
    <m/>
  </r>
  <r>
    <n v="1730"/>
    <x v="254"/>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4819.6506944444445"/>
    <s v="Materail shortage- Lambda power supply"/>
    <s v="WTG Unscheduled Maintenance"/>
    <n v="4823"/>
    <n v="4819.6506944444445"/>
    <m/>
    <m/>
    <m/>
    <m/>
  </r>
  <r>
    <n v="1731"/>
    <x v="254"/>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5284.3277777777785"/>
    <s v="None"/>
    <s v="WTG Unscheduled Maintenance"/>
    <n v="5288"/>
    <n v="5284.3277777777785"/>
    <m/>
    <m/>
    <m/>
    <m/>
  </r>
  <r>
    <n v="1732"/>
    <x v="254"/>
    <x v="1"/>
    <x v="0"/>
    <x v="8"/>
    <x v="1"/>
    <x v="26"/>
    <s v="PWEGPL"/>
    <s v="MSEDCL"/>
    <n v="2.5000000000000001E-2"/>
    <n v="213"/>
    <x v="397"/>
    <s v="BD"/>
    <d v="1899-12-30T16:33:00"/>
    <d v="1899-12-30T17:51:00"/>
    <d v="1899-12-30T23:59:00"/>
    <n v="1.3000000000000007"/>
    <n v="6.1333333333333329"/>
    <n v="7.4333333333333336"/>
    <s v="Hydraulic motor failure replacement under processing"/>
    <s v="Close"/>
    <n v="0.18583333333333335"/>
    <s v="G01"/>
    <n v="1411.4041666666667"/>
    <s v="None"/>
    <s v="WTG Breakdown Maintenance"/>
    <n v="4557"/>
    <n v="1411.4041666666667"/>
    <m/>
    <m/>
    <m/>
    <m/>
  </r>
  <r>
    <n v="1733"/>
    <x v="254"/>
    <x v="1"/>
    <x v="0"/>
    <x v="8"/>
    <x v="1"/>
    <x v="4"/>
    <s v="PWEGPL"/>
    <s v="MSEDCL"/>
    <n v="2.5000000000000001E-2"/>
    <n v="800"/>
    <x v="298"/>
    <s v="BD"/>
    <d v="1899-12-30T19:29:00"/>
    <d v="1899-12-30T23:59:00"/>
    <d v="1899-12-30T23:59:00"/>
    <n v="4.5"/>
    <n v="0"/>
    <n v="4.5"/>
    <s v="Work under progress"/>
    <s v="Close"/>
    <n v="0.1125"/>
    <s v="G38"/>
    <n v="744.1875"/>
    <s v="None"/>
    <s v="WTG Breakdown Maintenance"/>
    <n v="3969"/>
    <n v="744.1875"/>
    <m/>
    <m/>
    <m/>
    <m/>
  </r>
  <r>
    <n v="1734"/>
    <x v="255"/>
    <x v="1"/>
    <x v="0"/>
    <x v="8"/>
    <x v="1"/>
    <x v="14"/>
    <s v="PWEGPL"/>
    <s v="MSEDCL"/>
    <n v="2.5000000000000001E-2"/>
    <n v="407"/>
    <x v="395"/>
    <s v="BD"/>
    <d v="1899-12-30T00:00:00"/>
    <d v="1899-12-30T00:00:00"/>
    <d v="1899-12-30T23:59:00"/>
    <n v="0"/>
    <n v="23.983333333333334"/>
    <n v="23.983333333333334"/>
    <s v="Manually stopped due to abnormal siound from nacelle then inspected and found coupling dampers briken"/>
    <s v="Open"/>
    <n v="0.59958333333333336"/>
    <s v="G35"/>
    <n v="4034.1965277777781"/>
    <s v="Materail shortage- Lambda power supply"/>
    <s v="WTG Unscheduled Maintenance"/>
    <n v="4037"/>
    <n v="4034.1965277777781"/>
    <m/>
    <m/>
    <m/>
    <m/>
  </r>
  <r>
    <n v="1735"/>
    <x v="255"/>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6089.7680555555553"/>
    <s v="None"/>
    <s v="WTG Unscheduled Maintenance"/>
    <n v="6094"/>
    <n v="6089.7680555555553"/>
    <m/>
    <m/>
    <m/>
    <m/>
  </r>
  <r>
    <n v="1736"/>
    <x v="255"/>
    <x v="1"/>
    <x v="0"/>
    <x v="8"/>
    <x v="1"/>
    <x v="26"/>
    <s v="PWEGPL"/>
    <s v="MSEDCL"/>
    <n v="2.5000000000000001E-2"/>
    <n v="213"/>
    <x v="397"/>
    <s v="BD"/>
    <d v="1899-12-30T00:00:00"/>
    <d v="1899-12-30T00:00:00"/>
    <d v="1899-12-30T12:55:00"/>
    <n v="0"/>
    <n v="12.916666666666666"/>
    <n v="12.916666666666666"/>
    <s v="Hydraulic motor Contactor changed"/>
    <s v="Close"/>
    <n v="0.32291666666666669"/>
    <s v="G01"/>
    <n v="2946.614583333333"/>
    <s v="None"/>
    <s v="WTG Breakdown Maintenance"/>
    <n v="5475"/>
    <n v="2946.614583333333"/>
    <m/>
    <m/>
    <m/>
    <m/>
  </r>
  <r>
    <n v="1737"/>
    <x v="255"/>
    <x v="1"/>
    <x v="0"/>
    <x v="8"/>
    <x v="1"/>
    <x v="4"/>
    <s v="PWEGPL"/>
    <s v="MSEDCL"/>
    <n v="2.5000000000000001E-2"/>
    <n v="800"/>
    <x v="298"/>
    <s v="BD"/>
    <d v="1899-12-30T00:00:00"/>
    <d v="1899-12-30T00:00:00"/>
    <d v="1899-12-30T14:03:00"/>
    <n v="0"/>
    <n v="14.05"/>
    <n v="14.05"/>
    <s v="Relay failured replaced with new one and restored"/>
    <s v="Close"/>
    <n v="0.35125000000000006"/>
    <s v="G38"/>
    <n v="2145.5520833333335"/>
    <s v="None"/>
    <s v="WTG Breakdown Maintenance"/>
    <n v="3665"/>
    <n v="2145.5520833333335"/>
    <m/>
    <m/>
    <m/>
    <m/>
  </r>
  <r>
    <n v="1738"/>
    <x v="255"/>
    <x v="1"/>
    <x v="0"/>
    <x v="8"/>
    <x v="1"/>
    <x v="21"/>
    <s v="PWEGPL"/>
    <s v="MSEDCL"/>
    <n v="2.5000000000000001E-2"/>
    <n v="5203"/>
    <x v="294"/>
    <s v="BD"/>
    <d v="1899-12-30T00:00:00"/>
    <d v="1899-12-30T00:00:00"/>
    <d v="1899-12-30T21:38:00"/>
    <n v="0"/>
    <n v="21.633333333333333"/>
    <n v="21.633333333333333"/>
    <s v="Converter coolant cooling rediator motor replaced and restored"/>
    <s v="Close"/>
    <n v="0.54083333333333339"/>
    <s v="G01"/>
    <n v="4935.104166666667"/>
    <s v="None"/>
    <s v="WTG Breakdown Maintenance"/>
    <n v="5475"/>
    <n v="4935.104166666667"/>
    <m/>
    <m/>
    <m/>
    <m/>
  </r>
  <r>
    <n v="1739"/>
    <x v="256"/>
    <x v="1"/>
    <x v="0"/>
    <x v="8"/>
    <x v="1"/>
    <x v="14"/>
    <s v="PWEGPL"/>
    <s v="MSEDCL"/>
    <n v="2.5000000000000001E-2"/>
    <n v="430"/>
    <x v="398"/>
    <s v="BD"/>
    <d v="1899-12-30T00:00:00"/>
    <d v="1899-12-30T00:00:00"/>
    <d v="1899-12-30T23:59:00"/>
    <n v="0"/>
    <n v="23.983333333333334"/>
    <n v="23.983333333333334"/>
    <s v="Manually stopped due to abnormal siound from nacelle then inspected and found coupling dampers briken"/>
    <s v="Open"/>
    <n v="0.59958333333333336"/>
    <s v="G35"/>
    <n v="7508.781944444444"/>
    <s v="Materail shortage- Lambda power supply"/>
    <s v="WTG Unscheduled Maintenance"/>
    <n v="7514"/>
    <n v="7508.781944444444"/>
    <m/>
    <m/>
    <m/>
    <m/>
  </r>
  <r>
    <n v="1740"/>
    <x v="256"/>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11519.994444444445"/>
    <s v="None"/>
    <s v="WTG Unscheduled Maintenance"/>
    <n v="11528"/>
    <n v="11519.994444444445"/>
    <m/>
    <m/>
    <m/>
    <m/>
  </r>
  <r>
    <n v="1741"/>
    <x v="256"/>
    <x v="1"/>
    <x v="0"/>
    <x v="8"/>
    <x v="1"/>
    <x v="23"/>
    <s v="PWEGPL"/>
    <s v="MSEDCL"/>
    <n v="2.5000000000000001E-2"/>
    <n v="2509"/>
    <x v="201"/>
    <s v="BD"/>
    <d v="1899-12-30T11:32:00"/>
    <d v="1899-12-30T12:15:00"/>
    <d v="1899-12-30T23:59:00"/>
    <n v="0.71666666666666545"/>
    <n v="11.733333333333334"/>
    <n v="12.450000000000001"/>
    <s v="T plug connector failure replacememnt under progress"/>
    <s v="Open"/>
    <n v="0.31125000000000003"/>
    <s v="G03"/>
    <n v="5823.4875000000002"/>
    <s v="Materail shortage- T plug connector"/>
    <s v="WTG Breakdown Maintenance"/>
    <n v="11226"/>
    <n v="5823.4875000000002"/>
    <m/>
    <m/>
    <m/>
    <m/>
  </r>
  <r>
    <n v="1742"/>
    <x v="257"/>
    <x v="1"/>
    <x v="0"/>
    <x v="8"/>
    <x v="1"/>
    <x v="14"/>
    <s v="PWEGPL"/>
    <s v="MSEDCL"/>
    <n v="2.5000000000000001E-2"/>
    <n v="429"/>
    <x v="316"/>
    <s v="BD"/>
    <d v="1899-12-30T00:00:00"/>
    <d v="1899-12-30T00:00:00"/>
    <d v="1899-12-30T23:59:00"/>
    <n v="0"/>
    <n v="23.983333333333334"/>
    <n v="23.983333333333334"/>
    <s v="Manually stopped due to abnormal siound from nacelle then inspected and found coupling dampers briken"/>
    <s v="Open"/>
    <n v="0.59958333333333336"/>
    <s v="G35"/>
    <n v="9765.2138888888894"/>
    <s v="Materail shortage- Lambda power supply"/>
    <s v="WTG Unscheduled Maintenance"/>
    <n v="9772"/>
    <n v="9765.2138888888894"/>
    <m/>
    <m/>
    <m/>
    <m/>
  </r>
  <r>
    <n v="1743"/>
    <x v="257"/>
    <x v="1"/>
    <x v="0"/>
    <x v="8"/>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13414.677777777779"/>
    <s v="None"/>
    <s v="WTG Unscheduled Maintenance"/>
    <n v="13424"/>
    <n v="13414.677777777779"/>
    <m/>
    <m/>
    <m/>
    <m/>
  </r>
  <r>
    <n v="1744"/>
    <x v="257"/>
    <x v="1"/>
    <x v="0"/>
    <x v="8"/>
    <x v="1"/>
    <x v="23"/>
    <s v="PWEGPL"/>
    <s v="MSEDCL"/>
    <n v="2.5000000000000001E-2"/>
    <n v="2509"/>
    <x v="201"/>
    <s v="BD"/>
    <d v="1899-12-30T00:00:00"/>
    <d v="1899-12-30T00:00:00"/>
    <d v="1899-12-30T23:59:00"/>
    <n v="0"/>
    <n v="23.983333333333334"/>
    <n v="23.983333333333334"/>
    <s v="T plug connector failure replacememnt under progress"/>
    <s v="Open"/>
    <n v="0.59958333333333336"/>
    <s v="G03"/>
    <n v="12441.354166666668"/>
    <s v="Materail shortage- T plug connector"/>
    <s v="WTG Breakdown Maintenance"/>
    <n v="12450"/>
    <n v="12441.354166666668"/>
    <m/>
    <m/>
    <m/>
    <m/>
  </r>
  <r>
    <n v="1745"/>
    <x v="257"/>
    <x v="1"/>
    <x v="0"/>
    <x v="8"/>
    <x v="1"/>
    <x v="36"/>
    <s v="PWEGPL"/>
    <s v="MSEDCL"/>
    <n v="2.5000000000000001E-2"/>
    <s v="CE100010"/>
    <x v="296"/>
    <s v="PM"/>
    <d v="1899-12-30T09:15:00"/>
    <d v="1899-12-30T09:15:00"/>
    <d v="1899-12-30T18:04:00"/>
    <n v="0"/>
    <n v="8.8166666666666664"/>
    <n v="8.8166666666666664"/>
    <s v="yearly preventive maintenace completed Day 2"/>
    <s v="Close"/>
    <n v="0.22041666666666668"/>
    <s v="G24"/>
    <n v="4215.1013888888883"/>
    <s v="None"/>
    <s v="WTG Scheduled Maintenance"/>
    <n v="11474"/>
    <n v="4215.1013888888883"/>
    <m/>
    <m/>
    <m/>
    <m/>
  </r>
  <r>
    <n v="1746"/>
    <x v="257"/>
    <x v="1"/>
    <x v="0"/>
    <x v="8"/>
    <x v="1"/>
    <x v="12"/>
    <s v="PWEGPL"/>
    <s v="MSEDCL"/>
    <n v="2.5000000000000001E-2"/>
    <s v="CE100014"/>
    <x v="305"/>
    <s v="Manual stop/TCA"/>
    <d v="1899-12-30T11:25:00"/>
    <d v="1899-12-30T11:25:00"/>
    <d v="1899-12-30T23:59:00"/>
    <n v="0"/>
    <n v="12.566666666666666"/>
    <n v="12.566666666666666"/>
    <s v="TCA pending points closed and restoration under progress"/>
    <s v="Open"/>
    <n v="0.31416666666666671"/>
    <s v="G30"/>
    <n v="4030.7583333333332"/>
    <s v="None"/>
    <s v="WTG Scheduled Maintenance"/>
    <n v="7698"/>
    <n v="4030.7583333333332"/>
    <m/>
    <m/>
    <m/>
    <m/>
  </r>
  <r>
    <n v="1747"/>
    <x v="258"/>
    <x v="1"/>
    <x v="0"/>
    <x v="9"/>
    <x v="1"/>
    <x v="14"/>
    <s v="PWEGPL"/>
    <s v="MSEDCL"/>
    <n v="2.5000000000000001E-2"/>
    <n v="433"/>
    <x v="387"/>
    <s v="BD"/>
    <d v="1899-12-30T00:00:00"/>
    <d v="1899-12-30T00:00:00"/>
    <d v="1899-12-30T23:59:00"/>
    <n v="0"/>
    <n v="23.983333333333334"/>
    <n v="23.983333333333334"/>
    <s v="Generator and gearbox alignment work under progress"/>
    <s v="Open"/>
    <n v="0.59958333333333336"/>
    <s v="G35"/>
    <n v="3150.8104166666667"/>
    <s v="Alignment work under progress"/>
    <s v="WTG Unscheduled Maintenance"/>
    <n v="3153"/>
    <n v="3150.8104166666667"/>
    <m/>
    <m/>
    <m/>
    <m/>
  </r>
  <r>
    <n v="1748"/>
    <x v="258"/>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733.4055555555556"/>
    <s v="None"/>
    <s v="WTG Unscheduled Maintenance"/>
    <n v="3736"/>
    <n v="3733.4055555555556"/>
    <m/>
    <m/>
    <m/>
    <m/>
  </r>
  <r>
    <n v="1749"/>
    <x v="258"/>
    <x v="1"/>
    <x v="0"/>
    <x v="9"/>
    <x v="1"/>
    <x v="23"/>
    <s v="PWEGPL"/>
    <s v="MSEDCL"/>
    <n v="2.5000000000000001E-2"/>
    <n v="2509"/>
    <x v="201"/>
    <s v="BD"/>
    <d v="1899-12-30T00:00:00"/>
    <d v="1899-12-30T00:00:00"/>
    <d v="1899-12-30T23:59:00"/>
    <n v="0"/>
    <n v="23.983333333333334"/>
    <n v="23.983333333333334"/>
    <s v="T plug connector failure replacememnt under progress"/>
    <s v="Open"/>
    <n v="0.59958333333333336"/>
    <s v="G03"/>
    <n v="3579.5125000000003"/>
    <s v="Materail shortage- T plug connector"/>
    <s v="WTG Breakdown Maintenance"/>
    <n v="3582"/>
    <n v="3579.5125000000003"/>
    <m/>
    <m/>
    <m/>
    <m/>
  </r>
  <r>
    <n v="1750"/>
    <x v="258"/>
    <x v="1"/>
    <x v="0"/>
    <x v="9"/>
    <x v="1"/>
    <x v="12"/>
    <s v="PWEGPL"/>
    <s v="MSEDCL"/>
    <n v="2.5000000000000001E-2"/>
    <s v="CE100014"/>
    <x v="305"/>
    <s v="Manual stop/TCA"/>
    <d v="1899-12-30T00:00:00"/>
    <d v="1899-12-30T00:00:00"/>
    <d v="1899-12-30T23:59:00"/>
    <n v="0"/>
    <n v="23.983333333333334"/>
    <n v="23.983333333333334"/>
    <s v="TCA pending points closed and restoration under progress"/>
    <s v="Open"/>
    <n v="0.59958333333333336"/>
    <s v="G30"/>
    <n v="2287.4104166666666"/>
    <s v="None"/>
    <s v="WTG Unscheduled Maintenance"/>
    <n v="2289"/>
    <n v="2287.4104166666666"/>
    <m/>
    <m/>
    <m/>
    <m/>
  </r>
  <r>
    <n v="1751"/>
    <x v="258"/>
    <x v="1"/>
    <x v="0"/>
    <x v="9"/>
    <x v="1"/>
    <x v="16"/>
    <s v="PWEGPL"/>
    <s v="MSEDCL"/>
    <n v="2.5000000000000001E-2"/>
    <n v="5203"/>
    <x v="294"/>
    <s v="BD"/>
    <d v="1899-12-30T03:10:00"/>
    <d v="1899-12-30T04:23:00"/>
    <d v="1899-12-30T09:23:00"/>
    <n v="1.216666666666667"/>
    <n v="5"/>
    <n v="6.2166666666666659"/>
    <s v="Converter coolant cooling rediator motor replaced and restored"/>
    <s v="Close"/>
    <n v="0.15541666666666665"/>
    <s v="G37"/>
    <n v="662.59305555555545"/>
    <s v="None"/>
    <s v="WTG Breakdown Maintenance"/>
    <n v="2558"/>
    <n v="662.59305555555545"/>
    <m/>
    <m/>
    <m/>
    <m/>
  </r>
  <r>
    <n v="1752"/>
    <x v="259"/>
    <x v="1"/>
    <x v="0"/>
    <x v="9"/>
    <x v="1"/>
    <x v="14"/>
    <s v="PWEGPL"/>
    <s v="MSEDCL"/>
    <n v="2.5000000000000001E-2"/>
    <n v="433"/>
    <x v="387"/>
    <s v="BD"/>
    <d v="1899-12-30T00:00:00"/>
    <d v="1899-12-30T00:00:00"/>
    <d v="1899-12-30T23:59:00"/>
    <n v="0"/>
    <n v="23.983333333333334"/>
    <n v="23.983333333333334"/>
    <s v="Generator and gearbox alignment work under progress"/>
    <s v="Open"/>
    <n v="0.59958333333333336"/>
    <s v="G35"/>
    <n v="3425.619444444445"/>
    <s v="Alignment work under progress"/>
    <s v="WTG Breakdown Maintenance"/>
    <n v="3428"/>
    <n v="3425.619444444445"/>
    <m/>
    <m/>
    <m/>
    <m/>
  </r>
  <r>
    <n v="1753"/>
    <x v="259"/>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903.2875000000004"/>
    <s v="None"/>
    <s v="WTG Unscheduled Maintenance"/>
    <n v="3906"/>
    <n v="3903.2875000000004"/>
    <m/>
    <m/>
    <m/>
    <m/>
  </r>
  <r>
    <n v="1754"/>
    <x v="259"/>
    <x v="1"/>
    <x v="0"/>
    <x v="9"/>
    <x v="1"/>
    <x v="23"/>
    <s v="PWEGPL"/>
    <s v="MSEDCL"/>
    <n v="2.5000000000000001E-2"/>
    <n v="2509"/>
    <x v="201"/>
    <s v="BD"/>
    <d v="1899-12-30T00:00:00"/>
    <d v="1899-12-30T00:00:00"/>
    <d v="1899-12-30T23:59:00"/>
    <n v="0"/>
    <n v="23.983333333333334"/>
    <n v="23.983333333333334"/>
    <s v="T plug connector failure replacememnt under progress"/>
    <s v="Open"/>
    <n v="0.59958333333333336"/>
    <s v="G03"/>
    <n v="4912.5861111111117"/>
    <s v="Materail shortage- T plug connector"/>
    <s v="WTG Breakdown Maintenance"/>
    <n v="4916"/>
    <n v="4912.5861111111117"/>
    <m/>
    <m/>
    <m/>
    <m/>
  </r>
  <r>
    <n v="1755"/>
    <x v="259"/>
    <x v="1"/>
    <x v="0"/>
    <x v="9"/>
    <x v="1"/>
    <x v="12"/>
    <s v="PWEGPL"/>
    <s v="MSEDCL"/>
    <n v="2.5000000000000001E-2"/>
    <s v="CE100014"/>
    <x v="305"/>
    <s v="Manual stop/TCA"/>
    <d v="1899-12-30T00:00:00"/>
    <d v="1899-12-30T00:00:00"/>
    <d v="1899-12-30T23:59:00"/>
    <n v="0"/>
    <n v="23.983333333333334"/>
    <n v="23.983333333333334"/>
    <s v="TCA pending points closed and restoration under progress"/>
    <s v="Open"/>
    <n v="0.59958333333333336"/>
    <s v="G30"/>
    <n v="2345.370138888889"/>
    <s v="None"/>
    <s v="WTG Unscheduled Maintenance"/>
    <n v="2347"/>
    <n v="2345.370138888889"/>
    <m/>
    <m/>
    <m/>
    <m/>
  </r>
  <r>
    <n v="1756"/>
    <x v="259"/>
    <x v="1"/>
    <x v="0"/>
    <x v="9"/>
    <x v="1"/>
    <x v="0"/>
    <s v="PWEGPL"/>
    <s v="MSEDCL"/>
    <n v="2.5000000000000001E-2"/>
    <n v="430"/>
    <x v="398"/>
    <s v="BD"/>
    <d v="1899-12-30T14:08:00"/>
    <d v="1899-12-30T14:08:00"/>
    <d v="1899-12-30T16:08:00"/>
    <n v="0"/>
    <n v="1.9999999999999982"/>
    <n v="1.9999999999999982"/>
    <s v="Abnormal sound observed during pitching then checked and found profectional value failure and then replaced and restored"/>
    <s v="Close"/>
    <n v="4.9999999999999961E-2"/>
    <s v="G18"/>
    <n v="343.58333333333303"/>
    <s v="None"/>
    <s v="WTG Breakdown Maintenance"/>
    <n v="4123"/>
    <n v="343.58333333333303"/>
    <m/>
    <m/>
    <m/>
    <m/>
  </r>
  <r>
    <n v="1757"/>
    <x v="259"/>
    <x v="1"/>
    <x v="0"/>
    <x v="9"/>
    <x v="1"/>
    <x v="39"/>
    <s v="PWEGPL"/>
    <s v="MSEDCL"/>
    <n v="2.5000000000000001E-2"/>
    <n v="205"/>
    <x v="312"/>
    <s v="BD"/>
    <d v="1899-12-30T13:04:00"/>
    <d v="1899-12-30T14:08:00"/>
    <d v="1899-12-30T14:34:00"/>
    <n v="1.0666666666666682"/>
    <n v="0.43333333333333179"/>
    <n v="1.5"/>
    <s v="Oil top up and restored the WTG"/>
    <s v="Close"/>
    <n v="3.7500000000000006E-2"/>
    <s v="G16"/>
    <n v="294.75"/>
    <s v="None"/>
    <s v="WTG Breakdown Maintenance"/>
    <n v="4716"/>
    <n v="294.75"/>
    <m/>
    <m/>
    <m/>
    <m/>
  </r>
  <r>
    <n v="1758"/>
    <x v="260"/>
    <x v="1"/>
    <x v="0"/>
    <x v="9"/>
    <x v="1"/>
    <x v="14"/>
    <s v="PWEGPL"/>
    <s v="MSEDCL"/>
    <n v="2.5000000000000001E-2"/>
    <s v="CE100010"/>
    <x v="296"/>
    <s v="BD"/>
    <d v="1899-12-30T00:00:00"/>
    <d v="1899-12-30T00:00:00"/>
    <d v="1899-12-30T20:59:00"/>
    <n v="0"/>
    <n v="20.983333333333334"/>
    <n v="20.983333333333334"/>
    <s v="Alignment done and restored"/>
    <s v="Open"/>
    <n v="0.5245833333333334"/>
    <s v="G35"/>
    <n v="710.8104166666667"/>
    <s v="Alignment work under progress"/>
    <s v="WTG Breakdown Maintenance"/>
    <n v="813"/>
    <n v="710.8104166666667"/>
    <m/>
    <m/>
    <m/>
    <m/>
  </r>
  <r>
    <n v="1759"/>
    <x v="260"/>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977.32083333333333"/>
    <s v="None"/>
    <s v="WTG Unscheduled Maintenance"/>
    <n v="978"/>
    <n v="977.32083333333333"/>
    <m/>
    <m/>
    <m/>
    <m/>
  </r>
  <r>
    <n v="1760"/>
    <x v="260"/>
    <x v="1"/>
    <x v="0"/>
    <x v="9"/>
    <x v="1"/>
    <x v="23"/>
    <s v="PWEGPL"/>
    <s v="MSEDCL"/>
    <n v="2.5000000000000001E-2"/>
    <n v="203"/>
    <x v="290"/>
    <s v="BD"/>
    <d v="1899-12-30T12:02:00"/>
    <d v="1899-12-30T14:39:00"/>
    <d v="1899-12-30T23:59:00"/>
    <n v="2.616666666666668"/>
    <n v="9.3333333333333321"/>
    <n v="11.95"/>
    <s v="HU main Accumulator failure replacement under processing"/>
    <s v="Open"/>
    <n v="0.29875000000000002"/>
    <s v="G03"/>
    <n v="361.48749999999995"/>
    <s v="None"/>
    <s v="WTG Breakdown Maintenance"/>
    <n v="726"/>
    <n v="361.48749999999995"/>
    <m/>
    <m/>
    <m/>
    <m/>
  </r>
  <r>
    <n v="1761"/>
    <x v="260"/>
    <x v="1"/>
    <x v="0"/>
    <x v="9"/>
    <x v="1"/>
    <x v="12"/>
    <s v="PWEGPL"/>
    <s v="MSEDCL"/>
    <n v="2.5000000000000001E-2"/>
    <n v="700"/>
    <x v="329"/>
    <s v="Manual stop/TCA"/>
    <d v="1899-12-30T00:00:00"/>
    <d v="1899-12-30T00:00:00"/>
    <d v="1899-12-30T23:59:00"/>
    <n v="0"/>
    <n v="23.983333333333334"/>
    <n v="23.983333333333334"/>
    <s v="Optical cable damaged"/>
    <s v="Open"/>
    <n v="0.59958333333333336"/>
    <s v="G30"/>
    <n v="998.30625000000009"/>
    <s v="None"/>
    <s v="WTG Unscheduled Maintenance"/>
    <n v="999"/>
    <n v="998.30625000000009"/>
    <m/>
    <m/>
    <m/>
    <m/>
  </r>
  <r>
    <n v="1762"/>
    <x v="261"/>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841.3305555555553"/>
    <s v="None"/>
    <s v="WTG Unscheduled Maintenance"/>
    <n v="3844"/>
    <n v="3841.3305555555553"/>
    <m/>
    <m/>
    <m/>
    <m/>
  </r>
  <r>
    <n v="1763"/>
    <x v="261"/>
    <x v="1"/>
    <x v="0"/>
    <x v="9"/>
    <x v="1"/>
    <x v="23"/>
    <s v="PWEGPL"/>
    <s v="MSEDCL"/>
    <n v="2.5000000000000001E-2"/>
    <n v="203"/>
    <x v="290"/>
    <s v="BD"/>
    <d v="1899-12-30T00:00:00"/>
    <d v="1899-12-30T00:00:00"/>
    <d v="1899-12-30T10:44:00"/>
    <n v="0"/>
    <n v="10.733333333333333"/>
    <n v="10.733333333333333"/>
    <s v="HU main Accumulator failure replacement under processing"/>
    <s v="Close"/>
    <n v="0.26833333333333331"/>
    <s v="G03"/>
    <n v="1876.9916666666666"/>
    <s v="None"/>
    <s v="WTG Breakdown Maintenance"/>
    <n v="4197"/>
    <n v="1876.9916666666666"/>
    <m/>
    <m/>
    <m/>
    <m/>
  </r>
  <r>
    <n v="1764"/>
    <x v="261"/>
    <x v="1"/>
    <x v="0"/>
    <x v="9"/>
    <x v="1"/>
    <x v="12"/>
    <s v="PWEGPL"/>
    <s v="MSEDCL"/>
    <n v="2.5000000000000001E-2"/>
    <n v="700"/>
    <x v="329"/>
    <s v="Manual stop/TCA"/>
    <d v="1899-12-30T00:00:00"/>
    <d v="1899-12-30T00:00:00"/>
    <d v="1899-12-30T23:59:00"/>
    <n v="0"/>
    <n v="23.983333333333334"/>
    <n v="23.983333333333334"/>
    <s v="Optical cable damaged"/>
    <s v="Open"/>
    <n v="0.59958333333333336"/>
    <s v="G30"/>
    <n v="3527.5486111111113"/>
    <s v="None"/>
    <s v="WTG Unscheduled Maintenance"/>
    <n v="3530"/>
    <n v="3527.5486111111113"/>
    <m/>
    <m/>
    <m/>
    <m/>
  </r>
  <r>
    <n v="1765"/>
    <x v="261"/>
    <x v="1"/>
    <x v="0"/>
    <x v="9"/>
    <x v="1"/>
    <x v="9"/>
    <s v="PWEGPL"/>
    <s v="MSEDCL"/>
    <n v="2.5000000000000001E-2"/>
    <s v="CE100010"/>
    <x v="296"/>
    <s v="PM"/>
    <d v="1899-12-30T10:47:00"/>
    <d v="1899-12-30T10:47:00"/>
    <d v="1899-12-30T18:47:00"/>
    <n v="0"/>
    <n v="8.0000000000000018"/>
    <n v="8.0000000000000018"/>
    <s v="yearly preventive maintenace completed Day 2"/>
    <s v="Close"/>
    <n v="0.20000000000000007"/>
    <s v="G29"/>
    <n v="1142.0000000000002"/>
    <s v="None"/>
    <s v="WTG Scheduled Maintenance"/>
    <n v="3426"/>
    <n v="1142.0000000000002"/>
    <m/>
    <m/>
    <m/>
    <m/>
  </r>
  <r>
    <n v="1766"/>
    <x v="261"/>
    <x v="1"/>
    <x v="0"/>
    <x v="9"/>
    <x v="1"/>
    <x v="23"/>
    <s v="PWEGPL"/>
    <s v="MSEDCL"/>
    <n v="2.5000000000000001E-2"/>
    <n v="2509"/>
    <x v="201"/>
    <s v="BD"/>
    <d v="1899-12-30T16:17:00"/>
    <d v="1899-12-30T16:43:00"/>
    <d v="1899-12-30T23:59:00"/>
    <n v="0.43333333333333179"/>
    <n v="7.2666666666666675"/>
    <n v="7.6999999999999993"/>
    <s v="T plug connector failure replacememnt under progress"/>
    <s v="Open"/>
    <n v="0.1925"/>
    <s v="G03"/>
    <n v="1346.5374999999999"/>
    <s v="None"/>
    <s v="WTG Breakdown Maintenance"/>
    <n v="4197"/>
    <n v="1346.5374999999999"/>
    <m/>
    <m/>
    <m/>
    <m/>
  </r>
  <r>
    <n v="1767"/>
    <x v="261"/>
    <x v="1"/>
    <x v="0"/>
    <x v="9"/>
    <x v="1"/>
    <x v="26"/>
    <s v="PWEGPL"/>
    <s v="MSEDCL"/>
    <n v="2.5000000000000001E-2"/>
    <n v="208"/>
    <x v="366"/>
    <s v="BD"/>
    <d v="1899-12-30T15:12:00"/>
    <d v="1899-12-30T16:02:00"/>
    <d v="1899-12-30T17:10:00"/>
    <n v="0.8333333333333357"/>
    <n v="1.133333333333332"/>
    <n v="1.9666666666666677"/>
    <s v="Troubleshooting carried out and found module malfuctiong then interchanged and restored"/>
    <s v="Close"/>
    <n v="4.9166666666666692E-2"/>
    <s v="G01"/>
    <n v="348.01805555555575"/>
    <s v="None"/>
    <s v="WTG Breakdown Maintenance"/>
    <n v="4247"/>
    <n v="348.01805555555575"/>
    <m/>
    <m/>
    <m/>
    <m/>
  </r>
  <r>
    <n v="1768"/>
    <x v="262"/>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8187.3104166666672"/>
    <s v="None"/>
    <s v="WTG Unscheduled Maintenance"/>
    <n v="8193"/>
    <n v="8187.3104166666672"/>
    <m/>
    <m/>
    <m/>
    <m/>
  </r>
  <r>
    <n v="1769"/>
    <x v="262"/>
    <x v="1"/>
    <x v="0"/>
    <x v="9"/>
    <x v="1"/>
    <x v="23"/>
    <s v="PWEGPL"/>
    <s v="MSEDCL"/>
    <n v="2.5000000000000001E-2"/>
    <n v="2509"/>
    <x v="201"/>
    <s v="BD"/>
    <d v="1899-12-30T00:00:00"/>
    <d v="1899-12-30T00:00:00"/>
    <d v="1899-12-30T23:59:00"/>
    <n v="0"/>
    <n v="23.983333333333334"/>
    <n v="23.983333333333334"/>
    <s v="T plug connector failure replacememnt under progress"/>
    <s v="Open"/>
    <n v="0.59958333333333336"/>
    <s v="G03"/>
    <n v="8705.9500000000007"/>
    <s v="None"/>
    <s v="WTG Breakdown Maintenance"/>
    <n v="8712"/>
    <n v="8705.9500000000007"/>
    <m/>
    <m/>
    <m/>
    <m/>
  </r>
  <r>
    <n v="1770"/>
    <x v="262"/>
    <x v="1"/>
    <x v="0"/>
    <x v="9"/>
    <x v="1"/>
    <x v="12"/>
    <s v="PWEGPL"/>
    <s v="MSEDCL"/>
    <n v="2.5000000000000001E-2"/>
    <n v="700"/>
    <x v="329"/>
    <s v="Manual stop/TCA"/>
    <d v="1899-12-30T00:00:00"/>
    <d v="1899-12-30T00:00:00"/>
    <d v="1899-12-30T23:59:00"/>
    <n v="0"/>
    <n v="23.983333333333334"/>
    <n v="23.983333333333334"/>
    <s v="Optical cable damaged"/>
    <s v="Open"/>
    <n v="0.59958333333333336"/>
    <s v="G30"/>
    <n v="7614.7083333333339"/>
    <s v="Material shortage - T90M optical cable"/>
    <s v="WTG Unscheduled Maintenance"/>
    <n v="7620"/>
    <n v="7614.7083333333339"/>
    <m/>
    <m/>
    <m/>
    <m/>
  </r>
  <r>
    <n v="1771"/>
    <x v="262"/>
    <x v="1"/>
    <x v="0"/>
    <x v="9"/>
    <x v="1"/>
    <x v="26"/>
    <s v="PWEGPL"/>
    <s v="MSEDCL"/>
    <n v="2.5000000000000001E-2"/>
    <n v="208"/>
    <x v="366"/>
    <s v="BD"/>
    <d v="1899-12-30T15:21:00"/>
    <d v="1899-12-30T16:20:00"/>
    <d v="1899-12-30T16:50:00"/>
    <n v="0.9833333333333325"/>
    <n v="0.50000000000000089"/>
    <n v="1.4833333333333334"/>
    <s v="Checked all hydraulic pump contactor feedback connectiopn relays found all ok then cabkle tighned and restored the tuirbine."/>
    <s v="Close"/>
    <n v="3.7083333333333336E-2"/>
    <s v="G01"/>
    <n v="619.29166666666674"/>
    <s v="None"/>
    <s v="WTG Breakdown Maintenance"/>
    <n v="10020"/>
    <n v="619.29166666666674"/>
    <m/>
    <m/>
    <m/>
    <m/>
  </r>
  <r>
    <n v="1772"/>
    <x v="263"/>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595.1118055555553"/>
    <s v="None"/>
    <s v="WTG Unscheduled Maintenance"/>
    <n v="5599"/>
    <n v="5595.1118055555553"/>
    <m/>
    <m/>
    <m/>
    <m/>
  </r>
  <r>
    <n v="1773"/>
    <x v="263"/>
    <x v="1"/>
    <x v="0"/>
    <x v="9"/>
    <x v="1"/>
    <x v="23"/>
    <s v="PWEGPL"/>
    <s v="MSEDCL"/>
    <n v="2.5000000000000001E-2"/>
    <n v="2509"/>
    <x v="201"/>
    <s v="BD"/>
    <d v="1899-12-30T00:00:00"/>
    <d v="1899-12-30T00:00:00"/>
    <d v="1899-12-30T23:59:00"/>
    <n v="0"/>
    <n v="23.983333333333334"/>
    <n v="23.983333333333334"/>
    <s v="T plug connector failure replacememnt under progress"/>
    <s v="Open"/>
    <n v="0.59958333333333336"/>
    <s v="G03"/>
    <n v="5123.4395833333338"/>
    <s v="None"/>
    <s v="WTG Breakdown Maintenance"/>
    <n v="5127"/>
    <n v="5123.4395833333338"/>
    <m/>
    <m/>
    <m/>
    <m/>
  </r>
  <r>
    <n v="1774"/>
    <x v="263"/>
    <x v="1"/>
    <x v="0"/>
    <x v="9"/>
    <x v="1"/>
    <x v="12"/>
    <s v="PWEGPL"/>
    <s v="MSEDCL"/>
    <n v="2.5000000000000001E-2"/>
    <n v="700"/>
    <x v="329"/>
    <s v="Manual stop/TCA"/>
    <d v="1899-12-30T00:00:00"/>
    <d v="1899-12-30T00:00:00"/>
    <d v="1899-12-30T23:59:00"/>
    <n v="0"/>
    <n v="23.983333333333334"/>
    <n v="23.983333333333334"/>
    <s v="Optical cable damaged"/>
    <s v="Open"/>
    <n v="0.59958333333333336"/>
    <s v="G30"/>
    <n v="4191.0875000000005"/>
    <s v="Material shortage - T90M optical cable"/>
    <s v="WTG Unscheduled Maintenance"/>
    <n v="4194"/>
    <n v="4191.0875000000005"/>
    <m/>
    <m/>
    <m/>
    <m/>
  </r>
  <r>
    <n v="1775"/>
    <x v="263"/>
    <x v="1"/>
    <x v="0"/>
    <x v="9"/>
    <x v="1"/>
    <x v="10"/>
    <s v="PWEGPL"/>
    <s v="MSEDCL"/>
    <n v="2.5000000000000001E-2"/>
    <s v="CE100010"/>
    <x v="296"/>
    <s v="PM"/>
    <d v="1899-12-30T11:01:00"/>
    <d v="1899-12-30T11:01:00"/>
    <d v="1899-12-30T18:47:00"/>
    <n v="0"/>
    <n v="7.7666666666666684"/>
    <n v="7.7666666666666684"/>
    <s v="yearly preventive maintenace completed Day 2"/>
    <s v="Close"/>
    <n v="0.19416666666666671"/>
    <s v="G28"/>
    <n v="1394.440277777778"/>
    <s v="None"/>
    <s v="WTG Scheduled Maintenance"/>
    <n v="4309"/>
    <n v="1394.440277777778"/>
    <m/>
    <m/>
    <m/>
    <m/>
  </r>
  <r>
    <n v="1776"/>
    <x v="263"/>
    <x v="1"/>
    <x v="0"/>
    <x v="9"/>
    <x v="1"/>
    <x v="26"/>
    <s v="PWEGPL"/>
    <s v="MSEDCL"/>
    <n v="2.5000000000000001E-2"/>
    <n v="208"/>
    <x v="366"/>
    <s v="BD"/>
    <d v="1899-12-30T10:55:00"/>
    <d v="1899-12-30T11:50:00"/>
    <d v="1899-12-30T12:31:00"/>
    <n v="0.91666666666666741"/>
    <n v="0.68333333333333357"/>
    <n v="1.600000000000001"/>
    <s v="Checked relays operation and wiring connection found all ok then reset and restored"/>
    <s v="Close"/>
    <n v="4.0000000000000029E-2"/>
    <s v="G01"/>
    <n v="365.73333333333358"/>
    <s v="None"/>
    <s v="WTG Breakdown Maintenance"/>
    <n v="5486"/>
    <n v="365.73333333333358"/>
    <m/>
    <m/>
    <m/>
    <m/>
  </r>
  <r>
    <n v="1777"/>
    <x v="263"/>
    <x v="1"/>
    <x v="0"/>
    <x v="9"/>
    <x v="1"/>
    <x v="33"/>
    <s v="PWEGPL"/>
    <s v="MSEDCL"/>
    <n v="2.5000000000000001E-2"/>
    <n v="201"/>
    <x v="328"/>
    <s v="BD"/>
    <d v="1899-12-30T02:33:00"/>
    <d v="1899-12-30T03:22:00"/>
    <d v="1899-12-30T03:51:00"/>
    <n v="0.81666666666666676"/>
    <n v="0.48333333333333361"/>
    <n v="1.3000000000000003"/>
    <s v="Hard rebooted and restored"/>
    <s v="Close"/>
    <n v="3.2500000000000008E-2"/>
    <s v="G22"/>
    <n v="303.2791666666667"/>
    <s v="None"/>
    <s v="WTG Breakdown Maintenance"/>
    <n v="5599"/>
    <n v="303.2791666666667"/>
    <m/>
    <m/>
    <m/>
    <m/>
  </r>
  <r>
    <n v="1778"/>
    <x v="264"/>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0481.715972222222"/>
    <s v="None"/>
    <s v="WTG Unscheduled Maintenance"/>
    <n v="10489"/>
    <n v="10481.715972222222"/>
    <m/>
    <m/>
    <m/>
    <m/>
  </r>
  <r>
    <n v="1779"/>
    <x v="264"/>
    <x v="1"/>
    <x v="0"/>
    <x v="9"/>
    <x v="1"/>
    <x v="23"/>
    <s v="PWEGPL"/>
    <s v="MSEDCL"/>
    <n v="2.5000000000000001E-2"/>
    <n v="2509"/>
    <x v="201"/>
    <s v="BD"/>
    <d v="1899-12-30T00:00:00"/>
    <d v="1899-12-30T00:00:00"/>
    <d v="1899-12-30T21:42:00"/>
    <n v="0"/>
    <n v="21.7"/>
    <n v="21.7"/>
    <s v="T plug connector failure replacememnt under progress"/>
    <s v="Open"/>
    <n v="0.54249999999999998"/>
    <s v="G03"/>
    <n v="8280.3583333333318"/>
    <s v="None"/>
    <s v="WTG Breakdown Maintenance"/>
    <n v="9158"/>
    <n v="8280.3583333333318"/>
    <m/>
    <m/>
    <m/>
    <m/>
  </r>
  <r>
    <n v="1780"/>
    <x v="264"/>
    <x v="1"/>
    <x v="0"/>
    <x v="9"/>
    <x v="1"/>
    <x v="12"/>
    <s v="PWEGPL"/>
    <s v="MSEDCL"/>
    <n v="2.5000000000000001E-2"/>
    <n v="700"/>
    <x v="329"/>
    <s v="Manual stop/TCA"/>
    <d v="1899-12-30T00:00:00"/>
    <d v="1899-12-30T00:00:00"/>
    <d v="1899-12-30T23:59:00"/>
    <n v="0"/>
    <n v="23.983333333333334"/>
    <n v="23.983333333333334"/>
    <s v="Optical cable damaged"/>
    <s v="Open"/>
    <n v="0.59958333333333336"/>
    <s v="G30"/>
    <n v="8038.4138888888892"/>
    <s v="Material shortage - T90M optical cable"/>
    <s v="WTG Unscheduled Maintenance"/>
    <n v="8044"/>
    <n v="8038.4138888888892"/>
    <m/>
    <m/>
    <m/>
    <m/>
  </r>
  <r>
    <n v="1781"/>
    <x v="264"/>
    <x v="1"/>
    <x v="0"/>
    <x v="9"/>
    <x v="1"/>
    <x v="26"/>
    <s v="PWEGPL"/>
    <s v="MSEDCL"/>
    <n v="2.5000000000000001E-2"/>
    <n v="200"/>
    <x v="314"/>
    <s v="BD"/>
    <d v="1899-12-30T07:38:00"/>
    <d v="1899-12-30T07:38:00"/>
    <d v="1899-12-30T10:29:00"/>
    <n v="0"/>
    <n v="2.8499999999999992"/>
    <n v="2.8499999999999992"/>
    <s v="Hydraulic main accumulator rep;laced and restored"/>
    <s v="Close"/>
    <n v="7.124999999999998E-2"/>
    <s v="G01"/>
    <n v="1222.1749999999995"/>
    <s v="None"/>
    <s v="WTG Unscheduled Maintenance"/>
    <n v="10292"/>
    <n v="1222.1749999999995"/>
    <m/>
    <m/>
    <m/>
    <m/>
  </r>
  <r>
    <n v="1782"/>
    <x v="264"/>
    <x v="1"/>
    <x v="0"/>
    <x v="9"/>
    <x v="1"/>
    <x v="37"/>
    <s v="PWEGPL"/>
    <s v="MSEDCL"/>
    <n v="2.5000000000000001E-2"/>
    <n v="905"/>
    <x v="350"/>
    <s v="BD"/>
    <d v="1899-12-30T17:59:00"/>
    <d v="1899-12-30T21:19:00"/>
    <d v="1899-12-30T23:54:00"/>
    <n v="3.3333333333333321"/>
    <n v="2.5833333333333321"/>
    <n v="5.9166666666666643"/>
    <s v="Battery supply replaced and restored"/>
    <s v="Close"/>
    <n v="0.14791666666666661"/>
    <s v="G17"/>
    <n v="2298.1319444444434"/>
    <s v="None"/>
    <s v="WTG Breakdown Maintenance"/>
    <n v="9322"/>
    <n v="2298.1319444444434"/>
    <m/>
    <m/>
    <m/>
    <m/>
  </r>
  <r>
    <n v="1783"/>
    <x v="264"/>
    <x v="1"/>
    <x v="0"/>
    <x v="9"/>
    <x v="1"/>
    <x v="11"/>
    <s v="PWEGPL"/>
    <s v="MSEDCL"/>
    <n v="2.5000000000000001E-2"/>
    <s v="CE100010"/>
    <x v="296"/>
    <s v="PM"/>
    <d v="1899-12-30T10:17:00"/>
    <d v="1899-12-30T10:17:00"/>
    <d v="1899-12-30T18:30:00"/>
    <n v="0"/>
    <n v="8.2166666666666686"/>
    <n v="8.2166666666666686"/>
    <s v="yearly preventive maintenace completed Day 2"/>
    <s v="Close"/>
    <n v="0.20541666666666672"/>
    <s v="G29"/>
    <n v="3214.7708333333339"/>
    <s v="None"/>
    <s v="WTG Scheduled Maintenance"/>
    <n v="9390"/>
    <n v="3214.7708333333339"/>
    <m/>
    <m/>
    <m/>
    <m/>
  </r>
  <r>
    <n v="1784"/>
    <x v="265"/>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7100.0659722222226"/>
    <s v="None"/>
    <s v="WTG Unscheduled Maintenance"/>
    <n v="7105"/>
    <n v="7100.0659722222226"/>
    <m/>
    <m/>
    <m/>
    <m/>
  </r>
  <r>
    <n v="1785"/>
    <x v="265"/>
    <x v="1"/>
    <x v="0"/>
    <x v="9"/>
    <x v="1"/>
    <x v="12"/>
    <s v="PWEGPL"/>
    <s v="MSEDCL"/>
    <n v="2.5000000000000001E-2"/>
    <n v="700"/>
    <x v="329"/>
    <s v="Manual stop/TCA"/>
    <d v="1899-12-30T00:00:00"/>
    <d v="1899-12-30T00:00:00"/>
    <d v="1899-12-30T23:59:00"/>
    <n v="0"/>
    <n v="23.983333333333334"/>
    <n v="23.983333333333334"/>
    <s v="Optical cable damaged"/>
    <s v="Open"/>
    <n v="0.59958333333333336"/>
    <s v="G30"/>
    <n v="4185.0916666666672"/>
    <s v="Material shortage - T90M optical cable"/>
    <s v="WTG Unscheduled Maintenance"/>
    <n v="4188"/>
    <n v="4185.0916666666672"/>
    <m/>
    <m/>
    <m/>
    <m/>
  </r>
  <r>
    <n v="1786"/>
    <x v="265"/>
    <x v="1"/>
    <x v="0"/>
    <x v="9"/>
    <x v="1"/>
    <x v="13"/>
    <s v="PWEGPL"/>
    <s v="MSEDCL"/>
    <n v="2.5000000000000001E-2"/>
    <s v="CE100001"/>
    <x v="288"/>
    <s v="PM"/>
    <d v="1899-12-30T10:28:00"/>
    <d v="1899-12-30T10:28:00"/>
    <d v="1899-12-30T17:49:00"/>
    <n v="0"/>
    <n v="7.3500000000000005"/>
    <n v="7.3500000000000005"/>
    <s v="yearly preventive maintenace completed Day 2"/>
    <s v="Close"/>
    <n v="0.18375000000000002"/>
    <s v="G29"/>
    <n v="1626.1875000000002"/>
    <s v="None"/>
    <s v="WTG Scheduled Maintenance"/>
    <n v="5310"/>
    <n v="1626.1875000000002"/>
    <m/>
    <m/>
    <m/>
    <m/>
  </r>
  <r>
    <n v="1787"/>
    <x v="265"/>
    <x v="1"/>
    <x v="0"/>
    <x v="9"/>
    <x v="1"/>
    <x v="39"/>
    <s v="PWEGPL"/>
    <s v="MSEDCL"/>
    <n v="2.5000000000000001E-2"/>
    <n v="205"/>
    <x v="312"/>
    <s v="BD"/>
    <d v="1899-12-30T10:17:00"/>
    <d v="1899-12-30T11:56:00"/>
    <d v="1899-12-30T13:23:00"/>
    <n v="1.6500000000000008"/>
    <n v="1.4500000000000002"/>
    <n v="3.100000000000001"/>
    <s v="Oil top up and restored the WTG"/>
    <s v="Close"/>
    <n v="7.7500000000000027E-2"/>
    <s v="G16"/>
    <n v="754.85000000000025"/>
    <s v="None"/>
    <s v="WTG Breakdown Maintenance"/>
    <n v="5844"/>
    <n v="754.85000000000025"/>
    <m/>
    <m/>
    <m/>
    <m/>
  </r>
  <r>
    <n v="1788"/>
    <x v="266"/>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7656.6791666666668"/>
    <s v="None"/>
    <s v="WTG Unscheduled Maintenance"/>
    <n v="7662"/>
    <n v="7656.6791666666668"/>
    <m/>
    <m/>
    <m/>
    <m/>
  </r>
  <r>
    <n v="1789"/>
    <x v="266"/>
    <x v="1"/>
    <x v="0"/>
    <x v="9"/>
    <x v="1"/>
    <x v="12"/>
    <s v="PWEGPL"/>
    <s v="MSEDCL"/>
    <n v="2.5000000000000001E-2"/>
    <n v="700"/>
    <x v="329"/>
    <s v="Manual stop/TCA"/>
    <d v="1899-12-30T00:00:00"/>
    <d v="1899-12-30T00:00:00"/>
    <d v="1899-12-30T23:59:00"/>
    <n v="0"/>
    <n v="23.983333333333334"/>
    <n v="23.983333333333334"/>
    <s v="Optical cable damaged"/>
    <s v="Open"/>
    <n v="0.59958333333333336"/>
    <s v="G30"/>
    <n v="4753.6965277777781"/>
    <s v="Material shortage - T90M optical cable"/>
    <s v="WTG Unscheduled Maintenance"/>
    <n v="4757"/>
    <n v="4753.6965277777781"/>
    <m/>
    <m/>
    <m/>
    <m/>
  </r>
  <r>
    <n v="1790"/>
    <x v="266"/>
    <x v="1"/>
    <x v="0"/>
    <x v="9"/>
    <x v="1"/>
    <x v="23"/>
    <s v="PWEGPL"/>
    <s v="MSEDCL"/>
    <n v="2.5000000000000001E-2"/>
    <n v="2509"/>
    <x v="201"/>
    <s v="BD"/>
    <d v="1899-12-30T17:14:00"/>
    <d v="1899-12-30T18:25:00"/>
    <d v="1899-12-30T23:59:00"/>
    <n v="1.1833333333333345"/>
    <n v="5.5666666666666655"/>
    <n v="6.75"/>
    <s v="T plug connector failure replacememnt under progress"/>
    <s v="Open"/>
    <n v="0.16875000000000001"/>
    <s v="G03"/>
    <n v="1906.3125000000002"/>
    <s v="T connector failured in multiple times so arranged venodr for fixing the T plug connector"/>
    <s v="WTG Breakdown Maintenance"/>
    <n v="6778"/>
    <n v="1906.3125000000002"/>
    <m/>
    <m/>
    <m/>
    <m/>
  </r>
  <r>
    <n v="1791"/>
    <x v="266"/>
    <x v="1"/>
    <x v="0"/>
    <x v="9"/>
    <x v="1"/>
    <x v="14"/>
    <s v="PWEGPL"/>
    <s v="MSEDCL"/>
    <n v="2.5000000000000001E-2"/>
    <n v="407"/>
    <x v="395"/>
    <s v="Manual stop"/>
    <d v="1899-12-30T10:16:00"/>
    <d v="1899-12-30T10:16:00"/>
    <d v="1899-12-30T23:59:00"/>
    <n v="0"/>
    <n v="13.716666666666665"/>
    <n v="13.716666666666665"/>
    <s v="Coupling dampers observed crack so replaced coupling and alignment under progress"/>
    <s v="Open"/>
    <n v="0.34291666666666665"/>
    <s v="G33"/>
    <n v="2823.3472222222222"/>
    <s v="During preventive maintenace observed coupling dampers crack so replaced from G23 to G34"/>
    <s v="WTG Breakdown Maintenance"/>
    <n v="4940"/>
    <n v="2823.3472222222222"/>
    <m/>
    <m/>
    <m/>
    <m/>
  </r>
  <r>
    <n v="1792"/>
    <x v="266"/>
    <x v="1"/>
    <x v="0"/>
    <x v="9"/>
    <x v="1"/>
    <x v="21"/>
    <s v="PWEGPL"/>
    <s v="MSEDCL"/>
    <n v="2.5000000000000001E-2"/>
    <n v="103"/>
    <x v="307"/>
    <s v="BD"/>
    <d v="1899-12-30T07:48:00"/>
    <d v="1899-12-30T09:16:00"/>
    <d v="1899-12-30T11:36:00"/>
    <n v="1.4666666666666668"/>
    <n v="2.333333333333333"/>
    <n v="3.8"/>
    <s v="Troubleshooting carried out and found yaw drive no 3 failure then disconnected from cercuit for temporary basis and restored"/>
    <s v="Close"/>
    <n v="9.5000000000000001E-2"/>
    <s v="G01"/>
    <n v="978.34166666666658"/>
    <s v="None"/>
    <s v="WTG Breakdown Maintenance"/>
    <n v="6179"/>
    <n v="978.34166666666658"/>
    <m/>
    <m/>
    <m/>
    <m/>
  </r>
  <r>
    <n v="1793"/>
    <x v="267"/>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8922.7993055555562"/>
    <s v="None"/>
    <s v="WTG Unscheduled Maintenance"/>
    <n v="8929"/>
    <n v="8922.7993055555562"/>
    <m/>
    <m/>
    <m/>
    <m/>
  </r>
  <r>
    <n v="1794"/>
    <x v="267"/>
    <x v="1"/>
    <x v="0"/>
    <x v="9"/>
    <x v="1"/>
    <x v="12"/>
    <s v="PWEGPL"/>
    <s v="MSEDCL"/>
    <n v="2.5000000000000001E-2"/>
    <n v="700"/>
    <x v="329"/>
    <s v="Manual stop/TCA"/>
    <d v="1899-12-30T00:00:00"/>
    <d v="1899-12-30T00:00:00"/>
    <d v="1899-12-30T01:00:00"/>
    <n v="0"/>
    <n v="1"/>
    <n v="1"/>
    <s v="Optical cable replaced and restored"/>
    <s v="Close"/>
    <n v="2.5000000000000001E-2"/>
    <s v="G30"/>
    <n v="181.04166666666666"/>
    <s v="Material shortage - T90M optical cable"/>
    <s v="WTG Unscheduled Maintenance"/>
    <n v="4345"/>
    <n v="181.04166666666666"/>
    <m/>
    <m/>
    <m/>
    <m/>
  </r>
  <r>
    <n v="1795"/>
    <x v="267"/>
    <x v="1"/>
    <x v="0"/>
    <x v="9"/>
    <x v="1"/>
    <x v="23"/>
    <s v="PWEGPL"/>
    <s v="MSEDCL"/>
    <n v="2.5000000000000001E-2"/>
    <n v="2509"/>
    <x v="201"/>
    <s v="BD"/>
    <d v="1899-12-30T00:00:00"/>
    <d v="1899-12-30T00:00:00"/>
    <d v="1899-12-30T23:59:00"/>
    <n v="0"/>
    <n v="23.983333333333334"/>
    <n v="23.983333333333334"/>
    <s v="T plug connector failure replacememnt under progress"/>
    <s v="Open"/>
    <n v="0.59958333333333336"/>
    <s v="G03"/>
    <n v="5287.3256944444447"/>
    <s v="T connector failured in multiple times so arranged venodr for fixing the T plug connector"/>
    <s v="WTG Breakdown Maintenance"/>
    <n v="5291"/>
    <n v="5287.3256944444447"/>
    <m/>
    <m/>
    <m/>
    <m/>
  </r>
  <r>
    <n v="1796"/>
    <x v="267"/>
    <x v="1"/>
    <x v="0"/>
    <x v="9"/>
    <x v="1"/>
    <x v="14"/>
    <s v="PWEGPL"/>
    <s v="MSEDCL"/>
    <n v="2.5000000000000001E-2"/>
    <n v="407"/>
    <x v="395"/>
    <s v="Manual stop"/>
    <d v="1899-12-30T00:00:00"/>
    <d v="1899-12-30T00:00:00"/>
    <d v="1899-12-30T17:09:00"/>
    <n v="0"/>
    <n v="17.149999999999999"/>
    <n v="17.149999999999999"/>
    <s v="Coupling dampers observed crack so replaced coupling and alignment under progress"/>
    <s v="Close"/>
    <n v="0.42874999999999996"/>
    <s v="G33"/>
    <n v="3320.6687499999998"/>
    <s v="During preventive maintenace observed coupling dampers crack so replaced from G23 to G34"/>
    <s v="WTG Breakdown Maintenance"/>
    <n v="4647"/>
    <n v="3320.6687499999998"/>
    <m/>
    <m/>
    <m/>
    <m/>
  </r>
  <r>
    <n v="1797"/>
    <x v="267"/>
    <x v="1"/>
    <x v="0"/>
    <x v="9"/>
    <x v="1"/>
    <x v="10"/>
    <s v="PWEGPL"/>
    <s v="MSEDCL"/>
    <n v="2.5000000000000001E-2"/>
    <n v="208"/>
    <x v="366"/>
    <s v="BD"/>
    <d v="1899-12-30T09:40:00"/>
    <d v="1899-12-30T11:01:00"/>
    <d v="1899-12-30T18:37:00"/>
    <n v="1.3500000000000019"/>
    <n v="7.6"/>
    <n v="8.9500000000000011"/>
    <s v="Hydraulic pump motor failured then replaced and restored"/>
    <s v="Close"/>
    <n v="0.22375000000000003"/>
    <s v="G30"/>
    <n v="1620.3229166666667"/>
    <s v="None"/>
    <s v="WTG Breakdown Maintenance"/>
    <n v="4345"/>
    <n v="1620.3229166666667"/>
    <m/>
    <m/>
    <m/>
    <m/>
  </r>
  <r>
    <n v="1798"/>
    <x v="268"/>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6344.5909722222232"/>
    <s v="None"/>
    <s v="WTG Unscheduled Maintenance"/>
    <n v="6349"/>
    <n v="6344.5909722222232"/>
    <m/>
    <m/>
    <m/>
    <m/>
  </r>
  <r>
    <n v="1799"/>
    <x v="268"/>
    <x v="1"/>
    <x v="0"/>
    <x v="9"/>
    <x v="1"/>
    <x v="23"/>
    <s v="PWEGPL"/>
    <s v="MSEDCL"/>
    <n v="2.5000000000000001E-2"/>
    <n v="2509"/>
    <x v="201"/>
    <s v="BD"/>
    <d v="1899-12-30T00:00:00"/>
    <d v="1899-12-30T00:00:00"/>
    <d v="1899-12-30T19:39:00"/>
    <n v="0"/>
    <n v="19.649999999999999"/>
    <n v="19.649999999999999"/>
    <s v="T plug connector failure replaced and restored the turbine"/>
    <s v="Close"/>
    <n v="0.49124999999999996"/>
    <s v="G03"/>
    <n v="3740.0499999999997"/>
    <s v="T connector failured in multiple times so arranged venodr for fixing the T plug connector"/>
    <s v="WTG Breakdown Maintenance"/>
    <n v="4568"/>
    <n v="3740.0499999999997"/>
    <m/>
    <m/>
    <m/>
    <m/>
  </r>
  <r>
    <n v="1800"/>
    <x v="268"/>
    <x v="1"/>
    <x v="0"/>
    <x v="9"/>
    <x v="1"/>
    <x v="4"/>
    <s v="PWEGPL"/>
    <s v="MSEDCL"/>
    <n v="2.5000000000000001E-2"/>
    <n v="800"/>
    <x v="298"/>
    <s v="BD"/>
    <d v="1899-12-30T11:45:00"/>
    <d v="1899-12-30T12:39:00"/>
    <d v="1899-12-30T15:07:00"/>
    <n v="0.9000000000000008"/>
    <n v="2.4666666666666659"/>
    <n v="3.3666666666666667"/>
    <s v="Chcked and found blade A pressure switch connection loose then proper connected and restoreed"/>
    <s v="Close"/>
    <n v="8.4166666666666667E-2"/>
    <s v="G38"/>
    <n v="635.73888888888894"/>
    <s v="None"/>
    <s v="WTG Breakdown Maintenance"/>
    <n v="4532"/>
    <n v="635.73888888888894"/>
    <m/>
    <m/>
    <m/>
    <m/>
  </r>
  <r>
    <n v="1801"/>
    <x v="268"/>
    <x v="1"/>
    <x v="0"/>
    <x v="9"/>
    <x v="1"/>
    <x v="26"/>
    <s v="PWEGPL"/>
    <s v="MSEDCL"/>
    <n v="2.5000000000000001E-2"/>
    <n v="208"/>
    <x v="366"/>
    <s v="BD"/>
    <d v="1899-12-30T04:12:00"/>
    <d v="1899-12-30T05:00:00"/>
    <d v="1899-12-30T18:24:00"/>
    <n v="0.79999999999999982"/>
    <n v="13.399999999999999"/>
    <n v="14.199999999999998"/>
    <s v="Checked all hydraulic pump and motor while checking found contactor was malfuctioning then replaced KF52 contactor and restored"/>
    <s v="Close"/>
    <n v="0.35499999999999998"/>
    <s v="G01"/>
    <n v="3032.8833333333328"/>
    <s v="None"/>
    <s v="WTG Breakdown Maintenance"/>
    <n v="5126"/>
    <n v="3032.8833333333328"/>
    <m/>
    <m/>
    <m/>
    <m/>
  </r>
  <r>
    <n v="1802"/>
    <x v="268"/>
    <x v="1"/>
    <x v="0"/>
    <x v="9"/>
    <x v="1"/>
    <x v="3"/>
    <s v="PWEGPL"/>
    <s v="MSEDCL"/>
    <n v="2.5000000000000001E-2"/>
    <n v="205"/>
    <x v="312"/>
    <s v="BD"/>
    <d v="1899-12-30T05:50:00"/>
    <d v="1899-12-30T07:21:00"/>
    <d v="1899-12-30T07:43:00"/>
    <n v="1.5166666666666659"/>
    <n v="0.36666666666666803"/>
    <n v="1.883333333333334"/>
    <s v="oil top and restored"/>
    <s v="Close"/>
    <n v="4.7083333333333352E-2"/>
    <s v="G26"/>
    <n v="441.79861111111126"/>
    <s v="None"/>
    <s v="WTG Breakdown Maintenance"/>
    <n v="5630"/>
    <n v="441.79861111111126"/>
    <m/>
    <m/>
    <m/>
    <m/>
  </r>
  <r>
    <n v="1803"/>
    <x v="269"/>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451.2965277777776"/>
    <s v="None"/>
    <s v="WTG Unscheduled Maintenance"/>
    <n v="2453"/>
    <n v="2451.2965277777776"/>
    <m/>
    <m/>
    <m/>
    <m/>
  </r>
  <r>
    <n v="1804"/>
    <x v="269"/>
    <x v="1"/>
    <x v="0"/>
    <x v="9"/>
    <x v="1"/>
    <x v="32"/>
    <s v="PWEGPL"/>
    <s v="MSEDCL"/>
    <n v="2.5000000000000001E-2"/>
    <n v="102"/>
    <x v="337"/>
    <s v="BD"/>
    <d v="1899-12-30T12:40:00"/>
    <d v="1899-12-30T13:25:00"/>
    <d v="1899-12-30T20:15:00"/>
    <n v="0.75"/>
    <n v="6.833333333333333"/>
    <n v="7.583333333333333"/>
    <s v="Contactor found stucked then replaced and restored"/>
    <s v="Close"/>
    <n v="0.18958333333333333"/>
    <s v="G13"/>
    <n v="1009.53125"/>
    <s v="None"/>
    <s v="WTG Breakdown Maintenance"/>
    <n v="3195"/>
    <n v="1009.53125"/>
    <m/>
    <m/>
    <m/>
    <m/>
  </r>
  <r>
    <n v="1805"/>
    <x v="269"/>
    <x v="1"/>
    <x v="0"/>
    <x v="9"/>
    <x v="1"/>
    <x v="39"/>
    <s v="PWEGPL"/>
    <s v="MSEDCL"/>
    <n v="2.5000000000000001E-2"/>
    <n v="103"/>
    <x v="307"/>
    <s v="BD"/>
    <d v="1899-12-30T15:58:00"/>
    <d v="1899-12-30T17:25:00"/>
    <d v="1899-12-30T23:59:00"/>
    <n v="1.4500000000000028"/>
    <n v="6.5666666666666647"/>
    <n v="8.0166666666666675"/>
    <s v="Yaw drive failure on hydraulic unit side and removal work under progress"/>
    <s v="Open"/>
    <n v="0.20041666666666669"/>
    <s v="G13"/>
    <n v="1067.21875"/>
    <s v="None"/>
    <s v="WTG Breakdown Maintenance"/>
    <n v="3195"/>
    <n v="1067.21875"/>
    <m/>
    <m/>
    <m/>
    <m/>
  </r>
  <r>
    <n v="1806"/>
    <x v="269"/>
    <x v="1"/>
    <x v="0"/>
    <x v="9"/>
    <x v="1"/>
    <x v="14"/>
    <s v="PWEGPL"/>
    <s v="MSEDCL"/>
    <n v="2.5000000000000001E-2"/>
    <s v="CE100001"/>
    <x v="288"/>
    <s v="Manual stop"/>
    <d v="1899-12-30T10:35:00"/>
    <d v="1899-12-30T10:35:00"/>
    <d v="1899-12-30T11:56:00"/>
    <n v="0"/>
    <n v="1.3499999999999992"/>
    <n v="1.3499999999999992"/>
    <s v="Coupling inspection work done"/>
    <s v="Close"/>
    <n v="3.3749999999999981E-2"/>
    <s v="G35"/>
    <n v="152.09999999999991"/>
    <s v="None"/>
    <s v="WTG Unscheduled Maintenance"/>
    <n v="2704"/>
    <n v="152.09999999999991"/>
    <m/>
    <m/>
    <m/>
    <m/>
  </r>
  <r>
    <n v="1807"/>
    <x v="270"/>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146.4236111111113"/>
    <s v="None"/>
    <s v="WTG Unscheduled Maintenance"/>
    <n v="5150"/>
    <n v="5146.4236111111113"/>
    <m/>
    <m/>
    <m/>
    <m/>
  </r>
  <r>
    <n v="1808"/>
    <x v="270"/>
    <x v="1"/>
    <x v="0"/>
    <x v="9"/>
    <x v="1"/>
    <x v="39"/>
    <s v="PWEGPL"/>
    <s v="MSEDCL"/>
    <n v="2.5000000000000001E-2"/>
    <n v="103"/>
    <x v="307"/>
    <s v="BD"/>
    <d v="1899-12-30T00:00:00"/>
    <d v="1899-12-30T00:00:00"/>
    <d v="1899-12-30T23:54:00"/>
    <n v="0"/>
    <n v="23.9"/>
    <n v="23.9"/>
    <s v="Yaw drive failure on hydraulic unit side and removal work under progress"/>
    <s v="Open"/>
    <n v="0.59750000000000003"/>
    <s v="G13"/>
    <n v="6338.4791666666661"/>
    <s v="None"/>
    <s v="WTG Breakdown Maintenance"/>
    <n v="6365"/>
    <n v="6338.4791666666661"/>
    <m/>
    <m/>
    <m/>
    <m/>
  </r>
  <r>
    <n v="1809"/>
    <x v="270"/>
    <x v="1"/>
    <x v="0"/>
    <x v="9"/>
    <x v="1"/>
    <x v="12"/>
    <s v="PWEGPL"/>
    <s v="MSEDCL"/>
    <n v="2.5000000000000001E-2"/>
    <n v="402"/>
    <x v="300"/>
    <s v="BD"/>
    <d v="1899-12-30T11:51:00"/>
    <d v="1899-12-30T15:23:00"/>
    <d v="1899-12-30T16:20:00"/>
    <n v="3.5333333333333328"/>
    <n v="0.94999999999999929"/>
    <n v="4.4833333333333325"/>
    <s v="Gear oil top up and restored"/>
    <s v="Close"/>
    <n v="0.11208333333333331"/>
    <s v="G30"/>
    <n v="930.66527777777765"/>
    <s v="None"/>
    <s v="WTG Breakdown Maintenance"/>
    <n v="4982"/>
    <n v="930.66527777777765"/>
    <m/>
    <m/>
    <m/>
    <m/>
  </r>
  <r>
    <n v="1810"/>
    <x v="270"/>
    <x v="1"/>
    <x v="0"/>
    <x v="9"/>
    <x v="1"/>
    <x v="2"/>
    <s v="PWEGPL"/>
    <s v="MSEDCL"/>
    <n v="2.5000000000000001E-2"/>
    <n v="1894"/>
    <x v="325"/>
    <s v="BD"/>
    <d v="1899-12-30T04:34:00"/>
    <d v="1899-12-30T05:15:00"/>
    <d v="1899-12-30T05:22:00"/>
    <n v="0.68333333333333357"/>
    <n v="0.11666666666666625"/>
    <n v="0.79999999999999982"/>
    <s v="reboot and restored the turbine"/>
    <s v="Close"/>
    <n v="1.9999999999999997E-2"/>
    <s v="G32"/>
    <n v="123.8333333333333"/>
    <s v="None"/>
    <s v="WTG Breakdown Maintenance"/>
    <n v="3715"/>
    <n v="123.8333333333333"/>
    <m/>
    <m/>
    <m/>
    <m/>
  </r>
  <r>
    <n v="1811"/>
    <x v="271"/>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4148.1173611111117"/>
    <s v="None"/>
    <s v="WTG Unscheduled Maintenance"/>
    <n v="4151"/>
    <n v="4148.1173611111117"/>
    <m/>
    <m/>
    <m/>
    <m/>
  </r>
  <r>
    <n v="1812"/>
    <x v="271"/>
    <x v="1"/>
    <x v="0"/>
    <x v="9"/>
    <x v="1"/>
    <x v="32"/>
    <s v="PWEGPL"/>
    <s v="MSEDCL"/>
    <n v="2.5000000000000001E-2"/>
    <n v="107"/>
    <x v="354"/>
    <s v="BD"/>
    <d v="1899-12-30T15:13:00"/>
    <d v="1899-12-30T16:15:00"/>
    <d v="1899-12-30T20:49:00"/>
    <n v="1.033333333333335"/>
    <n v="4.5666666666666664"/>
    <n v="5.6000000000000014"/>
    <s v="Yaw motor found failure then removed and restored"/>
    <s v="Close"/>
    <n v="0.14000000000000004"/>
    <s v="G16"/>
    <n v="905.33333333333348"/>
    <s v="None"/>
    <s v="WTG Breakdown Maintenance"/>
    <n v="3880"/>
    <n v="905.33333333333348"/>
    <m/>
    <m/>
    <m/>
    <m/>
  </r>
  <r>
    <n v="1813"/>
    <x v="271"/>
    <x v="1"/>
    <x v="0"/>
    <x v="9"/>
    <x v="1"/>
    <x v="34"/>
    <s v="PWEGPL"/>
    <s v="MSEDCL"/>
    <n v="2.5000000000000001E-2"/>
    <n v="5228"/>
    <x v="346"/>
    <s v="BD"/>
    <d v="1899-12-30T00:00:00"/>
    <d v="1899-12-30T01:07:00"/>
    <d v="1899-12-30T02:03:00"/>
    <n v="1.1166666666666667"/>
    <n v="0.93333333333333302"/>
    <n v="2.0499999999999998"/>
    <s v="Preload contactor stuck up and then serviced properly and restored"/>
    <s v="Close"/>
    <n v="5.1249999999999997E-2"/>
    <s v="G21"/>
    <n v="354.5645833333333"/>
    <s v="None"/>
    <s v="WTG Breakdown Maintenance"/>
    <n v="4151"/>
    <n v="354.5645833333333"/>
    <m/>
    <m/>
    <m/>
    <m/>
  </r>
  <r>
    <n v="1814"/>
    <x v="272"/>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067.8680555555557"/>
    <s v="None"/>
    <s v="WTG Unscheduled Maintenance"/>
    <n v="3070"/>
    <n v="3067.8680555555557"/>
    <m/>
    <m/>
    <m/>
    <m/>
  </r>
  <r>
    <n v="1815"/>
    <x v="272"/>
    <x v="1"/>
    <x v="0"/>
    <x v="9"/>
    <x v="1"/>
    <x v="2"/>
    <s v="PWEGPL"/>
    <s v="MSEDCL"/>
    <n v="2.5000000000000001E-2"/>
    <n v="205"/>
    <x v="312"/>
    <s v="BD"/>
    <d v="1899-12-30T08:21:00"/>
    <d v="1899-12-30T11:13:00"/>
    <d v="1899-12-30T11:41:00"/>
    <n v="2.8666666666666671"/>
    <n v="0.46666666666666634"/>
    <n v="3.3333333333333335"/>
    <s v="Oil  top up and restored"/>
    <s v="Close"/>
    <n v="8.3333333333333343E-2"/>
    <s v="G32"/>
    <n v="246.25"/>
    <s v="None"/>
    <s v="WTG Breakdown Maintenance"/>
    <n v="1773"/>
    <n v="246.25"/>
    <m/>
    <m/>
    <m/>
    <m/>
  </r>
  <r>
    <n v="1816"/>
    <x v="272"/>
    <x v="1"/>
    <x v="0"/>
    <x v="9"/>
    <x v="1"/>
    <x v="32"/>
    <s v="PWEGPL"/>
    <s v="MSEDCL"/>
    <n v="2.5000000000000001E-2"/>
    <n v="118"/>
    <x v="313"/>
    <s v="Manual stop"/>
    <d v="1899-12-30T17:27:00"/>
    <d v="1899-12-30T17:27:00"/>
    <d v="1899-12-30T20:28:00"/>
    <n v="0"/>
    <n v="3.0166666666666666"/>
    <n v="3.0166666666666666"/>
    <s v="Yaw motor removed for repiar and restored"/>
    <s v="Close"/>
    <n v="7.5416666666666674E-2"/>
    <s v="G15"/>
    <n v="382.86527777777781"/>
    <s v="None"/>
    <s v="WTG Breakdown Maintenance"/>
    <n v="3046"/>
    <n v="382.86527777777781"/>
    <m/>
    <m/>
    <m/>
    <m/>
  </r>
  <r>
    <n v="1817"/>
    <x v="272"/>
    <x v="1"/>
    <x v="0"/>
    <x v="9"/>
    <x v="1"/>
    <x v="7"/>
    <s v="PWEGPL"/>
    <s v="MSEDCL"/>
    <n v="2.5000000000000001E-2"/>
    <n v="205"/>
    <x v="312"/>
    <s v="BD"/>
    <d v="1899-12-30T09:44:00"/>
    <d v="1899-12-30T11:48:00"/>
    <d v="1899-12-30T12:06:00"/>
    <n v="2.0666666666666687"/>
    <n v="0.29999999999999893"/>
    <n v="2.3666666666666676"/>
    <s v="Oil top up and restored the WTG"/>
    <s v="Close"/>
    <n v="5.9166666666666694E-2"/>
    <s v="G39"/>
    <n v="162.11666666666673"/>
    <s v="None"/>
    <s v="WTG Breakdown Maintenance"/>
    <n v="1644"/>
    <n v="162.11666666666673"/>
    <m/>
    <m/>
    <m/>
    <m/>
  </r>
  <r>
    <n v="1818"/>
    <x v="272"/>
    <x v="1"/>
    <x v="0"/>
    <x v="9"/>
    <x v="1"/>
    <x v="27"/>
    <s v="PWEGPL"/>
    <s v="MSEDCL"/>
    <n v="2.5000000000000001E-2"/>
    <n v="205"/>
    <x v="312"/>
    <s v="BD"/>
    <d v="1899-12-30T11:20:00"/>
    <d v="1899-12-30T11:20:00"/>
    <d v="1899-12-30T11:41:00"/>
    <n v="0"/>
    <n v="0.34999999999999876"/>
    <n v="0.34999999999999876"/>
    <s v="Oil top up and restored the WTG"/>
    <s v="Close"/>
    <n v="8.7499999999999696E-3"/>
    <s v="G10"/>
    <n v="38.295833333333199"/>
    <s v="None"/>
    <s v="WTG Breakdown Maintenance"/>
    <n v="2626"/>
    <n v="38.295833333333199"/>
    <m/>
    <m/>
    <m/>
    <m/>
  </r>
  <r>
    <n v="1819"/>
    <x v="273"/>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682.4409722222222"/>
    <s v="None"/>
    <s v="WTG Unscheduled Maintenance"/>
    <n v="3685"/>
    <n v="3682.4409722222222"/>
    <m/>
    <m/>
    <m/>
    <m/>
  </r>
  <r>
    <n v="1820"/>
    <x v="273"/>
    <x v="1"/>
    <x v="0"/>
    <x v="9"/>
    <x v="1"/>
    <x v="14"/>
    <s v="PWEGPL"/>
    <s v="MSEDCL"/>
    <n v="2.5000000000000001E-2"/>
    <s v="CE100010"/>
    <x v="296"/>
    <s v="PM"/>
    <d v="1899-12-30T10:05:00"/>
    <d v="1899-12-30T10:05:00"/>
    <d v="1899-12-30T17:48:00"/>
    <n v="0"/>
    <n v="7.7166666666666668"/>
    <n v="7.7166666666666668"/>
    <s v="yearly preventive maintenace completed Day 1"/>
    <s v="Close"/>
    <n v="0.19291666666666668"/>
    <s v="G35"/>
    <n v="766.52222222222224"/>
    <s v="None"/>
    <s v="WTG Scheduled Maintenance"/>
    <n v="2384"/>
    <n v="766.52222222222224"/>
    <m/>
    <m/>
    <m/>
    <m/>
  </r>
  <r>
    <n v="1821"/>
    <x v="273"/>
    <x v="1"/>
    <x v="0"/>
    <x v="9"/>
    <x v="1"/>
    <x v="22"/>
    <s v="PWEGPL"/>
    <s v="MSEDCL"/>
    <n v="2.5000000000000001E-2"/>
    <n v="804"/>
    <x v="382"/>
    <s v="BD"/>
    <d v="1899-12-30T13:15:00"/>
    <d v="1899-12-30T14:28:00"/>
    <d v="1899-12-30T20:30:00"/>
    <n v="1.216666666666665"/>
    <n v="6.0333333333333332"/>
    <n v="7.2499999999999982"/>
    <s v="Hub pitch manifold cheker plate fallen and damged the propectional value and cabkle then replaced profectiona value and corrected the all cables and restored the turbine"/>
    <s v="Close"/>
    <n v="0.18124999999999997"/>
    <s v="G04"/>
    <n v="852.17708333333314"/>
    <s v="None"/>
    <s v="WTG Breakdown Maintenance"/>
    <n v="2821"/>
    <n v="852.17708333333314"/>
    <m/>
    <m/>
    <m/>
    <m/>
  </r>
  <r>
    <n v="1822"/>
    <x v="273"/>
    <x v="1"/>
    <x v="0"/>
    <x v="9"/>
    <x v="1"/>
    <x v="17"/>
    <s v="PWEGPL"/>
    <s v="MSEDCL"/>
    <n v="2.5000000000000001E-2"/>
    <n v="550"/>
    <x v="297"/>
    <s v="BD"/>
    <d v="1899-12-30T20:47:00"/>
    <d v="1899-12-30T21:50:00"/>
    <d v="1899-12-30T21:55:00"/>
    <n v="1.0499999999999989"/>
    <n v="8.3333333333335702E-2"/>
    <n v="1.1333333333333346"/>
    <s v="Rebooted and restored"/>
    <s v="Close"/>
    <n v="2.8333333333333367E-2"/>
    <s v="G06"/>
    <n v="136.85000000000016"/>
    <s v="None"/>
    <s v="WTG Breakdown Maintenance"/>
    <n v="2898"/>
    <n v="136.85000000000016"/>
    <m/>
    <m/>
    <m/>
    <m/>
  </r>
  <r>
    <n v="1823"/>
    <x v="274"/>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638.166666666667"/>
    <s v="None"/>
    <s v="WTG Unscheduled Maintenance"/>
    <n v="2640"/>
    <n v="2638.166666666667"/>
    <m/>
    <m/>
    <m/>
    <m/>
  </r>
  <r>
    <n v="1824"/>
    <x v="274"/>
    <x v="1"/>
    <x v="0"/>
    <x v="9"/>
    <x v="1"/>
    <x v="14"/>
    <s v="PWEGPL"/>
    <s v="MSEDCL"/>
    <n v="2.5000000000000001E-2"/>
    <s v="CE100010"/>
    <x v="296"/>
    <s v="PM"/>
    <d v="1899-12-30T10:51:00"/>
    <d v="1899-12-30T10:51:00"/>
    <d v="1899-12-30T18:30:00"/>
    <n v="0"/>
    <n v="7.65"/>
    <n v="7.65"/>
    <s v="yearly preventive maintenace completed Day 2"/>
    <s v="Close"/>
    <n v="0.19125000000000003"/>
    <s v="G35"/>
    <n v="645.15"/>
    <s v="None"/>
    <s v="WTG Scheduled Maintenance"/>
    <n v="2024"/>
    <n v="645.15"/>
    <m/>
    <m/>
    <m/>
    <m/>
  </r>
  <r>
    <n v="1825"/>
    <x v="274"/>
    <x v="1"/>
    <x v="0"/>
    <x v="9"/>
    <x v="1"/>
    <x v="29"/>
    <s v="PWEGPL"/>
    <s v="MSEDCL"/>
    <n v="2.5000000000000001E-2"/>
    <n v="104"/>
    <x v="399"/>
    <s v="BD"/>
    <d v="1899-12-30T19:05:00"/>
    <d v="1899-12-30T21:48:00"/>
    <d v="1899-12-30T23:59:00"/>
    <n v="2.7166666666666677"/>
    <n v="2.1833333333333336"/>
    <n v="4.9000000000000012"/>
    <s v="PLC parameetr corrected then reupload and restored"/>
    <s v="Open"/>
    <n v="0.12250000000000004"/>
    <s v="G10"/>
    <n v="401.18750000000011"/>
    <s v="None"/>
    <s v="WTG Breakdown Maintenance"/>
    <n v="1965"/>
    <n v="401.18750000000011"/>
    <m/>
    <m/>
    <m/>
    <m/>
  </r>
  <r>
    <n v="1826"/>
    <x v="274"/>
    <x v="1"/>
    <x v="0"/>
    <x v="9"/>
    <x v="1"/>
    <x v="39"/>
    <s v="PWEGPL"/>
    <s v="MSEDCL"/>
    <n v="2.5000000000000001E-2"/>
    <n v="118"/>
    <x v="313"/>
    <s v="Manual stop"/>
    <d v="1899-12-30T10:55:00"/>
    <d v="1899-12-30T10:55:00"/>
    <d v="1899-12-30T15:10:00"/>
    <n v="0"/>
    <n v="4.25"/>
    <n v="4.25"/>
    <s v="Yaw drive failure inspection work done"/>
    <s v="Close"/>
    <n v="0.10625000000000001"/>
    <s v="G14"/>
    <n v="434.03125"/>
    <s v="None"/>
    <s v="WTG Breakdown Maintenance"/>
    <n v="2451"/>
    <n v="434.03125"/>
    <m/>
    <m/>
    <m/>
    <m/>
  </r>
  <r>
    <n v="1827"/>
    <x v="275"/>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248.4375"/>
    <s v="None"/>
    <s v="WTG Unscheduled Maintenance"/>
    <n v="2250"/>
    <n v="2248.4375"/>
    <m/>
    <m/>
    <m/>
    <m/>
  </r>
  <r>
    <n v="1828"/>
    <x v="275"/>
    <x v="1"/>
    <x v="0"/>
    <x v="9"/>
    <x v="1"/>
    <x v="12"/>
    <s v="PWEGPL"/>
    <s v="MSEDCL"/>
    <n v="2.5000000000000001E-2"/>
    <s v="CE100010"/>
    <x v="296"/>
    <s v="PM"/>
    <d v="1899-12-30T10:20:00"/>
    <d v="1899-12-30T10:20:00"/>
    <d v="1899-12-30T21:03:00"/>
    <n v="0"/>
    <n v="10.716666666666665"/>
    <n v="10.716666666666665"/>
    <s v="yearly preventive maintenace completed Day 2"/>
    <s v="Close"/>
    <n v="0.26791666666666664"/>
    <s v="G35"/>
    <n v="1051.1263888888886"/>
    <s v="None"/>
    <s v="WTG Scheduled Maintenance"/>
    <n v="2354"/>
    <n v="1051.1263888888886"/>
    <m/>
    <m/>
    <m/>
    <m/>
  </r>
  <r>
    <n v="1829"/>
    <x v="275"/>
    <x v="1"/>
    <x v="0"/>
    <x v="9"/>
    <x v="1"/>
    <x v="38"/>
    <s v="PWEGPL"/>
    <s v="MSEDCL"/>
    <n v="2.5000000000000001E-2"/>
    <n v="507"/>
    <x v="318"/>
    <s v="BD"/>
    <d v="1899-12-30T11:41:00"/>
    <d v="1899-12-30T11:41:00"/>
    <d v="1899-12-30T13:41:00"/>
    <n v="0"/>
    <n v="1.9999999999999996"/>
    <n v="1.9999999999999996"/>
    <s v="Generator internal cooling faulty motor removed for repair"/>
    <s v="Close"/>
    <n v="4.9999999999999989E-2"/>
    <s v="G17"/>
    <n v="234.08333333333329"/>
    <s v="Warning rectification work"/>
    <s v="WTG Breakdown Maintenance"/>
    <n v="2809"/>
    <n v="234.08333333333329"/>
    <m/>
    <m/>
    <m/>
    <m/>
  </r>
  <r>
    <n v="1830"/>
    <x v="275"/>
    <x v="1"/>
    <x v="0"/>
    <x v="9"/>
    <x v="1"/>
    <x v="17"/>
    <s v="PWEGPL"/>
    <s v="MSEDCL"/>
    <n v="2.5000000000000001E-2"/>
    <n v="507"/>
    <x v="318"/>
    <s v="BD"/>
    <d v="1899-12-30T16:26:00"/>
    <d v="1899-12-30T16:26:00"/>
    <d v="1899-12-30T18:20:00"/>
    <n v="0"/>
    <n v="1.8999999999999986"/>
    <n v="1.8999999999999986"/>
    <s v="Generator internal cooling faulty motor removed for repair"/>
    <s v="Close"/>
    <n v="4.7499999999999966E-2"/>
    <s v="G09"/>
    <n v="295.52916666666641"/>
    <s v="Warning rectification work"/>
    <s v="WTG Breakdown Maintenance"/>
    <n v="3733"/>
    <n v="295.52916666666641"/>
    <m/>
    <m/>
    <m/>
    <m/>
  </r>
  <r>
    <n v="1831"/>
    <x v="275"/>
    <x v="1"/>
    <x v="0"/>
    <x v="9"/>
    <x v="1"/>
    <x v="32"/>
    <s v="PWEGPL"/>
    <s v="MSEDCL"/>
    <n v="2.5000000000000001E-2"/>
    <n v="118"/>
    <x v="313"/>
    <s v="BD"/>
    <d v="1899-12-30T15:56:00"/>
    <d v="1899-12-30T15:56:00"/>
    <d v="1899-12-30T18:25:00"/>
    <n v="0"/>
    <n v="2.4833333333333352"/>
    <n v="2.4833333333333352"/>
    <s v="Yaw motor replaced and checked yawing found ok then restored the turbine"/>
    <s v="Close"/>
    <n v="6.2083333333333379E-2"/>
    <s v="G15"/>
    <n v="325.31666666666689"/>
    <s v="None"/>
    <s v="WTG Breakdown Maintenance"/>
    <n v="3144"/>
    <n v="325.31666666666689"/>
    <m/>
    <m/>
    <m/>
    <m/>
  </r>
  <r>
    <n v="1832"/>
    <x v="275"/>
    <x v="1"/>
    <x v="0"/>
    <x v="9"/>
    <x v="1"/>
    <x v="29"/>
    <s v="PWEGPL"/>
    <s v="MSEDCL"/>
    <n v="2.5000000000000001E-2"/>
    <n v="104"/>
    <x v="399"/>
    <s v="BD"/>
    <d v="1899-12-30T00:00:00"/>
    <d v="1899-12-30T00:00:00"/>
    <d v="1899-12-30T03:04:00"/>
    <n v="0"/>
    <n v="3.0666666666666673"/>
    <n v="3.0666666666666673"/>
    <s v="PLC parameetr corrected then reupload and restored"/>
    <s v="Close"/>
    <n v="7.6666666666666689E-2"/>
    <s v="G10"/>
    <n v="371.4500000000001"/>
    <s v="None"/>
    <s v="WTG Breakdown Maintenance"/>
    <n v="2907"/>
    <n v="371.4500000000001"/>
    <m/>
    <m/>
    <m/>
    <m/>
  </r>
  <r>
    <n v="1833"/>
    <x v="276"/>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8181.3145833333338"/>
    <s v="None"/>
    <s v="WTG Unscheduled Maintenance"/>
    <n v="8187"/>
    <n v="8181.3145833333338"/>
    <m/>
    <m/>
    <m/>
    <m/>
  </r>
  <r>
    <n v="1834"/>
    <x v="276"/>
    <x v="1"/>
    <x v="0"/>
    <x v="9"/>
    <x v="1"/>
    <x v="17"/>
    <s v="PWEGPL"/>
    <s v="MSEDCL"/>
    <n v="2.5000000000000001E-2"/>
    <n v="507"/>
    <x v="318"/>
    <s v="BD"/>
    <d v="1899-12-30T12:45:00"/>
    <d v="1899-12-30T12:45:00"/>
    <d v="1899-12-30T15:02:00"/>
    <n v="0"/>
    <n v="2.2833333333333332"/>
    <n v="2.2833333333333332"/>
    <s v="Generator external cooling motor replaced and restored"/>
    <s v="Close"/>
    <n v="5.7083333333333333E-2"/>
    <s v="G09"/>
    <n v="556.5625"/>
    <s v="None"/>
    <s v="WTG Breakdown Maintenance"/>
    <n v="5850"/>
    <n v="556.5625"/>
    <m/>
    <m/>
    <m/>
    <m/>
  </r>
  <r>
    <n v="1835"/>
    <x v="277"/>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9644.2979166666664"/>
    <s v="None"/>
    <s v="WTG Unscheduled Maintenance"/>
    <n v="9651"/>
    <n v="9644.2979166666664"/>
    <m/>
    <m/>
    <m/>
    <m/>
  </r>
  <r>
    <n v="1836"/>
    <x v="277"/>
    <x v="1"/>
    <x v="0"/>
    <x v="9"/>
    <x v="1"/>
    <x v="15"/>
    <s v="PWEGPL"/>
    <s v="MSEDCL"/>
    <n v="2.5000000000000001E-2"/>
    <s v="CE100010"/>
    <x v="296"/>
    <s v="PM"/>
    <d v="1899-12-30T10:19:00"/>
    <d v="1899-12-30T10:19:00"/>
    <d v="1899-12-30T17:32:00"/>
    <n v="0"/>
    <n v="7.2166666666666686"/>
    <n v="7.2166666666666686"/>
    <s v="yearly preventive maintenace completed Day 1"/>
    <s v="Close"/>
    <n v="0.18041666666666673"/>
    <s v="G34"/>
    <n v="2327.0743055555558"/>
    <s v="None"/>
    <s v="WTG Scheduled Maintenance"/>
    <n v="7739"/>
    <n v="2327.0743055555558"/>
    <m/>
    <m/>
    <m/>
    <m/>
  </r>
  <r>
    <n v="1837"/>
    <x v="277"/>
    <x v="1"/>
    <x v="0"/>
    <x v="9"/>
    <x v="1"/>
    <x v="34"/>
    <s v="PWEGPL"/>
    <s v="MSEDCL"/>
    <n v="2.5000000000000001E-2"/>
    <n v="509"/>
    <x v="301"/>
    <s v="BD"/>
    <d v="1899-12-30T21:27:00"/>
    <d v="1899-12-30T21:57:00"/>
    <d v="1899-12-30T23:07:00"/>
    <n v="0.50000000000000089"/>
    <n v="1.1666666666666679"/>
    <n v="1.6666666666666687"/>
    <s v="Checked slipring cooling fan and all found ok and running.during checking we observed module reading the temp wrongly.then interchanged the module and restored"/>
    <s v="Close"/>
    <n v="4.166666666666672E-2"/>
    <s v="G21"/>
    <n v="670.20833333333417"/>
    <s v="None"/>
    <s v="WTG Breakdown Maintenance"/>
    <n v="9651"/>
    <n v="670.20833333333417"/>
    <m/>
    <m/>
    <m/>
    <m/>
  </r>
  <r>
    <n v="1838"/>
    <x v="277"/>
    <x v="1"/>
    <x v="0"/>
    <x v="9"/>
    <x v="1"/>
    <x v="18"/>
    <s v="PWEGPL"/>
    <s v="MSEDCL"/>
    <n v="2.5000000000000001E-2"/>
    <n v="205"/>
    <x v="312"/>
    <s v="BD"/>
    <d v="1899-12-30T12:07:00"/>
    <d v="1899-12-30T12:59:00"/>
    <d v="1899-12-30T13:32:00"/>
    <n v="0.86666666666666625"/>
    <n v="0.55000000000000071"/>
    <n v="1.416666666666667"/>
    <s v="Oil top up and restored the WTG"/>
    <s v="Close"/>
    <n v="3.5416666666666673E-2"/>
    <s v="G18"/>
    <n v="387.75347222222229"/>
    <s v="None"/>
    <s v="WTG Breakdown Maintenance"/>
    <n v="6569"/>
    <n v="387.75347222222229"/>
    <m/>
    <m/>
    <m/>
    <m/>
  </r>
  <r>
    <n v="1839"/>
    <x v="278"/>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6199.6916666666666"/>
    <s v="None"/>
    <s v="WTG Unscheduled Maintenance"/>
    <n v="6204"/>
    <n v="6199.6916666666666"/>
    <m/>
    <m/>
    <m/>
    <m/>
  </r>
  <r>
    <n v="1840"/>
    <x v="278"/>
    <x v="1"/>
    <x v="0"/>
    <x v="9"/>
    <x v="1"/>
    <x v="15"/>
    <s v="PWEGPL"/>
    <s v="MSEDCL"/>
    <n v="2.5000000000000001E-2"/>
    <s v="CE100010"/>
    <x v="296"/>
    <s v="PM"/>
    <d v="1899-12-30T09:54:00"/>
    <d v="1899-12-30T09:54:00"/>
    <d v="1899-12-30T17:08:00"/>
    <n v="0"/>
    <n v="7.2333333333333325"/>
    <n v="7.2333333333333325"/>
    <s v="yearly preventive maintenace completed Day 2"/>
    <s v="Close"/>
    <n v="0.18083333333333332"/>
    <s v="G34"/>
    <n v="1480.422222222222"/>
    <s v="None"/>
    <s v="WTG Scheduled Maintenance"/>
    <n v="4912"/>
    <n v="1480.422222222222"/>
    <m/>
    <m/>
    <m/>
    <m/>
  </r>
  <r>
    <n v="1841"/>
    <x v="278"/>
    <x v="1"/>
    <x v="0"/>
    <x v="9"/>
    <x v="1"/>
    <x v="29"/>
    <s v="PWEGPL"/>
    <s v="MSEDCL"/>
    <n v="2.5000000000000001E-2"/>
    <n v="2118"/>
    <x v="293"/>
    <s v="BD"/>
    <d v="1899-12-30T09:23:00"/>
    <d v="1899-12-30T11:18:00"/>
    <d v="1899-12-30T14:39:00"/>
    <n v="1.9166666666666679"/>
    <n v="3.35"/>
    <n v="5.2666666666666675"/>
    <s v="Slipring cleaned and restored"/>
    <s v="Close"/>
    <n v="0.13166666666666668"/>
    <s v="G10"/>
    <n v="1091.077777777778"/>
    <s v="None"/>
    <s v="WTG Breakdown Maintenance"/>
    <n v="4972"/>
    <n v="1091.077777777778"/>
    <m/>
    <m/>
    <m/>
    <m/>
  </r>
  <r>
    <n v="1842"/>
    <x v="278"/>
    <x v="1"/>
    <x v="0"/>
    <x v="9"/>
    <x v="1"/>
    <x v="7"/>
    <s v="PWEGPL"/>
    <s v="MSEDCL"/>
    <n v="2.5000000000000001E-2"/>
    <n v="804"/>
    <x v="382"/>
    <s v="BD"/>
    <d v="1899-12-30T13:33:00"/>
    <d v="1899-12-30T16:17:00"/>
    <d v="1899-12-30T19:26:00"/>
    <n v="2.7333333333333343"/>
    <n v="3.1499999999999995"/>
    <n v="5.8833333333333337"/>
    <s v="Which checking observed blade B pitching not done then checked all propectional value and cable and found connector loose condition in propectional value then properly connected and restored."/>
    <s v="Close"/>
    <n v="0.14708333333333334"/>
    <s v="G39"/>
    <n v="1056.3034722222224"/>
    <s v="None"/>
    <s v="WTG Breakdown Maintenance"/>
    <n v="4309"/>
    <n v="1056.3034722222224"/>
    <m/>
    <m/>
    <m/>
    <m/>
  </r>
  <r>
    <n v="1843"/>
    <x v="279"/>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1415.0166666666667"/>
    <s v="None"/>
    <s v="WTG Unscheduled Maintenance"/>
    <n v="1416"/>
    <n v="1415.0166666666667"/>
    <m/>
    <m/>
    <m/>
    <m/>
  </r>
  <r>
    <n v="1844"/>
    <x v="279"/>
    <x v="1"/>
    <x v="0"/>
    <x v="9"/>
    <x v="1"/>
    <x v="16"/>
    <s v="PWEGPL"/>
    <s v="MSEDCL"/>
    <n v="2.5000000000000001E-2"/>
    <s v="CE100010"/>
    <x v="296"/>
    <s v="PM"/>
    <d v="1899-12-30T10:26:00"/>
    <d v="1899-12-30T10:26:00"/>
    <d v="1899-12-30T17:37:00"/>
    <n v="0"/>
    <n v="7.1833333333333345"/>
    <n v="7.1833333333333345"/>
    <s v="yearly preventive maintenace completed Day 1"/>
    <s v="Close"/>
    <n v="0.17958333333333337"/>
    <s v="G35"/>
    <n v="417.83055555555558"/>
    <s v="None"/>
    <s v="WTG Scheduled Maintenance"/>
    <n v="1396"/>
    <n v="417.83055555555558"/>
    <m/>
    <m/>
    <m/>
    <m/>
  </r>
  <r>
    <n v="1845"/>
    <x v="279"/>
    <x v="1"/>
    <x v="0"/>
    <x v="9"/>
    <x v="1"/>
    <x v="6"/>
    <s v="PWEGPL"/>
    <s v="MSEDCL"/>
    <n v="2.5000000000000001E-2"/>
    <n v="205"/>
    <x v="312"/>
    <s v="BD"/>
    <d v="1899-12-30T09:29:00"/>
    <d v="1899-12-30T11:23:00"/>
    <d v="1899-12-30T11:34:00"/>
    <n v="1.9"/>
    <n v="0.18333333333333401"/>
    <n v="2.0833333333333339"/>
    <s v="Reboot &amp; reset"/>
    <s v="Close"/>
    <n v="5.208333333333335E-2"/>
    <s v="G38"/>
    <n v="93.2291666666667"/>
    <s v="None"/>
    <s v="WTG Breakdown Maintenance"/>
    <n v="1074"/>
    <n v="93.2291666666667"/>
    <m/>
    <m/>
    <m/>
    <m/>
  </r>
  <r>
    <n v="1846"/>
    <x v="279"/>
    <x v="1"/>
    <x v="0"/>
    <x v="9"/>
    <x v="1"/>
    <x v="7"/>
    <s v="PWEGPL"/>
    <s v="MSEDCL"/>
    <n v="2.5000000000000001E-2"/>
    <n v="115"/>
    <x v="308"/>
    <s v="BD"/>
    <d v="1899-12-30T10:26:00"/>
    <d v="1899-12-30T11:40:00"/>
    <d v="1899-12-30T13:26:00"/>
    <n v="1.2333333333333329"/>
    <n v="1.7666666666666671"/>
    <n v="3"/>
    <s v="pos104 value setting done and restored the turbine"/>
    <s v="Close"/>
    <n v="7.5000000000000011E-2"/>
    <s v="G38"/>
    <n v="134.25"/>
    <s v="None"/>
    <s v="WTG Breakdown Maintenance"/>
    <n v="1074"/>
    <n v="134.25"/>
    <m/>
    <m/>
    <m/>
    <m/>
  </r>
  <r>
    <n v="1847"/>
    <x v="280"/>
    <x v="1"/>
    <x v="0"/>
    <x v="9"/>
    <x v="1"/>
    <x v="16"/>
    <s v="PWEGPL"/>
    <s v="MSEDCL"/>
    <n v="2.5000000000000001E-2"/>
    <s v="CE100010"/>
    <x v="296"/>
    <s v="PM"/>
    <d v="1899-12-30T10:30:00"/>
    <d v="1899-12-30T10:30:00"/>
    <d v="1899-12-30T19:00:00"/>
    <n v="0"/>
    <n v="8.5"/>
    <n v="8.5"/>
    <s v="yearly preventive maintenace completed Day 2"/>
    <s v="Close"/>
    <n v="0.21250000000000002"/>
    <s v="G35"/>
    <n v="1271.8125"/>
    <s v="None"/>
    <s v="WTG Scheduled Maintenance"/>
    <n v="3591"/>
    <n v="1271.8125"/>
    <m/>
    <m/>
    <m/>
    <m/>
  </r>
  <r>
    <n v="1848"/>
    <x v="280"/>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804.3562500000003"/>
    <s v="None"/>
    <s v="WTG Unscheduled Maintenance"/>
    <n v="3807"/>
    <n v="3804.3562500000003"/>
    <m/>
    <m/>
    <m/>
    <m/>
  </r>
  <r>
    <n v="1849"/>
    <x v="280"/>
    <x v="1"/>
    <x v="0"/>
    <x v="9"/>
    <x v="1"/>
    <x v="39"/>
    <s v="PWEGPL"/>
    <s v="MSEDCL"/>
    <n v="2.5000000000000001E-2"/>
    <n v="402"/>
    <x v="300"/>
    <s v="BD"/>
    <d v="1899-12-30T10:35:00"/>
    <d v="1899-12-30T10:35:00"/>
    <d v="1899-12-30T18:02:00"/>
    <n v="0"/>
    <n v="7.4500000000000011"/>
    <n v="7.4500000000000011"/>
    <s v="Gearbox oil replaced and restored"/>
    <s v="Close"/>
    <n v="0.18625000000000003"/>
    <s v="G16"/>
    <n v="1189.8270833333336"/>
    <s v="Gearbox Oil replacememt"/>
    <s v="WTG Scheduled Maintenance"/>
    <n v="3833"/>
    <n v="1189.8270833333336"/>
    <m/>
    <m/>
    <m/>
    <m/>
  </r>
  <r>
    <n v="1850"/>
    <x v="280"/>
    <x v="1"/>
    <x v="0"/>
    <x v="9"/>
    <x v="1"/>
    <x v="7"/>
    <s v="PWEGPL"/>
    <s v="MSEDCL"/>
    <n v="2.5000000000000001E-2"/>
    <n v="800"/>
    <x v="298"/>
    <s v="BD"/>
    <d v="1899-12-30T09:25:00"/>
    <d v="1899-12-30T11:04:00"/>
    <d v="1899-12-30T14:55:00"/>
    <n v="1.6499999999999995"/>
    <n v="3.850000000000001"/>
    <n v="5.5"/>
    <s v="While troubleshooting found blade B pitching not done then checked all related possible causes found loose connection hub panel module then corrected and restored"/>
    <s v="Close"/>
    <n v="0.13750000000000001"/>
    <s v="G39"/>
    <n v="741.125"/>
    <s v="None"/>
    <s v="WTG Breakdown Maintenance"/>
    <n v="3234"/>
    <n v="741.125"/>
    <m/>
    <m/>
    <m/>
    <m/>
  </r>
  <r>
    <n v="1851"/>
    <x v="281"/>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8508.0874999999996"/>
    <s v="None"/>
    <s v="WTG Unscheduled Maintenance"/>
    <n v="8514"/>
    <n v="8508.0874999999996"/>
    <m/>
    <m/>
    <m/>
    <m/>
  </r>
  <r>
    <n v="1852"/>
    <x v="281"/>
    <x v="1"/>
    <x v="0"/>
    <x v="9"/>
    <x v="1"/>
    <x v="4"/>
    <s v="PWEGPL"/>
    <s v="MSEDCL"/>
    <n v="2.5000000000000001E-2"/>
    <s v="CE100010"/>
    <x v="296"/>
    <s v="PM"/>
    <d v="1899-12-30T09:34:00"/>
    <d v="1899-12-30T09:34:00"/>
    <d v="1899-12-30T16:47:00"/>
    <n v="0"/>
    <n v="7.2166666666666686"/>
    <n v="7.2166666666666686"/>
    <s v="yearly preventive maintenace completed Day 1"/>
    <s v="Close"/>
    <n v="0.18041666666666673"/>
    <s v="G36"/>
    <n v="1838.7465277777783"/>
    <s v="None"/>
    <s v="WTG Scheduled Maintenance"/>
    <n v="6115"/>
    <n v="1838.7465277777783"/>
    <m/>
    <m/>
    <m/>
    <m/>
  </r>
  <r>
    <n v="1853"/>
    <x v="281"/>
    <x v="1"/>
    <x v="0"/>
    <x v="9"/>
    <x v="1"/>
    <x v="5"/>
    <s v="PWEGPL"/>
    <s v="MSEDCL"/>
    <n v="2.5000000000000001E-2"/>
    <s v="CE100010"/>
    <x v="296"/>
    <s v="PM"/>
    <d v="1899-12-30T11:02:00"/>
    <d v="1899-12-30T11:02:00"/>
    <d v="1899-12-30T18:02:00"/>
    <n v="0"/>
    <n v="7.0000000000000036"/>
    <n v="7.0000000000000036"/>
    <s v="yearly preventive maintenace completed Day 2"/>
    <s v="Close"/>
    <n v="0.1750000000000001"/>
    <s v="G39"/>
    <n v="1708.5833333333342"/>
    <s v="None"/>
    <s v="WTG Scheduled Maintenance"/>
    <n v="5858"/>
    <n v="1708.5833333333342"/>
    <m/>
    <m/>
    <m/>
    <m/>
  </r>
  <r>
    <n v="1854"/>
    <x v="281"/>
    <x v="1"/>
    <x v="0"/>
    <x v="9"/>
    <x v="1"/>
    <x v="37"/>
    <s v="PWEGPL"/>
    <s v="MSEDCL"/>
    <n v="2.5000000000000001E-2"/>
    <n v="402"/>
    <x v="300"/>
    <s v="BD"/>
    <d v="1899-12-30T10:17:00"/>
    <d v="1899-12-30T10:17:00"/>
    <d v="1899-12-30T14:37:00"/>
    <n v="0"/>
    <n v="4.3333333333333357"/>
    <n v="4.3333333333333357"/>
    <s v="Gearbox oil replaced and restored"/>
    <s v="Close"/>
    <n v="0.10833333333333339"/>
    <s v="G17"/>
    <n v="917.58333333333383"/>
    <s v="Gearbox Oil replacememt"/>
    <s v="WTG Scheduled Maintenance"/>
    <n v="5082"/>
    <n v="917.58333333333383"/>
    <m/>
    <m/>
    <m/>
    <m/>
  </r>
  <r>
    <n v="1855"/>
    <x v="281"/>
    <x v="1"/>
    <x v="0"/>
    <x v="9"/>
    <x v="1"/>
    <x v="34"/>
    <s v="PWEGPL"/>
    <s v="MSEDCL"/>
    <n v="2.5000000000000001E-2"/>
    <n v="509"/>
    <x v="301"/>
    <s v="BD"/>
    <d v="1899-12-30T22:09:00"/>
    <d v="1899-12-30T22:44:00"/>
    <d v="1899-12-30T23:54:00"/>
    <n v="0.58333333333333659"/>
    <n v="1.1666666666666625"/>
    <n v="1.7499999999999991"/>
    <s v="Checked all generator slipring cooling system found all fans are operational and then checked modules and connection then intercvhanged the moduel and restored"/>
    <s v="Close"/>
    <n v="4.3749999999999983E-2"/>
    <s v="G21"/>
    <n v="620.81249999999966"/>
    <s v="None"/>
    <s v="WTG Breakdown Maintenance"/>
    <n v="8514"/>
    <n v="620.81249999999966"/>
    <m/>
    <m/>
    <m/>
    <m/>
  </r>
  <r>
    <n v="1856"/>
    <x v="282"/>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11915.719444444445"/>
    <s v="None"/>
    <s v="WTG Unscheduled Maintenance"/>
    <n v="11924"/>
    <n v="11915.719444444445"/>
    <m/>
    <m/>
    <m/>
    <m/>
  </r>
  <r>
    <n v="1857"/>
    <x v="282"/>
    <x v="1"/>
    <x v="0"/>
    <x v="9"/>
    <x v="1"/>
    <x v="4"/>
    <s v="PWEGPL"/>
    <s v="MSEDCL"/>
    <n v="2.5000000000000001E-2"/>
    <s v="CE100010"/>
    <x v="296"/>
    <s v="PM"/>
    <d v="1899-12-30T09:35:00"/>
    <d v="1899-12-30T09:35:00"/>
    <d v="1899-12-30T18:51:00"/>
    <n v="0"/>
    <n v="9.2666666666666693"/>
    <n v="9.2666666666666693"/>
    <s v="yearly preventive maintenace completed Day 2"/>
    <s v="Close"/>
    <n v="0.23166666666666674"/>
    <s v="G36"/>
    <n v="3212.8305555555562"/>
    <s v="None"/>
    <s v="WTG Scheduled Maintenance"/>
    <n v="8321"/>
    <n v="3212.8305555555562"/>
    <m/>
    <m/>
    <m/>
    <m/>
  </r>
  <r>
    <n v="1858"/>
    <x v="282"/>
    <x v="1"/>
    <x v="0"/>
    <x v="9"/>
    <x v="1"/>
    <x v="5"/>
    <s v="PWEGPL"/>
    <s v="MSEDCL"/>
    <n v="2.5000000000000001E-2"/>
    <s v="CE100010"/>
    <x v="296"/>
    <s v="PM"/>
    <d v="1899-12-30T09:45:00"/>
    <d v="1899-12-30T09:45:00"/>
    <d v="1899-12-30T18:23:00"/>
    <n v="0"/>
    <n v="8.6333333333333329"/>
    <n v="8.6333333333333329"/>
    <s v="yearly preventive maintenace completed Day 1"/>
    <s v="Close"/>
    <n v="0.21583333333333332"/>
    <s v="G39"/>
    <n v="2656.5486111111109"/>
    <s v="None"/>
    <s v="WTG Scheduled Maintenance"/>
    <n v="7385"/>
    <n v="2656.5486111111109"/>
    <m/>
    <m/>
    <m/>
    <m/>
  </r>
  <r>
    <n v="1859"/>
    <x v="282"/>
    <x v="1"/>
    <x v="0"/>
    <x v="9"/>
    <x v="1"/>
    <x v="0"/>
    <s v="PWEGPL"/>
    <s v="MSEDCL"/>
    <n v="2.5000000000000001E-2"/>
    <n v="402"/>
    <x v="300"/>
    <s v="BD"/>
    <d v="1899-12-30T10:03:00"/>
    <d v="1899-12-30T10:03:00"/>
    <d v="1899-12-30T14:28:00"/>
    <n v="0"/>
    <n v="4.4166666666666661"/>
    <n v="4.4166666666666661"/>
    <s v="Gearbox oil replaced and restored"/>
    <s v="Close"/>
    <n v="0.11041666666666666"/>
    <s v="G18"/>
    <n v="1117.7847222222222"/>
    <s v="Gearbox Oil replacememt"/>
    <s v="WTG Scheduled Maintenance"/>
    <n v="6074"/>
    <n v="1117.7847222222222"/>
    <m/>
    <m/>
    <m/>
    <m/>
  </r>
  <r>
    <n v="1860"/>
    <x v="282"/>
    <x v="1"/>
    <x v="0"/>
    <x v="9"/>
    <x v="1"/>
    <x v="34"/>
    <s v="PWEGPL"/>
    <s v="MSEDCL"/>
    <n v="2.5000000000000001E-2"/>
    <n v="509"/>
    <x v="301"/>
    <s v="BD"/>
    <d v="1899-12-30T09:45:00"/>
    <d v="1899-12-30T10:56:00"/>
    <d v="1899-12-30T11:29:00"/>
    <n v="1.1833333333333331"/>
    <n v="0.54999999999999938"/>
    <n v="1.7333333333333325"/>
    <s v="generator earthing brush replaced"/>
    <s v="Close"/>
    <n v="4.3333333333333314E-2"/>
    <s v="G18"/>
    <n v="438.67777777777758"/>
    <s v="None"/>
    <s v="WTG Breakdown Maintenance"/>
    <n v="6074"/>
    <n v="438.67777777777758"/>
    <m/>
    <m/>
    <m/>
    <m/>
  </r>
  <r>
    <n v="1861"/>
    <x v="282"/>
    <x v="1"/>
    <x v="0"/>
    <x v="9"/>
    <x v="1"/>
    <x v="18"/>
    <s v="PWEGPL"/>
    <s v="MSEDCL"/>
    <n v="2.5000000000000001E-2"/>
    <n v="5228"/>
    <x v="346"/>
    <s v="BD"/>
    <d v="1899-12-30T15:11:00"/>
    <d v="1899-12-30T15:26:00"/>
    <d v="1899-12-30T23:59:00"/>
    <n v="0.25000000000000178"/>
    <n v="8.5499999999999989"/>
    <n v="8.8000000000000007"/>
    <s v="Troubleshooting under progress"/>
    <s v="Close"/>
    <n v="0.22000000000000003"/>
    <s v="G18"/>
    <n v="2227.1333333333337"/>
    <s v="None"/>
    <s v="WTG Breakdown Maintenance"/>
    <n v="6074"/>
    <n v="2227.1333333333337"/>
    <m/>
    <m/>
    <m/>
    <m/>
  </r>
  <r>
    <n v="1862"/>
    <x v="283"/>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13693.484027777778"/>
    <s v="None"/>
    <s v="WTG Unscheduled Maintenance"/>
    <n v="13703"/>
    <n v="13693.484027777778"/>
    <m/>
    <m/>
    <m/>
    <m/>
  </r>
  <r>
    <n v="1863"/>
    <x v="283"/>
    <x v="1"/>
    <x v="0"/>
    <x v="9"/>
    <x v="1"/>
    <x v="18"/>
    <s v="PWEGPL"/>
    <s v="MSEDCL"/>
    <n v="2.5000000000000001E-2"/>
    <n v="5228"/>
    <x v="346"/>
    <s v="BD"/>
    <d v="1899-12-30T00:00:00"/>
    <d v="1899-12-30T00:00:00"/>
    <d v="1899-12-30T01:48:00"/>
    <n v="0"/>
    <n v="1.7999999999999998"/>
    <n v="1.7999999999999998"/>
    <s v="pos110 value replaced and rstored"/>
    <s v="Close"/>
    <n v="4.4999999999999998E-2"/>
    <s v="G18"/>
    <n v="804.67499999999995"/>
    <s v="None"/>
    <s v="WTG Breakdown Maintenance"/>
    <n v="10729"/>
    <n v="804.67499999999995"/>
    <m/>
    <m/>
    <m/>
    <m/>
  </r>
  <r>
    <n v="1864"/>
    <x v="283"/>
    <x v="1"/>
    <x v="0"/>
    <x v="9"/>
    <x v="1"/>
    <x v="18"/>
    <s v="PWEGPL"/>
    <s v="MSEDCL"/>
    <n v="2.5000000000000001E-2"/>
    <n v="203"/>
    <x v="290"/>
    <s v="BD"/>
    <d v="1899-12-30T04:41:00"/>
    <d v="1899-12-30T06:19:00"/>
    <d v="1899-12-30T18:06:00"/>
    <n v="1.6333333333333335"/>
    <n v="11.783333333333335"/>
    <n v="13.41666666666667"/>
    <s v="Hydraulic accumulator replaced and restored"/>
    <s v="Close"/>
    <n v="0.33541666666666675"/>
    <s v="G18"/>
    <n v="5997.8090277777792"/>
    <s v="None"/>
    <s v="WTG Breakdown Maintenance"/>
    <n v="10729"/>
    <n v="5997.8090277777792"/>
    <m/>
    <m/>
    <m/>
    <m/>
  </r>
  <r>
    <n v="1865"/>
    <x v="284"/>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6223.6750000000002"/>
    <s v="None"/>
    <s v="WTG Unscheduled Maintenance"/>
    <n v="6228"/>
    <n v="6223.6750000000002"/>
    <m/>
    <m/>
    <m/>
    <m/>
  </r>
  <r>
    <n v="1866"/>
    <x v="284"/>
    <x v="1"/>
    <x v="0"/>
    <x v="9"/>
    <x v="1"/>
    <x v="6"/>
    <s v="PWEGPL"/>
    <s v="MSEDCL"/>
    <n v="2.5000000000000001E-2"/>
    <s v="CE100010"/>
    <x v="296"/>
    <s v="PM"/>
    <d v="1899-12-30T10:58:00"/>
    <d v="1899-12-30T10:58:00"/>
    <d v="1899-12-30T18:08:00"/>
    <n v="0"/>
    <n v="7.1666666666666661"/>
    <n v="7.1666666666666661"/>
    <s v="yearly preventive maintenace completed Day 1"/>
    <s v="Close"/>
    <n v="0.17916666666666667"/>
    <s v="G38"/>
    <n v="1111.4305555555554"/>
    <s v="None"/>
    <s v="WTG Scheduled Maintenance"/>
    <n v="3722"/>
    <n v="1111.4305555555554"/>
    <m/>
    <m/>
    <m/>
    <m/>
  </r>
  <r>
    <n v="1867"/>
    <x v="284"/>
    <x v="1"/>
    <x v="0"/>
    <x v="9"/>
    <x v="1"/>
    <x v="7"/>
    <s v="PWEGPL"/>
    <s v="MSEDCL"/>
    <n v="2.5000000000000001E-2"/>
    <n v="205"/>
    <x v="312"/>
    <s v="BD"/>
    <d v="1899-12-30T04:45:00"/>
    <d v="1899-12-30T10:05:00"/>
    <d v="1899-12-30T10:35:00"/>
    <n v="5.3333333333333339"/>
    <n v="0.50000000000000089"/>
    <n v="5.8333333333333348"/>
    <s v="Oil top up and restored the WTG"/>
    <s v="Close"/>
    <n v="0.14583333333333337"/>
    <s v="G38"/>
    <n v="904.65277777777806"/>
    <s v="Delay due to heavy rain at site"/>
    <s v="WTG Breakdown Maintenance"/>
    <n v="3722"/>
    <n v="904.65277777777806"/>
    <m/>
    <m/>
    <m/>
    <m/>
  </r>
  <r>
    <n v="1868"/>
    <x v="284"/>
    <x v="1"/>
    <x v="0"/>
    <x v="9"/>
    <x v="1"/>
    <x v="7"/>
    <s v="PWEGPL"/>
    <s v="MSEDCL"/>
    <n v="2.5000000000000001E-2"/>
    <s v="CE100010"/>
    <x v="296"/>
    <s v="PM"/>
    <d v="1899-12-30T10:25:00"/>
    <d v="1899-12-30T10:35:00"/>
    <d v="1899-12-30T18:56:00"/>
    <n v="0.16666666666666874"/>
    <n v="8.3499999999999979"/>
    <n v="8.5166666666666675"/>
    <s v="yearly preventive maintenace completed Day 2"/>
    <s v="Close"/>
    <n v="0.2129166666666667"/>
    <s v="G38"/>
    <n v="1320.7930555555558"/>
    <s v="None"/>
    <s v="WTG Scheduled Maintenance"/>
    <n v="3722"/>
    <n v="1320.7930555555558"/>
    <m/>
    <m/>
    <m/>
    <m/>
  </r>
  <r>
    <n v="1869"/>
    <x v="284"/>
    <x v="1"/>
    <x v="0"/>
    <x v="9"/>
    <x v="1"/>
    <x v="35"/>
    <s v="PWEGPL"/>
    <s v="MSEDCL"/>
    <n v="2.5000000000000001E-2"/>
    <n v="907"/>
    <x v="292"/>
    <s v="BD"/>
    <d v="1899-12-30T18:19:00"/>
    <d v="1899-12-30T22:30:00"/>
    <d v="1899-12-30T22:35:00"/>
    <n v="4.1833333333333345"/>
    <n v="8.3333333333333037E-2"/>
    <n v="4.2666666666666675"/>
    <s v="Reset and restored "/>
    <s v="Close"/>
    <n v="0.10666666666666669"/>
    <s v="G27"/>
    <n v="391.28888888888895"/>
    <s v="Delay due to heavy rain at site"/>
    <s v="WTG Breakdown Maintenance"/>
    <n v="2201"/>
    <n v="391.28888888888895"/>
    <m/>
    <m/>
    <m/>
    <m/>
  </r>
  <r>
    <n v="1870"/>
    <x v="284"/>
    <x v="1"/>
    <x v="0"/>
    <x v="9"/>
    <x v="1"/>
    <x v="36"/>
    <s v="PWEGPL"/>
    <s v="MSEDCL"/>
    <n v="2.5000000000000001E-2"/>
    <n v="5263"/>
    <x v="311"/>
    <s v="BD"/>
    <d v="1899-12-30T19:20:00"/>
    <d v="1899-12-30T22:45:00"/>
    <d v="1899-12-30T22:58:00"/>
    <n v="3.4166666666666679"/>
    <n v="0.2166666666666659"/>
    <n v="3.6333333333333337"/>
    <s v="Reset and restored "/>
    <s v="Close"/>
    <n v="9.0833333333333349E-2"/>
    <s v="G27"/>
    <n v="333.20694444444445"/>
    <s v="Delay due to heavy rain at site"/>
    <s v="WTG Breakdown Maintenance"/>
    <n v="2201"/>
    <n v="333.20694444444445"/>
    <m/>
    <m/>
    <m/>
    <m/>
  </r>
  <r>
    <n v="1871"/>
    <x v="285"/>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2764.0791666666669"/>
    <s v="None"/>
    <s v="WTG Unscheduled Maintenance"/>
    <n v="2766"/>
    <n v="2764.0791666666669"/>
    <m/>
    <m/>
    <m/>
    <m/>
  </r>
  <r>
    <n v="1872"/>
    <x v="285"/>
    <x v="1"/>
    <x v="0"/>
    <x v="9"/>
    <x v="1"/>
    <x v="6"/>
    <s v="PWEGPL"/>
    <s v="MSEDCL"/>
    <n v="2.5000000000000001E-2"/>
    <s v="CE100010"/>
    <x v="296"/>
    <s v="PM"/>
    <d v="1899-12-30T10:26:00"/>
    <d v="1899-12-30T10:26:00"/>
    <d v="1899-12-30T16:52:00"/>
    <n v="0"/>
    <n v="6.4333333333333345"/>
    <n v="6.4333333333333345"/>
    <s v="yearly preventive maintenace completed Day 2"/>
    <s v="Close"/>
    <n v="0.16083333333333338"/>
    <s v="G38"/>
    <n v="565.32916666666677"/>
    <s v="None"/>
    <s v="WTG Scheduled Maintenance"/>
    <n v="2109"/>
    <n v="565.32916666666677"/>
    <m/>
    <m/>
    <m/>
    <m/>
  </r>
  <r>
    <n v="1873"/>
    <x v="286"/>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7319.9131944444443"/>
    <s v="None"/>
    <s v="WTG Unscheduled Maintenance"/>
    <n v="7325"/>
    <n v="7319.9131944444443"/>
    <m/>
    <m/>
    <m/>
    <m/>
  </r>
  <r>
    <n v="1874"/>
    <x v="286"/>
    <x v="1"/>
    <x v="0"/>
    <x v="9"/>
    <x v="1"/>
    <x v="7"/>
    <s v="PWEGPL"/>
    <s v="MSEDCL"/>
    <n v="2.5000000000000001E-2"/>
    <s v="CE100010"/>
    <x v="296"/>
    <s v="PM"/>
    <d v="1899-12-30T10:53:00"/>
    <d v="1899-12-30T10:53:00"/>
    <d v="1899-12-30T17:12:00"/>
    <n v="0"/>
    <n v="6.3166666666666664"/>
    <n v="6.3166666666666664"/>
    <s v="yearly preventive maintenace completed Day 1"/>
    <s v="Close"/>
    <n v="0.15791666666666668"/>
    <s v="G39"/>
    <n v="1393.8777777777777"/>
    <s v="None"/>
    <s v="WTG Scheduled Maintenance"/>
    <n v="5296"/>
    <n v="1393.8777777777777"/>
    <m/>
    <m/>
    <m/>
    <m/>
  </r>
  <r>
    <n v="1875"/>
    <x v="286"/>
    <x v="1"/>
    <x v="0"/>
    <x v="9"/>
    <x v="1"/>
    <x v="29"/>
    <s v="PWEGPL"/>
    <s v="MSEDCL"/>
    <n v="2.5000000000000001E-2"/>
    <n v="2118"/>
    <x v="293"/>
    <s v="BD"/>
    <d v="1899-12-30T01:09:00"/>
    <d v="1899-12-30T02:29:00"/>
    <d v="1899-12-30T04:28:00"/>
    <n v="1.3333333333333335"/>
    <n v="1.9833333333333334"/>
    <n v="3.3166666666666669"/>
    <s v="Slipring cleaned and restored"/>
    <s v="Close"/>
    <n v="8.291666666666668E-2"/>
    <s v="G10"/>
    <n v="675.77083333333337"/>
    <s v="None"/>
    <s v="WTG Breakdown Maintenance"/>
    <n v="4890"/>
    <n v="675.77083333333337"/>
    <m/>
    <m/>
    <m/>
    <m/>
  </r>
  <r>
    <n v="1876"/>
    <x v="287"/>
    <x v="1"/>
    <x v="0"/>
    <x v="9"/>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9352.5006944444449"/>
    <s v="None"/>
    <s v="WTG Unscheduled Maintenance"/>
    <n v="9359"/>
    <n v="9352.5006944444449"/>
    <m/>
    <m/>
    <m/>
    <m/>
  </r>
  <r>
    <n v="1877"/>
    <x v="287"/>
    <x v="1"/>
    <x v="0"/>
    <x v="9"/>
    <x v="1"/>
    <x v="2"/>
    <s v="PWEGPL"/>
    <s v="MSEDCL"/>
    <n v="2.5000000000000001E-2"/>
    <s v="CE100010"/>
    <x v="296"/>
    <s v="PM"/>
    <d v="1899-12-30T10:53:00"/>
    <d v="1899-12-30T10:53:00"/>
    <d v="1899-12-30T17:12:00"/>
    <n v="0"/>
    <n v="6.3166666666666664"/>
    <n v="6.3166666666666664"/>
    <s v="yearly preventive maintenace completed Day 1"/>
    <s v="Close"/>
    <n v="0.15791666666666668"/>
    <s v="G39"/>
    <n v="2092.6590277777777"/>
    <s v="None"/>
    <s v="WTG Scheduled Maintenance"/>
    <n v="7951"/>
    <n v="2092.6590277777777"/>
    <m/>
    <m/>
    <m/>
    <m/>
  </r>
  <r>
    <n v="1878"/>
    <x v="287"/>
    <x v="1"/>
    <x v="0"/>
    <x v="9"/>
    <x v="1"/>
    <x v="22"/>
    <s v="PWEGPL"/>
    <s v="MSEDCL"/>
    <n v="2.5000000000000001E-2"/>
    <n v="813"/>
    <x v="376"/>
    <s v="BD"/>
    <d v="1899-12-30T14:50:00"/>
    <d v="1899-12-30T16:09:00"/>
    <d v="1899-12-30T17:49:00"/>
    <n v="1.3166666666666647"/>
    <n v="1.6666666666666687"/>
    <n v="2.9833333333333334"/>
    <s v="Found loose connection in pressure switch connector themn corrected and restord"/>
    <s v="Close"/>
    <n v="7.4583333333333335E-2"/>
    <s v="G04"/>
    <n v="701.3319444444445"/>
    <s v="None"/>
    <s v="WTG Breakdown Maintenance"/>
    <n v="5642"/>
    <n v="701.3319444444445"/>
    <m/>
    <m/>
    <m/>
    <m/>
  </r>
  <r>
    <n v="1879"/>
    <x v="287"/>
    <x v="1"/>
    <x v="0"/>
    <x v="9"/>
    <x v="1"/>
    <x v="32"/>
    <s v="PWEGPL"/>
    <s v="MSEDCL"/>
    <n v="2.5000000000000001E-2"/>
    <s v="CE100017"/>
    <x v="389"/>
    <s v="Manual stop/TCA"/>
    <d v="1899-12-30T12:29:00"/>
    <d v="1899-12-30T12:29:00"/>
    <d v="1899-12-30T13:06:00"/>
    <n v="0"/>
    <n v="0.61666666666666714"/>
    <n v="0.61666666666666714"/>
    <s v="UPS replaced"/>
    <s v="Close"/>
    <n v="1.5416666666666679E-2"/>
    <s v="G12"/>
    <n v="189.44513888888903"/>
    <s v="None"/>
    <s v="WTG Unscheduled Maintenance"/>
    <n v="7373"/>
    <n v="189.44513888888903"/>
    <m/>
    <m/>
    <m/>
    <m/>
  </r>
  <r>
    <n v="1880"/>
    <x v="287"/>
    <x v="1"/>
    <x v="0"/>
    <x v="9"/>
    <x v="1"/>
    <x v="34"/>
    <s v="PWEGPL"/>
    <s v="MSEDCL"/>
    <n v="2.5000000000000001E-2"/>
    <s v="CE100017"/>
    <x v="389"/>
    <s v="Manual stop/TCA"/>
    <d v="1899-12-30T11:45:00"/>
    <d v="1899-12-30T11:45:00"/>
    <d v="1899-12-30T11:57:00"/>
    <n v="0"/>
    <n v="0.19999999999999929"/>
    <n v="0.19999999999999929"/>
    <s v="UPS replaced"/>
    <s v="Close"/>
    <n v="4.9999999999999828E-3"/>
    <s v="G05"/>
    <n v="58.691666666666457"/>
    <s v="None"/>
    <s v="WTG Unscheduled Maintenance"/>
    <n v="7043"/>
    <n v="58.691666666666457"/>
    <m/>
    <m/>
    <m/>
    <m/>
  </r>
  <r>
    <n v="1881"/>
    <x v="287"/>
    <x v="1"/>
    <x v="0"/>
    <x v="9"/>
    <x v="1"/>
    <x v="33"/>
    <s v="PWEGPL"/>
    <s v="MSEDCL"/>
    <n v="2.5000000000000001E-2"/>
    <s v="CE100017"/>
    <x v="389"/>
    <s v="Manual stop/TCA"/>
    <d v="1899-12-30T11:25:00"/>
    <d v="1899-12-30T11:25:00"/>
    <d v="1899-12-30T11:38:00"/>
    <n v="0"/>
    <n v="0.21666666666666723"/>
    <n v="0.21666666666666723"/>
    <s v="UPS replaced"/>
    <s v="Close"/>
    <n v="5.4166666666666807E-3"/>
    <s v="G05"/>
    <n v="63.582638888889051"/>
    <s v="None"/>
    <s v="WTG Unscheduled Maintenance"/>
    <n v="7043"/>
    <n v="63.582638888889051"/>
    <m/>
    <m/>
    <m/>
    <m/>
  </r>
  <r>
    <n v="1882"/>
    <x v="287"/>
    <x v="1"/>
    <x v="0"/>
    <x v="9"/>
    <x v="1"/>
    <x v="31"/>
    <s v="PWEGPL"/>
    <s v="MSEDCL"/>
    <n v="2.5000000000000001E-2"/>
    <s v="CE100017"/>
    <x v="389"/>
    <s v="Manual stop/TCA"/>
    <d v="1899-12-30T14:04:00"/>
    <d v="1899-12-30T14:04:00"/>
    <d v="1899-12-30T14:32:00"/>
    <n v="0"/>
    <n v="0.46666666666666501"/>
    <n v="0.46666666666666501"/>
    <s v="UPS replaced"/>
    <s v="Close"/>
    <n v="1.1666666666666626E-2"/>
    <s v="G12"/>
    <n v="143.36388888888837"/>
    <s v="None"/>
    <s v="WTG Unscheduled Maintenance"/>
    <n v="7373"/>
    <n v="143.36388888888837"/>
    <m/>
    <m/>
    <m/>
    <m/>
  </r>
  <r>
    <n v="1883"/>
    <x v="287"/>
    <x v="1"/>
    <x v="0"/>
    <x v="9"/>
    <x v="1"/>
    <x v="18"/>
    <s v="PWEGPL"/>
    <s v="MSEDCL"/>
    <n v="2.5000000000000001E-2"/>
    <s v="CE100017"/>
    <x v="389"/>
    <s v="Manual stop/TCA"/>
    <d v="1899-12-30T15:09:00"/>
    <d v="1899-12-30T15:09:00"/>
    <d v="1899-12-30T15:34:00"/>
    <n v="0"/>
    <n v="0.41666666666666785"/>
    <n v="0.41666666666666785"/>
    <s v="UPS replaced"/>
    <s v="Close"/>
    <n v="1.0416666666666697E-2"/>
    <s v="G18"/>
    <n v="147.48263888888931"/>
    <s v="None"/>
    <s v="WTG Unscheduled Maintenance"/>
    <n v="8495"/>
    <n v="147.48263888888931"/>
    <m/>
    <m/>
    <m/>
    <m/>
  </r>
  <r>
    <n v="1884"/>
    <x v="288"/>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13769.43125"/>
    <s v="None"/>
    <s v="WTG Unscheduled Maintenance"/>
    <n v="13779"/>
    <n v="13769.43125"/>
    <m/>
    <m/>
    <m/>
    <m/>
  </r>
  <r>
    <n v="1885"/>
    <x v="288"/>
    <x v="1"/>
    <x v="0"/>
    <x v="10"/>
    <x v="1"/>
    <x v="2"/>
    <s v="PWEGPL"/>
    <s v="MSEDCL"/>
    <n v="2.5000000000000001E-2"/>
    <s v="CE100010"/>
    <x v="296"/>
    <s v="PM"/>
    <d v="1899-12-30T10:00:00"/>
    <d v="1899-12-30T10:00:00"/>
    <d v="1899-12-30T17:25:00"/>
    <n v="0"/>
    <n v="7.4166666666666679"/>
    <n v="7.4166666666666679"/>
    <s v="yearly preventive maintenace completed Day 2"/>
    <s v="Close"/>
    <n v="0.1854166666666667"/>
    <s v="G40"/>
    <n v="3399.6145833333339"/>
    <s v="None"/>
    <s v="WTG Scheduled Maintenance"/>
    <n v="11001"/>
    <n v="3399.6145833333339"/>
    <m/>
    <m/>
    <m/>
    <m/>
  </r>
  <r>
    <n v="1886"/>
    <x v="288"/>
    <x v="1"/>
    <x v="0"/>
    <x v="10"/>
    <x v="1"/>
    <x v="3"/>
    <s v="PWEGPL"/>
    <s v="MSEDCL"/>
    <n v="2.5000000000000001E-2"/>
    <s v="CE100010"/>
    <x v="296"/>
    <s v="PM"/>
    <d v="1899-12-30T11:00:00"/>
    <d v="1899-12-30T11:00:00"/>
    <d v="1899-12-30T17:51:00"/>
    <n v="0"/>
    <n v="6.8500000000000014"/>
    <n v="6.8500000000000014"/>
    <s v="yearly preventive maintenace completed Day 1"/>
    <s v="Close"/>
    <n v="0.17125000000000004"/>
    <s v="G40"/>
    <n v="3139.8687500000005"/>
    <s v="None"/>
    <s v="WTG Scheduled Maintenance"/>
    <n v="11001"/>
    <n v="3139.8687500000005"/>
    <m/>
    <m/>
    <m/>
    <m/>
  </r>
  <r>
    <n v="1887"/>
    <x v="288"/>
    <x v="1"/>
    <x v="0"/>
    <x v="10"/>
    <x v="1"/>
    <x v="26"/>
    <s v="PWEGPL"/>
    <s v="MSEDCL"/>
    <n v="2.5000000000000001E-2"/>
    <n v="410"/>
    <x v="322"/>
    <s v="BD"/>
    <d v="1899-12-30T02:50:00"/>
    <d v="1899-12-30T02:50:00"/>
    <d v="1899-12-30T11:24:00"/>
    <n v="0"/>
    <n v="8.5666666666666664"/>
    <n v="8.5666666666666664"/>
    <s v="Reset and restored "/>
    <s v="Close"/>
    <n v="0.21416666666666667"/>
    <s v="G01"/>
    <n v="4495.0013888888889"/>
    <s v="Delay due to heavy rain at site"/>
    <s v="WTG Breakdown Maintenance"/>
    <n v="12593"/>
    <n v="4495.0013888888889"/>
    <m/>
    <m/>
    <m/>
    <m/>
  </r>
  <r>
    <n v="1888"/>
    <x v="288"/>
    <x v="1"/>
    <x v="0"/>
    <x v="10"/>
    <x v="1"/>
    <x v="13"/>
    <s v="PWEGPL"/>
    <s v="MSEDCL"/>
    <n v="2.5000000000000001E-2"/>
    <s v="CE100017"/>
    <x v="389"/>
    <s v="Manual stop/TCA"/>
    <d v="1899-12-30T13:51:00"/>
    <d v="1899-12-30T13:51:00"/>
    <d v="1899-12-30T14:28:00"/>
    <n v="0"/>
    <n v="0.61666666666666714"/>
    <n v="0.61666666666666714"/>
    <s v="UPS replaced"/>
    <s v="Close"/>
    <n v="1.5416666666666679E-2"/>
    <s v="G32"/>
    <n v="229.83680555555571"/>
    <s v="None"/>
    <s v="WTG Unscheduled Maintenance"/>
    <n v="8945"/>
    <n v="229.83680555555571"/>
    <m/>
    <m/>
    <m/>
    <m/>
  </r>
  <r>
    <n v="1889"/>
    <x v="288"/>
    <x v="1"/>
    <x v="0"/>
    <x v="10"/>
    <x v="1"/>
    <x v="11"/>
    <s v="PWEGPL"/>
    <s v="MSEDCL"/>
    <n v="2.5000000000000001E-2"/>
    <s v="CE100017"/>
    <x v="389"/>
    <s v="Manual stop/TCA"/>
    <d v="1899-12-30T15:14:00"/>
    <d v="1899-12-30T15:14:00"/>
    <d v="1899-12-30T15:19:00"/>
    <n v="0"/>
    <n v="8.3333333333333037E-2"/>
    <n v="8.3333333333333037E-2"/>
    <s v="UPS replaced"/>
    <s v="Close"/>
    <n v="2.0833333333333259E-3"/>
    <s v="G29"/>
    <n v="36.618055555555429"/>
    <s v="None"/>
    <s v="WTG Unscheduled Maintenance"/>
    <n v="10546"/>
    <n v="36.618055555555429"/>
    <m/>
    <m/>
    <m/>
    <m/>
  </r>
  <r>
    <n v="1890"/>
    <x v="288"/>
    <x v="1"/>
    <x v="0"/>
    <x v="10"/>
    <x v="1"/>
    <x v="15"/>
    <s v="PWEGPL"/>
    <s v="MSEDCL"/>
    <n v="2.5000000000000001E-2"/>
    <s v="CE100017"/>
    <x v="389"/>
    <s v="Manual stop/TCA"/>
    <d v="1899-12-30T14:43:00"/>
    <d v="1899-12-30T14:43:00"/>
    <d v="1899-12-30T14:50:00"/>
    <n v="0"/>
    <n v="0.11666666666666625"/>
    <n v="0.11666666666666625"/>
    <s v="UPS replaced"/>
    <s v="Close"/>
    <n v="2.9166666666666564E-3"/>
    <s v="G34"/>
    <n v="54.818749999999802"/>
    <s v="None"/>
    <s v="WTG Unscheduled Maintenance"/>
    <n v="11277"/>
    <n v="54.818749999999802"/>
    <m/>
    <m/>
    <m/>
    <m/>
  </r>
  <r>
    <n v="1891"/>
    <x v="289"/>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8868.8368055555566"/>
    <s v="None"/>
    <s v="WTG Unscheduled Maintenance"/>
    <n v="8875"/>
    <n v="8868.8368055555566"/>
    <m/>
    <m/>
    <m/>
    <m/>
  </r>
  <r>
    <n v="1892"/>
    <x v="289"/>
    <x v="1"/>
    <x v="0"/>
    <x v="10"/>
    <x v="1"/>
    <x v="3"/>
    <s v="PWEGPL"/>
    <s v="MSEDCL"/>
    <n v="2.5000000000000001E-2"/>
    <s v="CE100010"/>
    <x v="296"/>
    <s v="PM"/>
    <d v="1899-12-30T11:21:00"/>
    <d v="1899-12-30T11:21:00"/>
    <d v="1899-12-30T19:09:00"/>
    <n v="0"/>
    <n v="7.7999999999999989"/>
    <n v="7.7999999999999989"/>
    <s v="yearly preventive maintenace completed Day 2"/>
    <s v="Close"/>
    <n v="0.19499999999999998"/>
    <s v="G40"/>
    <n v="2052.3749999999995"/>
    <s v="None"/>
    <s v="WTG Scheduled Maintenance"/>
    <n v="6315"/>
    <n v="2052.3749999999995"/>
    <m/>
    <m/>
    <m/>
    <m/>
  </r>
  <r>
    <n v="1893"/>
    <x v="289"/>
    <x v="1"/>
    <x v="0"/>
    <x v="10"/>
    <x v="1"/>
    <x v="24"/>
    <s v="PWEGPL"/>
    <s v="MSEDCL"/>
    <n v="2.5000000000000001E-2"/>
    <s v="CE100010"/>
    <x v="296"/>
    <s v="PM"/>
    <d v="1899-12-30T10:35:00"/>
    <d v="1899-12-30T10:35:00"/>
    <d v="1899-12-30T17:38:00"/>
    <n v="0"/>
    <n v="7.0499999999999972"/>
    <n v="7.0499999999999972"/>
    <s v="yearly preventive maintenace completed Day 1"/>
    <s v="Close"/>
    <n v="0.17624999999999993"/>
    <s v="G21"/>
    <n v="2607.0312499999991"/>
    <s v="None"/>
    <s v="WTG Scheduled Maintenance"/>
    <n v="8875"/>
    <n v="2607.0312499999991"/>
    <m/>
    <m/>
    <m/>
    <m/>
  </r>
  <r>
    <n v="1894"/>
    <x v="289"/>
    <x v="1"/>
    <x v="0"/>
    <x v="10"/>
    <x v="1"/>
    <x v="21"/>
    <s v="PWEGPL"/>
    <s v="MSEDCL"/>
    <n v="2.5000000000000001E-2"/>
    <s v="CE100017"/>
    <x v="389"/>
    <s v="Manual stop/TCA"/>
    <d v="1899-12-30T12:02:00"/>
    <d v="1899-12-30T12:02:00"/>
    <d v="1899-12-30T12:10:00"/>
    <n v="0"/>
    <n v="0.13333333333333286"/>
    <n v="0.13333333333333286"/>
    <s v="UPS replaced"/>
    <s v="Close"/>
    <n v="3.3333333333333218E-3"/>
    <s v="G07"/>
    <n v="58.899999999999793"/>
    <s v="None"/>
    <s v="WTG Unscheduled Maintenance"/>
    <n v="10602"/>
    <n v="58.899999999999793"/>
    <m/>
    <m/>
    <m/>
    <m/>
  </r>
  <r>
    <n v="1895"/>
    <x v="289"/>
    <x v="1"/>
    <x v="0"/>
    <x v="10"/>
    <x v="1"/>
    <x v="22"/>
    <s v="PWEGPL"/>
    <s v="MSEDCL"/>
    <n v="2.5000000000000001E-2"/>
    <s v="CE100017"/>
    <x v="389"/>
    <s v="Manual stop/TCA"/>
    <d v="1899-12-30T11:43:00"/>
    <d v="1899-12-30T11:43:00"/>
    <d v="1899-12-30T11:47:00"/>
    <n v="0"/>
    <n v="6.666666666666643E-2"/>
    <n v="6.666666666666643E-2"/>
    <s v="UPS replaced"/>
    <s v="Close"/>
    <n v="1.6666666666666609E-3"/>
    <s v="G07"/>
    <n v="29.449999999999896"/>
    <s v="None"/>
    <s v="WTG Unscheduled Maintenance"/>
    <n v="10602"/>
    <n v="29.449999999999896"/>
    <m/>
    <m/>
    <m/>
    <m/>
  </r>
  <r>
    <n v="1896"/>
    <x v="289"/>
    <x v="1"/>
    <x v="0"/>
    <x v="10"/>
    <x v="1"/>
    <x v="23"/>
    <s v="PWEGPL"/>
    <s v="MSEDCL"/>
    <n v="2.5000000000000001E-2"/>
    <s v="CE100017"/>
    <x v="389"/>
    <s v="Manual stop/TCA"/>
    <d v="1899-12-30T12:26:00"/>
    <d v="1899-12-30T12:26:00"/>
    <d v="1899-12-30T12:30:00"/>
    <n v="0"/>
    <n v="6.666666666666643E-2"/>
    <n v="6.666666666666643E-2"/>
    <s v="UPS replaced"/>
    <s v="Close"/>
    <n v="1.6666666666666609E-3"/>
    <s v="G07"/>
    <n v="29.449999999999896"/>
    <s v="None"/>
    <s v="WTG Unscheduled Maintenance"/>
    <n v="10602"/>
    <n v="29.449999999999896"/>
    <m/>
    <m/>
    <m/>
    <m/>
  </r>
  <r>
    <n v="1897"/>
    <x v="289"/>
    <x v="1"/>
    <x v="0"/>
    <x v="10"/>
    <x v="1"/>
    <x v="30"/>
    <s v="PWEGPL"/>
    <s v="MSEDCL"/>
    <n v="2.5000000000000001E-2"/>
    <s v="CE100017"/>
    <x v="389"/>
    <s v="Manual stop/TCA"/>
    <d v="1899-12-30T11:14:00"/>
    <d v="1899-12-30T11:14:00"/>
    <d v="1899-12-30T11:16:00"/>
    <n v="0"/>
    <n v="3.3333333333335879E-2"/>
    <n v="3.3333333333335879E-2"/>
    <s v="UPS replaced"/>
    <s v="Close"/>
    <n v="8.3333333333339703E-4"/>
    <s v="G11"/>
    <n v="12.61805555555652"/>
    <s v="None"/>
    <s v="WTG Unscheduled Maintenance"/>
    <n v="9085"/>
    <n v="12.61805555555652"/>
    <m/>
    <m/>
    <m/>
    <m/>
  </r>
  <r>
    <n v="1898"/>
    <x v="289"/>
    <x v="1"/>
    <x v="0"/>
    <x v="10"/>
    <x v="1"/>
    <x v="39"/>
    <s v="PWEGPL"/>
    <s v="MSEDCL"/>
    <n v="2.5000000000000001E-2"/>
    <n v="800"/>
    <x v="298"/>
    <s v="BD"/>
    <d v="1899-12-30T16:10:00"/>
    <d v="1899-12-30T17:11:00"/>
    <d v="1899-12-30T18:50:00"/>
    <n v="1.0166666666666657"/>
    <n v="1.6499999999999995"/>
    <n v="2.6666666666666652"/>
    <s v="proportional valve replaced and restored"/>
    <s v="Close"/>
    <n v="6.6666666666666638E-2"/>
    <s v="G14"/>
    <n v="997.99999999999943"/>
    <s v="None"/>
    <s v="WTG Breakdown Maintenance"/>
    <n v="8982"/>
    <n v="997.99999999999943"/>
    <m/>
    <m/>
    <m/>
    <m/>
  </r>
  <r>
    <n v="1899"/>
    <x v="290"/>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8127.3520833333332"/>
    <s v="None"/>
    <s v="WTG Unscheduled Maintenance"/>
    <n v="8133"/>
    <n v="8127.3520833333332"/>
    <m/>
    <m/>
    <m/>
    <m/>
  </r>
  <r>
    <n v="1900"/>
    <x v="290"/>
    <x v="1"/>
    <x v="0"/>
    <x v="10"/>
    <x v="1"/>
    <x v="34"/>
    <s v="PWEGPL"/>
    <s v="MSEDCL"/>
    <n v="2.5000000000000001E-2"/>
    <n v="2118"/>
    <x v="293"/>
    <s v="BD"/>
    <d v="1899-12-30T01:13:00"/>
    <d v="1899-12-30T01:47:00"/>
    <d v="1899-12-30T02:36:00"/>
    <n v="0.56666666666666643"/>
    <n v="0.81666666666666676"/>
    <n v="1.3833333333333333"/>
    <s v="Slipring cleaned and restored the turbine"/>
    <s v="Close"/>
    <n v="3.4583333333333334E-2"/>
    <s v="G21"/>
    <n v="468.77708333333334"/>
    <s v="None"/>
    <s v="WTG Unscheduled Maintenance"/>
    <n v="8133"/>
    <n v="468.77708333333334"/>
    <m/>
    <m/>
    <m/>
    <m/>
  </r>
  <r>
    <n v="1901"/>
    <x v="291"/>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6493.4875000000002"/>
    <s v="None"/>
    <s v="WTG Unscheduled Maintenance"/>
    <n v="6498"/>
    <n v="6493.4875000000002"/>
    <m/>
    <m/>
    <m/>
    <m/>
  </r>
  <r>
    <n v="1902"/>
    <x v="291"/>
    <x v="1"/>
    <x v="0"/>
    <x v="10"/>
    <x v="1"/>
    <x v="34"/>
    <s v="PWEGPL"/>
    <s v="MSEDCL"/>
    <n v="2.5000000000000001E-2"/>
    <s v="CE100010"/>
    <x v="296"/>
    <s v="PM"/>
    <d v="1899-12-30T10:14:00"/>
    <d v="1899-12-30T10:14:00"/>
    <d v="1899-12-30T17:05:00"/>
    <n v="0"/>
    <n v="6.8499999999999979"/>
    <n v="6.8499999999999979"/>
    <s v="yearly preventive maintenace completed Day 1"/>
    <s v="Close"/>
    <n v="0.17124999999999996"/>
    <s v="G21"/>
    <n v="1854.6374999999994"/>
    <s v="None"/>
    <s v="WTG Scheduled Maintenance"/>
    <n v="6498"/>
    <n v="1854.6374999999994"/>
    <m/>
    <m/>
    <m/>
    <m/>
  </r>
  <r>
    <n v="1903"/>
    <x v="291"/>
    <x v="1"/>
    <x v="0"/>
    <x v="10"/>
    <x v="1"/>
    <x v="24"/>
    <s v="PWEGPL"/>
    <s v="MSEDCL"/>
    <n v="2.5000000000000001E-2"/>
    <s v="CE100010"/>
    <x v="296"/>
    <s v="PM"/>
    <d v="1899-12-30T10:06:00"/>
    <d v="1899-12-30T10:06:00"/>
    <d v="1899-12-30T18:48:00"/>
    <n v="0"/>
    <n v="8.6999999999999993"/>
    <n v="8.6999999999999993"/>
    <s v="yearly preventive maintenace completed Day 2"/>
    <s v="Close"/>
    <n v="0.2175"/>
    <s v="G21"/>
    <n v="2355.5249999999996"/>
    <s v="None"/>
    <s v="WTG Scheduled Maintenance"/>
    <n v="6498"/>
    <n v="2355.5249999999996"/>
    <m/>
    <m/>
    <m/>
    <m/>
  </r>
  <r>
    <n v="1904"/>
    <x v="291"/>
    <x v="1"/>
    <x v="0"/>
    <x v="10"/>
    <x v="1"/>
    <x v="36"/>
    <s v="PWEGPL"/>
    <s v="MSEDCL"/>
    <n v="2.5000000000000001E-2"/>
    <n v="804"/>
    <x v="382"/>
    <s v="BD"/>
    <d v="1899-12-30T10:06:00"/>
    <d v="1899-12-30T11:25:00"/>
    <d v="1899-12-30T17:24:00"/>
    <n v="1.316666666666666"/>
    <n v="5.9833333333333334"/>
    <n v="7.2999999999999989"/>
    <s v="proportional valve replaced and restored"/>
    <s v="Close"/>
    <n v="0.1825"/>
    <s v="G24"/>
    <n v="1876.708333333333"/>
    <s v="None"/>
    <s v="WTG Breakdown Maintenance"/>
    <n v="6170"/>
    <n v="1876.708333333333"/>
    <m/>
    <m/>
    <m/>
    <m/>
  </r>
  <r>
    <n v="1905"/>
    <x v="292"/>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5268.3388888888885"/>
    <s v="None"/>
    <s v="WTG Unscheduled Maintenance"/>
    <n v="5272"/>
    <n v="5268.3388888888885"/>
    <m/>
    <m/>
    <m/>
    <m/>
  </r>
  <r>
    <n v="1906"/>
    <x v="292"/>
    <x v="1"/>
    <x v="0"/>
    <x v="10"/>
    <x v="1"/>
    <x v="34"/>
    <s v="PWEGPL"/>
    <s v="MSEDCL"/>
    <n v="2.5000000000000001E-2"/>
    <s v="CE100010"/>
    <x v="296"/>
    <s v="PM"/>
    <d v="1899-12-30T10:03:00"/>
    <d v="1899-12-30T10:03:00"/>
    <d v="1899-12-30T18:43:00"/>
    <n v="0"/>
    <n v="8.6666666666666643"/>
    <n v="8.6666666666666643"/>
    <s v="yearly preventive maintenace completed Day 2"/>
    <s v="Close"/>
    <n v="0.21666666666666662"/>
    <s v="G05"/>
    <n v="1903.7777777777771"/>
    <s v="None"/>
    <s v="WTG Scheduled Maintenance"/>
    <n v="5272"/>
    <n v="1903.7777777777771"/>
    <m/>
    <m/>
    <m/>
    <m/>
  </r>
  <r>
    <n v="1907"/>
    <x v="292"/>
    <x v="1"/>
    <x v="0"/>
    <x v="10"/>
    <x v="1"/>
    <x v="33"/>
    <s v="PWEGPL"/>
    <s v="MSEDCL"/>
    <n v="2.5000000000000001E-2"/>
    <s v="CE100010"/>
    <x v="296"/>
    <s v="PM"/>
    <d v="1899-12-30T10:08:00"/>
    <d v="1899-12-30T10:08:00"/>
    <d v="1899-12-30T17:21:00"/>
    <n v="0"/>
    <n v="7.2166666666666686"/>
    <n v="7.2166666666666686"/>
    <s v="yearly preventive maintenace completed Day 1"/>
    <s v="Close"/>
    <n v="0.18041666666666673"/>
    <s v="G05"/>
    <n v="1585.2611111111114"/>
    <s v="None"/>
    <s v="WTG Scheduled Maintenance"/>
    <n v="5272"/>
    <n v="1585.2611111111114"/>
    <m/>
    <m/>
    <m/>
    <m/>
  </r>
  <r>
    <n v="1908"/>
    <x v="292"/>
    <x v="1"/>
    <x v="0"/>
    <x v="10"/>
    <x v="1"/>
    <x v="2"/>
    <s v="PWEGPL"/>
    <s v="MSEDCL"/>
    <n v="2.5000000000000001E-2"/>
    <n v="2118"/>
    <x v="293"/>
    <s v="BD"/>
    <d v="1899-12-30T10:38:00"/>
    <d v="1899-12-30T11:12:00"/>
    <d v="1899-12-30T13:01:00"/>
    <n v="0.56666666666666599"/>
    <n v="1.8166666666666695"/>
    <n v="2.3833333333333355"/>
    <s v="Slipring cleaned and restored"/>
    <s v="Close"/>
    <n v="5.9583333333333391E-2"/>
    <s v="G32"/>
    <n v="546.77638888888941"/>
    <s v="None"/>
    <s v="WTG Breakdown Maintenance"/>
    <n v="5506"/>
    <n v="546.77638888888941"/>
    <m/>
    <m/>
    <m/>
    <m/>
  </r>
  <r>
    <n v="1909"/>
    <x v="293"/>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486.2722222222224"/>
    <s v="None"/>
    <s v="WTG Unscheduled Maintenance"/>
    <n v="2488"/>
    <n v="2486.2722222222224"/>
    <m/>
    <m/>
    <m/>
    <m/>
  </r>
  <r>
    <n v="1910"/>
    <x v="293"/>
    <x v="1"/>
    <x v="0"/>
    <x v="10"/>
    <x v="1"/>
    <x v="19"/>
    <s v="PWEGPL"/>
    <s v="MSEDCL"/>
    <n v="2.5000000000000001E-2"/>
    <s v="CE100010"/>
    <x v="296"/>
    <s v="PM"/>
    <d v="1899-12-30T10:34:00"/>
    <d v="1899-12-30T10:34:00"/>
    <d v="1899-12-30T17:36:00"/>
    <n v="0"/>
    <n v="7.033333333333335"/>
    <n v="7.033333333333335"/>
    <s v="yearly preventive maintenace completed Day 1"/>
    <s v="Close"/>
    <n v="0.1758333333333334"/>
    <s v="G19"/>
    <n v="1357.4333333333336"/>
    <s v="None"/>
    <s v="WTG Scheduled Maintenance"/>
    <n v="4632"/>
    <n v="1357.4333333333336"/>
    <m/>
    <m/>
    <m/>
    <m/>
  </r>
  <r>
    <n v="1911"/>
    <x v="293"/>
    <x v="1"/>
    <x v="0"/>
    <x v="10"/>
    <x v="1"/>
    <x v="33"/>
    <s v="PWEGPL"/>
    <s v="MSEDCL"/>
    <n v="2.5000000000000001E-2"/>
    <s v="CE100010"/>
    <x v="296"/>
    <s v="PM"/>
    <d v="1899-12-30T10:03:00"/>
    <d v="1899-12-30T10:03:00"/>
    <d v="1899-12-30T17:17:00"/>
    <n v="0"/>
    <n v="7.2333333333333361"/>
    <n v="7.2333333333333361"/>
    <s v="yearly preventive maintenace completed Day 2"/>
    <s v="Close"/>
    <n v="0.1808333333333334"/>
    <s v="G22"/>
    <n v="749.85555555555584"/>
    <s v="None"/>
    <s v="WTG Scheduled Maintenance"/>
    <n v="2488"/>
    <n v="749.85555555555584"/>
    <m/>
    <m/>
    <m/>
    <m/>
  </r>
  <r>
    <n v="1912"/>
    <x v="293"/>
    <x v="1"/>
    <x v="0"/>
    <x v="10"/>
    <x v="1"/>
    <x v="38"/>
    <s v="PWEGPL"/>
    <s v="MSEDCL"/>
    <n v="2.5000000000000001E-2"/>
    <n v="402"/>
    <x v="300"/>
    <s v="Manual stop/TCA"/>
    <d v="1899-12-30T14:29:00"/>
    <d v="1899-12-30T14:29:00"/>
    <d v="1899-12-30T17:28:00"/>
    <n v="0"/>
    <n v="2.9833333333333334"/>
    <n v="2.9833333333333334"/>
    <s v="Gear oil replacement work and replaced and restored"/>
    <s v="Close"/>
    <n v="7.4583333333333335E-2"/>
    <s v="G19"/>
    <n v="575.7833333333333"/>
    <s v="None"/>
    <s v="WTG Scheduled Maintenance"/>
    <n v="4632"/>
    <n v="575.7833333333333"/>
    <m/>
    <m/>
    <m/>
    <m/>
  </r>
  <r>
    <n v="1913"/>
    <x v="293"/>
    <x v="1"/>
    <x v="0"/>
    <x v="10"/>
    <x v="1"/>
    <x v="39"/>
    <s v="PWEGPL"/>
    <s v="MSEDCL"/>
    <n v="2.5000000000000001E-2"/>
    <n v="205"/>
    <x v="312"/>
    <s v="BD"/>
    <d v="1899-12-30T13:07:00"/>
    <d v="1899-12-30T13:19:00"/>
    <d v="1899-12-30T15:50:00"/>
    <n v="0.19999999999999929"/>
    <n v="2.5166666666666657"/>
    <n v="2.716666666666665"/>
    <s v="Oil top up and restored the WTG"/>
    <s v="Close"/>
    <n v="6.7916666666666625E-2"/>
    <s v="G14"/>
    <n v="547.86111111111074"/>
    <s v="None"/>
    <s v="WTG Breakdown Maintenance"/>
    <n v="4840"/>
    <n v="547.86111111111074"/>
    <m/>
    <m/>
    <m/>
    <m/>
  </r>
  <r>
    <n v="1914"/>
    <x v="294"/>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803.44166666666672"/>
    <s v="None"/>
    <s v="WTG Unscheduled Maintenance"/>
    <n v="804"/>
    <n v="803.44166666666672"/>
    <m/>
    <m/>
    <m/>
    <m/>
  </r>
  <r>
    <n v="1915"/>
    <x v="294"/>
    <x v="1"/>
    <x v="0"/>
    <x v="10"/>
    <x v="1"/>
    <x v="19"/>
    <s v="PWEGPL"/>
    <s v="MSEDCL"/>
    <n v="2.5000000000000001E-2"/>
    <s v="CE100010"/>
    <x v="296"/>
    <s v="PM"/>
    <d v="1899-12-30T10:25:00"/>
    <d v="1899-12-30T10:25:00"/>
    <d v="1899-12-30T17:17:00"/>
    <n v="0"/>
    <n v="6.8666666666666707"/>
    <n v="6.8666666666666707"/>
    <s v="yearly preventive maintenace completed Day 2"/>
    <s v="Close"/>
    <n v="0.17166666666666677"/>
    <s v="G18"/>
    <n v="236.0416666666668"/>
    <s v="None"/>
    <s v="WTG Scheduled Maintenance"/>
    <n v="825"/>
    <n v="236.0416666666668"/>
    <m/>
    <m/>
    <m/>
    <m/>
  </r>
  <r>
    <n v="1916"/>
    <x v="294"/>
    <x v="1"/>
    <x v="0"/>
    <x v="10"/>
    <x v="1"/>
    <x v="18"/>
    <s v="PWEGPL"/>
    <s v="MSEDCL"/>
    <n v="2.5000000000000001E-2"/>
    <s v="CE100010"/>
    <x v="296"/>
    <s v="PM"/>
    <d v="1899-12-30T10:07:00"/>
    <d v="1899-12-30T10:07:00"/>
    <d v="1899-12-30T17:16:00"/>
    <n v="0"/>
    <n v="7.15"/>
    <n v="7.15"/>
    <s v="yearly preventive maintenace completed Day 1"/>
    <s v="Close"/>
    <n v="0.17875000000000002"/>
    <s v="G18"/>
    <n v="245.78125"/>
    <s v="None"/>
    <s v="WTG Scheduled Maintenance"/>
    <n v="825"/>
    <n v="245.78125"/>
    <m/>
    <m/>
    <m/>
    <m/>
  </r>
  <r>
    <n v="1917"/>
    <x v="294"/>
    <x v="1"/>
    <x v="0"/>
    <x v="10"/>
    <x v="1"/>
    <x v="32"/>
    <s v="PWEGPL"/>
    <s v="MSEDCL"/>
    <n v="2.5000000000000001E-2"/>
    <n v="402"/>
    <x v="300"/>
    <s v="Manual stop/TCA"/>
    <d v="1899-12-30T10:55:00"/>
    <d v="1899-12-30T10:55:00"/>
    <d v="1899-12-30T14:41:00"/>
    <n v="0"/>
    <n v="3.7666666666666679"/>
    <n v="3.7666666666666679"/>
    <s v="Gear oil replacement work and replaced and restored"/>
    <s v="Close"/>
    <n v="9.4166666666666704E-2"/>
    <s v="G13"/>
    <n v="145.48750000000004"/>
    <s v="None"/>
    <s v="WTG Scheduled Maintenance"/>
    <n v="927"/>
    <n v="145.48750000000004"/>
    <m/>
    <m/>
    <m/>
    <m/>
  </r>
  <r>
    <n v="1918"/>
    <x v="294"/>
    <x v="1"/>
    <x v="0"/>
    <x v="10"/>
    <x v="1"/>
    <x v="13"/>
    <s v="PWEGPL"/>
    <s v="MSEDCL"/>
    <n v="2.5000000000000001E-2"/>
    <n v="205"/>
    <x v="312"/>
    <s v="BD"/>
    <d v="1899-12-30T13:07:00"/>
    <d v="1899-12-30T16:29:00"/>
    <d v="1899-12-30T16:56:00"/>
    <n v="3.3666666666666654"/>
    <n v="0.45000000000000107"/>
    <n v="3.8166666666666664"/>
    <s v="Oil top up and restored the WTG"/>
    <s v="Close"/>
    <n v="9.5416666666666664E-2"/>
    <s v="G34"/>
    <n v="129.92569444444442"/>
    <s v="None"/>
    <s v="WTG Breakdown Maintenance"/>
    <n v="817"/>
    <n v="129.92569444444442"/>
    <m/>
    <m/>
    <m/>
    <m/>
  </r>
  <r>
    <n v="1919"/>
    <x v="294"/>
    <x v="1"/>
    <x v="0"/>
    <x v="10"/>
    <x v="1"/>
    <x v="25"/>
    <s v="PWEGPL"/>
    <s v="MSEDCL"/>
    <n v="2.5000000000000001E-2"/>
    <s v="CE100008"/>
    <x v="400"/>
    <s v="Manual Stop/SEM"/>
    <d v="1899-12-30T12:00:00"/>
    <d v="1899-12-30T12:00:00"/>
    <d v="1899-12-30T13:20:00"/>
    <n v="0"/>
    <n v="1.3333333333333339"/>
    <n v="1.3333333333333339"/>
    <s v="Sem meter instalation work"/>
    <s v="Close"/>
    <n v="3.3333333333333347E-2"/>
    <s v="G07"/>
    <n v="53.722222222222243"/>
    <s v="None"/>
    <s v="WTG Unscheduled Maintenance"/>
    <n v="967"/>
    <n v="53.722222222222243"/>
    <m/>
    <m/>
    <m/>
    <m/>
  </r>
  <r>
    <n v="1920"/>
    <x v="295"/>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615.8770833333333"/>
    <s v="None"/>
    <s v="WTG Unscheduled Maintenance"/>
    <n v="1617"/>
    <n v="1615.8770833333333"/>
    <m/>
    <m/>
    <m/>
    <m/>
  </r>
  <r>
    <n v="1921"/>
    <x v="295"/>
    <x v="1"/>
    <x v="0"/>
    <x v="10"/>
    <x v="1"/>
    <x v="19"/>
    <s v="PWEGPL"/>
    <s v="MSEDCL"/>
    <n v="2.5000000000000001E-2"/>
    <n v="402"/>
    <x v="300"/>
    <s v="Manual stop/TCA"/>
    <d v="1899-12-30T10:56:00"/>
    <d v="1899-12-30T10:56:00"/>
    <d v="1899-12-30T15:25:00"/>
    <n v="0"/>
    <n v="4.4833333333333325"/>
    <n v="4.4833333333333325"/>
    <s v="Gear oil replacement work and replaced and restored"/>
    <s v="Close"/>
    <n v="0.11208333333333331"/>
    <s v="G18"/>
    <n v="298.51527777777773"/>
    <s v="None"/>
    <s v="WTG Scheduled Maintenance"/>
    <n v="1598"/>
    <n v="298.51527777777773"/>
    <m/>
    <m/>
    <m/>
    <m/>
  </r>
  <r>
    <n v="1922"/>
    <x v="295"/>
    <x v="1"/>
    <x v="0"/>
    <x v="10"/>
    <x v="1"/>
    <x v="18"/>
    <s v="PWEGPL"/>
    <s v="MSEDCL"/>
    <n v="2.5000000000000001E-2"/>
    <s v="CE100010"/>
    <x v="296"/>
    <s v="PM"/>
    <d v="1899-12-30T10:11:00"/>
    <d v="1899-12-30T10:11:00"/>
    <d v="1899-12-30T17:13:00"/>
    <n v="0"/>
    <n v="7.0333333333333314"/>
    <n v="7.0333333333333314"/>
    <s v="yearly preventive maintenace completed Day 1"/>
    <s v="Close"/>
    <n v="0.17583333333333329"/>
    <s v="G18"/>
    <n v="468.30277777777764"/>
    <s v="None"/>
    <s v="WTG Scheduled Maintenance"/>
    <n v="1598"/>
    <n v="468.30277777777764"/>
    <m/>
    <m/>
    <m/>
    <m/>
  </r>
  <r>
    <n v="1923"/>
    <x v="295"/>
    <x v="1"/>
    <x v="0"/>
    <x v="10"/>
    <x v="1"/>
    <x v="39"/>
    <s v="PWEGPL"/>
    <s v="MSEDCL"/>
    <n v="2.5000000000000001E-2"/>
    <n v="115"/>
    <x v="308"/>
    <s v="BD"/>
    <d v="1899-12-30T11:41:00"/>
    <d v="1899-12-30T11:41:00"/>
    <d v="1899-12-30T19:00:00"/>
    <n v="0"/>
    <n v="7.3166666666666664"/>
    <n v="7.3166666666666664"/>
    <s v="Yaw drive failure replacement work and removed failured yaw drive"/>
    <s v="Close"/>
    <n v="0.18291666666666667"/>
    <s v="G14"/>
    <n v="442.96319444444441"/>
    <s v="None"/>
    <s v="WTG Breakdown Maintenance"/>
    <n v="1453"/>
    <n v="442.96319444444441"/>
    <m/>
    <m/>
    <m/>
    <m/>
  </r>
  <r>
    <n v="1924"/>
    <x v="295"/>
    <x v="1"/>
    <x v="0"/>
    <x v="10"/>
    <x v="1"/>
    <x v="20"/>
    <s v="PWEGPL"/>
    <s v="MSEDCL"/>
    <n v="2.5000000000000001E-2"/>
    <s v="CE100008"/>
    <x v="400"/>
    <s v="Manual Stop/SEM"/>
    <d v="1899-12-30T14:40:00"/>
    <d v="1899-12-30T14:40:00"/>
    <d v="1899-12-30T15:32:00"/>
    <n v="0"/>
    <n v="0.86666666666666892"/>
    <n v="0.86666666666666892"/>
    <s v="Shutdown taken for SEM meter instalation work"/>
    <s v="Close"/>
    <n v="2.1666666666666723E-2"/>
    <s v="G03"/>
    <n v="50.519444444444574"/>
    <s v="None"/>
    <s v="WTG Unscheduled Maintenance"/>
    <n v="1399"/>
    <n v="50.519444444444574"/>
    <m/>
    <m/>
    <m/>
    <m/>
  </r>
  <r>
    <n v="1925"/>
    <x v="295"/>
    <x v="1"/>
    <x v="0"/>
    <x v="10"/>
    <x v="1"/>
    <x v="21"/>
    <s v="PWEGPL"/>
    <s v="MSEDCL"/>
    <n v="2.5000000000000001E-2"/>
    <s v="CE100008"/>
    <x v="400"/>
    <s v="Manual Stop/SEM"/>
    <d v="1899-12-30T12:11:00"/>
    <d v="1899-12-30T12:11:00"/>
    <d v="1899-12-30T13:03:00"/>
    <n v="0"/>
    <n v="0.86666666666666892"/>
    <n v="0.86666666666666892"/>
    <s v="Shutdown taken for SEM meter instalation work"/>
    <s v="Close"/>
    <n v="2.1666666666666723E-2"/>
    <s v="G04"/>
    <n v="50.086111111111236"/>
    <s v="None"/>
    <s v="WTG Unscheduled Maintenance"/>
    <n v="1387"/>
    <n v="50.086111111111236"/>
    <m/>
    <m/>
    <m/>
    <m/>
  </r>
  <r>
    <n v="1926"/>
    <x v="295"/>
    <x v="1"/>
    <x v="0"/>
    <x v="10"/>
    <x v="1"/>
    <x v="26"/>
    <s v="PWEGPL"/>
    <s v="MSEDCL"/>
    <n v="2.5000000000000001E-2"/>
    <s v="CE100008"/>
    <x v="400"/>
    <s v="Manual Stop/SEM"/>
    <d v="1899-12-30T13:21:00"/>
    <d v="1899-12-30T13:21:00"/>
    <d v="1899-12-30T13:58:00"/>
    <n v="0"/>
    <n v="0.61666666666666714"/>
    <n v="0.61666666666666714"/>
    <s v="Shutdown taken for SEM meter instalation work"/>
    <s v="Close"/>
    <n v="1.5416666666666679E-2"/>
    <s v="G04"/>
    <n v="35.638194444444473"/>
    <s v="None"/>
    <s v="WTG Unscheduled Maintenance"/>
    <n v="1387"/>
    <n v="35.638194444444473"/>
    <m/>
    <m/>
    <m/>
    <m/>
  </r>
  <r>
    <n v="1927"/>
    <x v="296"/>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267.3395833333334"/>
    <s v="None"/>
    <s v="WTG Unscheduled Maintenance"/>
    <n v="5271"/>
    <n v="5267.3395833333334"/>
    <m/>
    <m/>
    <m/>
    <m/>
  </r>
  <r>
    <n v="1928"/>
    <x v="296"/>
    <x v="1"/>
    <x v="0"/>
    <x v="10"/>
    <x v="1"/>
    <x v="18"/>
    <s v="PWEGPL"/>
    <s v="MSEDCL"/>
    <n v="2.5000000000000001E-2"/>
    <n v="402"/>
    <x v="300"/>
    <s v="Manual stop/TCA"/>
    <d v="1899-12-30T11:02:00"/>
    <d v="1899-12-30T11:02:00"/>
    <d v="1899-12-30T15:24:00"/>
    <n v="0"/>
    <n v="4.3666666666666689"/>
    <n v="4.3666666666666689"/>
    <s v="Gear oil replacement work and replaced and restored"/>
    <s v="Close"/>
    <n v="0.10916666666666673"/>
    <s v="G17"/>
    <n v="969.40000000000055"/>
    <s v="None"/>
    <s v="WTG Scheduled Maintenance"/>
    <n v="5328"/>
    <n v="969.40000000000055"/>
    <m/>
    <m/>
    <m/>
    <m/>
  </r>
  <r>
    <n v="1929"/>
    <x v="296"/>
    <x v="1"/>
    <x v="0"/>
    <x v="10"/>
    <x v="1"/>
    <x v="38"/>
    <s v="PWEGPL"/>
    <s v="MSEDCL"/>
    <n v="2.5000000000000001E-2"/>
    <s v="CE100010"/>
    <x v="296"/>
    <s v="PM"/>
    <d v="1899-12-30T09:48:00"/>
    <d v="1899-12-30T09:48:00"/>
    <d v="1899-12-30T17:19:00"/>
    <n v="0"/>
    <n v="7.5166666666666657"/>
    <n v="7.5166666666666657"/>
    <s v="yearly preventive maintenace completed Day 1"/>
    <s v="Close"/>
    <n v="0.18791666666666665"/>
    <s v="G17"/>
    <n v="1668.6999999999998"/>
    <s v="None"/>
    <s v="WTG Scheduled Maintenance"/>
    <n v="5328"/>
    <n v="1668.6999999999998"/>
    <m/>
    <m/>
    <m/>
    <m/>
  </r>
  <r>
    <n v="1930"/>
    <x v="296"/>
    <x v="1"/>
    <x v="0"/>
    <x v="10"/>
    <x v="1"/>
    <x v="39"/>
    <s v="PWEGPL"/>
    <s v="MSEDCL"/>
    <n v="2.5000000000000001E-2"/>
    <n v="115"/>
    <x v="308"/>
    <s v="BD"/>
    <d v="1899-12-30T10:38:00"/>
    <d v="1899-12-30T10:38:00"/>
    <d v="1899-12-30T20:00:00"/>
    <n v="0"/>
    <n v="9.3666666666666671"/>
    <n v="9.3666666666666671"/>
    <s v="Replaced new yaw drive and restored"/>
    <s v="Close"/>
    <n v="0.23416666666666669"/>
    <s v="G14"/>
    <n v="2062.2277777777776"/>
    <s v="None"/>
    <s v="WTG Breakdown Maintenance"/>
    <n v="5284"/>
    <n v="2062.2277777777776"/>
    <m/>
    <m/>
    <m/>
    <m/>
  </r>
  <r>
    <n v="1931"/>
    <x v="296"/>
    <x v="1"/>
    <x v="0"/>
    <x v="10"/>
    <x v="1"/>
    <x v="29"/>
    <s v="PWEGPL"/>
    <s v="MSEDCL"/>
    <n v="2.5000000000000001E-2"/>
    <s v="CE100008"/>
    <x v="400"/>
    <s v="Manual Stop/SEM"/>
    <d v="1899-12-30T15:27:00"/>
    <d v="1899-12-30T15:27:00"/>
    <d v="1899-12-30T16:26:00"/>
    <n v="0"/>
    <n v="0.98333333333333517"/>
    <n v="0.98333333333333517"/>
    <s v="Sem meter instalation work"/>
    <s v="Close"/>
    <n v="2.4583333333333381E-2"/>
    <s v="G10"/>
    <n v="208.99930555555594"/>
    <s v="None"/>
    <s v="WTG Unscheduled Maintenance"/>
    <n v="5101"/>
    <n v="208.99930555555594"/>
    <m/>
    <m/>
    <m/>
    <m/>
  </r>
  <r>
    <n v="1932"/>
    <x v="296"/>
    <x v="1"/>
    <x v="0"/>
    <x v="10"/>
    <x v="1"/>
    <x v="20"/>
    <s v="PWEGPL"/>
    <s v="MSEDCL"/>
    <n v="2.5000000000000001E-2"/>
    <n v="800"/>
    <x v="298"/>
    <s v="BD"/>
    <d v="1899-12-30T03:59:00"/>
    <d v="1899-12-30T04:52:00"/>
    <d v="1899-12-30T12:52:00"/>
    <n v="0.88333333333333419"/>
    <n v="7.9999999999999982"/>
    <n v="8.8833333333333329"/>
    <s v="Found loose connection in pressure switch connector themn corrected and restord"/>
    <s v="Close"/>
    <n v="0.22208333333333333"/>
    <s v="G07"/>
    <n v="1734.4708333333333"/>
    <s v="None"/>
    <s v="WTG Breakdown Maintenance"/>
    <n v="4686"/>
    <n v="1734.4708333333333"/>
    <m/>
    <m/>
    <m/>
    <m/>
  </r>
  <r>
    <n v="1933"/>
    <x v="297"/>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4607.7979166666664"/>
    <s v="None"/>
    <s v="WTG Unscheduled Maintenance"/>
    <n v="4611"/>
    <n v="4607.7979166666664"/>
    <m/>
    <m/>
    <m/>
    <m/>
  </r>
  <r>
    <n v="1934"/>
    <x v="297"/>
    <x v="1"/>
    <x v="0"/>
    <x v="10"/>
    <x v="1"/>
    <x v="24"/>
    <s v="PWEGPL"/>
    <s v="MSEDCL"/>
    <n v="2.5000000000000001E-2"/>
    <n v="402"/>
    <x v="300"/>
    <s v="Manual stop/TCA"/>
    <d v="1899-12-30T10:26:00"/>
    <d v="1899-12-30T10:26:00"/>
    <d v="1899-12-30T14:18:00"/>
    <n v="0"/>
    <n v="3.8666666666666663"/>
    <n v="3.8666666666666663"/>
    <s v="Gear oil replacement work and replaced and restored"/>
    <s v="Close"/>
    <n v="9.6666666666666665E-2"/>
    <s v="G24"/>
    <n v="749.64999999999986"/>
    <s v="None"/>
    <s v="WTG Scheduled Maintenance"/>
    <n v="4653"/>
    <n v="749.64999999999986"/>
    <m/>
    <m/>
    <m/>
    <m/>
  </r>
  <r>
    <n v="1935"/>
    <x v="297"/>
    <x v="1"/>
    <x v="0"/>
    <x v="10"/>
    <x v="1"/>
    <x v="0"/>
    <s v="PWEGPL"/>
    <s v="MSEDCL"/>
    <n v="2.5000000000000001E-2"/>
    <s v="CE100010"/>
    <x v="296"/>
    <s v="PM"/>
    <d v="1899-12-30T09:56:00"/>
    <d v="1899-12-30T09:56:00"/>
    <d v="1899-12-30T17:41:00"/>
    <n v="0"/>
    <n v="7.75"/>
    <n v="7.75"/>
    <s v="yearly preventive maintenace completed Day 1"/>
    <s v="Close"/>
    <n v="0.19375000000000001"/>
    <s v="G18"/>
    <n v="1693.0520833333335"/>
    <s v="None"/>
    <s v="WTG Scheduled Maintenance"/>
    <n v="5243"/>
    <n v="1693.0520833333335"/>
    <m/>
    <m/>
    <m/>
    <m/>
  </r>
  <r>
    <n v="1936"/>
    <x v="297"/>
    <x v="1"/>
    <x v="0"/>
    <x v="10"/>
    <x v="1"/>
    <x v="27"/>
    <s v="PWEGPL"/>
    <s v="MSEDCL"/>
    <n v="2.5000000000000001E-2"/>
    <s v="CE100008"/>
    <x v="400"/>
    <s v="Manual Stop/SEM"/>
    <d v="1899-12-30T11:24:00"/>
    <d v="1899-12-30T11:24:00"/>
    <d v="1899-12-30T14:02:00"/>
    <n v="0"/>
    <n v="2.6333333333333333"/>
    <n v="2.6333333333333333"/>
    <s v="Sem meter instalation work"/>
    <s v="Close"/>
    <n v="6.5833333333333341E-2"/>
    <s v="G10"/>
    <n v="536.65138888888885"/>
    <s v="None"/>
    <s v="WTG Unscheduled Maintenance"/>
    <n v="4891"/>
    <n v="536.65138888888885"/>
    <m/>
    <m/>
    <m/>
    <m/>
  </r>
  <r>
    <n v="1937"/>
    <x v="297"/>
    <x v="1"/>
    <x v="0"/>
    <x v="10"/>
    <x v="1"/>
    <x v="33"/>
    <s v="PWEGPL"/>
    <s v="MSEDCL"/>
    <n v="2.5000000000000001E-2"/>
    <s v="CE100008"/>
    <x v="400"/>
    <s v="Manual Stop/SEM"/>
    <d v="1899-12-30T13:35:00"/>
    <d v="1899-12-30T13:35:00"/>
    <d v="1899-12-30T14:03:00"/>
    <n v="0"/>
    <n v="0.46666666666666767"/>
    <n v="0.46666666666666767"/>
    <s v="Sem meter instalation work"/>
    <s v="Close"/>
    <n v="1.1666666666666693E-2"/>
    <s v="G24"/>
    <n v="90.475000000000193"/>
    <s v="None"/>
    <s v="WTG Unscheduled Maintenance"/>
    <n v="4653"/>
    <n v="90.475000000000193"/>
    <m/>
    <m/>
    <m/>
    <m/>
  </r>
  <r>
    <n v="1938"/>
    <x v="297"/>
    <x v="1"/>
    <x v="0"/>
    <x v="10"/>
    <x v="1"/>
    <x v="34"/>
    <s v="PWEGPL"/>
    <s v="MSEDCL"/>
    <n v="2.5000000000000001E-2"/>
    <s v="CE100008"/>
    <x v="400"/>
    <s v="Manual Stop/SEM"/>
    <d v="1899-12-30T13:43:00"/>
    <d v="1899-12-30T13:43:00"/>
    <d v="1899-12-30T14:02:00"/>
    <n v="0"/>
    <n v="0.31666666666666821"/>
    <n v="0.31666666666666821"/>
    <s v="Sem meter instalation work"/>
    <s v="Close"/>
    <n v="7.9166666666667055E-3"/>
    <s v="G24"/>
    <n v="61.393750000000296"/>
    <s v="None"/>
    <s v="WTG Unscheduled Maintenance"/>
    <n v="4653"/>
    <n v="61.393750000000296"/>
    <m/>
    <m/>
    <m/>
    <m/>
  </r>
  <r>
    <n v="1939"/>
    <x v="297"/>
    <x v="1"/>
    <x v="0"/>
    <x v="10"/>
    <x v="1"/>
    <x v="32"/>
    <s v="PWEGPL"/>
    <s v="MSEDCL"/>
    <n v="2.5000000000000001E-2"/>
    <n v="2118"/>
    <x v="293"/>
    <s v="BD"/>
    <d v="1899-12-30T13:46:00"/>
    <d v="1899-12-30T14:27:00"/>
    <d v="1899-12-30T15:19:00"/>
    <n v="0.68333333333333091"/>
    <n v="0.86666666666666625"/>
    <n v="1.5499999999999972"/>
    <s v="Slipring cleaned and restored the turbine"/>
    <s v="Close"/>
    <n v="3.874999999999993E-2"/>
    <s v="G13"/>
    <n v="450.72708333333253"/>
    <s v="None"/>
    <s v="WTG Breakdown Maintenance"/>
    <n v="6979"/>
    <n v="450.72708333333253"/>
    <m/>
    <m/>
    <m/>
    <m/>
  </r>
  <r>
    <n v="1940"/>
    <x v="298"/>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504.1750000000002"/>
    <s v="None"/>
    <s v="WTG Unscheduled Maintenance"/>
    <n v="5508"/>
    <n v="5504.1750000000002"/>
    <m/>
    <m/>
    <m/>
    <m/>
  </r>
  <r>
    <n v="1941"/>
    <x v="298"/>
    <x v="1"/>
    <x v="0"/>
    <x v="10"/>
    <x v="1"/>
    <x v="0"/>
    <s v="PWEGPL"/>
    <s v="MSEDCL"/>
    <n v="2.5000000000000001E-2"/>
    <s v="CE100010"/>
    <x v="296"/>
    <s v="PM"/>
    <d v="1899-12-30T10:09:00"/>
    <d v="1899-12-30T10:09:00"/>
    <d v="1899-12-30T20:24:00"/>
    <n v="0"/>
    <n v="10.25"/>
    <n v="10.25"/>
    <s v="yearly preventive maintenace completed Day 2"/>
    <s v="Close"/>
    <n v="0.25625000000000003"/>
    <s v="G19"/>
    <n v="3569.1354166666665"/>
    <s v="None"/>
    <s v="WTG Scheduled Maintenance"/>
    <n v="8357"/>
    <n v="3569.1354166666665"/>
    <m/>
    <m/>
    <m/>
    <m/>
  </r>
  <r>
    <n v="1942"/>
    <x v="298"/>
    <x v="1"/>
    <x v="0"/>
    <x v="10"/>
    <x v="1"/>
    <x v="38"/>
    <s v="PWEGPL"/>
    <s v="MSEDCL"/>
    <n v="2.5000000000000001E-2"/>
    <s v="CE100010"/>
    <x v="296"/>
    <s v="PM"/>
    <d v="1899-12-30T10:19:00"/>
    <d v="1899-12-30T10:19:00"/>
    <d v="1899-12-30T18:37:00"/>
    <n v="0"/>
    <n v="8.3000000000000007"/>
    <n v="8.3000000000000007"/>
    <s v="yearly preventive maintenace completed Day 2"/>
    <s v="Close"/>
    <n v="0.20750000000000002"/>
    <s v="G19"/>
    <n v="2890.1291666666666"/>
    <s v="None"/>
    <s v="WTG Scheduled Maintenance"/>
    <n v="8357"/>
    <n v="2890.1291666666666"/>
    <m/>
    <m/>
    <m/>
    <m/>
  </r>
  <r>
    <n v="1943"/>
    <x v="298"/>
    <x v="1"/>
    <x v="0"/>
    <x v="10"/>
    <x v="1"/>
    <x v="9"/>
    <s v="PWEGPL"/>
    <s v="MSEDCL"/>
    <n v="2.5000000000000001E-2"/>
    <n v="110"/>
    <x v="287"/>
    <s v="BD"/>
    <d v="1899-12-30T17:19:00"/>
    <d v="1899-12-30T17:42:00"/>
    <d v="1899-12-30T18:17:00"/>
    <n v="0.38333333333333197"/>
    <n v="0.58333333333333659"/>
    <n v="0.96666666666666856"/>
    <s v="Cable untwisted and the cable twist limit switch setting done and restored"/>
    <s v="Close"/>
    <n v="2.4166666666666715E-2"/>
    <s v="G30"/>
    <n v="138.91805555555584"/>
    <s v="None"/>
    <s v="WTG Breakdown Maintenance"/>
    <n v="3449"/>
    <n v="138.91805555555584"/>
    <m/>
    <m/>
    <m/>
    <m/>
  </r>
  <r>
    <n v="1944"/>
    <x v="298"/>
    <x v="1"/>
    <x v="0"/>
    <x v="10"/>
    <x v="1"/>
    <x v="20"/>
    <s v="PWEGPL"/>
    <s v="MSEDCL"/>
    <n v="2.5000000000000001E-2"/>
    <n v="5203"/>
    <x v="294"/>
    <s v="BD"/>
    <d v="1899-12-30T17:05:00"/>
    <d v="1899-12-30T18:38:00"/>
    <d v="1899-12-30T19:23:00"/>
    <n v="1.5500000000000025"/>
    <n v="0.75"/>
    <n v="2.3000000000000025"/>
    <s v="Checked all protection cercuit breakers in converter panel and found cooling fan protection cercuit breaker tripped condition then manually switched on and checked all cooling fan and found 1 no bearing jam then replaced and restored"/>
    <s v="Close"/>
    <n v="5.7500000000000065E-2"/>
    <s v="G07"/>
    <n v="408.25000000000045"/>
    <s v="None"/>
    <s v="WTG Breakdown Maintenance"/>
    <n v="4260"/>
    <n v="408.25000000000045"/>
    <m/>
    <m/>
    <m/>
    <m/>
  </r>
  <r>
    <n v="1945"/>
    <x v="298"/>
    <x v="1"/>
    <x v="0"/>
    <x v="10"/>
    <x v="1"/>
    <x v="35"/>
    <s v="PWEGPL"/>
    <s v="MSEDCL"/>
    <n v="2.5000000000000001E-2"/>
    <n v="110"/>
    <x v="287"/>
    <s v="BD"/>
    <d v="1899-12-30T21:31:00"/>
    <d v="1899-12-30T22:45:00"/>
    <d v="1899-12-30T23:24:00"/>
    <n v="1.2333333333333343"/>
    <n v="0.65000000000000036"/>
    <n v="1.8833333333333346"/>
    <s v="Cable untwisted and the cable twist limit switch setting done and restored"/>
    <s v="Close"/>
    <n v="4.7083333333333366E-2"/>
    <s v="G30"/>
    <n v="270.65069444444464"/>
    <s v="None"/>
    <s v="WTG Breakdown Maintenance"/>
    <n v="3449"/>
    <n v="270.65069444444464"/>
    <m/>
    <m/>
    <m/>
    <m/>
  </r>
  <r>
    <n v="1946"/>
    <x v="299"/>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725.4111111111115"/>
    <s v="None"/>
    <s v="WTG Unscheduled Maintenance"/>
    <n v="3728"/>
    <n v="3725.4111111111115"/>
    <m/>
    <m/>
    <m/>
    <m/>
  </r>
  <r>
    <n v="1947"/>
    <x v="299"/>
    <x v="1"/>
    <x v="0"/>
    <x v="10"/>
    <x v="1"/>
    <x v="39"/>
    <s v="PWEGPL"/>
    <s v="MSEDCL"/>
    <n v="2.5000000000000001E-2"/>
    <s v="CE100010"/>
    <x v="296"/>
    <s v="PM"/>
    <d v="1899-12-30T10:13:00"/>
    <d v="1899-12-30T10:13:00"/>
    <d v="1899-12-30T17:04:00"/>
    <n v="0"/>
    <n v="6.8500000000000014"/>
    <n v="6.8500000000000014"/>
    <s v="yearly preventive maintenace completed Day 1"/>
    <s v="Close"/>
    <n v="0.17125000000000004"/>
    <s v="G17"/>
    <n v="841.40833333333353"/>
    <s v="None"/>
    <s v="WTG Scheduled Maintenance"/>
    <n v="2948"/>
    <n v="841.40833333333353"/>
    <m/>
    <m/>
    <m/>
    <m/>
  </r>
  <r>
    <n v="1948"/>
    <x v="299"/>
    <x v="1"/>
    <x v="0"/>
    <x v="10"/>
    <x v="1"/>
    <x v="37"/>
    <s v="PWEGPL"/>
    <s v="MSEDCL"/>
    <n v="2.5000000000000001E-2"/>
    <s v="CE100010"/>
    <x v="296"/>
    <s v="PM"/>
    <d v="1899-12-30T09:37:00"/>
    <d v="1899-12-30T09:37:00"/>
    <d v="1899-12-30T18:26:00"/>
    <n v="0"/>
    <n v="8.8166666666666664"/>
    <n v="8.8166666666666664"/>
    <s v="yearly preventive maintenace completed Day 2"/>
    <s v="Close"/>
    <n v="0.22041666666666668"/>
    <s v="G17"/>
    <n v="1082.9805555555554"/>
    <s v="None"/>
    <s v="WTG Scheduled Maintenance"/>
    <n v="2948"/>
    <n v="1082.9805555555554"/>
    <m/>
    <m/>
    <m/>
    <m/>
  </r>
  <r>
    <n v="1949"/>
    <x v="299"/>
    <x v="1"/>
    <x v="0"/>
    <x v="10"/>
    <x v="1"/>
    <x v="17"/>
    <s v="PWEGPL"/>
    <s v="MSEDCL"/>
    <n v="2.5000000000000001E-2"/>
    <n v="110"/>
    <x v="287"/>
    <s v="BD"/>
    <d v="1899-12-30T09:01:00"/>
    <d v="1899-12-30T10:47:00"/>
    <d v="1899-12-30T11:47:00"/>
    <n v="1.7666666666666657"/>
    <n v="0.99999999999999911"/>
    <n v="2.7666666666666648"/>
    <s v="Cable untwisted and the cable twist limit switch setting done and restored"/>
    <s v="Close"/>
    <n v="6.9166666666666626E-2"/>
    <s v="G09"/>
    <n v="323.93055555555532"/>
    <s v="None"/>
    <s v="WTG Breakdown Maintenance"/>
    <n v="2810"/>
    <n v="323.93055555555532"/>
    <m/>
    <m/>
    <m/>
    <m/>
  </r>
  <r>
    <n v="1950"/>
    <x v="299"/>
    <x v="1"/>
    <x v="0"/>
    <x v="10"/>
    <x v="1"/>
    <x v="38"/>
    <s v="PWEGPL"/>
    <s v="MSEDCL"/>
    <n v="2.5000000000000001E-2"/>
    <s v="CE100008"/>
    <x v="400"/>
    <s v="Manual Stop/SEM"/>
    <d v="1899-12-30T12:34:00"/>
    <d v="1899-12-30T12:34:00"/>
    <d v="1899-12-30T14:06:00"/>
    <n v="0"/>
    <n v="1.5333333333333332"/>
    <n v="1.5333333333333332"/>
    <s v="Sem meter instalation work"/>
    <s v="Close"/>
    <n v="3.833333333333333E-2"/>
    <s v="G19"/>
    <n v="278.29999999999995"/>
    <s v="None"/>
    <s v="WTG Unscheduled Maintenance"/>
    <n v="4356"/>
    <n v="278.29999999999995"/>
    <m/>
    <m/>
    <m/>
    <m/>
  </r>
  <r>
    <n v="1951"/>
    <x v="300"/>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7335.9020833333334"/>
    <s v="None"/>
    <s v="WTG Unscheduled Maintenance"/>
    <n v="7341"/>
    <n v="7335.9020833333334"/>
    <m/>
    <m/>
    <m/>
    <m/>
  </r>
  <r>
    <n v="1952"/>
    <x v="300"/>
    <x v="1"/>
    <x v="0"/>
    <x v="10"/>
    <x v="1"/>
    <x v="39"/>
    <s v="PWEGPL"/>
    <s v="MSEDCL"/>
    <n v="2.5000000000000001E-2"/>
    <s v="CE100010"/>
    <x v="296"/>
    <s v="PM"/>
    <d v="1899-12-30T10:09:00"/>
    <d v="1899-12-30T10:09:00"/>
    <d v="1899-12-30T18:38:00"/>
    <n v="0"/>
    <n v="8.4833333333333343"/>
    <n v="8.4833333333333343"/>
    <s v="yearly preventive maintenace completed Day 2"/>
    <s v="Close"/>
    <n v="0.21208333333333337"/>
    <s v="G17"/>
    <n v="2262.9291666666668"/>
    <s v="None"/>
    <s v="WTG Scheduled Maintenance"/>
    <n v="6402"/>
    <n v="2262.9291666666668"/>
    <m/>
    <m/>
    <m/>
    <m/>
  </r>
  <r>
    <n v="1953"/>
    <x v="300"/>
    <x v="1"/>
    <x v="0"/>
    <x v="10"/>
    <x v="1"/>
    <x v="37"/>
    <s v="PWEGPL"/>
    <s v="MSEDCL"/>
    <n v="2.5000000000000001E-2"/>
    <s v="CE100010"/>
    <x v="296"/>
    <s v="PM"/>
    <d v="1899-12-30T09:47:00"/>
    <d v="1899-12-30T09:47:00"/>
    <d v="1899-12-30T18:26:00"/>
    <n v="0"/>
    <n v="8.6500000000000021"/>
    <n v="8.6500000000000021"/>
    <s v="yearly preventive maintenace completed Day 1"/>
    <s v="Close"/>
    <n v="0.21625000000000005"/>
    <s v="G17"/>
    <n v="2307.3875000000007"/>
    <s v="None"/>
    <s v="WTG Scheduled Maintenance"/>
    <n v="6402"/>
    <n v="2307.3875000000007"/>
    <m/>
    <m/>
    <m/>
    <m/>
  </r>
  <r>
    <n v="1954"/>
    <x v="300"/>
    <x v="1"/>
    <x v="0"/>
    <x v="10"/>
    <x v="1"/>
    <x v="25"/>
    <s v="PWEGPL"/>
    <s v="MSEDCL"/>
    <n v="2.5000000000000001E-2"/>
    <s v="CE100008"/>
    <x v="400"/>
    <s v="Manual Stop/SEM"/>
    <d v="1899-12-30T12:15:00"/>
    <d v="1899-12-30T12:15:00"/>
    <d v="1899-12-30T13:45:00"/>
    <n v="0"/>
    <n v="1.5"/>
    <n v="1.5"/>
    <s v="Sem meter instalation work"/>
    <s v="Close"/>
    <n v="3.7500000000000006E-2"/>
    <s v="G07"/>
    <n v="381.375"/>
    <s v="None"/>
    <s v="WTG Unscheduled Maintenance"/>
    <n v="6102"/>
    <n v="381.375"/>
    <m/>
    <m/>
    <m/>
    <m/>
  </r>
  <r>
    <n v="1955"/>
    <x v="300"/>
    <x v="1"/>
    <x v="0"/>
    <x v="10"/>
    <x v="1"/>
    <x v="22"/>
    <s v="PWEGPL"/>
    <s v="MSEDCL"/>
    <n v="2.5000000000000001E-2"/>
    <s v="CE100008"/>
    <x v="400"/>
    <s v="Manual Stop/SEM"/>
    <d v="1899-12-30T15:36:00"/>
    <d v="1899-12-30T15:36:00"/>
    <d v="1899-12-30T17:11:00"/>
    <n v="0"/>
    <n v="1.583333333333333"/>
    <n v="1.583333333333333"/>
    <s v="Sem meter instalation work"/>
    <s v="Close"/>
    <n v="3.9583333333333331E-2"/>
    <s v="G04"/>
    <n v="357.83333333333326"/>
    <s v="None"/>
    <s v="WTG Unscheduled Maintenance"/>
    <n v="5424"/>
    <n v="357.83333333333326"/>
    <m/>
    <m/>
    <m/>
    <m/>
  </r>
  <r>
    <n v="1956"/>
    <x v="300"/>
    <x v="1"/>
    <x v="0"/>
    <x v="10"/>
    <x v="1"/>
    <x v="12"/>
    <s v="PWEGPL"/>
    <s v="MSEDCL"/>
    <n v="2.5000000000000001E-2"/>
    <n v="402"/>
    <x v="300"/>
    <s v="BD"/>
    <d v="1899-12-30T15:32:00"/>
    <d v="1899-12-30T16:34:00"/>
    <d v="1899-12-30T17:57:00"/>
    <n v="1.0333333333333323"/>
    <n v="1.3833333333333337"/>
    <n v="2.4166666666666661"/>
    <s v="Gear oil top up and restored"/>
    <s v="Close"/>
    <n v="6.0416666666666653E-2"/>
    <s v="G30"/>
    <n v="588.05555555555543"/>
    <s v="None"/>
    <s v="WTG Breakdown Maintenance"/>
    <n v="5840"/>
    <n v="588.05555555555543"/>
    <m/>
    <m/>
    <m/>
    <m/>
  </r>
  <r>
    <n v="1957"/>
    <x v="301"/>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1282.159722222223"/>
    <s v="None"/>
    <s v="WTG Unscheduled Maintenance"/>
    <n v="11290"/>
    <n v="11282.159722222223"/>
    <m/>
    <m/>
    <m/>
    <m/>
  </r>
  <r>
    <n v="1958"/>
    <x v="301"/>
    <x v="1"/>
    <x v="0"/>
    <x v="10"/>
    <x v="1"/>
    <x v="32"/>
    <s v="PWEGPL"/>
    <s v="MSEDCL"/>
    <n v="2.5000000000000001E-2"/>
    <s v="CE100010"/>
    <x v="296"/>
    <s v="PM"/>
    <d v="1899-12-30T10:29:00"/>
    <d v="1899-12-30T10:29:00"/>
    <d v="1899-12-30T17:44:00"/>
    <n v="0"/>
    <n v="7.2500000000000018"/>
    <n v="7.2500000000000018"/>
    <s v="yearly preventive maintenace completed Day 2"/>
    <s v="Close"/>
    <n v="0.18125000000000005"/>
    <s v="G15"/>
    <n v="2821.7604166666674"/>
    <s v="None"/>
    <s v="WTG Scheduled Maintenance"/>
    <n v="9341"/>
    <n v="2821.7604166666674"/>
    <m/>
    <m/>
    <m/>
    <m/>
  </r>
  <r>
    <n v="1959"/>
    <x v="301"/>
    <x v="1"/>
    <x v="0"/>
    <x v="10"/>
    <x v="1"/>
    <x v="31"/>
    <s v="PWEGPL"/>
    <s v="MSEDCL"/>
    <n v="2.5000000000000001E-2"/>
    <s v="CE100010"/>
    <x v="296"/>
    <s v="PM"/>
    <d v="1899-12-30T10:02:00"/>
    <d v="1899-12-30T10:02:00"/>
    <d v="1899-12-30T17:21:00"/>
    <n v="0"/>
    <n v="7.3166666666666682"/>
    <n v="7.3166666666666682"/>
    <s v="yearly preventive maintenace completed Day 1"/>
    <s v="Close"/>
    <n v="0.18291666666666673"/>
    <s v="G15"/>
    <n v="2847.7076388888895"/>
    <s v="None"/>
    <s v="WTG Scheduled Maintenance"/>
    <n v="9341"/>
    <n v="2847.7076388888895"/>
    <m/>
    <m/>
    <m/>
    <m/>
  </r>
  <r>
    <n v="1960"/>
    <x v="301"/>
    <x v="1"/>
    <x v="0"/>
    <x v="10"/>
    <x v="1"/>
    <x v="5"/>
    <s v="PWEGPL"/>
    <s v="MSEDCL"/>
    <n v="2.5000000000000001E-2"/>
    <n v="402"/>
    <x v="300"/>
    <s v="BD"/>
    <d v="1899-12-30T09:10:00"/>
    <d v="1899-12-30T10:19:00"/>
    <d v="1899-12-30T10:57:00"/>
    <n v="1.1499999999999999"/>
    <n v="0.63333333333333375"/>
    <n v="1.7833333333333337"/>
    <s v="Gear oil top up and restored"/>
    <s v="Close"/>
    <n v="4.4583333333333343E-2"/>
    <s v="G39"/>
    <n v="479.79097222222236"/>
    <s v="None"/>
    <s v="WTG Breakdown Maintenance"/>
    <n v="6457"/>
    <n v="479.79097222222236"/>
    <m/>
    <m/>
    <m/>
    <m/>
  </r>
  <r>
    <n v="1961"/>
    <x v="302"/>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8713.9444444444434"/>
    <s v="None"/>
    <s v="WTG Unscheduled Maintenance"/>
    <n v="8720"/>
    <n v="8713.9444444444434"/>
    <m/>
    <m/>
    <m/>
    <m/>
  </r>
  <r>
    <n v="1962"/>
    <x v="302"/>
    <x v="1"/>
    <x v="0"/>
    <x v="10"/>
    <x v="1"/>
    <x v="32"/>
    <s v="PWEGPL"/>
    <s v="MSEDCL"/>
    <n v="2.5000000000000001E-2"/>
    <s v="CE100010"/>
    <x v="296"/>
    <s v="PM"/>
    <d v="1899-12-30T10:06:00"/>
    <d v="1899-12-30T10:06:00"/>
    <d v="1899-12-30T17:48:00"/>
    <n v="0"/>
    <n v="7.7000000000000011"/>
    <n v="7.7000000000000011"/>
    <s v="yearly preventive maintenace completed Day 1"/>
    <s v="Close"/>
    <n v="0.19250000000000003"/>
    <s v="G16"/>
    <n v="2423.5750000000003"/>
    <s v="None"/>
    <s v="WTG Scheduled Maintenance"/>
    <n v="7554"/>
    <n v="2423.5750000000003"/>
    <m/>
    <m/>
    <m/>
    <m/>
  </r>
  <r>
    <n v="1963"/>
    <x v="302"/>
    <x v="1"/>
    <x v="0"/>
    <x v="10"/>
    <x v="1"/>
    <x v="31"/>
    <s v="PWEGPL"/>
    <s v="MSEDCL"/>
    <n v="2.5000000000000001E-2"/>
    <s v="CE100010"/>
    <x v="296"/>
    <s v="PM"/>
    <d v="1899-12-30T10:00:00"/>
    <d v="1899-12-30T10:00:00"/>
    <d v="1899-12-30T18:05:00"/>
    <n v="0"/>
    <n v="8.0833333333333321"/>
    <n v="8.0833333333333321"/>
    <s v="yearly preventive maintenace completed Day 2"/>
    <s v="Close"/>
    <n v="0.20208333333333331"/>
    <s v="G12"/>
    <n v="2529.7465277777774"/>
    <s v="None"/>
    <s v="WTG Scheduled Maintenance"/>
    <n v="7511"/>
    <n v="2529.7465277777774"/>
    <m/>
    <m/>
    <m/>
    <m/>
  </r>
  <r>
    <n v="1964"/>
    <x v="302"/>
    <x v="1"/>
    <x v="0"/>
    <x v="10"/>
    <x v="1"/>
    <x v="39"/>
    <s v="PWEGPL"/>
    <s v="MSEDCL"/>
    <n v="2.5000000000000001E-2"/>
    <n v="118"/>
    <x v="313"/>
    <s v="BD"/>
    <d v="1899-12-30T12:27:00"/>
    <d v="1899-12-30T12:27:00"/>
    <d v="1899-12-30T14:09:00"/>
    <n v="0"/>
    <n v="1.700000000000002"/>
    <n v="1.700000000000002"/>
    <s v="Yaw motor replacement and customer post PM audit done and restored"/>
    <s v="Close"/>
    <n v="4.2500000000000052E-2"/>
    <s v="G16"/>
    <n v="535.07500000000061"/>
    <s v="None"/>
    <s v="WTG Breakdown Maintenance"/>
    <n v="7554"/>
    <n v="535.07500000000061"/>
    <m/>
    <m/>
    <m/>
    <m/>
  </r>
  <r>
    <n v="1965"/>
    <x v="302"/>
    <x v="1"/>
    <x v="0"/>
    <x v="10"/>
    <x v="1"/>
    <x v="33"/>
    <s v="PWEGPL"/>
    <s v="MSEDCL"/>
    <n v="2.5000000000000001E-2"/>
    <n v="1894"/>
    <x v="325"/>
    <s v="BD"/>
    <d v="1899-12-30T08:07:00"/>
    <d v="1899-12-30T09:16:00"/>
    <d v="1899-12-30T11:45:00"/>
    <n v="1.1499999999999999"/>
    <n v="2.4833333333333325"/>
    <n v="3.6333333333333324"/>
    <s v="Checked all protection curcuit breakers in top panel found gearbox auxilary pump motor protection curcuit breaker  tripped then switched on manually and checked the motor operation found Ok"/>
    <s v="Close"/>
    <n v="9.0833333333333321E-2"/>
    <s v="G22"/>
    <n v="1320.1111111111106"/>
    <s v="None"/>
    <s v="WTG Breakdown Maintenance"/>
    <n v="8720"/>
    <n v="1320.1111111111106"/>
    <m/>
    <m/>
    <m/>
    <m/>
  </r>
  <r>
    <n v="1966"/>
    <x v="303"/>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4788.6722222222224"/>
    <s v="None"/>
    <s v="WTG Unscheduled Maintenance"/>
    <n v="4792"/>
    <n v="4788.6722222222224"/>
    <m/>
    <m/>
    <m/>
    <m/>
  </r>
  <r>
    <n v="1967"/>
    <x v="303"/>
    <x v="1"/>
    <x v="0"/>
    <x v="10"/>
    <x v="1"/>
    <x v="35"/>
    <s v="PWEGPL"/>
    <s v="MSEDCL"/>
    <n v="2.5000000000000001E-2"/>
    <s v="CE100010"/>
    <x v="296"/>
    <s v="PM"/>
    <d v="1899-12-30T10:38:00"/>
    <d v="1899-12-30T10:38:00"/>
    <d v="1899-12-30T18:35:00"/>
    <n v="0"/>
    <n v="7.9499999999999984"/>
    <n v="7.9499999999999984"/>
    <s v="yearly preventive maintenace completed Day 1"/>
    <s v="Close"/>
    <n v="0.19874999999999998"/>
    <s v="G25"/>
    <n v="1389.5937499999995"/>
    <s v="None"/>
    <s v="WTG Scheduled Maintenance"/>
    <n v="4195"/>
    <n v="1389.5937499999995"/>
    <m/>
    <m/>
    <m/>
    <m/>
  </r>
  <r>
    <n v="1968"/>
    <x v="303"/>
    <x v="1"/>
    <x v="0"/>
    <x v="10"/>
    <x v="1"/>
    <x v="8"/>
    <s v="PWEGPL"/>
    <s v="MSEDCL"/>
    <n v="2.5000000000000001E-2"/>
    <s v="CE100010"/>
    <x v="296"/>
    <s v="PM"/>
    <d v="1899-12-30T10:46:00"/>
    <d v="1899-12-30T10:46:00"/>
    <d v="1899-12-30T18:09:00"/>
    <n v="0"/>
    <n v="7.3833333333333329"/>
    <n v="7.3833333333333329"/>
    <s v="yearly preventive maintenace completed Day 2"/>
    <s v="Close"/>
    <n v="0.18458333333333332"/>
    <s v="G25"/>
    <n v="1290.5451388888887"/>
    <s v="None"/>
    <s v="WTG Scheduled Maintenance"/>
    <n v="4195"/>
    <n v="1290.5451388888887"/>
    <m/>
    <m/>
    <m/>
    <m/>
  </r>
  <r>
    <n v="1969"/>
    <x v="303"/>
    <x v="1"/>
    <x v="0"/>
    <x v="10"/>
    <x v="1"/>
    <x v="19"/>
    <s v="PWEGPL"/>
    <s v="MSEDCL"/>
    <n v="2.5000000000000001E-2"/>
    <s v="CE100001"/>
    <x v="288"/>
    <s v="Audit"/>
    <d v="1899-12-30T11:31:00"/>
    <d v="1899-12-30T11:31:00"/>
    <d v="1899-12-30T13:54:00"/>
    <n v="0"/>
    <n v="2.3833333333333342"/>
    <n v="2.3833333333333342"/>
    <s v="Post PM audit by cuctomer"/>
    <s v="Close"/>
    <n v="5.9583333333333356E-2"/>
    <s v="G19"/>
    <n v="684.71180555555588"/>
    <s v="None"/>
    <s v="WTG Unscheduled Maintenance"/>
    <n v="6895"/>
    <n v="684.71180555555588"/>
    <m/>
    <m/>
    <m/>
    <m/>
  </r>
  <r>
    <n v="1970"/>
    <x v="303"/>
    <x v="1"/>
    <x v="0"/>
    <x v="10"/>
    <x v="1"/>
    <x v="24"/>
    <s v="PWEGPL"/>
    <s v="MSEDCL"/>
    <n v="2.5000000000000001E-2"/>
    <n v="1894"/>
    <x v="325"/>
    <s v="BD"/>
    <d v="1899-12-30T04:54:00"/>
    <d v="1899-12-30T06:06:00"/>
    <d v="1899-12-30T06:55:00"/>
    <n v="1.1999999999999991"/>
    <n v="0.81666666666666776"/>
    <n v="2.0166666666666666"/>
    <s v="Checked all protection curcuit breakers in top panel found gearbox auxilary pump motor protection curcuit breaker  tripped then switched on manually and checked the motor operation found Ok"/>
    <s v="Close"/>
    <n v="5.0416666666666665E-2"/>
    <s v="G22"/>
    <n v="402.6611111111111"/>
    <s v="None"/>
    <s v="WTG Breakdown Maintenance"/>
    <n v="4792"/>
    <n v="402.6611111111111"/>
    <m/>
    <m/>
    <m/>
    <m/>
  </r>
  <r>
    <n v="1971"/>
    <x v="304"/>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0222.895833333334"/>
    <s v="None"/>
    <s v="WTG Unscheduled Maintenance"/>
    <n v="10230"/>
    <n v="10222.895833333334"/>
    <m/>
    <m/>
    <m/>
    <m/>
  </r>
  <r>
    <n v="1972"/>
    <x v="304"/>
    <x v="1"/>
    <x v="0"/>
    <x v="10"/>
    <x v="1"/>
    <x v="7"/>
    <s v="PWEGPL"/>
    <s v="MSEDCL"/>
    <n v="2.5000000000000001E-2"/>
    <n v="812"/>
    <x v="327"/>
    <s v="BD"/>
    <d v="1899-12-30T04:31:00"/>
    <d v="1899-12-30T06:38:00"/>
    <d v="1899-12-30T15:19:00"/>
    <n v="2.1166666666666658"/>
    <n v="8.6833333333333336"/>
    <n v="10.799999999999999"/>
    <s v="Checked all blade position measerment equipments and found power supply missing to balluff sensor then check input power supply found failure and Blade B balluff sensor cable found short then corrected and restored"/>
    <s v="Close"/>
    <n v="0.26999999999999996"/>
    <s v="G39"/>
    <n v="2825.0999999999995"/>
    <s v="None"/>
    <s v="WTG Breakdown Maintenance"/>
    <n v="6278"/>
    <n v="2825.0999999999995"/>
    <m/>
    <m/>
    <m/>
    <m/>
  </r>
  <r>
    <n v="1973"/>
    <x v="304"/>
    <x v="1"/>
    <x v="0"/>
    <x v="10"/>
    <x v="1"/>
    <x v="5"/>
    <s v="PWEGPL"/>
    <s v="MSEDCL"/>
    <n v="2.5000000000000001E-2"/>
    <s v="CE100014"/>
    <x v="305"/>
    <s v="Manual stop/TCA"/>
    <d v="1899-12-30T12:23:00"/>
    <d v="1899-12-30T12:23:00"/>
    <d v="1899-12-30T23:59:00"/>
    <n v="0"/>
    <n v="11.600000000000001"/>
    <n v="11.600000000000001"/>
    <s v="TCA point gearbox dampers replacement work"/>
    <s v="Open"/>
    <n v="0.29000000000000004"/>
    <s v="G39"/>
    <n v="3034.3666666666668"/>
    <s v="None"/>
    <s v="WTG Unscheduled Maintenance"/>
    <n v="6278"/>
    <n v="3034.3666666666668"/>
    <m/>
    <m/>
    <m/>
    <m/>
  </r>
  <r>
    <n v="1974"/>
    <x v="305"/>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0609.627083333333"/>
    <s v="None"/>
    <s v="WTG Unscheduled Maintenance"/>
    <n v="10617"/>
    <n v="10609.627083333333"/>
    <m/>
    <m/>
    <m/>
    <m/>
  </r>
  <r>
    <n v="1975"/>
    <x v="305"/>
    <x v="1"/>
    <x v="0"/>
    <x v="10"/>
    <x v="1"/>
    <x v="5"/>
    <s v="PWEGPL"/>
    <s v="MSEDCL"/>
    <n v="2.5000000000000001E-2"/>
    <s v="CE100014"/>
    <x v="305"/>
    <s v="Manual stop/TCA"/>
    <d v="1899-12-30T00:00:00"/>
    <d v="1899-12-30T00:00:00"/>
    <d v="1899-12-30T01:14:00"/>
    <n v="0"/>
    <n v="1.2333333333333334"/>
    <n v="1.2333333333333334"/>
    <s v="TCA point gearbox dampers replacement work"/>
    <s v="Close"/>
    <n v="3.0833333333333338E-2"/>
    <s v="G39"/>
    <n v="306.27777777777783"/>
    <s v="None"/>
    <s v="WTG Unscheduled Maintenance"/>
    <n v="5960"/>
    <n v="306.27777777777783"/>
    <m/>
    <m/>
    <m/>
    <m/>
  </r>
  <r>
    <n v="1976"/>
    <x v="305"/>
    <x v="1"/>
    <x v="0"/>
    <x v="10"/>
    <x v="1"/>
    <x v="35"/>
    <s v="PWEGPL"/>
    <s v="MSEDCL"/>
    <n v="2.5000000000000001E-2"/>
    <s v="CE100010"/>
    <x v="296"/>
    <s v="PM"/>
    <d v="1899-12-30T09:41:00"/>
    <d v="1899-12-30T09:41:00"/>
    <d v="1899-12-30T20:00:00"/>
    <n v="0"/>
    <n v="10.316666666666666"/>
    <n v="10.316666666666666"/>
    <s v="yearly preventive maintenace completed Day 2"/>
    <s v="Close"/>
    <n v="0.25791666666666668"/>
    <s v="G25"/>
    <n v="3819.3159722222217"/>
    <s v="None"/>
    <s v="WTG Scheduled Maintenance"/>
    <n v="8885"/>
    <n v="3819.3159722222217"/>
    <m/>
    <m/>
    <m/>
    <m/>
  </r>
  <r>
    <n v="1977"/>
    <x v="305"/>
    <x v="1"/>
    <x v="0"/>
    <x v="10"/>
    <x v="1"/>
    <x v="8"/>
    <s v="PWEGPL"/>
    <s v="MSEDCL"/>
    <n v="2.5000000000000001E-2"/>
    <s v="CE100010"/>
    <x v="296"/>
    <s v="PM"/>
    <d v="1899-12-30T11:12:00"/>
    <d v="1899-12-30T11:12:00"/>
    <d v="1899-12-30T19:11:00"/>
    <n v="0"/>
    <n v="7.9833333333333361"/>
    <n v="7.9833333333333361"/>
    <s v="yearly preventive maintenace completed Day 1"/>
    <s v="Close"/>
    <n v="0.19958333333333342"/>
    <s v="G25"/>
    <n v="2955.4965277777787"/>
    <s v="None"/>
    <s v="WTG Scheduled Maintenance"/>
    <n v="8885"/>
    <n v="2955.4965277777787"/>
    <m/>
    <m/>
    <m/>
    <m/>
  </r>
  <r>
    <n v="1978"/>
    <x v="306"/>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4192.137500000001"/>
    <s v="None"/>
    <s v="WTG Unscheduled Maintenance"/>
    <n v="14202"/>
    <n v="14192.137500000001"/>
    <m/>
    <m/>
    <m/>
    <m/>
  </r>
  <r>
    <n v="1979"/>
    <x v="306"/>
    <x v="1"/>
    <x v="0"/>
    <x v="10"/>
    <x v="1"/>
    <x v="30"/>
    <s v="PWEGPL"/>
    <s v="MSEDCL"/>
    <n v="2.5000000000000001E-2"/>
    <s v="CE100010"/>
    <x v="296"/>
    <s v="PM"/>
    <d v="1899-12-30T13:10:00"/>
    <d v="1899-12-30T13:10:00"/>
    <d v="1899-12-30T18:50:00"/>
    <n v="0"/>
    <n v="5.6666666666666679"/>
    <n v="5.6666666666666679"/>
    <s v="yearly preventive maintenace completed Day 2"/>
    <s v="Close"/>
    <n v="0.14166666666666669"/>
    <s v="G10"/>
    <n v="2996.2500000000005"/>
    <s v="None"/>
    <s v="WTG Scheduled Maintenance"/>
    <n v="12690"/>
    <n v="2996.2500000000005"/>
    <m/>
    <m/>
    <m/>
    <m/>
  </r>
  <r>
    <n v="1980"/>
    <x v="306"/>
    <x v="1"/>
    <x v="0"/>
    <x v="10"/>
    <x v="1"/>
    <x v="27"/>
    <s v="PWEGPL"/>
    <s v="MSEDCL"/>
    <n v="2.5000000000000001E-2"/>
    <s v="CE100010"/>
    <x v="296"/>
    <s v="PM"/>
    <d v="1899-12-30T13:00:00"/>
    <d v="1899-12-30T13:00:00"/>
    <d v="1899-12-30T19:40:00"/>
    <n v="0"/>
    <n v="6.6666666666666696"/>
    <n v="6.6666666666666696"/>
    <s v="yearly preventive maintenace completed Day 1"/>
    <s v="Close"/>
    <n v="0.16666666666666674"/>
    <s v="G10"/>
    <n v="3525.0000000000014"/>
    <s v="None"/>
    <s v="WTG Scheduled Maintenance"/>
    <n v="12690"/>
    <n v="3525.0000000000014"/>
    <m/>
    <m/>
    <m/>
    <m/>
  </r>
  <r>
    <n v="1981"/>
    <x v="306"/>
    <x v="1"/>
    <x v="0"/>
    <x v="10"/>
    <x v="1"/>
    <x v="0"/>
    <s v="PWEGPL"/>
    <s v="MSEDCL"/>
    <n v="2.5000000000000001E-2"/>
    <n v="5203"/>
    <x v="294"/>
    <s v="BD"/>
    <d v="1899-12-30T15:38:00"/>
    <d v="1899-12-30T16:23:00"/>
    <d v="1899-12-30T17:11:00"/>
    <n v="0.75"/>
    <n v="0.79999999999999982"/>
    <n v="1.5499999999999998"/>
    <s v="Coolant cooling rediator motor protection breaker tripped condition then checked motor operation and manually swiched on and restored"/>
    <s v="Close"/>
    <n v="3.875E-2"/>
    <s v="G18"/>
    <n v="847.97916666666663"/>
    <s v="None"/>
    <s v="WTG Breakdown Maintenance"/>
    <n v="13130"/>
    <n v="847.97916666666663"/>
    <m/>
    <m/>
    <m/>
    <m/>
  </r>
  <r>
    <n v="1982"/>
    <x v="306"/>
    <x v="1"/>
    <x v="0"/>
    <x v="10"/>
    <x v="1"/>
    <x v="39"/>
    <s v="PWEGPL"/>
    <s v="MSEDCL"/>
    <n v="2.5000000000000001E-2"/>
    <n v="2509"/>
    <x v="201"/>
    <s v="BD"/>
    <d v="1899-12-30T13:08:00"/>
    <d v="1899-12-30T13:08:00"/>
    <d v="1899-12-30T23:59:00"/>
    <n v="0"/>
    <n v="10.850000000000001"/>
    <n v="10.850000000000001"/>
    <s v="SF6 breaker grid side T connector failure material arrangement WUP"/>
    <s v="Open"/>
    <n v="0.27125000000000005"/>
    <s v="G16"/>
    <n v="6124.3729166666681"/>
    <s v="Material shortage - T plug connector 185sq mm"/>
    <s v="WTG Breakdown Maintenance"/>
    <n v="13547"/>
    <n v="6124.3729166666681"/>
    <m/>
    <m/>
    <m/>
    <m/>
  </r>
  <r>
    <n v="1983"/>
    <x v="306"/>
    <x v="1"/>
    <x v="0"/>
    <x v="10"/>
    <x v="1"/>
    <x v="27"/>
    <s v="PWEGPL"/>
    <s v="MSEDCL"/>
    <n v="2.5000000000000001E-2"/>
    <n v="2118"/>
    <x v="293"/>
    <s v="BD"/>
    <d v="1899-12-30T22:42:00"/>
    <d v="1899-12-30T23:10:00"/>
    <d v="1899-12-30T23:59:00"/>
    <n v="0.46666666666666767"/>
    <n v="0.81666666666666643"/>
    <n v="1.2833333333333341"/>
    <s v="Work under progress"/>
    <s v="Open"/>
    <n v="3.2083333333333353E-2"/>
    <s v="G10"/>
    <n v="678.56250000000045"/>
    <s v="None"/>
    <s v="WTG Breakdown Maintenance"/>
    <n v="12690"/>
    <n v="678.56250000000045"/>
    <m/>
    <m/>
    <m/>
    <m/>
  </r>
  <r>
    <n v="1984"/>
    <x v="307"/>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6394.5562500000005"/>
    <s v="None"/>
    <s v="WTG Unscheduled Maintenance"/>
    <n v="6399"/>
    <n v="6394.5562500000005"/>
    <m/>
    <m/>
    <m/>
    <m/>
  </r>
  <r>
    <n v="1985"/>
    <x v="307"/>
    <x v="1"/>
    <x v="0"/>
    <x v="10"/>
    <x v="1"/>
    <x v="30"/>
    <s v="PWEGPL"/>
    <s v="MSEDCL"/>
    <n v="2.5000000000000001E-2"/>
    <s v="CE100010"/>
    <x v="296"/>
    <s v="PM"/>
    <d v="1899-12-30T10:24:00"/>
    <d v="1899-12-30T10:24:00"/>
    <d v="1899-12-30T18:20:00"/>
    <n v="0"/>
    <n v="7.9333333333333318"/>
    <n v="7.9333333333333318"/>
    <s v="yearly preventive maintenace completed Day 1"/>
    <s v="Close"/>
    <n v="0.19833333333333331"/>
    <s v="G10"/>
    <n v="2011.7611111111107"/>
    <s v="None"/>
    <s v="WTG Scheduled Maintenance"/>
    <n v="6086"/>
    <n v="2011.7611111111107"/>
    <m/>
    <m/>
    <m/>
    <m/>
  </r>
  <r>
    <n v="1986"/>
    <x v="307"/>
    <x v="1"/>
    <x v="0"/>
    <x v="10"/>
    <x v="1"/>
    <x v="27"/>
    <s v="PWEGPL"/>
    <s v="MSEDCL"/>
    <n v="2.5000000000000001E-2"/>
    <s v="CE100010"/>
    <x v="296"/>
    <s v="PM"/>
    <d v="1899-12-30T10:37:00"/>
    <d v="1899-12-30T10:37:00"/>
    <d v="1899-12-30T17:10:00"/>
    <n v="0"/>
    <n v="6.5499999999999989"/>
    <n v="6.5499999999999989"/>
    <s v="yearly preventive maintenace completed Day 2"/>
    <s v="Close"/>
    <n v="0.16374999999999998"/>
    <s v="G10"/>
    <n v="1660.9708333333331"/>
    <s v="None"/>
    <s v="WTG Scheduled Maintenance"/>
    <n v="6086"/>
    <n v="1660.9708333333331"/>
    <m/>
    <m/>
    <m/>
    <m/>
  </r>
  <r>
    <n v="1987"/>
    <x v="307"/>
    <x v="1"/>
    <x v="0"/>
    <x v="10"/>
    <x v="1"/>
    <x v="39"/>
    <s v="PWEGPL"/>
    <s v="MSEDCL"/>
    <n v="2.5000000000000001E-2"/>
    <n v="2509"/>
    <x v="201"/>
    <s v="BD"/>
    <d v="1899-12-30T00:00:00"/>
    <d v="1899-12-30T00:00:00"/>
    <d v="1899-12-30T23:59:00"/>
    <n v="0"/>
    <n v="23.983333333333334"/>
    <n v="23.983333333333334"/>
    <s v="SF6 breaker grid side T connector failure material arrangement WUP"/>
    <s v="Open"/>
    <n v="0.59958333333333336"/>
    <s v="G16"/>
    <n v="7720.634722222223"/>
    <s v="Material shortage - T plug connector 185sq mm"/>
    <s v="WTG Breakdown Maintenance"/>
    <n v="7726"/>
    <n v="7720.634722222223"/>
    <m/>
    <m/>
    <m/>
    <m/>
  </r>
  <r>
    <n v="1988"/>
    <x v="308"/>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725.1062500000003"/>
    <s v="None"/>
    <s v="WTG Unscheduled Maintenance"/>
    <n v="2727"/>
    <n v="2725.1062500000003"/>
    <m/>
    <m/>
    <m/>
    <m/>
  </r>
  <r>
    <n v="1989"/>
    <x v="308"/>
    <x v="1"/>
    <x v="0"/>
    <x v="10"/>
    <x v="1"/>
    <x v="25"/>
    <s v="PWEGPL"/>
    <s v="MSEDCL"/>
    <n v="2.5000000000000001E-2"/>
    <s v="CE100010"/>
    <x v="296"/>
    <s v="PM"/>
    <d v="1899-12-30T10:59:00"/>
    <d v="1899-12-30T10:59:00"/>
    <d v="1899-12-30T18:03:00"/>
    <n v="0"/>
    <n v="7.0666666666666664"/>
    <n v="7.0666666666666664"/>
    <s v="yearly preventive maintenace completed Day 1"/>
    <s v="Close"/>
    <n v="0.17666666666666667"/>
    <s v="G03"/>
    <n v="831.80555555555554"/>
    <s v="None"/>
    <s v="WTG Scheduled Maintenance"/>
    <n v="2825"/>
    <n v="831.80555555555554"/>
    <m/>
    <m/>
    <m/>
    <m/>
  </r>
  <r>
    <n v="1990"/>
    <x v="308"/>
    <x v="1"/>
    <x v="0"/>
    <x v="10"/>
    <x v="1"/>
    <x v="17"/>
    <s v="PWEGPL"/>
    <s v="MSEDCL"/>
    <n v="2.5000000000000001E-2"/>
    <s v="CE100010"/>
    <x v="296"/>
    <s v="PM"/>
    <d v="1899-12-30T10:55:00"/>
    <d v="1899-12-30T10:55:00"/>
    <d v="1899-12-30T17:02:00"/>
    <n v="0"/>
    <n v="6.1166666666666671"/>
    <n v="6.1166666666666671"/>
    <s v="yearly preventive maintenace completed Day 2"/>
    <s v="Close"/>
    <n v="0.1529166666666667"/>
    <s v="G10"/>
    <n v="599.94305555555559"/>
    <s v="None"/>
    <s v="WTG Scheduled Maintenance"/>
    <n v="2354"/>
    <n v="599.94305555555559"/>
    <m/>
    <m/>
    <m/>
    <m/>
  </r>
  <r>
    <n v="1991"/>
    <x v="308"/>
    <x v="1"/>
    <x v="0"/>
    <x v="10"/>
    <x v="1"/>
    <x v="39"/>
    <s v="PWEGPL"/>
    <s v="MSEDCL"/>
    <n v="2.5000000000000001E-2"/>
    <n v="2509"/>
    <x v="201"/>
    <s v="BD"/>
    <d v="1899-12-30T00:00:00"/>
    <d v="1899-12-30T00:00:00"/>
    <d v="1899-12-30T23:59:00"/>
    <n v="0"/>
    <n v="23.983333333333334"/>
    <n v="23.983333333333334"/>
    <s v="SF6 breaker grid side T connector failure material arrangement WUP"/>
    <s v="Open"/>
    <n v="0.59958333333333336"/>
    <s v="G16"/>
    <n v="3819.3458333333333"/>
    <s v="Material shortage - T plug connector 185sq mm"/>
    <s v="WTG Breakdown Maintenance"/>
    <n v="3822"/>
    <n v="3819.3458333333333"/>
    <m/>
    <m/>
    <m/>
    <m/>
  </r>
  <r>
    <n v="1992"/>
    <x v="309"/>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614.4881944444446"/>
    <s v="None"/>
    <s v="WTG Unscheduled Maintenance"/>
    <n v="3617"/>
    <n v="3614.4881944444446"/>
    <m/>
    <m/>
    <m/>
    <m/>
  </r>
  <r>
    <n v="1993"/>
    <x v="309"/>
    <x v="1"/>
    <x v="0"/>
    <x v="10"/>
    <x v="1"/>
    <x v="25"/>
    <s v="PWEGPL"/>
    <s v="MSEDCL"/>
    <n v="2.5000000000000001E-2"/>
    <s v="CE100010"/>
    <x v="296"/>
    <s v="PM"/>
    <d v="1899-12-30T10:31:00"/>
    <d v="1899-12-30T10:31:00"/>
    <d v="1899-12-30T18:18:00"/>
    <n v="0"/>
    <n v="7.7833333333333332"/>
    <n v="7.7833333333333332"/>
    <s v="yearly preventive maintenace completed Day 2"/>
    <s v="Close"/>
    <n v="0.19458333333333333"/>
    <s v="G03"/>
    <n v="1314.7347222222222"/>
    <s v="None"/>
    <s v="WTG Scheduled Maintenance"/>
    <n v="4054"/>
    <n v="1314.7347222222222"/>
    <m/>
    <m/>
    <m/>
    <m/>
  </r>
  <r>
    <n v="1994"/>
    <x v="309"/>
    <x v="1"/>
    <x v="0"/>
    <x v="10"/>
    <x v="1"/>
    <x v="17"/>
    <s v="PWEGPL"/>
    <s v="MSEDCL"/>
    <n v="2.5000000000000001E-2"/>
    <s v="CE100010"/>
    <x v="296"/>
    <s v="PM"/>
    <d v="1899-12-30T10:27:00"/>
    <d v="1899-12-30T10:27:00"/>
    <d v="1899-12-30T17:57:00"/>
    <n v="0"/>
    <n v="7.5000000000000018"/>
    <n v="7.5000000000000018"/>
    <s v="yearly preventive maintenace completed Day 1"/>
    <s v="Close"/>
    <n v="0.18750000000000006"/>
    <s v="G10"/>
    <n v="1237.8125000000002"/>
    <s v="None"/>
    <s v="WTG Scheduled Maintenance"/>
    <n v="3961"/>
    <n v="1237.8125000000002"/>
    <m/>
    <m/>
    <m/>
    <m/>
  </r>
  <r>
    <n v="1995"/>
    <x v="309"/>
    <x v="1"/>
    <x v="0"/>
    <x v="10"/>
    <x v="1"/>
    <x v="39"/>
    <s v="PWEGPL"/>
    <s v="MSEDCL"/>
    <n v="2.5000000000000001E-2"/>
    <n v="5216"/>
    <x v="306"/>
    <s v="BD"/>
    <d v="1899-12-30T00:00:00"/>
    <d v="1899-12-30T00:00:00"/>
    <d v="1899-12-30T19:04:00"/>
    <n v="0"/>
    <n v="19.066666666666666"/>
    <n v="19.066666666666666"/>
    <s v="T plug connector replaced and restored"/>
    <s v="Close"/>
    <n v="0.47666666666666668"/>
    <s v="G16"/>
    <n v="3876.8888888888891"/>
    <s v="None"/>
    <s v="WTG Breakdown Maintenance"/>
    <n v="4880"/>
    <n v="3876.8888888888891"/>
    <m/>
    <m/>
    <m/>
    <m/>
  </r>
  <r>
    <n v="1996"/>
    <x v="309"/>
    <x v="1"/>
    <x v="0"/>
    <x v="10"/>
    <x v="1"/>
    <x v="20"/>
    <s v="PWEGPL"/>
    <s v="MSEDCL"/>
    <n v="2.5000000000000001E-2"/>
    <n v="102"/>
    <x v="337"/>
    <s v="BD"/>
    <d v="1899-12-30T18:58:00"/>
    <d v="1899-12-30T20:02:00"/>
    <d v="1899-12-30T23:32:00"/>
    <n v="1.0666666666666682"/>
    <n v="3.5000000000000009"/>
    <n v="4.5666666666666691"/>
    <s v="Yaw drive failured and dismentle from fixtured and restored"/>
    <s v="Close"/>
    <n v="0.11416666666666674"/>
    <s v="G07"/>
    <n v="692.42083333333369"/>
    <s v="None"/>
    <s v="WTG Breakdown Maintenance"/>
    <n v="3639"/>
    <n v="692.42083333333369"/>
    <m/>
    <m/>
    <m/>
    <m/>
  </r>
  <r>
    <n v="1997"/>
    <x v="309"/>
    <x v="1"/>
    <x v="0"/>
    <x v="10"/>
    <x v="1"/>
    <x v="15"/>
    <s v="PWEGPL"/>
    <s v="MSEDCL"/>
    <n v="2.5000000000000001E-2"/>
    <n v="5203"/>
    <x v="294"/>
    <s v="BD"/>
    <d v="1899-12-30T16:50:00"/>
    <d v="1899-12-30T22:29:00"/>
    <d v="1899-12-30T23:59:00"/>
    <n v="5.6500000000000012"/>
    <n v="1.5"/>
    <n v="7.1500000000000012"/>
    <s v="Troubleshooting work under progress"/>
    <s v="Open"/>
    <n v="0.17875000000000005"/>
    <s v="G36"/>
    <n v="1047.4750000000001"/>
    <s v="None"/>
    <s v="WTG Breakdown Maintenance"/>
    <n v="3516"/>
    <n v="1047.4750000000001"/>
    <m/>
    <m/>
    <m/>
    <m/>
  </r>
  <r>
    <n v="1998"/>
    <x v="310"/>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017.9027777777778"/>
    <s v="None"/>
    <s v="WTG Unscheduled Maintenance"/>
    <n v="3020"/>
    <n v="3017.9027777777778"/>
    <m/>
    <m/>
    <m/>
    <m/>
  </r>
  <r>
    <n v="1999"/>
    <x v="310"/>
    <x v="1"/>
    <x v="0"/>
    <x v="10"/>
    <x v="1"/>
    <x v="23"/>
    <s v="PWEGPL"/>
    <s v="MSEDCL"/>
    <n v="2.5000000000000001E-2"/>
    <s v="CE100010"/>
    <x v="296"/>
    <s v="PM"/>
    <d v="1899-12-30T11:26:00"/>
    <d v="1899-12-30T11:26:00"/>
    <d v="1899-12-30T18:03:00"/>
    <n v="0"/>
    <n v="6.6166666666666654"/>
    <n v="6.6166666666666654"/>
    <s v="yearly preventive maintenace completed Day 1"/>
    <s v="Close"/>
    <n v="0.16541666666666666"/>
    <s v="G02"/>
    <n v="921.37083333333317"/>
    <s v="None"/>
    <s v="WTG Scheduled Maintenance"/>
    <n v="3342"/>
    <n v="921.37083333333317"/>
    <m/>
    <m/>
    <m/>
    <m/>
  </r>
  <r>
    <n v="2000"/>
    <x v="310"/>
    <x v="1"/>
    <x v="0"/>
    <x v="10"/>
    <x v="1"/>
    <x v="22"/>
    <s v="PWEGPL"/>
    <s v="MSEDCL"/>
    <n v="2.5000000000000001E-2"/>
    <s v="CE100010"/>
    <x v="296"/>
    <s v="PM"/>
    <d v="1899-12-30T11:23:00"/>
    <d v="1899-12-30T11:23:00"/>
    <d v="1899-12-30T18:02:00"/>
    <n v="0"/>
    <n v="6.650000000000003"/>
    <n v="6.650000000000003"/>
    <s v="yearly preventive maintenace completed Day 2"/>
    <s v="Close"/>
    <n v="0.16625000000000009"/>
    <s v="G06"/>
    <n v="846.76666666666699"/>
    <s v="None"/>
    <s v="WTG Scheduled Maintenance"/>
    <n v="3056"/>
    <n v="846.76666666666699"/>
    <m/>
    <m/>
    <m/>
    <m/>
  </r>
  <r>
    <n v="2001"/>
    <x v="310"/>
    <x v="1"/>
    <x v="0"/>
    <x v="10"/>
    <x v="1"/>
    <x v="15"/>
    <s v="PWEGPL"/>
    <s v="MSEDCL"/>
    <n v="2.5000000000000001E-2"/>
    <n v="5203"/>
    <x v="294"/>
    <s v="BD"/>
    <d v="1899-12-30T00:00:00"/>
    <d v="1899-12-30T00:00:00"/>
    <d v="1899-12-30T06:11:00"/>
    <n v="0"/>
    <n v="6.1833333333333336"/>
    <n v="6.1833333333333336"/>
    <s v="CCU rediator cooling motor replaced and restored"/>
    <s v="Close"/>
    <n v="0.15458333333333335"/>
    <s v="G34"/>
    <n v="587.15902777777774"/>
    <s v="None"/>
    <s v="WTG Breakdown Maintenance"/>
    <n v="2279"/>
    <n v="587.15902777777774"/>
    <m/>
    <m/>
    <m/>
    <m/>
  </r>
  <r>
    <n v="2002"/>
    <x v="310"/>
    <x v="1"/>
    <x v="0"/>
    <x v="10"/>
    <x v="1"/>
    <x v="29"/>
    <s v="PWEGPL"/>
    <s v="MSEDCL"/>
    <n v="2.5000000000000001E-2"/>
    <s v="CE100014"/>
    <x v="305"/>
    <s v="PM/Lift"/>
    <d v="1899-12-30T12:00:00"/>
    <d v="1899-12-30T12:00:00"/>
    <d v="1899-12-30T13:21:00"/>
    <n v="0"/>
    <n v="1.3500000000000005"/>
    <n v="1.3500000000000005"/>
    <s v="Lift maintenance work done"/>
    <s v="Close"/>
    <n v="3.3750000000000016E-2"/>
    <s v="G10"/>
    <n v="143.60625000000005"/>
    <s v="None"/>
    <s v="WTG Scheduled Maintenance"/>
    <n v="2553"/>
    <n v="143.60625000000005"/>
    <m/>
    <m/>
    <m/>
    <m/>
  </r>
  <r>
    <n v="2003"/>
    <x v="310"/>
    <x v="1"/>
    <x v="0"/>
    <x v="10"/>
    <x v="1"/>
    <x v="18"/>
    <s v="PWEGPL"/>
    <s v="MSEDCL"/>
    <n v="2.5000000000000001E-2"/>
    <s v="CE100014"/>
    <x v="305"/>
    <s v="PM/Lift"/>
    <d v="1899-12-30T16:00:00"/>
    <d v="1899-12-30T16:00:00"/>
    <d v="1899-12-30T17:43:00"/>
    <n v="0"/>
    <n v="1.7166666666666659"/>
    <n v="1.7166666666666659"/>
    <s v="Lift maintenance work done"/>
    <s v="Close"/>
    <n v="4.2916666666666652E-2"/>
    <s v="G20"/>
    <n v="219.01805555555546"/>
    <s v="None"/>
    <s v="WTG Scheduled Maintenance"/>
    <n v="3062"/>
    <n v="219.01805555555546"/>
    <m/>
    <m/>
    <m/>
    <m/>
  </r>
  <r>
    <n v="2004"/>
    <x v="311"/>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381.260416666667"/>
    <s v="None"/>
    <s v="WTG Unscheduled Maintenance"/>
    <n v="5385"/>
    <n v="5381.260416666667"/>
    <m/>
    <m/>
    <m/>
    <m/>
  </r>
  <r>
    <n v="2005"/>
    <x v="311"/>
    <x v="1"/>
    <x v="0"/>
    <x v="10"/>
    <x v="1"/>
    <x v="18"/>
    <s v="PWEGPL"/>
    <s v="MSEDCL"/>
    <n v="2.5000000000000001E-2"/>
    <n v="102"/>
    <x v="337"/>
    <s v="BD"/>
    <d v="1899-12-30T09:23:00"/>
    <d v="1899-12-30T10:30:00"/>
    <d v="1899-12-30T11:42:00"/>
    <n v="1.1166666666666667"/>
    <n v="1.1999999999999997"/>
    <n v="2.3166666666666664"/>
    <s v="KM282 contactor found stuck then replaced with new one and restored"/>
    <s v="Close"/>
    <n v="5.7916666666666665E-2"/>
    <s v="G20"/>
    <n v="583.70347222222222"/>
    <s v="None"/>
    <s v="WTG Breakdown Maintenance"/>
    <n v="6047"/>
    <n v="583.70347222222222"/>
    <m/>
    <m/>
    <m/>
    <m/>
  </r>
  <r>
    <n v="2006"/>
    <x v="311"/>
    <x v="1"/>
    <x v="0"/>
    <x v="10"/>
    <x v="1"/>
    <x v="38"/>
    <s v="PWEGPL"/>
    <s v="MSEDCL"/>
    <n v="2.5000000000000001E-2"/>
    <s v="CE100014"/>
    <x v="305"/>
    <s v="PM/Lift"/>
    <d v="1899-12-30T10:21:00"/>
    <d v="1899-12-30T10:21:00"/>
    <d v="1899-12-30T11:50:00"/>
    <n v="0"/>
    <n v="1.4833333333333347"/>
    <n v="1.4833333333333347"/>
    <s v="Lift maintenance work done"/>
    <s v="Close"/>
    <n v="3.7083333333333371E-2"/>
    <s v="G17"/>
    <n v="296.97569444444474"/>
    <s v="None"/>
    <s v="WTG Scheduled Maintenance"/>
    <n v="4805"/>
    <n v="296.97569444444474"/>
    <m/>
    <m/>
    <m/>
    <m/>
  </r>
  <r>
    <n v="2007"/>
    <x v="311"/>
    <x v="1"/>
    <x v="0"/>
    <x v="10"/>
    <x v="1"/>
    <x v="6"/>
    <s v="PWEGPL"/>
    <s v="MSEDCL"/>
    <n v="2.5000000000000001E-2"/>
    <s v="CE100014"/>
    <x v="305"/>
    <s v="PM/Lift"/>
    <d v="1899-12-30T13:57:00"/>
    <d v="1899-12-30T13:57:00"/>
    <d v="1899-12-30T15:32:00"/>
    <n v="0"/>
    <n v="1.5833333333333357"/>
    <n v="1.5833333333333357"/>
    <s v="Lift maintenance work done"/>
    <s v="Close"/>
    <n v="3.9583333333333394E-2"/>
    <s v="G40"/>
    <n v="265.4062500000004"/>
    <s v="None"/>
    <s v="WTG Scheduled Maintenance"/>
    <n v="4023"/>
    <n v="265.4062500000004"/>
    <m/>
    <m/>
    <m/>
    <m/>
  </r>
  <r>
    <n v="2008"/>
    <x v="311"/>
    <x v="1"/>
    <x v="0"/>
    <x v="10"/>
    <x v="1"/>
    <x v="18"/>
    <s v="PWEGPL"/>
    <s v="MSEDCL"/>
    <n v="2.5000000000000001E-2"/>
    <n v="577"/>
    <x v="379"/>
    <s v="BD"/>
    <d v="1899-12-30T15:13:00"/>
    <d v="1899-12-30T15:55:00"/>
    <d v="1899-12-30T19:00:00"/>
    <n v="0.70000000000000018"/>
    <n v="3.083333333333333"/>
    <n v="3.7833333333333332"/>
    <s v="Checked slipring cooling fan condition is found ok but power supply is not presenting then checked throughly and found cable is disconnected in connector then proper connection done and restored"/>
    <s v="Close"/>
    <n v="9.4583333333333339E-2"/>
    <s v="G20"/>
    <n v="953.24236111111111"/>
    <s v="None"/>
    <s v="WTG Breakdown Maintenance"/>
    <n v="6047"/>
    <n v="953.24236111111111"/>
    <m/>
    <m/>
    <m/>
    <m/>
  </r>
  <r>
    <n v="2009"/>
    <x v="312"/>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949.8652777777779"/>
    <s v="None"/>
    <s v="WTG Unscheduled Maintenance"/>
    <n v="5954"/>
    <n v="5949.8652777777779"/>
    <m/>
    <m/>
    <m/>
    <m/>
  </r>
  <r>
    <n v="2010"/>
    <x v="312"/>
    <x v="1"/>
    <x v="0"/>
    <x v="10"/>
    <x v="1"/>
    <x v="23"/>
    <s v="PWEGPL"/>
    <s v="MSEDCL"/>
    <n v="2.5000000000000001E-2"/>
    <s v="CE100010"/>
    <x v="296"/>
    <s v="PM"/>
    <d v="1899-12-30T10:51:00"/>
    <d v="1899-12-30T10:51:00"/>
    <d v="1899-12-30T17:39:00"/>
    <n v="0"/>
    <n v="6.7999999999999989"/>
    <n v="6.7999999999999989"/>
    <s v="yearly preventive maintenace completed Day 2"/>
    <s v="Close"/>
    <n v="0.16999999999999998"/>
    <s v="G02"/>
    <n v="1703.1166666666666"/>
    <s v="None"/>
    <s v="WTG Scheduled Maintenance"/>
    <n v="6011"/>
    <n v="1703.1166666666666"/>
    <m/>
    <m/>
    <m/>
    <m/>
  </r>
  <r>
    <n v="2011"/>
    <x v="312"/>
    <x v="1"/>
    <x v="0"/>
    <x v="10"/>
    <x v="1"/>
    <x v="22"/>
    <s v="PWEGPL"/>
    <s v="MSEDCL"/>
    <n v="2.5000000000000001E-2"/>
    <s v="CE100010"/>
    <x v="296"/>
    <s v="PM"/>
    <d v="1899-12-30T10:22:00"/>
    <d v="1899-12-30T10:22:00"/>
    <d v="1899-12-30T17:49:00"/>
    <n v="0"/>
    <n v="7.45"/>
    <n v="7.45"/>
    <s v="yearly preventive maintenace completed Day 1"/>
    <s v="Close"/>
    <n v="0.18625000000000003"/>
    <s v="G06"/>
    <n v="1849.1520833333334"/>
    <s v="None"/>
    <s v="WTG Scheduled Maintenance"/>
    <n v="5957"/>
    <n v="1849.1520833333334"/>
    <m/>
    <m/>
    <m/>
    <m/>
  </r>
  <r>
    <n v="2012"/>
    <x v="312"/>
    <x v="1"/>
    <x v="0"/>
    <x v="10"/>
    <x v="1"/>
    <x v="35"/>
    <s v="PWEGPL"/>
    <s v="MSEDCL"/>
    <n v="2.5000000000000001E-2"/>
    <s v="CE100014"/>
    <x v="305"/>
    <s v="PM/Lift"/>
    <d v="1899-12-30T10:34:00"/>
    <d v="1899-12-30T10:34:00"/>
    <d v="1899-12-30T11:56:00"/>
    <n v="0"/>
    <n v="1.3666666666666671"/>
    <n v="1.3666666666666671"/>
    <s v="Lift maintenance work done"/>
    <s v="Close"/>
    <n v="3.4166666666666679E-2"/>
    <s v="G25"/>
    <n v="306.58888888888902"/>
    <s v="None"/>
    <s v="WTG Scheduled Maintenance"/>
    <n v="5384"/>
    <n v="306.58888888888902"/>
    <m/>
    <m/>
    <m/>
    <m/>
  </r>
  <r>
    <n v="2013"/>
    <x v="312"/>
    <x v="1"/>
    <x v="0"/>
    <x v="10"/>
    <x v="1"/>
    <x v="13"/>
    <s v="PWEGPL"/>
    <s v="MSEDCL"/>
    <n v="2.5000000000000001E-2"/>
    <s v="CE100014"/>
    <x v="305"/>
    <s v="PM/Lift"/>
    <d v="1899-12-30T14:26:00"/>
    <d v="1899-12-30T14:26:00"/>
    <d v="1899-12-30T16:23:00"/>
    <n v="0"/>
    <n v="1.9500000000000011"/>
    <n v="1.9500000000000011"/>
    <s v="Lift maintenance work done"/>
    <s v="Close"/>
    <n v="4.8750000000000029E-2"/>
    <s v="G34"/>
    <n v="355.71250000000015"/>
    <s v="None"/>
    <s v="WTG Scheduled Maintenance"/>
    <n v="4378"/>
    <n v="355.71250000000015"/>
    <m/>
    <m/>
    <m/>
    <m/>
  </r>
  <r>
    <n v="2014"/>
    <x v="312"/>
    <x v="1"/>
    <x v="0"/>
    <x v="10"/>
    <x v="1"/>
    <x v="27"/>
    <s v="PWEGPL"/>
    <s v="MSEDCL"/>
    <n v="2.5000000000000001E-2"/>
    <s v="CE100001"/>
    <x v="288"/>
    <s v="BD"/>
    <d v="1899-12-30T17:44:00"/>
    <d v="1899-12-30T17:44:00"/>
    <d v="1899-12-30T19:11:00"/>
    <n v="0"/>
    <n v="1.4500000000000002"/>
    <n v="1.4500000000000002"/>
    <s v="Repeated fault rectfication work slipring cleaned and spare track connection given and restored"/>
    <s v="Close"/>
    <n v="3.6250000000000004E-2"/>
    <s v="G10"/>
    <n v="328.42500000000007"/>
    <s v="None"/>
    <s v="WTG Breakdown Maintenance"/>
    <n v="5436"/>
    <n v="328.42500000000007"/>
    <m/>
    <m/>
    <m/>
    <m/>
  </r>
  <r>
    <n v="2015"/>
    <x v="313"/>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4924.5777777777785"/>
    <s v="None"/>
    <s v="WTG Unscheduled Maintenance"/>
    <n v="4928"/>
    <n v="4924.5777777777785"/>
    <m/>
    <m/>
    <m/>
    <m/>
  </r>
  <r>
    <n v="2016"/>
    <x v="313"/>
    <x v="1"/>
    <x v="0"/>
    <x v="10"/>
    <x v="1"/>
    <x v="26"/>
    <s v="PWEGPL"/>
    <s v="MSEDCL"/>
    <n v="2.5000000000000001E-2"/>
    <s v="CE100010"/>
    <x v="296"/>
    <s v="PM"/>
    <d v="1899-12-30T11:04:00"/>
    <d v="1899-12-30T11:04:00"/>
    <d v="1899-12-30T18:30:00"/>
    <n v="0"/>
    <n v="7.4333333333333353"/>
    <n v="7.4333333333333353"/>
    <s v="yearly preventive maintenace completed Day 2"/>
    <s v="Close"/>
    <n v="0.18583333333333341"/>
    <s v="G02"/>
    <n v="1935.4541666666671"/>
    <s v="None"/>
    <s v="WTG Scheduled Maintenance"/>
    <n v="6249"/>
    <n v="1935.4541666666671"/>
    <m/>
    <m/>
    <m/>
    <m/>
  </r>
  <r>
    <n v="2017"/>
    <x v="313"/>
    <x v="1"/>
    <x v="0"/>
    <x v="10"/>
    <x v="1"/>
    <x v="20"/>
    <s v="PWEGPL"/>
    <s v="MSEDCL"/>
    <n v="2.5000000000000001E-2"/>
    <s v="CE100010"/>
    <x v="296"/>
    <s v="PM"/>
    <d v="1899-12-30T11:25:00"/>
    <d v="1899-12-30T11:25:00"/>
    <d v="1899-12-30T18:29:00"/>
    <n v="0"/>
    <n v="7.0666666666666682"/>
    <n v="7.0666666666666682"/>
    <s v="yearly preventive maintenace completed Day 1"/>
    <s v="Close"/>
    <n v="0.17666666666666672"/>
    <s v="G04"/>
    <n v="1342.077777777778"/>
    <s v="None"/>
    <s v="WTG Scheduled Maintenance"/>
    <n v="4558"/>
    <n v="1342.077777777778"/>
    <m/>
    <m/>
    <m/>
    <m/>
  </r>
  <r>
    <n v="2018"/>
    <x v="313"/>
    <x v="1"/>
    <x v="0"/>
    <x v="10"/>
    <x v="1"/>
    <x v="10"/>
    <s v="PWEGPL"/>
    <s v="MSEDCL"/>
    <n v="2.5000000000000001E-2"/>
    <n v="700"/>
    <x v="329"/>
    <s v="BD"/>
    <d v="1899-12-30T09:49:00"/>
    <d v="1899-12-30T11:43:00"/>
    <d v="1899-12-30T12:54:00"/>
    <n v="1.9"/>
    <n v="1.1833333333333331"/>
    <n v="3.083333333333333"/>
    <s v="Slipring cleaned and restored"/>
    <s v="Close"/>
    <n v="7.7083333333333337E-2"/>
    <s v="G28"/>
    <n v="492.94791666666663"/>
    <s v="None"/>
    <s v="WTG Breakdown Maintenance"/>
    <n v="3837"/>
    <n v="492.94791666666663"/>
    <m/>
    <m/>
    <m/>
    <m/>
  </r>
  <r>
    <n v="2019"/>
    <x v="314"/>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6921.1902777777777"/>
    <s v="None"/>
    <s v="WTG Unscheduled Maintenance"/>
    <n v="6926"/>
    <n v="6921.1902777777777"/>
    <m/>
    <m/>
    <m/>
    <m/>
  </r>
  <r>
    <n v="2020"/>
    <x v="314"/>
    <x v="1"/>
    <x v="0"/>
    <x v="10"/>
    <x v="1"/>
    <x v="26"/>
    <s v="PWEGPL"/>
    <s v="MSEDCL"/>
    <n v="2.5000000000000001E-2"/>
    <s v="CE100010"/>
    <x v="296"/>
    <s v="PM"/>
    <d v="1899-12-30T10:28:00"/>
    <d v="1899-12-30T10:28:00"/>
    <d v="1899-12-30T17:51:00"/>
    <n v="0"/>
    <n v="7.3833333333333337"/>
    <n v="7.3833333333333337"/>
    <s v="yearly preventive maintenace completed Day 1"/>
    <s v="Close"/>
    <n v="0.18458333333333335"/>
    <s v="G02"/>
    <n v="2022.7256944444443"/>
    <s v="None"/>
    <s v="WTG Scheduled Maintenance"/>
    <n v="6575"/>
    <n v="2022.7256944444443"/>
    <m/>
    <m/>
    <m/>
    <m/>
  </r>
  <r>
    <n v="2021"/>
    <x v="314"/>
    <x v="1"/>
    <x v="0"/>
    <x v="10"/>
    <x v="1"/>
    <x v="20"/>
    <s v="PWEGPL"/>
    <s v="MSEDCL"/>
    <n v="2.5000000000000001E-2"/>
    <s v="CE100010"/>
    <x v="296"/>
    <s v="PM"/>
    <d v="1899-12-30T11:19:00"/>
    <d v="1899-12-30T11:19:00"/>
    <d v="1899-12-30T18:30:00"/>
    <n v="0"/>
    <n v="7.1833333333333345"/>
    <n v="7.1833333333333345"/>
    <s v="yearly preventive maintenace completed Day 2"/>
    <s v="Close"/>
    <n v="0.17958333333333337"/>
    <s v="G04"/>
    <n v="1386.0840277777781"/>
    <s v="None"/>
    <s v="WTG Scheduled Maintenance"/>
    <n v="4631"/>
    <n v="1386.0840277777781"/>
    <m/>
    <m/>
    <m/>
    <m/>
  </r>
  <r>
    <n v="2022"/>
    <x v="314"/>
    <x v="1"/>
    <x v="0"/>
    <x v="10"/>
    <x v="1"/>
    <x v="22"/>
    <s v="PWEGPL"/>
    <s v="MSEDCL"/>
    <n v="2.5000000000000001E-2"/>
    <s v="CE100014"/>
    <x v="305"/>
    <s v="PM/Lift"/>
    <d v="1899-12-30T10:21:00"/>
    <d v="1899-12-30T10:21:00"/>
    <d v="1899-12-30T12:10:00"/>
    <n v="0"/>
    <n v="1.8166666666666669"/>
    <n v="1.8166666666666669"/>
    <s v="Lift maintenance work done"/>
    <s v="Close"/>
    <n v="4.5416666666666675E-2"/>
    <s v="G08"/>
    <n v="400.57500000000005"/>
    <s v="None"/>
    <s v="WTG Scheduled Maintenance"/>
    <n v="5292"/>
    <n v="400.57500000000005"/>
    <m/>
    <m/>
    <m/>
    <m/>
  </r>
  <r>
    <n v="2023"/>
    <x v="314"/>
    <x v="1"/>
    <x v="0"/>
    <x v="10"/>
    <x v="1"/>
    <x v="23"/>
    <s v="PWEGPL"/>
    <s v="MSEDCL"/>
    <n v="2.5000000000000001E-2"/>
    <s v="CE100014"/>
    <x v="305"/>
    <s v="PM/Lift"/>
    <d v="1899-12-30T12:47:00"/>
    <d v="1899-12-30T12:47:00"/>
    <d v="1899-12-30T14:43:00"/>
    <n v="0"/>
    <n v="1.9333333333333345"/>
    <n v="1.9333333333333345"/>
    <s v="Lift maintenance work done"/>
    <s v="Close"/>
    <n v="4.8333333333333367E-2"/>
    <s v="G08"/>
    <n v="426.30000000000024"/>
    <s v="None"/>
    <s v="WTG Scheduled Maintenance"/>
    <n v="5292"/>
    <n v="426.30000000000024"/>
    <m/>
    <m/>
    <m/>
    <m/>
  </r>
  <r>
    <n v="2024"/>
    <x v="314"/>
    <x v="1"/>
    <x v="0"/>
    <x v="10"/>
    <x v="1"/>
    <x v="25"/>
    <s v="PWEGPL"/>
    <s v="MSEDCL"/>
    <n v="2.5000000000000001E-2"/>
    <s v="CE100014"/>
    <x v="305"/>
    <s v="PM/Lift"/>
    <d v="1899-12-30T15:29:00"/>
    <d v="1899-12-30T15:29:00"/>
    <d v="1899-12-30T17:37:00"/>
    <n v="0"/>
    <n v="2.1333333333333364"/>
    <n v="2.1333333333333364"/>
    <s v="Lift maintenance work done"/>
    <s v="Close"/>
    <n v="5.3333333333333413E-2"/>
    <s v="G08"/>
    <n v="470.40000000000066"/>
    <s v="None"/>
    <s v="WTG Scheduled Maintenance"/>
    <n v="5292"/>
    <n v="470.40000000000066"/>
    <m/>
    <m/>
    <m/>
    <m/>
  </r>
  <r>
    <n v="2025"/>
    <x v="315"/>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1315.136805555556"/>
    <s v="None"/>
    <s v="WTG Unscheduled Maintenance"/>
    <n v="11323"/>
    <n v="11315.136805555556"/>
    <m/>
    <m/>
    <m/>
    <m/>
  </r>
  <r>
    <n v="2026"/>
    <x v="315"/>
    <x v="1"/>
    <x v="0"/>
    <x v="10"/>
    <x v="1"/>
    <x v="21"/>
    <s v="PWEGPL"/>
    <s v="MSEDCL"/>
    <n v="2.5000000000000001E-2"/>
    <s v="CE100010"/>
    <x v="296"/>
    <s v="PM"/>
    <d v="1899-12-30T10:05:00"/>
    <d v="1899-12-30T10:05:00"/>
    <d v="1899-12-30T18:47:00"/>
    <n v="0"/>
    <n v="8.7000000000000028"/>
    <n v="8.7000000000000028"/>
    <s v="yearly preventive maintenace completed Day 1"/>
    <s v="Close"/>
    <n v="0.21750000000000008"/>
    <s v="G07"/>
    <n v="3712.3625000000011"/>
    <s v="None"/>
    <s v="WTG Scheduled Maintenance"/>
    <n v="10241"/>
    <n v="3712.3625000000011"/>
    <m/>
    <m/>
    <m/>
    <m/>
  </r>
  <r>
    <n v="2027"/>
    <x v="315"/>
    <x v="1"/>
    <x v="0"/>
    <x v="10"/>
    <x v="1"/>
    <x v="29"/>
    <s v="PWEGPL"/>
    <s v="MSEDCL"/>
    <n v="2.5000000000000001E-2"/>
    <s v="CE100010"/>
    <x v="296"/>
    <s v="PM"/>
    <d v="1899-12-30T10:48:00"/>
    <d v="1899-12-30T10:48:00"/>
    <d v="1899-12-30T17:17:00"/>
    <n v="0"/>
    <n v="6.4833333333333361"/>
    <n v="6.4833333333333361"/>
    <s v="yearly preventive maintenace completed Day 2"/>
    <s v="Close"/>
    <n v="0.16208333333333341"/>
    <s v="G10"/>
    <n v="3341.347916666668"/>
    <s v="None"/>
    <s v="WTG Scheduled Maintenance"/>
    <n v="12369"/>
    <n v="3341.347916666668"/>
    <m/>
    <m/>
    <m/>
    <m/>
  </r>
  <r>
    <n v="2028"/>
    <x v="315"/>
    <x v="1"/>
    <x v="0"/>
    <x v="10"/>
    <x v="1"/>
    <x v="25"/>
    <s v="PWEGPL"/>
    <s v="MSEDCL"/>
    <n v="2.5000000000000001E-2"/>
    <n v="402"/>
    <x v="300"/>
    <s v="BD"/>
    <d v="1899-12-30T11:24:00"/>
    <d v="1899-12-30T11:24:00"/>
    <d v="1899-12-30T14:23:00"/>
    <n v="0"/>
    <n v="2.9833333333333321"/>
    <n v="2.9833333333333321"/>
    <s v="Gearbox auxiluary motor replaced and restored the turbine"/>
    <s v="Close"/>
    <n v="7.4583333333333307E-2"/>
    <s v="G04"/>
    <n v="968.9618055555552"/>
    <s v="None"/>
    <s v="WTG Breakdown Maintenance"/>
    <n v="7795"/>
    <n v="968.9618055555552"/>
    <m/>
    <m/>
    <m/>
    <m/>
  </r>
  <r>
    <n v="2029"/>
    <x v="315"/>
    <x v="1"/>
    <x v="0"/>
    <x v="10"/>
    <x v="1"/>
    <x v="19"/>
    <s v="PWEGPL"/>
    <s v="MSEDCL"/>
    <n v="2.5000000000000001E-2"/>
    <s v="CE100001"/>
    <x v="288"/>
    <s v="BD"/>
    <d v="1899-12-30T13:20:00"/>
    <d v="1899-12-30T13:45:00"/>
    <d v="1899-12-30T14:11:00"/>
    <n v="0.41666666666666519"/>
    <n v="0.43333333333333446"/>
    <n v="0.84999999999999964"/>
    <s v="Slipring cleaned and restored"/>
    <s v="Close"/>
    <n v="2.1249999999999991E-2"/>
    <s v="G19"/>
    <n v="483.01249999999982"/>
    <s v="None"/>
    <s v="WTG Breakdown Maintenance"/>
    <n v="13638"/>
    <n v="483.01249999999982"/>
    <m/>
    <m/>
    <m/>
    <m/>
  </r>
  <r>
    <n v="2030"/>
    <x v="315"/>
    <x v="1"/>
    <x v="0"/>
    <x v="10"/>
    <x v="1"/>
    <x v="17"/>
    <s v="PWEGPL"/>
    <s v="MSEDCL"/>
    <n v="2.5000000000000001E-2"/>
    <n v="700"/>
    <x v="329"/>
    <s v="PM/Lift"/>
    <d v="1899-12-30T14:44:00"/>
    <d v="1899-12-30T14:44:00"/>
    <d v="1899-12-30T16:53:00"/>
    <n v="0"/>
    <n v="2.1500000000000004"/>
    <n v="2.1500000000000004"/>
    <s v="Lift maintenance work done"/>
    <s v="Close"/>
    <n v="5.3750000000000013E-2"/>
    <s v="G10"/>
    <n v="1108.0562500000001"/>
    <s v="None"/>
    <s v="WTG Scheduled Maintenance"/>
    <n v="12369"/>
    <n v="1108.0562500000001"/>
    <m/>
    <m/>
    <m/>
    <m/>
  </r>
  <r>
    <n v="2031"/>
    <x v="316"/>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0108.975"/>
    <s v="None"/>
    <s v="WTG Unscheduled Maintenance"/>
    <n v="10116"/>
    <n v="10108.975"/>
    <m/>
    <m/>
    <m/>
    <m/>
  </r>
  <r>
    <n v="2032"/>
    <x v="316"/>
    <x v="1"/>
    <x v="0"/>
    <x v="10"/>
    <x v="1"/>
    <x v="21"/>
    <s v="PWEGPL"/>
    <s v="MSEDCL"/>
    <n v="2.5000000000000001E-2"/>
    <s v="CE100010"/>
    <x v="296"/>
    <s v="PM"/>
    <d v="1899-12-30T10:32:00"/>
    <d v="1899-12-30T10:32:00"/>
    <d v="1899-12-30T18:47:00"/>
    <n v="0"/>
    <n v="8.2500000000000036"/>
    <n v="8.2500000000000036"/>
    <s v="yearly preventive maintenace completed Day 2"/>
    <s v="Close"/>
    <n v="0.2062500000000001"/>
    <s v="G07"/>
    <n v="3219.2187500000014"/>
    <s v="None"/>
    <s v="WTG Scheduled Maintenance"/>
    <n v="9365"/>
    <n v="3219.2187500000014"/>
    <m/>
    <m/>
    <m/>
    <m/>
  </r>
  <r>
    <n v="2033"/>
    <x v="316"/>
    <x v="1"/>
    <x v="0"/>
    <x v="10"/>
    <x v="1"/>
    <x v="29"/>
    <s v="PWEGPL"/>
    <s v="MSEDCL"/>
    <n v="2.5000000000000001E-2"/>
    <s v="CE100010"/>
    <x v="296"/>
    <s v="PM"/>
    <d v="1899-12-30T10:32:00"/>
    <d v="1899-12-30T10:32:00"/>
    <d v="1899-12-30T17:50:00"/>
    <n v="0"/>
    <n v="7.299999999999998"/>
    <n v="7.299999999999998"/>
    <s v="yearly preventive maintenace completed Day 1"/>
    <s v="Close"/>
    <n v="0.18249999999999997"/>
    <s v="G10"/>
    <n v="3088.204166666666"/>
    <s v="None"/>
    <s v="WTG Scheduled Maintenance"/>
    <n v="10153"/>
    <n v="3088.204166666666"/>
    <m/>
    <m/>
    <m/>
    <m/>
  </r>
  <r>
    <n v="2034"/>
    <x v="316"/>
    <x v="1"/>
    <x v="0"/>
    <x v="10"/>
    <x v="1"/>
    <x v="14"/>
    <s v="PWEGPL"/>
    <s v="MSEDCL"/>
    <n v="2.5000000000000001E-2"/>
    <s v="CE100014"/>
    <x v="305"/>
    <s v="PM/Lift"/>
    <d v="1899-12-30T14:56:00"/>
    <d v="1899-12-30T14:56:00"/>
    <d v="1899-12-30T17:03:00"/>
    <n v="0"/>
    <n v="2.1166666666666671"/>
    <n v="2.1166666666666671"/>
    <s v="Lift maintenance work done"/>
    <s v="Close"/>
    <n v="5.2916666666666681E-2"/>
    <s v="G26"/>
    <n v="750.18194444444464"/>
    <s v="None"/>
    <s v="WTG Scheduled Maintenance"/>
    <n v="8506"/>
    <n v="750.18194444444464"/>
    <m/>
    <m/>
    <m/>
    <m/>
  </r>
  <r>
    <n v="2035"/>
    <x v="316"/>
    <x v="1"/>
    <x v="0"/>
    <x v="10"/>
    <x v="1"/>
    <x v="3"/>
    <s v="PWEGPL"/>
    <s v="MSEDCL"/>
    <n v="2.5000000000000001E-2"/>
    <s v="CE100014"/>
    <x v="305"/>
    <s v="PM/Lift"/>
    <d v="1899-12-30T11:52:00"/>
    <d v="1899-12-30T11:52:00"/>
    <d v="1899-12-30T14:00:00"/>
    <n v="0"/>
    <n v="2.1333333333333337"/>
    <n v="2.1333333333333337"/>
    <s v="Lift maintenance work done"/>
    <s v="Close"/>
    <n v="5.3333333333333344E-2"/>
    <s v="G33"/>
    <n v="557.77777777777783"/>
    <s v="None"/>
    <s v="WTG Scheduled Maintenance"/>
    <n v="6275"/>
    <n v="557.77777777777783"/>
    <m/>
    <m/>
    <m/>
    <m/>
  </r>
  <r>
    <n v="2036"/>
    <x v="317"/>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6116.749305555556"/>
    <s v="None"/>
    <s v="WTG Unscheduled Maintenance"/>
    <n v="6121"/>
    <n v="6116.749305555556"/>
    <m/>
    <m/>
    <m/>
    <m/>
  </r>
  <r>
    <n v="2037"/>
    <x v="317"/>
    <x v="1"/>
    <x v="0"/>
    <x v="10"/>
    <x v="1"/>
    <x v="6"/>
    <s v="PWEGPL"/>
    <s v="MSEDCL"/>
    <n v="2.5000000000000001E-2"/>
    <n v="509"/>
    <x v="301"/>
    <s v="BD"/>
    <d v="1899-12-30T22:11:00"/>
    <d v="1899-12-30T22:23:00"/>
    <d v="1899-12-30T23:59:00"/>
    <n v="0.19999999999999929"/>
    <n v="1.5999999999999996"/>
    <n v="1.7999999999999989"/>
    <s v="Work under progress"/>
    <s v="Open"/>
    <n v="4.4999999999999978E-2"/>
    <s v="G40"/>
    <n v="444.07499999999976"/>
    <s v="None"/>
    <s v="WTG Breakdown Maintenance"/>
    <n v="5921"/>
    <n v="444.07499999999976"/>
    <m/>
    <m/>
    <m/>
    <m/>
  </r>
  <r>
    <n v="2038"/>
    <x v="318"/>
    <x v="1"/>
    <x v="0"/>
    <x v="10"/>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2771.125"/>
    <s v="None"/>
    <s v="WTG Unscheduled Maintenance"/>
    <n v="12780"/>
    <n v="12771.125"/>
    <m/>
    <m/>
    <m/>
    <m/>
  </r>
  <r>
    <n v="2039"/>
    <x v="318"/>
    <x v="1"/>
    <x v="0"/>
    <x v="10"/>
    <x v="1"/>
    <x v="29"/>
    <s v="PWEGPL"/>
    <s v="MSEDCL"/>
    <n v="2.5000000000000001E-2"/>
    <n v="407"/>
    <x v="395"/>
    <s v="Manual stop/TCA"/>
    <d v="1899-12-30T10:52:00"/>
    <d v="1899-12-30T10:52:00"/>
    <d v="1899-12-30T16:34:00"/>
    <n v="0"/>
    <n v="5.6999999999999993"/>
    <n v="5.6999999999999993"/>
    <s v="Gearbox damper replaced and restored"/>
    <s v="Close"/>
    <n v="0.14249999999999999"/>
    <s v="G08"/>
    <n v="2042.4999999999995"/>
    <s v="None"/>
    <s v="WTG Scheduled Maintenance"/>
    <n v="8600"/>
    <n v="2042.4999999999995"/>
    <m/>
    <m/>
    <m/>
    <m/>
  </r>
  <r>
    <n v="2040"/>
    <x v="318"/>
    <x v="1"/>
    <x v="0"/>
    <x v="10"/>
    <x v="1"/>
    <x v="28"/>
    <s v="PWEGPL"/>
    <s v="MSEDCL"/>
    <n v="2.5000000000000001E-2"/>
    <s v="CE100010"/>
    <x v="296"/>
    <s v="PM"/>
    <d v="1899-12-30T10:29:00"/>
    <d v="1899-12-30T10:29:00"/>
    <d v="1899-12-30T17:30:00"/>
    <n v="0"/>
    <n v="7.0166666666666675"/>
    <n v="7.0166666666666675"/>
    <s v="yearly preventive maintenace completed Day 2"/>
    <s v="Close"/>
    <n v="0.17541666666666669"/>
    <s v="G08"/>
    <n v="2514.3055555555557"/>
    <s v="None"/>
    <s v="WTG Scheduled Maintenance"/>
    <n v="8600"/>
    <n v="2514.3055555555557"/>
    <m/>
    <m/>
    <m/>
    <m/>
  </r>
  <r>
    <n v="2041"/>
    <x v="318"/>
    <x v="1"/>
    <x v="0"/>
    <x v="10"/>
    <x v="1"/>
    <x v="6"/>
    <s v="PWEGPL"/>
    <s v="MSEDCL"/>
    <n v="2.5000000000000001E-2"/>
    <n v="509"/>
    <x v="301"/>
    <s v="BD"/>
    <d v="1899-12-30T00:00:00"/>
    <d v="1899-12-30T00:00:00"/>
    <d v="1899-12-30T00:52:00"/>
    <n v="0"/>
    <n v="0.8666666666666667"/>
    <n v="0.8666666666666667"/>
    <s v="Gnereator slipring fan capacitor faound failure then replaced and restored"/>
    <s v="Close"/>
    <n v="2.1666666666666667E-2"/>
    <s v="G40"/>
    <n v="460.01944444444445"/>
    <s v="None"/>
    <s v="WTG Breakdown Maintenance"/>
    <n v="12739"/>
    <n v="460.01944444444445"/>
    <m/>
    <m/>
    <m/>
    <m/>
  </r>
  <r>
    <n v="2042"/>
    <x v="318"/>
    <x v="1"/>
    <x v="0"/>
    <x v="10"/>
    <x v="1"/>
    <x v="27"/>
    <s v="PWEGPL"/>
    <s v="MSEDCL"/>
    <n v="2.5000000000000001E-2"/>
    <s v="CE100014"/>
    <x v="305"/>
    <s v="PM/Lift"/>
    <d v="1899-12-30T14:08:00"/>
    <d v="1899-12-30T14:08:00"/>
    <d v="1899-12-30T16:40:00"/>
    <n v="0"/>
    <n v="2.533333333333335"/>
    <n v="2.533333333333335"/>
    <s v="Lift maintenance work done"/>
    <s v="Close"/>
    <n v="6.333333333333338E-2"/>
    <s v="G12"/>
    <n v="1137.0444444444452"/>
    <s v="None"/>
    <s v="WTG Scheduled Maintenance"/>
    <n v="10772"/>
    <n v="1137.0444444444452"/>
    <m/>
    <m/>
    <m/>
    <m/>
  </r>
  <r>
    <n v="2043"/>
    <x v="319"/>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9067.6986111111109"/>
    <s v="None"/>
    <s v="WTG Unscheduled Maintenance"/>
    <n v="9074"/>
    <n v="9067.6986111111109"/>
    <m/>
    <m/>
    <m/>
    <m/>
  </r>
  <r>
    <n v="2044"/>
    <x v="319"/>
    <x v="1"/>
    <x v="1"/>
    <x v="11"/>
    <x v="1"/>
    <x v="8"/>
    <s v="PWEGPL"/>
    <s v="MSEDCL"/>
    <n v="2.5000000000000001E-2"/>
    <s v="CE100014"/>
    <x v="305"/>
    <s v="Manual stop/TCA"/>
    <d v="1899-12-30T13:26:00"/>
    <d v="1899-12-30T13:36:00"/>
    <d v="1899-12-30T20:54:00"/>
    <n v="0.16666666666666607"/>
    <n v="7.299999999999998"/>
    <n v="7.4666666666666641"/>
    <s v="Gearbox damper replaced and restored"/>
    <s v="Close"/>
    <n v="0.18666666666666662"/>
    <s v="G24"/>
    <n v="2189.2888888888879"/>
    <s v="None"/>
    <s v="WTG Unscheduled Maintenance"/>
    <n v="7037"/>
    <n v="2189.2888888888879"/>
    <m/>
    <m/>
    <m/>
    <m/>
  </r>
  <r>
    <n v="2045"/>
    <x v="319"/>
    <x v="1"/>
    <x v="1"/>
    <x v="11"/>
    <x v="1"/>
    <x v="4"/>
    <s v="PWEGPL"/>
    <s v="MSEDCL"/>
    <n v="2.5000000000000001E-2"/>
    <n v="804"/>
    <x v="382"/>
    <s v="BD"/>
    <d v="1899-12-30T00:33:00"/>
    <d v="1899-12-30T01:02:00"/>
    <d v="1899-12-30T10:26:00"/>
    <n v="0.48333333333333345"/>
    <n v="9.4"/>
    <n v="9.8833333333333329"/>
    <s v="proportional valve replaced and restored"/>
    <s v="Close"/>
    <n v="0.24708333333333332"/>
    <s v="G38"/>
    <n v="1802.4729166666666"/>
    <s v="None"/>
    <s v="WTG Breakdown Maintenance"/>
    <n v="4377"/>
    <n v="1802.4729166666666"/>
    <m/>
    <m/>
    <m/>
    <m/>
  </r>
  <r>
    <n v="2046"/>
    <x v="319"/>
    <x v="1"/>
    <x v="1"/>
    <x v="11"/>
    <x v="1"/>
    <x v="28"/>
    <s v="PWEGPL"/>
    <s v="MSEDCL"/>
    <n v="2.5000000000000001E-2"/>
    <n v="205"/>
    <x v="312"/>
    <s v="BD"/>
    <d v="1899-12-30T18:31:00"/>
    <d v="1899-12-30T18:55:00"/>
    <d v="1899-12-30T23:59:00"/>
    <n v="0.40000000000000391"/>
    <n v="5.0666666666666647"/>
    <n v="5.4666666666666686"/>
    <s v="Work under progress"/>
    <s v="Open"/>
    <n v="0.13666666666666671"/>
    <s v="G11"/>
    <n v="1769.1500000000005"/>
    <s v="None"/>
    <s v="WTG Breakdown Maintenance"/>
    <n v="7767"/>
    <n v="1769.1500000000005"/>
    <m/>
    <m/>
    <m/>
    <m/>
  </r>
  <r>
    <n v="2047"/>
    <x v="320"/>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1638.911805555557"/>
    <s v="None"/>
    <s v="WTG Unscheduled Maintenance"/>
    <n v="11647"/>
    <n v="11638.911805555557"/>
    <m/>
    <m/>
    <m/>
    <m/>
  </r>
  <r>
    <n v="2048"/>
    <x v="320"/>
    <x v="1"/>
    <x v="1"/>
    <x v="11"/>
    <x v="1"/>
    <x v="28"/>
    <s v="PWEGPL"/>
    <s v="MSEDCL"/>
    <n v="2.5000000000000001E-2"/>
    <n v="205"/>
    <x v="312"/>
    <s v="BD"/>
    <d v="1899-12-30T00:00:00"/>
    <d v="1899-12-30T00:00:00"/>
    <d v="1899-12-30T08:10:00"/>
    <n v="0"/>
    <n v="8.1666666666666661"/>
    <n v="8.1666666666666661"/>
    <s v="HU main accumulator replaced and restorfed"/>
    <s v="Close"/>
    <n v="0.20416666666666666"/>
    <s v="G11"/>
    <n v="4805.4027777777774"/>
    <s v="None"/>
    <s v="WTG Breakdown Maintenance"/>
    <n v="14122"/>
    <n v="4805.4027777777774"/>
    <m/>
    <m/>
    <m/>
    <m/>
  </r>
  <r>
    <n v="2049"/>
    <x v="320"/>
    <x v="1"/>
    <x v="1"/>
    <x v="11"/>
    <x v="1"/>
    <x v="28"/>
    <s v="PWEGPL"/>
    <s v="MSEDCL"/>
    <n v="2.5000000000000001E-2"/>
    <s v="CE100010"/>
    <x v="296"/>
    <s v="PM"/>
    <d v="1899-12-30T13:30:00"/>
    <d v="1899-12-30T13:30:00"/>
    <d v="1899-12-30T19:01:00"/>
    <n v="0"/>
    <n v="5.5166666666666657"/>
    <n v="5.5166666666666657"/>
    <s v="yearly preventive maintenace completed Day 1"/>
    <s v="Close"/>
    <n v="0.13791666666666666"/>
    <s v="G11"/>
    <n v="3246.0986111111101"/>
    <s v="None"/>
    <s v="WTG Scheduled Maintenance"/>
    <n v="14122"/>
    <n v="3246.0986111111101"/>
    <m/>
    <m/>
    <m/>
    <m/>
  </r>
  <r>
    <n v="2050"/>
    <x v="320"/>
    <x v="1"/>
    <x v="1"/>
    <x v="11"/>
    <x v="1"/>
    <x v="34"/>
    <s v="PWEGPL"/>
    <s v="MSEDCL"/>
    <n v="2.5000000000000001E-2"/>
    <s v="CE100014"/>
    <x v="305"/>
    <s v="PM/Lift"/>
    <d v="1899-12-30T15:42:00"/>
    <d v="1899-12-30T15:42:00"/>
    <d v="1899-12-30T17:32:00"/>
    <n v="0"/>
    <n v="1.8333333333333348"/>
    <n v="1.8333333333333348"/>
    <s v="Lift maintenance work done"/>
    <s v="Close"/>
    <n v="4.5833333333333372E-2"/>
    <s v="G05"/>
    <n v="733.33333333333394"/>
    <s v="None"/>
    <s v="WTG Scheduled Maintenance"/>
    <n v="9600"/>
    <n v="733.33333333333394"/>
    <m/>
    <m/>
    <m/>
    <m/>
  </r>
  <r>
    <n v="2051"/>
    <x v="320"/>
    <x v="1"/>
    <x v="1"/>
    <x v="11"/>
    <x v="1"/>
    <x v="33"/>
    <s v="PWEGPL"/>
    <s v="MSEDCL"/>
    <n v="2.5000000000000001E-2"/>
    <s v="CE100014"/>
    <x v="305"/>
    <s v="PM/Lift"/>
    <d v="1899-12-30T13:22:00"/>
    <d v="1899-12-30T13:22:00"/>
    <d v="1899-12-30T15:27:00"/>
    <n v="0"/>
    <n v="2.0833333333333313"/>
    <n v="2.0833333333333313"/>
    <s v="Lift maintenance work done"/>
    <s v="Close"/>
    <n v="5.2083333333333287E-2"/>
    <s v="G05"/>
    <n v="833.33333333333246"/>
    <s v="None"/>
    <s v="WTG Scheduled Maintenance"/>
    <n v="9600"/>
    <n v="833.33333333333246"/>
    <m/>
    <m/>
    <m/>
    <m/>
  </r>
  <r>
    <n v="2052"/>
    <x v="321"/>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2669.195833333333"/>
    <s v="None"/>
    <s v="WTG Unscheduled Maintenance"/>
    <n v="12678"/>
    <n v="12669.195833333333"/>
    <m/>
    <m/>
    <m/>
    <m/>
  </r>
  <r>
    <n v="2053"/>
    <x v="321"/>
    <x v="1"/>
    <x v="1"/>
    <x v="11"/>
    <x v="1"/>
    <x v="32"/>
    <s v="PWEGPL"/>
    <s v="MSEDCL"/>
    <n v="2.5000000000000001E-2"/>
    <s v="CE100014"/>
    <x v="305"/>
    <s v="Manual stop/TCA"/>
    <d v="1899-12-30T11:26:00"/>
    <d v="1899-12-30T11:26:00"/>
    <d v="1899-12-30T17:32:00"/>
    <n v="0"/>
    <n v="6.1000000000000014"/>
    <n v="6.1000000000000014"/>
    <s v="Gearbox damper replaced and restored"/>
    <s v="Close"/>
    <n v="0.15250000000000005"/>
    <s v="G15"/>
    <n v="2172.3625000000006"/>
    <s v="None"/>
    <s v="WTG Unscheduled Maintenance"/>
    <n v="8547"/>
    <n v="2172.3625000000006"/>
    <m/>
    <m/>
    <m/>
    <m/>
  </r>
  <r>
    <n v="2054"/>
    <x v="321"/>
    <x v="1"/>
    <x v="1"/>
    <x v="11"/>
    <x v="1"/>
    <x v="28"/>
    <s v="PWEGPL"/>
    <s v="MSEDCL"/>
    <n v="2.5000000000000001E-2"/>
    <s v="CE100010"/>
    <x v="296"/>
    <s v="PM"/>
    <d v="1899-12-30T06:14:00"/>
    <d v="1899-12-30T06:14:00"/>
    <d v="1899-12-30T09:54:00"/>
    <n v="0"/>
    <n v="3.666666666666667"/>
    <n v="3.666666666666667"/>
    <s v="PM pending works completed fsan replacement and cleaning"/>
    <s v="Close"/>
    <n v="9.1666666666666674E-2"/>
    <s v="G11"/>
    <n v="1998.0277777777778"/>
    <s v="None"/>
    <s v="WTG Unscheduled Maintenance"/>
    <n v="13078"/>
    <n v="1998.0277777777778"/>
    <m/>
    <m/>
    <m/>
    <m/>
  </r>
  <r>
    <n v="2055"/>
    <x v="321"/>
    <x v="1"/>
    <x v="1"/>
    <x v="11"/>
    <x v="1"/>
    <x v="9"/>
    <s v="PWEGPL"/>
    <s v="MSEDCL"/>
    <n v="2.5000000000000001E-2"/>
    <s v="CE100014"/>
    <x v="305"/>
    <s v="PM/Lift"/>
    <d v="1899-12-30T12:44:00"/>
    <d v="1899-12-30T12:44:00"/>
    <d v="1899-12-30T14:55:00"/>
    <n v="0"/>
    <n v="2.1833333333333336"/>
    <n v="2.1833333333333336"/>
    <s v="Lift maintenance work done"/>
    <s v="Close"/>
    <n v="5.4583333333333345E-2"/>
    <s v="G30"/>
    <n v="929.28125000000011"/>
    <s v="None"/>
    <s v="WTG Scheduled Maintenance"/>
    <n v="10215"/>
    <n v="929.28125000000011"/>
    <m/>
    <m/>
    <m/>
    <m/>
  </r>
  <r>
    <n v="2056"/>
    <x v="321"/>
    <x v="1"/>
    <x v="1"/>
    <x v="11"/>
    <x v="1"/>
    <x v="10"/>
    <s v="PWEGPL"/>
    <s v="MSEDCL"/>
    <n v="2.5000000000000001E-2"/>
    <s v="CE100014"/>
    <x v="305"/>
    <s v="PM/Lift"/>
    <d v="1899-12-30T15:08:00"/>
    <d v="1899-12-30T15:08:00"/>
    <d v="1899-12-30T16:40:00"/>
    <n v="0"/>
    <n v="1.5333333333333359"/>
    <n v="1.5333333333333359"/>
    <s v="Lift maintenance work done"/>
    <s v="Close"/>
    <n v="3.83333333333334E-2"/>
    <s v="G30"/>
    <n v="652.62500000000114"/>
    <s v="None"/>
    <s v="WTG Scheduled Maintenance"/>
    <n v="10215"/>
    <n v="652.62500000000114"/>
    <m/>
    <m/>
    <m/>
    <m/>
  </r>
  <r>
    <n v="2057"/>
    <x v="321"/>
    <x v="1"/>
    <x v="1"/>
    <x v="11"/>
    <x v="1"/>
    <x v="2"/>
    <s v="PWEGPL"/>
    <s v="MSEDCL"/>
    <n v="2.5000000000000001E-2"/>
    <n v="5263"/>
    <x v="311"/>
    <s v="BD"/>
    <d v="1899-12-30T13:44:00"/>
    <d v="1899-12-30T14:25:00"/>
    <d v="1899-12-30T14:52:00"/>
    <n v="0.68333333333333357"/>
    <n v="0.45000000000000107"/>
    <n v="1.1333333333333346"/>
    <s v="Slipring cleaned and restored"/>
    <s v="Close"/>
    <n v="2.8333333333333367E-2"/>
    <s v="G32"/>
    <n v="302.9777777777781"/>
    <s v="None"/>
    <s v="WTG Breakdown Maintenance"/>
    <n v="6416"/>
    <n v="302.9777777777781"/>
    <m/>
    <m/>
    <m/>
    <m/>
  </r>
  <r>
    <n v="2058"/>
    <x v="322"/>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9194.6104166666664"/>
    <s v="None"/>
    <s v="WTG Unscheduled Maintenance"/>
    <n v="9201"/>
    <n v="9194.6104166666664"/>
    <m/>
    <m/>
    <m/>
    <m/>
  </r>
  <r>
    <n v="2059"/>
    <x v="322"/>
    <x v="1"/>
    <x v="1"/>
    <x v="11"/>
    <x v="1"/>
    <x v="22"/>
    <s v="PWEGPL"/>
    <s v="MSEDCL"/>
    <n v="2.5000000000000001E-2"/>
    <s v="CE100014"/>
    <x v="305"/>
    <s v="Manual stop/TCA"/>
    <d v="1899-12-30T10:38:00"/>
    <d v="1899-12-30T10:38:00"/>
    <d v="1899-12-30T17:27:00"/>
    <n v="0"/>
    <n v="6.8166666666666664"/>
    <n v="6.8166666666666664"/>
    <s v="Gearbox damper replaced and restored"/>
    <s v="Close"/>
    <n v="0.17041666666666666"/>
    <s v="G04"/>
    <n v="1561.0166666666667"/>
    <s v="None"/>
    <s v="WTG Unscheduled Maintenance"/>
    <n v="5496"/>
    <n v="1561.0166666666667"/>
    <m/>
    <m/>
    <m/>
    <m/>
  </r>
  <r>
    <n v="2060"/>
    <x v="322"/>
    <x v="1"/>
    <x v="1"/>
    <x v="11"/>
    <x v="1"/>
    <x v="15"/>
    <s v="PWEGPL"/>
    <s v="MSEDCL"/>
    <n v="2.5000000000000001E-2"/>
    <n v="118"/>
    <x v="313"/>
    <s v="BD"/>
    <d v="1899-12-30T11:21:00"/>
    <d v="1899-12-30T11:21:00"/>
    <d v="1899-12-30T12:30:00"/>
    <n v="0"/>
    <n v="1.1500000000000012"/>
    <n v="1.1500000000000012"/>
    <s v="Yaw motor swap &amp; replacement work"/>
    <s v="Close"/>
    <n v="2.8750000000000032E-2"/>
    <s v="G34"/>
    <n v="349.60000000000036"/>
    <s v="None"/>
    <s v="WTG Breakdown Maintenance"/>
    <n v="7296"/>
    <n v="349.60000000000036"/>
    <m/>
    <m/>
    <m/>
    <m/>
  </r>
  <r>
    <n v="2061"/>
    <x v="322"/>
    <x v="1"/>
    <x v="1"/>
    <x v="11"/>
    <x v="1"/>
    <x v="15"/>
    <s v="PWEGPL"/>
    <s v="MSEDCL"/>
    <n v="2.5000000000000001E-2"/>
    <s v="CE100014"/>
    <x v="305"/>
    <s v="PM/Lift"/>
    <d v="1899-12-30T12:30:00"/>
    <d v="1899-12-30T12:30:00"/>
    <d v="1899-12-30T13:15:00"/>
    <n v="0"/>
    <n v="0.75"/>
    <n v="0.75"/>
    <s v="Lift maintenance work done"/>
    <s v="Close"/>
    <n v="1.8750000000000003E-2"/>
    <s v="G34"/>
    <n v="228"/>
    <s v="None"/>
    <s v="WTG Scheduled Maintenance"/>
    <n v="7296"/>
    <n v="228"/>
    <m/>
    <m/>
    <m/>
    <m/>
  </r>
  <r>
    <n v="2062"/>
    <x v="322"/>
    <x v="1"/>
    <x v="1"/>
    <x v="11"/>
    <x v="1"/>
    <x v="29"/>
    <s v="PWEGPL"/>
    <s v="MSEDCL"/>
    <n v="2.5000000000000001E-2"/>
    <n v="116"/>
    <x v="361"/>
    <s v="BD"/>
    <d v="1899-12-30T13:30:00"/>
    <d v="1899-12-30T14:00:00"/>
    <d v="1899-12-30T14:57:00"/>
    <n v="0.50000000000000089"/>
    <n v="0.94999999999999929"/>
    <n v="1.4500000000000002"/>
    <s v="pos110 value tunning done and restored"/>
    <s v="Close"/>
    <n v="3.6250000000000004E-2"/>
    <s v="G10"/>
    <n v="345.52291666666667"/>
    <s v="None"/>
    <s v="WTG Breakdown Maintenance"/>
    <n v="5719"/>
    <n v="345.52291666666667"/>
    <m/>
    <m/>
    <m/>
    <m/>
  </r>
  <r>
    <n v="2063"/>
    <x v="323"/>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915.2791666666667"/>
    <s v="None"/>
    <s v="WTG Unscheduled Maintenance"/>
    <n v="3918"/>
    <n v="3915.2791666666667"/>
    <m/>
    <m/>
    <m/>
    <m/>
  </r>
  <r>
    <n v="2064"/>
    <x v="323"/>
    <x v="1"/>
    <x v="1"/>
    <x v="11"/>
    <x v="1"/>
    <x v="34"/>
    <s v="PWEGPL"/>
    <s v="MSEDCL"/>
    <n v="2.5000000000000001E-2"/>
    <s v="CE100014"/>
    <x v="305"/>
    <s v="Manual stop/TCA"/>
    <d v="1899-12-30T10:43:00"/>
    <d v="1899-12-30T10:43:00"/>
    <d v="1899-12-30T19:06:00"/>
    <n v="0"/>
    <n v="8.3833333333333346"/>
    <n v="8.3833333333333346"/>
    <s v="Gearbox damper replaced and restored"/>
    <s v="Close"/>
    <n v="0.20958333333333337"/>
    <s v="G21"/>
    <n v="1368.5791666666669"/>
    <s v="None"/>
    <s v="WTG Unscheduled Maintenance"/>
    <n v="3918"/>
    <n v="1368.5791666666669"/>
    <m/>
    <m/>
    <m/>
    <m/>
  </r>
  <r>
    <n v="2065"/>
    <x v="323"/>
    <x v="1"/>
    <x v="1"/>
    <x v="11"/>
    <x v="1"/>
    <x v="0"/>
    <s v="PWEGPL"/>
    <s v="MSEDCL"/>
    <n v="2.5000000000000001E-2"/>
    <s v="CE100014"/>
    <x v="305"/>
    <s v="PM/Lift"/>
    <d v="1899-12-30T11:45:00"/>
    <d v="1899-12-30T11:45:00"/>
    <d v="1899-12-30T12:46:00"/>
    <n v="0"/>
    <n v="1.0166666666666671"/>
    <n v="1.0166666666666671"/>
    <s v="Lift maintenance work done"/>
    <s v="Close"/>
    <n v="2.5416666666666678E-2"/>
    <s v="G19"/>
    <n v="169.91041666666672"/>
    <s v="None"/>
    <s v="WTG Scheduled Maintenance"/>
    <n v="4011"/>
    <n v="169.91041666666672"/>
    <m/>
    <m/>
    <m/>
    <m/>
  </r>
  <r>
    <n v="2066"/>
    <x v="323"/>
    <x v="1"/>
    <x v="1"/>
    <x v="11"/>
    <x v="1"/>
    <x v="37"/>
    <s v="PWEGPL"/>
    <s v="MSEDCL"/>
    <n v="2.5000000000000001E-2"/>
    <s v="CE100014"/>
    <x v="305"/>
    <s v="PM/Lift"/>
    <d v="1899-12-30T13:58:00"/>
    <d v="1899-12-30T13:58:00"/>
    <d v="1899-12-30T15:53:00"/>
    <n v="0"/>
    <n v="1.9166666666666652"/>
    <n v="1.9166666666666652"/>
    <s v="Lift maintenance work done"/>
    <s v="Close"/>
    <n v="4.7916666666666635E-2"/>
    <s v="G18"/>
    <n v="327.27083333333309"/>
    <s v="None"/>
    <s v="WTG Scheduled Maintenance"/>
    <n v="4098"/>
    <n v="327.27083333333309"/>
    <m/>
    <m/>
    <m/>
    <m/>
  </r>
  <r>
    <n v="2067"/>
    <x v="323"/>
    <x v="1"/>
    <x v="1"/>
    <x v="11"/>
    <x v="1"/>
    <x v="19"/>
    <s v="PWEGPL"/>
    <s v="MSEDCL"/>
    <n v="2.5000000000000001E-2"/>
    <n v="118"/>
    <x v="313"/>
    <s v="PM/Lift"/>
    <d v="1899-12-30T15:26:00"/>
    <d v="1899-12-30T15:26:00"/>
    <d v="1899-12-30T18:53:00"/>
    <n v="0"/>
    <n v="3.4499999999999984"/>
    <n v="3.4499999999999984"/>
    <s v="Lift maintenance work done &amp; Yaw motor replacement work"/>
    <s v="Close"/>
    <n v="8.6249999999999966E-2"/>
    <s v="G19"/>
    <n v="576.58124999999973"/>
    <s v="None"/>
    <s v="WTG Scheduled Maintenance"/>
    <n v="4011"/>
    <n v="576.58124999999973"/>
    <m/>
    <m/>
    <m/>
    <m/>
  </r>
  <r>
    <n v="2068"/>
    <x v="323"/>
    <x v="1"/>
    <x v="1"/>
    <x v="11"/>
    <x v="1"/>
    <x v="23"/>
    <s v="PWEGPL"/>
    <s v="MSEDCL"/>
    <n v="2.5000000000000001E-2"/>
    <n v="5263"/>
    <x v="311"/>
    <s v="BD"/>
    <d v="1899-12-30T21:33:00"/>
    <d v="1899-12-30T22:02:00"/>
    <d v="1899-12-30T23:02:00"/>
    <n v="0.48333333333333428"/>
    <n v="0.99999999999999911"/>
    <n v="1.4833333333333334"/>
    <s v="Slipring cleaned and restored"/>
    <s v="Close"/>
    <n v="3.7083333333333336E-2"/>
    <s v="G03"/>
    <n v="214.95972222222221"/>
    <s v="None"/>
    <s v="WTG Breakdown Maintenance"/>
    <n v="3478"/>
    <n v="214.95972222222221"/>
    <m/>
    <m/>
    <m/>
    <m/>
  </r>
  <r>
    <n v="2069"/>
    <x v="324"/>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8974.7631944444438"/>
    <s v="None"/>
    <s v="WTG Unscheduled Maintenance"/>
    <n v="8981"/>
    <n v="8974.7631944444438"/>
    <m/>
    <m/>
    <m/>
    <m/>
  </r>
  <r>
    <n v="2070"/>
    <x v="324"/>
    <x v="1"/>
    <x v="1"/>
    <x v="11"/>
    <x v="1"/>
    <x v="20"/>
    <s v="PWEGPL"/>
    <s v="MSEDCL"/>
    <n v="2.5000000000000001E-2"/>
    <s v="CE100010"/>
    <x v="296"/>
    <s v="PM"/>
    <d v="1899-12-30T14:38:00"/>
    <d v="1899-12-30T14:38:00"/>
    <d v="1899-12-30T17:49:00"/>
    <n v="0"/>
    <n v="3.1833333333333353"/>
    <n v="3.1833333333333353"/>
    <s v="PM pending works completed N2 filling and cleaning"/>
    <s v="Close"/>
    <n v="7.9583333333333395E-2"/>
    <s v="G02"/>
    <n v="1269.7520833333342"/>
    <s v="None"/>
    <s v="WTG Scheduled Maintenance"/>
    <n v="9573"/>
    <n v="1269.7520833333342"/>
    <m/>
    <m/>
    <m/>
    <m/>
  </r>
  <r>
    <n v="2071"/>
    <x v="324"/>
    <x v="1"/>
    <x v="1"/>
    <x v="11"/>
    <x v="1"/>
    <x v="39"/>
    <s v="PWEGPL"/>
    <s v="MSEDCL"/>
    <n v="2.5000000000000001E-2"/>
    <n v="205"/>
    <x v="312"/>
    <s v="BD"/>
    <d v="1899-12-30T13:41:00"/>
    <d v="1899-12-30T14:15:00"/>
    <d v="1899-12-30T15:47:00"/>
    <n v="0.56666666666666732"/>
    <n v="1.5333333333333332"/>
    <n v="2.1000000000000005"/>
    <s v="Oil top up and restored the WTG"/>
    <s v="Close"/>
    <n v="5.2500000000000019E-2"/>
    <s v="G14"/>
    <n v="740.25000000000023"/>
    <s v="None"/>
    <s v="WTG Breakdown Maintenance"/>
    <n v="8460"/>
    <n v="740.25000000000023"/>
    <m/>
    <m/>
    <m/>
    <m/>
  </r>
  <r>
    <n v="2072"/>
    <x v="325"/>
    <x v="1"/>
    <x v="1"/>
    <x v="11"/>
    <x v="1"/>
    <x v="39"/>
    <s v="PWEGPL"/>
    <s v="MSEDCL"/>
    <n v="2.5000000000000001E-2"/>
    <s v="CE100014"/>
    <x v="305"/>
    <s v="PM/Lift"/>
    <d v="1899-12-30T10:10:00"/>
    <d v="1899-12-30T10:10:00"/>
    <d v="1899-12-30T11:36:00"/>
    <n v="0"/>
    <n v="1.4333333333333336"/>
    <n v="1.4333333333333336"/>
    <s v="Lift maintenance work done"/>
    <s v="Close"/>
    <n v="3.5833333333333342E-2"/>
    <s v="G14"/>
    <n v="728.73055555555572"/>
    <s v="None"/>
    <s v="WTG Scheduled Maintenance"/>
    <n v="12202"/>
    <n v="728.73055555555572"/>
    <m/>
    <m/>
    <m/>
    <m/>
  </r>
  <r>
    <n v="2073"/>
    <x v="325"/>
    <x v="1"/>
    <x v="1"/>
    <x v="11"/>
    <x v="1"/>
    <x v="31"/>
    <s v="PWEGPL"/>
    <s v="MSEDCL"/>
    <n v="2.5000000000000001E-2"/>
    <s v="CE100014"/>
    <x v="305"/>
    <s v="PM/Lift"/>
    <d v="1899-12-30T11:55:00"/>
    <d v="1899-12-30T11:55:00"/>
    <d v="1899-12-30T14:02:00"/>
    <n v="0"/>
    <n v="2.1166666666666685"/>
    <n v="2.1166666666666685"/>
    <s v="Lift maintenance work done"/>
    <s v="Close"/>
    <n v="5.2916666666666716E-2"/>
    <s v="G14"/>
    <n v="1076.1486111111121"/>
    <s v="None"/>
    <s v="WTG Scheduled Maintenance"/>
    <n v="12202"/>
    <n v="1076.1486111111121"/>
    <m/>
    <m/>
    <m/>
    <m/>
  </r>
  <r>
    <n v="2074"/>
    <x v="325"/>
    <x v="1"/>
    <x v="1"/>
    <x v="11"/>
    <x v="1"/>
    <x v="24"/>
    <s v="PWEGPL"/>
    <s v="MSEDCL"/>
    <n v="2.5000000000000001E-2"/>
    <s v="CE100014"/>
    <x v="305"/>
    <s v="PM/Lift"/>
    <d v="1899-12-30T14:55:00"/>
    <d v="1899-12-30T14:55:00"/>
    <d v="1899-12-30T16:49:00"/>
    <n v="0"/>
    <n v="1.8999999999999986"/>
    <n v="1.8999999999999986"/>
    <s v="Lift maintenance work done"/>
    <s v="Close"/>
    <n v="4.7499999999999966E-2"/>
    <s v="G05"/>
    <n v="826.34166666666613"/>
    <s v="None"/>
    <s v="WTG Scheduled Maintenance"/>
    <n v="10438"/>
    <n v="826.34166666666613"/>
    <m/>
    <m/>
    <m/>
    <m/>
  </r>
  <r>
    <n v="2075"/>
    <x v="325"/>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4359.021527777779"/>
    <s v="None"/>
    <s v="WTG Unscheduled Maintenance"/>
    <n v="14369"/>
    <n v="14359.021527777779"/>
    <m/>
    <m/>
    <m/>
    <m/>
  </r>
  <r>
    <n v="2076"/>
    <x v="326"/>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5301.366666666667"/>
    <s v="None"/>
    <s v="WTG Unscheduled Maintenance"/>
    <n v="15312"/>
    <n v="15301.366666666667"/>
    <m/>
    <m/>
    <m/>
    <m/>
  </r>
  <r>
    <n v="2077"/>
    <x v="326"/>
    <x v="1"/>
    <x v="1"/>
    <x v="11"/>
    <x v="1"/>
    <x v="12"/>
    <s v="PWEGPL"/>
    <s v="MSEDCL"/>
    <n v="2.5000000000000001E-2"/>
    <s v="CE100014"/>
    <x v="305"/>
    <s v="PM/Lift"/>
    <d v="1899-12-30T11:56:00"/>
    <d v="1899-12-30T11:56:00"/>
    <d v="1899-12-30T13:40:00"/>
    <n v="0"/>
    <n v="1.7333333333333325"/>
    <n v="1.7333333333333325"/>
    <s v="Lift maintenance work done"/>
    <s v="Close"/>
    <n v="4.3333333333333314E-2"/>
    <s v="G29"/>
    <n v="904.79999999999961"/>
    <s v="None"/>
    <s v="WTG Scheduled Maintenance"/>
    <n v="12528"/>
    <n v="904.79999999999961"/>
    <m/>
    <m/>
    <m/>
    <m/>
  </r>
  <r>
    <n v="2078"/>
    <x v="326"/>
    <x v="1"/>
    <x v="1"/>
    <x v="11"/>
    <x v="1"/>
    <x v="14"/>
    <s v="PWEGPL"/>
    <s v="MSEDCL"/>
    <n v="2.5000000000000001E-2"/>
    <s v="CE100014"/>
    <x v="305"/>
    <s v="PM/Lift"/>
    <d v="1899-12-30T14:47:00"/>
    <d v="1899-12-30T14:47:00"/>
    <d v="1899-12-30T16:53:00"/>
    <n v="0"/>
    <n v="2.0999999999999979"/>
    <n v="2.0999999999999979"/>
    <s v="Lift maintenance work done"/>
    <s v="Close"/>
    <n v="5.2499999999999949E-2"/>
    <s v="G29"/>
    <n v="1096.1999999999989"/>
    <s v="None"/>
    <s v="WTG Scheduled Maintenance"/>
    <n v="12528"/>
    <n v="1096.1999999999989"/>
    <m/>
    <m/>
    <m/>
    <m/>
  </r>
  <r>
    <n v="2079"/>
    <x v="326"/>
    <x v="1"/>
    <x v="1"/>
    <x v="11"/>
    <x v="1"/>
    <x v="27"/>
    <s v="PWEGPL"/>
    <s v="MSEDCL"/>
    <n v="2.5000000000000001E-2"/>
    <n v="2118"/>
    <x v="293"/>
    <s v="BD"/>
    <d v="1899-12-30T07:57:00"/>
    <d v="1899-12-30T08:15:00"/>
    <d v="1899-12-30T08:22:00"/>
    <n v="0.30000000000000027"/>
    <n v="0.11666666666666758"/>
    <n v="0.41666666666666785"/>
    <s v="Slip ring replaced and restored"/>
    <s v="Close"/>
    <n v="1.0416666666666697E-2"/>
    <s v="G12"/>
    <n v="210.60763888888948"/>
    <s v="None"/>
    <s v="WTG Breakdown Maintenance"/>
    <n v="12131"/>
    <n v="210.60763888888948"/>
    <m/>
    <m/>
    <m/>
    <m/>
  </r>
  <r>
    <n v="2080"/>
    <x v="326"/>
    <x v="1"/>
    <x v="1"/>
    <x v="11"/>
    <x v="1"/>
    <x v="17"/>
    <s v="PWEGPL"/>
    <s v="MSEDCL"/>
    <n v="2.5000000000000001E-2"/>
    <n v="118"/>
    <x v="313"/>
    <s v="BD"/>
    <d v="1899-12-30T14:48:00"/>
    <d v="1899-12-30T14:48:00"/>
    <d v="1899-12-30T17:20:00"/>
    <n v="0"/>
    <n v="2.5333333333333323"/>
    <n v="2.5333333333333323"/>
    <s v="Yaw motor replacedand restored"/>
    <s v="Close"/>
    <n v="6.3333333333333311E-2"/>
    <s v="G10"/>
    <n v="1306.3555555555549"/>
    <s v="None"/>
    <s v="WTG Breakdown Maintenance"/>
    <n v="12376"/>
    <n v="1306.3555555555549"/>
    <m/>
    <m/>
    <m/>
    <m/>
  </r>
  <r>
    <n v="2081"/>
    <x v="327"/>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694.0430555555558"/>
    <s v="None"/>
    <s v="WTG Unscheduled Maintenance"/>
    <n v="5698"/>
    <n v="5694.0430555555558"/>
    <m/>
    <m/>
    <m/>
    <m/>
  </r>
  <r>
    <n v="2082"/>
    <x v="327"/>
    <x v="1"/>
    <x v="1"/>
    <x v="11"/>
    <x v="1"/>
    <x v="25"/>
    <s v="PWEGPL"/>
    <s v="MSEDCL"/>
    <n v="2.5000000000000001E-2"/>
    <s v="CE100014"/>
    <x v="305"/>
    <s v="Manual stop/TCA"/>
    <d v="1899-12-30T10:55:00"/>
    <d v="1899-12-30T10:55:00"/>
    <d v="1899-12-30T18:22:00"/>
    <n v="0"/>
    <n v="7.4500000000000011"/>
    <n v="7.4500000000000011"/>
    <s v="TCA point transformer cooliong fan terminal replacement work and cooling fan replacement work"/>
    <s v="Close"/>
    <n v="0.18625000000000003"/>
    <s v="G04"/>
    <n v="1745.1625000000001"/>
    <s v="None"/>
    <s v="WTG Breakdown Maintenance"/>
    <n v="5622"/>
    <n v="1745.1625000000001"/>
    <m/>
    <m/>
    <m/>
    <m/>
  </r>
  <r>
    <n v="2083"/>
    <x v="328"/>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575.9048611111111"/>
    <s v="None"/>
    <s v="WTG Unscheduled Maintenance"/>
    <n v="1577"/>
    <n v="1575.9048611111111"/>
    <m/>
    <m/>
    <m/>
    <m/>
  </r>
  <r>
    <n v="2084"/>
    <x v="328"/>
    <x v="1"/>
    <x v="1"/>
    <x v="11"/>
    <x v="1"/>
    <x v="3"/>
    <s v="PWEGPL"/>
    <s v="MSEDCL"/>
    <n v="2.5000000000000001E-2"/>
    <n v="110"/>
    <x v="287"/>
    <s v="BD"/>
    <d v="1899-12-30T22:04:00"/>
    <d v="1899-12-30T23:12:00"/>
    <d v="1899-12-30T23:37:00"/>
    <n v="1.1333333333333346"/>
    <n v="0.41666666666666785"/>
    <n v="1.5500000000000025"/>
    <s v="Cable untwisted and restored the turbine"/>
    <s v="Close"/>
    <n v="3.8750000000000062E-2"/>
    <s v="G26"/>
    <n v="106.23958333333351"/>
    <s v="None"/>
    <s v="WTG Breakdown Maintenance"/>
    <n v="1645"/>
    <n v="106.23958333333351"/>
    <m/>
    <m/>
    <m/>
    <m/>
  </r>
  <r>
    <n v="2085"/>
    <x v="328"/>
    <x v="1"/>
    <x v="1"/>
    <x v="11"/>
    <x v="1"/>
    <x v="4"/>
    <s v="PWEGPL"/>
    <s v="MSEDCL"/>
    <n v="2.5000000000000001E-2"/>
    <s v="CE100014"/>
    <x v="305"/>
    <s v="PM/Lift"/>
    <d v="1899-12-30T13:57:00"/>
    <d v="1899-12-30T13:57:00"/>
    <d v="1899-12-30T15:33:00"/>
    <n v="0"/>
    <n v="1.6000000000000023"/>
    <n v="1.6000000000000023"/>
    <s v="Lift maintenance work done"/>
    <s v="Close"/>
    <n v="4.0000000000000063E-2"/>
    <s v="G24"/>
    <n v="137.33333333333351"/>
    <s v="None"/>
    <s v="WTG Scheduled Maintenance"/>
    <n v="2060"/>
    <n v="137.33333333333351"/>
    <m/>
    <m/>
    <m/>
    <m/>
  </r>
  <r>
    <n v="2086"/>
    <x v="328"/>
    <x v="1"/>
    <x v="1"/>
    <x v="11"/>
    <x v="1"/>
    <x v="36"/>
    <s v="PWEGPL"/>
    <s v="MSEDCL"/>
    <n v="2.5000000000000001E-2"/>
    <s v="CE100014"/>
    <x v="305"/>
    <s v="PM/Lift"/>
    <d v="1899-12-30T10:32:00"/>
    <d v="1899-12-30T10:32:00"/>
    <d v="1899-12-30T11:56:00"/>
    <n v="0"/>
    <n v="1.4000000000000004"/>
    <n v="1.4000000000000004"/>
    <s v="Lift maintenance work done"/>
    <s v="Close"/>
    <n v="3.500000000000001E-2"/>
    <s v="G38"/>
    <n v="84.000000000000028"/>
    <s v="None"/>
    <s v="WTG Scheduled Maintenance"/>
    <n v="1440"/>
    <n v="84.000000000000028"/>
    <m/>
    <m/>
    <m/>
    <m/>
  </r>
  <r>
    <n v="2087"/>
    <x v="329"/>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762.7750000000001"/>
    <s v="None"/>
    <s v="WTG Unscheduled Maintenance"/>
    <n v="1764"/>
    <n v="1762.7750000000001"/>
    <m/>
    <m/>
    <m/>
    <m/>
  </r>
  <r>
    <n v="2088"/>
    <x v="329"/>
    <x v="1"/>
    <x v="1"/>
    <x v="11"/>
    <x v="1"/>
    <x v="12"/>
    <s v="PWEGPL"/>
    <s v="MSEDCL"/>
    <n v="2.5000000000000001E-2"/>
    <n v="2118"/>
    <x v="293"/>
    <s v="BD"/>
    <d v="1899-12-30T11:46:00"/>
    <d v="1899-12-30T11:50:00"/>
    <d v="1899-12-30T12:13:00"/>
    <n v="6.666666666666643E-2"/>
    <n v="0.38333333333333197"/>
    <n v="0.4499999999999984"/>
    <s v="Slipring cleaned and restored the turbine"/>
    <s v="Close"/>
    <n v="1.1249999999999961E-2"/>
    <s v="G30"/>
    <n v="43.368749999999849"/>
    <s v="None"/>
    <s v="WTG Breakdown Maintenance"/>
    <n v="2313"/>
    <n v="43.368749999999849"/>
    <m/>
    <m/>
    <m/>
    <m/>
  </r>
  <r>
    <n v="2089"/>
    <x v="330"/>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6138.7340277777785"/>
    <s v="None"/>
    <s v="WTG Unscheduled Maintenance"/>
    <n v="6143"/>
    <n v="6138.7340277777785"/>
    <m/>
    <m/>
    <m/>
    <m/>
  </r>
  <r>
    <n v="2090"/>
    <x v="330"/>
    <x v="1"/>
    <x v="1"/>
    <x v="11"/>
    <x v="1"/>
    <x v="33"/>
    <s v="PWEGPL"/>
    <s v="MSEDCL"/>
    <n v="2.5000000000000001E-2"/>
    <n v="413"/>
    <x v="401"/>
    <s v="BD"/>
    <d v="1899-12-30T16:00:00"/>
    <d v="1899-12-30T16:00:00"/>
    <d v="1899-12-30T17:50:00"/>
    <n v="0"/>
    <n v="1.8333333333333321"/>
    <n v="1.8333333333333321"/>
    <s v="GB auxiluary motor replaced and restored the turbine"/>
    <s v="Close"/>
    <n v="4.5833333333333309E-2"/>
    <s v="G22"/>
    <n v="469.25694444444417"/>
    <s v="None"/>
    <s v="WTG Breakdown Maintenance"/>
    <n v="6143"/>
    <n v="469.25694444444417"/>
    <m/>
    <m/>
    <m/>
    <m/>
  </r>
  <r>
    <n v="2091"/>
    <x v="330"/>
    <x v="1"/>
    <x v="1"/>
    <x v="11"/>
    <x v="1"/>
    <x v="8"/>
    <s v="PWEGPL"/>
    <s v="MSEDCL"/>
    <n v="2.5000000000000001E-2"/>
    <n v="413"/>
    <x v="401"/>
    <s v="BD"/>
    <d v="1899-12-30T12:27:00"/>
    <d v="1899-12-30T12:27:00"/>
    <d v="1899-12-30T14:06:00"/>
    <n v="0"/>
    <n v="1.6500000000000021"/>
    <n v="1.6500000000000021"/>
    <s v="GB auxiluary motor replaced and restored the turbine"/>
    <s v="Close"/>
    <n v="4.1250000000000057E-2"/>
    <s v="G24"/>
    <n v="391.94375000000048"/>
    <s v="None"/>
    <s v="WTG Breakdown Maintenance"/>
    <n v="5701"/>
    <n v="391.94375000000048"/>
    <m/>
    <m/>
    <m/>
    <m/>
  </r>
  <r>
    <n v="2092"/>
    <x v="331"/>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720.1097222222224"/>
    <s v="None"/>
    <s v="WTG Unscheduled Maintenance"/>
    <n v="2722"/>
    <n v="2720.1097222222224"/>
    <m/>
    <m/>
    <m/>
    <m/>
  </r>
  <r>
    <n v="2093"/>
    <x v="331"/>
    <x v="1"/>
    <x v="1"/>
    <x v="11"/>
    <x v="1"/>
    <x v="7"/>
    <s v="PWEGPL"/>
    <s v="MSEDCL"/>
    <n v="2.5000000000000001E-2"/>
    <n v="205"/>
    <x v="312"/>
    <s v="BD"/>
    <d v="1899-12-30T06:20:00"/>
    <d v="1899-12-30T07:20:00"/>
    <d v="1899-12-30T09:00:00"/>
    <n v="0.99999999999999911"/>
    <n v="1.6666666666666674"/>
    <n v="2.6666666666666665"/>
    <s v="Oil top up and restored the WTG"/>
    <s v="Close"/>
    <n v="6.6666666666666666E-2"/>
    <s v="G39"/>
    <n v="240.44444444444446"/>
    <s v="None"/>
    <s v="WTG Breakdown Maintenance"/>
    <n v="2164"/>
    <n v="240.44444444444446"/>
    <m/>
    <m/>
    <m/>
    <m/>
  </r>
  <r>
    <n v="2094"/>
    <x v="331"/>
    <x v="1"/>
    <x v="1"/>
    <x v="11"/>
    <x v="1"/>
    <x v="16"/>
    <s v="PWEGPL"/>
    <s v="MSEDCL"/>
    <n v="2.5000000000000001E-2"/>
    <n v="110"/>
    <x v="287"/>
    <s v="BD"/>
    <d v="1899-12-30T15:05:00"/>
    <d v="1899-12-30T15:10:00"/>
    <d v="1899-12-30T15:39:00"/>
    <n v="8.3333333333333037E-2"/>
    <n v="0.48333333333333428"/>
    <n v="0.56666666666666732"/>
    <s v="Cable untwisted and restored the turbine"/>
    <s v="Close"/>
    <n v="1.4166666666666683E-2"/>
    <s v="G37"/>
    <n v="56.973611111111182"/>
    <s v="None"/>
    <s v="WTG Breakdown Maintenance"/>
    <n v="2413"/>
    <n v="56.973611111111182"/>
    <m/>
    <m/>
    <m/>
    <m/>
  </r>
  <r>
    <n v="2095"/>
    <x v="332"/>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458.5965277777782"/>
    <s v="None"/>
    <s v="WTG Unscheduled Maintenance"/>
    <n v="3461"/>
    <n v="3458.5965277777782"/>
    <m/>
    <m/>
    <m/>
    <m/>
  </r>
  <r>
    <n v="2096"/>
    <x v="333"/>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931.9625000000001"/>
    <s v="None"/>
    <s v="WTG Unscheduled Maintenance"/>
    <n v="2934"/>
    <n v="2931.9625000000001"/>
    <m/>
    <m/>
    <m/>
    <m/>
  </r>
  <r>
    <n v="2097"/>
    <x v="333"/>
    <x v="1"/>
    <x v="1"/>
    <x v="11"/>
    <x v="1"/>
    <x v="27"/>
    <s v="PWEGPL"/>
    <s v="MSEDCL"/>
    <n v="2.5000000000000001E-2"/>
    <n v="5263"/>
    <x v="311"/>
    <s v="BD"/>
    <d v="1899-12-30T14:23:00"/>
    <d v="1899-12-30T14:38:00"/>
    <d v="1899-12-30T16:01:00"/>
    <n v="0.24999999999999911"/>
    <n v="1.3833333333333337"/>
    <n v="1.6333333333333329"/>
    <s v="Slipring spare connection given and restored"/>
    <s v="Close"/>
    <n v="4.0833333333333326E-2"/>
    <s v="G12"/>
    <n v="179.87083333333328"/>
    <s v="None"/>
    <s v="WTG Breakdown Maintenance"/>
    <n v="2643"/>
    <n v="179.87083333333328"/>
    <m/>
    <m/>
    <m/>
    <m/>
  </r>
  <r>
    <n v="2098"/>
    <x v="333"/>
    <x v="1"/>
    <x v="1"/>
    <x v="11"/>
    <x v="1"/>
    <x v="36"/>
    <s v="PWEGPL"/>
    <s v="MSEDCL"/>
    <n v="2.5000000000000001E-2"/>
    <n v="103"/>
    <x v="307"/>
    <s v="BD"/>
    <d v="1899-12-30T11:33:00"/>
    <d v="1899-12-30T12:01:00"/>
    <d v="1899-12-30T14:04:00"/>
    <n v="0.46666666666666634"/>
    <n v="2.0500000000000007"/>
    <n v="2.5166666666666671"/>
    <s v="Loose connection observed in add on block then corrected and restored"/>
    <s v="Close"/>
    <n v="6.2916666666666676E-2"/>
    <s v="G24"/>
    <n v="308.0819444444445"/>
    <s v="None"/>
    <s v="WTG Breakdown Maintenance"/>
    <n v="2938"/>
    <n v="308.0819444444445"/>
    <m/>
    <m/>
    <m/>
    <m/>
  </r>
  <r>
    <n v="2099"/>
    <x v="334"/>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40.62430555555557"/>
    <s v="None"/>
    <s v="WTG Unscheduled Maintenance"/>
    <n v="541"/>
    <n v="540.62430555555557"/>
    <m/>
    <m/>
    <m/>
    <m/>
  </r>
  <r>
    <n v="2100"/>
    <x v="334"/>
    <x v="1"/>
    <x v="1"/>
    <x v="11"/>
    <x v="1"/>
    <x v="21"/>
    <s v="PWEGPL"/>
    <s v="MSEDCL"/>
    <n v="2.5000000000000001E-2"/>
    <n v="1825"/>
    <x v="402"/>
    <s v="BD"/>
    <d v="1899-12-30T19:38:00"/>
    <d v="1899-12-30T19:59:00"/>
    <d v="1899-12-30T20:05:00"/>
    <n v="0.35000000000000142"/>
    <n v="9.999999999999698E-2"/>
    <n v="0.4499999999999984"/>
    <s v="Reset and restored "/>
    <s v="Close"/>
    <n v="1.1249999999999961E-2"/>
    <s v="G01"/>
    <n v="11.26874999999996"/>
    <s v="None"/>
    <s v="WTG Breakdown Maintenance"/>
    <n v="601"/>
    <n v="11.26874999999996"/>
    <m/>
    <m/>
    <m/>
    <m/>
  </r>
  <r>
    <n v="2101"/>
    <x v="335"/>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126.8270833333336"/>
    <s v="None"/>
    <s v="WTG Unscheduled Maintenance"/>
    <n v="3129"/>
    <n v="3126.8270833333336"/>
    <m/>
    <m/>
    <m/>
    <m/>
  </r>
  <r>
    <n v="2102"/>
    <x v="335"/>
    <x v="1"/>
    <x v="1"/>
    <x v="11"/>
    <x v="1"/>
    <x v="28"/>
    <s v="PWEGPL"/>
    <s v="MSEDCL"/>
    <n v="2.5000000000000001E-2"/>
    <n v="205"/>
    <x v="312"/>
    <s v="BD"/>
    <d v="1899-12-30T12:54:00"/>
    <d v="1899-12-30T13:45:00"/>
    <d v="1899-12-30T14:15:00"/>
    <n v="0.84999999999999964"/>
    <n v="0.50000000000000089"/>
    <n v="1.3500000000000005"/>
    <s v="Oil top up and restored the WTG"/>
    <s v="Close"/>
    <n v="3.3750000000000016E-2"/>
    <s v="G11"/>
    <n v="87.693750000000023"/>
    <s v="None"/>
    <s v="WTG Breakdown Maintenance"/>
    <n v="1559"/>
    <n v="87.693750000000023"/>
    <m/>
    <m/>
    <m/>
    <m/>
  </r>
  <r>
    <n v="2103"/>
    <x v="335"/>
    <x v="1"/>
    <x v="1"/>
    <x v="11"/>
    <x v="1"/>
    <x v="39"/>
    <s v="PWEGPL"/>
    <s v="MSEDCL"/>
    <n v="2.5000000000000001E-2"/>
    <s v="CE100001"/>
    <x v="288"/>
    <s v="BD"/>
    <d v="1899-12-30T10:10:00"/>
    <d v="1899-12-30T10:10:00"/>
    <d v="1899-12-30T14:30:00"/>
    <n v="0"/>
    <n v="4.3333333333333321"/>
    <n v="4.3333333333333321"/>
    <s v="Pitch seal replacement work"/>
    <s v="Close"/>
    <n v="0.10833333333333331"/>
    <s v="G14"/>
    <n v="289.06944444444434"/>
    <s v="None"/>
    <s v="WTG Breakdown Maintenance"/>
    <n v="1601"/>
    <n v="289.06944444444434"/>
    <m/>
    <m/>
    <m/>
    <m/>
  </r>
  <r>
    <n v="2104"/>
    <x v="336"/>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276.3333333333339"/>
    <s v="None"/>
    <s v="WTG Unscheduled Maintenance"/>
    <n v="5280"/>
    <n v="5276.3333333333339"/>
    <m/>
    <m/>
    <m/>
    <m/>
  </r>
  <r>
    <n v="2105"/>
    <x v="336"/>
    <x v="1"/>
    <x v="1"/>
    <x v="11"/>
    <x v="1"/>
    <x v="25"/>
    <s v="PWEGPL"/>
    <s v="MSEDCL"/>
    <n v="2.5000000000000001E-2"/>
    <n v="404"/>
    <x v="352"/>
    <s v="BD"/>
    <d v="1899-12-30T10:54:00"/>
    <d v="1899-12-30T10:54:00"/>
    <d v="1899-12-30T16:57:00"/>
    <n v="0"/>
    <n v="6.0499999999999989"/>
    <n v="6.0499999999999989"/>
    <s v="Gear box dampers replaced and restored the turbine"/>
    <s v="Close"/>
    <n v="0.15125"/>
    <s v="G04"/>
    <n v="1138.1562499999998"/>
    <s v="None"/>
    <s v="WTG Breakdown Maintenance"/>
    <n v="4515"/>
    <n v="1138.1562499999998"/>
    <m/>
    <m/>
    <m/>
    <m/>
  </r>
  <r>
    <n v="2106"/>
    <x v="337"/>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4563.8284722222224"/>
    <s v="None"/>
    <s v="WTG Unscheduled Maintenance"/>
    <n v="4567"/>
    <n v="4563.8284722222224"/>
    <m/>
    <m/>
    <m/>
    <m/>
  </r>
  <r>
    <n v="2107"/>
    <x v="337"/>
    <x v="1"/>
    <x v="1"/>
    <x v="11"/>
    <x v="1"/>
    <x v="12"/>
    <s v="PWEGPL"/>
    <s v="MSEDCL"/>
    <n v="2.5000000000000001E-2"/>
    <n v="205"/>
    <x v="312"/>
    <s v="BD"/>
    <d v="1899-12-30T10:04:00"/>
    <d v="1899-12-30T10:35:00"/>
    <d v="1899-12-30T11:38:00"/>
    <n v="0.5166666666666675"/>
    <n v="1.0499999999999989"/>
    <n v="1.5666666666666664"/>
    <s v="Oil top up and restored the WTG"/>
    <s v="Close"/>
    <n v="3.9166666666666662E-2"/>
    <s v="G30"/>
    <n v="345.44999999999993"/>
    <s v="None"/>
    <s v="WTG Breakdown Maintenance"/>
    <n v="5292"/>
    <n v="345.44999999999993"/>
    <m/>
    <m/>
    <m/>
    <m/>
  </r>
  <r>
    <n v="2108"/>
    <x v="338"/>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5046.4930555555557"/>
    <s v="None"/>
    <s v="WTG Unscheduled Maintenance"/>
    <n v="5050"/>
    <n v="5046.4930555555557"/>
    <m/>
    <m/>
    <m/>
    <m/>
  </r>
  <r>
    <n v="2109"/>
    <x v="338"/>
    <x v="1"/>
    <x v="1"/>
    <x v="11"/>
    <x v="1"/>
    <x v="3"/>
    <s v="PWEGPL"/>
    <s v="MSEDCL"/>
    <n v="2.5000000000000001E-2"/>
    <n v="2118"/>
    <x v="293"/>
    <s v="BD"/>
    <d v="1899-12-30T02:06:00"/>
    <d v="1899-12-30T02:35:00"/>
    <d v="1899-12-30T03:08:00"/>
    <n v="0.48333333333333328"/>
    <n v="0.55000000000000004"/>
    <n v="1.0333333333333332"/>
    <s v="Slipring cleaned and restored the turbine"/>
    <s v="Close"/>
    <n v="2.5833333333333333E-2"/>
    <s v="G26"/>
    <n v="214.3736111111111"/>
    <s v="None"/>
    <s v="WTG Breakdown Maintenance"/>
    <n v="4979"/>
    <n v="214.3736111111111"/>
    <m/>
    <m/>
    <m/>
    <m/>
  </r>
  <r>
    <n v="2110"/>
    <x v="338"/>
    <x v="1"/>
    <x v="1"/>
    <x v="11"/>
    <x v="1"/>
    <x v="21"/>
    <s v="PWEGPL"/>
    <s v="MSEDCL"/>
    <n v="2.5000000000000001E-2"/>
    <n v="5236"/>
    <x v="363"/>
    <s v="BD"/>
    <d v="1899-12-30T18:59:00"/>
    <d v="1899-12-30T19:35:00"/>
    <d v="1899-12-30T21:42:00"/>
    <n v="0.59999999999999787"/>
    <n v="2.1166666666666671"/>
    <n v="2.716666666666665"/>
    <s v="While troubleshooting found CCU R phase optical cable found loose then corrected and restored"/>
    <s v="Close"/>
    <n v="6.7916666666666625E-2"/>
    <s v="G01"/>
    <n v="588.04513888888857"/>
    <s v="None"/>
    <s v="WTG Breakdown Maintenance"/>
    <n v="5195"/>
    <n v="588.04513888888857"/>
    <m/>
    <m/>
    <m/>
    <m/>
  </r>
  <r>
    <n v="2111"/>
    <x v="338"/>
    <x v="1"/>
    <x v="1"/>
    <x v="11"/>
    <x v="1"/>
    <x v="25"/>
    <s v="PWEGPL"/>
    <s v="MSEDCL"/>
    <n v="2.5000000000000001E-2"/>
    <n v="507"/>
    <x v="318"/>
    <s v="Manual stop"/>
    <d v="1899-12-30T11:31:00"/>
    <d v="1899-12-30T11:31:00"/>
    <d v="1899-12-30T13:25:00"/>
    <n v="0"/>
    <n v="1.9"/>
    <n v="1.9"/>
    <s v="Checked on related repeated fault DTD filter alarm and found no any abnormalities but oberved generator vibration due to bearing failure. "/>
    <s v="Close"/>
    <n v="4.7500000000000001E-2"/>
    <s v="G04"/>
    <n v="389.65833333333336"/>
    <s v="None"/>
    <s v="WTG Breakdown Maintenance"/>
    <n v="4922"/>
    <n v="389.65833333333336"/>
    <m/>
    <m/>
    <m/>
    <m/>
  </r>
  <r>
    <n v="2112"/>
    <x v="339"/>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562.2194444444444"/>
    <s v="None"/>
    <s v="WTG Unscheduled Maintenance"/>
    <n v="2564"/>
    <n v="2562.2194444444444"/>
    <m/>
    <m/>
    <m/>
    <m/>
  </r>
  <r>
    <n v="2113"/>
    <x v="339"/>
    <x v="1"/>
    <x v="1"/>
    <x v="11"/>
    <x v="1"/>
    <x v="21"/>
    <s v="PWEGPL"/>
    <s v="MSEDCL"/>
    <n v="2.5000000000000001E-2"/>
    <n v="700"/>
    <x v="329"/>
    <s v="BD"/>
    <d v="1899-12-30T15:31:00"/>
    <d v="1899-12-30T15:31:00"/>
    <d v="1899-12-30T16:41:00"/>
    <n v="0"/>
    <n v="1.1666666666666652"/>
    <n v="1.1666666666666652"/>
    <s v="Manual stop for repeated fault rectification work and replaced R phase IGBT optical cable and restored"/>
    <s v="Close"/>
    <n v="2.9166666666666632E-2"/>
    <s v="G01"/>
    <n v="273.29166666666634"/>
    <s v="None"/>
    <s v="WTG Breakdown Maintenance"/>
    <n v="5622"/>
    <n v="273.29166666666634"/>
    <m/>
    <m/>
    <m/>
    <m/>
  </r>
  <r>
    <n v="2114"/>
    <x v="340"/>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604.8847222222223"/>
    <s v="None"/>
    <s v="WTG Unscheduled Maintenance"/>
    <n v="1606"/>
    <n v="1604.8847222222223"/>
    <m/>
    <m/>
    <m/>
    <m/>
  </r>
  <r>
    <n v="2115"/>
    <x v="340"/>
    <x v="1"/>
    <x v="1"/>
    <x v="11"/>
    <x v="1"/>
    <x v="23"/>
    <s v="PWEGPL"/>
    <s v="MSEDCL"/>
    <n v="2.5000000000000001E-2"/>
    <s v="CE100014"/>
    <x v="305"/>
    <s v="Manual stop/TCA"/>
    <d v="1899-12-30T14:27:00"/>
    <d v="1899-12-30T14:27:00"/>
    <d v="1899-12-30T18:02:00"/>
    <n v="0"/>
    <n v="3.5833333333333366"/>
    <n v="3.5833333333333366"/>
    <s v="Tower earthing cable replaced and restored"/>
    <s v="Close"/>
    <n v="8.9583333333333418E-2"/>
    <s v="G15"/>
    <n v="507.63888888888931"/>
    <s v="None"/>
    <s v="WTG Unscheduled Maintenance"/>
    <n v="3400"/>
    <n v="507.63888888888931"/>
    <m/>
    <m/>
    <m/>
    <m/>
  </r>
  <r>
    <n v="2116"/>
    <x v="340"/>
    <x v="1"/>
    <x v="1"/>
    <x v="11"/>
    <x v="1"/>
    <x v="6"/>
    <s v="PWEGPL"/>
    <s v="MSEDCL"/>
    <n v="2.5000000000000001E-2"/>
    <n v="2118"/>
    <x v="293"/>
    <s v="BD"/>
    <d v="1899-12-30T00:44:00"/>
    <d v="1899-12-30T02:33:00"/>
    <d v="1899-12-30T03:10:00"/>
    <n v="1.8166666666666664"/>
    <n v="0.61666666666666681"/>
    <n v="2.4333333333333336"/>
    <s v="Slipring cleaned and restored the turbine"/>
    <s v="Close"/>
    <n v="6.0833333333333343E-2"/>
    <s v="G40"/>
    <n v="169.72500000000002"/>
    <s v="None"/>
    <s v="WTG Breakdown Maintenance"/>
    <n v="1674"/>
    <n v="169.72500000000002"/>
    <m/>
    <m/>
    <m/>
    <m/>
  </r>
  <r>
    <n v="2117"/>
    <x v="341"/>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972.2395833333335"/>
    <s v="None"/>
    <s v="WTG Unscheduled Maintenance"/>
    <n v="3975"/>
    <n v="3972.2395833333335"/>
    <m/>
    <m/>
    <m/>
    <m/>
  </r>
  <r>
    <n v="2118"/>
    <x v="341"/>
    <x v="1"/>
    <x v="1"/>
    <x v="11"/>
    <x v="1"/>
    <x v="21"/>
    <s v="PWEGPL"/>
    <s v="MSEDCL"/>
    <n v="2.5000000000000001E-2"/>
    <s v="CE100014"/>
    <x v="305"/>
    <s v="Manual stop/TCA"/>
    <d v="1899-12-30T12:44:00"/>
    <d v="1899-12-30T12:44:00"/>
    <d v="1899-12-30T16:30:00"/>
    <n v="0"/>
    <n v="3.7666666666666666"/>
    <n v="3.7666666666666666"/>
    <s v="Tower earthing cable replaced and restored"/>
    <s v="Close"/>
    <n v="9.4166666666666676E-2"/>
    <s v="G01"/>
    <n v="847.65694444444443"/>
    <s v="None"/>
    <s v="WTG Unscheduled Maintenance"/>
    <n v="5401"/>
    <n v="847.65694444444443"/>
    <m/>
    <m/>
    <m/>
    <m/>
  </r>
  <r>
    <n v="2119"/>
    <x v="342"/>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4116.1395833333336"/>
    <s v="None"/>
    <s v="WTG Unscheduled Maintenance"/>
    <n v="4119"/>
    <n v="4116.1395833333336"/>
    <m/>
    <m/>
    <m/>
    <m/>
  </r>
  <r>
    <n v="2120"/>
    <x v="342"/>
    <x v="1"/>
    <x v="1"/>
    <x v="11"/>
    <x v="1"/>
    <x v="26"/>
    <s v="PWEGPL"/>
    <s v="MSEDCL"/>
    <n v="2.5000000000000001E-2"/>
    <s v="CE100014"/>
    <x v="305"/>
    <s v="Manual stop/TCA"/>
    <d v="1899-12-30T13:22:00"/>
    <d v="1899-12-30T13:22:00"/>
    <d v="1899-12-30T18:42:00"/>
    <n v="0"/>
    <n v="5.333333333333333"/>
    <n v="5.333333333333333"/>
    <s v="Tower earthing cable replaced and restored"/>
    <s v="Close"/>
    <n v="0.13333333333333333"/>
    <s v="G01"/>
    <n v="2183.5555555555557"/>
    <s v="None"/>
    <s v="WTG Unscheduled Maintenance"/>
    <n v="9826"/>
    <n v="2183.5555555555557"/>
    <m/>
    <m/>
    <m/>
    <m/>
  </r>
  <r>
    <n v="2121"/>
    <x v="342"/>
    <x v="1"/>
    <x v="1"/>
    <x v="11"/>
    <x v="1"/>
    <x v="25"/>
    <s v="PWEGPL"/>
    <s v="MSEDCL"/>
    <n v="2.5000000000000001E-2"/>
    <n v="1813"/>
    <x v="332"/>
    <s v="BD"/>
    <d v="1899-12-30T21:52:00"/>
    <d v="1899-12-30T22:49:00"/>
    <d v="1899-12-30T23:05:00"/>
    <n v="0.94999999999999929"/>
    <n v="0.26666666666666572"/>
    <n v="1.216666666666665"/>
    <s v="Reset and restored "/>
    <s v="Close"/>
    <n v="3.0416666666666627E-2"/>
    <s v="G04"/>
    <n v="431.81527777777723"/>
    <s v="None"/>
    <s v="WTG Breakdown Maintenance"/>
    <n v="8518"/>
    <n v="431.81527777777723"/>
    <m/>
    <m/>
    <m/>
    <m/>
  </r>
  <r>
    <n v="2122"/>
    <x v="343"/>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864.0097222222225"/>
    <s v="None"/>
    <s v="WTG Unscheduled Maintenance"/>
    <n v="2866"/>
    <n v="2864.0097222222225"/>
    <m/>
    <m/>
    <m/>
    <m/>
  </r>
  <r>
    <n v="2123"/>
    <x v="343"/>
    <x v="1"/>
    <x v="1"/>
    <x v="11"/>
    <x v="1"/>
    <x v="10"/>
    <s v="PWEGPL"/>
    <s v="MSEDCL"/>
    <n v="2.5000000000000001E-2"/>
    <s v="CE100014"/>
    <x v="305"/>
    <s v="Manual stop/TCA"/>
    <d v="1899-12-30T13:38:00"/>
    <d v="1899-12-30T13:38:00"/>
    <d v="1899-12-30T17:59:00"/>
    <n v="0"/>
    <n v="4.3500000000000005"/>
    <n v="4.3500000000000005"/>
    <s v="Tower earthing cable replaced and restored"/>
    <s v="Close"/>
    <n v="0.10875000000000001"/>
    <s v="G30"/>
    <n v="732.25000000000011"/>
    <s v="None"/>
    <s v="WTG Unscheduled Maintenance"/>
    <n v="4040"/>
    <n v="732.25000000000011"/>
    <m/>
    <m/>
    <m/>
    <m/>
  </r>
  <r>
    <n v="2124"/>
    <x v="344"/>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7486.7972222222234"/>
    <s v="None"/>
    <s v="WTG Unscheduled Maintenance"/>
    <n v="7492"/>
    <n v="7486.7972222222234"/>
    <m/>
    <m/>
    <m/>
    <m/>
  </r>
  <r>
    <n v="2125"/>
    <x v="344"/>
    <x v="1"/>
    <x v="1"/>
    <x v="11"/>
    <x v="1"/>
    <x v="34"/>
    <s v="PWEGPL"/>
    <s v="MSEDCL"/>
    <n v="2.5000000000000001E-2"/>
    <n v="441"/>
    <x v="403"/>
    <s v="BD"/>
    <d v="1899-12-30T02:51:00"/>
    <d v="1899-12-30T03:15:00"/>
    <d v="1899-12-30T03:32:00"/>
    <n v="0.39999999999999958"/>
    <n v="0.28333333333333366"/>
    <n v="0.68333333333333324"/>
    <s v="During troubleshooting found FG380 MCB tripped then checked the curcuit found all ok then manually switched ON and restored the turbine"/>
    <s v="Close"/>
    <n v="1.7083333333333332E-2"/>
    <s v="G21"/>
    <n v="213.31388888888887"/>
    <s v="None"/>
    <s v="WTG Breakdown Maintenance"/>
    <n v="7492"/>
    <n v="213.31388888888887"/>
    <m/>
    <m/>
    <m/>
    <m/>
  </r>
  <r>
    <n v="2126"/>
    <x v="344"/>
    <x v="1"/>
    <x v="1"/>
    <x v="11"/>
    <x v="1"/>
    <x v="5"/>
    <s v="PWEGPL"/>
    <s v="MSEDCL"/>
    <n v="2.5000000000000001E-2"/>
    <n v="507"/>
    <x v="318"/>
    <s v="Manual stop/TCA"/>
    <d v="1899-12-30T23:01:00"/>
    <d v="1899-12-30T11:01:00"/>
    <d v="1899-12-30T23:59:00"/>
    <n v="-11.999999999999996"/>
    <n v="12.966666666666665"/>
    <n v="0.96666666666666856"/>
    <s v="Manually stopped for collecting the vibration data due to abnormal sound from generator DE and NDE bearing"/>
    <s v="Close"/>
    <n v="2.4166666666666715E-2"/>
    <s v="G39"/>
    <n v="225.39444444444487"/>
    <s v="None"/>
    <s v="WTG Breakdown Maintenance"/>
    <n v="5596"/>
    <n v="225.39444444444487"/>
    <m/>
    <m/>
    <m/>
    <m/>
  </r>
  <r>
    <n v="2127"/>
    <x v="345"/>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4143.1208333333334"/>
    <s v="None"/>
    <s v="WTG Unscheduled Maintenance"/>
    <n v="4146"/>
    <n v="4143.1208333333334"/>
    <m/>
    <m/>
    <m/>
    <m/>
  </r>
  <r>
    <n v="2128"/>
    <x v="345"/>
    <x v="1"/>
    <x v="1"/>
    <x v="11"/>
    <x v="1"/>
    <x v="3"/>
    <s v="PWEGPL"/>
    <s v="MSEDCL"/>
    <n v="2.5000000000000001E-2"/>
    <s v="CE100014"/>
    <x v="305"/>
    <s v="Manual stop/TCA"/>
    <d v="1899-12-30T13:06:00"/>
    <d v="1899-12-30T13:06:00"/>
    <d v="1899-12-30T16:28:00"/>
    <n v="0"/>
    <n v="3.3666666666666654"/>
    <n v="3.3666666666666654"/>
    <s v="Tower earthing cable replaced and restored"/>
    <s v="Close"/>
    <n v="8.416666666666664E-2"/>
    <s v="G30"/>
    <n v="354.90277777777766"/>
    <s v="None"/>
    <s v="WTG Unscheduled Maintenance"/>
    <n v="2530"/>
    <n v="354.90277777777766"/>
    <m/>
    <m/>
    <m/>
    <m/>
  </r>
  <r>
    <n v="2129"/>
    <x v="345"/>
    <x v="1"/>
    <x v="1"/>
    <x v="11"/>
    <x v="1"/>
    <x v="14"/>
    <s v="PWEGPL"/>
    <s v="MSEDCL"/>
    <n v="2.5000000000000001E-2"/>
    <n v="507"/>
    <x v="318"/>
    <s v="Manual stop/TCA"/>
    <d v="1899-12-30T00:31:00"/>
    <d v="1899-12-30T00:31:00"/>
    <d v="1899-12-30T01:01:00"/>
    <n v="0"/>
    <n v="0.49999999999999978"/>
    <n v="0.49999999999999978"/>
    <s v="Manually stopped for collecting the vibration data due to abnormal sound from generator DE and NDE bearing"/>
    <s v="Close"/>
    <n v="1.2499999999999995E-2"/>
    <s v="G35"/>
    <n v="57.166666666666636"/>
    <s v="None"/>
    <s v="WTG Unscheduled Maintenance"/>
    <n v="2744"/>
    <n v="57.166666666666636"/>
    <m/>
    <m/>
    <m/>
    <m/>
  </r>
  <r>
    <n v="2130"/>
    <x v="345"/>
    <x v="1"/>
    <x v="1"/>
    <x v="11"/>
    <x v="1"/>
    <x v="11"/>
    <s v="PWEGPL"/>
    <s v="MSEDCL"/>
    <n v="2.5000000000000001E-2"/>
    <n v="507"/>
    <x v="318"/>
    <s v="Manual stop/TCA"/>
    <d v="1899-12-30T01:18:00"/>
    <d v="1899-12-30T01:18:00"/>
    <d v="1899-12-30T01:46:00"/>
    <n v="0"/>
    <n v="0.46666666666666667"/>
    <n v="0.46666666666666667"/>
    <s v="Manually stopped for collecting the vibration data due to abnormal sound from generator DE and NDE bearing"/>
    <s v="Close"/>
    <n v="1.1666666666666667E-2"/>
    <s v="G31"/>
    <n v="54.988888888888887"/>
    <s v="None"/>
    <s v="WTG Unscheduled Maintenance"/>
    <n v="2828"/>
    <n v="54.988888888888887"/>
    <m/>
    <m/>
    <m/>
    <m/>
  </r>
  <r>
    <n v="2131"/>
    <x v="345"/>
    <x v="1"/>
    <x v="1"/>
    <x v="11"/>
    <x v="1"/>
    <x v="38"/>
    <s v="PWEGPL"/>
    <s v="MSEDCL"/>
    <n v="2.5000000000000001E-2"/>
    <n v="507"/>
    <x v="318"/>
    <s v="BD"/>
    <d v="1899-12-30T15:14:00"/>
    <d v="1899-12-30T15:14:00"/>
    <d v="1899-12-30T16:56:00"/>
    <n v="0"/>
    <n v="1.700000000000002"/>
    <n v="1.700000000000002"/>
    <s v="generator cooling motor replaced and restored"/>
    <s v="Close"/>
    <n v="4.2500000000000052E-2"/>
    <s v="G19"/>
    <n v="506.03333333333393"/>
    <s v="None"/>
    <s v="WTG Breakdown Maintenance"/>
    <n v="7144"/>
    <n v="506.03333333333393"/>
    <m/>
    <m/>
    <m/>
    <m/>
  </r>
  <r>
    <n v="2132"/>
    <x v="346"/>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439.609722222222"/>
    <s v="None"/>
    <s v="WTG Unscheduled Maintenance"/>
    <n v="3442"/>
    <n v="3439.609722222222"/>
    <m/>
    <m/>
    <m/>
    <m/>
  </r>
  <r>
    <n v="2133"/>
    <x v="347"/>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267.4243055555557"/>
    <s v="None"/>
    <s v="WTG Unscheduled Maintenance"/>
    <n v="2269"/>
    <n v="2267.4243055555557"/>
    <m/>
    <m/>
    <m/>
    <m/>
  </r>
  <r>
    <n v="2134"/>
    <x v="347"/>
    <x v="1"/>
    <x v="1"/>
    <x v="11"/>
    <x v="1"/>
    <x v="27"/>
    <s v="PWEGPL"/>
    <s v="MSEDCL"/>
    <n v="2.5000000000000001E-2"/>
    <n v="203"/>
    <x v="290"/>
    <s v="BD"/>
    <d v="1899-12-30T15:10:00"/>
    <d v="1899-12-30T15:34:00"/>
    <d v="1899-12-30T20:10:00"/>
    <n v="0.40000000000000124"/>
    <n v="4.5999999999999996"/>
    <n v="5.0000000000000009"/>
    <s v="Hydraulic main accumulator found failure then replaced and restored"/>
    <s v="Close"/>
    <n v="0.12500000000000003"/>
    <s v="G12"/>
    <n v="301.66666666666674"/>
    <s v="None"/>
    <s v="WTG Breakdown Maintenance"/>
    <n v="1448"/>
    <n v="301.66666666666674"/>
    <m/>
    <m/>
    <m/>
    <m/>
  </r>
  <r>
    <n v="2135"/>
    <x v="347"/>
    <x v="1"/>
    <x v="1"/>
    <x v="11"/>
    <x v="1"/>
    <x v="13"/>
    <s v="PWEGPL"/>
    <s v="MSEDCL"/>
    <n v="2.5000000000000001E-2"/>
    <n v="507"/>
    <x v="318"/>
    <s v="BD"/>
    <d v="1899-12-30T11:28:00"/>
    <d v="1899-12-30T11:28:00"/>
    <d v="1899-12-30T12:48:00"/>
    <n v="0"/>
    <n v="1.3333333333333326"/>
    <n v="1.3333333333333326"/>
    <s v="Manually stopped for waer brush generator warning rectification work checked and found limit switch failure then replaced and restored"/>
    <s v="Close"/>
    <n v="3.3333333333333319E-2"/>
    <s v="G34"/>
    <n v="67.166666666666629"/>
    <s v="None"/>
    <s v="WTG Breakdown Maintenance"/>
    <n v="1209"/>
    <n v="67.166666666666629"/>
    <m/>
    <m/>
    <m/>
    <m/>
  </r>
  <r>
    <n v="2136"/>
    <x v="348"/>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492.65763888888893"/>
    <s v="None"/>
    <s v="WTG Unscheduled Maintenance"/>
    <n v="493"/>
    <n v="492.65763888888893"/>
    <m/>
    <m/>
    <m/>
    <m/>
  </r>
  <r>
    <n v="2137"/>
    <x v="348"/>
    <x v="1"/>
    <x v="1"/>
    <x v="11"/>
    <x v="1"/>
    <x v="22"/>
    <s v="PWEGPL"/>
    <s v="MSEDCL"/>
    <n v="2.5000000000000001E-2"/>
    <s v="CE100001"/>
    <x v="288"/>
    <s v="BD"/>
    <d v="1899-12-30T10:57:00"/>
    <d v="1899-12-30T10:57:00"/>
    <d v="1899-12-30T20:11:00"/>
    <n v="0"/>
    <n v="9.2333333333333343"/>
    <n v="9.2333333333333343"/>
    <s v="Blade A potch seal replaced and restored"/>
    <s v="Close"/>
    <n v="0.23083333333333336"/>
    <s v="G06"/>
    <n v="270.07500000000005"/>
    <s v="None"/>
    <s v="WTG Unscheduled Maintenance"/>
    <n v="702"/>
    <n v="270.07500000000005"/>
    <m/>
    <m/>
    <m/>
    <m/>
  </r>
  <r>
    <n v="2138"/>
    <x v="348"/>
    <x v="1"/>
    <x v="1"/>
    <x v="11"/>
    <x v="1"/>
    <x v="35"/>
    <s v="PWEGPL"/>
    <s v="MSEDCL"/>
    <n v="2.5000000000000001E-2"/>
    <n v="201"/>
    <x v="328"/>
    <s v="BD"/>
    <d v="1899-12-30T09:15:00"/>
    <d v="1899-12-30T10:26:00"/>
    <d v="1899-12-30T13:52:00"/>
    <n v="1.1833333333333331"/>
    <n v="3.4333333333333345"/>
    <n v="4.6166666666666671"/>
    <s v="Checked pressure leakage in hydraulic system and found pressure leakages from Blade B proportional value then interchanged with another blade and then arrested the pressure leakage"/>
    <s v="Close"/>
    <n v="0.11541666666666668"/>
    <s v="G25"/>
    <n v="102.52847222222223"/>
    <s v="None"/>
    <s v="WTG Breakdown Maintenance"/>
    <n v="533"/>
    <n v="102.52847222222223"/>
    <m/>
    <m/>
    <m/>
    <m/>
  </r>
  <r>
    <n v="2139"/>
    <x v="348"/>
    <x v="1"/>
    <x v="1"/>
    <x v="11"/>
    <x v="1"/>
    <x v="23"/>
    <s v="PWEGPL"/>
    <s v="MSEDCL"/>
    <n v="2.5000000000000001E-2"/>
    <n v="813"/>
    <x v="376"/>
    <s v="BD"/>
    <d v="1899-12-30T18:47:00"/>
    <d v="1899-12-30T19:50:00"/>
    <d v="1899-12-30T20:04:00"/>
    <n v="1.0499999999999963"/>
    <n v="0.23333333333333517"/>
    <n v="1.2833333333333314"/>
    <s v="Reset and restored "/>
    <s v="Close"/>
    <n v="3.208333333333329E-2"/>
    <s v="G06"/>
    <n v="37.537499999999945"/>
    <s v="None"/>
    <s v="WTG Breakdown Maintenance"/>
    <n v="702"/>
    <n v="37.537499999999945"/>
    <m/>
    <m/>
    <m/>
    <m/>
  </r>
  <r>
    <n v="2140"/>
    <x v="348"/>
    <x v="1"/>
    <x v="1"/>
    <x v="11"/>
    <x v="1"/>
    <x v="37"/>
    <s v="PWEGPL"/>
    <s v="MSEDCL"/>
    <n v="2.5000000000000001E-2"/>
    <n v="213"/>
    <x v="397"/>
    <s v="BD"/>
    <d v="1899-12-30T16:01:00"/>
    <d v="1899-12-30T16:58:00"/>
    <d v="1899-12-30T17:56:00"/>
    <n v="0.94999999999999929"/>
    <n v="0.96666666666666856"/>
    <n v="1.9166666666666679"/>
    <s v="Found MPCB tripped condition then checked motor and contactors found contactor failure KM280 then replaced with new one and restored"/>
    <s v="Close"/>
    <n v="4.7916666666666698E-2"/>
    <s v="G17"/>
    <n v="71.076388888888943"/>
    <s v="None"/>
    <s v="WTG Breakdown Maintenance"/>
    <n v="890"/>
    <n v="71.076388888888943"/>
    <m/>
    <m/>
    <m/>
    <m/>
  </r>
  <r>
    <n v="2141"/>
    <x v="349"/>
    <x v="1"/>
    <x v="1"/>
    <x v="11"/>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1386.0368055555555"/>
    <s v="None"/>
    <s v="WTG Unscheduled Maintenance"/>
    <n v="1387"/>
    <n v="1386.0368055555555"/>
    <m/>
    <m/>
    <m/>
    <m/>
  </r>
  <r>
    <n v="2142"/>
    <x v="349"/>
    <x v="1"/>
    <x v="1"/>
    <x v="11"/>
    <x v="1"/>
    <x v="20"/>
    <s v="PWEGPL"/>
    <s v="MSEDCL"/>
    <n v="2.5000000000000001E-2"/>
    <n v="412"/>
    <x v="336"/>
    <s v="BD"/>
    <d v="1899-12-30T11:49:00"/>
    <d v="1899-12-30T11:49:00"/>
    <d v="1899-12-30T13:25:00"/>
    <n v="0"/>
    <n v="1.600000000000001"/>
    <n v="1.600000000000001"/>
    <s v="Gearbos oil cooling rediator motor replaced and restored"/>
    <s v="Close"/>
    <n v="4.0000000000000029E-2"/>
    <s v="G07"/>
    <n v="101.20000000000006"/>
    <s v="None"/>
    <s v="WTG Breakdown Maintenance"/>
    <n v="1518"/>
    <n v="101.20000000000006"/>
    <m/>
    <m/>
    <m/>
    <m/>
  </r>
  <r>
    <n v="2143"/>
    <x v="349"/>
    <x v="1"/>
    <x v="1"/>
    <x v="11"/>
    <x v="1"/>
    <x v="23"/>
    <s v="PWEGPL"/>
    <s v="MSEDCL"/>
    <n v="2.5000000000000001E-2"/>
    <n v="813"/>
    <x v="376"/>
    <s v="BD"/>
    <d v="1899-12-30T11:52:00"/>
    <d v="1899-12-30T11:52:00"/>
    <d v="1899-12-30T13:48:00"/>
    <n v="0"/>
    <n v="1.9333333333333345"/>
    <n v="1.9333333333333345"/>
    <s v="Checked and related curcuit and fouind accumulator pressure switch connection loose then proper connected and restored"/>
    <s v="Close"/>
    <n v="4.8333333333333367E-2"/>
    <s v="G03"/>
    <n v="102.54722222222227"/>
    <s v="None"/>
    <s v="WTG Breakdown Maintenance"/>
    <n v="1273"/>
    <n v="102.54722222222227"/>
    <m/>
    <m/>
    <m/>
    <m/>
  </r>
  <r>
    <n v="2144"/>
    <x v="349"/>
    <x v="1"/>
    <x v="1"/>
    <x v="11"/>
    <x v="1"/>
    <x v="39"/>
    <s v="PWEGPL"/>
    <s v="MSEDCL"/>
    <n v="2.5000000000000001E-2"/>
    <n v="205"/>
    <x v="312"/>
    <s v="BD"/>
    <d v="1899-12-30T11:31:00"/>
    <d v="1899-12-30T11:31:00"/>
    <d v="1899-12-30T12:46:00"/>
    <n v="0"/>
    <n v="1.2499999999999996"/>
    <n v="1.2499999999999996"/>
    <s v="Oil leakage inspected and found no anynoil leak then 10ltr oil top up and restored"/>
    <s v="Close"/>
    <n v="3.124999999999999E-2"/>
    <s v="G14"/>
    <n v="75.416666666666643"/>
    <s v="None"/>
    <s v="WTG Breakdown Maintenance"/>
    <n v="1448"/>
    <n v="75.416666666666643"/>
    <m/>
    <m/>
    <m/>
    <m/>
  </r>
  <r>
    <n v="2145"/>
    <x v="350"/>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3472.5868055555557"/>
    <s v="None"/>
    <s v="WTG Unscheduled Maintenance"/>
    <n v="3475"/>
    <n v="3472.5868055555557"/>
    <m/>
    <m/>
    <m/>
    <m/>
  </r>
  <r>
    <n v="2146"/>
    <x v="350"/>
    <x v="1"/>
    <x v="1"/>
    <x v="12"/>
    <x v="1"/>
    <x v="19"/>
    <s v="PWEGPL"/>
    <s v="MSEDCL"/>
    <n v="2.5000000000000001E-2"/>
    <n v="537"/>
    <x v="404"/>
    <s v="BD"/>
    <d v="1899-12-30T11:00:00"/>
    <d v="1899-12-30T11:00:00"/>
    <d v="1899-12-30T12:28:00"/>
    <n v="0"/>
    <n v="1.4666666666666681"/>
    <n v="1.4666666666666681"/>
    <s v="Manually stopped for waer brush generator warning rectification work checked and found limit switch failure then replaced and restored"/>
    <s v="Close"/>
    <n v="3.6666666666666702E-2"/>
    <s v="G19"/>
    <n v="208.45000000000022"/>
    <s v="None"/>
    <s v="WTG Breakdown Maintenance"/>
    <n v="3411"/>
    <n v="208.45000000000022"/>
    <m/>
    <m/>
    <m/>
    <m/>
  </r>
  <r>
    <n v="2147"/>
    <x v="350"/>
    <x v="1"/>
    <x v="1"/>
    <x v="12"/>
    <x v="1"/>
    <x v="28"/>
    <s v="PWEGPL"/>
    <s v="MSEDCL"/>
    <n v="2.5000000000000001E-2"/>
    <n v="5222"/>
    <x v="315"/>
    <s v="BD"/>
    <d v="1899-12-30T17:27:00"/>
    <d v="1899-12-30T18:00:00"/>
    <d v="1899-12-30T19:09:00"/>
    <n v="0.55000000000000071"/>
    <n v="1.1499999999999986"/>
    <n v="1.6999999999999993"/>
    <s v="Checked related curcuit and found encoder power supply cable damaged and then corrected and restored"/>
    <s v="Close"/>
    <n v="4.2499999999999982E-2"/>
    <s v="G11"/>
    <n v="188.27499999999992"/>
    <s v="None"/>
    <s v="WTG Breakdown Maintenance"/>
    <n v="2658"/>
    <n v="188.27499999999992"/>
    <m/>
    <m/>
    <m/>
    <m/>
  </r>
  <r>
    <n v="2148"/>
    <x v="350"/>
    <x v="1"/>
    <x v="1"/>
    <x v="12"/>
    <x v="1"/>
    <x v="22"/>
    <s v="PWEGPL"/>
    <s v="MSEDCL"/>
    <n v="2.5000000000000001E-2"/>
    <n v="5260"/>
    <x v="373"/>
    <s v="BD"/>
    <d v="1899-12-30T22:46:00"/>
    <d v="1899-12-30T23:33:00"/>
    <d v="1899-12-30T23:59:00"/>
    <n v="0.78333333333333588"/>
    <n v="0.43333333333333179"/>
    <n v="1.2166666666666677"/>
    <s v="During troubleshooting found panel cooling fan protection curcuit breaker tripped condition then physically checked all cooling fan found ok then manually switch ON MCB and restored"/>
    <s v="Open"/>
    <n v="3.0416666666666693E-2"/>
    <s v="G04"/>
    <n v="147.97708333333347"/>
    <s v="None"/>
    <s v="WTG Breakdown Maintenance"/>
    <n v="2919"/>
    <n v="147.97708333333347"/>
    <m/>
    <m/>
    <m/>
    <m/>
  </r>
  <r>
    <n v="2149"/>
    <x v="351"/>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025.5923611111111"/>
    <s v="None"/>
    <s v="WTG Unscheduled Maintenance"/>
    <n v="2027"/>
    <n v="2025.5923611111111"/>
    <m/>
    <m/>
    <m/>
    <m/>
  </r>
  <r>
    <n v="2150"/>
    <x v="351"/>
    <x v="1"/>
    <x v="1"/>
    <x v="12"/>
    <x v="1"/>
    <x v="35"/>
    <s v="PWEGPL"/>
    <s v="MSEDCL"/>
    <n v="2.5000000000000001E-2"/>
    <n v="203"/>
    <x v="290"/>
    <s v="BD"/>
    <d v="1899-12-30T14:06:00"/>
    <d v="1899-12-30T14:39:00"/>
    <d v="1899-12-30T16:10:00"/>
    <n v="0.55000000000000071"/>
    <n v="1.5166666666666666"/>
    <n v="2.0666666666666673"/>
    <s v="Oil top up and restored the WTG"/>
    <s v="Close"/>
    <n v="5.1666666666666687E-2"/>
    <s v="G25"/>
    <n v="217.51666666666674"/>
    <s v="None"/>
    <s v="WTG Breakdown Maintenance"/>
    <n v="2526"/>
    <n v="217.51666666666674"/>
    <m/>
    <m/>
    <m/>
    <m/>
  </r>
  <r>
    <n v="2151"/>
    <x v="351"/>
    <x v="1"/>
    <x v="1"/>
    <x v="12"/>
    <x v="1"/>
    <x v="22"/>
    <s v="PWEGPL"/>
    <s v="MSEDCL"/>
    <n v="2.5000000000000001E-2"/>
    <n v="5260"/>
    <x v="373"/>
    <s v="BD"/>
    <d v="1899-12-30T00:00:00"/>
    <d v="1899-12-30T00:00:00"/>
    <d v="1899-12-30T00:27:00"/>
    <n v="0"/>
    <n v="0.44999999999999996"/>
    <n v="0.44999999999999996"/>
    <s v="During troubleshooting found panel cooling fan protection curcuit breaker tripped condition then physically checked all cooling fan found ok then manually switch ON MCB and restored"/>
    <s v="Close"/>
    <n v="1.125E-2"/>
    <s v="G04"/>
    <n v="64.987499999999983"/>
    <s v="None"/>
    <s v="WTG Breakdown Maintenance"/>
    <n v="3466"/>
    <n v="64.987499999999983"/>
    <m/>
    <m/>
    <m/>
    <m/>
  </r>
  <r>
    <n v="2152"/>
    <x v="352"/>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236.4458333333332"/>
    <s v="None"/>
    <s v="WTG Unscheduled Maintenance"/>
    <n v="2238"/>
    <n v="2236.4458333333332"/>
    <m/>
    <m/>
    <m/>
    <m/>
  </r>
  <r>
    <n v="2153"/>
    <x v="352"/>
    <x v="1"/>
    <x v="1"/>
    <x v="12"/>
    <x v="1"/>
    <x v="18"/>
    <s v="PWEGPL"/>
    <s v="MSEDCL"/>
    <n v="2.5000000000000001E-2"/>
    <n v="221"/>
    <x v="405"/>
    <s v="BD"/>
    <d v="1899-12-30T10:46:00"/>
    <d v="1899-12-30T10:46:00"/>
    <d v="1899-12-30T15:32:00"/>
    <n v="0"/>
    <n v="4.7666666666666675"/>
    <n v="4.7666666666666675"/>
    <s v="Checked and found hydraulic coioling motor spider damaged then replaced and restored"/>
    <s v="Close"/>
    <n v="0.1191666666666667"/>
    <s v="G20"/>
    <n v="930.09583333333353"/>
    <s v="None"/>
    <s v="WTG Breakdown Maintenance"/>
    <n v="4683"/>
    <n v="930.09583333333353"/>
    <m/>
    <m/>
    <m/>
    <m/>
  </r>
  <r>
    <n v="2154"/>
    <x v="352"/>
    <x v="1"/>
    <x v="1"/>
    <x v="12"/>
    <x v="1"/>
    <x v="0"/>
    <s v="PWEGPL"/>
    <s v="MSEDCL"/>
    <n v="2.5000000000000001E-2"/>
    <s v="CE100018"/>
    <x v="406"/>
    <s v="PM-SF6"/>
    <d v="1899-12-30T13:05:00"/>
    <d v="1899-12-30T13:05:00"/>
    <d v="1899-12-30T19:35:00"/>
    <n v="0"/>
    <n v="6.4999999999999982"/>
    <n v="6.4999999999999982"/>
    <s v="SF6 breaker maintenace done and restored"/>
    <s v="Close"/>
    <n v="0.16249999999999998"/>
    <s v="G16"/>
    <n v="1253.4166666666663"/>
    <s v="None"/>
    <s v="WTG Scheduled Maintenance"/>
    <n v="4628"/>
    <n v="1253.4166666666663"/>
    <m/>
    <m/>
    <m/>
    <m/>
  </r>
  <r>
    <n v="2155"/>
    <x v="352"/>
    <x v="1"/>
    <x v="1"/>
    <x v="12"/>
    <x v="1"/>
    <x v="7"/>
    <s v="PWEGPL"/>
    <s v="MSEDCL"/>
    <n v="2.5000000000000001E-2"/>
    <n v="205"/>
    <x v="312"/>
    <s v="BD"/>
    <d v="1899-12-30T13:36:00"/>
    <d v="1899-12-30T14:59:00"/>
    <d v="1899-12-30T16:14:00"/>
    <n v="1.3833333333333337"/>
    <n v="1.2500000000000009"/>
    <n v="2.6333333333333346"/>
    <s v="Oil top up and checked leakage and found Blade c &amp; Blade B pitch seal leakage"/>
    <s v="Close"/>
    <n v="6.5833333333333369E-2"/>
    <s v="G39"/>
    <n v="269.58750000000015"/>
    <s v="None"/>
    <s v="WTG Breakdown Maintenance"/>
    <n v="2457"/>
    <n v="269.58750000000015"/>
    <m/>
    <m/>
    <m/>
    <m/>
  </r>
  <r>
    <n v="2156"/>
    <x v="352"/>
    <x v="1"/>
    <x v="1"/>
    <x v="12"/>
    <x v="1"/>
    <x v="25"/>
    <s v="PWEGPL"/>
    <s v="MSEDCL"/>
    <n v="2.5000000000000001E-2"/>
    <s v="CE100008"/>
    <x v="400"/>
    <s v="General work"/>
    <d v="1899-12-30T11:46:00"/>
    <d v="1899-12-30T11:46:00"/>
    <d v="1899-12-30T12:08:00"/>
    <n v="0"/>
    <n v="0.36666666666666536"/>
    <n v="0.36666666666666536"/>
    <s v="Checked Power curve deviation related and updated PLC software and restored"/>
    <s v="Close"/>
    <n v="9.1666666666666338E-3"/>
    <s v="G03"/>
    <n v="52.326388888888708"/>
    <s v="None"/>
    <s v="WTG Breakdown Maintenance"/>
    <n v="3425"/>
    <n v="52.326388888888708"/>
    <m/>
    <m/>
    <m/>
    <m/>
  </r>
  <r>
    <n v="2157"/>
    <x v="353"/>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2"/>
    <n v="2842.0250000000001"/>
    <s v="None"/>
    <s v="WTG Unscheduled Maintenance"/>
    <n v="2844"/>
    <n v="2842.0250000000001"/>
    <m/>
    <m/>
    <m/>
    <m/>
  </r>
  <r>
    <n v="2158"/>
    <x v="353"/>
    <x v="1"/>
    <x v="1"/>
    <x v="12"/>
    <x v="1"/>
    <x v="27"/>
    <s v="PWEGPL"/>
    <s v="MSEDCL"/>
    <n v="2.5000000000000001E-2"/>
    <s v="CE100008"/>
    <x v="400"/>
    <s v="BD"/>
    <d v="1899-12-30T10:16:00"/>
    <d v="1899-12-30T10:16:00"/>
    <d v="1899-12-30T11:14:00"/>
    <n v="0"/>
    <n v="0.96666666666666456"/>
    <n v="0.96666666666666456"/>
    <s v="Turbine is running condition but not generating the generation so manually stoped inspected the turbine and we noticed in hydraulic system yawbreak was malfuctining then corrected and restored"/>
    <s v="Close"/>
    <n v="2.4166666666666614E-2"/>
    <s v="G12"/>
    <n v="178.43055555555517"/>
    <s v="None"/>
    <s v="WTG Breakdown Maintenance"/>
    <n v="4430"/>
    <n v="178.43055555555517"/>
    <m/>
    <m/>
    <m/>
    <m/>
  </r>
  <r>
    <n v="2159"/>
    <x v="353"/>
    <x v="1"/>
    <x v="1"/>
    <x v="12"/>
    <x v="1"/>
    <x v="37"/>
    <s v="PWEGPL"/>
    <s v="MSEDCL"/>
    <n v="2.5000000000000001E-2"/>
    <s v="CE100018"/>
    <x v="406"/>
    <s v="PM-SF6"/>
    <d v="1899-12-30T11:20:00"/>
    <d v="1899-12-30T11:20:00"/>
    <d v="1899-12-30T15:53:00"/>
    <n v="0"/>
    <n v="4.5499999999999989"/>
    <n v="4.5499999999999989"/>
    <s v="SF6 breaker maintenace done and restored"/>
    <s v="Close"/>
    <n v="0.11374999999999998"/>
    <s v="G17"/>
    <n v="677.00208333333308"/>
    <s v="None"/>
    <s v="WTG Scheduled Maintenance"/>
    <n v="3571"/>
    <n v="677.00208333333308"/>
    <m/>
    <m/>
    <m/>
    <m/>
  </r>
  <r>
    <n v="2160"/>
    <x v="353"/>
    <x v="1"/>
    <x v="1"/>
    <x v="12"/>
    <x v="1"/>
    <x v="33"/>
    <s v="PWEGPL"/>
    <s v="MSEDCL"/>
    <n v="2.5000000000000001E-2"/>
    <n v="412"/>
    <x v="336"/>
    <s v="BD"/>
    <d v="1899-12-30T12:13:00"/>
    <d v="1899-12-30T12:13:00"/>
    <d v="1899-12-30T14:29:00"/>
    <n v="0"/>
    <n v="2.2666666666666666"/>
    <n v="2.2666666666666666"/>
    <s v="Gearbox rediator cooling fan replaced and axialary filter motor replaced and restored"/>
    <s v="Close"/>
    <n v="5.6666666666666671E-2"/>
    <s v="G22"/>
    <n v="268.59999999999997"/>
    <s v="None"/>
    <s v="WTG Breakdown Maintenance"/>
    <n v="2844"/>
    <n v="268.59999999999997"/>
    <m/>
    <m/>
    <m/>
    <m/>
  </r>
  <r>
    <n v="2161"/>
    <x v="354"/>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326.6881944444449"/>
    <s v="None"/>
    <s v="WTG Unscheduled Maintenance"/>
    <n v="3329"/>
    <n v="3326.6881944444449"/>
    <m/>
    <m/>
    <m/>
    <m/>
  </r>
  <r>
    <n v="2162"/>
    <x v="354"/>
    <x v="1"/>
    <x v="1"/>
    <x v="12"/>
    <x v="1"/>
    <x v="34"/>
    <s v="PWEGPL"/>
    <s v="MSEDCL"/>
    <n v="2.5000000000000001E-2"/>
    <s v="CE100008"/>
    <x v="400"/>
    <s v="Manual stop/TCA"/>
    <d v="1899-12-30T11:07:00"/>
    <d v="1899-12-30T11:07:00"/>
    <d v="1899-12-30T16:26:00"/>
    <n v="0"/>
    <n v="5.3166666666666664"/>
    <n v="5.3166666666666664"/>
    <s v="Nose cone hardwares replaced against TCA noticed point and restored"/>
    <s v="Close"/>
    <n v="0.13291666666666666"/>
    <s v="G21"/>
    <n v="737.46597222222226"/>
    <s v="None"/>
    <s v="WTG Breakdown Maintenance"/>
    <n v="3329"/>
    <n v="737.46597222222226"/>
    <m/>
    <m/>
    <m/>
    <m/>
  </r>
  <r>
    <n v="2163"/>
    <x v="354"/>
    <x v="1"/>
    <x v="1"/>
    <x v="12"/>
    <x v="1"/>
    <x v="22"/>
    <s v="PWEGPL"/>
    <s v="MSEDCL"/>
    <n v="2.5000000000000001E-2"/>
    <n v="537"/>
    <x v="404"/>
    <s v="BD"/>
    <d v="1899-12-30T15:09:00"/>
    <d v="1899-12-30T15:09:00"/>
    <d v="1899-12-30T16:50:00"/>
    <n v="0"/>
    <n v="1.6833333333333327"/>
    <n v="1.6833333333333327"/>
    <s v="Waer brush warning rectified with rep;lacement of limit switch and restored"/>
    <s v="Close"/>
    <n v="4.208333333333332E-2"/>
    <s v="G04"/>
    <n v="201.15833333333325"/>
    <s v="None"/>
    <s v="WTG Breakdown Maintenance"/>
    <n v="2868"/>
    <n v="201.15833333333325"/>
    <m/>
    <m/>
    <m/>
    <m/>
  </r>
  <r>
    <n v="2164"/>
    <x v="355"/>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852.40763888888887"/>
    <s v="None"/>
    <s v="WTG Unscheduled Maintenance"/>
    <n v="853"/>
    <n v="852.40763888888887"/>
    <m/>
    <m/>
    <m/>
    <m/>
  </r>
  <r>
    <n v="2165"/>
    <x v="355"/>
    <x v="1"/>
    <x v="1"/>
    <x v="12"/>
    <x v="1"/>
    <x v="12"/>
    <s v="PWEGPL"/>
    <s v="MSEDCL"/>
    <n v="2.5000000000000001E-2"/>
    <s v="CE100008"/>
    <x v="400"/>
    <s v="Manual stop/TCA"/>
    <d v="1899-12-30T10:54:00"/>
    <d v="1899-12-30T10:54:00"/>
    <d v="1899-12-30T17:03:00"/>
    <n v="0"/>
    <n v="6.15"/>
    <n v="6.15"/>
    <s v="Nose cone hardwares replaced against TCA noticed point and restored"/>
    <s v="Close"/>
    <n v="0.15375000000000003"/>
    <s v="G30"/>
    <n v="179.88750000000002"/>
    <s v="None"/>
    <s v="WTG Unscheduled Maintenance"/>
    <n v="702"/>
    <n v="179.88750000000002"/>
    <m/>
    <m/>
    <m/>
    <m/>
  </r>
  <r>
    <n v="2166"/>
    <x v="355"/>
    <x v="1"/>
    <x v="1"/>
    <x v="12"/>
    <x v="1"/>
    <x v="3"/>
    <s v="PWEGPL"/>
    <s v="MSEDCL"/>
    <n v="2.5000000000000001E-2"/>
    <n v="207"/>
    <x v="309"/>
    <s v="BD"/>
    <d v="1899-12-30T11:31:00"/>
    <d v="1899-12-30T11:31:00"/>
    <d v="1899-12-30T13:14:00"/>
    <n v="0"/>
    <n v="1.7166666666666646"/>
    <n v="1.7166666666666646"/>
    <s v="Checked hydraulic oil cooling system found motor and all working condition and then checked modules found ok. Temp sensor verified found dispacement then corrected and restored"/>
    <s v="Close"/>
    <n v="4.2916666666666617E-2"/>
    <s v="G26"/>
    <n v="53.288194444444379"/>
    <s v="None"/>
    <s v="WTG Breakdown Maintenance"/>
    <n v="745"/>
    <n v="53.288194444444379"/>
    <m/>
    <m/>
    <m/>
    <m/>
  </r>
  <r>
    <n v="2167"/>
    <x v="355"/>
    <x v="1"/>
    <x v="1"/>
    <x v="12"/>
    <x v="1"/>
    <x v="21"/>
    <s v="PWEGPL"/>
    <s v="MSEDCL"/>
    <n v="2.5000000000000001E-2"/>
    <n v="412"/>
    <x v="336"/>
    <s v="BD"/>
    <d v="1899-12-30T11:35:00"/>
    <d v="1899-12-30T11:35:00"/>
    <d v="1899-12-30T13:39:00"/>
    <n v="0"/>
    <n v="2.066666666666666"/>
    <n v="2.066666666666666"/>
    <s v="Gear box rediator cooling motor found failure then replaced serviced one and restored"/>
    <s v="Close"/>
    <n v="5.1666666666666652E-2"/>
    <s v="G01"/>
    <n v="79.997222222222206"/>
    <s v="None"/>
    <s v="WTG Breakdown Maintenance"/>
    <n v="929"/>
    <n v="79.997222222222206"/>
    <m/>
    <m/>
    <m/>
    <m/>
  </r>
  <r>
    <n v="2168"/>
    <x v="356"/>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784.370138888889"/>
    <s v="None"/>
    <s v="WTG Unscheduled Maintenance"/>
    <n v="3787"/>
    <n v="3784.370138888889"/>
    <m/>
    <m/>
    <m/>
    <m/>
  </r>
  <r>
    <n v="2169"/>
    <x v="356"/>
    <x v="1"/>
    <x v="1"/>
    <x v="12"/>
    <x v="1"/>
    <x v="19"/>
    <s v="PWEGPL"/>
    <s v="MSEDCL"/>
    <n v="2.5000000000000001E-2"/>
    <n v="537"/>
    <x v="404"/>
    <s v="BD"/>
    <d v="1899-12-30T10:11:00"/>
    <d v="1899-12-30T10:11:00"/>
    <d v="1899-12-30T13:32:00"/>
    <n v="0"/>
    <n v="3.35"/>
    <n v="3.35"/>
    <s v="Checked related wear brush generator warning and all generator brushes found ok duirng inspection we noticed monitoring switch failed then replaced and restored"/>
    <s v="Close"/>
    <n v="8.3750000000000005E-2"/>
    <s v="G19"/>
    <n v="735.60416666666674"/>
    <s v="None"/>
    <s v="WTG Breakdown Maintenance"/>
    <n v="5270"/>
    <n v="735.60416666666674"/>
    <m/>
    <m/>
    <m/>
    <m/>
  </r>
  <r>
    <n v="2170"/>
    <x v="356"/>
    <x v="1"/>
    <x v="1"/>
    <x v="12"/>
    <x v="1"/>
    <x v="22"/>
    <s v="PWEGPL"/>
    <s v="MSEDCL"/>
    <n v="2.5000000000000001E-2"/>
    <n v="208"/>
    <x v="366"/>
    <s v="BD"/>
    <d v="1899-12-30T00:51:00"/>
    <d v="1899-12-30T01:25:00"/>
    <d v="1899-12-30T04:38:00"/>
    <n v="0.56666666666666687"/>
    <n v="3.2166666666666659"/>
    <n v="3.7833333333333332"/>
    <s v="KM280 contactor failed found then replaced with new one and restored"/>
    <s v="Close"/>
    <n v="9.4583333333333339E-2"/>
    <s v="G04"/>
    <n v="689.03958333333333"/>
    <s v="None"/>
    <s v="WTG Breakdown Maintenance"/>
    <n v="4371"/>
    <n v="689.03958333333333"/>
    <m/>
    <m/>
    <m/>
    <m/>
  </r>
  <r>
    <n v="2171"/>
    <x v="357"/>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2496.2652777777776"/>
    <s v="None"/>
    <s v="WTG Unscheduled Maintenance"/>
    <n v="2498"/>
    <n v="2496.2652777777776"/>
    <m/>
    <m/>
    <m/>
    <m/>
  </r>
  <r>
    <n v="2172"/>
    <x v="357"/>
    <x v="1"/>
    <x v="1"/>
    <x v="12"/>
    <x v="1"/>
    <x v="5"/>
    <s v="PWEGPL"/>
    <s v="MSEDCL"/>
    <n v="2.5000000000000001E-2"/>
    <s v="CE100008"/>
    <x v="400"/>
    <s v="Manual stop/TCA"/>
    <d v="1899-12-30T12:02:00"/>
    <d v="1899-12-30T12:02:00"/>
    <d v="1899-12-30T17:38:00"/>
    <n v="0"/>
    <n v="5.5999999999999988"/>
    <n v="5.5999999999999988"/>
    <s v="Gear oil replacement work and replaced and restored"/>
    <s v="Close"/>
    <n v="0.13999999999999999"/>
    <s v="G19"/>
    <n v="806.86666666666656"/>
    <s v="None"/>
    <s v="WTG Unscheduled Maintenance"/>
    <n v="3458"/>
    <n v="806.86666666666656"/>
    <m/>
    <m/>
    <m/>
    <m/>
  </r>
  <r>
    <n v="2173"/>
    <x v="357"/>
    <x v="1"/>
    <x v="1"/>
    <x v="12"/>
    <x v="1"/>
    <x v="34"/>
    <s v="PWEGPL"/>
    <s v="MSEDCL"/>
    <n v="2.5000000000000001E-2"/>
    <n v="507"/>
    <x v="318"/>
    <s v="BD"/>
    <d v="1899-12-30T17:14:00"/>
    <d v="1899-12-30T17:14:00"/>
    <d v="1899-12-30T18:07:00"/>
    <n v="0"/>
    <n v="0.88333333333333286"/>
    <n v="0.88333333333333286"/>
    <s v="Generator cooling fan activation and deactiovation relay found failure then replaced and restored"/>
    <s v="Close"/>
    <n v="2.2083333333333323E-2"/>
    <s v="G21"/>
    <n v="91.940277777777723"/>
    <s v="None"/>
    <s v="WTG Breakdown Maintenance"/>
    <n v="2498"/>
    <n v="91.940277777777723"/>
    <m/>
    <m/>
    <m/>
    <m/>
  </r>
  <r>
    <n v="2174"/>
    <x v="358"/>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21"/>
    <n v="3384.6479166666668"/>
    <s v="None"/>
    <s v="WTG Unscheduled Maintenance"/>
    <n v="3387"/>
    <n v="3384.6479166666668"/>
    <m/>
    <m/>
    <m/>
    <m/>
  </r>
  <r>
    <n v="2175"/>
    <x v="358"/>
    <x v="1"/>
    <x v="1"/>
    <x v="12"/>
    <x v="1"/>
    <x v="12"/>
    <s v="PWEGPL"/>
    <s v="MSEDCL"/>
    <n v="2.5000000000000001E-2"/>
    <s v="CE100008"/>
    <x v="400"/>
    <s v="Manual stop/TCA"/>
    <d v="1899-12-30T11:18:00"/>
    <d v="1899-12-30T11:18:00"/>
    <d v="1899-12-30T17:04:00"/>
    <n v="0"/>
    <n v="5.7666666666666657"/>
    <n v="5.7666666666666657"/>
    <s v="Gear oil replacement work and replaced and restored"/>
    <s v="Close"/>
    <n v="0.14416666666666664"/>
    <s v="G30"/>
    <n v="628.08611111111099"/>
    <s v="None"/>
    <s v="WTG Unscheduled Maintenance"/>
    <n v="2614"/>
    <n v="628.08611111111099"/>
    <m/>
    <m/>
    <m/>
    <m/>
  </r>
  <r>
    <n v="2176"/>
    <x v="358"/>
    <x v="1"/>
    <x v="1"/>
    <x v="12"/>
    <x v="1"/>
    <x v="20"/>
    <s v="PWEGPL"/>
    <s v="MSEDCL"/>
    <n v="2.5000000000000001E-2"/>
    <n v="2102"/>
    <x v="320"/>
    <s v="BD"/>
    <d v="1899-12-30T20:23:00"/>
    <d v="1899-12-30T22:16:00"/>
    <d v="1899-12-30T23:59:00"/>
    <n v="1.883333333333332"/>
    <n v="1.7166666666666686"/>
    <n v="3.6000000000000005"/>
    <s v="Work under progress"/>
    <s v="Open"/>
    <n v="9.0000000000000024E-2"/>
    <s v="G07"/>
    <n v="516.00000000000011"/>
    <s v="None"/>
    <s v="WTG Breakdown Maintenance"/>
    <n v="3440"/>
    <n v="516.00000000000011"/>
    <m/>
    <m/>
    <m/>
    <m/>
  </r>
  <r>
    <n v="2177"/>
    <x v="359"/>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2411.3243055555558"/>
    <s v="None"/>
    <s v="WTG Unscheduled Maintenance"/>
    <n v="2413"/>
    <n v="2411.3243055555558"/>
    <m/>
    <m/>
    <m/>
    <m/>
  </r>
  <r>
    <n v="2178"/>
    <x v="359"/>
    <x v="1"/>
    <x v="1"/>
    <x v="12"/>
    <x v="1"/>
    <x v="20"/>
    <s v="PWEGPL"/>
    <s v="MSEDCL"/>
    <n v="2.5000000000000001E-2"/>
    <n v="2102"/>
    <x v="320"/>
    <s v="BD"/>
    <d v="1899-12-30T00:00:00"/>
    <d v="1899-12-30T00:00:00"/>
    <d v="1899-12-30T03:51:00"/>
    <n v="0"/>
    <n v="3.8500000000000005"/>
    <n v="3.8500000000000005"/>
    <s v="Check and found hub AI module failure so replace and start wtg."/>
    <s v="Close"/>
    <n v="9.6250000000000016E-2"/>
    <s v="G07"/>
    <n v="587.44583333333344"/>
    <s v="None"/>
    <s v="WTG Breakdown Maintenance"/>
    <n v="3662"/>
    <n v="587.44583333333344"/>
    <m/>
    <m/>
    <m/>
    <m/>
  </r>
  <r>
    <n v="2179"/>
    <x v="359"/>
    <x v="1"/>
    <x v="1"/>
    <x v="12"/>
    <x v="1"/>
    <x v="25"/>
    <s v="PWEGPL"/>
    <s v="MSEDCL"/>
    <n v="2.5000000000000001E-2"/>
    <s v="CE100001"/>
    <x v="288"/>
    <s v="Manual stop/TCA"/>
    <d v="1899-12-30T08:54:00"/>
    <d v="1899-12-30T08:54:00"/>
    <d v="1899-12-30T23:59:00"/>
    <n v="0"/>
    <n v="15.083333333333332"/>
    <n v="15.083333333333332"/>
    <s v="Work under progress"/>
    <s v="Open"/>
    <n v="0.37708333333333333"/>
    <s v="G03"/>
    <n v="2126.75"/>
    <s v="None"/>
    <s v="WTG Breakdown Maintenance"/>
    <n v="3384"/>
    <n v="2126.75"/>
    <m/>
    <m/>
    <m/>
    <m/>
  </r>
  <r>
    <n v="2180"/>
    <x v="359"/>
    <x v="1"/>
    <x v="1"/>
    <x v="12"/>
    <x v="1"/>
    <x v="0"/>
    <s v="PWEGPL"/>
    <s v="MSEDCL"/>
    <n v="2.5000000000000001E-2"/>
    <s v="CE100008"/>
    <x v="400"/>
    <s v="Manual Stop/SEM"/>
    <d v="1899-12-30T12:49:00"/>
    <d v="1899-12-30T12:49:00"/>
    <d v="1899-12-30T14:43:00"/>
    <n v="0"/>
    <n v="1.9000000000000012"/>
    <n v="1.9000000000000012"/>
    <s v="Sem meter instalation work"/>
    <s v="Close"/>
    <n v="4.7500000000000035E-2"/>
    <s v="G16"/>
    <n v="222.69583333333347"/>
    <s v="None"/>
    <s v="WTG Unscheduled Maintenance"/>
    <n v="2813"/>
    <n v="222.69583333333347"/>
    <m/>
    <m/>
    <m/>
    <m/>
  </r>
  <r>
    <n v="2181"/>
    <x v="359"/>
    <x v="1"/>
    <x v="1"/>
    <x v="12"/>
    <x v="1"/>
    <x v="38"/>
    <s v="PWEGPL"/>
    <s v="MSEDCL"/>
    <n v="2.5000000000000001E-2"/>
    <s v="CE100008"/>
    <x v="400"/>
    <s v="Manual Stop/SEM"/>
    <d v="1899-12-30T14:54:00"/>
    <d v="1899-12-30T14:54:00"/>
    <d v="1899-12-30T15:59:00"/>
    <n v="0"/>
    <n v="1.0833333333333321"/>
    <n v="1.0833333333333321"/>
    <s v="Sem meter instalation work"/>
    <s v="Close"/>
    <n v="2.7083333333333307E-2"/>
    <s v="G16"/>
    <n v="126.9756944444443"/>
    <s v="None"/>
    <s v="WTG Unscheduled Maintenance"/>
    <n v="2813"/>
    <n v="126.9756944444443"/>
    <m/>
    <m/>
    <m/>
    <m/>
  </r>
  <r>
    <n v="2182"/>
    <x v="359"/>
    <x v="1"/>
    <x v="1"/>
    <x v="12"/>
    <x v="1"/>
    <x v="18"/>
    <s v="PWEGPL"/>
    <s v="MSEDCL"/>
    <n v="2.5000000000000001E-2"/>
    <s v="CE100008"/>
    <x v="400"/>
    <s v="Manual Stop/SEM"/>
    <d v="1899-12-30T16:11:00"/>
    <d v="1899-12-30T16:11:00"/>
    <d v="1899-12-30T17:21:00"/>
    <n v="0"/>
    <n v="1.1666666666666679"/>
    <n v="1.1666666666666679"/>
    <s v="Sem meter instalation work"/>
    <s v="Close"/>
    <n v="2.9166666666666698E-2"/>
    <s v="G20"/>
    <n v="189.53472222222243"/>
    <s v="None"/>
    <s v="WTG Unscheduled Maintenance"/>
    <n v="3899"/>
    <n v="189.53472222222243"/>
    <m/>
    <m/>
    <m/>
    <m/>
  </r>
  <r>
    <n v="2183"/>
    <x v="360"/>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1131.213888888889"/>
    <s v="None"/>
    <s v="WTG Unscheduled Maintenance"/>
    <n v="1132"/>
    <n v="1131.213888888889"/>
    <m/>
    <m/>
    <m/>
    <m/>
  </r>
  <r>
    <n v="2184"/>
    <x v="360"/>
    <x v="1"/>
    <x v="1"/>
    <x v="12"/>
    <x v="1"/>
    <x v="25"/>
    <s v="PWEGPL"/>
    <s v="MSEDCL"/>
    <n v="2.5000000000000001E-2"/>
    <s v="CE100001"/>
    <x v="288"/>
    <s v="Manual stop/TCA"/>
    <d v="1899-12-30T00:00:00"/>
    <d v="1899-12-30T00:00:00"/>
    <d v="1899-12-30T23:59:00"/>
    <n v="0"/>
    <n v="23.983333333333334"/>
    <n v="23.983333333333334"/>
    <s v="Work under progress"/>
    <s v="Open"/>
    <n v="0.59958333333333336"/>
    <s v="G03"/>
    <n v="1597.8895833333333"/>
    <s v="None"/>
    <s v="WTG Breakdown Maintenance"/>
    <n v="1599"/>
    <n v="1597.8895833333333"/>
    <m/>
    <m/>
    <m/>
    <m/>
  </r>
  <r>
    <n v="2185"/>
    <x v="360"/>
    <x v="1"/>
    <x v="1"/>
    <x v="12"/>
    <x v="1"/>
    <x v="18"/>
    <s v="PWEGPL"/>
    <s v="MSEDCL"/>
    <n v="2.5000000000000001E-2"/>
    <n v="430"/>
    <x v="398"/>
    <s v="BD"/>
    <d v="1899-12-30T10:11:00"/>
    <d v="1899-12-30T10:11:00"/>
    <d v="1899-12-30T12:48:00"/>
    <n v="0"/>
    <n v="2.6166666666666667"/>
    <n v="2.6166666666666667"/>
    <s v="Checking for HU cooling motor work"/>
    <s v="Close"/>
    <n v="6.5416666666666665E-2"/>
    <s v="G18"/>
    <n v="220.23611111111111"/>
    <s v="None"/>
    <s v="WTG Breakdown Maintenance"/>
    <n v="2020"/>
    <n v="220.23611111111111"/>
    <m/>
    <m/>
    <m/>
    <m/>
  </r>
  <r>
    <n v="2186"/>
    <x v="361"/>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998.30625000000009"/>
    <s v="None"/>
    <s v="WTG Unscheduled Maintenance"/>
    <n v="999"/>
    <n v="998.30625000000009"/>
    <m/>
    <m/>
    <m/>
    <m/>
  </r>
  <r>
    <n v="2187"/>
    <x v="361"/>
    <x v="1"/>
    <x v="1"/>
    <x v="12"/>
    <x v="1"/>
    <x v="25"/>
    <s v="PWEGPL"/>
    <s v="MSEDCL"/>
    <n v="2.5000000000000001E-2"/>
    <n v="501"/>
    <x v="317"/>
    <s v="Manual stop/TCA"/>
    <d v="1899-12-30T00:00:00"/>
    <d v="1899-12-30T00:00:00"/>
    <d v="1899-12-30T17:20:00"/>
    <n v="0"/>
    <n v="17.333333333333332"/>
    <n v="17.333333333333332"/>
    <s v="Generator DE &amp; NDE bearing replaced"/>
    <s v="Close"/>
    <n v="0.43333333333333335"/>
    <s v="G03"/>
    <n v="730.8888888888888"/>
    <s v="None"/>
    <s v="WTG Breakdown Maintenance"/>
    <n v="1012"/>
    <n v="730.8888888888888"/>
    <m/>
    <m/>
    <m/>
    <m/>
  </r>
  <r>
    <n v="2188"/>
    <x v="361"/>
    <x v="1"/>
    <x v="1"/>
    <x v="12"/>
    <x v="1"/>
    <x v="14"/>
    <s v="PWEGPL"/>
    <s v="MSEDCL"/>
    <n v="2.5000000000000001E-2"/>
    <n v="205"/>
    <x v="312"/>
    <s v="BD"/>
    <d v="1899-12-30T09:48:00"/>
    <d v="1899-12-30T10:44:00"/>
    <d v="1899-12-30T12:15:00"/>
    <n v="0.93333333333333135"/>
    <n v="1.5166666666666666"/>
    <n v="2.449999999999998"/>
    <s v="Arrest oil leakage and then top-up oil then restore wtg."/>
    <s v="Close"/>
    <n v="6.124999999999995E-2"/>
    <s v="G33"/>
    <n v="119.64166666666657"/>
    <s v="None"/>
    <s v="WTG Breakdown Maintenance"/>
    <n v="1172"/>
    <n v="119.64166666666657"/>
    <m/>
    <m/>
    <m/>
    <m/>
  </r>
  <r>
    <n v="2189"/>
    <x v="362"/>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1320.0826388888888"/>
    <s v="None"/>
    <s v="WTG Unscheduled Maintenance"/>
    <n v="1321"/>
    <n v="1320.0826388888888"/>
    <m/>
    <m/>
    <m/>
    <m/>
  </r>
  <r>
    <n v="2190"/>
    <x v="362"/>
    <x v="1"/>
    <x v="1"/>
    <x v="12"/>
    <x v="1"/>
    <x v="10"/>
    <s v="PWEGPL"/>
    <s v="MSEDCL"/>
    <n v="2.5000000000000001E-2"/>
    <n v="2118"/>
    <x v="293"/>
    <s v="BD"/>
    <d v="1899-12-30T06:23:00"/>
    <d v="1899-12-30T08:25:00"/>
    <d v="1899-12-30T08:52:00"/>
    <n v="2.0333333333333328"/>
    <n v="0.45000000000000107"/>
    <n v="2.4833333333333338"/>
    <s v="Clean slipring &amp; restore wtg."/>
    <s v="Close"/>
    <n v="6.2083333333333351E-2"/>
    <s v="G28"/>
    <n v="156.34652777777782"/>
    <s v="None"/>
    <s v="WTG Breakdown Maintenance"/>
    <n v="1511"/>
    <n v="156.34652777777782"/>
    <m/>
    <m/>
    <m/>
    <m/>
  </r>
  <r>
    <n v="2191"/>
    <x v="362"/>
    <x v="1"/>
    <x v="1"/>
    <x v="12"/>
    <x v="1"/>
    <x v="31"/>
    <s v="PWEGPL"/>
    <s v="MSEDCL"/>
    <n v="2.5000000000000001E-2"/>
    <s v="CE100008"/>
    <x v="400"/>
    <s v="Manual stop/TCA"/>
    <d v="1899-12-30T11:02:00"/>
    <d v="1899-12-30T11:02:00"/>
    <d v="1899-12-30T17:20:00"/>
    <n v="0"/>
    <n v="6.3000000000000007"/>
    <n v="6.3000000000000007"/>
    <s v="Gear box oil replaced &amp; restore wtg."/>
    <s v="Close"/>
    <n v="0.15750000000000003"/>
    <s v="G12"/>
    <n v="526.57500000000005"/>
    <s v="None"/>
    <s v="WTG Unscheduled Maintenance"/>
    <n v="2006"/>
    <n v="526.57500000000005"/>
    <m/>
    <m/>
    <m/>
    <m/>
  </r>
  <r>
    <n v="2192"/>
    <x v="362"/>
    <x v="1"/>
    <x v="1"/>
    <x v="12"/>
    <x v="1"/>
    <x v="28"/>
    <s v="PWEGPL"/>
    <s v="MSEDCL"/>
    <n v="2.5000000000000001E-2"/>
    <n v="208"/>
    <x v="366"/>
    <s v="BD"/>
    <d v="1899-12-30T20:40:00"/>
    <d v="1899-12-30T22:17:00"/>
    <d v="1899-12-30T23:06:00"/>
    <n v="1.6166666666666663"/>
    <n v="0.81666666666666643"/>
    <n v="2.4333333333333327"/>
    <s v="found HG contactor failure so,repair and clean then started the WTG"/>
    <s v="Close"/>
    <n v="6.0833333333333323E-2"/>
    <s v="G11"/>
    <n v="231.9777777777777"/>
    <s v="None"/>
    <s v="WTG Breakdown Maintenance"/>
    <n v="2288"/>
    <n v="231.9777777777777"/>
    <m/>
    <m/>
    <m/>
    <m/>
  </r>
  <r>
    <n v="2193"/>
    <x v="363"/>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1465.98125"/>
    <s v="None"/>
    <s v="WTG Unscheduled Maintenance"/>
    <n v="1467"/>
    <n v="1465.98125"/>
    <m/>
    <m/>
    <m/>
    <m/>
  </r>
  <r>
    <n v="2194"/>
    <x v="363"/>
    <x v="1"/>
    <x v="1"/>
    <x v="12"/>
    <x v="1"/>
    <x v="35"/>
    <s v="PWEGPL"/>
    <s v="MSEDCL"/>
    <n v="2.5000000000000001E-2"/>
    <n v="205"/>
    <x v="312"/>
    <s v="BD"/>
    <d v="1899-12-30T10:39:00"/>
    <d v="1899-12-30T11:22:00"/>
    <d v="1899-12-30T12:03:00"/>
    <n v="0.71666666666666679"/>
    <n v="0.68333333333333224"/>
    <n v="1.399999999999999"/>
    <s v="Oil top up then restore the turbine."/>
    <s v="Close"/>
    <n v="3.4999999999999976E-2"/>
    <s v="G25"/>
    <n v="98.349999999999937"/>
    <s v="None"/>
    <s v="WTG Breakdown Maintenance"/>
    <n v="1686"/>
    <n v="98.349999999999937"/>
    <m/>
    <m/>
    <m/>
    <m/>
  </r>
  <r>
    <n v="2195"/>
    <x v="363"/>
    <x v="1"/>
    <x v="1"/>
    <x v="12"/>
    <x v="1"/>
    <x v="25"/>
    <s v="PWEGPL"/>
    <s v="MSEDCL"/>
    <n v="2.5000000000000001E-2"/>
    <s v="CE100008"/>
    <x v="400"/>
    <s v="Manual stop/TCA"/>
    <d v="1899-12-30T11:24:00"/>
    <d v="1899-12-30T11:24:00"/>
    <d v="1899-12-30T19:46:00"/>
    <n v="0"/>
    <n v="8.3666666666666654"/>
    <n v="8.3666666666666654"/>
    <s v="Generator and gearbox alignment done"/>
    <s v="Close"/>
    <n v="0.20916666666666664"/>
    <s v="G03"/>
    <n v="774.61388888888871"/>
    <s v="None"/>
    <s v="WTG Unscheduled Maintenance"/>
    <n v="2222"/>
    <n v="774.61388888888871"/>
    <m/>
    <m/>
    <m/>
    <m/>
  </r>
  <r>
    <n v="2196"/>
    <x v="363"/>
    <x v="1"/>
    <x v="1"/>
    <x v="12"/>
    <x v="1"/>
    <x v="4"/>
    <s v="PWEGPL"/>
    <s v="MSEDCL"/>
    <n v="2.5000000000000001E-2"/>
    <s v="CE100008"/>
    <x v="400"/>
    <s v="Manual stop/TCA"/>
    <d v="1899-12-30T12:01:00"/>
    <d v="1899-12-30T12:01:00"/>
    <d v="1899-12-30T16:30:00"/>
    <n v="0"/>
    <n v="4.4833333333333334"/>
    <n v="4.4833333333333334"/>
    <s v="Gear box oil replaced &amp; restore wtg."/>
    <s v="Close"/>
    <n v="0.11208333333333334"/>
    <s v="G36"/>
    <n v="250.31944444444446"/>
    <s v="None"/>
    <s v="WTG Unscheduled Maintenance"/>
    <n v="1340"/>
    <n v="250.31944444444446"/>
    <m/>
    <m/>
    <m/>
    <m/>
  </r>
  <r>
    <n v="2197"/>
    <x v="364"/>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5730.0180555555553"/>
    <s v="None"/>
    <s v="WTG Unscheduled Maintenance"/>
    <n v="5734"/>
    <n v="5730.0180555555553"/>
    <m/>
    <m/>
    <m/>
    <m/>
  </r>
  <r>
    <n v="2198"/>
    <x v="364"/>
    <x v="1"/>
    <x v="1"/>
    <x v="12"/>
    <x v="1"/>
    <x v="6"/>
    <s v="PWEGPL"/>
    <s v="MSEDCL"/>
    <n v="2.5000000000000001E-2"/>
    <n v="2118"/>
    <x v="293"/>
    <s v="BD"/>
    <d v="1899-12-30T03:56:00"/>
    <d v="1899-12-30T04:48:00"/>
    <d v="1899-12-30T05:12:00"/>
    <n v="0.86666666666666625"/>
    <n v="0.40000000000000058"/>
    <n v="1.2666666666666668"/>
    <s v="Found slipring dust accumulated then cleaned and restored"/>
    <s v="Close"/>
    <n v="3.1666666666666669E-2"/>
    <s v="G40"/>
    <n v="272.33333333333337"/>
    <s v="None"/>
    <s v="WTG Breakdown Maintenance"/>
    <n v="5160"/>
    <n v="272.33333333333337"/>
    <m/>
    <m/>
    <m/>
    <m/>
  </r>
  <r>
    <n v="2199"/>
    <x v="364"/>
    <x v="1"/>
    <x v="1"/>
    <x v="12"/>
    <x v="1"/>
    <x v="18"/>
    <s v="PWEGPL"/>
    <s v="MSEDCL"/>
    <n v="2.5000000000000001E-2"/>
    <s v="CE100018"/>
    <x v="406"/>
    <s v="PM-SF6"/>
    <d v="1899-12-30T12:59:00"/>
    <d v="1899-12-30T12:59:00"/>
    <d v="1899-12-30T17:18:00"/>
    <n v="0"/>
    <n v="4.3166666666666673"/>
    <n v="4.3166666666666673"/>
    <s v="SF-6 breaker Testing &amp; maintenance done"/>
    <s v="Close"/>
    <n v="0.10791666666666669"/>
    <s v="G18"/>
    <n v="687.6090277777779"/>
    <s v="None"/>
    <s v="WTG Unscheduled Maintenance"/>
    <n v="3823"/>
    <n v="687.6090277777779"/>
    <m/>
    <m/>
    <m/>
    <m/>
  </r>
  <r>
    <n v="2200"/>
    <x v="365"/>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13621.53402777778"/>
    <s v="None"/>
    <s v="WTG Unscheduled Maintenance"/>
    <n v="13631"/>
    <n v="13621.53402777778"/>
    <m/>
    <m/>
    <m/>
    <m/>
  </r>
  <r>
    <n v="2201"/>
    <x v="365"/>
    <x v="1"/>
    <x v="1"/>
    <x v="12"/>
    <x v="1"/>
    <x v="16"/>
    <s v="PWEGPL"/>
    <s v="MSEDCL"/>
    <n v="2.5000000000000001E-2"/>
    <n v="115"/>
    <x v="308"/>
    <s v="BD"/>
    <d v="1899-12-30T05:07:00"/>
    <d v="1899-12-30T05:57:00"/>
    <d v="1899-12-30T07:15:00"/>
    <n v="0.8333333333333337"/>
    <n v="1.2999999999999994"/>
    <n v="2.1333333333333329"/>
    <s v="Found KR280 relay faulty ro replace it with new one"/>
    <s v="Close"/>
    <n v="5.3333333333333323E-2"/>
    <s v="G37"/>
    <n v="734.13333333333321"/>
    <s v="None"/>
    <s v="WTG Breakdown Maintenance"/>
    <n v="8259"/>
    <n v="734.13333333333321"/>
    <m/>
    <m/>
    <m/>
    <m/>
  </r>
  <r>
    <n v="2202"/>
    <x v="365"/>
    <x v="1"/>
    <x v="1"/>
    <x v="12"/>
    <x v="1"/>
    <x v="39"/>
    <s v="PWEGPL"/>
    <s v="MSEDCL"/>
    <n v="2.5000000000000001E-2"/>
    <s v="CE100018"/>
    <x v="406"/>
    <s v="PM-SF6"/>
    <d v="1899-12-30T10:45:00"/>
    <d v="1899-12-30T10:45:00"/>
    <d v="1899-12-30T18:32:00"/>
    <n v="0"/>
    <n v="7.7833333333333332"/>
    <n v="7.7833333333333332"/>
    <s v="SF-6 breaker Testing &amp; maintenance done"/>
    <s v="Close"/>
    <n v="0.19458333333333333"/>
    <s v="G14"/>
    <n v="3301.754861111111"/>
    <s v="None"/>
    <s v="WTG Unscheduled Maintenance"/>
    <n v="10181"/>
    <n v="3301.754861111111"/>
    <m/>
    <m/>
    <m/>
    <m/>
  </r>
  <r>
    <n v="2203"/>
    <x v="365"/>
    <x v="1"/>
    <x v="1"/>
    <x v="12"/>
    <x v="1"/>
    <x v="30"/>
    <s v="PWEGPL"/>
    <s v="MSEDCL"/>
    <n v="2.5000000000000001E-2"/>
    <s v="CE100008"/>
    <x v="400"/>
    <s v="Manual stop/TCA"/>
    <d v="1899-12-30T10:51:00"/>
    <d v="1899-12-30T10:51:00"/>
    <d v="1899-12-30T18:30:00"/>
    <n v="0"/>
    <n v="7.65"/>
    <n v="7.65"/>
    <s v="Gear box oil replaced &amp; restore wtg."/>
    <s v="Close"/>
    <n v="0.19125000000000003"/>
    <s v="G13"/>
    <n v="3484.5750000000003"/>
    <s v="None"/>
    <s v="WTG Unscheduled Maintenance"/>
    <n v="10932"/>
    <n v="3484.5750000000003"/>
    <m/>
    <m/>
    <m/>
    <m/>
  </r>
  <r>
    <n v="2204"/>
    <x v="365"/>
    <x v="1"/>
    <x v="1"/>
    <x v="12"/>
    <x v="1"/>
    <x v="19"/>
    <s v="PWEGPL"/>
    <s v="MSEDCL"/>
    <n v="2.5000000000000001E-2"/>
    <s v="CE100008"/>
    <x v="400"/>
    <s v="Manual Stop/SEM"/>
    <d v="1899-12-30T12:39:00"/>
    <d v="1899-12-30T12:39:00"/>
    <d v="1899-12-30T14:05:00"/>
    <n v="0"/>
    <n v="1.4333333333333336"/>
    <n v="1.4333333333333336"/>
    <s v="Sem meter instalation work"/>
    <s v="Close"/>
    <n v="3.5833333333333342E-2"/>
    <s v="G19"/>
    <n v="855.75972222222231"/>
    <s v="None"/>
    <s v="WTG Unscheduled Maintenance"/>
    <n v="14329"/>
    <n v="855.75972222222231"/>
    <m/>
    <m/>
    <m/>
    <m/>
  </r>
  <r>
    <n v="2205"/>
    <x v="365"/>
    <x v="1"/>
    <x v="1"/>
    <x v="12"/>
    <x v="1"/>
    <x v="32"/>
    <s v="PWEGPL"/>
    <s v="MSEDCL"/>
    <n v="2.5000000000000001E-2"/>
    <s v="CE100008"/>
    <x v="400"/>
    <s v="Manual Stop/SEM"/>
    <d v="1899-12-30T16:02:00"/>
    <d v="1899-12-30T16:02:00"/>
    <d v="1899-12-30T17:10:00"/>
    <n v="0"/>
    <n v="1.133333333333332"/>
    <n v="1.133333333333332"/>
    <s v="Sem meter instalation work"/>
    <s v="Close"/>
    <n v="2.8333333333333301E-2"/>
    <s v="G13"/>
    <n v="516.23333333333267"/>
    <s v="None"/>
    <s v="WTG Unscheduled Maintenance"/>
    <n v="10932"/>
    <n v="516.23333333333267"/>
    <m/>
    <m/>
    <m/>
    <m/>
  </r>
  <r>
    <n v="2206"/>
    <x v="365"/>
    <x v="1"/>
    <x v="1"/>
    <x v="12"/>
    <x v="1"/>
    <x v="31"/>
    <s v="PWEGPL"/>
    <s v="MSEDCL"/>
    <n v="2.5000000000000001E-2"/>
    <s v="CE100008"/>
    <x v="400"/>
    <s v="Manual Stop/SEM"/>
    <d v="1899-12-30T17:23:00"/>
    <d v="1899-12-30T17:23:00"/>
    <d v="1899-12-30T18:30:00"/>
    <n v="0"/>
    <n v="1.116666666666668"/>
    <n v="1.116666666666668"/>
    <s v="Sem meter instalation work"/>
    <s v="Close"/>
    <n v="2.7916666666666701E-2"/>
    <s v="G14"/>
    <n v="473.69930555555612"/>
    <s v="None"/>
    <s v="WTG Unscheduled Maintenance"/>
    <n v="10181"/>
    <n v="473.69930555555612"/>
    <m/>
    <m/>
    <m/>
    <m/>
  </r>
  <r>
    <n v="2207"/>
    <x v="365"/>
    <x v="1"/>
    <x v="1"/>
    <x v="12"/>
    <x v="1"/>
    <x v="22"/>
    <s v="PWEGPL"/>
    <s v="MSEDCL"/>
    <n v="2.5000000000000001E-2"/>
    <n v="402"/>
    <x v="300"/>
    <s v="BD"/>
    <d v="1899-12-30T20:51:00"/>
    <d v="1899-12-30T22:10:00"/>
    <d v="1899-12-30T23:59:00"/>
    <n v="1.3166666666666673"/>
    <n v="1.8166666666666655"/>
    <n v="3.1333333333333329"/>
    <s v="Work under progress"/>
    <s v="Open"/>
    <n v="7.8333333333333324E-2"/>
    <s v="G08"/>
    <n v="1023.6861111111109"/>
    <s v="None"/>
    <s v="WTG Breakdown Maintenance"/>
    <n v="7841"/>
    <n v="1023.6861111111109"/>
    <m/>
    <m/>
    <m/>
    <m/>
  </r>
  <r>
    <n v="2208"/>
    <x v="366"/>
    <x v="1"/>
    <x v="1"/>
    <x v="12"/>
    <x v="1"/>
    <x v="1"/>
    <s v="PWEGPL"/>
    <s v="MSEDCL"/>
    <n v="2.5000000000000001E-2"/>
    <s v="CE100002"/>
    <x v="381"/>
    <s v="Manual stop/TCA"/>
    <d v="1899-12-30T00:00:00"/>
    <d v="1899-12-30T00:00:00"/>
    <d v="1899-12-30T23:59:00"/>
    <n v="0"/>
    <n v="23.983333333333334"/>
    <n v="23.983333333333334"/>
    <s v=" Blade damage ispection done and waiting for engineering team suggestion (Stoppage from 00:00 to 23:59)"/>
    <s v="Open"/>
    <n v="0.59958333333333336"/>
    <s v="G05"/>
    <n v="3781.3722222222223"/>
    <s v="None"/>
    <s v="WTG Unscheduled Maintenance"/>
    <n v="3784"/>
    <n v="3781.3722222222223"/>
    <m/>
    <m/>
    <m/>
    <m/>
  </r>
  <r>
    <n v="2209"/>
    <x v="366"/>
    <x v="1"/>
    <x v="1"/>
    <x v="12"/>
    <x v="1"/>
    <x v="22"/>
    <s v="PWEGPL"/>
    <s v="MSEDCL"/>
    <n v="2.5000000000000001E-2"/>
    <n v="402"/>
    <x v="300"/>
    <s v="BD"/>
    <d v="1899-12-30T00:00:00"/>
    <d v="1899-12-30T00:00:00"/>
    <d v="1899-12-30T01:14:00"/>
    <n v="0"/>
    <n v="1.2333333333333334"/>
    <n v="1.2333333333333334"/>
    <s v="Found Generator slip ring failure so replace it then restore wtg."/>
    <s v="Close"/>
    <n v="3.0833333333333338E-2"/>
    <s v="G08"/>
    <n v="120.81527777777778"/>
    <s v="None"/>
    <s v="WTG Breakdown Maintenance"/>
    <n v="2351"/>
    <n v="120.81527777777778"/>
    <m/>
    <m/>
    <m/>
    <m/>
  </r>
  <r>
    <n v="2210"/>
    <x v="366"/>
    <x v="1"/>
    <x v="1"/>
    <x v="12"/>
    <x v="1"/>
    <x v="32"/>
    <s v="PWEGPL"/>
    <s v="MSEDCL"/>
    <n v="2.5000000000000001E-2"/>
    <s v="CE100018"/>
    <x v="406"/>
    <s v="PM-SF6"/>
    <d v="1899-12-30T10:43:00"/>
    <d v="1899-12-30T10:43:00"/>
    <d v="1899-12-30T12:47:00"/>
    <n v="0"/>
    <n v="2.066666666666666"/>
    <n v="2.066666666666666"/>
    <s v="SF-6 breaker Testing &amp; maintenance done"/>
    <s v="Close"/>
    <n v="5.1666666666666652E-2"/>
    <s v="G13"/>
    <n v="272.02499999999992"/>
    <s v="None"/>
    <s v="WTG Unscheduled Maintenance"/>
    <n v="3159"/>
    <n v="272.02499999999992"/>
    <m/>
    <m/>
    <m/>
    <m/>
  </r>
  <r>
    <n v="2211"/>
    <x v="366"/>
    <x v="1"/>
    <x v="1"/>
    <x v="12"/>
    <x v="1"/>
    <x v="29"/>
    <s v="PWEGPL"/>
    <s v="MSEDCL"/>
    <n v="2.5000000000000001E-2"/>
    <s v="CE100014"/>
    <x v="305"/>
    <s v="Manual stop"/>
    <d v="1899-12-30T10:58:00"/>
    <d v="1899-12-30T10:58:00"/>
    <d v="1899-12-30T12:55:00"/>
    <n v="0"/>
    <n v="1.9499999999999997"/>
    <n v="1.9499999999999997"/>
    <s v="Customer audit done"/>
    <s v="Close"/>
    <n v="4.8749999999999995E-2"/>
    <s v="G10"/>
    <n v="336.86249999999995"/>
    <s v="None"/>
    <s v="WTG Unscheduled Maintenance"/>
    <n v="4146"/>
    <n v="336.86249999999995"/>
    <m/>
    <m/>
    <m/>
    <m/>
  </r>
  <r>
    <n v="2212"/>
    <x v="366"/>
    <x v="1"/>
    <x v="1"/>
    <x v="12"/>
    <x v="1"/>
    <x v="31"/>
    <s v="PWEGPL"/>
    <s v="MSEDCL"/>
    <n v="2.5000000000000001E-2"/>
    <s v="CE100018"/>
    <x v="406"/>
    <s v="PM-SF6"/>
    <d v="1899-12-30T13:17:00"/>
    <d v="1899-12-30T13:17:00"/>
    <d v="1899-12-30T15:30:00"/>
    <n v="0"/>
    <n v="2.2166666666666668"/>
    <n v="2.2166666666666668"/>
    <s v="SF-6 breaker Testing &amp; maintenance done"/>
    <s v="Close"/>
    <n v="5.541666666666667E-2"/>
    <s v="G12"/>
    <n v="361.31666666666666"/>
    <s v="None"/>
    <s v="WTG Unscheduled Maintenance"/>
    <n v="3912"/>
    <n v="361.31666666666666"/>
    <m/>
    <m/>
    <m/>
    <m/>
  </r>
  <r>
    <n v="2213"/>
    <x v="366"/>
    <x v="1"/>
    <x v="1"/>
    <x v="12"/>
    <x v="1"/>
    <x v="28"/>
    <s v="PWEGPL"/>
    <s v="MSEDCL"/>
    <n v="2.5000000000000001E-2"/>
    <s v="CE100014"/>
    <x v="305"/>
    <s v="Manual stop"/>
    <d v="1899-12-30T13:02:00"/>
    <d v="1899-12-30T13:02:00"/>
    <d v="1899-12-30T14:13:00"/>
    <n v="0"/>
    <n v="1.1833333333333345"/>
    <n v="1.1833333333333345"/>
    <s v="Customer audit done"/>
    <s v="Close"/>
    <n v="2.9583333333333364E-2"/>
    <s v="G11"/>
    <n v="271.47638888888912"/>
    <s v="None"/>
    <s v="WTG Unscheduled Maintenance"/>
    <n v="5506"/>
    <n v="271.47638888888912"/>
    <m/>
    <m/>
    <m/>
    <m/>
  </r>
  <r>
    <n v="2214"/>
    <x v="366"/>
    <x v="1"/>
    <x v="1"/>
    <x v="12"/>
    <x v="1"/>
    <x v="30"/>
    <s v="PWEGPL"/>
    <s v="MSEDCL"/>
    <n v="2.5000000000000001E-2"/>
    <s v="CE100018"/>
    <x v="406"/>
    <s v="PM-SF6"/>
    <d v="1899-12-30T15:47:00"/>
    <d v="1899-12-30T15:47:00"/>
    <d v="1899-12-30T17:33:00"/>
    <n v="0"/>
    <n v="1.7666666666666684"/>
    <n v="1.7666666666666684"/>
    <s v="SF-6 breaker Testing &amp; maintenance done"/>
    <s v="Close"/>
    <n v="4.4166666666666715E-2"/>
    <s v="G13"/>
    <n v="232.53750000000022"/>
    <s v="None"/>
    <s v="WTG Unscheduled Maintenance"/>
    <n v="3159"/>
    <n v="232.53750000000022"/>
    <m/>
    <m/>
    <m/>
    <m/>
  </r>
  <r>
    <n v="2215"/>
    <x v="366"/>
    <x v="1"/>
    <x v="1"/>
    <x v="12"/>
    <x v="1"/>
    <x v="27"/>
    <s v="PWEGPL"/>
    <s v="MSEDCL"/>
    <n v="2.5000000000000001E-2"/>
    <s v="CE100008"/>
    <x v="400"/>
    <s v="Manual stop/TCA"/>
    <d v="1899-12-30T10:58:00"/>
    <d v="1899-12-30T10:58:00"/>
    <d v="1899-12-30T17:25:00"/>
    <n v="0"/>
    <n v="6.4500000000000028"/>
    <n v="6.4500000000000028"/>
    <s v="Gear box oil replaced &amp; restore wtg."/>
    <s v="Close"/>
    <n v="0.16125000000000009"/>
    <s v="G08"/>
    <n v="1161.0000000000005"/>
    <s v="None"/>
    <s v="WTG Unscheduled Maintenance"/>
    <n v="4320"/>
    <n v="1161.0000000000005"/>
    <m/>
    <m/>
    <m/>
    <m/>
  </r>
  <r>
    <n v="2216"/>
    <x v="367"/>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4325.9937500000005"/>
    <s v="None"/>
    <s v="WTG Unscheduled Maintenance"/>
    <n v="4329"/>
    <n v="4325.9937500000005"/>
    <m/>
    <m/>
    <m/>
    <m/>
  </r>
  <r>
    <n v="2217"/>
    <x v="367"/>
    <x v="1"/>
    <x v="1"/>
    <x v="12"/>
    <x v="1"/>
    <x v="7"/>
    <s v="PWEGPL"/>
    <s v="MSEDCL"/>
    <n v="2.5000000000000001E-2"/>
    <n v="110"/>
    <x v="287"/>
    <s v="BD"/>
    <d v="1899-12-30T02:45:00"/>
    <d v="1899-12-30T05:14:00"/>
    <d v="1899-12-30T07:10:00"/>
    <n v="2.4833333333333334"/>
    <n v="1.9333333333333331"/>
    <n v="4.416666666666667"/>
    <s v="Cable twist remove and yaw senser setting done"/>
    <s v="Close"/>
    <n v="0.11041666666666668"/>
    <s v="G39"/>
    <n v="555.21180555555554"/>
    <s v="None"/>
    <s v="WTG Breakdown Maintenance"/>
    <n v="3017"/>
    <n v="555.21180555555554"/>
    <m/>
    <m/>
    <m/>
    <m/>
  </r>
  <r>
    <n v="2218"/>
    <x v="367"/>
    <x v="1"/>
    <x v="1"/>
    <x v="12"/>
    <x v="1"/>
    <x v="8"/>
    <s v="PWEGPL"/>
    <s v="MSEDCL"/>
    <n v="2.5000000000000001E-2"/>
    <n v="110"/>
    <x v="287"/>
    <s v="BD"/>
    <d v="1899-12-30T02:36:00"/>
    <d v="1899-12-30T03:12:00"/>
    <d v="1899-12-30T05:27:00"/>
    <n v="0.59999999999999987"/>
    <n v="2.25"/>
    <n v="2.8499999999999996"/>
    <s v="Cable twist remove and yaw senser setting done"/>
    <s v="Close"/>
    <n v="7.1249999999999994E-2"/>
    <s v="G25"/>
    <n v="500.17499999999995"/>
    <s v="None"/>
    <s v="WTG Breakdown Maintenance"/>
    <n v="4212"/>
    <n v="500.17499999999995"/>
    <m/>
    <m/>
    <m/>
    <m/>
  </r>
  <r>
    <n v="2219"/>
    <x v="367"/>
    <x v="1"/>
    <x v="1"/>
    <x v="12"/>
    <x v="1"/>
    <x v="5"/>
    <s v="PWEGPL"/>
    <s v="MSEDCL"/>
    <n v="2.5000000000000001E-2"/>
    <n v="800"/>
    <x v="298"/>
    <s v="BD"/>
    <d v="1899-12-30T13:01:00"/>
    <d v="1899-12-30T13:26:00"/>
    <d v="1899-12-30T15:53:00"/>
    <n v="0.41666666666666519"/>
    <n v="2.4499999999999993"/>
    <n v="2.8666666666666645"/>
    <s v="Check and found sonelide cable loose so tight it and start wtg."/>
    <s v="Close"/>
    <n v="7.1666666666666615E-2"/>
    <s v="G39"/>
    <n v="360.3638888888886"/>
    <s v="None"/>
    <s v="WTG Breakdown Maintenance"/>
    <n v="3017"/>
    <n v="360.3638888888886"/>
    <m/>
    <m/>
    <m/>
    <m/>
  </r>
  <r>
    <n v="2220"/>
    <x v="367"/>
    <x v="1"/>
    <x v="1"/>
    <x v="12"/>
    <x v="1"/>
    <x v="27"/>
    <s v="PWEGPL"/>
    <s v="MSEDCL"/>
    <n v="2.5000000000000001E-2"/>
    <s v="CE100018"/>
    <x v="406"/>
    <s v="PM-SF6"/>
    <d v="1899-12-30T11:16:00"/>
    <d v="1899-12-30T11:16:00"/>
    <d v="1899-12-30T12:50:00"/>
    <n v="0"/>
    <n v="1.5666666666666651"/>
    <n v="1.5666666666666651"/>
    <s v="SF-6 breaker Testing &amp; maintenance done"/>
    <s v="Close"/>
    <n v="3.9166666666666627E-2"/>
    <s v="G12"/>
    <n v="259.02222222222196"/>
    <s v="None"/>
    <s v="WTG Unscheduled Maintenance"/>
    <n v="3968"/>
    <n v="259.02222222222196"/>
    <m/>
    <m/>
    <m/>
    <m/>
  </r>
  <r>
    <n v="2221"/>
    <x v="367"/>
    <x v="1"/>
    <x v="1"/>
    <x v="12"/>
    <x v="1"/>
    <x v="22"/>
    <s v="PWEGPL"/>
    <s v="MSEDCL"/>
    <n v="2.5000000000000001E-2"/>
    <s v="CE100018"/>
    <x v="406"/>
    <s v="PM-SF6"/>
    <d v="1899-12-30T13:18:00"/>
    <d v="1899-12-30T13:18:00"/>
    <d v="1899-12-30T15:02:00"/>
    <n v="0"/>
    <n v="1.7333333333333325"/>
    <n v="1.7333333333333325"/>
    <s v="SF-6 breaker Testing &amp; maintenance done"/>
    <s v="Close"/>
    <n v="4.3333333333333314E-2"/>
    <s v="G04"/>
    <n v="246.63888888888874"/>
    <s v="None"/>
    <s v="WTG Unscheduled Maintenance"/>
    <n v="3415"/>
    <n v="246.63888888888874"/>
    <m/>
    <m/>
    <m/>
    <m/>
  </r>
  <r>
    <n v="2222"/>
    <x v="367"/>
    <x v="1"/>
    <x v="1"/>
    <x v="12"/>
    <x v="1"/>
    <x v="17"/>
    <s v="PWEGPL"/>
    <s v="MSEDCL"/>
    <n v="2.5000000000000001E-2"/>
    <s v="CE100018"/>
    <x v="406"/>
    <s v="PM-SF6"/>
    <d v="1899-12-30T15:20:00"/>
    <d v="1899-12-30T15:20:00"/>
    <d v="1899-12-30T17:01:00"/>
    <n v="0"/>
    <n v="1.68333333333333"/>
    <n v="1.68333333333333"/>
    <s v="SF-6 breaker Testing &amp; maintenance done"/>
    <s v="Close"/>
    <n v="4.208333333333325E-2"/>
    <s v="G03"/>
    <n v="278.73194444444391"/>
    <s v="None"/>
    <s v="WTG Unscheduled Maintenance"/>
    <n v="3974"/>
    <n v="278.73194444444391"/>
    <m/>
    <m/>
    <m/>
    <m/>
  </r>
  <r>
    <n v="2223"/>
    <x v="367"/>
    <x v="1"/>
    <x v="1"/>
    <x v="12"/>
    <x v="1"/>
    <x v="8"/>
    <s v="PWEGPL"/>
    <s v="MSEDCL"/>
    <n v="2.5000000000000001E-2"/>
    <s v="CE100008"/>
    <x v="400"/>
    <s v="Manual stop"/>
    <d v="1899-12-30T15:31:00"/>
    <d v="1899-12-30T15:31:00"/>
    <d v="1899-12-30T17:23:00"/>
    <n v="0"/>
    <n v="1.8666666666666654"/>
    <n v="1.8666666666666654"/>
    <s v="Found Blade B hose pipe leakage so correct it then start wtg"/>
    <s v="Close"/>
    <n v="4.6666666666666634E-2"/>
    <s v="G25"/>
    <n v="327.5999999999998"/>
    <s v="None"/>
    <s v="WTG Breakdown Maintenance"/>
    <n v="4212"/>
    <n v="327.5999999999998"/>
    <m/>
    <m/>
    <m/>
    <m/>
  </r>
  <r>
    <n v="2224"/>
    <x v="368"/>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2065.5645833333333"/>
    <s v="None"/>
    <s v="WTG Unscheduled Maintenance"/>
    <n v="2067"/>
    <n v="2065.5645833333333"/>
    <m/>
    <m/>
    <m/>
    <m/>
  </r>
  <r>
    <n v="2225"/>
    <x v="368"/>
    <x v="1"/>
    <x v="1"/>
    <x v="12"/>
    <x v="1"/>
    <x v="13"/>
    <s v="PWEGPL"/>
    <s v="MSEDCL"/>
    <n v="2.5000000000000001E-2"/>
    <n v="205"/>
    <x v="312"/>
    <s v="BD"/>
    <d v="1899-12-30T09:35:00"/>
    <d v="1899-12-30T11:04:00"/>
    <d v="1899-12-30T11:33:00"/>
    <n v="1.4833333333333321"/>
    <n v="0.48333333333333428"/>
    <n v="1.9666666666666663"/>
    <s v="10 liter Oil top up then restore the turbine."/>
    <s v="Close"/>
    <n v="4.9166666666666664E-2"/>
    <s v="G34"/>
    <n v="217.39861111111108"/>
    <s v="None"/>
    <s v="WTG Breakdown Maintenance"/>
    <n v="2653"/>
    <n v="217.39861111111108"/>
    <m/>
    <m/>
    <m/>
    <m/>
  </r>
  <r>
    <n v="2226"/>
    <x v="368"/>
    <x v="1"/>
    <x v="1"/>
    <x v="12"/>
    <x v="1"/>
    <x v="5"/>
    <s v="PWEGPL"/>
    <s v="MSEDCL"/>
    <n v="2.5000000000000001E-2"/>
    <n v="205"/>
    <x v="312"/>
    <s v="BD"/>
    <d v="1899-12-30T09:58:00"/>
    <d v="1899-12-30T11:53:00"/>
    <d v="1899-12-30T12:18:00"/>
    <n v="1.9166666666666652"/>
    <n v="0.41666666666666918"/>
    <n v="2.3333333333333344"/>
    <s v="10 liter Oil top up then restore the turbine."/>
    <s v="Close"/>
    <n v="5.8333333333333362E-2"/>
    <s v="G39"/>
    <n v="207.37500000000009"/>
    <s v="None"/>
    <s v="WTG Breakdown Maintenance"/>
    <n v="2133"/>
    <n v="207.37500000000009"/>
    <m/>
    <m/>
    <m/>
    <m/>
  </r>
  <r>
    <n v="2227"/>
    <x v="368"/>
    <x v="1"/>
    <x v="1"/>
    <x v="12"/>
    <x v="1"/>
    <x v="24"/>
    <s v="PWEGPL"/>
    <s v="MSEDCL"/>
    <n v="2.5000000000000001E-2"/>
    <n v="213"/>
    <x v="397"/>
    <s v="BD"/>
    <d v="1899-12-30T09:40:00"/>
    <d v="1899-12-30T10:05:00"/>
    <d v="1899-12-30T12:33:00"/>
    <n v="0.41666666666666785"/>
    <n v="2.4666666666666672"/>
    <n v="2.8833333333333351"/>
    <s v="Check releted circuit found KM280 contactor failure so replace with new one then restore wtg."/>
    <s v="Close"/>
    <n v="7.2083333333333374E-2"/>
    <s v="G22"/>
    <n v="365.70277777777801"/>
    <s v="None"/>
    <s v="WTG Breakdown Maintenance"/>
    <n v="3044"/>
    <n v="365.70277777777801"/>
    <m/>
    <m/>
    <m/>
    <m/>
  </r>
  <r>
    <n v="2228"/>
    <x v="368"/>
    <x v="1"/>
    <x v="1"/>
    <x v="12"/>
    <x v="1"/>
    <x v="25"/>
    <s v="PWEGPL"/>
    <s v="MSEDCL"/>
    <n v="2.5000000000000001E-2"/>
    <s v="CE100018"/>
    <x v="406"/>
    <s v="PM-SF6"/>
    <d v="1899-12-30T11:05:00"/>
    <d v="1899-12-30T11:05:00"/>
    <d v="1899-12-30T14:35:00"/>
    <n v="0"/>
    <n v="3.5000000000000009"/>
    <n v="3.5000000000000009"/>
    <s v="SF-6 breaker Testing &amp; maintenance done"/>
    <s v="Close"/>
    <n v="8.7500000000000022E-2"/>
    <s v="G03"/>
    <n v="331.04166666666674"/>
    <s v="None"/>
    <s v="WTG Breakdown Maintenance"/>
    <n v="2270"/>
    <n v="331.04166666666674"/>
    <m/>
    <m/>
    <m/>
    <m/>
  </r>
  <r>
    <n v="2229"/>
    <x v="368"/>
    <x v="1"/>
    <x v="1"/>
    <x v="12"/>
    <x v="1"/>
    <x v="26"/>
    <s v="PWEGPL"/>
    <s v="MSEDCL"/>
    <n v="2.5000000000000001E-2"/>
    <s v="CE100018"/>
    <x v="406"/>
    <s v="PM-SF6"/>
    <d v="1899-12-30T15:10:00"/>
    <d v="1899-12-30T15:10:00"/>
    <d v="1899-12-30T17:15:00"/>
    <n v="0"/>
    <n v="2.0833333333333339"/>
    <n v="2.0833333333333339"/>
    <s v="SF-6 breaker Testing &amp; maintenance done"/>
    <s v="Close"/>
    <n v="5.208333333333335E-2"/>
    <s v="G01"/>
    <n v="228.73263888888897"/>
    <s v="None"/>
    <s v="WTG Breakdown Maintenance"/>
    <n v="2635"/>
    <n v="228.73263888888897"/>
    <m/>
    <m/>
    <m/>
    <m/>
  </r>
  <r>
    <n v="2230"/>
    <x v="368"/>
    <x v="1"/>
    <x v="1"/>
    <x v="12"/>
    <x v="1"/>
    <x v="5"/>
    <s v="PWEGPL"/>
    <s v="MSEDCL"/>
    <n v="2.5000000000000001E-2"/>
    <n v="800"/>
    <x v="298"/>
    <s v="BD"/>
    <d v="1899-12-30T13:07:00"/>
    <d v="1899-12-30T14:25:00"/>
    <d v="1899-12-30T15:26:00"/>
    <n v="1.299999999999998"/>
    <n v="1.0166666666666684"/>
    <n v="2.3166666666666664"/>
    <s v="Found blade C propotional valve falty so replace with new one then staet wtg"/>
    <s v="Close"/>
    <n v="5.7916666666666665E-2"/>
    <s v="G39"/>
    <n v="205.89374999999998"/>
    <s v="None"/>
    <s v="WTG Breakdown Maintenance"/>
    <n v="2133"/>
    <n v="205.89374999999998"/>
    <m/>
    <m/>
    <m/>
    <m/>
  </r>
  <r>
    <n v="2231"/>
    <x v="368"/>
    <x v="1"/>
    <x v="1"/>
    <x v="12"/>
    <x v="1"/>
    <x v="6"/>
    <s v="PWEGPL"/>
    <s v="MSEDCL"/>
    <n v="2.5000000000000001E-2"/>
    <n v="800"/>
    <x v="298"/>
    <s v="BD"/>
    <d v="1899-12-30T18:31:00"/>
    <d v="1899-12-30T19:01:00"/>
    <d v="1899-12-30T20:41:00"/>
    <n v="0.50000000000000089"/>
    <n v="1.6666666666666687"/>
    <n v="2.1666666666666696"/>
    <s v="Found Blade A propotional valve falty so replace with new one then start wgt."/>
    <s v="Close"/>
    <n v="5.4166666666666745E-2"/>
    <s v="G12"/>
    <n v="221.27083333333363"/>
    <s v="None"/>
    <s v="WTG Breakdown Maintenance"/>
    <n v="2451"/>
    <n v="221.27083333333363"/>
    <m/>
    <m/>
    <m/>
    <m/>
  </r>
  <r>
    <n v="2232"/>
    <x v="369"/>
    <x v="1"/>
    <x v="1"/>
    <x v="12"/>
    <x v="1"/>
    <x v="1"/>
    <s v="PWEGPL"/>
    <s v="MSEDCL"/>
    <n v="2.5000000000000001E-2"/>
    <s v="CE100002"/>
    <x v="381"/>
    <s v="Manual stop/TCA"/>
    <d v="1899-12-30T00:00:00"/>
    <d v="1899-12-30T00:00:00"/>
    <d v="1899-12-30T23:59:00"/>
    <n v="0"/>
    <n v="23.983333333333334"/>
    <n v="23.983333333333334"/>
    <s v="Blade damage ispection done and waiting for engineering team suggestion."/>
    <s v="Open"/>
    <n v="0.59958333333333336"/>
    <s v="G05"/>
    <n v="4074.1687500000003"/>
    <s v="None"/>
    <s v="WTG Unscheduled Maintenance"/>
    <n v="4077"/>
    <n v="4074.1687500000003"/>
    <m/>
    <m/>
    <m/>
    <m/>
  </r>
  <r>
    <n v="2233"/>
    <x v="369"/>
    <x v="1"/>
    <x v="1"/>
    <x v="12"/>
    <x v="1"/>
    <x v="23"/>
    <s v="PWEGPL"/>
    <s v="MSEDCL"/>
    <n v="2.5000000000000001E-2"/>
    <s v="CE100018"/>
    <x v="406"/>
    <s v="PM-SF6"/>
    <d v="1899-12-30T11:44:00"/>
    <d v="1899-12-30T11:44:00"/>
    <d v="1899-12-30T14:27:00"/>
    <n v="0"/>
    <n v="2.7166666666666663"/>
    <n v="2.7166666666666663"/>
    <s v="SF-6 breaker Testing &amp; maintenance done"/>
    <s v="Close"/>
    <n v="6.7916666666666667E-2"/>
    <s v="G03"/>
    <n v="410.21666666666664"/>
    <s v="None"/>
    <s v="WTG Unscheduled Maintenance"/>
    <n v="3624"/>
    <n v="410.21666666666664"/>
    <m/>
    <m/>
    <m/>
    <m/>
  </r>
  <r>
    <n v="2234"/>
    <x v="369"/>
    <x v="1"/>
    <x v="1"/>
    <x v="12"/>
    <x v="1"/>
    <x v="32"/>
    <s v="PWEGPL"/>
    <s v="MSEDCL"/>
    <n v="2.5000000000000001E-2"/>
    <n v="905"/>
    <x v="350"/>
    <s v="BD"/>
    <d v="1899-12-30T13:49:00"/>
    <d v="1899-12-30T14:12:00"/>
    <d v="1899-12-30T15:34:00"/>
    <n v="0.38333333333333464"/>
    <n v="1.3666666666666671"/>
    <n v="1.7500000000000018"/>
    <s v="Found Break Power supply Battery failure so replace with new one and restore wtg."/>
    <s v="Close"/>
    <n v="4.3750000000000046E-2"/>
    <s v="G15"/>
    <n v="260.0208333333336"/>
    <s v="None"/>
    <s v="WTG Breakdown Maintenance"/>
    <n v="3566"/>
    <n v="260.0208333333336"/>
    <m/>
    <m/>
    <m/>
    <m/>
  </r>
  <r>
    <n v="2235"/>
    <x v="369"/>
    <x v="1"/>
    <x v="1"/>
    <x v="12"/>
    <x v="1"/>
    <x v="21"/>
    <s v="PWEGPL"/>
    <s v="MSEDCL"/>
    <n v="2.5000000000000001E-2"/>
    <s v="CE100018"/>
    <x v="406"/>
    <s v="PM-SF6"/>
    <d v="1899-12-30T14:30:00"/>
    <d v="1899-12-30T14:30:00"/>
    <d v="1899-12-30T16:31:00"/>
    <n v="0"/>
    <n v="2.0166666666666675"/>
    <n v="2.0166666666666675"/>
    <s v="SF-6 breaker Testing &amp; maintenance done"/>
    <s v="Close"/>
    <n v="5.0416666666666693E-2"/>
    <s v="G04"/>
    <n v="319.97777777777787"/>
    <s v="None"/>
    <s v="WTG Unscheduled Maintenance"/>
    <n v="3808"/>
    <n v="319.97777777777787"/>
    <m/>
    <m/>
    <m/>
    <m/>
  </r>
  <r>
    <n v="2236"/>
    <x v="370"/>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12085.60138888889"/>
    <s v="None"/>
    <s v="WTG Unscheduled Maintenance"/>
    <n v="12094"/>
    <n v="12085.60138888889"/>
    <m/>
    <m/>
    <m/>
    <m/>
  </r>
  <r>
    <n v="2237"/>
    <x v="370"/>
    <x v="1"/>
    <x v="1"/>
    <x v="12"/>
    <x v="1"/>
    <x v="28"/>
    <s v="PWEGPL"/>
    <s v="MSEDCL"/>
    <n v="2.5000000000000001E-2"/>
    <s v="CE100018"/>
    <x v="406"/>
    <s v="PM-SF6"/>
    <d v="1899-12-30T10:30:00"/>
    <d v="1899-12-30T10:30:00"/>
    <d v="1899-12-30T13:00:00"/>
    <n v="0"/>
    <n v="2.4999999999999991"/>
    <n v="2.4999999999999991"/>
    <s v="SF-6 breaker Testing &amp; maintenance done"/>
    <s v="Close"/>
    <n v="6.2499999999999979E-2"/>
    <s v="G11"/>
    <n v="1821.1458333333328"/>
    <s v="None"/>
    <s v="WTG Breakdown Maintenance"/>
    <n v="17483"/>
    <n v="1821.1458333333328"/>
    <m/>
    <m/>
    <m/>
    <m/>
  </r>
  <r>
    <n v="2238"/>
    <x v="370"/>
    <x v="1"/>
    <x v="1"/>
    <x v="12"/>
    <x v="1"/>
    <x v="29"/>
    <s v="PWEGPL"/>
    <s v="MSEDCL"/>
    <n v="2.5000000000000001E-2"/>
    <s v="CE100018"/>
    <x v="406"/>
    <s v="PM-SF6"/>
    <d v="1899-12-30T13:20:00"/>
    <d v="1899-12-30T13:20:00"/>
    <d v="1899-12-30T14:49:00"/>
    <n v="0"/>
    <n v="1.4833333333333334"/>
    <n v="1.4833333333333334"/>
    <s v="SF-6 breaker Testing &amp; maintenance done"/>
    <s v="Close"/>
    <n v="3.7083333333333336E-2"/>
    <s v="G10"/>
    <n v="937.71388888888885"/>
    <s v="None"/>
    <s v="WTG Breakdown Maintenance"/>
    <n v="15172"/>
    <n v="937.71388888888885"/>
    <m/>
    <m/>
    <m/>
    <m/>
  </r>
  <r>
    <n v="2239"/>
    <x v="370"/>
    <x v="1"/>
    <x v="1"/>
    <x v="12"/>
    <x v="1"/>
    <x v="20"/>
    <s v="PWEGPL"/>
    <s v="MSEDCL"/>
    <n v="2.5000000000000001E-2"/>
    <s v="CE100018"/>
    <x v="406"/>
    <s v="PM-SF6"/>
    <d v="1899-12-30T15:15:00"/>
    <d v="1899-12-30T15:15:00"/>
    <d v="1899-12-30T17:30:00"/>
    <n v="0"/>
    <n v="2.25"/>
    <n v="2.25"/>
    <s v="SF-6 breaker Testing &amp; maintenance done"/>
    <s v="Close"/>
    <n v="5.6250000000000001E-2"/>
    <s v="G07"/>
    <n v="1705.5"/>
    <s v="None"/>
    <s v="WTG Breakdown Maintenance"/>
    <n v="18192"/>
    <n v="1705.5"/>
    <m/>
    <m/>
    <m/>
    <m/>
  </r>
  <r>
    <n v="2240"/>
    <x v="370"/>
    <x v="1"/>
    <x v="1"/>
    <x v="12"/>
    <x v="1"/>
    <x v="30"/>
    <s v="PWEGPL"/>
    <s v="MSEDCL"/>
    <n v="2.5000000000000001E-2"/>
    <n v="800"/>
    <x v="298"/>
    <s v="BD"/>
    <d v="1899-12-30T15:08:00"/>
    <d v="1899-12-30T15:28:00"/>
    <d v="1899-12-30T20:01:00"/>
    <n v="0.33333333333333481"/>
    <n v="4.5499999999999972"/>
    <n v="4.883333333333332"/>
    <s v="Check releted circuit found cable losse  so tight it then restore wtg."/>
    <s v="Close"/>
    <n v="0.12208333333333331"/>
    <s v="G09"/>
    <n v="2494.9763888888883"/>
    <s v="None"/>
    <s v="WTG Breakdown Maintenance"/>
    <n v="12262"/>
    <n v="2494.9763888888883"/>
    <m/>
    <m/>
    <m/>
    <m/>
  </r>
  <r>
    <n v="2241"/>
    <x v="370"/>
    <x v="1"/>
    <x v="1"/>
    <x v="12"/>
    <x v="1"/>
    <x v="30"/>
    <s v="PWEGPL"/>
    <s v="MSEDCL"/>
    <n v="2.5000000000000001E-2"/>
    <n v="800"/>
    <x v="298"/>
    <s v="BD"/>
    <d v="1899-12-30T23:15:00"/>
    <d v="1899-12-30T23:59:00"/>
    <d v="1899-12-30T23:59:00"/>
    <n v="0.73333333333333339"/>
    <n v="0"/>
    <n v="0.73333333333333339"/>
    <s v="Work under progress"/>
    <s v="Open"/>
    <n v="1.8333333333333337E-2"/>
    <s v="G09"/>
    <n v="374.67222222222227"/>
    <s v="None"/>
    <s v="WTG Breakdown Maintenance"/>
    <n v="12262"/>
    <n v="374.67222222222227"/>
    <m/>
    <m/>
    <m/>
    <m/>
  </r>
  <r>
    <n v="2242"/>
    <x v="371"/>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7728.6291666666666"/>
    <s v="None"/>
    <s v="WTG Unscheduled Maintenance"/>
    <n v="7734"/>
    <n v="7728.6291666666666"/>
    <m/>
    <m/>
    <m/>
    <m/>
  </r>
  <r>
    <n v="2243"/>
    <x v="371"/>
    <x v="1"/>
    <x v="1"/>
    <x v="12"/>
    <x v="1"/>
    <x v="30"/>
    <s v="PWEGPL"/>
    <s v="MSEDCL"/>
    <n v="2.5000000000000001E-2"/>
    <n v="800"/>
    <x v="298"/>
    <s v="BD"/>
    <d v="1899-12-30T00:00:00"/>
    <d v="1899-12-30T00:00:00"/>
    <d v="1899-12-30T11:50:00"/>
    <n v="0"/>
    <n v="11.833333333333334"/>
    <n v="11.833333333333334"/>
    <s v="Check related circuit Found KR209 realy &amp; relay base failure and cable shot."/>
    <s v="Close"/>
    <n v="0.29583333333333334"/>
    <s v="G09"/>
    <n v="3727.0069444444443"/>
    <s v="None"/>
    <s v="WTG Breakdown Maintenance"/>
    <n v="7559"/>
    <n v="3727.0069444444443"/>
    <m/>
    <m/>
    <m/>
    <m/>
  </r>
  <r>
    <n v="2244"/>
    <x v="371"/>
    <x v="1"/>
    <x v="1"/>
    <x v="12"/>
    <x v="1"/>
    <x v="24"/>
    <s v="PWEGPL"/>
    <s v="MSEDCL"/>
    <n v="2.5000000000000001E-2"/>
    <s v="CE100018"/>
    <x v="406"/>
    <s v="PM-SF6"/>
    <d v="1899-12-30T10:48:00"/>
    <d v="1899-12-30T10:48:00"/>
    <d v="1899-12-30T13:40:00"/>
    <n v="0"/>
    <n v="2.8666666666666658"/>
    <n v="2.8666666666666658"/>
    <s v="SF-6 breaker Testing &amp; maintenance done"/>
    <s v="Close"/>
    <n v="7.1666666666666642E-2"/>
    <s v="G22"/>
    <n v="1077.7472222222218"/>
    <s v="None"/>
    <s v="WTG Breakdown Maintenance"/>
    <n v="9023"/>
    <n v="1077.7472222222218"/>
    <m/>
    <m/>
    <m/>
    <m/>
  </r>
  <r>
    <n v="2245"/>
    <x v="371"/>
    <x v="1"/>
    <x v="1"/>
    <x v="12"/>
    <x v="1"/>
    <x v="34"/>
    <s v="PWEGPL"/>
    <s v="MSEDCL"/>
    <n v="2.5000000000000001E-2"/>
    <s v="CE100018"/>
    <x v="406"/>
    <s v="PM-SF6"/>
    <d v="1899-12-30T13:51:00"/>
    <d v="1899-12-30T13:51:00"/>
    <d v="1899-12-30T15:35:00"/>
    <n v="0"/>
    <n v="1.7333333333333352"/>
    <n v="1.7333333333333352"/>
    <s v="SF-6 breaker Testing &amp; maintenance done"/>
    <s v="Close"/>
    <n v="4.3333333333333383E-2"/>
    <s v="G05"/>
    <n v="558.56666666666729"/>
    <s v="None"/>
    <s v="WTG Breakdown Maintenance"/>
    <n v="7734"/>
    <n v="558.56666666666729"/>
    <m/>
    <m/>
    <m/>
    <m/>
  </r>
  <r>
    <n v="2246"/>
    <x v="371"/>
    <x v="1"/>
    <x v="1"/>
    <x v="12"/>
    <x v="1"/>
    <x v="33"/>
    <s v="PWEGPL"/>
    <s v="MSEDCL"/>
    <n v="2.5000000000000001E-2"/>
    <s v="CE100018"/>
    <x v="406"/>
    <s v="PM-SF6"/>
    <d v="1899-12-30T15:44:00"/>
    <d v="1899-12-30T15:44:00"/>
    <d v="1899-12-30T17:13:00"/>
    <n v="0"/>
    <n v="1.4833333333333307"/>
    <n v="1.4833333333333307"/>
    <s v="SF-6 breaker Testing &amp; maintenance done"/>
    <s v="Close"/>
    <n v="3.7083333333333267E-2"/>
    <s v="G22"/>
    <n v="557.67152777777676"/>
    <s v="None"/>
    <s v="WTG Breakdown Maintenance"/>
    <n v="9023"/>
    <n v="557.67152777777676"/>
    <m/>
    <m/>
    <m/>
    <m/>
  </r>
  <r>
    <n v="2247"/>
    <x v="371"/>
    <x v="1"/>
    <x v="1"/>
    <x v="12"/>
    <x v="1"/>
    <x v="30"/>
    <s v="PWEGPL"/>
    <s v="MSEDCL"/>
    <n v="2.5000000000000001E-2"/>
    <n v="800"/>
    <x v="298"/>
    <s v="BD"/>
    <d v="1899-12-30T13:07:00"/>
    <d v="1899-12-30T14:16:00"/>
    <d v="1899-12-30T14:27:00"/>
    <n v="1.1499999999999986"/>
    <n v="0.18333333333333268"/>
    <n v="1.3333333333333313"/>
    <s v="Found proprotional valve cable short"/>
    <s v="Close"/>
    <n v="3.3333333333333284E-2"/>
    <s v="G09"/>
    <n v="419.94444444444377"/>
    <s v="None"/>
    <s v="WTG Breakdown Maintenance"/>
    <n v="7559"/>
    <n v="419.94444444444377"/>
    <m/>
    <m/>
    <m/>
    <m/>
  </r>
  <r>
    <n v="2248"/>
    <x v="371"/>
    <x v="1"/>
    <x v="1"/>
    <x v="12"/>
    <x v="1"/>
    <x v="30"/>
    <s v="PWEGPL"/>
    <s v="MSEDCL"/>
    <n v="2.5000000000000001E-2"/>
    <n v="800"/>
    <x v="298"/>
    <s v="BD"/>
    <d v="1899-12-30T15:01:00"/>
    <d v="1899-12-30T15:01:00"/>
    <d v="1899-12-30T17:45:00"/>
    <n v="0"/>
    <n v="2.7333333333333343"/>
    <n v="2.7333333333333343"/>
    <s v="Found proprotional valve cable short"/>
    <s v="Close"/>
    <n v="6.8333333333333357E-2"/>
    <s v="G09"/>
    <n v="860.8861111111114"/>
    <s v="None"/>
    <s v="WTG Breakdown Maintenance"/>
    <n v="7559"/>
    <n v="860.8861111111114"/>
    <m/>
    <m/>
    <m/>
    <m/>
  </r>
  <r>
    <n v="2249"/>
    <x v="371"/>
    <x v="1"/>
    <x v="1"/>
    <x v="12"/>
    <x v="1"/>
    <x v="30"/>
    <s v="PWEGPL"/>
    <s v="MSEDCL"/>
    <n v="2.5000000000000001E-2"/>
    <n v="800"/>
    <x v="298"/>
    <s v="BD"/>
    <d v="1899-12-30T19:33:00"/>
    <d v="1899-12-30T23:59:00"/>
    <d v="1899-12-30T23:59:00"/>
    <n v="4.4333333333333336"/>
    <n v="0"/>
    <n v="4.4333333333333336"/>
    <s v="Work under progress"/>
    <s v="Open"/>
    <n v="0.11083333333333334"/>
    <s v="G09"/>
    <n v="1396.3152777777777"/>
    <s v="Material Shortage - Propotional valve cable"/>
    <s v="WTG Breakdown Maintenance"/>
    <n v="7559"/>
    <n v="1396.3152777777777"/>
    <m/>
    <m/>
    <m/>
    <m/>
  </r>
  <r>
    <n v="2250"/>
    <x v="372"/>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2374.35"/>
    <s v="None"/>
    <s v="WTG Unscheduled Maintenance"/>
    <n v="2376"/>
    <n v="2374.35"/>
    <m/>
    <m/>
    <m/>
    <m/>
  </r>
  <r>
    <n v="2251"/>
    <x v="372"/>
    <x v="1"/>
    <x v="1"/>
    <x v="12"/>
    <x v="1"/>
    <x v="30"/>
    <s v="PWEGPL"/>
    <s v="MSEDCL"/>
    <n v="2.5000000000000001E-2"/>
    <n v="800"/>
    <x v="298"/>
    <s v="BD"/>
    <d v="1899-12-30T00:00:00"/>
    <d v="1899-12-30T00:00:00"/>
    <d v="1899-12-30T12:42:00"/>
    <n v="0"/>
    <n v="12.7"/>
    <n v="12.7"/>
    <s v="Found WA250 cable failure so replace with new one"/>
    <s v="Close"/>
    <n v="0.3175"/>
    <s v="G13"/>
    <n v="1348.8458333333333"/>
    <s v="Material Shortage - Propotional valve cable."/>
    <s v="WTG Breakdown Maintenance"/>
    <n v="2549"/>
    <n v="1348.8458333333333"/>
    <m/>
    <m/>
    <m/>
    <m/>
  </r>
  <r>
    <n v="2252"/>
    <x v="372"/>
    <x v="1"/>
    <x v="1"/>
    <x v="12"/>
    <x v="1"/>
    <x v="0"/>
    <s v="PWEGPL"/>
    <s v="MSEDCL"/>
    <n v="2.5000000000000001E-2"/>
    <n v="205"/>
    <x v="312"/>
    <s v="BD"/>
    <d v="1899-12-30T09:58:00"/>
    <d v="1899-12-30T11:12:00"/>
    <d v="1899-12-30T12:19:00"/>
    <n v="1.2333333333333316"/>
    <n v="1.1166666666666667"/>
    <n v="2.3499999999999983"/>
    <s v="Top Up 10 liter Hu oil then restore wtg."/>
    <s v="Close"/>
    <n v="5.8749999999999962E-2"/>
    <s v="G16"/>
    <n v="292.57499999999982"/>
    <s v="None"/>
    <s v="WTG Breakdown Maintenance"/>
    <n v="2988"/>
    <n v="292.57499999999982"/>
    <m/>
    <m/>
    <m/>
    <m/>
  </r>
  <r>
    <n v="2253"/>
    <x v="372"/>
    <x v="1"/>
    <x v="1"/>
    <x v="12"/>
    <x v="1"/>
    <x v="9"/>
    <s v="PWEGPL"/>
    <s v="MSEDCL"/>
    <n v="2.5000000000000001E-2"/>
    <s v="CE100018"/>
    <x v="406"/>
    <s v="PM-SF6"/>
    <d v="1899-12-30T11:25:00"/>
    <d v="1899-12-30T11:25:00"/>
    <d v="1899-12-30T13:27:00"/>
    <n v="0"/>
    <n v="2.0333333333333341"/>
    <n v="2.0333333333333341"/>
    <s v="SF-6 breaker Testing &amp; maintenance done"/>
    <s v="Close"/>
    <n v="5.0833333333333355E-2"/>
    <s v="G29"/>
    <n v="218.24444444444453"/>
    <s v="None"/>
    <s v="WTG Breakdown Maintenance"/>
    <n v="2576"/>
    <n v="218.24444444444453"/>
    <m/>
    <m/>
    <m/>
    <m/>
  </r>
  <r>
    <n v="2254"/>
    <x v="372"/>
    <x v="1"/>
    <x v="1"/>
    <x v="12"/>
    <x v="1"/>
    <x v="10"/>
    <s v="PWEGPL"/>
    <s v="MSEDCL"/>
    <n v="2.5000000000000001E-2"/>
    <s v="CE100018"/>
    <x v="406"/>
    <s v="PM-SF6"/>
    <d v="1899-12-30T13:46:00"/>
    <d v="1899-12-30T13:46:00"/>
    <d v="1899-12-30T15:24:00"/>
    <n v="0"/>
    <n v="1.6333333333333329"/>
    <n v="1.6333333333333329"/>
    <s v="SF-6 breaker Testing &amp; maintenance done"/>
    <s v="Close"/>
    <n v="4.0833333333333326E-2"/>
    <s v="G28"/>
    <n v="185.85972222222219"/>
    <s v="None"/>
    <s v="WTG Breakdown Maintenance"/>
    <n v="2731"/>
    <n v="185.85972222222219"/>
    <m/>
    <m/>
    <m/>
    <m/>
  </r>
  <r>
    <n v="2255"/>
    <x v="372"/>
    <x v="1"/>
    <x v="1"/>
    <x v="12"/>
    <x v="1"/>
    <x v="11"/>
    <s v="PWEGPL"/>
    <s v="MSEDCL"/>
    <n v="2.5000000000000001E-2"/>
    <s v="CE100018"/>
    <x v="406"/>
    <s v="PM-SF6"/>
    <d v="1899-12-30T15:39:00"/>
    <d v="1899-12-30T15:39:00"/>
    <d v="1899-12-30T16:47:00"/>
    <n v="0"/>
    <n v="1.1333333333333346"/>
    <n v="1.1333333333333346"/>
    <s v="SF-6 breaker Testing &amp; maintenance done"/>
    <s v="Close"/>
    <n v="2.8333333333333367E-2"/>
    <s v="G31"/>
    <n v="136.89722222222238"/>
    <s v="None"/>
    <s v="WTG Breakdown Maintenance"/>
    <n v="2899"/>
    <n v="136.89722222222238"/>
    <m/>
    <m/>
    <m/>
    <m/>
  </r>
  <r>
    <n v="2256"/>
    <x v="372"/>
    <x v="1"/>
    <x v="1"/>
    <x v="12"/>
    <x v="1"/>
    <x v="12"/>
    <s v="PWEGPL"/>
    <s v="MSEDCL"/>
    <n v="2.5000000000000001E-2"/>
    <s v="CE100018"/>
    <x v="406"/>
    <s v="PM-SF6"/>
    <d v="1899-12-30T17:01:00"/>
    <d v="1899-12-30T17:01:00"/>
    <d v="1899-12-30T18:27:00"/>
    <n v="0"/>
    <n v="1.4333333333333336"/>
    <n v="1.4333333333333336"/>
    <s v="SF-6 breaker Testing &amp; maintenance done"/>
    <s v="Close"/>
    <n v="3.5833333333333342E-2"/>
    <s v="G30"/>
    <n v="165.60972222222225"/>
    <s v="None"/>
    <s v="WTG Breakdown Maintenance"/>
    <n v="2773"/>
    <n v="165.60972222222225"/>
    <m/>
    <m/>
    <m/>
    <m/>
  </r>
  <r>
    <n v="2257"/>
    <x v="373"/>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3238.7493055555556"/>
    <s v="None"/>
    <s v="WTG Unscheduled Maintenance"/>
    <n v="3241"/>
    <n v="3238.7493055555556"/>
    <m/>
    <m/>
    <m/>
    <m/>
  </r>
  <r>
    <n v="2258"/>
    <x v="373"/>
    <x v="1"/>
    <x v="1"/>
    <x v="12"/>
    <x v="1"/>
    <x v="7"/>
    <s v="PWEGPL"/>
    <s v="MSEDCL"/>
    <n v="2.5000000000000001E-2"/>
    <s v="CE100018"/>
    <x v="406"/>
    <s v="PM-SF6"/>
    <d v="1899-12-30T10:32:00"/>
    <d v="1899-12-30T10:32:00"/>
    <d v="1899-12-30T11:41:00"/>
    <n v="0"/>
    <n v="1.1499999999999999"/>
    <n v="1.1499999999999999"/>
    <s v="SF-6 breaker Testing &amp; maintenance done"/>
    <s v="Close"/>
    <n v="2.8749999999999998E-2"/>
    <s v="G39"/>
    <n v="152.56666666666663"/>
    <s v="None"/>
    <s v="WTG Breakdown Maintenance"/>
    <n v="3184"/>
    <n v="152.56666666666663"/>
    <m/>
    <m/>
    <m/>
    <m/>
  </r>
  <r>
    <n v="2259"/>
    <x v="373"/>
    <x v="1"/>
    <x v="1"/>
    <x v="12"/>
    <x v="1"/>
    <x v="6"/>
    <s v="PWEGPL"/>
    <s v="MSEDCL"/>
    <n v="2.5000000000000001E-2"/>
    <s v="CE100018"/>
    <x v="406"/>
    <s v="PM-SF6"/>
    <d v="1899-12-30T11:53:00"/>
    <d v="1899-12-30T11:53:00"/>
    <d v="1899-12-30T13:12:00"/>
    <n v="0"/>
    <n v="1.316666666666666"/>
    <n v="1.316666666666666"/>
    <s v="SF-6 breaker Testing &amp; maintenance done"/>
    <s v="Close"/>
    <n v="3.291666666666665E-2"/>
    <s v="G40"/>
    <n v="185.43055555555549"/>
    <s v="None"/>
    <s v="WTG Breakdown Maintenance"/>
    <n v="3380"/>
    <n v="185.43055555555549"/>
    <m/>
    <m/>
    <m/>
    <m/>
  </r>
  <r>
    <n v="2260"/>
    <x v="373"/>
    <x v="1"/>
    <x v="1"/>
    <x v="12"/>
    <x v="1"/>
    <x v="2"/>
    <s v="PWEGPL"/>
    <s v="MSEDCL"/>
    <n v="2.5000000000000001E-2"/>
    <s v="CE100018"/>
    <x v="406"/>
    <s v="PM-SF6"/>
    <d v="1899-12-30T13:27:00"/>
    <d v="1899-12-30T13:27:00"/>
    <d v="1899-12-30T14:28:00"/>
    <n v="0"/>
    <n v="1.0166666666666657"/>
    <n v="1.0166666666666657"/>
    <s v="SF-6 breaker Testing &amp; maintenance done"/>
    <s v="Close"/>
    <n v="2.5416666666666643E-2"/>
    <s v="G32"/>
    <n v="111.7062499999999"/>
    <s v="None"/>
    <s v="WTG Breakdown Maintenance"/>
    <n v="2637"/>
    <n v="111.7062499999999"/>
    <m/>
    <m/>
    <m/>
    <m/>
  </r>
  <r>
    <n v="2261"/>
    <x v="373"/>
    <x v="1"/>
    <x v="1"/>
    <x v="12"/>
    <x v="1"/>
    <x v="3"/>
    <s v="PWEGPL"/>
    <s v="MSEDCL"/>
    <n v="2.5000000000000001E-2"/>
    <s v="CE100018"/>
    <x v="406"/>
    <s v="PM-SF6"/>
    <d v="1899-12-30T14:51:00"/>
    <d v="1899-12-30T14:51:00"/>
    <d v="1899-12-30T15:56:00"/>
    <n v="0"/>
    <n v="1.0833333333333321"/>
    <n v="1.0833333333333321"/>
    <s v="SF-6 breaker Testing &amp; maintenance done"/>
    <s v="Close"/>
    <n v="2.7083333333333307E-2"/>
    <s v="G26"/>
    <n v="148.01041666666652"/>
    <s v="None"/>
    <s v="WTG Breakdown Maintenance"/>
    <n v="3279"/>
    <n v="148.01041666666652"/>
    <m/>
    <m/>
    <m/>
    <m/>
  </r>
  <r>
    <n v="2262"/>
    <x v="373"/>
    <x v="1"/>
    <x v="1"/>
    <x v="12"/>
    <x v="1"/>
    <x v="17"/>
    <s v="PWEGPL"/>
    <s v="MSEDCL"/>
    <n v="2.5000000000000001E-2"/>
    <s v="CE100014"/>
    <x v="305"/>
    <s v="Manual stop"/>
    <d v="1899-12-30T16:31:00"/>
    <d v="1899-12-30T16:31:00"/>
    <d v="1899-12-30T17:57:00"/>
    <n v="0"/>
    <n v="1.4333333333333336"/>
    <n v="1.4333333333333336"/>
    <s v="Customer audit done"/>
    <s v="Close"/>
    <n v="3.5833333333333342E-2"/>
    <s v="G03"/>
    <n v="213.50694444444449"/>
    <s v="None"/>
    <s v="WTG Unscheduled Maintenance"/>
    <n v="3575"/>
    <n v="213.50694444444449"/>
    <m/>
    <m/>
    <m/>
    <m/>
  </r>
  <r>
    <n v="2263"/>
    <x v="374"/>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1175.1833333333334"/>
    <s v="None"/>
    <s v="WTG Unscheduled Maintenance"/>
    <n v="1176"/>
    <n v="1175.1833333333334"/>
    <m/>
    <m/>
    <m/>
    <m/>
  </r>
  <r>
    <n v="2264"/>
    <x v="374"/>
    <x v="1"/>
    <x v="1"/>
    <x v="12"/>
    <x v="1"/>
    <x v="35"/>
    <s v="PWEGPL"/>
    <s v="MSEDCL"/>
    <n v="2.5000000000000001E-2"/>
    <n v="800"/>
    <x v="298"/>
    <s v="BD"/>
    <d v="1899-12-30T09:42:00"/>
    <d v="1899-12-30T10:31:00"/>
    <d v="1899-12-30T10:37:00"/>
    <n v="0.81666666666666909"/>
    <n v="9.9999999999999645E-2"/>
    <n v="0.91666666666666874"/>
    <s v="Reset and restored "/>
    <s v="Close"/>
    <n v="2.2916666666666721E-2"/>
    <s v="G25"/>
    <n v="69.437500000000156"/>
    <s v="None"/>
    <s v="WTG Breakdown Maintenance"/>
    <n v="1818"/>
    <n v="69.437500000000156"/>
    <m/>
    <m/>
    <m/>
    <m/>
  </r>
  <r>
    <n v="2265"/>
    <x v="374"/>
    <x v="1"/>
    <x v="1"/>
    <x v="12"/>
    <x v="1"/>
    <x v="5"/>
    <s v="PWEGPL"/>
    <s v="MSEDCL"/>
    <n v="2.5000000000000001E-2"/>
    <s v="CE100018"/>
    <x v="406"/>
    <s v="PM-SF6"/>
    <d v="1899-12-30T11:09:00"/>
    <d v="1899-12-30T11:09:00"/>
    <d v="1899-12-30T12:35:00"/>
    <n v="0"/>
    <n v="1.4333333333333336"/>
    <n v="1.4333333333333336"/>
    <s v="SF-6 breaker Testing &amp; maintenance done"/>
    <s v="Close"/>
    <n v="3.5833333333333342E-2"/>
    <s v="G39"/>
    <n v="91.613888888888894"/>
    <s v="None"/>
    <s v="WTG Breakdown Maintenance"/>
    <n v="1534"/>
    <n v="91.613888888888894"/>
    <m/>
    <m/>
    <m/>
    <m/>
  </r>
  <r>
    <n v="2266"/>
    <x v="374"/>
    <x v="1"/>
    <x v="1"/>
    <x v="12"/>
    <x v="1"/>
    <x v="4"/>
    <s v="PWEGPL"/>
    <s v="MSEDCL"/>
    <n v="2.5000000000000001E-2"/>
    <s v="CE100018"/>
    <x v="406"/>
    <s v="PM-SF6"/>
    <d v="1899-12-30T12:54:00"/>
    <d v="1899-12-30T12:54:00"/>
    <d v="1899-12-30T13:58:00"/>
    <n v="0"/>
    <n v="1.0666666666666682"/>
    <n v="1.0666666666666682"/>
    <s v="SF-6 breaker Testing &amp; maintenance done"/>
    <s v="Close"/>
    <n v="2.6666666666666707E-2"/>
    <s v="G36"/>
    <n v="92.577777777777911"/>
    <s v="None"/>
    <s v="WTG Breakdown Maintenance"/>
    <n v="2083"/>
    <n v="92.577777777777911"/>
    <m/>
    <m/>
    <m/>
    <m/>
  </r>
  <r>
    <n v="2267"/>
    <x v="374"/>
    <x v="1"/>
    <x v="1"/>
    <x v="12"/>
    <x v="1"/>
    <x v="16"/>
    <s v="PWEGPL"/>
    <s v="MSEDCL"/>
    <n v="2.5000000000000001E-2"/>
    <s v="CE100018"/>
    <x v="406"/>
    <s v="PM-SF6"/>
    <d v="1899-12-30T14:44:00"/>
    <d v="1899-12-30T14:44:00"/>
    <d v="1899-12-30T15:58:00"/>
    <n v="0"/>
    <n v="1.2333333333333343"/>
    <n v="1.2333333333333343"/>
    <s v="SF-6 breaker Testing &amp; maintenance done"/>
    <s v="Close"/>
    <n v="3.0833333333333358E-2"/>
    <s v="G37"/>
    <n v="89.1597222222223"/>
    <s v="None"/>
    <s v="WTG Breakdown Maintenance"/>
    <n v="1735"/>
    <n v="89.1597222222223"/>
    <m/>
    <m/>
    <m/>
    <m/>
  </r>
  <r>
    <n v="2268"/>
    <x v="374"/>
    <x v="1"/>
    <x v="1"/>
    <x v="12"/>
    <x v="1"/>
    <x v="15"/>
    <s v="PWEGPL"/>
    <s v="MSEDCL"/>
    <n v="2.5000000000000001E-2"/>
    <s v="CE100018"/>
    <x v="406"/>
    <s v="PM-SF6"/>
    <d v="1899-12-30T16:18:00"/>
    <d v="1899-12-30T16:18:00"/>
    <d v="1899-12-30T17:18:00"/>
    <n v="0"/>
    <n v="0.99999999999999911"/>
    <n v="0.99999999999999911"/>
    <s v="SF-6 breaker Testing &amp; maintenance done"/>
    <s v="Close"/>
    <n v="2.4999999999999981E-2"/>
    <s v="G36"/>
    <n v="86.7916666666666"/>
    <s v="None"/>
    <s v="WTG Breakdown Maintenance"/>
    <n v="2083"/>
    <n v="86.7916666666666"/>
    <m/>
    <m/>
    <m/>
    <m/>
  </r>
  <r>
    <n v="2269"/>
    <x v="374"/>
    <x v="1"/>
    <x v="1"/>
    <x v="12"/>
    <x v="1"/>
    <x v="0"/>
    <s v="PWEGPL"/>
    <s v="MSEDCL"/>
    <n v="2.5000000000000001E-2"/>
    <n v="205"/>
    <x v="312"/>
    <s v="BD"/>
    <d v="1899-12-30T13:36:00"/>
    <d v="1899-12-30T14:26:00"/>
    <d v="1899-12-30T15:55:00"/>
    <n v="0.83333333333333304"/>
    <n v="1.4833333333333334"/>
    <n v="2.3166666666666664"/>
    <s v="Top Up 10 liter Hu oil then restore wtg."/>
    <s v="Close"/>
    <n v="5.7916666666666665E-2"/>
    <s v="G16"/>
    <n v="260.52847222222221"/>
    <s v="None"/>
    <s v="WTG Breakdown Maintenance"/>
    <n v="2699"/>
    <n v="260.52847222222221"/>
    <m/>
    <m/>
    <m/>
    <m/>
  </r>
  <r>
    <n v="2270"/>
    <x v="375"/>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6770.2951388888896"/>
    <s v="None"/>
    <s v="WTG Unscheduled Maintenance"/>
    <n v="6775"/>
    <n v="6770.2951388888896"/>
    <m/>
    <m/>
    <m/>
    <m/>
  </r>
  <r>
    <n v="2271"/>
    <x v="375"/>
    <x v="1"/>
    <x v="1"/>
    <x v="12"/>
    <x v="1"/>
    <x v="13"/>
    <s v="PWEGPL"/>
    <s v="MSEDCL"/>
    <n v="2.5000000000000001E-2"/>
    <s v="CE100018"/>
    <x v="406"/>
    <s v="PM-SF6"/>
    <d v="1899-12-30T12:29:00"/>
    <d v="1899-12-30T12:29:00"/>
    <d v="1899-12-30T15:28:00"/>
    <n v="0"/>
    <n v="2.9833333333333361"/>
    <n v="2.9833333333333361"/>
    <s v="SF-6 breaker Testing &amp; maintenance done"/>
    <s v="Close"/>
    <n v="7.4583333333333404E-2"/>
    <s v="G34"/>
    <n v="794.68541666666738"/>
    <s v="None"/>
    <s v="WTG Breakdown Maintenance"/>
    <n v="6393"/>
    <n v="794.68541666666738"/>
    <m/>
    <m/>
    <m/>
    <m/>
  </r>
  <r>
    <n v="2272"/>
    <x v="375"/>
    <x v="1"/>
    <x v="1"/>
    <x v="12"/>
    <x v="1"/>
    <x v="14"/>
    <s v="PWEGPL"/>
    <s v="MSEDCL"/>
    <n v="2.5000000000000001E-2"/>
    <s v="CE100018"/>
    <x v="406"/>
    <s v="PM-SF6"/>
    <d v="1899-12-30T15:35:00"/>
    <d v="1899-12-30T15:35:00"/>
    <d v="1899-12-30T17:48:00"/>
    <n v="0"/>
    <n v="2.2166666666666668"/>
    <n v="2.2166666666666668"/>
    <s v="SF-6 breaker Testing &amp; maintenance done"/>
    <s v="Close"/>
    <n v="5.541666666666667E-2"/>
    <s v="G35"/>
    <n v="560.90902777777774"/>
    <s v="None"/>
    <s v="WTG Breakdown Maintenance"/>
    <n v="6073"/>
    <n v="560.90902777777774"/>
    <m/>
    <m/>
    <m/>
    <m/>
  </r>
  <r>
    <n v="2273"/>
    <x v="375"/>
    <x v="1"/>
    <x v="1"/>
    <x v="12"/>
    <x v="1"/>
    <x v="32"/>
    <s v="PWEGPL"/>
    <s v="MSEDCL"/>
    <n v="2.5000000000000001E-2"/>
    <n v="2118"/>
    <x v="293"/>
    <s v="BD"/>
    <d v="1899-12-30T22:01:00"/>
    <d v="1899-12-30T22:41:00"/>
    <d v="1899-12-30T23:26:00"/>
    <n v="0.66666666666666696"/>
    <n v="0.75"/>
    <n v="1.416666666666667"/>
    <s v="Found slipring dust accumulated then cleaned and restored"/>
    <s v="Close"/>
    <n v="3.5416666666666673E-2"/>
    <s v="G15"/>
    <n v="394.24652777777789"/>
    <s v="None"/>
    <s v="WTG Breakdown Maintenance"/>
    <n v="6679"/>
    <n v="394.24652777777789"/>
    <m/>
    <m/>
    <m/>
    <m/>
  </r>
  <r>
    <n v="2274"/>
    <x v="376"/>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3490.5743055555554"/>
    <s v="None"/>
    <s v="WTG Unscheduled Maintenance"/>
    <n v="3493"/>
    <n v="3490.5743055555554"/>
    <m/>
    <m/>
    <m/>
    <m/>
  </r>
  <r>
    <n v="2275"/>
    <x v="376"/>
    <x v="1"/>
    <x v="1"/>
    <x v="12"/>
    <x v="1"/>
    <x v="19"/>
    <s v="PWEGPL"/>
    <s v="MSEDCL"/>
    <n v="2.5000000000000001E-2"/>
    <s v="CE100018"/>
    <x v="406"/>
    <s v="PM-SF6"/>
    <d v="1899-12-30T11:20:00"/>
    <d v="1899-12-30T11:20:00"/>
    <d v="1899-12-30T12:34:00"/>
    <n v="0"/>
    <n v="1.2333333333333329"/>
    <n v="1.2333333333333329"/>
    <s v="SF-6 breaker Testing &amp; maintenance done"/>
    <s v="Close"/>
    <n v="3.0833333333333324E-2"/>
    <s v="G19"/>
    <n v="200.10833333333326"/>
    <s v="None"/>
    <s v="WTG Breakdown Maintenance"/>
    <n v="3894"/>
    <n v="200.10833333333326"/>
    <m/>
    <m/>
    <m/>
    <m/>
  </r>
  <r>
    <n v="2276"/>
    <x v="376"/>
    <x v="1"/>
    <x v="1"/>
    <x v="12"/>
    <x v="1"/>
    <x v="38"/>
    <s v="PWEGPL"/>
    <s v="MSEDCL"/>
    <n v="2.5000000000000001E-2"/>
    <s v="CE100018"/>
    <x v="406"/>
    <s v="PM-SF6"/>
    <d v="1899-12-30T13:00:00"/>
    <d v="1899-12-30T13:00:00"/>
    <d v="1899-12-30T14:01:00"/>
    <n v="0"/>
    <n v="1.0166666666666684"/>
    <n v="1.0166666666666684"/>
    <s v="SF-6 breaker Testing &amp; maintenance done"/>
    <s v="Close"/>
    <n v="2.5416666666666712E-2"/>
    <s v="G19"/>
    <n v="164.95416666666694"/>
    <s v="None"/>
    <s v="WTG Breakdown Maintenance"/>
    <n v="3894"/>
    <n v="164.95416666666694"/>
    <m/>
    <m/>
    <m/>
    <m/>
  </r>
  <r>
    <n v="2277"/>
    <x v="376"/>
    <x v="1"/>
    <x v="1"/>
    <x v="12"/>
    <x v="1"/>
    <x v="8"/>
    <s v="PWEGPL"/>
    <s v="MSEDCL"/>
    <n v="2.5000000000000001E-2"/>
    <s v="CE100018"/>
    <x v="406"/>
    <s v="PM-SF6"/>
    <d v="1899-12-30T15:18:00"/>
    <d v="1899-12-30T15:18:00"/>
    <d v="1899-12-30T16:03:00"/>
    <n v="0"/>
    <n v="0.75"/>
    <n v="0.75"/>
    <s v="SF-6 breaker Testing &amp; maintenance done"/>
    <s v="Close"/>
    <n v="1.8750000000000003E-2"/>
    <s v="G24"/>
    <n v="129.875"/>
    <s v="None"/>
    <s v="WTG Breakdown Maintenance"/>
    <n v="4156"/>
    <n v="129.875"/>
    <m/>
    <m/>
    <m/>
    <m/>
  </r>
  <r>
    <n v="2278"/>
    <x v="376"/>
    <x v="1"/>
    <x v="1"/>
    <x v="12"/>
    <x v="1"/>
    <x v="36"/>
    <s v="PWEGPL"/>
    <s v="MSEDCL"/>
    <n v="2.5000000000000001E-2"/>
    <s v="CE100018"/>
    <x v="406"/>
    <s v="PM-SF6"/>
    <d v="1899-12-30T16:18:00"/>
    <d v="1899-12-30T16:18:00"/>
    <d v="1899-12-30T18:59:00"/>
    <n v="0"/>
    <n v="2.6833333333333345"/>
    <n v="2.6833333333333345"/>
    <s v="SF-6 breaker Testing &amp; maintenance done"/>
    <s v="Close"/>
    <n v="6.708333333333337E-2"/>
    <s v="G24"/>
    <n v="464.66388888888906"/>
    <s v="None"/>
    <s v="WTG Breakdown Maintenance"/>
    <n v="4156"/>
    <n v="464.66388888888906"/>
    <m/>
    <m/>
    <m/>
    <m/>
  </r>
  <r>
    <n v="2279"/>
    <x v="376"/>
    <x v="1"/>
    <x v="1"/>
    <x v="12"/>
    <x v="1"/>
    <x v="26"/>
    <s v="PWEGPL"/>
    <s v="MSEDCL"/>
    <n v="2.5000000000000001E-2"/>
    <n v="2102"/>
    <x v="320"/>
    <s v="BD"/>
    <d v="1899-12-30T20:50:00"/>
    <d v="1899-12-30T22:05:00"/>
    <d v="1899-12-30T22:14:00"/>
    <n v="1.2500000000000009"/>
    <n v="0.15000000000000213"/>
    <n v="1.400000000000003"/>
    <s v="Reset and restored "/>
    <s v="Close"/>
    <n v="3.500000000000008E-2"/>
    <s v="G01"/>
    <n v="180.48333333333372"/>
    <s v="None"/>
    <s v="WTG Breakdown Maintenance"/>
    <n v="3094"/>
    <n v="180.48333333333372"/>
    <m/>
    <m/>
    <m/>
    <m/>
  </r>
  <r>
    <n v="2280"/>
    <x v="376"/>
    <x v="1"/>
    <x v="1"/>
    <x v="12"/>
    <x v="1"/>
    <x v="4"/>
    <s v="PWEGPL"/>
    <s v="MSEDCL"/>
    <n v="2.5000000000000001E-2"/>
    <s v="CE100001"/>
    <x v="288"/>
    <s v="Manual stop"/>
    <d v="1899-12-30T11:35:00"/>
    <d v="1899-12-30T11:35:00"/>
    <d v="1899-12-30T12:05:00"/>
    <n v="0"/>
    <n v="0.49999999999999956"/>
    <n v="0.49999999999999956"/>
    <s v="Plc replace &amp; software update."/>
    <s v="Close"/>
    <n v="1.249999999999999E-2"/>
    <s v="G36"/>
    <n v="60.312499999999943"/>
    <s v="None"/>
    <s v="WTG Breakdown Maintenance"/>
    <n v="2895"/>
    <n v="60.312499999999943"/>
    <m/>
    <m/>
    <m/>
    <m/>
  </r>
  <r>
    <n v="2281"/>
    <x v="377"/>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2800.0541666666668"/>
    <s v="None"/>
    <s v="WTG Unscheduled Maintenance"/>
    <n v="2802"/>
    <n v="2800.0541666666668"/>
    <m/>
    <m/>
    <m/>
    <m/>
  </r>
  <r>
    <n v="2282"/>
    <x v="377"/>
    <x v="1"/>
    <x v="1"/>
    <x v="12"/>
    <x v="1"/>
    <x v="12"/>
    <s v="PWEGPL"/>
    <s v="MSEDCL"/>
    <n v="2.5000000000000001E-2"/>
    <n v="205"/>
    <x v="312"/>
    <s v="BD"/>
    <d v="1899-12-30T11:13:00"/>
    <d v="1899-12-30T12:21:00"/>
    <d v="1899-12-30T13:27:00"/>
    <n v="1.133333333333332"/>
    <n v="1.1000000000000014"/>
    <n v="2.2333333333333334"/>
    <s v="Top Up 10 liter Hu oil then restore wtg."/>
    <s v="Close"/>
    <n v="5.5833333333333339E-2"/>
    <s v="G29"/>
    <n v="278.70138888888891"/>
    <s v="None"/>
    <s v="WTG Breakdown Maintenance"/>
    <n v="2995"/>
    <n v="278.70138888888891"/>
    <m/>
    <m/>
    <m/>
    <m/>
  </r>
  <r>
    <n v="2283"/>
    <x v="377"/>
    <x v="1"/>
    <x v="1"/>
    <x v="12"/>
    <x v="1"/>
    <x v="35"/>
    <s v="PWEGPL"/>
    <s v="MSEDCL"/>
    <n v="2.5000000000000001E-2"/>
    <s v="CE100018"/>
    <x v="406"/>
    <s v="PM-SF6"/>
    <d v="1899-12-30T12:17:00"/>
    <d v="1899-12-30T12:17:00"/>
    <d v="1899-12-30T13:26:00"/>
    <n v="0"/>
    <n v="1.1500000000000012"/>
    <n v="1.1500000000000012"/>
    <s v="SF-6 breaker Testing &amp; maintenance done"/>
    <s v="Close"/>
    <n v="2.8750000000000032E-2"/>
    <s v="G25"/>
    <n v="119.0729166666668"/>
    <s v="None"/>
    <s v="WTG Breakdown Maintenance"/>
    <n v="2485"/>
    <n v="119.0729166666668"/>
    <m/>
    <m/>
    <m/>
    <m/>
  </r>
  <r>
    <n v="2284"/>
    <x v="377"/>
    <x v="1"/>
    <x v="1"/>
    <x v="12"/>
    <x v="1"/>
    <x v="36"/>
    <s v="PWEGPL"/>
    <s v="MSEDCL"/>
    <n v="2.5000000000000001E-2"/>
    <n v="5212"/>
    <x v="319"/>
    <s v="BD"/>
    <d v="1899-12-30T19:40:00"/>
    <d v="1899-12-30T19:41:00"/>
    <d v="1899-12-30T20:23:00"/>
    <n v="1.6666666666663943E-2"/>
    <n v="0.70000000000000018"/>
    <n v="0.71666666666666412"/>
    <s v="Found preload MPCB tripped so correct it then start it."/>
    <s v="Close"/>
    <n v="1.7916666666666605E-2"/>
    <s v="G24"/>
    <n v="123.77430555555512"/>
    <s v="None"/>
    <s v="WTG Breakdown Maintenance"/>
    <n v="4145"/>
    <n v="123.77430555555512"/>
    <m/>
    <m/>
    <m/>
    <m/>
  </r>
  <r>
    <n v="2285"/>
    <x v="377"/>
    <x v="1"/>
    <x v="1"/>
    <x v="12"/>
    <x v="1"/>
    <x v="3"/>
    <s v="PWEGPL"/>
    <s v="MSEDCL"/>
    <n v="2.5000000000000001E-2"/>
    <n v="203"/>
    <x v="290"/>
    <s v="BD"/>
    <d v="1899-12-30T19:46:00"/>
    <d v="1899-12-30T19:47:00"/>
    <d v="1899-12-30T21:45:00"/>
    <n v="1.6666666666669272E-2"/>
    <n v="1.966666666666665"/>
    <n v="1.9833333333333343"/>
    <s v="Found Solenoid valve cable loose so correct it then restore it."/>
    <s v="Close"/>
    <n v="4.9583333333333361E-2"/>
    <s v="G26"/>
    <n v="430.71388888888907"/>
    <s v="None"/>
    <s v="WTG Breakdown Maintenance"/>
    <n v="5212"/>
    <n v="430.71388888888907"/>
    <m/>
    <m/>
    <m/>
    <m/>
  </r>
  <r>
    <n v="2286"/>
    <x v="378"/>
    <x v="1"/>
    <x v="1"/>
    <x v="12"/>
    <x v="1"/>
    <x v="1"/>
    <s v="PWEGPL"/>
    <s v="MSEDCL"/>
    <n v="2.5000000000000001E-2"/>
    <s v="CE100002"/>
    <x v="381"/>
    <s v="Manual stop/TCA"/>
    <d v="1899-12-30T00:00:00"/>
    <d v="1899-12-30T00:00:00"/>
    <d v="1899-12-30T23:59:00"/>
    <n v="0"/>
    <n v="23.983333333333334"/>
    <n v="23.983333333333334"/>
    <s v="Blade repair under progress on up tower"/>
    <s v="Open"/>
    <n v="0.59958333333333336"/>
    <s v="G05"/>
    <n v="4972.5444444444447"/>
    <s v="None"/>
    <s v="WTG Unscheduled Maintenance"/>
    <n v="4976"/>
    <n v="4972.5444444444447"/>
    <m/>
    <m/>
    <m/>
    <m/>
  </r>
  <r>
    <n v="2287"/>
    <x v="378"/>
    <x v="1"/>
    <x v="1"/>
    <x v="12"/>
    <x v="1"/>
    <x v="20"/>
    <s v="PWEGPL"/>
    <s v="MSEDCL"/>
    <n v="2.5000000000000001E-2"/>
    <n v="2118"/>
    <x v="293"/>
    <s v="BD"/>
    <d v="1899-12-30T09:45:00"/>
    <d v="1899-12-30T11:00:00"/>
    <d v="1899-12-30T12:13:00"/>
    <n v="1.2499999999999996"/>
    <n v="1.2166666666666663"/>
    <n v="2.4666666666666659"/>
    <s v="slip ring clean then restore wtg."/>
    <s v="Close"/>
    <n v="6.1666666666666647E-2"/>
    <s v="G07"/>
    <n v="469.38611111111095"/>
    <s v="None"/>
    <s v="WTG Breakdown Maintenance"/>
    <n v="4567"/>
    <n v="469.38611111111095"/>
    <m/>
    <m/>
    <m/>
    <m/>
  </r>
  <r>
    <n v="2288"/>
    <x v="378"/>
    <x v="1"/>
    <x v="1"/>
    <x v="12"/>
    <x v="1"/>
    <x v="39"/>
    <s v="PWEGPL"/>
    <s v="MSEDCL"/>
    <n v="2.5000000000000001E-2"/>
    <n v="550"/>
    <x v="297"/>
    <s v="Manual stop"/>
    <d v="1899-12-30T11:13:00"/>
    <d v="1899-12-30T11:13:00"/>
    <d v="1899-12-30T12:33:00"/>
    <n v="0"/>
    <n v="1.3333333333333339"/>
    <n v="1.3333333333333339"/>
    <s v="Found MPCB Tripped condition then checked motor and correct MPCB then restore wtg."/>
    <s v="Close"/>
    <n v="3.3333333333333347E-2"/>
    <s v="G14"/>
    <n v="296.88888888888903"/>
    <s v="None"/>
    <s v="WTG Breakdown Maintenance"/>
    <n v="5344"/>
    <n v="296.88888888888903"/>
    <m/>
    <m/>
    <m/>
    <m/>
  </r>
  <r>
    <n v="2289"/>
    <x v="378"/>
    <x v="1"/>
    <x v="1"/>
    <x v="12"/>
    <x v="1"/>
    <x v="3"/>
    <s v="PWEGPL"/>
    <s v="MSEDCL"/>
    <n v="2.5000000000000001E-2"/>
    <n v="203"/>
    <x v="290"/>
    <s v="Manual stop"/>
    <d v="1899-12-30T14:42:00"/>
    <d v="1899-12-30T14:42:00"/>
    <d v="1899-12-30T16:44:00"/>
    <n v="0"/>
    <n v="2.0333333333333368"/>
    <n v="2.0333333333333368"/>
    <s v="Check N2 pressure &amp; connections on hydrualic  unit."/>
    <s v="Close"/>
    <n v="5.0833333333333425E-2"/>
    <s v="G26"/>
    <n v="414.80000000000069"/>
    <s v="None"/>
    <s v="WTG Breakdown Maintenance"/>
    <n v="4896"/>
    <n v="414.80000000000069"/>
    <m/>
    <m/>
    <m/>
    <m/>
  </r>
  <r>
    <n v="2290"/>
    <x v="379"/>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7152.0298611111111"/>
    <s v="None"/>
    <s v="WTG Unscheduled Maintenance"/>
    <n v="7157"/>
    <n v="7152.0298611111111"/>
    <m/>
    <m/>
    <m/>
    <m/>
  </r>
  <r>
    <n v="2291"/>
    <x v="379"/>
    <x v="1"/>
    <x v="1"/>
    <x v="13"/>
    <x v="1"/>
    <x v="31"/>
    <s v="PWEGPL"/>
    <s v="MSEDCL"/>
    <n v="2.5000000000000001E-2"/>
    <n v="2118"/>
    <x v="293"/>
    <s v="BD"/>
    <d v="1899-12-30T01:07:00"/>
    <d v="1899-12-30T01:24:00"/>
    <d v="1899-12-30T02:45:00"/>
    <n v="0.28333333333333316"/>
    <n v="1.35"/>
    <n v="1.6333333333333333"/>
    <s v="Slip ring clean then restore wtg."/>
    <s v="Close"/>
    <n v="4.0833333333333333E-2"/>
    <s v="G12"/>
    <n v="491.70138888888891"/>
    <s v="None"/>
    <s v="WTG Breakdown Maintenance"/>
    <n v="7225"/>
    <n v="491.70138888888891"/>
    <m/>
    <m/>
    <m/>
    <m/>
  </r>
  <r>
    <n v="2292"/>
    <x v="379"/>
    <x v="1"/>
    <x v="1"/>
    <x v="13"/>
    <x v="1"/>
    <x v="10"/>
    <s v="PWEGPL"/>
    <s v="MSEDCL"/>
    <n v="2.5000000000000001E-2"/>
    <n v="110"/>
    <x v="287"/>
    <s v="BD"/>
    <d v="1899-12-30T10:13:00"/>
    <d v="1899-12-30T11:25:00"/>
    <d v="1899-12-30T12:07:00"/>
    <n v="1.1999999999999997"/>
    <n v="0.70000000000000018"/>
    <n v="1.9"/>
    <s v="untwist and set yaw sensor then restore wtg."/>
    <s v="Close"/>
    <n v="4.7500000000000001E-2"/>
    <s v="G28"/>
    <n v="522.57916666666665"/>
    <s v="None"/>
    <s v="WTG Breakdown Maintenance"/>
    <n v="6601"/>
    <n v="522.57916666666665"/>
    <m/>
    <m/>
    <m/>
    <m/>
  </r>
  <r>
    <n v="2293"/>
    <x v="379"/>
    <x v="1"/>
    <x v="1"/>
    <x v="13"/>
    <x v="1"/>
    <x v="0"/>
    <s v="PWEGPL"/>
    <s v="MSEDCL"/>
    <n v="2.5000000000000001E-2"/>
    <n v="205"/>
    <x v="312"/>
    <s v="BD"/>
    <d v="1899-12-30T15:19:00"/>
    <d v="1899-12-30T15:56:00"/>
    <d v="1899-12-30T18:31:00"/>
    <n v="0.61666666666666714"/>
    <n v="2.5833333333333321"/>
    <n v="3.1999999999999993"/>
    <s v="Check leakage and clean then top-up 15 liter hu oil"/>
    <s v="Close"/>
    <n v="7.9999999999999988E-2"/>
    <s v="G16"/>
    <n v="1045.5999999999997"/>
    <s v="None"/>
    <s v="WTG Breakdown Maintenance"/>
    <n v="7842"/>
    <n v="1045.5999999999997"/>
    <m/>
    <m/>
    <m/>
    <m/>
  </r>
  <r>
    <n v="2294"/>
    <x v="379"/>
    <x v="1"/>
    <x v="1"/>
    <x v="13"/>
    <x v="1"/>
    <x v="6"/>
    <s v="PWEGPL"/>
    <s v="MSEDCL"/>
    <n v="2.5000000000000001E-2"/>
    <n v="2118"/>
    <x v="293"/>
    <s v="BD"/>
    <d v="1899-12-30T12:35:00"/>
    <d v="1899-12-30T12:48:00"/>
    <d v="1899-12-30T13:27:00"/>
    <n v="0.2166666666666659"/>
    <n v="0.65000000000000036"/>
    <n v="0.86666666666666625"/>
    <s v="Slip ring clean then restore wtg."/>
    <s v="Close"/>
    <n v="2.1666666666666657E-2"/>
    <s v="G40"/>
    <n v="293.6194444444443"/>
    <s v="None"/>
    <s v="WTG Breakdown Maintenance"/>
    <n v="8131"/>
    <n v="293.6194444444443"/>
    <m/>
    <m/>
    <m/>
    <m/>
  </r>
  <r>
    <n v="2295"/>
    <x v="380"/>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6364.5770833333336"/>
    <s v="None"/>
    <s v="WTG Unscheduled Maintenance"/>
    <n v="6369"/>
    <n v="6364.5770833333336"/>
    <m/>
    <m/>
    <m/>
    <m/>
  </r>
  <r>
    <n v="2296"/>
    <x v="380"/>
    <x v="1"/>
    <x v="1"/>
    <x v="13"/>
    <x v="1"/>
    <x v="3"/>
    <s v="PWEGPL"/>
    <s v="MSEDCL"/>
    <n v="2.5000000000000001E-2"/>
    <n v="203"/>
    <x v="290"/>
    <s v="BD"/>
    <d v="1899-12-30T14:50:00"/>
    <d v="1899-12-30T15:10:00"/>
    <d v="1899-12-30T17:50:00"/>
    <n v="0.33333333333333215"/>
    <n v="2.6666666666666652"/>
    <n v="2.9999999999999973"/>
    <s v="Found proprotional valve malfuntion so replace with new one."/>
    <s v="Close"/>
    <n v="7.4999999999999942E-2"/>
    <s v="G26"/>
    <n v="1058.7499999999991"/>
    <s v="None"/>
    <s v="WTG Breakdown Maintenance"/>
    <n v="8470"/>
    <n v="1058.7499999999991"/>
    <m/>
    <m/>
    <m/>
    <m/>
  </r>
  <r>
    <n v="2297"/>
    <x v="380"/>
    <x v="1"/>
    <x v="1"/>
    <x v="13"/>
    <x v="1"/>
    <x v="24"/>
    <s v="PWEGPL"/>
    <s v="MSEDCL"/>
    <n v="2.5000000000000001E-2"/>
    <n v="5212"/>
    <x v="319"/>
    <s v="BD"/>
    <d v="1899-12-30T16:17:00"/>
    <d v="1899-12-30T16:45:00"/>
    <d v="1899-12-30T17:06:00"/>
    <n v="0.46666666666666501"/>
    <n v="0.35000000000000142"/>
    <n v="0.81666666666666643"/>
    <s v="Found preload MPCB tripped so correct it then start it."/>
    <s v="Close"/>
    <n v="2.0416666666666663E-2"/>
    <s v="G22"/>
    <n v="288.4534722222221"/>
    <s v="None"/>
    <s v="WTG Breakdown Maintenance"/>
    <n v="8477"/>
    <n v="288.4534722222221"/>
    <m/>
    <m/>
    <m/>
    <m/>
  </r>
  <r>
    <n v="2298"/>
    <x v="380"/>
    <x v="1"/>
    <x v="1"/>
    <x v="13"/>
    <x v="1"/>
    <x v="24"/>
    <s v="PWEGPL"/>
    <s v="MSEDCL"/>
    <n v="2.5000000000000001E-2"/>
    <s v="CE100008"/>
    <x v="400"/>
    <s v="Manual Stop/SEM"/>
    <d v="1899-12-30T13:45:00"/>
    <d v="1899-12-30T13:45:00"/>
    <d v="1899-12-30T16:08:00"/>
    <n v="0"/>
    <n v="2.3833333333333329"/>
    <n v="2.3833333333333329"/>
    <s v="Sem meter instalation work"/>
    <s v="Close"/>
    <n v="5.9583333333333321E-2"/>
    <s v="G22"/>
    <n v="841.81319444444421"/>
    <s v="None"/>
    <s v="WTG Unscheduled Maintenance"/>
    <n v="8477"/>
    <n v="841.81319444444421"/>
    <m/>
    <m/>
    <m/>
    <m/>
  </r>
  <r>
    <n v="2299"/>
    <x v="380"/>
    <x v="1"/>
    <x v="1"/>
    <x v="13"/>
    <x v="1"/>
    <x v="33"/>
    <s v="PWEGPL"/>
    <s v="MSEDCL"/>
    <n v="2.5000000000000001E-2"/>
    <s v="CE100008"/>
    <x v="400"/>
    <s v="Manual Stop/SEM"/>
    <d v="1899-12-30T16:34:00"/>
    <d v="1899-12-30T16:34:00"/>
    <d v="1899-12-30T17:25:00"/>
    <n v="0"/>
    <n v="0.85000000000000231"/>
    <n v="0.85000000000000231"/>
    <s v="Sem meter instalation work"/>
    <s v="Close"/>
    <n v="2.1250000000000061E-2"/>
    <s v="G22"/>
    <n v="300.22708333333412"/>
    <s v="None"/>
    <s v="WTG Unscheduled Maintenance"/>
    <n v="8477"/>
    <n v="300.22708333333412"/>
    <m/>
    <m/>
    <m/>
    <m/>
  </r>
  <r>
    <n v="2300"/>
    <x v="381"/>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7696.6513888888894"/>
    <s v="None"/>
    <s v="WTG Unscheduled Maintenance"/>
    <n v="7702"/>
    <n v="7696.6513888888894"/>
    <m/>
    <m/>
    <m/>
    <m/>
  </r>
  <r>
    <n v="2301"/>
    <x v="381"/>
    <x v="1"/>
    <x v="1"/>
    <x v="13"/>
    <x v="1"/>
    <x v="25"/>
    <s v="PWEGPL"/>
    <s v="MSEDCL"/>
    <n v="2.5000000000000001E-2"/>
    <n v="402"/>
    <x v="300"/>
    <s v="Manual stop"/>
    <d v="1899-12-30T11:42:00"/>
    <d v="1899-12-30T11:42:00"/>
    <d v="1899-12-30T16:10:00"/>
    <n v="0"/>
    <n v="4.4666666666666686"/>
    <n v="4.4666666666666686"/>
    <s v="Manual stop for gear box hose replacement work."/>
    <s v="Close"/>
    <n v="0.11166666666666672"/>
    <s v="G29"/>
    <n v="1637.5916666666674"/>
    <s v="None"/>
    <s v="WTG Breakdown Maintenance"/>
    <n v="8799"/>
    <n v="1637.5916666666674"/>
    <m/>
    <m/>
    <m/>
    <m/>
  </r>
  <r>
    <n v="2302"/>
    <x v="381"/>
    <x v="1"/>
    <x v="1"/>
    <x v="13"/>
    <x v="1"/>
    <x v="35"/>
    <s v="PWEGPL"/>
    <s v="MSEDCL"/>
    <n v="2.5000000000000001E-2"/>
    <n v="402"/>
    <x v="300"/>
    <s v="Manual stop"/>
    <d v="1899-12-30T11:38:00"/>
    <d v="1899-12-30T11:38:00"/>
    <d v="1899-12-30T16:11:00"/>
    <n v="0"/>
    <n v="4.5500000000000007"/>
    <n v="4.5500000000000007"/>
    <s v="Manual stop for gear box hose replacement work."/>
    <s v="Close"/>
    <n v="0.11375000000000002"/>
    <s v="G13"/>
    <n v="1810.3312500000002"/>
    <s v="None"/>
    <s v="WTG Breakdown Maintenance"/>
    <n v="9549"/>
    <n v="1810.3312500000002"/>
    <m/>
    <m/>
    <m/>
    <m/>
  </r>
  <r>
    <n v="2303"/>
    <x v="381"/>
    <x v="1"/>
    <x v="1"/>
    <x v="13"/>
    <x v="1"/>
    <x v="25"/>
    <s v="PWEGPL"/>
    <s v="MSEDCL"/>
    <n v="2.5000000000000001E-2"/>
    <n v="205"/>
    <x v="312"/>
    <s v="BD"/>
    <d v="1899-12-30T11:50:00"/>
    <d v="1899-12-30T13:00:00"/>
    <d v="1899-12-30T13:25:00"/>
    <n v="1.1666666666666652"/>
    <n v="0.41666666666666785"/>
    <n v="1.583333333333333"/>
    <s v="10 liter Oil top up then restore the turbine."/>
    <s v="Close"/>
    <n v="3.9583333333333331E-2"/>
    <s v="G03"/>
    <n v="463.38888888888886"/>
    <s v="None"/>
    <s v="WTG Breakdown Maintenance"/>
    <n v="7024"/>
    <n v="463.38888888888886"/>
    <m/>
    <m/>
    <m/>
    <m/>
  </r>
  <r>
    <n v="2304"/>
    <x v="382"/>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2538.2361111111113"/>
    <s v="None"/>
    <s v="WTG Unscheduled Maintenance"/>
    <n v="2540"/>
    <n v="2538.2361111111113"/>
    <m/>
    <m/>
    <m/>
    <m/>
  </r>
  <r>
    <n v="2305"/>
    <x v="382"/>
    <x v="1"/>
    <x v="1"/>
    <x v="13"/>
    <x v="1"/>
    <x v="36"/>
    <s v="PWEGPL"/>
    <s v="MSEDCL"/>
    <n v="2.5000000000000001E-2"/>
    <s v="CE100010"/>
    <x v="296"/>
    <s v="PM"/>
    <d v="1899-12-30T11:41:00"/>
    <d v="1899-12-30T11:41:00"/>
    <d v="1899-12-30T19:24:00"/>
    <n v="0"/>
    <n v="7.716666666666665"/>
    <n v="7.716666666666665"/>
    <s v="Half Yearly maintenance done."/>
    <s v="Close"/>
    <n v="0.19291666666666663"/>
    <s v="G24"/>
    <n v="927.92916666666645"/>
    <s v="None"/>
    <s v="WTG Scheduled Maintenance"/>
    <n v="2886"/>
    <n v="927.92916666666645"/>
    <m/>
    <m/>
    <m/>
    <m/>
  </r>
  <r>
    <n v="2306"/>
    <x v="382"/>
    <x v="1"/>
    <x v="1"/>
    <x v="13"/>
    <x v="1"/>
    <x v="24"/>
    <s v="PWEGPL"/>
    <s v="MSEDCL"/>
    <n v="2.5000000000000001E-2"/>
    <n v="205"/>
    <x v="312"/>
    <s v="BD"/>
    <d v="1899-12-30T09:41:00"/>
    <d v="1899-12-30T11:34:00"/>
    <d v="1899-12-30T12:07:00"/>
    <n v="1.8833333333333333"/>
    <n v="0.54999999999999938"/>
    <n v="2.4333333333333327"/>
    <s v="10 liter Oil top up then restore the turbine."/>
    <s v="Close"/>
    <n v="6.0833333333333323E-2"/>
    <s v="G22"/>
    <n v="344.9249999999999"/>
    <s v="None"/>
    <s v="WTG Breakdown Maintenance"/>
    <n v="3402"/>
    <n v="344.9249999999999"/>
    <m/>
    <m/>
    <m/>
    <m/>
  </r>
  <r>
    <n v="2307"/>
    <x v="382"/>
    <x v="1"/>
    <x v="1"/>
    <x v="13"/>
    <x v="1"/>
    <x v="23"/>
    <s v="PWEGPL"/>
    <s v="MSEDCL"/>
    <n v="2.5000000000000001E-2"/>
    <n v="2118"/>
    <x v="293"/>
    <s v="BD"/>
    <d v="1899-12-30T14:10:00"/>
    <d v="1899-12-30T15:18:00"/>
    <d v="1899-12-30T15:48:00"/>
    <n v="1.1333333333333346"/>
    <n v="0.49999999999999822"/>
    <n v="1.6333333333333329"/>
    <s v="slip ring clean then restore wtg."/>
    <s v="Close"/>
    <n v="4.0833333333333326E-2"/>
    <s v="G03"/>
    <n v="287.39861111111105"/>
    <s v="None"/>
    <s v="WTG Breakdown Maintenance"/>
    <n v="4223"/>
    <n v="287.39861111111105"/>
    <m/>
    <m/>
    <m/>
    <m/>
  </r>
  <r>
    <n v="2308"/>
    <x v="383"/>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1846.7166666666667"/>
    <s v="None"/>
    <s v="WTG Unscheduled Maintenance"/>
    <n v="1848"/>
    <n v="1846.7166666666667"/>
    <m/>
    <m/>
    <m/>
    <m/>
  </r>
  <r>
    <n v="2309"/>
    <x v="383"/>
    <x v="1"/>
    <x v="1"/>
    <x v="13"/>
    <x v="1"/>
    <x v="35"/>
    <s v="PWEGPL"/>
    <s v="MSEDCL"/>
    <n v="2.5000000000000001E-2"/>
    <s v="CE100010"/>
    <x v="296"/>
    <s v="PM"/>
    <d v="1899-12-30T11:09:00"/>
    <d v="1899-12-30T11:09:00"/>
    <d v="1899-12-30T18:30:00"/>
    <n v="0"/>
    <n v="7.3500000000000005"/>
    <n v="7.3500000000000005"/>
    <s v="Half Yearly maintenance done."/>
    <s v="Close"/>
    <n v="0.18375000000000002"/>
    <s v="G25"/>
    <n v="834.22500000000002"/>
    <s v="None"/>
    <s v="WTG Scheduled Maintenance"/>
    <n v="2724"/>
    <n v="834.22500000000002"/>
    <m/>
    <m/>
    <m/>
    <m/>
  </r>
  <r>
    <n v="2310"/>
    <x v="383"/>
    <x v="1"/>
    <x v="1"/>
    <x v="13"/>
    <x v="1"/>
    <x v="0"/>
    <s v="PWEGPL"/>
    <s v="MSEDCL"/>
    <n v="2.5000000000000001E-2"/>
    <n v="205"/>
    <x v="312"/>
    <s v="BD"/>
    <d v="1899-12-30T14:25:00"/>
    <d v="1899-12-30T14:44:00"/>
    <d v="1899-12-30T15:55:00"/>
    <n v="0.31666666666666554"/>
    <n v="1.1833333333333345"/>
    <n v="1.5"/>
    <s v="10 liter Oil top up then restore the turbine."/>
    <s v="Close"/>
    <n v="3.7500000000000006E-2"/>
    <s v="G16"/>
    <n v="272.4375"/>
    <s v="None"/>
    <s v="WTG Breakdown Maintenance"/>
    <n v="4359"/>
    <n v="272.4375"/>
    <m/>
    <m/>
    <m/>
    <m/>
  </r>
  <r>
    <n v="2311"/>
    <x v="384"/>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8129.3506944444443"/>
    <s v="None"/>
    <s v="WTG Unscheduled Maintenance"/>
    <n v="8135"/>
    <n v="8129.3506944444443"/>
    <m/>
    <m/>
    <m/>
    <m/>
  </r>
  <r>
    <n v="2312"/>
    <x v="384"/>
    <x v="1"/>
    <x v="1"/>
    <x v="13"/>
    <x v="1"/>
    <x v="8"/>
    <s v="PWEGPL"/>
    <s v="MSEDCL"/>
    <n v="2.5000000000000001E-2"/>
    <s v="CE100010"/>
    <x v="296"/>
    <s v="PM"/>
    <d v="1899-12-30T11:05:00"/>
    <d v="1899-12-30T11:05:00"/>
    <d v="1899-12-30T23:31:00"/>
    <n v="0"/>
    <n v="12.433333333333332"/>
    <n v="12.433333333333332"/>
    <s v="Half Yearly maintenance done. And Main hu accumlator replacement work."/>
    <s v="Close"/>
    <n v="0.31083333333333329"/>
    <s v="G25"/>
    <n v="4563.5513888888881"/>
    <s v="None"/>
    <s v="WTG Scheduled Maintenance"/>
    <n v="8809"/>
    <n v="4563.5513888888881"/>
    <m/>
    <m/>
    <m/>
    <m/>
  </r>
  <r>
    <n v="2313"/>
    <x v="384"/>
    <x v="1"/>
    <x v="1"/>
    <x v="13"/>
    <x v="1"/>
    <x v="22"/>
    <s v="PWEGPL"/>
    <s v="MSEDCL"/>
    <n v="2.5000000000000001E-2"/>
    <n v="115"/>
    <x v="308"/>
    <s v="BD"/>
    <d v="1899-12-30T15:12:00"/>
    <d v="1899-12-30T15:42:00"/>
    <d v="1899-12-30T19:09:00"/>
    <n v="0.50000000000000089"/>
    <n v="3.4499999999999984"/>
    <n v="3.9499999999999993"/>
    <s v="Found main accumulator failure so replace with new then restore wtg."/>
    <s v="Close"/>
    <n v="9.8749999999999991E-2"/>
    <s v="G04"/>
    <n v="1839.2187499999998"/>
    <s v="None"/>
    <s v="WTG Breakdown Maintenance"/>
    <n v="11175"/>
    <n v="1839.2187499999998"/>
    <m/>
    <m/>
    <m/>
    <m/>
  </r>
  <r>
    <n v="2314"/>
    <x v="384"/>
    <x v="1"/>
    <x v="1"/>
    <x v="13"/>
    <x v="1"/>
    <x v="16"/>
    <s v="PWEGPL"/>
    <s v="MSEDCL"/>
    <n v="2.5000000000000001E-2"/>
    <n v="5234"/>
    <x v="351"/>
    <s v="BD"/>
    <d v="1899-12-30T15:01:00"/>
    <d v="1899-12-30T15:52:00"/>
    <d v="1899-12-30T21:09:00"/>
    <n v="0.84999999999999964"/>
    <n v="5.2833333333333332"/>
    <n v="6.1333333333333329"/>
    <s v="Found Smart crow bar IGBT failure so replace with new one the restore wtg."/>
    <s v="Close"/>
    <n v="0.15333333333333332"/>
    <s v="G37"/>
    <n v="2276.7444444444441"/>
    <s v="None"/>
    <s v="WTG Breakdown Maintenance"/>
    <n v="8909"/>
    <n v="2276.7444444444441"/>
    <m/>
    <m/>
    <m/>
    <m/>
  </r>
  <r>
    <n v="2315"/>
    <x v="385"/>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5006.5208333333339"/>
    <s v="None"/>
    <s v="WTG Unscheduled Maintenance"/>
    <n v="5010"/>
    <n v="5006.5208333333339"/>
    <m/>
    <m/>
    <m/>
    <m/>
  </r>
  <r>
    <n v="2316"/>
    <x v="385"/>
    <x v="1"/>
    <x v="1"/>
    <x v="13"/>
    <x v="1"/>
    <x v="34"/>
    <s v="PWEGPL"/>
    <s v="MSEDCL"/>
    <n v="2.5000000000000001E-2"/>
    <n v="2118"/>
    <x v="293"/>
    <s v="BD"/>
    <d v="1899-12-30T13:37:00"/>
    <d v="1899-12-30T14:00:00"/>
    <d v="1899-12-30T15:08:00"/>
    <n v="0.38333333333333464"/>
    <n v="1.133333333333332"/>
    <n v="1.5166666666666666"/>
    <s v="slip ring clean then restore wtg."/>
    <s v="Close"/>
    <n v="3.7916666666666668E-2"/>
    <s v="G21"/>
    <n v="402.48541666666665"/>
    <s v="None"/>
    <s v="WTG Breakdown Maintenance"/>
    <n v="6369"/>
    <n v="402.48541666666665"/>
    <m/>
    <m/>
    <m/>
    <m/>
  </r>
  <r>
    <n v="2317"/>
    <x v="385"/>
    <x v="1"/>
    <x v="1"/>
    <x v="13"/>
    <x v="1"/>
    <x v="4"/>
    <s v="PWEGPL"/>
    <s v="MSEDCL"/>
    <n v="2.5000000000000001E-2"/>
    <s v="CE100008"/>
    <x v="400"/>
    <s v="Manual Stop/SEM"/>
    <d v="1899-12-30T17:14:00"/>
    <d v="1899-12-30T17:14:00"/>
    <d v="1899-12-30T18:07:00"/>
    <n v="0"/>
    <n v="0.88333333333333286"/>
    <n v="0.88333333333333286"/>
    <s v="Sem meter instalation work"/>
    <s v="Close"/>
    <n v="2.2083333333333323E-2"/>
    <s v="G36"/>
    <n v="160.3249999999999"/>
    <s v="None"/>
    <s v="WTG Unscheduled Maintenance"/>
    <n v="4356"/>
    <n v="160.3249999999999"/>
    <m/>
    <m/>
    <m/>
    <m/>
  </r>
  <r>
    <n v="2318"/>
    <x v="386"/>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5767.9916666666668"/>
    <s v="None"/>
    <s v="WTG Unscheduled Maintenance"/>
    <n v="5772"/>
    <n v="5767.9916666666668"/>
    <m/>
    <m/>
    <m/>
    <m/>
  </r>
  <r>
    <n v="2319"/>
    <x v="386"/>
    <x v="1"/>
    <x v="1"/>
    <x v="13"/>
    <x v="1"/>
    <x v="12"/>
    <s v="PWEGPL"/>
    <s v="MSEDCL"/>
    <n v="2.5000000000000001E-2"/>
    <s v="CE100010"/>
    <x v="296"/>
    <s v="PM"/>
    <d v="1899-12-30T10:56:00"/>
    <d v="1899-12-30T10:56:00"/>
    <d v="1899-12-30T17:41:00"/>
    <n v="0"/>
    <n v="6.7500000000000018"/>
    <n v="6.7500000000000018"/>
    <s v="Half Yearly maintenance done."/>
    <s v="Close"/>
    <n v="0.16875000000000007"/>
    <s v="G29"/>
    <n v="1638.2812500000005"/>
    <s v="None"/>
    <s v="WTG Scheduled Maintenance"/>
    <n v="5825"/>
    <n v="1638.2812500000005"/>
    <m/>
    <m/>
    <m/>
    <m/>
  </r>
  <r>
    <n v="2320"/>
    <x v="386"/>
    <x v="1"/>
    <x v="1"/>
    <x v="13"/>
    <x v="1"/>
    <x v="35"/>
    <s v="PWEGPL"/>
    <s v="MSEDCL"/>
    <n v="2.5000000000000001E-2"/>
    <s v="CE100008"/>
    <x v="400"/>
    <s v="Manual Stop/SEM"/>
    <d v="1899-12-30T15:59:00"/>
    <d v="1899-12-30T15:59:00"/>
    <d v="1899-12-30T17:08:00"/>
    <n v="0"/>
    <n v="1.1500000000000012"/>
    <n v="1.1500000000000012"/>
    <s v="Sem meter instalation work"/>
    <s v="Close"/>
    <n v="2.8750000000000032E-2"/>
    <s v="G25"/>
    <n v="308.29583333333363"/>
    <s v="None"/>
    <s v="WTG Unscheduled Maintenance"/>
    <n v="6434"/>
    <n v="308.29583333333363"/>
    <m/>
    <m/>
    <m/>
    <m/>
  </r>
  <r>
    <n v="2321"/>
    <x v="386"/>
    <x v="1"/>
    <x v="1"/>
    <x v="13"/>
    <x v="1"/>
    <x v="8"/>
    <s v="PWEGPL"/>
    <s v="MSEDCL"/>
    <n v="2.5000000000000001E-2"/>
    <s v="CE100008"/>
    <x v="400"/>
    <s v="Manual Stop/SEM"/>
    <d v="1899-12-30T17:09:00"/>
    <d v="1899-12-30T17:09:00"/>
    <d v="1899-12-30T17:59:00"/>
    <n v="0"/>
    <n v="0.8333333333333357"/>
    <n v="0.8333333333333357"/>
    <s v="Sem meter instalation work"/>
    <s v="Close"/>
    <n v="2.0833333333333395E-2"/>
    <s v="G25"/>
    <n v="223.4027777777784"/>
    <s v="None"/>
    <s v="WTG Unscheduled Maintenance"/>
    <n v="6434"/>
    <n v="223.4027777777784"/>
    <m/>
    <m/>
    <m/>
    <m/>
  </r>
  <r>
    <n v="2322"/>
    <x v="386"/>
    <x v="1"/>
    <x v="1"/>
    <x v="13"/>
    <x v="1"/>
    <x v="16"/>
    <s v="PWEGPL"/>
    <s v="MSEDCL"/>
    <n v="2.5000000000000001E-2"/>
    <n v="5248"/>
    <x v="356"/>
    <s v="BD"/>
    <d v="1899-12-30T19:09:00"/>
    <d v="1899-12-30T19:40:00"/>
    <d v="1899-12-30T23:59:00"/>
    <n v="0.51666666666667016"/>
    <n v="4.3166666666666647"/>
    <n v="4.8333333333333348"/>
    <s v="Found IGBT failure so replace then restore wtg."/>
    <s v="Close"/>
    <n v="0.12083333333333338"/>
    <s v="G37"/>
    <n v="1177.9236111111115"/>
    <s v="None"/>
    <s v="WTG Breakdown Maintenance"/>
    <n v="5849"/>
    <n v="1177.9236111111115"/>
    <m/>
    <m/>
    <m/>
    <m/>
  </r>
  <r>
    <n v="2323"/>
    <x v="387"/>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2466.286111111111"/>
    <s v="None"/>
    <s v="WTG Unscheduled Maintenance"/>
    <n v="2468"/>
    <n v="2466.286111111111"/>
    <m/>
    <m/>
    <m/>
    <m/>
  </r>
  <r>
    <n v="2324"/>
    <x v="387"/>
    <x v="1"/>
    <x v="1"/>
    <x v="13"/>
    <x v="1"/>
    <x v="9"/>
    <s v="PWEGPL"/>
    <s v="MSEDCL"/>
    <n v="2.5000000000000001E-2"/>
    <n v="205"/>
    <x v="312"/>
    <s v="BD"/>
    <d v="1899-12-30T10:05:00"/>
    <d v="1899-12-30T10:46:00"/>
    <d v="1899-12-30T11:19:00"/>
    <n v="0.68333333333333357"/>
    <n v="0.54999999999999938"/>
    <n v="1.2333333333333329"/>
    <s v="10 liter Oil top up then restore the turbine."/>
    <s v="Close"/>
    <n v="3.0833333333333324E-2"/>
    <s v="G29"/>
    <n v="128.36944444444441"/>
    <s v="None"/>
    <s v="WTG Breakdown Maintenance"/>
    <n v="2498"/>
    <n v="128.36944444444441"/>
    <m/>
    <m/>
    <m/>
    <m/>
  </r>
  <r>
    <n v="2325"/>
    <x v="387"/>
    <x v="1"/>
    <x v="1"/>
    <x v="13"/>
    <x v="1"/>
    <x v="14"/>
    <s v="PWEGPL"/>
    <s v="MSEDCL"/>
    <n v="2.5000000000000001E-2"/>
    <n v="800"/>
    <x v="298"/>
    <s v="BD"/>
    <d v="1899-12-30T11:47:00"/>
    <d v="1899-12-30T11:47:00"/>
    <d v="1899-12-30T12:47:00"/>
    <n v="0"/>
    <n v="1.0000000000000004"/>
    <n v="1.0000000000000004"/>
    <s v="Check related circuit found blade c Ao module fail so replace with new one then restore wtg."/>
    <s v="Close"/>
    <n v="2.5000000000000012E-2"/>
    <s v="G33"/>
    <n v="124.16666666666673"/>
    <s v="None"/>
    <s v="WTG Breakdown Maintenance"/>
    <n v="2980"/>
    <n v="124.16666666666673"/>
    <m/>
    <m/>
    <m/>
    <m/>
  </r>
  <r>
    <n v="2326"/>
    <x v="387"/>
    <x v="1"/>
    <x v="1"/>
    <x v="13"/>
    <x v="1"/>
    <x v="37"/>
    <s v="PWEGPL"/>
    <s v="MSEDCL"/>
    <n v="2.5000000000000001E-2"/>
    <n v="5234"/>
    <x v="351"/>
    <s v="BD"/>
    <d v="1899-12-30T14:43:00"/>
    <d v="1899-12-30T15:10:00"/>
    <d v="1899-12-30T18:29:00"/>
    <n v="0.4499999999999984"/>
    <n v="3.3166666666666682"/>
    <n v="3.7666666666666666"/>
    <s v="Check IGBT found ok then restore wtg."/>
    <s v="Close"/>
    <n v="9.4166666666666676E-2"/>
    <s v="G17"/>
    <n v="739.67916666666667"/>
    <s v="None"/>
    <s v="WTG Breakdown Maintenance"/>
    <n v="4713"/>
    <n v="739.67916666666667"/>
    <m/>
    <m/>
    <m/>
    <m/>
  </r>
  <r>
    <n v="2327"/>
    <x v="387"/>
    <x v="1"/>
    <x v="1"/>
    <x v="13"/>
    <x v="1"/>
    <x v="15"/>
    <s v="PWEGPL"/>
    <s v="MSEDCL"/>
    <n v="2.5000000000000001E-2"/>
    <n v="102"/>
    <x v="337"/>
    <s v="BD"/>
    <d v="1899-12-30T16:55:00"/>
    <d v="1899-12-30T17:26:00"/>
    <d v="1899-12-30T17:51:00"/>
    <n v="0.51666666666666483"/>
    <n v="0.41666666666666785"/>
    <n v="0.93333333333333268"/>
    <s v="Check related circuit found yaw motor failure so replace with new one then rtestore wtg."/>
    <s v="Close"/>
    <n v="2.3333333333333317E-2"/>
    <s v="G36"/>
    <n v="85.788888888888835"/>
    <s v="None"/>
    <s v="WTG Breakdown Maintenance"/>
    <n v="2206"/>
    <n v="85.788888888888835"/>
    <m/>
    <m/>
    <m/>
    <m/>
  </r>
  <r>
    <n v="2328"/>
    <x v="387"/>
    <x v="1"/>
    <x v="1"/>
    <x v="13"/>
    <x v="1"/>
    <x v="11"/>
    <s v="PWEGPL"/>
    <s v="MSEDCL"/>
    <n v="2.5000000000000001E-2"/>
    <s v="CE100010"/>
    <x v="296"/>
    <s v="PM"/>
    <d v="1899-12-30T10:57:00"/>
    <d v="1899-12-30T10:57:00"/>
    <d v="1899-12-30T18:00:00"/>
    <n v="0"/>
    <n v="7.0500000000000007"/>
    <n v="7.0500000000000007"/>
    <s v="Half Yearly maintenance done."/>
    <s v="Close"/>
    <n v="0.17625000000000002"/>
    <s v="G31"/>
    <n v="979.36250000000007"/>
    <s v="None"/>
    <s v="WTG Scheduled Maintenance"/>
    <n v="3334"/>
    <n v="979.36250000000007"/>
    <m/>
    <m/>
    <m/>
    <m/>
  </r>
  <r>
    <n v="2329"/>
    <x v="388"/>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2812.0458333333336"/>
    <s v="None"/>
    <s v="WTG Unscheduled Maintenance"/>
    <n v="2814"/>
    <n v="2812.0458333333336"/>
    <m/>
    <m/>
    <m/>
    <m/>
  </r>
  <r>
    <n v="2330"/>
    <x v="388"/>
    <x v="1"/>
    <x v="1"/>
    <x v="13"/>
    <x v="1"/>
    <x v="0"/>
    <s v="PWEGPL"/>
    <s v="MSEDCL"/>
    <n v="2.5000000000000001E-2"/>
    <n v="205"/>
    <x v="312"/>
    <s v="BD"/>
    <d v="1899-12-30T10:45:00"/>
    <d v="1899-12-30T11:05:00"/>
    <d v="1899-12-30T12:40:00"/>
    <n v="0.33333333333333348"/>
    <n v="1.583333333333333"/>
    <n v="1.9166666666666665"/>
    <s v="10 liter Oil top up then restore the turbine."/>
    <s v="Close"/>
    <n v="4.7916666666666663E-2"/>
    <s v="G16"/>
    <n v="325.03472222222223"/>
    <s v="None"/>
    <s v="WTG Breakdown Maintenance"/>
    <n v="4070"/>
    <n v="325.03472222222223"/>
    <m/>
    <m/>
    <m/>
    <m/>
  </r>
  <r>
    <n v="2331"/>
    <x v="389"/>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3540.5395833333337"/>
    <s v="None"/>
    <s v="WTG Unscheduled Maintenance"/>
    <n v="3543"/>
    <n v="3540.5395833333337"/>
    <m/>
    <m/>
    <m/>
    <m/>
  </r>
  <r>
    <n v="2332"/>
    <x v="389"/>
    <x v="1"/>
    <x v="1"/>
    <x v="13"/>
    <x v="1"/>
    <x v="10"/>
    <s v="PWEGPL"/>
    <s v="MSEDCL"/>
    <n v="2.5000000000000001E-2"/>
    <s v="CE100010"/>
    <x v="296"/>
    <s v="PM"/>
    <d v="1899-12-30T10:48:00"/>
    <d v="1899-12-30T10:48:00"/>
    <d v="1899-12-30T18:02:00"/>
    <n v="0"/>
    <n v="7.2333333333333361"/>
    <n v="7.2333333333333361"/>
    <s v="Half Yearly maintenance done."/>
    <s v="Close"/>
    <n v="0.1808333333333334"/>
    <s v="G28"/>
    <n v="943.34722222222251"/>
    <s v="None"/>
    <s v="WTG Scheduled Maintenance"/>
    <n v="3130"/>
    <n v="943.34722222222251"/>
    <m/>
    <m/>
    <m/>
    <m/>
  </r>
  <r>
    <n v="2333"/>
    <x v="389"/>
    <x v="1"/>
    <x v="1"/>
    <x v="13"/>
    <x v="1"/>
    <x v="26"/>
    <s v="PWEGPL"/>
    <s v="MSEDCL"/>
    <n v="2.5000000000000001E-2"/>
    <n v="5203"/>
    <x v="294"/>
    <s v="BD"/>
    <d v="1899-12-30T14:30:00"/>
    <d v="1899-12-30T15:08:00"/>
    <d v="1899-12-30T16:09:00"/>
    <n v="0.63333333333333375"/>
    <n v="1.0166666666666657"/>
    <n v="1.6499999999999995"/>
    <s v="Check realated circuit found fan MCB tripped . So check all cooling fan found ok then restore wtg."/>
    <s v="Close"/>
    <n v="4.1249999999999988E-2"/>
    <s v="G01"/>
    <n v="301.05624999999992"/>
    <s v="None"/>
    <s v="WTG Breakdown Maintenance"/>
    <n v="4379"/>
    <n v="301.05624999999992"/>
    <m/>
    <m/>
    <m/>
    <m/>
  </r>
  <r>
    <n v="2334"/>
    <x v="389"/>
    <x v="1"/>
    <x v="1"/>
    <x v="13"/>
    <x v="1"/>
    <x v="3"/>
    <s v="PWEGPL"/>
    <s v="MSEDCL"/>
    <n v="2.5000000000000001E-2"/>
    <n v="203"/>
    <x v="290"/>
    <s v="BD"/>
    <d v="1899-12-30T18:45:00"/>
    <d v="1899-12-30T19:20:00"/>
    <d v="1899-12-30T22:35:00"/>
    <n v="0.58333333333333126"/>
    <n v="3.2500000000000018"/>
    <n v="3.833333333333333"/>
    <s v="Reset and restored "/>
    <s v="Close"/>
    <n v="9.5833333333333326E-2"/>
    <s v="G26"/>
    <n v="526.60416666666663"/>
    <s v="None"/>
    <s v="WTG Breakdown Maintenance"/>
    <n v="3297"/>
    <n v="526.60416666666663"/>
    <m/>
    <m/>
    <m/>
    <m/>
  </r>
  <r>
    <n v="2335"/>
    <x v="390"/>
    <x v="1"/>
    <x v="1"/>
    <x v="13"/>
    <x v="1"/>
    <x v="1"/>
    <s v="PWEGPL"/>
    <s v="MSEDCL"/>
    <n v="2.5000000000000001E-2"/>
    <s v="CE100002"/>
    <x v="381"/>
    <s v="Manual stop/TCA"/>
    <d v="1899-12-30T00:00:00"/>
    <d v="1899-12-30T00:00:00"/>
    <d v="1899-12-30T23:59:00"/>
    <n v="0"/>
    <n v="23.983333333333334"/>
    <n v="23.983333333333334"/>
    <s v="Blade repair under progress on up tower"/>
    <s v="Open"/>
    <n v="0.59958333333333336"/>
    <s v="G05"/>
    <n v="2204.4680555555556"/>
    <s v="None"/>
    <s v="WTG Unscheduled Maintenance"/>
    <n v="2206"/>
    <n v="2204.4680555555556"/>
    <m/>
    <m/>
    <m/>
    <m/>
  </r>
  <r>
    <n v="2336"/>
    <x v="390"/>
    <x v="1"/>
    <x v="1"/>
    <x v="13"/>
    <x v="1"/>
    <x v="14"/>
    <s v="PWEGPL"/>
    <s v="MSEDCL"/>
    <n v="2.5000000000000001E-2"/>
    <s v="CE100010"/>
    <x v="296"/>
    <s v="PM"/>
    <d v="1899-12-30T11:00:00"/>
    <d v="1899-12-30T11:00:00"/>
    <d v="1899-12-30T17:49:00"/>
    <n v="0"/>
    <n v="6.8166666666666682"/>
    <n v="6.8166666666666682"/>
    <s v="Half Yearly maintenance done."/>
    <s v="Close"/>
    <n v="0.17041666666666672"/>
    <s v="G33"/>
    <n v="713.19375000000014"/>
    <s v="None"/>
    <s v="WTG Scheduled Maintenance"/>
    <n v="2511"/>
    <n v="713.19375000000014"/>
    <m/>
    <m/>
    <m/>
    <m/>
  </r>
  <r>
    <n v="2337"/>
    <x v="390"/>
    <x v="1"/>
    <x v="1"/>
    <x v="13"/>
    <x v="1"/>
    <x v="7"/>
    <s v="PWEGPL"/>
    <s v="MSEDCL"/>
    <n v="2.5000000000000001E-2"/>
    <n v="102"/>
    <x v="337"/>
    <s v="BD"/>
    <d v="1899-12-30T17:20:00"/>
    <d v="1899-12-30T18:10:00"/>
    <d v="1899-12-30T19:30:00"/>
    <n v="0.8333333333333357"/>
    <n v="1.3333333333333313"/>
    <n v="2.166666666666667"/>
    <s v="Check related circuit found yaw contactor failure so replace with new one the restore wtg."/>
    <s v="Close"/>
    <n v="5.4166666666666675E-2"/>
    <s v="G39"/>
    <n v="220.81944444444449"/>
    <s v="None"/>
    <s v="WTG Breakdown Maintenance"/>
    <n v="2446"/>
    <n v="220.81944444444449"/>
    <m/>
    <m/>
    <m/>
    <m/>
  </r>
  <r>
    <n v="2338"/>
    <x v="390"/>
    <x v="1"/>
    <x v="1"/>
    <x v="13"/>
    <x v="1"/>
    <x v="5"/>
    <s v="PWEGPL"/>
    <s v="MSEDCL"/>
    <n v="2.5000000000000001E-2"/>
    <n v="500"/>
    <x v="302"/>
    <s v="BD"/>
    <d v="1899-12-30T22:10:00"/>
    <d v="1899-12-30T22:40:00"/>
    <d v="1899-12-30T23:59:00"/>
    <n v="0.50000000000000089"/>
    <n v="1.3166666666666647"/>
    <n v="1.8166666666666655"/>
    <s v="Reset and restored "/>
    <s v="Close"/>
    <n v="4.541666666666664E-2"/>
    <s v="G39"/>
    <n v="185.14861111111099"/>
    <s v="None"/>
    <s v="WTG Breakdown Maintenance"/>
    <n v="2446"/>
    <n v="185.14861111111099"/>
    <m/>
    <m/>
    <m/>
    <m/>
  </r>
  <r>
    <n v="2339"/>
    <x v="391"/>
    <x v="1"/>
    <x v="1"/>
    <x v="13"/>
    <x v="1"/>
    <x v="1"/>
    <s v="PWEGPL"/>
    <s v="MSEDCL"/>
    <n v="2.5000000000000001E-2"/>
    <s v="CE100002"/>
    <x v="381"/>
    <s v="Manual stop/TCA"/>
    <d v="1899-12-30T00:00:00"/>
    <d v="1899-12-30T00:00:00"/>
    <d v="1899-12-30T20:52:00"/>
    <n v="0"/>
    <n v="20.866666666666667"/>
    <n v="20.866666666666667"/>
    <s v="Blade repair under progress on up tower"/>
    <s v="Close"/>
    <n v="0.52166666666666672"/>
    <s v="G05"/>
    <n v="4948.8777777777777"/>
    <s v="None"/>
    <s v="WTG Scheduled Maintenance"/>
    <n v="5692"/>
    <n v="4948.8777777777777"/>
    <m/>
    <m/>
    <m/>
    <m/>
  </r>
  <r>
    <n v="2340"/>
    <x v="391"/>
    <x v="1"/>
    <x v="1"/>
    <x v="13"/>
    <x v="1"/>
    <x v="38"/>
    <s v="PWEGPL"/>
    <s v="MSEDCL"/>
    <n v="2.5000000000000001E-2"/>
    <n v="1894"/>
    <x v="325"/>
    <s v="BD"/>
    <d v="1899-12-30T17:34:00"/>
    <d v="1899-12-30T17:58:00"/>
    <d v="1899-12-30T18:26:00"/>
    <n v="0.39999999999999858"/>
    <n v="0.46666666666667034"/>
    <n v="0.86666666666666892"/>
    <s v="Reset and restored "/>
    <s v="Close"/>
    <n v="2.1666666666666723E-2"/>
    <s v="G19"/>
    <n v="188.42777777777826"/>
    <s v="None"/>
    <s v="WTG Breakdown Maintenance"/>
    <n v="5218"/>
    <n v="188.42777777777826"/>
    <m/>
    <m/>
    <m/>
    <m/>
  </r>
  <r>
    <n v="2341"/>
    <x v="391"/>
    <x v="1"/>
    <x v="1"/>
    <x v="13"/>
    <x v="1"/>
    <x v="32"/>
    <s v="PWEGPL"/>
    <s v="MSEDCL"/>
    <n v="2.5000000000000001E-2"/>
    <n v="116"/>
    <x v="361"/>
    <s v="BD"/>
    <d v="1899-12-30T13:04:00"/>
    <d v="1899-12-30T13:33:00"/>
    <d v="1899-12-30T14:27:00"/>
    <n v="0.48333333333333428"/>
    <n v="0.89999999999999947"/>
    <n v="1.3833333333333337"/>
    <s v="pos110 value tunning done and restored"/>
    <s v="Close"/>
    <n v="3.4583333333333348E-2"/>
    <s v="G13"/>
    <n v="367.4479166666668"/>
    <s v="None"/>
    <s v="WTG Breakdown Maintenance"/>
    <n v="6375"/>
    <n v="367.4479166666668"/>
    <m/>
    <m/>
    <m/>
    <m/>
  </r>
  <r>
    <n v="2342"/>
    <x v="392"/>
    <x v="1"/>
    <x v="1"/>
    <x v="13"/>
    <x v="1"/>
    <x v="1"/>
    <s v="PWEGPL"/>
    <s v="MSEDCL"/>
    <n v="2.5000000000000001E-2"/>
    <s v="CE100010"/>
    <x v="296"/>
    <s v="PM"/>
    <d v="1899-12-30T10:39:00"/>
    <d v="1899-12-30T10:39:00"/>
    <d v="1899-12-30T17:54:00"/>
    <n v="0"/>
    <n v="7.2499999999999964"/>
    <n v="7.2499999999999964"/>
    <s v="Yearly PM done then restore wtg."/>
    <s v="Close"/>
    <n v="0.18124999999999991"/>
    <s v="G05"/>
    <n v="1482.6249999999993"/>
    <s v="None"/>
    <s v="WTG Scheduled Maintenance"/>
    <n v="4908"/>
    <n v="1482.6249999999993"/>
    <m/>
    <m/>
    <m/>
    <m/>
  </r>
  <r>
    <n v="2343"/>
    <x v="392"/>
    <x v="1"/>
    <x v="1"/>
    <x v="13"/>
    <x v="1"/>
    <x v="5"/>
    <s v="PWEGPL"/>
    <s v="MSEDCL"/>
    <n v="2.5000000000000001E-2"/>
    <n v="500"/>
    <x v="302"/>
    <s v="Manual stop"/>
    <d v="1899-12-30T11:50:00"/>
    <d v="1899-12-30T11:50:00"/>
    <d v="1899-12-30T12:28:00"/>
    <n v="0"/>
    <n v="0.63333333333333375"/>
    <n v="0.63333333333333375"/>
    <s v="Replaced Generator Extranal motor then restore wtg."/>
    <s v="Close"/>
    <n v="1.5833333333333345E-2"/>
    <s v="G39"/>
    <n v="129.91250000000008"/>
    <s v="None"/>
    <s v="WTG Breakdown Maintenance"/>
    <n v="4923"/>
    <n v="129.91250000000008"/>
    <m/>
    <m/>
    <m/>
    <m/>
  </r>
  <r>
    <n v="2344"/>
    <x v="392"/>
    <x v="1"/>
    <x v="1"/>
    <x v="13"/>
    <x v="1"/>
    <x v="3"/>
    <s v="PWEGPL"/>
    <s v="MSEDCL"/>
    <n v="2.5000000000000001E-2"/>
    <n v="203"/>
    <x v="290"/>
    <s v="Manual stop"/>
    <d v="1899-12-30T15:45:00"/>
    <d v="1899-12-30T15:45:00"/>
    <d v="1899-12-30T19:22:00"/>
    <n v="0"/>
    <n v="3.6166666666666671"/>
    <n v="3.6166666666666671"/>
    <s v="Hub main accumulator replaced then restore wtg."/>
    <s v="Close"/>
    <n v="9.0416666666666687E-2"/>
    <s v="G26"/>
    <n v="780.74791666666681"/>
    <s v="None"/>
    <s v="WTG Breakdown Maintenance"/>
    <n v="5181"/>
    <n v="780.74791666666681"/>
    <m/>
    <m/>
    <m/>
    <m/>
  </r>
  <r>
    <n v="2345"/>
    <x v="393"/>
    <x v="1"/>
    <x v="1"/>
    <x v="13"/>
    <x v="1"/>
    <x v="13"/>
    <s v="PWEGPL"/>
    <s v="MSEDCL"/>
    <n v="2.5000000000000001E-2"/>
    <s v="CE100010"/>
    <x v="296"/>
    <s v="PM"/>
    <d v="1899-12-30T07:55:00"/>
    <d v="1899-12-30T07:55:00"/>
    <d v="1899-12-30T14:11:00"/>
    <n v="0"/>
    <n v="6.2666666666666675"/>
    <n v="6.2666666666666675"/>
    <s v="Half Yearly maintenance done."/>
    <s v="Close"/>
    <n v="0.1566666666666667"/>
    <s v="G34"/>
    <n v="917.02222222222235"/>
    <s v="None"/>
    <s v="WTG Scheduled Maintenance"/>
    <n v="3512"/>
    <n v="917.02222222222235"/>
    <m/>
    <m/>
    <m/>
    <m/>
  </r>
  <r>
    <n v="2346"/>
    <x v="393"/>
    <x v="1"/>
    <x v="1"/>
    <x v="13"/>
    <x v="1"/>
    <x v="39"/>
    <s v="PWEGPL"/>
    <s v="MSEDCL"/>
    <n v="2.5000000000000001E-2"/>
    <n v="500"/>
    <x v="302"/>
    <s v="Manual stop"/>
    <d v="1899-12-30T15:22:00"/>
    <d v="1899-12-30T15:22:00"/>
    <d v="1899-12-30T16:22:00"/>
    <n v="0"/>
    <n v="0.99999999999999911"/>
    <n v="0.99999999999999911"/>
    <s v="Found Generator internal motor failure so replace with new one then restore wtg."/>
    <s v="Close"/>
    <n v="2.4999999999999981E-2"/>
    <s v="G16"/>
    <n v="162.62499999999986"/>
    <s v="None"/>
    <s v="WTG Breakdown Maintenance"/>
    <n v="3903"/>
    <n v="162.62499999999986"/>
    <m/>
    <m/>
    <m/>
    <m/>
  </r>
  <r>
    <n v="2347"/>
    <x v="394"/>
    <x v="1"/>
    <x v="1"/>
    <x v="13"/>
    <x v="1"/>
    <x v="35"/>
    <s v="PWEGPL"/>
    <s v="MSEDCL"/>
    <n v="2.5000000000000001E-2"/>
    <n v="201"/>
    <x v="328"/>
    <s v="BD"/>
    <d v="1899-12-30T08:12:00"/>
    <d v="1899-12-30T09:00:00"/>
    <d v="1899-12-30T12:32:00"/>
    <n v="0.80000000000000115"/>
    <n v="3.5333333333333341"/>
    <n v="4.3333333333333357"/>
    <s v="popet valve clean then restore wtg."/>
    <s v="Close"/>
    <n v="0.10833333333333339"/>
    <s v="G27"/>
    <n v="589.33333333333371"/>
    <s v="None"/>
    <s v="WTG Breakdown Maintenance"/>
    <n v="3264"/>
    <n v="589.33333333333371"/>
    <m/>
    <m/>
    <m/>
    <m/>
  </r>
  <r>
    <n v="2348"/>
    <x v="394"/>
    <x v="1"/>
    <x v="1"/>
    <x v="13"/>
    <x v="1"/>
    <x v="3"/>
    <s v="PWEGPL"/>
    <s v="MSEDCL"/>
    <n v="2.5000000000000001E-2"/>
    <s v="CE100010"/>
    <x v="296"/>
    <s v="PM"/>
    <d v="1899-12-30T10:52:00"/>
    <d v="1899-12-30T10:52:00"/>
    <d v="1899-12-30T17:41:00"/>
    <n v="0"/>
    <n v="6.8166666666666682"/>
    <n v="6.8166666666666682"/>
    <s v="Half Yearly maintenance done."/>
    <s v="Close"/>
    <n v="0.17041666666666672"/>
    <s v="G26"/>
    <n v="1348.5638888888893"/>
    <s v="None"/>
    <s v="WTG Scheduled Maintenance"/>
    <n v="4748"/>
    <n v="1348.5638888888893"/>
    <m/>
    <m/>
    <m/>
    <m/>
  </r>
  <r>
    <n v="2349"/>
    <x v="394"/>
    <x v="1"/>
    <x v="1"/>
    <x v="13"/>
    <x v="1"/>
    <x v="0"/>
    <s v="PWEGPL"/>
    <s v="MSEDCL"/>
    <n v="2.5000000000000001E-2"/>
    <n v="205"/>
    <x v="312"/>
    <s v="BD"/>
    <d v="1899-12-30T16:49:00"/>
    <d v="1899-12-30T17:05:00"/>
    <d v="1899-12-30T17:20:00"/>
    <n v="0.26666666666666572"/>
    <n v="0.25000000000000178"/>
    <n v="0.5166666666666675"/>
    <s v="Reset and restored "/>
    <s v="Close"/>
    <n v="1.2916666666666687E-2"/>
    <s v="G16"/>
    <n v="127.72430555555576"/>
    <s v="None"/>
    <s v="WTG Breakdown Maintenance"/>
    <n v="5933"/>
    <n v="127.72430555555576"/>
    <m/>
    <m/>
    <m/>
    <m/>
  </r>
  <r>
    <n v="2350"/>
    <x v="395"/>
    <x v="1"/>
    <x v="1"/>
    <x v="13"/>
    <x v="1"/>
    <x v="35"/>
    <s v="PWEGPL"/>
    <s v="MSEDCL"/>
    <n v="2.5000000000000001E-2"/>
    <n v="804"/>
    <x v="382"/>
    <s v="BD"/>
    <d v="1899-12-30T02:47:00"/>
    <d v="1899-12-30T05:18:00"/>
    <d v="1899-12-30T11:54:00"/>
    <n v="2.5166666666666666"/>
    <n v="6.6000000000000005"/>
    <n v="9.1166666666666671"/>
    <s v="proportional valve replaced and restored"/>
    <s v="Close"/>
    <n v="0.22791666666666668"/>
    <s v="G25"/>
    <n v="2838.3222222222221"/>
    <s v="None"/>
    <s v="WTG Breakdown Maintenance"/>
    <n v="7472"/>
    <n v="2838.3222222222221"/>
    <m/>
    <m/>
    <m/>
    <m/>
  </r>
  <r>
    <n v="2351"/>
    <x v="395"/>
    <x v="1"/>
    <x v="1"/>
    <x v="13"/>
    <x v="1"/>
    <x v="21"/>
    <s v="PWEGPL"/>
    <s v="MSEDCL"/>
    <n v="2.5000000000000001E-2"/>
    <n v="205"/>
    <x v="312"/>
    <s v="BD"/>
    <d v="1899-12-30T16:18:00"/>
    <d v="1899-12-30T18:30:00"/>
    <d v="1899-12-30T18:57:00"/>
    <n v="2.2000000000000002"/>
    <n v="0.4499999999999984"/>
    <n v="2.6499999999999986"/>
    <s v="10ltr Oil top up and restored"/>
    <s v="Close"/>
    <n v="6.6249999999999962E-2"/>
    <s v="G01"/>
    <n v="913.47708333333276"/>
    <s v="None"/>
    <s v="WTG Breakdown Maintenance"/>
    <n v="8273"/>
    <n v="913.47708333333276"/>
    <m/>
    <m/>
    <m/>
    <m/>
  </r>
  <r>
    <n v="2352"/>
    <x v="395"/>
    <x v="1"/>
    <x v="1"/>
    <x v="13"/>
    <x v="1"/>
    <x v="7"/>
    <s v="PWEGPL"/>
    <s v="MSEDCL"/>
    <n v="2.5000000000000001E-2"/>
    <n v="208"/>
    <x v="366"/>
    <s v="BD"/>
    <d v="1899-12-30T13:24:00"/>
    <d v="1899-12-30T14:50:00"/>
    <d v="1899-12-30T15:38:00"/>
    <n v="1.4333333333333336"/>
    <n v="0.79999999999999982"/>
    <n v="2.2333333333333334"/>
    <s v="Checked hydraulic pump contactor and addon block found all ok then reset and restored"/>
    <s v="Close"/>
    <n v="5.5833333333333339E-2"/>
    <s v="G39"/>
    <n v="611.375"/>
    <s v="None"/>
    <s v="WTG Breakdown Maintenance"/>
    <n v="6570"/>
    <n v="611.375"/>
    <m/>
    <m/>
    <m/>
    <m/>
  </r>
  <r>
    <n v="2353"/>
    <x v="395"/>
    <x v="1"/>
    <x v="1"/>
    <x v="13"/>
    <x v="1"/>
    <x v="7"/>
    <s v="PWEGPL"/>
    <s v="MSEDCL"/>
    <n v="2.5000000000000001E-2"/>
    <n v="208"/>
    <x v="366"/>
    <s v="BD"/>
    <d v="1899-12-30T16:57:00"/>
    <d v="1899-12-30T18:24:00"/>
    <d v="1899-12-30T19:08:00"/>
    <n v="1.4500000000000002"/>
    <n v="0.73333333333333339"/>
    <n v="2.1833333333333336"/>
    <s v="Replaced hydraulic pump contactor and restored"/>
    <s v="Close"/>
    <n v="5.4583333333333345E-2"/>
    <s v="G39"/>
    <n v="597.68750000000011"/>
    <s v="None"/>
    <s v="WTG Breakdown Maintenance"/>
    <n v="6570"/>
    <n v="597.68750000000011"/>
    <m/>
    <m/>
    <m/>
    <m/>
  </r>
  <r>
    <n v="2354"/>
    <x v="396"/>
    <x v="1"/>
    <x v="1"/>
    <x v="13"/>
    <x v="1"/>
    <x v="0"/>
    <s v="PWEGPL"/>
    <s v="MSEDCL"/>
    <n v="2.5000000000000001E-2"/>
    <s v="CE100010"/>
    <x v="296"/>
    <s v="PM"/>
    <d v="1899-12-30T10:40:00"/>
    <d v="1899-12-30T10:40:00"/>
    <d v="1899-12-30T17:44:00"/>
    <n v="0"/>
    <n v="7.0666666666666682"/>
    <n v="7.0666666666666682"/>
    <s v="Half Yearly maintenance done."/>
    <s v="Close"/>
    <n v="0.17666666666666672"/>
    <s v="G16"/>
    <n v="4252.072222222223"/>
    <s v="None"/>
    <s v="WTG Scheduled Maintenance"/>
    <n v="14441"/>
    <n v="4252.072222222223"/>
    <m/>
    <m/>
    <m/>
    <m/>
  </r>
  <r>
    <n v="2355"/>
    <x v="396"/>
    <x v="1"/>
    <x v="1"/>
    <x v="13"/>
    <x v="1"/>
    <x v="34"/>
    <s v="PWEGPL"/>
    <s v="MSEDCL"/>
    <n v="2.5000000000000001E-2"/>
    <n v="441"/>
    <x v="403"/>
    <s v="BD"/>
    <d v="1899-12-30T17:38:00"/>
    <d v="1899-12-30T18:13:00"/>
    <d v="1899-12-30T23:59:00"/>
    <n v="0.58333333333333393"/>
    <n v="5.7666666666666675"/>
    <n v="6.3500000000000014"/>
    <s v="WIP"/>
    <s v="Open"/>
    <n v="0.15875000000000006"/>
    <s v="G21"/>
    <n v="3905.7791666666676"/>
    <s v="None"/>
    <s v="WTG Breakdown Maintenance"/>
    <n v="14762"/>
    <n v="3905.7791666666676"/>
    <m/>
    <m/>
    <m/>
    <m/>
  </r>
  <r>
    <n v="2356"/>
    <x v="396"/>
    <x v="1"/>
    <x v="1"/>
    <x v="13"/>
    <x v="1"/>
    <x v="31"/>
    <s v="PWEGPL"/>
    <s v="MSEDCL"/>
    <n v="2.5000000000000001E-2"/>
    <n v="800"/>
    <x v="298"/>
    <s v="BD"/>
    <d v="1899-12-30T20:25:00"/>
    <d v="1899-12-30T21:00:00"/>
    <d v="1899-12-30T22:56:00"/>
    <n v="0.58333333333333126"/>
    <n v="1.9333333333333345"/>
    <n v="2.5166666666666657"/>
    <s v="Found cable losse and replace module"/>
    <s v="Close"/>
    <n v="6.2916666666666649E-2"/>
    <s v="G14"/>
    <n v="1090.450694444444"/>
    <s v="None"/>
    <s v="WTG Breakdown Maintenance"/>
    <n v="10399"/>
    <n v="1090.450694444444"/>
    <m/>
    <m/>
    <m/>
    <m/>
  </r>
  <r>
    <n v="2357"/>
    <x v="397"/>
    <x v="1"/>
    <x v="1"/>
    <x v="13"/>
    <x v="1"/>
    <x v="34"/>
    <s v="PWEGPL"/>
    <s v="MSEDCL"/>
    <n v="2.5000000000000001E-2"/>
    <n v="441"/>
    <x v="403"/>
    <s v="BD"/>
    <d v="1899-12-30T00:00:00"/>
    <d v="1899-12-30T00:00:00"/>
    <d v="1899-12-30T02:01:00"/>
    <n v="0"/>
    <n v="2.0166666666666666"/>
    <n v="2.0166666666666666"/>
    <s v="Found KM004 contactor failure so replace with new one then restore wtg."/>
    <s v="Close"/>
    <n v="5.0416666666666665E-2"/>
    <s v="G21"/>
    <n v="1514.6847222222223"/>
    <s v="None"/>
    <s v="WTG Breakdown Maintenance"/>
    <n v="18026"/>
    <n v="1514.6847222222223"/>
    <m/>
    <m/>
    <m/>
    <m/>
  </r>
  <r>
    <n v="2358"/>
    <x v="397"/>
    <x v="1"/>
    <x v="1"/>
    <x v="13"/>
    <x v="1"/>
    <x v="15"/>
    <s v="PWEGPL"/>
    <s v="MSEDCL"/>
    <n v="2.5000000000000001E-2"/>
    <s v="CE100010"/>
    <x v="296"/>
    <s v="PM"/>
    <d v="1899-12-30T11:06:00"/>
    <d v="1899-12-30T11:06:00"/>
    <d v="1899-12-30T18:24:00"/>
    <n v="0"/>
    <n v="7.2999999999999989"/>
    <n v="7.2999999999999989"/>
    <s v="Half Yearly maintenance done."/>
    <s v="Close"/>
    <n v="0.1825"/>
    <s v="G36"/>
    <n v="3423.3958333333326"/>
    <s v="None"/>
    <s v="WTG Scheduled Maintenance"/>
    <n v="11255"/>
    <n v="3423.3958333333326"/>
    <m/>
    <m/>
    <m/>
    <m/>
  </r>
  <r>
    <n v="2359"/>
    <x v="397"/>
    <x v="1"/>
    <x v="1"/>
    <x v="13"/>
    <x v="1"/>
    <x v="0"/>
    <s v="PWEGPL"/>
    <s v="MSEDCL"/>
    <n v="2.5000000000000001E-2"/>
    <n v="205"/>
    <x v="312"/>
    <s v="Manual stop"/>
    <d v="1899-12-30T11:32:00"/>
    <d v="1899-12-30T11:32:00"/>
    <d v="1899-12-30T17:54:00"/>
    <n v="0"/>
    <n v="6.3666666666666636"/>
    <n v="6.3666666666666636"/>
    <s v="Blade A potch seal replaced and restored"/>
    <s v="Close"/>
    <n v="0.1591666666666666"/>
    <s v="G16"/>
    <n v="3734.5805555555539"/>
    <s v="None"/>
    <s v="WTG Unscheduled Maintenance"/>
    <n v="14078"/>
    <n v="3734.5805555555539"/>
    <m/>
    <m/>
    <m/>
    <m/>
  </r>
  <r>
    <n v="2360"/>
    <x v="398"/>
    <x v="1"/>
    <x v="1"/>
    <x v="13"/>
    <x v="1"/>
    <x v="16"/>
    <s v="PWEGPL"/>
    <s v="MSEDCL"/>
    <n v="2.5000000000000001E-2"/>
    <s v="CE100010"/>
    <x v="296"/>
    <s v="PM"/>
    <d v="1899-12-30T10:58:00"/>
    <d v="1899-12-30T10:58:00"/>
    <d v="1899-12-30T19:00:00"/>
    <n v="0"/>
    <n v="8.0333333333333332"/>
    <n v="8.0333333333333332"/>
    <s v="Half Yearly maintenance done."/>
    <s v="Close"/>
    <n v="0.20083333333333334"/>
    <s v="G35"/>
    <n v="2348.411111111111"/>
    <s v="None"/>
    <s v="WTG Scheduled Maintenance"/>
    <n v="7016"/>
    <n v="2348.411111111111"/>
    <m/>
    <m/>
    <m/>
    <m/>
  </r>
  <r>
    <n v="2361"/>
    <x v="398"/>
    <x v="1"/>
    <x v="1"/>
    <x v="13"/>
    <x v="1"/>
    <x v="19"/>
    <s v="PWEGPL"/>
    <s v="MSEDCL"/>
    <n v="2.5000000000000001E-2"/>
    <s v="CE100014"/>
    <x v="305"/>
    <s v="Manual stop/TCA"/>
    <d v="1899-12-30T11:51:00"/>
    <d v="1899-12-30T11:51:00"/>
    <d v="1899-12-30T13:12:00"/>
    <n v="0"/>
    <n v="1.3499999999999992"/>
    <n v="1.3499999999999992"/>
    <s v="Manual stop for endoscopic gear box"/>
    <s v="Close"/>
    <n v="3.3749999999999981E-2"/>
    <s v="G19"/>
    <n v="611.71874999999966"/>
    <s v="None"/>
    <s v="WTG Unscheduled Maintenance"/>
    <n v="10875"/>
    <n v="611.71874999999966"/>
    <m/>
    <m/>
    <m/>
    <m/>
  </r>
  <r>
    <n v="2362"/>
    <x v="398"/>
    <x v="1"/>
    <x v="1"/>
    <x v="13"/>
    <x v="1"/>
    <x v="32"/>
    <s v="PWEGPL"/>
    <s v="MSEDCL"/>
    <n v="2.5000000000000001E-2"/>
    <n v="116"/>
    <x v="361"/>
    <s v="BD"/>
    <d v="1899-12-30T15:47:00"/>
    <d v="1899-12-30T17:01:00"/>
    <d v="1899-12-30T17:49:00"/>
    <n v="1.2333333333333316"/>
    <n v="0.80000000000000249"/>
    <n v="2.0333333333333341"/>
    <s v="Reboot and reset then start wtg."/>
    <s v="Close"/>
    <n v="5.0833333333333355E-2"/>
    <s v="G15"/>
    <n v="839.93611111111136"/>
    <s v="None"/>
    <s v="WTG Breakdown Maintenance"/>
    <n v="9914"/>
    <n v="839.93611111111136"/>
    <m/>
    <m/>
    <m/>
    <m/>
  </r>
  <r>
    <n v="2363"/>
    <x v="399"/>
    <x v="1"/>
    <x v="1"/>
    <x v="13"/>
    <x v="1"/>
    <x v="4"/>
    <s v="PWEGPL"/>
    <s v="MSEDCL"/>
    <n v="2.5000000000000001E-2"/>
    <s v="CE100010"/>
    <x v="296"/>
    <s v="PM"/>
    <d v="1899-12-30T10:55:00"/>
    <d v="1899-12-30T10:55:00"/>
    <d v="1899-12-30T17:58:00"/>
    <n v="0"/>
    <n v="7.0499999999999972"/>
    <n v="7.0499999999999972"/>
    <s v="Half Yearly maintenance done."/>
    <s v="Close"/>
    <n v="0.17624999999999993"/>
    <s v="G36"/>
    <n v="2089.1499999999992"/>
    <s v="None"/>
    <s v="WTG Scheduled Maintenance"/>
    <n v="7112"/>
    <n v="2089.1499999999992"/>
    <m/>
    <m/>
    <m/>
    <m/>
  </r>
  <r>
    <n v="2364"/>
    <x v="399"/>
    <x v="1"/>
    <x v="1"/>
    <x v="13"/>
    <x v="1"/>
    <x v="3"/>
    <s v="PWEGPL"/>
    <s v="MSEDCL"/>
    <n v="2.5000000000000001E-2"/>
    <n v="700"/>
    <x v="329"/>
    <s v="BD"/>
    <d v="1899-12-30T02:14:00"/>
    <d v="1899-12-30T03:48:00"/>
    <d v="1899-12-30T05:23:00"/>
    <n v="1.5666666666666664"/>
    <n v="1.5833333333333337"/>
    <n v="3.1500000000000004"/>
    <s v="Slipring cleaned and checked all curcuit found ok then reset and restored"/>
    <s v="Close"/>
    <n v="7.8750000000000014E-2"/>
    <s v="G26"/>
    <n v="1175.7375000000002"/>
    <s v="None"/>
    <s v="WTG Breakdown Maintenance"/>
    <n v="8958"/>
    <n v="1175.7375000000002"/>
    <m/>
    <m/>
    <m/>
    <m/>
  </r>
  <r>
    <n v="2365"/>
    <x v="399"/>
    <x v="1"/>
    <x v="1"/>
    <x v="13"/>
    <x v="1"/>
    <x v="3"/>
    <s v="PWEGPL"/>
    <s v="MSEDCL"/>
    <n v="2.5000000000000001E-2"/>
    <n v="203"/>
    <x v="290"/>
    <s v="BD"/>
    <d v="1899-12-30T06:35:00"/>
    <d v="1899-12-30T07:04:00"/>
    <d v="1899-12-30T09:25:00"/>
    <n v="0.48333333333333428"/>
    <n v="2.3499999999999996"/>
    <n v="2.8333333333333339"/>
    <s v="Checked all pressure relief values and tunning done then restored the turbine"/>
    <s v="Close"/>
    <n v="7.0833333333333345E-2"/>
    <s v="G26"/>
    <n v="1057.541666666667"/>
    <s v="None"/>
    <s v="WTG Breakdown Maintenance"/>
    <n v="8958"/>
    <n v="1057.541666666667"/>
    <m/>
    <m/>
    <m/>
    <m/>
  </r>
  <r>
    <n v="2366"/>
    <x v="399"/>
    <x v="1"/>
    <x v="1"/>
    <x v="13"/>
    <x v="1"/>
    <x v="5"/>
    <s v="PWEGPL"/>
    <s v="MSEDCL"/>
    <n v="2.5000000000000001E-2"/>
    <n v="905"/>
    <x v="350"/>
    <s v="BD"/>
    <d v="1899-12-30T20:59:00"/>
    <d v="1899-12-30T21:52:00"/>
    <d v="1899-12-30T23:39:00"/>
    <n v="0.88333333333333286"/>
    <n v="1.7833333333333323"/>
    <n v="2.6666666666666652"/>
    <s v="Replaced brake batter power supply and restored"/>
    <s v="Close"/>
    <n v="6.6666666666666638E-2"/>
    <s v="G39"/>
    <n v="774.22222222222172"/>
    <s v="None"/>
    <s v="WTG Breakdown Maintenance"/>
    <n v="6968"/>
    <n v="774.22222222222172"/>
    <m/>
    <m/>
    <m/>
    <m/>
  </r>
  <r>
    <n v="2367"/>
    <x v="400"/>
    <x v="1"/>
    <x v="1"/>
    <x v="13"/>
    <x v="1"/>
    <x v="6"/>
    <s v="PWEGPL"/>
    <s v="MSEDCL"/>
    <n v="2.5000000000000001E-2"/>
    <s v="CE100010"/>
    <x v="296"/>
    <s v="PM"/>
    <d v="1899-12-30T10:44:00"/>
    <d v="1899-12-30T10:44:00"/>
    <d v="1899-12-30T17:32:00"/>
    <n v="0"/>
    <n v="6.8000000000000025"/>
    <n v="6.8000000000000025"/>
    <s v="Half Yearly maintenance done."/>
    <s v="Close"/>
    <n v="0.17000000000000007"/>
    <s v="G38"/>
    <n v="1098.2000000000005"/>
    <s v="None"/>
    <s v="WTG Scheduled Maintenance"/>
    <n v="3876"/>
    <n v="1098.2000000000005"/>
    <m/>
    <m/>
    <m/>
    <m/>
  </r>
  <r>
    <n v="2368"/>
    <x v="400"/>
    <x v="1"/>
    <x v="1"/>
    <x v="13"/>
    <x v="1"/>
    <x v="3"/>
    <s v="PWEGPL"/>
    <s v="MSEDCL"/>
    <n v="2.5000000000000001E-2"/>
    <n v="2118"/>
    <x v="293"/>
    <s v="BD"/>
    <d v="1899-12-30T14:42:00"/>
    <d v="1899-12-30T15:30:00"/>
    <d v="1899-12-30T21:10:00"/>
    <n v="0.80000000000000249"/>
    <n v="5.6666666666666679"/>
    <n v="6.4666666666666703"/>
    <s v="Slip ring clean then found HU pump O ring damage so replace with new one then restore wtg."/>
    <s v="Close"/>
    <n v="0.16166666666666676"/>
    <s v="G26"/>
    <n v="1177.4722222222229"/>
    <s v="None"/>
    <s v="WTG Breakdown Maintenance"/>
    <n v="4370"/>
    <n v="1177.4722222222229"/>
    <m/>
    <m/>
    <m/>
    <m/>
  </r>
  <r>
    <n v="2369"/>
    <x v="400"/>
    <x v="1"/>
    <x v="1"/>
    <x v="13"/>
    <x v="1"/>
    <x v="24"/>
    <s v="PWEGPL"/>
    <s v="MSEDCL"/>
    <n v="2.5000000000000001E-2"/>
    <n v="205"/>
    <x v="312"/>
    <s v="BD"/>
    <d v="1899-12-30T09:45:00"/>
    <d v="1899-12-30T09:45:00"/>
    <d v="1899-12-30T10:25:00"/>
    <n v="0"/>
    <n v="0.66666666666666563"/>
    <n v="0.66666666666666563"/>
    <s v="Reset and restored "/>
    <s v="Close"/>
    <n v="1.6666666666666642E-2"/>
    <s v="G22"/>
    <n v="143.9444444444442"/>
    <s v="None"/>
    <s v="WTG Breakdown Maintenance"/>
    <n v="5182"/>
    <n v="143.9444444444442"/>
    <m/>
    <m/>
    <m/>
    <m/>
  </r>
  <r>
    <n v="2370"/>
    <x v="400"/>
    <x v="1"/>
    <x v="1"/>
    <x v="13"/>
    <x v="1"/>
    <x v="25"/>
    <s v="PWEGPL"/>
    <s v="MSEDCL"/>
    <n v="2.5000000000000001E-2"/>
    <n v="205"/>
    <x v="312"/>
    <s v="BD"/>
    <d v="1899-12-30T10:02:00"/>
    <d v="1899-12-30T10:31:00"/>
    <d v="1899-12-30T11:16:00"/>
    <n v="0.48333333333333428"/>
    <n v="0.75"/>
    <n v="1.2333333333333343"/>
    <s v="10 liter Oil top up then restore the turbine."/>
    <s v="Close"/>
    <n v="3.0833333333333358E-2"/>
    <s v="G03"/>
    <n v="197.74444444444461"/>
    <s v="None"/>
    <s v="WTG Breakdown Maintenance"/>
    <n v="3848"/>
    <n v="197.74444444444461"/>
    <m/>
    <m/>
    <m/>
    <m/>
  </r>
  <r>
    <n v="2371"/>
    <x v="401"/>
    <x v="1"/>
    <x v="1"/>
    <x v="13"/>
    <x v="1"/>
    <x v="5"/>
    <s v="PWEGPL"/>
    <s v="MSEDCL"/>
    <n v="2.5000000000000001E-2"/>
    <s v="CE100010"/>
    <x v="296"/>
    <s v="PM"/>
    <d v="1899-12-30T10:56:00"/>
    <d v="1899-12-30T10:56:00"/>
    <d v="1899-12-30T18:14:00"/>
    <n v="0"/>
    <n v="7.3000000000000025"/>
    <n v="7.3000000000000025"/>
    <s v="Half Yearly maintenance done."/>
    <s v="Close"/>
    <n v="0.18250000000000008"/>
    <s v="G39"/>
    <n v="897.90000000000032"/>
    <s v="None"/>
    <s v="WTG Scheduled Maintenance"/>
    <n v="2952"/>
    <n v="897.90000000000032"/>
    <m/>
    <m/>
    <m/>
    <m/>
  </r>
  <r>
    <n v="2372"/>
    <x v="401"/>
    <x v="1"/>
    <x v="1"/>
    <x v="13"/>
    <x v="1"/>
    <x v="28"/>
    <s v="PWEGPL"/>
    <s v="MSEDCL"/>
    <n v="2.5000000000000001E-2"/>
    <n v="205"/>
    <x v="312"/>
    <s v="Manual stop"/>
    <d v="1899-12-30T10:06:00"/>
    <d v="1899-12-30T10:06:00"/>
    <d v="1899-12-30T17:32:00"/>
    <n v="0"/>
    <n v="7.4333333333333353"/>
    <n v="7.4333333333333353"/>
    <s v="Blade B pitch seal replaced and restored"/>
    <s v="Close"/>
    <n v="0.18583333333333341"/>
    <s v="G11"/>
    <n v="857.31111111111136"/>
    <s v="None"/>
    <s v="WTG Unscheduled Maintenance"/>
    <n v="2768"/>
    <n v="857.31111111111136"/>
    <m/>
    <m/>
    <m/>
    <m/>
  </r>
  <r>
    <n v="2373"/>
    <x v="401"/>
    <x v="1"/>
    <x v="1"/>
    <x v="13"/>
    <x v="1"/>
    <x v="37"/>
    <s v="PWEGPL"/>
    <s v="MSEDCL"/>
    <n v="2.5000000000000001E-2"/>
    <n v="5225"/>
    <x v="407"/>
    <s v="BD"/>
    <d v="1899-12-30T18:23:00"/>
    <d v="1899-12-30T18:41:00"/>
    <d v="1899-12-30T23:05:00"/>
    <n v="0.3000000000000016"/>
    <n v="4.3999999999999977"/>
    <n v="4.6999999999999993"/>
    <s v="Found lamada power supply and ccu failure so replace with new one then restore wtg."/>
    <s v="Close"/>
    <n v="0.11749999999999999"/>
    <s v="G17"/>
    <n v="448.84999999999991"/>
    <s v="None"/>
    <s v="WTG Breakdown Maintenance"/>
    <n v="2292"/>
    <n v="448.84999999999991"/>
    <m/>
    <m/>
    <m/>
    <m/>
  </r>
  <r>
    <n v="2374"/>
    <x v="402"/>
    <x v="1"/>
    <x v="1"/>
    <x v="13"/>
    <x v="1"/>
    <x v="11"/>
    <s v="PWEGPL"/>
    <s v="MSEDCL"/>
    <n v="2.5000000000000001E-2"/>
    <s v="CE100001"/>
    <x v="288"/>
    <s v="Manual stop"/>
    <d v="1899-12-30T12:23:00"/>
    <d v="1899-12-30T12:23:00"/>
    <d v="1899-12-30T13:12:00"/>
    <n v="0"/>
    <n v="0.81666666666666643"/>
    <n v="0.81666666666666643"/>
    <s v="Manual stop for blade stud inspection work"/>
    <s v="Close"/>
    <n v="2.0416666666666663E-2"/>
    <s v="G31"/>
    <n v="186.13194444444437"/>
    <s v="None"/>
    <s v="WTG Unscheduled Maintenance"/>
    <n v="5470"/>
    <n v="186.13194444444437"/>
    <m/>
    <m/>
    <m/>
    <m/>
  </r>
  <r>
    <n v="2375"/>
    <x v="402"/>
    <x v="1"/>
    <x v="1"/>
    <x v="13"/>
    <x v="1"/>
    <x v="35"/>
    <s v="PWEGPL"/>
    <s v="MSEDCL"/>
    <n v="2.5000000000000001E-2"/>
    <n v="205"/>
    <x v="312"/>
    <s v="BD"/>
    <d v="1899-12-30T13:29:00"/>
    <d v="1899-12-30T14:12:00"/>
    <d v="1899-12-30T15:42:00"/>
    <n v="0.71666666666666679"/>
    <n v="1.5"/>
    <n v="2.2166666666666668"/>
    <s v="10 liter Oil top up then restore the turbine."/>
    <s v="Close"/>
    <n v="5.541666666666667E-2"/>
    <s v="G25"/>
    <n v="363.3486111111111"/>
    <s v="None"/>
    <s v="WTG Breakdown Maintenance"/>
    <n v="3934"/>
    <n v="363.3486111111111"/>
    <m/>
    <m/>
    <m/>
    <m/>
  </r>
  <r>
    <n v="2376"/>
    <x v="403"/>
    <x v="1"/>
    <x v="1"/>
    <x v="13"/>
    <x v="1"/>
    <x v="7"/>
    <s v="PWEGPL"/>
    <s v="MSEDCL"/>
    <n v="2.5000000000000001E-2"/>
    <s v="CE100010"/>
    <x v="296"/>
    <s v="PM"/>
    <d v="1899-12-30T10:28:00"/>
    <d v="1899-12-30T10:28:00"/>
    <d v="1899-12-30T17:16:00"/>
    <n v="0"/>
    <n v="6.8"/>
    <n v="6.8"/>
    <s v="Half Yearly maintenance done."/>
    <s v="Close"/>
    <n v="0.17"/>
    <s v="G39"/>
    <n v="653.93333333333339"/>
    <s v="None"/>
    <s v="WTG Scheduled Maintenance"/>
    <n v="2308"/>
    <n v="653.93333333333339"/>
    <m/>
    <m/>
    <m/>
    <m/>
  </r>
  <r>
    <n v="2377"/>
    <x v="403"/>
    <x v="1"/>
    <x v="1"/>
    <x v="13"/>
    <x v="1"/>
    <x v="28"/>
    <s v="PWEGPL"/>
    <s v="MSEDCL"/>
    <n v="2.5000000000000001E-2"/>
    <n v="205"/>
    <x v="312"/>
    <s v="Manual stop"/>
    <d v="1899-12-30T10:52:00"/>
    <d v="1899-12-30T10:52:00"/>
    <d v="1899-12-30T17:59:00"/>
    <n v="0"/>
    <n v="7.1166666666666671"/>
    <n v="7.1166666666666671"/>
    <s v="Blade C pitch seal replaced and restored"/>
    <s v="Close"/>
    <n v="0.1779166666666667"/>
    <s v="G11"/>
    <n v="523.07500000000005"/>
    <s v="None"/>
    <s v="WTG Unscheduled Maintenance"/>
    <n v="1764"/>
    <n v="523.07500000000005"/>
    <m/>
    <m/>
    <m/>
    <m/>
  </r>
  <r>
    <n v="2378"/>
    <x v="403"/>
    <x v="1"/>
    <x v="1"/>
    <x v="13"/>
    <x v="1"/>
    <x v="36"/>
    <s v="PWEGPL"/>
    <s v="MSEDCL"/>
    <n v="2.5000000000000001E-2"/>
    <n v="205"/>
    <x v="312"/>
    <s v="BD"/>
    <d v="1899-12-30T21:29:00"/>
    <d v="1899-12-30T22:15:00"/>
    <d v="1899-12-30T23:50:00"/>
    <n v="0.76666666666666661"/>
    <n v="1.5833333333333304"/>
    <n v="2.349999999999997"/>
    <s v="10 liter Oil top up then restore the turbine."/>
    <s v="Close"/>
    <n v="5.8749999999999927E-2"/>
    <s v="G24"/>
    <n v="260.26249999999965"/>
    <s v="None"/>
    <s v="WTG Breakdown Maintenance"/>
    <n v="2658"/>
    <n v="260.26249999999965"/>
    <m/>
    <m/>
    <m/>
    <m/>
  </r>
  <r>
    <n v="2379"/>
    <x v="403"/>
    <x v="1"/>
    <x v="1"/>
    <x v="13"/>
    <x v="1"/>
    <x v="29"/>
    <s v="PWEGPL"/>
    <s v="MSEDCL"/>
    <n v="2.5000000000000001E-2"/>
    <n v="208"/>
    <x v="366"/>
    <s v="BD"/>
    <d v="1899-12-30T21:15:00"/>
    <d v="1899-12-30T23:59:00"/>
    <d v="1899-12-30T23:59:00"/>
    <n v="2.7333333333333343"/>
    <n v="0"/>
    <n v="2.7333333333333343"/>
    <s v="WIP"/>
    <s v="Open"/>
    <n v="6.8333333333333357E-2"/>
    <s v="G10"/>
    <n v="328.45555555555569"/>
    <s v="None"/>
    <s v="WTG Breakdown Maintenance"/>
    <n v="2884"/>
    <n v="328.45555555555569"/>
    <m/>
    <m/>
    <m/>
    <m/>
  </r>
  <r>
    <n v="2380"/>
    <x v="404"/>
    <x v="1"/>
    <x v="1"/>
    <x v="13"/>
    <x v="1"/>
    <x v="2"/>
    <s v="PWEGPL"/>
    <s v="MSEDCL"/>
    <n v="2.5000000000000001E-2"/>
    <s v="CE100010"/>
    <x v="296"/>
    <s v="PM"/>
    <d v="1899-12-30T10:33:00"/>
    <d v="1899-12-30T10:33:00"/>
    <d v="1899-12-30T17:43:00"/>
    <n v="0"/>
    <n v="7.1666666666666643"/>
    <n v="7.1666666666666643"/>
    <s v="Half Yearly maintenance done."/>
    <s v="Close"/>
    <n v="0.17916666666666661"/>
    <s v="G32"/>
    <n v="388.19444444444429"/>
    <s v="None"/>
    <s v="WTG Scheduled Maintenance"/>
    <n v="1300"/>
    <n v="388.19444444444429"/>
    <m/>
    <m/>
    <m/>
    <m/>
  </r>
  <r>
    <n v="2381"/>
    <x v="404"/>
    <x v="1"/>
    <x v="1"/>
    <x v="13"/>
    <x v="1"/>
    <x v="21"/>
    <s v="PWEGPL"/>
    <s v="MSEDCL"/>
    <n v="2.5000000000000001E-2"/>
    <n v="205"/>
    <x v="312"/>
    <s v="Manual stop"/>
    <d v="1899-12-30T11:02:00"/>
    <d v="1899-12-30T11:02:00"/>
    <d v="1899-12-30T23:59:00"/>
    <n v="0"/>
    <n v="12.95"/>
    <n v="12.95"/>
    <s v="WIP"/>
    <s v="Open"/>
    <n v="0.32374999999999998"/>
    <s v="G01"/>
    <n v="1809.7624999999998"/>
    <s v="Material Shortage - Pitch Cylinder."/>
    <s v="WTG Unscheduled Maintenance"/>
    <n v="3354"/>
    <n v="1809.7624999999998"/>
    <m/>
    <m/>
    <m/>
    <m/>
  </r>
  <r>
    <n v="2382"/>
    <x v="404"/>
    <x v="1"/>
    <x v="1"/>
    <x v="13"/>
    <x v="1"/>
    <x v="29"/>
    <s v="PWEGPL"/>
    <s v="MSEDCL"/>
    <n v="2.5000000000000001E-2"/>
    <n v="208"/>
    <x v="366"/>
    <s v="BD"/>
    <d v="1899-12-30T00:00:00"/>
    <d v="1899-12-30T00:00:00"/>
    <d v="1899-12-30T02:43:00"/>
    <n v="0"/>
    <n v="2.7166666666666668"/>
    <n v="2.7166666666666668"/>
    <s v="HU Contactor failure so replace with new one then restore."/>
    <s v="Close"/>
    <n v="6.7916666666666667E-2"/>
    <s v="G10"/>
    <n v="395.27500000000003"/>
    <s v="None"/>
    <s v="WTG Breakdown Maintenance"/>
    <n v="3492"/>
    <n v="395.27500000000003"/>
    <m/>
    <m/>
    <m/>
    <m/>
  </r>
  <r>
    <n v="2383"/>
    <x v="405"/>
    <x v="1"/>
    <x v="1"/>
    <x v="13"/>
    <x v="1"/>
    <x v="9"/>
    <s v="PWEGPL"/>
    <s v="MSEDCL"/>
    <n v="2.5000000000000001E-2"/>
    <s v="CE100010"/>
    <x v="296"/>
    <s v="PM"/>
    <d v="1899-12-30T10:58:00"/>
    <d v="1899-12-30T10:58:00"/>
    <d v="1899-12-30T21:31:00"/>
    <n v="0"/>
    <n v="10.549999999999999"/>
    <n v="10.549999999999999"/>
    <s v="Half Yearly maintenance done."/>
    <s v="Close"/>
    <n v="0.26374999999999998"/>
    <s v="G29"/>
    <n v="3358.4166666666661"/>
    <s v="None"/>
    <s v="WTG Scheduled Maintenance"/>
    <n v="7640"/>
    <n v="3358.4166666666661"/>
    <m/>
    <m/>
    <m/>
    <m/>
  </r>
  <r>
    <n v="2384"/>
    <x v="405"/>
    <x v="1"/>
    <x v="1"/>
    <x v="13"/>
    <x v="1"/>
    <x v="21"/>
    <s v="PWEGPL"/>
    <s v="MSEDCL"/>
    <n v="2.5000000000000001E-2"/>
    <n v="205"/>
    <x v="312"/>
    <s v="Manual stop"/>
    <d v="1899-12-30T00:00:00"/>
    <d v="1899-12-30T00:00:00"/>
    <d v="1899-12-30T23:59:00"/>
    <n v="0"/>
    <n v="23.983333333333334"/>
    <n v="23.983333333333334"/>
    <s v="WIP"/>
    <s v="Open"/>
    <n v="0.59958333333333336"/>
    <s v="G04"/>
    <n v="6081.7736111111117"/>
    <s v="Material Shortage - Pitch Cylinder."/>
    <s v="WTG Unscheduled Maintenance"/>
    <n v="6086"/>
    <n v="6081.7736111111117"/>
    <m/>
    <m/>
    <m/>
    <m/>
  </r>
  <r>
    <n v="2385"/>
    <x v="405"/>
    <x v="1"/>
    <x v="1"/>
    <x v="13"/>
    <x v="1"/>
    <x v="29"/>
    <s v="PWEGPL"/>
    <s v="MSEDCL"/>
    <n v="2.5000000000000001E-2"/>
    <n v="2118"/>
    <x v="293"/>
    <s v="BD"/>
    <d v="1899-12-30T20:05:00"/>
    <d v="1899-12-30T22:15:00"/>
    <d v="1899-12-30T22:20:00"/>
    <n v="2.1666666666666696"/>
    <n v="8.3333333333330373E-2"/>
    <n v="2.25"/>
    <s v="Reboot and reset then start wtg."/>
    <s v="Close"/>
    <n v="5.6250000000000001E-2"/>
    <s v="G10"/>
    <n v="673.875"/>
    <s v="None"/>
    <s v="WTG Breakdown Maintenance"/>
    <n v="7188"/>
    <n v="673.875"/>
    <m/>
    <m/>
    <m/>
    <m/>
  </r>
  <r>
    <n v="2386"/>
    <x v="405"/>
    <x v="1"/>
    <x v="1"/>
    <x v="13"/>
    <x v="1"/>
    <x v="26"/>
    <s v="PWEGPL"/>
    <s v="MSEDCL"/>
    <n v="2.5000000000000001E-2"/>
    <n v="2118"/>
    <x v="293"/>
    <s v="BD"/>
    <d v="1899-12-30T20:23:00"/>
    <d v="1899-12-30T22:45:00"/>
    <d v="1899-12-30T22:50:00"/>
    <n v="2.3666666666666663"/>
    <n v="8.3333333333333037E-2"/>
    <n v="2.4499999999999993"/>
    <s v="Reboot and reset then start wtg."/>
    <s v="Close"/>
    <n v="6.1249999999999985E-2"/>
    <s v="G01"/>
    <n v="471.21666666666653"/>
    <s v="None"/>
    <s v="WTG Breakdown Maintenance"/>
    <n v="4616"/>
    <n v="471.21666666666653"/>
    <m/>
    <m/>
    <m/>
    <m/>
  </r>
  <r>
    <n v="2387"/>
    <x v="406"/>
    <x v="1"/>
    <x v="1"/>
    <x v="13"/>
    <x v="1"/>
    <x v="21"/>
    <s v="PWEGPL"/>
    <s v="MSEDCL"/>
    <n v="2.5000000000000001E-2"/>
    <n v="205"/>
    <x v="312"/>
    <s v="Manual stop"/>
    <d v="1899-12-30T00:00:00"/>
    <d v="1899-12-30T00:00:00"/>
    <d v="1899-12-30T23:59:00"/>
    <n v="0"/>
    <n v="23.983333333333334"/>
    <n v="23.983333333333334"/>
    <s v="WIP"/>
    <s v="Open"/>
    <n v="0.59958333333333336"/>
    <s v="G04"/>
    <n v="3051.8791666666666"/>
    <s v="Material Shortage - Pitch Cylinder."/>
    <s v="WTG Unscheduled Maintenance"/>
    <n v="3054"/>
    <n v="3051.8791666666666"/>
    <m/>
    <m/>
    <m/>
    <m/>
  </r>
  <r>
    <n v="2388"/>
    <x v="406"/>
    <x v="1"/>
    <x v="1"/>
    <x v="13"/>
    <x v="1"/>
    <x v="28"/>
    <s v="PWEGPL"/>
    <s v="MSEDCL"/>
    <n v="2.5000000000000001E-2"/>
    <n v="800"/>
    <x v="298"/>
    <s v="BD"/>
    <d v="1899-12-30T21:30:00"/>
    <d v="1899-12-30T22:15:00"/>
    <d v="1899-12-30T23:59:00"/>
    <n v="0.75"/>
    <n v="1.7333333333333325"/>
    <n v="2.4833333333333325"/>
    <s v="WIP"/>
    <s v="Open"/>
    <n v="6.2083333333333317E-2"/>
    <s v="G11"/>
    <n v="181.28333333333327"/>
    <s v="None"/>
    <s v="WTG Breakdown Maintenance"/>
    <n v="1752"/>
    <n v="181.28333333333327"/>
    <m/>
    <m/>
    <m/>
    <m/>
  </r>
  <r>
    <n v="2389"/>
    <x v="406"/>
    <x v="1"/>
    <x v="1"/>
    <x v="13"/>
    <x v="1"/>
    <x v="37"/>
    <s v="PWEGPL"/>
    <s v="MSEDCL"/>
    <n v="2.5000000000000001E-2"/>
    <n v="401"/>
    <x v="331"/>
    <s v="BD"/>
    <d v="1899-12-30T14:00:00"/>
    <d v="1899-12-30T14:10:00"/>
    <d v="1899-12-30T15:10:00"/>
    <n v="0.16666666666666607"/>
    <n v="0.99999999999999911"/>
    <n v="1.1666666666666652"/>
    <s v="Reboot and reset then start wtg."/>
    <s v="Close"/>
    <n v="2.9166666666666632E-2"/>
    <s v="G17"/>
    <n v="197.94444444444417"/>
    <s v="None"/>
    <s v="WTG Breakdown Maintenance"/>
    <n v="4072"/>
    <n v="197.94444444444417"/>
    <m/>
    <m/>
    <m/>
    <m/>
  </r>
  <r>
    <n v="2390"/>
    <x v="407"/>
    <x v="1"/>
    <x v="1"/>
    <x v="13"/>
    <x v="1"/>
    <x v="21"/>
    <s v="PWEGPL"/>
    <s v="MSEDCL"/>
    <n v="2.5000000000000001E-2"/>
    <n v="205"/>
    <x v="312"/>
    <s v="Manual stop"/>
    <d v="1899-12-30T00:00:00"/>
    <d v="1899-12-30T00:00:00"/>
    <d v="1899-12-30T23:59:00"/>
    <n v="0"/>
    <n v="23.983333333333334"/>
    <n v="23.983333333333334"/>
    <s v="WIP"/>
    <s v="Open"/>
    <n v="0.59958333333333336"/>
    <s v="G04"/>
    <n v="7822.5638888888898"/>
    <s v="Material Shortage - Pitch Cylinder."/>
    <s v="WTG Unscheduled Maintenance"/>
    <n v="7828"/>
    <n v="7822.5638888888898"/>
    <m/>
    <m/>
    <m/>
    <m/>
  </r>
  <r>
    <n v="2391"/>
    <x v="407"/>
    <x v="1"/>
    <x v="1"/>
    <x v="13"/>
    <x v="1"/>
    <x v="33"/>
    <s v="PWEGPL"/>
    <s v="MSEDCL"/>
    <n v="2.5000000000000001E-2"/>
    <s v="CE100010"/>
    <x v="296"/>
    <s v="PM"/>
    <d v="1899-12-30T10:41:00"/>
    <d v="1899-12-30T10:41:00"/>
    <d v="1899-12-30T18:34:00"/>
    <n v="0"/>
    <n v="7.8833333333333329"/>
    <n v="7.8833333333333329"/>
    <s v="Half Yearly maintenance done."/>
    <s v="Close"/>
    <n v="0.19708333333333333"/>
    <s v="G22"/>
    <n v="1910.0659722222219"/>
    <s v="None"/>
    <s v="WTG Scheduled Maintenance"/>
    <n v="5815"/>
    <n v="1910.0659722222219"/>
    <m/>
    <m/>
    <m/>
    <m/>
  </r>
  <r>
    <n v="2392"/>
    <x v="407"/>
    <x v="1"/>
    <x v="1"/>
    <x v="13"/>
    <x v="1"/>
    <x v="12"/>
    <s v="PWEGPL"/>
    <s v="MSEDCL"/>
    <n v="2.5000000000000001E-2"/>
    <n v="402"/>
    <x v="300"/>
    <s v="Manual stop"/>
    <d v="1899-12-30T11:33:00"/>
    <d v="1899-12-30T11:33:00"/>
    <d v="1899-12-30T14:57:00"/>
    <n v="0"/>
    <n v="3.4"/>
    <n v="3.4"/>
    <s v="Gear oil top up and restored"/>
    <s v="Close"/>
    <n v="8.5000000000000006E-2"/>
    <s v="G29"/>
    <n v="963.33333333333326"/>
    <s v="None"/>
    <s v="WTG Unscheduled Maintenance"/>
    <n v="6800"/>
    <n v="963.33333333333326"/>
    <m/>
    <m/>
    <m/>
    <m/>
  </r>
  <r>
    <n v="2393"/>
    <x v="407"/>
    <x v="1"/>
    <x v="1"/>
    <x v="13"/>
    <x v="1"/>
    <x v="7"/>
    <s v="PWEGPL"/>
    <s v="MSEDCL"/>
    <n v="2.5000000000000001E-2"/>
    <n v="205"/>
    <x v="312"/>
    <s v="BD"/>
    <d v="1899-12-30T13:51:00"/>
    <d v="1899-12-30T15:23:00"/>
    <d v="1899-12-30T15:40:00"/>
    <n v="1.5333333333333332"/>
    <n v="0.28333333333333499"/>
    <n v="1.8166666666666682"/>
    <s v="10 liter Oil top up then restore the turbine."/>
    <s v="Close"/>
    <n v="4.5416666666666709E-2"/>
    <s v="G39"/>
    <n v="526.68194444444498"/>
    <s v="None"/>
    <s v="WTG Breakdown Maintenance"/>
    <n v="6958"/>
    <n v="526.68194444444498"/>
    <m/>
    <m/>
    <m/>
    <m/>
  </r>
  <r>
    <n v="2394"/>
    <x v="407"/>
    <x v="1"/>
    <x v="1"/>
    <x v="13"/>
    <x v="1"/>
    <x v="37"/>
    <s v="PWEGPL"/>
    <s v="MSEDCL"/>
    <n v="2.5000000000000001E-2"/>
    <n v="223"/>
    <x v="408"/>
    <s v="BD"/>
    <d v="1899-12-30T16:26:00"/>
    <d v="1899-12-30T16:49:00"/>
    <d v="1899-12-30T17:00:00"/>
    <n v="0.38333333333333197"/>
    <n v="0.18333333333333535"/>
    <n v="0.56666666666666732"/>
    <s v="Reboot and reset then start wtg."/>
    <s v="Close"/>
    <n v="1.4166666666666683E-2"/>
    <s v="G17"/>
    <n v="191.60416666666688"/>
    <s v="None"/>
    <s v="WTG Breakdown Maintenance"/>
    <n v="8115"/>
    <n v="191.60416666666688"/>
    <m/>
    <m/>
    <m/>
    <m/>
  </r>
  <r>
    <n v="2395"/>
    <x v="408"/>
    <x v="1"/>
    <x v="1"/>
    <x v="13"/>
    <x v="1"/>
    <x v="21"/>
    <s v="PWEGPL"/>
    <s v="MSEDCL"/>
    <n v="2.5000000000000001E-2"/>
    <n v="205"/>
    <x v="312"/>
    <s v="Manual stop"/>
    <d v="1899-12-30T00:00:00"/>
    <d v="1899-12-30T00:00:00"/>
    <d v="1899-12-30T23:59:00"/>
    <n v="0"/>
    <n v="23.983333333333334"/>
    <n v="23.983333333333334"/>
    <s v="WIP"/>
    <s v="Open"/>
    <n v="0.59958333333333336"/>
    <s v="G04"/>
    <n v="5121.4409722222226"/>
    <s v="Material Shortage - Pitch Cylinder."/>
    <s v="WTG Unscheduled Maintenance"/>
    <n v="5125"/>
    <n v="5121.4409722222226"/>
    <m/>
    <m/>
    <m/>
    <m/>
  </r>
  <r>
    <n v="2396"/>
    <x v="408"/>
    <x v="1"/>
    <x v="1"/>
    <x v="13"/>
    <x v="1"/>
    <x v="34"/>
    <s v="PWEGPL"/>
    <s v="MSEDCL"/>
    <n v="2.5000000000000001E-2"/>
    <s v="CE100010"/>
    <x v="296"/>
    <s v="PM"/>
    <d v="1899-12-30T10:52:00"/>
    <d v="1899-12-30T10:52:00"/>
    <d v="1899-12-30T18:03:00"/>
    <n v="0"/>
    <n v="7.1833333333333336"/>
    <n v="7.1833333333333336"/>
    <s v="Half Yearly maintenance done."/>
    <s v="Close"/>
    <n v="0.17958333333333334"/>
    <s v="G21"/>
    <n v="1327.7194444444447"/>
    <s v="None"/>
    <s v="WTG Scheduled Maintenance"/>
    <n v="4436"/>
    <n v="1327.7194444444447"/>
    <m/>
    <m/>
    <m/>
    <m/>
  </r>
  <r>
    <n v="2397"/>
    <x v="408"/>
    <x v="1"/>
    <x v="1"/>
    <x v="13"/>
    <x v="1"/>
    <x v="24"/>
    <s v="PWEGPL"/>
    <s v="MSEDCL"/>
    <n v="2.5000000000000001E-2"/>
    <n v="205"/>
    <x v="312"/>
    <s v="BD"/>
    <d v="1899-12-30T21:33:00"/>
    <d v="1899-12-30T22:01:00"/>
    <d v="1899-12-30T23:40:00"/>
    <n v="0.46666666666666501"/>
    <n v="1.6500000000000021"/>
    <n v="2.1166666666666671"/>
    <s v="10 liter Oil top up then restore the turbine."/>
    <s v="Close"/>
    <n v="5.2916666666666681E-2"/>
    <s v="G23"/>
    <n v="427.12569444444455"/>
    <s v="None"/>
    <s v="WTG Breakdown Maintenance"/>
    <n v="4843"/>
    <n v="427.12569444444455"/>
    <m/>
    <m/>
    <m/>
    <m/>
  </r>
  <r>
    <n v="2398"/>
    <x v="408"/>
    <x v="1"/>
    <x v="1"/>
    <x v="13"/>
    <x v="1"/>
    <x v="7"/>
    <s v="PWEGPL"/>
    <s v="MSEDCL"/>
    <n v="2.5000000000000001E-2"/>
    <n v="804"/>
    <x v="382"/>
    <s v="BD"/>
    <d v="1899-12-30T21:30:00"/>
    <d v="1899-12-30T23:59:00"/>
    <d v="1899-12-30T23:59:00"/>
    <n v="2.4833333333333325"/>
    <n v="0"/>
    <n v="2.4833333333333325"/>
    <s v="WIP"/>
    <s v="Open"/>
    <n v="6.2083333333333317E-2"/>
    <s v="G39"/>
    <n v="464.9006944444443"/>
    <s v="None"/>
    <s v="WTG Breakdown Maintenance"/>
    <n v="4493"/>
    <n v="464.9006944444443"/>
    <m/>
    <m/>
    <m/>
    <m/>
  </r>
  <r>
    <n v="2399"/>
    <x v="408"/>
    <x v="1"/>
    <x v="1"/>
    <x v="13"/>
    <x v="1"/>
    <x v="37"/>
    <s v="PWEGPL"/>
    <s v="MSEDCL"/>
    <n v="2.5000000000000001E-2"/>
    <n v="223"/>
    <x v="408"/>
    <s v="BD"/>
    <d v="1899-12-30T16:21:00"/>
    <d v="1899-12-30T17:30:00"/>
    <d v="1899-12-30T18:10:00"/>
    <n v="1.1499999999999986"/>
    <n v="0.66666666666666963"/>
    <n v="1.8166666666666682"/>
    <s v="Reboot and reset then start wtg."/>
    <s v="Close"/>
    <n v="4.5416666666666709E-2"/>
    <s v="G17"/>
    <n v="431.004166666667"/>
    <s v="None"/>
    <s v="WTG Breakdown Maintenance"/>
    <n v="5694"/>
    <n v="431.004166666667"/>
    <m/>
    <m/>
    <m/>
    <m/>
  </r>
  <r>
    <n v="2400"/>
    <x v="409"/>
    <x v="1"/>
    <x v="1"/>
    <x v="13"/>
    <x v="1"/>
    <x v="21"/>
    <s v="PWEGPL"/>
    <s v="MSEDCL"/>
    <n v="2.5000000000000001E-2"/>
    <n v="205"/>
    <x v="312"/>
    <s v="Manual stop"/>
    <d v="1899-12-30T00:00:00"/>
    <d v="1899-12-30T00:00:00"/>
    <d v="1899-12-30T23:59:00"/>
    <n v="0"/>
    <n v="23.983333333333334"/>
    <n v="23.983333333333334"/>
    <s v="WIP"/>
    <s v="Open"/>
    <n v="0.59958333333333336"/>
    <s v="G04"/>
    <n v="1888.6875"/>
    <s v="Material Shortage - Pitch Cylinder."/>
    <s v="WTG Unscheduled Maintenance"/>
    <n v="1890"/>
    <n v="1888.6875"/>
    <m/>
    <m/>
    <m/>
    <m/>
  </r>
  <r>
    <n v="2401"/>
    <x v="409"/>
    <x v="1"/>
    <x v="1"/>
    <x v="13"/>
    <x v="1"/>
    <x v="37"/>
    <s v="PWEGPL"/>
    <s v="MSEDCL"/>
    <n v="2.5000000000000001E-2"/>
    <n v="401"/>
    <x v="331"/>
    <s v="Manual stop"/>
    <d v="1899-12-30T10:21:00"/>
    <d v="1899-12-30T10:21:00"/>
    <d v="1899-12-30T11:48:00"/>
    <n v="0"/>
    <n v="1.4500000000000015"/>
    <n v="1.4500000000000015"/>
    <s v="Set gear box pressure switch then restore wtg."/>
    <s v="Close"/>
    <n v="3.6250000000000039E-2"/>
    <s v="G17"/>
    <n v="204.02708333333356"/>
    <s v="None"/>
    <s v="WTG Breakdown Maintenance"/>
    <n v="3377"/>
    <n v="204.02708333333356"/>
    <m/>
    <m/>
    <m/>
    <m/>
  </r>
  <r>
    <n v="2402"/>
    <x v="409"/>
    <x v="1"/>
    <x v="1"/>
    <x v="13"/>
    <x v="1"/>
    <x v="7"/>
    <s v="PWEGPL"/>
    <s v="MSEDCL"/>
    <n v="2.5000000000000001E-2"/>
    <n v="804"/>
    <x v="382"/>
    <s v="BD"/>
    <d v="1899-12-30T00:00:00"/>
    <d v="1899-12-30T00:00:00"/>
    <d v="1899-12-30T01:45:00"/>
    <n v="0"/>
    <n v="1.75"/>
    <n v="1.75"/>
    <s v="Check related circuit found relay failure so replace with new one the restore wtg."/>
    <s v="Close"/>
    <n v="4.3750000000000004E-2"/>
    <s v="G39"/>
    <n v="83.78125"/>
    <s v="None"/>
    <s v="WTG Breakdown Maintenance"/>
    <n v="1149"/>
    <n v="83.78125"/>
    <m/>
    <m/>
    <m/>
    <m/>
  </r>
  <r>
    <n v="2403"/>
    <x v="409"/>
    <x v="1"/>
    <x v="1"/>
    <x v="13"/>
    <x v="1"/>
    <x v="3"/>
    <s v="PWEGPL"/>
    <s v="MSEDCL"/>
    <n v="2.5000000000000001E-2"/>
    <n v="2118"/>
    <x v="293"/>
    <s v="BD"/>
    <d v="1899-12-30T14:45:00"/>
    <d v="1899-12-30T15:10:00"/>
    <d v="1899-12-30T15:30:00"/>
    <n v="0.41666666666666519"/>
    <n v="0.33333333333333481"/>
    <n v="0.75"/>
    <s v="Slipring clean then restore wtg."/>
    <s v="Close"/>
    <n v="1.8750000000000003E-2"/>
    <s v="G26"/>
    <n v="39.40625"/>
    <s v="None"/>
    <s v="WTG Breakdown Maintenance"/>
    <n v="1261"/>
    <n v="39.40625"/>
    <m/>
    <m/>
    <m/>
    <m/>
  </r>
  <r>
    <n v="2404"/>
    <x v="410"/>
    <x v="2"/>
    <x v="1"/>
    <x v="14"/>
    <x v="2"/>
    <x v="21"/>
    <s v="PWEGPL"/>
    <s v="MSEDCL"/>
    <n v="2.5000000000000001E-2"/>
    <n v="205"/>
    <x v="312"/>
    <s v="Manual stop"/>
    <d v="1899-12-30T00:00:00"/>
    <d v="1899-12-30T00:00:00"/>
    <d v="1899-12-30T23:59:00"/>
    <n v="0"/>
    <n v="23.983333333333334"/>
    <n v="23.983333333333334"/>
    <s v="WIP"/>
    <s v="Open"/>
    <n v="0.59958333333333336"/>
    <s v="G04"/>
    <n v="5977.8458333333338"/>
    <s v="Material Shortage - Pitch Cylinder."/>
    <s v="WTG Unscheduled Maintenance"/>
    <n v="5982"/>
    <n v="5977.8458333333338"/>
    <m/>
    <m/>
    <m/>
    <m/>
  </r>
  <r>
    <n v="2405"/>
    <x v="410"/>
    <x v="2"/>
    <x v="1"/>
    <x v="14"/>
    <x v="2"/>
    <x v="24"/>
    <s v="PWEGPL"/>
    <s v="MSEDCL"/>
    <n v="2.5000000000000001E-2"/>
    <s v="CE100010"/>
    <x v="296"/>
    <s v="PM"/>
    <d v="1899-12-30T10:30:00"/>
    <d v="1899-12-30T10:30:00"/>
    <d v="1899-12-30T18:20:00"/>
    <n v="0"/>
    <n v="7.8333333333333321"/>
    <n v="7.8333333333333321"/>
    <s v="Half Yearly maintenance done."/>
    <s v="Close"/>
    <n v="0.1958333333333333"/>
    <s v="G22"/>
    <n v="1576.458333333333"/>
    <s v="None"/>
    <s v="WTG Scheduled Maintenance"/>
    <n v="4830"/>
    <n v="1576.458333333333"/>
    <m/>
    <m/>
    <m/>
    <m/>
  </r>
  <r>
    <n v="2406"/>
    <x v="411"/>
    <x v="2"/>
    <x v="1"/>
    <x v="14"/>
    <x v="2"/>
    <x v="21"/>
    <s v="PWEGPL"/>
    <s v="MSEDCL"/>
    <n v="2.5000000000000001E-2"/>
    <n v="205"/>
    <x v="312"/>
    <s v="Manual stop"/>
    <d v="1899-12-30T00:00:00"/>
    <d v="1899-12-30T00:00:00"/>
    <d v="1899-12-30T23:59:00"/>
    <n v="0"/>
    <n v="23.983333333333334"/>
    <n v="23.983333333333334"/>
    <s v="WIP"/>
    <s v="Open"/>
    <n v="0.59958333333333336"/>
    <s v="G04"/>
    <n v="4101.1500000000005"/>
    <s v="Material Shortage - Pitch Cylinder."/>
    <s v="WTG Unscheduled Maintenance"/>
    <n v="4104"/>
    <n v="4101.1500000000005"/>
    <m/>
    <m/>
    <m/>
    <m/>
  </r>
  <r>
    <n v="2407"/>
    <x v="411"/>
    <x v="2"/>
    <x v="1"/>
    <x v="14"/>
    <x v="2"/>
    <x v="19"/>
    <s v="PWEGPL"/>
    <s v="MSEDCL"/>
    <n v="2.5000000000000001E-2"/>
    <n v="2102"/>
    <x v="320"/>
    <s v="BD"/>
    <d v="1899-12-30T00:14:00"/>
    <d v="1899-12-30T00:29:00"/>
    <d v="1899-12-30T02:39:00"/>
    <n v="0.25"/>
    <n v="2.1666666666666665"/>
    <n v="2.416666666666667"/>
    <s v="Check related circuit found RTD &amp; CAB module failure so replace with new one then restore wtg."/>
    <s v="Close"/>
    <n v="6.0416666666666674E-2"/>
    <s v="G19"/>
    <n v="484.13888888888897"/>
    <s v="None"/>
    <s v="WTG Breakdown Maintenance"/>
    <n v="4808"/>
    <n v="484.13888888888897"/>
    <m/>
    <m/>
    <m/>
    <m/>
  </r>
  <r>
    <n v="2408"/>
    <x v="411"/>
    <x v="2"/>
    <x v="1"/>
    <x v="14"/>
    <x v="2"/>
    <x v="39"/>
    <s v="PWEGPL"/>
    <s v="MSEDCL"/>
    <n v="2.5000000000000001E-2"/>
    <s v="CE100010"/>
    <x v="296"/>
    <s v="PM"/>
    <d v="1899-12-30T09:54:00"/>
    <d v="1899-12-30T09:54:00"/>
    <d v="1899-12-30T18:12:00"/>
    <n v="0"/>
    <n v="8.2999999999999989"/>
    <n v="8.2999999999999989"/>
    <s v="Half Yearly maintenance done."/>
    <s v="Close"/>
    <n v="0.20749999999999999"/>
    <s v="G16"/>
    <n v="1523.0499999999997"/>
    <s v="None"/>
    <s v="WTG Scheduled Maintenance"/>
    <n v="4404"/>
    <n v="1523.0499999999997"/>
    <m/>
    <m/>
    <m/>
    <m/>
  </r>
  <r>
    <n v="2409"/>
    <x v="412"/>
    <x v="2"/>
    <x v="1"/>
    <x v="14"/>
    <x v="2"/>
    <x v="21"/>
    <s v="PWEGPL"/>
    <s v="MSEDCL"/>
    <n v="2.5000000000000001E-2"/>
    <n v="205"/>
    <x v="312"/>
    <s v="Manual stop"/>
    <d v="1899-12-30T00:00:00"/>
    <d v="1899-12-30T00:00:00"/>
    <d v="1899-12-30T23:59:00"/>
    <n v="0"/>
    <n v="23.983333333333334"/>
    <n v="23.983333333333334"/>
    <s v="WIP"/>
    <s v="Open"/>
    <n v="0.59958333333333336"/>
    <s v="G04"/>
    <n v="7330.905555555556"/>
    <s v="Material Shortage - Pitch Cylinder."/>
    <s v="WTG Unscheduled Maintenance"/>
    <n v="7336"/>
    <n v="7330.905555555556"/>
    <m/>
    <m/>
    <m/>
    <m/>
  </r>
  <r>
    <n v="2410"/>
    <x v="412"/>
    <x v="2"/>
    <x v="1"/>
    <x v="14"/>
    <x v="2"/>
    <x v="37"/>
    <s v="PWEGPL"/>
    <s v="MSEDCL"/>
    <n v="2.5000000000000001E-2"/>
    <s v="CE100010"/>
    <x v="296"/>
    <s v="PM"/>
    <d v="1899-12-30T09:48:00"/>
    <d v="1899-12-30T09:48:00"/>
    <d v="1899-12-30T17:15:00"/>
    <n v="0"/>
    <n v="7.4499999999999993"/>
    <n v="7.4499999999999993"/>
    <s v="Half Yearly maintenance done."/>
    <s v="Close"/>
    <n v="0.18625"/>
    <s v="G17"/>
    <n v="2161.7416666666668"/>
    <s v="None"/>
    <s v="WTG Scheduled Maintenance"/>
    <n v="6964"/>
    <n v="2161.7416666666668"/>
    <m/>
    <m/>
    <m/>
    <m/>
  </r>
  <r>
    <n v="2411"/>
    <x v="412"/>
    <x v="2"/>
    <x v="1"/>
    <x v="14"/>
    <x v="2"/>
    <x v="7"/>
    <s v="PWEGPL"/>
    <s v="MSEDCL"/>
    <n v="2.5000000000000001E-2"/>
    <n v="205"/>
    <x v="312"/>
    <s v="Manual stop"/>
    <d v="1899-12-30T11:38:00"/>
    <d v="1899-12-30T11:38:00"/>
    <d v="1899-12-30T16:54:00"/>
    <n v="0"/>
    <n v="5.2666666666666657"/>
    <n v="5.2666666666666657"/>
    <s v="Blade C pitch seal replaced and restored"/>
    <s v="Close"/>
    <n v="0.13166666666666665"/>
    <s v="G39"/>
    <n v="1347.3888888888887"/>
    <s v="None"/>
    <s v="WTG Unscheduled Maintenance"/>
    <n v="6140"/>
    <n v="1347.3888888888887"/>
    <m/>
    <m/>
    <m/>
    <m/>
  </r>
  <r>
    <n v="2412"/>
    <x v="413"/>
    <x v="2"/>
    <x v="1"/>
    <x v="14"/>
    <x v="2"/>
    <x v="21"/>
    <s v="PWEGPL"/>
    <s v="MSEDCL"/>
    <n v="2.5000000000000001E-2"/>
    <n v="205"/>
    <x v="312"/>
    <s v="Manual stop"/>
    <d v="1899-12-30T00:00:00"/>
    <d v="1899-12-30T00:00:00"/>
    <d v="1899-12-30T19:38:00"/>
    <n v="0"/>
    <n v="19.633333333333333"/>
    <n v="19.633333333333333"/>
    <s v="Blade B pitch cylender replaced then restore wtg."/>
    <s v="Close"/>
    <n v="0.49083333333333334"/>
    <s v="G04"/>
    <n v="7216.8861111111109"/>
    <s v="None"/>
    <s v="WTG Unscheduled Maintenance"/>
    <n v="8822"/>
    <n v="7216.8861111111109"/>
    <m/>
    <m/>
    <m/>
    <m/>
  </r>
  <r>
    <n v="2413"/>
    <x v="413"/>
    <x v="2"/>
    <x v="1"/>
    <x v="14"/>
    <x v="2"/>
    <x v="38"/>
    <s v="PWEGPL"/>
    <s v="MSEDCL"/>
    <n v="2.5000000000000001E-2"/>
    <s v="CE100010"/>
    <x v="296"/>
    <s v="PM"/>
    <d v="1899-12-30T10:20:00"/>
    <d v="1899-12-30T10:20:00"/>
    <d v="1899-12-30T17:49:00"/>
    <n v="0"/>
    <n v="7.4833333333333334"/>
    <n v="7.4833333333333334"/>
    <s v="Half Yearly maintenance done."/>
    <s v="Close"/>
    <n v="0.18708333333333335"/>
    <s v="G19"/>
    <n v="2913.5111111111109"/>
    <s v="None"/>
    <s v="WTG Scheduled Maintenance"/>
    <n v="9344"/>
    <n v="2913.5111111111109"/>
    <m/>
    <m/>
    <m/>
    <m/>
  </r>
  <r>
    <n v="2414"/>
    <x v="413"/>
    <x v="2"/>
    <x v="1"/>
    <x v="14"/>
    <x v="2"/>
    <x v="4"/>
    <s v="PWEGPL"/>
    <s v="MSEDCL"/>
    <n v="2.5000000000000001E-2"/>
    <n v="5238"/>
    <x v="349"/>
    <s v="BD"/>
    <d v="1899-12-30T12:15:00"/>
    <d v="1899-12-30T12:50:00"/>
    <d v="1899-12-30T15:00:00"/>
    <n v="0.58333333333333393"/>
    <n v="2.166666666666667"/>
    <n v="2.7500000000000009"/>
    <s v="Check related circuit found 2diode failure so replace with new one then restore wtg."/>
    <s v="Close"/>
    <n v="6.8750000000000019E-2"/>
    <s v="G36"/>
    <n v="1252.854166666667"/>
    <s v="None"/>
    <s v="WTG Breakdown Maintenance"/>
    <n v="10934"/>
    <n v="1252.854166666667"/>
    <m/>
    <m/>
    <m/>
    <m/>
  </r>
  <r>
    <n v="2415"/>
    <x v="413"/>
    <x v="2"/>
    <x v="1"/>
    <x v="14"/>
    <x v="2"/>
    <x v="25"/>
    <s v="PWEGPL"/>
    <s v="MSEDCL"/>
    <n v="2.5000000000000001E-2"/>
    <n v="205"/>
    <x v="312"/>
    <s v="BD"/>
    <d v="1899-12-30T16:54:00"/>
    <d v="1899-12-30T17:45:00"/>
    <d v="1899-12-30T18:02:00"/>
    <n v="0.85000000000000231"/>
    <n v="0.28333333333333499"/>
    <n v="1.1333333333333373"/>
    <s v="10 liter Oil top up then restore the turbine."/>
    <s v="Close"/>
    <n v="2.8333333333333433E-2"/>
    <s v="G03"/>
    <n v="268.1277777777787"/>
    <s v="None"/>
    <s v="WTG Breakdown Maintenance"/>
    <n v="5678"/>
    <n v="268.1277777777787"/>
    <m/>
    <m/>
    <m/>
    <m/>
  </r>
  <r>
    <n v="2416"/>
    <x v="414"/>
    <x v="2"/>
    <x v="1"/>
    <x v="14"/>
    <x v="2"/>
    <x v="18"/>
    <s v="PWEGPL"/>
    <s v="MSEDCL"/>
    <n v="2.5000000000000001E-2"/>
    <s v="CE100010"/>
    <x v="296"/>
    <s v="PM"/>
    <d v="1899-12-30T10:23:00"/>
    <d v="1899-12-30T10:23:00"/>
    <d v="1899-12-30T17:59:00"/>
    <n v="0"/>
    <n v="7.6000000000000014"/>
    <n v="7.6000000000000014"/>
    <s v="Half Yearly maintenance done."/>
    <s v="Close"/>
    <n v="0.19000000000000006"/>
    <s v="G18"/>
    <n v="2460.5000000000005"/>
    <s v="None"/>
    <s v="WTG Scheduled Maintenance"/>
    <n v="7770"/>
    <n v="2460.5000000000005"/>
    <m/>
    <m/>
    <m/>
    <m/>
  </r>
  <r>
    <n v="2417"/>
    <x v="414"/>
    <x v="2"/>
    <x v="1"/>
    <x v="14"/>
    <x v="2"/>
    <x v="31"/>
    <s v="PWEGPL"/>
    <s v="MSEDCL"/>
    <n v="2.5000000000000001E-2"/>
    <n v="5228"/>
    <x v="346"/>
    <s v="BD"/>
    <d v="1899-12-30T13:46:00"/>
    <d v="1899-12-30T14:05:00"/>
    <d v="1899-12-30T15:29:00"/>
    <n v="0.31666666666666554"/>
    <n v="1.3999999999999977"/>
    <n v="1.7166666666666632"/>
    <s v="Check releted circuit found contactor failure so replace with new one the restore wtg."/>
    <s v="Close"/>
    <n v="4.2916666666666582E-2"/>
    <s v="G12"/>
    <n v="427.16388888888804"/>
    <s v="None"/>
    <s v="WTG Breakdown Maintenance"/>
    <n v="5972"/>
    <n v="427.16388888888804"/>
    <m/>
    <m/>
    <m/>
    <m/>
  </r>
  <r>
    <n v="2418"/>
    <x v="415"/>
    <x v="2"/>
    <x v="1"/>
    <x v="14"/>
    <x v="2"/>
    <x v="19"/>
    <s v="PWEGPL"/>
    <s v="MSEDCL"/>
    <n v="2.5000000000000001E-2"/>
    <s v="CE100010"/>
    <x v="296"/>
    <s v="PM"/>
    <d v="1899-12-30T06:15:00"/>
    <d v="1899-12-30T06:15:00"/>
    <d v="1899-12-30T13:51:00"/>
    <n v="0"/>
    <n v="7.5999999999999979"/>
    <n v="7.5999999999999979"/>
    <s v="Half Yearly maintenance done."/>
    <s v="Close"/>
    <n v="0.18999999999999995"/>
    <s v="G19"/>
    <n v="3294.599999999999"/>
    <s v="None"/>
    <s v="WTG Scheduled Maintenance"/>
    <n v="10404"/>
    <n v="3294.599999999999"/>
    <m/>
    <m/>
    <m/>
    <m/>
  </r>
  <r>
    <n v="2419"/>
    <x v="415"/>
    <x v="2"/>
    <x v="1"/>
    <x v="14"/>
    <x v="2"/>
    <x v="32"/>
    <s v="PWEGPL"/>
    <s v="MSEDCL"/>
    <n v="2.5000000000000001E-2"/>
    <n v="5263"/>
    <x v="311"/>
    <s v="BD"/>
    <d v="1899-12-30T12:15:00"/>
    <d v="1899-12-30T12:42:00"/>
    <d v="1899-12-30T13:30:00"/>
    <n v="0.45000000000000107"/>
    <n v="0.79999999999999982"/>
    <n v="1.2500000000000009"/>
    <s v="slip ring clean then restore wtg."/>
    <s v="Close"/>
    <n v="3.1250000000000021E-2"/>
    <s v="G15"/>
    <n v="340.72916666666691"/>
    <s v="None"/>
    <s v="WTG Breakdown Maintenance"/>
    <n v="6542"/>
    <n v="340.72916666666691"/>
    <m/>
    <m/>
    <m/>
    <m/>
  </r>
  <r>
    <n v="2420"/>
    <x v="415"/>
    <x v="2"/>
    <x v="1"/>
    <x v="14"/>
    <x v="2"/>
    <x v="17"/>
    <s v="PWEGPL"/>
    <s v="MSEDCL"/>
    <n v="2.5000000000000001E-2"/>
    <n v="205"/>
    <x v="312"/>
    <s v="BD"/>
    <d v="1899-12-30T22:13:00"/>
    <d v="1899-12-30T23:18:00"/>
    <d v="1899-12-30T23:57:00"/>
    <n v="1.0833333333333348"/>
    <n v="0.65000000000000036"/>
    <n v="1.7333333333333352"/>
    <s v="15 liter hu oil top-up then restore wtg."/>
    <s v="Close"/>
    <n v="4.3333333333333383E-2"/>
    <s v="G09"/>
    <n v="538.05555555555611"/>
    <s v="None"/>
    <s v="WTG Breakdown Maintenance"/>
    <n v="7450"/>
    <n v="538.05555555555611"/>
    <m/>
    <m/>
    <m/>
    <m/>
  </r>
  <r>
    <n v="2421"/>
    <x v="416"/>
    <x v="2"/>
    <x v="1"/>
    <x v="14"/>
    <x v="2"/>
    <x v="17"/>
    <s v="PWEGPL"/>
    <s v="MSEDCL"/>
    <n v="2.5000000000000001E-2"/>
    <n v="103"/>
    <x v="307"/>
    <s v="BD"/>
    <d v="1899-12-30T17:07:00"/>
    <d v="1899-12-30T17:41:00"/>
    <d v="1899-12-30T17:46:00"/>
    <n v="0.56666666666666732"/>
    <n v="8.3333333333330373E-2"/>
    <n v="0.64999999999999769"/>
    <s v="Reset and restored "/>
    <s v="Close"/>
    <n v="1.6249999999999942E-2"/>
    <s v="G10"/>
    <n v="101.34583333333296"/>
    <s v="None"/>
    <s v="WTG Breakdown Maintenance"/>
    <n v="3742"/>
    <n v="101.34583333333296"/>
    <m/>
    <m/>
    <m/>
    <m/>
  </r>
  <r>
    <n v="2422"/>
    <x v="416"/>
    <x v="2"/>
    <x v="1"/>
    <x v="14"/>
    <x v="2"/>
    <x v="27"/>
    <s v="PWEGPL"/>
    <s v="MSEDCL"/>
    <n v="2.5000000000000001E-2"/>
    <n v="5263"/>
    <x v="311"/>
    <s v="BD"/>
    <d v="1899-12-30T13:42:00"/>
    <d v="1899-12-30T13:42:00"/>
    <d v="1899-12-30T13:47:00"/>
    <n v="0"/>
    <n v="8.3333333333333037E-2"/>
    <n v="8.3333333333333037E-2"/>
    <s v="Reset and restored "/>
    <s v="Close"/>
    <n v="2.0833333333333259E-3"/>
    <s v="G12"/>
    <n v="14.173611111111061"/>
    <s v="None"/>
    <s v="WTG Breakdown Maintenance"/>
    <n v="4082"/>
    <n v="14.173611111111061"/>
    <m/>
    <m/>
    <m/>
    <m/>
  </r>
  <r>
    <n v="2423"/>
    <x v="417"/>
    <x v="2"/>
    <x v="1"/>
    <x v="14"/>
    <x v="2"/>
    <x v="32"/>
    <s v="PWEGPL"/>
    <s v="MSEDCL"/>
    <n v="2.5000000000000001E-2"/>
    <s v="CE100010"/>
    <x v="296"/>
    <s v="PM"/>
    <d v="1899-12-30T10:26:00"/>
    <d v="1899-12-30T10:26:00"/>
    <d v="1899-12-30T17:42:00"/>
    <n v="0"/>
    <n v="7.2666666666666648"/>
    <n v="7.2666666666666648"/>
    <s v="Half Yearly maintenance done."/>
    <s v="Close"/>
    <n v="0.18166666666666664"/>
    <s v="G13"/>
    <n v="2298.0833333333326"/>
    <s v="None"/>
    <s v="WTG Scheduled Maintenance"/>
    <n v="7590"/>
    <n v="2298.0833333333326"/>
    <m/>
    <m/>
    <m/>
    <m/>
  </r>
  <r>
    <n v="2424"/>
    <x v="417"/>
    <x v="2"/>
    <x v="1"/>
    <x v="14"/>
    <x v="2"/>
    <x v="30"/>
    <s v="PWEGPL"/>
    <s v="MSEDCL"/>
    <n v="2.5000000000000001E-2"/>
    <n v="5212"/>
    <x v="319"/>
    <s v="BD"/>
    <d v="1899-12-30T07:20:00"/>
    <d v="1899-12-30T08:50:00"/>
    <d v="1899-12-30T09:29:00"/>
    <n v="1.5000000000000013"/>
    <n v="0.64999999999999902"/>
    <n v="2.1500000000000004"/>
    <s v="Check releted circuit found contactor failure so replace with new one the restore wtg."/>
    <s v="Close"/>
    <n v="5.3750000000000013E-2"/>
    <s v="G09"/>
    <n v="390.94166666666678"/>
    <s v="None"/>
    <s v="WTG Breakdown Maintenance"/>
    <n v="4364"/>
    <n v="390.94166666666678"/>
    <m/>
    <m/>
    <m/>
    <m/>
  </r>
  <r>
    <n v="2425"/>
    <x v="417"/>
    <x v="2"/>
    <x v="1"/>
    <x v="14"/>
    <x v="2"/>
    <x v="23"/>
    <s v="PWEGPL"/>
    <s v="MSEDCL"/>
    <n v="2.5000000000000001E-2"/>
    <n v="5263"/>
    <x v="311"/>
    <s v="BD"/>
    <d v="1899-12-30T11:05:00"/>
    <d v="1899-12-30T11:30:00"/>
    <d v="1899-12-30T12:01:00"/>
    <n v="0.41666666666666652"/>
    <n v="0.51666666666666616"/>
    <n v="0.93333333333333268"/>
    <s v="slip ring clean then restore wtg."/>
    <s v="Close"/>
    <n v="2.3333333333333317E-2"/>
    <s v="G03"/>
    <n v="270.35555555555538"/>
    <s v="None"/>
    <s v="WTG Breakdown Maintenance"/>
    <n v="6952"/>
    <n v="270.35555555555538"/>
    <m/>
    <m/>
    <m/>
    <m/>
  </r>
  <r>
    <n v="2426"/>
    <x v="417"/>
    <x v="2"/>
    <x v="1"/>
    <x v="14"/>
    <x v="2"/>
    <x v="20"/>
    <s v="PWEGPL"/>
    <s v="MSEDCL"/>
    <n v="2.5000000000000001E-2"/>
    <n v="5263"/>
    <x v="311"/>
    <s v="BD"/>
    <d v="1899-12-30T04:10:00"/>
    <d v="1899-12-30T04:54:00"/>
    <d v="1899-12-30T05:20:00"/>
    <n v="0.73333333333333339"/>
    <n v="0.43333333333333246"/>
    <n v="1.1666666666666659"/>
    <s v="slip ring clean then restore wtg."/>
    <s v="Close"/>
    <n v="2.9166666666666646E-2"/>
    <s v="G07"/>
    <n v="449.74999999999966"/>
    <s v="None"/>
    <s v="WTG Breakdown Maintenance"/>
    <n v="9252"/>
    <n v="449.74999999999966"/>
    <m/>
    <m/>
    <m/>
    <m/>
  </r>
  <r>
    <n v="2427"/>
    <x v="417"/>
    <x v="2"/>
    <x v="1"/>
    <x v="14"/>
    <x v="2"/>
    <x v="21"/>
    <s v="PWEGPL"/>
    <s v="MSEDCL"/>
    <n v="2.5000000000000001E-2"/>
    <n v="205"/>
    <x v="312"/>
    <s v="BD"/>
    <d v="1899-12-30T15:10:00"/>
    <d v="1899-12-30T16:15:00"/>
    <d v="1899-12-30T16:50:00"/>
    <n v="1.0833333333333348"/>
    <n v="0.58333333333333126"/>
    <n v="1.6666666666666661"/>
    <s v="10 liter Oil top up then restore the turbine."/>
    <s v="Close"/>
    <n v="4.1666666666666657E-2"/>
    <s v="G04"/>
    <n v="135.41666666666663"/>
    <s v="None"/>
    <s v="WTG Breakdown Maintenance"/>
    <n v="1950"/>
    <n v="135.41666666666663"/>
    <m/>
    <m/>
    <m/>
    <m/>
  </r>
  <r>
    <n v="2428"/>
    <x v="417"/>
    <x v="2"/>
    <x v="1"/>
    <x v="14"/>
    <x v="2"/>
    <x v="37"/>
    <s v="PWEGPL"/>
    <s v="MSEDCL"/>
    <n v="2.5000000000000001E-2"/>
    <n v="421"/>
    <x v="364"/>
    <s v="Manual stop"/>
    <d v="1899-12-30T11:35:00"/>
    <d v="1899-12-30T11:35:00"/>
    <d v="1899-12-30T12:28:00"/>
    <n v="0"/>
    <n v="0.88333333333333419"/>
    <n v="0.88333333333333419"/>
    <s v="Check releted circuit found contactor failure so replace with new one the restore wtg."/>
    <s v="Close"/>
    <n v="2.2083333333333358E-2"/>
    <s v="G17"/>
    <n v="285.90555555555585"/>
    <s v="None"/>
    <s v="WTG Breakdown Maintenance"/>
    <n v="7768"/>
    <n v="285.90555555555585"/>
    <m/>
    <m/>
    <m/>
    <m/>
  </r>
  <r>
    <n v="2429"/>
    <x v="417"/>
    <x v="2"/>
    <x v="1"/>
    <x v="14"/>
    <x v="2"/>
    <x v="8"/>
    <s v="PWEGPL"/>
    <s v="MSEDCL"/>
    <n v="2.5000000000000001E-2"/>
    <s v="CE100018"/>
    <x v="406"/>
    <s v="BD"/>
    <d v="1899-12-30T05:01:00"/>
    <d v="1899-12-30T05:01:00"/>
    <d v="1899-12-30T10:54:00"/>
    <n v="0"/>
    <n v="5.8833333333333329"/>
    <n v="5.8833333333333329"/>
    <s v="Sf-6 breaker Charged then restore"/>
    <s v="Close"/>
    <n v="0.14708333333333332"/>
    <s v="G25"/>
    <n v="373.10138888888883"/>
    <s v="None"/>
    <s v="WTG Breakdown Maintenance"/>
    <n v="1522"/>
    <n v="373.10138888888883"/>
    <m/>
    <m/>
    <m/>
    <m/>
  </r>
  <r>
    <n v="2430"/>
    <x v="417"/>
    <x v="2"/>
    <x v="1"/>
    <x v="14"/>
    <x v="2"/>
    <x v="10"/>
    <s v="PWEGPL"/>
    <s v="MSEDCL"/>
    <n v="2.5000000000000001E-2"/>
    <n v="700"/>
    <x v="329"/>
    <s v="BD"/>
    <d v="1899-12-30T05:01:00"/>
    <d v="1899-12-30T06:10:00"/>
    <d v="1899-12-30T10:35:00"/>
    <n v="1.1500000000000006"/>
    <n v="4.416666666666667"/>
    <n v="5.5666666666666673"/>
    <s v="Found MCB tripped so restore MCB then start wtg."/>
    <s v="Close"/>
    <n v="0.13916666666666669"/>
    <s v="G28"/>
    <n v="366.00833333333338"/>
    <s v="None"/>
    <s v="WTG Breakdown Maintenance"/>
    <n v="1578"/>
    <n v="366.00833333333338"/>
    <m/>
    <m/>
    <m/>
    <m/>
  </r>
  <r>
    <n v="2431"/>
    <x v="418"/>
    <x v="2"/>
    <x v="1"/>
    <x v="14"/>
    <x v="2"/>
    <x v="31"/>
    <s v="PWEGPL"/>
    <s v="MSEDCL"/>
    <n v="2.5000000000000001E-2"/>
    <s v="CE100010"/>
    <x v="296"/>
    <s v="PM"/>
    <d v="1899-12-30T09:53:00"/>
    <d v="1899-12-30T09:53:00"/>
    <d v="1899-12-30T19:36:00"/>
    <n v="0"/>
    <n v="9.7166666666666686"/>
    <n v="9.7166666666666686"/>
    <s v="Half Yearly maintenance done."/>
    <s v="Close"/>
    <n v="0.24291666666666673"/>
    <s v="G12"/>
    <n v="2170.0555555555561"/>
    <s v="None"/>
    <s v="WTG Scheduled Maintenance"/>
    <n v="5360"/>
    <n v="2170.0555555555561"/>
    <m/>
    <m/>
    <m/>
    <m/>
  </r>
  <r>
    <n v="2432"/>
    <x v="418"/>
    <x v="2"/>
    <x v="1"/>
    <x v="14"/>
    <x v="2"/>
    <x v="0"/>
    <s v="PWEGPL"/>
    <s v="MSEDCL"/>
    <n v="2.5000000000000001E-2"/>
    <s v="CE100018"/>
    <x v="406"/>
    <s v="BD"/>
    <d v="1899-12-30T01:30:00"/>
    <d v="1899-12-30T01:30:00"/>
    <d v="1899-12-30T12:39:00"/>
    <n v="0"/>
    <n v="11.15"/>
    <n v="11.15"/>
    <s v="B phase Tee- plug failure so replace with new one then restore wtg"/>
    <s v="Close"/>
    <n v="0.27875"/>
    <s v="G16"/>
    <n v="2366.5875000000001"/>
    <s v="None"/>
    <s v="WTG Breakdown Maintenance"/>
    <n v="5094"/>
    <n v="2366.5875000000001"/>
    <m/>
    <m/>
    <m/>
    <m/>
  </r>
  <r>
    <n v="2433"/>
    <x v="418"/>
    <x v="2"/>
    <x v="1"/>
    <x v="14"/>
    <x v="2"/>
    <x v="15"/>
    <s v="PWEGPL"/>
    <s v="MSEDCL"/>
    <n v="2.5000000000000001E-2"/>
    <n v="800"/>
    <x v="298"/>
    <s v="BD"/>
    <d v="1899-12-30T21:37:00"/>
    <d v="1899-12-30T22:27:00"/>
    <d v="1899-12-30T23:01:00"/>
    <n v="0.83333333333333304"/>
    <n v="0.56666666666666465"/>
    <n v="1.3999999999999977"/>
    <s v="Found Solenoid valve cable loose so correct it then restore it."/>
    <s v="Close"/>
    <n v="3.4999999999999941E-2"/>
    <s v="G34"/>
    <n v="164.15000000000003"/>
    <s v="None"/>
    <s v="WTG Breakdown Maintenance"/>
    <n v="2814"/>
    <n v="164.14999999999972"/>
    <m/>
    <m/>
    <m/>
    <m/>
  </r>
  <r>
    <n v="2434"/>
    <x v="419"/>
    <x v="2"/>
    <x v="1"/>
    <x v="14"/>
    <x v="2"/>
    <x v="30"/>
    <s v="PWEGPL"/>
    <s v="MSEDCL"/>
    <n v="2.5000000000000001E-2"/>
    <s v="CE100010"/>
    <x v="296"/>
    <s v="PM"/>
    <d v="1899-12-30T10:16:00"/>
    <d v="1899-12-30T10:16:00"/>
    <d v="1899-12-30T17:50:00"/>
    <n v="0"/>
    <n v="7.5666666666666638"/>
    <n v="7.5666666666666638"/>
    <s v="Half Yearly maintenance done."/>
    <s v="Close"/>
    <n v="0.18916666666666659"/>
    <s v="G13"/>
    <n v="1668.4499999999994"/>
    <s v="None"/>
    <s v="WTG Scheduled Maintenance"/>
    <n v="5292"/>
    <n v="1668.4499999999994"/>
    <m/>
    <m/>
    <m/>
    <m/>
  </r>
  <r>
    <n v="2435"/>
    <x v="419"/>
    <x v="2"/>
    <x v="1"/>
    <x v="14"/>
    <x v="2"/>
    <x v="20"/>
    <s v="PWEGPL"/>
    <s v="MSEDCL"/>
    <n v="2.5000000000000001E-2"/>
    <n v="118"/>
    <x v="313"/>
    <s v="Manual stop"/>
    <d v="1899-12-30T11:41:00"/>
    <d v="1899-12-30T11:41:00"/>
    <d v="1899-12-30T17:13:00"/>
    <n v="0"/>
    <n v="5.5333333333333314"/>
    <n v="5.5333333333333314"/>
    <s v="Manual stop for failure yaw drive replacement work"/>
    <s v="Close"/>
    <n v="0.13833333333333328"/>
    <s v="G07"/>
    <n v="914.38333333333298"/>
    <s v="None"/>
    <s v="WTG Unscheduled Maintenance"/>
    <n v="3966"/>
    <n v="914.38333333333298"/>
    <m/>
    <m/>
    <m/>
    <m/>
  </r>
  <r>
    <n v="2436"/>
    <x v="420"/>
    <x v="2"/>
    <x v="1"/>
    <x v="14"/>
    <x v="2"/>
    <x v="27"/>
    <s v="PWEGPL"/>
    <s v="MSEDCL"/>
    <n v="2.5000000000000001E-2"/>
    <s v="CE100010"/>
    <x v="296"/>
    <s v="PM"/>
    <d v="1899-12-30T11:09:00"/>
    <d v="1899-12-30T11:09:00"/>
    <d v="1899-12-30T18:11:00"/>
    <n v="0"/>
    <n v="7.0333333333333323"/>
    <n v="7.0333333333333323"/>
    <s v="Half Yearly maintenance done."/>
    <s v="Close"/>
    <n v="0.17583333333333331"/>
    <s v="G12"/>
    <n v="4210.0361111111106"/>
    <s v="None"/>
    <s v="WTG Scheduled Maintenance"/>
    <n v="14366"/>
    <n v="4210.0361111111106"/>
    <m/>
    <m/>
    <m/>
    <m/>
  </r>
  <r>
    <n v="2437"/>
    <x v="420"/>
    <x v="2"/>
    <x v="1"/>
    <x v="14"/>
    <x v="2"/>
    <x v="12"/>
    <s v="PWEGPL"/>
    <s v="MSEDCL"/>
    <n v="2.5000000000000001E-2"/>
    <n v="402"/>
    <x v="300"/>
    <s v="BD"/>
    <d v="1899-12-30T03:29:00"/>
    <d v="1899-12-30T03:29:00"/>
    <d v="1899-12-30T04:09:00"/>
    <n v="0"/>
    <n v="0.66666666666666696"/>
    <n v="0.66666666666666696"/>
    <s v="Gear box hose found leakage then replaced new hose and restored"/>
    <s v="Close"/>
    <n v="1.6666666666666673E-2"/>
    <s v="G30"/>
    <n v="325.88888888888903"/>
    <s v="None"/>
    <s v="WTG Breakdown Maintenance"/>
    <n v="11732"/>
    <n v="325.88888888888903"/>
    <m/>
    <m/>
    <m/>
    <m/>
  </r>
  <r>
    <n v="2438"/>
    <x v="420"/>
    <x v="2"/>
    <x v="1"/>
    <x v="14"/>
    <x v="2"/>
    <x v="23"/>
    <s v="PWEGPL"/>
    <s v="MSEDCL"/>
    <n v="2.5000000000000001E-2"/>
    <n v="205"/>
    <x v="312"/>
    <s v="BD"/>
    <d v="1899-12-30T06:53:00"/>
    <d v="1899-12-30T07:38:00"/>
    <d v="1899-12-30T14:35:00"/>
    <n v="0.75"/>
    <n v="6.950000000000002"/>
    <n v="7.700000000000002"/>
    <s v="Hydraulic oil top up and then checked but same error triggered then checked sensor and wiring found sensor malfuctioning then corrected and restored"/>
    <s v="Close"/>
    <n v="0.19250000000000006"/>
    <s v="G03"/>
    <n v="2459.5083333333341"/>
    <s v="None"/>
    <s v="WTG Breakdown Maintenance"/>
    <n v="7666"/>
    <n v="2459.5083333333341"/>
    <m/>
    <m/>
    <m/>
    <m/>
  </r>
  <r>
    <n v="2439"/>
    <x v="421"/>
    <x v="2"/>
    <x v="1"/>
    <x v="14"/>
    <x v="2"/>
    <x v="17"/>
    <s v="PWEGPL"/>
    <s v="MSEDCL"/>
    <n v="2.5000000000000001E-2"/>
    <s v="CE100010"/>
    <x v="296"/>
    <s v="PM"/>
    <d v="1899-12-30T10:42:00"/>
    <d v="1899-12-30T10:42:00"/>
    <d v="1899-12-30T17:42:00"/>
    <n v="0"/>
    <n v="6.9999999999999991"/>
    <n v="6.9999999999999991"/>
    <s v="Half Yearly maintenance done."/>
    <s v="Close"/>
    <n v="0.17499999999999999"/>
    <s v="G03"/>
    <n v="3468.4999999999995"/>
    <s v="None"/>
    <s v="WTG Scheduled Maintenance"/>
    <n v="11892"/>
    <n v="3468.4999999999995"/>
    <m/>
    <m/>
    <m/>
    <m/>
  </r>
  <r>
    <n v="2440"/>
    <x v="421"/>
    <x v="2"/>
    <x v="1"/>
    <x v="14"/>
    <x v="2"/>
    <x v="20"/>
    <s v="PWEGPL"/>
    <s v="MSEDCL"/>
    <n v="2.5000000000000001E-2"/>
    <n v="118"/>
    <x v="313"/>
    <s v="Manual stop"/>
    <d v="1899-12-30T13:06:00"/>
    <d v="1899-12-30T13:06:00"/>
    <d v="1899-12-30T18:25:00"/>
    <n v="0"/>
    <n v="5.3166666666666691"/>
    <n v="5.3166666666666691"/>
    <s v="Manual stop for new yaw drive fixing work."/>
    <s v="Close"/>
    <n v="0.13291666666666674"/>
    <s v="G07"/>
    <n v="2767.3250000000012"/>
    <s v="None"/>
    <s v="WTG Unscheduled Maintenance"/>
    <n v="12492"/>
    <n v="2767.3250000000012"/>
    <m/>
    <m/>
    <m/>
    <m/>
  </r>
  <r>
    <n v="2441"/>
    <x v="421"/>
    <x v="2"/>
    <x v="1"/>
    <x v="14"/>
    <x v="2"/>
    <x v="10"/>
    <s v="PWEGPL"/>
    <s v="MSEDCL"/>
    <n v="2.5000000000000001E-2"/>
    <n v="107"/>
    <x v="354"/>
    <s v="BD"/>
    <d v="1899-12-30T18:42:00"/>
    <d v="1899-12-30T19:02:00"/>
    <d v="1899-12-30T20:34:00"/>
    <n v="0.33333333333333481"/>
    <n v="1.5333333333333306"/>
    <n v="1.8666666666666654"/>
    <s v="Check related circuit found yaw thermal relay failure so replace with new one then after taking trial time error occurred PLC comunnication failure. Then found module malfunction so replace module then take trial and restore wtg."/>
    <s v="Close"/>
    <n v="4.6666666666666634E-2"/>
    <s v="G28"/>
    <n v="526.39999999999964"/>
    <s v="None"/>
    <s v="WTG Breakdown Maintenance"/>
    <n v="6768"/>
    <n v="526.39999999999964"/>
    <m/>
    <m/>
    <m/>
    <m/>
  </r>
  <r>
    <n v="2442"/>
    <x v="421"/>
    <x v="2"/>
    <x v="1"/>
    <x v="14"/>
    <x v="2"/>
    <x v="3"/>
    <s v="PWEGPL"/>
    <s v="MSEDCL"/>
    <n v="2.5000000000000001E-2"/>
    <n v="5263"/>
    <x v="311"/>
    <s v="BD"/>
    <d v="1899-12-30T22:05:00"/>
    <d v="1899-12-30T22:41:00"/>
    <d v="1899-12-30T23:05:00"/>
    <n v="0.60000000000000053"/>
    <n v="0.39999999999999858"/>
    <n v="0.99999999999999911"/>
    <s v="slip ring clean then restore wtg."/>
    <s v="Close"/>
    <n v="2.4999999999999981E-2"/>
    <s v="G26"/>
    <n v="382.33333333333297"/>
    <s v="None"/>
    <s v="WTG Breakdown Maintenance"/>
    <n v="9176"/>
    <n v="382.33333333333297"/>
    <m/>
    <m/>
    <m/>
    <m/>
  </r>
  <r>
    <n v="2443"/>
    <x v="422"/>
    <x v="2"/>
    <x v="1"/>
    <x v="14"/>
    <x v="2"/>
    <x v="25"/>
    <s v="PWEGPL"/>
    <s v="MSEDCL"/>
    <n v="2.5000000000000001E-2"/>
    <s v="CE100010"/>
    <x v="296"/>
    <s v="PM"/>
    <d v="1899-12-30T10:40:00"/>
    <d v="1899-12-30T10:40:00"/>
    <d v="1899-12-30T17:44:00"/>
    <n v="0"/>
    <n v="7.0666666666666682"/>
    <n v="7.0666666666666682"/>
    <s v="Half Yearly maintenance done."/>
    <s v="Close"/>
    <n v="0.17666666666666672"/>
    <s v="G03"/>
    <n v="2709.4777777777786"/>
    <s v="None"/>
    <s v="WTG Scheduled Maintenance"/>
    <n v="9202"/>
    <n v="2709.4777777777786"/>
    <m/>
    <m/>
    <m/>
    <m/>
  </r>
  <r>
    <n v="2444"/>
    <x v="422"/>
    <x v="2"/>
    <x v="1"/>
    <x v="14"/>
    <x v="2"/>
    <x v="10"/>
    <s v="PWEGPL"/>
    <s v="MSEDCL"/>
    <n v="2.5000000000000001E-2"/>
    <n v="102"/>
    <x v="337"/>
    <s v="BD"/>
    <d v="1899-12-30T13:20:00"/>
    <d v="1899-12-30T13:20:00"/>
    <d v="1899-12-30T20:03:00"/>
    <n v="0"/>
    <n v="6.7166666666666668"/>
    <n v="6.7166666666666668"/>
    <s v="Yaw drive replacement work"/>
    <s v="Close"/>
    <n v="0.16791666666666669"/>
    <s v="G30"/>
    <n v="1943.9152777777779"/>
    <s v="None"/>
    <s v="WTG Breakdown Maintenance"/>
    <n v="6946"/>
    <n v="1943.9152777777779"/>
    <m/>
    <m/>
    <m/>
    <m/>
  </r>
  <r>
    <n v="2445"/>
    <x v="422"/>
    <x v="2"/>
    <x v="1"/>
    <x v="14"/>
    <x v="2"/>
    <x v="29"/>
    <s v="PWEGPL"/>
    <s v="MSEDCL"/>
    <n v="2.5000000000000001E-2"/>
    <n v="2118"/>
    <x v="293"/>
    <s v="BD"/>
    <d v="1899-12-30T14:50:00"/>
    <d v="1899-12-30T15:26:00"/>
    <d v="1899-12-30T18:23:00"/>
    <n v="0.60000000000000053"/>
    <n v="2.9499999999999975"/>
    <n v="3.549999999999998"/>
    <s v="Slipring cleaned and restored"/>
    <s v="Close"/>
    <n v="8.8749999999999954E-2"/>
    <s v="G10"/>
    <n v="1438.341666666666"/>
    <s v="None"/>
    <s v="WTG Breakdown Maintenance"/>
    <n v="9724"/>
    <n v="1438.341666666666"/>
    <m/>
    <m/>
    <m/>
    <m/>
  </r>
  <r>
    <n v="2446"/>
    <x v="422"/>
    <x v="2"/>
    <x v="1"/>
    <x v="14"/>
    <x v="2"/>
    <x v="35"/>
    <s v="PWEGPL"/>
    <s v="MSEDCL"/>
    <n v="2.5000000000000001E-2"/>
    <s v="CE100018"/>
    <x v="406"/>
    <s v="BD"/>
    <d v="1899-12-30T17:45:00"/>
    <d v="1899-12-30T17:45:00"/>
    <d v="1899-12-30T23:59:00"/>
    <n v="0"/>
    <n v="6.2333333333333325"/>
    <n v="6.2333333333333325"/>
    <s v="Line side B phase T plug connector failed so replacement wip"/>
    <s v="Open"/>
    <n v="0.15583333333333332"/>
    <s v="G25"/>
    <n v="1722.997222222222"/>
    <s v="None"/>
    <s v="WTG Breakdown Maintenance"/>
    <n v="6634"/>
    <n v="1722.997222222222"/>
    <m/>
    <m/>
    <m/>
    <m/>
  </r>
  <r>
    <n v="2447"/>
    <x v="423"/>
    <x v="2"/>
    <x v="1"/>
    <x v="14"/>
    <x v="2"/>
    <x v="35"/>
    <s v="PWEGPL"/>
    <s v="MSEDCL"/>
    <n v="2.5000000000000001E-2"/>
    <s v="CE100018"/>
    <x v="406"/>
    <s v="BD"/>
    <d v="1899-12-30T00:00:00"/>
    <d v="1899-12-30T00:00:00"/>
    <d v="1899-12-30T23:59:00"/>
    <n v="0"/>
    <n v="23.983333333333334"/>
    <n v="23.983333333333334"/>
    <s v="Line side B phase T plug connector failed so replacement wip"/>
    <s v="Open"/>
    <n v="0.59958333333333336"/>
    <s v="G25"/>
    <n v="3743.3986111111117"/>
    <s v="None"/>
    <s v="WTG Breakdown Maintenance"/>
    <n v="3746"/>
    <n v="3743.3986111111117"/>
    <m/>
    <m/>
    <m/>
    <m/>
  </r>
  <r>
    <n v="2448"/>
    <x v="423"/>
    <x v="2"/>
    <x v="1"/>
    <x v="14"/>
    <x v="2"/>
    <x v="13"/>
    <s v="PWEGPL"/>
    <s v="MSEDCL"/>
    <n v="2.5000000000000001E-2"/>
    <n v="410"/>
    <x v="322"/>
    <s v="BD"/>
    <d v="1899-12-30T09:22:00"/>
    <d v="1899-12-30T10:10:00"/>
    <d v="1899-12-30T10:17:00"/>
    <n v="0.79999999999999982"/>
    <n v="0.11666666666666625"/>
    <n v="0.91666666666666607"/>
    <s v="Reboot and reset then start wtg."/>
    <s v="Close"/>
    <n v="2.2916666666666655E-2"/>
    <s v="G34"/>
    <n v="127.03472222222214"/>
    <s v="None"/>
    <s v="WTG Breakdown Maintenance"/>
    <n v="3326"/>
    <n v="127.03472222222214"/>
    <m/>
    <m/>
    <m/>
    <m/>
  </r>
  <r>
    <n v="2449"/>
    <x v="424"/>
    <x v="2"/>
    <x v="1"/>
    <x v="14"/>
    <x v="2"/>
    <x v="35"/>
    <s v="PWEGPL"/>
    <s v="MSEDCL"/>
    <n v="2.5000000000000001E-2"/>
    <s v="CE100018"/>
    <x v="406"/>
    <s v="BD"/>
    <d v="1899-12-30T00:00:00"/>
    <d v="1899-12-30T00:00:00"/>
    <d v="1899-12-30T23:59:00"/>
    <n v="0"/>
    <n v="23.983333333333334"/>
    <n v="23.983333333333334"/>
    <s v="Line side B phase T plug connector failed so replacement wip"/>
    <s v="Open"/>
    <n v="0.59958333333333336"/>
    <s v="G25"/>
    <n v="4257.041666666667"/>
    <s v="Shortage of materail-T plug connector"/>
    <s v="WTG Breakdown Maintenance"/>
    <n v="4260"/>
    <n v="4257.041666666667"/>
    <m/>
    <m/>
    <m/>
    <m/>
  </r>
  <r>
    <n v="2450"/>
    <x v="424"/>
    <x v="2"/>
    <x v="1"/>
    <x v="14"/>
    <x v="2"/>
    <x v="10"/>
    <s v="PWEGPL"/>
    <s v="MSEDCL"/>
    <n v="2.5000000000000001E-2"/>
    <s v="CE100018"/>
    <x v="406"/>
    <s v="BD"/>
    <d v="1899-12-30T00:00:00"/>
    <d v="1899-12-30T00:00:00"/>
    <d v="1899-12-30T23:59:00"/>
    <n v="0"/>
    <n v="23.983333333333334"/>
    <n v="23.983333333333334"/>
    <s v="Machine side Y phase T plug connector failed so replacement wip"/>
    <s v="Open"/>
    <n v="0.59958333333333336"/>
    <s v="G28"/>
    <n v="4229.0611111111111"/>
    <s v="Shortage of materail-T plug connector"/>
    <s v="WTG Breakdown Maintenance"/>
    <n v="4232"/>
    <n v="4229.0611111111111"/>
    <m/>
    <m/>
    <m/>
    <m/>
  </r>
  <r>
    <n v="2451"/>
    <x v="424"/>
    <x v="2"/>
    <x v="1"/>
    <x v="14"/>
    <x v="2"/>
    <x v="22"/>
    <s v="PWEGPL"/>
    <s v="MSEDCL"/>
    <n v="2.5000000000000001E-2"/>
    <s v="CE100010"/>
    <x v="296"/>
    <s v="PM"/>
    <d v="1899-12-30T10:28:00"/>
    <d v="1899-12-30T10:28:00"/>
    <d v="1899-12-30T17:42:00"/>
    <n v="0"/>
    <n v="7.2333333333333316"/>
    <n v="7.2333333333333316"/>
    <s v="Half Yearly maintenance done."/>
    <s v="Close"/>
    <n v="0.18083333333333329"/>
    <s v="G08"/>
    <n v="1187.1708333333331"/>
    <s v="None"/>
    <s v="WTG Scheduled Maintenance"/>
    <n v="3939"/>
    <n v="1187.1708333333331"/>
    <m/>
    <m/>
    <m/>
    <m/>
  </r>
  <r>
    <n v="2452"/>
    <x v="424"/>
    <x v="2"/>
    <x v="1"/>
    <x v="14"/>
    <x v="2"/>
    <x v="25"/>
    <s v="PWEGPL"/>
    <s v="MSEDCL"/>
    <n v="2.5000000000000001E-2"/>
    <n v="205"/>
    <x v="312"/>
    <s v="Manual stop"/>
    <d v="1899-12-30T10:51:00"/>
    <d v="1899-12-30T10:51:00"/>
    <d v="1899-12-30T20:46:00"/>
    <n v="0"/>
    <n v="9.9166666666666643"/>
    <n v="9.9166666666666643"/>
    <s v="Blade A pitch seal replaced and restored"/>
    <s v="Close"/>
    <n v="0.24791666666666662"/>
    <s v="G08"/>
    <n v="1627.5729166666663"/>
    <s v="None"/>
    <s v="WTG Breakdown Maintenance"/>
    <n v="3939"/>
    <n v="1627.5729166666663"/>
    <m/>
    <m/>
    <m/>
    <m/>
  </r>
  <r>
    <n v="2453"/>
    <x v="425"/>
    <x v="2"/>
    <x v="1"/>
    <x v="14"/>
    <x v="2"/>
    <x v="35"/>
    <s v="PWEGPL"/>
    <s v="MSEDCL"/>
    <n v="2.5000000000000001E-2"/>
    <s v="CE100018"/>
    <x v="406"/>
    <s v="BD"/>
    <d v="1899-12-30T00:00:00"/>
    <d v="1899-12-30T00:00:00"/>
    <d v="1899-12-30T19:59:00"/>
    <n v="0"/>
    <n v="19.983333333333334"/>
    <n v="19.983333333333334"/>
    <s v="Line side B phase T plug connector failed so replacement wip"/>
    <s v="Close"/>
    <n v="0.49958333333333338"/>
    <s v="G25"/>
    <n v="4727.7236111111115"/>
    <s v="Shortage of materail-T plug connector"/>
    <s v="WTG Breakdown Maintenance"/>
    <n v="5678"/>
    <n v="4727.7236111111115"/>
    <m/>
    <m/>
    <m/>
    <m/>
  </r>
  <r>
    <n v="2454"/>
    <x v="425"/>
    <x v="2"/>
    <x v="1"/>
    <x v="14"/>
    <x v="2"/>
    <x v="10"/>
    <s v="PWEGPL"/>
    <s v="MSEDCL"/>
    <n v="2.5000000000000001E-2"/>
    <s v="CE100018"/>
    <x v="406"/>
    <s v="BD"/>
    <d v="1899-12-30T00:00:00"/>
    <d v="1899-12-30T00:00:00"/>
    <d v="1899-12-30T23:59:00"/>
    <n v="0"/>
    <n v="23.983333333333334"/>
    <n v="23.983333333333334"/>
    <s v="Machine side Y phase T plug connector failed so replacement wip"/>
    <s v="Open"/>
    <n v="0.59958333333333336"/>
    <s v="G28"/>
    <n v="4666.7569444444453"/>
    <s v="Shortage of materail-T plug connector"/>
    <s v="WTG Breakdown Maintenance"/>
    <n v="4670"/>
    <n v="4666.7569444444453"/>
    <m/>
    <m/>
    <m/>
    <m/>
  </r>
  <r>
    <n v="2455"/>
    <x v="425"/>
    <x v="2"/>
    <x v="1"/>
    <x v="14"/>
    <x v="2"/>
    <x v="23"/>
    <s v="PWEGPL"/>
    <s v="MSEDCL"/>
    <n v="2.5000000000000001E-2"/>
    <s v="CE100010"/>
    <x v="296"/>
    <s v="PM"/>
    <d v="1899-12-30T10:27:00"/>
    <d v="1899-12-30T10:27:00"/>
    <d v="1899-12-30T17:42:00"/>
    <n v="0"/>
    <n v="7.25"/>
    <n v="7.25"/>
    <s v="Half Yearly maintenance done."/>
    <s v="Close"/>
    <n v="0.18125000000000002"/>
    <s v="G08"/>
    <n v="1810.0833333333333"/>
    <s v="None"/>
    <s v="WTG Scheduled Maintenance"/>
    <n v="5992"/>
    <n v="1810.0833333333333"/>
    <m/>
    <m/>
    <m/>
    <m/>
  </r>
  <r>
    <n v="2456"/>
    <x v="425"/>
    <x v="2"/>
    <x v="1"/>
    <x v="14"/>
    <x v="2"/>
    <x v="24"/>
    <s v="PWEGPL"/>
    <s v="MSEDCL"/>
    <n v="2.5000000000000001E-2"/>
    <n v="205"/>
    <x v="312"/>
    <s v="Manual stop"/>
    <d v="1899-12-30T10:49:00"/>
    <d v="1899-12-30T10:49:00"/>
    <d v="1899-12-30T17:03:00"/>
    <n v="0"/>
    <n v="6.2333333333333343"/>
    <n v="6.2333333333333343"/>
    <s v="Blade B pitch seal replaced and restored"/>
    <s v="Close"/>
    <n v="0.15583333333333338"/>
    <s v="G22"/>
    <n v="3950.1111111111113"/>
    <s v="None"/>
    <s v="WTG Unscheduled Maintenance"/>
    <n v="5840"/>
    <n v="1516.7777777777781"/>
    <m/>
    <m/>
    <m/>
    <m/>
  </r>
  <r>
    <n v="2457"/>
    <x v="426"/>
    <x v="2"/>
    <x v="1"/>
    <x v="14"/>
    <x v="2"/>
    <x v="10"/>
    <s v="PWEGPL"/>
    <s v="MSEDCL"/>
    <n v="2.5000000000000001E-2"/>
    <n v="108"/>
    <x v="310"/>
    <s v="BD"/>
    <d v="1899-12-30T16:58:00"/>
    <d v="1899-12-30T19:10:00"/>
    <d v="1899-12-30T19:49:00"/>
    <n v="2.2000000000000028"/>
    <n v="0.64999999999999769"/>
    <n v="2.8500000000000005"/>
    <s v="Manually unwinding done and restored the turbine"/>
    <s v="Close"/>
    <n v="7.1250000000000022E-2"/>
    <s v="G31"/>
    <n v="525.35000000000014"/>
    <s v="None"/>
    <s v="WTG Breakdown Maintenance"/>
    <n v="4424"/>
    <n v="525.35000000000014"/>
    <m/>
    <m/>
    <m/>
    <m/>
  </r>
  <r>
    <n v="2458"/>
    <x v="426"/>
    <x v="2"/>
    <x v="1"/>
    <x v="14"/>
    <x v="2"/>
    <x v="11"/>
    <s v="PWEGPL"/>
    <s v="MSEDCL"/>
    <n v="2.5000000000000001E-2"/>
    <n v="524"/>
    <x v="409"/>
    <s v="BD"/>
    <d v="1899-12-30T15:38:00"/>
    <d v="1899-12-30T19:14:00"/>
    <d v="1899-12-30T19:42:00"/>
    <n v="3.6000000000000005"/>
    <n v="0.46666666666666501"/>
    <n v="4.0666666666666655"/>
    <s v="Found FM001 MCB trpped condition then manually switched on and restored the turbine"/>
    <s v="Close"/>
    <n v="0.10166666666666664"/>
    <s v="G28"/>
    <n v="441.91111111111098"/>
    <s v="None"/>
    <s v="WTG Breakdown Maintenance"/>
    <n v="2608"/>
    <n v="441.91111111111098"/>
    <m/>
    <m/>
    <m/>
    <m/>
  </r>
  <r>
    <n v="2459"/>
    <x v="426"/>
    <x v="2"/>
    <x v="1"/>
    <x v="14"/>
    <x v="2"/>
    <x v="10"/>
    <s v="PWEGPL"/>
    <s v="MSEDCL"/>
    <n v="2.5000000000000001E-2"/>
    <s v="CE100018"/>
    <x v="406"/>
    <s v="BD"/>
    <d v="1899-12-30T00:00:00"/>
    <d v="1899-12-30T00:00:00"/>
    <d v="1899-12-30T01:13:00"/>
    <n v="0"/>
    <n v="1.2166666666666668"/>
    <n v="1.2166666666666668"/>
    <s v="185 sq mm T plug connector replaced and restored the turbineacement wip"/>
    <s v="Close"/>
    <n v="3.0416666666666672E-2"/>
    <s v="G28"/>
    <n v="132.21111111111114"/>
    <s v="Shortage of materail-T plug connector"/>
    <s v="WTG Breakdown Maintenance"/>
    <n v="2608"/>
    <n v="132.21111111111114"/>
    <m/>
    <m/>
    <m/>
    <m/>
  </r>
  <r>
    <n v="2460"/>
    <x v="427"/>
    <x v="2"/>
    <x v="1"/>
    <x v="14"/>
    <x v="2"/>
    <x v="21"/>
    <s v="PWEGPL"/>
    <s v="MSEDCL"/>
    <n v="2.5000000000000001E-2"/>
    <s v="CE100010"/>
    <x v="296"/>
    <s v="PM"/>
    <d v="1899-12-30T10:56:00"/>
    <d v="1899-12-30T10:56:00"/>
    <d v="1899-12-30T17:59:00"/>
    <n v="0"/>
    <n v="7.0500000000000007"/>
    <n v="7.0500000000000007"/>
    <s v="Half Yearly maintenance done."/>
    <s v="Close"/>
    <n v="0.17625000000000002"/>
    <s v="G01"/>
    <n v="1630.9000000000003"/>
    <s v="None"/>
    <s v="WTG Scheduled Maintenance"/>
    <n v="5552"/>
    <n v="1630.9000000000003"/>
    <m/>
    <m/>
    <m/>
    <m/>
  </r>
  <r>
    <n v="2461"/>
    <x v="427"/>
    <x v="2"/>
    <x v="1"/>
    <x v="14"/>
    <x v="2"/>
    <x v="23"/>
    <s v="PWEGPL"/>
    <s v="MSEDCL"/>
    <n v="2.5000000000000001E-2"/>
    <n v="205"/>
    <x v="312"/>
    <s v="Manual stop"/>
    <d v="1899-12-30T11:51:00"/>
    <d v="1899-12-30T11:51:00"/>
    <d v="1899-12-30T17:40:00"/>
    <n v="0"/>
    <n v="5.8166666666666682"/>
    <n v="5.8166666666666682"/>
    <s v="Blade B pitch seal replaced and restored"/>
    <s v="Close"/>
    <n v="0.14541666666666672"/>
    <s v="G03"/>
    <n v="2002.3875000000005"/>
    <s v="None"/>
    <s v="WTG Unscheduled Maintenance"/>
    <n v="8262"/>
    <n v="2002.3875000000005"/>
    <m/>
    <m/>
    <m/>
    <m/>
  </r>
  <r>
    <n v="2462"/>
    <x v="427"/>
    <x v="2"/>
    <x v="1"/>
    <x v="14"/>
    <x v="2"/>
    <x v="17"/>
    <s v="PWEGPL"/>
    <s v="MSEDCL"/>
    <n v="2.5000000000000001E-2"/>
    <n v="5228"/>
    <x v="346"/>
    <s v="BD"/>
    <d v="1899-12-30T23:19:00"/>
    <d v="1899-12-30T23:59:00"/>
    <d v="1899-12-30T23:59:00"/>
    <n v="0.66666666666666696"/>
    <n v="0"/>
    <n v="0.66666666666666696"/>
    <s v="WIP"/>
    <s v="Open"/>
    <n v="1.6666666666666673E-2"/>
    <s v="G09"/>
    <n v="162.61111111111117"/>
    <s v="None"/>
    <s v="WTG Breakdown Maintenance"/>
    <n v="5854"/>
    <n v="162.61111111111117"/>
    <m/>
    <m/>
    <m/>
    <m/>
  </r>
  <r>
    <n v="2463"/>
    <x v="428"/>
    <x v="2"/>
    <x v="1"/>
    <x v="14"/>
    <x v="2"/>
    <x v="26"/>
    <s v="PWEGPL"/>
    <s v="MSEDCL"/>
    <n v="2.5000000000000001E-2"/>
    <s v="CE100010"/>
    <x v="296"/>
    <s v="PM"/>
    <d v="1899-12-30T10:50:00"/>
    <d v="1899-12-30T10:50:00"/>
    <d v="1899-12-30T17:44:00"/>
    <n v="0"/>
    <n v="6.9"/>
    <n v="6.9"/>
    <s v="Half Yearly maintenance done."/>
    <s v="Close"/>
    <n v="0.17250000000000001"/>
    <s v="G01"/>
    <n v="837.77500000000009"/>
    <s v="None"/>
    <s v="WTG Scheduled Maintenance"/>
    <n v="2914"/>
    <n v="837.77500000000009"/>
    <m/>
    <m/>
    <m/>
    <m/>
  </r>
  <r>
    <n v="2464"/>
    <x v="428"/>
    <x v="2"/>
    <x v="1"/>
    <x v="14"/>
    <x v="2"/>
    <x v="23"/>
    <s v="PWEGPL"/>
    <s v="MSEDCL"/>
    <n v="2.5000000000000001E-2"/>
    <n v="203"/>
    <x v="290"/>
    <s v="Manual stop"/>
    <d v="1899-12-30T10:32:00"/>
    <d v="1899-12-30T10:32:00"/>
    <d v="1899-12-30T17:09:00"/>
    <n v="0"/>
    <n v="6.6166666666666645"/>
    <n v="6.6166666666666645"/>
    <s v="HU main accumulator replaced and restorfed"/>
    <s v="Close"/>
    <n v="0.16541666666666663"/>
    <s v="G03"/>
    <n v="527.12777777777762"/>
    <s v="None"/>
    <s v="WTG Unscheduled Maintenance"/>
    <n v="1912"/>
    <n v="527.12777777777762"/>
    <m/>
    <m/>
    <m/>
    <m/>
  </r>
  <r>
    <n v="2465"/>
    <x v="428"/>
    <x v="2"/>
    <x v="1"/>
    <x v="14"/>
    <x v="2"/>
    <x v="27"/>
    <s v="PWEGPL"/>
    <s v="MSEDCL"/>
    <n v="2.5000000000000001E-2"/>
    <n v="205"/>
    <x v="312"/>
    <s v="Manual stop"/>
    <d v="1899-12-30T11:52:00"/>
    <d v="1899-12-30T11:52:00"/>
    <d v="1899-12-30T17:33:00"/>
    <n v="0"/>
    <n v="5.6833333333333345"/>
    <n v="5.6833333333333345"/>
    <s v="Yaw caliper seals replaced and restored"/>
    <s v="Close"/>
    <n v="0.14208333333333337"/>
    <s v="G12"/>
    <n v="670.1597222222224"/>
    <s v="None"/>
    <s v="WTG Unscheduled Maintenance"/>
    <n v="2830"/>
    <n v="670.1597222222224"/>
    <m/>
    <m/>
    <m/>
    <m/>
  </r>
  <r>
    <n v="2466"/>
    <x v="429"/>
    <x v="2"/>
    <x v="1"/>
    <x v="14"/>
    <x v="2"/>
    <x v="20"/>
    <s v="PWEGPL"/>
    <s v="MSEDCL"/>
    <n v="2.5000000000000001E-2"/>
    <n v="205"/>
    <x v="312"/>
    <s v="BD"/>
    <d v="1899-12-30T17:42:00"/>
    <d v="1899-12-30T21:28:00"/>
    <d v="1899-12-30T22:12:00"/>
    <n v="3.7666666666666666"/>
    <n v="0.73333333333333339"/>
    <n v="4.5"/>
    <s v="Oil top up and restored the WTG"/>
    <s v="Close"/>
    <n v="0.1125"/>
    <s v="G07"/>
    <n v="2140.3125"/>
    <s v="None"/>
    <s v="WTG Breakdown Maintenance"/>
    <n v="11415"/>
    <n v="2140.3125"/>
    <m/>
    <m/>
    <m/>
    <m/>
  </r>
  <r>
    <n v="2467"/>
    <x v="429"/>
    <x v="2"/>
    <x v="1"/>
    <x v="14"/>
    <x v="2"/>
    <x v="21"/>
    <s v="PWEGPL"/>
    <s v="MSEDCL"/>
    <n v="2.5000000000000001E-2"/>
    <n v="119"/>
    <x v="344"/>
    <s v="BD"/>
    <d v="1899-12-30T17:30:00"/>
    <d v="1899-12-30T20:12:00"/>
    <d v="1899-12-30T21:09:00"/>
    <n v="2.7000000000000011"/>
    <n v="0.94999999999999929"/>
    <n v="3.6500000000000004"/>
    <s v="Yaw contactor replaced and restored"/>
    <s v="Close"/>
    <n v="9.1250000000000012E-2"/>
    <s v="G04"/>
    <n v="1547.6000000000001"/>
    <s v="None"/>
    <s v="WTG Breakdown Maintenance"/>
    <n v="10176"/>
    <n v="1547.6000000000001"/>
    <m/>
    <m/>
    <m/>
    <m/>
  </r>
  <r>
    <n v="2468"/>
    <x v="429"/>
    <x v="2"/>
    <x v="1"/>
    <x v="14"/>
    <x v="2"/>
    <x v="24"/>
    <s v="PWEGPL"/>
    <s v="MSEDCL"/>
    <n v="2.5000000000000001E-2"/>
    <n v="907"/>
    <x v="292"/>
    <s v="BD"/>
    <d v="1899-12-30T21:31:00"/>
    <d v="1899-12-30T23:59:00"/>
    <d v="1899-12-30T23:59:00"/>
    <n v="2.4666666666666686"/>
    <n v="0"/>
    <n v="2.4666666666666686"/>
    <s v="WIP"/>
    <s v="Open"/>
    <n v="6.1666666666666717E-2"/>
    <s v="G22"/>
    <n v="536.80833333333374"/>
    <s v="Delay due to lightning &amp; gusty wind at site"/>
    <s v="WTG Breakdown Maintenance"/>
    <n v="5223"/>
    <n v="536.80833333333374"/>
    <m/>
    <m/>
    <m/>
    <m/>
  </r>
  <r>
    <n v="2469"/>
    <x v="429"/>
    <x v="2"/>
    <x v="1"/>
    <x v="14"/>
    <x v="2"/>
    <x v="29"/>
    <s v="PWEGPL"/>
    <s v="MSEDCL"/>
    <n v="2.5000000000000001E-2"/>
    <n v="2118"/>
    <x v="293"/>
    <s v="BD"/>
    <d v="1899-12-30T19:31:00"/>
    <d v="1899-12-30T23:59:00"/>
    <d v="1899-12-30T23:59:00"/>
    <n v="4.4666666666666668"/>
    <n v="0"/>
    <n v="4.4666666666666668"/>
    <s v="WIP"/>
    <s v="Open"/>
    <n v="0.11166666666666668"/>
    <s v="G10"/>
    <n v="1963.1000000000001"/>
    <s v="Delay due to lightning &amp; gusty wind at site"/>
    <s v="WTG Breakdown Maintenance"/>
    <n v="10548"/>
    <n v="1963.1000000000001"/>
    <m/>
    <m/>
    <m/>
    <m/>
  </r>
  <r>
    <n v="2470"/>
    <x v="429"/>
    <x v="2"/>
    <x v="1"/>
    <x v="14"/>
    <x v="2"/>
    <x v="31"/>
    <s v="PWEGPL"/>
    <s v="MSEDCL"/>
    <n v="2.5000000000000001E-2"/>
    <n v="2118"/>
    <x v="293"/>
    <s v="BD"/>
    <d v="1899-12-30T19:21:00"/>
    <d v="1899-12-30T23:10:00"/>
    <d v="1899-12-30T23:25:00"/>
    <n v="3.8166666666666664"/>
    <n v="0.25000000000000178"/>
    <n v="4.0666666666666682"/>
    <s v="Reset and restored "/>
    <s v="Close"/>
    <n v="0.10166666666666671"/>
    <s v="G14"/>
    <n v="1680.3805555555562"/>
    <s v="None"/>
    <s v="WTG Breakdown Maintenance"/>
    <n v="9917"/>
    <n v="1680.3805555555562"/>
    <m/>
    <m/>
    <m/>
    <m/>
  </r>
  <r>
    <n v="2471"/>
    <x v="429"/>
    <x v="2"/>
    <x v="1"/>
    <x v="14"/>
    <x v="2"/>
    <x v="9"/>
    <s v="PWEGPL"/>
    <s v="MSEDCL"/>
    <n v="2.5000000000000001E-2"/>
    <n v="205"/>
    <x v="312"/>
    <s v="BD"/>
    <d v="1899-12-30T17:50:00"/>
    <d v="1899-12-30T23:59:00"/>
    <d v="1899-12-30T23:59:00"/>
    <n v="6.1500000000000021"/>
    <n v="0"/>
    <n v="6.1500000000000021"/>
    <s v="WIP"/>
    <s v="Open"/>
    <n v="0.15375000000000005"/>
    <s v="G29"/>
    <n v="2334.181250000001"/>
    <s v="Delay due to lightning &amp; gusty wind at site"/>
    <s v="WTG Breakdown Maintenance"/>
    <n v="9109"/>
    <n v="2334.181250000001"/>
    <m/>
    <m/>
    <m/>
    <m/>
  </r>
  <r>
    <n v="2472"/>
    <x v="429"/>
    <x v="2"/>
    <x v="1"/>
    <x v="14"/>
    <x v="2"/>
    <x v="3"/>
    <s v="PWEGPL"/>
    <s v="MSEDCL"/>
    <n v="2.5000000000000001E-2"/>
    <n v="205"/>
    <x v="312"/>
    <s v="Manual stop"/>
    <d v="1899-12-30T11:21:00"/>
    <d v="1899-12-30T11:21:00"/>
    <d v="1899-12-30T18:15:00"/>
    <n v="0"/>
    <n v="6.8999999999999995"/>
    <n v="6.8999999999999995"/>
    <s v="Yaw caliper seals replaced and restored"/>
    <s v="Close"/>
    <n v="0.17249999999999999"/>
    <s v="G26"/>
    <n v="2809.1624999999999"/>
    <s v="None"/>
    <s v="WTG Unscheduled Maintenance"/>
    <n v="9771"/>
    <n v="2809.1624999999999"/>
    <m/>
    <m/>
    <m/>
    <m/>
  </r>
  <r>
    <n v="2473"/>
    <x v="430"/>
    <x v="2"/>
    <x v="1"/>
    <x v="14"/>
    <x v="2"/>
    <x v="29"/>
    <s v="PWEGPL"/>
    <s v="MSEDCL"/>
    <n v="2.5000000000000001E-2"/>
    <n v="2118"/>
    <x v="293"/>
    <s v="BD"/>
    <d v="1899-12-30T00:00:00"/>
    <d v="1899-12-30T00:00:00"/>
    <d v="1899-12-30T10:25:00"/>
    <n v="0"/>
    <n v="10.416666666666666"/>
    <n v="10.416666666666666"/>
    <s v="Reset and restored "/>
    <s v="Close"/>
    <n v="0.26041666666666669"/>
    <s v="G10"/>
    <n v="3262.1527777777778"/>
    <s v="Delay due to lightning &amp; gusty wind at site"/>
    <s v="WTG Breakdown Maintenance"/>
    <n v="7516"/>
    <n v="3262.1527777777778"/>
    <m/>
    <m/>
    <m/>
    <m/>
  </r>
  <r>
    <n v="2474"/>
    <x v="430"/>
    <x v="2"/>
    <x v="1"/>
    <x v="14"/>
    <x v="2"/>
    <x v="24"/>
    <s v="PWEGPL"/>
    <s v="MSEDCL"/>
    <n v="2.5000000000000001E-2"/>
    <n v="907"/>
    <x v="292"/>
    <s v="BD"/>
    <d v="1899-12-30T00:00:00"/>
    <d v="1899-12-30T00:00:00"/>
    <d v="1899-12-30T01:23:00"/>
    <n v="0"/>
    <n v="1.3833333333333333"/>
    <n v="1.3833333333333333"/>
    <s v="Reset and restored "/>
    <s v="Close"/>
    <n v="3.4583333333333334E-2"/>
    <s v="G22"/>
    <n v="223.17777777777778"/>
    <s v="Delay due to lightning &amp; gusty wind at site"/>
    <s v="WTG Breakdown Maintenance"/>
    <n v="3872"/>
    <n v="223.17777777777778"/>
    <m/>
    <m/>
    <m/>
    <m/>
  </r>
  <r>
    <n v="2475"/>
    <x v="430"/>
    <x v="2"/>
    <x v="1"/>
    <x v="14"/>
    <x v="2"/>
    <x v="9"/>
    <s v="PWEGPL"/>
    <s v="MSEDCL"/>
    <n v="2.5000000000000001E-2"/>
    <n v="205"/>
    <x v="312"/>
    <s v="BD"/>
    <d v="1899-12-30T00:00:00"/>
    <d v="1899-12-30T00:00:00"/>
    <d v="1899-12-30T11:28:00"/>
    <n v="0"/>
    <n v="11.466666666666667"/>
    <n v="11.466666666666667"/>
    <s v="Oil top up and restored the WTG"/>
    <s v="Close"/>
    <n v="0.28666666666666668"/>
    <s v="G29"/>
    <n v="2319.1333333333332"/>
    <s v="Delay due to lightning &amp; gusty wind at site"/>
    <s v="WTG Breakdown Maintenance"/>
    <n v="4854"/>
    <n v="2319.1333333333332"/>
    <m/>
    <m/>
    <m/>
    <m/>
  </r>
  <r>
    <n v="2476"/>
    <x v="430"/>
    <x v="2"/>
    <x v="1"/>
    <x v="14"/>
    <x v="2"/>
    <x v="20"/>
    <s v="PWEGPL"/>
    <s v="MSEDCL"/>
    <n v="2.5000000000000001E-2"/>
    <s v="CE100010"/>
    <x v="296"/>
    <s v="PM"/>
    <d v="1899-12-30T10:59:00"/>
    <d v="1899-12-30T10:59:00"/>
    <d v="1899-12-30T18:16:00"/>
    <n v="0"/>
    <n v="7.2833333333333332"/>
    <n v="7.2833333333333332"/>
    <s v="Half Yearly maintenance done."/>
    <s v="Close"/>
    <n v="0.18208333333333335"/>
    <s v="G07"/>
    <n v="2301.15"/>
    <s v="None"/>
    <s v="WTG Scheduled Maintenance"/>
    <n v="8004"/>
    <n v="2428.9916666666668"/>
    <m/>
    <m/>
    <m/>
    <m/>
  </r>
  <r>
    <n v="2477"/>
    <x v="431"/>
    <x v="2"/>
    <x v="1"/>
    <x v="14"/>
    <x v="2"/>
    <x v="28"/>
    <s v="PWEGPL"/>
    <s v="MSEDCL"/>
    <n v="2.5000000000000001E-2"/>
    <s v="CE100010"/>
    <x v="296"/>
    <s v="PM"/>
    <d v="1899-12-30T10:59:00"/>
    <d v="1899-12-30T10:59:00"/>
    <d v="1899-12-30T18:16:00"/>
    <n v="0"/>
    <n v="7.2833333333333332"/>
    <n v="7.2833333333333332"/>
    <s v="Half Yearly maintenance done."/>
    <s v="Close"/>
    <n v="0.18208333333333335"/>
    <s v="G11"/>
    <n v="1272.1555555555556"/>
    <s v="None"/>
    <s v="WTG Scheduled Maintenance"/>
    <n v="4192"/>
    <n v="1272.1555555555556"/>
    <m/>
    <m/>
    <m/>
    <m/>
  </r>
  <r>
    <n v="2478"/>
    <x v="431"/>
    <x v="2"/>
    <x v="1"/>
    <x v="14"/>
    <x v="2"/>
    <x v="22"/>
    <s v="PWEGPL"/>
    <s v="MSEDCL"/>
    <n v="2.5000000000000001E-2"/>
    <n v="812"/>
    <x v="327"/>
    <s v="BD"/>
    <d v="1899-12-30T11:09:00"/>
    <d v="1899-12-30T11:24:00"/>
    <d v="1899-12-30T17:07:00"/>
    <n v="0.25000000000000044"/>
    <n v="5.7166666666666668"/>
    <n v="5.9666666666666668"/>
    <s v="Found blade B pitch manifold solonoid coil supply cable internally short then corrected and restored"/>
    <s v="Close"/>
    <n v="0.14916666666666667"/>
    <s v="G04"/>
    <n v="1053.1166666666668"/>
    <s v="None"/>
    <s v="WTG Breakdown Maintenance"/>
    <n v="4236"/>
    <n v="1053.1166666666668"/>
    <m/>
    <m/>
    <m/>
    <m/>
  </r>
  <r>
    <n v="2479"/>
    <x v="432"/>
    <x v="2"/>
    <x v="1"/>
    <x v="14"/>
    <x v="2"/>
    <x v="29"/>
    <s v="PWEGPL"/>
    <s v="MSEDCL"/>
    <n v="2.5000000000000001E-2"/>
    <s v="CE100010"/>
    <x v="296"/>
    <s v="PM"/>
    <d v="1899-12-30T10:30:00"/>
    <d v="1899-12-30T10:30:00"/>
    <d v="1899-12-30T18:03:00"/>
    <n v="0"/>
    <n v="7.55"/>
    <n v="7.55"/>
    <s v="Half Yearly maintenance done."/>
    <s v="Close"/>
    <n v="0.18875"/>
    <s v="G10"/>
    <n v="2166.2208333333333"/>
    <s v="None"/>
    <s v="WTG Scheduled Maintenance"/>
    <n v="6886"/>
    <n v="2166.2208333333333"/>
    <m/>
    <m/>
    <m/>
    <m/>
  </r>
  <r>
    <n v="2480"/>
    <x v="432"/>
    <x v="2"/>
    <x v="1"/>
    <x v="14"/>
    <x v="2"/>
    <x v="35"/>
    <s v="PWEGPL"/>
    <s v="MSEDCL"/>
    <n v="2.5000000000000001E-2"/>
    <n v="205"/>
    <x v="312"/>
    <s v="BD"/>
    <d v="1899-12-30T12:32:00"/>
    <d v="1899-12-30T14:00:00"/>
    <d v="1899-12-30T21:51:00"/>
    <n v="1.4666666666666668"/>
    <n v="7.8500000000000014"/>
    <n v="9.3166666666666682"/>
    <s v="Oil top up and then KC001 contactor addon block malfuctiong then replaced and restored"/>
    <s v="Close"/>
    <n v="0.23291666666666672"/>
    <s v="G25"/>
    <n v="2702.6097222222224"/>
    <s v="None"/>
    <s v="WTG Breakdown Maintenance"/>
    <n v="6962"/>
    <n v="2702.6097222222224"/>
    <m/>
    <m/>
    <m/>
    <m/>
  </r>
  <r>
    <n v="2481"/>
    <x v="432"/>
    <x v="2"/>
    <x v="1"/>
    <x v="14"/>
    <x v="2"/>
    <x v="13"/>
    <s v="PWEGPL"/>
    <s v="MSEDCL"/>
    <n v="2.5000000000000001E-2"/>
    <n v="205"/>
    <x v="312"/>
    <s v="BD"/>
    <d v="1899-12-30T14:31:00"/>
    <d v="1899-12-30T14:55:00"/>
    <d v="1899-12-30T16:12:00"/>
    <n v="0.39999999999999858"/>
    <n v="1.2833333333333314"/>
    <n v="1.68333333333333"/>
    <s v="Oil top up and restored the WTG"/>
    <s v="Close"/>
    <n v="4.208333333333325E-2"/>
    <s v="G34"/>
    <n v="511.31249999999898"/>
    <s v="None"/>
    <s v="WTG Breakdown Maintenance"/>
    <n v="7290"/>
    <n v="511.31249999999898"/>
    <m/>
    <m/>
    <m/>
    <m/>
  </r>
  <r>
    <n v="2482"/>
    <x v="432"/>
    <x v="2"/>
    <x v="1"/>
    <x v="14"/>
    <x v="2"/>
    <x v="30"/>
    <s v="PWEGPL"/>
    <s v="MSEDCL"/>
    <n v="2.5000000000000001E-2"/>
    <s v="CE100018"/>
    <x v="406"/>
    <s v="BD"/>
    <d v="1899-12-30T19:21:00"/>
    <d v="1899-12-30T19:21:00"/>
    <d v="1899-12-30T23:59:00"/>
    <n v="0"/>
    <n v="4.6333333333333329"/>
    <n v="4.6333333333333329"/>
    <s v="T plug connector failure wip"/>
    <s v="Open"/>
    <n v="0.11583333333333333"/>
    <s v="G13"/>
    <n v="990.76111111111106"/>
    <s v="None"/>
    <s v="WTG Breakdown Maintenance"/>
    <n v="5132"/>
    <n v="990.76111111111106"/>
    <m/>
    <m/>
    <m/>
    <m/>
  </r>
  <r>
    <n v="2483"/>
    <x v="433"/>
    <x v="2"/>
    <x v="1"/>
    <x v="14"/>
    <x v="2"/>
    <x v="30"/>
    <s v="PWEGPL"/>
    <s v="MSEDCL"/>
    <n v="2.5000000000000001E-2"/>
    <s v="CE100018"/>
    <x v="406"/>
    <s v="BD"/>
    <d v="1899-12-30T00:00:00"/>
    <d v="1899-12-30T00:00:00"/>
    <d v="1899-12-30T01:25:00"/>
    <n v="0"/>
    <n v="1.4166666666666667"/>
    <n v="1.4166666666666667"/>
    <s v="T plug connector replaced and restored"/>
    <s v="Close"/>
    <n v="3.5416666666666673E-2"/>
    <s v="G13"/>
    <n v="274.47916666666669"/>
    <s v="None"/>
    <s v="WTG Breakdown Maintenance"/>
    <n v="4650"/>
    <n v="274.47916666666669"/>
    <m/>
    <m/>
    <m/>
    <m/>
  </r>
  <r>
    <n v="2484"/>
    <x v="433"/>
    <x v="2"/>
    <x v="1"/>
    <x v="14"/>
    <x v="2"/>
    <x v="22"/>
    <s v="PWEGPL"/>
    <s v="MSEDCL"/>
    <n v="2.5000000000000001E-2"/>
    <n v="812"/>
    <x v="327"/>
    <s v="BD"/>
    <d v="1899-12-30T14:39:00"/>
    <d v="1899-12-30T15:42:00"/>
    <d v="1899-12-30T16:33:00"/>
    <n v="1.0499999999999989"/>
    <n v="0.84999999999999964"/>
    <n v="1.8999999999999986"/>
    <s v="Check related circuit and its connection interchange modules then start wtg."/>
    <s v="Close"/>
    <n v="4.7499999999999966E-2"/>
    <s v="G04"/>
    <n v="290.2249999999998"/>
    <s v="None"/>
    <s v="WTG Breakdown Maintenance"/>
    <n v="3666"/>
    <n v="290.2249999999998"/>
    <m/>
    <m/>
    <m/>
    <m/>
  </r>
  <r>
    <n v="2485"/>
    <x v="434"/>
    <x v="2"/>
    <x v="1"/>
    <x v="14"/>
    <x v="2"/>
    <x v="24"/>
    <s v="PWEGPL"/>
    <s v="MSEDCL"/>
    <n v="2.5000000000000001E-2"/>
    <n v="205"/>
    <x v="312"/>
    <s v="BD"/>
    <d v="1899-12-30T14:00:00"/>
    <d v="1899-12-30T14:24:00"/>
    <d v="1899-12-30T16:02:00"/>
    <n v="0.39999999999999858"/>
    <n v="1.6333333333333355"/>
    <n v="2.0333333333333341"/>
    <s v="oil top up andr restored"/>
    <s v="Close"/>
    <n v="5.0833333333333355E-2"/>
    <s v="G21"/>
    <n v="289.58055555555563"/>
    <s v="None"/>
    <s v="WTG Breakdown Maintenance"/>
    <n v="3418"/>
    <n v="289.58055555555563"/>
    <m/>
    <m/>
    <m/>
    <m/>
  </r>
  <r>
    <n v="2486"/>
    <x v="435"/>
    <x v="2"/>
    <x v="1"/>
    <x v="14"/>
    <x v="2"/>
    <x v="22"/>
    <s v="PWEGPL"/>
    <s v="MSEDCL"/>
    <n v="2.5000000000000001E-2"/>
    <s v="CE100001"/>
    <x v="288"/>
    <s v="Manual stop/TCA"/>
    <d v="1899-12-30T10:48:00"/>
    <d v="1899-12-30T10:48:00"/>
    <d v="1899-12-30T23:59:59"/>
    <n v="0"/>
    <n v="13.199722222222219"/>
    <n v="13.199722222222219"/>
    <s v="Generator bearing replacement WIP"/>
    <s v="Open"/>
    <n v="0.32999305555555547"/>
    <s v="G04"/>
    <n v="3856.5188425925917"/>
    <s v="None"/>
    <s v="WTG Unscheduled Maintenance"/>
    <n v="7012"/>
    <n v="3856.5188425925917"/>
    <m/>
    <m/>
    <m/>
    <m/>
  </r>
  <r>
    <n v="2487"/>
    <x v="436"/>
    <x v="2"/>
    <x v="1"/>
    <x v="14"/>
    <x v="2"/>
    <x v="22"/>
    <s v="PWEGPL"/>
    <s v="MSEDCL"/>
    <n v="2.5000000000000001E-2"/>
    <s v="CE100001"/>
    <x v="288"/>
    <s v="Manual stop/TCA"/>
    <d v="1899-12-30T00:00:00"/>
    <d v="1899-12-30T00:00:00"/>
    <d v="1899-12-30T23:59:59"/>
    <n v="0"/>
    <n v="23.999722222222221"/>
    <n v="23.999722222222221"/>
    <s v="Generator bearing replacement WIP"/>
    <s v="Open"/>
    <n v="0.5999930555555556"/>
    <s v="G04"/>
    <n v="2757.9680787037037"/>
    <s v="None"/>
    <s v="WTG Unscheduled Maintenance"/>
    <n v="2758"/>
    <n v="2757.9680787037037"/>
    <m/>
    <m/>
    <m/>
    <m/>
  </r>
  <r>
    <n v="2488"/>
    <x v="436"/>
    <x v="2"/>
    <x v="1"/>
    <x v="14"/>
    <x v="2"/>
    <x v="24"/>
    <s v="PWEGPL"/>
    <s v="MSEDCL"/>
    <n v="2.5000000000000001E-2"/>
    <n v="205"/>
    <x v="312"/>
    <s v="BD"/>
    <d v="1899-12-30T13:24:00"/>
    <d v="1899-12-30T15:28:00"/>
    <d v="1899-12-30T15:55:00"/>
    <n v="2.0666666666666673"/>
    <n v="0.4499999999999984"/>
    <n v="2.5166666666666657"/>
    <s v="Oil top up and restored the WTG"/>
    <s v="Close"/>
    <n v="6.2916666666666649E-2"/>
    <s v="G21"/>
    <n v="230.06527777777771"/>
    <s v="None"/>
    <s v="WTG Breakdown Maintenance"/>
    <n v="2194"/>
    <n v="230.06527777777771"/>
    <m/>
    <m/>
    <m/>
    <m/>
  </r>
  <r>
    <n v="2489"/>
    <x v="437"/>
    <x v="3"/>
    <x v="2"/>
    <x v="15"/>
    <x v="3"/>
    <x v="43"/>
    <s v=""/>
    <s v=""/>
    <s v=""/>
    <m/>
    <x v="410"/>
    <m/>
    <m/>
    <m/>
    <m/>
    <s v=""/>
    <n v="0"/>
    <n v="0"/>
    <m/>
    <m/>
    <s v=""/>
    <m/>
    <m/>
    <m/>
    <m/>
    <m/>
    <n v="0"/>
    <m/>
    <m/>
    <m/>
    <m/>
  </r>
  <r>
    <n v="2490"/>
    <x v="437"/>
    <x v="3"/>
    <x v="2"/>
    <x v="15"/>
    <x v="3"/>
    <x v="43"/>
    <s v=""/>
    <s v=""/>
    <s v=""/>
    <m/>
    <x v="410"/>
    <m/>
    <m/>
    <m/>
    <m/>
    <s v=""/>
    <n v="0"/>
    <n v="0"/>
    <m/>
    <m/>
    <s v=""/>
    <m/>
    <m/>
    <m/>
    <m/>
    <m/>
    <n v="0"/>
    <m/>
    <m/>
    <m/>
    <m/>
  </r>
  <r>
    <n v="2491"/>
    <x v="437"/>
    <x v="3"/>
    <x v="2"/>
    <x v="15"/>
    <x v="3"/>
    <x v="43"/>
    <s v=""/>
    <s v=""/>
    <s v=""/>
    <m/>
    <x v="410"/>
    <m/>
    <m/>
    <m/>
    <m/>
    <s v=""/>
    <n v="0"/>
    <n v="0"/>
    <m/>
    <m/>
    <s v=""/>
    <m/>
    <m/>
    <m/>
    <m/>
    <m/>
    <n v="0"/>
    <m/>
    <m/>
    <m/>
    <m/>
  </r>
  <r>
    <n v="2492"/>
    <x v="437"/>
    <x v="3"/>
    <x v="2"/>
    <x v="15"/>
    <x v="3"/>
    <x v="43"/>
    <s v=""/>
    <s v=""/>
    <s v=""/>
    <m/>
    <x v="410"/>
    <m/>
    <m/>
    <m/>
    <m/>
    <s v=""/>
    <n v="0"/>
    <n v="0"/>
    <m/>
    <m/>
    <s v=""/>
    <m/>
    <m/>
    <m/>
    <m/>
    <m/>
    <n v="0"/>
    <m/>
    <m/>
    <m/>
    <m/>
  </r>
  <r>
    <n v="2493"/>
    <x v="437"/>
    <x v="3"/>
    <x v="2"/>
    <x v="15"/>
    <x v="3"/>
    <x v="43"/>
    <s v=""/>
    <s v=""/>
    <s v=""/>
    <m/>
    <x v="410"/>
    <m/>
    <m/>
    <m/>
    <m/>
    <s v=""/>
    <n v="0"/>
    <n v="0"/>
    <m/>
    <m/>
    <s v=""/>
    <m/>
    <m/>
    <m/>
    <m/>
    <m/>
    <n v="0"/>
    <m/>
    <m/>
    <m/>
    <m/>
  </r>
  <r>
    <n v="2494"/>
    <x v="437"/>
    <x v="3"/>
    <x v="2"/>
    <x v="15"/>
    <x v="3"/>
    <x v="43"/>
    <s v=""/>
    <s v=""/>
    <s v=""/>
    <m/>
    <x v="410"/>
    <m/>
    <m/>
    <m/>
    <m/>
    <s v=""/>
    <n v="0"/>
    <n v="0"/>
    <m/>
    <m/>
    <s v=""/>
    <m/>
    <m/>
    <m/>
    <m/>
    <m/>
    <n v="0"/>
    <m/>
    <m/>
    <m/>
    <m/>
  </r>
  <r>
    <n v="2495"/>
    <x v="437"/>
    <x v="3"/>
    <x v="2"/>
    <x v="15"/>
    <x v="3"/>
    <x v="43"/>
    <s v=""/>
    <s v=""/>
    <s v=""/>
    <m/>
    <x v="410"/>
    <m/>
    <m/>
    <m/>
    <m/>
    <s v=""/>
    <n v="0"/>
    <n v="0"/>
    <m/>
    <m/>
    <s v=""/>
    <m/>
    <m/>
    <m/>
    <m/>
    <m/>
    <n v="0"/>
    <m/>
    <m/>
    <m/>
    <m/>
  </r>
  <r>
    <n v="2496"/>
    <x v="437"/>
    <x v="3"/>
    <x v="2"/>
    <x v="15"/>
    <x v="3"/>
    <x v="43"/>
    <s v=""/>
    <s v=""/>
    <s v=""/>
    <m/>
    <x v="410"/>
    <m/>
    <m/>
    <m/>
    <m/>
    <s v=""/>
    <n v="0"/>
    <n v="0"/>
    <m/>
    <m/>
    <s v=""/>
    <m/>
    <m/>
    <m/>
    <m/>
    <m/>
    <n v="0"/>
    <m/>
    <m/>
    <m/>
    <m/>
  </r>
  <r>
    <n v="2497"/>
    <x v="437"/>
    <x v="3"/>
    <x v="2"/>
    <x v="15"/>
    <x v="3"/>
    <x v="43"/>
    <s v=""/>
    <s v=""/>
    <s v=""/>
    <m/>
    <x v="410"/>
    <m/>
    <m/>
    <m/>
    <m/>
    <s v=""/>
    <n v="0"/>
    <n v="0"/>
    <m/>
    <m/>
    <s v=""/>
    <m/>
    <m/>
    <m/>
    <m/>
    <m/>
    <n v="0"/>
    <m/>
    <m/>
    <m/>
    <m/>
  </r>
  <r>
    <n v="2498"/>
    <x v="437"/>
    <x v="3"/>
    <x v="2"/>
    <x v="15"/>
    <x v="3"/>
    <x v="43"/>
    <s v=""/>
    <s v=""/>
    <s v=""/>
    <m/>
    <x v="410"/>
    <m/>
    <m/>
    <m/>
    <m/>
    <s v=""/>
    <n v="0"/>
    <n v="0"/>
    <m/>
    <m/>
    <s v=""/>
    <m/>
    <m/>
    <m/>
    <m/>
    <m/>
    <n v="0"/>
    <m/>
    <m/>
    <m/>
    <m/>
  </r>
  <r>
    <n v="2499"/>
    <x v="437"/>
    <x v="3"/>
    <x v="2"/>
    <x v="15"/>
    <x v="3"/>
    <x v="43"/>
    <s v=""/>
    <s v=""/>
    <s v=""/>
    <m/>
    <x v="410"/>
    <m/>
    <m/>
    <m/>
    <m/>
    <s v=""/>
    <n v="0"/>
    <n v="0"/>
    <m/>
    <m/>
    <s v=""/>
    <m/>
    <m/>
    <m/>
    <m/>
    <m/>
    <n v="0"/>
    <m/>
    <m/>
    <m/>
    <m/>
  </r>
  <r>
    <n v="2500"/>
    <x v="437"/>
    <x v="3"/>
    <x v="2"/>
    <x v="15"/>
    <x v="3"/>
    <x v="43"/>
    <s v=""/>
    <s v=""/>
    <s v=""/>
    <m/>
    <x v="410"/>
    <m/>
    <m/>
    <m/>
    <m/>
    <s v=""/>
    <n v="0"/>
    <n v="0"/>
    <m/>
    <m/>
    <s v=""/>
    <m/>
    <m/>
    <m/>
    <m/>
    <m/>
    <n v="0"/>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r>
    <m/>
    <x v="437"/>
    <x v="3"/>
    <x v="2"/>
    <x v="16"/>
    <x v="3"/>
    <x v="43"/>
    <m/>
    <m/>
    <m/>
    <m/>
    <x v="410"/>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9:C156" firstHeaderRow="0" firstDataRow="1" firstDataCol="1" rowPageCount="1" colPageCount="1"/>
  <pivotFields count="32">
    <pivotField showAll="0"/>
    <pivotField showAll="0">
      <items count="4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m="1" x="438"/>
        <item x="437"/>
        <item t="default"/>
      </items>
    </pivotField>
    <pivotField axis="axisPage" multipleItemSelectionAllowed="1" showAll="0">
      <items count="5">
        <item h="1" x="0"/>
        <item x="1"/>
        <item x="3"/>
        <item x="2"/>
        <item t="default"/>
      </items>
    </pivotField>
    <pivotField showAll="0">
      <items count="4">
        <item x="0"/>
        <item x="1"/>
        <item x="2"/>
        <item t="default"/>
      </items>
    </pivotField>
    <pivotField showAll="0">
      <items count="19">
        <item x="15"/>
        <item x="0"/>
        <item x="1"/>
        <item x="2"/>
        <item x="3"/>
        <item x="4"/>
        <item x="5"/>
        <item x="6"/>
        <item x="7"/>
        <item x="8"/>
        <item x="9"/>
        <item x="10"/>
        <item x="11"/>
        <item x="12"/>
        <item x="13"/>
        <item x="14"/>
        <item m="1" x="17"/>
        <item x="16"/>
        <item t="default"/>
      </items>
    </pivotField>
    <pivotField showAll="0">
      <items count="5">
        <item x="0"/>
        <item x="1"/>
        <item x="2"/>
        <item x="3"/>
        <item t="default"/>
      </items>
    </pivotField>
    <pivotField showAll="0">
      <items count="45">
        <item x="20"/>
        <item x="21"/>
        <item x="22"/>
        <item x="23"/>
        <item x="24"/>
        <item x="25"/>
        <item x="26"/>
        <item x="17"/>
        <item x="27"/>
        <item x="28"/>
        <item x="29"/>
        <item x="30"/>
        <item x="31"/>
        <item x="32"/>
        <item x="39"/>
        <item x="37"/>
        <item x="0"/>
        <item x="42"/>
        <item x="38"/>
        <item x="18"/>
        <item x="19"/>
        <item x="33"/>
        <item x="34"/>
        <item x="1"/>
        <item x="35"/>
        <item x="36"/>
        <item x="40"/>
        <item x="2"/>
        <item x="8"/>
        <item x="9"/>
        <item x="10"/>
        <item x="11"/>
        <item x="41"/>
        <item x="12"/>
        <item x="3"/>
        <item x="13"/>
        <item x="14"/>
        <item x="15"/>
        <item x="16"/>
        <item x="4"/>
        <item x="5"/>
        <item x="6"/>
        <item x="7"/>
        <item x="43"/>
        <item t="default"/>
      </items>
    </pivotField>
    <pivotField showAll="0"/>
    <pivotField showAll="0"/>
    <pivotField showAll="0"/>
    <pivotField showAll="0"/>
    <pivotField axis="axisRow" dataField="1" showAll="0">
      <items count="421">
        <item x="194"/>
        <item x="119"/>
        <item x="247"/>
        <item x="114"/>
        <item x="221"/>
        <item m="1" x="417"/>
        <item x="228"/>
        <item x="203"/>
        <item x="215"/>
        <item x="160"/>
        <item x="220"/>
        <item x="223"/>
        <item x="155"/>
        <item m="1" x="412"/>
        <item m="1" x="416"/>
        <item m="1" x="411"/>
        <item m="1" x="415"/>
        <item x="64"/>
        <item x="41"/>
        <item x="197"/>
        <item x="109"/>
        <item x="275"/>
        <item x="152"/>
        <item x="142"/>
        <item x="132"/>
        <item x="112"/>
        <item x="107"/>
        <item x="141"/>
        <item x="124"/>
        <item x="130"/>
        <item x="70"/>
        <item x="151"/>
        <item x="122"/>
        <item x="165"/>
        <item x="254"/>
        <item x="246"/>
        <item x="173"/>
        <item x="260"/>
        <item m="1" x="414"/>
        <item x="229"/>
        <item x="202"/>
        <item x="208"/>
        <item x="230"/>
        <item x="224"/>
        <item x="225"/>
        <item x="222"/>
        <item x="207"/>
        <item x="209"/>
        <item x="226"/>
        <item x="227"/>
        <item x="359"/>
        <item x="356"/>
        <item x="286"/>
        <item x="325"/>
        <item x="310"/>
        <item x="327"/>
        <item x="293"/>
        <item x="319"/>
        <item x="311"/>
        <item x="307"/>
        <item x="345"/>
        <item x="350"/>
        <item x="355"/>
        <item x="358"/>
        <item x="337"/>
        <item x="332"/>
        <item x="292"/>
        <item x="369"/>
        <item x="33"/>
        <item x="86"/>
        <item x="279"/>
        <item x="273"/>
        <item x="282"/>
        <item x="264"/>
        <item x="244"/>
        <item x="214"/>
        <item x="257"/>
        <item x="183"/>
        <item x="274"/>
        <item x="163"/>
        <item x="170"/>
        <item x="115"/>
        <item x="116"/>
        <item x="261"/>
        <item x="169"/>
        <item x="8"/>
        <item x="14"/>
        <item x="85"/>
        <item x="60"/>
        <item x="20"/>
        <item x="166"/>
        <item x="31"/>
        <item x="27"/>
        <item x="32"/>
        <item x="26"/>
        <item x="48"/>
        <item x="3"/>
        <item x="47"/>
        <item x="29"/>
        <item x="28"/>
        <item x="46"/>
        <item x="44"/>
        <item x="18"/>
        <item x="49"/>
        <item x="7"/>
        <item x="17"/>
        <item x="34"/>
        <item x="6"/>
        <item x="36"/>
        <item x="50"/>
        <item x="35"/>
        <item x="15"/>
        <item x="16"/>
        <item x="37"/>
        <item x="51"/>
        <item x="5"/>
        <item x="38"/>
        <item x="39"/>
        <item x="10"/>
        <item x="4"/>
        <item x="13"/>
        <item x="11"/>
        <item x="12"/>
        <item x="285"/>
        <item x="66"/>
        <item x="154"/>
        <item x="249"/>
        <item x="284"/>
        <item x="21"/>
        <item x="159"/>
        <item x="238"/>
        <item x="234"/>
        <item x="251"/>
        <item x="184"/>
        <item x="178"/>
        <item x="57"/>
        <item x="63"/>
        <item x="62"/>
        <item x="185"/>
        <item x="281"/>
        <item x="278"/>
        <item x="283"/>
        <item x="236"/>
        <item x="237"/>
        <item x="217"/>
        <item x="158"/>
        <item x="67"/>
        <item x="89"/>
        <item x="71"/>
        <item x="93"/>
        <item x="253"/>
        <item x="262"/>
        <item x="277"/>
        <item x="212"/>
        <item x="77"/>
        <item x="149"/>
        <item x="69"/>
        <item x="61"/>
        <item x="216"/>
        <item x="55"/>
        <item x="78"/>
        <item x="1"/>
        <item x="59"/>
        <item x="128"/>
        <item x="9"/>
        <item x="23"/>
        <item x="82"/>
        <item x="135"/>
        <item x="263"/>
        <item x="125"/>
        <item x="242"/>
        <item x="138"/>
        <item x="179"/>
        <item x="205"/>
        <item x="146"/>
        <item x="72"/>
        <item x="235"/>
        <item x="233"/>
        <item x="218"/>
        <item x="272"/>
        <item x="19"/>
        <item x="168"/>
        <item x="265"/>
        <item x="161"/>
        <item x="256"/>
        <item x="252"/>
        <item x="156"/>
        <item x="162"/>
        <item m="1" x="418"/>
        <item m="1" x="413"/>
        <item x="167"/>
        <item x="258"/>
        <item x="110"/>
        <item x="105"/>
        <item x="123"/>
        <item x="56"/>
        <item x="52"/>
        <item x="53"/>
        <item x="24"/>
        <item x="219"/>
        <item x="80"/>
        <item x="54"/>
        <item x="177"/>
        <item x="280"/>
        <item x="22"/>
        <item x="25"/>
        <item x="276"/>
        <item x="232"/>
        <item x="153"/>
        <item x="143"/>
        <item x="145"/>
        <item x="83"/>
        <item x="192"/>
        <item x="75"/>
        <item x="30"/>
        <item x="40"/>
        <item x="190"/>
        <item x="199"/>
        <item x="198"/>
        <item x="200"/>
        <item x="108"/>
        <item x="74"/>
        <item x="195"/>
        <item x="196"/>
        <item x="87"/>
        <item x="191"/>
        <item x="193"/>
        <item x="133"/>
        <item x="140"/>
        <item x="0"/>
        <item x="231"/>
        <item x="188"/>
        <item x="88"/>
        <item x="92"/>
        <item x="45"/>
        <item x="243"/>
        <item x="271"/>
        <item x="189"/>
        <item x="176"/>
        <item x="129"/>
        <item x="174"/>
        <item x="91"/>
        <item x="134"/>
        <item x="101"/>
        <item x="97"/>
        <item x="144"/>
        <item x="126"/>
        <item x="94"/>
        <item x="73"/>
        <item x="172"/>
        <item x="175"/>
        <item x="113"/>
        <item x="58"/>
        <item x="79"/>
        <item x="102"/>
        <item x="95"/>
        <item x="65"/>
        <item x="103"/>
        <item x="100"/>
        <item x="84"/>
        <item x="120"/>
        <item x="90"/>
        <item x="68"/>
        <item x="104"/>
        <item x="98"/>
        <item x="96"/>
        <item x="99"/>
        <item x="248"/>
        <item x="121"/>
        <item x="150"/>
        <item x="139"/>
        <item x="111"/>
        <item x="117"/>
        <item x="127"/>
        <item x="157"/>
        <item x="106"/>
        <item x="131"/>
        <item x="148"/>
        <item x="137"/>
        <item x="213"/>
        <item x="206"/>
        <item x="187"/>
        <item x="268"/>
        <item x="270"/>
        <item x="266"/>
        <item x="267"/>
        <item x="269"/>
        <item x="118"/>
        <item x="164"/>
        <item x="181"/>
        <item x="182"/>
        <item x="180"/>
        <item x="171"/>
        <item x="186"/>
        <item x="2"/>
        <item x="81"/>
        <item x="43"/>
        <item x="240"/>
        <item x="204"/>
        <item x="250"/>
        <item x="255"/>
        <item x="259"/>
        <item x="239"/>
        <item x="241"/>
        <item x="211"/>
        <item x="210"/>
        <item x="245"/>
        <item x="147"/>
        <item x="42"/>
        <item x="76"/>
        <item x="136"/>
        <item x="363"/>
        <item x="372"/>
        <item x="349"/>
        <item x="351"/>
        <item x="357"/>
        <item x="348"/>
        <item x="333"/>
        <item x="371"/>
        <item x="339"/>
        <item x="336"/>
        <item x="338"/>
        <item x="297"/>
        <item x="347"/>
        <item x="301"/>
        <item x="306"/>
        <item x="289"/>
        <item x="294"/>
        <item x="365"/>
        <item x="360"/>
        <item x="302"/>
        <item x="342"/>
        <item x="335"/>
        <item x="308"/>
        <item x="366"/>
        <item x="309"/>
        <item x="312"/>
        <item x="324"/>
        <item x="376"/>
        <item x="290"/>
        <item x="326"/>
        <item x="299"/>
        <item x="288"/>
        <item x="328"/>
        <item x="322"/>
        <item x="361"/>
        <item x="375"/>
        <item x="373"/>
        <item x="298"/>
        <item x="320"/>
        <item x="329"/>
        <item x="346"/>
        <item x="370"/>
        <item x="374"/>
        <item x="353"/>
        <item x="315"/>
        <item x="321"/>
        <item x="330"/>
        <item x="362"/>
        <item x="367"/>
        <item x="323"/>
        <item x="334"/>
        <item x="304"/>
        <item x="368"/>
        <item x="344"/>
        <item x="313"/>
        <item x="343"/>
        <item x="287"/>
        <item x="354"/>
        <item x="303"/>
        <item m="1" x="419"/>
        <item x="410"/>
        <item x="377"/>
        <item x="378"/>
        <item x="379"/>
        <item x="316"/>
        <item x="382"/>
        <item x="383"/>
        <item x="384"/>
        <item x="385"/>
        <item x="386"/>
        <item x="300"/>
        <item x="201"/>
        <item x="291"/>
        <item x="295"/>
        <item x="296"/>
        <item x="305"/>
        <item x="314"/>
        <item x="317"/>
        <item x="318"/>
        <item x="331"/>
        <item x="340"/>
        <item x="341"/>
        <item x="352"/>
        <item x="364"/>
        <item x="380"/>
        <item x="381"/>
        <item x="387"/>
        <item x="388"/>
        <item x="389"/>
        <item x="390"/>
        <item x="391"/>
        <item x="392"/>
        <item x="393"/>
        <item x="394"/>
        <item x="395"/>
        <item x="396"/>
        <item x="397"/>
        <item x="398"/>
        <item x="399"/>
        <item x="400"/>
        <item x="401"/>
        <item x="402"/>
        <item x="403"/>
        <item x="404"/>
        <item x="405"/>
        <item x="406"/>
        <item x="407"/>
        <item x="408"/>
        <item x="40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27">
    <i>
      <x v="50"/>
    </i>
    <i>
      <x v="51"/>
    </i>
    <i>
      <x v="52"/>
    </i>
    <i>
      <x v="53"/>
    </i>
    <i>
      <x v="54"/>
    </i>
    <i>
      <x v="55"/>
    </i>
    <i>
      <x v="56"/>
    </i>
    <i>
      <x v="57"/>
    </i>
    <i>
      <x v="58"/>
    </i>
    <i>
      <x v="59"/>
    </i>
    <i>
      <x v="60"/>
    </i>
    <i>
      <x v="61"/>
    </i>
    <i>
      <x v="62"/>
    </i>
    <i>
      <x v="63"/>
    </i>
    <i>
      <x v="64"/>
    </i>
    <i>
      <x v="65"/>
    </i>
    <i>
      <x v="66"/>
    </i>
    <i>
      <x v="67"/>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t="grand">
      <x/>
    </i>
  </rowItems>
  <colFields count="1">
    <field x="-2"/>
  </colFields>
  <colItems count="2">
    <i>
      <x/>
    </i>
    <i i="1">
      <x v="1"/>
    </i>
  </colItems>
  <pageFields count="1">
    <pageField fld="2" hier="-1"/>
  </pageFields>
  <dataFields count="2">
    <dataField name="Sum of Breakdown Time" fld="18" baseField="0" baseItem="0"/>
    <dataField name="Count of Error Text" fld="11" subtotal="count" baseField="0" baseItem="0"/>
  </dataFields>
  <formats count="16">
    <format dxfId="393">
      <pivotArea collapsedLevelsAreSubtotals="1" fieldPosition="0">
        <references count="1">
          <reference field="11" count="77">
            <x v="50"/>
            <x v="51"/>
            <x v="52"/>
            <x v="53"/>
            <x v="54"/>
            <x v="55"/>
            <x v="56"/>
            <x v="57"/>
            <x v="58"/>
            <x v="59"/>
            <x v="60"/>
            <x v="61"/>
            <x v="62"/>
            <x v="63"/>
            <x v="64"/>
            <x v="65"/>
            <x v="66"/>
            <x v="67"/>
            <x v="311"/>
            <x v="312"/>
            <x v="313"/>
            <x v="314"/>
            <x v="315"/>
            <x v="316"/>
            <x v="317"/>
            <x v="318"/>
            <x v="319"/>
            <x v="320"/>
            <x v="321"/>
            <x v="322"/>
            <x v="323"/>
            <x v="324"/>
            <x v="325"/>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reference>
        </references>
      </pivotArea>
    </format>
    <format dxfId="392">
      <pivotArea type="all" dataOnly="0" outline="0" fieldPosition="0"/>
    </format>
    <format dxfId="391">
      <pivotArea outline="0" collapsedLevelsAreSubtotals="1" fieldPosition="0"/>
    </format>
    <format dxfId="390">
      <pivotArea field="11" type="button" dataOnly="0" labelOnly="1" outline="0" axis="axisRow" fieldPosition="0"/>
    </format>
    <format dxfId="389">
      <pivotArea dataOnly="0" labelOnly="1" fieldPosition="0">
        <references count="1">
          <reference field="11" count="50">
            <x v="50"/>
            <x v="51"/>
            <x v="52"/>
            <x v="53"/>
            <x v="54"/>
            <x v="55"/>
            <x v="56"/>
            <x v="57"/>
            <x v="58"/>
            <x v="59"/>
            <x v="60"/>
            <x v="61"/>
            <x v="62"/>
            <x v="63"/>
            <x v="64"/>
            <x v="65"/>
            <x v="66"/>
            <x v="67"/>
            <x v="311"/>
            <x v="312"/>
            <x v="313"/>
            <x v="314"/>
            <x v="315"/>
            <x v="316"/>
            <x v="317"/>
            <x v="318"/>
            <x v="319"/>
            <x v="320"/>
            <x v="321"/>
            <x v="322"/>
            <x v="323"/>
            <x v="324"/>
            <x v="325"/>
            <x v="327"/>
            <x v="328"/>
            <x v="329"/>
            <x v="330"/>
            <x v="331"/>
            <x v="332"/>
            <x v="333"/>
            <x v="334"/>
            <x v="335"/>
            <x v="336"/>
            <x v="337"/>
            <x v="338"/>
            <x v="339"/>
            <x v="340"/>
            <x v="341"/>
            <x v="342"/>
            <x v="343"/>
          </reference>
        </references>
      </pivotArea>
    </format>
    <format dxfId="388">
      <pivotArea dataOnly="0" labelOnly="1" fieldPosition="0">
        <references count="1">
          <reference field="11" count="28">
            <x v="344"/>
            <x v="345"/>
            <x v="346"/>
            <x v="347"/>
            <x v="348"/>
            <x v="349"/>
            <x v="350"/>
            <x v="351"/>
            <x v="352"/>
            <x v="353"/>
            <x v="354"/>
            <x v="355"/>
            <x v="356"/>
            <x v="357"/>
            <x v="358"/>
            <x v="359"/>
            <x v="360"/>
            <x v="361"/>
            <x v="362"/>
            <x v="363"/>
            <x v="364"/>
            <x v="365"/>
            <x v="366"/>
            <x v="367"/>
            <x v="368"/>
            <x v="369"/>
            <x v="370"/>
            <x v="371"/>
          </reference>
        </references>
      </pivotArea>
    </format>
    <format dxfId="387">
      <pivotArea dataOnly="0" labelOnly="1" grandRow="1" outline="0" fieldPosition="0"/>
    </format>
    <format dxfId="386">
      <pivotArea dataOnly="0" labelOnly="1" outline="0" fieldPosition="0">
        <references count="1">
          <reference field="4294967294" count="2">
            <x v="0"/>
            <x v="1"/>
          </reference>
        </references>
      </pivotArea>
    </format>
    <format dxfId="385">
      <pivotArea type="all" dataOnly="0" outline="0" fieldPosition="0"/>
    </format>
    <format dxfId="384">
      <pivotArea outline="0" collapsedLevelsAreSubtotals="1" fieldPosition="0"/>
    </format>
    <format dxfId="383">
      <pivotArea field="11" type="button" dataOnly="0" labelOnly="1" outline="0" axis="axisRow" fieldPosition="0"/>
    </format>
    <format dxfId="382">
      <pivotArea dataOnly="0" labelOnly="1" fieldPosition="0">
        <references count="1">
          <reference field="11" count="50">
            <x v="50"/>
            <x v="51"/>
            <x v="52"/>
            <x v="53"/>
            <x v="54"/>
            <x v="55"/>
            <x v="56"/>
            <x v="57"/>
            <x v="58"/>
            <x v="59"/>
            <x v="60"/>
            <x v="61"/>
            <x v="62"/>
            <x v="63"/>
            <x v="64"/>
            <x v="65"/>
            <x v="66"/>
            <x v="67"/>
            <x v="311"/>
            <x v="312"/>
            <x v="313"/>
            <x v="314"/>
            <x v="315"/>
            <x v="316"/>
            <x v="317"/>
            <x v="318"/>
            <x v="319"/>
            <x v="320"/>
            <x v="321"/>
            <x v="322"/>
            <x v="323"/>
            <x v="324"/>
            <x v="325"/>
            <x v="326"/>
            <x v="327"/>
            <x v="328"/>
            <x v="329"/>
            <x v="330"/>
            <x v="331"/>
            <x v="332"/>
            <x v="333"/>
            <x v="334"/>
            <x v="335"/>
            <x v="336"/>
            <x v="337"/>
            <x v="338"/>
            <x v="339"/>
            <x v="340"/>
            <x v="341"/>
            <x v="342"/>
          </reference>
        </references>
      </pivotArea>
    </format>
    <format dxfId="381">
      <pivotArea dataOnly="0" labelOnly="1" fieldPosition="0">
        <references count="1">
          <reference field="11" count="50">
            <x v="343"/>
            <x v="344"/>
            <x v="345"/>
            <x v="346"/>
            <x v="347"/>
            <x v="348"/>
            <x v="349"/>
            <x v="350"/>
            <x v="351"/>
            <x v="352"/>
            <x v="353"/>
            <x v="354"/>
            <x v="355"/>
            <x v="356"/>
            <x v="357"/>
            <x v="358"/>
            <x v="359"/>
            <x v="360"/>
            <x v="361"/>
            <x v="362"/>
            <x v="363"/>
            <x v="364"/>
            <x v="365"/>
            <x v="366"/>
            <x v="367"/>
            <x v="368"/>
            <x v="369"/>
            <x v="371"/>
            <x v="372"/>
            <x v="373"/>
            <x v="374"/>
            <x v="375"/>
            <x v="376"/>
            <x v="377"/>
            <x v="378"/>
            <x v="379"/>
            <x v="380"/>
            <x v="381"/>
            <x v="382"/>
            <x v="383"/>
            <x v="384"/>
            <x v="385"/>
            <x v="386"/>
            <x v="387"/>
            <x v="388"/>
            <x v="389"/>
            <x v="390"/>
            <x v="391"/>
            <x v="392"/>
            <x v="393"/>
          </reference>
        </references>
      </pivotArea>
    </format>
    <format dxfId="380">
      <pivotArea dataOnly="0" labelOnly="1" fieldPosition="0">
        <references count="1">
          <reference field="11" count="26">
            <x v="394"/>
            <x v="395"/>
            <x v="396"/>
            <x v="397"/>
            <x v="398"/>
            <x v="399"/>
            <x v="400"/>
            <x v="401"/>
            <x v="402"/>
            <x v="403"/>
            <x v="404"/>
            <x v="405"/>
            <x v="406"/>
            <x v="407"/>
            <x v="408"/>
            <x v="409"/>
            <x v="410"/>
            <x v="411"/>
            <x v="412"/>
            <x v="413"/>
            <x v="414"/>
            <x v="415"/>
            <x v="416"/>
            <x v="417"/>
            <x v="418"/>
            <x v="419"/>
          </reference>
        </references>
      </pivotArea>
    </format>
    <format dxfId="379">
      <pivotArea dataOnly="0" labelOnly="1" grandRow="1" outline="0" fieldPosition="0"/>
    </format>
    <format dxfId="378">
      <pivotArea dataOnly="0" labelOnly="1" outline="0" fieldPosition="0">
        <references count="1">
          <reference field="4294967294" count="2">
            <x v="0"/>
            <x v="1"/>
          </reference>
        </references>
      </pivotArea>
    </format>
  </formats>
  <chartFormats count="25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1" count="1" selected="0">
            <x v="50"/>
          </reference>
        </references>
      </pivotArea>
    </chartFormat>
    <chartFormat chart="0" format="3">
      <pivotArea type="data" outline="0" fieldPosition="0">
        <references count="2">
          <reference field="4294967294" count="1" selected="0">
            <x v="0"/>
          </reference>
          <reference field="11" count="1" selected="0">
            <x v="51"/>
          </reference>
        </references>
      </pivotArea>
    </chartFormat>
    <chartFormat chart="0" format="4">
      <pivotArea type="data" outline="0" fieldPosition="0">
        <references count="2">
          <reference field="4294967294" count="1" selected="0">
            <x v="0"/>
          </reference>
          <reference field="11" count="1" selected="0">
            <x v="52"/>
          </reference>
        </references>
      </pivotArea>
    </chartFormat>
    <chartFormat chart="0" format="5">
      <pivotArea type="data" outline="0" fieldPosition="0">
        <references count="2">
          <reference field="4294967294" count="1" selected="0">
            <x v="0"/>
          </reference>
          <reference field="11" count="1" selected="0">
            <x v="53"/>
          </reference>
        </references>
      </pivotArea>
    </chartFormat>
    <chartFormat chart="0" format="6">
      <pivotArea type="data" outline="0" fieldPosition="0">
        <references count="2">
          <reference field="4294967294" count="1" selected="0">
            <x v="0"/>
          </reference>
          <reference field="11" count="1" selected="0">
            <x v="54"/>
          </reference>
        </references>
      </pivotArea>
    </chartFormat>
    <chartFormat chart="0" format="7">
      <pivotArea type="data" outline="0" fieldPosition="0">
        <references count="2">
          <reference field="4294967294" count="1" selected="0">
            <x v="0"/>
          </reference>
          <reference field="11" count="1" selected="0">
            <x v="55"/>
          </reference>
        </references>
      </pivotArea>
    </chartFormat>
    <chartFormat chart="0" format="8">
      <pivotArea type="data" outline="0" fieldPosition="0">
        <references count="2">
          <reference field="4294967294" count="1" selected="0">
            <x v="0"/>
          </reference>
          <reference field="11" count="1" selected="0">
            <x v="56"/>
          </reference>
        </references>
      </pivotArea>
    </chartFormat>
    <chartFormat chart="0" format="9">
      <pivotArea type="data" outline="0" fieldPosition="0">
        <references count="2">
          <reference field="4294967294" count="1" selected="0">
            <x v="0"/>
          </reference>
          <reference field="11" count="1" selected="0">
            <x v="57"/>
          </reference>
        </references>
      </pivotArea>
    </chartFormat>
    <chartFormat chart="0" format="10">
      <pivotArea type="data" outline="0" fieldPosition="0">
        <references count="2">
          <reference field="4294967294" count="1" selected="0">
            <x v="0"/>
          </reference>
          <reference field="11" count="1" selected="0">
            <x v="58"/>
          </reference>
        </references>
      </pivotArea>
    </chartFormat>
    <chartFormat chart="0" format="11">
      <pivotArea type="data" outline="0" fieldPosition="0">
        <references count="2">
          <reference field="4294967294" count="1" selected="0">
            <x v="0"/>
          </reference>
          <reference field="11" count="1" selected="0">
            <x v="59"/>
          </reference>
        </references>
      </pivotArea>
    </chartFormat>
    <chartFormat chart="0" format="12">
      <pivotArea type="data" outline="0" fieldPosition="0">
        <references count="2">
          <reference field="4294967294" count="1" selected="0">
            <x v="0"/>
          </reference>
          <reference field="11" count="1" selected="0">
            <x v="60"/>
          </reference>
        </references>
      </pivotArea>
    </chartFormat>
    <chartFormat chart="0" format="13">
      <pivotArea type="data" outline="0" fieldPosition="0">
        <references count="2">
          <reference field="4294967294" count="1" selected="0">
            <x v="0"/>
          </reference>
          <reference field="11" count="1" selected="0">
            <x v="61"/>
          </reference>
        </references>
      </pivotArea>
    </chartFormat>
    <chartFormat chart="0" format="14">
      <pivotArea type="data" outline="0" fieldPosition="0">
        <references count="2">
          <reference field="4294967294" count="1" selected="0">
            <x v="0"/>
          </reference>
          <reference field="11" count="1" selected="0">
            <x v="62"/>
          </reference>
        </references>
      </pivotArea>
    </chartFormat>
    <chartFormat chart="0" format="15">
      <pivotArea type="data" outline="0" fieldPosition="0">
        <references count="2">
          <reference field="4294967294" count="1" selected="0">
            <x v="0"/>
          </reference>
          <reference field="11" count="1" selected="0">
            <x v="63"/>
          </reference>
        </references>
      </pivotArea>
    </chartFormat>
    <chartFormat chart="0" format="16">
      <pivotArea type="data" outline="0" fieldPosition="0">
        <references count="2">
          <reference field="4294967294" count="1" selected="0">
            <x v="0"/>
          </reference>
          <reference field="11" count="1" selected="0">
            <x v="64"/>
          </reference>
        </references>
      </pivotArea>
    </chartFormat>
    <chartFormat chart="0" format="17">
      <pivotArea type="data" outline="0" fieldPosition="0">
        <references count="2">
          <reference field="4294967294" count="1" selected="0">
            <x v="0"/>
          </reference>
          <reference field="11" count="1" selected="0">
            <x v="65"/>
          </reference>
        </references>
      </pivotArea>
    </chartFormat>
    <chartFormat chart="0" format="18">
      <pivotArea type="data" outline="0" fieldPosition="0">
        <references count="2">
          <reference field="4294967294" count="1" selected="0">
            <x v="0"/>
          </reference>
          <reference field="11" count="1" selected="0">
            <x v="66"/>
          </reference>
        </references>
      </pivotArea>
    </chartFormat>
    <chartFormat chart="0" format="19">
      <pivotArea type="data" outline="0" fieldPosition="0">
        <references count="2">
          <reference field="4294967294" count="1" selected="0">
            <x v="0"/>
          </reference>
          <reference field="11" count="1" selected="0">
            <x v="67"/>
          </reference>
        </references>
      </pivotArea>
    </chartFormat>
    <chartFormat chart="0" format="20">
      <pivotArea type="data" outline="0" fieldPosition="0">
        <references count="2">
          <reference field="4294967294" count="1" selected="0">
            <x v="0"/>
          </reference>
          <reference field="11" count="1" selected="0">
            <x v="311"/>
          </reference>
        </references>
      </pivotArea>
    </chartFormat>
    <chartFormat chart="0" format="21">
      <pivotArea type="data" outline="0" fieldPosition="0">
        <references count="2">
          <reference field="4294967294" count="1" selected="0">
            <x v="0"/>
          </reference>
          <reference field="11" count="1" selected="0">
            <x v="312"/>
          </reference>
        </references>
      </pivotArea>
    </chartFormat>
    <chartFormat chart="0" format="22">
      <pivotArea type="data" outline="0" fieldPosition="0">
        <references count="2">
          <reference field="4294967294" count="1" selected="0">
            <x v="0"/>
          </reference>
          <reference field="11" count="1" selected="0">
            <x v="313"/>
          </reference>
        </references>
      </pivotArea>
    </chartFormat>
    <chartFormat chart="0" format="23">
      <pivotArea type="data" outline="0" fieldPosition="0">
        <references count="2">
          <reference field="4294967294" count="1" selected="0">
            <x v="0"/>
          </reference>
          <reference field="11" count="1" selected="0">
            <x v="314"/>
          </reference>
        </references>
      </pivotArea>
    </chartFormat>
    <chartFormat chart="0" format="24">
      <pivotArea type="data" outline="0" fieldPosition="0">
        <references count="2">
          <reference field="4294967294" count="1" selected="0">
            <x v="0"/>
          </reference>
          <reference field="11" count="1" selected="0">
            <x v="315"/>
          </reference>
        </references>
      </pivotArea>
    </chartFormat>
    <chartFormat chart="0" format="25">
      <pivotArea type="data" outline="0" fieldPosition="0">
        <references count="2">
          <reference field="4294967294" count="1" selected="0">
            <x v="0"/>
          </reference>
          <reference field="11" count="1" selected="0">
            <x v="316"/>
          </reference>
        </references>
      </pivotArea>
    </chartFormat>
    <chartFormat chart="0" format="26">
      <pivotArea type="data" outline="0" fieldPosition="0">
        <references count="2">
          <reference field="4294967294" count="1" selected="0">
            <x v="0"/>
          </reference>
          <reference field="11" count="1" selected="0">
            <x v="317"/>
          </reference>
        </references>
      </pivotArea>
    </chartFormat>
    <chartFormat chart="0" format="27">
      <pivotArea type="data" outline="0" fieldPosition="0">
        <references count="2">
          <reference field="4294967294" count="1" selected="0">
            <x v="0"/>
          </reference>
          <reference field="11" count="1" selected="0">
            <x v="318"/>
          </reference>
        </references>
      </pivotArea>
    </chartFormat>
    <chartFormat chart="0" format="28">
      <pivotArea type="data" outline="0" fieldPosition="0">
        <references count="2">
          <reference field="4294967294" count="1" selected="0">
            <x v="0"/>
          </reference>
          <reference field="11" count="1" selected="0">
            <x v="319"/>
          </reference>
        </references>
      </pivotArea>
    </chartFormat>
    <chartFormat chart="0" format="29">
      <pivotArea type="data" outline="0" fieldPosition="0">
        <references count="2">
          <reference field="4294967294" count="1" selected="0">
            <x v="0"/>
          </reference>
          <reference field="11" count="1" selected="0">
            <x v="320"/>
          </reference>
        </references>
      </pivotArea>
    </chartFormat>
    <chartFormat chart="0" format="30">
      <pivotArea type="data" outline="0" fieldPosition="0">
        <references count="2">
          <reference field="4294967294" count="1" selected="0">
            <x v="0"/>
          </reference>
          <reference field="11" count="1" selected="0">
            <x v="321"/>
          </reference>
        </references>
      </pivotArea>
    </chartFormat>
    <chartFormat chart="0" format="31">
      <pivotArea type="data" outline="0" fieldPosition="0">
        <references count="2">
          <reference field="4294967294" count="1" selected="0">
            <x v="0"/>
          </reference>
          <reference field="11" count="1" selected="0">
            <x v="322"/>
          </reference>
        </references>
      </pivotArea>
    </chartFormat>
    <chartFormat chart="0" format="32">
      <pivotArea type="data" outline="0" fieldPosition="0">
        <references count="2">
          <reference field="4294967294" count="1" selected="0">
            <x v="0"/>
          </reference>
          <reference field="11" count="1" selected="0">
            <x v="323"/>
          </reference>
        </references>
      </pivotArea>
    </chartFormat>
    <chartFormat chart="0" format="33">
      <pivotArea type="data" outline="0" fieldPosition="0">
        <references count="2">
          <reference field="4294967294" count="1" selected="0">
            <x v="0"/>
          </reference>
          <reference field="11" count="1" selected="0">
            <x v="324"/>
          </reference>
        </references>
      </pivotArea>
    </chartFormat>
    <chartFormat chart="0" format="34">
      <pivotArea type="data" outline="0" fieldPosition="0">
        <references count="2">
          <reference field="4294967294" count="1" selected="0">
            <x v="0"/>
          </reference>
          <reference field="11" count="1" selected="0">
            <x v="325"/>
          </reference>
        </references>
      </pivotArea>
    </chartFormat>
    <chartFormat chart="0" format="35">
      <pivotArea type="data" outline="0" fieldPosition="0">
        <references count="2">
          <reference field="4294967294" count="1" selected="0">
            <x v="0"/>
          </reference>
          <reference field="11" count="1" selected="0">
            <x v="327"/>
          </reference>
        </references>
      </pivotArea>
    </chartFormat>
    <chartFormat chart="0" format="36">
      <pivotArea type="data" outline="0" fieldPosition="0">
        <references count="2">
          <reference field="4294967294" count="1" selected="0">
            <x v="0"/>
          </reference>
          <reference field="11" count="1" selected="0">
            <x v="328"/>
          </reference>
        </references>
      </pivotArea>
    </chartFormat>
    <chartFormat chart="0" format="37">
      <pivotArea type="data" outline="0" fieldPosition="0">
        <references count="2">
          <reference field="4294967294" count="1" selected="0">
            <x v="0"/>
          </reference>
          <reference field="11" count="1" selected="0">
            <x v="329"/>
          </reference>
        </references>
      </pivotArea>
    </chartFormat>
    <chartFormat chart="0" format="38">
      <pivotArea type="data" outline="0" fieldPosition="0">
        <references count="2">
          <reference field="4294967294" count="1" selected="0">
            <x v="0"/>
          </reference>
          <reference field="11" count="1" selected="0">
            <x v="330"/>
          </reference>
        </references>
      </pivotArea>
    </chartFormat>
    <chartFormat chart="0" format="39">
      <pivotArea type="data" outline="0" fieldPosition="0">
        <references count="2">
          <reference field="4294967294" count="1" selected="0">
            <x v="0"/>
          </reference>
          <reference field="11" count="1" selected="0">
            <x v="331"/>
          </reference>
        </references>
      </pivotArea>
    </chartFormat>
    <chartFormat chart="0" format="40">
      <pivotArea type="data" outline="0" fieldPosition="0">
        <references count="2">
          <reference field="4294967294" count="1" selected="0">
            <x v="0"/>
          </reference>
          <reference field="11" count="1" selected="0">
            <x v="332"/>
          </reference>
        </references>
      </pivotArea>
    </chartFormat>
    <chartFormat chart="0" format="41">
      <pivotArea type="data" outline="0" fieldPosition="0">
        <references count="2">
          <reference field="4294967294" count="1" selected="0">
            <x v="0"/>
          </reference>
          <reference field="11" count="1" selected="0">
            <x v="333"/>
          </reference>
        </references>
      </pivotArea>
    </chartFormat>
    <chartFormat chart="0" format="42">
      <pivotArea type="data" outline="0" fieldPosition="0">
        <references count="2">
          <reference field="4294967294" count="1" selected="0">
            <x v="0"/>
          </reference>
          <reference field="11" count="1" selected="0">
            <x v="334"/>
          </reference>
        </references>
      </pivotArea>
    </chartFormat>
    <chartFormat chart="0" format="43">
      <pivotArea type="data" outline="0" fieldPosition="0">
        <references count="2">
          <reference field="4294967294" count="1" selected="0">
            <x v="0"/>
          </reference>
          <reference field="11" count="1" selected="0">
            <x v="335"/>
          </reference>
        </references>
      </pivotArea>
    </chartFormat>
    <chartFormat chart="0" format="44">
      <pivotArea type="data" outline="0" fieldPosition="0">
        <references count="2">
          <reference field="4294967294" count="1" selected="0">
            <x v="0"/>
          </reference>
          <reference field="11" count="1" selected="0">
            <x v="336"/>
          </reference>
        </references>
      </pivotArea>
    </chartFormat>
    <chartFormat chart="0" format="45">
      <pivotArea type="data" outline="0" fieldPosition="0">
        <references count="2">
          <reference field="4294967294" count="1" selected="0">
            <x v="0"/>
          </reference>
          <reference field="11" count="1" selected="0">
            <x v="337"/>
          </reference>
        </references>
      </pivotArea>
    </chartFormat>
    <chartFormat chart="0" format="46">
      <pivotArea type="data" outline="0" fieldPosition="0">
        <references count="2">
          <reference field="4294967294" count="1" selected="0">
            <x v="0"/>
          </reference>
          <reference field="11" count="1" selected="0">
            <x v="338"/>
          </reference>
        </references>
      </pivotArea>
    </chartFormat>
    <chartFormat chart="0" format="47">
      <pivotArea type="data" outline="0" fieldPosition="0">
        <references count="2">
          <reference field="4294967294" count="1" selected="0">
            <x v="0"/>
          </reference>
          <reference field="11" count="1" selected="0">
            <x v="339"/>
          </reference>
        </references>
      </pivotArea>
    </chartFormat>
    <chartFormat chart="0" format="48">
      <pivotArea type="data" outline="0" fieldPosition="0">
        <references count="2">
          <reference field="4294967294" count="1" selected="0">
            <x v="0"/>
          </reference>
          <reference field="11" count="1" selected="0">
            <x v="340"/>
          </reference>
        </references>
      </pivotArea>
    </chartFormat>
    <chartFormat chart="0" format="49">
      <pivotArea type="data" outline="0" fieldPosition="0">
        <references count="2">
          <reference field="4294967294" count="1" selected="0">
            <x v="0"/>
          </reference>
          <reference field="11" count="1" selected="0">
            <x v="341"/>
          </reference>
        </references>
      </pivotArea>
    </chartFormat>
    <chartFormat chart="0" format="50">
      <pivotArea type="data" outline="0" fieldPosition="0">
        <references count="2">
          <reference field="4294967294" count="1" selected="0">
            <x v="0"/>
          </reference>
          <reference field="11" count="1" selected="0">
            <x v="342"/>
          </reference>
        </references>
      </pivotArea>
    </chartFormat>
    <chartFormat chart="0" format="51">
      <pivotArea type="data" outline="0" fieldPosition="0">
        <references count="2">
          <reference field="4294967294" count="1" selected="0">
            <x v="0"/>
          </reference>
          <reference field="11" count="1" selected="0">
            <x v="343"/>
          </reference>
        </references>
      </pivotArea>
    </chartFormat>
    <chartFormat chart="0" format="52">
      <pivotArea type="data" outline="0" fieldPosition="0">
        <references count="2">
          <reference field="4294967294" count="1" selected="0">
            <x v="0"/>
          </reference>
          <reference field="11" count="1" selected="0">
            <x v="344"/>
          </reference>
        </references>
      </pivotArea>
    </chartFormat>
    <chartFormat chart="0" format="53">
      <pivotArea type="data" outline="0" fieldPosition="0">
        <references count="2">
          <reference field="4294967294" count="1" selected="0">
            <x v="0"/>
          </reference>
          <reference field="11" count="1" selected="0">
            <x v="345"/>
          </reference>
        </references>
      </pivotArea>
    </chartFormat>
    <chartFormat chart="0" format="54">
      <pivotArea type="data" outline="0" fieldPosition="0">
        <references count="2">
          <reference field="4294967294" count="1" selected="0">
            <x v="0"/>
          </reference>
          <reference field="11" count="1" selected="0">
            <x v="346"/>
          </reference>
        </references>
      </pivotArea>
    </chartFormat>
    <chartFormat chart="0" format="55">
      <pivotArea type="data" outline="0" fieldPosition="0">
        <references count="2">
          <reference field="4294967294" count="1" selected="0">
            <x v="0"/>
          </reference>
          <reference field="11" count="1" selected="0">
            <x v="347"/>
          </reference>
        </references>
      </pivotArea>
    </chartFormat>
    <chartFormat chart="0" format="56">
      <pivotArea type="data" outline="0" fieldPosition="0">
        <references count="2">
          <reference field="4294967294" count="1" selected="0">
            <x v="0"/>
          </reference>
          <reference field="11" count="1" selected="0">
            <x v="348"/>
          </reference>
        </references>
      </pivotArea>
    </chartFormat>
    <chartFormat chart="0" format="57">
      <pivotArea type="data" outline="0" fieldPosition="0">
        <references count="2">
          <reference field="4294967294" count="1" selected="0">
            <x v="0"/>
          </reference>
          <reference field="11" count="1" selected="0">
            <x v="349"/>
          </reference>
        </references>
      </pivotArea>
    </chartFormat>
    <chartFormat chart="0" format="58">
      <pivotArea type="data" outline="0" fieldPosition="0">
        <references count="2">
          <reference field="4294967294" count="1" selected="0">
            <x v="0"/>
          </reference>
          <reference field="11" count="1" selected="0">
            <x v="350"/>
          </reference>
        </references>
      </pivotArea>
    </chartFormat>
    <chartFormat chart="0" format="59">
      <pivotArea type="data" outline="0" fieldPosition="0">
        <references count="2">
          <reference field="4294967294" count="1" selected="0">
            <x v="0"/>
          </reference>
          <reference field="11" count="1" selected="0">
            <x v="351"/>
          </reference>
        </references>
      </pivotArea>
    </chartFormat>
    <chartFormat chart="0" format="60">
      <pivotArea type="data" outline="0" fieldPosition="0">
        <references count="2">
          <reference field="4294967294" count="1" selected="0">
            <x v="0"/>
          </reference>
          <reference field="11" count="1" selected="0">
            <x v="352"/>
          </reference>
        </references>
      </pivotArea>
    </chartFormat>
    <chartFormat chart="0" format="61">
      <pivotArea type="data" outline="0" fieldPosition="0">
        <references count="2">
          <reference field="4294967294" count="1" selected="0">
            <x v="0"/>
          </reference>
          <reference field="11" count="1" selected="0">
            <x v="353"/>
          </reference>
        </references>
      </pivotArea>
    </chartFormat>
    <chartFormat chart="0" format="62">
      <pivotArea type="data" outline="0" fieldPosition="0">
        <references count="2">
          <reference field="4294967294" count="1" selected="0">
            <x v="0"/>
          </reference>
          <reference field="11" count="1" selected="0">
            <x v="354"/>
          </reference>
        </references>
      </pivotArea>
    </chartFormat>
    <chartFormat chart="0" format="63">
      <pivotArea type="data" outline="0" fieldPosition="0">
        <references count="2">
          <reference field="4294967294" count="1" selected="0">
            <x v="0"/>
          </reference>
          <reference field="11" count="1" selected="0">
            <x v="355"/>
          </reference>
        </references>
      </pivotArea>
    </chartFormat>
    <chartFormat chart="0" format="64">
      <pivotArea type="data" outline="0" fieldPosition="0">
        <references count="2">
          <reference field="4294967294" count="1" selected="0">
            <x v="0"/>
          </reference>
          <reference field="11" count="1" selected="0">
            <x v="356"/>
          </reference>
        </references>
      </pivotArea>
    </chartFormat>
    <chartFormat chart="0" format="65">
      <pivotArea type="data" outline="0" fieldPosition="0">
        <references count="2">
          <reference field="4294967294" count="1" selected="0">
            <x v="0"/>
          </reference>
          <reference field="11" count="1" selected="0">
            <x v="357"/>
          </reference>
        </references>
      </pivotArea>
    </chartFormat>
    <chartFormat chart="0" format="66">
      <pivotArea type="data" outline="0" fieldPosition="0">
        <references count="2">
          <reference field="4294967294" count="1" selected="0">
            <x v="0"/>
          </reference>
          <reference field="11" count="1" selected="0">
            <x v="358"/>
          </reference>
        </references>
      </pivotArea>
    </chartFormat>
    <chartFormat chart="0" format="67">
      <pivotArea type="data" outline="0" fieldPosition="0">
        <references count="2">
          <reference field="4294967294" count="1" selected="0">
            <x v="0"/>
          </reference>
          <reference field="11" count="1" selected="0">
            <x v="359"/>
          </reference>
        </references>
      </pivotArea>
    </chartFormat>
    <chartFormat chart="0" format="68">
      <pivotArea type="data" outline="0" fieldPosition="0">
        <references count="2">
          <reference field="4294967294" count="1" selected="0">
            <x v="0"/>
          </reference>
          <reference field="11" count="1" selected="0">
            <x v="360"/>
          </reference>
        </references>
      </pivotArea>
    </chartFormat>
    <chartFormat chart="0" format="69">
      <pivotArea type="data" outline="0" fieldPosition="0">
        <references count="2">
          <reference field="4294967294" count="1" selected="0">
            <x v="0"/>
          </reference>
          <reference field="11" count="1" selected="0">
            <x v="361"/>
          </reference>
        </references>
      </pivotArea>
    </chartFormat>
    <chartFormat chart="0" format="70">
      <pivotArea type="data" outline="0" fieldPosition="0">
        <references count="2">
          <reference field="4294967294" count="1" selected="0">
            <x v="0"/>
          </reference>
          <reference field="11" count="1" selected="0">
            <x v="362"/>
          </reference>
        </references>
      </pivotArea>
    </chartFormat>
    <chartFormat chart="0" format="71">
      <pivotArea type="data" outline="0" fieldPosition="0">
        <references count="2">
          <reference field="4294967294" count="1" selected="0">
            <x v="0"/>
          </reference>
          <reference field="11" count="1" selected="0">
            <x v="363"/>
          </reference>
        </references>
      </pivotArea>
    </chartFormat>
    <chartFormat chart="0" format="72">
      <pivotArea type="data" outline="0" fieldPosition="0">
        <references count="2">
          <reference field="4294967294" count="1" selected="0">
            <x v="0"/>
          </reference>
          <reference field="11" count="1" selected="0">
            <x v="364"/>
          </reference>
        </references>
      </pivotArea>
    </chartFormat>
    <chartFormat chart="0" format="73">
      <pivotArea type="data" outline="0" fieldPosition="0">
        <references count="2">
          <reference field="4294967294" count="1" selected="0">
            <x v="0"/>
          </reference>
          <reference field="11" count="1" selected="0">
            <x v="365"/>
          </reference>
        </references>
      </pivotArea>
    </chartFormat>
    <chartFormat chart="0" format="74">
      <pivotArea type="data" outline="0" fieldPosition="0">
        <references count="2">
          <reference field="4294967294" count="1" selected="0">
            <x v="0"/>
          </reference>
          <reference field="11" count="1" selected="0">
            <x v="366"/>
          </reference>
        </references>
      </pivotArea>
    </chartFormat>
    <chartFormat chart="0" format="75">
      <pivotArea type="data" outline="0" fieldPosition="0">
        <references count="2">
          <reference field="4294967294" count="1" selected="0">
            <x v="0"/>
          </reference>
          <reference field="11" count="1" selected="0">
            <x v="367"/>
          </reference>
        </references>
      </pivotArea>
    </chartFormat>
    <chartFormat chart="0" format="76">
      <pivotArea type="data" outline="0" fieldPosition="0">
        <references count="2">
          <reference field="4294967294" count="1" selected="0">
            <x v="0"/>
          </reference>
          <reference field="11" count="1" selected="0">
            <x v="368"/>
          </reference>
        </references>
      </pivotArea>
    </chartFormat>
    <chartFormat chart="0" format="77">
      <pivotArea type="data" outline="0" fieldPosition="0">
        <references count="2">
          <reference field="4294967294" count="1" selected="0">
            <x v="0"/>
          </reference>
          <reference field="11" count="1" selected="0">
            <x v="369"/>
          </reference>
        </references>
      </pivotArea>
    </chartFormat>
    <chartFormat chart="0" format="78">
      <pivotArea type="data" outline="0" fieldPosition="0">
        <references count="2">
          <reference field="4294967294" count="1" selected="0">
            <x v="0"/>
          </reference>
          <reference field="11" count="1" selected="0">
            <x v="370"/>
          </reference>
        </references>
      </pivotArea>
    </chartFormat>
    <chartFormat chart="0" format="79">
      <pivotArea type="data" outline="0" fieldPosition="0">
        <references count="2">
          <reference field="4294967294" count="1" selected="0">
            <x v="0"/>
          </reference>
          <reference field="11" count="1" selected="0">
            <x v="371"/>
          </reference>
        </references>
      </pivotArea>
    </chartFormat>
    <chartFormat chart="0" format="80">
      <pivotArea type="data" outline="0" fieldPosition="0">
        <references count="2">
          <reference field="4294967294" count="1" selected="0">
            <x v="1"/>
          </reference>
          <reference field="11" count="1" selected="0">
            <x v="50"/>
          </reference>
        </references>
      </pivotArea>
    </chartFormat>
    <chartFormat chart="0" format="81">
      <pivotArea type="data" outline="0" fieldPosition="0">
        <references count="2">
          <reference field="4294967294" count="1" selected="0">
            <x v="1"/>
          </reference>
          <reference field="11" count="1" selected="0">
            <x v="51"/>
          </reference>
        </references>
      </pivotArea>
    </chartFormat>
    <chartFormat chart="0" format="82">
      <pivotArea type="data" outline="0" fieldPosition="0">
        <references count="2">
          <reference field="4294967294" count="1" selected="0">
            <x v="1"/>
          </reference>
          <reference field="11" count="1" selected="0">
            <x v="52"/>
          </reference>
        </references>
      </pivotArea>
    </chartFormat>
    <chartFormat chart="0" format="83">
      <pivotArea type="data" outline="0" fieldPosition="0">
        <references count="2">
          <reference field="4294967294" count="1" selected="0">
            <x v="1"/>
          </reference>
          <reference field="11" count="1" selected="0">
            <x v="53"/>
          </reference>
        </references>
      </pivotArea>
    </chartFormat>
    <chartFormat chart="0" format="84">
      <pivotArea type="data" outline="0" fieldPosition="0">
        <references count="2">
          <reference field="4294967294" count="1" selected="0">
            <x v="1"/>
          </reference>
          <reference field="11" count="1" selected="0">
            <x v="54"/>
          </reference>
        </references>
      </pivotArea>
    </chartFormat>
    <chartFormat chart="0" format="85">
      <pivotArea type="data" outline="0" fieldPosition="0">
        <references count="2">
          <reference field="4294967294" count="1" selected="0">
            <x v="1"/>
          </reference>
          <reference field="11" count="1" selected="0">
            <x v="55"/>
          </reference>
        </references>
      </pivotArea>
    </chartFormat>
    <chartFormat chart="0" format="86">
      <pivotArea type="data" outline="0" fieldPosition="0">
        <references count="2">
          <reference field="4294967294" count="1" selected="0">
            <x v="1"/>
          </reference>
          <reference field="11" count="1" selected="0">
            <x v="56"/>
          </reference>
        </references>
      </pivotArea>
    </chartFormat>
    <chartFormat chart="0" format="87">
      <pivotArea type="data" outline="0" fieldPosition="0">
        <references count="2">
          <reference field="4294967294" count="1" selected="0">
            <x v="1"/>
          </reference>
          <reference field="11" count="1" selected="0">
            <x v="57"/>
          </reference>
        </references>
      </pivotArea>
    </chartFormat>
    <chartFormat chart="0" format="88">
      <pivotArea type="data" outline="0" fieldPosition="0">
        <references count="2">
          <reference field="4294967294" count="1" selected="0">
            <x v="1"/>
          </reference>
          <reference field="11" count="1" selected="0">
            <x v="58"/>
          </reference>
        </references>
      </pivotArea>
    </chartFormat>
    <chartFormat chart="0" format="89">
      <pivotArea type="data" outline="0" fieldPosition="0">
        <references count="2">
          <reference field="4294967294" count="1" selected="0">
            <x v="1"/>
          </reference>
          <reference field="11" count="1" selected="0">
            <x v="59"/>
          </reference>
        </references>
      </pivotArea>
    </chartFormat>
    <chartFormat chart="0" format="90">
      <pivotArea type="data" outline="0" fieldPosition="0">
        <references count="2">
          <reference field="4294967294" count="1" selected="0">
            <x v="1"/>
          </reference>
          <reference field="11" count="1" selected="0">
            <x v="60"/>
          </reference>
        </references>
      </pivotArea>
    </chartFormat>
    <chartFormat chart="0" format="91">
      <pivotArea type="data" outline="0" fieldPosition="0">
        <references count="2">
          <reference field="4294967294" count="1" selected="0">
            <x v="1"/>
          </reference>
          <reference field="11" count="1" selected="0">
            <x v="61"/>
          </reference>
        </references>
      </pivotArea>
    </chartFormat>
    <chartFormat chart="0" format="92">
      <pivotArea type="data" outline="0" fieldPosition="0">
        <references count="2">
          <reference field="4294967294" count="1" selected="0">
            <x v="1"/>
          </reference>
          <reference field="11" count="1" selected="0">
            <x v="62"/>
          </reference>
        </references>
      </pivotArea>
    </chartFormat>
    <chartFormat chart="0" format="93">
      <pivotArea type="data" outline="0" fieldPosition="0">
        <references count="2">
          <reference field="4294967294" count="1" selected="0">
            <x v="1"/>
          </reference>
          <reference field="11" count="1" selected="0">
            <x v="63"/>
          </reference>
        </references>
      </pivotArea>
    </chartFormat>
    <chartFormat chart="0" format="94">
      <pivotArea type="data" outline="0" fieldPosition="0">
        <references count="2">
          <reference field="4294967294" count="1" selected="0">
            <x v="1"/>
          </reference>
          <reference field="11" count="1" selected="0">
            <x v="64"/>
          </reference>
        </references>
      </pivotArea>
    </chartFormat>
    <chartFormat chart="0" format="95">
      <pivotArea type="data" outline="0" fieldPosition="0">
        <references count="2">
          <reference field="4294967294" count="1" selected="0">
            <x v="1"/>
          </reference>
          <reference field="11" count="1" selected="0">
            <x v="65"/>
          </reference>
        </references>
      </pivotArea>
    </chartFormat>
    <chartFormat chart="0" format="96">
      <pivotArea type="data" outline="0" fieldPosition="0">
        <references count="2">
          <reference field="4294967294" count="1" selected="0">
            <x v="1"/>
          </reference>
          <reference field="11" count="1" selected="0">
            <x v="66"/>
          </reference>
        </references>
      </pivotArea>
    </chartFormat>
    <chartFormat chart="0" format="97">
      <pivotArea type="data" outline="0" fieldPosition="0">
        <references count="2">
          <reference field="4294967294" count="1" selected="0">
            <x v="1"/>
          </reference>
          <reference field="11" count="1" selected="0">
            <x v="67"/>
          </reference>
        </references>
      </pivotArea>
    </chartFormat>
    <chartFormat chart="0" format="98">
      <pivotArea type="data" outline="0" fieldPosition="0">
        <references count="2">
          <reference field="4294967294" count="1" selected="0">
            <x v="1"/>
          </reference>
          <reference field="11" count="1" selected="0">
            <x v="311"/>
          </reference>
        </references>
      </pivotArea>
    </chartFormat>
    <chartFormat chart="0" format="99">
      <pivotArea type="data" outline="0" fieldPosition="0">
        <references count="2">
          <reference field="4294967294" count="1" selected="0">
            <x v="1"/>
          </reference>
          <reference field="11" count="1" selected="0">
            <x v="312"/>
          </reference>
        </references>
      </pivotArea>
    </chartFormat>
    <chartFormat chart="0" format="100">
      <pivotArea type="data" outline="0" fieldPosition="0">
        <references count="2">
          <reference field="4294967294" count="1" selected="0">
            <x v="1"/>
          </reference>
          <reference field="11" count="1" selected="0">
            <x v="313"/>
          </reference>
        </references>
      </pivotArea>
    </chartFormat>
    <chartFormat chart="0" format="101">
      <pivotArea type="data" outline="0" fieldPosition="0">
        <references count="2">
          <reference field="4294967294" count="1" selected="0">
            <x v="1"/>
          </reference>
          <reference field="11" count="1" selected="0">
            <x v="314"/>
          </reference>
        </references>
      </pivotArea>
    </chartFormat>
    <chartFormat chart="0" format="102">
      <pivotArea type="data" outline="0" fieldPosition="0">
        <references count="2">
          <reference field="4294967294" count="1" selected="0">
            <x v="1"/>
          </reference>
          <reference field="11" count="1" selected="0">
            <x v="315"/>
          </reference>
        </references>
      </pivotArea>
    </chartFormat>
    <chartFormat chart="0" format="103">
      <pivotArea type="data" outline="0" fieldPosition="0">
        <references count="2">
          <reference field="4294967294" count="1" selected="0">
            <x v="1"/>
          </reference>
          <reference field="11" count="1" selected="0">
            <x v="316"/>
          </reference>
        </references>
      </pivotArea>
    </chartFormat>
    <chartFormat chart="0" format="104">
      <pivotArea type="data" outline="0" fieldPosition="0">
        <references count="2">
          <reference field="4294967294" count="1" selected="0">
            <x v="1"/>
          </reference>
          <reference field="11" count="1" selected="0">
            <x v="317"/>
          </reference>
        </references>
      </pivotArea>
    </chartFormat>
    <chartFormat chart="0" format="105">
      <pivotArea type="data" outline="0" fieldPosition="0">
        <references count="2">
          <reference field="4294967294" count="1" selected="0">
            <x v="1"/>
          </reference>
          <reference field="11" count="1" selected="0">
            <x v="318"/>
          </reference>
        </references>
      </pivotArea>
    </chartFormat>
    <chartFormat chart="0" format="106">
      <pivotArea type="data" outline="0" fieldPosition="0">
        <references count="2">
          <reference field="4294967294" count="1" selected="0">
            <x v="1"/>
          </reference>
          <reference field="11" count="1" selected="0">
            <x v="319"/>
          </reference>
        </references>
      </pivotArea>
    </chartFormat>
    <chartFormat chart="0" format="107">
      <pivotArea type="data" outline="0" fieldPosition="0">
        <references count="2">
          <reference field="4294967294" count="1" selected="0">
            <x v="1"/>
          </reference>
          <reference field="11" count="1" selected="0">
            <x v="320"/>
          </reference>
        </references>
      </pivotArea>
    </chartFormat>
    <chartFormat chart="0" format="108">
      <pivotArea type="data" outline="0" fieldPosition="0">
        <references count="2">
          <reference field="4294967294" count="1" selected="0">
            <x v="1"/>
          </reference>
          <reference field="11" count="1" selected="0">
            <x v="321"/>
          </reference>
        </references>
      </pivotArea>
    </chartFormat>
    <chartFormat chart="0" format="109">
      <pivotArea type="data" outline="0" fieldPosition="0">
        <references count="2">
          <reference field="4294967294" count="1" selected="0">
            <x v="1"/>
          </reference>
          <reference field="11" count="1" selected="0">
            <x v="322"/>
          </reference>
        </references>
      </pivotArea>
    </chartFormat>
    <chartFormat chart="0" format="110">
      <pivotArea type="data" outline="0" fieldPosition="0">
        <references count="2">
          <reference field="4294967294" count="1" selected="0">
            <x v="1"/>
          </reference>
          <reference field="11" count="1" selected="0">
            <x v="323"/>
          </reference>
        </references>
      </pivotArea>
    </chartFormat>
    <chartFormat chart="0" format="111">
      <pivotArea type="data" outline="0" fieldPosition="0">
        <references count="2">
          <reference field="4294967294" count="1" selected="0">
            <x v="1"/>
          </reference>
          <reference field="11" count="1" selected="0">
            <x v="324"/>
          </reference>
        </references>
      </pivotArea>
    </chartFormat>
    <chartFormat chart="0" format="112">
      <pivotArea type="data" outline="0" fieldPosition="0">
        <references count="2">
          <reference field="4294967294" count="1" selected="0">
            <x v="1"/>
          </reference>
          <reference field="11" count="1" selected="0">
            <x v="325"/>
          </reference>
        </references>
      </pivotArea>
    </chartFormat>
    <chartFormat chart="0" format="113">
      <pivotArea type="data" outline="0" fieldPosition="0">
        <references count="2">
          <reference field="4294967294" count="1" selected="0">
            <x v="1"/>
          </reference>
          <reference field="11" count="1" selected="0">
            <x v="327"/>
          </reference>
        </references>
      </pivotArea>
    </chartFormat>
    <chartFormat chart="0" format="114">
      <pivotArea type="data" outline="0" fieldPosition="0">
        <references count="2">
          <reference field="4294967294" count="1" selected="0">
            <x v="1"/>
          </reference>
          <reference field="11" count="1" selected="0">
            <x v="328"/>
          </reference>
        </references>
      </pivotArea>
    </chartFormat>
    <chartFormat chart="0" format="115">
      <pivotArea type="data" outline="0" fieldPosition="0">
        <references count="2">
          <reference field="4294967294" count="1" selected="0">
            <x v="1"/>
          </reference>
          <reference field="11" count="1" selected="0">
            <x v="329"/>
          </reference>
        </references>
      </pivotArea>
    </chartFormat>
    <chartFormat chart="0" format="116">
      <pivotArea type="data" outline="0" fieldPosition="0">
        <references count="2">
          <reference field="4294967294" count="1" selected="0">
            <x v="1"/>
          </reference>
          <reference field="11" count="1" selected="0">
            <x v="330"/>
          </reference>
        </references>
      </pivotArea>
    </chartFormat>
    <chartFormat chart="0" format="117">
      <pivotArea type="data" outline="0" fieldPosition="0">
        <references count="2">
          <reference field="4294967294" count="1" selected="0">
            <x v="1"/>
          </reference>
          <reference field="11" count="1" selected="0">
            <x v="331"/>
          </reference>
        </references>
      </pivotArea>
    </chartFormat>
    <chartFormat chart="0" format="118">
      <pivotArea type="data" outline="0" fieldPosition="0">
        <references count="2">
          <reference field="4294967294" count="1" selected="0">
            <x v="1"/>
          </reference>
          <reference field="11" count="1" selected="0">
            <x v="332"/>
          </reference>
        </references>
      </pivotArea>
    </chartFormat>
    <chartFormat chart="0" format="119">
      <pivotArea type="data" outline="0" fieldPosition="0">
        <references count="2">
          <reference field="4294967294" count="1" selected="0">
            <x v="1"/>
          </reference>
          <reference field="11" count="1" selected="0">
            <x v="333"/>
          </reference>
        </references>
      </pivotArea>
    </chartFormat>
    <chartFormat chart="0" format="120">
      <pivotArea type="data" outline="0" fieldPosition="0">
        <references count="2">
          <reference field="4294967294" count="1" selected="0">
            <x v="1"/>
          </reference>
          <reference field="11" count="1" selected="0">
            <x v="334"/>
          </reference>
        </references>
      </pivotArea>
    </chartFormat>
    <chartFormat chart="0" format="121">
      <pivotArea type="data" outline="0" fieldPosition="0">
        <references count="2">
          <reference field="4294967294" count="1" selected="0">
            <x v="1"/>
          </reference>
          <reference field="11" count="1" selected="0">
            <x v="335"/>
          </reference>
        </references>
      </pivotArea>
    </chartFormat>
    <chartFormat chart="0" format="122">
      <pivotArea type="data" outline="0" fieldPosition="0">
        <references count="2">
          <reference field="4294967294" count="1" selected="0">
            <x v="1"/>
          </reference>
          <reference field="11" count="1" selected="0">
            <x v="336"/>
          </reference>
        </references>
      </pivotArea>
    </chartFormat>
    <chartFormat chart="0" format="123">
      <pivotArea type="data" outline="0" fieldPosition="0">
        <references count="2">
          <reference field="4294967294" count="1" selected="0">
            <x v="1"/>
          </reference>
          <reference field="11" count="1" selected="0">
            <x v="337"/>
          </reference>
        </references>
      </pivotArea>
    </chartFormat>
    <chartFormat chart="0" format="124">
      <pivotArea type="data" outline="0" fieldPosition="0">
        <references count="2">
          <reference field="4294967294" count="1" selected="0">
            <x v="1"/>
          </reference>
          <reference field="11" count="1" selected="0">
            <x v="338"/>
          </reference>
        </references>
      </pivotArea>
    </chartFormat>
    <chartFormat chart="0" format="125">
      <pivotArea type="data" outline="0" fieldPosition="0">
        <references count="2">
          <reference field="4294967294" count="1" selected="0">
            <x v="1"/>
          </reference>
          <reference field="11" count="1" selected="0">
            <x v="339"/>
          </reference>
        </references>
      </pivotArea>
    </chartFormat>
    <chartFormat chart="0" format="126">
      <pivotArea type="data" outline="0" fieldPosition="0">
        <references count="2">
          <reference field="4294967294" count="1" selected="0">
            <x v="1"/>
          </reference>
          <reference field="11" count="1" selected="0">
            <x v="340"/>
          </reference>
        </references>
      </pivotArea>
    </chartFormat>
    <chartFormat chart="0" format="127">
      <pivotArea type="data" outline="0" fieldPosition="0">
        <references count="2">
          <reference field="4294967294" count="1" selected="0">
            <x v="1"/>
          </reference>
          <reference field="11" count="1" selected="0">
            <x v="341"/>
          </reference>
        </references>
      </pivotArea>
    </chartFormat>
    <chartFormat chart="0" format="128">
      <pivotArea type="data" outline="0" fieldPosition="0">
        <references count="2">
          <reference field="4294967294" count="1" selected="0">
            <x v="1"/>
          </reference>
          <reference field="11" count="1" selected="0">
            <x v="342"/>
          </reference>
        </references>
      </pivotArea>
    </chartFormat>
    <chartFormat chart="0" format="129">
      <pivotArea type="data" outline="0" fieldPosition="0">
        <references count="2">
          <reference field="4294967294" count="1" selected="0">
            <x v="1"/>
          </reference>
          <reference field="11" count="1" selected="0">
            <x v="343"/>
          </reference>
        </references>
      </pivotArea>
    </chartFormat>
    <chartFormat chart="0" format="130">
      <pivotArea type="data" outline="0" fieldPosition="0">
        <references count="2">
          <reference field="4294967294" count="1" selected="0">
            <x v="1"/>
          </reference>
          <reference field="11" count="1" selected="0">
            <x v="344"/>
          </reference>
        </references>
      </pivotArea>
    </chartFormat>
    <chartFormat chart="0" format="131">
      <pivotArea type="data" outline="0" fieldPosition="0">
        <references count="2">
          <reference field="4294967294" count="1" selected="0">
            <x v="1"/>
          </reference>
          <reference field="11" count="1" selected="0">
            <x v="345"/>
          </reference>
        </references>
      </pivotArea>
    </chartFormat>
    <chartFormat chart="0" format="132">
      <pivotArea type="data" outline="0" fieldPosition="0">
        <references count="2">
          <reference field="4294967294" count="1" selected="0">
            <x v="1"/>
          </reference>
          <reference field="11" count="1" selected="0">
            <x v="346"/>
          </reference>
        </references>
      </pivotArea>
    </chartFormat>
    <chartFormat chart="0" format="133">
      <pivotArea type="data" outline="0" fieldPosition="0">
        <references count="2">
          <reference field="4294967294" count="1" selected="0">
            <x v="1"/>
          </reference>
          <reference field="11" count="1" selected="0">
            <x v="347"/>
          </reference>
        </references>
      </pivotArea>
    </chartFormat>
    <chartFormat chart="0" format="134">
      <pivotArea type="data" outline="0" fieldPosition="0">
        <references count="2">
          <reference field="4294967294" count="1" selected="0">
            <x v="1"/>
          </reference>
          <reference field="11" count="1" selected="0">
            <x v="348"/>
          </reference>
        </references>
      </pivotArea>
    </chartFormat>
    <chartFormat chart="0" format="135">
      <pivotArea type="data" outline="0" fieldPosition="0">
        <references count="2">
          <reference field="4294967294" count="1" selected="0">
            <x v="1"/>
          </reference>
          <reference field="11" count="1" selected="0">
            <x v="349"/>
          </reference>
        </references>
      </pivotArea>
    </chartFormat>
    <chartFormat chart="0" format="136">
      <pivotArea type="data" outline="0" fieldPosition="0">
        <references count="2">
          <reference field="4294967294" count="1" selected="0">
            <x v="1"/>
          </reference>
          <reference field="11" count="1" selected="0">
            <x v="350"/>
          </reference>
        </references>
      </pivotArea>
    </chartFormat>
    <chartFormat chart="0" format="137">
      <pivotArea type="data" outline="0" fieldPosition="0">
        <references count="2">
          <reference field="4294967294" count="1" selected="0">
            <x v="1"/>
          </reference>
          <reference field="11" count="1" selected="0">
            <x v="351"/>
          </reference>
        </references>
      </pivotArea>
    </chartFormat>
    <chartFormat chart="0" format="138">
      <pivotArea type="data" outline="0" fieldPosition="0">
        <references count="2">
          <reference field="4294967294" count="1" selected="0">
            <x v="1"/>
          </reference>
          <reference field="11" count="1" selected="0">
            <x v="352"/>
          </reference>
        </references>
      </pivotArea>
    </chartFormat>
    <chartFormat chart="0" format="139">
      <pivotArea type="data" outline="0" fieldPosition="0">
        <references count="2">
          <reference field="4294967294" count="1" selected="0">
            <x v="1"/>
          </reference>
          <reference field="11" count="1" selected="0">
            <x v="353"/>
          </reference>
        </references>
      </pivotArea>
    </chartFormat>
    <chartFormat chart="0" format="140">
      <pivotArea type="data" outline="0" fieldPosition="0">
        <references count="2">
          <reference field="4294967294" count="1" selected="0">
            <x v="1"/>
          </reference>
          <reference field="11" count="1" selected="0">
            <x v="354"/>
          </reference>
        </references>
      </pivotArea>
    </chartFormat>
    <chartFormat chart="0" format="141">
      <pivotArea type="data" outline="0" fieldPosition="0">
        <references count="2">
          <reference field="4294967294" count="1" selected="0">
            <x v="1"/>
          </reference>
          <reference field="11" count="1" selected="0">
            <x v="355"/>
          </reference>
        </references>
      </pivotArea>
    </chartFormat>
    <chartFormat chart="0" format="142">
      <pivotArea type="data" outline="0" fieldPosition="0">
        <references count="2">
          <reference field="4294967294" count="1" selected="0">
            <x v="1"/>
          </reference>
          <reference field="11" count="1" selected="0">
            <x v="356"/>
          </reference>
        </references>
      </pivotArea>
    </chartFormat>
    <chartFormat chart="0" format="143">
      <pivotArea type="data" outline="0" fieldPosition="0">
        <references count="2">
          <reference field="4294967294" count="1" selected="0">
            <x v="1"/>
          </reference>
          <reference field="11" count="1" selected="0">
            <x v="357"/>
          </reference>
        </references>
      </pivotArea>
    </chartFormat>
    <chartFormat chart="0" format="144">
      <pivotArea type="data" outline="0" fieldPosition="0">
        <references count="2">
          <reference field="4294967294" count="1" selected="0">
            <x v="1"/>
          </reference>
          <reference field="11" count="1" selected="0">
            <x v="358"/>
          </reference>
        </references>
      </pivotArea>
    </chartFormat>
    <chartFormat chart="0" format="145">
      <pivotArea type="data" outline="0" fieldPosition="0">
        <references count="2">
          <reference field="4294967294" count="1" selected="0">
            <x v="1"/>
          </reference>
          <reference field="11" count="1" selected="0">
            <x v="359"/>
          </reference>
        </references>
      </pivotArea>
    </chartFormat>
    <chartFormat chart="0" format="146">
      <pivotArea type="data" outline="0" fieldPosition="0">
        <references count="2">
          <reference field="4294967294" count="1" selected="0">
            <x v="1"/>
          </reference>
          <reference field="11" count="1" selected="0">
            <x v="360"/>
          </reference>
        </references>
      </pivotArea>
    </chartFormat>
    <chartFormat chart="0" format="147">
      <pivotArea type="data" outline="0" fieldPosition="0">
        <references count="2">
          <reference field="4294967294" count="1" selected="0">
            <x v="1"/>
          </reference>
          <reference field="11" count="1" selected="0">
            <x v="361"/>
          </reference>
        </references>
      </pivotArea>
    </chartFormat>
    <chartFormat chart="0" format="148">
      <pivotArea type="data" outline="0" fieldPosition="0">
        <references count="2">
          <reference field="4294967294" count="1" selected="0">
            <x v="1"/>
          </reference>
          <reference field="11" count="1" selected="0">
            <x v="362"/>
          </reference>
        </references>
      </pivotArea>
    </chartFormat>
    <chartFormat chart="0" format="149">
      <pivotArea type="data" outline="0" fieldPosition="0">
        <references count="2">
          <reference field="4294967294" count="1" selected="0">
            <x v="1"/>
          </reference>
          <reference field="11" count="1" selected="0">
            <x v="363"/>
          </reference>
        </references>
      </pivotArea>
    </chartFormat>
    <chartFormat chart="0" format="150">
      <pivotArea type="data" outline="0" fieldPosition="0">
        <references count="2">
          <reference field="4294967294" count="1" selected="0">
            <x v="1"/>
          </reference>
          <reference field="11" count="1" selected="0">
            <x v="364"/>
          </reference>
        </references>
      </pivotArea>
    </chartFormat>
    <chartFormat chart="0" format="151">
      <pivotArea type="data" outline="0" fieldPosition="0">
        <references count="2">
          <reference field="4294967294" count="1" selected="0">
            <x v="1"/>
          </reference>
          <reference field="11" count="1" selected="0">
            <x v="365"/>
          </reference>
        </references>
      </pivotArea>
    </chartFormat>
    <chartFormat chart="0" format="152">
      <pivotArea type="data" outline="0" fieldPosition="0">
        <references count="2">
          <reference field="4294967294" count="1" selected="0">
            <x v="1"/>
          </reference>
          <reference field="11" count="1" selected="0">
            <x v="366"/>
          </reference>
        </references>
      </pivotArea>
    </chartFormat>
    <chartFormat chart="0" format="153">
      <pivotArea type="data" outline="0" fieldPosition="0">
        <references count="2">
          <reference field="4294967294" count="1" selected="0">
            <x v="1"/>
          </reference>
          <reference field="11" count="1" selected="0">
            <x v="367"/>
          </reference>
        </references>
      </pivotArea>
    </chartFormat>
    <chartFormat chart="0" format="154">
      <pivotArea type="data" outline="0" fieldPosition="0">
        <references count="2">
          <reference field="4294967294" count="1" selected="0">
            <x v="1"/>
          </reference>
          <reference field="11" count="1" selected="0">
            <x v="368"/>
          </reference>
        </references>
      </pivotArea>
    </chartFormat>
    <chartFormat chart="0" format="155">
      <pivotArea type="data" outline="0" fieldPosition="0">
        <references count="2">
          <reference field="4294967294" count="1" selected="0">
            <x v="1"/>
          </reference>
          <reference field="11" count="1" selected="0">
            <x v="369"/>
          </reference>
        </references>
      </pivotArea>
    </chartFormat>
    <chartFormat chart="0" format="156">
      <pivotArea type="data" outline="0" fieldPosition="0">
        <references count="2">
          <reference field="4294967294" count="1" selected="0">
            <x v="1"/>
          </reference>
          <reference field="11" count="1" selected="0">
            <x v="370"/>
          </reference>
        </references>
      </pivotArea>
    </chartFormat>
    <chartFormat chart="0" format="157">
      <pivotArea type="data" outline="0" fieldPosition="0">
        <references count="2">
          <reference field="4294967294" count="1" selected="0">
            <x v="1"/>
          </reference>
          <reference field="11" count="1" selected="0">
            <x v="371"/>
          </reference>
        </references>
      </pivotArea>
    </chartFormat>
    <chartFormat chart="0" format="158">
      <pivotArea type="data" outline="0" fieldPosition="0">
        <references count="2">
          <reference field="4294967294" count="1" selected="0">
            <x v="0"/>
          </reference>
          <reference field="11" count="1" selected="0">
            <x v="326"/>
          </reference>
        </references>
      </pivotArea>
    </chartFormat>
    <chartFormat chart="0" format="159">
      <pivotArea type="data" outline="0" fieldPosition="0">
        <references count="2">
          <reference field="4294967294" count="1" selected="0">
            <x v="0"/>
          </reference>
          <reference field="11" count="1" selected="0">
            <x v="372"/>
          </reference>
        </references>
      </pivotArea>
    </chartFormat>
    <chartFormat chart="0" format="160">
      <pivotArea type="data" outline="0" fieldPosition="0">
        <references count="2">
          <reference field="4294967294" count="1" selected="0">
            <x v="0"/>
          </reference>
          <reference field="11" count="1" selected="0">
            <x v="373"/>
          </reference>
        </references>
      </pivotArea>
    </chartFormat>
    <chartFormat chart="0" format="161">
      <pivotArea type="data" outline="0" fieldPosition="0">
        <references count="2">
          <reference field="4294967294" count="1" selected="0">
            <x v="0"/>
          </reference>
          <reference field="11" count="1" selected="0">
            <x v="374"/>
          </reference>
        </references>
      </pivotArea>
    </chartFormat>
    <chartFormat chart="0" format="162">
      <pivotArea type="data" outline="0" fieldPosition="0">
        <references count="2">
          <reference field="4294967294" count="1" selected="0">
            <x v="0"/>
          </reference>
          <reference field="11" count="1" selected="0">
            <x v="375"/>
          </reference>
        </references>
      </pivotArea>
    </chartFormat>
    <chartFormat chart="0" format="163">
      <pivotArea type="data" outline="0" fieldPosition="0">
        <references count="2">
          <reference field="4294967294" count="1" selected="0">
            <x v="0"/>
          </reference>
          <reference field="11" count="1" selected="0">
            <x v="376"/>
          </reference>
        </references>
      </pivotArea>
    </chartFormat>
    <chartFormat chart="0" format="164">
      <pivotArea type="data" outline="0" fieldPosition="0">
        <references count="2">
          <reference field="4294967294" count="1" selected="0">
            <x v="0"/>
          </reference>
          <reference field="11" count="1" selected="0">
            <x v="377"/>
          </reference>
        </references>
      </pivotArea>
    </chartFormat>
    <chartFormat chart="0" format="165">
      <pivotArea type="data" outline="0" fieldPosition="0">
        <references count="2">
          <reference field="4294967294" count="1" selected="0">
            <x v="0"/>
          </reference>
          <reference field="11" count="1" selected="0">
            <x v="378"/>
          </reference>
        </references>
      </pivotArea>
    </chartFormat>
    <chartFormat chart="0" format="166">
      <pivotArea type="data" outline="0" fieldPosition="0">
        <references count="2">
          <reference field="4294967294" count="1" selected="0">
            <x v="0"/>
          </reference>
          <reference field="11" count="1" selected="0">
            <x v="379"/>
          </reference>
        </references>
      </pivotArea>
    </chartFormat>
    <chartFormat chart="0" format="167">
      <pivotArea type="data" outline="0" fieldPosition="0">
        <references count="2">
          <reference field="4294967294" count="1" selected="0">
            <x v="0"/>
          </reference>
          <reference field="11" count="1" selected="0">
            <x v="380"/>
          </reference>
        </references>
      </pivotArea>
    </chartFormat>
    <chartFormat chart="0" format="168">
      <pivotArea type="data" outline="0" fieldPosition="0">
        <references count="2">
          <reference field="4294967294" count="1" selected="0">
            <x v="0"/>
          </reference>
          <reference field="11" count="1" selected="0">
            <x v="381"/>
          </reference>
        </references>
      </pivotArea>
    </chartFormat>
    <chartFormat chart="0" format="169">
      <pivotArea type="data" outline="0" fieldPosition="0">
        <references count="2">
          <reference field="4294967294" count="1" selected="0">
            <x v="1"/>
          </reference>
          <reference field="11" count="1" selected="0">
            <x v="326"/>
          </reference>
        </references>
      </pivotArea>
    </chartFormat>
    <chartFormat chart="0" format="170">
      <pivotArea type="data" outline="0" fieldPosition="0">
        <references count="2">
          <reference field="4294967294" count="1" selected="0">
            <x v="1"/>
          </reference>
          <reference field="11" count="1" selected="0">
            <x v="372"/>
          </reference>
        </references>
      </pivotArea>
    </chartFormat>
    <chartFormat chart="0" format="171">
      <pivotArea type="data" outline="0" fieldPosition="0">
        <references count="2">
          <reference field="4294967294" count="1" selected="0">
            <x v="1"/>
          </reference>
          <reference field="11" count="1" selected="0">
            <x v="373"/>
          </reference>
        </references>
      </pivotArea>
    </chartFormat>
    <chartFormat chart="0" format="172">
      <pivotArea type="data" outline="0" fieldPosition="0">
        <references count="2">
          <reference field="4294967294" count="1" selected="0">
            <x v="1"/>
          </reference>
          <reference field="11" count="1" selected="0">
            <x v="374"/>
          </reference>
        </references>
      </pivotArea>
    </chartFormat>
    <chartFormat chart="0" format="173">
      <pivotArea type="data" outline="0" fieldPosition="0">
        <references count="2">
          <reference field="4294967294" count="1" selected="0">
            <x v="1"/>
          </reference>
          <reference field="11" count="1" selected="0">
            <x v="375"/>
          </reference>
        </references>
      </pivotArea>
    </chartFormat>
    <chartFormat chart="0" format="174">
      <pivotArea type="data" outline="0" fieldPosition="0">
        <references count="2">
          <reference field="4294967294" count="1" selected="0">
            <x v="1"/>
          </reference>
          <reference field="11" count="1" selected="0">
            <x v="376"/>
          </reference>
        </references>
      </pivotArea>
    </chartFormat>
    <chartFormat chart="0" format="175">
      <pivotArea type="data" outline="0" fieldPosition="0">
        <references count="2">
          <reference field="4294967294" count="1" selected="0">
            <x v="1"/>
          </reference>
          <reference field="11" count="1" selected="0">
            <x v="377"/>
          </reference>
        </references>
      </pivotArea>
    </chartFormat>
    <chartFormat chart="0" format="176">
      <pivotArea type="data" outline="0" fieldPosition="0">
        <references count="2">
          <reference field="4294967294" count="1" selected="0">
            <x v="1"/>
          </reference>
          <reference field="11" count="1" selected="0">
            <x v="378"/>
          </reference>
        </references>
      </pivotArea>
    </chartFormat>
    <chartFormat chart="0" format="177">
      <pivotArea type="data" outline="0" fieldPosition="0">
        <references count="2">
          <reference field="4294967294" count="1" selected="0">
            <x v="1"/>
          </reference>
          <reference field="11" count="1" selected="0">
            <x v="379"/>
          </reference>
        </references>
      </pivotArea>
    </chartFormat>
    <chartFormat chart="0" format="178">
      <pivotArea type="data" outline="0" fieldPosition="0">
        <references count="2">
          <reference field="4294967294" count="1" selected="0">
            <x v="1"/>
          </reference>
          <reference field="11" count="1" selected="0">
            <x v="380"/>
          </reference>
        </references>
      </pivotArea>
    </chartFormat>
    <chartFormat chart="0" format="179">
      <pivotArea type="data" outline="0" fieldPosition="0">
        <references count="2">
          <reference field="4294967294" count="1" selected="0">
            <x v="1"/>
          </reference>
          <reference field="11" count="1" selected="0">
            <x v="381"/>
          </reference>
        </references>
      </pivotArea>
    </chartFormat>
    <chartFormat chart="0" format="180">
      <pivotArea type="data" outline="0" fieldPosition="0">
        <references count="2">
          <reference field="4294967294" count="1" selected="0">
            <x v="0"/>
          </reference>
          <reference field="11" count="1" selected="0">
            <x v="382"/>
          </reference>
        </references>
      </pivotArea>
    </chartFormat>
    <chartFormat chart="0" format="181">
      <pivotArea type="data" outline="0" fieldPosition="0">
        <references count="2">
          <reference field="4294967294" count="1" selected="0">
            <x v="0"/>
          </reference>
          <reference field="11" count="1" selected="0">
            <x v="383"/>
          </reference>
        </references>
      </pivotArea>
    </chartFormat>
    <chartFormat chart="0" format="182">
      <pivotArea type="data" outline="0" fieldPosition="0">
        <references count="2">
          <reference field="4294967294" count="1" selected="0">
            <x v="0"/>
          </reference>
          <reference field="11" count="1" selected="0">
            <x v="384"/>
          </reference>
        </references>
      </pivotArea>
    </chartFormat>
    <chartFormat chart="0" format="183">
      <pivotArea type="data" outline="0" fieldPosition="0">
        <references count="2">
          <reference field="4294967294" count="1" selected="0">
            <x v="0"/>
          </reference>
          <reference field="11" count="1" selected="0">
            <x v="385"/>
          </reference>
        </references>
      </pivotArea>
    </chartFormat>
    <chartFormat chart="0" format="184">
      <pivotArea type="data" outline="0" fieldPosition="0">
        <references count="2">
          <reference field="4294967294" count="1" selected="0">
            <x v="0"/>
          </reference>
          <reference field="11" count="1" selected="0">
            <x v="386"/>
          </reference>
        </references>
      </pivotArea>
    </chartFormat>
    <chartFormat chart="0" format="185">
      <pivotArea type="data" outline="0" fieldPosition="0">
        <references count="2">
          <reference field="4294967294" count="1" selected="0">
            <x v="0"/>
          </reference>
          <reference field="11" count="1" selected="0">
            <x v="387"/>
          </reference>
        </references>
      </pivotArea>
    </chartFormat>
    <chartFormat chart="0" format="186">
      <pivotArea type="data" outline="0" fieldPosition="0">
        <references count="2">
          <reference field="4294967294" count="1" selected="0">
            <x v="0"/>
          </reference>
          <reference field="11" count="1" selected="0">
            <x v="388"/>
          </reference>
        </references>
      </pivotArea>
    </chartFormat>
    <chartFormat chart="0" format="187">
      <pivotArea type="data" outline="0" fieldPosition="0">
        <references count="2">
          <reference field="4294967294" count="1" selected="0">
            <x v="0"/>
          </reference>
          <reference field="11" count="1" selected="0">
            <x v="389"/>
          </reference>
        </references>
      </pivotArea>
    </chartFormat>
    <chartFormat chart="0" format="188">
      <pivotArea type="data" outline="0" fieldPosition="0">
        <references count="2">
          <reference field="4294967294" count="1" selected="0">
            <x v="0"/>
          </reference>
          <reference field="11" count="1" selected="0">
            <x v="390"/>
          </reference>
        </references>
      </pivotArea>
    </chartFormat>
    <chartFormat chart="0" format="189">
      <pivotArea type="data" outline="0" fieldPosition="0">
        <references count="2">
          <reference field="4294967294" count="1" selected="0">
            <x v="0"/>
          </reference>
          <reference field="11" count="1" selected="0">
            <x v="391"/>
          </reference>
        </references>
      </pivotArea>
    </chartFormat>
    <chartFormat chart="0" format="190">
      <pivotArea type="data" outline="0" fieldPosition="0">
        <references count="2">
          <reference field="4294967294" count="1" selected="0">
            <x v="0"/>
          </reference>
          <reference field="11" count="1" selected="0">
            <x v="392"/>
          </reference>
        </references>
      </pivotArea>
    </chartFormat>
    <chartFormat chart="0" format="191">
      <pivotArea type="data" outline="0" fieldPosition="0">
        <references count="2">
          <reference field="4294967294" count="1" selected="0">
            <x v="0"/>
          </reference>
          <reference field="11" count="1" selected="0">
            <x v="393"/>
          </reference>
        </references>
      </pivotArea>
    </chartFormat>
    <chartFormat chart="0" format="192">
      <pivotArea type="data" outline="0" fieldPosition="0">
        <references count="2">
          <reference field="4294967294" count="1" selected="0">
            <x v="0"/>
          </reference>
          <reference field="11" count="1" selected="0">
            <x v="394"/>
          </reference>
        </references>
      </pivotArea>
    </chartFormat>
    <chartFormat chart="0" format="193">
      <pivotArea type="data" outline="0" fieldPosition="0">
        <references count="2">
          <reference field="4294967294" count="1" selected="0">
            <x v="0"/>
          </reference>
          <reference field="11" count="1" selected="0">
            <x v="395"/>
          </reference>
        </references>
      </pivotArea>
    </chartFormat>
    <chartFormat chart="0" format="194">
      <pivotArea type="data" outline="0" fieldPosition="0">
        <references count="2">
          <reference field="4294967294" count="1" selected="0">
            <x v="0"/>
          </reference>
          <reference field="11" count="1" selected="0">
            <x v="396"/>
          </reference>
        </references>
      </pivotArea>
    </chartFormat>
    <chartFormat chart="0" format="195">
      <pivotArea type="data" outline="0" fieldPosition="0">
        <references count="2">
          <reference field="4294967294" count="1" selected="0">
            <x v="0"/>
          </reference>
          <reference field="11" count="1" selected="0">
            <x v="397"/>
          </reference>
        </references>
      </pivotArea>
    </chartFormat>
    <chartFormat chart="0" format="196">
      <pivotArea type="data" outline="0" fieldPosition="0">
        <references count="2">
          <reference field="4294967294" count="1" selected="0">
            <x v="0"/>
          </reference>
          <reference field="11" count="1" selected="0">
            <x v="398"/>
          </reference>
        </references>
      </pivotArea>
    </chartFormat>
    <chartFormat chart="0" format="197">
      <pivotArea type="data" outline="0" fieldPosition="0">
        <references count="2">
          <reference field="4294967294" count="1" selected="0">
            <x v="0"/>
          </reference>
          <reference field="11" count="1" selected="0">
            <x v="399"/>
          </reference>
        </references>
      </pivotArea>
    </chartFormat>
    <chartFormat chart="0" format="198">
      <pivotArea type="data" outline="0" fieldPosition="0">
        <references count="2">
          <reference field="4294967294" count="1" selected="0">
            <x v="0"/>
          </reference>
          <reference field="11" count="1" selected="0">
            <x v="400"/>
          </reference>
        </references>
      </pivotArea>
    </chartFormat>
    <chartFormat chart="0" format="199">
      <pivotArea type="data" outline="0" fieldPosition="0">
        <references count="2">
          <reference field="4294967294" count="1" selected="0">
            <x v="0"/>
          </reference>
          <reference field="11" count="1" selected="0">
            <x v="401"/>
          </reference>
        </references>
      </pivotArea>
    </chartFormat>
    <chartFormat chart="0" format="200">
      <pivotArea type="data" outline="0" fieldPosition="0">
        <references count="2">
          <reference field="4294967294" count="1" selected="0">
            <x v="0"/>
          </reference>
          <reference field="11" count="1" selected="0">
            <x v="402"/>
          </reference>
        </references>
      </pivotArea>
    </chartFormat>
    <chartFormat chart="0" format="201">
      <pivotArea type="data" outline="0" fieldPosition="0">
        <references count="2">
          <reference field="4294967294" count="1" selected="0">
            <x v="0"/>
          </reference>
          <reference field="11" count="1" selected="0">
            <x v="403"/>
          </reference>
        </references>
      </pivotArea>
    </chartFormat>
    <chartFormat chart="0" format="202">
      <pivotArea type="data" outline="0" fieldPosition="0">
        <references count="2">
          <reference field="4294967294" count="1" selected="0">
            <x v="0"/>
          </reference>
          <reference field="11" count="1" selected="0">
            <x v="404"/>
          </reference>
        </references>
      </pivotArea>
    </chartFormat>
    <chartFormat chart="0" format="203">
      <pivotArea type="data" outline="0" fieldPosition="0">
        <references count="2">
          <reference field="4294967294" count="1" selected="0">
            <x v="0"/>
          </reference>
          <reference field="11" count="1" selected="0">
            <x v="405"/>
          </reference>
        </references>
      </pivotArea>
    </chartFormat>
    <chartFormat chart="0" format="204">
      <pivotArea type="data" outline="0" fieldPosition="0">
        <references count="2">
          <reference field="4294967294" count="1" selected="0">
            <x v="0"/>
          </reference>
          <reference field="11" count="1" selected="0">
            <x v="406"/>
          </reference>
        </references>
      </pivotArea>
    </chartFormat>
    <chartFormat chart="0" format="205">
      <pivotArea type="data" outline="0" fieldPosition="0">
        <references count="2">
          <reference field="4294967294" count="1" selected="0">
            <x v="0"/>
          </reference>
          <reference field="11" count="1" selected="0">
            <x v="407"/>
          </reference>
        </references>
      </pivotArea>
    </chartFormat>
    <chartFormat chart="0" format="206">
      <pivotArea type="data" outline="0" fieldPosition="0">
        <references count="2">
          <reference field="4294967294" count="1" selected="0">
            <x v="0"/>
          </reference>
          <reference field="11" count="1" selected="0">
            <x v="408"/>
          </reference>
        </references>
      </pivotArea>
    </chartFormat>
    <chartFormat chart="0" format="207">
      <pivotArea type="data" outline="0" fieldPosition="0">
        <references count="2">
          <reference field="4294967294" count="1" selected="0">
            <x v="0"/>
          </reference>
          <reference field="11" count="1" selected="0">
            <x v="409"/>
          </reference>
        </references>
      </pivotArea>
    </chartFormat>
    <chartFormat chart="0" format="208">
      <pivotArea type="data" outline="0" fieldPosition="0">
        <references count="2">
          <reference field="4294967294" count="1" selected="0">
            <x v="0"/>
          </reference>
          <reference field="11" count="1" selected="0">
            <x v="410"/>
          </reference>
        </references>
      </pivotArea>
    </chartFormat>
    <chartFormat chart="0" format="209">
      <pivotArea type="data" outline="0" fieldPosition="0">
        <references count="2">
          <reference field="4294967294" count="1" selected="0">
            <x v="0"/>
          </reference>
          <reference field="11" count="1" selected="0">
            <x v="411"/>
          </reference>
        </references>
      </pivotArea>
    </chartFormat>
    <chartFormat chart="0" format="210">
      <pivotArea type="data" outline="0" fieldPosition="0">
        <references count="2">
          <reference field="4294967294" count="1" selected="0">
            <x v="0"/>
          </reference>
          <reference field="11" count="1" selected="0">
            <x v="412"/>
          </reference>
        </references>
      </pivotArea>
    </chartFormat>
    <chartFormat chart="0" format="211">
      <pivotArea type="data" outline="0" fieldPosition="0">
        <references count="2">
          <reference field="4294967294" count="1" selected="0">
            <x v="0"/>
          </reference>
          <reference field="11" count="1" selected="0">
            <x v="413"/>
          </reference>
        </references>
      </pivotArea>
    </chartFormat>
    <chartFormat chart="0" format="212">
      <pivotArea type="data" outline="0" fieldPosition="0">
        <references count="2">
          <reference field="4294967294" count="1" selected="0">
            <x v="0"/>
          </reference>
          <reference field="11" count="1" selected="0">
            <x v="414"/>
          </reference>
        </references>
      </pivotArea>
    </chartFormat>
    <chartFormat chart="0" format="213">
      <pivotArea type="data" outline="0" fieldPosition="0">
        <references count="2">
          <reference field="4294967294" count="1" selected="0">
            <x v="0"/>
          </reference>
          <reference field="11" count="1" selected="0">
            <x v="415"/>
          </reference>
        </references>
      </pivotArea>
    </chartFormat>
    <chartFormat chart="0" format="214">
      <pivotArea type="data" outline="0" fieldPosition="0">
        <references count="2">
          <reference field="4294967294" count="1" selected="0">
            <x v="0"/>
          </reference>
          <reference field="11" count="1" selected="0">
            <x v="416"/>
          </reference>
        </references>
      </pivotArea>
    </chartFormat>
    <chartFormat chart="0" format="215">
      <pivotArea type="data" outline="0" fieldPosition="0">
        <references count="2">
          <reference field="4294967294" count="1" selected="0">
            <x v="0"/>
          </reference>
          <reference field="11" count="1" selected="0">
            <x v="417"/>
          </reference>
        </references>
      </pivotArea>
    </chartFormat>
    <chartFormat chart="0" format="216">
      <pivotArea type="data" outline="0" fieldPosition="0">
        <references count="2">
          <reference field="4294967294" count="1" selected="0">
            <x v="0"/>
          </reference>
          <reference field="11" count="1" selected="0">
            <x v="418"/>
          </reference>
        </references>
      </pivotArea>
    </chartFormat>
    <chartFormat chart="0" format="217">
      <pivotArea type="data" outline="0" fieldPosition="0">
        <references count="2">
          <reference field="4294967294" count="1" selected="0">
            <x v="1"/>
          </reference>
          <reference field="11" count="1" selected="0">
            <x v="382"/>
          </reference>
        </references>
      </pivotArea>
    </chartFormat>
    <chartFormat chart="0" format="218">
      <pivotArea type="data" outline="0" fieldPosition="0">
        <references count="2">
          <reference field="4294967294" count="1" selected="0">
            <x v="1"/>
          </reference>
          <reference field="11" count="1" selected="0">
            <x v="383"/>
          </reference>
        </references>
      </pivotArea>
    </chartFormat>
    <chartFormat chart="0" format="219">
      <pivotArea type="data" outline="0" fieldPosition="0">
        <references count="2">
          <reference field="4294967294" count="1" selected="0">
            <x v="1"/>
          </reference>
          <reference field="11" count="1" selected="0">
            <x v="384"/>
          </reference>
        </references>
      </pivotArea>
    </chartFormat>
    <chartFormat chart="0" format="220">
      <pivotArea type="data" outline="0" fieldPosition="0">
        <references count="2">
          <reference field="4294967294" count="1" selected="0">
            <x v="1"/>
          </reference>
          <reference field="11" count="1" selected="0">
            <x v="385"/>
          </reference>
        </references>
      </pivotArea>
    </chartFormat>
    <chartFormat chart="0" format="221">
      <pivotArea type="data" outline="0" fieldPosition="0">
        <references count="2">
          <reference field="4294967294" count="1" selected="0">
            <x v="1"/>
          </reference>
          <reference field="11" count="1" selected="0">
            <x v="386"/>
          </reference>
        </references>
      </pivotArea>
    </chartFormat>
    <chartFormat chart="0" format="222">
      <pivotArea type="data" outline="0" fieldPosition="0">
        <references count="2">
          <reference field="4294967294" count="1" selected="0">
            <x v="1"/>
          </reference>
          <reference field="11" count="1" selected="0">
            <x v="387"/>
          </reference>
        </references>
      </pivotArea>
    </chartFormat>
    <chartFormat chart="0" format="223">
      <pivotArea type="data" outline="0" fieldPosition="0">
        <references count="2">
          <reference field="4294967294" count="1" selected="0">
            <x v="1"/>
          </reference>
          <reference field="11" count="1" selected="0">
            <x v="388"/>
          </reference>
        </references>
      </pivotArea>
    </chartFormat>
    <chartFormat chart="0" format="224">
      <pivotArea type="data" outline="0" fieldPosition="0">
        <references count="2">
          <reference field="4294967294" count="1" selected="0">
            <x v="1"/>
          </reference>
          <reference field="11" count="1" selected="0">
            <x v="389"/>
          </reference>
        </references>
      </pivotArea>
    </chartFormat>
    <chartFormat chart="0" format="225">
      <pivotArea type="data" outline="0" fieldPosition="0">
        <references count="2">
          <reference field="4294967294" count="1" selected="0">
            <x v="1"/>
          </reference>
          <reference field="11" count="1" selected="0">
            <x v="390"/>
          </reference>
        </references>
      </pivotArea>
    </chartFormat>
    <chartFormat chart="0" format="226">
      <pivotArea type="data" outline="0" fieldPosition="0">
        <references count="2">
          <reference field="4294967294" count="1" selected="0">
            <x v="1"/>
          </reference>
          <reference field="11" count="1" selected="0">
            <x v="391"/>
          </reference>
        </references>
      </pivotArea>
    </chartFormat>
    <chartFormat chart="0" format="227">
      <pivotArea type="data" outline="0" fieldPosition="0">
        <references count="2">
          <reference field="4294967294" count="1" selected="0">
            <x v="1"/>
          </reference>
          <reference field="11" count="1" selected="0">
            <x v="392"/>
          </reference>
        </references>
      </pivotArea>
    </chartFormat>
    <chartFormat chart="0" format="228">
      <pivotArea type="data" outline="0" fieldPosition="0">
        <references count="2">
          <reference field="4294967294" count="1" selected="0">
            <x v="1"/>
          </reference>
          <reference field="11" count="1" selected="0">
            <x v="393"/>
          </reference>
        </references>
      </pivotArea>
    </chartFormat>
    <chartFormat chart="0" format="229">
      <pivotArea type="data" outline="0" fieldPosition="0">
        <references count="2">
          <reference field="4294967294" count="1" selected="0">
            <x v="1"/>
          </reference>
          <reference field="11" count="1" selected="0">
            <x v="394"/>
          </reference>
        </references>
      </pivotArea>
    </chartFormat>
    <chartFormat chart="0" format="230">
      <pivotArea type="data" outline="0" fieldPosition="0">
        <references count="2">
          <reference field="4294967294" count="1" selected="0">
            <x v="1"/>
          </reference>
          <reference field="11" count="1" selected="0">
            <x v="395"/>
          </reference>
        </references>
      </pivotArea>
    </chartFormat>
    <chartFormat chart="0" format="231">
      <pivotArea type="data" outline="0" fieldPosition="0">
        <references count="2">
          <reference field="4294967294" count="1" selected="0">
            <x v="1"/>
          </reference>
          <reference field="11" count="1" selected="0">
            <x v="396"/>
          </reference>
        </references>
      </pivotArea>
    </chartFormat>
    <chartFormat chart="0" format="232">
      <pivotArea type="data" outline="0" fieldPosition="0">
        <references count="2">
          <reference field="4294967294" count="1" selected="0">
            <x v="1"/>
          </reference>
          <reference field="11" count="1" selected="0">
            <x v="397"/>
          </reference>
        </references>
      </pivotArea>
    </chartFormat>
    <chartFormat chart="0" format="233">
      <pivotArea type="data" outline="0" fieldPosition="0">
        <references count="2">
          <reference field="4294967294" count="1" selected="0">
            <x v="1"/>
          </reference>
          <reference field="11" count="1" selected="0">
            <x v="398"/>
          </reference>
        </references>
      </pivotArea>
    </chartFormat>
    <chartFormat chart="0" format="234">
      <pivotArea type="data" outline="0" fieldPosition="0">
        <references count="2">
          <reference field="4294967294" count="1" selected="0">
            <x v="1"/>
          </reference>
          <reference field="11" count="1" selected="0">
            <x v="399"/>
          </reference>
        </references>
      </pivotArea>
    </chartFormat>
    <chartFormat chart="0" format="235">
      <pivotArea type="data" outline="0" fieldPosition="0">
        <references count="2">
          <reference field="4294967294" count="1" selected="0">
            <x v="1"/>
          </reference>
          <reference field="11" count="1" selected="0">
            <x v="400"/>
          </reference>
        </references>
      </pivotArea>
    </chartFormat>
    <chartFormat chart="0" format="236">
      <pivotArea type="data" outline="0" fieldPosition="0">
        <references count="2">
          <reference field="4294967294" count="1" selected="0">
            <x v="1"/>
          </reference>
          <reference field="11" count="1" selected="0">
            <x v="401"/>
          </reference>
        </references>
      </pivotArea>
    </chartFormat>
    <chartFormat chart="0" format="237">
      <pivotArea type="data" outline="0" fieldPosition="0">
        <references count="2">
          <reference field="4294967294" count="1" selected="0">
            <x v="1"/>
          </reference>
          <reference field="11" count="1" selected="0">
            <x v="402"/>
          </reference>
        </references>
      </pivotArea>
    </chartFormat>
    <chartFormat chart="0" format="238">
      <pivotArea type="data" outline="0" fieldPosition="0">
        <references count="2">
          <reference field="4294967294" count="1" selected="0">
            <x v="1"/>
          </reference>
          <reference field="11" count="1" selected="0">
            <x v="403"/>
          </reference>
        </references>
      </pivotArea>
    </chartFormat>
    <chartFormat chart="0" format="239">
      <pivotArea type="data" outline="0" fieldPosition="0">
        <references count="2">
          <reference field="4294967294" count="1" selected="0">
            <x v="1"/>
          </reference>
          <reference field="11" count="1" selected="0">
            <x v="404"/>
          </reference>
        </references>
      </pivotArea>
    </chartFormat>
    <chartFormat chart="0" format="240">
      <pivotArea type="data" outline="0" fieldPosition="0">
        <references count="2">
          <reference field="4294967294" count="1" selected="0">
            <x v="1"/>
          </reference>
          <reference field="11" count="1" selected="0">
            <x v="405"/>
          </reference>
        </references>
      </pivotArea>
    </chartFormat>
    <chartFormat chart="0" format="241">
      <pivotArea type="data" outline="0" fieldPosition="0">
        <references count="2">
          <reference field="4294967294" count="1" selected="0">
            <x v="1"/>
          </reference>
          <reference field="11" count="1" selected="0">
            <x v="406"/>
          </reference>
        </references>
      </pivotArea>
    </chartFormat>
    <chartFormat chart="0" format="242">
      <pivotArea type="data" outline="0" fieldPosition="0">
        <references count="2">
          <reference field="4294967294" count="1" selected="0">
            <x v="1"/>
          </reference>
          <reference field="11" count="1" selected="0">
            <x v="407"/>
          </reference>
        </references>
      </pivotArea>
    </chartFormat>
    <chartFormat chart="0" format="243">
      <pivotArea type="data" outline="0" fieldPosition="0">
        <references count="2">
          <reference field="4294967294" count="1" selected="0">
            <x v="1"/>
          </reference>
          <reference field="11" count="1" selected="0">
            <x v="408"/>
          </reference>
        </references>
      </pivotArea>
    </chartFormat>
    <chartFormat chart="0" format="244">
      <pivotArea type="data" outline="0" fieldPosition="0">
        <references count="2">
          <reference field="4294967294" count="1" selected="0">
            <x v="1"/>
          </reference>
          <reference field="11" count="1" selected="0">
            <x v="409"/>
          </reference>
        </references>
      </pivotArea>
    </chartFormat>
    <chartFormat chart="0" format="245">
      <pivotArea type="data" outline="0" fieldPosition="0">
        <references count="2">
          <reference field="4294967294" count="1" selected="0">
            <x v="1"/>
          </reference>
          <reference field="11" count="1" selected="0">
            <x v="410"/>
          </reference>
        </references>
      </pivotArea>
    </chartFormat>
    <chartFormat chart="0" format="246">
      <pivotArea type="data" outline="0" fieldPosition="0">
        <references count="2">
          <reference field="4294967294" count="1" selected="0">
            <x v="1"/>
          </reference>
          <reference field="11" count="1" selected="0">
            <x v="411"/>
          </reference>
        </references>
      </pivotArea>
    </chartFormat>
    <chartFormat chart="0" format="247">
      <pivotArea type="data" outline="0" fieldPosition="0">
        <references count="2">
          <reference field="4294967294" count="1" selected="0">
            <x v="1"/>
          </reference>
          <reference field="11" count="1" selected="0">
            <x v="412"/>
          </reference>
        </references>
      </pivotArea>
    </chartFormat>
    <chartFormat chart="0" format="248">
      <pivotArea type="data" outline="0" fieldPosition="0">
        <references count="2">
          <reference field="4294967294" count="1" selected="0">
            <x v="1"/>
          </reference>
          <reference field="11" count="1" selected="0">
            <x v="413"/>
          </reference>
        </references>
      </pivotArea>
    </chartFormat>
    <chartFormat chart="0" format="249">
      <pivotArea type="data" outline="0" fieldPosition="0">
        <references count="2">
          <reference field="4294967294" count="1" selected="0">
            <x v="1"/>
          </reference>
          <reference field="11" count="1" selected="0">
            <x v="414"/>
          </reference>
        </references>
      </pivotArea>
    </chartFormat>
    <chartFormat chart="0" format="250">
      <pivotArea type="data" outline="0" fieldPosition="0">
        <references count="2">
          <reference field="4294967294" count="1" selected="0">
            <x v="1"/>
          </reference>
          <reference field="11" count="1" selected="0">
            <x v="415"/>
          </reference>
        </references>
      </pivotArea>
    </chartFormat>
    <chartFormat chart="0" format="251">
      <pivotArea type="data" outline="0" fieldPosition="0">
        <references count="2">
          <reference field="4294967294" count="1" selected="0">
            <x v="1"/>
          </reference>
          <reference field="11" count="1" selected="0">
            <x v="416"/>
          </reference>
        </references>
      </pivotArea>
    </chartFormat>
    <chartFormat chart="0" format="252">
      <pivotArea type="data" outline="0" fieldPosition="0">
        <references count="2">
          <reference field="4294967294" count="1" selected="0">
            <x v="1"/>
          </reference>
          <reference field="11" count="1" selected="0">
            <x v="417"/>
          </reference>
        </references>
      </pivotArea>
    </chartFormat>
    <chartFormat chart="0" format="253">
      <pivotArea type="data" outline="0" fieldPosition="0">
        <references count="2">
          <reference field="4294967294" count="1" selected="0">
            <x v="1"/>
          </reference>
          <reference field="11" count="1" selected="0">
            <x v="418"/>
          </reference>
        </references>
      </pivotArea>
    </chartFormat>
    <chartFormat chart="0" format="254">
      <pivotArea type="data" outline="0" fieldPosition="0">
        <references count="2">
          <reference field="4294967294" count="1" selected="0">
            <x v="0"/>
          </reference>
          <reference field="11" count="1" selected="0">
            <x v="419"/>
          </reference>
        </references>
      </pivotArea>
    </chartFormat>
    <chartFormat chart="0" format="255">
      <pivotArea type="data" outline="0" fieldPosition="0">
        <references count="2">
          <reference field="4294967294" count="1" selected="0">
            <x v="1"/>
          </reference>
          <reference field="11" count="1" selected="0">
            <x v="4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12" name="PivotTable3"/>
  </pivotTables>
  <data>
    <tabular pivotCacheId="861024963">
      <items count="439">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3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cial_Year" xr10:uid="{00000000-0013-0000-FFFF-FFFF02000000}" sourceName="Finacial Year">
  <pivotTables>
    <pivotTable tabId="12" name="PivotTable3"/>
  </pivotTables>
  <data>
    <tabular pivotCacheId="861024963">
      <items count="4">
        <i x="0"/>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or_Year" xr10:uid="{00000000-0013-0000-FFFF-FFFF03000000}" sourceName="Calendor Year">
  <pivotTables>
    <pivotTable tabId="12" name="PivotTable3"/>
  </pivotTables>
  <data>
    <tabular pivotCacheId="86102496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4000000}" sourceName="Month">
  <pivotTables>
    <pivotTable tabId="12" name="PivotTable3"/>
  </pivotTables>
  <data>
    <tabular pivotCacheId="861024963">
      <items count="18">
        <i x="15" s="1"/>
        <i x="2" s="1"/>
        <i x="3" s="1"/>
        <i x="4" s="1"/>
        <i x="5" s="1"/>
        <i x="6" s="1"/>
        <i x="7" s="1"/>
        <i x="8" s="1"/>
        <i x="9" s="1"/>
        <i x="10" s="1"/>
        <i x="11" s="1"/>
        <i x="12" s="1"/>
        <i x="13" s="1"/>
        <i x="14" s="1"/>
        <i x="0" s="1" nd="1"/>
        <i x="1" s="1" nd="1"/>
        <i x="17" s="1" nd="1"/>
        <i x="1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Year" xr10:uid="{00000000-0013-0000-FFFF-FFFF05000000}" sourceName="Operating Year">
  <pivotTables>
    <pivotTable tabId="12" name="PivotTable3"/>
  </pivotTables>
  <data>
    <tabular pivotCacheId="861024963">
      <items count="4">
        <i x="1" s="1"/>
        <i x="2" s="1"/>
        <i x="3" s="1"/>
        <i x="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ffected_WTG" xr10:uid="{00000000-0013-0000-FFFF-FFFF06000000}" sourceName="Affected WTG">
  <pivotTables>
    <pivotTable tabId="12" name="PivotTable3"/>
  </pivotTables>
  <data>
    <tabular pivotCacheId="861024963">
      <items count="44">
        <i x="20" s="1"/>
        <i x="21" s="1"/>
        <i x="22" s="1"/>
        <i x="23" s="1"/>
        <i x="24" s="1"/>
        <i x="25" s="1"/>
        <i x="26" s="1"/>
        <i x="17" s="1"/>
        <i x="27" s="1"/>
        <i x="28" s="1"/>
        <i x="29" s="1"/>
        <i x="30" s="1"/>
        <i x="31" s="1"/>
        <i x="32" s="1"/>
        <i x="39" s="1"/>
        <i x="37" s="1"/>
        <i x="0" s="1"/>
        <i x="42" s="1"/>
        <i x="38" s="1"/>
        <i x="18" s="1"/>
        <i x="19" s="1"/>
        <i x="33" s="1"/>
        <i x="34" s="1"/>
        <i x="1" s="1"/>
        <i x="35" s="1"/>
        <i x="36" s="1"/>
        <i x="40" s="1"/>
        <i x="2" s="1"/>
        <i x="8" s="1"/>
        <i x="9" s="1"/>
        <i x="10" s="1"/>
        <i x="11" s="1"/>
        <i x="41" s="1"/>
        <i x="12" s="1"/>
        <i x="3" s="1"/>
        <i x="13" s="1"/>
        <i x="14" s="1"/>
        <i x="15" s="1"/>
        <i x="16" s="1"/>
        <i x="4" s="1"/>
        <i x="5" s="1"/>
        <i x="6" s="1"/>
        <i x="7" s="1"/>
        <i x="4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rror_Text" xr10:uid="{00000000-0013-0000-FFFF-FFFF07000000}" sourceName="Error Text">
  <pivotTables>
    <pivotTable tabId="12" name="PivotTable3"/>
  </pivotTables>
  <data>
    <tabular pivotCacheId="861024963">
      <items count="420">
        <i x="359" s="1"/>
        <i x="356" s="1"/>
        <i x="286" s="1"/>
        <i x="325" s="1"/>
        <i x="310" s="1"/>
        <i x="402" s="1"/>
        <i x="327" s="1"/>
        <i x="293" s="1"/>
        <i x="319" s="1"/>
        <i x="311" s="1"/>
        <i x="307" s="1"/>
        <i x="384" s="1"/>
        <i x="345" s="1"/>
        <i x="350" s="1"/>
        <i x="355" s="1"/>
        <i x="358" s="1"/>
        <i x="337" s="1"/>
        <i x="382" s="1"/>
        <i x="332" s="1"/>
        <i x="292" s="1"/>
        <i x="369" s="1"/>
        <i x="393" s="1"/>
        <i x="391" s="1"/>
        <i x="363" s="1"/>
        <i x="372" s="1"/>
        <i x="349" s="1"/>
        <i x="351" s="1"/>
        <i x="357" s="1"/>
        <i x="348" s="1"/>
        <i x="333" s="1"/>
        <i x="387" s="1"/>
        <i x="371" s="1"/>
        <i x="340" s="1"/>
        <i x="407" s="1"/>
        <i x="339" s="1"/>
        <i x="398" s="1"/>
        <i x="401" s="1"/>
        <i x="336" s="1"/>
        <i x="403" s="1"/>
        <i x="316" s="1"/>
        <i x="300" s="1"/>
        <i x="364" s="1"/>
        <i x="338" s="1"/>
        <i x="400" s="1"/>
        <i x="317" s="1"/>
        <i x="297" s="1"/>
        <i x="347" s="1"/>
        <i x="301" s="1"/>
        <i x="318" s="1"/>
        <i x="306" s="1"/>
        <i x="289" s="1"/>
        <i x="294" s="1"/>
        <i x="352" s="1"/>
        <i x="365" s="1"/>
        <i x="360" s="1"/>
        <i x="302" s="1"/>
        <i x="342" s="1"/>
        <i x="395" s="1"/>
        <i x="335" s="1"/>
        <i x="409" s="1"/>
        <i x="308" s="1"/>
        <i x="366" s="1"/>
        <i x="378" s="1"/>
        <i x="309" s="1"/>
        <i x="397" s="1"/>
        <i x="405" s="1"/>
        <i x="386" s="1"/>
        <i x="383" s="1"/>
        <i x="312" s="1"/>
        <i x="324" s="1"/>
        <i x="331" s="1"/>
        <i x="376" s="1"/>
        <i x="291" s="1"/>
        <i x="290" s="1"/>
        <i x="326" s="1"/>
        <i x="396" s="1"/>
        <i x="299" s="1"/>
        <i x="381" s="1"/>
        <i x="380" s="1"/>
        <i x="288" s="1"/>
        <i x="305" s="1"/>
        <i x="296" s="1"/>
        <i x="399" s="1"/>
        <i x="328" s="1"/>
        <i x="390" s="1"/>
        <i x="394" s="1"/>
        <i x="314" s="1"/>
        <i x="322" s="1"/>
        <i x="361" s="1"/>
        <i x="375" s="1"/>
        <i x="341" s="1"/>
        <i x="373" s="1"/>
        <i x="298" s="1"/>
        <i x="320" s="1"/>
        <i x="329" s="1"/>
        <i x="346" s="1"/>
        <i x="388" s="1"/>
        <i x="370" s="1"/>
        <i x="374" s="1"/>
        <i x="353" s="1"/>
        <i x="406" s="1"/>
        <i x="201" s="1"/>
        <i x="379" s="1"/>
        <i x="315" s="1"/>
        <i x="377" s="1"/>
        <i x="321" s="1"/>
        <i x="330" s="1"/>
        <i x="362" s="1"/>
        <i x="392" s="1"/>
        <i x="295" s="1"/>
        <i x="385" s="1"/>
        <i x="389" s="1"/>
        <i x="367" s="1"/>
        <i x="408" s="1"/>
        <i x="323" s="1"/>
        <i x="334" s="1"/>
        <i x="404" s="1"/>
        <i x="304" s="1"/>
        <i x="368" s="1"/>
        <i x="344" s="1"/>
        <i x="313" s="1"/>
        <i x="343" s="1"/>
        <i x="287" s="1"/>
        <i x="354" s="1"/>
        <i x="303" s="1"/>
        <i x="410" s="1"/>
        <i x="194" s="1" nd="1"/>
        <i x="119" s="1" nd="1"/>
        <i x="247" s="1" nd="1"/>
        <i x="114" s="1" nd="1"/>
        <i x="221" s="1" nd="1"/>
        <i x="417" s="1" nd="1"/>
        <i x="228" s="1" nd="1"/>
        <i x="203" s="1" nd="1"/>
        <i x="215" s="1" nd="1"/>
        <i x="160" s="1" nd="1"/>
        <i x="220" s="1" nd="1"/>
        <i x="223" s="1" nd="1"/>
        <i x="155" s="1" nd="1"/>
        <i x="412" s="1" nd="1"/>
        <i x="416" s="1" nd="1"/>
        <i x="411" s="1" nd="1"/>
        <i x="415" s="1" nd="1"/>
        <i x="64" s="1" nd="1"/>
        <i x="41" s="1" nd="1"/>
        <i x="197" s="1" nd="1"/>
        <i x="109" s="1" nd="1"/>
        <i x="275" s="1" nd="1"/>
        <i x="152" s="1" nd="1"/>
        <i x="142" s="1" nd="1"/>
        <i x="132" s="1" nd="1"/>
        <i x="112" s="1" nd="1"/>
        <i x="107" s="1" nd="1"/>
        <i x="141" s="1" nd="1"/>
        <i x="124" s="1" nd="1"/>
        <i x="130" s="1" nd="1"/>
        <i x="70" s="1" nd="1"/>
        <i x="151" s="1" nd="1"/>
        <i x="122" s="1" nd="1"/>
        <i x="165" s="1" nd="1"/>
        <i x="254" s="1" nd="1"/>
        <i x="246" s="1" nd="1"/>
        <i x="173" s="1" nd="1"/>
        <i x="260" s="1" nd="1"/>
        <i x="414" s="1" nd="1"/>
        <i x="229" s="1" nd="1"/>
        <i x="202" s="1" nd="1"/>
        <i x="208" s="1" nd="1"/>
        <i x="230" s="1" nd="1"/>
        <i x="224" s="1" nd="1"/>
        <i x="225" s="1" nd="1"/>
        <i x="222" s="1" nd="1"/>
        <i x="207" s="1" nd="1"/>
        <i x="209" s="1" nd="1"/>
        <i x="226" s="1" nd="1"/>
        <i x="227" s="1" nd="1"/>
        <i x="33" s="1" nd="1"/>
        <i x="86" s="1" nd="1"/>
        <i x="279" s="1" nd="1"/>
        <i x="273" s="1" nd="1"/>
        <i x="282" s="1" nd="1"/>
        <i x="264" s="1" nd="1"/>
        <i x="244" s="1" nd="1"/>
        <i x="214" s="1" nd="1"/>
        <i x="257" s="1" nd="1"/>
        <i x="183" s="1" nd="1"/>
        <i x="274" s="1" nd="1"/>
        <i x="163" s="1" nd="1"/>
        <i x="170" s="1" nd="1"/>
        <i x="115" s="1" nd="1"/>
        <i x="116" s="1" nd="1"/>
        <i x="261" s="1" nd="1"/>
        <i x="169" s="1" nd="1"/>
        <i x="8" s="1" nd="1"/>
        <i x="14" s="1" nd="1"/>
        <i x="85" s="1" nd="1"/>
        <i x="60" s="1" nd="1"/>
        <i x="20" s="1" nd="1"/>
        <i x="166" s="1" nd="1"/>
        <i x="31" s="1" nd="1"/>
        <i x="27" s="1" nd="1"/>
        <i x="32" s="1" nd="1"/>
        <i x="26" s="1" nd="1"/>
        <i x="48" s="1" nd="1"/>
        <i x="3" s="1" nd="1"/>
        <i x="47" s="1" nd="1"/>
        <i x="29" s="1" nd="1"/>
        <i x="28" s="1" nd="1"/>
        <i x="46" s="1" nd="1"/>
        <i x="44" s="1" nd="1"/>
        <i x="18" s="1" nd="1"/>
        <i x="49" s="1" nd="1"/>
        <i x="7" s="1" nd="1"/>
        <i x="17" s="1" nd="1"/>
        <i x="34" s="1" nd="1"/>
        <i x="6" s="1" nd="1"/>
        <i x="36" s="1" nd="1"/>
        <i x="50" s="1" nd="1"/>
        <i x="35" s="1" nd="1"/>
        <i x="15" s="1" nd="1"/>
        <i x="16" s="1" nd="1"/>
        <i x="37" s="1" nd="1"/>
        <i x="51" s="1" nd="1"/>
        <i x="5" s="1" nd="1"/>
        <i x="38" s="1" nd="1"/>
        <i x="39" s="1" nd="1"/>
        <i x="10" s="1" nd="1"/>
        <i x="4" s="1" nd="1"/>
        <i x="13" s="1" nd="1"/>
        <i x="11" s="1" nd="1"/>
        <i x="12" s="1" nd="1"/>
        <i x="285" s="1" nd="1"/>
        <i x="66" s="1" nd="1"/>
        <i x="154" s="1" nd="1"/>
        <i x="249" s="1" nd="1"/>
        <i x="284" s="1" nd="1"/>
        <i x="21" s="1" nd="1"/>
        <i x="159" s="1" nd="1"/>
        <i x="238" s="1" nd="1"/>
        <i x="234" s="1" nd="1"/>
        <i x="251" s="1" nd="1"/>
        <i x="184" s="1" nd="1"/>
        <i x="178" s="1" nd="1"/>
        <i x="57" s="1" nd="1"/>
        <i x="63" s="1" nd="1"/>
        <i x="62" s="1" nd="1"/>
        <i x="185" s="1" nd="1"/>
        <i x="281" s="1" nd="1"/>
        <i x="278" s="1" nd="1"/>
        <i x="283" s="1" nd="1"/>
        <i x="236" s="1" nd="1"/>
        <i x="237" s="1" nd="1"/>
        <i x="217" s="1" nd="1"/>
        <i x="158" s="1" nd="1"/>
        <i x="67" s="1" nd="1"/>
        <i x="89" s="1" nd="1"/>
        <i x="71" s="1" nd="1"/>
        <i x="93" s="1" nd="1"/>
        <i x="253" s="1" nd="1"/>
        <i x="262" s="1" nd="1"/>
        <i x="277" s="1" nd="1"/>
        <i x="212" s="1" nd="1"/>
        <i x="77" s="1" nd="1"/>
        <i x="149" s="1" nd="1"/>
        <i x="69" s="1" nd="1"/>
        <i x="61" s="1" nd="1"/>
        <i x="216" s="1" nd="1"/>
        <i x="55" s="1" nd="1"/>
        <i x="78" s="1" nd="1"/>
        <i x="1" s="1" nd="1"/>
        <i x="59" s="1" nd="1"/>
        <i x="128" s="1" nd="1"/>
        <i x="9" s="1" nd="1"/>
        <i x="23" s="1" nd="1"/>
        <i x="82" s="1" nd="1"/>
        <i x="135" s="1" nd="1"/>
        <i x="263" s="1" nd="1"/>
        <i x="125" s="1" nd="1"/>
        <i x="242" s="1" nd="1"/>
        <i x="138" s="1" nd="1"/>
        <i x="179" s="1" nd="1"/>
        <i x="205" s="1" nd="1"/>
        <i x="146" s="1" nd="1"/>
        <i x="72" s="1" nd="1"/>
        <i x="235" s="1" nd="1"/>
        <i x="233" s="1" nd="1"/>
        <i x="218" s="1" nd="1"/>
        <i x="19" s="1" nd="1"/>
        <i x="272" s="1" nd="1"/>
        <i x="168" s="1" nd="1"/>
        <i x="265" s="1" nd="1"/>
        <i x="161" s="1" nd="1"/>
        <i x="256" s="1" nd="1"/>
        <i x="252" s="1" nd="1"/>
        <i x="156" s="1" nd="1"/>
        <i x="162" s="1" nd="1"/>
        <i x="418" s="1" nd="1"/>
        <i x="413" s="1" nd="1"/>
        <i x="167" s="1" nd="1"/>
        <i x="258" s="1" nd="1"/>
        <i x="110" s="1" nd="1"/>
        <i x="105" s="1" nd="1"/>
        <i x="123" s="1" nd="1"/>
        <i x="56" s="1" nd="1"/>
        <i x="52" s="1" nd="1"/>
        <i x="53" s="1" nd="1"/>
        <i x="24" s="1" nd="1"/>
        <i x="219" s="1" nd="1"/>
        <i x="80" s="1" nd="1"/>
        <i x="54" s="1" nd="1"/>
        <i x="177" s="1" nd="1"/>
        <i x="280" s="1" nd="1"/>
        <i x="22" s="1" nd="1"/>
        <i x="25" s="1" nd="1"/>
        <i x="276" s="1" nd="1"/>
        <i x="232" s="1" nd="1"/>
        <i x="153" s="1" nd="1"/>
        <i x="143" s="1" nd="1"/>
        <i x="145" s="1" nd="1"/>
        <i x="83" s="1" nd="1"/>
        <i x="192" s="1" nd="1"/>
        <i x="75" s="1" nd="1"/>
        <i x="30" s="1" nd="1"/>
        <i x="40" s="1" nd="1"/>
        <i x="190" s="1" nd="1"/>
        <i x="199" s="1" nd="1"/>
        <i x="198" s="1" nd="1"/>
        <i x="200" s="1" nd="1"/>
        <i x="108" s="1" nd="1"/>
        <i x="74" s="1" nd="1"/>
        <i x="195" s="1" nd="1"/>
        <i x="196" s="1" nd="1"/>
        <i x="87" s="1" nd="1"/>
        <i x="191" s="1" nd="1"/>
        <i x="193" s="1" nd="1"/>
        <i x="133" s="1" nd="1"/>
        <i x="140" s="1" nd="1"/>
        <i x="0" s="1" nd="1"/>
        <i x="231" s="1" nd="1"/>
        <i x="188" s="1" nd="1"/>
        <i x="88" s="1" nd="1"/>
        <i x="92" s="1" nd="1"/>
        <i x="45" s="1" nd="1"/>
        <i x="243" s="1" nd="1"/>
        <i x="271" s="1" nd="1"/>
        <i x="189" s="1" nd="1"/>
        <i x="176" s="1" nd="1"/>
        <i x="129" s="1" nd="1"/>
        <i x="174" s="1" nd="1"/>
        <i x="91" s="1" nd="1"/>
        <i x="134" s="1" nd="1"/>
        <i x="101" s="1" nd="1"/>
        <i x="97" s="1" nd="1"/>
        <i x="144" s="1" nd="1"/>
        <i x="126" s="1" nd="1"/>
        <i x="94" s="1" nd="1"/>
        <i x="73" s="1" nd="1"/>
        <i x="172" s="1" nd="1"/>
        <i x="175" s="1" nd="1"/>
        <i x="113" s="1" nd="1"/>
        <i x="58" s="1" nd="1"/>
        <i x="79" s="1" nd="1"/>
        <i x="102" s="1" nd="1"/>
        <i x="95" s="1" nd="1"/>
        <i x="65" s="1" nd="1"/>
        <i x="103" s="1" nd="1"/>
        <i x="100" s="1" nd="1"/>
        <i x="84" s="1" nd="1"/>
        <i x="120" s="1" nd="1"/>
        <i x="90" s="1" nd="1"/>
        <i x="68" s="1" nd="1"/>
        <i x="104" s="1" nd="1"/>
        <i x="98" s="1" nd="1"/>
        <i x="96" s="1" nd="1"/>
        <i x="99" s="1" nd="1"/>
        <i x="248" s="1" nd="1"/>
        <i x="121" s="1" nd="1"/>
        <i x="150" s="1" nd="1"/>
        <i x="139" s="1" nd="1"/>
        <i x="111" s="1" nd="1"/>
        <i x="117" s="1" nd="1"/>
        <i x="127" s="1" nd="1"/>
        <i x="157" s="1" nd="1"/>
        <i x="106" s="1" nd="1"/>
        <i x="131" s="1" nd="1"/>
        <i x="148" s="1" nd="1"/>
        <i x="137" s="1" nd="1"/>
        <i x="213" s="1" nd="1"/>
        <i x="206" s="1" nd="1"/>
        <i x="187" s="1" nd="1"/>
        <i x="268" s="1" nd="1"/>
        <i x="270" s="1" nd="1"/>
        <i x="266" s="1" nd="1"/>
        <i x="267" s="1" nd="1"/>
        <i x="269" s="1" nd="1"/>
        <i x="118" s="1" nd="1"/>
        <i x="164" s="1" nd="1"/>
        <i x="181" s="1" nd="1"/>
        <i x="182" s="1" nd="1"/>
        <i x="180" s="1" nd="1"/>
        <i x="171" s="1" nd="1"/>
        <i x="186" s="1" nd="1"/>
        <i x="2" s="1" nd="1"/>
        <i x="81" s="1" nd="1"/>
        <i x="43" s="1" nd="1"/>
        <i x="240" s="1" nd="1"/>
        <i x="204" s="1" nd="1"/>
        <i x="250" s="1" nd="1"/>
        <i x="255" s="1" nd="1"/>
        <i x="259" s="1" nd="1"/>
        <i x="239" s="1" nd="1"/>
        <i x="241" s="1" nd="1"/>
        <i x="211" s="1" nd="1"/>
        <i x="210" s="1" nd="1"/>
        <i x="245" s="1" nd="1"/>
        <i x="147" s="1" nd="1"/>
        <i x="42" s="1" nd="1"/>
        <i x="76" s="1" nd="1"/>
        <i x="136" s="1" nd="1"/>
        <i x="41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rowHeight="230716"/>
  <slicer name="Finacial Year" xr10:uid="{00000000-0014-0000-FFFF-FFFF02000000}" cache="Slicer_Finacial_Year" caption="Finacial Year" rowHeight="230716"/>
  <slicer name="Calendor Year" xr10:uid="{00000000-0014-0000-FFFF-FFFF03000000}" cache="Slicer_Calendor_Year" caption="Calendor Year" rowHeight="230716"/>
  <slicer name="Month" xr10:uid="{00000000-0014-0000-FFFF-FFFF04000000}" cache="Slicer_Month" caption="Month" rowHeight="230716"/>
  <slicer name="Operating Year" xr10:uid="{00000000-0014-0000-FFFF-FFFF05000000}" cache="Slicer_Operating_Year" caption="Operating Year" rowHeight="230716"/>
  <slicer name="Affected WTG" xr10:uid="{00000000-0014-0000-FFFF-FFFF06000000}" cache="Slicer_Affected_WTG" caption="Affected WTG" rowHeight="230716"/>
  <slicer name="Error Text" xr10:uid="{00000000-0014-0000-FFFF-FFFF07000000}" cache="Slicer_Error_Text" caption="Error Tex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Input_Raw" displayName="Input_Raw" ref="A4:DH144" totalsRowShown="0" headerRowDxfId="377" dataDxfId="375" headerRowBorderDxfId="376" tableBorderDxfId="374" totalsRowBorderDxfId="373">
  <tableColumns count="112">
    <tableColumn id="5" xr3:uid="{00000000-0010-0000-0100-000005000000}" name="Date" dataDxfId="372"/>
    <tableColumn id="1" xr3:uid="{00000000-0010-0000-0100-000001000000}" name="Finacial Year" dataDxfId="371">
      <calculatedColumnFormula>YEAR([1]!Input_Raw[[#This Row],[Date]])+IF(MONTH([1]!Input_Raw[[#This Row],[Date]])&gt;=4,1,0)</calculatedColumnFormula>
    </tableColumn>
    <tableColumn id="2" xr3:uid="{00000000-0010-0000-0100-000002000000}" name="Calendor Year" dataDxfId="370">
      <calculatedColumnFormula>YEAR([1]!Input_Raw[[#This Row],[Date]])</calculatedColumnFormula>
    </tableColumn>
    <tableColumn id="3" xr3:uid="{00000000-0010-0000-0100-000003000000}" name="Month Year" dataDxfId="369">
      <calculatedColumnFormula>A5-DAY(A5)+1</calculatedColumnFormula>
    </tableColumn>
    <tableColumn id="4" xr3:uid="{00000000-0010-0000-0100-000004000000}" name="Days" dataDxfId="368">
      <calculatedColumnFormula>DAY(EOMONTH([1]!Input_Raw[[#This Row],[Date]],0))</calculatedColumnFormula>
    </tableColumn>
    <tableColumn id="6" xr3:uid="{00000000-0010-0000-0100-000006000000}" name="G01" dataDxfId="367"/>
    <tableColumn id="7" xr3:uid="{00000000-0010-0000-0100-000007000000}" name="G02" dataDxfId="366"/>
    <tableColumn id="8" xr3:uid="{00000000-0010-0000-0100-000008000000}" name="G03" dataDxfId="365"/>
    <tableColumn id="9" xr3:uid="{00000000-0010-0000-0100-000009000000}" name="G04" dataDxfId="364"/>
    <tableColumn id="10" xr3:uid="{00000000-0010-0000-0100-00000A000000}" name="G05" dataDxfId="363"/>
    <tableColumn id="11" xr3:uid="{00000000-0010-0000-0100-00000B000000}" name="G06" dataDxfId="362"/>
    <tableColumn id="12" xr3:uid="{00000000-0010-0000-0100-00000C000000}" name="G07" dataDxfId="361"/>
    <tableColumn id="13" xr3:uid="{00000000-0010-0000-0100-00000D000000}" name="G08" dataDxfId="360"/>
    <tableColumn id="14" xr3:uid="{00000000-0010-0000-0100-00000E000000}" name="G09" dataDxfId="359"/>
    <tableColumn id="15" xr3:uid="{00000000-0010-0000-0100-00000F000000}" name="G10" dataDxfId="358"/>
    <tableColumn id="16" xr3:uid="{00000000-0010-0000-0100-000010000000}" name="G11" dataDxfId="357"/>
    <tableColumn id="17" xr3:uid="{00000000-0010-0000-0100-000011000000}" name="G12" dataDxfId="356"/>
    <tableColumn id="18" xr3:uid="{00000000-0010-0000-0100-000012000000}" name="G13" dataDxfId="355"/>
    <tableColumn id="19" xr3:uid="{00000000-0010-0000-0100-000013000000}" name="G14" dataDxfId="354"/>
    <tableColumn id="20" xr3:uid="{00000000-0010-0000-0100-000014000000}" name="G15" dataDxfId="353"/>
    <tableColumn id="21" xr3:uid="{00000000-0010-0000-0100-000015000000}" name="G16" dataDxfId="352"/>
    <tableColumn id="22" xr3:uid="{00000000-0010-0000-0100-000016000000}" name="G17" dataDxfId="351"/>
    <tableColumn id="23" xr3:uid="{00000000-0010-0000-0100-000017000000}" name="G18" dataDxfId="350"/>
    <tableColumn id="24" xr3:uid="{00000000-0010-0000-0100-000018000000}" name="G19" dataDxfId="349"/>
    <tableColumn id="25" xr3:uid="{00000000-0010-0000-0100-000019000000}" name="G20" dataDxfId="348"/>
    <tableColumn id="26" xr3:uid="{00000000-0010-0000-0100-00001A000000}" name="G21" dataDxfId="347"/>
    <tableColumn id="27" xr3:uid="{00000000-0010-0000-0100-00001B000000}" name="G22" dataDxfId="346"/>
    <tableColumn id="28" xr3:uid="{00000000-0010-0000-0100-00001C000000}" name="G23" dataDxfId="345"/>
    <tableColumn id="79" xr3:uid="{00000000-0010-0000-0100-00004F000000}" name="G25" dataDxfId="344"/>
    <tableColumn id="80" xr3:uid="{00000000-0010-0000-0100-000050000000}" name="G26" dataDxfId="343"/>
    <tableColumn id="81" xr3:uid="{00000000-0010-0000-0100-000051000000}" name="G27" dataDxfId="342"/>
    <tableColumn id="82" xr3:uid="{00000000-0010-0000-0100-000052000000}" name="G28" dataDxfId="341"/>
    <tableColumn id="83" xr3:uid="{00000000-0010-0000-0100-000053000000}" name="G29" dataDxfId="340"/>
    <tableColumn id="84" xr3:uid="{00000000-0010-0000-0100-000054000000}" name="G30" dataDxfId="339"/>
    <tableColumn id="85" xr3:uid="{00000000-0010-0000-0100-000055000000}" name="G31" dataDxfId="338"/>
    <tableColumn id="110" xr3:uid="{00000000-0010-0000-0100-00006E000000}" name="G32" dataDxfId="337"/>
    <tableColumn id="111" xr3:uid="{00000000-0010-0000-0100-00006F000000}" name="G33" dataDxfId="336"/>
    <tableColumn id="112" xr3:uid="{00000000-0010-0000-0100-000070000000}" name="G34" dataDxfId="335"/>
    <tableColumn id="113" xr3:uid="{00000000-0010-0000-0100-000071000000}" name="G35" dataDxfId="334"/>
    <tableColumn id="114" xr3:uid="{00000000-0010-0000-0100-000072000000}" name="G36" dataDxfId="333"/>
    <tableColumn id="115" xr3:uid="{00000000-0010-0000-0100-000073000000}" name="G37" dataDxfId="332"/>
    <tableColumn id="116" xr3:uid="{00000000-0010-0000-0100-000074000000}" name="G38" dataDxfId="331"/>
    <tableColumn id="117" xr3:uid="{00000000-0010-0000-0100-000075000000}" name="G39" dataDxfId="330"/>
    <tableColumn id="118" xr3:uid="{00000000-0010-0000-0100-000076000000}" name="G40" dataDxfId="329"/>
    <tableColumn id="29" xr3:uid="{00000000-0010-0000-0100-00001D000000}" name="WS_G01" dataDxfId="328"/>
    <tableColumn id="30" xr3:uid="{00000000-0010-0000-0100-00001E000000}" name="WS_G02" dataDxfId="327"/>
    <tableColumn id="31" xr3:uid="{00000000-0010-0000-0100-00001F000000}" name="WS_G03" dataDxfId="326"/>
    <tableColumn id="32" xr3:uid="{00000000-0010-0000-0100-000020000000}" name="WS_G04" dataDxfId="325"/>
    <tableColumn id="33" xr3:uid="{00000000-0010-0000-0100-000021000000}" name="WS_G05" dataDxfId="324"/>
    <tableColumn id="34" xr3:uid="{00000000-0010-0000-0100-000022000000}" name="WS_G06" dataDxfId="323"/>
    <tableColumn id="35" xr3:uid="{00000000-0010-0000-0100-000023000000}" name="WS_G07" dataDxfId="322"/>
    <tableColumn id="36" xr3:uid="{00000000-0010-0000-0100-000024000000}" name="WS_G08" dataDxfId="321"/>
    <tableColumn id="37" xr3:uid="{00000000-0010-0000-0100-000025000000}" name="WS_G09" dataDxfId="320"/>
    <tableColumn id="38" xr3:uid="{00000000-0010-0000-0100-000026000000}" name="WS_G10" dataDxfId="319"/>
    <tableColumn id="39" xr3:uid="{00000000-0010-0000-0100-000027000000}" name="WS_G11" dataDxfId="318"/>
    <tableColumn id="40" xr3:uid="{00000000-0010-0000-0100-000028000000}" name="WS_G12" dataDxfId="317"/>
    <tableColumn id="41" xr3:uid="{00000000-0010-0000-0100-000029000000}" name="WS_G13" dataDxfId="316"/>
    <tableColumn id="42" xr3:uid="{00000000-0010-0000-0100-00002A000000}" name="WS_G14" dataDxfId="315"/>
    <tableColumn id="43" xr3:uid="{00000000-0010-0000-0100-00002B000000}" name="WS_G15" dataDxfId="314"/>
    <tableColumn id="44" xr3:uid="{00000000-0010-0000-0100-00002C000000}" name="WS_G16" dataDxfId="313"/>
    <tableColumn id="45" xr3:uid="{00000000-0010-0000-0100-00002D000000}" name="WS_G17" dataDxfId="312"/>
    <tableColumn id="46" xr3:uid="{00000000-0010-0000-0100-00002E000000}" name="WS_G18" dataDxfId="311"/>
    <tableColumn id="47" xr3:uid="{00000000-0010-0000-0100-00002F000000}" name="WS_G19" dataDxfId="310"/>
    <tableColumn id="48" xr3:uid="{00000000-0010-0000-0100-000030000000}" name="WS_G20" dataDxfId="309"/>
    <tableColumn id="49" xr3:uid="{00000000-0010-0000-0100-000031000000}" name="WS_G21" dataDxfId="308"/>
    <tableColumn id="50" xr3:uid="{00000000-0010-0000-0100-000032000000}" name="WS_G22" dataDxfId="307"/>
    <tableColumn id="51" xr3:uid="{00000000-0010-0000-0100-000033000000}" name="WS_G23" dataDxfId="306"/>
    <tableColumn id="120" xr3:uid="{00000000-0010-0000-0100-000078000000}" name="WS_G25" dataDxfId="305"/>
    <tableColumn id="121" xr3:uid="{00000000-0010-0000-0100-000079000000}" name="WS_G26" dataDxfId="304"/>
    <tableColumn id="122" xr3:uid="{00000000-0010-0000-0100-00007A000000}" name="WS_G27" dataDxfId="303"/>
    <tableColumn id="123" xr3:uid="{00000000-0010-0000-0100-00007B000000}" name="WS_G28" dataDxfId="302"/>
    <tableColumn id="124" xr3:uid="{00000000-0010-0000-0100-00007C000000}" name="WS_G29" dataDxfId="301"/>
    <tableColumn id="125" xr3:uid="{00000000-0010-0000-0100-00007D000000}" name="WS_G30" dataDxfId="300"/>
    <tableColumn id="126" xr3:uid="{00000000-0010-0000-0100-00007E000000}" name="WS_G31" dataDxfId="299"/>
    <tableColumn id="127" xr3:uid="{00000000-0010-0000-0100-00007F000000}" name="WS_G32" dataDxfId="298"/>
    <tableColumn id="128" xr3:uid="{00000000-0010-0000-0100-000080000000}" name="WS_G33" dataDxfId="297"/>
    <tableColumn id="129" xr3:uid="{00000000-0010-0000-0100-000081000000}" name="WS_G34" dataDxfId="296"/>
    <tableColumn id="130" xr3:uid="{00000000-0010-0000-0100-000082000000}" name="WS_G35" dataDxfId="295"/>
    <tableColumn id="131" xr3:uid="{00000000-0010-0000-0100-000083000000}" name="WS_G36" dataDxfId="294"/>
    <tableColumn id="132" xr3:uid="{00000000-0010-0000-0100-000084000000}" name="WS_G37" dataDxfId="293"/>
    <tableColumn id="133" xr3:uid="{00000000-0010-0000-0100-000085000000}" name="WS_G38" dataDxfId="292"/>
    <tableColumn id="134" xr3:uid="{00000000-0010-0000-0100-000086000000}" name="WS_G39" dataDxfId="291"/>
    <tableColumn id="135" xr3:uid="{00000000-0010-0000-0100-000087000000}" name="WS_G40" dataDxfId="290"/>
    <tableColumn id="106" xr3:uid="{00000000-0010-0000-0100-00006A000000}" name="WTG Total Gneration (KWh)" dataDxfId="289">
      <calculatedColumnFormula>SUM(Input_Raw[[#This Row],[G01]:[G40]])</calculatedColumnFormula>
    </tableColumn>
    <tableColumn id="107" xr3:uid="{00000000-0010-0000-0100-00006B000000}" name="Wind Speed Average cumulative (m/S)2" dataDxfId="288">
      <calculatedColumnFormula>IFERROR(AVERAGE(Input_Raw[[#This Row],[WS_G01]:[WS_G40]]),"")</calculatedColumnFormula>
    </tableColumn>
    <tableColumn id="108" xr3:uid="{00000000-0010-0000-0100-00006C000000}" name="Wind Speed Max (m/S)" dataDxfId="287"/>
    <tableColumn id="109" xr3:uid="{00000000-0010-0000-0100-00006D000000}" name="Rain (mm)" dataDxfId="286"/>
    <tableColumn id="52" xr3:uid="{00000000-0010-0000-0100-000034000000}" name="33 kV_Wind_F1_Export reading" dataDxfId="285"/>
    <tableColumn id="145" xr3:uid="{00000000-0010-0000-0100-000091000000}" name="33 kV_Wind_F1_Import reading" dataDxfId="284"/>
    <tableColumn id="53" xr3:uid="{00000000-0010-0000-0100-000035000000}" name="33 kV_Wind_F2_Export_reading" dataDxfId="283"/>
    <tableColumn id="146" xr3:uid="{00000000-0010-0000-0100-000092000000}" name="33 kV_Wind_F2_Import_reading" dataDxfId="282"/>
    <tableColumn id="54" xr3:uid="{00000000-0010-0000-0100-000036000000}" name="33 kV_Wind_F3_Export_Reading" dataDxfId="281"/>
    <tableColumn id="147" xr3:uid="{00000000-0010-0000-0100-000093000000}" name="33 kV_Wind_F3_Import_Reading" dataDxfId="280"/>
    <tableColumn id="55" xr3:uid="{00000000-0010-0000-0100-000037000000}" name="33 kV_Wind_F4_Export Reading" dataDxfId="279"/>
    <tableColumn id="148" xr3:uid="{00000000-0010-0000-0100-000094000000}" name="33 kV_Wind_F4_Import Reading" dataDxfId="278"/>
    <tableColumn id="86" xr3:uid="{00000000-0010-0000-0100-000056000000}" name="33 kV_F1_Total_Export (KWh)" dataDxfId="277" dataCellStyle="Normal 26">
      <calculatedColumnFormula>(Input_Raw[[#This Row],[33 kV_Wind_F1_Export reading]]-CJ4)*1200</calculatedColumnFormula>
    </tableColumn>
    <tableColumn id="149" xr3:uid="{00000000-0010-0000-0100-000095000000}" name="33 kV_Wind_F1_Import (KWh)" dataDxfId="276" dataCellStyle="Normal 26"/>
    <tableColumn id="151" xr3:uid="{00000000-0010-0000-0100-000097000000}" name="33 kV_F2_Total_Export (KWh)2" dataDxfId="275" dataCellStyle="Normal 26"/>
    <tableColumn id="152" xr3:uid="{00000000-0010-0000-0100-000098000000}" name="33 kV_Wind_F2_Import (KWh)" dataDxfId="274" dataCellStyle="Normal 26"/>
    <tableColumn id="153" xr3:uid="{00000000-0010-0000-0100-000099000000}" name="33 kV_Wind_F3_Export (KWh)" dataDxfId="273" dataCellStyle="Normal 26"/>
    <tableColumn id="154" xr3:uid="{00000000-0010-0000-0100-00009A000000}" name="33 kV_Wind_F3_Import (KWh)2" dataDxfId="272" dataCellStyle="Normal 26"/>
    <tableColumn id="155" xr3:uid="{00000000-0010-0000-0100-00009B000000}" name="33 kV_Wind_F4_Export (KWh)" dataDxfId="271" dataCellStyle="Normal 26"/>
    <tableColumn id="156" xr3:uid="{00000000-0010-0000-0100-00009C000000}" name="33 kV_Wind_F4_Import (KWh)2" dataDxfId="270" dataCellStyle="Normal 26"/>
    <tableColumn id="157" xr3:uid="{00000000-0010-0000-0100-00009D000000}" name="33 kV_Wind_Total_Export (KWh)" dataDxfId="269" dataCellStyle="Normal 26">
      <calculatedColumnFormula>Input_Raw[[#This Row],[33 kV_F1_Total_Export (KWh)]]+Input_Raw[[#This Row],[33 kV_F2_Total_Export (KWh)2]]+Input_Raw[[#This Row],[33 kV_Wind_F3_Export (KWh)]]+Input_Raw[[#This Row],[33 kV_Wind_F4_Export (KWh)]]</calculatedColumnFormula>
    </tableColumn>
    <tableColumn id="158" xr3:uid="{00000000-0010-0000-0100-00009E000000}" name="33 kV_Wind_Total_Import (KWh)" dataDxfId="268" dataCellStyle="Normal 26">
      <calculatedColumnFormula>Input_Raw[[#This Row],[33 kV_Wind_F1_Import (KWh)]]+Input_Raw[[#This Row],[33 kV_Wind_F2_Import (KWh)]]+Input_Raw[[#This Row],[33 kV_Wind_F3_Import (KWh)2]]+Input_Raw[[#This Row],[33 kV_Wind_F4_Import (KWh)2]]</calculatedColumnFormula>
    </tableColumn>
    <tableColumn id="105" xr3:uid="{00000000-0010-0000-0100-000069000000}" name="33 kV Line Loss (%)" dataDxfId="267">
      <calculatedColumnFormula>IFERROR(#REF!/Input_Raw[[#This Row],[WTG Total Gneration (KWh)]]-1,"")</calculatedColumnFormula>
    </tableColumn>
    <tableColumn id="56" xr3:uid="{00000000-0010-0000-0100-000038000000}" name="Forecasting Data count received on Forecasting Portal" dataDxfId="266" dataCellStyle="Normal 26"/>
    <tableColumn id="57" xr3:uid="{00000000-0010-0000-0100-000039000000}" name="Forecasting Penalties (INR)" dataDxfId="265" dataCellStyle="Normal 26"/>
    <tableColumn id="58" xr3:uid="{00000000-0010-0000-0100-00003A000000}" name="Expected Energy As Per Power Curve  (MWh)" dataDxfId="264"/>
    <tableColumn id="59" xr3:uid="{45EB7B0C-FCA4-4200-9B6D-3BE20AEBB825}" name="Reactive Energy (MVArH)" dataDxfId="263"/>
    <tableColumn id="60" xr3:uid="{B882E9A7-BD2F-46BB-A2E4-FEB19DA2C282}" name="Operational Capacity" dataDxfId="262"/>
    <tableColumn id="61" xr3:uid="{F18A1240-D45D-47F8-90FE-07EA4A241D4B}" name="Column1" dataDxfId="26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0D9381-7091-4537-B4AE-C325347E0261}" name="Table13" displayName="Table13" ref="A1:AS369" totalsRowShown="0" headerRowDxfId="260" totalsRowDxfId="257" headerRowBorderDxfId="259" tableBorderDxfId="258" totalsRowBorderDxfId="256">
  <autoFilter ref="A1:AS369" xr:uid="{3B203726-2095-49D8-A694-A659B4A14C0A}"/>
  <tableColumns count="45">
    <tableColumn id="1" xr3:uid="{AC3ABD98-75D2-4582-B623-8D21C5F487DB}" name="Date" dataDxfId="255" totalsRowDxfId="254" dataCellStyle="Normal 26"/>
    <tableColumn id="2" xr3:uid="{AE12600E-6A58-426A-AE7A-0EA1D6D50FEB}" name="Financial Year" dataDxfId="253" totalsRowDxfId="252" dataCellStyle="Normal 26">
      <calculatedColumnFormula>YEAR(Table13[[#This Row],[Date]])+IF(MONTH(Table13[[#This Row],[Date]])&gt;=4,1,0)</calculatedColumnFormula>
    </tableColumn>
    <tableColumn id="3" xr3:uid="{3B7DF0EB-73EF-4B84-A0F0-967A6567AAD8}" name="Calendar Year" dataDxfId="251" totalsRowDxfId="250" dataCellStyle="Normal 26">
      <calculatedColumnFormula>YEAR(Table13[[#This Row],[Date]])</calculatedColumnFormula>
    </tableColumn>
    <tableColumn id="4" xr3:uid="{33EE5C98-2106-4920-9087-176A2E9499F5}" name="Month Year" dataDxfId="249" totalsRowDxfId="248" dataCellStyle="Normal 26">
      <calculatedColumnFormula>Table13[[#This Row],[Date]]-DAY(Table13[[#This Row],[Date]])+1</calculatedColumnFormula>
    </tableColumn>
    <tableColumn id="5" xr3:uid="{309D9189-9689-4C56-90B1-6A720ECABFE7}" name="Days" dataDxfId="247" totalsRowDxfId="246" dataCellStyle="Normal 26">
      <calculatedColumnFormula>DAY(EOMONTH(A2,0))</calculatedColumnFormula>
    </tableColumn>
    <tableColumn id="6" xr3:uid="{A40C93A6-18E6-4FFF-9809-94F158C9A482}" name="Operating Hours" dataDxfId="245" dataCellStyle="Percent 43"/>
    <tableColumn id="7" xr3:uid="{817A90A3-B44C-4B1C-A295-5BE26E74D036}" name="GHI-UP (KWh/m2)" dataDxfId="244" totalsRowDxfId="243" dataCellStyle="Percent 43"/>
    <tableColumn id="8" xr3:uid="{C3004E13-246D-40AE-ABA4-084A45E50F25}" name="GHI-Down(KWh/m2)" dataDxfId="242" totalsRowDxfId="241" dataCellStyle="Percent 43"/>
    <tableColumn id="9" xr3:uid="{0572E0E2-532A-434A-B608-A2CDF5FDB89B}" name="POA-UP(KWh/m2)" dataDxfId="240" totalsRowDxfId="239" dataCellStyle="Percent 43"/>
    <tableColumn id="10" xr3:uid="{B72B660B-30B6-481B-9EB4-5101A661AE6C}" name="POA-Down(KWh/m2)" dataDxfId="238" totalsRowDxfId="237" dataCellStyle="Percent 43"/>
    <tableColumn id="11" xr3:uid="{8E29DBE0-F45A-411B-B249-A73F226D2AEB}" name="Amb_Temp(°C)" dataDxfId="236" totalsRowDxfId="235" dataCellStyle="Percent 43"/>
    <tableColumn id="12" xr3:uid="{4E5D4AFC-3F73-460A-B892-44B44D34BF84}" name="Mod_Temp(°C)" dataDxfId="234" totalsRowDxfId="233" dataCellStyle="Percent 43"/>
    <tableColumn id="13" xr3:uid="{6619600E-B5E0-4203-9262-A709569C0B9C}" name="WS_Avg(m/s)" dataDxfId="232" totalsRowDxfId="231" dataCellStyle="Percent 43">
      <calculatedColumnFormula>IFERROR(_xlfn.XLOOKUP($A2,Input_Raw!$A:$A,Input_Raw!CG:CG),"")</calculatedColumnFormula>
    </tableColumn>
    <tableColumn id="14" xr3:uid="{739A885C-D4EA-4114-B4EA-D923ADBD0003}" name="WS_Max(m/s)" dataDxfId="230" totalsRowDxfId="229" dataCellStyle="Percent 43">
      <calculatedColumnFormula>IFERROR(_xlfn.XLOOKUP($A2,Input_Raw!$A:$A,Input_Raw!CH:CH),"")</calculatedColumnFormula>
    </tableColumn>
    <tableColumn id="15" xr3:uid="{03B07319-2335-4615-94A5-348B7323ECEE}" name="PA(%)" dataDxfId="228" totalsRowDxfId="227" dataCellStyle="Percent 43">
      <calculatedColumnFormula>IFERROR(P2*Q2,"")</calculatedColumnFormula>
    </tableColumn>
    <tableColumn id="16" xr3:uid="{9F5EFF93-DF1A-499F-A105-3EEA358BFB94}" name="MA (%)" dataDxfId="226" totalsRowDxfId="225" dataCellStyle="Percent 43">
      <calculatedColumnFormula>IFERROR(1-SUMIF(WTG_BD!$F:$F,$A2,WTG_BD!$AA:$AA)/($AA2+SUMIF(WTG_BD!$F:$F,$A2,WTG_BD!$AA:$AA)),"")</calculatedColumnFormula>
    </tableColumn>
    <tableColumn id="17" xr3:uid="{0CBB892E-409F-4D49-9600-9AF3544321E2}" name="IGA (%)" dataDxfId="224" dataCellStyle="Percent 43">
      <calculatedColumnFormula>IFERROR(1-SUMIF(IGA_BD!$F:$F,$A2,IGA_BD!$V:$V)/($AA2+SUMIF(IGA_BD!$F:$F,$A2,IGA_BD!$V:$V)),"")</calculatedColumnFormula>
    </tableColumn>
    <tableColumn id="18" xr3:uid="{3FC07FA2-E934-4C5C-9FCD-520F0458DEA5}" name="EGA(%)" dataDxfId="223" dataCellStyle="Percent">
      <calculatedColumnFormula>IFERROR(1-SUMIF(Grid_BD!$F:$F,$A2,Grid_BD!$X:$X)/($AA2+SUMIF(Grid_BD!$F:$F,$A2,Grid_BD!$X:$X)),"")</calculatedColumnFormula>
    </tableColumn>
    <tableColumn id="19" xr3:uid="{CCF758F8-D160-4388-A69A-657F596F26FC}" name="EMA (%)" dataDxfId="222" totalsRowDxfId="221"/>
    <tableColumn id="20" xr3:uid="{CC370C35-7BF1-48A2-A6C8-5F9A479115CC}" name="TA (%)" dataDxfId="220" totalsRowDxfId="219" dataCellStyle="Percent 43"/>
    <tableColumn id="21" xr3:uid="{ACBCAA42-6639-4255-A2E1-C528E248ECAD}" name="PR(%)" dataDxfId="218" totalsRowDxfId="217" dataCellStyle="Percent 43"/>
    <tableColumn id="22" xr3:uid="{F5326693-37E3-47B2-8E2B-E9FC9155A0AB}" name="WPR(%)" dataDxfId="216" totalsRowDxfId="215"/>
    <tableColumn id="23" xr3:uid="{5B9629D4-3C0B-4D5E-ACD1-944F977B15BB}" name="CUF(%)" dataDxfId="214" totalsRowDxfId="213" dataCellStyle="Percent 43">
      <calculatedColumnFormula>IFERROR(Table13[[#This Row],[Mtr_Net_Exp (KWh)]]/(24*AR2*1000),"")</calculatedColumnFormula>
    </tableColumn>
    <tableColumn id="24" xr3:uid="{3E0DE83D-827F-46C8-82DE-E57A81F3BD1A}" name="Gen_Exp (kWh)" dataDxfId="212" totalsRowDxfId="211">
      <calculatedColumnFormula>IFERROR(_xlfn.XLOOKUP($A2,Input_Raw!$A:$A,Input_Raw!$CF:$CF),"")</calculatedColumnFormula>
    </tableColumn>
    <tableColumn id="25" xr3:uid="{C4A6016D-E849-4610-89B5-AE52CCA585F0}" name="Mtr_Export (kWh)" dataDxfId="210" totalsRowDxfId="209">
      <calculatedColumnFormula>IFERROR(_xlfn.XLOOKUP($A2,Input_Raw!$A:$A,Input_Raw!$CZ:$CZ),"")</calculatedColumnFormula>
    </tableColumn>
    <tableColumn id="26" xr3:uid="{DD8F3C03-6E56-4C0B-8192-7121DE5F80BE}" name="Mtr_Import (kWh)" dataDxfId="208" totalsRowDxfId="207">
      <calculatedColumnFormula>IFERROR(_xlfn.XLOOKUP($A2,Input_Raw!$A:$A,Input_Raw!$DA:$DA),"")</calculatedColumnFormula>
    </tableColumn>
    <tableColumn id="27" xr3:uid="{E8744429-ED52-4FD6-9D6E-93494DD7676D}" name="Mtr_Net_Exp (KWh)" dataDxfId="206" totalsRowDxfId="205">
      <calculatedColumnFormula>IFERROR(Y2-Z2,"")</calculatedColumnFormula>
    </tableColumn>
    <tableColumn id="28" xr3:uid="{5351EE1B-C5E5-45F9-8A3C-3090EB4F8F00}" name="Operational Capacity (MW)" dataDxfId="204" totalsRowDxfId="203">
      <calculatedColumnFormula>IFERROR(_xlfn.XLOOKUP($A2,Input_Raw!$A:$A,Input_Raw!$DG:$DG),"")</calculatedColumnFormula>
    </tableColumn>
    <tableColumn id="29" xr3:uid="{19E214DF-B9EC-4D16-9BF9-60E4FBE2688A}" name="Bugt_Resource" dataDxfId="202" totalsRowDxfId="201">
      <calculatedColumnFormula>IFERROR(_xlfn.XLOOKUP($D2,'Modelling New'!$D:$D,'Modelling New'!$J:$J),"")</calculatedColumnFormula>
    </tableColumn>
    <tableColumn id="30" xr3:uid="{1FFAB7FA-C3DF-44B5-B1F6-7BF5CA55DA8E}" name="Bugt_Energy" dataDxfId="200">
      <calculatedColumnFormula>IFERROR(_xlfn.XLOOKUP($D2,'Modelling New'!$D:$D,'Modelling New'!$T:$T)*1000,"")</calculatedColumnFormula>
    </tableColumn>
    <tableColumn id="43" xr3:uid="{2CBF4F34-C61C-44F4-A343-1FCD272EB855}" name="Bugt PR" dataDxfId="199" totalsRowDxfId="198" dataCellStyle="Percent 43"/>
    <tableColumn id="42" xr3:uid="{3D468F67-441F-4B82-98D0-CE59D982CC40}" name="Bugt CUF" dataDxfId="197" totalsRowDxfId="196" dataCellStyle="Percent 43">
      <calculatedColumnFormula>IFERROR(_xlfn.XLOOKUP($D2,'Modelling New'!$D:$D,'Modelling New'!$W:$W),"")</calculatedColumnFormula>
    </tableColumn>
    <tableColumn id="31" xr3:uid="{575C0A5C-4326-4C28-A3A1-12CD36E489EF}" name="Bugt_PA" dataDxfId="195" totalsRowDxfId="194" dataCellStyle="Percent 43">
      <calculatedColumnFormula>IFERROR(_xlfn.XLOOKUP($D2,'Modelling New'!$D:$D,'Modelling New'!$AE:$AE),"")</calculatedColumnFormula>
    </tableColumn>
    <tableColumn id="32" xr3:uid="{AB86F7B4-46F2-48EA-8C0D-71A214CA26A9}" name="Bugt_EGA" dataDxfId="193" totalsRowDxfId="192" dataCellStyle="Percent 43">
      <calculatedColumnFormula>IFERROR(_xlfn.XLOOKUP($D2,'Modelling New'!$D:$D,'Modelling New'!$AF:$AF),"")</calculatedColumnFormula>
    </tableColumn>
    <tableColumn id="33" xr3:uid="{D44A5CAE-7ED1-4A93-BFEF-E6B04AFA6F97}" name="Expected Energy" dataDxfId="191" totalsRowDxfId="190">
      <calculatedColumnFormula>IFERROR(_xlfn.XLOOKUP($A2,Input_Raw!$A:$A,Input_Raw!$DE:$DE),"")</calculatedColumnFormula>
    </tableColumn>
    <tableColumn id="34" xr3:uid="{C32C7F92-FD11-4B0C-9BF8-3FAC460BEA06}" name="Actual Energy WPR" dataDxfId="189" totalsRowDxfId="188"/>
    <tableColumn id="35" xr3:uid="{896B94FF-779A-4C29-80B0-77D7E810FB01}" name="RA (%)" dataDxfId="187" totalsRowDxfId="186"/>
    <tableColumn id="36" xr3:uid="{5239203F-BCB7-4E84-941B-2A28FADB596A}" name="Mod Clean Dry (Num)" dataDxfId="185" totalsRowDxfId="184"/>
    <tableColumn id="37" xr3:uid="{9A55FF03-0C92-4807-A3C0-AA7BB3E1E678}" name="Mod Clean Wet (Num)" dataDxfId="183" totalsRowDxfId="182"/>
    <tableColumn id="38" xr3:uid="{BFE39E7D-94ED-40BE-BD0E-A6834D70844D}" name="Line Loss(%)" dataDxfId="181" totalsRowDxfId="180" dataCellStyle="Percent">
      <calculatedColumnFormula>IFERROR(_xlfn.XLOOKUP($A2,Input_Raw!$A:$A,Input_Raw!$DB:$DB),"")</calculatedColumnFormula>
    </tableColumn>
    <tableColumn id="39" xr3:uid="{6F2E99AC-3E10-4847-80B1-E454DF7A5317}" name="Reactive Power (%)" dataDxfId="179" dataCellStyle="Percent 43">
      <calculatedColumnFormula>IFERROR((_xlfn.XLOOKUP($A2,'WTG Reactive Power'!$A:$A,'WTG Reactive Power'!$AR:$AR))/X2/1000,"")</calculatedColumnFormula>
    </tableColumn>
    <tableColumn id="40" xr3:uid="{94EF6993-3780-4013-B832-4050720A56E9}" name="Bugt Line loss (%) (Wind)" dataDxfId="178" totalsRowDxfId="177" dataCellStyle="Percent 43">
      <calculatedColumnFormula>IFERROR(_xlfn.XLOOKUP($D2,'Modelling New'!$D:$D,'Modelling New'!$AK:$AK),"")</calculatedColumnFormula>
    </tableColumn>
    <tableColumn id="41" xr3:uid="{ADCBE4A1-5D0E-4F97-9881-BD238E97EBC7}" name="Bugt Reactive Power (%) (Wind)" dataDxfId="176" totalsRowDxfId="175" dataCellStyle="Percent 43">
      <calculatedColumnFormula>IFERROR(_xlfn.XLOOKUP($D2,'Modelling New'!$D:$D,'Modelling New'!$AL:$AL),"")</calculatedColumnFormula>
    </tableColumn>
    <tableColumn id="44" xr3:uid="{D081797F-6A13-4377-AD22-D00F4F3F47B8}" name="Bugt Capacity" dataDxfId="174" totalsRowDxfId="173">
      <calculatedColumnFormula>IFERROR(_xlfn.XLOOKUP($D2,'Modelling New'!$D:$D,'Modelling New'!$N:$N),"")</calculatedColumnFormula>
    </tableColumn>
    <tableColumn id="45" xr3:uid="{2141F03A-98E6-4E7F-A56D-72C24C630C9C}" name="CC*Bugt" totalsRowDxfId="172"/>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E53B8-AB04-40C1-997B-A4CCB0C82A0F}" name="Table14" displayName="Table14" ref="A1:AN61" totalsRowShown="0" headerRowDxfId="171" dataDxfId="169" headerRowBorderDxfId="170" tableBorderDxfId="168" totalsRowBorderDxfId="167">
  <tableColumns count="40">
    <tableColumn id="1" xr3:uid="{E1AA9795-3804-4583-8B4E-46730556DEDB}" name="Sr. No." dataDxfId="166"/>
    <tableColumn id="2" xr3:uid="{9E23B903-2554-4616-9932-98F644CE3491}" name="Month Name" dataDxfId="165" dataCellStyle="Comma 42"/>
    <tableColumn id="3" xr3:uid="{5C3447DE-6C05-4333-BC66-1C88DE5925BD}" name="Month Number" dataDxfId="164"/>
    <tableColumn id="4" xr3:uid="{E8F67060-F022-455F-8630-F9155FD20001}" name="Month" dataDxfId="163" dataCellStyle="Comma 42"/>
    <tableColumn id="5" xr3:uid="{95352203-B85E-4A4B-9822-1ECFD14627C9}" name="CY" dataDxfId="162">
      <calculatedColumnFormula>YEAR(D2)</calculatedColumnFormula>
    </tableColumn>
    <tableColumn id="6" xr3:uid="{9B2AA251-4DE5-4BE9-850E-4CA0A0A76017}" name="FY" dataDxfId="161"/>
    <tableColumn id="7" xr3:uid="{CE450720-6890-4E25-877D-9BD864DBF55E}" name="No. of Days in Month" dataDxfId="160">
      <calculatedColumnFormula>DAY(EOMONTH(D2,0))</calculatedColumnFormula>
    </tableColumn>
    <tableColumn id="8" xr3:uid="{A5C69865-2F0D-4BFE-B0FB-B8D049BF63F1}" name="GHI" dataDxfId="159"/>
    <tableColumn id="9" xr3:uid="{B0213999-07EB-450D-AF60-1CA5A04802AC}" name="POA" dataDxfId="158"/>
    <tableColumn id="10" xr3:uid="{C8B5BC69-55F4-4E82-BF83-DDE4BF05FB78}" name="WS" dataDxfId="157"/>
    <tableColumn id="11" xr3:uid="{0F111C6B-FD4C-47C4-A415-A313B9445CA7}" name="Tamb" dataDxfId="156"/>
    <tableColumn id="12" xr3:uid="{385CAFED-7AF9-46FE-9DB3-E0B81E3CBBEE}" name="Tmod" dataDxfId="155"/>
    <tableColumn id="13" xr3:uid="{E90687D9-CDF8-4A27-ACC4-03D5BDA424FA}" name="Egrid (MWh)" dataDxfId="154"/>
    <tableColumn id="14" xr3:uid="{C48D2E87-4922-4A99-9CC2-5507E89ED533}" name="Bugt_Capacity" dataDxfId="153"/>
    <tableColumn id="15" xr3:uid="{B5D015EA-3880-457C-B47E-EAD301AC03F3}" name="PR" dataDxfId="152"/>
    <tableColumn id="16" xr3:uid="{0BF5D0A4-DD65-4ACC-AE3E-A75031B43D8F}" name="Daily POA" dataDxfId="151"/>
    <tableColumn id="17" xr3:uid="{4232A9A7-5EA5-4E87-B60A-15985EDDBB9E}" name="Days Operated" dataDxfId="150">
      <calculatedColumnFormula>COUNTIFS('Daily KPI'!$D:$D,D2,'Daily KPI'!$M:$M,"&gt;0")</calculatedColumnFormula>
    </tableColumn>
    <tableColumn id="18" xr3:uid="{51B9ABAA-1597-4F4A-8253-6D63A4D3A0CC}" name="MTD POA" dataDxfId="149"/>
    <tableColumn id="27" xr3:uid="{6AF41C3A-5FFF-472A-91BD-F6F3579E771C}" name="YTD POA" dataDxfId="148"/>
    <tableColumn id="19" xr3:uid="{173FC5D9-0D27-46B6-A552-513B97DDB4FB}" name="Daily Energy (MWh)" dataDxfId="147">
      <calculatedColumnFormula>M2/G2</calculatedColumnFormula>
    </tableColumn>
    <tableColumn id="20" xr3:uid="{AAF5781B-73C7-4B05-91F4-CFDF9CF000F2}" name="MTD Energy (MWh)" dataDxfId="146">
      <calculatedColumnFormula>M2/G2*Q2</calculatedColumnFormula>
    </tableColumn>
    <tableColumn id="28" xr3:uid="{7C366C19-CF86-4EE5-A9C3-C9C9E861A7E8}" name="YTD Energy (MWh)" dataDxfId="145">
      <calculatedColumnFormula>SUMIF($F$2:F2,F2,$U$2:U2)</calculatedColumnFormula>
    </tableColumn>
    <tableColumn id="38" xr3:uid="{1325F146-1FA0-4697-AC7F-ADF1C28F38D7}" name="Bugt CUF (%)" dataDxfId="144" dataCellStyle="Percent">
      <calculatedColumnFormula>IFERROR(T2/(24*N2),"")</calculatedColumnFormula>
    </tableColumn>
    <tableColumn id="37" xr3:uid="{29786BB7-0C3D-4FE8-8AC2-8844304AB764}" name="Bugt CUF (%) MTD" dataDxfId="143" dataCellStyle="Percent">
      <calculatedColumnFormula>IFERROR(U2/(24*N2*Q2),"")</calculatedColumnFormula>
    </tableColumn>
    <tableColumn id="36" xr3:uid="{468E0A2C-DD21-48DC-9E6F-079329174AE0}" name="Bugt CUF (%)YTD" dataDxfId="142" dataCellStyle="Percent">
      <calculatedColumnFormula>IFERROR(V2/(24*N2*SUMIFS($Q:$Q,$F:$F,$F2,$D:$D,"&lt;="&amp;D2)),"")</calculatedColumnFormula>
    </tableColumn>
    <tableColumn id="21" xr3:uid="{1C626EC1-BD1E-466E-A7DE-A7024C36A2BD}" name="Ave. Cap MTD" dataDxfId="141">
      <calculatedColumnFormula>IFERROR(AVERAGEIF('Daily KPI'!D:D,Table14[[#This Row],[Month]],'Daily KPI'!AB:AB),"")</calculatedColumnFormula>
    </tableColumn>
    <tableColumn id="29" xr3:uid="{9DB5FA5A-CFBA-4E9F-9391-745AB2029D93}" name="Ave. Cap YTD" dataDxfId="140">
      <calculatedColumnFormula>IFERROR(AVERAGEIF($F$2:F2,F2,$Z$2:Z2),"")</calculatedColumnFormula>
    </tableColumn>
    <tableColumn id="22" xr3:uid="{C4F7D6F8-81AC-46DF-B3DD-CA545D757096}" name="CC Energy MTD" dataDxfId="139"/>
    <tableColumn id="31" xr3:uid="{94683812-9761-4404-80FC-8264E9B49726}" name="WS MTD" dataDxfId="138"/>
    <tableColumn id="23" xr3:uid="{96B0CB3F-D1BB-4636-B424-847ADE427B13}" name="WS YTD" dataDxfId="137">
      <calculatedColumnFormula>AVERAGEIF($F$2:F2,F2,$AC$2:AC2)</calculatedColumnFormula>
    </tableColumn>
    <tableColumn id="24" xr3:uid="{72D0EEE5-75DB-4D96-9E27-FE2815765996}" name="Bugt PA" dataDxfId="136" dataCellStyle="Percent 43">
      <calculatedColumnFormula>IFERROR(AH2*AI2,"")</calculatedColumnFormula>
    </tableColumn>
    <tableColumn id="25" xr3:uid="{75139D73-ACC8-4980-A26E-5023674A2EA5}" name="Bugt EGA" dataDxfId="135" dataCellStyle="Percent 43"/>
    <tableColumn id="35" xr3:uid="{9391FCF3-B060-4BB6-A10E-FD9A351D153E}" name="Bugt TA" dataDxfId="134" dataCellStyle="Percent"/>
    <tableColumn id="26" xr3:uid="{8B5AE488-62F8-4F64-B74B-424DFCDD8576}" name="Bugt MA" dataDxfId="133" dataCellStyle="Percent"/>
    <tableColumn id="30" xr3:uid="{855EB78D-1C9F-419C-993A-1B7C9DA78F90}" name="Bugt IGA" dataDxfId="132" dataCellStyle="Percent"/>
    <tableColumn id="32" xr3:uid="{649BEC9A-0822-4AE7-BE4C-6B281BD95D9A}" name="Corelation" dataDxfId="131" dataCellStyle="Percent"/>
    <tableColumn id="33" xr3:uid="{FFB69321-1883-433A-9307-4552563D9C42}" name="Bugt Line loss" dataDxfId="130" dataCellStyle="Percent"/>
    <tableColumn id="34" xr3:uid="{29B1EF0B-AF67-46A7-BF21-8C633732C368}" name="Bugt Reactive Power" dataDxfId="129" dataCellStyle="Percent"/>
    <tableColumn id="39" xr3:uid="{6532083B-4EEB-4D84-BFBA-C41587DCA37E}" name="Bugt Capacity" dataDxfId="128" dataCellStyle="Percent"/>
    <tableColumn id="40" xr3:uid="{AE8FF153-DF1D-4118-B552-696C5B6B5E80}" name="CC*Bugt" dataDxfId="127" dataCellStyle="Percent"/>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9148F4-DD31-463B-B329-D39511C47ACA}" name="Table6" displayName="Table6" ref="A1:AD1037" totalsRowShown="0" headerRowDxfId="126" dataDxfId="124" headerRowBorderDxfId="125" tableBorderDxfId="123" totalsRowBorderDxfId="122">
  <autoFilter ref="A1:AD1037" xr:uid="{879148F4-DD31-463B-B329-D39511C47ACA}"/>
  <tableColumns count="30">
    <tableColumn id="1" xr3:uid="{672251FB-E3C8-4D91-9D48-7E4C04ABE150}" name="Sr. No." dataDxfId="121"/>
    <tableColumn id="2" xr3:uid="{A5AC2E50-E7DE-4566-B60C-55E1EAD2B506}" name="Financial Year" dataDxfId="120">
      <calculatedColumnFormula>YEAR(Table6[[#This Row],[Date]])+IF(MONTH(Table6[[#This Row],[Date]])&gt;=4,1,0)</calculatedColumnFormula>
    </tableColumn>
    <tableColumn id="3" xr3:uid="{FDEDB7C9-B1E4-47C4-9B65-E18FA9B8B585}" name="Calendar Year" dataDxfId="119">
      <calculatedColumnFormula>YEAR(Table6[[#This Row],[Date]])</calculatedColumnFormula>
    </tableColumn>
    <tableColumn id="4" xr3:uid="{F411C3F7-3E1E-48FE-A4D0-CB9A4B631A49}" name="Operating Year" dataDxfId="118"/>
    <tableColumn id="5" xr3:uid="{BA480E83-5310-4537-B43D-CE0CBE2B5959}" name="Month" dataDxfId="117">
      <calculatedColumnFormula>Table6[[#This Row],[Date]]-DAY(Table6[[#This Row],[Date]])+1</calculatedColumnFormula>
    </tableColumn>
    <tableColumn id="6" xr3:uid="{8357E04F-BE5A-4B1A-9D39-725AA9036976}" name="Date" dataDxfId="116"/>
    <tableColumn id="7" xr3:uid="{9EE6D10A-D17E-4EC7-8884-68904786A32C}" name="Affected WTG" dataDxfId="115" dataCellStyle="Normal 27"/>
    <tableColumn id="8" xr3:uid="{9C7EC7A5-1EBF-4719-AFB4-FF8A6488255C}" name="SPV" dataDxfId="114"/>
    <tableColumn id="9" xr3:uid="{B4B7C51B-8637-4B3F-8E5D-30F8CE1BC836}" name="Consumer" dataDxfId="113"/>
    <tableColumn id="10" xr3:uid="{B7DB5D3E-3944-441F-B32E-913496AAEA1F}" name="Plant Equivalent Weightage" dataDxfId="112" dataCellStyle="Percent">
      <calculatedColumnFormula>IFERROR(VLOOKUP(Table6[[#This Row],[Affected WTG]],'Basic Data'!$A$3:$E$56,5,0),"")</calculatedColumnFormula>
    </tableColumn>
    <tableColumn id="11" xr3:uid="{B81DA037-20FB-4EAE-A3A4-38B17FC2D249}" name="Error Code" dataDxfId="111"/>
    <tableColumn id="12" xr3:uid="{0DA5A392-B53E-4DBB-9C75-FAA8AE17C2BF}" name="Error Text" dataDxfId="110" dataCellStyle="Normal 27">
      <calculatedColumnFormula>IFERROR(VLOOKUP(Table6[[#This Row],[Error Code]],'Basic Data'!$T:$U,2,0),"")</calculatedColumnFormula>
    </tableColumn>
    <tableColumn id="13" xr3:uid="{E789E2AA-C10A-4369-8DFA-5C51F51A2968}" name="Breakdown Description" dataDxfId="109"/>
    <tableColumn id="14" xr3:uid="{3F7D8F6F-B4DA-4DE2-93E3-B71D58DF742B}" name="Stoppage Type" dataDxfId="108"/>
    <tableColumn id="15" xr3:uid="{0FF8995A-CA13-4C21-9CE0-57790F086EFB}" name="Fault Start TimeStamp" dataDxfId="107"/>
    <tableColumn id="16" xr3:uid="{BDE50137-11E0-4665-8C87-CB24F9D2641A}" name="Work Start TimeStamp" dataDxfId="106"/>
    <tableColumn id="17" xr3:uid="{8F2290EF-0A49-437A-B75A-F622BBE23F6A}" name="Fault Clearance time" dataDxfId="105"/>
    <tableColumn id="18" xr3:uid="{A2064A0B-34AB-4F98-8CBC-5E244CB1EAD5}" name="Response Time" dataDxfId="104">
      <calculatedColumnFormula>IF(Table6[[#This Row],[Work Start TimeStamp]]="","",(Table6[[#This Row],[Work Start TimeStamp]]-Table6[[#This Row],[Fault Start TimeStamp]])*24)</calculatedColumnFormula>
    </tableColumn>
    <tableColumn id="19" xr3:uid="{1BB0E81E-66F4-4DE2-B535-17CF4C07ECB3}" name="Resolution Time" dataDxfId="103">
      <calculatedColumnFormula>(Table6[[#This Row],[Fault Clearance time]]-Table6[[#This Row],[Work Start TimeStamp]])*24</calculatedColumnFormula>
    </tableColumn>
    <tableColumn id="20" xr3:uid="{0844A323-5674-463D-8F8B-CDBD5A2DE5DB}" name="Breakdown Time" dataDxfId="102">
      <calculatedColumnFormula>(Table6[[#This Row],[Fault Clearance time]]-Table6[[#This Row],[Fault Start TimeStamp]])*24</calculatedColumnFormula>
    </tableColumn>
    <tableColumn id="21" xr3:uid="{68736AE1-45BB-4E78-9261-9E77B3C9DEE2}" name="Action taken" dataDxfId="101"/>
    <tableColumn id="22" xr3:uid="{FED2CA56-6403-4E90-913F-7ADB7D3BAD4F}" name="Status" dataDxfId="100"/>
    <tableColumn id="23" xr3:uid="{8EDCC9E1-836A-4C17-AE57-FE9006819359}" name="Plant Equivalent breakdown" dataDxfId="99" dataCellStyle="Comma">
      <calculatedColumnFormula>Table6[[#This Row],[Breakdown Time]]*(1/39)</calculatedColumnFormula>
    </tableColumn>
    <tableColumn id="24" xr3:uid="{1042C825-DF24-409C-8041-4B8D2440C767}" name="Fault Category" dataDxfId="98" dataCellStyle="Comma"/>
    <tableColumn id="25" xr3:uid="{903BF7A4-F983-44B4-9AF0-69CDB0C55C4F}" name="Paired WTG for Enegy based MA" dataDxfId="97"/>
    <tableColumn id="27" xr3:uid="{47C4DDAA-A89A-4C4A-AB09-B899337E2ABF}" name="Paired WTG Generation for loss calculation" dataDxfId="96"/>
    <tableColumn id="28" xr3:uid="{DAAA9998-F36D-4559-9640-6F4046E06DF9}" name="Estimated Energy Loss (kWh)" dataDxfId="95"/>
    <tableColumn id="29" xr3:uid="{7A4CAC37-554B-4754-9FF8-895A0FE71B11}" name="Special Remarks" dataDxfId="94"/>
    <tableColumn id="30" xr3:uid="{98015B0C-D7A7-4503-8993-B6B38FEECF92}" name="PTW No." dataDxfId="93"/>
    <tableColumn id="31" xr3:uid="{8AEDA088-9472-4C6C-B52E-8A06FFAD30D4}" name="Job Card No." dataDxfId="92"/>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D164D4-AB81-40AE-84F9-DBA1578E211B}" name="Table8" displayName="Table8" ref="A1:Y59" totalsRowShown="0" headerRowDxfId="91" headerRowCellStyle="Normal 26">
  <autoFilter ref="A1:Y59" xr:uid="{29D164D4-AB81-40AE-84F9-DBA1578E211B}"/>
  <tableColumns count="25">
    <tableColumn id="1" xr3:uid="{84690491-DD2E-4937-87E1-1BB57ABA076E}" name="Sr. No." dataDxfId="90"/>
    <tableColumn id="2" xr3:uid="{14289472-B5A2-40B5-A0E0-E3D7A9D4F37F}" name="Financial Year">
      <calculatedColumnFormula>YEAR(Table8[[#This Row],[Date]])+IF(MONTH(Table8[[#This Row],[Date]])&gt;=4,1,0)</calculatedColumnFormula>
    </tableColumn>
    <tableColumn id="3" xr3:uid="{1902E4E8-8CDA-4549-8ECC-78579AAE0F68}" name="Calendar Year" dataDxfId="89">
      <calculatedColumnFormula>YEAR(Table6[[#This Row],[Date]])</calculatedColumnFormula>
    </tableColumn>
    <tableColumn id="4" xr3:uid="{053DDDBC-0450-4101-B468-BA0833C74587}" name="Operating Year" dataDxfId="88"/>
    <tableColumn id="5" xr3:uid="{C84CD6F6-0AF0-4E4A-A8AC-DCD8C7AC0542}" name="Month" dataDxfId="87">
      <calculatedColumnFormula>Table8[[#This Row],[Date]]-DAY(Table8[[#This Row],[Date]])+1</calculatedColumnFormula>
    </tableColumn>
    <tableColumn id="6" xr3:uid="{FD85E228-AEF5-48C3-8AD2-E290E907F50C}" name="Date" dataDxfId="86"/>
    <tableColumn id="7" xr3:uid="{BDFD31F1-43AD-4A94-9899-17F98316018A}" name="Affected Feeder "/>
    <tableColumn id="8" xr3:uid="{5CF68A81-27E7-488B-8F8B-B7D6E4349A98}" name="SPV"/>
    <tableColumn id="9" xr3:uid="{AC8A455D-B235-43A8-82A0-C1B8D572AE2C}" name="Consumer"/>
    <tableColumn id="10" xr3:uid="{0C67EA65-4921-4C7F-996C-8C648F57C2DF}" name="Plant Equivalent Weightage" dataDxfId="85" dataCellStyle="Percent">
      <calculatedColumnFormula>IFERROR(_xlfn.XLOOKUP(Table8[[#This Row],[Affected Feeder ]],'Basic Data'!$A:$A,'Basic Data'!$E:$E),"")</calculatedColumnFormula>
    </tableColumn>
    <tableColumn id="11" xr3:uid="{BE0372C6-F84A-444E-B397-799B42ACA295}" name="Breakdown Description"/>
    <tableColumn id="12" xr3:uid="{7091C97C-89BA-446B-BCB4-FABC7678E3A0}" name="Fault Start TimeStamp" dataDxfId="84"/>
    <tableColumn id="13" xr3:uid="{CD4363C9-E2F1-4CFB-8CEF-F12EF817169F}" name="Work Start TimeStamp" dataDxfId="83"/>
    <tableColumn id="14" xr3:uid="{E0111BDF-EC48-45EC-9625-B871189918EE}" name="Fault Clearance time" dataDxfId="82"/>
    <tableColumn id="15" xr3:uid="{06301D1A-565B-46CB-BD85-5A5487FE602A}" name="Response Time" dataDxfId="81">
      <calculatedColumnFormula>(Table8[[#This Row],[Work Start TimeStamp]]-Table8[[#This Row],[Fault Start TimeStamp]])*24</calculatedColumnFormula>
    </tableColumn>
    <tableColumn id="16" xr3:uid="{DB4EAD56-C756-43F6-A905-95AE61E6E717}" name="Resolution Time" dataDxfId="80">
      <calculatedColumnFormula>IF(Table8[[#This Row],[Work Start TimeStamp]]="","",(Table8[[#This Row],[Fault Clearance time]]-Table8[[#This Row],[Work Start TimeStamp]])*24)</calculatedColumnFormula>
    </tableColumn>
    <tableColumn id="17" xr3:uid="{9CADFEBD-89F7-462C-8B46-BC1CFB542788}" name="Breakdown Time" dataDxfId="79">
      <calculatedColumnFormula>(Table8[[#This Row],[Fault Clearance time]]-Table8[[#This Row],[Fault Start TimeStamp]])*24</calculatedColumnFormula>
    </tableColumn>
    <tableColumn id="18" xr3:uid="{CE41D01B-A2B4-4CCB-9A86-B26CB78E6968}" name="Action taken"/>
    <tableColumn id="19" xr3:uid="{D1778992-AADC-4F96-AB33-A2D9BB23BB7D}" name="Status"/>
    <tableColumn id="20" xr3:uid="{9BF6B588-6461-4ECA-94FF-3A3BDA32D25C}" name="Plant Equivalent breakdown" dataDxfId="78">
      <calculatedColumnFormula>IFERROR(Table8[[#This Row],[Breakdown Time]]*Table8[[#This Row],[Plant Equivalent Weightage]],"")</calculatedColumnFormula>
    </tableColumn>
    <tableColumn id="21" xr3:uid="{B88C81D5-1F10-4048-BB11-0ADA13ED9D59}" name="Fault Category"/>
    <tableColumn id="22" xr3:uid="{45762809-7F00-4726-96C4-31818EB4E45E}" name="Estimated Energy Loss (kWh)" dataDxfId="77"/>
    <tableColumn id="23" xr3:uid="{64D11B54-2CCA-47BA-A0BD-D7E24AE4CB0F}" name="Scope"/>
    <tableColumn id="24" xr3:uid="{E577C462-5A3B-45F5-86FF-BAAF80AC7801}" name="PTW No."/>
    <tableColumn id="25" xr3:uid="{8BFE60E5-EBEA-4359-A8BE-8BDE4214C141}" name="Job Card No."/>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0134358-5F20-4F67-AF49-165686D2115A}" name="Table9" displayName="Table9" ref="A1:AB2" totalsRowShown="0" headerRowDxfId="76">
  <autoFilter ref="A1:AB2" xr:uid="{90134358-5F20-4F67-AF49-165686D2115A}"/>
  <tableColumns count="28">
    <tableColumn id="1" xr3:uid="{97B99004-6E80-4D40-A2C4-BA9C1A88B16A}" name="Sr. No." dataDxfId="75"/>
    <tableColumn id="2" xr3:uid="{55272701-0D89-40A7-8F9A-9DFD689003CE}" name="Financial Year" dataDxfId="74">
      <calculatedColumnFormula>YEAR(Table9[[#This Row],[Date]])+IF(MONTH(Table9[[#This Row],[Date]])&gt;=4,1,0)</calculatedColumnFormula>
    </tableColumn>
    <tableColumn id="3" xr3:uid="{0E281796-55E0-41ED-986E-FF03798B5B2B}" name="Calendar Year" dataDxfId="73"/>
    <tableColumn id="4" xr3:uid="{D65AFC25-2705-4317-88D7-E064C62D3731}" name="Operating Year" dataDxfId="72"/>
    <tableColumn id="5" xr3:uid="{789C034F-A404-4527-BFBB-E078C26D333C}" name="Month" dataDxfId="71">
      <calculatedColumnFormula>Table9[[#This Row],[Date]]-DAY(Table9[[#This Row],[Date]])+1</calculatedColumnFormula>
    </tableColumn>
    <tableColumn id="6" xr3:uid="{C8851158-D404-43F7-9F0B-B5FBEBAFF593}" name="Date" dataDxfId="70"/>
    <tableColumn id="7" xr3:uid="{4411EE60-7BA4-4479-BA2F-FC86755D4617}" name="Affected Feeder "/>
    <tableColumn id="8" xr3:uid="{319BB535-DB9B-4255-A061-98485F5113CC}" name="SPV">
      <calculatedColumnFormula>IFERROR(_xlfn.XLOOKUP(Table9[[#This Row],[Affected Feeder ]],'Basic Data'!$A:$A,'Basic Data'!$B:$B),"")</calculatedColumnFormula>
    </tableColumn>
    <tableColumn id="9" xr3:uid="{224A893C-D81E-4AC7-A20D-6424587173DB}" name="Concumaer">
      <calculatedColumnFormula>IFERROR(_xlfn.XLOOKUP(Table9[[#This Row],[Affected Feeder ]],'Basic Data'!$A:$A,'Basic Data'!$C:$C),"")</calculatedColumnFormula>
    </tableColumn>
    <tableColumn id="10" xr3:uid="{30C898BC-557E-4C60-A54F-A3FFEBEA7D9B}" name="Plant Equivalent Weightage" dataDxfId="69" dataCellStyle="Percent">
      <calculatedColumnFormula>IFERROR(_xlfn.XLOOKUP(Table9[[#This Row],[Affected Feeder ]],'Basic Data'!$A:$A,'Basic Data'!$E:$E),"")</calculatedColumnFormula>
    </tableColumn>
    <tableColumn id="11" xr3:uid="{BA2E1629-5BA8-4EEC-90BC-891E95399A65}" name="Breakdown Description"/>
    <tableColumn id="12" xr3:uid="{6A6729C7-5F17-4D4A-BD6C-060400EC0CC9}" name="Breakdown Type"/>
    <tableColumn id="13" xr3:uid="{7E319CA7-17A0-47B2-B935-77707D65B004}" name="Fault Start TimeStamp" dataDxfId="68"/>
    <tableColumn id="14" xr3:uid="{E7BA7DBB-9578-46F0-9A6D-2D11977222D6}" name="Work Start TimeStamp" dataDxfId="67"/>
    <tableColumn id="15" xr3:uid="{8C9F8DA6-7EA0-40D4-AE86-C616B6D54E5B}" name="Fault Clearance time" dataDxfId="66"/>
    <tableColumn id="16" xr3:uid="{56C39CC2-7535-4E88-931D-E4A17FD3DC78}" name="Response Time" dataDxfId="65">
      <calculatedColumnFormula>(Table9[[#This Row],[Work Start TimeStamp]]-Table9[[#This Row],[Fault Start TimeStamp]])*24</calculatedColumnFormula>
    </tableColumn>
    <tableColumn id="17" xr3:uid="{7BA3B28E-9814-4F07-B080-7ACFAE548A24}" name="Resolution Time" dataDxfId="64">
      <calculatedColumnFormula>IF(Table9[[#This Row],[Work Start TimeStamp]]="","",(Table9[[#This Row],[Fault Clearance time]]-Table9[[#This Row],[Work Start TimeStamp]])*24)</calculatedColumnFormula>
    </tableColumn>
    <tableColumn id="18" xr3:uid="{3CA0C704-BC47-4449-B0EB-6D020C15071C}" name="Breakdown Time" dataDxfId="63">
      <calculatedColumnFormula>(Table9[[#This Row],[Fault Clearance time]]-Table9[[#This Row],[Fault Start TimeStamp]])*24</calculatedColumnFormula>
    </tableColumn>
    <tableColumn id="19" xr3:uid="{B6727A3C-8B4D-4DAA-B58C-3AAB217B84E6}" name="Action taken" dataDxfId="62"/>
    <tableColumn id="20" xr3:uid="{FD208E69-290B-4AE9-9DCE-BDF6962C3016}" name="Status" dataDxfId="61"/>
    <tableColumn id="21" xr3:uid="{9FA3F576-B1F1-4FCD-B3F2-870587C4FB72}" name="Plant Equivalent breakdown" dataDxfId="60" dataCellStyle="Comma">
      <calculatedColumnFormula>IFERROR(Table9[[#This Row],[Breakdown Time]]*Table9[[#This Row],[Plant Equivalent Weightage]],"")</calculatedColumnFormula>
    </tableColumn>
    <tableColumn id="22" xr3:uid="{2C4C3D72-3E0B-4876-9712-069F0CE2A461}" name="Fault Category" dataDxfId="59" dataCellStyle="Comma"/>
    <tableColumn id="28" xr3:uid="{DA0B21CD-7321-458A-AD57-D0A367038769}" name="Paired WTG for Enegy based MA" dataDxfId="58" dataCellStyle="Comma"/>
    <tableColumn id="23" xr3:uid="{466115E5-0512-488B-A0A4-950ED288C517}" name="Estimated Energy Loss (kWh)"/>
    <tableColumn id="24" xr3:uid="{6AD2BBE2-61B8-403D-A380-19D931372971}" name="Curtailment Order imit."/>
    <tableColumn id="25" xr3:uid="{F43610F4-557A-45B8-9910-5F93B7844139}" name="EGA_Including_CurtailmentOrder" dataDxfId="57">
      <calculatedColumnFormula>IF(Table9[[#This Row],[Breakdown Type]]="Curtailment Order",(((100%*(24-Table9[[#This Row],[Plant Equivalent breakdown]]))+(((Table9[[#This Row],[Curtailment Order imit.]])/50.6)*Table9[[#This Row],[Plant Equivalent breakdown]]))/24),1)</calculatedColumnFormula>
    </tableColumn>
    <tableColumn id="26" xr3:uid="{75B9539E-93C7-46AA-BC57-484542AE074E}" name="PTW No."/>
    <tableColumn id="27" xr3:uid="{04F9ADA7-104C-40F9-A7AF-7C450EA044ED}" name="Job Card No."/>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E010D77-2EF0-4B35-9265-3747DC4079BA}" name="Table7" displayName="Table7" ref="A2:AS280" totalsRowShown="0" headerRowDxfId="56" dataDxfId="54" headerRowBorderDxfId="55" tableBorderDxfId="53" totalsRowBorderDxfId="52" headerRowCellStyle="Normal 26 41">
  <tableColumns count="45">
    <tableColumn id="1" xr3:uid="{DC219965-73B9-4F7C-915E-2446A96D6C48}" name="Date" dataDxfId="51"/>
    <tableColumn id="2" xr3:uid="{E9D3CD44-3CB2-4F3F-A952-3DBCE5BAA736}" name="Financial Year" dataDxfId="50">
      <calculatedColumnFormula>YEAR(Table7[[#This Row],[Date]])+IF(MONTH(Table7[[#This Row],[Date]])&gt;=4,1,0)</calculatedColumnFormula>
    </tableColumn>
    <tableColumn id="3" xr3:uid="{E369CB7D-29DA-4BE5-BB5C-36C0186036DD}" name="Calendar Year" dataDxfId="49">
      <calculatedColumnFormula>YEAR(Table7[[#This Row],[Date]])</calculatedColumnFormula>
    </tableColumn>
    <tableColumn id="4" xr3:uid="{017512A1-1218-4A45-A171-E61F41146B17}" name="Month Year" dataDxfId="48">
      <calculatedColumnFormula>A3-DAY(A3)+1</calculatedColumnFormula>
    </tableColumn>
    <tableColumn id="5" xr3:uid="{1BE74533-1857-4977-88D5-6532EBABC10F}" name="G01" dataDxfId="47"/>
    <tableColumn id="6" xr3:uid="{EBC5786F-F5DA-440C-A7EA-62F87472F5E7}" name="G02" dataDxfId="46"/>
    <tableColumn id="7" xr3:uid="{2D4F55E8-5F40-43D0-888A-B0EEED04F007}" name="G03" dataDxfId="45"/>
    <tableColumn id="8" xr3:uid="{C3B9D759-2EA4-4D89-8A4E-1CD11080A6DD}" name="G04" dataDxfId="44"/>
    <tableColumn id="9" xr3:uid="{7E457302-5D3B-4DBA-B194-7DE89E5B45A0}" name="G05" dataDxfId="43"/>
    <tableColumn id="10" xr3:uid="{A345136C-EA13-4EB6-962A-3466A4EFE7BE}" name="G06" dataDxfId="42"/>
    <tableColumn id="11" xr3:uid="{1E2F5408-DBEC-4CBF-9895-DB95C09FC136}" name="G07" dataDxfId="41"/>
    <tableColumn id="12" xr3:uid="{8988E71D-12FC-4967-A6BD-D90A6BBA1497}" name="G08" dataDxfId="40"/>
    <tableColumn id="13" xr3:uid="{4F2462D8-FF4F-4AE8-BBFE-5A649C0666AD}" name="G09" dataDxfId="39"/>
    <tableColumn id="14" xr3:uid="{70780244-BB33-49BB-9B8E-304BB4BBD25D}" name="G10" dataDxfId="38"/>
    <tableColumn id="15" xr3:uid="{34686208-9572-4E0D-8D23-916134F3F887}" name="G11" dataDxfId="37"/>
    <tableColumn id="16" xr3:uid="{7817F84A-4856-4AC2-BD04-2BECF8A11345}" name="G12" dataDxfId="36"/>
    <tableColumn id="17" xr3:uid="{4A4181FC-C8A1-4E8E-84F9-CAB842204A81}" name="G13" dataDxfId="35"/>
    <tableColumn id="18" xr3:uid="{E920AEB6-6179-42B6-8DD8-E49BD12AE0E5}" name="G14" dataDxfId="34"/>
    <tableColumn id="19" xr3:uid="{5598AE94-480D-442B-B378-539C711CD97C}" name="G15" dataDxfId="33"/>
    <tableColumn id="20" xr3:uid="{C1916A31-3F74-427D-8DE2-A7E25C0D96DB}" name="G16" dataDxfId="32"/>
    <tableColumn id="21" xr3:uid="{B9446923-E0EF-421E-84C0-58E9ED9DF29B}" name="G17" dataDxfId="31"/>
    <tableColumn id="22" xr3:uid="{95EDC25E-168C-4844-84EB-49A5E26FFCB7}" name="G18" dataDxfId="30"/>
    <tableColumn id="23" xr3:uid="{471023B4-A2D1-4664-A7C0-7398CBA15CC0}" name="G19" dataDxfId="29"/>
    <tableColumn id="24" xr3:uid="{A9FA4ED6-B019-4BA7-9E21-5AC34EEE0BA9}" name="G20" dataDxfId="28"/>
    <tableColumn id="25" xr3:uid="{94D783AD-24B5-4213-BF4B-148168F6AB04}" name="G21" dataDxfId="27"/>
    <tableColumn id="26" xr3:uid="{98843B16-E3BC-4CAC-B49D-B4F3D9432FB5}" name="G22" dataDxfId="26"/>
    <tableColumn id="27" xr3:uid="{D6AE3C3B-6BB7-4C93-B69C-94E01B4DBF9F}" name="G23" dataDxfId="25"/>
    <tableColumn id="29" xr3:uid="{D8E7F86B-3F2D-46CA-A137-CF7D10B56731}" name="G25" dataDxfId="24"/>
    <tableColumn id="30" xr3:uid="{4850E404-43E8-47DE-B29C-BD9CEC45D481}" name="G26" dataDxfId="23"/>
    <tableColumn id="31" xr3:uid="{3CDC62D9-B2E6-4255-9F3D-3E6EE8A01CFE}" name="G27" dataDxfId="22"/>
    <tableColumn id="32" xr3:uid="{D2F27884-2A8A-46A6-ACF0-4D2EEB014D1D}" name="G28" dataDxfId="21"/>
    <tableColumn id="33" xr3:uid="{B181092D-8262-476C-AA74-4303075A05FC}" name="G29" dataDxfId="20"/>
    <tableColumn id="34" xr3:uid="{AF30CA2B-24E7-451A-B2E4-33E3EFB20FC0}" name="G30" dataDxfId="19"/>
    <tableColumn id="35" xr3:uid="{69EF0A3E-4BED-4C8A-B8A8-2549669B009A}" name="G31" dataDxfId="18"/>
    <tableColumn id="36" xr3:uid="{0DC9A21D-9EC4-4743-BDD4-12605D90506F}" name="G32" dataDxfId="17"/>
    <tableColumn id="37" xr3:uid="{E3284188-8FBD-4023-97F3-F4A005BB4F4F}" name="G33" dataDxfId="16"/>
    <tableColumn id="38" xr3:uid="{9BCDAAA5-E16E-40A3-B1AC-A522B31D8830}" name="G34" dataDxfId="15"/>
    <tableColumn id="39" xr3:uid="{06AB873F-DAE9-423C-9A55-DE41E9515446}" name="G35" dataDxfId="14"/>
    <tableColumn id="40" xr3:uid="{BA880A4E-72D3-4C44-BB36-F75A9E8109BB}" name="G36" dataDxfId="13"/>
    <tableColumn id="41" xr3:uid="{E2C3F5BA-769F-4526-BDB4-618FC1D57A1E}" name="G37" dataDxfId="12"/>
    <tableColumn id="42" xr3:uid="{1BAE7550-6A34-4524-BD33-245541878E4D}" name="G38" dataDxfId="11"/>
    <tableColumn id="43" xr3:uid="{427E24E4-909A-4183-8D54-85D38B32E987}" name="G39" dataDxfId="10"/>
    <tableColumn id="44" xr3:uid="{9E8D1ACE-6C6F-4E5E-B583-2B85B8F74C43}" name="G40" dataDxfId="9"/>
    <tableColumn id="51" xr3:uid="{0BE913FF-FF72-490E-A5E1-053703C379F7}" name="Total Reactive Power (kVArh)" dataDxfId="8">
      <calculatedColumnFormula>SUM(E3:AQ3)</calculatedColumnFormula>
    </tableColumn>
    <tableColumn id="45" xr3:uid="{158C240E-B77B-4528-B67D-7DC21D730F4F}" name="Column1" dataDxfId="7"/>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Spares" displayName="Spares" ref="A2:G188" totalsRowShown="0" headerRowDxfId="6">
  <autoFilter ref="A2:G188" xr:uid="{00000000-0009-0000-0100-000007000000}"/>
  <tableColumns count="7">
    <tableColumn id="1" xr3:uid="{00000000-0010-0000-0500-000001000000}" name="Sr. No." dataDxfId="5"/>
    <tableColumn id="2" xr3:uid="{00000000-0010-0000-0500-000002000000}" name="Date" dataDxfId="4"/>
    <tableColumn id="3" xr3:uid="{00000000-0010-0000-0500-000003000000}" name="Location"/>
    <tableColumn id="4" xr3:uid="{00000000-0010-0000-0500-000004000000}" name="Material Name"/>
    <tableColumn id="5" xr3:uid="{00000000-0010-0000-0500-000005000000}" name="Quantity"/>
    <tableColumn id="6" xr3:uid="{00000000-0010-0000-0500-000006000000}" name="UoM"/>
    <tableColumn id="7" xr3:uid="{00000000-0010-0000-0500-000007000000}" name="Remar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3" Type="http://schemas.openxmlformats.org/officeDocument/2006/relationships/hyperlink" Target="mailto:O@R1" TargetMode="External"/><Relationship Id="rId7" Type="http://schemas.openxmlformats.org/officeDocument/2006/relationships/hyperlink" Target="mailto:O@R1" TargetMode="External"/><Relationship Id="rId2" Type="http://schemas.openxmlformats.org/officeDocument/2006/relationships/hyperlink" Target="mailto:O@R1" TargetMode="External"/><Relationship Id="rId1" Type="http://schemas.openxmlformats.org/officeDocument/2006/relationships/hyperlink" Target="mailto:O@R1" TargetMode="External"/><Relationship Id="rId6" Type="http://schemas.openxmlformats.org/officeDocument/2006/relationships/hyperlink" Target="mailto:O@R1" TargetMode="External"/><Relationship Id="rId5" Type="http://schemas.openxmlformats.org/officeDocument/2006/relationships/hyperlink" Target="mailto:O@R1" TargetMode="External"/><Relationship Id="rId4" Type="http://schemas.openxmlformats.org/officeDocument/2006/relationships/hyperlink" Target="mailto:O@R1"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39"/>
  <sheetViews>
    <sheetView showGridLines="0" tabSelected="1" topLeftCell="A2" zoomScale="90" zoomScaleNormal="90" workbookViewId="0">
      <selection activeCell="G20" sqref="G20"/>
    </sheetView>
  </sheetViews>
  <sheetFormatPr defaultColWidth="9" defaultRowHeight="15"/>
  <cols>
    <col min="1" max="1" width="17" style="42" customWidth="1"/>
    <col min="2" max="2" width="22.140625" style="43" customWidth="1"/>
    <col min="3" max="3" width="13.7109375" style="43" customWidth="1"/>
    <col min="4" max="4" width="12" style="44" customWidth="1"/>
    <col min="5" max="5" width="11.7109375" style="42" bestFit="1" customWidth="1"/>
    <col min="6" max="6" width="31.85546875" style="43" customWidth="1"/>
    <col min="7" max="7" width="11.140625" style="43" customWidth="1"/>
    <col min="8" max="8" width="12.5703125" style="43" customWidth="1"/>
    <col min="9" max="9" width="11" style="43" customWidth="1"/>
    <col min="10" max="10" width="11.85546875" style="43" customWidth="1"/>
    <col min="11" max="11" width="10.28515625" style="43" customWidth="1"/>
    <col min="12" max="16384" width="9" style="43"/>
  </cols>
  <sheetData>
    <row r="1" spans="1:18" ht="3.95" hidden="1" customHeight="1"/>
    <row r="2" spans="1:18" ht="25.5" customHeight="1">
      <c r="A2" s="388" t="s">
        <v>0</v>
      </c>
      <c r="B2" s="389"/>
      <c r="C2" s="389"/>
      <c r="D2" s="389"/>
      <c r="E2" s="389"/>
      <c r="F2" s="390"/>
    </row>
    <row r="3" spans="1:18">
      <c r="A3" s="45" t="s">
        <v>1</v>
      </c>
      <c r="B3" s="162">
        <v>45839</v>
      </c>
      <c r="C3" s="47"/>
      <c r="D3" s="47"/>
      <c r="E3" s="47"/>
      <c r="F3" s="48"/>
    </row>
    <row r="4" spans="1:18">
      <c r="A4" s="45" t="s">
        <v>2</v>
      </c>
      <c r="B4" s="163">
        <v>45861</v>
      </c>
      <c r="C4" s="47"/>
      <c r="D4" s="47"/>
      <c r="E4" s="47"/>
      <c r="F4" s="48"/>
      <c r="G4" s="50"/>
      <c r="H4" s="50"/>
      <c r="I4" s="50"/>
      <c r="J4" s="50"/>
      <c r="K4" s="50"/>
      <c r="L4" s="50"/>
      <c r="M4" s="50"/>
      <c r="N4" s="50"/>
      <c r="O4" s="50"/>
      <c r="P4" s="50"/>
      <c r="Q4" s="50"/>
      <c r="R4" s="50"/>
    </row>
    <row r="5" spans="1:18" s="51" customFormat="1">
      <c r="A5" s="45" t="s">
        <v>3</v>
      </c>
      <c r="B5" s="46" t="s">
        <v>4</v>
      </c>
      <c r="C5" s="47"/>
      <c r="D5" s="47"/>
      <c r="E5" s="47"/>
      <c r="F5" s="48"/>
      <c r="G5" s="43"/>
      <c r="H5" s="43"/>
      <c r="I5" s="43"/>
      <c r="J5" s="43"/>
      <c r="K5" s="43"/>
      <c r="L5" s="43"/>
      <c r="M5" s="43"/>
      <c r="N5" s="43"/>
      <c r="O5" s="43"/>
      <c r="P5" s="43"/>
    </row>
    <row r="6" spans="1:18">
      <c r="A6" s="96" t="s">
        <v>5</v>
      </c>
      <c r="B6" s="49">
        <v>45748</v>
      </c>
      <c r="C6" s="47"/>
      <c r="D6" s="47"/>
      <c r="E6" s="47"/>
      <c r="F6" s="48"/>
    </row>
    <row r="7" spans="1:18" ht="15.75" thickBot="1">
      <c r="A7" s="52" t="s">
        <v>6</v>
      </c>
      <c r="B7" s="53">
        <v>46112</v>
      </c>
      <c r="C7" s="54"/>
      <c r="D7" s="54"/>
      <c r="E7" s="54"/>
      <c r="F7" s="55"/>
    </row>
    <row r="8" spans="1:18" ht="4.5" customHeight="1" thickBot="1">
      <c r="A8" s="56"/>
      <c r="B8" s="57"/>
      <c r="C8" s="57"/>
      <c r="D8" s="57"/>
      <c r="E8" s="57"/>
      <c r="F8" s="57"/>
    </row>
    <row r="9" spans="1:18" ht="19.5" customHeight="1" thickBot="1">
      <c r="A9" s="58" t="s">
        <v>7</v>
      </c>
      <c r="B9" s="59" t="s">
        <v>8</v>
      </c>
      <c r="C9" s="59" t="s">
        <v>9</v>
      </c>
      <c r="D9" s="59" t="s">
        <v>10</v>
      </c>
      <c r="E9" s="59" t="s">
        <v>11</v>
      </c>
      <c r="F9" s="60" t="s">
        <v>12</v>
      </c>
    </row>
    <row r="10" spans="1:18">
      <c r="A10" s="391">
        <v>1</v>
      </c>
      <c r="B10" s="61" t="s">
        <v>13</v>
      </c>
      <c r="C10" s="62">
        <f>_xlfn.XLOOKUP($B$4,'Daily KPI'!$A:$A,'Daily KPI'!$AD:$AD)/1000</f>
        <v>585.79781940673683</v>
      </c>
      <c r="D10" s="63">
        <f>_xlfn.XLOOKUP($B$4,'Daily KPI'!$A:$A,'Daily KPI'!$AA:$AA)/1000</f>
        <v>338.4</v>
      </c>
      <c r="E10" s="64">
        <f>D10/C10-1</f>
        <v>-0.42232628939671968</v>
      </c>
      <c r="F10" s="164"/>
    </row>
    <row r="11" spans="1:18">
      <c r="A11" s="392"/>
      <c r="B11" s="65" t="s">
        <v>14</v>
      </c>
      <c r="C11" s="66">
        <f>MonthlyKPI!E4</f>
        <v>13473.349846354948</v>
      </c>
      <c r="D11" s="67">
        <f>MonthlyKPI!F4</f>
        <v>10432.799999999999</v>
      </c>
      <c r="E11" s="68">
        <f>D11/C11-1</f>
        <v>-0.22567140919134765</v>
      </c>
      <c r="F11" s="165"/>
    </row>
    <row r="12" spans="1:18" ht="15.75" thickBot="1">
      <c r="A12" s="393"/>
      <c r="B12" s="69" t="s">
        <v>15</v>
      </c>
      <c r="C12" s="70">
        <f>AnnualKPI!E4</f>
        <v>56048.30446030185</v>
      </c>
      <c r="D12" s="71">
        <f>AnnualKPI!F4</f>
        <v>49551.6</v>
      </c>
      <c r="E12" s="72">
        <f>D12/C12-1</f>
        <v>-0.11591259580213287</v>
      </c>
      <c r="F12" s="166"/>
    </row>
    <row r="13" spans="1:18">
      <c r="A13" s="391">
        <v>2</v>
      </c>
      <c r="B13" s="61" t="s">
        <v>16</v>
      </c>
      <c r="C13" s="73">
        <f>_xlfn.XLOOKUP($B$3,'Modelling New'!$D:$D,'Modelling New'!AC:AC)</f>
        <v>7.1310648756787653</v>
      </c>
      <c r="D13" s="74">
        <f>_xlfn.XLOOKUP($B$4,'Daily KPI'!$A:$A,'Daily KPI'!M:M)</f>
        <v>4.3253846153846149</v>
      </c>
      <c r="E13" s="64">
        <f t="shared" ref="E13:E39" si="0">(D13-C13)/(C13)</f>
        <v>-0.39344478127848947</v>
      </c>
      <c r="F13" s="164"/>
    </row>
    <row r="14" spans="1:18">
      <c r="A14" s="392"/>
      <c r="B14" s="65" t="s">
        <v>17</v>
      </c>
      <c r="C14" s="75">
        <f>MonthlyKPI!C4</f>
        <v>7.1310648756787653</v>
      </c>
      <c r="D14" s="76">
        <f>MonthlyKPI!D4</f>
        <v>4.8426351930127867</v>
      </c>
      <c r="E14" s="68">
        <f t="shared" si="0"/>
        <v>-0.32090995139742801</v>
      </c>
      <c r="F14" s="165"/>
    </row>
    <row r="15" spans="1:18" ht="15.75" thickBot="1">
      <c r="A15" s="393"/>
      <c r="B15" s="69" t="s">
        <v>18</v>
      </c>
      <c r="C15" s="77">
        <f>AnnualKPI!C4</f>
        <v>6.2836120320091453</v>
      </c>
      <c r="D15" s="78">
        <f>AnnualKPI!D4</f>
        <v>5.0615123703062253</v>
      </c>
      <c r="E15" s="72">
        <f t="shared" si="0"/>
        <v>-0.19448999325188468</v>
      </c>
      <c r="F15" s="166"/>
    </row>
    <row r="16" spans="1:18">
      <c r="A16" s="391">
        <v>3</v>
      </c>
      <c r="B16" s="61" t="s">
        <v>19</v>
      </c>
      <c r="C16" s="79">
        <f>_xlfn.XLOOKUP($B$3,'Modelling New'!$D:$D,'Modelling New'!$AE:$AE)</f>
        <v>0.96029999999999993</v>
      </c>
      <c r="D16" s="79">
        <f>_xlfn.XLOOKUP($B$4,'Daily KPI'!$A:$A,'Daily KPI'!$O:$O)</f>
        <v>0.96853650819829684</v>
      </c>
      <c r="E16" s="64">
        <f t="shared" si="0"/>
        <v>8.5770157224793406E-3</v>
      </c>
      <c r="F16" s="170"/>
    </row>
    <row r="17" spans="1:6">
      <c r="A17" s="392"/>
      <c r="B17" s="65" t="s">
        <v>20</v>
      </c>
      <c r="C17" s="80">
        <f>_xlfn.XLOOKUP($B$3,'Modelling New'!$D:$D,'Modelling New'!$AE:$AE)</f>
        <v>0.96029999999999993</v>
      </c>
      <c r="D17" s="80">
        <f>MonthlyKPI!$P$4</f>
        <v>0.92563213919349141</v>
      </c>
      <c r="E17" s="68">
        <f t="shared" si="0"/>
        <v>-3.6101073421335547E-2</v>
      </c>
      <c r="F17" s="170"/>
    </row>
    <row r="18" spans="1:6" ht="15.75" thickBot="1">
      <c r="A18" s="393"/>
      <c r="B18" s="69" t="s">
        <v>21</v>
      </c>
      <c r="C18" s="81">
        <f>_xlfn.XLOOKUP($B$3,'Modelling New'!$D:$D,'Modelling New'!$AE:$AE)</f>
        <v>0.96029999999999993</v>
      </c>
      <c r="D18" s="81">
        <f>AnnualKPI!$P$4</f>
        <v>0.92112748963247948</v>
      </c>
      <c r="E18" s="72">
        <f t="shared" si="0"/>
        <v>-4.0791950814870824E-2</v>
      </c>
      <c r="F18" s="170"/>
    </row>
    <row r="19" spans="1:6">
      <c r="A19" s="391">
        <v>4</v>
      </c>
      <c r="B19" s="61" t="s">
        <v>22</v>
      </c>
      <c r="C19" s="79">
        <f>_xlfn.XLOOKUP($B$3,'Modelling New'!$D:$D,'Modelling New'!$AH:$AH)</f>
        <v>0.97</v>
      </c>
      <c r="D19" s="79">
        <f>_xlfn.XLOOKUP($B$4,'Daily KPI'!$A:$A,'Daily KPI'!$P:$P)</f>
        <v>0.96853650819829684</v>
      </c>
      <c r="E19" s="64">
        <f t="shared" si="0"/>
        <v>-1.5087544347454967E-3</v>
      </c>
      <c r="F19" s="164"/>
    </row>
    <row r="20" spans="1:6">
      <c r="A20" s="392"/>
      <c r="B20" s="65" t="s">
        <v>23</v>
      </c>
      <c r="C20" s="80">
        <f>_xlfn.XLOOKUP($B$3,'Modelling New'!$D:$D,'Modelling New'!$AH:$AH)</f>
        <v>0.97</v>
      </c>
      <c r="D20" s="80">
        <f>MonthlyKPI!L4</f>
        <v>0.92780385921423569</v>
      </c>
      <c r="E20" s="68">
        <f t="shared" si="0"/>
        <v>-4.3501176067798228E-2</v>
      </c>
      <c r="F20" s="165"/>
    </row>
    <row r="21" spans="1:6" ht="15.75" thickBot="1">
      <c r="A21" s="393"/>
      <c r="B21" s="69" t="s">
        <v>24</v>
      </c>
      <c r="C21" s="81">
        <f>_xlfn.XLOOKUP($B$3,'Modelling New'!$D:$D,'Modelling New'!$AH:$AH)</f>
        <v>0.97</v>
      </c>
      <c r="D21" s="81">
        <f>AnnualKPI!L4</f>
        <v>0.92633082383287002</v>
      </c>
      <c r="E21" s="72">
        <f t="shared" si="0"/>
        <v>-4.5019769244463867E-2</v>
      </c>
      <c r="F21" s="166"/>
    </row>
    <row r="22" spans="1:6">
      <c r="A22" s="391">
        <v>5</v>
      </c>
      <c r="B22" s="61" t="s">
        <v>25</v>
      </c>
      <c r="C22" s="79">
        <f>_xlfn.XLOOKUP($B$3,'Modelling New'!$D:$D,'Modelling New'!$AF:$AF)</f>
        <v>0.995</v>
      </c>
      <c r="D22" s="79">
        <f>_xlfn.XLOOKUP($B$4,'Daily KPI'!$A:$A,'Daily KPI'!$R:$R)</f>
        <v>1</v>
      </c>
      <c r="E22" s="64">
        <f t="shared" si="0"/>
        <v>5.0251256281407079E-3</v>
      </c>
      <c r="F22" s="164"/>
    </row>
    <row r="23" spans="1:6">
      <c r="A23" s="392"/>
      <c r="B23" s="65" t="s">
        <v>26</v>
      </c>
      <c r="C23" s="80">
        <f>_xlfn.XLOOKUP($B$3,'Modelling New'!$D:$D,'Modelling New'!$AF:$AF)</f>
        <v>0.995</v>
      </c>
      <c r="D23" s="80">
        <f>MonthlyKPI!J4</f>
        <v>1</v>
      </c>
      <c r="E23" s="68">
        <f t="shared" si="0"/>
        <v>5.0251256281407079E-3</v>
      </c>
      <c r="F23" s="165"/>
    </row>
    <row r="24" spans="1:6" ht="15.75" thickBot="1">
      <c r="A24" s="393"/>
      <c r="B24" s="69" t="s">
        <v>27</v>
      </c>
      <c r="C24" s="81">
        <f>_xlfn.XLOOKUP($B$3,'Modelling New'!$D:$D,'Modelling New'!$AF:$AF)</f>
        <v>0.995</v>
      </c>
      <c r="D24" s="81">
        <f>AnnualKPI!J4</f>
        <v>1</v>
      </c>
      <c r="E24" s="72">
        <f t="shared" si="0"/>
        <v>5.0251256281407079E-3</v>
      </c>
      <c r="F24" s="166"/>
    </row>
    <row r="25" spans="1:6">
      <c r="A25" s="391">
        <v>6</v>
      </c>
      <c r="B25" s="61" t="s">
        <v>28</v>
      </c>
      <c r="C25" s="79">
        <f>_xlfn.XLOOKUP($B$3,'Modelling New'!$D:$D,'Modelling New'!$AI:$AI)</f>
        <v>0.99</v>
      </c>
      <c r="D25" s="79">
        <f>_xlfn.XLOOKUP($B$4,'Daily KPI'!$A:$A,'Daily KPI'!$Q:$Q)</f>
        <v>1</v>
      </c>
      <c r="E25" s="64">
        <f t="shared" si="0"/>
        <v>1.0101010101010111E-2</v>
      </c>
      <c r="F25" s="164"/>
    </row>
    <row r="26" spans="1:6">
      <c r="A26" s="392"/>
      <c r="B26" s="65" t="s">
        <v>29</v>
      </c>
      <c r="C26" s="80">
        <f>_xlfn.XLOOKUP($B$3,'Modelling New'!$D:$D,'Modelling New'!$AI:$AI)</f>
        <v>0.99</v>
      </c>
      <c r="D26" s="80">
        <f>MonthlyKPI!N4</f>
        <v>0.99765928973114693</v>
      </c>
      <c r="E26" s="68">
        <f t="shared" si="0"/>
        <v>7.7366562940878129E-3</v>
      </c>
      <c r="F26" s="165"/>
    </row>
    <row r="27" spans="1:6" ht="15.75" thickBot="1">
      <c r="A27" s="393"/>
      <c r="B27" s="69" t="s">
        <v>30</v>
      </c>
      <c r="C27" s="81">
        <f>_xlfn.XLOOKUP($B$3,'Modelling New'!$D:$D,'Modelling New'!$AI:$AI)</f>
        <v>0.99</v>
      </c>
      <c r="D27" s="81">
        <f>AnnualKPI!N4</f>
        <v>0.99438285538328441</v>
      </c>
      <c r="E27" s="72">
        <f t="shared" si="0"/>
        <v>4.4271266497822453E-3</v>
      </c>
      <c r="F27" s="166"/>
    </row>
    <row r="28" spans="1:6">
      <c r="A28" s="391">
        <v>7</v>
      </c>
      <c r="B28" s="61" t="s">
        <v>31</v>
      </c>
      <c r="C28" s="147">
        <f>IFERROR(_xlfn.XLOOKUP($B$4,'Daily KPI'!$A:$A,'Daily KPI'!$AF:$AF),"")</f>
        <v>0.31292618558052182</v>
      </c>
      <c r="D28" s="79">
        <f>_xlfn.XLOOKUP($B$4,'Daily KPI'!$A:$A,'Daily KPI'!$W:$W)</f>
        <v>0.18076923076923077</v>
      </c>
      <c r="E28" s="64">
        <f>D28/C28-1</f>
        <v>-0.42232628939671968</v>
      </c>
      <c r="F28" s="164"/>
    </row>
    <row r="29" spans="1:6">
      <c r="A29" s="392"/>
      <c r="B29" s="65" t="s">
        <v>32</v>
      </c>
      <c r="C29" s="148">
        <f>MonthlyKPI!$G$4</f>
        <v>0.31292618558052182</v>
      </c>
      <c r="D29" s="80">
        <f>MonthlyKPI!H4</f>
        <v>0.24230769230769228</v>
      </c>
      <c r="E29" s="68">
        <f t="shared" si="0"/>
        <v>-0.22567140919134768</v>
      </c>
      <c r="F29" s="165"/>
    </row>
    <row r="30" spans="1:6" ht="15.75" thickBot="1">
      <c r="A30" s="393"/>
      <c r="B30" s="69" t="s">
        <v>33</v>
      </c>
      <c r="C30" s="149">
        <f>AnnualKPI!$G$4</f>
        <v>0.26263450508088659</v>
      </c>
      <c r="D30" s="81">
        <f>AnnualKPI!H4</f>
        <v>0.23219185784975258</v>
      </c>
      <c r="E30" s="72">
        <f t="shared" si="0"/>
        <v>-0.11591259580213287</v>
      </c>
      <c r="F30" s="166"/>
    </row>
    <row r="31" spans="1:6">
      <c r="A31" s="391">
        <v>8</v>
      </c>
      <c r="B31" s="61" t="s">
        <v>34</v>
      </c>
      <c r="C31" s="80">
        <v>0.05</v>
      </c>
      <c r="D31" s="79">
        <f>_xlfn.XLOOKUP($B$4,'Daily KPI'!$A:$A,'Daily KPI'!$AN:$AN)</f>
        <v>3.034748747102356E-2</v>
      </c>
      <c r="E31" s="64">
        <f>-(D31-C31)/(C31)</f>
        <v>0.39305025057952886</v>
      </c>
      <c r="F31" s="164"/>
    </row>
    <row r="32" spans="1:6">
      <c r="A32" s="392"/>
      <c r="B32" s="65" t="s">
        <v>35</v>
      </c>
      <c r="C32" s="80">
        <v>0.05</v>
      </c>
      <c r="D32" s="151">
        <f>MonthlyKPI!$U$4</f>
        <v>1.4570059719370821E-2</v>
      </c>
      <c r="E32" s="68">
        <f t="shared" ref="E32:E33" si="1">-(D32-C32)/(C32)</f>
        <v>0.70859880561258359</v>
      </c>
      <c r="F32" s="165"/>
    </row>
    <row r="33" spans="1:6" ht="15.75" thickBot="1">
      <c r="A33" s="393"/>
      <c r="B33" s="69" t="s">
        <v>36</v>
      </c>
      <c r="C33" s="80">
        <v>0.05</v>
      </c>
      <c r="D33" s="81">
        <f>AnnualKPI!$R$4</f>
        <v>1.9015501440268253E-2</v>
      </c>
      <c r="E33" s="72">
        <f t="shared" si="1"/>
        <v>0.61968997119463498</v>
      </c>
      <c r="F33" s="166"/>
    </row>
    <row r="34" spans="1:6">
      <c r="A34" s="391">
        <v>9</v>
      </c>
      <c r="B34" s="61" t="s">
        <v>37</v>
      </c>
      <c r="C34" s="79">
        <v>0.05</v>
      </c>
      <c r="D34" s="155">
        <f>_xlfn.XLOOKUP($B$4,'Daily KPI'!$A:$A,'Daily KPI'!$AO:$AO)</f>
        <v>0</v>
      </c>
      <c r="E34" s="64">
        <f>-(D34-C34)/(C34)</f>
        <v>1</v>
      </c>
      <c r="F34" s="164"/>
    </row>
    <row r="35" spans="1:6">
      <c r="A35" s="392"/>
      <c r="B35" s="65" t="s">
        <v>38</v>
      </c>
      <c r="C35" s="80">
        <v>0.05</v>
      </c>
      <c r="D35" s="156">
        <f>MonthlyKPI!$V$4</f>
        <v>1.9336923604483905E-5</v>
      </c>
      <c r="E35" s="68">
        <f>-(D35-C35)/(C35)</f>
        <v>0.9996132615279103</v>
      </c>
      <c r="F35" s="165"/>
    </row>
    <row r="36" spans="1:6" ht="15.75" thickBot="1">
      <c r="A36" s="393"/>
      <c r="B36" s="69" t="s">
        <v>39</v>
      </c>
      <c r="C36" s="80">
        <v>0.05</v>
      </c>
      <c r="D36" s="157">
        <f>AnnualKPI!$S$4</f>
        <v>4.4700546988519104E-5</v>
      </c>
      <c r="E36" s="72">
        <f>-(D36-C36)/(C36)</f>
        <v>0.99910598906022963</v>
      </c>
      <c r="F36" s="166"/>
    </row>
    <row r="37" spans="1:6">
      <c r="A37" s="391">
        <v>10</v>
      </c>
      <c r="B37" s="61" t="s">
        <v>40</v>
      </c>
      <c r="C37" s="152">
        <f>IFERROR(_xlfn.XLOOKUP($B$4,'Daily KPI'!$A:$A,'Daily KPI'!$AI:$AI),"")</f>
        <v>348.99</v>
      </c>
      <c r="D37" s="62">
        <f>IFERROR(_xlfn.XLOOKUP($B$4,'Daily KPI'!$A:$A,'Daily KPI'!$X:$X)/1000,"")</f>
        <v>348.99099999999999</v>
      </c>
      <c r="E37" s="64">
        <f t="shared" si="0"/>
        <v>2.8654116163109347E-6</v>
      </c>
      <c r="F37" s="164"/>
    </row>
    <row r="38" spans="1:6">
      <c r="A38" s="392"/>
      <c r="B38" s="65" t="s">
        <v>41</v>
      </c>
      <c r="C38" s="153">
        <f>MonthlyKPI!$T$4</f>
        <v>10547.338000000002</v>
      </c>
      <c r="D38" s="66">
        <f>IFERROR(SUMIF('Daily KPI'!$D:$D,O2Summary!$B$3,'Daily KPI'!$X:$X)/1000,"")</f>
        <v>10547.344999999999</v>
      </c>
      <c r="E38" s="68">
        <f t="shared" si="0"/>
        <v>6.6367456867202965E-7</v>
      </c>
      <c r="F38" s="165"/>
    </row>
    <row r="39" spans="1:6" ht="15.75" thickBot="1">
      <c r="A39" s="393"/>
      <c r="B39" s="69" t="s">
        <v>42</v>
      </c>
      <c r="C39" s="154">
        <f>AnnualKPI!$Q$4</f>
        <v>50209.05599999999</v>
      </c>
      <c r="D39" s="70">
        <f>IFERROR(SUMIFS('Daily KPI'!$X:$X,'Daily KPI'!$A:$A,"&gt;="&amp;O2Summary!$B$6,'Daily KPI'!$A:$A,"&lt;="&amp;O2Summary!B4)/1000,"")</f>
        <v>50381.682000000001</v>
      </c>
      <c r="E39" s="72">
        <f t="shared" si="0"/>
        <v>3.4381447044137046E-3</v>
      </c>
      <c r="F39" s="166"/>
    </row>
  </sheetData>
  <sheetProtection algorithmName="SHA-512" hashValue="ttakURqYOhuPdHXXwcVJmteg8+7fYfge2dIe0sqzkdHCCBgnG2YXAV/bvVAUki42hjQ/XMJHZg6x8SI5fT/BcA==" saltValue="DyMd8HYEQhMRAkKzKxp9bQ==" spinCount="100000" sheet="1" objects="1" scenarios="1"/>
  <mergeCells count="11">
    <mergeCell ref="A37:A39"/>
    <mergeCell ref="A25:A27"/>
    <mergeCell ref="A28:A30"/>
    <mergeCell ref="A31:A33"/>
    <mergeCell ref="A34:A36"/>
    <mergeCell ref="A2:F2"/>
    <mergeCell ref="A10:A12"/>
    <mergeCell ref="A13:A15"/>
    <mergeCell ref="A19:A21"/>
    <mergeCell ref="A22:A24"/>
    <mergeCell ref="A16:A18"/>
  </mergeCells>
  <conditionalFormatting sqref="E10:E12">
    <cfRule type="iconSet" priority="11">
      <iconSet iconSet="3Arrows">
        <cfvo type="percent" val="0"/>
        <cfvo type="num" val="-5.0000000000000001E-3"/>
        <cfvo type="num" val="0"/>
      </iconSet>
    </cfRule>
    <cfRule type="dataBar" priority="12">
      <dataBar>
        <cfvo type="min"/>
        <cfvo type="max"/>
        <color theme="4" tint="0.79998168889431442"/>
      </dataBar>
      <extLst>
        <ext xmlns:x14="http://schemas.microsoft.com/office/spreadsheetml/2009/9/main" uri="{B025F937-C7B1-47D3-B67F-A62EFF666E3E}">
          <x14:id>{645D4AC3-9D51-4EFE-8C31-AB3C68E7AA20}</x14:id>
        </ext>
      </extLst>
    </cfRule>
  </conditionalFormatting>
  <conditionalFormatting sqref="E13:E21">
    <cfRule type="iconSet" priority="9">
      <iconSet iconSet="3Arrows">
        <cfvo type="percent" val="0"/>
        <cfvo type="num" val="-5.0000000000000001E-3"/>
        <cfvo type="num" val="0"/>
      </iconSet>
    </cfRule>
    <cfRule type="dataBar" priority="10">
      <dataBar>
        <cfvo type="min"/>
        <cfvo type="max"/>
        <color theme="4" tint="0.79998168889431442"/>
      </dataBar>
      <extLst>
        <ext xmlns:x14="http://schemas.microsoft.com/office/spreadsheetml/2009/9/main" uri="{B025F937-C7B1-47D3-B67F-A62EFF666E3E}">
          <x14:id>{2EB42984-3FBC-4867-A843-8FCBF00ABBF1}</x14:id>
        </ext>
      </extLst>
    </cfRule>
  </conditionalFormatting>
  <conditionalFormatting sqref="E22:E27 E29:E30 E37:E39">
    <cfRule type="iconSet" priority="7">
      <iconSet iconSet="3Arrows">
        <cfvo type="percent" val="0"/>
        <cfvo type="num" val="-5.0000000000000001E-3"/>
        <cfvo type="num" val="0"/>
      </iconSet>
    </cfRule>
    <cfRule type="dataBar" priority="8">
      <dataBar>
        <cfvo type="min"/>
        <cfvo type="max"/>
        <color theme="4" tint="0.79998168889431442"/>
      </dataBar>
      <extLst>
        <ext xmlns:x14="http://schemas.microsoft.com/office/spreadsheetml/2009/9/main" uri="{B025F937-C7B1-47D3-B67F-A62EFF666E3E}">
          <x14:id>{03F3BB45-0252-4F90-B3CD-D9F4E11E333C}</x14:id>
        </ext>
      </extLst>
    </cfRule>
  </conditionalFormatting>
  <conditionalFormatting sqref="E28">
    <cfRule type="iconSet" priority="5">
      <iconSet iconSet="3Arrows">
        <cfvo type="percent" val="0"/>
        <cfvo type="num" val="-5.0000000000000001E-3"/>
        <cfvo type="num" val="0"/>
      </iconSet>
    </cfRule>
    <cfRule type="dataBar" priority="6">
      <dataBar>
        <cfvo type="min"/>
        <cfvo type="max"/>
        <color theme="4" tint="0.79998168889431442"/>
      </dataBar>
      <extLst>
        <ext xmlns:x14="http://schemas.microsoft.com/office/spreadsheetml/2009/9/main" uri="{B025F937-C7B1-47D3-B67F-A62EFF666E3E}">
          <x14:id>{AB0BDD3B-83F0-48F5-AE46-0C01DC671DCB}</x14:id>
        </ext>
      </extLst>
    </cfRule>
  </conditionalFormatting>
  <conditionalFormatting sqref="E31:E33">
    <cfRule type="iconSet" priority="3">
      <iconSet iconSet="3Arrows">
        <cfvo type="percent" val="0"/>
        <cfvo type="num" val="-5.0000000000000001E-3"/>
        <cfvo type="num" val="0"/>
      </iconSet>
    </cfRule>
    <cfRule type="dataBar" priority="4">
      <dataBar>
        <cfvo type="min"/>
        <cfvo type="max"/>
        <color theme="4" tint="0.79998168889431442"/>
      </dataBar>
      <extLst>
        <ext xmlns:x14="http://schemas.microsoft.com/office/spreadsheetml/2009/9/main" uri="{B025F937-C7B1-47D3-B67F-A62EFF666E3E}">
          <x14:id>{AA885838-ABC2-4265-A360-03565956E444}</x14:id>
        </ext>
      </extLst>
    </cfRule>
  </conditionalFormatting>
  <conditionalFormatting sqref="E34:E36">
    <cfRule type="iconSet" priority="1">
      <iconSet iconSet="3Arrows">
        <cfvo type="percent" val="0"/>
        <cfvo type="num" val="-5.0000000000000001E-3"/>
        <cfvo type="num" val="0"/>
      </iconSet>
    </cfRule>
    <cfRule type="dataBar" priority="2">
      <dataBar>
        <cfvo type="min"/>
        <cfvo type="max"/>
        <color theme="4" tint="0.79998168889431442"/>
      </dataBar>
      <extLst>
        <ext xmlns:x14="http://schemas.microsoft.com/office/spreadsheetml/2009/9/main" uri="{B025F937-C7B1-47D3-B67F-A62EFF666E3E}">
          <x14:id>{A8E0FFC3-01FE-4A28-B85B-DCE951B2EFCA}</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645D4AC3-9D51-4EFE-8C31-AB3C68E7AA20}">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E10:E12</xm:sqref>
        </x14:conditionalFormatting>
        <x14:conditionalFormatting xmlns:xm="http://schemas.microsoft.com/office/excel/2006/main">
          <x14:cfRule type="dataBar" id="{2EB42984-3FBC-4867-A843-8FCBF00ABBF1}">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E13:E21</xm:sqref>
        </x14:conditionalFormatting>
        <x14:conditionalFormatting xmlns:xm="http://schemas.microsoft.com/office/excel/2006/main">
          <x14:cfRule type="dataBar" id="{03F3BB45-0252-4F90-B3CD-D9F4E11E333C}">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E22:E27 E29:E30 E37:E39</xm:sqref>
        </x14:conditionalFormatting>
        <x14:conditionalFormatting xmlns:xm="http://schemas.microsoft.com/office/excel/2006/main">
          <x14:cfRule type="dataBar" id="{AB0BDD3B-83F0-48F5-AE46-0C01DC671DCB}">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E28</xm:sqref>
        </x14:conditionalFormatting>
        <x14:conditionalFormatting xmlns:xm="http://schemas.microsoft.com/office/excel/2006/main">
          <x14:cfRule type="dataBar" id="{AA885838-ABC2-4265-A360-03565956E444}">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E31:E33</xm:sqref>
        </x14:conditionalFormatting>
        <x14:conditionalFormatting xmlns:xm="http://schemas.microsoft.com/office/excel/2006/main">
          <x14:cfRule type="dataBar" id="{A8E0FFC3-01FE-4A28-B85B-DCE951B2EFCA}">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E34:E36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S5"/>
  <sheetViews>
    <sheetView workbookViewId="0">
      <selection activeCell="F4" sqref="F4"/>
    </sheetView>
  </sheetViews>
  <sheetFormatPr defaultColWidth="8.85546875" defaultRowHeight="15"/>
  <cols>
    <col min="1" max="1" width="11" customWidth="1"/>
    <col min="2" max="2" width="10.42578125" customWidth="1"/>
    <col min="3" max="5" width="13.42578125" customWidth="1"/>
    <col min="6" max="6" width="14" customWidth="1"/>
    <col min="7" max="7" width="9.85546875" customWidth="1"/>
    <col min="8" max="8" width="10.42578125" customWidth="1"/>
    <col min="10" max="10" width="9.42578125" customWidth="1"/>
    <col min="11" max="11" width="9" customWidth="1"/>
    <col min="12" max="12" width="9.42578125" customWidth="1"/>
    <col min="14" max="14" width="9.42578125" customWidth="1"/>
    <col min="16" max="16" width="10.28515625" customWidth="1"/>
    <col min="19" max="19" width="9.5703125" customWidth="1"/>
  </cols>
  <sheetData>
    <row r="1" spans="1:19">
      <c r="A1" s="26" t="s">
        <v>43</v>
      </c>
      <c r="B1" s="27">
        <f>O2Summary!B4</f>
        <v>45861</v>
      </c>
      <c r="C1" s="31">
        <f>O2Summary!B3</f>
        <v>45839</v>
      </c>
    </row>
    <row r="2" spans="1:19" ht="21">
      <c r="A2" s="394" t="s">
        <v>44</v>
      </c>
      <c r="B2" s="395"/>
      <c r="C2" s="395"/>
      <c r="D2" s="395"/>
      <c r="E2" s="395"/>
      <c r="F2" s="395"/>
      <c r="G2" s="395"/>
      <c r="H2" s="395"/>
      <c r="I2" s="395"/>
      <c r="J2" s="395"/>
      <c r="K2" s="395"/>
      <c r="L2" s="395"/>
      <c r="M2" s="395"/>
      <c r="N2" s="395"/>
      <c r="O2" s="395"/>
      <c r="P2" s="395"/>
    </row>
    <row r="3" spans="1:19" ht="30.95" customHeight="1">
      <c r="A3" s="41" t="s">
        <v>45</v>
      </c>
      <c r="B3" s="41" t="s">
        <v>46</v>
      </c>
      <c r="C3" s="30" t="s">
        <v>47</v>
      </c>
      <c r="D3" s="30" t="s">
        <v>48</v>
      </c>
      <c r="E3" s="30" t="s">
        <v>49</v>
      </c>
      <c r="F3" s="30" t="s">
        <v>50</v>
      </c>
      <c r="G3" s="30" t="s">
        <v>51</v>
      </c>
      <c r="H3" s="30" t="s">
        <v>52</v>
      </c>
      <c r="I3" s="30" t="s">
        <v>53</v>
      </c>
      <c r="J3" s="30" t="s">
        <v>54</v>
      </c>
      <c r="K3" s="30" t="s">
        <v>55</v>
      </c>
      <c r="L3" s="30" t="s">
        <v>56</v>
      </c>
      <c r="M3" s="30" t="s">
        <v>57</v>
      </c>
      <c r="N3" s="30" t="s">
        <v>58</v>
      </c>
      <c r="O3" s="30" t="s">
        <v>59</v>
      </c>
      <c r="P3" s="30" t="s">
        <v>60</v>
      </c>
      <c r="Q3" s="145" t="s">
        <v>61</v>
      </c>
      <c r="R3" s="145" t="s">
        <v>62</v>
      </c>
      <c r="S3" s="145" t="s">
        <v>63</v>
      </c>
    </row>
    <row r="4" spans="1:19" s="39" customFormat="1" ht="15.75" customHeight="1">
      <c r="A4" s="82">
        <f>YEAR(B1)+IF(MONTH(B1)&gt;=4,1,0)</f>
        <v>2026</v>
      </c>
      <c r="B4" s="32">
        <f>B1-(O2Summary!B6)+1</f>
        <v>114</v>
      </c>
      <c r="C4" s="33">
        <f>_xlfn.XLOOKUP($C$1,'Modelling New'!$D:$D,'Modelling New'!$AD:$AD)</f>
        <v>6.2836120320091453</v>
      </c>
      <c r="D4" s="34">
        <f>AVERAGEIFS('Daily KPI'!$M:$M,'Daily KPI'!$A:$A,"&gt;="&amp;O2Summary!$B$6,'Daily KPI'!$A:$A,"&lt;="&amp;AnnualKPI!$B$1)</f>
        <v>5.0615123703062253</v>
      </c>
      <c r="E4" s="32">
        <f>_xlfn.XLOOKUP($C$1,'Modelling New'!$D:$D,'Modelling New'!$V:$V)</f>
        <v>56048.30446030185</v>
      </c>
      <c r="F4" s="35">
        <f>SUMIFS('Daily KPI'!$AA:$AA,'Daily KPI'!$A:$A,"&gt;="&amp;O2Summary!$B$6,'Daily KPI'!$A:$A,"&lt;="&amp;AnnualKPI!$B$1)/1000</f>
        <v>49551.6</v>
      </c>
      <c r="G4" s="36">
        <f>_xlfn.XLOOKUP($C$1,'Modelling New'!$D:$D,'Modelling New'!$Y:$Y)</f>
        <v>0.26263450508088659</v>
      </c>
      <c r="H4" s="37">
        <f>IFERROR(F4/(B4*24*'Basic Data'!$K$3),"")</f>
        <v>0.23219185784975258</v>
      </c>
      <c r="I4" s="36">
        <f>_xlfn.XLOOKUP($C$1,'Modelling New'!$D:$D,'Modelling New'!$AF:$AF)</f>
        <v>0.995</v>
      </c>
      <c r="J4" s="38">
        <f>AVERAGEIFS('Daily KPI'!$R:$R,'Daily KPI'!$A:$A,"&gt;="&amp;O2Summary!$B$6,'Daily KPI'!$A:$A,"&lt;="&amp;AnnualKPI!$B$1)</f>
        <v>1</v>
      </c>
      <c r="K4" s="36">
        <f>_xlfn.XLOOKUP($C$1,'Modelling New'!$D:$D,'Modelling New'!$AH:$AH)</f>
        <v>0.97</v>
      </c>
      <c r="L4" s="38">
        <f>AVERAGEIFS('Daily KPI'!$P:$P,'Daily KPI'!$A:$A,"&gt;="&amp;O2Summary!$B$6,'Daily KPI'!$A:$A,"&lt;="&amp;AnnualKPI!$B$1)</f>
        <v>0.92633082383287002</v>
      </c>
      <c r="M4" s="36">
        <f>_xlfn.XLOOKUP($C$1,'Modelling New'!$D:$D,'Modelling New'!$AI:$AI)</f>
        <v>0.99</v>
      </c>
      <c r="N4" s="38">
        <f>AVERAGEIFS('Daily KPI'!$Q:$Q,'Daily KPI'!$A:$A,"&gt;="&amp;O2Summary!$B$6,'Daily KPI'!$A:$A,"&lt;="&amp;AnnualKPI!$B$1)</f>
        <v>0.99438285538328441</v>
      </c>
      <c r="O4" s="36">
        <f>K4*M4</f>
        <v>0.96029999999999993</v>
      </c>
      <c r="P4" s="38">
        <f>L4*N4</f>
        <v>0.92112748963247948</v>
      </c>
      <c r="Q4" s="35">
        <f>SUMIFS('Daily KPI'!$AI:$AI,'Daily KPI'!$A:$A,"&gt;="&amp;O2Summary!$B$6,'Daily KPI'!$A:$A,"&lt;="&amp;AnnualKPI!$B$1)</f>
        <v>50209.05599999999</v>
      </c>
      <c r="R4" s="38">
        <f>AVERAGEIFS('Daily KPI'!$AN:$AN,'Daily KPI'!$A:$A,"&gt;="&amp;O2Summary!$B$6,'Daily KPI'!$A:$A,"&lt;="&amp;AnnualKPI!$B$1)</f>
        <v>1.9015501440268253E-2</v>
      </c>
      <c r="S4" s="38">
        <f>AVERAGEIFS('Daily KPI'!$AO:$AO,'Daily KPI'!$A:$A,"&gt;="&amp;O2Summary!$B$6,'Daily KPI'!$A:$A,"&lt;="&amp;AnnualKPI!$B$1)</f>
        <v>4.4700546988519104E-5</v>
      </c>
    </row>
    <row r="5" spans="1:19" ht="26.25" customHeight="1"/>
  </sheetData>
  <sheetProtection algorithmName="SHA-512" hashValue="PDEGxeCQnjx7B3FM5pPV0ee/C6TV/ULrD6XonfMwgcnCk5uedIQQuVKj3mbVmVeeg5i6/P0HVHXRzi9UVZUlrQ==" saltValue="nKlvbCKukBXLW0+7lXDvJA==" spinCount="100000" sheet="1" objects="1" scenarios="1"/>
  <mergeCells count="1">
    <mergeCell ref="A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8"/>
  <sheetViews>
    <sheetView zoomScale="79" workbookViewId="0">
      <selection activeCell="B7" sqref="B7"/>
    </sheetView>
  </sheetViews>
  <sheetFormatPr defaultColWidth="8.85546875" defaultRowHeight="29.1" customHeight="1"/>
  <cols>
    <col min="1" max="1" width="15" bestFit="1" customWidth="1"/>
    <col min="2" max="3" width="12.28515625" customWidth="1"/>
    <col min="4" max="4" width="12" customWidth="1"/>
    <col min="5" max="5" width="14.85546875" customWidth="1"/>
    <col min="6" max="16" width="12.140625" customWidth="1"/>
    <col min="17" max="17" width="12" customWidth="1"/>
  </cols>
  <sheetData>
    <row r="1" spans="1:22" ht="29.1" customHeight="1">
      <c r="A1" s="26" t="s">
        <v>43</v>
      </c>
      <c r="B1" s="27">
        <f>O2Summary!B4</f>
        <v>45861</v>
      </c>
      <c r="C1" s="28">
        <v>0</v>
      </c>
      <c r="D1" s="28">
        <v>0</v>
      </c>
      <c r="E1" s="28">
        <v>0</v>
      </c>
      <c r="F1" s="28">
        <v>0</v>
      </c>
    </row>
    <row r="2" spans="1:22" ht="29.1" customHeight="1">
      <c r="A2" s="394" t="s">
        <v>64</v>
      </c>
      <c r="B2" s="395"/>
      <c r="C2" s="395"/>
      <c r="D2" s="395"/>
      <c r="E2" s="395"/>
      <c r="F2" s="395"/>
      <c r="G2" s="395"/>
      <c r="H2" s="395"/>
      <c r="I2" s="395"/>
      <c r="J2" s="395"/>
      <c r="K2" s="395"/>
      <c r="L2" s="395"/>
      <c r="M2" s="395"/>
      <c r="N2" s="395"/>
      <c r="O2" s="395"/>
      <c r="P2" s="395"/>
      <c r="Q2" s="395"/>
      <c r="R2" s="395"/>
    </row>
    <row r="3" spans="1:22" ht="29.1" customHeight="1">
      <c r="A3" s="29" t="s">
        <v>45</v>
      </c>
      <c r="B3" s="29" t="s">
        <v>46</v>
      </c>
      <c r="C3" s="30" t="s">
        <v>47</v>
      </c>
      <c r="D3" s="30" t="s">
        <v>48</v>
      </c>
      <c r="E3" s="30" t="s">
        <v>49</v>
      </c>
      <c r="F3" s="30" t="s">
        <v>50</v>
      </c>
      <c r="G3" s="30" t="s">
        <v>51</v>
      </c>
      <c r="H3" s="30" t="s">
        <v>52</v>
      </c>
      <c r="I3" s="30" t="s">
        <v>53</v>
      </c>
      <c r="J3" s="30" t="s">
        <v>54</v>
      </c>
      <c r="K3" s="30" t="s">
        <v>55</v>
      </c>
      <c r="L3" s="30" t="s">
        <v>56</v>
      </c>
      <c r="M3" s="30" t="s">
        <v>65</v>
      </c>
      <c r="N3" s="30" t="s">
        <v>58</v>
      </c>
      <c r="O3" s="30" t="s">
        <v>59</v>
      </c>
      <c r="P3" s="30" t="s">
        <v>60</v>
      </c>
      <c r="Q3" s="30" t="s">
        <v>66</v>
      </c>
      <c r="R3" s="30" t="s">
        <v>67</v>
      </c>
      <c r="S3" s="30" t="s">
        <v>68</v>
      </c>
      <c r="T3" s="145" t="s">
        <v>61</v>
      </c>
      <c r="U3" s="145" t="s">
        <v>62</v>
      </c>
      <c r="V3" s="145" t="s">
        <v>63</v>
      </c>
    </row>
    <row r="4" spans="1:22" s="39" customFormat="1" ht="29.1" customHeight="1">
      <c r="A4" s="31">
        <f>O2Summary!B3</f>
        <v>45839</v>
      </c>
      <c r="B4" s="32">
        <f>DAY(B1)</f>
        <v>23</v>
      </c>
      <c r="C4" s="33">
        <f>_xlfn.XLOOKUP($A$4,'Modelling New'!$D:$D,'Modelling New'!$AC:$AC)</f>
        <v>7.1310648756787653</v>
      </c>
      <c r="D4" s="34">
        <f>AVERAGEIF('Daily KPI'!$D:$D,$A$4,'Daily KPI'!$M:$M)</f>
        <v>4.8426351930127867</v>
      </c>
      <c r="E4" s="32">
        <f>_xlfn.XLOOKUP($A$4,'Modelling New'!$D:$D,'Modelling New'!$U:$U)</f>
        <v>13473.349846354948</v>
      </c>
      <c r="F4" s="35">
        <f>SUMIFS('Daily KPI'!$AA:$AA,'Daily KPI'!$D:$D,$A$4)/1000</f>
        <v>10432.799999999999</v>
      </c>
      <c r="G4" s="36">
        <f>_xlfn.XLOOKUP($A$4,'Modelling New'!$D:$D,'Modelling New'!$X:$X)</f>
        <v>0.31292618558052182</v>
      </c>
      <c r="H4" s="37">
        <f>F4/(24*B4*'Basic Data'!$K$3)</f>
        <v>0.24230769230769228</v>
      </c>
      <c r="I4" s="36">
        <f>_xlfn.XLOOKUP($A$4,'Modelling New'!$D:$D,'Modelling New'!$AF:$AF)</f>
        <v>0.995</v>
      </c>
      <c r="J4" s="37">
        <f>AVERAGEIFS('Daily KPI'!$R:$R,'Daily KPI'!$A:$A,"&lt;="&amp;MonthlyKPI!$B$1,'Daily KPI'!$D:$D,$A$4)</f>
        <v>1</v>
      </c>
      <c r="K4" s="36">
        <f>_xlfn.XLOOKUP($A$4,'Modelling New'!$D:$D,'Modelling New'!$AH:$AH)</f>
        <v>0.97</v>
      </c>
      <c r="L4" s="37">
        <f>AVERAGEIFS('Daily KPI'!$P:$P,'Daily KPI'!$A:$A,"&lt;="&amp;MonthlyKPI!$B$1,'Daily KPI'!$D:$D,$A$4)</f>
        <v>0.92780385921423569</v>
      </c>
      <c r="M4" s="36">
        <f>_xlfn.XLOOKUP($A$4,'Modelling New'!$D:$D,'Modelling New'!$AI:$AI)</f>
        <v>0.99</v>
      </c>
      <c r="N4" s="37">
        <f>AVERAGEIFS('Daily KPI'!$Q:$Q,'Daily KPI'!$A:$A,"&lt;="&amp;MonthlyKPI!$B$1,'Daily KPI'!$D:$D,$A$4)</f>
        <v>0.99765928973114693</v>
      </c>
      <c r="O4" s="36">
        <f>K4*M4</f>
        <v>0.96029999999999993</v>
      </c>
      <c r="P4" s="38">
        <f>L4*N4</f>
        <v>0.92563213919349141</v>
      </c>
      <c r="Q4" s="32">
        <f>SUMIFS('Daily KPI'!$X:$X,'Daily KPI'!$D:$D,$A$4)/1000</f>
        <v>10547.344999999999</v>
      </c>
      <c r="R4" s="38">
        <f>Q4/F4-1</f>
        <v>1.0979315236561593E-2</v>
      </c>
      <c r="S4" s="32">
        <f>SUMIFS(Input_Raw!DE:DE,Input_Raw!A:A,"&gt;="&amp;A4,Input_Raw!A:A,"&lt;="&amp;B1)/1000</f>
        <v>10.547338000000002</v>
      </c>
      <c r="T4" s="35">
        <f>SUMIFS('Daily KPI'!$AI:$AI,'Daily KPI'!$D:$D,$A$4)</f>
        <v>10547.338000000002</v>
      </c>
      <c r="U4" s="37">
        <f>IFERROR(AVERAGEIFS('Daily KPI'!$AN:$AN,'Daily KPI'!$D:$D,MonthlyKPI!$A$4,'Daily KPI'!$A:$A,"&lt;="&amp;MonthlyKPI!$B$1),"")</f>
        <v>1.4570059719370821E-2</v>
      </c>
      <c r="V4" s="38">
        <f>AVERAGEIFS('Daily KPI'!$AO:$AO,'Daily KPI'!$A:$A,"&lt;="&amp;MonthlyKPI!$B$1,'Daily KPI'!$D:$D,$A$4)</f>
        <v>1.9336923604483905E-5</v>
      </c>
    </row>
    <row r="6" spans="1:22" ht="29.1" customHeight="1">
      <c r="Q6" s="3"/>
    </row>
    <row r="7" spans="1:22" ht="29.1" customHeight="1">
      <c r="A7" s="26" t="s">
        <v>69</v>
      </c>
      <c r="B7" s="27">
        <f>B8-6</f>
        <v>45855</v>
      </c>
      <c r="D7" s="40"/>
      <c r="F7" s="40"/>
    </row>
    <row r="8" spans="1:22" ht="29.1" customHeight="1">
      <c r="A8" s="26" t="s">
        <v>70</v>
      </c>
      <c r="B8" s="27">
        <f>B1</f>
        <v>45861</v>
      </c>
    </row>
    <row r="9" spans="1:22" ht="29.1" customHeight="1">
      <c r="A9" s="394" t="s">
        <v>71</v>
      </c>
      <c r="B9" s="395"/>
      <c r="C9" s="395"/>
      <c r="D9" s="395"/>
      <c r="E9" s="395"/>
      <c r="F9" s="395"/>
      <c r="G9" s="395"/>
      <c r="H9" s="395"/>
      <c r="I9" s="395"/>
      <c r="J9" s="395"/>
      <c r="K9" s="395"/>
      <c r="L9" s="395"/>
      <c r="M9" s="395"/>
      <c r="N9" s="395"/>
      <c r="O9" s="395"/>
      <c r="P9" s="395"/>
    </row>
    <row r="10" spans="1:22" ht="29.1" customHeight="1">
      <c r="A10" s="29" t="s">
        <v>45</v>
      </c>
      <c r="B10" s="29" t="s">
        <v>46</v>
      </c>
      <c r="C10" s="30" t="s">
        <v>47</v>
      </c>
      <c r="D10" s="30" t="s">
        <v>48</v>
      </c>
      <c r="E10" s="30" t="s">
        <v>49</v>
      </c>
      <c r="F10" s="30" t="s">
        <v>50</v>
      </c>
      <c r="G10" s="30" t="s">
        <v>51</v>
      </c>
      <c r="H10" s="30" t="s">
        <v>52</v>
      </c>
      <c r="I10" s="30" t="s">
        <v>53</v>
      </c>
      <c r="J10" s="30" t="s">
        <v>54</v>
      </c>
      <c r="K10" s="30" t="s">
        <v>55</v>
      </c>
      <c r="L10" s="30" t="s">
        <v>56</v>
      </c>
      <c r="M10" s="30" t="s">
        <v>65</v>
      </c>
      <c r="N10" s="30" t="s">
        <v>58</v>
      </c>
      <c r="O10" s="30" t="s">
        <v>59</v>
      </c>
      <c r="P10" s="30" t="s">
        <v>60</v>
      </c>
      <c r="Q10" s="30" t="s">
        <v>68</v>
      </c>
    </row>
    <row r="11" spans="1:22" s="39" customFormat="1" ht="29.1" customHeight="1">
      <c r="A11" s="31">
        <f>A4</f>
        <v>45839</v>
      </c>
      <c r="B11" s="32">
        <f>(B8-B7)+1</f>
        <v>7</v>
      </c>
      <c r="C11" s="33">
        <f>_xlfn.XLOOKUP($A$11,'Modelling New'!$D:$D,'Modelling New'!$AC:$AC)</f>
        <v>7.1310648756787653</v>
      </c>
      <c r="D11" s="34">
        <f>AVERAGEIFS('Daily KPI'!$M:$M,'Daily KPI'!$A:$A,"&gt;="&amp;$B$7,'Daily KPI'!$A:$A,"&lt;="&amp;$B$8)</f>
        <v>3.7401935148215153</v>
      </c>
      <c r="E11" s="32">
        <f>SUMIFS('Daily KPI'!$AD:$AD,'Daily KPI'!$A:$A,"&gt;="&amp;$B$7,'Daily KPI'!$A:$A,"&lt;="&amp;$B$8)/1000</f>
        <v>4100.5847358471574</v>
      </c>
      <c r="F11" s="35">
        <f>SUMIFS('Daily KPI'!$AA:$AA,'Daily KPI'!$A:$A,"&gt;="&amp;$B$7,'Daily KPI'!$A:$A,"&lt;="&amp;$B$8)/1000</f>
        <v>1326</v>
      </c>
      <c r="G11" s="36">
        <f>E11/(24*$B$11*'Basic Data'!$K$3)</f>
        <v>0.31292618558052177</v>
      </c>
      <c r="H11" s="37">
        <f>F11/(24*B11*'Basic Data'!$K$3)</f>
        <v>0.10119047619047619</v>
      </c>
      <c r="I11" s="36">
        <f>_xlfn.XLOOKUP($A$4,'Modelling New'!$D:$D,'Modelling New'!$AF:$AF)</f>
        <v>0.995</v>
      </c>
      <c r="J11" s="37">
        <f>AVERAGEIFS('Daily KPI'!$R:$R,'Daily KPI'!$A:$A,"&gt;="&amp;$B$7,'Daily KPI'!$A:$A,"&lt;="&amp;$B$8)</f>
        <v>1</v>
      </c>
      <c r="K11" s="36">
        <f>_xlfn.XLOOKUP($A$4,'Modelling New'!$D:$D,'Modelling New'!$AH:$AH)</f>
        <v>0.97</v>
      </c>
      <c r="L11" s="37">
        <f>AVERAGEIFS('Daily KPI'!$P:$P,'Daily KPI'!$A:$A,"&gt;="&amp;$B$7,'Daily KPI'!$A:$A,"&lt;="&amp;$B$8)</f>
        <v>0.9503970635704907</v>
      </c>
      <c r="M11" s="36">
        <f>_xlfn.XLOOKUP($A$4,'Modelling New'!$D:$D,'Modelling New'!$AI:$AI)</f>
        <v>0.99</v>
      </c>
      <c r="N11" s="37">
        <f>AVERAGEIFS('Daily KPI'!$Q:$Q,'Daily KPI'!$A:$A,"&gt;="&amp;$B$7,'Daily KPI'!$A:$A,"&lt;="&amp;$B$8)</f>
        <v>0.99803979955886668</v>
      </c>
      <c r="O11" s="36">
        <f>K11*M11</f>
        <v>0.96029999999999993</v>
      </c>
      <c r="P11" s="38">
        <f>L11*N11</f>
        <v>0.94853409482722806</v>
      </c>
      <c r="Q11" s="32">
        <f>SUMIFS(Input_Raw!DE:DE,Input_Raw!A:A,"&gt;="&amp;B7,Input_Raw!A:A,"&lt;="&amp;B8)/1000</f>
        <v>1.3744100000000001</v>
      </c>
      <c r="R11"/>
    </row>
    <row r="14" spans="1:22" ht="29.1" customHeight="1">
      <c r="A14" s="26" t="s">
        <v>69</v>
      </c>
      <c r="B14" s="27">
        <f>B15-29</f>
        <v>45832</v>
      </c>
      <c r="D14" s="40"/>
      <c r="F14" s="40"/>
    </row>
    <row r="15" spans="1:22" ht="29.1" customHeight="1">
      <c r="A15" s="26" t="s">
        <v>70</v>
      </c>
      <c r="B15" s="27">
        <f>B8</f>
        <v>45861</v>
      </c>
    </row>
    <row r="16" spans="1:22" ht="29.1" customHeight="1">
      <c r="A16" s="394" t="s">
        <v>72</v>
      </c>
      <c r="B16" s="395"/>
      <c r="C16" s="395"/>
      <c r="D16" s="395"/>
      <c r="E16" s="395"/>
      <c r="F16" s="395"/>
      <c r="G16" s="395"/>
      <c r="H16" s="395"/>
      <c r="I16" s="395"/>
      <c r="J16" s="395"/>
      <c r="K16" s="395"/>
      <c r="L16" s="395"/>
      <c r="M16" s="395"/>
      <c r="N16" s="395"/>
      <c r="O16" s="395"/>
      <c r="P16" s="395"/>
    </row>
    <row r="17" spans="1:18" ht="29.1" customHeight="1">
      <c r="A17" s="29" t="s">
        <v>45</v>
      </c>
      <c r="B17" s="29" t="s">
        <v>46</v>
      </c>
      <c r="C17" s="30" t="s">
        <v>47</v>
      </c>
      <c r="D17" s="30" t="s">
        <v>48</v>
      </c>
      <c r="E17" s="30" t="s">
        <v>49</v>
      </c>
      <c r="F17" s="30" t="s">
        <v>50</v>
      </c>
      <c r="G17" s="30" t="s">
        <v>51</v>
      </c>
      <c r="H17" s="30" t="s">
        <v>52</v>
      </c>
      <c r="I17" s="30" t="s">
        <v>53</v>
      </c>
      <c r="J17" s="30" t="s">
        <v>54</v>
      </c>
      <c r="K17" s="30" t="s">
        <v>55</v>
      </c>
      <c r="L17" s="30" t="s">
        <v>56</v>
      </c>
      <c r="M17" s="30" t="s">
        <v>65</v>
      </c>
      <c r="N17" s="30" t="s">
        <v>58</v>
      </c>
      <c r="O17" s="30" t="s">
        <v>59</v>
      </c>
      <c r="P17" s="30" t="s">
        <v>60</v>
      </c>
    </row>
    <row r="18" spans="1:18" s="39" customFormat="1" ht="29.1" customHeight="1">
      <c r="A18" s="31">
        <f>A11</f>
        <v>45839</v>
      </c>
      <c r="B18" s="32">
        <f>(B15-B14)+1</f>
        <v>30</v>
      </c>
      <c r="C18" s="33">
        <f>_xlfn.XLOOKUP($A$18,'Modelling New'!$D:$D,'Modelling New'!$AC:$AC)</f>
        <v>7.1310648756787653</v>
      </c>
      <c r="D18" s="34">
        <f>AVERAGEIFS('Daily KPI'!$M:$M,'Daily KPI'!$A:$A,"&gt;="&amp;$B$14,'Daily KPI'!$A:$A,"&lt;="&amp;$B$15)</f>
        <v>5.2312526479308108</v>
      </c>
      <c r="E18" s="32">
        <f>SUMIFS('Daily KPI'!$AD:$AD,'Daily KPI'!$A:$A,"&gt;="&amp;$B$14,'Daily KPI'!$A:$A,"&lt;="&amp;$B$15)/1000</f>
        <v>16982.277241149306</v>
      </c>
      <c r="F18" s="35">
        <f>SUMIFS('Daily KPI'!$AA:$AA,'Daily KPI'!$A:$A,"&gt;="&amp;$B$14,'Daily KPI'!$A:$A,"&lt;="&amp;$B$15)/1000</f>
        <v>15886.8</v>
      </c>
      <c r="G18" s="36">
        <f>E18/(24*$B$18*'Basic Data'!$K$3)</f>
        <v>0.30239097651619135</v>
      </c>
      <c r="H18" s="37">
        <f>F18/(24*B18*'Basic Data'!$K$3)</f>
        <v>0.28288461538461535</v>
      </c>
      <c r="I18" s="36">
        <f>_xlfn.XLOOKUP($A$4,'Modelling New'!$D:$D,'Modelling New'!$AF:$AF)</f>
        <v>0.995</v>
      </c>
      <c r="J18" s="37">
        <f>AVERAGEIFS('Daily KPI'!$R:$R,'Daily KPI'!$A:$A,"&gt;="&amp;$B$14,'Daily KPI'!$A:$A,"&lt;="&amp;$B$15)</f>
        <v>1</v>
      </c>
      <c r="K18" s="36">
        <f>_xlfn.XLOOKUP($A$4,'Modelling New'!$D:$D,'Modelling New'!$AH:$AH)</f>
        <v>0.97</v>
      </c>
      <c r="L18" s="37">
        <f>AVERAGEIFS('Daily KPI'!$P:$P,'Daily KPI'!$A:$A,"&gt;="&amp;$B$14,'Daily KPI'!$A:$A,"&lt;="&amp;$B$15)</f>
        <v>0.9248898978181529</v>
      </c>
      <c r="M18" s="36">
        <f>_xlfn.XLOOKUP($A$4,'Modelling New'!$D:$D,'Modelling New'!$AI:$AI)</f>
        <v>0.99</v>
      </c>
      <c r="N18" s="37">
        <f>AVERAGEIFS('Daily KPI'!$Q:$Q,'Daily KPI'!$A:$A,"&gt;="&amp;$B$14,'Daily KPI'!$A:$A,"&lt;="&amp;$B$15)</f>
        <v>0.99713065453804473</v>
      </c>
      <c r="O18" s="36">
        <f>K18*M18</f>
        <v>0.96029999999999993</v>
      </c>
      <c r="P18" s="38">
        <f>L18*N18</f>
        <v>0.92223606918704015</v>
      </c>
      <c r="Q18"/>
      <c r="R18"/>
    </row>
  </sheetData>
  <sheetProtection algorithmName="SHA-512" hashValue="IHJFjhSmYIt3Ml7WQxdKFa43Epb+U5exvLAIN/vYDF2kHYoXM9xwsY7y2X5yBYN3RRuvPAnCrV6AV/dQFioICg==" saltValue="vi5sAfMpxsZNCHVcAqBsMg==" spinCount="100000" sheet="1" objects="1" scenarios="1"/>
  <mergeCells count="3">
    <mergeCell ref="A2:R2"/>
    <mergeCell ref="A9:P9"/>
    <mergeCell ref="A16:P1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N156"/>
  <sheetViews>
    <sheetView topLeftCell="A13" zoomScale="86" workbookViewId="0">
      <selection activeCell="D20" sqref="D20"/>
    </sheetView>
  </sheetViews>
  <sheetFormatPr defaultColWidth="8.85546875" defaultRowHeight="29.1" customHeight="1"/>
  <cols>
    <col min="1" max="1" width="66.42578125" bestFit="1" customWidth="1"/>
    <col min="2" max="2" width="22.5703125" bestFit="1" customWidth="1"/>
    <col min="3" max="3" width="17.85546875" bestFit="1" customWidth="1"/>
    <col min="4" max="4" width="12" customWidth="1"/>
    <col min="5" max="5" width="14.85546875" customWidth="1"/>
    <col min="6" max="16" width="12.140625" customWidth="1"/>
    <col min="17" max="17" width="12" customWidth="1"/>
    <col min="18" max="18" width="9.28515625" bestFit="1" customWidth="1"/>
    <col min="20" max="20" width="9.28515625" bestFit="1" customWidth="1"/>
  </cols>
  <sheetData>
    <row r="1" spans="1:40" ht="29.1" customHeight="1">
      <c r="C1" s="105"/>
    </row>
    <row r="2" spans="1:40" ht="29.1" customHeight="1">
      <c r="A2" s="356" t="s">
        <v>69</v>
      </c>
      <c r="B2" s="355">
        <f>O2Summary!B3</f>
        <v>45839</v>
      </c>
    </row>
    <row r="3" spans="1:40" ht="29.1" customHeight="1">
      <c r="A3" s="357" t="s">
        <v>70</v>
      </c>
      <c r="B3" s="355">
        <f>O2Summary!B4</f>
        <v>45861</v>
      </c>
      <c r="C3">
        <f>((B3-B2)+1)*24</f>
        <v>552</v>
      </c>
      <c r="D3" s="358">
        <f>MEDIAN(B21:AN21)</f>
        <v>5.2</v>
      </c>
    </row>
    <row r="4" spans="1:40" ht="29.1" customHeight="1">
      <c r="A4" s="359" t="s">
        <v>114</v>
      </c>
      <c r="B4" s="360" t="s">
        <v>115</v>
      </c>
      <c r="C4" s="360" t="s">
        <v>116</v>
      </c>
      <c r="D4" s="360" t="s">
        <v>117</v>
      </c>
      <c r="E4" s="360" t="s">
        <v>118</v>
      </c>
      <c r="F4" s="360" t="s">
        <v>119</v>
      </c>
      <c r="G4" s="360" t="s">
        <v>120</v>
      </c>
      <c r="H4" s="360" t="s">
        <v>121</v>
      </c>
      <c r="I4" s="360" t="s">
        <v>122</v>
      </c>
      <c r="J4" s="360" t="s">
        <v>123</v>
      </c>
      <c r="K4" s="360" t="s">
        <v>124</v>
      </c>
      <c r="L4" s="360" t="s">
        <v>125</v>
      </c>
      <c r="M4" s="360" t="s">
        <v>126</v>
      </c>
      <c r="N4" s="360" t="s">
        <v>127</v>
      </c>
      <c r="O4" s="360" t="s">
        <v>128</v>
      </c>
      <c r="P4" s="360" t="s">
        <v>129</v>
      </c>
      <c r="Q4" s="360" t="s">
        <v>130</v>
      </c>
      <c r="R4" s="360" t="s">
        <v>131</v>
      </c>
      <c r="S4" s="360" t="s">
        <v>132</v>
      </c>
      <c r="T4" s="360" t="s">
        <v>133</v>
      </c>
      <c r="U4" s="360" t="s">
        <v>134</v>
      </c>
      <c r="V4" s="360" t="s">
        <v>135</v>
      </c>
      <c r="W4" s="360" t="s">
        <v>136</v>
      </c>
      <c r="X4" s="360" t="s">
        <v>137</v>
      </c>
      <c r="Y4" s="360" t="s">
        <v>138</v>
      </c>
      <c r="Z4" s="360" t="s">
        <v>139</v>
      </c>
      <c r="AA4" s="360" t="s">
        <v>140</v>
      </c>
      <c r="AB4" s="360" t="s">
        <v>141</v>
      </c>
      <c r="AC4" s="360" t="s">
        <v>142</v>
      </c>
      <c r="AD4" s="360" t="s">
        <v>143</v>
      </c>
      <c r="AE4" s="360" t="s">
        <v>144</v>
      </c>
      <c r="AF4" s="360" t="s">
        <v>145</v>
      </c>
      <c r="AG4" s="360" t="s">
        <v>146</v>
      </c>
      <c r="AH4" s="360" t="s">
        <v>147</v>
      </c>
      <c r="AI4" s="360" t="s">
        <v>148</v>
      </c>
      <c r="AJ4" s="360" t="s">
        <v>149</v>
      </c>
      <c r="AK4" s="360" t="s">
        <v>150</v>
      </c>
      <c r="AL4" s="360" t="s">
        <v>151</v>
      </c>
      <c r="AM4" s="360" t="s">
        <v>152</v>
      </c>
      <c r="AN4" s="360" t="s">
        <v>153</v>
      </c>
    </row>
    <row r="5" spans="1:40" ht="29.1" customHeight="1">
      <c r="A5" s="359" t="s">
        <v>154</v>
      </c>
      <c r="B5" s="361">
        <f>IFERROR(($C$3-B6)/$C$3,1)</f>
        <v>0.97753623188405803</v>
      </c>
      <c r="C5" s="361">
        <f>IFERROR(($C$3-C6)/$C$3,1)</f>
        <v>0.99685990338164243</v>
      </c>
      <c r="D5" s="361">
        <f t="shared" ref="D5:AN5" si="0">IFERROR(($C$3-D6)/$C$3,1)</f>
        <v>0.99682971014492749</v>
      </c>
      <c r="E5" s="361">
        <f t="shared" si="0"/>
        <v>0.97379227053140094</v>
      </c>
      <c r="F5" s="361">
        <f t="shared" si="0"/>
        <v>0.99894323671497576</v>
      </c>
      <c r="G5" s="361">
        <f t="shared" si="0"/>
        <v>0.99326690821256036</v>
      </c>
      <c r="H5" s="361">
        <f t="shared" si="0"/>
        <v>1</v>
      </c>
      <c r="I5" s="361">
        <f t="shared" si="0"/>
        <v>1</v>
      </c>
      <c r="J5" s="361">
        <f t="shared" si="0"/>
        <v>0.99607487922705318</v>
      </c>
      <c r="K5" s="361">
        <f t="shared" si="0"/>
        <v>1</v>
      </c>
      <c r="L5" s="361">
        <f t="shared" si="0"/>
        <v>0.99236111111111103</v>
      </c>
      <c r="M5" s="361">
        <f t="shared" si="0"/>
        <v>0.98837560386473433</v>
      </c>
      <c r="N5" s="361">
        <f t="shared" si="0"/>
        <v>0.99728260869565222</v>
      </c>
      <c r="O5" s="361">
        <f t="shared" si="0"/>
        <v>0.99519927536231889</v>
      </c>
      <c r="P5" s="361">
        <f t="shared" si="0"/>
        <v>0.9946256038647342</v>
      </c>
      <c r="Q5" s="361">
        <f t="shared" si="0"/>
        <v>0.9665458937198067</v>
      </c>
      <c r="R5" s="361">
        <f t="shared" si="0"/>
        <v>0.30951841787439616</v>
      </c>
      <c r="S5" s="361">
        <f t="shared" si="0"/>
        <v>1</v>
      </c>
      <c r="T5" s="361">
        <f t="shared" si="0"/>
        <v>1</v>
      </c>
      <c r="U5" s="361">
        <f t="shared" si="0"/>
        <v>0.99737318840579703</v>
      </c>
      <c r="V5" s="361">
        <f t="shared" si="0"/>
        <v>1</v>
      </c>
      <c r="W5" s="361">
        <f t="shared" si="0"/>
        <v>0.97871376811594202</v>
      </c>
      <c r="X5" s="361">
        <f t="shared" si="0"/>
        <v>0.99535024154589358</v>
      </c>
      <c r="Y5" s="361">
        <f t="shared" si="0"/>
        <v>1</v>
      </c>
      <c r="Z5" s="361">
        <f t="shared" si="0"/>
        <v>0.99405193236714984</v>
      </c>
      <c r="AA5" s="361">
        <f t="shared" si="0"/>
        <v>0.99100241545893719</v>
      </c>
      <c r="AB5" s="361">
        <f t="shared" si="0"/>
        <v>0.98734903381642514</v>
      </c>
      <c r="AC5" s="361">
        <f t="shared" si="0"/>
        <v>1.1574074074235176E-5</v>
      </c>
      <c r="AD5" s="361">
        <f t="shared" si="0"/>
        <v>1</v>
      </c>
      <c r="AE5" s="361">
        <f t="shared" si="0"/>
        <v>0.15719555152979076</v>
      </c>
      <c r="AF5" s="361">
        <f t="shared" si="0"/>
        <v>0.973762077294686</v>
      </c>
      <c r="AG5" s="361">
        <f t="shared" si="0"/>
        <v>0.98780193236714975</v>
      </c>
      <c r="AH5" s="361">
        <f t="shared" si="0"/>
        <v>1</v>
      </c>
      <c r="AI5" s="361">
        <f t="shared" si="0"/>
        <v>0.99510869565217386</v>
      </c>
      <c r="AJ5" s="361">
        <f t="shared" si="0"/>
        <v>0.98946256038647329</v>
      </c>
      <c r="AK5" s="361">
        <f t="shared" si="0"/>
        <v>1</v>
      </c>
      <c r="AL5" s="361">
        <f t="shared" si="0"/>
        <v>1</v>
      </c>
      <c r="AM5" s="361">
        <f t="shared" si="0"/>
        <v>1</v>
      </c>
      <c r="AN5" s="361">
        <f t="shared" si="0"/>
        <v>0.99842995169082127</v>
      </c>
    </row>
    <row r="6" spans="1:40" ht="29.1" hidden="1" customHeight="1">
      <c r="A6" s="362" t="s">
        <v>155</v>
      </c>
      <c r="B6" s="363">
        <f>SUMIFS(WTG_BD!$T:$T,WTG_BD!$F:$F,"&gt;="&amp;Analytices!$B$2,WTG_BD!$F:$F,"&lt;="&amp;Analytices!$B$3,WTG_BD!$G:$G,B4)</f>
        <v>12.399999999999999</v>
      </c>
      <c r="C6" s="363">
        <f>SUMIFS(WTG_BD!$T:$T,WTG_BD!$F:$F,"&gt;="&amp;Analytices!$B$2,WTG_BD!$F:$F,"&lt;="&amp;Analytices!$B$3,WTG_BD!$G:$G,C4)</f>
        <v>1.7333333333333325</v>
      </c>
      <c r="D6" s="363">
        <f>SUMIFS(WTG_BD!$T:$T,WTG_BD!$F:$F,"&gt;="&amp;Analytices!$B$2,WTG_BD!$F:$F,"&lt;="&amp;Analytices!$B$3,WTG_BD!$G:$G,D4)</f>
        <v>1.7499999999999991</v>
      </c>
      <c r="E6" s="363">
        <f>SUMIFS(WTG_BD!$T:$T,WTG_BD!$F:$F,"&gt;="&amp;Analytices!$B$2,WTG_BD!$F:$F,"&lt;="&amp;Analytices!$B$3,WTG_BD!$G:$G,E4)</f>
        <v>14.466666666666665</v>
      </c>
      <c r="F6" s="363">
        <f>SUMIFS(WTG_BD!$T:$T,WTG_BD!$F:$F,"&gt;="&amp;Analytices!$B$2,WTG_BD!$F:$F,"&lt;="&amp;Analytices!$B$3,WTG_BD!$G:$G,F4)</f>
        <v>0.58333333333333393</v>
      </c>
      <c r="G6" s="363">
        <f>SUMIFS(WTG_BD!$T:$T,WTG_BD!$F:$F,"&gt;="&amp;Analytices!$B$2,WTG_BD!$F:$F,"&lt;="&amp;Analytices!$B$3,WTG_BD!$G:$G,G4)</f>
        <v>3.7166666666666641</v>
      </c>
      <c r="H6" s="363">
        <f>SUMIFS(WTG_BD!$T:$T,WTG_BD!$F:$F,"&gt;="&amp;Analytices!$B$2,WTG_BD!$F:$F,"&lt;="&amp;Analytices!$B$3,WTG_BD!$G:$G,H4)</f>
        <v>0</v>
      </c>
      <c r="I6" s="363">
        <f>SUMIFS(WTG_BD!$T:$T,WTG_BD!$F:$F,"&gt;="&amp;Analytices!$B$2,WTG_BD!$F:$F,"&lt;="&amp;Analytices!$B$3,WTG_BD!$G:$G,I4)</f>
        <v>0</v>
      </c>
      <c r="J6" s="363">
        <f>SUMIFS(WTG_BD!$T:$T,WTG_BD!$F:$F,"&gt;="&amp;Analytices!$B$2,WTG_BD!$F:$F,"&lt;="&amp;Analytices!$B$3,WTG_BD!$G:$G,J4)</f>
        <v>2.166666666666667</v>
      </c>
      <c r="K6" s="363">
        <f>SUMIFS(WTG_BD!$T:$T,WTG_BD!$F:$F,"&gt;="&amp;Analytices!$B$2,WTG_BD!$F:$F,"&lt;="&amp;Analytices!$B$3,WTG_BD!$G:$G,K4)</f>
        <v>0</v>
      </c>
      <c r="L6" s="363">
        <f>SUMIFS(WTG_BD!$T:$T,WTG_BD!$F:$F,"&gt;="&amp;Analytices!$B$2,WTG_BD!$F:$F,"&lt;="&amp;Analytices!$B$3,WTG_BD!$G:$G,L4)</f>
        <v>4.2166666666666668</v>
      </c>
      <c r="M6" s="363">
        <f>SUMIFS(WTG_BD!$T:$T,WTG_BD!$F:$F,"&gt;="&amp;Analytices!$B$2,WTG_BD!$F:$F,"&lt;="&amp;Analytices!$B$3,WTG_BD!$G:$G,M4)</f>
        <v>6.4166666666666714</v>
      </c>
      <c r="N6" s="363">
        <f>SUMIFS(WTG_BD!$T:$T,WTG_BD!$F:$F,"&gt;="&amp;Analytices!$B$2,WTG_BD!$F:$F,"&lt;="&amp;Analytices!$B$3,WTG_BD!$G:$G,N4)</f>
        <v>1.5</v>
      </c>
      <c r="O6" s="363">
        <f>SUMIFS(WTG_BD!$T:$T,WTG_BD!$F:$F,"&gt;="&amp;Analytices!$B$2,WTG_BD!$F:$F,"&lt;="&amp;Analytices!$B$3,WTG_BD!$G:$G,O4)</f>
        <v>2.6499999999999986</v>
      </c>
      <c r="P6" s="363">
        <f>SUMIFS(WTG_BD!$T:$T,WTG_BD!$F:$F,"&gt;="&amp;Analytices!$B$2,WTG_BD!$F:$F,"&lt;="&amp;Analytices!$B$3,WTG_BD!$G:$G,P4)</f>
        <v>2.9666666666666668</v>
      </c>
      <c r="Q6" s="363">
        <f>SUMIFS(WTG_BD!$T:$T,WTG_BD!$F:$F,"&gt;="&amp;Analytices!$B$2,WTG_BD!$F:$F,"&lt;="&amp;Analytices!$B$3,WTG_BD!$G:$G,Q4)</f>
        <v>18.466666666666661</v>
      </c>
      <c r="R6" s="363">
        <f>SUMIFS(WTG_BD!$T:$T,WTG_BD!$F:$F,"&gt;="&amp;Analytices!$B$2,WTG_BD!$F:$F,"&lt;="&amp;Analytices!$B$3,WTG_BD!$G:$G,R4)</f>
        <v>381.14583333333331</v>
      </c>
      <c r="S6" s="363">
        <f>SUMIFS(WTG_BD!$T:$T,WTG_BD!$F:$F,"&gt;="&amp;Analytices!$B$2,WTG_BD!$F:$F,"&lt;="&amp;Analytices!$B$3,WTG_BD!$G:$G,S4)</f>
        <v>0</v>
      </c>
      <c r="T6" s="363">
        <f>SUMIFS(WTG_BD!$T:$T,WTG_BD!$F:$F,"&gt;="&amp;Analytices!$B$2,WTG_BD!$F:$F,"&lt;="&amp;Analytices!$B$3,WTG_BD!$G:$G,T4)</f>
        <v>0</v>
      </c>
      <c r="U6" s="363">
        <f>SUMIFS(WTG_BD!$T:$T,WTG_BD!$F:$F,"&gt;="&amp;Analytices!$B$2,WTG_BD!$F:$F,"&lt;="&amp;Analytices!$B$3,WTG_BD!$G:$G,U4)</f>
        <v>1.4500000000000002</v>
      </c>
      <c r="V6" s="363">
        <f>SUMIFS(WTG_BD!$T:$T,WTG_BD!$F:$F,"&gt;="&amp;Analytices!$B$2,WTG_BD!$F:$F,"&lt;="&amp;Analytices!$B$3,WTG_BD!$G:$G,V4)</f>
        <v>0</v>
      </c>
      <c r="W6" s="363">
        <f>SUMIFS(WTG_BD!$T:$T,WTG_BD!$F:$F,"&gt;="&amp;Analytices!$B$2,WTG_BD!$F:$F,"&lt;="&amp;Analytices!$B$3,WTG_BD!$G:$G,W4)</f>
        <v>11.749999999999998</v>
      </c>
      <c r="X6" s="363">
        <f>SUMIFS(WTG_BD!$T:$T,WTG_BD!$F:$F,"&gt;="&amp;Analytices!$B$2,WTG_BD!$F:$F,"&lt;="&amp;Analytices!$B$3,WTG_BD!$G:$G,X4)</f>
        <v>2.5666666666666655</v>
      </c>
      <c r="Y6" s="363">
        <f>SUMIFS(WTG_BD!$T:$T,WTG_BD!$F:$F,"&gt;="&amp;Analytices!$B$2,WTG_BD!$F:$F,"&lt;="&amp;Analytices!$B$3,WTG_BD!$G:$G,Y4)</f>
        <v>0</v>
      </c>
      <c r="Z6" s="363">
        <f>SUMIFS(WTG_BD!$T:$T,WTG_BD!$F:$F,"&gt;="&amp;Analytices!$B$2,WTG_BD!$F:$F,"&lt;="&amp;Analytices!$B$3,WTG_BD!$G:$G,Z4)</f>
        <v>3.283333333333331</v>
      </c>
      <c r="AA6" s="363">
        <f>SUMIFS(WTG_BD!$T:$T,WTG_BD!$F:$F,"&gt;="&amp;Analytices!$B$2,WTG_BD!$F:$F,"&lt;="&amp;Analytices!$B$3,WTG_BD!$G:$G,AA4)</f>
        <v>4.9666666666666668</v>
      </c>
      <c r="AB6" s="363">
        <f>SUMIFS(WTG_BD!$T:$T,WTG_BD!$F:$F,"&gt;="&amp;Analytices!$B$2,WTG_BD!$F:$F,"&lt;="&amp;Analytices!$B$3,WTG_BD!$G:$G,AB4)</f>
        <v>6.9833333333333325</v>
      </c>
      <c r="AC6" s="363">
        <f>SUMIFS(WTG_BD!$T:$T,WTG_BD!$F:$F,"&gt;="&amp;Analytices!$B$2,WTG_BD!$F:$F,"&lt;="&amp;Analytices!$B$3,WTG_BD!$G:$G,AC4)</f>
        <v>551.99361111111102</v>
      </c>
      <c r="AD6" s="363">
        <f>SUMIFS(WTG_BD!$T:$T,WTG_BD!$F:$F,"&gt;="&amp;Analytices!$B$2,WTG_BD!$F:$F,"&lt;="&amp;Analytices!$B$3,WTG_BD!$G:$G,AD4)</f>
        <v>0</v>
      </c>
      <c r="AE6" s="363">
        <f>SUMIFS(WTG_BD!$T:$T,WTG_BD!$F:$F,"&gt;="&amp;Analytices!$B$2,WTG_BD!$F:$F,"&lt;="&amp;Analytices!$B$3,WTG_BD!$G:$G,AE4)</f>
        <v>465.2280555555555</v>
      </c>
      <c r="AF6" s="363">
        <f>SUMIFS(WTG_BD!$T:$T,WTG_BD!$F:$F,"&gt;="&amp;Analytices!$B$2,WTG_BD!$F:$F,"&lt;="&amp;Analytices!$B$3,WTG_BD!$G:$G,AF4)</f>
        <v>14.483333333333329</v>
      </c>
      <c r="AG6" s="363">
        <f>SUMIFS(WTG_BD!$T:$T,WTG_BD!$F:$F,"&gt;="&amp;Analytices!$B$2,WTG_BD!$F:$F,"&lt;="&amp;Analytices!$B$3,WTG_BD!$G:$G,AG4)</f>
        <v>6.7333333333333325</v>
      </c>
      <c r="AH6" s="363">
        <f>SUMIFS(WTG_BD!$T:$T,WTG_BD!$F:$F,"&gt;="&amp;Analytices!$B$2,WTG_BD!$F:$F,"&lt;="&amp;Analytices!$B$3,WTG_BD!$G:$G,AH4)</f>
        <v>0</v>
      </c>
      <c r="AI6" s="363">
        <f>SUMIFS(WTG_BD!$T:$T,WTG_BD!$F:$F,"&gt;="&amp;Analytices!$B$2,WTG_BD!$F:$F,"&lt;="&amp;Analytices!$B$3,WTG_BD!$G:$G,AI4)</f>
        <v>2.6999999999999984</v>
      </c>
      <c r="AJ6" s="363">
        <f>SUMIFS(WTG_BD!$T:$T,WTG_BD!$F:$F,"&gt;="&amp;Analytices!$B$2,WTG_BD!$F:$F,"&lt;="&amp;Analytices!$B$3,WTG_BD!$G:$G,AJ4)</f>
        <v>5.8166666666666673</v>
      </c>
      <c r="AK6" s="363">
        <f>SUMIFS(WTG_BD!$T:$T,WTG_BD!$F:$F,"&gt;="&amp;Analytices!$B$2,WTG_BD!$F:$F,"&lt;="&amp;Analytices!$B$3,WTG_BD!$G:$G,AK4)</f>
        <v>0</v>
      </c>
      <c r="AL6" s="363">
        <f>SUMIFS(WTG_BD!$T:$T,WTG_BD!$F:$F,"&gt;="&amp;Analytices!$B$2,WTG_BD!$F:$F,"&lt;="&amp;Analytices!$B$3,WTG_BD!$G:$G,AL4)</f>
        <v>0</v>
      </c>
      <c r="AM6" s="363">
        <f>SUMIFS(WTG_BD!$T:$T,WTG_BD!$F:$F,"&gt;="&amp;Analytices!$B$2,WTG_BD!$F:$F,"&lt;="&amp;Analytices!$B$3,WTG_BD!$G:$G,AM4)</f>
        <v>0</v>
      </c>
      <c r="AN6" s="363">
        <f>SUMIFS(WTG_BD!$T:$T,WTG_BD!$F:$F,"&gt;="&amp;Analytices!$B$2,WTG_BD!$F:$F,"&lt;="&amp;Analytices!$B$3,WTG_BD!$G:$G,AN4)</f>
        <v>0.86666666666666625</v>
      </c>
    </row>
    <row r="7" spans="1:40" ht="29.1" customHeight="1">
      <c r="A7" s="359" t="s">
        <v>156</v>
      </c>
      <c r="B7" s="364">
        <f>($C$3-SUM(B8:B12))/$C$3</f>
        <v>0.99667874396135259</v>
      </c>
      <c r="C7" s="364">
        <f t="shared" ref="C7:AN7" si="1">($C$3-SUM(C8:C12))/$C$3</f>
        <v>0.99667874396135259</v>
      </c>
      <c r="D7" s="364">
        <f t="shared" si="1"/>
        <v>0.99667874396135259</v>
      </c>
      <c r="E7" s="364">
        <f t="shared" si="1"/>
        <v>0.99667874396135259</v>
      </c>
      <c r="F7" s="364">
        <f t="shared" si="1"/>
        <v>0.99852053140096608</v>
      </c>
      <c r="G7" s="364">
        <f t="shared" si="1"/>
        <v>0.99667874396135259</v>
      </c>
      <c r="H7" s="364">
        <f t="shared" si="1"/>
        <v>0.99667874396135259</v>
      </c>
      <c r="I7" s="364">
        <f t="shared" si="1"/>
        <v>0.99667874396135259</v>
      </c>
      <c r="J7" s="364">
        <f t="shared" si="1"/>
        <v>0.99664855072463765</v>
      </c>
      <c r="K7" s="364">
        <f t="shared" si="1"/>
        <v>0.99667874396135259</v>
      </c>
      <c r="L7" s="364">
        <f t="shared" si="1"/>
        <v>0.99667874396135259</v>
      </c>
      <c r="M7" s="364">
        <f t="shared" si="1"/>
        <v>0.99664855072463765</v>
      </c>
      <c r="N7" s="364">
        <f t="shared" si="1"/>
        <v>0.99664855072463765</v>
      </c>
      <c r="O7" s="364">
        <f t="shared" si="1"/>
        <v>0.99664855072463765</v>
      </c>
      <c r="P7" s="364">
        <f t="shared" si="1"/>
        <v>0.99664855072463765</v>
      </c>
      <c r="Q7" s="364">
        <f t="shared" si="1"/>
        <v>0.99664855072463765</v>
      </c>
      <c r="R7" s="364">
        <f t="shared" si="1"/>
        <v>0.99664855072463765</v>
      </c>
      <c r="S7" s="364">
        <f t="shared" si="1"/>
        <v>0.99664855072463765</v>
      </c>
      <c r="T7" s="364">
        <f t="shared" si="1"/>
        <v>0.99664855072463765</v>
      </c>
      <c r="U7" s="364">
        <f t="shared" si="1"/>
        <v>0.99664855072463765</v>
      </c>
      <c r="V7" s="364">
        <f t="shared" si="1"/>
        <v>0.99852053140096608</v>
      </c>
      <c r="W7" s="364">
        <f t="shared" si="1"/>
        <v>0.99852053140096608</v>
      </c>
      <c r="X7" s="364">
        <f t="shared" si="1"/>
        <v>0.99852053140096608</v>
      </c>
      <c r="Y7" s="364">
        <f t="shared" si="1"/>
        <v>0.99852053140096608</v>
      </c>
      <c r="Z7" s="364">
        <f t="shared" si="1"/>
        <v>1</v>
      </c>
      <c r="AA7" s="364">
        <f t="shared" si="1"/>
        <v>0.99852053140096608</v>
      </c>
      <c r="AB7" s="364">
        <f t="shared" si="1"/>
        <v>0.99852053140096608</v>
      </c>
      <c r="AC7" s="364">
        <f t="shared" si="1"/>
        <v>0.99852053140096608</v>
      </c>
      <c r="AD7" s="364">
        <f t="shared" si="1"/>
        <v>0.99852053140096608</v>
      </c>
      <c r="AE7" s="364">
        <f t="shared" si="1"/>
        <v>0.99852053140096608</v>
      </c>
      <c r="AF7" s="364">
        <f t="shared" si="1"/>
        <v>1</v>
      </c>
      <c r="AG7" s="364">
        <f t="shared" si="1"/>
        <v>1</v>
      </c>
      <c r="AH7" s="364">
        <f t="shared" si="1"/>
        <v>1</v>
      </c>
      <c r="AI7" s="364">
        <f t="shared" si="1"/>
        <v>1</v>
      </c>
      <c r="AJ7" s="364">
        <f t="shared" si="1"/>
        <v>1</v>
      </c>
      <c r="AK7" s="364">
        <f t="shared" si="1"/>
        <v>1</v>
      </c>
      <c r="AL7" s="364">
        <f t="shared" si="1"/>
        <v>1</v>
      </c>
      <c r="AM7" s="364">
        <f t="shared" si="1"/>
        <v>1</v>
      </c>
      <c r="AN7" s="364">
        <f t="shared" si="1"/>
        <v>1</v>
      </c>
    </row>
    <row r="8" spans="1:40" ht="29.1" hidden="1" customHeight="1">
      <c r="A8" s="362" t="s">
        <v>157</v>
      </c>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row>
    <row r="9" spans="1:40" ht="29.1" hidden="1" customHeight="1">
      <c r="A9" s="362" t="s">
        <v>158</v>
      </c>
      <c r="B9" s="363">
        <f>SUMIFS(IGA_BD!$Q:$Q,IGA_BD!$G:$G,(VLOOKUP(B$4,'Basic Data'!$A:$F,6,0)),IGA_BD!$F:$F,"&gt;="&amp;Analytices!$B$2,IGA_BD!$F:$F,"&lt;="&amp;Analytices!$B$3)</f>
        <v>1.8333333333333326</v>
      </c>
      <c r="C9" s="363">
        <f>SUMIFS(IGA_BD!$Q:$Q,IGA_BD!$G:$G,(VLOOKUP(C$4,'Basic Data'!$A:$F,6,0)),IGA_BD!$F:$F,"&gt;="&amp;Analytices!$B$2,IGA_BD!$F:$F,"&lt;="&amp;Analytices!$B$3)</f>
        <v>1.8333333333333326</v>
      </c>
      <c r="D9" s="363">
        <f>SUMIFS(IGA_BD!$Q:$Q,IGA_BD!$G:$G,(VLOOKUP(D$4,'Basic Data'!$A:$F,6,0)),IGA_BD!$F:$F,"&gt;="&amp;Analytices!$B$2,IGA_BD!$F:$F,"&lt;="&amp;Analytices!$B$3)</f>
        <v>1.8333333333333326</v>
      </c>
      <c r="E9" s="363">
        <f>SUMIFS(IGA_BD!$Q:$Q,IGA_BD!$G:$G,(VLOOKUP(E$4,'Basic Data'!$A:$F,6,0)),IGA_BD!$F:$F,"&gt;="&amp;Analytices!$B$2,IGA_BD!$F:$F,"&lt;="&amp;Analytices!$B$3)</f>
        <v>1.8333333333333326</v>
      </c>
      <c r="F9" s="363">
        <f>SUMIFS(IGA_BD!$Q:$Q,IGA_BD!$G:$G,(VLOOKUP(F$4,'Basic Data'!$A:$F,6,0)),IGA_BD!$F:$F,"&gt;="&amp;Analytices!$B$2,IGA_BD!$F:$F,"&lt;="&amp;Analytices!$B$3)</f>
        <v>0.81666666666666643</v>
      </c>
      <c r="G9" s="363">
        <f>SUMIFS(IGA_BD!$Q:$Q,IGA_BD!$G:$G,(VLOOKUP(G$4,'Basic Data'!$A:$F,6,0)),IGA_BD!$F:$F,"&gt;="&amp;Analytices!$B$2,IGA_BD!$F:$F,"&lt;="&amp;Analytices!$B$3)</f>
        <v>1.8333333333333326</v>
      </c>
      <c r="H9" s="363">
        <f>SUMIFS(IGA_BD!$Q:$Q,IGA_BD!$G:$G,(VLOOKUP(H$4,'Basic Data'!$A:$F,6,0)),IGA_BD!$F:$F,"&gt;="&amp;Analytices!$B$2,IGA_BD!$F:$F,"&lt;="&amp;Analytices!$B$3)</f>
        <v>1.8333333333333326</v>
      </c>
      <c r="I9" s="363">
        <f>SUMIFS(IGA_BD!$Q:$Q,IGA_BD!$G:$G,(VLOOKUP(I$4,'Basic Data'!$A:$F,6,0)),IGA_BD!$F:$F,"&gt;="&amp;Analytices!$B$2,IGA_BD!$F:$F,"&lt;="&amp;Analytices!$B$3)</f>
        <v>1.8333333333333326</v>
      </c>
      <c r="J9" s="363">
        <f>SUMIFS(IGA_BD!$Q:$Q,IGA_BD!$G:$G,(VLOOKUP(J$4,'Basic Data'!$A:$F,6,0)),IGA_BD!$F:$F,"&gt;="&amp;Analytices!$B$2,IGA_BD!$F:$F,"&lt;="&amp;Analytices!$B$3)</f>
        <v>1.85</v>
      </c>
      <c r="K9" s="363">
        <f>SUMIFS(IGA_BD!$Q:$Q,IGA_BD!$G:$G,(VLOOKUP(K$4,'Basic Data'!$A:$F,6,0)),IGA_BD!$F:$F,"&gt;="&amp;Analytices!$B$2,IGA_BD!$F:$F,"&lt;="&amp;Analytices!$B$3)</f>
        <v>1.8333333333333326</v>
      </c>
      <c r="L9" s="363">
        <f>SUMIFS(IGA_BD!$Q:$Q,IGA_BD!$G:$G,(VLOOKUP(L$4,'Basic Data'!$A:$F,6,0)),IGA_BD!$F:$F,"&gt;="&amp;Analytices!$B$2,IGA_BD!$F:$F,"&lt;="&amp;Analytices!$B$3)</f>
        <v>1.8333333333333326</v>
      </c>
      <c r="M9" s="363">
        <f>SUMIFS(IGA_BD!$Q:$Q,IGA_BD!$G:$G,(VLOOKUP(M$4,'Basic Data'!$A:$F,6,0)),IGA_BD!$F:$F,"&gt;="&amp;Analytices!$B$2,IGA_BD!$F:$F,"&lt;="&amp;Analytices!$B$3)</f>
        <v>1.85</v>
      </c>
      <c r="N9" s="363">
        <f>SUMIFS(IGA_BD!$Q:$Q,IGA_BD!$G:$G,(VLOOKUP(N$4,'Basic Data'!$A:$F,6,0)),IGA_BD!$F:$F,"&gt;="&amp;Analytices!$B$2,IGA_BD!$F:$F,"&lt;="&amp;Analytices!$B$3)</f>
        <v>1.85</v>
      </c>
      <c r="O9" s="363">
        <f>SUMIFS(IGA_BD!$Q:$Q,IGA_BD!$G:$G,(VLOOKUP(O$4,'Basic Data'!$A:$F,6,0)),IGA_BD!$F:$F,"&gt;="&amp;Analytices!$B$2,IGA_BD!$F:$F,"&lt;="&amp;Analytices!$B$3)</f>
        <v>1.85</v>
      </c>
      <c r="P9" s="363">
        <f>SUMIFS(IGA_BD!$Q:$Q,IGA_BD!$G:$G,(VLOOKUP(P$4,'Basic Data'!$A:$F,6,0)),IGA_BD!$F:$F,"&gt;="&amp;Analytices!$B$2,IGA_BD!$F:$F,"&lt;="&amp;Analytices!$B$3)</f>
        <v>1.85</v>
      </c>
      <c r="Q9" s="363">
        <f>SUMIFS(IGA_BD!$Q:$Q,IGA_BD!$G:$G,(VLOOKUP(Q$4,'Basic Data'!$A:$F,6,0)),IGA_BD!$F:$F,"&gt;="&amp;Analytices!$B$2,IGA_BD!$F:$F,"&lt;="&amp;Analytices!$B$3)</f>
        <v>1.85</v>
      </c>
      <c r="R9" s="363">
        <f>SUMIFS(IGA_BD!$Q:$Q,IGA_BD!$G:$G,(VLOOKUP(R$4,'Basic Data'!$A:$F,6,0)),IGA_BD!$F:$F,"&gt;="&amp;Analytices!$B$2,IGA_BD!$F:$F,"&lt;="&amp;Analytices!$B$3)</f>
        <v>1.85</v>
      </c>
      <c r="S9" s="363">
        <f>SUMIFS(IGA_BD!$Q:$Q,IGA_BD!$G:$G,(VLOOKUP(S$4,'Basic Data'!$A:$F,6,0)),IGA_BD!$F:$F,"&gt;="&amp;Analytices!$B$2,IGA_BD!$F:$F,"&lt;="&amp;Analytices!$B$3)</f>
        <v>1.85</v>
      </c>
      <c r="T9" s="363">
        <f>SUMIFS(IGA_BD!$Q:$Q,IGA_BD!$G:$G,(VLOOKUP(T$4,'Basic Data'!$A:$F,6,0)),IGA_BD!$F:$F,"&gt;="&amp;Analytices!$B$2,IGA_BD!$F:$F,"&lt;="&amp;Analytices!$B$3)</f>
        <v>1.85</v>
      </c>
      <c r="U9" s="363">
        <f>SUMIFS(IGA_BD!$Q:$Q,IGA_BD!$G:$G,(VLOOKUP(U$4,'Basic Data'!$A:$F,6,0)),IGA_BD!$F:$F,"&gt;="&amp;Analytices!$B$2,IGA_BD!$F:$F,"&lt;="&amp;Analytices!$B$3)</f>
        <v>1.85</v>
      </c>
      <c r="V9" s="363">
        <f>SUMIFS(IGA_BD!$Q:$Q,IGA_BD!$G:$G,(VLOOKUP(V$4,'Basic Data'!$A:$F,6,0)),IGA_BD!$F:$F,"&gt;="&amp;Analytices!$B$2,IGA_BD!$F:$F,"&lt;="&amp;Analytices!$B$3)</f>
        <v>0.81666666666666643</v>
      </c>
      <c r="W9" s="363">
        <f>SUMIFS(IGA_BD!$Q:$Q,IGA_BD!$G:$G,(VLOOKUP(W$4,'Basic Data'!$A:$F,6,0)),IGA_BD!$F:$F,"&gt;="&amp;Analytices!$B$2,IGA_BD!$F:$F,"&lt;="&amp;Analytices!$B$3)</f>
        <v>0.81666666666666643</v>
      </c>
      <c r="X9" s="363">
        <f>SUMIFS(IGA_BD!$Q:$Q,IGA_BD!$G:$G,(VLOOKUP(X$4,'Basic Data'!$A:$F,6,0)),IGA_BD!$F:$F,"&gt;="&amp;Analytices!$B$2,IGA_BD!$F:$F,"&lt;="&amp;Analytices!$B$3)</f>
        <v>0.81666666666666643</v>
      </c>
      <c r="Y9" s="363">
        <f>SUMIFS(IGA_BD!$Q:$Q,IGA_BD!$G:$G,(VLOOKUP(Y$4,'Basic Data'!$A:$F,6,0)),IGA_BD!$F:$F,"&gt;="&amp;Analytices!$B$2,IGA_BD!$F:$F,"&lt;="&amp;Analytices!$B$3)</f>
        <v>0.81666666666666643</v>
      </c>
      <c r="Z9" s="363">
        <f>SUMIFS(IGA_BD!$Q:$Q,IGA_BD!$G:$G,(VLOOKUP(Z$4,'Basic Data'!$A:$F,6,0)),IGA_BD!$F:$F,"&gt;="&amp;Analytices!$B$2,IGA_BD!$F:$F,"&lt;="&amp;Analytices!$B$3)</f>
        <v>0</v>
      </c>
      <c r="AA9" s="363">
        <f>SUMIFS(IGA_BD!$Q:$Q,IGA_BD!$G:$G,(VLOOKUP(AA$4,'Basic Data'!$A:$F,6,0)),IGA_BD!$F:$F,"&gt;="&amp;Analytices!$B$2,IGA_BD!$F:$F,"&lt;="&amp;Analytices!$B$3)</f>
        <v>0.81666666666666643</v>
      </c>
      <c r="AB9" s="363">
        <f>SUMIFS(IGA_BD!$Q:$Q,IGA_BD!$G:$G,(VLOOKUP(AB$4,'Basic Data'!$A:$F,6,0)),IGA_BD!$F:$F,"&gt;="&amp;Analytices!$B$2,IGA_BD!$F:$F,"&lt;="&amp;Analytices!$B$3)</f>
        <v>0.81666666666666643</v>
      </c>
      <c r="AC9" s="363">
        <f>SUMIFS(IGA_BD!$Q:$Q,IGA_BD!$G:$G,(VLOOKUP(AC$4,'Basic Data'!$A:$F,6,0)),IGA_BD!$F:$F,"&gt;="&amp;Analytices!$B$2,IGA_BD!$F:$F,"&lt;="&amp;Analytices!$B$3)</f>
        <v>0.81666666666666643</v>
      </c>
      <c r="AD9" s="363">
        <f>SUMIFS(IGA_BD!$Q:$Q,IGA_BD!$G:$G,(VLOOKUP(AD$4,'Basic Data'!$A:$F,6,0)),IGA_BD!$F:$F,"&gt;="&amp;Analytices!$B$2,IGA_BD!$F:$F,"&lt;="&amp;Analytices!$B$3)</f>
        <v>0.81666666666666643</v>
      </c>
      <c r="AE9" s="363">
        <f>SUMIFS(IGA_BD!$Q:$Q,IGA_BD!$G:$G,(VLOOKUP(AE$4,'Basic Data'!$A:$F,6,0)),IGA_BD!$F:$F,"&gt;="&amp;Analytices!$B$2,IGA_BD!$F:$F,"&lt;="&amp;Analytices!$B$3)</f>
        <v>0.81666666666666643</v>
      </c>
      <c r="AF9" s="363">
        <f>SUMIFS(IGA_BD!$Q:$Q,IGA_BD!$G:$G,(VLOOKUP(AF$4,'Basic Data'!$A:$F,6,0)),IGA_BD!$F:$F,"&gt;="&amp;Analytices!$B$2,IGA_BD!$F:$F,"&lt;="&amp;Analytices!$B$3)</f>
        <v>0</v>
      </c>
      <c r="AG9" s="363">
        <f>SUMIFS(IGA_BD!$Q:$Q,IGA_BD!$G:$G,(VLOOKUP(AG$4,'Basic Data'!$A:$F,6,0)),IGA_BD!$F:$F,"&gt;="&amp;Analytices!$B$2,IGA_BD!$F:$F,"&lt;="&amp;Analytices!$B$3)</f>
        <v>0</v>
      </c>
      <c r="AH9" s="363">
        <f>SUMIFS(IGA_BD!$Q:$Q,IGA_BD!$G:$G,(VLOOKUP(AH$4,'Basic Data'!$A:$F,6,0)),IGA_BD!$F:$F,"&gt;="&amp;Analytices!$B$2,IGA_BD!$F:$F,"&lt;="&amp;Analytices!$B$3)</f>
        <v>0</v>
      </c>
      <c r="AI9" s="363">
        <f>SUMIFS(IGA_BD!$Q:$Q,IGA_BD!$G:$G,(VLOOKUP(AI$4,'Basic Data'!$A:$F,6,0)),IGA_BD!$F:$F,"&gt;="&amp;Analytices!$B$2,IGA_BD!$F:$F,"&lt;="&amp;Analytices!$B$3)</f>
        <v>0</v>
      </c>
      <c r="AJ9" s="363">
        <f>SUMIFS(IGA_BD!$Q:$Q,IGA_BD!$G:$G,(VLOOKUP(AJ$4,'Basic Data'!$A:$F,6,0)),IGA_BD!$F:$F,"&gt;="&amp;Analytices!$B$2,IGA_BD!$F:$F,"&lt;="&amp;Analytices!$B$3)</f>
        <v>0</v>
      </c>
      <c r="AK9" s="363">
        <f>SUMIFS(IGA_BD!$Q:$Q,IGA_BD!$G:$G,(VLOOKUP(AK$4,'Basic Data'!$A:$F,6,0)),IGA_BD!$F:$F,"&gt;="&amp;Analytices!$B$2,IGA_BD!$F:$F,"&lt;="&amp;Analytices!$B$3)</f>
        <v>0</v>
      </c>
      <c r="AL9" s="363">
        <f>SUMIFS(IGA_BD!$Q:$Q,IGA_BD!$G:$G,(VLOOKUP(AL$4,'Basic Data'!$A:$F,6,0)),IGA_BD!$F:$F,"&gt;="&amp;Analytices!$B$2,IGA_BD!$F:$F,"&lt;="&amp;Analytices!$B$3)</f>
        <v>0</v>
      </c>
      <c r="AM9" s="363">
        <f>SUMIFS(IGA_BD!$Q:$Q,IGA_BD!$G:$G,(VLOOKUP(AM$4,'Basic Data'!$A:$F,6,0)),IGA_BD!$F:$F,"&gt;="&amp;Analytices!$B$2,IGA_BD!$F:$F,"&lt;="&amp;Analytices!$B$3)</f>
        <v>0</v>
      </c>
      <c r="AN9" s="363">
        <f>SUMIFS(IGA_BD!$Q:$Q,IGA_BD!$G:$G,(VLOOKUP(AN$4,'Basic Data'!$A:$F,6,0)),IGA_BD!$F:$F,"&gt;="&amp;Analytices!$B$2,IGA_BD!$F:$F,"&lt;="&amp;Analytices!$B$3)</f>
        <v>0</v>
      </c>
    </row>
    <row r="10" spans="1:40" ht="29.1" hidden="1" customHeight="1">
      <c r="A10" s="362" t="s">
        <v>159</v>
      </c>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row>
    <row r="11" spans="1:40" ht="29.1" hidden="1" customHeight="1">
      <c r="A11" s="362" t="s">
        <v>160</v>
      </c>
      <c r="B11" s="84">
        <f>SUMIFS(Grid_BD!$R:$R,Grid_BD!$G:$G,(VLOOKUP(B$4,'Basic Data'!$A:$G,7,0)),Grid_BD!$F:$F,"&gt;="&amp;Analytices!$B$2,Grid_BD!$F:$F,"&lt;="&amp;Analytices!$B$3)</f>
        <v>0</v>
      </c>
      <c r="C11" s="84">
        <f>SUMIFS(Grid_BD!$R:$R,Grid_BD!$G:$G,(VLOOKUP(C$4,'Basic Data'!$A:$G,7,0)),Grid_BD!$F:$F,"&gt;="&amp;Analytices!$B$2,Grid_BD!$F:$F,"&lt;="&amp;Analytices!$B$3)</f>
        <v>0</v>
      </c>
      <c r="D11" s="84">
        <f>SUMIFS(Grid_BD!$R:$R,Grid_BD!$G:$G,(VLOOKUP(D$4,'Basic Data'!$A:$G,7,0)),Grid_BD!$F:$F,"&gt;="&amp;Analytices!$B$2,Grid_BD!$F:$F,"&lt;="&amp;Analytices!$B$3)</f>
        <v>0</v>
      </c>
      <c r="E11" s="84">
        <f>SUMIFS(Grid_BD!$R:$R,Grid_BD!$G:$G,(VLOOKUP(E$4,'Basic Data'!$A:$G,7,0)),Grid_BD!$F:$F,"&gt;="&amp;Analytices!$B$2,Grid_BD!$F:$F,"&lt;="&amp;Analytices!$B$3)</f>
        <v>0</v>
      </c>
      <c r="F11" s="84">
        <f>SUMIFS(Grid_BD!$R:$R,Grid_BD!$G:$G,(VLOOKUP(F$4,'Basic Data'!$A:$G,7,0)),Grid_BD!$F:$F,"&gt;="&amp;Analytices!$B$2,Grid_BD!$F:$F,"&lt;="&amp;Analytices!$B$3)</f>
        <v>0</v>
      </c>
      <c r="G11" s="84">
        <f>SUMIFS(Grid_BD!$R:$R,Grid_BD!$G:$G,(VLOOKUP(G$4,'Basic Data'!$A:$G,7,0)),Grid_BD!$F:$F,"&gt;="&amp;Analytices!$B$2,Grid_BD!$F:$F,"&lt;="&amp;Analytices!$B$3)</f>
        <v>0</v>
      </c>
      <c r="H11" s="84">
        <f>SUMIFS(Grid_BD!$R:$R,Grid_BD!$G:$G,(VLOOKUP(H$4,'Basic Data'!$A:$G,7,0)),Grid_BD!$F:$F,"&gt;="&amp;Analytices!$B$2,Grid_BD!$F:$F,"&lt;="&amp;Analytices!$B$3)</f>
        <v>0</v>
      </c>
      <c r="I11" s="84">
        <f>SUMIFS(Grid_BD!$R:$R,Grid_BD!$G:$G,(VLOOKUP(I$4,'Basic Data'!$A:$G,7,0)),Grid_BD!$F:$F,"&gt;="&amp;Analytices!$B$2,Grid_BD!$F:$F,"&lt;="&amp;Analytices!$B$3)</f>
        <v>0</v>
      </c>
      <c r="J11" s="84">
        <f>SUMIFS(Grid_BD!$R:$R,Grid_BD!$G:$G,(VLOOKUP(J$4,'Basic Data'!$A:$G,7,0)),Grid_BD!$F:$F,"&gt;="&amp;Analytices!$B$2,Grid_BD!$F:$F,"&lt;="&amp;Analytices!$B$3)</f>
        <v>0</v>
      </c>
      <c r="K11" s="84">
        <f>SUMIFS(Grid_BD!$R:$R,Grid_BD!$G:$G,(VLOOKUP(K$4,'Basic Data'!$A:$G,7,0)),Grid_BD!$F:$F,"&gt;="&amp;Analytices!$B$2,Grid_BD!$F:$F,"&lt;="&amp;Analytices!$B$3)</f>
        <v>0</v>
      </c>
      <c r="L11" s="84">
        <f>SUMIFS(Grid_BD!$R:$R,Grid_BD!$G:$G,(VLOOKUP(L$4,'Basic Data'!$A:$G,7,0)),Grid_BD!$F:$F,"&gt;="&amp;Analytices!$B$2,Grid_BD!$F:$F,"&lt;="&amp;Analytices!$B$3)</f>
        <v>0</v>
      </c>
      <c r="M11" s="84">
        <f>SUMIFS(Grid_BD!$R:$R,Grid_BD!$G:$G,(VLOOKUP(M$4,'Basic Data'!$A:$G,7,0)),Grid_BD!$F:$F,"&gt;="&amp;Analytices!$B$2,Grid_BD!$F:$F,"&lt;="&amp;Analytices!$B$3)</f>
        <v>0</v>
      </c>
      <c r="N11" s="84">
        <f>SUMIFS(Grid_BD!$R:$R,Grid_BD!$G:$G,(VLOOKUP(N$4,'Basic Data'!$A:$G,7,0)),Grid_BD!$F:$F,"&gt;="&amp;Analytices!$B$2,Grid_BD!$F:$F,"&lt;="&amp;Analytices!$B$3)</f>
        <v>0</v>
      </c>
      <c r="O11" s="84">
        <f>SUMIFS(Grid_BD!$R:$R,Grid_BD!$G:$G,(VLOOKUP(O$4,'Basic Data'!$A:$G,7,0)),Grid_BD!$F:$F,"&gt;="&amp;Analytices!$B$2,Grid_BD!$F:$F,"&lt;="&amp;Analytices!$B$3)</f>
        <v>0</v>
      </c>
      <c r="P11" s="84">
        <f>SUMIFS(Grid_BD!$R:$R,Grid_BD!$G:$G,(VLOOKUP(P$4,'Basic Data'!$A:$G,7,0)),Grid_BD!$F:$F,"&gt;="&amp;Analytices!$B$2,Grid_BD!$F:$F,"&lt;="&amp;Analytices!$B$3)</f>
        <v>0</v>
      </c>
      <c r="Q11" s="84">
        <f>SUMIFS(Grid_BD!$R:$R,Grid_BD!$G:$G,(VLOOKUP(Q$4,'Basic Data'!$A:$G,7,0)),Grid_BD!$F:$F,"&gt;="&amp;Analytices!$B$2,Grid_BD!$F:$F,"&lt;="&amp;Analytices!$B$3)</f>
        <v>0</v>
      </c>
      <c r="R11" s="84">
        <f>SUMIFS(Grid_BD!$R:$R,Grid_BD!$G:$G,(VLOOKUP(R$4,'Basic Data'!$A:$G,7,0)),Grid_BD!$F:$F,"&gt;="&amp;Analytices!$B$2,Grid_BD!$F:$F,"&lt;="&amp;Analytices!$B$3)</f>
        <v>0</v>
      </c>
      <c r="S11" s="84">
        <f>SUMIFS(Grid_BD!$R:$R,Grid_BD!$G:$G,(VLOOKUP(S$4,'Basic Data'!$A:$G,7,0)),Grid_BD!$F:$F,"&gt;="&amp;Analytices!$B$2,Grid_BD!$F:$F,"&lt;="&amp;Analytices!$B$3)</f>
        <v>0</v>
      </c>
      <c r="T11" s="84">
        <f>SUMIFS(Grid_BD!$R:$R,Grid_BD!$G:$G,(VLOOKUP(T$4,'Basic Data'!$A:$G,7,0)),Grid_BD!$F:$F,"&gt;="&amp;Analytices!$B$2,Grid_BD!$F:$F,"&lt;="&amp;Analytices!$B$3)</f>
        <v>0</v>
      </c>
      <c r="U11" s="84">
        <f>SUMIFS(Grid_BD!$R:$R,Grid_BD!$G:$G,(VLOOKUP(U$4,'Basic Data'!$A:$G,7,0)),Grid_BD!$F:$F,"&gt;="&amp;Analytices!$B$2,Grid_BD!$F:$F,"&lt;="&amp;Analytices!$B$3)</f>
        <v>0</v>
      </c>
      <c r="V11" s="84">
        <f>SUMIFS(Grid_BD!$R:$R,Grid_BD!$G:$G,(VLOOKUP(V$4,'Basic Data'!$A:$G,7,0)),Grid_BD!$F:$F,"&gt;="&amp;Analytices!$B$2,Grid_BD!$F:$F,"&lt;="&amp;Analytices!$B$3)</f>
        <v>0</v>
      </c>
      <c r="W11" s="84">
        <f>SUMIFS(Grid_BD!$R:$R,Grid_BD!$G:$G,(VLOOKUP(W$4,'Basic Data'!$A:$G,7,0)),Grid_BD!$F:$F,"&gt;="&amp;Analytices!$B$2,Grid_BD!$F:$F,"&lt;="&amp;Analytices!$B$3)</f>
        <v>0</v>
      </c>
      <c r="X11" s="84">
        <f>SUMIFS(Grid_BD!$R:$R,Grid_BD!$G:$G,(VLOOKUP(X$4,'Basic Data'!$A:$G,7,0)),Grid_BD!$F:$F,"&gt;="&amp;Analytices!$B$2,Grid_BD!$F:$F,"&lt;="&amp;Analytices!$B$3)</f>
        <v>0</v>
      </c>
      <c r="Y11" s="84">
        <f>SUMIFS(Grid_BD!$R:$R,Grid_BD!$G:$G,(VLOOKUP(Y$4,'Basic Data'!$A:$G,7,0)),Grid_BD!$F:$F,"&gt;="&amp;Analytices!$B$2,Grid_BD!$F:$F,"&lt;="&amp;Analytices!$B$3)</f>
        <v>0</v>
      </c>
      <c r="Z11" s="84">
        <f>SUMIFS(Grid_BD!$R:$R,Grid_BD!$G:$G,(VLOOKUP(Z$4,'Basic Data'!$A:$G,7,0)),Grid_BD!$F:$F,"&gt;="&amp;Analytices!$B$2,Grid_BD!$F:$F,"&lt;="&amp;Analytices!$B$3)</f>
        <v>0</v>
      </c>
      <c r="AA11" s="84">
        <f>SUMIFS(Grid_BD!$R:$R,Grid_BD!$G:$G,(VLOOKUP(AA$4,'Basic Data'!$A:$G,7,0)),Grid_BD!$F:$F,"&gt;="&amp;Analytices!$B$2,Grid_BD!$F:$F,"&lt;="&amp;Analytices!$B$3)</f>
        <v>0</v>
      </c>
      <c r="AB11" s="84">
        <f>SUMIFS(Grid_BD!$R:$R,Grid_BD!$G:$G,(VLOOKUP(AB$4,'Basic Data'!$A:$G,7,0)),Grid_BD!$F:$F,"&gt;="&amp;Analytices!$B$2,Grid_BD!$F:$F,"&lt;="&amp;Analytices!$B$3)</f>
        <v>0</v>
      </c>
      <c r="AC11" s="84">
        <f>SUMIFS(Grid_BD!$R:$R,Grid_BD!$G:$G,(VLOOKUP(AC$4,'Basic Data'!$A:$G,7,0)),Grid_BD!$F:$F,"&gt;="&amp;Analytices!$B$2,Grid_BD!$F:$F,"&lt;="&amp;Analytices!$B$3)</f>
        <v>0</v>
      </c>
      <c r="AD11" s="84">
        <f>SUMIFS(Grid_BD!$R:$R,Grid_BD!$G:$G,(VLOOKUP(AD$4,'Basic Data'!$A:$G,7,0)),Grid_BD!$F:$F,"&gt;="&amp;Analytices!$B$2,Grid_BD!$F:$F,"&lt;="&amp;Analytices!$B$3)</f>
        <v>0</v>
      </c>
      <c r="AE11" s="84">
        <f>SUMIFS(Grid_BD!$R:$R,Grid_BD!$G:$G,(VLOOKUP(AE$4,'Basic Data'!$A:$G,7,0)),Grid_BD!$F:$F,"&gt;="&amp;Analytices!$B$2,Grid_BD!$F:$F,"&lt;="&amp;Analytices!$B$3)</f>
        <v>0</v>
      </c>
      <c r="AF11" s="84">
        <f>SUMIFS(Grid_BD!$R:$R,Grid_BD!$G:$G,(VLOOKUP(AF$4,'Basic Data'!$A:$G,7,0)),Grid_BD!$F:$F,"&gt;="&amp;Analytices!$B$2,Grid_BD!$F:$F,"&lt;="&amp;Analytices!$B$3)</f>
        <v>0</v>
      </c>
      <c r="AG11" s="84">
        <f>SUMIFS(Grid_BD!$R:$R,Grid_BD!$G:$G,(VLOOKUP(AG$4,'Basic Data'!$A:$G,7,0)),Grid_BD!$F:$F,"&gt;="&amp;Analytices!$B$2,Grid_BD!$F:$F,"&lt;="&amp;Analytices!$B$3)</f>
        <v>0</v>
      </c>
      <c r="AH11" s="84">
        <f>SUMIFS(Grid_BD!$R:$R,Grid_BD!$G:$G,(VLOOKUP(AH$4,'Basic Data'!$A:$G,7,0)),Grid_BD!$F:$F,"&gt;="&amp;Analytices!$B$2,Grid_BD!$F:$F,"&lt;="&amp;Analytices!$B$3)</f>
        <v>0</v>
      </c>
      <c r="AI11" s="84">
        <f>SUMIFS(Grid_BD!$R:$R,Grid_BD!$G:$G,(VLOOKUP(AI$4,'Basic Data'!$A:$G,7,0)),Grid_BD!$F:$F,"&gt;="&amp;Analytices!$B$2,Grid_BD!$F:$F,"&lt;="&amp;Analytices!$B$3)</f>
        <v>0</v>
      </c>
      <c r="AJ11" s="84">
        <f>SUMIFS(Grid_BD!$R:$R,Grid_BD!$G:$G,(VLOOKUP(AJ$4,'Basic Data'!$A:$G,7,0)),Grid_BD!$F:$F,"&gt;="&amp;Analytices!$B$2,Grid_BD!$F:$F,"&lt;="&amp;Analytices!$B$3)</f>
        <v>0</v>
      </c>
      <c r="AK11" s="84">
        <f>SUMIFS(Grid_BD!$R:$R,Grid_BD!$G:$G,(VLOOKUP(AK$4,'Basic Data'!$A:$G,7,0)),Grid_BD!$F:$F,"&gt;="&amp;Analytices!$B$2,Grid_BD!$F:$F,"&lt;="&amp;Analytices!$B$3)</f>
        <v>0</v>
      </c>
      <c r="AL11" s="84">
        <f>SUMIFS(Grid_BD!$R:$R,Grid_BD!$G:$G,(VLOOKUP(AL$4,'Basic Data'!$A:$G,7,0)),Grid_BD!$F:$F,"&gt;="&amp;Analytices!$B$2,Grid_BD!$F:$F,"&lt;="&amp;Analytices!$B$3)</f>
        <v>0</v>
      </c>
      <c r="AM11" s="84">
        <f>SUMIFS(Grid_BD!$R:$R,Grid_BD!$G:$G,(VLOOKUP(AM$4,'Basic Data'!$A:$G,7,0)),Grid_BD!$F:$F,"&gt;="&amp;Analytices!$B$2,Grid_BD!$F:$F,"&lt;="&amp;Analytices!$B$3)</f>
        <v>0</v>
      </c>
      <c r="AN11" s="84">
        <f>SUMIFS(Grid_BD!$R:$R,Grid_BD!$G:$G,(VLOOKUP(AN$4,'Basic Data'!$A:$G,7,0)),Grid_BD!$F:$F,"&gt;="&amp;Analytices!$B$2,Grid_BD!$F:$F,"&lt;="&amp;Analytices!$B$3)</f>
        <v>0</v>
      </c>
    </row>
    <row r="12" spans="1:40" ht="29.1" hidden="1" customHeight="1">
      <c r="A12" s="362" t="s">
        <v>161</v>
      </c>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row>
    <row r="13" spans="1:40" ht="29.1" customHeight="1">
      <c r="A13" s="359" t="s">
        <v>162</v>
      </c>
      <c r="B13" s="365">
        <f>(C3-B14)/C3</f>
        <v>1</v>
      </c>
      <c r="C13" s="365">
        <f t="shared" ref="C13:AN13" si="2">$B$13</f>
        <v>1</v>
      </c>
      <c r="D13" s="365">
        <f t="shared" si="2"/>
        <v>1</v>
      </c>
      <c r="E13" s="366">
        <f t="shared" si="2"/>
        <v>1</v>
      </c>
      <c r="F13" s="366">
        <f t="shared" si="2"/>
        <v>1</v>
      </c>
      <c r="G13" s="366">
        <f t="shared" si="2"/>
        <v>1</v>
      </c>
      <c r="H13" s="366">
        <f t="shared" si="2"/>
        <v>1</v>
      </c>
      <c r="I13" s="366">
        <f t="shared" si="2"/>
        <v>1</v>
      </c>
      <c r="J13" s="366">
        <f t="shared" si="2"/>
        <v>1</v>
      </c>
      <c r="K13" s="366">
        <f t="shared" si="2"/>
        <v>1</v>
      </c>
      <c r="L13" s="366">
        <f t="shared" si="2"/>
        <v>1</v>
      </c>
      <c r="M13" s="366">
        <f t="shared" si="2"/>
        <v>1</v>
      </c>
      <c r="N13" s="366">
        <f t="shared" si="2"/>
        <v>1</v>
      </c>
      <c r="O13" s="366">
        <f t="shared" si="2"/>
        <v>1</v>
      </c>
      <c r="P13" s="366">
        <f t="shared" si="2"/>
        <v>1</v>
      </c>
      <c r="Q13" s="366">
        <f t="shared" si="2"/>
        <v>1</v>
      </c>
      <c r="R13" s="366">
        <f t="shared" si="2"/>
        <v>1</v>
      </c>
      <c r="S13" s="366">
        <f t="shared" si="2"/>
        <v>1</v>
      </c>
      <c r="T13" s="366">
        <f t="shared" si="2"/>
        <v>1</v>
      </c>
      <c r="U13" s="366">
        <f t="shared" si="2"/>
        <v>1</v>
      </c>
      <c r="V13" s="366">
        <f t="shared" si="2"/>
        <v>1</v>
      </c>
      <c r="W13" s="366">
        <f t="shared" si="2"/>
        <v>1</v>
      </c>
      <c r="X13" s="366">
        <f t="shared" si="2"/>
        <v>1</v>
      </c>
      <c r="Y13" s="366">
        <f t="shared" si="2"/>
        <v>1</v>
      </c>
      <c r="Z13" s="366">
        <f t="shared" si="2"/>
        <v>1</v>
      </c>
      <c r="AA13" s="366">
        <f t="shared" si="2"/>
        <v>1</v>
      </c>
      <c r="AB13" s="366">
        <f t="shared" si="2"/>
        <v>1</v>
      </c>
      <c r="AC13" s="366">
        <f t="shared" si="2"/>
        <v>1</v>
      </c>
      <c r="AD13" s="366">
        <f t="shared" si="2"/>
        <v>1</v>
      </c>
      <c r="AE13" s="366">
        <f t="shared" si="2"/>
        <v>1</v>
      </c>
      <c r="AF13" s="366">
        <f t="shared" si="2"/>
        <v>1</v>
      </c>
      <c r="AG13" s="366">
        <f t="shared" si="2"/>
        <v>1</v>
      </c>
      <c r="AH13" s="366">
        <f t="shared" si="2"/>
        <v>1</v>
      </c>
      <c r="AI13" s="366">
        <f t="shared" si="2"/>
        <v>1</v>
      </c>
      <c r="AJ13" s="366">
        <f t="shared" si="2"/>
        <v>1</v>
      </c>
      <c r="AK13" s="366">
        <f t="shared" si="2"/>
        <v>1</v>
      </c>
      <c r="AL13" s="366">
        <f t="shared" si="2"/>
        <v>1</v>
      </c>
      <c r="AM13" s="366">
        <f t="shared" si="2"/>
        <v>1</v>
      </c>
      <c r="AN13" s="366">
        <f t="shared" si="2"/>
        <v>1</v>
      </c>
    </row>
    <row r="14" spans="1:40" ht="15" hidden="1">
      <c r="A14" s="362" t="s">
        <v>163</v>
      </c>
      <c r="B14" s="84">
        <f>(SUMIFS(Grid_BD!$R:$R,Grid_BD!$F:$F,"&gt;="&amp;Analytices!B2,Grid_BD!$F:$F,"&lt;="&amp;Analytices!B3,Grid_BD!$G:$G,"Line1"))</f>
        <v>0</v>
      </c>
      <c r="C14" s="84">
        <f>$B$14</f>
        <v>0</v>
      </c>
      <c r="D14" s="84">
        <f t="shared" ref="D14:AN14" si="3">$B$14</f>
        <v>0</v>
      </c>
      <c r="E14" s="84">
        <f t="shared" si="3"/>
        <v>0</v>
      </c>
      <c r="F14" s="84">
        <f t="shared" si="3"/>
        <v>0</v>
      </c>
      <c r="G14" s="84">
        <f t="shared" si="3"/>
        <v>0</v>
      </c>
      <c r="H14" s="84">
        <f t="shared" si="3"/>
        <v>0</v>
      </c>
      <c r="I14" s="84">
        <f t="shared" si="3"/>
        <v>0</v>
      </c>
      <c r="J14" s="84">
        <f t="shared" si="3"/>
        <v>0</v>
      </c>
      <c r="K14" s="84">
        <f t="shared" si="3"/>
        <v>0</v>
      </c>
      <c r="L14" s="84">
        <f t="shared" si="3"/>
        <v>0</v>
      </c>
      <c r="M14" s="84">
        <f t="shared" si="3"/>
        <v>0</v>
      </c>
      <c r="N14" s="84">
        <f t="shared" si="3"/>
        <v>0</v>
      </c>
      <c r="O14" s="84">
        <f t="shared" si="3"/>
        <v>0</v>
      </c>
      <c r="P14" s="84">
        <f t="shared" si="3"/>
        <v>0</v>
      </c>
      <c r="Q14" s="84">
        <f t="shared" si="3"/>
        <v>0</v>
      </c>
      <c r="R14" s="84">
        <f t="shared" si="3"/>
        <v>0</v>
      </c>
      <c r="S14" s="84">
        <f t="shared" si="3"/>
        <v>0</v>
      </c>
      <c r="T14" s="84">
        <f t="shared" si="3"/>
        <v>0</v>
      </c>
      <c r="U14" s="84">
        <f t="shared" si="3"/>
        <v>0</v>
      </c>
      <c r="V14" s="84">
        <f t="shared" si="3"/>
        <v>0</v>
      </c>
      <c r="W14" s="84">
        <f t="shared" si="3"/>
        <v>0</v>
      </c>
      <c r="X14" s="84">
        <f t="shared" si="3"/>
        <v>0</v>
      </c>
      <c r="Y14" s="84">
        <f t="shared" si="3"/>
        <v>0</v>
      </c>
      <c r="Z14" s="84">
        <f t="shared" si="3"/>
        <v>0</v>
      </c>
      <c r="AA14" s="84">
        <f t="shared" si="3"/>
        <v>0</v>
      </c>
      <c r="AB14" s="84">
        <f t="shared" si="3"/>
        <v>0</v>
      </c>
      <c r="AC14" s="84">
        <f t="shared" si="3"/>
        <v>0</v>
      </c>
      <c r="AD14" s="84">
        <f t="shared" si="3"/>
        <v>0</v>
      </c>
      <c r="AE14" s="84">
        <f t="shared" si="3"/>
        <v>0</v>
      </c>
      <c r="AF14" s="84">
        <f t="shared" si="3"/>
        <v>0</v>
      </c>
      <c r="AG14" s="84">
        <f t="shared" si="3"/>
        <v>0</v>
      </c>
      <c r="AH14" s="84">
        <f t="shared" si="3"/>
        <v>0</v>
      </c>
      <c r="AI14" s="84">
        <f t="shared" si="3"/>
        <v>0</v>
      </c>
      <c r="AJ14" s="84">
        <f t="shared" si="3"/>
        <v>0</v>
      </c>
      <c r="AK14" s="84">
        <f t="shared" si="3"/>
        <v>0</v>
      </c>
      <c r="AL14" s="84">
        <f t="shared" si="3"/>
        <v>0</v>
      </c>
      <c r="AM14" s="84">
        <f t="shared" si="3"/>
        <v>0</v>
      </c>
      <c r="AN14" s="84">
        <f t="shared" si="3"/>
        <v>0</v>
      </c>
    </row>
    <row r="15" spans="1:40" ht="29.1" customHeight="1">
      <c r="A15" s="359" t="s">
        <v>164</v>
      </c>
      <c r="B15" s="84">
        <f>SUMIFS(Input_Raw!F:F,Input_Raw!$A:$A,"&gt;="&amp;Analytices!$B$2,Input_Raw!$A:$A,"&lt;="&amp;Analytices!$B$3)</f>
        <v>303129</v>
      </c>
      <c r="C15" s="84">
        <f>SUMIFS(Input_Raw!G:G,Input_Raw!$A:$A,"&gt;="&amp;Analytices!$B$2,Input_Raw!$A:$A,"&lt;="&amp;Analytices!$B$3)</f>
        <v>311445</v>
      </c>
      <c r="D15" s="84">
        <f>SUMIFS(Input_Raw!H:H,Input_Raw!$A:$A,"&gt;="&amp;Analytices!$B$2,Input_Raw!$A:$A,"&lt;="&amp;Analytices!$B$3)</f>
        <v>307719</v>
      </c>
      <c r="E15" s="84">
        <f>SUMIFS(Input_Raw!I:I,Input_Raw!$A:$A,"&gt;="&amp;Analytices!$B$2,Input_Raw!$A:$A,"&lt;="&amp;Analytices!$B$3)</f>
        <v>301658</v>
      </c>
      <c r="F15" s="84">
        <f>SUMIFS(Input_Raw!J:J,Input_Raw!$A:$A,"&gt;="&amp;Analytices!$B$2,Input_Raw!$A:$A,"&lt;="&amp;Analytices!$B$3)</f>
        <v>280932</v>
      </c>
      <c r="G15" s="84">
        <f>SUMIFS(Input_Raw!K:K,Input_Raw!$A:$A,"&gt;="&amp;Analytices!$B$2,Input_Raw!$A:$A,"&lt;="&amp;Analytices!$B$3)</f>
        <v>309527</v>
      </c>
      <c r="H15" s="84">
        <f>SUMIFS(Input_Raw!L:L,Input_Raw!$A:$A,"&gt;="&amp;Analytices!$B$2,Input_Raw!$A:$A,"&lt;="&amp;Analytices!$B$3)</f>
        <v>311717</v>
      </c>
      <c r="I15" s="84">
        <f>SUMIFS(Input_Raw!M:M,Input_Raw!$A:$A,"&gt;="&amp;Analytices!$B$2,Input_Raw!$A:$A,"&lt;="&amp;Analytices!$B$3)</f>
        <v>312813</v>
      </c>
      <c r="J15" s="84">
        <f>SUMIFS(Input_Raw!N:N,Input_Raw!$A:$A,"&gt;="&amp;Analytices!$B$2,Input_Raw!$A:$A,"&lt;="&amp;Analytices!$B$3)</f>
        <v>330654</v>
      </c>
      <c r="K15" s="84">
        <f>SUMIFS(Input_Raw!O:O,Input_Raw!$A:$A,"&gt;="&amp;Analytices!$B$2,Input_Raw!$A:$A,"&lt;="&amp;Analytices!$B$3)</f>
        <v>310698</v>
      </c>
      <c r="L15" s="84">
        <f>SUMIFS(Input_Raw!P:P,Input_Raw!$A:$A,"&gt;="&amp;Analytices!$B$2,Input_Raw!$A:$A,"&lt;="&amp;Analytices!$B$3)</f>
        <v>312144</v>
      </c>
      <c r="M15" s="84">
        <f>SUMIFS(Input_Raw!Q:Q,Input_Raw!$A:$A,"&gt;="&amp;Analytices!$B$2,Input_Raw!$A:$A,"&lt;="&amp;Analytices!$B$3)</f>
        <v>333390</v>
      </c>
      <c r="N15" s="84">
        <f>SUMIFS(Input_Raw!R:R,Input_Raw!$A:$A,"&gt;="&amp;Analytices!$B$2,Input_Raw!$A:$A,"&lt;="&amp;Analytices!$B$3)</f>
        <v>336578</v>
      </c>
      <c r="O15" s="84">
        <f>SUMIFS(Input_Raw!S:S,Input_Raw!$A:$A,"&gt;="&amp;Analytices!$B$2,Input_Raw!$A:$A,"&lt;="&amp;Analytices!$B$3)</f>
        <v>336656</v>
      </c>
      <c r="P15" s="84">
        <f>SUMIFS(Input_Raw!T:T,Input_Raw!$A:$A,"&gt;="&amp;Analytices!$B$2,Input_Raw!$A:$A,"&lt;="&amp;Analytices!$B$3)</f>
        <v>335733</v>
      </c>
      <c r="Q15" s="84">
        <f>SUMIFS(Input_Raw!U:U,Input_Raw!$A:$A,"&gt;="&amp;Analytices!$B$2,Input_Raw!$A:$A,"&lt;="&amp;Analytices!$B$3)</f>
        <v>327337</v>
      </c>
      <c r="R15" s="84">
        <f>SUMIFS(Input_Raw!V:V,Input_Raw!$A:$A,"&gt;="&amp;Analytices!$B$2,Input_Raw!$A:$A,"&lt;="&amp;Analytices!$B$3)</f>
        <v>41319</v>
      </c>
      <c r="S15" s="84">
        <f>SUMIFS(Input_Raw!W:W,Input_Raw!$A:$A,"&gt;="&amp;Analytices!$B$2,Input_Raw!$A:$A,"&lt;="&amp;Analytices!$B$3)</f>
        <v>332833</v>
      </c>
      <c r="T15" s="84">
        <f>SUMIFS(Input_Raw!X:X,Input_Raw!$A:$A,"&gt;="&amp;Analytices!$B$2,Input_Raw!$A:$A,"&lt;="&amp;Analytices!$B$3)</f>
        <v>337581</v>
      </c>
      <c r="U15" s="84">
        <f>SUMIFS(Input_Raw!Y:Y,Input_Raw!$A:$A,"&gt;="&amp;Analytices!$B$2,Input_Raw!$A:$A,"&lt;="&amp;Analytices!$B$3)</f>
        <v>336506</v>
      </c>
      <c r="V15" s="84">
        <f>SUMIFS(Input_Raw!Z:Z,Input_Raw!$A:$A,"&gt;="&amp;Analytices!$B$2,Input_Raw!$A:$A,"&lt;="&amp;Analytices!$B$3)</f>
        <v>282689</v>
      </c>
      <c r="W15" s="84">
        <f>SUMIFS(Input_Raw!AA:AA,Input_Raw!$A:$A,"&gt;="&amp;Analytices!$B$2,Input_Raw!$A:$A,"&lt;="&amp;Analytices!$B$3)</f>
        <v>279819</v>
      </c>
      <c r="X15" s="84">
        <f>SUMIFS(Input_Raw!AB:AB,Input_Raw!$A:$A,"&gt;="&amp;Analytices!$B$2,Input_Raw!$A:$A,"&lt;="&amp;Analytices!$B$3)</f>
        <v>281605</v>
      </c>
      <c r="Y15" s="84">
        <f>SUMIFS(Input_Raw!AC:AC,Input_Raw!$A:$A,"&gt;="&amp;Analytices!$B$2,Input_Raw!$A:$A,"&lt;="&amp;Analytices!$B$3)</f>
        <v>282495</v>
      </c>
      <c r="Z15" s="84">
        <f>SUMIFS(Input_Raw!AD:AD,Input_Raw!$A:$A,"&gt;="&amp;Analytices!$B$2,Input_Raw!$A:$A,"&lt;="&amp;Analytices!$B$3)</f>
        <v>246026</v>
      </c>
      <c r="AA15" s="84">
        <f>SUMIFS(Input_Raw!AE:AE,Input_Raw!$A:$A,"&gt;="&amp;Analytices!$B$2,Input_Raw!$A:$A,"&lt;="&amp;Analytices!$B$3)</f>
        <v>279145</v>
      </c>
      <c r="AB15" s="84">
        <f>SUMIFS(Input_Raw!AF:AF,Input_Raw!$A:$A,"&gt;="&amp;Analytices!$B$2,Input_Raw!$A:$A,"&lt;="&amp;Analytices!$B$3)</f>
        <v>280467</v>
      </c>
      <c r="AC15" s="84">
        <f>SUMIFS(Input_Raw!AG:AG,Input_Raw!$A:$A,"&gt;="&amp;Analytices!$B$2,Input_Raw!$A:$A,"&lt;="&amp;Analytices!$B$3)</f>
        <v>0</v>
      </c>
      <c r="AD15" s="84">
        <f>SUMIFS(Input_Raw!AH:AH,Input_Raw!$A:$A,"&gt;="&amp;Analytices!$B$2,Input_Raw!$A:$A,"&lt;="&amp;Analytices!$B$3)</f>
        <v>274624</v>
      </c>
      <c r="AE15" s="84">
        <f>SUMIFS(Input_Raw!AI:AI,Input_Raw!$A:$A,"&gt;="&amp;Analytices!$B$2,Input_Raw!$A:$A,"&lt;="&amp;Analytices!$B$3)</f>
        <v>24908</v>
      </c>
      <c r="AF15" s="84">
        <f>SUMIFS(Input_Raw!AJ:AJ,Input_Raw!$A:$A,"&gt;="&amp;Analytices!$B$2,Input_Raw!$A:$A,"&lt;="&amp;Analytices!$B$3)</f>
        <v>237034</v>
      </c>
      <c r="AG15" s="84">
        <f>SUMIFS(Input_Raw!AK:AK,Input_Raw!$A:$A,"&gt;="&amp;Analytices!$B$2,Input_Raw!$A:$A,"&lt;="&amp;Analytices!$B$3)</f>
        <v>246357</v>
      </c>
      <c r="AH15" s="84">
        <f>SUMIFS(Input_Raw!AL:AL,Input_Raw!$A:$A,"&gt;="&amp;Analytices!$B$2,Input_Raw!$A:$A,"&lt;="&amp;Analytices!$B$3)</f>
        <v>247172</v>
      </c>
      <c r="AI15" s="84">
        <f>SUMIFS(Input_Raw!AM:AM,Input_Raw!$A:$A,"&gt;="&amp;Analytices!$B$2,Input_Raw!$A:$A,"&lt;="&amp;Analytices!$B$3)</f>
        <v>244984</v>
      </c>
      <c r="AJ15" s="84">
        <f>SUMIFS(Input_Raw!AN:AN,Input_Raw!$A:$A,"&gt;="&amp;Analytices!$B$2,Input_Raw!$A:$A,"&lt;="&amp;Analytices!$B$3)</f>
        <v>247157</v>
      </c>
      <c r="AK15" s="84">
        <f>SUMIFS(Input_Raw!AO:AO,Input_Raw!$A:$A,"&gt;="&amp;Analytices!$B$2,Input_Raw!$A:$A,"&lt;="&amp;Analytices!$B$3)</f>
        <v>246900</v>
      </c>
      <c r="AL15" s="84">
        <f>SUMIFS(Input_Raw!AP:AP,Input_Raw!$A:$A,"&gt;="&amp;Analytices!$B$2,Input_Raw!$A:$A,"&lt;="&amp;Analytices!$B$3)</f>
        <v>245740</v>
      </c>
      <c r="AM15" s="84">
        <f>SUMIFS(Input_Raw!AQ:AQ,Input_Raw!$A:$A,"&gt;="&amp;Analytices!$B$2,Input_Raw!$A:$A,"&lt;="&amp;Analytices!$B$3)</f>
        <v>244944</v>
      </c>
      <c r="AN15" s="84">
        <f>SUMIFS(Input_Raw!AR:AR,Input_Raw!$A:$A,"&gt;="&amp;Analytices!$B$2,Input_Raw!$A:$A,"&lt;="&amp;Analytices!$B$3)</f>
        <v>244910</v>
      </c>
    </row>
    <row r="16" spans="1:40" ht="34.5" customHeight="1">
      <c r="A16" s="359" t="s">
        <v>165</v>
      </c>
      <c r="B16" s="361">
        <f>IFERROR(($C$3-(SUM(B8:B12,B14,B6)))/$C$3,1)</f>
        <v>0.97421497584541061</v>
      </c>
      <c r="C16" s="361">
        <f t="shared" ref="C16:AN16" si="4">IFERROR(($C$3-(SUM(C8:C12,C14,C6)))/$C$3,1)</f>
        <v>0.99353864734299502</v>
      </c>
      <c r="D16" s="361">
        <f t="shared" si="4"/>
        <v>0.99350845410628008</v>
      </c>
      <c r="E16" s="361">
        <f t="shared" si="4"/>
        <v>0.97047101449275375</v>
      </c>
      <c r="F16" s="361">
        <f t="shared" si="4"/>
        <v>0.99746376811594206</v>
      </c>
      <c r="G16" s="361">
        <f t="shared" si="4"/>
        <v>0.98994565217391317</v>
      </c>
      <c r="H16" s="361">
        <f t="shared" si="4"/>
        <v>0.99667874396135259</v>
      </c>
      <c r="I16" s="361">
        <f t="shared" si="4"/>
        <v>0.99667874396135259</v>
      </c>
      <c r="J16" s="361">
        <f t="shared" si="4"/>
        <v>0.99272342995169083</v>
      </c>
      <c r="K16" s="361">
        <f t="shared" si="4"/>
        <v>0.99667874396135259</v>
      </c>
      <c r="L16" s="361">
        <f t="shared" si="4"/>
        <v>0.98903985507246384</v>
      </c>
      <c r="M16" s="361">
        <f t="shared" si="4"/>
        <v>0.98502415458937198</v>
      </c>
      <c r="N16" s="361">
        <f t="shared" si="4"/>
        <v>0.99393115942028987</v>
      </c>
      <c r="O16" s="361">
        <f t="shared" si="4"/>
        <v>0.99184782608695654</v>
      </c>
      <c r="P16" s="361">
        <f t="shared" si="4"/>
        <v>0.99127415458937185</v>
      </c>
      <c r="Q16" s="361">
        <f t="shared" si="4"/>
        <v>0.96319444444444458</v>
      </c>
      <c r="R16" s="361">
        <f t="shared" si="4"/>
        <v>0.30616696859903381</v>
      </c>
      <c r="S16" s="361">
        <f t="shared" si="4"/>
        <v>0.99664855072463765</v>
      </c>
      <c r="T16" s="361">
        <f t="shared" si="4"/>
        <v>0.99664855072463765</v>
      </c>
      <c r="U16" s="361">
        <f t="shared" si="4"/>
        <v>0.9940217391304349</v>
      </c>
      <c r="V16" s="361">
        <f t="shared" si="4"/>
        <v>0.99852053140096608</v>
      </c>
      <c r="W16" s="361">
        <f t="shared" si="4"/>
        <v>0.9772342995169081</v>
      </c>
      <c r="X16" s="361">
        <f t="shared" si="4"/>
        <v>0.99387077294685988</v>
      </c>
      <c r="Y16" s="361">
        <f t="shared" si="4"/>
        <v>0.99852053140096608</v>
      </c>
      <c r="Z16" s="361">
        <f t="shared" si="4"/>
        <v>0.99405193236714984</v>
      </c>
      <c r="AA16" s="361">
        <f t="shared" si="4"/>
        <v>0.98952294685990339</v>
      </c>
      <c r="AB16" s="361">
        <f t="shared" si="4"/>
        <v>0.98586956521739144</v>
      </c>
      <c r="AC16" s="361">
        <f t="shared" si="4"/>
        <v>-1.4678945249596773E-3</v>
      </c>
      <c r="AD16" s="361">
        <f t="shared" si="4"/>
        <v>0.99852053140096608</v>
      </c>
      <c r="AE16" s="361">
        <f t="shared" si="4"/>
        <v>0.15571608293075695</v>
      </c>
      <c r="AF16" s="361">
        <f t="shared" si="4"/>
        <v>0.973762077294686</v>
      </c>
      <c r="AG16" s="361">
        <f t="shared" si="4"/>
        <v>0.98780193236714975</v>
      </c>
      <c r="AH16" s="361">
        <f t="shared" si="4"/>
        <v>1</v>
      </c>
      <c r="AI16" s="361">
        <f t="shared" si="4"/>
        <v>0.99510869565217386</v>
      </c>
      <c r="AJ16" s="361">
        <f t="shared" si="4"/>
        <v>0.98946256038647329</v>
      </c>
      <c r="AK16" s="361">
        <f t="shared" si="4"/>
        <v>1</v>
      </c>
      <c r="AL16" s="361">
        <f t="shared" si="4"/>
        <v>1</v>
      </c>
      <c r="AM16" s="361">
        <f t="shared" si="4"/>
        <v>1</v>
      </c>
      <c r="AN16" s="361">
        <f t="shared" si="4"/>
        <v>0.99842995169082127</v>
      </c>
    </row>
    <row r="17" spans="1:40" ht="14.45" hidden="1" customHeight="1">
      <c r="A17" s="362" t="s">
        <v>166</v>
      </c>
      <c r="B17" s="363">
        <f>SUMIFS(WTG_BD!$T:$T,WTG_BD!$F:$F,"&gt;="&amp;Analytices!$B$2,WTG_BD!$F:$F,"&lt;="&amp;Analytices!$B$3,WTG_BD!$G:$G,B4,WTG_BD!$M:$M,'Basic Data'!$N$10)</f>
        <v>12.399999999999999</v>
      </c>
      <c r="C17" s="363">
        <f>SUMIFS(WTG_BD!$T:$T,WTG_BD!$F:$F,"&gt;="&amp;Analytices!$B$2,WTG_BD!$F:$F,"&lt;="&amp;Analytices!$B$3,WTG_BD!$G:$G,C4,WTG_BD!$M:$M,'Basic Data'!$N$10)</f>
        <v>1.7333333333333325</v>
      </c>
      <c r="D17" s="363">
        <f>SUMIFS(WTG_BD!$T:$T,WTG_BD!$F:$F,"&gt;="&amp;Analytices!$B$2,WTG_BD!$F:$F,"&lt;="&amp;Analytices!$B$3,WTG_BD!$G:$G,D4,WTG_BD!$M:$M,'Basic Data'!$N$10)</f>
        <v>0</v>
      </c>
      <c r="E17" s="363">
        <f>SUMIFS(WTG_BD!$T:$T,WTG_BD!$F:$F,"&gt;="&amp;Analytices!$B$2,WTG_BD!$F:$F,"&lt;="&amp;Analytices!$B$3,WTG_BD!$G:$G,E4,WTG_BD!$M:$M,'Basic Data'!$N$10)</f>
        <v>14.466666666666665</v>
      </c>
      <c r="F17" s="363">
        <f>SUMIFS(WTG_BD!$T:$T,WTG_BD!$F:$F,"&gt;="&amp;Analytices!$B$2,WTG_BD!$F:$F,"&lt;="&amp;Analytices!$B$3,WTG_BD!$G:$G,F4,WTG_BD!$M:$M,'Basic Data'!$N$10)</f>
        <v>0.58333333333333393</v>
      </c>
      <c r="G17" s="363">
        <f>SUMIFS(WTG_BD!$T:$T,WTG_BD!$F:$F,"&gt;="&amp;Analytices!$B$2,WTG_BD!$F:$F,"&lt;="&amp;Analytices!$B$3,WTG_BD!$G:$G,G4,WTG_BD!$M:$M,'Basic Data'!$N$10)</f>
        <v>3.7166666666666641</v>
      </c>
      <c r="H17" s="363">
        <f>SUMIFS(WTG_BD!$T:$T,WTG_BD!$F:$F,"&gt;="&amp;Analytices!$B$2,WTG_BD!$F:$F,"&lt;="&amp;Analytices!$B$3,WTG_BD!$G:$G,H4,WTG_BD!$M:$M,'Basic Data'!$N$10)</f>
        <v>0</v>
      </c>
      <c r="I17" s="363">
        <f>SUMIFS(WTG_BD!$T:$T,WTG_BD!$F:$F,"&gt;="&amp;Analytices!$B$2,WTG_BD!$F:$F,"&lt;="&amp;Analytices!$B$3,WTG_BD!$G:$G,I4,WTG_BD!$M:$M,'Basic Data'!$N$10)</f>
        <v>0</v>
      </c>
      <c r="J17" s="363">
        <f>SUMIFS(WTG_BD!$T:$T,WTG_BD!$F:$F,"&gt;="&amp;Analytices!$B$2,WTG_BD!$F:$F,"&lt;="&amp;Analytices!$B$3,WTG_BD!$G:$G,J4,WTG_BD!$M:$M,'Basic Data'!$N$10)</f>
        <v>2.166666666666667</v>
      </c>
      <c r="K17" s="363">
        <f>SUMIFS(WTG_BD!$T:$T,WTG_BD!$F:$F,"&gt;="&amp;Analytices!$B$2,WTG_BD!$F:$F,"&lt;="&amp;Analytices!$B$3,WTG_BD!$G:$G,K4,WTG_BD!$M:$M,'Basic Data'!$N$10)</f>
        <v>0</v>
      </c>
      <c r="L17" s="363">
        <f>SUMIFS(WTG_BD!$T:$T,WTG_BD!$F:$F,"&gt;="&amp;Analytices!$B$2,WTG_BD!$F:$F,"&lt;="&amp;Analytices!$B$3,WTG_BD!$G:$G,L4,WTG_BD!$M:$M,'Basic Data'!$N$10)</f>
        <v>4.2166666666666668</v>
      </c>
      <c r="M17" s="363">
        <f>SUMIFS(WTG_BD!$T:$T,WTG_BD!$F:$F,"&gt;="&amp;Analytices!$B$2,WTG_BD!$F:$F,"&lt;="&amp;Analytices!$B$3,WTG_BD!$G:$G,M4,WTG_BD!$M:$M,'Basic Data'!$N$10)</f>
        <v>6.4166666666666714</v>
      </c>
      <c r="N17" s="363">
        <f>SUMIFS(WTG_BD!$T:$T,WTG_BD!$F:$F,"&gt;="&amp;Analytices!$B$2,WTG_BD!$F:$F,"&lt;="&amp;Analytices!$B$3,WTG_BD!$G:$G,N4,WTG_BD!$M:$M,'Basic Data'!$N$10)</f>
        <v>1.5</v>
      </c>
      <c r="O17" s="363">
        <f>SUMIFS(WTG_BD!$T:$T,WTG_BD!$F:$F,"&gt;="&amp;Analytices!$B$2,WTG_BD!$F:$F,"&lt;="&amp;Analytices!$B$3,WTG_BD!$G:$G,O4,WTG_BD!$M:$M,'Basic Data'!$N$10)</f>
        <v>2.6499999999999986</v>
      </c>
      <c r="P17" s="363">
        <f>SUMIFS(WTG_BD!$T:$T,WTG_BD!$F:$F,"&gt;="&amp;Analytices!$B$2,WTG_BD!$F:$F,"&lt;="&amp;Analytices!$B$3,WTG_BD!$G:$G,P4,WTG_BD!$M:$M,'Basic Data'!$N$10)</f>
        <v>0</v>
      </c>
      <c r="Q17" s="363">
        <f>SUMIFS(WTG_BD!$T:$T,WTG_BD!$F:$F,"&gt;="&amp;Analytices!$B$2,WTG_BD!$F:$F,"&lt;="&amp;Analytices!$B$3,WTG_BD!$G:$G,Q4,WTG_BD!$M:$M,'Basic Data'!$N$10)</f>
        <v>15.86666666666666</v>
      </c>
      <c r="R17" s="363">
        <f>SUMIFS(WTG_BD!$T:$T,WTG_BD!$F:$F,"&gt;="&amp;Analytices!$B$2,WTG_BD!$F:$F,"&lt;="&amp;Analytices!$B$3,WTG_BD!$G:$G,R4,WTG_BD!$M:$M,'Basic Data'!$N$10)</f>
        <v>381.14583333333331</v>
      </c>
      <c r="S17" s="363">
        <f>SUMIFS(WTG_BD!$T:$T,WTG_BD!$F:$F,"&gt;="&amp;Analytices!$B$2,WTG_BD!$F:$F,"&lt;="&amp;Analytices!$B$3,WTG_BD!$G:$G,S4,WTG_BD!$M:$M,'Basic Data'!$N$10)</f>
        <v>0</v>
      </c>
      <c r="T17" s="363">
        <f>SUMIFS(WTG_BD!$T:$T,WTG_BD!$F:$F,"&gt;="&amp;Analytices!$B$2,WTG_BD!$F:$F,"&lt;="&amp;Analytices!$B$3,WTG_BD!$G:$G,T4,WTG_BD!$M:$M,'Basic Data'!$N$10)</f>
        <v>0</v>
      </c>
      <c r="U17" s="363">
        <f>SUMIFS(WTG_BD!$T:$T,WTG_BD!$F:$F,"&gt;="&amp;Analytices!$B$2,WTG_BD!$F:$F,"&lt;="&amp;Analytices!$B$3,WTG_BD!$G:$G,U4,WTG_BD!$M:$M,'Basic Data'!$N$10)</f>
        <v>1.4500000000000002</v>
      </c>
      <c r="V17" s="363">
        <f>SUMIFS(WTG_BD!$T:$T,WTG_BD!$F:$F,"&gt;="&amp;Analytices!$B$2,WTG_BD!$F:$F,"&lt;="&amp;Analytices!$B$3,WTG_BD!$G:$G,V4,WTG_BD!$M:$M,'Basic Data'!$N$10)</f>
        <v>0</v>
      </c>
      <c r="W17" s="363">
        <f>SUMIFS(WTG_BD!$T:$T,WTG_BD!$F:$F,"&gt;="&amp;Analytices!$B$2,WTG_BD!$F:$F,"&lt;="&amp;Analytices!$B$3,WTG_BD!$G:$G,W4,WTG_BD!$M:$M,'Basic Data'!$N$10)</f>
        <v>8.2666666666666657</v>
      </c>
      <c r="X17" s="363">
        <f>SUMIFS(WTG_BD!$T:$T,WTG_BD!$F:$F,"&gt;="&amp;Analytices!$B$2,WTG_BD!$F:$F,"&lt;="&amp;Analytices!$B$3,WTG_BD!$G:$G,X4,WTG_BD!$M:$M,'Basic Data'!$N$10)</f>
        <v>2.5666666666666655</v>
      </c>
      <c r="Y17" s="363">
        <f>SUMIFS(WTG_BD!$T:$T,WTG_BD!$F:$F,"&gt;="&amp;Analytices!$B$2,WTG_BD!$F:$F,"&lt;="&amp;Analytices!$B$3,WTG_BD!$G:$G,Y4,WTG_BD!$M:$M,'Basic Data'!$N$10)</f>
        <v>0</v>
      </c>
      <c r="Z17" s="363">
        <f>SUMIFS(WTG_BD!$T:$T,WTG_BD!$F:$F,"&gt;="&amp;Analytices!$B$2,WTG_BD!$F:$F,"&lt;="&amp;Analytices!$B$3,WTG_BD!$G:$G,Z4,WTG_BD!$M:$M,'Basic Data'!$N$10)</f>
        <v>3.283333333333331</v>
      </c>
      <c r="AA17" s="363">
        <f>SUMIFS(WTG_BD!$T:$T,WTG_BD!$F:$F,"&gt;="&amp;Analytices!$B$2,WTG_BD!$F:$F,"&lt;="&amp;Analytices!$B$3,WTG_BD!$G:$G,AA4,WTG_BD!$M:$M,'Basic Data'!$N$10)</f>
        <v>0</v>
      </c>
      <c r="AB17" s="363">
        <f>SUMIFS(WTG_BD!$T:$T,WTG_BD!$F:$F,"&gt;="&amp;Analytices!$B$2,WTG_BD!$F:$F,"&lt;="&amp;Analytices!$B$3,WTG_BD!$G:$G,AB4,WTG_BD!$M:$M,'Basic Data'!$N$10)</f>
        <v>6.9833333333333325</v>
      </c>
      <c r="AC17" s="363">
        <f>SUMIFS(WTG_BD!$T:$T,WTG_BD!$F:$F,"&gt;="&amp;Analytices!$B$2,WTG_BD!$F:$F,"&lt;="&amp;Analytices!$B$3,WTG_BD!$G:$G,AC4,WTG_BD!$M:$M,'Basic Data'!$N$10)</f>
        <v>0</v>
      </c>
      <c r="AD17" s="363">
        <f>SUMIFS(WTG_BD!$T:$T,WTG_BD!$F:$F,"&gt;="&amp;Analytices!$B$2,WTG_BD!$F:$F,"&lt;="&amp;Analytices!$B$3,WTG_BD!$G:$G,AD4,WTG_BD!$M:$M,'Basic Data'!$N$10)</f>
        <v>0</v>
      </c>
      <c r="AE17" s="363">
        <f>SUMIFS(WTG_BD!$T:$T,WTG_BD!$F:$F,"&gt;="&amp;Analytices!$B$2,WTG_BD!$F:$F,"&lt;="&amp;Analytices!$B$3,WTG_BD!$G:$G,AE4,WTG_BD!$M:$M,'Basic Data'!$N$10)</f>
        <v>218.4308333333334</v>
      </c>
      <c r="AF17" s="363">
        <f>SUMIFS(WTG_BD!$T:$T,WTG_BD!$F:$F,"&gt;="&amp;Analytices!$B$2,WTG_BD!$F:$F,"&lt;="&amp;Analytices!$B$3,WTG_BD!$G:$G,AF4,WTG_BD!$M:$M,'Basic Data'!$N$10)</f>
        <v>14.483333333333329</v>
      </c>
      <c r="AG17" s="363">
        <f>SUMIFS(WTG_BD!$T:$T,WTG_BD!$F:$F,"&gt;="&amp;Analytices!$B$2,WTG_BD!$F:$F,"&lt;="&amp;Analytices!$B$3,WTG_BD!$G:$G,AG4,WTG_BD!$M:$M,'Basic Data'!$N$10)</f>
        <v>0.61666666666666448</v>
      </c>
      <c r="AH17" s="363">
        <f>SUMIFS(WTG_BD!$T:$T,WTG_BD!$F:$F,"&gt;="&amp;Analytices!$B$2,WTG_BD!$F:$F,"&lt;="&amp;Analytices!$B$3,WTG_BD!$G:$G,AH4,WTG_BD!$M:$M,'Basic Data'!$N$10)</f>
        <v>0</v>
      </c>
      <c r="AI17" s="363">
        <f>SUMIFS(WTG_BD!$T:$T,WTG_BD!$F:$F,"&gt;="&amp;Analytices!$B$2,WTG_BD!$F:$F,"&lt;="&amp;Analytices!$B$3,WTG_BD!$G:$G,AI4,WTG_BD!$M:$M,'Basic Data'!$N$10)</f>
        <v>2.6999999999999984</v>
      </c>
      <c r="AJ17" s="363">
        <f>SUMIFS(WTG_BD!$T:$T,WTG_BD!$F:$F,"&gt;="&amp;Analytices!$B$2,WTG_BD!$F:$F,"&lt;="&amp;Analytices!$B$3,WTG_BD!$G:$G,AJ4,WTG_BD!$M:$M,'Basic Data'!$N$10)</f>
        <v>2.4499999999999993</v>
      </c>
      <c r="AK17" s="363">
        <f>SUMIFS(WTG_BD!$T:$T,WTG_BD!$F:$F,"&gt;="&amp;Analytices!$B$2,WTG_BD!$F:$F,"&lt;="&amp;Analytices!$B$3,WTG_BD!$G:$G,AK4,WTG_BD!$M:$M,'Basic Data'!$N$10)</f>
        <v>0</v>
      </c>
      <c r="AL17" s="363">
        <f>SUMIFS(WTG_BD!$T:$T,WTG_BD!$F:$F,"&gt;="&amp;Analytices!$B$2,WTG_BD!$F:$F,"&lt;="&amp;Analytices!$B$3,WTG_BD!$G:$G,AL4,WTG_BD!$M:$M,'Basic Data'!$N$10)</f>
        <v>0</v>
      </c>
      <c r="AM17" s="363">
        <f>SUMIFS(WTG_BD!$T:$T,WTG_BD!$F:$F,"&gt;="&amp;Analytices!$B$2,WTG_BD!$F:$F,"&lt;="&amp;Analytices!$B$3,WTG_BD!$G:$G,AM4,WTG_BD!$M:$M,'Basic Data'!$N$10)</f>
        <v>0</v>
      </c>
      <c r="AN17" s="363">
        <f>SUMIFS(WTG_BD!$T:$T,WTG_BD!$F:$F,"&gt;="&amp;Analytices!$B$2,WTG_BD!$F:$F,"&lt;="&amp;Analytices!$B$3,WTG_BD!$G:$G,AN4,WTG_BD!$M:$M,'Basic Data'!$N$10)</f>
        <v>0.86666666666666625</v>
      </c>
    </row>
    <row r="18" spans="1:40" ht="14.45" hidden="1" customHeight="1">
      <c r="A18" s="362" t="s">
        <v>167</v>
      </c>
      <c r="B18" s="363">
        <f>COUNTIFS(WTG_BD!$F:$F,"&gt;="&amp;Analytices!$B$2,WTG_BD!$F:$F,"&lt;="&amp;Analytices!$B$3,WTG_BD!$G:$G,B4,WTG_BD!$M:$M,'Basic Data'!$N$10)</f>
        <v>7</v>
      </c>
      <c r="C18" s="363">
        <f>COUNTIFS(WTG_BD!$F:$F,"&gt;="&amp;Analytices!$B$2,WTG_BD!$F:$F,"&lt;="&amp;Analytices!$B$3,WTG_BD!$G:$G,C4,WTG_BD!$M:$M,'Basic Data'!$N$10)</f>
        <v>1</v>
      </c>
      <c r="D18" s="363">
        <f>COUNTIFS(WTG_BD!$F:$F,"&gt;="&amp;Analytices!$B$2,WTG_BD!$F:$F,"&lt;="&amp;Analytices!$B$3,WTG_BD!$G:$G,D4,WTG_BD!$M:$M,'Basic Data'!$N$10)</f>
        <v>0</v>
      </c>
      <c r="E18" s="363">
        <f>COUNTIFS(WTG_BD!$F:$F,"&gt;="&amp;Analytices!$B$2,WTG_BD!$F:$F,"&lt;="&amp;Analytices!$B$3,WTG_BD!$G:$G,E4,WTG_BD!$M:$M,'Basic Data'!$N$10)</f>
        <v>5</v>
      </c>
      <c r="F18" s="363">
        <f>COUNTIFS(WTG_BD!$F:$F,"&gt;="&amp;Analytices!$B$2,WTG_BD!$F:$F,"&lt;="&amp;Analytices!$B$3,WTG_BD!$G:$G,F4,WTG_BD!$M:$M,'Basic Data'!$N$10)</f>
        <v>1</v>
      </c>
      <c r="G18" s="363">
        <f>COUNTIFS(WTG_BD!$F:$F,"&gt;="&amp;Analytices!$B$2,WTG_BD!$F:$F,"&lt;="&amp;Analytices!$B$3,WTG_BD!$G:$G,G4,WTG_BD!$M:$M,'Basic Data'!$N$10)</f>
        <v>2</v>
      </c>
      <c r="H18" s="363">
        <f>COUNTIFS(WTG_BD!$F:$F,"&gt;="&amp;Analytices!$B$2,WTG_BD!$F:$F,"&lt;="&amp;Analytices!$B$3,WTG_BD!$G:$G,H4,WTG_BD!$M:$M,'Basic Data'!$N$10)</f>
        <v>0</v>
      </c>
      <c r="I18" s="363">
        <f>COUNTIFS(WTG_BD!$F:$F,"&gt;="&amp;Analytices!$B$2,WTG_BD!$F:$F,"&lt;="&amp;Analytices!$B$3,WTG_BD!$G:$G,I4,WTG_BD!$M:$M,'Basic Data'!$N$10)</f>
        <v>0</v>
      </c>
      <c r="J18" s="363">
        <f>COUNTIFS(WTG_BD!$F:$F,"&gt;="&amp;Analytices!$B$2,WTG_BD!$F:$F,"&lt;="&amp;Analytices!$B$3,WTG_BD!$G:$G,J4,WTG_BD!$M:$M,'Basic Data'!$N$10)</f>
        <v>3</v>
      </c>
      <c r="K18" s="363">
        <f>COUNTIFS(WTG_BD!$F:$F,"&gt;="&amp;Analytices!$B$2,WTG_BD!$F:$F,"&lt;="&amp;Analytices!$B$3,WTG_BD!$G:$G,K4,WTG_BD!$M:$M,'Basic Data'!$N$10)</f>
        <v>0</v>
      </c>
      <c r="L18" s="363">
        <f>COUNTIFS(WTG_BD!$F:$F,"&gt;="&amp;Analytices!$B$2,WTG_BD!$F:$F,"&lt;="&amp;Analytices!$B$3,WTG_BD!$G:$G,L4,WTG_BD!$M:$M,'Basic Data'!$N$10)</f>
        <v>4</v>
      </c>
      <c r="M18" s="363">
        <f>COUNTIFS(WTG_BD!$F:$F,"&gt;="&amp;Analytices!$B$2,WTG_BD!$F:$F,"&lt;="&amp;Analytices!$B$3,WTG_BD!$G:$G,M4,WTG_BD!$M:$M,'Basic Data'!$N$10)</f>
        <v>6</v>
      </c>
      <c r="N18" s="363">
        <f>COUNTIFS(WTG_BD!$F:$F,"&gt;="&amp;Analytices!$B$2,WTG_BD!$F:$F,"&lt;="&amp;Analytices!$B$3,WTG_BD!$G:$G,N4,WTG_BD!$M:$M,'Basic Data'!$N$10)</f>
        <v>1</v>
      </c>
      <c r="O18" s="363">
        <f>COUNTIFS(WTG_BD!$F:$F,"&gt;="&amp;Analytices!$B$2,WTG_BD!$F:$F,"&lt;="&amp;Analytices!$B$3,WTG_BD!$G:$G,O4,WTG_BD!$M:$M,'Basic Data'!$N$10)</f>
        <v>1</v>
      </c>
      <c r="P18" s="363">
        <f>COUNTIFS(WTG_BD!$F:$F,"&gt;="&amp;Analytices!$B$2,WTG_BD!$F:$F,"&lt;="&amp;Analytices!$B$3,WTG_BD!$G:$G,P4,WTG_BD!$M:$M,'Basic Data'!$N$10)</f>
        <v>0</v>
      </c>
      <c r="Q18" s="363">
        <f>COUNTIFS(WTG_BD!$F:$F,"&gt;="&amp;Analytices!$B$2,WTG_BD!$F:$F,"&lt;="&amp;Analytices!$B$3,WTG_BD!$G:$G,Q4,WTG_BD!$M:$M,'Basic Data'!$N$10)</f>
        <v>9</v>
      </c>
      <c r="R18" s="363">
        <f>COUNTIFS(WTG_BD!$F:$F,"&gt;="&amp;Analytices!$B$2,WTG_BD!$F:$F,"&lt;="&amp;Analytices!$B$3,WTG_BD!$G:$G,R4,WTG_BD!$M:$M,'Basic Data'!$N$10)</f>
        <v>17</v>
      </c>
      <c r="S18" s="363">
        <f>COUNTIFS(WTG_BD!$F:$F,"&gt;="&amp;Analytices!$B$2,WTG_BD!$F:$F,"&lt;="&amp;Analytices!$B$3,WTG_BD!$G:$G,S4,WTG_BD!$M:$M,'Basic Data'!$N$10)</f>
        <v>0</v>
      </c>
      <c r="T18" s="363">
        <f>COUNTIFS(WTG_BD!$F:$F,"&gt;="&amp;Analytices!$B$2,WTG_BD!$F:$F,"&lt;="&amp;Analytices!$B$3,WTG_BD!$G:$G,T4,WTG_BD!$M:$M,'Basic Data'!$N$10)</f>
        <v>0</v>
      </c>
      <c r="U18" s="363">
        <f>COUNTIFS(WTG_BD!$F:$F,"&gt;="&amp;Analytices!$B$2,WTG_BD!$F:$F,"&lt;="&amp;Analytices!$B$3,WTG_BD!$G:$G,U4,WTG_BD!$M:$M,'Basic Data'!$N$10)</f>
        <v>1</v>
      </c>
      <c r="V18" s="363">
        <f>COUNTIFS(WTG_BD!$F:$F,"&gt;="&amp;Analytices!$B$2,WTG_BD!$F:$F,"&lt;="&amp;Analytices!$B$3,WTG_BD!$G:$G,V4,WTG_BD!$M:$M,'Basic Data'!$N$10)</f>
        <v>0</v>
      </c>
      <c r="W18" s="363">
        <f>COUNTIFS(WTG_BD!$F:$F,"&gt;="&amp;Analytices!$B$2,WTG_BD!$F:$F,"&lt;="&amp;Analytices!$B$3,WTG_BD!$G:$G,W4,WTG_BD!$M:$M,'Basic Data'!$N$10)</f>
        <v>2</v>
      </c>
      <c r="X18" s="363">
        <f>COUNTIFS(WTG_BD!$F:$F,"&gt;="&amp;Analytices!$B$2,WTG_BD!$F:$F,"&lt;="&amp;Analytices!$B$3,WTG_BD!$G:$G,X4,WTG_BD!$M:$M,'Basic Data'!$N$10)</f>
        <v>2</v>
      </c>
      <c r="Y18" s="363">
        <f>COUNTIFS(WTG_BD!$F:$F,"&gt;="&amp;Analytices!$B$2,WTG_BD!$F:$F,"&lt;="&amp;Analytices!$B$3,WTG_BD!$G:$G,Y4,WTG_BD!$M:$M,'Basic Data'!$N$10)</f>
        <v>0</v>
      </c>
      <c r="Z18" s="363">
        <f>COUNTIFS(WTG_BD!$F:$F,"&gt;="&amp;Analytices!$B$2,WTG_BD!$F:$F,"&lt;="&amp;Analytices!$B$3,WTG_BD!$G:$G,Z4,WTG_BD!$M:$M,'Basic Data'!$N$10)</f>
        <v>3</v>
      </c>
      <c r="AA18" s="363">
        <f>COUNTIFS(WTG_BD!$F:$F,"&gt;="&amp;Analytices!$B$2,WTG_BD!$F:$F,"&lt;="&amp;Analytices!$B$3,WTG_BD!$G:$G,AA4,WTG_BD!$M:$M,'Basic Data'!$N$10)</f>
        <v>0</v>
      </c>
      <c r="AB18" s="363">
        <f>COUNTIFS(WTG_BD!$F:$F,"&gt;="&amp;Analytices!$B$2,WTG_BD!$F:$F,"&lt;="&amp;Analytices!$B$3,WTG_BD!$G:$G,AB4,WTG_BD!$M:$M,'Basic Data'!$N$10)</f>
        <v>2</v>
      </c>
      <c r="AC18" s="363">
        <f>COUNTIFS(WTG_BD!$F:$F,"&gt;="&amp;Analytices!$B$2,WTG_BD!$F:$F,"&lt;="&amp;Analytices!$B$3,WTG_BD!$G:$G,AC4,WTG_BD!$M:$M,'Basic Data'!$N$10)</f>
        <v>0</v>
      </c>
      <c r="AD18" s="363">
        <f>COUNTIFS(WTG_BD!$F:$F,"&gt;="&amp;Analytices!$B$2,WTG_BD!$F:$F,"&lt;="&amp;Analytices!$B$3,WTG_BD!$G:$G,AD4,WTG_BD!$M:$M,'Basic Data'!$N$10)</f>
        <v>0</v>
      </c>
      <c r="AE18" s="363">
        <f>COUNTIFS(WTG_BD!$F:$F,"&gt;="&amp;Analytices!$B$2,WTG_BD!$F:$F,"&lt;="&amp;Analytices!$B$3,WTG_BD!$G:$G,AE4,WTG_BD!$M:$M,'Basic Data'!$N$10)</f>
        <v>11</v>
      </c>
      <c r="AF18" s="363">
        <f>COUNTIFS(WTG_BD!$F:$F,"&gt;="&amp;Analytices!$B$2,WTG_BD!$F:$F,"&lt;="&amp;Analytices!$B$3,WTG_BD!$G:$G,AF4,WTG_BD!$M:$M,'Basic Data'!$N$10)</f>
        <v>7</v>
      </c>
      <c r="AG18" s="363">
        <f>COUNTIFS(WTG_BD!$F:$F,"&gt;="&amp;Analytices!$B$2,WTG_BD!$F:$F,"&lt;="&amp;Analytices!$B$3,WTG_BD!$G:$G,AG4,WTG_BD!$M:$M,'Basic Data'!$N$10)</f>
        <v>1</v>
      </c>
      <c r="AH18" s="363">
        <f>COUNTIFS(WTG_BD!$F:$F,"&gt;="&amp;Analytices!$B$2,WTG_BD!$F:$F,"&lt;="&amp;Analytices!$B$3,WTG_BD!$G:$G,AH4,WTG_BD!$M:$M,'Basic Data'!$N$10)</f>
        <v>0</v>
      </c>
      <c r="AI18" s="363">
        <f>COUNTIFS(WTG_BD!$F:$F,"&gt;="&amp;Analytices!$B$2,WTG_BD!$F:$F,"&lt;="&amp;Analytices!$B$3,WTG_BD!$G:$G,AI4,WTG_BD!$M:$M,'Basic Data'!$N$10)</f>
        <v>2</v>
      </c>
      <c r="AJ18" s="363">
        <f>COUNTIFS(WTG_BD!$F:$F,"&gt;="&amp;Analytices!$B$2,WTG_BD!$F:$F,"&lt;="&amp;Analytices!$B$3,WTG_BD!$G:$G,AJ4,WTG_BD!$M:$M,'Basic Data'!$N$10)</f>
        <v>2</v>
      </c>
      <c r="AK18" s="363">
        <f>COUNTIFS(WTG_BD!$F:$F,"&gt;="&amp;Analytices!$B$2,WTG_BD!$F:$F,"&lt;="&amp;Analytices!$B$3,WTG_BD!$G:$G,AK4,WTG_BD!$M:$M,'Basic Data'!$N$10)</f>
        <v>0</v>
      </c>
      <c r="AL18" s="363">
        <f>COUNTIFS(WTG_BD!$F:$F,"&gt;="&amp;Analytices!$B$2,WTG_BD!$F:$F,"&lt;="&amp;Analytices!$B$3,WTG_BD!$G:$G,AL4,WTG_BD!$M:$M,'Basic Data'!$N$10)</f>
        <v>0</v>
      </c>
      <c r="AM18" s="363">
        <f>COUNTIFS(WTG_BD!$F:$F,"&gt;="&amp;Analytices!$B$2,WTG_BD!$F:$F,"&lt;="&amp;Analytices!$B$3,WTG_BD!$G:$G,AM4,WTG_BD!$M:$M,'Basic Data'!$N$10)</f>
        <v>0</v>
      </c>
      <c r="AN18" s="363">
        <f>COUNTIFS(WTG_BD!$F:$F,"&gt;="&amp;Analytices!$B$2,WTG_BD!$F:$F,"&lt;="&amp;Analytices!$B$3,WTG_BD!$G:$G,AN4,WTG_BD!$M:$M,'Basic Data'!$N$10)</f>
        <v>1</v>
      </c>
    </row>
    <row r="19" spans="1:40" ht="29.1" customHeight="1">
      <c r="A19" s="359" t="s">
        <v>168</v>
      </c>
      <c r="B19" s="363">
        <f>IFERROR(B17/B18,0)</f>
        <v>1.7714285714285711</v>
      </c>
      <c r="C19" s="363">
        <f t="shared" ref="C19:AN19" si="5">IFERROR(C17/C18,0)</f>
        <v>1.7333333333333325</v>
      </c>
      <c r="D19" s="363">
        <f t="shared" si="5"/>
        <v>0</v>
      </c>
      <c r="E19" s="363">
        <f t="shared" si="5"/>
        <v>2.8933333333333331</v>
      </c>
      <c r="F19" s="363">
        <f t="shared" si="5"/>
        <v>0.58333333333333393</v>
      </c>
      <c r="G19" s="363">
        <f t="shared" si="5"/>
        <v>1.8583333333333321</v>
      </c>
      <c r="H19" s="363">
        <f t="shared" si="5"/>
        <v>0</v>
      </c>
      <c r="I19" s="363">
        <f t="shared" si="5"/>
        <v>0</v>
      </c>
      <c r="J19" s="363">
        <f t="shared" si="5"/>
        <v>0.72222222222222232</v>
      </c>
      <c r="K19" s="363">
        <f t="shared" si="5"/>
        <v>0</v>
      </c>
      <c r="L19" s="363">
        <f t="shared" si="5"/>
        <v>1.0541666666666667</v>
      </c>
      <c r="M19" s="363">
        <f t="shared" si="5"/>
        <v>1.0694444444444453</v>
      </c>
      <c r="N19" s="363">
        <f t="shared" si="5"/>
        <v>1.5</v>
      </c>
      <c r="O19" s="363">
        <f t="shared" si="5"/>
        <v>2.6499999999999986</v>
      </c>
      <c r="P19" s="363">
        <f t="shared" si="5"/>
        <v>0</v>
      </c>
      <c r="Q19" s="363">
        <f t="shared" si="5"/>
        <v>1.7629629629629622</v>
      </c>
      <c r="R19" s="363">
        <f t="shared" si="5"/>
        <v>22.4203431372549</v>
      </c>
      <c r="S19" s="363">
        <f t="shared" si="5"/>
        <v>0</v>
      </c>
      <c r="T19" s="363">
        <f t="shared" si="5"/>
        <v>0</v>
      </c>
      <c r="U19" s="363">
        <f t="shared" si="5"/>
        <v>1.4500000000000002</v>
      </c>
      <c r="V19" s="363">
        <f t="shared" si="5"/>
        <v>0</v>
      </c>
      <c r="W19" s="363">
        <f t="shared" si="5"/>
        <v>4.1333333333333329</v>
      </c>
      <c r="X19" s="363">
        <f t="shared" si="5"/>
        <v>1.2833333333333328</v>
      </c>
      <c r="Y19" s="363">
        <f t="shared" si="5"/>
        <v>0</v>
      </c>
      <c r="Z19" s="363">
        <f t="shared" si="5"/>
        <v>1.0944444444444437</v>
      </c>
      <c r="AA19" s="363">
        <f t="shared" si="5"/>
        <v>0</v>
      </c>
      <c r="AB19" s="363">
        <f t="shared" si="5"/>
        <v>3.4916666666666663</v>
      </c>
      <c r="AC19" s="363">
        <f t="shared" si="5"/>
        <v>0</v>
      </c>
      <c r="AD19" s="363">
        <f t="shared" si="5"/>
        <v>0</v>
      </c>
      <c r="AE19" s="363">
        <f t="shared" si="5"/>
        <v>19.85734848484849</v>
      </c>
      <c r="AF19" s="363">
        <f t="shared" si="5"/>
        <v>2.0690476190476184</v>
      </c>
      <c r="AG19" s="363">
        <f t="shared" si="5"/>
        <v>0.61666666666666448</v>
      </c>
      <c r="AH19" s="363">
        <f t="shared" si="5"/>
        <v>0</v>
      </c>
      <c r="AI19" s="363">
        <f t="shared" si="5"/>
        <v>1.3499999999999992</v>
      </c>
      <c r="AJ19" s="363">
        <f t="shared" si="5"/>
        <v>1.2249999999999996</v>
      </c>
      <c r="AK19" s="363">
        <f t="shared" si="5"/>
        <v>0</v>
      </c>
      <c r="AL19" s="363">
        <f t="shared" si="5"/>
        <v>0</v>
      </c>
      <c r="AM19" s="363">
        <f t="shared" si="5"/>
        <v>0</v>
      </c>
      <c r="AN19" s="363">
        <f t="shared" si="5"/>
        <v>0.86666666666666625</v>
      </c>
    </row>
    <row r="20" spans="1:40" ht="29.1" customHeight="1">
      <c r="A20" s="359" t="s">
        <v>169</v>
      </c>
      <c r="B20" s="363">
        <f>IFERROR(($C$3-B17)/B18,$C$3)</f>
        <v>77.085714285714289</v>
      </c>
      <c r="C20" s="363">
        <f t="shared" ref="C20:AN20" si="6">IFERROR(($C$3-C17)/C18,$C$3)</f>
        <v>550.26666666666665</v>
      </c>
      <c r="D20" s="363">
        <f t="shared" si="6"/>
        <v>552</v>
      </c>
      <c r="E20" s="363">
        <f t="shared" si="6"/>
        <v>107.50666666666666</v>
      </c>
      <c r="F20" s="363">
        <f t="shared" si="6"/>
        <v>551.41666666666663</v>
      </c>
      <c r="G20" s="363">
        <f t="shared" si="6"/>
        <v>274.14166666666665</v>
      </c>
      <c r="H20" s="363">
        <f t="shared" si="6"/>
        <v>552</v>
      </c>
      <c r="I20" s="363">
        <f t="shared" si="6"/>
        <v>552</v>
      </c>
      <c r="J20" s="363">
        <f t="shared" si="6"/>
        <v>183.2777777777778</v>
      </c>
      <c r="K20" s="363">
        <f t="shared" si="6"/>
        <v>552</v>
      </c>
      <c r="L20" s="363">
        <f t="shared" si="6"/>
        <v>136.94583333333333</v>
      </c>
      <c r="M20" s="363">
        <f t="shared" si="6"/>
        <v>90.930555555555557</v>
      </c>
      <c r="N20" s="363">
        <f t="shared" si="6"/>
        <v>550.5</v>
      </c>
      <c r="O20" s="363">
        <f t="shared" si="6"/>
        <v>549.35</v>
      </c>
      <c r="P20" s="363">
        <f t="shared" si="6"/>
        <v>552</v>
      </c>
      <c r="Q20" s="363">
        <f t="shared" si="6"/>
        <v>59.57037037037037</v>
      </c>
      <c r="R20" s="363">
        <f t="shared" si="6"/>
        <v>10.050245098039216</v>
      </c>
      <c r="S20" s="363">
        <f t="shared" si="6"/>
        <v>552</v>
      </c>
      <c r="T20" s="363">
        <f t="shared" si="6"/>
        <v>552</v>
      </c>
      <c r="U20" s="363">
        <f t="shared" si="6"/>
        <v>550.54999999999995</v>
      </c>
      <c r="V20" s="363">
        <f t="shared" si="6"/>
        <v>552</v>
      </c>
      <c r="W20" s="363">
        <f t="shared" si="6"/>
        <v>271.86666666666667</v>
      </c>
      <c r="X20" s="363">
        <f t="shared" si="6"/>
        <v>274.71666666666664</v>
      </c>
      <c r="Y20" s="363">
        <f t="shared" si="6"/>
        <v>552</v>
      </c>
      <c r="Z20" s="363">
        <f t="shared" si="6"/>
        <v>182.90555555555557</v>
      </c>
      <c r="AA20" s="363">
        <f t="shared" si="6"/>
        <v>552</v>
      </c>
      <c r="AB20" s="363">
        <f t="shared" si="6"/>
        <v>272.50833333333333</v>
      </c>
      <c r="AC20" s="363">
        <f t="shared" si="6"/>
        <v>552</v>
      </c>
      <c r="AD20" s="363">
        <f t="shared" si="6"/>
        <v>552</v>
      </c>
      <c r="AE20" s="363">
        <f t="shared" si="6"/>
        <v>30.32446969696969</v>
      </c>
      <c r="AF20" s="363">
        <f t="shared" si="6"/>
        <v>76.788095238095238</v>
      </c>
      <c r="AG20" s="363">
        <f t="shared" si="6"/>
        <v>551.38333333333333</v>
      </c>
      <c r="AH20" s="363">
        <f t="shared" si="6"/>
        <v>552</v>
      </c>
      <c r="AI20" s="363">
        <f t="shared" si="6"/>
        <v>274.64999999999998</v>
      </c>
      <c r="AJ20" s="363">
        <f t="shared" si="6"/>
        <v>274.77499999999998</v>
      </c>
      <c r="AK20" s="363">
        <f t="shared" si="6"/>
        <v>552</v>
      </c>
      <c r="AL20" s="363">
        <f t="shared" si="6"/>
        <v>552</v>
      </c>
      <c r="AM20" s="363">
        <f t="shared" si="6"/>
        <v>552</v>
      </c>
      <c r="AN20" s="363">
        <f t="shared" si="6"/>
        <v>551.13333333333333</v>
      </c>
    </row>
    <row r="21" spans="1:40" ht="29.1" customHeight="1">
      <c r="A21" s="359" t="s">
        <v>170</v>
      </c>
      <c r="B21" s="363">
        <f>ROUND(AVERAGEIFS(Input_Raw!AS:AS,Input_Raw!$A:$A,"&gt;="&amp;Analytices!$B$2,Input_Raw!$A:$A,"&lt;="&amp;Analytices!$B$3),1)</f>
        <v>5.3</v>
      </c>
      <c r="C21" s="363">
        <f>ROUND(AVERAGEIFS(Input_Raw!AT:AT,Input_Raw!$A:$A,"&gt;="&amp;Analytices!$B$2,Input_Raw!$A:$A,"&lt;="&amp;Analytices!$B$3),1)</f>
        <v>5.3</v>
      </c>
      <c r="D21" s="363">
        <f>ROUND(AVERAGEIFS(Input_Raw!AU:AU,Input_Raw!$A:$A,"&gt;="&amp;Analytices!$B$2,Input_Raw!$A:$A,"&lt;="&amp;Analytices!$B$3),1)</f>
        <v>5.0999999999999996</v>
      </c>
      <c r="E21" s="363">
        <f>ROUND(AVERAGEIFS(Input_Raw!AV:AV,Input_Raw!$A:$A,"&gt;="&amp;Analytices!$B$2,Input_Raw!$A:$A,"&lt;="&amp;Analytices!$B$3),1)</f>
        <v>5.2</v>
      </c>
      <c r="F21" s="363">
        <f>ROUND(AVERAGEIFS(Input_Raw!AW:AW,Input_Raw!$A:$A,"&gt;="&amp;Analytices!$B$2,Input_Raw!$A:$A,"&lt;="&amp;Analytices!$B$3),1)</f>
        <v>5.2</v>
      </c>
      <c r="G21" s="363">
        <f>ROUND(AVERAGEIFS(Input_Raw!AX:AX,Input_Raw!$A:$A,"&gt;="&amp;Analytices!$B$2,Input_Raw!$A:$A,"&lt;="&amp;Analytices!$B$3),1)</f>
        <v>5.3</v>
      </c>
      <c r="H21" s="363">
        <f>ROUND(AVERAGEIFS(Input_Raw!AY:AY,Input_Raw!$A:$A,"&gt;="&amp;Analytices!$B$2,Input_Raw!$A:$A,"&lt;="&amp;Analytices!$B$3),1)</f>
        <v>5</v>
      </c>
      <c r="I21" s="363">
        <f>ROUND(AVERAGEIFS(Input_Raw!AZ:AZ,Input_Raw!$A:$A,"&gt;="&amp;Analytices!$B$2,Input_Raw!$A:$A,"&lt;="&amp;Analytices!$B$3),1)</f>
        <v>5.3</v>
      </c>
      <c r="J21" s="363">
        <f>ROUND(AVERAGEIFS(Input_Raw!BA:BA,Input_Raw!$A:$A,"&gt;="&amp;Analytices!$B$2,Input_Raw!$A:$A,"&lt;="&amp;Analytices!$B$3),1)</f>
        <v>5</v>
      </c>
      <c r="K21" s="363">
        <f>ROUND(AVERAGEIFS(Input_Raw!BB:BB,Input_Raw!$A:$A,"&gt;="&amp;Analytices!$B$2,Input_Raw!$A:$A,"&lt;="&amp;Analytices!$B$3),1)</f>
        <v>5.3</v>
      </c>
      <c r="L21" s="363">
        <f>ROUND(AVERAGEIFS(Input_Raw!BC:BC,Input_Raw!$A:$A,"&gt;="&amp;Analytices!$B$2,Input_Raw!$A:$A,"&lt;="&amp;Analytices!$B$3),1)</f>
        <v>5.4</v>
      </c>
      <c r="M21" s="363">
        <f>ROUND(AVERAGEIFS(Input_Raw!BD:BD,Input_Raw!$A:$A,"&gt;="&amp;Analytices!$B$2,Input_Raw!$A:$A,"&lt;="&amp;Analytices!$B$3),1)</f>
        <v>5.2</v>
      </c>
      <c r="N21" s="363">
        <f>ROUND(AVERAGEIFS(Input_Raw!BE:BE,Input_Raw!$A:$A,"&gt;="&amp;Analytices!$B$2,Input_Raw!$A:$A,"&lt;="&amp;Analytices!$B$3),1)</f>
        <v>5.3</v>
      </c>
      <c r="O21" s="363">
        <f>ROUND(AVERAGEIFS(Input_Raw!BF:BF,Input_Raw!$A:$A,"&gt;="&amp;Analytices!$B$2,Input_Raw!$A:$A,"&lt;="&amp;Analytices!$B$3),1)</f>
        <v>5.4</v>
      </c>
      <c r="P21" s="363">
        <f>ROUND(AVERAGEIFS(Input_Raw!BG:BG,Input_Raw!$A:$A,"&gt;="&amp;Analytices!$B$2,Input_Raw!$A:$A,"&lt;="&amp;Analytices!$B$3),1)</f>
        <v>5.4</v>
      </c>
      <c r="Q21" s="363">
        <f>ROUND(AVERAGEIFS(Input_Raw!BH:BH,Input_Raw!$A:$A,"&gt;="&amp;Analytices!$B$2,Input_Raw!$A:$A,"&lt;="&amp;Analytices!$B$3),1)</f>
        <v>5.2</v>
      </c>
      <c r="R21" s="363">
        <f>ROUND(AVERAGEIFS(Input_Raw!BI:BI,Input_Raw!$A:$A,"&gt;="&amp;Analytices!$B$2,Input_Raw!$A:$A,"&lt;="&amp;Analytices!$B$3),1)</f>
        <v>1.2</v>
      </c>
      <c r="S21" s="363">
        <f>ROUND(AVERAGEIFS(Input_Raw!BJ:BJ,Input_Raw!$A:$A,"&gt;="&amp;Analytices!$B$2,Input_Raw!$A:$A,"&lt;="&amp;Analytices!$B$3),1)</f>
        <v>5.5</v>
      </c>
      <c r="T21" s="363">
        <f>ROUND(AVERAGEIFS(Input_Raw!BK:BK,Input_Raw!$A:$A,"&gt;="&amp;Analytices!$B$2,Input_Raw!$A:$A,"&lt;="&amp;Analytices!$B$3),1)</f>
        <v>5.7</v>
      </c>
      <c r="U21" s="363">
        <f>ROUND(AVERAGEIFS(Input_Raw!BL:BL,Input_Raw!$A:$A,"&gt;="&amp;Analytices!$B$2,Input_Raw!$A:$A,"&lt;="&amp;Analytices!$B$3),1)</f>
        <v>5.5</v>
      </c>
      <c r="V21" s="363">
        <f>ROUND(AVERAGEIFS(Input_Raw!BM:BM,Input_Raw!$A:$A,"&gt;="&amp;Analytices!$B$2,Input_Raw!$A:$A,"&lt;="&amp;Analytices!$B$3),1)</f>
        <v>5.4</v>
      </c>
      <c r="W21" s="363">
        <f>ROUND(AVERAGEIFS(Input_Raw!BN:BN,Input_Raw!$A:$A,"&gt;="&amp;Analytices!$B$2,Input_Raw!$A:$A,"&lt;="&amp;Analytices!$B$3),1)</f>
        <v>5.3</v>
      </c>
      <c r="X21" s="363">
        <f>ROUND(AVERAGEIFS(Input_Raw!BO:BO,Input_Raw!$A:$A,"&gt;="&amp;Analytices!$B$2,Input_Raw!$A:$A,"&lt;="&amp;Analytices!$B$3),1)</f>
        <v>4.5999999999999996</v>
      </c>
      <c r="Y21" s="363">
        <f>ROUND(AVERAGEIFS(Input_Raw!BP:BP,Input_Raw!$A:$A,"&gt;="&amp;Analytices!$B$2,Input_Raw!$A:$A,"&lt;="&amp;Analytices!$B$3),1)</f>
        <v>5.2</v>
      </c>
      <c r="Z21" s="363">
        <f>ROUND(AVERAGEIFS(Input_Raw!BQ:BQ,Input_Raw!$A:$A,"&gt;="&amp;Analytices!$B$2,Input_Raw!$A:$A,"&lt;="&amp;Analytices!$B$3),1)</f>
        <v>5.0999999999999996</v>
      </c>
      <c r="AA21" s="363">
        <f>ROUND(AVERAGEIFS(Input_Raw!BR:BR,Input_Raw!$A:$A,"&gt;="&amp;Analytices!$B$2,Input_Raw!$A:$A,"&lt;="&amp;Analytices!$B$3),1)</f>
        <v>5.0999999999999996</v>
      </c>
      <c r="AB21" s="363">
        <f>ROUND(AVERAGEIFS(Input_Raw!BS:BS,Input_Raw!$A:$A,"&gt;="&amp;Analytices!$B$2,Input_Raw!$A:$A,"&lt;="&amp;Analytices!$B$3),1)</f>
        <v>4.9000000000000004</v>
      </c>
      <c r="AC21" s="363">
        <f>ROUND(AVERAGEIFS(Input_Raw!BT:BT,Input_Raw!$A:$A,"&gt;="&amp;Analytices!$B$2,Input_Raw!$A:$A,"&lt;="&amp;Analytices!$B$3),1)</f>
        <v>0</v>
      </c>
      <c r="AD21" s="363">
        <f>ROUND(AVERAGEIFS(Input_Raw!BU:BU,Input_Raw!$A:$A,"&gt;="&amp;Analytices!$B$2,Input_Raw!$A:$A,"&lt;="&amp;Analytices!$B$3),1)</f>
        <v>5</v>
      </c>
      <c r="AE21" s="363">
        <f>ROUND(AVERAGEIFS(Input_Raw!BV:BV,Input_Raw!$A:$A,"&gt;="&amp;Analytices!$B$2,Input_Raw!$A:$A,"&lt;="&amp;Analytices!$B$3),1)</f>
        <v>0.3</v>
      </c>
      <c r="AF21" s="363">
        <f>ROUND(AVERAGEIFS(Input_Raw!BW:BW,Input_Raw!$A:$A,"&gt;="&amp;Analytices!$B$2,Input_Raw!$A:$A,"&lt;="&amp;Analytices!$B$3),1)</f>
        <v>5</v>
      </c>
      <c r="AG21" s="363">
        <f>ROUND(AVERAGEIFS(Input_Raw!BX:BX,Input_Raw!$A:$A,"&gt;="&amp;Analytices!$B$2,Input_Raw!$A:$A,"&lt;="&amp;Analytices!$B$3),1)</f>
        <v>5.0999999999999996</v>
      </c>
      <c r="AH21" s="363">
        <f>ROUND(AVERAGEIFS(Input_Raw!BY:BY,Input_Raw!$A:$A,"&gt;="&amp;Analytices!$B$2,Input_Raw!$A:$A,"&lt;="&amp;Analytices!$B$3),1)</f>
        <v>5.3</v>
      </c>
      <c r="AI21" s="363">
        <f>ROUND(AVERAGEIFS(Input_Raw!BZ:BZ,Input_Raw!$A:$A,"&gt;="&amp;Analytices!$B$2,Input_Raw!$A:$A,"&lt;="&amp;Analytices!$B$3),1)</f>
        <v>5.3</v>
      </c>
      <c r="AJ21" s="363">
        <f>ROUND(AVERAGEIFS(Input_Raw!CA:CA,Input_Raw!$A:$A,"&gt;="&amp;Analytices!$B$2,Input_Raw!$A:$A,"&lt;="&amp;Analytices!$B$3),1)</f>
        <v>5.2</v>
      </c>
      <c r="AK21" s="363">
        <f>ROUND(AVERAGEIFS(Input_Raw!CB:CB,Input_Raw!$A:$A,"&gt;="&amp;Analytices!$B$2,Input_Raw!$A:$A,"&lt;="&amp;Analytices!$B$3),1)</f>
        <v>5.3</v>
      </c>
      <c r="AL21" s="363">
        <f>ROUND(AVERAGEIFS(Input_Raw!CC:CC,Input_Raw!$A:$A,"&gt;="&amp;Analytices!$B$2,Input_Raw!$A:$A,"&lt;="&amp;Analytices!$B$3),1)</f>
        <v>5</v>
      </c>
      <c r="AM21" s="363">
        <f>ROUND(AVERAGEIFS(Input_Raw!CD:CD,Input_Raw!$A:$A,"&gt;="&amp;Analytices!$B$2,Input_Raw!$A:$A,"&lt;="&amp;Analytices!$B$3),1)</f>
        <v>4.9000000000000004</v>
      </c>
      <c r="AN21" s="363">
        <f>ROUND(AVERAGEIFS(Input_Raw!CE:CE,Input_Raw!$A:$A,"&gt;="&amp;Analytices!$B$2,Input_Raw!$A:$A,"&lt;="&amp;Analytices!$B$3),1)</f>
        <v>5.0999999999999996</v>
      </c>
    </row>
    <row r="22" spans="1:40" ht="29.1" customHeight="1">
      <c r="A22" s="367"/>
    </row>
    <row r="23" spans="1:40" ht="29.1" customHeight="1">
      <c r="A23" s="398" t="s">
        <v>171</v>
      </c>
      <c r="B23" s="398"/>
      <c r="C23" s="398"/>
      <c r="D23" s="398"/>
      <c r="E23" s="398"/>
      <c r="F23" s="398"/>
      <c r="G23" s="398"/>
    </row>
    <row r="24" spans="1:40" ht="29.1" customHeight="1">
      <c r="A24" s="368">
        <v>45017</v>
      </c>
    </row>
    <row r="25" spans="1:40" ht="29.1" customHeight="1">
      <c r="D25" s="396" t="s">
        <v>172</v>
      </c>
      <c r="E25" s="396"/>
      <c r="F25" s="396" t="s">
        <v>173</v>
      </c>
      <c r="G25" s="396"/>
    </row>
    <row r="26" spans="1:40" ht="29.1" customHeight="1">
      <c r="D26" s="396">
        <f ca="1">F26</f>
        <v>20256</v>
      </c>
      <c r="E26" s="396"/>
      <c r="F26" s="397">
        <f ca="1">((TODAY()-1)-(A24))*24</f>
        <v>20256</v>
      </c>
      <c r="G26" s="397"/>
    </row>
    <row r="27" spans="1:40" ht="29.1" customHeight="1">
      <c r="A27" s="369" t="s">
        <v>174</v>
      </c>
      <c r="B27" s="84" t="s">
        <v>175</v>
      </c>
    </row>
    <row r="29" spans="1:40" ht="29.1" customHeight="1">
      <c r="A29" s="369" t="s">
        <v>176</v>
      </c>
      <c r="B29" s="84" t="s">
        <v>177</v>
      </c>
      <c r="C29" s="84" t="s">
        <v>178</v>
      </c>
      <c r="D29" s="84" t="s">
        <v>179</v>
      </c>
      <c r="E29" s="84" t="s">
        <v>180</v>
      </c>
    </row>
    <row r="30" spans="1:40" ht="29.1" customHeight="1">
      <c r="A30" s="98" t="s">
        <v>181</v>
      </c>
      <c r="B30" s="370">
        <v>0.21666666666666856</v>
      </c>
      <c r="C30" s="370">
        <v>1</v>
      </c>
      <c r="D30" s="363">
        <f>B30/C30</f>
        <v>0.21666666666666856</v>
      </c>
      <c r="E30" s="363">
        <f ca="1">$D$26/C30</f>
        <v>20256</v>
      </c>
    </row>
    <row r="31" spans="1:40" ht="29.1" customHeight="1">
      <c r="A31" s="98" t="s">
        <v>182</v>
      </c>
      <c r="B31" s="370">
        <v>9.3333333333333357</v>
      </c>
      <c r="C31" s="370">
        <v>2</v>
      </c>
      <c r="D31" s="363">
        <f t="shared" ref="D31:D94" si="7">B31/C31</f>
        <v>4.6666666666666679</v>
      </c>
      <c r="E31" s="363">
        <f t="shared" ref="E31:E94" ca="1" si="8">$D$26/C31</f>
        <v>10128</v>
      </c>
    </row>
    <row r="32" spans="1:40" ht="29.1" customHeight="1">
      <c r="A32" s="98" t="s">
        <v>183</v>
      </c>
      <c r="B32" s="370">
        <v>6.0666666666666691</v>
      </c>
      <c r="C32" s="370">
        <v>2</v>
      </c>
      <c r="D32" s="363">
        <f t="shared" si="7"/>
        <v>3.0333333333333345</v>
      </c>
      <c r="E32" s="363">
        <f t="shared" ca="1" si="8"/>
        <v>10128</v>
      </c>
    </row>
    <row r="33" spans="1:5" ht="29.1" customHeight="1">
      <c r="A33" s="98" t="s">
        <v>184</v>
      </c>
      <c r="B33" s="370">
        <v>33.93333333333333</v>
      </c>
      <c r="C33" s="370">
        <v>20</v>
      </c>
      <c r="D33" s="363">
        <f t="shared" si="7"/>
        <v>1.6966666666666665</v>
      </c>
      <c r="E33" s="363">
        <f t="shared" ca="1" si="8"/>
        <v>1012.8</v>
      </c>
    </row>
    <row r="34" spans="1:5" ht="29.1" customHeight="1">
      <c r="A34" s="98" t="s">
        <v>185</v>
      </c>
      <c r="B34" s="370">
        <v>14.616666666666678</v>
      </c>
      <c r="C34" s="370">
        <v>7</v>
      </c>
      <c r="D34" s="363">
        <f t="shared" si="7"/>
        <v>2.0880952380952396</v>
      </c>
      <c r="E34" s="363">
        <f t="shared" ca="1" si="8"/>
        <v>2893.7142857142858</v>
      </c>
    </row>
    <row r="35" spans="1:5" ht="29.1" customHeight="1">
      <c r="A35" s="98" t="s">
        <v>186</v>
      </c>
      <c r="B35" s="370">
        <v>22.416666666666664</v>
      </c>
      <c r="C35" s="370">
        <v>6</v>
      </c>
      <c r="D35" s="363">
        <f t="shared" si="7"/>
        <v>3.7361111111111107</v>
      </c>
      <c r="E35" s="363">
        <f t="shared" ca="1" si="8"/>
        <v>3376</v>
      </c>
    </row>
    <row r="36" spans="1:5" ht="29.1" customHeight="1">
      <c r="A36" s="98" t="s">
        <v>187</v>
      </c>
      <c r="B36" s="370">
        <v>325.73333333333335</v>
      </c>
      <c r="C36" s="370">
        <v>93</v>
      </c>
      <c r="D36" s="363">
        <f t="shared" si="7"/>
        <v>3.5025089605734769</v>
      </c>
      <c r="E36" s="363">
        <f t="shared" ca="1" si="8"/>
        <v>217.80645161290323</v>
      </c>
    </row>
    <row r="37" spans="1:5" ht="29.1" customHeight="1">
      <c r="A37" s="98" t="s">
        <v>188</v>
      </c>
      <c r="B37" s="370">
        <v>31.283333333333331</v>
      </c>
      <c r="C37" s="370">
        <v>12</v>
      </c>
      <c r="D37" s="363">
        <f t="shared" si="7"/>
        <v>2.6069444444444443</v>
      </c>
      <c r="E37" s="363">
        <f t="shared" ca="1" si="8"/>
        <v>1688</v>
      </c>
    </row>
    <row r="38" spans="1:5" ht="29.1" customHeight="1">
      <c r="A38" s="98" t="s">
        <v>189</v>
      </c>
      <c r="B38" s="370">
        <v>30.949999999999996</v>
      </c>
      <c r="C38" s="370">
        <v>19</v>
      </c>
      <c r="D38" s="363">
        <f t="shared" si="7"/>
        <v>1.6289473684210525</v>
      </c>
      <c r="E38" s="363">
        <f t="shared" ca="1" si="8"/>
        <v>1066.1052631578948</v>
      </c>
    </row>
    <row r="39" spans="1:5" ht="29.1" customHeight="1">
      <c r="A39" s="98" t="s">
        <v>190</v>
      </c>
      <c r="B39" s="370">
        <v>72.816666666666649</v>
      </c>
      <c r="C39" s="370">
        <v>10</v>
      </c>
      <c r="D39" s="363">
        <f t="shared" si="7"/>
        <v>7.2816666666666645</v>
      </c>
      <c r="E39" s="363">
        <f t="shared" ca="1" si="8"/>
        <v>2025.6</v>
      </c>
    </row>
    <row r="40" spans="1:5" ht="29.1" customHeight="1">
      <c r="A40" s="98" t="s">
        <v>191</v>
      </c>
      <c r="B40" s="370">
        <v>5.1666666666666679</v>
      </c>
      <c r="C40" s="370">
        <v>1</v>
      </c>
      <c r="D40" s="363">
        <f t="shared" si="7"/>
        <v>5.1666666666666679</v>
      </c>
      <c r="E40" s="363">
        <f t="shared" ca="1" si="8"/>
        <v>20256</v>
      </c>
    </row>
    <row r="41" spans="1:5" ht="29.1" customHeight="1">
      <c r="A41" s="98" t="s">
        <v>192</v>
      </c>
      <c r="B41" s="370">
        <v>13.316666666666663</v>
      </c>
      <c r="C41" s="370">
        <v>5</v>
      </c>
      <c r="D41" s="363">
        <f t="shared" si="7"/>
        <v>2.6633333333333327</v>
      </c>
      <c r="E41" s="363">
        <f t="shared" ca="1" si="8"/>
        <v>4051.2</v>
      </c>
    </row>
    <row r="42" spans="1:5" ht="29.1" customHeight="1">
      <c r="A42" s="98" t="s">
        <v>193</v>
      </c>
      <c r="B42" s="370">
        <v>0.41666666666666785</v>
      </c>
      <c r="C42" s="370">
        <v>1</v>
      </c>
      <c r="D42" s="363">
        <f t="shared" si="7"/>
        <v>0.41666666666666785</v>
      </c>
      <c r="E42" s="363">
        <f t="shared" ca="1" si="8"/>
        <v>20256</v>
      </c>
    </row>
    <row r="43" spans="1:5" ht="29.1" customHeight="1">
      <c r="A43" s="98" t="s">
        <v>194</v>
      </c>
      <c r="B43" s="370">
        <v>0.33333333333333215</v>
      </c>
      <c r="C43" s="370">
        <v>2</v>
      </c>
      <c r="D43" s="363">
        <f t="shared" si="7"/>
        <v>0.16666666666666607</v>
      </c>
      <c r="E43" s="363">
        <f t="shared" ca="1" si="8"/>
        <v>10128</v>
      </c>
    </row>
    <row r="44" spans="1:5" ht="29.1" customHeight="1">
      <c r="A44" s="98" t="s">
        <v>195</v>
      </c>
      <c r="B44" s="370">
        <v>40.266666666666673</v>
      </c>
      <c r="C44" s="370">
        <v>13</v>
      </c>
      <c r="D44" s="363">
        <f t="shared" si="7"/>
        <v>3.097435897435898</v>
      </c>
      <c r="E44" s="363">
        <f t="shared" ca="1" si="8"/>
        <v>1558.1538461538462</v>
      </c>
    </row>
    <row r="45" spans="1:5" ht="29.1" customHeight="1">
      <c r="A45" s="98" t="s">
        <v>196</v>
      </c>
      <c r="B45" s="370">
        <v>9.9666666666666615</v>
      </c>
      <c r="C45" s="370">
        <v>7</v>
      </c>
      <c r="D45" s="363">
        <f t="shared" si="7"/>
        <v>1.423809523809523</v>
      </c>
      <c r="E45" s="363">
        <f t="shared" ca="1" si="8"/>
        <v>2893.7142857142858</v>
      </c>
    </row>
    <row r="46" spans="1:5" ht="29.1" customHeight="1">
      <c r="A46" s="98" t="s">
        <v>197</v>
      </c>
      <c r="B46" s="370">
        <v>45.133333333333333</v>
      </c>
      <c r="C46" s="370">
        <v>18</v>
      </c>
      <c r="D46" s="363">
        <f t="shared" si="7"/>
        <v>2.5074074074074075</v>
      </c>
      <c r="E46" s="363">
        <f t="shared" ca="1" si="8"/>
        <v>1125.3333333333333</v>
      </c>
    </row>
    <row r="47" spans="1:5" ht="29.1" customHeight="1">
      <c r="A47" s="98" t="s">
        <v>198</v>
      </c>
      <c r="B47" s="370">
        <v>1.8999999999999981</v>
      </c>
      <c r="C47" s="370">
        <v>2</v>
      </c>
      <c r="D47" s="363">
        <f t="shared" si="7"/>
        <v>0.94999999999999907</v>
      </c>
      <c r="E47" s="363">
        <f t="shared" ca="1" si="8"/>
        <v>10128</v>
      </c>
    </row>
    <row r="48" spans="1:5" ht="29.1" customHeight="1">
      <c r="A48" s="98" t="s">
        <v>199</v>
      </c>
      <c r="B48" s="370">
        <v>9.9833333333333307</v>
      </c>
      <c r="C48" s="370">
        <v>4</v>
      </c>
      <c r="D48" s="363">
        <f t="shared" si="7"/>
        <v>2.4958333333333327</v>
      </c>
      <c r="E48" s="363">
        <f t="shared" ca="1" si="8"/>
        <v>5064</v>
      </c>
    </row>
    <row r="49" spans="1:5" ht="29.1" customHeight="1">
      <c r="A49" s="98" t="s">
        <v>200</v>
      </c>
      <c r="B49" s="370">
        <v>13.5</v>
      </c>
      <c r="C49" s="370">
        <v>2</v>
      </c>
      <c r="D49" s="363">
        <f t="shared" si="7"/>
        <v>6.75</v>
      </c>
      <c r="E49" s="363">
        <f t="shared" ca="1" si="8"/>
        <v>10128</v>
      </c>
    </row>
    <row r="50" spans="1:5" ht="29.1" customHeight="1">
      <c r="A50" s="98" t="s">
        <v>201</v>
      </c>
      <c r="B50" s="370">
        <v>3.2500000000000018</v>
      </c>
      <c r="C50" s="370">
        <v>2</v>
      </c>
      <c r="D50" s="363">
        <f t="shared" si="7"/>
        <v>1.6250000000000009</v>
      </c>
      <c r="E50" s="363">
        <f t="shared" ca="1" si="8"/>
        <v>10128</v>
      </c>
    </row>
    <row r="51" spans="1:5" ht="29.1" customHeight="1">
      <c r="A51" s="98" t="s">
        <v>202</v>
      </c>
      <c r="B51" s="370">
        <v>14.86666666666666</v>
      </c>
      <c r="C51" s="370">
        <v>4</v>
      </c>
      <c r="D51" s="363">
        <f t="shared" si="7"/>
        <v>3.716666666666665</v>
      </c>
      <c r="E51" s="363">
        <f t="shared" ca="1" si="8"/>
        <v>5064</v>
      </c>
    </row>
    <row r="52" spans="1:5" ht="29.1" customHeight="1">
      <c r="A52" s="98" t="s">
        <v>203</v>
      </c>
      <c r="B52" s="370">
        <v>1.5166666666666666</v>
      </c>
      <c r="C52" s="370">
        <v>1</v>
      </c>
      <c r="D52" s="363">
        <f t="shared" si="7"/>
        <v>1.5166666666666666</v>
      </c>
      <c r="E52" s="363">
        <f t="shared" ca="1" si="8"/>
        <v>20256</v>
      </c>
    </row>
    <row r="53" spans="1:5" ht="29.1" customHeight="1">
      <c r="A53" s="98" t="s">
        <v>204</v>
      </c>
      <c r="B53" s="370">
        <v>0.36666666666666803</v>
      </c>
      <c r="C53" s="370">
        <v>1</v>
      </c>
      <c r="D53" s="363">
        <f t="shared" si="7"/>
        <v>0.36666666666666803</v>
      </c>
      <c r="E53" s="363">
        <f t="shared" ca="1" si="8"/>
        <v>20256</v>
      </c>
    </row>
    <row r="54" spans="1:5" ht="29.1" customHeight="1">
      <c r="A54" s="98" t="s">
        <v>205</v>
      </c>
      <c r="B54" s="370">
        <v>7.0833333333333339</v>
      </c>
      <c r="C54" s="370">
        <v>3</v>
      </c>
      <c r="D54" s="363">
        <f t="shared" si="7"/>
        <v>2.3611111111111112</v>
      </c>
      <c r="E54" s="363">
        <f t="shared" ca="1" si="8"/>
        <v>6752</v>
      </c>
    </row>
    <row r="55" spans="1:5" ht="29.1" customHeight="1">
      <c r="A55" s="98" t="s">
        <v>206</v>
      </c>
      <c r="B55" s="370">
        <v>13.066666666666663</v>
      </c>
      <c r="C55" s="370">
        <v>19</v>
      </c>
      <c r="D55" s="363">
        <f t="shared" si="7"/>
        <v>0.68771929824561384</v>
      </c>
      <c r="E55" s="363">
        <f t="shared" ca="1" si="8"/>
        <v>1066.1052631578948</v>
      </c>
    </row>
    <row r="56" spans="1:5" ht="29.1" customHeight="1">
      <c r="A56" s="98" t="s">
        <v>207</v>
      </c>
      <c r="B56" s="370">
        <v>2.35</v>
      </c>
      <c r="C56" s="370">
        <v>2</v>
      </c>
      <c r="D56" s="363">
        <f t="shared" si="7"/>
        <v>1.175</v>
      </c>
      <c r="E56" s="363">
        <f t="shared" ca="1" si="8"/>
        <v>10128</v>
      </c>
    </row>
    <row r="57" spans="1:5" ht="29.1" customHeight="1">
      <c r="A57" s="98" t="s">
        <v>208</v>
      </c>
      <c r="B57" s="370">
        <v>50.683333333333337</v>
      </c>
      <c r="C57" s="370">
        <v>11</v>
      </c>
      <c r="D57" s="363">
        <f t="shared" si="7"/>
        <v>4.6075757575757583</v>
      </c>
      <c r="E57" s="363">
        <f t="shared" ca="1" si="8"/>
        <v>1841.4545454545455</v>
      </c>
    </row>
    <row r="58" spans="1:5" ht="29.1" customHeight="1">
      <c r="A58" s="98" t="s">
        <v>209</v>
      </c>
      <c r="B58" s="370">
        <v>6.6666666666666679</v>
      </c>
      <c r="C58" s="370">
        <v>2</v>
      </c>
      <c r="D58" s="363">
        <f t="shared" si="7"/>
        <v>3.3333333333333339</v>
      </c>
      <c r="E58" s="363">
        <f t="shared" ca="1" si="8"/>
        <v>10128</v>
      </c>
    </row>
    <row r="59" spans="1:5" ht="29.1" customHeight="1">
      <c r="A59" s="98" t="s">
        <v>210</v>
      </c>
      <c r="B59" s="370">
        <v>7.9999999999999947</v>
      </c>
      <c r="C59" s="370">
        <v>7</v>
      </c>
      <c r="D59" s="363">
        <f t="shared" si="7"/>
        <v>1.1428571428571421</v>
      </c>
      <c r="E59" s="363">
        <f t="shared" ca="1" si="8"/>
        <v>2893.7142857142858</v>
      </c>
    </row>
    <row r="60" spans="1:5" ht="29.1" customHeight="1">
      <c r="A60" s="98" t="s">
        <v>211</v>
      </c>
      <c r="B60" s="370">
        <v>7.0833333333333313</v>
      </c>
      <c r="C60" s="370">
        <v>8</v>
      </c>
      <c r="D60" s="363">
        <f t="shared" si="7"/>
        <v>0.88541666666666641</v>
      </c>
      <c r="E60" s="363">
        <f t="shared" ca="1" si="8"/>
        <v>2532</v>
      </c>
    </row>
    <row r="61" spans="1:5" ht="29.1" customHeight="1">
      <c r="A61" s="98" t="s">
        <v>212</v>
      </c>
      <c r="B61" s="370">
        <v>45.050000000000004</v>
      </c>
      <c r="C61" s="370">
        <v>18</v>
      </c>
      <c r="D61" s="363">
        <f t="shared" si="7"/>
        <v>2.5027777777777782</v>
      </c>
      <c r="E61" s="363">
        <f t="shared" ca="1" si="8"/>
        <v>1125.3333333333333</v>
      </c>
    </row>
    <row r="62" spans="1:5" ht="29.1" customHeight="1">
      <c r="A62" s="98" t="s">
        <v>213</v>
      </c>
      <c r="B62" s="370">
        <v>168.99999999999997</v>
      </c>
      <c r="C62" s="370">
        <v>71</v>
      </c>
      <c r="D62" s="363">
        <f t="shared" si="7"/>
        <v>2.3802816901408446</v>
      </c>
      <c r="E62" s="363">
        <f t="shared" ca="1" si="8"/>
        <v>285.2957746478873</v>
      </c>
    </row>
    <row r="63" spans="1:5" ht="29.1" customHeight="1">
      <c r="A63" s="98" t="s">
        <v>214</v>
      </c>
      <c r="B63" s="84">
        <v>3.6333333333333337</v>
      </c>
      <c r="C63" s="84">
        <v>2</v>
      </c>
      <c r="D63" s="363">
        <f t="shared" si="7"/>
        <v>1.8166666666666669</v>
      </c>
      <c r="E63" s="363">
        <f t="shared" ca="1" si="8"/>
        <v>10128</v>
      </c>
    </row>
    <row r="64" spans="1:5" ht="29.1" customHeight="1">
      <c r="A64" s="98" t="s">
        <v>215</v>
      </c>
      <c r="B64" s="370">
        <v>107.58333333333334</v>
      </c>
      <c r="C64" s="370">
        <v>18</v>
      </c>
      <c r="D64" s="363">
        <f t="shared" si="7"/>
        <v>5.9768518518518521</v>
      </c>
      <c r="E64" s="363">
        <f t="shared" ca="1" si="8"/>
        <v>1125.3333333333333</v>
      </c>
    </row>
    <row r="65" spans="1:5" ht="29.1" customHeight="1">
      <c r="A65" s="98" t="s">
        <v>216</v>
      </c>
      <c r="B65" s="370">
        <v>3.8833333333333302</v>
      </c>
      <c r="C65" s="370">
        <v>2</v>
      </c>
      <c r="D65" s="363">
        <f t="shared" si="7"/>
        <v>1.9416666666666651</v>
      </c>
      <c r="E65" s="363">
        <f t="shared" ca="1" si="8"/>
        <v>10128</v>
      </c>
    </row>
    <row r="66" spans="1:5" ht="29.1" customHeight="1">
      <c r="A66" s="98" t="s">
        <v>217</v>
      </c>
      <c r="B66" s="370">
        <v>0.46666666666666501</v>
      </c>
      <c r="C66" s="370">
        <v>1</v>
      </c>
      <c r="D66" s="363">
        <f t="shared" si="7"/>
        <v>0.46666666666666501</v>
      </c>
      <c r="E66" s="363">
        <f t="shared" ca="1" si="8"/>
        <v>20256</v>
      </c>
    </row>
    <row r="67" spans="1:5" ht="29.1" customHeight="1">
      <c r="A67" s="98" t="s">
        <v>218</v>
      </c>
      <c r="B67" s="370">
        <v>21.883333333333333</v>
      </c>
      <c r="C67" s="370">
        <v>11</v>
      </c>
      <c r="D67" s="363">
        <f t="shared" si="7"/>
        <v>1.9893939393939393</v>
      </c>
      <c r="E67" s="363">
        <f t="shared" ca="1" si="8"/>
        <v>1841.4545454545455</v>
      </c>
    </row>
    <row r="68" spans="1:5" ht="29.1" customHeight="1">
      <c r="A68" s="98" t="s">
        <v>219</v>
      </c>
      <c r="B68" s="370">
        <v>3.5499999999999994</v>
      </c>
      <c r="C68" s="370">
        <v>3</v>
      </c>
      <c r="D68" s="363">
        <f t="shared" si="7"/>
        <v>1.1833333333333331</v>
      </c>
      <c r="E68" s="363">
        <f t="shared" ca="1" si="8"/>
        <v>6752</v>
      </c>
    </row>
    <row r="69" spans="1:5" ht="29.1" customHeight="1">
      <c r="A69" s="98" t="s">
        <v>220</v>
      </c>
      <c r="B69" s="370">
        <v>10.433333333333334</v>
      </c>
      <c r="C69" s="370">
        <v>5</v>
      </c>
      <c r="D69" s="363">
        <f t="shared" si="7"/>
        <v>2.0866666666666669</v>
      </c>
      <c r="E69" s="363">
        <f t="shared" ca="1" si="8"/>
        <v>4051.2</v>
      </c>
    </row>
    <row r="70" spans="1:5" ht="29.1" customHeight="1">
      <c r="A70" s="98" t="s">
        <v>221</v>
      </c>
      <c r="B70" s="370">
        <v>120.08333333333333</v>
      </c>
      <c r="C70" s="370">
        <v>23</v>
      </c>
      <c r="D70" s="363">
        <f t="shared" si="7"/>
        <v>5.2210144927536231</v>
      </c>
      <c r="E70" s="363">
        <f t="shared" ca="1" si="8"/>
        <v>880.695652173913</v>
      </c>
    </row>
    <row r="71" spans="1:5" ht="29.1" customHeight="1">
      <c r="A71" s="98" t="s">
        <v>222</v>
      </c>
      <c r="B71" s="370">
        <v>48.433333333333337</v>
      </c>
      <c r="C71" s="370">
        <v>12</v>
      </c>
      <c r="D71" s="363">
        <f t="shared" si="7"/>
        <v>4.0361111111111114</v>
      </c>
      <c r="E71" s="363">
        <f t="shared" ca="1" si="8"/>
        <v>1688</v>
      </c>
    </row>
    <row r="72" spans="1:5" ht="29.1" customHeight="1">
      <c r="A72" s="98" t="s">
        <v>223</v>
      </c>
      <c r="B72" s="370">
        <v>40.04999999999999</v>
      </c>
      <c r="C72" s="370">
        <v>13</v>
      </c>
      <c r="D72" s="363">
        <f t="shared" si="7"/>
        <v>3.08076923076923</v>
      </c>
      <c r="E72" s="363">
        <f t="shared" ca="1" si="8"/>
        <v>1558.1538461538462</v>
      </c>
    </row>
    <row r="73" spans="1:5" ht="29.1" customHeight="1">
      <c r="A73" s="98" t="s">
        <v>224</v>
      </c>
      <c r="B73" s="370">
        <v>917.15000000000055</v>
      </c>
      <c r="C73" s="370">
        <v>200</v>
      </c>
      <c r="D73" s="363">
        <f t="shared" si="7"/>
        <v>4.5857500000000027</v>
      </c>
      <c r="E73" s="363">
        <f t="shared" ca="1" si="8"/>
        <v>101.28</v>
      </c>
    </row>
    <row r="74" spans="1:5" ht="29.1" customHeight="1">
      <c r="A74" s="98" t="s">
        <v>225</v>
      </c>
      <c r="B74" s="370">
        <v>147.41666666666669</v>
      </c>
      <c r="C74" s="370">
        <v>7</v>
      </c>
      <c r="D74" s="363">
        <f t="shared" si="7"/>
        <v>21.059523809523814</v>
      </c>
      <c r="E74" s="363">
        <f t="shared" ca="1" si="8"/>
        <v>2893.7142857142858</v>
      </c>
    </row>
    <row r="75" spans="1:5" ht="29.1" customHeight="1">
      <c r="A75" s="98" t="s">
        <v>226</v>
      </c>
      <c r="B75" s="370">
        <v>35.799999999999997</v>
      </c>
      <c r="C75" s="370">
        <v>10</v>
      </c>
      <c r="D75" s="363">
        <f t="shared" si="7"/>
        <v>3.5799999999999996</v>
      </c>
      <c r="E75" s="363">
        <f t="shared" ca="1" si="8"/>
        <v>2025.6</v>
      </c>
    </row>
    <row r="76" spans="1:5" ht="29.1" customHeight="1">
      <c r="A76" s="98" t="s">
        <v>227</v>
      </c>
      <c r="B76" s="370">
        <v>152.71666666666673</v>
      </c>
      <c r="C76" s="370">
        <v>47</v>
      </c>
      <c r="D76" s="363">
        <f t="shared" si="7"/>
        <v>3.2492907801418451</v>
      </c>
      <c r="E76" s="363">
        <f t="shared" ca="1" si="8"/>
        <v>430.97872340425533</v>
      </c>
    </row>
    <row r="77" spans="1:5" ht="29.1" customHeight="1">
      <c r="A77" s="98" t="s">
        <v>228</v>
      </c>
      <c r="B77" s="370">
        <v>15.916666666666663</v>
      </c>
      <c r="C77" s="370">
        <v>4</v>
      </c>
      <c r="D77" s="363">
        <f t="shared" si="7"/>
        <v>3.9791666666666656</v>
      </c>
      <c r="E77" s="363">
        <f t="shared" ca="1" si="8"/>
        <v>5064</v>
      </c>
    </row>
    <row r="78" spans="1:5" ht="29.1" customHeight="1">
      <c r="A78" s="98" t="s">
        <v>229</v>
      </c>
      <c r="B78" s="370">
        <v>74.63333333333334</v>
      </c>
      <c r="C78" s="370">
        <v>34</v>
      </c>
      <c r="D78" s="363">
        <f t="shared" si="7"/>
        <v>2.1950980392156865</v>
      </c>
      <c r="E78" s="363">
        <f t="shared" ca="1" si="8"/>
        <v>595.76470588235293</v>
      </c>
    </row>
    <row r="79" spans="1:5" ht="29.1" customHeight="1">
      <c r="A79" s="98" t="s">
        <v>230</v>
      </c>
      <c r="B79" s="370">
        <v>241.31611111111107</v>
      </c>
      <c r="C79" s="370">
        <v>69</v>
      </c>
      <c r="D79" s="363">
        <f t="shared" si="7"/>
        <v>3.4973349436392906</v>
      </c>
      <c r="E79" s="363">
        <f t="shared" ca="1" si="8"/>
        <v>293.56521739130437</v>
      </c>
    </row>
    <row r="80" spans="1:5" ht="29.1" customHeight="1">
      <c r="A80" s="98" t="s">
        <v>231</v>
      </c>
      <c r="B80" s="370">
        <v>12.233333333333338</v>
      </c>
      <c r="C80" s="370">
        <v>4</v>
      </c>
      <c r="D80" s="363">
        <f t="shared" si="7"/>
        <v>3.0583333333333345</v>
      </c>
      <c r="E80" s="363">
        <f t="shared" ca="1" si="8"/>
        <v>5064</v>
      </c>
    </row>
    <row r="81" spans="1:5" ht="29.1" customHeight="1">
      <c r="A81" s="98" t="s">
        <v>232</v>
      </c>
      <c r="B81" s="370">
        <v>25.333333333333329</v>
      </c>
      <c r="C81" s="370">
        <v>6</v>
      </c>
      <c r="D81" s="363">
        <f t="shared" si="7"/>
        <v>4.2222222222222214</v>
      </c>
      <c r="E81" s="363">
        <f t="shared" ca="1" si="8"/>
        <v>3376</v>
      </c>
    </row>
    <row r="82" spans="1:5" ht="29.1" customHeight="1">
      <c r="A82" s="98" t="s">
        <v>233</v>
      </c>
      <c r="B82" s="370">
        <v>20.683333333333341</v>
      </c>
      <c r="C82" s="370">
        <v>5</v>
      </c>
      <c r="D82" s="363">
        <f t="shared" si="7"/>
        <v>4.1366666666666685</v>
      </c>
      <c r="E82" s="363">
        <f t="shared" ca="1" si="8"/>
        <v>4051.2</v>
      </c>
    </row>
    <row r="83" spans="1:5" ht="29.1" customHeight="1">
      <c r="A83" s="98" t="s">
        <v>234</v>
      </c>
      <c r="B83" s="370">
        <v>4.9833333333333325</v>
      </c>
      <c r="C83" s="370">
        <v>1</v>
      </c>
      <c r="D83" s="363">
        <f t="shared" si="7"/>
        <v>4.9833333333333325</v>
      </c>
      <c r="E83" s="363">
        <f t="shared" ca="1" si="8"/>
        <v>20256</v>
      </c>
    </row>
    <row r="84" spans="1:5" ht="29.1" customHeight="1">
      <c r="A84" s="98" t="s">
        <v>235</v>
      </c>
      <c r="B84" s="370">
        <v>3.5166666666666693</v>
      </c>
      <c r="C84" s="370">
        <v>3</v>
      </c>
      <c r="D84" s="363">
        <f t="shared" si="7"/>
        <v>1.1722222222222232</v>
      </c>
      <c r="E84" s="363">
        <f t="shared" ca="1" si="8"/>
        <v>6752</v>
      </c>
    </row>
    <row r="85" spans="1:5" ht="29.1" customHeight="1">
      <c r="A85" s="98" t="s">
        <v>236</v>
      </c>
      <c r="B85" s="370">
        <v>287.5333333333333</v>
      </c>
      <c r="C85" s="370">
        <v>50</v>
      </c>
      <c r="D85" s="363">
        <f t="shared" si="7"/>
        <v>5.7506666666666657</v>
      </c>
      <c r="E85" s="363">
        <f t="shared" ca="1" si="8"/>
        <v>405.12</v>
      </c>
    </row>
    <row r="86" spans="1:5" ht="29.1" customHeight="1">
      <c r="A86" s="98" t="s">
        <v>237</v>
      </c>
      <c r="B86" s="370">
        <v>29.383333333333336</v>
      </c>
      <c r="C86" s="370">
        <v>12</v>
      </c>
      <c r="D86" s="363">
        <f t="shared" si="7"/>
        <v>2.4486111111111115</v>
      </c>
      <c r="E86" s="363">
        <f t="shared" ca="1" si="8"/>
        <v>1688</v>
      </c>
    </row>
    <row r="87" spans="1:5" ht="29.1" customHeight="1">
      <c r="A87" s="98" t="s">
        <v>238</v>
      </c>
      <c r="B87" s="370">
        <v>420.54999999999995</v>
      </c>
      <c r="C87" s="370">
        <v>64</v>
      </c>
      <c r="D87" s="363">
        <f t="shared" si="7"/>
        <v>6.5710937499999993</v>
      </c>
      <c r="E87" s="363">
        <f t="shared" ca="1" si="8"/>
        <v>316.5</v>
      </c>
    </row>
    <row r="88" spans="1:5" ht="29.1" customHeight="1">
      <c r="A88" s="98" t="s">
        <v>239</v>
      </c>
      <c r="B88" s="370">
        <v>24.283333333333335</v>
      </c>
      <c r="C88" s="370">
        <v>8</v>
      </c>
      <c r="D88" s="363">
        <f t="shared" si="7"/>
        <v>3.0354166666666669</v>
      </c>
      <c r="E88" s="363">
        <f t="shared" ca="1" si="8"/>
        <v>2532</v>
      </c>
    </row>
    <row r="89" spans="1:5" ht="29.1" customHeight="1">
      <c r="A89" s="98" t="s">
        <v>240</v>
      </c>
      <c r="B89" s="370">
        <v>9.1499999999999986</v>
      </c>
      <c r="C89" s="370">
        <v>3</v>
      </c>
      <c r="D89" s="363">
        <f t="shared" si="7"/>
        <v>3.0499999999999994</v>
      </c>
      <c r="E89" s="363">
        <f t="shared" ca="1" si="8"/>
        <v>6752</v>
      </c>
    </row>
    <row r="90" spans="1:5" ht="29.1" customHeight="1">
      <c r="A90" s="98" t="s">
        <v>241</v>
      </c>
      <c r="B90" s="370">
        <v>3.5999999999999979</v>
      </c>
      <c r="C90" s="370">
        <v>1</v>
      </c>
      <c r="D90" s="363">
        <f t="shared" si="7"/>
        <v>3.5999999999999979</v>
      </c>
      <c r="E90" s="363">
        <f t="shared" ca="1" si="8"/>
        <v>20256</v>
      </c>
    </row>
    <row r="91" spans="1:5" ht="29.1" customHeight="1">
      <c r="A91" s="98" t="s">
        <v>242</v>
      </c>
      <c r="B91" s="370">
        <v>7.2333333333333325</v>
      </c>
      <c r="C91" s="370">
        <v>4</v>
      </c>
      <c r="D91" s="363">
        <f t="shared" si="7"/>
        <v>1.8083333333333331</v>
      </c>
      <c r="E91" s="363">
        <f t="shared" ca="1" si="8"/>
        <v>5064</v>
      </c>
    </row>
    <row r="92" spans="1:5" ht="29.1" customHeight="1">
      <c r="A92" s="98" t="s">
        <v>243</v>
      </c>
      <c r="B92" s="370">
        <v>92.783333333333346</v>
      </c>
      <c r="C92" s="370">
        <v>15</v>
      </c>
      <c r="D92" s="363">
        <f t="shared" si="7"/>
        <v>6.1855555555555561</v>
      </c>
      <c r="E92" s="363">
        <f t="shared" ca="1" si="8"/>
        <v>1350.4</v>
      </c>
    </row>
    <row r="93" spans="1:5" ht="29.1" customHeight="1">
      <c r="A93" s="98" t="s">
        <v>244</v>
      </c>
      <c r="B93" s="370">
        <v>4.2333333333333343</v>
      </c>
      <c r="C93" s="370">
        <v>3</v>
      </c>
      <c r="D93" s="363">
        <f t="shared" si="7"/>
        <v>1.4111111111111114</v>
      </c>
      <c r="E93" s="363">
        <f t="shared" ca="1" si="8"/>
        <v>6752</v>
      </c>
    </row>
    <row r="94" spans="1:5" ht="29.1" customHeight="1">
      <c r="A94" s="98" t="s">
        <v>245</v>
      </c>
      <c r="B94" s="370">
        <v>2.6833333333333327</v>
      </c>
      <c r="C94" s="370">
        <v>4</v>
      </c>
      <c r="D94" s="363">
        <f t="shared" si="7"/>
        <v>0.67083333333333317</v>
      </c>
      <c r="E94" s="363">
        <f t="shared" ca="1" si="8"/>
        <v>5064</v>
      </c>
    </row>
    <row r="95" spans="1:5" ht="29.1" customHeight="1">
      <c r="A95" s="98" t="s">
        <v>246</v>
      </c>
      <c r="B95" s="370">
        <v>8.5333333333333314</v>
      </c>
      <c r="C95" s="370">
        <v>10</v>
      </c>
      <c r="D95" s="363">
        <f t="shared" ref="D95:D108" si="9">B95/C95</f>
        <v>0.85333333333333317</v>
      </c>
      <c r="E95" s="363">
        <f t="shared" ref="E95:E108" ca="1" si="10">$D$26/C95</f>
        <v>2025.6</v>
      </c>
    </row>
    <row r="96" spans="1:5" ht="29.1" customHeight="1">
      <c r="A96" s="98" t="s">
        <v>247</v>
      </c>
      <c r="B96" s="370">
        <v>5.6666666666666679</v>
      </c>
      <c r="C96" s="370">
        <v>1</v>
      </c>
      <c r="D96" s="363">
        <f t="shared" si="9"/>
        <v>5.6666666666666679</v>
      </c>
      <c r="E96" s="363">
        <f t="shared" ca="1" si="10"/>
        <v>20256</v>
      </c>
    </row>
    <row r="97" spans="1:5" ht="29.1" customHeight="1">
      <c r="A97" s="98" t="s">
        <v>248</v>
      </c>
      <c r="B97" s="370">
        <v>33.916666666666671</v>
      </c>
      <c r="C97" s="370">
        <v>11</v>
      </c>
      <c r="D97" s="363">
        <f t="shared" si="9"/>
        <v>3.0833333333333339</v>
      </c>
      <c r="E97" s="363">
        <f t="shared" ca="1" si="10"/>
        <v>1841.4545454545455</v>
      </c>
    </row>
    <row r="98" spans="1:5" ht="29.1" customHeight="1">
      <c r="A98" s="98" t="s">
        <v>249</v>
      </c>
      <c r="B98" s="370">
        <v>22.583333333333336</v>
      </c>
      <c r="C98" s="370">
        <v>4</v>
      </c>
      <c r="D98" s="363">
        <f t="shared" si="9"/>
        <v>5.6458333333333339</v>
      </c>
      <c r="E98" s="363">
        <f t="shared" ca="1" si="10"/>
        <v>5064</v>
      </c>
    </row>
    <row r="99" spans="1:5" ht="29.1" customHeight="1">
      <c r="A99" s="98" t="s">
        <v>250</v>
      </c>
      <c r="B99" s="370">
        <v>6.6499999999999995</v>
      </c>
      <c r="C99" s="370">
        <v>5</v>
      </c>
      <c r="D99" s="363">
        <f t="shared" si="9"/>
        <v>1.3299999999999998</v>
      </c>
      <c r="E99" s="363">
        <f t="shared" ca="1" si="10"/>
        <v>4051.2</v>
      </c>
    </row>
    <row r="100" spans="1:5" ht="29.1" customHeight="1">
      <c r="A100" s="98" t="s">
        <v>251</v>
      </c>
      <c r="B100" s="370">
        <v>3.1666666666666661</v>
      </c>
      <c r="C100" s="370">
        <v>1</v>
      </c>
      <c r="D100" s="363">
        <f t="shared" si="9"/>
        <v>3.1666666666666661</v>
      </c>
      <c r="E100" s="363">
        <f t="shared" ca="1" si="10"/>
        <v>20256</v>
      </c>
    </row>
    <row r="101" spans="1:5" ht="29.1" customHeight="1">
      <c r="A101" s="98" t="s">
        <v>252</v>
      </c>
      <c r="B101" s="370">
        <v>12.033333333333333</v>
      </c>
      <c r="C101" s="370">
        <v>4</v>
      </c>
      <c r="D101" s="363">
        <f t="shared" si="9"/>
        <v>3.0083333333333333</v>
      </c>
      <c r="E101" s="363">
        <f t="shared" ca="1" si="10"/>
        <v>5064</v>
      </c>
    </row>
    <row r="102" spans="1:5" ht="29.1" customHeight="1">
      <c r="A102" s="98" t="s">
        <v>253</v>
      </c>
      <c r="B102" s="370">
        <v>74.649999999999991</v>
      </c>
      <c r="C102" s="370">
        <v>24</v>
      </c>
      <c r="D102" s="363">
        <f t="shared" si="9"/>
        <v>3.1104166666666662</v>
      </c>
      <c r="E102" s="363">
        <f t="shared" ca="1" si="10"/>
        <v>844</v>
      </c>
    </row>
    <row r="103" spans="1:5" ht="29.1" customHeight="1">
      <c r="A103" s="98" t="s">
        <v>254</v>
      </c>
      <c r="B103" s="370">
        <v>11.083333333333332</v>
      </c>
      <c r="C103" s="370">
        <v>5</v>
      </c>
      <c r="D103" s="363">
        <f t="shared" si="9"/>
        <v>2.2166666666666663</v>
      </c>
      <c r="E103" s="363">
        <f t="shared" ca="1" si="10"/>
        <v>4051.2</v>
      </c>
    </row>
    <row r="104" spans="1:5" ht="29.1" customHeight="1">
      <c r="A104" s="98" t="s">
        <v>255</v>
      </c>
      <c r="B104" s="370">
        <v>79.483333333333348</v>
      </c>
      <c r="C104" s="370">
        <v>40</v>
      </c>
      <c r="D104" s="363">
        <f t="shared" si="9"/>
        <v>1.9870833333333338</v>
      </c>
      <c r="E104" s="363">
        <f t="shared" ca="1" si="10"/>
        <v>506.4</v>
      </c>
    </row>
    <row r="105" spans="1:5" ht="29.1" customHeight="1">
      <c r="A105" s="98" t="s">
        <v>256</v>
      </c>
      <c r="B105" s="370">
        <v>9.8333333333333357</v>
      </c>
      <c r="C105" s="370">
        <v>3</v>
      </c>
      <c r="D105" s="363">
        <f t="shared" si="9"/>
        <v>3.2777777777777786</v>
      </c>
      <c r="E105" s="363">
        <f t="shared" ca="1" si="10"/>
        <v>6752</v>
      </c>
    </row>
    <row r="106" spans="1:5" ht="29.1" customHeight="1">
      <c r="A106" s="98" t="s">
        <v>257</v>
      </c>
      <c r="B106" s="370">
        <v>9.2166666666666668</v>
      </c>
      <c r="C106" s="370">
        <v>2</v>
      </c>
      <c r="D106" s="363">
        <f t="shared" si="9"/>
        <v>4.6083333333333334</v>
      </c>
      <c r="E106" s="363">
        <f t="shared" ca="1" si="10"/>
        <v>10128</v>
      </c>
    </row>
    <row r="107" spans="1:5" ht="29.1" customHeight="1">
      <c r="A107" s="98" t="s">
        <v>258</v>
      </c>
      <c r="B107" s="84">
        <v>0</v>
      </c>
      <c r="C107" s="84"/>
      <c r="D107" s="363" t="e">
        <f t="shared" si="9"/>
        <v>#DIV/0!</v>
      </c>
      <c r="E107" s="363" t="e">
        <f t="shared" ca="1" si="10"/>
        <v>#DIV/0!</v>
      </c>
    </row>
    <row r="108" spans="1:5" ht="29.1" customHeight="1">
      <c r="A108" s="98" t="s">
        <v>259</v>
      </c>
      <c r="B108" s="84">
        <v>4.9000000000000012</v>
      </c>
      <c r="C108" s="84">
        <v>1</v>
      </c>
      <c r="D108" s="363">
        <f t="shared" si="9"/>
        <v>4.9000000000000012</v>
      </c>
      <c r="E108" s="363">
        <f t="shared" ca="1" si="10"/>
        <v>20256</v>
      </c>
    </row>
    <row r="109" spans="1:5" ht="29.1" customHeight="1">
      <c r="A109" s="98" t="s">
        <v>260</v>
      </c>
      <c r="B109" s="84">
        <v>1.5833333333333357</v>
      </c>
      <c r="C109" s="84">
        <v>1</v>
      </c>
    </row>
    <row r="110" spans="1:5" ht="29.1" customHeight="1">
      <c r="A110" s="98" t="s">
        <v>261</v>
      </c>
      <c r="B110" s="84">
        <v>9.1666666666666679</v>
      </c>
      <c r="C110" s="84">
        <v>3</v>
      </c>
    </row>
    <row r="111" spans="1:5" ht="29.1" customHeight="1">
      <c r="A111" s="98" t="s">
        <v>262</v>
      </c>
      <c r="B111" s="84">
        <v>46.416666666666664</v>
      </c>
      <c r="C111" s="84">
        <v>15</v>
      </c>
    </row>
    <row r="112" spans="1:5" ht="29.1" customHeight="1">
      <c r="A112" s="98" t="s">
        <v>263</v>
      </c>
      <c r="B112" s="84">
        <v>69.316666666666649</v>
      </c>
      <c r="C112" s="84">
        <v>12</v>
      </c>
    </row>
    <row r="113" spans="1:3" ht="29.1" customHeight="1">
      <c r="A113" s="98" t="s">
        <v>264</v>
      </c>
      <c r="B113" s="84">
        <v>12.083333333333332</v>
      </c>
      <c r="C113" s="84">
        <v>1</v>
      </c>
    </row>
    <row r="114" spans="1:3" ht="29.1" customHeight="1">
      <c r="A114" s="98" t="s">
        <v>265</v>
      </c>
      <c r="B114" s="84">
        <v>7.5166666666666666</v>
      </c>
      <c r="C114" s="84">
        <v>1</v>
      </c>
    </row>
    <row r="115" spans="1:3" ht="29.1" customHeight="1">
      <c r="A115" s="98" t="s">
        <v>266</v>
      </c>
      <c r="B115" s="84">
        <v>8.0499999999999972</v>
      </c>
      <c r="C115" s="84">
        <v>1</v>
      </c>
    </row>
    <row r="116" spans="1:3" ht="29.1" customHeight="1">
      <c r="A116" s="98" t="s">
        <v>267</v>
      </c>
      <c r="B116" s="84">
        <v>20.916666666666664</v>
      </c>
      <c r="C116" s="84">
        <v>3</v>
      </c>
    </row>
    <row r="117" spans="1:3" ht="29.1" customHeight="1">
      <c r="A117" s="98" t="s">
        <v>268</v>
      </c>
      <c r="B117" s="84">
        <v>97.38333333333334</v>
      </c>
      <c r="C117" s="84">
        <v>27</v>
      </c>
    </row>
    <row r="118" spans="1:3" ht="29.1" customHeight="1">
      <c r="A118" s="98" t="s">
        <v>269</v>
      </c>
      <c r="B118" s="84">
        <v>751.81666666666695</v>
      </c>
      <c r="C118" s="84">
        <v>49</v>
      </c>
    </row>
    <row r="119" spans="1:3" ht="29.1" customHeight="1">
      <c r="A119" s="98" t="s">
        <v>270</v>
      </c>
      <c r="B119" s="84">
        <v>6.5</v>
      </c>
      <c r="C119" s="84">
        <v>2</v>
      </c>
    </row>
    <row r="120" spans="1:3" ht="29.1" customHeight="1">
      <c r="A120" s="98" t="s">
        <v>271</v>
      </c>
      <c r="B120" s="84">
        <v>141.13333333333341</v>
      </c>
      <c r="C120" s="84">
        <v>74</v>
      </c>
    </row>
    <row r="121" spans="1:3" ht="29.1" customHeight="1">
      <c r="A121" s="98" t="s">
        <v>272</v>
      </c>
      <c r="B121" s="84">
        <v>1141.2666666666657</v>
      </c>
      <c r="C121" s="84">
        <v>151</v>
      </c>
    </row>
    <row r="122" spans="1:3" ht="29.1" customHeight="1">
      <c r="A122" s="98" t="s">
        <v>273</v>
      </c>
      <c r="B122" s="84">
        <v>626.25000000000034</v>
      </c>
      <c r="C122" s="84">
        <v>174</v>
      </c>
    </row>
    <row r="123" spans="1:3" ht="29.1" customHeight="1">
      <c r="A123" s="98" t="s">
        <v>274</v>
      </c>
      <c r="B123" s="84">
        <v>27.383055555555551</v>
      </c>
      <c r="C123" s="84">
        <v>8</v>
      </c>
    </row>
    <row r="124" spans="1:3" ht="29.1" customHeight="1">
      <c r="A124" s="98" t="s">
        <v>275</v>
      </c>
      <c r="B124" s="84">
        <v>19.45</v>
      </c>
      <c r="C124" s="84">
        <v>2</v>
      </c>
    </row>
    <row r="125" spans="1:3" ht="29.1" customHeight="1">
      <c r="A125" s="98" t="s">
        <v>276</v>
      </c>
      <c r="B125" s="84">
        <v>37.866666666666667</v>
      </c>
      <c r="C125" s="84">
        <v>19</v>
      </c>
    </row>
    <row r="126" spans="1:3" ht="29.1" customHeight="1">
      <c r="A126" s="98" t="s">
        <v>277</v>
      </c>
      <c r="B126" s="84">
        <v>7.5499999999999989</v>
      </c>
      <c r="C126" s="84">
        <v>4</v>
      </c>
    </row>
    <row r="127" spans="1:3" ht="29.1" customHeight="1">
      <c r="A127" s="98" t="s">
        <v>278</v>
      </c>
      <c r="B127" s="84">
        <v>0.61666666666666714</v>
      </c>
      <c r="C127" s="84">
        <v>1</v>
      </c>
    </row>
    <row r="128" spans="1:3" ht="29.1" customHeight="1">
      <c r="A128" s="98" t="s">
        <v>279</v>
      </c>
      <c r="B128" s="84">
        <v>6.6666666666666679</v>
      </c>
      <c r="C128" s="84">
        <v>1</v>
      </c>
    </row>
    <row r="129" spans="1:3" ht="29.1" customHeight="1">
      <c r="A129" s="98" t="s">
        <v>280</v>
      </c>
      <c r="B129" s="84">
        <v>28.116666666666667</v>
      </c>
      <c r="C129" s="84">
        <v>8</v>
      </c>
    </row>
    <row r="130" spans="1:3" ht="29.1" customHeight="1">
      <c r="A130" s="98" t="s">
        <v>281</v>
      </c>
      <c r="B130" s="84">
        <v>8.716666666666665</v>
      </c>
      <c r="C130" s="84">
        <v>5</v>
      </c>
    </row>
    <row r="131" spans="1:3" ht="29.1" customHeight="1">
      <c r="A131" s="98" t="s">
        <v>282</v>
      </c>
      <c r="B131" s="84">
        <v>1528.4150000000009</v>
      </c>
      <c r="C131" s="84">
        <v>65</v>
      </c>
    </row>
    <row r="132" spans="1:3" ht="29.1" customHeight="1">
      <c r="A132" s="98" t="s">
        <v>283</v>
      </c>
      <c r="B132" s="84">
        <v>3511.6666666666551</v>
      </c>
      <c r="C132" s="84">
        <v>148</v>
      </c>
    </row>
    <row r="133" spans="1:3" ht="29.1" customHeight="1">
      <c r="A133" s="98" t="s">
        <v>284</v>
      </c>
      <c r="B133" s="84">
        <v>61.566666666666663</v>
      </c>
      <c r="C133" s="84">
        <v>6</v>
      </c>
    </row>
    <row r="134" spans="1:3" ht="29.1" customHeight="1">
      <c r="A134" s="98" t="s">
        <v>285</v>
      </c>
      <c r="B134" s="84">
        <v>86.966666666666669</v>
      </c>
      <c r="C134" s="84">
        <v>5</v>
      </c>
    </row>
    <row r="135" spans="1:3" ht="29.1" customHeight="1">
      <c r="A135" s="98" t="s">
        <v>286</v>
      </c>
      <c r="B135" s="84">
        <v>3.3166666666666695</v>
      </c>
      <c r="C135" s="84">
        <v>13</v>
      </c>
    </row>
    <row r="136" spans="1:3" ht="29.1" customHeight="1">
      <c r="A136" s="98" t="s">
        <v>287</v>
      </c>
      <c r="B136" s="84">
        <v>2.4000000000000021</v>
      </c>
      <c r="C136" s="84">
        <v>1</v>
      </c>
    </row>
    <row r="137" spans="1:3" ht="29.1" customHeight="1">
      <c r="A137" s="98" t="s">
        <v>288</v>
      </c>
      <c r="B137" s="84">
        <v>16.766666666666662</v>
      </c>
      <c r="C137" s="84">
        <v>6</v>
      </c>
    </row>
    <row r="138" spans="1:3" ht="29.1" customHeight="1">
      <c r="A138" s="98" t="s">
        <v>289</v>
      </c>
      <c r="B138" s="84">
        <v>2.9000000000000004</v>
      </c>
      <c r="C138" s="84">
        <v>1</v>
      </c>
    </row>
    <row r="139" spans="1:3" ht="29.1" customHeight="1">
      <c r="A139" s="98" t="s">
        <v>290</v>
      </c>
      <c r="B139" s="84">
        <v>37.049999999999997</v>
      </c>
      <c r="C139" s="84">
        <v>5</v>
      </c>
    </row>
    <row r="140" spans="1:3" ht="29.1" customHeight="1">
      <c r="A140" s="98" t="s">
        <v>291</v>
      </c>
      <c r="B140" s="84">
        <v>2.9333333333333358</v>
      </c>
      <c r="C140" s="84">
        <v>2</v>
      </c>
    </row>
    <row r="141" spans="1:3" ht="29.1" customHeight="1">
      <c r="A141" s="98" t="s">
        <v>292</v>
      </c>
      <c r="B141" s="84">
        <v>326.2166666666667</v>
      </c>
      <c r="C141" s="84">
        <v>16</v>
      </c>
    </row>
    <row r="142" spans="1:3" ht="29.1" customHeight="1">
      <c r="A142" s="98" t="s">
        <v>293</v>
      </c>
      <c r="B142" s="84">
        <v>4.5666666666666664</v>
      </c>
      <c r="C142" s="84">
        <v>1</v>
      </c>
    </row>
    <row r="143" spans="1:3" ht="29.1" customHeight="1">
      <c r="A143" s="98" t="s">
        <v>294</v>
      </c>
      <c r="B143" s="84">
        <v>25.150000000000006</v>
      </c>
      <c r="C143" s="84">
        <v>4</v>
      </c>
    </row>
    <row r="144" spans="1:3" ht="29.1" customHeight="1">
      <c r="A144" s="98" t="s">
        <v>295</v>
      </c>
      <c r="B144" s="84">
        <v>28.6</v>
      </c>
      <c r="C144" s="84">
        <v>3</v>
      </c>
    </row>
    <row r="145" spans="1:3" ht="29.1" customHeight="1">
      <c r="A145" s="98" t="s">
        <v>296</v>
      </c>
      <c r="B145" s="84">
        <v>7.9666666666666686</v>
      </c>
      <c r="C145" s="84">
        <v>2</v>
      </c>
    </row>
    <row r="146" spans="1:3" ht="29.1" customHeight="1">
      <c r="A146" s="98" t="s">
        <v>297</v>
      </c>
      <c r="B146" s="84">
        <v>85.916666666666714</v>
      </c>
      <c r="C146" s="84">
        <v>34</v>
      </c>
    </row>
    <row r="147" spans="1:3" ht="29.1" customHeight="1">
      <c r="A147" s="98" t="s">
        <v>298</v>
      </c>
      <c r="B147" s="84">
        <v>3.4833333333333343</v>
      </c>
      <c r="C147" s="84">
        <v>2</v>
      </c>
    </row>
    <row r="148" spans="1:3" ht="29.1" customHeight="1">
      <c r="A148" s="98" t="s">
        <v>299</v>
      </c>
      <c r="B148" s="84">
        <v>0.4499999999999984</v>
      </c>
      <c r="C148" s="84">
        <v>1</v>
      </c>
    </row>
    <row r="149" spans="1:3" ht="29.1" customHeight="1">
      <c r="A149" s="98" t="s">
        <v>300</v>
      </c>
      <c r="B149" s="84">
        <v>9.0500000000000007</v>
      </c>
      <c r="C149" s="84">
        <v>3</v>
      </c>
    </row>
    <row r="150" spans="1:3" ht="29.1" customHeight="1">
      <c r="A150" s="98" t="s">
        <v>301</v>
      </c>
      <c r="B150" s="84">
        <v>6.5000000000000009</v>
      </c>
      <c r="C150" s="84">
        <v>3</v>
      </c>
    </row>
    <row r="151" spans="1:3" ht="29.1" customHeight="1">
      <c r="A151" s="98" t="s">
        <v>302</v>
      </c>
      <c r="B151" s="84">
        <v>4.7666666666666675</v>
      </c>
      <c r="C151" s="84">
        <v>1</v>
      </c>
    </row>
    <row r="152" spans="1:3" ht="29.1" customHeight="1">
      <c r="A152" s="98" t="s">
        <v>303</v>
      </c>
      <c r="B152" s="84">
        <v>230.83333333333337</v>
      </c>
      <c r="C152" s="84">
        <v>50</v>
      </c>
    </row>
    <row r="153" spans="1:3" ht="29.1" customHeight="1">
      <c r="A153" s="98" t="s">
        <v>304</v>
      </c>
      <c r="B153" s="84">
        <v>4.6999999999999993</v>
      </c>
      <c r="C153" s="84">
        <v>1</v>
      </c>
    </row>
    <row r="154" spans="1:3" ht="29.1" customHeight="1">
      <c r="A154" s="98" t="s">
        <v>305</v>
      </c>
      <c r="B154" s="84">
        <v>2.3833333333333355</v>
      </c>
      <c r="C154" s="84">
        <v>2</v>
      </c>
    </row>
    <row r="155" spans="1:3" ht="29.1" customHeight="1">
      <c r="A155" s="98" t="s">
        <v>306</v>
      </c>
      <c r="B155" s="84">
        <v>4.0666666666666655</v>
      </c>
      <c r="C155" s="84">
        <v>1</v>
      </c>
    </row>
    <row r="156" spans="1:3" ht="29.1" customHeight="1">
      <c r="A156" s="98" t="s">
        <v>307</v>
      </c>
      <c r="B156" s="84">
        <v>13265.580833333397</v>
      </c>
      <c r="C156" s="84">
        <v>2069</v>
      </c>
    </row>
  </sheetData>
  <mergeCells count="5">
    <mergeCell ref="D26:E26"/>
    <mergeCell ref="F26:G26"/>
    <mergeCell ref="A23:G23"/>
    <mergeCell ref="D25:E25"/>
    <mergeCell ref="F25:G25"/>
  </mergeCells>
  <conditionalFormatting sqref="B5:AN5">
    <cfRule type="colorScale" priority="989">
      <colorScale>
        <cfvo type="min"/>
        <cfvo type="percentile" val="50"/>
        <cfvo type="max"/>
        <color rgb="FFF8696B"/>
        <color rgb="FFFFEB84"/>
        <color rgb="FF63BE7B"/>
      </colorScale>
    </cfRule>
  </conditionalFormatting>
  <conditionalFormatting sqref="B7:AN7">
    <cfRule type="colorScale" priority="991">
      <colorScale>
        <cfvo type="min"/>
        <cfvo type="percentile" val="50"/>
        <cfvo type="max"/>
        <color rgb="FFF8696B"/>
        <color rgb="FFFFEB84"/>
        <color rgb="FF63BE7B"/>
      </colorScale>
    </cfRule>
  </conditionalFormatting>
  <conditionalFormatting sqref="B13:AN13">
    <cfRule type="colorScale" priority="993">
      <colorScale>
        <cfvo type="min"/>
        <cfvo type="percentile" val="50"/>
        <cfvo type="max"/>
        <color rgb="FFF8696B"/>
        <color rgb="FFFFEB84"/>
        <color rgb="FF63BE7B"/>
      </colorScale>
    </cfRule>
  </conditionalFormatting>
  <conditionalFormatting sqref="B15:AN15">
    <cfRule type="colorScale" priority="995">
      <colorScale>
        <cfvo type="min"/>
        <cfvo type="percentile" val="50"/>
        <cfvo type="max"/>
        <color rgb="FFF8696B"/>
        <color rgb="FFFFEB84"/>
        <color rgb="FF63BE7B"/>
      </colorScale>
    </cfRule>
  </conditionalFormatting>
  <conditionalFormatting sqref="B16:AN16">
    <cfRule type="colorScale" priority="997">
      <colorScale>
        <cfvo type="min"/>
        <cfvo type="percentile" val="50"/>
        <cfvo type="max"/>
        <color rgb="FFF8696B"/>
        <color rgb="FFFFEB84"/>
        <color rgb="FF63BE7B"/>
      </colorScale>
    </cfRule>
  </conditionalFormatting>
  <conditionalFormatting sqref="B19:AN19">
    <cfRule type="colorScale" priority="999">
      <colorScale>
        <cfvo type="min"/>
        <cfvo type="percentile" val="50"/>
        <cfvo type="max"/>
        <color rgb="FF63BE7B"/>
        <color rgb="FFFFEB84"/>
        <color rgb="FFF8696B"/>
      </colorScale>
    </cfRule>
  </conditionalFormatting>
  <conditionalFormatting sqref="B20:AN20">
    <cfRule type="colorScale" priority="1001">
      <colorScale>
        <cfvo type="min"/>
        <cfvo type="percentile" val="50"/>
        <cfvo type="max"/>
        <color rgb="FFF8696B"/>
        <color rgb="FFFFEB84"/>
        <color rgb="FF63BE7B"/>
      </colorScale>
    </cfRule>
  </conditionalFormatting>
  <conditionalFormatting sqref="B21:AN21">
    <cfRule type="cellIs" dxfId="3" priority="10" operator="lessThan">
      <formula>$D$2+$D$3</formula>
    </cfRule>
    <cfRule type="cellIs" dxfId="2" priority="11" operator="greaterThan">
      <formula>$D$2+$D$3</formula>
    </cfRule>
  </conditionalFormatting>
  <conditionalFormatting sqref="D30:D108">
    <cfRule type="colorScale" priority="2">
      <colorScale>
        <cfvo type="min"/>
        <cfvo type="percentile" val="50"/>
        <cfvo type="max"/>
        <color rgb="FF63BE7B"/>
        <color rgb="FFFFEB84"/>
        <color rgb="FFF8696B"/>
      </colorScale>
    </cfRule>
  </conditionalFormatting>
  <conditionalFormatting sqref="E30:E108">
    <cfRule type="colorScale" priority="1">
      <colorScale>
        <cfvo type="min"/>
        <cfvo type="percentile" val="50"/>
        <cfvo type="max"/>
        <color rgb="FFF8696B"/>
        <color rgb="FFFFEB84"/>
        <color rgb="FF63BE7B"/>
      </colorScale>
    </cfRule>
  </conditionalFormatting>
  <dataValidations count="2">
    <dataValidation allowBlank="1" showInputMessage="1" showErrorMessage="1" prompt="All breakdown including FM, EGA, IGA etc." sqref="A16" xr:uid="{00000000-0002-0000-0300-000000000000}"/>
    <dataValidation allowBlank="1" showInputMessage="1" showErrorMessage="1" prompt="Change the hours if you select specific period using Pivot Table." sqref="D26:E26" xr:uid="{00000000-0002-0000-0300-000001000000}"/>
  </dataValidation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H197"/>
  <sheetViews>
    <sheetView showGridLines="0" zoomScaleNormal="100" workbookViewId="0">
      <pane xSplit="1" ySplit="4" topLeftCell="B110" activePane="bottomRight" state="frozen"/>
      <selection pane="topRight" activeCell="B1" sqref="B1"/>
      <selection pane="bottomLeft" activeCell="A5" sqref="A5"/>
      <selection pane="bottomRight" activeCell="A121" sqref="A121"/>
    </sheetView>
  </sheetViews>
  <sheetFormatPr defaultColWidth="8.85546875" defaultRowHeight="15"/>
  <cols>
    <col min="1" max="1" width="11.42578125" style="1" bestFit="1" customWidth="1"/>
    <col min="2" max="2" width="11.28515625" customWidth="1"/>
    <col min="3" max="3" width="12.42578125" customWidth="1"/>
    <col min="4" max="4" width="15.7109375" customWidth="1"/>
    <col min="7" max="7" width="10.140625" bestFit="1" customWidth="1"/>
    <col min="14" max="14" width="8.85546875" customWidth="1"/>
    <col min="16" max="16" width="9.42578125" customWidth="1"/>
    <col min="17" max="17" width="11.140625" bestFit="1" customWidth="1"/>
    <col min="38" max="38" width="13.140625" bestFit="1" customWidth="1"/>
    <col min="84" max="84" width="10.140625" customWidth="1"/>
    <col min="85" max="85" width="11.42578125" customWidth="1"/>
    <col min="86" max="87" width="10.140625" customWidth="1"/>
    <col min="88" max="88" width="13.85546875" bestFit="1" customWidth="1"/>
    <col min="89" max="89" width="13.85546875" customWidth="1"/>
    <col min="90" max="90" width="15.42578125" style="1" bestFit="1" customWidth="1"/>
    <col min="91" max="91" width="15.42578125" style="1" customWidth="1"/>
    <col min="92" max="92" width="12" style="1" bestFit="1" customWidth="1"/>
    <col min="93" max="93" width="12" style="1" customWidth="1"/>
    <col min="94" max="94" width="12.140625" style="1" bestFit="1" customWidth="1"/>
    <col min="95" max="95" width="12.140625" style="1" customWidth="1"/>
    <col min="96" max="96" width="13.28515625" style="1" customWidth="1"/>
    <col min="97" max="97" width="12.42578125" style="1" customWidth="1"/>
    <col min="98" max="98" width="12.140625" style="1" customWidth="1"/>
    <col min="99" max="99" width="11.42578125" style="1" customWidth="1"/>
    <col min="100" max="100" width="11.7109375" style="1" customWidth="1"/>
    <col min="101" max="101" width="11.28515625" style="1" customWidth="1"/>
    <col min="102" max="102" width="13.140625" style="1" customWidth="1"/>
    <col min="103" max="103" width="12.42578125" style="1" customWidth="1"/>
    <col min="104" max="104" width="16.5703125" style="1" bestFit="1" customWidth="1"/>
    <col min="105" max="105" width="11.42578125" style="1" customWidth="1"/>
    <col min="106" max="106" width="11" bestFit="1" customWidth="1"/>
    <col min="107" max="107" width="19.28515625" style="3" customWidth="1"/>
    <col min="108" max="108" width="12.85546875" customWidth="1"/>
    <col min="109" max="109" width="16.28515625" customWidth="1"/>
    <col min="112" max="112" width="30.140625" bestFit="1" customWidth="1"/>
  </cols>
  <sheetData>
    <row r="1" spans="1:112">
      <c r="A1" s="1">
        <v>1</v>
      </c>
      <c r="B1">
        <f>A1+1</f>
        <v>2</v>
      </c>
      <c r="C1">
        <f t="shared" ref="C1:BM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ref="BN1:DB1" si="1">BM1+1</f>
        <v>66</v>
      </c>
      <c r="BO1">
        <f t="shared" si="1"/>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row>
    <row r="2" spans="1:112">
      <c r="CJ2" s="2"/>
      <c r="CK2" s="2"/>
      <c r="CR2"/>
      <c r="CS2"/>
      <c r="CT2"/>
      <c r="CU2"/>
      <c r="CV2"/>
      <c r="CW2"/>
      <c r="CX2"/>
      <c r="CY2"/>
      <c r="CZ2"/>
      <c r="DA2"/>
    </row>
    <row r="3" spans="1:112">
      <c r="F3" s="4" t="s">
        <v>308</v>
      </c>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5" t="s">
        <v>309</v>
      </c>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J3" s="7" t="s">
        <v>310</v>
      </c>
      <c r="CK3" s="7"/>
      <c r="CL3" s="7"/>
      <c r="CM3" s="7"/>
      <c r="CN3" s="7"/>
      <c r="CO3" s="7"/>
      <c r="CP3" s="7"/>
      <c r="CQ3" s="7"/>
      <c r="CR3" s="6" t="s">
        <v>311</v>
      </c>
      <c r="CS3" s="6"/>
      <c r="CT3" s="6"/>
      <c r="CU3" s="6"/>
      <c r="CV3" s="6"/>
      <c r="CW3" s="6"/>
      <c r="CX3" s="6"/>
      <c r="CY3" s="6"/>
      <c r="CZ3" s="6"/>
      <c r="DA3" s="6"/>
      <c r="DB3" s="6"/>
    </row>
    <row r="4" spans="1:112" ht="48">
      <c r="A4" s="8" t="s">
        <v>73</v>
      </c>
      <c r="B4" s="9" t="s">
        <v>174</v>
      </c>
      <c r="C4" s="9" t="s">
        <v>312</v>
      </c>
      <c r="D4" s="9" t="s">
        <v>75</v>
      </c>
      <c r="E4" s="9" t="s">
        <v>46</v>
      </c>
      <c r="F4" s="10" t="s">
        <v>115</v>
      </c>
      <c r="G4" s="10" t="s">
        <v>116</v>
      </c>
      <c r="H4" s="10" t="s">
        <v>117</v>
      </c>
      <c r="I4" s="10" t="s">
        <v>118</v>
      </c>
      <c r="J4" s="10" t="s">
        <v>119</v>
      </c>
      <c r="K4" s="10" t="s">
        <v>120</v>
      </c>
      <c r="L4" s="10" t="s">
        <v>121</v>
      </c>
      <c r="M4" s="10" t="s">
        <v>122</v>
      </c>
      <c r="N4" s="10" t="s">
        <v>123</v>
      </c>
      <c r="O4" s="10" t="s">
        <v>124</v>
      </c>
      <c r="P4" s="10" t="s">
        <v>125</v>
      </c>
      <c r="Q4" s="10" t="s">
        <v>126</v>
      </c>
      <c r="R4" s="10" t="s">
        <v>127</v>
      </c>
      <c r="S4" s="10" t="s">
        <v>128</v>
      </c>
      <c r="T4" s="10" t="s">
        <v>129</v>
      </c>
      <c r="U4" s="10" t="s">
        <v>130</v>
      </c>
      <c r="V4" s="10" t="s">
        <v>131</v>
      </c>
      <c r="W4" s="10" t="s">
        <v>132</v>
      </c>
      <c r="X4" s="10" t="s">
        <v>133</v>
      </c>
      <c r="Y4" s="10" t="s">
        <v>134</v>
      </c>
      <c r="Z4" s="10" t="s">
        <v>135</v>
      </c>
      <c r="AA4" s="10" t="s">
        <v>136</v>
      </c>
      <c r="AB4" s="10" t="s">
        <v>137</v>
      </c>
      <c r="AC4" s="10" t="s">
        <v>138</v>
      </c>
      <c r="AD4" s="10" t="s">
        <v>139</v>
      </c>
      <c r="AE4" s="10" t="s">
        <v>140</v>
      </c>
      <c r="AF4" s="10" t="s">
        <v>141</v>
      </c>
      <c r="AG4" s="10" t="s">
        <v>142</v>
      </c>
      <c r="AH4" s="10" t="s">
        <v>143</v>
      </c>
      <c r="AI4" s="10" t="s">
        <v>144</v>
      </c>
      <c r="AJ4" s="10" t="s">
        <v>145</v>
      </c>
      <c r="AK4" s="10" t="s">
        <v>146</v>
      </c>
      <c r="AL4" s="10" t="s">
        <v>147</v>
      </c>
      <c r="AM4" s="10" t="s">
        <v>148</v>
      </c>
      <c r="AN4" s="10" t="s">
        <v>149</v>
      </c>
      <c r="AO4" s="10" t="s">
        <v>150</v>
      </c>
      <c r="AP4" s="10" t="s">
        <v>151</v>
      </c>
      <c r="AQ4" s="10" t="s">
        <v>152</v>
      </c>
      <c r="AR4" s="10" t="s">
        <v>153</v>
      </c>
      <c r="AS4" s="10" t="s">
        <v>313</v>
      </c>
      <c r="AT4" s="10" t="s">
        <v>314</v>
      </c>
      <c r="AU4" s="10" t="s">
        <v>315</v>
      </c>
      <c r="AV4" s="10" t="s">
        <v>316</v>
      </c>
      <c r="AW4" s="10" t="s">
        <v>317</v>
      </c>
      <c r="AX4" s="10" t="s">
        <v>318</v>
      </c>
      <c r="AY4" s="10" t="s">
        <v>319</v>
      </c>
      <c r="AZ4" s="10" t="s">
        <v>320</v>
      </c>
      <c r="BA4" s="10" t="s">
        <v>321</v>
      </c>
      <c r="BB4" s="10" t="s">
        <v>322</v>
      </c>
      <c r="BC4" s="10" t="s">
        <v>323</v>
      </c>
      <c r="BD4" s="10" t="s">
        <v>324</v>
      </c>
      <c r="BE4" s="10" t="s">
        <v>325</v>
      </c>
      <c r="BF4" s="10" t="s">
        <v>326</v>
      </c>
      <c r="BG4" s="10" t="s">
        <v>327</v>
      </c>
      <c r="BH4" s="10" t="s">
        <v>328</v>
      </c>
      <c r="BI4" s="10" t="s">
        <v>329</v>
      </c>
      <c r="BJ4" s="10" t="s">
        <v>330</v>
      </c>
      <c r="BK4" s="10" t="s">
        <v>331</v>
      </c>
      <c r="BL4" s="10" t="s">
        <v>332</v>
      </c>
      <c r="BM4" s="10" t="s">
        <v>333</v>
      </c>
      <c r="BN4" s="10" t="s">
        <v>334</v>
      </c>
      <c r="BO4" s="10" t="s">
        <v>335</v>
      </c>
      <c r="BP4" s="10" t="s">
        <v>336</v>
      </c>
      <c r="BQ4" s="10" t="s">
        <v>337</v>
      </c>
      <c r="BR4" s="10" t="s">
        <v>338</v>
      </c>
      <c r="BS4" s="10" t="s">
        <v>339</v>
      </c>
      <c r="BT4" s="10" t="s">
        <v>340</v>
      </c>
      <c r="BU4" s="10" t="s">
        <v>341</v>
      </c>
      <c r="BV4" s="10" t="s">
        <v>342</v>
      </c>
      <c r="BW4" s="10" t="s">
        <v>343</v>
      </c>
      <c r="BX4" s="10" t="s">
        <v>344</v>
      </c>
      <c r="BY4" s="10" t="s">
        <v>345</v>
      </c>
      <c r="BZ4" s="10" t="s">
        <v>346</v>
      </c>
      <c r="CA4" s="10" t="s">
        <v>347</v>
      </c>
      <c r="CB4" s="10" t="s">
        <v>348</v>
      </c>
      <c r="CC4" s="10" t="s">
        <v>349</v>
      </c>
      <c r="CD4" s="10" t="s">
        <v>350</v>
      </c>
      <c r="CE4" s="10" t="s">
        <v>351</v>
      </c>
      <c r="CF4" s="10" t="s">
        <v>352</v>
      </c>
      <c r="CG4" s="10" t="s">
        <v>353</v>
      </c>
      <c r="CH4" s="10" t="s">
        <v>354</v>
      </c>
      <c r="CI4" s="10" t="s">
        <v>355</v>
      </c>
      <c r="CJ4" s="10" t="s">
        <v>356</v>
      </c>
      <c r="CK4" s="10" t="s">
        <v>357</v>
      </c>
      <c r="CL4" s="10" t="s">
        <v>358</v>
      </c>
      <c r="CM4" s="10" t="s">
        <v>359</v>
      </c>
      <c r="CN4" s="10" t="s">
        <v>360</v>
      </c>
      <c r="CO4" s="10" t="s">
        <v>361</v>
      </c>
      <c r="CP4" s="10" t="s">
        <v>362</v>
      </c>
      <c r="CQ4" s="10" t="s">
        <v>363</v>
      </c>
      <c r="CR4" s="10" t="s">
        <v>364</v>
      </c>
      <c r="CS4" s="10" t="s">
        <v>365</v>
      </c>
      <c r="CT4" s="10" t="s">
        <v>366</v>
      </c>
      <c r="CU4" s="10" t="s">
        <v>367</v>
      </c>
      <c r="CV4" s="10" t="s">
        <v>368</v>
      </c>
      <c r="CW4" s="10" t="s">
        <v>369</v>
      </c>
      <c r="CX4" s="10" t="s">
        <v>370</v>
      </c>
      <c r="CY4" s="10" t="s">
        <v>371</v>
      </c>
      <c r="CZ4" s="10" t="s">
        <v>372</v>
      </c>
      <c r="DA4" s="10" t="s">
        <v>373</v>
      </c>
      <c r="DB4" s="11" t="s">
        <v>374</v>
      </c>
      <c r="DC4" s="85" t="s">
        <v>375</v>
      </c>
      <c r="DD4" s="86" t="s">
        <v>376</v>
      </c>
      <c r="DE4" s="86" t="s">
        <v>377</v>
      </c>
      <c r="DF4" s="86" t="s">
        <v>378</v>
      </c>
      <c r="DG4" s="86" t="s">
        <v>379</v>
      </c>
      <c r="DH4" s="86" t="s">
        <v>380</v>
      </c>
    </row>
    <row r="5" spans="1:112">
      <c r="A5" s="20">
        <v>45745</v>
      </c>
      <c r="B5" s="12">
        <f>YEAR([1]!Input_Raw[[#This Row],[Date]])+IF(MONTH([1]!Input_Raw[[#This Row],[Date]])&gt;=4,1,0)</f>
        <v>2025</v>
      </c>
      <c r="C5" s="13">
        <f>YEAR([1]!Input_Raw[[#This Row],[Date]])</f>
        <v>2025</v>
      </c>
      <c r="D5" s="14">
        <f t="shared" ref="D5:D43" si="2">A5-DAY(A5)+1</f>
        <v>45717</v>
      </c>
      <c r="E5" s="13">
        <f>DAY(EOMONTH([1]!Input_Raw[[#This Row],[Date]],0))</f>
        <v>31</v>
      </c>
      <c r="F5" s="15">
        <v>3576</v>
      </c>
      <c r="G5" s="15">
        <v>5244</v>
      </c>
      <c r="H5" s="15">
        <v>3376</v>
      </c>
      <c r="I5" s="15">
        <v>3992</v>
      </c>
      <c r="J5" s="15">
        <v>2114</v>
      </c>
      <c r="K5" s="15">
        <v>3446</v>
      </c>
      <c r="L5" s="15">
        <v>4316</v>
      </c>
      <c r="M5" s="15">
        <v>4376</v>
      </c>
      <c r="N5" s="15">
        <v>3336</v>
      </c>
      <c r="O5" s="15">
        <v>2784</v>
      </c>
      <c r="P5" s="15">
        <v>3724</v>
      </c>
      <c r="Q5" s="15">
        <v>4284</v>
      </c>
      <c r="R5" s="15">
        <v>4556</v>
      </c>
      <c r="S5" s="15">
        <v>5446</v>
      </c>
      <c r="T5" s="15">
        <v>4725</v>
      </c>
      <c r="U5" s="15">
        <v>3332</v>
      </c>
      <c r="V5" s="15">
        <v>3446</v>
      </c>
      <c r="W5" s="15">
        <v>3780</v>
      </c>
      <c r="X5" s="15">
        <v>4017</v>
      </c>
      <c r="Y5" s="15">
        <v>5100</v>
      </c>
      <c r="Z5" s="15">
        <v>4216</v>
      </c>
      <c r="AA5" s="15">
        <v>2780</v>
      </c>
      <c r="AB5" s="15">
        <v>1846</v>
      </c>
      <c r="AC5" s="15">
        <v>2882</v>
      </c>
      <c r="AD5" s="15">
        <v>2546</v>
      </c>
      <c r="AE5" s="15">
        <v>3164</v>
      </c>
      <c r="AF5" s="15">
        <v>2420</v>
      </c>
      <c r="AG5" s="88">
        <v>0</v>
      </c>
      <c r="AH5" s="15">
        <v>2614</v>
      </c>
      <c r="AI5" s="15">
        <v>0</v>
      </c>
      <c r="AJ5" s="15">
        <v>2684</v>
      </c>
      <c r="AK5" s="15">
        <v>2107</v>
      </c>
      <c r="AL5" s="15">
        <v>2688</v>
      </c>
      <c r="AM5" s="15">
        <v>2976</v>
      </c>
      <c r="AN5" s="15">
        <v>2792</v>
      </c>
      <c r="AO5" s="15">
        <v>2818</v>
      </c>
      <c r="AP5" s="15">
        <v>2858</v>
      </c>
      <c r="AQ5" s="15">
        <v>2612</v>
      </c>
      <c r="AR5" s="15">
        <v>2788</v>
      </c>
      <c r="AS5" s="16">
        <v>3.93</v>
      </c>
      <c r="AT5" s="16">
        <v>3.99</v>
      </c>
      <c r="AU5" s="16">
        <v>3.9</v>
      </c>
      <c r="AV5" s="16">
        <v>3.78</v>
      </c>
      <c r="AW5" s="16">
        <v>3.4</v>
      </c>
      <c r="AX5" s="16">
        <v>4.13</v>
      </c>
      <c r="AY5" s="16">
        <v>3.8</v>
      </c>
      <c r="AZ5" s="16">
        <v>4.05</v>
      </c>
      <c r="BA5" s="16">
        <v>3.76</v>
      </c>
      <c r="BB5" s="16">
        <v>3.86</v>
      </c>
      <c r="BC5" s="16">
        <v>4.0599999999999996</v>
      </c>
      <c r="BD5" s="16">
        <v>3.98</v>
      </c>
      <c r="BE5" s="16">
        <v>4.04</v>
      </c>
      <c r="BF5" s="16">
        <v>4.03</v>
      </c>
      <c r="BG5" s="16">
        <v>3.88</v>
      </c>
      <c r="BH5" s="16">
        <v>4.18</v>
      </c>
      <c r="BI5" s="16">
        <v>3.41</v>
      </c>
      <c r="BJ5" s="16">
        <v>4.09</v>
      </c>
      <c r="BK5" s="16">
        <v>4.29</v>
      </c>
      <c r="BL5" s="16">
        <v>4.0599999999999996</v>
      </c>
      <c r="BM5" s="16">
        <v>4.5</v>
      </c>
      <c r="BN5" s="16">
        <v>3.75</v>
      </c>
      <c r="BO5" s="16">
        <v>3.14</v>
      </c>
      <c r="BP5" s="16">
        <v>3.53</v>
      </c>
      <c r="BQ5" s="16">
        <v>3.02</v>
      </c>
      <c r="BR5" s="16">
        <v>3.42</v>
      </c>
      <c r="BS5" s="16">
        <v>3.48</v>
      </c>
      <c r="BT5" s="16">
        <v>0</v>
      </c>
      <c r="BU5" s="16">
        <v>3.31</v>
      </c>
      <c r="BV5" s="16">
        <v>0</v>
      </c>
      <c r="BW5" s="16">
        <v>3.29</v>
      </c>
      <c r="BX5" s="16">
        <v>3.51</v>
      </c>
      <c r="BY5" s="16">
        <v>3.38</v>
      </c>
      <c r="BZ5" s="16">
        <v>3.42</v>
      </c>
      <c r="CA5" s="16">
        <v>3.69</v>
      </c>
      <c r="CB5" s="16">
        <v>3.98</v>
      </c>
      <c r="CC5" s="16">
        <v>3.43</v>
      </c>
      <c r="CD5" s="16">
        <v>3.41</v>
      </c>
      <c r="CE5" s="16">
        <v>3.47</v>
      </c>
      <c r="CF5" s="17">
        <f>SUM(Input_Raw[[#This Row],[G01]:[G40]])</f>
        <v>125761</v>
      </c>
      <c r="CG5" s="18">
        <f>IFERROR(AVERAGE(Input_Raw[[#This Row],[WS_G01]:[WS_G40]]),"")</f>
        <v>3.5474358974358982</v>
      </c>
      <c r="CH5" s="19"/>
      <c r="CI5" s="19"/>
      <c r="CJ5" s="15">
        <v>237611</v>
      </c>
      <c r="CK5" s="15">
        <v>2156</v>
      </c>
      <c r="CL5" s="15">
        <v>278009</v>
      </c>
      <c r="CM5" s="15">
        <v>2188</v>
      </c>
      <c r="CN5" s="15">
        <v>253479</v>
      </c>
      <c r="CO5" s="15">
        <v>1795</v>
      </c>
      <c r="CP5" s="15">
        <v>289037</v>
      </c>
      <c r="CQ5" s="15">
        <v>1839</v>
      </c>
      <c r="CR5" s="91" t="e">
        <f>IF(((Input_Raw[[#This Row],[33 kV_Wind_F1_Export reading]]-#REF!)*1200)&gt;0,(Input_Raw[[#This Row],[33 kV_Wind_F1_Export reading]]-#REF!)*1200,0)</f>
        <v>#REF!</v>
      </c>
      <c r="CS5" s="91" t="e">
        <f>IF(((Input_Raw[[#This Row],[33 kV_Wind_F1_Import reading]]-#REF!)*1200)&gt;0,(Input_Raw[[#This Row],[33 kV_Wind_F1_Import reading]]-#REF!)*1200,0)</f>
        <v>#REF!</v>
      </c>
      <c r="CT5" s="91" t="e">
        <f>IF(((Input_Raw[[#This Row],[33 kV_Wind_F2_Export_reading]]-#REF!)*1200)&gt;0,(Input_Raw[[#This Row],[33 kV_Wind_F2_Export_reading]]-#REF!)*1200,0)</f>
        <v>#REF!</v>
      </c>
      <c r="CU5" s="91" t="e">
        <f>IF(((Input_Raw[[#This Row],[33 kV_Wind_F2_Import_reading]]-#REF!)*1200)&gt;0,(Input_Raw[[#This Row],[33 kV_Wind_F2_Import_reading]]-#REF!)*1200,0)</f>
        <v>#REF!</v>
      </c>
      <c r="CV5" s="91" t="e">
        <f>IF(((Input_Raw[[#This Row],[33 kV_Wind_F3_Export_Reading]]-#REF!)*1200)&gt;0,(Input_Raw[[#This Row],[33 kV_Wind_F3_Export_Reading]]-#REF!)*1200,0)</f>
        <v>#REF!</v>
      </c>
      <c r="CW5" s="91" t="e">
        <f>IF(((Input_Raw[[#This Row],[33 kV_Wind_F3_Import_Reading]]-#REF!)*1200)&gt;0,(Input_Raw[[#This Row],[33 kV_Wind_F3_Import_Reading]]-#REF!)*1200,0)</f>
        <v>#REF!</v>
      </c>
      <c r="CX5" s="91" t="e">
        <f>IF(((Input_Raw[[#This Row],[33 kV_Wind_F4_Export Reading]]-#REF!)*1200)&gt;0,(Input_Raw[[#This Row],[33 kV_Wind_F4_Export Reading]]-#REF!)*1200,0)</f>
        <v>#REF!</v>
      </c>
      <c r="CY5" s="91" t="e">
        <f>IF(((Input_Raw[[#This Row],[33 kV_Wind_F4_Import Reading]]-#REF!)*1200)&gt;0,(Input_Raw[[#This Row],[33 kV_Wind_F4_Import Reading]]-#REF!)*1200,0)</f>
        <v>#REF!</v>
      </c>
      <c r="CZ5" s="91" t="e">
        <f>Input_Raw[[#This Row],[33 kV_F1_Total_Export (KWh)]]+Input_Raw[[#This Row],[33 kV_F2_Total_Export (KWh)2]]+Input_Raw[[#This Row],[33 kV_Wind_F3_Export (KWh)]]+Input_Raw[[#This Row],[33 kV_Wind_F4_Export (KWh)]]</f>
        <v>#REF!</v>
      </c>
      <c r="DA5" s="91" t="e">
        <f>Input_Raw[[#This Row],[33 kV_Wind_F1_Import (KWh)]]+Input_Raw[[#This Row],[33 kV_Wind_F2_Import (KWh)]]+Input_Raw[[#This Row],[33 kV_Wind_F3_Import (KWh)2]]+Input_Raw[[#This Row],[33 kV_Wind_F4_Import (KWh)2]]</f>
        <v>#REF!</v>
      </c>
      <c r="DB5" s="21">
        <f>IFERROR(1-Input_Raw[[#This Row],[33 kV_Wind_Total_Export (KWh)]]/Input_Raw[[#This Row],[WTG Total Gneration (KWh)]],0)</f>
        <v>0</v>
      </c>
      <c r="DC5" s="87">
        <v>0</v>
      </c>
      <c r="DD5" s="90">
        <v>0</v>
      </c>
      <c r="DE5" s="102"/>
      <c r="DF5" s="99"/>
      <c r="DG5" s="101">
        <v>80</v>
      </c>
      <c r="DH5" s="99"/>
    </row>
    <row r="6" spans="1:112">
      <c r="A6" s="20">
        <f t="shared" ref="A6:A38" si="3">A5+1</f>
        <v>45746</v>
      </c>
      <c r="B6" s="12">
        <f>YEAR([1]!Input_Raw[[#This Row],[Date]])+IF(MONTH([1]!Input_Raw[[#This Row],[Date]])&gt;=4,1,0)</f>
        <v>2025</v>
      </c>
      <c r="C6" s="13">
        <f>YEAR([1]!Input_Raw[[#This Row],[Date]])</f>
        <v>2025</v>
      </c>
      <c r="D6" s="14">
        <f t="shared" si="2"/>
        <v>45717</v>
      </c>
      <c r="E6" s="13">
        <f>DAY(EOMONTH([1]!Input_Raw[[#This Row],[Date]],0))</f>
        <v>31</v>
      </c>
      <c r="F6" s="15">
        <v>2552</v>
      </c>
      <c r="G6" s="15">
        <v>3752</v>
      </c>
      <c r="H6" s="15">
        <v>2170</v>
      </c>
      <c r="I6" s="15">
        <v>3336</v>
      </c>
      <c r="J6" s="15">
        <v>2196</v>
      </c>
      <c r="K6" s="15">
        <v>2804</v>
      </c>
      <c r="L6" s="15">
        <v>3645</v>
      </c>
      <c r="M6" s="15">
        <v>3288</v>
      </c>
      <c r="N6" s="15">
        <v>3376</v>
      </c>
      <c r="O6" s="15">
        <v>3000</v>
      </c>
      <c r="P6" s="15">
        <v>2864</v>
      </c>
      <c r="Q6" s="15">
        <v>3892</v>
      </c>
      <c r="R6" s="15">
        <v>3398</v>
      </c>
      <c r="S6" s="15">
        <v>3550</v>
      </c>
      <c r="T6" s="15">
        <v>3998</v>
      </c>
      <c r="U6" s="15">
        <v>3892</v>
      </c>
      <c r="V6" s="15">
        <v>3980</v>
      </c>
      <c r="W6" s="15">
        <v>3348</v>
      </c>
      <c r="X6" s="15">
        <v>3505</v>
      </c>
      <c r="Y6" s="15">
        <v>3775</v>
      </c>
      <c r="Z6" s="15">
        <v>3630</v>
      </c>
      <c r="AA6" s="15">
        <v>2556</v>
      </c>
      <c r="AB6" s="15">
        <v>1802</v>
      </c>
      <c r="AC6" s="15">
        <v>2822</v>
      </c>
      <c r="AD6" s="15">
        <v>2672</v>
      </c>
      <c r="AE6" s="15">
        <v>2662</v>
      </c>
      <c r="AF6" s="15">
        <v>1552</v>
      </c>
      <c r="AG6" s="88">
        <v>0</v>
      </c>
      <c r="AH6" s="15">
        <v>2712</v>
      </c>
      <c r="AI6" s="15">
        <v>0</v>
      </c>
      <c r="AJ6" s="15">
        <v>2760</v>
      </c>
      <c r="AK6" s="15">
        <v>2289</v>
      </c>
      <c r="AL6" s="15">
        <v>2512</v>
      </c>
      <c r="AM6" s="15">
        <v>2838</v>
      </c>
      <c r="AN6" s="15">
        <v>3150</v>
      </c>
      <c r="AO6" s="15">
        <v>2882</v>
      </c>
      <c r="AP6" s="15">
        <v>2772</v>
      </c>
      <c r="AQ6" s="15">
        <v>2708</v>
      </c>
      <c r="AR6" s="15">
        <v>2791</v>
      </c>
      <c r="AS6" s="16">
        <v>3.21</v>
      </c>
      <c r="AT6" s="16">
        <v>3.42</v>
      </c>
      <c r="AU6" s="16">
        <v>3.52</v>
      </c>
      <c r="AV6" s="16">
        <v>3.63</v>
      </c>
      <c r="AW6" s="16">
        <v>3.23</v>
      </c>
      <c r="AX6" s="16">
        <v>3.53</v>
      </c>
      <c r="AY6" s="16">
        <v>3.4</v>
      </c>
      <c r="AZ6" s="16">
        <v>3.17</v>
      </c>
      <c r="BA6" s="16">
        <v>3.02</v>
      </c>
      <c r="BB6" s="16">
        <v>3.2</v>
      </c>
      <c r="BC6" s="16">
        <v>3.52</v>
      </c>
      <c r="BD6" s="16">
        <v>3.17</v>
      </c>
      <c r="BE6" s="16">
        <v>4.3600000000000003</v>
      </c>
      <c r="BF6" s="16">
        <v>4.09</v>
      </c>
      <c r="BG6" s="16">
        <v>4.46</v>
      </c>
      <c r="BH6" s="16">
        <v>4.3600000000000003</v>
      </c>
      <c r="BI6" s="16">
        <v>4.67</v>
      </c>
      <c r="BJ6" s="16">
        <v>4.28</v>
      </c>
      <c r="BK6" s="16">
        <v>4.4400000000000004</v>
      </c>
      <c r="BL6" s="16">
        <v>4.5</v>
      </c>
      <c r="BM6" s="16">
        <v>4.1100000000000003</v>
      </c>
      <c r="BN6" s="16">
        <v>3.93</v>
      </c>
      <c r="BO6" s="16">
        <v>4.13</v>
      </c>
      <c r="BP6" s="16">
        <v>4.08</v>
      </c>
      <c r="BQ6" s="16">
        <v>3.47</v>
      </c>
      <c r="BR6" s="16">
        <v>3.92</v>
      </c>
      <c r="BS6" s="16">
        <v>3.89</v>
      </c>
      <c r="BT6" s="16">
        <v>0</v>
      </c>
      <c r="BU6" s="16">
        <v>3.8</v>
      </c>
      <c r="BV6" s="16">
        <v>0</v>
      </c>
      <c r="BW6" s="16">
        <v>3.61</v>
      </c>
      <c r="BX6" s="16">
        <v>3.69</v>
      </c>
      <c r="BY6" s="16">
        <v>3.51</v>
      </c>
      <c r="BZ6" s="16">
        <v>3.72</v>
      </c>
      <c r="CA6" s="16">
        <v>3.87</v>
      </c>
      <c r="CB6" s="16">
        <v>3.73</v>
      </c>
      <c r="CC6" s="16">
        <v>3.54</v>
      </c>
      <c r="CD6" s="16">
        <v>3.45</v>
      </c>
      <c r="CE6" s="16">
        <v>3.53</v>
      </c>
      <c r="CF6" s="17">
        <f>SUM(Input_Raw[[#This Row],[G01]:[G40]])</f>
        <v>111431</v>
      </c>
      <c r="CG6" s="18">
        <f>IFERROR(AVERAGE(Input_Raw[[#This Row],[WS_G01]:[WS_G40]]),"")</f>
        <v>3.5682051282051273</v>
      </c>
      <c r="CH6" s="19"/>
      <c r="CI6" s="19"/>
      <c r="CJ6" s="15">
        <v>237629</v>
      </c>
      <c r="CK6" s="15">
        <v>2157</v>
      </c>
      <c r="CL6" s="15">
        <v>278030</v>
      </c>
      <c r="CM6" s="15">
        <v>2189</v>
      </c>
      <c r="CN6" s="15">
        <v>253501</v>
      </c>
      <c r="CO6" s="15">
        <v>1796</v>
      </c>
      <c r="CP6" s="15">
        <v>289059</v>
      </c>
      <c r="CQ6" s="15">
        <v>1840</v>
      </c>
      <c r="CR6" s="91">
        <f>IF(((Input_Raw[[#This Row],[33 kV_Wind_F1_Export reading]]-CJ5)*1200)&gt;0,(Input_Raw[[#This Row],[33 kV_Wind_F1_Export reading]]-CJ5)*1200,0)</f>
        <v>21600</v>
      </c>
      <c r="CS6" s="91">
        <f>IF(((Input_Raw[[#This Row],[33 kV_Wind_F1_Import reading]]-CK5)*1200)&gt;0,(Input_Raw[[#This Row],[33 kV_Wind_F1_Import reading]]-CK5)*1200,0)</f>
        <v>1200</v>
      </c>
      <c r="CT6" s="91">
        <f>IF(((Input_Raw[[#This Row],[33 kV_Wind_F2_Export_reading]]-CL5)*1200)&gt;0,(Input_Raw[[#This Row],[33 kV_Wind_F2_Export_reading]]-CL5)*1200,0)</f>
        <v>25200</v>
      </c>
      <c r="CU6" s="91">
        <f>IF(((Input_Raw[[#This Row],[33 kV_Wind_F2_Import_reading]]-CM5)*1200)&gt;0,(Input_Raw[[#This Row],[33 kV_Wind_F2_Import_reading]]-CM5)*1200,0)</f>
        <v>1200</v>
      </c>
      <c r="CV6" s="91">
        <f>IF(((Input_Raw[[#This Row],[33 kV_Wind_F3_Export_Reading]]-CN5)*1200)&gt;0,(Input_Raw[[#This Row],[33 kV_Wind_F3_Export_Reading]]-CN5)*1200,0)</f>
        <v>26400</v>
      </c>
      <c r="CW6" s="91">
        <f>IF(((Input_Raw[[#This Row],[33 kV_Wind_F3_Import_Reading]]-CO5)*1200)&gt;0,(Input_Raw[[#This Row],[33 kV_Wind_F3_Import_Reading]]-CO5)*1200,0)</f>
        <v>1200</v>
      </c>
      <c r="CX6" s="91">
        <f>IF(((Input_Raw[[#This Row],[33 kV_Wind_F4_Export Reading]]-CP5)*1200)&gt;0,(Input_Raw[[#This Row],[33 kV_Wind_F4_Export Reading]]-CP5)*1200,0)</f>
        <v>26400</v>
      </c>
      <c r="CY6" s="91">
        <f>IF(((Input_Raw[[#This Row],[33 kV_Wind_F4_Import Reading]]-CQ5)*1200)&gt;0,(Input_Raw[[#This Row],[33 kV_Wind_F4_Import Reading]]-CQ5)*1200,0)</f>
        <v>1200</v>
      </c>
      <c r="CZ6" s="91">
        <f>Input_Raw[[#This Row],[33 kV_F1_Total_Export (KWh)]]+Input_Raw[[#This Row],[33 kV_F2_Total_Export (KWh)2]]+Input_Raw[[#This Row],[33 kV_Wind_F3_Export (KWh)]]+Input_Raw[[#This Row],[33 kV_Wind_F4_Export (KWh)]]</f>
        <v>99600</v>
      </c>
      <c r="DA6" s="91">
        <f>Input_Raw[[#This Row],[33 kV_Wind_F1_Import (KWh)]]+Input_Raw[[#This Row],[33 kV_Wind_F2_Import (KWh)]]+Input_Raw[[#This Row],[33 kV_Wind_F3_Import (KWh)2]]+Input_Raw[[#This Row],[33 kV_Wind_F4_Import (KWh)2]]</f>
        <v>4800</v>
      </c>
      <c r="DB6" s="21">
        <f>IFERROR(1-Input_Raw[[#This Row],[33 kV_Wind_Total_Export (KWh)]]/Input_Raw[[#This Row],[WTG Total Gneration (KWh)]],0)</f>
        <v>0.10617332699159121</v>
      </c>
      <c r="DC6" s="87">
        <v>96</v>
      </c>
      <c r="DD6" s="90">
        <v>2931</v>
      </c>
      <c r="DE6" s="102"/>
      <c r="DF6" s="99"/>
      <c r="DG6" s="101">
        <v>80</v>
      </c>
      <c r="DH6" s="99"/>
    </row>
    <row r="7" spans="1:112">
      <c r="A7" s="20">
        <f t="shared" si="3"/>
        <v>45747</v>
      </c>
      <c r="B7" s="12">
        <f>YEAR([1]!Input_Raw[[#This Row],[Date]])+IF(MONTH([1]!Input_Raw[[#This Row],[Date]])&gt;=4,1,0)</f>
        <v>2025</v>
      </c>
      <c r="C7" s="13">
        <f>YEAR([1]!Input_Raw[[#This Row],[Date]])</f>
        <v>2025</v>
      </c>
      <c r="D7" s="14">
        <f t="shared" si="2"/>
        <v>45717</v>
      </c>
      <c r="E7" s="13">
        <f>DAY(EOMONTH([1]!Input_Raw[[#This Row],[Date]],0))</f>
        <v>31</v>
      </c>
      <c r="F7" s="15">
        <v>9436</v>
      </c>
      <c r="G7" s="15">
        <v>10444</v>
      </c>
      <c r="H7" s="15">
        <v>8994</v>
      </c>
      <c r="I7" s="15">
        <v>7992</v>
      </c>
      <c r="J7" s="15">
        <v>5532</v>
      </c>
      <c r="K7" s="15">
        <v>8810</v>
      </c>
      <c r="L7" s="15">
        <v>6040</v>
      </c>
      <c r="M7" s="15">
        <v>8864</v>
      </c>
      <c r="N7" s="15">
        <v>8552</v>
      </c>
      <c r="O7" s="15">
        <v>7384</v>
      </c>
      <c r="P7" s="15">
        <v>9876</v>
      </c>
      <c r="Q7" s="15">
        <v>5883</v>
      </c>
      <c r="R7" s="15">
        <v>7698</v>
      </c>
      <c r="S7" s="15">
        <v>7408</v>
      </c>
      <c r="T7" s="15">
        <v>6173</v>
      </c>
      <c r="U7" s="15">
        <v>7064</v>
      </c>
      <c r="V7" s="15">
        <v>8016</v>
      </c>
      <c r="W7" s="15">
        <v>6908</v>
      </c>
      <c r="X7" s="15">
        <v>8564</v>
      </c>
      <c r="Y7" s="15">
        <v>10477</v>
      </c>
      <c r="Z7" s="15">
        <v>6850</v>
      </c>
      <c r="AA7" s="15">
        <v>3920</v>
      </c>
      <c r="AB7" s="15">
        <v>4886</v>
      </c>
      <c r="AC7" s="15">
        <v>7082</v>
      </c>
      <c r="AD7" s="15">
        <v>5480</v>
      </c>
      <c r="AE7" s="15">
        <v>6348</v>
      </c>
      <c r="AF7" s="15">
        <v>6006</v>
      </c>
      <c r="AG7" s="15">
        <v>0</v>
      </c>
      <c r="AH7" s="15">
        <v>4162</v>
      </c>
      <c r="AI7" s="15">
        <v>0</v>
      </c>
      <c r="AJ7" s="15">
        <v>5080</v>
      </c>
      <c r="AK7" s="15">
        <v>6703</v>
      </c>
      <c r="AL7" s="15">
        <v>7996</v>
      </c>
      <c r="AM7" s="15">
        <v>4764</v>
      </c>
      <c r="AN7" s="15">
        <v>4792</v>
      </c>
      <c r="AO7" s="15">
        <v>5596</v>
      </c>
      <c r="AP7" s="15">
        <v>6680</v>
      </c>
      <c r="AQ7" s="15">
        <v>7552</v>
      </c>
      <c r="AR7" s="15">
        <v>4105</v>
      </c>
      <c r="AS7" s="16">
        <v>4.76</v>
      </c>
      <c r="AT7" s="16">
        <v>4.88</v>
      </c>
      <c r="AU7" s="16">
        <v>4.8</v>
      </c>
      <c r="AV7" s="16">
        <v>4.6500000000000004</v>
      </c>
      <c r="AW7" s="16">
        <v>4.2699999999999996</v>
      </c>
      <c r="AX7" s="16">
        <v>5.04</v>
      </c>
      <c r="AY7" s="16">
        <v>5.09</v>
      </c>
      <c r="AZ7" s="16">
        <v>4.76</v>
      </c>
      <c r="BA7" s="16">
        <v>4.82</v>
      </c>
      <c r="BB7" s="16">
        <v>4.8</v>
      </c>
      <c r="BC7" s="16">
        <v>4.93</v>
      </c>
      <c r="BD7" s="16">
        <v>4.74</v>
      </c>
      <c r="BE7" s="16">
        <v>4.55</v>
      </c>
      <c r="BF7" s="16">
        <v>4.63</v>
      </c>
      <c r="BG7" s="16">
        <v>4.57</v>
      </c>
      <c r="BH7" s="16">
        <v>4.63</v>
      </c>
      <c r="BI7" s="16">
        <v>4.82</v>
      </c>
      <c r="BJ7" s="16">
        <v>4.84</v>
      </c>
      <c r="BK7" s="16">
        <v>4.83</v>
      </c>
      <c r="BL7" s="16">
        <v>5.0999999999999996</v>
      </c>
      <c r="BM7" s="16">
        <v>4.76</v>
      </c>
      <c r="BN7" s="16">
        <v>4.34</v>
      </c>
      <c r="BO7" s="16">
        <v>4.24</v>
      </c>
      <c r="BP7" s="16">
        <v>4.4800000000000004</v>
      </c>
      <c r="BQ7" s="16">
        <v>4.55</v>
      </c>
      <c r="BR7" s="16">
        <v>4.34</v>
      </c>
      <c r="BS7" s="16">
        <v>4.26</v>
      </c>
      <c r="BT7" s="16">
        <v>0</v>
      </c>
      <c r="BU7" s="16">
        <v>3.79</v>
      </c>
      <c r="BV7" s="16">
        <v>0</v>
      </c>
      <c r="BW7" s="16">
        <v>4.37</v>
      </c>
      <c r="BX7" s="16">
        <v>4.3</v>
      </c>
      <c r="BY7" s="16">
        <v>4.4800000000000004</v>
      </c>
      <c r="BZ7" s="16">
        <v>4.78</v>
      </c>
      <c r="CA7" s="16">
        <v>4.74</v>
      </c>
      <c r="CB7" s="16">
        <v>4.25</v>
      </c>
      <c r="CC7" s="16">
        <v>4.4400000000000004</v>
      </c>
      <c r="CD7" s="16">
        <v>4.59</v>
      </c>
      <c r="CE7" s="16">
        <v>5.03</v>
      </c>
      <c r="CF7" s="17">
        <f>SUM(Input_Raw[[#This Row],[G01]:[G40]])</f>
        <v>258117</v>
      </c>
      <c r="CG7" s="18">
        <f>IFERROR(AVERAGE(Input_Raw[[#This Row],[WS_G01]:[WS_G40]]),"")</f>
        <v>4.3910256410256414</v>
      </c>
      <c r="CH7" s="19"/>
      <c r="CI7" s="19"/>
      <c r="CJ7" s="15">
        <v>237670</v>
      </c>
      <c r="CK7" s="15">
        <v>2158</v>
      </c>
      <c r="CL7" s="15">
        <v>278051</v>
      </c>
      <c r="CM7" s="15">
        <v>2189</v>
      </c>
      <c r="CN7" s="15">
        <v>253571</v>
      </c>
      <c r="CO7" s="15">
        <v>1796</v>
      </c>
      <c r="CP7" s="15">
        <v>289136</v>
      </c>
      <c r="CQ7" s="15">
        <v>1841</v>
      </c>
      <c r="CR7" s="91">
        <f>IF(((Input_Raw[[#This Row],[33 kV_Wind_F1_Export reading]]-CJ6)*1200)&gt;0,(Input_Raw[[#This Row],[33 kV_Wind_F1_Export reading]]-CJ6)*1200,0)</f>
        <v>49200</v>
      </c>
      <c r="CS7" s="91">
        <f>IF(((Input_Raw[[#This Row],[33 kV_Wind_F1_Import reading]]-CK6)*1200)&gt;0,(Input_Raw[[#This Row],[33 kV_Wind_F1_Import reading]]-CK6)*1200,0)</f>
        <v>1200</v>
      </c>
      <c r="CT7" s="91">
        <f>IF(((Input_Raw[[#This Row],[33 kV_Wind_F2_Export_reading]]-CL6)*1200)&gt;0,(Input_Raw[[#This Row],[33 kV_Wind_F2_Export_reading]]-CL6)*1200,0)</f>
        <v>25200</v>
      </c>
      <c r="CU7" s="91">
        <f>IF(((Input_Raw[[#This Row],[33 kV_Wind_F2_Import_reading]]-CM6)*1200)&gt;0,(Input_Raw[[#This Row],[33 kV_Wind_F2_Import_reading]]-CM6)*1200,0)</f>
        <v>0</v>
      </c>
      <c r="CV7" s="91">
        <f>IF(((Input_Raw[[#This Row],[33 kV_Wind_F3_Export_Reading]]-CN6)*1200)&gt;0,(Input_Raw[[#This Row],[33 kV_Wind_F3_Export_Reading]]-CN6)*1200,0)</f>
        <v>84000</v>
      </c>
      <c r="CW7" s="91">
        <f>IF(((Input_Raw[[#This Row],[33 kV_Wind_F3_Import_Reading]]-CO6)*1200)&gt;0,(Input_Raw[[#This Row],[33 kV_Wind_F3_Import_Reading]]-CO6)*1200,0)</f>
        <v>0</v>
      </c>
      <c r="CX7" s="91">
        <f>IF(((Input_Raw[[#This Row],[33 kV_Wind_F4_Export Reading]]-CP6)*1200)&gt;0,(Input_Raw[[#This Row],[33 kV_Wind_F4_Export Reading]]-CP6)*1200,0)</f>
        <v>92400</v>
      </c>
      <c r="CY7" s="91">
        <f>IF(((Input_Raw[[#This Row],[33 kV_Wind_F4_Import Reading]]-CQ6)*1200)&gt;0,(Input_Raw[[#This Row],[33 kV_Wind_F4_Import Reading]]-CQ6)*1200,0)</f>
        <v>1200</v>
      </c>
      <c r="CZ7" s="91">
        <f>Input_Raw[[#This Row],[33 kV_F1_Total_Export (KWh)]]+Input_Raw[[#This Row],[33 kV_F2_Total_Export (KWh)2]]+Input_Raw[[#This Row],[33 kV_Wind_F3_Export (KWh)]]+Input_Raw[[#This Row],[33 kV_Wind_F4_Export (KWh)]]</f>
        <v>250800</v>
      </c>
      <c r="DA7" s="91">
        <f>Input_Raw[[#This Row],[33 kV_Wind_F1_Import (KWh)]]+Input_Raw[[#This Row],[33 kV_Wind_F2_Import (KWh)]]+Input_Raw[[#This Row],[33 kV_Wind_F3_Import (KWh)2]]+Input_Raw[[#This Row],[33 kV_Wind_F4_Import (KWh)2]]</f>
        <v>2400</v>
      </c>
      <c r="DB7" s="21">
        <f>IFERROR(1-Input_Raw[[#This Row],[33 kV_Wind_Total_Export (KWh)]]/Input_Raw[[#This Row],[WTG Total Gneration (KWh)]],0)</f>
        <v>2.8347609804855955E-2</v>
      </c>
      <c r="DC7" s="87">
        <v>96</v>
      </c>
      <c r="DD7" s="90">
        <v>17068</v>
      </c>
      <c r="DE7" s="102"/>
      <c r="DF7" s="99"/>
      <c r="DG7" s="101">
        <v>80</v>
      </c>
      <c r="DH7" s="99"/>
    </row>
    <row r="8" spans="1:112">
      <c r="A8" s="20">
        <f t="shared" si="3"/>
        <v>45748</v>
      </c>
      <c r="B8" s="12">
        <f>YEAR([1]!Input_Raw[[#This Row],[Date]])+IF(MONTH([1]!Input_Raw[[#This Row],[Date]])&gt;=4,1,0)</f>
        <v>2026</v>
      </c>
      <c r="C8" s="13">
        <f>YEAR([1]!Input_Raw[[#This Row],[Date]])</f>
        <v>2025</v>
      </c>
      <c r="D8" s="14">
        <f t="shared" si="2"/>
        <v>45748</v>
      </c>
      <c r="E8" s="13">
        <f>DAY(EOMONTH([1]!Input_Raw[[#This Row],[Date]],0))</f>
        <v>30</v>
      </c>
      <c r="F8" s="15">
        <v>3664</v>
      </c>
      <c r="G8" s="15">
        <v>7960</v>
      </c>
      <c r="H8" s="15">
        <v>5356</v>
      </c>
      <c r="I8" s="15">
        <v>5976</v>
      </c>
      <c r="J8" s="15">
        <v>4726</v>
      </c>
      <c r="K8" s="15">
        <v>7228</v>
      </c>
      <c r="L8" s="15">
        <v>6951</v>
      </c>
      <c r="M8" s="15">
        <v>6252</v>
      </c>
      <c r="N8" s="15">
        <v>5836</v>
      </c>
      <c r="O8" s="15">
        <v>6356</v>
      </c>
      <c r="P8" s="15">
        <v>6456</v>
      </c>
      <c r="Q8" s="15">
        <v>6719</v>
      </c>
      <c r="R8" s="15">
        <v>5686</v>
      </c>
      <c r="S8" s="15">
        <v>4942</v>
      </c>
      <c r="T8" s="15">
        <v>4039</v>
      </c>
      <c r="U8" s="15">
        <v>5316</v>
      </c>
      <c r="V8" s="15">
        <v>6766</v>
      </c>
      <c r="W8" s="15">
        <v>6572</v>
      </c>
      <c r="X8" s="15">
        <v>6788</v>
      </c>
      <c r="Y8" s="15">
        <v>7386</v>
      </c>
      <c r="Z8" s="15">
        <v>5148</v>
      </c>
      <c r="AA8" s="15">
        <v>4276</v>
      </c>
      <c r="AB8" s="15">
        <v>5832</v>
      </c>
      <c r="AC8" s="15">
        <v>7202</v>
      </c>
      <c r="AD8" s="15">
        <v>5834</v>
      </c>
      <c r="AE8" s="15">
        <v>6752</v>
      </c>
      <c r="AF8" s="15">
        <v>6260</v>
      </c>
      <c r="AG8" s="88">
        <v>0</v>
      </c>
      <c r="AH8" s="15">
        <v>3918</v>
      </c>
      <c r="AI8" s="15">
        <v>0</v>
      </c>
      <c r="AJ8" s="15">
        <v>5518</v>
      </c>
      <c r="AK8" s="15">
        <v>6091</v>
      </c>
      <c r="AL8" s="15">
        <v>7280</v>
      </c>
      <c r="AM8" s="15">
        <v>5474</v>
      </c>
      <c r="AN8" s="15">
        <v>3390</v>
      </c>
      <c r="AO8" s="15">
        <v>7150</v>
      </c>
      <c r="AP8" s="15">
        <v>5240</v>
      </c>
      <c r="AQ8" s="15">
        <v>6772</v>
      </c>
      <c r="AR8" s="15">
        <v>3752</v>
      </c>
      <c r="AS8" s="16">
        <v>4.58</v>
      </c>
      <c r="AT8" s="16">
        <v>4.46</v>
      </c>
      <c r="AU8" s="16">
        <v>3.97</v>
      </c>
      <c r="AV8" s="16">
        <v>4.1500000000000004</v>
      </c>
      <c r="AW8" s="16">
        <v>3.78</v>
      </c>
      <c r="AX8" s="16">
        <v>4.38</v>
      </c>
      <c r="AY8" s="16">
        <v>4.4000000000000004</v>
      </c>
      <c r="AZ8" s="16">
        <v>4.13</v>
      </c>
      <c r="BA8" s="16">
        <v>4.08</v>
      </c>
      <c r="BB8" s="16">
        <v>3.95</v>
      </c>
      <c r="BC8" s="16">
        <v>4.01</v>
      </c>
      <c r="BD8" s="16">
        <v>4.04</v>
      </c>
      <c r="BE8" s="16">
        <v>3.98</v>
      </c>
      <c r="BF8" s="16">
        <v>3.84</v>
      </c>
      <c r="BG8" s="16">
        <v>3.92</v>
      </c>
      <c r="BH8" s="16">
        <v>3.95</v>
      </c>
      <c r="BI8" s="16">
        <v>4.1500000000000004</v>
      </c>
      <c r="BJ8" s="16">
        <v>4.01</v>
      </c>
      <c r="BK8" s="16">
        <v>3.99</v>
      </c>
      <c r="BL8" s="16">
        <v>4.01</v>
      </c>
      <c r="BM8" s="16">
        <v>3.76</v>
      </c>
      <c r="BN8" s="16">
        <v>3.87</v>
      </c>
      <c r="BO8" s="16">
        <v>3.95</v>
      </c>
      <c r="BP8" s="16">
        <v>4.26</v>
      </c>
      <c r="BQ8" s="16">
        <v>4.2</v>
      </c>
      <c r="BR8" s="16">
        <v>4.22</v>
      </c>
      <c r="BS8" s="16">
        <v>4.21</v>
      </c>
      <c r="BT8" s="16">
        <v>0</v>
      </c>
      <c r="BU8" s="16">
        <v>5.44</v>
      </c>
      <c r="BV8" s="16">
        <v>0</v>
      </c>
      <c r="BW8" s="16">
        <v>4.17</v>
      </c>
      <c r="BX8" s="16">
        <v>4.1500000000000004</v>
      </c>
      <c r="BY8" s="16">
        <v>4.32</v>
      </c>
      <c r="BZ8" s="16">
        <v>4.55</v>
      </c>
      <c r="CA8" s="16">
        <v>6.32</v>
      </c>
      <c r="CB8" s="16">
        <v>4.45</v>
      </c>
      <c r="CC8" s="16">
        <v>4.87</v>
      </c>
      <c r="CD8" s="16">
        <v>4.3099999999999996</v>
      </c>
      <c r="CE8" s="16">
        <v>5.39</v>
      </c>
      <c r="CF8" s="17">
        <f>SUM(Input_Raw[[#This Row],[G01]:[G40]])</f>
        <v>216864</v>
      </c>
      <c r="CG8" s="18">
        <f>IFERROR(AVERAGE(Input_Raw[[#This Row],[WS_G01]:[WS_G40]]),"")</f>
        <v>4.056923076923078</v>
      </c>
      <c r="CH8" s="19"/>
      <c r="CI8" s="19"/>
      <c r="CJ8" s="15">
        <v>237715</v>
      </c>
      <c r="CK8" s="15">
        <v>2159</v>
      </c>
      <c r="CL8" s="15">
        <v>278085</v>
      </c>
      <c r="CM8" s="15">
        <v>2190</v>
      </c>
      <c r="CN8" s="15">
        <v>253615</v>
      </c>
      <c r="CO8" s="15">
        <v>1797</v>
      </c>
      <c r="CP8" s="15">
        <v>289182</v>
      </c>
      <c r="CQ8" s="15">
        <v>1841</v>
      </c>
      <c r="CR8" s="91">
        <f>IF(((Input_Raw[[#This Row],[33 kV_Wind_F1_Export reading]]-CJ7)*1200)&gt;0,(Input_Raw[[#This Row],[33 kV_Wind_F1_Export reading]]-CJ7)*1200,0)</f>
        <v>54000</v>
      </c>
      <c r="CS8" s="91">
        <f>IF(((Input_Raw[[#This Row],[33 kV_Wind_F1_Import reading]]-CK7)*1200)&gt;0,(Input_Raw[[#This Row],[33 kV_Wind_F1_Import reading]]-CK7)*1200,0)</f>
        <v>1200</v>
      </c>
      <c r="CT8" s="91">
        <f>IF(((Input_Raw[[#This Row],[33 kV_Wind_F2_Export_reading]]-CL7)*1200)&gt;0,(Input_Raw[[#This Row],[33 kV_Wind_F2_Export_reading]]-CL7)*1200,0)</f>
        <v>40800</v>
      </c>
      <c r="CU8" s="91">
        <f>IF(((Input_Raw[[#This Row],[33 kV_Wind_F2_Import_reading]]-CM7)*1200)&gt;0,(Input_Raw[[#This Row],[33 kV_Wind_F2_Import_reading]]-CM7)*1200,0)</f>
        <v>1200</v>
      </c>
      <c r="CV8" s="91">
        <f>IF(((Input_Raw[[#This Row],[33 kV_Wind_F3_Export_Reading]]-CN7)*1200)&gt;0,(Input_Raw[[#This Row],[33 kV_Wind_F3_Export_Reading]]-CN7)*1200,0)</f>
        <v>52800</v>
      </c>
      <c r="CW8" s="91">
        <f>IF(((Input_Raw[[#This Row],[33 kV_Wind_F3_Import_Reading]]-CO7)*1200)&gt;0,(Input_Raw[[#This Row],[33 kV_Wind_F3_Import_Reading]]-CO7)*1200,0)</f>
        <v>1200</v>
      </c>
      <c r="CX8" s="91">
        <f>IF(((Input_Raw[[#This Row],[33 kV_Wind_F4_Export Reading]]-CP7)*1200)&gt;0,(Input_Raw[[#This Row],[33 kV_Wind_F4_Export Reading]]-CP7)*1200,0)</f>
        <v>55200</v>
      </c>
      <c r="CY8" s="91">
        <f>IF(((Input_Raw[[#This Row],[33 kV_Wind_F4_Import Reading]]-CQ7)*1200)&gt;0,(Input_Raw[[#This Row],[33 kV_Wind_F4_Import Reading]]-CQ7)*1200,0)</f>
        <v>0</v>
      </c>
      <c r="CZ8" s="91">
        <f>Input_Raw[[#This Row],[33 kV_F1_Total_Export (KWh)]]+Input_Raw[[#This Row],[33 kV_F2_Total_Export (KWh)2]]+Input_Raw[[#This Row],[33 kV_Wind_F3_Export (KWh)]]+Input_Raw[[#This Row],[33 kV_Wind_F4_Export (KWh)]]</f>
        <v>202800</v>
      </c>
      <c r="DA8" s="91">
        <f>Input_Raw[[#This Row],[33 kV_Wind_F1_Import (KWh)]]+Input_Raw[[#This Row],[33 kV_Wind_F2_Import (KWh)]]+Input_Raw[[#This Row],[33 kV_Wind_F3_Import (KWh)2]]+Input_Raw[[#This Row],[33 kV_Wind_F4_Import (KWh)2]]</f>
        <v>3600</v>
      </c>
      <c r="DB8" s="21">
        <f>IFERROR(1-Input_Raw[[#This Row],[33 kV_Wind_Total_Export (KWh)]]/Input_Raw[[#This Row],[WTG Total Gneration (KWh)]],0)</f>
        <v>6.4851704293935386E-2</v>
      </c>
      <c r="DC8" s="87">
        <v>96</v>
      </c>
      <c r="DD8" s="90">
        <v>12280</v>
      </c>
      <c r="DE8" s="102">
        <v>217.953</v>
      </c>
      <c r="DF8" s="99"/>
      <c r="DG8" s="101">
        <v>78</v>
      </c>
      <c r="DH8" s="99"/>
    </row>
    <row r="9" spans="1:112">
      <c r="A9" s="20">
        <f t="shared" si="3"/>
        <v>45749</v>
      </c>
      <c r="B9" s="12">
        <f>YEAR([1]!Input_Raw[[#This Row],[Date]])+IF(MONTH([1]!Input_Raw[[#This Row],[Date]])&gt;=4,1,0)</f>
        <v>2026</v>
      </c>
      <c r="C9" s="13">
        <f>YEAR([1]!Input_Raw[[#This Row],[Date]])</f>
        <v>2025</v>
      </c>
      <c r="D9" s="14">
        <f t="shared" si="2"/>
        <v>45748</v>
      </c>
      <c r="E9" s="13">
        <f>DAY(EOMONTH([1]!Input_Raw[[#This Row],[Date]],0))</f>
        <v>30</v>
      </c>
      <c r="F9" s="15">
        <v>12200</v>
      </c>
      <c r="G9" s="15">
        <v>10784</v>
      </c>
      <c r="H9" s="15">
        <v>10570</v>
      </c>
      <c r="I9" s="15">
        <v>5956</v>
      </c>
      <c r="J9" s="15">
        <v>11540</v>
      </c>
      <c r="K9" s="15">
        <v>12082</v>
      </c>
      <c r="L9" s="15">
        <v>12510</v>
      </c>
      <c r="M9" s="15">
        <v>12108</v>
      </c>
      <c r="N9" s="15">
        <v>14236</v>
      </c>
      <c r="O9" s="15">
        <v>10960</v>
      </c>
      <c r="P9" s="15">
        <v>14128</v>
      </c>
      <c r="Q9" s="15">
        <v>14485</v>
      </c>
      <c r="R9" s="15">
        <v>11088</v>
      </c>
      <c r="S9" s="15">
        <v>12636</v>
      </c>
      <c r="T9" s="15">
        <v>14796</v>
      </c>
      <c r="U9" s="15">
        <v>7036</v>
      </c>
      <c r="V9" s="15">
        <v>15820</v>
      </c>
      <c r="W9" s="15">
        <v>16424</v>
      </c>
      <c r="X9" s="15">
        <v>17394</v>
      </c>
      <c r="Y9" s="15">
        <v>17007</v>
      </c>
      <c r="Z9" s="15">
        <v>14520</v>
      </c>
      <c r="AA9" s="15">
        <v>1916</v>
      </c>
      <c r="AB9" s="15">
        <v>11964</v>
      </c>
      <c r="AC9" s="15">
        <v>11672</v>
      </c>
      <c r="AD9" s="15">
        <v>12938</v>
      </c>
      <c r="AE9" s="15">
        <v>10732</v>
      </c>
      <c r="AF9" s="15">
        <v>10142</v>
      </c>
      <c r="AG9" s="88">
        <v>0</v>
      </c>
      <c r="AH9" s="15">
        <v>10722</v>
      </c>
      <c r="AI9" s="15">
        <v>0</v>
      </c>
      <c r="AJ9" s="15">
        <v>2722</v>
      </c>
      <c r="AK9" s="15">
        <v>10250</v>
      </c>
      <c r="AL9" s="15">
        <v>11038</v>
      </c>
      <c r="AM9" s="15">
        <v>10894</v>
      </c>
      <c r="AN9" s="15">
        <v>13146</v>
      </c>
      <c r="AO9" s="15">
        <v>11114</v>
      </c>
      <c r="AP9" s="15">
        <v>11404</v>
      </c>
      <c r="AQ9" s="15">
        <v>11460</v>
      </c>
      <c r="AR9" s="15">
        <v>8516</v>
      </c>
      <c r="AS9" s="16">
        <v>5.59</v>
      </c>
      <c r="AT9" s="16">
        <v>6.18</v>
      </c>
      <c r="AU9" s="16">
        <v>5.43</v>
      </c>
      <c r="AV9" s="16">
        <v>5.42</v>
      </c>
      <c r="AW9" s="16">
        <v>5.97</v>
      </c>
      <c r="AX9" s="16">
        <v>6.06</v>
      </c>
      <c r="AY9" s="16">
        <v>5.51</v>
      </c>
      <c r="AZ9" s="16">
        <v>5.15</v>
      </c>
      <c r="BA9" s="16">
        <v>5.98</v>
      </c>
      <c r="BB9" s="16">
        <v>5.33</v>
      </c>
      <c r="BC9" s="16">
        <v>6.31</v>
      </c>
      <c r="BD9" s="16">
        <v>5.92</v>
      </c>
      <c r="BE9" s="16">
        <v>5.96</v>
      </c>
      <c r="BF9" s="16">
        <v>5.77</v>
      </c>
      <c r="BG9" s="16">
        <v>5.83</v>
      </c>
      <c r="BH9" s="16">
        <v>5.9</v>
      </c>
      <c r="BI9" s="16">
        <v>6.05</v>
      </c>
      <c r="BJ9" s="16">
        <v>5.8</v>
      </c>
      <c r="BK9" s="16">
        <v>5.74</v>
      </c>
      <c r="BL9" s="16">
        <v>6.66</v>
      </c>
      <c r="BM9" s="16">
        <v>5.05</v>
      </c>
      <c r="BN9" s="16">
        <v>6.2</v>
      </c>
      <c r="BO9" s="16">
        <v>6.1</v>
      </c>
      <c r="BP9" s="16">
        <v>5.88</v>
      </c>
      <c r="BQ9" s="16">
        <v>6</v>
      </c>
      <c r="BR9" s="16">
        <v>5.88</v>
      </c>
      <c r="BS9" s="16">
        <v>5.94</v>
      </c>
      <c r="BT9" s="16">
        <v>0</v>
      </c>
      <c r="BU9" s="16">
        <v>5.74</v>
      </c>
      <c r="BV9" s="16">
        <v>0</v>
      </c>
      <c r="BW9" s="16">
        <v>5.52</v>
      </c>
      <c r="BX9" s="16">
        <v>5.76</v>
      </c>
      <c r="BY9" s="16">
        <v>6.04</v>
      </c>
      <c r="BZ9" s="16">
        <v>6.02</v>
      </c>
      <c r="CA9" s="16">
        <v>5.85</v>
      </c>
      <c r="CB9" s="16">
        <v>6.03</v>
      </c>
      <c r="CC9" s="16">
        <v>5.99</v>
      </c>
      <c r="CD9" s="16">
        <v>5.42</v>
      </c>
      <c r="CE9" s="16">
        <v>6.19</v>
      </c>
      <c r="CF9" s="17">
        <f>SUM(Input_Raw[[#This Row],[G01]:[G40]])</f>
        <v>428910</v>
      </c>
      <c r="CG9" s="18">
        <f>IFERROR(AVERAGE(Input_Raw[[#This Row],[WS_G01]:[WS_G40]]),"")</f>
        <v>5.5428205128205121</v>
      </c>
      <c r="CH9" s="19"/>
      <c r="CI9" s="19"/>
      <c r="CJ9" s="15">
        <v>237798</v>
      </c>
      <c r="CK9" s="15">
        <v>2159</v>
      </c>
      <c r="CL9" s="15">
        <v>278152</v>
      </c>
      <c r="CM9" s="15">
        <v>2190</v>
      </c>
      <c r="CN9" s="15">
        <v>253699</v>
      </c>
      <c r="CO9" s="15">
        <v>1797</v>
      </c>
      <c r="CP9" s="15">
        <v>289297</v>
      </c>
      <c r="CQ9" s="15">
        <v>1841</v>
      </c>
      <c r="CR9" s="91">
        <f>IF(((Input_Raw[[#This Row],[33 kV_Wind_F1_Export reading]]-CJ8)*1200)&gt;0,(Input_Raw[[#This Row],[33 kV_Wind_F1_Export reading]]-CJ8)*1200,0)</f>
        <v>99600</v>
      </c>
      <c r="CS9" s="91">
        <f>IF(((Input_Raw[[#This Row],[33 kV_Wind_F1_Import reading]]-CK8)*1200)&gt;0,(Input_Raw[[#This Row],[33 kV_Wind_F1_Import reading]]-CK8)*1200,0)</f>
        <v>0</v>
      </c>
      <c r="CT9" s="91">
        <f>IF(((Input_Raw[[#This Row],[33 kV_Wind_F2_Export_reading]]-CL8)*1200)&gt;0,(Input_Raw[[#This Row],[33 kV_Wind_F2_Export_reading]]-CL8)*1200,0)</f>
        <v>80400</v>
      </c>
      <c r="CU9" s="91">
        <f>IF(((Input_Raw[[#This Row],[33 kV_Wind_F2_Import_reading]]-CM8)*1200)&gt;0,(Input_Raw[[#This Row],[33 kV_Wind_F2_Import_reading]]-CM8)*1200,0)</f>
        <v>0</v>
      </c>
      <c r="CV9" s="91">
        <f>IF(((Input_Raw[[#This Row],[33 kV_Wind_F3_Export_Reading]]-CN8)*1200)&gt;0,(Input_Raw[[#This Row],[33 kV_Wind_F3_Export_Reading]]-CN8)*1200,0)</f>
        <v>100800</v>
      </c>
      <c r="CW9" s="91">
        <f>IF(((Input_Raw[[#This Row],[33 kV_Wind_F3_Import_Reading]]-CO8)*1200)&gt;0,(Input_Raw[[#This Row],[33 kV_Wind_F3_Import_Reading]]-CO8)*1200,0)</f>
        <v>0</v>
      </c>
      <c r="CX9" s="91">
        <f>IF(((Input_Raw[[#This Row],[33 kV_Wind_F4_Export Reading]]-CP8)*1200)&gt;0,(Input_Raw[[#This Row],[33 kV_Wind_F4_Export Reading]]-CP8)*1200,0)</f>
        <v>138000</v>
      </c>
      <c r="CY9" s="91">
        <f>IF(((Input_Raw[[#This Row],[33 kV_Wind_F4_Import Reading]]-CQ8)*1200)&gt;0,(Input_Raw[[#This Row],[33 kV_Wind_F4_Import Reading]]-CQ8)*1200,0)</f>
        <v>0</v>
      </c>
      <c r="CZ9" s="91">
        <f>Input_Raw[[#This Row],[33 kV_F1_Total_Export (KWh)]]+Input_Raw[[#This Row],[33 kV_F2_Total_Export (KWh)2]]+Input_Raw[[#This Row],[33 kV_Wind_F3_Export (KWh)]]+Input_Raw[[#This Row],[33 kV_Wind_F4_Export (KWh)]]</f>
        <v>418800</v>
      </c>
      <c r="DA9" s="91">
        <f>Input_Raw[[#This Row],[33 kV_Wind_F1_Import (KWh)]]+Input_Raw[[#This Row],[33 kV_Wind_F2_Import (KWh)]]+Input_Raw[[#This Row],[33 kV_Wind_F3_Import (KWh)2]]+Input_Raw[[#This Row],[33 kV_Wind_F4_Import (KWh)2]]</f>
        <v>0</v>
      </c>
      <c r="DB9" s="21">
        <f>IFERROR(1-Input_Raw[[#This Row],[33 kV_Wind_Total_Export (KWh)]]/Input_Raw[[#This Row],[WTG Total Gneration (KWh)]],0)</f>
        <v>2.357137861089742E-2</v>
      </c>
      <c r="DC9" s="87">
        <v>96</v>
      </c>
      <c r="DD9" s="90">
        <v>47311</v>
      </c>
      <c r="DE9" s="102">
        <v>422.85899999999998</v>
      </c>
      <c r="DF9" s="99"/>
      <c r="DG9" s="101">
        <v>78</v>
      </c>
      <c r="DH9" s="99"/>
    </row>
    <row r="10" spans="1:112">
      <c r="A10" s="20">
        <f t="shared" si="3"/>
        <v>45750</v>
      </c>
      <c r="B10" s="12">
        <f>YEAR([1]!Input_Raw[[#This Row],[Date]])+IF(MONTH([1]!Input_Raw[[#This Row],[Date]])&gt;=4,1,0)</f>
        <v>2026</v>
      </c>
      <c r="C10" s="13">
        <f>YEAR([1]!Input_Raw[[#This Row],[Date]])</f>
        <v>2025</v>
      </c>
      <c r="D10" s="14">
        <f t="shared" si="2"/>
        <v>45748</v>
      </c>
      <c r="E10" s="13">
        <f>DAY(EOMONTH([1]!Input_Raw[[#This Row],[Date]],0))</f>
        <v>30</v>
      </c>
      <c r="F10" s="15">
        <v>7048</v>
      </c>
      <c r="G10" s="15">
        <v>9292</v>
      </c>
      <c r="H10" s="15">
        <v>6462</v>
      </c>
      <c r="I10" s="15">
        <v>6772</v>
      </c>
      <c r="J10" s="15">
        <v>7822</v>
      </c>
      <c r="K10" s="15">
        <v>2735</v>
      </c>
      <c r="L10" s="15">
        <v>3420</v>
      </c>
      <c r="M10" s="15">
        <v>6800</v>
      </c>
      <c r="N10" s="15">
        <v>8864</v>
      </c>
      <c r="O10" s="15">
        <v>6280</v>
      </c>
      <c r="P10" s="15">
        <v>7464</v>
      </c>
      <c r="Q10" s="15">
        <v>8930</v>
      </c>
      <c r="R10" s="15">
        <v>8852</v>
      </c>
      <c r="S10" s="15">
        <v>8384</v>
      </c>
      <c r="T10" s="15">
        <v>8346</v>
      </c>
      <c r="U10" s="15">
        <v>6660</v>
      </c>
      <c r="V10" s="15">
        <v>10152</v>
      </c>
      <c r="W10" s="15">
        <v>6368</v>
      </c>
      <c r="X10" s="15">
        <v>10280</v>
      </c>
      <c r="Y10" s="15">
        <v>9239</v>
      </c>
      <c r="Z10" s="15">
        <v>7800</v>
      </c>
      <c r="AA10" s="15">
        <v>6952</v>
      </c>
      <c r="AB10" s="15">
        <v>7522</v>
      </c>
      <c r="AC10" s="15">
        <v>6640</v>
      </c>
      <c r="AD10" s="15">
        <v>7248</v>
      </c>
      <c r="AE10" s="15">
        <v>6588</v>
      </c>
      <c r="AF10" s="15">
        <v>6354</v>
      </c>
      <c r="AG10" s="88">
        <v>0</v>
      </c>
      <c r="AH10" s="15">
        <v>6816</v>
      </c>
      <c r="AI10" s="15">
        <v>0</v>
      </c>
      <c r="AJ10" s="15">
        <v>4938</v>
      </c>
      <c r="AK10" s="15">
        <v>5908</v>
      </c>
      <c r="AL10" s="15">
        <v>3472</v>
      </c>
      <c r="AM10" s="15">
        <v>6490</v>
      </c>
      <c r="AN10" s="15">
        <v>7198</v>
      </c>
      <c r="AO10" s="15">
        <v>6498</v>
      </c>
      <c r="AP10" s="15">
        <v>4518</v>
      </c>
      <c r="AQ10" s="15">
        <v>6232</v>
      </c>
      <c r="AR10" s="15">
        <v>6148</v>
      </c>
      <c r="AS10" s="16">
        <v>4.76</v>
      </c>
      <c r="AT10" s="16">
        <v>4.88</v>
      </c>
      <c r="AU10" s="16">
        <v>4.8</v>
      </c>
      <c r="AV10" s="16">
        <v>4.6500000000000004</v>
      </c>
      <c r="AW10" s="16">
        <v>4.2699999999999996</v>
      </c>
      <c r="AX10" s="16">
        <v>5.04</v>
      </c>
      <c r="AY10" s="16">
        <v>5.09</v>
      </c>
      <c r="AZ10" s="16">
        <v>4.76</v>
      </c>
      <c r="BA10" s="16">
        <v>4.82</v>
      </c>
      <c r="BB10" s="16">
        <v>4.8</v>
      </c>
      <c r="BC10" s="16">
        <v>4.93</v>
      </c>
      <c r="BD10" s="16">
        <v>4.74</v>
      </c>
      <c r="BE10" s="16">
        <v>4.55</v>
      </c>
      <c r="BF10" s="16">
        <v>4.63</v>
      </c>
      <c r="BG10" s="16">
        <v>4.57</v>
      </c>
      <c r="BH10" s="16">
        <v>4.63</v>
      </c>
      <c r="BI10" s="16">
        <v>4.82</v>
      </c>
      <c r="BJ10" s="16">
        <v>4.84</v>
      </c>
      <c r="BK10" s="16">
        <v>4.83</v>
      </c>
      <c r="BL10" s="16">
        <v>5.0999999999999996</v>
      </c>
      <c r="BM10" s="16">
        <v>4.76</v>
      </c>
      <c r="BN10" s="16">
        <v>4.34</v>
      </c>
      <c r="BO10" s="16">
        <v>4.24</v>
      </c>
      <c r="BP10" s="16">
        <v>4.4800000000000004</v>
      </c>
      <c r="BQ10" s="16">
        <v>4.55</v>
      </c>
      <c r="BR10" s="16">
        <v>4.34</v>
      </c>
      <c r="BS10" s="16">
        <v>4.26</v>
      </c>
      <c r="BT10" s="16">
        <v>0</v>
      </c>
      <c r="BU10" s="16">
        <v>3.79</v>
      </c>
      <c r="BV10" s="16">
        <v>0</v>
      </c>
      <c r="BW10" s="16">
        <v>4.37</v>
      </c>
      <c r="BX10" s="16">
        <v>4.3</v>
      </c>
      <c r="BY10" s="16">
        <v>4.4800000000000004</v>
      </c>
      <c r="BZ10" s="16">
        <v>4.78</v>
      </c>
      <c r="CA10" s="16">
        <v>4.74</v>
      </c>
      <c r="CB10" s="16">
        <v>4.25</v>
      </c>
      <c r="CC10" s="16">
        <v>4.4400000000000004</v>
      </c>
      <c r="CD10" s="16">
        <v>4.59</v>
      </c>
      <c r="CE10" s="16">
        <v>5.03</v>
      </c>
      <c r="CF10" s="17">
        <f>SUM(Input_Raw[[#This Row],[G01]:[G40]])</f>
        <v>257492</v>
      </c>
      <c r="CG10" s="18">
        <f>IFERROR(AVERAGE(Input_Raw[[#This Row],[WS_G01]:[WS_G40]]),"")</f>
        <v>4.3910256410256414</v>
      </c>
      <c r="CH10" s="19"/>
      <c r="CI10" s="19"/>
      <c r="CJ10" s="15">
        <v>237846</v>
      </c>
      <c r="CK10" s="15">
        <v>2160</v>
      </c>
      <c r="CL10" s="15">
        <v>278199</v>
      </c>
      <c r="CM10" s="15">
        <v>2190</v>
      </c>
      <c r="CN10" s="15">
        <v>253740</v>
      </c>
      <c r="CO10" s="15">
        <v>1798</v>
      </c>
      <c r="CP10" s="15">
        <v>289370</v>
      </c>
      <c r="CQ10" s="15">
        <v>1842</v>
      </c>
      <c r="CR10" s="91">
        <f>IF(((Input_Raw[[#This Row],[33 kV_Wind_F1_Export reading]]-CJ9)*1200)&gt;0,(Input_Raw[[#This Row],[33 kV_Wind_F1_Export reading]]-CJ9)*1200,0)</f>
        <v>57600</v>
      </c>
      <c r="CS10" s="91">
        <f>IF(((Input_Raw[[#This Row],[33 kV_Wind_F1_Import reading]]-CK9)*1200)&gt;0,(Input_Raw[[#This Row],[33 kV_Wind_F1_Import reading]]-CK9)*1200,0)</f>
        <v>1200</v>
      </c>
      <c r="CT10" s="91">
        <f>IF(((Input_Raw[[#This Row],[33 kV_Wind_F2_Export_reading]]-CL9)*1200)&gt;0,(Input_Raw[[#This Row],[33 kV_Wind_F2_Export_reading]]-CL9)*1200,0)</f>
        <v>56400</v>
      </c>
      <c r="CU10" s="91">
        <f>IF(((Input_Raw[[#This Row],[33 kV_Wind_F2_Import_reading]]-CM9)*1200)&gt;0,(Input_Raw[[#This Row],[33 kV_Wind_F2_Import_reading]]-CM9)*1200,0)</f>
        <v>0</v>
      </c>
      <c r="CV10" s="91">
        <f>IF(((Input_Raw[[#This Row],[33 kV_Wind_F3_Export_Reading]]-CN9)*1200)&gt;0,(Input_Raw[[#This Row],[33 kV_Wind_F3_Export_Reading]]-CN9)*1200,0)</f>
        <v>49200</v>
      </c>
      <c r="CW10" s="91">
        <f>IF(((Input_Raw[[#This Row],[33 kV_Wind_F3_Import_Reading]]-CO9)*1200)&gt;0,(Input_Raw[[#This Row],[33 kV_Wind_F3_Import_Reading]]-CO9)*1200,0)</f>
        <v>1200</v>
      </c>
      <c r="CX10" s="91">
        <f>IF(((Input_Raw[[#This Row],[33 kV_Wind_F4_Export Reading]]-CP9)*1200)&gt;0,(Input_Raw[[#This Row],[33 kV_Wind_F4_Export Reading]]-CP9)*1200,0)</f>
        <v>87600</v>
      </c>
      <c r="CY10" s="91">
        <f>IF(((Input_Raw[[#This Row],[33 kV_Wind_F4_Import Reading]]-CQ9)*1200)&gt;0,(Input_Raw[[#This Row],[33 kV_Wind_F4_Import Reading]]-CQ9)*1200,0)</f>
        <v>1200</v>
      </c>
      <c r="CZ10" s="91">
        <f>Input_Raw[[#This Row],[33 kV_F1_Total_Export (KWh)]]+Input_Raw[[#This Row],[33 kV_F2_Total_Export (KWh)2]]+Input_Raw[[#This Row],[33 kV_Wind_F3_Export (KWh)]]+Input_Raw[[#This Row],[33 kV_Wind_F4_Export (KWh)]]</f>
        <v>250800</v>
      </c>
      <c r="DA10" s="91">
        <f>Input_Raw[[#This Row],[33 kV_Wind_F1_Import (KWh)]]+Input_Raw[[#This Row],[33 kV_Wind_F2_Import (KWh)]]+Input_Raw[[#This Row],[33 kV_Wind_F3_Import (KWh)2]]+Input_Raw[[#This Row],[33 kV_Wind_F4_Import (KWh)2]]</f>
        <v>3600</v>
      </c>
      <c r="DB10" s="21">
        <f>IFERROR(1-Input_Raw[[#This Row],[33 kV_Wind_Total_Export (KWh)]]/Input_Raw[[#This Row],[WTG Total Gneration (KWh)]],0)</f>
        <v>2.5989156944681735E-2</v>
      </c>
      <c r="DC10" s="87">
        <v>96</v>
      </c>
      <c r="DD10" s="90">
        <v>16092</v>
      </c>
      <c r="DE10" s="102">
        <v>255.178</v>
      </c>
      <c r="DF10" s="99"/>
      <c r="DG10" s="101">
        <v>78</v>
      </c>
      <c r="DH10" s="99"/>
    </row>
    <row r="11" spans="1:112">
      <c r="A11" s="20">
        <f t="shared" si="3"/>
        <v>45751</v>
      </c>
      <c r="B11" s="12">
        <f>YEAR([1]!Input_Raw[[#This Row],[Date]])+IF(MONTH([1]!Input_Raw[[#This Row],[Date]])&gt;=4,1,0)</f>
        <v>2026</v>
      </c>
      <c r="C11" s="13">
        <f>YEAR([1]!Input_Raw[[#This Row],[Date]])</f>
        <v>2025</v>
      </c>
      <c r="D11" s="14">
        <f t="shared" si="2"/>
        <v>45748</v>
      </c>
      <c r="E11" s="13">
        <f>DAY(EOMONTH([1]!Input_Raw[[#This Row],[Date]],0))</f>
        <v>30</v>
      </c>
      <c r="F11" s="15">
        <v>5220</v>
      </c>
      <c r="G11" s="15">
        <v>3700</v>
      </c>
      <c r="H11" s="15">
        <v>4436</v>
      </c>
      <c r="I11" s="15">
        <v>884</v>
      </c>
      <c r="J11" s="15">
        <v>4908</v>
      </c>
      <c r="K11" s="15">
        <v>879</v>
      </c>
      <c r="L11" s="15">
        <v>3033</v>
      </c>
      <c r="M11" s="15">
        <v>4092</v>
      </c>
      <c r="N11" s="15">
        <v>4356</v>
      </c>
      <c r="O11" s="15">
        <v>5040</v>
      </c>
      <c r="P11" s="15">
        <v>5292</v>
      </c>
      <c r="Q11" s="15">
        <v>4980</v>
      </c>
      <c r="R11" s="15">
        <v>4190</v>
      </c>
      <c r="S11" s="15">
        <v>5796</v>
      </c>
      <c r="T11" s="15">
        <v>4270</v>
      </c>
      <c r="U11" s="15">
        <v>4</v>
      </c>
      <c r="V11" s="15">
        <v>5176</v>
      </c>
      <c r="W11" s="15">
        <v>5752</v>
      </c>
      <c r="X11" s="15">
        <v>5103</v>
      </c>
      <c r="Y11" s="15">
        <v>6702</v>
      </c>
      <c r="Z11" s="15">
        <v>5566</v>
      </c>
      <c r="AA11" s="15">
        <v>5420</v>
      </c>
      <c r="AB11" s="15">
        <v>4696</v>
      </c>
      <c r="AC11" s="15">
        <v>5078</v>
      </c>
      <c r="AD11" s="15">
        <v>4574</v>
      </c>
      <c r="AE11" s="15">
        <v>4378</v>
      </c>
      <c r="AF11" s="15">
        <v>4658</v>
      </c>
      <c r="AG11" s="88">
        <v>0</v>
      </c>
      <c r="AH11" s="15">
        <v>5344</v>
      </c>
      <c r="AI11" s="15">
        <v>0</v>
      </c>
      <c r="AJ11" s="15">
        <v>4332</v>
      </c>
      <c r="AK11" s="15">
        <v>4113</v>
      </c>
      <c r="AL11" s="15">
        <v>972</v>
      </c>
      <c r="AM11" s="15">
        <v>5000</v>
      </c>
      <c r="AN11" s="15">
        <v>5438</v>
      </c>
      <c r="AO11" s="15">
        <v>5268</v>
      </c>
      <c r="AP11" s="15">
        <v>4266</v>
      </c>
      <c r="AQ11" s="15">
        <v>4168</v>
      </c>
      <c r="AR11" s="15">
        <v>4477</v>
      </c>
      <c r="AS11" s="16">
        <v>4.2</v>
      </c>
      <c r="AT11" s="16">
        <v>4.4800000000000004</v>
      </c>
      <c r="AU11" s="16">
        <v>4.1500000000000004</v>
      </c>
      <c r="AV11" s="16">
        <v>4.2300000000000004</v>
      </c>
      <c r="AW11" s="16">
        <v>4.09</v>
      </c>
      <c r="AX11" s="16">
        <v>4.41</v>
      </c>
      <c r="AY11" s="16">
        <v>4.2</v>
      </c>
      <c r="AZ11" s="16">
        <v>4.38</v>
      </c>
      <c r="BA11" s="16">
        <v>4.25</v>
      </c>
      <c r="BB11" s="16">
        <v>4.12</v>
      </c>
      <c r="BC11" s="16">
        <v>4.51</v>
      </c>
      <c r="BD11" s="16">
        <v>4.5599999999999996</v>
      </c>
      <c r="BE11" s="16">
        <v>4.66</v>
      </c>
      <c r="BF11" s="16">
        <v>4.58</v>
      </c>
      <c r="BG11" s="16">
        <v>4.72</v>
      </c>
      <c r="BH11" s="16">
        <v>4.72</v>
      </c>
      <c r="BI11" s="16">
        <v>4.38</v>
      </c>
      <c r="BJ11" s="16">
        <v>4.6100000000000003</v>
      </c>
      <c r="BK11" s="16">
        <v>4.79</v>
      </c>
      <c r="BL11" s="16">
        <v>4.5</v>
      </c>
      <c r="BM11" s="16">
        <v>4.21</v>
      </c>
      <c r="BN11" s="16">
        <v>4.3</v>
      </c>
      <c r="BO11" s="16">
        <v>4</v>
      </c>
      <c r="BP11" s="16">
        <v>4.3499999999999996</v>
      </c>
      <c r="BQ11" s="16">
        <v>3.93</v>
      </c>
      <c r="BR11" s="16">
        <v>4.2</v>
      </c>
      <c r="BS11" s="16">
        <v>4.18</v>
      </c>
      <c r="BT11" s="16">
        <v>0</v>
      </c>
      <c r="BU11" s="16">
        <v>4.0199999999999996</v>
      </c>
      <c r="BV11" s="16">
        <v>0</v>
      </c>
      <c r="BW11" s="16">
        <v>4</v>
      </c>
      <c r="BX11" s="16">
        <v>4.03</v>
      </c>
      <c r="BY11" s="16">
        <v>4.05</v>
      </c>
      <c r="BZ11" s="16">
        <v>4.25</v>
      </c>
      <c r="CA11" s="16">
        <v>4.25</v>
      </c>
      <c r="CB11" s="16">
        <v>3.98</v>
      </c>
      <c r="CC11" s="16">
        <v>4.05</v>
      </c>
      <c r="CD11" s="16">
        <v>4.03</v>
      </c>
      <c r="CE11" s="16">
        <v>3.89</v>
      </c>
      <c r="CF11" s="17">
        <f>SUM(Input_Raw[[#This Row],[G01]:[G40]])</f>
        <v>161561</v>
      </c>
      <c r="CG11" s="18">
        <f>IFERROR(AVERAGE(Input_Raw[[#This Row],[WS_G01]:[WS_G40]]),"")</f>
        <v>4.057948717948717</v>
      </c>
      <c r="CH11" s="19"/>
      <c r="CI11" s="19"/>
      <c r="CJ11" s="15">
        <v>237878</v>
      </c>
      <c r="CK11" s="15">
        <v>2161</v>
      </c>
      <c r="CL11" s="15">
        <v>278228</v>
      </c>
      <c r="CM11" s="15">
        <v>2191</v>
      </c>
      <c r="CN11" s="15">
        <v>253768</v>
      </c>
      <c r="CO11" s="15">
        <v>1798</v>
      </c>
      <c r="CP11" s="15">
        <v>289401</v>
      </c>
      <c r="CQ11" s="15">
        <v>1843</v>
      </c>
      <c r="CR11" s="91">
        <f>IF(((Input_Raw[[#This Row],[33 kV_Wind_F1_Export reading]]-CJ10)*1200)&gt;0,(Input_Raw[[#This Row],[33 kV_Wind_F1_Export reading]]-CJ10)*1200,0)</f>
        <v>38400</v>
      </c>
      <c r="CS11" s="91">
        <f>IF(((Input_Raw[[#This Row],[33 kV_Wind_F1_Import reading]]-CK10)*1200)&gt;0,(Input_Raw[[#This Row],[33 kV_Wind_F1_Import reading]]-CK10)*1200,0)</f>
        <v>1200</v>
      </c>
      <c r="CT11" s="91">
        <f>IF(((Input_Raw[[#This Row],[33 kV_Wind_F2_Export_reading]]-CL10)*1200)&gt;0,(Input_Raw[[#This Row],[33 kV_Wind_F2_Export_reading]]-CL10)*1200,0)</f>
        <v>34800</v>
      </c>
      <c r="CU11" s="91">
        <f>IF(((Input_Raw[[#This Row],[33 kV_Wind_F2_Import_reading]]-CM10)*1200)&gt;0,(Input_Raw[[#This Row],[33 kV_Wind_F2_Import_reading]]-CM10)*1200,0)</f>
        <v>1200</v>
      </c>
      <c r="CV11" s="91">
        <f>IF(((Input_Raw[[#This Row],[33 kV_Wind_F3_Export_Reading]]-CN10)*1200)&gt;0,(Input_Raw[[#This Row],[33 kV_Wind_F3_Export_Reading]]-CN10)*1200,0)</f>
        <v>33600</v>
      </c>
      <c r="CW11" s="91">
        <f>IF(((Input_Raw[[#This Row],[33 kV_Wind_F3_Import_Reading]]-CO10)*1200)&gt;0,(Input_Raw[[#This Row],[33 kV_Wind_F3_Import_Reading]]-CO10)*1200,0)</f>
        <v>0</v>
      </c>
      <c r="CX11" s="91">
        <f>IF(((Input_Raw[[#This Row],[33 kV_Wind_F4_Export Reading]]-CP10)*1200)&gt;0,(Input_Raw[[#This Row],[33 kV_Wind_F4_Export Reading]]-CP10)*1200,0)</f>
        <v>37200</v>
      </c>
      <c r="CY11" s="91">
        <f>IF(((Input_Raw[[#This Row],[33 kV_Wind_F4_Import Reading]]-CQ10)*1200)&gt;0,(Input_Raw[[#This Row],[33 kV_Wind_F4_Import Reading]]-CQ10)*1200,0)</f>
        <v>1200</v>
      </c>
      <c r="CZ11" s="91">
        <f>Input_Raw[[#This Row],[33 kV_F1_Total_Export (KWh)]]+Input_Raw[[#This Row],[33 kV_F2_Total_Export (KWh)2]]+Input_Raw[[#This Row],[33 kV_Wind_F3_Export (KWh)]]+Input_Raw[[#This Row],[33 kV_Wind_F4_Export (KWh)]]</f>
        <v>144000</v>
      </c>
      <c r="DA11" s="91">
        <f>Input_Raw[[#This Row],[33 kV_Wind_F1_Import (KWh)]]+Input_Raw[[#This Row],[33 kV_Wind_F2_Import (KWh)]]+Input_Raw[[#This Row],[33 kV_Wind_F3_Import (KWh)2]]+Input_Raw[[#This Row],[33 kV_Wind_F4_Import (KWh)2]]</f>
        <v>3600</v>
      </c>
      <c r="DB11" s="21">
        <f>IFERROR(1-Input_Raw[[#This Row],[33 kV_Wind_Total_Export (KWh)]]/Input_Raw[[#This Row],[WTG Total Gneration (KWh)]],0)</f>
        <v>0.10869578673070857</v>
      </c>
      <c r="DC11" s="87">
        <v>96</v>
      </c>
      <c r="DD11" s="90">
        <v>38147</v>
      </c>
      <c r="DE11" s="102">
        <v>165.1</v>
      </c>
      <c r="DF11" s="99"/>
      <c r="DG11" s="101">
        <v>78</v>
      </c>
      <c r="DH11" s="99"/>
    </row>
    <row r="12" spans="1:112">
      <c r="A12" s="20">
        <f t="shared" si="3"/>
        <v>45752</v>
      </c>
      <c r="B12" s="12">
        <f>YEAR([1]!Input_Raw[[#This Row],[Date]])+IF(MONTH([1]!Input_Raw[[#This Row],[Date]])&gt;=4,1,0)</f>
        <v>2026</v>
      </c>
      <c r="C12" s="13">
        <f>YEAR([1]!Input_Raw[[#This Row],[Date]])</f>
        <v>2025</v>
      </c>
      <c r="D12" s="14">
        <f t="shared" si="2"/>
        <v>45748</v>
      </c>
      <c r="E12" s="13">
        <f>DAY(EOMONTH([1]!Input_Raw[[#This Row],[Date]],0))</f>
        <v>30</v>
      </c>
      <c r="F12" s="15">
        <v>1960</v>
      </c>
      <c r="G12" s="15">
        <v>2540</v>
      </c>
      <c r="H12" s="15">
        <v>1912</v>
      </c>
      <c r="I12" s="15">
        <v>2284</v>
      </c>
      <c r="J12" s="15">
        <v>1866</v>
      </c>
      <c r="K12" s="15">
        <v>1710</v>
      </c>
      <c r="L12" s="15">
        <v>1956</v>
      </c>
      <c r="M12" s="15">
        <v>2084</v>
      </c>
      <c r="N12" s="15">
        <v>1724</v>
      </c>
      <c r="O12" s="15">
        <v>1448</v>
      </c>
      <c r="P12" s="15">
        <v>1816</v>
      </c>
      <c r="Q12" s="15">
        <v>1786</v>
      </c>
      <c r="R12" s="15">
        <v>1928</v>
      </c>
      <c r="S12" s="15">
        <v>1700</v>
      </c>
      <c r="T12" s="15">
        <v>1532</v>
      </c>
      <c r="U12" s="15">
        <v>0</v>
      </c>
      <c r="V12" s="15">
        <v>2102</v>
      </c>
      <c r="W12" s="15">
        <v>2172</v>
      </c>
      <c r="X12" s="15">
        <v>2177</v>
      </c>
      <c r="Y12" s="15">
        <v>2192</v>
      </c>
      <c r="Z12" s="15">
        <v>2750</v>
      </c>
      <c r="AA12" s="15">
        <v>2576</v>
      </c>
      <c r="AB12" s="15">
        <v>2268</v>
      </c>
      <c r="AC12" s="15">
        <v>1934</v>
      </c>
      <c r="AD12" s="15">
        <v>2976</v>
      </c>
      <c r="AE12" s="15">
        <v>1682</v>
      </c>
      <c r="AF12" s="15">
        <v>2572</v>
      </c>
      <c r="AG12" s="15">
        <v>0</v>
      </c>
      <c r="AH12" s="15">
        <v>2976</v>
      </c>
      <c r="AI12" s="15">
        <v>0</v>
      </c>
      <c r="AJ12" s="15">
        <v>2664</v>
      </c>
      <c r="AK12" s="15">
        <v>2373</v>
      </c>
      <c r="AL12" s="15">
        <v>2528</v>
      </c>
      <c r="AM12" s="15">
        <v>3056</v>
      </c>
      <c r="AN12" s="15">
        <v>2968</v>
      </c>
      <c r="AO12" s="15">
        <v>3038</v>
      </c>
      <c r="AP12" s="15">
        <v>2406</v>
      </c>
      <c r="AQ12" s="15">
        <v>2536</v>
      </c>
      <c r="AR12" s="15">
        <v>2971</v>
      </c>
      <c r="AS12" s="16">
        <v>3.1604649999999999</v>
      </c>
      <c r="AT12" s="16">
        <v>3.5607857142857156</v>
      </c>
      <c r="AU12" s="16">
        <v>3.1150642857142858</v>
      </c>
      <c r="AV12" s="16">
        <v>3.3498214285714289</v>
      </c>
      <c r="AW12" s="16">
        <v>3.3268703389830518</v>
      </c>
      <c r="AX12" s="16">
        <v>3.19943165467626</v>
      </c>
      <c r="AY12" s="16">
        <v>3.1126521739130437</v>
      </c>
      <c r="AZ12" s="16">
        <v>3.3074779411764714</v>
      </c>
      <c r="BA12" s="16">
        <v>3.3207647058823522</v>
      </c>
      <c r="BB12" s="16">
        <v>2.8658962962962966</v>
      </c>
      <c r="BC12" s="16">
        <v>3.1958955223880592</v>
      </c>
      <c r="BD12" s="16">
        <v>3.2101954887218032</v>
      </c>
      <c r="BE12" s="16">
        <v>3.4380946969696962</v>
      </c>
      <c r="BF12" s="16">
        <v>3.1363816793893138</v>
      </c>
      <c r="BG12" s="16">
        <v>3.1875307692307708</v>
      </c>
      <c r="BH12" s="16">
        <v>0</v>
      </c>
      <c r="BI12" s="16">
        <v>3.2244062500000004</v>
      </c>
      <c r="BJ12" s="16">
        <v>3.1801574803149606</v>
      </c>
      <c r="BK12" s="16">
        <v>3.1785396825396823</v>
      </c>
      <c r="BL12" s="16">
        <v>3.0891760000000019</v>
      </c>
      <c r="BM12" s="16">
        <v>3.3396568627450995</v>
      </c>
      <c r="BN12" s="16">
        <v>3.3299801980198023</v>
      </c>
      <c r="BO12" s="16">
        <v>3.1536669999999987</v>
      </c>
      <c r="BP12" s="16">
        <v>2.9715846938775519</v>
      </c>
      <c r="BQ12" s="16">
        <v>3.1007329896907221</v>
      </c>
      <c r="BR12" s="16">
        <v>2.7795312500000002</v>
      </c>
      <c r="BS12" s="16">
        <v>3.1705336842105267</v>
      </c>
      <c r="BT12" s="16">
        <v>0</v>
      </c>
      <c r="BU12" s="16">
        <v>3.0810967741935489</v>
      </c>
      <c r="BV12" s="16">
        <v>0</v>
      </c>
      <c r="BW12" s="16">
        <v>3.1179021978021968</v>
      </c>
      <c r="BX12" s="16">
        <v>2.8481661290322582</v>
      </c>
      <c r="BY12" s="16">
        <v>2.9089775280898884</v>
      </c>
      <c r="BZ12" s="16">
        <v>3.1530829545454537</v>
      </c>
      <c r="CA12" s="16">
        <v>3.0023655172413792</v>
      </c>
      <c r="CB12" s="16">
        <v>3.1489511627906976</v>
      </c>
      <c r="CC12" s="16">
        <v>3.0592047058823537</v>
      </c>
      <c r="CD12" s="16">
        <v>3.2</v>
      </c>
      <c r="CE12" s="16">
        <v>3.0888108433734929</v>
      </c>
      <c r="CF12" s="17">
        <f>SUM(Input_Raw[[#This Row],[G01]:[G40]])</f>
        <v>81163</v>
      </c>
      <c r="CG12" s="18">
        <f>IFERROR(AVERAGE(Input_Raw[[#This Row],[WS_G01]:[WS_G40]]),"")</f>
        <v>2.9131756820653378</v>
      </c>
      <c r="CH12" s="19"/>
      <c r="CI12" s="19"/>
      <c r="CJ12" s="15">
        <v>237901</v>
      </c>
      <c r="CK12" s="15">
        <v>2162</v>
      </c>
      <c r="CL12" s="15">
        <v>278244</v>
      </c>
      <c r="CM12" s="15">
        <v>2192</v>
      </c>
      <c r="CN12" s="15">
        <v>253780</v>
      </c>
      <c r="CO12" s="15">
        <v>1799</v>
      </c>
      <c r="CP12" s="15">
        <v>289413</v>
      </c>
      <c r="CQ12" s="15">
        <v>1844</v>
      </c>
      <c r="CR12" s="91">
        <f>IF(((Input_Raw[[#This Row],[33 kV_Wind_F1_Export reading]]-CJ11)*1200)&gt;0,(Input_Raw[[#This Row],[33 kV_Wind_F1_Export reading]]-CJ11)*1200,0)</f>
        <v>27600</v>
      </c>
      <c r="CS12" s="91">
        <f>IF(((Input_Raw[[#This Row],[33 kV_Wind_F1_Import reading]]-CK11)*1200)&gt;0,(Input_Raw[[#This Row],[33 kV_Wind_F1_Import reading]]-CK11)*1200,0)</f>
        <v>1200</v>
      </c>
      <c r="CT12" s="91">
        <f>IF(((Input_Raw[[#This Row],[33 kV_Wind_F2_Export_reading]]-CL11)*1200)&gt;0,(Input_Raw[[#This Row],[33 kV_Wind_F2_Export_reading]]-CL11)*1200,0)</f>
        <v>19200</v>
      </c>
      <c r="CU12" s="91">
        <f>IF(((Input_Raw[[#This Row],[33 kV_Wind_F2_Import_reading]]-CM11)*1200)&gt;0,(Input_Raw[[#This Row],[33 kV_Wind_F2_Import_reading]]-CM11)*1200,0)</f>
        <v>1200</v>
      </c>
      <c r="CV12" s="91">
        <f>IF(((Input_Raw[[#This Row],[33 kV_Wind_F3_Export_Reading]]-CN11)*1200)&gt;0,(Input_Raw[[#This Row],[33 kV_Wind_F3_Export_Reading]]-CN11)*1200,0)</f>
        <v>14400</v>
      </c>
      <c r="CW12" s="91">
        <f>IF(((Input_Raw[[#This Row],[33 kV_Wind_F3_Import_Reading]]-CO11)*1200)&gt;0,(Input_Raw[[#This Row],[33 kV_Wind_F3_Import_Reading]]-CO11)*1200,0)</f>
        <v>1200</v>
      </c>
      <c r="CX12" s="91">
        <f>IF(((Input_Raw[[#This Row],[33 kV_Wind_F4_Export Reading]]-CP11)*1200)&gt;0,(Input_Raw[[#This Row],[33 kV_Wind_F4_Export Reading]]-CP11)*1200,0)</f>
        <v>14400</v>
      </c>
      <c r="CY12" s="91">
        <f>IF(((Input_Raw[[#This Row],[33 kV_Wind_F4_Import Reading]]-CQ11)*1200)&gt;0,(Input_Raw[[#This Row],[33 kV_Wind_F4_Import Reading]]-CQ11)*1200,0)</f>
        <v>1200</v>
      </c>
      <c r="CZ12" s="91">
        <f>Input_Raw[[#This Row],[33 kV_F1_Total_Export (KWh)]]+Input_Raw[[#This Row],[33 kV_F2_Total_Export (KWh)2]]+Input_Raw[[#This Row],[33 kV_Wind_F3_Export (KWh)]]+Input_Raw[[#This Row],[33 kV_Wind_F4_Export (KWh)]]</f>
        <v>75600</v>
      </c>
      <c r="DA12" s="91">
        <f>Input_Raw[[#This Row],[33 kV_Wind_F1_Import (KWh)]]+Input_Raw[[#This Row],[33 kV_Wind_F2_Import (KWh)]]+Input_Raw[[#This Row],[33 kV_Wind_F3_Import (KWh)2]]+Input_Raw[[#This Row],[33 kV_Wind_F4_Import (KWh)2]]</f>
        <v>4800</v>
      </c>
      <c r="DB12" s="21">
        <f>IFERROR(1-Input_Raw[[#This Row],[33 kV_Wind_Total_Export (KWh)]]/Input_Raw[[#This Row],[WTG Total Gneration (KWh)]],0)</f>
        <v>6.8541083991473961E-2</v>
      </c>
      <c r="DC12" s="87">
        <v>96</v>
      </c>
      <c r="DD12" s="90">
        <v>5488</v>
      </c>
      <c r="DE12" s="102">
        <v>77.212000000000003</v>
      </c>
      <c r="DF12" s="99"/>
      <c r="DG12" s="101">
        <v>78</v>
      </c>
      <c r="DH12" s="99"/>
    </row>
    <row r="13" spans="1:112">
      <c r="A13" s="20">
        <f t="shared" si="3"/>
        <v>45753</v>
      </c>
      <c r="B13" s="12">
        <f>YEAR([1]!Input_Raw[[#This Row],[Date]])+IF(MONTH([1]!Input_Raw[[#This Row],[Date]])&gt;=4,1,0)</f>
        <v>2026</v>
      </c>
      <c r="C13" s="13">
        <f>YEAR([1]!Input_Raw[[#This Row],[Date]])</f>
        <v>2025</v>
      </c>
      <c r="D13" s="14">
        <f t="shared" si="2"/>
        <v>45748</v>
      </c>
      <c r="E13" s="13">
        <f>DAY(EOMONTH([1]!Input_Raw[[#This Row],[Date]],0))</f>
        <v>30</v>
      </c>
      <c r="F13" s="15">
        <v>3220</v>
      </c>
      <c r="G13" s="15">
        <v>3560</v>
      </c>
      <c r="H13" s="15">
        <v>2644</v>
      </c>
      <c r="I13" s="15">
        <v>3256</v>
      </c>
      <c r="J13" s="15">
        <v>3041</v>
      </c>
      <c r="K13" s="15">
        <v>3480</v>
      </c>
      <c r="L13" s="15">
        <v>3428</v>
      </c>
      <c r="M13" s="15">
        <v>3332</v>
      </c>
      <c r="N13" s="15">
        <v>2736</v>
      </c>
      <c r="O13" s="15">
        <v>3352</v>
      </c>
      <c r="P13" s="15">
        <v>3412</v>
      </c>
      <c r="Q13" s="15">
        <v>2747</v>
      </c>
      <c r="R13" s="15">
        <v>3356</v>
      </c>
      <c r="S13" s="15">
        <v>3212</v>
      </c>
      <c r="T13" s="15">
        <v>2079</v>
      </c>
      <c r="U13" s="15">
        <v>0</v>
      </c>
      <c r="V13" s="15">
        <v>3500</v>
      </c>
      <c r="W13" s="15">
        <v>3472</v>
      </c>
      <c r="X13" s="15">
        <v>3023</v>
      </c>
      <c r="Y13" s="15">
        <v>4229</v>
      </c>
      <c r="Z13" s="15">
        <v>3275</v>
      </c>
      <c r="AA13" s="15">
        <v>3188</v>
      </c>
      <c r="AB13" s="15">
        <v>2686</v>
      </c>
      <c r="AC13" s="15">
        <v>3736</v>
      </c>
      <c r="AD13" s="15">
        <v>2808</v>
      </c>
      <c r="AE13" s="15">
        <v>2780</v>
      </c>
      <c r="AF13" s="15">
        <v>2824</v>
      </c>
      <c r="AG13" s="15">
        <v>0</v>
      </c>
      <c r="AH13" s="15">
        <v>3354</v>
      </c>
      <c r="AI13" s="15">
        <v>0</v>
      </c>
      <c r="AJ13" s="15">
        <v>2450</v>
      </c>
      <c r="AK13" s="15">
        <v>2918</v>
      </c>
      <c r="AL13" s="15">
        <v>3590</v>
      </c>
      <c r="AM13" s="15">
        <v>3136</v>
      </c>
      <c r="AN13" s="15">
        <v>3438</v>
      </c>
      <c r="AO13" s="15">
        <v>2096</v>
      </c>
      <c r="AP13" s="15">
        <v>2330</v>
      </c>
      <c r="AQ13" s="15">
        <v>2992</v>
      </c>
      <c r="AR13" s="15">
        <v>2769</v>
      </c>
      <c r="AS13" s="16">
        <v>3.93</v>
      </c>
      <c r="AT13" s="16">
        <v>3.99</v>
      </c>
      <c r="AU13" s="16">
        <v>3.9</v>
      </c>
      <c r="AV13" s="16">
        <v>3.78</v>
      </c>
      <c r="AW13" s="16">
        <v>3.4</v>
      </c>
      <c r="AX13" s="16">
        <v>4.13</v>
      </c>
      <c r="AY13" s="16">
        <v>3.8</v>
      </c>
      <c r="AZ13" s="16">
        <v>3.5</v>
      </c>
      <c r="BA13" s="16">
        <v>3.76</v>
      </c>
      <c r="BB13" s="16">
        <v>3.86</v>
      </c>
      <c r="BC13" s="16">
        <v>4.0599999999999996</v>
      </c>
      <c r="BD13" s="16">
        <v>3.98</v>
      </c>
      <c r="BE13" s="16">
        <v>4.04</v>
      </c>
      <c r="BF13" s="16">
        <v>4.03</v>
      </c>
      <c r="BG13" s="16">
        <v>3.88</v>
      </c>
      <c r="BH13" s="16">
        <v>0</v>
      </c>
      <c r="BI13" s="16">
        <v>3.41</v>
      </c>
      <c r="BJ13" s="16">
        <v>4.09</v>
      </c>
      <c r="BK13" s="16">
        <v>4.29</v>
      </c>
      <c r="BL13" s="16">
        <v>4.0599999999999996</v>
      </c>
      <c r="BM13" s="16">
        <v>3.02</v>
      </c>
      <c r="BN13" s="16">
        <v>3.75</v>
      </c>
      <c r="BO13" s="16">
        <v>3.14</v>
      </c>
      <c r="BP13" s="16">
        <v>3.53</v>
      </c>
      <c r="BQ13" s="16">
        <v>3.01</v>
      </c>
      <c r="BR13" s="16">
        <v>3.42</v>
      </c>
      <c r="BS13" s="16">
        <v>3.48</v>
      </c>
      <c r="BT13" s="16">
        <v>0</v>
      </c>
      <c r="BU13" s="16">
        <v>3.31</v>
      </c>
      <c r="BV13" s="16">
        <v>0</v>
      </c>
      <c r="BW13" s="16">
        <v>3.29</v>
      </c>
      <c r="BX13" s="16">
        <v>3.51</v>
      </c>
      <c r="BY13" s="16">
        <v>3.38</v>
      </c>
      <c r="BZ13" s="16">
        <v>3.42</v>
      </c>
      <c r="CA13" s="16">
        <v>3.69</v>
      </c>
      <c r="CB13" s="16">
        <v>3.98</v>
      </c>
      <c r="CC13" s="16">
        <v>3.43</v>
      </c>
      <c r="CD13" s="16">
        <v>3.41</v>
      </c>
      <c r="CE13" s="16">
        <v>3.47</v>
      </c>
      <c r="CF13" s="17">
        <f>SUM(Input_Raw[[#This Row],[G01]:[G40]])</f>
        <v>111449</v>
      </c>
      <c r="CG13" s="18">
        <f>IFERROR(AVERAGE(Input_Raw[[#This Row],[WS_G01]:[WS_G40]]),"")</f>
        <v>3.3879487179487193</v>
      </c>
      <c r="CH13" s="19"/>
      <c r="CI13" s="19"/>
      <c r="CJ13" s="15">
        <v>237924</v>
      </c>
      <c r="CK13" s="15">
        <v>2163</v>
      </c>
      <c r="CL13" s="15">
        <v>278263</v>
      </c>
      <c r="CM13" s="15">
        <v>2193</v>
      </c>
      <c r="CN13" s="15">
        <v>253803</v>
      </c>
      <c r="CO13" s="15">
        <v>1800</v>
      </c>
      <c r="CP13" s="15">
        <v>289435</v>
      </c>
      <c r="CQ13" s="15">
        <v>1844</v>
      </c>
      <c r="CR13" s="91">
        <f>IF(((Input_Raw[[#This Row],[33 kV_Wind_F1_Export reading]]-CJ12)*1200)&gt;0,(Input_Raw[[#This Row],[33 kV_Wind_F1_Export reading]]-CJ12)*1200,0)</f>
        <v>27600</v>
      </c>
      <c r="CS13" s="91">
        <f>IF(((Input_Raw[[#This Row],[33 kV_Wind_F1_Import reading]]-CK12)*1200)&gt;0,(Input_Raw[[#This Row],[33 kV_Wind_F1_Import reading]]-CK12)*1200,0)</f>
        <v>1200</v>
      </c>
      <c r="CT13" s="91">
        <f>IF(((Input_Raw[[#This Row],[33 kV_Wind_F2_Export_reading]]-CL12)*1200)&gt;0,(Input_Raw[[#This Row],[33 kV_Wind_F2_Export_reading]]-CL12)*1200,0)</f>
        <v>22800</v>
      </c>
      <c r="CU13" s="91">
        <f>IF(((Input_Raw[[#This Row],[33 kV_Wind_F2_Import_reading]]-CM12)*1200)&gt;0,(Input_Raw[[#This Row],[33 kV_Wind_F2_Import_reading]]-CM12)*1200,0)</f>
        <v>1200</v>
      </c>
      <c r="CV13" s="91">
        <f>IF(((Input_Raw[[#This Row],[33 kV_Wind_F3_Export_Reading]]-CN12)*1200)&gt;0,(Input_Raw[[#This Row],[33 kV_Wind_F3_Export_Reading]]-CN12)*1200,0)</f>
        <v>27600</v>
      </c>
      <c r="CW13" s="91">
        <f>IF(((Input_Raw[[#This Row],[33 kV_Wind_F3_Import_Reading]]-CO12)*1200)&gt;0,(Input_Raw[[#This Row],[33 kV_Wind_F3_Import_Reading]]-CO12)*1200,0)</f>
        <v>1200</v>
      </c>
      <c r="CX13" s="91">
        <f>IF(((Input_Raw[[#This Row],[33 kV_Wind_F4_Export Reading]]-CP12)*1200)&gt;0,(Input_Raw[[#This Row],[33 kV_Wind_F4_Export Reading]]-CP12)*1200,0)</f>
        <v>26400</v>
      </c>
      <c r="CY13" s="91">
        <f>IF(((Input_Raw[[#This Row],[33 kV_Wind_F4_Import Reading]]-CQ12)*1200)&gt;0,(Input_Raw[[#This Row],[33 kV_Wind_F4_Import Reading]]-CQ12)*1200,0)</f>
        <v>0</v>
      </c>
      <c r="CZ13" s="91">
        <f>Input_Raw[[#This Row],[33 kV_F1_Total_Export (KWh)]]+Input_Raw[[#This Row],[33 kV_F2_Total_Export (KWh)2]]+Input_Raw[[#This Row],[33 kV_Wind_F3_Export (KWh)]]+Input_Raw[[#This Row],[33 kV_Wind_F4_Export (KWh)]]</f>
        <v>104400</v>
      </c>
      <c r="DA13" s="91">
        <f>Input_Raw[[#This Row],[33 kV_Wind_F1_Import (KWh)]]+Input_Raw[[#This Row],[33 kV_Wind_F2_Import (KWh)]]+Input_Raw[[#This Row],[33 kV_Wind_F3_Import (KWh)2]]+Input_Raw[[#This Row],[33 kV_Wind_F4_Import (KWh)2]]</f>
        <v>3600</v>
      </c>
      <c r="DB13" s="21">
        <f>IFERROR(1-Input_Raw[[#This Row],[33 kV_Wind_Total_Export (KWh)]]/Input_Raw[[#This Row],[WTG Total Gneration (KWh)]],0)</f>
        <v>6.3248660822438962E-2</v>
      </c>
      <c r="DC13" s="87">
        <v>96</v>
      </c>
      <c r="DD13" s="90">
        <v>233</v>
      </c>
      <c r="DE13" s="102">
        <v>106.01900000000001</v>
      </c>
      <c r="DF13" s="99"/>
      <c r="DG13" s="101">
        <v>78</v>
      </c>
      <c r="DH13" s="99"/>
    </row>
    <row r="14" spans="1:112">
      <c r="A14" s="20">
        <f t="shared" si="3"/>
        <v>45754</v>
      </c>
      <c r="B14" s="12">
        <f>YEAR([1]!Input_Raw[[#This Row],[Date]])+IF(MONTH([1]!Input_Raw[[#This Row],[Date]])&gt;=4,1,0)</f>
        <v>2026</v>
      </c>
      <c r="C14" s="13">
        <f>YEAR([1]!Input_Raw[[#This Row],[Date]])</f>
        <v>2025</v>
      </c>
      <c r="D14" s="14">
        <f t="shared" si="2"/>
        <v>45748</v>
      </c>
      <c r="E14" s="13">
        <f>DAY(EOMONTH([1]!Input_Raw[[#This Row],[Date]],0))</f>
        <v>30</v>
      </c>
      <c r="F14" s="15">
        <v>5128</v>
      </c>
      <c r="G14" s="15">
        <v>6280</v>
      </c>
      <c r="H14" s="15">
        <v>5516</v>
      </c>
      <c r="I14" s="15">
        <v>5776</v>
      </c>
      <c r="J14" s="15">
        <v>5745</v>
      </c>
      <c r="K14" s="15">
        <v>5410</v>
      </c>
      <c r="L14" s="15">
        <v>4061</v>
      </c>
      <c r="M14" s="15">
        <v>6316</v>
      </c>
      <c r="N14" s="15">
        <v>4348</v>
      </c>
      <c r="O14" s="15">
        <v>6676</v>
      </c>
      <c r="P14" s="15">
        <v>7840</v>
      </c>
      <c r="Q14" s="15">
        <v>5758</v>
      </c>
      <c r="R14" s="15">
        <v>6856</v>
      </c>
      <c r="S14" s="15">
        <v>6352</v>
      </c>
      <c r="T14" s="15">
        <v>5989</v>
      </c>
      <c r="U14" s="88">
        <v>0</v>
      </c>
      <c r="V14" s="15">
        <v>5120</v>
      </c>
      <c r="W14" s="15">
        <v>7232</v>
      </c>
      <c r="X14" s="15">
        <v>6608</v>
      </c>
      <c r="Y14" s="15">
        <v>9324</v>
      </c>
      <c r="Z14" s="15">
        <v>7629</v>
      </c>
      <c r="AA14" s="15">
        <v>7949</v>
      </c>
      <c r="AB14" s="15">
        <v>7329</v>
      </c>
      <c r="AC14" s="15">
        <v>7206</v>
      </c>
      <c r="AD14" s="15">
        <v>7220</v>
      </c>
      <c r="AE14" s="15">
        <v>7025</v>
      </c>
      <c r="AF14" s="15">
        <v>7807</v>
      </c>
      <c r="AG14" s="88">
        <v>0</v>
      </c>
      <c r="AH14" s="15">
        <v>7195</v>
      </c>
      <c r="AI14" s="15">
        <v>0</v>
      </c>
      <c r="AJ14" s="15">
        <v>7223</v>
      </c>
      <c r="AK14" s="15">
        <v>5906</v>
      </c>
      <c r="AL14" s="15">
        <v>6153</v>
      </c>
      <c r="AM14" s="15">
        <v>7858</v>
      </c>
      <c r="AN14" s="15">
        <v>6181</v>
      </c>
      <c r="AO14" s="15">
        <v>6848</v>
      </c>
      <c r="AP14" s="15">
        <v>6891</v>
      </c>
      <c r="AQ14" s="88">
        <v>6523</v>
      </c>
      <c r="AR14" s="15">
        <v>6822</v>
      </c>
      <c r="AS14" s="16">
        <v>4.6100000000000003</v>
      </c>
      <c r="AT14" s="16">
        <v>4.84</v>
      </c>
      <c r="AU14" s="16">
        <v>4.5999999999999996</v>
      </c>
      <c r="AV14" s="16">
        <v>4.6900000000000004</v>
      </c>
      <c r="AW14" s="16">
        <v>3.8</v>
      </c>
      <c r="AX14" s="16">
        <v>4.82</v>
      </c>
      <c r="AY14" s="16">
        <v>4.78</v>
      </c>
      <c r="AZ14" s="16">
        <v>4.8</v>
      </c>
      <c r="BA14" s="16">
        <v>4.38</v>
      </c>
      <c r="BB14" s="16">
        <v>4.71</v>
      </c>
      <c r="BC14" s="16">
        <v>5.09</v>
      </c>
      <c r="BD14" s="16">
        <v>4.76</v>
      </c>
      <c r="BE14" s="16">
        <v>4.95</v>
      </c>
      <c r="BF14" s="16">
        <v>4.8499999999999996</v>
      </c>
      <c r="BG14" s="16">
        <v>4.66</v>
      </c>
      <c r="BH14" s="16">
        <v>0</v>
      </c>
      <c r="BI14" s="16">
        <v>4.5999999999999996</v>
      </c>
      <c r="BJ14" s="16">
        <v>5.05</v>
      </c>
      <c r="BK14" s="16">
        <v>4.8</v>
      </c>
      <c r="BL14" s="16">
        <v>5.43</v>
      </c>
      <c r="BM14" s="16">
        <v>4.22</v>
      </c>
      <c r="BN14" s="16">
        <v>4.18</v>
      </c>
      <c r="BO14" s="16">
        <v>4.05</v>
      </c>
      <c r="BP14" s="16">
        <v>4.57</v>
      </c>
      <c r="BQ14" s="16">
        <v>3.71</v>
      </c>
      <c r="BR14" s="16">
        <v>4.3499999999999996</v>
      </c>
      <c r="BS14" s="16">
        <v>4.49</v>
      </c>
      <c r="BT14" s="16">
        <v>0</v>
      </c>
      <c r="BU14" s="16">
        <v>4.12</v>
      </c>
      <c r="BV14" s="16">
        <v>0</v>
      </c>
      <c r="BW14" s="16">
        <v>3.89</v>
      </c>
      <c r="BX14" s="16">
        <v>4.17</v>
      </c>
      <c r="BY14" s="16">
        <v>4.26</v>
      </c>
      <c r="BZ14" s="16">
        <v>4.16</v>
      </c>
      <c r="CA14" s="16">
        <v>4.38</v>
      </c>
      <c r="CB14" s="16">
        <v>4.16</v>
      </c>
      <c r="CC14" s="16">
        <v>3.8</v>
      </c>
      <c r="CD14" s="16">
        <v>4.04</v>
      </c>
      <c r="CE14" s="16">
        <v>4.04</v>
      </c>
      <c r="CF14" s="17">
        <f>SUM(Input_Raw[[#This Row],[G01]:[G40]])</f>
        <v>236100</v>
      </c>
      <c r="CG14" s="18">
        <f>IFERROR(AVERAGE(Input_Raw[[#This Row],[WS_G01]:[WS_G40]]),"")</f>
        <v>4.1233333333333331</v>
      </c>
      <c r="CH14" s="19"/>
      <c r="CI14" s="19"/>
      <c r="CJ14" s="15">
        <v>237977</v>
      </c>
      <c r="CK14" s="15">
        <v>2163</v>
      </c>
      <c r="CL14" s="15">
        <v>278309</v>
      </c>
      <c r="CM14" s="15">
        <v>2193</v>
      </c>
      <c r="CN14" s="15">
        <v>253844</v>
      </c>
      <c r="CO14" s="15">
        <v>1801</v>
      </c>
      <c r="CP14" s="15">
        <v>289480</v>
      </c>
      <c r="CQ14" s="15">
        <v>1845</v>
      </c>
      <c r="CR14" s="91">
        <f>IF(((Input_Raw[[#This Row],[33 kV_Wind_F1_Export reading]]-CJ13)*1200)&gt;0,(Input_Raw[[#This Row],[33 kV_Wind_F1_Export reading]]-CJ13)*1200,0)</f>
        <v>63600</v>
      </c>
      <c r="CS14" s="91">
        <f>IF(((Input_Raw[[#This Row],[33 kV_Wind_F1_Import reading]]-CK13)*1200)&gt;0,(Input_Raw[[#This Row],[33 kV_Wind_F1_Import reading]]-CK13)*1200,0)</f>
        <v>0</v>
      </c>
      <c r="CT14" s="91">
        <f>IF(((Input_Raw[[#This Row],[33 kV_Wind_F2_Export_reading]]-CL13)*1200)&gt;0,(Input_Raw[[#This Row],[33 kV_Wind_F2_Export_reading]]-CL13)*1200,0)</f>
        <v>55200</v>
      </c>
      <c r="CU14" s="91">
        <f>IF(((Input_Raw[[#This Row],[33 kV_Wind_F2_Import_reading]]-CM13)*1200)&gt;0,(Input_Raw[[#This Row],[33 kV_Wind_F2_Import_reading]]-CM13)*1200,0)</f>
        <v>0</v>
      </c>
      <c r="CV14" s="91">
        <f>IF(((Input_Raw[[#This Row],[33 kV_Wind_F3_Export_Reading]]-CN13)*1200)&gt;0,(Input_Raw[[#This Row],[33 kV_Wind_F3_Export_Reading]]-CN13)*1200,0)</f>
        <v>49200</v>
      </c>
      <c r="CW14" s="91">
        <f>IF(((Input_Raw[[#This Row],[33 kV_Wind_F3_Import_Reading]]-CO13)*1200)&gt;0,(Input_Raw[[#This Row],[33 kV_Wind_F3_Import_Reading]]-CO13)*1200,0)</f>
        <v>1200</v>
      </c>
      <c r="CX14" s="91">
        <f>IF(((Input_Raw[[#This Row],[33 kV_Wind_F4_Export Reading]]-CP13)*1200)&gt;0,(Input_Raw[[#This Row],[33 kV_Wind_F4_Export Reading]]-CP13)*1200,0)</f>
        <v>54000</v>
      </c>
      <c r="CY14" s="91">
        <f>IF(((Input_Raw[[#This Row],[33 kV_Wind_F4_Import Reading]]-CQ13)*1200)&gt;0,(Input_Raw[[#This Row],[33 kV_Wind_F4_Import Reading]]-CQ13)*1200,0)</f>
        <v>1200</v>
      </c>
      <c r="CZ14" s="91">
        <f>Input_Raw[[#This Row],[33 kV_F1_Total_Export (KWh)]]+Input_Raw[[#This Row],[33 kV_F2_Total_Export (KWh)2]]+Input_Raw[[#This Row],[33 kV_Wind_F3_Export (KWh)]]+Input_Raw[[#This Row],[33 kV_Wind_F4_Export (KWh)]]</f>
        <v>222000</v>
      </c>
      <c r="DA14" s="91">
        <f>Input_Raw[[#This Row],[33 kV_Wind_F1_Import (KWh)]]+Input_Raw[[#This Row],[33 kV_Wind_F2_Import (KWh)]]+Input_Raw[[#This Row],[33 kV_Wind_F3_Import (KWh)2]]+Input_Raw[[#This Row],[33 kV_Wind_F4_Import (KWh)2]]</f>
        <v>2400</v>
      </c>
      <c r="DB14" s="21">
        <f>IFERROR(1-Input_Raw[[#This Row],[33 kV_Wind_Total_Export (KWh)]]/Input_Raw[[#This Row],[WTG Total Gneration (KWh)]],0)</f>
        <v>5.9720457433291019E-2</v>
      </c>
      <c r="DC14" s="87">
        <v>96</v>
      </c>
      <c r="DD14" s="90">
        <v>5005</v>
      </c>
      <c r="DE14" s="102">
        <v>238.17599999999999</v>
      </c>
      <c r="DF14" s="99"/>
      <c r="DG14" s="101">
        <v>78</v>
      </c>
      <c r="DH14" s="99"/>
    </row>
    <row r="15" spans="1:112">
      <c r="A15" s="20">
        <f t="shared" si="3"/>
        <v>45755</v>
      </c>
      <c r="B15" s="12">
        <f>YEAR([1]!Input_Raw[[#This Row],[Date]])+IF(MONTH([1]!Input_Raw[[#This Row],[Date]])&gt;=4,1,0)</f>
        <v>2026</v>
      </c>
      <c r="C15" s="13">
        <f>YEAR([1]!Input_Raw[[#This Row],[Date]])</f>
        <v>2025</v>
      </c>
      <c r="D15" s="14">
        <f t="shared" si="2"/>
        <v>45748</v>
      </c>
      <c r="E15" s="13">
        <f>DAY(EOMONTH([1]!Input_Raw[[#This Row],[Date]],0))</f>
        <v>30</v>
      </c>
      <c r="F15" s="15">
        <v>4316</v>
      </c>
      <c r="G15" s="15">
        <v>3696</v>
      </c>
      <c r="H15" s="15">
        <v>3986</v>
      </c>
      <c r="I15" s="15">
        <v>2420</v>
      </c>
      <c r="J15" s="15">
        <v>4046</v>
      </c>
      <c r="K15" s="15">
        <v>5079</v>
      </c>
      <c r="L15" s="15">
        <v>4140</v>
      </c>
      <c r="M15" s="15">
        <v>4684</v>
      </c>
      <c r="N15" s="15">
        <v>1744</v>
      </c>
      <c r="O15" s="15">
        <v>4112</v>
      </c>
      <c r="P15" s="15">
        <v>4460</v>
      </c>
      <c r="Q15" s="15">
        <v>4310</v>
      </c>
      <c r="R15" s="15">
        <v>4204</v>
      </c>
      <c r="S15" s="15">
        <v>4472</v>
      </c>
      <c r="T15" s="15">
        <v>1155</v>
      </c>
      <c r="U15" s="88">
        <v>0</v>
      </c>
      <c r="V15" s="15">
        <v>5408</v>
      </c>
      <c r="W15" s="15">
        <v>5168</v>
      </c>
      <c r="X15" s="15">
        <v>5578</v>
      </c>
      <c r="Y15" s="15">
        <v>6118</v>
      </c>
      <c r="Z15" s="15">
        <v>4592</v>
      </c>
      <c r="AA15" s="15">
        <v>4328</v>
      </c>
      <c r="AB15" s="15">
        <v>4704</v>
      </c>
      <c r="AC15" s="15">
        <v>4450</v>
      </c>
      <c r="AD15" s="15">
        <v>3958</v>
      </c>
      <c r="AE15" s="15">
        <v>4076</v>
      </c>
      <c r="AF15" s="15">
        <v>3910</v>
      </c>
      <c r="AG15" s="88">
        <v>0</v>
      </c>
      <c r="AH15" s="15">
        <v>5106</v>
      </c>
      <c r="AI15" s="15">
        <v>0</v>
      </c>
      <c r="AJ15" s="15">
        <v>3788</v>
      </c>
      <c r="AK15" s="15">
        <v>3435</v>
      </c>
      <c r="AL15" s="15">
        <v>3696</v>
      </c>
      <c r="AM15" s="15">
        <v>4568</v>
      </c>
      <c r="AN15" s="15">
        <v>5094</v>
      </c>
      <c r="AO15" s="15">
        <v>4896</v>
      </c>
      <c r="AP15" s="15">
        <v>3666</v>
      </c>
      <c r="AQ15" s="15">
        <v>3596</v>
      </c>
      <c r="AR15" s="15">
        <v>4325</v>
      </c>
      <c r="AS15" s="16">
        <v>3.74</v>
      </c>
      <c r="AT15" s="16">
        <v>3.74</v>
      </c>
      <c r="AU15" s="16">
        <v>3.75</v>
      </c>
      <c r="AV15" s="16">
        <v>3.66</v>
      </c>
      <c r="AW15" s="16">
        <v>3.58</v>
      </c>
      <c r="AX15" s="16">
        <v>4.01</v>
      </c>
      <c r="AY15" s="16">
        <v>3.68</v>
      </c>
      <c r="AZ15" s="16">
        <v>3.94</v>
      </c>
      <c r="BA15" s="16">
        <v>3.7</v>
      </c>
      <c r="BB15" s="16">
        <v>3.66</v>
      </c>
      <c r="BC15" s="16">
        <v>3.85</v>
      </c>
      <c r="BD15" s="16">
        <v>3.83</v>
      </c>
      <c r="BE15" s="16">
        <v>3.84</v>
      </c>
      <c r="BF15" s="16">
        <v>3.92</v>
      </c>
      <c r="BG15" s="16">
        <v>3.11</v>
      </c>
      <c r="BH15" s="16">
        <v>0</v>
      </c>
      <c r="BI15" s="16">
        <v>4.0199999999999996</v>
      </c>
      <c r="BJ15" s="16">
        <v>3.98</v>
      </c>
      <c r="BK15" s="16">
        <v>4.12</v>
      </c>
      <c r="BL15" s="16">
        <v>4.16</v>
      </c>
      <c r="BM15" s="16">
        <v>3.79</v>
      </c>
      <c r="BN15" s="16">
        <v>3.68</v>
      </c>
      <c r="BO15" s="16">
        <v>3.68</v>
      </c>
      <c r="BP15" s="16">
        <v>3.85</v>
      </c>
      <c r="BQ15" s="16">
        <v>3.49</v>
      </c>
      <c r="BR15" s="16">
        <v>3.7</v>
      </c>
      <c r="BS15" s="16">
        <v>3.67</v>
      </c>
      <c r="BT15" s="16">
        <v>0</v>
      </c>
      <c r="BU15" s="16">
        <v>3.9</v>
      </c>
      <c r="BV15" s="16">
        <v>0</v>
      </c>
      <c r="BW15" s="16">
        <v>3.66</v>
      </c>
      <c r="BX15" s="16">
        <v>3.57</v>
      </c>
      <c r="BY15" s="16">
        <v>3.7</v>
      </c>
      <c r="BZ15" s="16">
        <v>3.91</v>
      </c>
      <c r="CA15" s="16">
        <v>4.05</v>
      </c>
      <c r="CB15" s="16">
        <v>3.93</v>
      </c>
      <c r="CC15" s="16">
        <v>3.61</v>
      </c>
      <c r="CD15" s="16">
        <v>4.13</v>
      </c>
      <c r="CE15" s="16">
        <v>3.7</v>
      </c>
      <c r="CF15" s="17">
        <f>SUM(Input_Raw[[#This Row],[G01]:[G40]])</f>
        <v>151284</v>
      </c>
      <c r="CG15" s="18">
        <f>IFERROR(AVERAGE(Input_Raw[[#This Row],[WS_G01]:[WS_G40]]),"")</f>
        <v>3.4951282051282053</v>
      </c>
      <c r="CH15" s="19"/>
      <c r="CI15" s="19"/>
      <c r="CJ15" s="15">
        <v>238011</v>
      </c>
      <c r="CK15" s="15">
        <v>2164</v>
      </c>
      <c r="CL15" s="15">
        <v>278337</v>
      </c>
      <c r="CM15" s="15">
        <v>2194</v>
      </c>
      <c r="CN15" s="15">
        <v>253876</v>
      </c>
      <c r="CO15" s="15">
        <v>1802</v>
      </c>
      <c r="CP15" s="15">
        <v>289511</v>
      </c>
      <c r="CQ15" s="15">
        <v>1846</v>
      </c>
      <c r="CR15" s="91">
        <f>IF(((Input_Raw[[#This Row],[33 kV_Wind_F1_Export reading]]-CJ14)*1200)&gt;0,(Input_Raw[[#This Row],[33 kV_Wind_F1_Export reading]]-CJ14)*1200,0)</f>
        <v>40800</v>
      </c>
      <c r="CS15" s="91">
        <f>IF(((Input_Raw[[#This Row],[33 kV_Wind_F1_Import reading]]-CK14)*1200)&gt;0,(Input_Raw[[#This Row],[33 kV_Wind_F1_Import reading]]-CK14)*1200,0)</f>
        <v>1200</v>
      </c>
      <c r="CT15" s="91">
        <f>IF(((Input_Raw[[#This Row],[33 kV_Wind_F2_Export_reading]]-CL14)*1200)&gt;0,(Input_Raw[[#This Row],[33 kV_Wind_F2_Export_reading]]-CL14)*1200,0)</f>
        <v>33600</v>
      </c>
      <c r="CU15" s="91">
        <f>IF(((Input_Raw[[#This Row],[33 kV_Wind_F2_Import_reading]]-CM14)*1200)&gt;0,(Input_Raw[[#This Row],[33 kV_Wind_F2_Import_reading]]-CM14)*1200,0)</f>
        <v>1200</v>
      </c>
      <c r="CV15" s="91">
        <f>IF(((Input_Raw[[#This Row],[33 kV_Wind_F3_Export_Reading]]-CN14)*1200)&gt;0,(Input_Raw[[#This Row],[33 kV_Wind_F3_Export_Reading]]-CN14)*1200,0)</f>
        <v>38400</v>
      </c>
      <c r="CW15" s="91">
        <f>IF(((Input_Raw[[#This Row],[33 kV_Wind_F3_Import_Reading]]-CO14)*1200)&gt;0,(Input_Raw[[#This Row],[33 kV_Wind_F3_Import_Reading]]-CO14)*1200,0)</f>
        <v>1200</v>
      </c>
      <c r="CX15" s="91">
        <f>IF(((Input_Raw[[#This Row],[33 kV_Wind_F4_Export Reading]]-CP14)*1200)&gt;0,(Input_Raw[[#This Row],[33 kV_Wind_F4_Export Reading]]-CP14)*1200,0)</f>
        <v>37200</v>
      </c>
      <c r="CY15" s="91">
        <f>IF(((Input_Raw[[#This Row],[33 kV_Wind_F4_Import Reading]]-CQ14)*1200)&gt;0,(Input_Raw[[#This Row],[33 kV_Wind_F4_Import Reading]]-CQ14)*1200,0)</f>
        <v>1200</v>
      </c>
      <c r="CZ15" s="91">
        <f>Input_Raw[[#This Row],[33 kV_F1_Total_Export (KWh)]]+Input_Raw[[#This Row],[33 kV_F2_Total_Export (KWh)2]]+Input_Raw[[#This Row],[33 kV_Wind_F3_Export (KWh)]]+Input_Raw[[#This Row],[33 kV_Wind_F4_Export (KWh)]]</f>
        <v>150000</v>
      </c>
      <c r="DA15" s="91">
        <f>Input_Raw[[#This Row],[33 kV_Wind_F1_Import (KWh)]]+Input_Raw[[#This Row],[33 kV_Wind_F2_Import (KWh)]]+Input_Raw[[#This Row],[33 kV_Wind_F3_Import (KWh)2]]+Input_Raw[[#This Row],[33 kV_Wind_F4_Import (KWh)2]]</f>
        <v>4800</v>
      </c>
      <c r="DB15" s="21">
        <f>IFERROR(1-Input_Raw[[#This Row],[33 kV_Wind_Total_Export (KWh)]]/Input_Raw[[#This Row],[WTG Total Gneration (KWh)]],0)</f>
        <v>8.4873482985642346E-3</v>
      </c>
      <c r="DC15" s="87">
        <v>96</v>
      </c>
      <c r="DD15" s="90">
        <v>4615</v>
      </c>
      <c r="DE15" s="102">
        <v>149.33000000000001</v>
      </c>
      <c r="DF15" s="99"/>
      <c r="DG15" s="101">
        <v>78</v>
      </c>
      <c r="DH15" s="99"/>
    </row>
    <row r="16" spans="1:112">
      <c r="A16" s="20">
        <f t="shared" si="3"/>
        <v>45756</v>
      </c>
      <c r="B16" s="12">
        <f>YEAR([1]!Input_Raw[[#This Row],[Date]])+IF(MONTH([1]!Input_Raw[[#This Row],[Date]])&gt;=4,1,0)</f>
        <v>2026</v>
      </c>
      <c r="C16" s="13">
        <f>YEAR([1]!Input_Raw[[#This Row],[Date]])</f>
        <v>2025</v>
      </c>
      <c r="D16" s="14">
        <f t="shared" si="2"/>
        <v>45748</v>
      </c>
      <c r="E16" s="13">
        <f>DAY(EOMONTH([1]!Input_Raw[[#This Row],[Date]],0))</f>
        <v>30</v>
      </c>
      <c r="F16" s="15">
        <v>11140</v>
      </c>
      <c r="G16" s="15">
        <v>7480</v>
      </c>
      <c r="H16" s="15">
        <v>9628</v>
      </c>
      <c r="I16" s="15">
        <v>2232</v>
      </c>
      <c r="J16" s="15">
        <v>9056</v>
      </c>
      <c r="K16" s="15">
        <v>7947</v>
      </c>
      <c r="L16" s="15">
        <v>9460</v>
      </c>
      <c r="M16" s="15">
        <v>9688</v>
      </c>
      <c r="N16" s="15">
        <v>6482</v>
      </c>
      <c r="O16" s="15">
        <v>3688</v>
      </c>
      <c r="P16" s="15">
        <v>12444</v>
      </c>
      <c r="Q16" s="15">
        <v>9350</v>
      </c>
      <c r="R16" s="15">
        <v>8102</v>
      </c>
      <c r="S16" s="15">
        <v>10392</v>
      </c>
      <c r="T16" s="15">
        <v>9464</v>
      </c>
      <c r="U16" s="15">
        <v>1112</v>
      </c>
      <c r="V16" s="15">
        <v>12968</v>
      </c>
      <c r="W16" s="15">
        <v>12416</v>
      </c>
      <c r="X16" s="15">
        <v>11728</v>
      </c>
      <c r="Y16" s="15">
        <v>12297</v>
      </c>
      <c r="Z16" s="15">
        <v>8994</v>
      </c>
      <c r="AA16" s="15">
        <v>8152</v>
      </c>
      <c r="AB16" s="15">
        <v>10714</v>
      </c>
      <c r="AC16" s="15">
        <v>10910</v>
      </c>
      <c r="AD16" s="15">
        <v>8828</v>
      </c>
      <c r="AE16" s="15">
        <v>9116</v>
      </c>
      <c r="AF16" s="15">
        <v>8908</v>
      </c>
      <c r="AG16" s="88">
        <v>0</v>
      </c>
      <c r="AH16" s="15">
        <v>9794</v>
      </c>
      <c r="AI16" s="15">
        <v>0</v>
      </c>
      <c r="AJ16" s="15">
        <v>7086</v>
      </c>
      <c r="AK16" s="15">
        <v>7543</v>
      </c>
      <c r="AL16" s="15">
        <v>8482</v>
      </c>
      <c r="AM16" s="15">
        <v>8556</v>
      </c>
      <c r="AN16" s="15">
        <v>9864</v>
      </c>
      <c r="AO16" s="15">
        <v>10140</v>
      </c>
      <c r="AP16" s="15">
        <v>7702</v>
      </c>
      <c r="AQ16" s="88">
        <v>7590</v>
      </c>
      <c r="AR16" s="15">
        <v>8333</v>
      </c>
      <c r="AS16" s="16">
        <v>4.8499999999999996</v>
      </c>
      <c r="AT16" s="16">
        <v>5.37</v>
      </c>
      <c r="AU16" s="16">
        <v>4.76</v>
      </c>
      <c r="AV16" s="16">
        <v>4.7699999999999996</v>
      </c>
      <c r="AW16" s="16">
        <v>5.09</v>
      </c>
      <c r="AX16" s="16">
        <v>5.19</v>
      </c>
      <c r="AY16" s="16">
        <v>4.8</v>
      </c>
      <c r="AZ16" s="16">
        <v>4.87</v>
      </c>
      <c r="BA16" s="16">
        <v>5.25</v>
      </c>
      <c r="BB16" s="16">
        <v>4.9800000000000004</v>
      </c>
      <c r="BC16" s="16">
        <v>5.45</v>
      </c>
      <c r="BD16" s="16">
        <v>5.28</v>
      </c>
      <c r="BE16" s="16">
        <v>5.32</v>
      </c>
      <c r="BF16" s="16">
        <v>5.14</v>
      </c>
      <c r="BG16" s="16">
        <v>5.09</v>
      </c>
      <c r="BH16" s="16">
        <v>5.27</v>
      </c>
      <c r="BI16" s="16">
        <v>5.07</v>
      </c>
      <c r="BJ16" s="16">
        <v>5.36</v>
      </c>
      <c r="BK16" s="16">
        <v>6.59</v>
      </c>
      <c r="BL16" s="16">
        <v>5.63</v>
      </c>
      <c r="BM16" s="16">
        <v>5.4</v>
      </c>
      <c r="BN16" s="16">
        <v>5.44</v>
      </c>
      <c r="BO16" s="16">
        <v>4.66</v>
      </c>
      <c r="BP16" s="16">
        <v>4.9800000000000004</v>
      </c>
      <c r="BQ16" s="16">
        <v>4.95</v>
      </c>
      <c r="BR16" s="16">
        <v>4.71</v>
      </c>
      <c r="BS16" s="16">
        <v>4.88</v>
      </c>
      <c r="BT16" s="16">
        <v>0</v>
      </c>
      <c r="BU16" s="16">
        <v>4.8600000000000003</v>
      </c>
      <c r="BV16" s="16">
        <v>0</v>
      </c>
      <c r="BW16" s="16">
        <v>4.59</v>
      </c>
      <c r="BX16" s="16">
        <v>4.7300000000000004</v>
      </c>
      <c r="BY16" s="16">
        <v>4.88</v>
      </c>
      <c r="BZ16" s="16">
        <v>4.88</v>
      </c>
      <c r="CA16" s="16">
        <v>5.07</v>
      </c>
      <c r="CB16" s="16">
        <v>5.05</v>
      </c>
      <c r="CC16" s="16">
        <v>4.83</v>
      </c>
      <c r="CD16" s="16">
        <v>4.74</v>
      </c>
      <c r="CE16" s="16">
        <v>5.01</v>
      </c>
      <c r="CF16" s="17">
        <f>SUM(Input_Raw[[#This Row],[G01]:[G40]])</f>
        <v>327786</v>
      </c>
      <c r="CG16" s="18">
        <f>IFERROR(AVERAGE(Input_Raw[[#This Row],[WS_G01]:[WS_G40]]),"")</f>
        <v>4.8151282051282047</v>
      </c>
      <c r="CH16" s="19"/>
      <c r="CI16" s="19"/>
      <c r="CJ16" s="15">
        <v>238080</v>
      </c>
      <c r="CK16" s="15">
        <v>2165</v>
      </c>
      <c r="CL16" s="15">
        <v>278399</v>
      </c>
      <c r="CM16" s="15">
        <v>2195</v>
      </c>
      <c r="CN16" s="15">
        <v>253934</v>
      </c>
      <c r="CO16" s="15">
        <v>1802</v>
      </c>
      <c r="CP16" s="15">
        <v>289579</v>
      </c>
      <c r="CQ16" s="15">
        <v>1846</v>
      </c>
      <c r="CR16" s="91">
        <f>IF(((Input_Raw[[#This Row],[33 kV_Wind_F1_Export reading]]-CJ15)*1200)&gt;0,(Input_Raw[[#This Row],[33 kV_Wind_F1_Export reading]]-CJ15)*1200,0)</f>
        <v>82800</v>
      </c>
      <c r="CS16" s="91">
        <f>IF(((Input_Raw[[#This Row],[33 kV_Wind_F1_Import reading]]-CK15)*1200)&gt;0,(Input_Raw[[#This Row],[33 kV_Wind_F1_Import reading]]-CK15)*1200,0)</f>
        <v>1200</v>
      </c>
      <c r="CT16" s="91">
        <f>IF(((Input_Raw[[#This Row],[33 kV_Wind_F2_Export_reading]]-CL15)*1200)&gt;0,(Input_Raw[[#This Row],[33 kV_Wind_F2_Export_reading]]-CL15)*1200,0)</f>
        <v>74400</v>
      </c>
      <c r="CU16" s="91">
        <f>IF(((Input_Raw[[#This Row],[33 kV_Wind_F2_Import_reading]]-CM15)*1200)&gt;0,(Input_Raw[[#This Row],[33 kV_Wind_F2_Import_reading]]-CM15)*1200,0)</f>
        <v>1200</v>
      </c>
      <c r="CV16" s="91">
        <f>IF(((Input_Raw[[#This Row],[33 kV_Wind_F3_Export_Reading]]-CN15)*1200)&gt;0,(Input_Raw[[#This Row],[33 kV_Wind_F3_Export_Reading]]-CN15)*1200,0)</f>
        <v>69600</v>
      </c>
      <c r="CW16" s="91">
        <f>IF(((Input_Raw[[#This Row],[33 kV_Wind_F3_Import_Reading]]-CO15)*1200)&gt;0,(Input_Raw[[#This Row],[33 kV_Wind_F3_Import_Reading]]-CO15)*1200,0)</f>
        <v>0</v>
      </c>
      <c r="CX16" s="91">
        <f>IF(((Input_Raw[[#This Row],[33 kV_Wind_F4_Export Reading]]-CP15)*1200)&gt;0,(Input_Raw[[#This Row],[33 kV_Wind_F4_Export Reading]]-CP15)*1200,0)</f>
        <v>81600</v>
      </c>
      <c r="CY16" s="91">
        <f>IF(((Input_Raw[[#This Row],[33 kV_Wind_F4_Import Reading]]-CQ15)*1200)&gt;0,(Input_Raw[[#This Row],[33 kV_Wind_F4_Import Reading]]-CQ15)*1200,0)</f>
        <v>0</v>
      </c>
      <c r="CZ16" s="91">
        <f>Input_Raw[[#This Row],[33 kV_F1_Total_Export (KWh)]]+Input_Raw[[#This Row],[33 kV_F2_Total_Export (KWh)2]]+Input_Raw[[#This Row],[33 kV_Wind_F3_Export (KWh)]]+Input_Raw[[#This Row],[33 kV_Wind_F4_Export (KWh)]]</f>
        <v>308400</v>
      </c>
      <c r="DA16" s="91">
        <f>Input_Raw[[#This Row],[33 kV_Wind_F1_Import (KWh)]]+Input_Raw[[#This Row],[33 kV_Wind_F2_Import (KWh)]]+Input_Raw[[#This Row],[33 kV_Wind_F3_Import (KWh)2]]+Input_Raw[[#This Row],[33 kV_Wind_F4_Import (KWh)2]]</f>
        <v>2400</v>
      </c>
      <c r="DB16" s="21">
        <f>IFERROR(1-Input_Raw[[#This Row],[33 kV_Wind_Total_Export (KWh)]]/Input_Raw[[#This Row],[WTG Total Gneration (KWh)]],0)</f>
        <v>5.9142245245373481E-2</v>
      </c>
      <c r="DC16" s="87">
        <v>96</v>
      </c>
      <c r="DD16" s="90">
        <v>91469</v>
      </c>
      <c r="DE16" s="102">
        <v>327.512</v>
      </c>
      <c r="DF16" s="99"/>
      <c r="DG16" s="101">
        <v>78</v>
      </c>
      <c r="DH16" s="99"/>
    </row>
    <row r="17" spans="1:112">
      <c r="A17" s="20">
        <f t="shared" si="3"/>
        <v>45757</v>
      </c>
      <c r="B17" s="12">
        <f>YEAR([1]!Input_Raw[[#This Row],[Date]])+IF(MONTH([1]!Input_Raw[[#This Row],[Date]])&gt;=4,1,0)</f>
        <v>2026</v>
      </c>
      <c r="C17" s="13">
        <f>YEAR([1]!Input_Raw[[#This Row],[Date]])</f>
        <v>2025</v>
      </c>
      <c r="D17" s="14">
        <f t="shared" si="2"/>
        <v>45748</v>
      </c>
      <c r="E17" s="13">
        <f>DAY(EOMONTH([1]!Input_Raw[[#This Row],[Date]],0))</f>
        <v>30</v>
      </c>
      <c r="F17" s="15">
        <v>14750</v>
      </c>
      <c r="G17" s="15">
        <v>13334</v>
      </c>
      <c r="H17" s="15">
        <v>13120</v>
      </c>
      <c r="I17" s="15">
        <v>12895</v>
      </c>
      <c r="J17" s="15">
        <v>13940</v>
      </c>
      <c r="K17" s="15">
        <v>14632</v>
      </c>
      <c r="L17" s="15">
        <v>15060</v>
      </c>
      <c r="M17" s="15">
        <v>14658</v>
      </c>
      <c r="N17" s="15">
        <v>14103</v>
      </c>
      <c r="O17" s="15">
        <v>13510</v>
      </c>
      <c r="P17" s="15">
        <v>16678</v>
      </c>
      <c r="Q17" s="15">
        <v>14261</v>
      </c>
      <c r="R17" s="15">
        <v>11088</v>
      </c>
      <c r="S17" s="15">
        <v>10532</v>
      </c>
      <c r="T17" s="15">
        <v>14296</v>
      </c>
      <c r="U17" s="15">
        <v>8036</v>
      </c>
      <c r="V17" s="15">
        <v>15320</v>
      </c>
      <c r="W17" s="15">
        <v>16124</v>
      </c>
      <c r="X17" s="15">
        <v>16394</v>
      </c>
      <c r="Y17" s="15">
        <v>16007</v>
      </c>
      <c r="Z17" s="15">
        <v>16920</v>
      </c>
      <c r="AA17" s="15">
        <v>16264</v>
      </c>
      <c r="AB17" s="15">
        <v>14364</v>
      </c>
      <c r="AC17" s="15">
        <v>14072</v>
      </c>
      <c r="AD17" s="15">
        <v>15618</v>
      </c>
      <c r="AE17" s="15">
        <v>13132</v>
      </c>
      <c r="AF17" s="15">
        <v>12542</v>
      </c>
      <c r="AG17" s="88">
        <v>0</v>
      </c>
      <c r="AH17" s="15">
        <v>13122</v>
      </c>
      <c r="AI17" s="15">
        <v>0</v>
      </c>
      <c r="AJ17" s="15">
        <v>12891</v>
      </c>
      <c r="AK17" s="15">
        <v>12930</v>
      </c>
      <c r="AL17" s="15">
        <v>13718</v>
      </c>
      <c r="AM17" s="15">
        <v>13574</v>
      </c>
      <c r="AN17" s="15">
        <v>15826</v>
      </c>
      <c r="AO17" s="15">
        <v>13794</v>
      </c>
      <c r="AP17" s="15">
        <v>14084</v>
      </c>
      <c r="AQ17" s="15">
        <v>14140</v>
      </c>
      <c r="AR17" s="15">
        <v>14001</v>
      </c>
      <c r="AS17" s="16">
        <v>5.59</v>
      </c>
      <c r="AT17" s="16">
        <v>6.18</v>
      </c>
      <c r="AU17" s="16">
        <v>5.43</v>
      </c>
      <c r="AV17" s="16">
        <v>5.42</v>
      </c>
      <c r="AW17" s="16">
        <v>5.97</v>
      </c>
      <c r="AX17" s="16">
        <v>6.06</v>
      </c>
      <c r="AY17" s="16">
        <v>5.51</v>
      </c>
      <c r="AZ17" s="16">
        <v>5.15</v>
      </c>
      <c r="BA17" s="16">
        <v>5.98</v>
      </c>
      <c r="BB17" s="16">
        <v>5.33</v>
      </c>
      <c r="BC17" s="16">
        <v>6.31</v>
      </c>
      <c r="BD17" s="16">
        <v>5.92</v>
      </c>
      <c r="BE17" s="16">
        <v>5.96</v>
      </c>
      <c r="BF17" s="16">
        <v>5.77</v>
      </c>
      <c r="BG17" s="16">
        <v>5.83</v>
      </c>
      <c r="BH17" s="16">
        <v>5.9</v>
      </c>
      <c r="BI17" s="16">
        <v>6.05</v>
      </c>
      <c r="BJ17" s="16">
        <v>5.8</v>
      </c>
      <c r="BK17" s="16">
        <v>5.74</v>
      </c>
      <c r="BL17" s="16">
        <v>6.66</v>
      </c>
      <c r="BM17" s="16">
        <v>6.01</v>
      </c>
      <c r="BN17" s="16">
        <v>6.2</v>
      </c>
      <c r="BO17" s="16">
        <v>6.1</v>
      </c>
      <c r="BP17" s="16">
        <v>5.88</v>
      </c>
      <c r="BQ17" s="16">
        <v>6</v>
      </c>
      <c r="BR17" s="16">
        <v>5.88</v>
      </c>
      <c r="BS17" s="16">
        <v>5.94</v>
      </c>
      <c r="BT17" s="16">
        <v>0</v>
      </c>
      <c r="BU17" s="16">
        <v>5.74</v>
      </c>
      <c r="BV17" s="16">
        <v>0</v>
      </c>
      <c r="BW17" s="16">
        <v>5.52</v>
      </c>
      <c r="BX17" s="16">
        <v>5.76</v>
      </c>
      <c r="BY17" s="16">
        <v>6.04</v>
      </c>
      <c r="BZ17" s="16">
        <v>6.02</v>
      </c>
      <c r="CA17" s="16">
        <v>5.85</v>
      </c>
      <c r="CB17" s="16">
        <v>6.03</v>
      </c>
      <c r="CC17" s="16">
        <v>5.99</v>
      </c>
      <c r="CD17" s="16">
        <v>5.42</v>
      </c>
      <c r="CE17" s="16">
        <v>6.19</v>
      </c>
      <c r="CF17" s="17">
        <f>SUM(Input_Raw[[#This Row],[G01]:[G40]])</f>
        <v>519730</v>
      </c>
      <c r="CG17" s="18">
        <f>IFERROR(AVERAGE(Input_Raw[[#This Row],[WS_G01]:[WS_G40]]),"")</f>
        <v>5.5674358974358968</v>
      </c>
      <c r="CH17" s="19"/>
      <c r="CI17" s="19"/>
      <c r="CJ17" s="15">
        <v>238197</v>
      </c>
      <c r="CK17" s="15">
        <v>2165</v>
      </c>
      <c r="CL17" s="15">
        <v>278494</v>
      </c>
      <c r="CM17" s="15">
        <v>2195</v>
      </c>
      <c r="CN17" s="15">
        <v>254041</v>
      </c>
      <c r="CO17" s="15">
        <v>1803</v>
      </c>
      <c r="CP17" s="15">
        <v>289688</v>
      </c>
      <c r="CQ17" s="15">
        <v>1847</v>
      </c>
      <c r="CR17" s="91">
        <f>IF(((Input_Raw[[#This Row],[33 kV_Wind_F1_Export reading]]-CJ16)*1200)&gt;0,(Input_Raw[[#This Row],[33 kV_Wind_F1_Export reading]]-CJ16)*1200,0)</f>
        <v>140400</v>
      </c>
      <c r="CS17" s="91">
        <f>IF(((Input_Raw[[#This Row],[33 kV_Wind_F1_Import reading]]-CK16)*1200)&gt;0,(Input_Raw[[#This Row],[33 kV_Wind_F1_Import reading]]-CK16)*1200,0)</f>
        <v>0</v>
      </c>
      <c r="CT17" s="91">
        <f>IF(((Input_Raw[[#This Row],[33 kV_Wind_F2_Export_reading]]-CL16)*1200)&gt;0,(Input_Raw[[#This Row],[33 kV_Wind_F2_Export_reading]]-CL16)*1200,0)</f>
        <v>114000</v>
      </c>
      <c r="CU17" s="91">
        <f>IF(((Input_Raw[[#This Row],[33 kV_Wind_F2_Import_reading]]-CM16)*1200)&gt;0,(Input_Raw[[#This Row],[33 kV_Wind_F2_Import_reading]]-CM16)*1200,0)</f>
        <v>0</v>
      </c>
      <c r="CV17" s="91">
        <f>IF(((Input_Raw[[#This Row],[33 kV_Wind_F3_Export_Reading]]-CN16)*1200)&gt;0,(Input_Raw[[#This Row],[33 kV_Wind_F3_Export_Reading]]-CN16)*1200,0)</f>
        <v>128400</v>
      </c>
      <c r="CW17" s="91">
        <f>IF(((Input_Raw[[#This Row],[33 kV_Wind_F3_Import_Reading]]-CO16)*1200)&gt;0,(Input_Raw[[#This Row],[33 kV_Wind_F3_Import_Reading]]-CO16)*1200,0)</f>
        <v>1200</v>
      </c>
      <c r="CX17" s="91">
        <f>IF(((Input_Raw[[#This Row],[33 kV_Wind_F4_Export Reading]]-CP16)*1200)&gt;0,(Input_Raw[[#This Row],[33 kV_Wind_F4_Export Reading]]-CP16)*1200,0)</f>
        <v>130800</v>
      </c>
      <c r="CY17" s="91">
        <f>IF(((Input_Raw[[#This Row],[33 kV_Wind_F4_Import Reading]]-CQ16)*1200)&gt;0,(Input_Raw[[#This Row],[33 kV_Wind_F4_Import Reading]]-CQ16)*1200,0)</f>
        <v>1200</v>
      </c>
      <c r="CZ17" s="91">
        <f>Input_Raw[[#This Row],[33 kV_F1_Total_Export (KWh)]]+Input_Raw[[#This Row],[33 kV_F2_Total_Export (KWh)2]]+Input_Raw[[#This Row],[33 kV_Wind_F3_Export (KWh)]]+Input_Raw[[#This Row],[33 kV_Wind_F4_Export (KWh)]]</f>
        <v>513600</v>
      </c>
      <c r="DA17" s="91">
        <f>Input_Raw[[#This Row],[33 kV_Wind_F1_Import (KWh)]]+Input_Raw[[#This Row],[33 kV_Wind_F2_Import (KWh)]]+Input_Raw[[#This Row],[33 kV_Wind_F3_Import (KWh)2]]+Input_Raw[[#This Row],[33 kV_Wind_F4_Import (KWh)2]]</f>
        <v>2400</v>
      </c>
      <c r="DB17" s="21">
        <f>IFERROR(1-Input_Raw[[#This Row],[33 kV_Wind_Total_Export (KWh)]]/Input_Raw[[#This Row],[WTG Total Gneration (KWh)]],0)</f>
        <v>1.1794585650241496E-2</v>
      </c>
      <c r="DC17" s="87">
        <v>96</v>
      </c>
      <c r="DD17" s="90">
        <v>97193</v>
      </c>
      <c r="DE17" s="102">
        <v>511</v>
      </c>
      <c r="DF17" s="99"/>
      <c r="DG17" s="101">
        <v>78</v>
      </c>
      <c r="DH17" s="168" t="s">
        <v>381</v>
      </c>
    </row>
    <row r="18" spans="1:112">
      <c r="A18" s="20">
        <f t="shared" si="3"/>
        <v>45758</v>
      </c>
      <c r="B18" s="12">
        <f>YEAR([1]!Input_Raw[[#This Row],[Date]])+IF(MONTH([1]!Input_Raw[[#This Row],[Date]])&gt;=4,1,0)</f>
        <v>2026</v>
      </c>
      <c r="C18" s="13">
        <f>YEAR([1]!Input_Raw[[#This Row],[Date]])</f>
        <v>2025</v>
      </c>
      <c r="D18" s="14">
        <f t="shared" si="2"/>
        <v>45748</v>
      </c>
      <c r="E18" s="13">
        <f>DAY(EOMONTH([1]!Input_Raw[[#This Row],[Date]],0))</f>
        <v>30</v>
      </c>
      <c r="F18" s="15">
        <v>14293</v>
      </c>
      <c r="G18" s="15">
        <v>14793</v>
      </c>
      <c r="H18" s="15">
        <v>14285</v>
      </c>
      <c r="I18" s="15">
        <v>14379</v>
      </c>
      <c r="J18" s="15">
        <v>13985</v>
      </c>
      <c r="K18" s="15">
        <v>14594</v>
      </c>
      <c r="L18" s="15">
        <v>14284</v>
      </c>
      <c r="M18" s="15">
        <v>14594</v>
      </c>
      <c r="N18" s="15">
        <v>14159</v>
      </c>
      <c r="O18" s="15">
        <v>14743</v>
      </c>
      <c r="P18" s="15">
        <v>14852</v>
      </c>
      <c r="Q18" s="15">
        <v>14273</v>
      </c>
      <c r="R18" s="15">
        <v>14184</v>
      </c>
      <c r="S18" s="15">
        <v>14221</v>
      </c>
      <c r="T18" s="15">
        <v>14457</v>
      </c>
      <c r="U18" s="15">
        <v>9475</v>
      </c>
      <c r="V18" s="15">
        <v>14263</v>
      </c>
      <c r="W18" s="15">
        <v>14282</v>
      </c>
      <c r="X18" s="15">
        <v>14291</v>
      </c>
      <c r="Y18" s="15">
        <v>14296</v>
      </c>
      <c r="Z18" s="15">
        <v>14704</v>
      </c>
      <c r="AA18" s="15">
        <v>14790</v>
      </c>
      <c r="AB18" s="15">
        <v>14721</v>
      </c>
      <c r="AC18" s="15">
        <v>14894</v>
      </c>
      <c r="AD18" s="15">
        <v>12720</v>
      </c>
      <c r="AE18" s="15">
        <v>14974</v>
      </c>
      <c r="AF18" s="15">
        <v>14802</v>
      </c>
      <c r="AG18" s="15">
        <v>0</v>
      </c>
      <c r="AH18" s="15">
        <v>14964</v>
      </c>
      <c r="AI18" s="15">
        <v>0</v>
      </c>
      <c r="AJ18" s="15">
        <v>12790</v>
      </c>
      <c r="AK18" s="15">
        <v>12748</v>
      </c>
      <c r="AL18" s="15">
        <v>12742</v>
      </c>
      <c r="AM18" s="15">
        <v>12973</v>
      </c>
      <c r="AN18" s="15">
        <v>12785</v>
      </c>
      <c r="AO18" s="15">
        <v>12790</v>
      </c>
      <c r="AP18" s="15">
        <v>12863</v>
      </c>
      <c r="AQ18" s="15">
        <v>12830</v>
      </c>
      <c r="AR18" s="15">
        <v>12795</v>
      </c>
      <c r="AS18" s="16">
        <v>5.83</v>
      </c>
      <c r="AT18" s="16">
        <v>5.9</v>
      </c>
      <c r="AU18" s="16">
        <v>6.05</v>
      </c>
      <c r="AV18" s="16">
        <v>5.8</v>
      </c>
      <c r="AW18" s="16">
        <v>5.74</v>
      </c>
      <c r="AX18" s="16">
        <v>6.21</v>
      </c>
      <c r="AY18" s="16">
        <v>6.01</v>
      </c>
      <c r="AZ18" s="16">
        <v>6.2</v>
      </c>
      <c r="BA18" s="16">
        <v>6.1</v>
      </c>
      <c r="BB18" s="16">
        <v>6.1</v>
      </c>
      <c r="BC18" s="16">
        <v>5.88</v>
      </c>
      <c r="BD18" s="16">
        <v>6</v>
      </c>
      <c r="BE18" s="16">
        <v>5.88</v>
      </c>
      <c r="BF18" s="16">
        <v>5.94</v>
      </c>
      <c r="BG18" s="16">
        <v>6.2</v>
      </c>
      <c r="BH18" s="16">
        <v>5.74</v>
      </c>
      <c r="BI18" s="16">
        <v>6.23</v>
      </c>
      <c r="BJ18" s="16">
        <v>5.52</v>
      </c>
      <c r="BK18" s="16">
        <v>5.76</v>
      </c>
      <c r="BL18" s="16">
        <v>6.04</v>
      </c>
      <c r="BM18" s="16">
        <v>6.02</v>
      </c>
      <c r="BN18" s="16">
        <v>5.85</v>
      </c>
      <c r="BO18" s="16">
        <v>6.03</v>
      </c>
      <c r="BP18" s="16">
        <v>5.42</v>
      </c>
      <c r="BQ18" s="16">
        <v>6.19</v>
      </c>
      <c r="BR18" s="16">
        <v>5.59</v>
      </c>
      <c r="BS18" s="16">
        <v>6.01</v>
      </c>
      <c r="BT18" s="16">
        <v>0</v>
      </c>
      <c r="BU18" s="16">
        <v>5.42</v>
      </c>
      <c r="BV18" s="16">
        <v>0</v>
      </c>
      <c r="BW18" s="16">
        <v>6</v>
      </c>
      <c r="BX18" s="16">
        <v>5.51</v>
      </c>
      <c r="BY18" s="16">
        <v>5.15</v>
      </c>
      <c r="BZ18" s="16">
        <v>5.98</v>
      </c>
      <c r="CA18" s="16">
        <v>5.33</v>
      </c>
      <c r="CB18" s="16">
        <v>6.1</v>
      </c>
      <c r="CC18" s="16">
        <v>5.92</v>
      </c>
      <c r="CD18" s="16">
        <v>5.92</v>
      </c>
      <c r="CE18" s="16">
        <v>5.9</v>
      </c>
      <c r="CF18" s="17">
        <f>SUM(Input_Raw[[#This Row],[G01]:[G40]])</f>
        <v>514588</v>
      </c>
      <c r="CG18" s="18">
        <f>IFERROR(AVERAGE(Input_Raw[[#This Row],[WS_G01]:[WS_G40]]),"")</f>
        <v>5.5761538461538445</v>
      </c>
      <c r="CH18" s="19"/>
      <c r="CI18" s="19"/>
      <c r="CJ18" s="15">
        <v>238303</v>
      </c>
      <c r="CK18" s="15">
        <v>2165</v>
      </c>
      <c r="CL18" s="15">
        <v>278592</v>
      </c>
      <c r="CM18" s="15">
        <v>2195</v>
      </c>
      <c r="CN18" s="15">
        <v>254150</v>
      </c>
      <c r="CO18" s="15">
        <v>1803</v>
      </c>
      <c r="CP18" s="15">
        <v>289801</v>
      </c>
      <c r="CQ18" s="15">
        <v>1847</v>
      </c>
      <c r="CR18" s="91">
        <f>IF(((Input_Raw[[#This Row],[33 kV_Wind_F1_Export reading]]-CJ17)*1200)&gt;0,(Input_Raw[[#This Row],[33 kV_Wind_F1_Export reading]]-CJ17)*1200,0)</f>
        <v>127200</v>
      </c>
      <c r="CS18" s="91">
        <f>IF(((Input_Raw[[#This Row],[33 kV_Wind_F1_Import reading]]-CK17)*1200)&gt;0,(Input_Raw[[#This Row],[33 kV_Wind_F1_Import reading]]-CK17)*1200,0)</f>
        <v>0</v>
      </c>
      <c r="CT18" s="91">
        <f>IF(((Input_Raw[[#This Row],[33 kV_Wind_F2_Export_reading]]-CL17)*1200)&gt;0,(Input_Raw[[#This Row],[33 kV_Wind_F2_Export_reading]]-CL17)*1200,0)</f>
        <v>117600</v>
      </c>
      <c r="CU18" s="91">
        <f>IF(((Input_Raw[[#This Row],[33 kV_Wind_F2_Import_reading]]-CM17)*1200)&gt;0,(Input_Raw[[#This Row],[33 kV_Wind_F2_Import_reading]]-CM17)*1200,0)</f>
        <v>0</v>
      </c>
      <c r="CV18" s="91">
        <f>IF(((Input_Raw[[#This Row],[33 kV_Wind_F3_Export_Reading]]-CN17)*1200)&gt;0,(Input_Raw[[#This Row],[33 kV_Wind_F3_Export_Reading]]-CN17)*1200,0)</f>
        <v>130800</v>
      </c>
      <c r="CW18" s="91">
        <f>IF(((Input_Raw[[#This Row],[33 kV_Wind_F3_Import_Reading]]-CO17)*1200)&gt;0,(Input_Raw[[#This Row],[33 kV_Wind_F3_Import_Reading]]-CO17)*1200,0)</f>
        <v>0</v>
      </c>
      <c r="CX18" s="91">
        <f>IF(((Input_Raw[[#This Row],[33 kV_Wind_F4_Export Reading]]-CP17)*1200)&gt;0,(Input_Raw[[#This Row],[33 kV_Wind_F4_Export Reading]]-CP17)*1200,0)</f>
        <v>135600</v>
      </c>
      <c r="CY18" s="91">
        <f>IF(((Input_Raw[[#This Row],[33 kV_Wind_F4_Import Reading]]-CQ17)*1200)&gt;0,(Input_Raw[[#This Row],[33 kV_Wind_F4_Import Reading]]-CQ17)*1200,0)</f>
        <v>0</v>
      </c>
      <c r="CZ18" s="91">
        <f>Input_Raw[[#This Row],[33 kV_F1_Total_Export (KWh)]]+Input_Raw[[#This Row],[33 kV_F2_Total_Export (KWh)2]]+Input_Raw[[#This Row],[33 kV_Wind_F3_Export (KWh)]]+Input_Raw[[#This Row],[33 kV_Wind_F4_Export (KWh)]]</f>
        <v>511200</v>
      </c>
      <c r="DA18" s="91">
        <f>Input_Raw[[#This Row],[33 kV_Wind_F1_Import (KWh)]]+Input_Raw[[#This Row],[33 kV_Wind_F2_Import (KWh)]]+Input_Raw[[#This Row],[33 kV_Wind_F3_Import (KWh)2]]+Input_Raw[[#This Row],[33 kV_Wind_F4_Import (KWh)2]]</f>
        <v>0</v>
      </c>
      <c r="DB18" s="21">
        <f>IFERROR(1-Input_Raw[[#This Row],[33 kV_Wind_Total_Export (KWh)]]/Input_Raw[[#This Row],[WTG Total Gneration (KWh)]],0)</f>
        <v>6.5839079030214354E-3</v>
      </c>
      <c r="DC18" s="87">
        <v>96</v>
      </c>
      <c r="DD18" s="90">
        <v>79804</v>
      </c>
      <c r="DE18" s="102">
        <v>514</v>
      </c>
      <c r="DF18" s="99"/>
      <c r="DG18" s="101">
        <v>78</v>
      </c>
      <c r="DH18" s="168" t="s">
        <v>381</v>
      </c>
    </row>
    <row r="19" spans="1:112">
      <c r="A19" s="20">
        <f t="shared" si="3"/>
        <v>45759</v>
      </c>
      <c r="B19" s="12">
        <f>YEAR([1]!Input_Raw[[#This Row],[Date]])+IF(MONTH([1]!Input_Raw[[#This Row],[Date]])&gt;=4,1,0)</f>
        <v>2026</v>
      </c>
      <c r="C19" s="13">
        <f>YEAR([1]!Input_Raw[[#This Row],[Date]])</f>
        <v>2025</v>
      </c>
      <c r="D19" s="14">
        <f t="shared" si="2"/>
        <v>45748</v>
      </c>
      <c r="E19" s="13">
        <f>DAY(EOMONTH([1]!Input_Raw[[#This Row],[Date]],0))</f>
        <v>30</v>
      </c>
      <c r="F19" s="15">
        <v>14925</v>
      </c>
      <c r="G19" s="15">
        <v>15604</v>
      </c>
      <c r="H19" s="15">
        <v>15395</v>
      </c>
      <c r="I19" s="15">
        <v>15942</v>
      </c>
      <c r="J19" s="15">
        <v>10932</v>
      </c>
      <c r="K19" s="15">
        <v>15953</v>
      </c>
      <c r="L19" s="15">
        <v>15693</v>
      </c>
      <c r="M19" s="15">
        <v>15831</v>
      </c>
      <c r="N19" s="88">
        <v>12593</v>
      </c>
      <c r="O19" s="15">
        <v>15603</v>
      </c>
      <c r="P19" s="15">
        <v>15493</v>
      </c>
      <c r="Q19" s="88">
        <v>12862</v>
      </c>
      <c r="R19" s="15">
        <v>12749</v>
      </c>
      <c r="S19" s="15">
        <v>12852</v>
      </c>
      <c r="T19" s="15">
        <v>12784</v>
      </c>
      <c r="U19" s="15">
        <v>8839</v>
      </c>
      <c r="V19" s="15">
        <v>12860</v>
      </c>
      <c r="W19" s="15">
        <v>10527</v>
      </c>
      <c r="X19" s="15">
        <v>12949</v>
      </c>
      <c r="Y19" s="15">
        <v>12973</v>
      </c>
      <c r="Z19" s="15">
        <v>12692</v>
      </c>
      <c r="AA19" s="15">
        <v>12639</v>
      </c>
      <c r="AB19" s="15">
        <v>11302</v>
      </c>
      <c r="AC19" s="15">
        <v>12842</v>
      </c>
      <c r="AD19" s="15">
        <v>10937</v>
      </c>
      <c r="AE19" s="15">
        <v>12706</v>
      </c>
      <c r="AF19" s="15">
        <v>12852</v>
      </c>
      <c r="AG19" s="15">
        <v>0</v>
      </c>
      <c r="AH19" s="15">
        <v>12793</v>
      </c>
      <c r="AI19" s="15">
        <v>0</v>
      </c>
      <c r="AJ19" s="15">
        <v>11295</v>
      </c>
      <c r="AK19" s="15">
        <v>10183</v>
      </c>
      <c r="AL19" s="15">
        <v>10962</v>
      </c>
      <c r="AM19" s="15">
        <v>10981</v>
      </c>
      <c r="AN19" s="15">
        <v>10939</v>
      </c>
      <c r="AO19" s="15">
        <v>10926</v>
      </c>
      <c r="AP19" s="15">
        <v>10969</v>
      </c>
      <c r="AQ19" s="15">
        <v>10210</v>
      </c>
      <c r="AR19" s="15">
        <v>10928</v>
      </c>
      <c r="AS19" s="16">
        <v>5.63</v>
      </c>
      <c r="AT19" s="16">
        <v>6.04</v>
      </c>
      <c r="AU19" s="16">
        <v>5.55</v>
      </c>
      <c r="AV19" s="16">
        <v>5.6</v>
      </c>
      <c r="AW19" s="16">
        <v>6.19</v>
      </c>
      <c r="AX19" s="16">
        <v>6.25</v>
      </c>
      <c r="AY19" s="16">
        <v>5.75</v>
      </c>
      <c r="AZ19" s="16">
        <v>5.53</v>
      </c>
      <c r="BA19" s="16">
        <v>5.55</v>
      </c>
      <c r="BB19" s="16">
        <v>5.54</v>
      </c>
      <c r="BC19" s="16">
        <v>5.96</v>
      </c>
      <c r="BD19" s="16">
        <v>5.74</v>
      </c>
      <c r="BE19" s="16">
        <v>5.9</v>
      </c>
      <c r="BF19" s="16">
        <v>5.75</v>
      </c>
      <c r="BG19" s="16">
        <v>5.91</v>
      </c>
      <c r="BH19" s="16">
        <v>5.82</v>
      </c>
      <c r="BI19" s="16">
        <v>5.86</v>
      </c>
      <c r="BJ19" s="16">
        <v>6.15</v>
      </c>
      <c r="BK19" s="16">
        <v>6.47</v>
      </c>
      <c r="BL19" s="16">
        <v>6.22</v>
      </c>
      <c r="BM19" s="16">
        <v>5.08</v>
      </c>
      <c r="BN19" s="16">
        <v>6.26</v>
      </c>
      <c r="BO19" s="16">
        <v>5.87</v>
      </c>
      <c r="BP19" s="16">
        <v>5.93</v>
      </c>
      <c r="BQ19" s="16">
        <v>5.43</v>
      </c>
      <c r="BR19" s="16">
        <v>5.57</v>
      </c>
      <c r="BS19" s="16">
        <v>5.63</v>
      </c>
      <c r="BT19" s="16">
        <v>0</v>
      </c>
      <c r="BU19" s="16">
        <v>5.51</v>
      </c>
      <c r="BV19" s="16">
        <v>0</v>
      </c>
      <c r="BW19" s="16">
        <v>5.16</v>
      </c>
      <c r="BX19" s="16">
        <v>5.45</v>
      </c>
      <c r="BY19" s="16">
        <v>5.48</v>
      </c>
      <c r="BZ19" s="16">
        <v>5.59</v>
      </c>
      <c r="CA19" s="16">
        <v>5.63</v>
      </c>
      <c r="CB19" s="16">
        <v>5.54</v>
      </c>
      <c r="CC19" s="16">
        <v>5.55</v>
      </c>
      <c r="CD19" s="16">
        <v>5.62</v>
      </c>
      <c r="CE19" s="16">
        <v>5.36</v>
      </c>
      <c r="CF19" s="17">
        <f>SUM(Input_Raw[[#This Row],[G01]:[G40]])</f>
        <v>469515</v>
      </c>
      <c r="CG19" s="18">
        <f>IFERROR(AVERAGE(Input_Raw[[#This Row],[WS_G01]:[WS_G40]]),"")</f>
        <v>5.4376923076923074</v>
      </c>
      <c r="CH19" s="19"/>
      <c r="CI19" s="19"/>
      <c r="CJ19" s="15">
        <v>238392</v>
      </c>
      <c r="CK19" s="15">
        <v>2166</v>
      </c>
      <c r="CL19" s="15">
        <v>278675</v>
      </c>
      <c r="CM19" s="15">
        <v>2195</v>
      </c>
      <c r="CN19" s="15">
        <v>254265</v>
      </c>
      <c r="CO19" s="15">
        <v>1803</v>
      </c>
      <c r="CP19" s="15">
        <v>289902</v>
      </c>
      <c r="CQ19" s="15">
        <v>1847</v>
      </c>
      <c r="CR19" s="91">
        <f>IF(((Input_Raw[[#This Row],[33 kV_Wind_F1_Export reading]]-CJ18)*1200)&gt;0,(Input_Raw[[#This Row],[33 kV_Wind_F1_Export reading]]-CJ18)*1200,0)</f>
        <v>106800</v>
      </c>
      <c r="CS19" s="91">
        <f>IF(((Input_Raw[[#This Row],[33 kV_Wind_F1_Import reading]]-CK18)*1200)&gt;0,(Input_Raw[[#This Row],[33 kV_Wind_F1_Import reading]]-CK18)*1200,0)</f>
        <v>1200</v>
      </c>
      <c r="CT19" s="91">
        <f>IF(((Input_Raw[[#This Row],[33 kV_Wind_F2_Export_reading]]-CL18)*1200)&gt;0,(Input_Raw[[#This Row],[33 kV_Wind_F2_Export_reading]]-CL18)*1200,0)</f>
        <v>99600</v>
      </c>
      <c r="CU19" s="91">
        <f>IF(((Input_Raw[[#This Row],[33 kV_Wind_F2_Import_reading]]-CM18)*1200)&gt;0,(Input_Raw[[#This Row],[33 kV_Wind_F2_Import_reading]]-CM18)*1200,0)</f>
        <v>0</v>
      </c>
      <c r="CV19" s="91">
        <f>IF(((Input_Raw[[#This Row],[33 kV_Wind_F3_Export_Reading]]-CN18)*1200)&gt;0,(Input_Raw[[#This Row],[33 kV_Wind_F3_Export_Reading]]-CN18)*1200,0)</f>
        <v>138000</v>
      </c>
      <c r="CW19" s="91">
        <f>IF(((Input_Raw[[#This Row],[33 kV_Wind_F3_Import_Reading]]-CO18)*1200)&gt;0,(Input_Raw[[#This Row],[33 kV_Wind_F3_Import_Reading]]-CO18)*1200,0)</f>
        <v>0</v>
      </c>
      <c r="CX19" s="91">
        <f>IF(((Input_Raw[[#This Row],[33 kV_Wind_F4_Export Reading]]-CP18)*1200)&gt;0,(Input_Raw[[#This Row],[33 kV_Wind_F4_Export Reading]]-CP18)*1200,0)</f>
        <v>121200</v>
      </c>
      <c r="CY19" s="91">
        <f>IF(((Input_Raw[[#This Row],[33 kV_Wind_F4_Import Reading]]-CQ18)*1200)&gt;0,(Input_Raw[[#This Row],[33 kV_Wind_F4_Import Reading]]-CQ18)*1200,0)</f>
        <v>0</v>
      </c>
      <c r="CZ19" s="91">
        <f>Input_Raw[[#This Row],[33 kV_F1_Total_Export (KWh)]]+Input_Raw[[#This Row],[33 kV_F2_Total_Export (KWh)2]]+Input_Raw[[#This Row],[33 kV_Wind_F3_Export (KWh)]]+Input_Raw[[#This Row],[33 kV_Wind_F4_Export (KWh)]]</f>
        <v>465600</v>
      </c>
      <c r="DA19" s="91">
        <f>Input_Raw[[#This Row],[33 kV_Wind_F1_Import (KWh)]]+Input_Raw[[#This Row],[33 kV_Wind_F2_Import (KWh)]]+Input_Raw[[#This Row],[33 kV_Wind_F3_Import (KWh)2]]+Input_Raw[[#This Row],[33 kV_Wind_F4_Import (KWh)2]]</f>
        <v>1200</v>
      </c>
      <c r="DB19" s="21">
        <f>IFERROR(1-Input_Raw[[#This Row],[33 kV_Wind_Total_Export (KWh)]]/Input_Raw[[#This Row],[WTG Total Gneration (KWh)]],0)</f>
        <v>8.3383917446726574E-3</v>
      </c>
      <c r="DC19" s="87">
        <v>96</v>
      </c>
      <c r="DD19" s="90">
        <v>83785</v>
      </c>
      <c r="DE19" s="102">
        <v>469.51</v>
      </c>
      <c r="DF19" s="99"/>
      <c r="DG19" s="101">
        <v>78</v>
      </c>
      <c r="DH19" s="168" t="s">
        <v>381</v>
      </c>
    </row>
    <row r="20" spans="1:112">
      <c r="A20" s="20">
        <f t="shared" si="3"/>
        <v>45760</v>
      </c>
      <c r="B20" s="12">
        <f>YEAR([1]!Input_Raw[[#This Row],[Date]])+IF(MONTH([1]!Input_Raw[[#This Row],[Date]])&gt;=4,1,0)</f>
        <v>2026</v>
      </c>
      <c r="C20" s="13">
        <f>YEAR([1]!Input_Raw[[#This Row],[Date]])</f>
        <v>2025</v>
      </c>
      <c r="D20" s="14">
        <f t="shared" si="2"/>
        <v>45748</v>
      </c>
      <c r="E20" s="13">
        <f>DAY(EOMONTH([1]!Input_Raw[[#This Row],[Date]],0))</f>
        <v>30</v>
      </c>
      <c r="F20" s="15">
        <v>9219</v>
      </c>
      <c r="G20" s="15">
        <v>9742</v>
      </c>
      <c r="H20" s="15">
        <v>9769</v>
      </c>
      <c r="I20" s="15">
        <v>9731</v>
      </c>
      <c r="J20" s="15">
        <v>7948</v>
      </c>
      <c r="K20" s="15">
        <v>9727</v>
      </c>
      <c r="L20" s="15">
        <v>9768</v>
      </c>
      <c r="M20" s="15">
        <v>9759</v>
      </c>
      <c r="N20" s="15">
        <v>8864</v>
      </c>
      <c r="O20" s="15">
        <v>9742</v>
      </c>
      <c r="P20" s="15">
        <v>9749</v>
      </c>
      <c r="Q20" s="15">
        <v>8846</v>
      </c>
      <c r="R20" s="15">
        <v>8790</v>
      </c>
      <c r="S20" s="15">
        <v>8732</v>
      </c>
      <c r="T20" s="15">
        <v>8759</v>
      </c>
      <c r="U20" s="15">
        <v>6190</v>
      </c>
      <c r="V20" s="15">
        <v>8742</v>
      </c>
      <c r="W20" s="15">
        <v>8756</v>
      </c>
      <c r="X20" s="15">
        <v>8796</v>
      </c>
      <c r="Y20" s="15">
        <v>8789</v>
      </c>
      <c r="Z20" s="15">
        <v>7939</v>
      </c>
      <c r="AA20" s="15">
        <v>8268</v>
      </c>
      <c r="AB20" s="15">
        <v>8179</v>
      </c>
      <c r="AC20" s="15">
        <v>8264</v>
      </c>
      <c r="AD20" s="15">
        <v>9214</v>
      </c>
      <c r="AE20" s="15">
        <v>8280</v>
      </c>
      <c r="AF20" s="15">
        <v>8264</v>
      </c>
      <c r="AG20" s="15">
        <v>0</v>
      </c>
      <c r="AH20" s="15">
        <v>8295</v>
      </c>
      <c r="AI20" s="15">
        <v>0</v>
      </c>
      <c r="AJ20" s="15">
        <v>9627</v>
      </c>
      <c r="AK20" s="15">
        <v>9637</v>
      </c>
      <c r="AL20" s="15">
        <v>9695</v>
      </c>
      <c r="AM20" s="15">
        <v>9635</v>
      </c>
      <c r="AN20" s="15">
        <v>9637</v>
      </c>
      <c r="AO20" s="15">
        <v>9678</v>
      </c>
      <c r="AP20" s="15">
        <v>9629</v>
      </c>
      <c r="AQ20" s="15">
        <v>9317</v>
      </c>
      <c r="AR20" s="15">
        <v>9687</v>
      </c>
      <c r="AS20" s="16">
        <v>4.8499999999999996</v>
      </c>
      <c r="AT20" s="16">
        <v>5.37</v>
      </c>
      <c r="AU20" s="16">
        <v>4.76</v>
      </c>
      <c r="AV20" s="16">
        <v>4.7699999999999996</v>
      </c>
      <c r="AW20" s="16">
        <v>5.09</v>
      </c>
      <c r="AX20" s="16">
        <v>5.19</v>
      </c>
      <c r="AY20" s="16">
        <v>4.8</v>
      </c>
      <c r="AZ20" s="16">
        <v>4.87</v>
      </c>
      <c r="BA20" s="16">
        <v>5.25</v>
      </c>
      <c r="BB20" s="16">
        <v>4.9800000000000004</v>
      </c>
      <c r="BC20" s="16">
        <v>5.45</v>
      </c>
      <c r="BD20" s="16">
        <v>5.28</v>
      </c>
      <c r="BE20" s="16">
        <v>5.32</v>
      </c>
      <c r="BF20" s="16">
        <v>5.14</v>
      </c>
      <c r="BG20" s="16">
        <v>5.09</v>
      </c>
      <c r="BH20" s="16">
        <v>5.27</v>
      </c>
      <c r="BI20" s="16">
        <v>5.07</v>
      </c>
      <c r="BJ20" s="16">
        <v>5.36</v>
      </c>
      <c r="BK20" s="16">
        <v>6.59</v>
      </c>
      <c r="BL20" s="16">
        <v>5.63</v>
      </c>
      <c r="BM20" s="16">
        <v>5.4</v>
      </c>
      <c r="BN20" s="16">
        <v>5.44</v>
      </c>
      <c r="BO20" s="16">
        <v>4.66</v>
      </c>
      <c r="BP20" s="16">
        <v>4.9800000000000004</v>
      </c>
      <c r="BQ20" s="16">
        <v>4.95</v>
      </c>
      <c r="BR20" s="16">
        <v>4.71</v>
      </c>
      <c r="BS20" s="16">
        <v>4.88</v>
      </c>
      <c r="BT20" s="16">
        <v>0</v>
      </c>
      <c r="BU20" s="16">
        <v>4.8600000000000003</v>
      </c>
      <c r="BV20" s="16">
        <v>0</v>
      </c>
      <c r="BW20" s="16">
        <v>4.59</v>
      </c>
      <c r="BX20" s="16">
        <v>4.7300000000000004</v>
      </c>
      <c r="BY20" s="16">
        <v>4.88</v>
      </c>
      <c r="BZ20" s="16">
        <v>4.88</v>
      </c>
      <c r="CA20" s="16">
        <v>5.07</v>
      </c>
      <c r="CB20" s="16">
        <v>5.05</v>
      </c>
      <c r="CC20" s="16">
        <v>4.83</v>
      </c>
      <c r="CD20" s="16">
        <v>4.74</v>
      </c>
      <c r="CE20" s="16">
        <v>5.01</v>
      </c>
      <c r="CF20" s="17">
        <f>SUM(Input_Raw[[#This Row],[G01]:[G40]])</f>
        <v>333663</v>
      </c>
      <c r="CG20" s="18">
        <f>IFERROR(AVERAGE(Input_Raw[[#This Row],[WS_G01]:[WS_G40]]),"")</f>
        <v>4.8151282051282047</v>
      </c>
      <c r="CH20" s="19"/>
      <c r="CI20" s="19"/>
      <c r="CJ20" s="15">
        <v>238471</v>
      </c>
      <c r="CK20" s="15">
        <v>2166</v>
      </c>
      <c r="CL20" s="15">
        <v>278729</v>
      </c>
      <c r="CM20" s="15">
        <v>2196</v>
      </c>
      <c r="CN20" s="15">
        <v>254337</v>
      </c>
      <c r="CO20" s="15">
        <v>1803</v>
      </c>
      <c r="CP20" s="15">
        <v>289973</v>
      </c>
      <c r="CQ20" s="15">
        <v>1847</v>
      </c>
      <c r="CR20" s="91">
        <f>IF(((Input_Raw[[#This Row],[33 kV_Wind_F1_Export reading]]-CJ19)*1200)&gt;0,(Input_Raw[[#This Row],[33 kV_Wind_F1_Export reading]]-CJ19)*1200,0)</f>
        <v>94800</v>
      </c>
      <c r="CS20" s="91">
        <f>IF(((Input_Raw[[#This Row],[33 kV_Wind_F1_Import reading]]-CK19)*1200)&gt;0,(Input_Raw[[#This Row],[33 kV_Wind_F1_Import reading]]-CK19)*1200,0)</f>
        <v>0</v>
      </c>
      <c r="CT20" s="91">
        <f>IF(((Input_Raw[[#This Row],[33 kV_Wind_F2_Export_reading]]-CL19)*1200)&gt;0,(Input_Raw[[#This Row],[33 kV_Wind_F2_Export_reading]]-CL19)*1200,0)</f>
        <v>64800</v>
      </c>
      <c r="CU20" s="91">
        <f>IF(((Input_Raw[[#This Row],[33 kV_Wind_F2_Import_reading]]-CM19)*1200)&gt;0,(Input_Raw[[#This Row],[33 kV_Wind_F2_Import_reading]]-CM19)*1200,0)</f>
        <v>1200</v>
      </c>
      <c r="CV20" s="91">
        <f>IF(((Input_Raw[[#This Row],[33 kV_Wind_F3_Export_Reading]]-CN19)*1200)&gt;0,(Input_Raw[[#This Row],[33 kV_Wind_F3_Export_Reading]]-CN19)*1200,0)</f>
        <v>86400</v>
      </c>
      <c r="CW20" s="91">
        <f>IF(((Input_Raw[[#This Row],[33 kV_Wind_F3_Import_Reading]]-CO19)*1200)&gt;0,(Input_Raw[[#This Row],[33 kV_Wind_F3_Import_Reading]]-CO19)*1200,0)</f>
        <v>0</v>
      </c>
      <c r="CX20" s="91">
        <f>IF(((Input_Raw[[#This Row],[33 kV_Wind_F4_Export Reading]]-CP19)*1200)&gt;0,(Input_Raw[[#This Row],[33 kV_Wind_F4_Export Reading]]-CP19)*1200,0)</f>
        <v>85200</v>
      </c>
      <c r="CY20" s="91">
        <f>IF(((Input_Raw[[#This Row],[33 kV_Wind_F4_Import Reading]]-CQ19)*1200)&gt;0,(Input_Raw[[#This Row],[33 kV_Wind_F4_Import Reading]]-CQ19)*1200,0)</f>
        <v>0</v>
      </c>
      <c r="CZ20" s="91">
        <f>Input_Raw[[#This Row],[33 kV_F1_Total_Export (KWh)]]+Input_Raw[[#This Row],[33 kV_F2_Total_Export (KWh)2]]+Input_Raw[[#This Row],[33 kV_Wind_F3_Export (KWh)]]+Input_Raw[[#This Row],[33 kV_Wind_F4_Export (KWh)]]</f>
        <v>331200</v>
      </c>
      <c r="DA20" s="91">
        <f>Input_Raw[[#This Row],[33 kV_Wind_F1_Import (KWh)]]+Input_Raw[[#This Row],[33 kV_Wind_F2_Import (KWh)]]+Input_Raw[[#This Row],[33 kV_Wind_F3_Import (KWh)2]]+Input_Raw[[#This Row],[33 kV_Wind_F4_Import (KWh)2]]</f>
        <v>1200</v>
      </c>
      <c r="DB20" s="21">
        <f>IFERROR(1-Input_Raw[[#This Row],[33 kV_Wind_Total_Export (KWh)]]/Input_Raw[[#This Row],[WTG Total Gneration (KWh)]],0)</f>
        <v>7.3816994991953155E-3</v>
      </c>
      <c r="DC20" s="87">
        <v>96</v>
      </c>
      <c r="DD20" s="90">
        <v>38289</v>
      </c>
      <c r="DE20" s="102">
        <v>333.66</v>
      </c>
      <c r="DF20" s="99"/>
      <c r="DG20" s="101">
        <v>78</v>
      </c>
      <c r="DH20" s="168" t="s">
        <v>381</v>
      </c>
    </row>
    <row r="21" spans="1:112">
      <c r="A21" s="20">
        <f t="shared" si="3"/>
        <v>45761</v>
      </c>
      <c r="B21" s="12">
        <f>YEAR([1]!Input_Raw[[#This Row],[Date]])+IF(MONTH([1]!Input_Raw[[#This Row],[Date]])&gt;=4,1,0)</f>
        <v>2026</v>
      </c>
      <c r="C21" s="13">
        <f>YEAR([1]!Input_Raw[[#This Row],[Date]])</f>
        <v>2025</v>
      </c>
      <c r="D21" s="14">
        <f t="shared" si="2"/>
        <v>45748</v>
      </c>
      <c r="E21" s="13">
        <f>DAY(EOMONTH([1]!Input_Raw[[#This Row],[Date]],0))</f>
        <v>30</v>
      </c>
      <c r="F21" s="15">
        <v>17456</v>
      </c>
      <c r="G21" s="15">
        <v>18268</v>
      </c>
      <c r="H21" s="15">
        <v>18198</v>
      </c>
      <c r="I21" s="15">
        <v>18467</v>
      </c>
      <c r="J21" s="15">
        <v>14740</v>
      </c>
      <c r="K21" s="15">
        <v>18104</v>
      </c>
      <c r="L21" s="15">
        <v>18132</v>
      </c>
      <c r="M21" s="15">
        <v>18105</v>
      </c>
      <c r="N21" s="15">
        <v>17283</v>
      </c>
      <c r="O21" s="15">
        <v>16001</v>
      </c>
      <c r="P21" s="15">
        <v>16100</v>
      </c>
      <c r="Q21" s="15">
        <v>17426</v>
      </c>
      <c r="R21" s="15">
        <v>17421</v>
      </c>
      <c r="S21" s="15">
        <v>17056</v>
      </c>
      <c r="T21" s="15">
        <v>17528</v>
      </c>
      <c r="U21" s="15">
        <v>8943</v>
      </c>
      <c r="V21" s="15">
        <v>17354</v>
      </c>
      <c r="W21" s="15">
        <v>17965</v>
      </c>
      <c r="X21" s="15">
        <v>17954</v>
      </c>
      <c r="Y21" s="15">
        <v>17695</v>
      </c>
      <c r="Z21" s="15">
        <v>14846</v>
      </c>
      <c r="AA21" s="15">
        <v>14749</v>
      </c>
      <c r="AB21" s="15">
        <v>14769</v>
      </c>
      <c r="AC21" s="15">
        <v>14754</v>
      </c>
      <c r="AD21" s="15">
        <v>15738</v>
      </c>
      <c r="AE21" s="15">
        <v>14803</v>
      </c>
      <c r="AF21" s="15">
        <v>14824</v>
      </c>
      <c r="AG21" s="15">
        <v>0</v>
      </c>
      <c r="AH21" s="15">
        <v>14795</v>
      </c>
      <c r="AI21" s="15">
        <v>0</v>
      </c>
      <c r="AJ21" s="15">
        <v>15796</v>
      </c>
      <c r="AK21" s="15">
        <v>15740</v>
      </c>
      <c r="AL21" s="15">
        <v>15791</v>
      </c>
      <c r="AM21" s="15">
        <v>15846</v>
      </c>
      <c r="AN21" s="15">
        <v>15846</v>
      </c>
      <c r="AO21" s="15">
        <v>15825</v>
      </c>
      <c r="AP21" s="15">
        <v>15742</v>
      </c>
      <c r="AQ21" s="15">
        <v>15962</v>
      </c>
      <c r="AR21" s="15">
        <v>15847</v>
      </c>
      <c r="AS21" s="16">
        <v>7.28</v>
      </c>
      <c r="AT21" s="16">
        <v>7.74</v>
      </c>
      <c r="AU21" s="16">
        <v>7.38</v>
      </c>
      <c r="AV21" s="16">
        <v>7.5</v>
      </c>
      <c r="AW21" s="16">
        <v>6.95</v>
      </c>
      <c r="AX21" s="16">
        <v>6.64</v>
      </c>
      <c r="AY21" s="89">
        <v>0</v>
      </c>
      <c r="AZ21" s="16">
        <v>7.59</v>
      </c>
      <c r="BA21" s="16">
        <v>7.79</v>
      </c>
      <c r="BB21" s="16">
        <v>7.37</v>
      </c>
      <c r="BC21" s="16">
        <v>7.73</v>
      </c>
      <c r="BD21" s="16">
        <v>7.52</v>
      </c>
      <c r="BE21" s="16">
        <v>7.72</v>
      </c>
      <c r="BF21" s="16">
        <v>7.67</v>
      </c>
      <c r="BG21" s="16">
        <v>7.75</v>
      </c>
      <c r="BH21" s="16">
        <v>7.66</v>
      </c>
      <c r="BI21" s="16">
        <v>8.3800000000000008</v>
      </c>
      <c r="BJ21" s="16">
        <v>7.44</v>
      </c>
      <c r="BK21" s="16">
        <v>8.44</v>
      </c>
      <c r="BL21" s="16">
        <v>7.02</v>
      </c>
      <c r="BM21" s="16">
        <v>6.9</v>
      </c>
      <c r="BN21" s="16">
        <v>7.2</v>
      </c>
      <c r="BO21" s="16">
        <v>7.24</v>
      </c>
      <c r="BP21" s="16">
        <v>7.4</v>
      </c>
      <c r="BQ21" s="16">
        <v>7.39</v>
      </c>
      <c r="BR21" s="16">
        <v>7.05</v>
      </c>
      <c r="BS21" s="16">
        <v>6.74</v>
      </c>
      <c r="BT21" s="16">
        <v>0</v>
      </c>
      <c r="BU21" s="16">
        <v>7.37</v>
      </c>
      <c r="BV21" s="16">
        <v>0</v>
      </c>
      <c r="BW21" s="16">
        <v>6.79</v>
      </c>
      <c r="BX21" s="16">
        <v>6.65</v>
      </c>
      <c r="BY21" s="16">
        <v>6.54</v>
      </c>
      <c r="BZ21" s="16">
        <v>7.02</v>
      </c>
      <c r="CA21" s="16">
        <v>7.65</v>
      </c>
      <c r="CB21" s="16">
        <v>7.66</v>
      </c>
      <c r="CC21" s="16">
        <v>6.74</v>
      </c>
      <c r="CD21" s="16">
        <v>6.53</v>
      </c>
      <c r="CE21" s="16">
        <v>7.19</v>
      </c>
      <c r="CF21" s="17">
        <f>SUM(Input_Raw[[#This Row],[G01]:[G40]])</f>
        <v>601869</v>
      </c>
      <c r="CG21" s="18">
        <f>IFERROR(AVERAGE(Input_Raw[[#This Row],[WS_G01]:[WS_G40]]),"")</f>
        <v>6.7597435897435894</v>
      </c>
      <c r="CH21" s="19"/>
      <c r="CI21" s="19"/>
      <c r="CJ21" s="15">
        <v>238602</v>
      </c>
      <c r="CK21" s="15">
        <v>2166</v>
      </c>
      <c r="CL21" s="15">
        <v>278827</v>
      </c>
      <c r="CM21" s="15">
        <v>2196</v>
      </c>
      <c r="CN21" s="15">
        <v>254472</v>
      </c>
      <c r="CO21" s="15">
        <v>1803</v>
      </c>
      <c r="CP21" s="15">
        <v>290108</v>
      </c>
      <c r="CQ21" s="15">
        <v>1848</v>
      </c>
      <c r="CR21" s="91">
        <f>IF(((Input_Raw[[#This Row],[33 kV_Wind_F1_Export reading]]-CJ20)*1200)&gt;0,(Input_Raw[[#This Row],[33 kV_Wind_F1_Export reading]]-CJ20)*1200,0)</f>
        <v>157200</v>
      </c>
      <c r="CS21" s="91">
        <f>IF(((Input_Raw[[#This Row],[33 kV_Wind_F1_Import reading]]-CK20)*1200)&gt;0,(Input_Raw[[#This Row],[33 kV_Wind_F1_Import reading]]-CK20)*1200,0)</f>
        <v>0</v>
      </c>
      <c r="CT21" s="91">
        <f>IF(((Input_Raw[[#This Row],[33 kV_Wind_F2_Export_reading]]-CL20)*1200)&gt;0,(Input_Raw[[#This Row],[33 kV_Wind_F2_Export_reading]]-CL20)*1200,0)</f>
        <v>117600</v>
      </c>
      <c r="CU21" s="91">
        <f>IF(((Input_Raw[[#This Row],[33 kV_Wind_F2_Import_reading]]-CM20)*1200)&gt;0,(Input_Raw[[#This Row],[33 kV_Wind_F2_Import_reading]]-CM20)*1200,0)</f>
        <v>0</v>
      </c>
      <c r="CV21" s="91">
        <f>IF(((Input_Raw[[#This Row],[33 kV_Wind_F3_Export_Reading]]-CN20)*1200)&gt;0,(Input_Raw[[#This Row],[33 kV_Wind_F3_Export_Reading]]-CN20)*1200,0)</f>
        <v>162000</v>
      </c>
      <c r="CW21" s="91">
        <f>IF(((Input_Raw[[#This Row],[33 kV_Wind_F3_Import_Reading]]-CO20)*1200)&gt;0,(Input_Raw[[#This Row],[33 kV_Wind_F3_Import_Reading]]-CO20)*1200,0)</f>
        <v>0</v>
      </c>
      <c r="CX21" s="91">
        <f>IF(((Input_Raw[[#This Row],[33 kV_Wind_F4_Export Reading]]-CP20)*1200)&gt;0,(Input_Raw[[#This Row],[33 kV_Wind_F4_Export Reading]]-CP20)*1200,0)</f>
        <v>162000</v>
      </c>
      <c r="CY21" s="91">
        <f>IF(((Input_Raw[[#This Row],[33 kV_Wind_F4_Import Reading]]-CQ20)*1200)&gt;0,(Input_Raw[[#This Row],[33 kV_Wind_F4_Import Reading]]-CQ20)*1200,0)</f>
        <v>1200</v>
      </c>
      <c r="CZ21" s="91">
        <f>Input_Raw[[#This Row],[33 kV_F1_Total_Export (KWh)]]+Input_Raw[[#This Row],[33 kV_F2_Total_Export (KWh)2]]+Input_Raw[[#This Row],[33 kV_Wind_F3_Export (KWh)]]+Input_Raw[[#This Row],[33 kV_Wind_F4_Export (KWh)]]</f>
        <v>598800</v>
      </c>
      <c r="DA21" s="91">
        <f>Input_Raw[[#This Row],[33 kV_Wind_F1_Import (KWh)]]+Input_Raw[[#This Row],[33 kV_Wind_F2_Import (KWh)]]+Input_Raw[[#This Row],[33 kV_Wind_F3_Import (KWh)2]]+Input_Raw[[#This Row],[33 kV_Wind_F4_Import (KWh)2]]</f>
        <v>1200</v>
      </c>
      <c r="DB21" s="21">
        <f>IFERROR(1-Input_Raw[[#This Row],[33 kV_Wind_Total_Export (KWh)]]/Input_Raw[[#This Row],[WTG Total Gneration (KWh)]],0)</f>
        <v>5.0991162528722933E-3</v>
      </c>
      <c r="DC21" s="87">
        <v>96</v>
      </c>
      <c r="DD21" s="90">
        <v>33860</v>
      </c>
      <c r="DE21" s="102">
        <v>601.86900000000003</v>
      </c>
      <c r="DF21" s="99"/>
      <c r="DG21" s="101">
        <v>78</v>
      </c>
      <c r="DH21" s="168" t="s">
        <v>381</v>
      </c>
    </row>
    <row r="22" spans="1:112">
      <c r="A22" s="20">
        <f t="shared" si="3"/>
        <v>45762</v>
      </c>
      <c r="B22" s="12">
        <f>YEAR([1]!Input_Raw[[#This Row],[Date]])+IF(MONTH([1]!Input_Raw[[#This Row],[Date]])&gt;=4,1,0)</f>
        <v>2026</v>
      </c>
      <c r="C22" s="13">
        <f>YEAR([1]!Input_Raw[[#This Row],[Date]])</f>
        <v>2025</v>
      </c>
      <c r="D22" s="14">
        <f t="shared" si="2"/>
        <v>45748</v>
      </c>
      <c r="E22" s="13">
        <f>DAY(EOMONTH([1]!Input_Raw[[#This Row],[Date]],0))</f>
        <v>30</v>
      </c>
      <c r="F22" s="15">
        <v>14297</v>
      </c>
      <c r="G22" s="15">
        <v>14921</v>
      </c>
      <c r="H22" s="15">
        <v>14963</v>
      </c>
      <c r="I22" s="15">
        <v>14367</v>
      </c>
      <c r="J22" s="15">
        <v>15592</v>
      </c>
      <c r="K22" s="15">
        <v>14874</v>
      </c>
      <c r="L22" s="15">
        <v>14853</v>
      </c>
      <c r="M22" s="15">
        <v>14869</v>
      </c>
      <c r="N22" s="15">
        <v>15102</v>
      </c>
      <c r="O22" s="15">
        <v>14848</v>
      </c>
      <c r="P22" s="15">
        <v>14863</v>
      </c>
      <c r="Q22" s="15">
        <v>15107</v>
      </c>
      <c r="R22" s="15">
        <v>15111</v>
      </c>
      <c r="S22" s="15">
        <v>15123</v>
      </c>
      <c r="T22" s="15">
        <v>15143</v>
      </c>
      <c r="U22" s="15">
        <v>9457</v>
      </c>
      <c r="V22" s="15">
        <v>15132</v>
      </c>
      <c r="W22" s="15">
        <v>15164</v>
      </c>
      <c r="X22" s="15">
        <v>15179</v>
      </c>
      <c r="Y22" s="15">
        <v>15189</v>
      </c>
      <c r="Z22" s="15">
        <v>15853</v>
      </c>
      <c r="AA22" s="15">
        <v>15895</v>
      </c>
      <c r="AB22" s="15">
        <v>15867</v>
      </c>
      <c r="AC22" s="15">
        <v>15874</v>
      </c>
      <c r="AD22" s="15">
        <v>12759</v>
      </c>
      <c r="AE22" s="15">
        <v>15842</v>
      </c>
      <c r="AF22" s="15">
        <v>15896</v>
      </c>
      <c r="AG22" s="15">
        <v>0</v>
      </c>
      <c r="AH22" s="15">
        <v>15862</v>
      </c>
      <c r="AI22" s="15">
        <v>0</v>
      </c>
      <c r="AJ22" s="15">
        <v>12796</v>
      </c>
      <c r="AK22" s="15">
        <v>12706</v>
      </c>
      <c r="AL22" s="15">
        <v>12759</v>
      </c>
      <c r="AM22" s="15">
        <v>12749</v>
      </c>
      <c r="AN22" s="15">
        <v>12796</v>
      </c>
      <c r="AO22" s="15">
        <v>12793</v>
      </c>
      <c r="AP22" s="15">
        <v>12795</v>
      </c>
      <c r="AQ22" s="15">
        <v>10236</v>
      </c>
      <c r="AR22" s="15">
        <v>12705</v>
      </c>
      <c r="AS22" s="16">
        <v>6.04</v>
      </c>
      <c r="AT22" s="16">
        <v>6.55</v>
      </c>
      <c r="AU22" s="16">
        <v>6.01</v>
      </c>
      <c r="AV22" s="16">
        <v>5.72</v>
      </c>
      <c r="AW22" s="16">
        <v>6.71</v>
      </c>
      <c r="AX22" s="16">
        <v>6.27</v>
      </c>
      <c r="AY22" s="16">
        <v>6</v>
      </c>
      <c r="AZ22" s="16">
        <v>5.79</v>
      </c>
      <c r="BA22" s="16">
        <v>6</v>
      </c>
      <c r="BB22" s="16">
        <v>6.65</v>
      </c>
      <c r="BC22" s="16">
        <v>6.61</v>
      </c>
      <c r="BD22" s="16">
        <v>6.36</v>
      </c>
      <c r="BE22" s="16">
        <v>6.31</v>
      </c>
      <c r="BF22" s="16">
        <v>6.18</v>
      </c>
      <c r="BG22" s="16">
        <v>6.29</v>
      </c>
      <c r="BH22" s="16">
        <v>6.5</v>
      </c>
      <c r="BI22" s="16">
        <v>6.63</v>
      </c>
      <c r="BJ22" s="16">
        <v>6.48</v>
      </c>
      <c r="BK22" s="16">
        <v>6.75</v>
      </c>
      <c r="BL22" s="16">
        <v>6.78</v>
      </c>
      <c r="BM22" s="16">
        <v>6.72</v>
      </c>
      <c r="BN22" s="16">
        <v>6.39</v>
      </c>
      <c r="BO22" s="16">
        <v>5.76</v>
      </c>
      <c r="BP22" s="16">
        <v>5.9</v>
      </c>
      <c r="BQ22" s="16">
        <v>6.3</v>
      </c>
      <c r="BR22" s="16">
        <v>5.66</v>
      </c>
      <c r="BS22" s="16">
        <v>5.5</v>
      </c>
      <c r="BT22" s="16">
        <v>5.76</v>
      </c>
      <c r="BU22" s="16">
        <v>5.28</v>
      </c>
      <c r="BV22" s="16">
        <v>0</v>
      </c>
      <c r="BW22" s="16">
        <v>5.85</v>
      </c>
      <c r="BX22" s="16">
        <v>5.65</v>
      </c>
      <c r="BY22" s="16">
        <v>5.63</v>
      </c>
      <c r="BZ22" s="16">
        <v>5.65</v>
      </c>
      <c r="CA22" s="16">
        <v>5.94</v>
      </c>
      <c r="CB22" s="16">
        <v>5.56</v>
      </c>
      <c r="CC22" s="16">
        <v>5.81</v>
      </c>
      <c r="CD22" s="16">
        <v>5.84</v>
      </c>
      <c r="CE22" s="16">
        <v>5.94</v>
      </c>
      <c r="CF22" s="17">
        <f>SUM(Input_Raw[[#This Row],[G01]:[G40]])</f>
        <v>530337</v>
      </c>
      <c r="CG22" s="18">
        <f>IFERROR(AVERAGE(Input_Raw[[#This Row],[WS_G01]:[WS_G40]]),"")</f>
        <v>5.9428205128205125</v>
      </c>
      <c r="CH22" s="19"/>
      <c r="CI22" s="19"/>
      <c r="CJ22" s="15">
        <v>238704</v>
      </c>
      <c r="CK22" s="15">
        <v>2167</v>
      </c>
      <c r="CL22" s="15">
        <v>278932</v>
      </c>
      <c r="CM22" s="15">
        <v>2197</v>
      </c>
      <c r="CN22" s="15">
        <v>254583</v>
      </c>
      <c r="CO22" s="15">
        <v>1804</v>
      </c>
      <c r="CP22" s="15">
        <v>290229</v>
      </c>
      <c r="CQ22" s="15">
        <v>1848</v>
      </c>
      <c r="CR22" s="91">
        <f>IF(((Input_Raw[[#This Row],[33 kV_Wind_F1_Export reading]]-CJ21)*1200)&gt;0,(Input_Raw[[#This Row],[33 kV_Wind_F1_Export reading]]-CJ21)*1200,0)</f>
        <v>122400</v>
      </c>
      <c r="CS22" s="91">
        <f>IF(((Input_Raw[[#This Row],[33 kV_Wind_F1_Import reading]]-CK21)*1200)&gt;0,(Input_Raw[[#This Row],[33 kV_Wind_F1_Import reading]]-CK21)*1200,0)</f>
        <v>1200</v>
      </c>
      <c r="CT22" s="91">
        <f>IF(((Input_Raw[[#This Row],[33 kV_Wind_F2_Export_reading]]-CL21)*1200)&gt;0,(Input_Raw[[#This Row],[33 kV_Wind_F2_Export_reading]]-CL21)*1200,0)</f>
        <v>126000</v>
      </c>
      <c r="CU22" s="91">
        <f>IF(((Input_Raw[[#This Row],[33 kV_Wind_F2_Import_reading]]-CM21)*1200)&gt;0,(Input_Raw[[#This Row],[33 kV_Wind_F2_Import_reading]]-CM21)*1200,0)</f>
        <v>1200</v>
      </c>
      <c r="CV22" s="91">
        <f>IF(((Input_Raw[[#This Row],[33 kV_Wind_F3_Export_Reading]]-CN21)*1200)&gt;0,(Input_Raw[[#This Row],[33 kV_Wind_F3_Export_Reading]]-CN21)*1200,0)</f>
        <v>133200</v>
      </c>
      <c r="CW22" s="91">
        <f>IF(((Input_Raw[[#This Row],[33 kV_Wind_F3_Import_Reading]]-CO21)*1200)&gt;0,(Input_Raw[[#This Row],[33 kV_Wind_F3_Import_Reading]]-CO21)*1200,0)</f>
        <v>1200</v>
      </c>
      <c r="CX22" s="91">
        <f>IF(((Input_Raw[[#This Row],[33 kV_Wind_F4_Export Reading]]-CP21)*1200)&gt;0,(Input_Raw[[#This Row],[33 kV_Wind_F4_Export Reading]]-CP21)*1200,0)</f>
        <v>145200</v>
      </c>
      <c r="CY22" s="91">
        <f>IF(((Input_Raw[[#This Row],[33 kV_Wind_F4_Import Reading]]-CQ21)*1200)&gt;0,(Input_Raw[[#This Row],[33 kV_Wind_F4_Import Reading]]-CQ21)*1200,0)</f>
        <v>0</v>
      </c>
      <c r="CZ22" s="91">
        <f>Input_Raw[[#This Row],[33 kV_F1_Total_Export (KWh)]]+Input_Raw[[#This Row],[33 kV_F2_Total_Export (KWh)2]]+Input_Raw[[#This Row],[33 kV_Wind_F3_Export (KWh)]]+Input_Raw[[#This Row],[33 kV_Wind_F4_Export (KWh)]]</f>
        <v>526800</v>
      </c>
      <c r="DA22" s="91">
        <f>Input_Raw[[#This Row],[33 kV_Wind_F1_Import (KWh)]]+Input_Raw[[#This Row],[33 kV_Wind_F2_Import (KWh)]]+Input_Raw[[#This Row],[33 kV_Wind_F3_Import (KWh)2]]+Input_Raw[[#This Row],[33 kV_Wind_F4_Import (KWh)2]]</f>
        <v>3600</v>
      </c>
      <c r="DB22" s="21">
        <f>IFERROR(1-Input_Raw[[#This Row],[33 kV_Wind_Total_Export (KWh)]]/Input_Raw[[#This Row],[WTG Total Gneration (KWh)]],0)</f>
        <v>6.6693442094366562E-3</v>
      </c>
      <c r="DC22" s="87">
        <v>96</v>
      </c>
      <c r="DD22" s="90">
        <v>145066</v>
      </c>
      <c r="DE22" s="102">
        <v>530.33699999999999</v>
      </c>
      <c r="DF22" s="99"/>
      <c r="DG22" s="101">
        <v>78</v>
      </c>
      <c r="DH22" s="167" t="s">
        <v>381</v>
      </c>
    </row>
    <row r="23" spans="1:112">
      <c r="A23" s="20">
        <f t="shared" si="3"/>
        <v>45763</v>
      </c>
      <c r="B23" s="12">
        <f>YEAR([1]!Input_Raw[[#This Row],[Date]])+IF(MONTH([1]!Input_Raw[[#This Row],[Date]])&gt;=4,1,0)</f>
        <v>2026</v>
      </c>
      <c r="C23" s="13">
        <f>YEAR([1]!Input_Raw[[#This Row],[Date]])</f>
        <v>2025</v>
      </c>
      <c r="D23" s="14">
        <f t="shared" si="2"/>
        <v>45748</v>
      </c>
      <c r="E23" s="13">
        <f>DAY(EOMONTH([1]!Input_Raw[[#This Row],[Date]],0))</f>
        <v>30</v>
      </c>
      <c r="F23" s="15">
        <v>16756</v>
      </c>
      <c r="G23" s="15">
        <v>16731</v>
      </c>
      <c r="H23" s="15">
        <v>16721</v>
      </c>
      <c r="I23" s="15">
        <v>16734</v>
      </c>
      <c r="J23" s="15">
        <v>12150</v>
      </c>
      <c r="K23" s="15">
        <v>16742</v>
      </c>
      <c r="L23" s="15">
        <v>16732</v>
      </c>
      <c r="M23" s="15">
        <v>16749</v>
      </c>
      <c r="N23" s="15">
        <v>16196</v>
      </c>
      <c r="O23" s="15">
        <v>16742</v>
      </c>
      <c r="P23" s="15">
        <v>16782</v>
      </c>
      <c r="Q23" s="15">
        <v>16187</v>
      </c>
      <c r="R23" s="15">
        <v>16186</v>
      </c>
      <c r="S23" s="15">
        <v>16164</v>
      </c>
      <c r="T23" s="15">
        <v>16184</v>
      </c>
      <c r="U23" s="15">
        <v>9321</v>
      </c>
      <c r="V23" s="15">
        <v>16189</v>
      </c>
      <c r="W23" s="15">
        <v>16147</v>
      </c>
      <c r="X23" s="15">
        <v>16197</v>
      </c>
      <c r="Y23" s="15">
        <v>16169</v>
      </c>
      <c r="Z23" s="15">
        <v>12169</v>
      </c>
      <c r="AA23" s="15">
        <v>12189</v>
      </c>
      <c r="AB23" s="15">
        <v>12190</v>
      </c>
      <c r="AC23" s="15">
        <v>12185</v>
      </c>
      <c r="AD23" s="15">
        <v>14915</v>
      </c>
      <c r="AE23" s="15">
        <v>12169</v>
      </c>
      <c r="AF23" s="15">
        <v>12185</v>
      </c>
      <c r="AG23" s="15">
        <v>0</v>
      </c>
      <c r="AH23" s="15">
        <v>12168</v>
      </c>
      <c r="AI23" s="15">
        <v>0</v>
      </c>
      <c r="AJ23" s="15">
        <v>14925</v>
      </c>
      <c r="AK23" s="15">
        <v>14952</v>
      </c>
      <c r="AL23" s="15">
        <v>14958</v>
      </c>
      <c r="AM23" s="15">
        <v>14952</v>
      </c>
      <c r="AN23" s="15">
        <v>14984</v>
      </c>
      <c r="AO23" s="15">
        <v>14984</v>
      </c>
      <c r="AP23" s="15">
        <v>14952</v>
      </c>
      <c r="AQ23" s="15">
        <v>14963</v>
      </c>
      <c r="AR23" s="15">
        <v>14962</v>
      </c>
      <c r="AS23" s="16">
        <v>5.59</v>
      </c>
      <c r="AT23" s="16">
        <v>6.18</v>
      </c>
      <c r="AU23" s="16">
        <v>5.43</v>
      </c>
      <c r="AV23" s="16">
        <v>5.42</v>
      </c>
      <c r="AW23" s="16">
        <v>5.97</v>
      </c>
      <c r="AX23" s="16">
        <v>6.06</v>
      </c>
      <c r="AY23" s="16">
        <v>5.51</v>
      </c>
      <c r="AZ23" s="16">
        <v>5.15</v>
      </c>
      <c r="BA23" s="16">
        <v>5.98</v>
      </c>
      <c r="BB23" s="16">
        <v>5.33</v>
      </c>
      <c r="BC23" s="16">
        <v>6.31</v>
      </c>
      <c r="BD23" s="16">
        <v>5.92</v>
      </c>
      <c r="BE23" s="16">
        <v>5.96</v>
      </c>
      <c r="BF23" s="16">
        <v>5.77</v>
      </c>
      <c r="BG23" s="16">
        <v>5.83</v>
      </c>
      <c r="BH23" s="16">
        <v>5.9</v>
      </c>
      <c r="BI23" s="16">
        <v>6.05</v>
      </c>
      <c r="BJ23" s="16">
        <v>5.8</v>
      </c>
      <c r="BK23" s="16">
        <v>5.74</v>
      </c>
      <c r="BL23" s="16">
        <v>6.66</v>
      </c>
      <c r="BM23" s="16">
        <v>6.01</v>
      </c>
      <c r="BN23" s="16">
        <v>6.2</v>
      </c>
      <c r="BO23" s="16">
        <v>6.1</v>
      </c>
      <c r="BP23" s="16">
        <v>5.88</v>
      </c>
      <c r="BQ23" s="16">
        <v>6</v>
      </c>
      <c r="BR23" s="16">
        <v>5.88</v>
      </c>
      <c r="BS23" s="16">
        <v>5.94</v>
      </c>
      <c r="BT23" s="16">
        <v>0</v>
      </c>
      <c r="BU23" s="16">
        <v>5.74</v>
      </c>
      <c r="BV23" s="16">
        <v>0</v>
      </c>
      <c r="BW23" s="16">
        <v>5.52</v>
      </c>
      <c r="BX23" s="16">
        <v>5.76</v>
      </c>
      <c r="BY23" s="16">
        <v>6.04</v>
      </c>
      <c r="BZ23" s="16">
        <v>6.02</v>
      </c>
      <c r="CA23" s="16">
        <v>5.85</v>
      </c>
      <c r="CB23" s="16">
        <v>6.03</v>
      </c>
      <c r="CC23" s="16">
        <v>5.99</v>
      </c>
      <c r="CD23" s="16">
        <v>5.42</v>
      </c>
      <c r="CE23" s="16">
        <v>6.19</v>
      </c>
      <c r="CF23" s="17">
        <f>SUM(Input_Raw[[#This Row],[G01]:[G40]])</f>
        <v>552581</v>
      </c>
      <c r="CG23" s="18">
        <f>IFERROR(AVERAGE(Input_Raw[[#This Row],[WS_G01]:[WS_G40]]),"")</f>
        <v>5.5674358974358968</v>
      </c>
      <c r="CH23" s="19"/>
      <c r="CI23" s="19"/>
      <c r="CJ23" s="15">
        <v>238828</v>
      </c>
      <c r="CK23" s="15">
        <v>2167</v>
      </c>
      <c r="CL23" s="15">
        <v>279013</v>
      </c>
      <c r="CM23" s="15">
        <v>2197</v>
      </c>
      <c r="CN23" s="15">
        <v>254708</v>
      </c>
      <c r="CO23" s="15">
        <v>1804</v>
      </c>
      <c r="CP23" s="15">
        <v>290358</v>
      </c>
      <c r="CQ23" s="15">
        <v>1848</v>
      </c>
      <c r="CR23" s="91">
        <f>IF(((Input_Raw[[#This Row],[33 kV_Wind_F1_Export reading]]-CJ22)*1200)&gt;0,(Input_Raw[[#This Row],[33 kV_Wind_F1_Export reading]]-CJ22)*1200,0)</f>
        <v>148800</v>
      </c>
      <c r="CS23" s="91">
        <f>IF(((Input_Raw[[#This Row],[33 kV_Wind_F1_Import reading]]-CK22)*1200)&gt;0,(Input_Raw[[#This Row],[33 kV_Wind_F1_Import reading]]-CK22)*1200,0)</f>
        <v>0</v>
      </c>
      <c r="CT23" s="91">
        <f>IF(((Input_Raw[[#This Row],[33 kV_Wind_F2_Export_reading]]-CL22)*1200)&gt;0,(Input_Raw[[#This Row],[33 kV_Wind_F2_Export_reading]]-CL22)*1200,0)</f>
        <v>97200</v>
      </c>
      <c r="CU23" s="91">
        <f>IF(((Input_Raw[[#This Row],[33 kV_Wind_F2_Import_reading]]-CM22)*1200)&gt;0,(Input_Raw[[#This Row],[33 kV_Wind_F2_Import_reading]]-CM22)*1200,0)</f>
        <v>0</v>
      </c>
      <c r="CV23" s="91">
        <f>IF(((Input_Raw[[#This Row],[33 kV_Wind_F3_Export_Reading]]-CN22)*1200)&gt;0,(Input_Raw[[#This Row],[33 kV_Wind_F3_Export_Reading]]-CN22)*1200,0)</f>
        <v>150000</v>
      </c>
      <c r="CW23" s="91">
        <f>IF(((Input_Raw[[#This Row],[33 kV_Wind_F3_Import_Reading]]-CO22)*1200)&gt;0,(Input_Raw[[#This Row],[33 kV_Wind_F3_Import_Reading]]-CO22)*1200,0)</f>
        <v>0</v>
      </c>
      <c r="CX23" s="91">
        <f>IF(((Input_Raw[[#This Row],[33 kV_Wind_F4_Export Reading]]-CP22)*1200)&gt;0,(Input_Raw[[#This Row],[33 kV_Wind_F4_Export Reading]]-CP22)*1200,0)</f>
        <v>154800</v>
      </c>
      <c r="CY23" s="91">
        <f>IF(((Input_Raw[[#This Row],[33 kV_Wind_F4_Import Reading]]-CQ22)*1200)&gt;0,(Input_Raw[[#This Row],[33 kV_Wind_F4_Import Reading]]-CQ22)*1200,0)</f>
        <v>0</v>
      </c>
      <c r="CZ23" s="91">
        <f>Input_Raw[[#This Row],[33 kV_F1_Total_Export (KWh)]]+Input_Raw[[#This Row],[33 kV_F2_Total_Export (KWh)2]]+Input_Raw[[#This Row],[33 kV_Wind_F3_Export (KWh)]]+Input_Raw[[#This Row],[33 kV_Wind_F4_Export (KWh)]]</f>
        <v>550800</v>
      </c>
      <c r="DA23" s="91">
        <f>Input_Raw[[#This Row],[33 kV_Wind_F1_Import (KWh)]]+Input_Raw[[#This Row],[33 kV_Wind_F2_Import (KWh)]]+Input_Raw[[#This Row],[33 kV_Wind_F3_Import (KWh)2]]+Input_Raw[[#This Row],[33 kV_Wind_F4_Import (KWh)2]]</f>
        <v>0</v>
      </c>
      <c r="DB23" s="21">
        <f>IFERROR(1-Input_Raw[[#This Row],[33 kV_Wind_Total_Export (KWh)]]/Input_Raw[[#This Row],[WTG Total Gneration (KWh)]],0)</f>
        <v>3.2230568912069435E-3</v>
      </c>
      <c r="DC23" s="87">
        <v>96</v>
      </c>
      <c r="DD23" s="90">
        <v>160779</v>
      </c>
      <c r="DE23" s="102">
        <v>552.58100000000002</v>
      </c>
      <c r="DF23" s="99"/>
      <c r="DG23" s="101">
        <v>78</v>
      </c>
      <c r="DH23" s="167" t="s">
        <v>381</v>
      </c>
    </row>
    <row r="24" spans="1:112">
      <c r="A24" s="20">
        <f t="shared" si="3"/>
        <v>45764</v>
      </c>
      <c r="B24" s="12">
        <f>YEAR([1]!Input_Raw[[#This Row],[Date]])+IF(MONTH([1]!Input_Raw[[#This Row],[Date]])&gt;=4,1,0)</f>
        <v>2026</v>
      </c>
      <c r="C24" s="13">
        <f>YEAR([1]!Input_Raw[[#This Row],[Date]])</f>
        <v>2025</v>
      </c>
      <c r="D24" s="14">
        <f t="shared" si="2"/>
        <v>45748</v>
      </c>
      <c r="E24" s="13">
        <f>DAY(EOMONTH([1]!Input_Raw[[#This Row],[Date]],0))</f>
        <v>30</v>
      </c>
      <c r="F24" s="15">
        <v>15153</v>
      </c>
      <c r="G24" s="15">
        <v>15183</v>
      </c>
      <c r="H24" s="15">
        <v>16583</v>
      </c>
      <c r="I24" s="15">
        <v>16584</v>
      </c>
      <c r="J24" s="15">
        <v>13650</v>
      </c>
      <c r="K24" s="15">
        <v>16573</v>
      </c>
      <c r="L24" s="15">
        <v>15190</v>
      </c>
      <c r="M24" s="15">
        <v>16587</v>
      </c>
      <c r="N24" s="15">
        <v>13458</v>
      </c>
      <c r="O24" s="15">
        <v>16784</v>
      </c>
      <c r="P24" s="15">
        <v>16596</v>
      </c>
      <c r="Q24" s="15">
        <v>14923</v>
      </c>
      <c r="R24" s="15">
        <v>14937</v>
      </c>
      <c r="S24" s="15">
        <v>14976</v>
      </c>
      <c r="T24" s="15">
        <v>14979</v>
      </c>
      <c r="U24" s="15">
        <v>9674</v>
      </c>
      <c r="V24" s="15">
        <v>14979</v>
      </c>
      <c r="W24" s="15">
        <v>14943</v>
      </c>
      <c r="X24" s="15">
        <v>14943</v>
      </c>
      <c r="Y24" s="15">
        <v>14964</v>
      </c>
      <c r="Z24" s="15">
        <v>13687</v>
      </c>
      <c r="AA24" s="15">
        <v>13696</v>
      </c>
      <c r="AB24" s="15">
        <v>13674</v>
      </c>
      <c r="AC24" s="15">
        <v>13653</v>
      </c>
      <c r="AD24" s="15">
        <v>12556</v>
      </c>
      <c r="AE24" s="15">
        <v>13687</v>
      </c>
      <c r="AF24" s="15">
        <v>13659</v>
      </c>
      <c r="AG24" s="15">
        <v>0</v>
      </c>
      <c r="AH24" s="15">
        <v>13653</v>
      </c>
      <c r="AI24" s="15">
        <v>0</v>
      </c>
      <c r="AJ24" s="15">
        <v>12562</v>
      </c>
      <c r="AK24" s="15">
        <v>12547</v>
      </c>
      <c r="AL24" s="15">
        <v>12589</v>
      </c>
      <c r="AM24" s="15">
        <v>12538</v>
      </c>
      <c r="AN24" s="15">
        <v>12565</v>
      </c>
      <c r="AO24" s="15">
        <v>12567</v>
      </c>
      <c r="AP24" s="15">
        <v>12564</v>
      </c>
      <c r="AQ24" s="15">
        <v>12032</v>
      </c>
      <c r="AR24" s="15">
        <v>12574</v>
      </c>
      <c r="AS24" s="16">
        <v>5.83</v>
      </c>
      <c r="AT24" s="16">
        <v>5.9</v>
      </c>
      <c r="AU24" s="16">
        <v>6.05</v>
      </c>
      <c r="AV24" s="16">
        <v>5.8</v>
      </c>
      <c r="AW24" s="16">
        <v>5.74</v>
      </c>
      <c r="AX24" s="16">
        <v>6.21</v>
      </c>
      <c r="AY24" s="16">
        <v>6.01</v>
      </c>
      <c r="AZ24" s="16">
        <v>6.2</v>
      </c>
      <c r="BA24" s="16">
        <v>6.1</v>
      </c>
      <c r="BB24" s="16">
        <v>6.1</v>
      </c>
      <c r="BC24" s="16">
        <v>5.88</v>
      </c>
      <c r="BD24" s="16">
        <v>6</v>
      </c>
      <c r="BE24" s="16">
        <v>5.88</v>
      </c>
      <c r="BF24" s="16">
        <v>5.94</v>
      </c>
      <c r="BG24" s="16">
        <v>6.2</v>
      </c>
      <c r="BH24" s="16">
        <v>5.74</v>
      </c>
      <c r="BI24" s="16">
        <v>6.23</v>
      </c>
      <c r="BJ24" s="16">
        <v>5.52</v>
      </c>
      <c r="BK24" s="16">
        <v>5.76</v>
      </c>
      <c r="BL24" s="16">
        <v>6.04</v>
      </c>
      <c r="BM24" s="16">
        <v>6.02</v>
      </c>
      <c r="BN24" s="16">
        <v>5.85</v>
      </c>
      <c r="BO24" s="16">
        <v>6.03</v>
      </c>
      <c r="BP24" s="16">
        <v>5.42</v>
      </c>
      <c r="BQ24" s="16">
        <v>6.19</v>
      </c>
      <c r="BR24" s="16">
        <v>5.59</v>
      </c>
      <c r="BS24" s="16">
        <v>6.01</v>
      </c>
      <c r="BT24" s="16">
        <v>0</v>
      </c>
      <c r="BU24" s="16">
        <v>5.42</v>
      </c>
      <c r="BV24" s="16">
        <v>0</v>
      </c>
      <c r="BW24" s="16">
        <v>6</v>
      </c>
      <c r="BX24" s="16">
        <v>5.51</v>
      </c>
      <c r="BY24" s="16">
        <v>5.15</v>
      </c>
      <c r="BZ24" s="16">
        <v>5.98</v>
      </c>
      <c r="CA24" s="16">
        <v>5.33</v>
      </c>
      <c r="CB24" s="16">
        <v>6.1</v>
      </c>
      <c r="CC24" s="16">
        <v>5.92</v>
      </c>
      <c r="CD24" s="16">
        <v>5.92</v>
      </c>
      <c r="CE24" s="16">
        <v>5.9</v>
      </c>
      <c r="CF24" s="17">
        <f>SUM(Input_Raw[[#This Row],[G01]:[G40]])</f>
        <v>522462</v>
      </c>
      <c r="CG24" s="18">
        <f>IFERROR(AVERAGE(Input_Raw[[#This Row],[WS_G01]:[WS_G40]]),"")</f>
        <v>5.5761538461538445</v>
      </c>
      <c r="CH24" s="19"/>
      <c r="CI24" s="19"/>
      <c r="CJ24" s="15">
        <v>238932</v>
      </c>
      <c r="CK24" s="15">
        <v>2167</v>
      </c>
      <c r="CL24" s="15">
        <v>279104</v>
      </c>
      <c r="CM24" s="15">
        <v>2197</v>
      </c>
      <c r="CN24" s="15">
        <v>254829</v>
      </c>
      <c r="CO24" s="15">
        <v>1804</v>
      </c>
      <c r="CP24" s="15">
        <v>290477</v>
      </c>
      <c r="CQ24" s="15">
        <v>1848</v>
      </c>
      <c r="CR24" s="91">
        <f>IF(((Input_Raw[[#This Row],[33 kV_Wind_F1_Export reading]]-CJ23)*1200)&gt;0,(Input_Raw[[#This Row],[33 kV_Wind_F1_Export reading]]-CJ23)*1200,0)</f>
        <v>124800</v>
      </c>
      <c r="CS24" s="91">
        <f>IF(((Input_Raw[[#This Row],[33 kV_Wind_F1_Import reading]]-CK23)*1200)&gt;0,(Input_Raw[[#This Row],[33 kV_Wind_F1_Import reading]]-CK23)*1200,0)</f>
        <v>0</v>
      </c>
      <c r="CT24" s="91">
        <f>IF(((Input_Raw[[#This Row],[33 kV_Wind_F2_Export_reading]]-CL23)*1200)&gt;0,(Input_Raw[[#This Row],[33 kV_Wind_F2_Export_reading]]-CL23)*1200,0)</f>
        <v>109200</v>
      </c>
      <c r="CU24" s="91">
        <f>IF(((Input_Raw[[#This Row],[33 kV_Wind_F2_Import_reading]]-CM23)*1200)&gt;0,(Input_Raw[[#This Row],[33 kV_Wind_F2_Import_reading]]-CM23)*1200,0)</f>
        <v>0</v>
      </c>
      <c r="CV24" s="91">
        <f>IF(((Input_Raw[[#This Row],[33 kV_Wind_F3_Export_Reading]]-CN23)*1200)&gt;0,(Input_Raw[[#This Row],[33 kV_Wind_F3_Export_Reading]]-CN23)*1200,0)</f>
        <v>145200</v>
      </c>
      <c r="CW24" s="91">
        <f>IF(((Input_Raw[[#This Row],[33 kV_Wind_F3_Import_Reading]]-CO23)*1200)&gt;0,(Input_Raw[[#This Row],[33 kV_Wind_F3_Import_Reading]]-CO23)*1200,0)</f>
        <v>0</v>
      </c>
      <c r="CX24" s="91">
        <f>IF(((Input_Raw[[#This Row],[33 kV_Wind_F4_Export Reading]]-CP23)*1200)&gt;0,(Input_Raw[[#This Row],[33 kV_Wind_F4_Export Reading]]-CP23)*1200,0)</f>
        <v>142800</v>
      </c>
      <c r="CY24" s="91">
        <f>IF(((Input_Raw[[#This Row],[33 kV_Wind_F4_Import Reading]]-CQ23)*1200)&gt;0,(Input_Raw[[#This Row],[33 kV_Wind_F4_Import Reading]]-CQ23)*1200,0)</f>
        <v>0</v>
      </c>
      <c r="CZ24" s="91">
        <f>Input_Raw[[#This Row],[33 kV_F1_Total_Export (KWh)]]+Input_Raw[[#This Row],[33 kV_F2_Total_Export (KWh)2]]+Input_Raw[[#This Row],[33 kV_Wind_F3_Export (KWh)]]+Input_Raw[[#This Row],[33 kV_Wind_F4_Export (KWh)]]</f>
        <v>522000</v>
      </c>
      <c r="DA24" s="91">
        <f>Input_Raw[[#This Row],[33 kV_Wind_F1_Import (KWh)]]+Input_Raw[[#This Row],[33 kV_Wind_F2_Import (KWh)]]+Input_Raw[[#This Row],[33 kV_Wind_F3_Import (KWh)2]]+Input_Raw[[#This Row],[33 kV_Wind_F4_Import (KWh)2]]</f>
        <v>0</v>
      </c>
      <c r="DB24" s="21">
        <f>IFERROR(1-Input_Raw[[#This Row],[33 kV_Wind_Total_Export (KWh)]]/Input_Raw[[#This Row],[WTG Total Gneration (KWh)]],0)</f>
        <v>8.8427483721309486E-4</v>
      </c>
      <c r="DC24" s="87">
        <v>96</v>
      </c>
      <c r="DD24" s="90">
        <v>182469</v>
      </c>
      <c r="DE24" s="102">
        <v>522.46199999999999</v>
      </c>
      <c r="DF24" s="99"/>
      <c r="DG24" s="101">
        <v>78</v>
      </c>
      <c r="DH24" s="167" t="s">
        <v>381</v>
      </c>
    </row>
    <row r="25" spans="1:112">
      <c r="A25" s="20">
        <f t="shared" si="3"/>
        <v>45765</v>
      </c>
      <c r="B25" s="12">
        <f>YEAR([1]!Input_Raw[[#This Row],[Date]])+IF(MONTH([1]!Input_Raw[[#This Row],[Date]])&gt;=4,1,0)</f>
        <v>2026</v>
      </c>
      <c r="C25" s="13">
        <f>YEAR([1]!Input_Raw[[#This Row],[Date]])</f>
        <v>2025</v>
      </c>
      <c r="D25" s="14">
        <f t="shared" si="2"/>
        <v>45748</v>
      </c>
      <c r="E25" s="13">
        <f>DAY(EOMONTH([1]!Input_Raw[[#This Row],[Date]],0))</f>
        <v>30</v>
      </c>
      <c r="F25" s="15">
        <v>9986</v>
      </c>
      <c r="G25" s="15">
        <v>9964</v>
      </c>
      <c r="H25" s="15">
        <v>9942</v>
      </c>
      <c r="I25" s="15">
        <v>9960</v>
      </c>
      <c r="J25" s="15">
        <v>8859</v>
      </c>
      <c r="K25" s="15">
        <v>9936</v>
      </c>
      <c r="L25" s="15">
        <v>9962</v>
      </c>
      <c r="M25" s="15">
        <v>9967</v>
      </c>
      <c r="N25" s="15">
        <v>8168</v>
      </c>
      <c r="O25" s="15">
        <v>9997</v>
      </c>
      <c r="P25" s="15">
        <v>9989</v>
      </c>
      <c r="Q25" s="15">
        <v>8164</v>
      </c>
      <c r="R25" s="15">
        <v>8196</v>
      </c>
      <c r="S25" s="15">
        <v>8164</v>
      </c>
      <c r="T25" s="15">
        <v>8153</v>
      </c>
      <c r="U25" s="15">
        <v>5639</v>
      </c>
      <c r="V25" s="15">
        <v>8169</v>
      </c>
      <c r="W25" s="15">
        <v>8176</v>
      </c>
      <c r="X25" s="15">
        <v>8148</v>
      </c>
      <c r="Y25" s="15">
        <v>8243</v>
      </c>
      <c r="Z25" s="15">
        <v>8895</v>
      </c>
      <c r="AA25" s="15">
        <v>8858</v>
      </c>
      <c r="AB25" s="15">
        <v>8853</v>
      </c>
      <c r="AC25" s="15">
        <v>8857</v>
      </c>
      <c r="AD25" s="15">
        <v>8106</v>
      </c>
      <c r="AE25" s="15">
        <v>8895</v>
      </c>
      <c r="AF25" s="15">
        <v>8824</v>
      </c>
      <c r="AG25" s="15">
        <v>0</v>
      </c>
      <c r="AH25" s="15">
        <v>8852</v>
      </c>
      <c r="AI25" s="15">
        <v>0</v>
      </c>
      <c r="AJ25" s="15">
        <v>8165</v>
      </c>
      <c r="AK25" s="15">
        <v>8169</v>
      </c>
      <c r="AL25" s="15">
        <v>8158</v>
      </c>
      <c r="AM25" s="15">
        <v>7963</v>
      </c>
      <c r="AN25" s="15">
        <v>7584</v>
      </c>
      <c r="AO25" s="15">
        <v>8139</v>
      </c>
      <c r="AP25" s="15">
        <v>8147</v>
      </c>
      <c r="AQ25" s="15">
        <v>8163</v>
      </c>
      <c r="AR25" s="15">
        <v>8189</v>
      </c>
      <c r="AS25" s="16">
        <v>4.8499999999999996</v>
      </c>
      <c r="AT25" s="16">
        <v>5.37</v>
      </c>
      <c r="AU25" s="16">
        <v>4.76</v>
      </c>
      <c r="AV25" s="16">
        <v>4.7699999999999996</v>
      </c>
      <c r="AW25" s="16">
        <v>5.09</v>
      </c>
      <c r="AX25" s="16">
        <v>5.19</v>
      </c>
      <c r="AY25" s="16">
        <v>4.8</v>
      </c>
      <c r="AZ25" s="16">
        <v>4.87</v>
      </c>
      <c r="BA25" s="16">
        <v>5.25</v>
      </c>
      <c r="BB25" s="16">
        <v>4.9800000000000004</v>
      </c>
      <c r="BC25" s="16">
        <v>5.45</v>
      </c>
      <c r="BD25" s="16">
        <v>5.28</v>
      </c>
      <c r="BE25" s="16">
        <v>5.32</v>
      </c>
      <c r="BF25" s="16">
        <v>5.14</v>
      </c>
      <c r="BG25" s="16">
        <v>5.09</v>
      </c>
      <c r="BH25" s="16">
        <v>5.27</v>
      </c>
      <c r="BI25" s="16">
        <v>5.07</v>
      </c>
      <c r="BJ25" s="16">
        <v>5.36</v>
      </c>
      <c r="BK25" s="16">
        <v>6.59</v>
      </c>
      <c r="BL25" s="16">
        <v>5.63</v>
      </c>
      <c r="BM25" s="16">
        <v>5.4</v>
      </c>
      <c r="BN25" s="16">
        <v>5.44</v>
      </c>
      <c r="BO25" s="16">
        <v>4.66</v>
      </c>
      <c r="BP25" s="16">
        <v>4.9800000000000004</v>
      </c>
      <c r="BQ25" s="16">
        <v>4.95</v>
      </c>
      <c r="BR25" s="16">
        <v>4.71</v>
      </c>
      <c r="BS25" s="16">
        <v>4.88</v>
      </c>
      <c r="BT25" s="16">
        <v>0</v>
      </c>
      <c r="BU25" s="16">
        <v>4.8600000000000003</v>
      </c>
      <c r="BV25" s="16">
        <v>0</v>
      </c>
      <c r="BW25" s="16">
        <v>4.59</v>
      </c>
      <c r="BX25" s="16">
        <v>4.7300000000000004</v>
      </c>
      <c r="BY25" s="16">
        <v>4.88</v>
      </c>
      <c r="BZ25" s="16">
        <v>4.88</v>
      </c>
      <c r="CA25" s="16">
        <v>5.07</v>
      </c>
      <c r="CB25" s="16">
        <v>5.05</v>
      </c>
      <c r="CC25" s="16">
        <v>4.83</v>
      </c>
      <c r="CD25" s="16">
        <v>4.74</v>
      </c>
      <c r="CE25" s="16">
        <v>5.01</v>
      </c>
      <c r="CF25" s="17">
        <f>SUM(Input_Raw[[#This Row],[G01]:[G40]])</f>
        <v>320599</v>
      </c>
      <c r="CG25" s="18">
        <f>IFERROR(AVERAGE(Input_Raw[[#This Row],[WS_G01]:[WS_G40]]),"")</f>
        <v>4.8151282051282047</v>
      </c>
      <c r="CH25" s="19"/>
      <c r="CI25" s="19"/>
      <c r="CJ25" s="15">
        <v>238998</v>
      </c>
      <c r="CK25" s="15">
        <v>2167</v>
      </c>
      <c r="CL25" s="15">
        <v>279163</v>
      </c>
      <c r="CM25" s="15">
        <v>2197</v>
      </c>
      <c r="CN25" s="15">
        <v>254903</v>
      </c>
      <c r="CO25" s="15">
        <v>1804</v>
      </c>
      <c r="CP25" s="15">
        <v>290542</v>
      </c>
      <c r="CQ25" s="15">
        <v>1849</v>
      </c>
      <c r="CR25" s="91">
        <f>IF(((Input_Raw[[#This Row],[33 kV_Wind_F1_Export reading]]-CJ24)*1200)&gt;0,(Input_Raw[[#This Row],[33 kV_Wind_F1_Export reading]]-CJ24)*1200,0)</f>
        <v>79200</v>
      </c>
      <c r="CS25" s="91">
        <f>IF(((Input_Raw[[#This Row],[33 kV_Wind_F1_Import reading]]-CK24)*1200)&gt;0,(Input_Raw[[#This Row],[33 kV_Wind_F1_Import reading]]-CK24)*1200,0)</f>
        <v>0</v>
      </c>
      <c r="CT25" s="91">
        <f>IF(((Input_Raw[[#This Row],[33 kV_Wind_F2_Export_reading]]-CL24)*1200)&gt;0,(Input_Raw[[#This Row],[33 kV_Wind_F2_Export_reading]]-CL24)*1200,0)</f>
        <v>70800</v>
      </c>
      <c r="CU25" s="91">
        <f>IF(((Input_Raw[[#This Row],[33 kV_Wind_F2_Import_reading]]-CM24)*1200)&gt;0,(Input_Raw[[#This Row],[33 kV_Wind_F2_Import_reading]]-CM24)*1200,0)</f>
        <v>0</v>
      </c>
      <c r="CV25" s="91">
        <f>IF(((Input_Raw[[#This Row],[33 kV_Wind_F3_Export_Reading]]-CN24)*1200)&gt;0,(Input_Raw[[#This Row],[33 kV_Wind_F3_Export_Reading]]-CN24)*1200,0)</f>
        <v>88800</v>
      </c>
      <c r="CW25" s="91">
        <f>IF(((Input_Raw[[#This Row],[33 kV_Wind_F3_Import_Reading]]-CO24)*1200)&gt;0,(Input_Raw[[#This Row],[33 kV_Wind_F3_Import_Reading]]-CO24)*1200,0)</f>
        <v>0</v>
      </c>
      <c r="CX25" s="91">
        <f>IF(((Input_Raw[[#This Row],[33 kV_Wind_F4_Export Reading]]-CP24)*1200)&gt;0,(Input_Raw[[#This Row],[33 kV_Wind_F4_Export Reading]]-CP24)*1200,0)</f>
        <v>78000</v>
      </c>
      <c r="CY25" s="91">
        <f>IF(((Input_Raw[[#This Row],[33 kV_Wind_F4_Import Reading]]-CQ24)*1200)&gt;0,(Input_Raw[[#This Row],[33 kV_Wind_F4_Import Reading]]-CQ24)*1200,0)</f>
        <v>1200</v>
      </c>
      <c r="CZ25" s="91">
        <f>Input_Raw[[#This Row],[33 kV_F1_Total_Export (KWh)]]+Input_Raw[[#This Row],[33 kV_F2_Total_Export (KWh)2]]+Input_Raw[[#This Row],[33 kV_Wind_F3_Export (KWh)]]+Input_Raw[[#This Row],[33 kV_Wind_F4_Export (KWh)]]</f>
        <v>316800</v>
      </c>
      <c r="DA25" s="91">
        <f>Input_Raw[[#This Row],[33 kV_Wind_F1_Import (KWh)]]+Input_Raw[[#This Row],[33 kV_Wind_F2_Import (KWh)]]+Input_Raw[[#This Row],[33 kV_Wind_F3_Import (KWh)2]]+Input_Raw[[#This Row],[33 kV_Wind_F4_Import (KWh)2]]</f>
        <v>1200</v>
      </c>
      <c r="DB25" s="21">
        <f>IFERROR(1-Input_Raw[[#This Row],[33 kV_Wind_Total_Export (KWh)]]/Input_Raw[[#This Row],[WTG Total Gneration (KWh)]],0)</f>
        <v>1.1849693854316445E-2</v>
      </c>
      <c r="DC25" s="87">
        <v>96</v>
      </c>
      <c r="DD25" s="90">
        <v>88227</v>
      </c>
      <c r="DE25" s="102">
        <v>320.58999999999997</v>
      </c>
      <c r="DF25" s="99"/>
      <c r="DG25" s="101">
        <v>78</v>
      </c>
      <c r="DH25" s="167" t="s">
        <v>381</v>
      </c>
    </row>
    <row r="26" spans="1:112">
      <c r="A26" s="20">
        <f t="shared" si="3"/>
        <v>45766</v>
      </c>
      <c r="B26" s="12">
        <f>YEAR([1]!Input_Raw[[#This Row],[Date]])+IF(MONTH([1]!Input_Raw[[#This Row],[Date]])&gt;=4,1,0)</f>
        <v>2026</v>
      </c>
      <c r="C26" s="13">
        <f>YEAR([1]!Input_Raw[[#This Row],[Date]])</f>
        <v>2025</v>
      </c>
      <c r="D26" s="14">
        <f t="shared" si="2"/>
        <v>45748</v>
      </c>
      <c r="E26" s="13">
        <f>DAY(EOMONTH([1]!Input_Raw[[#This Row],[Date]],0))</f>
        <v>30</v>
      </c>
      <c r="F26" s="15">
        <v>12321</v>
      </c>
      <c r="G26" s="15">
        <v>12334</v>
      </c>
      <c r="H26" s="15">
        <v>12353</v>
      </c>
      <c r="I26" s="15">
        <v>12327</v>
      </c>
      <c r="J26" s="15">
        <v>10590</v>
      </c>
      <c r="K26" s="15">
        <v>12358</v>
      </c>
      <c r="L26" s="15">
        <v>12364</v>
      </c>
      <c r="M26" s="15">
        <v>12387</v>
      </c>
      <c r="N26" s="15">
        <v>11389</v>
      </c>
      <c r="O26" s="15">
        <v>12389</v>
      </c>
      <c r="P26" s="15">
        <v>12393</v>
      </c>
      <c r="Q26" s="15">
        <v>11358</v>
      </c>
      <c r="R26" s="15">
        <v>10948</v>
      </c>
      <c r="S26" s="15">
        <v>11378</v>
      </c>
      <c r="T26" s="15">
        <v>11385</v>
      </c>
      <c r="U26" s="15">
        <v>8429</v>
      </c>
      <c r="V26" s="15">
        <v>11364</v>
      </c>
      <c r="W26" s="15">
        <v>11398</v>
      </c>
      <c r="X26" s="15">
        <v>11428</v>
      </c>
      <c r="Y26" s="15">
        <v>11463</v>
      </c>
      <c r="Z26" s="15">
        <v>10569</v>
      </c>
      <c r="AA26" s="15">
        <v>10595</v>
      </c>
      <c r="AB26" s="15">
        <v>8792</v>
      </c>
      <c r="AC26" s="15">
        <v>10563</v>
      </c>
      <c r="AD26" s="15">
        <v>10352</v>
      </c>
      <c r="AE26" s="15">
        <v>10585</v>
      </c>
      <c r="AF26" s="15">
        <v>10567</v>
      </c>
      <c r="AG26" s="15">
        <v>0</v>
      </c>
      <c r="AH26" s="15">
        <v>10589</v>
      </c>
      <c r="AI26" s="15">
        <v>0</v>
      </c>
      <c r="AJ26" s="15">
        <v>10274</v>
      </c>
      <c r="AK26" s="15">
        <v>9590</v>
      </c>
      <c r="AL26" s="15">
        <v>10290</v>
      </c>
      <c r="AM26" s="15">
        <v>10363</v>
      </c>
      <c r="AN26" s="15">
        <v>10368</v>
      </c>
      <c r="AO26" s="15">
        <v>10374</v>
      </c>
      <c r="AP26" s="15">
        <v>10387</v>
      </c>
      <c r="AQ26" s="15">
        <v>10338</v>
      </c>
      <c r="AR26" s="15">
        <v>10374</v>
      </c>
      <c r="AS26" s="16">
        <v>4.7300000000000004</v>
      </c>
      <c r="AT26" s="16">
        <v>5.25</v>
      </c>
      <c r="AU26" s="16">
        <v>4.97</v>
      </c>
      <c r="AV26" s="16">
        <v>4.5599999999999996</v>
      </c>
      <c r="AW26" s="16">
        <v>4.53</v>
      </c>
      <c r="AX26" s="16">
        <v>5.13</v>
      </c>
      <c r="AY26" s="16">
        <v>4.74</v>
      </c>
      <c r="AZ26" s="16">
        <v>4.54</v>
      </c>
      <c r="BA26" s="16">
        <v>5.04</v>
      </c>
      <c r="BB26" s="16">
        <v>4.6500000000000004</v>
      </c>
      <c r="BC26" s="16">
        <v>5.08</v>
      </c>
      <c r="BD26" s="16">
        <v>5.09</v>
      </c>
      <c r="BE26" s="16">
        <v>5.15</v>
      </c>
      <c r="BF26" s="16">
        <v>6.01</v>
      </c>
      <c r="BG26" s="16">
        <v>4.79</v>
      </c>
      <c r="BH26" s="16">
        <v>4.63</v>
      </c>
      <c r="BI26" s="16">
        <v>4.4000000000000004</v>
      </c>
      <c r="BJ26" s="16">
        <v>4.6900000000000004</v>
      </c>
      <c r="BK26" s="16">
        <v>5.17</v>
      </c>
      <c r="BL26" s="16">
        <v>5.05</v>
      </c>
      <c r="BM26" s="16">
        <v>4.8</v>
      </c>
      <c r="BN26" s="16">
        <v>4.95</v>
      </c>
      <c r="BO26" s="16">
        <v>4.57</v>
      </c>
      <c r="BP26" s="16">
        <v>4.87</v>
      </c>
      <c r="BQ26" s="16">
        <v>4.67</v>
      </c>
      <c r="BR26" s="16">
        <v>4.45</v>
      </c>
      <c r="BS26" s="16">
        <v>4.4800000000000004</v>
      </c>
      <c r="BT26" s="16">
        <v>0</v>
      </c>
      <c r="BU26" s="16">
        <v>4.42</v>
      </c>
      <c r="BV26" s="16">
        <v>0</v>
      </c>
      <c r="BW26" s="16">
        <v>4.25</v>
      </c>
      <c r="BX26" s="16">
        <v>4.37</v>
      </c>
      <c r="BY26" s="16">
        <v>4.4800000000000004</v>
      </c>
      <c r="BZ26" s="16">
        <v>4.63</v>
      </c>
      <c r="CA26" s="16">
        <v>4.57</v>
      </c>
      <c r="CB26" s="16">
        <v>4.4400000000000004</v>
      </c>
      <c r="CC26" s="16">
        <v>4.53</v>
      </c>
      <c r="CD26" s="16">
        <v>4.53</v>
      </c>
      <c r="CE26" s="16">
        <v>4.67</v>
      </c>
      <c r="CF26" s="17">
        <f>SUM(Input_Raw[[#This Row],[G01]:[G40]])</f>
        <v>407326</v>
      </c>
      <c r="CG26" s="18">
        <f>IFERROR(AVERAGE(Input_Raw[[#This Row],[WS_G01]:[WS_G40]]),"")</f>
        <v>4.5097435897435885</v>
      </c>
      <c r="CH26" s="19"/>
      <c r="CI26" s="19"/>
      <c r="CJ26" s="15">
        <v>239083</v>
      </c>
      <c r="CK26" s="15">
        <v>2168</v>
      </c>
      <c r="CL26" s="15">
        <v>279232</v>
      </c>
      <c r="CM26" s="15">
        <v>2197</v>
      </c>
      <c r="CN26" s="15">
        <v>254995</v>
      </c>
      <c r="CO26" s="15">
        <v>1805</v>
      </c>
      <c r="CP26" s="15">
        <v>290634</v>
      </c>
      <c r="CQ26" s="15">
        <v>1849</v>
      </c>
      <c r="CR26" s="91">
        <f>IF(((Input_Raw[[#This Row],[33 kV_Wind_F1_Export reading]]-CJ25)*1200)&gt;0,(Input_Raw[[#This Row],[33 kV_Wind_F1_Export reading]]-CJ25)*1200,0)</f>
        <v>102000</v>
      </c>
      <c r="CS26" s="91">
        <f>IF(((Input_Raw[[#This Row],[33 kV_Wind_F1_Import reading]]-CK25)*1200)&gt;0,(Input_Raw[[#This Row],[33 kV_Wind_F1_Import reading]]-CK25)*1200,0)</f>
        <v>1200</v>
      </c>
      <c r="CT26" s="91">
        <f>IF(((Input_Raw[[#This Row],[33 kV_Wind_F2_Export_reading]]-CL25)*1200)&gt;0,(Input_Raw[[#This Row],[33 kV_Wind_F2_Export_reading]]-CL25)*1200,0)</f>
        <v>82800</v>
      </c>
      <c r="CU26" s="91">
        <f>IF(((Input_Raw[[#This Row],[33 kV_Wind_F2_Import_reading]]-CM25)*1200)&gt;0,(Input_Raw[[#This Row],[33 kV_Wind_F2_Import_reading]]-CM25)*1200,0)</f>
        <v>0</v>
      </c>
      <c r="CV26" s="91">
        <f>IF(((Input_Raw[[#This Row],[33 kV_Wind_F3_Export_Reading]]-CN25)*1200)&gt;0,(Input_Raw[[#This Row],[33 kV_Wind_F3_Export_Reading]]-CN25)*1200,0)</f>
        <v>110400</v>
      </c>
      <c r="CW26" s="91">
        <f>IF(((Input_Raw[[#This Row],[33 kV_Wind_F3_Import_Reading]]-CO25)*1200)&gt;0,(Input_Raw[[#This Row],[33 kV_Wind_F3_Import_Reading]]-CO25)*1200,0)</f>
        <v>1200</v>
      </c>
      <c r="CX26" s="91">
        <f>IF(((Input_Raw[[#This Row],[33 kV_Wind_F4_Export Reading]]-CP25)*1200)&gt;0,(Input_Raw[[#This Row],[33 kV_Wind_F4_Export Reading]]-CP25)*1200,0)</f>
        <v>110400</v>
      </c>
      <c r="CY26" s="91">
        <f>IF(((Input_Raw[[#This Row],[33 kV_Wind_F4_Import Reading]]-CQ25)*1200)&gt;0,(Input_Raw[[#This Row],[33 kV_Wind_F4_Import Reading]]-CQ25)*1200,0)</f>
        <v>0</v>
      </c>
      <c r="CZ26" s="91">
        <f>Input_Raw[[#This Row],[33 kV_F1_Total_Export (KWh)]]+Input_Raw[[#This Row],[33 kV_F2_Total_Export (KWh)2]]+Input_Raw[[#This Row],[33 kV_Wind_F3_Export (KWh)]]+Input_Raw[[#This Row],[33 kV_Wind_F4_Export (KWh)]]</f>
        <v>405600</v>
      </c>
      <c r="DA26" s="91">
        <f>Input_Raw[[#This Row],[33 kV_Wind_F1_Import (KWh)]]+Input_Raw[[#This Row],[33 kV_Wind_F2_Import (KWh)]]+Input_Raw[[#This Row],[33 kV_Wind_F3_Import (KWh)2]]+Input_Raw[[#This Row],[33 kV_Wind_F4_Import (KWh)2]]</f>
        <v>2400</v>
      </c>
      <c r="DB26" s="21">
        <f>IFERROR(1-Input_Raw[[#This Row],[33 kV_Wind_Total_Export (KWh)]]/Input_Raw[[#This Row],[WTG Total Gneration (KWh)]],0)</f>
        <v>4.2373921625430411E-3</v>
      </c>
      <c r="DC26" s="87">
        <v>96</v>
      </c>
      <c r="DD26" s="90">
        <v>87932</v>
      </c>
      <c r="DE26" s="102">
        <v>407.32</v>
      </c>
      <c r="DF26" s="99"/>
      <c r="DG26" s="101">
        <v>78</v>
      </c>
      <c r="DH26" s="167" t="s">
        <v>381</v>
      </c>
    </row>
    <row r="27" spans="1:112">
      <c r="A27" s="20">
        <f t="shared" si="3"/>
        <v>45767</v>
      </c>
      <c r="B27" s="12">
        <f>YEAR([1]!Input_Raw[[#This Row],[Date]])+IF(MONTH([1]!Input_Raw[[#This Row],[Date]])&gt;=4,1,0)</f>
        <v>2026</v>
      </c>
      <c r="C27" s="13">
        <f>YEAR([1]!Input_Raw[[#This Row],[Date]])</f>
        <v>2025</v>
      </c>
      <c r="D27" s="14">
        <f t="shared" si="2"/>
        <v>45748</v>
      </c>
      <c r="E27" s="13">
        <f>DAY(EOMONTH([1]!Input_Raw[[#This Row],[Date]],0))</f>
        <v>30</v>
      </c>
      <c r="F27" s="15">
        <v>20358</v>
      </c>
      <c r="G27" s="15">
        <v>20376</v>
      </c>
      <c r="H27" s="15">
        <v>20321</v>
      </c>
      <c r="I27" s="15">
        <v>19585</v>
      </c>
      <c r="J27" s="15">
        <v>20876</v>
      </c>
      <c r="K27" s="15">
        <v>20387</v>
      </c>
      <c r="L27" s="15">
        <v>20341</v>
      </c>
      <c r="M27" s="15">
        <v>20365</v>
      </c>
      <c r="N27" s="15">
        <v>21187</v>
      </c>
      <c r="O27" s="15">
        <v>20369</v>
      </c>
      <c r="P27" s="15">
        <v>20385</v>
      </c>
      <c r="Q27" s="15">
        <v>21179</v>
      </c>
      <c r="R27" s="15">
        <v>19457</v>
      </c>
      <c r="S27" s="15">
        <v>21178</v>
      </c>
      <c r="T27" s="15">
        <v>21190</v>
      </c>
      <c r="U27" s="15">
        <v>21179</v>
      </c>
      <c r="V27" s="15">
        <v>21187</v>
      </c>
      <c r="W27" s="15">
        <v>21185</v>
      </c>
      <c r="X27" s="15">
        <v>21189</v>
      </c>
      <c r="Y27" s="15">
        <v>21254</v>
      </c>
      <c r="Z27" s="15">
        <v>20854</v>
      </c>
      <c r="AA27" s="15">
        <v>20862</v>
      </c>
      <c r="AB27" s="15">
        <v>20832</v>
      </c>
      <c r="AC27" s="15">
        <v>20858</v>
      </c>
      <c r="AD27" s="15">
        <v>19245</v>
      </c>
      <c r="AE27" s="15">
        <v>20835</v>
      </c>
      <c r="AF27" s="15">
        <v>20863</v>
      </c>
      <c r="AG27" s="15">
        <v>0</v>
      </c>
      <c r="AH27" s="15">
        <v>20851</v>
      </c>
      <c r="AI27" s="15">
        <v>0</v>
      </c>
      <c r="AJ27" s="15">
        <v>19254</v>
      </c>
      <c r="AK27" s="15">
        <v>19276</v>
      </c>
      <c r="AL27" s="15">
        <v>19267</v>
      </c>
      <c r="AM27" s="15">
        <v>19259</v>
      </c>
      <c r="AN27" s="15">
        <v>19274</v>
      </c>
      <c r="AO27" s="15">
        <v>19248</v>
      </c>
      <c r="AP27" s="15">
        <v>19256</v>
      </c>
      <c r="AQ27" s="15">
        <v>19289</v>
      </c>
      <c r="AR27" s="15">
        <v>19228</v>
      </c>
      <c r="AS27" s="16">
        <v>7.13</v>
      </c>
      <c r="AT27" s="16">
        <v>7.22</v>
      </c>
      <c r="AU27" s="16">
        <v>7.2</v>
      </c>
      <c r="AV27" s="16">
        <v>7.2</v>
      </c>
      <c r="AW27" s="16">
        <v>6.86</v>
      </c>
      <c r="AX27" s="16">
        <v>6.84</v>
      </c>
      <c r="AY27" s="16">
        <v>7.63</v>
      </c>
      <c r="AZ27" s="16">
        <v>7.38</v>
      </c>
      <c r="BA27" s="16">
        <v>7.33</v>
      </c>
      <c r="BB27" s="16">
        <v>7.21</v>
      </c>
      <c r="BC27" s="16">
        <v>7.65</v>
      </c>
      <c r="BD27" s="16">
        <v>7.19</v>
      </c>
      <c r="BE27" s="16">
        <v>7.34</v>
      </c>
      <c r="BF27" s="16">
        <v>7.41</v>
      </c>
      <c r="BG27" s="16">
        <v>7.49</v>
      </c>
      <c r="BH27" s="16">
        <v>7.4</v>
      </c>
      <c r="BI27" s="16">
        <v>7.65</v>
      </c>
      <c r="BJ27" s="16">
        <v>7.28</v>
      </c>
      <c r="BK27" s="16">
        <v>8.0299999999999994</v>
      </c>
      <c r="BL27" s="16">
        <v>7.54</v>
      </c>
      <c r="BM27" s="16">
        <v>6.5</v>
      </c>
      <c r="BN27" s="16">
        <v>7.13</v>
      </c>
      <c r="BO27" s="16">
        <v>7.11</v>
      </c>
      <c r="BP27" s="16">
        <v>7.2</v>
      </c>
      <c r="BQ27" s="16">
        <v>6.69</v>
      </c>
      <c r="BR27" s="16">
        <v>6.89</v>
      </c>
      <c r="BS27" s="16">
        <v>6.85</v>
      </c>
      <c r="BT27" s="16">
        <v>0</v>
      </c>
      <c r="BU27" s="16">
        <v>7.3</v>
      </c>
      <c r="BV27" s="16">
        <v>0</v>
      </c>
      <c r="BW27" s="16">
        <v>6.26</v>
      </c>
      <c r="BX27" s="16">
        <v>6.56</v>
      </c>
      <c r="BY27" s="16">
        <v>6.37</v>
      </c>
      <c r="BZ27" s="16">
        <v>6.77</v>
      </c>
      <c r="CA27" s="16">
        <v>7.26</v>
      </c>
      <c r="CB27" s="16">
        <v>7.17</v>
      </c>
      <c r="CC27" s="16">
        <v>6.41</v>
      </c>
      <c r="CD27" s="16">
        <v>6.12</v>
      </c>
      <c r="CE27" s="16">
        <v>6.55</v>
      </c>
      <c r="CF27" s="17">
        <f>SUM(Input_Raw[[#This Row],[G01]:[G40]])</f>
        <v>752099</v>
      </c>
      <c r="CG27" s="18">
        <f>IFERROR(AVERAGE(Input_Raw[[#This Row],[WS_G01]:[WS_G40]]),"")</f>
        <v>6.7210256410256397</v>
      </c>
      <c r="CH27" s="19"/>
      <c r="CI27" s="19"/>
      <c r="CJ27" s="15">
        <v>239243</v>
      </c>
      <c r="CK27" s="15">
        <v>2168</v>
      </c>
      <c r="CL27" s="15">
        <v>279371</v>
      </c>
      <c r="CM27" s="15">
        <v>2197</v>
      </c>
      <c r="CN27" s="15">
        <v>255147</v>
      </c>
      <c r="CO27" s="15">
        <v>1805</v>
      </c>
      <c r="CP27" s="15">
        <v>290809</v>
      </c>
      <c r="CQ27" s="15">
        <v>1849</v>
      </c>
      <c r="CR27" s="91">
        <f>IF(((Input_Raw[[#This Row],[33 kV_Wind_F1_Export reading]]-CJ26)*1200)&gt;0,(Input_Raw[[#This Row],[33 kV_Wind_F1_Export reading]]-CJ26)*1200,0)</f>
        <v>192000</v>
      </c>
      <c r="CS27" s="91">
        <f>IF(((Input_Raw[[#This Row],[33 kV_Wind_F1_Import reading]]-CK26)*1200)&gt;0,(Input_Raw[[#This Row],[33 kV_Wind_F1_Import reading]]-CK26)*1200,0)</f>
        <v>0</v>
      </c>
      <c r="CT27" s="91">
        <f>IF(((Input_Raw[[#This Row],[33 kV_Wind_F2_Export_reading]]-CL26)*1200)&gt;0,(Input_Raw[[#This Row],[33 kV_Wind_F2_Export_reading]]-CL26)*1200,0)</f>
        <v>166800</v>
      </c>
      <c r="CU27" s="91">
        <f>IF(((Input_Raw[[#This Row],[33 kV_Wind_F2_Import_reading]]-CM26)*1200)&gt;0,(Input_Raw[[#This Row],[33 kV_Wind_F2_Import_reading]]-CM26)*1200,0)</f>
        <v>0</v>
      </c>
      <c r="CV27" s="91">
        <f>IF(((Input_Raw[[#This Row],[33 kV_Wind_F3_Export_Reading]]-CN26)*1200)&gt;0,(Input_Raw[[#This Row],[33 kV_Wind_F3_Export_Reading]]-CN26)*1200,0)</f>
        <v>182400</v>
      </c>
      <c r="CW27" s="91">
        <f>IF(((Input_Raw[[#This Row],[33 kV_Wind_F3_Import_Reading]]-CO26)*1200)&gt;0,(Input_Raw[[#This Row],[33 kV_Wind_F3_Import_Reading]]-CO26)*1200,0)</f>
        <v>0</v>
      </c>
      <c r="CX27" s="91">
        <f>IF(((Input_Raw[[#This Row],[33 kV_Wind_F4_Export Reading]]-CP26)*1200)&gt;0,(Input_Raw[[#This Row],[33 kV_Wind_F4_Export Reading]]-CP26)*1200,0)</f>
        <v>210000</v>
      </c>
      <c r="CY27" s="91">
        <f>IF(((Input_Raw[[#This Row],[33 kV_Wind_F4_Import Reading]]-CQ26)*1200)&gt;0,(Input_Raw[[#This Row],[33 kV_Wind_F4_Import Reading]]-CQ26)*1200,0)</f>
        <v>0</v>
      </c>
      <c r="CZ27" s="91">
        <f>Input_Raw[[#This Row],[33 kV_F1_Total_Export (KWh)]]+Input_Raw[[#This Row],[33 kV_F2_Total_Export (KWh)2]]+Input_Raw[[#This Row],[33 kV_Wind_F3_Export (KWh)]]+Input_Raw[[#This Row],[33 kV_Wind_F4_Export (KWh)]]</f>
        <v>751200</v>
      </c>
      <c r="DA27" s="91">
        <f>Input_Raw[[#This Row],[33 kV_Wind_F1_Import (KWh)]]+Input_Raw[[#This Row],[33 kV_Wind_F2_Import (KWh)]]+Input_Raw[[#This Row],[33 kV_Wind_F3_Import (KWh)2]]+Input_Raw[[#This Row],[33 kV_Wind_F4_Import (KWh)2]]</f>
        <v>0</v>
      </c>
      <c r="DB27" s="21">
        <f>IFERROR(1-Input_Raw[[#This Row],[33 kV_Wind_Total_Export (KWh)]]/Input_Raw[[#This Row],[WTG Total Gneration (KWh)]],0)</f>
        <v>1.1953213606187285E-3</v>
      </c>
      <c r="DC27" s="87">
        <v>96</v>
      </c>
      <c r="DD27" s="90">
        <v>191708</v>
      </c>
      <c r="DE27" s="102">
        <v>752.09</v>
      </c>
      <c r="DF27" s="99"/>
      <c r="DG27" s="101">
        <v>78</v>
      </c>
      <c r="DH27" s="167" t="s">
        <v>381</v>
      </c>
    </row>
    <row r="28" spans="1:112">
      <c r="A28" s="20">
        <f t="shared" si="3"/>
        <v>45768</v>
      </c>
      <c r="B28" s="12">
        <f>YEAR([1]!Input_Raw[[#This Row],[Date]])+IF(MONTH([1]!Input_Raw[[#This Row],[Date]])&gt;=4,1,0)</f>
        <v>2026</v>
      </c>
      <c r="C28" s="13">
        <f>YEAR([1]!Input_Raw[[#This Row],[Date]])</f>
        <v>2025</v>
      </c>
      <c r="D28" s="14">
        <f t="shared" si="2"/>
        <v>45748</v>
      </c>
      <c r="E28" s="13">
        <f>DAY(EOMONTH([1]!Input_Raw[[#This Row],[Date]],0))</f>
        <v>30</v>
      </c>
      <c r="F28" s="15">
        <v>8279</v>
      </c>
      <c r="G28" s="15">
        <v>8290</v>
      </c>
      <c r="H28" s="15">
        <v>8289</v>
      </c>
      <c r="I28" s="15">
        <v>8278</v>
      </c>
      <c r="J28" s="15">
        <v>8013</v>
      </c>
      <c r="K28" s="15">
        <v>8268</v>
      </c>
      <c r="L28" s="15">
        <v>8242</v>
      </c>
      <c r="M28" s="15">
        <v>8281</v>
      </c>
      <c r="N28" s="15">
        <v>7742</v>
      </c>
      <c r="O28" s="15">
        <v>8284</v>
      </c>
      <c r="P28" s="15">
        <v>8295</v>
      </c>
      <c r="Q28" s="15">
        <v>7748</v>
      </c>
      <c r="R28" s="15">
        <v>7732</v>
      </c>
      <c r="S28" s="15">
        <v>7753</v>
      </c>
      <c r="T28" s="15">
        <v>7759</v>
      </c>
      <c r="U28" s="15">
        <v>6349</v>
      </c>
      <c r="V28" s="15">
        <v>7749</v>
      </c>
      <c r="W28" s="15">
        <v>7736</v>
      </c>
      <c r="X28" s="15">
        <v>7782</v>
      </c>
      <c r="Y28" s="88">
        <v>7793</v>
      </c>
      <c r="Z28" s="15">
        <v>8051</v>
      </c>
      <c r="AA28" s="15">
        <v>8057</v>
      </c>
      <c r="AB28" s="15">
        <v>8003</v>
      </c>
      <c r="AC28" s="15">
        <v>8042</v>
      </c>
      <c r="AD28" s="15">
        <v>8284</v>
      </c>
      <c r="AE28" s="15">
        <v>8073</v>
      </c>
      <c r="AF28" s="15">
        <v>8034</v>
      </c>
      <c r="AG28" s="15">
        <v>0</v>
      </c>
      <c r="AH28" s="15">
        <v>8055</v>
      </c>
      <c r="AI28" s="15">
        <v>0</v>
      </c>
      <c r="AJ28" s="15">
        <v>8241</v>
      </c>
      <c r="AK28" s="15">
        <v>8417</v>
      </c>
      <c r="AL28" s="15">
        <v>8486</v>
      </c>
      <c r="AM28" s="15">
        <v>8494</v>
      </c>
      <c r="AN28" s="15">
        <v>8496</v>
      </c>
      <c r="AO28" s="15">
        <v>8452</v>
      </c>
      <c r="AP28" s="15">
        <v>8467</v>
      </c>
      <c r="AQ28" s="15">
        <v>8463</v>
      </c>
      <c r="AR28" s="15">
        <v>8257</v>
      </c>
      <c r="AS28" s="89">
        <v>5.8621319444444415</v>
      </c>
      <c r="AT28" s="16">
        <v>6.3055555555555545</v>
      </c>
      <c r="AU28" s="16">
        <v>5.2876624999999988</v>
      </c>
      <c r="AV28" s="16">
        <v>5.3705000000000007</v>
      </c>
      <c r="AW28" s="16">
        <v>5.0465361111111111</v>
      </c>
      <c r="AX28" s="16">
        <v>5.8957361111111117</v>
      </c>
      <c r="AY28" s="16">
        <v>5.8957361111111117</v>
      </c>
      <c r="AZ28" s="16">
        <v>5.8117013888888884</v>
      </c>
      <c r="BA28" s="16">
        <v>6.2648402777777781</v>
      </c>
      <c r="BB28" s="16">
        <v>4.8664374999999991</v>
      </c>
      <c r="BC28" s="16">
        <v>5.6271666666666667</v>
      </c>
      <c r="BD28" s="16">
        <v>5.7042083333333338</v>
      </c>
      <c r="BE28" s="16">
        <v>5.521229166666668</v>
      </c>
      <c r="BF28" s="16">
        <v>5.7344027777777802</v>
      </c>
      <c r="BG28" s="16">
        <v>6.0184652777777803</v>
      </c>
      <c r="BH28" s="16">
        <v>5.5627708333333317</v>
      </c>
      <c r="BI28" s="16">
        <v>6.2912430555555545</v>
      </c>
      <c r="BJ28" s="16">
        <v>5.945188888888886</v>
      </c>
      <c r="BK28" s="16">
        <v>6.109395833333334</v>
      </c>
      <c r="BL28" s="16">
        <v>6.4610694444444432</v>
      </c>
      <c r="BM28" s="16">
        <v>5.9728426086956548</v>
      </c>
      <c r="BN28" s="16">
        <v>4.9143090909090903</v>
      </c>
      <c r="BO28" s="16">
        <v>5.1144638888888885</v>
      </c>
      <c r="BP28" s="16">
        <v>5.3359777777777788</v>
      </c>
      <c r="BQ28" s="16">
        <v>5.0754985294117674</v>
      </c>
      <c r="BR28" s="16">
        <v>5.3434958333333338</v>
      </c>
      <c r="BS28" s="16">
        <v>5.0553076388888858</v>
      </c>
      <c r="BT28" s="16">
        <v>0</v>
      </c>
      <c r="BU28" s="16">
        <v>5</v>
      </c>
      <c r="BV28" s="16">
        <v>0</v>
      </c>
      <c r="BW28" s="16">
        <v>4.9429823529411756</v>
      </c>
      <c r="BX28" s="16">
        <v>4.9764632352941165</v>
      </c>
      <c r="BY28" s="16">
        <v>5.2576333333333336</v>
      </c>
      <c r="BZ28" s="16">
        <v>5.670325663716814</v>
      </c>
      <c r="CA28" s="16">
        <v>5.5863234234234236</v>
      </c>
      <c r="CB28" s="16">
        <v>5.4673336283185847</v>
      </c>
      <c r="CC28" s="16">
        <v>5.2683985294117646</v>
      </c>
      <c r="CD28" s="16">
        <v>5.2848022058823538</v>
      </c>
      <c r="CE28" s="16">
        <v>5.2838499999999984</v>
      </c>
      <c r="CF28" s="17">
        <f>SUM(Input_Raw[[#This Row],[G01]:[G40]])</f>
        <v>299034</v>
      </c>
      <c r="CG28" s="18">
        <f>IFERROR(AVERAGE(Input_Raw[[#This Row],[WS_G01]:[WS_G40]]),"")</f>
        <v>5.25979450046166</v>
      </c>
      <c r="CH28" s="19"/>
      <c r="CI28" s="19"/>
      <c r="CJ28" s="15">
        <v>239312</v>
      </c>
      <c r="CK28" s="15">
        <v>2169</v>
      </c>
      <c r="CL28" s="15">
        <v>279424</v>
      </c>
      <c r="CM28" s="15">
        <v>2198</v>
      </c>
      <c r="CN28" s="15">
        <v>255208</v>
      </c>
      <c r="CO28" s="15">
        <v>1805</v>
      </c>
      <c r="CP28" s="15">
        <v>290869</v>
      </c>
      <c r="CQ28" s="15">
        <v>1849</v>
      </c>
      <c r="CR28" s="91">
        <f>IF(((Input_Raw[[#This Row],[33 kV_Wind_F1_Export reading]]-CJ27)*1200)&gt;0,(Input_Raw[[#This Row],[33 kV_Wind_F1_Export reading]]-CJ27)*1200,0)</f>
        <v>82800</v>
      </c>
      <c r="CS28" s="91">
        <f>IF(((Input_Raw[[#This Row],[33 kV_Wind_F1_Import reading]]-CK27)*1200)&gt;0,(Input_Raw[[#This Row],[33 kV_Wind_F1_Import reading]]-CK27)*1200,0)</f>
        <v>1200</v>
      </c>
      <c r="CT28" s="91">
        <f>IF(((Input_Raw[[#This Row],[33 kV_Wind_F2_Export_reading]]-CL27)*1200)&gt;0,(Input_Raw[[#This Row],[33 kV_Wind_F2_Export_reading]]-CL27)*1200,0)</f>
        <v>63600</v>
      </c>
      <c r="CU28" s="91">
        <f>IF(((Input_Raw[[#This Row],[33 kV_Wind_F2_Import_reading]]-CM27)*1200)&gt;0,(Input_Raw[[#This Row],[33 kV_Wind_F2_Import_reading]]-CM27)*1200,0)</f>
        <v>1200</v>
      </c>
      <c r="CV28" s="91">
        <f>IF(((Input_Raw[[#This Row],[33 kV_Wind_F3_Export_Reading]]-CN27)*1200)&gt;0,(Input_Raw[[#This Row],[33 kV_Wind_F3_Export_Reading]]-CN27)*1200,0)</f>
        <v>73200</v>
      </c>
      <c r="CW28" s="91">
        <f>IF(((Input_Raw[[#This Row],[33 kV_Wind_F3_Import_Reading]]-CO27)*1200)&gt;0,(Input_Raw[[#This Row],[33 kV_Wind_F3_Import_Reading]]-CO27)*1200,0)</f>
        <v>0</v>
      </c>
      <c r="CX28" s="91">
        <f>IF(((Input_Raw[[#This Row],[33 kV_Wind_F4_Export Reading]]-CP27)*1200)&gt;0,(Input_Raw[[#This Row],[33 kV_Wind_F4_Export Reading]]-CP27)*1200,0)</f>
        <v>72000</v>
      </c>
      <c r="CY28" s="91">
        <f>IF(((Input_Raw[[#This Row],[33 kV_Wind_F4_Import Reading]]-CQ27)*1200)&gt;0,(Input_Raw[[#This Row],[33 kV_Wind_F4_Import Reading]]-CQ27)*1200,0)</f>
        <v>0</v>
      </c>
      <c r="CZ28" s="91">
        <f>Input_Raw[[#This Row],[33 kV_F1_Total_Export (KWh)]]+Input_Raw[[#This Row],[33 kV_F2_Total_Export (KWh)2]]+Input_Raw[[#This Row],[33 kV_Wind_F3_Export (KWh)]]+Input_Raw[[#This Row],[33 kV_Wind_F4_Export (KWh)]]</f>
        <v>291600</v>
      </c>
      <c r="DA28" s="91">
        <f>Input_Raw[[#This Row],[33 kV_Wind_F1_Import (KWh)]]+Input_Raw[[#This Row],[33 kV_Wind_F2_Import (KWh)]]+Input_Raw[[#This Row],[33 kV_Wind_F3_Import (KWh)2]]+Input_Raw[[#This Row],[33 kV_Wind_F4_Import (KWh)2]]</f>
        <v>2400</v>
      </c>
      <c r="DB28" s="21">
        <f>IFERROR(1-Input_Raw[[#This Row],[33 kV_Wind_Total_Export (KWh)]]/Input_Raw[[#This Row],[WTG Total Gneration (KWh)]],0)</f>
        <v>2.4860049358935821E-2</v>
      </c>
      <c r="DC28" s="87">
        <v>95</v>
      </c>
      <c r="DD28" s="90">
        <v>78346</v>
      </c>
      <c r="DE28" s="102">
        <v>299.02999999999997</v>
      </c>
      <c r="DF28" s="99"/>
      <c r="DG28" s="101">
        <v>78</v>
      </c>
      <c r="DH28" s="167" t="s">
        <v>381</v>
      </c>
    </row>
    <row r="29" spans="1:112">
      <c r="A29" s="20">
        <f t="shared" si="3"/>
        <v>45769</v>
      </c>
      <c r="B29" s="12">
        <f>YEAR([1]!Input_Raw[[#This Row],[Date]])+IF(MONTH([1]!Input_Raw[[#This Row],[Date]])&gt;=4,1,0)</f>
        <v>2026</v>
      </c>
      <c r="C29" s="13">
        <f>YEAR([1]!Input_Raw[[#This Row],[Date]])</f>
        <v>2025</v>
      </c>
      <c r="D29" s="14">
        <f t="shared" si="2"/>
        <v>45748</v>
      </c>
      <c r="E29" s="13">
        <f>DAY(EOMONTH([1]!Input_Raw[[#This Row],[Date]],0))</f>
        <v>30</v>
      </c>
      <c r="F29" s="15">
        <v>4363</v>
      </c>
      <c r="G29" s="15">
        <v>4335</v>
      </c>
      <c r="H29" s="15">
        <v>4367</v>
      </c>
      <c r="I29" s="15">
        <v>4342</v>
      </c>
      <c r="J29" s="15">
        <v>6344</v>
      </c>
      <c r="K29" s="15">
        <v>4051</v>
      </c>
      <c r="L29" s="15">
        <v>4375</v>
      </c>
      <c r="M29" s="15">
        <v>4365</v>
      </c>
      <c r="N29" s="15">
        <v>6342</v>
      </c>
      <c r="O29" s="15">
        <v>4379</v>
      </c>
      <c r="P29" s="15">
        <v>4395</v>
      </c>
      <c r="Q29" s="15">
        <v>6356</v>
      </c>
      <c r="R29" s="15">
        <v>5538</v>
      </c>
      <c r="S29" s="15">
        <v>6342</v>
      </c>
      <c r="T29" s="15">
        <v>6367</v>
      </c>
      <c r="U29" s="15">
        <v>6321</v>
      </c>
      <c r="V29" s="15">
        <v>6376</v>
      </c>
      <c r="W29" s="15">
        <v>6372</v>
      </c>
      <c r="X29" s="15">
        <v>6398</v>
      </c>
      <c r="Y29" s="15">
        <v>6392</v>
      </c>
      <c r="Z29" s="15">
        <v>6356</v>
      </c>
      <c r="AA29" s="15">
        <v>5989</v>
      </c>
      <c r="AB29" s="15">
        <v>6347</v>
      </c>
      <c r="AC29" s="15">
        <v>6375</v>
      </c>
      <c r="AD29" s="88">
        <v>6450</v>
      </c>
      <c r="AE29" s="15">
        <v>6358</v>
      </c>
      <c r="AF29" s="15">
        <v>6332</v>
      </c>
      <c r="AG29" s="15">
        <v>0</v>
      </c>
      <c r="AH29" s="15">
        <v>6349</v>
      </c>
      <c r="AI29" s="15">
        <v>0</v>
      </c>
      <c r="AJ29" s="15">
        <v>5579</v>
      </c>
      <c r="AK29" s="15">
        <v>5595</v>
      </c>
      <c r="AL29" s="15">
        <v>6487</v>
      </c>
      <c r="AM29" s="15">
        <v>6431</v>
      </c>
      <c r="AN29" s="15">
        <v>6458</v>
      </c>
      <c r="AO29" s="15">
        <v>6435</v>
      </c>
      <c r="AP29" s="15">
        <v>6479</v>
      </c>
      <c r="AQ29" s="15">
        <v>6482</v>
      </c>
      <c r="AR29" s="15">
        <v>6474</v>
      </c>
      <c r="AS29" s="16">
        <v>4.58</v>
      </c>
      <c r="AT29" s="16">
        <v>4.46</v>
      </c>
      <c r="AU29" s="16">
        <v>3.97</v>
      </c>
      <c r="AV29" s="16">
        <v>4.1500000000000004</v>
      </c>
      <c r="AW29" s="16">
        <v>3.78</v>
      </c>
      <c r="AX29" s="16">
        <v>4.38</v>
      </c>
      <c r="AY29" s="16">
        <v>4.4000000000000004</v>
      </c>
      <c r="AZ29" s="16">
        <v>4.13</v>
      </c>
      <c r="BA29" s="16">
        <v>4.08</v>
      </c>
      <c r="BB29" s="16">
        <v>3.95</v>
      </c>
      <c r="BC29" s="16">
        <v>4.01</v>
      </c>
      <c r="BD29" s="16">
        <v>4.04</v>
      </c>
      <c r="BE29" s="16">
        <v>3.98</v>
      </c>
      <c r="BF29" s="16">
        <v>3.84</v>
      </c>
      <c r="BG29" s="16">
        <v>3.92</v>
      </c>
      <c r="BH29" s="16">
        <v>3.95</v>
      </c>
      <c r="BI29" s="16">
        <v>4.1500000000000004</v>
      </c>
      <c r="BJ29" s="16">
        <v>4.01</v>
      </c>
      <c r="BK29" s="16">
        <v>3.99</v>
      </c>
      <c r="BL29" s="16">
        <v>4.01</v>
      </c>
      <c r="BM29" s="16">
        <v>3.76</v>
      </c>
      <c r="BN29" s="16">
        <v>3.87</v>
      </c>
      <c r="BO29" s="16">
        <v>3.95</v>
      </c>
      <c r="BP29" s="16">
        <v>4.26</v>
      </c>
      <c r="BQ29" s="16">
        <v>4.2</v>
      </c>
      <c r="BR29" s="16">
        <v>4.22</v>
      </c>
      <c r="BS29" s="16">
        <v>4.21</v>
      </c>
      <c r="BT29" s="16">
        <v>0</v>
      </c>
      <c r="BU29" s="16">
        <v>5.44</v>
      </c>
      <c r="BV29" s="16">
        <v>0</v>
      </c>
      <c r="BW29" s="16">
        <v>4.17</v>
      </c>
      <c r="BX29" s="16">
        <v>4.1500000000000004</v>
      </c>
      <c r="BY29" s="16">
        <v>4.32</v>
      </c>
      <c r="BZ29" s="16">
        <v>4.55</v>
      </c>
      <c r="CA29" s="16">
        <v>6.32</v>
      </c>
      <c r="CB29" s="16">
        <v>4.45</v>
      </c>
      <c r="CC29" s="16">
        <v>4.87</v>
      </c>
      <c r="CD29" s="16">
        <v>4.3099999999999996</v>
      </c>
      <c r="CE29" s="16">
        <v>5.39</v>
      </c>
      <c r="CF29" s="17">
        <f>SUM(Input_Raw[[#This Row],[G01]:[G40]])</f>
        <v>215096</v>
      </c>
      <c r="CG29" s="18">
        <f>IFERROR(AVERAGE(Input_Raw[[#This Row],[WS_G01]:[WS_G40]]),"")</f>
        <v>4.056923076923078</v>
      </c>
      <c r="CH29" s="19"/>
      <c r="CI29" s="19"/>
      <c r="CJ29" s="15">
        <v>239364</v>
      </c>
      <c r="CK29" s="15">
        <v>2169</v>
      </c>
      <c r="CL29" s="15">
        <v>279466</v>
      </c>
      <c r="CM29" s="15">
        <v>2198</v>
      </c>
      <c r="CN29" s="15">
        <v>255240</v>
      </c>
      <c r="CO29" s="15">
        <v>1805</v>
      </c>
      <c r="CP29" s="15">
        <v>290921</v>
      </c>
      <c r="CQ29" s="15">
        <v>1850</v>
      </c>
      <c r="CR29" s="91">
        <f>IF(((Input_Raw[[#This Row],[33 kV_Wind_F1_Export reading]]-CJ28)*1200)&gt;0,(Input_Raw[[#This Row],[33 kV_Wind_F1_Export reading]]-CJ28)*1200,0)</f>
        <v>62400</v>
      </c>
      <c r="CS29" s="91">
        <f>IF(((Input_Raw[[#This Row],[33 kV_Wind_F1_Import reading]]-CK28)*1200)&gt;0,(Input_Raw[[#This Row],[33 kV_Wind_F1_Import reading]]-CK28)*1200,0)</f>
        <v>0</v>
      </c>
      <c r="CT29" s="91">
        <f>IF(((Input_Raw[[#This Row],[33 kV_Wind_F2_Export_reading]]-CL28)*1200)&gt;0,(Input_Raw[[#This Row],[33 kV_Wind_F2_Export_reading]]-CL28)*1200,0)</f>
        <v>50400</v>
      </c>
      <c r="CU29" s="91">
        <f>IF(((Input_Raw[[#This Row],[33 kV_Wind_F2_Import_reading]]-CM28)*1200)&gt;0,(Input_Raw[[#This Row],[33 kV_Wind_F2_Import_reading]]-CM28)*1200,0)</f>
        <v>0</v>
      </c>
      <c r="CV29" s="91">
        <f>IF(((Input_Raw[[#This Row],[33 kV_Wind_F3_Export_Reading]]-CN28)*1200)&gt;0,(Input_Raw[[#This Row],[33 kV_Wind_F3_Export_Reading]]-CN28)*1200,0)</f>
        <v>38400</v>
      </c>
      <c r="CW29" s="91">
        <f>IF(((Input_Raw[[#This Row],[33 kV_Wind_F3_Import_Reading]]-CO28)*1200)&gt;0,(Input_Raw[[#This Row],[33 kV_Wind_F3_Import_Reading]]-CO28)*1200,0)</f>
        <v>0</v>
      </c>
      <c r="CX29" s="91">
        <f>IF(((Input_Raw[[#This Row],[33 kV_Wind_F4_Export Reading]]-CP28)*1200)&gt;0,(Input_Raw[[#This Row],[33 kV_Wind_F4_Export Reading]]-CP28)*1200,0)</f>
        <v>62400</v>
      </c>
      <c r="CY29" s="91">
        <f>IF(((Input_Raw[[#This Row],[33 kV_Wind_F4_Import Reading]]-CQ28)*1200)&gt;0,(Input_Raw[[#This Row],[33 kV_Wind_F4_Import Reading]]-CQ28)*1200,0)</f>
        <v>1200</v>
      </c>
      <c r="CZ29" s="91">
        <f>Input_Raw[[#This Row],[33 kV_F1_Total_Export (KWh)]]+Input_Raw[[#This Row],[33 kV_F2_Total_Export (KWh)2]]+Input_Raw[[#This Row],[33 kV_Wind_F3_Export (KWh)]]+Input_Raw[[#This Row],[33 kV_Wind_F4_Export (KWh)]]</f>
        <v>213600</v>
      </c>
      <c r="DA29" s="91">
        <f>Input_Raw[[#This Row],[33 kV_Wind_F1_Import (KWh)]]+Input_Raw[[#This Row],[33 kV_Wind_F2_Import (KWh)]]+Input_Raw[[#This Row],[33 kV_Wind_F3_Import (KWh)2]]+Input_Raw[[#This Row],[33 kV_Wind_F4_Import (KWh)2]]</f>
        <v>1200</v>
      </c>
      <c r="DB29" s="21">
        <f>IFERROR(1-Input_Raw[[#This Row],[33 kV_Wind_Total_Export (KWh)]]/Input_Raw[[#This Row],[WTG Total Gneration (KWh)]],0)</f>
        <v>6.955034031316254E-3</v>
      </c>
      <c r="DC29" s="87">
        <v>96</v>
      </c>
      <c r="DD29" s="90">
        <v>29652</v>
      </c>
      <c r="DE29" s="102">
        <v>215.09</v>
      </c>
      <c r="DF29" s="99"/>
      <c r="DG29" s="101">
        <v>78</v>
      </c>
      <c r="DH29" s="167" t="s">
        <v>381</v>
      </c>
    </row>
    <row r="30" spans="1:112">
      <c r="A30" s="20">
        <f t="shared" si="3"/>
        <v>45770</v>
      </c>
      <c r="B30" s="12">
        <f>YEAR([1]!Input_Raw[[#This Row],[Date]])+IF(MONTH([1]!Input_Raw[[#This Row],[Date]])&gt;=4,1,0)</f>
        <v>2026</v>
      </c>
      <c r="C30" s="13">
        <f>YEAR([1]!Input_Raw[[#This Row],[Date]])</f>
        <v>2025</v>
      </c>
      <c r="D30" s="14">
        <f t="shared" si="2"/>
        <v>45748</v>
      </c>
      <c r="E30" s="13">
        <f>DAY(EOMONTH([1]!Input_Raw[[#This Row],[Date]],0))</f>
        <v>30</v>
      </c>
      <c r="F30" s="15">
        <v>3742</v>
      </c>
      <c r="G30" s="15">
        <v>3758</v>
      </c>
      <c r="H30" s="15">
        <v>3745</v>
      </c>
      <c r="I30" s="15">
        <v>3742</v>
      </c>
      <c r="J30" s="15">
        <v>3153</v>
      </c>
      <c r="K30" s="15">
        <v>3164</v>
      </c>
      <c r="L30" s="15">
        <v>3746</v>
      </c>
      <c r="M30" s="15">
        <v>3789</v>
      </c>
      <c r="N30" s="15">
        <v>3923</v>
      </c>
      <c r="O30" s="15">
        <v>3754</v>
      </c>
      <c r="P30" s="15">
        <v>3784</v>
      </c>
      <c r="Q30" s="15">
        <v>3942</v>
      </c>
      <c r="R30" s="15">
        <v>3956</v>
      </c>
      <c r="S30" s="15">
        <v>3932</v>
      </c>
      <c r="T30" s="15">
        <v>3951</v>
      </c>
      <c r="U30" s="15">
        <v>3956</v>
      </c>
      <c r="V30" s="15">
        <v>3973</v>
      </c>
      <c r="W30" s="15">
        <v>3957</v>
      </c>
      <c r="X30" s="15">
        <v>3521</v>
      </c>
      <c r="Y30" s="15">
        <v>3989</v>
      </c>
      <c r="Z30" s="15">
        <v>3158</v>
      </c>
      <c r="AA30" s="15">
        <v>3021</v>
      </c>
      <c r="AB30" s="15">
        <v>3153</v>
      </c>
      <c r="AC30" s="15">
        <v>2680</v>
      </c>
      <c r="AD30" s="15">
        <v>3102</v>
      </c>
      <c r="AE30" s="15">
        <v>3157</v>
      </c>
      <c r="AF30" s="15">
        <v>3178</v>
      </c>
      <c r="AG30" s="15">
        <v>0</v>
      </c>
      <c r="AH30" s="15">
        <v>3167</v>
      </c>
      <c r="AI30" s="15">
        <v>0</v>
      </c>
      <c r="AJ30" s="15">
        <v>2859</v>
      </c>
      <c r="AK30" s="15">
        <v>3123</v>
      </c>
      <c r="AL30" s="15">
        <v>3124</v>
      </c>
      <c r="AM30" s="15">
        <v>3154</v>
      </c>
      <c r="AN30" s="15">
        <v>3157</v>
      </c>
      <c r="AO30" s="15">
        <v>3185</v>
      </c>
      <c r="AP30" s="15">
        <v>3136</v>
      </c>
      <c r="AQ30" s="15">
        <v>3174</v>
      </c>
      <c r="AR30" s="15">
        <v>3162</v>
      </c>
      <c r="AS30" s="16">
        <v>3.93</v>
      </c>
      <c r="AT30" s="16">
        <v>3.99</v>
      </c>
      <c r="AU30" s="16">
        <v>3.9</v>
      </c>
      <c r="AV30" s="16">
        <v>3.78</v>
      </c>
      <c r="AW30" s="16">
        <v>3.4</v>
      </c>
      <c r="AX30" s="16">
        <v>4.13</v>
      </c>
      <c r="AY30" s="16">
        <v>3.8</v>
      </c>
      <c r="AZ30" s="16">
        <v>3.5</v>
      </c>
      <c r="BA30" s="16">
        <v>3.76</v>
      </c>
      <c r="BB30" s="16">
        <v>3.86</v>
      </c>
      <c r="BC30" s="16">
        <v>4.0599999999999996</v>
      </c>
      <c r="BD30" s="16">
        <v>3.98</v>
      </c>
      <c r="BE30" s="16">
        <v>4.04</v>
      </c>
      <c r="BF30" s="16">
        <v>4.03</v>
      </c>
      <c r="BG30" s="16">
        <v>3.88</v>
      </c>
      <c r="BH30" s="16">
        <v>3.99</v>
      </c>
      <c r="BI30" s="16">
        <v>3.41</v>
      </c>
      <c r="BJ30" s="16">
        <v>4.09</v>
      </c>
      <c r="BK30" s="16">
        <v>4.29</v>
      </c>
      <c r="BL30" s="16">
        <v>4.0599999999999996</v>
      </c>
      <c r="BM30" s="16">
        <v>3.02</v>
      </c>
      <c r="BN30" s="16">
        <v>3.75</v>
      </c>
      <c r="BO30" s="16">
        <v>3.14</v>
      </c>
      <c r="BP30" s="16">
        <v>3.53</v>
      </c>
      <c r="BQ30" s="16">
        <v>3.01</v>
      </c>
      <c r="BR30" s="16">
        <v>3.42</v>
      </c>
      <c r="BS30" s="16">
        <v>3.48</v>
      </c>
      <c r="BT30" s="16">
        <v>0</v>
      </c>
      <c r="BU30" s="16">
        <v>3.31</v>
      </c>
      <c r="BV30" s="16">
        <v>0</v>
      </c>
      <c r="BW30" s="16">
        <v>3.29</v>
      </c>
      <c r="BX30" s="16">
        <v>3.51</v>
      </c>
      <c r="BY30" s="16">
        <v>3.38</v>
      </c>
      <c r="BZ30" s="16">
        <v>3.42</v>
      </c>
      <c r="CA30" s="16">
        <v>3.69</v>
      </c>
      <c r="CB30" s="16">
        <v>3.98</v>
      </c>
      <c r="CC30" s="16">
        <v>3.43</v>
      </c>
      <c r="CD30" s="16">
        <v>3.41</v>
      </c>
      <c r="CE30" s="16">
        <v>3.47</v>
      </c>
      <c r="CF30" s="17">
        <f>SUM(Input_Raw[[#This Row],[G01]:[G40]])</f>
        <v>128167</v>
      </c>
      <c r="CG30" s="18">
        <f>IFERROR(AVERAGE(Input_Raw[[#This Row],[WS_G01]:[WS_G40]]),"")</f>
        <v>3.4902564102564111</v>
      </c>
      <c r="CH30" s="19"/>
      <c r="CI30" s="19"/>
      <c r="CJ30" s="15">
        <v>239389</v>
      </c>
      <c r="CK30" s="15">
        <v>2170</v>
      </c>
      <c r="CL30" s="15">
        <v>279486</v>
      </c>
      <c r="CM30" s="15">
        <v>2199</v>
      </c>
      <c r="CN30" s="15">
        <v>255268</v>
      </c>
      <c r="CO30" s="15">
        <v>1806</v>
      </c>
      <c r="CP30" s="15">
        <v>290953</v>
      </c>
      <c r="CQ30" s="15">
        <v>1851</v>
      </c>
      <c r="CR30" s="91">
        <f>IF(((Input_Raw[[#This Row],[33 kV_Wind_F1_Export reading]]-CJ29)*1200)&gt;0,(Input_Raw[[#This Row],[33 kV_Wind_F1_Export reading]]-CJ29)*1200,0)</f>
        <v>30000</v>
      </c>
      <c r="CS30" s="91">
        <f>IF(((Input_Raw[[#This Row],[33 kV_Wind_F1_Import reading]]-CK29)*1200)&gt;0,(Input_Raw[[#This Row],[33 kV_Wind_F1_Import reading]]-CK29)*1200,0)</f>
        <v>1200</v>
      </c>
      <c r="CT30" s="91">
        <f>IF(((Input_Raw[[#This Row],[33 kV_Wind_F2_Export_reading]]-CL29)*1200)&gt;0,(Input_Raw[[#This Row],[33 kV_Wind_F2_Export_reading]]-CL29)*1200,0)</f>
        <v>24000</v>
      </c>
      <c r="CU30" s="91">
        <f>IF(((Input_Raw[[#This Row],[33 kV_Wind_F2_Import_reading]]-CM29)*1200)&gt;0,(Input_Raw[[#This Row],[33 kV_Wind_F2_Import_reading]]-CM29)*1200,0)</f>
        <v>1200</v>
      </c>
      <c r="CV30" s="91">
        <f>IF(((Input_Raw[[#This Row],[33 kV_Wind_F3_Export_Reading]]-CN29)*1200)&gt;0,(Input_Raw[[#This Row],[33 kV_Wind_F3_Export_Reading]]-CN29)*1200,0)</f>
        <v>33600</v>
      </c>
      <c r="CW30" s="91">
        <f>IF(((Input_Raw[[#This Row],[33 kV_Wind_F3_Import_Reading]]-CO29)*1200)&gt;0,(Input_Raw[[#This Row],[33 kV_Wind_F3_Import_Reading]]-CO29)*1200,0)</f>
        <v>1200</v>
      </c>
      <c r="CX30" s="91">
        <f>IF(((Input_Raw[[#This Row],[33 kV_Wind_F4_Export Reading]]-CP29)*1200)&gt;0,(Input_Raw[[#This Row],[33 kV_Wind_F4_Export Reading]]-CP29)*1200,0)</f>
        <v>38400</v>
      </c>
      <c r="CY30" s="91">
        <f>IF(((Input_Raw[[#This Row],[33 kV_Wind_F4_Import Reading]]-CQ29)*1200)&gt;0,(Input_Raw[[#This Row],[33 kV_Wind_F4_Import Reading]]-CQ29)*1200,0)</f>
        <v>1200</v>
      </c>
      <c r="CZ30" s="91">
        <f>Input_Raw[[#This Row],[33 kV_F1_Total_Export (KWh)]]+Input_Raw[[#This Row],[33 kV_F2_Total_Export (KWh)2]]+Input_Raw[[#This Row],[33 kV_Wind_F3_Export (KWh)]]+Input_Raw[[#This Row],[33 kV_Wind_F4_Export (KWh)]]</f>
        <v>126000</v>
      </c>
      <c r="DA30" s="91">
        <f>Input_Raw[[#This Row],[33 kV_Wind_F1_Import (KWh)]]+Input_Raw[[#This Row],[33 kV_Wind_F2_Import (KWh)]]+Input_Raw[[#This Row],[33 kV_Wind_F3_Import (KWh)2]]+Input_Raw[[#This Row],[33 kV_Wind_F4_Import (KWh)2]]</f>
        <v>4800</v>
      </c>
      <c r="DB30" s="21">
        <f>IFERROR(1-Input_Raw[[#This Row],[33 kV_Wind_Total_Export (KWh)]]/Input_Raw[[#This Row],[WTG Total Gneration (KWh)]],0)</f>
        <v>1.6907628328664992E-2</v>
      </c>
      <c r="DC30" s="87">
        <v>90</v>
      </c>
      <c r="DD30" s="90">
        <v>5922</v>
      </c>
      <c r="DE30" s="102">
        <v>128.16</v>
      </c>
      <c r="DF30" s="99"/>
      <c r="DG30" s="101">
        <v>78</v>
      </c>
      <c r="DH30" s="167" t="s">
        <v>381</v>
      </c>
    </row>
    <row r="31" spans="1:112">
      <c r="A31" s="20">
        <f t="shared" si="3"/>
        <v>45771</v>
      </c>
      <c r="B31" s="12">
        <f>YEAR([1]!Input_Raw[[#This Row],[Date]])+IF(MONTH([1]!Input_Raw[[#This Row],[Date]])&gt;=4,1,0)</f>
        <v>2026</v>
      </c>
      <c r="C31" s="13">
        <f>YEAR([1]!Input_Raw[[#This Row],[Date]])</f>
        <v>2025</v>
      </c>
      <c r="D31" s="14">
        <f t="shared" si="2"/>
        <v>45748</v>
      </c>
      <c r="E31" s="13">
        <f>DAY(EOMONTH([1]!Input_Raw[[#This Row],[Date]],0))</f>
        <v>30</v>
      </c>
      <c r="F31" s="15">
        <v>5021</v>
      </c>
      <c r="G31" s="15">
        <v>5279</v>
      </c>
      <c r="H31" s="15">
        <v>5297</v>
      </c>
      <c r="I31" s="15">
        <v>5278</v>
      </c>
      <c r="J31" s="15">
        <v>5423</v>
      </c>
      <c r="K31" s="15">
        <v>5289</v>
      </c>
      <c r="L31" s="15">
        <v>5267</v>
      </c>
      <c r="M31" s="15">
        <v>5243</v>
      </c>
      <c r="N31" s="15">
        <v>4434</v>
      </c>
      <c r="O31" s="15">
        <v>5276</v>
      </c>
      <c r="P31" s="15">
        <v>5292</v>
      </c>
      <c r="Q31" s="15">
        <v>4432</v>
      </c>
      <c r="R31" s="15">
        <v>4452</v>
      </c>
      <c r="S31" s="15">
        <v>4457</v>
      </c>
      <c r="T31" s="15">
        <v>4432</v>
      </c>
      <c r="U31" s="15">
        <v>4475</v>
      </c>
      <c r="V31" s="15">
        <v>4478</v>
      </c>
      <c r="W31" s="15">
        <v>4472</v>
      </c>
      <c r="X31" s="15">
        <v>4489</v>
      </c>
      <c r="Y31" s="15">
        <v>4498</v>
      </c>
      <c r="Z31" s="15">
        <v>5490</v>
      </c>
      <c r="AA31" s="15">
        <v>5289</v>
      </c>
      <c r="AB31" s="15">
        <v>5489</v>
      </c>
      <c r="AC31" s="15">
        <v>5467</v>
      </c>
      <c r="AD31" s="15">
        <v>6041</v>
      </c>
      <c r="AE31" s="15">
        <v>5472</v>
      </c>
      <c r="AF31" s="15">
        <v>5484</v>
      </c>
      <c r="AG31" s="15">
        <v>0</v>
      </c>
      <c r="AH31" s="15">
        <v>5479</v>
      </c>
      <c r="AI31" s="15">
        <v>0</v>
      </c>
      <c r="AJ31" s="15">
        <v>7158</v>
      </c>
      <c r="AK31" s="15">
        <v>7169</v>
      </c>
      <c r="AL31" s="15">
        <v>7184</v>
      </c>
      <c r="AM31" s="15">
        <v>7167</v>
      </c>
      <c r="AN31" s="15">
        <v>7172</v>
      </c>
      <c r="AO31" s="15">
        <v>7182</v>
      </c>
      <c r="AP31" s="15">
        <v>7156</v>
      </c>
      <c r="AQ31" s="15">
        <v>6258</v>
      </c>
      <c r="AR31" s="15">
        <v>6021</v>
      </c>
      <c r="AS31" s="16">
        <v>4.33</v>
      </c>
      <c r="AT31" s="16">
        <v>4.54</v>
      </c>
      <c r="AU31" s="16">
        <v>4.49</v>
      </c>
      <c r="AV31" s="16">
        <v>4.18</v>
      </c>
      <c r="AW31" s="16">
        <v>4.2699999999999996</v>
      </c>
      <c r="AX31" s="16">
        <v>4.8899999999999997</v>
      </c>
      <c r="AY31" s="16">
        <v>4.38</v>
      </c>
      <c r="AZ31" s="16">
        <v>4.32</v>
      </c>
      <c r="BA31" s="16">
        <v>4.4400000000000004</v>
      </c>
      <c r="BB31" s="16">
        <v>4.47</v>
      </c>
      <c r="BC31" s="16">
        <v>4.8899999999999997</v>
      </c>
      <c r="BD31" s="16">
        <v>4.4800000000000004</v>
      </c>
      <c r="BE31" s="16">
        <v>4.5</v>
      </c>
      <c r="BF31" s="16">
        <v>4.5</v>
      </c>
      <c r="BG31" s="16">
        <v>4.37</v>
      </c>
      <c r="BH31" s="16">
        <v>4.5</v>
      </c>
      <c r="BI31" s="16">
        <v>4.41</v>
      </c>
      <c r="BJ31" s="16">
        <v>4.67</v>
      </c>
      <c r="BK31" s="16">
        <v>5.98</v>
      </c>
      <c r="BL31" s="16">
        <v>5.16</v>
      </c>
      <c r="BM31" s="16">
        <v>4.2</v>
      </c>
      <c r="BN31" s="16">
        <v>4.72</v>
      </c>
      <c r="BO31" s="16">
        <v>4.05</v>
      </c>
      <c r="BP31" s="16">
        <v>4.62</v>
      </c>
      <c r="BQ31" s="16">
        <v>4.45</v>
      </c>
      <c r="BR31" s="16">
        <v>4.26</v>
      </c>
      <c r="BS31" s="16">
        <v>4.37</v>
      </c>
      <c r="BT31" s="16">
        <v>0</v>
      </c>
      <c r="BU31" s="16">
        <v>4.93</v>
      </c>
      <c r="BV31" s="16">
        <v>0</v>
      </c>
      <c r="BW31" s="16">
        <v>4.07</v>
      </c>
      <c r="BX31" s="16">
        <v>4.82</v>
      </c>
      <c r="BY31" s="16">
        <v>4.43</v>
      </c>
      <c r="BZ31" s="16">
        <v>4.2699999999999996</v>
      </c>
      <c r="CA31" s="16">
        <v>4.59</v>
      </c>
      <c r="CB31" s="16">
        <v>4.5</v>
      </c>
      <c r="CC31" s="16">
        <v>4.33</v>
      </c>
      <c r="CD31" s="16">
        <v>4.5</v>
      </c>
      <c r="CE31" s="16">
        <v>4.5999999999999996</v>
      </c>
      <c r="CF31" s="17">
        <f>SUM(Input_Raw[[#This Row],[G01]:[G40]])</f>
        <v>203962</v>
      </c>
      <c r="CG31" s="18">
        <f>IFERROR(AVERAGE(Input_Raw[[#This Row],[WS_G01]:[WS_G40]]),"")</f>
        <v>4.2943589743589747</v>
      </c>
      <c r="CH31" s="19"/>
      <c r="CI31" s="19"/>
      <c r="CJ31" s="15">
        <v>239445</v>
      </c>
      <c r="CK31" s="15">
        <v>2170</v>
      </c>
      <c r="CL31" s="15">
        <v>279521</v>
      </c>
      <c r="CM31" s="15">
        <v>2200</v>
      </c>
      <c r="CN31" s="15">
        <v>255306</v>
      </c>
      <c r="CO31" s="15">
        <v>1806</v>
      </c>
      <c r="CP31" s="15">
        <v>290989</v>
      </c>
      <c r="CQ31" s="15">
        <v>1851</v>
      </c>
      <c r="CR31" s="91">
        <f>IF(((Input_Raw[[#This Row],[33 kV_Wind_F1_Export reading]]-CJ30)*1200)&gt;0,(Input_Raw[[#This Row],[33 kV_Wind_F1_Export reading]]-CJ30)*1200,0)</f>
        <v>67200</v>
      </c>
      <c r="CS31" s="91">
        <f>IF(((Input_Raw[[#This Row],[33 kV_Wind_F1_Import reading]]-CK30)*1200)&gt;0,(Input_Raw[[#This Row],[33 kV_Wind_F1_Import reading]]-CK30)*1200,0)</f>
        <v>0</v>
      </c>
      <c r="CT31" s="91">
        <f>IF(((Input_Raw[[#This Row],[33 kV_Wind_F2_Export_reading]]-CL30)*1200)&gt;0,(Input_Raw[[#This Row],[33 kV_Wind_F2_Export_reading]]-CL30)*1200,0)</f>
        <v>42000</v>
      </c>
      <c r="CU31" s="91">
        <f>IF(((Input_Raw[[#This Row],[33 kV_Wind_F2_Import_reading]]-CM30)*1200)&gt;0,(Input_Raw[[#This Row],[33 kV_Wind_F2_Import_reading]]-CM30)*1200,0)</f>
        <v>1200</v>
      </c>
      <c r="CV31" s="91">
        <f>IF(((Input_Raw[[#This Row],[33 kV_Wind_F3_Export_Reading]]-CN30)*1200)&gt;0,(Input_Raw[[#This Row],[33 kV_Wind_F3_Export_Reading]]-CN30)*1200,0)</f>
        <v>45600</v>
      </c>
      <c r="CW31" s="91">
        <f>IF(((Input_Raw[[#This Row],[33 kV_Wind_F3_Import_Reading]]-CO30)*1200)&gt;0,(Input_Raw[[#This Row],[33 kV_Wind_F3_Import_Reading]]-CO30)*1200,0)</f>
        <v>0</v>
      </c>
      <c r="CX31" s="91">
        <f>IF(((Input_Raw[[#This Row],[33 kV_Wind_F4_Export Reading]]-CP30)*1200)&gt;0,(Input_Raw[[#This Row],[33 kV_Wind_F4_Export Reading]]-CP30)*1200,0)</f>
        <v>43200</v>
      </c>
      <c r="CY31" s="91">
        <f>IF(((Input_Raw[[#This Row],[33 kV_Wind_F4_Import Reading]]-CQ30)*1200)&gt;0,(Input_Raw[[#This Row],[33 kV_Wind_F4_Import Reading]]-CQ30)*1200,0)</f>
        <v>0</v>
      </c>
      <c r="CZ31" s="91">
        <f>Input_Raw[[#This Row],[33 kV_F1_Total_Export (KWh)]]+Input_Raw[[#This Row],[33 kV_F2_Total_Export (KWh)2]]+Input_Raw[[#This Row],[33 kV_Wind_F3_Export (KWh)]]+Input_Raw[[#This Row],[33 kV_Wind_F4_Export (KWh)]]</f>
        <v>198000</v>
      </c>
      <c r="DA31" s="91">
        <f>Input_Raw[[#This Row],[33 kV_Wind_F1_Import (KWh)]]+Input_Raw[[#This Row],[33 kV_Wind_F2_Import (KWh)]]+Input_Raw[[#This Row],[33 kV_Wind_F3_Import (KWh)2]]+Input_Raw[[#This Row],[33 kV_Wind_F4_Import (KWh)2]]</f>
        <v>1200</v>
      </c>
      <c r="DB31" s="21">
        <f>IFERROR(1-Input_Raw[[#This Row],[33 kV_Wind_Total_Export (KWh)]]/Input_Raw[[#This Row],[WTG Total Gneration (KWh)]],0)</f>
        <v>2.9230935174199169E-2</v>
      </c>
      <c r="DC31" s="87">
        <v>96</v>
      </c>
      <c r="DD31" s="90">
        <v>7484</v>
      </c>
      <c r="DE31" s="102">
        <v>203.96</v>
      </c>
      <c r="DF31" s="99"/>
      <c r="DG31" s="101">
        <v>78</v>
      </c>
      <c r="DH31" s="167" t="s">
        <v>381</v>
      </c>
    </row>
    <row r="32" spans="1:112">
      <c r="A32" s="20">
        <f t="shared" si="3"/>
        <v>45772</v>
      </c>
      <c r="B32" s="12">
        <f>YEAR([1]!Input_Raw[[#This Row],[Date]])+IF(MONTH([1]!Input_Raw[[#This Row],[Date]])&gt;=4,1,0)</f>
        <v>2026</v>
      </c>
      <c r="C32" s="13">
        <f>YEAR([1]!Input_Raw[[#This Row],[Date]])</f>
        <v>2025</v>
      </c>
      <c r="D32" s="14">
        <f t="shared" si="2"/>
        <v>45748</v>
      </c>
      <c r="E32" s="13">
        <f>DAY(EOMONTH([1]!Input_Raw[[#This Row],[Date]],0))</f>
        <v>30</v>
      </c>
      <c r="F32" s="15">
        <v>7021</v>
      </c>
      <c r="G32" s="15">
        <v>7056</v>
      </c>
      <c r="H32" s="15">
        <v>7041</v>
      </c>
      <c r="I32" s="15">
        <v>6563</v>
      </c>
      <c r="J32" s="15">
        <v>6587</v>
      </c>
      <c r="K32" s="15">
        <v>7053</v>
      </c>
      <c r="L32" s="15">
        <v>7069</v>
      </c>
      <c r="M32" s="15">
        <v>6690</v>
      </c>
      <c r="N32" s="15">
        <v>6032</v>
      </c>
      <c r="O32" s="15">
        <v>7059</v>
      </c>
      <c r="P32" s="15">
        <v>7089</v>
      </c>
      <c r="Q32" s="15">
        <v>6063</v>
      </c>
      <c r="R32" s="15">
        <v>6321</v>
      </c>
      <c r="S32" s="15">
        <v>6345</v>
      </c>
      <c r="T32" s="15">
        <v>6356</v>
      </c>
      <c r="U32" s="15">
        <v>6332</v>
      </c>
      <c r="V32" s="15">
        <v>6341</v>
      </c>
      <c r="W32" s="15">
        <v>6345</v>
      </c>
      <c r="X32" s="15">
        <v>6347</v>
      </c>
      <c r="Y32" s="15">
        <v>6389</v>
      </c>
      <c r="Z32" s="15">
        <v>6583</v>
      </c>
      <c r="AA32" s="15">
        <v>6021</v>
      </c>
      <c r="AB32" s="15">
        <v>6545</v>
      </c>
      <c r="AC32" s="15">
        <v>6564</v>
      </c>
      <c r="AD32" s="15">
        <v>6832</v>
      </c>
      <c r="AE32" s="15">
        <v>6527</v>
      </c>
      <c r="AF32" s="15">
        <v>6544</v>
      </c>
      <c r="AG32" s="15">
        <v>0</v>
      </c>
      <c r="AH32" s="15">
        <v>6575</v>
      </c>
      <c r="AI32" s="15">
        <v>0</v>
      </c>
      <c r="AJ32" s="15">
        <v>6853</v>
      </c>
      <c r="AK32" s="15">
        <v>6842</v>
      </c>
      <c r="AL32" s="15">
        <v>6021</v>
      </c>
      <c r="AM32" s="15">
        <v>6829</v>
      </c>
      <c r="AN32" s="15">
        <v>6839</v>
      </c>
      <c r="AO32" s="15">
        <v>6869</v>
      </c>
      <c r="AP32" s="15">
        <v>6882</v>
      </c>
      <c r="AQ32" s="15">
        <v>5587</v>
      </c>
      <c r="AR32" s="15">
        <v>6849</v>
      </c>
      <c r="AS32" s="16">
        <v>4.6100000000000003</v>
      </c>
      <c r="AT32" s="16">
        <v>4.84</v>
      </c>
      <c r="AU32" s="16">
        <v>4.5999999999999996</v>
      </c>
      <c r="AV32" s="16">
        <v>4.6900000000000004</v>
      </c>
      <c r="AW32" s="16">
        <v>3.8</v>
      </c>
      <c r="AX32" s="16">
        <v>4.82</v>
      </c>
      <c r="AY32" s="16">
        <v>4.78</v>
      </c>
      <c r="AZ32" s="16">
        <v>4.8</v>
      </c>
      <c r="BA32" s="16">
        <v>4.38</v>
      </c>
      <c r="BB32" s="16">
        <v>4.71</v>
      </c>
      <c r="BC32" s="16">
        <v>5.09</v>
      </c>
      <c r="BD32" s="16">
        <v>4.76</v>
      </c>
      <c r="BE32" s="16">
        <v>4.95</v>
      </c>
      <c r="BF32" s="16">
        <v>4.8499999999999996</v>
      </c>
      <c r="BG32" s="16">
        <v>4.66</v>
      </c>
      <c r="BH32" s="16">
        <v>4.01</v>
      </c>
      <c r="BI32" s="16">
        <v>4.5999999999999996</v>
      </c>
      <c r="BJ32" s="16">
        <v>5.05</v>
      </c>
      <c r="BK32" s="16">
        <v>4.8</v>
      </c>
      <c r="BL32" s="16">
        <v>5.43</v>
      </c>
      <c r="BM32" s="16">
        <v>4.22</v>
      </c>
      <c r="BN32" s="16">
        <v>4.18</v>
      </c>
      <c r="BO32" s="16">
        <v>4.05</v>
      </c>
      <c r="BP32" s="16">
        <v>4.57</v>
      </c>
      <c r="BQ32" s="16">
        <v>3.71</v>
      </c>
      <c r="BR32" s="16">
        <v>4.3499999999999996</v>
      </c>
      <c r="BS32" s="16">
        <v>4.49</v>
      </c>
      <c r="BT32" s="16">
        <v>0</v>
      </c>
      <c r="BU32" s="16">
        <v>4.12</v>
      </c>
      <c r="BV32" s="16">
        <v>0</v>
      </c>
      <c r="BW32" s="16">
        <v>3.89</v>
      </c>
      <c r="BX32" s="16">
        <v>4.17</v>
      </c>
      <c r="BY32" s="16">
        <v>4.26</v>
      </c>
      <c r="BZ32" s="16">
        <v>4.16</v>
      </c>
      <c r="CA32" s="16">
        <v>4.38</v>
      </c>
      <c r="CB32" s="16">
        <v>4.16</v>
      </c>
      <c r="CC32" s="16">
        <v>3.8</v>
      </c>
      <c r="CD32" s="16">
        <v>4.04</v>
      </c>
      <c r="CE32" s="16">
        <v>4.04</v>
      </c>
      <c r="CF32" s="17">
        <f>SUM(Input_Raw[[#This Row],[G01]:[G40]])</f>
        <v>243861</v>
      </c>
      <c r="CG32" s="18">
        <f>IFERROR(AVERAGE(Input_Raw[[#This Row],[WS_G01]:[WS_G40]]),"")</f>
        <v>4.2261538461538448</v>
      </c>
      <c r="CH32" s="19"/>
      <c r="CI32" s="19"/>
      <c r="CJ32" s="15">
        <v>239500</v>
      </c>
      <c r="CK32" s="15">
        <v>2171</v>
      </c>
      <c r="CL32" s="15">
        <v>279564</v>
      </c>
      <c r="CM32" s="15">
        <v>2200</v>
      </c>
      <c r="CN32" s="15">
        <v>255358</v>
      </c>
      <c r="CO32" s="15">
        <v>1807</v>
      </c>
      <c r="CP32" s="15">
        <v>291041</v>
      </c>
      <c r="CQ32" s="15">
        <v>1852</v>
      </c>
      <c r="CR32" s="91">
        <f>IF(((Input_Raw[[#This Row],[33 kV_Wind_F1_Export reading]]-CJ31)*1200)&gt;0,(Input_Raw[[#This Row],[33 kV_Wind_F1_Export reading]]-CJ31)*1200,0)</f>
        <v>66000</v>
      </c>
      <c r="CS32" s="91">
        <f>IF(((Input_Raw[[#This Row],[33 kV_Wind_F1_Import reading]]-CK31)*1200)&gt;0,(Input_Raw[[#This Row],[33 kV_Wind_F1_Import reading]]-CK31)*1200,0)</f>
        <v>1200</v>
      </c>
      <c r="CT32" s="91">
        <f>IF(((Input_Raw[[#This Row],[33 kV_Wind_F2_Export_reading]]-CL31)*1200)&gt;0,(Input_Raw[[#This Row],[33 kV_Wind_F2_Export_reading]]-CL31)*1200,0)</f>
        <v>51600</v>
      </c>
      <c r="CU32" s="91">
        <f>IF(((Input_Raw[[#This Row],[33 kV_Wind_F2_Import_reading]]-CM31)*1200)&gt;0,(Input_Raw[[#This Row],[33 kV_Wind_F2_Import_reading]]-CM31)*1200,0)</f>
        <v>0</v>
      </c>
      <c r="CV32" s="91">
        <f>IF(((Input_Raw[[#This Row],[33 kV_Wind_F3_Export_Reading]]-CN31)*1200)&gt;0,(Input_Raw[[#This Row],[33 kV_Wind_F3_Export_Reading]]-CN31)*1200,0)</f>
        <v>62400</v>
      </c>
      <c r="CW32" s="91">
        <f>IF(((Input_Raw[[#This Row],[33 kV_Wind_F3_Import_Reading]]-CO31)*1200)&gt;0,(Input_Raw[[#This Row],[33 kV_Wind_F3_Import_Reading]]-CO31)*1200,0)</f>
        <v>1200</v>
      </c>
      <c r="CX32" s="91">
        <f>IF(((Input_Raw[[#This Row],[33 kV_Wind_F4_Export Reading]]-CP31)*1200)&gt;0,(Input_Raw[[#This Row],[33 kV_Wind_F4_Export Reading]]-CP31)*1200,0)</f>
        <v>62400</v>
      </c>
      <c r="CY32" s="91">
        <f>IF(((Input_Raw[[#This Row],[33 kV_Wind_F4_Import Reading]]-CQ31)*1200)&gt;0,(Input_Raw[[#This Row],[33 kV_Wind_F4_Import Reading]]-CQ31)*1200,0)</f>
        <v>1200</v>
      </c>
      <c r="CZ32" s="91">
        <f>Input_Raw[[#This Row],[33 kV_F1_Total_Export (KWh)]]+Input_Raw[[#This Row],[33 kV_F2_Total_Export (KWh)2]]+Input_Raw[[#This Row],[33 kV_Wind_F3_Export (KWh)]]+Input_Raw[[#This Row],[33 kV_Wind_F4_Export (KWh)]]</f>
        <v>242400</v>
      </c>
      <c r="DA32" s="91">
        <f>Input_Raw[[#This Row],[33 kV_Wind_F1_Import (KWh)]]+Input_Raw[[#This Row],[33 kV_Wind_F2_Import (KWh)]]+Input_Raw[[#This Row],[33 kV_Wind_F3_Import (KWh)2]]+Input_Raw[[#This Row],[33 kV_Wind_F4_Import (KWh)2]]</f>
        <v>3600</v>
      </c>
      <c r="DB32" s="21">
        <f>IFERROR(1-Input_Raw[[#This Row],[33 kV_Wind_Total_Export (KWh)]]/Input_Raw[[#This Row],[WTG Total Gneration (KWh)]],0)</f>
        <v>5.9911178909296536E-3</v>
      </c>
      <c r="DC32" s="87">
        <v>96</v>
      </c>
      <c r="DD32" s="90">
        <v>6052</v>
      </c>
      <c r="DE32" s="102">
        <v>243.86</v>
      </c>
      <c r="DF32" s="99"/>
      <c r="DG32" s="101">
        <v>78</v>
      </c>
      <c r="DH32" s="167" t="s">
        <v>381</v>
      </c>
    </row>
    <row r="33" spans="1:112">
      <c r="A33" s="20">
        <f t="shared" si="3"/>
        <v>45773</v>
      </c>
      <c r="B33" s="12">
        <f>YEAR([1]!Input_Raw[[#This Row],[Date]])+IF(MONTH([1]!Input_Raw[[#This Row],[Date]])&gt;=4,1,0)</f>
        <v>2026</v>
      </c>
      <c r="C33" s="13">
        <f>YEAR([1]!Input_Raw[[#This Row],[Date]])</f>
        <v>2025</v>
      </c>
      <c r="D33" s="14">
        <f t="shared" si="2"/>
        <v>45748</v>
      </c>
      <c r="E33" s="13">
        <f>DAY(EOMONTH([1]!Input_Raw[[#This Row],[Date]],0))</f>
        <v>30</v>
      </c>
      <c r="F33" s="15">
        <v>10931</v>
      </c>
      <c r="G33" s="15">
        <v>10952</v>
      </c>
      <c r="H33" s="15">
        <v>10932</v>
      </c>
      <c r="I33" s="15">
        <v>10921</v>
      </c>
      <c r="J33" s="15">
        <v>8845</v>
      </c>
      <c r="K33" s="15">
        <v>10210</v>
      </c>
      <c r="L33" s="15">
        <v>10953</v>
      </c>
      <c r="M33" s="15">
        <v>10959</v>
      </c>
      <c r="N33" s="15">
        <v>11852</v>
      </c>
      <c r="O33" s="15">
        <v>10944</v>
      </c>
      <c r="P33" s="15">
        <v>10965</v>
      </c>
      <c r="Q33" s="15">
        <v>11856</v>
      </c>
      <c r="R33" s="15">
        <v>11862</v>
      </c>
      <c r="S33" s="15">
        <v>11832</v>
      </c>
      <c r="T33" s="15">
        <v>11842</v>
      </c>
      <c r="U33" s="15">
        <v>11857</v>
      </c>
      <c r="V33" s="15">
        <v>11843</v>
      </c>
      <c r="W33" s="15">
        <v>11853</v>
      </c>
      <c r="X33" s="15">
        <v>11869</v>
      </c>
      <c r="Y33" s="15">
        <v>11897</v>
      </c>
      <c r="Z33" s="15">
        <v>8363</v>
      </c>
      <c r="AA33" s="15">
        <v>8563</v>
      </c>
      <c r="AB33" s="15">
        <v>8856</v>
      </c>
      <c r="AC33" s="15">
        <v>8842</v>
      </c>
      <c r="AD33" s="15">
        <v>9321</v>
      </c>
      <c r="AE33" s="15">
        <v>8858</v>
      </c>
      <c r="AF33" s="15">
        <v>8839</v>
      </c>
      <c r="AG33" s="15">
        <v>0</v>
      </c>
      <c r="AH33" s="15">
        <v>8849</v>
      </c>
      <c r="AI33" s="15">
        <v>0</v>
      </c>
      <c r="AJ33" s="15">
        <v>9323</v>
      </c>
      <c r="AK33" s="15">
        <v>9342</v>
      </c>
      <c r="AL33" s="15">
        <v>9354</v>
      </c>
      <c r="AM33" s="15">
        <v>9344</v>
      </c>
      <c r="AN33" s="15">
        <v>9063</v>
      </c>
      <c r="AO33" s="15">
        <v>9340</v>
      </c>
      <c r="AP33" s="15">
        <v>9356</v>
      </c>
      <c r="AQ33" s="15">
        <v>9376</v>
      </c>
      <c r="AR33" s="15">
        <v>9365</v>
      </c>
      <c r="AS33" s="16">
        <v>4.8499999999999996</v>
      </c>
      <c r="AT33" s="16">
        <v>5.37</v>
      </c>
      <c r="AU33" s="16">
        <v>4.76</v>
      </c>
      <c r="AV33" s="16">
        <v>4.7699999999999996</v>
      </c>
      <c r="AW33" s="16">
        <v>5.09</v>
      </c>
      <c r="AX33" s="16">
        <v>5.19</v>
      </c>
      <c r="AY33" s="16">
        <v>4.8</v>
      </c>
      <c r="AZ33" s="16">
        <v>4.87</v>
      </c>
      <c r="BA33" s="16">
        <v>5.25</v>
      </c>
      <c r="BB33" s="16">
        <v>4.9800000000000004</v>
      </c>
      <c r="BC33" s="16">
        <v>5.45</v>
      </c>
      <c r="BD33" s="16">
        <v>5.28</v>
      </c>
      <c r="BE33" s="16">
        <v>5.32</v>
      </c>
      <c r="BF33" s="16">
        <v>5.14</v>
      </c>
      <c r="BG33" s="16">
        <v>5.09</v>
      </c>
      <c r="BH33" s="16">
        <v>5.27</v>
      </c>
      <c r="BI33" s="16">
        <v>5.07</v>
      </c>
      <c r="BJ33" s="16">
        <v>5.36</v>
      </c>
      <c r="BK33" s="16">
        <v>6.59</v>
      </c>
      <c r="BL33" s="16">
        <v>5.63</v>
      </c>
      <c r="BM33" s="16">
        <v>5.4</v>
      </c>
      <c r="BN33" s="16">
        <v>5.44</v>
      </c>
      <c r="BO33" s="16">
        <v>4.66</v>
      </c>
      <c r="BP33" s="16">
        <v>4.9800000000000004</v>
      </c>
      <c r="BQ33" s="16">
        <v>4.95</v>
      </c>
      <c r="BR33" s="16">
        <v>4.71</v>
      </c>
      <c r="BS33" s="16">
        <v>4.88</v>
      </c>
      <c r="BT33" s="16">
        <v>0</v>
      </c>
      <c r="BU33" s="16">
        <v>4.8600000000000003</v>
      </c>
      <c r="BV33" s="16">
        <v>0</v>
      </c>
      <c r="BW33" s="16">
        <v>4.59</v>
      </c>
      <c r="BX33" s="16">
        <v>4.7300000000000004</v>
      </c>
      <c r="BY33" s="16">
        <v>4.88</v>
      </c>
      <c r="BZ33" s="16">
        <v>4.88</v>
      </c>
      <c r="CA33" s="16">
        <v>5.07</v>
      </c>
      <c r="CB33" s="16">
        <v>5.05</v>
      </c>
      <c r="CC33" s="16">
        <v>4.83</v>
      </c>
      <c r="CD33" s="16">
        <v>4.74</v>
      </c>
      <c r="CE33" s="16">
        <v>5.01</v>
      </c>
      <c r="CF33" s="17">
        <f>SUM(Input_Raw[[#This Row],[G01]:[G40]])</f>
        <v>379529</v>
      </c>
      <c r="CG33" s="18">
        <f>IFERROR(AVERAGE(Input_Raw[[#This Row],[WS_G01]:[WS_G40]]),"")</f>
        <v>4.8151282051282047</v>
      </c>
      <c r="CH33" s="19"/>
      <c r="CI33" s="19"/>
      <c r="CJ33" s="15">
        <v>239577</v>
      </c>
      <c r="CK33" s="15">
        <v>2171</v>
      </c>
      <c r="CL33" s="15">
        <v>279622</v>
      </c>
      <c r="CM33" s="15">
        <v>2200</v>
      </c>
      <c r="CN33" s="15">
        <v>255439</v>
      </c>
      <c r="CO33" s="15">
        <v>1807</v>
      </c>
      <c r="CP33" s="15">
        <v>291139</v>
      </c>
      <c r="CQ33" s="15">
        <v>1852</v>
      </c>
      <c r="CR33" s="91">
        <f>IF(((Input_Raw[[#This Row],[33 kV_Wind_F1_Export reading]]-CJ32)*1200)&gt;0,(Input_Raw[[#This Row],[33 kV_Wind_F1_Export reading]]-CJ32)*1200,0)</f>
        <v>92400</v>
      </c>
      <c r="CS33" s="91">
        <f>IF(((Input_Raw[[#This Row],[33 kV_Wind_F1_Import reading]]-CK32)*1200)&gt;0,(Input_Raw[[#This Row],[33 kV_Wind_F1_Import reading]]-CK32)*1200,0)</f>
        <v>0</v>
      </c>
      <c r="CT33" s="91">
        <f>IF(((Input_Raw[[#This Row],[33 kV_Wind_F2_Export_reading]]-CL32)*1200)&gt;0,(Input_Raw[[#This Row],[33 kV_Wind_F2_Export_reading]]-CL32)*1200,0)</f>
        <v>69600</v>
      </c>
      <c r="CU33" s="91">
        <f>IF(((Input_Raw[[#This Row],[33 kV_Wind_F2_Import_reading]]-CM32)*1200)&gt;0,(Input_Raw[[#This Row],[33 kV_Wind_F2_Import_reading]]-CM32)*1200,0)</f>
        <v>0</v>
      </c>
      <c r="CV33" s="91">
        <f>IF(((Input_Raw[[#This Row],[33 kV_Wind_F3_Export_Reading]]-CN32)*1200)&gt;0,(Input_Raw[[#This Row],[33 kV_Wind_F3_Export_Reading]]-CN32)*1200,0)</f>
        <v>97200</v>
      </c>
      <c r="CW33" s="91">
        <f>IF(((Input_Raw[[#This Row],[33 kV_Wind_F3_Import_Reading]]-CO32)*1200)&gt;0,(Input_Raw[[#This Row],[33 kV_Wind_F3_Import_Reading]]-CO32)*1200,0)</f>
        <v>0</v>
      </c>
      <c r="CX33" s="91">
        <f>IF(((Input_Raw[[#This Row],[33 kV_Wind_F4_Export Reading]]-CP32)*1200)&gt;0,(Input_Raw[[#This Row],[33 kV_Wind_F4_Export Reading]]-CP32)*1200,0)</f>
        <v>117600</v>
      </c>
      <c r="CY33" s="91">
        <f>IF(((Input_Raw[[#This Row],[33 kV_Wind_F4_Import Reading]]-CQ32)*1200)&gt;0,(Input_Raw[[#This Row],[33 kV_Wind_F4_Import Reading]]-CQ32)*1200,0)</f>
        <v>0</v>
      </c>
      <c r="CZ33" s="91">
        <f>Input_Raw[[#This Row],[33 kV_F1_Total_Export (KWh)]]+Input_Raw[[#This Row],[33 kV_F2_Total_Export (KWh)2]]+Input_Raw[[#This Row],[33 kV_Wind_F3_Export (KWh)]]+Input_Raw[[#This Row],[33 kV_Wind_F4_Export (KWh)]]</f>
        <v>376800</v>
      </c>
      <c r="DA33" s="91">
        <f>Input_Raw[[#This Row],[33 kV_Wind_F1_Import (KWh)]]+Input_Raw[[#This Row],[33 kV_Wind_F2_Import (KWh)]]+Input_Raw[[#This Row],[33 kV_Wind_F3_Import (KWh)2]]+Input_Raw[[#This Row],[33 kV_Wind_F4_Import (KWh)2]]</f>
        <v>0</v>
      </c>
      <c r="DB33" s="21">
        <f>IFERROR(1-Input_Raw[[#This Row],[33 kV_Wind_Total_Export (KWh)]]/Input_Raw[[#This Row],[WTG Total Gneration (KWh)]],0)</f>
        <v>7.1904913722008468E-3</v>
      </c>
      <c r="DC33" s="87">
        <v>96</v>
      </c>
      <c r="DD33" s="90">
        <v>53692</v>
      </c>
      <c r="DE33" s="102">
        <v>379.52</v>
      </c>
      <c r="DF33" s="99"/>
      <c r="DG33" s="101">
        <v>78</v>
      </c>
      <c r="DH33" s="167" t="s">
        <v>381</v>
      </c>
    </row>
    <row r="34" spans="1:112">
      <c r="A34" s="20">
        <f t="shared" si="3"/>
        <v>45774</v>
      </c>
      <c r="B34" s="12">
        <f>YEAR([1]!Input_Raw[[#This Row],[Date]])+IF(MONTH([1]!Input_Raw[[#This Row],[Date]])&gt;=4,1,0)</f>
        <v>2026</v>
      </c>
      <c r="C34" s="13">
        <f>YEAR([1]!Input_Raw[[#This Row],[Date]])</f>
        <v>2025</v>
      </c>
      <c r="D34" s="14">
        <f t="shared" si="2"/>
        <v>45748</v>
      </c>
      <c r="E34" s="13">
        <f>DAY(EOMONTH([1]!Input_Raw[[#This Row],[Date]],0))</f>
        <v>30</v>
      </c>
      <c r="F34" s="15">
        <v>5801</v>
      </c>
      <c r="G34" s="15">
        <v>5823</v>
      </c>
      <c r="H34" s="15">
        <v>5812</v>
      </c>
      <c r="I34" s="15">
        <v>5824</v>
      </c>
      <c r="J34" s="15">
        <v>4832</v>
      </c>
      <c r="K34" s="15">
        <v>5849</v>
      </c>
      <c r="L34" s="15">
        <v>5365</v>
      </c>
      <c r="M34" s="15">
        <v>5859</v>
      </c>
      <c r="N34" s="15">
        <v>5634</v>
      </c>
      <c r="O34" s="15">
        <v>5864</v>
      </c>
      <c r="P34" s="15">
        <v>5879</v>
      </c>
      <c r="Q34" s="15">
        <v>5641</v>
      </c>
      <c r="R34" s="15">
        <v>5623</v>
      </c>
      <c r="S34" s="15">
        <v>5321</v>
      </c>
      <c r="T34" s="15">
        <v>5642</v>
      </c>
      <c r="U34" s="15">
        <v>5648</v>
      </c>
      <c r="V34" s="15">
        <v>5645</v>
      </c>
      <c r="W34" s="15">
        <v>5649</v>
      </c>
      <c r="X34" s="15">
        <v>5672</v>
      </c>
      <c r="Y34" s="15">
        <v>5679</v>
      </c>
      <c r="Z34" s="15">
        <v>4845</v>
      </c>
      <c r="AA34" s="15">
        <v>4265</v>
      </c>
      <c r="AB34" s="15">
        <v>4823</v>
      </c>
      <c r="AC34" s="15">
        <v>4854</v>
      </c>
      <c r="AD34" s="15">
        <v>4532</v>
      </c>
      <c r="AE34" s="15">
        <v>4210</v>
      </c>
      <c r="AF34" s="15">
        <v>4867</v>
      </c>
      <c r="AG34" s="15">
        <v>0</v>
      </c>
      <c r="AH34" s="15">
        <v>4879</v>
      </c>
      <c r="AI34" s="15">
        <v>0</v>
      </c>
      <c r="AJ34" s="15">
        <v>4565</v>
      </c>
      <c r="AK34" s="15">
        <v>4521</v>
      </c>
      <c r="AL34" s="15">
        <v>4526</v>
      </c>
      <c r="AM34" s="15">
        <v>4556</v>
      </c>
      <c r="AN34" s="15">
        <v>4021</v>
      </c>
      <c r="AO34" s="15">
        <v>4537</v>
      </c>
      <c r="AP34" s="15">
        <v>4539</v>
      </c>
      <c r="AQ34" s="15">
        <v>4567</v>
      </c>
      <c r="AR34" s="15">
        <v>3943</v>
      </c>
      <c r="AS34" s="16">
        <v>4.2300000000000004</v>
      </c>
      <c r="AT34" s="16">
        <v>4.33</v>
      </c>
      <c r="AU34" s="16">
        <v>4.21</v>
      </c>
      <c r="AV34" s="16">
        <v>4.28</v>
      </c>
      <c r="AW34" s="16">
        <v>4.21</v>
      </c>
      <c r="AX34" s="16">
        <v>4.4800000000000004</v>
      </c>
      <c r="AY34" s="16">
        <v>4.2300000000000004</v>
      </c>
      <c r="AZ34" s="16">
        <v>4.3499999999999996</v>
      </c>
      <c r="BA34" s="16">
        <v>4.3499999999999996</v>
      </c>
      <c r="BB34" s="16">
        <v>4.18</v>
      </c>
      <c r="BC34" s="16">
        <v>4.62</v>
      </c>
      <c r="BD34" s="16">
        <v>4.3099999999999996</v>
      </c>
      <c r="BE34" s="16">
        <v>4.42</v>
      </c>
      <c r="BF34" s="16">
        <v>4.46</v>
      </c>
      <c r="BG34" s="16">
        <v>4.3</v>
      </c>
      <c r="BH34" s="16">
        <v>4.5</v>
      </c>
      <c r="BI34" s="16">
        <v>5.8</v>
      </c>
      <c r="BJ34" s="16">
        <v>4.68</v>
      </c>
      <c r="BK34" s="16">
        <v>4.8499999999999996</v>
      </c>
      <c r="BL34" s="16">
        <v>4.97</v>
      </c>
      <c r="BM34" s="16">
        <v>4.72</v>
      </c>
      <c r="BN34" s="16">
        <v>4.43</v>
      </c>
      <c r="BO34" s="16">
        <v>4.49</v>
      </c>
      <c r="BP34" s="16">
        <v>4.62</v>
      </c>
      <c r="BQ34" s="16">
        <v>4.33</v>
      </c>
      <c r="BR34" s="16">
        <v>4.3600000000000003</v>
      </c>
      <c r="BS34" s="16">
        <v>4.24</v>
      </c>
      <c r="BT34" s="16">
        <v>0</v>
      </c>
      <c r="BU34" s="16">
        <v>4.4400000000000004</v>
      </c>
      <c r="BV34" s="16">
        <v>0</v>
      </c>
      <c r="BW34" s="16">
        <v>4.26</v>
      </c>
      <c r="BX34" s="16">
        <v>4.4400000000000004</v>
      </c>
      <c r="BY34" s="16">
        <v>4.4400000000000004</v>
      </c>
      <c r="BZ34" s="16">
        <v>4.4400000000000004</v>
      </c>
      <c r="CA34" s="16">
        <v>4.4800000000000004</v>
      </c>
      <c r="CB34" s="16">
        <v>4.54</v>
      </c>
      <c r="CC34" s="16">
        <v>4.25</v>
      </c>
      <c r="CD34" s="16">
        <v>4.41</v>
      </c>
      <c r="CE34" s="16">
        <v>4.59</v>
      </c>
      <c r="CF34" s="17">
        <f>SUM(Input_Raw[[#This Row],[G01]:[G40]])</f>
        <v>190112</v>
      </c>
      <c r="CG34" s="18">
        <f>IFERROR(AVERAGE(Input_Raw[[#This Row],[WS_G01]:[WS_G40]]),"")</f>
        <v>4.2369230769230759</v>
      </c>
      <c r="CH34" s="19"/>
      <c r="CI34" s="19"/>
      <c r="CJ34" s="15">
        <v>239613</v>
      </c>
      <c r="CK34" s="15">
        <v>2172</v>
      </c>
      <c r="CL34" s="15">
        <v>279653</v>
      </c>
      <c r="CM34" s="15">
        <v>2201</v>
      </c>
      <c r="CN34" s="15">
        <v>255482</v>
      </c>
      <c r="CO34" s="15">
        <v>1808</v>
      </c>
      <c r="CP34" s="15">
        <v>291185</v>
      </c>
      <c r="CQ34" s="15">
        <v>1853</v>
      </c>
      <c r="CR34" s="91">
        <f>IF(((Input_Raw[[#This Row],[33 kV_Wind_F1_Export reading]]-CJ33)*1200)&gt;0,(Input_Raw[[#This Row],[33 kV_Wind_F1_Export reading]]-CJ33)*1200,0)</f>
        <v>43200</v>
      </c>
      <c r="CS34" s="91">
        <f>IF(((Input_Raw[[#This Row],[33 kV_Wind_F1_Import reading]]-CK33)*1200)&gt;0,(Input_Raw[[#This Row],[33 kV_Wind_F1_Import reading]]-CK33)*1200,0)</f>
        <v>1200</v>
      </c>
      <c r="CT34" s="91">
        <f>IF(((Input_Raw[[#This Row],[33 kV_Wind_F2_Export_reading]]-CL33)*1200)&gt;0,(Input_Raw[[#This Row],[33 kV_Wind_F2_Export_reading]]-CL33)*1200,0)</f>
        <v>37200</v>
      </c>
      <c r="CU34" s="91">
        <f>IF(((Input_Raw[[#This Row],[33 kV_Wind_F2_Import_reading]]-CM33)*1200)&gt;0,(Input_Raw[[#This Row],[33 kV_Wind_F2_Import_reading]]-CM33)*1200,0)</f>
        <v>1200</v>
      </c>
      <c r="CV34" s="91">
        <f>IF(((Input_Raw[[#This Row],[33 kV_Wind_F3_Export_Reading]]-CN33)*1200)&gt;0,(Input_Raw[[#This Row],[33 kV_Wind_F3_Export_Reading]]-CN33)*1200,0)</f>
        <v>51600</v>
      </c>
      <c r="CW34" s="91">
        <f>IF(((Input_Raw[[#This Row],[33 kV_Wind_F3_Import_Reading]]-CO33)*1200)&gt;0,(Input_Raw[[#This Row],[33 kV_Wind_F3_Import_Reading]]-CO33)*1200,0)</f>
        <v>1200</v>
      </c>
      <c r="CX34" s="91">
        <f>IF(((Input_Raw[[#This Row],[33 kV_Wind_F4_Export Reading]]-CP33)*1200)&gt;0,(Input_Raw[[#This Row],[33 kV_Wind_F4_Export Reading]]-CP33)*1200,0)</f>
        <v>55200</v>
      </c>
      <c r="CY34" s="91">
        <f>IF(((Input_Raw[[#This Row],[33 kV_Wind_F4_Import Reading]]-CQ33)*1200)&gt;0,(Input_Raw[[#This Row],[33 kV_Wind_F4_Import Reading]]-CQ33)*1200,0)</f>
        <v>1200</v>
      </c>
      <c r="CZ34" s="91">
        <f>Input_Raw[[#This Row],[33 kV_F1_Total_Export (KWh)]]+Input_Raw[[#This Row],[33 kV_F2_Total_Export (KWh)2]]+Input_Raw[[#This Row],[33 kV_Wind_F3_Export (KWh)]]+Input_Raw[[#This Row],[33 kV_Wind_F4_Export (KWh)]]</f>
        <v>187200</v>
      </c>
      <c r="DA34" s="91">
        <f>Input_Raw[[#This Row],[33 kV_Wind_F1_Import (KWh)]]+Input_Raw[[#This Row],[33 kV_Wind_F2_Import (KWh)]]+Input_Raw[[#This Row],[33 kV_Wind_F3_Import (KWh)2]]+Input_Raw[[#This Row],[33 kV_Wind_F4_Import (KWh)2]]</f>
        <v>4800</v>
      </c>
      <c r="DB34" s="21">
        <f>IFERROR(1-Input_Raw[[#This Row],[33 kV_Wind_Total_Export (KWh)]]/Input_Raw[[#This Row],[WTG Total Gneration (KWh)]],0)</f>
        <v>1.5317286652078765E-2</v>
      </c>
      <c r="DC34" s="87">
        <v>96</v>
      </c>
      <c r="DD34" s="90">
        <v>17621</v>
      </c>
      <c r="DE34" s="102">
        <v>190.11</v>
      </c>
      <c r="DF34" s="99"/>
      <c r="DG34" s="101">
        <v>78</v>
      </c>
      <c r="DH34" s="167" t="s">
        <v>381</v>
      </c>
    </row>
    <row r="35" spans="1:112">
      <c r="A35" s="20">
        <f t="shared" si="3"/>
        <v>45775</v>
      </c>
      <c r="B35" s="12">
        <f>YEAR([1]!Input_Raw[[#This Row],[Date]])+IF(MONTH([1]!Input_Raw[[#This Row],[Date]])&gt;=4,1,0)</f>
        <v>2026</v>
      </c>
      <c r="C35" s="13">
        <f>YEAR([1]!Input_Raw[[#This Row],[Date]])</f>
        <v>2025</v>
      </c>
      <c r="D35" s="14">
        <f t="shared" si="2"/>
        <v>45748</v>
      </c>
      <c r="E35" s="13">
        <f>DAY(EOMONTH([1]!Input_Raw[[#This Row],[Date]],0))</f>
        <v>30</v>
      </c>
      <c r="F35" s="15">
        <v>8035</v>
      </c>
      <c r="G35" s="15">
        <v>8042</v>
      </c>
      <c r="H35" s="15">
        <v>8051</v>
      </c>
      <c r="I35" s="15">
        <v>7521</v>
      </c>
      <c r="J35" s="15">
        <v>6672</v>
      </c>
      <c r="K35" s="15">
        <v>8044</v>
      </c>
      <c r="L35" s="15">
        <v>8020</v>
      </c>
      <c r="M35" s="15">
        <v>8047</v>
      </c>
      <c r="N35" s="15">
        <v>7821</v>
      </c>
      <c r="O35" s="15">
        <v>8053</v>
      </c>
      <c r="P35" s="15">
        <v>8059</v>
      </c>
      <c r="Q35" s="15">
        <v>7844</v>
      </c>
      <c r="R35" s="15">
        <v>7856</v>
      </c>
      <c r="S35" s="15">
        <v>7842</v>
      </c>
      <c r="T35" s="15">
        <v>7823</v>
      </c>
      <c r="U35" s="15">
        <v>7834</v>
      </c>
      <c r="V35" s="15">
        <v>7818</v>
      </c>
      <c r="W35" s="15">
        <v>7820</v>
      </c>
      <c r="X35" s="15">
        <v>7853</v>
      </c>
      <c r="Y35" s="15">
        <v>7280</v>
      </c>
      <c r="Z35" s="15">
        <v>6632</v>
      </c>
      <c r="AA35" s="15">
        <v>6640</v>
      </c>
      <c r="AB35" s="15">
        <v>6621</v>
      </c>
      <c r="AC35" s="15">
        <v>6644</v>
      </c>
      <c r="AD35" s="15">
        <v>7021</v>
      </c>
      <c r="AE35" s="15">
        <v>6635</v>
      </c>
      <c r="AF35" s="15">
        <v>6654</v>
      </c>
      <c r="AG35" s="15">
        <v>0</v>
      </c>
      <c r="AH35" s="15">
        <v>5521</v>
      </c>
      <c r="AI35" s="15">
        <v>0</v>
      </c>
      <c r="AJ35" s="15">
        <v>7034</v>
      </c>
      <c r="AK35" s="15">
        <v>7056</v>
      </c>
      <c r="AL35" s="15">
        <v>7045</v>
      </c>
      <c r="AM35" s="15">
        <v>7062</v>
      </c>
      <c r="AN35" s="15">
        <v>6760</v>
      </c>
      <c r="AO35" s="15">
        <v>7052</v>
      </c>
      <c r="AP35" s="15">
        <v>7044</v>
      </c>
      <c r="AQ35" s="15">
        <v>7041</v>
      </c>
      <c r="AR35" s="15">
        <v>7047</v>
      </c>
      <c r="AS35" s="16">
        <v>4.58</v>
      </c>
      <c r="AT35" s="16">
        <v>4.46</v>
      </c>
      <c r="AU35" s="16">
        <v>3.97</v>
      </c>
      <c r="AV35" s="16">
        <v>4.1500000000000004</v>
      </c>
      <c r="AW35" s="16">
        <v>3.78</v>
      </c>
      <c r="AX35" s="16">
        <v>4.38</v>
      </c>
      <c r="AY35" s="16">
        <v>4.4000000000000004</v>
      </c>
      <c r="AZ35" s="16">
        <v>4.13</v>
      </c>
      <c r="BA35" s="16">
        <v>4.08</v>
      </c>
      <c r="BB35" s="16">
        <v>3.95</v>
      </c>
      <c r="BC35" s="16">
        <v>4.01</v>
      </c>
      <c r="BD35" s="16">
        <v>4.04</v>
      </c>
      <c r="BE35" s="16">
        <v>3.98</v>
      </c>
      <c r="BF35" s="16">
        <v>3.84</v>
      </c>
      <c r="BG35" s="16">
        <v>3.92</v>
      </c>
      <c r="BH35" s="16">
        <v>3.95</v>
      </c>
      <c r="BI35" s="16">
        <v>4.1500000000000004</v>
      </c>
      <c r="BJ35" s="16">
        <v>4.01</v>
      </c>
      <c r="BK35" s="16">
        <v>3.99</v>
      </c>
      <c r="BL35" s="16">
        <v>4.01</v>
      </c>
      <c r="BM35" s="16">
        <v>3.76</v>
      </c>
      <c r="BN35" s="16">
        <v>3.87</v>
      </c>
      <c r="BO35" s="16">
        <v>3.95</v>
      </c>
      <c r="BP35" s="16">
        <v>4.26</v>
      </c>
      <c r="BQ35" s="16">
        <v>4.2</v>
      </c>
      <c r="BR35" s="16">
        <v>4.22</v>
      </c>
      <c r="BS35" s="16">
        <v>4.21</v>
      </c>
      <c r="BT35" s="16">
        <v>0</v>
      </c>
      <c r="BU35" s="16">
        <v>5.44</v>
      </c>
      <c r="BV35" s="16">
        <v>0</v>
      </c>
      <c r="BW35" s="16">
        <v>4.17</v>
      </c>
      <c r="BX35" s="16">
        <v>4.1500000000000004</v>
      </c>
      <c r="BY35" s="16">
        <v>4.32</v>
      </c>
      <c r="BZ35" s="16">
        <v>4.55</v>
      </c>
      <c r="CA35" s="16">
        <v>6.32</v>
      </c>
      <c r="CB35" s="16">
        <v>4.45</v>
      </c>
      <c r="CC35" s="16">
        <v>4.87</v>
      </c>
      <c r="CD35" s="16">
        <v>4.3099999999999996</v>
      </c>
      <c r="CE35" s="16">
        <v>5.39</v>
      </c>
      <c r="CF35" s="17">
        <f>SUM(Input_Raw[[#This Row],[G01]:[G40]])</f>
        <v>271844</v>
      </c>
      <c r="CG35" s="18">
        <f>IFERROR(AVERAGE(Input_Raw[[#This Row],[WS_G01]:[WS_G40]]),"")</f>
        <v>4.056923076923078</v>
      </c>
      <c r="CH35" s="19"/>
      <c r="CI35" s="19"/>
      <c r="CJ35" s="15">
        <v>239671</v>
      </c>
      <c r="CK35" s="15">
        <v>2172</v>
      </c>
      <c r="CL35" s="15">
        <v>279696</v>
      </c>
      <c r="CM35" s="15">
        <v>2201</v>
      </c>
      <c r="CN35" s="15">
        <v>255541</v>
      </c>
      <c r="CO35" s="15">
        <v>1808</v>
      </c>
      <c r="CP35" s="15">
        <v>291249</v>
      </c>
      <c r="CQ35" s="15">
        <v>1853</v>
      </c>
      <c r="CR35" s="91">
        <f>IF(((Input_Raw[[#This Row],[33 kV_Wind_F1_Export reading]]-CJ34)*1200)&gt;0,(Input_Raw[[#This Row],[33 kV_Wind_F1_Export reading]]-CJ34)*1200,0)</f>
        <v>69600</v>
      </c>
      <c r="CS35" s="91">
        <f>IF(((Input_Raw[[#This Row],[33 kV_Wind_F1_Import reading]]-CK34)*1200)&gt;0,(Input_Raw[[#This Row],[33 kV_Wind_F1_Import reading]]-CK34)*1200,0)</f>
        <v>0</v>
      </c>
      <c r="CT35" s="91">
        <f>IF(((Input_Raw[[#This Row],[33 kV_Wind_F2_Export_reading]]-CL34)*1200)&gt;0,(Input_Raw[[#This Row],[33 kV_Wind_F2_Export_reading]]-CL34)*1200,0)</f>
        <v>51600</v>
      </c>
      <c r="CU35" s="91">
        <f>IF(((Input_Raw[[#This Row],[33 kV_Wind_F2_Import_reading]]-CM34)*1200)&gt;0,(Input_Raw[[#This Row],[33 kV_Wind_F2_Import_reading]]-CM34)*1200,0)</f>
        <v>0</v>
      </c>
      <c r="CV35" s="91">
        <f>IF(((Input_Raw[[#This Row],[33 kV_Wind_F3_Export_Reading]]-CN34)*1200)&gt;0,(Input_Raw[[#This Row],[33 kV_Wind_F3_Export_Reading]]-CN34)*1200,0)</f>
        <v>70800</v>
      </c>
      <c r="CW35" s="91">
        <f>IF(((Input_Raw[[#This Row],[33 kV_Wind_F3_Import_Reading]]-CO34)*1200)&gt;0,(Input_Raw[[#This Row],[33 kV_Wind_F3_Import_Reading]]-CO34)*1200,0)</f>
        <v>0</v>
      </c>
      <c r="CX35" s="91">
        <f>IF(((Input_Raw[[#This Row],[33 kV_Wind_F4_Export Reading]]-CP34)*1200)&gt;0,(Input_Raw[[#This Row],[33 kV_Wind_F4_Export Reading]]-CP34)*1200,0)</f>
        <v>76800</v>
      </c>
      <c r="CY35" s="91">
        <f>IF(((Input_Raw[[#This Row],[33 kV_Wind_F4_Import Reading]]-CQ34)*1200)&gt;0,(Input_Raw[[#This Row],[33 kV_Wind_F4_Import Reading]]-CQ34)*1200,0)</f>
        <v>0</v>
      </c>
      <c r="CZ35" s="91">
        <f>Input_Raw[[#This Row],[33 kV_F1_Total_Export (KWh)]]+Input_Raw[[#This Row],[33 kV_F2_Total_Export (KWh)2]]+Input_Raw[[#This Row],[33 kV_Wind_F3_Export (KWh)]]+Input_Raw[[#This Row],[33 kV_Wind_F4_Export (KWh)]]</f>
        <v>268800</v>
      </c>
      <c r="DA35" s="91">
        <f>Input_Raw[[#This Row],[33 kV_Wind_F1_Import (KWh)]]+Input_Raw[[#This Row],[33 kV_Wind_F2_Import (KWh)]]+Input_Raw[[#This Row],[33 kV_Wind_F3_Import (KWh)2]]+Input_Raw[[#This Row],[33 kV_Wind_F4_Import (KWh)2]]</f>
        <v>0</v>
      </c>
      <c r="DB35" s="21">
        <f>IFERROR(1-Input_Raw[[#This Row],[33 kV_Wind_Total_Export (KWh)]]/Input_Raw[[#This Row],[WTG Total Gneration (KWh)]],0)</f>
        <v>1.1197598622739502E-2</v>
      </c>
      <c r="DC35" s="87">
        <v>96</v>
      </c>
      <c r="DD35" s="90">
        <v>49821</v>
      </c>
      <c r="DE35" s="102">
        <v>271.83999999999997</v>
      </c>
      <c r="DF35" s="99"/>
      <c r="DG35" s="101">
        <v>78</v>
      </c>
      <c r="DH35" s="167" t="s">
        <v>381</v>
      </c>
    </row>
    <row r="36" spans="1:112">
      <c r="A36" s="20">
        <f t="shared" si="3"/>
        <v>45776</v>
      </c>
      <c r="B36" s="12">
        <f>YEAR([1]!Input_Raw[[#This Row],[Date]])+IF(MONTH([1]!Input_Raw[[#This Row],[Date]])&gt;=4,1,0)</f>
        <v>2026</v>
      </c>
      <c r="C36" s="13">
        <f>YEAR([1]!Input_Raw[[#This Row],[Date]])</f>
        <v>2025</v>
      </c>
      <c r="D36" s="14">
        <f t="shared" si="2"/>
        <v>45748</v>
      </c>
      <c r="E36" s="13">
        <f>DAY(EOMONTH([1]!Input_Raw[[#This Row],[Date]],0))</f>
        <v>30</v>
      </c>
      <c r="F36" s="15">
        <v>6459</v>
      </c>
      <c r="G36" s="15">
        <v>6487</v>
      </c>
      <c r="H36" s="15">
        <v>6443</v>
      </c>
      <c r="I36" s="15">
        <v>6473</v>
      </c>
      <c r="J36" s="15">
        <v>6742</v>
      </c>
      <c r="K36" s="15">
        <v>6452</v>
      </c>
      <c r="L36" s="15">
        <v>6401</v>
      </c>
      <c r="M36" s="15">
        <v>6459</v>
      </c>
      <c r="N36" s="15">
        <v>8098</v>
      </c>
      <c r="O36" s="15">
        <v>6453</v>
      </c>
      <c r="P36" s="15">
        <v>6467</v>
      </c>
      <c r="Q36" s="15">
        <v>8073</v>
      </c>
      <c r="R36" s="15">
        <v>8068</v>
      </c>
      <c r="S36" s="15">
        <v>8079</v>
      </c>
      <c r="T36" s="15">
        <v>8082</v>
      </c>
      <c r="U36" s="15">
        <v>8061</v>
      </c>
      <c r="V36" s="15">
        <v>8013</v>
      </c>
      <c r="W36" s="15">
        <v>8047</v>
      </c>
      <c r="X36" s="15">
        <v>8056</v>
      </c>
      <c r="Y36" s="15">
        <v>8067</v>
      </c>
      <c r="Z36" s="15">
        <v>6755</v>
      </c>
      <c r="AA36" s="15">
        <v>5210</v>
      </c>
      <c r="AB36" s="15">
        <v>6776</v>
      </c>
      <c r="AC36" s="15">
        <v>6785</v>
      </c>
      <c r="AD36" s="15">
        <v>8124</v>
      </c>
      <c r="AE36" s="15">
        <v>6778</v>
      </c>
      <c r="AF36" s="15">
        <v>5567</v>
      </c>
      <c r="AG36" s="15">
        <v>0</v>
      </c>
      <c r="AH36" s="15">
        <v>6792</v>
      </c>
      <c r="AI36" s="15">
        <v>0</v>
      </c>
      <c r="AJ36" s="15">
        <v>8135</v>
      </c>
      <c r="AK36" s="15">
        <v>8122</v>
      </c>
      <c r="AL36" s="15">
        <v>8132</v>
      </c>
      <c r="AM36" s="15">
        <v>8184</v>
      </c>
      <c r="AN36" s="15">
        <v>8157</v>
      </c>
      <c r="AO36" s="15">
        <v>8162</v>
      </c>
      <c r="AP36" s="15">
        <v>8151</v>
      </c>
      <c r="AQ36" s="15">
        <v>8121</v>
      </c>
      <c r="AR36" s="15">
        <v>8139</v>
      </c>
      <c r="AS36" s="16">
        <v>4.58</v>
      </c>
      <c r="AT36" s="16">
        <v>4.46</v>
      </c>
      <c r="AU36" s="16">
        <v>3.97</v>
      </c>
      <c r="AV36" s="16">
        <v>4.1500000000000004</v>
      </c>
      <c r="AW36" s="16">
        <v>3.78</v>
      </c>
      <c r="AX36" s="16">
        <v>4.38</v>
      </c>
      <c r="AY36" s="16">
        <v>4.4000000000000004</v>
      </c>
      <c r="AZ36" s="16">
        <v>4.13</v>
      </c>
      <c r="BA36" s="16">
        <v>4.08</v>
      </c>
      <c r="BB36" s="16">
        <v>3.95</v>
      </c>
      <c r="BC36" s="16">
        <v>4.01</v>
      </c>
      <c r="BD36" s="16">
        <v>4.04</v>
      </c>
      <c r="BE36" s="16">
        <v>3.98</v>
      </c>
      <c r="BF36" s="16">
        <v>3.84</v>
      </c>
      <c r="BG36" s="16">
        <v>3.92</v>
      </c>
      <c r="BH36" s="16">
        <v>3.95</v>
      </c>
      <c r="BI36" s="16">
        <v>4.1500000000000004</v>
      </c>
      <c r="BJ36" s="16">
        <v>4.01</v>
      </c>
      <c r="BK36" s="16">
        <v>3.99</v>
      </c>
      <c r="BL36" s="16">
        <v>4.01</v>
      </c>
      <c r="BM36" s="16">
        <v>3.76</v>
      </c>
      <c r="BN36" s="16">
        <v>3.87</v>
      </c>
      <c r="BO36" s="16">
        <v>3.95</v>
      </c>
      <c r="BP36" s="16">
        <v>4.26</v>
      </c>
      <c r="BQ36" s="16">
        <v>4.2</v>
      </c>
      <c r="BR36" s="16">
        <v>4.22</v>
      </c>
      <c r="BS36" s="16">
        <v>4.21</v>
      </c>
      <c r="BT36" s="16">
        <v>0</v>
      </c>
      <c r="BU36" s="16">
        <v>5.44</v>
      </c>
      <c r="BV36" s="16">
        <v>0</v>
      </c>
      <c r="BW36" s="16">
        <v>4.17</v>
      </c>
      <c r="BX36" s="16">
        <v>4.1500000000000004</v>
      </c>
      <c r="BY36" s="16">
        <v>4.32</v>
      </c>
      <c r="BZ36" s="16">
        <v>4.55</v>
      </c>
      <c r="CA36" s="16">
        <v>6.32</v>
      </c>
      <c r="CB36" s="16">
        <v>4.45</v>
      </c>
      <c r="CC36" s="16">
        <v>4.87</v>
      </c>
      <c r="CD36" s="16">
        <v>4.3099999999999996</v>
      </c>
      <c r="CE36" s="16">
        <v>5.39</v>
      </c>
      <c r="CF36" s="17">
        <f>SUM(Input_Raw[[#This Row],[G01]:[G40]])</f>
        <v>271570</v>
      </c>
      <c r="CG36" s="18">
        <f>IFERROR(AVERAGE(Input_Raw[[#This Row],[WS_G01]:[WS_G40]]),"")</f>
        <v>4.056923076923078</v>
      </c>
      <c r="CH36" s="19"/>
      <c r="CI36" s="19"/>
      <c r="CJ36" s="15">
        <v>239738</v>
      </c>
      <c r="CK36" s="15">
        <v>2173</v>
      </c>
      <c r="CL36" s="15">
        <v>279738</v>
      </c>
      <c r="CM36" s="15">
        <v>2202</v>
      </c>
      <c r="CN36" s="15">
        <v>255589</v>
      </c>
      <c r="CO36" s="15">
        <v>1809</v>
      </c>
      <c r="CP36" s="15">
        <v>291316</v>
      </c>
      <c r="CQ36" s="15">
        <v>1854</v>
      </c>
      <c r="CR36" s="91">
        <f>IF(((Input_Raw[[#This Row],[33 kV_Wind_F1_Export reading]]-CJ35)*1200)&gt;0,(Input_Raw[[#This Row],[33 kV_Wind_F1_Export reading]]-CJ35)*1200,0)</f>
        <v>80400</v>
      </c>
      <c r="CS36" s="91">
        <f>IF(((Input_Raw[[#This Row],[33 kV_Wind_F1_Import reading]]-CK35)*1200)&gt;0,(Input_Raw[[#This Row],[33 kV_Wind_F1_Import reading]]-CK35)*1200,0)</f>
        <v>1200</v>
      </c>
      <c r="CT36" s="91">
        <f>IF(((Input_Raw[[#This Row],[33 kV_Wind_F2_Export_reading]]-CL35)*1200)&gt;0,(Input_Raw[[#This Row],[33 kV_Wind_F2_Export_reading]]-CL35)*1200,0)</f>
        <v>50400</v>
      </c>
      <c r="CU36" s="91">
        <f>IF(((Input_Raw[[#This Row],[33 kV_Wind_F2_Import_reading]]-CM35)*1200)&gt;0,(Input_Raw[[#This Row],[33 kV_Wind_F2_Import_reading]]-CM35)*1200,0)</f>
        <v>1200</v>
      </c>
      <c r="CV36" s="91">
        <f>IF(((Input_Raw[[#This Row],[33 kV_Wind_F3_Export_Reading]]-CN35)*1200)&gt;0,(Input_Raw[[#This Row],[33 kV_Wind_F3_Export_Reading]]-CN35)*1200,0)</f>
        <v>57600</v>
      </c>
      <c r="CW36" s="91">
        <f>IF(((Input_Raw[[#This Row],[33 kV_Wind_F3_Import_Reading]]-CO35)*1200)&gt;0,(Input_Raw[[#This Row],[33 kV_Wind_F3_Import_Reading]]-CO35)*1200,0)</f>
        <v>1200</v>
      </c>
      <c r="CX36" s="91">
        <f>IF(((Input_Raw[[#This Row],[33 kV_Wind_F4_Export Reading]]-CP35)*1200)&gt;0,(Input_Raw[[#This Row],[33 kV_Wind_F4_Export Reading]]-CP35)*1200,0)</f>
        <v>80400</v>
      </c>
      <c r="CY36" s="91">
        <f>IF(((Input_Raw[[#This Row],[33 kV_Wind_F4_Import Reading]]-CQ35)*1200)&gt;0,(Input_Raw[[#This Row],[33 kV_Wind_F4_Import Reading]]-CQ35)*1200,0)</f>
        <v>1200</v>
      </c>
      <c r="CZ36" s="91">
        <f>Input_Raw[[#This Row],[33 kV_F1_Total_Export (KWh)]]+Input_Raw[[#This Row],[33 kV_F2_Total_Export (KWh)2]]+Input_Raw[[#This Row],[33 kV_Wind_F3_Export (KWh)]]+Input_Raw[[#This Row],[33 kV_Wind_F4_Export (KWh)]]</f>
        <v>268800</v>
      </c>
      <c r="DA36" s="91">
        <f>Input_Raw[[#This Row],[33 kV_Wind_F1_Import (KWh)]]+Input_Raw[[#This Row],[33 kV_Wind_F2_Import (KWh)]]+Input_Raw[[#This Row],[33 kV_Wind_F3_Import (KWh)2]]+Input_Raw[[#This Row],[33 kV_Wind_F4_Import (KWh)2]]</f>
        <v>4800</v>
      </c>
      <c r="DB36" s="21">
        <f>IFERROR(1-Input_Raw[[#This Row],[33 kV_Wind_Total_Export (KWh)]]/Input_Raw[[#This Row],[WTG Total Gneration (KWh)]],0)</f>
        <v>1.0199948447913942E-2</v>
      </c>
      <c r="DC36" s="87">
        <v>96</v>
      </c>
      <c r="DD36" s="90">
        <v>39915</v>
      </c>
      <c r="DE36" s="102">
        <v>271.54000000000002</v>
      </c>
      <c r="DF36" s="99"/>
      <c r="DG36" s="101">
        <v>78</v>
      </c>
      <c r="DH36" s="167" t="s">
        <v>381</v>
      </c>
    </row>
    <row r="37" spans="1:112">
      <c r="A37" s="20">
        <f t="shared" si="3"/>
        <v>45777</v>
      </c>
      <c r="B37" s="12">
        <f>YEAR([1]!Input_Raw[[#This Row],[Date]])+IF(MONTH([1]!Input_Raw[[#This Row],[Date]])&gt;=4,1,0)</f>
        <v>2026</v>
      </c>
      <c r="C37" s="13">
        <f>YEAR([1]!Input_Raw[[#This Row],[Date]])</f>
        <v>2025</v>
      </c>
      <c r="D37" s="14">
        <f t="shared" si="2"/>
        <v>45748</v>
      </c>
      <c r="E37" s="13">
        <f>DAY(EOMONTH([1]!Input_Raw[[#This Row],[Date]],0))</f>
        <v>30</v>
      </c>
      <c r="F37" s="15">
        <v>16089</v>
      </c>
      <c r="G37" s="15">
        <v>16078</v>
      </c>
      <c r="H37" s="15">
        <v>16042</v>
      </c>
      <c r="I37" s="15">
        <v>14467</v>
      </c>
      <c r="J37" s="15">
        <v>15425</v>
      </c>
      <c r="K37" s="15">
        <v>16059</v>
      </c>
      <c r="L37" s="15">
        <v>16042</v>
      </c>
      <c r="M37" s="15">
        <v>16072</v>
      </c>
      <c r="N37" s="15">
        <v>17489</v>
      </c>
      <c r="O37" s="15">
        <v>16079</v>
      </c>
      <c r="P37" s="15">
        <v>14989</v>
      </c>
      <c r="Q37" s="15">
        <v>17467</v>
      </c>
      <c r="R37" s="15">
        <v>17482</v>
      </c>
      <c r="S37" s="15">
        <v>17421</v>
      </c>
      <c r="T37" s="15">
        <v>17429</v>
      </c>
      <c r="U37" s="15">
        <v>17435</v>
      </c>
      <c r="V37" s="15">
        <v>17445</v>
      </c>
      <c r="W37" s="15">
        <v>17466</v>
      </c>
      <c r="X37" s="15">
        <v>17487</v>
      </c>
      <c r="Y37" s="15">
        <v>17501</v>
      </c>
      <c r="Z37" s="15">
        <v>15456</v>
      </c>
      <c r="AA37" s="15">
        <v>12641</v>
      </c>
      <c r="AB37" s="15">
        <v>13935</v>
      </c>
      <c r="AC37" s="15">
        <v>15467</v>
      </c>
      <c r="AD37" s="15">
        <v>15921</v>
      </c>
      <c r="AE37" s="15">
        <v>15432</v>
      </c>
      <c r="AF37" s="15">
        <v>12782</v>
      </c>
      <c r="AG37" s="15">
        <v>0</v>
      </c>
      <c r="AH37" s="15">
        <v>15469</v>
      </c>
      <c r="AI37" s="15">
        <v>0</v>
      </c>
      <c r="AJ37" s="15">
        <v>15934</v>
      </c>
      <c r="AK37" s="15">
        <v>15954</v>
      </c>
      <c r="AL37" s="15">
        <v>14263</v>
      </c>
      <c r="AM37" s="15">
        <v>15967</v>
      </c>
      <c r="AN37" s="15">
        <v>15945</v>
      </c>
      <c r="AO37" s="15">
        <v>15932</v>
      </c>
      <c r="AP37" s="15">
        <v>15957</v>
      </c>
      <c r="AQ37" s="15">
        <v>15955</v>
      </c>
      <c r="AR37" s="15">
        <v>15968</v>
      </c>
      <c r="AS37" s="16">
        <v>6.04</v>
      </c>
      <c r="AT37" s="16">
        <v>6.55</v>
      </c>
      <c r="AU37" s="16">
        <v>6.01</v>
      </c>
      <c r="AV37" s="16">
        <v>5.72</v>
      </c>
      <c r="AW37" s="16">
        <v>6.71</v>
      </c>
      <c r="AX37" s="16">
        <v>6.27</v>
      </c>
      <c r="AY37" s="16">
        <v>6</v>
      </c>
      <c r="AZ37" s="16">
        <v>5.79</v>
      </c>
      <c r="BA37" s="16">
        <v>6</v>
      </c>
      <c r="BB37" s="16">
        <v>6.65</v>
      </c>
      <c r="BC37" s="16">
        <v>6.61</v>
      </c>
      <c r="BD37" s="16">
        <v>6.36</v>
      </c>
      <c r="BE37" s="16">
        <v>6.31</v>
      </c>
      <c r="BF37" s="16">
        <v>6.18</v>
      </c>
      <c r="BG37" s="16">
        <v>6.29</v>
      </c>
      <c r="BH37" s="16">
        <v>6.5</v>
      </c>
      <c r="BI37" s="16">
        <v>6.63</v>
      </c>
      <c r="BJ37" s="16">
        <v>6.48</v>
      </c>
      <c r="BK37" s="16">
        <v>6.75</v>
      </c>
      <c r="BL37" s="16">
        <v>6.78</v>
      </c>
      <c r="BM37" s="16">
        <v>6.72</v>
      </c>
      <c r="BN37" s="16">
        <v>6.39</v>
      </c>
      <c r="BO37" s="16">
        <v>5.76</v>
      </c>
      <c r="BP37" s="16">
        <v>5.9</v>
      </c>
      <c r="BQ37" s="16">
        <v>6.3</v>
      </c>
      <c r="BR37" s="16">
        <v>5.66</v>
      </c>
      <c r="BS37" s="16">
        <v>5.5</v>
      </c>
      <c r="BT37" s="16">
        <v>5.76</v>
      </c>
      <c r="BU37" s="16">
        <v>5.28</v>
      </c>
      <c r="BV37" s="16">
        <v>0</v>
      </c>
      <c r="BW37" s="16">
        <v>5.85</v>
      </c>
      <c r="BX37" s="16">
        <v>5.65</v>
      </c>
      <c r="BY37" s="16">
        <v>5.63</v>
      </c>
      <c r="BZ37" s="16">
        <v>5.65</v>
      </c>
      <c r="CA37" s="16">
        <v>5.94</v>
      </c>
      <c r="CB37" s="16">
        <v>5.56</v>
      </c>
      <c r="CC37" s="16">
        <v>5.81</v>
      </c>
      <c r="CD37" s="16">
        <v>5.84</v>
      </c>
      <c r="CE37" s="16">
        <v>5.94</v>
      </c>
      <c r="CF37" s="17">
        <f>SUM(Input_Raw[[#This Row],[G01]:[G40]])</f>
        <v>590942</v>
      </c>
      <c r="CG37" s="18">
        <f>IFERROR(AVERAGE(Input_Raw[[#This Row],[WS_G01]:[WS_G40]]),"")</f>
        <v>5.9428205128205125</v>
      </c>
      <c r="CH37" s="19"/>
      <c r="CI37" s="19"/>
      <c r="CJ37" s="15">
        <v>239869</v>
      </c>
      <c r="CK37" s="15">
        <v>2173</v>
      </c>
      <c r="CL37" s="15">
        <v>279835</v>
      </c>
      <c r="CM37" s="15">
        <v>2202</v>
      </c>
      <c r="CN37" s="15">
        <v>255707</v>
      </c>
      <c r="CO37" s="15">
        <v>1809</v>
      </c>
      <c r="CP37" s="15">
        <v>291461</v>
      </c>
      <c r="CQ37" s="15">
        <v>1854</v>
      </c>
      <c r="CR37" s="91">
        <f>IF(((Input_Raw[[#This Row],[33 kV_Wind_F1_Export reading]]-CJ36)*1200)&gt;0,(Input_Raw[[#This Row],[33 kV_Wind_F1_Export reading]]-CJ36)*1200,0)</f>
        <v>157200</v>
      </c>
      <c r="CS37" s="91">
        <f>IF(((Input_Raw[[#This Row],[33 kV_Wind_F1_Import reading]]-CK36)*1200)&gt;0,(Input_Raw[[#This Row],[33 kV_Wind_F1_Import reading]]-CK36)*1200,0)</f>
        <v>0</v>
      </c>
      <c r="CT37" s="91">
        <f>IF(((Input_Raw[[#This Row],[33 kV_Wind_F2_Export_reading]]-CL36)*1200)&gt;0,(Input_Raw[[#This Row],[33 kV_Wind_F2_Export_reading]]-CL36)*1200,0)</f>
        <v>116400</v>
      </c>
      <c r="CU37" s="91">
        <f>IF(((Input_Raw[[#This Row],[33 kV_Wind_F2_Import_reading]]-CM36)*1200)&gt;0,(Input_Raw[[#This Row],[33 kV_Wind_F2_Import_reading]]-CM36)*1200,0)</f>
        <v>0</v>
      </c>
      <c r="CV37" s="91">
        <f>IF(((Input_Raw[[#This Row],[33 kV_Wind_F3_Export_Reading]]-CN36)*1200)&gt;0,(Input_Raw[[#This Row],[33 kV_Wind_F3_Export_Reading]]-CN36)*1200,0)</f>
        <v>141600</v>
      </c>
      <c r="CW37" s="91">
        <f>IF(((Input_Raw[[#This Row],[33 kV_Wind_F3_Import_Reading]]-CO36)*1200)&gt;0,(Input_Raw[[#This Row],[33 kV_Wind_F3_Import_Reading]]-CO36)*1200,0)</f>
        <v>0</v>
      </c>
      <c r="CX37" s="91">
        <f>IF(((Input_Raw[[#This Row],[33 kV_Wind_F4_Export Reading]]-CP36)*1200)&gt;0,(Input_Raw[[#This Row],[33 kV_Wind_F4_Export Reading]]-CP36)*1200,0)</f>
        <v>174000</v>
      </c>
      <c r="CY37" s="91">
        <f>IF(((Input_Raw[[#This Row],[33 kV_Wind_F4_Import Reading]]-CQ36)*1200)&gt;0,(Input_Raw[[#This Row],[33 kV_Wind_F4_Import Reading]]-CQ36)*1200,0)</f>
        <v>0</v>
      </c>
      <c r="CZ37" s="91">
        <f>Input_Raw[[#This Row],[33 kV_F1_Total_Export (KWh)]]+Input_Raw[[#This Row],[33 kV_F2_Total_Export (KWh)2]]+Input_Raw[[#This Row],[33 kV_Wind_F3_Export (KWh)]]+Input_Raw[[#This Row],[33 kV_Wind_F4_Export (KWh)]]</f>
        <v>589200</v>
      </c>
      <c r="DA37" s="91">
        <f>Input_Raw[[#This Row],[33 kV_Wind_F1_Import (KWh)]]+Input_Raw[[#This Row],[33 kV_Wind_F2_Import (KWh)]]+Input_Raw[[#This Row],[33 kV_Wind_F3_Import (KWh)2]]+Input_Raw[[#This Row],[33 kV_Wind_F4_Import (KWh)2]]</f>
        <v>0</v>
      </c>
      <c r="DB37" s="21">
        <f>IFERROR(1-Input_Raw[[#This Row],[33 kV_Wind_Total_Export (KWh)]]/Input_Raw[[#This Row],[WTG Total Gneration (KWh)]],0)</f>
        <v>2.9478358282200023E-3</v>
      </c>
      <c r="DC37" s="87">
        <v>96</v>
      </c>
      <c r="DD37" s="90">
        <v>129769</v>
      </c>
      <c r="DE37" s="102">
        <v>590.94000000000005</v>
      </c>
      <c r="DF37" s="99"/>
      <c r="DG37" s="101">
        <v>78</v>
      </c>
      <c r="DH37" s="167" t="s">
        <v>381</v>
      </c>
    </row>
    <row r="38" spans="1:112">
      <c r="A38" s="20">
        <f t="shared" si="3"/>
        <v>45778</v>
      </c>
      <c r="B38" s="12">
        <f>YEAR([1]!Input_Raw[[#This Row],[Date]])+IF(MONTH([1]!Input_Raw[[#This Row],[Date]])&gt;=4,1,0)</f>
        <v>2026</v>
      </c>
      <c r="C38" s="13">
        <f>YEAR([1]!Input_Raw[[#This Row],[Date]])</f>
        <v>2025</v>
      </c>
      <c r="D38" s="14">
        <f t="shared" si="2"/>
        <v>45778</v>
      </c>
      <c r="E38" s="13">
        <f>DAY(EOMONTH([1]!Input_Raw[[#This Row],[Date]],0))</f>
        <v>31</v>
      </c>
      <c r="F38" s="15">
        <v>16821</v>
      </c>
      <c r="G38" s="15">
        <v>16852</v>
      </c>
      <c r="H38" s="15">
        <v>16832</v>
      </c>
      <c r="I38" s="15">
        <v>16825</v>
      </c>
      <c r="J38" s="15">
        <v>15121</v>
      </c>
      <c r="K38" s="15">
        <v>16832</v>
      </c>
      <c r="L38" s="15">
        <v>16844</v>
      </c>
      <c r="M38" s="15">
        <v>16842</v>
      </c>
      <c r="N38" s="15">
        <v>16583</v>
      </c>
      <c r="O38" s="15">
        <v>16845</v>
      </c>
      <c r="P38" s="15">
        <v>16858</v>
      </c>
      <c r="Q38" s="15">
        <v>16574</v>
      </c>
      <c r="R38" s="15">
        <v>16587</v>
      </c>
      <c r="S38" s="15">
        <v>16537</v>
      </c>
      <c r="T38" s="15">
        <v>16573</v>
      </c>
      <c r="U38" s="15">
        <v>16001</v>
      </c>
      <c r="V38" s="15">
        <v>16529</v>
      </c>
      <c r="W38" s="15">
        <v>16542</v>
      </c>
      <c r="X38" s="15">
        <v>16584</v>
      </c>
      <c r="Y38" s="15">
        <v>16578</v>
      </c>
      <c r="Z38" s="15">
        <v>15124</v>
      </c>
      <c r="AA38" s="15">
        <v>13052</v>
      </c>
      <c r="AB38" s="15">
        <v>15142</v>
      </c>
      <c r="AC38" s="15">
        <v>15152</v>
      </c>
      <c r="AD38" s="15">
        <v>15528</v>
      </c>
      <c r="AE38" s="15">
        <v>15562</v>
      </c>
      <c r="AF38" s="15">
        <v>15526</v>
      </c>
      <c r="AG38" s="15">
        <v>0</v>
      </c>
      <c r="AH38" s="15">
        <v>13531</v>
      </c>
      <c r="AI38" s="15">
        <v>0</v>
      </c>
      <c r="AJ38" s="15">
        <v>15532</v>
      </c>
      <c r="AK38" s="15">
        <v>13574</v>
      </c>
      <c r="AL38" s="15">
        <v>15535</v>
      </c>
      <c r="AM38" s="15">
        <v>15534</v>
      </c>
      <c r="AN38" s="15">
        <v>15565</v>
      </c>
      <c r="AO38" s="15">
        <v>15546</v>
      </c>
      <c r="AP38" s="15">
        <v>15537</v>
      </c>
      <c r="AQ38" s="15">
        <v>15542</v>
      </c>
      <c r="AR38" s="15">
        <v>15543</v>
      </c>
      <c r="AS38" s="16">
        <v>5.58</v>
      </c>
      <c r="AT38" s="16">
        <v>6.55</v>
      </c>
      <c r="AU38" s="16">
        <v>5.67</v>
      </c>
      <c r="AV38" s="16">
        <v>5.72</v>
      </c>
      <c r="AW38" s="16">
        <v>6.71</v>
      </c>
      <c r="AX38" s="16">
        <v>6.27</v>
      </c>
      <c r="AY38" s="16">
        <v>6</v>
      </c>
      <c r="AZ38" s="16">
        <v>5.79</v>
      </c>
      <c r="BA38" s="16">
        <v>6</v>
      </c>
      <c r="BB38" s="16">
        <v>6.65</v>
      </c>
      <c r="BC38" s="16">
        <v>5.98</v>
      </c>
      <c r="BD38" s="16">
        <v>6.36</v>
      </c>
      <c r="BE38" s="16">
        <v>6.31</v>
      </c>
      <c r="BF38" s="16">
        <v>5.42</v>
      </c>
      <c r="BG38" s="16">
        <v>6.29</v>
      </c>
      <c r="BH38" s="16">
        <v>6.5</v>
      </c>
      <c r="BI38" s="16">
        <v>6.63</v>
      </c>
      <c r="BJ38" s="16">
        <v>6.48</v>
      </c>
      <c r="BK38" s="16">
        <v>6.75</v>
      </c>
      <c r="BL38" s="16">
        <v>6.78</v>
      </c>
      <c r="BM38" s="16">
        <v>6.72</v>
      </c>
      <c r="BN38" s="16">
        <v>6.39</v>
      </c>
      <c r="BO38" s="16">
        <v>5.76</v>
      </c>
      <c r="BP38" s="16">
        <v>5.9</v>
      </c>
      <c r="BQ38" s="16">
        <v>6.3</v>
      </c>
      <c r="BR38" s="16">
        <v>5.66</v>
      </c>
      <c r="BS38" s="16">
        <v>5.5</v>
      </c>
      <c r="BT38" s="16">
        <v>5.76</v>
      </c>
      <c r="BU38" s="16">
        <v>5.28</v>
      </c>
      <c r="BV38" s="16">
        <v>0</v>
      </c>
      <c r="BW38" s="16">
        <v>5.85</v>
      </c>
      <c r="BX38" s="16">
        <v>5.65</v>
      </c>
      <c r="BY38" s="16">
        <v>5.63</v>
      </c>
      <c r="BZ38" s="16">
        <v>5.65</v>
      </c>
      <c r="CA38" s="16">
        <v>5.94</v>
      </c>
      <c r="CB38" s="16">
        <v>5.56</v>
      </c>
      <c r="CC38" s="16">
        <v>5.81</v>
      </c>
      <c r="CD38" s="16">
        <v>5.84</v>
      </c>
      <c r="CE38" s="16">
        <v>5.94</v>
      </c>
      <c r="CF38" s="17">
        <f>SUM(Input_Raw[[#This Row],[G01]:[G40]])</f>
        <v>588285</v>
      </c>
      <c r="CG38" s="18">
        <f>IFERROR(AVERAGE(Input_Raw[[#This Row],[WS_G01]:[WS_G40]]),"")</f>
        <v>5.8866666666666667</v>
      </c>
      <c r="CH38" s="19"/>
      <c r="CI38" s="19"/>
      <c r="CJ38" s="15">
        <v>239996</v>
      </c>
      <c r="CK38" s="15">
        <v>2173</v>
      </c>
      <c r="CL38" s="15">
        <v>279932</v>
      </c>
      <c r="CM38" s="15">
        <v>2202</v>
      </c>
      <c r="CN38" s="15">
        <v>255833</v>
      </c>
      <c r="CO38" s="15">
        <v>1809</v>
      </c>
      <c r="CP38" s="15">
        <v>291598</v>
      </c>
      <c r="CQ38" s="15">
        <v>1854</v>
      </c>
      <c r="CR38" s="91">
        <f>IF(((Input_Raw[[#This Row],[33 kV_Wind_F1_Export reading]]-CJ37)*1200)&gt;0,(Input_Raw[[#This Row],[33 kV_Wind_F1_Export reading]]-CJ37)*1200,0)</f>
        <v>152400</v>
      </c>
      <c r="CS38" s="91">
        <f>IF(((Input_Raw[[#This Row],[33 kV_Wind_F1_Import reading]]-CK37)*1200)&gt;0,(Input_Raw[[#This Row],[33 kV_Wind_F1_Import reading]]-CK37)*1200,0)</f>
        <v>0</v>
      </c>
      <c r="CT38" s="91">
        <f>IF(((Input_Raw[[#This Row],[33 kV_Wind_F2_Export_reading]]-CL37)*1200)&gt;0,(Input_Raw[[#This Row],[33 kV_Wind_F2_Export_reading]]-CL37)*1200,0)</f>
        <v>116400</v>
      </c>
      <c r="CU38" s="91">
        <f>IF(((Input_Raw[[#This Row],[33 kV_Wind_F2_Import_reading]]-CM37)*1200)&gt;0,(Input_Raw[[#This Row],[33 kV_Wind_F2_Import_reading]]-CM37)*1200,0)</f>
        <v>0</v>
      </c>
      <c r="CV38" s="91">
        <f>IF(((Input_Raw[[#This Row],[33 kV_Wind_F3_Export_Reading]]-CN37)*1200)&gt;0,(Input_Raw[[#This Row],[33 kV_Wind_F3_Export_Reading]]-CN37)*1200,0)</f>
        <v>151200</v>
      </c>
      <c r="CW38" s="91">
        <f>IF(((Input_Raw[[#This Row],[33 kV_Wind_F3_Import_Reading]]-CO37)*1200)&gt;0,(Input_Raw[[#This Row],[33 kV_Wind_F3_Import_Reading]]-CO37)*1200,0)</f>
        <v>0</v>
      </c>
      <c r="CX38" s="91">
        <f>IF(((Input_Raw[[#This Row],[33 kV_Wind_F4_Export Reading]]-CP37)*1200)&gt;0,(Input_Raw[[#This Row],[33 kV_Wind_F4_Export Reading]]-CP37)*1200,0)</f>
        <v>164400</v>
      </c>
      <c r="CY38" s="91">
        <f>IF(((Input_Raw[[#This Row],[33 kV_Wind_F4_Import Reading]]-CQ37)*1200)&gt;0,(Input_Raw[[#This Row],[33 kV_Wind_F4_Import Reading]]-CQ37)*1200,0)</f>
        <v>0</v>
      </c>
      <c r="CZ38" s="91">
        <f>Input_Raw[[#This Row],[33 kV_F1_Total_Export (KWh)]]+Input_Raw[[#This Row],[33 kV_F2_Total_Export (KWh)2]]+Input_Raw[[#This Row],[33 kV_Wind_F3_Export (KWh)]]+Input_Raw[[#This Row],[33 kV_Wind_F4_Export (KWh)]]</f>
        <v>584400</v>
      </c>
      <c r="DA38" s="91">
        <f>Input_Raw[[#This Row],[33 kV_Wind_F1_Import (KWh)]]+Input_Raw[[#This Row],[33 kV_Wind_F2_Import (KWh)]]+Input_Raw[[#This Row],[33 kV_Wind_F3_Import (KWh)2]]+Input_Raw[[#This Row],[33 kV_Wind_F4_Import (KWh)2]]</f>
        <v>0</v>
      </c>
      <c r="DB38" s="21">
        <f>IFERROR(1-Input_Raw[[#This Row],[33 kV_Wind_Total_Export (KWh)]]/Input_Raw[[#This Row],[WTG Total Gneration (KWh)]],0)</f>
        <v>6.6039419669038368E-3</v>
      </c>
      <c r="DC38" s="87">
        <v>96</v>
      </c>
      <c r="DD38" s="90">
        <v>139458</v>
      </c>
      <c r="DE38" s="102">
        <v>588.28</v>
      </c>
      <c r="DF38" s="99"/>
      <c r="DG38" s="101">
        <v>78</v>
      </c>
      <c r="DH38" s="167" t="s">
        <v>381</v>
      </c>
    </row>
    <row r="39" spans="1:112">
      <c r="A39" s="20">
        <f>A38+1</f>
        <v>45779</v>
      </c>
      <c r="B39" s="12">
        <f>YEAR([1]!Input_Raw[[#This Row],[Date]])+IF(MONTH([1]!Input_Raw[[#This Row],[Date]])&gt;=4,1,0)</f>
        <v>2026</v>
      </c>
      <c r="C39" s="13">
        <f>YEAR([1]!Input_Raw[[#This Row],[Date]])</f>
        <v>2025</v>
      </c>
      <c r="D39" s="14">
        <f t="shared" si="2"/>
        <v>45778</v>
      </c>
      <c r="E39" s="13">
        <f>DAY(EOMONTH([1]!Input_Raw[[#This Row],[Date]],0))</f>
        <v>31</v>
      </c>
      <c r="F39" s="15">
        <v>14538</v>
      </c>
      <c r="G39" s="15">
        <v>14554</v>
      </c>
      <c r="H39" s="15">
        <v>14576</v>
      </c>
      <c r="I39" s="15">
        <v>14574</v>
      </c>
      <c r="J39" s="15">
        <v>12967</v>
      </c>
      <c r="K39" s="15">
        <v>14573</v>
      </c>
      <c r="L39" s="15">
        <v>11052</v>
      </c>
      <c r="M39" s="15">
        <v>14576</v>
      </c>
      <c r="N39" s="15">
        <v>13721</v>
      </c>
      <c r="O39" s="15">
        <v>14621</v>
      </c>
      <c r="P39" s="15">
        <v>14678</v>
      </c>
      <c r="Q39" s="15">
        <v>13753</v>
      </c>
      <c r="R39" s="15">
        <v>14749</v>
      </c>
      <c r="S39" s="15">
        <v>14756</v>
      </c>
      <c r="T39" s="15">
        <v>14732</v>
      </c>
      <c r="U39" s="15">
        <v>14765</v>
      </c>
      <c r="V39" s="15">
        <v>14768</v>
      </c>
      <c r="W39" s="15">
        <v>12952</v>
      </c>
      <c r="X39" s="15">
        <v>14789</v>
      </c>
      <c r="Y39" s="15">
        <v>14799</v>
      </c>
      <c r="Z39" s="15">
        <v>12888</v>
      </c>
      <c r="AA39" s="15">
        <v>12863</v>
      </c>
      <c r="AB39" s="15">
        <v>12877</v>
      </c>
      <c r="AC39" s="15">
        <v>12889</v>
      </c>
      <c r="AD39" s="15">
        <v>11834</v>
      </c>
      <c r="AE39" s="15">
        <v>11750</v>
      </c>
      <c r="AF39" s="15">
        <v>12844</v>
      </c>
      <c r="AG39" s="15">
        <v>0</v>
      </c>
      <c r="AH39" s="15">
        <v>12856</v>
      </c>
      <c r="AI39" s="15">
        <v>0</v>
      </c>
      <c r="AJ39" s="15">
        <v>11453</v>
      </c>
      <c r="AK39" s="15">
        <v>11842</v>
      </c>
      <c r="AL39" s="15">
        <v>11849</v>
      </c>
      <c r="AM39" s="15">
        <v>11832</v>
      </c>
      <c r="AN39" s="15">
        <v>11854</v>
      </c>
      <c r="AO39" s="15">
        <v>11844</v>
      </c>
      <c r="AP39" s="15">
        <v>11824</v>
      </c>
      <c r="AQ39" s="15">
        <v>11856</v>
      </c>
      <c r="AR39" s="15">
        <v>11845</v>
      </c>
      <c r="AS39" s="16">
        <v>4.7300000000000004</v>
      </c>
      <c r="AT39" s="16">
        <v>5.25</v>
      </c>
      <c r="AU39" s="16">
        <v>4.97</v>
      </c>
      <c r="AV39" s="16">
        <v>4.5599999999999996</v>
      </c>
      <c r="AW39" s="16">
        <v>4.53</v>
      </c>
      <c r="AX39" s="16">
        <v>5.13</v>
      </c>
      <c r="AY39" s="16">
        <v>4.74</v>
      </c>
      <c r="AZ39" s="16">
        <v>4.54</v>
      </c>
      <c r="BA39" s="16">
        <v>5.04</v>
      </c>
      <c r="BB39" s="16">
        <v>4.6500000000000004</v>
      </c>
      <c r="BC39" s="16">
        <v>5.08</v>
      </c>
      <c r="BD39" s="16">
        <v>5.09</v>
      </c>
      <c r="BE39" s="16">
        <v>5.15</v>
      </c>
      <c r="BF39" s="16">
        <v>6.01</v>
      </c>
      <c r="BG39" s="16">
        <v>4.79</v>
      </c>
      <c r="BH39" s="16">
        <v>4.63</v>
      </c>
      <c r="BI39" s="16">
        <v>4.4000000000000004</v>
      </c>
      <c r="BJ39" s="16">
        <v>4.6900000000000004</v>
      </c>
      <c r="BK39" s="16">
        <v>5.17</v>
      </c>
      <c r="BL39" s="16">
        <v>5.05</v>
      </c>
      <c r="BM39" s="16">
        <v>4.8</v>
      </c>
      <c r="BN39" s="16">
        <v>4.95</v>
      </c>
      <c r="BO39" s="16">
        <v>4.57</v>
      </c>
      <c r="BP39" s="16">
        <v>4.87</v>
      </c>
      <c r="BQ39" s="16">
        <v>4.67</v>
      </c>
      <c r="BR39" s="16">
        <v>4.45</v>
      </c>
      <c r="BS39" s="16">
        <v>4.4800000000000004</v>
      </c>
      <c r="BT39" s="16">
        <v>0</v>
      </c>
      <c r="BU39" s="16">
        <v>4.42</v>
      </c>
      <c r="BV39" s="16">
        <v>0</v>
      </c>
      <c r="BW39" s="16">
        <v>4.25</v>
      </c>
      <c r="BX39" s="16">
        <v>4.37</v>
      </c>
      <c r="BY39" s="16">
        <v>4.4800000000000004</v>
      </c>
      <c r="BZ39" s="16">
        <v>4.63</v>
      </c>
      <c r="CA39" s="16">
        <v>4.57</v>
      </c>
      <c r="CB39" s="16">
        <v>4.4400000000000004</v>
      </c>
      <c r="CC39" s="16">
        <v>4.53</v>
      </c>
      <c r="CD39" s="16">
        <v>4.53</v>
      </c>
      <c r="CE39" s="16">
        <v>4.67</v>
      </c>
      <c r="CF39" s="17">
        <f>SUM(Input_Raw[[#This Row],[G01]:[G40]])</f>
        <v>491493</v>
      </c>
      <c r="CG39" s="18">
        <f>IFERROR(AVERAGE(Input_Raw[[#This Row],[WS_G01]:[WS_G40]]),"")</f>
        <v>4.5097435897435885</v>
      </c>
      <c r="CH39" s="19"/>
      <c r="CI39" s="19"/>
      <c r="CJ39" s="15">
        <v>240094</v>
      </c>
      <c r="CK39" s="15">
        <v>2173</v>
      </c>
      <c r="CL39" s="15">
        <v>280017</v>
      </c>
      <c r="CM39" s="15">
        <v>2202</v>
      </c>
      <c r="CN39" s="15">
        <v>255927</v>
      </c>
      <c r="CO39" s="15">
        <v>1809</v>
      </c>
      <c r="CP39" s="15">
        <v>291712</v>
      </c>
      <c r="CQ39" s="15">
        <v>1854</v>
      </c>
      <c r="CR39" s="91">
        <f>IF(((Input_Raw[[#This Row],[33 kV_Wind_F1_Export reading]]-CJ38)*1200)&gt;0,(Input_Raw[[#This Row],[33 kV_Wind_F1_Export reading]]-CJ38)*1200,0)</f>
        <v>117600</v>
      </c>
      <c r="CS39" s="91">
        <f>IF(((Input_Raw[[#This Row],[33 kV_Wind_F1_Import reading]]-CK38)*1200)&gt;0,(Input_Raw[[#This Row],[33 kV_Wind_F1_Import reading]]-CK38)*1200,0)</f>
        <v>0</v>
      </c>
      <c r="CT39" s="91">
        <f>IF(((Input_Raw[[#This Row],[33 kV_Wind_F2_Export_reading]]-CL38)*1200)&gt;0,(Input_Raw[[#This Row],[33 kV_Wind_F2_Export_reading]]-CL38)*1200,0)</f>
        <v>102000</v>
      </c>
      <c r="CU39" s="91">
        <f>IF(((Input_Raw[[#This Row],[33 kV_Wind_F2_Import_reading]]-CM38)*1200)&gt;0,(Input_Raw[[#This Row],[33 kV_Wind_F2_Import_reading]]-CM38)*1200,0)</f>
        <v>0</v>
      </c>
      <c r="CV39" s="91">
        <f>IF(((Input_Raw[[#This Row],[33 kV_Wind_F3_Export_Reading]]-CN38)*1200)&gt;0,(Input_Raw[[#This Row],[33 kV_Wind_F3_Export_Reading]]-CN38)*1200,0)</f>
        <v>112800</v>
      </c>
      <c r="CW39" s="91">
        <f>IF(((Input_Raw[[#This Row],[33 kV_Wind_F3_Import_Reading]]-CO38)*1200)&gt;0,(Input_Raw[[#This Row],[33 kV_Wind_F3_Import_Reading]]-CO38)*1200,0)</f>
        <v>0</v>
      </c>
      <c r="CX39" s="91">
        <f>IF(((Input_Raw[[#This Row],[33 kV_Wind_F4_Export Reading]]-CP38)*1200)&gt;0,(Input_Raw[[#This Row],[33 kV_Wind_F4_Export Reading]]-CP38)*1200,0)</f>
        <v>136800</v>
      </c>
      <c r="CY39" s="91">
        <f>IF(((Input_Raw[[#This Row],[33 kV_Wind_F4_Import Reading]]-CQ38)*1200)&gt;0,(Input_Raw[[#This Row],[33 kV_Wind_F4_Import Reading]]-CQ38)*1200,0)</f>
        <v>0</v>
      </c>
      <c r="CZ39" s="91">
        <f>Input_Raw[[#This Row],[33 kV_F1_Total_Export (KWh)]]+Input_Raw[[#This Row],[33 kV_F2_Total_Export (KWh)2]]+Input_Raw[[#This Row],[33 kV_Wind_F3_Export (KWh)]]+Input_Raw[[#This Row],[33 kV_Wind_F4_Export (KWh)]]</f>
        <v>469200</v>
      </c>
      <c r="DA39" s="91">
        <f>Input_Raw[[#This Row],[33 kV_Wind_F1_Import (KWh)]]+Input_Raw[[#This Row],[33 kV_Wind_F2_Import (KWh)]]+Input_Raw[[#This Row],[33 kV_Wind_F3_Import (KWh)2]]+Input_Raw[[#This Row],[33 kV_Wind_F4_Import (KWh)2]]</f>
        <v>0</v>
      </c>
      <c r="DB39" s="21">
        <f>IFERROR(1-Input_Raw[[#This Row],[33 kV_Wind_Total_Export (KWh)]]/Input_Raw[[#This Row],[WTG Total Gneration (KWh)]],0)</f>
        <v>4.5357716183139996E-2</v>
      </c>
      <c r="DC39" s="87">
        <v>96</v>
      </c>
      <c r="DD39" s="90">
        <v>152479</v>
      </c>
      <c r="DE39" s="102">
        <v>491.49</v>
      </c>
      <c r="DF39" s="99"/>
      <c r="DG39" s="101">
        <v>78</v>
      </c>
      <c r="DH39" s="167" t="s">
        <v>381</v>
      </c>
    </row>
    <row r="40" spans="1:112">
      <c r="A40" s="20">
        <f>A39+1</f>
        <v>45780</v>
      </c>
      <c r="B40" s="12">
        <f>YEAR([1]!Input_Raw[[#This Row],[Date]])+IF(MONTH([1]!Input_Raw[[#This Row],[Date]])&gt;=4,1,0)</f>
        <v>2026</v>
      </c>
      <c r="C40" s="13">
        <f>YEAR([1]!Input_Raw[[#This Row],[Date]])</f>
        <v>2025</v>
      </c>
      <c r="D40" s="14">
        <f t="shared" si="2"/>
        <v>45778</v>
      </c>
      <c r="E40" s="13">
        <f>DAY(EOMONTH([1]!Input_Raw[[#This Row],[Date]],0))</f>
        <v>31</v>
      </c>
      <c r="F40" s="15">
        <v>17432</v>
      </c>
      <c r="G40" s="15">
        <v>17421</v>
      </c>
      <c r="H40" s="15">
        <v>17434</v>
      </c>
      <c r="I40" s="15">
        <v>17442</v>
      </c>
      <c r="J40" s="15">
        <v>16349</v>
      </c>
      <c r="K40" s="15">
        <v>17435</v>
      </c>
      <c r="L40" s="15">
        <v>17425</v>
      </c>
      <c r="M40" s="15">
        <v>17443</v>
      </c>
      <c r="N40" s="15">
        <v>17731</v>
      </c>
      <c r="O40" s="15">
        <v>17456</v>
      </c>
      <c r="P40" s="15">
        <v>17489</v>
      </c>
      <c r="Q40" s="15">
        <v>17727</v>
      </c>
      <c r="R40" s="15">
        <v>18239</v>
      </c>
      <c r="S40" s="15">
        <v>18211</v>
      </c>
      <c r="T40" s="15">
        <v>18234</v>
      </c>
      <c r="U40" s="15">
        <v>18242</v>
      </c>
      <c r="V40" s="15">
        <v>18222</v>
      </c>
      <c r="W40" s="15">
        <v>18234</v>
      </c>
      <c r="X40" s="15">
        <v>17248</v>
      </c>
      <c r="Y40" s="15">
        <v>18221</v>
      </c>
      <c r="Z40" s="15">
        <v>16595</v>
      </c>
      <c r="AA40" s="15">
        <v>16548</v>
      </c>
      <c r="AB40" s="15">
        <v>16531</v>
      </c>
      <c r="AC40" s="15">
        <v>16523</v>
      </c>
      <c r="AD40" s="15">
        <v>14845</v>
      </c>
      <c r="AE40" s="15">
        <v>16543</v>
      </c>
      <c r="AF40" s="15">
        <v>16562</v>
      </c>
      <c r="AG40" s="15">
        <v>0</v>
      </c>
      <c r="AH40" s="15">
        <v>16569</v>
      </c>
      <c r="AI40" s="15">
        <v>0</v>
      </c>
      <c r="AJ40" s="15">
        <v>14321</v>
      </c>
      <c r="AK40" s="15">
        <v>14856</v>
      </c>
      <c r="AL40" s="15">
        <v>14842</v>
      </c>
      <c r="AM40" s="15">
        <v>13521</v>
      </c>
      <c r="AN40" s="15">
        <v>14847</v>
      </c>
      <c r="AO40" s="15">
        <v>14834</v>
      </c>
      <c r="AP40" s="15">
        <v>14841</v>
      </c>
      <c r="AQ40" s="15">
        <v>14865</v>
      </c>
      <c r="AR40" s="15">
        <v>14852</v>
      </c>
      <c r="AS40" s="16">
        <v>7.28</v>
      </c>
      <c r="AT40" s="16">
        <v>7.74</v>
      </c>
      <c r="AU40" s="16">
        <v>7.38</v>
      </c>
      <c r="AV40" s="16">
        <v>7.5</v>
      </c>
      <c r="AW40" s="16">
        <v>6.95</v>
      </c>
      <c r="AX40" s="16">
        <v>6.64</v>
      </c>
      <c r="AY40" s="89">
        <v>6.2</v>
      </c>
      <c r="AZ40" s="16">
        <v>7.59</v>
      </c>
      <c r="BA40" s="16">
        <v>7.79</v>
      </c>
      <c r="BB40" s="16">
        <v>7.37</v>
      </c>
      <c r="BC40" s="16">
        <v>7.73</v>
      </c>
      <c r="BD40" s="16">
        <v>7.52</v>
      </c>
      <c r="BE40" s="16">
        <v>7.72</v>
      </c>
      <c r="BF40" s="16">
        <v>7.67</v>
      </c>
      <c r="BG40" s="16">
        <v>7.75</v>
      </c>
      <c r="BH40" s="16">
        <v>7.66</v>
      </c>
      <c r="BI40" s="16">
        <v>8.3800000000000008</v>
      </c>
      <c r="BJ40" s="16">
        <v>7.44</v>
      </c>
      <c r="BK40" s="16">
        <v>8.44</v>
      </c>
      <c r="BL40" s="16">
        <v>7.02</v>
      </c>
      <c r="BM40" s="16">
        <v>6.9</v>
      </c>
      <c r="BN40" s="16">
        <v>7.2</v>
      </c>
      <c r="BO40" s="16">
        <v>7.24</v>
      </c>
      <c r="BP40" s="16">
        <v>7.4</v>
      </c>
      <c r="BQ40" s="16">
        <v>7.39</v>
      </c>
      <c r="BR40" s="16">
        <v>7.05</v>
      </c>
      <c r="BS40" s="16">
        <v>6.74</v>
      </c>
      <c r="BT40" s="16">
        <v>0</v>
      </c>
      <c r="BU40" s="16">
        <v>7.37</v>
      </c>
      <c r="BV40" s="16">
        <v>0</v>
      </c>
      <c r="BW40" s="16">
        <v>6.79</v>
      </c>
      <c r="BX40" s="16">
        <v>6.65</v>
      </c>
      <c r="BY40" s="16">
        <v>6.54</v>
      </c>
      <c r="BZ40" s="16">
        <v>7.02</v>
      </c>
      <c r="CA40" s="16">
        <v>7.65</v>
      </c>
      <c r="CB40" s="16">
        <v>7.66</v>
      </c>
      <c r="CC40" s="16">
        <v>6.74</v>
      </c>
      <c r="CD40" s="16">
        <v>6.53</v>
      </c>
      <c r="CE40" s="16">
        <v>7.19</v>
      </c>
      <c r="CF40" s="17">
        <f>SUM(Input_Raw[[#This Row],[G01]:[G40]])</f>
        <v>616130</v>
      </c>
      <c r="CG40" s="18">
        <f>IFERROR(AVERAGE(Input_Raw[[#This Row],[WS_G01]:[WS_G40]]),"")</f>
        <v>6.9187179487179487</v>
      </c>
      <c r="CH40" s="19"/>
      <c r="CI40" s="19"/>
      <c r="CJ40" s="15">
        <v>240216</v>
      </c>
      <c r="CK40" s="15">
        <v>2173</v>
      </c>
      <c r="CL40" s="15">
        <v>280127</v>
      </c>
      <c r="CM40" s="15">
        <v>2203</v>
      </c>
      <c r="CN40" s="15">
        <v>256057</v>
      </c>
      <c r="CO40" s="15">
        <v>1809</v>
      </c>
      <c r="CP40" s="15">
        <v>291862</v>
      </c>
      <c r="CQ40" s="15">
        <v>1854</v>
      </c>
      <c r="CR40" s="91">
        <f>IF(((Input_Raw[[#This Row],[33 kV_Wind_F1_Export reading]]-CJ39)*1200)&gt;0,(Input_Raw[[#This Row],[33 kV_Wind_F1_Export reading]]-CJ39)*1200,0)</f>
        <v>146400</v>
      </c>
      <c r="CS40" s="91">
        <f>IF(((Input_Raw[[#This Row],[33 kV_Wind_F1_Import reading]]-CK39)*1200)&gt;0,(Input_Raw[[#This Row],[33 kV_Wind_F1_Import reading]]-CK39)*1200,0)</f>
        <v>0</v>
      </c>
      <c r="CT40" s="91">
        <f>IF(((Input_Raw[[#This Row],[33 kV_Wind_F2_Export_reading]]-CL39)*1200)&gt;0,(Input_Raw[[#This Row],[33 kV_Wind_F2_Export_reading]]-CL39)*1200,0)</f>
        <v>132000</v>
      </c>
      <c r="CU40" s="91">
        <f>IF(((Input_Raw[[#This Row],[33 kV_Wind_F2_Import_reading]]-CM39)*1200)&gt;0,(Input_Raw[[#This Row],[33 kV_Wind_F2_Import_reading]]-CM39)*1200,0)</f>
        <v>1200</v>
      </c>
      <c r="CV40" s="91">
        <f>IF(((Input_Raw[[#This Row],[33 kV_Wind_F3_Export_Reading]]-CN39)*1200)&gt;0,(Input_Raw[[#This Row],[33 kV_Wind_F3_Export_Reading]]-CN39)*1200,0)</f>
        <v>156000</v>
      </c>
      <c r="CW40" s="91">
        <f>IF(((Input_Raw[[#This Row],[33 kV_Wind_F3_Import_Reading]]-CO39)*1200)&gt;0,(Input_Raw[[#This Row],[33 kV_Wind_F3_Import_Reading]]-CO39)*1200,0)</f>
        <v>0</v>
      </c>
      <c r="CX40" s="91">
        <f>IF(((Input_Raw[[#This Row],[33 kV_Wind_F4_Export Reading]]-CP39)*1200)&gt;0,(Input_Raw[[#This Row],[33 kV_Wind_F4_Export Reading]]-CP39)*1200,0)</f>
        <v>180000</v>
      </c>
      <c r="CY40" s="91">
        <f>IF(((Input_Raw[[#This Row],[33 kV_Wind_F4_Import Reading]]-CQ39)*1200)&gt;0,(Input_Raw[[#This Row],[33 kV_Wind_F4_Import Reading]]-CQ39)*1200,0)</f>
        <v>0</v>
      </c>
      <c r="CZ40" s="91">
        <f>Input_Raw[[#This Row],[33 kV_F1_Total_Export (KWh)]]+Input_Raw[[#This Row],[33 kV_F2_Total_Export (KWh)2]]+Input_Raw[[#This Row],[33 kV_Wind_F3_Export (KWh)]]+Input_Raw[[#This Row],[33 kV_Wind_F4_Export (KWh)]]</f>
        <v>614400</v>
      </c>
      <c r="DA40" s="91">
        <f>Input_Raw[[#This Row],[33 kV_Wind_F1_Import (KWh)]]+Input_Raw[[#This Row],[33 kV_Wind_F2_Import (KWh)]]+Input_Raw[[#This Row],[33 kV_Wind_F3_Import (KWh)2]]+Input_Raw[[#This Row],[33 kV_Wind_F4_Import (KWh)2]]</f>
        <v>1200</v>
      </c>
      <c r="DB40" s="21">
        <f>IFERROR(1-Input_Raw[[#This Row],[33 kV_Wind_Total_Export (KWh)]]/Input_Raw[[#This Row],[WTG Total Gneration (KWh)]],0)</f>
        <v>2.8078489929073136E-3</v>
      </c>
      <c r="DC40" s="87">
        <v>96</v>
      </c>
      <c r="DD40" s="90">
        <v>208104</v>
      </c>
      <c r="DE40" s="102">
        <v>616.13</v>
      </c>
      <c r="DF40" s="99"/>
      <c r="DG40" s="101">
        <v>78</v>
      </c>
      <c r="DH40" s="168" t="s">
        <v>381</v>
      </c>
    </row>
    <row r="41" spans="1:112">
      <c r="A41" s="20">
        <f>A40+1</f>
        <v>45781</v>
      </c>
      <c r="B41" s="12">
        <f>YEAR([1]!Input_Raw[[#This Row],[Date]])+IF(MONTH([1]!Input_Raw[[#This Row],[Date]])&gt;=4,1,0)</f>
        <v>2026</v>
      </c>
      <c r="C41" s="13">
        <f>YEAR([1]!Input_Raw[[#This Row],[Date]])</f>
        <v>2025</v>
      </c>
      <c r="D41" s="14">
        <f t="shared" si="2"/>
        <v>45778</v>
      </c>
      <c r="E41" s="13">
        <f>DAY(EOMONTH([1]!Input_Raw[[#This Row],[Date]],0))</f>
        <v>31</v>
      </c>
      <c r="F41" s="15">
        <v>10932</v>
      </c>
      <c r="G41" s="15">
        <v>10952</v>
      </c>
      <c r="H41" s="15">
        <v>10976</v>
      </c>
      <c r="I41" s="15">
        <v>10967</v>
      </c>
      <c r="J41" s="15">
        <v>11167</v>
      </c>
      <c r="K41" s="15">
        <v>10974</v>
      </c>
      <c r="L41" s="15">
        <v>10953</v>
      </c>
      <c r="M41" s="15">
        <v>10963</v>
      </c>
      <c r="N41" s="15">
        <v>13230</v>
      </c>
      <c r="O41" s="15">
        <v>10963</v>
      </c>
      <c r="P41" s="15">
        <v>10977</v>
      </c>
      <c r="Q41" s="15">
        <v>13571</v>
      </c>
      <c r="R41" s="15">
        <v>13578</v>
      </c>
      <c r="S41" s="15">
        <v>13064</v>
      </c>
      <c r="T41" s="15">
        <v>13853</v>
      </c>
      <c r="U41" s="15">
        <v>13852</v>
      </c>
      <c r="V41" s="15">
        <v>13674</v>
      </c>
      <c r="W41" s="15">
        <v>13569</v>
      </c>
      <c r="X41" s="15">
        <v>13863</v>
      </c>
      <c r="Y41" s="15">
        <v>13761</v>
      </c>
      <c r="Z41" s="15">
        <v>11153</v>
      </c>
      <c r="AA41" s="15">
        <v>11012</v>
      </c>
      <c r="AB41" s="15">
        <v>11145</v>
      </c>
      <c r="AC41" s="15">
        <v>11147</v>
      </c>
      <c r="AD41" s="15">
        <v>5192</v>
      </c>
      <c r="AE41" s="15">
        <v>11151</v>
      </c>
      <c r="AF41" s="15">
        <v>11152</v>
      </c>
      <c r="AG41" s="15">
        <v>0</v>
      </c>
      <c r="AH41" s="15">
        <v>11164</v>
      </c>
      <c r="AI41" s="15">
        <v>0</v>
      </c>
      <c r="AJ41" s="15">
        <v>8752</v>
      </c>
      <c r="AK41" s="15">
        <v>8732</v>
      </c>
      <c r="AL41" s="15">
        <v>8758</v>
      </c>
      <c r="AM41" s="15">
        <v>8787</v>
      </c>
      <c r="AN41" s="15">
        <v>5147</v>
      </c>
      <c r="AO41" s="15">
        <v>8759</v>
      </c>
      <c r="AP41" s="15">
        <v>8742</v>
      </c>
      <c r="AQ41" s="15">
        <v>8795</v>
      </c>
      <c r="AR41" s="15">
        <v>8749</v>
      </c>
      <c r="AS41" s="16">
        <v>4.8499999999999996</v>
      </c>
      <c r="AT41" s="16">
        <v>5.37</v>
      </c>
      <c r="AU41" s="16">
        <v>4.76</v>
      </c>
      <c r="AV41" s="16">
        <v>4.7699999999999996</v>
      </c>
      <c r="AW41" s="16">
        <v>5.09</v>
      </c>
      <c r="AX41" s="16">
        <v>5.19</v>
      </c>
      <c r="AY41" s="16">
        <v>4.8</v>
      </c>
      <c r="AZ41" s="16">
        <v>4.87</v>
      </c>
      <c r="BA41" s="16">
        <v>5.25</v>
      </c>
      <c r="BB41" s="16">
        <v>4.9800000000000004</v>
      </c>
      <c r="BC41" s="16">
        <v>5.45</v>
      </c>
      <c r="BD41" s="16">
        <v>5.28</v>
      </c>
      <c r="BE41" s="16">
        <v>5.32</v>
      </c>
      <c r="BF41" s="16">
        <v>5.14</v>
      </c>
      <c r="BG41" s="16">
        <v>5.09</v>
      </c>
      <c r="BH41" s="16">
        <v>5.27</v>
      </c>
      <c r="BI41" s="16">
        <v>5.07</v>
      </c>
      <c r="BJ41" s="16">
        <v>5.36</v>
      </c>
      <c r="BK41" s="16">
        <v>6.59</v>
      </c>
      <c r="BL41" s="16">
        <v>5.63</v>
      </c>
      <c r="BM41" s="16">
        <v>5.4</v>
      </c>
      <c r="BN41" s="16">
        <v>5.44</v>
      </c>
      <c r="BO41" s="16">
        <v>4.66</v>
      </c>
      <c r="BP41" s="16">
        <v>4.9800000000000004</v>
      </c>
      <c r="BQ41" s="16">
        <v>4.95</v>
      </c>
      <c r="BR41" s="16">
        <v>4.71</v>
      </c>
      <c r="BS41" s="16">
        <v>4.88</v>
      </c>
      <c r="BT41" s="16">
        <v>0</v>
      </c>
      <c r="BU41" s="16">
        <v>4.8600000000000003</v>
      </c>
      <c r="BV41" s="16">
        <v>0</v>
      </c>
      <c r="BW41" s="16">
        <v>4.59</v>
      </c>
      <c r="BX41" s="16">
        <v>4.7300000000000004</v>
      </c>
      <c r="BY41" s="16">
        <v>4.88</v>
      </c>
      <c r="BZ41" s="16">
        <v>4.88</v>
      </c>
      <c r="CA41" s="16">
        <v>5.07</v>
      </c>
      <c r="CB41" s="16">
        <v>5.05</v>
      </c>
      <c r="CC41" s="16">
        <v>4.83</v>
      </c>
      <c r="CD41" s="16">
        <v>4.74</v>
      </c>
      <c r="CE41" s="16">
        <v>5.01</v>
      </c>
      <c r="CF41" s="17">
        <f>SUM(Input_Raw[[#This Row],[G01]:[G40]])</f>
        <v>404176</v>
      </c>
      <c r="CG41" s="18">
        <f>IFERROR(AVERAGE(Input_Raw[[#This Row],[WS_G01]:[WS_G40]]),"")</f>
        <v>4.8151282051282047</v>
      </c>
      <c r="CH41" s="19"/>
      <c r="CI41" s="19"/>
      <c r="CJ41" s="15">
        <v>240282</v>
      </c>
      <c r="CK41" s="15">
        <v>2174</v>
      </c>
      <c r="CL41" s="15">
        <v>280201</v>
      </c>
      <c r="CM41" s="15">
        <v>2203</v>
      </c>
      <c r="CN41" s="15">
        <v>256139</v>
      </c>
      <c r="CO41" s="15">
        <v>1810</v>
      </c>
      <c r="CP41" s="15">
        <v>291971</v>
      </c>
      <c r="CQ41" s="15">
        <v>1855</v>
      </c>
      <c r="CR41" s="91">
        <f>IF(((Input_Raw[[#This Row],[33 kV_Wind_F1_Export reading]]-CJ40)*1200)&gt;0,(Input_Raw[[#This Row],[33 kV_Wind_F1_Export reading]]-CJ40)*1200,0)</f>
        <v>79200</v>
      </c>
      <c r="CS41" s="91">
        <f>IF(((Input_Raw[[#This Row],[33 kV_Wind_F1_Import reading]]-CK40)*1200)&gt;0,(Input_Raw[[#This Row],[33 kV_Wind_F1_Import reading]]-CK40)*1200,0)</f>
        <v>1200</v>
      </c>
      <c r="CT41" s="91">
        <f>IF(((Input_Raw[[#This Row],[33 kV_Wind_F2_Export_reading]]-CL40)*1200)&gt;0,(Input_Raw[[#This Row],[33 kV_Wind_F2_Export_reading]]-CL40)*1200,0)</f>
        <v>88800</v>
      </c>
      <c r="CU41" s="91">
        <f>IF(((Input_Raw[[#This Row],[33 kV_Wind_F2_Import_reading]]-CM40)*1200)&gt;0,(Input_Raw[[#This Row],[33 kV_Wind_F2_Import_reading]]-CM40)*1200,0)</f>
        <v>0</v>
      </c>
      <c r="CV41" s="91">
        <f>IF(((Input_Raw[[#This Row],[33 kV_Wind_F3_Export_Reading]]-CN40)*1200)&gt;0,(Input_Raw[[#This Row],[33 kV_Wind_F3_Export_Reading]]-CN40)*1200,0)</f>
        <v>98400</v>
      </c>
      <c r="CW41" s="91">
        <f>IF(((Input_Raw[[#This Row],[33 kV_Wind_F3_Import_Reading]]-CO40)*1200)&gt;0,(Input_Raw[[#This Row],[33 kV_Wind_F3_Import_Reading]]-CO40)*1200,0)</f>
        <v>1200</v>
      </c>
      <c r="CX41" s="91">
        <f>IF(((Input_Raw[[#This Row],[33 kV_Wind_F4_Export Reading]]-CP40)*1200)&gt;0,(Input_Raw[[#This Row],[33 kV_Wind_F4_Export Reading]]-CP40)*1200,0)</f>
        <v>130800</v>
      </c>
      <c r="CY41" s="91">
        <f>IF(((Input_Raw[[#This Row],[33 kV_Wind_F4_Import Reading]]-CQ40)*1200)&gt;0,(Input_Raw[[#This Row],[33 kV_Wind_F4_Import Reading]]-CQ40)*1200,0)</f>
        <v>1200</v>
      </c>
      <c r="CZ41" s="91">
        <f>Input_Raw[[#This Row],[33 kV_F1_Total_Export (KWh)]]+Input_Raw[[#This Row],[33 kV_F2_Total_Export (KWh)2]]+Input_Raw[[#This Row],[33 kV_Wind_F3_Export (KWh)]]+Input_Raw[[#This Row],[33 kV_Wind_F4_Export (KWh)]]</f>
        <v>397200</v>
      </c>
      <c r="DA41" s="91">
        <f>Input_Raw[[#This Row],[33 kV_Wind_F1_Import (KWh)]]+Input_Raw[[#This Row],[33 kV_Wind_F2_Import (KWh)]]+Input_Raw[[#This Row],[33 kV_Wind_F3_Import (KWh)2]]+Input_Raw[[#This Row],[33 kV_Wind_F4_Import (KWh)2]]</f>
        <v>3600</v>
      </c>
      <c r="DB41" s="21">
        <f>IFERROR(1-Input_Raw[[#This Row],[33 kV_Wind_Total_Export (KWh)]]/Input_Raw[[#This Row],[WTG Total Gneration (KWh)]],0)</f>
        <v>1.7259807608566602E-2</v>
      </c>
      <c r="DC41" s="87">
        <v>96</v>
      </c>
      <c r="DD41" s="90">
        <v>7564</v>
      </c>
      <c r="DE41" s="102">
        <v>404.17</v>
      </c>
      <c r="DF41" s="99"/>
      <c r="DG41" s="101">
        <v>78</v>
      </c>
      <c r="DH41" s="168" t="s">
        <v>381</v>
      </c>
    </row>
    <row r="42" spans="1:112">
      <c r="A42" s="20">
        <f>A41+1</f>
        <v>45782</v>
      </c>
      <c r="B42" s="12">
        <f>YEAR([1]!Input_Raw[[#This Row],[Date]])+IF(MONTH([1]!Input_Raw[[#This Row],[Date]])&gt;=4,1,0)</f>
        <v>2026</v>
      </c>
      <c r="C42" s="13">
        <f>YEAR([1]!Input_Raw[[#This Row],[Date]])</f>
        <v>2025</v>
      </c>
      <c r="D42" s="14">
        <f t="shared" si="2"/>
        <v>45778</v>
      </c>
      <c r="E42" s="13">
        <f>DAY(EOMONTH([1]!Input_Raw[[#This Row],[Date]],0))</f>
        <v>31</v>
      </c>
      <c r="F42" s="15">
        <v>6172</v>
      </c>
      <c r="G42" s="15">
        <v>8301</v>
      </c>
      <c r="H42" s="15">
        <v>8352</v>
      </c>
      <c r="I42" s="15">
        <v>8341</v>
      </c>
      <c r="J42" s="15">
        <v>6500</v>
      </c>
      <c r="K42" s="15">
        <v>8346</v>
      </c>
      <c r="L42" s="15">
        <v>8346</v>
      </c>
      <c r="M42" s="15">
        <v>8323</v>
      </c>
      <c r="N42" s="15">
        <v>8289</v>
      </c>
      <c r="O42" s="15">
        <v>8356</v>
      </c>
      <c r="P42" s="15">
        <v>8367</v>
      </c>
      <c r="Q42" s="15">
        <v>8021</v>
      </c>
      <c r="R42" s="15">
        <v>8240</v>
      </c>
      <c r="S42" s="15">
        <v>8026</v>
      </c>
      <c r="T42" s="15">
        <v>8256</v>
      </c>
      <c r="U42" s="15">
        <v>8254</v>
      </c>
      <c r="V42" s="15">
        <v>8562</v>
      </c>
      <c r="W42" s="15">
        <v>8267</v>
      </c>
      <c r="X42" s="15">
        <v>8287</v>
      </c>
      <c r="Y42" s="15">
        <v>8299</v>
      </c>
      <c r="Z42" s="15">
        <v>6521</v>
      </c>
      <c r="AA42" s="15">
        <v>6524</v>
      </c>
      <c r="AB42" s="15">
        <v>7721</v>
      </c>
      <c r="AC42" s="15">
        <v>7752</v>
      </c>
      <c r="AD42" s="15">
        <v>0</v>
      </c>
      <c r="AE42" s="15">
        <v>7767</v>
      </c>
      <c r="AF42" s="15">
        <v>7756</v>
      </c>
      <c r="AG42" s="15">
        <v>0</v>
      </c>
      <c r="AH42" s="15">
        <v>7741</v>
      </c>
      <c r="AI42" s="15">
        <v>0</v>
      </c>
      <c r="AJ42" s="15">
        <v>5832</v>
      </c>
      <c r="AK42" s="15">
        <v>5847</v>
      </c>
      <c r="AL42" s="15">
        <v>5831</v>
      </c>
      <c r="AM42" s="15">
        <v>5867</v>
      </c>
      <c r="AN42" s="15">
        <v>5844</v>
      </c>
      <c r="AO42" s="15">
        <v>5821</v>
      </c>
      <c r="AP42" s="15">
        <v>5853</v>
      </c>
      <c r="AQ42" s="15">
        <v>5849</v>
      </c>
      <c r="AR42" s="15">
        <v>5885</v>
      </c>
      <c r="AS42" s="16">
        <v>4.58</v>
      </c>
      <c r="AT42" s="16">
        <v>4.46</v>
      </c>
      <c r="AU42" s="16">
        <v>3.97</v>
      </c>
      <c r="AV42" s="16">
        <v>4.1500000000000004</v>
      </c>
      <c r="AW42" s="16">
        <v>3.78</v>
      </c>
      <c r="AX42" s="16">
        <v>4.38</v>
      </c>
      <c r="AY42" s="16">
        <v>4.4000000000000004</v>
      </c>
      <c r="AZ42" s="16">
        <v>4.13</v>
      </c>
      <c r="BA42" s="16">
        <v>4.08</v>
      </c>
      <c r="BB42" s="16">
        <v>3.95</v>
      </c>
      <c r="BC42" s="16">
        <v>4.01</v>
      </c>
      <c r="BD42" s="16">
        <v>4.04</v>
      </c>
      <c r="BE42" s="16">
        <v>3.98</v>
      </c>
      <c r="BF42" s="16">
        <v>3.84</v>
      </c>
      <c r="BG42" s="16">
        <v>3.92</v>
      </c>
      <c r="BH42" s="16">
        <v>3.95</v>
      </c>
      <c r="BI42" s="16">
        <v>4.1500000000000004</v>
      </c>
      <c r="BJ42" s="16">
        <v>4.01</v>
      </c>
      <c r="BK42" s="16">
        <v>3.99</v>
      </c>
      <c r="BL42" s="16">
        <v>4.01</v>
      </c>
      <c r="BM42" s="16">
        <v>3.76</v>
      </c>
      <c r="BN42" s="16">
        <v>3.87</v>
      </c>
      <c r="BO42" s="16">
        <v>3.95</v>
      </c>
      <c r="BP42" s="16">
        <v>4.26</v>
      </c>
      <c r="BQ42" s="16">
        <v>4.2</v>
      </c>
      <c r="BR42" s="16">
        <v>4.22</v>
      </c>
      <c r="BS42" s="16">
        <v>4.21</v>
      </c>
      <c r="BT42" s="16">
        <v>0</v>
      </c>
      <c r="BU42" s="16">
        <v>5.44</v>
      </c>
      <c r="BV42" s="16">
        <v>0</v>
      </c>
      <c r="BW42" s="16">
        <v>4.17</v>
      </c>
      <c r="BX42" s="16">
        <v>4.1500000000000004</v>
      </c>
      <c r="BY42" s="16">
        <v>4.32</v>
      </c>
      <c r="BZ42" s="16">
        <v>4.55</v>
      </c>
      <c r="CA42" s="16">
        <v>6.32</v>
      </c>
      <c r="CB42" s="16">
        <v>4.45</v>
      </c>
      <c r="CC42" s="16">
        <v>4.87</v>
      </c>
      <c r="CD42" s="16">
        <v>4.3099999999999996</v>
      </c>
      <c r="CE42" s="16">
        <v>5.39</v>
      </c>
      <c r="CF42" s="17">
        <f>SUM(Input_Raw[[#This Row],[G01]:[G40]])</f>
        <v>266316</v>
      </c>
      <c r="CG42" s="18">
        <f>IFERROR(AVERAGE(Input_Raw[[#This Row],[WS_G01]:[WS_G40]]),"")</f>
        <v>4.056923076923078</v>
      </c>
      <c r="CH42" s="19"/>
      <c r="CI42" s="19"/>
      <c r="CJ42" s="15">
        <v>240325</v>
      </c>
      <c r="CK42" s="15">
        <v>2174</v>
      </c>
      <c r="CL42" s="15">
        <v>280249</v>
      </c>
      <c r="CM42" s="15">
        <v>2203</v>
      </c>
      <c r="CN42" s="15">
        <v>256199</v>
      </c>
      <c r="CO42" s="15">
        <v>1810</v>
      </c>
      <c r="CP42" s="15">
        <v>292039</v>
      </c>
      <c r="CQ42" s="15">
        <v>1855</v>
      </c>
      <c r="CR42" s="91">
        <f>IF(((Input_Raw[[#This Row],[33 kV_Wind_F1_Export reading]]-CJ41)*1200)&gt;0,(Input_Raw[[#This Row],[33 kV_Wind_F1_Export reading]]-CJ41)*1200,0)</f>
        <v>51600</v>
      </c>
      <c r="CS42" s="91">
        <f>IF(((Input_Raw[[#This Row],[33 kV_Wind_F1_Import reading]]-CK41)*1200)&gt;0,(Input_Raw[[#This Row],[33 kV_Wind_F1_Import reading]]-CK41)*1200,0)</f>
        <v>0</v>
      </c>
      <c r="CT42" s="91">
        <f>IF(((Input_Raw[[#This Row],[33 kV_Wind_F2_Export_reading]]-CL41)*1200)&gt;0,(Input_Raw[[#This Row],[33 kV_Wind_F2_Export_reading]]-CL41)*1200,0)</f>
        <v>57600</v>
      </c>
      <c r="CU42" s="91">
        <f>IF(((Input_Raw[[#This Row],[33 kV_Wind_F2_Import_reading]]-CM41)*1200)&gt;0,(Input_Raw[[#This Row],[33 kV_Wind_F2_Import_reading]]-CM41)*1200,0)</f>
        <v>0</v>
      </c>
      <c r="CV42" s="91">
        <f>IF(((Input_Raw[[#This Row],[33 kV_Wind_F3_Export_Reading]]-CN41)*1200)&gt;0,(Input_Raw[[#This Row],[33 kV_Wind_F3_Export_Reading]]-CN41)*1200,0)</f>
        <v>72000</v>
      </c>
      <c r="CW42" s="91">
        <f>IF(((Input_Raw[[#This Row],[33 kV_Wind_F3_Import_Reading]]-CO41)*1200)&gt;0,(Input_Raw[[#This Row],[33 kV_Wind_F3_Import_Reading]]-CO41)*1200,0)</f>
        <v>0</v>
      </c>
      <c r="CX42" s="91">
        <f>IF(((Input_Raw[[#This Row],[33 kV_Wind_F4_Export Reading]]-CP41)*1200)&gt;0,(Input_Raw[[#This Row],[33 kV_Wind_F4_Export Reading]]-CP41)*1200,0)</f>
        <v>81600</v>
      </c>
      <c r="CY42" s="91">
        <f>IF(((Input_Raw[[#This Row],[33 kV_Wind_F4_Import Reading]]-CQ41)*1200)&gt;0,(Input_Raw[[#This Row],[33 kV_Wind_F4_Import Reading]]-CQ41)*1200,0)</f>
        <v>0</v>
      </c>
      <c r="CZ42" s="91">
        <f>Input_Raw[[#This Row],[33 kV_F1_Total_Export (KWh)]]+Input_Raw[[#This Row],[33 kV_F2_Total_Export (KWh)2]]+Input_Raw[[#This Row],[33 kV_Wind_F3_Export (KWh)]]+Input_Raw[[#This Row],[33 kV_Wind_F4_Export (KWh)]]</f>
        <v>262800</v>
      </c>
      <c r="DA42" s="91">
        <f>Input_Raw[[#This Row],[33 kV_Wind_F1_Import (KWh)]]+Input_Raw[[#This Row],[33 kV_Wind_F2_Import (KWh)]]+Input_Raw[[#This Row],[33 kV_Wind_F3_Import (KWh)2]]+Input_Raw[[#This Row],[33 kV_Wind_F4_Import (KWh)2]]</f>
        <v>0</v>
      </c>
      <c r="DB42" s="21">
        <f>IFERROR(1-Input_Raw[[#This Row],[33 kV_Wind_Total_Export (KWh)]]/Input_Raw[[#This Row],[WTG Total Gneration (KWh)]],0)</f>
        <v>1.3202361104852844E-2</v>
      </c>
      <c r="DC42" s="87">
        <v>96</v>
      </c>
      <c r="DD42" s="90">
        <v>53090</v>
      </c>
      <c r="DE42" s="102">
        <v>266.31</v>
      </c>
      <c r="DF42" s="99"/>
      <c r="DG42" s="101">
        <v>78</v>
      </c>
      <c r="DH42" s="168" t="s">
        <v>381</v>
      </c>
    </row>
    <row r="43" spans="1:112">
      <c r="A43" s="20">
        <f>A42+1</f>
        <v>45783</v>
      </c>
      <c r="B43" s="12">
        <f>YEAR([1]!Input_Raw[[#This Row],[Date]])+IF(MONTH([1]!Input_Raw[[#This Row],[Date]])&gt;=4,1,0)</f>
        <v>2026</v>
      </c>
      <c r="C43" s="13">
        <f>YEAR([1]!Input_Raw[[#This Row],[Date]])</f>
        <v>2025</v>
      </c>
      <c r="D43" s="14">
        <f t="shared" si="2"/>
        <v>45778</v>
      </c>
      <c r="E43" s="13">
        <f>DAY(EOMONTH([1]!Input_Raw[[#This Row],[Date]],0))</f>
        <v>31</v>
      </c>
      <c r="F43" s="15">
        <v>9263</v>
      </c>
      <c r="G43" s="15">
        <v>9255</v>
      </c>
      <c r="H43" s="15">
        <v>9241</v>
      </c>
      <c r="I43" s="15">
        <v>9245</v>
      </c>
      <c r="J43" s="15">
        <v>8301</v>
      </c>
      <c r="K43" s="15">
        <v>9247</v>
      </c>
      <c r="L43" s="15">
        <v>9251</v>
      </c>
      <c r="M43" s="15">
        <v>9053</v>
      </c>
      <c r="N43" s="15">
        <v>9673</v>
      </c>
      <c r="O43" s="15">
        <v>9249</v>
      </c>
      <c r="P43" s="15">
        <v>9287</v>
      </c>
      <c r="Q43" s="15">
        <v>9681</v>
      </c>
      <c r="R43" s="15">
        <v>9657</v>
      </c>
      <c r="S43" s="15">
        <v>9652</v>
      </c>
      <c r="T43" s="15">
        <v>9645</v>
      </c>
      <c r="U43" s="15">
        <v>8562</v>
      </c>
      <c r="V43" s="15">
        <v>9644</v>
      </c>
      <c r="W43" s="15">
        <v>9640</v>
      </c>
      <c r="X43" s="15">
        <v>8361</v>
      </c>
      <c r="Y43" s="15">
        <v>9688</v>
      </c>
      <c r="Z43" s="15">
        <v>8321</v>
      </c>
      <c r="AA43" s="15">
        <v>7531</v>
      </c>
      <c r="AB43" s="15">
        <v>7542</v>
      </c>
      <c r="AC43" s="15">
        <v>8367</v>
      </c>
      <c r="AD43" s="15">
        <v>3521</v>
      </c>
      <c r="AE43" s="15">
        <v>8356</v>
      </c>
      <c r="AF43" s="15">
        <v>8376</v>
      </c>
      <c r="AG43" s="15">
        <v>0</v>
      </c>
      <c r="AH43" s="15">
        <v>8364</v>
      </c>
      <c r="AI43" s="15">
        <v>0</v>
      </c>
      <c r="AJ43" s="15">
        <v>6972</v>
      </c>
      <c r="AK43" s="15">
        <v>6964</v>
      </c>
      <c r="AL43" s="15">
        <v>6977</v>
      </c>
      <c r="AM43" s="15">
        <v>6952</v>
      </c>
      <c r="AN43" s="15">
        <v>6953</v>
      </c>
      <c r="AO43" s="15">
        <v>5128</v>
      </c>
      <c r="AP43" s="15">
        <v>6945</v>
      </c>
      <c r="AQ43" s="15">
        <v>6983</v>
      </c>
      <c r="AR43" s="15">
        <v>6961</v>
      </c>
      <c r="AS43" s="16">
        <v>4.76</v>
      </c>
      <c r="AT43" s="16">
        <v>4.88</v>
      </c>
      <c r="AU43" s="16">
        <v>4.8</v>
      </c>
      <c r="AV43" s="16">
        <v>4.6500000000000004</v>
      </c>
      <c r="AW43" s="16">
        <v>4.2699999999999996</v>
      </c>
      <c r="AX43" s="16">
        <v>5.04</v>
      </c>
      <c r="AY43" s="16">
        <v>5.09</v>
      </c>
      <c r="AZ43" s="16">
        <v>4.76</v>
      </c>
      <c r="BA43" s="16">
        <v>4.82</v>
      </c>
      <c r="BB43" s="16">
        <v>4.8</v>
      </c>
      <c r="BC43" s="16">
        <v>4.93</v>
      </c>
      <c r="BD43" s="16">
        <v>4.74</v>
      </c>
      <c r="BE43" s="16">
        <v>4.55</v>
      </c>
      <c r="BF43" s="16">
        <v>4.63</v>
      </c>
      <c r="BG43" s="16">
        <v>4.57</v>
      </c>
      <c r="BH43" s="16">
        <v>4.63</v>
      </c>
      <c r="BI43" s="16">
        <v>4.82</v>
      </c>
      <c r="BJ43" s="16">
        <v>4.84</v>
      </c>
      <c r="BK43" s="16">
        <v>4.83</v>
      </c>
      <c r="BL43" s="16">
        <v>5.0999999999999996</v>
      </c>
      <c r="BM43" s="16">
        <v>4.76</v>
      </c>
      <c r="BN43" s="16">
        <v>4.34</v>
      </c>
      <c r="BO43" s="16">
        <v>4.24</v>
      </c>
      <c r="BP43" s="16">
        <v>4.4800000000000004</v>
      </c>
      <c r="BQ43" s="16">
        <v>4.55</v>
      </c>
      <c r="BR43" s="16">
        <v>4.34</v>
      </c>
      <c r="BS43" s="16">
        <v>4.26</v>
      </c>
      <c r="BT43" s="16">
        <v>0</v>
      </c>
      <c r="BU43" s="16">
        <v>3.79</v>
      </c>
      <c r="BV43" s="16">
        <v>0</v>
      </c>
      <c r="BW43" s="16">
        <v>4.37</v>
      </c>
      <c r="BX43" s="16">
        <v>4.3</v>
      </c>
      <c r="BY43" s="16">
        <v>4.4800000000000004</v>
      </c>
      <c r="BZ43" s="16">
        <v>4.78</v>
      </c>
      <c r="CA43" s="16">
        <v>4.74</v>
      </c>
      <c r="CB43" s="16">
        <v>4.25</v>
      </c>
      <c r="CC43" s="16">
        <v>4.4400000000000004</v>
      </c>
      <c r="CD43" s="16">
        <v>4.59</v>
      </c>
      <c r="CE43" s="16">
        <v>5.03</v>
      </c>
      <c r="CF43" s="17">
        <f>SUM(Input_Raw[[#This Row],[G01]:[G40]])</f>
        <v>306808</v>
      </c>
      <c r="CG43" s="18">
        <f>IFERROR(AVERAGE(Input_Raw[[#This Row],[WS_G01]:[WS_G40]]),"")</f>
        <v>4.3910256410256414</v>
      </c>
      <c r="CH43" s="19"/>
      <c r="CI43" s="19"/>
      <c r="CJ43" s="15">
        <v>240378</v>
      </c>
      <c r="CK43" s="15">
        <v>2175</v>
      </c>
      <c r="CL43" s="15">
        <v>280303</v>
      </c>
      <c r="CM43" s="15">
        <v>2204</v>
      </c>
      <c r="CN43" s="15">
        <v>256268</v>
      </c>
      <c r="CO43" s="15">
        <v>1811</v>
      </c>
      <c r="CP43" s="15">
        <v>292117</v>
      </c>
      <c r="CQ43" s="15">
        <v>1856</v>
      </c>
      <c r="CR43" s="91">
        <f>IF(((Input_Raw[[#This Row],[33 kV_Wind_F1_Export reading]]-CJ42)*1200)&gt;0,(Input_Raw[[#This Row],[33 kV_Wind_F1_Export reading]]-CJ42)*1200,0)</f>
        <v>63600</v>
      </c>
      <c r="CS43" s="91">
        <f>IF(((Input_Raw[[#This Row],[33 kV_Wind_F1_Import reading]]-CK42)*1200)&gt;0,(Input_Raw[[#This Row],[33 kV_Wind_F1_Import reading]]-CK42)*1200,0)</f>
        <v>1200</v>
      </c>
      <c r="CT43" s="91">
        <f>IF(((Input_Raw[[#This Row],[33 kV_Wind_F2_Export_reading]]-CL42)*1200)&gt;0,(Input_Raw[[#This Row],[33 kV_Wind_F2_Export_reading]]-CL42)*1200,0)</f>
        <v>64800</v>
      </c>
      <c r="CU43" s="91">
        <f>IF(((Input_Raw[[#This Row],[33 kV_Wind_F2_Import_reading]]-CM42)*1200)&gt;0,(Input_Raw[[#This Row],[33 kV_Wind_F2_Import_reading]]-CM42)*1200,0)</f>
        <v>1200</v>
      </c>
      <c r="CV43" s="91">
        <f>IF(((Input_Raw[[#This Row],[33 kV_Wind_F3_Export_Reading]]-CN42)*1200)&gt;0,(Input_Raw[[#This Row],[33 kV_Wind_F3_Export_Reading]]-CN42)*1200,0)</f>
        <v>82800</v>
      </c>
      <c r="CW43" s="91">
        <f>IF(((Input_Raw[[#This Row],[33 kV_Wind_F3_Import_Reading]]-CO42)*1200)&gt;0,(Input_Raw[[#This Row],[33 kV_Wind_F3_Import_Reading]]-CO42)*1200,0)</f>
        <v>1200</v>
      </c>
      <c r="CX43" s="91">
        <f>IF(((Input_Raw[[#This Row],[33 kV_Wind_F4_Export Reading]]-CP42)*1200)&gt;0,(Input_Raw[[#This Row],[33 kV_Wind_F4_Export Reading]]-CP42)*1200,0)</f>
        <v>93600</v>
      </c>
      <c r="CY43" s="91">
        <f>IF(((Input_Raw[[#This Row],[33 kV_Wind_F4_Import Reading]]-CQ42)*1200)&gt;0,(Input_Raw[[#This Row],[33 kV_Wind_F4_Import Reading]]-CQ42)*1200,0)</f>
        <v>1200</v>
      </c>
      <c r="CZ43" s="91">
        <f>Input_Raw[[#This Row],[33 kV_F1_Total_Export (KWh)]]+Input_Raw[[#This Row],[33 kV_F2_Total_Export (KWh)2]]+Input_Raw[[#This Row],[33 kV_Wind_F3_Export (KWh)]]+Input_Raw[[#This Row],[33 kV_Wind_F4_Export (KWh)]]</f>
        <v>304800</v>
      </c>
      <c r="DA43" s="91">
        <f>Input_Raw[[#This Row],[33 kV_Wind_F1_Import (KWh)]]+Input_Raw[[#This Row],[33 kV_Wind_F2_Import (KWh)]]+Input_Raw[[#This Row],[33 kV_Wind_F3_Import (KWh)2]]+Input_Raw[[#This Row],[33 kV_Wind_F4_Import (KWh)2]]</f>
        <v>4800</v>
      </c>
      <c r="DB43" s="21">
        <f>IFERROR(1-Input_Raw[[#This Row],[33 kV_Wind_Total_Export (KWh)]]/Input_Raw[[#This Row],[WTG Total Gneration (KWh)]],0)</f>
        <v>6.5448097833172847E-3</v>
      </c>
      <c r="DC43" s="87">
        <v>96</v>
      </c>
      <c r="DD43" s="90">
        <v>42452</v>
      </c>
      <c r="DE43" s="102">
        <v>306.8</v>
      </c>
      <c r="DF43" s="99"/>
      <c r="DG43" s="101">
        <v>78</v>
      </c>
      <c r="DH43" s="168" t="s">
        <v>381</v>
      </c>
    </row>
    <row r="44" spans="1:112">
      <c r="A44" s="20">
        <f t="shared" ref="A44:A49" si="4">A43+1</f>
        <v>45784</v>
      </c>
      <c r="B44" s="12">
        <f>YEAR([1]!Input_Raw[[#This Row],[Date]])+IF(MONTH([1]!Input_Raw[[#This Row],[Date]])&gt;=4,1,0)</f>
        <v>2026</v>
      </c>
      <c r="C44" s="13">
        <f>YEAR([1]!Input_Raw[[#This Row],[Date]])</f>
        <v>2025</v>
      </c>
      <c r="D44" s="14">
        <f t="shared" ref="D44:D107" si="5">A44-DAY(A44)+1</f>
        <v>45778</v>
      </c>
      <c r="E44" s="13">
        <f>DAY(EOMONTH([1]!Input_Raw[[#This Row],[Date]],0))</f>
        <v>31</v>
      </c>
      <c r="F44" s="15">
        <v>10973</v>
      </c>
      <c r="G44" s="15">
        <v>12685</v>
      </c>
      <c r="H44" s="15">
        <v>12694</v>
      </c>
      <c r="I44" s="15">
        <v>11052</v>
      </c>
      <c r="J44" s="15">
        <v>8461</v>
      </c>
      <c r="K44" s="15">
        <v>11205</v>
      </c>
      <c r="L44" s="15">
        <v>10989</v>
      </c>
      <c r="M44" s="15">
        <v>12648</v>
      </c>
      <c r="N44" s="15">
        <v>14478</v>
      </c>
      <c r="O44" s="15">
        <v>12686</v>
      </c>
      <c r="P44" s="15">
        <v>12734</v>
      </c>
      <c r="Q44" s="15">
        <v>14484</v>
      </c>
      <c r="R44" s="15">
        <v>14476</v>
      </c>
      <c r="S44" s="15">
        <v>14467</v>
      </c>
      <c r="T44" s="15">
        <v>14489</v>
      </c>
      <c r="U44" s="15">
        <v>13963</v>
      </c>
      <c r="V44" s="15">
        <v>14472</v>
      </c>
      <c r="W44" s="15">
        <v>13735</v>
      </c>
      <c r="X44" s="15">
        <v>14535</v>
      </c>
      <c r="Y44" s="15">
        <v>14599</v>
      </c>
      <c r="Z44" s="15">
        <v>4731</v>
      </c>
      <c r="AA44" s="15">
        <v>4538</v>
      </c>
      <c r="AB44" s="15">
        <v>4634</v>
      </c>
      <c r="AC44" s="15">
        <v>4587</v>
      </c>
      <c r="AD44" s="15">
        <v>4742</v>
      </c>
      <c r="AE44" s="15">
        <v>9472</v>
      </c>
      <c r="AF44" s="15">
        <v>9453</v>
      </c>
      <c r="AG44" s="15">
        <v>0</v>
      </c>
      <c r="AH44" s="15">
        <v>4967</v>
      </c>
      <c r="AI44" s="15">
        <v>0</v>
      </c>
      <c r="AJ44" s="15">
        <v>4739</v>
      </c>
      <c r="AK44" s="15">
        <v>4790</v>
      </c>
      <c r="AL44" s="15">
        <v>4021</v>
      </c>
      <c r="AM44" s="15">
        <v>4783</v>
      </c>
      <c r="AN44" s="15">
        <v>4762</v>
      </c>
      <c r="AO44" s="15">
        <v>3904</v>
      </c>
      <c r="AP44" s="15">
        <v>3632</v>
      </c>
      <c r="AQ44" s="15">
        <v>6794</v>
      </c>
      <c r="AR44" s="15">
        <v>6749</v>
      </c>
      <c r="AS44" s="16">
        <v>4.8499999999999996</v>
      </c>
      <c r="AT44" s="16">
        <v>5.37</v>
      </c>
      <c r="AU44" s="16">
        <v>4.76</v>
      </c>
      <c r="AV44" s="16">
        <v>4.7699999999999996</v>
      </c>
      <c r="AW44" s="16">
        <v>5.09</v>
      </c>
      <c r="AX44" s="16">
        <v>5.19</v>
      </c>
      <c r="AY44" s="16">
        <v>4.8</v>
      </c>
      <c r="AZ44" s="16">
        <v>4.87</v>
      </c>
      <c r="BA44" s="16">
        <v>5.25</v>
      </c>
      <c r="BB44" s="16">
        <v>4.9800000000000004</v>
      </c>
      <c r="BC44" s="16">
        <v>5.45</v>
      </c>
      <c r="BD44" s="16">
        <v>5.28</v>
      </c>
      <c r="BE44" s="16">
        <v>5.32</v>
      </c>
      <c r="BF44" s="16">
        <v>5.14</v>
      </c>
      <c r="BG44" s="16">
        <v>5.09</v>
      </c>
      <c r="BH44" s="16">
        <v>5.27</v>
      </c>
      <c r="BI44" s="16">
        <v>5.07</v>
      </c>
      <c r="BJ44" s="16">
        <v>5.36</v>
      </c>
      <c r="BK44" s="16">
        <v>6.59</v>
      </c>
      <c r="BL44" s="16">
        <v>5.63</v>
      </c>
      <c r="BM44" s="16">
        <v>5.4</v>
      </c>
      <c r="BN44" s="16">
        <v>5.44</v>
      </c>
      <c r="BO44" s="16">
        <v>4.66</v>
      </c>
      <c r="BP44" s="16">
        <v>4.9800000000000004</v>
      </c>
      <c r="BQ44" s="16">
        <v>4.95</v>
      </c>
      <c r="BR44" s="16">
        <v>4.71</v>
      </c>
      <c r="BS44" s="16">
        <v>4.88</v>
      </c>
      <c r="BT44" s="16">
        <v>0</v>
      </c>
      <c r="BU44" s="16">
        <v>4.8600000000000003</v>
      </c>
      <c r="BV44" s="16">
        <v>0</v>
      </c>
      <c r="BW44" s="16">
        <v>4.59</v>
      </c>
      <c r="BX44" s="16">
        <v>4.7300000000000004</v>
      </c>
      <c r="BY44" s="16">
        <v>4.88</v>
      </c>
      <c r="BZ44" s="16">
        <v>4.88</v>
      </c>
      <c r="CA44" s="16">
        <v>5.07</v>
      </c>
      <c r="CB44" s="16">
        <v>5.05</v>
      </c>
      <c r="CC44" s="16">
        <v>4.83</v>
      </c>
      <c r="CD44" s="16">
        <v>4.74</v>
      </c>
      <c r="CE44" s="16">
        <v>5.01</v>
      </c>
      <c r="CF44" s="17">
        <f>SUM(Input_Raw[[#This Row],[G01]:[G40]])</f>
        <v>351123</v>
      </c>
      <c r="CG44" s="18">
        <f>IFERROR(AVERAGE(Input_Raw[[#This Row],[WS_G01]:[WS_G40]]),"")</f>
        <v>4.8151282051282047</v>
      </c>
      <c r="CH44" s="19"/>
      <c r="CI44" s="19"/>
      <c r="CJ44" s="15">
        <v>240415</v>
      </c>
      <c r="CK44" s="15">
        <v>2175</v>
      </c>
      <c r="CL44" s="15">
        <v>280338</v>
      </c>
      <c r="CM44" s="15">
        <v>2204</v>
      </c>
      <c r="CN44" s="15">
        <v>256357</v>
      </c>
      <c r="CO44" s="15">
        <v>1811</v>
      </c>
      <c r="CP44" s="15">
        <v>292236</v>
      </c>
      <c r="CQ44" s="15">
        <v>1856</v>
      </c>
      <c r="CR44" s="91">
        <f>IF(((Input_Raw[[#This Row],[33 kV_Wind_F1_Export reading]]-CJ43)*1200)&gt;0,(Input_Raw[[#This Row],[33 kV_Wind_F1_Export reading]]-CJ43)*1200,0)</f>
        <v>44400</v>
      </c>
      <c r="CS44" s="91">
        <f>IF(((Input_Raw[[#This Row],[33 kV_Wind_F1_Import reading]]-CK43)*1200)&gt;0,(Input_Raw[[#This Row],[33 kV_Wind_F1_Import reading]]-CK43)*1200,0)</f>
        <v>0</v>
      </c>
      <c r="CT44" s="91">
        <f>IF(((Input_Raw[[#This Row],[33 kV_Wind_F2_Export_reading]]-CL43)*1200)&gt;0,(Input_Raw[[#This Row],[33 kV_Wind_F2_Export_reading]]-CL43)*1200,0)</f>
        <v>42000</v>
      </c>
      <c r="CU44" s="91">
        <f>IF(((Input_Raw[[#This Row],[33 kV_Wind_F2_Import_reading]]-CM43)*1200)&gt;0,(Input_Raw[[#This Row],[33 kV_Wind_F2_Import_reading]]-CM43)*1200,0)</f>
        <v>0</v>
      </c>
      <c r="CV44" s="91">
        <f>IF(((Input_Raw[[#This Row],[33 kV_Wind_F3_Export_Reading]]-CN43)*1200)&gt;0,(Input_Raw[[#This Row],[33 kV_Wind_F3_Export_Reading]]-CN43)*1200,0)</f>
        <v>106800</v>
      </c>
      <c r="CW44" s="91">
        <f>IF(((Input_Raw[[#This Row],[33 kV_Wind_F3_Import_Reading]]-CO43)*1200)&gt;0,(Input_Raw[[#This Row],[33 kV_Wind_F3_Import_Reading]]-CO43)*1200,0)</f>
        <v>0</v>
      </c>
      <c r="CX44" s="91">
        <f>IF(((Input_Raw[[#This Row],[33 kV_Wind_F4_Export Reading]]-CP43)*1200)&gt;0,(Input_Raw[[#This Row],[33 kV_Wind_F4_Export Reading]]-CP43)*1200,0)</f>
        <v>142800</v>
      </c>
      <c r="CY44" s="91">
        <f>IF(((Input_Raw[[#This Row],[33 kV_Wind_F4_Import Reading]]-CQ43)*1200)&gt;0,(Input_Raw[[#This Row],[33 kV_Wind_F4_Import Reading]]-CQ43)*1200,0)</f>
        <v>0</v>
      </c>
      <c r="CZ44" s="91">
        <f>Input_Raw[[#This Row],[33 kV_F1_Total_Export (KWh)]]+Input_Raw[[#This Row],[33 kV_F2_Total_Export (KWh)2]]+Input_Raw[[#This Row],[33 kV_Wind_F3_Export (KWh)]]+Input_Raw[[#This Row],[33 kV_Wind_F4_Export (KWh)]]</f>
        <v>336000</v>
      </c>
      <c r="DA44" s="91">
        <f>Input_Raw[[#This Row],[33 kV_Wind_F1_Import (KWh)]]+Input_Raw[[#This Row],[33 kV_Wind_F2_Import (KWh)]]+Input_Raw[[#This Row],[33 kV_Wind_F3_Import (KWh)2]]+Input_Raw[[#This Row],[33 kV_Wind_F4_Import (KWh)2]]</f>
        <v>0</v>
      </c>
      <c r="DB44" s="21">
        <f>IFERROR(1-Input_Raw[[#This Row],[33 kV_Wind_Total_Export (KWh)]]/Input_Raw[[#This Row],[WTG Total Gneration (KWh)]],0)</f>
        <v>4.3070377047359498E-2</v>
      </c>
      <c r="DC44" s="100">
        <v>96</v>
      </c>
      <c r="DD44" s="87">
        <v>45221</v>
      </c>
      <c r="DE44" s="102">
        <v>351.12</v>
      </c>
      <c r="DF44" s="99"/>
      <c r="DG44" s="101">
        <v>78</v>
      </c>
      <c r="DH44" s="168" t="s">
        <v>381</v>
      </c>
    </row>
    <row r="45" spans="1:112">
      <c r="A45" s="20">
        <f t="shared" si="4"/>
        <v>45785</v>
      </c>
      <c r="B45" s="12">
        <f>YEAR([1]!Input_Raw[[#This Row],[Date]])+IF(MONTH([1]!Input_Raw[[#This Row],[Date]])&gt;=4,1,0)</f>
        <v>2026</v>
      </c>
      <c r="C45" s="13">
        <f>YEAR([1]!Input_Raw[[#This Row],[Date]])</f>
        <v>2025</v>
      </c>
      <c r="D45" s="14">
        <f t="shared" si="5"/>
        <v>45778</v>
      </c>
      <c r="E45" s="13">
        <f>DAY(EOMONTH([1]!Input_Raw[[#This Row],[Date]],0))</f>
        <v>31</v>
      </c>
      <c r="F45" s="15">
        <v>8876</v>
      </c>
      <c r="G45" s="15">
        <v>8856</v>
      </c>
      <c r="H45" s="15">
        <v>8467</v>
      </c>
      <c r="I45" s="15">
        <v>8849</v>
      </c>
      <c r="J45" s="15">
        <v>7901</v>
      </c>
      <c r="K45" s="15">
        <v>8860</v>
      </c>
      <c r="L45" s="15">
        <v>8872</v>
      </c>
      <c r="M45" s="15">
        <v>8893</v>
      </c>
      <c r="N45" s="15">
        <v>10832</v>
      </c>
      <c r="O45" s="15">
        <v>8401</v>
      </c>
      <c r="P45" s="15">
        <v>8890</v>
      </c>
      <c r="Q45" s="15">
        <v>10821</v>
      </c>
      <c r="R45" s="15">
        <v>10846</v>
      </c>
      <c r="S45" s="15">
        <v>10849</v>
      </c>
      <c r="T45" s="15">
        <v>10850</v>
      </c>
      <c r="U45" s="15">
        <v>10842</v>
      </c>
      <c r="V45" s="15">
        <v>10856</v>
      </c>
      <c r="W45" s="15">
        <v>10847</v>
      </c>
      <c r="X45" s="15">
        <v>10879</v>
      </c>
      <c r="Y45" s="15">
        <v>10876</v>
      </c>
      <c r="Z45" s="15">
        <v>7949</v>
      </c>
      <c r="AA45" s="15">
        <v>7251</v>
      </c>
      <c r="AB45" s="15">
        <v>7934</v>
      </c>
      <c r="AC45" s="15">
        <v>7373</v>
      </c>
      <c r="AD45" s="15">
        <v>6841</v>
      </c>
      <c r="AE45" s="15">
        <v>7921</v>
      </c>
      <c r="AF45" s="15">
        <v>7369</v>
      </c>
      <c r="AG45" s="15">
        <v>0</v>
      </c>
      <c r="AH45" s="15">
        <v>7942</v>
      </c>
      <c r="AI45" s="15">
        <v>0</v>
      </c>
      <c r="AJ45" s="15">
        <v>6837</v>
      </c>
      <c r="AK45" s="15">
        <v>6845</v>
      </c>
      <c r="AL45" s="15">
        <v>6867</v>
      </c>
      <c r="AM45" s="15">
        <v>6287</v>
      </c>
      <c r="AN45" s="15">
        <v>6856</v>
      </c>
      <c r="AO45" s="15">
        <v>5639</v>
      </c>
      <c r="AP45" s="15">
        <v>6859</v>
      </c>
      <c r="AQ45" s="15">
        <v>6263</v>
      </c>
      <c r="AR45" s="15">
        <v>6857</v>
      </c>
      <c r="AS45" s="16">
        <v>4.58</v>
      </c>
      <c r="AT45" s="16">
        <v>4.46</v>
      </c>
      <c r="AU45" s="16">
        <v>3.97</v>
      </c>
      <c r="AV45" s="16">
        <v>4.1500000000000004</v>
      </c>
      <c r="AW45" s="16">
        <v>3.78</v>
      </c>
      <c r="AX45" s="16">
        <v>4.38</v>
      </c>
      <c r="AY45" s="16">
        <v>4.4000000000000004</v>
      </c>
      <c r="AZ45" s="16">
        <v>4.13</v>
      </c>
      <c r="BA45" s="16">
        <v>4.08</v>
      </c>
      <c r="BB45" s="16">
        <v>3.95</v>
      </c>
      <c r="BC45" s="16">
        <v>4.01</v>
      </c>
      <c r="BD45" s="16">
        <v>4.04</v>
      </c>
      <c r="BE45" s="16">
        <v>3.98</v>
      </c>
      <c r="BF45" s="16">
        <v>3.84</v>
      </c>
      <c r="BG45" s="16">
        <v>3.92</v>
      </c>
      <c r="BH45" s="16">
        <v>3.95</v>
      </c>
      <c r="BI45" s="16">
        <v>4.1500000000000004</v>
      </c>
      <c r="BJ45" s="16">
        <v>4.01</v>
      </c>
      <c r="BK45" s="16">
        <v>3.99</v>
      </c>
      <c r="BL45" s="16">
        <v>4.01</v>
      </c>
      <c r="BM45" s="16">
        <v>3.76</v>
      </c>
      <c r="BN45" s="16">
        <v>3.87</v>
      </c>
      <c r="BO45" s="16">
        <v>3.95</v>
      </c>
      <c r="BP45" s="16">
        <v>4.26</v>
      </c>
      <c r="BQ45" s="16">
        <v>4.2</v>
      </c>
      <c r="BR45" s="16">
        <v>4.22</v>
      </c>
      <c r="BS45" s="16">
        <v>4.21</v>
      </c>
      <c r="BT45" s="16">
        <v>0</v>
      </c>
      <c r="BU45" s="16">
        <v>5.44</v>
      </c>
      <c r="BV45" s="16">
        <v>0</v>
      </c>
      <c r="BW45" s="16">
        <v>4.17</v>
      </c>
      <c r="BX45" s="16">
        <v>4.1500000000000004</v>
      </c>
      <c r="BY45" s="16">
        <v>4.32</v>
      </c>
      <c r="BZ45" s="16">
        <v>4.55</v>
      </c>
      <c r="CA45" s="16">
        <v>6.32</v>
      </c>
      <c r="CB45" s="16">
        <v>4.45</v>
      </c>
      <c r="CC45" s="16">
        <v>4.87</v>
      </c>
      <c r="CD45" s="16">
        <v>4.3099999999999996</v>
      </c>
      <c r="CE45" s="16">
        <v>5.39</v>
      </c>
      <c r="CF45" s="17">
        <f>SUM(Input_Raw[[#This Row],[G01]:[G40]])</f>
        <v>315253</v>
      </c>
      <c r="CG45" s="18">
        <f>IFERROR(AVERAGE(Input_Raw[[#This Row],[WS_G01]:[WS_G40]]),"")</f>
        <v>4.056923076923078</v>
      </c>
      <c r="CH45" s="19"/>
      <c r="CI45" s="19"/>
      <c r="CJ45" s="15">
        <v>240469</v>
      </c>
      <c r="CK45" s="15">
        <v>2175</v>
      </c>
      <c r="CL45" s="15">
        <v>280388</v>
      </c>
      <c r="CM45" s="15">
        <v>2204</v>
      </c>
      <c r="CN45" s="15">
        <v>256422</v>
      </c>
      <c r="CO45" s="15">
        <v>1811</v>
      </c>
      <c r="CP45" s="15">
        <v>292326</v>
      </c>
      <c r="CQ45" s="15">
        <v>1856</v>
      </c>
      <c r="CR45" s="91">
        <f>IF(((Input_Raw[[#This Row],[33 kV_Wind_F1_Export reading]]-CJ44)*1200)&gt;0,(Input_Raw[[#This Row],[33 kV_Wind_F1_Export reading]]-CJ44)*1200,0)</f>
        <v>64800</v>
      </c>
      <c r="CS45" s="91">
        <f>IF(((Input_Raw[[#This Row],[33 kV_Wind_F1_Import reading]]-CK44)*1200)&gt;0,(Input_Raw[[#This Row],[33 kV_Wind_F1_Import reading]]-CK44)*1200,0)</f>
        <v>0</v>
      </c>
      <c r="CT45" s="91">
        <f>IF(((Input_Raw[[#This Row],[33 kV_Wind_F2_Export_reading]]-CL44)*1200)&gt;0,(Input_Raw[[#This Row],[33 kV_Wind_F2_Export_reading]]-CL44)*1200,0)</f>
        <v>60000</v>
      </c>
      <c r="CU45" s="91">
        <f>IF(((Input_Raw[[#This Row],[33 kV_Wind_F2_Import_reading]]-CM44)*1200)&gt;0,(Input_Raw[[#This Row],[33 kV_Wind_F2_Import_reading]]-CM44)*1200,0)</f>
        <v>0</v>
      </c>
      <c r="CV45" s="91">
        <f>IF(((Input_Raw[[#This Row],[33 kV_Wind_F3_Export_Reading]]-CN44)*1200)&gt;0,(Input_Raw[[#This Row],[33 kV_Wind_F3_Export_Reading]]-CN44)*1200,0)</f>
        <v>78000</v>
      </c>
      <c r="CW45" s="91">
        <f>IF(((Input_Raw[[#This Row],[33 kV_Wind_F3_Import_Reading]]-CO44)*1200)&gt;0,(Input_Raw[[#This Row],[33 kV_Wind_F3_Import_Reading]]-CO44)*1200,0)</f>
        <v>0</v>
      </c>
      <c r="CX45" s="91">
        <f>IF(((Input_Raw[[#This Row],[33 kV_Wind_F4_Export Reading]]-CP44)*1200)&gt;0,(Input_Raw[[#This Row],[33 kV_Wind_F4_Export Reading]]-CP44)*1200,0)</f>
        <v>108000</v>
      </c>
      <c r="CY45" s="91">
        <f>IF(((Input_Raw[[#This Row],[33 kV_Wind_F4_Import Reading]]-CQ44)*1200)&gt;0,(Input_Raw[[#This Row],[33 kV_Wind_F4_Import Reading]]-CQ44)*1200,0)</f>
        <v>0</v>
      </c>
      <c r="CZ45" s="91">
        <f>Input_Raw[[#This Row],[33 kV_F1_Total_Export (KWh)]]+Input_Raw[[#This Row],[33 kV_F2_Total_Export (KWh)2]]+Input_Raw[[#This Row],[33 kV_Wind_F3_Export (KWh)]]+Input_Raw[[#This Row],[33 kV_Wind_F4_Export (KWh)]]</f>
        <v>310800</v>
      </c>
      <c r="DA45" s="91">
        <f>Input_Raw[[#This Row],[33 kV_Wind_F1_Import (KWh)]]+Input_Raw[[#This Row],[33 kV_Wind_F2_Import (KWh)]]+Input_Raw[[#This Row],[33 kV_Wind_F3_Import (KWh)2]]+Input_Raw[[#This Row],[33 kV_Wind_F4_Import (KWh)2]]</f>
        <v>0</v>
      </c>
      <c r="DB45" s="21">
        <f>IFERROR(1-Input_Raw[[#This Row],[33 kV_Wind_Total_Export (KWh)]]/Input_Raw[[#This Row],[WTG Total Gneration (KWh)]],0)</f>
        <v>1.4125162964349292E-2</v>
      </c>
      <c r="DC45" s="100">
        <v>96</v>
      </c>
      <c r="DD45" s="87">
        <v>53455</v>
      </c>
      <c r="DE45" s="102">
        <v>315.25</v>
      </c>
      <c r="DF45" s="99"/>
      <c r="DG45" s="101">
        <v>78</v>
      </c>
      <c r="DH45" s="168" t="s">
        <v>381</v>
      </c>
    </row>
    <row r="46" spans="1:112">
      <c r="A46" s="20">
        <f t="shared" si="4"/>
        <v>45786</v>
      </c>
      <c r="B46" s="12">
        <f>YEAR([1]!Input_Raw[[#This Row],[Date]])+IF(MONTH([1]!Input_Raw[[#This Row],[Date]])&gt;=4,1,0)</f>
        <v>2026</v>
      </c>
      <c r="C46" s="13">
        <f>YEAR([1]!Input_Raw[[#This Row],[Date]])</f>
        <v>2025</v>
      </c>
      <c r="D46" s="14">
        <f t="shared" si="5"/>
        <v>45778</v>
      </c>
      <c r="E46" s="13">
        <f>DAY(EOMONTH([1]!Input_Raw[[#This Row],[Date]],0))</f>
        <v>31</v>
      </c>
      <c r="F46" s="15">
        <v>4021</v>
      </c>
      <c r="G46" s="15">
        <v>4032</v>
      </c>
      <c r="H46" s="15">
        <v>3562</v>
      </c>
      <c r="I46" s="15">
        <v>3583</v>
      </c>
      <c r="J46" s="15">
        <v>4562</v>
      </c>
      <c r="K46" s="15">
        <v>3521</v>
      </c>
      <c r="L46" s="15">
        <v>4024</v>
      </c>
      <c r="M46" s="15">
        <v>3536</v>
      </c>
      <c r="N46" s="15">
        <v>3832</v>
      </c>
      <c r="O46" s="15">
        <v>3543</v>
      </c>
      <c r="P46" s="15">
        <v>4026</v>
      </c>
      <c r="Q46" s="15">
        <v>4056</v>
      </c>
      <c r="R46" s="15">
        <v>4059</v>
      </c>
      <c r="S46" s="15">
        <v>4062</v>
      </c>
      <c r="T46" s="15">
        <v>4053</v>
      </c>
      <c r="U46" s="15">
        <v>4059</v>
      </c>
      <c r="V46" s="15">
        <v>4055</v>
      </c>
      <c r="W46" s="15">
        <v>4062</v>
      </c>
      <c r="X46" s="15">
        <v>4067</v>
      </c>
      <c r="Y46" s="15">
        <v>4072</v>
      </c>
      <c r="Z46" s="15">
        <v>4531</v>
      </c>
      <c r="AA46" s="15">
        <v>4564</v>
      </c>
      <c r="AB46" s="15">
        <v>4521</v>
      </c>
      <c r="AC46" s="15">
        <v>4562</v>
      </c>
      <c r="AD46" s="15">
        <v>3587</v>
      </c>
      <c r="AE46" s="15">
        <v>4537</v>
      </c>
      <c r="AF46" s="15">
        <v>4526</v>
      </c>
      <c r="AG46" s="15">
        <v>0</v>
      </c>
      <c r="AH46" s="15">
        <v>4555</v>
      </c>
      <c r="AI46" s="15">
        <v>0</v>
      </c>
      <c r="AJ46" s="15">
        <v>3579</v>
      </c>
      <c r="AK46" s="15">
        <v>3593</v>
      </c>
      <c r="AL46" s="15">
        <v>3061</v>
      </c>
      <c r="AM46" s="15">
        <v>3582</v>
      </c>
      <c r="AN46" s="15">
        <v>3578</v>
      </c>
      <c r="AO46" s="15">
        <v>3072</v>
      </c>
      <c r="AP46" s="15">
        <v>3569</v>
      </c>
      <c r="AQ46" s="15">
        <v>3056</v>
      </c>
      <c r="AR46" s="15">
        <v>3566</v>
      </c>
      <c r="AS46" s="16">
        <v>4.0641180555555536</v>
      </c>
      <c r="AT46" s="16">
        <v>4.0593055555555582</v>
      </c>
      <c r="AU46" s="16">
        <v>4.0183402777777761</v>
      </c>
      <c r="AV46" s="16">
        <v>3.9908402777777772</v>
      </c>
      <c r="AW46" s="16">
        <v>3.97079861111111</v>
      </c>
      <c r="AX46" s="16">
        <v>4.1533333333333324</v>
      </c>
      <c r="AY46" s="16">
        <v>4.1533333333333324</v>
      </c>
      <c r="AZ46" s="16">
        <v>4.3952637795275589</v>
      </c>
      <c r="BA46" s="16">
        <v>4.0945833333333352</v>
      </c>
      <c r="BB46" s="16">
        <v>4.1891249999999989</v>
      </c>
      <c r="BC46" s="16">
        <v>4.5515753968253962</v>
      </c>
      <c r="BD46" s="16">
        <v>4.0447986111111112</v>
      </c>
      <c r="BE46" s="16">
        <v>4.0977430555555578</v>
      </c>
      <c r="BF46" s="16">
        <v>4.1513819444444442</v>
      </c>
      <c r="BG46" s="16">
        <v>4.114952083333332</v>
      </c>
      <c r="BH46" s="16">
        <v>4.1474861111111121</v>
      </c>
      <c r="BI46" s="16">
        <v>4.3756666666666675</v>
      </c>
      <c r="BJ46" s="16">
        <v>4.3612430555555521</v>
      </c>
      <c r="BK46" s="16">
        <v>4.2470694444444446</v>
      </c>
      <c r="BL46" s="16">
        <v>4.3102222222222224</v>
      </c>
      <c r="BM46" s="16">
        <v>4.0999999999999996</v>
      </c>
      <c r="BN46" s="16">
        <v>4.0657152777777794</v>
      </c>
      <c r="BO46" s="16">
        <v>3.9717916666666659</v>
      </c>
      <c r="BP46" s="16">
        <v>4.1679513888888877</v>
      </c>
      <c r="BQ46" s="16">
        <v>3.8945486111111092</v>
      </c>
      <c r="BR46" s="16">
        <v>3.9962013888888888</v>
      </c>
      <c r="BS46" s="16">
        <v>4.0165833333333332</v>
      </c>
      <c r="BT46" s="16">
        <v>0</v>
      </c>
      <c r="BU46" s="16">
        <v>4.0999999999999996</v>
      </c>
      <c r="BV46" s="16">
        <v>0</v>
      </c>
      <c r="BW46" s="16">
        <v>3.80823611111111</v>
      </c>
      <c r="BX46" s="16">
        <v>3.923756944444444</v>
      </c>
      <c r="BY46" s="16">
        <v>4.0071736111111118</v>
      </c>
      <c r="BZ46" s="16">
        <v>4.0676805555555573</v>
      </c>
      <c r="CA46" s="16">
        <v>4.0488194444444439</v>
      </c>
      <c r="CB46" s="16">
        <v>4.1112569444444436</v>
      </c>
      <c r="CC46" s="16">
        <v>3.8610277777777782</v>
      </c>
      <c r="CD46" s="16">
        <v>3.9456944444444466</v>
      </c>
      <c r="CE46" s="16">
        <v>3.9453750000000003</v>
      </c>
      <c r="CF46" s="17">
        <f>SUM(Input_Raw[[#This Row],[G01]:[G40]])</f>
        <v>144826</v>
      </c>
      <c r="CG46" s="18">
        <f>IFERROR(AVERAGE(Input_Raw[[#This Row],[WS_G01]:[WS_G40]]),"")</f>
        <v>3.885204939707056</v>
      </c>
      <c r="CH46" s="19"/>
      <c r="CI46" s="19"/>
      <c r="CJ46" s="15">
        <v>240497</v>
      </c>
      <c r="CK46" s="15">
        <v>2176</v>
      </c>
      <c r="CL46" s="15">
        <v>280418</v>
      </c>
      <c r="CM46" s="15">
        <v>2205</v>
      </c>
      <c r="CN46" s="15">
        <v>256450</v>
      </c>
      <c r="CO46" s="15">
        <v>1812</v>
      </c>
      <c r="CP46" s="15">
        <v>292358</v>
      </c>
      <c r="CQ46" s="15">
        <v>1857</v>
      </c>
      <c r="CR46" s="91">
        <f>IF(((Input_Raw[[#This Row],[33 kV_Wind_F1_Export reading]]-CJ45)*1200)&gt;0,(Input_Raw[[#This Row],[33 kV_Wind_F1_Export reading]]-CJ45)*1200,0)</f>
        <v>33600</v>
      </c>
      <c r="CS46" s="91">
        <f>IF(((Input_Raw[[#This Row],[33 kV_Wind_F1_Import reading]]-CK45)*1200)&gt;0,(Input_Raw[[#This Row],[33 kV_Wind_F1_Import reading]]-CK45)*1200,0)</f>
        <v>1200</v>
      </c>
      <c r="CT46" s="91">
        <f>IF(((Input_Raw[[#This Row],[33 kV_Wind_F2_Export_reading]]-CL45)*1200)&gt;0,(Input_Raw[[#This Row],[33 kV_Wind_F2_Export_reading]]-CL45)*1200,0)</f>
        <v>36000</v>
      </c>
      <c r="CU46" s="91">
        <f>IF(((Input_Raw[[#This Row],[33 kV_Wind_F2_Import_reading]]-CM45)*1200)&gt;0,(Input_Raw[[#This Row],[33 kV_Wind_F2_Import_reading]]-CM45)*1200,0)</f>
        <v>1200</v>
      </c>
      <c r="CV46" s="91">
        <f>IF(((Input_Raw[[#This Row],[33 kV_Wind_F3_Export_Reading]]-CN45)*1200)&gt;0,(Input_Raw[[#This Row],[33 kV_Wind_F3_Export_Reading]]-CN45)*1200,0)</f>
        <v>33600</v>
      </c>
      <c r="CW46" s="91">
        <f>IF(((Input_Raw[[#This Row],[33 kV_Wind_F3_Import_Reading]]-CO45)*1200)&gt;0,(Input_Raw[[#This Row],[33 kV_Wind_F3_Import_Reading]]-CO45)*1200,0)</f>
        <v>1200</v>
      </c>
      <c r="CX46" s="91">
        <f>IF(((Input_Raw[[#This Row],[33 kV_Wind_F4_Export Reading]]-CP45)*1200)&gt;0,(Input_Raw[[#This Row],[33 kV_Wind_F4_Export Reading]]-CP45)*1200,0)</f>
        <v>38400</v>
      </c>
      <c r="CY46" s="91">
        <f>IF(((Input_Raw[[#This Row],[33 kV_Wind_F4_Import Reading]]-CQ45)*1200)&gt;0,(Input_Raw[[#This Row],[33 kV_Wind_F4_Import Reading]]-CQ45)*1200,0)</f>
        <v>1200</v>
      </c>
      <c r="CZ46" s="91">
        <f>Input_Raw[[#This Row],[33 kV_F1_Total_Export (KWh)]]+Input_Raw[[#This Row],[33 kV_F2_Total_Export (KWh)2]]+Input_Raw[[#This Row],[33 kV_Wind_F3_Export (KWh)]]+Input_Raw[[#This Row],[33 kV_Wind_F4_Export (KWh)]]</f>
        <v>141600</v>
      </c>
      <c r="DA46" s="91">
        <f>Input_Raw[[#This Row],[33 kV_Wind_F1_Import (KWh)]]+Input_Raw[[#This Row],[33 kV_Wind_F2_Import (KWh)]]+Input_Raw[[#This Row],[33 kV_Wind_F3_Import (KWh)2]]+Input_Raw[[#This Row],[33 kV_Wind_F4_Import (KWh)2]]</f>
        <v>4800</v>
      </c>
      <c r="DB46" s="21">
        <f>IFERROR(1-Input_Raw[[#This Row],[33 kV_Wind_Total_Export (KWh)]]/Input_Raw[[#This Row],[WTG Total Gneration (KWh)]],0)</f>
        <v>2.2275005869111908E-2</v>
      </c>
      <c r="DC46" s="100">
        <v>44</v>
      </c>
      <c r="DD46" s="100">
        <v>3437</v>
      </c>
      <c r="DE46" s="102">
        <v>144.82</v>
      </c>
      <c r="DF46" s="99"/>
      <c r="DG46" s="101">
        <v>78</v>
      </c>
      <c r="DH46" s="168" t="s">
        <v>381</v>
      </c>
    </row>
    <row r="47" spans="1:112">
      <c r="A47" s="20">
        <f t="shared" si="4"/>
        <v>45787</v>
      </c>
      <c r="B47" s="12">
        <f>YEAR([1]!Input_Raw[[#This Row],[Date]])+IF(MONTH([1]!Input_Raw[[#This Row],[Date]])&gt;=4,1,0)</f>
        <v>2026</v>
      </c>
      <c r="C47" s="13">
        <f>YEAR([1]!Input_Raw[[#This Row],[Date]])</f>
        <v>2025</v>
      </c>
      <c r="D47" s="14">
        <f t="shared" si="5"/>
        <v>45778</v>
      </c>
      <c r="E47" s="13">
        <f>DAY(EOMONTH([1]!Input_Raw[[#This Row],[Date]],0))</f>
        <v>31</v>
      </c>
      <c r="F47" s="15">
        <v>6650</v>
      </c>
      <c r="G47" s="15">
        <v>6658</v>
      </c>
      <c r="H47" s="15">
        <v>6673</v>
      </c>
      <c r="I47" s="15">
        <v>3206</v>
      </c>
      <c r="J47" s="15">
        <v>4055</v>
      </c>
      <c r="K47" s="15">
        <v>6692</v>
      </c>
      <c r="L47" s="15">
        <v>6703</v>
      </c>
      <c r="M47" s="15">
        <v>6698</v>
      </c>
      <c r="N47" s="15">
        <v>6300</v>
      </c>
      <c r="O47" s="15">
        <v>6712</v>
      </c>
      <c r="P47" s="15">
        <v>6693</v>
      </c>
      <c r="Q47" s="15">
        <v>7043</v>
      </c>
      <c r="R47" s="15">
        <v>6965</v>
      </c>
      <c r="S47" s="15">
        <v>6923</v>
      </c>
      <c r="T47" s="15">
        <v>7206</v>
      </c>
      <c r="U47" s="15">
        <v>7190</v>
      </c>
      <c r="V47" s="15">
        <v>7205</v>
      </c>
      <c r="W47" s="15">
        <v>6965</v>
      </c>
      <c r="X47" s="15">
        <v>6942</v>
      </c>
      <c r="Y47" s="15">
        <v>7164</v>
      </c>
      <c r="Z47" s="15">
        <v>4052</v>
      </c>
      <c r="AA47" s="15">
        <v>4048</v>
      </c>
      <c r="AB47" s="15">
        <v>4060</v>
      </c>
      <c r="AC47" s="15">
        <v>4048</v>
      </c>
      <c r="AD47" s="15">
        <v>3590</v>
      </c>
      <c r="AE47" s="15">
        <v>4083</v>
      </c>
      <c r="AF47" s="15">
        <v>4032</v>
      </c>
      <c r="AG47" s="15">
        <v>0</v>
      </c>
      <c r="AH47" s="15">
        <v>4116</v>
      </c>
      <c r="AI47" s="15">
        <v>0</v>
      </c>
      <c r="AJ47" s="15">
        <v>3476</v>
      </c>
      <c r="AK47" s="15">
        <v>3598</v>
      </c>
      <c r="AL47" s="15">
        <v>3056</v>
      </c>
      <c r="AM47" s="15">
        <v>3587</v>
      </c>
      <c r="AN47" s="15">
        <v>3573</v>
      </c>
      <c r="AO47" s="15">
        <v>3577</v>
      </c>
      <c r="AP47" s="15">
        <v>3563</v>
      </c>
      <c r="AQ47" s="15">
        <v>3561</v>
      </c>
      <c r="AR47" s="15">
        <v>3561</v>
      </c>
      <c r="AS47" s="16">
        <v>4.2300000000000004</v>
      </c>
      <c r="AT47" s="16">
        <v>4.33</v>
      </c>
      <c r="AU47" s="16">
        <v>4.21</v>
      </c>
      <c r="AV47" s="16">
        <v>4.28</v>
      </c>
      <c r="AW47" s="16">
        <v>4.21</v>
      </c>
      <c r="AX47" s="16">
        <v>4.4800000000000004</v>
      </c>
      <c r="AY47" s="16">
        <v>4.2300000000000004</v>
      </c>
      <c r="AZ47" s="16">
        <v>4.3499999999999996</v>
      </c>
      <c r="BA47" s="16">
        <v>4.3499999999999996</v>
      </c>
      <c r="BB47" s="16">
        <v>4.18</v>
      </c>
      <c r="BC47" s="16">
        <v>4.62</v>
      </c>
      <c r="BD47" s="16">
        <v>4.3099999999999996</v>
      </c>
      <c r="BE47" s="16">
        <v>4.42</v>
      </c>
      <c r="BF47" s="16">
        <v>4.46</v>
      </c>
      <c r="BG47" s="16">
        <v>4.3</v>
      </c>
      <c r="BH47" s="16">
        <v>4.5</v>
      </c>
      <c r="BI47" s="16">
        <v>5.8</v>
      </c>
      <c r="BJ47" s="16">
        <v>4.68</v>
      </c>
      <c r="BK47" s="16">
        <v>4.8499999999999996</v>
      </c>
      <c r="BL47" s="16">
        <v>4.97</v>
      </c>
      <c r="BM47" s="16">
        <v>4.72</v>
      </c>
      <c r="BN47" s="16">
        <v>4.43</v>
      </c>
      <c r="BO47" s="16">
        <v>4.49</v>
      </c>
      <c r="BP47" s="16">
        <v>4.62</v>
      </c>
      <c r="BQ47" s="16">
        <v>4.33</v>
      </c>
      <c r="BR47" s="16">
        <v>4.3600000000000003</v>
      </c>
      <c r="BS47" s="16">
        <v>4.24</v>
      </c>
      <c r="BT47" s="16">
        <v>0</v>
      </c>
      <c r="BU47" s="16">
        <v>4.4400000000000004</v>
      </c>
      <c r="BV47" s="16">
        <v>0</v>
      </c>
      <c r="BW47" s="16">
        <v>4.26</v>
      </c>
      <c r="BX47" s="16">
        <v>4.4400000000000004</v>
      </c>
      <c r="BY47" s="16">
        <v>4.4400000000000004</v>
      </c>
      <c r="BZ47" s="16">
        <v>4.4400000000000004</v>
      </c>
      <c r="CA47" s="16">
        <v>4.4800000000000004</v>
      </c>
      <c r="CB47" s="16">
        <v>4.54</v>
      </c>
      <c r="CC47" s="16">
        <v>4.25</v>
      </c>
      <c r="CD47" s="16">
        <v>4.41</v>
      </c>
      <c r="CE47" s="16">
        <v>4.59</v>
      </c>
      <c r="CF47" s="17">
        <f>SUM(Input_Raw[[#This Row],[G01]:[G40]])</f>
        <v>194224</v>
      </c>
      <c r="CG47" s="18">
        <f>IFERROR(AVERAGE(Input_Raw[[#This Row],[WS_G01]:[WS_G40]]),"")</f>
        <v>4.2369230769230759</v>
      </c>
      <c r="CH47" s="19"/>
      <c r="CI47" s="19"/>
      <c r="CJ47" s="15">
        <v>240525</v>
      </c>
      <c r="CK47" s="15">
        <v>2177</v>
      </c>
      <c r="CL47" s="15">
        <v>280445</v>
      </c>
      <c r="CM47" s="15">
        <v>2205</v>
      </c>
      <c r="CN47" s="15">
        <v>256497</v>
      </c>
      <c r="CO47" s="15">
        <v>1813</v>
      </c>
      <c r="CP47" s="15">
        <v>292416</v>
      </c>
      <c r="CQ47" s="15">
        <v>1858</v>
      </c>
      <c r="CR47" s="91">
        <f>IF(((Input_Raw[[#This Row],[33 kV_Wind_F1_Export reading]]-CJ46)*1200)&gt;0,(Input_Raw[[#This Row],[33 kV_Wind_F1_Export reading]]-CJ46)*1200,0)</f>
        <v>33600</v>
      </c>
      <c r="CS47" s="91">
        <f>IF(((Input_Raw[[#This Row],[33 kV_Wind_F1_Import reading]]-CK46)*1200)&gt;0,(Input_Raw[[#This Row],[33 kV_Wind_F1_Import reading]]-CK46)*1200,0)</f>
        <v>1200</v>
      </c>
      <c r="CT47" s="91">
        <f>IF(((Input_Raw[[#This Row],[33 kV_Wind_F2_Export_reading]]-CL46)*1200)&gt;0,(Input_Raw[[#This Row],[33 kV_Wind_F2_Export_reading]]-CL46)*1200,0)</f>
        <v>32400</v>
      </c>
      <c r="CU47" s="91">
        <f>IF(((Input_Raw[[#This Row],[33 kV_Wind_F2_Import_reading]]-CM46)*1200)&gt;0,(Input_Raw[[#This Row],[33 kV_Wind_F2_Import_reading]]-CM46)*1200,0)</f>
        <v>0</v>
      </c>
      <c r="CV47" s="91">
        <f>IF(((Input_Raw[[#This Row],[33 kV_Wind_F3_Export_Reading]]-CN46)*1200)&gt;0,(Input_Raw[[#This Row],[33 kV_Wind_F3_Export_Reading]]-CN46)*1200,0)</f>
        <v>56400</v>
      </c>
      <c r="CW47" s="91">
        <f>IF(((Input_Raw[[#This Row],[33 kV_Wind_F3_Import_Reading]]-CO46)*1200)&gt;0,(Input_Raw[[#This Row],[33 kV_Wind_F3_Import_Reading]]-CO46)*1200,0)</f>
        <v>1200</v>
      </c>
      <c r="CX47" s="91">
        <f>IF(((Input_Raw[[#This Row],[33 kV_Wind_F4_Export Reading]]-CP46)*1200)&gt;0,(Input_Raw[[#This Row],[33 kV_Wind_F4_Export Reading]]-CP46)*1200,0)</f>
        <v>69600</v>
      </c>
      <c r="CY47" s="91">
        <f>IF(((Input_Raw[[#This Row],[33 kV_Wind_F4_Import Reading]]-CQ46)*1200)&gt;0,(Input_Raw[[#This Row],[33 kV_Wind_F4_Import Reading]]-CQ46)*1200,0)</f>
        <v>1200</v>
      </c>
      <c r="CZ47" s="91">
        <f>Input_Raw[[#This Row],[33 kV_F1_Total_Export (KWh)]]+Input_Raw[[#This Row],[33 kV_F2_Total_Export (KWh)2]]+Input_Raw[[#This Row],[33 kV_Wind_F3_Export (KWh)]]+Input_Raw[[#This Row],[33 kV_Wind_F4_Export (KWh)]]</f>
        <v>192000</v>
      </c>
      <c r="DA47" s="91">
        <f>Input_Raw[[#This Row],[33 kV_Wind_F1_Import (KWh)]]+Input_Raw[[#This Row],[33 kV_Wind_F2_Import (KWh)]]+Input_Raw[[#This Row],[33 kV_Wind_F3_Import (KWh)2]]+Input_Raw[[#This Row],[33 kV_Wind_F4_Import (KWh)2]]</f>
        <v>3600</v>
      </c>
      <c r="DB47" s="21">
        <f>IFERROR(1-Input_Raw[[#This Row],[33 kV_Wind_Total_Export (KWh)]]/Input_Raw[[#This Row],[WTG Total Gneration (KWh)]],0)</f>
        <v>1.1450696103468161E-2</v>
      </c>
      <c r="DC47" s="100">
        <v>0</v>
      </c>
      <c r="DD47" s="100">
        <v>0</v>
      </c>
      <c r="DE47" s="102">
        <v>194.22</v>
      </c>
      <c r="DF47" s="99"/>
      <c r="DG47" s="101">
        <v>78</v>
      </c>
      <c r="DH47" s="168" t="s">
        <v>381</v>
      </c>
    </row>
    <row r="48" spans="1:112">
      <c r="A48" s="20">
        <f t="shared" si="4"/>
        <v>45788</v>
      </c>
      <c r="B48" s="12">
        <f>YEAR([1]!Input_Raw[[#This Row],[Date]])+IF(MONTH([1]!Input_Raw[[#This Row],[Date]])&gt;=4,1,0)</f>
        <v>2026</v>
      </c>
      <c r="C48" s="13">
        <f>YEAR([1]!Input_Raw[[#This Row],[Date]])</f>
        <v>2025</v>
      </c>
      <c r="D48" s="14">
        <f t="shared" si="5"/>
        <v>45778</v>
      </c>
      <c r="E48" s="13">
        <f>DAY(EOMONTH([1]!Input_Raw[[#This Row],[Date]],0))</f>
        <v>31</v>
      </c>
      <c r="F48" s="15">
        <v>12206</v>
      </c>
      <c r="G48" s="15">
        <v>12243</v>
      </c>
      <c r="H48" s="15">
        <v>12116</v>
      </c>
      <c r="I48" s="15">
        <v>5892</v>
      </c>
      <c r="J48" s="15">
        <v>8608</v>
      </c>
      <c r="K48" s="15">
        <v>12178</v>
      </c>
      <c r="L48" s="15">
        <v>12998</v>
      </c>
      <c r="M48" s="15">
        <v>12208</v>
      </c>
      <c r="N48" s="15">
        <v>11345</v>
      </c>
      <c r="O48" s="15">
        <v>12064</v>
      </c>
      <c r="P48" s="15">
        <v>12092</v>
      </c>
      <c r="Q48" s="15">
        <v>11236</v>
      </c>
      <c r="R48" s="15">
        <v>11299</v>
      </c>
      <c r="S48" s="15">
        <v>11376</v>
      </c>
      <c r="T48" s="15">
        <v>11407</v>
      </c>
      <c r="U48" s="15">
        <v>11348</v>
      </c>
      <c r="V48" s="15">
        <v>11369</v>
      </c>
      <c r="W48" s="15">
        <v>11272</v>
      </c>
      <c r="X48" s="15">
        <v>11454</v>
      </c>
      <c r="Y48" s="15">
        <v>11344</v>
      </c>
      <c r="Z48" s="15">
        <v>3206</v>
      </c>
      <c r="AA48" s="15">
        <v>8658</v>
      </c>
      <c r="AB48" s="15">
        <v>3569</v>
      </c>
      <c r="AC48" s="15">
        <v>8533</v>
      </c>
      <c r="AD48" s="15">
        <v>6275</v>
      </c>
      <c r="AE48" s="15">
        <v>8712</v>
      </c>
      <c r="AF48" s="15">
        <v>8517</v>
      </c>
      <c r="AG48" s="15">
        <v>0</v>
      </c>
      <c r="AH48" s="15">
        <v>8653</v>
      </c>
      <c r="AI48" s="15">
        <v>0</v>
      </c>
      <c r="AJ48" s="15">
        <v>6087</v>
      </c>
      <c r="AK48" s="15">
        <v>6225</v>
      </c>
      <c r="AL48" s="15">
        <v>6105</v>
      </c>
      <c r="AM48" s="15">
        <v>6275</v>
      </c>
      <c r="AN48" s="15">
        <v>6260</v>
      </c>
      <c r="AO48" s="15">
        <v>6235</v>
      </c>
      <c r="AP48" s="15">
        <v>6273</v>
      </c>
      <c r="AQ48" s="15">
        <v>6308</v>
      </c>
      <c r="AR48" s="15">
        <v>6262</v>
      </c>
      <c r="AS48" s="16">
        <v>4.8499999999999996</v>
      </c>
      <c r="AT48" s="16">
        <v>5.37</v>
      </c>
      <c r="AU48" s="16">
        <v>4.76</v>
      </c>
      <c r="AV48" s="16">
        <v>4.7699999999999996</v>
      </c>
      <c r="AW48" s="16">
        <v>5.09</v>
      </c>
      <c r="AX48" s="16">
        <v>5.19</v>
      </c>
      <c r="AY48" s="16">
        <v>4.8</v>
      </c>
      <c r="AZ48" s="16">
        <v>4.87</v>
      </c>
      <c r="BA48" s="16">
        <v>5.25</v>
      </c>
      <c r="BB48" s="16">
        <v>4.9800000000000004</v>
      </c>
      <c r="BC48" s="16">
        <v>5.45</v>
      </c>
      <c r="BD48" s="16">
        <v>5.28</v>
      </c>
      <c r="BE48" s="16">
        <v>5.32</v>
      </c>
      <c r="BF48" s="16">
        <v>5.14</v>
      </c>
      <c r="BG48" s="16">
        <v>5.09</v>
      </c>
      <c r="BH48" s="16">
        <v>5.27</v>
      </c>
      <c r="BI48" s="16">
        <v>5.07</v>
      </c>
      <c r="BJ48" s="16">
        <v>5.36</v>
      </c>
      <c r="BK48" s="16">
        <v>6.59</v>
      </c>
      <c r="BL48" s="16">
        <v>5.63</v>
      </c>
      <c r="BM48" s="16">
        <v>5.4</v>
      </c>
      <c r="BN48" s="16">
        <v>5.44</v>
      </c>
      <c r="BO48" s="16">
        <v>4.66</v>
      </c>
      <c r="BP48" s="16">
        <v>4.9800000000000004</v>
      </c>
      <c r="BQ48" s="16">
        <v>4.95</v>
      </c>
      <c r="BR48" s="16">
        <v>4.71</v>
      </c>
      <c r="BS48" s="16">
        <v>4.88</v>
      </c>
      <c r="BT48" s="16">
        <v>0</v>
      </c>
      <c r="BU48" s="16">
        <v>4.8600000000000003</v>
      </c>
      <c r="BV48" s="16">
        <v>0</v>
      </c>
      <c r="BW48" s="16">
        <v>4.59</v>
      </c>
      <c r="BX48" s="16">
        <v>4.7300000000000004</v>
      </c>
      <c r="BY48" s="16">
        <v>4.88</v>
      </c>
      <c r="BZ48" s="16">
        <v>4.88</v>
      </c>
      <c r="CA48" s="16">
        <v>5.07</v>
      </c>
      <c r="CB48" s="16">
        <v>5.05</v>
      </c>
      <c r="CC48" s="16">
        <v>4.83</v>
      </c>
      <c r="CD48" s="16">
        <v>4.74</v>
      </c>
      <c r="CE48" s="16">
        <v>5.01</v>
      </c>
      <c r="CF48" s="17">
        <f>SUM(Input_Raw[[#This Row],[G01]:[G40]])</f>
        <v>338208</v>
      </c>
      <c r="CG48" s="18">
        <f>IFERROR(AVERAGE(Input_Raw[[#This Row],[WS_G01]:[WS_G40]]),"")</f>
        <v>4.8151282051282047</v>
      </c>
      <c r="CH48" s="19"/>
      <c r="CI48" s="19"/>
      <c r="CJ48" s="15">
        <v>240577</v>
      </c>
      <c r="CK48" s="15">
        <v>2177</v>
      </c>
      <c r="CL48" s="15">
        <v>280494</v>
      </c>
      <c r="CM48" s="15">
        <v>2206</v>
      </c>
      <c r="CN48" s="15">
        <v>256583</v>
      </c>
      <c r="CO48" s="15">
        <v>1813</v>
      </c>
      <c r="CP48" s="15">
        <v>292508</v>
      </c>
      <c r="CQ48" s="15">
        <v>1858</v>
      </c>
      <c r="CR48" s="91">
        <f>IF(((Input_Raw[[#This Row],[33 kV_Wind_F1_Export reading]]-CJ47)*1200)&gt;0,(Input_Raw[[#This Row],[33 kV_Wind_F1_Export reading]]-CJ47)*1200,0)</f>
        <v>62400</v>
      </c>
      <c r="CS48" s="91">
        <f>IF(((Input_Raw[[#This Row],[33 kV_Wind_F1_Import reading]]-CK47)*1200)&gt;0,(Input_Raw[[#This Row],[33 kV_Wind_F1_Import reading]]-CK47)*1200,0)</f>
        <v>0</v>
      </c>
      <c r="CT48" s="91">
        <f>IF(((Input_Raw[[#This Row],[33 kV_Wind_F2_Export_reading]]-CL47)*1200)&gt;0,(Input_Raw[[#This Row],[33 kV_Wind_F2_Export_reading]]-CL47)*1200,0)</f>
        <v>58800</v>
      </c>
      <c r="CU48" s="91">
        <f>IF(((Input_Raw[[#This Row],[33 kV_Wind_F2_Import_reading]]-CM47)*1200)&gt;0,(Input_Raw[[#This Row],[33 kV_Wind_F2_Import_reading]]-CM47)*1200,0)</f>
        <v>1200</v>
      </c>
      <c r="CV48" s="91">
        <f>IF(((Input_Raw[[#This Row],[33 kV_Wind_F3_Export_Reading]]-CN47)*1200)&gt;0,(Input_Raw[[#This Row],[33 kV_Wind_F3_Export_Reading]]-CN47)*1200,0)</f>
        <v>103200</v>
      </c>
      <c r="CW48" s="91">
        <f>IF(((Input_Raw[[#This Row],[33 kV_Wind_F3_Import_Reading]]-CO47)*1200)&gt;0,(Input_Raw[[#This Row],[33 kV_Wind_F3_Import_Reading]]-CO47)*1200,0)</f>
        <v>0</v>
      </c>
      <c r="CX48" s="91">
        <f>IF(((Input_Raw[[#This Row],[33 kV_Wind_F4_Export Reading]]-CP47)*1200)&gt;0,(Input_Raw[[#This Row],[33 kV_Wind_F4_Export Reading]]-CP47)*1200,0)</f>
        <v>110400</v>
      </c>
      <c r="CY48" s="91">
        <f>IF(((Input_Raw[[#This Row],[33 kV_Wind_F4_Import Reading]]-CQ47)*1200)&gt;0,(Input_Raw[[#This Row],[33 kV_Wind_F4_Import Reading]]-CQ47)*1200,0)</f>
        <v>0</v>
      </c>
      <c r="CZ48" s="91">
        <f>Input_Raw[[#This Row],[33 kV_F1_Total_Export (KWh)]]+Input_Raw[[#This Row],[33 kV_F2_Total_Export (KWh)2]]+Input_Raw[[#This Row],[33 kV_Wind_F3_Export (KWh)]]+Input_Raw[[#This Row],[33 kV_Wind_F4_Export (KWh)]]</f>
        <v>334800</v>
      </c>
      <c r="DA48" s="91">
        <f>Input_Raw[[#This Row],[33 kV_Wind_F1_Import (KWh)]]+Input_Raw[[#This Row],[33 kV_Wind_F2_Import (KWh)]]+Input_Raw[[#This Row],[33 kV_Wind_F3_Import (KWh)2]]+Input_Raw[[#This Row],[33 kV_Wind_F4_Import (KWh)2]]</f>
        <v>1200</v>
      </c>
      <c r="DB48" s="21">
        <f>IFERROR(1-Input_Raw[[#This Row],[33 kV_Wind_Total_Export (KWh)]]/Input_Raw[[#This Row],[WTG Total Gneration (KWh)]],0)</f>
        <v>1.0076639227930784E-2</v>
      </c>
      <c r="DC48" s="100">
        <v>0</v>
      </c>
      <c r="DD48" s="100">
        <v>0</v>
      </c>
      <c r="DE48" s="102">
        <v>338.2</v>
      </c>
      <c r="DF48" s="99"/>
      <c r="DG48" s="101">
        <v>78</v>
      </c>
      <c r="DH48" s="168" t="s">
        <v>381</v>
      </c>
    </row>
    <row r="49" spans="1:112">
      <c r="A49" s="20">
        <f t="shared" si="4"/>
        <v>45789</v>
      </c>
      <c r="B49" s="12">
        <f>YEAR([1]!Input_Raw[[#This Row],[Date]])+IF(MONTH([1]!Input_Raw[[#This Row],[Date]])&gt;=4,1,0)</f>
        <v>2026</v>
      </c>
      <c r="C49" s="13">
        <f>YEAR([1]!Input_Raw[[#This Row],[Date]])</f>
        <v>2025</v>
      </c>
      <c r="D49" s="14">
        <f t="shared" si="5"/>
        <v>45778</v>
      </c>
      <c r="E49" s="13">
        <f>DAY(EOMONTH([1]!Input_Raw[[#This Row],[Date]],0))</f>
        <v>31</v>
      </c>
      <c r="F49" s="15">
        <v>3065</v>
      </c>
      <c r="G49" s="15">
        <v>3066</v>
      </c>
      <c r="H49" s="15">
        <v>2784</v>
      </c>
      <c r="I49" s="15">
        <v>2259</v>
      </c>
      <c r="J49" s="15">
        <v>4032</v>
      </c>
      <c r="K49" s="15">
        <v>3086</v>
      </c>
      <c r="L49" s="15">
        <v>3109</v>
      </c>
      <c r="M49" s="15">
        <v>3046</v>
      </c>
      <c r="N49" s="15">
        <v>3381</v>
      </c>
      <c r="O49" s="15">
        <v>3125</v>
      </c>
      <c r="P49" s="15">
        <v>3110</v>
      </c>
      <c r="Q49" s="15">
        <v>3357</v>
      </c>
      <c r="R49" s="15">
        <v>3392</v>
      </c>
      <c r="S49" s="15">
        <v>3347</v>
      </c>
      <c r="T49" s="15">
        <v>3362</v>
      </c>
      <c r="U49" s="15">
        <v>3317</v>
      </c>
      <c r="V49" s="15">
        <v>3327</v>
      </c>
      <c r="W49" s="15">
        <v>3465</v>
      </c>
      <c r="X49" s="15">
        <v>3456</v>
      </c>
      <c r="Y49" s="15">
        <v>3408</v>
      </c>
      <c r="Z49" s="15">
        <v>758</v>
      </c>
      <c r="AA49" s="15">
        <v>2856</v>
      </c>
      <c r="AB49" s="15">
        <v>1102</v>
      </c>
      <c r="AC49" s="15">
        <v>4157</v>
      </c>
      <c r="AD49" s="15">
        <v>2670</v>
      </c>
      <c r="AE49" s="15">
        <v>4213</v>
      </c>
      <c r="AF49" s="15">
        <v>4215</v>
      </c>
      <c r="AG49" s="15">
        <v>0</v>
      </c>
      <c r="AH49" s="15">
        <v>4167</v>
      </c>
      <c r="AI49" s="15">
        <v>0</v>
      </c>
      <c r="AJ49" s="15">
        <v>2699</v>
      </c>
      <c r="AK49" s="15">
        <v>2567</v>
      </c>
      <c r="AL49" s="15">
        <v>2607</v>
      </c>
      <c r="AM49" s="15">
        <v>2743</v>
      </c>
      <c r="AN49" s="15">
        <v>2736</v>
      </c>
      <c r="AO49" s="15">
        <v>2687</v>
      </c>
      <c r="AP49" s="15">
        <v>2673</v>
      </c>
      <c r="AQ49" s="15">
        <v>2676</v>
      </c>
      <c r="AR49" s="15">
        <v>2642</v>
      </c>
      <c r="AS49" s="16">
        <v>3.93</v>
      </c>
      <c r="AT49" s="16">
        <v>3.99</v>
      </c>
      <c r="AU49" s="16">
        <v>3.9</v>
      </c>
      <c r="AV49" s="16">
        <v>3.78</v>
      </c>
      <c r="AW49" s="16">
        <v>3.4</v>
      </c>
      <c r="AX49" s="16">
        <v>4.13</v>
      </c>
      <c r="AY49" s="16">
        <v>3.8</v>
      </c>
      <c r="AZ49" s="16">
        <v>4.05</v>
      </c>
      <c r="BA49" s="16">
        <v>3.76</v>
      </c>
      <c r="BB49" s="16">
        <v>3.86</v>
      </c>
      <c r="BC49" s="16">
        <v>4.0599999999999996</v>
      </c>
      <c r="BD49" s="16">
        <v>3.98</v>
      </c>
      <c r="BE49" s="16">
        <v>4.04</v>
      </c>
      <c r="BF49" s="16">
        <v>4.03</v>
      </c>
      <c r="BG49" s="16">
        <v>3.88</v>
      </c>
      <c r="BH49" s="16">
        <v>4.18</v>
      </c>
      <c r="BI49" s="16">
        <v>3.41</v>
      </c>
      <c r="BJ49" s="16">
        <v>4.09</v>
      </c>
      <c r="BK49" s="16">
        <v>4.29</v>
      </c>
      <c r="BL49" s="16">
        <v>4.0599999999999996</v>
      </c>
      <c r="BM49" s="16">
        <v>4.5</v>
      </c>
      <c r="BN49" s="16">
        <v>3.75</v>
      </c>
      <c r="BO49" s="16">
        <v>3.14</v>
      </c>
      <c r="BP49" s="16">
        <v>3.53</v>
      </c>
      <c r="BQ49" s="16">
        <v>3.02</v>
      </c>
      <c r="BR49" s="16">
        <v>3.42</v>
      </c>
      <c r="BS49" s="16">
        <v>3.48</v>
      </c>
      <c r="BT49" s="16">
        <v>0</v>
      </c>
      <c r="BU49" s="16">
        <v>3.31</v>
      </c>
      <c r="BV49" s="16">
        <v>0</v>
      </c>
      <c r="BW49" s="16">
        <v>3.29</v>
      </c>
      <c r="BX49" s="16">
        <v>3.51</v>
      </c>
      <c r="BY49" s="16">
        <v>3.38</v>
      </c>
      <c r="BZ49" s="16">
        <v>3.42</v>
      </c>
      <c r="CA49" s="16">
        <v>3.69</v>
      </c>
      <c r="CB49" s="16">
        <v>3.98</v>
      </c>
      <c r="CC49" s="16">
        <v>3.43</v>
      </c>
      <c r="CD49" s="16">
        <v>3.41</v>
      </c>
      <c r="CE49" s="16">
        <v>3.47</v>
      </c>
      <c r="CF49" s="17">
        <f>SUM(Input_Raw[[#This Row],[G01]:[G40]])</f>
        <v>112662</v>
      </c>
      <c r="CG49" s="18">
        <f>IFERROR(AVERAGE(Input_Raw[[#This Row],[WS_G01]:[WS_G40]]),"")</f>
        <v>3.5474358974358982</v>
      </c>
      <c r="CH49" s="19"/>
      <c r="CI49" s="19"/>
      <c r="CJ49" s="15">
        <v>240599</v>
      </c>
      <c r="CK49" s="15">
        <v>2178</v>
      </c>
      <c r="CL49" s="15">
        <v>280515</v>
      </c>
      <c r="CM49" s="15">
        <v>2206</v>
      </c>
      <c r="CN49" s="15">
        <v>256605</v>
      </c>
      <c r="CO49" s="15">
        <v>1813</v>
      </c>
      <c r="CP49" s="15">
        <v>292536</v>
      </c>
      <c r="CQ49" s="15">
        <v>1859</v>
      </c>
      <c r="CR49" s="91">
        <f>IF(((Input_Raw[[#This Row],[33 kV_Wind_F1_Export reading]]-CJ48)*1200)&gt;0,(Input_Raw[[#This Row],[33 kV_Wind_F1_Export reading]]-CJ48)*1200,0)</f>
        <v>26400</v>
      </c>
      <c r="CS49" s="91">
        <f>IF(((Input_Raw[[#This Row],[33 kV_Wind_F1_Import reading]]-CK48)*1200)&gt;0,(Input_Raw[[#This Row],[33 kV_Wind_F1_Import reading]]-CK48)*1200,0)</f>
        <v>1200</v>
      </c>
      <c r="CT49" s="91">
        <f>IF(((Input_Raw[[#This Row],[33 kV_Wind_F2_Export_reading]]-CL48)*1200)&gt;0,(Input_Raw[[#This Row],[33 kV_Wind_F2_Export_reading]]-CL48)*1200,0)</f>
        <v>25200</v>
      </c>
      <c r="CU49" s="91">
        <f>IF(((Input_Raw[[#This Row],[33 kV_Wind_F2_Import_reading]]-CM48)*1200)&gt;0,(Input_Raw[[#This Row],[33 kV_Wind_F2_Import_reading]]-CM48)*1200,0)</f>
        <v>0</v>
      </c>
      <c r="CV49" s="91">
        <f>IF(((Input_Raw[[#This Row],[33 kV_Wind_F3_Export_Reading]]-CN48)*1200)&gt;0,(Input_Raw[[#This Row],[33 kV_Wind_F3_Export_Reading]]-CN48)*1200,0)</f>
        <v>26400</v>
      </c>
      <c r="CW49" s="91">
        <f>IF(((Input_Raw[[#This Row],[33 kV_Wind_F3_Import_Reading]]-CO48)*1200)&gt;0,(Input_Raw[[#This Row],[33 kV_Wind_F3_Import_Reading]]-CO48)*1200,0)</f>
        <v>0</v>
      </c>
      <c r="CX49" s="91">
        <f>IF(((Input_Raw[[#This Row],[33 kV_Wind_F4_Export Reading]]-CP48)*1200)&gt;0,(Input_Raw[[#This Row],[33 kV_Wind_F4_Export Reading]]-CP48)*1200,0)</f>
        <v>33600</v>
      </c>
      <c r="CY49" s="91">
        <f>IF(((Input_Raw[[#This Row],[33 kV_Wind_F4_Import Reading]]-CQ48)*1200)&gt;0,(Input_Raw[[#This Row],[33 kV_Wind_F4_Import Reading]]-CQ48)*1200,0)</f>
        <v>1200</v>
      </c>
      <c r="CZ49" s="91">
        <f>Input_Raw[[#This Row],[33 kV_F1_Total_Export (KWh)]]+Input_Raw[[#This Row],[33 kV_F2_Total_Export (KWh)2]]+Input_Raw[[#This Row],[33 kV_Wind_F3_Export (KWh)]]+Input_Raw[[#This Row],[33 kV_Wind_F4_Export (KWh)]]</f>
        <v>111600</v>
      </c>
      <c r="DA49" s="91">
        <f>Input_Raw[[#This Row],[33 kV_Wind_F1_Import (KWh)]]+Input_Raw[[#This Row],[33 kV_Wind_F2_Import (KWh)]]+Input_Raw[[#This Row],[33 kV_Wind_F3_Import (KWh)2]]+Input_Raw[[#This Row],[33 kV_Wind_F4_Import (KWh)2]]</f>
        <v>2400</v>
      </c>
      <c r="DB49" s="21">
        <f>IFERROR(1-Input_Raw[[#This Row],[33 kV_Wind_Total_Export (KWh)]]/Input_Raw[[#This Row],[WTG Total Gneration (KWh)]],0)</f>
        <v>9.426425946636896E-3</v>
      </c>
      <c r="DC49" s="100">
        <v>0</v>
      </c>
      <c r="DD49" s="100">
        <v>0</v>
      </c>
      <c r="DE49" s="102">
        <v>112.66</v>
      </c>
      <c r="DF49" s="99"/>
      <c r="DG49" s="101">
        <v>78</v>
      </c>
      <c r="DH49" s="168" t="s">
        <v>381</v>
      </c>
    </row>
    <row r="50" spans="1:112">
      <c r="A50" s="20">
        <f t="shared" ref="A50:A107" si="6">A49+1</f>
        <v>45790</v>
      </c>
      <c r="B50" s="12">
        <f>YEAR([1]!Input_Raw[[#This Row],[Date]])+IF(MONTH([1]!Input_Raw[[#This Row],[Date]])&gt;=4,1,0)</f>
        <v>2026</v>
      </c>
      <c r="C50" s="13">
        <f>YEAR([1]!Input_Raw[[#This Row],[Date]])</f>
        <v>2025</v>
      </c>
      <c r="D50" s="14">
        <f t="shared" si="5"/>
        <v>45778</v>
      </c>
      <c r="E50" s="13">
        <f>DAY(EOMONTH([1]!Input_Raw[[#This Row],[Date]],0))</f>
        <v>31</v>
      </c>
      <c r="F50" s="15">
        <v>6782</v>
      </c>
      <c r="G50" s="15">
        <v>6734</v>
      </c>
      <c r="H50" s="15">
        <v>6789</v>
      </c>
      <c r="I50" s="15">
        <v>5976</v>
      </c>
      <c r="J50" s="15">
        <v>4621</v>
      </c>
      <c r="K50" s="15">
        <v>6821</v>
      </c>
      <c r="L50" s="15">
        <v>6345</v>
      </c>
      <c r="M50" s="15">
        <v>6599</v>
      </c>
      <c r="N50" s="15">
        <v>7324</v>
      </c>
      <c r="O50" s="15">
        <v>6759</v>
      </c>
      <c r="P50" s="15">
        <v>6775</v>
      </c>
      <c r="Q50" s="15">
        <v>7344</v>
      </c>
      <c r="R50" s="15">
        <v>7354</v>
      </c>
      <c r="S50" s="15">
        <v>6898</v>
      </c>
      <c r="T50" s="15">
        <v>7344</v>
      </c>
      <c r="U50" s="15">
        <v>7256</v>
      </c>
      <c r="V50" s="15">
        <v>7299</v>
      </c>
      <c r="W50" s="15">
        <v>7378</v>
      </c>
      <c r="X50" s="15">
        <v>7359</v>
      </c>
      <c r="Y50" s="15">
        <v>7387</v>
      </c>
      <c r="Z50" s="15">
        <v>4108</v>
      </c>
      <c r="AA50" s="15">
        <v>4516</v>
      </c>
      <c r="AB50" s="15">
        <v>4598</v>
      </c>
      <c r="AC50" s="15">
        <v>4588</v>
      </c>
      <c r="AD50" s="15">
        <v>3825</v>
      </c>
      <c r="AE50" s="15">
        <v>4576</v>
      </c>
      <c r="AF50" s="15">
        <v>4414</v>
      </c>
      <c r="AG50" s="15">
        <v>0</v>
      </c>
      <c r="AH50" s="15">
        <v>4579</v>
      </c>
      <c r="AI50" s="15">
        <v>0</v>
      </c>
      <c r="AJ50" s="15">
        <v>3978</v>
      </c>
      <c r="AK50" s="15">
        <v>3996</v>
      </c>
      <c r="AL50" s="15">
        <v>3987</v>
      </c>
      <c r="AM50" s="15">
        <v>4116</v>
      </c>
      <c r="AN50" s="15">
        <v>4112</v>
      </c>
      <c r="AO50" s="15">
        <v>4022</v>
      </c>
      <c r="AP50" s="15">
        <v>4056</v>
      </c>
      <c r="AQ50" s="15">
        <v>4008</v>
      </c>
      <c r="AR50" s="15">
        <v>927</v>
      </c>
      <c r="AS50" s="16">
        <v>4.8499999999999996</v>
      </c>
      <c r="AT50" s="16">
        <v>5.26</v>
      </c>
      <c r="AU50" s="16">
        <v>4.68</v>
      </c>
      <c r="AV50" s="16">
        <v>5.05</v>
      </c>
      <c r="AW50" s="16">
        <v>5</v>
      </c>
      <c r="AX50" s="16">
        <v>5.1100000000000003</v>
      </c>
      <c r="AY50" s="16">
        <v>4.84</v>
      </c>
      <c r="AZ50" s="16">
        <v>4.4800000000000004</v>
      </c>
      <c r="BA50" s="16">
        <v>5.09</v>
      </c>
      <c r="BB50" s="16">
        <v>4.83</v>
      </c>
      <c r="BC50" s="16">
        <v>5.29</v>
      </c>
      <c r="BD50" s="16">
        <v>5.04</v>
      </c>
      <c r="BE50" s="16">
        <v>5.15</v>
      </c>
      <c r="BF50" s="16">
        <v>5.24</v>
      </c>
      <c r="BG50" s="16">
        <v>4.99</v>
      </c>
      <c r="BH50" s="16">
        <v>5.44</v>
      </c>
      <c r="BI50" s="16">
        <v>4.96</v>
      </c>
      <c r="BJ50" s="16">
        <v>5.48</v>
      </c>
      <c r="BK50" s="16">
        <v>5.43</v>
      </c>
      <c r="BL50" s="16">
        <v>5.67</v>
      </c>
      <c r="BM50" s="16">
        <v>0</v>
      </c>
      <c r="BN50" s="16">
        <v>5.29</v>
      </c>
      <c r="BO50" s="16">
        <v>4.82</v>
      </c>
      <c r="BP50" s="16">
        <v>5.04</v>
      </c>
      <c r="BQ50" s="16">
        <v>5.32</v>
      </c>
      <c r="BR50" s="16">
        <v>5.01</v>
      </c>
      <c r="BS50" s="16">
        <v>5.03</v>
      </c>
      <c r="BT50" s="16" t="s">
        <v>382</v>
      </c>
      <c r="BU50" s="16">
        <v>4.8099999999999996</v>
      </c>
      <c r="BV50" s="16">
        <v>0</v>
      </c>
      <c r="BW50" s="16">
        <v>4.95</v>
      </c>
      <c r="BX50" s="16">
        <v>5.01</v>
      </c>
      <c r="BY50" s="16">
        <v>4.99</v>
      </c>
      <c r="BZ50" s="16">
        <v>5.16</v>
      </c>
      <c r="CA50" s="16">
        <v>5.21</v>
      </c>
      <c r="CB50" s="16">
        <v>4.87</v>
      </c>
      <c r="CC50" s="16">
        <v>5.18</v>
      </c>
      <c r="CD50" s="16">
        <v>4.8499999999999996</v>
      </c>
      <c r="CE50" s="16">
        <v>5.19</v>
      </c>
      <c r="CF50" s="17">
        <f>SUM(Input_Raw[[#This Row],[G01]:[G40]])</f>
        <v>205550</v>
      </c>
      <c r="CG50" s="18">
        <f>IFERROR(AVERAGE(Input_Raw[[#This Row],[WS_G01]:[WS_G40]]),"")</f>
        <v>4.8055263157894732</v>
      </c>
      <c r="CH50" s="19"/>
      <c r="CI50" s="19"/>
      <c r="CJ50" s="15">
        <v>240629</v>
      </c>
      <c r="CK50" s="15">
        <v>2179</v>
      </c>
      <c r="CL50" s="15">
        <v>280544</v>
      </c>
      <c r="CM50" s="15">
        <v>2207</v>
      </c>
      <c r="CN50" s="15">
        <v>256654</v>
      </c>
      <c r="CO50" s="15">
        <v>1814</v>
      </c>
      <c r="CP50" s="15">
        <v>292596</v>
      </c>
      <c r="CQ50" s="15">
        <v>1860</v>
      </c>
      <c r="CR50" s="91">
        <f>IF(((Input_Raw[[#This Row],[33 kV_Wind_F1_Export reading]]-CJ49)*1200)&gt;0,(Input_Raw[[#This Row],[33 kV_Wind_F1_Export reading]]-CJ49)*1200,0)</f>
        <v>36000</v>
      </c>
      <c r="CS50" s="91">
        <f>IF(((Input_Raw[[#This Row],[33 kV_Wind_F1_Import reading]]-CK49)*1200)&gt;0,(Input_Raw[[#This Row],[33 kV_Wind_F1_Import reading]]-CK49)*1200,0)</f>
        <v>1200</v>
      </c>
      <c r="CT50" s="91">
        <f>IF(((Input_Raw[[#This Row],[33 kV_Wind_F2_Export_reading]]-CL49)*1200)&gt;0,(Input_Raw[[#This Row],[33 kV_Wind_F2_Export_reading]]-CL49)*1200,0)</f>
        <v>34800</v>
      </c>
      <c r="CU50" s="91">
        <f>IF(((Input_Raw[[#This Row],[33 kV_Wind_F2_Import_reading]]-CM49)*1200)&gt;0,(Input_Raw[[#This Row],[33 kV_Wind_F2_Import_reading]]-CM49)*1200,0)</f>
        <v>1200</v>
      </c>
      <c r="CV50" s="91">
        <f>IF(((Input_Raw[[#This Row],[33 kV_Wind_F3_Export_Reading]]-CN49)*1200)&gt;0,(Input_Raw[[#This Row],[33 kV_Wind_F3_Export_Reading]]-CN49)*1200,0)</f>
        <v>58800</v>
      </c>
      <c r="CW50" s="91">
        <f>IF(((Input_Raw[[#This Row],[33 kV_Wind_F3_Import_Reading]]-CO49)*1200)&gt;0,(Input_Raw[[#This Row],[33 kV_Wind_F3_Import_Reading]]-CO49)*1200,0)</f>
        <v>1200</v>
      </c>
      <c r="CX50" s="91">
        <f>IF(((Input_Raw[[#This Row],[33 kV_Wind_F4_Export Reading]]-CP49)*1200)&gt;0,(Input_Raw[[#This Row],[33 kV_Wind_F4_Export Reading]]-CP49)*1200,0)</f>
        <v>72000</v>
      </c>
      <c r="CY50" s="91">
        <f>IF(((Input_Raw[[#This Row],[33 kV_Wind_F4_Import Reading]]-CQ49)*1200)&gt;0,(Input_Raw[[#This Row],[33 kV_Wind_F4_Import Reading]]-CQ49)*1200,0)</f>
        <v>1200</v>
      </c>
      <c r="CZ50" s="91">
        <f>Input_Raw[[#This Row],[33 kV_F1_Total_Export (KWh)]]+Input_Raw[[#This Row],[33 kV_F2_Total_Export (KWh)2]]+Input_Raw[[#This Row],[33 kV_Wind_F3_Export (KWh)]]+Input_Raw[[#This Row],[33 kV_Wind_F4_Export (KWh)]]</f>
        <v>201600</v>
      </c>
      <c r="DA50" s="91">
        <f>Input_Raw[[#This Row],[33 kV_Wind_F1_Import (KWh)]]+Input_Raw[[#This Row],[33 kV_Wind_F2_Import (KWh)]]+Input_Raw[[#This Row],[33 kV_Wind_F3_Import (KWh)2]]+Input_Raw[[#This Row],[33 kV_Wind_F4_Import (KWh)2]]</f>
        <v>4800</v>
      </c>
      <c r="DB50" s="21">
        <f>IFERROR(1-Input_Raw[[#This Row],[33 kV_Wind_Total_Export (KWh)]]/Input_Raw[[#This Row],[WTG Total Gneration (KWh)]],0)</f>
        <v>1.9216735587448297E-2</v>
      </c>
      <c r="DC50" s="100">
        <v>0</v>
      </c>
      <c r="DD50" s="100">
        <v>0</v>
      </c>
      <c r="DE50" s="102">
        <v>205.55</v>
      </c>
      <c r="DF50" s="99"/>
      <c r="DG50" s="101">
        <v>78</v>
      </c>
      <c r="DH50" s="168" t="s">
        <v>381</v>
      </c>
    </row>
    <row r="51" spans="1:112">
      <c r="A51" s="20">
        <f t="shared" si="6"/>
        <v>45791</v>
      </c>
      <c r="B51" s="12">
        <f>YEAR([1]!Input_Raw[[#This Row],[Date]])+IF(MONTH([1]!Input_Raw[[#This Row],[Date]])&gt;=4,1,0)</f>
        <v>2026</v>
      </c>
      <c r="C51" s="13">
        <f>YEAR([1]!Input_Raw[[#This Row],[Date]])</f>
        <v>2025</v>
      </c>
      <c r="D51" s="14">
        <f t="shared" si="5"/>
        <v>45778</v>
      </c>
      <c r="E51" s="13">
        <f>DAY(EOMONTH([1]!Input_Raw[[#This Row],[Date]],0))</f>
        <v>31</v>
      </c>
      <c r="F51" s="15">
        <v>4822</v>
      </c>
      <c r="G51" s="15">
        <v>4843</v>
      </c>
      <c r="H51" s="15">
        <v>4845</v>
      </c>
      <c r="I51" s="15">
        <v>4423</v>
      </c>
      <c r="J51" s="15">
        <v>3239</v>
      </c>
      <c r="K51" s="15">
        <v>4812</v>
      </c>
      <c r="L51" s="15">
        <v>4878</v>
      </c>
      <c r="M51" s="15">
        <v>4780</v>
      </c>
      <c r="N51" s="15">
        <v>5060</v>
      </c>
      <c r="O51" s="15">
        <v>4796</v>
      </c>
      <c r="P51" s="15">
        <v>4821</v>
      </c>
      <c r="Q51" s="15">
        <v>5012</v>
      </c>
      <c r="R51" s="15">
        <v>4749</v>
      </c>
      <c r="S51" s="15">
        <v>1056</v>
      </c>
      <c r="T51" s="15">
        <v>5076</v>
      </c>
      <c r="U51" s="15">
        <v>5064</v>
      </c>
      <c r="V51" s="15">
        <v>5096</v>
      </c>
      <c r="W51" s="15">
        <v>5013</v>
      </c>
      <c r="X51" s="15">
        <v>5043</v>
      </c>
      <c r="Y51" s="15">
        <v>5024</v>
      </c>
      <c r="Z51" s="15">
        <v>1998</v>
      </c>
      <c r="AA51" s="15">
        <v>3256</v>
      </c>
      <c r="AB51" s="15">
        <v>3212</v>
      </c>
      <c r="AC51" s="15">
        <v>3197</v>
      </c>
      <c r="AD51" s="15">
        <v>2911</v>
      </c>
      <c r="AE51" s="15">
        <v>3243</v>
      </c>
      <c r="AF51" s="15">
        <v>2368</v>
      </c>
      <c r="AG51" s="15">
        <v>0</v>
      </c>
      <c r="AH51" s="15">
        <v>3268</v>
      </c>
      <c r="AI51" s="15">
        <v>0</v>
      </c>
      <c r="AJ51" s="15">
        <v>2943</v>
      </c>
      <c r="AK51" s="15">
        <v>2879</v>
      </c>
      <c r="AL51" s="15">
        <v>2867</v>
      </c>
      <c r="AM51" s="15">
        <v>2976</v>
      </c>
      <c r="AN51" s="15">
        <v>2913</v>
      </c>
      <c r="AO51" s="15">
        <v>2945</v>
      </c>
      <c r="AP51" s="15">
        <v>2901</v>
      </c>
      <c r="AQ51" s="15">
        <v>2901</v>
      </c>
      <c r="AR51" s="15">
        <v>0</v>
      </c>
      <c r="AS51" s="16">
        <v>3.74</v>
      </c>
      <c r="AT51" s="16">
        <v>3.74</v>
      </c>
      <c r="AU51" s="16">
        <v>3.75</v>
      </c>
      <c r="AV51" s="16">
        <v>3.66</v>
      </c>
      <c r="AW51" s="16">
        <v>3.58</v>
      </c>
      <c r="AX51" s="16">
        <v>4.01</v>
      </c>
      <c r="AY51" s="16">
        <v>3.68</v>
      </c>
      <c r="AZ51" s="16">
        <v>3.94</v>
      </c>
      <c r="BA51" s="16">
        <v>3.7</v>
      </c>
      <c r="BB51" s="16">
        <v>3.66</v>
      </c>
      <c r="BC51" s="16">
        <v>3.85</v>
      </c>
      <c r="BD51" s="16">
        <v>3.83</v>
      </c>
      <c r="BE51" s="16">
        <v>3.84</v>
      </c>
      <c r="BF51" s="16">
        <v>3.92</v>
      </c>
      <c r="BG51" s="16">
        <v>3.11</v>
      </c>
      <c r="BH51" s="16">
        <v>0</v>
      </c>
      <c r="BI51" s="16">
        <v>4.0199999999999996</v>
      </c>
      <c r="BJ51" s="16">
        <v>3.98</v>
      </c>
      <c r="BK51" s="16">
        <v>4.12</v>
      </c>
      <c r="BL51" s="16">
        <v>4.16</v>
      </c>
      <c r="BM51" s="16">
        <v>3.79</v>
      </c>
      <c r="BN51" s="16">
        <v>3.68</v>
      </c>
      <c r="BO51" s="16">
        <v>3.68</v>
      </c>
      <c r="BP51" s="16">
        <v>3.85</v>
      </c>
      <c r="BQ51" s="16">
        <v>3.49</v>
      </c>
      <c r="BR51" s="16">
        <v>3.7</v>
      </c>
      <c r="BS51" s="16">
        <v>3.67</v>
      </c>
      <c r="BT51" s="16">
        <v>0</v>
      </c>
      <c r="BU51" s="16">
        <v>3.9</v>
      </c>
      <c r="BV51" s="16">
        <v>0</v>
      </c>
      <c r="BW51" s="16">
        <v>3.66</v>
      </c>
      <c r="BX51" s="16">
        <v>3.57</v>
      </c>
      <c r="BY51" s="16">
        <v>3.7</v>
      </c>
      <c r="BZ51" s="16">
        <v>3.91</v>
      </c>
      <c r="CA51" s="16">
        <v>4.05</v>
      </c>
      <c r="CB51" s="16">
        <v>3.93</v>
      </c>
      <c r="CC51" s="16">
        <v>3.61</v>
      </c>
      <c r="CD51" s="16">
        <v>4.13</v>
      </c>
      <c r="CE51" s="16">
        <v>3.7</v>
      </c>
      <c r="CF51" s="17">
        <f>SUM(Input_Raw[[#This Row],[G01]:[G40]])</f>
        <v>139230</v>
      </c>
      <c r="CG51" s="18">
        <f>IFERROR(AVERAGE(Input_Raw[[#This Row],[WS_G01]:[WS_G40]]),"")</f>
        <v>3.4951282051282053</v>
      </c>
      <c r="CH51" s="19"/>
      <c r="CI51" s="19"/>
      <c r="CJ51" s="15">
        <v>240650</v>
      </c>
      <c r="CK51" s="15">
        <v>2180</v>
      </c>
      <c r="CL51" s="15">
        <v>280563</v>
      </c>
      <c r="CM51" s="15">
        <v>2208</v>
      </c>
      <c r="CN51" s="15">
        <v>256689</v>
      </c>
      <c r="CO51" s="15">
        <v>1815</v>
      </c>
      <c r="CP51" s="15">
        <v>292634</v>
      </c>
      <c r="CQ51" s="15">
        <v>1861</v>
      </c>
      <c r="CR51" s="91">
        <f>IF(((Input_Raw[[#This Row],[33 kV_Wind_F1_Export reading]]-CJ50)*1200)&gt;0,(Input_Raw[[#This Row],[33 kV_Wind_F1_Export reading]]-CJ50)*1200,0)</f>
        <v>25200</v>
      </c>
      <c r="CS51" s="91">
        <f>IF(((Input_Raw[[#This Row],[33 kV_Wind_F1_Import reading]]-CK50)*1200)&gt;0,(Input_Raw[[#This Row],[33 kV_Wind_F1_Import reading]]-CK50)*1200,0)</f>
        <v>1200</v>
      </c>
      <c r="CT51" s="91">
        <f>IF(((Input_Raw[[#This Row],[33 kV_Wind_F2_Export_reading]]-CL50)*1200)&gt;0,(Input_Raw[[#This Row],[33 kV_Wind_F2_Export_reading]]-CL50)*1200,0)</f>
        <v>22800</v>
      </c>
      <c r="CU51" s="91">
        <f>IF(((Input_Raw[[#This Row],[33 kV_Wind_F2_Import_reading]]-CM50)*1200)&gt;0,(Input_Raw[[#This Row],[33 kV_Wind_F2_Import_reading]]-CM50)*1200,0)</f>
        <v>1200</v>
      </c>
      <c r="CV51" s="91">
        <f>IF(((Input_Raw[[#This Row],[33 kV_Wind_F3_Export_Reading]]-CN50)*1200)&gt;0,(Input_Raw[[#This Row],[33 kV_Wind_F3_Export_Reading]]-CN50)*1200,0)</f>
        <v>42000</v>
      </c>
      <c r="CW51" s="91">
        <f>IF(((Input_Raw[[#This Row],[33 kV_Wind_F3_Import_Reading]]-CO50)*1200)&gt;0,(Input_Raw[[#This Row],[33 kV_Wind_F3_Import_Reading]]-CO50)*1200,0)</f>
        <v>1200</v>
      </c>
      <c r="CX51" s="91">
        <f>IF(((Input_Raw[[#This Row],[33 kV_Wind_F4_Export Reading]]-CP50)*1200)&gt;0,(Input_Raw[[#This Row],[33 kV_Wind_F4_Export Reading]]-CP50)*1200,0)</f>
        <v>45600</v>
      </c>
      <c r="CY51" s="91">
        <f>IF(((Input_Raw[[#This Row],[33 kV_Wind_F4_Import Reading]]-CQ50)*1200)&gt;0,(Input_Raw[[#This Row],[33 kV_Wind_F4_Import Reading]]-CQ50)*1200,0)</f>
        <v>1200</v>
      </c>
      <c r="CZ51" s="91">
        <f>Input_Raw[[#This Row],[33 kV_F1_Total_Export (KWh)]]+Input_Raw[[#This Row],[33 kV_F2_Total_Export (KWh)2]]+Input_Raw[[#This Row],[33 kV_Wind_F3_Export (KWh)]]+Input_Raw[[#This Row],[33 kV_Wind_F4_Export (KWh)]]</f>
        <v>135600</v>
      </c>
      <c r="DA51" s="91">
        <f>Input_Raw[[#This Row],[33 kV_Wind_F1_Import (KWh)]]+Input_Raw[[#This Row],[33 kV_Wind_F2_Import (KWh)]]+Input_Raw[[#This Row],[33 kV_Wind_F3_Import (KWh)2]]+Input_Raw[[#This Row],[33 kV_Wind_F4_Import (KWh)2]]</f>
        <v>4800</v>
      </c>
      <c r="DB51" s="21">
        <f>IFERROR(1-Input_Raw[[#This Row],[33 kV_Wind_Total_Export (KWh)]]/Input_Raw[[#This Row],[WTG Total Gneration (KWh)]],0)</f>
        <v>2.6071967248437855E-2</v>
      </c>
      <c r="DC51" s="100">
        <v>96</v>
      </c>
      <c r="DD51" s="100">
        <v>34850</v>
      </c>
      <c r="DE51" s="102">
        <v>139.22999999999999</v>
      </c>
      <c r="DF51" s="99"/>
      <c r="DG51" s="101">
        <v>78</v>
      </c>
      <c r="DH51" s="168" t="s">
        <v>381</v>
      </c>
    </row>
    <row r="52" spans="1:112">
      <c r="A52" s="20">
        <f t="shared" si="6"/>
        <v>45792</v>
      </c>
      <c r="B52" s="12">
        <f>YEAR([1]!Input_Raw[[#This Row],[Date]])+IF(MONTH([1]!Input_Raw[[#This Row],[Date]])&gt;=4,1,0)</f>
        <v>2026</v>
      </c>
      <c r="C52" s="13">
        <f>YEAR([1]!Input_Raw[[#This Row],[Date]])</f>
        <v>2025</v>
      </c>
      <c r="D52" s="14">
        <f t="shared" si="5"/>
        <v>45778</v>
      </c>
      <c r="E52" s="13">
        <f>DAY(EOMONTH([1]!Input_Raw[[#This Row],[Date]],0))</f>
        <v>31</v>
      </c>
      <c r="F52" s="15">
        <v>6421</v>
      </c>
      <c r="G52" s="15">
        <v>6453</v>
      </c>
      <c r="H52" s="15">
        <v>6423</v>
      </c>
      <c r="I52" s="15">
        <v>6431</v>
      </c>
      <c r="J52" s="15">
        <v>5032</v>
      </c>
      <c r="K52" s="15">
        <v>6021</v>
      </c>
      <c r="L52" s="15">
        <v>6023</v>
      </c>
      <c r="M52" s="15">
        <v>6452</v>
      </c>
      <c r="N52" s="15">
        <v>5890</v>
      </c>
      <c r="O52" s="15">
        <v>6464</v>
      </c>
      <c r="P52" s="15">
        <v>6479</v>
      </c>
      <c r="Q52" s="15">
        <v>5859</v>
      </c>
      <c r="R52" s="15">
        <v>5867</v>
      </c>
      <c r="S52" s="15">
        <v>5858</v>
      </c>
      <c r="T52" s="15">
        <v>5842</v>
      </c>
      <c r="U52" s="15">
        <v>5854</v>
      </c>
      <c r="V52" s="15">
        <v>5875</v>
      </c>
      <c r="W52" s="15">
        <v>5879</v>
      </c>
      <c r="X52" s="15">
        <v>5870</v>
      </c>
      <c r="Y52" s="15">
        <v>5848</v>
      </c>
      <c r="Z52" s="15">
        <v>5067</v>
      </c>
      <c r="AA52" s="15">
        <v>5058</v>
      </c>
      <c r="AB52" s="15">
        <v>5022</v>
      </c>
      <c r="AC52" s="15">
        <v>4596</v>
      </c>
      <c r="AD52" s="15">
        <v>4572</v>
      </c>
      <c r="AE52" s="15">
        <v>5056</v>
      </c>
      <c r="AF52" s="15">
        <v>5042</v>
      </c>
      <c r="AG52" s="15">
        <v>0</v>
      </c>
      <c r="AH52" s="15">
        <v>5074</v>
      </c>
      <c r="AI52" s="15">
        <v>0</v>
      </c>
      <c r="AJ52" s="15">
        <v>4529</v>
      </c>
      <c r="AK52" s="15">
        <v>3021</v>
      </c>
      <c r="AL52" s="15">
        <v>4572</v>
      </c>
      <c r="AM52" s="15">
        <v>4556</v>
      </c>
      <c r="AN52" s="15">
        <v>4581</v>
      </c>
      <c r="AO52" s="15">
        <v>4549</v>
      </c>
      <c r="AP52" s="15">
        <v>4588</v>
      </c>
      <c r="AQ52" s="15">
        <v>2677</v>
      </c>
      <c r="AR52" s="15">
        <v>1265</v>
      </c>
      <c r="AS52" s="16">
        <v>3.93</v>
      </c>
      <c r="AT52" s="16">
        <v>3.99</v>
      </c>
      <c r="AU52" s="16">
        <v>3.9</v>
      </c>
      <c r="AV52" s="16">
        <v>3.78</v>
      </c>
      <c r="AW52" s="16">
        <v>3.4</v>
      </c>
      <c r="AX52" s="16">
        <v>4.13</v>
      </c>
      <c r="AY52" s="16">
        <v>3.8</v>
      </c>
      <c r="AZ52" s="16">
        <v>4.05</v>
      </c>
      <c r="BA52" s="16">
        <v>3.76</v>
      </c>
      <c r="BB52" s="16">
        <v>3.86</v>
      </c>
      <c r="BC52" s="16">
        <v>4.0599999999999996</v>
      </c>
      <c r="BD52" s="16">
        <v>3.98</v>
      </c>
      <c r="BE52" s="16">
        <v>4.04</v>
      </c>
      <c r="BF52" s="16">
        <v>4.03</v>
      </c>
      <c r="BG52" s="16">
        <v>3.88</v>
      </c>
      <c r="BH52" s="16">
        <v>4.18</v>
      </c>
      <c r="BI52" s="16">
        <v>3.41</v>
      </c>
      <c r="BJ52" s="16">
        <v>4.09</v>
      </c>
      <c r="BK52" s="16">
        <v>4.29</v>
      </c>
      <c r="BL52" s="16">
        <v>4.0599999999999996</v>
      </c>
      <c r="BM52" s="16">
        <v>4.5</v>
      </c>
      <c r="BN52" s="16">
        <v>3.75</v>
      </c>
      <c r="BO52" s="16">
        <v>3.14</v>
      </c>
      <c r="BP52" s="16">
        <v>3.53</v>
      </c>
      <c r="BQ52" s="16">
        <v>3.02</v>
      </c>
      <c r="BR52" s="16">
        <v>3.42</v>
      </c>
      <c r="BS52" s="16">
        <v>3.48</v>
      </c>
      <c r="BT52" s="16">
        <v>0</v>
      </c>
      <c r="BU52" s="16">
        <v>3.31</v>
      </c>
      <c r="BV52" s="16">
        <v>0</v>
      </c>
      <c r="BW52" s="16">
        <v>3.29</v>
      </c>
      <c r="BX52" s="16">
        <v>3.51</v>
      </c>
      <c r="BY52" s="16">
        <v>3.38</v>
      </c>
      <c r="BZ52" s="16">
        <v>3.42</v>
      </c>
      <c r="CA52" s="16">
        <v>3.69</v>
      </c>
      <c r="CB52" s="16">
        <v>3.98</v>
      </c>
      <c r="CC52" s="16">
        <v>3.43</v>
      </c>
      <c r="CD52" s="16">
        <v>3.41</v>
      </c>
      <c r="CE52" s="16">
        <v>3.47</v>
      </c>
      <c r="CF52" s="17">
        <f>SUM(Input_Raw[[#This Row],[G01]:[G40]])</f>
        <v>194666</v>
      </c>
      <c r="CG52" s="18">
        <f>IFERROR(AVERAGE(Input_Raw[[#This Row],[WS_G01]:[WS_G40]]),"")</f>
        <v>3.5474358974358982</v>
      </c>
      <c r="CH52" s="19"/>
      <c r="CI52" s="19"/>
      <c r="CJ52" s="15">
        <v>240682</v>
      </c>
      <c r="CK52" s="15">
        <v>2180</v>
      </c>
      <c r="CL52" s="15">
        <v>280596</v>
      </c>
      <c r="CM52" s="15">
        <v>2208</v>
      </c>
      <c r="CN52" s="15">
        <v>256736</v>
      </c>
      <c r="CO52" s="15">
        <v>1816</v>
      </c>
      <c r="CP52" s="15">
        <v>292682</v>
      </c>
      <c r="CQ52" s="15">
        <v>1861</v>
      </c>
      <c r="CR52" s="91">
        <f>IF(((Input_Raw[[#This Row],[33 kV_Wind_F1_Export reading]]-CJ51)*1200)&gt;0,(Input_Raw[[#This Row],[33 kV_Wind_F1_Export reading]]-CJ51)*1200,0)</f>
        <v>38400</v>
      </c>
      <c r="CS52" s="91">
        <f>IF(((Input_Raw[[#This Row],[33 kV_Wind_F1_Import reading]]-CK51)*1200)&gt;0,(Input_Raw[[#This Row],[33 kV_Wind_F1_Import reading]]-CK51)*1200,0)</f>
        <v>0</v>
      </c>
      <c r="CT52" s="91">
        <f>IF(((Input_Raw[[#This Row],[33 kV_Wind_F2_Export_reading]]-CL51)*1200)&gt;0,(Input_Raw[[#This Row],[33 kV_Wind_F2_Export_reading]]-CL51)*1200,0)</f>
        <v>39600</v>
      </c>
      <c r="CU52" s="91">
        <f>IF(((Input_Raw[[#This Row],[33 kV_Wind_F2_Import_reading]]-CM51)*1200)&gt;0,(Input_Raw[[#This Row],[33 kV_Wind_F2_Import_reading]]-CM51)*1200,0)</f>
        <v>0</v>
      </c>
      <c r="CV52" s="91">
        <f>IF(((Input_Raw[[#This Row],[33 kV_Wind_F3_Export_Reading]]-CN51)*1200)&gt;0,(Input_Raw[[#This Row],[33 kV_Wind_F3_Export_Reading]]-CN51)*1200,0)</f>
        <v>56400</v>
      </c>
      <c r="CW52" s="91">
        <f>IF(((Input_Raw[[#This Row],[33 kV_Wind_F3_Import_Reading]]-CO51)*1200)&gt;0,(Input_Raw[[#This Row],[33 kV_Wind_F3_Import_Reading]]-CO51)*1200,0)</f>
        <v>1200</v>
      </c>
      <c r="CX52" s="91">
        <f>IF(((Input_Raw[[#This Row],[33 kV_Wind_F4_Export Reading]]-CP51)*1200)&gt;0,(Input_Raw[[#This Row],[33 kV_Wind_F4_Export Reading]]-CP51)*1200,0)</f>
        <v>57600</v>
      </c>
      <c r="CY52" s="91">
        <f>IF(((Input_Raw[[#This Row],[33 kV_Wind_F4_Import Reading]]-CQ51)*1200)&gt;0,(Input_Raw[[#This Row],[33 kV_Wind_F4_Import Reading]]-CQ51)*1200,0)</f>
        <v>0</v>
      </c>
      <c r="CZ52" s="91">
        <f>Input_Raw[[#This Row],[33 kV_F1_Total_Export (KWh)]]+Input_Raw[[#This Row],[33 kV_F2_Total_Export (KWh)2]]+Input_Raw[[#This Row],[33 kV_Wind_F3_Export (KWh)]]+Input_Raw[[#This Row],[33 kV_Wind_F4_Export (KWh)]]</f>
        <v>192000</v>
      </c>
      <c r="DA52" s="91">
        <f>Input_Raw[[#This Row],[33 kV_Wind_F1_Import (KWh)]]+Input_Raw[[#This Row],[33 kV_Wind_F2_Import (KWh)]]+Input_Raw[[#This Row],[33 kV_Wind_F3_Import (KWh)2]]+Input_Raw[[#This Row],[33 kV_Wind_F4_Import (KWh)2]]</f>
        <v>1200</v>
      </c>
      <c r="DB52" s="21">
        <f>IFERROR(1-Input_Raw[[#This Row],[33 kV_Wind_Total_Export (KWh)]]/Input_Raw[[#This Row],[WTG Total Gneration (KWh)]],0)</f>
        <v>1.3695252381001333E-2</v>
      </c>
      <c r="DC52" s="100">
        <v>96</v>
      </c>
      <c r="DD52" s="100">
        <v>708</v>
      </c>
      <c r="DE52" s="102">
        <v>194.66</v>
      </c>
      <c r="DF52" s="99"/>
      <c r="DG52" s="101">
        <v>78</v>
      </c>
      <c r="DH52" s="168" t="s">
        <v>381</v>
      </c>
    </row>
    <row r="53" spans="1:112">
      <c r="A53" s="20">
        <f t="shared" si="6"/>
        <v>45793</v>
      </c>
      <c r="B53" s="12">
        <f>YEAR([1]!Input_Raw[[#This Row],[Date]])+IF(MONTH([1]!Input_Raw[[#This Row],[Date]])&gt;=4,1,0)</f>
        <v>2026</v>
      </c>
      <c r="C53" s="13">
        <f>YEAR([1]!Input_Raw[[#This Row],[Date]])</f>
        <v>2025</v>
      </c>
      <c r="D53" s="14">
        <f t="shared" si="5"/>
        <v>45778</v>
      </c>
      <c r="E53" s="13">
        <f>DAY(EOMONTH([1]!Input_Raw[[#This Row],[Date]],0))</f>
        <v>31</v>
      </c>
      <c r="F53" s="15">
        <v>9898</v>
      </c>
      <c r="G53" s="15">
        <v>9872</v>
      </c>
      <c r="H53" s="15">
        <v>10542</v>
      </c>
      <c r="I53" s="15">
        <v>9888</v>
      </c>
      <c r="J53" s="15">
        <v>8169</v>
      </c>
      <c r="K53" s="15">
        <v>9874</v>
      </c>
      <c r="L53" s="15">
        <v>10576</v>
      </c>
      <c r="M53" s="15">
        <v>10587</v>
      </c>
      <c r="N53" s="15">
        <v>8749</v>
      </c>
      <c r="O53" s="15">
        <v>10556</v>
      </c>
      <c r="P53" s="15">
        <v>10578</v>
      </c>
      <c r="Q53" s="15">
        <v>8787</v>
      </c>
      <c r="R53" s="15">
        <v>8764</v>
      </c>
      <c r="S53" s="15">
        <v>8769</v>
      </c>
      <c r="T53" s="15">
        <v>8760</v>
      </c>
      <c r="U53" s="15">
        <v>9946</v>
      </c>
      <c r="V53" s="15">
        <v>9984</v>
      </c>
      <c r="W53" s="15">
        <v>9966</v>
      </c>
      <c r="X53" s="15">
        <v>7253</v>
      </c>
      <c r="Y53" s="15">
        <v>9989</v>
      </c>
      <c r="Z53" s="15">
        <v>8166</v>
      </c>
      <c r="AA53" s="15">
        <v>8152</v>
      </c>
      <c r="AB53" s="15">
        <v>8121</v>
      </c>
      <c r="AC53" s="15">
        <v>8176</v>
      </c>
      <c r="AD53" s="15">
        <v>7376</v>
      </c>
      <c r="AE53" s="15">
        <v>8162</v>
      </c>
      <c r="AF53" s="15">
        <v>8165</v>
      </c>
      <c r="AG53" s="15">
        <v>0</v>
      </c>
      <c r="AH53" s="15">
        <v>8175</v>
      </c>
      <c r="AI53" s="15">
        <v>0</v>
      </c>
      <c r="AJ53" s="15">
        <v>7365</v>
      </c>
      <c r="AK53" s="15">
        <v>7370</v>
      </c>
      <c r="AL53" s="15">
        <v>7342</v>
      </c>
      <c r="AM53" s="15">
        <v>7359</v>
      </c>
      <c r="AN53" s="15">
        <v>7383</v>
      </c>
      <c r="AO53" s="15">
        <v>7376</v>
      </c>
      <c r="AP53" s="15">
        <v>7369</v>
      </c>
      <c r="AQ53" s="15">
        <v>7388</v>
      </c>
      <c r="AR53" s="15">
        <v>6574</v>
      </c>
      <c r="AS53" s="16">
        <v>4.58</v>
      </c>
      <c r="AT53" s="16">
        <v>4.46</v>
      </c>
      <c r="AU53" s="16">
        <v>3.97</v>
      </c>
      <c r="AV53" s="16">
        <v>4.1500000000000004</v>
      </c>
      <c r="AW53" s="16">
        <v>3.78</v>
      </c>
      <c r="AX53" s="16">
        <v>4.38</v>
      </c>
      <c r="AY53" s="16">
        <v>4.4000000000000004</v>
      </c>
      <c r="AZ53" s="16">
        <v>4.13</v>
      </c>
      <c r="BA53" s="16">
        <v>4.08</v>
      </c>
      <c r="BB53" s="16">
        <v>3.95</v>
      </c>
      <c r="BC53" s="16">
        <v>4.01</v>
      </c>
      <c r="BD53" s="16">
        <v>4.04</v>
      </c>
      <c r="BE53" s="16">
        <v>3.98</v>
      </c>
      <c r="BF53" s="16">
        <v>3.84</v>
      </c>
      <c r="BG53" s="16">
        <v>3.92</v>
      </c>
      <c r="BH53" s="16">
        <v>3.95</v>
      </c>
      <c r="BI53" s="16">
        <v>4.1500000000000004</v>
      </c>
      <c r="BJ53" s="16">
        <v>4.01</v>
      </c>
      <c r="BK53" s="16">
        <v>3.99</v>
      </c>
      <c r="BL53" s="16">
        <v>4.01</v>
      </c>
      <c r="BM53" s="16">
        <v>3.76</v>
      </c>
      <c r="BN53" s="16">
        <v>3.87</v>
      </c>
      <c r="BO53" s="16">
        <v>3.95</v>
      </c>
      <c r="BP53" s="16">
        <v>4.26</v>
      </c>
      <c r="BQ53" s="16">
        <v>4.2</v>
      </c>
      <c r="BR53" s="16">
        <v>4.22</v>
      </c>
      <c r="BS53" s="16">
        <v>4.21</v>
      </c>
      <c r="BT53" s="16">
        <v>0</v>
      </c>
      <c r="BU53" s="16">
        <v>5.44</v>
      </c>
      <c r="BV53" s="16">
        <v>0</v>
      </c>
      <c r="BW53" s="16">
        <v>4.17</v>
      </c>
      <c r="BX53" s="16">
        <v>4.1500000000000004</v>
      </c>
      <c r="BY53" s="16">
        <v>4.32</v>
      </c>
      <c r="BZ53" s="16">
        <v>4.55</v>
      </c>
      <c r="CA53" s="16">
        <v>6.32</v>
      </c>
      <c r="CB53" s="16">
        <v>4.45</v>
      </c>
      <c r="CC53" s="16">
        <v>4.87</v>
      </c>
      <c r="CD53" s="16">
        <v>4.3099999999999996</v>
      </c>
      <c r="CE53" s="16">
        <v>5.39</v>
      </c>
      <c r="CF53" s="17">
        <f>SUM(Input_Raw[[#This Row],[G01]:[G40]])</f>
        <v>321526</v>
      </c>
      <c r="CG53" s="18">
        <f>IFERROR(AVERAGE(Input_Raw[[#This Row],[WS_G01]:[WS_G40]]),"")</f>
        <v>4.056923076923078</v>
      </c>
      <c r="CH53" s="19"/>
      <c r="CI53" s="19"/>
      <c r="CJ53" s="15">
        <v>240740</v>
      </c>
      <c r="CK53" s="15">
        <v>2180</v>
      </c>
      <c r="CL53" s="15">
        <v>280655</v>
      </c>
      <c r="CM53" s="15">
        <v>2208</v>
      </c>
      <c r="CN53" s="15">
        <v>256811</v>
      </c>
      <c r="CO53" s="15">
        <v>1816</v>
      </c>
      <c r="CP53" s="15">
        <v>292755</v>
      </c>
      <c r="CQ53" s="15">
        <v>1861</v>
      </c>
      <c r="CR53" s="91">
        <f>IF(((Input_Raw[[#This Row],[33 kV_Wind_F1_Export reading]]-CJ52)*1200)&gt;0,(Input_Raw[[#This Row],[33 kV_Wind_F1_Export reading]]-CJ52)*1200,0)</f>
        <v>69600</v>
      </c>
      <c r="CS53" s="91">
        <f>IF(((Input_Raw[[#This Row],[33 kV_Wind_F1_Import reading]]-CK52)*1200)&gt;0,(Input_Raw[[#This Row],[33 kV_Wind_F1_Import reading]]-CK52)*1200,0)</f>
        <v>0</v>
      </c>
      <c r="CT53" s="91">
        <f>IF(((Input_Raw[[#This Row],[33 kV_Wind_F2_Export_reading]]-CL52)*1200)&gt;0,(Input_Raw[[#This Row],[33 kV_Wind_F2_Export_reading]]-CL52)*1200,0)</f>
        <v>70800</v>
      </c>
      <c r="CU53" s="91">
        <f>IF(((Input_Raw[[#This Row],[33 kV_Wind_F2_Import_reading]]-CM52)*1200)&gt;0,(Input_Raw[[#This Row],[33 kV_Wind_F2_Import_reading]]-CM52)*1200,0)</f>
        <v>0</v>
      </c>
      <c r="CV53" s="91">
        <f>IF(((Input_Raw[[#This Row],[33 kV_Wind_F3_Export_Reading]]-CN52)*1200)&gt;0,(Input_Raw[[#This Row],[33 kV_Wind_F3_Export_Reading]]-CN52)*1200,0)</f>
        <v>90000</v>
      </c>
      <c r="CW53" s="91">
        <f>IF(((Input_Raw[[#This Row],[33 kV_Wind_F3_Import_Reading]]-CO52)*1200)&gt;0,(Input_Raw[[#This Row],[33 kV_Wind_F3_Import_Reading]]-CO52)*1200,0)</f>
        <v>0</v>
      </c>
      <c r="CX53" s="91">
        <f>IF(((Input_Raw[[#This Row],[33 kV_Wind_F4_Export Reading]]-CP52)*1200)&gt;0,(Input_Raw[[#This Row],[33 kV_Wind_F4_Export Reading]]-CP52)*1200,0)</f>
        <v>87600</v>
      </c>
      <c r="CY53" s="91">
        <f>IF(((Input_Raw[[#This Row],[33 kV_Wind_F4_Import Reading]]-CQ52)*1200)&gt;0,(Input_Raw[[#This Row],[33 kV_Wind_F4_Import Reading]]-CQ52)*1200,0)</f>
        <v>0</v>
      </c>
      <c r="CZ53" s="91">
        <f>Input_Raw[[#This Row],[33 kV_F1_Total_Export (KWh)]]+Input_Raw[[#This Row],[33 kV_F2_Total_Export (KWh)2]]+Input_Raw[[#This Row],[33 kV_Wind_F3_Export (KWh)]]+Input_Raw[[#This Row],[33 kV_Wind_F4_Export (KWh)]]</f>
        <v>318000</v>
      </c>
      <c r="DA53" s="91">
        <f>Input_Raw[[#This Row],[33 kV_Wind_F1_Import (KWh)]]+Input_Raw[[#This Row],[33 kV_Wind_F2_Import (KWh)]]+Input_Raw[[#This Row],[33 kV_Wind_F3_Import (KWh)2]]+Input_Raw[[#This Row],[33 kV_Wind_F4_Import (KWh)2]]</f>
        <v>0</v>
      </c>
      <c r="DB53" s="21">
        <f>IFERROR(1-Input_Raw[[#This Row],[33 kV_Wind_Total_Export (KWh)]]/Input_Raw[[#This Row],[WTG Total Gneration (KWh)]],0)</f>
        <v>1.0966453723804559E-2</v>
      </c>
      <c r="DC53" s="100">
        <v>96</v>
      </c>
      <c r="DD53" s="100">
        <v>1873</v>
      </c>
      <c r="DE53" s="102">
        <v>321.52</v>
      </c>
      <c r="DF53" s="99"/>
      <c r="DG53" s="101">
        <v>78</v>
      </c>
      <c r="DH53" s="168" t="s">
        <v>381</v>
      </c>
    </row>
    <row r="54" spans="1:112">
      <c r="A54" s="20">
        <f t="shared" si="6"/>
        <v>45794</v>
      </c>
      <c r="B54" s="12">
        <f>YEAR([1]!Input_Raw[[#This Row],[Date]])+IF(MONTH([1]!Input_Raw[[#This Row],[Date]])&gt;=4,1,0)</f>
        <v>2026</v>
      </c>
      <c r="C54" s="13">
        <f>YEAR([1]!Input_Raw[[#This Row],[Date]])</f>
        <v>2025</v>
      </c>
      <c r="D54" s="14">
        <f t="shared" si="5"/>
        <v>45778</v>
      </c>
      <c r="E54" s="13">
        <f>DAY(EOMONTH([1]!Input_Raw[[#This Row],[Date]],0))</f>
        <v>31</v>
      </c>
      <c r="F54" s="15">
        <v>5673</v>
      </c>
      <c r="G54" s="15">
        <v>5132</v>
      </c>
      <c r="H54" s="15">
        <v>5684</v>
      </c>
      <c r="I54" s="15">
        <v>5681</v>
      </c>
      <c r="J54" s="15">
        <v>4123</v>
      </c>
      <c r="K54" s="15">
        <v>5424</v>
      </c>
      <c r="L54" s="15">
        <v>5163</v>
      </c>
      <c r="M54" s="15">
        <v>5642</v>
      </c>
      <c r="N54" s="15">
        <v>6458</v>
      </c>
      <c r="O54" s="15">
        <v>5635</v>
      </c>
      <c r="P54" s="15">
        <v>5673</v>
      </c>
      <c r="Q54" s="15">
        <v>6475</v>
      </c>
      <c r="R54" s="15">
        <v>6438</v>
      </c>
      <c r="S54" s="15">
        <v>6473</v>
      </c>
      <c r="T54" s="15">
        <v>6451</v>
      </c>
      <c r="U54" s="15">
        <v>6423</v>
      </c>
      <c r="V54" s="15">
        <v>6446</v>
      </c>
      <c r="W54" s="15">
        <v>6475</v>
      </c>
      <c r="X54" s="15">
        <v>1297</v>
      </c>
      <c r="Y54" s="15">
        <v>6452</v>
      </c>
      <c r="Z54" s="15">
        <v>4135</v>
      </c>
      <c r="AA54" s="15">
        <v>4154</v>
      </c>
      <c r="AB54" s="15">
        <v>4111</v>
      </c>
      <c r="AC54" s="15">
        <v>4156</v>
      </c>
      <c r="AD54" s="15">
        <v>2867</v>
      </c>
      <c r="AE54" s="15">
        <v>4127</v>
      </c>
      <c r="AF54" s="15">
        <v>4123</v>
      </c>
      <c r="AG54" s="15">
        <v>0</v>
      </c>
      <c r="AH54" s="15">
        <v>4145</v>
      </c>
      <c r="AI54" s="15">
        <v>0</v>
      </c>
      <c r="AJ54" s="15">
        <v>3521</v>
      </c>
      <c r="AK54" s="15">
        <v>3536</v>
      </c>
      <c r="AL54" s="15">
        <v>3573</v>
      </c>
      <c r="AM54" s="15">
        <v>3557</v>
      </c>
      <c r="AN54" s="15">
        <v>3564</v>
      </c>
      <c r="AO54" s="15">
        <v>3535</v>
      </c>
      <c r="AP54" s="15">
        <v>3547</v>
      </c>
      <c r="AQ54" s="15">
        <v>3550</v>
      </c>
      <c r="AR54" s="15">
        <v>3569</v>
      </c>
      <c r="AS54" s="16">
        <v>4.0641180555555536</v>
      </c>
      <c r="AT54" s="16">
        <v>4.0593055555555582</v>
      </c>
      <c r="AU54" s="16">
        <v>4.0183402777777761</v>
      </c>
      <c r="AV54" s="16">
        <v>3.9908402777777772</v>
      </c>
      <c r="AW54" s="16">
        <v>3.97079861111111</v>
      </c>
      <c r="AX54" s="16">
        <v>4.1533333333333324</v>
      </c>
      <c r="AY54" s="16">
        <v>4.1533333333333324</v>
      </c>
      <c r="AZ54" s="16">
        <v>4.3952637795275589</v>
      </c>
      <c r="BA54" s="16">
        <v>4.0945833333333352</v>
      </c>
      <c r="BB54" s="16">
        <v>4.1891249999999989</v>
      </c>
      <c r="BC54" s="16">
        <v>4.5515753968253962</v>
      </c>
      <c r="BD54" s="16">
        <v>4.0447986111111112</v>
      </c>
      <c r="BE54" s="16">
        <v>4.0977430555555578</v>
      </c>
      <c r="BF54" s="16">
        <v>4.1513819444444442</v>
      </c>
      <c r="BG54" s="16">
        <v>4.114952083333332</v>
      </c>
      <c r="BH54" s="16">
        <v>4.1474861111111121</v>
      </c>
      <c r="BI54" s="16">
        <v>4.3756666666666675</v>
      </c>
      <c r="BJ54" s="16">
        <v>4.3612430555555521</v>
      </c>
      <c r="BK54" s="16">
        <v>4.2470694444444446</v>
      </c>
      <c r="BL54" s="16">
        <v>4.3102222222222224</v>
      </c>
      <c r="BM54" s="16">
        <v>4.0999999999999996</v>
      </c>
      <c r="BN54" s="16">
        <v>4.0657152777777794</v>
      </c>
      <c r="BO54" s="16">
        <v>3.9717916666666659</v>
      </c>
      <c r="BP54" s="16">
        <v>4.1679513888888877</v>
      </c>
      <c r="BQ54" s="16">
        <v>3.8945486111111092</v>
      </c>
      <c r="BR54" s="16">
        <v>3.9962013888888888</v>
      </c>
      <c r="BS54" s="16">
        <v>4.0165833333333332</v>
      </c>
      <c r="BT54" s="16">
        <v>0</v>
      </c>
      <c r="BU54" s="16">
        <v>4.0999999999999996</v>
      </c>
      <c r="BV54" s="16">
        <v>0</v>
      </c>
      <c r="BW54" s="16">
        <v>3.80823611111111</v>
      </c>
      <c r="BX54" s="16">
        <v>3.923756944444444</v>
      </c>
      <c r="BY54" s="16">
        <v>4.0071736111111118</v>
      </c>
      <c r="BZ54" s="16">
        <v>4.0676805555555573</v>
      </c>
      <c r="CA54" s="16">
        <v>4.0488194444444439</v>
      </c>
      <c r="CB54" s="16">
        <v>4.1112569444444436</v>
      </c>
      <c r="CC54" s="16">
        <v>3.8610277777777782</v>
      </c>
      <c r="CD54" s="16">
        <v>3.9456944444444466</v>
      </c>
      <c r="CE54" s="16">
        <v>3.9453750000000003</v>
      </c>
      <c r="CF54" s="17">
        <f>SUM(Input_Raw[[#This Row],[G01]:[G40]])</f>
        <v>176988</v>
      </c>
      <c r="CG54" s="18">
        <f>IFERROR(AVERAGE(Input_Raw[[#This Row],[WS_G01]:[WS_G40]]),"")</f>
        <v>3.885204939707056</v>
      </c>
      <c r="CH54" s="19"/>
      <c r="CI54" s="19"/>
      <c r="CJ54" s="15">
        <v>240768</v>
      </c>
      <c r="CK54" s="15">
        <v>2181</v>
      </c>
      <c r="CL54" s="15">
        <v>280682</v>
      </c>
      <c r="CM54" s="15">
        <v>2208</v>
      </c>
      <c r="CN54" s="15">
        <v>256852</v>
      </c>
      <c r="CO54" s="15">
        <v>1816</v>
      </c>
      <c r="CP54" s="15">
        <v>292804</v>
      </c>
      <c r="CQ54" s="15">
        <v>1862</v>
      </c>
      <c r="CR54" s="91">
        <f>IF(((Input_Raw[[#This Row],[33 kV_Wind_F1_Export reading]]-CJ53)*1200)&gt;0,(Input_Raw[[#This Row],[33 kV_Wind_F1_Export reading]]-CJ53)*1200,0)</f>
        <v>33600</v>
      </c>
      <c r="CS54" s="91">
        <f>IF(((Input_Raw[[#This Row],[33 kV_Wind_F1_Import reading]]-CK53)*1200)&gt;0,(Input_Raw[[#This Row],[33 kV_Wind_F1_Import reading]]-CK53)*1200,0)</f>
        <v>1200</v>
      </c>
      <c r="CT54" s="91">
        <f>IF(((Input_Raw[[#This Row],[33 kV_Wind_F2_Export_reading]]-CL53)*1200)&gt;0,(Input_Raw[[#This Row],[33 kV_Wind_F2_Export_reading]]-CL53)*1200,0)</f>
        <v>32400</v>
      </c>
      <c r="CU54" s="91">
        <f>IF(((Input_Raw[[#This Row],[33 kV_Wind_F2_Import_reading]]-CM53)*1200)&gt;0,(Input_Raw[[#This Row],[33 kV_Wind_F2_Import_reading]]-CM53)*1200,0)</f>
        <v>0</v>
      </c>
      <c r="CV54" s="91">
        <f>IF(((Input_Raw[[#This Row],[33 kV_Wind_F3_Export_Reading]]-CN53)*1200)&gt;0,(Input_Raw[[#This Row],[33 kV_Wind_F3_Export_Reading]]-CN53)*1200,0)</f>
        <v>49200</v>
      </c>
      <c r="CW54" s="91">
        <f>IF(((Input_Raw[[#This Row],[33 kV_Wind_F3_Import_Reading]]-CO53)*1200)&gt;0,(Input_Raw[[#This Row],[33 kV_Wind_F3_Import_Reading]]-CO53)*1200,0)</f>
        <v>0</v>
      </c>
      <c r="CX54" s="91">
        <f>IF(((Input_Raw[[#This Row],[33 kV_Wind_F4_Export Reading]]-CP53)*1200)&gt;0,(Input_Raw[[#This Row],[33 kV_Wind_F4_Export Reading]]-CP53)*1200,0)</f>
        <v>58800</v>
      </c>
      <c r="CY54" s="91">
        <f>IF(((Input_Raw[[#This Row],[33 kV_Wind_F4_Import Reading]]-CQ53)*1200)&gt;0,(Input_Raw[[#This Row],[33 kV_Wind_F4_Import Reading]]-CQ53)*1200,0)</f>
        <v>1200</v>
      </c>
      <c r="CZ54" s="91">
        <f>Input_Raw[[#This Row],[33 kV_F1_Total_Export (KWh)]]+Input_Raw[[#This Row],[33 kV_F2_Total_Export (KWh)2]]+Input_Raw[[#This Row],[33 kV_Wind_F3_Export (KWh)]]+Input_Raw[[#This Row],[33 kV_Wind_F4_Export (KWh)]]</f>
        <v>174000</v>
      </c>
      <c r="DA54" s="91">
        <f>Input_Raw[[#This Row],[33 kV_Wind_F1_Import (KWh)]]+Input_Raw[[#This Row],[33 kV_Wind_F2_Import (KWh)]]+Input_Raw[[#This Row],[33 kV_Wind_F3_Import (KWh)2]]+Input_Raw[[#This Row],[33 kV_Wind_F4_Import (KWh)2]]</f>
        <v>2400</v>
      </c>
      <c r="DB54" s="21">
        <f>IFERROR(1-Input_Raw[[#This Row],[33 kV_Wind_Total_Export (KWh)]]/Input_Raw[[#This Row],[WTG Total Gneration (KWh)]],0)</f>
        <v>1.6882500508509035E-2</v>
      </c>
      <c r="DC54" s="100">
        <v>96</v>
      </c>
      <c r="DD54" s="100">
        <v>15134</v>
      </c>
      <c r="DE54" s="102">
        <v>176.98</v>
      </c>
      <c r="DF54" s="99"/>
      <c r="DG54" s="101">
        <v>78</v>
      </c>
      <c r="DH54" s="168" t="s">
        <v>381</v>
      </c>
    </row>
    <row r="55" spans="1:112">
      <c r="A55" s="20">
        <f t="shared" si="6"/>
        <v>45795</v>
      </c>
      <c r="B55" s="12">
        <f>YEAR([1]!Input_Raw[[#This Row],[Date]])+IF(MONTH([1]!Input_Raw[[#This Row],[Date]])&gt;=4,1,0)</f>
        <v>2026</v>
      </c>
      <c r="C55" s="13">
        <f>YEAR([1]!Input_Raw[[#This Row],[Date]])</f>
        <v>2025</v>
      </c>
      <c r="D55" s="14">
        <f t="shared" si="5"/>
        <v>45778</v>
      </c>
      <c r="E55" s="13">
        <f>DAY(EOMONTH([1]!Input_Raw[[#This Row],[Date]],0))</f>
        <v>31</v>
      </c>
      <c r="F55" s="15">
        <v>3466</v>
      </c>
      <c r="G55" s="15">
        <v>3564</v>
      </c>
      <c r="H55" s="15">
        <v>3552</v>
      </c>
      <c r="I55" s="15">
        <v>3546</v>
      </c>
      <c r="J55" s="15">
        <v>3521</v>
      </c>
      <c r="K55" s="15">
        <v>3576</v>
      </c>
      <c r="L55" s="15">
        <v>3537</v>
      </c>
      <c r="M55" s="15">
        <v>3551</v>
      </c>
      <c r="N55" s="15">
        <v>4056</v>
      </c>
      <c r="O55" s="15">
        <v>3532</v>
      </c>
      <c r="P55" s="15">
        <v>3543</v>
      </c>
      <c r="Q55" s="15">
        <v>4052</v>
      </c>
      <c r="R55" s="15">
        <v>4033</v>
      </c>
      <c r="S55" s="15">
        <v>4042</v>
      </c>
      <c r="T55" s="15">
        <v>4034</v>
      </c>
      <c r="U55" s="15">
        <v>4011</v>
      </c>
      <c r="V55" s="15">
        <v>4047</v>
      </c>
      <c r="W55" s="15">
        <v>4052</v>
      </c>
      <c r="X55" s="15">
        <v>4040</v>
      </c>
      <c r="Y55" s="15">
        <v>4057</v>
      </c>
      <c r="Z55" s="15">
        <v>3523</v>
      </c>
      <c r="AA55" s="15">
        <v>3511</v>
      </c>
      <c r="AB55" s="15">
        <v>3525</v>
      </c>
      <c r="AC55" s="15">
        <v>3514</v>
      </c>
      <c r="AD55" s="15">
        <v>3162</v>
      </c>
      <c r="AE55" s="15">
        <v>3515</v>
      </c>
      <c r="AF55" s="15">
        <v>3543</v>
      </c>
      <c r="AG55" s="15">
        <v>0</v>
      </c>
      <c r="AH55" s="15">
        <v>3548</v>
      </c>
      <c r="AI55" s="15">
        <v>0</v>
      </c>
      <c r="AJ55" s="15">
        <v>2487</v>
      </c>
      <c r="AK55" s="15">
        <v>3145</v>
      </c>
      <c r="AL55" s="15">
        <v>3121</v>
      </c>
      <c r="AM55" s="15">
        <v>3154</v>
      </c>
      <c r="AN55" s="15">
        <v>3132</v>
      </c>
      <c r="AO55" s="15">
        <v>3136</v>
      </c>
      <c r="AP55" s="15">
        <v>3156</v>
      </c>
      <c r="AQ55" s="15">
        <v>3149</v>
      </c>
      <c r="AR55" s="15">
        <v>3152</v>
      </c>
      <c r="AS55" s="16">
        <v>3.93</v>
      </c>
      <c r="AT55" s="16">
        <v>3.99</v>
      </c>
      <c r="AU55" s="16">
        <v>3.9</v>
      </c>
      <c r="AV55" s="16">
        <v>3.78</v>
      </c>
      <c r="AW55" s="16">
        <v>3.4</v>
      </c>
      <c r="AX55" s="16">
        <v>4.13</v>
      </c>
      <c r="AY55" s="16">
        <v>3.8</v>
      </c>
      <c r="AZ55" s="16">
        <v>4.05</v>
      </c>
      <c r="BA55" s="16">
        <v>3.76</v>
      </c>
      <c r="BB55" s="16">
        <v>3.86</v>
      </c>
      <c r="BC55" s="16">
        <v>4.0599999999999996</v>
      </c>
      <c r="BD55" s="16">
        <v>3.98</v>
      </c>
      <c r="BE55" s="16">
        <v>4.04</v>
      </c>
      <c r="BF55" s="16">
        <v>4.03</v>
      </c>
      <c r="BG55" s="16">
        <v>3.88</v>
      </c>
      <c r="BH55" s="16">
        <v>4.18</v>
      </c>
      <c r="BI55" s="16">
        <v>3.41</v>
      </c>
      <c r="BJ55" s="16">
        <v>4.09</v>
      </c>
      <c r="BK55" s="16">
        <v>4.29</v>
      </c>
      <c r="BL55" s="16">
        <v>4.0599999999999996</v>
      </c>
      <c r="BM55" s="16">
        <v>4.5</v>
      </c>
      <c r="BN55" s="16">
        <v>3.75</v>
      </c>
      <c r="BO55" s="16">
        <v>3.14</v>
      </c>
      <c r="BP55" s="16">
        <v>3.53</v>
      </c>
      <c r="BQ55" s="16">
        <v>3.02</v>
      </c>
      <c r="BR55" s="16">
        <v>3.42</v>
      </c>
      <c r="BS55" s="16">
        <v>3.48</v>
      </c>
      <c r="BT55" s="16">
        <v>0</v>
      </c>
      <c r="BU55" s="16">
        <v>3.31</v>
      </c>
      <c r="BV55" s="16">
        <v>0</v>
      </c>
      <c r="BW55" s="16">
        <v>3.29</v>
      </c>
      <c r="BX55" s="16">
        <v>3.51</v>
      </c>
      <c r="BY55" s="16">
        <v>3.38</v>
      </c>
      <c r="BZ55" s="16">
        <v>3.42</v>
      </c>
      <c r="CA55" s="16">
        <v>3.69</v>
      </c>
      <c r="CB55" s="16">
        <v>3.98</v>
      </c>
      <c r="CC55" s="16">
        <v>3.43</v>
      </c>
      <c r="CD55" s="16">
        <v>3.41</v>
      </c>
      <c r="CE55" s="16">
        <v>3.47</v>
      </c>
      <c r="CF55" s="17">
        <f>SUM(Input_Raw[[#This Row],[G01]:[G40]])</f>
        <v>131285</v>
      </c>
      <c r="CG55" s="18">
        <f>IFERROR(AVERAGE(Input_Raw[[#This Row],[WS_G01]:[WS_G40]]),"")</f>
        <v>3.5474358974358982</v>
      </c>
      <c r="CH55" s="19"/>
      <c r="CI55" s="19"/>
      <c r="CJ55" s="15">
        <v>240792</v>
      </c>
      <c r="CK55" s="15">
        <v>2181</v>
      </c>
      <c r="CL55" s="15">
        <v>280705</v>
      </c>
      <c r="CM55" s="15">
        <v>2209</v>
      </c>
      <c r="CN55" s="15">
        <v>256878</v>
      </c>
      <c r="CO55" s="15">
        <v>1817</v>
      </c>
      <c r="CP55" s="15">
        <v>292837</v>
      </c>
      <c r="CQ55" s="15">
        <v>1862</v>
      </c>
      <c r="CR55" s="91">
        <f>IF(((Input_Raw[[#This Row],[33 kV_Wind_F1_Export reading]]-CJ54)*1200)&gt;0,(Input_Raw[[#This Row],[33 kV_Wind_F1_Export reading]]-CJ54)*1200,0)</f>
        <v>28800</v>
      </c>
      <c r="CS55" s="91">
        <f>IF(((Input_Raw[[#This Row],[33 kV_Wind_F1_Import reading]]-CK54)*1200)&gt;0,(Input_Raw[[#This Row],[33 kV_Wind_F1_Import reading]]-CK54)*1200,0)</f>
        <v>0</v>
      </c>
      <c r="CT55" s="91">
        <f>IF(((Input_Raw[[#This Row],[33 kV_Wind_F2_Export_reading]]-CL54)*1200)&gt;0,(Input_Raw[[#This Row],[33 kV_Wind_F2_Export_reading]]-CL54)*1200,0)</f>
        <v>27600</v>
      </c>
      <c r="CU55" s="91">
        <f>IF(((Input_Raw[[#This Row],[33 kV_Wind_F2_Import_reading]]-CM54)*1200)&gt;0,(Input_Raw[[#This Row],[33 kV_Wind_F2_Import_reading]]-CM54)*1200,0)</f>
        <v>1200</v>
      </c>
      <c r="CV55" s="91">
        <f>IF(((Input_Raw[[#This Row],[33 kV_Wind_F3_Export_Reading]]-CN54)*1200)&gt;0,(Input_Raw[[#This Row],[33 kV_Wind_F3_Export_Reading]]-CN54)*1200,0)</f>
        <v>31200</v>
      </c>
      <c r="CW55" s="91">
        <f>IF(((Input_Raw[[#This Row],[33 kV_Wind_F3_Import_Reading]]-CO54)*1200)&gt;0,(Input_Raw[[#This Row],[33 kV_Wind_F3_Import_Reading]]-CO54)*1200,0)</f>
        <v>1200</v>
      </c>
      <c r="CX55" s="91">
        <f>IF(((Input_Raw[[#This Row],[33 kV_Wind_F4_Export Reading]]-CP54)*1200)&gt;0,(Input_Raw[[#This Row],[33 kV_Wind_F4_Export Reading]]-CP54)*1200,0)</f>
        <v>39600</v>
      </c>
      <c r="CY55" s="91">
        <f>IF(((Input_Raw[[#This Row],[33 kV_Wind_F4_Import Reading]]-CQ54)*1200)&gt;0,(Input_Raw[[#This Row],[33 kV_Wind_F4_Import Reading]]-CQ54)*1200,0)</f>
        <v>0</v>
      </c>
      <c r="CZ55" s="91">
        <f>Input_Raw[[#This Row],[33 kV_F1_Total_Export (KWh)]]+Input_Raw[[#This Row],[33 kV_F2_Total_Export (KWh)2]]+Input_Raw[[#This Row],[33 kV_Wind_F3_Export (KWh)]]+Input_Raw[[#This Row],[33 kV_Wind_F4_Export (KWh)]]</f>
        <v>127200</v>
      </c>
      <c r="DA55" s="91">
        <f>Input_Raw[[#This Row],[33 kV_Wind_F1_Import (KWh)]]+Input_Raw[[#This Row],[33 kV_Wind_F2_Import (KWh)]]+Input_Raw[[#This Row],[33 kV_Wind_F3_Import (KWh)2]]+Input_Raw[[#This Row],[33 kV_Wind_F4_Import (KWh)2]]</f>
        <v>2400</v>
      </c>
      <c r="DB55" s="21">
        <f>IFERROR(1-Input_Raw[[#This Row],[33 kV_Wind_Total_Export (KWh)]]/Input_Raw[[#This Row],[WTG Total Gneration (KWh)]],0)</f>
        <v>3.1115512053928485E-2</v>
      </c>
      <c r="DC55" s="100">
        <v>96</v>
      </c>
      <c r="DD55" s="100">
        <v>55</v>
      </c>
      <c r="DE55" s="102">
        <v>131.28</v>
      </c>
      <c r="DF55" s="99"/>
      <c r="DG55" s="101">
        <v>78</v>
      </c>
      <c r="DH55" s="168" t="s">
        <v>381</v>
      </c>
    </row>
    <row r="56" spans="1:112">
      <c r="A56" s="20">
        <f t="shared" si="6"/>
        <v>45796</v>
      </c>
      <c r="B56" s="12">
        <f>YEAR([1]!Input_Raw[[#This Row],[Date]])+IF(MONTH([1]!Input_Raw[[#This Row],[Date]])&gt;=4,1,0)</f>
        <v>2026</v>
      </c>
      <c r="C56" s="13">
        <f>YEAR([1]!Input_Raw[[#This Row],[Date]])</f>
        <v>2025</v>
      </c>
      <c r="D56" s="14">
        <f t="shared" si="5"/>
        <v>45778</v>
      </c>
      <c r="E56" s="13">
        <f>DAY(EOMONTH([1]!Input_Raw[[#This Row],[Date]],0))</f>
        <v>31</v>
      </c>
      <c r="F56" s="15">
        <v>3821</v>
      </c>
      <c r="G56" s="15">
        <v>3824</v>
      </c>
      <c r="H56" s="15">
        <v>3809</v>
      </c>
      <c r="I56" s="15">
        <v>3815</v>
      </c>
      <c r="J56" s="15">
        <v>3190</v>
      </c>
      <c r="K56" s="15">
        <v>3821</v>
      </c>
      <c r="L56" s="15">
        <v>3829</v>
      </c>
      <c r="M56" s="15">
        <v>3825</v>
      </c>
      <c r="N56" s="15">
        <v>3550</v>
      </c>
      <c r="O56" s="15">
        <v>3839</v>
      </c>
      <c r="P56" s="15">
        <v>3852</v>
      </c>
      <c r="Q56" s="15">
        <v>3523</v>
      </c>
      <c r="R56" s="15">
        <v>3522</v>
      </c>
      <c r="S56" s="15">
        <v>3556</v>
      </c>
      <c r="T56" s="15">
        <v>3528</v>
      </c>
      <c r="U56" s="15">
        <v>3542</v>
      </c>
      <c r="V56" s="15">
        <v>3541</v>
      </c>
      <c r="W56" s="15">
        <v>3540</v>
      </c>
      <c r="X56" s="15">
        <v>3559</v>
      </c>
      <c r="Y56" s="15">
        <v>3567</v>
      </c>
      <c r="Z56" s="15">
        <v>4102</v>
      </c>
      <c r="AA56" s="15">
        <v>2789</v>
      </c>
      <c r="AB56" s="15">
        <v>4115</v>
      </c>
      <c r="AC56" s="15">
        <v>4136</v>
      </c>
      <c r="AD56" s="15">
        <v>4021</v>
      </c>
      <c r="AE56" s="15">
        <v>4140</v>
      </c>
      <c r="AF56" s="15">
        <v>4109</v>
      </c>
      <c r="AG56" s="15">
        <v>0</v>
      </c>
      <c r="AH56" s="15">
        <v>4121</v>
      </c>
      <c r="AI56" s="15">
        <v>0</v>
      </c>
      <c r="AJ56" s="15">
        <v>4101</v>
      </c>
      <c r="AK56" s="15">
        <v>4111</v>
      </c>
      <c r="AL56" s="15">
        <v>4116</v>
      </c>
      <c r="AM56" s="15">
        <v>4121</v>
      </c>
      <c r="AN56" s="15">
        <v>4119</v>
      </c>
      <c r="AO56" s="15">
        <v>4153</v>
      </c>
      <c r="AP56" s="15">
        <v>4132</v>
      </c>
      <c r="AQ56" s="15">
        <v>4127</v>
      </c>
      <c r="AR56" s="15">
        <v>4129</v>
      </c>
      <c r="AS56" s="16">
        <v>3.74</v>
      </c>
      <c r="AT56" s="16">
        <v>3.74</v>
      </c>
      <c r="AU56" s="16">
        <v>3.75</v>
      </c>
      <c r="AV56" s="16">
        <v>3.66</v>
      </c>
      <c r="AW56" s="16">
        <v>3.58</v>
      </c>
      <c r="AX56" s="16">
        <v>4.01</v>
      </c>
      <c r="AY56" s="16">
        <v>3.68</v>
      </c>
      <c r="AZ56" s="16">
        <v>3.94</v>
      </c>
      <c r="BA56" s="16">
        <v>3.7</v>
      </c>
      <c r="BB56" s="16">
        <v>3.66</v>
      </c>
      <c r="BC56" s="16">
        <v>3.85</v>
      </c>
      <c r="BD56" s="16">
        <v>3.83</v>
      </c>
      <c r="BE56" s="16">
        <v>3.84</v>
      </c>
      <c r="BF56" s="16">
        <v>3.92</v>
      </c>
      <c r="BG56" s="16">
        <v>3.11</v>
      </c>
      <c r="BH56" s="16">
        <v>0</v>
      </c>
      <c r="BI56" s="16">
        <v>4.0199999999999996</v>
      </c>
      <c r="BJ56" s="16">
        <v>3.98</v>
      </c>
      <c r="BK56" s="16">
        <v>4.12</v>
      </c>
      <c r="BL56" s="16">
        <v>4.16</v>
      </c>
      <c r="BM56" s="16">
        <v>3.79</v>
      </c>
      <c r="BN56" s="16">
        <v>3.68</v>
      </c>
      <c r="BO56" s="16">
        <v>3.68</v>
      </c>
      <c r="BP56" s="16">
        <v>3.85</v>
      </c>
      <c r="BQ56" s="16">
        <v>3.49</v>
      </c>
      <c r="BR56" s="16">
        <v>3.7</v>
      </c>
      <c r="BS56" s="16">
        <v>3.67</v>
      </c>
      <c r="BT56" s="16">
        <v>0</v>
      </c>
      <c r="BU56" s="16">
        <v>3.9</v>
      </c>
      <c r="BV56" s="16">
        <v>0</v>
      </c>
      <c r="BW56" s="16">
        <v>3.66</v>
      </c>
      <c r="BX56" s="16">
        <v>3.57</v>
      </c>
      <c r="BY56" s="16">
        <v>3.7</v>
      </c>
      <c r="BZ56" s="16">
        <v>3.91</v>
      </c>
      <c r="CA56" s="16">
        <v>4.05</v>
      </c>
      <c r="CB56" s="16">
        <v>3.93</v>
      </c>
      <c r="CC56" s="16">
        <v>3.61</v>
      </c>
      <c r="CD56" s="16">
        <v>4.13</v>
      </c>
      <c r="CE56" s="16">
        <v>3.7</v>
      </c>
      <c r="CF56" s="17">
        <f>SUM(Input_Raw[[#This Row],[G01]:[G40]])</f>
        <v>141695</v>
      </c>
      <c r="CG56" s="18">
        <f>IFERROR(AVERAGE(Input_Raw[[#This Row],[WS_G01]:[WS_G40]]),"")</f>
        <v>3.4951282051282053</v>
      </c>
      <c r="CH56" s="19"/>
      <c r="CI56" s="19"/>
      <c r="CJ56" s="15">
        <v>240825</v>
      </c>
      <c r="CK56" s="15">
        <v>2182</v>
      </c>
      <c r="CL56" s="15">
        <v>280730</v>
      </c>
      <c r="CM56" s="15">
        <v>2210</v>
      </c>
      <c r="CN56" s="15">
        <v>256906</v>
      </c>
      <c r="CO56" s="15">
        <v>1817</v>
      </c>
      <c r="CP56" s="15">
        <v>292866</v>
      </c>
      <c r="CQ56" s="15">
        <v>1863</v>
      </c>
      <c r="CR56" s="91">
        <f>IF(((Input_Raw[[#This Row],[33 kV_Wind_F1_Export reading]]-CJ55)*1200)&gt;0,(Input_Raw[[#This Row],[33 kV_Wind_F1_Export reading]]-CJ55)*1200,0)</f>
        <v>39600</v>
      </c>
      <c r="CS56" s="91">
        <f>IF(((Input_Raw[[#This Row],[33 kV_Wind_F1_Import reading]]-CK55)*1200)&gt;0,(Input_Raw[[#This Row],[33 kV_Wind_F1_Import reading]]-CK55)*1200,0)</f>
        <v>1200</v>
      </c>
      <c r="CT56" s="91">
        <f>IF(((Input_Raw[[#This Row],[33 kV_Wind_F2_Export_reading]]-CL55)*1200)&gt;0,(Input_Raw[[#This Row],[33 kV_Wind_F2_Export_reading]]-CL55)*1200,0)</f>
        <v>30000</v>
      </c>
      <c r="CU56" s="91">
        <f>IF(((Input_Raw[[#This Row],[33 kV_Wind_F2_Import_reading]]-CM55)*1200)&gt;0,(Input_Raw[[#This Row],[33 kV_Wind_F2_Import_reading]]-CM55)*1200,0)</f>
        <v>1200</v>
      </c>
      <c r="CV56" s="91">
        <f>IF(((Input_Raw[[#This Row],[33 kV_Wind_F3_Export_Reading]]-CN55)*1200)&gt;0,(Input_Raw[[#This Row],[33 kV_Wind_F3_Export_Reading]]-CN55)*1200,0)</f>
        <v>33600</v>
      </c>
      <c r="CW56" s="91">
        <f>IF(((Input_Raw[[#This Row],[33 kV_Wind_F3_Import_Reading]]-CO55)*1200)&gt;0,(Input_Raw[[#This Row],[33 kV_Wind_F3_Import_Reading]]-CO55)*1200,0)</f>
        <v>0</v>
      </c>
      <c r="CX56" s="91">
        <f>IF(((Input_Raw[[#This Row],[33 kV_Wind_F4_Export Reading]]-CP55)*1200)&gt;0,(Input_Raw[[#This Row],[33 kV_Wind_F4_Export Reading]]-CP55)*1200,0)</f>
        <v>34800</v>
      </c>
      <c r="CY56" s="91">
        <f>IF(((Input_Raw[[#This Row],[33 kV_Wind_F4_Import Reading]]-CQ55)*1200)&gt;0,(Input_Raw[[#This Row],[33 kV_Wind_F4_Import Reading]]-CQ55)*1200,0)</f>
        <v>1200</v>
      </c>
      <c r="CZ56" s="91">
        <f>Input_Raw[[#This Row],[33 kV_F1_Total_Export (KWh)]]+Input_Raw[[#This Row],[33 kV_F2_Total_Export (KWh)2]]+Input_Raw[[#This Row],[33 kV_Wind_F3_Export (KWh)]]+Input_Raw[[#This Row],[33 kV_Wind_F4_Export (KWh)]]</f>
        <v>138000</v>
      </c>
      <c r="DA56" s="91">
        <f>Input_Raw[[#This Row],[33 kV_Wind_F1_Import (KWh)]]+Input_Raw[[#This Row],[33 kV_Wind_F2_Import (KWh)]]+Input_Raw[[#This Row],[33 kV_Wind_F3_Import (KWh)2]]+Input_Raw[[#This Row],[33 kV_Wind_F4_Import (KWh)2]]</f>
        <v>3600</v>
      </c>
      <c r="DB56" s="21">
        <f>IFERROR(1-Input_Raw[[#This Row],[33 kV_Wind_Total_Export (KWh)]]/Input_Raw[[#This Row],[WTG Total Gneration (KWh)]],0)</f>
        <v>2.6077137513673687E-2</v>
      </c>
      <c r="DC56" s="100">
        <v>96</v>
      </c>
      <c r="DD56" s="100">
        <v>5662</v>
      </c>
      <c r="DE56" s="102">
        <v>141.69</v>
      </c>
      <c r="DF56" s="99"/>
      <c r="DG56" s="101">
        <v>78</v>
      </c>
      <c r="DH56" s="168" t="s">
        <v>381</v>
      </c>
    </row>
    <row r="57" spans="1:112">
      <c r="A57" s="20">
        <f t="shared" si="6"/>
        <v>45797</v>
      </c>
      <c r="B57" s="12">
        <f>YEAR([1]!Input_Raw[[#This Row],[Date]])+IF(MONTH([1]!Input_Raw[[#This Row],[Date]])&gt;=4,1,0)</f>
        <v>2026</v>
      </c>
      <c r="C57" s="13">
        <f>YEAR([1]!Input_Raw[[#This Row],[Date]])</f>
        <v>2025</v>
      </c>
      <c r="D57" s="14">
        <f t="shared" si="5"/>
        <v>45778</v>
      </c>
      <c r="E57" s="13">
        <f>DAY(EOMONTH([1]!Input_Raw[[#This Row],[Date]],0))</f>
        <v>31</v>
      </c>
      <c r="F57" s="15">
        <v>5587</v>
      </c>
      <c r="G57" s="15">
        <v>5267</v>
      </c>
      <c r="H57" s="15">
        <v>5278</v>
      </c>
      <c r="I57" s="15">
        <v>5575</v>
      </c>
      <c r="J57" s="15">
        <v>5201</v>
      </c>
      <c r="K57" s="15">
        <v>5562</v>
      </c>
      <c r="L57" s="15">
        <v>5579</v>
      </c>
      <c r="M57" s="15">
        <v>5565</v>
      </c>
      <c r="N57" s="15">
        <v>5321</v>
      </c>
      <c r="O57" s="15">
        <v>5032</v>
      </c>
      <c r="P57" s="15">
        <v>5543</v>
      </c>
      <c r="Q57" s="15">
        <v>5342</v>
      </c>
      <c r="R57" s="15">
        <v>5347</v>
      </c>
      <c r="S57" s="15">
        <v>5352</v>
      </c>
      <c r="T57" s="15">
        <v>5353</v>
      </c>
      <c r="U57" s="15">
        <v>5021</v>
      </c>
      <c r="V57" s="15">
        <v>5042</v>
      </c>
      <c r="W57" s="15">
        <v>5034</v>
      </c>
      <c r="X57" s="15">
        <v>5045</v>
      </c>
      <c r="Y57" s="15">
        <v>5067</v>
      </c>
      <c r="Z57" s="15">
        <v>4693</v>
      </c>
      <c r="AA57" s="15">
        <v>5205</v>
      </c>
      <c r="AB57" s="15">
        <v>5200</v>
      </c>
      <c r="AC57" s="15">
        <v>5215</v>
      </c>
      <c r="AD57" s="15">
        <v>3501</v>
      </c>
      <c r="AE57" s="15">
        <v>5210</v>
      </c>
      <c r="AF57" s="15">
        <v>5242</v>
      </c>
      <c r="AG57" s="15">
        <v>0</v>
      </c>
      <c r="AH57" s="15">
        <v>5245</v>
      </c>
      <c r="AI57" s="15">
        <v>0</v>
      </c>
      <c r="AJ57" s="15">
        <v>3515</v>
      </c>
      <c r="AK57" s="15">
        <v>3690</v>
      </c>
      <c r="AL57" s="15">
        <v>3692</v>
      </c>
      <c r="AM57" s="15">
        <v>3679</v>
      </c>
      <c r="AN57" s="15">
        <v>3698</v>
      </c>
      <c r="AO57" s="15">
        <v>3678</v>
      </c>
      <c r="AP57" s="15">
        <v>3682</v>
      </c>
      <c r="AQ57" s="15">
        <v>3516</v>
      </c>
      <c r="AR57" s="15">
        <v>3696</v>
      </c>
      <c r="AS57" s="16">
        <v>4.0641180555555536</v>
      </c>
      <c r="AT57" s="16">
        <v>4.0593055555555582</v>
      </c>
      <c r="AU57" s="16">
        <v>4.0183402777777761</v>
      </c>
      <c r="AV57" s="16">
        <v>3.9908402777777772</v>
      </c>
      <c r="AW57" s="16">
        <v>3.97079861111111</v>
      </c>
      <c r="AX57" s="16">
        <v>4.1533333333333324</v>
      </c>
      <c r="AY57" s="16">
        <v>4.1533333333333324</v>
      </c>
      <c r="AZ57" s="16">
        <v>4.3952637795275589</v>
      </c>
      <c r="BA57" s="16">
        <v>4.0945833333333352</v>
      </c>
      <c r="BB57" s="16">
        <v>4.1891249999999989</v>
      </c>
      <c r="BC57" s="16">
        <v>4.5515753968253962</v>
      </c>
      <c r="BD57" s="16">
        <v>4.0447986111111112</v>
      </c>
      <c r="BE57" s="16">
        <v>4.0977430555555578</v>
      </c>
      <c r="BF57" s="16">
        <v>4.1513819444444442</v>
      </c>
      <c r="BG57" s="16">
        <v>4.114952083333332</v>
      </c>
      <c r="BH57" s="16">
        <v>4.1474861111111121</v>
      </c>
      <c r="BI57" s="16">
        <v>4.3756666666666675</v>
      </c>
      <c r="BJ57" s="16">
        <v>4.3612430555555521</v>
      </c>
      <c r="BK57" s="16">
        <v>4.2470694444444446</v>
      </c>
      <c r="BL57" s="16">
        <v>4.3102222222222224</v>
      </c>
      <c r="BM57" s="16">
        <v>4.0999999999999996</v>
      </c>
      <c r="BN57" s="16">
        <v>4.0657152777777794</v>
      </c>
      <c r="BO57" s="16">
        <v>3.9717916666666659</v>
      </c>
      <c r="BP57" s="16">
        <v>4.1679513888888877</v>
      </c>
      <c r="BQ57" s="16">
        <v>3.8945486111111092</v>
      </c>
      <c r="BR57" s="16">
        <v>3.9962013888888888</v>
      </c>
      <c r="BS57" s="16">
        <v>4.0165833333333332</v>
      </c>
      <c r="BT57" s="16">
        <v>0</v>
      </c>
      <c r="BU57" s="16">
        <v>4.0999999999999996</v>
      </c>
      <c r="BV57" s="16">
        <v>0</v>
      </c>
      <c r="BW57" s="16">
        <v>3.80823611111111</v>
      </c>
      <c r="BX57" s="16">
        <v>3.923756944444444</v>
      </c>
      <c r="BY57" s="16">
        <v>4.0071736111111118</v>
      </c>
      <c r="BZ57" s="16">
        <v>4.0676805555555573</v>
      </c>
      <c r="CA57" s="16">
        <v>4.0488194444444439</v>
      </c>
      <c r="CB57" s="16">
        <v>4.1112569444444436</v>
      </c>
      <c r="CC57" s="16">
        <v>3.8610277777777782</v>
      </c>
      <c r="CD57" s="16">
        <v>3.9456944444444466</v>
      </c>
      <c r="CE57" s="16">
        <v>3.9453750000000003</v>
      </c>
      <c r="CF57" s="17">
        <f>SUM(Input_Raw[[#This Row],[G01]:[G40]])</f>
        <v>178470</v>
      </c>
      <c r="CG57" s="18">
        <f>IFERROR(AVERAGE(Input_Raw[[#This Row],[WS_G01]:[WS_G40]]),"")</f>
        <v>3.885204939707056</v>
      </c>
      <c r="CH57" s="19"/>
      <c r="CI57" s="19"/>
      <c r="CJ57" s="15">
        <v>240855</v>
      </c>
      <c r="CK57" s="15">
        <v>2183</v>
      </c>
      <c r="CL57" s="15">
        <v>280764</v>
      </c>
      <c r="CM57" s="15">
        <v>2210</v>
      </c>
      <c r="CN57" s="15">
        <v>256946</v>
      </c>
      <c r="CO57" s="15">
        <v>1818</v>
      </c>
      <c r="CP57" s="15">
        <v>292909</v>
      </c>
      <c r="CQ57" s="15">
        <v>1864</v>
      </c>
      <c r="CR57" s="91">
        <f>IF(((Input_Raw[[#This Row],[33 kV_Wind_F1_Export reading]]-CJ56)*1200)&gt;0,(Input_Raw[[#This Row],[33 kV_Wind_F1_Export reading]]-CJ56)*1200,0)</f>
        <v>36000</v>
      </c>
      <c r="CS57" s="91">
        <f>IF(((Input_Raw[[#This Row],[33 kV_Wind_F1_Import reading]]-CK56)*1200)&gt;0,(Input_Raw[[#This Row],[33 kV_Wind_F1_Import reading]]-CK56)*1200,0)</f>
        <v>1200</v>
      </c>
      <c r="CT57" s="91">
        <f>IF(((Input_Raw[[#This Row],[33 kV_Wind_F2_Export_reading]]-CL56)*1200)&gt;0,(Input_Raw[[#This Row],[33 kV_Wind_F2_Export_reading]]-CL56)*1200,0)</f>
        <v>40800</v>
      </c>
      <c r="CU57" s="91">
        <f>IF(((Input_Raw[[#This Row],[33 kV_Wind_F2_Import_reading]]-CM56)*1200)&gt;0,(Input_Raw[[#This Row],[33 kV_Wind_F2_Import_reading]]-CM56)*1200,0)</f>
        <v>0</v>
      </c>
      <c r="CV57" s="91">
        <f>IF(((Input_Raw[[#This Row],[33 kV_Wind_F3_Export_Reading]]-CN56)*1200)&gt;0,(Input_Raw[[#This Row],[33 kV_Wind_F3_Export_Reading]]-CN56)*1200,0)</f>
        <v>48000</v>
      </c>
      <c r="CW57" s="91">
        <f>IF(((Input_Raw[[#This Row],[33 kV_Wind_F3_Import_Reading]]-CO56)*1200)&gt;0,(Input_Raw[[#This Row],[33 kV_Wind_F3_Import_Reading]]-CO56)*1200,0)</f>
        <v>1200</v>
      </c>
      <c r="CX57" s="91">
        <f>IF(((Input_Raw[[#This Row],[33 kV_Wind_F4_Export Reading]]-CP56)*1200)&gt;0,(Input_Raw[[#This Row],[33 kV_Wind_F4_Export Reading]]-CP56)*1200,0)</f>
        <v>51600</v>
      </c>
      <c r="CY57" s="91">
        <f>IF(((Input_Raw[[#This Row],[33 kV_Wind_F4_Import Reading]]-CQ56)*1200)&gt;0,(Input_Raw[[#This Row],[33 kV_Wind_F4_Import Reading]]-CQ56)*1200,0)</f>
        <v>1200</v>
      </c>
      <c r="CZ57" s="91">
        <f>Input_Raw[[#This Row],[33 kV_F1_Total_Export (KWh)]]+Input_Raw[[#This Row],[33 kV_F2_Total_Export (KWh)2]]+Input_Raw[[#This Row],[33 kV_Wind_F3_Export (KWh)]]+Input_Raw[[#This Row],[33 kV_Wind_F4_Export (KWh)]]</f>
        <v>176400</v>
      </c>
      <c r="DA57" s="91">
        <f>Input_Raw[[#This Row],[33 kV_Wind_F1_Import (KWh)]]+Input_Raw[[#This Row],[33 kV_Wind_F2_Import (KWh)]]+Input_Raw[[#This Row],[33 kV_Wind_F3_Import (KWh)2]]+Input_Raw[[#This Row],[33 kV_Wind_F4_Import (KWh)2]]</f>
        <v>3600</v>
      </c>
      <c r="DB57" s="21">
        <f>IFERROR(1-Input_Raw[[#This Row],[33 kV_Wind_Total_Export (KWh)]]/Input_Raw[[#This Row],[WTG Total Gneration (KWh)]],0)</f>
        <v>1.1598587997982857E-2</v>
      </c>
      <c r="DC57" s="100">
        <v>96</v>
      </c>
      <c r="DD57" s="100">
        <v>2876</v>
      </c>
      <c r="DE57" s="102">
        <v>178.47</v>
      </c>
      <c r="DF57" s="99"/>
      <c r="DG57" s="101">
        <v>78</v>
      </c>
      <c r="DH57" s="168" t="s">
        <v>381</v>
      </c>
    </row>
    <row r="58" spans="1:112">
      <c r="A58" s="20">
        <f>A57+1</f>
        <v>45798</v>
      </c>
      <c r="B58" s="12">
        <f>YEAR([1]!Input_Raw[[#This Row],[Date]])+IF(MONTH([1]!Input_Raw[[#This Row],[Date]])&gt;=4,1,0)</f>
        <v>2026</v>
      </c>
      <c r="C58" s="13">
        <f>YEAR([1]!Input_Raw[[#This Row],[Date]])</f>
        <v>2025</v>
      </c>
      <c r="D58" s="14">
        <f t="shared" si="5"/>
        <v>45778</v>
      </c>
      <c r="E58" s="13">
        <f>DAY(EOMONTH([1]!Input_Raw[[#This Row],[Date]],0))</f>
        <v>31</v>
      </c>
      <c r="F58" s="15">
        <v>5618</v>
      </c>
      <c r="G58" s="15">
        <v>5628</v>
      </c>
      <c r="H58" s="15">
        <v>5632</v>
      </c>
      <c r="I58" s="15">
        <v>5640</v>
      </c>
      <c r="J58" s="15">
        <v>5601</v>
      </c>
      <c r="K58" s="15">
        <v>5079</v>
      </c>
      <c r="L58" s="15">
        <v>5633</v>
      </c>
      <c r="M58" s="15">
        <v>5622</v>
      </c>
      <c r="N58" s="15">
        <v>5173</v>
      </c>
      <c r="O58" s="15">
        <v>5656</v>
      </c>
      <c r="P58" s="15">
        <v>5674</v>
      </c>
      <c r="Q58" s="15">
        <v>5174</v>
      </c>
      <c r="R58" s="15">
        <v>5164</v>
      </c>
      <c r="S58" s="15">
        <v>5156</v>
      </c>
      <c r="T58" s="15">
        <v>5177</v>
      </c>
      <c r="U58" s="15">
        <v>5148</v>
      </c>
      <c r="V58" s="15">
        <v>5142</v>
      </c>
      <c r="W58" s="15">
        <v>5156</v>
      </c>
      <c r="X58" s="15">
        <v>5176</v>
      </c>
      <c r="Y58" s="15">
        <v>5178</v>
      </c>
      <c r="Z58" s="15">
        <v>5632</v>
      </c>
      <c r="AA58" s="15">
        <v>5621</v>
      </c>
      <c r="AB58" s="15">
        <v>4621</v>
      </c>
      <c r="AC58" s="15">
        <v>5637</v>
      </c>
      <c r="AD58" s="15">
        <v>4021</v>
      </c>
      <c r="AE58" s="15">
        <v>5636</v>
      </c>
      <c r="AF58" s="15">
        <v>5644</v>
      </c>
      <c r="AG58" s="15">
        <v>0</v>
      </c>
      <c r="AH58" s="15">
        <v>5654</v>
      </c>
      <c r="AI58" s="15">
        <v>0</v>
      </c>
      <c r="AJ58" s="15">
        <v>4631</v>
      </c>
      <c r="AK58" s="15">
        <v>4637</v>
      </c>
      <c r="AL58" s="15">
        <v>4645</v>
      </c>
      <c r="AM58" s="15">
        <v>4642</v>
      </c>
      <c r="AN58" s="15">
        <v>4666</v>
      </c>
      <c r="AO58" s="15">
        <v>4665</v>
      </c>
      <c r="AP58" s="15">
        <v>4633</v>
      </c>
      <c r="AQ58" s="15">
        <v>4647</v>
      </c>
      <c r="AR58" s="15">
        <v>4664</v>
      </c>
      <c r="AS58" s="16">
        <v>3.93</v>
      </c>
      <c r="AT58" s="16">
        <v>3.99</v>
      </c>
      <c r="AU58" s="16">
        <v>3.9</v>
      </c>
      <c r="AV58" s="16">
        <v>3.78</v>
      </c>
      <c r="AW58" s="16">
        <v>3.4</v>
      </c>
      <c r="AX58" s="16">
        <v>4.13</v>
      </c>
      <c r="AY58" s="16">
        <v>3.8</v>
      </c>
      <c r="AZ58" s="16">
        <v>4.05</v>
      </c>
      <c r="BA58" s="16">
        <v>3.76</v>
      </c>
      <c r="BB58" s="16">
        <v>3.86</v>
      </c>
      <c r="BC58" s="16">
        <v>4.0599999999999996</v>
      </c>
      <c r="BD58" s="16">
        <v>3.98</v>
      </c>
      <c r="BE58" s="16">
        <v>4.04</v>
      </c>
      <c r="BF58" s="16">
        <v>4.03</v>
      </c>
      <c r="BG58" s="16">
        <v>3.88</v>
      </c>
      <c r="BH58" s="16">
        <v>4.18</v>
      </c>
      <c r="BI58" s="16">
        <v>3.41</v>
      </c>
      <c r="BJ58" s="16">
        <v>4.09</v>
      </c>
      <c r="BK58" s="16">
        <v>4.29</v>
      </c>
      <c r="BL58" s="16">
        <v>4.0599999999999996</v>
      </c>
      <c r="BM58" s="16">
        <v>4.5</v>
      </c>
      <c r="BN58" s="16">
        <v>3.75</v>
      </c>
      <c r="BO58" s="16">
        <v>3.14</v>
      </c>
      <c r="BP58" s="16">
        <v>3.53</v>
      </c>
      <c r="BQ58" s="16">
        <v>3.02</v>
      </c>
      <c r="BR58" s="16">
        <v>3.42</v>
      </c>
      <c r="BS58" s="16">
        <v>3.48</v>
      </c>
      <c r="BT58" s="16">
        <v>0</v>
      </c>
      <c r="BU58" s="16">
        <v>3.31</v>
      </c>
      <c r="BV58" s="16">
        <v>0</v>
      </c>
      <c r="BW58" s="16">
        <v>3.29</v>
      </c>
      <c r="BX58" s="16">
        <v>3.51</v>
      </c>
      <c r="BY58" s="16">
        <v>3.38</v>
      </c>
      <c r="BZ58" s="16">
        <v>3.42</v>
      </c>
      <c r="CA58" s="16">
        <v>3.69</v>
      </c>
      <c r="CB58" s="16">
        <v>3.98</v>
      </c>
      <c r="CC58" s="16">
        <v>3.43</v>
      </c>
      <c r="CD58" s="16">
        <v>3.41</v>
      </c>
      <c r="CE58" s="16">
        <v>3.47</v>
      </c>
      <c r="CF58" s="17">
        <f>SUM(Input_Raw[[#This Row],[G01]:[G40]])</f>
        <v>191723</v>
      </c>
      <c r="CG58" s="18">
        <f>IFERROR(AVERAGE(Input_Raw[[#This Row],[WS_G01]:[WS_G40]]),"")</f>
        <v>3.5474358974358982</v>
      </c>
      <c r="CH58" s="19"/>
      <c r="CI58" s="19"/>
      <c r="CJ58" s="15">
        <v>240892</v>
      </c>
      <c r="CK58" s="15">
        <v>2184</v>
      </c>
      <c r="CL58" s="15">
        <v>280800</v>
      </c>
      <c r="CM58" s="15">
        <v>2211</v>
      </c>
      <c r="CN58" s="15">
        <v>256987</v>
      </c>
      <c r="CO58" s="15">
        <v>1819</v>
      </c>
      <c r="CP58" s="15">
        <v>292951</v>
      </c>
      <c r="CQ58" s="15">
        <v>1865</v>
      </c>
      <c r="CR58" s="91">
        <f>IF(((Input_Raw[[#This Row],[33 kV_Wind_F1_Export reading]]-CJ57)*1200)&gt;0,(Input_Raw[[#This Row],[33 kV_Wind_F1_Export reading]]-CJ57)*1200,0)</f>
        <v>44400</v>
      </c>
      <c r="CS58" s="91">
        <f>IF(((Input_Raw[[#This Row],[33 kV_Wind_F1_Import reading]]-CK57)*1200)&gt;0,(Input_Raw[[#This Row],[33 kV_Wind_F1_Import reading]]-CK57)*1200,0)</f>
        <v>1200</v>
      </c>
      <c r="CT58" s="91">
        <f>IF(((Input_Raw[[#This Row],[33 kV_Wind_F2_Export_reading]]-CL57)*1200)&gt;0,(Input_Raw[[#This Row],[33 kV_Wind_F2_Export_reading]]-CL57)*1200,0)</f>
        <v>43200</v>
      </c>
      <c r="CU58" s="91">
        <f>IF(((Input_Raw[[#This Row],[33 kV_Wind_F2_Import_reading]]-CM57)*1200)&gt;0,(Input_Raw[[#This Row],[33 kV_Wind_F2_Import_reading]]-CM57)*1200,0)</f>
        <v>1200</v>
      </c>
      <c r="CV58" s="91">
        <f>IF(((Input_Raw[[#This Row],[33 kV_Wind_F3_Export_Reading]]-CN57)*1200)&gt;0,(Input_Raw[[#This Row],[33 kV_Wind_F3_Export_Reading]]-CN57)*1200,0)</f>
        <v>49200</v>
      </c>
      <c r="CW58" s="91">
        <f>IF(((Input_Raw[[#This Row],[33 kV_Wind_F3_Import_Reading]]-CO57)*1200)&gt;0,(Input_Raw[[#This Row],[33 kV_Wind_F3_Import_Reading]]-CO57)*1200,0)</f>
        <v>1200</v>
      </c>
      <c r="CX58" s="91">
        <f>IF(((Input_Raw[[#This Row],[33 kV_Wind_F4_Export Reading]]-CP57)*1200)&gt;0,(Input_Raw[[#This Row],[33 kV_Wind_F4_Export Reading]]-CP57)*1200,0)</f>
        <v>50400</v>
      </c>
      <c r="CY58" s="91">
        <f>IF(((Input_Raw[[#This Row],[33 kV_Wind_F4_Import Reading]]-CQ57)*1200)&gt;0,(Input_Raw[[#This Row],[33 kV_Wind_F4_Import Reading]]-CQ57)*1200,0)</f>
        <v>1200</v>
      </c>
      <c r="CZ58" s="91">
        <f>Input_Raw[[#This Row],[33 kV_F1_Total_Export (KWh)]]+Input_Raw[[#This Row],[33 kV_F2_Total_Export (KWh)2]]+Input_Raw[[#This Row],[33 kV_Wind_F3_Export (KWh)]]+Input_Raw[[#This Row],[33 kV_Wind_F4_Export (KWh)]]</f>
        <v>187200</v>
      </c>
      <c r="DA58" s="91">
        <f>Input_Raw[[#This Row],[33 kV_Wind_F1_Import (KWh)]]+Input_Raw[[#This Row],[33 kV_Wind_F2_Import (KWh)]]+Input_Raw[[#This Row],[33 kV_Wind_F3_Import (KWh)2]]+Input_Raw[[#This Row],[33 kV_Wind_F4_Import (KWh)2]]</f>
        <v>4800</v>
      </c>
      <c r="DB58" s="21">
        <f>IFERROR(1-Input_Raw[[#This Row],[33 kV_Wind_Total_Export (KWh)]]/Input_Raw[[#This Row],[WTG Total Gneration (KWh)]],0)</f>
        <v>2.3591327070826118E-2</v>
      </c>
      <c r="DC58" s="100">
        <v>96</v>
      </c>
      <c r="DD58" s="100">
        <v>9688</v>
      </c>
      <c r="DE58" s="102">
        <v>191.73</v>
      </c>
      <c r="DF58" s="99"/>
      <c r="DG58" s="101">
        <v>78</v>
      </c>
      <c r="DH58" s="168" t="s">
        <v>381</v>
      </c>
    </row>
    <row r="59" spans="1:112">
      <c r="A59" s="20">
        <f t="shared" si="6"/>
        <v>45799</v>
      </c>
      <c r="B59" s="12">
        <f>YEAR([1]!Input_Raw[[#This Row],[Date]])+IF(MONTH([1]!Input_Raw[[#This Row],[Date]])&gt;=4,1,0)</f>
        <v>2026</v>
      </c>
      <c r="C59" s="13">
        <f>YEAR([1]!Input_Raw[[#This Row],[Date]])</f>
        <v>2025</v>
      </c>
      <c r="D59" s="14">
        <f t="shared" si="5"/>
        <v>45778</v>
      </c>
      <c r="E59" s="13">
        <f>DAY(EOMONTH([1]!Input_Raw[[#This Row],[Date]],0))</f>
        <v>31</v>
      </c>
      <c r="F59" s="15">
        <v>6537</v>
      </c>
      <c r="G59" s="15">
        <v>6585</v>
      </c>
      <c r="H59" s="15">
        <v>6279</v>
      </c>
      <c r="I59" s="15">
        <v>6263</v>
      </c>
      <c r="J59" s="15">
        <v>8296</v>
      </c>
      <c r="K59" s="15">
        <v>6578</v>
      </c>
      <c r="L59" s="15">
        <v>6542</v>
      </c>
      <c r="M59" s="15">
        <v>6545</v>
      </c>
      <c r="N59" s="15">
        <v>9753</v>
      </c>
      <c r="O59" s="15">
        <v>6567</v>
      </c>
      <c r="P59" s="15">
        <v>6582</v>
      </c>
      <c r="Q59" s="15">
        <v>9745</v>
      </c>
      <c r="R59" s="15">
        <v>9746</v>
      </c>
      <c r="S59" s="15">
        <v>9723</v>
      </c>
      <c r="T59" s="15">
        <v>9748</v>
      </c>
      <c r="U59" s="15">
        <v>9752</v>
      </c>
      <c r="V59" s="15">
        <v>9758</v>
      </c>
      <c r="W59" s="15">
        <v>9742</v>
      </c>
      <c r="X59" s="15">
        <v>9772</v>
      </c>
      <c r="Y59" s="15">
        <v>9784</v>
      </c>
      <c r="Z59" s="15">
        <v>8833</v>
      </c>
      <c r="AA59" s="15">
        <v>8842</v>
      </c>
      <c r="AB59" s="15">
        <v>8829</v>
      </c>
      <c r="AC59" s="15">
        <v>8835</v>
      </c>
      <c r="AD59" s="15">
        <v>6041</v>
      </c>
      <c r="AE59" s="15">
        <v>8846</v>
      </c>
      <c r="AF59" s="15">
        <v>8852</v>
      </c>
      <c r="AG59" s="15">
        <v>0</v>
      </c>
      <c r="AH59" s="15">
        <v>8853</v>
      </c>
      <c r="AI59" s="15">
        <v>0</v>
      </c>
      <c r="AJ59" s="15">
        <v>5885</v>
      </c>
      <c r="AK59" s="15">
        <v>6046</v>
      </c>
      <c r="AL59" s="15">
        <v>6042</v>
      </c>
      <c r="AM59" s="15">
        <v>6055</v>
      </c>
      <c r="AN59" s="15">
        <v>6057</v>
      </c>
      <c r="AO59" s="15">
        <v>6048</v>
      </c>
      <c r="AP59" s="15">
        <v>5564</v>
      </c>
      <c r="AQ59" s="15">
        <v>6049</v>
      </c>
      <c r="AR59" s="15">
        <v>6067</v>
      </c>
      <c r="AS59" s="16">
        <v>4.8499999999999996</v>
      </c>
      <c r="AT59" s="16">
        <v>5.26</v>
      </c>
      <c r="AU59" s="16">
        <v>4.68</v>
      </c>
      <c r="AV59" s="16">
        <v>5.05</v>
      </c>
      <c r="AW59" s="16">
        <v>5</v>
      </c>
      <c r="AX59" s="16">
        <v>5.1100000000000003</v>
      </c>
      <c r="AY59" s="16">
        <v>4.84</v>
      </c>
      <c r="AZ59" s="16">
        <v>4.4800000000000004</v>
      </c>
      <c r="BA59" s="16">
        <v>5.09</v>
      </c>
      <c r="BB59" s="16">
        <v>4.83</v>
      </c>
      <c r="BC59" s="16">
        <v>5.29</v>
      </c>
      <c r="BD59" s="16">
        <v>5.04</v>
      </c>
      <c r="BE59" s="16">
        <v>5.15</v>
      </c>
      <c r="BF59" s="16">
        <v>5.24</v>
      </c>
      <c r="BG59" s="16">
        <v>4.99</v>
      </c>
      <c r="BH59" s="16">
        <v>5.44</v>
      </c>
      <c r="BI59" s="16">
        <v>4.96</v>
      </c>
      <c r="BJ59" s="16">
        <v>5.48</v>
      </c>
      <c r="BK59" s="16">
        <v>5.43</v>
      </c>
      <c r="BL59" s="16">
        <v>5.67</v>
      </c>
      <c r="BM59" s="16">
        <v>0</v>
      </c>
      <c r="BN59" s="16">
        <v>5.29</v>
      </c>
      <c r="BO59" s="16">
        <v>4.82</v>
      </c>
      <c r="BP59" s="16">
        <v>5.04</v>
      </c>
      <c r="BQ59" s="16">
        <v>5.32</v>
      </c>
      <c r="BR59" s="16">
        <v>5.01</v>
      </c>
      <c r="BS59" s="16">
        <v>5.03</v>
      </c>
      <c r="BT59" s="16" t="s">
        <v>382</v>
      </c>
      <c r="BU59" s="16">
        <v>4.8099999999999996</v>
      </c>
      <c r="BV59" s="16">
        <v>0</v>
      </c>
      <c r="BW59" s="16">
        <v>4.95</v>
      </c>
      <c r="BX59" s="16">
        <v>5.01</v>
      </c>
      <c r="BY59" s="16">
        <v>4.99</v>
      </c>
      <c r="BZ59" s="16">
        <v>5.16</v>
      </c>
      <c r="CA59" s="16">
        <v>5.21</v>
      </c>
      <c r="CB59" s="16">
        <v>4.87</v>
      </c>
      <c r="CC59" s="16">
        <v>5.18</v>
      </c>
      <c r="CD59" s="16">
        <v>4.8499999999999996</v>
      </c>
      <c r="CE59" s="16">
        <v>5.19</v>
      </c>
      <c r="CF59" s="17">
        <f>SUM(Input_Raw[[#This Row],[G01]:[G40]])</f>
        <v>286041</v>
      </c>
      <c r="CG59" s="18">
        <f>IFERROR(AVERAGE(Input_Raw[[#This Row],[WS_G01]:[WS_G40]]),"")</f>
        <v>4.8055263157894732</v>
      </c>
      <c r="CH59" s="19"/>
      <c r="CI59" s="19"/>
      <c r="CJ59" s="15">
        <v>240941</v>
      </c>
      <c r="CK59" s="15">
        <v>2185</v>
      </c>
      <c r="CL59" s="15">
        <v>280858</v>
      </c>
      <c r="CM59" s="15">
        <v>2212</v>
      </c>
      <c r="CN59" s="15">
        <v>257037</v>
      </c>
      <c r="CO59" s="15">
        <v>1820</v>
      </c>
      <c r="CP59" s="15">
        <v>293032</v>
      </c>
      <c r="CQ59" s="15">
        <v>1866</v>
      </c>
      <c r="CR59" s="91">
        <f>IF(((Input_Raw[[#This Row],[33 kV_Wind_F1_Export reading]]-CJ58)*1200)&gt;0,(Input_Raw[[#This Row],[33 kV_Wind_F1_Export reading]]-CJ58)*1200,0)</f>
        <v>58800</v>
      </c>
      <c r="CS59" s="91">
        <f>IF(((Input_Raw[[#This Row],[33 kV_Wind_F1_Import reading]]-CK58)*1200)&gt;0,(Input_Raw[[#This Row],[33 kV_Wind_F1_Import reading]]-CK58)*1200,0)</f>
        <v>1200</v>
      </c>
      <c r="CT59" s="91">
        <f>IF(((Input_Raw[[#This Row],[33 kV_Wind_F2_Export_reading]]-CL58)*1200)&gt;0,(Input_Raw[[#This Row],[33 kV_Wind_F2_Export_reading]]-CL58)*1200,0)</f>
        <v>69600</v>
      </c>
      <c r="CU59" s="91">
        <f>IF(((Input_Raw[[#This Row],[33 kV_Wind_F2_Import_reading]]-CM58)*1200)&gt;0,(Input_Raw[[#This Row],[33 kV_Wind_F2_Import_reading]]-CM58)*1200,0)</f>
        <v>1200</v>
      </c>
      <c r="CV59" s="91">
        <f>IF(((Input_Raw[[#This Row],[33 kV_Wind_F3_Export_Reading]]-CN58)*1200)&gt;0,(Input_Raw[[#This Row],[33 kV_Wind_F3_Export_Reading]]-CN58)*1200,0)</f>
        <v>60000</v>
      </c>
      <c r="CW59" s="91">
        <f>IF(((Input_Raw[[#This Row],[33 kV_Wind_F3_Import_Reading]]-CO58)*1200)&gt;0,(Input_Raw[[#This Row],[33 kV_Wind_F3_Import_Reading]]-CO58)*1200,0)</f>
        <v>1200</v>
      </c>
      <c r="CX59" s="91">
        <f>IF(((Input_Raw[[#This Row],[33 kV_Wind_F4_Export Reading]]-CP58)*1200)&gt;0,(Input_Raw[[#This Row],[33 kV_Wind_F4_Export Reading]]-CP58)*1200,0)</f>
        <v>97200</v>
      </c>
      <c r="CY59" s="91">
        <f>IF(((Input_Raw[[#This Row],[33 kV_Wind_F4_Import Reading]]-CQ58)*1200)&gt;0,(Input_Raw[[#This Row],[33 kV_Wind_F4_Import Reading]]-CQ58)*1200,0)</f>
        <v>1200</v>
      </c>
      <c r="CZ59" s="91">
        <f>Input_Raw[[#This Row],[33 kV_F1_Total_Export (KWh)]]+Input_Raw[[#This Row],[33 kV_F2_Total_Export (KWh)2]]+Input_Raw[[#This Row],[33 kV_Wind_F3_Export (KWh)]]+Input_Raw[[#This Row],[33 kV_Wind_F4_Export (KWh)]]</f>
        <v>285600</v>
      </c>
      <c r="DA59" s="91">
        <f>Input_Raw[[#This Row],[33 kV_Wind_F1_Import (KWh)]]+Input_Raw[[#This Row],[33 kV_Wind_F2_Import (KWh)]]+Input_Raw[[#This Row],[33 kV_Wind_F3_Import (KWh)2]]+Input_Raw[[#This Row],[33 kV_Wind_F4_Import (KWh)2]]</f>
        <v>4800</v>
      </c>
      <c r="DB59" s="21">
        <f>IFERROR(1-Input_Raw[[#This Row],[33 kV_Wind_Total_Export (KWh)]]/Input_Raw[[#This Row],[WTG Total Gneration (KWh)]],0)</f>
        <v>1.5417370237134076E-3</v>
      </c>
      <c r="DC59" s="100">
        <v>96</v>
      </c>
      <c r="DD59" s="100">
        <v>3218</v>
      </c>
      <c r="DE59" s="102">
        <v>286.08</v>
      </c>
      <c r="DF59" s="99"/>
      <c r="DG59" s="101">
        <v>78</v>
      </c>
      <c r="DH59" s="168" t="s">
        <v>381</v>
      </c>
    </row>
    <row r="60" spans="1:112">
      <c r="A60" s="20">
        <f t="shared" si="6"/>
        <v>45800</v>
      </c>
      <c r="B60" s="12">
        <f>YEAR([1]!Input_Raw[[#This Row],[Date]])+IF(MONTH([1]!Input_Raw[[#This Row],[Date]])&gt;=4,1,0)</f>
        <v>2026</v>
      </c>
      <c r="C60" s="13">
        <f>YEAR([1]!Input_Raw[[#This Row],[Date]])</f>
        <v>2025</v>
      </c>
      <c r="D60" s="14">
        <f t="shared" si="5"/>
        <v>45778</v>
      </c>
      <c r="E60" s="13">
        <f>DAY(EOMONTH([1]!Input_Raw[[#This Row],[Date]],0))</f>
        <v>31</v>
      </c>
      <c r="F60" s="15">
        <v>2801</v>
      </c>
      <c r="G60" s="15">
        <v>2812</v>
      </c>
      <c r="H60" s="15">
        <v>2817</v>
      </c>
      <c r="I60" s="15">
        <v>2814</v>
      </c>
      <c r="J60" s="15">
        <v>2032</v>
      </c>
      <c r="K60" s="15">
        <v>2801</v>
      </c>
      <c r="L60" s="15">
        <v>2809</v>
      </c>
      <c r="M60" s="15">
        <v>2816</v>
      </c>
      <c r="N60" s="15">
        <v>3103</v>
      </c>
      <c r="O60" s="15">
        <v>2832</v>
      </c>
      <c r="P60" s="15">
        <v>2840</v>
      </c>
      <c r="Q60" s="15">
        <v>3108</v>
      </c>
      <c r="R60" s="15">
        <v>3107</v>
      </c>
      <c r="S60" s="15">
        <v>3118</v>
      </c>
      <c r="T60" s="15">
        <v>3001</v>
      </c>
      <c r="U60" s="15">
        <v>3109</v>
      </c>
      <c r="V60" s="15">
        <v>3111</v>
      </c>
      <c r="W60" s="15">
        <v>3104</v>
      </c>
      <c r="X60" s="15">
        <v>3128</v>
      </c>
      <c r="Y60" s="15">
        <v>3135</v>
      </c>
      <c r="Z60" s="15">
        <v>2045</v>
      </c>
      <c r="AA60" s="15">
        <v>2042</v>
      </c>
      <c r="AB60" s="15">
        <v>2007</v>
      </c>
      <c r="AC60" s="15">
        <v>2021</v>
      </c>
      <c r="AD60" s="15">
        <v>1521</v>
      </c>
      <c r="AE60" s="15">
        <v>2014</v>
      </c>
      <c r="AF60" s="15">
        <v>2038</v>
      </c>
      <c r="AG60" s="15">
        <v>0</v>
      </c>
      <c r="AH60" s="15">
        <v>2042</v>
      </c>
      <c r="AI60" s="15">
        <v>0</v>
      </c>
      <c r="AJ60" s="15">
        <v>1532</v>
      </c>
      <c r="AK60" s="15">
        <v>1542</v>
      </c>
      <c r="AL60" s="15">
        <v>1526</v>
      </c>
      <c r="AM60" s="15">
        <v>1535</v>
      </c>
      <c r="AN60" s="15">
        <v>1542</v>
      </c>
      <c r="AO60" s="15">
        <v>1540</v>
      </c>
      <c r="AP60" s="15">
        <v>1538</v>
      </c>
      <c r="AQ60" s="15">
        <v>1539</v>
      </c>
      <c r="AR60" s="15">
        <v>1542</v>
      </c>
      <c r="AS60" s="16">
        <v>3.1604649999999999</v>
      </c>
      <c r="AT60" s="16">
        <v>3.5607857142857156</v>
      </c>
      <c r="AU60" s="16">
        <v>3.1150642857142858</v>
      </c>
      <c r="AV60" s="16">
        <v>3.3498214285714289</v>
      </c>
      <c r="AW60" s="16">
        <v>3.3268703389830518</v>
      </c>
      <c r="AX60" s="16">
        <v>3.19943165467626</v>
      </c>
      <c r="AY60" s="16">
        <v>3.1126521739130437</v>
      </c>
      <c r="AZ60" s="16">
        <v>3.3074779411764714</v>
      </c>
      <c r="BA60" s="16">
        <v>3.3207647058823522</v>
      </c>
      <c r="BB60" s="16">
        <v>2.8658962962962966</v>
      </c>
      <c r="BC60" s="16">
        <v>3.1958955223880592</v>
      </c>
      <c r="BD60" s="16">
        <v>3.2101954887218032</v>
      </c>
      <c r="BE60" s="16">
        <v>3.4380946969696962</v>
      </c>
      <c r="BF60" s="16">
        <v>3.1363816793893138</v>
      </c>
      <c r="BG60" s="16">
        <v>3.1875307692307708</v>
      </c>
      <c r="BH60" s="16">
        <v>3.02</v>
      </c>
      <c r="BI60" s="16">
        <v>3.2244062500000004</v>
      </c>
      <c r="BJ60" s="16">
        <v>3.1801574803149606</v>
      </c>
      <c r="BK60" s="16">
        <v>3.1785396825396823</v>
      </c>
      <c r="BL60" s="16">
        <v>3.0891760000000019</v>
      </c>
      <c r="BM60" s="16">
        <v>3.3396568627450995</v>
      </c>
      <c r="BN60" s="16">
        <v>3.3299801980198023</v>
      </c>
      <c r="BO60" s="16">
        <v>3.1536669999999987</v>
      </c>
      <c r="BP60" s="16">
        <v>2.9715846938775519</v>
      </c>
      <c r="BQ60" s="16">
        <v>3.1007329896907221</v>
      </c>
      <c r="BR60" s="16">
        <v>2.7795312500000002</v>
      </c>
      <c r="BS60" s="16">
        <v>3.1705336842105267</v>
      </c>
      <c r="BT60" s="16">
        <v>0</v>
      </c>
      <c r="BU60" s="16">
        <v>3.0810967741935489</v>
      </c>
      <c r="BV60" s="16">
        <v>0</v>
      </c>
      <c r="BW60" s="16">
        <v>3.1179021978021968</v>
      </c>
      <c r="BX60" s="16">
        <v>2.8481661290322582</v>
      </c>
      <c r="BY60" s="16">
        <v>2.9089775280898884</v>
      </c>
      <c r="BZ60" s="16">
        <v>3.1530829545454537</v>
      </c>
      <c r="CA60" s="16">
        <v>3.0023655172413792</v>
      </c>
      <c r="CB60" s="16">
        <v>3.1489511627906976</v>
      </c>
      <c r="CC60" s="16">
        <v>3.0592047058823537</v>
      </c>
      <c r="CD60" s="16">
        <v>3.2</v>
      </c>
      <c r="CE60" s="16">
        <v>3.0888108433734929</v>
      </c>
      <c r="CF60" s="17">
        <f>SUM(Input_Raw[[#This Row],[G01]:[G40]])</f>
        <v>87964</v>
      </c>
      <c r="CG60" s="18">
        <f>IFERROR(AVERAGE(Input_Raw[[#This Row],[WS_G01]:[WS_G40]]),"")</f>
        <v>2.9906115795012349</v>
      </c>
      <c r="CH60" s="19"/>
      <c r="CI60" s="19"/>
      <c r="CJ60" s="15">
        <v>240953</v>
      </c>
      <c r="CK60" s="15">
        <v>2186</v>
      </c>
      <c r="CL60" s="15">
        <v>280871</v>
      </c>
      <c r="CM60" s="15">
        <v>2213</v>
      </c>
      <c r="CN60" s="15">
        <v>257057</v>
      </c>
      <c r="CO60" s="15">
        <v>1821</v>
      </c>
      <c r="CP60" s="15">
        <v>293057</v>
      </c>
      <c r="CQ60" s="15">
        <v>1867</v>
      </c>
      <c r="CR60" s="91">
        <f>IF(((Input_Raw[[#This Row],[33 kV_Wind_F1_Export reading]]-CJ59)*1200)&gt;0,(Input_Raw[[#This Row],[33 kV_Wind_F1_Export reading]]-CJ59)*1200,0)</f>
        <v>14400</v>
      </c>
      <c r="CS60" s="91">
        <f>IF(((Input_Raw[[#This Row],[33 kV_Wind_F1_Import reading]]-CK59)*1200)&gt;0,(Input_Raw[[#This Row],[33 kV_Wind_F1_Import reading]]-CK59)*1200,0)</f>
        <v>1200</v>
      </c>
      <c r="CT60" s="91">
        <f>IF(((Input_Raw[[#This Row],[33 kV_Wind_F2_Export_reading]]-CL59)*1200)&gt;0,(Input_Raw[[#This Row],[33 kV_Wind_F2_Export_reading]]-CL59)*1200,0)</f>
        <v>15600</v>
      </c>
      <c r="CU60" s="91">
        <f>IF(((Input_Raw[[#This Row],[33 kV_Wind_F2_Import_reading]]-CM59)*1200)&gt;0,(Input_Raw[[#This Row],[33 kV_Wind_F2_Import_reading]]-CM59)*1200,0)</f>
        <v>1200</v>
      </c>
      <c r="CV60" s="91">
        <f>IF(((Input_Raw[[#This Row],[33 kV_Wind_F3_Export_Reading]]-CN59)*1200)&gt;0,(Input_Raw[[#This Row],[33 kV_Wind_F3_Export_Reading]]-CN59)*1200,0)</f>
        <v>24000</v>
      </c>
      <c r="CW60" s="91">
        <f>IF(((Input_Raw[[#This Row],[33 kV_Wind_F3_Import_Reading]]-CO59)*1200)&gt;0,(Input_Raw[[#This Row],[33 kV_Wind_F3_Import_Reading]]-CO59)*1200,0)</f>
        <v>1200</v>
      </c>
      <c r="CX60" s="91">
        <f>IF(((Input_Raw[[#This Row],[33 kV_Wind_F4_Export Reading]]-CP59)*1200)&gt;0,(Input_Raw[[#This Row],[33 kV_Wind_F4_Export Reading]]-CP59)*1200,0)</f>
        <v>30000</v>
      </c>
      <c r="CY60" s="91">
        <f>IF(((Input_Raw[[#This Row],[33 kV_Wind_F4_Import Reading]]-CQ59)*1200)&gt;0,(Input_Raw[[#This Row],[33 kV_Wind_F4_Import Reading]]-CQ59)*1200,0)</f>
        <v>1200</v>
      </c>
      <c r="CZ60" s="91">
        <f>Input_Raw[[#This Row],[33 kV_F1_Total_Export (KWh)]]+Input_Raw[[#This Row],[33 kV_F2_Total_Export (KWh)2]]+Input_Raw[[#This Row],[33 kV_Wind_F3_Export (KWh)]]+Input_Raw[[#This Row],[33 kV_Wind_F4_Export (KWh)]]</f>
        <v>84000</v>
      </c>
      <c r="DA60" s="91">
        <f>Input_Raw[[#This Row],[33 kV_Wind_F1_Import (KWh)]]+Input_Raw[[#This Row],[33 kV_Wind_F2_Import (KWh)]]+Input_Raw[[#This Row],[33 kV_Wind_F3_Import (KWh)2]]+Input_Raw[[#This Row],[33 kV_Wind_F4_Import (KWh)2]]</f>
        <v>4800</v>
      </c>
      <c r="DB60" s="21">
        <f>IFERROR(1-Input_Raw[[#This Row],[33 kV_Wind_Total_Export (KWh)]]/Input_Raw[[#This Row],[WTG Total Gneration (KWh)]],0)</f>
        <v>4.506388977308895E-2</v>
      </c>
      <c r="DC60" s="100">
        <v>96</v>
      </c>
      <c r="DD60" s="100">
        <v>45073</v>
      </c>
      <c r="DE60" s="102">
        <v>87.96</v>
      </c>
      <c r="DF60" s="99"/>
      <c r="DG60" s="101">
        <v>78</v>
      </c>
      <c r="DH60" s="168" t="s">
        <v>381</v>
      </c>
    </row>
    <row r="61" spans="1:112">
      <c r="A61" s="20">
        <f t="shared" si="6"/>
        <v>45801</v>
      </c>
      <c r="B61" s="12">
        <f>YEAR([1]!Input_Raw[[#This Row],[Date]])+IF(MONTH([1]!Input_Raw[[#This Row],[Date]])&gt;=4,1,0)</f>
        <v>2026</v>
      </c>
      <c r="C61" s="13">
        <f>YEAR([1]!Input_Raw[[#This Row],[Date]])</f>
        <v>2025</v>
      </c>
      <c r="D61" s="14">
        <f t="shared" si="5"/>
        <v>45778</v>
      </c>
      <c r="E61" s="13">
        <f>DAY(EOMONTH([1]!Input_Raw[[#This Row],[Date]],0))</f>
        <v>31</v>
      </c>
      <c r="F61" s="15">
        <v>7042</v>
      </c>
      <c r="G61" s="15">
        <v>7032</v>
      </c>
      <c r="H61" s="15">
        <v>7021</v>
      </c>
      <c r="I61" s="15">
        <v>7022</v>
      </c>
      <c r="J61" s="15">
        <v>7732</v>
      </c>
      <c r="K61" s="15">
        <v>7053</v>
      </c>
      <c r="L61" s="15">
        <v>7043</v>
      </c>
      <c r="M61" s="15">
        <v>7033</v>
      </c>
      <c r="N61" s="15">
        <v>7342</v>
      </c>
      <c r="O61" s="15">
        <v>7057</v>
      </c>
      <c r="P61" s="15">
        <v>7069</v>
      </c>
      <c r="Q61" s="15">
        <v>7352</v>
      </c>
      <c r="R61" s="15">
        <v>7347</v>
      </c>
      <c r="S61" s="15">
        <v>7349</v>
      </c>
      <c r="T61" s="15">
        <v>7354</v>
      </c>
      <c r="U61" s="15">
        <v>6521</v>
      </c>
      <c r="V61" s="15">
        <v>7365</v>
      </c>
      <c r="W61" s="15">
        <v>7359</v>
      </c>
      <c r="X61" s="15">
        <v>7387</v>
      </c>
      <c r="Y61" s="15">
        <v>7395</v>
      </c>
      <c r="Z61" s="15">
        <v>7768</v>
      </c>
      <c r="AA61" s="15">
        <v>7758</v>
      </c>
      <c r="AB61" s="15">
        <v>7743</v>
      </c>
      <c r="AC61" s="15">
        <v>7728</v>
      </c>
      <c r="AD61" s="15">
        <v>5831</v>
      </c>
      <c r="AE61" s="15">
        <v>7721</v>
      </c>
      <c r="AF61" s="15">
        <v>7772</v>
      </c>
      <c r="AG61" s="15">
        <v>0</v>
      </c>
      <c r="AH61" s="15">
        <v>7787</v>
      </c>
      <c r="AI61" s="15">
        <v>0</v>
      </c>
      <c r="AJ61" s="15">
        <v>6467</v>
      </c>
      <c r="AK61" s="15">
        <v>6457</v>
      </c>
      <c r="AL61" s="15">
        <v>6043</v>
      </c>
      <c r="AM61" s="15">
        <v>6452</v>
      </c>
      <c r="AN61" s="15">
        <v>6456</v>
      </c>
      <c r="AO61" s="15">
        <v>6451</v>
      </c>
      <c r="AP61" s="15">
        <v>6458</v>
      </c>
      <c r="AQ61" s="15">
        <v>6487</v>
      </c>
      <c r="AR61" s="15">
        <v>6466</v>
      </c>
      <c r="AS61" s="16">
        <v>4.8499999999999996</v>
      </c>
      <c r="AT61" s="16">
        <v>5.26</v>
      </c>
      <c r="AU61" s="16">
        <v>4.68</v>
      </c>
      <c r="AV61" s="16">
        <v>5.05</v>
      </c>
      <c r="AW61" s="16">
        <v>5</v>
      </c>
      <c r="AX61" s="16">
        <v>5.1100000000000003</v>
      </c>
      <c r="AY61" s="16">
        <v>4.84</v>
      </c>
      <c r="AZ61" s="16">
        <v>4.4800000000000004</v>
      </c>
      <c r="BA61" s="16">
        <v>5.09</v>
      </c>
      <c r="BB61" s="16">
        <v>4.83</v>
      </c>
      <c r="BC61" s="16">
        <v>5.29</v>
      </c>
      <c r="BD61" s="16">
        <v>5.04</v>
      </c>
      <c r="BE61" s="16">
        <v>5.15</v>
      </c>
      <c r="BF61" s="16">
        <v>5.24</v>
      </c>
      <c r="BG61" s="16">
        <v>4.99</v>
      </c>
      <c r="BH61" s="16">
        <v>5.44</v>
      </c>
      <c r="BI61" s="16">
        <v>4.96</v>
      </c>
      <c r="BJ61" s="16">
        <v>5.48</v>
      </c>
      <c r="BK61" s="16">
        <v>5.43</v>
      </c>
      <c r="BL61" s="16">
        <v>5.67</v>
      </c>
      <c r="BM61" s="16">
        <v>0</v>
      </c>
      <c r="BN61" s="16">
        <v>5.29</v>
      </c>
      <c r="BO61" s="16">
        <v>4.82</v>
      </c>
      <c r="BP61" s="16">
        <v>5.04</v>
      </c>
      <c r="BQ61" s="16">
        <v>5.32</v>
      </c>
      <c r="BR61" s="16">
        <v>5.01</v>
      </c>
      <c r="BS61" s="16">
        <v>5.03</v>
      </c>
      <c r="BT61" s="16">
        <v>0</v>
      </c>
      <c r="BU61" s="16">
        <v>4.8099999999999996</v>
      </c>
      <c r="BV61" s="16">
        <v>0</v>
      </c>
      <c r="BW61" s="16">
        <v>4.95</v>
      </c>
      <c r="BX61" s="16">
        <v>5.01</v>
      </c>
      <c r="BY61" s="16">
        <v>4.99</v>
      </c>
      <c r="BZ61" s="16">
        <v>5.16</v>
      </c>
      <c r="CA61" s="16">
        <v>5.21</v>
      </c>
      <c r="CB61" s="16">
        <v>4.87</v>
      </c>
      <c r="CC61" s="16">
        <v>5.18</v>
      </c>
      <c r="CD61" s="16">
        <v>4.8499999999999996</v>
      </c>
      <c r="CE61" s="16">
        <v>5.19</v>
      </c>
      <c r="CF61" s="17">
        <f>SUM(Input_Raw[[#This Row],[G01]:[G40]])</f>
        <v>261720</v>
      </c>
      <c r="CG61" s="18">
        <f>IFERROR(AVERAGE(Input_Raw[[#This Row],[WS_G01]:[WS_G40]]),"")</f>
        <v>4.6823076923076918</v>
      </c>
      <c r="CH61" s="19"/>
      <c r="CI61" s="19"/>
      <c r="CJ61" s="15">
        <v>241005</v>
      </c>
      <c r="CK61" s="15">
        <v>2187</v>
      </c>
      <c r="CL61" s="15">
        <v>280922</v>
      </c>
      <c r="CM61" s="15">
        <v>2214</v>
      </c>
      <c r="CN61" s="15">
        <v>257109</v>
      </c>
      <c r="CO61" s="15">
        <v>1822</v>
      </c>
      <c r="CP61" s="15">
        <v>293117</v>
      </c>
      <c r="CQ61" s="15">
        <v>1867</v>
      </c>
      <c r="CR61" s="91">
        <f>IF(((Input_Raw[[#This Row],[33 kV_Wind_F1_Export reading]]-CJ60)*1200)&gt;0,(Input_Raw[[#This Row],[33 kV_Wind_F1_Export reading]]-CJ60)*1200,0)</f>
        <v>62400</v>
      </c>
      <c r="CS61" s="91">
        <f>IF(((Input_Raw[[#This Row],[33 kV_Wind_F1_Import reading]]-CK60)*1200)&gt;0,(Input_Raw[[#This Row],[33 kV_Wind_F1_Import reading]]-CK60)*1200,0)</f>
        <v>1200</v>
      </c>
      <c r="CT61" s="91">
        <f>IF(((Input_Raw[[#This Row],[33 kV_Wind_F2_Export_reading]]-CL60)*1200)&gt;0,(Input_Raw[[#This Row],[33 kV_Wind_F2_Export_reading]]-CL60)*1200,0)</f>
        <v>61200</v>
      </c>
      <c r="CU61" s="91">
        <f>IF(((Input_Raw[[#This Row],[33 kV_Wind_F2_Import_reading]]-CM60)*1200)&gt;0,(Input_Raw[[#This Row],[33 kV_Wind_F2_Import_reading]]-CM60)*1200,0)</f>
        <v>1200</v>
      </c>
      <c r="CV61" s="91">
        <f>IF(((Input_Raw[[#This Row],[33 kV_Wind_F3_Export_Reading]]-CN60)*1200)&gt;0,(Input_Raw[[#This Row],[33 kV_Wind_F3_Export_Reading]]-CN60)*1200,0)</f>
        <v>62400</v>
      </c>
      <c r="CW61" s="91">
        <f>IF(((Input_Raw[[#This Row],[33 kV_Wind_F3_Import_Reading]]-CO60)*1200)&gt;0,(Input_Raw[[#This Row],[33 kV_Wind_F3_Import_Reading]]-CO60)*1200,0)</f>
        <v>1200</v>
      </c>
      <c r="CX61" s="91">
        <f>IF(((Input_Raw[[#This Row],[33 kV_Wind_F4_Export Reading]]-CP60)*1200)&gt;0,(Input_Raw[[#This Row],[33 kV_Wind_F4_Export Reading]]-CP60)*1200,0)</f>
        <v>72000</v>
      </c>
      <c r="CY61" s="91">
        <f>IF(((Input_Raw[[#This Row],[33 kV_Wind_F4_Import Reading]]-CQ60)*1200)&gt;0,(Input_Raw[[#This Row],[33 kV_Wind_F4_Import Reading]]-CQ60)*1200,0)</f>
        <v>0</v>
      </c>
      <c r="CZ61" s="91">
        <f>Input_Raw[[#This Row],[33 kV_F1_Total_Export (KWh)]]+Input_Raw[[#This Row],[33 kV_F2_Total_Export (KWh)2]]+Input_Raw[[#This Row],[33 kV_Wind_F3_Export (KWh)]]+Input_Raw[[#This Row],[33 kV_Wind_F4_Export (KWh)]]</f>
        <v>258000</v>
      </c>
      <c r="DA61" s="91">
        <f>Input_Raw[[#This Row],[33 kV_Wind_F1_Import (KWh)]]+Input_Raw[[#This Row],[33 kV_Wind_F2_Import (KWh)]]+Input_Raw[[#This Row],[33 kV_Wind_F3_Import (KWh)2]]+Input_Raw[[#This Row],[33 kV_Wind_F4_Import (KWh)2]]</f>
        <v>3600</v>
      </c>
      <c r="DB61" s="21">
        <f>IFERROR(1-Input_Raw[[#This Row],[33 kV_Wind_Total_Export (KWh)]]/Input_Raw[[#This Row],[WTG Total Gneration (KWh)]],0)</f>
        <v>1.421366345712971E-2</v>
      </c>
      <c r="DC61" s="100">
        <v>96</v>
      </c>
      <c r="DD61" s="100">
        <v>54003</v>
      </c>
      <c r="DE61" s="102">
        <v>261.72000000000003</v>
      </c>
      <c r="DF61" s="99"/>
      <c r="DG61" s="101">
        <v>78</v>
      </c>
      <c r="DH61" s="168" t="s">
        <v>381</v>
      </c>
    </row>
    <row r="62" spans="1:112">
      <c r="A62" s="20">
        <f t="shared" si="6"/>
        <v>45802</v>
      </c>
      <c r="B62" s="12">
        <f>YEAR([1]!Input_Raw[[#This Row],[Date]])+IF(MONTH([1]!Input_Raw[[#This Row],[Date]])&gt;=4,1,0)</f>
        <v>2026</v>
      </c>
      <c r="C62" s="13">
        <f>YEAR([1]!Input_Raw[[#This Row],[Date]])</f>
        <v>2025</v>
      </c>
      <c r="D62" s="14">
        <f t="shared" si="5"/>
        <v>45778</v>
      </c>
      <c r="E62" s="13">
        <f>DAY(EOMONTH([1]!Input_Raw[[#This Row],[Date]],0))</f>
        <v>31</v>
      </c>
      <c r="F62" s="15">
        <v>7125</v>
      </c>
      <c r="G62" s="15">
        <v>7129</v>
      </c>
      <c r="H62" s="15">
        <v>7132</v>
      </c>
      <c r="I62" s="15">
        <v>7136</v>
      </c>
      <c r="J62" s="15">
        <v>5501</v>
      </c>
      <c r="K62" s="15">
        <v>7142</v>
      </c>
      <c r="L62" s="15">
        <v>7122</v>
      </c>
      <c r="M62" s="15">
        <v>7126</v>
      </c>
      <c r="N62" s="15">
        <v>7109</v>
      </c>
      <c r="O62" s="15">
        <v>6749</v>
      </c>
      <c r="P62" s="15">
        <v>7164</v>
      </c>
      <c r="Q62" s="15">
        <v>7110</v>
      </c>
      <c r="R62" s="15">
        <v>7118</v>
      </c>
      <c r="S62" s="15">
        <v>7126</v>
      </c>
      <c r="T62" s="15">
        <v>7129</v>
      </c>
      <c r="U62" s="15">
        <v>6898</v>
      </c>
      <c r="V62" s="15">
        <v>6473</v>
      </c>
      <c r="W62" s="15">
        <v>7108</v>
      </c>
      <c r="X62" s="15">
        <v>7142</v>
      </c>
      <c r="Y62" s="15">
        <v>7149</v>
      </c>
      <c r="Z62" s="15">
        <v>5521</v>
      </c>
      <c r="AA62" s="15">
        <v>5518</v>
      </c>
      <c r="AB62" s="15">
        <v>5509</v>
      </c>
      <c r="AC62" s="15">
        <v>5524</v>
      </c>
      <c r="AD62" s="15">
        <v>5842</v>
      </c>
      <c r="AE62" s="15">
        <v>5516</v>
      </c>
      <c r="AF62" s="15">
        <v>5528</v>
      </c>
      <c r="AG62" s="15">
        <v>0</v>
      </c>
      <c r="AH62" s="15">
        <v>5532</v>
      </c>
      <c r="AI62" s="15">
        <v>0</v>
      </c>
      <c r="AJ62" s="15">
        <v>5589</v>
      </c>
      <c r="AK62" s="15">
        <v>5822</v>
      </c>
      <c r="AL62" s="15">
        <v>5821</v>
      </c>
      <c r="AM62" s="15">
        <v>5842</v>
      </c>
      <c r="AN62" s="15">
        <v>5846</v>
      </c>
      <c r="AO62" s="15">
        <v>5844</v>
      </c>
      <c r="AP62" s="15">
        <v>5824</v>
      </c>
      <c r="AQ62" s="15">
        <v>5839</v>
      </c>
      <c r="AR62" s="15">
        <v>5842</v>
      </c>
      <c r="AS62" s="16">
        <v>4.0641180555555536</v>
      </c>
      <c r="AT62" s="16">
        <v>4.0593055555555582</v>
      </c>
      <c r="AU62" s="16">
        <v>4.0183402777777761</v>
      </c>
      <c r="AV62" s="16">
        <v>3.9908402777777772</v>
      </c>
      <c r="AW62" s="16">
        <v>3.97079861111111</v>
      </c>
      <c r="AX62" s="16">
        <v>4.1533333333333324</v>
      </c>
      <c r="AY62" s="16">
        <v>4.1533333333333324</v>
      </c>
      <c r="AZ62" s="16">
        <v>4.3952637795275589</v>
      </c>
      <c r="BA62" s="16">
        <v>4.0945833333333352</v>
      </c>
      <c r="BB62" s="16">
        <v>4.1891249999999989</v>
      </c>
      <c r="BC62" s="16">
        <v>4.5515753968253962</v>
      </c>
      <c r="BD62" s="16">
        <v>4.0447986111111112</v>
      </c>
      <c r="BE62" s="16">
        <v>4.0977430555555578</v>
      </c>
      <c r="BF62" s="16">
        <v>4.1513819444444442</v>
      </c>
      <c r="BG62" s="16">
        <v>4.114952083333332</v>
      </c>
      <c r="BH62" s="16">
        <v>4.1474861111111121</v>
      </c>
      <c r="BI62" s="16">
        <v>4.3756666666666675</v>
      </c>
      <c r="BJ62" s="16">
        <v>4.3612430555555521</v>
      </c>
      <c r="BK62" s="16">
        <v>4.2470694444444446</v>
      </c>
      <c r="BL62" s="16">
        <v>4.3102222222222224</v>
      </c>
      <c r="BM62" s="16">
        <v>4.0999999999999996</v>
      </c>
      <c r="BN62" s="16">
        <v>4.0657152777777794</v>
      </c>
      <c r="BO62" s="16">
        <v>3.9717916666666659</v>
      </c>
      <c r="BP62" s="16">
        <v>4.1679513888888877</v>
      </c>
      <c r="BQ62" s="16">
        <v>3.8945486111111092</v>
      </c>
      <c r="BR62" s="16">
        <v>3.9962013888888888</v>
      </c>
      <c r="BS62" s="16">
        <v>4.0165833333333332</v>
      </c>
      <c r="BT62" s="16">
        <v>0</v>
      </c>
      <c r="BU62" s="16">
        <v>4.0999999999999996</v>
      </c>
      <c r="BV62" s="16">
        <v>0</v>
      </c>
      <c r="BW62" s="16">
        <v>3.80823611111111</v>
      </c>
      <c r="BX62" s="16">
        <v>3.923756944444444</v>
      </c>
      <c r="BY62" s="16">
        <v>4.0071736111111118</v>
      </c>
      <c r="BZ62" s="16">
        <v>4.0676805555555573</v>
      </c>
      <c r="CA62" s="16">
        <v>4.0488194444444439</v>
      </c>
      <c r="CB62" s="16">
        <v>4.1112569444444436</v>
      </c>
      <c r="CC62" s="16">
        <v>3.8610277777777782</v>
      </c>
      <c r="CD62" s="16">
        <v>3.9456944444444466</v>
      </c>
      <c r="CE62" s="16">
        <v>3.9453750000000003</v>
      </c>
      <c r="CF62" s="17">
        <f>SUM(Input_Raw[[#This Row],[G01]:[G40]])</f>
        <v>236447</v>
      </c>
      <c r="CG62" s="18">
        <f>IFERROR(AVERAGE(Input_Raw[[#This Row],[WS_G01]:[WS_G40]]),"")</f>
        <v>3.885204939707056</v>
      </c>
      <c r="CH62" s="19"/>
      <c r="CI62" s="19"/>
      <c r="CJ62" s="15">
        <v>241053</v>
      </c>
      <c r="CK62" s="15">
        <v>2187</v>
      </c>
      <c r="CL62" s="15">
        <v>280958</v>
      </c>
      <c r="CM62" s="15">
        <v>2214</v>
      </c>
      <c r="CN62" s="15">
        <v>257161</v>
      </c>
      <c r="CO62" s="15">
        <v>1822</v>
      </c>
      <c r="CP62" s="15">
        <v>293174</v>
      </c>
      <c r="CQ62" s="15">
        <v>1868</v>
      </c>
      <c r="CR62" s="91">
        <f>IF(((Input_Raw[[#This Row],[33 kV_Wind_F1_Export reading]]-CJ61)*1200)&gt;0,(Input_Raw[[#This Row],[33 kV_Wind_F1_Export reading]]-CJ61)*1200,0)</f>
        <v>57600</v>
      </c>
      <c r="CS62" s="91">
        <f>IF(((Input_Raw[[#This Row],[33 kV_Wind_F1_Import reading]]-CK61)*1200)&gt;0,(Input_Raw[[#This Row],[33 kV_Wind_F1_Import reading]]-CK61)*1200,0)</f>
        <v>0</v>
      </c>
      <c r="CT62" s="91">
        <f>IF(((Input_Raw[[#This Row],[33 kV_Wind_F2_Export_reading]]-CL61)*1200)&gt;0,(Input_Raw[[#This Row],[33 kV_Wind_F2_Export_reading]]-CL61)*1200,0)</f>
        <v>43200</v>
      </c>
      <c r="CU62" s="91">
        <f>IF(((Input_Raw[[#This Row],[33 kV_Wind_F2_Import_reading]]-CM61)*1200)&gt;0,(Input_Raw[[#This Row],[33 kV_Wind_F2_Import_reading]]-CM61)*1200,0)</f>
        <v>0</v>
      </c>
      <c r="CV62" s="91">
        <f>IF(((Input_Raw[[#This Row],[33 kV_Wind_F3_Export_Reading]]-CN61)*1200)&gt;0,(Input_Raw[[#This Row],[33 kV_Wind_F3_Export_Reading]]-CN61)*1200,0)</f>
        <v>62400</v>
      </c>
      <c r="CW62" s="91">
        <f>IF(((Input_Raw[[#This Row],[33 kV_Wind_F3_Import_Reading]]-CO61)*1200)&gt;0,(Input_Raw[[#This Row],[33 kV_Wind_F3_Import_Reading]]-CO61)*1200,0)</f>
        <v>0</v>
      </c>
      <c r="CX62" s="91">
        <f>IF(((Input_Raw[[#This Row],[33 kV_Wind_F4_Export Reading]]-CP61)*1200)&gt;0,(Input_Raw[[#This Row],[33 kV_Wind_F4_Export Reading]]-CP61)*1200,0)</f>
        <v>68400</v>
      </c>
      <c r="CY62" s="91">
        <f>IF(((Input_Raw[[#This Row],[33 kV_Wind_F4_Import Reading]]-CQ61)*1200)&gt;0,(Input_Raw[[#This Row],[33 kV_Wind_F4_Import Reading]]-CQ61)*1200,0)</f>
        <v>1200</v>
      </c>
      <c r="CZ62" s="91">
        <f>Input_Raw[[#This Row],[33 kV_F1_Total_Export (KWh)]]+Input_Raw[[#This Row],[33 kV_F2_Total_Export (KWh)2]]+Input_Raw[[#This Row],[33 kV_Wind_F3_Export (KWh)]]+Input_Raw[[#This Row],[33 kV_Wind_F4_Export (KWh)]]</f>
        <v>231600</v>
      </c>
      <c r="DA62" s="91">
        <f>Input_Raw[[#This Row],[33 kV_Wind_F1_Import (KWh)]]+Input_Raw[[#This Row],[33 kV_Wind_F2_Import (KWh)]]+Input_Raw[[#This Row],[33 kV_Wind_F3_Import (KWh)2]]+Input_Raw[[#This Row],[33 kV_Wind_F4_Import (KWh)2]]</f>
        <v>1200</v>
      </c>
      <c r="DB62" s="21">
        <f>IFERROR(1-Input_Raw[[#This Row],[33 kV_Wind_Total_Export (KWh)]]/Input_Raw[[#This Row],[WTG Total Gneration (KWh)]],0)</f>
        <v>2.0499308513112879E-2</v>
      </c>
      <c r="DC62" s="100">
        <v>96</v>
      </c>
      <c r="DD62" s="100">
        <v>64981</v>
      </c>
      <c r="DE62" s="102">
        <v>236.44</v>
      </c>
      <c r="DF62" s="99"/>
      <c r="DG62" s="101">
        <v>78</v>
      </c>
      <c r="DH62" s="168" t="s">
        <v>381</v>
      </c>
    </row>
    <row r="63" spans="1:112">
      <c r="A63" s="20">
        <f t="shared" si="6"/>
        <v>45803</v>
      </c>
      <c r="B63" s="12">
        <f>YEAR([1]!Input_Raw[[#This Row],[Date]])+IF(MONTH([1]!Input_Raw[[#This Row],[Date]])&gt;=4,1,0)</f>
        <v>2026</v>
      </c>
      <c r="C63" s="13">
        <f>YEAR([1]!Input_Raw[[#This Row],[Date]])</f>
        <v>2025</v>
      </c>
      <c r="D63" s="14">
        <f t="shared" si="5"/>
        <v>45778</v>
      </c>
      <c r="E63" s="13">
        <f>DAY(EOMONTH([1]!Input_Raw[[#This Row],[Date]],0))</f>
        <v>31</v>
      </c>
      <c r="F63" s="15">
        <v>4453</v>
      </c>
      <c r="G63" s="15">
        <v>4458</v>
      </c>
      <c r="H63" s="15">
        <v>4421</v>
      </c>
      <c r="I63" s="15">
        <v>4290</v>
      </c>
      <c r="J63" s="15">
        <v>3602</v>
      </c>
      <c r="K63" s="15">
        <v>4456</v>
      </c>
      <c r="L63" s="15">
        <v>4434</v>
      </c>
      <c r="M63" s="15">
        <v>4426</v>
      </c>
      <c r="N63" s="15">
        <v>3729</v>
      </c>
      <c r="O63" s="15">
        <v>4456</v>
      </c>
      <c r="P63" s="15">
        <v>4467</v>
      </c>
      <c r="Q63" s="15">
        <v>3742</v>
      </c>
      <c r="R63" s="15">
        <v>3745</v>
      </c>
      <c r="S63" s="15">
        <v>3749</v>
      </c>
      <c r="T63" s="15">
        <v>3752</v>
      </c>
      <c r="U63" s="15">
        <v>3750</v>
      </c>
      <c r="V63" s="15">
        <v>3753</v>
      </c>
      <c r="W63" s="15">
        <v>3321</v>
      </c>
      <c r="X63" s="15">
        <v>3356</v>
      </c>
      <c r="Y63" s="15">
        <v>3758</v>
      </c>
      <c r="Z63" s="15">
        <v>3656</v>
      </c>
      <c r="AA63" s="15">
        <v>3643</v>
      </c>
      <c r="AB63" s="15">
        <v>3622</v>
      </c>
      <c r="AC63" s="15">
        <v>3234</v>
      </c>
      <c r="AD63" s="15">
        <v>3552</v>
      </c>
      <c r="AE63" s="15">
        <v>3652</v>
      </c>
      <c r="AF63" s="15">
        <v>3649</v>
      </c>
      <c r="AG63" s="15">
        <v>0</v>
      </c>
      <c r="AH63" s="15">
        <v>3424</v>
      </c>
      <c r="AI63" s="15">
        <v>0</v>
      </c>
      <c r="AJ63" s="15">
        <v>3553</v>
      </c>
      <c r="AK63" s="15">
        <v>3572</v>
      </c>
      <c r="AL63" s="15">
        <v>3522</v>
      </c>
      <c r="AM63" s="15">
        <v>3562</v>
      </c>
      <c r="AN63" s="15">
        <v>3565</v>
      </c>
      <c r="AO63" s="15">
        <v>3560</v>
      </c>
      <c r="AP63" s="15">
        <v>3532</v>
      </c>
      <c r="AQ63" s="15">
        <v>3529</v>
      </c>
      <c r="AR63" s="15">
        <v>3321</v>
      </c>
      <c r="AS63" s="16">
        <v>3.74</v>
      </c>
      <c r="AT63" s="16">
        <v>3.74</v>
      </c>
      <c r="AU63" s="16">
        <v>3.75</v>
      </c>
      <c r="AV63" s="16">
        <v>3.66</v>
      </c>
      <c r="AW63" s="16">
        <v>3.58</v>
      </c>
      <c r="AX63" s="16">
        <v>4.01</v>
      </c>
      <c r="AY63" s="16">
        <v>3.68</v>
      </c>
      <c r="AZ63" s="16">
        <v>3.94</v>
      </c>
      <c r="BA63" s="16">
        <v>3.7</v>
      </c>
      <c r="BB63" s="16">
        <v>3.66</v>
      </c>
      <c r="BC63" s="16">
        <v>3.85</v>
      </c>
      <c r="BD63" s="16">
        <v>3.83</v>
      </c>
      <c r="BE63" s="16">
        <v>3.84</v>
      </c>
      <c r="BF63" s="16">
        <v>3.92</v>
      </c>
      <c r="BG63" s="16">
        <v>3.11</v>
      </c>
      <c r="BH63" s="16">
        <v>0</v>
      </c>
      <c r="BI63" s="16">
        <v>4.0199999999999996</v>
      </c>
      <c r="BJ63" s="16">
        <v>3.98</v>
      </c>
      <c r="BK63" s="16">
        <v>4.12</v>
      </c>
      <c r="BL63" s="16">
        <v>4.16</v>
      </c>
      <c r="BM63" s="16">
        <v>3.79</v>
      </c>
      <c r="BN63" s="16">
        <v>3.68</v>
      </c>
      <c r="BO63" s="16">
        <v>3.68</v>
      </c>
      <c r="BP63" s="16">
        <v>3.85</v>
      </c>
      <c r="BQ63" s="16">
        <v>3.49</v>
      </c>
      <c r="BR63" s="16">
        <v>3.7</v>
      </c>
      <c r="BS63" s="16">
        <v>3.67</v>
      </c>
      <c r="BT63" s="16">
        <v>0</v>
      </c>
      <c r="BU63" s="16">
        <v>3.9</v>
      </c>
      <c r="BV63" s="16">
        <v>0</v>
      </c>
      <c r="BW63" s="16">
        <v>3.66</v>
      </c>
      <c r="BX63" s="16">
        <v>3.57</v>
      </c>
      <c r="BY63" s="16">
        <v>3.7</v>
      </c>
      <c r="BZ63" s="16">
        <v>3.91</v>
      </c>
      <c r="CA63" s="16">
        <v>4.05</v>
      </c>
      <c r="CB63" s="16">
        <v>3.93</v>
      </c>
      <c r="CC63" s="16">
        <v>3.61</v>
      </c>
      <c r="CD63" s="16">
        <v>4.13</v>
      </c>
      <c r="CE63" s="16">
        <v>3.7</v>
      </c>
      <c r="CF63" s="17">
        <f>SUM(Input_Raw[[#This Row],[G01]:[G40]])</f>
        <v>140266</v>
      </c>
      <c r="CG63" s="18">
        <f>IFERROR(AVERAGE(Input_Raw[[#This Row],[WS_G01]:[WS_G40]]),"")</f>
        <v>3.4951282051282053</v>
      </c>
      <c r="CH63" s="19"/>
      <c r="CI63" s="19"/>
      <c r="CJ63" s="15">
        <v>241082</v>
      </c>
      <c r="CK63" s="15">
        <v>2188</v>
      </c>
      <c r="CL63" s="15">
        <v>280981</v>
      </c>
      <c r="CM63" s="15">
        <v>2215</v>
      </c>
      <c r="CN63" s="15">
        <v>257194</v>
      </c>
      <c r="CO63" s="15">
        <v>1823</v>
      </c>
      <c r="CP63" s="15">
        <v>293204</v>
      </c>
      <c r="CQ63" s="15">
        <v>1868</v>
      </c>
      <c r="CR63" s="91">
        <f>IF(((Input_Raw[[#This Row],[33 kV_Wind_F1_Export reading]]-CJ62)*1200)&gt;0,(Input_Raw[[#This Row],[33 kV_Wind_F1_Export reading]]-CJ62)*1200,0)</f>
        <v>34800</v>
      </c>
      <c r="CS63" s="91">
        <f>IF(((Input_Raw[[#This Row],[33 kV_Wind_F1_Import reading]]-CK62)*1200)&gt;0,(Input_Raw[[#This Row],[33 kV_Wind_F1_Import reading]]-CK62)*1200,0)</f>
        <v>1200</v>
      </c>
      <c r="CT63" s="91">
        <f>IF(((Input_Raw[[#This Row],[33 kV_Wind_F2_Export_reading]]-CL62)*1200)&gt;0,(Input_Raw[[#This Row],[33 kV_Wind_F2_Export_reading]]-CL62)*1200,0)</f>
        <v>27600</v>
      </c>
      <c r="CU63" s="91">
        <f>IF(((Input_Raw[[#This Row],[33 kV_Wind_F2_Import_reading]]-CM62)*1200)&gt;0,(Input_Raw[[#This Row],[33 kV_Wind_F2_Import_reading]]-CM62)*1200,0)</f>
        <v>1200</v>
      </c>
      <c r="CV63" s="91">
        <f>IF(((Input_Raw[[#This Row],[33 kV_Wind_F3_Export_Reading]]-CN62)*1200)&gt;0,(Input_Raw[[#This Row],[33 kV_Wind_F3_Export_Reading]]-CN62)*1200,0)</f>
        <v>39600</v>
      </c>
      <c r="CW63" s="91">
        <f>IF(((Input_Raw[[#This Row],[33 kV_Wind_F3_Import_Reading]]-CO62)*1200)&gt;0,(Input_Raw[[#This Row],[33 kV_Wind_F3_Import_Reading]]-CO62)*1200,0)</f>
        <v>1200</v>
      </c>
      <c r="CX63" s="91">
        <f>IF(((Input_Raw[[#This Row],[33 kV_Wind_F4_Export Reading]]-CP62)*1200)&gt;0,(Input_Raw[[#This Row],[33 kV_Wind_F4_Export Reading]]-CP62)*1200,0)</f>
        <v>36000</v>
      </c>
      <c r="CY63" s="91">
        <f>IF(((Input_Raw[[#This Row],[33 kV_Wind_F4_Import Reading]]-CQ62)*1200)&gt;0,(Input_Raw[[#This Row],[33 kV_Wind_F4_Import Reading]]-CQ62)*1200,0)</f>
        <v>0</v>
      </c>
      <c r="CZ63" s="91">
        <f>Input_Raw[[#This Row],[33 kV_F1_Total_Export (KWh)]]+Input_Raw[[#This Row],[33 kV_F2_Total_Export (KWh)2]]+Input_Raw[[#This Row],[33 kV_Wind_F3_Export (KWh)]]+Input_Raw[[#This Row],[33 kV_Wind_F4_Export (KWh)]]</f>
        <v>138000</v>
      </c>
      <c r="DA63" s="91">
        <f>Input_Raw[[#This Row],[33 kV_Wind_F1_Import (KWh)]]+Input_Raw[[#This Row],[33 kV_Wind_F2_Import (KWh)]]+Input_Raw[[#This Row],[33 kV_Wind_F3_Import (KWh)2]]+Input_Raw[[#This Row],[33 kV_Wind_F4_Import (KWh)2]]</f>
        <v>3600</v>
      </c>
      <c r="DB63" s="21">
        <f>IFERROR(1-Input_Raw[[#This Row],[33 kV_Wind_Total_Export (KWh)]]/Input_Raw[[#This Row],[WTG Total Gneration (KWh)]],0)</f>
        <v>1.6155019748192667E-2</v>
      </c>
      <c r="DC63" s="100">
        <v>94</v>
      </c>
      <c r="DD63" s="100">
        <v>14022</v>
      </c>
      <c r="DE63" s="102">
        <v>140.26</v>
      </c>
      <c r="DF63" s="99"/>
      <c r="DG63" s="101">
        <v>78</v>
      </c>
      <c r="DH63" s="168" t="s">
        <v>381</v>
      </c>
    </row>
    <row r="64" spans="1:112">
      <c r="A64" s="20">
        <f t="shared" si="6"/>
        <v>45804</v>
      </c>
      <c r="B64" s="12">
        <f>YEAR([1]!Input_Raw[[#This Row],[Date]])+IF(MONTH([1]!Input_Raw[[#This Row],[Date]])&gt;=4,1,0)</f>
        <v>2026</v>
      </c>
      <c r="C64" s="13">
        <f>YEAR([1]!Input_Raw[[#This Row],[Date]])</f>
        <v>2025</v>
      </c>
      <c r="D64" s="14">
        <f t="shared" si="5"/>
        <v>45778</v>
      </c>
      <c r="E64" s="13">
        <f>DAY(EOMONTH([1]!Input_Raw[[#This Row],[Date]],0))</f>
        <v>31</v>
      </c>
      <c r="F64" s="15">
        <v>8741</v>
      </c>
      <c r="G64" s="15">
        <v>10621</v>
      </c>
      <c r="H64" s="15">
        <v>10623</v>
      </c>
      <c r="I64" s="15">
        <v>10219</v>
      </c>
      <c r="J64" s="15">
        <v>11850</v>
      </c>
      <c r="K64" s="15">
        <v>10227</v>
      </c>
      <c r="L64" s="15">
        <v>10615</v>
      </c>
      <c r="M64" s="15">
        <v>10632</v>
      </c>
      <c r="N64" s="15">
        <v>14750</v>
      </c>
      <c r="O64" s="15">
        <v>10645</v>
      </c>
      <c r="P64" s="15">
        <v>10658</v>
      </c>
      <c r="Q64" s="15">
        <v>14755</v>
      </c>
      <c r="R64" s="15">
        <v>14752</v>
      </c>
      <c r="S64" s="15">
        <v>14749</v>
      </c>
      <c r="T64" s="15">
        <v>14754</v>
      </c>
      <c r="U64" s="15">
        <v>14758</v>
      </c>
      <c r="V64" s="15">
        <v>14762</v>
      </c>
      <c r="W64" s="15">
        <v>14742</v>
      </c>
      <c r="X64" s="15">
        <v>14782</v>
      </c>
      <c r="Y64" s="15">
        <v>12689</v>
      </c>
      <c r="Z64" s="15">
        <v>11856</v>
      </c>
      <c r="AA64" s="15">
        <v>11852</v>
      </c>
      <c r="AB64" s="15">
        <v>11811</v>
      </c>
      <c r="AC64" s="15">
        <v>11861</v>
      </c>
      <c r="AD64" s="15">
        <v>10450</v>
      </c>
      <c r="AE64" s="15">
        <v>11852</v>
      </c>
      <c r="AF64" s="15">
        <v>11859</v>
      </c>
      <c r="AG64" s="15">
        <v>0</v>
      </c>
      <c r="AH64" s="15">
        <v>10981</v>
      </c>
      <c r="AI64" s="15">
        <v>0</v>
      </c>
      <c r="AJ64" s="15">
        <v>10452</v>
      </c>
      <c r="AK64" s="15">
        <v>9572</v>
      </c>
      <c r="AL64" s="15">
        <v>10421</v>
      </c>
      <c r="AM64" s="15">
        <v>10465</v>
      </c>
      <c r="AN64" s="15">
        <v>10459</v>
      </c>
      <c r="AO64" s="15">
        <v>10456</v>
      </c>
      <c r="AP64" s="15">
        <v>10448</v>
      </c>
      <c r="AQ64" s="15">
        <v>10463</v>
      </c>
      <c r="AR64" s="15">
        <v>10465</v>
      </c>
      <c r="AS64" s="16">
        <v>4.8499999999999996</v>
      </c>
      <c r="AT64" s="16">
        <v>5.37</v>
      </c>
      <c r="AU64" s="16">
        <v>4.76</v>
      </c>
      <c r="AV64" s="16">
        <v>4.7699999999999996</v>
      </c>
      <c r="AW64" s="16">
        <v>5.09</v>
      </c>
      <c r="AX64" s="16">
        <v>5.19</v>
      </c>
      <c r="AY64" s="16">
        <v>4.8</v>
      </c>
      <c r="AZ64" s="16">
        <v>4.87</v>
      </c>
      <c r="BA64" s="16">
        <v>5.25</v>
      </c>
      <c r="BB64" s="16">
        <v>4.9800000000000004</v>
      </c>
      <c r="BC64" s="16">
        <v>5.45</v>
      </c>
      <c r="BD64" s="16">
        <v>5.28</v>
      </c>
      <c r="BE64" s="16">
        <v>5.32</v>
      </c>
      <c r="BF64" s="16">
        <v>5.14</v>
      </c>
      <c r="BG64" s="16">
        <v>5.09</v>
      </c>
      <c r="BH64" s="16">
        <v>5.27</v>
      </c>
      <c r="BI64" s="16">
        <v>5.07</v>
      </c>
      <c r="BJ64" s="16">
        <v>5.36</v>
      </c>
      <c r="BK64" s="16">
        <v>6.59</v>
      </c>
      <c r="BL64" s="16">
        <v>5.63</v>
      </c>
      <c r="BM64" s="16">
        <v>5.4</v>
      </c>
      <c r="BN64" s="16">
        <v>5.44</v>
      </c>
      <c r="BO64" s="16">
        <v>4.66</v>
      </c>
      <c r="BP64" s="16">
        <v>4.9800000000000004</v>
      </c>
      <c r="BQ64" s="16">
        <v>4.95</v>
      </c>
      <c r="BR64" s="16">
        <v>4.71</v>
      </c>
      <c r="BS64" s="16">
        <v>4.88</v>
      </c>
      <c r="BT64" s="16">
        <v>0</v>
      </c>
      <c r="BU64" s="16">
        <v>4.8600000000000003</v>
      </c>
      <c r="BV64" s="16">
        <v>0</v>
      </c>
      <c r="BW64" s="16">
        <v>4.59</v>
      </c>
      <c r="BX64" s="16">
        <v>4.7300000000000004</v>
      </c>
      <c r="BY64" s="16">
        <v>4.88</v>
      </c>
      <c r="BZ64" s="16">
        <v>4.88</v>
      </c>
      <c r="CA64" s="16">
        <v>5.07</v>
      </c>
      <c r="CB64" s="16">
        <v>5.05</v>
      </c>
      <c r="CC64" s="16">
        <v>4.83</v>
      </c>
      <c r="CD64" s="16">
        <v>4.74</v>
      </c>
      <c r="CE64" s="16">
        <v>5.01</v>
      </c>
      <c r="CF64" s="17">
        <f>SUM(Input_Raw[[#This Row],[G01]:[G40]])</f>
        <v>436047</v>
      </c>
      <c r="CG64" s="18">
        <f>IFERROR(AVERAGE(Input_Raw[[#This Row],[WS_G01]:[WS_G40]]),"")</f>
        <v>4.8151282051282047</v>
      </c>
      <c r="CH64" s="19"/>
      <c r="CI64" s="19"/>
      <c r="CJ64" s="15">
        <v>241168</v>
      </c>
      <c r="CK64" s="15">
        <v>2188</v>
      </c>
      <c r="CL64" s="15">
        <v>281059</v>
      </c>
      <c r="CM64" s="15">
        <v>2215</v>
      </c>
      <c r="CN64" s="15">
        <v>257271</v>
      </c>
      <c r="CO64" s="15">
        <v>1823</v>
      </c>
      <c r="CP64" s="15">
        <v>293325</v>
      </c>
      <c r="CQ64" s="15">
        <v>1868</v>
      </c>
      <c r="CR64" s="91">
        <f>IF(((Input_Raw[[#This Row],[33 kV_Wind_F1_Export reading]]-CJ63)*1200)&gt;0,(Input_Raw[[#This Row],[33 kV_Wind_F1_Export reading]]-CJ63)*1200,0)</f>
        <v>103200</v>
      </c>
      <c r="CS64" s="91">
        <f>IF(((Input_Raw[[#This Row],[33 kV_Wind_F1_Import reading]]-CK63)*1200)&gt;0,(Input_Raw[[#This Row],[33 kV_Wind_F1_Import reading]]-CK63)*1200,0)</f>
        <v>0</v>
      </c>
      <c r="CT64" s="91">
        <f>IF(((Input_Raw[[#This Row],[33 kV_Wind_F2_Export_reading]]-CL63)*1200)&gt;0,(Input_Raw[[#This Row],[33 kV_Wind_F2_Export_reading]]-CL63)*1200,0)</f>
        <v>93600</v>
      </c>
      <c r="CU64" s="91">
        <f>IF(((Input_Raw[[#This Row],[33 kV_Wind_F2_Import_reading]]-CM63)*1200)&gt;0,(Input_Raw[[#This Row],[33 kV_Wind_F2_Import_reading]]-CM63)*1200,0)</f>
        <v>0</v>
      </c>
      <c r="CV64" s="91">
        <f>IF(((Input_Raw[[#This Row],[33 kV_Wind_F3_Export_Reading]]-CN63)*1200)&gt;0,(Input_Raw[[#This Row],[33 kV_Wind_F3_Export_Reading]]-CN63)*1200,0)</f>
        <v>92400</v>
      </c>
      <c r="CW64" s="91">
        <f>IF(((Input_Raw[[#This Row],[33 kV_Wind_F3_Import_Reading]]-CO63)*1200)&gt;0,(Input_Raw[[#This Row],[33 kV_Wind_F3_Import_Reading]]-CO63)*1200,0)</f>
        <v>0</v>
      </c>
      <c r="CX64" s="91">
        <f>IF(((Input_Raw[[#This Row],[33 kV_Wind_F4_Export Reading]]-CP63)*1200)&gt;0,(Input_Raw[[#This Row],[33 kV_Wind_F4_Export Reading]]-CP63)*1200,0)</f>
        <v>145200</v>
      </c>
      <c r="CY64" s="91">
        <f>IF(((Input_Raw[[#This Row],[33 kV_Wind_F4_Import Reading]]-CQ63)*1200)&gt;0,(Input_Raw[[#This Row],[33 kV_Wind_F4_Import Reading]]-CQ63)*1200,0)</f>
        <v>0</v>
      </c>
      <c r="CZ64" s="91">
        <f>Input_Raw[[#This Row],[33 kV_F1_Total_Export (KWh)]]+Input_Raw[[#This Row],[33 kV_F2_Total_Export (KWh)2]]+Input_Raw[[#This Row],[33 kV_Wind_F3_Export (KWh)]]+Input_Raw[[#This Row],[33 kV_Wind_F4_Export (KWh)]]</f>
        <v>434400</v>
      </c>
      <c r="DA64" s="91">
        <f>Input_Raw[[#This Row],[33 kV_Wind_F1_Import (KWh)]]+Input_Raw[[#This Row],[33 kV_Wind_F2_Import (KWh)]]+Input_Raw[[#This Row],[33 kV_Wind_F3_Import (KWh)2]]+Input_Raw[[#This Row],[33 kV_Wind_F4_Import (KWh)2]]</f>
        <v>0</v>
      </c>
      <c r="DB64" s="21">
        <f>IFERROR(1-Input_Raw[[#This Row],[33 kV_Wind_Total_Export (KWh)]]/Input_Raw[[#This Row],[WTG Total Gneration (KWh)]],0)</f>
        <v>3.777115769630357E-3</v>
      </c>
      <c r="DC64" s="100">
        <v>96</v>
      </c>
      <c r="DD64" s="100">
        <v>86461</v>
      </c>
      <c r="DE64" s="102">
        <v>436.04</v>
      </c>
      <c r="DF64" s="99"/>
      <c r="DG64" s="101">
        <v>78</v>
      </c>
      <c r="DH64" s="168" t="s">
        <v>381</v>
      </c>
    </row>
    <row r="65" spans="1:112">
      <c r="A65" s="20">
        <f t="shared" si="6"/>
        <v>45805</v>
      </c>
      <c r="B65" s="12">
        <f>YEAR([1]!Input_Raw[[#This Row],[Date]])+IF(MONTH([1]!Input_Raw[[#This Row],[Date]])&gt;=4,1,0)</f>
        <v>2026</v>
      </c>
      <c r="C65" s="13">
        <f>YEAR([1]!Input_Raw[[#This Row],[Date]])</f>
        <v>2025</v>
      </c>
      <c r="D65" s="14">
        <f t="shared" si="5"/>
        <v>45778</v>
      </c>
      <c r="E65" s="13">
        <f>DAY(EOMONTH([1]!Input_Raw[[#This Row],[Date]],0))</f>
        <v>31</v>
      </c>
      <c r="F65" s="15">
        <v>5219</v>
      </c>
      <c r="G65" s="15">
        <v>16389</v>
      </c>
      <c r="H65" s="15">
        <v>16385</v>
      </c>
      <c r="I65" s="15">
        <v>16380</v>
      </c>
      <c r="J65" s="15">
        <v>9901</v>
      </c>
      <c r="K65" s="15">
        <v>16374</v>
      </c>
      <c r="L65" s="15">
        <v>15953</v>
      </c>
      <c r="M65" s="15">
        <v>16387</v>
      </c>
      <c r="N65" s="15">
        <v>13721</v>
      </c>
      <c r="O65" s="15">
        <v>16382</v>
      </c>
      <c r="P65" s="15">
        <v>16389</v>
      </c>
      <c r="Q65" s="15">
        <v>13750</v>
      </c>
      <c r="R65" s="15">
        <v>13752</v>
      </c>
      <c r="S65" s="15">
        <v>12032</v>
      </c>
      <c r="T65" s="15">
        <v>13759</v>
      </c>
      <c r="U65" s="15">
        <v>13021</v>
      </c>
      <c r="V65" s="15">
        <v>13752</v>
      </c>
      <c r="W65" s="15">
        <v>13744</v>
      </c>
      <c r="X65" s="15">
        <v>13759</v>
      </c>
      <c r="Y65" s="15">
        <v>13782</v>
      </c>
      <c r="Z65" s="15">
        <v>9957</v>
      </c>
      <c r="AA65" s="15">
        <v>9952</v>
      </c>
      <c r="AB65" s="15">
        <v>9932</v>
      </c>
      <c r="AC65" s="15">
        <v>9967</v>
      </c>
      <c r="AD65" s="15">
        <v>7450</v>
      </c>
      <c r="AE65" s="15">
        <v>9962</v>
      </c>
      <c r="AF65" s="15">
        <v>9969</v>
      </c>
      <c r="AG65" s="15">
        <v>0</v>
      </c>
      <c r="AH65" s="15">
        <v>9974</v>
      </c>
      <c r="AI65" s="15">
        <v>0</v>
      </c>
      <c r="AJ65" s="15">
        <v>7432</v>
      </c>
      <c r="AK65" s="15">
        <v>7021</v>
      </c>
      <c r="AL65" s="15">
        <v>7422</v>
      </c>
      <c r="AM65" s="15">
        <v>7437</v>
      </c>
      <c r="AN65" s="15">
        <v>7442</v>
      </c>
      <c r="AO65" s="15">
        <v>7445</v>
      </c>
      <c r="AP65" s="15">
        <v>7431</v>
      </c>
      <c r="AQ65" s="15">
        <v>7447</v>
      </c>
      <c r="AR65" s="15">
        <v>7451</v>
      </c>
      <c r="AS65" s="16">
        <v>4.7300000000000004</v>
      </c>
      <c r="AT65" s="16">
        <v>5.25</v>
      </c>
      <c r="AU65" s="16">
        <v>4.97</v>
      </c>
      <c r="AV65" s="16">
        <v>4.5599999999999996</v>
      </c>
      <c r="AW65" s="16">
        <v>4.53</v>
      </c>
      <c r="AX65" s="16">
        <v>5.13</v>
      </c>
      <c r="AY65" s="16">
        <v>4.74</v>
      </c>
      <c r="AZ65" s="16">
        <v>4.54</v>
      </c>
      <c r="BA65" s="16">
        <v>5.04</v>
      </c>
      <c r="BB65" s="16">
        <v>4.6500000000000004</v>
      </c>
      <c r="BC65" s="16">
        <v>5.08</v>
      </c>
      <c r="BD65" s="16">
        <v>5.09</v>
      </c>
      <c r="BE65" s="16">
        <v>5.15</v>
      </c>
      <c r="BF65" s="16">
        <v>6.01</v>
      </c>
      <c r="BG65" s="16">
        <v>4.79</v>
      </c>
      <c r="BH65" s="16">
        <v>4.63</v>
      </c>
      <c r="BI65" s="16">
        <v>4.4000000000000004</v>
      </c>
      <c r="BJ65" s="16">
        <v>4.6900000000000004</v>
      </c>
      <c r="BK65" s="16">
        <v>5.17</v>
      </c>
      <c r="BL65" s="16">
        <v>5.05</v>
      </c>
      <c r="BM65" s="16">
        <v>4.8</v>
      </c>
      <c r="BN65" s="16">
        <v>4.95</v>
      </c>
      <c r="BO65" s="16">
        <v>4.57</v>
      </c>
      <c r="BP65" s="16">
        <v>4.87</v>
      </c>
      <c r="BQ65" s="16">
        <v>4.67</v>
      </c>
      <c r="BR65" s="16">
        <v>4.45</v>
      </c>
      <c r="BS65" s="16">
        <v>4.4800000000000004</v>
      </c>
      <c r="BT65" s="16">
        <v>0</v>
      </c>
      <c r="BU65" s="16">
        <v>4.42</v>
      </c>
      <c r="BV65" s="16">
        <v>0</v>
      </c>
      <c r="BW65" s="16">
        <v>4.25</v>
      </c>
      <c r="BX65" s="16">
        <v>4.37</v>
      </c>
      <c r="BY65" s="16">
        <v>4.4800000000000004</v>
      </c>
      <c r="BZ65" s="16">
        <v>4.63</v>
      </c>
      <c r="CA65" s="16">
        <v>4.57</v>
      </c>
      <c r="CB65" s="16">
        <v>4.4400000000000004</v>
      </c>
      <c r="CC65" s="16">
        <v>4.53</v>
      </c>
      <c r="CD65" s="16">
        <v>4.53</v>
      </c>
      <c r="CE65" s="16">
        <v>4.67</v>
      </c>
      <c r="CF65" s="17">
        <f>SUM(Input_Raw[[#This Row],[G01]:[G40]])</f>
        <v>424522</v>
      </c>
      <c r="CG65" s="18">
        <f>IFERROR(AVERAGE(Input_Raw[[#This Row],[WS_G01]:[WS_G40]]),"")</f>
        <v>4.5097435897435885</v>
      </c>
      <c r="CH65" s="19"/>
      <c r="CI65" s="19"/>
      <c r="CJ65" s="15">
        <v>241229</v>
      </c>
      <c r="CK65" s="15">
        <v>2189</v>
      </c>
      <c r="CL65" s="15">
        <v>281125</v>
      </c>
      <c r="CM65" s="15">
        <v>2216</v>
      </c>
      <c r="CN65" s="15">
        <v>257382</v>
      </c>
      <c r="CO65" s="15">
        <v>1823</v>
      </c>
      <c r="CP65" s="15">
        <v>293437</v>
      </c>
      <c r="CQ65" s="15">
        <v>1869</v>
      </c>
      <c r="CR65" s="91">
        <f>IF(((Input_Raw[[#This Row],[33 kV_Wind_F1_Export reading]]-CJ64)*1200)&gt;0,(Input_Raw[[#This Row],[33 kV_Wind_F1_Export reading]]-CJ64)*1200,0)</f>
        <v>73200</v>
      </c>
      <c r="CS65" s="91">
        <f>IF(((Input_Raw[[#This Row],[33 kV_Wind_F1_Import reading]]-CK64)*1200)&gt;0,(Input_Raw[[#This Row],[33 kV_Wind_F1_Import reading]]-CK64)*1200,0)</f>
        <v>1200</v>
      </c>
      <c r="CT65" s="91">
        <f>IF(((Input_Raw[[#This Row],[33 kV_Wind_F2_Export_reading]]-CL64)*1200)&gt;0,(Input_Raw[[#This Row],[33 kV_Wind_F2_Export_reading]]-CL64)*1200,0)</f>
        <v>79200</v>
      </c>
      <c r="CU65" s="91">
        <f>IF(((Input_Raw[[#This Row],[33 kV_Wind_F2_Import_reading]]-CM64)*1200)&gt;0,(Input_Raw[[#This Row],[33 kV_Wind_F2_Import_reading]]-CM64)*1200,0)</f>
        <v>1200</v>
      </c>
      <c r="CV65" s="91">
        <f>IF(((Input_Raw[[#This Row],[33 kV_Wind_F3_Export_Reading]]-CN64)*1200)&gt;0,(Input_Raw[[#This Row],[33 kV_Wind_F3_Export_Reading]]-CN64)*1200,0)</f>
        <v>133200</v>
      </c>
      <c r="CW65" s="91">
        <f>IF(((Input_Raw[[#This Row],[33 kV_Wind_F3_Import_Reading]]-CO64)*1200)&gt;0,(Input_Raw[[#This Row],[33 kV_Wind_F3_Import_Reading]]-CO64)*1200,0)</f>
        <v>0</v>
      </c>
      <c r="CX65" s="91">
        <f>IF(((Input_Raw[[#This Row],[33 kV_Wind_F4_Export Reading]]-CP64)*1200)&gt;0,(Input_Raw[[#This Row],[33 kV_Wind_F4_Export Reading]]-CP64)*1200,0)</f>
        <v>134400</v>
      </c>
      <c r="CY65" s="91">
        <f>IF(((Input_Raw[[#This Row],[33 kV_Wind_F4_Import Reading]]-CQ64)*1200)&gt;0,(Input_Raw[[#This Row],[33 kV_Wind_F4_Import Reading]]-CQ64)*1200,0)</f>
        <v>1200</v>
      </c>
      <c r="CZ65" s="91">
        <f>Input_Raw[[#This Row],[33 kV_F1_Total_Export (KWh)]]+Input_Raw[[#This Row],[33 kV_F2_Total_Export (KWh)2]]+Input_Raw[[#This Row],[33 kV_Wind_F3_Export (KWh)]]+Input_Raw[[#This Row],[33 kV_Wind_F4_Export (KWh)]]</f>
        <v>420000</v>
      </c>
      <c r="DA65" s="91">
        <f>Input_Raw[[#This Row],[33 kV_Wind_F1_Import (KWh)]]+Input_Raw[[#This Row],[33 kV_Wind_F2_Import (KWh)]]+Input_Raw[[#This Row],[33 kV_Wind_F3_Import (KWh)2]]+Input_Raw[[#This Row],[33 kV_Wind_F4_Import (KWh)2]]</f>
        <v>3600</v>
      </c>
      <c r="DB65" s="21">
        <f>IFERROR(1-Input_Raw[[#This Row],[33 kV_Wind_Total_Export (KWh)]]/Input_Raw[[#This Row],[WTG Total Gneration (KWh)]],0)</f>
        <v>1.0651980344952627E-2</v>
      </c>
      <c r="DC65" s="100">
        <v>96</v>
      </c>
      <c r="DD65" s="100">
        <v>167998</v>
      </c>
      <c r="DE65" s="102">
        <v>424.52</v>
      </c>
      <c r="DF65" s="99"/>
      <c r="DG65" s="101">
        <v>78</v>
      </c>
      <c r="DH65" s="168" t="s">
        <v>381</v>
      </c>
    </row>
    <row r="66" spans="1:112">
      <c r="A66" s="20">
        <f t="shared" si="6"/>
        <v>45806</v>
      </c>
      <c r="B66" s="12">
        <f>YEAR([1]!Input_Raw[[#This Row],[Date]])+IF(MONTH([1]!Input_Raw[[#This Row],[Date]])&gt;=4,1,0)</f>
        <v>2026</v>
      </c>
      <c r="C66" s="13">
        <f>YEAR([1]!Input_Raw[[#This Row],[Date]])</f>
        <v>2025</v>
      </c>
      <c r="D66" s="14">
        <f t="shared" si="5"/>
        <v>45778</v>
      </c>
      <c r="E66" s="13">
        <f>DAY(EOMONTH([1]!Input_Raw[[#This Row],[Date]],0))</f>
        <v>31</v>
      </c>
      <c r="F66" s="15">
        <v>16456</v>
      </c>
      <c r="G66" s="15">
        <v>16445</v>
      </c>
      <c r="H66" s="15">
        <v>16454</v>
      </c>
      <c r="I66" s="15">
        <v>16001</v>
      </c>
      <c r="J66" s="15">
        <v>16466</v>
      </c>
      <c r="K66" s="15">
        <v>16423</v>
      </c>
      <c r="L66" s="15">
        <v>16427</v>
      </c>
      <c r="M66" s="15">
        <v>16421</v>
      </c>
      <c r="N66" s="15">
        <v>16001</v>
      </c>
      <c r="O66" s="15">
        <v>16456</v>
      </c>
      <c r="P66" s="15">
        <v>16467</v>
      </c>
      <c r="Q66" s="15">
        <v>16467</v>
      </c>
      <c r="R66" s="15">
        <v>12578</v>
      </c>
      <c r="S66" s="15">
        <v>14842</v>
      </c>
      <c r="T66" s="15">
        <v>16061</v>
      </c>
      <c r="U66" s="15">
        <v>16032</v>
      </c>
      <c r="V66" s="15">
        <v>16034</v>
      </c>
      <c r="W66" s="15">
        <v>16027</v>
      </c>
      <c r="X66" s="15">
        <v>16072</v>
      </c>
      <c r="Y66" s="15">
        <v>16085</v>
      </c>
      <c r="Z66" s="15">
        <v>12252</v>
      </c>
      <c r="AA66" s="15">
        <v>12256</v>
      </c>
      <c r="AB66" s="15">
        <v>12235</v>
      </c>
      <c r="AC66" s="15">
        <v>11021</v>
      </c>
      <c r="AD66" s="15">
        <v>13852</v>
      </c>
      <c r="AE66" s="15">
        <v>12264</v>
      </c>
      <c r="AF66" s="15">
        <v>12268</v>
      </c>
      <c r="AG66" s="15">
        <v>0</v>
      </c>
      <c r="AH66" s="15">
        <v>12276</v>
      </c>
      <c r="AI66" s="15">
        <v>0</v>
      </c>
      <c r="AJ66" s="15">
        <v>13863</v>
      </c>
      <c r="AK66" s="15">
        <v>10521</v>
      </c>
      <c r="AL66" s="15">
        <v>13853</v>
      </c>
      <c r="AM66" s="15">
        <v>13845</v>
      </c>
      <c r="AN66" s="15">
        <v>12853</v>
      </c>
      <c r="AO66" s="15">
        <v>13857</v>
      </c>
      <c r="AP66" s="15">
        <v>13839</v>
      </c>
      <c r="AQ66" s="15">
        <v>13879</v>
      </c>
      <c r="AR66" s="15">
        <v>13897</v>
      </c>
      <c r="AS66" s="16">
        <v>5.58</v>
      </c>
      <c r="AT66" s="16">
        <v>6.55</v>
      </c>
      <c r="AU66" s="16">
        <v>5.67</v>
      </c>
      <c r="AV66" s="16">
        <v>5.72</v>
      </c>
      <c r="AW66" s="16">
        <v>6.71</v>
      </c>
      <c r="AX66" s="16">
        <v>6.27</v>
      </c>
      <c r="AY66" s="16">
        <v>6</v>
      </c>
      <c r="AZ66" s="16">
        <v>5.79</v>
      </c>
      <c r="BA66" s="16">
        <v>6</v>
      </c>
      <c r="BB66" s="16">
        <v>6.65</v>
      </c>
      <c r="BC66" s="16">
        <v>5.98</v>
      </c>
      <c r="BD66" s="16">
        <v>6.36</v>
      </c>
      <c r="BE66" s="16">
        <v>6.31</v>
      </c>
      <c r="BF66" s="16">
        <v>5.42</v>
      </c>
      <c r="BG66" s="16">
        <v>6.29</v>
      </c>
      <c r="BH66" s="16">
        <v>6.5</v>
      </c>
      <c r="BI66" s="16">
        <v>6.63</v>
      </c>
      <c r="BJ66" s="16">
        <v>6.48</v>
      </c>
      <c r="BK66" s="16">
        <v>6.75</v>
      </c>
      <c r="BL66" s="16">
        <v>6.78</v>
      </c>
      <c r="BM66" s="16">
        <v>6.72</v>
      </c>
      <c r="BN66" s="16">
        <v>6.39</v>
      </c>
      <c r="BO66" s="16">
        <v>5.76</v>
      </c>
      <c r="BP66" s="16">
        <v>5.9</v>
      </c>
      <c r="BQ66" s="16">
        <v>6.3</v>
      </c>
      <c r="BR66" s="16">
        <v>5.66</v>
      </c>
      <c r="BS66" s="16">
        <v>5.5</v>
      </c>
      <c r="BT66" s="16">
        <v>0</v>
      </c>
      <c r="BU66" s="16">
        <v>5.28</v>
      </c>
      <c r="BV66" s="16">
        <v>0</v>
      </c>
      <c r="BW66" s="16">
        <v>5.85</v>
      </c>
      <c r="BX66" s="16">
        <v>5.65</v>
      </c>
      <c r="BY66" s="16">
        <v>5.63</v>
      </c>
      <c r="BZ66" s="16">
        <v>5.65</v>
      </c>
      <c r="CA66" s="16">
        <v>5.94</v>
      </c>
      <c r="CB66" s="16">
        <v>5.56</v>
      </c>
      <c r="CC66" s="16">
        <v>5.81</v>
      </c>
      <c r="CD66" s="16">
        <v>5.84</v>
      </c>
      <c r="CE66" s="16">
        <v>5.94</v>
      </c>
      <c r="CF66" s="17">
        <f>SUM(Input_Raw[[#This Row],[G01]:[G40]])</f>
        <v>539046</v>
      </c>
      <c r="CG66" s="18">
        <f>IFERROR(AVERAGE(Input_Raw[[#This Row],[WS_G01]:[WS_G40]]),"")</f>
        <v>5.7389743589743594</v>
      </c>
      <c r="CH66" s="19"/>
      <c r="CI66" s="19"/>
      <c r="CJ66" s="15">
        <v>241340</v>
      </c>
      <c r="CK66" s="15">
        <v>2189</v>
      </c>
      <c r="CL66" s="15">
        <v>281205</v>
      </c>
      <c r="CM66" s="15">
        <v>2216</v>
      </c>
      <c r="CN66" s="15">
        <v>257505</v>
      </c>
      <c r="CO66" s="15">
        <v>1823</v>
      </c>
      <c r="CP66" s="15">
        <v>293566</v>
      </c>
      <c r="CQ66" s="15">
        <v>1869</v>
      </c>
      <c r="CR66" s="91">
        <f>IF(((Input_Raw[[#This Row],[33 kV_Wind_F1_Export reading]]-CJ65)*1200)&gt;0,(Input_Raw[[#This Row],[33 kV_Wind_F1_Export reading]]-CJ65)*1200,0)</f>
        <v>133200</v>
      </c>
      <c r="CS66" s="91">
        <f>IF(((Input_Raw[[#This Row],[33 kV_Wind_F1_Import reading]]-CK65)*1200)&gt;0,(Input_Raw[[#This Row],[33 kV_Wind_F1_Import reading]]-CK65)*1200,0)</f>
        <v>0</v>
      </c>
      <c r="CT66" s="91">
        <f>IF(((Input_Raw[[#This Row],[33 kV_Wind_F2_Export_reading]]-CL65)*1200)&gt;0,(Input_Raw[[#This Row],[33 kV_Wind_F2_Export_reading]]-CL65)*1200,0)</f>
        <v>96000</v>
      </c>
      <c r="CU66" s="91">
        <f>IF(((Input_Raw[[#This Row],[33 kV_Wind_F2_Import_reading]]-CM65)*1200)&gt;0,(Input_Raw[[#This Row],[33 kV_Wind_F2_Import_reading]]-CM65)*1200,0)</f>
        <v>0</v>
      </c>
      <c r="CV66" s="91">
        <f>IF(((Input_Raw[[#This Row],[33 kV_Wind_F3_Export_Reading]]-CN65)*1200)&gt;0,(Input_Raw[[#This Row],[33 kV_Wind_F3_Export_Reading]]-CN65)*1200,0)</f>
        <v>147600</v>
      </c>
      <c r="CW66" s="91">
        <f>IF(((Input_Raw[[#This Row],[33 kV_Wind_F3_Import_Reading]]-CO65)*1200)&gt;0,(Input_Raw[[#This Row],[33 kV_Wind_F3_Import_Reading]]-CO65)*1200,0)</f>
        <v>0</v>
      </c>
      <c r="CX66" s="91">
        <f>IF(((Input_Raw[[#This Row],[33 kV_Wind_F4_Export Reading]]-CP65)*1200)&gt;0,(Input_Raw[[#This Row],[33 kV_Wind_F4_Export Reading]]-CP65)*1200,0)</f>
        <v>154800</v>
      </c>
      <c r="CY66" s="91">
        <f>IF(((Input_Raw[[#This Row],[33 kV_Wind_F4_Import Reading]]-CQ65)*1200)&gt;0,(Input_Raw[[#This Row],[33 kV_Wind_F4_Import Reading]]-CQ65)*1200,0)</f>
        <v>0</v>
      </c>
      <c r="CZ66" s="91">
        <f>Input_Raw[[#This Row],[33 kV_F1_Total_Export (KWh)]]+Input_Raw[[#This Row],[33 kV_F2_Total_Export (KWh)2]]+Input_Raw[[#This Row],[33 kV_Wind_F3_Export (KWh)]]+Input_Raw[[#This Row],[33 kV_Wind_F4_Export (KWh)]]</f>
        <v>531600</v>
      </c>
      <c r="DA66" s="91">
        <f>Input_Raw[[#This Row],[33 kV_Wind_F1_Import (KWh)]]+Input_Raw[[#This Row],[33 kV_Wind_F2_Import (KWh)]]+Input_Raw[[#This Row],[33 kV_Wind_F3_Import (KWh)2]]+Input_Raw[[#This Row],[33 kV_Wind_F4_Import (KWh)2]]</f>
        <v>0</v>
      </c>
      <c r="DB66" s="21">
        <f>IFERROR(1-Input_Raw[[#This Row],[33 kV_Wind_Total_Export (KWh)]]/Input_Raw[[#This Row],[WTG Total Gneration (KWh)]],0)</f>
        <v>1.3813292372079511E-2</v>
      </c>
      <c r="DC66" s="100">
        <v>96</v>
      </c>
      <c r="DD66" s="100">
        <v>52674</v>
      </c>
      <c r="DE66" s="102">
        <v>539.04</v>
      </c>
      <c r="DF66" s="99"/>
      <c r="DG66" s="101">
        <v>78</v>
      </c>
      <c r="DH66" s="168" t="s">
        <v>381</v>
      </c>
    </row>
    <row r="67" spans="1:112">
      <c r="A67" s="20">
        <f t="shared" si="6"/>
        <v>45807</v>
      </c>
      <c r="B67" s="12">
        <f>YEAR([1]!Input_Raw[[#This Row],[Date]])+IF(MONTH([1]!Input_Raw[[#This Row],[Date]])&gt;=4,1,0)</f>
        <v>2026</v>
      </c>
      <c r="C67" s="13">
        <f>YEAR([1]!Input_Raw[[#This Row],[Date]])</f>
        <v>2025</v>
      </c>
      <c r="D67" s="14">
        <f t="shared" si="5"/>
        <v>45778</v>
      </c>
      <c r="E67" s="13">
        <f>DAY(EOMONTH([1]!Input_Raw[[#This Row],[Date]],0))</f>
        <v>31</v>
      </c>
      <c r="F67" s="15">
        <v>15835</v>
      </c>
      <c r="G67" s="15">
        <v>14321</v>
      </c>
      <c r="H67" s="15">
        <v>15869</v>
      </c>
      <c r="I67" s="15">
        <v>14797</v>
      </c>
      <c r="J67" s="15">
        <v>11790</v>
      </c>
      <c r="K67" s="15">
        <v>15894</v>
      </c>
      <c r="L67" s="15">
        <v>15864</v>
      </c>
      <c r="M67" s="15">
        <v>15892</v>
      </c>
      <c r="N67" s="15">
        <v>18652</v>
      </c>
      <c r="O67" s="15">
        <v>15889</v>
      </c>
      <c r="P67" s="15">
        <v>15896</v>
      </c>
      <c r="Q67" s="15">
        <v>18632</v>
      </c>
      <c r="R67" s="15">
        <v>18643</v>
      </c>
      <c r="S67" s="15">
        <v>18645</v>
      </c>
      <c r="T67" s="15">
        <v>18665</v>
      </c>
      <c r="U67" s="15">
        <v>17521</v>
      </c>
      <c r="V67" s="15">
        <v>18675</v>
      </c>
      <c r="W67" s="15">
        <v>18653</v>
      </c>
      <c r="X67" s="15">
        <v>18678</v>
      </c>
      <c r="Y67" s="15">
        <v>18692</v>
      </c>
      <c r="Z67" s="15">
        <v>11789</v>
      </c>
      <c r="AA67" s="15">
        <v>11797</v>
      </c>
      <c r="AB67" s="15">
        <v>11735</v>
      </c>
      <c r="AC67" s="15">
        <v>8749</v>
      </c>
      <c r="AD67" s="15">
        <v>13604</v>
      </c>
      <c r="AE67" s="15">
        <v>11795</v>
      </c>
      <c r="AF67" s="15">
        <v>10990</v>
      </c>
      <c r="AG67" s="15">
        <v>0</v>
      </c>
      <c r="AH67" s="15">
        <v>11786</v>
      </c>
      <c r="AI67" s="15">
        <v>0</v>
      </c>
      <c r="AJ67" s="15">
        <v>13631</v>
      </c>
      <c r="AK67" s="15">
        <v>13656</v>
      </c>
      <c r="AL67" s="15">
        <v>13621</v>
      </c>
      <c r="AM67" s="15">
        <v>13645</v>
      </c>
      <c r="AN67" s="15">
        <v>13652</v>
      </c>
      <c r="AO67" s="15">
        <v>13642</v>
      </c>
      <c r="AP67" s="15">
        <v>13625</v>
      </c>
      <c r="AQ67" s="15">
        <v>13647</v>
      </c>
      <c r="AR67" s="15">
        <v>13664</v>
      </c>
      <c r="AS67" s="89">
        <v>5.8621319444444415</v>
      </c>
      <c r="AT67" s="16">
        <v>6.3055555555555545</v>
      </c>
      <c r="AU67" s="16">
        <v>5.2876624999999988</v>
      </c>
      <c r="AV67" s="16">
        <v>5.3705000000000007</v>
      </c>
      <c r="AW67" s="16">
        <v>5.0465361111111111</v>
      </c>
      <c r="AX67" s="16">
        <v>5.8957361111111117</v>
      </c>
      <c r="AY67" s="16">
        <v>5.8957361111111117</v>
      </c>
      <c r="AZ67" s="16">
        <v>5.8117013888888884</v>
      </c>
      <c r="BA67" s="16">
        <v>6.2648402777777781</v>
      </c>
      <c r="BB67" s="16">
        <v>4.8664374999999991</v>
      </c>
      <c r="BC67" s="16">
        <v>5.6271666666666667</v>
      </c>
      <c r="BD67" s="16">
        <v>5.7042083333333338</v>
      </c>
      <c r="BE67" s="16">
        <v>5.521229166666668</v>
      </c>
      <c r="BF67" s="16">
        <v>5.7344027777777802</v>
      </c>
      <c r="BG67" s="16">
        <v>6.0184652777777803</v>
      </c>
      <c r="BH67" s="16">
        <v>5.5627708333333317</v>
      </c>
      <c r="BI67" s="16">
        <v>6.2912430555555545</v>
      </c>
      <c r="BJ67" s="16">
        <v>5.945188888888886</v>
      </c>
      <c r="BK67" s="16">
        <v>6.109395833333334</v>
      </c>
      <c r="BL67" s="16">
        <v>6.4610694444444432</v>
      </c>
      <c r="BM67" s="16">
        <v>5.9728426086956548</v>
      </c>
      <c r="BN67" s="16">
        <v>4.9143090909090903</v>
      </c>
      <c r="BO67" s="16">
        <v>5.1144638888888885</v>
      </c>
      <c r="BP67" s="16">
        <v>5.3359777777777788</v>
      </c>
      <c r="BQ67" s="16">
        <v>5.0754985294117674</v>
      </c>
      <c r="BR67" s="16">
        <v>5.3434958333333338</v>
      </c>
      <c r="BS67" s="16">
        <v>5.0553076388888858</v>
      </c>
      <c r="BT67" s="16">
        <v>0</v>
      </c>
      <c r="BU67" s="16">
        <v>5</v>
      </c>
      <c r="BV67" s="16">
        <v>0</v>
      </c>
      <c r="BW67" s="16">
        <v>4.9429823529411756</v>
      </c>
      <c r="BX67" s="16">
        <v>4.9764632352941165</v>
      </c>
      <c r="BY67" s="16">
        <v>5.2576333333333336</v>
      </c>
      <c r="BZ67" s="16">
        <v>5.670325663716814</v>
      </c>
      <c r="CA67" s="16">
        <v>5.5863234234234236</v>
      </c>
      <c r="CB67" s="16">
        <v>5.4673336283185847</v>
      </c>
      <c r="CC67" s="16">
        <v>5.2683985294117646</v>
      </c>
      <c r="CD67" s="16">
        <v>5.2848022058823538</v>
      </c>
      <c r="CE67" s="16">
        <v>5.2838499999999984</v>
      </c>
      <c r="CF67" s="17">
        <f>SUM(Input_Raw[[#This Row],[G01]:[G40]])</f>
        <v>552531</v>
      </c>
      <c r="CG67" s="18">
        <f>IFERROR(AVERAGE(Input_Raw[[#This Row],[WS_G01]:[WS_G40]]),"")</f>
        <v>5.25979450046166</v>
      </c>
      <c r="CH67" s="19"/>
      <c r="CI67" s="19"/>
      <c r="CJ67" s="15">
        <v>241453</v>
      </c>
      <c r="CK67" s="15">
        <v>2189</v>
      </c>
      <c r="CL67" s="15">
        <v>281280</v>
      </c>
      <c r="CM67" s="15">
        <v>2216</v>
      </c>
      <c r="CN67" s="15">
        <v>257621</v>
      </c>
      <c r="CO67" s="15">
        <v>1823</v>
      </c>
      <c r="CP67" s="15">
        <v>293720</v>
      </c>
      <c r="CQ67" s="15">
        <v>1869</v>
      </c>
      <c r="CR67" s="91">
        <f>IF(((Input_Raw[[#This Row],[33 kV_Wind_F1_Export reading]]-CJ66)*1200)&gt;0,(Input_Raw[[#This Row],[33 kV_Wind_F1_Export reading]]-CJ66)*1200,0)</f>
        <v>135600</v>
      </c>
      <c r="CS67" s="91">
        <f>IF(((Input_Raw[[#This Row],[33 kV_Wind_F1_Import reading]]-CK66)*1200)&gt;0,(Input_Raw[[#This Row],[33 kV_Wind_F1_Import reading]]-CK66)*1200,0)</f>
        <v>0</v>
      </c>
      <c r="CT67" s="91">
        <f>IF(((Input_Raw[[#This Row],[33 kV_Wind_F2_Export_reading]]-CL66)*1200)&gt;0,(Input_Raw[[#This Row],[33 kV_Wind_F2_Export_reading]]-CL66)*1200,0)</f>
        <v>90000</v>
      </c>
      <c r="CU67" s="91">
        <f>IF(((Input_Raw[[#This Row],[33 kV_Wind_F2_Import_reading]]-CM66)*1200)&gt;0,(Input_Raw[[#This Row],[33 kV_Wind_F2_Import_reading]]-CM66)*1200,0)</f>
        <v>0</v>
      </c>
      <c r="CV67" s="91">
        <f>IF(((Input_Raw[[#This Row],[33 kV_Wind_F3_Export_Reading]]-CN66)*1200)&gt;0,(Input_Raw[[#This Row],[33 kV_Wind_F3_Export_Reading]]-CN66)*1200,0)</f>
        <v>139200</v>
      </c>
      <c r="CW67" s="91">
        <f>IF(((Input_Raw[[#This Row],[33 kV_Wind_F3_Import_Reading]]-CO66)*1200)&gt;0,(Input_Raw[[#This Row],[33 kV_Wind_F3_Import_Reading]]-CO66)*1200,0)</f>
        <v>0</v>
      </c>
      <c r="CX67" s="91">
        <f>IF(((Input_Raw[[#This Row],[33 kV_Wind_F4_Export Reading]]-CP66)*1200)&gt;0,(Input_Raw[[#This Row],[33 kV_Wind_F4_Export Reading]]-CP66)*1200,0)</f>
        <v>184800</v>
      </c>
      <c r="CY67" s="91">
        <f>IF(((Input_Raw[[#This Row],[33 kV_Wind_F4_Import Reading]]-CQ66)*1200)&gt;0,(Input_Raw[[#This Row],[33 kV_Wind_F4_Import Reading]]-CQ66)*1200,0)</f>
        <v>0</v>
      </c>
      <c r="CZ67" s="91">
        <f>Input_Raw[[#This Row],[33 kV_F1_Total_Export (KWh)]]+Input_Raw[[#This Row],[33 kV_F2_Total_Export (KWh)2]]+Input_Raw[[#This Row],[33 kV_Wind_F3_Export (KWh)]]+Input_Raw[[#This Row],[33 kV_Wind_F4_Export (KWh)]]</f>
        <v>549600</v>
      </c>
      <c r="DA67" s="91">
        <f>Input_Raw[[#This Row],[33 kV_Wind_F1_Import (KWh)]]+Input_Raw[[#This Row],[33 kV_Wind_F2_Import (KWh)]]+Input_Raw[[#This Row],[33 kV_Wind_F3_Import (KWh)2]]+Input_Raw[[#This Row],[33 kV_Wind_F4_Import (KWh)2]]</f>
        <v>0</v>
      </c>
      <c r="DB67" s="21">
        <f>IFERROR(1-Input_Raw[[#This Row],[33 kV_Wind_Total_Export (KWh)]]/Input_Raw[[#This Row],[WTG Total Gneration (KWh)]],0)</f>
        <v>5.3046797374265431E-3</v>
      </c>
      <c r="DC67" s="100">
        <v>96</v>
      </c>
      <c r="DD67" s="100">
        <v>111665</v>
      </c>
      <c r="DE67" s="102">
        <v>552.53</v>
      </c>
      <c r="DF67" s="99"/>
      <c r="DG67" s="101">
        <v>78</v>
      </c>
      <c r="DH67" s="168" t="s">
        <v>381</v>
      </c>
    </row>
    <row r="68" spans="1:112">
      <c r="A68" s="20">
        <f t="shared" si="6"/>
        <v>45808</v>
      </c>
      <c r="B68" s="12">
        <f>YEAR([1]!Input_Raw[[#This Row],[Date]])+IF(MONTH([1]!Input_Raw[[#This Row],[Date]])&gt;=4,1,0)</f>
        <v>2026</v>
      </c>
      <c r="C68" s="13">
        <f>YEAR([1]!Input_Raw[[#This Row],[Date]])</f>
        <v>2025</v>
      </c>
      <c r="D68" s="14">
        <f t="shared" si="5"/>
        <v>45778</v>
      </c>
      <c r="E68" s="13">
        <f>DAY(EOMONTH([1]!Input_Raw[[#This Row],[Date]],0))</f>
        <v>31</v>
      </c>
      <c r="F68" s="15">
        <v>27801</v>
      </c>
      <c r="G68" s="15">
        <v>27807</v>
      </c>
      <c r="H68" s="15">
        <v>27806</v>
      </c>
      <c r="I68" s="15">
        <v>27819</v>
      </c>
      <c r="J68" s="15">
        <v>17106</v>
      </c>
      <c r="K68" s="15">
        <v>27841</v>
      </c>
      <c r="L68" s="15">
        <v>27854</v>
      </c>
      <c r="M68" s="15">
        <v>27867</v>
      </c>
      <c r="N68" s="15">
        <v>26901</v>
      </c>
      <c r="O68" s="15">
        <v>27878</v>
      </c>
      <c r="P68" s="15">
        <v>27897</v>
      </c>
      <c r="Q68" s="15">
        <v>24649</v>
      </c>
      <c r="R68" s="15">
        <v>26906</v>
      </c>
      <c r="S68" s="15">
        <v>26909</v>
      </c>
      <c r="T68" s="15">
        <v>26945</v>
      </c>
      <c r="U68" s="15">
        <v>26942</v>
      </c>
      <c r="V68" s="15">
        <v>26963</v>
      </c>
      <c r="W68" s="15">
        <v>26942</v>
      </c>
      <c r="X68" s="15">
        <v>26983</v>
      </c>
      <c r="Y68" s="15">
        <v>26997</v>
      </c>
      <c r="Z68" s="15">
        <v>17115</v>
      </c>
      <c r="AA68" s="15">
        <v>17167</v>
      </c>
      <c r="AB68" s="15">
        <v>17109</v>
      </c>
      <c r="AC68" s="15">
        <v>15902</v>
      </c>
      <c r="AD68" s="15">
        <v>15980</v>
      </c>
      <c r="AE68" s="15">
        <v>17190</v>
      </c>
      <c r="AF68" s="15">
        <v>17189</v>
      </c>
      <c r="AG68" s="15">
        <v>0</v>
      </c>
      <c r="AH68" s="15">
        <v>17192</v>
      </c>
      <c r="AI68" s="15">
        <v>0</v>
      </c>
      <c r="AJ68" s="15">
        <v>17851</v>
      </c>
      <c r="AK68" s="15">
        <v>17832</v>
      </c>
      <c r="AL68" s="15">
        <v>17842</v>
      </c>
      <c r="AM68" s="15">
        <v>17821</v>
      </c>
      <c r="AN68" s="15">
        <v>17300</v>
      </c>
      <c r="AO68" s="15">
        <v>17839</v>
      </c>
      <c r="AP68" s="15">
        <v>17847</v>
      </c>
      <c r="AQ68" s="15">
        <v>17852</v>
      </c>
      <c r="AR68" s="15">
        <v>17869</v>
      </c>
      <c r="AS68" s="16">
        <v>7.28</v>
      </c>
      <c r="AT68" s="16">
        <v>7.74</v>
      </c>
      <c r="AU68" s="16">
        <v>7.38</v>
      </c>
      <c r="AV68" s="16">
        <v>7.5</v>
      </c>
      <c r="AW68" s="16">
        <v>6.95</v>
      </c>
      <c r="AX68" s="16">
        <v>6.64</v>
      </c>
      <c r="AY68" s="89">
        <v>0</v>
      </c>
      <c r="AZ68" s="16">
        <v>7.59</v>
      </c>
      <c r="BA68" s="16">
        <v>7.79</v>
      </c>
      <c r="BB68" s="16">
        <v>7.37</v>
      </c>
      <c r="BC68" s="16">
        <v>7.73</v>
      </c>
      <c r="BD68" s="16">
        <v>7.52</v>
      </c>
      <c r="BE68" s="16">
        <v>7.72</v>
      </c>
      <c r="BF68" s="16">
        <v>7.67</v>
      </c>
      <c r="BG68" s="16">
        <v>7.75</v>
      </c>
      <c r="BH68" s="16">
        <v>7.66</v>
      </c>
      <c r="BI68" s="16">
        <v>8.3800000000000008</v>
      </c>
      <c r="BJ68" s="16">
        <v>7.44</v>
      </c>
      <c r="BK68" s="16">
        <v>8.44</v>
      </c>
      <c r="BL68" s="16">
        <v>7.02</v>
      </c>
      <c r="BM68" s="16">
        <v>6.9</v>
      </c>
      <c r="BN68" s="16">
        <v>7.2</v>
      </c>
      <c r="BO68" s="16">
        <v>7.24</v>
      </c>
      <c r="BP68" s="16">
        <v>7.4</v>
      </c>
      <c r="BQ68" s="16">
        <v>7.39</v>
      </c>
      <c r="BR68" s="16">
        <v>7.05</v>
      </c>
      <c r="BS68" s="16">
        <v>6.74</v>
      </c>
      <c r="BT68" s="16">
        <v>0</v>
      </c>
      <c r="BU68" s="16">
        <v>7.37</v>
      </c>
      <c r="BV68" s="16">
        <v>0</v>
      </c>
      <c r="BW68" s="16">
        <v>6.79</v>
      </c>
      <c r="BX68" s="16">
        <v>6.65</v>
      </c>
      <c r="BY68" s="16">
        <v>6.54</v>
      </c>
      <c r="BZ68" s="16">
        <v>7.02</v>
      </c>
      <c r="CA68" s="16">
        <v>7.65</v>
      </c>
      <c r="CB68" s="16">
        <v>7.66</v>
      </c>
      <c r="CC68" s="16">
        <v>6.74</v>
      </c>
      <c r="CD68" s="16">
        <v>6.53</v>
      </c>
      <c r="CE68" s="16">
        <v>7.19</v>
      </c>
      <c r="CF68" s="17">
        <f>SUM(Input_Raw[[#This Row],[G01]:[G40]])</f>
        <v>829710</v>
      </c>
      <c r="CG68" s="18">
        <f>IFERROR(AVERAGE(Input_Raw[[#This Row],[WS_G01]:[WS_G40]]),"")</f>
        <v>6.7597435897435894</v>
      </c>
      <c r="CH68" s="19"/>
      <c r="CI68" s="19"/>
      <c r="CJ68" s="15">
        <v>241599</v>
      </c>
      <c r="CK68" s="15">
        <v>2189</v>
      </c>
      <c r="CL68" s="15">
        <v>281393</v>
      </c>
      <c r="CM68" s="15">
        <v>2216</v>
      </c>
      <c r="CN68" s="15">
        <v>257829</v>
      </c>
      <c r="CO68" s="15">
        <v>1823</v>
      </c>
      <c r="CP68" s="15">
        <v>293942</v>
      </c>
      <c r="CQ68" s="15">
        <v>1869</v>
      </c>
      <c r="CR68" s="91">
        <f>IF(((Input_Raw[[#This Row],[33 kV_Wind_F1_Export reading]]-CJ67)*1200)&gt;0,(Input_Raw[[#This Row],[33 kV_Wind_F1_Export reading]]-CJ67)*1200,0)</f>
        <v>175200</v>
      </c>
      <c r="CS68" s="91">
        <f>IF(((Input_Raw[[#This Row],[33 kV_Wind_F1_Import reading]]-CK67)*1200)&gt;0,(Input_Raw[[#This Row],[33 kV_Wind_F1_Import reading]]-CK67)*1200,0)</f>
        <v>0</v>
      </c>
      <c r="CT68" s="91">
        <f>IF(((Input_Raw[[#This Row],[33 kV_Wind_F2_Export_reading]]-CL67)*1200)&gt;0,(Input_Raw[[#This Row],[33 kV_Wind_F2_Export_reading]]-CL67)*1200,0)</f>
        <v>135600</v>
      </c>
      <c r="CU68" s="91">
        <f>IF(((Input_Raw[[#This Row],[33 kV_Wind_F2_Import_reading]]-CM67)*1200)&gt;0,(Input_Raw[[#This Row],[33 kV_Wind_F2_Import_reading]]-CM67)*1200,0)</f>
        <v>0</v>
      </c>
      <c r="CV68" s="91">
        <f>IF(((Input_Raw[[#This Row],[33 kV_Wind_F3_Export_Reading]]-CN67)*1200)&gt;0,(Input_Raw[[#This Row],[33 kV_Wind_F3_Export_Reading]]-CN67)*1200,0)</f>
        <v>249600</v>
      </c>
      <c r="CW68" s="91">
        <f>IF(((Input_Raw[[#This Row],[33 kV_Wind_F3_Import_Reading]]-CO67)*1200)&gt;0,(Input_Raw[[#This Row],[33 kV_Wind_F3_Import_Reading]]-CO67)*1200,0)</f>
        <v>0</v>
      </c>
      <c r="CX68" s="91">
        <f>IF(((Input_Raw[[#This Row],[33 kV_Wind_F4_Export Reading]]-CP67)*1200)&gt;0,(Input_Raw[[#This Row],[33 kV_Wind_F4_Export Reading]]-CP67)*1200,0)</f>
        <v>266400</v>
      </c>
      <c r="CY68" s="91">
        <f>IF(((Input_Raw[[#This Row],[33 kV_Wind_F4_Import Reading]]-CQ67)*1200)&gt;0,(Input_Raw[[#This Row],[33 kV_Wind_F4_Import Reading]]-CQ67)*1200,0)</f>
        <v>0</v>
      </c>
      <c r="CZ68" s="91">
        <f>Input_Raw[[#This Row],[33 kV_F1_Total_Export (KWh)]]+Input_Raw[[#This Row],[33 kV_F2_Total_Export (KWh)2]]+Input_Raw[[#This Row],[33 kV_Wind_F3_Export (KWh)]]+Input_Raw[[#This Row],[33 kV_Wind_F4_Export (KWh)]]</f>
        <v>826800</v>
      </c>
      <c r="DA68" s="91">
        <f>Input_Raw[[#This Row],[33 kV_Wind_F1_Import (KWh)]]+Input_Raw[[#This Row],[33 kV_Wind_F2_Import (KWh)]]+Input_Raw[[#This Row],[33 kV_Wind_F3_Import (KWh)2]]+Input_Raw[[#This Row],[33 kV_Wind_F4_Import (KWh)2]]</f>
        <v>0</v>
      </c>
      <c r="DB68" s="21">
        <f>IFERROR(1-Input_Raw[[#This Row],[33 kV_Wind_Total_Export (KWh)]]/Input_Raw[[#This Row],[WTG Total Gneration (KWh)]],0)</f>
        <v>3.5072495209169663E-3</v>
      </c>
      <c r="DC68" s="100">
        <v>96</v>
      </c>
      <c r="DD68" s="100">
        <v>291053</v>
      </c>
      <c r="DE68" s="102">
        <v>829.71</v>
      </c>
      <c r="DF68" s="99"/>
      <c r="DG68" s="101">
        <v>78</v>
      </c>
      <c r="DH68" s="168" t="s">
        <v>381</v>
      </c>
    </row>
    <row r="69" spans="1:112">
      <c r="A69" s="20">
        <f t="shared" si="6"/>
        <v>45809</v>
      </c>
      <c r="B69" s="12">
        <f>YEAR([1]!Input_Raw[[#This Row],[Date]])+IF(MONTH([1]!Input_Raw[[#This Row],[Date]])&gt;=4,1,0)</f>
        <v>2026</v>
      </c>
      <c r="C69" s="13">
        <f>YEAR([1]!Input_Raw[[#This Row],[Date]])</f>
        <v>2025</v>
      </c>
      <c r="D69" s="14">
        <f t="shared" si="5"/>
        <v>45809</v>
      </c>
      <c r="E69" s="13">
        <f>DAY(EOMONTH([1]!Input_Raw[[#This Row],[Date]],0))</f>
        <v>30</v>
      </c>
      <c r="F69" s="15">
        <v>25119</v>
      </c>
      <c r="G69" s="15">
        <v>25121</v>
      </c>
      <c r="H69" s="15">
        <v>25115</v>
      </c>
      <c r="I69" s="15">
        <v>25122</v>
      </c>
      <c r="J69" s="15">
        <v>19223</v>
      </c>
      <c r="K69" s="15">
        <v>25134</v>
      </c>
      <c r="L69" s="15">
        <v>25123</v>
      </c>
      <c r="M69" s="15">
        <v>25131</v>
      </c>
      <c r="N69" s="15">
        <v>20263</v>
      </c>
      <c r="O69" s="15">
        <v>25165</v>
      </c>
      <c r="P69" s="15">
        <v>25172</v>
      </c>
      <c r="Q69" s="15">
        <v>23119</v>
      </c>
      <c r="R69" s="15">
        <v>23112</v>
      </c>
      <c r="S69" s="15">
        <v>23132</v>
      </c>
      <c r="T69" s="15">
        <v>23145</v>
      </c>
      <c r="U69" s="15">
        <v>23144</v>
      </c>
      <c r="V69" s="15">
        <v>23151</v>
      </c>
      <c r="W69" s="15">
        <v>23134</v>
      </c>
      <c r="X69" s="15">
        <v>23167</v>
      </c>
      <c r="Y69" s="15">
        <v>23178</v>
      </c>
      <c r="Z69" s="15">
        <v>19243</v>
      </c>
      <c r="AA69" s="15">
        <v>18521</v>
      </c>
      <c r="AB69" s="15">
        <v>18501</v>
      </c>
      <c r="AC69" s="15">
        <v>18509</v>
      </c>
      <c r="AD69" s="15">
        <v>17921</v>
      </c>
      <c r="AE69" s="15">
        <v>19245</v>
      </c>
      <c r="AF69" s="15">
        <v>19252</v>
      </c>
      <c r="AG69" s="15">
        <v>0</v>
      </c>
      <c r="AH69" s="15">
        <v>19267</v>
      </c>
      <c r="AI69" s="15">
        <v>0</v>
      </c>
      <c r="AJ69" s="15">
        <v>17945</v>
      </c>
      <c r="AK69" s="15">
        <v>17924</v>
      </c>
      <c r="AL69" s="15">
        <v>17952</v>
      </c>
      <c r="AM69" s="15">
        <v>17946</v>
      </c>
      <c r="AN69" s="15">
        <v>17956</v>
      </c>
      <c r="AO69" s="15">
        <v>17949</v>
      </c>
      <c r="AP69" s="15">
        <v>17932</v>
      </c>
      <c r="AQ69" s="15">
        <v>17967</v>
      </c>
      <c r="AR69" s="15">
        <v>17959</v>
      </c>
      <c r="AS69" s="16">
        <v>7.13</v>
      </c>
      <c r="AT69" s="16">
        <v>7.22</v>
      </c>
      <c r="AU69" s="16">
        <v>7.2</v>
      </c>
      <c r="AV69" s="16">
        <v>7.2</v>
      </c>
      <c r="AW69" s="16">
        <v>6.86</v>
      </c>
      <c r="AX69" s="16">
        <v>6.84</v>
      </c>
      <c r="AY69" s="16">
        <v>7.52</v>
      </c>
      <c r="AZ69" s="16">
        <v>7.38</v>
      </c>
      <c r="BA69" s="16">
        <v>7.33</v>
      </c>
      <c r="BB69" s="16">
        <v>7.21</v>
      </c>
      <c r="BC69" s="16">
        <v>7.51</v>
      </c>
      <c r="BD69" s="16">
        <v>7.19</v>
      </c>
      <c r="BE69" s="16">
        <v>7.34</v>
      </c>
      <c r="BF69" s="16">
        <v>7.41</v>
      </c>
      <c r="BG69" s="16">
        <v>7.21</v>
      </c>
      <c r="BH69" s="16">
        <v>7.4</v>
      </c>
      <c r="BI69" s="16">
        <v>7.01</v>
      </c>
      <c r="BJ69" s="16">
        <v>7.28</v>
      </c>
      <c r="BK69" s="16">
        <v>7.58</v>
      </c>
      <c r="BL69" s="16">
        <v>7.54</v>
      </c>
      <c r="BM69" s="16">
        <v>6.5</v>
      </c>
      <c r="BN69" s="16">
        <v>7.13</v>
      </c>
      <c r="BO69" s="16">
        <v>7.11</v>
      </c>
      <c r="BP69" s="16">
        <v>7.2</v>
      </c>
      <c r="BQ69" s="16">
        <v>6.69</v>
      </c>
      <c r="BR69" s="16">
        <v>6.89</v>
      </c>
      <c r="BS69" s="16">
        <v>6.85</v>
      </c>
      <c r="BT69" s="16">
        <v>0</v>
      </c>
      <c r="BU69" s="16">
        <v>7.02</v>
      </c>
      <c r="BV69" s="16">
        <v>0</v>
      </c>
      <c r="BW69" s="16">
        <v>6.26</v>
      </c>
      <c r="BX69" s="16">
        <v>6.56</v>
      </c>
      <c r="BY69" s="16">
        <v>6.37</v>
      </c>
      <c r="BZ69" s="16">
        <v>6.77</v>
      </c>
      <c r="CA69" s="16">
        <v>7.01</v>
      </c>
      <c r="CB69" s="16">
        <v>7.01</v>
      </c>
      <c r="CC69" s="16">
        <v>6.41</v>
      </c>
      <c r="CD69" s="16">
        <v>6.12</v>
      </c>
      <c r="CE69" s="16">
        <v>6.55</v>
      </c>
      <c r="CF69" s="17">
        <f>SUM(Input_Raw[[#This Row],[G01]:[G40]])</f>
        <v>785959</v>
      </c>
      <c r="CG69" s="18">
        <f>IFERROR(AVERAGE(Input_Raw[[#This Row],[WS_G01]:[WS_G40]]),"")</f>
        <v>6.6617948717948723</v>
      </c>
      <c r="CH69" s="19"/>
      <c r="CI69" s="19"/>
      <c r="CJ69" s="15">
        <v>241748</v>
      </c>
      <c r="CK69" s="15">
        <v>2189</v>
      </c>
      <c r="CL69" s="15">
        <v>281518</v>
      </c>
      <c r="CM69" s="15">
        <v>2216</v>
      </c>
      <c r="CN69" s="15">
        <v>258017</v>
      </c>
      <c r="CO69" s="15">
        <v>1823</v>
      </c>
      <c r="CP69" s="15">
        <v>294132</v>
      </c>
      <c r="CQ69" s="15">
        <v>1869</v>
      </c>
      <c r="CR69" s="91">
        <f>IF(((Input_Raw[[#This Row],[33 kV_Wind_F1_Export reading]]-CJ68)*1200)&gt;0,(Input_Raw[[#This Row],[33 kV_Wind_F1_Export reading]]-CJ68)*1200,0)</f>
        <v>178800</v>
      </c>
      <c r="CS69" s="91">
        <f>IF(((Input_Raw[[#This Row],[33 kV_Wind_F1_Import reading]]-CK68)*1200)&gt;0,(Input_Raw[[#This Row],[33 kV_Wind_F1_Import reading]]-CK68)*1200,0)</f>
        <v>0</v>
      </c>
      <c r="CT69" s="91">
        <f>IF(((Input_Raw[[#This Row],[33 kV_Wind_F2_Export_reading]]-CL68)*1200)&gt;0,(Input_Raw[[#This Row],[33 kV_Wind_F2_Export_reading]]-CL68)*1200,0)</f>
        <v>150000</v>
      </c>
      <c r="CU69" s="91">
        <f>IF(((Input_Raw[[#This Row],[33 kV_Wind_F2_Import_reading]]-CM68)*1200)&gt;0,(Input_Raw[[#This Row],[33 kV_Wind_F2_Import_reading]]-CM68)*1200,0)</f>
        <v>0</v>
      </c>
      <c r="CV69" s="91">
        <f>IF(((Input_Raw[[#This Row],[33 kV_Wind_F3_Export_Reading]]-CN68)*1200)&gt;0,(Input_Raw[[#This Row],[33 kV_Wind_F3_Export_Reading]]-CN68)*1200,0)</f>
        <v>225600</v>
      </c>
      <c r="CW69" s="91">
        <f>IF(((Input_Raw[[#This Row],[33 kV_Wind_F3_Import_Reading]]-CO68)*1200)&gt;0,(Input_Raw[[#This Row],[33 kV_Wind_F3_Import_Reading]]-CO68)*1200,0)</f>
        <v>0</v>
      </c>
      <c r="CX69" s="91">
        <f>IF(((Input_Raw[[#This Row],[33 kV_Wind_F4_Export Reading]]-CP68)*1200)&gt;0,(Input_Raw[[#This Row],[33 kV_Wind_F4_Export Reading]]-CP68)*1200,0)</f>
        <v>228000</v>
      </c>
      <c r="CY69" s="91">
        <f>IF(((Input_Raw[[#This Row],[33 kV_Wind_F4_Import Reading]]-CQ68)*1200)&gt;0,(Input_Raw[[#This Row],[33 kV_Wind_F4_Import Reading]]-CQ68)*1200,0)</f>
        <v>0</v>
      </c>
      <c r="CZ69" s="91">
        <f>Input_Raw[[#This Row],[33 kV_F1_Total_Export (KWh)]]+Input_Raw[[#This Row],[33 kV_F2_Total_Export (KWh)2]]+Input_Raw[[#This Row],[33 kV_Wind_F3_Export (KWh)]]+Input_Raw[[#This Row],[33 kV_Wind_F4_Export (KWh)]]</f>
        <v>782400</v>
      </c>
      <c r="DA69" s="91">
        <f>Input_Raw[[#This Row],[33 kV_Wind_F1_Import (KWh)]]+Input_Raw[[#This Row],[33 kV_Wind_F2_Import (KWh)]]+Input_Raw[[#This Row],[33 kV_Wind_F3_Import (KWh)2]]+Input_Raw[[#This Row],[33 kV_Wind_F4_Import (KWh)2]]</f>
        <v>0</v>
      </c>
      <c r="DB69" s="21">
        <f>IFERROR(1-Input_Raw[[#This Row],[33 kV_Wind_Total_Export (KWh)]]/Input_Raw[[#This Row],[WTG Total Gneration (KWh)]],0)</f>
        <v>4.5282260270573804E-3</v>
      </c>
      <c r="DC69" s="100">
        <v>96</v>
      </c>
      <c r="DD69" s="100">
        <v>247411</v>
      </c>
      <c r="DE69" s="102">
        <v>785.95</v>
      </c>
      <c r="DF69" s="99"/>
      <c r="DG69" s="101">
        <v>78</v>
      </c>
      <c r="DH69" s="168" t="s">
        <v>381</v>
      </c>
    </row>
    <row r="70" spans="1:112">
      <c r="A70" s="20">
        <f t="shared" si="6"/>
        <v>45810</v>
      </c>
      <c r="B70" s="12">
        <f>YEAR([1]!Input_Raw[[#This Row],[Date]])+IF(MONTH([1]!Input_Raw[[#This Row],[Date]])&gt;=4,1,0)</f>
        <v>2026</v>
      </c>
      <c r="C70" s="13">
        <f>YEAR([1]!Input_Raw[[#This Row],[Date]])</f>
        <v>2025</v>
      </c>
      <c r="D70" s="14">
        <f t="shared" si="5"/>
        <v>45809</v>
      </c>
      <c r="E70" s="13">
        <f>DAY(EOMONTH([1]!Input_Raw[[#This Row],[Date]],0))</f>
        <v>30</v>
      </c>
      <c r="F70" s="15">
        <v>10401</v>
      </c>
      <c r="G70" s="15">
        <v>10407</v>
      </c>
      <c r="H70" s="15">
        <v>10402</v>
      </c>
      <c r="I70" s="15">
        <v>9518</v>
      </c>
      <c r="J70" s="15">
        <v>9544</v>
      </c>
      <c r="K70" s="15">
        <v>10409</v>
      </c>
      <c r="L70" s="15">
        <v>10399</v>
      </c>
      <c r="M70" s="15">
        <v>8107</v>
      </c>
      <c r="N70" s="15">
        <v>12223</v>
      </c>
      <c r="O70" s="15">
        <v>10456</v>
      </c>
      <c r="P70" s="15">
        <v>10467</v>
      </c>
      <c r="Q70" s="15">
        <v>12232</v>
      </c>
      <c r="R70" s="15">
        <v>12234</v>
      </c>
      <c r="S70" s="15">
        <v>12245</v>
      </c>
      <c r="T70" s="15">
        <v>12256</v>
      </c>
      <c r="U70" s="15">
        <v>12252</v>
      </c>
      <c r="V70" s="15">
        <v>12254</v>
      </c>
      <c r="W70" s="15">
        <v>12233</v>
      </c>
      <c r="X70" s="15">
        <v>12267</v>
      </c>
      <c r="Y70" s="15">
        <v>11499</v>
      </c>
      <c r="Z70" s="15">
        <v>9556</v>
      </c>
      <c r="AA70" s="15">
        <v>9552</v>
      </c>
      <c r="AB70" s="15">
        <v>9545</v>
      </c>
      <c r="AC70" s="15">
        <v>10260</v>
      </c>
      <c r="AD70" s="15">
        <v>9102</v>
      </c>
      <c r="AE70" s="15">
        <v>10256</v>
      </c>
      <c r="AF70" s="15">
        <v>10267</v>
      </c>
      <c r="AG70" s="15">
        <v>0</v>
      </c>
      <c r="AH70" s="15">
        <v>10278</v>
      </c>
      <c r="AI70" s="15">
        <v>0</v>
      </c>
      <c r="AJ70" s="15">
        <v>9105</v>
      </c>
      <c r="AK70" s="15">
        <v>8664</v>
      </c>
      <c r="AL70" s="15">
        <v>9109</v>
      </c>
      <c r="AM70" s="15">
        <v>8678</v>
      </c>
      <c r="AN70" s="15">
        <v>9111</v>
      </c>
      <c r="AO70" s="15">
        <v>9110</v>
      </c>
      <c r="AP70" s="15">
        <v>9103</v>
      </c>
      <c r="AQ70" s="15">
        <v>9114</v>
      </c>
      <c r="AR70" s="15">
        <v>9116</v>
      </c>
      <c r="AS70" s="16">
        <v>4.8499999999999996</v>
      </c>
      <c r="AT70" s="16">
        <v>5.37</v>
      </c>
      <c r="AU70" s="16">
        <v>4.76</v>
      </c>
      <c r="AV70" s="16">
        <v>4.7699999999999996</v>
      </c>
      <c r="AW70" s="16">
        <v>5.09</v>
      </c>
      <c r="AX70" s="16">
        <v>5.19</v>
      </c>
      <c r="AY70" s="16">
        <v>4.8</v>
      </c>
      <c r="AZ70" s="16">
        <v>4.87</v>
      </c>
      <c r="BA70" s="16">
        <v>5.25</v>
      </c>
      <c r="BB70" s="16">
        <v>4.9800000000000004</v>
      </c>
      <c r="BC70" s="16">
        <v>5.45</v>
      </c>
      <c r="BD70" s="16">
        <v>5.28</v>
      </c>
      <c r="BE70" s="16">
        <v>5.32</v>
      </c>
      <c r="BF70" s="16">
        <v>5.14</v>
      </c>
      <c r="BG70" s="16">
        <v>5.09</v>
      </c>
      <c r="BH70" s="16">
        <v>5.27</v>
      </c>
      <c r="BI70" s="16">
        <v>5.07</v>
      </c>
      <c r="BJ70" s="16">
        <v>5.36</v>
      </c>
      <c r="BK70" s="16">
        <v>6.59</v>
      </c>
      <c r="BL70" s="16">
        <v>5.63</v>
      </c>
      <c r="BM70" s="16">
        <v>5.4</v>
      </c>
      <c r="BN70" s="16">
        <v>5.44</v>
      </c>
      <c r="BO70" s="16">
        <v>4.66</v>
      </c>
      <c r="BP70" s="16">
        <v>4.9800000000000004</v>
      </c>
      <c r="BQ70" s="16">
        <v>4.95</v>
      </c>
      <c r="BR70" s="16">
        <v>4.71</v>
      </c>
      <c r="BS70" s="16">
        <v>4.88</v>
      </c>
      <c r="BT70" s="16">
        <v>0</v>
      </c>
      <c r="BU70" s="16">
        <v>4.8600000000000003</v>
      </c>
      <c r="BV70" s="16">
        <v>0</v>
      </c>
      <c r="BW70" s="16">
        <v>4.59</v>
      </c>
      <c r="BX70" s="16">
        <v>4.7300000000000004</v>
      </c>
      <c r="BY70" s="16">
        <v>4.88</v>
      </c>
      <c r="BZ70" s="16">
        <v>4.88</v>
      </c>
      <c r="CA70" s="16">
        <v>5.07</v>
      </c>
      <c r="CB70" s="16">
        <v>5.05</v>
      </c>
      <c r="CC70" s="16">
        <v>4.83</v>
      </c>
      <c r="CD70" s="16">
        <v>4.74</v>
      </c>
      <c r="CE70" s="16">
        <v>5.01</v>
      </c>
      <c r="CF70" s="17">
        <f>SUM(Input_Raw[[#This Row],[G01]:[G40]])</f>
        <v>381731</v>
      </c>
      <c r="CG70" s="18">
        <f>IFERROR(AVERAGE(Input_Raw[[#This Row],[WS_G01]:[WS_G40]]),"")</f>
        <v>4.8151282051282047</v>
      </c>
      <c r="CH70" s="19"/>
      <c r="CI70" s="19"/>
      <c r="CJ70" s="15">
        <v>241822</v>
      </c>
      <c r="CK70" s="15">
        <v>2189</v>
      </c>
      <c r="CL70" s="15">
        <v>281584</v>
      </c>
      <c r="CM70" s="15">
        <v>2216</v>
      </c>
      <c r="CN70" s="15">
        <v>258092</v>
      </c>
      <c r="CO70" s="15">
        <v>1823</v>
      </c>
      <c r="CP70" s="15">
        <v>294233</v>
      </c>
      <c r="CQ70" s="15">
        <v>1869</v>
      </c>
      <c r="CR70" s="91">
        <f>IF(((Input_Raw[[#This Row],[33 kV_Wind_F1_Export reading]]-CJ69)*1200)&gt;0,(Input_Raw[[#This Row],[33 kV_Wind_F1_Export reading]]-CJ69)*1200,0)</f>
        <v>88800</v>
      </c>
      <c r="CS70" s="91">
        <f>IF(((Input_Raw[[#This Row],[33 kV_Wind_F1_Import reading]]-CK69)*1200)&gt;0,(Input_Raw[[#This Row],[33 kV_Wind_F1_Import reading]]-CK69)*1200,0)</f>
        <v>0</v>
      </c>
      <c r="CT70" s="91">
        <f>IF(((Input_Raw[[#This Row],[33 kV_Wind_F2_Export_reading]]-CL69)*1200)&gt;0,(Input_Raw[[#This Row],[33 kV_Wind_F2_Export_reading]]-CL69)*1200,0)</f>
        <v>79200</v>
      </c>
      <c r="CU70" s="91">
        <f>IF(((Input_Raw[[#This Row],[33 kV_Wind_F2_Import_reading]]-CM69)*1200)&gt;0,(Input_Raw[[#This Row],[33 kV_Wind_F2_Import_reading]]-CM69)*1200,0)</f>
        <v>0</v>
      </c>
      <c r="CV70" s="91">
        <f>IF(((Input_Raw[[#This Row],[33 kV_Wind_F3_Export_Reading]]-CN69)*1200)&gt;0,(Input_Raw[[#This Row],[33 kV_Wind_F3_Export_Reading]]-CN69)*1200,0)</f>
        <v>90000</v>
      </c>
      <c r="CW70" s="91">
        <f>IF(((Input_Raw[[#This Row],[33 kV_Wind_F3_Import_Reading]]-CO69)*1200)&gt;0,(Input_Raw[[#This Row],[33 kV_Wind_F3_Import_Reading]]-CO69)*1200,0)</f>
        <v>0</v>
      </c>
      <c r="CX70" s="91">
        <f>IF(((Input_Raw[[#This Row],[33 kV_Wind_F4_Export Reading]]-CP69)*1200)&gt;0,(Input_Raw[[#This Row],[33 kV_Wind_F4_Export Reading]]-CP69)*1200,0)</f>
        <v>121200</v>
      </c>
      <c r="CY70" s="91">
        <f>IF(((Input_Raw[[#This Row],[33 kV_Wind_F4_Import Reading]]-CQ69)*1200)&gt;0,(Input_Raw[[#This Row],[33 kV_Wind_F4_Import Reading]]-CQ69)*1200,0)</f>
        <v>0</v>
      </c>
      <c r="CZ70" s="91">
        <f>Input_Raw[[#This Row],[33 kV_F1_Total_Export (KWh)]]+Input_Raw[[#This Row],[33 kV_F2_Total_Export (KWh)2]]+Input_Raw[[#This Row],[33 kV_Wind_F3_Export (KWh)]]+Input_Raw[[#This Row],[33 kV_Wind_F4_Export (KWh)]]</f>
        <v>379200</v>
      </c>
      <c r="DA70" s="91">
        <f>Input_Raw[[#This Row],[33 kV_Wind_F1_Import (KWh)]]+Input_Raw[[#This Row],[33 kV_Wind_F2_Import (KWh)]]+Input_Raw[[#This Row],[33 kV_Wind_F3_Import (KWh)2]]+Input_Raw[[#This Row],[33 kV_Wind_F4_Import (KWh)2]]</f>
        <v>0</v>
      </c>
      <c r="DB70" s="21">
        <f>IFERROR(1-Input_Raw[[#This Row],[33 kV_Wind_Total_Export (KWh)]]/Input_Raw[[#This Row],[WTG Total Gneration (KWh)]],0)</f>
        <v>6.6303234476634554E-3</v>
      </c>
      <c r="DC70" s="100">
        <v>96</v>
      </c>
      <c r="DD70" s="100">
        <v>14431</v>
      </c>
      <c r="DE70" s="102">
        <v>381.73</v>
      </c>
      <c r="DF70" s="99"/>
      <c r="DG70" s="101">
        <v>78</v>
      </c>
      <c r="DH70" s="168" t="s">
        <v>381</v>
      </c>
    </row>
    <row r="71" spans="1:112">
      <c r="A71" s="20">
        <f t="shared" si="6"/>
        <v>45811</v>
      </c>
      <c r="B71" s="12">
        <f>YEAR([1]!Input_Raw[[#This Row],[Date]])+IF(MONTH([1]!Input_Raw[[#This Row],[Date]])&gt;=4,1,0)</f>
        <v>2026</v>
      </c>
      <c r="C71" s="13">
        <f>YEAR([1]!Input_Raw[[#This Row],[Date]])</f>
        <v>2025</v>
      </c>
      <c r="D71" s="14">
        <f t="shared" si="5"/>
        <v>45809</v>
      </c>
      <c r="E71" s="13">
        <f>DAY(EOMONTH([1]!Input_Raw[[#This Row],[Date]],0))</f>
        <v>30</v>
      </c>
      <c r="F71" s="15">
        <v>21256</v>
      </c>
      <c r="G71" s="15">
        <v>21262</v>
      </c>
      <c r="H71" s="15">
        <v>21242</v>
      </c>
      <c r="I71" s="15">
        <v>21234</v>
      </c>
      <c r="J71" s="15">
        <v>18241</v>
      </c>
      <c r="K71" s="15">
        <v>21265</v>
      </c>
      <c r="L71" s="15">
        <v>21254</v>
      </c>
      <c r="M71" s="15">
        <v>21262</v>
      </c>
      <c r="N71" s="15">
        <v>21621</v>
      </c>
      <c r="O71" s="15">
        <v>21268</v>
      </c>
      <c r="P71" s="15">
        <v>19969</v>
      </c>
      <c r="Q71" s="15">
        <v>21632</v>
      </c>
      <c r="R71" s="15">
        <v>21634</v>
      </c>
      <c r="S71" s="15">
        <v>21638</v>
      </c>
      <c r="T71" s="15">
        <v>21642</v>
      </c>
      <c r="U71" s="15">
        <v>21640</v>
      </c>
      <c r="V71" s="15">
        <v>21652</v>
      </c>
      <c r="W71" s="15">
        <v>21657</v>
      </c>
      <c r="X71" s="15">
        <v>21647</v>
      </c>
      <c r="Y71" s="15">
        <v>20782</v>
      </c>
      <c r="Z71" s="15">
        <v>18242</v>
      </c>
      <c r="AA71" s="15">
        <v>18236</v>
      </c>
      <c r="AB71" s="15">
        <v>18230</v>
      </c>
      <c r="AC71" s="15">
        <v>18256</v>
      </c>
      <c r="AD71" s="15">
        <v>18022</v>
      </c>
      <c r="AE71" s="15">
        <v>18251</v>
      </c>
      <c r="AF71" s="15">
        <v>18276</v>
      </c>
      <c r="AG71" s="15">
        <v>0</v>
      </c>
      <c r="AH71" s="15">
        <v>18280</v>
      </c>
      <c r="AI71" s="15">
        <v>0</v>
      </c>
      <c r="AJ71" s="15">
        <v>18067</v>
      </c>
      <c r="AK71" s="15">
        <v>18065</v>
      </c>
      <c r="AL71" s="15">
        <v>18046</v>
      </c>
      <c r="AM71" s="15">
        <v>17021</v>
      </c>
      <c r="AN71" s="15">
        <v>18037</v>
      </c>
      <c r="AO71" s="15">
        <v>18069</v>
      </c>
      <c r="AP71" s="15">
        <v>18065</v>
      </c>
      <c r="AQ71" s="15">
        <v>17489</v>
      </c>
      <c r="AR71" s="15">
        <v>18076</v>
      </c>
      <c r="AS71" s="89">
        <v>5.8621319444444415</v>
      </c>
      <c r="AT71" s="16">
        <v>6.3055555555555545</v>
      </c>
      <c r="AU71" s="16">
        <v>5.2876624999999988</v>
      </c>
      <c r="AV71" s="16">
        <v>5.3705000000000007</v>
      </c>
      <c r="AW71" s="16">
        <v>5.0465361111111111</v>
      </c>
      <c r="AX71" s="16">
        <v>5.8957361111111117</v>
      </c>
      <c r="AY71" s="16">
        <v>5.8957361111111117</v>
      </c>
      <c r="AZ71" s="16">
        <v>5.8117013888888884</v>
      </c>
      <c r="BA71" s="16">
        <v>6.2648402777777781</v>
      </c>
      <c r="BB71" s="16">
        <v>4.8664374999999991</v>
      </c>
      <c r="BC71" s="16">
        <v>5.6271666666666667</v>
      </c>
      <c r="BD71" s="16">
        <v>5.7042083333333338</v>
      </c>
      <c r="BE71" s="16">
        <v>5.521229166666668</v>
      </c>
      <c r="BF71" s="16">
        <v>5.7344027777777802</v>
      </c>
      <c r="BG71" s="16">
        <v>6.0184652777777803</v>
      </c>
      <c r="BH71" s="16">
        <v>5.5627708333333317</v>
      </c>
      <c r="BI71" s="16">
        <v>6.2912430555555545</v>
      </c>
      <c r="BJ71" s="16">
        <v>5.945188888888886</v>
      </c>
      <c r="BK71" s="16">
        <v>6.109395833333334</v>
      </c>
      <c r="BL71" s="16">
        <v>6.4610694444444432</v>
      </c>
      <c r="BM71" s="16">
        <v>5.9728426086956548</v>
      </c>
      <c r="BN71" s="16">
        <v>4.9143090909090903</v>
      </c>
      <c r="BO71" s="16">
        <v>5.1144638888888885</v>
      </c>
      <c r="BP71" s="16">
        <v>5.3359777777777788</v>
      </c>
      <c r="BQ71" s="16">
        <v>5.0754985294117674</v>
      </c>
      <c r="BR71" s="16">
        <v>5.3434958333333338</v>
      </c>
      <c r="BS71" s="16">
        <v>5.0553076388888858</v>
      </c>
      <c r="BT71" s="16">
        <v>0</v>
      </c>
      <c r="BU71" s="16">
        <v>5</v>
      </c>
      <c r="BV71" s="16">
        <v>0</v>
      </c>
      <c r="BW71" s="16">
        <v>4.9429823529411756</v>
      </c>
      <c r="BX71" s="16">
        <v>4.9764632352941165</v>
      </c>
      <c r="BY71" s="16">
        <v>5.2576333333333336</v>
      </c>
      <c r="BZ71" s="16">
        <v>5.670325663716814</v>
      </c>
      <c r="CA71" s="16">
        <v>5.5863234234234236</v>
      </c>
      <c r="CB71" s="16">
        <v>5.4673336283185847</v>
      </c>
      <c r="CC71" s="16">
        <v>5.2683985294117646</v>
      </c>
      <c r="CD71" s="16">
        <v>5.2848022058823538</v>
      </c>
      <c r="CE71" s="16">
        <v>5.2838499999999984</v>
      </c>
      <c r="CF71" s="17">
        <f>SUM(Input_Raw[[#This Row],[G01]:[G40]])</f>
        <v>730526</v>
      </c>
      <c r="CG71" s="18">
        <f>IFERROR(AVERAGE(Input_Raw[[#This Row],[WS_G01]:[WS_G40]]),"")</f>
        <v>5.25979450046166</v>
      </c>
      <c r="CH71" s="19"/>
      <c r="CI71" s="19"/>
      <c r="CJ71" s="15">
        <v>241970</v>
      </c>
      <c r="CK71" s="15">
        <v>2189</v>
      </c>
      <c r="CL71" s="15">
        <v>281705</v>
      </c>
      <c r="CM71" s="15">
        <v>2216</v>
      </c>
      <c r="CN71" s="15">
        <v>258250</v>
      </c>
      <c r="CO71" s="15">
        <v>1823</v>
      </c>
      <c r="CP71" s="15">
        <v>294412</v>
      </c>
      <c r="CQ71" s="15">
        <v>1869</v>
      </c>
      <c r="CR71" s="91">
        <f>IF(((Input_Raw[[#This Row],[33 kV_Wind_F1_Export reading]]-CJ70)*1200)&gt;0,(Input_Raw[[#This Row],[33 kV_Wind_F1_Export reading]]-CJ70)*1200,0)</f>
        <v>177600</v>
      </c>
      <c r="CS71" s="91">
        <f>IF(((Input_Raw[[#This Row],[33 kV_Wind_F1_Import reading]]-CK70)*1200)&gt;0,(Input_Raw[[#This Row],[33 kV_Wind_F1_Import reading]]-CK70)*1200,0)</f>
        <v>0</v>
      </c>
      <c r="CT71" s="91">
        <f>IF(((Input_Raw[[#This Row],[33 kV_Wind_F2_Export_reading]]-CL70)*1200)&gt;0,(Input_Raw[[#This Row],[33 kV_Wind_F2_Export_reading]]-CL70)*1200,0)</f>
        <v>145200</v>
      </c>
      <c r="CU71" s="91">
        <f>IF(((Input_Raw[[#This Row],[33 kV_Wind_F2_Import_reading]]-CM70)*1200)&gt;0,(Input_Raw[[#This Row],[33 kV_Wind_F2_Import_reading]]-CM70)*1200,0)</f>
        <v>0</v>
      </c>
      <c r="CV71" s="91">
        <f>IF(((Input_Raw[[#This Row],[33 kV_Wind_F3_Export_Reading]]-CN70)*1200)&gt;0,(Input_Raw[[#This Row],[33 kV_Wind_F3_Export_Reading]]-CN70)*1200,0)</f>
        <v>189600</v>
      </c>
      <c r="CW71" s="91">
        <f>IF(((Input_Raw[[#This Row],[33 kV_Wind_F3_Import_Reading]]-CO70)*1200)&gt;0,(Input_Raw[[#This Row],[33 kV_Wind_F3_Import_Reading]]-CO70)*1200,0)</f>
        <v>0</v>
      </c>
      <c r="CX71" s="91">
        <f>IF(((Input_Raw[[#This Row],[33 kV_Wind_F4_Export Reading]]-CP70)*1200)&gt;0,(Input_Raw[[#This Row],[33 kV_Wind_F4_Export Reading]]-CP70)*1200,0)</f>
        <v>214800</v>
      </c>
      <c r="CY71" s="91">
        <f>IF(((Input_Raw[[#This Row],[33 kV_Wind_F4_Import Reading]]-CQ70)*1200)&gt;0,(Input_Raw[[#This Row],[33 kV_Wind_F4_Import Reading]]-CQ70)*1200,0)</f>
        <v>0</v>
      </c>
      <c r="CZ71" s="91">
        <f>Input_Raw[[#This Row],[33 kV_F1_Total_Export (KWh)]]+Input_Raw[[#This Row],[33 kV_F2_Total_Export (KWh)2]]+Input_Raw[[#This Row],[33 kV_Wind_F3_Export (KWh)]]+Input_Raw[[#This Row],[33 kV_Wind_F4_Export (KWh)]]</f>
        <v>727200</v>
      </c>
      <c r="DA71" s="91">
        <f>Input_Raw[[#This Row],[33 kV_Wind_F1_Import (KWh)]]+Input_Raw[[#This Row],[33 kV_Wind_F2_Import (KWh)]]+Input_Raw[[#This Row],[33 kV_Wind_F3_Import (KWh)2]]+Input_Raw[[#This Row],[33 kV_Wind_F4_Import (KWh)2]]</f>
        <v>0</v>
      </c>
      <c r="DB71" s="21">
        <f>IFERROR(1-Input_Raw[[#This Row],[33 kV_Wind_Total_Export (KWh)]]/Input_Raw[[#This Row],[WTG Total Gneration (KWh)]],0)</f>
        <v>4.5528838124857529E-3</v>
      </c>
      <c r="DC71" s="100">
        <v>96</v>
      </c>
      <c r="DD71" s="100">
        <v>118681</v>
      </c>
      <c r="DE71" s="102">
        <v>730.52</v>
      </c>
      <c r="DF71" s="99"/>
      <c r="DG71" s="101">
        <v>78</v>
      </c>
      <c r="DH71" s="168" t="s">
        <v>381</v>
      </c>
    </row>
    <row r="72" spans="1:112">
      <c r="A72" s="20">
        <f t="shared" si="6"/>
        <v>45812</v>
      </c>
      <c r="B72" s="12">
        <f>YEAR([1]!Input_Raw[[#This Row],[Date]])+IF(MONTH([1]!Input_Raw[[#This Row],[Date]])&gt;=4,1,0)</f>
        <v>2026</v>
      </c>
      <c r="C72" s="13">
        <f>YEAR([1]!Input_Raw[[#This Row],[Date]])</f>
        <v>2025</v>
      </c>
      <c r="D72" s="14">
        <f t="shared" si="5"/>
        <v>45809</v>
      </c>
      <c r="E72" s="13">
        <f>DAY(EOMONTH([1]!Input_Raw[[#This Row],[Date]],0))</f>
        <v>30</v>
      </c>
      <c r="F72" s="15">
        <v>5742</v>
      </c>
      <c r="G72" s="15">
        <v>5721</v>
      </c>
      <c r="H72" s="15">
        <v>5723</v>
      </c>
      <c r="I72" s="15">
        <v>5734</v>
      </c>
      <c r="J72" s="15">
        <v>2321</v>
      </c>
      <c r="K72" s="15">
        <v>5728</v>
      </c>
      <c r="L72" s="15">
        <v>5722</v>
      </c>
      <c r="M72" s="15">
        <v>5719</v>
      </c>
      <c r="N72" s="15">
        <v>6001</v>
      </c>
      <c r="O72" s="15">
        <v>5732</v>
      </c>
      <c r="P72" s="15">
        <v>5747</v>
      </c>
      <c r="Q72" s="15">
        <v>6021</v>
      </c>
      <c r="R72" s="15">
        <v>6025</v>
      </c>
      <c r="S72" s="15">
        <v>6030</v>
      </c>
      <c r="T72" s="15">
        <v>6045</v>
      </c>
      <c r="U72" s="15">
        <v>6023</v>
      </c>
      <c r="V72" s="15">
        <v>6033</v>
      </c>
      <c r="W72" s="15">
        <v>6021</v>
      </c>
      <c r="X72" s="15">
        <v>6038</v>
      </c>
      <c r="Y72" s="15">
        <v>6039</v>
      </c>
      <c r="Z72" s="15">
        <v>2345</v>
      </c>
      <c r="AA72" s="15">
        <v>2356</v>
      </c>
      <c r="AB72" s="15">
        <v>2342</v>
      </c>
      <c r="AC72" s="15">
        <v>2365</v>
      </c>
      <c r="AD72" s="15">
        <v>3050</v>
      </c>
      <c r="AE72" s="15">
        <v>2362</v>
      </c>
      <c r="AF72" s="15">
        <v>2356</v>
      </c>
      <c r="AG72" s="15">
        <v>0</v>
      </c>
      <c r="AH72" s="15">
        <v>2372</v>
      </c>
      <c r="AI72" s="15">
        <v>0</v>
      </c>
      <c r="AJ72" s="15">
        <v>3059</v>
      </c>
      <c r="AK72" s="15">
        <v>3069</v>
      </c>
      <c r="AL72" s="15">
        <v>3054</v>
      </c>
      <c r="AM72" s="15">
        <v>3059</v>
      </c>
      <c r="AN72" s="15">
        <v>3051</v>
      </c>
      <c r="AO72" s="15">
        <v>3055</v>
      </c>
      <c r="AP72" s="15">
        <v>3034</v>
      </c>
      <c r="AQ72" s="15">
        <v>3059</v>
      </c>
      <c r="AR72" s="15">
        <v>3056</v>
      </c>
      <c r="AS72" s="16">
        <v>4.0641180555555536</v>
      </c>
      <c r="AT72" s="16">
        <v>4.0593055555555582</v>
      </c>
      <c r="AU72" s="16">
        <v>4.0183402777777761</v>
      </c>
      <c r="AV72" s="16">
        <v>3.9908402777777772</v>
      </c>
      <c r="AW72" s="16">
        <v>3.97079861111111</v>
      </c>
      <c r="AX72" s="16">
        <v>4.1533333333333324</v>
      </c>
      <c r="AY72" s="16">
        <v>4.1533333333333324</v>
      </c>
      <c r="AZ72" s="16">
        <v>4.3952637795275589</v>
      </c>
      <c r="BA72" s="16">
        <v>4.0945833333333352</v>
      </c>
      <c r="BB72" s="16">
        <v>4.1891249999999989</v>
      </c>
      <c r="BC72" s="16">
        <v>4.5515753968253962</v>
      </c>
      <c r="BD72" s="16">
        <v>4.0447986111111112</v>
      </c>
      <c r="BE72" s="16">
        <v>4.0977430555555578</v>
      </c>
      <c r="BF72" s="16">
        <v>4.1513819444444442</v>
      </c>
      <c r="BG72" s="16">
        <v>4.114952083333332</v>
      </c>
      <c r="BH72" s="16">
        <v>4.1474861111111121</v>
      </c>
      <c r="BI72" s="16">
        <v>4.3756666666666675</v>
      </c>
      <c r="BJ72" s="16">
        <v>4.3612430555555521</v>
      </c>
      <c r="BK72" s="16">
        <v>4.2470694444444446</v>
      </c>
      <c r="BL72" s="16">
        <v>4.3102222222222224</v>
      </c>
      <c r="BM72" s="16">
        <v>4.0999999999999996</v>
      </c>
      <c r="BN72" s="16">
        <v>4.0657152777777794</v>
      </c>
      <c r="BO72" s="16">
        <v>3.9717916666666659</v>
      </c>
      <c r="BP72" s="16">
        <v>4.1679513888888877</v>
      </c>
      <c r="BQ72" s="16">
        <v>3.8945486111111092</v>
      </c>
      <c r="BR72" s="16">
        <v>3.9962013888888888</v>
      </c>
      <c r="BS72" s="16">
        <v>4.0165833333333332</v>
      </c>
      <c r="BT72" s="16">
        <v>0</v>
      </c>
      <c r="BU72" s="16">
        <v>4.0999999999999996</v>
      </c>
      <c r="BV72" s="16">
        <v>0</v>
      </c>
      <c r="BW72" s="16">
        <v>3.80823611111111</v>
      </c>
      <c r="BX72" s="16">
        <v>3.923756944444444</v>
      </c>
      <c r="BY72" s="16">
        <v>4.0071736111111118</v>
      </c>
      <c r="BZ72" s="16">
        <v>4.0676805555555573</v>
      </c>
      <c r="CA72" s="16">
        <v>4.0488194444444439</v>
      </c>
      <c r="CB72" s="16">
        <v>4.1112569444444436</v>
      </c>
      <c r="CC72" s="16">
        <v>3.8610277777777782</v>
      </c>
      <c r="CD72" s="16">
        <v>3.9456944444444466</v>
      </c>
      <c r="CE72" s="16">
        <v>3.9453750000000003</v>
      </c>
      <c r="CF72" s="17">
        <f>SUM(Input_Raw[[#This Row],[G01]:[G40]])</f>
        <v>161209</v>
      </c>
      <c r="CG72" s="18">
        <f>IFERROR(AVERAGE(Input_Raw[[#This Row],[WS_G01]:[WS_G40]]),"")</f>
        <v>3.885204939707056</v>
      </c>
      <c r="CH72" s="19"/>
      <c r="CI72" s="19"/>
      <c r="CJ72" s="15">
        <v>241995</v>
      </c>
      <c r="CK72" s="15">
        <v>2189</v>
      </c>
      <c r="CL72" s="15">
        <v>281720</v>
      </c>
      <c r="CM72" s="15">
        <v>2216</v>
      </c>
      <c r="CN72" s="15">
        <v>258292</v>
      </c>
      <c r="CO72" s="15">
        <v>1823</v>
      </c>
      <c r="CP72" s="15">
        <v>294461</v>
      </c>
      <c r="CQ72" s="15">
        <v>1869</v>
      </c>
      <c r="CR72" s="91">
        <f>IF(((Input_Raw[[#This Row],[33 kV_Wind_F1_Export reading]]-CJ71)*1200)&gt;0,(Input_Raw[[#This Row],[33 kV_Wind_F1_Export reading]]-CJ71)*1200,0)</f>
        <v>30000</v>
      </c>
      <c r="CS72" s="91">
        <f>IF(((Input_Raw[[#This Row],[33 kV_Wind_F1_Import reading]]-CK71)*1200)&gt;0,(Input_Raw[[#This Row],[33 kV_Wind_F1_Import reading]]-CK71)*1200,0)</f>
        <v>0</v>
      </c>
      <c r="CT72" s="91">
        <f>IF(((Input_Raw[[#This Row],[33 kV_Wind_F2_Export_reading]]-CL71)*1200)&gt;0,(Input_Raw[[#This Row],[33 kV_Wind_F2_Export_reading]]-CL71)*1200,0)</f>
        <v>18000</v>
      </c>
      <c r="CU72" s="91">
        <f>IF(((Input_Raw[[#This Row],[33 kV_Wind_F2_Import_reading]]-CM71)*1200)&gt;0,(Input_Raw[[#This Row],[33 kV_Wind_F2_Import_reading]]-CM71)*1200,0)</f>
        <v>0</v>
      </c>
      <c r="CV72" s="91">
        <f>IF(((Input_Raw[[#This Row],[33 kV_Wind_F3_Export_Reading]]-CN71)*1200)&gt;0,(Input_Raw[[#This Row],[33 kV_Wind_F3_Export_Reading]]-CN71)*1200,0)</f>
        <v>50400</v>
      </c>
      <c r="CW72" s="91">
        <f>IF(((Input_Raw[[#This Row],[33 kV_Wind_F3_Import_Reading]]-CO71)*1200)&gt;0,(Input_Raw[[#This Row],[33 kV_Wind_F3_Import_Reading]]-CO71)*1200,0)</f>
        <v>0</v>
      </c>
      <c r="CX72" s="91">
        <f>IF(((Input_Raw[[#This Row],[33 kV_Wind_F4_Export Reading]]-CP71)*1200)&gt;0,(Input_Raw[[#This Row],[33 kV_Wind_F4_Export Reading]]-CP71)*1200,0)</f>
        <v>58800</v>
      </c>
      <c r="CY72" s="91">
        <f>IF(((Input_Raw[[#This Row],[33 kV_Wind_F4_Import Reading]]-CQ71)*1200)&gt;0,(Input_Raw[[#This Row],[33 kV_Wind_F4_Import Reading]]-CQ71)*1200,0)</f>
        <v>0</v>
      </c>
      <c r="CZ72" s="91">
        <f>Input_Raw[[#This Row],[33 kV_F1_Total_Export (KWh)]]+Input_Raw[[#This Row],[33 kV_F2_Total_Export (KWh)2]]+Input_Raw[[#This Row],[33 kV_Wind_F3_Export (KWh)]]+Input_Raw[[#This Row],[33 kV_Wind_F4_Export (KWh)]]</f>
        <v>157200</v>
      </c>
      <c r="DA72" s="91">
        <f>Input_Raw[[#This Row],[33 kV_Wind_F1_Import (KWh)]]+Input_Raw[[#This Row],[33 kV_Wind_F2_Import (KWh)]]+Input_Raw[[#This Row],[33 kV_Wind_F3_Import (KWh)2]]+Input_Raw[[#This Row],[33 kV_Wind_F4_Import (KWh)2]]</f>
        <v>0</v>
      </c>
      <c r="DB72" s="21">
        <f>IFERROR(1-Input_Raw[[#This Row],[33 kV_Wind_Total_Export (KWh)]]/Input_Raw[[#This Row],[WTG Total Gneration (KWh)]],0)</f>
        <v>2.486833861633031E-2</v>
      </c>
      <c r="DC72" s="100">
        <v>96</v>
      </c>
      <c r="DD72" s="100">
        <v>19160</v>
      </c>
      <c r="DE72" s="171">
        <v>161.19999999999999</v>
      </c>
      <c r="DF72" s="99"/>
      <c r="DG72" s="101">
        <v>78</v>
      </c>
      <c r="DH72" s="168" t="s">
        <v>381</v>
      </c>
    </row>
    <row r="73" spans="1:112">
      <c r="A73" s="20">
        <f t="shared" si="6"/>
        <v>45813</v>
      </c>
      <c r="B73" s="12">
        <f>YEAR([1]!Input_Raw[[#This Row],[Date]])+IF(MONTH([1]!Input_Raw[[#This Row],[Date]])&gt;=4,1,0)</f>
        <v>2026</v>
      </c>
      <c r="C73" s="13">
        <f>YEAR([1]!Input_Raw[[#This Row],[Date]])</f>
        <v>2025</v>
      </c>
      <c r="D73" s="14">
        <f t="shared" si="5"/>
        <v>45809</v>
      </c>
      <c r="E73" s="13">
        <f>DAY(EOMONTH([1]!Input_Raw[[#This Row],[Date]],0))</f>
        <v>30</v>
      </c>
      <c r="F73" s="15">
        <v>9011</v>
      </c>
      <c r="G73" s="15">
        <v>9018</v>
      </c>
      <c r="H73" s="15">
        <v>9015</v>
      </c>
      <c r="I73" s="15">
        <v>8627</v>
      </c>
      <c r="J73" s="15">
        <v>6821</v>
      </c>
      <c r="K73" s="15">
        <v>7959</v>
      </c>
      <c r="L73" s="15">
        <v>9009</v>
      </c>
      <c r="M73" s="15">
        <v>9012</v>
      </c>
      <c r="N73" s="15">
        <v>8001</v>
      </c>
      <c r="O73" s="15">
        <v>9019</v>
      </c>
      <c r="P73" s="15">
        <v>8644</v>
      </c>
      <c r="Q73" s="15">
        <v>8012</v>
      </c>
      <c r="R73" s="15">
        <v>8015</v>
      </c>
      <c r="S73" s="15">
        <v>8012</v>
      </c>
      <c r="T73" s="15">
        <v>8021</v>
      </c>
      <c r="U73" s="15">
        <v>8016</v>
      </c>
      <c r="V73" s="15">
        <v>8025</v>
      </c>
      <c r="W73" s="15">
        <v>8019</v>
      </c>
      <c r="X73" s="15">
        <v>7778</v>
      </c>
      <c r="Y73" s="15">
        <v>8078</v>
      </c>
      <c r="Z73" s="15">
        <v>6832</v>
      </c>
      <c r="AA73" s="15">
        <v>6828</v>
      </c>
      <c r="AB73" s="15">
        <v>6809</v>
      </c>
      <c r="AC73" s="15">
        <v>6845</v>
      </c>
      <c r="AD73" s="15">
        <v>6215</v>
      </c>
      <c r="AE73" s="15">
        <v>6840</v>
      </c>
      <c r="AF73" s="15">
        <v>6856</v>
      </c>
      <c r="AG73" s="15">
        <v>0</v>
      </c>
      <c r="AH73" s="15">
        <v>6862</v>
      </c>
      <c r="AI73" s="15">
        <v>0</v>
      </c>
      <c r="AJ73" s="15">
        <v>6218</v>
      </c>
      <c r="AK73" s="15">
        <v>6221</v>
      </c>
      <c r="AL73" s="15">
        <v>6224</v>
      </c>
      <c r="AM73" s="15">
        <v>6232</v>
      </c>
      <c r="AN73" s="15">
        <v>5589</v>
      </c>
      <c r="AO73" s="15">
        <v>5753</v>
      </c>
      <c r="AP73" s="15">
        <v>6211</v>
      </c>
      <c r="AQ73" s="15">
        <v>6232</v>
      </c>
      <c r="AR73" s="15">
        <v>6245</v>
      </c>
      <c r="AS73" s="16">
        <v>4.8499999999999996</v>
      </c>
      <c r="AT73" s="16">
        <v>5.26</v>
      </c>
      <c r="AU73" s="16">
        <v>4.68</v>
      </c>
      <c r="AV73" s="16">
        <v>5.05</v>
      </c>
      <c r="AW73" s="16">
        <v>5</v>
      </c>
      <c r="AX73" s="16">
        <v>5.1100000000000003</v>
      </c>
      <c r="AY73" s="16">
        <v>4.84</v>
      </c>
      <c r="AZ73" s="16">
        <v>4.4800000000000004</v>
      </c>
      <c r="BA73" s="16">
        <v>5.09</v>
      </c>
      <c r="BB73" s="16">
        <v>4.83</v>
      </c>
      <c r="BC73" s="16">
        <v>5.29</v>
      </c>
      <c r="BD73" s="16">
        <v>5.04</v>
      </c>
      <c r="BE73" s="16">
        <v>5.15</v>
      </c>
      <c r="BF73" s="16">
        <v>5.24</v>
      </c>
      <c r="BG73" s="16">
        <v>4.99</v>
      </c>
      <c r="BH73" s="16">
        <v>5.44</v>
      </c>
      <c r="BI73" s="16">
        <v>4.96</v>
      </c>
      <c r="BJ73" s="16">
        <v>5.48</v>
      </c>
      <c r="BK73" s="16">
        <v>5.43</v>
      </c>
      <c r="BL73" s="16">
        <v>5.67</v>
      </c>
      <c r="BM73" s="16">
        <v>0</v>
      </c>
      <c r="BN73" s="16">
        <v>5.29</v>
      </c>
      <c r="BO73" s="16">
        <v>4.82</v>
      </c>
      <c r="BP73" s="16">
        <v>5.04</v>
      </c>
      <c r="BQ73" s="16">
        <v>5.32</v>
      </c>
      <c r="BR73" s="16">
        <v>5.01</v>
      </c>
      <c r="BS73" s="16">
        <v>5.03</v>
      </c>
      <c r="BT73" s="16">
        <v>0</v>
      </c>
      <c r="BU73" s="16">
        <v>4.8099999999999996</v>
      </c>
      <c r="BV73" s="16">
        <v>0</v>
      </c>
      <c r="BW73" s="16">
        <v>4.95</v>
      </c>
      <c r="BX73" s="16">
        <v>5.01</v>
      </c>
      <c r="BY73" s="16">
        <v>4.99</v>
      </c>
      <c r="BZ73" s="16">
        <v>5.16</v>
      </c>
      <c r="CA73" s="16">
        <v>5.21</v>
      </c>
      <c r="CB73" s="16">
        <v>4.87</v>
      </c>
      <c r="CC73" s="16">
        <v>5.18</v>
      </c>
      <c r="CD73" s="16">
        <v>4.8499999999999996</v>
      </c>
      <c r="CE73" s="16">
        <v>5.19</v>
      </c>
      <c r="CF73" s="17">
        <f>SUM(Input_Raw[[#This Row],[G01]:[G40]])</f>
        <v>275124</v>
      </c>
      <c r="CG73" s="18">
        <f>IFERROR(AVERAGE(Input_Raw[[#This Row],[WS_G01]:[WS_G40]]),"")</f>
        <v>4.6823076923076918</v>
      </c>
      <c r="CH73" s="19"/>
      <c r="CI73" s="19"/>
      <c r="CJ73" s="15">
        <v>242045</v>
      </c>
      <c r="CK73" s="15">
        <v>2190</v>
      </c>
      <c r="CL73" s="15">
        <v>281765</v>
      </c>
      <c r="CM73" s="15">
        <v>2216</v>
      </c>
      <c r="CN73" s="15">
        <v>258358</v>
      </c>
      <c r="CO73" s="15">
        <v>1824</v>
      </c>
      <c r="CP73" s="15">
        <v>294527</v>
      </c>
      <c r="CQ73" s="15">
        <v>1869</v>
      </c>
      <c r="CR73" s="91">
        <f>IF(((Input_Raw[[#This Row],[33 kV_Wind_F1_Export reading]]-CJ72)*1200)&gt;0,(Input_Raw[[#This Row],[33 kV_Wind_F1_Export reading]]-CJ72)*1200,0)</f>
        <v>60000</v>
      </c>
      <c r="CS73" s="91">
        <f>IF(((Input_Raw[[#This Row],[33 kV_Wind_F1_Import reading]]-CK72)*1200)&gt;0,(Input_Raw[[#This Row],[33 kV_Wind_F1_Import reading]]-CK72)*1200,0)</f>
        <v>1200</v>
      </c>
      <c r="CT73" s="91">
        <f>IF(((Input_Raw[[#This Row],[33 kV_Wind_F2_Export_reading]]-CL72)*1200)&gt;0,(Input_Raw[[#This Row],[33 kV_Wind_F2_Export_reading]]-CL72)*1200,0)</f>
        <v>54000</v>
      </c>
      <c r="CU73" s="91">
        <f>IF(((Input_Raw[[#This Row],[33 kV_Wind_F2_Import_reading]]-CM72)*1200)&gt;0,(Input_Raw[[#This Row],[33 kV_Wind_F2_Import_reading]]-CM72)*1200,0)</f>
        <v>0</v>
      </c>
      <c r="CV73" s="91">
        <f>IF(((Input_Raw[[#This Row],[33 kV_Wind_F3_Export_Reading]]-CN72)*1200)&gt;0,(Input_Raw[[#This Row],[33 kV_Wind_F3_Export_Reading]]-CN72)*1200,0)</f>
        <v>79200</v>
      </c>
      <c r="CW73" s="91">
        <f>IF(((Input_Raw[[#This Row],[33 kV_Wind_F3_Import_Reading]]-CO72)*1200)&gt;0,(Input_Raw[[#This Row],[33 kV_Wind_F3_Import_Reading]]-CO72)*1200,0)</f>
        <v>1200</v>
      </c>
      <c r="CX73" s="91">
        <f>IF(((Input_Raw[[#This Row],[33 kV_Wind_F4_Export Reading]]-CP72)*1200)&gt;0,(Input_Raw[[#This Row],[33 kV_Wind_F4_Export Reading]]-CP72)*1200,0)</f>
        <v>79200</v>
      </c>
      <c r="CY73" s="91">
        <f>IF(((Input_Raw[[#This Row],[33 kV_Wind_F4_Import Reading]]-CQ72)*1200)&gt;0,(Input_Raw[[#This Row],[33 kV_Wind_F4_Import Reading]]-CQ72)*1200,0)</f>
        <v>0</v>
      </c>
      <c r="CZ73" s="91">
        <f>Input_Raw[[#This Row],[33 kV_F1_Total_Export (KWh)]]+Input_Raw[[#This Row],[33 kV_F2_Total_Export (KWh)2]]+Input_Raw[[#This Row],[33 kV_Wind_F3_Export (KWh)]]+Input_Raw[[#This Row],[33 kV_Wind_F4_Export (KWh)]]</f>
        <v>272400</v>
      </c>
      <c r="DA73" s="91">
        <f>Input_Raw[[#This Row],[33 kV_Wind_F1_Import (KWh)]]+Input_Raw[[#This Row],[33 kV_Wind_F2_Import (KWh)]]+Input_Raw[[#This Row],[33 kV_Wind_F3_Import (KWh)2]]+Input_Raw[[#This Row],[33 kV_Wind_F4_Import (KWh)2]]</f>
        <v>2400</v>
      </c>
      <c r="DB73" s="21">
        <f>IFERROR(1-Input_Raw[[#This Row],[33 kV_Wind_Total_Export (KWh)]]/Input_Raw[[#This Row],[WTG Total Gneration (KWh)]],0)</f>
        <v>9.9009900990099098E-3</v>
      </c>
      <c r="DC73" s="100">
        <v>96</v>
      </c>
      <c r="DD73" s="100">
        <v>8433</v>
      </c>
      <c r="DE73" s="102">
        <v>275.12</v>
      </c>
      <c r="DF73" s="99"/>
      <c r="DG73" s="101">
        <v>78</v>
      </c>
      <c r="DH73" s="168" t="s">
        <v>381</v>
      </c>
    </row>
    <row r="74" spans="1:112">
      <c r="A74" s="20">
        <f t="shared" si="6"/>
        <v>45814</v>
      </c>
      <c r="B74" s="12">
        <f>YEAR([1]!Input_Raw[[#This Row],[Date]])+IF(MONTH([1]!Input_Raw[[#This Row],[Date]])&gt;=4,1,0)</f>
        <v>2026</v>
      </c>
      <c r="C74" s="13">
        <f>YEAR([1]!Input_Raw[[#This Row],[Date]])</f>
        <v>2025</v>
      </c>
      <c r="D74" s="14">
        <f t="shared" si="5"/>
        <v>45809</v>
      </c>
      <c r="E74" s="13">
        <f>DAY(EOMONTH([1]!Input_Raw[[#This Row],[Date]],0))</f>
        <v>30</v>
      </c>
      <c r="F74" s="15">
        <v>14601</v>
      </c>
      <c r="G74" s="15">
        <v>14605</v>
      </c>
      <c r="H74" s="15">
        <v>12264</v>
      </c>
      <c r="I74" s="15">
        <v>14606</v>
      </c>
      <c r="J74" s="15">
        <v>9321</v>
      </c>
      <c r="K74" s="88">
        <v>14611</v>
      </c>
      <c r="L74" s="88">
        <v>14608</v>
      </c>
      <c r="M74" s="88">
        <v>14615</v>
      </c>
      <c r="N74" s="15">
        <v>12801</v>
      </c>
      <c r="O74" s="88">
        <v>14632</v>
      </c>
      <c r="P74" s="88">
        <v>14640</v>
      </c>
      <c r="Q74" s="15">
        <v>12857</v>
      </c>
      <c r="R74" s="15">
        <v>12846</v>
      </c>
      <c r="S74" s="15">
        <v>12852</v>
      </c>
      <c r="T74" s="15">
        <v>12845</v>
      </c>
      <c r="U74" s="15">
        <v>12843</v>
      </c>
      <c r="V74" s="15">
        <v>12842</v>
      </c>
      <c r="W74" s="15">
        <v>12847</v>
      </c>
      <c r="X74" s="15">
        <v>12867</v>
      </c>
      <c r="Y74" s="15">
        <v>12876</v>
      </c>
      <c r="Z74" s="15">
        <v>9354</v>
      </c>
      <c r="AA74" s="15">
        <v>9352</v>
      </c>
      <c r="AB74" s="15">
        <v>9345</v>
      </c>
      <c r="AC74" s="15">
        <v>9359</v>
      </c>
      <c r="AD74" s="15">
        <v>7790</v>
      </c>
      <c r="AE74" s="15">
        <v>9355</v>
      </c>
      <c r="AF74" s="15">
        <v>9362</v>
      </c>
      <c r="AG74" s="15">
        <v>0</v>
      </c>
      <c r="AH74" s="15">
        <v>9365</v>
      </c>
      <c r="AI74" s="15">
        <v>0</v>
      </c>
      <c r="AJ74" s="15">
        <v>7756</v>
      </c>
      <c r="AK74" s="15">
        <v>7759</v>
      </c>
      <c r="AL74" s="15">
        <v>7784</v>
      </c>
      <c r="AM74" s="15">
        <v>7787</v>
      </c>
      <c r="AN74" s="15">
        <v>7780</v>
      </c>
      <c r="AO74" s="15">
        <v>6689</v>
      </c>
      <c r="AP74" s="15">
        <v>7769</v>
      </c>
      <c r="AQ74" s="15">
        <v>7782</v>
      </c>
      <c r="AR74" s="15">
        <v>7789</v>
      </c>
      <c r="AS74" s="16">
        <v>4.8499999999999996</v>
      </c>
      <c r="AT74" s="16">
        <v>5.37</v>
      </c>
      <c r="AU74" s="16">
        <v>4.76</v>
      </c>
      <c r="AV74" s="16">
        <v>4.7699999999999996</v>
      </c>
      <c r="AW74" s="16">
        <v>5.09</v>
      </c>
      <c r="AX74" s="16">
        <v>5.19</v>
      </c>
      <c r="AY74" s="16">
        <v>4.8</v>
      </c>
      <c r="AZ74" s="16">
        <v>4.87</v>
      </c>
      <c r="BA74" s="16">
        <v>5.25</v>
      </c>
      <c r="BB74" s="16">
        <v>4.9800000000000004</v>
      </c>
      <c r="BC74" s="16">
        <v>5.45</v>
      </c>
      <c r="BD74" s="16">
        <v>5.28</v>
      </c>
      <c r="BE74" s="16">
        <v>5.32</v>
      </c>
      <c r="BF74" s="16">
        <v>5.14</v>
      </c>
      <c r="BG74" s="16">
        <v>5.09</v>
      </c>
      <c r="BH74" s="16">
        <v>5.27</v>
      </c>
      <c r="BI74" s="16">
        <v>5.07</v>
      </c>
      <c r="BJ74" s="16">
        <v>5.36</v>
      </c>
      <c r="BK74" s="16">
        <v>6.59</v>
      </c>
      <c r="BL74" s="16">
        <v>5.63</v>
      </c>
      <c r="BM74" s="16">
        <v>5.4</v>
      </c>
      <c r="BN74" s="16">
        <v>5.44</v>
      </c>
      <c r="BO74" s="16">
        <v>4.66</v>
      </c>
      <c r="BP74" s="16">
        <v>4.9800000000000004</v>
      </c>
      <c r="BQ74" s="16">
        <v>4.95</v>
      </c>
      <c r="BR74" s="16">
        <v>4.71</v>
      </c>
      <c r="BS74" s="16">
        <v>4.88</v>
      </c>
      <c r="BT74" s="16">
        <v>0</v>
      </c>
      <c r="BU74" s="16">
        <v>4.8600000000000003</v>
      </c>
      <c r="BV74" s="16">
        <v>0</v>
      </c>
      <c r="BW74" s="16">
        <v>4.59</v>
      </c>
      <c r="BX74" s="16">
        <v>4.7300000000000004</v>
      </c>
      <c r="BY74" s="16">
        <v>4.88</v>
      </c>
      <c r="BZ74" s="16">
        <v>4.88</v>
      </c>
      <c r="CA74" s="16">
        <v>5.07</v>
      </c>
      <c r="CB74" s="16">
        <v>5.05</v>
      </c>
      <c r="CC74" s="16">
        <v>4.83</v>
      </c>
      <c r="CD74" s="16">
        <v>4.74</v>
      </c>
      <c r="CE74" s="16">
        <v>5.01</v>
      </c>
      <c r="CF74" s="17">
        <f>SUM(Input_Raw[[#This Row],[G01]:[G40]])</f>
        <v>409156</v>
      </c>
      <c r="CG74" s="18">
        <f>IFERROR(AVERAGE(Input_Raw[[#This Row],[WS_G01]:[WS_G40]]),"")</f>
        <v>4.8151282051282047</v>
      </c>
      <c r="CH74" s="19"/>
      <c r="CI74" s="19"/>
      <c r="CJ74" s="15">
        <v>242109</v>
      </c>
      <c r="CK74" s="15">
        <v>2190</v>
      </c>
      <c r="CL74" s="15">
        <v>281828</v>
      </c>
      <c r="CM74" s="15">
        <v>2216</v>
      </c>
      <c r="CN74" s="15">
        <v>258466</v>
      </c>
      <c r="CO74" s="15">
        <v>1824</v>
      </c>
      <c r="CP74" s="15">
        <v>294623</v>
      </c>
      <c r="CQ74" s="15">
        <v>1869</v>
      </c>
      <c r="CR74" s="91">
        <f>IF(((Input_Raw[[#This Row],[33 kV_Wind_F1_Export reading]]-CJ73)*1200)&gt;0,(Input_Raw[[#This Row],[33 kV_Wind_F1_Export reading]]-CJ73)*1200,0)</f>
        <v>76800</v>
      </c>
      <c r="CS74" s="91">
        <f>IF(((Input_Raw[[#This Row],[33 kV_Wind_F1_Import reading]]-CK73)*1200)&gt;0,(Input_Raw[[#This Row],[33 kV_Wind_F1_Import reading]]-CK73)*1200,0)</f>
        <v>0</v>
      </c>
      <c r="CT74" s="91">
        <f>IF(((Input_Raw[[#This Row],[33 kV_Wind_F2_Export_reading]]-CL73)*1200)&gt;0,(Input_Raw[[#This Row],[33 kV_Wind_F2_Export_reading]]-CL73)*1200,0)</f>
        <v>75600</v>
      </c>
      <c r="CU74" s="91">
        <f>IF(((Input_Raw[[#This Row],[33 kV_Wind_F2_Import_reading]]-CM73)*1200)&gt;0,(Input_Raw[[#This Row],[33 kV_Wind_F2_Import_reading]]-CM73)*1200,0)</f>
        <v>0</v>
      </c>
      <c r="CV74" s="91">
        <f>IF(((Input_Raw[[#This Row],[33 kV_Wind_F3_Export_Reading]]-CN73)*1200)&gt;0,(Input_Raw[[#This Row],[33 kV_Wind_F3_Export_Reading]]-CN73)*1200,0)</f>
        <v>129600</v>
      </c>
      <c r="CW74" s="91">
        <f>IF(((Input_Raw[[#This Row],[33 kV_Wind_F3_Import_Reading]]-CO73)*1200)&gt;0,(Input_Raw[[#This Row],[33 kV_Wind_F3_Import_Reading]]-CO73)*1200,0)</f>
        <v>0</v>
      </c>
      <c r="CX74" s="91">
        <f>IF(((Input_Raw[[#This Row],[33 kV_Wind_F4_Export Reading]]-CP73)*1200)&gt;0,(Input_Raw[[#This Row],[33 kV_Wind_F4_Export Reading]]-CP73)*1200,0)</f>
        <v>115200</v>
      </c>
      <c r="CY74" s="91">
        <f>IF(((Input_Raw[[#This Row],[33 kV_Wind_F4_Import Reading]]-CQ73)*1200)&gt;0,(Input_Raw[[#This Row],[33 kV_Wind_F4_Import Reading]]-CQ73)*1200,0)</f>
        <v>0</v>
      </c>
      <c r="CZ74" s="91">
        <f>Input_Raw[[#This Row],[33 kV_F1_Total_Export (KWh)]]+Input_Raw[[#This Row],[33 kV_F2_Total_Export (KWh)2]]+Input_Raw[[#This Row],[33 kV_Wind_F3_Export (KWh)]]+Input_Raw[[#This Row],[33 kV_Wind_F4_Export (KWh)]]</f>
        <v>397200</v>
      </c>
      <c r="DA74" s="91">
        <f>Input_Raw[[#This Row],[33 kV_Wind_F1_Import (KWh)]]+Input_Raw[[#This Row],[33 kV_Wind_F2_Import (KWh)]]+Input_Raw[[#This Row],[33 kV_Wind_F3_Import (KWh)2]]+Input_Raw[[#This Row],[33 kV_Wind_F4_Import (KWh)2]]</f>
        <v>0</v>
      </c>
      <c r="DB74" s="21">
        <f>IFERROR(1-Input_Raw[[#This Row],[33 kV_Wind_Total_Export (KWh)]]/Input_Raw[[#This Row],[WTG Total Gneration (KWh)]],0)</f>
        <v>2.9221128371574645E-2</v>
      </c>
      <c r="DC74" s="100">
        <v>96</v>
      </c>
      <c r="DD74" s="100">
        <v>35674</v>
      </c>
      <c r="DE74" s="102">
        <v>409.15</v>
      </c>
      <c r="DF74" s="99"/>
      <c r="DG74" s="101">
        <v>78</v>
      </c>
      <c r="DH74" s="168" t="s">
        <v>381</v>
      </c>
    </row>
    <row r="75" spans="1:112">
      <c r="A75" s="20">
        <f t="shared" si="6"/>
        <v>45815</v>
      </c>
      <c r="B75" s="12">
        <f>YEAR([1]!Input_Raw[[#This Row],[Date]])+IF(MONTH([1]!Input_Raw[[#This Row],[Date]])&gt;=4,1,0)</f>
        <v>2026</v>
      </c>
      <c r="C75" s="13">
        <f>YEAR([1]!Input_Raw[[#This Row],[Date]])</f>
        <v>2025</v>
      </c>
      <c r="D75" s="14">
        <f t="shared" si="5"/>
        <v>45809</v>
      </c>
      <c r="E75" s="13">
        <f>DAY(EOMONTH([1]!Input_Raw[[#This Row],[Date]],0))</f>
        <v>30</v>
      </c>
      <c r="F75" s="15">
        <v>19801</v>
      </c>
      <c r="G75" s="15">
        <v>19807</v>
      </c>
      <c r="H75" s="15">
        <v>19809</v>
      </c>
      <c r="I75" s="15">
        <v>18098</v>
      </c>
      <c r="J75" s="15">
        <v>13021</v>
      </c>
      <c r="K75" s="15">
        <v>19815</v>
      </c>
      <c r="L75" s="15">
        <v>19801</v>
      </c>
      <c r="M75" s="15">
        <v>19811</v>
      </c>
      <c r="N75" s="15">
        <v>16321</v>
      </c>
      <c r="O75" s="15">
        <v>19819</v>
      </c>
      <c r="P75" s="15">
        <v>19821</v>
      </c>
      <c r="Q75" s="15">
        <v>16342</v>
      </c>
      <c r="R75" s="15">
        <v>16345</v>
      </c>
      <c r="S75" s="15">
        <v>16347</v>
      </c>
      <c r="T75" s="15">
        <v>16344</v>
      </c>
      <c r="U75" s="15">
        <v>16332</v>
      </c>
      <c r="V75" s="15">
        <v>16322</v>
      </c>
      <c r="W75" s="15">
        <v>16329</v>
      </c>
      <c r="X75" s="15">
        <v>16345</v>
      </c>
      <c r="Y75" s="15">
        <v>16352</v>
      </c>
      <c r="Z75" s="15">
        <v>13051</v>
      </c>
      <c r="AA75" s="15">
        <v>13042</v>
      </c>
      <c r="AB75" s="15">
        <v>13038</v>
      </c>
      <c r="AC75" s="15">
        <v>13045</v>
      </c>
      <c r="AD75" s="15">
        <v>10821</v>
      </c>
      <c r="AE75" s="15">
        <v>13042</v>
      </c>
      <c r="AF75" s="15">
        <v>12590</v>
      </c>
      <c r="AG75" s="15">
        <v>0</v>
      </c>
      <c r="AH75" s="15">
        <v>12542</v>
      </c>
      <c r="AI75" s="15">
        <v>0</v>
      </c>
      <c r="AJ75" s="15">
        <v>10829</v>
      </c>
      <c r="AK75" s="15">
        <v>10824</v>
      </c>
      <c r="AL75" s="15">
        <v>10832</v>
      </c>
      <c r="AM75" s="15">
        <v>10835</v>
      </c>
      <c r="AN75" s="15">
        <v>10838</v>
      </c>
      <c r="AO75" s="15">
        <v>10840</v>
      </c>
      <c r="AP75" s="15">
        <v>10831</v>
      </c>
      <c r="AQ75" s="15">
        <v>10841</v>
      </c>
      <c r="AR75" s="15">
        <v>10844</v>
      </c>
      <c r="AS75" s="89">
        <v>5.8621319444444415</v>
      </c>
      <c r="AT75" s="16">
        <v>6.3055555555555545</v>
      </c>
      <c r="AU75" s="16">
        <v>5.2876624999999988</v>
      </c>
      <c r="AV75" s="16">
        <v>5.3705000000000007</v>
      </c>
      <c r="AW75" s="16">
        <v>5.0465361111111111</v>
      </c>
      <c r="AX75" s="16">
        <v>5.8957361111111117</v>
      </c>
      <c r="AY75" s="16">
        <v>5.8957361111111117</v>
      </c>
      <c r="AZ75" s="16">
        <v>5.8117013888888884</v>
      </c>
      <c r="BA75" s="16">
        <v>6.2648402777777781</v>
      </c>
      <c r="BB75" s="16">
        <v>4.8664374999999991</v>
      </c>
      <c r="BC75" s="16">
        <v>5.6271666666666667</v>
      </c>
      <c r="BD75" s="16">
        <v>5.7042083333333338</v>
      </c>
      <c r="BE75" s="16">
        <v>5.521229166666668</v>
      </c>
      <c r="BF75" s="16">
        <v>5.7344027777777802</v>
      </c>
      <c r="BG75" s="16">
        <v>6.0184652777777803</v>
      </c>
      <c r="BH75" s="16">
        <v>5.5627708333333317</v>
      </c>
      <c r="BI75" s="16">
        <v>6.2912430555555545</v>
      </c>
      <c r="BJ75" s="16">
        <v>5.945188888888886</v>
      </c>
      <c r="BK75" s="16">
        <v>6.109395833333334</v>
      </c>
      <c r="BL75" s="16">
        <v>6.4610694444444432</v>
      </c>
      <c r="BM75" s="16">
        <v>5.9728426086956548</v>
      </c>
      <c r="BN75" s="16">
        <v>4.9143090909090903</v>
      </c>
      <c r="BO75" s="16">
        <v>5.1144638888888885</v>
      </c>
      <c r="BP75" s="16">
        <v>5.3359777777777788</v>
      </c>
      <c r="BQ75" s="16">
        <v>5.0754985294117674</v>
      </c>
      <c r="BR75" s="16">
        <v>5.3434958333333338</v>
      </c>
      <c r="BS75" s="16">
        <v>5.0553076388888858</v>
      </c>
      <c r="BT75" s="16">
        <v>0</v>
      </c>
      <c r="BU75" s="16">
        <v>5</v>
      </c>
      <c r="BV75" s="16">
        <v>0</v>
      </c>
      <c r="BW75" s="16">
        <v>4.9429823529411756</v>
      </c>
      <c r="BX75" s="16">
        <v>4.9764632352941165</v>
      </c>
      <c r="BY75" s="16">
        <v>5.2576333333333336</v>
      </c>
      <c r="BZ75" s="16">
        <v>5.670325663716814</v>
      </c>
      <c r="CA75" s="16">
        <v>5.5863234234234236</v>
      </c>
      <c r="CB75" s="16">
        <v>5.4673336283185847</v>
      </c>
      <c r="CC75" s="16">
        <v>5.2683985294117646</v>
      </c>
      <c r="CD75" s="16">
        <v>5.2848022058823538</v>
      </c>
      <c r="CE75" s="16">
        <v>5.2838499999999984</v>
      </c>
      <c r="CF75" s="17">
        <f>SUM(Input_Raw[[#This Row],[G01]:[G40]])</f>
        <v>551667</v>
      </c>
      <c r="CG75" s="18">
        <f>IFERROR(AVERAGE(Input_Raw[[#This Row],[WS_G01]:[WS_G40]]),"")</f>
        <v>5.25979450046166</v>
      </c>
      <c r="CH75" s="19"/>
      <c r="CI75" s="19"/>
      <c r="CJ75" s="15">
        <v>242199</v>
      </c>
      <c r="CK75" s="15">
        <v>2190</v>
      </c>
      <c r="CL75" s="15">
        <v>281913</v>
      </c>
      <c r="CM75" s="15">
        <v>2216</v>
      </c>
      <c r="CN75" s="15">
        <v>258613</v>
      </c>
      <c r="CO75" s="15">
        <v>1824</v>
      </c>
      <c r="CP75" s="15">
        <v>294759</v>
      </c>
      <c r="CQ75" s="15">
        <v>1869</v>
      </c>
      <c r="CR75" s="91">
        <f>IF(((Input_Raw[[#This Row],[33 kV_Wind_F1_Export reading]]-CJ74)*1200)&gt;0,(Input_Raw[[#This Row],[33 kV_Wind_F1_Export reading]]-CJ74)*1200,0)</f>
        <v>108000</v>
      </c>
      <c r="CS75" s="91">
        <f>IF(((Input_Raw[[#This Row],[33 kV_Wind_F1_Import reading]]-CK74)*1200)&gt;0,(Input_Raw[[#This Row],[33 kV_Wind_F1_Import reading]]-CK74)*1200,0)</f>
        <v>0</v>
      </c>
      <c r="CT75" s="91">
        <f>IF(((Input_Raw[[#This Row],[33 kV_Wind_F2_Export_reading]]-CL74)*1200)&gt;0,(Input_Raw[[#This Row],[33 kV_Wind_F2_Export_reading]]-CL74)*1200,0)</f>
        <v>102000</v>
      </c>
      <c r="CU75" s="91">
        <f>IF(((Input_Raw[[#This Row],[33 kV_Wind_F2_Import_reading]]-CM74)*1200)&gt;0,(Input_Raw[[#This Row],[33 kV_Wind_F2_Import_reading]]-CM74)*1200,0)</f>
        <v>0</v>
      </c>
      <c r="CV75" s="91">
        <f>IF(((Input_Raw[[#This Row],[33 kV_Wind_F3_Export_Reading]]-CN74)*1200)&gt;0,(Input_Raw[[#This Row],[33 kV_Wind_F3_Export_Reading]]-CN74)*1200,0)</f>
        <v>176400</v>
      </c>
      <c r="CW75" s="91">
        <f>IF(((Input_Raw[[#This Row],[33 kV_Wind_F3_Import_Reading]]-CO74)*1200)&gt;0,(Input_Raw[[#This Row],[33 kV_Wind_F3_Import_Reading]]-CO74)*1200,0)</f>
        <v>0</v>
      </c>
      <c r="CX75" s="91">
        <f>IF(((Input_Raw[[#This Row],[33 kV_Wind_F4_Export Reading]]-CP74)*1200)&gt;0,(Input_Raw[[#This Row],[33 kV_Wind_F4_Export Reading]]-CP74)*1200,0)</f>
        <v>163200</v>
      </c>
      <c r="CY75" s="91">
        <f>IF(((Input_Raw[[#This Row],[33 kV_Wind_F4_Import Reading]]-CQ74)*1200)&gt;0,(Input_Raw[[#This Row],[33 kV_Wind_F4_Import Reading]]-CQ74)*1200,0)</f>
        <v>0</v>
      </c>
      <c r="CZ75" s="91">
        <f>Input_Raw[[#This Row],[33 kV_F1_Total_Export (KWh)]]+Input_Raw[[#This Row],[33 kV_F2_Total_Export (KWh)2]]+Input_Raw[[#This Row],[33 kV_Wind_F3_Export (KWh)]]+Input_Raw[[#This Row],[33 kV_Wind_F4_Export (KWh)]]</f>
        <v>549600</v>
      </c>
      <c r="DA75" s="91">
        <f>Input_Raw[[#This Row],[33 kV_Wind_F1_Import (KWh)]]+Input_Raw[[#This Row],[33 kV_Wind_F2_Import (KWh)]]+Input_Raw[[#This Row],[33 kV_Wind_F3_Import (KWh)2]]+Input_Raw[[#This Row],[33 kV_Wind_F4_Import (KWh)2]]</f>
        <v>0</v>
      </c>
      <c r="DB75" s="21">
        <f>IFERROR(1-Input_Raw[[#This Row],[33 kV_Wind_Total_Export (KWh)]]/Input_Raw[[#This Row],[WTG Total Gneration (KWh)]],0)</f>
        <v>3.7468255306190024E-3</v>
      </c>
      <c r="DC75" s="100">
        <v>96</v>
      </c>
      <c r="DD75" s="100">
        <v>70776</v>
      </c>
      <c r="DE75" s="102">
        <v>551.66</v>
      </c>
      <c r="DF75" s="99"/>
      <c r="DG75" s="101">
        <v>78</v>
      </c>
      <c r="DH75" s="168" t="s">
        <v>381</v>
      </c>
    </row>
    <row r="76" spans="1:112">
      <c r="A76" s="20">
        <f t="shared" si="6"/>
        <v>45816</v>
      </c>
      <c r="B76" s="12">
        <f>YEAR([1]!Input_Raw[[#This Row],[Date]])+IF(MONTH([1]!Input_Raw[[#This Row],[Date]])&gt;=4,1,0)</f>
        <v>2026</v>
      </c>
      <c r="C76" s="13">
        <f>YEAR([1]!Input_Raw[[#This Row],[Date]])</f>
        <v>2025</v>
      </c>
      <c r="D76" s="14">
        <f t="shared" si="5"/>
        <v>45809</v>
      </c>
      <c r="E76" s="13">
        <f>DAY(EOMONTH([1]!Input_Raw[[#This Row],[Date]],0))</f>
        <v>30</v>
      </c>
      <c r="F76" s="15">
        <v>20601</v>
      </c>
      <c r="G76" s="15">
        <v>20609</v>
      </c>
      <c r="H76" s="15">
        <v>20611</v>
      </c>
      <c r="I76" s="15">
        <v>20615</v>
      </c>
      <c r="J76" s="15">
        <v>12000</v>
      </c>
      <c r="K76" s="15">
        <v>20619</v>
      </c>
      <c r="L76" s="15">
        <v>20605</v>
      </c>
      <c r="M76" s="15">
        <v>20621</v>
      </c>
      <c r="N76" s="15">
        <v>18150</v>
      </c>
      <c r="O76" s="15">
        <v>20626</v>
      </c>
      <c r="P76" s="15">
        <v>20632</v>
      </c>
      <c r="Q76" s="15">
        <v>18154</v>
      </c>
      <c r="R76" s="15">
        <v>18159</v>
      </c>
      <c r="S76" s="15">
        <v>18162</v>
      </c>
      <c r="T76" s="15">
        <v>18167</v>
      </c>
      <c r="U76" s="15">
        <v>18165</v>
      </c>
      <c r="V76" s="15">
        <v>18169</v>
      </c>
      <c r="W76" s="15">
        <v>18159</v>
      </c>
      <c r="X76" s="15">
        <v>18176</v>
      </c>
      <c r="Y76" s="15">
        <v>18184</v>
      </c>
      <c r="Z76" s="15">
        <v>12012</v>
      </c>
      <c r="AA76" s="15">
        <v>12015</v>
      </c>
      <c r="AB76" s="15">
        <v>12001</v>
      </c>
      <c r="AC76" s="15">
        <v>12145</v>
      </c>
      <c r="AD76" s="15">
        <v>10350</v>
      </c>
      <c r="AE76" s="15">
        <v>12121</v>
      </c>
      <c r="AF76" s="15">
        <v>12125</v>
      </c>
      <c r="AG76" s="15">
        <v>0</v>
      </c>
      <c r="AH76" s="15">
        <v>12132</v>
      </c>
      <c r="AI76" s="15">
        <v>0</v>
      </c>
      <c r="AJ76" s="15">
        <v>10379</v>
      </c>
      <c r="AK76" s="15">
        <v>10372</v>
      </c>
      <c r="AL76" s="15">
        <v>10376</v>
      </c>
      <c r="AM76" s="15">
        <v>10374</v>
      </c>
      <c r="AN76" s="15">
        <v>10362</v>
      </c>
      <c r="AO76" s="15">
        <v>10368</v>
      </c>
      <c r="AP76" s="15">
        <v>10359</v>
      </c>
      <c r="AQ76" s="15">
        <v>10367</v>
      </c>
      <c r="AR76" s="15">
        <v>10370</v>
      </c>
      <c r="AS76" s="16">
        <v>5.63</v>
      </c>
      <c r="AT76" s="16">
        <v>6.04</v>
      </c>
      <c r="AU76" s="16">
        <v>5.55</v>
      </c>
      <c r="AV76" s="16">
        <v>5.6</v>
      </c>
      <c r="AW76" s="16">
        <v>6.19</v>
      </c>
      <c r="AX76" s="16">
        <v>6.25</v>
      </c>
      <c r="AY76" s="16">
        <v>5.75</v>
      </c>
      <c r="AZ76" s="16">
        <v>5.53</v>
      </c>
      <c r="BA76" s="16">
        <v>5.55</v>
      </c>
      <c r="BB76" s="16">
        <v>5.54</v>
      </c>
      <c r="BC76" s="16">
        <v>5.96</v>
      </c>
      <c r="BD76" s="16">
        <v>5.74</v>
      </c>
      <c r="BE76" s="16">
        <v>5.9</v>
      </c>
      <c r="BF76" s="16">
        <v>5.75</v>
      </c>
      <c r="BG76" s="16">
        <v>5.91</v>
      </c>
      <c r="BH76" s="16">
        <v>5.82</v>
      </c>
      <c r="BI76" s="16">
        <v>5.86</v>
      </c>
      <c r="BJ76" s="16">
        <v>6.15</v>
      </c>
      <c r="BK76" s="16">
        <v>6.47</v>
      </c>
      <c r="BL76" s="16">
        <v>6.22</v>
      </c>
      <c r="BM76" s="16">
        <v>5.08</v>
      </c>
      <c r="BN76" s="16">
        <v>6.26</v>
      </c>
      <c r="BO76" s="16">
        <v>5.87</v>
      </c>
      <c r="BP76" s="16">
        <v>5.93</v>
      </c>
      <c r="BQ76" s="16">
        <v>5.43</v>
      </c>
      <c r="BR76" s="16">
        <v>5.57</v>
      </c>
      <c r="BS76" s="16">
        <v>5.63</v>
      </c>
      <c r="BT76" s="16">
        <v>0</v>
      </c>
      <c r="BU76" s="16">
        <v>5.51</v>
      </c>
      <c r="BV76" s="16">
        <v>0</v>
      </c>
      <c r="BW76" s="16">
        <v>5.16</v>
      </c>
      <c r="BX76" s="16">
        <v>5.45</v>
      </c>
      <c r="BY76" s="16">
        <v>5.48</v>
      </c>
      <c r="BZ76" s="16">
        <v>5.59</v>
      </c>
      <c r="CA76" s="16">
        <v>5.63</v>
      </c>
      <c r="CB76" s="16">
        <v>5.54</v>
      </c>
      <c r="CC76" s="16">
        <v>5.55</v>
      </c>
      <c r="CD76" s="16">
        <v>5.62</v>
      </c>
      <c r="CE76" s="16">
        <v>5.36</v>
      </c>
      <c r="CF76" s="17">
        <f>SUM(Input_Raw[[#This Row],[G01]:[G40]])</f>
        <v>567412</v>
      </c>
      <c r="CG76" s="18">
        <f>IFERROR(AVERAGE(Input_Raw[[#This Row],[WS_G01]:[WS_G40]]),"")</f>
        <v>5.4376923076923074</v>
      </c>
      <c r="CH76" s="19"/>
      <c r="CI76" s="19"/>
      <c r="CJ76" s="15">
        <v>242285</v>
      </c>
      <c r="CK76" s="15">
        <v>2190</v>
      </c>
      <c r="CL76" s="15">
        <v>281993</v>
      </c>
      <c r="CM76" s="15">
        <v>2216</v>
      </c>
      <c r="CN76" s="15">
        <v>258767</v>
      </c>
      <c r="CO76" s="15">
        <v>1824</v>
      </c>
      <c r="CP76" s="15">
        <v>294910</v>
      </c>
      <c r="CQ76" s="15">
        <v>1869</v>
      </c>
      <c r="CR76" s="91">
        <f>IF(((Input_Raw[[#This Row],[33 kV_Wind_F1_Export reading]]-CJ75)*1200)&gt;0,(Input_Raw[[#This Row],[33 kV_Wind_F1_Export reading]]-CJ75)*1200,0)</f>
        <v>103200</v>
      </c>
      <c r="CS76" s="91">
        <f>IF(((Input_Raw[[#This Row],[33 kV_Wind_F1_Import reading]]-CK75)*1200)&gt;0,(Input_Raw[[#This Row],[33 kV_Wind_F1_Import reading]]-CK75)*1200,0)</f>
        <v>0</v>
      </c>
      <c r="CT76" s="91">
        <f>IF(((Input_Raw[[#This Row],[33 kV_Wind_F2_Export_reading]]-CL75)*1200)&gt;0,(Input_Raw[[#This Row],[33 kV_Wind_F2_Export_reading]]-CL75)*1200,0)</f>
        <v>96000</v>
      </c>
      <c r="CU76" s="91">
        <f>IF(((Input_Raw[[#This Row],[33 kV_Wind_F2_Import_reading]]-CM75)*1200)&gt;0,(Input_Raw[[#This Row],[33 kV_Wind_F2_Import_reading]]-CM75)*1200,0)</f>
        <v>0</v>
      </c>
      <c r="CV76" s="91">
        <f>IF(((Input_Raw[[#This Row],[33 kV_Wind_F3_Export_Reading]]-CN75)*1200)&gt;0,(Input_Raw[[#This Row],[33 kV_Wind_F3_Export_Reading]]-CN75)*1200,0)</f>
        <v>184800</v>
      </c>
      <c r="CW76" s="91">
        <f>IF(((Input_Raw[[#This Row],[33 kV_Wind_F3_Import_Reading]]-CO75)*1200)&gt;0,(Input_Raw[[#This Row],[33 kV_Wind_F3_Import_Reading]]-CO75)*1200,0)</f>
        <v>0</v>
      </c>
      <c r="CX76" s="91">
        <f>IF(((Input_Raw[[#This Row],[33 kV_Wind_F4_Export Reading]]-CP75)*1200)&gt;0,(Input_Raw[[#This Row],[33 kV_Wind_F4_Export Reading]]-CP75)*1200,0)</f>
        <v>181200</v>
      </c>
      <c r="CY76" s="91">
        <f>IF(((Input_Raw[[#This Row],[33 kV_Wind_F4_Import Reading]]-CQ75)*1200)&gt;0,(Input_Raw[[#This Row],[33 kV_Wind_F4_Import Reading]]-CQ75)*1200,0)</f>
        <v>0</v>
      </c>
      <c r="CZ76" s="91">
        <f>Input_Raw[[#This Row],[33 kV_F1_Total_Export (KWh)]]+Input_Raw[[#This Row],[33 kV_F2_Total_Export (KWh)2]]+Input_Raw[[#This Row],[33 kV_Wind_F3_Export (KWh)]]+Input_Raw[[#This Row],[33 kV_Wind_F4_Export (KWh)]]</f>
        <v>565200</v>
      </c>
      <c r="DA76" s="91">
        <f>Input_Raw[[#This Row],[33 kV_Wind_F1_Import (KWh)]]+Input_Raw[[#This Row],[33 kV_Wind_F2_Import (KWh)]]+Input_Raw[[#This Row],[33 kV_Wind_F3_Import (KWh)2]]+Input_Raw[[#This Row],[33 kV_Wind_F4_Import (KWh)2]]</f>
        <v>0</v>
      </c>
      <c r="DB76" s="21">
        <f>IFERROR(1-Input_Raw[[#This Row],[33 kV_Wind_Total_Export (KWh)]]/Input_Raw[[#This Row],[WTG Total Gneration (KWh)]],0)</f>
        <v>3.8984018667211906E-3</v>
      </c>
      <c r="DC76" s="100">
        <v>96</v>
      </c>
      <c r="DD76" s="100">
        <v>100593</v>
      </c>
      <c r="DE76" s="102">
        <v>567.41</v>
      </c>
      <c r="DF76" s="99"/>
      <c r="DG76" s="101">
        <v>78</v>
      </c>
      <c r="DH76" s="168" t="s">
        <v>381</v>
      </c>
    </row>
    <row r="77" spans="1:112">
      <c r="A77" s="20">
        <f t="shared" si="6"/>
        <v>45817</v>
      </c>
      <c r="B77" s="12">
        <f>YEAR([1]!Input_Raw[[#This Row],[Date]])+IF(MONTH([1]!Input_Raw[[#This Row],[Date]])&gt;=4,1,0)</f>
        <v>2026</v>
      </c>
      <c r="C77" s="13">
        <f>YEAR([1]!Input_Raw[[#This Row],[Date]])</f>
        <v>2025</v>
      </c>
      <c r="D77" s="14">
        <f t="shared" si="5"/>
        <v>45809</v>
      </c>
      <c r="E77" s="13">
        <f>DAY(EOMONTH([1]!Input_Raw[[#This Row],[Date]],0))</f>
        <v>30</v>
      </c>
      <c r="F77" s="15">
        <v>24750</v>
      </c>
      <c r="G77" s="15">
        <v>24757</v>
      </c>
      <c r="H77" s="15">
        <v>24743</v>
      </c>
      <c r="I77" s="15">
        <v>24298</v>
      </c>
      <c r="J77" s="15">
        <v>23401</v>
      </c>
      <c r="K77" s="15">
        <v>24756</v>
      </c>
      <c r="L77" s="15">
        <v>24732</v>
      </c>
      <c r="M77" s="15">
        <v>24745</v>
      </c>
      <c r="N77" s="15">
        <v>21821</v>
      </c>
      <c r="O77" s="15">
        <v>24775</v>
      </c>
      <c r="P77" s="15">
        <v>24789</v>
      </c>
      <c r="Q77" s="15">
        <v>21850</v>
      </c>
      <c r="R77" s="15">
        <v>21856</v>
      </c>
      <c r="S77" s="15">
        <v>21520</v>
      </c>
      <c r="T77" s="15">
        <v>21860</v>
      </c>
      <c r="U77" s="15">
        <v>21845</v>
      </c>
      <c r="V77" s="15">
        <v>21861</v>
      </c>
      <c r="W77" s="15">
        <v>21848</v>
      </c>
      <c r="X77" s="15">
        <v>21878</v>
      </c>
      <c r="Y77" s="15">
        <v>21250</v>
      </c>
      <c r="Z77" s="15">
        <v>23422</v>
      </c>
      <c r="AA77" s="15">
        <v>23419</v>
      </c>
      <c r="AB77" s="15">
        <v>23411</v>
      </c>
      <c r="AC77" s="15">
        <v>23421</v>
      </c>
      <c r="AD77" s="15">
        <v>20121</v>
      </c>
      <c r="AE77" s="15">
        <v>21998</v>
      </c>
      <c r="AF77" s="15">
        <v>23434</v>
      </c>
      <c r="AG77" s="15">
        <v>0</v>
      </c>
      <c r="AH77" s="15">
        <v>22789</v>
      </c>
      <c r="AI77" s="15">
        <v>0</v>
      </c>
      <c r="AJ77" s="15">
        <v>20114</v>
      </c>
      <c r="AK77" s="15">
        <v>20124</v>
      </c>
      <c r="AL77" s="15">
        <v>20128</v>
      </c>
      <c r="AM77" s="15">
        <v>20135</v>
      </c>
      <c r="AN77" s="15">
        <v>20138</v>
      </c>
      <c r="AO77" s="15">
        <v>20140</v>
      </c>
      <c r="AP77" s="15">
        <v>20119</v>
      </c>
      <c r="AQ77" s="15">
        <v>19629</v>
      </c>
      <c r="AR77" s="15">
        <v>20145</v>
      </c>
      <c r="AS77" s="16">
        <v>7.28</v>
      </c>
      <c r="AT77" s="16">
        <v>7.74</v>
      </c>
      <c r="AU77" s="16">
        <v>7.38</v>
      </c>
      <c r="AV77" s="16">
        <v>7.5</v>
      </c>
      <c r="AW77" s="16">
        <v>6.95</v>
      </c>
      <c r="AX77" s="16">
        <v>6.64</v>
      </c>
      <c r="AY77" s="89">
        <v>7.2</v>
      </c>
      <c r="AZ77" s="16">
        <v>7.59</v>
      </c>
      <c r="BA77" s="16">
        <v>7.79</v>
      </c>
      <c r="BB77" s="16">
        <v>7.37</v>
      </c>
      <c r="BC77" s="16">
        <v>7.73</v>
      </c>
      <c r="BD77" s="16">
        <v>7.52</v>
      </c>
      <c r="BE77" s="16">
        <v>7.72</v>
      </c>
      <c r="BF77" s="16">
        <v>7.67</v>
      </c>
      <c r="BG77" s="16">
        <v>7.75</v>
      </c>
      <c r="BH77" s="16">
        <v>7.66</v>
      </c>
      <c r="BI77" s="16">
        <v>8.3800000000000008</v>
      </c>
      <c r="BJ77" s="16">
        <v>7.44</v>
      </c>
      <c r="BK77" s="16">
        <v>8.44</v>
      </c>
      <c r="BL77" s="16">
        <v>7.02</v>
      </c>
      <c r="BM77" s="16">
        <v>6.9</v>
      </c>
      <c r="BN77" s="16">
        <v>7.2</v>
      </c>
      <c r="BO77" s="16">
        <v>7.24</v>
      </c>
      <c r="BP77" s="16">
        <v>7.4</v>
      </c>
      <c r="BQ77" s="16">
        <v>7.39</v>
      </c>
      <c r="BR77" s="16">
        <v>7.05</v>
      </c>
      <c r="BS77" s="16">
        <v>6.74</v>
      </c>
      <c r="BT77" s="16">
        <v>0</v>
      </c>
      <c r="BU77" s="16">
        <v>7.37</v>
      </c>
      <c r="BV77" s="16">
        <v>0</v>
      </c>
      <c r="BW77" s="16">
        <v>6.79</v>
      </c>
      <c r="BX77" s="16">
        <v>6.65</v>
      </c>
      <c r="BY77" s="16">
        <v>6.54</v>
      </c>
      <c r="BZ77" s="16">
        <v>7.02</v>
      </c>
      <c r="CA77" s="16">
        <v>7.65</v>
      </c>
      <c r="CB77" s="16">
        <v>7.66</v>
      </c>
      <c r="CC77" s="16">
        <v>6.74</v>
      </c>
      <c r="CD77" s="16">
        <v>6.53</v>
      </c>
      <c r="CE77" s="16">
        <v>7.19</v>
      </c>
      <c r="CF77" s="17">
        <f>SUM(Input_Raw[[#This Row],[G01]:[G40]])</f>
        <v>826022</v>
      </c>
      <c r="CG77" s="18">
        <f>IFERROR(AVERAGE(Input_Raw[[#This Row],[WS_G01]:[WS_G40]]),"")</f>
        <v>6.9443589743589742</v>
      </c>
      <c r="CH77" s="19"/>
      <c r="CI77" s="19"/>
      <c r="CJ77" s="15">
        <v>242452</v>
      </c>
      <c r="CK77" s="15">
        <v>2190</v>
      </c>
      <c r="CL77" s="15">
        <v>282147</v>
      </c>
      <c r="CM77" s="15">
        <v>2216</v>
      </c>
      <c r="CN77" s="15">
        <v>258952</v>
      </c>
      <c r="CO77" s="15">
        <v>1824</v>
      </c>
      <c r="CP77" s="15">
        <v>295091</v>
      </c>
      <c r="CQ77" s="15">
        <v>1869</v>
      </c>
      <c r="CR77" s="91">
        <f>IF(((Input_Raw[[#This Row],[33 kV_Wind_F1_Export reading]]-CJ76)*1200)&gt;0,(Input_Raw[[#This Row],[33 kV_Wind_F1_Export reading]]-CJ76)*1200,0)</f>
        <v>200400</v>
      </c>
      <c r="CS77" s="91">
        <f>IF(((Input_Raw[[#This Row],[33 kV_Wind_F1_Import reading]]-CK76)*1200)&gt;0,(Input_Raw[[#This Row],[33 kV_Wind_F1_Import reading]]-CK76)*1200,0)</f>
        <v>0</v>
      </c>
      <c r="CT77" s="91">
        <f>IF(((Input_Raw[[#This Row],[33 kV_Wind_F2_Export_reading]]-CL76)*1200)&gt;0,(Input_Raw[[#This Row],[33 kV_Wind_F2_Export_reading]]-CL76)*1200,0)</f>
        <v>184800</v>
      </c>
      <c r="CU77" s="91">
        <f>IF(((Input_Raw[[#This Row],[33 kV_Wind_F2_Import_reading]]-CM76)*1200)&gt;0,(Input_Raw[[#This Row],[33 kV_Wind_F2_Import_reading]]-CM76)*1200,0)</f>
        <v>0</v>
      </c>
      <c r="CV77" s="91">
        <f>IF(((Input_Raw[[#This Row],[33 kV_Wind_F3_Export_Reading]]-CN76)*1200)&gt;0,(Input_Raw[[#This Row],[33 kV_Wind_F3_Export_Reading]]-CN76)*1200,0)</f>
        <v>222000</v>
      </c>
      <c r="CW77" s="91">
        <f>IF(((Input_Raw[[#This Row],[33 kV_Wind_F3_Import_Reading]]-CO76)*1200)&gt;0,(Input_Raw[[#This Row],[33 kV_Wind_F3_Import_Reading]]-CO76)*1200,0)</f>
        <v>0</v>
      </c>
      <c r="CX77" s="91">
        <f>IF(((Input_Raw[[#This Row],[33 kV_Wind_F4_Export Reading]]-CP76)*1200)&gt;0,(Input_Raw[[#This Row],[33 kV_Wind_F4_Export Reading]]-CP76)*1200,0)</f>
        <v>217200</v>
      </c>
      <c r="CY77" s="91">
        <f>IF(((Input_Raw[[#This Row],[33 kV_Wind_F4_Import Reading]]-CQ76)*1200)&gt;0,(Input_Raw[[#This Row],[33 kV_Wind_F4_Import Reading]]-CQ76)*1200,0)</f>
        <v>0</v>
      </c>
      <c r="CZ77" s="91">
        <f>Input_Raw[[#This Row],[33 kV_F1_Total_Export (KWh)]]+Input_Raw[[#This Row],[33 kV_F2_Total_Export (KWh)2]]+Input_Raw[[#This Row],[33 kV_Wind_F3_Export (KWh)]]+Input_Raw[[#This Row],[33 kV_Wind_F4_Export (KWh)]]</f>
        <v>824400</v>
      </c>
      <c r="DA77" s="91">
        <f>Input_Raw[[#This Row],[33 kV_Wind_F1_Import (KWh)]]+Input_Raw[[#This Row],[33 kV_Wind_F2_Import (KWh)]]+Input_Raw[[#This Row],[33 kV_Wind_F3_Import (KWh)2]]+Input_Raw[[#This Row],[33 kV_Wind_F4_Import (KWh)2]]</f>
        <v>0</v>
      </c>
      <c r="DB77" s="21">
        <f>IFERROR(1-Input_Raw[[#This Row],[33 kV_Wind_Total_Export (KWh)]]/Input_Raw[[#This Row],[WTG Total Gneration (KWh)]],0)</f>
        <v>1.9636280873874812E-3</v>
      </c>
      <c r="DC77" s="100">
        <v>96</v>
      </c>
      <c r="DD77" s="100">
        <v>186028</v>
      </c>
      <c r="DE77" s="102">
        <v>826.02</v>
      </c>
      <c r="DF77" s="99"/>
      <c r="DG77" s="101">
        <v>78</v>
      </c>
      <c r="DH77" s="168" t="s">
        <v>381</v>
      </c>
    </row>
    <row r="78" spans="1:112">
      <c r="A78" s="20">
        <f t="shared" si="6"/>
        <v>45818</v>
      </c>
      <c r="B78" s="12">
        <f>YEAR([1]!Input_Raw[[#This Row],[Date]])+IF(MONTH([1]!Input_Raw[[#This Row],[Date]])&gt;=4,1,0)</f>
        <v>2026</v>
      </c>
      <c r="C78" s="13">
        <f>YEAR([1]!Input_Raw[[#This Row],[Date]])</f>
        <v>2025</v>
      </c>
      <c r="D78" s="14">
        <f t="shared" si="5"/>
        <v>45809</v>
      </c>
      <c r="E78" s="13">
        <f>DAY(EOMONTH([1]!Input_Raw[[#This Row],[Date]],0))</f>
        <v>30</v>
      </c>
      <c r="F78" s="15">
        <v>13301</v>
      </c>
      <c r="G78" s="15">
        <v>11520</v>
      </c>
      <c r="H78" s="15">
        <v>13323</v>
      </c>
      <c r="I78" s="15">
        <v>13335</v>
      </c>
      <c r="J78" s="15">
        <v>12629</v>
      </c>
      <c r="K78" s="15">
        <v>13346</v>
      </c>
      <c r="L78" s="15">
        <v>13337</v>
      </c>
      <c r="M78" s="15">
        <v>13364</v>
      </c>
      <c r="N78" s="15">
        <v>22332</v>
      </c>
      <c r="O78" s="15">
        <v>13372</v>
      </c>
      <c r="P78" s="15">
        <v>13378</v>
      </c>
      <c r="Q78" s="15">
        <v>22326</v>
      </c>
      <c r="R78" s="15">
        <v>22342</v>
      </c>
      <c r="S78" s="15">
        <v>20987</v>
      </c>
      <c r="T78" s="15">
        <v>21535</v>
      </c>
      <c r="U78" s="15">
        <v>21522</v>
      </c>
      <c r="V78" s="15">
        <v>22321</v>
      </c>
      <c r="W78" s="15">
        <v>22316</v>
      </c>
      <c r="X78" s="15">
        <v>22345</v>
      </c>
      <c r="Y78" s="15">
        <v>21452</v>
      </c>
      <c r="Z78" s="15">
        <v>12672</v>
      </c>
      <c r="AA78" s="15">
        <v>12662</v>
      </c>
      <c r="AB78" s="15">
        <v>11201</v>
      </c>
      <c r="AC78" s="15">
        <v>12678</v>
      </c>
      <c r="AD78" s="15">
        <v>11701</v>
      </c>
      <c r="AE78" s="15">
        <v>12672</v>
      </c>
      <c r="AF78" s="15">
        <v>12689</v>
      </c>
      <c r="AG78" s="15">
        <v>0</v>
      </c>
      <c r="AH78" s="15">
        <v>12692</v>
      </c>
      <c r="AI78" s="15">
        <v>0</v>
      </c>
      <c r="AJ78" s="15">
        <v>11711</v>
      </c>
      <c r="AK78" s="15">
        <v>11723</v>
      </c>
      <c r="AL78" s="15">
        <v>11721</v>
      </c>
      <c r="AM78" s="15">
        <v>11723</v>
      </c>
      <c r="AN78" s="15">
        <v>11732</v>
      </c>
      <c r="AO78" s="15">
        <v>11734</v>
      </c>
      <c r="AP78" s="15">
        <v>11721</v>
      </c>
      <c r="AQ78" s="15">
        <v>11735</v>
      </c>
      <c r="AR78" s="15">
        <v>11742</v>
      </c>
      <c r="AS78" s="16">
        <v>5.63</v>
      </c>
      <c r="AT78" s="16">
        <v>6.04</v>
      </c>
      <c r="AU78" s="16">
        <v>5.55</v>
      </c>
      <c r="AV78" s="16">
        <v>5.6</v>
      </c>
      <c r="AW78" s="16">
        <v>6.19</v>
      </c>
      <c r="AX78" s="16">
        <v>6.25</v>
      </c>
      <c r="AY78" s="16">
        <v>5.75</v>
      </c>
      <c r="AZ78" s="16">
        <v>5.53</v>
      </c>
      <c r="BA78" s="16">
        <v>5.55</v>
      </c>
      <c r="BB78" s="16">
        <v>5.54</v>
      </c>
      <c r="BC78" s="16">
        <v>5.96</v>
      </c>
      <c r="BD78" s="16">
        <v>5.74</v>
      </c>
      <c r="BE78" s="16">
        <v>5.4</v>
      </c>
      <c r="BF78" s="16">
        <v>5.5</v>
      </c>
      <c r="BG78" s="16">
        <v>5.41</v>
      </c>
      <c r="BH78" s="16">
        <v>5.42</v>
      </c>
      <c r="BI78" s="16">
        <v>5.86</v>
      </c>
      <c r="BJ78" s="16">
        <v>6.15</v>
      </c>
      <c r="BK78" s="16">
        <v>6.47</v>
      </c>
      <c r="BL78" s="16">
        <v>6.22</v>
      </c>
      <c r="BM78" s="16">
        <v>5.08</v>
      </c>
      <c r="BN78" s="16">
        <v>6.26</v>
      </c>
      <c r="BO78" s="16">
        <v>5.87</v>
      </c>
      <c r="BP78" s="16">
        <v>5.93</v>
      </c>
      <c r="BQ78" s="16">
        <v>5.43</v>
      </c>
      <c r="BR78" s="16">
        <v>5.57</v>
      </c>
      <c r="BS78" s="16">
        <v>5.63</v>
      </c>
      <c r="BT78" s="16">
        <v>0</v>
      </c>
      <c r="BU78" s="16">
        <v>5.51</v>
      </c>
      <c r="BV78" s="16">
        <v>0</v>
      </c>
      <c r="BW78" s="16">
        <v>5.16</v>
      </c>
      <c r="BX78" s="16">
        <v>5.35</v>
      </c>
      <c r="BY78" s="16">
        <v>5.38</v>
      </c>
      <c r="BZ78" s="16">
        <v>5.49</v>
      </c>
      <c r="CA78" s="16">
        <v>5.43</v>
      </c>
      <c r="CB78" s="16">
        <v>5.44</v>
      </c>
      <c r="CC78" s="16">
        <v>5.45</v>
      </c>
      <c r="CD78" s="16">
        <v>5.52</v>
      </c>
      <c r="CE78" s="16">
        <v>5.36</v>
      </c>
      <c r="CF78" s="17">
        <f>SUM(Input_Raw[[#This Row],[G01]:[G40]])</f>
        <v>554892</v>
      </c>
      <c r="CG78" s="18">
        <f>IFERROR(AVERAGE(Input_Raw[[#This Row],[WS_G01]:[WS_G40]]),"")</f>
        <v>5.3748717948717948</v>
      </c>
      <c r="CH78" s="19"/>
      <c r="CI78" s="19"/>
      <c r="CJ78" s="15">
        <v>242550</v>
      </c>
      <c r="CK78" s="15">
        <v>2190</v>
      </c>
      <c r="CL78" s="15">
        <v>282231</v>
      </c>
      <c r="CM78" s="15">
        <v>2217</v>
      </c>
      <c r="CN78" s="15">
        <v>259051</v>
      </c>
      <c r="CO78" s="15">
        <v>1824</v>
      </c>
      <c r="CP78" s="15">
        <v>295270</v>
      </c>
      <c r="CQ78" s="15">
        <v>1870</v>
      </c>
      <c r="CR78" s="91">
        <f>IF(((Input_Raw[[#This Row],[33 kV_Wind_F1_Export reading]]-CJ77)*1200)&gt;0,(Input_Raw[[#This Row],[33 kV_Wind_F1_Export reading]]-CJ77)*1200,0)</f>
        <v>117600</v>
      </c>
      <c r="CS78" s="91">
        <f>IF(((Input_Raw[[#This Row],[33 kV_Wind_F1_Import reading]]-CK77)*1200)&gt;0,(Input_Raw[[#This Row],[33 kV_Wind_F1_Import reading]]-CK77)*1200,0)</f>
        <v>0</v>
      </c>
      <c r="CT78" s="91">
        <f>IF(((Input_Raw[[#This Row],[33 kV_Wind_F2_Export_reading]]-CL77)*1200)&gt;0,(Input_Raw[[#This Row],[33 kV_Wind_F2_Export_reading]]-CL77)*1200,0)</f>
        <v>100800</v>
      </c>
      <c r="CU78" s="91">
        <f>IF(((Input_Raw[[#This Row],[33 kV_Wind_F2_Import_reading]]-CM77)*1200)&gt;0,(Input_Raw[[#This Row],[33 kV_Wind_F2_Import_reading]]-CM77)*1200,0)</f>
        <v>1200</v>
      </c>
      <c r="CV78" s="91">
        <f>IF(((Input_Raw[[#This Row],[33 kV_Wind_F3_Export_Reading]]-CN77)*1200)&gt;0,(Input_Raw[[#This Row],[33 kV_Wind_F3_Export_Reading]]-CN77)*1200,0)</f>
        <v>118800</v>
      </c>
      <c r="CW78" s="91">
        <f>IF(((Input_Raw[[#This Row],[33 kV_Wind_F3_Import_Reading]]-CO77)*1200)&gt;0,(Input_Raw[[#This Row],[33 kV_Wind_F3_Import_Reading]]-CO77)*1200,0)</f>
        <v>0</v>
      </c>
      <c r="CX78" s="91">
        <f>IF(((Input_Raw[[#This Row],[33 kV_Wind_F4_Export Reading]]-CP77)*1200)&gt;0,(Input_Raw[[#This Row],[33 kV_Wind_F4_Export Reading]]-CP77)*1200,0)</f>
        <v>214800</v>
      </c>
      <c r="CY78" s="91">
        <f>IF(((Input_Raw[[#This Row],[33 kV_Wind_F4_Import Reading]]-CQ77)*1200)&gt;0,(Input_Raw[[#This Row],[33 kV_Wind_F4_Import Reading]]-CQ77)*1200,0)</f>
        <v>1200</v>
      </c>
      <c r="CZ78" s="91">
        <f>Input_Raw[[#This Row],[33 kV_F1_Total_Export (KWh)]]+Input_Raw[[#This Row],[33 kV_F2_Total_Export (KWh)2]]+Input_Raw[[#This Row],[33 kV_Wind_F3_Export (KWh)]]+Input_Raw[[#This Row],[33 kV_Wind_F4_Export (KWh)]]</f>
        <v>552000</v>
      </c>
      <c r="DA78" s="91">
        <f>Input_Raw[[#This Row],[33 kV_Wind_F1_Import (KWh)]]+Input_Raw[[#This Row],[33 kV_Wind_F2_Import (KWh)]]+Input_Raw[[#This Row],[33 kV_Wind_F3_Import (KWh)2]]+Input_Raw[[#This Row],[33 kV_Wind_F4_Import (KWh)2]]</f>
        <v>2400</v>
      </c>
      <c r="DB78" s="21">
        <f>IFERROR(1-Input_Raw[[#This Row],[33 kV_Wind_Total_Export (KWh)]]/Input_Raw[[#This Row],[WTG Total Gneration (KWh)]],0)</f>
        <v>5.211825003784476E-3</v>
      </c>
      <c r="DC78" s="100">
        <v>96</v>
      </c>
      <c r="DD78" s="100">
        <v>137294</v>
      </c>
      <c r="DE78" s="102">
        <v>554.89</v>
      </c>
      <c r="DF78" s="99"/>
      <c r="DG78" s="101">
        <v>78</v>
      </c>
      <c r="DH78" s="168" t="s">
        <v>381</v>
      </c>
    </row>
    <row r="79" spans="1:112">
      <c r="A79" s="20">
        <f t="shared" si="6"/>
        <v>45819</v>
      </c>
      <c r="B79" s="12">
        <f>YEAR([1]!Input_Raw[[#This Row],[Date]])+IF(MONTH([1]!Input_Raw[[#This Row],[Date]])&gt;=4,1,0)</f>
        <v>2026</v>
      </c>
      <c r="C79" s="13">
        <f>YEAR([1]!Input_Raw[[#This Row],[Date]])</f>
        <v>2025</v>
      </c>
      <c r="D79" s="14">
        <f t="shared" si="5"/>
        <v>45809</v>
      </c>
      <c r="E79" s="13">
        <f>DAY(EOMONTH([1]!Input_Raw[[#This Row],[Date]],0))</f>
        <v>30</v>
      </c>
      <c r="F79" s="15">
        <v>17911</v>
      </c>
      <c r="G79" s="15">
        <v>17915</v>
      </c>
      <c r="H79" s="15">
        <v>17919</v>
      </c>
      <c r="I79" s="15">
        <v>17913</v>
      </c>
      <c r="J79" s="15">
        <v>14410</v>
      </c>
      <c r="K79" s="15">
        <v>17917</v>
      </c>
      <c r="L79" s="15">
        <v>15631</v>
      </c>
      <c r="M79" s="15">
        <v>17921</v>
      </c>
      <c r="N79" s="15">
        <v>9561</v>
      </c>
      <c r="O79" s="15">
        <v>17934</v>
      </c>
      <c r="P79" s="15">
        <v>17938</v>
      </c>
      <c r="Q79" s="15">
        <v>9565</v>
      </c>
      <c r="R79" s="15">
        <v>9566</v>
      </c>
      <c r="S79" s="15">
        <v>9568</v>
      </c>
      <c r="T79" s="15">
        <v>9572</v>
      </c>
      <c r="U79" s="15">
        <v>9522</v>
      </c>
      <c r="V79" s="15">
        <v>9539</v>
      </c>
      <c r="W79" s="15">
        <v>9542</v>
      </c>
      <c r="X79" s="15">
        <v>9578</v>
      </c>
      <c r="Y79" s="15">
        <v>9582</v>
      </c>
      <c r="Z79" s="15">
        <v>14472</v>
      </c>
      <c r="AA79" s="15">
        <v>14474</v>
      </c>
      <c r="AB79" s="15">
        <v>14458</v>
      </c>
      <c r="AC79" s="15">
        <v>14462</v>
      </c>
      <c r="AD79" s="15">
        <v>12111</v>
      </c>
      <c r="AE79" s="15">
        <v>14457</v>
      </c>
      <c r="AF79" s="15">
        <v>14454</v>
      </c>
      <c r="AG79" s="15">
        <v>0</v>
      </c>
      <c r="AH79" s="15">
        <v>14468</v>
      </c>
      <c r="AI79" s="15">
        <v>0</v>
      </c>
      <c r="AJ79" s="15">
        <v>11598</v>
      </c>
      <c r="AK79" s="15">
        <v>12132</v>
      </c>
      <c r="AL79" s="15">
        <v>12135</v>
      </c>
      <c r="AM79" s="15">
        <v>12142</v>
      </c>
      <c r="AN79" s="15">
        <v>12148</v>
      </c>
      <c r="AO79" s="15">
        <v>12145</v>
      </c>
      <c r="AP79" s="15">
        <v>12139</v>
      </c>
      <c r="AQ79" s="15">
        <v>12152</v>
      </c>
      <c r="AR79" s="15">
        <v>12156</v>
      </c>
      <c r="AS79" s="16">
        <v>4.8499999999999996</v>
      </c>
      <c r="AT79" s="16">
        <v>5.37</v>
      </c>
      <c r="AU79" s="16">
        <v>4.76</v>
      </c>
      <c r="AV79" s="16">
        <v>4.7699999999999996</v>
      </c>
      <c r="AW79" s="16">
        <v>5.09</v>
      </c>
      <c r="AX79" s="16">
        <v>5.19</v>
      </c>
      <c r="AY79" s="16">
        <v>4.8</v>
      </c>
      <c r="AZ79" s="16">
        <v>4.87</v>
      </c>
      <c r="BA79" s="16">
        <v>5.25</v>
      </c>
      <c r="BB79" s="16">
        <v>4.9800000000000004</v>
      </c>
      <c r="BC79" s="16">
        <v>5.45</v>
      </c>
      <c r="BD79" s="16">
        <v>5.28</v>
      </c>
      <c r="BE79" s="16">
        <v>5.32</v>
      </c>
      <c r="BF79" s="16">
        <v>5.14</v>
      </c>
      <c r="BG79" s="16">
        <v>5.09</v>
      </c>
      <c r="BH79" s="16">
        <v>5.27</v>
      </c>
      <c r="BI79" s="16">
        <v>5.07</v>
      </c>
      <c r="BJ79" s="16">
        <v>5.36</v>
      </c>
      <c r="BK79" s="16">
        <v>6.59</v>
      </c>
      <c r="BL79" s="16">
        <v>5.63</v>
      </c>
      <c r="BM79" s="16">
        <v>5.4</v>
      </c>
      <c r="BN79" s="16">
        <v>5.44</v>
      </c>
      <c r="BO79" s="16">
        <v>4.66</v>
      </c>
      <c r="BP79" s="16">
        <v>4.9800000000000004</v>
      </c>
      <c r="BQ79" s="16">
        <v>4.95</v>
      </c>
      <c r="BR79" s="16">
        <v>4.71</v>
      </c>
      <c r="BS79" s="16">
        <v>4.88</v>
      </c>
      <c r="BT79" s="16">
        <v>0</v>
      </c>
      <c r="BU79" s="16">
        <v>4.8600000000000003</v>
      </c>
      <c r="BV79" s="16">
        <v>0</v>
      </c>
      <c r="BW79" s="16">
        <v>4.59</v>
      </c>
      <c r="BX79" s="16">
        <v>4.7300000000000004</v>
      </c>
      <c r="BY79" s="16">
        <v>4.88</v>
      </c>
      <c r="BZ79" s="16">
        <v>4.88</v>
      </c>
      <c r="CA79" s="16">
        <v>5.07</v>
      </c>
      <c r="CB79" s="16">
        <v>5.05</v>
      </c>
      <c r="CC79" s="16">
        <v>4.83</v>
      </c>
      <c r="CD79" s="16">
        <v>4.74</v>
      </c>
      <c r="CE79" s="16">
        <v>5.01</v>
      </c>
      <c r="CF79" s="17">
        <f>SUM(Input_Raw[[#This Row],[G01]:[G40]])</f>
        <v>491107</v>
      </c>
      <c r="CG79" s="18">
        <f>IFERROR(AVERAGE(Input_Raw[[#This Row],[WS_G01]:[WS_G40]]),"")</f>
        <v>4.8151282051282047</v>
      </c>
      <c r="CH79" s="19"/>
      <c r="CI79" s="19"/>
      <c r="CJ79" s="15">
        <v>242649</v>
      </c>
      <c r="CK79" s="15">
        <v>2190</v>
      </c>
      <c r="CL79" s="15">
        <v>282326</v>
      </c>
      <c r="CM79" s="15">
        <v>2217</v>
      </c>
      <c r="CN79" s="15">
        <v>259182</v>
      </c>
      <c r="CO79" s="15">
        <v>1824</v>
      </c>
      <c r="CP79" s="15">
        <v>295349</v>
      </c>
      <c r="CQ79" s="15">
        <v>1870</v>
      </c>
      <c r="CR79" s="91">
        <f>IF(((Input_Raw[[#This Row],[33 kV_Wind_F1_Export reading]]-CJ78)*1200)&gt;0,(Input_Raw[[#This Row],[33 kV_Wind_F1_Export reading]]-CJ78)*1200,0)</f>
        <v>118800</v>
      </c>
      <c r="CS79" s="91">
        <f>IF(((Input_Raw[[#This Row],[33 kV_Wind_F1_Import reading]]-CK78)*1200)&gt;0,(Input_Raw[[#This Row],[33 kV_Wind_F1_Import reading]]-CK78)*1200,0)</f>
        <v>0</v>
      </c>
      <c r="CT79" s="91">
        <f>IF(((Input_Raw[[#This Row],[33 kV_Wind_F2_Export_reading]]-CL78)*1200)&gt;0,(Input_Raw[[#This Row],[33 kV_Wind_F2_Export_reading]]-CL78)*1200,0)</f>
        <v>114000</v>
      </c>
      <c r="CU79" s="91">
        <f>IF(((Input_Raw[[#This Row],[33 kV_Wind_F2_Import_reading]]-CM78)*1200)&gt;0,(Input_Raw[[#This Row],[33 kV_Wind_F2_Import_reading]]-CM78)*1200,0)</f>
        <v>0</v>
      </c>
      <c r="CV79" s="91">
        <f>IF(((Input_Raw[[#This Row],[33 kV_Wind_F3_Export_Reading]]-CN78)*1200)&gt;0,(Input_Raw[[#This Row],[33 kV_Wind_F3_Export_Reading]]-CN78)*1200,0)</f>
        <v>157200</v>
      </c>
      <c r="CW79" s="91">
        <f>IF(((Input_Raw[[#This Row],[33 kV_Wind_F3_Import_Reading]]-CO78)*1200)&gt;0,(Input_Raw[[#This Row],[33 kV_Wind_F3_Import_Reading]]-CO78)*1200,0)</f>
        <v>0</v>
      </c>
      <c r="CX79" s="91">
        <f>IF(((Input_Raw[[#This Row],[33 kV_Wind_F4_Export Reading]]-CP78)*1200)&gt;0,(Input_Raw[[#This Row],[33 kV_Wind_F4_Export Reading]]-CP78)*1200,0)</f>
        <v>94800</v>
      </c>
      <c r="CY79" s="91">
        <f>IF(((Input_Raw[[#This Row],[33 kV_Wind_F4_Import Reading]]-CQ78)*1200)&gt;0,(Input_Raw[[#This Row],[33 kV_Wind_F4_Import Reading]]-CQ78)*1200,0)</f>
        <v>0</v>
      </c>
      <c r="CZ79" s="91">
        <f>Input_Raw[[#This Row],[33 kV_F1_Total_Export (KWh)]]+Input_Raw[[#This Row],[33 kV_F2_Total_Export (KWh)2]]+Input_Raw[[#This Row],[33 kV_Wind_F3_Export (KWh)]]+Input_Raw[[#This Row],[33 kV_Wind_F4_Export (KWh)]]</f>
        <v>484800</v>
      </c>
      <c r="DA79" s="91">
        <f>Input_Raw[[#This Row],[33 kV_Wind_F1_Import (KWh)]]+Input_Raw[[#This Row],[33 kV_Wind_F2_Import (KWh)]]+Input_Raw[[#This Row],[33 kV_Wind_F3_Import (KWh)2]]+Input_Raw[[#This Row],[33 kV_Wind_F4_Import (KWh)2]]</f>
        <v>0</v>
      </c>
      <c r="DB79" s="21">
        <f>IFERROR(1-Input_Raw[[#This Row],[33 kV_Wind_Total_Export (KWh)]]/Input_Raw[[#This Row],[WTG Total Gneration (KWh)]],0)</f>
        <v>1.2842415196688273E-2</v>
      </c>
      <c r="DC79" s="100">
        <v>96</v>
      </c>
      <c r="DD79" s="100">
        <v>100851</v>
      </c>
      <c r="DE79" s="102">
        <v>491.1</v>
      </c>
      <c r="DF79" s="99"/>
      <c r="DG79" s="101">
        <v>78</v>
      </c>
      <c r="DH79" s="168" t="s">
        <v>381</v>
      </c>
    </row>
    <row r="80" spans="1:112">
      <c r="A80" s="20">
        <f t="shared" si="6"/>
        <v>45820</v>
      </c>
      <c r="B80" s="12">
        <f>YEAR([1]!Input_Raw[[#This Row],[Date]])+IF(MONTH([1]!Input_Raw[[#This Row],[Date]])&gt;=4,1,0)</f>
        <v>2026</v>
      </c>
      <c r="C80" s="13">
        <f>YEAR([1]!Input_Raw[[#This Row],[Date]])</f>
        <v>2025</v>
      </c>
      <c r="D80" s="14">
        <f t="shared" si="5"/>
        <v>45809</v>
      </c>
      <c r="E80" s="13">
        <f>DAY(EOMONTH([1]!Input_Raw[[#This Row],[Date]],0))</f>
        <v>30</v>
      </c>
      <c r="F80" s="15">
        <v>12983</v>
      </c>
      <c r="G80" s="15">
        <v>14968</v>
      </c>
      <c r="H80" s="15">
        <v>14951</v>
      </c>
      <c r="I80" s="15">
        <v>14966</v>
      </c>
      <c r="J80" s="15">
        <v>9811</v>
      </c>
      <c r="K80" s="15">
        <v>14959</v>
      </c>
      <c r="L80" s="15">
        <v>14931</v>
      </c>
      <c r="M80" s="15">
        <v>14967</v>
      </c>
      <c r="N80" s="15">
        <v>12731</v>
      </c>
      <c r="O80" s="15">
        <v>14972</v>
      </c>
      <c r="P80" s="15">
        <v>14981</v>
      </c>
      <c r="Q80" s="15">
        <v>12735</v>
      </c>
      <c r="R80" s="15">
        <v>12738</v>
      </c>
      <c r="S80" s="15">
        <v>12741</v>
      </c>
      <c r="T80" s="15">
        <v>12762</v>
      </c>
      <c r="U80" s="15">
        <v>12758</v>
      </c>
      <c r="V80" s="15">
        <v>12764</v>
      </c>
      <c r="W80" s="15">
        <v>12760</v>
      </c>
      <c r="X80" s="15">
        <v>12772</v>
      </c>
      <c r="Y80" s="15">
        <v>12775</v>
      </c>
      <c r="Z80" s="15">
        <v>9837</v>
      </c>
      <c r="AA80" s="15">
        <v>9831</v>
      </c>
      <c r="AB80" s="15">
        <v>9828</v>
      </c>
      <c r="AC80" s="15">
        <v>9855</v>
      </c>
      <c r="AD80" s="15">
        <v>8970</v>
      </c>
      <c r="AE80" s="15">
        <v>9850</v>
      </c>
      <c r="AF80" s="15">
        <v>9862</v>
      </c>
      <c r="AG80" s="15">
        <v>0</v>
      </c>
      <c r="AH80" s="15">
        <v>9868</v>
      </c>
      <c r="AI80" s="15">
        <v>0</v>
      </c>
      <c r="AJ80" s="15">
        <v>8985</v>
      </c>
      <c r="AK80" s="15">
        <v>8957</v>
      </c>
      <c r="AL80" s="15">
        <v>8958</v>
      </c>
      <c r="AM80" s="15">
        <v>8951</v>
      </c>
      <c r="AN80" s="15">
        <v>8962</v>
      </c>
      <c r="AO80" s="15">
        <v>8959</v>
      </c>
      <c r="AP80" s="15">
        <v>8948</v>
      </c>
      <c r="AQ80" s="15">
        <v>8964</v>
      </c>
      <c r="AR80" s="15">
        <v>8969</v>
      </c>
      <c r="AS80" s="16">
        <v>4.8499999999999996</v>
      </c>
      <c r="AT80" s="16">
        <v>5.26</v>
      </c>
      <c r="AU80" s="16">
        <v>4.68</v>
      </c>
      <c r="AV80" s="16">
        <v>5.05</v>
      </c>
      <c r="AW80" s="16">
        <v>5</v>
      </c>
      <c r="AX80" s="16">
        <v>5.1100000000000003</v>
      </c>
      <c r="AY80" s="16">
        <v>4.84</v>
      </c>
      <c r="AZ80" s="16">
        <v>4.4800000000000004</v>
      </c>
      <c r="BA80" s="16">
        <v>5.09</v>
      </c>
      <c r="BB80" s="16">
        <v>4.83</v>
      </c>
      <c r="BC80" s="16">
        <v>5.29</v>
      </c>
      <c r="BD80" s="16">
        <v>5.04</v>
      </c>
      <c r="BE80" s="16">
        <v>5.15</v>
      </c>
      <c r="BF80" s="16">
        <v>5.24</v>
      </c>
      <c r="BG80" s="16">
        <v>4.99</v>
      </c>
      <c r="BH80" s="16">
        <v>5.44</v>
      </c>
      <c r="BI80" s="16">
        <v>4.96</v>
      </c>
      <c r="BJ80" s="16">
        <v>5.48</v>
      </c>
      <c r="BK80" s="16">
        <v>5.43</v>
      </c>
      <c r="BL80" s="16">
        <v>5.67</v>
      </c>
      <c r="BM80" s="16">
        <v>0</v>
      </c>
      <c r="BN80" s="16">
        <v>5.29</v>
      </c>
      <c r="BO80" s="16">
        <v>4.82</v>
      </c>
      <c r="BP80" s="16">
        <v>5.04</v>
      </c>
      <c r="BQ80" s="16">
        <v>5.32</v>
      </c>
      <c r="BR80" s="16">
        <v>5.01</v>
      </c>
      <c r="BS80" s="16">
        <v>5.03</v>
      </c>
      <c r="BT80" s="16">
        <v>0</v>
      </c>
      <c r="BU80" s="16">
        <v>4.8099999999999996</v>
      </c>
      <c r="BV80" s="16">
        <v>0</v>
      </c>
      <c r="BW80" s="16">
        <v>4.95</v>
      </c>
      <c r="BX80" s="16">
        <v>5.01</v>
      </c>
      <c r="BY80" s="16">
        <v>4.99</v>
      </c>
      <c r="BZ80" s="16">
        <v>5.16</v>
      </c>
      <c r="CA80" s="16">
        <v>5.21</v>
      </c>
      <c r="CB80" s="16">
        <v>4.87</v>
      </c>
      <c r="CC80" s="16">
        <v>5.18</v>
      </c>
      <c r="CD80" s="16">
        <v>4.8499999999999996</v>
      </c>
      <c r="CE80" s="16">
        <v>5.19</v>
      </c>
      <c r="CF80" s="17">
        <f>SUM(Input_Raw[[#This Row],[G01]:[G40]])</f>
        <v>428579</v>
      </c>
      <c r="CG80" s="18">
        <f>IFERROR(AVERAGE(Input_Raw[[#This Row],[WS_G01]:[WS_G40]]),"")</f>
        <v>4.6823076923076918</v>
      </c>
      <c r="CH80" s="19"/>
      <c r="CI80" s="19"/>
      <c r="CJ80" s="15">
        <v>242722</v>
      </c>
      <c r="CK80" s="15">
        <v>2191</v>
      </c>
      <c r="CL80" s="15">
        <v>282390</v>
      </c>
      <c r="CM80" s="15">
        <v>2217</v>
      </c>
      <c r="CN80" s="15">
        <v>259292</v>
      </c>
      <c r="CO80" s="15">
        <v>1825</v>
      </c>
      <c r="CP80" s="15">
        <v>295454</v>
      </c>
      <c r="CQ80" s="15">
        <v>1870</v>
      </c>
      <c r="CR80" s="91">
        <f>IF(((Input_Raw[[#This Row],[33 kV_Wind_F1_Export reading]]-CJ79)*1200)&gt;0,(Input_Raw[[#This Row],[33 kV_Wind_F1_Export reading]]-CJ79)*1200,0)</f>
        <v>87600</v>
      </c>
      <c r="CS80" s="91">
        <f>IF(((Input_Raw[[#This Row],[33 kV_Wind_F1_Import reading]]-CK79)*1200)&gt;0,(Input_Raw[[#This Row],[33 kV_Wind_F1_Import reading]]-CK79)*1200,0)</f>
        <v>1200</v>
      </c>
      <c r="CT80" s="91">
        <f>IF(((Input_Raw[[#This Row],[33 kV_Wind_F2_Export_reading]]-CL79)*1200)&gt;0,(Input_Raw[[#This Row],[33 kV_Wind_F2_Export_reading]]-CL79)*1200,0)</f>
        <v>76800</v>
      </c>
      <c r="CU80" s="91">
        <f>IF(((Input_Raw[[#This Row],[33 kV_Wind_F2_Import_reading]]-CM79)*1200)&gt;0,(Input_Raw[[#This Row],[33 kV_Wind_F2_Import_reading]]-CM79)*1200,0)</f>
        <v>0</v>
      </c>
      <c r="CV80" s="91">
        <f>IF(((Input_Raw[[#This Row],[33 kV_Wind_F3_Export_Reading]]-CN79)*1200)&gt;0,(Input_Raw[[#This Row],[33 kV_Wind_F3_Export_Reading]]-CN79)*1200,0)</f>
        <v>132000</v>
      </c>
      <c r="CW80" s="91">
        <f>IF(((Input_Raw[[#This Row],[33 kV_Wind_F3_Import_Reading]]-CO79)*1200)&gt;0,(Input_Raw[[#This Row],[33 kV_Wind_F3_Import_Reading]]-CO79)*1200,0)</f>
        <v>1200</v>
      </c>
      <c r="CX80" s="91">
        <f>IF(((Input_Raw[[#This Row],[33 kV_Wind_F4_Export Reading]]-CP79)*1200)&gt;0,(Input_Raw[[#This Row],[33 kV_Wind_F4_Export Reading]]-CP79)*1200,0)</f>
        <v>126000</v>
      </c>
      <c r="CY80" s="91">
        <f>IF(((Input_Raw[[#This Row],[33 kV_Wind_F4_Import Reading]]-CQ79)*1200)&gt;0,(Input_Raw[[#This Row],[33 kV_Wind_F4_Import Reading]]-CQ79)*1200,0)</f>
        <v>0</v>
      </c>
      <c r="CZ80" s="91">
        <f>Input_Raw[[#This Row],[33 kV_F1_Total_Export (KWh)]]+Input_Raw[[#This Row],[33 kV_F2_Total_Export (KWh)2]]+Input_Raw[[#This Row],[33 kV_Wind_F3_Export (KWh)]]+Input_Raw[[#This Row],[33 kV_Wind_F4_Export (KWh)]]</f>
        <v>422400</v>
      </c>
      <c r="DA80" s="91">
        <f>Input_Raw[[#This Row],[33 kV_Wind_F1_Import (KWh)]]+Input_Raw[[#This Row],[33 kV_Wind_F2_Import (KWh)]]+Input_Raw[[#This Row],[33 kV_Wind_F3_Import (KWh)2]]+Input_Raw[[#This Row],[33 kV_Wind_F4_Import (KWh)2]]</f>
        <v>2400</v>
      </c>
      <c r="DB80" s="21">
        <f>IFERROR(1-Input_Raw[[#This Row],[33 kV_Wind_Total_Export (KWh)]]/Input_Raw[[#This Row],[WTG Total Gneration (KWh)]],0)</f>
        <v>1.4417411959055437E-2</v>
      </c>
      <c r="DC80" s="100">
        <v>70</v>
      </c>
      <c r="DD80" s="100">
        <v>115200</v>
      </c>
      <c r="DE80" s="102">
        <v>428.57</v>
      </c>
      <c r="DF80" s="99"/>
      <c r="DG80" s="101">
        <v>78</v>
      </c>
      <c r="DH80" s="168" t="s">
        <v>381</v>
      </c>
    </row>
    <row r="81" spans="1:112">
      <c r="A81" s="20">
        <f t="shared" si="6"/>
        <v>45821</v>
      </c>
      <c r="B81" s="12">
        <f>YEAR([1]!Input_Raw[[#This Row],[Date]])+IF(MONTH([1]!Input_Raw[[#This Row],[Date]])&gt;=4,1,0)</f>
        <v>2026</v>
      </c>
      <c r="C81" s="13">
        <f>YEAR([1]!Input_Raw[[#This Row],[Date]])</f>
        <v>2025</v>
      </c>
      <c r="D81" s="14">
        <f t="shared" si="5"/>
        <v>45809</v>
      </c>
      <c r="E81" s="13">
        <f>DAY(EOMONTH([1]!Input_Raw[[#This Row],[Date]],0))</f>
        <v>30</v>
      </c>
      <c r="F81" s="15">
        <v>4102</v>
      </c>
      <c r="G81" s="15">
        <v>4109</v>
      </c>
      <c r="H81" s="15">
        <v>4104</v>
      </c>
      <c r="I81" s="15">
        <v>4111</v>
      </c>
      <c r="J81" s="15">
        <v>2479</v>
      </c>
      <c r="K81" s="15">
        <v>4121</v>
      </c>
      <c r="L81" s="15">
        <v>4112</v>
      </c>
      <c r="M81" s="15">
        <v>4123</v>
      </c>
      <c r="N81" s="15">
        <v>3621</v>
      </c>
      <c r="O81" s="15">
        <v>3267</v>
      </c>
      <c r="P81" s="15">
        <v>4167</v>
      </c>
      <c r="Q81" s="15">
        <v>3610</v>
      </c>
      <c r="R81" s="15">
        <v>3616</v>
      </c>
      <c r="S81" s="15">
        <v>3618</v>
      </c>
      <c r="T81" s="15">
        <v>3620</v>
      </c>
      <c r="U81" s="15">
        <v>3618</v>
      </c>
      <c r="V81" s="15">
        <v>2021</v>
      </c>
      <c r="W81" s="15">
        <v>3628</v>
      </c>
      <c r="X81" s="15">
        <v>3642</v>
      </c>
      <c r="Y81" s="15">
        <v>3645</v>
      </c>
      <c r="Z81" s="15">
        <v>2487</v>
      </c>
      <c r="AA81" s="15">
        <v>2474</v>
      </c>
      <c r="AB81" s="15">
        <v>2468</v>
      </c>
      <c r="AC81" s="15">
        <v>2118</v>
      </c>
      <c r="AD81" s="15">
        <v>2742</v>
      </c>
      <c r="AE81" s="15">
        <v>2111</v>
      </c>
      <c r="AF81" s="15">
        <v>2121</v>
      </c>
      <c r="AG81" s="15">
        <v>0</v>
      </c>
      <c r="AH81" s="15">
        <v>2123</v>
      </c>
      <c r="AI81" s="15">
        <v>0</v>
      </c>
      <c r="AJ81" s="15">
        <v>2745</v>
      </c>
      <c r="AK81" s="15">
        <v>2752</v>
      </c>
      <c r="AL81" s="15">
        <v>2753</v>
      </c>
      <c r="AM81" s="15">
        <v>2755</v>
      </c>
      <c r="AN81" s="15">
        <v>2758</v>
      </c>
      <c r="AO81" s="15">
        <v>2746</v>
      </c>
      <c r="AP81" s="15">
        <v>2742</v>
      </c>
      <c r="AQ81" s="15">
        <v>2762</v>
      </c>
      <c r="AR81" s="15">
        <v>2765</v>
      </c>
      <c r="AS81" s="16">
        <v>3.93</v>
      </c>
      <c r="AT81" s="16">
        <v>3.99</v>
      </c>
      <c r="AU81" s="16">
        <v>3.9</v>
      </c>
      <c r="AV81" s="16">
        <v>3.78</v>
      </c>
      <c r="AW81" s="16">
        <v>3.4</v>
      </c>
      <c r="AX81" s="16">
        <v>4.13</v>
      </c>
      <c r="AY81" s="16">
        <v>3.8</v>
      </c>
      <c r="AZ81" s="16">
        <v>4.05</v>
      </c>
      <c r="BA81" s="16">
        <v>3.76</v>
      </c>
      <c r="BB81" s="16">
        <v>3.86</v>
      </c>
      <c r="BC81" s="16">
        <v>4.0599999999999996</v>
      </c>
      <c r="BD81" s="16">
        <v>3.98</v>
      </c>
      <c r="BE81" s="16">
        <v>4.04</v>
      </c>
      <c r="BF81" s="16">
        <v>4.03</v>
      </c>
      <c r="BG81" s="16">
        <v>3.88</v>
      </c>
      <c r="BH81" s="16">
        <v>4.18</v>
      </c>
      <c r="BI81" s="16">
        <v>3.41</v>
      </c>
      <c r="BJ81" s="16">
        <v>4.09</v>
      </c>
      <c r="BK81" s="16">
        <v>4.29</v>
      </c>
      <c r="BL81" s="16">
        <v>4.0599999999999996</v>
      </c>
      <c r="BM81" s="16">
        <v>4.5</v>
      </c>
      <c r="BN81" s="16">
        <v>3.75</v>
      </c>
      <c r="BO81" s="16">
        <v>3.14</v>
      </c>
      <c r="BP81" s="16">
        <v>3.53</v>
      </c>
      <c r="BQ81" s="16">
        <v>3.02</v>
      </c>
      <c r="BR81" s="16">
        <v>3.42</v>
      </c>
      <c r="BS81" s="16">
        <v>3.48</v>
      </c>
      <c r="BT81" s="16">
        <v>0</v>
      </c>
      <c r="BU81" s="16">
        <v>3.31</v>
      </c>
      <c r="BV81" s="16">
        <v>0</v>
      </c>
      <c r="BW81" s="16">
        <v>3.29</v>
      </c>
      <c r="BX81" s="16">
        <v>3.51</v>
      </c>
      <c r="BY81" s="16">
        <v>3.38</v>
      </c>
      <c r="BZ81" s="16">
        <v>3.42</v>
      </c>
      <c r="CA81" s="16">
        <v>3.69</v>
      </c>
      <c r="CB81" s="16">
        <v>3.98</v>
      </c>
      <c r="CC81" s="16">
        <v>3.43</v>
      </c>
      <c r="CD81" s="16">
        <v>3.41</v>
      </c>
      <c r="CE81" s="16">
        <v>3.47</v>
      </c>
      <c r="CF81" s="17">
        <f>SUM(Input_Raw[[#This Row],[G01]:[G40]])</f>
        <v>116756</v>
      </c>
      <c r="CG81" s="18">
        <f>IFERROR(AVERAGE(Input_Raw[[#This Row],[WS_G01]:[WS_G40]]),"")</f>
        <v>3.5474358974358982</v>
      </c>
      <c r="CH81" s="19"/>
      <c r="CI81" s="19"/>
      <c r="CJ81" s="15">
        <v>242744</v>
      </c>
      <c r="CK81" s="15">
        <v>2192</v>
      </c>
      <c r="CL81" s="15">
        <v>282405</v>
      </c>
      <c r="CM81" s="15">
        <v>2218</v>
      </c>
      <c r="CN81" s="15">
        <v>259321</v>
      </c>
      <c r="CO81" s="15">
        <v>1826</v>
      </c>
      <c r="CP81" s="15">
        <v>295482</v>
      </c>
      <c r="CQ81" s="15">
        <v>1872</v>
      </c>
      <c r="CR81" s="91">
        <f>IF(((Input_Raw[[#This Row],[33 kV_Wind_F1_Export reading]]-CJ80)*1200)&gt;0,(Input_Raw[[#This Row],[33 kV_Wind_F1_Export reading]]-CJ80)*1200,0)</f>
        <v>26400</v>
      </c>
      <c r="CS81" s="91">
        <f>IF(((Input_Raw[[#This Row],[33 kV_Wind_F1_Import reading]]-CK80)*1200)&gt;0,(Input_Raw[[#This Row],[33 kV_Wind_F1_Import reading]]-CK80)*1200,0)</f>
        <v>1200</v>
      </c>
      <c r="CT81" s="91">
        <f>IF(((Input_Raw[[#This Row],[33 kV_Wind_F2_Export_reading]]-CL80)*1200)&gt;0,(Input_Raw[[#This Row],[33 kV_Wind_F2_Export_reading]]-CL80)*1200,0)</f>
        <v>18000</v>
      </c>
      <c r="CU81" s="91">
        <f>IF(((Input_Raw[[#This Row],[33 kV_Wind_F2_Import_reading]]-CM80)*1200)&gt;0,(Input_Raw[[#This Row],[33 kV_Wind_F2_Import_reading]]-CM80)*1200,0)</f>
        <v>1200</v>
      </c>
      <c r="CV81" s="91">
        <f>IF(((Input_Raw[[#This Row],[33 kV_Wind_F3_Export_Reading]]-CN80)*1200)&gt;0,(Input_Raw[[#This Row],[33 kV_Wind_F3_Export_Reading]]-CN80)*1200,0)</f>
        <v>34800</v>
      </c>
      <c r="CW81" s="91">
        <f>IF(((Input_Raw[[#This Row],[33 kV_Wind_F3_Import_Reading]]-CO80)*1200)&gt;0,(Input_Raw[[#This Row],[33 kV_Wind_F3_Import_Reading]]-CO80)*1200,0)</f>
        <v>1200</v>
      </c>
      <c r="CX81" s="91">
        <f>IF(((Input_Raw[[#This Row],[33 kV_Wind_F4_Export Reading]]-CP80)*1200)&gt;0,(Input_Raw[[#This Row],[33 kV_Wind_F4_Export Reading]]-CP80)*1200,0)</f>
        <v>33600</v>
      </c>
      <c r="CY81" s="91">
        <f>IF(((Input_Raw[[#This Row],[33 kV_Wind_F4_Import Reading]]-CQ80)*1200)&gt;0,(Input_Raw[[#This Row],[33 kV_Wind_F4_Import Reading]]-CQ80)*1200,0)</f>
        <v>2400</v>
      </c>
      <c r="CZ81" s="91">
        <f>Input_Raw[[#This Row],[33 kV_F1_Total_Export (KWh)]]+Input_Raw[[#This Row],[33 kV_F2_Total_Export (KWh)2]]+Input_Raw[[#This Row],[33 kV_Wind_F3_Export (KWh)]]+Input_Raw[[#This Row],[33 kV_Wind_F4_Export (KWh)]]</f>
        <v>112800</v>
      </c>
      <c r="DA81" s="91">
        <f>Input_Raw[[#This Row],[33 kV_Wind_F1_Import (KWh)]]+Input_Raw[[#This Row],[33 kV_Wind_F2_Import (KWh)]]+Input_Raw[[#This Row],[33 kV_Wind_F3_Import (KWh)2]]+Input_Raw[[#This Row],[33 kV_Wind_F4_Import (KWh)2]]</f>
        <v>6000</v>
      </c>
      <c r="DB81" s="21">
        <f>IFERROR(1-Input_Raw[[#This Row],[33 kV_Wind_Total_Export (KWh)]]/Input_Raw[[#This Row],[WTG Total Gneration (KWh)]],0)</f>
        <v>3.3882627017026934E-2</v>
      </c>
      <c r="DC81" s="100">
        <v>86</v>
      </c>
      <c r="DD81" s="100">
        <v>4123</v>
      </c>
      <c r="DE81" s="102">
        <v>116.75</v>
      </c>
      <c r="DF81" s="99"/>
      <c r="DG81" s="101">
        <v>78</v>
      </c>
      <c r="DH81" s="168" t="s">
        <v>381</v>
      </c>
    </row>
    <row r="82" spans="1:112">
      <c r="A82" s="20">
        <f t="shared" si="6"/>
        <v>45822</v>
      </c>
      <c r="B82" s="12">
        <f>YEAR([1]!Input_Raw[[#This Row],[Date]])+IF(MONTH([1]!Input_Raw[[#This Row],[Date]])&gt;=4,1,0)</f>
        <v>2026</v>
      </c>
      <c r="C82" s="13">
        <f>YEAR([1]!Input_Raw[[#This Row],[Date]])</f>
        <v>2025</v>
      </c>
      <c r="D82" s="14">
        <f t="shared" si="5"/>
        <v>45809</v>
      </c>
      <c r="E82" s="13">
        <f>DAY(EOMONTH([1]!Input_Raw[[#This Row],[Date]],0))</f>
        <v>30</v>
      </c>
      <c r="F82" s="15">
        <v>3227</v>
      </c>
      <c r="G82" s="15">
        <v>3234</v>
      </c>
      <c r="H82" s="15">
        <v>3220</v>
      </c>
      <c r="I82" s="15">
        <v>3107</v>
      </c>
      <c r="J82" s="15">
        <v>2130</v>
      </c>
      <c r="K82" s="15">
        <v>3220</v>
      </c>
      <c r="L82" s="15">
        <v>3227</v>
      </c>
      <c r="M82" s="15">
        <v>3375</v>
      </c>
      <c r="N82" s="15">
        <v>5096</v>
      </c>
      <c r="O82" s="15">
        <v>3208</v>
      </c>
      <c r="P82" s="15">
        <v>3210</v>
      </c>
      <c r="Q82" s="15">
        <v>4318</v>
      </c>
      <c r="R82" s="15">
        <v>4320</v>
      </c>
      <c r="S82" s="15">
        <v>4327</v>
      </c>
      <c r="T82" s="15">
        <v>4332</v>
      </c>
      <c r="U82" s="15">
        <v>4256</v>
      </c>
      <c r="V82" s="15">
        <v>0</v>
      </c>
      <c r="W82" s="15">
        <v>4143</v>
      </c>
      <c r="X82" s="15">
        <v>4134</v>
      </c>
      <c r="Y82" s="15">
        <v>4293</v>
      </c>
      <c r="Z82" s="15">
        <v>1484</v>
      </c>
      <c r="AA82" s="15">
        <v>1698</v>
      </c>
      <c r="AB82" s="15">
        <v>1595</v>
      </c>
      <c r="AC82" s="15">
        <v>1610</v>
      </c>
      <c r="AD82" s="15">
        <v>1600</v>
      </c>
      <c r="AE82" s="15">
        <v>1502</v>
      </c>
      <c r="AF82" s="15">
        <v>1553</v>
      </c>
      <c r="AG82" s="15">
        <v>0</v>
      </c>
      <c r="AH82" s="15">
        <v>1323</v>
      </c>
      <c r="AI82" s="15">
        <v>0</v>
      </c>
      <c r="AJ82" s="15">
        <v>1273</v>
      </c>
      <c r="AK82" s="15">
        <v>1264</v>
      </c>
      <c r="AL82" s="15">
        <v>1189</v>
      </c>
      <c r="AM82" s="15">
        <v>1286</v>
      </c>
      <c r="AN82" s="15">
        <v>1249</v>
      </c>
      <c r="AO82" s="15">
        <v>1172</v>
      </c>
      <c r="AP82" s="15">
        <v>1156</v>
      </c>
      <c r="AQ82" s="15">
        <v>932</v>
      </c>
      <c r="AR82" s="15">
        <v>1126</v>
      </c>
      <c r="AS82" s="16">
        <v>3.74</v>
      </c>
      <c r="AT82" s="16">
        <v>3.74</v>
      </c>
      <c r="AU82" s="16">
        <v>3.75</v>
      </c>
      <c r="AV82" s="16">
        <v>3.66</v>
      </c>
      <c r="AW82" s="16">
        <v>3.58</v>
      </c>
      <c r="AX82" s="16">
        <v>4.01</v>
      </c>
      <c r="AY82" s="16">
        <v>3.68</v>
      </c>
      <c r="AZ82" s="16">
        <v>3.94</v>
      </c>
      <c r="BA82" s="16">
        <v>3.7</v>
      </c>
      <c r="BB82" s="16">
        <v>3.66</v>
      </c>
      <c r="BC82" s="16">
        <v>3.85</v>
      </c>
      <c r="BD82" s="16">
        <v>3.83</v>
      </c>
      <c r="BE82" s="16">
        <v>3.84</v>
      </c>
      <c r="BF82" s="16">
        <v>3.92</v>
      </c>
      <c r="BG82" s="16">
        <v>3.11</v>
      </c>
      <c r="BH82" s="16">
        <v>0</v>
      </c>
      <c r="BI82" s="16">
        <v>4.0199999999999996</v>
      </c>
      <c r="BJ82" s="16">
        <v>3.98</v>
      </c>
      <c r="BK82" s="16">
        <v>4.12</v>
      </c>
      <c r="BL82" s="16">
        <v>4.16</v>
      </c>
      <c r="BM82" s="16">
        <v>3.79</v>
      </c>
      <c r="BN82" s="16">
        <v>3.68</v>
      </c>
      <c r="BO82" s="16">
        <v>3.68</v>
      </c>
      <c r="BP82" s="16">
        <v>3.85</v>
      </c>
      <c r="BQ82" s="16">
        <v>3.49</v>
      </c>
      <c r="BR82" s="16">
        <v>3.7</v>
      </c>
      <c r="BS82" s="16">
        <v>3.67</v>
      </c>
      <c r="BT82" s="16">
        <v>0</v>
      </c>
      <c r="BU82" s="16">
        <v>3.9</v>
      </c>
      <c r="BV82" s="16">
        <v>0</v>
      </c>
      <c r="BW82" s="16">
        <v>3.66</v>
      </c>
      <c r="BX82" s="16">
        <v>3.57</v>
      </c>
      <c r="BY82" s="16">
        <v>3.7</v>
      </c>
      <c r="BZ82" s="16">
        <v>3.91</v>
      </c>
      <c r="CA82" s="16">
        <v>4.05</v>
      </c>
      <c r="CB82" s="16">
        <v>3.93</v>
      </c>
      <c r="CC82" s="16">
        <v>3.61</v>
      </c>
      <c r="CD82" s="16">
        <v>4.13</v>
      </c>
      <c r="CE82" s="16">
        <v>3.7</v>
      </c>
      <c r="CF82" s="17">
        <f>SUM(Input_Raw[[#This Row],[G01]:[G40]])</f>
        <v>93389</v>
      </c>
      <c r="CG82" s="18">
        <f>IFERROR(AVERAGE(Input_Raw[[#This Row],[WS_G01]:[WS_G40]]),"")</f>
        <v>3.4951282051282053</v>
      </c>
      <c r="CH82" s="19"/>
      <c r="CI82" s="19"/>
      <c r="CJ82" s="15">
        <v>242757</v>
      </c>
      <c r="CK82" s="15">
        <v>2194</v>
      </c>
      <c r="CL82" s="15">
        <v>282417</v>
      </c>
      <c r="CM82" s="15">
        <v>2220</v>
      </c>
      <c r="CN82" s="15">
        <v>259340</v>
      </c>
      <c r="CO82" s="15">
        <v>1827</v>
      </c>
      <c r="CP82" s="15">
        <v>295499</v>
      </c>
      <c r="CQ82" s="15">
        <v>1873</v>
      </c>
      <c r="CR82" s="91">
        <f>IF(((Input_Raw[[#This Row],[33 kV_Wind_F1_Export reading]]-CJ81)*1200)&gt;0,(Input_Raw[[#This Row],[33 kV_Wind_F1_Export reading]]-CJ81)*1200,0)</f>
        <v>15600</v>
      </c>
      <c r="CS82" s="91">
        <f>IF(((Input_Raw[[#This Row],[33 kV_Wind_F1_Import reading]]-CK81)*1200)&gt;0,(Input_Raw[[#This Row],[33 kV_Wind_F1_Import reading]]-CK81)*1200,0)</f>
        <v>2400</v>
      </c>
      <c r="CT82" s="91">
        <f>IF(((Input_Raw[[#This Row],[33 kV_Wind_F2_Export_reading]]-CL81)*1200)&gt;0,(Input_Raw[[#This Row],[33 kV_Wind_F2_Export_reading]]-CL81)*1200,0)</f>
        <v>14400</v>
      </c>
      <c r="CU82" s="91">
        <f>IF(((Input_Raw[[#This Row],[33 kV_Wind_F2_Import_reading]]-CM81)*1200)&gt;0,(Input_Raw[[#This Row],[33 kV_Wind_F2_Import_reading]]-CM81)*1200,0)</f>
        <v>2400</v>
      </c>
      <c r="CV82" s="91">
        <f>IF(((Input_Raw[[#This Row],[33 kV_Wind_F3_Export_Reading]]-CN81)*1200)&gt;0,(Input_Raw[[#This Row],[33 kV_Wind_F3_Export_Reading]]-CN81)*1200,0)</f>
        <v>22800</v>
      </c>
      <c r="CW82" s="91">
        <f>IF(((Input_Raw[[#This Row],[33 kV_Wind_F3_Import_Reading]]-CO81)*1200)&gt;0,(Input_Raw[[#This Row],[33 kV_Wind_F3_Import_Reading]]-CO81)*1200,0)</f>
        <v>1200</v>
      </c>
      <c r="CX82" s="91">
        <f>IF(((Input_Raw[[#This Row],[33 kV_Wind_F4_Export Reading]]-CP81)*1200)&gt;0,(Input_Raw[[#This Row],[33 kV_Wind_F4_Export Reading]]-CP81)*1200,0)</f>
        <v>20400</v>
      </c>
      <c r="CY82" s="91">
        <f>IF(((Input_Raw[[#This Row],[33 kV_Wind_F4_Import Reading]]-CQ81)*1200)&gt;0,(Input_Raw[[#This Row],[33 kV_Wind_F4_Import Reading]]-CQ81)*1200,0)</f>
        <v>1200</v>
      </c>
      <c r="CZ82" s="91">
        <f>Input_Raw[[#This Row],[33 kV_F1_Total_Export (KWh)]]+Input_Raw[[#This Row],[33 kV_F2_Total_Export (KWh)2]]+Input_Raw[[#This Row],[33 kV_Wind_F3_Export (KWh)]]+Input_Raw[[#This Row],[33 kV_Wind_F4_Export (KWh)]]</f>
        <v>73200</v>
      </c>
      <c r="DA82" s="91">
        <f>Input_Raw[[#This Row],[33 kV_Wind_F1_Import (KWh)]]+Input_Raw[[#This Row],[33 kV_Wind_F2_Import (KWh)]]+Input_Raw[[#This Row],[33 kV_Wind_F3_Import (KWh)2]]+Input_Raw[[#This Row],[33 kV_Wind_F4_Import (KWh)2]]</f>
        <v>7200</v>
      </c>
      <c r="DB82" s="21">
        <f>IFERROR(1-Input_Raw[[#This Row],[33 kV_Wind_Total_Export (KWh)]]/Input_Raw[[#This Row],[WTG Total Gneration (KWh)]],0)</f>
        <v>0.21618177729711208</v>
      </c>
      <c r="DC82" s="100">
        <v>96</v>
      </c>
      <c r="DD82" s="100">
        <v>129</v>
      </c>
      <c r="DE82" s="102">
        <v>76.680000000000007</v>
      </c>
      <c r="DF82" s="99"/>
      <c r="DG82" s="101">
        <v>78</v>
      </c>
      <c r="DH82" s="168" t="s">
        <v>381</v>
      </c>
    </row>
    <row r="83" spans="1:112">
      <c r="A83" s="20">
        <f t="shared" si="6"/>
        <v>45823</v>
      </c>
      <c r="B83" s="12">
        <f>YEAR([1]!Input_Raw[[#This Row],[Date]])+IF(MONTH([1]!Input_Raw[[#This Row],[Date]])&gt;=4,1,0)</f>
        <v>2026</v>
      </c>
      <c r="C83" s="13">
        <f>YEAR([1]!Input_Raw[[#This Row],[Date]])</f>
        <v>2025</v>
      </c>
      <c r="D83" s="14">
        <f t="shared" si="5"/>
        <v>45809</v>
      </c>
      <c r="E83" s="13">
        <f>DAY(EOMONTH([1]!Input_Raw[[#This Row],[Date]],0))</f>
        <v>30</v>
      </c>
      <c r="F83" s="15">
        <v>9098</v>
      </c>
      <c r="G83" s="15">
        <v>9102</v>
      </c>
      <c r="H83" s="15">
        <v>8921</v>
      </c>
      <c r="I83" s="15">
        <v>9121</v>
      </c>
      <c r="J83" s="15">
        <v>7893</v>
      </c>
      <c r="K83" s="15">
        <v>9157</v>
      </c>
      <c r="L83" s="15">
        <v>9229</v>
      </c>
      <c r="M83" s="15">
        <v>9095</v>
      </c>
      <c r="N83" s="15">
        <v>11061</v>
      </c>
      <c r="O83" s="15">
        <v>9199</v>
      </c>
      <c r="P83" s="15">
        <v>8703</v>
      </c>
      <c r="Q83" s="15">
        <v>10307</v>
      </c>
      <c r="R83" s="15">
        <v>10350</v>
      </c>
      <c r="S83" s="15">
        <v>10217</v>
      </c>
      <c r="T83" s="15">
        <v>10203</v>
      </c>
      <c r="U83" s="15">
        <v>10136</v>
      </c>
      <c r="V83" s="15">
        <v>0</v>
      </c>
      <c r="W83" s="15">
        <v>10056</v>
      </c>
      <c r="X83" s="15">
        <v>10165</v>
      </c>
      <c r="Y83" s="15">
        <v>9776</v>
      </c>
      <c r="Z83" s="15">
        <v>8109</v>
      </c>
      <c r="AA83" s="15">
        <v>7878</v>
      </c>
      <c r="AB83" s="15">
        <v>8085</v>
      </c>
      <c r="AC83" s="15">
        <v>7905</v>
      </c>
      <c r="AD83" s="15">
        <v>7945</v>
      </c>
      <c r="AE83" s="15">
        <v>8076</v>
      </c>
      <c r="AF83" s="15">
        <v>7948</v>
      </c>
      <c r="AG83" s="15">
        <v>0</v>
      </c>
      <c r="AH83" s="15">
        <v>7645</v>
      </c>
      <c r="AI83" s="15">
        <v>0</v>
      </c>
      <c r="AJ83" s="15">
        <v>8128</v>
      </c>
      <c r="AK83" s="15">
        <v>8073</v>
      </c>
      <c r="AL83" s="15">
        <v>8174</v>
      </c>
      <c r="AM83" s="15">
        <v>8189</v>
      </c>
      <c r="AN83" s="15">
        <v>8110</v>
      </c>
      <c r="AO83" s="15">
        <v>8021</v>
      </c>
      <c r="AP83" s="15">
        <v>8137</v>
      </c>
      <c r="AQ83" s="15">
        <v>8183</v>
      </c>
      <c r="AR83" s="15">
        <v>8063</v>
      </c>
      <c r="AS83" s="16">
        <v>4.58</v>
      </c>
      <c r="AT83" s="16">
        <v>4.46</v>
      </c>
      <c r="AU83" s="16">
        <v>3.97</v>
      </c>
      <c r="AV83" s="16">
        <v>4.1500000000000004</v>
      </c>
      <c r="AW83" s="16">
        <v>3.78</v>
      </c>
      <c r="AX83" s="16">
        <v>4.38</v>
      </c>
      <c r="AY83" s="16">
        <v>4.4000000000000004</v>
      </c>
      <c r="AZ83" s="16">
        <v>4.13</v>
      </c>
      <c r="BA83" s="16">
        <v>4.08</v>
      </c>
      <c r="BB83" s="16">
        <v>3.95</v>
      </c>
      <c r="BC83" s="16">
        <v>4.01</v>
      </c>
      <c r="BD83" s="16">
        <v>4.04</v>
      </c>
      <c r="BE83" s="16">
        <v>3.98</v>
      </c>
      <c r="BF83" s="16">
        <v>3.84</v>
      </c>
      <c r="BG83" s="16">
        <v>3.92</v>
      </c>
      <c r="BH83" s="16">
        <v>3.95</v>
      </c>
      <c r="BI83" s="16">
        <v>4.1500000000000004</v>
      </c>
      <c r="BJ83" s="16">
        <v>4.01</v>
      </c>
      <c r="BK83" s="16">
        <v>3.99</v>
      </c>
      <c r="BL83" s="16">
        <v>4.01</v>
      </c>
      <c r="BM83" s="16">
        <v>3.76</v>
      </c>
      <c r="BN83" s="16">
        <v>3.87</v>
      </c>
      <c r="BO83" s="16">
        <v>3.95</v>
      </c>
      <c r="BP83" s="16">
        <v>4.26</v>
      </c>
      <c r="BQ83" s="16">
        <v>4.2</v>
      </c>
      <c r="BR83" s="16">
        <v>4.22</v>
      </c>
      <c r="BS83" s="16">
        <v>4.21</v>
      </c>
      <c r="BT83" s="16">
        <v>0</v>
      </c>
      <c r="BU83" s="16">
        <v>5.44</v>
      </c>
      <c r="BV83" s="16">
        <v>0</v>
      </c>
      <c r="BW83" s="16">
        <v>4.17</v>
      </c>
      <c r="BX83" s="16">
        <v>4.1500000000000004</v>
      </c>
      <c r="BY83" s="16">
        <v>4.32</v>
      </c>
      <c r="BZ83" s="16">
        <v>4.55</v>
      </c>
      <c r="CA83" s="16">
        <v>6.32</v>
      </c>
      <c r="CB83" s="16">
        <v>4.45</v>
      </c>
      <c r="CC83" s="16">
        <v>4.87</v>
      </c>
      <c r="CD83" s="16">
        <v>4.3099999999999996</v>
      </c>
      <c r="CE83" s="16">
        <v>5.39</v>
      </c>
      <c r="CF83" s="17">
        <f>SUM(Input_Raw[[#This Row],[G01]:[G40]])</f>
        <v>318458</v>
      </c>
      <c r="CG83" s="18">
        <f>IFERROR(AVERAGE(Input_Raw[[#This Row],[WS_G01]:[WS_G40]]),"")</f>
        <v>4.056923076923078</v>
      </c>
      <c r="CH83" s="19"/>
      <c r="CI83" s="19"/>
      <c r="CJ83" s="15">
        <v>242817</v>
      </c>
      <c r="CK83" s="15">
        <v>2194</v>
      </c>
      <c r="CL83" s="15">
        <v>282475</v>
      </c>
      <c r="CM83" s="15">
        <v>2220</v>
      </c>
      <c r="CN83" s="15">
        <v>259398</v>
      </c>
      <c r="CO83" s="15">
        <v>1827</v>
      </c>
      <c r="CP83" s="15">
        <v>295560</v>
      </c>
      <c r="CQ83" s="15">
        <v>1873</v>
      </c>
      <c r="CR83" s="91">
        <f>IF(((Input_Raw[[#This Row],[33 kV_Wind_F1_Export reading]]-CJ82)*1200)&gt;0,(Input_Raw[[#This Row],[33 kV_Wind_F1_Export reading]]-CJ82)*1200,0)</f>
        <v>72000</v>
      </c>
      <c r="CS83" s="91">
        <f>IF(((Input_Raw[[#This Row],[33 kV_Wind_F1_Import reading]]-CK82)*1200)&gt;0,(Input_Raw[[#This Row],[33 kV_Wind_F1_Import reading]]-CK82)*1200,0)</f>
        <v>0</v>
      </c>
      <c r="CT83" s="91">
        <f>IF(((Input_Raw[[#This Row],[33 kV_Wind_F2_Export_reading]]-CL82)*1200)&gt;0,(Input_Raw[[#This Row],[33 kV_Wind_F2_Export_reading]]-CL82)*1200,0)</f>
        <v>69600</v>
      </c>
      <c r="CU83" s="91">
        <f>IF(((Input_Raw[[#This Row],[33 kV_Wind_F2_Import_reading]]-CM82)*1200)&gt;0,(Input_Raw[[#This Row],[33 kV_Wind_F2_Import_reading]]-CM82)*1200,0)</f>
        <v>0</v>
      </c>
      <c r="CV83" s="91">
        <f>IF(((Input_Raw[[#This Row],[33 kV_Wind_F3_Export_Reading]]-CN82)*1200)&gt;0,(Input_Raw[[#This Row],[33 kV_Wind_F3_Export_Reading]]-CN82)*1200,0)</f>
        <v>69600</v>
      </c>
      <c r="CW83" s="91">
        <f>IF(((Input_Raw[[#This Row],[33 kV_Wind_F3_Import_Reading]]-CO82)*1200)&gt;0,(Input_Raw[[#This Row],[33 kV_Wind_F3_Import_Reading]]-CO82)*1200,0)</f>
        <v>0</v>
      </c>
      <c r="CX83" s="91">
        <f>IF(((Input_Raw[[#This Row],[33 kV_Wind_F4_Export Reading]]-CP82)*1200)&gt;0,(Input_Raw[[#This Row],[33 kV_Wind_F4_Export Reading]]-CP82)*1200,0)</f>
        <v>73200</v>
      </c>
      <c r="CY83" s="91">
        <f>IF(((Input_Raw[[#This Row],[33 kV_Wind_F4_Import Reading]]-CQ82)*1200)&gt;0,(Input_Raw[[#This Row],[33 kV_Wind_F4_Import Reading]]-CQ82)*1200,0)</f>
        <v>0</v>
      </c>
      <c r="CZ83" s="91">
        <f>Input_Raw[[#This Row],[33 kV_F1_Total_Export (KWh)]]+Input_Raw[[#This Row],[33 kV_F2_Total_Export (KWh)2]]+Input_Raw[[#This Row],[33 kV_Wind_F3_Export (KWh)]]+Input_Raw[[#This Row],[33 kV_Wind_F4_Export (KWh)]]</f>
        <v>284400</v>
      </c>
      <c r="DA83" s="91">
        <f>Input_Raw[[#This Row],[33 kV_Wind_F1_Import (KWh)]]+Input_Raw[[#This Row],[33 kV_Wind_F2_Import (KWh)]]+Input_Raw[[#This Row],[33 kV_Wind_F3_Import (KWh)2]]+Input_Raw[[#This Row],[33 kV_Wind_F4_Import (KWh)2]]</f>
        <v>0</v>
      </c>
      <c r="DB83" s="21">
        <f>IFERROR(1-Input_Raw[[#This Row],[33 kV_Wind_Total_Export (KWh)]]/Input_Raw[[#This Row],[WTG Total Gneration (KWh)]],0)</f>
        <v>0.10694659892356295</v>
      </c>
      <c r="DC83" s="100">
        <v>96</v>
      </c>
      <c r="DD83" s="171">
        <v>7611</v>
      </c>
      <c r="DE83" s="102">
        <v>287.89999999999998</v>
      </c>
      <c r="DF83" s="99"/>
      <c r="DG83" s="101">
        <v>78</v>
      </c>
      <c r="DH83" s="168" t="s">
        <v>381</v>
      </c>
    </row>
    <row r="84" spans="1:112">
      <c r="A84" s="20">
        <f t="shared" si="6"/>
        <v>45824</v>
      </c>
      <c r="B84" s="12">
        <f>YEAR([1]!Input_Raw[[#This Row],[Date]])+IF(MONTH([1]!Input_Raw[[#This Row],[Date]])&gt;=4,1,0)</f>
        <v>2026</v>
      </c>
      <c r="C84" s="13">
        <f>YEAR([1]!Input_Raw[[#This Row],[Date]])</f>
        <v>2025</v>
      </c>
      <c r="D84" s="14">
        <f t="shared" si="5"/>
        <v>45809</v>
      </c>
      <c r="E84" s="13">
        <f>DAY(EOMONTH([1]!Input_Raw[[#This Row],[Date]],0))</f>
        <v>30</v>
      </c>
      <c r="F84" s="15">
        <v>23205</v>
      </c>
      <c r="G84" s="15">
        <v>23305</v>
      </c>
      <c r="H84" s="15">
        <v>23032</v>
      </c>
      <c r="I84" s="15">
        <v>22992</v>
      </c>
      <c r="J84" s="15">
        <v>22197</v>
      </c>
      <c r="K84" s="15">
        <v>22500</v>
      </c>
      <c r="L84" s="15">
        <v>23295</v>
      </c>
      <c r="M84" s="15">
        <v>23308</v>
      </c>
      <c r="N84" s="15">
        <v>25219</v>
      </c>
      <c r="O84" s="15">
        <v>23295</v>
      </c>
      <c r="P84" s="15">
        <v>23292</v>
      </c>
      <c r="Q84" s="15">
        <v>24410</v>
      </c>
      <c r="R84" s="15">
        <v>24390</v>
      </c>
      <c r="S84" s="15">
        <v>24398</v>
      </c>
      <c r="T84" s="15">
        <v>24410</v>
      </c>
      <c r="U84" s="15">
        <v>24123</v>
      </c>
      <c r="V84" s="15">
        <v>0</v>
      </c>
      <c r="W84" s="15">
        <v>24397</v>
      </c>
      <c r="X84" s="15">
        <v>24398</v>
      </c>
      <c r="Y84" s="15">
        <v>24394</v>
      </c>
      <c r="Z84" s="15">
        <v>22199</v>
      </c>
      <c r="AA84" s="15">
        <v>22189</v>
      </c>
      <c r="AB84" s="15">
        <v>22890</v>
      </c>
      <c r="AC84" s="15">
        <v>22790</v>
      </c>
      <c r="AD84" s="15">
        <v>22379</v>
      </c>
      <c r="AE84" s="15">
        <v>22907</v>
      </c>
      <c r="AF84" s="15">
        <v>22297</v>
      </c>
      <c r="AG84" s="15">
        <v>0</v>
      </c>
      <c r="AH84" s="15">
        <v>20213</v>
      </c>
      <c r="AI84" s="15">
        <v>0</v>
      </c>
      <c r="AJ84" s="15">
        <v>20098</v>
      </c>
      <c r="AK84" s="15">
        <v>20403</v>
      </c>
      <c r="AL84" s="15">
        <v>20200</v>
      </c>
      <c r="AM84" s="15">
        <v>20149</v>
      </c>
      <c r="AN84" s="15">
        <v>20056</v>
      </c>
      <c r="AO84" s="15">
        <v>20690</v>
      </c>
      <c r="AP84" s="15">
        <v>20090</v>
      </c>
      <c r="AQ84" s="15">
        <v>19910</v>
      </c>
      <c r="AR84" s="15">
        <v>20753</v>
      </c>
      <c r="AS84" s="16">
        <v>7.28</v>
      </c>
      <c r="AT84" s="16">
        <v>7.74</v>
      </c>
      <c r="AU84" s="16">
        <v>7.38</v>
      </c>
      <c r="AV84" s="16">
        <v>7.5</v>
      </c>
      <c r="AW84" s="16">
        <v>6.95</v>
      </c>
      <c r="AX84" s="16">
        <v>6.64</v>
      </c>
      <c r="AY84" s="89">
        <v>7.2</v>
      </c>
      <c r="AZ84" s="16">
        <v>7.59</v>
      </c>
      <c r="BA84" s="16">
        <v>7.79</v>
      </c>
      <c r="BB84" s="16">
        <v>7.37</v>
      </c>
      <c r="BC84" s="16">
        <v>7.73</v>
      </c>
      <c r="BD84" s="16">
        <v>7.52</v>
      </c>
      <c r="BE84" s="16">
        <v>7.72</v>
      </c>
      <c r="BF84" s="16">
        <v>7.67</v>
      </c>
      <c r="BG84" s="16">
        <v>7.75</v>
      </c>
      <c r="BH84" s="16">
        <v>7.66</v>
      </c>
      <c r="BI84" s="16">
        <v>8.3800000000000008</v>
      </c>
      <c r="BJ84" s="16">
        <v>7.44</v>
      </c>
      <c r="BK84" s="16">
        <v>8.44</v>
      </c>
      <c r="BL84" s="16">
        <v>7.02</v>
      </c>
      <c r="BM84" s="16">
        <v>6.9</v>
      </c>
      <c r="BN84" s="16">
        <v>7.2</v>
      </c>
      <c r="BO84" s="16">
        <v>7.24</v>
      </c>
      <c r="BP84" s="16">
        <v>7.4</v>
      </c>
      <c r="BQ84" s="16">
        <v>7.39</v>
      </c>
      <c r="BR84" s="16">
        <v>7.05</v>
      </c>
      <c r="BS84" s="16">
        <v>6.74</v>
      </c>
      <c r="BT84" s="16">
        <v>0</v>
      </c>
      <c r="BU84" s="16">
        <v>7.37</v>
      </c>
      <c r="BV84" s="16">
        <v>0</v>
      </c>
      <c r="BW84" s="16">
        <v>6.79</v>
      </c>
      <c r="BX84" s="16">
        <v>6.65</v>
      </c>
      <c r="BY84" s="16">
        <v>6.54</v>
      </c>
      <c r="BZ84" s="16">
        <v>7.02</v>
      </c>
      <c r="CA84" s="16">
        <v>7.65</v>
      </c>
      <c r="CB84" s="16">
        <v>7.66</v>
      </c>
      <c r="CC84" s="16">
        <v>6.74</v>
      </c>
      <c r="CD84" s="16">
        <v>6.53</v>
      </c>
      <c r="CE84" s="16">
        <v>7.19</v>
      </c>
      <c r="CF84" s="17">
        <f>SUM(Input_Raw[[#This Row],[G01]:[G40]])</f>
        <v>810773</v>
      </c>
      <c r="CG84" s="18">
        <f>IFERROR(AVERAGE(Input_Raw[[#This Row],[WS_G01]:[WS_G40]]),"")</f>
        <v>6.9443589743589742</v>
      </c>
      <c r="CH84" s="19"/>
      <c r="CI84" s="19"/>
      <c r="CJ84" s="15">
        <v>242988</v>
      </c>
      <c r="CK84" s="15">
        <v>2194</v>
      </c>
      <c r="CL84" s="15">
        <v>282611</v>
      </c>
      <c r="CM84" s="15">
        <v>2220</v>
      </c>
      <c r="CN84" s="15">
        <v>259578</v>
      </c>
      <c r="CO84" s="15">
        <v>1827</v>
      </c>
      <c r="CP84" s="15">
        <v>295736</v>
      </c>
      <c r="CQ84" s="15">
        <v>1873</v>
      </c>
      <c r="CR84" s="91">
        <f>IF(((Input_Raw[[#This Row],[33 kV_Wind_F1_Export reading]]-CJ83)*1200)&gt;0,(Input_Raw[[#This Row],[33 kV_Wind_F1_Export reading]]-CJ83)*1200,0)</f>
        <v>205200</v>
      </c>
      <c r="CS84" s="91">
        <f>IF(((Input_Raw[[#This Row],[33 kV_Wind_F1_Import reading]]-CK83)*1200)&gt;0,(Input_Raw[[#This Row],[33 kV_Wind_F1_Import reading]]-CK83)*1200,0)</f>
        <v>0</v>
      </c>
      <c r="CT84" s="91">
        <f>IF(((Input_Raw[[#This Row],[33 kV_Wind_F2_Export_reading]]-CL83)*1200)&gt;0,(Input_Raw[[#This Row],[33 kV_Wind_F2_Export_reading]]-CL83)*1200,0)</f>
        <v>163200</v>
      </c>
      <c r="CU84" s="91">
        <f>IF(((Input_Raw[[#This Row],[33 kV_Wind_F2_Import_reading]]-CM83)*1200)&gt;0,(Input_Raw[[#This Row],[33 kV_Wind_F2_Import_reading]]-CM83)*1200,0)</f>
        <v>0</v>
      </c>
      <c r="CV84" s="91">
        <f>IF(((Input_Raw[[#This Row],[33 kV_Wind_F3_Export_Reading]]-CN83)*1200)&gt;0,(Input_Raw[[#This Row],[33 kV_Wind_F3_Export_Reading]]-CN83)*1200,0)</f>
        <v>216000</v>
      </c>
      <c r="CW84" s="91">
        <f>IF(((Input_Raw[[#This Row],[33 kV_Wind_F3_Import_Reading]]-CO83)*1200)&gt;0,(Input_Raw[[#This Row],[33 kV_Wind_F3_Import_Reading]]-CO83)*1200,0)</f>
        <v>0</v>
      </c>
      <c r="CX84" s="91">
        <f>IF(((Input_Raw[[#This Row],[33 kV_Wind_F4_Export Reading]]-CP83)*1200)&gt;0,(Input_Raw[[#This Row],[33 kV_Wind_F4_Export Reading]]-CP83)*1200,0)</f>
        <v>211200</v>
      </c>
      <c r="CY84" s="91">
        <f>IF(((Input_Raw[[#This Row],[33 kV_Wind_F4_Import Reading]]-CQ83)*1200)&gt;0,(Input_Raw[[#This Row],[33 kV_Wind_F4_Import Reading]]-CQ83)*1200,0)</f>
        <v>0</v>
      </c>
      <c r="CZ84" s="91">
        <f>Input_Raw[[#This Row],[33 kV_F1_Total_Export (KWh)]]+Input_Raw[[#This Row],[33 kV_F2_Total_Export (KWh)2]]+Input_Raw[[#This Row],[33 kV_Wind_F3_Export (KWh)]]+Input_Raw[[#This Row],[33 kV_Wind_F4_Export (KWh)]]</f>
        <v>795600</v>
      </c>
      <c r="DA84" s="91">
        <f>Input_Raw[[#This Row],[33 kV_Wind_F1_Import (KWh)]]+Input_Raw[[#This Row],[33 kV_Wind_F2_Import (KWh)]]+Input_Raw[[#This Row],[33 kV_Wind_F3_Import (KWh)2]]+Input_Raw[[#This Row],[33 kV_Wind_F4_Import (KWh)2]]</f>
        <v>0</v>
      </c>
      <c r="DB84" s="21">
        <f>IFERROR(1-Input_Raw[[#This Row],[33 kV_Wind_Total_Export (KWh)]]/Input_Raw[[#This Row],[WTG Total Gneration (KWh)]],0)</f>
        <v>1.8714239374029495E-2</v>
      </c>
      <c r="DC84" s="100">
        <v>96</v>
      </c>
      <c r="DD84" s="323">
        <v>307215</v>
      </c>
      <c r="DE84" s="102">
        <v>799.17</v>
      </c>
      <c r="DF84" s="99"/>
      <c r="DG84" s="101">
        <v>78</v>
      </c>
      <c r="DH84" s="168" t="s">
        <v>381</v>
      </c>
    </row>
    <row r="85" spans="1:112">
      <c r="A85" s="20">
        <f t="shared" si="6"/>
        <v>45825</v>
      </c>
      <c r="B85" s="12">
        <f>YEAR([1]!Input_Raw[[#This Row],[Date]])+IF(MONTH([1]!Input_Raw[[#This Row],[Date]])&gt;=4,1,0)</f>
        <v>2026</v>
      </c>
      <c r="C85" s="13">
        <f>YEAR([1]!Input_Raw[[#This Row],[Date]])</f>
        <v>2025</v>
      </c>
      <c r="D85" s="14">
        <f t="shared" si="5"/>
        <v>45809</v>
      </c>
      <c r="E85" s="13">
        <f>DAY(EOMONTH([1]!Input_Raw[[#This Row],[Date]],0))</f>
        <v>30</v>
      </c>
      <c r="F85" s="15">
        <v>26111</v>
      </c>
      <c r="G85" s="15">
        <v>26117</v>
      </c>
      <c r="H85" s="15">
        <v>24950</v>
      </c>
      <c r="I85" s="15">
        <v>26000</v>
      </c>
      <c r="J85" s="15">
        <v>25901</v>
      </c>
      <c r="K85" s="15">
        <v>27198</v>
      </c>
      <c r="L85" s="15">
        <v>27943</v>
      </c>
      <c r="M85" s="15">
        <v>27943</v>
      </c>
      <c r="N85" s="15">
        <v>27970</v>
      </c>
      <c r="O85" s="15">
        <v>26953</v>
      </c>
      <c r="P85" s="15">
        <v>27021</v>
      </c>
      <c r="Q85" s="15">
        <v>26400</v>
      </c>
      <c r="R85" s="15">
        <v>28743</v>
      </c>
      <c r="S85" s="15">
        <v>27211</v>
      </c>
      <c r="T85" s="15">
        <v>24273</v>
      </c>
      <c r="U85" s="15">
        <v>27211</v>
      </c>
      <c r="V85" s="15">
        <v>0</v>
      </c>
      <c r="W85" s="15">
        <v>26322</v>
      </c>
      <c r="X85" s="15">
        <v>27210</v>
      </c>
      <c r="Y85" s="15">
        <v>28210</v>
      </c>
      <c r="Z85" s="15">
        <v>25762</v>
      </c>
      <c r="AA85" s="15">
        <v>25199</v>
      </c>
      <c r="AB85" s="15">
        <v>24765</v>
      </c>
      <c r="AC85" s="15">
        <v>24945</v>
      </c>
      <c r="AD85" s="15">
        <v>25012</v>
      </c>
      <c r="AE85" s="15">
        <v>25032</v>
      </c>
      <c r="AF85" s="15">
        <v>13093</v>
      </c>
      <c r="AG85" s="15">
        <v>0</v>
      </c>
      <c r="AH85" s="15">
        <v>24110</v>
      </c>
      <c r="AI85" s="15">
        <v>0</v>
      </c>
      <c r="AJ85" s="15">
        <v>23992</v>
      </c>
      <c r="AK85" s="15">
        <v>20764</v>
      </c>
      <c r="AL85" s="15">
        <v>22421</v>
      </c>
      <c r="AM85" s="15">
        <v>23887</v>
      </c>
      <c r="AN85" s="15">
        <v>24652</v>
      </c>
      <c r="AO85" s="15">
        <v>24752</v>
      </c>
      <c r="AP85" s="15">
        <v>23882</v>
      </c>
      <c r="AQ85" s="15">
        <v>24889</v>
      </c>
      <c r="AR85" s="15">
        <v>24899</v>
      </c>
      <c r="AS85" s="16">
        <v>8.9</v>
      </c>
      <c r="AT85" s="16">
        <v>7.74</v>
      </c>
      <c r="AU85" s="16">
        <v>9.1</v>
      </c>
      <c r="AV85" s="16">
        <v>7.5</v>
      </c>
      <c r="AW85" s="16">
        <v>9.3000000000000007</v>
      </c>
      <c r="AX85" s="16">
        <v>6.64</v>
      </c>
      <c r="AY85" s="89">
        <v>9.5</v>
      </c>
      <c r="AZ85" s="16">
        <v>9.5</v>
      </c>
      <c r="BA85" s="16">
        <v>9.1999999999999993</v>
      </c>
      <c r="BB85" s="16">
        <v>7.37</v>
      </c>
      <c r="BC85" s="16">
        <v>9.4</v>
      </c>
      <c r="BD85" s="16">
        <v>7.52</v>
      </c>
      <c r="BE85" s="16">
        <v>9.5</v>
      </c>
      <c r="BF85" s="16">
        <v>7.67</v>
      </c>
      <c r="BG85" s="16">
        <v>7.75</v>
      </c>
      <c r="BH85" s="16">
        <v>9.7799999999999994</v>
      </c>
      <c r="BI85" s="16">
        <v>8.3800000000000008</v>
      </c>
      <c r="BJ85" s="16">
        <v>9.5</v>
      </c>
      <c r="BK85" s="16">
        <v>8.44</v>
      </c>
      <c r="BL85" s="16">
        <v>9.3000000000000007</v>
      </c>
      <c r="BM85" s="16">
        <v>6.9</v>
      </c>
      <c r="BN85" s="16">
        <v>9.1</v>
      </c>
      <c r="BO85" s="16">
        <v>7.24</v>
      </c>
      <c r="BP85" s="16">
        <v>7.4</v>
      </c>
      <c r="BQ85" s="16">
        <v>7.39</v>
      </c>
      <c r="BR85" s="16">
        <v>9.4</v>
      </c>
      <c r="BS85" s="16">
        <v>6.74</v>
      </c>
      <c r="BT85" s="16">
        <v>0</v>
      </c>
      <c r="BU85" s="16">
        <v>9.6</v>
      </c>
      <c r="BV85" s="16">
        <v>0</v>
      </c>
      <c r="BW85" s="16">
        <v>9.6999999999999993</v>
      </c>
      <c r="BX85" s="16">
        <v>6.65</v>
      </c>
      <c r="BY85" s="16">
        <v>6.54</v>
      </c>
      <c r="BZ85" s="16">
        <v>7.02</v>
      </c>
      <c r="CA85" s="16">
        <v>9.8000000000000007</v>
      </c>
      <c r="CB85" s="16">
        <v>9.8000000000000007</v>
      </c>
      <c r="CC85" s="16">
        <v>6.74</v>
      </c>
      <c r="CD85" s="16">
        <v>9.5</v>
      </c>
      <c r="CE85" s="16">
        <v>9.6999999999999993</v>
      </c>
      <c r="CF85" s="17">
        <f>SUM(Input_Raw[[#This Row],[G01]:[G40]])</f>
        <v>911743</v>
      </c>
      <c r="CG85" s="18">
        <f>IFERROR(AVERAGE(Input_Raw[[#This Row],[WS_G01]:[WS_G40]]),"")</f>
        <v>7.9797435897435909</v>
      </c>
      <c r="CH85" s="19"/>
      <c r="CI85" s="19"/>
      <c r="CJ85" s="15">
        <v>243190</v>
      </c>
      <c r="CK85" s="15">
        <v>2194</v>
      </c>
      <c r="CL85" s="15">
        <v>282761</v>
      </c>
      <c r="CM85" s="15">
        <v>2220</v>
      </c>
      <c r="CN85" s="15">
        <v>259777</v>
      </c>
      <c r="CO85" s="15">
        <v>1827</v>
      </c>
      <c r="CP85" s="15">
        <v>295932</v>
      </c>
      <c r="CQ85" s="15">
        <v>1873</v>
      </c>
      <c r="CR85" s="91">
        <f>IF(((Input_Raw[[#This Row],[33 kV_Wind_F1_Export reading]]-CJ84)*1200)&gt;0,(Input_Raw[[#This Row],[33 kV_Wind_F1_Export reading]]-CJ84)*1200,0)</f>
        <v>242400</v>
      </c>
      <c r="CS85" s="91">
        <f>IF(((Input_Raw[[#This Row],[33 kV_Wind_F1_Import reading]]-CK84)*1200)&gt;0,(Input_Raw[[#This Row],[33 kV_Wind_F1_Import reading]]-CK84)*1200,0)</f>
        <v>0</v>
      </c>
      <c r="CT85" s="91">
        <f>IF(((Input_Raw[[#This Row],[33 kV_Wind_F2_Export_reading]]-CL84)*1200)&gt;0,(Input_Raw[[#This Row],[33 kV_Wind_F2_Export_reading]]-CL84)*1200,0)</f>
        <v>180000</v>
      </c>
      <c r="CU85" s="91">
        <f>IF(((Input_Raw[[#This Row],[33 kV_Wind_F2_Import_reading]]-CM84)*1200)&gt;0,(Input_Raw[[#This Row],[33 kV_Wind_F2_Import_reading]]-CM84)*1200,0)</f>
        <v>0</v>
      </c>
      <c r="CV85" s="91">
        <f>IF(((Input_Raw[[#This Row],[33 kV_Wind_F3_Export_Reading]]-CN84)*1200)&gt;0,(Input_Raw[[#This Row],[33 kV_Wind_F3_Export_Reading]]-CN84)*1200,0)</f>
        <v>238800</v>
      </c>
      <c r="CW85" s="91">
        <f>IF(((Input_Raw[[#This Row],[33 kV_Wind_F3_Import_Reading]]-CO84)*1200)&gt;0,(Input_Raw[[#This Row],[33 kV_Wind_F3_Import_Reading]]-CO84)*1200,0)</f>
        <v>0</v>
      </c>
      <c r="CX85" s="91">
        <f>IF(((Input_Raw[[#This Row],[33 kV_Wind_F4_Export Reading]]-CP84)*1200)&gt;0,(Input_Raw[[#This Row],[33 kV_Wind_F4_Export Reading]]-CP84)*1200,0)</f>
        <v>235200</v>
      </c>
      <c r="CY85" s="91">
        <f>IF(((Input_Raw[[#This Row],[33 kV_Wind_F4_Import Reading]]-CQ84)*1200)&gt;0,(Input_Raw[[#This Row],[33 kV_Wind_F4_Import Reading]]-CQ84)*1200,0)</f>
        <v>0</v>
      </c>
      <c r="CZ85" s="91">
        <f>Input_Raw[[#This Row],[33 kV_F1_Total_Export (KWh)]]+Input_Raw[[#This Row],[33 kV_F2_Total_Export (KWh)2]]+Input_Raw[[#This Row],[33 kV_Wind_F3_Export (KWh)]]+Input_Raw[[#This Row],[33 kV_Wind_F4_Export (KWh)]]</f>
        <v>896400</v>
      </c>
      <c r="DA85" s="91">
        <f>Input_Raw[[#This Row],[33 kV_Wind_F1_Import (KWh)]]+Input_Raw[[#This Row],[33 kV_Wind_F2_Import (KWh)]]+Input_Raw[[#This Row],[33 kV_Wind_F3_Import (KWh)2]]+Input_Raw[[#This Row],[33 kV_Wind_F4_Import (KWh)2]]</f>
        <v>0</v>
      </c>
      <c r="DB85" s="21">
        <f>IFERROR(1-Input_Raw[[#This Row],[33 kV_Wind_Total_Export (KWh)]]/Input_Raw[[#This Row],[WTG Total Gneration (KWh)]],0)</f>
        <v>1.6828207071510337E-2</v>
      </c>
      <c r="DC85" s="100">
        <v>96</v>
      </c>
      <c r="DD85" s="100">
        <v>347383</v>
      </c>
      <c r="DE85" s="102">
        <v>900.13</v>
      </c>
      <c r="DF85" s="99"/>
      <c r="DG85" s="101">
        <v>78</v>
      </c>
      <c r="DH85" s="168" t="s">
        <v>381</v>
      </c>
    </row>
    <row r="86" spans="1:112">
      <c r="A86" s="20">
        <f t="shared" si="6"/>
        <v>45826</v>
      </c>
      <c r="B86" s="12">
        <f>YEAR([1]!Input_Raw[[#This Row],[Date]])+IF(MONTH([1]!Input_Raw[[#This Row],[Date]])&gt;=4,1,0)</f>
        <v>2026</v>
      </c>
      <c r="C86" s="13">
        <f>YEAR([1]!Input_Raw[[#This Row],[Date]])</f>
        <v>2025</v>
      </c>
      <c r="D86" s="14">
        <f t="shared" si="5"/>
        <v>45809</v>
      </c>
      <c r="E86" s="13">
        <f>DAY(EOMONTH([1]!Input_Raw[[#This Row],[Date]],0))</f>
        <v>30</v>
      </c>
      <c r="F86" s="15">
        <v>29903</v>
      </c>
      <c r="G86" s="15">
        <v>30897</v>
      </c>
      <c r="H86" s="15">
        <v>30873</v>
      </c>
      <c r="I86" s="15">
        <v>31001</v>
      </c>
      <c r="J86" s="15">
        <v>29882</v>
      </c>
      <c r="K86" s="15">
        <v>31032</v>
      </c>
      <c r="L86" s="15">
        <v>28206</v>
      </c>
      <c r="M86" s="15">
        <v>30904</v>
      </c>
      <c r="N86" s="15">
        <v>31593</v>
      </c>
      <c r="O86" s="15">
        <v>31145</v>
      </c>
      <c r="P86" s="15">
        <v>31117</v>
      </c>
      <c r="Q86" s="15">
        <v>30803</v>
      </c>
      <c r="R86" s="15">
        <v>31797</v>
      </c>
      <c r="S86" s="15">
        <v>30959</v>
      </c>
      <c r="T86" s="15">
        <v>29590</v>
      </c>
      <c r="U86" s="15">
        <v>30132</v>
      </c>
      <c r="V86" s="15">
        <v>0</v>
      </c>
      <c r="W86" s="15">
        <v>31101</v>
      </c>
      <c r="X86" s="15">
        <v>30999</v>
      </c>
      <c r="Y86" s="15">
        <v>31252</v>
      </c>
      <c r="Z86" s="15">
        <v>29509</v>
      </c>
      <c r="AA86" s="15">
        <v>29971</v>
      </c>
      <c r="AB86" s="15">
        <v>29672</v>
      </c>
      <c r="AC86" s="15">
        <v>29267</v>
      </c>
      <c r="AD86" s="15">
        <v>26312</v>
      </c>
      <c r="AE86" s="15">
        <v>29781</v>
      </c>
      <c r="AF86" s="15">
        <v>23621</v>
      </c>
      <c r="AG86" s="15">
        <v>0</v>
      </c>
      <c r="AH86" s="15">
        <v>27943</v>
      </c>
      <c r="AI86" s="15">
        <v>0</v>
      </c>
      <c r="AJ86" s="15">
        <v>26331</v>
      </c>
      <c r="AK86" s="15">
        <v>27692</v>
      </c>
      <c r="AL86" s="15">
        <v>28815</v>
      </c>
      <c r="AM86" s="15">
        <v>25651</v>
      </c>
      <c r="AN86" s="15">
        <v>26632</v>
      </c>
      <c r="AO86" s="15">
        <v>26845</v>
      </c>
      <c r="AP86" s="15">
        <v>26817</v>
      </c>
      <c r="AQ86" s="15">
        <v>23915</v>
      </c>
      <c r="AR86" s="15">
        <v>26281</v>
      </c>
      <c r="AS86" s="16">
        <v>11.02</v>
      </c>
      <c r="AT86" s="16">
        <v>11.37</v>
      </c>
      <c r="AU86" s="16">
        <v>10.51</v>
      </c>
      <c r="AV86" s="16">
        <v>10.62</v>
      </c>
      <c r="AW86" s="16">
        <v>9.4700000000000006</v>
      </c>
      <c r="AX86" s="16">
        <v>11.61</v>
      </c>
      <c r="AY86" s="16">
        <v>10.28</v>
      </c>
      <c r="AZ86" s="16">
        <v>10.6</v>
      </c>
      <c r="BA86" s="89">
        <v>10.77</v>
      </c>
      <c r="BB86" s="89">
        <v>11.68</v>
      </c>
      <c r="BC86" s="16">
        <v>12.36</v>
      </c>
      <c r="BD86" s="16">
        <v>9.5299999999999994</v>
      </c>
      <c r="BE86" s="16">
        <v>10.37</v>
      </c>
      <c r="BF86" s="16">
        <v>10.66</v>
      </c>
      <c r="BG86" s="16">
        <v>10.77</v>
      </c>
      <c r="BH86" s="16">
        <v>10.39</v>
      </c>
      <c r="BI86" s="16">
        <v>10.02</v>
      </c>
      <c r="BJ86" s="16">
        <v>11.57</v>
      </c>
      <c r="BK86" s="16">
        <v>12.25</v>
      </c>
      <c r="BL86" s="16">
        <v>11.76</v>
      </c>
      <c r="BM86" s="16">
        <v>9.6999999999999993</v>
      </c>
      <c r="BN86" s="16">
        <v>10.81</v>
      </c>
      <c r="BO86" s="16">
        <v>9.89</v>
      </c>
      <c r="BP86" s="16">
        <v>9</v>
      </c>
      <c r="BQ86" s="16">
        <v>10.24</v>
      </c>
      <c r="BR86" s="16">
        <v>9.9499999999999993</v>
      </c>
      <c r="BS86" s="16">
        <v>9.94</v>
      </c>
      <c r="BT86" s="16">
        <v>0</v>
      </c>
      <c r="BU86" s="16">
        <v>10.130000000000001</v>
      </c>
      <c r="BV86" s="16">
        <v>0</v>
      </c>
      <c r="BW86" s="16">
        <v>10.74</v>
      </c>
      <c r="BX86" s="16">
        <v>9.3000000000000007</v>
      </c>
      <c r="BY86" s="16">
        <v>9.31</v>
      </c>
      <c r="BZ86" s="16">
        <v>9.2899999999999991</v>
      </c>
      <c r="CA86" s="16">
        <v>9.9700000000000006</v>
      </c>
      <c r="CB86" s="16">
        <v>9.3800000000000008</v>
      </c>
      <c r="CC86" s="16">
        <v>9.7899999999999991</v>
      </c>
      <c r="CD86" s="16">
        <v>9.5500000000000007</v>
      </c>
      <c r="CE86" s="16">
        <v>10.210000000000001</v>
      </c>
      <c r="CF86" s="17">
        <f>SUM(Input_Raw[[#This Row],[G01]:[G40]])</f>
        <v>1048241</v>
      </c>
      <c r="CG86" s="18">
        <f>IFERROR(AVERAGE(Input_Raw[[#This Row],[WS_G01]:[WS_G40]]),"")</f>
        <v>9.8669230769230776</v>
      </c>
      <c r="CH86" s="19"/>
      <c r="CI86" s="19"/>
      <c r="CJ86" s="15">
        <v>243402</v>
      </c>
      <c r="CK86" s="15">
        <v>2194</v>
      </c>
      <c r="CL86" s="15">
        <v>282948</v>
      </c>
      <c r="CM86" s="15">
        <v>2220</v>
      </c>
      <c r="CN86" s="15">
        <v>260007</v>
      </c>
      <c r="CO86" s="15">
        <v>1827</v>
      </c>
      <c r="CP86" s="15">
        <v>296164</v>
      </c>
      <c r="CQ86" s="15">
        <v>1873</v>
      </c>
      <c r="CR86" s="91">
        <f>IF(((Input_Raw[[#This Row],[33 kV_Wind_F1_Export reading]]-CJ85)*1200)&gt;0,(Input_Raw[[#This Row],[33 kV_Wind_F1_Export reading]]-CJ85)*1200,0)</f>
        <v>254400</v>
      </c>
      <c r="CS86" s="91">
        <f>IF(((Input_Raw[[#This Row],[33 kV_Wind_F1_Import reading]]-CK85)*1200)&gt;0,(Input_Raw[[#This Row],[33 kV_Wind_F1_Import reading]]-CK85)*1200,0)</f>
        <v>0</v>
      </c>
      <c r="CT86" s="91">
        <f>IF(((Input_Raw[[#This Row],[33 kV_Wind_F2_Export_reading]]-CL85)*1200)&gt;0,(Input_Raw[[#This Row],[33 kV_Wind_F2_Export_reading]]-CL85)*1200,0)</f>
        <v>224400</v>
      </c>
      <c r="CU86" s="91">
        <f>IF(((Input_Raw[[#This Row],[33 kV_Wind_F2_Import_reading]]-CM85)*1200)&gt;0,(Input_Raw[[#This Row],[33 kV_Wind_F2_Import_reading]]-CM85)*1200,0)</f>
        <v>0</v>
      </c>
      <c r="CV86" s="91">
        <f>IF(((Input_Raw[[#This Row],[33 kV_Wind_F3_Export_Reading]]-CN85)*1200)&gt;0,(Input_Raw[[#This Row],[33 kV_Wind_F3_Export_Reading]]-CN85)*1200,0)</f>
        <v>276000</v>
      </c>
      <c r="CW86" s="91">
        <f>IF(((Input_Raw[[#This Row],[33 kV_Wind_F3_Import_Reading]]-CO85)*1200)&gt;0,(Input_Raw[[#This Row],[33 kV_Wind_F3_Import_Reading]]-CO85)*1200,0)</f>
        <v>0</v>
      </c>
      <c r="CX86" s="91">
        <f>IF(((Input_Raw[[#This Row],[33 kV_Wind_F4_Export Reading]]-CP85)*1200)&gt;0,(Input_Raw[[#This Row],[33 kV_Wind_F4_Export Reading]]-CP85)*1200,0)</f>
        <v>278400</v>
      </c>
      <c r="CY86" s="91">
        <f>IF(((Input_Raw[[#This Row],[33 kV_Wind_F4_Import Reading]]-CQ85)*1200)&gt;0,(Input_Raw[[#This Row],[33 kV_Wind_F4_Import Reading]]-CQ85)*1200,0)</f>
        <v>0</v>
      </c>
      <c r="CZ86" s="91">
        <f>Input_Raw[[#This Row],[33 kV_F1_Total_Export (KWh)]]+Input_Raw[[#This Row],[33 kV_F2_Total_Export (KWh)2]]+Input_Raw[[#This Row],[33 kV_Wind_F3_Export (KWh)]]+Input_Raw[[#This Row],[33 kV_Wind_F4_Export (KWh)]]</f>
        <v>1033200</v>
      </c>
      <c r="DA86" s="91">
        <f>Input_Raw[[#This Row],[33 kV_Wind_F1_Import (KWh)]]+Input_Raw[[#This Row],[33 kV_Wind_F2_Import (KWh)]]+Input_Raw[[#This Row],[33 kV_Wind_F3_Import (KWh)2]]+Input_Raw[[#This Row],[33 kV_Wind_F4_Import (KWh)2]]</f>
        <v>0</v>
      </c>
      <c r="DB86" s="21">
        <f>IFERROR(1-Input_Raw[[#This Row],[33 kV_Wind_Total_Export (KWh)]]/Input_Raw[[#This Row],[WTG Total Gneration (KWh)]],0)</f>
        <v>1.4348799560406467E-2</v>
      </c>
      <c r="DC86" s="100">
        <v>96</v>
      </c>
      <c r="DD86" s="100">
        <v>385829</v>
      </c>
      <c r="DE86" s="102">
        <v>1036.6400000000001</v>
      </c>
      <c r="DF86" s="99"/>
      <c r="DG86" s="101">
        <v>78</v>
      </c>
      <c r="DH86" s="168" t="s">
        <v>381</v>
      </c>
    </row>
    <row r="87" spans="1:112">
      <c r="A87" s="20">
        <f t="shared" si="6"/>
        <v>45827</v>
      </c>
      <c r="B87" s="12">
        <f>YEAR([1]!Input_Raw[[#This Row],[Date]])+IF(MONTH([1]!Input_Raw[[#This Row],[Date]])&gt;=4,1,0)</f>
        <v>2026</v>
      </c>
      <c r="C87" s="13">
        <f>YEAR([1]!Input_Raw[[#This Row],[Date]])</f>
        <v>2025</v>
      </c>
      <c r="D87" s="14">
        <f t="shared" si="5"/>
        <v>45809</v>
      </c>
      <c r="E87" s="13">
        <f>DAY(EOMONTH([1]!Input_Raw[[#This Row],[Date]],0))</f>
        <v>30</v>
      </c>
      <c r="F87" s="15">
        <v>26714</v>
      </c>
      <c r="G87" s="15">
        <v>26663</v>
      </c>
      <c r="H87" s="15">
        <v>25426</v>
      </c>
      <c r="I87" s="15">
        <v>25951</v>
      </c>
      <c r="J87" s="15">
        <v>26940</v>
      </c>
      <c r="K87" s="15">
        <v>26923</v>
      </c>
      <c r="L87" s="15">
        <v>28123</v>
      </c>
      <c r="M87" s="15">
        <v>28457</v>
      </c>
      <c r="N87" s="15">
        <v>28623</v>
      </c>
      <c r="O87" s="15">
        <v>28018</v>
      </c>
      <c r="P87" s="15">
        <v>27012</v>
      </c>
      <c r="Q87" s="15">
        <v>27590</v>
      </c>
      <c r="R87" s="15">
        <v>27811</v>
      </c>
      <c r="S87" s="15">
        <v>27683</v>
      </c>
      <c r="T87" s="15">
        <v>27589</v>
      </c>
      <c r="U87" s="15">
        <v>27918</v>
      </c>
      <c r="V87" s="15">
        <v>0</v>
      </c>
      <c r="W87" s="15">
        <v>27485</v>
      </c>
      <c r="X87" s="15">
        <v>27658</v>
      </c>
      <c r="Y87" s="15">
        <v>27034</v>
      </c>
      <c r="Z87" s="15">
        <v>26134</v>
      </c>
      <c r="AA87" s="15">
        <v>25472</v>
      </c>
      <c r="AB87" s="15">
        <v>25731</v>
      </c>
      <c r="AC87" s="15">
        <v>25631</v>
      </c>
      <c r="AD87" s="15">
        <v>24273</v>
      </c>
      <c r="AE87" s="15">
        <v>25373</v>
      </c>
      <c r="AF87" s="15">
        <v>22452</v>
      </c>
      <c r="AG87" s="15">
        <v>0</v>
      </c>
      <c r="AH87" s="15">
        <v>24823</v>
      </c>
      <c r="AI87" s="15">
        <v>0</v>
      </c>
      <c r="AJ87" s="15">
        <v>22620</v>
      </c>
      <c r="AK87" s="15">
        <v>23521</v>
      </c>
      <c r="AL87" s="15">
        <v>24317</v>
      </c>
      <c r="AM87" s="15">
        <v>23551</v>
      </c>
      <c r="AN87" s="15">
        <v>23268</v>
      </c>
      <c r="AO87" s="15">
        <v>24483</v>
      </c>
      <c r="AP87" s="15">
        <v>23614</v>
      </c>
      <c r="AQ87" s="15">
        <v>24541</v>
      </c>
      <c r="AR87" s="15">
        <v>24219</v>
      </c>
      <c r="AS87" s="16">
        <v>8.16</v>
      </c>
      <c r="AT87" s="16">
        <v>8.5299999999999994</v>
      </c>
      <c r="AU87" s="16">
        <v>8.52</v>
      </c>
      <c r="AV87" s="16">
        <v>8.33</v>
      </c>
      <c r="AW87" s="16">
        <v>8.06</v>
      </c>
      <c r="AX87" s="16">
        <v>7.29</v>
      </c>
      <c r="AY87" s="16">
        <v>8.26</v>
      </c>
      <c r="AZ87" s="16">
        <v>8.84</v>
      </c>
      <c r="BA87" s="16">
        <v>9.14</v>
      </c>
      <c r="BB87" s="16">
        <v>8.25</v>
      </c>
      <c r="BC87" s="16">
        <v>8.4600000000000009</v>
      </c>
      <c r="BD87" s="16">
        <v>8.7200000000000006</v>
      </c>
      <c r="BE87" s="16">
        <v>8.81</v>
      </c>
      <c r="BF87" s="16">
        <v>8.84</v>
      </c>
      <c r="BG87" s="16">
        <v>8.93</v>
      </c>
      <c r="BH87" s="16">
        <v>8.6999999999999993</v>
      </c>
      <c r="BI87" s="16">
        <v>0</v>
      </c>
      <c r="BJ87" s="16">
        <v>7.81</v>
      </c>
      <c r="BK87" s="16">
        <v>9.4600000000000009</v>
      </c>
      <c r="BL87" s="16">
        <v>7.58</v>
      </c>
      <c r="BM87" s="16">
        <v>7.3</v>
      </c>
      <c r="BN87" s="16">
        <v>8.39</v>
      </c>
      <c r="BO87" s="16">
        <v>8.02</v>
      </c>
      <c r="BP87" s="16">
        <v>8.3000000000000007</v>
      </c>
      <c r="BQ87" s="16">
        <v>8.1999999999999993</v>
      </c>
      <c r="BR87" s="16">
        <v>7.84</v>
      </c>
      <c r="BS87" s="16">
        <v>7.75</v>
      </c>
      <c r="BT87" s="16">
        <v>0</v>
      </c>
      <c r="BU87" s="16">
        <v>8.06</v>
      </c>
      <c r="BV87" s="16">
        <v>0</v>
      </c>
      <c r="BW87" s="16">
        <v>8.19</v>
      </c>
      <c r="BX87" s="16">
        <v>7.25</v>
      </c>
      <c r="BY87" s="16">
        <v>7.54</v>
      </c>
      <c r="BZ87" s="16">
        <v>7.49</v>
      </c>
      <c r="CA87" s="16">
        <v>7.96</v>
      </c>
      <c r="CB87" s="16">
        <v>8.32</v>
      </c>
      <c r="CC87" s="16">
        <v>8.57</v>
      </c>
      <c r="CD87" s="16">
        <v>7.51</v>
      </c>
      <c r="CE87" s="16">
        <v>7.47</v>
      </c>
      <c r="CF87" s="17">
        <f>SUM(Input_Raw[[#This Row],[G01]:[G40]])</f>
        <v>933641</v>
      </c>
      <c r="CG87" s="18">
        <f>IFERROR(AVERAGE(Input_Raw[[#This Row],[WS_G01]:[WS_G40]]),"")</f>
        <v>7.5602564102564127</v>
      </c>
      <c r="CH87" s="19"/>
      <c r="CI87" s="19"/>
      <c r="CJ87" s="15">
        <v>243585</v>
      </c>
      <c r="CK87" s="15">
        <v>2194</v>
      </c>
      <c r="CL87" s="15">
        <v>283114</v>
      </c>
      <c r="CM87" s="15">
        <v>2220</v>
      </c>
      <c r="CN87" s="15">
        <v>260211</v>
      </c>
      <c r="CO87" s="15">
        <v>1827</v>
      </c>
      <c r="CP87" s="15">
        <v>296377</v>
      </c>
      <c r="CQ87" s="15">
        <v>1873</v>
      </c>
      <c r="CR87" s="91">
        <f>IF(((Input_Raw[[#This Row],[33 kV_Wind_F1_Export reading]]-CJ86)*1200)&gt;0,(Input_Raw[[#This Row],[33 kV_Wind_F1_Export reading]]-CJ86)*1200,0)</f>
        <v>219600</v>
      </c>
      <c r="CS87" s="91">
        <f>IF(((Input_Raw[[#This Row],[33 kV_Wind_F1_Import reading]]-CK86)*1200)&gt;0,(Input_Raw[[#This Row],[33 kV_Wind_F1_Import reading]]-CK86)*1200,0)</f>
        <v>0</v>
      </c>
      <c r="CT87" s="91">
        <f>IF(((Input_Raw[[#This Row],[33 kV_Wind_F2_Export_reading]]-CL86)*1200)&gt;0,(Input_Raw[[#This Row],[33 kV_Wind_F2_Export_reading]]-CL86)*1200,0)</f>
        <v>199200</v>
      </c>
      <c r="CU87" s="91">
        <f>IF(((Input_Raw[[#This Row],[33 kV_Wind_F2_Import_reading]]-CM86)*1200)&gt;0,(Input_Raw[[#This Row],[33 kV_Wind_F2_Import_reading]]-CM86)*1200,0)</f>
        <v>0</v>
      </c>
      <c r="CV87" s="91">
        <f>IF(((Input_Raw[[#This Row],[33 kV_Wind_F3_Export_Reading]]-CN86)*1200)&gt;0,(Input_Raw[[#This Row],[33 kV_Wind_F3_Export_Reading]]-CN86)*1200,0)</f>
        <v>244800</v>
      </c>
      <c r="CW87" s="91">
        <f>IF(((Input_Raw[[#This Row],[33 kV_Wind_F3_Import_Reading]]-CO86)*1200)&gt;0,(Input_Raw[[#This Row],[33 kV_Wind_F3_Import_Reading]]-CO86)*1200,0)</f>
        <v>0</v>
      </c>
      <c r="CX87" s="91">
        <f>IF(((Input_Raw[[#This Row],[33 kV_Wind_F4_Export Reading]]-CP86)*1200)&gt;0,(Input_Raw[[#This Row],[33 kV_Wind_F4_Export Reading]]-CP86)*1200,0)</f>
        <v>255600</v>
      </c>
      <c r="CY87" s="91">
        <f>IF(((Input_Raw[[#This Row],[33 kV_Wind_F4_Import Reading]]-CQ86)*1200)&gt;0,(Input_Raw[[#This Row],[33 kV_Wind_F4_Import Reading]]-CQ86)*1200,0)</f>
        <v>0</v>
      </c>
      <c r="CZ87" s="91">
        <f>Input_Raw[[#This Row],[33 kV_F1_Total_Export (KWh)]]+Input_Raw[[#This Row],[33 kV_F2_Total_Export (KWh)2]]+Input_Raw[[#This Row],[33 kV_Wind_F3_Export (KWh)]]+Input_Raw[[#This Row],[33 kV_Wind_F4_Export (KWh)]]</f>
        <v>919200</v>
      </c>
      <c r="DA87" s="91">
        <f>Input_Raw[[#This Row],[33 kV_Wind_F1_Import (KWh)]]+Input_Raw[[#This Row],[33 kV_Wind_F2_Import (KWh)]]+Input_Raw[[#This Row],[33 kV_Wind_F3_Import (KWh)2]]+Input_Raw[[#This Row],[33 kV_Wind_F4_Import (KWh)2]]</f>
        <v>0</v>
      </c>
      <c r="DB87" s="21">
        <f>IFERROR(1-Input_Raw[[#This Row],[33 kV_Wind_Total_Export (KWh)]]/Input_Raw[[#This Row],[WTG Total Gneration (KWh)]],0)</f>
        <v>1.5467401281648918E-2</v>
      </c>
      <c r="DC87" s="100">
        <v>96</v>
      </c>
      <c r="DD87" s="100">
        <v>389661</v>
      </c>
      <c r="DE87" s="102">
        <v>922.04</v>
      </c>
      <c r="DF87" s="99"/>
      <c r="DG87" s="101">
        <v>78</v>
      </c>
      <c r="DH87" s="168" t="s">
        <v>381</v>
      </c>
    </row>
    <row r="88" spans="1:112">
      <c r="A88" s="20">
        <f t="shared" si="6"/>
        <v>45828</v>
      </c>
      <c r="B88" s="12">
        <f>YEAR([1]!Input_Raw[[#This Row],[Date]])+IF(MONTH([1]!Input_Raw[[#This Row],[Date]])&gt;=4,1,0)</f>
        <v>2026</v>
      </c>
      <c r="C88" s="13">
        <f>YEAR([1]!Input_Raw[[#This Row],[Date]])</f>
        <v>2025</v>
      </c>
      <c r="D88" s="14">
        <f t="shared" si="5"/>
        <v>45809</v>
      </c>
      <c r="E88" s="13">
        <f>DAY(EOMONTH([1]!Input_Raw[[#This Row],[Date]],0))</f>
        <v>30</v>
      </c>
      <c r="F88" s="15">
        <v>29650</v>
      </c>
      <c r="G88" s="15">
        <v>31065</v>
      </c>
      <c r="H88" s="15">
        <v>29572</v>
      </c>
      <c r="I88" s="15">
        <v>30143</v>
      </c>
      <c r="J88" s="15">
        <v>28124</v>
      </c>
      <c r="K88" s="15">
        <v>29853</v>
      </c>
      <c r="L88" s="15">
        <v>30087</v>
      </c>
      <c r="M88" s="15">
        <v>30043</v>
      </c>
      <c r="N88" s="15">
        <v>31110</v>
      </c>
      <c r="O88" s="15">
        <v>28964</v>
      </c>
      <c r="P88" s="15">
        <v>28021</v>
      </c>
      <c r="Q88" s="15">
        <v>30212</v>
      </c>
      <c r="R88" s="15">
        <v>30310</v>
      </c>
      <c r="S88" s="15">
        <v>30310</v>
      </c>
      <c r="T88" s="15">
        <v>30733</v>
      </c>
      <c r="U88" s="15">
        <v>30012</v>
      </c>
      <c r="V88" s="15">
        <v>0</v>
      </c>
      <c r="W88" s="15">
        <v>30321</v>
      </c>
      <c r="X88" s="15">
        <v>30323</v>
      </c>
      <c r="Y88" s="15">
        <v>30750</v>
      </c>
      <c r="Z88" s="15">
        <v>27642</v>
      </c>
      <c r="AA88" s="15">
        <v>27345</v>
      </c>
      <c r="AB88" s="15">
        <v>28545</v>
      </c>
      <c r="AC88" s="15">
        <v>28511</v>
      </c>
      <c r="AD88" s="15">
        <v>28567</v>
      </c>
      <c r="AE88" s="15">
        <v>29265</v>
      </c>
      <c r="AF88" s="15">
        <v>29432</v>
      </c>
      <c r="AG88" s="15">
        <v>0</v>
      </c>
      <c r="AH88" s="15">
        <v>27810</v>
      </c>
      <c r="AI88" s="15">
        <v>0</v>
      </c>
      <c r="AJ88" s="15">
        <v>27022</v>
      </c>
      <c r="AK88" s="15">
        <v>26243</v>
      </c>
      <c r="AL88" s="15">
        <v>27010</v>
      </c>
      <c r="AM88" s="15">
        <v>26123</v>
      </c>
      <c r="AN88" s="15">
        <v>26443</v>
      </c>
      <c r="AO88" s="15">
        <v>27432</v>
      </c>
      <c r="AP88" s="15">
        <v>27411</v>
      </c>
      <c r="AQ88" s="15">
        <v>27120</v>
      </c>
      <c r="AR88" s="15">
        <v>27832</v>
      </c>
      <c r="AS88" s="16">
        <v>9.6441499999999962</v>
      </c>
      <c r="AT88" s="16">
        <v>9.3888659722222219</v>
      </c>
      <c r="AU88" s="16">
        <v>9.4898201388888825</v>
      </c>
      <c r="AV88" s="16">
        <v>9.4366826388888896</v>
      </c>
      <c r="AW88" s="16">
        <v>9.9</v>
      </c>
      <c r="AX88" s="16">
        <v>10.255392361111113</v>
      </c>
      <c r="AY88" s="16">
        <v>10.497005555555553</v>
      </c>
      <c r="AZ88" s="16">
        <v>9.5986527777777813</v>
      </c>
      <c r="BA88" s="16">
        <v>10.6</v>
      </c>
      <c r="BB88" s="16">
        <v>9.8759985185185215</v>
      </c>
      <c r="BC88" s="16">
        <v>10.5</v>
      </c>
      <c r="BD88" s="16">
        <v>9.9845624999999956</v>
      </c>
      <c r="BE88" s="16">
        <v>10.208986111111111</v>
      </c>
      <c r="BF88" s="16">
        <v>10.8</v>
      </c>
      <c r="BG88" s="16">
        <v>9.6</v>
      </c>
      <c r="BH88" s="16">
        <v>10.4</v>
      </c>
      <c r="BI88" s="16">
        <v>0</v>
      </c>
      <c r="BJ88" s="16">
        <v>10.3</v>
      </c>
      <c r="BK88" s="16">
        <v>10.5</v>
      </c>
      <c r="BL88" s="16">
        <v>10.001610784313726</v>
      </c>
      <c r="BM88" s="16">
        <v>9.9</v>
      </c>
      <c r="BN88" s="16">
        <v>10.4</v>
      </c>
      <c r="BO88" s="16">
        <v>9.5017277777777807</v>
      </c>
      <c r="BP88" s="16">
        <v>10.3</v>
      </c>
      <c r="BQ88" s="16">
        <v>9.3000000000000007</v>
      </c>
      <c r="BR88" s="16">
        <v>9.8000000000000007</v>
      </c>
      <c r="BS88" s="16">
        <v>10.6</v>
      </c>
      <c r="BT88" s="16">
        <v>0</v>
      </c>
      <c r="BU88" s="16">
        <v>9.844458666666668</v>
      </c>
      <c r="BV88" s="16">
        <v>0</v>
      </c>
      <c r="BW88" s="16">
        <v>9.3000000000000007</v>
      </c>
      <c r="BX88" s="16">
        <v>10.199999999999999</v>
      </c>
      <c r="BY88" s="16">
        <v>9.2412055555555597</v>
      </c>
      <c r="BZ88" s="16">
        <v>10.3</v>
      </c>
      <c r="CA88" s="16">
        <v>9.928079577464791</v>
      </c>
      <c r="CB88" s="16">
        <v>9.8000000000000007</v>
      </c>
      <c r="CC88" s="16">
        <v>8.6328381944444477</v>
      </c>
      <c r="CD88" s="16">
        <v>9.3266972222222222</v>
      </c>
      <c r="CE88" s="16">
        <v>9.6</v>
      </c>
      <c r="CF88" s="17">
        <f>SUM(Input_Raw[[#This Row],[G01]:[G40]])</f>
        <v>1039356</v>
      </c>
      <c r="CG88" s="18">
        <f>IFERROR(AVERAGE(Input_Raw[[#This Row],[WS_G01]:[WS_G40]]),"")</f>
        <v>9.1527367782697269</v>
      </c>
      <c r="CH88" s="19"/>
      <c r="CI88" s="19"/>
      <c r="CJ88" s="15">
        <v>243808</v>
      </c>
      <c r="CK88" s="15">
        <v>2194</v>
      </c>
      <c r="CL88" s="15">
        <v>283305</v>
      </c>
      <c r="CM88" s="15">
        <v>2220</v>
      </c>
      <c r="CN88" s="15">
        <v>260422</v>
      </c>
      <c r="CO88" s="15">
        <v>1827</v>
      </c>
      <c r="CP88" s="15">
        <v>296606</v>
      </c>
      <c r="CQ88" s="15">
        <v>1873</v>
      </c>
      <c r="CR88" s="91">
        <f>IF(((Input_Raw[[#This Row],[33 kV_Wind_F1_Export reading]]-CJ87)*1200)&gt;0,(Input_Raw[[#This Row],[33 kV_Wind_F1_Export reading]]-CJ87)*1200,0)</f>
        <v>267600</v>
      </c>
      <c r="CS88" s="91">
        <f>IF(((Input_Raw[[#This Row],[33 kV_Wind_F1_Import reading]]-CK87)*1200)&gt;0,(Input_Raw[[#This Row],[33 kV_Wind_F1_Import reading]]-CK87)*1200,0)</f>
        <v>0</v>
      </c>
      <c r="CT88" s="91">
        <f>IF(((Input_Raw[[#This Row],[33 kV_Wind_F2_Export_reading]]-CL87)*1200)&gt;0,(Input_Raw[[#This Row],[33 kV_Wind_F2_Export_reading]]-CL87)*1200,0)</f>
        <v>229200</v>
      </c>
      <c r="CU88" s="91">
        <f>IF(((Input_Raw[[#This Row],[33 kV_Wind_F2_Import_reading]]-CM87)*1200)&gt;0,(Input_Raw[[#This Row],[33 kV_Wind_F2_Import_reading]]-CM87)*1200,0)</f>
        <v>0</v>
      </c>
      <c r="CV88" s="91">
        <f>IF(((Input_Raw[[#This Row],[33 kV_Wind_F3_Export_Reading]]-CN87)*1200)&gt;0,(Input_Raw[[#This Row],[33 kV_Wind_F3_Export_Reading]]-CN87)*1200,0)</f>
        <v>253200</v>
      </c>
      <c r="CW88" s="91">
        <f>IF(((Input_Raw[[#This Row],[33 kV_Wind_F3_Import_Reading]]-CO87)*1200)&gt;0,(Input_Raw[[#This Row],[33 kV_Wind_F3_Import_Reading]]-CO87)*1200,0)</f>
        <v>0</v>
      </c>
      <c r="CX88" s="91">
        <f>IF(((Input_Raw[[#This Row],[33 kV_Wind_F4_Export Reading]]-CP87)*1200)&gt;0,(Input_Raw[[#This Row],[33 kV_Wind_F4_Export Reading]]-CP87)*1200,0)</f>
        <v>274800</v>
      </c>
      <c r="CY88" s="91">
        <f>IF(((Input_Raw[[#This Row],[33 kV_Wind_F4_Import Reading]]-CQ87)*1200)&gt;0,(Input_Raw[[#This Row],[33 kV_Wind_F4_Import Reading]]-CQ87)*1200,0)</f>
        <v>0</v>
      </c>
      <c r="CZ88" s="91">
        <f>Input_Raw[[#This Row],[33 kV_F1_Total_Export (KWh)]]+Input_Raw[[#This Row],[33 kV_F2_Total_Export (KWh)2]]+Input_Raw[[#This Row],[33 kV_Wind_F3_Export (KWh)]]+Input_Raw[[#This Row],[33 kV_Wind_F4_Export (KWh)]]</f>
        <v>1024800</v>
      </c>
      <c r="DA88" s="91">
        <f>Input_Raw[[#This Row],[33 kV_Wind_F1_Import (KWh)]]+Input_Raw[[#This Row],[33 kV_Wind_F2_Import (KWh)]]+Input_Raw[[#This Row],[33 kV_Wind_F3_Import (KWh)2]]+Input_Raw[[#This Row],[33 kV_Wind_F4_Import (KWh)2]]</f>
        <v>0</v>
      </c>
      <c r="DB88" s="21">
        <f>IFERROR(1-Input_Raw[[#This Row],[33 kV_Wind_Total_Export (KWh)]]/Input_Raw[[#This Row],[WTG Total Gneration (KWh)]],0)</f>
        <v>1.4004826065371234E-2</v>
      </c>
      <c r="DC88" s="100">
        <v>95</v>
      </c>
      <c r="DD88" s="100">
        <v>424174</v>
      </c>
      <c r="DE88" s="102">
        <v>1027.75</v>
      </c>
      <c r="DF88" s="99"/>
      <c r="DG88" s="101">
        <v>78</v>
      </c>
      <c r="DH88" s="99" t="s">
        <v>381</v>
      </c>
    </row>
    <row r="89" spans="1:112">
      <c r="A89" s="20">
        <f t="shared" si="6"/>
        <v>45829</v>
      </c>
      <c r="B89" s="12">
        <f>YEAR([1]!Input_Raw[[#This Row],[Date]])+IF(MONTH([1]!Input_Raw[[#This Row],[Date]])&gt;=4,1,0)</f>
        <v>2026</v>
      </c>
      <c r="C89" s="13">
        <f>YEAR([1]!Input_Raw[[#This Row],[Date]])</f>
        <v>2025</v>
      </c>
      <c r="D89" s="14">
        <f t="shared" si="5"/>
        <v>45809</v>
      </c>
      <c r="E89" s="13">
        <f>DAY(EOMONTH([1]!Input_Raw[[#This Row],[Date]],0))</f>
        <v>30</v>
      </c>
      <c r="F89" s="15">
        <v>28485</v>
      </c>
      <c r="G89" s="15">
        <v>29073</v>
      </c>
      <c r="H89" s="15">
        <v>27330</v>
      </c>
      <c r="I89" s="15">
        <v>27532</v>
      </c>
      <c r="J89" s="15">
        <v>26843</v>
      </c>
      <c r="K89" s="15">
        <v>27963</v>
      </c>
      <c r="L89" s="15">
        <v>27532</v>
      </c>
      <c r="M89" s="15">
        <v>26313</v>
      </c>
      <c r="N89" s="15">
        <v>29763</v>
      </c>
      <c r="O89" s="15">
        <v>26832</v>
      </c>
      <c r="P89" s="15">
        <v>20745</v>
      </c>
      <c r="Q89" s="15">
        <v>20832</v>
      </c>
      <c r="R89" s="15">
        <v>26556</v>
      </c>
      <c r="S89" s="15">
        <v>30063</v>
      </c>
      <c r="T89" s="15">
        <v>30092</v>
      </c>
      <c r="U89" s="15">
        <v>28711</v>
      </c>
      <c r="V89" s="15">
        <v>0</v>
      </c>
      <c r="W89" s="15">
        <v>28585</v>
      </c>
      <c r="X89" s="15">
        <v>28510</v>
      </c>
      <c r="Y89" s="15">
        <v>30093</v>
      </c>
      <c r="Z89" s="15">
        <v>27853</v>
      </c>
      <c r="AA89" s="15">
        <v>25573</v>
      </c>
      <c r="AB89" s="15">
        <v>26110</v>
      </c>
      <c r="AC89" s="15">
        <v>26383</v>
      </c>
      <c r="AD89" s="15">
        <v>27874</v>
      </c>
      <c r="AE89" s="15">
        <v>26384</v>
      </c>
      <c r="AF89" s="15">
        <v>26899</v>
      </c>
      <c r="AG89" s="15">
        <v>0</v>
      </c>
      <c r="AH89" s="15">
        <v>25110</v>
      </c>
      <c r="AI89" s="15">
        <v>0</v>
      </c>
      <c r="AJ89" s="15">
        <v>25898</v>
      </c>
      <c r="AK89" s="15">
        <v>21740</v>
      </c>
      <c r="AL89" s="15">
        <v>22736</v>
      </c>
      <c r="AM89" s="15">
        <v>25883</v>
      </c>
      <c r="AN89" s="15">
        <v>26888</v>
      </c>
      <c r="AO89" s="15">
        <v>26862</v>
      </c>
      <c r="AP89" s="15">
        <v>25892</v>
      </c>
      <c r="AQ89" s="15">
        <v>25655</v>
      </c>
      <c r="AR89" s="15">
        <v>25763</v>
      </c>
      <c r="AS89" s="16">
        <v>9.1</v>
      </c>
      <c r="AT89" s="16">
        <v>8.3000000000000007</v>
      </c>
      <c r="AU89" s="16">
        <v>8.1</v>
      </c>
      <c r="AV89" s="16">
        <v>9.3000000000000007</v>
      </c>
      <c r="AW89" s="16">
        <v>9.9</v>
      </c>
      <c r="AX89" s="16">
        <v>8.1</v>
      </c>
      <c r="AY89" s="16">
        <v>9.5017277777777807</v>
      </c>
      <c r="AZ89" s="16">
        <v>9.9</v>
      </c>
      <c r="BA89" s="16">
        <v>9.3000000000000007</v>
      </c>
      <c r="BB89" s="16">
        <v>9.8000000000000007</v>
      </c>
      <c r="BC89" s="16">
        <v>8.5</v>
      </c>
      <c r="BD89" s="16">
        <v>8.7200000000000006</v>
      </c>
      <c r="BE89" s="16">
        <v>9.844458666666668</v>
      </c>
      <c r="BF89" s="16">
        <v>9.6</v>
      </c>
      <c r="BG89" s="16">
        <v>9.3000000000000007</v>
      </c>
      <c r="BH89" s="16">
        <v>8.3000000000000007</v>
      </c>
      <c r="BI89" s="16">
        <v>0</v>
      </c>
      <c r="BJ89" s="16">
        <v>8.5</v>
      </c>
      <c r="BK89" s="16">
        <v>9.928079577464791</v>
      </c>
      <c r="BL89" s="16">
        <v>9.8000000000000007</v>
      </c>
      <c r="BM89" s="16">
        <v>9.9</v>
      </c>
      <c r="BN89" s="16">
        <v>8.5</v>
      </c>
      <c r="BO89" s="16">
        <v>8.6999999999999993</v>
      </c>
      <c r="BP89" s="16">
        <v>9.5986527777777813</v>
      </c>
      <c r="BQ89" s="16">
        <v>9.1</v>
      </c>
      <c r="BR89" s="16">
        <v>9.8759985185185215</v>
      </c>
      <c r="BS89" s="16">
        <v>9.1</v>
      </c>
      <c r="BT89" s="16">
        <v>0</v>
      </c>
      <c r="BU89" s="16">
        <v>9</v>
      </c>
      <c r="BV89" s="16">
        <v>0</v>
      </c>
      <c r="BW89" s="16">
        <v>9.6</v>
      </c>
      <c r="BX89" s="16">
        <v>10.4</v>
      </c>
      <c r="BY89" s="16">
        <v>9.1999999999999993</v>
      </c>
      <c r="BZ89" s="16">
        <v>9.4</v>
      </c>
      <c r="CA89" s="16">
        <v>9.6999999999999993</v>
      </c>
      <c r="CB89" s="16">
        <v>9.3000000000000007</v>
      </c>
      <c r="CC89" s="16">
        <v>9.1</v>
      </c>
      <c r="CD89" s="16">
        <v>9.6999999999999993</v>
      </c>
      <c r="CE89" s="16">
        <v>9.9</v>
      </c>
      <c r="CF89" s="17">
        <f>SUM(Input_Raw[[#This Row],[G01]:[G40]])</f>
        <v>961356</v>
      </c>
      <c r="CG89" s="18">
        <f>IFERROR(AVERAGE(Input_Raw[[#This Row],[WS_G01]:[WS_G40]]),"")</f>
        <v>8.5607414696975752</v>
      </c>
      <c r="CH89" s="19"/>
      <c r="CI89" s="19"/>
      <c r="CJ89" s="15">
        <v>244011</v>
      </c>
      <c r="CK89" s="15">
        <v>2194</v>
      </c>
      <c r="CL89" s="15">
        <v>283474</v>
      </c>
      <c r="CM89" s="15">
        <v>2220</v>
      </c>
      <c r="CN89" s="15">
        <v>260624</v>
      </c>
      <c r="CO89" s="15">
        <v>1827</v>
      </c>
      <c r="CP89" s="15">
        <v>296821</v>
      </c>
      <c r="CQ89" s="15">
        <v>1873</v>
      </c>
      <c r="CR89" s="91">
        <f>IF(((Input_Raw[[#This Row],[33 kV_Wind_F1_Export reading]]-CJ88)*1200)&gt;0,(Input_Raw[[#This Row],[33 kV_Wind_F1_Export reading]]-CJ88)*1200,0)</f>
        <v>243600</v>
      </c>
      <c r="CS89" s="91">
        <f>IF(((Input_Raw[[#This Row],[33 kV_Wind_F1_Import reading]]-CK88)*1200)&gt;0,(Input_Raw[[#This Row],[33 kV_Wind_F1_Import reading]]-CK88)*1200,0)</f>
        <v>0</v>
      </c>
      <c r="CT89" s="91">
        <f>IF(((Input_Raw[[#This Row],[33 kV_Wind_F2_Export_reading]]-CL88)*1200)&gt;0,(Input_Raw[[#This Row],[33 kV_Wind_F2_Export_reading]]-CL88)*1200,0)</f>
        <v>202800</v>
      </c>
      <c r="CU89" s="91">
        <f>IF(((Input_Raw[[#This Row],[33 kV_Wind_F2_Import_reading]]-CM88)*1200)&gt;0,(Input_Raw[[#This Row],[33 kV_Wind_F2_Import_reading]]-CM88)*1200,0)</f>
        <v>0</v>
      </c>
      <c r="CV89" s="91">
        <f>IF(((Input_Raw[[#This Row],[33 kV_Wind_F3_Export_Reading]]-CN88)*1200)&gt;0,(Input_Raw[[#This Row],[33 kV_Wind_F3_Export_Reading]]-CN88)*1200,0)</f>
        <v>242400</v>
      </c>
      <c r="CW89" s="91">
        <f>IF(((Input_Raw[[#This Row],[33 kV_Wind_F3_Import_Reading]]-CO88)*1200)&gt;0,(Input_Raw[[#This Row],[33 kV_Wind_F3_Import_Reading]]-CO88)*1200,0)</f>
        <v>0</v>
      </c>
      <c r="CX89" s="91">
        <f>IF(((Input_Raw[[#This Row],[33 kV_Wind_F4_Export Reading]]-CP88)*1200)&gt;0,(Input_Raw[[#This Row],[33 kV_Wind_F4_Export Reading]]-CP88)*1200,0)</f>
        <v>258000</v>
      </c>
      <c r="CY89" s="172"/>
      <c r="CZ89" s="172">
        <f>Input_Raw[[#This Row],[33 kV_F1_Total_Export (KWh)]]+Input_Raw[[#This Row],[33 kV_F2_Total_Export (KWh)2]]+Input_Raw[[#This Row],[33 kV_Wind_F3_Export (KWh)]]+Input_Raw[[#This Row],[33 kV_Wind_F4_Export (KWh)]]</f>
        <v>946800</v>
      </c>
      <c r="DA89" s="172">
        <f>Input_Raw[[#This Row],[33 kV_Wind_F1_Import (KWh)]]+Input_Raw[[#This Row],[33 kV_Wind_F2_Import (KWh)]]+Input_Raw[[#This Row],[33 kV_Wind_F3_Import (KWh)2]]+Input_Raw[[#This Row],[33 kV_Wind_F4_Import (KWh)2]]</f>
        <v>0</v>
      </c>
      <c r="DB89" s="21">
        <f>IFERROR(1-Input_Raw[[#This Row],[33 kV_Wind_Total_Export (KWh)]]/Input_Raw[[#This Row],[WTG Total Gneration (KWh)]],0)</f>
        <v>1.5141113177636556E-2</v>
      </c>
      <c r="DC89" s="100">
        <v>96</v>
      </c>
      <c r="DD89" s="100">
        <v>395248</v>
      </c>
      <c r="DE89" s="102">
        <v>949.75</v>
      </c>
      <c r="DF89" s="99"/>
      <c r="DG89" s="101">
        <v>78</v>
      </c>
      <c r="DH89" s="99" t="s">
        <v>381</v>
      </c>
    </row>
    <row r="90" spans="1:112">
      <c r="A90" s="20">
        <f t="shared" si="6"/>
        <v>45830</v>
      </c>
      <c r="B90" s="12">
        <f>YEAR([1]!Input_Raw[[#This Row],[Date]])+IF(MONTH([1]!Input_Raw[[#This Row],[Date]])&gt;=4,1,0)</f>
        <v>2026</v>
      </c>
      <c r="C90" s="13">
        <f>YEAR([1]!Input_Raw[[#This Row],[Date]])</f>
        <v>2025</v>
      </c>
      <c r="D90" s="14">
        <f t="shared" si="5"/>
        <v>45809</v>
      </c>
      <c r="E90" s="13">
        <f>DAY(EOMONTH([1]!Input_Raw[[#This Row],[Date]],0))</f>
        <v>30</v>
      </c>
      <c r="F90" s="15">
        <v>26621</v>
      </c>
      <c r="G90" s="15">
        <v>25462</v>
      </c>
      <c r="H90" s="15">
        <v>26723</v>
      </c>
      <c r="I90" s="15">
        <v>26087</v>
      </c>
      <c r="J90" s="15">
        <v>25512</v>
      </c>
      <c r="K90" s="15">
        <v>26578</v>
      </c>
      <c r="L90" s="15">
        <v>26821</v>
      </c>
      <c r="M90" s="15">
        <v>26781</v>
      </c>
      <c r="N90" s="15">
        <v>28475</v>
      </c>
      <c r="O90" s="15">
        <v>26598</v>
      </c>
      <c r="P90" s="15">
        <v>26836</v>
      </c>
      <c r="Q90" s="15">
        <v>21524</v>
      </c>
      <c r="R90" s="15">
        <v>26823</v>
      </c>
      <c r="S90" s="15">
        <v>27931</v>
      </c>
      <c r="T90" s="15">
        <v>28012</v>
      </c>
      <c r="U90" s="15">
        <v>27612</v>
      </c>
      <c r="V90" s="15">
        <v>0</v>
      </c>
      <c r="W90" s="15">
        <v>27842</v>
      </c>
      <c r="X90" s="15">
        <v>27812</v>
      </c>
      <c r="Y90" s="15">
        <v>26474</v>
      </c>
      <c r="Z90" s="15">
        <v>26231</v>
      </c>
      <c r="AA90" s="15">
        <v>26383</v>
      </c>
      <c r="AB90" s="15">
        <v>26543</v>
      </c>
      <c r="AC90" s="15">
        <v>26843</v>
      </c>
      <c r="AD90" s="15">
        <v>26342</v>
      </c>
      <c r="AE90" s="15">
        <v>26123</v>
      </c>
      <c r="AF90" s="15">
        <v>25432</v>
      </c>
      <c r="AG90" s="15">
        <v>0</v>
      </c>
      <c r="AH90" s="15">
        <v>24532</v>
      </c>
      <c r="AI90" s="15">
        <v>0</v>
      </c>
      <c r="AJ90" s="15">
        <v>23543</v>
      </c>
      <c r="AK90" s="15">
        <v>24248</v>
      </c>
      <c r="AL90" s="15">
        <v>24319</v>
      </c>
      <c r="AM90" s="15">
        <v>24023</v>
      </c>
      <c r="AN90" s="15">
        <v>24023</v>
      </c>
      <c r="AO90" s="15">
        <v>24361</v>
      </c>
      <c r="AP90" s="15">
        <v>23221</v>
      </c>
      <c r="AQ90" s="15">
        <v>23372</v>
      </c>
      <c r="AR90" s="15">
        <v>24228</v>
      </c>
      <c r="AS90" s="16">
        <v>8.9</v>
      </c>
      <c r="AT90" s="16">
        <v>7.74</v>
      </c>
      <c r="AU90" s="16">
        <v>9.1</v>
      </c>
      <c r="AV90" s="16">
        <v>7.5</v>
      </c>
      <c r="AW90" s="16">
        <v>9.3000000000000007</v>
      </c>
      <c r="AX90" s="16">
        <v>6.64</v>
      </c>
      <c r="AY90" s="16">
        <v>9.5</v>
      </c>
      <c r="AZ90" s="16">
        <v>9.5</v>
      </c>
      <c r="BA90" s="16">
        <v>9.1999999999999993</v>
      </c>
      <c r="BB90" s="16">
        <v>7.37</v>
      </c>
      <c r="BC90" s="16">
        <v>9.4</v>
      </c>
      <c r="BD90" s="16">
        <v>7.52</v>
      </c>
      <c r="BE90" s="16">
        <v>9.5</v>
      </c>
      <c r="BF90" s="16">
        <v>7.67</v>
      </c>
      <c r="BG90" s="16">
        <v>7.75</v>
      </c>
      <c r="BH90" s="16">
        <v>9.7799999999999994</v>
      </c>
      <c r="BI90" s="16">
        <v>8.3800000000000008</v>
      </c>
      <c r="BJ90" s="16">
        <v>9.5</v>
      </c>
      <c r="BK90" s="16">
        <v>8.44</v>
      </c>
      <c r="BL90" s="16">
        <v>9.3000000000000007</v>
      </c>
      <c r="BM90" s="16">
        <v>6.9</v>
      </c>
      <c r="BN90" s="16">
        <v>9.1</v>
      </c>
      <c r="BO90" s="16">
        <v>7.24</v>
      </c>
      <c r="BP90" s="16">
        <v>7.4</v>
      </c>
      <c r="BQ90" s="16">
        <v>7.39</v>
      </c>
      <c r="BR90" s="16">
        <v>9.4</v>
      </c>
      <c r="BS90" s="16">
        <v>6.74</v>
      </c>
      <c r="BT90" s="16">
        <v>0</v>
      </c>
      <c r="BU90" s="16">
        <v>9.6</v>
      </c>
      <c r="BV90" s="16">
        <v>0</v>
      </c>
      <c r="BW90" s="16">
        <v>9.6999999999999993</v>
      </c>
      <c r="BX90" s="16">
        <v>6.65</v>
      </c>
      <c r="BY90" s="16">
        <v>6.54</v>
      </c>
      <c r="BZ90" s="16">
        <v>7.02</v>
      </c>
      <c r="CA90" s="16">
        <v>9.8000000000000007</v>
      </c>
      <c r="CB90" s="16">
        <v>9.8000000000000007</v>
      </c>
      <c r="CC90" s="16">
        <v>6.74</v>
      </c>
      <c r="CD90" s="16">
        <v>9.5</v>
      </c>
      <c r="CE90" s="16">
        <v>9.6999999999999993</v>
      </c>
      <c r="CF90" s="17">
        <f>SUM(Input_Raw[[#This Row],[G01]:[G40]])</f>
        <v>930291</v>
      </c>
      <c r="CG90" s="18">
        <f>IFERROR(AVERAGE(Input_Raw[[#This Row],[WS_G01]:[WS_G40]]),"")</f>
        <v>7.9797435897435909</v>
      </c>
      <c r="CH90" s="19"/>
      <c r="CI90" s="19"/>
      <c r="CJ90" s="15">
        <v>244194</v>
      </c>
      <c r="CK90" s="15">
        <v>2194</v>
      </c>
      <c r="CL90" s="15">
        <v>283641</v>
      </c>
      <c r="CM90" s="15">
        <v>2220</v>
      </c>
      <c r="CN90" s="15">
        <v>260828</v>
      </c>
      <c r="CO90" s="15">
        <v>1827</v>
      </c>
      <c r="CP90" s="15">
        <v>297030</v>
      </c>
      <c r="CQ90" s="15">
        <v>1873</v>
      </c>
      <c r="CR90" s="91">
        <f>IF(((Input_Raw[[#This Row],[33 kV_Wind_F1_Export reading]]-CJ89)*1200)&gt;0,(Input_Raw[[#This Row],[33 kV_Wind_F1_Export reading]]-CJ89)*1200,0)</f>
        <v>219600</v>
      </c>
      <c r="CS90" s="91">
        <f>IF(((Input_Raw[[#This Row],[33 kV_Wind_F1_Import reading]]-CK89)*1200)&gt;0,(Input_Raw[[#This Row],[33 kV_Wind_F1_Import reading]]-CK89)*1200,0)</f>
        <v>0</v>
      </c>
      <c r="CT90" s="91">
        <f>IF(((Input_Raw[[#This Row],[33 kV_Wind_F2_Export_reading]]-CL89)*1200)&gt;0,(Input_Raw[[#This Row],[33 kV_Wind_F2_Export_reading]]-CL89)*1200,0)</f>
        <v>200400</v>
      </c>
      <c r="CU90" s="91">
        <f>IF(((Input_Raw[[#This Row],[33 kV_Wind_F2_Import_reading]]-CM89)*1200)&gt;0,(Input_Raw[[#This Row],[33 kV_Wind_F2_Import_reading]]-CM89)*1200,0)</f>
        <v>0</v>
      </c>
      <c r="CV90" s="91">
        <f>IF(((Input_Raw[[#This Row],[33 kV_Wind_F3_Export_Reading]]-CN89)*1200)&gt;0,(Input_Raw[[#This Row],[33 kV_Wind_F3_Export_Reading]]-CN89)*1200,0)</f>
        <v>244800</v>
      </c>
      <c r="CW90" s="91">
        <f>IF(((Input_Raw[[#This Row],[33 kV_Wind_F3_Import_Reading]]-CO89)*1200)&gt;0,(Input_Raw[[#This Row],[33 kV_Wind_F3_Import_Reading]]-CO89)*1200,0)</f>
        <v>0</v>
      </c>
      <c r="CX90" s="91">
        <f>IF(((Input_Raw[[#This Row],[33 kV_Wind_F4_Export Reading]]-CP89)*1200)&gt;0,(Input_Raw[[#This Row],[33 kV_Wind_F4_Export Reading]]-CP89)*1200,0)</f>
        <v>250800</v>
      </c>
      <c r="CY90" s="172"/>
      <c r="CZ90" s="172">
        <f>Input_Raw[[#This Row],[33 kV_F1_Total_Export (KWh)]]+Input_Raw[[#This Row],[33 kV_F2_Total_Export (KWh)2]]+Input_Raw[[#This Row],[33 kV_Wind_F3_Export (KWh)]]+Input_Raw[[#This Row],[33 kV_Wind_F4_Export (KWh)]]</f>
        <v>915600</v>
      </c>
      <c r="DA90" s="172">
        <f>Input_Raw[[#This Row],[33 kV_Wind_F1_Import (KWh)]]+Input_Raw[[#This Row],[33 kV_Wind_F2_Import (KWh)]]+Input_Raw[[#This Row],[33 kV_Wind_F3_Import (KWh)2]]+Input_Raw[[#This Row],[33 kV_Wind_F4_Import (KWh)2]]</f>
        <v>0</v>
      </c>
      <c r="DB90" s="21">
        <f>IFERROR(1-Input_Raw[[#This Row],[33 kV_Wind_Total_Export (KWh)]]/Input_Raw[[#This Row],[WTG Total Gneration (KWh)]],0)</f>
        <v>1.5791832878099488E-2</v>
      </c>
      <c r="DC90" s="100">
        <v>96</v>
      </c>
      <c r="DD90" s="100">
        <v>409644</v>
      </c>
      <c r="DE90" s="102">
        <v>918.69</v>
      </c>
      <c r="DF90" s="99"/>
      <c r="DG90" s="101">
        <v>78</v>
      </c>
      <c r="DH90" s="99" t="s">
        <v>381</v>
      </c>
    </row>
    <row r="91" spans="1:112">
      <c r="A91" s="20">
        <f t="shared" si="6"/>
        <v>45831</v>
      </c>
      <c r="B91" s="12">
        <f>YEAR([1]!Input_Raw[[#This Row],[Date]])+IF(MONTH([1]!Input_Raw[[#This Row],[Date]])&gt;=4,1,0)</f>
        <v>2026</v>
      </c>
      <c r="C91" s="13">
        <f>YEAR([1]!Input_Raw[[#This Row],[Date]])</f>
        <v>2025</v>
      </c>
      <c r="D91" s="14">
        <f t="shared" si="5"/>
        <v>45809</v>
      </c>
      <c r="E91" s="13">
        <f>DAY(EOMONTH([1]!Input_Raw[[#This Row],[Date]],0))</f>
        <v>30</v>
      </c>
      <c r="F91" s="15">
        <v>31829</v>
      </c>
      <c r="G91" s="15">
        <v>33032</v>
      </c>
      <c r="H91" s="15">
        <v>32371</v>
      </c>
      <c r="I91" s="15">
        <v>32041</v>
      </c>
      <c r="J91" s="15">
        <v>31529</v>
      </c>
      <c r="K91" s="15">
        <v>33041</v>
      </c>
      <c r="L91" s="15">
        <v>32702</v>
      </c>
      <c r="M91" s="15">
        <v>32738</v>
      </c>
      <c r="N91" s="15">
        <v>34754</v>
      </c>
      <c r="O91" s="15">
        <v>32395</v>
      </c>
      <c r="P91" s="15">
        <v>33123</v>
      </c>
      <c r="Q91" s="15">
        <v>29739</v>
      </c>
      <c r="R91" s="15">
        <v>30351</v>
      </c>
      <c r="S91" s="15">
        <v>31472</v>
      </c>
      <c r="T91" s="15">
        <v>33023</v>
      </c>
      <c r="U91" s="15">
        <v>32572</v>
      </c>
      <c r="V91" s="15">
        <v>0</v>
      </c>
      <c r="W91" s="15">
        <v>32943</v>
      </c>
      <c r="X91" s="15">
        <v>32132</v>
      </c>
      <c r="Y91" s="15">
        <v>29523</v>
      </c>
      <c r="Z91" s="15">
        <v>29903</v>
      </c>
      <c r="AA91" s="15">
        <v>30231</v>
      </c>
      <c r="AB91" s="15">
        <v>30531</v>
      </c>
      <c r="AC91" s="15">
        <v>30741</v>
      </c>
      <c r="AD91" s="15">
        <v>30848</v>
      </c>
      <c r="AE91" s="15">
        <v>30812</v>
      </c>
      <c r="AF91" s="15">
        <v>30715</v>
      </c>
      <c r="AG91" s="15">
        <v>0</v>
      </c>
      <c r="AH91" s="15">
        <v>29732</v>
      </c>
      <c r="AI91" s="15">
        <v>0</v>
      </c>
      <c r="AJ91" s="15">
        <v>28617</v>
      </c>
      <c r="AK91" s="15">
        <v>28428</v>
      </c>
      <c r="AL91" s="15">
        <v>29664</v>
      </c>
      <c r="AM91" s="15">
        <v>28843</v>
      </c>
      <c r="AN91" s="15">
        <v>29590</v>
      </c>
      <c r="AO91" s="15">
        <v>29810</v>
      </c>
      <c r="AP91" s="15">
        <v>29641</v>
      </c>
      <c r="AQ91" s="15">
        <v>28701</v>
      </c>
      <c r="AR91" s="15">
        <v>29513</v>
      </c>
      <c r="AS91" s="16">
        <v>10.009133333333331</v>
      </c>
      <c r="AT91" s="16">
        <v>9.6441499999999962</v>
      </c>
      <c r="AU91" s="16">
        <v>9.3888659722222219</v>
      </c>
      <c r="AV91" s="16">
        <v>9.4898201388888825</v>
      </c>
      <c r="AW91" s="16">
        <v>9.4366826388888896</v>
      </c>
      <c r="AX91" s="16">
        <v>9.4366826388888896</v>
      </c>
      <c r="AY91" s="16">
        <v>10.255392361111113</v>
      </c>
      <c r="AZ91" s="16">
        <v>10.497005555555553</v>
      </c>
      <c r="BA91" s="16">
        <v>9.5986527777777813</v>
      </c>
      <c r="BB91" s="16">
        <v>9.5464215277777793</v>
      </c>
      <c r="BC91" s="16">
        <v>9.8759985185185215</v>
      </c>
      <c r="BD91" s="16">
        <v>9.8913888888888888</v>
      </c>
      <c r="BE91" s="16">
        <v>9.9845624999999956</v>
      </c>
      <c r="BF91" s="16">
        <v>10.208986111111111</v>
      </c>
      <c r="BG91" s="16">
        <v>9.719699300699304</v>
      </c>
      <c r="BH91" s="16">
        <v>10.530048611111107</v>
      </c>
      <c r="BI91" s="16">
        <v>0</v>
      </c>
      <c r="BJ91" s="16">
        <v>10.71285416666667</v>
      </c>
      <c r="BK91" s="16">
        <v>9.7111215277777756</v>
      </c>
      <c r="BL91" s="16">
        <v>9.9884652777777791</v>
      </c>
      <c r="BM91" s="16">
        <v>10.001610784313726</v>
      </c>
      <c r="BN91" s="16">
        <v>9.2498965277777732</v>
      </c>
      <c r="BO91" s="16">
        <v>0</v>
      </c>
      <c r="BP91" s="16">
        <v>9.5017277777777807</v>
      </c>
      <c r="BQ91" s="16">
        <v>9.6424469026548714</v>
      </c>
      <c r="BR91" s="16">
        <v>9.4143965277777752</v>
      </c>
      <c r="BS91" s="16">
        <v>8.869812499999993</v>
      </c>
      <c r="BT91" s="16">
        <v>0</v>
      </c>
      <c r="BU91" s="16">
        <v>9.4437850393700806</v>
      </c>
      <c r="BV91" s="16">
        <v>0</v>
      </c>
      <c r="BW91" s="16">
        <v>9.7016604166666696</v>
      </c>
      <c r="BX91" s="16">
        <v>8.8289930555555536</v>
      </c>
      <c r="BY91" s="16">
        <v>8.7997444444444479</v>
      </c>
      <c r="BZ91" s="16">
        <v>9.2412055555555597</v>
      </c>
      <c r="CA91" s="16">
        <v>9.4702006944444417</v>
      </c>
      <c r="CB91" s="16">
        <v>9.928079577464791</v>
      </c>
      <c r="CC91" s="16">
        <v>8.7420604166666696</v>
      </c>
      <c r="CD91" s="16">
        <v>8.6328381944444477</v>
      </c>
      <c r="CE91" s="16">
        <v>9.8266972222222204</v>
      </c>
      <c r="CF91" s="17">
        <f>SUM(Input_Raw[[#This Row],[G01]:[G40]])</f>
        <v>1117630</v>
      </c>
      <c r="CG91" s="18">
        <f>IFERROR(AVERAGE(Input_Raw[[#This Row],[WS_G01]:[WS_G40]]),"")</f>
        <v>8.6466945508751873</v>
      </c>
      <c r="CH91" s="19"/>
      <c r="CI91" s="19"/>
      <c r="CJ91" s="15">
        <v>244437</v>
      </c>
      <c r="CK91" s="15">
        <v>2194</v>
      </c>
      <c r="CL91" s="15">
        <v>283846</v>
      </c>
      <c r="CM91" s="15">
        <v>2220</v>
      </c>
      <c r="CN91" s="15">
        <v>261070</v>
      </c>
      <c r="CO91" s="15">
        <v>1827</v>
      </c>
      <c r="CP91" s="15">
        <v>297259</v>
      </c>
      <c r="CQ91" s="15">
        <v>1873</v>
      </c>
      <c r="CR91" s="91">
        <f>IF(((Input_Raw[[#This Row],[33 kV_Wind_F1_Export reading]]-CJ90)*1200)&gt;0,(Input_Raw[[#This Row],[33 kV_Wind_F1_Export reading]]-CJ90)*1200,0)</f>
        <v>291600</v>
      </c>
      <c r="CS91" s="91">
        <f>IF(((Input_Raw[[#This Row],[33 kV_Wind_F1_Import reading]]-CK90)*1200)&gt;0,(Input_Raw[[#This Row],[33 kV_Wind_F1_Import reading]]-CK90)*1200,0)</f>
        <v>0</v>
      </c>
      <c r="CT91" s="91">
        <f>IF(((Input_Raw[[#This Row],[33 kV_Wind_F2_Export_reading]]-CL90)*1200)&gt;0,(Input_Raw[[#This Row],[33 kV_Wind_F2_Export_reading]]-CL90)*1200,0)</f>
        <v>246000</v>
      </c>
      <c r="CU91" s="91">
        <f>IF(((Input_Raw[[#This Row],[33 kV_Wind_F2_Import_reading]]-CM90)*1200)&gt;0,(Input_Raw[[#This Row],[33 kV_Wind_F2_Import_reading]]-CM90)*1200,0)</f>
        <v>0</v>
      </c>
      <c r="CV91" s="91">
        <f>IF(((Input_Raw[[#This Row],[33 kV_Wind_F3_Export_Reading]]-CN90)*1200)&gt;0,(Input_Raw[[#This Row],[33 kV_Wind_F3_Export_Reading]]-CN90)*1200,0)</f>
        <v>290400</v>
      </c>
      <c r="CW91" s="91">
        <f>IF(((Input_Raw[[#This Row],[33 kV_Wind_F3_Import_Reading]]-CO90)*1200)&gt;0,(Input_Raw[[#This Row],[33 kV_Wind_F3_Import_Reading]]-CO90)*1200,0)</f>
        <v>0</v>
      </c>
      <c r="CX91" s="91">
        <f>IF(((Input_Raw[[#This Row],[33 kV_Wind_F4_Export Reading]]-CP90)*1200)&gt;0,(Input_Raw[[#This Row],[33 kV_Wind_F4_Export Reading]]-CP90)*1200,0)</f>
        <v>274800</v>
      </c>
      <c r="CY91" s="172"/>
      <c r="CZ91" s="172">
        <f>Input_Raw[[#This Row],[33 kV_F1_Total_Export (KWh)]]+Input_Raw[[#This Row],[33 kV_F2_Total_Export (KWh)2]]+Input_Raw[[#This Row],[33 kV_Wind_F3_Export (KWh)]]+Input_Raw[[#This Row],[33 kV_Wind_F4_Export (KWh)]]</f>
        <v>1102800</v>
      </c>
      <c r="DA91" s="172">
        <f>Input_Raw[[#This Row],[33 kV_Wind_F1_Import (KWh)]]+Input_Raw[[#This Row],[33 kV_Wind_F2_Import (KWh)]]+Input_Raw[[#This Row],[33 kV_Wind_F3_Import (KWh)2]]+Input_Raw[[#This Row],[33 kV_Wind_F4_Import (KWh)2]]</f>
        <v>0</v>
      </c>
      <c r="DB91" s="21">
        <f>IFERROR(1-Input_Raw[[#This Row],[33 kV_Wind_Total_Export (KWh)]]/Input_Raw[[#This Row],[WTG Total Gneration (KWh)]],0)</f>
        <v>1.3269149897551014E-2</v>
      </c>
      <c r="DC91" s="100">
        <v>96</v>
      </c>
      <c r="DD91" s="100">
        <v>465575</v>
      </c>
      <c r="DE91" s="102">
        <v>1106.03</v>
      </c>
      <c r="DF91" s="99"/>
      <c r="DG91" s="101">
        <v>78</v>
      </c>
      <c r="DH91" s="99" t="s">
        <v>381</v>
      </c>
    </row>
    <row r="92" spans="1:112">
      <c r="A92" s="20">
        <f t="shared" si="6"/>
        <v>45832</v>
      </c>
      <c r="B92" s="12">
        <f>YEAR([1]!Input_Raw[[#This Row],[Date]])+IF(MONTH([1]!Input_Raw[[#This Row],[Date]])&gt;=4,1,0)</f>
        <v>2026</v>
      </c>
      <c r="C92" s="13">
        <f>YEAR([1]!Input_Raw[[#This Row],[Date]])</f>
        <v>2025</v>
      </c>
      <c r="D92" s="14">
        <f t="shared" si="5"/>
        <v>45809</v>
      </c>
      <c r="E92" s="13">
        <f>DAY(EOMONTH([1]!Input_Raw[[#This Row],[Date]],0))</f>
        <v>30</v>
      </c>
      <c r="F92" s="15">
        <v>30827</v>
      </c>
      <c r="G92" s="15">
        <v>30953</v>
      </c>
      <c r="H92" s="15">
        <v>30752</v>
      </c>
      <c r="I92" s="15">
        <v>31051</v>
      </c>
      <c r="J92" s="15">
        <v>29492</v>
      </c>
      <c r="K92" s="15">
        <v>31010</v>
      </c>
      <c r="L92" s="15">
        <v>30831</v>
      </c>
      <c r="M92" s="15">
        <v>30829</v>
      </c>
      <c r="N92" s="15">
        <v>30327</v>
      </c>
      <c r="O92" s="15">
        <v>30778</v>
      </c>
      <c r="P92" s="15">
        <v>30556</v>
      </c>
      <c r="Q92" s="15">
        <v>31076</v>
      </c>
      <c r="R92" s="15">
        <v>31309</v>
      </c>
      <c r="S92" s="15">
        <v>31934</v>
      </c>
      <c r="T92" s="15">
        <v>32031</v>
      </c>
      <c r="U92" s="15">
        <v>32112</v>
      </c>
      <c r="V92" s="15">
        <v>0</v>
      </c>
      <c r="W92" s="15">
        <v>31891</v>
      </c>
      <c r="X92" s="15">
        <v>31792</v>
      </c>
      <c r="Y92" s="15">
        <v>31668</v>
      </c>
      <c r="Z92" s="15">
        <v>29984</v>
      </c>
      <c r="AA92" s="15">
        <v>29874</v>
      </c>
      <c r="AB92" s="15">
        <v>29727</v>
      </c>
      <c r="AC92" s="15">
        <v>29965</v>
      </c>
      <c r="AD92" s="15">
        <v>29718</v>
      </c>
      <c r="AE92" s="15">
        <v>29691</v>
      </c>
      <c r="AF92" s="15">
        <v>29582</v>
      </c>
      <c r="AG92" s="15">
        <v>0</v>
      </c>
      <c r="AH92" s="15">
        <v>29408</v>
      </c>
      <c r="AI92" s="15">
        <v>0</v>
      </c>
      <c r="AJ92" s="15">
        <v>28462</v>
      </c>
      <c r="AK92" s="15">
        <v>28218</v>
      </c>
      <c r="AL92" s="15">
        <v>27085</v>
      </c>
      <c r="AM92" s="15">
        <v>28083</v>
      </c>
      <c r="AN92" s="15">
        <v>28514</v>
      </c>
      <c r="AO92" s="15">
        <v>27892</v>
      </c>
      <c r="AP92" s="15">
        <v>27713</v>
      </c>
      <c r="AQ92" s="15">
        <v>28227</v>
      </c>
      <c r="AR92" s="15">
        <v>28141</v>
      </c>
      <c r="AS92" s="16">
        <v>8.9</v>
      </c>
      <c r="AT92" s="16">
        <v>7.74</v>
      </c>
      <c r="AU92" s="16">
        <v>9.1</v>
      </c>
      <c r="AV92" s="16">
        <v>7.5</v>
      </c>
      <c r="AW92" s="16">
        <v>9.3000000000000007</v>
      </c>
      <c r="AX92" s="16">
        <v>6.64</v>
      </c>
      <c r="AY92" s="89">
        <v>9.5</v>
      </c>
      <c r="AZ92" s="16">
        <v>9.5</v>
      </c>
      <c r="BA92" s="16">
        <v>9.1999999999999993</v>
      </c>
      <c r="BB92" s="16">
        <v>7.37</v>
      </c>
      <c r="BC92" s="16">
        <v>9.4</v>
      </c>
      <c r="BD92" s="16">
        <v>7.52</v>
      </c>
      <c r="BE92" s="16">
        <v>9.5</v>
      </c>
      <c r="BF92" s="16">
        <v>7.67</v>
      </c>
      <c r="BG92" s="16">
        <v>7.75</v>
      </c>
      <c r="BH92" s="16">
        <v>9.7799999999999994</v>
      </c>
      <c r="BI92" s="16">
        <v>0</v>
      </c>
      <c r="BJ92" s="16">
        <v>9.5</v>
      </c>
      <c r="BK92" s="16">
        <v>8.44</v>
      </c>
      <c r="BL92" s="16">
        <v>9.3000000000000007</v>
      </c>
      <c r="BM92" s="16">
        <v>6.9</v>
      </c>
      <c r="BN92" s="16">
        <v>9.1</v>
      </c>
      <c r="BO92" s="16">
        <v>7.24</v>
      </c>
      <c r="BP92" s="16">
        <v>7.4</v>
      </c>
      <c r="BQ92" s="16">
        <v>7.39</v>
      </c>
      <c r="BR92" s="16">
        <v>9.4</v>
      </c>
      <c r="BS92" s="16">
        <v>6.74</v>
      </c>
      <c r="BT92" s="16">
        <v>0</v>
      </c>
      <c r="BU92" s="16">
        <v>9.6</v>
      </c>
      <c r="BV92" s="16">
        <v>0</v>
      </c>
      <c r="BW92" s="16">
        <v>9.6999999999999993</v>
      </c>
      <c r="BX92" s="16">
        <v>6.65</v>
      </c>
      <c r="BY92" s="16">
        <v>6.54</v>
      </c>
      <c r="BZ92" s="16">
        <v>7.02</v>
      </c>
      <c r="CA92" s="16">
        <v>9.8000000000000007</v>
      </c>
      <c r="CB92" s="16">
        <v>9.8000000000000007</v>
      </c>
      <c r="CC92" s="16">
        <v>6.74</v>
      </c>
      <c r="CD92" s="16">
        <v>9.5</v>
      </c>
      <c r="CE92" s="16">
        <v>9.6999999999999993</v>
      </c>
      <c r="CF92" s="17">
        <f>SUM(Input_Raw[[#This Row],[G01]:[G40]])</f>
        <v>1081503</v>
      </c>
      <c r="CG92" s="18">
        <f>IFERROR(AVERAGE(Input_Raw[[#This Row],[WS_G01]:[WS_G40]]),"")</f>
        <v>7.7648717948717962</v>
      </c>
      <c r="CH92" s="19"/>
      <c r="CI92" s="19"/>
      <c r="CJ92" s="15">
        <v>244677</v>
      </c>
      <c r="CK92" s="15">
        <v>2194</v>
      </c>
      <c r="CL92" s="15">
        <v>284036</v>
      </c>
      <c r="CM92" s="15">
        <v>2220</v>
      </c>
      <c r="CN92" s="15">
        <v>261301</v>
      </c>
      <c r="CO92" s="15">
        <v>1827</v>
      </c>
      <c r="CP92" s="15">
        <v>297487</v>
      </c>
      <c r="CQ92" s="15">
        <v>1873</v>
      </c>
      <c r="CR92" s="91">
        <f>IF(((Input_Raw[[#This Row],[33 kV_Wind_F1_Export reading]]-CJ91)*1200)&gt;0,(Input_Raw[[#This Row],[33 kV_Wind_F1_Export reading]]-CJ91)*1200,0)</f>
        <v>288000</v>
      </c>
      <c r="CS92" s="91">
        <f>IF(((Input_Raw[[#This Row],[33 kV_Wind_F1_Import reading]]-CK91)*1200)&gt;0,(Input_Raw[[#This Row],[33 kV_Wind_F1_Import reading]]-CK91)*1200,0)</f>
        <v>0</v>
      </c>
      <c r="CT92" s="91">
        <f>IF(((Input_Raw[[#This Row],[33 kV_Wind_F2_Export_reading]]-CL91)*1200)&gt;0,(Input_Raw[[#This Row],[33 kV_Wind_F2_Export_reading]]-CL91)*1200,0)</f>
        <v>228000</v>
      </c>
      <c r="CU92" s="91">
        <f>IF(((Input_Raw[[#This Row],[33 kV_Wind_F2_Import_reading]]-CM91)*1200)&gt;0,(Input_Raw[[#This Row],[33 kV_Wind_F2_Import_reading]]-CM91)*1200,0)</f>
        <v>0</v>
      </c>
      <c r="CV92" s="91">
        <f>IF(((Input_Raw[[#This Row],[33 kV_Wind_F3_Export_Reading]]-CN91)*1200)&gt;0,(Input_Raw[[#This Row],[33 kV_Wind_F3_Export_Reading]]-CN91)*1200,0)</f>
        <v>277200</v>
      </c>
      <c r="CW92" s="91">
        <f>IF(((Input_Raw[[#This Row],[33 kV_Wind_F3_Import_Reading]]-CO91)*1200)&gt;0,(Input_Raw[[#This Row],[33 kV_Wind_F3_Import_Reading]]-CO91)*1200,0)</f>
        <v>0</v>
      </c>
      <c r="CX92" s="91">
        <f>IF(((Input_Raw[[#This Row],[33 kV_Wind_F4_Export Reading]]-CP91)*1200)&gt;0,(Input_Raw[[#This Row],[33 kV_Wind_F4_Export Reading]]-CP91)*1200,0)</f>
        <v>273600</v>
      </c>
      <c r="CY92" s="172"/>
      <c r="CZ92" s="172">
        <f>Input_Raw[[#This Row],[33 kV_F1_Total_Export (KWh)]]+Input_Raw[[#This Row],[33 kV_F2_Total_Export (KWh)2]]+Input_Raw[[#This Row],[33 kV_Wind_F3_Export (KWh)]]+Input_Raw[[#This Row],[33 kV_Wind_F4_Export (KWh)]]</f>
        <v>1066800</v>
      </c>
      <c r="DA92" s="172">
        <f>Input_Raw[[#This Row],[33 kV_Wind_F1_Import (KWh)]]+Input_Raw[[#This Row],[33 kV_Wind_F2_Import (KWh)]]+Input_Raw[[#This Row],[33 kV_Wind_F3_Import (KWh)2]]+Input_Raw[[#This Row],[33 kV_Wind_F4_Import (KWh)2]]</f>
        <v>0</v>
      </c>
      <c r="DB92" s="21">
        <f>IFERROR(1-Input_Raw[[#This Row],[33 kV_Wind_Total_Export (KWh)]]/Input_Raw[[#This Row],[WTG Total Gneration (KWh)]],0)</f>
        <v>1.3594969223386322E-2</v>
      </c>
      <c r="DC92" s="100">
        <v>0</v>
      </c>
      <c r="DD92" s="100">
        <v>0</v>
      </c>
      <c r="DE92" s="102">
        <v>1069.9000000000001</v>
      </c>
      <c r="DF92" s="99"/>
      <c r="DG92" s="101">
        <v>78</v>
      </c>
      <c r="DH92" s="168" t="s">
        <v>381</v>
      </c>
    </row>
    <row r="93" spans="1:112">
      <c r="A93" s="20">
        <f t="shared" si="6"/>
        <v>45833</v>
      </c>
      <c r="B93" s="12">
        <f>YEAR([1]!Input_Raw[[#This Row],[Date]])+IF(MONTH([1]!Input_Raw[[#This Row],[Date]])&gt;=4,1,0)</f>
        <v>2026</v>
      </c>
      <c r="C93" s="13">
        <f>YEAR([1]!Input_Raw[[#This Row],[Date]])</f>
        <v>2025</v>
      </c>
      <c r="D93" s="14">
        <f t="shared" si="5"/>
        <v>45809</v>
      </c>
      <c r="E93" s="13">
        <f>DAY(EOMONTH([1]!Input_Raw[[#This Row],[Date]],0))</f>
        <v>30</v>
      </c>
      <c r="F93" s="15">
        <v>19727</v>
      </c>
      <c r="G93" s="15">
        <v>19023</v>
      </c>
      <c r="H93" s="15">
        <v>20023</v>
      </c>
      <c r="I93" s="15">
        <v>19045</v>
      </c>
      <c r="J93" s="15">
        <v>15624</v>
      </c>
      <c r="K93" s="15">
        <v>19823</v>
      </c>
      <c r="L93" s="15">
        <v>19774</v>
      </c>
      <c r="M93" s="15">
        <v>20043</v>
      </c>
      <c r="N93" s="15">
        <v>21453</v>
      </c>
      <c r="O93" s="15">
        <v>20223</v>
      </c>
      <c r="P93" s="15">
        <v>20421</v>
      </c>
      <c r="Q93" s="15">
        <v>20541</v>
      </c>
      <c r="R93" s="15">
        <v>21212</v>
      </c>
      <c r="S93" s="15">
        <v>20832</v>
      </c>
      <c r="T93" s="15">
        <v>21154</v>
      </c>
      <c r="U93" s="15">
        <v>19032</v>
      </c>
      <c r="V93" s="15">
        <v>0</v>
      </c>
      <c r="W93" s="15">
        <v>21081</v>
      </c>
      <c r="X93" s="15">
        <v>20791</v>
      </c>
      <c r="Y93" s="15">
        <v>20545</v>
      </c>
      <c r="Z93" s="354">
        <v>15943</v>
      </c>
      <c r="AA93" s="354">
        <v>16231</v>
      </c>
      <c r="AB93" s="354">
        <v>15943</v>
      </c>
      <c r="AC93" s="354">
        <v>15900</v>
      </c>
      <c r="AD93" s="354">
        <v>15749</v>
      </c>
      <c r="AE93" s="354">
        <v>15840</v>
      </c>
      <c r="AF93" s="354">
        <v>15456</v>
      </c>
      <c r="AG93" s="354">
        <v>0</v>
      </c>
      <c r="AH93" s="354">
        <v>15453</v>
      </c>
      <c r="AI93" s="354">
        <v>0</v>
      </c>
      <c r="AJ93" s="15">
        <v>16745</v>
      </c>
      <c r="AK93" s="15">
        <v>16350</v>
      </c>
      <c r="AL93" s="15">
        <v>16817</v>
      </c>
      <c r="AM93" s="15">
        <v>16469</v>
      </c>
      <c r="AN93" s="15">
        <v>16743</v>
      </c>
      <c r="AO93" s="15">
        <v>16721</v>
      </c>
      <c r="AP93" s="15">
        <v>15521</v>
      </c>
      <c r="AQ93" s="15">
        <v>16332</v>
      </c>
      <c r="AR93" s="15">
        <v>16632</v>
      </c>
      <c r="AS93" s="89">
        <v>5.8621319444444415</v>
      </c>
      <c r="AT93" s="16">
        <v>6.3055555555555545</v>
      </c>
      <c r="AU93" s="16">
        <v>5.2876624999999988</v>
      </c>
      <c r="AV93" s="16">
        <v>5.3705000000000007</v>
      </c>
      <c r="AW93" s="16">
        <v>5.0465361111111111</v>
      </c>
      <c r="AX93" s="16">
        <v>5.8957361111111117</v>
      </c>
      <c r="AY93" s="16">
        <v>5.8957361111111117</v>
      </c>
      <c r="AZ93" s="16">
        <v>5.8117013888888884</v>
      </c>
      <c r="BA93" s="16">
        <v>6.2648402777777781</v>
      </c>
      <c r="BB93" s="16">
        <v>4.8664374999999991</v>
      </c>
      <c r="BC93" s="16">
        <v>5.6271666666666667</v>
      </c>
      <c r="BD93" s="16">
        <v>5.7042083333333338</v>
      </c>
      <c r="BE93" s="16">
        <v>5.521229166666668</v>
      </c>
      <c r="BF93" s="16">
        <v>5.7344027777777802</v>
      </c>
      <c r="BG93" s="16">
        <v>6.0184652777777803</v>
      </c>
      <c r="BH93" s="16">
        <v>5.5627708333333317</v>
      </c>
      <c r="BI93" s="16">
        <v>0</v>
      </c>
      <c r="BJ93" s="16">
        <v>5.945188888888886</v>
      </c>
      <c r="BK93" s="16">
        <v>6.109395833333334</v>
      </c>
      <c r="BL93" s="16">
        <v>6.4610694444444432</v>
      </c>
      <c r="BM93" s="16">
        <v>5.9728426086956548</v>
      </c>
      <c r="BN93" s="16">
        <v>4.9143090909090903</v>
      </c>
      <c r="BO93" s="16">
        <v>5.1144638888888885</v>
      </c>
      <c r="BP93" s="16">
        <v>5.3359777777777788</v>
      </c>
      <c r="BQ93" s="16">
        <v>5.0754985294117674</v>
      </c>
      <c r="BR93" s="16">
        <v>5.3434958333333338</v>
      </c>
      <c r="BS93" s="16">
        <v>5.0553076388888858</v>
      </c>
      <c r="BT93" s="16">
        <v>0</v>
      </c>
      <c r="BU93" s="16">
        <v>5</v>
      </c>
      <c r="BV93" s="16">
        <v>0</v>
      </c>
      <c r="BW93" s="16">
        <v>4.9429823529411756</v>
      </c>
      <c r="BX93" s="16">
        <v>4.9764632352941165</v>
      </c>
      <c r="BY93" s="16">
        <v>5.2576333333333336</v>
      </c>
      <c r="BZ93" s="16">
        <v>5.670325663716814</v>
      </c>
      <c r="CA93" s="16">
        <v>5.5863234234234236</v>
      </c>
      <c r="CB93" s="16">
        <v>5.4673336283185847</v>
      </c>
      <c r="CC93" s="16">
        <v>5.2683985294117646</v>
      </c>
      <c r="CD93" s="16">
        <v>5.2848022058823538</v>
      </c>
      <c r="CE93" s="16">
        <v>5.2838499999999984</v>
      </c>
      <c r="CF93" s="17">
        <f>SUM(Input_Raw[[#This Row],[G01]:[G40]])</f>
        <v>655212</v>
      </c>
      <c r="CG93" s="18">
        <f>IFERROR(AVERAGE(Input_Raw[[#This Row],[WS_G01]:[WS_G40]]),"")</f>
        <v>5.0984805759602354</v>
      </c>
      <c r="CH93" s="19"/>
      <c r="CI93" s="19"/>
      <c r="CJ93" s="15">
        <v>244812</v>
      </c>
      <c r="CK93" s="15">
        <v>2194</v>
      </c>
      <c r="CL93" s="15">
        <v>284145</v>
      </c>
      <c r="CM93" s="15">
        <v>2220</v>
      </c>
      <c r="CN93" s="15">
        <v>261454</v>
      </c>
      <c r="CO93" s="15">
        <v>1827</v>
      </c>
      <c r="CP93" s="15">
        <v>297646</v>
      </c>
      <c r="CQ93" s="15">
        <v>1873</v>
      </c>
      <c r="CR93" s="91">
        <f>IF(((Input_Raw[[#This Row],[33 kV_Wind_F1_Export reading]]-CJ92)*1200)&gt;0,(Input_Raw[[#This Row],[33 kV_Wind_F1_Export reading]]-CJ92)*1200,0)</f>
        <v>162000</v>
      </c>
      <c r="CS93" s="91">
        <f>IF(((Input_Raw[[#This Row],[33 kV_Wind_F1_Import reading]]-CK92)*1200)&gt;0,(Input_Raw[[#This Row],[33 kV_Wind_F1_Import reading]]-CK92)*1200,0)</f>
        <v>0</v>
      </c>
      <c r="CT93" s="91">
        <f>IF(((Input_Raw[[#This Row],[33 kV_Wind_F2_Export_reading]]-CL92)*1200)&gt;0,(Input_Raw[[#This Row],[33 kV_Wind_F2_Export_reading]]-CL92)*1200,0)</f>
        <v>130800</v>
      </c>
      <c r="CU93" s="91">
        <f>IF(((Input_Raw[[#This Row],[33 kV_Wind_F2_Import_reading]]-CM92)*1200)&gt;0,(Input_Raw[[#This Row],[33 kV_Wind_F2_Import_reading]]-CM92)*1200,0)</f>
        <v>0</v>
      </c>
      <c r="CV93" s="91">
        <f>IF(((Input_Raw[[#This Row],[33 kV_Wind_F3_Export_Reading]]-CN92)*1200)&gt;0,(Input_Raw[[#This Row],[33 kV_Wind_F3_Export_Reading]]-CN92)*1200,0)</f>
        <v>183600</v>
      </c>
      <c r="CW93" s="91">
        <f>IF(((Input_Raw[[#This Row],[33 kV_Wind_F3_Import_Reading]]-CO92)*1200)&gt;0,(Input_Raw[[#This Row],[33 kV_Wind_F3_Import_Reading]]-CO92)*1200,0)</f>
        <v>0</v>
      </c>
      <c r="CX93" s="91">
        <f>IF(((Input_Raw[[#This Row],[33 kV_Wind_F4_Export Reading]]-CP92)*1200)&gt;0,(Input_Raw[[#This Row],[33 kV_Wind_F4_Export Reading]]-CP92)*1200,0)</f>
        <v>190800</v>
      </c>
      <c r="CY93" s="172"/>
      <c r="CZ93" s="172">
        <f>Input_Raw[[#This Row],[33 kV_F1_Total_Export (KWh)]]+Input_Raw[[#This Row],[33 kV_F2_Total_Export (KWh)2]]+Input_Raw[[#This Row],[33 kV_Wind_F3_Export (KWh)]]+Input_Raw[[#This Row],[33 kV_Wind_F4_Export (KWh)]]</f>
        <v>667200</v>
      </c>
      <c r="DA93" s="172">
        <f>Input_Raw[[#This Row],[33 kV_Wind_F1_Import (KWh)]]+Input_Raw[[#This Row],[33 kV_Wind_F2_Import (KWh)]]+Input_Raw[[#This Row],[33 kV_Wind_F3_Import (KWh)2]]+Input_Raw[[#This Row],[33 kV_Wind_F4_Import (KWh)2]]</f>
        <v>0</v>
      </c>
      <c r="DB93" s="21">
        <f>IFERROR(1-Input_Raw[[#This Row],[33 kV_Wind_Total_Export (KWh)]]/Input_Raw[[#This Row],[WTG Total Gneration (KWh)]],0)</f>
        <v>-1.8296368198384538E-2</v>
      </c>
      <c r="DC93" s="100">
        <v>0</v>
      </c>
      <c r="DD93" s="100">
        <v>0</v>
      </c>
      <c r="DE93" s="102">
        <v>676.61</v>
      </c>
      <c r="DF93" s="99"/>
      <c r="DG93" s="101">
        <v>78</v>
      </c>
      <c r="DH93" s="168" t="s">
        <v>381</v>
      </c>
    </row>
    <row r="94" spans="1:112">
      <c r="A94" s="20">
        <f t="shared" si="6"/>
        <v>45834</v>
      </c>
      <c r="B94" s="12">
        <f>YEAR([1]!Input_Raw[[#This Row],[Date]])+IF(MONTH([1]!Input_Raw[[#This Row],[Date]])&gt;=4,1,0)</f>
        <v>2026</v>
      </c>
      <c r="C94" s="13">
        <f>YEAR([1]!Input_Raw[[#This Row],[Date]])</f>
        <v>2025</v>
      </c>
      <c r="D94" s="14">
        <f t="shared" si="5"/>
        <v>45809</v>
      </c>
      <c r="E94" s="13">
        <f>DAY(EOMONTH([1]!Input_Raw[[#This Row],[Date]],0))</f>
        <v>30</v>
      </c>
      <c r="F94" s="15">
        <v>11261</v>
      </c>
      <c r="G94" s="15">
        <v>10482</v>
      </c>
      <c r="H94" s="15">
        <v>11052</v>
      </c>
      <c r="I94" s="15">
        <v>11137</v>
      </c>
      <c r="J94" s="15">
        <v>7172</v>
      </c>
      <c r="K94" s="15">
        <v>11627</v>
      </c>
      <c r="L94" s="15">
        <v>11932</v>
      </c>
      <c r="M94" s="15">
        <v>11732</v>
      </c>
      <c r="N94" s="15">
        <v>13735</v>
      </c>
      <c r="O94" s="15">
        <v>11452</v>
      </c>
      <c r="P94" s="15">
        <v>11112</v>
      </c>
      <c r="Q94" s="15">
        <v>12431</v>
      </c>
      <c r="R94" s="15">
        <v>11521</v>
      </c>
      <c r="S94" s="15">
        <v>12329</v>
      </c>
      <c r="T94" s="15">
        <v>12431</v>
      </c>
      <c r="U94" s="15">
        <v>12410</v>
      </c>
      <c r="V94" s="15">
        <v>0</v>
      </c>
      <c r="W94" s="15">
        <v>12323</v>
      </c>
      <c r="X94" s="15">
        <v>12521</v>
      </c>
      <c r="Y94" s="15">
        <v>12382</v>
      </c>
      <c r="Z94" s="354">
        <v>9027</v>
      </c>
      <c r="AA94" s="354">
        <v>9210</v>
      </c>
      <c r="AB94" s="354">
        <v>9319</v>
      </c>
      <c r="AC94" s="354">
        <v>9321</v>
      </c>
      <c r="AD94" s="354">
        <v>8230</v>
      </c>
      <c r="AE94" s="354">
        <v>9421</v>
      </c>
      <c r="AF94" s="354">
        <v>7945</v>
      </c>
      <c r="AG94" s="354">
        <v>0</v>
      </c>
      <c r="AH94" s="354">
        <v>9021</v>
      </c>
      <c r="AI94" s="354">
        <v>0</v>
      </c>
      <c r="AJ94" s="15">
        <v>8332</v>
      </c>
      <c r="AK94" s="15">
        <v>8432</v>
      </c>
      <c r="AL94" s="15">
        <v>8253</v>
      </c>
      <c r="AM94" s="15">
        <v>8443</v>
      </c>
      <c r="AN94" s="15">
        <v>8393</v>
      </c>
      <c r="AO94" s="15">
        <v>7532</v>
      </c>
      <c r="AP94" s="15">
        <v>8027</v>
      </c>
      <c r="AQ94" s="15">
        <v>8138</v>
      </c>
      <c r="AR94" s="15">
        <v>8332</v>
      </c>
      <c r="AS94" s="16">
        <v>4.8499999999999996</v>
      </c>
      <c r="AT94" s="16">
        <v>5.37</v>
      </c>
      <c r="AU94" s="16">
        <v>4.76</v>
      </c>
      <c r="AV94" s="16">
        <v>4.7699999999999996</v>
      </c>
      <c r="AW94" s="16">
        <v>5.09</v>
      </c>
      <c r="AX94" s="16">
        <v>5.19</v>
      </c>
      <c r="AY94" s="16">
        <v>4.8</v>
      </c>
      <c r="AZ94" s="16">
        <v>4.87</v>
      </c>
      <c r="BA94" s="16">
        <v>5.25</v>
      </c>
      <c r="BB94" s="16">
        <v>4.9800000000000004</v>
      </c>
      <c r="BC94" s="16">
        <v>5.45</v>
      </c>
      <c r="BD94" s="16">
        <v>5.28</v>
      </c>
      <c r="BE94" s="16">
        <v>5.32</v>
      </c>
      <c r="BF94" s="16">
        <v>5.14</v>
      </c>
      <c r="BG94" s="16">
        <v>5.09</v>
      </c>
      <c r="BH94" s="16">
        <v>5.27</v>
      </c>
      <c r="BI94" s="16">
        <v>0</v>
      </c>
      <c r="BJ94" s="16">
        <v>5.36</v>
      </c>
      <c r="BK94" s="16">
        <v>6.59</v>
      </c>
      <c r="BL94" s="16">
        <v>5.63</v>
      </c>
      <c r="BM94" s="16">
        <v>5.4</v>
      </c>
      <c r="BN94" s="16">
        <v>5.44</v>
      </c>
      <c r="BO94" s="16">
        <v>4.66</v>
      </c>
      <c r="BP94" s="16">
        <v>4.9800000000000004</v>
      </c>
      <c r="BQ94" s="16">
        <v>4.95</v>
      </c>
      <c r="BR94" s="16">
        <v>4.71</v>
      </c>
      <c r="BS94" s="16">
        <v>4.88</v>
      </c>
      <c r="BT94" s="16">
        <v>0</v>
      </c>
      <c r="BU94" s="16">
        <v>4.8600000000000003</v>
      </c>
      <c r="BV94" s="16">
        <v>0</v>
      </c>
      <c r="BW94" s="16">
        <v>4.59</v>
      </c>
      <c r="BX94" s="16">
        <v>4.7300000000000004</v>
      </c>
      <c r="BY94" s="16">
        <v>4.88</v>
      </c>
      <c r="BZ94" s="16">
        <v>4.88</v>
      </c>
      <c r="CA94" s="16">
        <v>5.07</v>
      </c>
      <c r="CB94" s="16">
        <v>5.05</v>
      </c>
      <c r="CC94" s="16">
        <v>4.83</v>
      </c>
      <c r="CD94" s="16">
        <v>4.74</v>
      </c>
      <c r="CE94" s="16">
        <v>5.01</v>
      </c>
      <c r="CF94" s="17">
        <f>SUM(Input_Raw[[#This Row],[G01]:[G40]])</f>
        <v>366418</v>
      </c>
      <c r="CG94" s="18">
        <f>IFERROR(AVERAGE(Input_Raw[[#This Row],[WS_G01]:[WS_G40]]),"")</f>
        <v>4.6851282051282048</v>
      </c>
      <c r="CH94" s="19"/>
      <c r="CI94" s="19"/>
      <c r="CJ94" s="15">
        <v>244868</v>
      </c>
      <c r="CK94" s="15">
        <v>2194</v>
      </c>
      <c r="CL94" s="15">
        <v>284205</v>
      </c>
      <c r="CM94" s="15">
        <v>2220</v>
      </c>
      <c r="CN94" s="15">
        <v>261539</v>
      </c>
      <c r="CO94" s="15">
        <v>1827</v>
      </c>
      <c r="CP94" s="15">
        <v>297747</v>
      </c>
      <c r="CQ94" s="15">
        <v>1873</v>
      </c>
      <c r="CR94" s="91">
        <f>IF(((Input_Raw[[#This Row],[33 kV_Wind_F1_Export reading]]-CJ93)*1200)&gt;0,(Input_Raw[[#This Row],[33 kV_Wind_F1_Export reading]]-CJ93)*1200,0)</f>
        <v>67200</v>
      </c>
      <c r="CS94" s="91">
        <f>IF(((Input_Raw[[#This Row],[33 kV_Wind_F1_Import reading]]-CK93)*1200)&gt;0,(Input_Raw[[#This Row],[33 kV_Wind_F1_Import reading]]-CK93)*1200,0)</f>
        <v>0</v>
      </c>
      <c r="CT94" s="91">
        <f>IF(((Input_Raw[[#This Row],[33 kV_Wind_F2_Export_reading]]-CL93)*1200)&gt;0,(Input_Raw[[#This Row],[33 kV_Wind_F2_Export_reading]]-CL93)*1200,0)</f>
        <v>72000</v>
      </c>
      <c r="CU94" s="91">
        <f>IF(((Input_Raw[[#This Row],[33 kV_Wind_F2_Import_reading]]-CM93)*1200)&gt;0,(Input_Raw[[#This Row],[33 kV_Wind_F2_Import_reading]]-CM93)*1200,0)</f>
        <v>0</v>
      </c>
      <c r="CV94" s="91">
        <f>IF(((Input_Raw[[#This Row],[33 kV_Wind_F3_Export_Reading]]-CN93)*1200)&gt;0,(Input_Raw[[#This Row],[33 kV_Wind_F3_Export_Reading]]-CN93)*1200,0)</f>
        <v>102000</v>
      </c>
      <c r="CW94" s="91">
        <f>IF(((Input_Raw[[#This Row],[33 kV_Wind_F3_Import_Reading]]-CO93)*1200)&gt;0,(Input_Raw[[#This Row],[33 kV_Wind_F3_Import_Reading]]-CO93)*1200,0)</f>
        <v>0</v>
      </c>
      <c r="CX94" s="91">
        <f>IF(((Input_Raw[[#This Row],[33 kV_Wind_F4_Export Reading]]-CP93)*1200)&gt;0,(Input_Raw[[#This Row],[33 kV_Wind_F4_Export Reading]]-CP93)*1200,0)</f>
        <v>121200</v>
      </c>
      <c r="CY94" s="172"/>
      <c r="CZ94" s="172">
        <f>Input_Raw[[#This Row],[33 kV_F1_Total_Export (KWh)]]+Input_Raw[[#This Row],[33 kV_F2_Total_Export (KWh)2]]+Input_Raw[[#This Row],[33 kV_Wind_F3_Export (KWh)]]+Input_Raw[[#This Row],[33 kV_Wind_F4_Export (KWh)]]</f>
        <v>362400</v>
      </c>
      <c r="DA94" s="172">
        <f>Input_Raw[[#This Row],[33 kV_Wind_F1_Import (KWh)]]+Input_Raw[[#This Row],[33 kV_Wind_F2_Import (KWh)]]+Input_Raw[[#This Row],[33 kV_Wind_F3_Import (KWh)2]]+Input_Raw[[#This Row],[33 kV_Wind_F4_Import (KWh)2]]</f>
        <v>0</v>
      </c>
      <c r="DB94" s="21">
        <f>IFERROR(1-Input_Raw[[#This Row],[33 kV_Wind_Total_Export (KWh)]]/Input_Raw[[#This Row],[WTG Total Gneration (KWh)]],0)</f>
        <v>1.0965618501274532E-2</v>
      </c>
      <c r="DC94" s="100">
        <v>0</v>
      </c>
      <c r="DD94" s="100">
        <v>0</v>
      </c>
      <c r="DE94" s="102">
        <v>365.82</v>
      </c>
      <c r="DF94" s="99"/>
      <c r="DG94" s="101">
        <v>78</v>
      </c>
      <c r="DH94" s="168" t="s">
        <v>381</v>
      </c>
    </row>
    <row r="95" spans="1:112">
      <c r="A95" s="20">
        <f t="shared" si="6"/>
        <v>45835</v>
      </c>
      <c r="B95" s="12">
        <f>YEAR([1]!Input_Raw[[#This Row],[Date]])+IF(MONTH([1]!Input_Raw[[#This Row],[Date]])&gt;=4,1,0)</f>
        <v>2026</v>
      </c>
      <c r="C95" s="13">
        <f>YEAR([1]!Input_Raw[[#This Row],[Date]])</f>
        <v>2025</v>
      </c>
      <c r="D95" s="14">
        <f t="shared" si="5"/>
        <v>45809</v>
      </c>
      <c r="E95" s="13">
        <f>DAY(EOMONTH([1]!Input_Raw[[#This Row],[Date]],0))</f>
        <v>30</v>
      </c>
      <c r="F95" s="15">
        <v>16930</v>
      </c>
      <c r="G95" s="15">
        <v>17730</v>
      </c>
      <c r="H95" s="15">
        <v>17832</v>
      </c>
      <c r="I95" s="15">
        <v>17892</v>
      </c>
      <c r="J95" s="15">
        <v>13712</v>
      </c>
      <c r="K95" s="15">
        <v>17819</v>
      </c>
      <c r="L95" s="15">
        <v>17115</v>
      </c>
      <c r="M95" s="15">
        <v>17852</v>
      </c>
      <c r="N95" s="15">
        <v>19862</v>
      </c>
      <c r="O95" s="15">
        <v>17723</v>
      </c>
      <c r="P95" s="15">
        <v>17791</v>
      </c>
      <c r="Q95" s="15">
        <v>19102</v>
      </c>
      <c r="R95" s="15">
        <v>18882</v>
      </c>
      <c r="S95" s="15">
        <v>19192</v>
      </c>
      <c r="T95" s="15">
        <v>18723</v>
      </c>
      <c r="U95" s="15">
        <v>19124</v>
      </c>
      <c r="V95" s="15">
        <v>0</v>
      </c>
      <c r="W95" s="15">
        <v>18243</v>
      </c>
      <c r="X95" s="15">
        <v>19082</v>
      </c>
      <c r="Y95" s="15">
        <v>18884</v>
      </c>
      <c r="Z95" s="354">
        <v>13731</v>
      </c>
      <c r="AA95" s="354">
        <v>13702</v>
      </c>
      <c r="AB95" s="354">
        <v>13636</v>
      </c>
      <c r="AC95" s="354">
        <v>13639</v>
      </c>
      <c r="AD95" s="354">
        <v>13590</v>
      </c>
      <c r="AE95" s="354">
        <v>13616</v>
      </c>
      <c r="AF95" s="354">
        <v>13651</v>
      </c>
      <c r="AG95" s="354">
        <v>0</v>
      </c>
      <c r="AH95" s="354">
        <v>13041</v>
      </c>
      <c r="AI95" s="354">
        <v>0</v>
      </c>
      <c r="AJ95" s="15">
        <v>14767</v>
      </c>
      <c r="AK95" s="15">
        <v>14592</v>
      </c>
      <c r="AL95" s="15">
        <v>14601</v>
      </c>
      <c r="AM95" s="15">
        <v>14568</v>
      </c>
      <c r="AN95" s="15">
        <v>14541</v>
      </c>
      <c r="AO95" s="15">
        <v>14504</v>
      </c>
      <c r="AP95" s="15">
        <v>14364</v>
      </c>
      <c r="AQ95" s="15">
        <v>14610</v>
      </c>
      <c r="AR95" s="15">
        <v>14732</v>
      </c>
      <c r="AS95" s="16">
        <v>5.63</v>
      </c>
      <c r="AT95" s="16">
        <v>6.04</v>
      </c>
      <c r="AU95" s="16">
        <v>5.55</v>
      </c>
      <c r="AV95" s="16">
        <v>5.6</v>
      </c>
      <c r="AW95" s="16">
        <v>6.19</v>
      </c>
      <c r="AX95" s="16">
        <v>6.25</v>
      </c>
      <c r="AY95" s="16">
        <v>5.75</v>
      </c>
      <c r="AZ95" s="16">
        <v>5.53</v>
      </c>
      <c r="BA95" s="16">
        <v>5.55</v>
      </c>
      <c r="BB95" s="16">
        <v>5.54</v>
      </c>
      <c r="BC95" s="16">
        <v>5.96</v>
      </c>
      <c r="BD95" s="16">
        <v>5.74</v>
      </c>
      <c r="BE95" s="16">
        <v>5.9</v>
      </c>
      <c r="BF95" s="16">
        <v>5.75</v>
      </c>
      <c r="BG95" s="16">
        <v>5.91</v>
      </c>
      <c r="BH95" s="16">
        <v>5.82</v>
      </c>
      <c r="BI95" s="16">
        <v>0</v>
      </c>
      <c r="BJ95" s="16">
        <v>6.15</v>
      </c>
      <c r="BK95" s="16">
        <v>6.47</v>
      </c>
      <c r="BL95" s="16">
        <v>6.22</v>
      </c>
      <c r="BM95" s="16">
        <v>5.08</v>
      </c>
      <c r="BN95" s="16">
        <v>6.26</v>
      </c>
      <c r="BO95" s="16">
        <v>5.87</v>
      </c>
      <c r="BP95" s="16">
        <v>5.93</v>
      </c>
      <c r="BQ95" s="16">
        <v>5.43</v>
      </c>
      <c r="BR95" s="16">
        <v>5.57</v>
      </c>
      <c r="BS95" s="16">
        <v>5.63</v>
      </c>
      <c r="BT95" s="16">
        <v>0</v>
      </c>
      <c r="BU95" s="16">
        <v>5.51</v>
      </c>
      <c r="BV95" s="16">
        <v>0</v>
      </c>
      <c r="BW95" s="16">
        <v>5.16</v>
      </c>
      <c r="BX95" s="16">
        <v>5.45</v>
      </c>
      <c r="BY95" s="16">
        <v>5.48</v>
      </c>
      <c r="BZ95" s="16">
        <v>5.59</v>
      </c>
      <c r="CA95" s="16">
        <v>5.63</v>
      </c>
      <c r="CB95" s="16">
        <v>5.54</v>
      </c>
      <c r="CC95" s="16">
        <v>5.55</v>
      </c>
      <c r="CD95" s="16">
        <v>5.62</v>
      </c>
      <c r="CE95" s="16">
        <v>5.36</v>
      </c>
      <c r="CF95" s="17">
        <f>SUM(Input_Raw[[#This Row],[G01]:[G40]])</f>
        <v>583375</v>
      </c>
      <c r="CG95" s="18">
        <f>IFERROR(AVERAGE(Input_Raw[[#This Row],[WS_G01]:[WS_G40]]),"")</f>
        <v>5.2874358974358975</v>
      </c>
      <c r="CH95" s="19"/>
      <c r="CI95" s="19"/>
      <c r="CJ95" s="15">
        <v>244991</v>
      </c>
      <c r="CK95" s="15">
        <v>2194</v>
      </c>
      <c r="CL95" s="15">
        <v>284300</v>
      </c>
      <c r="CM95" s="15">
        <v>2220</v>
      </c>
      <c r="CN95" s="15">
        <v>261668</v>
      </c>
      <c r="CO95" s="15">
        <v>1827</v>
      </c>
      <c r="CP95" s="15">
        <v>297896</v>
      </c>
      <c r="CQ95" s="15">
        <v>1873</v>
      </c>
      <c r="CR95" s="91">
        <f>IF(((Input_Raw[[#This Row],[33 kV_Wind_F1_Export reading]]-CJ94)*1200)&gt;0,(Input_Raw[[#This Row],[33 kV_Wind_F1_Export reading]]-CJ94)*1200,0)</f>
        <v>147600</v>
      </c>
      <c r="CS95" s="91">
        <f>IF(((Input_Raw[[#This Row],[33 kV_Wind_F1_Import reading]]-CK94)*1200)&gt;0,(Input_Raw[[#This Row],[33 kV_Wind_F1_Import reading]]-CK94)*1200,0)</f>
        <v>0</v>
      </c>
      <c r="CT95" s="91">
        <f>IF(((Input_Raw[[#This Row],[33 kV_Wind_F2_Export_reading]]-CL94)*1200)&gt;0,(Input_Raw[[#This Row],[33 kV_Wind_F2_Export_reading]]-CL94)*1200,0)</f>
        <v>114000</v>
      </c>
      <c r="CU95" s="91">
        <f>IF(((Input_Raw[[#This Row],[33 kV_Wind_F2_Import_reading]]-CM94)*1200)&gt;0,(Input_Raw[[#This Row],[33 kV_Wind_F2_Import_reading]]-CM94)*1200,0)</f>
        <v>0</v>
      </c>
      <c r="CV95" s="91">
        <f>IF(((Input_Raw[[#This Row],[33 kV_Wind_F3_Export_Reading]]-CN94)*1200)&gt;0,(Input_Raw[[#This Row],[33 kV_Wind_F3_Export_Reading]]-CN94)*1200,0)</f>
        <v>154800</v>
      </c>
      <c r="CW95" s="91">
        <f>IF(((Input_Raw[[#This Row],[33 kV_Wind_F3_Import_Reading]]-CO94)*1200)&gt;0,(Input_Raw[[#This Row],[33 kV_Wind_F3_Import_Reading]]-CO94)*1200,0)</f>
        <v>0</v>
      </c>
      <c r="CX95" s="91">
        <f>IF(((Input_Raw[[#This Row],[33 kV_Wind_F4_Export Reading]]-CP94)*1200)&gt;0,(Input_Raw[[#This Row],[33 kV_Wind_F4_Export Reading]]-CP94)*1200,0)</f>
        <v>178800</v>
      </c>
      <c r="CY95" s="172"/>
      <c r="CZ95" s="172">
        <f>Input_Raw[[#This Row],[33 kV_F1_Total_Export (KWh)]]+Input_Raw[[#This Row],[33 kV_F2_Total_Export (KWh)2]]+Input_Raw[[#This Row],[33 kV_Wind_F3_Export (KWh)]]+Input_Raw[[#This Row],[33 kV_Wind_F4_Export (KWh)]]</f>
        <v>595200</v>
      </c>
      <c r="DA95" s="172">
        <f>Input_Raw[[#This Row],[33 kV_Wind_F1_Import (KWh)]]+Input_Raw[[#This Row],[33 kV_Wind_F2_Import (KWh)]]+Input_Raw[[#This Row],[33 kV_Wind_F3_Import (KWh)2]]+Input_Raw[[#This Row],[33 kV_Wind_F4_Import (KWh)2]]</f>
        <v>0</v>
      </c>
      <c r="DB95" s="21">
        <f>IFERROR(1-Input_Raw[[#This Row],[33 kV_Wind_Total_Export (KWh)]]/Input_Raw[[#This Row],[WTG Total Gneration (KWh)]],0)</f>
        <v>-2.0269980715663216E-2</v>
      </c>
      <c r="DC95" s="100">
        <v>1</v>
      </c>
      <c r="DD95" s="100">
        <v>4353</v>
      </c>
      <c r="DE95" s="102">
        <v>598.78</v>
      </c>
      <c r="DF95" s="99"/>
      <c r="DG95" s="101">
        <v>78</v>
      </c>
      <c r="DH95" s="168" t="s">
        <v>381</v>
      </c>
    </row>
    <row r="96" spans="1:112">
      <c r="A96" s="20">
        <f t="shared" si="6"/>
        <v>45836</v>
      </c>
      <c r="B96" s="12">
        <f>YEAR([1]!Input_Raw[[#This Row],[Date]])+IF(MONTH([1]!Input_Raw[[#This Row],[Date]])&gt;=4,1,0)</f>
        <v>2026</v>
      </c>
      <c r="C96" s="13">
        <f>YEAR([1]!Input_Raw[[#This Row],[Date]])</f>
        <v>2025</v>
      </c>
      <c r="D96" s="14">
        <f t="shared" si="5"/>
        <v>45809</v>
      </c>
      <c r="E96" s="13">
        <f>DAY(EOMONTH([1]!Input_Raw[[#This Row],[Date]],0))</f>
        <v>30</v>
      </c>
      <c r="F96" s="15">
        <v>25663</v>
      </c>
      <c r="G96" s="15">
        <v>20943</v>
      </c>
      <c r="H96" s="15">
        <v>24454</v>
      </c>
      <c r="I96" s="15">
        <v>24435</v>
      </c>
      <c r="J96" s="15">
        <v>24432</v>
      </c>
      <c r="K96" s="15">
        <v>25265</v>
      </c>
      <c r="L96" s="15">
        <v>25672</v>
      </c>
      <c r="M96" s="15">
        <v>25636</v>
      </c>
      <c r="N96" s="15">
        <v>25303</v>
      </c>
      <c r="O96" s="15">
        <v>25332</v>
      </c>
      <c r="P96" s="15">
        <v>25832</v>
      </c>
      <c r="Q96" s="15">
        <v>23653</v>
      </c>
      <c r="R96" s="15">
        <v>25621</v>
      </c>
      <c r="S96" s="15">
        <v>25762</v>
      </c>
      <c r="T96" s="15">
        <v>25920</v>
      </c>
      <c r="U96" s="15">
        <v>25612</v>
      </c>
      <c r="V96" s="15">
        <v>0</v>
      </c>
      <c r="W96" s="15">
        <v>25309</v>
      </c>
      <c r="X96" s="15">
        <v>25630</v>
      </c>
      <c r="Y96" s="15">
        <v>25434</v>
      </c>
      <c r="Z96" s="15">
        <v>22276</v>
      </c>
      <c r="AA96" s="15">
        <v>23276</v>
      </c>
      <c r="AB96" s="15">
        <v>22376</v>
      </c>
      <c r="AC96" s="15">
        <v>23754</v>
      </c>
      <c r="AD96" s="15">
        <v>22487</v>
      </c>
      <c r="AE96" s="15">
        <v>23486</v>
      </c>
      <c r="AF96" s="15">
        <v>23354</v>
      </c>
      <c r="AG96" s="15">
        <v>0</v>
      </c>
      <c r="AH96" s="15">
        <v>23418</v>
      </c>
      <c r="AI96" s="15">
        <v>0</v>
      </c>
      <c r="AJ96" s="15">
        <v>21298</v>
      </c>
      <c r="AK96" s="15">
        <v>21316</v>
      </c>
      <c r="AL96" s="15">
        <v>21276</v>
      </c>
      <c r="AM96" s="15">
        <v>21264</v>
      </c>
      <c r="AN96" s="15">
        <v>21176</v>
      </c>
      <c r="AO96" s="15">
        <v>21254</v>
      </c>
      <c r="AP96" s="15">
        <v>21285</v>
      </c>
      <c r="AQ96" s="15">
        <v>21217</v>
      </c>
      <c r="AR96" s="15">
        <v>21290</v>
      </c>
      <c r="AS96" s="16">
        <v>7.28</v>
      </c>
      <c r="AT96" s="16">
        <v>7.74</v>
      </c>
      <c r="AU96" s="16">
        <v>7.38</v>
      </c>
      <c r="AV96" s="16">
        <v>7.5</v>
      </c>
      <c r="AW96" s="16">
        <v>6.95</v>
      </c>
      <c r="AX96" s="16">
        <v>6.64</v>
      </c>
      <c r="AY96" s="89">
        <v>7.2</v>
      </c>
      <c r="AZ96" s="16">
        <v>7.59</v>
      </c>
      <c r="BA96" s="16">
        <v>7.79</v>
      </c>
      <c r="BB96" s="16">
        <v>7.37</v>
      </c>
      <c r="BC96" s="16">
        <v>7.73</v>
      </c>
      <c r="BD96" s="16">
        <v>7.52</v>
      </c>
      <c r="BE96" s="16">
        <v>7.72</v>
      </c>
      <c r="BF96" s="16">
        <v>7.67</v>
      </c>
      <c r="BG96" s="16">
        <v>7.75</v>
      </c>
      <c r="BH96" s="16">
        <v>7.66</v>
      </c>
      <c r="BI96" s="16">
        <v>0</v>
      </c>
      <c r="BJ96" s="16">
        <v>7.44</v>
      </c>
      <c r="BK96" s="16">
        <v>8.44</v>
      </c>
      <c r="BL96" s="16">
        <v>7.02</v>
      </c>
      <c r="BM96" s="16">
        <v>6.9</v>
      </c>
      <c r="BN96" s="16">
        <v>7.2</v>
      </c>
      <c r="BO96" s="16">
        <v>7.24</v>
      </c>
      <c r="BP96" s="16">
        <v>7.4</v>
      </c>
      <c r="BQ96" s="16">
        <v>7.39</v>
      </c>
      <c r="BR96" s="16">
        <v>7.05</v>
      </c>
      <c r="BS96" s="16">
        <v>6.74</v>
      </c>
      <c r="BT96" s="16">
        <v>0</v>
      </c>
      <c r="BU96" s="16">
        <v>7.37</v>
      </c>
      <c r="BV96" s="16">
        <v>0</v>
      </c>
      <c r="BW96" s="16">
        <v>6.79</v>
      </c>
      <c r="BX96" s="16">
        <v>6.65</v>
      </c>
      <c r="BY96" s="16">
        <v>6.54</v>
      </c>
      <c r="BZ96" s="16">
        <v>7.02</v>
      </c>
      <c r="CA96" s="16">
        <v>7.65</v>
      </c>
      <c r="CB96" s="16">
        <v>7.66</v>
      </c>
      <c r="CC96" s="16">
        <v>6.74</v>
      </c>
      <c r="CD96" s="16">
        <v>6.53</v>
      </c>
      <c r="CE96" s="16">
        <v>7.19</v>
      </c>
      <c r="CF96" s="17">
        <f>SUM(Input_Raw[[#This Row],[G01]:[G40]])</f>
        <v>851711</v>
      </c>
      <c r="CG96" s="18">
        <f>IFERROR(AVERAGE(Input_Raw[[#This Row],[WS_G01]:[WS_G40]]),"")</f>
        <v>6.7294871794871804</v>
      </c>
      <c r="CH96" s="19"/>
      <c r="CI96" s="19"/>
      <c r="CJ96" s="15">
        <v>245178</v>
      </c>
      <c r="CK96" s="15">
        <v>2194</v>
      </c>
      <c r="CL96" s="15">
        <v>284447</v>
      </c>
      <c r="CM96" s="15">
        <v>2220</v>
      </c>
      <c r="CN96" s="15">
        <v>261843</v>
      </c>
      <c r="CO96" s="15">
        <v>1827</v>
      </c>
      <c r="CP96" s="15">
        <v>298085</v>
      </c>
      <c r="CQ96" s="15">
        <v>1873</v>
      </c>
      <c r="CR96" s="91">
        <f>IF(((Input_Raw[[#This Row],[33 kV_Wind_F1_Export reading]]-CJ95)*1200)&gt;0,(Input_Raw[[#This Row],[33 kV_Wind_F1_Export reading]]-CJ95)*1200,0)</f>
        <v>224400</v>
      </c>
      <c r="CS96" s="91">
        <f>IF(((Input_Raw[[#This Row],[33 kV_Wind_F1_Import reading]]-CK95)*1200)&gt;0,(Input_Raw[[#This Row],[33 kV_Wind_F1_Import reading]]-CK95)*1200,0)</f>
        <v>0</v>
      </c>
      <c r="CT96" s="91">
        <f>IF(((Input_Raw[[#This Row],[33 kV_Wind_F2_Export_reading]]-CL95)*1200)&gt;0,(Input_Raw[[#This Row],[33 kV_Wind_F2_Export_reading]]-CL95)*1200,0)</f>
        <v>176400</v>
      </c>
      <c r="CU96" s="91">
        <f>IF(((Input_Raw[[#This Row],[33 kV_Wind_F2_Import_reading]]-CM95)*1200)&gt;0,(Input_Raw[[#This Row],[33 kV_Wind_F2_Import_reading]]-CM95)*1200,0)</f>
        <v>0</v>
      </c>
      <c r="CV96" s="91">
        <f>IF(((Input_Raw[[#This Row],[33 kV_Wind_F3_Export_Reading]]-CN95)*1200)&gt;0,(Input_Raw[[#This Row],[33 kV_Wind_F3_Export_Reading]]-CN95)*1200,0)</f>
        <v>210000</v>
      </c>
      <c r="CW96" s="91">
        <f>IF(((Input_Raw[[#This Row],[33 kV_Wind_F3_Import_Reading]]-CO95)*1200)&gt;0,(Input_Raw[[#This Row],[33 kV_Wind_F3_Import_Reading]]-CO95)*1200,0)</f>
        <v>0</v>
      </c>
      <c r="CX96" s="91">
        <f>IF(((Input_Raw[[#This Row],[33 kV_Wind_F4_Export Reading]]-CP95)*1200)&gt;0,(Input_Raw[[#This Row],[33 kV_Wind_F4_Export Reading]]-CP95)*1200,0)</f>
        <v>226800</v>
      </c>
      <c r="CY96" s="172"/>
      <c r="CZ96" s="172">
        <f>Input_Raw[[#This Row],[33 kV_F1_Total_Export (KWh)]]+Input_Raw[[#This Row],[33 kV_F2_Total_Export (KWh)2]]+Input_Raw[[#This Row],[33 kV_Wind_F3_Export (KWh)]]+Input_Raw[[#This Row],[33 kV_Wind_F4_Export (KWh)]]</f>
        <v>837600</v>
      </c>
      <c r="DA96" s="172">
        <f>Input_Raw[[#This Row],[33 kV_Wind_F1_Import (KWh)]]+Input_Raw[[#This Row],[33 kV_Wind_F2_Import (KWh)]]+Input_Raw[[#This Row],[33 kV_Wind_F3_Import (KWh)2]]+Input_Raw[[#This Row],[33 kV_Wind_F4_Import (KWh)2]]</f>
        <v>0</v>
      </c>
      <c r="DB96" s="21">
        <f>IFERROR(1-Input_Raw[[#This Row],[33 kV_Wind_Total_Export (KWh)]]/Input_Raw[[#This Row],[WTG Total Gneration (KWh)]],0)</f>
        <v>1.6567826410601727E-2</v>
      </c>
      <c r="DC96" s="100">
        <v>96</v>
      </c>
      <c r="DD96" s="100">
        <v>288903</v>
      </c>
      <c r="DE96" s="102">
        <v>840.11</v>
      </c>
      <c r="DF96" s="99"/>
      <c r="DG96" s="101">
        <v>78</v>
      </c>
      <c r="DH96" s="168" t="s">
        <v>381</v>
      </c>
    </row>
    <row r="97" spans="1:112">
      <c r="A97" s="20">
        <f t="shared" si="6"/>
        <v>45837</v>
      </c>
      <c r="B97" s="12">
        <f>YEAR([1]!Input_Raw[[#This Row],[Date]])+IF(MONTH([1]!Input_Raw[[#This Row],[Date]])&gt;=4,1,0)</f>
        <v>2026</v>
      </c>
      <c r="C97" s="13">
        <f>YEAR([1]!Input_Raw[[#This Row],[Date]])</f>
        <v>2025</v>
      </c>
      <c r="D97" s="14">
        <f t="shared" si="5"/>
        <v>45809</v>
      </c>
      <c r="E97" s="13">
        <f>DAY(EOMONTH([1]!Input_Raw[[#This Row],[Date]],0))</f>
        <v>30</v>
      </c>
      <c r="F97" s="15">
        <v>32497</v>
      </c>
      <c r="G97" s="15">
        <v>26743</v>
      </c>
      <c r="H97" s="15">
        <v>33083</v>
      </c>
      <c r="I97" s="15">
        <v>31234</v>
      </c>
      <c r="J97" s="15">
        <v>32456</v>
      </c>
      <c r="K97" s="15">
        <v>33975</v>
      </c>
      <c r="L97" s="15">
        <v>33976</v>
      </c>
      <c r="M97" s="15">
        <v>32509</v>
      </c>
      <c r="N97" s="15">
        <v>35763</v>
      </c>
      <c r="O97" s="15">
        <v>32865</v>
      </c>
      <c r="P97" s="15">
        <v>33008</v>
      </c>
      <c r="Q97" s="15">
        <v>34187</v>
      </c>
      <c r="R97" s="15">
        <v>33764</v>
      </c>
      <c r="S97" s="15">
        <v>33653</v>
      </c>
      <c r="T97" s="15">
        <v>33857</v>
      </c>
      <c r="U97" s="15">
        <v>33743</v>
      </c>
      <c r="V97" s="15">
        <v>0</v>
      </c>
      <c r="W97" s="15">
        <v>32632</v>
      </c>
      <c r="X97" s="15">
        <v>33764</v>
      </c>
      <c r="Y97" s="15">
        <v>33798</v>
      </c>
      <c r="Z97" s="15">
        <v>31176</v>
      </c>
      <c r="AA97" s="15">
        <v>31498</v>
      </c>
      <c r="AB97" s="15">
        <v>31241</v>
      </c>
      <c r="AC97" s="15">
        <v>31211</v>
      </c>
      <c r="AD97" s="15">
        <v>31542</v>
      </c>
      <c r="AE97" s="15">
        <v>31323</v>
      </c>
      <c r="AF97" s="15">
        <v>31230</v>
      </c>
      <c r="AG97" s="15">
        <v>0</v>
      </c>
      <c r="AH97" s="15">
        <v>31102</v>
      </c>
      <c r="AI97" s="15">
        <v>0</v>
      </c>
      <c r="AJ97" s="15">
        <v>29353</v>
      </c>
      <c r="AK97" s="15">
        <v>29554</v>
      </c>
      <c r="AL97" s="15">
        <v>29513</v>
      </c>
      <c r="AM97" s="15">
        <v>28990</v>
      </c>
      <c r="AN97" s="15">
        <v>29448</v>
      </c>
      <c r="AO97" s="15">
        <v>29151</v>
      </c>
      <c r="AP97" s="15">
        <v>29334</v>
      </c>
      <c r="AQ97" s="15">
        <v>29313</v>
      </c>
      <c r="AR97" s="15">
        <v>29160</v>
      </c>
      <c r="AS97" s="16">
        <v>10.009133333333331</v>
      </c>
      <c r="AT97" s="16">
        <v>11.64415</v>
      </c>
      <c r="AU97" s="16">
        <v>11.388865972222201</v>
      </c>
      <c r="AV97" s="16">
        <v>11.489820138888801</v>
      </c>
      <c r="AW97" s="16">
        <v>11.436682638888801</v>
      </c>
      <c r="AX97" s="16">
        <v>11.436682638888801</v>
      </c>
      <c r="AY97" s="16">
        <v>10.255392361111113</v>
      </c>
      <c r="AZ97" s="16">
        <v>10.497005555555553</v>
      </c>
      <c r="BA97" s="16">
        <v>9.5986527777777813</v>
      </c>
      <c r="BB97" s="16">
        <v>11.546421527777699</v>
      </c>
      <c r="BC97" s="16">
        <v>9.8759985185185215</v>
      </c>
      <c r="BD97" s="16">
        <v>9.8913888888888888</v>
      </c>
      <c r="BE97" s="16">
        <v>9.9845624999999956</v>
      </c>
      <c r="BF97" s="16">
        <v>10.208986111111111</v>
      </c>
      <c r="BG97" s="16">
        <v>9.719699300699304</v>
      </c>
      <c r="BH97" s="16">
        <v>10.530048611111107</v>
      </c>
      <c r="BI97" s="16">
        <v>0</v>
      </c>
      <c r="BJ97" s="16">
        <v>10.71285416666667</v>
      </c>
      <c r="BK97" s="16">
        <v>9.7111215277777756</v>
      </c>
      <c r="BL97" s="16">
        <v>9.9884652777777791</v>
      </c>
      <c r="BM97" s="16">
        <v>10.001610784313726</v>
      </c>
      <c r="BN97" s="16">
        <v>11.2498965277777</v>
      </c>
      <c r="BO97" s="16">
        <v>0</v>
      </c>
      <c r="BP97" s="16">
        <v>9.5017277777777807</v>
      </c>
      <c r="BQ97" s="16">
        <v>9.6424469026548714</v>
      </c>
      <c r="BR97" s="16">
        <v>11.414396527777701</v>
      </c>
      <c r="BS97" s="16">
        <v>8.869812499999993</v>
      </c>
      <c r="BT97" s="16">
        <v>0</v>
      </c>
      <c r="BU97" s="16">
        <v>10.443785039370001</v>
      </c>
      <c r="BV97" s="16">
        <v>0</v>
      </c>
      <c r="BW97" s="16">
        <v>9.7016604166666696</v>
      </c>
      <c r="BX97" s="16">
        <v>8.8289930555555536</v>
      </c>
      <c r="BY97" s="16">
        <v>10.7997444444444</v>
      </c>
      <c r="BZ97" s="16">
        <v>10.241205555555499</v>
      </c>
      <c r="CA97" s="16">
        <v>9.4702006944444399</v>
      </c>
      <c r="CB97" s="16">
        <v>9.928079577464791</v>
      </c>
      <c r="CC97" s="16">
        <v>10.7420604166666</v>
      </c>
      <c r="CD97" s="16">
        <v>10.6328381944444</v>
      </c>
      <c r="CE97" s="16">
        <v>9.8266972222222204</v>
      </c>
      <c r="CF97" s="17">
        <f>SUM(Input_Raw[[#This Row],[G01]:[G40]])</f>
        <v>1141646</v>
      </c>
      <c r="CG97" s="18">
        <f>IFERROR(AVERAGE(Input_Raw[[#This Row],[WS_G01]:[WS_G40]]),"")</f>
        <v>9.2620791662597863</v>
      </c>
      <c r="CH97" s="19"/>
      <c r="CI97" s="19"/>
      <c r="CJ97" s="15">
        <v>245423</v>
      </c>
      <c r="CK97" s="15">
        <v>2194</v>
      </c>
      <c r="CL97" s="15">
        <v>284644</v>
      </c>
      <c r="CM97" s="15">
        <v>2220</v>
      </c>
      <c r="CN97" s="15">
        <v>262076</v>
      </c>
      <c r="CO97" s="15">
        <v>1827</v>
      </c>
      <c r="CP97" s="15">
        <v>298349</v>
      </c>
      <c r="CQ97" s="15">
        <v>1873</v>
      </c>
      <c r="CR97" s="91">
        <f>IF(((Input_Raw[[#This Row],[33 kV_Wind_F1_Export reading]]-CJ96)*1200)&gt;0,(Input_Raw[[#This Row],[33 kV_Wind_F1_Export reading]]-CJ96)*1200,0)</f>
        <v>294000</v>
      </c>
      <c r="CS97" s="91">
        <f>IF(((Input_Raw[[#This Row],[33 kV_Wind_F1_Import reading]]-CK96)*1200)&gt;0,(Input_Raw[[#This Row],[33 kV_Wind_F1_Import reading]]-CK96)*1200,0)</f>
        <v>0</v>
      </c>
      <c r="CT97" s="91">
        <f>IF(((Input_Raw[[#This Row],[33 kV_Wind_F2_Export_reading]]-CL96)*1200)&gt;0,(Input_Raw[[#This Row],[33 kV_Wind_F2_Export_reading]]-CL96)*1200,0)</f>
        <v>236400</v>
      </c>
      <c r="CU97" s="91">
        <f>IF(((Input_Raw[[#This Row],[33 kV_Wind_F2_Import_reading]]-CM96)*1200)&gt;0,(Input_Raw[[#This Row],[33 kV_Wind_F2_Import_reading]]-CM96)*1200,0)</f>
        <v>0</v>
      </c>
      <c r="CV97" s="91">
        <f>IF(((Input_Raw[[#This Row],[33 kV_Wind_F3_Export_Reading]]-CN96)*1200)&gt;0,(Input_Raw[[#This Row],[33 kV_Wind_F3_Export_Reading]]-CN96)*1200,0)</f>
        <v>279600</v>
      </c>
      <c r="CW97" s="91">
        <f>IF(((Input_Raw[[#This Row],[33 kV_Wind_F3_Import_Reading]]-CO96)*1200)&gt;0,(Input_Raw[[#This Row],[33 kV_Wind_F3_Import_Reading]]-CO96)*1200,0)</f>
        <v>0</v>
      </c>
      <c r="CX97" s="91">
        <f>IF(((Input_Raw[[#This Row],[33 kV_Wind_F4_Export Reading]]-CP96)*1200)&gt;0,(Input_Raw[[#This Row],[33 kV_Wind_F4_Export Reading]]-CP96)*1200,0)</f>
        <v>316800</v>
      </c>
      <c r="CY97" s="172"/>
      <c r="CZ97" s="172">
        <f>Input_Raw[[#This Row],[33 kV_F1_Total_Export (KWh)]]+Input_Raw[[#This Row],[33 kV_F2_Total_Export (KWh)2]]+Input_Raw[[#This Row],[33 kV_Wind_F3_Export (KWh)]]+Input_Raw[[#This Row],[33 kV_Wind_F4_Export (KWh)]]</f>
        <v>1126800</v>
      </c>
      <c r="DA97" s="172">
        <f>Input_Raw[[#This Row],[33 kV_Wind_F1_Import (KWh)]]+Input_Raw[[#This Row],[33 kV_Wind_F2_Import (KWh)]]+Input_Raw[[#This Row],[33 kV_Wind_F3_Import (KWh)2]]+Input_Raw[[#This Row],[33 kV_Wind_F4_Import (KWh)2]]</f>
        <v>0</v>
      </c>
      <c r="DB97" s="21">
        <f>IFERROR(1-Input_Raw[[#This Row],[33 kV_Wind_Total_Export (KWh)]]/Input_Raw[[#This Row],[WTG Total Gneration (KWh)]],0)</f>
        <v>1.3004031021875417E-2</v>
      </c>
      <c r="DC97" s="100">
        <v>96</v>
      </c>
      <c r="DD97" s="100">
        <v>503826</v>
      </c>
      <c r="DE97" s="102">
        <v>1130.55</v>
      </c>
      <c r="DF97" s="99"/>
      <c r="DG97" s="101">
        <v>78</v>
      </c>
      <c r="DH97" s="168" t="s">
        <v>381</v>
      </c>
    </row>
    <row r="98" spans="1:112">
      <c r="A98" s="20">
        <f t="shared" si="6"/>
        <v>45838</v>
      </c>
      <c r="B98" s="12">
        <f>YEAR([1]!Input_Raw[[#This Row],[Date]])+IF(MONTH([1]!Input_Raw[[#This Row],[Date]])&gt;=4,1,0)</f>
        <v>2026</v>
      </c>
      <c r="C98" s="13">
        <f>YEAR([1]!Input_Raw[[#This Row],[Date]])</f>
        <v>2025</v>
      </c>
      <c r="D98" s="14">
        <f t="shared" si="5"/>
        <v>45809</v>
      </c>
      <c r="E98" s="13">
        <f>DAY(EOMONTH([1]!Input_Raw[[#This Row],[Date]],0))</f>
        <v>30</v>
      </c>
      <c r="F98" s="88">
        <v>23365</v>
      </c>
      <c r="G98" s="15">
        <v>23351</v>
      </c>
      <c r="H98" s="15">
        <v>23379</v>
      </c>
      <c r="I98" s="15">
        <v>23421</v>
      </c>
      <c r="J98" s="15">
        <v>22372</v>
      </c>
      <c r="K98" s="15">
        <v>23113</v>
      </c>
      <c r="L98" s="15">
        <v>23409</v>
      </c>
      <c r="M98" s="15">
        <v>23341</v>
      </c>
      <c r="N98" s="15">
        <v>25214</v>
      </c>
      <c r="O98" s="15">
        <v>23326</v>
      </c>
      <c r="P98" s="15">
        <v>23406</v>
      </c>
      <c r="Q98" s="15">
        <v>24354</v>
      </c>
      <c r="R98" s="15">
        <v>24254</v>
      </c>
      <c r="S98" s="15">
        <v>24260</v>
      </c>
      <c r="T98" s="15">
        <v>24350</v>
      </c>
      <c r="U98" s="15">
        <v>24309</v>
      </c>
      <c r="V98" s="15">
        <v>0</v>
      </c>
      <c r="W98" s="15">
        <v>24213</v>
      </c>
      <c r="X98" s="15">
        <v>24265</v>
      </c>
      <c r="Y98" s="15">
        <v>24871</v>
      </c>
      <c r="Z98" s="15">
        <v>22310</v>
      </c>
      <c r="AA98" s="15">
        <v>22442</v>
      </c>
      <c r="AB98" s="15">
        <v>22364</v>
      </c>
      <c r="AC98" s="15">
        <v>22432</v>
      </c>
      <c r="AD98" s="15">
        <v>22345</v>
      </c>
      <c r="AE98" s="15">
        <v>22312</v>
      </c>
      <c r="AF98" s="15">
        <v>22323</v>
      </c>
      <c r="AG98" s="15">
        <v>0</v>
      </c>
      <c r="AH98" s="15">
        <v>22127</v>
      </c>
      <c r="AI98" s="15">
        <v>0</v>
      </c>
      <c r="AJ98" s="15">
        <v>20262</v>
      </c>
      <c r="AK98" s="15">
        <v>20183</v>
      </c>
      <c r="AL98" s="15">
        <v>20131</v>
      </c>
      <c r="AM98" s="15">
        <v>20324</v>
      </c>
      <c r="AN98" s="15">
        <v>20212</v>
      </c>
      <c r="AO98" s="15">
        <v>20164</v>
      </c>
      <c r="AP98" s="15">
        <v>20178</v>
      </c>
      <c r="AQ98" s="15">
        <v>20134</v>
      </c>
      <c r="AR98" s="15">
        <v>20212</v>
      </c>
      <c r="AS98" s="16">
        <v>7.28</v>
      </c>
      <c r="AT98" s="16">
        <v>7.74</v>
      </c>
      <c r="AU98" s="16">
        <v>7.38</v>
      </c>
      <c r="AV98" s="16">
        <v>7.5</v>
      </c>
      <c r="AW98" s="16">
        <v>6.95</v>
      </c>
      <c r="AX98" s="16">
        <v>6.64</v>
      </c>
      <c r="AY98" s="89">
        <v>7.2</v>
      </c>
      <c r="AZ98" s="16">
        <v>7.59</v>
      </c>
      <c r="BA98" s="16">
        <v>7.79</v>
      </c>
      <c r="BB98" s="16">
        <v>7.37</v>
      </c>
      <c r="BC98" s="16">
        <v>7.73</v>
      </c>
      <c r="BD98" s="16">
        <v>7.52</v>
      </c>
      <c r="BE98" s="16">
        <v>7.72</v>
      </c>
      <c r="BF98" s="16">
        <v>7.67</v>
      </c>
      <c r="BG98" s="16">
        <v>7.75</v>
      </c>
      <c r="BH98" s="16">
        <v>7.66</v>
      </c>
      <c r="BI98" s="16">
        <v>0</v>
      </c>
      <c r="BJ98" s="16">
        <v>7.44</v>
      </c>
      <c r="BK98" s="16">
        <v>8.44</v>
      </c>
      <c r="BL98" s="16">
        <v>7.02</v>
      </c>
      <c r="BM98" s="16">
        <v>6.9</v>
      </c>
      <c r="BN98" s="16">
        <v>7.2</v>
      </c>
      <c r="BO98" s="16">
        <v>7.24</v>
      </c>
      <c r="BP98" s="16">
        <v>7.4</v>
      </c>
      <c r="BQ98" s="16">
        <v>7.39</v>
      </c>
      <c r="BR98" s="16">
        <v>7.05</v>
      </c>
      <c r="BS98" s="16">
        <v>6.74</v>
      </c>
      <c r="BT98" s="16">
        <v>0</v>
      </c>
      <c r="BU98" s="16">
        <v>7.37</v>
      </c>
      <c r="BV98" s="16">
        <v>0</v>
      </c>
      <c r="BW98" s="16">
        <v>6.79</v>
      </c>
      <c r="BX98" s="16">
        <v>6.65</v>
      </c>
      <c r="BY98" s="16">
        <v>6.54</v>
      </c>
      <c r="BZ98" s="16">
        <v>7.02</v>
      </c>
      <c r="CA98" s="16">
        <v>7.65</v>
      </c>
      <c r="CB98" s="16">
        <v>7.66</v>
      </c>
      <c r="CC98" s="16">
        <v>6.74</v>
      </c>
      <c r="CD98" s="16">
        <v>6.53</v>
      </c>
      <c r="CE98" s="16">
        <v>7.19</v>
      </c>
      <c r="CF98" s="17">
        <f>SUM(Input_Raw[[#This Row],[G01]:[G40]])</f>
        <v>813028</v>
      </c>
      <c r="CG98" s="18">
        <f>IFERROR(AVERAGE(Input_Raw[[#This Row],[WS_G01]:[WS_G40]]),"")</f>
        <v>6.7294871794871804</v>
      </c>
      <c r="CH98" s="19"/>
      <c r="CI98" s="19"/>
      <c r="CJ98" s="15">
        <v>245577</v>
      </c>
      <c r="CK98" s="15">
        <v>2194</v>
      </c>
      <c r="CL98" s="15">
        <v>284780</v>
      </c>
      <c r="CM98" s="15">
        <v>2220</v>
      </c>
      <c r="CN98" s="15">
        <v>262255</v>
      </c>
      <c r="CO98" s="15">
        <v>1827</v>
      </c>
      <c r="CP98" s="15">
        <v>298545</v>
      </c>
      <c r="CQ98" s="15">
        <v>1873</v>
      </c>
      <c r="CR98" s="91">
        <f>IF(((Input_Raw[[#This Row],[33 kV_Wind_F1_Export reading]]-CJ97)*1200)&gt;0,(Input_Raw[[#This Row],[33 kV_Wind_F1_Export reading]]-CJ97)*1200,0)</f>
        <v>184800</v>
      </c>
      <c r="CS98" s="91">
        <f>IF(((Input_Raw[[#This Row],[33 kV_Wind_F1_Import reading]]-CK97)*1200)&gt;0,(Input_Raw[[#This Row],[33 kV_Wind_F1_Import reading]]-CK97)*1200,0)</f>
        <v>0</v>
      </c>
      <c r="CT98" s="91">
        <f>IF(((Input_Raw[[#This Row],[33 kV_Wind_F2_Export_reading]]-CL97)*1200)&gt;0,(Input_Raw[[#This Row],[33 kV_Wind_F2_Export_reading]]-CL97)*1200,0)</f>
        <v>163200</v>
      </c>
      <c r="CU98" s="91">
        <f>IF(((Input_Raw[[#This Row],[33 kV_Wind_F2_Import_reading]]-CM97)*1200)&gt;0,(Input_Raw[[#This Row],[33 kV_Wind_F2_Import_reading]]-CM97)*1200,0)</f>
        <v>0</v>
      </c>
      <c r="CV98" s="91">
        <f>IF(((Input_Raw[[#This Row],[33 kV_Wind_F3_Export_Reading]]-CN97)*1200)&gt;0,(Input_Raw[[#This Row],[33 kV_Wind_F3_Export_Reading]]-CN97)*1200,0)</f>
        <v>214800</v>
      </c>
      <c r="CW98" s="91">
        <f>IF(((Input_Raw[[#This Row],[33 kV_Wind_F3_Import_Reading]]-CO97)*1200)&gt;0,(Input_Raw[[#This Row],[33 kV_Wind_F3_Import_Reading]]-CO97)*1200,0)</f>
        <v>0</v>
      </c>
      <c r="CX98" s="91">
        <f>IF(((Input_Raw[[#This Row],[33 kV_Wind_F4_Export Reading]]-CP97)*1200)&gt;0,(Input_Raw[[#This Row],[33 kV_Wind_F4_Export Reading]]-CP97)*1200,0)</f>
        <v>235200</v>
      </c>
      <c r="CY98" s="172"/>
      <c r="CZ98" s="172">
        <f>Input_Raw[[#This Row],[33 kV_F1_Total_Export (KWh)]]+Input_Raw[[#This Row],[33 kV_F2_Total_Export (KWh)2]]+Input_Raw[[#This Row],[33 kV_Wind_F3_Export (KWh)]]+Input_Raw[[#This Row],[33 kV_Wind_F4_Export (KWh)]]</f>
        <v>798000</v>
      </c>
      <c r="DA98" s="172">
        <f>Input_Raw[[#This Row],[33 kV_Wind_F1_Import (KWh)]]+Input_Raw[[#This Row],[33 kV_Wind_F2_Import (KWh)]]+Input_Raw[[#This Row],[33 kV_Wind_F3_Import (KWh)2]]+Input_Raw[[#This Row],[33 kV_Wind_F4_Import (KWh)2]]</f>
        <v>0</v>
      </c>
      <c r="DB98" s="21">
        <f>IFERROR(1-Input_Raw[[#This Row],[33 kV_Wind_Total_Export (KWh)]]/Input_Raw[[#This Row],[WTG Total Gneration (KWh)]],0)</f>
        <v>1.8483988251327133E-2</v>
      </c>
      <c r="DC98" s="100">
        <v>96</v>
      </c>
      <c r="DD98" s="100">
        <v>262228</v>
      </c>
      <c r="DE98" s="102">
        <v>801.43</v>
      </c>
      <c r="DF98" s="99"/>
      <c r="DG98" s="101">
        <v>78</v>
      </c>
      <c r="DH98" s="168" t="s">
        <v>381</v>
      </c>
    </row>
    <row r="99" spans="1:112">
      <c r="A99" s="20">
        <f t="shared" si="6"/>
        <v>45839</v>
      </c>
      <c r="B99" s="12">
        <f>YEAR([1]!Input_Raw[[#This Row],[Date]])+IF(MONTH([1]!Input_Raw[[#This Row],[Date]])&gt;=4,1,0)</f>
        <v>2026</v>
      </c>
      <c r="C99" s="13">
        <f>YEAR([1]!Input_Raw[[#This Row],[Date]])</f>
        <v>2025</v>
      </c>
      <c r="D99" s="14">
        <f t="shared" si="5"/>
        <v>45839</v>
      </c>
      <c r="E99" s="13">
        <f>DAY(EOMONTH([1]!Input_Raw[[#This Row],[Date]],0))</f>
        <v>31</v>
      </c>
      <c r="F99" s="15">
        <v>23955</v>
      </c>
      <c r="G99" s="15">
        <v>23954</v>
      </c>
      <c r="H99" s="15">
        <v>23950</v>
      </c>
      <c r="I99" s="15">
        <v>24000</v>
      </c>
      <c r="J99" s="15">
        <v>21100</v>
      </c>
      <c r="K99" s="15">
        <v>23955</v>
      </c>
      <c r="L99" s="15">
        <v>23954</v>
      </c>
      <c r="M99" s="15">
        <v>23956</v>
      </c>
      <c r="N99" s="15">
        <v>27822</v>
      </c>
      <c r="O99" s="15">
        <v>24000</v>
      </c>
      <c r="P99" s="15">
        <v>23955</v>
      </c>
      <c r="Q99" s="15">
        <v>27822</v>
      </c>
      <c r="R99" s="15">
        <v>27820</v>
      </c>
      <c r="S99" s="15">
        <v>27824</v>
      </c>
      <c r="T99" s="15">
        <v>27822</v>
      </c>
      <c r="U99" s="15">
        <v>27824</v>
      </c>
      <c r="V99" s="15">
        <v>0</v>
      </c>
      <c r="W99" s="15">
        <v>27820</v>
      </c>
      <c r="X99" s="15">
        <v>27822</v>
      </c>
      <c r="Y99" s="15">
        <v>27822</v>
      </c>
      <c r="Z99" s="15">
        <v>21150</v>
      </c>
      <c r="AA99" s="15">
        <v>19050</v>
      </c>
      <c r="AB99" s="15">
        <v>22110</v>
      </c>
      <c r="AC99" s="15">
        <v>22090</v>
      </c>
      <c r="AD99" s="15">
        <v>20160</v>
      </c>
      <c r="AE99" s="15">
        <v>21100</v>
      </c>
      <c r="AF99" s="15">
        <v>21101</v>
      </c>
      <c r="AG99" s="15">
        <v>0</v>
      </c>
      <c r="AH99" s="15">
        <v>21100</v>
      </c>
      <c r="AI99" s="15">
        <v>0</v>
      </c>
      <c r="AJ99" s="15">
        <v>17260</v>
      </c>
      <c r="AK99" s="15">
        <v>19181</v>
      </c>
      <c r="AL99" s="15">
        <v>19230</v>
      </c>
      <c r="AM99" s="15">
        <v>19380</v>
      </c>
      <c r="AN99" s="15">
        <v>19220</v>
      </c>
      <c r="AO99" s="15">
        <v>19151</v>
      </c>
      <c r="AP99" s="15">
        <v>19239</v>
      </c>
      <c r="AQ99" s="15">
        <v>19350</v>
      </c>
      <c r="AR99" s="15">
        <v>19460</v>
      </c>
      <c r="AS99" s="16">
        <v>6.3055555555555545</v>
      </c>
      <c r="AT99" s="16">
        <v>5.2876624999999988</v>
      </c>
      <c r="AU99" s="16">
        <v>5.3705000000000007</v>
      </c>
      <c r="AV99" s="16">
        <v>5.0465361111111111</v>
      </c>
      <c r="AW99" s="16">
        <v>5.8957361111111117</v>
      </c>
      <c r="AX99" s="16">
        <v>5.8957361111111117</v>
      </c>
      <c r="AY99" s="16">
        <v>5.8117013888888884</v>
      </c>
      <c r="AZ99" s="16">
        <v>6.2648402777777781</v>
      </c>
      <c r="BA99" s="16">
        <v>4.8664374999999991</v>
      </c>
      <c r="BB99" s="16">
        <v>5.6271666666666667</v>
      </c>
      <c r="BC99" s="16">
        <v>5.7042083333333338</v>
      </c>
      <c r="BD99" s="16">
        <v>5.521229166666668</v>
      </c>
      <c r="BE99" s="16">
        <v>5.7344027777777802</v>
      </c>
      <c r="BF99" s="16">
        <v>6.0184652777777803</v>
      </c>
      <c r="BG99" s="16">
        <v>5.5627708333333317</v>
      </c>
      <c r="BH99" s="16">
        <v>6.2912430555555545</v>
      </c>
      <c r="BI99" s="16">
        <v>0</v>
      </c>
      <c r="BJ99" s="16">
        <v>6.109395833333334</v>
      </c>
      <c r="BK99" s="16">
        <v>6.4610694444444432</v>
      </c>
      <c r="BL99" s="16">
        <v>5.9728426086956548</v>
      </c>
      <c r="BM99" s="16">
        <v>4.9143090909090903</v>
      </c>
      <c r="BN99" s="16">
        <v>5.1144638888888885</v>
      </c>
      <c r="BO99" s="16">
        <v>5.3359777777777788</v>
      </c>
      <c r="BP99" s="16">
        <v>5.0754985294117674</v>
      </c>
      <c r="BQ99" s="16">
        <v>5.3434958333333338</v>
      </c>
      <c r="BR99" s="16">
        <v>5.0553076388888858</v>
      </c>
      <c r="BS99" s="16">
        <v>5.4</v>
      </c>
      <c r="BT99" s="16">
        <v>0</v>
      </c>
      <c r="BU99" s="16">
        <v>5.5</v>
      </c>
      <c r="BV99" s="16">
        <v>0</v>
      </c>
      <c r="BW99" s="16">
        <v>4.9764632352941165</v>
      </c>
      <c r="BX99" s="16">
        <v>5.2576333333333336</v>
      </c>
      <c r="BY99" s="16">
        <v>5.670325663716814</v>
      </c>
      <c r="BZ99" s="16">
        <v>5.5863234234234236</v>
      </c>
      <c r="CA99" s="16">
        <v>5.4673336283185847</v>
      </c>
      <c r="CB99" s="16">
        <v>5.2683985294117646</v>
      </c>
      <c r="CC99" s="16">
        <v>5.2848022058823538</v>
      </c>
      <c r="CD99" s="16">
        <v>5.2838499999999984</v>
      </c>
      <c r="CE99" s="16">
        <v>6.9</v>
      </c>
      <c r="CF99" s="17">
        <f>SUM(Input_Raw[[#This Row],[G01]:[G40]])</f>
        <v>826509</v>
      </c>
      <c r="CG99" s="18">
        <f>IFERROR(AVERAGE(Input_Raw[[#This Row],[WS_G01]:[WS_G40]]),"")</f>
        <v>5.1585046751725709</v>
      </c>
      <c r="CH99" s="19"/>
      <c r="CI99" s="19"/>
      <c r="CJ99" s="15">
        <v>245736</v>
      </c>
      <c r="CK99" s="15">
        <v>2194</v>
      </c>
      <c r="CL99" s="15">
        <v>284920</v>
      </c>
      <c r="CM99" s="15">
        <v>2220</v>
      </c>
      <c r="CN99" s="15">
        <v>262434</v>
      </c>
      <c r="CO99" s="15">
        <v>1827</v>
      </c>
      <c r="CP99" s="15">
        <v>298753</v>
      </c>
      <c r="CQ99" s="15">
        <v>1873</v>
      </c>
      <c r="CR99" s="91">
        <f>IF(((Input_Raw[[#This Row],[33 kV_Wind_F1_Export reading]]-CJ98)*1200)&gt;0,(Input_Raw[[#This Row],[33 kV_Wind_F1_Export reading]]-CJ98)*1200,0)</f>
        <v>190800</v>
      </c>
      <c r="CS99" s="91">
        <f>IF(((Input_Raw[[#This Row],[33 kV_Wind_F1_Import reading]]-CK98)*1200)&gt;0,(Input_Raw[[#This Row],[33 kV_Wind_F1_Import reading]]-CK98)*1200,0)</f>
        <v>0</v>
      </c>
      <c r="CT99" s="91">
        <f>IF(((Input_Raw[[#This Row],[33 kV_Wind_F2_Export_reading]]-CL98)*1200)&gt;0,(Input_Raw[[#This Row],[33 kV_Wind_F2_Export_reading]]-CL98)*1200,0)</f>
        <v>168000</v>
      </c>
      <c r="CU99" s="91">
        <f>IF(((Input_Raw[[#This Row],[33 kV_Wind_F2_Import_reading]]-CM98)*1200)&gt;0,(Input_Raw[[#This Row],[33 kV_Wind_F2_Import_reading]]-CM98)*1200,0)</f>
        <v>0</v>
      </c>
      <c r="CV99" s="91">
        <f>IF(((Input_Raw[[#This Row],[33 kV_Wind_F3_Export_Reading]]-CN98)*1200)&gt;0,(Input_Raw[[#This Row],[33 kV_Wind_F3_Export_Reading]]-CN98)*1200,0)</f>
        <v>214800</v>
      </c>
      <c r="CW99" s="91">
        <f>IF(((Input_Raw[[#This Row],[33 kV_Wind_F3_Import_Reading]]-CO98)*1200)&gt;0,(Input_Raw[[#This Row],[33 kV_Wind_F3_Import_Reading]]-CO98)*1200,0)</f>
        <v>0</v>
      </c>
      <c r="CX99" s="91">
        <f>IF(((Input_Raw[[#This Row],[33 kV_Wind_F4_Export Reading]]-CP98)*1200)&gt;0,(Input_Raw[[#This Row],[33 kV_Wind_F4_Export Reading]]-CP98)*1200,0)</f>
        <v>249600</v>
      </c>
      <c r="CY99" s="172"/>
      <c r="CZ99" s="172">
        <f>Input_Raw[[#This Row],[33 kV_F1_Total_Export (KWh)]]+Input_Raw[[#This Row],[33 kV_F2_Total_Export (KWh)2]]+Input_Raw[[#This Row],[33 kV_Wind_F3_Export (KWh)]]+Input_Raw[[#This Row],[33 kV_Wind_F4_Export (KWh)]]</f>
        <v>823200</v>
      </c>
      <c r="DA99" s="172">
        <f>Input_Raw[[#This Row],[33 kV_Wind_F1_Import (KWh)]]+Input_Raw[[#This Row],[33 kV_Wind_F2_Import (KWh)]]+Input_Raw[[#This Row],[33 kV_Wind_F3_Import (KWh)2]]+Input_Raw[[#This Row],[33 kV_Wind_F4_Import (KWh)2]]</f>
        <v>0</v>
      </c>
      <c r="DB99" s="21">
        <f>IFERROR(1-Input_Raw[[#This Row],[33 kV_Wind_Total_Export (KWh)]]/Input_Raw[[#This Row],[WTG Total Gneration (KWh)]],0)</f>
        <v>4.0035861678456852E-3</v>
      </c>
      <c r="DC99" s="100">
        <v>93</v>
      </c>
      <c r="DD99" s="100">
        <v>271409</v>
      </c>
      <c r="DE99" s="102">
        <v>826.51</v>
      </c>
      <c r="DF99" s="99"/>
      <c r="DG99" s="101">
        <v>78</v>
      </c>
      <c r="DH99" s="168" t="s">
        <v>381</v>
      </c>
    </row>
    <row r="100" spans="1:112">
      <c r="A100" s="20">
        <f t="shared" si="6"/>
        <v>45840</v>
      </c>
      <c r="B100" s="12">
        <f>YEAR([1]!Input_Raw[[#This Row],[Date]])+IF(MONTH([1]!Input_Raw[[#This Row],[Date]])&gt;=4,1,0)</f>
        <v>2026</v>
      </c>
      <c r="C100" s="13">
        <f>YEAR([1]!Input_Raw[[#This Row],[Date]])</f>
        <v>2025</v>
      </c>
      <c r="D100" s="14">
        <f t="shared" si="5"/>
        <v>45839</v>
      </c>
      <c r="E100" s="13">
        <f>DAY(EOMONTH([1]!Input_Raw[[#This Row],[Date]],0))</f>
        <v>31</v>
      </c>
      <c r="F100" s="15">
        <v>21422</v>
      </c>
      <c r="G100" s="15">
        <v>21420</v>
      </c>
      <c r="H100" s="15">
        <v>21424</v>
      </c>
      <c r="I100" s="15">
        <v>21418</v>
      </c>
      <c r="J100" s="15">
        <v>24240</v>
      </c>
      <c r="K100" s="15">
        <v>21424</v>
      </c>
      <c r="L100" s="15">
        <v>21430</v>
      </c>
      <c r="M100" s="15">
        <v>21414</v>
      </c>
      <c r="N100" s="15">
        <v>25021</v>
      </c>
      <c r="O100" s="15">
        <v>21423</v>
      </c>
      <c r="P100" s="15">
        <v>21422</v>
      </c>
      <c r="Q100" s="15">
        <v>25030</v>
      </c>
      <c r="R100" s="15">
        <v>25014</v>
      </c>
      <c r="S100" s="15">
        <v>25022</v>
      </c>
      <c r="T100" s="15">
        <v>25025</v>
      </c>
      <c r="U100" s="15">
        <v>25019</v>
      </c>
      <c r="V100" s="15">
        <v>0</v>
      </c>
      <c r="W100" s="15">
        <v>25020</v>
      </c>
      <c r="X100" s="15">
        <v>25024</v>
      </c>
      <c r="Y100" s="15">
        <v>25022</v>
      </c>
      <c r="Z100" s="15">
        <v>24260</v>
      </c>
      <c r="AA100" s="15">
        <v>24252</v>
      </c>
      <c r="AB100" s="15">
        <v>24248</v>
      </c>
      <c r="AC100" s="15">
        <v>24250</v>
      </c>
      <c r="AD100" s="15">
        <v>16280</v>
      </c>
      <c r="AE100" s="15">
        <v>24550</v>
      </c>
      <c r="AF100" s="15">
        <v>24200</v>
      </c>
      <c r="AG100" s="15">
        <v>0</v>
      </c>
      <c r="AH100" s="15">
        <v>24001</v>
      </c>
      <c r="AI100" s="15">
        <v>0</v>
      </c>
      <c r="AJ100" s="15">
        <v>16279</v>
      </c>
      <c r="AK100" s="15">
        <v>16281</v>
      </c>
      <c r="AL100" s="15">
        <v>16278</v>
      </c>
      <c r="AM100" s="15">
        <v>16282</v>
      </c>
      <c r="AN100" s="15">
        <v>16270</v>
      </c>
      <c r="AO100" s="15">
        <v>16290</v>
      </c>
      <c r="AP100" s="15">
        <v>16285</v>
      </c>
      <c r="AQ100" s="15">
        <v>16275</v>
      </c>
      <c r="AR100" s="15">
        <v>16280</v>
      </c>
      <c r="AS100" s="16">
        <v>5.0754985294117674</v>
      </c>
      <c r="AT100" s="16">
        <v>5.3434958333333338</v>
      </c>
      <c r="AU100" s="16">
        <v>5.0553076388888858</v>
      </c>
      <c r="AV100" s="16">
        <v>5.8</v>
      </c>
      <c r="AW100" s="16">
        <v>5</v>
      </c>
      <c r="AX100" s="16">
        <v>5.4</v>
      </c>
      <c r="AY100" s="16">
        <v>4.9429823529411756</v>
      </c>
      <c r="AZ100" s="16">
        <v>4.9764632352941165</v>
      </c>
      <c r="BA100" s="16">
        <v>5.2576333333333336</v>
      </c>
      <c r="BB100" s="16">
        <v>5.670325663716814</v>
      </c>
      <c r="BC100" s="16">
        <v>5.5863234234234236</v>
      </c>
      <c r="BD100" s="16">
        <v>5.4673336283185847</v>
      </c>
      <c r="BE100" s="16">
        <v>5.2683985294117646</v>
      </c>
      <c r="BF100" s="16">
        <v>5.2848022058823538</v>
      </c>
      <c r="BG100" s="16">
        <v>5.2838499999999984</v>
      </c>
      <c r="BH100" s="16">
        <v>5.0754985294117674</v>
      </c>
      <c r="BI100" s="16">
        <v>0</v>
      </c>
      <c r="BJ100" s="16">
        <v>5.0553076388888858</v>
      </c>
      <c r="BK100" s="16">
        <v>5.8</v>
      </c>
      <c r="BL100" s="16">
        <v>5.3</v>
      </c>
      <c r="BM100" s="16">
        <v>5.9</v>
      </c>
      <c r="BN100" s="16">
        <v>4.9429823529411756</v>
      </c>
      <c r="BO100" s="16">
        <v>4.9764632352941165</v>
      </c>
      <c r="BP100" s="16">
        <v>5.2576333333333336</v>
      </c>
      <c r="BQ100" s="16">
        <v>5.670325663716814</v>
      </c>
      <c r="BR100" s="16">
        <v>5.5863234234234236</v>
      </c>
      <c r="BS100" s="16">
        <v>5.4673336283185847</v>
      </c>
      <c r="BT100" s="16">
        <v>0</v>
      </c>
      <c r="BU100" s="16">
        <v>5.2848022058823538</v>
      </c>
      <c r="BV100" s="16">
        <v>0</v>
      </c>
      <c r="BW100" s="16">
        <v>5.5</v>
      </c>
      <c r="BX100" s="16">
        <v>5.3</v>
      </c>
      <c r="BY100" s="16">
        <v>6.7</v>
      </c>
      <c r="BZ100" s="16">
        <v>6.1</v>
      </c>
      <c r="CA100" s="16">
        <v>5.2</v>
      </c>
      <c r="CB100" s="16">
        <v>5.7</v>
      </c>
      <c r="CC100" s="16">
        <v>5.2</v>
      </c>
      <c r="CD100" s="16">
        <v>5.9</v>
      </c>
      <c r="CE100" s="16">
        <v>5.7</v>
      </c>
      <c r="CF100" s="17">
        <f>SUM(Input_Raw[[#This Row],[G01]:[G40]])</f>
        <v>774795</v>
      </c>
      <c r="CG100" s="18">
        <f>IFERROR(AVERAGE(Input_Raw[[#This Row],[WS_G01]:[WS_G40]]),"")</f>
        <v>5.000745753465794</v>
      </c>
      <c r="CH100" s="19"/>
      <c r="CI100" s="19"/>
      <c r="CJ100" s="15">
        <v>245871</v>
      </c>
      <c r="CK100" s="15">
        <v>2194</v>
      </c>
      <c r="CL100" s="15">
        <v>285081</v>
      </c>
      <c r="CM100" s="15">
        <v>2220</v>
      </c>
      <c r="CN100" s="15">
        <v>262594</v>
      </c>
      <c r="CO100" s="15">
        <v>1827</v>
      </c>
      <c r="CP100" s="15">
        <v>298940</v>
      </c>
      <c r="CQ100" s="15">
        <v>1873</v>
      </c>
      <c r="CR100" s="91">
        <f>IF(((Input_Raw[[#This Row],[33 kV_Wind_F1_Export reading]]-CJ99)*1200)&gt;0,(Input_Raw[[#This Row],[33 kV_Wind_F1_Export reading]]-CJ99)*1200,0)</f>
        <v>162000</v>
      </c>
      <c r="CS100" s="91">
        <f>IF(((Input_Raw[[#This Row],[33 kV_Wind_F1_Import reading]]-CK99)*1200)&gt;0,(Input_Raw[[#This Row],[33 kV_Wind_F1_Import reading]]-CK99)*1200,0)</f>
        <v>0</v>
      </c>
      <c r="CT100" s="91">
        <f>IF(((Input_Raw[[#This Row],[33 kV_Wind_F2_Export_reading]]-CL99)*1200)&gt;0,(Input_Raw[[#This Row],[33 kV_Wind_F2_Export_reading]]-CL99)*1200,0)</f>
        <v>193200</v>
      </c>
      <c r="CU100" s="91">
        <f>IF(((Input_Raw[[#This Row],[33 kV_Wind_F2_Import_reading]]-CM99)*1200)&gt;0,(Input_Raw[[#This Row],[33 kV_Wind_F2_Import_reading]]-CM99)*1200,0)</f>
        <v>0</v>
      </c>
      <c r="CV100" s="91">
        <f>IF(((Input_Raw[[#This Row],[33 kV_Wind_F3_Export_Reading]]-CN99)*1200)&gt;0,(Input_Raw[[#This Row],[33 kV_Wind_F3_Export_Reading]]-CN99)*1200,0)</f>
        <v>192000</v>
      </c>
      <c r="CW100" s="91">
        <f>IF(((Input_Raw[[#This Row],[33 kV_Wind_F3_Import_Reading]]-CO99)*1200)&gt;0,(Input_Raw[[#This Row],[33 kV_Wind_F3_Import_Reading]]-CO99)*1200,0)</f>
        <v>0</v>
      </c>
      <c r="CX100" s="91">
        <f>IF(((Input_Raw[[#This Row],[33 kV_Wind_F4_Export Reading]]-CP99)*1200)&gt;0,(Input_Raw[[#This Row],[33 kV_Wind_F4_Export Reading]]-CP99)*1200,0)</f>
        <v>224400</v>
      </c>
      <c r="CY100" s="172"/>
      <c r="CZ100" s="172">
        <f>Input_Raw[[#This Row],[33 kV_F1_Total_Export (KWh)]]+Input_Raw[[#This Row],[33 kV_F2_Total_Export (KWh)2]]+Input_Raw[[#This Row],[33 kV_Wind_F3_Export (KWh)]]+Input_Raw[[#This Row],[33 kV_Wind_F4_Export (KWh)]]</f>
        <v>771600</v>
      </c>
      <c r="DA100" s="172">
        <f>Input_Raw[[#This Row],[33 kV_Wind_F1_Import (KWh)]]+Input_Raw[[#This Row],[33 kV_Wind_F2_Import (KWh)]]+Input_Raw[[#This Row],[33 kV_Wind_F3_Import (KWh)2]]+Input_Raw[[#This Row],[33 kV_Wind_F4_Import (KWh)2]]</f>
        <v>0</v>
      </c>
      <c r="DB100" s="21">
        <f>IFERROR(1-Input_Raw[[#This Row],[33 kV_Wind_Total_Export (KWh)]]/Input_Raw[[#This Row],[WTG Total Gneration (KWh)]],0)</f>
        <v>4.1236714227634863E-3</v>
      </c>
      <c r="DC100" s="100">
        <v>96</v>
      </c>
      <c r="DD100" s="100">
        <v>203118</v>
      </c>
      <c r="DE100" s="102">
        <f>Input_Raw[[#This Row],[WTG Total Gneration (KWh)]]/1000</f>
        <v>774.79499999999996</v>
      </c>
      <c r="DF100" s="99"/>
      <c r="DG100" s="101">
        <v>78</v>
      </c>
      <c r="DH100" s="168" t="s">
        <v>381</v>
      </c>
    </row>
    <row r="101" spans="1:112">
      <c r="A101" s="20">
        <f t="shared" si="6"/>
        <v>45841</v>
      </c>
      <c r="B101" s="12">
        <f>YEAR([1]!Input_Raw[[#This Row],[Date]])+IF(MONTH([1]!Input_Raw[[#This Row],[Date]])&gt;=4,1,0)</f>
        <v>2026</v>
      </c>
      <c r="C101" s="13">
        <f>YEAR([1]!Input_Raw[[#This Row],[Date]])</f>
        <v>2025</v>
      </c>
      <c r="D101" s="14">
        <f t="shared" si="5"/>
        <v>45839</v>
      </c>
      <c r="E101" s="13">
        <f>DAY(EOMONTH([1]!Input_Raw[[#This Row],[Date]],0))</f>
        <v>31</v>
      </c>
      <c r="F101" s="15">
        <v>27690</v>
      </c>
      <c r="G101" s="15">
        <v>27684</v>
      </c>
      <c r="H101" s="15">
        <v>27693</v>
      </c>
      <c r="I101" s="15">
        <v>27683</v>
      </c>
      <c r="J101" s="15">
        <v>21300</v>
      </c>
      <c r="K101" s="15">
        <v>27695</v>
      </c>
      <c r="L101" s="15">
        <v>27684</v>
      </c>
      <c r="M101" s="15">
        <v>27688</v>
      </c>
      <c r="N101" s="15">
        <v>29000</v>
      </c>
      <c r="O101" s="15">
        <v>27689</v>
      </c>
      <c r="P101" s="15">
        <v>27683</v>
      </c>
      <c r="Q101" s="15">
        <v>29855</v>
      </c>
      <c r="R101" s="15">
        <v>29855</v>
      </c>
      <c r="S101" s="15">
        <v>29852</v>
      </c>
      <c r="T101" s="15">
        <v>29580</v>
      </c>
      <c r="U101" s="15">
        <v>29855</v>
      </c>
      <c r="V101" s="15">
        <v>0</v>
      </c>
      <c r="W101" s="15">
        <v>28360</v>
      </c>
      <c r="X101" s="15">
        <v>29841</v>
      </c>
      <c r="Y101" s="15">
        <v>29845</v>
      </c>
      <c r="Z101" s="15">
        <v>20964</v>
      </c>
      <c r="AA101" s="15">
        <v>20876</v>
      </c>
      <c r="AB101" s="15">
        <v>20850</v>
      </c>
      <c r="AC101" s="15">
        <v>21242</v>
      </c>
      <c r="AD101" s="15">
        <v>29001</v>
      </c>
      <c r="AE101" s="15">
        <v>18876</v>
      </c>
      <c r="AF101" s="15">
        <v>21902</v>
      </c>
      <c r="AG101" s="15">
        <v>0</v>
      </c>
      <c r="AH101" s="15">
        <v>20400</v>
      </c>
      <c r="AI101" s="15">
        <v>0</v>
      </c>
      <c r="AJ101" s="15">
        <v>29005</v>
      </c>
      <c r="AK101" s="15">
        <v>28995</v>
      </c>
      <c r="AL101" s="15">
        <v>28985</v>
      </c>
      <c r="AM101" s="15">
        <v>29015</v>
      </c>
      <c r="AN101" s="15">
        <v>28988</v>
      </c>
      <c r="AO101" s="15">
        <v>29012</v>
      </c>
      <c r="AP101" s="15">
        <v>29010</v>
      </c>
      <c r="AQ101" s="15">
        <v>28990</v>
      </c>
      <c r="AR101" s="15">
        <v>29000</v>
      </c>
      <c r="AS101" s="16">
        <v>9.1</v>
      </c>
      <c r="AT101" s="16">
        <v>7.24</v>
      </c>
      <c r="AU101" s="16">
        <v>7.4</v>
      </c>
      <c r="AV101" s="16">
        <v>7.39</v>
      </c>
      <c r="AW101" s="16">
        <v>9.4</v>
      </c>
      <c r="AX101" s="16">
        <v>6.74</v>
      </c>
      <c r="AY101" s="16">
        <v>6.5</v>
      </c>
      <c r="AZ101" s="16">
        <v>9.6</v>
      </c>
      <c r="BA101" s="16">
        <v>6.3</v>
      </c>
      <c r="BB101" s="16">
        <v>9.6999999999999993</v>
      </c>
      <c r="BC101" s="16">
        <v>6.65</v>
      </c>
      <c r="BD101" s="16">
        <v>6.54</v>
      </c>
      <c r="BE101" s="16">
        <v>7.02</v>
      </c>
      <c r="BF101" s="16">
        <v>9.8000000000000007</v>
      </c>
      <c r="BG101" s="16">
        <v>9.8000000000000007</v>
      </c>
      <c r="BH101" s="16">
        <v>6.74</v>
      </c>
      <c r="BI101" s="16">
        <v>0</v>
      </c>
      <c r="BJ101" s="16">
        <v>9.6999999999999993</v>
      </c>
      <c r="BK101" s="16">
        <v>7.74</v>
      </c>
      <c r="BL101" s="16">
        <v>9.1</v>
      </c>
      <c r="BM101" s="16">
        <v>7.5</v>
      </c>
      <c r="BN101" s="16">
        <v>9.3000000000000007</v>
      </c>
      <c r="BO101" s="16">
        <v>6.64</v>
      </c>
      <c r="BP101" s="89">
        <v>9.5</v>
      </c>
      <c r="BQ101" s="16">
        <v>9.5</v>
      </c>
      <c r="BR101" s="16">
        <v>9.1999999999999993</v>
      </c>
      <c r="BS101" s="16">
        <v>7.37</v>
      </c>
      <c r="BT101" s="16">
        <v>0</v>
      </c>
      <c r="BU101" s="16">
        <v>7.52</v>
      </c>
      <c r="BV101" s="16">
        <v>0</v>
      </c>
      <c r="BW101" s="16">
        <v>7.67</v>
      </c>
      <c r="BX101" s="16">
        <v>7.75</v>
      </c>
      <c r="BY101" s="16">
        <v>9.7799999999999994</v>
      </c>
      <c r="BZ101" s="16">
        <v>8.3800000000000008</v>
      </c>
      <c r="CA101" s="16">
        <v>9.5</v>
      </c>
      <c r="CB101" s="16">
        <v>8.44</v>
      </c>
      <c r="CC101" s="16">
        <v>9.3000000000000007</v>
      </c>
      <c r="CD101" s="16">
        <v>6.9</v>
      </c>
      <c r="CE101" s="16">
        <v>6.2</v>
      </c>
      <c r="CF101" s="17">
        <f>SUM(Input_Raw[[#This Row],[G01]:[G40]])</f>
        <v>971643</v>
      </c>
      <c r="CG101" s="18">
        <f>IFERROR(AVERAGE(Input_Raw[[#This Row],[WS_G01]:[WS_G40]]),"")</f>
        <v>7.5105128205128198</v>
      </c>
      <c r="CH101" s="19"/>
      <c r="CI101" s="19"/>
      <c r="CJ101" s="15">
        <v>246112</v>
      </c>
      <c r="CK101" s="15">
        <v>2194</v>
      </c>
      <c r="CL101" s="15">
        <v>285219</v>
      </c>
      <c r="CM101" s="15">
        <v>2220</v>
      </c>
      <c r="CN101" s="15">
        <v>262801</v>
      </c>
      <c r="CO101" s="15">
        <v>1827</v>
      </c>
      <c r="CP101" s="15">
        <v>299161</v>
      </c>
      <c r="CQ101" s="15">
        <v>1873</v>
      </c>
      <c r="CR101" s="91">
        <f>IF(((Input_Raw[[#This Row],[33 kV_Wind_F1_Export reading]]-CJ100)*1200)&gt;0,(Input_Raw[[#This Row],[33 kV_Wind_F1_Export reading]]-CJ100)*1200,0)</f>
        <v>289200</v>
      </c>
      <c r="CS101" s="91">
        <f>IF(((Input_Raw[[#This Row],[33 kV_Wind_F1_Import reading]]-CK100)*1200)&gt;0,(Input_Raw[[#This Row],[33 kV_Wind_F1_Import reading]]-CK100)*1200,0)</f>
        <v>0</v>
      </c>
      <c r="CT101" s="91">
        <f>IF(((Input_Raw[[#This Row],[33 kV_Wind_F2_Export_reading]]-CL100)*1200)&gt;0,(Input_Raw[[#This Row],[33 kV_Wind_F2_Export_reading]]-CL100)*1200,0)</f>
        <v>165600</v>
      </c>
      <c r="CU101" s="91">
        <f>IF(((Input_Raw[[#This Row],[33 kV_Wind_F2_Import_reading]]-CM100)*1200)&gt;0,(Input_Raw[[#This Row],[33 kV_Wind_F2_Import_reading]]-CM100)*1200,0)</f>
        <v>0</v>
      </c>
      <c r="CV101" s="91">
        <f>IF(((Input_Raw[[#This Row],[33 kV_Wind_F3_Export_Reading]]-CN100)*1200)&gt;0,(Input_Raw[[#This Row],[33 kV_Wind_F3_Export_Reading]]-CN100)*1200,0)</f>
        <v>248400</v>
      </c>
      <c r="CW101" s="91">
        <f>IF(((Input_Raw[[#This Row],[33 kV_Wind_F3_Import_Reading]]-CO100)*1200)&gt;0,(Input_Raw[[#This Row],[33 kV_Wind_F3_Import_Reading]]-CO100)*1200,0)</f>
        <v>0</v>
      </c>
      <c r="CX101" s="91">
        <f>IF(((Input_Raw[[#This Row],[33 kV_Wind_F4_Export Reading]]-CP100)*1200)&gt;0,(Input_Raw[[#This Row],[33 kV_Wind_F4_Export Reading]]-CP100)*1200,0)</f>
        <v>265200</v>
      </c>
      <c r="CY101" s="172"/>
      <c r="CZ101" s="172">
        <f>Input_Raw[[#This Row],[33 kV_F1_Total_Export (KWh)]]+Input_Raw[[#This Row],[33 kV_F2_Total_Export (KWh)2]]+Input_Raw[[#This Row],[33 kV_Wind_F3_Export (KWh)]]+Input_Raw[[#This Row],[33 kV_Wind_F4_Export (KWh)]]</f>
        <v>968400</v>
      </c>
      <c r="DA101" s="172">
        <f>Input_Raw[[#This Row],[33 kV_Wind_F1_Import (KWh)]]+Input_Raw[[#This Row],[33 kV_Wind_F2_Import (KWh)]]+Input_Raw[[#This Row],[33 kV_Wind_F3_Import (KWh)2]]+Input_Raw[[#This Row],[33 kV_Wind_F4_Import (KWh)2]]</f>
        <v>0</v>
      </c>
      <c r="DB101" s="21">
        <f>IFERROR(1-Input_Raw[[#This Row],[33 kV_Wind_Total_Export (KWh)]]/Input_Raw[[#This Row],[WTG Total Gneration (KWh)]],0)</f>
        <v>3.3376456167543145E-3</v>
      </c>
      <c r="DC101" s="100">
        <v>96</v>
      </c>
      <c r="DD101" s="100">
        <v>362922</v>
      </c>
      <c r="DE101" s="102">
        <f>Input_Raw[[#This Row],[WTG Total Gneration (KWh)]]/1000</f>
        <v>971.64300000000003</v>
      </c>
      <c r="DF101" s="99"/>
      <c r="DG101" s="101">
        <v>78</v>
      </c>
      <c r="DH101" s="168" t="s">
        <v>381</v>
      </c>
    </row>
    <row r="102" spans="1:112">
      <c r="A102" s="20">
        <f t="shared" si="6"/>
        <v>45842</v>
      </c>
      <c r="B102" s="12">
        <f>YEAR([1]!Input_Raw[[#This Row],[Date]])+IF(MONTH([1]!Input_Raw[[#This Row],[Date]])&gt;=4,1,0)</f>
        <v>2026</v>
      </c>
      <c r="C102" s="13">
        <f>YEAR([1]!Input_Raw[[#This Row],[Date]])</f>
        <v>2025</v>
      </c>
      <c r="D102" s="14">
        <f t="shared" si="5"/>
        <v>45839</v>
      </c>
      <c r="E102" s="13">
        <f>DAY(EOMONTH([1]!Input_Raw[[#This Row],[Date]],0))</f>
        <v>31</v>
      </c>
      <c r="F102" s="15">
        <v>23910</v>
      </c>
      <c r="G102" s="15">
        <v>24850</v>
      </c>
      <c r="H102" s="15">
        <v>23114</v>
      </c>
      <c r="I102" s="15">
        <v>17850</v>
      </c>
      <c r="J102" s="15">
        <v>21550</v>
      </c>
      <c r="K102" s="15">
        <v>23822</v>
      </c>
      <c r="L102" s="15">
        <v>24818</v>
      </c>
      <c r="M102" s="15">
        <v>25424</v>
      </c>
      <c r="N102" s="15">
        <v>23009</v>
      </c>
      <c r="O102" s="15">
        <v>24600</v>
      </c>
      <c r="P102" s="15">
        <v>26280</v>
      </c>
      <c r="Q102" s="15">
        <v>24924</v>
      </c>
      <c r="R102" s="15">
        <v>26910</v>
      </c>
      <c r="S102" s="15">
        <v>26920</v>
      </c>
      <c r="T102" s="15">
        <v>26800</v>
      </c>
      <c r="U102" s="15">
        <v>22430</v>
      </c>
      <c r="V102" s="15">
        <v>0</v>
      </c>
      <c r="W102" s="15">
        <v>24505</v>
      </c>
      <c r="X102" s="15">
        <v>26702</v>
      </c>
      <c r="Y102" s="15">
        <v>26515</v>
      </c>
      <c r="Z102" s="15">
        <v>21570</v>
      </c>
      <c r="AA102" s="15">
        <v>21530</v>
      </c>
      <c r="AB102" s="15">
        <v>21555</v>
      </c>
      <c r="AC102" s="15">
        <v>21545</v>
      </c>
      <c r="AD102" s="15">
        <v>18930</v>
      </c>
      <c r="AE102" s="15">
        <v>21560</v>
      </c>
      <c r="AF102" s="15">
        <v>21540</v>
      </c>
      <c r="AG102" s="15">
        <v>0</v>
      </c>
      <c r="AH102" s="15">
        <v>21550</v>
      </c>
      <c r="AI102" s="15">
        <v>0</v>
      </c>
      <c r="AJ102" s="15">
        <v>18910</v>
      </c>
      <c r="AK102" s="15">
        <v>18920</v>
      </c>
      <c r="AL102" s="15">
        <v>18935</v>
      </c>
      <c r="AM102" s="15">
        <v>18905</v>
      </c>
      <c r="AN102" s="15">
        <v>18925</v>
      </c>
      <c r="AO102" s="15">
        <v>18915</v>
      </c>
      <c r="AP102" s="15">
        <v>18930</v>
      </c>
      <c r="AQ102" s="15">
        <v>18910</v>
      </c>
      <c r="AR102" s="15">
        <v>18920</v>
      </c>
      <c r="AS102" s="16">
        <v>6.9</v>
      </c>
      <c r="AT102" s="16">
        <v>7.2</v>
      </c>
      <c r="AU102" s="16">
        <v>7.24</v>
      </c>
      <c r="AV102" s="16">
        <v>7.4</v>
      </c>
      <c r="AW102" s="16">
        <v>7.39</v>
      </c>
      <c r="AX102" s="16">
        <v>7.05</v>
      </c>
      <c r="AY102" s="16">
        <v>6.74</v>
      </c>
      <c r="AZ102" s="16">
        <v>7.1</v>
      </c>
      <c r="BA102" s="16">
        <v>7.37</v>
      </c>
      <c r="BB102" s="16">
        <v>6.9</v>
      </c>
      <c r="BC102" s="16">
        <v>6.79</v>
      </c>
      <c r="BD102" s="16">
        <v>6.65</v>
      </c>
      <c r="BE102" s="16">
        <v>6.54</v>
      </c>
      <c r="BF102" s="16">
        <v>7.02</v>
      </c>
      <c r="BG102" s="16">
        <v>7.65</v>
      </c>
      <c r="BH102" s="16">
        <v>7.66</v>
      </c>
      <c r="BI102" s="16">
        <v>0</v>
      </c>
      <c r="BJ102" s="16">
        <v>6.53</v>
      </c>
      <c r="BK102" s="16">
        <v>7.19</v>
      </c>
      <c r="BL102" s="16">
        <v>6.9</v>
      </c>
      <c r="BM102" s="16">
        <v>7.2</v>
      </c>
      <c r="BN102" s="16">
        <v>7.24</v>
      </c>
      <c r="BO102" s="16">
        <v>7.4</v>
      </c>
      <c r="BP102" s="16">
        <v>7.39</v>
      </c>
      <c r="BQ102" s="16">
        <v>7.05</v>
      </c>
      <c r="BR102" s="16">
        <v>6.74</v>
      </c>
      <c r="BS102" s="16">
        <v>7.1</v>
      </c>
      <c r="BT102" s="16">
        <v>0</v>
      </c>
      <c r="BU102" s="16">
        <v>6.8</v>
      </c>
      <c r="BV102" s="16">
        <v>0</v>
      </c>
      <c r="BW102" s="16">
        <v>6.65</v>
      </c>
      <c r="BX102" s="16">
        <v>6.54</v>
      </c>
      <c r="BY102" s="16">
        <v>7.02</v>
      </c>
      <c r="BZ102" s="16">
        <v>7.65</v>
      </c>
      <c r="CA102" s="16">
        <v>7.66</v>
      </c>
      <c r="CB102" s="16">
        <v>6.74</v>
      </c>
      <c r="CC102" s="16">
        <v>6.53</v>
      </c>
      <c r="CD102" s="16">
        <v>7.19</v>
      </c>
      <c r="CE102" s="16">
        <v>7.8</v>
      </c>
      <c r="CF102" s="17">
        <f>SUM(Input_Raw[[#This Row],[G01]:[G40]])</f>
        <v>804983</v>
      </c>
      <c r="CG102" s="18">
        <f>IFERROR(AVERAGE(Input_Raw[[#This Row],[WS_G01]:[WS_G40]]),"")</f>
        <v>6.5364102564102584</v>
      </c>
      <c r="CH102" s="19"/>
      <c r="CI102" s="19"/>
      <c r="CJ102" s="15">
        <v>246269</v>
      </c>
      <c r="CK102" s="15">
        <v>2194</v>
      </c>
      <c r="CL102" s="15">
        <v>285362</v>
      </c>
      <c r="CM102" s="15">
        <v>2220</v>
      </c>
      <c r="CN102" s="15">
        <v>262979</v>
      </c>
      <c r="CO102" s="15">
        <v>1827</v>
      </c>
      <c r="CP102" s="15">
        <v>299351</v>
      </c>
      <c r="CQ102" s="15">
        <v>1873</v>
      </c>
      <c r="CR102" s="91">
        <f>IF(((Input_Raw[[#This Row],[33 kV_Wind_F1_Export reading]]-CJ101)*1200)&gt;0,(Input_Raw[[#This Row],[33 kV_Wind_F1_Export reading]]-CJ101)*1200,0)</f>
        <v>188400</v>
      </c>
      <c r="CS102" s="91">
        <f>IF(((Input_Raw[[#This Row],[33 kV_Wind_F1_Import reading]]-CK101)*1200)&gt;0,(Input_Raw[[#This Row],[33 kV_Wind_F1_Import reading]]-CK101)*1200,0)</f>
        <v>0</v>
      </c>
      <c r="CT102" s="91">
        <f>IF(((Input_Raw[[#This Row],[33 kV_Wind_F2_Export_reading]]-CL101)*1200)&gt;0,(Input_Raw[[#This Row],[33 kV_Wind_F2_Export_reading]]-CL101)*1200,0)</f>
        <v>171600</v>
      </c>
      <c r="CU102" s="91">
        <f>IF(((Input_Raw[[#This Row],[33 kV_Wind_F2_Import_reading]]-CM101)*1200)&gt;0,(Input_Raw[[#This Row],[33 kV_Wind_F2_Import_reading]]-CM101)*1200,0)</f>
        <v>0</v>
      </c>
      <c r="CV102" s="91">
        <f>IF(((Input_Raw[[#This Row],[33 kV_Wind_F3_Export_Reading]]-CN101)*1200)&gt;0,(Input_Raw[[#This Row],[33 kV_Wind_F3_Export_Reading]]-CN101)*1200,0)</f>
        <v>213600</v>
      </c>
      <c r="CW102" s="91">
        <f>IF(((Input_Raw[[#This Row],[33 kV_Wind_F3_Import_Reading]]-CO101)*1200)&gt;0,(Input_Raw[[#This Row],[33 kV_Wind_F3_Import_Reading]]-CO101)*1200,0)</f>
        <v>0</v>
      </c>
      <c r="CX102" s="91">
        <f>IF(((Input_Raw[[#This Row],[33 kV_Wind_F4_Export Reading]]-CP101)*1200)&gt;0,(Input_Raw[[#This Row],[33 kV_Wind_F4_Export Reading]]-CP101)*1200,0)</f>
        <v>228000</v>
      </c>
      <c r="CY102" s="172"/>
      <c r="CZ102" s="172">
        <f>Input_Raw[[#This Row],[33 kV_F1_Total_Export (KWh)]]+Input_Raw[[#This Row],[33 kV_F2_Total_Export (KWh)2]]+Input_Raw[[#This Row],[33 kV_Wind_F3_Export (KWh)]]+Input_Raw[[#This Row],[33 kV_Wind_F4_Export (KWh)]]</f>
        <v>801600</v>
      </c>
      <c r="DA102" s="172">
        <f>Input_Raw[[#This Row],[33 kV_Wind_F1_Import (KWh)]]+Input_Raw[[#This Row],[33 kV_Wind_F2_Import (KWh)]]+Input_Raw[[#This Row],[33 kV_Wind_F3_Import (KWh)2]]+Input_Raw[[#This Row],[33 kV_Wind_F4_Import (KWh)2]]</f>
        <v>0</v>
      </c>
      <c r="DB102" s="21">
        <f>IFERROR(1-Input_Raw[[#This Row],[33 kV_Wind_Total_Export (KWh)]]/Input_Raw[[#This Row],[WTG Total Gneration (KWh)]],0)</f>
        <v>4.2025732220432044E-3</v>
      </c>
      <c r="DC102" s="100">
        <v>96</v>
      </c>
      <c r="DD102" s="100">
        <v>328624</v>
      </c>
      <c r="DE102" s="102">
        <f>Input_Raw[[#This Row],[WTG Total Gneration (KWh)]]/1000</f>
        <v>804.98299999999995</v>
      </c>
      <c r="DF102" s="99"/>
      <c r="DG102" s="101">
        <v>78</v>
      </c>
      <c r="DH102" s="168" t="s">
        <v>381</v>
      </c>
    </row>
    <row r="103" spans="1:112">
      <c r="A103" s="20">
        <f t="shared" si="6"/>
        <v>45843</v>
      </c>
      <c r="B103" s="12">
        <f>YEAR([1]!Input_Raw[[#This Row],[Date]])+IF(MONTH([1]!Input_Raw[[#This Row],[Date]])&gt;=4,1,0)</f>
        <v>2026</v>
      </c>
      <c r="C103" s="13">
        <f>YEAR([1]!Input_Raw[[#This Row],[Date]])</f>
        <v>2025</v>
      </c>
      <c r="D103" s="14">
        <f t="shared" si="5"/>
        <v>45839</v>
      </c>
      <c r="E103" s="13">
        <f>DAY(EOMONTH([1]!Input_Raw[[#This Row],[Date]],0))</f>
        <v>31</v>
      </c>
      <c r="F103" s="15">
        <v>22232</v>
      </c>
      <c r="G103" s="15">
        <v>22220</v>
      </c>
      <c r="H103" s="15">
        <v>22218</v>
      </c>
      <c r="I103" s="15">
        <v>22614</v>
      </c>
      <c r="J103" s="15">
        <v>24101</v>
      </c>
      <c r="K103" s="15">
        <v>22226</v>
      </c>
      <c r="L103" s="15">
        <v>22964</v>
      </c>
      <c r="M103" s="15">
        <v>22230</v>
      </c>
      <c r="N103" s="15">
        <v>22488</v>
      </c>
      <c r="O103" s="15">
        <v>21814</v>
      </c>
      <c r="P103" s="15">
        <v>21480</v>
      </c>
      <c r="Q103" s="15">
        <v>22482</v>
      </c>
      <c r="R103" s="15">
        <v>22489</v>
      </c>
      <c r="S103" s="15">
        <v>22460</v>
      </c>
      <c r="T103" s="15">
        <v>22497</v>
      </c>
      <c r="U103" s="15">
        <v>22483</v>
      </c>
      <c r="V103" s="15">
        <v>0</v>
      </c>
      <c r="W103" s="15">
        <v>22499</v>
      </c>
      <c r="X103" s="15">
        <v>22502</v>
      </c>
      <c r="Y103" s="15">
        <v>22501</v>
      </c>
      <c r="Z103" s="15">
        <v>24550</v>
      </c>
      <c r="AA103" s="15">
        <v>24452</v>
      </c>
      <c r="AB103" s="15">
        <v>24600</v>
      </c>
      <c r="AC103" s="15">
        <v>24102</v>
      </c>
      <c r="AD103" s="15">
        <v>20625</v>
      </c>
      <c r="AE103" s="15">
        <v>24099</v>
      </c>
      <c r="AF103" s="15">
        <v>24400</v>
      </c>
      <c r="AG103" s="15">
        <v>0</v>
      </c>
      <c r="AH103" s="15">
        <v>22500</v>
      </c>
      <c r="AI103" s="15">
        <v>0</v>
      </c>
      <c r="AJ103" s="15">
        <v>19450</v>
      </c>
      <c r="AK103" s="15">
        <v>22175</v>
      </c>
      <c r="AL103" s="15">
        <v>21605</v>
      </c>
      <c r="AM103" s="15">
        <v>21195</v>
      </c>
      <c r="AN103" s="15">
        <v>21350</v>
      </c>
      <c r="AO103" s="15">
        <v>21250</v>
      </c>
      <c r="AP103" s="15">
        <v>22010</v>
      </c>
      <c r="AQ103" s="15">
        <v>21180</v>
      </c>
      <c r="AR103" s="15">
        <v>21200</v>
      </c>
      <c r="AS103" s="16">
        <v>7.2</v>
      </c>
      <c r="AT103" s="16">
        <v>7.1</v>
      </c>
      <c r="AU103" s="16">
        <v>7.37</v>
      </c>
      <c r="AV103" s="16">
        <v>6.9</v>
      </c>
      <c r="AW103" s="16">
        <v>7.2</v>
      </c>
      <c r="AX103" s="16">
        <v>6.65</v>
      </c>
      <c r="AY103" s="16">
        <v>7.2</v>
      </c>
      <c r="AZ103" s="16">
        <v>7.3</v>
      </c>
      <c r="BA103" s="16">
        <v>6.74</v>
      </c>
      <c r="BB103" s="16">
        <v>7.1</v>
      </c>
      <c r="BC103" s="16">
        <v>7.37</v>
      </c>
      <c r="BD103" s="16">
        <v>6.9</v>
      </c>
      <c r="BE103" s="16">
        <v>7.2</v>
      </c>
      <c r="BF103" s="16">
        <v>6.65</v>
      </c>
      <c r="BG103" s="16">
        <v>7.8</v>
      </c>
      <c r="BH103" s="16">
        <v>7.2</v>
      </c>
      <c r="BI103" s="16">
        <v>0</v>
      </c>
      <c r="BJ103" s="16">
        <v>7.1</v>
      </c>
      <c r="BK103" s="16">
        <v>7.37</v>
      </c>
      <c r="BL103" s="16">
        <v>7.2</v>
      </c>
      <c r="BM103" s="16">
        <v>6.79</v>
      </c>
      <c r="BN103" s="16">
        <v>7.6</v>
      </c>
      <c r="BO103" s="16">
        <v>7.2</v>
      </c>
      <c r="BP103" s="16">
        <v>6.2</v>
      </c>
      <c r="BQ103" s="16">
        <v>7.2</v>
      </c>
      <c r="BR103" s="16">
        <v>7.3</v>
      </c>
      <c r="BS103" s="16">
        <v>7.2</v>
      </c>
      <c r="BT103" s="16">
        <v>0</v>
      </c>
      <c r="BU103" s="16">
        <v>7</v>
      </c>
      <c r="BV103" s="16">
        <v>0</v>
      </c>
      <c r="BW103" s="16">
        <v>6.9</v>
      </c>
      <c r="BX103" s="16">
        <v>7.5</v>
      </c>
      <c r="BY103" s="16">
        <v>7.02</v>
      </c>
      <c r="BZ103" s="16">
        <v>7.65</v>
      </c>
      <c r="CA103" s="16">
        <v>7.66</v>
      </c>
      <c r="CB103" s="16">
        <v>7</v>
      </c>
      <c r="CC103" s="16">
        <v>7.4</v>
      </c>
      <c r="CD103" s="16">
        <v>7.19</v>
      </c>
      <c r="CE103" s="16">
        <v>7.4</v>
      </c>
      <c r="CF103" s="17">
        <f>SUM(Input_Raw[[#This Row],[G01]:[G40]])</f>
        <v>807243</v>
      </c>
      <c r="CG103" s="18">
        <f>IFERROR(AVERAGE(Input_Raw[[#This Row],[WS_G01]:[WS_G40]]),"")</f>
        <v>6.609230769230769</v>
      </c>
      <c r="CH103" s="19"/>
      <c r="CI103" s="19"/>
      <c r="CJ103" s="15">
        <v>246445</v>
      </c>
      <c r="CK103" s="15">
        <v>2194</v>
      </c>
      <c r="CL103" s="15">
        <v>285522</v>
      </c>
      <c r="CM103" s="15">
        <v>2220</v>
      </c>
      <c r="CN103" s="15">
        <v>263145</v>
      </c>
      <c r="CO103" s="15">
        <v>1827</v>
      </c>
      <c r="CP103" s="15">
        <v>299519</v>
      </c>
      <c r="CQ103" s="15">
        <v>1873</v>
      </c>
      <c r="CR103" s="91">
        <f>IF(((Input_Raw[[#This Row],[33 kV_Wind_F1_Export reading]]-CJ102)*1200)&gt;0,(Input_Raw[[#This Row],[33 kV_Wind_F1_Export reading]]-CJ102)*1200,0)</f>
        <v>211200</v>
      </c>
      <c r="CS103" s="91">
        <f>IF(((Input_Raw[[#This Row],[33 kV_Wind_F1_Import reading]]-CK102)*1200)&gt;0,(Input_Raw[[#This Row],[33 kV_Wind_F1_Import reading]]-CK102)*1200,0)</f>
        <v>0</v>
      </c>
      <c r="CT103" s="91">
        <f>IF(((Input_Raw[[#This Row],[33 kV_Wind_F2_Export_reading]]-CL102)*1200)&gt;0,(Input_Raw[[#This Row],[33 kV_Wind_F2_Export_reading]]-CL102)*1200,0)</f>
        <v>192000</v>
      </c>
      <c r="CU103" s="91">
        <f>IF(((Input_Raw[[#This Row],[33 kV_Wind_F2_Import_reading]]-CM102)*1200)&gt;0,(Input_Raw[[#This Row],[33 kV_Wind_F2_Import_reading]]-CM102)*1200,0)</f>
        <v>0</v>
      </c>
      <c r="CV103" s="91">
        <f>IF(((Input_Raw[[#This Row],[33 kV_Wind_F3_Export_Reading]]-CN102)*1200)&gt;0,(Input_Raw[[#This Row],[33 kV_Wind_F3_Export_Reading]]-CN102)*1200,0)</f>
        <v>199200</v>
      </c>
      <c r="CW103" s="91">
        <f>IF(((Input_Raw[[#This Row],[33 kV_Wind_F3_Import_Reading]]-CO102)*1200)&gt;0,(Input_Raw[[#This Row],[33 kV_Wind_F3_Import_Reading]]-CO102)*1200,0)</f>
        <v>0</v>
      </c>
      <c r="CX103" s="91">
        <f>IF(((Input_Raw[[#This Row],[33 kV_Wind_F4_Export Reading]]-CP102)*1200)&gt;0,(Input_Raw[[#This Row],[33 kV_Wind_F4_Export Reading]]-CP102)*1200,0)</f>
        <v>201600</v>
      </c>
      <c r="CY103" s="172"/>
      <c r="CZ103" s="172">
        <f>Input_Raw[[#This Row],[33 kV_F1_Total_Export (KWh)]]+Input_Raw[[#This Row],[33 kV_F2_Total_Export (KWh)2]]+Input_Raw[[#This Row],[33 kV_Wind_F3_Export (KWh)]]+Input_Raw[[#This Row],[33 kV_Wind_F4_Export (KWh)]]</f>
        <v>804000</v>
      </c>
      <c r="DA103" s="172">
        <f>Input_Raw[[#This Row],[33 kV_Wind_F1_Import (KWh)]]+Input_Raw[[#This Row],[33 kV_Wind_F2_Import (KWh)]]+Input_Raw[[#This Row],[33 kV_Wind_F3_Import (KWh)2]]+Input_Raw[[#This Row],[33 kV_Wind_F4_Import (KWh)2]]</f>
        <v>0</v>
      </c>
      <c r="DB103" s="21">
        <f>IFERROR(1-Input_Raw[[#This Row],[33 kV_Wind_Total_Export (KWh)]]/Input_Raw[[#This Row],[WTG Total Gneration (KWh)]],0)</f>
        <v>4.0173776669478745E-3</v>
      </c>
      <c r="DC103" s="100">
        <v>96</v>
      </c>
      <c r="DD103" s="100">
        <v>287329</v>
      </c>
      <c r="DE103" s="102">
        <f>Input_Raw[[#This Row],[WTG Total Gneration (KWh)]]/1000</f>
        <v>807.24300000000005</v>
      </c>
      <c r="DF103" s="99"/>
      <c r="DG103" s="101">
        <v>78</v>
      </c>
      <c r="DH103" s="168" t="s">
        <v>381</v>
      </c>
    </row>
    <row r="104" spans="1:112">
      <c r="A104" s="20">
        <f t="shared" si="6"/>
        <v>45844</v>
      </c>
      <c r="B104" s="12">
        <f>YEAR([1]!Input_Raw[[#This Row],[Date]])+IF(MONTH([1]!Input_Raw[[#This Row],[Date]])&gt;=4,1,0)</f>
        <v>2026</v>
      </c>
      <c r="C104" s="13">
        <f>YEAR([1]!Input_Raw[[#This Row],[Date]])</f>
        <v>2025</v>
      </c>
      <c r="D104" s="14">
        <f t="shared" si="5"/>
        <v>45839</v>
      </c>
      <c r="E104" s="13">
        <f>DAY(EOMONTH([1]!Input_Raw[[#This Row],[Date]],0))</f>
        <v>31</v>
      </c>
      <c r="F104" s="15">
        <v>30933</v>
      </c>
      <c r="G104" s="15">
        <v>30912</v>
      </c>
      <c r="H104" s="15">
        <v>31052</v>
      </c>
      <c r="I104" s="15">
        <v>30936</v>
      </c>
      <c r="J104" s="15">
        <v>33246</v>
      </c>
      <c r="K104" s="15">
        <v>31546</v>
      </c>
      <c r="L104" s="15">
        <v>30913</v>
      </c>
      <c r="M104" s="15">
        <v>30932</v>
      </c>
      <c r="N104" s="15">
        <v>30066</v>
      </c>
      <c r="O104" s="15">
        <v>30937</v>
      </c>
      <c r="P104" s="15">
        <v>30964</v>
      </c>
      <c r="Q104" s="15">
        <v>30989</v>
      </c>
      <c r="R104" s="15">
        <v>31002</v>
      </c>
      <c r="S104" s="15">
        <v>32056</v>
      </c>
      <c r="T104" s="15">
        <v>31089</v>
      </c>
      <c r="U104" s="15">
        <v>27505</v>
      </c>
      <c r="V104" s="15">
        <v>0</v>
      </c>
      <c r="W104" s="15">
        <v>32045</v>
      </c>
      <c r="X104" s="15">
        <v>32013</v>
      </c>
      <c r="Y104" s="15">
        <v>32019</v>
      </c>
      <c r="Z104" s="15">
        <v>34031</v>
      </c>
      <c r="AA104" s="15">
        <v>34033</v>
      </c>
      <c r="AB104" s="15">
        <v>33218</v>
      </c>
      <c r="AC104" s="15">
        <v>33231</v>
      </c>
      <c r="AD104" s="15">
        <v>25421</v>
      </c>
      <c r="AE104" s="15">
        <v>33252</v>
      </c>
      <c r="AF104" s="15">
        <v>33200</v>
      </c>
      <c r="AG104" s="15">
        <v>0</v>
      </c>
      <c r="AH104" s="15">
        <v>33225</v>
      </c>
      <c r="AI104" s="15">
        <v>0</v>
      </c>
      <c r="AJ104" s="15">
        <v>24434</v>
      </c>
      <c r="AK104" s="15">
        <v>24422</v>
      </c>
      <c r="AL104" s="15">
        <v>24411</v>
      </c>
      <c r="AM104" s="15">
        <v>22503</v>
      </c>
      <c r="AN104" s="15">
        <v>24441</v>
      </c>
      <c r="AO104" s="15">
        <v>24408</v>
      </c>
      <c r="AP104" s="15">
        <v>24400</v>
      </c>
      <c r="AQ104" s="15">
        <v>24434</v>
      </c>
      <c r="AR104" s="15">
        <v>24407</v>
      </c>
      <c r="AS104" s="16">
        <v>10.009133333333331</v>
      </c>
      <c r="AT104" s="16">
        <v>9.6441499999999962</v>
      </c>
      <c r="AU104" s="16">
        <v>9.3888659722222219</v>
      </c>
      <c r="AV104" s="16">
        <v>9.4898201388888825</v>
      </c>
      <c r="AW104" s="16">
        <v>9.4366826388888896</v>
      </c>
      <c r="AX104" s="16">
        <v>9.4366826388888896</v>
      </c>
      <c r="AY104" s="16">
        <v>10.255392361111113</v>
      </c>
      <c r="AZ104" s="16">
        <v>10.497005555555553</v>
      </c>
      <c r="BA104" s="16">
        <v>9.5986527777777813</v>
      </c>
      <c r="BB104" s="16">
        <v>9.5464215277777793</v>
      </c>
      <c r="BC104" s="16">
        <v>9.8759985185185215</v>
      </c>
      <c r="BD104" s="16">
        <v>9.8913888888888888</v>
      </c>
      <c r="BE104" s="16">
        <v>9.9845624999999956</v>
      </c>
      <c r="BF104" s="16">
        <v>10.208986111111111</v>
      </c>
      <c r="BG104" s="16">
        <v>9.719699300699304</v>
      </c>
      <c r="BH104" s="16">
        <v>10.530048611111107</v>
      </c>
      <c r="BI104" s="16">
        <v>0</v>
      </c>
      <c r="BJ104" s="16">
        <v>10.71285416666667</v>
      </c>
      <c r="BK104" s="16">
        <v>9.7111215277777756</v>
      </c>
      <c r="BL104" s="16">
        <v>9.9884652777777791</v>
      </c>
      <c r="BM104" s="16">
        <v>10.001610784313726</v>
      </c>
      <c r="BN104" s="16">
        <v>9.2498965277777732</v>
      </c>
      <c r="BO104" s="16">
        <v>0</v>
      </c>
      <c r="BP104" s="16">
        <v>9.5017277777777807</v>
      </c>
      <c r="BQ104" s="16">
        <v>9.6424469026548714</v>
      </c>
      <c r="BR104" s="16">
        <v>9.4143965277777752</v>
      </c>
      <c r="BS104" s="16">
        <v>8.869812499999993</v>
      </c>
      <c r="BT104" s="16">
        <v>0</v>
      </c>
      <c r="BU104" s="16">
        <v>9.4437850393700806</v>
      </c>
      <c r="BV104" s="16">
        <v>0</v>
      </c>
      <c r="BW104" s="16">
        <v>9.7016604166666696</v>
      </c>
      <c r="BX104" s="16">
        <v>8.8289930555555536</v>
      </c>
      <c r="BY104" s="16">
        <v>8.7997444444444479</v>
      </c>
      <c r="BZ104" s="16">
        <v>9.2412055555555597</v>
      </c>
      <c r="CA104" s="16">
        <v>9.4702006944444417</v>
      </c>
      <c r="CB104" s="16">
        <v>9.928079577464791</v>
      </c>
      <c r="CC104" s="16">
        <v>8.7420604166666696</v>
      </c>
      <c r="CD104" s="16">
        <v>8.6328381944444477</v>
      </c>
      <c r="CE104" s="16">
        <v>9.8266972222222204</v>
      </c>
      <c r="CF104" s="17">
        <f>SUM(Input_Raw[[#This Row],[G01]:[G40]])</f>
        <v>1068626</v>
      </c>
      <c r="CG104" s="18">
        <f>IFERROR(AVERAGE(Input_Raw[[#This Row],[WS_G01]:[WS_G40]]),"")</f>
        <v>8.6466945508751873</v>
      </c>
      <c r="CH104" s="19"/>
      <c r="CI104" s="19"/>
      <c r="CJ104" s="15">
        <v>246654</v>
      </c>
      <c r="CK104" s="15">
        <v>2194</v>
      </c>
      <c r="CL104" s="15">
        <v>285712</v>
      </c>
      <c r="CM104" s="15">
        <v>2220</v>
      </c>
      <c r="CN104" s="15">
        <v>263383</v>
      </c>
      <c r="CO104" s="15">
        <v>1827</v>
      </c>
      <c r="CP104" s="15">
        <v>299758</v>
      </c>
      <c r="CQ104" s="15">
        <v>1873</v>
      </c>
      <c r="CR104" s="91">
        <f>IF(((Input_Raw[[#This Row],[33 kV_Wind_F1_Export reading]]-CJ103)*1200)&gt;0,(Input_Raw[[#This Row],[33 kV_Wind_F1_Export reading]]-CJ103)*1200,0)</f>
        <v>250800</v>
      </c>
      <c r="CS104" s="91">
        <f>IF(((Input_Raw[[#This Row],[33 kV_Wind_F1_Import reading]]-CK103)*1200)&gt;0,(Input_Raw[[#This Row],[33 kV_Wind_F1_Import reading]]-CK103)*1200,0)</f>
        <v>0</v>
      </c>
      <c r="CT104" s="91">
        <f>IF(((Input_Raw[[#This Row],[33 kV_Wind_F2_Export_reading]]-CL103)*1200)&gt;0,(Input_Raw[[#This Row],[33 kV_Wind_F2_Export_reading]]-CL103)*1200,0)</f>
        <v>228000</v>
      </c>
      <c r="CU104" s="91">
        <f>IF(((Input_Raw[[#This Row],[33 kV_Wind_F2_Import_reading]]-CM103)*1200)&gt;0,(Input_Raw[[#This Row],[33 kV_Wind_F2_Import_reading]]-CM103)*1200,0)</f>
        <v>0</v>
      </c>
      <c r="CV104" s="91">
        <f>IF(((Input_Raw[[#This Row],[33 kV_Wind_F3_Export_Reading]]-CN103)*1200)&gt;0,(Input_Raw[[#This Row],[33 kV_Wind_F3_Export_Reading]]-CN103)*1200,0)</f>
        <v>285600</v>
      </c>
      <c r="CW104" s="91">
        <f>IF(((Input_Raw[[#This Row],[33 kV_Wind_F3_Import_Reading]]-CO103)*1200)&gt;0,(Input_Raw[[#This Row],[33 kV_Wind_F3_Import_Reading]]-CO103)*1200,0)</f>
        <v>0</v>
      </c>
      <c r="CX104" s="91">
        <f>IF(((Input_Raw[[#This Row],[33 kV_Wind_F4_Export Reading]]-CP103)*1200)&gt;0,(Input_Raw[[#This Row],[33 kV_Wind_F4_Export Reading]]-CP103)*1200,0)</f>
        <v>286800</v>
      </c>
      <c r="CY104" s="172"/>
      <c r="CZ104" s="172">
        <f>Input_Raw[[#This Row],[33 kV_F1_Total_Export (KWh)]]+Input_Raw[[#This Row],[33 kV_F2_Total_Export (KWh)2]]+Input_Raw[[#This Row],[33 kV_Wind_F3_Export (KWh)]]+Input_Raw[[#This Row],[33 kV_Wind_F4_Export (KWh)]]</f>
        <v>1051200</v>
      </c>
      <c r="DA104" s="172">
        <f>Input_Raw[[#This Row],[33 kV_Wind_F1_Import (KWh)]]+Input_Raw[[#This Row],[33 kV_Wind_F2_Import (KWh)]]+Input_Raw[[#This Row],[33 kV_Wind_F3_Import (KWh)2]]+Input_Raw[[#This Row],[33 kV_Wind_F4_Import (KWh)2]]</f>
        <v>0</v>
      </c>
      <c r="DB104" s="21">
        <f>IFERROR(1-Input_Raw[[#This Row],[33 kV_Wind_Total_Export (KWh)]]/Input_Raw[[#This Row],[WTG Total Gneration (KWh)]],0)</f>
        <v>1.6306921224076509E-2</v>
      </c>
      <c r="DC104" s="100">
        <v>96</v>
      </c>
      <c r="DD104" s="100">
        <v>450779</v>
      </c>
      <c r="DE104" s="102">
        <f>Input_Raw[[#This Row],[WTG Total Gneration (KWh)]]/1000</f>
        <v>1068.626</v>
      </c>
      <c r="DF104" s="99"/>
      <c r="DG104" s="101">
        <v>78</v>
      </c>
      <c r="DH104" s="168" t="s">
        <v>381</v>
      </c>
    </row>
    <row r="105" spans="1:112">
      <c r="A105" s="20">
        <f t="shared" si="6"/>
        <v>45845</v>
      </c>
      <c r="B105" s="12">
        <f>YEAR([1]!Input_Raw[[#This Row],[Date]])+IF(MONTH([1]!Input_Raw[[#This Row],[Date]])&gt;=4,1,0)</f>
        <v>2026</v>
      </c>
      <c r="C105" s="13">
        <f>YEAR([1]!Input_Raw[[#This Row],[Date]])</f>
        <v>2025</v>
      </c>
      <c r="D105" s="14">
        <f t="shared" si="5"/>
        <v>45839</v>
      </c>
      <c r="E105" s="13">
        <f>DAY(EOMONTH([1]!Input_Raw[[#This Row],[Date]],0))</f>
        <v>31</v>
      </c>
      <c r="F105" s="15">
        <v>12488</v>
      </c>
      <c r="G105" s="15">
        <v>12499</v>
      </c>
      <c r="H105" s="15">
        <v>12502</v>
      </c>
      <c r="I105" s="15">
        <v>12452</v>
      </c>
      <c r="J105" s="15">
        <v>9293</v>
      </c>
      <c r="K105" s="15">
        <v>12498</v>
      </c>
      <c r="L105" s="15">
        <v>12456</v>
      </c>
      <c r="M105" s="15">
        <v>12385</v>
      </c>
      <c r="N105" s="15">
        <v>14622</v>
      </c>
      <c r="O105" s="15">
        <v>12480</v>
      </c>
      <c r="P105" s="15">
        <v>12640</v>
      </c>
      <c r="Q105" s="15">
        <v>14687</v>
      </c>
      <c r="R105" s="15">
        <v>14676</v>
      </c>
      <c r="S105" s="15">
        <v>14623</v>
      </c>
      <c r="T105" s="15">
        <v>14828</v>
      </c>
      <c r="U105" s="15">
        <v>14599</v>
      </c>
      <c r="V105" s="15">
        <v>0</v>
      </c>
      <c r="W105" s="15">
        <v>13935</v>
      </c>
      <c r="X105" s="15">
        <v>14789</v>
      </c>
      <c r="Y105" s="15">
        <v>14741</v>
      </c>
      <c r="Z105" s="15">
        <v>9348</v>
      </c>
      <c r="AA105" s="15">
        <v>9289</v>
      </c>
      <c r="AB105" s="15">
        <v>8953</v>
      </c>
      <c r="AC105" s="15">
        <v>9202</v>
      </c>
      <c r="AD105" s="15">
        <v>8100</v>
      </c>
      <c r="AE105" s="15">
        <v>9255</v>
      </c>
      <c r="AF105" s="15">
        <v>9235</v>
      </c>
      <c r="AG105" s="15">
        <v>0</v>
      </c>
      <c r="AH105" s="15">
        <v>9225</v>
      </c>
      <c r="AI105" s="15">
        <v>0</v>
      </c>
      <c r="AJ105" s="15">
        <v>8120</v>
      </c>
      <c r="AK105" s="15">
        <v>7901</v>
      </c>
      <c r="AL105" s="15">
        <v>8006</v>
      </c>
      <c r="AM105" s="15">
        <v>8311</v>
      </c>
      <c r="AN105" s="15">
        <v>8298</v>
      </c>
      <c r="AO105" s="15">
        <v>8142</v>
      </c>
      <c r="AP105" s="15">
        <v>8133</v>
      </c>
      <c r="AQ105" s="15">
        <v>8090</v>
      </c>
      <c r="AR105" s="15">
        <v>8120</v>
      </c>
      <c r="AS105" s="16">
        <v>4.8499999999999996</v>
      </c>
      <c r="AT105" s="16">
        <v>5.26</v>
      </c>
      <c r="AU105" s="16">
        <v>4.68</v>
      </c>
      <c r="AV105" s="16">
        <v>5.05</v>
      </c>
      <c r="AW105" s="16">
        <v>5</v>
      </c>
      <c r="AX105" s="16">
        <v>5.1100000000000003</v>
      </c>
      <c r="AY105" s="16">
        <v>4.84</v>
      </c>
      <c r="AZ105" s="16">
        <v>4.4800000000000004</v>
      </c>
      <c r="BA105" s="16">
        <v>5.09</v>
      </c>
      <c r="BB105" s="16">
        <v>4.83</v>
      </c>
      <c r="BC105" s="16">
        <v>5.29</v>
      </c>
      <c r="BD105" s="16">
        <v>5.04</v>
      </c>
      <c r="BE105" s="16">
        <v>5.15</v>
      </c>
      <c r="BF105" s="16">
        <v>5.24</v>
      </c>
      <c r="BG105" s="16">
        <v>4.99</v>
      </c>
      <c r="BH105" s="16">
        <v>5.44</v>
      </c>
      <c r="BI105" s="16">
        <v>0</v>
      </c>
      <c r="BJ105" s="16">
        <v>5.48</v>
      </c>
      <c r="BK105" s="16">
        <v>5.43</v>
      </c>
      <c r="BL105" s="16">
        <v>5.67</v>
      </c>
      <c r="BM105" s="16">
        <v>4.5</v>
      </c>
      <c r="BN105" s="16">
        <v>5.29</v>
      </c>
      <c r="BO105" s="16">
        <v>4.82</v>
      </c>
      <c r="BP105" s="16">
        <v>5.04</v>
      </c>
      <c r="BQ105" s="16">
        <v>5.32</v>
      </c>
      <c r="BR105" s="16">
        <v>5.01</v>
      </c>
      <c r="BS105" s="16">
        <v>5.03</v>
      </c>
      <c r="BT105" s="16">
        <v>0</v>
      </c>
      <c r="BU105" s="16">
        <v>4.8099999999999996</v>
      </c>
      <c r="BV105" s="16">
        <v>0</v>
      </c>
      <c r="BW105" s="16">
        <v>4.95</v>
      </c>
      <c r="BX105" s="16">
        <v>5.01</v>
      </c>
      <c r="BY105" s="16">
        <v>4.99</v>
      </c>
      <c r="BZ105" s="16">
        <v>5.16</v>
      </c>
      <c r="CA105" s="16">
        <v>5.21</v>
      </c>
      <c r="CB105" s="16">
        <v>4.87</v>
      </c>
      <c r="CC105" s="16">
        <v>5.18</v>
      </c>
      <c r="CD105" s="16">
        <v>4.8499999999999996</v>
      </c>
      <c r="CE105" s="16">
        <v>5.19</v>
      </c>
      <c r="CF105" s="17">
        <f>SUM(Input_Raw[[#This Row],[G01]:[G40]])</f>
        <v>398921</v>
      </c>
      <c r="CG105" s="18">
        <f>IFERROR(AVERAGE(Input_Raw[[#This Row],[WS_G01]:[WS_G40]]),"")</f>
        <v>4.6705128205128208</v>
      </c>
      <c r="CH105" s="19"/>
      <c r="CI105" s="19"/>
      <c r="CJ105" s="15">
        <v>246721</v>
      </c>
      <c r="CK105" s="15">
        <v>2194</v>
      </c>
      <c r="CL105" s="15">
        <v>285773</v>
      </c>
      <c r="CM105" s="15">
        <v>2220</v>
      </c>
      <c r="CN105" s="15">
        <v>263476</v>
      </c>
      <c r="CO105" s="15">
        <v>1827</v>
      </c>
      <c r="CP105" s="15">
        <v>299867</v>
      </c>
      <c r="CQ105" s="15">
        <v>1873</v>
      </c>
      <c r="CR105" s="91">
        <f>IF(((Input_Raw[[#This Row],[33 kV_Wind_F1_Export reading]]-CJ104)*1200)&gt;0,(Input_Raw[[#This Row],[33 kV_Wind_F1_Export reading]]-CJ104)*1200,0)</f>
        <v>80400</v>
      </c>
      <c r="CS105" s="91">
        <f>IF(((Input_Raw[[#This Row],[33 kV_Wind_F1_Import reading]]-CK104)*1200)&gt;0,(Input_Raw[[#This Row],[33 kV_Wind_F1_Import reading]]-CK104)*1200,0)</f>
        <v>0</v>
      </c>
      <c r="CT105" s="91">
        <f>IF(((Input_Raw[[#This Row],[33 kV_Wind_F2_Export_reading]]-CL104)*1200)&gt;0,(Input_Raw[[#This Row],[33 kV_Wind_F2_Export_reading]]-CL104)*1200,0)</f>
        <v>73200</v>
      </c>
      <c r="CU105" s="91">
        <f>IF(((Input_Raw[[#This Row],[33 kV_Wind_F2_Import_reading]]-CM104)*1200)&gt;0,(Input_Raw[[#This Row],[33 kV_Wind_F2_Import_reading]]-CM104)*1200,0)</f>
        <v>0</v>
      </c>
      <c r="CV105" s="91">
        <f>IF(((Input_Raw[[#This Row],[33 kV_Wind_F3_Export_Reading]]-CN104)*1200)&gt;0,(Input_Raw[[#This Row],[33 kV_Wind_F3_Export_Reading]]-CN104)*1200,0)</f>
        <v>111600</v>
      </c>
      <c r="CW105" s="91">
        <f>IF(((Input_Raw[[#This Row],[33 kV_Wind_F3_Import_Reading]]-CO104)*1200)&gt;0,(Input_Raw[[#This Row],[33 kV_Wind_F3_Import_Reading]]-CO104)*1200,0)</f>
        <v>0</v>
      </c>
      <c r="CX105" s="91">
        <f>IF(((Input_Raw[[#This Row],[33 kV_Wind_F4_Export Reading]]-CP104)*1200)&gt;0,(Input_Raw[[#This Row],[33 kV_Wind_F4_Export Reading]]-CP104)*1200,0)</f>
        <v>130800</v>
      </c>
      <c r="CY105" s="172"/>
      <c r="CZ105" s="172">
        <f>Input_Raw[[#This Row],[33 kV_F1_Total_Export (KWh)]]+Input_Raw[[#This Row],[33 kV_F2_Total_Export (KWh)2]]+Input_Raw[[#This Row],[33 kV_Wind_F3_Export (KWh)]]+Input_Raw[[#This Row],[33 kV_Wind_F4_Export (KWh)]]</f>
        <v>396000</v>
      </c>
      <c r="DA105" s="172">
        <f>Input_Raw[[#This Row],[33 kV_Wind_F1_Import (KWh)]]+Input_Raw[[#This Row],[33 kV_Wind_F2_Import (KWh)]]+Input_Raw[[#This Row],[33 kV_Wind_F3_Import (KWh)2]]+Input_Raw[[#This Row],[33 kV_Wind_F4_Import (KWh)2]]</f>
        <v>0</v>
      </c>
      <c r="DB105" s="21">
        <f>IFERROR(1-Input_Raw[[#This Row],[33 kV_Wind_Total_Export (KWh)]]/Input_Raw[[#This Row],[WTG Total Gneration (KWh)]],0)</f>
        <v>7.3222517741607929E-3</v>
      </c>
      <c r="DC105" s="100">
        <v>96</v>
      </c>
      <c r="DD105" s="100">
        <v>51198</v>
      </c>
      <c r="DE105" s="102">
        <f>Input_Raw[[#This Row],[WTG Total Gneration (KWh)]]/1000</f>
        <v>398.92099999999999</v>
      </c>
      <c r="DF105" s="99"/>
      <c r="DG105" s="101">
        <v>78</v>
      </c>
      <c r="DH105" s="168" t="s">
        <v>381</v>
      </c>
    </row>
    <row r="106" spans="1:112">
      <c r="A106" s="20">
        <f t="shared" si="6"/>
        <v>45846</v>
      </c>
      <c r="B106" s="12">
        <f>YEAR([1]!Input_Raw[[#This Row],[Date]])+IF(MONTH([1]!Input_Raw[[#This Row],[Date]])&gt;=4,1,0)</f>
        <v>2026</v>
      </c>
      <c r="C106" s="13">
        <f>YEAR([1]!Input_Raw[[#This Row],[Date]])</f>
        <v>2025</v>
      </c>
      <c r="D106" s="14">
        <f t="shared" si="5"/>
        <v>45839</v>
      </c>
      <c r="E106" s="13">
        <f>DAY(EOMONTH([1]!Input_Raw[[#This Row],[Date]],0))</f>
        <v>31</v>
      </c>
      <c r="F106" s="15">
        <v>12245</v>
      </c>
      <c r="G106" s="15">
        <v>16569</v>
      </c>
      <c r="H106" s="15">
        <v>16602</v>
      </c>
      <c r="I106" s="15">
        <v>16549</v>
      </c>
      <c r="J106" s="15">
        <v>13458</v>
      </c>
      <c r="K106" s="15">
        <v>16623</v>
      </c>
      <c r="L106" s="15">
        <v>16576</v>
      </c>
      <c r="M106" s="15">
        <v>16612</v>
      </c>
      <c r="N106" s="15">
        <v>20622</v>
      </c>
      <c r="O106" s="15">
        <v>16511</v>
      </c>
      <c r="P106" s="15">
        <v>16513</v>
      </c>
      <c r="Q106" s="15">
        <v>20698</v>
      </c>
      <c r="R106" s="15">
        <v>20623</v>
      </c>
      <c r="S106" s="15">
        <v>20612</v>
      </c>
      <c r="T106" s="15">
        <v>20586</v>
      </c>
      <c r="U106" s="15">
        <v>20699</v>
      </c>
      <c r="V106" s="15">
        <v>0</v>
      </c>
      <c r="W106" s="15">
        <v>20689</v>
      </c>
      <c r="X106" s="15">
        <v>20530</v>
      </c>
      <c r="Y106" s="15">
        <v>20541</v>
      </c>
      <c r="Z106" s="15">
        <v>13450</v>
      </c>
      <c r="AA106" s="15">
        <v>13623</v>
      </c>
      <c r="AB106" s="15">
        <v>13277</v>
      </c>
      <c r="AC106" s="15">
        <v>13427</v>
      </c>
      <c r="AD106" s="15">
        <v>10015</v>
      </c>
      <c r="AE106" s="15">
        <v>13473</v>
      </c>
      <c r="AF106" s="15">
        <v>13442</v>
      </c>
      <c r="AG106" s="15">
        <v>0</v>
      </c>
      <c r="AH106" s="15">
        <v>13450</v>
      </c>
      <c r="AI106" s="15">
        <v>0</v>
      </c>
      <c r="AJ106" s="15">
        <v>9978</v>
      </c>
      <c r="AK106" s="15">
        <v>11985</v>
      </c>
      <c r="AL106" s="15">
        <v>12022</v>
      </c>
      <c r="AM106" s="15">
        <v>11942</v>
      </c>
      <c r="AN106" s="15">
        <v>11966</v>
      </c>
      <c r="AO106" s="15">
        <v>11888</v>
      </c>
      <c r="AP106" s="15">
        <v>10058</v>
      </c>
      <c r="AQ106" s="15">
        <v>10034</v>
      </c>
      <c r="AR106" s="15">
        <v>10112</v>
      </c>
      <c r="AS106" s="16">
        <v>5.59</v>
      </c>
      <c r="AT106" s="16">
        <v>6.18</v>
      </c>
      <c r="AU106" s="16">
        <v>5.43</v>
      </c>
      <c r="AV106" s="16">
        <v>5.42</v>
      </c>
      <c r="AW106" s="16">
        <v>5.97</v>
      </c>
      <c r="AX106" s="16">
        <v>6.06</v>
      </c>
      <c r="AY106" s="16">
        <v>5.51</v>
      </c>
      <c r="AZ106" s="16">
        <v>5.15</v>
      </c>
      <c r="BA106" s="16">
        <v>5.98</v>
      </c>
      <c r="BB106" s="16">
        <v>5.33</v>
      </c>
      <c r="BC106" s="16">
        <v>6.31</v>
      </c>
      <c r="BD106" s="16">
        <v>5.92</v>
      </c>
      <c r="BE106" s="16">
        <v>5.96</v>
      </c>
      <c r="BF106" s="16">
        <v>5.77</v>
      </c>
      <c r="BG106" s="16">
        <v>5.83</v>
      </c>
      <c r="BH106" s="16">
        <v>5.9</v>
      </c>
      <c r="BI106" s="16">
        <v>0</v>
      </c>
      <c r="BJ106" s="16">
        <v>5.8</v>
      </c>
      <c r="BK106" s="16">
        <v>5.74</v>
      </c>
      <c r="BL106" s="16">
        <v>6.66</v>
      </c>
      <c r="BM106" s="16">
        <v>6.01</v>
      </c>
      <c r="BN106" s="16">
        <v>6.2</v>
      </c>
      <c r="BO106" s="16">
        <v>6.1</v>
      </c>
      <c r="BP106" s="16">
        <v>5.88</v>
      </c>
      <c r="BQ106" s="16">
        <v>6</v>
      </c>
      <c r="BR106" s="16">
        <v>5.88</v>
      </c>
      <c r="BS106" s="16">
        <v>5.94</v>
      </c>
      <c r="BT106" s="16">
        <v>0</v>
      </c>
      <c r="BU106" s="16">
        <v>5.74</v>
      </c>
      <c r="BV106" s="16">
        <v>0</v>
      </c>
      <c r="BW106" s="16">
        <v>5.52</v>
      </c>
      <c r="BX106" s="16">
        <v>5.76</v>
      </c>
      <c r="BY106" s="16">
        <v>6.04</v>
      </c>
      <c r="BZ106" s="16">
        <v>6.02</v>
      </c>
      <c r="CA106" s="16">
        <v>5.85</v>
      </c>
      <c r="CB106" s="16">
        <v>6.03</v>
      </c>
      <c r="CC106" s="16">
        <v>5.99</v>
      </c>
      <c r="CD106" s="16">
        <v>5.42</v>
      </c>
      <c r="CE106" s="16">
        <v>6.19</v>
      </c>
      <c r="CF106" s="17">
        <f>SUM(Input_Raw[[#This Row],[G01]:[G40]])</f>
        <v>548000</v>
      </c>
      <c r="CG106" s="18">
        <f>IFERROR(AVERAGE(Input_Raw[[#This Row],[WS_G01]:[WS_G40]]),"")</f>
        <v>5.4123076923076923</v>
      </c>
      <c r="CH106" s="19"/>
      <c r="CI106" s="19"/>
      <c r="CJ106" s="15">
        <v>246812</v>
      </c>
      <c r="CK106" s="15">
        <v>2194</v>
      </c>
      <c r="CL106" s="15">
        <v>285862</v>
      </c>
      <c r="CM106" s="15">
        <v>2220</v>
      </c>
      <c r="CN106" s="15">
        <v>263596</v>
      </c>
      <c r="CO106" s="15">
        <v>1827</v>
      </c>
      <c r="CP106" s="15">
        <v>300021</v>
      </c>
      <c r="CQ106" s="15">
        <v>1873</v>
      </c>
      <c r="CR106" s="91">
        <f>IF(((Input_Raw[[#This Row],[33 kV_Wind_F1_Export reading]]-CJ105)*1200)&gt;0,(Input_Raw[[#This Row],[33 kV_Wind_F1_Export reading]]-CJ105)*1200,0)</f>
        <v>109200</v>
      </c>
      <c r="CS106" s="91">
        <f>IF(((Input_Raw[[#This Row],[33 kV_Wind_F1_Import reading]]-CK105)*1200)&gt;0,(Input_Raw[[#This Row],[33 kV_Wind_F1_Import reading]]-CK105)*1200,0)</f>
        <v>0</v>
      </c>
      <c r="CT106" s="91">
        <f>IF(((Input_Raw[[#This Row],[33 kV_Wind_F2_Export_reading]]-CL105)*1200)&gt;0,(Input_Raw[[#This Row],[33 kV_Wind_F2_Export_reading]]-CL105)*1200,0)</f>
        <v>106800</v>
      </c>
      <c r="CU106" s="91">
        <f>IF(((Input_Raw[[#This Row],[33 kV_Wind_F2_Import_reading]]-CM105)*1200)&gt;0,(Input_Raw[[#This Row],[33 kV_Wind_F2_Import_reading]]-CM105)*1200,0)</f>
        <v>0</v>
      </c>
      <c r="CV106" s="91">
        <f>IF(((Input_Raw[[#This Row],[33 kV_Wind_F3_Export_Reading]]-CN105)*1200)&gt;0,(Input_Raw[[#This Row],[33 kV_Wind_F3_Export_Reading]]-CN105)*1200,0)</f>
        <v>144000</v>
      </c>
      <c r="CW106" s="91">
        <f>IF(((Input_Raw[[#This Row],[33 kV_Wind_F3_Import_Reading]]-CO105)*1200)&gt;0,(Input_Raw[[#This Row],[33 kV_Wind_F3_Import_Reading]]-CO105)*1200,0)</f>
        <v>0</v>
      </c>
      <c r="CX106" s="91">
        <f>IF(((Input_Raw[[#This Row],[33 kV_Wind_F4_Export Reading]]-CP105)*1200)&gt;0,(Input_Raw[[#This Row],[33 kV_Wind_F4_Export Reading]]-CP105)*1200,0)</f>
        <v>184800</v>
      </c>
      <c r="CY106" s="172"/>
      <c r="CZ106" s="172">
        <f>Input_Raw[[#This Row],[33 kV_F1_Total_Export (KWh)]]+Input_Raw[[#This Row],[33 kV_F2_Total_Export (KWh)2]]+Input_Raw[[#This Row],[33 kV_Wind_F3_Export (KWh)]]+Input_Raw[[#This Row],[33 kV_Wind_F4_Export (KWh)]]</f>
        <v>544800</v>
      </c>
      <c r="DA106" s="172">
        <f>Input_Raw[[#This Row],[33 kV_Wind_F1_Import (KWh)]]+Input_Raw[[#This Row],[33 kV_Wind_F2_Import (KWh)]]+Input_Raw[[#This Row],[33 kV_Wind_F3_Import (KWh)2]]+Input_Raw[[#This Row],[33 kV_Wind_F4_Import (KWh)2]]</f>
        <v>0</v>
      </c>
      <c r="DB106" s="21">
        <f>IFERROR(1-Input_Raw[[#This Row],[33 kV_Wind_Total_Export (KWh)]]/Input_Raw[[#This Row],[WTG Total Gneration (KWh)]],0)</f>
        <v>5.839416058394109E-3</v>
      </c>
      <c r="DC106" s="100">
        <v>96</v>
      </c>
      <c r="DD106" s="100">
        <v>228131</v>
      </c>
      <c r="DE106" s="102">
        <f>Input_Raw[[#This Row],[WTG Total Gneration (KWh)]]/1000</f>
        <v>548</v>
      </c>
      <c r="DF106" s="99"/>
      <c r="DG106" s="101">
        <v>78</v>
      </c>
      <c r="DH106" s="168" t="s">
        <v>381</v>
      </c>
    </row>
    <row r="107" spans="1:112">
      <c r="A107" s="20">
        <f t="shared" si="6"/>
        <v>45847</v>
      </c>
      <c r="B107" s="12">
        <f>YEAR([1]!Input_Raw[[#This Row],[Date]])+IF(MONTH([1]!Input_Raw[[#This Row],[Date]])&gt;=4,1,0)</f>
        <v>2026</v>
      </c>
      <c r="C107" s="13">
        <f>YEAR([1]!Input_Raw[[#This Row],[Date]])</f>
        <v>2025</v>
      </c>
      <c r="D107" s="14">
        <f t="shared" si="5"/>
        <v>45839</v>
      </c>
      <c r="E107" s="13">
        <f>DAY(EOMONTH([1]!Input_Raw[[#This Row],[Date]],0))</f>
        <v>31</v>
      </c>
      <c r="F107" s="15">
        <v>11475</v>
      </c>
      <c r="G107" s="15">
        <v>11523</v>
      </c>
      <c r="H107" s="15">
        <v>11498</v>
      </c>
      <c r="I107" s="15">
        <v>10813</v>
      </c>
      <c r="J107" s="15">
        <v>9135</v>
      </c>
      <c r="K107" s="15">
        <v>11568</v>
      </c>
      <c r="L107" s="15">
        <v>11467</v>
      </c>
      <c r="M107" s="15">
        <v>11485</v>
      </c>
      <c r="N107" s="15">
        <v>12355</v>
      </c>
      <c r="O107" s="15">
        <v>11453</v>
      </c>
      <c r="P107" s="15">
        <v>11515</v>
      </c>
      <c r="Q107" s="15">
        <v>12398</v>
      </c>
      <c r="R107" s="15">
        <v>12314</v>
      </c>
      <c r="S107" s="15">
        <v>12316</v>
      </c>
      <c r="T107" s="15">
        <v>12403</v>
      </c>
      <c r="U107" s="15">
        <v>12369</v>
      </c>
      <c r="V107" s="15">
        <v>0</v>
      </c>
      <c r="W107" s="15">
        <v>12355</v>
      </c>
      <c r="X107" s="15">
        <v>12334</v>
      </c>
      <c r="Y107" s="15">
        <v>12356</v>
      </c>
      <c r="Z107" s="15">
        <v>9131</v>
      </c>
      <c r="AA107" s="15">
        <v>9157</v>
      </c>
      <c r="AB107" s="15">
        <v>9005</v>
      </c>
      <c r="AC107" s="15">
        <v>9006</v>
      </c>
      <c r="AD107" s="15">
        <v>7490</v>
      </c>
      <c r="AE107" s="15">
        <v>9025</v>
      </c>
      <c r="AF107" s="15">
        <v>8987</v>
      </c>
      <c r="AG107" s="15">
        <v>0</v>
      </c>
      <c r="AH107" s="15">
        <v>6877</v>
      </c>
      <c r="AI107" s="15">
        <v>0</v>
      </c>
      <c r="AJ107" s="15">
        <v>6267</v>
      </c>
      <c r="AK107" s="15">
        <v>7370</v>
      </c>
      <c r="AL107" s="15">
        <v>7345</v>
      </c>
      <c r="AM107" s="15">
        <v>7397</v>
      </c>
      <c r="AN107" s="15">
        <v>7402</v>
      </c>
      <c r="AO107" s="15">
        <v>7389</v>
      </c>
      <c r="AP107" s="15">
        <v>7362</v>
      </c>
      <c r="AQ107" s="15">
        <v>7312</v>
      </c>
      <c r="AR107" s="15">
        <v>7366</v>
      </c>
      <c r="AS107" s="16">
        <v>4.8499999999999996</v>
      </c>
      <c r="AT107" s="16">
        <v>5.37</v>
      </c>
      <c r="AU107" s="16">
        <v>4.76</v>
      </c>
      <c r="AV107" s="16">
        <v>4.7699999999999996</v>
      </c>
      <c r="AW107" s="16">
        <v>5.09</v>
      </c>
      <c r="AX107" s="16">
        <v>5.19</v>
      </c>
      <c r="AY107" s="16">
        <v>4.8</v>
      </c>
      <c r="AZ107" s="16">
        <v>4.87</v>
      </c>
      <c r="BA107" s="16">
        <v>5.25</v>
      </c>
      <c r="BB107" s="16">
        <v>4.9800000000000004</v>
      </c>
      <c r="BC107" s="16">
        <v>5.45</v>
      </c>
      <c r="BD107" s="16">
        <v>5.28</v>
      </c>
      <c r="BE107" s="16">
        <v>5.32</v>
      </c>
      <c r="BF107" s="16">
        <v>5.14</v>
      </c>
      <c r="BG107" s="16">
        <v>5.09</v>
      </c>
      <c r="BH107" s="16">
        <v>5.27</v>
      </c>
      <c r="BI107" s="16">
        <v>0</v>
      </c>
      <c r="BJ107" s="16">
        <v>5.36</v>
      </c>
      <c r="BK107" s="16">
        <v>6.59</v>
      </c>
      <c r="BL107" s="16">
        <v>5.63</v>
      </c>
      <c r="BM107" s="16">
        <v>5.4</v>
      </c>
      <c r="BN107" s="16">
        <v>5.44</v>
      </c>
      <c r="BO107" s="16">
        <v>4.66</v>
      </c>
      <c r="BP107" s="16">
        <v>4.9800000000000004</v>
      </c>
      <c r="BQ107" s="16">
        <v>4.95</v>
      </c>
      <c r="BR107" s="16">
        <v>4.71</v>
      </c>
      <c r="BS107" s="16">
        <v>4.88</v>
      </c>
      <c r="BT107" s="16">
        <v>0</v>
      </c>
      <c r="BU107" s="16">
        <v>4.8600000000000003</v>
      </c>
      <c r="BV107" s="16">
        <v>0</v>
      </c>
      <c r="BW107" s="16">
        <v>4.59</v>
      </c>
      <c r="BX107" s="16">
        <v>4.7300000000000004</v>
      </c>
      <c r="BY107" s="16">
        <v>4.88</v>
      </c>
      <c r="BZ107" s="16">
        <v>4.88</v>
      </c>
      <c r="CA107" s="16">
        <v>5.07</v>
      </c>
      <c r="CB107" s="16">
        <v>5.05</v>
      </c>
      <c r="CC107" s="16">
        <v>4.83</v>
      </c>
      <c r="CD107" s="16">
        <v>4.74</v>
      </c>
      <c r="CE107" s="16">
        <v>5.01</v>
      </c>
      <c r="CF107" s="17">
        <f>SUM(Input_Raw[[#This Row],[G01]:[G40]])</f>
        <v>357020</v>
      </c>
      <c r="CG107" s="18">
        <f>IFERROR(AVERAGE(Input_Raw[[#This Row],[WS_G01]:[WS_G40]]),"")</f>
        <v>4.6851282051282048</v>
      </c>
      <c r="CH107" s="19"/>
      <c r="CI107" s="19"/>
      <c r="CJ107" s="15">
        <v>246872</v>
      </c>
      <c r="CK107" s="15">
        <v>2194</v>
      </c>
      <c r="CL107" s="15">
        <v>285920</v>
      </c>
      <c r="CM107" s="15">
        <v>2220</v>
      </c>
      <c r="CN107" s="15">
        <v>263681</v>
      </c>
      <c r="CO107" s="15">
        <v>1827</v>
      </c>
      <c r="CP107" s="15">
        <v>300113</v>
      </c>
      <c r="CQ107" s="15">
        <v>1873</v>
      </c>
      <c r="CR107" s="91">
        <f>IF(((Input_Raw[[#This Row],[33 kV_Wind_F1_Export reading]]-CJ106)*1200)&gt;0,(Input_Raw[[#This Row],[33 kV_Wind_F1_Export reading]]-CJ106)*1200,0)</f>
        <v>72000</v>
      </c>
      <c r="CS107" s="91">
        <f>IF(((Input_Raw[[#This Row],[33 kV_Wind_F1_Import reading]]-CK106)*1200)&gt;0,(Input_Raw[[#This Row],[33 kV_Wind_F1_Import reading]]-CK106)*1200,0)</f>
        <v>0</v>
      </c>
      <c r="CT107" s="91">
        <f>IF(((Input_Raw[[#This Row],[33 kV_Wind_F2_Export_reading]]-CL106)*1200)&gt;0,(Input_Raw[[#This Row],[33 kV_Wind_F2_Export_reading]]-CL106)*1200,0)</f>
        <v>69600</v>
      </c>
      <c r="CU107" s="91">
        <f>IF(((Input_Raw[[#This Row],[33 kV_Wind_F2_Import_reading]]-CM106)*1200)&gt;0,(Input_Raw[[#This Row],[33 kV_Wind_F2_Import_reading]]-CM106)*1200,0)</f>
        <v>0</v>
      </c>
      <c r="CV107" s="91">
        <f>IF(((Input_Raw[[#This Row],[33 kV_Wind_F3_Export_Reading]]-CN106)*1200)&gt;0,(Input_Raw[[#This Row],[33 kV_Wind_F3_Export_Reading]]-CN106)*1200,0)</f>
        <v>102000</v>
      </c>
      <c r="CW107" s="91">
        <f>IF(((Input_Raw[[#This Row],[33 kV_Wind_F3_Import_Reading]]-CO106)*1200)&gt;0,(Input_Raw[[#This Row],[33 kV_Wind_F3_Import_Reading]]-CO106)*1200,0)</f>
        <v>0</v>
      </c>
      <c r="CX107" s="91">
        <f>IF(((Input_Raw[[#This Row],[33 kV_Wind_F4_Export Reading]]-CP106)*1200)&gt;0,(Input_Raw[[#This Row],[33 kV_Wind_F4_Export Reading]]-CP106)*1200,0)</f>
        <v>110400</v>
      </c>
      <c r="CY107" s="172"/>
      <c r="CZ107" s="172">
        <f>Input_Raw[[#This Row],[33 kV_F1_Total_Export (KWh)]]+Input_Raw[[#This Row],[33 kV_F2_Total_Export (KWh)2]]+Input_Raw[[#This Row],[33 kV_Wind_F3_Export (KWh)]]+Input_Raw[[#This Row],[33 kV_Wind_F4_Export (KWh)]]</f>
        <v>354000</v>
      </c>
      <c r="DA107" s="172">
        <f>Input_Raw[[#This Row],[33 kV_Wind_F1_Import (KWh)]]+Input_Raw[[#This Row],[33 kV_Wind_F2_Import (KWh)]]+Input_Raw[[#This Row],[33 kV_Wind_F3_Import (KWh)2]]+Input_Raw[[#This Row],[33 kV_Wind_F4_Import (KWh)2]]</f>
        <v>0</v>
      </c>
      <c r="DB107" s="21">
        <f>IFERROR(1-Input_Raw[[#This Row],[33 kV_Wind_Total_Export (KWh)]]/Input_Raw[[#This Row],[WTG Total Gneration (KWh)]],0)</f>
        <v>8.4589098649935357E-3</v>
      </c>
      <c r="DC107" s="100">
        <v>96</v>
      </c>
      <c r="DD107" s="100">
        <v>58822</v>
      </c>
      <c r="DE107" s="102">
        <f>Input_Raw[[#This Row],[WTG Total Gneration (KWh)]]/1000</f>
        <v>357.02</v>
      </c>
      <c r="DF107" s="99"/>
      <c r="DG107" s="101">
        <v>78</v>
      </c>
      <c r="DH107" s="168" t="s">
        <v>381</v>
      </c>
    </row>
    <row r="108" spans="1:112">
      <c r="A108" s="20">
        <f t="shared" ref="A108:A144" si="7">A107+1</f>
        <v>45848</v>
      </c>
      <c r="B108" s="12">
        <f>YEAR([1]!Input_Raw[[#This Row],[Date]])+IF(MONTH([1]!Input_Raw[[#This Row],[Date]])&gt;=4,1,0)</f>
        <v>2026</v>
      </c>
      <c r="C108" s="13">
        <f>YEAR([1]!Input_Raw[[#This Row],[Date]])</f>
        <v>2025</v>
      </c>
      <c r="D108" s="14">
        <f t="shared" ref="D108:D144" si="8">A108-DAY(A108)+1</f>
        <v>45839</v>
      </c>
      <c r="E108" s="13">
        <f>DAY(EOMONTH([1]!Input_Raw[[#This Row],[Date]],0))</f>
        <v>31</v>
      </c>
      <c r="F108" s="15">
        <v>5933</v>
      </c>
      <c r="G108" s="15">
        <v>5995</v>
      </c>
      <c r="H108" s="15">
        <v>5680</v>
      </c>
      <c r="I108" s="15">
        <v>6010</v>
      </c>
      <c r="J108" s="15">
        <v>4589</v>
      </c>
      <c r="K108" s="15">
        <v>5933</v>
      </c>
      <c r="L108" s="15">
        <v>5930</v>
      </c>
      <c r="M108" s="15">
        <v>5982</v>
      </c>
      <c r="N108" s="15">
        <v>6600</v>
      </c>
      <c r="O108" s="15">
        <v>5982</v>
      </c>
      <c r="P108" s="15">
        <v>5933</v>
      </c>
      <c r="Q108" s="15">
        <v>6595</v>
      </c>
      <c r="R108" s="15">
        <v>6605</v>
      </c>
      <c r="S108" s="15">
        <v>6602</v>
      </c>
      <c r="T108" s="15">
        <v>6398</v>
      </c>
      <c r="U108" s="15">
        <v>6594</v>
      </c>
      <c r="V108" s="15">
        <v>0</v>
      </c>
      <c r="W108" s="15">
        <v>6420</v>
      </c>
      <c r="X108" s="15">
        <v>6783</v>
      </c>
      <c r="Y108" s="15">
        <v>6932</v>
      </c>
      <c r="Z108" s="15">
        <v>4986</v>
      </c>
      <c r="AA108" s="15">
        <v>4865</v>
      </c>
      <c r="AB108" s="15">
        <v>4738</v>
      </c>
      <c r="AC108" s="15">
        <v>4680</v>
      </c>
      <c r="AD108" s="15">
        <v>3660</v>
      </c>
      <c r="AE108" s="15">
        <v>4580</v>
      </c>
      <c r="AF108" s="15">
        <v>3492</v>
      </c>
      <c r="AG108" s="15">
        <v>0</v>
      </c>
      <c r="AH108" s="15">
        <v>4510</v>
      </c>
      <c r="AI108" s="15">
        <v>0</v>
      </c>
      <c r="AJ108" s="15">
        <v>3520</v>
      </c>
      <c r="AK108" s="15">
        <v>3665</v>
      </c>
      <c r="AL108" s="15">
        <v>3654</v>
      </c>
      <c r="AM108" s="15">
        <v>3654</v>
      </c>
      <c r="AN108" s="15">
        <v>3900</v>
      </c>
      <c r="AO108" s="15">
        <v>3850</v>
      </c>
      <c r="AP108" s="15">
        <v>3650</v>
      </c>
      <c r="AQ108" s="15">
        <v>3650</v>
      </c>
      <c r="AR108" s="15">
        <v>3660</v>
      </c>
      <c r="AS108" s="16">
        <v>3.93</v>
      </c>
      <c r="AT108" s="16">
        <v>3.99</v>
      </c>
      <c r="AU108" s="16">
        <v>3.9</v>
      </c>
      <c r="AV108" s="16">
        <v>3.78</v>
      </c>
      <c r="AW108" s="16">
        <v>3.4</v>
      </c>
      <c r="AX108" s="16">
        <v>4.13</v>
      </c>
      <c r="AY108" s="16">
        <v>3.8</v>
      </c>
      <c r="AZ108" s="16">
        <v>4.05</v>
      </c>
      <c r="BA108" s="16">
        <v>3.76</v>
      </c>
      <c r="BB108" s="16">
        <v>3.86</v>
      </c>
      <c r="BC108" s="16">
        <v>4.0599999999999996</v>
      </c>
      <c r="BD108" s="16">
        <v>3.98</v>
      </c>
      <c r="BE108" s="16">
        <v>4.04</v>
      </c>
      <c r="BF108" s="16">
        <v>4.03</v>
      </c>
      <c r="BG108" s="16">
        <v>3.88</v>
      </c>
      <c r="BH108" s="16">
        <v>4.18</v>
      </c>
      <c r="BI108" s="16">
        <v>0</v>
      </c>
      <c r="BJ108" s="16">
        <v>4.09</v>
      </c>
      <c r="BK108" s="16">
        <v>4.29</v>
      </c>
      <c r="BL108" s="16">
        <v>4.0599999999999996</v>
      </c>
      <c r="BM108" s="16">
        <v>4.5</v>
      </c>
      <c r="BN108" s="16">
        <v>3.75</v>
      </c>
      <c r="BO108" s="16">
        <v>3.14</v>
      </c>
      <c r="BP108" s="16">
        <v>3.53</v>
      </c>
      <c r="BQ108" s="16">
        <v>3.02</v>
      </c>
      <c r="BR108" s="16">
        <v>3.42</v>
      </c>
      <c r="BS108" s="16">
        <v>3.48</v>
      </c>
      <c r="BT108" s="16">
        <v>0</v>
      </c>
      <c r="BU108" s="16">
        <v>3.31</v>
      </c>
      <c r="BV108" s="16">
        <v>0</v>
      </c>
      <c r="BW108" s="16">
        <v>3.29</v>
      </c>
      <c r="BX108" s="16">
        <v>3.51</v>
      </c>
      <c r="BY108" s="16">
        <v>3.38</v>
      </c>
      <c r="BZ108" s="16">
        <v>3.42</v>
      </c>
      <c r="CA108" s="16">
        <v>3.69</v>
      </c>
      <c r="CB108" s="16">
        <v>3.98</v>
      </c>
      <c r="CC108" s="16">
        <v>3.43</v>
      </c>
      <c r="CD108" s="16">
        <v>3.41</v>
      </c>
      <c r="CE108" s="16">
        <v>3.47</v>
      </c>
      <c r="CF108" s="17">
        <f>SUM(Input_Raw[[#This Row],[G01]:[G40]])</f>
        <v>186210</v>
      </c>
      <c r="CG108" s="18">
        <f>IFERROR(AVERAGE(Input_Raw[[#This Row],[WS_G01]:[WS_G40]]),"")</f>
        <v>3.4600000000000009</v>
      </c>
      <c r="CH108" s="19"/>
      <c r="CI108" s="19"/>
      <c r="CJ108" s="15">
        <v>246902</v>
      </c>
      <c r="CK108" s="15">
        <v>2194</v>
      </c>
      <c r="CL108" s="15">
        <v>285950</v>
      </c>
      <c r="CM108" s="15">
        <v>2220</v>
      </c>
      <c r="CN108" s="15">
        <v>263725</v>
      </c>
      <c r="CO108" s="15">
        <v>1827</v>
      </c>
      <c r="CP108" s="15">
        <v>300162</v>
      </c>
      <c r="CQ108" s="15">
        <v>1873</v>
      </c>
      <c r="CR108" s="91">
        <f>IF(((Input_Raw[[#This Row],[33 kV_Wind_F1_Export reading]]-CJ107)*1200)&gt;0,(Input_Raw[[#This Row],[33 kV_Wind_F1_Export reading]]-CJ107)*1200,0)</f>
        <v>36000</v>
      </c>
      <c r="CS108" s="91">
        <f>IF(((Input_Raw[[#This Row],[33 kV_Wind_F1_Import reading]]-CK107)*1200)&gt;0,(Input_Raw[[#This Row],[33 kV_Wind_F1_Import reading]]-CK107)*1200,0)</f>
        <v>0</v>
      </c>
      <c r="CT108" s="91">
        <f>IF(((Input_Raw[[#This Row],[33 kV_Wind_F2_Export_reading]]-CL107)*1200)&gt;0,(Input_Raw[[#This Row],[33 kV_Wind_F2_Export_reading]]-CL107)*1200,0)</f>
        <v>36000</v>
      </c>
      <c r="CU108" s="91">
        <f>IF(((Input_Raw[[#This Row],[33 kV_Wind_F2_Import_reading]]-CM107)*1200)&gt;0,(Input_Raw[[#This Row],[33 kV_Wind_F2_Import_reading]]-CM107)*1200,0)</f>
        <v>0</v>
      </c>
      <c r="CV108" s="91">
        <f>IF(((Input_Raw[[#This Row],[33 kV_Wind_F3_Export_Reading]]-CN107)*1200)&gt;0,(Input_Raw[[#This Row],[33 kV_Wind_F3_Export_Reading]]-CN107)*1200,0)</f>
        <v>52800</v>
      </c>
      <c r="CW108" s="91">
        <f>IF(((Input_Raw[[#This Row],[33 kV_Wind_F3_Import_Reading]]-CO107)*1200)&gt;0,(Input_Raw[[#This Row],[33 kV_Wind_F3_Import_Reading]]-CO107)*1200,0)</f>
        <v>0</v>
      </c>
      <c r="CX108" s="91">
        <f>IF(((Input_Raw[[#This Row],[33 kV_Wind_F4_Export Reading]]-CP107)*1200)&gt;0,(Input_Raw[[#This Row],[33 kV_Wind_F4_Export Reading]]-CP107)*1200,0)</f>
        <v>58800</v>
      </c>
      <c r="CY108" s="172"/>
      <c r="CZ108" s="172">
        <f>Input_Raw[[#This Row],[33 kV_F1_Total_Export (KWh)]]+Input_Raw[[#This Row],[33 kV_F2_Total_Export (KWh)2]]+Input_Raw[[#This Row],[33 kV_Wind_F3_Export (KWh)]]+Input_Raw[[#This Row],[33 kV_Wind_F4_Export (KWh)]]</f>
        <v>183600</v>
      </c>
      <c r="DA108" s="172">
        <f>Input_Raw[[#This Row],[33 kV_Wind_F1_Import (KWh)]]+Input_Raw[[#This Row],[33 kV_Wind_F2_Import (KWh)]]+Input_Raw[[#This Row],[33 kV_Wind_F3_Import (KWh)2]]+Input_Raw[[#This Row],[33 kV_Wind_F4_Import (KWh)2]]</f>
        <v>0</v>
      </c>
      <c r="DB108" s="21">
        <f>IFERROR(1-Input_Raw[[#This Row],[33 kV_Wind_Total_Export (KWh)]]/Input_Raw[[#This Row],[WTG Total Gneration (KWh)]],0)</f>
        <v>1.4016433059448996E-2</v>
      </c>
      <c r="DC108" s="100">
        <v>96</v>
      </c>
      <c r="DD108" s="100">
        <v>21904</v>
      </c>
      <c r="DE108" s="102">
        <f>Input_Raw[[#This Row],[WTG Total Gneration (KWh)]]/1000</f>
        <v>186.21</v>
      </c>
      <c r="DF108" s="99"/>
      <c r="DG108" s="101">
        <v>78</v>
      </c>
      <c r="DH108" s="168" t="s">
        <v>381</v>
      </c>
    </row>
    <row r="109" spans="1:112">
      <c r="A109" s="20">
        <f t="shared" si="7"/>
        <v>45849</v>
      </c>
      <c r="B109" s="12">
        <f>YEAR([1]!Input_Raw[[#This Row],[Date]])+IF(MONTH([1]!Input_Raw[[#This Row],[Date]])&gt;=4,1,0)</f>
        <v>2026</v>
      </c>
      <c r="C109" s="13">
        <f>YEAR([1]!Input_Raw[[#This Row],[Date]])</f>
        <v>2025</v>
      </c>
      <c r="D109" s="14">
        <f t="shared" si="8"/>
        <v>45839</v>
      </c>
      <c r="E109" s="13">
        <f>DAY(EOMONTH([1]!Input_Raw[[#This Row],[Date]],0))</f>
        <v>31</v>
      </c>
      <c r="F109" s="15">
        <v>10310</v>
      </c>
      <c r="G109" s="15">
        <v>11582</v>
      </c>
      <c r="H109" s="15">
        <v>9220</v>
      </c>
      <c r="I109" s="15">
        <v>10189</v>
      </c>
      <c r="J109" s="15">
        <v>8202</v>
      </c>
      <c r="K109" s="15">
        <v>10989</v>
      </c>
      <c r="L109" s="15">
        <v>10840</v>
      </c>
      <c r="M109" s="15">
        <v>11963</v>
      </c>
      <c r="N109" s="15">
        <v>11022</v>
      </c>
      <c r="O109" s="15">
        <v>10963</v>
      </c>
      <c r="P109" s="15">
        <v>11988</v>
      </c>
      <c r="Q109" s="15">
        <v>11026</v>
      </c>
      <c r="R109" s="15">
        <v>11062</v>
      </c>
      <c r="S109" s="15">
        <v>10932</v>
      </c>
      <c r="T109" s="15">
        <v>11022</v>
      </c>
      <c r="U109" s="15">
        <v>11026</v>
      </c>
      <c r="V109" s="15">
        <v>0</v>
      </c>
      <c r="W109" s="15">
        <v>11054</v>
      </c>
      <c r="X109" s="15">
        <v>11054</v>
      </c>
      <c r="Y109" s="15">
        <v>10943</v>
      </c>
      <c r="Z109" s="15">
        <v>8201</v>
      </c>
      <c r="AA109" s="15">
        <v>8199</v>
      </c>
      <c r="AB109" s="15">
        <v>8195</v>
      </c>
      <c r="AC109" s="15">
        <v>8609</v>
      </c>
      <c r="AD109" s="15">
        <v>7880</v>
      </c>
      <c r="AE109" s="15">
        <v>8400</v>
      </c>
      <c r="AF109" s="15">
        <v>8200</v>
      </c>
      <c r="AG109" s="15">
        <v>0</v>
      </c>
      <c r="AH109" s="15">
        <v>7600</v>
      </c>
      <c r="AI109" s="15">
        <v>0</v>
      </c>
      <c r="AJ109" s="15">
        <v>7873</v>
      </c>
      <c r="AK109" s="15">
        <v>7880</v>
      </c>
      <c r="AL109" s="15">
        <v>7893</v>
      </c>
      <c r="AM109" s="15">
        <v>7898</v>
      </c>
      <c r="AN109" s="15">
        <v>7912</v>
      </c>
      <c r="AO109" s="15">
        <v>7862</v>
      </c>
      <c r="AP109" s="15">
        <v>7886</v>
      </c>
      <c r="AQ109" s="15">
        <v>7875</v>
      </c>
      <c r="AR109" s="15">
        <v>7880</v>
      </c>
      <c r="AS109" s="16">
        <v>5.44</v>
      </c>
      <c r="AT109" s="16">
        <v>4.66</v>
      </c>
      <c r="AU109" s="16">
        <v>4.9800000000000004</v>
      </c>
      <c r="AV109" s="16">
        <v>4.95</v>
      </c>
      <c r="AW109" s="16">
        <v>4.71</v>
      </c>
      <c r="AX109" s="16">
        <v>4.88</v>
      </c>
      <c r="AY109" s="16">
        <v>3.8</v>
      </c>
      <c r="AZ109" s="16">
        <v>4.8600000000000003</v>
      </c>
      <c r="BA109" s="16">
        <v>3.76</v>
      </c>
      <c r="BB109" s="16">
        <v>4.59</v>
      </c>
      <c r="BC109" s="16">
        <v>4.7300000000000004</v>
      </c>
      <c r="BD109" s="16">
        <v>4.88</v>
      </c>
      <c r="BE109" s="16">
        <v>4.88</v>
      </c>
      <c r="BF109" s="16">
        <v>5.07</v>
      </c>
      <c r="BG109" s="16">
        <v>5.05</v>
      </c>
      <c r="BH109" s="16">
        <v>4.83</v>
      </c>
      <c r="BI109" s="16">
        <v>0</v>
      </c>
      <c r="BJ109" s="16">
        <v>5.01</v>
      </c>
      <c r="BK109" s="16">
        <v>5.44</v>
      </c>
      <c r="BL109" s="16">
        <v>4.66</v>
      </c>
      <c r="BM109" s="16">
        <v>4.9800000000000004</v>
      </c>
      <c r="BN109" s="16">
        <v>4.95</v>
      </c>
      <c r="BO109" s="16">
        <v>4.71</v>
      </c>
      <c r="BP109" s="16">
        <v>4.88</v>
      </c>
      <c r="BQ109" s="16">
        <v>3.8</v>
      </c>
      <c r="BR109" s="16">
        <v>4.8600000000000003</v>
      </c>
      <c r="BS109" s="16">
        <v>3.76</v>
      </c>
      <c r="BT109" s="16">
        <v>0</v>
      </c>
      <c r="BU109" s="16">
        <v>4.7300000000000004</v>
      </c>
      <c r="BV109" s="16">
        <v>0</v>
      </c>
      <c r="BW109" s="16">
        <v>4.88</v>
      </c>
      <c r="BX109" s="16">
        <v>5.07</v>
      </c>
      <c r="BY109" s="16">
        <v>5.05</v>
      </c>
      <c r="BZ109" s="16">
        <v>4.83</v>
      </c>
      <c r="CA109" s="16">
        <v>4.2</v>
      </c>
      <c r="CB109" s="16">
        <v>5.01</v>
      </c>
      <c r="CC109" s="16">
        <v>4.0999999999999996</v>
      </c>
      <c r="CD109" s="16">
        <v>3.9</v>
      </c>
      <c r="CE109" s="16">
        <v>3.8</v>
      </c>
      <c r="CF109" s="17">
        <f>SUM(Input_Raw[[#This Row],[G01]:[G40]])</f>
        <v>341630</v>
      </c>
      <c r="CG109" s="18">
        <f>IFERROR(AVERAGE(Input_Raw[[#This Row],[WS_G01]:[WS_G40]]),"")</f>
        <v>4.3253846153846149</v>
      </c>
      <c r="CH109" s="19"/>
      <c r="CI109" s="19"/>
      <c r="CJ109" s="15">
        <v>246967</v>
      </c>
      <c r="CK109" s="15">
        <v>2195</v>
      </c>
      <c r="CL109" s="15">
        <v>286004</v>
      </c>
      <c r="CM109" s="15">
        <v>2220</v>
      </c>
      <c r="CN109" s="15">
        <v>263806</v>
      </c>
      <c r="CO109" s="15">
        <v>1827</v>
      </c>
      <c r="CP109" s="15">
        <v>300244</v>
      </c>
      <c r="CQ109" s="15">
        <v>1873</v>
      </c>
      <c r="CR109" s="91">
        <f>IF(((Input_Raw[[#This Row],[33 kV_Wind_F1_Export reading]]-CJ108)*1200)&gt;0,(Input_Raw[[#This Row],[33 kV_Wind_F1_Export reading]]-CJ108)*1200,0)</f>
        <v>78000</v>
      </c>
      <c r="CS109" s="91">
        <f>IF(((Input_Raw[[#This Row],[33 kV_Wind_F1_Import reading]]-CK108)*1200)&gt;0,(Input_Raw[[#This Row],[33 kV_Wind_F1_Import reading]]-CK108)*1200,0)</f>
        <v>1200</v>
      </c>
      <c r="CT109" s="91">
        <f>IF(((Input_Raw[[#This Row],[33 kV_Wind_F2_Export_reading]]-CL108)*1200)&gt;0,(Input_Raw[[#This Row],[33 kV_Wind_F2_Export_reading]]-CL108)*1200,0)</f>
        <v>64800</v>
      </c>
      <c r="CU109" s="91">
        <f>IF(((Input_Raw[[#This Row],[33 kV_Wind_F2_Import_reading]]-CM108)*1200)&gt;0,(Input_Raw[[#This Row],[33 kV_Wind_F2_Import_reading]]-CM108)*1200,0)</f>
        <v>0</v>
      </c>
      <c r="CV109" s="91">
        <f>IF(((Input_Raw[[#This Row],[33 kV_Wind_F3_Export_Reading]]-CN108)*1200)&gt;0,(Input_Raw[[#This Row],[33 kV_Wind_F3_Export_Reading]]-CN108)*1200,0)</f>
        <v>97200</v>
      </c>
      <c r="CW109" s="91">
        <f>IF(((Input_Raw[[#This Row],[33 kV_Wind_F3_Import_Reading]]-CO108)*1200)&gt;0,(Input_Raw[[#This Row],[33 kV_Wind_F3_Import_Reading]]-CO108)*1200,0)</f>
        <v>0</v>
      </c>
      <c r="CX109" s="91">
        <f>IF(((Input_Raw[[#This Row],[33 kV_Wind_F4_Export Reading]]-CP108)*1200)&gt;0,(Input_Raw[[#This Row],[33 kV_Wind_F4_Export Reading]]-CP108)*1200,0)</f>
        <v>98400</v>
      </c>
      <c r="CY109" s="172"/>
      <c r="CZ109" s="172">
        <f>Input_Raw[[#This Row],[33 kV_F1_Total_Export (KWh)]]+Input_Raw[[#This Row],[33 kV_F2_Total_Export (KWh)2]]+Input_Raw[[#This Row],[33 kV_Wind_F3_Export (KWh)]]+Input_Raw[[#This Row],[33 kV_Wind_F4_Export (KWh)]]</f>
        <v>338400</v>
      </c>
      <c r="DA109" s="172">
        <f>Input_Raw[[#This Row],[33 kV_Wind_F1_Import (KWh)]]+Input_Raw[[#This Row],[33 kV_Wind_F2_Import (KWh)]]+Input_Raw[[#This Row],[33 kV_Wind_F3_Import (KWh)2]]+Input_Raw[[#This Row],[33 kV_Wind_F4_Import (KWh)2]]</f>
        <v>1200</v>
      </c>
      <c r="DB109" s="21">
        <f>IFERROR(1-Input_Raw[[#This Row],[33 kV_Wind_Total_Export (KWh)]]/Input_Raw[[#This Row],[WTG Total Gneration (KWh)]],0)</f>
        <v>9.4546731844392662E-3</v>
      </c>
      <c r="DC109" s="100">
        <v>96</v>
      </c>
      <c r="DD109" s="100">
        <v>41250</v>
      </c>
      <c r="DE109" s="102">
        <f>Input_Raw[[#This Row],[WTG Total Gneration (KWh)]]/1000</f>
        <v>341.63</v>
      </c>
      <c r="DF109" s="99"/>
      <c r="DG109" s="101">
        <v>78</v>
      </c>
      <c r="DH109" s="168" t="s">
        <v>381</v>
      </c>
    </row>
    <row r="110" spans="1:112">
      <c r="A110" s="20">
        <f t="shared" si="7"/>
        <v>45850</v>
      </c>
      <c r="B110" s="12">
        <f>YEAR([1]!Input_Raw[[#This Row],[Date]])+IF(MONTH([1]!Input_Raw[[#This Row],[Date]])&gt;=4,1,0)</f>
        <v>2026</v>
      </c>
      <c r="C110" s="13">
        <f>YEAR([1]!Input_Raw[[#This Row],[Date]])</f>
        <v>2025</v>
      </c>
      <c r="D110" s="14">
        <f t="shared" si="8"/>
        <v>45839</v>
      </c>
      <c r="E110" s="13">
        <f>DAY(EOMONTH([1]!Input_Raw[[#This Row],[Date]],0))</f>
        <v>31</v>
      </c>
      <c r="F110" s="15">
        <v>12200</v>
      </c>
      <c r="G110" s="15">
        <v>12220</v>
      </c>
      <c r="H110" s="15">
        <v>12248</v>
      </c>
      <c r="I110" s="15">
        <v>12228</v>
      </c>
      <c r="J110" s="15">
        <v>10023</v>
      </c>
      <c r="K110" s="15">
        <v>12212</v>
      </c>
      <c r="L110" s="15">
        <v>12256</v>
      </c>
      <c r="M110" s="15">
        <v>12225</v>
      </c>
      <c r="N110" s="376">
        <v>13109</v>
      </c>
      <c r="O110" s="15">
        <v>12205</v>
      </c>
      <c r="P110" s="15">
        <v>12208</v>
      </c>
      <c r="Q110" s="15">
        <v>13115</v>
      </c>
      <c r="R110" s="15">
        <v>13102</v>
      </c>
      <c r="S110" s="15">
        <v>12322</v>
      </c>
      <c r="T110" s="15">
        <v>13125</v>
      </c>
      <c r="U110" s="15">
        <v>13105</v>
      </c>
      <c r="V110" s="15">
        <v>0</v>
      </c>
      <c r="W110" s="15">
        <v>13102</v>
      </c>
      <c r="X110" s="15">
        <v>13124</v>
      </c>
      <c r="Y110" s="15">
        <v>13096</v>
      </c>
      <c r="Z110" s="15">
        <v>10049</v>
      </c>
      <c r="AA110" s="15">
        <v>9968</v>
      </c>
      <c r="AB110" s="15">
        <v>9956</v>
      </c>
      <c r="AC110" s="15">
        <v>10026</v>
      </c>
      <c r="AD110" s="15">
        <v>8688</v>
      </c>
      <c r="AE110" s="15">
        <v>10008</v>
      </c>
      <c r="AF110" s="15">
        <v>9805</v>
      </c>
      <c r="AG110" s="15">
        <v>0</v>
      </c>
      <c r="AH110" s="15">
        <v>10001</v>
      </c>
      <c r="AI110" s="15">
        <v>0</v>
      </c>
      <c r="AJ110" s="15">
        <v>7800</v>
      </c>
      <c r="AK110" s="15">
        <v>8689</v>
      </c>
      <c r="AL110" s="15">
        <v>8686</v>
      </c>
      <c r="AM110" s="15">
        <v>8650</v>
      </c>
      <c r="AN110" s="15">
        <v>8912</v>
      </c>
      <c r="AO110" s="15">
        <v>8690</v>
      </c>
      <c r="AP110" s="15">
        <v>8686</v>
      </c>
      <c r="AQ110" s="15">
        <v>8672</v>
      </c>
      <c r="AR110" s="15">
        <v>8694</v>
      </c>
      <c r="AS110" s="16">
        <v>4.8499999999999996</v>
      </c>
      <c r="AT110" s="16">
        <v>5.37</v>
      </c>
      <c r="AU110" s="16">
        <v>4.76</v>
      </c>
      <c r="AV110" s="16">
        <v>4.7699999999999996</v>
      </c>
      <c r="AW110" s="16">
        <v>5.09</v>
      </c>
      <c r="AX110" s="16">
        <v>5.19</v>
      </c>
      <c r="AY110" s="16">
        <v>4.8</v>
      </c>
      <c r="AZ110" s="16">
        <v>4.87</v>
      </c>
      <c r="BA110" s="16">
        <v>5.25</v>
      </c>
      <c r="BB110" s="16">
        <v>4.9800000000000004</v>
      </c>
      <c r="BC110" s="16">
        <v>5.45</v>
      </c>
      <c r="BD110" s="16">
        <v>5.28</v>
      </c>
      <c r="BE110" s="16">
        <v>5.32</v>
      </c>
      <c r="BF110" s="16">
        <v>5.14</v>
      </c>
      <c r="BG110" s="16">
        <v>5.09</v>
      </c>
      <c r="BH110" s="16">
        <v>5.27</v>
      </c>
      <c r="BI110" s="16">
        <v>0</v>
      </c>
      <c r="BJ110" s="16">
        <v>5.36</v>
      </c>
      <c r="BK110" s="16">
        <v>6.59</v>
      </c>
      <c r="BL110" s="16">
        <v>5.63</v>
      </c>
      <c r="BM110" s="16">
        <v>5.4</v>
      </c>
      <c r="BN110" s="16">
        <v>5.44</v>
      </c>
      <c r="BO110" s="16">
        <v>4.66</v>
      </c>
      <c r="BP110" s="16">
        <v>4.9800000000000004</v>
      </c>
      <c r="BQ110" s="16">
        <v>4.95</v>
      </c>
      <c r="BR110" s="16">
        <v>4.71</v>
      </c>
      <c r="BS110" s="16">
        <v>4.88</v>
      </c>
      <c r="BT110" s="16">
        <v>0</v>
      </c>
      <c r="BU110" s="16">
        <v>4.8600000000000003</v>
      </c>
      <c r="BV110" s="16">
        <v>0</v>
      </c>
      <c r="BW110" s="16">
        <v>4.59</v>
      </c>
      <c r="BX110" s="16">
        <v>4.7300000000000004</v>
      </c>
      <c r="BY110" s="16">
        <v>4.88</v>
      </c>
      <c r="BZ110" s="16">
        <v>4.88</v>
      </c>
      <c r="CA110" s="16">
        <v>5.07</v>
      </c>
      <c r="CB110" s="16">
        <v>5.05</v>
      </c>
      <c r="CC110" s="16">
        <v>4.83</v>
      </c>
      <c r="CD110" s="16">
        <v>4.74</v>
      </c>
      <c r="CE110" s="16">
        <v>5.01</v>
      </c>
      <c r="CF110" s="17">
        <f>SUM(Input_Raw[[#This Row],[G01]:[G40]])</f>
        <v>393205</v>
      </c>
      <c r="CG110" s="18">
        <f>IFERROR(AVERAGE(Input_Raw[[#This Row],[WS_G01]:[WS_G40]]),"")</f>
        <v>4.6851282051282048</v>
      </c>
      <c r="CH110" s="19"/>
      <c r="CI110" s="19"/>
      <c r="CJ110" s="15">
        <v>247038</v>
      </c>
      <c r="CK110" s="15">
        <v>2195</v>
      </c>
      <c r="CL110" s="15">
        <v>286070</v>
      </c>
      <c r="CM110" s="15">
        <v>2220</v>
      </c>
      <c r="CN110" s="15">
        <v>263897</v>
      </c>
      <c r="CO110" s="15">
        <v>1827</v>
      </c>
      <c r="CP110" s="15">
        <v>300341</v>
      </c>
      <c r="CQ110" s="15">
        <v>1873</v>
      </c>
      <c r="CR110" s="91">
        <f>IF(((Input_Raw[[#This Row],[33 kV_Wind_F1_Export reading]]-CJ109)*1200)&gt;0,(Input_Raw[[#This Row],[33 kV_Wind_F1_Export reading]]-CJ109)*1200,0)</f>
        <v>85200</v>
      </c>
      <c r="CS110" s="91">
        <f>IF(((Input_Raw[[#This Row],[33 kV_Wind_F1_Import reading]]-CK109)*1200)&gt;0,(Input_Raw[[#This Row],[33 kV_Wind_F1_Import reading]]-CK109)*1200,0)</f>
        <v>0</v>
      </c>
      <c r="CT110" s="91">
        <f>IF(((Input_Raw[[#This Row],[33 kV_Wind_F2_Export_reading]]-CL109)*1200)&gt;0,(Input_Raw[[#This Row],[33 kV_Wind_F2_Export_reading]]-CL109)*1200,0)</f>
        <v>79200</v>
      </c>
      <c r="CU110" s="91">
        <f>IF(((Input_Raw[[#This Row],[33 kV_Wind_F2_Import_reading]]-CM109)*1200)&gt;0,(Input_Raw[[#This Row],[33 kV_Wind_F2_Import_reading]]-CM109)*1200,0)</f>
        <v>0</v>
      </c>
      <c r="CV110" s="91">
        <f>IF(((Input_Raw[[#This Row],[33 kV_Wind_F3_Export_Reading]]-CN109)*1200)&gt;0,(Input_Raw[[#This Row],[33 kV_Wind_F3_Export_Reading]]-CN109)*1200,0)</f>
        <v>109200</v>
      </c>
      <c r="CW110" s="91">
        <f>IF(((Input_Raw[[#This Row],[33 kV_Wind_F3_Import_Reading]]-CO109)*1200)&gt;0,(Input_Raw[[#This Row],[33 kV_Wind_F3_Import_Reading]]-CO109)*1200,0)</f>
        <v>0</v>
      </c>
      <c r="CX110" s="91">
        <f>IF(((Input_Raw[[#This Row],[33 kV_Wind_F4_Export Reading]]-CP109)*1200)&gt;0,(Input_Raw[[#This Row],[33 kV_Wind_F4_Export Reading]]-CP109)*1200,0)</f>
        <v>116400</v>
      </c>
      <c r="CY110" s="172"/>
      <c r="CZ110" s="172">
        <f>Input_Raw[[#This Row],[33 kV_F1_Total_Export (KWh)]]+Input_Raw[[#This Row],[33 kV_F2_Total_Export (KWh)2]]+Input_Raw[[#This Row],[33 kV_Wind_F3_Export (KWh)]]+Input_Raw[[#This Row],[33 kV_Wind_F4_Export (KWh)]]</f>
        <v>390000</v>
      </c>
      <c r="DA110" s="172">
        <f>Input_Raw[[#This Row],[33 kV_Wind_F1_Import (KWh)]]+Input_Raw[[#This Row],[33 kV_Wind_F2_Import (KWh)]]+Input_Raw[[#This Row],[33 kV_Wind_F3_Import (KWh)2]]+Input_Raw[[#This Row],[33 kV_Wind_F4_Import (KWh)2]]</f>
        <v>0</v>
      </c>
      <c r="DB110" s="21">
        <f>IFERROR(1-Input_Raw[[#This Row],[33 kV_Wind_Total_Export (KWh)]]/Input_Raw[[#This Row],[WTG Total Gneration (KWh)]],0)</f>
        <v>8.1509645096069505E-3</v>
      </c>
      <c r="DC110" s="100">
        <v>96</v>
      </c>
      <c r="DD110" s="100">
        <v>41357</v>
      </c>
      <c r="DE110" s="102">
        <f>Input_Raw[[#This Row],[WTG Total Gneration (KWh)]]/1000</f>
        <v>393.20499999999998</v>
      </c>
      <c r="DF110" s="99"/>
      <c r="DG110" s="101">
        <v>78</v>
      </c>
      <c r="DH110" s="168" t="s">
        <v>381</v>
      </c>
    </row>
    <row r="111" spans="1:112">
      <c r="A111" s="20">
        <f t="shared" si="7"/>
        <v>45851</v>
      </c>
      <c r="B111" s="12">
        <f>YEAR([1]!Input_Raw[[#This Row],[Date]])+IF(MONTH([1]!Input_Raw[[#This Row],[Date]])&gt;=4,1,0)</f>
        <v>2026</v>
      </c>
      <c r="C111" s="13">
        <f>YEAR([1]!Input_Raw[[#This Row],[Date]])</f>
        <v>2025</v>
      </c>
      <c r="D111" s="14">
        <f t="shared" si="8"/>
        <v>45839</v>
      </c>
      <c r="E111" s="13">
        <f>DAY(EOMONTH([1]!Input_Raw[[#This Row],[Date]],0))</f>
        <v>31</v>
      </c>
      <c r="F111" s="15">
        <v>14309</v>
      </c>
      <c r="G111" s="15">
        <v>14231</v>
      </c>
      <c r="H111" s="15">
        <v>14296</v>
      </c>
      <c r="I111" s="15">
        <v>14265</v>
      </c>
      <c r="J111" s="15">
        <v>12953</v>
      </c>
      <c r="K111" s="15">
        <v>14234</v>
      </c>
      <c r="L111" s="15">
        <v>14246</v>
      </c>
      <c r="M111" s="15">
        <v>14287</v>
      </c>
      <c r="N111" s="15">
        <v>15955</v>
      </c>
      <c r="O111" s="15">
        <v>14266</v>
      </c>
      <c r="P111" s="15">
        <v>13866</v>
      </c>
      <c r="Q111" s="15">
        <v>15962</v>
      </c>
      <c r="R111" s="15">
        <v>15963</v>
      </c>
      <c r="S111" s="15">
        <v>15995</v>
      </c>
      <c r="T111" s="15">
        <v>15913</v>
      </c>
      <c r="U111" s="15">
        <v>15964</v>
      </c>
      <c r="V111" s="15">
        <v>0</v>
      </c>
      <c r="W111" s="15">
        <v>15984</v>
      </c>
      <c r="X111" s="15">
        <v>15914</v>
      </c>
      <c r="Y111" s="15">
        <v>15950</v>
      </c>
      <c r="Z111" s="15">
        <v>12948</v>
      </c>
      <c r="AA111" s="15">
        <v>12934</v>
      </c>
      <c r="AB111" s="15">
        <v>12984</v>
      </c>
      <c r="AC111" s="15">
        <v>12958</v>
      </c>
      <c r="AD111" s="15">
        <v>11456</v>
      </c>
      <c r="AE111" s="15">
        <v>12967</v>
      </c>
      <c r="AF111" s="15">
        <v>12955</v>
      </c>
      <c r="AG111" s="15">
        <v>0</v>
      </c>
      <c r="AH111" s="15">
        <v>12111</v>
      </c>
      <c r="AI111" s="15">
        <v>0</v>
      </c>
      <c r="AJ111" s="15">
        <v>11443</v>
      </c>
      <c r="AK111" s="15">
        <v>11479</v>
      </c>
      <c r="AL111" s="15">
        <v>11489</v>
      </c>
      <c r="AM111" s="15">
        <v>11495</v>
      </c>
      <c r="AN111" s="15">
        <v>11447</v>
      </c>
      <c r="AO111" s="15">
        <v>11475</v>
      </c>
      <c r="AP111" s="15">
        <v>11502</v>
      </c>
      <c r="AQ111" s="15">
        <v>11534</v>
      </c>
      <c r="AR111" s="15">
        <v>11480</v>
      </c>
      <c r="AS111" s="16">
        <v>6.04</v>
      </c>
      <c r="AT111" s="16">
        <v>6.55</v>
      </c>
      <c r="AU111" s="16">
        <v>6.01</v>
      </c>
      <c r="AV111" s="16">
        <v>5.72</v>
      </c>
      <c r="AW111" s="16">
        <v>6.71</v>
      </c>
      <c r="AX111" s="16">
        <v>6.27</v>
      </c>
      <c r="AY111" s="16">
        <v>6</v>
      </c>
      <c r="AZ111" s="16">
        <v>5.79</v>
      </c>
      <c r="BA111" s="16">
        <v>6</v>
      </c>
      <c r="BB111" s="16">
        <v>6.65</v>
      </c>
      <c r="BC111" s="16">
        <v>6.61</v>
      </c>
      <c r="BD111" s="16">
        <v>6.36</v>
      </c>
      <c r="BE111" s="16">
        <v>6.31</v>
      </c>
      <c r="BF111" s="16">
        <v>6.18</v>
      </c>
      <c r="BG111" s="16">
        <v>6.29</v>
      </c>
      <c r="BH111" s="16">
        <v>6.5</v>
      </c>
      <c r="BI111" s="16">
        <v>0</v>
      </c>
      <c r="BJ111" s="16">
        <v>6.48</v>
      </c>
      <c r="BK111" s="16">
        <v>6.75</v>
      </c>
      <c r="BL111" s="16">
        <v>6.78</v>
      </c>
      <c r="BM111" s="16">
        <v>6.72</v>
      </c>
      <c r="BN111" s="16">
        <v>6.39</v>
      </c>
      <c r="BO111" s="16">
        <v>5.76</v>
      </c>
      <c r="BP111" s="16">
        <v>5.9</v>
      </c>
      <c r="BQ111" s="16">
        <v>6.3</v>
      </c>
      <c r="BR111" s="16">
        <v>5.66</v>
      </c>
      <c r="BS111" s="16">
        <v>5.5</v>
      </c>
      <c r="BT111" s="16">
        <v>0</v>
      </c>
      <c r="BU111" s="16">
        <v>5.28</v>
      </c>
      <c r="BV111" s="16">
        <v>0</v>
      </c>
      <c r="BW111" s="16">
        <v>5.85</v>
      </c>
      <c r="BX111" s="16">
        <v>5.65</v>
      </c>
      <c r="BY111" s="16">
        <v>5.63</v>
      </c>
      <c r="BZ111" s="16">
        <v>5.65</v>
      </c>
      <c r="CA111" s="16">
        <v>5.94</v>
      </c>
      <c r="CB111" s="16">
        <v>5.56</v>
      </c>
      <c r="CC111" s="16">
        <v>5.81</v>
      </c>
      <c r="CD111" s="16">
        <v>5.84</v>
      </c>
      <c r="CE111" s="16">
        <v>5.94</v>
      </c>
      <c r="CF111" s="17">
        <f>SUM(Input_Raw[[#This Row],[G01]:[G40]])</f>
        <v>489210</v>
      </c>
      <c r="CG111" s="18">
        <f>IFERROR(AVERAGE(Input_Raw[[#This Row],[WS_G01]:[WS_G40]]),"")</f>
        <v>5.6251282051282052</v>
      </c>
      <c r="CH111" s="19"/>
      <c r="CI111" s="19"/>
      <c r="CJ111" s="15">
        <v>247133</v>
      </c>
      <c r="CK111" s="15">
        <v>2195</v>
      </c>
      <c r="CL111" s="15">
        <v>286155</v>
      </c>
      <c r="CM111" s="15">
        <v>2220</v>
      </c>
      <c r="CN111" s="15">
        <v>264003</v>
      </c>
      <c r="CO111" s="15">
        <v>1827</v>
      </c>
      <c r="CP111" s="15">
        <v>300460</v>
      </c>
      <c r="CQ111" s="15">
        <v>1873</v>
      </c>
      <c r="CR111" s="91">
        <f>IF(((Input_Raw[[#This Row],[33 kV_Wind_F1_Export reading]]-CJ110)*1200)&gt;0,(Input_Raw[[#This Row],[33 kV_Wind_F1_Export reading]]-CJ110)*1200,0)</f>
        <v>114000</v>
      </c>
      <c r="CS111" s="91">
        <f>IF(((Input_Raw[[#This Row],[33 kV_Wind_F1_Import reading]]-CK110)*1200)&gt;0,(Input_Raw[[#This Row],[33 kV_Wind_F1_Import reading]]-CK110)*1200,0)</f>
        <v>0</v>
      </c>
      <c r="CT111" s="91">
        <f>IF(((Input_Raw[[#This Row],[33 kV_Wind_F2_Export_reading]]-CL110)*1200)&gt;0,(Input_Raw[[#This Row],[33 kV_Wind_F2_Export_reading]]-CL110)*1200,0)</f>
        <v>102000</v>
      </c>
      <c r="CU111" s="91">
        <f>IF(((Input_Raw[[#This Row],[33 kV_Wind_F2_Import_reading]]-CM110)*1200)&gt;0,(Input_Raw[[#This Row],[33 kV_Wind_F2_Import_reading]]-CM110)*1200,0)</f>
        <v>0</v>
      </c>
      <c r="CV111" s="91">
        <f>IF(((Input_Raw[[#This Row],[33 kV_Wind_F3_Export_Reading]]-CN110)*1200)&gt;0,(Input_Raw[[#This Row],[33 kV_Wind_F3_Export_Reading]]-CN110)*1200,0)</f>
        <v>127200</v>
      </c>
      <c r="CW111" s="91">
        <f>IF(((Input_Raw[[#This Row],[33 kV_Wind_F3_Import_Reading]]-CO110)*1200)&gt;0,(Input_Raw[[#This Row],[33 kV_Wind_F3_Import_Reading]]-CO110)*1200,0)</f>
        <v>0</v>
      </c>
      <c r="CX111" s="91">
        <f>IF(((Input_Raw[[#This Row],[33 kV_Wind_F4_Export Reading]]-CP110)*1200)&gt;0,(Input_Raw[[#This Row],[33 kV_Wind_F4_Export Reading]]-CP110)*1200,0)</f>
        <v>142800</v>
      </c>
      <c r="CY111" s="172"/>
      <c r="CZ111" s="172">
        <f>Input_Raw[[#This Row],[33 kV_F1_Total_Export (KWh)]]+Input_Raw[[#This Row],[33 kV_F2_Total_Export (KWh)2]]+Input_Raw[[#This Row],[33 kV_Wind_F3_Export (KWh)]]+Input_Raw[[#This Row],[33 kV_Wind_F4_Export (KWh)]]</f>
        <v>486000</v>
      </c>
      <c r="DA111" s="172">
        <f>Input_Raw[[#This Row],[33 kV_Wind_F1_Import (KWh)]]+Input_Raw[[#This Row],[33 kV_Wind_F2_Import (KWh)]]+Input_Raw[[#This Row],[33 kV_Wind_F3_Import (KWh)2]]+Input_Raw[[#This Row],[33 kV_Wind_F4_Import (KWh)2]]</f>
        <v>0</v>
      </c>
      <c r="DB111" s="21">
        <f>IFERROR(1-Input_Raw[[#This Row],[33 kV_Wind_Total_Export (KWh)]]/Input_Raw[[#This Row],[WTG Total Gneration (KWh)]],0)</f>
        <v>6.5615993131783457E-3</v>
      </c>
      <c r="DC111" s="100">
        <v>96</v>
      </c>
      <c r="DD111" s="100">
        <v>71953</v>
      </c>
      <c r="DE111" s="102">
        <f>Input_Raw[[#This Row],[WTG Total Gneration (KWh)]]/1000</f>
        <v>489.21</v>
      </c>
      <c r="DF111" s="99"/>
      <c r="DG111" s="101">
        <v>78</v>
      </c>
      <c r="DH111" s="168" t="s">
        <v>381</v>
      </c>
    </row>
    <row r="112" spans="1:112">
      <c r="A112" s="20">
        <f t="shared" si="7"/>
        <v>45852</v>
      </c>
      <c r="B112" s="12">
        <f>YEAR([1]!Input_Raw[[#This Row],[Date]])+IF(MONTH([1]!Input_Raw[[#This Row],[Date]])&gt;=4,1,0)</f>
        <v>2026</v>
      </c>
      <c r="C112" s="13">
        <f>YEAR([1]!Input_Raw[[#This Row],[Date]])</f>
        <v>2025</v>
      </c>
      <c r="D112" s="14">
        <f t="shared" si="8"/>
        <v>45839</v>
      </c>
      <c r="E112" s="13">
        <f>DAY(EOMONTH([1]!Input_Raw[[#This Row],[Date]],0))</f>
        <v>31</v>
      </c>
      <c r="F112" s="15">
        <v>20195</v>
      </c>
      <c r="G112" s="15">
        <v>20990</v>
      </c>
      <c r="H112" s="15">
        <v>20981</v>
      </c>
      <c r="I112" s="15">
        <v>20047</v>
      </c>
      <c r="J112" s="15">
        <v>18626</v>
      </c>
      <c r="K112" s="15">
        <v>20027</v>
      </c>
      <c r="L112" s="15">
        <v>20987</v>
      </c>
      <c r="M112" s="15">
        <v>20989</v>
      </c>
      <c r="N112" s="15">
        <v>22625</v>
      </c>
      <c r="O112" s="15">
        <v>20992</v>
      </c>
      <c r="P112" s="15">
        <v>20999</v>
      </c>
      <c r="Q112" s="15">
        <v>21747</v>
      </c>
      <c r="R112" s="15">
        <v>22636</v>
      </c>
      <c r="S112" s="15">
        <v>22639</v>
      </c>
      <c r="T112" s="15">
        <v>22645</v>
      </c>
      <c r="U112" s="15">
        <v>22638</v>
      </c>
      <c r="V112" s="15">
        <v>0</v>
      </c>
      <c r="W112" s="15">
        <v>22636</v>
      </c>
      <c r="X112" s="15">
        <v>22647</v>
      </c>
      <c r="Y112" s="15">
        <v>21587</v>
      </c>
      <c r="Z112" s="15">
        <v>18639</v>
      </c>
      <c r="AA112" s="15">
        <v>18640</v>
      </c>
      <c r="AB112" s="15">
        <v>18637</v>
      </c>
      <c r="AC112" s="15">
        <v>18647</v>
      </c>
      <c r="AD112" s="15">
        <v>18396</v>
      </c>
      <c r="AE112" s="15">
        <v>18638</v>
      </c>
      <c r="AF112" s="15">
        <v>18636</v>
      </c>
      <c r="AG112" s="15">
        <v>0</v>
      </c>
      <c r="AH112" s="15">
        <v>18645</v>
      </c>
      <c r="AI112" s="15">
        <v>0</v>
      </c>
      <c r="AJ112" s="15">
        <v>18396</v>
      </c>
      <c r="AK112" s="15">
        <v>18397</v>
      </c>
      <c r="AL112" s="15">
        <v>18398</v>
      </c>
      <c r="AM112" s="15">
        <v>18395</v>
      </c>
      <c r="AN112" s="15">
        <v>18397</v>
      </c>
      <c r="AO112" s="15">
        <v>18396</v>
      </c>
      <c r="AP112" s="15">
        <v>18396</v>
      </c>
      <c r="AQ112" s="15">
        <v>18398</v>
      </c>
      <c r="AR112" s="15">
        <v>18399</v>
      </c>
      <c r="AS112" s="16">
        <v>5.0754985294117674</v>
      </c>
      <c r="AT112" s="16">
        <v>5.3434958333333338</v>
      </c>
      <c r="AU112" s="16">
        <v>5.0553076388888858</v>
      </c>
      <c r="AV112" s="16">
        <v>5.8</v>
      </c>
      <c r="AW112" s="16">
        <v>5</v>
      </c>
      <c r="AX112" s="16">
        <v>5.4</v>
      </c>
      <c r="AY112" s="16">
        <v>4.9429823529411756</v>
      </c>
      <c r="AZ112" s="16">
        <v>4.9764632352941165</v>
      </c>
      <c r="BA112" s="16">
        <v>5.2576333333333336</v>
      </c>
      <c r="BB112" s="16">
        <v>5.670325663716814</v>
      </c>
      <c r="BC112" s="16">
        <v>5.5863234234234236</v>
      </c>
      <c r="BD112" s="16">
        <v>5.4673336283185847</v>
      </c>
      <c r="BE112" s="16">
        <v>5.2683985294117646</v>
      </c>
      <c r="BF112" s="16">
        <v>5.2848022058823538</v>
      </c>
      <c r="BG112" s="16">
        <v>5.2838499999999984</v>
      </c>
      <c r="BH112" s="16">
        <v>5.0754985294117674</v>
      </c>
      <c r="BI112" s="16">
        <v>0</v>
      </c>
      <c r="BJ112" s="16">
        <v>5.0553076388888858</v>
      </c>
      <c r="BK112" s="16">
        <v>5.8</v>
      </c>
      <c r="BL112" s="16">
        <v>5.3</v>
      </c>
      <c r="BM112" s="16">
        <v>5.9</v>
      </c>
      <c r="BN112" s="16">
        <v>4.9429823529411756</v>
      </c>
      <c r="BO112" s="16">
        <v>4.9764632352941165</v>
      </c>
      <c r="BP112" s="16">
        <v>5.2576333333333336</v>
      </c>
      <c r="BQ112" s="16">
        <v>5.670325663716814</v>
      </c>
      <c r="BR112" s="16">
        <v>5.5863234234234236</v>
      </c>
      <c r="BS112" s="16">
        <v>5.4673336283185847</v>
      </c>
      <c r="BT112" s="16">
        <v>0</v>
      </c>
      <c r="BU112" s="16">
        <v>5.2848022058823538</v>
      </c>
      <c r="BV112" s="16">
        <v>0</v>
      </c>
      <c r="BW112" s="16">
        <v>5.5</v>
      </c>
      <c r="BX112" s="16">
        <v>5.3</v>
      </c>
      <c r="BY112" s="16">
        <v>6.7</v>
      </c>
      <c r="BZ112" s="16">
        <v>6.1</v>
      </c>
      <c r="CA112" s="16">
        <v>5.2</v>
      </c>
      <c r="CB112" s="16">
        <v>5.7</v>
      </c>
      <c r="CC112" s="16">
        <v>5.2</v>
      </c>
      <c r="CD112" s="16">
        <v>5.9</v>
      </c>
      <c r="CE112" s="16">
        <v>5.7</v>
      </c>
      <c r="CF112" s="17">
        <f>SUM(Input_Raw[[#This Row],[G01]:[G40]])</f>
        <v>721083</v>
      </c>
      <c r="CG112" s="18">
        <f>IFERROR(AVERAGE(Input_Raw[[#This Row],[WS_G01]:[WS_G40]]),"")</f>
        <v>5.000745753465794</v>
      </c>
      <c r="CH112" s="19"/>
      <c r="CI112" s="19"/>
      <c r="CJ112" s="15">
        <v>247286</v>
      </c>
      <c r="CK112" s="15">
        <v>2195</v>
      </c>
      <c r="CL112" s="15">
        <v>286279</v>
      </c>
      <c r="CM112" s="15">
        <v>2220</v>
      </c>
      <c r="CN112" s="15">
        <v>264158</v>
      </c>
      <c r="CO112" s="15">
        <v>1827</v>
      </c>
      <c r="CP112" s="15">
        <v>300628</v>
      </c>
      <c r="CQ112" s="15">
        <v>1873</v>
      </c>
      <c r="CR112" s="91">
        <f>IF(((Input_Raw[[#This Row],[33 kV_Wind_F1_Export reading]]-CJ111)*1200)&gt;0,(Input_Raw[[#This Row],[33 kV_Wind_F1_Export reading]]-CJ111)*1200,0)</f>
        <v>183600</v>
      </c>
      <c r="CS112" s="91">
        <f>IF(((Input_Raw[[#This Row],[33 kV_Wind_F1_Import reading]]-CK111)*1200)&gt;0,(Input_Raw[[#This Row],[33 kV_Wind_F1_Import reading]]-CK111)*1200,0)</f>
        <v>0</v>
      </c>
      <c r="CT112" s="91">
        <f>IF(((Input_Raw[[#This Row],[33 kV_Wind_F2_Export_reading]]-CL111)*1200)&gt;0,(Input_Raw[[#This Row],[33 kV_Wind_F2_Export_reading]]-CL111)*1200,0)</f>
        <v>148800</v>
      </c>
      <c r="CU112" s="91">
        <f>IF(((Input_Raw[[#This Row],[33 kV_Wind_F2_Import_reading]]-CM111)*1200)&gt;0,(Input_Raw[[#This Row],[33 kV_Wind_F2_Import_reading]]-CM111)*1200,0)</f>
        <v>0</v>
      </c>
      <c r="CV112" s="91">
        <f>IF(((Input_Raw[[#This Row],[33 kV_Wind_F3_Export_Reading]]-CN111)*1200)&gt;0,(Input_Raw[[#This Row],[33 kV_Wind_F3_Export_Reading]]-CN111)*1200,0)</f>
        <v>186000</v>
      </c>
      <c r="CW112" s="91">
        <f>IF(((Input_Raw[[#This Row],[33 kV_Wind_F3_Import_Reading]]-CO111)*1200)&gt;0,(Input_Raw[[#This Row],[33 kV_Wind_F3_Import_Reading]]-CO111)*1200,0)</f>
        <v>0</v>
      </c>
      <c r="CX112" s="91">
        <f>IF(((Input_Raw[[#This Row],[33 kV_Wind_F4_Export Reading]]-CP111)*1200)&gt;0,(Input_Raw[[#This Row],[33 kV_Wind_F4_Export Reading]]-CP111)*1200,0)</f>
        <v>201600</v>
      </c>
      <c r="CY112" s="172"/>
      <c r="CZ112" s="172">
        <f>Input_Raw[[#This Row],[33 kV_F1_Total_Export (KWh)]]+Input_Raw[[#This Row],[33 kV_F2_Total_Export (KWh)2]]+Input_Raw[[#This Row],[33 kV_Wind_F3_Export (KWh)]]+Input_Raw[[#This Row],[33 kV_Wind_F4_Export (KWh)]]</f>
        <v>720000</v>
      </c>
      <c r="DA112" s="172">
        <f>Input_Raw[[#This Row],[33 kV_Wind_F1_Import (KWh)]]+Input_Raw[[#This Row],[33 kV_Wind_F2_Import (KWh)]]+Input_Raw[[#This Row],[33 kV_Wind_F3_Import (KWh)2]]+Input_Raw[[#This Row],[33 kV_Wind_F4_Import (KWh)2]]</f>
        <v>0</v>
      </c>
      <c r="DB112" s="21">
        <f>IFERROR(1-Input_Raw[[#This Row],[33 kV_Wind_Total_Export (KWh)]]/Input_Raw[[#This Row],[WTG Total Gneration (KWh)]],0)</f>
        <v>1.5019075473974297E-3</v>
      </c>
      <c r="DC112" s="100">
        <v>96</v>
      </c>
      <c r="DD112" s="100">
        <v>243449</v>
      </c>
      <c r="DE112" s="102">
        <f>Input_Raw[[#This Row],[WTG Total Gneration (KWh)]]/1000</f>
        <v>721.08299999999997</v>
      </c>
      <c r="DF112" s="99"/>
      <c r="DG112" s="101">
        <v>78</v>
      </c>
      <c r="DH112" s="168" t="s">
        <v>381</v>
      </c>
    </row>
    <row r="113" spans="1:112">
      <c r="A113" s="20">
        <f t="shared" si="7"/>
        <v>45853</v>
      </c>
      <c r="B113" s="12">
        <f>YEAR([1]!Input_Raw[[#This Row],[Date]])+IF(MONTH([1]!Input_Raw[[#This Row],[Date]])&gt;=4,1,0)</f>
        <v>2026</v>
      </c>
      <c r="C113" s="13">
        <f>YEAR([1]!Input_Raw[[#This Row],[Date]])</f>
        <v>2025</v>
      </c>
      <c r="D113" s="14">
        <f t="shared" si="8"/>
        <v>45839</v>
      </c>
      <c r="E113" s="13">
        <f>DAY(EOMONTH([1]!Input_Raw[[#This Row],[Date]],0))</f>
        <v>31</v>
      </c>
      <c r="F113" s="15">
        <v>10622</v>
      </c>
      <c r="G113" s="15">
        <v>10656</v>
      </c>
      <c r="H113" s="15">
        <v>10652</v>
      </c>
      <c r="I113" s="15">
        <v>10635</v>
      </c>
      <c r="J113" s="15">
        <v>8787</v>
      </c>
      <c r="K113" s="15">
        <v>10589</v>
      </c>
      <c r="L113" s="15">
        <v>10602</v>
      </c>
      <c r="M113" s="15">
        <v>10611</v>
      </c>
      <c r="N113" s="379">
        <v>12488</v>
      </c>
      <c r="O113" s="15">
        <v>10650</v>
      </c>
      <c r="P113" s="15">
        <v>10583</v>
      </c>
      <c r="Q113" s="15">
        <v>12495</v>
      </c>
      <c r="R113" s="15">
        <v>12486</v>
      </c>
      <c r="S113" s="15">
        <v>12465</v>
      </c>
      <c r="T113" s="15">
        <v>12444</v>
      </c>
      <c r="U113" s="15">
        <v>12435</v>
      </c>
      <c r="V113" s="15">
        <v>0</v>
      </c>
      <c r="W113" s="15">
        <v>12478</v>
      </c>
      <c r="X113" s="15">
        <v>12499</v>
      </c>
      <c r="Y113" s="15">
        <v>12610</v>
      </c>
      <c r="Z113" s="15">
        <v>8796</v>
      </c>
      <c r="AA113" s="15">
        <v>8767</v>
      </c>
      <c r="AB113" s="15">
        <v>8759</v>
      </c>
      <c r="AC113" s="15">
        <v>8867</v>
      </c>
      <c r="AD113" s="15">
        <v>8260</v>
      </c>
      <c r="AE113" s="15">
        <v>8742</v>
      </c>
      <c r="AF113" s="15">
        <v>8793</v>
      </c>
      <c r="AG113" s="15">
        <v>0</v>
      </c>
      <c r="AH113" s="15">
        <v>8789</v>
      </c>
      <c r="AI113" s="15">
        <v>0</v>
      </c>
      <c r="AJ113" s="15">
        <v>6678</v>
      </c>
      <c r="AK113" s="15">
        <v>7235</v>
      </c>
      <c r="AL113" s="15">
        <v>8259</v>
      </c>
      <c r="AM113" s="15">
        <v>8295</v>
      </c>
      <c r="AN113" s="15">
        <v>8288</v>
      </c>
      <c r="AO113" s="15">
        <v>8243</v>
      </c>
      <c r="AP113" s="15">
        <v>8263</v>
      </c>
      <c r="AQ113" s="15">
        <v>8214</v>
      </c>
      <c r="AR113" s="15">
        <v>8265</v>
      </c>
      <c r="AS113" s="16">
        <v>5.44</v>
      </c>
      <c r="AT113" s="16">
        <v>4.66</v>
      </c>
      <c r="AU113" s="16">
        <v>4.9800000000000004</v>
      </c>
      <c r="AV113" s="16">
        <v>4.95</v>
      </c>
      <c r="AW113" s="16">
        <v>4.71</v>
      </c>
      <c r="AX113" s="16">
        <v>4.88</v>
      </c>
      <c r="AY113" s="16">
        <v>3.8</v>
      </c>
      <c r="AZ113" s="16">
        <v>4.8600000000000003</v>
      </c>
      <c r="BA113" s="16">
        <v>3.76</v>
      </c>
      <c r="BB113" s="16">
        <v>4.59</v>
      </c>
      <c r="BC113" s="16">
        <v>4.7300000000000004</v>
      </c>
      <c r="BD113" s="16">
        <v>4.88</v>
      </c>
      <c r="BE113" s="16">
        <v>4.88</v>
      </c>
      <c r="BF113" s="16">
        <v>5.07</v>
      </c>
      <c r="BG113" s="16">
        <v>5.05</v>
      </c>
      <c r="BH113" s="16">
        <v>4.83</v>
      </c>
      <c r="BI113" s="16">
        <v>0</v>
      </c>
      <c r="BJ113" s="16">
        <v>5.01</v>
      </c>
      <c r="BK113" s="16">
        <v>5.44</v>
      </c>
      <c r="BL113" s="16">
        <v>4.66</v>
      </c>
      <c r="BM113" s="16">
        <v>4.9800000000000004</v>
      </c>
      <c r="BN113" s="16">
        <v>4.95</v>
      </c>
      <c r="BO113" s="16">
        <v>4.71</v>
      </c>
      <c r="BP113" s="16">
        <v>4.88</v>
      </c>
      <c r="BQ113" s="16">
        <v>3.8</v>
      </c>
      <c r="BR113" s="16">
        <v>4.8600000000000003</v>
      </c>
      <c r="BS113" s="16">
        <v>3.76</v>
      </c>
      <c r="BT113" s="16">
        <v>0</v>
      </c>
      <c r="BU113" s="16">
        <v>4.7300000000000004</v>
      </c>
      <c r="BV113" s="16">
        <v>0</v>
      </c>
      <c r="BW113" s="16">
        <v>4.88</v>
      </c>
      <c r="BX113" s="16">
        <v>5.07</v>
      </c>
      <c r="BY113" s="16">
        <v>5.05</v>
      </c>
      <c r="BZ113" s="16">
        <v>4.83</v>
      </c>
      <c r="CA113" s="16">
        <v>4.2</v>
      </c>
      <c r="CB113" s="16">
        <v>5.01</v>
      </c>
      <c r="CC113" s="16">
        <v>4.0999999999999996</v>
      </c>
      <c r="CD113" s="16">
        <v>3.9</v>
      </c>
      <c r="CE113" s="16">
        <v>3.8</v>
      </c>
      <c r="CF113" s="17">
        <f>SUM(Input_Raw[[#This Row],[G01]:[G40]])</f>
        <v>358300</v>
      </c>
      <c r="CG113" s="18">
        <f>IFERROR(AVERAGE(Input_Raw[[#This Row],[WS_G01]:[WS_G40]]),"")</f>
        <v>4.3253846153846149</v>
      </c>
      <c r="CH113" s="19"/>
      <c r="CI113" s="19"/>
      <c r="CJ113" s="15">
        <v>247352</v>
      </c>
      <c r="CK113" s="15">
        <v>2195</v>
      </c>
      <c r="CL113" s="15">
        <v>286337</v>
      </c>
      <c r="CM113" s="15">
        <v>2220</v>
      </c>
      <c r="CN113" s="15">
        <v>264237</v>
      </c>
      <c r="CO113" s="15">
        <v>1827</v>
      </c>
      <c r="CP113" s="15">
        <v>300721</v>
      </c>
      <c r="CQ113" s="15">
        <v>1873</v>
      </c>
      <c r="CR113" s="91">
        <f>IF(((Input_Raw[[#This Row],[33 kV_Wind_F1_Export reading]]-CJ112)*1200)&gt;0,(Input_Raw[[#This Row],[33 kV_Wind_F1_Export reading]]-CJ112)*1200,0)</f>
        <v>79200</v>
      </c>
      <c r="CS113" s="91">
        <f>IF(((Input_Raw[[#This Row],[33 kV_Wind_F1_Import reading]]-CK112)*1200)&gt;0,(Input_Raw[[#This Row],[33 kV_Wind_F1_Import reading]]-CK112)*1200,0)</f>
        <v>0</v>
      </c>
      <c r="CT113" s="91">
        <f>IF(((Input_Raw[[#This Row],[33 kV_Wind_F2_Export_reading]]-CL112)*1200)&gt;0,(Input_Raw[[#This Row],[33 kV_Wind_F2_Export_reading]]-CL112)*1200,0)</f>
        <v>69600</v>
      </c>
      <c r="CU113" s="91">
        <f>IF(((Input_Raw[[#This Row],[33 kV_Wind_F2_Import_reading]]-CM112)*1200)&gt;0,(Input_Raw[[#This Row],[33 kV_Wind_F2_Import_reading]]-CM112)*1200,0)</f>
        <v>0</v>
      </c>
      <c r="CV113" s="91">
        <f>IF(((Input_Raw[[#This Row],[33 kV_Wind_F3_Export_Reading]]-CN112)*1200)&gt;0,(Input_Raw[[#This Row],[33 kV_Wind_F3_Export_Reading]]-CN112)*1200,0)</f>
        <v>94800</v>
      </c>
      <c r="CW113" s="91">
        <f>IF(((Input_Raw[[#This Row],[33 kV_Wind_F3_Import_Reading]]-CO112)*1200)&gt;0,(Input_Raw[[#This Row],[33 kV_Wind_F3_Import_Reading]]-CO112)*1200,0)</f>
        <v>0</v>
      </c>
      <c r="CX113" s="91">
        <f>IF(((Input_Raw[[#This Row],[33 kV_Wind_F4_Export Reading]]-CP112)*1200)&gt;0,(Input_Raw[[#This Row],[33 kV_Wind_F4_Export Reading]]-CP112)*1200,0)</f>
        <v>111600</v>
      </c>
      <c r="CY113" s="172"/>
      <c r="CZ113" s="172">
        <f>Input_Raw[[#This Row],[33 kV_F1_Total_Export (KWh)]]+Input_Raw[[#This Row],[33 kV_F2_Total_Export (KWh)2]]+Input_Raw[[#This Row],[33 kV_Wind_F3_Export (KWh)]]+Input_Raw[[#This Row],[33 kV_Wind_F4_Export (KWh)]]</f>
        <v>355200</v>
      </c>
      <c r="DA113" s="172">
        <f>Input_Raw[[#This Row],[33 kV_Wind_F1_Import (KWh)]]+Input_Raw[[#This Row],[33 kV_Wind_F2_Import (KWh)]]+Input_Raw[[#This Row],[33 kV_Wind_F3_Import (KWh)2]]+Input_Raw[[#This Row],[33 kV_Wind_F4_Import (KWh)2]]</f>
        <v>0</v>
      </c>
      <c r="DB113" s="21">
        <f>IFERROR(1-Input_Raw[[#This Row],[33 kV_Wind_Total_Export (KWh)]]/Input_Raw[[#This Row],[WTG Total Gneration (KWh)]],0)</f>
        <v>8.6519676248952848E-3</v>
      </c>
      <c r="DC113" s="100">
        <v>96</v>
      </c>
      <c r="DD113" s="100">
        <v>47732</v>
      </c>
      <c r="DE113" s="102">
        <f>Input_Raw[[#This Row],[WTG Total Gneration (KWh)]]/1000</f>
        <v>358.3</v>
      </c>
      <c r="DF113" s="99"/>
      <c r="DG113" s="101">
        <v>78</v>
      </c>
      <c r="DH113" s="168" t="s">
        <v>381</v>
      </c>
    </row>
    <row r="114" spans="1:112">
      <c r="A114" s="20">
        <f t="shared" si="7"/>
        <v>45854</v>
      </c>
      <c r="B114" s="12">
        <f>YEAR([1]!Input_Raw[[#This Row],[Date]])+IF(MONTH([1]!Input_Raw[[#This Row],[Date]])&gt;=4,1,0)</f>
        <v>2026</v>
      </c>
      <c r="C114" s="13">
        <f>YEAR([1]!Input_Raw[[#This Row],[Date]])</f>
        <v>2025</v>
      </c>
      <c r="D114" s="14">
        <f t="shared" si="8"/>
        <v>45839</v>
      </c>
      <c r="E114" s="13">
        <f>DAY(EOMONTH([1]!Input_Raw[[#This Row],[Date]],0))</f>
        <v>31</v>
      </c>
      <c r="F114" s="15">
        <v>3766</v>
      </c>
      <c r="G114" s="15">
        <v>3756</v>
      </c>
      <c r="H114" s="15">
        <v>3768</v>
      </c>
      <c r="I114" s="15">
        <v>3784</v>
      </c>
      <c r="J114" s="15">
        <v>3742</v>
      </c>
      <c r="K114" s="15">
        <v>3744</v>
      </c>
      <c r="L114" s="15">
        <v>3752</v>
      </c>
      <c r="M114" s="15">
        <v>3759</v>
      </c>
      <c r="N114" s="15">
        <v>3442</v>
      </c>
      <c r="O114" s="15">
        <v>3798</v>
      </c>
      <c r="P114" s="15">
        <v>3773</v>
      </c>
      <c r="Q114" s="15">
        <v>3358</v>
      </c>
      <c r="R114" s="15">
        <v>3498</v>
      </c>
      <c r="S114" s="15">
        <v>3486</v>
      </c>
      <c r="T114" s="15">
        <v>3002</v>
      </c>
      <c r="U114" s="15">
        <v>3456</v>
      </c>
      <c r="V114" s="15">
        <v>911</v>
      </c>
      <c r="W114" s="15">
        <v>3453</v>
      </c>
      <c r="X114" s="15">
        <v>3426</v>
      </c>
      <c r="Y114" s="15">
        <v>3417</v>
      </c>
      <c r="Z114" s="15">
        <v>3746</v>
      </c>
      <c r="AA114" s="15">
        <v>3750</v>
      </c>
      <c r="AB114" s="15">
        <v>3741</v>
      </c>
      <c r="AC114" s="15">
        <v>3750</v>
      </c>
      <c r="AD114" s="15">
        <v>3041</v>
      </c>
      <c r="AE114" s="15">
        <v>3789</v>
      </c>
      <c r="AF114" s="15">
        <v>3723</v>
      </c>
      <c r="AG114" s="15">
        <v>0</v>
      </c>
      <c r="AH114" s="15">
        <v>3759</v>
      </c>
      <c r="AI114" s="15">
        <v>0</v>
      </c>
      <c r="AJ114" s="15">
        <v>3052</v>
      </c>
      <c r="AK114" s="15">
        <v>2852</v>
      </c>
      <c r="AL114" s="15">
        <v>3038</v>
      </c>
      <c r="AM114" s="15">
        <v>3065</v>
      </c>
      <c r="AN114" s="15">
        <v>3029</v>
      </c>
      <c r="AO114" s="15">
        <v>3022</v>
      </c>
      <c r="AP114" s="15">
        <v>3030</v>
      </c>
      <c r="AQ114" s="15">
        <v>3045</v>
      </c>
      <c r="AR114" s="15">
        <v>3026</v>
      </c>
      <c r="AS114" s="16">
        <v>3.93</v>
      </c>
      <c r="AT114" s="16">
        <v>3.99</v>
      </c>
      <c r="AU114" s="16">
        <v>3.9</v>
      </c>
      <c r="AV114" s="16">
        <v>3.78</v>
      </c>
      <c r="AW114" s="16">
        <v>3.4</v>
      </c>
      <c r="AX114" s="16">
        <v>4.13</v>
      </c>
      <c r="AY114" s="16">
        <v>3.8</v>
      </c>
      <c r="AZ114" s="16">
        <v>4.05</v>
      </c>
      <c r="BA114" s="16">
        <v>3.76</v>
      </c>
      <c r="BB114" s="16">
        <v>3.86</v>
      </c>
      <c r="BC114" s="16">
        <v>4.0599999999999996</v>
      </c>
      <c r="BD114" s="16">
        <v>3.98</v>
      </c>
      <c r="BE114" s="16">
        <v>4.04</v>
      </c>
      <c r="BF114" s="16">
        <v>4.03</v>
      </c>
      <c r="BG114" s="16">
        <v>3.88</v>
      </c>
      <c r="BH114" s="16">
        <v>4.18</v>
      </c>
      <c r="BI114" s="16">
        <v>3.41</v>
      </c>
      <c r="BJ114" s="16">
        <v>4.09</v>
      </c>
      <c r="BK114" s="16">
        <v>4.29</v>
      </c>
      <c r="BL114" s="16">
        <v>4.0599999999999996</v>
      </c>
      <c r="BM114" s="16">
        <v>4.5</v>
      </c>
      <c r="BN114" s="16">
        <v>3.75</v>
      </c>
      <c r="BO114" s="16">
        <v>3.14</v>
      </c>
      <c r="BP114" s="16">
        <v>3.53</v>
      </c>
      <c r="BQ114" s="16">
        <v>3.02</v>
      </c>
      <c r="BR114" s="16">
        <v>3.42</v>
      </c>
      <c r="BS114" s="16">
        <v>3.48</v>
      </c>
      <c r="BT114" s="16">
        <v>0</v>
      </c>
      <c r="BU114" s="16">
        <v>3.31</v>
      </c>
      <c r="BV114" s="16">
        <v>0</v>
      </c>
      <c r="BW114" s="16">
        <v>3.29</v>
      </c>
      <c r="BX114" s="16">
        <v>3.51</v>
      </c>
      <c r="BY114" s="16">
        <v>3.38</v>
      </c>
      <c r="BZ114" s="16">
        <v>3.42</v>
      </c>
      <c r="CA114" s="16">
        <v>3.69</v>
      </c>
      <c r="CB114" s="16">
        <v>3.98</v>
      </c>
      <c r="CC114" s="16">
        <v>3.43</v>
      </c>
      <c r="CD114" s="16">
        <v>3.41</v>
      </c>
      <c r="CE114" s="16">
        <v>3.47</v>
      </c>
      <c r="CF114" s="17">
        <f>SUM(Input_Raw[[#This Row],[G01]:[G40]])</f>
        <v>125549</v>
      </c>
      <c r="CG114" s="18">
        <f>IFERROR(AVERAGE(Input_Raw[[#This Row],[WS_G01]:[WS_G40]]),"")</f>
        <v>3.5474358974358982</v>
      </c>
      <c r="CH114" s="19"/>
      <c r="CI114" s="19"/>
      <c r="CJ114" s="15">
        <v>247377</v>
      </c>
      <c r="CK114" s="15">
        <v>2196</v>
      </c>
      <c r="CL114" s="15">
        <v>286361</v>
      </c>
      <c r="CM114" s="15">
        <v>2221</v>
      </c>
      <c r="CN114" s="15">
        <v>264265</v>
      </c>
      <c r="CO114" s="15">
        <v>1828</v>
      </c>
      <c r="CP114" s="15">
        <v>300747</v>
      </c>
      <c r="CQ114" s="15">
        <v>1874</v>
      </c>
      <c r="CR114" s="91">
        <f>IF(((Input_Raw[[#This Row],[33 kV_Wind_F1_Export reading]]-CJ113)*1200)&gt;0,(Input_Raw[[#This Row],[33 kV_Wind_F1_Export reading]]-CJ113)*1200,0)</f>
        <v>30000</v>
      </c>
      <c r="CS114" s="91">
        <f>IF(((Input_Raw[[#This Row],[33 kV_Wind_F1_Import reading]]-CK113)*1200)&gt;0,(Input_Raw[[#This Row],[33 kV_Wind_F1_Import reading]]-CK113)*1200,0)</f>
        <v>1200</v>
      </c>
      <c r="CT114" s="91">
        <f>IF(((Input_Raw[[#This Row],[33 kV_Wind_F2_Export_reading]]-CL113)*1200)&gt;0,(Input_Raw[[#This Row],[33 kV_Wind_F2_Export_reading]]-CL113)*1200,0)</f>
        <v>28800</v>
      </c>
      <c r="CU114" s="91">
        <f>IF(((Input_Raw[[#This Row],[33 kV_Wind_F2_Import_reading]]-CM113)*1200)&gt;0,(Input_Raw[[#This Row],[33 kV_Wind_F2_Import_reading]]-CM113)*1200,0)</f>
        <v>1200</v>
      </c>
      <c r="CV114" s="91">
        <f>IF(((Input_Raw[[#This Row],[33 kV_Wind_F3_Export_Reading]]-CN113)*1200)&gt;0,(Input_Raw[[#This Row],[33 kV_Wind_F3_Export_Reading]]-CN113)*1200,0)</f>
        <v>33600</v>
      </c>
      <c r="CW114" s="91">
        <f>IF(((Input_Raw[[#This Row],[33 kV_Wind_F3_Import_Reading]]-CO113)*1200)&gt;0,(Input_Raw[[#This Row],[33 kV_Wind_F3_Import_Reading]]-CO113)*1200,0)</f>
        <v>1200</v>
      </c>
      <c r="CX114" s="91">
        <f>IF(((Input_Raw[[#This Row],[33 kV_Wind_F4_Export Reading]]-CP113)*1200)&gt;0,(Input_Raw[[#This Row],[33 kV_Wind_F4_Export Reading]]-CP113)*1200,0)</f>
        <v>31200</v>
      </c>
      <c r="CY114" s="172"/>
      <c r="CZ114" s="172">
        <f>Input_Raw[[#This Row],[33 kV_F1_Total_Export (KWh)]]+Input_Raw[[#This Row],[33 kV_F2_Total_Export (KWh)2]]+Input_Raw[[#This Row],[33 kV_Wind_F3_Export (KWh)]]+Input_Raw[[#This Row],[33 kV_Wind_F4_Export (KWh)]]</f>
        <v>123600</v>
      </c>
      <c r="DA114" s="172">
        <f>Input_Raw[[#This Row],[33 kV_Wind_F1_Import (KWh)]]+Input_Raw[[#This Row],[33 kV_Wind_F2_Import (KWh)]]+Input_Raw[[#This Row],[33 kV_Wind_F3_Import (KWh)2]]+Input_Raw[[#This Row],[33 kV_Wind_F4_Import (KWh)2]]</f>
        <v>3600</v>
      </c>
      <c r="DB114" s="21">
        <f>IFERROR(1-Input_Raw[[#This Row],[33 kV_Wind_Total_Export (KWh)]]/Input_Raw[[#This Row],[WTG Total Gneration (KWh)]],0)</f>
        <v>1.5523819385259929E-2</v>
      </c>
      <c r="DC114" s="100">
        <v>96</v>
      </c>
      <c r="DD114" s="100">
        <v>10517</v>
      </c>
      <c r="DE114" s="102">
        <f>Input_Raw[[#This Row],[WTG Total Gneration (KWh)]]/1000</f>
        <v>125.54900000000001</v>
      </c>
      <c r="DF114" s="99"/>
      <c r="DG114" s="101">
        <v>78</v>
      </c>
      <c r="DH114" s="168" t="s">
        <v>381</v>
      </c>
    </row>
    <row r="115" spans="1:112">
      <c r="A115" s="20">
        <f t="shared" si="7"/>
        <v>45855</v>
      </c>
      <c r="B115" s="12">
        <f>YEAR([1]!Input_Raw[[#This Row],[Date]])+IF(MONTH([1]!Input_Raw[[#This Row],[Date]])&gt;=4,1,0)</f>
        <v>2026</v>
      </c>
      <c r="C115" s="13">
        <f>YEAR([1]!Input_Raw[[#This Row],[Date]])</f>
        <v>2025</v>
      </c>
      <c r="D115" s="14">
        <f t="shared" si="8"/>
        <v>45839</v>
      </c>
      <c r="E115" s="13">
        <f>DAY(EOMONTH([1]!Input_Raw[[#This Row],[Date]],0))</f>
        <v>31</v>
      </c>
      <c r="F115" s="15">
        <v>1545</v>
      </c>
      <c r="G115" s="15">
        <v>1537</v>
      </c>
      <c r="H115" s="15">
        <v>1952</v>
      </c>
      <c r="I115" s="15">
        <v>1948</v>
      </c>
      <c r="J115" s="15">
        <v>2167</v>
      </c>
      <c r="K115" s="15">
        <v>1532</v>
      </c>
      <c r="L115" s="15">
        <v>1956</v>
      </c>
      <c r="M115" s="15">
        <v>1952</v>
      </c>
      <c r="N115" s="15">
        <v>2001</v>
      </c>
      <c r="O115" s="15">
        <v>1965</v>
      </c>
      <c r="P115" s="15">
        <v>1977</v>
      </c>
      <c r="Q115" s="15">
        <v>2012</v>
      </c>
      <c r="R115" s="15">
        <v>2109</v>
      </c>
      <c r="S115" s="15">
        <v>2106</v>
      </c>
      <c r="T115" s="15">
        <v>2109</v>
      </c>
      <c r="U115" s="15">
        <v>2018</v>
      </c>
      <c r="V115" s="15">
        <v>2011</v>
      </c>
      <c r="W115" s="15">
        <v>2112</v>
      </c>
      <c r="X115" s="15">
        <v>2118</v>
      </c>
      <c r="Y115" s="15">
        <v>2120</v>
      </c>
      <c r="Z115" s="15">
        <v>2190</v>
      </c>
      <c r="AA115" s="15">
        <v>2192</v>
      </c>
      <c r="AB115" s="15">
        <v>2185</v>
      </c>
      <c r="AC115" s="15">
        <v>2196</v>
      </c>
      <c r="AD115" s="15">
        <v>1850</v>
      </c>
      <c r="AE115" s="15">
        <v>2187</v>
      </c>
      <c r="AF115" s="15">
        <v>2194</v>
      </c>
      <c r="AG115" s="15">
        <v>0</v>
      </c>
      <c r="AH115" s="15">
        <v>2198</v>
      </c>
      <c r="AI115" s="15">
        <v>0</v>
      </c>
      <c r="AJ115" s="15">
        <v>1520</v>
      </c>
      <c r="AK115" s="15">
        <v>1850</v>
      </c>
      <c r="AL115" s="15">
        <v>1852</v>
      </c>
      <c r="AM115" s="15">
        <v>1542</v>
      </c>
      <c r="AN115" s="15">
        <v>1536</v>
      </c>
      <c r="AO115" s="15">
        <v>1854</v>
      </c>
      <c r="AP115" s="15">
        <v>1848</v>
      </c>
      <c r="AQ115" s="15">
        <v>1893</v>
      </c>
      <c r="AR115" s="15">
        <v>1526</v>
      </c>
      <c r="AS115" s="16">
        <v>3.74</v>
      </c>
      <c r="AT115" s="16">
        <v>3.74</v>
      </c>
      <c r="AU115" s="16">
        <v>3.75</v>
      </c>
      <c r="AV115" s="16">
        <v>3.66</v>
      </c>
      <c r="AW115" s="16">
        <v>3.58</v>
      </c>
      <c r="AX115" s="16">
        <v>4.01</v>
      </c>
      <c r="AY115" s="16">
        <v>3.68</v>
      </c>
      <c r="AZ115" s="16">
        <v>3.94</v>
      </c>
      <c r="BA115" s="16">
        <v>3.7</v>
      </c>
      <c r="BB115" s="16">
        <v>3.66</v>
      </c>
      <c r="BC115" s="16">
        <v>3.85</v>
      </c>
      <c r="BD115" s="16">
        <v>3.83</v>
      </c>
      <c r="BE115" s="16">
        <v>3.84</v>
      </c>
      <c r="BF115" s="16">
        <v>3.92</v>
      </c>
      <c r="BG115" s="16">
        <v>3.11</v>
      </c>
      <c r="BH115" s="16">
        <v>0</v>
      </c>
      <c r="BI115" s="16">
        <v>4.0199999999999996</v>
      </c>
      <c r="BJ115" s="16">
        <v>3.98</v>
      </c>
      <c r="BK115" s="16">
        <v>4.12</v>
      </c>
      <c r="BL115" s="16">
        <v>4.16</v>
      </c>
      <c r="BM115" s="16">
        <v>3.79</v>
      </c>
      <c r="BN115" s="16">
        <v>3.68</v>
      </c>
      <c r="BO115" s="16">
        <v>3.68</v>
      </c>
      <c r="BP115" s="16">
        <v>3.85</v>
      </c>
      <c r="BQ115" s="16">
        <v>3.49</v>
      </c>
      <c r="BR115" s="16">
        <v>3.7</v>
      </c>
      <c r="BS115" s="16">
        <v>3.67</v>
      </c>
      <c r="BT115" s="16">
        <v>0</v>
      </c>
      <c r="BU115" s="16">
        <v>3.9</v>
      </c>
      <c r="BV115" s="16">
        <v>0</v>
      </c>
      <c r="BW115" s="16">
        <v>3.66</v>
      </c>
      <c r="BX115" s="16">
        <v>3.57</v>
      </c>
      <c r="BY115" s="16">
        <v>3.7</v>
      </c>
      <c r="BZ115" s="16">
        <v>3.91</v>
      </c>
      <c r="CA115" s="16">
        <v>4.05</v>
      </c>
      <c r="CB115" s="16">
        <v>3.93</v>
      </c>
      <c r="CC115" s="16">
        <v>3.61</v>
      </c>
      <c r="CD115" s="16">
        <v>4.13</v>
      </c>
      <c r="CE115" s="16">
        <v>3.7</v>
      </c>
      <c r="CF115" s="17">
        <f>SUM(Input_Raw[[#This Row],[G01]:[G40]])</f>
        <v>71860</v>
      </c>
      <c r="CG115" s="18">
        <f>IFERROR(AVERAGE(Input_Raw[[#This Row],[WS_G01]:[WS_G40]]),"")</f>
        <v>3.4951282051282053</v>
      </c>
      <c r="CH115" s="19"/>
      <c r="CI115" s="19"/>
      <c r="CJ115" s="15">
        <v>247391</v>
      </c>
      <c r="CK115" s="15">
        <v>2196</v>
      </c>
      <c r="CL115" s="15">
        <v>286375</v>
      </c>
      <c r="CM115" s="15">
        <v>2221</v>
      </c>
      <c r="CN115" s="15">
        <v>264277</v>
      </c>
      <c r="CO115" s="15">
        <v>1829</v>
      </c>
      <c r="CP115" s="15">
        <v>300764</v>
      </c>
      <c r="CQ115" s="15">
        <v>1874</v>
      </c>
      <c r="CR115" s="91">
        <f>IF(((Input_Raw[[#This Row],[33 kV_Wind_F1_Export reading]]-CJ114)*1200)&gt;0,(Input_Raw[[#This Row],[33 kV_Wind_F1_Export reading]]-CJ114)*1200,0)</f>
        <v>16800</v>
      </c>
      <c r="CS115" s="91">
        <f>IF(((Input_Raw[[#This Row],[33 kV_Wind_F1_Import reading]]-CK114)*1200)&gt;0,(Input_Raw[[#This Row],[33 kV_Wind_F1_Import reading]]-CK114)*1200,0)</f>
        <v>0</v>
      </c>
      <c r="CT115" s="91">
        <f>IF(((Input_Raw[[#This Row],[33 kV_Wind_F2_Export_reading]]-CL114)*1200)&gt;0,(Input_Raw[[#This Row],[33 kV_Wind_F2_Export_reading]]-CL114)*1200,0)</f>
        <v>16800</v>
      </c>
      <c r="CU115" s="91">
        <f>IF(((Input_Raw[[#This Row],[33 kV_Wind_F2_Import_reading]]-CM114)*1200)&gt;0,(Input_Raw[[#This Row],[33 kV_Wind_F2_Import_reading]]-CM114)*1200,0)</f>
        <v>0</v>
      </c>
      <c r="CV115" s="91">
        <f>IF(((Input_Raw[[#This Row],[33 kV_Wind_F3_Export_Reading]]-CN114)*1200)&gt;0,(Input_Raw[[#This Row],[33 kV_Wind_F3_Export_Reading]]-CN114)*1200,0)</f>
        <v>14400</v>
      </c>
      <c r="CW115" s="91">
        <f>IF(((Input_Raw[[#This Row],[33 kV_Wind_F3_Import_Reading]]-CO114)*1200)&gt;0,(Input_Raw[[#This Row],[33 kV_Wind_F3_Import_Reading]]-CO114)*1200,0)</f>
        <v>1200</v>
      </c>
      <c r="CX115" s="91">
        <f>IF(((Input_Raw[[#This Row],[33 kV_Wind_F4_Export Reading]]-CP114)*1200)&gt;0,(Input_Raw[[#This Row],[33 kV_Wind_F4_Export Reading]]-CP114)*1200,0)</f>
        <v>20400</v>
      </c>
      <c r="CY115" s="172"/>
      <c r="CZ115" s="172">
        <f>Input_Raw[[#This Row],[33 kV_F1_Total_Export (KWh)]]+Input_Raw[[#This Row],[33 kV_F2_Total_Export (KWh)2]]+Input_Raw[[#This Row],[33 kV_Wind_F3_Export (KWh)]]+Input_Raw[[#This Row],[33 kV_Wind_F4_Export (KWh)]]</f>
        <v>68400</v>
      </c>
      <c r="DA115" s="172">
        <f>Input_Raw[[#This Row],[33 kV_Wind_F1_Import (KWh)]]+Input_Raw[[#This Row],[33 kV_Wind_F2_Import (KWh)]]+Input_Raw[[#This Row],[33 kV_Wind_F3_Import (KWh)2]]+Input_Raw[[#This Row],[33 kV_Wind_F4_Import (KWh)2]]</f>
        <v>1200</v>
      </c>
      <c r="DB115" s="21">
        <f>IFERROR(1-Input_Raw[[#This Row],[33 kV_Wind_Total_Export (KWh)]]/Input_Raw[[#This Row],[WTG Total Gneration (KWh)]],0)</f>
        <v>4.8149178959087102E-2</v>
      </c>
      <c r="DC115" s="100">
        <v>96</v>
      </c>
      <c r="DD115" s="100">
        <v>9.3800000000000008</v>
      </c>
      <c r="DE115" s="102">
        <v>71.86</v>
      </c>
      <c r="DF115" s="99"/>
      <c r="DG115" s="101">
        <v>78</v>
      </c>
      <c r="DH115" s="168" t="s">
        <v>381</v>
      </c>
    </row>
    <row r="116" spans="1:112">
      <c r="A116" s="20">
        <f t="shared" si="7"/>
        <v>45856</v>
      </c>
      <c r="B116" s="12">
        <f>YEAR([1]!Input_Raw[[#This Row],[Date]])+IF(MONTH([1]!Input_Raw[[#This Row],[Date]])&gt;=4,1,0)</f>
        <v>2026</v>
      </c>
      <c r="C116" s="13">
        <f>YEAR([1]!Input_Raw[[#This Row],[Date]])</f>
        <v>2025</v>
      </c>
      <c r="D116" s="14">
        <f t="shared" si="8"/>
        <v>45839</v>
      </c>
      <c r="E116" s="13">
        <f>DAY(EOMONTH([1]!Input_Raw[[#This Row],[Date]],0))</f>
        <v>31</v>
      </c>
      <c r="F116" s="15">
        <v>5002</v>
      </c>
      <c r="G116" s="15">
        <v>5005</v>
      </c>
      <c r="H116" s="15">
        <v>5011</v>
      </c>
      <c r="I116" s="15">
        <v>5008</v>
      </c>
      <c r="J116" s="15">
        <v>4888</v>
      </c>
      <c r="K116" s="15">
        <v>5015</v>
      </c>
      <c r="L116" s="15">
        <v>5006</v>
      </c>
      <c r="M116" s="15">
        <v>5012</v>
      </c>
      <c r="N116" s="15">
        <v>4884</v>
      </c>
      <c r="O116" s="15">
        <v>5018</v>
      </c>
      <c r="P116" s="15">
        <v>5021</v>
      </c>
      <c r="Q116" s="15">
        <v>4687</v>
      </c>
      <c r="R116" s="15">
        <v>4885</v>
      </c>
      <c r="S116" s="15">
        <v>4889</v>
      </c>
      <c r="T116" s="15">
        <v>4884</v>
      </c>
      <c r="U116" s="15">
        <v>4721</v>
      </c>
      <c r="V116" s="15">
        <v>4847</v>
      </c>
      <c r="W116" s="15">
        <v>4868</v>
      </c>
      <c r="X116" s="15">
        <v>4872</v>
      </c>
      <c r="Y116" s="15">
        <v>4882</v>
      </c>
      <c r="Z116" s="15">
        <v>4892</v>
      </c>
      <c r="AA116" s="15">
        <v>4887</v>
      </c>
      <c r="AB116" s="15">
        <v>4882</v>
      </c>
      <c r="AC116" s="15">
        <v>4890</v>
      </c>
      <c r="AD116" s="15">
        <v>2901</v>
      </c>
      <c r="AE116" s="15">
        <v>4884</v>
      </c>
      <c r="AF116" s="15">
        <v>4885</v>
      </c>
      <c r="AG116" s="15">
        <v>0</v>
      </c>
      <c r="AH116" s="15">
        <v>4892</v>
      </c>
      <c r="AI116" s="15">
        <v>0</v>
      </c>
      <c r="AJ116" s="15">
        <v>3067</v>
      </c>
      <c r="AK116" s="15">
        <v>3065</v>
      </c>
      <c r="AL116" s="15">
        <v>3052</v>
      </c>
      <c r="AM116" s="15">
        <v>3059</v>
      </c>
      <c r="AN116" s="15">
        <v>3062</v>
      </c>
      <c r="AO116" s="15">
        <v>3058</v>
      </c>
      <c r="AP116" s="15">
        <v>3052</v>
      </c>
      <c r="AQ116" s="15">
        <v>3051</v>
      </c>
      <c r="AR116" s="15">
        <v>3061</v>
      </c>
      <c r="AS116" s="16">
        <v>4.0641180555555536</v>
      </c>
      <c r="AT116" s="16">
        <v>4.0593055555555582</v>
      </c>
      <c r="AU116" s="16">
        <v>4.0183402777777761</v>
      </c>
      <c r="AV116" s="16">
        <v>3.9908402777777772</v>
      </c>
      <c r="AW116" s="16">
        <v>3.97079861111111</v>
      </c>
      <c r="AX116" s="16">
        <v>4.1533333333333324</v>
      </c>
      <c r="AY116" s="16">
        <v>4.1533333333333324</v>
      </c>
      <c r="AZ116" s="16">
        <v>4.3952637795275589</v>
      </c>
      <c r="BA116" s="16">
        <v>4.0945833333333352</v>
      </c>
      <c r="BB116" s="16">
        <v>4.1891249999999989</v>
      </c>
      <c r="BC116" s="16">
        <v>4.5515753968253962</v>
      </c>
      <c r="BD116" s="16">
        <v>4.0447986111111112</v>
      </c>
      <c r="BE116" s="16">
        <v>4.0977430555555578</v>
      </c>
      <c r="BF116" s="16">
        <v>4.1513819444444442</v>
      </c>
      <c r="BG116" s="16">
        <v>4.114952083333332</v>
      </c>
      <c r="BH116" s="16">
        <v>4.1474861111111121</v>
      </c>
      <c r="BI116" s="16">
        <v>4.3756666666666675</v>
      </c>
      <c r="BJ116" s="16">
        <v>4.3612430555555521</v>
      </c>
      <c r="BK116" s="16">
        <v>4.2470694444444446</v>
      </c>
      <c r="BL116" s="16">
        <v>4.3102222222222224</v>
      </c>
      <c r="BM116" s="16">
        <v>4.0999999999999996</v>
      </c>
      <c r="BN116" s="16">
        <v>4.0657152777777794</v>
      </c>
      <c r="BO116" s="16">
        <v>3.9717916666666659</v>
      </c>
      <c r="BP116" s="16">
        <v>4.1679513888888877</v>
      </c>
      <c r="BQ116" s="16">
        <v>3.8945486111111092</v>
      </c>
      <c r="BR116" s="16">
        <v>3.9962013888888888</v>
      </c>
      <c r="BS116" s="16">
        <v>4.0165833333333332</v>
      </c>
      <c r="BT116" s="16">
        <v>0</v>
      </c>
      <c r="BU116" s="16">
        <v>4.0999999999999996</v>
      </c>
      <c r="BV116" s="16">
        <v>0</v>
      </c>
      <c r="BW116" s="16">
        <v>3.80823611111111</v>
      </c>
      <c r="BX116" s="16">
        <v>3.923756944444444</v>
      </c>
      <c r="BY116" s="16">
        <v>4.0071736111111118</v>
      </c>
      <c r="BZ116" s="16">
        <v>4.0676805555555573</v>
      </c>
      <c r="CA116" s="16">
        <v>4.0488194444444439</v>
      </c>
      <c r="CB116" s="16">
        <v>4.1112569444444436</v>
      </c>
      <c r="CC116" s="16">
        <v>3.8610277777777782</v>
      </c>
      <c r="CD116" s="16">
        <v>3.9456944444444466</v>
      </c>
      <c r="CE116" s="16">
        <v>3.9453750000000003</v>
      </c>
      <c r="CF116" s="17">
        <f>SUM(Input_Raw[[#This Row],[G01]:[G40]])</f>
        <v>163045</v>
      </c>
      <c r="CG116" s="18">
        <f>IFERROR(AVERAGE(Input_Raw[[#This Row],[WS_G01]:[WS_G40]]),"")</f>
        <v>3.885204939707056</v>
      </c>
      <c r="CH116" s="19"/>
      <c r="CI116" s="19"/>
      <c r="CJ116" s="15">
        <v>247416</v>
      </c>
      <c r="CK116" s="15">
        <v>2197</v>
      </c>
      <c r="CL116" s="15">
        <v>286407</v>
      </c>
      <c r="CM116" s="15">
        <v>2222</v>
      </c>
      <c r="CN116" s="15">
        <v>264314</v>
      </c>
      <c r="CO116" s="15">
        <v>1830</v>
      </c>
      <c r="CP116" s="15">
        <v>300804</v>
      </c>
      <c r="CQ116" s="15">
        <v>1875</v>
      </c>
      <c r="CR116" s="91">
        <f>IF(((Input_Raw[[#This Row],[33 kV_Wind_F1_Export reading]]-CJ115)*1200)&gt;0,(Input_Raw[[#This Row],[33 kV_Wind_F1_Export reading]]-CJ115)*1200,0)</f>
        <v>30000</v>
      </c>
      <c r="CS116" s="91">
        <f>IF(((Input_Raw[[#This Row],[33 kV_Wind_F1_Import reading]]-CK115)*1200)&gt;0,(Input_Raw[[#This Row],[33 kV_Wind_F1_Import reading]]-CK115)*1200,0)</f>
        <v>1200</v>
      </c>
      <c r="CT116" s="91">
        <f>IF(((Input_Raw[[#This Row],[33 kV_Wind_F2_Export_reading]]-CL115)*1200)&gt;0,(Input_Raw[[#This Row],[33 kV_Wind_F2_Export_reading]]-CL115)*1200,0)</f>
        <v>38400</v>
      </c>
      <c r="CU116" s="91">
        <f>IF(((Input_Raw[[#This Row],[33 kV_Wind_F2_Import_reading]]-CM115)*1200)&gt;0,(Input_Raw[[#This Row],[33 kV_Wind_F2_Import_reading]]-CM115)*1200,0)</f>
        <v>1200</v>
      </c>
      <c r="CV116" s="91">
        <f>IF(((Input_Raw[[#This Row],[33 kV_Wind_F3_Export_Reading]]-CN115)*1200)&gt;0,(Input_Raw[[#This Row],[33 kV_Wind_F3_Export_Reading]]-CN115)*1200,0)</f>
        <v>44400</v>
      </c>
      <c r="CW116" s="91">
        <f>IF(((Input_Raw[[#This Row],[33 kV_Wind_F3_Import_Reading]]-CO115)*1200)&gt;0,(Input_Raw[[#This Row],[33 kV_Wind_F3_Import_Reading]]-CO115)*1200,0)</f>
        <v>1200</v>
      </c>
      <c r="CX116" s="91">
        <f>IF(((Input_Raw[[#This Row],[33 kV_Wind_F4_Export Reading]]-CP115)*1200)&gt;0,(Input_Raw[[#This Row],[33 kV_Wind_F4_Export Reading]]-CP115)*1200,0)</f>
        <v>48000</v>
      </c>
      <c r="CY116" s="172"/>
      <c r="CZ116" s="172">
        <f>Input_Raw[[#This Row],[33 kV_F1_Total_Export (KWh)]]+Input_Raw[[#This Row],[33 kV_F2_Total_Export (KWh)2]]+Input_Raw[[#This Row],[33 kV_Wind_F3_Export (KWh)]]+Input_Raw[[#This Row],[33 kV_Wind_F4_Export (KWh)]]</f>
        <v>160800</v>
      </c>
      <c r="DA116" s="172">
        <f>Input_Raw[[#This Row],[33 kV_Wind_F1_Import (KWh)]]+Input_Raw[[#This Row],[33 kV_Wind_F2_Import (KWh)]]+Input_Raw[[#This Row],[33 kV_Wind_F3_Import (KWh)2]]+Input_Raw[[#This Row],[33 kV_Wind_F4_Import (KWh)2]]</f>
        <v>3600</v>
      </c>
      <c r="DB116" s="21">
        <f>IFERROR(1-Input_Raw[[#This Row],[33 kV_Wind_Total_Export (KWh)]]/Input_Raw[[#This Row],[WTG Total Gneration (KWh)]],0)</f>
        <v>1.3769204820755054E-2</v>
      </c>
      <c r="DC116" s="100">
        <v>96</v>
      </c>
      <c r="DD116" s="100">
        <v>7965</v>
      </c>
      <c r="DE116" s="102">
        <v>163.04</v>
      </c>
      <c r="DF116" s="99"/>
      <c r="DG116" s="101">
        <v>78</v>
      </c>
      <c r="DH116" s="168" t="s">
        <v>381</v>
      </c>
    </row>
    <row r="117" spans="1:112">
      <c r="A117" s="20">
        <f t="shared" si="7"/>
        <v>45857</v>
      </c>
      <c r="B117" s="12">
        <f>YEAR([1]!Input_Raw[[#This Row],[Date]])+IF(MONTH([1]!Input_Raw[[#This Row],[Date]])&gt;=4,1,0)</f>
        <v>2026</v>
      </c>
      <c r="C117" s="13">
        <f>YEAR([1]!Input_Raw[[#This Row],[Date]])</f>
        <v>2025</v>
      </c>
      <c r="D117" s="14">
        <f t="shared" si="8"/>
        <v>45839</v>
      </c>
      <c r="E117" s="13">
        <f>DAY(EOMONTH([1]!Input_Raw[[#This Row],[Date]],0))</f>
        <v>31</v>
      </c>
      <c r="F117" s="15">
        <v>4021</v>
      </c>
      <c r="G117" s="15">
        <v>4401</v>
      </c>
      <c r="H117" s="15">
        <v>4407</v>
      </c>
      <c r="I117" s="15">
        <v>4056</v>
      </c>
      <c r="J117" s="15">
        <v>4250</v>
      </c>
      <c r="K117" s="15">
        <v>4409</v>
      </c>
      <c r="L117" s="15">
        <v>4412</v>
      </c>
      <c r="M117" s="15">
        <v>4415</v>
      </c>
      <c r="N117" s="15">
        <v>5210</v>
      </c>
      <c r="O117" s="15">
        <v>4447</v>
      </c>
      <c r="P117" s="15">
        <v>4089</v>
      </c>
      <c r="Q117" s="15">
        <v>5201</v>
      </c>
      <c r="R117" s="15">
        <v>5205</v>
      </c>
      <c r="S117" s="15">
        <v>5209</v>
      </c>
      <c r="T117" s="15">
        <v>5221</v>
      </c>
      <c r="U117" s="15">
        <v>5216</v>
      </c>
      <c r="V117" s="15">
        <v>5218</v>
      </c>
      <c r="W117" s="15">
        <v>5207</v>
      </c>
      <c r="X117" s="15">
        <v>5227</v>
      </c>
      <c r="Y117" s="15">
        <v>5232</v>
      </c>
      <c r="Z117" s="15">
        <v>4252</v>
      </c>
      <c r="AA117" s="15">
        <v>4231</v>
      </c>
      <c r="AB117" s="15">
        <v>4228</v>
      </c>
      <c r="AC117" s="15">
        <v>4254</v>
      </c>
      <c r="AD117" s="15">
        <v>3289</v>
      </c>
      <c r="AE117" s="15">
        <v>4250</v>
      </c>
      <c r="AF117" s="15">
        <v>4259</v>
      </c>
      <c r="AG117" s="15">
        <v>0</v>
      </c>
      <c r="AH117" s="15">
        <v>4262</v>
      </c>
      <c r="AI117" s="15">
        <v>0</v>
      </c>
      <c r="AJ117" s="15">
        <v>3412</v>
      </c>
      <c r="AK117" s="15">
        <v>3415</v>
      </c>
      <c r="AL117" s="15">
        <v>3418</v>
      </c>
      <c r="AM117" s="15">
        <v>3407</v>
      </c>
      <c r="AN117" s="15">
        <v>3419</v>
      </c>
      <c r="AO117" s="15">
        <v>3409</v>
      </c>
      <c r="AP117" s="15">
        <v>3405</v>
      </c>
      <c r="AQ117" s="15">
        <v>3411</v>
      </c>
      <c r="AR117" s="15">
        <v>3416</v>
      </c>
      <c r="AS117" s="16">
        <v>3.1604649999999999</v>
      </c>
      <c r="AT117" s="16">
        <v>3.5607857142857156</v>
      </c>
      <c r="AU117" s="16">
        <v>3.1150642857142858</v>
      </c>
      <c r="AV117" s="16">
        <v>3.3498214285714289</v>
      </c>
      <c r="AW117" s="16">
        <v>3.3268703389830518</v>
      </c>
      <c r="AX117" s="16">
        <v>3.19943165467626</v>
      </c>
      <c r="AY117" s="16">
        <v>3.1126521739130437</v>
      </c>
      <c r="AZ117" s="16">
        <v>3.3074779411764714</v>
      </c>
      <c r="BA117" s="16">
        <v>3.3207647058823522</v>
      </c>
      <c r="BB117" s="16">
        <v>2.8658962962962966</v>
      </c>
      <c r="BC117" s="16">
        <v>3.1958955223880592</v>
      </c>
      <c r="BD117" s="16">
        <v>3.2101954887218032</v>
      </c>
      <c r="BE117" s="16">
        <v>3.4380946969696962</v>
      </c>
      <c r="BF117" s="16">
        <v>3.1363816793893138</v>
      </c>
      <c r="BG117" s="16">
        <v>3.1875307692307708</v>
      </c>
      <c r="BH117" s="16">
        <v>3.02</v>
      </c>
      <c r="BI117" s="16">
        <v>3.2244062500000004</v>
      </c>
      <c r="BJ117" s="16">
        <v>3.1801574803149606</v>
      </c>
      <c r="BK117" s="16">
        <v>3.1785396825396823</v>
      </c>
      <c r="BL117" s="16">
        <v>3.0891760000000019</v>
      </c>
      <c r="BM117" s="16">
        <v>3.3396568627450995</v>
      </c>
      <c r="BN117" s="16">
        <v>3.3299801980198023</v>
      </c>
      <c r="BO117" s="16">
        <v>3.1536669999999987</v>
      </c>
      <c r="BP117" s="16">
        <v>2.9715846938775519</v>
      </c>
      <c r="BQ117" s="16">
        <v>3.1007329896907221</v>
      </c>
      <c r="BR117" s="16">
        <v>2.7795312500000002</v>
      </c>
      <c r="BS117" s="16">
        <v>3.1705336842105267</v>
      </c>
      <c r="BT117" s="16">
        <v>0</v>
      </c>
      <c r="BU117" s="16">
        <v>3.0810967741935489</v>
      </c>
      <c r="BV117" s="16">
        <v>0</v>
      </c>
      <c r="BW117" s="16">
        <v>3.1179021978021968</v>
      </c>
      <c r="BX117" s="16">
        <v>2.8481661290322582</v>
      </c>
      <c r="BY117" s="16">
        <v>2.9089775280898884</v>
      </c>
      <c r="BZ117" s="16">
        <v>3.1530829545454537</v>
      </c>
      <c r="CA117" s="16">
        <v>3.0023655172413792</v>
      </c>
      <c r="CB117" s="16">
        <v>3.1489511627906976</v>
      </c>
      <c r="CC117" s="16">
        <v>3.0592047058823537</v>
      </c>
      <c r="CD117" s="16">
        <v>3.2</v>
      </c>
      <c r="CE117" s="16">
        <v>3.0888108433734929</v>
      </c>
      <c r="CF117" s="17">
        <f>SUM(Input_Raw[[#This Row],[G01]:[G40]])</f>
        <v>158790</v>
      </c>
      <c r="CG117" s="18">
        <f>IFERROR(AVERAGE(Input_Raw[[#This Row],[WS_G01]:[WS_G40]]),"")</f>
        <v>2.9906115795012349</v>
      </c>
      <c r="CH117" s="19"/>
      <c r="CI117" s="19"/>
      <c r="CJ117" s="15">
        <v>247444</v>
      </c>
      <c r="CK117" s="15">
        <v>2197</v>
      </c>
      <c r="CL117" s="15">
        <v>286435</v>
      </c>
      <c r="CM117" s="15">
        <v>2222</v>
      </c>
      <c r="CN117" s="15">
        <v>264346</v>
      </c>
      <c r="CO117" s="15">
        <v>1831</v>
      </c>
      <c r="CP117" s="15">
        <v>300847</v>
      </c>
      <c r="CQ117" s="15">
        <v>1876</v>
      </c>
      <c r="CR117" s="91">
        <f>IF(((Input_Raw[[#This Row],[33 kV_Wind_F1_Export reading]]-CJ116)*1200)&gt;0,(Input_Raw[[#This Row],[33 kV_Wind_F1_Export reading]]-CJ116)*1200,0)</f>
        <v>33600</v>
      </c>
      <c r="CS117" s="91">
        <f>IF(((Input_Raw[[#This Row],[33 kV_Wind_F1_Import reading]]-CK116)*1200)&gt;0,(Input_Raw[[#This Row],[33 kV_Wind_F1_Import reading]]-CK116)*1200,0)</f>
        <v>0</v>
      </c>
      <c r="CT117" s="91">
        <f>IF(((Input_Raw[[#This Row],[33 kV_Wind_F2_Export_reading]]-CL116)*1200)&gt;0,(Input_Raw[[#This Row],[33 kV_Wind_F2_Export_reading]]-CL116)*1200,0)</f>
        <v>33600</v>
      </c>
      <c r="CU117" s="91">
        <f>IF(((Input_Raw[[#This Row],[33 kV_Wind_F2_Import_reading]]-CM116)*1200)&gt;0,(Input_Raw[[#This Row],[33 kV_Wind_F2_Import_reading]]-CM116)*1200,0)</f>
        <v>0</v>
      </c>
      <c r="CV117" s="91">
        <f>IF(((Input_Raw[[#This Row],[33 kV_Wind_F3_Export_Reading]]-CN116)*1200)&gt;0,(Input_Raw[[#This Row],[33 kV_Wind_F3_Export_Reading]]-CN116)*1200,0)</f>
        <v>38400</v>
      </c>
      <c r="CW117" s="91">
        <f>IF(((Input_Raw[[#This Row],[33 kV_Wind_F3_Import_Reading]]-CO116)*1200)&gt;0,(Input_Raw[[#This Row],[33 kV_Wind_F3_Import_Reading]]-CO116)*1200,0)</f>
        <v>1200</v>
      </c>
      <c r="CX117" s="91">
        <f>IF(((Input_Raw[[#This Row],[33 kV_Wind_F4_Export Reading]]-CP116)*1200)&gt;0,(Input_Raw[[#This Row],[33 kV_Wind_F4_Export Reading]]-CP116)*1200,0)</f>
        <v>51600</v>
      </c>
      <c r="CY117" s="172"/>
      <c r="CZ117" s="172">
        <f>Input_Raw[[#This Row],[33 kV_F1_Total_Export (KWh)]]+Input_Raw[[#This Row],[33 kV_F2_Total_Export (KWh)2]]+Input_Raw[[#This Row],[33 kV_Wind_F3_Export (KWh)]]+Input_Raw[[#This Row],[33 kV_Wind_F4_Export (KWh)]]</f>
        <v>157200</v>
      </c>
      <c r="DA117" s="172">
        <f>Input_Raw[[#This Row],[33 kV_Wind_F1_Import (KWh)]]+Input_Raw[[#This Row],[33 kV_Wind_F2_Import (KWh)]]+Input_Raw[[#This Row],[33 kV_Wind_F3_Import (KWh)2]]+Input_Raw[[#This Row],[33 kV_Wind_F4_Import (KWh)2]]</f>
        <v>1200</v>
      </c>
      <c r="DB117" s="21">
        <f>IFERROR(1-Input_Raw[[#This Row],[33 kV_Wind_Total_Export (KWh)]]/Input_Raw[[#This Row],[WTG Total Gneration (KWh)]],0)</f>
        <v>1.001322501416968E-2</v>
      </c>
      <c r="DC117" s="100">
        <v>96</v>
      </c>
      <c r="DD117" s="100">
        <v>3806</v>
      </c>
      <c r="DE117" s="102">
        <v>158.79</v>
      </c>
      <c r="DF117" s="99"/>
      <c r="DG117" s="101">
        <v>78</v>
      </c>
      <c r="DH117" s="168" t="s">
        <v>381</v>
      </c>
    </row>
    <row r="118" spans="1:112">
      <c r="A118" s="20">
        <f t="shared" si="7"/>
        <v>45858</v>
      </c>
      <c r="B118" s="12">
        <f>YEAR([1]!Input_Raw[[#This Row],[Date]])+IF(MONTH([1]!Input_Raw[[#This Row],[Date]])&gt;=4,1,0)</f>
        <v>2026</v>
      </c>
      <c r="C118" s="13">
        <f>YEAR([1]!Input_Raw[[#This Row],[Date]])</f>
        <v>2025</v>
      </c>
      <c r="D118" s="14">
        <f t="shared" si="8"/>
        <v>45839</v>
      </c>
      <c r="E118" s="13">
        <f>DAY(EOMONTH([1]!Input_Raw[[#This Row],[Date]],0))</f>
        <v>31</v>
      </c>
      <c r="F118" s="15">
        <v>3852</v>
      </c>
      <c r="G118" s="15">
        <v>4201</v>
      </c>
      <c r="H118" s="15">
        <v>4207</v>
      </c>
      <c r="I118" s="15">
        <v>4205</v>
      </c>
      <c r="J118" s="15">
        <v>4045</v>
      </c>
      <c r="K118" s="15">
        <v>4211</v>
      </c>
      <c r="L118" s="15">
        <v>4215</v>
      </c>
      <c r="M118" s="15">
        <v>4218</v>
      </c>
      <c r="N118" s="15">
        <v>3788</v>
      </c>
      <c r="O118" s="15">
        <v>4224</v>
      </c>
      <c r="P118" s="15">
        <v>3958</v>
      </c>
      <c r="Q118" s="15">
        <v>3793</v>
      </c>
      <c r="R118" s="15">
        <v>3796</v>
      </c>
      <c r="S118" s="15">
        <v>3789</v>
      </c>
      <c r="T118" s="15">
        <v>3791</v>
      </c>
      <c r="U118" s="15">
        <v>3787</v>
      </c>
      <c r="V118" s="15">
        <v>3793</v>
      </c>
      <c r="W118" s="15">
        <v>3785</v>
      </c>
      <c r="X118" s="15">
        <v>3798</v>
      </c>
      <c r="Y118" s="15">
        <v>3801</v>
      </c>
      <c r="Z118" s="15">
        <v>4067</v>
      </c>
      <c r="AA118" s="15">
        <v>4055</v>
      </c>
      <c r="AB118" s="15">
        <v>4048</v>
      </c>
      <c r="AC118" s="15">
        <v>4065</v>
      </c>
      <c r="AD118" s="15">
        <v>2950</v>
      </c>
      <c r="AE118" s="15">
        <v>4062</v>
      </c>
      <c r="AF118" s="15">
        <v>4069</v>
      </c>
      <c r="AG118" s="15">
        <v>0</v>
      </c>
      <c r="AH118" s="15">
        <v>4072</v>
      </c>
      <c r="AI118" s="15">
        <v>3690</v>
      </c>
      <c r="AJ118" s="15">
        <v>2954</v>
      </c>
      <c r="AK118" s="15">
        <v>2949</v>
      </c>
      <c r="AL118" s="15">
        <v>2957</v>
      </c>
      <c r="AM118" s="15">
        <v>2946</v>
      </c>
      <c r="AN118" s="15">
        <v>2967</v>
      </c>
      <c r="AO118" s="15">
        <v>2962</v>
      </c>
      <c r="AP118" s="15">
        <v>2959</v>
      </c>
      <c r="AQ118" s="15">
        <v>2963</v>
      </c>
      <c r="AR118" s="15">
        <v>2968</v>
      </c>
      <c r="AS118" s="16">
        <v>3.93</v>
      </c>
      <c r="AT118" s="16">
        <v>3.99</v>
      </c>
      <c r="AU118" s="16">
        <v>3.9</v>
      </c>
      <c r="AV118" s="16">
        <v>3.78</v>
      </c>
      <c r="AW118" s="16">
        <v>3.4</v>
      </c>
      <c r="AX118" s="16">
        <v>4.13</v>
      </c>
      <c r="AY118" s="16">
        <v>3.8</v>
      </c>
      <c r="AZ118" s="16">
        <v>4.05</v>
      </c>
      <c r="BA118" s="16">
        <v>3.76</v>
      </c>
      <c r="BB118" s="16">
        <v>3.86</v>
      </c>
      <c r="BC118" s="16">
        <v>4.0599999999999996</v>
      </c>
      <c r="BD118" s="16">
        <v>3.98</v>
      </c>
      <c r="BE118" s="16">
        <v>4.04</v>
      </c>
      <c r="BF118" s="16">
        <v>4.03</v>
      </c>
      <c r="BG118" s="16">
        <v>3.88</v>
      </c>
      <c r="BH118" s="16">
        <v>4.18</v>
      </c>
      <c r="BI118" s="16">
        <v>3.41</v>
      </c>
      <c r="BJ118" s="16">
        <v>4.09</v>
      </c>
      <c r="BK118" s="16">
        <v>4.29</v>
      </c>
      <c r="BL118" s="16">
        <v>4.0599999999999996</v>
      </c>
      <c r="BM118" s="16">
        <v>4.5</v>
      </c>
      <c r="BN118" s="16">
        <v>3.75</v>
      </c>
      <c r="BO118" s="16">
        <v>3.14</v>
      </c>
      <c r="BP118" s="16">
        <v>3.53</v>
      </c>
      <c r="BQ118" s="16">
        <v>3.02</v>
      </c>
      <c r="BR118" s="16">
        <v>3.42</v>
      </c>
      <c r="BS118" s="16">
        <v>3.48</v>
      </c>
      <c r="BT118" s="16">
        <v>0</v>
      </c>
      <c r="BU118" s="16">
        <v>3.31</v>
      </c>
      <c r="BV118" s="16">
        <v>3.2</v>
      </c>
      <c r="BW118" s="16">
        <v>3.29</v>
      </c>
      <c r="BX118" s="16">
        <v>3.51</v>
      </c>
      <c r="BY118" s="16">
        <v>3.38</v>
      </c>
      <c r="BZ118" s="16">
        <v>3.42</v>
      </c>
      <c r="CA118" s="16">
        <v>3.69</v>
      </c>
      <c r="CB118" s="16">
        <v>3.98</v>
      </c>
      <c r="CC118" s="16">
        <v>3.43</v>
      </c>
      <c r="CD118" s="16">
        <v>3.41</v>
      </c>
      <c r="CE118" s="16">
        <v>3.47</v>
      </c>
      <c r="CF118" s="17">
        <f>SUM(Input_Raw[[#This Row],[G01]:[G40]])</f>
        <v>140960</v>
      </c>
      <c r="CG118" s="18">
        <f>IFERROR(AVERAGE(Input_Raw[[#This Row],[WS_G01]:[WS_G40]]),"")</f>
        <v>3.6294871794871804</v>
      </c>
      <c r="CH118" s="19"/>
      <c r="CI118" s="19"/>
      <c r="CJ118" s="15">
        <v>247468</v>
      </c>
      <c r="CK118" s="15">
        <v>2198</v>
      </c>
      <c r="CL118" s="15">
        <v>286461</v>
      </c>
      <c r="CM118" s="15">
        <v>2223</v>
      </c>
      <c r="CN118" s="15">
        <v>264376</v>
      </c>
      <c r="CO118" s="15">
        <v>1832</v>
      </c>
      <c r="CP118" s="15">
        <v>300878</v>
      </c>
      <c r="CQ118" s="15">
        <v>1877</v>
      </c>
      <c r="CR118" s="91">
        <f>IF(((Input_Raw[[#This Row],[33 kV_Wind_F1_Export reading]]-CJ117)*1200)&gt;0,(Input_Raw[[#This Row],[33 kV_Wind_F1_Export reading]]-CJ117)*1200,0)</f>
        <v>28800</v>
      </c>
      <c r="CS118" s="91">
        <f>IF(((Input_Raw[[#This Row],[33 kV_Wind_F1_Import reading]]-CK117)*1200)&gt;0,(Input_Raw[[#This Row],[33 kV_Wind_F1_Import reading]]-CK117)*1200,0)</f>
        <v>1200</v>
      </c>
      <c r="CT118" s="91">
        <f>IF(((Input_Raw[[#This Row],[33 kV_Wind_F2_Export_reading]]-CL117)*1200)&gt;0,(Input_Raw[[#This Row],[33 kV_Wind_F2_Export_reading]]-CL117)*1200,0)</f>
        <v>31200</v>
      </c>
      <c r="CU118" s="91">
        <f>IF(((Input_Raw[[#This Row],[33 kV_Wind_F2_Import_reading]]-CM117)*1200)&gt;0,(Input_Raw[[#This Row],[33 kV_Wind_F2_Import_reading]]-CM117)*1200,0)</f>
        <v>1200</v>
      </c>
      <c r="CV118" s="91">
        <f>IF(((Input_Raw[[#This Row],[33 kV_Wind_F3_Export_Reading]]-CN117)*1200)&gt;0,(Input_Raw[[#This Row],[33 kV_Wind_F3_Export_Reading]]-CN117)*1200,0)</f>
        <v>36000</v>
      </c>
      <c r="CW118" s="91">
        <f>IF(((Input_Raw[[#This Row],[33 kV_Wind_F3_Import_Reading]]-CO117)*1200)&gt;0,(Input_Raw[[#This Row],[33 kV_Wind_F3_Import_Reading]]-CO117)*1200,0)</f>
        <v>1200</v>
      </c>
      <c r="CX118" s="91">
        <f>IF(((Input_Raw[[#This Row],[33 kV_Wind_F4_Export Reading]]-CP117)*1200)&gt;0,(Input_Raw[[#This Row],[33 kV_Wind_F4_Export Reading]]-CP117)*1200,0)</f>
        <v>37200</v>
      </c>
      <c r="CY118" s="172"/>
      <c r="CZ118" s="172">
        <f>Input_Raw[[#This Row],[33 kV_F1_Total_Export (KWh)]]+Input_Raw[[#This Row],[33 kV_F2_Total_Export (KWh)2]]+Input_Raw[[#This Row],[33 kV_Wind_F3_Export (KWh)]]+Input_Raw[[#This Row],[33 kV_Wind_F4_Export (KWh)]]</f>
        <v>133200</v>
      </c>
      <c r="DA118" s="172">
        <f>Input_Raw[[#This Row],[33 kV_Wind_F1_Import (KWh)]]+Input_Raw[[#This Row],[33 kV_Wind_F2_Import (KWh)]]+Input_Raw[[#This Row],[33 kV_Wind_F3_Import (KWh)2]]+Input_Raw[[#This Row],[33 kV_Wind_F4_Import (KWh)2]]</f>
        <v>3600</v>
      </c>
      <c r="DB118" s="21">
        <f>IFERROR(1-Input_Raw[[#This Row],[33 kV_Wind_Total_Export (KWh)]]/Input_Raw[[#This Row],[WTG Total Gneration (KWh)]],0)</f>
        <v>5.5051078320090818E-2</v>
      </c>
      <c r="DC118" s="100">
        <v>96</v>
      </c>
      <c r="DD118" s="100">
        <v>1511</v>
      </c>
      <c r="DE118" s="102">
        <v>140.96</v>
      </c>
      <c r="DF118" s="99"/>
      <c r="DG118" s="101">
        <v>78</v>
      </c>
      <c r="DH118" s="168" t="s">
        <v>381</v>
      </c>
    </row>
    <row r="119" spans="1:112">
      <c r="A119" s="20">
        <f t="shared" si="7"/>
        <v>45859</v>
      </c>
      <c r="B119" s="12">
        <f>YEAR([1]!Input_Raw[[#This Row],[Date]])+IF(MONTH([1]!Input_Raw[[#This Row],[Date]])&gt;=4,1,0)</f>
        <v>2026</v>
      </c>
      <c r="C119" s="13">
        <f>YEAR([1]!Input_Raw[[#This Row],[Date]])</f>
        <v>2025</v>
      </c>
      <c r="D119" s="14">
        <f t="shared" si="8"/>
        <v>45839</v>
      </c>
      <c r="E119" s="13">
        <f>DAY(EOMONTH([1]!Input_Raw[[#This Row],[Date]],0))</f>
        <v>31</v>
      </c>
      <c r="F119" s="15">
        <v>9502</v>
      </c>
      <c r="G119" s="15">
        <v>9491</v>
      </c>
      <c r="H119" s="15">
        <v>9498</v>
      </c>
      <c r="I119" s="15">
        <v>9500</v>
      </c>
      <c r="J119" s="15">
        <v>5949</v>
      </c>
      <c r="K119" s="15">
        <v>9508</v>
      </c>
      <c r="L119" s="15">
        <v>9505</v>
      </c>
      <c r="M119" s="15">
        <v>9509</v>
      </c>
      <c r="N119" s="15">
        <v>7940</v>
      </c>
      <c r="O119" s="15">
        <v>9510</v>
      </c>
      <c r="P119" s="15">
        <v>9517</v>
      </c>
      <c r="Q119" s="15">
        <v>7942</v>
      </c>
      <c r="R119" s="15">
        <v>7945</v>
      </c>
      <c r="S119" s="15">
        <v>7948</v>
      </c>
      <c r="T119" s="15">
        <v>7952</v>
      </c>
      <c r="U119" s="15">
        <v>7591</v>
      </c>
      <c r="V119" s="15">
        <v>7942</v>
      </c>
      <c r="W119" s="15">
        <v>7927</v>
      </c>
      <c r="X119" s="15">
        <v>7952</v>
      </c>
      <c r="Y119" s="15">
        <v>7957</v>
      </c>
      <c r="Z119" s="15">
        <v>6125</v>
      </c>
      <c r="AA119" s="15">
        <v>5982</v>
      </c>
      <c r="AB119" s="15">
        <v>6102</v>
      </c>
      <c r="AC119" s="15">
        <v>6107</v>
      </c>
      <c r="AD119" s="15">
        <v>5390</v>
      </c>
      <c r="AE119" s="15">
        <v>6110</v>
      </c>
      <c r="AF119" s="15">
        <v>6109</v>
      </c>
      <c r="AG119" s="15">
        <v>0</v>
      </c>
      <c r="AH119" s="15">
        <v>6102</v>
      </c>
      <c r="AI119" s="15">
        <v>6115</v>
      </c>
      <c r="AJ119" s="15">
        <v>5379</v>
      </c>
      <c r="AK119" s="15">
        <v>5402</v>
      </c>
      <c r="AL119" s="15">
        <v>5408</v>
      </c>
      <c r="AM119" s="15">
        <v>5406</v>
      </c>
      <c r="AN119" s="15">
        <v>5411</v>
      </c>
      <c r="AO119" s="15">
        <v>5392</v>
      </c>
      <c r="AP119" s="15">
        <v>5399</v>
      </c>
      <c r="AQ119" s="15">
        <v>5408</v>
      </c>
      <c r="AR119" s="15">
        <v>5410</v>
      </c>
      <c r="AS119" s="16">
        <v>4.0641180555555536</v>
      </c>
      <c r="AT119" s="16">
        <v>4.0593055555555582</v>
      </c>
      <c r="AU119" s="16">
        <v>4.0183402777777761</v>
      </c>
      <c r="AV119" s="16">
        <v>3.9908402777777772</v>
      </c>
      <c r="AW119" s="16">
        <v>3.97079861111111</v>
      </c>
      <c r="AX119" s="16">
        <v>4.1533333333333324</v>
      </c>
      <c r="AY119" s="16">
        <v>4.1533333333333324</v>
      </c>
      <c r="AZ119" s="16">
        <v>4.3952637795275589</v>
      </c>
      <c r="BA119" s="16">
        <v>4.0945833333333352</v>
      </c>
      <c r="BB119" s="16">
        <v>4.1891249999999989</v>
      </c>
      <c r="BC119" s="16">
        <v>4.5515753968253962</v>
      </c>
      <c r="BD119" s="16">
        <v>4.0447986111111112</v>
      </c>
      <c r="BE119" s="16">
        <v>4.0977430555555578</v>
      </c>
      <c r="BF119" s="16">
        <v>4.1513819444444442</v>
      </c>
      <c r="BG119" s="16">
        <v>4.114952083333332</v>
      </c>
      <c r="BH119" s="16">
        <v>4.1474861111111121</v>
      </c>
      <c r="BI119" s="16">
        <v>4.3756666666666675</v>
      </c>
      <c r="BJ119" s="16">
        <v>4.3612430555555521</v>
      </c>
      <c r="BK119" s="16">
        <v>4.2470694444444446</v>
      </c>
      <c r="BL119" s="16">
        <v>4.3102222222222224</v>
      </c>
      <c r="BM119" s="16">
        <v>4.0999999999999996</v>
      </c>
      <c r="BN119" s="16">
        <v>4.0657152777777794</v>
      </c>
      <c r="BO119" s="16">
        <v>3.9717916666666659</v>
      </c>
      <c r="BP119" s="16">
        <v>4.1679513888888877</v>
      </c>
      <c r="BQ119" s="16">
        <v>3.8945486111111092</v>
      </c>
      <c r="BR119" s="16">
        <v>3.9962013888888888</v>
      </c>
      <c r="BS119" s="16">
        <v>4.0165833333333332</v>
      </c>
      <c r="BT119" s="16">
        <v>0</v>
      </c>
      <c r="BU119" s="16">
        <v>4.0999999999999996</v>
      </c>
      <c r="BV119" s="16">
        <v>3.32</v>
      </c>
      <c r="BW119" s="16">
        <v>3.80823611111111</v>
      </c>
      <c r="BX119" s="16">
        <v>3.923756944444444</v>
      </c>
      <c r="BY119" s="16">
        <v>4.0071736111111118</v>
      </c>
      <c r="BZ119" s="16">
        <v>4.0676805555555573</v>
      </c>
      <c r="CA119" s="16">
        <v>4.0488194444444439</v>
      </c>
      <c r="CB119" s="16">
        <v>4.1112569444444436</v>
      </c>
      <c r="CC119" s="16">
        <v>3.8610277777777782</v>
      </c>
      <c r="CD119" s="16">
        <v>3.9456944444444466</v>
      </c>
      <c r="CE119" s="16">
        <v>3.9453750000000003</v>
      </c>
      <c r="CF119" s="17">
        <f>SUM(Input_Raw[[#This Row],[G01]:[G40]])</f>
        <v>273342</v>
      </c>
      <c r="CG119" s="18">
        <f>IFERROR(AVERAGE(Input_Raw[[#This Row],[WS_G01]:[WS_G40]]),"")</f>
        <v>3.9703331448352608</v>
      </c>
      <c r="CH119" s="19"/>
      <c r="CI119" s="19"/>
      <c r="CJ119" s="15">
        <v>247512</v>
      </c>
      <c r="CK119" s="15">
        <v>2198</v>
      </c>
      <c r="CL119" s="15">
        <v>286506</v>
      </c>
      <c r="CM119" s="15">
        <v>2223</v>
      </c>
      <c r="CN119" s="15">
        <v>264446</v>
      </c>
      <c r="CO119" s="15">
        <v>1832</v>
      </c>
      <c r="CP119" s="15">
        <v>300943</v>
      </c>
      <c r="CQ119" s="15">
        <v>1877</v>
      </c>
      <c r="CR119" s="91">
        <f>IF(((Input_Raw[[#This Row],[33 kV_Wind_F1_Export reading]]-CJ118)*1200)&gt;0,(Input_Raw[[#This Row],[33 kV_Wind_F1_Export reading]]-CJ118)*1200,0)</f>
        <v>52800</v>
      </c>
      <c r="CS119" s="91">
        <f>IF(((Input_Raw[[#This Row],[33 kV_Wind_F1_Import reading]]-CK118)*1200)&gt;0,(Input_Raw[[#This Row],[33 kV_Wind_F1_Import reading]]-CK118)*1200,0)</f>
        <v>0</v>
      </c>
      <c r="CT119" s="91">
        <f>IF(((Input_Raw[[#This Row],[33 kV_Wind_F2_Export_reading]]-CL118)*1200)&gt;0,(Input_Raw[[#This Row],[33 kV_Wind_F2_Export_reading]]-CL118)*1200,0)</f>
        <v>54000</v>
      </c>
      <c r="CU119" s="91">
        <f>IF(((Input_Raw[[#This Row],[33 kV_Wind_F2_Import_reading]]-CM118)*1200)&gt;0,(Input_Raw[[#This Row],[33 kV_Wind_F2_Import_reading]]-CM118)*1200,0)</f>
        <v>0</v>
      </c>
      <c r="CV119" s="91">
        <f>IF(((Input_Raw[[#This Row],[33 kV_Wind_F3_Export_Reading]]-CN118)*1200)&gt;0,(Input_Raw[[#This Row],[33 kV_Wind_F3_Export_Reading]]-CN118)*1200,0)</f>
        <v>84000</v>
      </c>
      <c r="CW119" s="91">
        <f>IF(((Input_Raw[[#This Row],[33 kV_Wind_F3_Import_Reading]]-CO118)*1200)&gt;0,(Input_Raw[[#This Row],[33 kV_Wind_F3_Import_Reading]]-CO118)*1200,0)</f>
        <v>0</v>
      </c>
      <c r="CX119" s="91">
        <f>IF(((Input_Raw[[#This Row],[33 kV_Wind_F4_Export Reading]]-CP118)*1200)&gt;0,(Input_Raw[[#This Row],[33 kV_Wind_F4_Export Reading]]-CP118)*1200,0)</f>
        <v>78000</v>
      </c>
      <c r="CY119" s="172"/>
      <c r="CZ119" s="172">
        <f>Input_Raw[[#This Row],[33 kV_F1_Total_Export (KWh)]]+Input_Raw[[#This Row],[33 kV_F2_Total_Export (KWh)2]]+Input_Raw[[#This Row],[33 kV_Wind_F3_Export (KWh)]]+Input_Raw[[#This Row],[33 kV_Wind_F4_Export (KWh)]]</f>
        <v>268800</v>
      </c>
      <c r="DA119" s="172">
        <f>Input_Raw[[#This Row],[33 kV_Wind_F1_Import (KWh)]]+Input_Raw[[#This Row],[33 kV_Wind_F2_Import (KWh)]]+Input_Raw[[#This Row],[33 kV_Wind_F3_Import (KWh)2]]+Input_Raw[[#This Row],[33 kV_Wind_F4_Import (KWh)2]]</f>
        <v>0</v>
      </c>
      <c r="DB119" s="21">
        <f>IFERROR(1-Input_Raw[[#This Row],[33 kV_Wind_Total_Export (KWh)]]/Input_Raw[[#This Row],[WTG Total Gneration (KWh)]],0)</f>
        <v>1.6616546304629387E-2</v>
      </c>
      <c r="DC119" s="100">
        <v>96</v>
      </c>
      <c r="DD119" s="100">
        <v>7976</v>
      </c>
      <c r="DE119" s="102">
        <v>273.33999999999997</v>
      </c>
      <c r="DF119" s="99"/>
      <c r="DG119" s="101">
        <v>78</v>
      </c>
      <c r="DH119" s="168" t="s">
        <v>381</v>
      </c>
    </row>
    <row r="120" spans="1:112">
      <c r="A120" s="20">
        <f t="shared" si="7"/>
        <v>45860</v>
      </c>
      <c r="B120" s="12">
        <f>YEAR([1]!Input_Raw[[#This Row],[Date]])+IF(MONTH([1]!Input_Raw[[#This Row],[Date]])&gt;=4,1,0)</f>
        <v>2026</v>
      </c>
      <c r="C120" s="13">
        <f>YEAR([1]!Input_Raw[[#This Row],[Date]])</f>
        <v>2025</v>
      </c>
      <c r="D120" s="14">
        <f t="shared" si="8"/>
        <v>45839</v>
      </c>
      <c r="E120" s="13">
        <f>DAY(EOMONTH([1]!Input_Raw[[#This Row],[Date]],0))</f>
        <v>31</v>
      </c>
      <c r="F120" s="15">
        <v>6101</v>
      </c>
      <c r="G120" s="15">
        <v>6098</v>
      </c>
      <c r="H120" s="15">
        <v>6092</v>
      </c>
      <c r="I120" s="15">
        <v>5821</v>
      </c>
      <c r="J120" s="15">
        <v>5967</v>
      </c>
      <c r="K120" s="15">
        <v>6111</v>
      </c>
      <c r="L120" s="15">
        <v>6099</v>
      </c>
      <c r="M120" s="15">
        <v>6107</v>
      </c>
      <c r="N120" s="15">
        <v>6580</v>
      </c>
      <c r="O120" s="15">
        <v>6109</v>
      </c>
      <c r="P120" s="15">
        <v>6115</v>
      </c>
      <c r="Q120" s="15">
        <v>6565</v>
      </c>
      <c r="R120" s="15">
        <v>6572</v>
      </c>
      <c r="S120" s="15">
        <v>6575</v>
      </c>
      <c r="T120" s="15">
        <v>6579</v>
      </c>
      <c r="U120" s="15">
        <v>6221</v>
      </c>
      <c r="V120" s="15">
        <v>6582</v>
      </c>
      <c r="W120" s="15">
        <v>6578</v>
      </c>
      <c r="X120" s="15">
        <v>6589</v>
      </c>
      <c r="Y120" s="15">
        <v>6592</v>
      </c>
      <c r="Z120" s="15">
        <v>5992</v>
      </c>
      <c r="AA120" s="15">
        <v>5732</v>
      </c>
      <c r="AB120" s="15">
        <v>5987</v>
      </c>
      <c r="AC120" s="15">
        <v>5995</v>
      </c>
      <c r="AD120" s="15">
        <v>4392</v>
      </c>
      <c r="AE120" s="15">
        <v>5989</v>
      </c>
      <c r="AF120" s="15">
        <v>5987</v>
      </c>
      <c r="AG120" s="15">
        <v>0</v>
      </c>
      <c r="AH120" s="15">
        <v>5998</v>
      </c>
      <c r="AI120" s="15">
        <v>5751</v>
      </c>
      <c r="AJ120" s="15">
        <v>4391</v>
      </c>
      <c r="AK120" s="15">
        <v>4397</v>
      </c>
      <c r="AL120" s="15">
        <v>4395</v>
      </c>
      <c r="AM120" s="15">
        <v>4392</v>
      </c>
      <c r="AN120" s="15">
        <v>4396</v>
      </c>
      <c r="AO120" s="15">
        <v>4393</v>
      </c>
      <c r="AP120" s="15">
        <v>4391</v>
      </c>
      <c r="AQ120" s="15">
        <v>4398</v>
      </c>
      <c r="AR120" s="15">
        <v>4401</v>
      </c>
      <c r="AS120" s="16">
        <v>4.0641180555555536</v>
      </c>
      <c r="AT120" s="16">
        <v>4.0593055555555582</v>
      </c>
      <c r="AU120" s="16">
        <v>4.0183402777777761</v>
      </c>
      <c r="AV120" s="16">
        <v>3.9908402777777772</v>
      </c>
      <c r="AW120" s="16">
        <v>3.97079861111111</v>
      </c>
      <c r="AX120" s="16">
        <v>4.1533333333333324</v>
      </c>
      <c r="AY120" s="16">
        <v>4.1533333333333324</v>
      </c>
      <c r="AZ120" s="16">
        <v>4.3952637795275589</v>
      </c>
      <c r="BA120" s="16">
        <v>4.0945833333333352</v>
      </c>
      <c r="BB120" s="16">
        <v>4.1891249999999989</v>
      </c>
      <c r="BC120" s="16">
        <v>4.5515753968253962</v>
      </c>
      <c r="BD120" s="16">
        <v>4.0447986111111112</v>
      </c>
      <c r="BE120" s="16">
        <v>4.0977430555555578</v>
      </c>
      <c r="BF120" s="16">
        <v>4.1513819444444442</v>
      </c>
      <c r="BG120" s="16">
        <v>4.114952083333332</v>
      </c>
      <c r="BH120" s="16">
        <v>4.1474861111111121</v>
      </c>
      <c r="BI120" s="16">
        <v>4.3756666666666675</v>
      </c>
      <c r="BJ120" s="16">
        <v>4.3612430555555521</v>
      </c>
      <c r="BK120" s="16">
        <v>4.2470694444444446</v>
      </c>
      <c r="BL120" s="16">
        <v>4.3102222222222224</v>
      </c>
      <c r="BM120" s="16">
        <v>4.0999999999999996</v>
      </c>
      <c r="BN120" s="16">
        <v>4.0657152777777794</v>
      </c>
      <c r="BO120" s="16">
        <v>3.9717916666666659</v>
      </c>
      <c r="BP120" s="16">
        <v>4.1679513888888877</v>
      </c>
      <c r="BQ120" s="16">
        <v>3.8945486111111092</v>
      </c>
      <c r="BR120" s="16">
        <v>3.9962013888888888</v>
      </c>
      <c r="BS120" s="16">
        <v>4.0165833333333332</v>
      </c>
      <c r="BT120" s="16">
        <v>0</v>
      </c>
      <c r="BU120" s="16">
        <v>4.0999999999999996</v>
      </c>
      <c r="BV120" s="16">
        <v>0</v>
      </c>
      <c r="BW120" s="16">
        <v>3.80823611111111</v>
      </c>
      <c r="BX120" s="16">
        <v>3.923756944444444</v>
      </c>
      <c r="BY120" s="16">
        <v>4.0071736111111118</v>
      </c>
      <c r="BZ120" s="16">
        <v>4.0676805555555573</v>
      </c>
      <c r="CA120" s="16">
        <v>4.0488194444444439</v>
      </c>
      <c r="CB120" s="16">
        <v>4.1112569444444436</v>
      </c>
      <c r="CC120" s="16">
        <v>3.8610277777777782</v>
      </c>
      <c r="CD120" s="16">
        <v>3.9456944444444466</v>
      </c>
      <c r="CE120" s="16">
        <v>3.9453750000000003</v>
      </c>
      <c r="CF120" s="17">
        <f>SUM(Input_Raw[[#This Row],[G01]:[G40]])</f>
        <v>217430</v>
      </c>
      <c r="CG120" s="18">
        <f>IFERROR(AVERAGE(Input_Raw[[#This Row],[WS_G01]:[WS_G40]]),"")</f>
        <v>3.885204939707056</v>
      </c>
      <c r="CH120" s="19"/>
      <c r="CI120" s="19"/>
      <c r="CJ120" s="15">
        <v>247548</v>
      </c>
      <c r="CK120" s="15">
        <v>2198</v>
      </c>
      <c r="CL120" s="15">
        <v>286545</v>
      </c>
      <c r="CM120" s="15">
        <v>2223</v>
      </c>
      <c r="CN120" s="15">
        <v>264491</v>
      </c>
      <c r="CO120" s="15">
        <v>1832</v>
      </c>
      <c r="CP120" s="15">
        <v>300997</v>
      </c>
      <c r="CQ120" s="15">
        <v>1877</v>
      </c>
      <c r="CR120" s="91">
        <f>IF(((Input_Raw[[#This Row],[33 kV_Wind_F1_Export reading]]-CJ119)*1200)&gt;0,(Input_Raw[[#This Row],[33 kV_Wind_F1_Export reading]]-CJ119)*1200,0)</f>
        <v>43200</v>
      </c>
      <c r="CS120" s="91">
        <f>IF(((Input_Raw[[#This Row],[33 kV_Wind_F1_Import reading]]-CK119)*1200)&gt;0,(Input_Raw[[#This Row],[33 kV_Wind_F1_Import reading]]-CK119)*1200,0)</f>
        <v>0</v>
      </c>
      <c r="CT120" s="91">
        <f>IF(((Input_Raw[[#This Row],[33 kV_Wind_F2_Export_reading]]-CL119)*1200)&gt;0,(Input_Raw[[#This Row],[33 kV_Wind_F2_Export_reading]]-CL119)*1200,0)</f>
        <v>46800</v>
      </c>
      <c r="CU120" s="91">
        <f>IF(((Input_Raw[[#This Row],[33 kV_Wind_F2_Import_reading]]-CM119)*1200)&gt;0,(Input_Raw[[#This Row],[33 kV_Wind_F2_Import_reading]]-CM119)*1200,0)</f>
        <v>0</v>
      </c>
      <c r="CV120" s="91">
        <f>IF(((Input_Raw[[#This Row],[33 kV_Wind_F3_Export_Reading]]-CN119)*1200)&gt;0,(Input_Raw[[#This Row],[33 kV_Wind_F3_Export_Reading]]-CN119)*1200,0)</f>
        <v>54000</v>
      </c>
      <c r="CW120" s="91">
        <f>IF(((Input_Raw[[#This Row],[33 kV_Wind_F3_Import_Reading]]-CO119)*1200)&gt;0,(Input_Raw[[#This Row],[33 kV_Wind_F3_Import_Reading]]-CO119)*1200,0)</f>
        <v>0</v>
      </c>
      <c r="CX120" s="91">
        <f>IF(((Input_Raw[[#This Row],[33 kV_Wind_F4_Export Reading]]-CP119)*1200)&gt;0,(Input_Raw[[#This Row],[33 kV_Wind_F4_Export Reading]]-CP119)*1200,0)</f>
        <v>64800</v>
      </c>
      <c r="CY120" s="172"/>
      <c r="CZ120" s="172">
        <f>Input_Raw[[#This Row],[33 kV_F1_Total_Export (KWh)]]+Input_Raw[[#This Row],[33 kV_F2_Total_Export (KWh)2]]+Input_Raw[[#This Row],[33 kV_Wind_F3_Export (KWh)]]+Input_Raw[[#This Row],[33 kV_Wind_F4_Export (KWh)]]</f>
        <v>208800</v>
      </c>
      <c r="DA120" s="172">
        <f>Input_Raw[[#This Row],[33 kV_Wind_F1_Import (KWh)]]+Input_Raw[[#This Row],[33 kV_Wind_F2_Import (KWh)]]+Input_Raw[[#This Row],[33 kV_Wind_F3_Import (KWh)2]]+Input_Raw[[#This Row],[33 kV_Wind_F4_Import (KWh)2]]</f>
        <v>0</v>
      </c>
      <c r="DB120" s="21">
        <f>IFERROR(1-Input_Raw[[#This Row],[33 kV_Wind_Total_Export (KWh)]]/Input_Raw[[#This Row],[WTG Total Gneration (KWh)]],0)</f>
        <v>3.9690935013567574E-2</v>
      </c>
      <c r="DC120" s="100">
        <v>96</v>
      </c>
      <c r="DD120" s="100">
        <v>12910</v>
      </c>
      <c r="DE120" s="102">
        <v>217.43</v>
      </c>
      <c r="DF120" s="99"/>
      <c r="DG120" s="101">
        <v>78</v>
      </c>
      <c r="DH120" s="168" t="s">
        <v>381</v>
      </c>
    </row>
    <row r="121" spans="1:112">
      <c r="A121" s="20">
        <f t="shared" si="7"/>
        <v>45861</v>
      </c>
      <c r="B121" s="12">
        <f>YEAR([1]!Input_Raw[[#This Row],[Date]])+IF(MONTH([1]!Input_Raw[[#This Row],[Date]])&gt;=4,1,0)</f>
        <v>2026</v>
      </c>
      <c r="C121" s="13">
        <f>YEAR([1]!Input_Raw[[#This Row],[Date]])</f>
        <v>2025</v>
      </c>
      <c r="D121" s="14">
        <f t="shared" si="8"/>
        <v>45839</v>
      </c>
      <c r="E121" s="13">
        <f>DAY(EOMONTH([1]!Input_Raw[[#This Row],[Date]],0))</f>
        <v>31</v>
      </c>
      <c r="F121" s="15">
        <v>9421</v>
      </c>
      <c r="G121" s="15">
        <v>9651</v>
      </c>
      <c r="H121" s="15">
        <v>9654</v>
      </c>
      <c r="I121" s="15">
        <v>9647</v>
      </c>
      <c r="J121" s="15">
        <v>9321</v>
      </c>
      <c r="K121" s="15">
        <v>9656</v>
      </c>
      <c r="L121" s="15">
        <v>9649</v>
      </c>
      <c r="M121" s="15">
        <v>9658</v>
      </c>
      <c r="N121" s="15">
        <v>10005</v>
      </c>
      <c r="O121" s="15">
        <v>9662</v>
      </c>
      <c r="P121" s="15">
        <v>9665</v>
      </c>
      <c r="Q121" s="15">
        <v>10007</v>
      </c>
      <c r="R121" s="15">
        <v>10011</v>
      </c>
      <c r="S121" s="15">
        <v>10014</v>
      </c>
      <c r="T121" s="15">
        <v>10018</v>
      </c>
      <c r="U121" s="15">
        <v>9782</v>
      </c>
      <c r="V121" s="15">
        <v>10015</v>
      </c>
      <c r="W121" s="15">
        <v>10001</v>
      </c>
      <c r="X121" s="15">
        <v>10021</v>
      </c>
      <c r="Y121" s="15">
        <v>10025</v>
      </c>
      <c r="Z121" s="15">
        <v>9352</v>
      </c>
      <c r="AA121" s="15">
        <v>9355</v>
      </c>
      <c r="AB121" s="15">
        <v>9347</v>
      </c>
      <c r="AC121" s="15">
        <v>9356</v>
      </c>
      <c r="AD121" s="15">
        <v>7851</v>
      </c>
      <c r="AE121" s="15">
        <v>9349</v>
      </c>
      <c r="AF121" s="15">
        <v>9353</v>
      </c>
      <c r="AG121" s="15">
        <v>0</v>
      </c>
      <c r="AH121" s="15">
        <v>9357</v>
      </c>
      <c r="AI121" s="15">
        <v>9352</v>
      </c>
      <c r="AJ121" s="15">
        <v>7846</v>
      </c>
      <c r="AK121" s="15">
        <v>7852</v>
      </c>
      <c r="AL121" s="15">
        <v>7856</v>
      </c>
      <c r="AM121" s="15">
        <v>7850</v>
      </c>
      <c r="AN121" s="15">
        <v>7621</v>
      </c>
      <c r="AO121" s="15">
        <v>7849</v>
      </c>
      <c r="AP121" s="15">
        <v>7846</v>
      </c>
      <c r="AQ121" s="15">
        <v>7857</v>
      </c>
      <c r="AR121" s="15">
        <v>7859</v>
      </c>
      <c r="AS121" s="16">
        <v>5.44</v>
      </c>
      <c r="AT121" s="16">
        <v>4.66</v>
      </c>
      <c r="AU121" s="16">
        <v>4.9800000000000004</v>
      </c>
      <c r="AV121" s="16">
        <v>4.95</v>
      </c>
      <c r="AW121" s="16">
        <v>4.71</v>
      </c>
      <c r="AX121" s="16">
        <v>4.88</v>
      </c>
      <c r="AY121" s="16">
        <v>3.8</v>
      </c>
      <c r="AZ121" s="16">
        <v>4.8600000000000003</v>
      </c>
      <c r="BA121" s="16">
        <v>3.76</v>
      </c>
      <c r="BB121" s="16">
        <v>4.59</v>
      </c>
      <c r="BC121" s="16">
        <v>4.7300000000000004</v>
      </c>
      <c r="BD121" s="16">
        <v>4.88</v>
      </c>
      <c r="BE121" s="16">
        <v>4.88</v>
      </c>
      <c r="BF121" s="16">
        <v>5.07</v>
      </c>
      <c r="BG121" s="16">
        <v>5.05</v>
      </c>
      <c r="BH121" s="16">
        <v>4.83</v>
      </c>
      <c r="BI121" s="16">
        <v>0</v>
      </c>
      <c r="BJ121" s="16">
        <v>5.01</v>
      </c>
      <c r="BK121" s="16">
        <v>5.44</v>
      </c>
      <c r="BL121" s="16">
        <v>4.66</v>
      </c>
      <c r="BM121" s="16">
        <v>4.9800000000000004</v>
      </c>
      <c r="BN121" s="16">
        <v>4.95</v>
      </c>
      <c r="BO121" s="16">
        <v>4.71</v>
      </c>
      <c r="BP121" s="16">
        <v>4.88</v>
      </c>
      <c r="BQ121" s="16">
        <v>3.8</v>
      </c>
      <c r="BR121" s="16">
        <v>4.8600000000000003</v>
      </c>
      <c r="BS121" s="16">
        <v>3.76</v>
      </c>
      <c r="BT121" s="16">
        <v>0</v>
      </c>
      <c r="BU121" s="16">
        <v>4.7300000000000004</v>
      </c>
      <c r="BV121" s="16">
        <v>0</v>
      </c>
      <c r="BW121" s="16">
        <v>4.88</v>
      </c>
      <c r="BX121" s="16">
        <v>5.07</v>
      </c>
      <c r="BY121" s="16">
        <v>5.05</v>
      </c>
      <c r="BZ121" s="16">
        <v>4.83</v>
      </c>
      <c r="CA121" s="16">
        <v>4.2</v>
      </c>
      <c r="CB121" s="16">
        <v>5.01</v>
      </c>
      <c r="CC121" s="16">
        <v>4.0999999999999996</v>
      </c>
      <c r="CD121" s="16">
        <v>3.9</v>
      </c>
      <c r="CE121" s="16">
        <v>3.8</v>
      </c>
      <c r="CF121" s="17">
        <f>SUM(Input_Raw[[#This Row],[G01]:[G40]])</f>
        <v>348991</v>
      </c>
      <c r="CG121" s="18">
        <f>IFERROR(AVERAGE(Input_Raw[[#This Row],[WS_G01]:[WS_G40]]),"")</f>
        <v>4.3253846153846149</v>
      </c>
      <c r="CH121" s="19"/>
      <c r="CI121" s="19"/>
      <c r="CJ121" s="15">
        <v>247613</v>
      </c>
      <c r="CK121" s="15">
        <v>2198</v>
      </c>
      <c r="CL121" s="15">
        <v>286607</v>
      </c>
      <c r="CM121" s="15">
        <v>2223</v>
      </c>
      <c r="CN121" s="15">
        <v>264563</v>
      </c>
      <c r="CO121" s="15">
        <v>1832</v>
      </c>
      <c r="CP121" s="15">
        <v>301080</v>
      </c>
      <c r="CQ121" s="15">
        <v>1878</v>
      </c>
      <c r="CR121" s="91">
        <f>IF(((Input_Raw[[#This Row],[33 kV_Wind_F1_Export reading]]-CJ120)*1200)&gt;0,(Input_Raw[[#This Row],[33 kV_Wind_F1_Export reading]]-CJ120)*1200,0)</f>
        <v>78000</v>
      </c>
      <c r="CS121" s="91">
        <f>IF(((Input_Raw[[#This Row],[33 kV_Wind_F1_Import reading]]-CK120)*1200)&gt;0,(Input_Raw[[#This Row],[33 kV_Wind_F1_Import reading]]-CK120)*1200,0)</f>
        <v>0</v>
      </c>
      <c r="CT121" s="91">
        <f>IF(((Input_Raw[[#This Row],[33 kV_Wind_F2_Export_reading]]-CL120)*1200)&gt;0,(Input_Raw[[#This Row],[33 kV_Wind_F2_Export_reading]]-CL120)*1200,0)</f>
        <v>74400</v>
      </c>
      <c r="CU121" s="91">
        <f>IF(((Input_Raw[[#This Row],[33 kV_Wind_F2_Import_reading]]-CM120)*1200)&gt;0,(Input_Raw[[#This Row],[33 kV_Wind_F2_Import_reading]]-CM120)*1200,0)</f>
        <v>0</v>
      </c>
      <c r="CV121" s="91">
        <f>IF(((Input_Raw[[#This Row],[33 kV_Wind_F3_Export_Reading]]-CN120)*1200)&gt;0,(Input_Raw[[#This Row],[33 kV_Wind_F3_Export_Reading]]-CN120)*1200,0)</f>
        <v>86400</v>
      </c>
      <c r="CW121" s="91">
        <f>IF(((Input_Raw[[#This Row],[33 kV_Wind_F3_Import_Reading]]-CO120)*1200)&gt;0,(Input_Raw[[#This Row],[33 kV_Wind_F3_Import_Reading]]-CO120)*1200,0)</f>
        <v>0</v>
      </c>
      <c r="CX121" s="91">
        <f>IF(((Input_Raw[[#This Row],[33 kV_Wind_F4_Export Reading]]-CP120)*1200)&gt;0,(Input_Raw[[#This Row],[33 kV_Wind_F4_Export Reading]]-CP120)*1200,0)</f>
        <v>99600</v>
      </c>
      <c r="CY121" s="172"/>
      <c r="CZ121" s="172">
        <f>Input_Raw[[#This Row],[33 kV_F1_Total_Export (KWh)]]+Input_Raw[[#This Row],[33 kV_F2_Total_Export (KWh)2]]+Input_Raw[[#This Row],[33 kV_Wind_F3_Export (KWh)]]+Input_Raw[[#This Row],[33 kV_Wind_F4_Export (KWh)]]</f>
        <v>338400</v>
      </c>
      <c r="DA121" s="172">
        <f>Input_Raw[[#This Row],[33 kV_Wind_F1_Import (KWh)]]+Input_Raw[[#This Row],[33 kV_Wind_F2_Import (KWh)]]+Input_Raw[[#This Row],[33 kV_Wind_F3_Import (KWh)2]]+Input_Raw[[#This Row],[33 kV_Wind_F4_Import (KWh)2]]</f>
        <v>0</v>
      </c>
      <c r="DB121" s="21">
        <f>IFERROR(1-Input_Raw[[#This Row],[33 kV_Wind_Total_Export (KWh)]]/Input_Raw[[#This Row],[WTG Total Gneration (KWh)]],0)</f>
        <v>3.034748747102356E-2</v>
      </c>
      <c r="DC121" s="100">
        <v>96</v>
      </c>
      <c r="DD121" s="100">
        <v>51084</v>
      </c>
      <c r="DE121" s="102">
        <v>348.99</v>
      </c>
      <c r="DF121" s="99"/>
      <c r="DG121" s="101">
        <v>78</v>
      </c>
      <c r="DH121" s="168" t="s">
        <v>381</v>
      </c>
    </row>
    <row r="122" spans="1:112">
      <c r="A122" s="20">
        <f t="shared" si="7"/>
        <v>45862</v>
      </c>
      <c r="B122" s="12">
        <f>YEAR([1]!Input_Raw[[#This Row],[Date]])+IF(MONTH([1]!Input_Raw[[#This Row],[Date]])&gt;=4,1,0)</f>
        <v>2026</v>
      </c>
      <c r="C122" s="13">
        <f>YEAR([1]!Input_Raw[[#This Row],[Date]])</f>
        <v>2025</v>
      </c>
      <c r="D122" s="14">
        <f t="shared" si="8"/>
        <v>45839</v>
      </c>
      <c r="E122" s="13">
        <f>DAY(EOMONTH([1]!Input_Raw[[#This Row],[Date]],0))</f>
        <v>31</v>
      </c>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7">
        <f>SUM(Input_Raw[[#This Row],[G01]:[G40]])</f>
        <v>0</v>
      </c>
      <c r="CG122" s="18" t="str">
        <f>IFERROR(AVERAGE(Input_Raw[[#This Row],[WS_G01]:[WS_G40]]),"")</f>
        <v/>
      </c>
      <c r="CH122" s="19"/>
      <c r="CI122" s="19"/>
      <c r="CJ122" s="15"/>
      <c r="CK122" s="15"/>
      <c r="CL122" s="15"/>
      <c r="CM122" s="15"/>
      <c r="CN122" s="15"/>
      <c r="CO122" s="15"/>
      <c r="CP122" s="15"/>
      <c r="CQ122" s="15"/>
      <c r="CR122" s="91">
        <f>IF(((Input_Raw[[#This Row],[33 kV_Wind_F1_Export reading]]-CJ121)*1200)&gt;0,(Input_Raw[[#This Row],[33 kV_Wind_F1_Export reading]]-CJ121)*1200,0)</f>
        <v>0</v>
      </c>
      <c r="CS122" s="91">
        <f>IF(((Input_Raw[[#This Row],[33 kV_Wind_F1_Import reading]]-CK121)*1200)&gt;0,(Input_Raw[[#This Row],[33 kV_Wind_F1_Import reading]]-CK121)*1200,0)</f>
        <v>0</v>
      </c>
      <c r="CT122" s="91">
        <f>IF(((Input_Raw[[#This Row],[33 kV_Wind_F2_Export_reading]]-CL121)*1200)&gt;0,(Input_Raw[[#This Row],[33 kV_Wind_F2_Export_reading]]-CL121)*1200,0)</f>
        <v>0</v>
      </c>
      <c r="CU122" s="91">
        <f>IF(((Input_Raw[[#This Row],[33 kV_Wind_F2_Import_reading]]-CM121)*1200)&gt;0,(Input_Raw[[#This Row],[33 kV_Wind_F2_Import_reading]]-CM121)*1200,0)</f>
        <v>0</v>
      </c>
      <c r="CV122" s="91">
        <f>IF(((Input_Raw[[#This Row],[33 kV_Wind_F3_Export_Reading]]-CN121)*1200)&gt;0,(Input_Raw[[#This Row],[33 kV_Wind_F3_Export_Reading]]-CN121)*1200,0)</f>
        <v>0</v>
      </c>
      <c r="CW122" s="91">
        <f>IF(((Input_Raw[[#This Row],[33 kV_Wind_F3_Import_Reading]]-CO121)*1200)&gt;0,(Input_Raw[[#This Row],[33 kV_Wind_F3_Import_Reading]]-CO121)*1200,0)</f>
        <v>0</v>
      </c>
      <c r="CX122" s="91">
        <f>IF(((Input_Raw[[#This Row],[33 kV_Wind_F4_Export Reading]]-CP121)*1200)&gt;0,(Input_Raw[[#This Row],[33 kV_Wind_F4_Export Reading]]-CP121)*1200,0)</f>
        <v>0</v>
      </c>
      <c r="CY122" s="172"/>
      <c r="CZ122" s="172">
        <f>Input_Raw[[#This Row],[33 kV_F1_Total_Export (KWh)]]+Input_Raw[[#This Row],[33 kV_F2_Total_Export (KWh)2]]+Input_Raw[[#This Row],[33 kV_Wind_F3_Export (KWh)]]+Input_Raw[[#This Row],[33 kV_Wind_F4_Export (KWh)]]</f>
        <v>0</v>
      </c>
      <c r="DA122" s="172">
        <f>Input_Raw[[#This Row],[33 kV_Wind_F1_Import (KWh)]]+Input_Raw[[#This Row],[33 kV_Wind_F2_Import (KWh)]]+Input_Raw[[#This Row],[33 kV_Wind_F3_Import (KWh)2]]+Input_Raw[[#This Row],[33 kV_Wind_F4_Import (KWh)2]]</f>
        <v>0</v>
      </c>
      <c r="DB122" s="21">
        <f>IFERROR(1-Input_Raw[[#This Row],[33 kV_Wind_Total_Export (KWh)]]/Input_Raw[[#This Row],[WTG Total Gneration (KWh)]],0)</f>
        <v>0</v>
      </c>
      <c r="DC122" s="100"/>
      <c r="DD122" s="100"/>
      <c r="DE122" s="102"/>
      <c r="DF122" s="99"/>
      <c r="DG122" s="101"/>
      <c r="DH122" s="99"/>
    </row>
    <row r="123" spans="1:112">
      <c r="A123" s="20">
        <f t="shared" si="7"/>
        <v>45863</v>
      </c>
      <c r="B123" s="12">
        <f>YEAR([1]!Input_Raw[[#This Row],[Date]])+IF(MONTH([1]!Input_Raw[[#This Row],[Date]])&gt;=4,1,0)</f>
        <v>2026</v>
      </c>
      <c r="C123" s="13">
        <f>YEAR([1]!Input_Raw[[#This Row],[Date]])</f>
        <v>2025</v>
      </c>
      <c r="D123" s="14">
        <f t="shared" si="8"/>
        <v>45839</v>
      </c>
      <c r="E123" s="13">
        <f>DAY(EOMONTH([1]!Input_Raw[[#This Row],[Date]],0))</f>
        <v>31</v>
      </c>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7">
        <f>SUM(Input_Raw[[#This Row],[G01]:[G40]])</f>
        <v>0</v>
      </c>
      <c r="CG123" s="18" t="str">
        <f>IFERROR(AVERAGE(Input_Raw[[#This Row],[WS_G01]:[WS_G40]]),"")</f>
        <v/>
      </c>
      <c r="CH123" s="19"/>
      <c r="CI123" s="19"/>
      <c r="CJ123" s="15"/>
      <c r="CK123" s="15"/>
      <c r="CL123" s="15"/>
      <c r="CM123" s="15"/>
      <c r="CN123" s="15"/>
      <c r="CO123" s="15"/>
      <c r="CP123" s="15"/>
      <c r="CQ123" s="15"/>
      <c r="CR123" s="91">
        <f>IF(((Input_Raw[[#This Row],[33 kV_Wind_F1_Export reading]]-CJ122)*1200)&gt;0,(Input_Raw[[#This Row],[33 kV_Wind_F1_Export reading]]-CJ122)*1200,0)</f>
        <v>0</v>
      </c>
      <c r="CS123" s="91">
        <f>IF(((Input_Raw[[#This Row],[33 kV_Wind_F1_Import reading]]-CK122)*1200)&gt;0,(Input_Raw[[#This Row],[33 kV_Wind_F1_Import reading]]-CK122)*1200,0)</f>
        <v>0</v>
      </c>
      <c r="CT123" s="91">
        <f>IF(((Input_Raw[[#This Row],[33 kV_Wind_F2_Export_reading]]-CL122)*1200)&gt;0,(Input_Raw[[#This Row],[33 kV_Wind_F2_Export_reading]]-CL122)*1200,0)</f>
        <v>0</v>
      </c>
      <c r="CU123" s="91">
        <f>IF(((Input_Raw[[#This Row],[33 kV_Wind_F2_Import_reading]]-CM122)*1200)&gt;0,(Input_Raw[[#This Row],[33 kV_Wind_F2_Import_reading]]-CM122)*1200,0)</f>
        <v>0</v>
      </c>
      <c r="CV123" s="91">
        <f>IF(((Input_Raw[[#This Row],[33 kV_Wind_F3_Export_Reading]]-CN122)*1200)&gt;0,(Input_Raw[[#This Row],[33 kV_Wind_F3_Export_Reading]]-CN122)*1200,0)</f>
        <v>0</v>
      </c>
      <c r="CW123" s="91">
        <f>IF(((Input_Raw[[#This Row],[33 kV_Wind_F3_Import_Reading]]-CO122)*1200)&gt;0,(Input_Raw[[#This Row],[33 kV_Wind_F3_Import_Reading]]-CO122)*1200,0)</f>
        <v>0</v>
      </c>
      <c r="CX123" s="91">
        <f>IF(((Input_Raw[[#This Row],[33 kV_Wind_F4_Export Reading]]-CP122)*1200)&gt;0,(Input_Raw[[#This Row],[33 kV_Wind_F4_Export Reading]]-CP122)*1200,0)</f>
        <v>0</v>
      </c>
      <c r="CY123" s="172"/>
      <c r="CZ123" s="172">
        <f>Input_Raw[[#This Row],[33 kV_F1_Total_Export (KWh)]]+Input_Raw[[#This Row],[33 kV_F2_Total_Export (KWh)2]]+Input_Raw[[#This Row],[33 kV_Wind_F3_Export (KWh)]]+Input_Raw[[#This Row],[33 kV_Wind_F4_Export (KWh)]]</f>
        <v>0</v>
      </c>
      <c r="DA123" s="172">
        <f>Input_Raw[[#This Row],[33 kV_Wind_F1_Import (KWh)]]+Input_Raw[[#This Row],[33 kV_Wind_F2_Import (KWh)]]+Input_Raw[[#This Row],[33 kV_Wind_F3_Import (KWh)2]]+Input_Raw[[#This Row],[33 kV_Wind_F4_Import (KWh)2]]</f>
        <v>0</v>
      </c>
      <c r="DB123" s="21">
        <f>IFERROR(1-Input_Raw[[#This Row],[33 kV_Wind_Total_Export (KWh)]]/Input_Raw[[#This Row],[WTG Total Gneration (KWh)]],0)</f>
        <v>0</v>
      </c>
      <c r="DC123" s="100"/>
      <c r="DD123" s="100"/>
      <c r="DE123" s="102"/>
      <c r="DF123" s="99"/>
      <c r="DG123" s="101"/>
      <c r="DH123" s="99"/>
    </row>
    <row r="124" spans="1:112">
      <c r="A124" s="20">
        <f t="shared" si="7"/>
        <v>45864</v>
      </c>
      <c r="B124" s="12">
        <f>YEAR([1]!Input_Raw[[#This Row],[Date]])+IF(MONTH([1]!Input_Raw[[#This Row],[Date]])&gt;=4,1,0)</f>
        <v>2026</v>
      </c>
      <c r="C124" s="13">
        <f>YEAR([1]!Input_Raw[[#This Row],[Date]])</f>
        <v>2025</v>
      </c>
      <c r="D124" s="14">
        <f t="shared" si="8"/>
        <v>45839</v>
      </c>
      <c r="E124" s="13">
        <f>DAY(EOMONTH([1]!Input_Raw[[#This Row],[Date]],0))</f>
        <v>31</v>
      </c>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7">
        <f>SUM(Input_Raw[[#This Row],[G01]:[G40]])</f>
        <v>0</v>
      </c>
      <c r="CG124" s="18" t="str">
        <f>IFERROR(AVERAGE(Input_Raw[[#This Row],[WS_G01]:[WS_G40]]),"")</f>
        <v/>
      </c>
      <c r="CH124" s="19"/>
      <c r="CI124" s="19"/>
      <c r="CJ124" s="15"/>
      <c r="CK124" s="15"/>
      <c r="CL124" s="15"/>
      <c r="CM124" s="15"/>
      <c r="CN124" s="15"/>
      <c r="CO124" s="15"/>
      <c r="CP124" s="15"/>
      <c r="CQ124" s="15"/>
      <c r="CR124" s="91">
        <f>IF(((Input_Raw[[#This Row],[33 kV_Wind_F1_Export reading]]-CJ123)*1200)&gt;0,(Input_Raw[[#This Row],[33 kV_Wind_F1_Export reading]]-CJ123)*1200,0)</f>
        <v>0</v>
      </c>
      <c r="CS124" s="91">
        <f>IF(((Input_Raw[[#This Row],[33 kV_Wind_F1_Import reading]]-CK123)*1200)&gt;0,(Input_Raw[[#This Row],[33 kV_Wind_F1_Import reading]]-CK123)*1200,0)</f>
        <v>0</v>
      </c>
      <c r="CT124" s="91">
        <f>IF(((Input_Raw[[#This Row],[33 kV_Wind_F2_Export_reading]]-CL123)*1200)&gt;0,(Input_Raw[[#This Row],[33 kV_Wind_F2_Export_reading]]-CL123)*1200,0)</f>
        <v>0</v>
      </c>
      <c r="CU124" s="91">
        <f>IF(((Input_Raw[[#This Row],[33 kV_Wind_F2_Import_reading]]-CM123)*1200)&gt;0,(Input_Raw[[#This Row],[33 kV_Wind_F2_Import_reading]]-CM123)*1200,0)</f>
        <v>0</v>
      </c>
      <c r="CV124" s="91">
        <f>IF(((Input_Raw[[#This Row],[33 kV_Wind_F3_Export_Reading]]-CN123)*1200)&gt;0,(Input_Raw[[#This Row],[33 kV_Wind_F3_Export_Reading]]-CN123)*1200,0)</f>
        <v>0</v>
      </c>
      <c r="CW124" s="91">
        <f>IF(((Input_Raw[[#This Row],[33 kV_Wind_F3_Import_Reading]]-CO123)*1200)&gt;0,(Input_Raw[[#This Row],[33 kV_Wind_F3_Import_Reading]]-CO123)*1200,0)</f>
        <v>0</v>
      </c>
      <c r="CX124" s="91">
        <f>IF(((Input_Raw[[#This Row],[33 kV_Wind_F4_Export Reading]]-CP123)*1200)&gt;0,(Input_Raw[[#This Row],[33 kV_Wind_F4_Export Reading]]-CP123)*1200,0)</f>
        <v>0</v>
      </c>
      <c r="CY124" s="172"/>
      <c r="CZ124" s="172">
        <f>Input_Raw[[#This Row],[33 kV_F1_Total_Export (KWh)]]+Input_Raw[[#This Row],[33 kV_F2_Total_Export (KWh)2]]+Input_Raw[[#This Row],[33 kV_Wind_F3_Export (KWh)]]+Input_Raw[[#This Row],[33 kV_Wind_F4_Export (KWh)]]</f>
        <v>0</v>
      </c>
      <c r="DA124" s="172">
        <f>Input_Raw[[#This Row],[33 kV_Wind_F1_Import (KWh)]]+Input_Raw[[#This Row],[33 kV_Wind_F2_Import (KWh)]]+Input_Raw[[#This Row],[33 kV_Wind_F3_Import (KWh)2]]+Input_Raw[[#This Row],[33 kV_Wind_F4_Import (KWh)2]]</f>
        <v>0</v>
      </c>
      <c r="DB124" s="21">
        <f>IFERROR(1-Input_Raw[[#This Row],[33 kV_Wind_Total_Export (KWh)]]/Input_Raw[[#This Row],[WTG Total Gneration (KWh)]],0)</f>
        <v>0</v>
      </c>
      <c r="DC124" s="100"/>
      <c r="DD124" s="100"/>
      <c r="DE124" s="102"/>
      <c r="DF124" s="99"/>
      <c r="DG124" s="101"/>
      <c r="DH124" s="99"/>
    </row>
    <row r="125" spans="1:112">
      <c r="A125" s="20">
        <f t="shared" si="7"/>
        <v>45865</v>
      </c>
      <c r="B125" s="12">
        <f>YEAR([1]!Input_Raw[[#This Row],[Date]])+IF(MONTH([1]!Input_Raw[[#This Row],[Date]])&gt;=4,1,0)</f>
        <v>2026</v>
      </c>
      <c r="C125" s="13">
        <f>YEAR([1]!Input_Raw[[#This Row],[Date]])</f>
        <v>2025</v>
      </c>
      <c r="D125" s="14">
        <f t="shared" si="8"/>
        <v>45839</v>
      </c>
      <c r="E125" s="13">
        <f>DAY(EOMONTH([1]!Input_Raw[[#This Row],[Date]],0))</f>
        <v>31</v>
      </c>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7">
        <f>SUM(Input_Raw[[#This Row],[G01]:[G40]])</f>
        <v>0</v>
      </c>
      <c r="CG125" s="18" t="str">
        <f>IFERROR(AVERAGE(Input_Raw[[#This Row],[WS_G01]:[WS_G40]]),"")</f>
        <v/>
      </c>
      <c r="CH125" s="19"/>
      <c r="CI125" s="19"/>
      <c r="CJ125" s="15"/>
      <c r="CK125" s="15"/>
      <c r="CL125" s="15"/>
      <c r="CM125" s="15"/>
      <c r="CN125" s="15"/>
      <c r="CO125" s="15"/>
      <c r="CP125" s="15"/>
      <c r="CQ125" s="15"/>
      <c r="CR125" s="91">
        <f>IF(((Input_Raw[[#This Row],[33 kV_Wind_F1_Export reading]]-CJ124)*1200)&gt;0,(Input_Raw[[#This Row],[33 kV_Wind_F1_Export reading]]-CJ124)*1200,0)</f>
        <v>0</v>
      </c>
      <c r="CS125" s="91">
        <f>IF(((Input_Raw[[#This Row],[33 kV_Wind_F1_Import reading]]-CK124)*1200)&gt;0,(Input_Raw[[#This Row],[33 kV_Wind_F1_Import reading]]-CK124)*1200,0)</f>
        <v>0</v>
      </c>
      <c r="CT125" s="91">
        <f>IF(((Input_Raw[[#This Row],[33 kV_Wind_F2_Export_reading]]-CL124)*1200)&gt;0,(Input_Raw[[#This Row],[33 kV_Wind_F2_Export_reading]]-CL124)*1200,0)</f>
        <v>0</v>
      </c>
      <c r="CU125" s="91">
        <f>IF(((Input_Raw[[#This Row],[33 kV_Wind_F2_Import_reading]]-CM124)*1200)&gt;0,(Input_Raw[[#This Row],[33 kV_Wind_F2_Import_reading]]-CM124)*1200,0)</f>
        <v>0</v>
      </c>
      <c r="CV125" s="91">
        <f>IF(((Input_Raw[[#This Row],[33 kV_Wind_F3_Export_Reading]]-CN124)*1200)&gt;0,(Input_Raw[[#This Row],[33 kV_Wind_F3_Export_Reading]]-CN124)*1200,0)</f>
        <v>0</v>
      </c>
      <c r="CW125" s="91">
        <f>IF(((Input_Raw[[#This Row],[33 kV_Wind_F3_Import_Reading]]-CO124)*1200)&gt;0,(Input_Raw[[#This Row],[33 kV_Wind_F3_Import_Reading]]-CO124)*1200,0)</f>
        <v>0</v>
      </c>
      <c r="CX125" s="91">
        <f>IF(((Input_Raw[[#This Row],[33 kV_Wind_F4_Export Reading]]-CP124)*1200)&gt;0,(Input_Raw[[#This Row],[33 kV_Wind_F4_Export Reading]]-CP124)*1200,0)</f>
        <v>0</v>
      </c>
      <c r="CY125" s="172"/>
      <c r="CZ125" s="172">
        <f>Input_Raw[[#This Row],[33 kV_F1_Total_Export (KWh)]]+Input_Raw[[#This Row],[33 kV_F2_Total_Export (KWh)2]]+Input_Raw[[#This Row],[33 kV_Wind_F3_Export (KWh)]]+Input_Raw[[#This Row],[33 kV_Wind_F4_Export (KWh)]]</f>
        <v>0</v>
      </c>
      <c r="DA125" s="172">
        <f>Input_Raw[[#This Row],[33 kV_Wind_F1_Import (KWh)]]+Input_Raw[[#This Row],[33 kV_Wind_F2_Import (KWh)]]+Input_Raw[[#This Row],[33 kV_Wind_F3_Import (KWh)2]]+Input_Raw[[#This Row],[33 kV_Wind_F4_Import (KWh)2]]</f>
        <v>0</v>
      </c>
      <c r="DB125" s="21">
        <f>IFERROR(1-Input_Raw[[#This Row],[33 kV_Wind_Total_Export (KWh)]]/Input_Raw[[#This Row],[WTG Total Gneration (KWh)]],0)</f>
        <v>0</v>
      </c>
      <c r="DC125" s="100"/>
      <c r="DD125" s="100"/>
      <c r="DE125" s="102"/>
      <c r="DF125" s="99"/>
      <c r="DG125" s="101"/>
      <c r="DH125" s="99"/>
    </row>
    <row r="126" spans="1:112">
      <c r="A126" s="20">
        <f t="shared" si="7"/>
        <v>45866</v>
      </c>
      <c r="B126" s="12">
        <f>YEAR([1]!Input_Raw[[#This Row],[Date]])+IF(MONTH([1]!Input_Raw[[#This Row],[Date]])&gt;=4,1,0)</f>
        <v>2026</v>
      </c>
      <c r="C126" s="13">
        <f>YEAR([1]!Input_Raw[[#This Row],[Date]])</f>
        <v>2025</v>
      </c>
      <c r="D126" s="14">
        <f t="shared" si="8"/>
        <v>45839</v>
      </c>
      <c r="E126" s="13">
        <f>DAY(EOMONTH([1]!Input_Raw[[#This Row],[Date]],0))</f>
        <v>31</v>
      </c>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7">
        <f>SUM(Input_Raw[[#This Row],[G01]:[G40]])</f>
        <v>0</v>
      </c>
      <c r="CG126" s="18" t="str">
        <f>IFERROR(AVERAGE(Input_Raw[[#This Row],[WS_G01]:[WS_G40]]),"")</f>
        <v/>
      </c>
      <c r="CH126" s="19"/>
      <c r="CI126" s="19"/>
      <c r="CJ126" s="15"/>
      <c r="CK126" s="15"/>
      <c r="CL126" s="15"/>
      <c r="CM126" s="15"/>
      <c r="CN126" s="15"/>
      <c r="CO126" s="15"/>
      <c r="CP126" s="15"/>
      <c r="CQ126" s="15"/>
      <c r="CR126" s="91">
        <f>IF(((Input_Raw[[#This Row],[33 kV_Wind_F1_Export reading]]-CJ125)*1200)&gt;0,(Input_Raw[[#This Row],[33 kV_Wind_F1_Export reading]]-CJ125)*1200,0)</f>
        <v>0</v>
      </c>
      <c r="CS126" s="91">
        <f>IF(((Input_Raw[[#This Row],[33 kV_Wind_F1_Import reading]]-CK125)*1200)&gt;0,(Input_Raw[[#This Row],[33 kV_Wind_F1_Import reading]]-CK125)*1200,0)</f>
        <v>0</v>
      </c>
      <c r="CT126" s="91">
        <f>IF(((Input_Raw[[#This Row],[33 kV_Wind_F2_Export_reading]]-CL125)*1200)&gt;0,(Input_Raw[[#This Row],[33 kV_Wind_F2_Export_reading]]-CL125)*1200,0)</f>
        <v>0</v>
      </c>
      <c r="CU126" s="91">
        <f>IF(((Input_Raw[[#This Row],[33 kV_Wind_F2_Import_reading]]-CM125)*1200)&gt;0,(Input_Raw[[#This Row],[33 kV_Wind_F2_Import_reading]]-CM125)*1200,0)</f>
        <v>0</v>
      </c>
      <c r="CV126" s="91">
        <f>IF(((Input_Raw[[#This Row],[33 kV_Wind_F3_Export_Reading]]-CN125)*1200)&gt;0,(Input_Raw[[#This Row],[33 kV_Wind_F3_Export_Reading]]-CN125)*1200,0)</f>
        <v>0</v>
      </c>
      <c r="CW126" s="91">
        <f>IF(((Input_Raw[[#This Row],[33 kV_Wind_F3_Import_Reading]]-CO125)*1200)&gt;0,(Input_Raw[[#This Row],[33 kV_Wind_F3_Import_Reading]]-CO125)*1200,0)</f>
        <v>0</v>
      </c>
      <c r="CX126" s="91">
        <f>IF(((Input_Raw[[#This Row],[33 kV_Wind_F4_Export Reading]]-CP125)*1200)&gt;0,(Input_Raw[[#This Row],[33 kV_Wind_F4_Export Reading]]-CP125)*1200,0)</f>
        <v>0</v>
      </c>
      <c r="CY126" s="172"/>
      <c r="CZ126" s="172">
        <f>Input_Raw[[#This Row],[33 kV_F1_Total_Export (KWh)]]+Input_Raw[[#This Row],[33 kV_F2_Total_Export (KWh)2]]+Input_Raw[[#This Row],[33 kV_Wind_F3_Export (KWh)]]+Input_Raw[[#This Row],[33 kV_Wind_F4_Export (KWh)]]</f>
        <v>0</v>
      </c>
      <c r="DA126" s="172">
        <f>Input_Raw[[#This Row],[33 kV_Wind_F1_Import (KWh)]]+Input_Raw[[#This Row],[33 kV_Wind_F2_Import (KWh)]]+Input_Raw[[#This Row],[33 kV_Wind_F3_Import (KWh)2]]+Input_Raw[[#This Row],[33 kV_Wind_F4_Import (KWh)2]]</f>
        <v>0</v>
      </c>
      <c r="DB126" s="21">
        <f>IFERROR(1-Input_Raw[[#This Row],[33 kV_Wind_Total_Export (KWh)]]/Input_Raw[[#This Row],[WTG Total Gneration (KWh)]],0)</f>
        <v>0</v>
      </c>
      <c r="DC126" s="100"/>
      <c r="DD126" s="100"/>
      <c r="DE126" s="102"/>
      <c r="DF126" s="99"/>
      <c r="DG126" s="101"/>
      <c r="DH126" s="99"/>
    </row>
    <row r="127" spans="1:112">
      <c r="A127" s="20">
        <f t="shared" si="7"/>
        <v>45867</v>
      </c>
      <c r="B127" s="12">
        <f>YEAR([1]!Input_Raw[[#This Row],[Date]])+IF(MONTH([1]!Input_Raw[[#This Row],[Date]])&gt;=4,1,0)</f>
        <v>2026</v>
      </c>
      <c r="C127" s="13">
        <f>YEAR([1]!Input_Raw[[#This Row],[Date]])</f>
        <v>2025</v>
      </c>
      <c r="D127" s="14">
        <f t="shared" si="8"/>
        <v>45839</v>
      </c>
      <c r="E127" s="13">
        <f>DAY(EOMONTH([1]!Input_Raw[[#This Row],[Date]],0))</f>
        <v>31</v>
      </c>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7">
        <f>SUM(Input_Raw[[#This Row],[G01]:[G40]])</f>
        <v>0</v>
      </c>
      <c r="CG127" s="18" t="str">
        <f>IFERROR(AVERAGE(Input_Raw[[#This Row],[WS_G01]:[WS_G40]]),"")</f>
        <v/>
      </c>
      <c r="CH127" s="19"/>
      <c r="CI127" s="19"/>
      <c r="CJ127" s="15"/>
      <c r="CK127" s="15"/>
      <c r="CL127" s="15"/>
      <c r="CM127" s="15"/>
      <c r="CN127" s="15"/>
      <c r="CO127" s="15"/>
      <c r="CP127" s="15"/>
      <c r="CQ127" s="15"/>
      <c r="CR127" s="91">
        <f>IF(((Input_Raw[[#This Row],[33 kV_Wind_F1_Export reading]]-CJ126)*1200)&gt;0,(Input_Raw[[#This Row],[33 kV_Wind_F1_Export reading]]-CJ126)*1200,0)</f>
        <v>0</v>
      </c>
      <c r="CS127" s="91">
        <f>IF(((Input_Raw[[#This Row],[33 kV_Wind_F1_Import reading]]-CK126)*1200)&gt;0,(Input_Raw[[#This Row],[33 kV_Wind_F1_Import reading]]-CK126)*1200,0)</f>
        <v>0</v>
      </c>
      <c r="CT127" s="91">
        <f>IF(((Input_Raw[[#This Row],[33 kV_Wind_F2_Export_reading]]-CL126)*1200)&gt;0,(Input_Raw[[#This Row],[33 kV_Wind_F2_Export_reading]]-CL126)*1200,0)</f>
        <v>0</v>
      </c>
      <c r="CU127" s="91">
        <f>IF(((Input_Raw[[#This Row],[33 kV_Wind_F2_Import_reading]]-CM126)*1200)&gt;0,(Input_Raw[[#This Row],[33 kV_Wind_F2_Import_reading]]-CM126)*1200,0)</f>
        <v>0</v>
      </c>
      <c r="CV127" s="91">
        <f>IF(((Input_Raw[[#This Row],[33 kV_Wind_F3_Export_Reading]]-CN126)*1200)&gt;0,(Input_Raw[[#This Row],[33 kV_Wind_F3_Export_Reading]]-CN126)*1200,0)</f>
        <v>0</v>
      </c>
      <c r="CW127" s="91">
        <f>IF(((Input_Raw[[#This Row],[33 kV_Wind_F3_Import_Reading]]-CO126)*1200)&gt;0,(Input_Raw[[#This Row],[33 kV_Wind_F3_Import_Reading]]-CO126)*1200,0)</f>
        <v>0</v>
      </c>
      <c r="CX127" s="91">
        <f>IF(((Input_Raw[[#This Row],[33 kV_Wind_F4_Export Reading]]-CP126)*1200)&gt;0,(Input_Raw[[#This Row],[33 kV_Wind_F4_Export Reading]]-CP126)*1200,0)</f>
        <v>0</v>
      </c>
      <c r="CY127" s="172"/>
      <c r="CZ127" s="172">
        <f>Input_Raw[[#This Row],[33 kV_F1_Total_Export (KWh)]]+Input_Raw[[#This Row],[33 kV_F2_Total_Export (KWh)2]]+Input_Raw[[#This Row],[33 kV_Wind_F3_Export (KWh)]]+Input_Raw[[#This Row],[33 kV_Wind_F4_Export (KWh)]]</f>
        <v>0</v>
      </c>
      <c r="DA127" s="172">
        <f>Input_Raw[[#This Row],[33 kV_Wind_F1_Import (KWh)]]+Input_Raw[[#This Row],[33 kV_Wind_F2_Import (KWh)]]+Input_Raw[[#This Row],[33 kV_Wind_F3_Import (KWh)2]]+Input_Raw[[#This Row],[33 kV_Wind_F4_Import (KWh)2]]</f>
        <v>0</v>
      </c>
      <c r="DB127" s="21">
        <f>IFERROR(1-Input_Raw[[#This Row],[33 kV_Wind_Total_Export (KWh)]]/Input_Raw[[#This Row],[WTG Total Gneration (KWh)]],0)</f>
        <v>0</v>
      </c>
      <c r="DC127" s="100"/>
      <c r="DD127" s="100"/>
      <c r="DE127" s="102"/>
      <c r="DF127" s="99"/>
      <c r="DG127" s="101"/>
      <c r="DH127" s="99"/>
    </row>
    <row r="128" spans="1:112">
      <c r="A128" s="20">
        <f t="shared" si="7"/>
        <v>45868</v>
      </c>
      <c r="B128" s="12">
        <f>YEAR([1]!Input_Raw[[#This Row],[Date]])+IF(MONTH([1]!Input_Raw[[#This Row],[Date]])&gt;=4,1,0)</f>
        <v>2026</v>
      </c>
      <c r="C128" s="13">
        <f>YEAR([1]!Input_Raw[[#This Row],[Date]])</f>
        <v>2025</v>
      </c>
      <c r="D128" s="14">
        <f t="shared" si="8"/>
        <v>45839</v>
      </c>
      <c r="E128" s="13">
        <f>DAY(EOMONTH([1]!Input_Raw[[#This Row],[Date]],0))</f>
        <v>31</v>
      </c>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7">
        <f>SUM(Input_Raw[[#This Row],[G01]:[G40]])</f>
        <v>0</v>
      </c>
      <c r="CG128" s="18" t="str">
        <f>IFERROR(AVERAGE(Input_Raw[[#This Row],[WS_G01]:[WS_G40]]),"")</f>
        <v/>
      </c>
      <c r="CH128" s="19"/>
      <c r="CI128" s="19"/>
      <c r="CJ128" s="15"/>
      <c r="CK128" s="15"/>
      <c r="CL128" s="15"/>
      <c r="CM128" s="15"/>
      <c r="CN128" s="15"/>
      <c r="CO128" s="15"/>
      <c r="CP128" s="15"/>
      <c r="CQ128" s="15"/>
      <c r="CR128" s="91">
        <f>IF(((Input_Raw[[#This Row],[33 kV_Wind_F1_Export reading]]-CJ127)*1200)&gt;0,(Input_Raw[[#This Row],[33 kV_Wind_F1_Export reading]]-CJ127)*1200,0)</f>
        <v>0</v>
      </c>
      <c r="CS128" s="91">
        <f>IF(((Input_Raw[[#This Row],[33 kV_Wind_F1_Import reading]]-CK127)*1200)&gt;0,(Input_Raw[[#This Row],[33 kV_Wind_F1_Import reading]]-CK127)*1200,0)</f>
        <v>0</v>
      </c>
      <c r="CT128" s="91">
        <f>IF(((Input_Raw[[#This Row],[33 kV_Wind_F2_Export_reading]]-CL127)*1200)&gt;0,(Input_Raw[[#This Row],[33 kV_Wind_F2_Export_reading]]-CL127)*1200,0)</f>
        <v>0</v>
      </c>
      <c r="CU128" s="91">
        <f>IF(((Input_Raw[[#This Row],[33 kV_Wind_F2_Import_reading]]-CM127)*1200)&gt;0,(Input_Raw[[#This Row],[33 kV_Wind_F2_Import_reading]]-CM127)*1200,0)</f>
        <v>0</v>
      </c>
      <c r="CV128" s="91">
        <f>IF(((Input_Raw[[#This Row],[33 kV_Wind_F3_Export_Reading]]-CN127)*1200)&gt;0,(Input_Raw[[#This Row],[33 kV_Wind_F3_Export_Reading]]-CN127)*1200,0)</f>
        <v>0</v>
      </c>
      <c r="CW128" s="91">
        <f>IF(((Input_Raw[[#This Row],[33 kV_Wind_F3_Import_Reading]]-CO127)*1200)&gt;0,(Input_Raw[[#This Row],[33 kV_Wind_F3_Import_Reading]]-CO127)*1200,0)</f>
        <v>0</v>
      </c>
      <c r="CX128" s="91">
        <f>IF(((Input_Raw[[#This Row],[33 kV_Wind_F4_Export Reading]]-CP127)*1200)&gt;0,(Input_Raw[[#This Row],[33 kV_Wind_F4_Export Reading]]-CP127)*1200,0)</f>
        <v>0</v>
      </c>
      <c r="CY128" s="172"/>
      <c r="CZ128" s="172">
        <f>Input_Raw[[#This Row],[33 kV_F1_Total_Export (KWh)]]+Input_Raw[[#This Row],[33 kV_F2_Total_Export (KWh)2]]+Input_Raw[[#This Row],[33 kV_Wind_F3_Export (KWh)]]+Input_Raw[[#This Row],[33 kV_Wind_F4_Export (KWh)]]</f>
        <v>0</v>
      </c>
      <c r="DA128" s="172">
        <f>Input_Raw[[#This Row],[33 kV_Wind_F1_Import (KWh)]]+Input_Raw[[#This Row],[33 kV_Wind_F2_Import (KWh)]]+Input_Raw[[#This Row],[33 kV_Wind_F3_Import (KWh)2]]+Input_Raw[[#This Row],[33 kV_Wind_F4_Import (KWh)2]]</f>
        <v>0</v>
      </c>
      <c r="DB128" s="21">
        <f>IFERROR(1-Input_Raw[[#This Row],[33 kV_Wind_Total_Export (KWh)]]/Input_Raw[[#This Row],[WTG Total Gneration (KWh)]],0)</f>
        <v>0</v>
      </c>
      <c r="DC128" s="100"/>
      <c r="DD128" s="100"/>
      <c r="DE128" s="102"/>
      <c r="DF128" s="99"/>
      <c r="DG128" s="101"/>
      <c r="DH128" s="99"/>
    </row>
    <row r="129" spans="1:112">
      <c r="A129" s="20">
        <f t="shared" si="7"/>
        <v>45869</v>
      </c>
      <c r="B129" s="12">
        <f>YEAR([1]!Input_Raw[[#This Row],[Date]])+IF(MONTH([1]!Input_Raw[[#This Row],[Date]])&gt;=4,1,0)</f>
        <v>2026</v>
      </c>
      <c r="C129" s="13">
        <f>YEAR([1]!Input_Raw[[#This Row],[Date]])</f>
        <v>2025</v>
      </c>
      <c r="D129" s="14">
        <f t="shared" si="8"/>
        <v>45839</v>
      </c>
      <c r="E129" s="13">
        <f>DAY(EOMONTH([1]!Input_Raw[[#This Row],[Date]],0))</f>
        <v>31</v>
      </c>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7">
        <f>SUM(Input_Raw[[#This Row],[G01]:[G40]])</f>
        <v>0</v>
      </c>
      <c r="CG129" s="18" t="str">
        <f>IFERROR(AVERAGE(Input_Raw[[#This Row],[WS_G01]:[WS_G40]]),"")</f>
        <v/>
      </c>
      <c r="CH129" s="19"/>
      <c r="CI129" s="19"/>
      <c r="CJ129" s="15"/>
      <c r="CK129" s="15"/>
      <c r="CL129" s="15"/>
      <c r="CM129" s="15"/>
      <c r="CN129" s="15"/>
      <c r="CO129" s="15"/>
      <c r="CP129" s="15"/>
      <c r="CQ129" s="15"/>
      <c r="CR129" s="91">
        <f>IF(((Input_Raw[[#This Row],[33 kV_Wind_F1_Export reading]]-CJ128)*1200)&gt;0,(Input_Raw[[#This Row],[33 kV_Wind_F1_Export reading]]-CJ128)*1200,0)</f>
        <v>0</v>
      </c>
      <c r="CS129" s="91">
        <f>IF(((Input_Raw[[#This Row],[33 kV_Wind_F1_Import reading]]-CK128)*1200)&gt;0,(Input_Raw[[#This Row],[33 kV_Wind_F1_Import reading]]-CK128)*1200,0)</f>
        <v>0</v>
      </c>
      <c r="CT129" s="91">
        <f>IF(((Input_Raw[[#This Row],[33 kV_Wind_F2_Export_reading]]-CL128)*1200)&gt;0,(Input_Raw[[#This Row],[33 kV_Wind_F2_Export_reading]]-CL128)*1200,0)</f>
        <v>0</v>
      </c>
      <c r="CU129" s="91">
        <f>IF(((Input_Raw[[#This Row],[33 kV_Wind_F2_Import_reading]]-CM128)*1200)&gt;0,(Input_Raw[[#This Row],[33 kV_Wind_F2_Import_reading]]-CM128)*1200,0)</f>
        <v>0</v>
      </c>
      <c r="CV129" s="91">
        <f>IF(((Input_Raw[[#This Row],[33 kV_Wind_F3_Export_Reading]]-CN128)*1200)&gt;0,(Input_Raw[[#This Row],[33 kV_Wind_F3_Export_Reading]]-CN128)*1200,0)</f>
        <v>0</v>
      </c>
      <c r="CW129" s="91">
        <f>IF(((Input_Raw[[#This Row],[33 kV_Wind_F3_Import_Reading]]-CO128)*1200)&gt;0,(Input_Raw[[#This Row],[33 kV_Wind_F3_Import_Reading]]-CO128)*1200,0)</f>
        <v>0</v>
      </c>
      <c r="CX129" s="91">
        <f>IF(((Input_Raw[[#This Row],[33 kV_Wind_F4_Export Reading]]-CP128)*1200)&gt;0,(Input_Raw[[#This Row],[33 kV_Wind_F4_Export Reading]]-CP128)*1200,0)</f>
        <v>0</v>
      </c>
      <c r="CY129" s="172"/>
      <c r="CZ129" s="172">
        <f>Input_Raw[[#This Row],[33 kV_F1_Total_Export (KWh)]]+Input_Raw[[#This Row],[33 kV_F2_Total_Export (KWh)2]]+Input_Raw[[#This Row],[33 kV_Wind_F3_Export (KWh)]]+Input_Raw[[#This Row],[33 kV_Wind_F4_Export (KWh)]]</f>
        <v>0</v>
      </c>
      <c r="DA129" s="172">
        <f>Input_Raw[[#This Row],[33 kV_Wind_F1_Import (KWh)]]+Input_Raw[[#This Row],[33 kV_Wind_F2_Import (KWh)]]+Input_Raw[[#This Row],[33 kV_Wind_F3_Import (KWh)2]]+Input_Raw[[#This Row],[33 kV_Wind_F4_Import (KWh)2]]</f>
        <v>0</v>
      </c>
      <c r="DB129" s="21">
        <f>IFERROR(1-Input_Raw[[#This Row],[33 kV_Wind_Total_Export (KWh)]]/Input_Raw[[#This Row],[WTG Total Gneration (KWh)]],0)</f>
        <v>0</v>
      </c>
      <c r="DC129" s="100"/>
      <c r="DD129" s="100"/>
      <c r="DE129" s="102"/>
      <c r="DF129" s="99"/>
      <c r="DG129" s="101"/>
      <c r="DH129" s="99"/>
    </row>
    <row r="130" spans="1:112">
      <c r="A130" s="20">
        <f t="shared" si="7"/>
        <v>45870</v>
      </c>
      <c r="B130" s="12">
        <f>YEAR([1]!Input_Raw[[#This Row],[Date]])+IF(MONTH([1]!Input_Raw[[#This Row],[Date]])&gt;=4,1,0)</f>
        <v>2026</v>
      </c>
      <c r="C130" s="13">
        <f>YEAR([1]!Input_Raw[[#This Row],[Date]])</f>
        <v>2025</v>
      </c>
      <c r="D130" s="14">
        <f t="shared" si="8"/>
        <v>45870</v>
      </c>
      <c r="E130" s="13">
        <f>DAY(EOMONTH([1]!Input_Raw[[#This Row],[Date]],0))</f>
        <v>31</v>
      </c>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7">
        <f>SUM(Input_Raw[[#This Row],[G01]:[G40]])</f>
        <v>0</v>
      </c>
      <c r="CG130" s="18" t="str">
        <f>IFERROR(AVERAGE(Input_Raw[[#This Row],[WS_G01]:[WS_G40]]),"")</f>
        <v/>
      </c>
      <c r="CH130" s="19"/>
      <c r="CI130" s="19"/>
      <c r="CJ130" s="15"/>
      <c r="CK130" s="15"/>
      <c r="CL130" s="15"/>
      <c r="CM130" s="15"/>
      <c r="CN130" s="15"/>
      <c r="CO130" s="15"/>
      <c r="CP130" s="15"/>
      <c r="CQ130" s="15"/>
      <c r="CR130" s="91">
        <f>IF(((Input_Raw[[#This Row],[33 kV_Wind_F1_Export reading]]-CJ129)*1200)&gt;0,(Input_Raw[[#This Row],[33 kV_Wind_F1_Export reading]]-CJ129)*1200,0)</f>
        <v>0</v>
      </c>
      <c r="CS130" s="91">
        <f>IF(((Input_Raw[[#This Row],[33 kV_Wind_F1_Import reading]]-CK129)*1200)&gt;0,(Input_Raw[[#This Row],[33 kV_Wind_F1_Import reading]]-CK129)*1200,0)</f>
        <v>0</v>
      </c>
      <c r="CT130" s="91">
        <f>IF(((Input_Raw[[#This Row],[33 kV_Wind_F2_Export_reading]]-CL129)*1200)&gt;0,(Input_Raw[[#This Row],[33 kV_Wind_F2_Export_reading]]-CL129)*1200,0)</f>
        <v>0</v>
      </c>
      <c r="CU130" s="91">
        <f>IF(((Input_Raw[[#This Row],[33 kV_Wind_F2_Import_reading]]-CM129)*1200)&gt;0,(Input_Raw[[#This Row],[33 kV_Wind_F2_Import_reading]]-CM129)*1200,0)</f>
        <v>0</v>
      </c>
      <c r="CV130" s="91">
        <f>IF(((Input_Raw[[#This Row],[33 kV_Wind_F3_Export_Reading]]-CN129)*1200)&gt;0,(Input_Raw[[#This Row],[33 kV_Wind_F3_Export_Reading]]-CN129)*1200,0)</f>
        <v>0</v>
      </c>
      <c r="CW130" s="91">
        <f>IF(((Input_Raw[[#This Row],[33 kV_Wind_F3_Import_Reading]]-CO129)*1200)&gt;0,(Input_Raw[[#This Row],[33 kV_Wind_F3_Import_Reading]]-CO129)*1200,0)</f>
        <v>0</v>
      </c>
      <c r="CX130" s="91">
        <f>IF(((Input_Raw[[#This Row],[33 kV_Wind_F4_Export Reading]]-CP129)*1200)&gt;0,(Input_Raw[[#This Row],[33 kV_Wind_F4_Export Reading]]-CP129)*1200,0)</f>
        <v>0</v>
      </c>
      <c r="CY130" s="172"/>
      <c r="CZ130" s="172">
        <f>Input_Raw[[#This Row],[33 kV_F1_Total_Export (KWh)]]+Input_Raw[[#This Row],[33 kV_F2_Total_Export (KWh)2]]+Input_Raw[[#This Row],[33 kV_Wind_F3_Export (KWh)]]+Input_Raw[[#This Row],[33 kV_Wind_F4_Export (KWh)]]</f>
        <v>0</v>
      </c>
      <c r="DA130" s="172">
        <f>Input_Raw[[#This Row],[33 kV_Wind_F1_Import (KWh)]]+Input_Raw[[#This Row],[33 kV_Wind_F2_Import (KWh)]]+Input_Raw[[#This Row],[33 kV_Wind_F3_Import (KWh)2]]+Input_Raw[[#This Row],[33 kV_Wind_F4_Import (KWh)2]]</f>
        <v>0</v>
      </c>
      <c r="DB130" s="21">
        <f>IFERROR(1-Input_Raw[[#This Row],[33 kV_Wind_Total_Export (KWh)]]/Input_Raw[[#This Row],[WTG Total Gneration (KWh)]],0)</f>
        <v>0</v>
      </c>
      <c r="DC130" s="100"/>
      <c r="DD130" s="100"/>
      <c r="DE130" s="102"/>
      <c r="DF130" s="99"/>
      <c r="DG130" s="101"/>
      <c r="DH130" s="99"/>
    </row>
    <row r="131" spans="1:112">
      <c r="A131" s="20">
        <f t="shared" si="7"/>
        <v>45871</v>
      </c>
      <c r="B131" s="12">
        <f>YEAR([1]!Input_Raw[[#This Row],[Date]])+IF(MONTH([1]!Input_Raw[[#This Row],[Date]])&gt;=4,1,0)</f>
        <v>2026</v>
      </c>
      <c r="C131" s="13">
        <f>YEAR([1]!Input_Raw[[#This Row],[Date]])</f>
        <v>2025</v>
      </c>
      <c r="D131" s="14">
        <f t="shared" si="8"/>
        <v>45870</v>
      </c>
      <c r="E131" s="13">
        <f>DAY(EOMONTH([1]!Input_Raw[[#This Row],[Date]],0))</f>
        <v>31</v>
      </c>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7">
        <f>SUM(Input_Raw[[#This Row],[G01]:[G40]])</f>
        <v>0</v>
      </c>
      <c r="CG131" s="18" t="str">
        <f>IFERROR(AVERAGE(Input_Raw[[#This Row],[WS_G01]:[WS_G40]]),"")</f>
        <v/>
      </c>
      <c r="CH131" s="19"/>
      <c r="CI131" s="19"/>
      <c r="CJ131" s="15"/>
      <c r="CK131" s="15"/>
      <c r="CL131" s="15"/>
      <c r="CM131" s="15"/>
      <c r="CN131" s="15"/>
      <c r="CO131" s="15"/>
      <c r="CP131" s="15"/>
      <c r="CQ131" s="15"/>
      <c r="CR131" s="91">
        <f>IF(((Input_Raw[[#This Row],[33 kV_Wind_F1_Export reading]]-CJ130)*1200)&gt;0,(Input_Raw[[#This Row],[33 kV_Wind_F1_Export reading]]-CJ130)*1200,0)</f>
        <v>0</v>
      </c>
      <c r="CS131" s="91">
        <f>IF(((Input_Raw[[#This Row],[33 kV_Wind_F1_Import reading]]-CK130)*1200)&gt;0,(Input_Raw[[#This Row],[33 kV_Wind_F1_Import reading]]-CK130)*1200,0)</f>
        <v>0</v>
      </c>
      <c r="CT131" s="91">
        <f>IF(((Input_Raw[[#This Row],[33 kV_Wind_F2_Export_reading]]-CL130)*1200)&gt;0,(Input_Raw[[#This Row],[33 kV_Wind_F2_Export_reading]]-CL130)*1200,0)</f>
        <v>0</v>
      </c>
      <c r="CU131" s="91">
        <f>IF(((Input_Raw[[#This Row],[33 kV_Wind_F2_Import_reading]]-CM130)*1200)&gt;0,(Input_Raw[[#This Row],[33 kV_Wind_F2_Import_reading]]-CM130)*1200,0)</f>
        <v>0</v>
      </c>
      <c r="CV131" s="91">
        <f>IF(((Input_Raw[[#This Row],[33 kV_Wind_F3_Export_Reading]]-CN130)*1200)&gt;0,(Input_Raw[[#This Row],[33 kV_Wind_F3_Export_Reading]]-CN130)*1200,0)</f>
        <v>0</v>
      </c>
      <c r="CW131" s="91">
        <f>IF(((Input_Raw[[#This Row],[33 kV_Wind_F3_Import_Reading]]-CO130)*1200)&gt;0,(Input_Raw[[#This Row],[33 kV_Wind_F3_Import_Reading]]-CO130)*1200,0)</f>
        <v>0</v>
      </c>
      <c r="CX131" s="91">
        <f>IF(((Input_Raw[[#This Row],[33 kV_Wind_F4_Export Reading]]-CP130)*1200)&gt;0,(Input_Raw[[#This Row],[33 kV_Wind_F4_Export Reading]]-CP130)*1200,0)</f>
        <v>0</v>
      </c>
      <c r="CY131" s="172"/>
      <c r="CZ131" s="172">
        <f>Input_Raw[[#This Row],[33 kV_F1_Total_Export (KWh)]]+Input_Raw[[#This Row],[33 kV_F2_Total_Export (KWh)2]]+Input_Raw[[#This Row],[33 kV_Wind_F3_Export (KWh)]]+Input_Raw[[#This Row],[33 kV_Wind_F4_Export (KWh)]]</f>
        <v>0</v>
      </c>
      <c r="DA131" s="172">
        <f>Input_Raw[[#This Row],[33 kV_Wind_F1_Import (KWh)]]+Input_Raw[[#This Row],[33 kV_Wind_F2_Import (KWh)]]+Input_Raw[[#This Row],[33 kV_Wind_F3_Import (KWh)2]]+Input_Raw[[#This Row],[33 kV_Wind_F4_Import (KWh)2]]</f>
        <v>0</v>
      </c>
      <c r="DB131" s="21">
        <f>IFERROR(1-Input_Raw[[#This Row],[33 kV_Wind_Total_Export (KWh)]]/Input_Raw[[#This Row],[WTG Total Gneration (KWh)]],0)</f>
        <v>0</v>
      </c>
      <c r="DC131" s="100"/>
      <c r="DD131" s="100"/>
      <c r="DE131" s="102"/>
      <c r="DF131" s="99"/>
      <c r="DG131" s="101"/>
      <c r="DH131" s="99"/>
    </row>
    <row r="132" spans="1:112">
      <c r="A132" s="20">
        <f t="shared" si="7"/>
        <v>45872</v>
      </c>
      <c r="B132" s="12">
        <f>YEAR([1]!Input_Raw[[#This Row],[Date]])+IF(MONTH([1]!Input_Raw[[#This Row],[Date]])&gt;=4,1,0)</f>
        <v>2026</v>
      </c>
      <c r="C132" s="13">
        <f>YEAR([1]!Input_Raw[[#This Row],[Date]])</f>
        <v>2025</v>
      </c>
      <c r="D132" s="14">
        <f t="shared" si="8"/>
        <v>45870</v>
      </c>
      <c r="E132" s="13">
        <f>DAY(EOMONTH([1]!Input_Raw[[#This Row],[Date]],0))</f>
        <v>31</v>
      </c>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7">
        <f>SUM(Input_Raw[[#This Row],[G01]:[G40]])</f>
        <v>0</v>
      </c>
      <c r="CG132" s="18" t="str">
        <f>IFERROR(AVERAGE(Input_Raw[[#This Row],[WS_G01]:[WS_G40]]),"")</f>
        <v/>
      </c>
      <c r="CH132" s="19"/>
      <c r="CI132" s="19"/>
      <c r="CJ132" s="15"/>
      <c r="CK132" s="15"/>
      <c r="CL132" s="15"/>
      <c r="CM132" s="15"/>
      <c r="CN132" s="15"/>
      <c r="CO132" s="15"/>
      <c r="CP132" s="15"/>
      <c r="CQ132" s="15"/>
      <c r="CR132" s="91">
        <f>IF(((Input_Raw[[#This Row],[33 kV_Wind_F1_Export reading]]-CJ131)*1200)&gt;0,(Input_Raw[[#This Row],[33 kV_Wind_F1_Export reading]]-CJ131)*1200,0)</f>
        <v>0</v>
      </c>
      <c r="CS132" s="91">
        <f>IF(((Input_Raw[[#This Row],[33 kV_Wind_F1_Import reading]]-CK131)*1200)&gt;0,(Input_Raw[[#This Row],[33 kV_Wind_F1_Import reading]]-CK131)*1200,0)</f>
        <v>0</v>
      </c>
      <c r="CT132" s="91">
        <f>IF(((Input_Raw[[#This Row],[33 kV_Wind_F2_Export_reading]]-CL131)*1200)&gt;0,(Input_Raw[[#This Row],[33 kV_Wind_F2_Export_reading]]-CL131)*1200,0)</f>
        <v>0</v>
      </c>
      <c r="CU132" s="91">
        <f>IF(((Input_Raw[[#This Row],[33 kV_Wind_F2_Import_reading]]-CM131)*1200)&gt;0,(Input_Raw[[#This Row],[33 kV_Wind_F2_Import_reading]]-CM131)*1200,0)</f>
        <v>0</v>
      </c>
      <c r="CV132" s="91">
        <f>IF(((Input_Raw[[#This Row],[33 kV_Wind_F3_Export_Reading]]-CN131)*1200)&gt;0,(Input_Raw[[#This Row],[33 kV_Wind_F3_Export_Reading]]-CN131)*1200,0)</f>
        <v>0</v>
      </c>
      <c r="CW132" s="91">
        <f>IF(((Input_Raw[[#This Row],[33 kV_Wind_F3_Import_Reading]]-CO131)*1200)&gt;0,(Input_Raw[[#This Row],[33 kV_Wind_F3_Import_Reading]]-CO131)*1200,0)</f>
        <v>0</v>
      </c>
      <c r="CX132" s="91">
        <f>IF(((Input_Raw[[#This Row],[33 kV_Wind_F4_Export Reading]]-CP131)*1200)&gt;0,(Input_Raw[[#This Row],[33 kV_Wind_F4_Export Reading]]-CP131)*1200,0)</f>
        <v>0</v>
      </c>
      <c r="CY132" s="172"/>
      <c r="CZ132" s="172">
        <f>Input_Raw[[#This Row],[33 kV_F1_Total_Export (KWh)]]+Input_Raw[[#This Row],[33 kV_F2_Total_Export (KWh)2]]+Input_Raw[[#This Row],[33 kV_Wind_F3_Export (KWh)]]+Input_Raw[[#This Row],[33 kV_Wind_F4_Export (KWh)]]</f>
        <v>0</v>
      </c>
      <c r="DA132" s="172">
        <f>Input_Raw[[#This Row],[33 kV_Wind_F1_Import (KWh)]]+Input_Raw[[#This Row],[33 kV_Wind_F2_Import (KWh)]]+Input_Raw[[#This Row],[33 kV_Wind_F3_Import (KWh)2]]+Input_Raw[[#This Row],[33 kV_Wind_F4_Import (KWh)2]]</f>
        <v>0</v>
      </c>
      <c r="DB132" s="21">
        <f>IFERROR(1-Input_Raw[[#This Row],[33 kV_Wind_Total_Export (KWh)]]/Input_Raw[[#This Row],[WTG Total Gneration (KWh)]],0)</f>
        <v>0</v>
      </c>
      <c r="DC132" s="100"/>
      <c r="DD132" s="100"/>
      <c r="DE132" s="102"/>
      <c r="DF132" s="99"/>
      <c r="DG132" s="101"/>
      <c r="DH132" s="99"/>
    </row>
    <row r="133" spans="1:112">
      <c r="A133" s="20">
        <f t="shared" si="7"/>
        <v>45873</v>
      </c>
      <c r="B133" s="12">
        <f>YEAR([1]!Input_Raw[[#This Row],[Date]])+IF(MONTH([1]!Input_Raw[[#This Row],[Date]])&gt;=4,1,0)</f>
        <v>2026</v>
      </c>
      <c r="C133" s="13">
        <f>YEAR([1]!Input_Raw[[#This Row],[Date]])</f>
        <v>2025</v>
      </c>
      <c r="D133" s="14">
        <f t="shared" si="8"/>
        <v>45870</v>
      </c>
      <c r="E133" s="13">
        <f>DAY(EOMONTH([1]!Input_Raw[[#This Row],[Date]],0))</f>
        <v>31</v>
      </c>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7">
        <f>SUM(Input_Raw[[#This Row],[G01]:[G40]])</f>
        <v>0</v>
      </c>
      <c r="CG133" s="18" t="str">
        <f>IFERROR(AVERAGE(Input_Raw[[#This Row],[WS_G01]:[WS_G40]]),"")</f>
        <v/>
      </c>
      <c r="CH133" s="19"/>
      <c r="CI133" s="19"/>
      <c r="CJ133" s="15"/>
      <c r="CK133" s="15"/>
      <c r="CL133" s="15"/>
      <c r="CM133" s="15"/>
      <c r="CN133" s="15"/>
      <c r="CO133" s="15"/>
      <c r="CP133" s="15"/>
      <c r="CQ133" s="15"/>
      <c r="CR133" s="91">
        <f>IF(((Input_Raw[[#This Row],[33 kV_Wind_F1_Export reading]]-CJ132)*1200)&gt;0,(Input_Raw[[#This Row],[33 kV_Wind_F1_Export reading]]-CJ132)*1200,0)</f>
        <v>0</v>
      </c>
      <c r="CS133" s="91">
        <f>IF(((Input_Raw[[#This Row],[33 kV_Wind_F1_Import reading]]-CK132)*1200)&gt;0,(Input_Raw[[#This Row],[33 kV_Wind_F1_Import reading]]-CK132)*1200,0)</f>
        <v>0</v>
      </c>
      <c r="CT133" s="91">
        <f>IF(((Input_Raw[[#This Row],[33 kV_Wind_F2_Export_reading]]-CL132)*1200)&gt;0,(Input_Raw[[#This Row],[33 kV_Wind_F2_Export_reading]]-CL132)*1200,0)</f>
        <v>0</v>
      </c>
      <c r="CU133" s="91">
        <f>IF(((Input_Raw[[#This Row],[33 kV_Wind_F2_Import_reading]]-CM132)*1200)&gt;0,(Input_Raw[[#This Row],[33 kV_Wind_F2_Import_reading]]-CM132)*1200,0)</f>
        <v>0</v>
      </c>
      <c r="CV133" s="91">
        <f>IF(((Input_Raw[[#This Row],[33 kV_Wind_F3_Export_Reading]]-CN132)*1200)&gt;0,(Input_Raw[[#This Row],[33 kV_Wind_F3_Export_Reading]]-CN132)*1200,0)</f>
        <v>0</v>
      </c>
      <c r="CW133" s="91">
        <f>IF(((Input_Raw[[#This Row],[33 kV_Wind_F3_Import_Reading]]-CO132)*1200)&gt;0,(Input_Raw[[#This Row],[33 kV_Wind_F3_Import_Reading]]-CO132)*1200,0)</f>
        <v>0</v>
      </c>
      <c r="CX133" s="91">
        <f>IF(((Input_Raw[[#This Row],[33 kV_Wind_F4_Export Reading]]-CP132)*1200)&gt;0,(Input_Raw[[#This Row],[33 kV_Wind_F4_Export Reading]]-CP132)*1200,0)</f>
        <v>0</v>
      </c>
      <c r="CY133" s="172"/>
      <c r="CZ133" s="172">
        <f>Input_Raw[[#This Row],[33 kV_F1_Total_Export (KWh)]]+Input_Raw[[#This Row],[33 kV_F2_Total_Export (KWh)2]]+Input_Raw[[#This Row],[33 kV_Wind_F3_Export (KWh)]]+Input_Raw[[#This Row],[33 kV_Wind_F4_Export (KWh)]]</f>
        <v>0</v>
      </c>
      <c r="DA133" s="172">
        <f>Input_Raw[[#This Row],[33 kV_Wind_F1_Import (KWh)]]+Input_Raw[[#This Row],[33 kV_Wind_F2_Import (KWh)]]+Input_Raw[[#This Row],[33 kV_Wind_F3_Import (KWh)2]]+Input_Raw[[#This Row],[33 kV_Wind_F4_Import (KWh)2]]</f>
        <v>0</v>
      </c>
      <c r="DB133" s="21">
        <f>IFERROR(1-Input_Raw[[#This Row],[33 kV_Wind_Total_Export (KWh)]]/Input_Raw[[#This Row],[WTG Total Gneration (KWh)]],0)</f>
        <v>0</v>
      </c>
      <c r="DC133" s="100"/>
      <c r="DD133" s="100"/>
      <c r="DE133" s="102"/>
      <c r="DF133" s="99"/>
      <c r="DG133" s="101"/>
      <c r="DH133" s="99"/>
    </row>
    <row r="134" spans="1:112">
      <c r="A134" s="20">
        <f t="shared" si="7"/>
        <v>45874</v>
      </c>
      <c r="B134" s="12">
        <f>YEAR([1]!Input_Raw[[#This Row],[Date]])+IF(MONTH([1]!Input_Raw[[#This Row],[Date]])&gt;=4,1,0)</f>
        <v>2026</v>
      </c>
      <c r="C134" s="13">
        <f>YEAR([1]!Input_Raw[[#This Row],[Date]])</f>
        <v>2025</v>
      </c>
      <c r="D134" s="14">
        <f t="shared" si="8"/>
        <v>45870</v>
      </c>
      <c r="E134" s="13">
        <f>DAY(EOMONTH([1]!Input_Raw[[#This Row],[Date]],0))</f>
        <v>31</v>
      </c>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7">
        <f>SUM(Input_Raw[[#This Row],[G01]:[G40]])</f>
        <v>0</v>
      </c>
      <c r="CG134" s="18" t="str">
        <f>IFERROR(AVERAGE(Input_Raw[[#This Row],[WS_G01]:[WS_G40]]),"")</f>
        <v/>
      </c>
      <c r="CH134" s="19"/>
      <c r="CI134" s="19"/>
      <c r="CJ134" s="15"/>
      <c r="CK134" s="15"/>
      <c r="CL134" s="15"/>
      <c r="CM134" s="15"/>
      <c r="CN134" s="15"/>
      <c r="CO134" s="15"/>
      <c r="CP134" s="15"/>
      <c r="CQ134" s="15"/>
      <c r="CR134" s="91">
        <f>IF(((Input_Raw[[#This Row],[33 kV_Wind_F1_Export reading]]-CJ133)*1200)&gt;0,(Input_Raw[[#This Row],[33 kV_Wind_F1_Export reading]]-CJ133)*1200,0)</f>
        <v>0</v>
      </c>
      <c r="CS134" s="91">
        <f>IF(((Input_Raw[[#This Row],[33 kV_Wind_F1_Import reading]]-CK133)*1200)&gt;0,(Input_Raw[[#This Row],[33 kV_Wind_F1_Import reading]]-CK133)*1200,0)</f>
        <v>0</v>
      </c>
      <c r="CT134" s="91">
        <f>IF(((Input_Raw[[#This Row],[33 kV_Wind_F2_Export_reading]]-CL133)*1200)&gt;0,(Input_Raw[[#This Row],[33 kV_Wind_F2_Export_reading]]-CL133)*1200,0)</f>
        <v>0</v>
      </c>
      <c r="CU134" s="91">
        <f>IF(((Input_Raw[[#This Row],[33 kV_Wind_F2_Import_reading]]-CM133)*1200)&gt;0,(Input_Raw[[#This Row],[33 kV_Wind_F2_Import_reading]]-CM133)*1200,0)</f>
        <v>0</v>
      </c>
      <c r="CV134" s="91">
        <f>IF(((Input_Raw[[#This Row],[33 kV_Wind_F3_Export_Reading]]-CN133)*1200)&gt;0,(Input_Raw[[#This Row],[33 kV_Wind_F3_Export_Reading]]-CN133)*1200,0)</f>
        <v>0</v>
      </c>
      <c r="CW134" s="91">
        <f>IF(((Input_Raw[[#This Row],[33 kV_Wind_F3_Import_Reading]]-CO133)*1200)&gt;0,(Input_Raw[[#This Row],[33 kV_Wind_F3_Import_Reading]]-CO133)*1200,0)</f>
        <v>0</v>
      </c>
      <c r="CX134" s="91">
        <f>IF(((Input_Raw[[#This Row],[33 kV_Wind_F4_Export Reading]]-CP133)*1200)&gt;0,(Input_Raw[[#This Row],[33 kV_Wind_F4_Export Reading]]-CP133)*1200,0)</f>
        <v>0</v>
      </c>
      <c r="CY134" s="172"/>
      <c r="CZ134" s="172">
        <f>Input_Raw[[#This Row],[33 kV_F1_Total_Export (KWh)]]+Input_Raw[[#This Row],[33 kV_F2_Total_Export (KWh)2]]+Input_Raw[[#This Row],[33 kV_Wind_F3_Export (KWh)]]+Input_Raw[[#This Row],[33 kV_Wind_F4_Export (KWh)]]</f>
        <v>0</v>
      </c>
      <c r="DA134" s="172">
        <f>Input_Raw[[#This Row],[33 kV_Wind_F1_Import (KWh)]]+Input_Raw[[#This Row],[33 kV_Wind_F2_Import (KWh)]]+Input_Raw[[#This Row],[33 kV_Wind_F3_Import (KWh)2]]+Input_Raw[[#This Row],[33 kV_Wind_F4_Import (KWh)2]]</f>
        <v>0</v>
      </c>
      <c r="DB134" s="21">
        <f>IFERROR(1-Input_Raw[[#This Row],[33 kV_Wind_Total_Export (KWh)]]/Input_Raw[[#This Row],[WTG Total Gneration (KWh)]],0)</f>
        <v>0</v>
      </c>
      <c r="DC134" s="100"/>
      <c r="DD134" s="100"/>
      <c r="DE134" s="102"/>
      <c r="DF134" s="99"/>
      <c r="DG134" s="101"/>
      <c r="DH134" s="99"/>
    </row>
    <row r="135" spans="1:112">
      <c r="A135" s="20">
        <f t="shared" si="7"/>
        <v>45875</v>
      </c>
      <c r="B135" s="12">
        <f>YEAR([1]!Input_Raw[[#This Row],[Date]])+IF(MONTH([1]!Input_Raw[[#This Row],[Date]])&gt;=4,1,0)</f>
        <v>2026</v>
      </c>
      <c r="C135" s="13">
        <f>YEAR([1]!Input_Raw[[#This Row],[Date]])</f>
        <v>2025</v>
      </c>
      <c r="D135" s="14">
        <f t="shared" si="8"/>
        <v>45870</v>
      </c>
      <c r="E135" s="13">
        <f>DAY(EOMONTH([1]!Input_Raw[[#This Row],[Date]],0))</f>
        <v>31</v>
      </c>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7">
        <f>SUM(Input_Raw[[#This Row],[G01]:[G40]])</f>
        <v>0</v>
      </c>
      <c r="CG135" s="18" t="str">
        <f>IFERROR(AVERAGE(Input_Raw[[#This Row],[WS_G01]:[WS_G40]]),"")</f>
        <v/>
      </c>
      <c r="CH135" s="19"/>
      <c r="CI135" s="19"/>
      <c r="CJ135" s="15"/>
      <c r="CK135" s="15"/>
      <c r="CL135" s="15"/>
      <c r="CM135" s="15"/>
      <c r="CN135" s="15"/>
      <c r="CO135" s="15"/>
      <c r="CP135" s="15"/>
      <c r="CQ135" s="15"/>
      <c r="CR135" s="91">
        <f>IF(((Input_Raw[[#This Row],[33 kV_Wind_F1_Export reading]]-CJ134)*1200)&gt;0,(Input_Raw[[#This Row],[33 kV_Wind_F1_Export reading]]-CJ134)*1200,0)</f>
        <v>0</v>
      </c>
      <c r="CS135" s="91">
        <f>IF(((Input_Raw[[#This Row],[33 kV_Wind_F1_Import reading]]-CK134)*1200)&gt;0,(Input_Raw[[#This Row],[33 kV_Wind_F1_Import reading]]-CK134)*1200,0)</f>
        <v>0</v>
      </c>
      <c r="CT135" s="91">
        <f>IF(((Input_Raw[[#This Row],[33 kV_Wind_F2_Export_reading]]-CL134)*1200)&gt;0,(Input_Raw[[#This Row],[33 kV_Wind_F2_Export_reading]]-CL134)*1200,0)</f>
        <v>0</v>
      </c>
      <c r="CU135" s="91">
        <f>IF(((Input_Raw[[#This Row],[33 kV_Wind_F2_Import_reading]]-CM134)*1200)&gt;0,(Input_Raw[[#This Row],[33 kV_Wind_F2_Import_reading]]-CM134)*1200,0)</f>
        <v>0</v>
      </c>
      <c r="CV135" s="91">
        <f>IF(((Input_Raw[[#This Row],[33 kV_Wind_F3_Export_Reading]]-CN134)*1200)&gt;0,(Input_Raw[[#This Row],[33 kV_Wind_F3_Export_Reading]]-CN134)*1200,0)</f>
        <v>0</v>
      </c>
      <c r="CW135" s="91">
        <f>IF(((Input_Raw[[#This Row],[33 kV_Wind_F3_Import_Reading]]-CO134)*1200)&gt;0,(Input_Raw[[#This Row],[33 kV_Wind_F3_Import_Reading]]-CO134)*1200,0)</f>
        <v>0</v>
      </c>
      <c r="CX135" s="91">
        <f>IF(((Input_Raw[[#This Row],[33 kV_Wind_F4_Export Reading]]-CP134)*1200)&gt;0,(Input_Raw[[#This Row],[33 kV_Wind_F4_Export Reading]]-CP134)*1200,0)</f>
        <v>0</v>
      </c>
      <c r="CY135" s="172"/>
      <c r="CZ135" s="172">
        <f>Input_Raw[[#This Row],[33 kV_F1_Total_Export (KWh)]]+Input_Raw[[#This Row],[33 kV_F2_Total_Export (KWh)2]]+Input_Raw[[#This Row],[33 kV_Wind_F3_Export (KWh)]]+Input_Raw[[#This Row],[33 kV_Wind_F4_Export (KWh)]]</f>
        <v>0</v>
      </c>
      <c r="DA135" s="172">
        <f>Input_Raw[[#This Row],[33 kV_Wind_F1_Import (KWh)]]+Input_Raw[[#This Row],[33 kV_Wind_F2_Import (KWh)]]+Input_Raw[[#This Row],[33 kV_Wind_F3_Import (KWh)2]]+Input_Raw[[#This Row],[33 kV_Wind_F4_Import (KWh)2]]</f>
        <v>0</v>
      </c>
      <c r="DB135" s="21">
        <f>IFERROR(1-Input_Raw[[#This Row],[33 kV_Wind_Total_Export (KWh)]]/Input_Raw[[#This Row],[WTG Total Gneration (KWh)]],0)</f>
        <v>0</v>
      </c>
      <c r="DC135" s="100"/>
      <c r="DD135" s="100"/>
      <c r="DE135" s="102"/>
      <c r="DF135" s="99"/>
      <c r="DG135" s="101"/>
      <c r="DH135" s="99"/>
    </row>
    <row r="136" spans="1:112">
      <c r="A136" s="20">
        <f t="shared" si="7"/>
        <v>45876</v>
      </c>
      <c r="B136" s="12">
        <f>YEAR([1]!Input_Raw[[#This Row],[Date]])+IF(MONTH([1]!Input_Raw[[#This Row],[Date]])&gt;=4,1,0)</f>
        <v>2026</v>
      </c>
      <c r="C136" s="13">
        <f>YEAR([1]!Input_Raw[[#This Row],[Date]])</f>
        <v>2025</v>
      </c>
      <c r="D136" s="14">
        <f t="shared" si="8"/>
        <v>45870</v>
      </c>
      <c r="E136" s="13">
        <f>DAY(EOMONTH([1]!Input_Raw[[#This Row],[Date]],0))</f>
        <v>31</v>
      </c>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7">
        <f>SUM(Input_Raw[[#This Row],[G01]:[G40]])</f>
        <v>0</v>
      </c>
      <c r="CG136" s="18" t="str">
        <f>IFERROR(AVERAGE(Input_Raw[[#This Row],[WS_G01]:[WS_G40]]),"")</f>
        <v/>
      </c>
      <c r="CH136" s="19"/>
      <c r="CI136" s="19"/>
      <c r="CJ136" s="15"/>
      <c r="CK136" s="15"/>
      <c r="CL136" s="15"/>
      <c r="CM136" s="15"/>
      <c r="CN136" s="15"/>
      <c r="CO136" s="15"/>
      <c r="CP136" s="15"/>
      <c r="CQ136" s="15"/>
      <c r="CR136" s="91">
        <f>IF(((Input_Raw[[#This Row],[33 kV_Wind_F1_Export reading]]-CJ135)*1200)&gt;0,(Input_Raw[[#This Row],[33 kV_Wind_F1_Export reading]]-CJ135)*1200,0)</f>
        <v>0</v>
      </c>
      <c r="CS136" s="91">
        <f>IF(((Input_Raw[[#This Row],[33 kV_Wind_F1_Import reading]]-CK135)*1200)&gt;0,(Input_Raw[[#This Row],[33 kV_Wind_F1_Import reading]]-CK135)*1200,0)</f>
        <v>0</v>
      </c>
      <c r="CT136" s="91">
        <f>IF(((Input_Raw[[#This Row],[33 kV_Wind_F2_Export_reading]]-CL135)*1200)&gt;0,(Input_Raw[[#This Row],[33 kV_Wind_F2_Export_reading]]-CL135)*1200,0)</f>
        <v>0</v>
      </c>
      <c r="CU136" s="91">
        <f>IF(((Input_Raw[[#This Row],[33 kV_Wind_F2_Import_reading]]-CM135)*1200)&gt;0,(Input_Raw[[#This Row],[33 kV_Wind_F2_Import_reading]]-CM135)*1200,0)</f>
        <v>0</v>
      </c>
      <c r="CV136" s="91">
        <f>IF(((Input_Raw[[#This Row],[33 kV_Wind_F3_Export_Reading]]-CN135)*1200)&gt;0,(Input_Raw[[#This Row],[33 kV_Wind_F3_Export_Reading]]-CN135)*1200,0)</f>
        <v>0</v>
      </c>
      <c r="CW136" s="91">
        <f>IF(((Input_Raw[[#This Row],[33 kV_Wind_F3_Import_Reading]]-CO135)*1200)&gt;0,(Input_Raw[[#This Row],[33 kV_Wind_F3_Import_Reading]]-CO135)*1200,0)</f>
        <v>0</v>
      </c>
      <c r="CX136" s="91">
        <f>IF(((Input_Raw[[#This Row],[33 kV_Wind_F4_Export Reading]]-CP135)*1200)&gt;0,(Input_Raw[[#This Row],[33 kV_Wind_F4_Export Reading]]-CP135)*1200,0)</f>
        <v>0</v>
      </c>
      <c r="CY136" s="172"/>
      <c r="CZ136" s="172">
        <f>Input_Raw[[#This Row],[33 kV_F1_Total_Export (KWh)]]+Input_Raw[[#This Row],[33 kV_F2_Total_Export (KWh)2]]+Input_Raw[[#This Row],[33 kV_Wind_F3_Export (KWh)]]+Input_Raw[[#This Row],[33 kV_Wind_F4_Export (KWh)]]</f>
        <v>0</v>
      </c>
      <c r="DA136" s="172">
        <f>Input_Raw[[#This Row],[33 kV_Wind_F1_Import (KWh)]]+Input_Raw[[#This Row],[33 kV_Wind_F2_Import (KWh)]]+Input_Raw[[#This Row],[33 kV_Wind_F3_Import (KWh)2]]+Input_Raw[[#This Row],[33 kV_Wind_F4_Import (KWh)2]]</f>
        <v>0</v>
      </c>
      <c r="DB136" s="21">
        <f>IFERROR(1-Input_Raw[[#This Row],[33 kV_Wind_Total_Export (KWh)]]/Input_Raw[[#This Row],[WTG Total Gneration (KWh)]],0)</f>
        <v>0</v>
      </c>
      <c r="DC136" s="100"/>
      <c r="DD136" s="100"/>
      <c r="DE136" s="102"/>
      <c r="DF136" s="99"/>
      <c r="DG136" s="101"/>
      <c r="DH136" s="99"/>
    </row>
    <row r="137" spans="1:112">
      <c r="A137" s="20">
        <f t="shared" si="7"/>
        <v>45877</v>
      </c>
      <c r="B137" s="12">
        <f>YEAR([1]!Input_Raw[[#This Row],[Date]])+IF(MONTH([1]!Input_Raw[[#This Row],[Date]])&gt;=4,1,0)</f>
        <v>2026</v>
      </c>
      <c r="C137" s="13">
        <f>YEAR([1]!Input_Raw[[#This Row],[Date]])</f>
        <v>2025</v>
      </c>
      <c r="D137" s="14">
        <f t="shared" si="8"/>
        <v>45870</v>
      </c>
      <c r="E137" s="13">
        <f>DAY(EOMONTH([1]!Input_Raw[[#This Row],[Date]],0))</f>
        <v>31</v>
      </c>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7">
        <f>SUM(Input_Raw[[#This Row],[G01]:[G40]])</f>
        <v>0</v>
      </c>
      <c r="CG137" s="18" t="str">
        <f>IFERROR(AVERAGE(Input_Raw[[#This Row],[WS_G01]:[WS_G40]]),"")</f>
        <v/>
      </c>
      <c r="CH137" s="19"/>
      <c r="CI137" s="19"/>
      <c r="CJ137" s="15"/>
      <c r="CK137" s="15"/>
      <c r="CL137" s="15"/>
      <c r="CM137" s="15"/>
      <c r="CN137" s="15"/>
      <c r="CO137" s="15"/>
      <c r="CP137" s="15"/>
      <c r="CQ137" s="15"/>
      <c r="CR137" s="91">
        <f>IF(((Input_Raw[[#This Row],[33 kV_Wind_F1_Export reading]]-CJ136)*1200)&gt;0,(Input_Raw[[#This Row],[33 kV_Wind_F1_Export reading]]-CJ136)*1200,0)</f>
        <v>0</v>
      </c>
      <c r="CS137" s="91">
        <f>IF(((Input_Raw[[#This Row],[33 kV_Wind_F1_Import reading]]-CK136)*1200)&gt;0,(Input_Raw[[#This Row],[33 kV_Wind_F1_Import reading]]-CK136)*1200,0)</f>
        <v>0</v>
      </c>
      <c r="CT137" s="91">
        <f>IF(((Input_Raw[[#This Row],[33 kV_Wind_F2_Export_reading]]-CL136)*1200)&gt;0,(Input_Raw[[#This Row],[33 kV_Wind_F2_Export_reading]]-CL136)*1200,0)</f>
        <v>0</v>
      </c>
      <c r="CU137" s="91">
        <f>IF(((Input_Raw[[#This Row],[33 kV_Wind_F2_Import_reading]]-CM136)*1200)&gt;0,(Input_Raw[[#This Row],[33 kV_Wind_F2_Import_reading]]-CM136)*1200,0)</f>
        <v>0</v>
      </c>
      <c r="CV137" s="91">
        <f>IF(((Input_Raw[[#This Row],[33 kV_Wind_F3_Export_Reading]]-CN136)*1200)&gt;0,(Input_Raw[[#This Row],[33 kV_Wind_F3_Export_Reading]]-CN136)*1200,0)</f>
        <v>0</v>
      </c>
      <c r="CW137" s="91">
        <f>IF(((Input_Raw[[#This Row],[33 kV_Wind_F3_Import_Reading]]-CO136)*1200)&gt;0,(Input_Raw[[#This Row],[33 kV_Wind_F3_Import_Reading]]-CO136)*1200,0)</f>
        <v>0</v>
      </c>
      <c r="CX137" s="91">
        <f>IF(((Input_Raw[[#This Row],[33 kV_Wind_F4_Export Reading]]-CP136)*1200)&gt;0,(Input_Raw[[#This Row],[33 kV_Wind_F4_Export Reading]]-CP136)*1200,0)</f>
        <v>0</v>
      </c>
      <c r="CY137" s="172"/>
      <c r="CZ137" s="172">
        <f>Input_Raw[[#This Row],[33 kV_F1_Total_Export (KWh)]]+Input_Raw[[#This Row],[33 kV_F2_Total_Export (KWh)2]]+Input_Raw[[#This Row],[33 kV_Wind_F3_Export (KWh)]]+Input_Raw[[#This Row],[33 kV_Wind_F4_Export (KWh)]]</f>
        <v>0</v>
      </c>
      <c r="DA137" s="172">
        <f>Input_Raw[[#This Row],[33 kV_Wind_F1_Import (KWh)]]+Input_Raw[[#This Row],[33 kV_Wind_F2_Import (KWh)]]+Input_Raw[[#This Row],[33 kV_Wind_F3_Import (KWh)2]]+Input_Raw[[#This Row],[33 kV_Wind_F4_Import (KWh)2]]</f>
        <v>0</v>
      </c>
      <c r="DB137" s="21">
        <f>IFERROR(1-Input_Raw[[#This Row],[33 kV_Wind_Total_Export (KWh)]]/Input_Raw[[#This Row],[WTG Total Gneration (KWh)]],0)</f>
        <v>0</v>
      </c>
      <c r="DC137" s="100"/>
      <c r="DD137" s="100"/>
      <c r="DE137" s="102"/>
      <c r="DF137" s="99"/>
      <c r="DG137" s="101"/>
      <c r="DH137" s="99"/>
    </row>
    <row r="138" spans="1:112">
      <c r="A138" s="20">
        <f t="shared" si="7"/>
        <v>45878</v>
      </c>
      <c r="B138" s="12">
        <f>YEAR([1]!Input_Raw[[#This Row],[Date]])+IF(MONTH([1]!Input_Raw[[#This Row],[Date]])&gt;=4,1,0)</f>
        <v>2026</v>
      </c>
      <c r="C138" s="13">
        <f>YEAR([1]!Input_Raw[[#This Row],[Date]])</f>
        <v>2025</v>
      </c>
      <c r="D138" s="14">
        <f t="shared" si="8"/>
        <v>45870</v>
      </c>
      <c r="E138" s="13">
        <f>DAY(EOMONTH([1]!Input_Raw[[#This Row],[Date]],0))</f>
        <v>31</v>
      </c>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7">
        <f>SUM(Input_Raw[[#This Row],[G01]:[G40]])</f>
        <v>0</v>
      </c>
      <c r="CG138" s="18" t="str">
        <f>IFERROR(AVERAGE(Input_Raw[[#This Row],[WS_G01]:[WS_G40]]),"")</f>
        <v/>
      </c>
      <c r="CH138" s="19"/>
      <c r="CI138" s="19"/>
      <c r="CJ138" s="15"/>
      <c r="CK138" s="15"/>
      <c r="CL138" s="15"/>
      <c r="CM138" s="15"/>
      <c r="CN138" s="15"/>
      <c r="CO138" s="15"/>
      <c r="CP138" s="15"/>
      <c r="CQ138" s="15"/>
      <c r="CR138" s="91">
        <f>IF(((Input_Raw[[#This Row],[33 kV_Wind_F1_Export reading]]-CJ137)*1200)&gt;0,(Input_Raw[[#This Row],[33 kV_Wind_F1_Export reading]]-CJ137)*1200,0)</f>
        <v>0</v>
      </c>
      <c r="CS138" s="91">
        <f>IF(((Input_Raw[[#This Row],[33 kV_Wind_F1_Import reading]]-CK137)*1200)&gt;0,(Input_Raw[[#This Row],[33 kV_Wind_F1_Import reading]]-CK137)*1200,0)</f>
        <v>0</v>
      </c>
      <c r="CT138" s="91">
        <f>IF(((Input_Raw[[#This Row],[33 kV_Wind_F2_Export_reading]]-CL137)*1200)&gt;0,(Input_Raw[[#This Row],[33 kV_Wind_F2_Export_reading]]-CL137)*1200,0)</f>
        <v>0</v>
      </c>
      <c r="CU138" s="91">
        <f>IF(((Input_Raw[[#This Row],[33 kV_Wind_F2_Import_reading]]-CM137)*1200)&gt;0,(Input_Raw[[#This Row],[33 kV_Wind_F2_Import_reading]]-CM137)*1200,0)</f>
        <v>0</v>
      </c>
      <c r="CV138" s="91">
        <f>IF(((Input_Raw[[#This Row],[33 kV_Wind_F3_Export_Reading]]-CN137)*1200)&gt;0,(Input_Raw[[#This Row],[33 kV_Wind_F3_Export_Reading]]-CN137)*1200,0)</f>
        <v>0</v>
      </c>
      <c r="CW138" s="91">
        <f>IF(((Input_Raw[[#This Row],[33 kV_Wind_F3_Import_Reading]]-CO137)*1200)&gt;0,(Input_Raw[[#This Row],[33 kV_Wind_F3_Import_Reading]]-CO137)*1200,0)</f>
        <v>0</v>
      </c>
      <c r="CX138" s="91">
        <f>IF(((Input_Raw[[#This Row],[33 kV_Wind_F4_Export Reading]]-CP137)*1200)&gt;0,(Input_Raw[[#This Row],[33 kV_Wind_F4_Export Reading]]-CP137)*1200,0)</f>
        <v>0</v>
      </c>
      <c r="CY138" s="172"/>
      <c r="CZ138" s="172">
        <f>Input_Raw[[#This Row],[33 kV_F1_Total_Export (KWh)]]+Input_Raw[[#This Row],[33 kV_F2_Total_Export (KWh)2]]+Input_Raw[[#This Row],[33 kV_Wind_F3_Export (KWh)]]+Input_Raw[[#This Row],[33 kV_Wind_F4_Export (KWh)]]</f>
        <v>0</v>
      </c>
      <c r="DA138" s="172">
        <f>Input_Raw[[#This Row],[33 kV_Wind_F1_Import (KWh)]]+Input_Raw[[#This Row],[33 kV_Wind_F2_Import (KWh)]]+Input_Raw[[#This Row],[33 kV_Wind_F3_Import (KWh)2]]+Input_Raw[[#This Row],[33 kV_Wind_F4_Import (KWh)2]]</f>
        <v>0</v>
      </c>
      <c r="DB138" s="21">
        <f>IFERROR(1-Input_Raw[[#This Row],[33 kV_Wind_Total_Export (KWh)]]/Input_Raw[[#This Row],[WTG Total Gneration (KWh)]],0)</f>
        <v>0</v>
      </c>
      <c r="DC138" s="100"/>
      <c r="DD138" s="100"/>
      <c r="DE138" s="102"/>
      <c r="DF138" s="99"/>
      <c r="DG138" s="101"/>
      <c r="DH138" s="99"/>
    </row>
    <row r="139" spans="1:112">
      <c r="A139" s="20">
        <f t="shared" si="7"/>
        <v>45879</v>
      </c>
      <c r="B139" s="12">
        <f>YEAR([1]!Input_Raw[[#This Row],[Date]])+IF(MONTH([1]!Input_Raw[[#This Row],[Date]])&gt;=4,1,0)</f>
        <v>2026</v>
      </c>
      <c r="C139" s="13">
        <f>YEAR([1]!Input_Raw[[#This Row],[Date]])</f>
        <v>2025</v>
      </c>
      <c r="D139" s="14">
        <f t="shared" si="8"/>
        <v>45870</v>
      </c>
      <c r="E139" s="13">
        <f>DAY(EOMONTH([1]!Input_Raw[[#This Row],[Date]],0))</f>
        <v>31</v>
      </c>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7">
        <f>SUM(Input_Raw[[#This Row],[G01]:[G40]])</f>
        <v>0</v>
      </c>
      <c r="CG139" s="18" t="str">
        <f>IFERROR(AVERAGE(Input_Raw[[#This Row],[WS_G01]:[WS_G40]]),"")</f>
        <v/>
      </c>
      <c r="CH139" s="19"/>
      <c r="CI139" s="19"/>
      <c r="CJ139" s="15"/>
      <c r="CK139" s="15"/>
      <c r="CL139" s="15"/>
      <c r="CM139" s="15"/>
      <c r="CN139" s="15"/>
      <c r="CO139" s="15"/>
      <c r="CP139" s="15"/>
      <c r="CQ139" s="15"/>
      <c r="CR139" s="91">
        <f>IF(((Input_Raw[[#This Row],[33 kV_Wind_F1_Export reading]]-CJ138)*1200)&gt;0,(Input_Raw[[#This Row],[33 kV_Wind_F1_Export reading]]-CJ138)*1200,0)</f>
        <v>0</v>
      </c>
      <c r="CS139" s="91">
        <f>IF(((Input_Raw[[#This Row],[33 kV_Wind_F1_Import reading]]-CK138)*1200)&gt;0,(Input_Raw[[#This Row],[33 kV_Wind_F1_Import reading]]-CK138)*1200,0)</f>
        <v>0</v>
      </c>
      <c r="CT139" s="91">
        <f>IF(((Input_Raw[[#This Row],[33 kV_Wind_F2_Export_reading]]-CL138)*1200)&gt;0,(Input_Raw[[#This Row],[33 kV_Wind_F2_Export_reading]]-CL138)*1200,0)</f>
        <v>0</v>
      </c>
      <c r="CU139" s="91">
        <f>IF(((Input_Raw[[#This Row],[33 kV_Wind_F2_Import_reading]]-CM138)*1200)&gt;0,(Input_Raw[[#This Row],[33 kV_Wind_F2_Import_reading]]-CM138)*1200,0)</f>
        <v>0</v>
      </c>
      <c r="CV139" s="91">
        <f>IF(((Input_Raw[[#This Row],[33 kV_Wind_F3_Export_Reading]]-CN138)*1200)&gt;0,(Input_Raw[[#This Row],[33 kV_Wind_F3_Export_Reading]]-CN138)*1200,0)</f>
        <v>0</v>
      </c>
      <c r="CW139" s="91">
        <f>IF(((Input_Raw[[#This Row],[33 kV_Wind_F3_Import_Reading]]-CO138)*1200)&gt;0,(Input_Raw[[#This Row],[33 kV_Wind_F3_Import_Reading]]-CO138)*1200,0)</f>
        <v>0</v>
      </c>
      <c r="CX139" s="91">
        <f>IF(((Input_Raw[[#This Row],[33 kV_Wind_F4_Export Reading]]-CP138)*1200)&gt;0,(Input_Raw[[#This Row],[33 kV_Wind_F4_Export Reading]]-CP138)*1200,0)</f>
        <v>0</v>
      </c>
      <c r="CY139" s="172"/>
      <c r="CZ139" s="172">
        <f>Input_Raw[[#This Row],[33 kV_F1_Total_Export (KWh)]]+Input_Raw[[#This Row],[33 kV_F2_Total_Export (KWh)2]]+Input_Raw[[#This Row],[33 kV_Wind_F3_Export (KWh)]]+Input_Raw[[#This Row],[33 kV_Wind_F4_Export (KWh)]]</f>
        <v>0</v>
      </c>
      <c r="DA139" s="172">
        <f>Input_Raw[[#This Row],[33 kV_Wind_F1_Import (KWh)]]+Input_Raw[[#This Row],[33 kV_Wind_F2_Import (KWh)]]+Input_Raw[[#This Row],[33 kV_Wind_F3_Import (KWh)2]]+Input_Raw[[#This Row],[33 kV_Wind_F4_Import (KWh)2]]</f>
        <v>0</v>
      </c>
      <c r="DB139" s="21">
        <f>IFERROR(1-Input_Raw[[#This Row],[33 kV_Wind_Total_Export (KWh)]]/Input_Raw[[#This Row],[WTG Total Gneration (KWh)]],0)</f>
        <v>0</v>
      </c>
      <c r="DC139" s="100"/>
      <c r="DD139" s="100"/>
      <c r="DE139" s="102"/>
      <c r="DF139" s="99"/>
      <c r="DG139" s="101"/>
      <c r="DH139" s="99"/>
    </row>
    <row r="140" spans="1:112">
      <c r="A140" s="20">
        <f t="shared" si="7"/>
        <v>45880</v>
      </c>
      <c r="B140" s="12">
        <f>YEAR([1]!Input_Raw[[#This Row],[Date]])+IF(MONTH([1]!Input_Raw[[#This Row],[Date]])&gt;=4,1,0)</f>
        <v>2026</v>
      </c>
      <c r="C140" s="13">
        <f>YEAR([1]!Input_Raw[[#This Row],[Date]])</f>
        <v>2025</v>
      </c>
      <c r="D140" s="14">
        <f t="shared" si="8"/>
        <v>45870</v>
      </c>
      <c r="E140" s="13">
        <f>DAY(EOMONTH([1]!Input_Raw[[#This Row],[Date]],0))</f>
        <v>31</v>
      </c>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7">
        <f>SUM(Input_Raw[[#This Row],[G01]:[G40]])</f>
        <v>0</v>
      </c>
      <c r="CG140" s="18" t="str">
        <f>IFERROR(AVERAGE(Input_Raw[[#This Row],[WS_G01]:[WS_G40]]),"")</f>
        <v/>
      </c>
      <c r="CH140" s="19"/>
      <c r="CI140" s="19"/>
      <c r="CJ140" s="15"/>
      <c r="CK140" s="15"/>
      <c r="CL140" s="15"/>
      <c r="CM140" s="15"/>
      <c r="CN140" s="15"/>
      <c r="CO140" s="15"/>
      <c r="CP140" s="15"/>
      <c r="CQ140" s="15"/>
      <c r="CR140" s="91">
        <f>IF(((Input_Raw[[#This Row],[33 kV_Wind_F1_Export reading]]-CJ139)*1200)&gt;0,(Input_Raw[[#This Row],[33 kV_Wind_F1_Export reading]]-CJ139)*1200,0)</f>
        <v>0</v>
      </c>
      <c r="CS140" s="91">
        <f>IF(((Input_Raw[[#This Row],[33 kV_Wind_F1_Import reading]]-CK139)*1200)&gt;0,(Input_Raw[[#This Row],[33 kV_Wind_F1_Import reading]]-CK139)*1200,0)</f>
        <v>0</v>
      </c>
      <c r="CT140" s="91">
        <f>IF(((Input_Raw[[#This Row],[33 kV_Wind_F2_Export_reading]]-CL139)*1200)&gt;0,(Input_Raw[[#This Row],[33 kV_Wind_F2_Export_reading]]-CL139)*1200,0)</f>
        <v>0</v>
      </c>
      <c r="CU140" s="91">
        <f>IF(((Input_Raw[[#This Row],[33 kV_Wind_F2_Import_reading]]-CM139)*1200)&gt;0,(Input_Raw[[#This Row],[33 kV_Wind_F2_Import_reading]]-CM139)*1200,0)</f>
        <v>0</v>
      </c>
      <c r="CV140" s="91">
        <f>IF(((Input_Raw[[#This Row],[33 kV_Wind_F3_Export_Reading]]-CN139)*1200)&gt;0,(Input_Raw[[#This Row],[33 kV_Wind_F3_Export_Reading]]-CN139)*1200,0)</f>
        <v>0</v>
      </c>
      <c r="CW140" s="91">
        <f>IF(((Input_Raw[[#This Row],[33 kV_Wind_F3_Import_Reading]]-CO139)*1200)&gt;0,(Input_Raw[[#This Row],[33 kV_Wind_F3_Import_Reading]]-CO139)*1200,0)</f>
        <v>0</v>
      </c>
      <c r="CX140" s="91">
        <f>IF(((Input_Raw[[#This Row],[33 kV_Wind_F4_Export Reading]]-CP139)*1200)&gt;0,(Input_Raw[[#This Row],[33 kV_Wind_F4_Export Reading]]-CP139)*1200,0)</f>
        <v>0</v>
      </c>
      <c r="CY140" s="172"/>
      <c r="CZ140" s="172">
        <f>Input_Raw[[#This Row],[33 kV_F1_Total_Export (KWh)]]+Input_Raw[[#This Row],[33 kV_F2_Total_Export (KWh)2]]+Input_Raw[[#This Row],[33 kV_Wind_F3_Export (KWh)]]+Input_Raw[[#This Row],[33 kV_Wind_F4_Export (KWh)]]</f>
        <v>0</v>
      </c>
      <c r="DA140" s="172">
        <f>Input_Raw[[#This Row],[33 kV_Wind_F1_Import (KWh)]]+Input_Raw[[#This Row],[33 kV_Wind_F2_Import (KWh)]]+Input_Raw[[#This Row],[33 kV_Wind_F3_Import (KWh)2]]+Input_Raw[[#This Row],[33 kV_Wind_F4_Import (KWh)2]]</f>
        <v>0</v>
      </c>
      <c r="DB140" s="21">
        <f>IFERROR(1-Input_Raw[[#This Row],[33 kV_Wind_Total_Export (KWh)]]/Input_Raw[[#This Row],[WTG Total Gneration (KWh)]],0)</f>
        <v>0</v>
      </c>
      <c r="DC140" s="100"/>
      <c r="DD140" s="100"/>
      <c r="DE140" s="102"/>
      <c r="DF140" s="99"/>
      <c r="DG140" s="101"/>
      <c r="DH140" s="99"/>
    </row>
    <row r="141" spans="1:112">
      <c r="A141" s="20">
        <f t="shared" si="7"/>
        <v>45881</v>
      </c>
      <c r="B141" s="12">
        <f>YEAR([1]!Input_Raw[[#This Row],[Date]])+IF(MONTH([1]!Input_Raw[[#This Row],[Date]])&gt;=4,1,0)</f>
        <v>2026</v>
      </c>
      <c r="C141" s="13">
        <f>YEAR([1]!Input_Raw[[#This Row],[Date]])</f>
        <v>2025</v>
      </c>
      <c r="D141" s="14">
        <f t="shared" si="8"/>
        <v>45870</v>
      </c>
      <c r="E141" s="13">
        <f>DAY(EOMONTH([1]!Input_Raw[[#This Row],[Date]],0))</f>
        <v>31</v>
      </c>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7">
        <f>SUM(Input_Raw[[#This Row],[G01]:[G40]])</f>
        <v>0</v>
      </c>
      <c r="CG141" s="18" t="str">
        <f>IFERROR(AVERAGE(Input_Raw[[#This Row],[WS_G01]:[WS_G40]]),"")</f>
        <v/>
      </c>
      <c r="CH141" s="19"/>
      <c r="CI141" s="19"/>
      <c r="CJ141" s="15"/>
      <c r="CK141" s="15"/>
      <c r="CL141" s="15"/>
      <c r="CM141" s="15"/>
      <c r="CN141" s="15"/>
      <c r="CO141" s="15"/>
      <c r="CP141" s="15"/>
      <c r="CQ141" s="15"/>
      <c r="CR141" s="91">
        <f>IF(((Input_Raw[[#This Row],[33 kV_Wind_F1_Export reading]]-CJ140)*1200)&gt;0,(Input_Raw[[#This Row],[33 kV_Wind_F1_Export reading]]-CJ140)*1200,0)</f>
        <v>0</v>
      </c>
      <c r="CS141" s="91">
        <f>IF(((Input_Raw[[#This Row],[33 kV_Wind_F1_Import reading]]-CK140)*1200)&gt;0,(Input_Raw[[#This Row],[33 kV_Wind_F1_Import reading]]-CK140)*1200,0)</f>
        <v>0</v>
      </c>
      <c r="CT141" s="91">
        <f>IF(((Input_Raw[[#This Row],[33 kV_Wind_F2_Export_reading]]-CL140)*1200)&gt;0,(Input_Raw[[#This Row],[33 kV_Wind_F2_Export_reading]]-CL140)*1200,0)</f>
        <v>0</v>
      </c>
      <c r="CU141" s="91">
        <f>IF(((Input_Raw[[#This Row],[33 kV_Wind_F2_Import_reading]]-CM140)*1200)&gt;0,(Input_Raw[[#This Row],[33 kV_Wind_F2_Import_reading]]-CM140)*1200,0)</f>
        <v>0</v>
      </c>
      <c r="CV141" s="91">
        <f>IF(((Input_Raw[[#This Row],[33 kV_Wind_F3_Export_Reading]]-CN140)*1200)&gt;0,(Input_Raw[[#This Row],[33 kV_Wind_F3_Export_Reading]]-CN140)*1200,0)</f>
        <v>0</v>
      </c>
      <c r="CW141" s="91">
        <f>IF(((Input_Raw[[#This Row],[33 kV_Wind_F3_Import_Reading]]-CO140)*1200)&gt;0,(Input_Raw[[#This Row],[33 kV_Wind_F3_Import_Reading]]-CO140)*1200,0)</f>
        <v>0</v>
      </c>
      <c r="CX141" s="91">
        <f>IF(((Input_Raw[[#This Row],[33 kV_Wind_F4_Export Reading]]-CP140)*1200)&gt;0,(Input_Raw[[#This Row],[33 kV_Wind_F4_Export Reading]]-CP140)*1200,0)</f>
        <v>0</v>
      </c>
      <c r="CY141" s="172"/>
      <c r="CZ141" s="172">
        <f>Input_Raw[[#This Row],[33 kV_F1_Total_Export (KWh)]]+Input_Raw[[#This Row],[33 kV_F2_Total_Export (KWh)2]]+Input_Raw[[#This Row],[33 kV_Wind_F3_Export (KWh)]]+Input_Raw[[#This Row],[33 kV_Wind_F4_Export (KWh)]]</f>
        <v>0</v>
      </c>
      <c r="DA141" s="172">
        <f>Input_Raw[[#This Row],[33 kV_Wind_F1_Import (KWh)]]+Input_Raw[[#This Row],[33 kV_Wind_F2_Import (KWh)]]+Input_Raw[[#This Row],[33 kV_Wind_F3_Import (KWh)2]]+Input_Raw[[#This Row],[33 kV_Wind_F4_Import (KWh)2]]</f>
        <v>0</v>
      </c>
      <c r="DB141" s="21">
        <f>IFERROR(1-Input_Raw[[#This Row],[33 kV_Wind_Total_Export (KWh)]]/Input_Raw[[#This Row],[WTG Total Gneration (KWh)]],0)</f>
        <v>0</v>
      </c>
      <c r="DC141" s="100"/>
      <c r="DD141" s="100"/>
      <c r="DE141" s="102"/>
      <c r="DF141" s="99"/>
      <c r="DG141" s="101"/>
      <c r="DH141" s="99"/>
    </row>
    <row r="142" spans="1:112">
      <c r="A142" s="20">
        <f t="shared" si="7"/>
        <v>45882</v>
      </c>
      <c r="B142" s="12">
        <f>YEAR([1]!Input_Raw[[#This Row],[Date]])+IF(MONTH([1]!Input_Raw[[#This Row],[Date]])&gt;=4,1,0)</f>
        <v>2026</v>
      </c>
      <c r="C142" s="13">
        <f>YEAR([1]!Input_Raw[[#This Row],[Date]])</f>
        <v>2025</v>
      </c>
      <c r="D142" s="14">
        <f t="shared" si="8"/>
        <v>45870</v>
      </c>
      <c r="E142" s="13">
        <f>DAY(EOMONTH([1]!Input_Raw[[#This Row],[Date]],0))</f>
        <v>31</v>
      </c>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7">
        <f>SUM(Input_Raw[[#This Row],[G01]:[G40]])</f>
        <v>0</v>
      </c>
      <c r="CG142" s="18" t="str">
        <f>IFERROR(AVERAGE(Input_Raw[[#This Row],[WS_G01]:[WS_G40]]),"")</f>
        <v/>
      </c>
      <c r="CH142" s="19"/>
      <c r="CI142" s="19"/>
      <c r="CJ142" s="15"/>
      <c r="CK142" s="15"/>
      <c r="CL142" s="15"/>
      <c r="CM142" s="15"/>
      <c r="CN142" s="15"/>
      <c r="CO142" s="15"/>
      <c r="CP142" s="15"/>
      <c r="CQ142" s="15"/>
      <c r="CR142" s="91">
        <f>IF(((Input_Raw[[#This Row],[33 kV_Wind_F1_Export reading]]-CJ141)*1200)&gt;0,(Input_Raw[[#This Row],[33 kV_Wind_F1_Export reading]]-CJ141)*1200,0)</f>
        <v>0</v>
      </c>
      <c r="CS142" s="91">
        <f>IF(((Input_Raw[[#This Row],[33 kV_Wind_F1_Import reading]]-CK141)*1200)&gt;0,(Input_Raw[[#This Row],[33 kV_Wind_F1_Import reading]]-CK141)*1200,0)</f>
        <v>0</v>
      </c>
      <c r="CT142" s="91">
        <f>IF(((Input_Raw[[#This Row],[33 kV_Wind_F2_Export_reading]]-CL141)*1200)&gt;0,(Input_Raw[[#This Row],[33 kV_Wind_F2_Export_reading]]-CL141)*1200,0)</f>
        <v>0</v>
      </c>
      <c r="CU142" s="91">
        <f>IF(((Input_Raw[[#This Row],[33 kV_Wind_F2_Import_reading]]-CM141)*1200)&gt;0,(Input_Raw[[#This Row],[33 kV_Wind_F2_Import_reading]]-CM141)*1200,0)</f>
        <v>0</v>
      </c>
      <c r="CV142" s="91">
        <f>IF(((Input_Raw[[#This Row],[33 kV_Wind_F3_Export_Reading]]-CN141)*1200)&gt;0,(Input_Raw[[#This Row],[33 kV_Wind_F3_Export_Reading]]-CN141)*1200,0)</f>
        <v>0</v>
      </c>
      <c r="CW142" s="91">
        <f>IF(((Input_Raw[[#This Row],[33 kV_Wind_F3_Import_Reading]]-CO141)*1200)&gt;0,(Input_Raw[[#This Row],[33 kV_Wind_F3_Import_Reading]]-CO141)*1200,0)</f>
        <v>0</v>
      </c>
      <c r="CX142" s="91">
        <f>IF(((Input_Raw[[#This Row],[33 kV_Wind_F4_Export Reading]]-CP141)*1200)&gt;0,(Input_Raw[[#This Row],[33 kV_Wind_F4_Export Reading]]-CP141)*1200,0)</f>
        <v>0</v>
      </c>
      <c r="CY142" s="172"/>
      <c r="CZ142" s="172">
        <f>Input_Raw[[#This Row],[33 kV_F1_Total_Export (KWh)]]+Input_Raw[[#This Row],[33 kV_F2_Total_Export (KWh)2]]+Input_Raw[[#This Row],[33 kV_Wind_F3_Export (KWh)]]+Input_Raw[[#This Row],[33 kV_Wind_F4_Export (KWh)]]</f>
        <v>0</v>
      </c>
      <c r="DA142" s="172">
        <f>Input_Raw[[#This Row],[33 kV_Wind_F1_Import (KWh)]]+Input_Raw[[#This Row],[33 kV_Wind_F2_Import (KWh)]]+Input_Raw[[#This Row],[33 kV_Wind_F3_Import (KWh)2]]+Input_Raw[[#This Row],[33 kV_Wind_F4_Import (KWh)2]]</f>
        <v>0</v>
      </c>
      <c r="DB142" s="21">
        <f>IFERROR(1-Input_Raw[[#This Row],[33 kV_Wind_Total_Export (KWh)]]/Input_Raw[[#This Row],[WTG Total Gneration (KWh)]],0)</f>
        <v>0</v>
      </c>
      <c r="DC142" s="100"/>
      <c r="DD142" s="100"/>
      <c r="DE142" s="102"/>
      <c r="DF142" s="99"/>
      <c r="DG142" s="101"/>
      <c r="DH142" s="99"/>
    </row>
    <row r="143" spans="1:112">
      <c r="A143" s="20">
        <f t="shared" si="7"/>
        <v>45883</v>
      </c>
      <c r="B143" s="12">
        <f>YEAR([1]!Input_Raw[[#This Row],[Date]])+IF(MONTH([1]!Input_Raw[[#This Row],[Date]])&gt;=4,1,0)</f>
        <v>2026</v>
      </c>
      <c r="C143" s="13">
        <f>YEAR([1]!Input_Raw[[#This Row],[Date]])</f>
        <v>2025</v>
      </c>
      <c r="D143" s="14">
        <f t="shared" si="8"/>
        <v>45870</v>
      </c>
      <c r="E143" s="13">
        <f>DAY(EOMONTH([1]!Input_Raw[[#This Row],[Date]],0))</f>
        <v>31</v>
      </c>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7">
        <f>SUM(Input_Raw[[#This Row],[G01]:[G40]])</f>
        <v>0</v>
      </c>
      <c r="CG143" s="18" t="str">
        <f>IFERROR(AVERAGE(Input_Raw[[#This Row],[WS_G01]:[WS_G40]]),"")</f>
        <v/>
      </c>
      <c r="CH143" s="19"/>
      <c r="CI143" s="19"/>
      <c r="CJ143" s="15"/>
      <c r="CK143" s="15"/>
      <c r="CL143" s="15"/>
      <c r="CM143" s="15"/>
      <c r="CN143" s="15"/>
      <c r="CO143" s="15"/>
      <c r="CP143" s="15"/>
      <c r="CQ143" s="15"/>
      <c r="CR143" s="91">
        <f>IF(((Input_Raw[[#This Row],[33 kV_Wind_F1_Export reading]]-CJ142)*1200)&gt;0,(Input_Raw[[#This Row],[33 kV_Wind_F1_Export reading]]-CJ142)*1200,0)</f>
        <v>0</v>
      </c>
      <c r="CS143" s="91">
        <f>IF(((Input_Raw[[#This Row],[33 kV_Wind_F1_Import reading]]-CK142)*1200)&gt;0,(Input_Raw[[#This Row],[33 kV_Wind_F1_Import reading]]-CK142)*1200,0)</f>
        <v>0</v>
      </c>
      <c r="CT143" s="91">
        <f>IF(((Input_Raw[[#This Row],[33 kV_Wind_F2_Export_reading]]-CL142)*1200)&gt;0,(Input_Raw[[#This Row],[33 kV_Wind_F2_Export_reading]]-CL142)*1200,0)</f>
        <v>0</v>
      </c>
      <c r="CU143" s="91">
        <f>IF(((Input_Raw[[#This Row],[33 kV_Wind_F2_Import_reading]]-CM142)*1200)&gt;0,(Input_Raw[[#This Row],[33 kV_Wind_F2_Import_reading]]-CM142)*1200,0)</f>
        <v>0</v>
      </c>
      <c r="CV143" s="91">
        <f>IF(((Input_Raw[[#This Row],[33 kV_Wind_F3_Export_Reading]]-CN142)*1200)&gt;0,(Input_Raw[[#This Row],[33 kV_Wind_F3_Export_Reading]]-CN142)*1200,0)</f>
        <v>0</v>
      </c>
      <c r="CW143" s="91">
        <f>IF(((Input_Raw[[#This Row],[33 kV_Wind_F3_Import_Reading]]-CO142)*1200)&gt;0,(Input_Raw[[#This Row],[33 kV_Wind_F3_Import_Reading]]-CO142)*1200,0)</f>
        <v>0</v>
      </c>
      <c r="CX143" s="91">
        <f>IF(((Input_Raw[[#This Row],[33 kV_Wind_F4_Export Reading]]-CP142)*1200)&gt;0,(Input_Raw[[#This Row],[33 kV_Wind_F4_Export Reading]]-CP142)*1200,0)</f>
        <v>0</v>
      </c>
      <c r="CY143" s="172"/>
      <c r="CZ143" s="172">
        <f>Input_Raw[[#This Row],[33 kV_F1_Total_Export (KWh)]]+Input_Raw[[#This Row],[33 kV_F2_Total_Export (KWh)2]]+Input_Raw[[#This Row],[33 kV_Wind_F3_Export (KWh)]]+Input_Raw[[#This Row],[33 kV_Wind_F4_Export (KWh)]]</f>
        <v>0</v>
      </c>
      <c r="DA143" s="172">
        <f>Input_Raw[[#This Row],[33 kV_Wind_F1_Import (KWh)]]+Input_Raw[[#This Row],[33 kV_Wind_F2_Import (KWh)]]+Input_Raw[[#This Row],[33 kV_Wind_F3_Import (KWh)2]]+Input_Raw[[#This Row],[33 kV_Wind_F4_Import (KWh)2]]</f>
        <v>0</v>
      </c>
      <c r="DB143" s="21">
        <f>IFERROR(1-Input_Raw[[#This Row],[33 kV_Wind_Total_Export (KWh)]]/Input_Raw[[#This Row],[WTG Total Gneration (KWh)]],0)</f>
        <v>0</v>
      </c>
      <c r="DC143" s="100"/>
      <c r="DD143" s="173"/>
      <c r="DE143" s="99"/>
      <c r="DF143" s="99"/>
      <c r="DG143" s="101"/>
      <c r="DH143" s="99"/>
    </row>
    <row r="144" spans="1:112">
      <c r="A144" s="20">
        <f t="shared" si="7"/>
        <v>45884</v>
      </c>
      <c r="B144" s="12">
        <f>YEAR([1]!Input_Raw[[#This Row],[Date]])+IF(MONTH([1]!Input_Raw[[#This Row],[Date]])&gt;=4,1,0)</f>
        <v>2026</v>
      </c>
      <c r="C144" s="13">
        <f>YEAR([1]!Input_Raw[[#This Row],[Date]])</f>
        <v>2025</v>
      </c>
      <c r="D144" s="14">
        <f t="shared" si="8"/>
        <v>45870</v>
      </c>
      <c r="E144" s="13">
        <f>DAY(EOMONTH([1]!Input_Raw[[#This Row],[Date]],0))</f>
        <v>31</v>
      </c>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7">
        <f>SUM(Input_Raw[[#This Row],[G01]:[G40]])</f>
        <v>0</v>
      </c>
      <c r="CG144" s="18" t="str">
        <f>IFERROR(AVERAGE(Input_Raw[[#This Row],[WS_G01]:[WS_G40]]),"")</f>
        <v/>
      </c>
      <c r="CH144" s="19"/>
      <c r="CI144" s="19"/>
      <c r="CJ144" s="15"/>
      <c r="CK144" s="15"/>
      <c r="CL144" s="15"/>
      <c r="CM144" s="15"/>
      <c r="CN144" s="15"/>
      <c r="CO144" s="15"/>
      <c r="CP144" s="15"/>
      <c r="CQ144" s="15"/>
      <c r="CR144" s="91">
        <f>IF(((Input_Raw[[#This Row],[33 kV_Wind_F1_Export reading]]-CJ143)*1200)&gt;0,(Input_Raw[[#This Row],[33 kV_Wind_F1_Export reading]]-CJ143)*1200,0)</f>
        <v>0</v>
      </c>
      <c r="CS144" s="91">
        <f>IF(((Input_Raw[[#This Row],[33 kV_Wind_F1_Import reading]]-CK143)*1200)&gt;0,(Input_Raw[[#This Row],[33 kV_Wind_F1_Import reading]]-CK143)*1200,0)</f>
        <v>0</v>
      </c>
      <c r="CT144" s="91">
        <f>IF(((Input_Raw[[#This Row],[33 kV_Wind_F2_Export_reading]]-CL143)*1200)&gt;0,(Input_Raw[[#This Row],[33 kV_Wind_F2_Export_reading]]-CL143)*1200,0)</f>
        <v>0</v>
      </c>
      <c r="CU144" s="91">
        <f>IF(((Input_Raw[[#This Row],[33 kV_Wind_F2_Import_reading]]-CM143)*1200)&gt;0,(Input_Raw[[#This Row],[33 kV_Wind_F2_Import_reading]]-CM143)*1200,0)</f>
        <v>0</v>
      </c>
      <c r="CV144" s="91">
        <f>IF(((Input_Raw[[#This Row],[33 kV_Wind_F3_Export_Reading]]-CN143)*1200)&gt;0,(Input_Raw[[#This Row],[33 kV_Wind_F3_Export_Reading]]-CN143)*1200,0)</f>
        <v>0</v>
      </c>
      <c r="CW144" s="91">
        <f>IF(((Input_Raw[[#This Row],[33 kV_Wind_F3_Import_Reading]]-CO143)*1200)&gt;0,(Input_Raw[[#This Row],[33 kV_Wind_F3_Import_Reading]]-CO143)*1200,0)</f>
        <v>0</v>
      </c>
      <c r="CX144" s="91">
        <f>IF(((Input_Raw[[#This Row],[33 kV_Wind_F4_Export Reading]]-CP143)*1200)&gt;0,(Input_Raw[[#This Row],[33 kV_Wind_F4_Export Reading]]-CP143)*1200,0)</f>
        <v>0</v>
      </c>
      <c r="CY144" s="172"/>
      <c r="CZ144" s="172">
        <f>Input_Raw[[#This Row],[33 kV_F1_Total_Export (KWh)]]+Input_Raw[[#This Row],[33 kV_F2_Total_Export (KWh)2]]+Input_Raw[[#This Row],[33 kV_Wind_F3_Export (KWh)]]+Input_Raw[[#This Row],[33 kV_Wind_F4_Export (KWh)]]</f>
        <v>0</v>
      </c>
      <c r="DA144" s="172">
        <f>Input_Raw[[#This Row],[33 kV_Wind_F1_Import (KWh)]]+Input_Raw[[#This Row],[33 kV_Wind_F2_Import (KWh)]]+Input_Raw[[#This Row],[33 kV_Wind_F3_Import (KWh)2]]+Input_Raw[[#This Row],[33 kV_Wind_F4_Import (KWh)2]]</f>
        <v>0</v>
      </c>
      <c r="DB144" s="21">
        <f>IFERROR(1-Input_Raw[[#This Row],[33 kV_Wind_Total_Export (KWh)]]/Input_Raw[[#This Row],[WTG Total Gneration (KWh)]],0)</f>
        <v>0</v>
      </c>
      <c r="DC144" s="100"/>
      <c r="DD144" s="173"/>
      <c r="DE144" s="99"/>
      <c r="DF144" s="99"/>
      <c r="DG144" s="101"/>
      <c r="DH144" s="99"/>
    </row>
    <row r="145" spans="109:109">
      <c r="DE145" s="97"/>
    </row>
    <row r="146" spans="109:109">
      <c r="DE146" s="97"/>
    </row>
    <row r="147" spans="109:109">
      <c r="DE147" s="97"/>
    </row>
    <row r="148" spans="109:109">
      <c r="DE148" s="97"/>
    </row>
    <row r="149" spans="109:109">
      <c r="DE149" s="97"/>
    </row>
    <row r="150" spans="109:109">
      <c r="DE150" s="97"/>
    </row>
    <row r="151" spans="109:109">
      <c r="DE151" s="97"/>
    </row>
    <row r="152" spans="109:109">
      <c r="DE152" s="97"/>
    </row>
    <row r="153" spans="109:109">
      <c r="DE153" s="97"/>
    </row>
    <row r="154" spans="109:109">
      <c r="DE154" s="97"/>
    </row>
    <row r="155" spans="109:109">
      <c r="DE155" s="97"/>
    </row>
    <row r="156" spans="109:109">
      <c r="DE156" s="97"/>
    </row>
    <row r="157" spans="109:109">
      <c r="DE157" s="97"/>
    </row>
    <row r="158" spans="109:109">
      <c r="DE158" s="97"/>
    </row>
    <row r="159" spans="109:109">
      <c r="DE159" s="97"/>
    </row>
    <row r="160" spans="109:109">
      <c r="DE160" s="97"/>
    </row>
    <row r="161" spans="109:109">
      <c r="DE161" s="97"/>
    </row>
    <row r="162" spans="109:109">
      <c r="DE162" s="97"/>
    </row>
    <row r="163" spans="109:109">
      <c r="DE163" s="97"/>
    </row>
    <row r="164" spans="109:109">
      <c r="DE164" s="97"/>
    </row>
    <row r="165" spans="109:109">
      <c r="DE165" s="97"/>
    </row>
    <row r="166" spans="109:109">
      <c r="DE166" s="97"/>
    </row>
    <row r="167" spans="109:109">
      <c r="DE167" s="97"/>
    </row>
    <row r="168" spans="109:109">
      <c r="DE168" s="97"/>
    </row>
    <row r="169" spans="109:109">
      <c r="DE169" s="97"/>
    </row>
    <row r="170" spans="109:109">
      <c r="DE170" s="97"/>
    </row>
    <row r="171" spans="109:109">
      <c r="DE171" s="97"/>
    </row>
    <row r="172" spans="109:109">
      <c r="DE172" s="97"/>
    </row>
    <row r="173" spans="109:109">
      <c r="DE173" s="97"/>
    </row>
    <row r="174" spans="109:109">
      <c r="DE174" s="97"/>
    </row>
    <row r="175" spans="109:109">
      <c r="DE175" s="97"/>
    </row>
    <row r="176" spans="109:109">
      <c r="DE176" s="97"/>
    </row>
    <row r="177" spans="109:109">
      <c r="DE177" s="97"/>
    </row>
    <row r="178" spans="109:109">
      <c r="DE178" s="97"/>
    </row>
    <row r="179" spans="109:109">
      <c r="DE179" s="97"/>
    </row>
    <row r="180" spans="109:109">
      <c r="DE180" s="97"/>
    </row>
    <row r="181" spans="109:109">
      <c r="DE181" s="97"/>
    </row>
    <row r="182" spans="109:109">
      <c r="DE182" s="97"/>
    </row>
    <row r="183" spans="109:109">
      <c r="DE183" s="97"/>
    </row>
    <row r="184" spans="109:109">
      <c r="DE184" s="97"/>
    </row>
    <row r="185" spans="109:109">
      <c r="DE185" s="97"/>
    </row>
    <row r="186" spans="109:109">
      <c r="DE186" s="97"/>
    </row>
    <row r="187" spans="109:109">
      <c r="DE187" s="97"/>
    </row>
    <row r="188" spans="109:109">
      <c r="DE188" s="97"/>
    </row>
    <row r="189" spans="109:109">
      <c r="DE189" s="97"/>
    </row>
    <row r="190" spans="109:109">
      <c r="DE190" s="97"/>
    </row>
    <row r="191" spans="109:109">
      <c r="DE191" s="97"/>
    </row>
    <row r="192" spans="109:109">
      <c r="DE192" s="97"/>
    </row>
    <row r="193" spans="109:109">
      <c r="DE193" s="97"/>
    </row>
    <row r="194" spans="109:109">
      <c r="DE194" s="97"/>
    </row>
    <row r="195" spans="109:109">
      <c r="DE195" s="97"/>
    </row>
    <row r="196" spans="109:109">
      <c r="DE196" s="97"/>
    </row>
    <row r="197" spans="109:109">
      <c r="DE197" s="97"/>
    </row>
  </sheetData>
  <phoneticPr fontId="9"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14D3-A9B3-483F-9B0B-E5DB3F5F354E}">
  <dimension ref="A1:AS369"/>
  <sheetViews>
    <sheetView workbookViewId="0">
      <pane xSplit="1" ySplit="1" topLeftCell="G356" activePane="bottomRight" state="frozen"/>
      <selection pane="topRight" activeCell="AB39" sqref="AB39"/>
      <selection pane="bottomLeft" activeCell="AB39" sqref="AB39"/>
      <selection pane="bottomRight" activeCell="P1" sqref="P1"/>
    </sheetView>
  </sheetViews>
  <sheetFormatPr defaultRowHeight="15"/>
  <cols>
    <col min="1" max="1" width="13" customWidth="1"/>
    <col min="2" max="5" width="9" customWidth="1"/>
    <col min="6" max="9" width="10.28515625" customWidth="1"/>
    <col min="10" max="12" width="11.28515625" customWidth="1"/>
    <col min="13" max="13" width="15.140625" bestFit="1" customWidth="1"/>
    <col min="14" max="39" width="11.28515625" customWidth="1"/>
    <col min="40" max="40" width="11.28515625" style="128" customWidth="1"/>
    <col min="41" max="43" width="11.28515625" customWidth="1"/>
  </cols>
  <sheetData>
    <row r="1" spans="1:45" ht="60">
      <c r="A1" s="114" t="s">
        <v>73</v>
      </c>
      <c r="B1" s="115" t="s">
        <v>3</v>
      </c>
      <c r="C1" s="115" t="s">
        <v>74</v>
      </c>
      <c r="D1" s="115" t="s">
        <v>75</v>
      </c>
      <c r="E1" s="115" t="s">
        <v>46</v>
      </c>
      <c r="F1" s="116" t="s">
        <v>76</v>
      </c>
      <c r="G1" s="116" t="s">
        <v>77</v>
      </c>
      <c r="H1" s="116" t="s">
        <v>78</v>
      </c>
      <c r="I1" s="116" t="s">
        <v>79</v>
      </c>
      <c r="J1" s="116" t="s">
        <v>80</v>
      </c>
      <c r="K1" s="116" t="s">
        <v>81</v>
      </c>
      <c r="L1" s="116" t="s">
        <v>82</v>
      </c>
      <c r="M1" s="116" t="s">
        <v>83</v>
      </c>
      <c r="N1" s="116" t="s">
        <v>84</v>
      </c>
      <c r="O1" s="116" t="s">
        <v>85</v>
      </c>
      <c r="P1" s="116" t="s">
        <v>86</v>
      </c>
      <c r="Q1" s="116" t="s">
        <v>87</v>
      </c>
      <c r="R1" s="116" t="s">
        <v>88</v>
      </c>
      <c r="S1" s="116" t="s">
        <v>89</v>
      </c>
      <c r="T1" s="116" t="s">
        <v>90</v>
      </c>
      <c r="U1" s="116" t="s">
        <v>91</v>
      </c>
      <c r="V1" s="116" t="s">
        <v>92</v>
      </c>
      <c r="W1" s="116" t="s">
        <v>93</v>
      </c>
      <c r="X1" s="116" t="s">
        <v>94</v>
      </c>
      <c r="Y1" s="116" t="s">
        <v>95</v>
      </c>
      <c r="Z1" s="116" t="s">
        <v>96</v>
      </c>
      <c r="AA1" s="116" t="s">
        <v>97</v>
      </c>
      <c r="AB1" s="116" t="s">
        <v>98</v>
      </c>
      <c r="AC1" s="116" t="s">
        <v>99</v>
      </c>
      <c r="AD1" s="116" t="s">
        <v>100</v>
      </c>
      <c r="AE1" s="116" t="s">
        <v>101</v>
      </c>
      <c r="AF1" s="116" t="s">
        <v>102</v>
      </c>
      <c r="AG1" s="116" t="s">
        <v>103</v>
      </c>
      <c r="AH1" s="116" t="s">
        <v>104</v>
      </c>
      <c r="AI1" s="116" t="s">
        <v>61</v>
      </c>
      <c r="AJ1" s="116" t="s">
        <v>105</v>
      </c>
      <c r="AK1" s="116" t="s">
        <v>106</v>
      </c>
      <c r="AL1" s="116" t="s">
        <v>107</v>
      </c>
      <c r="AM1" s="116" t="s">
        <v>108</v>
      </c>
      <c r="AN1" s="117" t="s">
        <v>109</v>
      </c>
      <c r="AO1" s="116" t="s">
        <v>63</v>
      </c>
      <c r="AP1" s="116" t="s">
        <v>110</v>
      </c>
      <c r="AQ1" s="116" t="s">
        <v>111</v>
      </c>
      <c r="AR1" s="116" t="s">
        <v>112</v>
      </c>
      <c r="AS1" s="116" t="s">
        <v>113</v>
      </c>
    </row>
    <row r="2" spans="1:45">
      <c r="A2" s="118">
        <v>45745</v>
      </c>
      <c r="B2" s="107">
        <f>YEAR(Table13[[#This Row],[Date]])+IF(MONTH(Table13[[#This Row],[Date]])&gt;=4,1,0)</f>
        <v>2025</v>
      </c>
      <c r="C2" s="105">
        <f>YEAR(Table13[[#This Row],[Date]])</f>
        <v>2025</v>
      </c>
      <c r="D2" s="119">
        <f>Table13[[#This Row],[Date]]-DAY(Table13[[#This Row],[Date]])+1</f>
        <v>45717</v>
      </c>
      <c r="E2" s="105">
        <f t="shared" ref="E2:E35" si="0">DAY(EOMONTH(A2,0))</f>
        <v>31</v>
      </c>
      <c r="F2" s="108"/>
      <c r="G2" s="109"/>
      <c r="H2" s="109"/>
      <c r="I2" s="109"/>
      <c r="J2" s="109"/>
      <c r="K2" s="120"/>
      <c r="L2" s="109"/>
      <c r="M2" s="109">
        <f>IFERROR(_xlfn.XLOOKUP($A2,Input_Raw!$A:$A,Input_Raw!CG:CG),"")</f>
        <v>3.5474358974358982</v>
      </c>
      <c r="N2" s="109">
        <f>IFERROR(_xlfn.XLOOKUP($A2,Input_Raw!$A:$A,Input_Raw!CH:CH),"")</f>
        <v>0</v>
      </c>
      <c r="O2" s="121" t="str">
        <f t="shared" ref="O2:O36" si="1">IFERROR(P2*Q2,"")</f>
        <v/>
      </c>
      <c r="P2" s="121" t="str">
        <f>IFERROR(1-SUMIF(WTG_BD!$F:$F,$A2,WTG_BD!$AA:$AA)/($AA2+SUMIF(WTG_BD!$F:$F,$A2,WTG_BD!$AA:$AA)),"")</f>
        <v/>
      </c>
      <c r="Q2" s="122" t="str">
        <f>IFERROR(1-SUMIF(IGA_BD!$F:$F,$A2,IGA_BD!$V:$V)/($AA2+SUMIF(IGA_BD!$F:$F,$A2,IGA_BD!$V:$V)),"")</f>
        <v/>
      </c>
      <c r="R2" s="127" t="str">
        <f>IFERROR(1-SUMIF(Grid_BD!$F:$F,$A2,Grid_BD!$X:$X)/($AA2+SUMIF(Grid_BD!$F:$F,$A2,Grid_BD!$X:$X)),"")</f>
        <v/>
      </c>
      <c r="S2" s="105"/>
      <c r="T2" s="122"/>
      <c r="U2" s="123"/>
      <c r="V2" s="105"/>
      <c r="W2" s="124" t="str">
        <f>IFERROR(Table13[[#This Row],[Mtr_Net_Exp (KWh)]]/(24*AR2*1000),"")</f>
        <v/>
      </c>
      <c r="X2" s="105">
        <f>IFERROR(_xlfn.XLOOKUP($A2,Input_Raw!$A:$A,Input_Raw!$CF:$CF),"")</f>
        <v>125761</v>
      </c>
      <c r="Y2" s="105" t="str">
        <f>IFERROR(_xlfn.XLOOKUP($A2,Input_Raw!$A:$A,Input_Raw!$CZ:$CZ),"")</f>
        <v/>
      </c>
      <c r="Z2" s="105" t="str">
        <f>IFERROR(_xlfn.XLOOKUP($A2,Input_Raw!$A:$A,Input_Raw!$DA:$DA),"")</f>
        <v/>
      </c>
      <c r="AA2" s="107" t="str">
        <f t="shared" ref="AA2:AA35" si="2">IFERROR(Y2-Z2,"")</f>
        <v/>
      </c>
      <c r="AB2" s="105">
        <f>IFERROR(_xlfn.XLOOKUP($A2,Input_Raw!$A:$A,Input_Raw!$DG:$DG),"")</f>
        <v>80</v>
      </c>
      <c r="AC2" s="125">
        <f>IFERROR(_xlfn.XLOOKUP($D2,'Modelling New'!$D:$D,'Modelling New'!$J:$J),"")</f>
        <v>4.5999999999999996</v>
      </c>
      <c r="AD2" s="107">
        <f>IFERROR(_xlfn.XLOOKUP($D2,'Modelling New'!$D:$D,'Modelling New'!$T:$T)*1000,"")</f>
        <v>257758.06451612903</v>
      </c>
      <c r="AE2" s="124"/>
      <c r="AF2" s="124">
        <f>IFERROR(_xlfn.XLOOKUP($D2,'Modelling New'!$D:$D,'Modelling New'!$W:$W),"")</f>
        <v>0.13424899193548387</v>
      </c>
      <c r="AG2" s="124">
        <f>IFERROR(_xlfn.XLOOKUP($D2,'Modelling New'!$D:$D,'Modelling New'!$AE:$AE),"")</f>
        <v>0.96029999999999993</v>
      </c>
      <c r="AH2" s="124">
        <f>IFERROR(_xlfn.XLOOKUP($D2,'Modelling New'!$D:$D,'Modelling New'!$AF:$AF),"")</f>
        <v>0.995</v>
      </c>
      <c r="AI2" s="105">
        <f>IFERROR(_xlfn.XLOOKUP($A2,Input_Raw!$A:$A,Input_Raw!$DE:$DE),"")</f>
        <v>0</v>
      </c>
      <c r="AJ2" s="105"/>
      <c r="AK2" s="105"/>
      <c r="AL2" s="105"/>
      <c r="AM2" s="105"/>
      <c r="AN2" s="126">
        <f>IFERROR(_xlfn.XLOOKUP($A2,Input_Raw!$A:$A,Input_Raw!$DB:$DB),"")</f>
        <v>0</v>
      </c>
      <c r="AO2" s="124">
        <f>IFERROR((_xlfn.XLOOKUP($A2,'WTG Reactive Power'!$A:$A,'WTG Reactive Power'!$AR:$AR))/X2/1000,"")</f>
        <v>0</v>
      </c>
      <c r="AP2" s="124">
        <f>IFERROR(_xlfn.XLOOKUP($D2,'Modelling New'!$D:$D,'Modelling New'!$AK:$AK),"")</f>
        <v>0.05</v>
      </c>
      <c r="AQ2" s="124">
        <f>IFERROR(_xlfn.XLOOKUP($D2,'Modelling New'!$D:$D,'Modelling New'!$AL:$AL),"")</f>
        <v>0.05</v>
      </c>
      <c r="AR2">
        <f>IFERROR(_xlfn.XLOOKUP($D2,'Modelling New'!$D:$D,'Modelling New'!$N:$N),"")</f>
        <v>80</v>
      </c>
    </row>
    <row r="3" spans="1:45">
      <c r="A3" s="118">
        <f t="shared" ref="A3:A37" si="3">A2+1</f>
        <v>45746</v>
      </c>
      <c r="B3" s="107">
        <f>YEAR(Table13[[#This Row],[Date]])+IF(MONTH(Table13[[#This Row],[Date]])&gt;=4,1,0)</f>
        <v>2025</v>
      </c>
      <c r="C3" s="105">
        <f>YEAR(Table13[[#This Row],[Date]])</f>
        <v>2025</v>
      </c>
      <c r="D3" s="119">
        <f>Table13[[#This Row],[Date]]-DAY(Table13[[#This Row],[Date]])+1</f>
        <v>45717</v>
      </c>
      <c r="E3" s="105">
        <f t="shared" si="0"/>
        <v>31</v>
      </c>
      <c r="F3" s="108"/>
      <c r="G3" s="109"/>
      <c r="H3" s="109"/>
      <c r="I3" s="109"/>
      <c r="J3" s="109"/>
      <c r="K3" s="120"/>
      <c r="L3" s="109"/>
      <c r="M3" s="109">
        <f>IFERROR(_xlfn.XLOOKUP($A3,Input_Raw!$A:$A,Input_Raw!CG:CG),"")</f>
        <v>3.5682051282051273</v>
      </c>
      <c r="N3" s="109">
        <f>IFERROR(_xlfn.XLOOKUP($A3,Input_Raw!$A:$A,Input_Raw!CH:CH),"")</f>
        <v>0</v>
      </c>
      <c r="O3" s="121">
        <f t="shared" si="1"/>
        <v>0.92812029492023151</v>
      </c>
      <c r="P3" s="121">
        <f>IFERROR(1-SUMIF(WTG_BD!$F:$F,$A3,WTG_BD!$AA:$AA)/($AA3+SUMIF(WTG_BD!$F:$F,$A3,WTG_BD!$AA:$AA)),"")</f>
        <v>0.92812029492023151</v>
      </c>
      <c r="Q3" s="122">
        <f>IFERROR(1-SUMIF(IGA_BD!$F:$F,$A3,IGA_BD!$V:$V)/($AA3+SUMIF(IGA_BD!$F:$F,$A3,IGA_BD!$V:$V)),"")</f>
        <v>1</v>
      </c>
      <c r="R3" s="127">
        <f>IFERROR(1-SUMIF(Grid_BD!$F:$F,$A3,Grid_BD!$X:$X)/($AA3+SUMIF(Grid_BD!$F:$F,$A3,Grid_BD!$X:$X)),"")</f>
        <v>1</v>
      </c>
      <c r="S3" s="105"/>
      <c r="T3" s="122"/>
      <c r="U3" s="123"/>
      <c r="V3" s="105"/>
      <c r="W3" s="124">
        <f>IFERROR(Table13[[#This Row],[Mtr_Net_Exp (KWh)]]/(24*AR3*1000),"")</f>
        <v>4.9375000000000002E-2</v>
      </c>
      <c r="X3" s="105">
        <f>IFERROR(_xlfn.XLOOKUP($A3,Input_Raw!$A:$A,Input_Raw!$CF:$CF),"")</f>
        <v>111431</v>
      </c>
      <c r="Y3" s="105">
        <f>IFERROR(_xlfn.XLOOKUP($A3,Input_Raw!$A:$A,Input_Raw!$CZ:$CZ),"")</f>
        <v>99600</v>
      </c>
      <c r="Z3" s="105">
        <f>IFERROR(_xlfn.XLOOKUP($A3,Input_Raw!$A:$A,Input_Raw!$DA:$DA),"")</f>
        <v>4800</v>
      </c>
      <c r="AA3" s="107">
        <f t="shared" si="2"/>
        <v>94800</v>
      </c>
      <c r="AB3" s="105">
        <f>IFERROR(_xlfn.XLOOKUP($A3,Input_Raw!$A:$A,Input_Raw!$DG:$DG),"")</f>
        <v>80</v>
      </c>
      <c r="AC3" s="125">
        <f>IFERROR(_xlfn.XLOOKUP($D3,'Modelling New'!$D:$D,'Modelling New'!$J:$J),"")</f>
        <v>4.5999999999999996</v>
      </c>
      <c r="AD3" s="107">
        <f>IFERROR(_xlfn.XLOOKUP($D3,'Modelling New'!$D:$D,'Modelling New'!$T:$T)*1000,"")</f>
        <v>257758.06451612903</v>
      </c>
      <c r="AE3" s="124"/>
      <c r="AF3" s="124">
        <f>IFERROR(_xlfn.XLOOKUP($D3,'Modelling New'!$D:$D,'Modelling New'!$W:$W),"")</f>
        <v>0.13424899193548387</v>
      </c>
      <c r="AG3" s="124">
        <f>IFERROR(_xlfn.XLOOKUP($D3,'Modelling New'!$D:$D,'Modelling New'!$AE:$AE),"")</f>
        <v>0.96029999999999993</v>
      </c>
      <c r="AH3" s="124">
        <f>IFERROR(_xlfn.XLOOKUP($D3,'Modelling New'!$D:$D,'Modelling New'!$AF:$AF),"")</f>
        <v>0.995</v>
      </c>
      <c r="AI3" s="105">
        <f>IFERROR(_xlfn.XLOOKUP($A3,Input_Raw!$A:$A,Input_Raw!$DE:$DE),"")</f>
        <v>0</v>
      </c>
      <c r="AJ3" s="105"/>
      <c r="AK3" s="105"/>
      <c r="AL3" s="105"/>
      <c r="AM3" s="105"/>
      <c r="AN3" s="126">
        <f>IFERROR(_xlfn.XLOOKUP($A3,Input_Raw!$A:$A,Input_Raw!$DB:$DB),"")</f>
        <v>0.10617332699159121</v>
      </c>
      <c r="AO3" s="124">
        <f>IFERROR((_xlfn.XLOOKUP($A3,'WTG Reactive Power'!$A:$A,'WTG Reactive Power'!$AR:$AR))/X3/1000,"")</f>
        <v>0</v>
      </c>
      <c r="AP3" s="124">
        <f>IFERROR(_xlfn.XLOOKUP($D3,'Modelling New'!$D:$D,'Modelling New'!$AK:$AK),"")</f>
        <v>0.05</v>
      </c>
      <c r="AQ3" s="124">
        <f>IFERROR(_xlfn.XLOOKUP($D3,'Modelling New'!$D:$D,'Modelling New'!$AL:$AL),"")</f>
        <v>0.05</v>
      </c>
      <c r="AR3">
        <f>IFERROR(_xlfn.XLOOKUP($D3,'Modelling New'!$D:$D,'Modelling New'!$N:$N),"")</f>
        <v>80</v>
      </c>
    </row>
    <row r="4" spans="1:45">
      <c r="A4" s="118">
        <f t="shared" si="3"/>
        <v>45747</v>
      </c>
      <c r="B4" s="107">
        <f>YEAR(Table13[[#This Row],[Date]])+IF(MONTH(Table13[[#This Row],[Date]])&gt;=4,1,0)</f>
        <v>2025</v>
      </c>
      <c r="C4" s="105">
        <f>YEAR(Table13[[#This Row],[Date]])</f>
        <v>2025</v>
      </c>
      <c r="D4" s="119">
        <f>Table13[[#This Row],[Date]]-DAY(Table13[[#This Row],[Date]])+1</f>
        <v>45717</v>
      </c>
      <c r="E4" s="105">
        <f t="shared" si="0"/>
        <v>31</v>
      </c>
      <c r="F4" s="108"/>
      <c r="G4" s="109"/>
      <c r="H4" s="109"/>
      <c r="I4" s="109"/>
      <c r="J4" s="109"/>
      <c r="K4" s="120"/>
      <c r="L4" s="109"/>
      <c r="M4" s="109">
        <f>IFERROR(_xlfn.XLOOKUP($A4,Input_Raw!$A:$A,Input_Raw!CG:CG),"")</f>
        <v>4.3910256410256414</v>
      </c>
      <c r="N4" s="109">
        <f>IFERROR(_xlfn.XLOOKUP($A4,Input_Raw!$A:$A,Input_Raw!CH:CH),"")</f>
        <v>0</v>
      </c>
      <c r="O4" s="121">
        <f t="shared" si="1"/>
        <v>0.88583219706992067</v>
      </c>
      <c r="P4" s="121">
        <f>IFERROR(1-SUMIF(WTG_BD!$F:$F,$A4,WTG_BD!$AA:$AA)/($AA4+SUMIF(WTG_BD!$F:$F,$A4,WTG_BD!$AA:$AA)),"")</f>
        <v>0.88790056532394868</v>
      </c>
      <c r="Q4" s="122">
        <f>IFERROR(1-SUMIF(IGA_BD!$F:$F,$A4,IGA_BD!$V:$V)/($AA4+SUMIF(IGA_BD!$F:$F,$A4,IGA_BD!$V:$V)),"")</f>
        <v>0.99767049562213828</v>
      </c>
      <c r="R4" s="127">
        <f>IFERROR(1-SUMIF(Grid_BD!$F:$F,$A4,Grid_BD!$X:$X)/($AA4+SUMIF(Grid_BD!$F:$F,$A4,Grid_BD!$X:$X)),"")</f>
        <v>1</v>
      </c>
      <c r="S4" s="105"/>
      <c r="T4" s="122"/>
      <c r="U4" s="123"/>
      <c r="V4" s="105"/>
      <c r="W4" s="124">
        <f>IFERROR(Table13[[#This Row],[Mtr_Net_Exp (KWh)]]/(24*AR4*1000),"")</f>
        <v>0.12937499999999999</v>
      </c>
      <c r="X4" s="105">
        <f>IFERROR(_xlfn.XLOOKUP($A4,Input_Raw!$A:$A,Input_Raw!$CF:$CF),"")</f>
        <v>258117</v>
      </c>
      <c r="Y4" s="105">
        <f>IFERROR(_xlfn.XLOOKUP($A4,Input_Raw!$A:$A,Input_Raw!$CZ:$CZ),"")</f>
        <v>250800</v>
      </c>
      <c r="Z4" s="105">
        <f>IFERROR(_xlfn.XLOOKUP($A4,Input_Raw!$A:$A,Input_Raw!$DA:$DA),"")</f>
        <v>2400</v>
      </c>
      <c r="AA4" s="107">
        <f t="shared" si="2"/>
        <v>248400</v>
      </c>
      <c r="AB4" s="105">
        <f>IFERROR(_xlfn.XLOOKUP($A4,Input_Raw!$A:$A,Input_Raw!$DG:$DG),"")</f>
        <v>80</v>
      </c>
      <c r="AC4" s="125">
        <f>IFERROR(_xlfn.XLOOKUP($D4,'Modelling New'!$D:$D,'Modelling New'!$J:$J),"")</f>
        <v>4.5999999999999996</v>
      </c>
      <c r="AD4" s="107">
        <f>IFERROR(_xlfn.XLOOKUP($D4,'Modelling New'!$D:$D,'Modelling New'!$T:$T)*1000,"")</f>
        <v>257758.06451612903</v>
      </c>
      <c r="AE4" s="124"/>
      <c r="AF4" s="124">
        <f>IFERROR(_xlfn.XLOOKUP($D4,'Modelling New'!$D:$D,'Modelling New'!$W:$W),"")</f>
        <v>0.13424899193548387</v>
      </c>
      <c r="AG4" s="124">
        <f>IFERROR(_xlfn.XLOOKUP($D4,'Modelling New'!$D:$D,'Modelling New'!$AE:$AE),"")</f>
        <v>0.96029999999999993</v>
      </c>
      <c r="AH4" s="124">
        <f>IFERROR(_xlfn.XLOOKUP($D4,'Modelling New'!$D:$D,'Modelling New'!$AF:$AF),"")</f>
        <v>0.995</v>
      </c>
      <c r="AI4" s="105">
        <f>IFERROR(_xlfn.XLOOKUP($A4,Input_Raw!$A:$A,Input_Raw!$DE:$DE),"")</f>
        <v>0</v>
      </c>
      <c r="AJ4" s="105"/>
      <c r="AK4" s="105"/>
      <c r="AL4" s="105"/>
      <c r="AM4" s="105"/>
      <c r="AN4" s="126">
        <f>IFERROR(_xlfn.XLOOKUP($A4,Input_Raw!$A:$A,Input_Raw!$DB:$DB),"")</f>
        <v>2.8347609804855955E-2</v>
      </c>
      <c r="AO4" s="124">
        <f>IFERROR((_xlfn.XLOOKUP($A4,'WTG Reactive Power'!$A:$A,'WTG Reactive Power'!$AR:$AR))/X4/1000,"")</f>
        <v>1.851952074059438E-4</v>
      </c>
      <c r="AP4" s="124">
        <f>IFERROR(_xlfn.XLOOKUP($D4,'Modelling New'!$D:$D,'Modelling New'!$AK:$AK),"")</f>
        <v>0.05</v>
      </c>
      <c r="AQ4" s="124">
        <f>IFERROR(_xlfn.XLOOKUP($D4,'Modelling New'!$D:$D,'Modelling New'!$AL:$AL),"")</f>
        <v>0.05</v>
      </c>
      <c r="AR4">
        <f>IFERROR(_xlfn.XLOOKUP($D4,'Modelling New'!$D:$D,'Modelling New'!$N:$N),"")</f>
        <v>80</v>
      </c>
      <c r="AS4" s="150"/>
    </row>
    <row r="5" spans="1:45">
      <c r="A5" s="118">
        <f t="shared" si="3"/>
        <v>45748</v>
      </c>
      <c r="B5" s="107">
        <f>YEAR(Table13[[#This Row],[Date]])+IF(MONTH(Table13[[#This Row],[Date]])&gt;=4,1,0)</f>
        <v>2026</v>
      </c>
      <c r="C5" s="105">
        <f>YEAR(Table13[[#This Row],[Date]])</f>
        <v>2025</v>
      </c>
      <c r="D5" s="119">
        <f>Table13[[#This Row],[Date]]-DAY(Table13[[#This Row],[Date]])+1</f>
        <v>45748</v>
      </c>
      <c r="E5" s="105">
        <f t="shared" si="0"/>
        <v>30</v>
      </c>
      <c r="F5" s="108"/>
      <c r="G5" s="109"/>
      <c r="H5" s="109"/>
      <c r="I5" s="109"/>
      <c r="J5" s="109"/>
      <c r="K5" s="120"/>
      <c r="L5" s="109"/>
      <c r="M5" s="109">
        <f>IFERROR(_xlfn.XLOOKUP($A5,Input_Raw!$A:$A,Input_Raw!CG:CG),"")</f>
        <v>4.056923076923078</v>
      </c>
      <c r="N5" s="109">
        <f>IFERROR(_xlfn.XLOOKUP($A5,Input_Raw!$A:$A,Input_Raw!CH:CH),"")</f>
        <v>0</v>
      </c>
      <c r="O5" s="121">
        <f t="shared" si="1"/>
        <v>0.83810550456386168</v>
      </c>
      <c r="P5" s="121">
        <f>IFERROR(1-SUMIF(WTG_BD!$F:$F,$A5,WTG_BD!$AA:$AA)/($AA5+SUMIF(WTG_BD!$F:$F,$A5,WTG_BD!$AA:$AA)),"")</f>
        <v>0.85327863618012079</v>
      </c>
      <c r="Q5" s="122">
        <f>IFERROR(1-SUMIF(IGA_BD!$F:$F,$A5,IGA_BD!$V:$V)/($AA5+SUMIF(IGA_BD!$F:$F,$A5,IGA_BD!$V:$V)),"")</f>
        <v>0.98221784658270039</v>
      </c>
      <c r="R5" s="127">
        <f>IFERROR(1-SUMIF(Grid_BD!$F:$F,$A5,Grid_BD!$X:$X)/($AA5+SUMIF(Grid_BD!$F:$F,$A5,Grid_BD!$X:$X)),"")</f>
        <v>1</v>
      </c>
      <c r="S5" s="105"/>
      <c r="T5" s="122"/>
      <c r="U5" s="123"/>
      <c r="V5" s="105"/>
      <c r="W5" s="124">
        <f>IFERROR(Table13[[#This Row],[Mtr_Net_Exp (KWh)]]/(24*AR5*1000),"")</f>
        <v>0.10641025641025641</v>
      </c>
      <c r="X5" s="105">
        <f>IFERROR(_xlfn.XLOOKUP($A5,Input_Raw!$A:$A,Input_Raw!$CF:$CF),"")</f>
        <v>216864</v>
      </c>
      <c r="Y5" s="105">
        <f>IFERROR(_xlfn.XLOOKUP($A5,Input_Raw!$A:$A,Input_Raw!$CZ:$CZ),"")</f>
        <v>202800</v>
      </c>
      <c r="Z5" s="105">
        <f>IFERROR(_xlfn.XLOOKUP($A5,Input_Raw!$A:$A,Input_Raw!$DA:$DA),"")</f>
        <v>3600</v>
      </c>
      <c r="AA5" s="107">
        <f t="shared" si="2"/>
        <v>199200</v>
      </c>
      <c r="AB5" s="105">
        <f>IFERROR(_xlfn.XLOOKUP($A5,Input_Raw!$A:$A,Input_Raw!$DG:$DG),"")</f>
        <v>78</v>
      </c>
      <c r="AC5" s="125">
        <f>IFERROR(_xlfn.XLOOKUP($D5,'Modelling New'!$D:$D,'Modelling New'!$J:$J),"")</f>
        <v>5.6333333333333329</v>
      </c>
      <c r="AD5" s="107">
        <f>IFERROR(_xlfn.XLOOKUP($D5,'Modelling New'!$D:$D,'Modelling New'!$T:$T)*1000,"")</f>
        <v>340888.47260338557</v>
      </c>
      <c r="AE5" s="124"/>
      <c r="AF5" s="124">
        <f>IFERROR(_xlfn.XLOOKUP($D5,'Modelling New'!$D:$D,'Modelling New'!$W:$W),"")</f>
        <v>0.18209854305736409</v>
      </c>
      <c r="AG5" s="124">
        <f>IFERROR(_xlfn.XLOOKUP($D5,'Modelling New'!$D:$D,'Modelling New'!$AE:$AE),"")</f>
        <v>0.96029999999999993</v>
      </c>
      <c r="AH5" s="124">
        <f>IFERROR(_xlfn.XLOOKUP($D5,'Modelling New'!$D:$D,'Modelling New'!$AF:$AF),"")</f>
        <v>0.995</v>
      </c>
      <c r="AI5" s="105">
        <f>IFERROR(_xlfn.XLOOKUP($A5,Input_Raw!$A:$A,Input_Raw!$DE:$DE),"")</f>
        <v>217.953</v>
      </c>
      <c r="AJ5" s="105"/>
      <c r="AK5" s="105"/>
      <c r="AL5" s="105"/>
      <c r="AM5" s="105"/>
      <c r="AN5" s="126">
        <f>IFERROR(_xlfn.XLOOKUP($A5,Input_Raw!$A:$A,Input_Raw!$DB:$DB),"")</f>
        <v>6.4851704293935386E-2</v>
      </c>
      <c r="AO5" s="124">
        <f>IFERROR((_xlfn.XLOOKUP($A5,'WTG Reactive Power'!$A:$A,'WTG Reactive Power'!$AR:$AR))/X5/1000,"")</f>
        <v>2.2132939853241357E-4</v>
      </c>
      <c r="AP5" s="124">
        <f>IFERROR(_xlfn.XLOOKUP($D5,'Modelling New'!$D:$D,'Modelling New'!$AK:$AK),"")</f>
        <v>0.05</v>
      </c>
      <c r="AQ5" s="124">
        <f>IFERROR(_xlfn.XLOOKUP($D5,'Modelling New'!$D:$D,'Modelling New'!$AL:$AL),"")</f>
        <v>0.05</v>
      </c>
      <c r="AR5">
        <f>IFERROR(_xlfn.XLOOKUP($D5,'Modelling New'!$D:$D,'Modelling New'!$N:$N),"")</f>
        <v>78</v>
      </c>
    </row>
    <row r="6" spans="1:45">
      <c r="A6" s="118">
        <f t="shared" si="3"/>
        <v>45749</v>
      </c>
      <c r="B6" s="107">
        <f>YEAR(Table13[[#This Row],[Date]])+IF(MONTH(Table13[[#This Row],[Date]])&gt;=4,1,0)</f>
        <v>2026</v>
      </c>
      <c r="C6" s="105">
        <f>YEAR(Table13[[#This Row],[Date]])</f>
        <v>2025</v>
      </c>
      <c r="D6" s="119">
        <f>Table13[[#This Row],[Date]]-DAY(Table13[[#This Row],[Date]])+1</f>
        <v>45748</v>
      </c>
      <c r="E6" s="105">
        <f t="shared" si="0"/>
        <v>30</v>
      </c>
      <c r="F6" s="108"/>
      <c r="G6" s="109"/>
      <c r="H6" s="109"/>
      <c r="I6" s="109"/>
      <c r="J6" s="109"/>
      <c r="K6" s="120"/>
      <c r="L6" s="109"/>
      <c r="M6" s="109">
        <f>IFERROR(_xlfn.XLOOKUP($A6,Input_Raw!$A:$A,Input_Raw!CG:CG),"")</f>
        <v>5.5428205128205121</v>
      </c>
      <c r="N6" s="109">
        <f>IFERROR(_xlfn.XLOOKUP($A6,Input_Raw!$A:$A,Input_Raw!CH:CH),"")</f>
        <v>0</v>
      </c>
      <c r="O6" s="121">
        <f t="shared" si="1"/>
        <v>0.87366895837199343</v>
      </c>
      <c r="P6" s="121">
        <f>IFERROR(1-SUMIF(WTG_BD!$F:$F,$A6,WTG_BD!$AA:$AA)/($AA6+SUMIF(WTG_BD!$F:$F,$A6,WTG_BD!$AA:$AA)),"")</f>
        <v>0.88824314595658349</v>
      </c>
      <c r="Q6" s="122">
        <f>IFERROR(1-SUMIF(IGA_BD!$F:$F,$A6,IGA_BD!$V:$V)/($AA6+SUMIF(IGA_BD!$F:$F,$A6,IGA_BD!$V:$V)),"")</f>
        <v>0.98359211928520474</v>
      </c>
      <c r="R6" s="127">
        <f>IFERROR(1-SUMIF(Grid_BD!$F:$F,$A6,Grid_BD!$X:$X)/($AA6+SUMIF(Grid_BD!$F:$F,$A6,Grid_BD!$X:$X)),"")</f>
        <v>1</v>
      </c>
      <c r="S6" s="105"/>
      <c r="T6" s="122"/>
      <c r="U6" s="123"/>
      <c r="V6" s="105"/>
      <c r="W6" s="124">
        <f>IFERROR(Table13[[#This Row],[Mtr_Net_Exp (KWh)]]/(24*AR6*1000),"")</f>
        <v>0.22371794871794873</v>
      </c>
      <c r="X6" s="105">
        <f>IFERROR(_xlfn.XLOOKUP($A6,Input_Raw!$A:$A,Input_Raw!$CF:$CF),"")</f>
        <v>428910</v>
      </c>
      <c r="Y6" s="105">
        <f>IFERROR(_xlfn.XLOOKUP($A6,Input_Raw!$A:$A,Input_Raw!$CZ:$CZ),"")</f>
        <v>418800</v>
      </c>
      <c r="Z6" s="105">
        <f>IFERROR(_xlfn.XLOOKUP($A6,Input_Raw!$A:$A,Input_Raw!$DA:$DA),"")</f>
        <v>0</v>
      </c>
      <c r="AA6" s="107">
        <f t="shared" si="2"/>
        <v>418800</v>
      </c>
      <c r="AB6" s="105">
        <f>IFERROR(_xlfn.XLOOKUP($A6,Input_Raw!$A:$A,Input_Raw!$DG:$DG),"")</f>
        <v>78</v>
      </c>
      <c r="AC6" s="125">
        <f>IFERROR(_xlfn.XLOOKUP($D6,'Modelling New'!$D:$D,'Modelling New'!$J:$J),"")</f>
        <v>5.6333333333333329</v>
      </c>
      <c r="AD6" s="107">
        <f>IFERROR(_xlfn.XLOOKUP($D6,'Modelling New'!$D:$D,'Modelling New'!$T:$T)*1000,"")</f>
        <v>340888.47260338557</v>
      </c>
      <c r="AE6" s="124"/>
      <c r="AF6" s="124">
        <f>IFERROR(_xlfn.XLOOKUP($D6,'Modelling New'!$D:$D,'Modelling New'!$W:$W),"")</f>
        <v>0.18209854305736409</v>
      </c>
      <c r="AG6" s="124">
        <f>IFERROR(_xlfn.XLOOKUP($D6,'Modelling New'!$D:$D,'Modelling New'!$AE:$AE),"")</f>
        <v>0.96029999999999993</v>
      </c>
      <c r="AH6" s="124">
        <f>IFERROR(_xlfn.XLOOKUP($D6,'Modelling New'!$D:$D,'Modelling New'!$AF:$AF),"")</f>
        <v>0.995</v>
      </c>
      <c r="AI6" s="105">
        <f>IFERROR(_xlfn.XLOOKUP($A6,Input_Raw!$A:$A,Input_Raw!$DE:$DE),"")</f>
        <v>422.85899999999998</v>
      </c>
      <c r="AJ6" s="105"/>
      <c r="AK6" s="105"/>
      <c r="AL6" s="105"/>
      <c r="AM6" s="105"/>
      <c r="AN6" s="126">
        <f>IFERROR(_xlfn.XLOOKUP($A6,Input_Raw!$A:$A,Input_Raw!$DB:$DB),"")</f>
        <v>2.357137861089742E-2</v>
      </c>
      <c r="AO6" s="124">
        <f>IFERROR((_xlfn.XLOOKUP($A6,'WTG Reactive Power'!$A:$A,'WTG Reactive Power'!$AR:$AR))/X6/1000,"")</f>
        <v>1.5414116644517492E-4</v>
      </c>
      <c r="AP6" s="124">
        <f>IFERROR(_xlfn.XLOOKUP($D6,'Modelling New'!$D:$D,'Modelling New'!$AK:$AK),"")</f>
        <v>0.05</v>
      </c>
      <c r="AQ6" s="124">
        <f>IFERROR(_xlfn.XLOOKUP($D6,'Modelling New'!$D:$D,'Modelling New'!$AL:$AL),"")</f>
        <v>0.05</v>
      </c>
      <c r="AR6">
        <f>IFERROR(_xlfn.XLOOKUP($D6,'Modelling New'!$D:$D,'Modelling New'!$N:$N),"")</f>
        <v>78</v>
      </c>
    </row>
    <row r="7" spans="1:45">
      <c r="A7" s="118">
        <f t="shared" si="3"/>
        <v>45750</v>
      </c>
      <c r="B7" s="107">
        <f>YEAR(Table13[[#This Row],[Date]])+IF(MONTH(Table13[[#This Row],[Date]])&gt;=4,1,0)</f>
        <v>2026</v>
      </c>
      <c r="C7" s="105">
        <f>YEAR(Table13[[#This Row],[Date]])</f>
        <v>2025</v>
      </c>
      <c r="D7" s="119">
        <f>Table13[[#This Row],[Date]]-DAY(Table13[[#This Row],[Date]])+1</f>
        <v>45748</v>
      </c>
      <c r="E7" s="105">
        <f t="shared" si="0"/>
        <v>30</v>
      </c>
      <c r="F7" s="108"/>
      <c r="G7" s="109"/>
      <c r="H7" s="109"/>
      <c r="I7" s="109"/>
      <c r="J7" s="109"/>
      <c r="K7" s="120"/>
      <c r="L7" s="109"/>
      <c r="M7" s="109">
        <f>IFERROR(_xlfn.XLOOKUP($A7,Input_Raw!$A:$A,Input_Raw!CG:CG),"")</f>
        <v>4.3910256410256414</v>
      </c>
      <c r="N7" s="109">
        <f>IFERROR(_xlfn.XLOOKUP($A7,Input_Raw!$A:$A,Input_Raw!CH:CH),"")</f>
        <v>0</v>
      </c>
      <c r="O7" s="121">
        <f t="shared" si="1"/>
        <v>0.90000380141160463</v>
      </c>
      <c r="P7" s="121">
        <f>IFERROR(1-SUMIF(WTG_BD!$F:$F,$A7,WTG_BD!$AA:$AA)/($AA7+SUMIF(WTG_BD!$F:$F,$A7,WTG_BD!$AA:$AA)),"")</f>
        <v>0.903125780617553</v>
      </c>
      <c r="Q7" s="122">
        <f>IFERROR(1-SUMIF(IGA_BD!$F:$F,$A7,IGA_BD!$V:$V)/($AA7+SUMIF(IGA_BD!$F:$F,$A7,IGA_BD!$V:$V)),"")</f>
        <v>0.99654314019934898</v>
      </c>
      <c r="R7" s="127">
        <f>IFERROR(1-SUMIF(Grid_BD!$F:$F,$A7,Grid_BD!$X:$X)/($AA7+SUMIF(Grid_BD!$F:$F,$A7,Grid_BD!$X:$X)),"")</f>
        <v>1</v>
      </c>
      <c r="S7" s="105"/>
      <c r="T7" s="122"/>
      <c r="U7" s="123"/>
      <c r="V7" s="105"/>
      <c r="W7" s="124">
        <f>IFERROR(Table13[[#This Row],[Mtr_Net_Exp (KWh)]]/(24*AR7*1000),"")</f>
        <v>0.13205128205128205</v>
      </c>
      <c r="X7" s="105">
        <f>IFERROR(_xlfn.XLOOKUP($A7,Input_Raw!$A:$A,Input_Raw!$CF:$CF),"")</f>
        <v>257492</v>
      </c>
      <c r="Y7" s="105">
        <f>IFERROR(_xlfn.XLOOKUP($A7,Input_Raw!$A:$A,Input_Raw!$CZ:$CZ),"")</f>
        <v>250800</v>
      </c>
      <c r="Z7" s="105">
        <f>IFERROR(_xlfn.XLOOKUP($A7,Input_Raw!$A:$A,Input_Raw!$DA:$DA),"")</f>
        <v>3600</v>
      </c>
      <c r="AA7" s="107">
        <f t="shared" si="2"/>
        <v>247200</v>
      </c>
      <c r="AB7" s="105">
        <f>IFERROR(_xlfn.XLOOKUP($A7,Input_Raw!$A:$A,Input_Raw!$DG:$DG),"")</f>
        <v>78</v>
      </c>
      <c r="AC7" s="125">
        <f>IFERROR(_xlfn.XLOOKUP($D7,'Modelling New'!$D:$D,'Modelling New'!$J:$J),"")</f>
        <v>5.6333333333333329</v>
      </c>
      <c r="AD7" s="107">
        <f>IFERROR(_xlfn.XLOOKUP($D7,'Modelling New'!$D:$D,'Modelling New'!$T:$T)*1000,"")</f>
        <v>340888.47260338557</v>
      </c>
      <c r="AE7" s="124"/>
      <c r="AF7" s="124">
        <f>IFERROR(_xlfn.XLOOKUP($D7,'Modelling New'!$D:$D,'Modelling New'!$W:$W),"")</f>
        <v>0.18209854305736409</v>
      </c>
      <c r="AG7" s="124">
        <f>IFERROR(_xlfn.XLOOKUP($D7,'Modelling New'!$D:$D,'Modelling New'!$AE:$AE),"")</f>
        <v>0.96029999999999993</v>
      </c>
      <c r="AH7" s="124">
        <f>IFERROR(_xlfn.XLOOKUP($D7,'Modelling New'!$D:$D,'Modelling New'!$AF:$AF),"")</f>
        <v>0.995</v>
      </c>
      <c r="AI7" s="105">
        <f>IFERROR(_xlfn.XLOOKUP($A7,Input_Raw!$A:$A,Input_Raw!$DE:$DE),"")</f>
        <v>255.178</v>
      </c>
      <c r="AJ7" s="105"/>
      <c r="AK7" s="105"/>
      <c r="AL7" s="105"/>
      <c r="AM7" s="105"/>
      <c r="AN7" s="126">
        <f>IFERROR(_xlfn.XLOOKUP($A7,Input_Raw!$A:$A,Input_Raw!$DB:$DB),"")</f>
        <v>2.5989156944681735E-2</v>
      </c>
      <c r="AO7" s="124">
        <f>IFERROR((_xlfn.XLOOKUP($A7,'WTG Reactive Power'!$A:$A,'WTG Reactive Power'!$AR:$AR))/X7/1000,"")</f>
        <v>2.0118712374235577E-4</v>
      </c>
      <c r="AP7" s="124">
        <f>IFERROR(_xlfn.XLOOKUP($D7,'Modelling New'!$D:$D,'Modelling New'!$AK:$AK),"")</f>
        <v>0.05</v>
      </c>
      <c r="AQ7" s="124">
        <f>IFERROR(_xlfn.XLOOKUP($D7,'Modelling New'!$D:$D,'Modelling New'!$AL:$AL),"")</f>
        <v>0.05</v>
      </c>
      <c r="AR7">
        <f>IFERROR(_xlfn.XLOOKUP($D7,'Modelling New'!$D:$D,'Modelling New'!$N:$N),"")</f>
        <v>78</v>
      </c>
    </row>
    <row r="8" spans="1:45">
      <c r="A8" s="118">
        <f t="shared" si="3"/>
        <v>45751</v>
      </c>
      <c r="B8" s="107">
        <f>YEAR(Table13[[#This Row],[Date]])+IF(MONTH(Table13[[#This Row],[Date]])&gt;=4,1,0)</f>
        <v>2026</v>
      </c>
      <c r="C8" s="105">
        <f>YEAR(Table13[[#This Row],[Date]])</f>
        <v>2025</v>
      </c>
      <c r="D8" s="119">
        <f>Table13[[#This Row],[Date]]-DAY(Table13[[#This Row],[Date]])+1</f>
        <v>45748</v>
      </c>
      <c r="E8" s="105">
        <f t="shared" si="0"/>
        <v>30</v>
      </c>
      <c r="F8" s="108"/>
      <c r="G8" s="109"/>
      <c r="H8" s="109"/>
      <c r="I8" s="109"/>
      <c r="J8" s="109"/>
      <c r="K8" s="120"/>
      <c r="L8" s="109"/>
      <c r="M8" s="109">
        <f>IFERROR(_xlfn.XLOOKUP($A8,Input_Raw!$A:$A,Input_Raw!CG:CG),"")</f>
        <v>4.057948717948717</v>
      </c>
      <c r="N8" s="109">
        <f>IFERROR(_xlfn.XLOOKUP($A8,Input_Raw!$A:$A,Input_Raw!CH:CH),"")</f>
        <v>0</v>
      </c>
      <c r="O8" s="121">
        <f t="shared" si="1"/>
        <v>0.85596585328939345</v>
      </c>
      <c r="P8" s="121">
        <f>IFERROR(1-SUMIF(WTG_BD!$F:$F,$A8,WTG_BD!$AA:$AA)/($AA8+SUMIF(WTG_BD!$F:$F,$A8,WTG_BD!$AA:$AA)),"")</f>
        <v>0.85596585328939345</v>
      </c>
      <c r="Q8" s="122">
        <f>IFERROR(1-SUMIF(IGA_BD!$F:$F,$A8,IGA_BD!$V:$V)/($AA8+SUMIF(IGA_BD!$F:$F,$A8,IGA_BD!$V:$V)),"")</f>
        <v>1</v>
      </c>
      <c r="R8" s="127">
        <f>IFERROR(1-SUMIF(Grid_BD!$F:$F,$A8,Grid_BD!$X:$X)/($AA8+SUMIF(Grid_BD!$F:$F,$A8,Grid_BD!$X:$X)),"")</f>
        <v>1</v>
      </c>
      <c r="S8" s="105"/>
      <c r="T8" s="122"/>
      <c r="U8" s="123"/>
      <c r="V8" s="105"/>
      <c r="W8" s="124">
        <f>IFERROR(Table13[[#This Row],[Mtr_Net_Exp (KWh)]]/(24*AR8*1000),"")</f>
        <v>7.4999999999999997E-2</v>
      </c>
      <c r="X8" s="105">
        <f>IFERROR(_xlfn.XLOOKUP($A8,Input_Raw!$A:$A,Input_Raw!$CF:$CF),"")</f>
        <v>161561</v>
      </c>
      <c r="Y8" s="105">
        <f>IFERROR(_xlfn.XLOOKUP($A8,Input_Raw!$A:$A,Input_Raw!$CZ:$CZ),"")</f>
        <v>144000</v>
      </c>
      <c r="Z8" s="105">
        <f>IFERROR(_xlfn.XLOOKUP($A8,Input_Raw!$A:$A,Input_Raw!$DA:$DA),"")</f>
        <v>3600</v>
      </c>
      <c r="AA8" s="107">
        <f t="shared" si="2"/>
        <v>140400</v>
      </c>
      <c r="AB8" s="105">
        <f>IFERROR(_xlfn.XLOOKUP($A8,Input_Raw!$A:$A,Input_Raw!$DG:$DG),"")</f>
        <v>78</v>
      </c>
      <c r="AC8" s="125">
        <f>IFERROR(_xlfn.XLOOKUP($D8,'Modelling New'!$D:$D,'Modelling New'!$J:$J),"")</f>
        <v>5.6333333333333329</v>
      </c>
      <c r="AD8" s="107">
        <f>IFERROR(_xlfn.XLOOKUP($D8,'Modelling New'!$D:$D,'Modelling New'!$T:$T)*1000,"")</f>
        <v>340888.47260338557</v>
      </c>
      <c r="AE8" s="124"/>
      <c r="AF8" s="124">
        <f>IFERROR(_xlfn.XLOOKUP($D8,'Modelling New'!$D:$D,'Modelling New'!$W:$W),"")</f>
        <v>0.18209854305736409</v>
      </c>
      <c r="AG8" s="124">
        <f>IFERROR(_xlfn.XLOOKUP($D8,'Modelling New'!$D:$D,'Modelling New'!$AE:$AE),"")</f>
        <v>0.96029999999999993</v>
      </c>
      <c r="AH8" s="124">
        <f>IFERROR(_xlfn.XLOOKUP($D8,'Modelling New'!$D:$D,'Modelling New'!$AF:$AF),"")</f>
        <v>0.995</v>
      </c>
      <c r="AI8" s="105">
        <f>IFERROR(_xlfn.XLOOKUP($A8,Input_Raw!$A:$A,Input_Raw!$DE:$DE),"")</f>
        <v>165.1</v>
      </c>
      <c r="AJ8" s="105"/>
      <c r="AK8" s="105"/>
      <c r="AL8" s="105"/>
      <c r="AM8" s="105"/>
      <c r="AN8" s="126">
        <f>IFERROR(_xlfn.XLOOKUP($A8,Input_Raw!$A:$A,Input_Raw!$DB:$DB),"")</f>
        <v>0.10869578673070857</v>
      </c>
      <c r="AO8" s="124">
        <f>IFERROR((_xlfn.XLOOKUP($A8,'WTG Reactive Power'!$A:$A,'WTG Reactive Power'!$AR:$AR))/X8/1000,"")</f>
        <v>2.8019829765021676E-4</v>
      </c>
      <c r="AP8" s="124">
        <f>IFERROR(_xlfn.XLOOKUP($D8,'Modelling New'!$D:$D,'Modelling New'!$AK:$AK),"")</f>
        <v>0.05</v>
      </c>
      <c r="AQ8" s="124">
        <f>IFERROR(_xlfn.XLOOKUP($D8,'Modelling New'!$D:$D,'Modelling New'!$AL:$AL),"")</f>
        <v>0.05</v>
      </c>
      <c r="AR8">
        <f>IFERROR(_xlfn.XLOOKUP($D8,'Modelling New'!$D:$D,'Modelling New'!$N:$N),"")</f>
        <v>78</v>
      </c>
    </row>
    <row r="9" spans="1:45">
      <c r="A9" s="118">
        <f t="shared" si="3"/>
        <v>45752</v>
      </c>
      <c r="B9" s="107">
        <f>YEAR(Table13[[#This Row],[Date]])+IF(MONTH(Table13[[#This Row],[Date]])&gt;=4,1,0)</f>
        <v>2026</v>
      </c>
      <c r="C9" s="105">
        <f>YEAR(Table13[[#This Row],[Date]])</f>
        <v>2025</v>
      </c>
      <c r="D9" s="119">
        <f>Table13[[#This Row],[Date]]-DAY(Table13[[#This Row],[Date]])+1</f>
        <v>45748</v>
      </c>
      <c r="E9" s="105">
        <f t="shared" si="0"/>
        <v>30</v>
      </c>
      <c r="F9" s="108"/>
      <c r="G9" s="109"/>
      <c r="H9" s="109"/>
      <c r="I9" s="109"/>
      <c r="J9" s="109"/>
      <c r="K9" s="120"/>
      <c r="L9" s="109"/>
      <c r="M9" s="109">
        <f>IFERROR(_xlfn.XLOOKUP($A9,Input_Raw!$A:$A,Input_Raw!CG:CG),"")</f>
        <v>2.9131756820653378</v>
      </c>
      <c r="N9" s="109">
        <f>IFERROR(_xlfn.XLOOKUP($A9,Input_Raw!$A:$A,Input_Raw!CH:CH),"")</f>
        <v>0</v>
      </c>
      <c r="O9" s="121">
        <f t="shared" si="1"/>
        <v>0.92495844573013719</v>
      </c>
      <c r="P9" s="121">
        <f>IFERROR(1-SUMIF(WTG_BD!$F:$F,$A9,WTG_BD!$AA:$AA)/($AA9+SUMIF(WTG_BD!$F:$F,$A9,WTG_BD!$AA:$AA)),"")</f>
        <v>0.92495844573013719</v>
      </c>
      <c r="Q9" s="122">
        <f>IFERROR(1-SUMIF(IGA_BD!$F:$F,$A9,IGA_BD!$V:$V)/($AA9+SUMIF(IGA_BD!$F:$F,$A9,IGA_BD!$V:$V)),"")</f>
        <v>1</v>
      </c>
      <c r="R9" s="127">
        <f>IFERROR(1-SUMIF(Grid_BD!$F:$F,$A9,Grid_BD!$X:$X)/($AA9+SUMIF(Grid_BD!$F:$F,$A9,Grid_BD!$X:$X)),"")</f>
        <v>1</v>
      </c>
      <c r="S9" s="105"/>
      <c r="T9" s="122"/>
      <c r="U9" s="123"/>
      <c r="V9" s="105"/>
      <c r="W9" s="124">
        <f>IFERROR(Table13[[#This Row],[Mtr_Net_Exp (KWh)]]/(24*AR9*1000),"")</f>
        <v>3.7820512820512818E-2</v>
      </c>
      <c r="X9" s="105">
        <f>IFERROR(_xlfn.XLOOKUP($A9,Input_Raw!$A:$A,Input_Raw!$CF:$CF),"")</f>
        <v>81163</v>
      </c>
      <c r="Y9" s="105">
        <f>IFERROR(_xlfn.XLOOKUP($A9,Input_Raw!$A:$A,Input_Raw!$CZ:$CZ),"")</f>
        <v>75600</v>
      </c>
      <c r="Z9" s="105">
        <f>IFERROR(_xlfn.XLOOKUP($A9,Input_Raw!$A:$A,Input_Raw!$DA:$DA),"")</f>
        <v>4800</v>
      </c>
      <c r="AA9" s="107">
        <f t="shared" si="2"/>
        <v>70800</v>
      </c>
      <c r="AB9" s="105">
        <f>IFERROR(_xlfn.XLOOKUP($A9,Input_Raw!$A:$A,Input_Raw!$DG:$DG),"")</f>
        <v>78</v>
      </c>
      <c r="AC9" s="125">
        <f>IFERROR(_xlfn.XLOOKUP($D9,'Modelling New'!$D:$D,'Modelling New'!$J:$J),"")</f>
        <v>5.6333333333333329</v>
      </c>
      <c r="AD9" s="107">
        <f>IFERROR(_xlfn.XLOOKUP($D9,'Modelling New'!$D:$D,'Modelling New'!$T:$T)*1000,"")</f>
        <v>340888.47260338557</v>
      </c>
      <c r="AE9" s="124"/>
      <c r="AF9" s="124">
        <f>IFERROR(_xlfn.XLOOKUP($D9,'Modelling New'!$D:$D,'Modelling New'!$W:$W),"")</f>
        <v>0.18209854305736409</v>
      </c>
      <c r="AG9" s="124">
        <f>IFERROR(_xlfn.XLOOKUP($D9,'Modelling New'!$D:$D,'Modelling New'!$AE:$AE),"")</f>
        <v>0.96029999999999993</v>
      </c>
      <c r="AH9" s="124">
        <f>IFERROR(_xlfn.XLOOKUP($D9,'Modelling New'!$D:$D,'Modelling New'!$AF:$AF),"")</f>
        <v>0.995</v>
      </c>
      <c r="AI9" s="105">
        <f>IFERROR(_xlfn.XLOOKUP($A9,Input_Raw!$A:$A,Input_Raw!$DE:$DE),"")</f>
        <v>77.212000000000003</v>
      </c>
      <c r="AJ9" s="105"/>
      <c r="AK9" s="105"/>
      <c r="AL9" s="105"/>
      <c r="AM9" s="105"/>
      <c r="AN9" s="126">
        <f>IFERROR(_xlfn.XLOOKUP($A9,Input_Raw!$A:$A,Input_Raw!$DB:$DB),"")</f>
        <v>6.8541083991473961E-2</v>
      </c>
      <c r="AO9" s="124">
        <f>IFERROR((_xlfn.XLOOKUP($A9,'WTG Reactive Power'!$A:$A,'WTG Reactive Power'!$AR:$AR))/X9/1000,"")</f>
        <v>9.4278173551987944E-4</v>
      </c>
      <c r="AP9" s="124">
        <f>IFERROR(_xlfn.XLOOKUP($D9,'Modelling New'!$D:$D,'Modelling New'!$AK:$AK),"")</f>
        <v>0.05</v>
      </c>
      <c r="AQ9" s="124">
        <f>IFERROR(_xlfn.XLOOKUP($D9,'Modelling New'!$D:$D,'Modelling New'!$AL:$AL),"")</f>
        <v>0.05</v>
      </c>
      <c r="AR9">
        <f>IFERROR(_xlfn.XLOOKUP($D9,'Modelling New'!$D:$D,'Modelling New'!$N:$N),"")</f>
        <v>78</v>
      </c>
    </row>
    <row r="10" spans="1:45">
      <c r="A10" s="118">
        <f t="shared" si="3"/>
        <v>45753</v>
      </c>
      <c r="B10" s="107">
        <f>YEAR(Table13[[#This Row],[Date]])+IF(MONTH(Table13[[#This Row],[Date]])&gt;=4,1,0)</f>
        <v>2026</v>
      </c>
      <c r="C10" s="105">
        <f>YEAR(Table13[[#This Row],[Date]])</f>
        <v>2025</v>
      </c>
      <c r="D10" s="119">
        <f>Table13[[#This Row],[Date]]-DAY(Table13[[#This Row],[Date]])+1</f>
        <v>45748</v>
      </c>
      <c r="E10" s="105">
        <f t="shared" si="0"/>
        <v>30</v>
      </c>
      <c r="F10" s="108"/>
      <c r="G10" s="109"/>
      <c r="H10" s="109"/>
      <c r="I10" s="109"/>
      <c r="J10" s="109"/>
      <c r="K10" s="120"/>
      <c r="L10" s="109"/>
      <c r="M10" s="109">
        <f>IFERROR(_xlfn.XLOOKUP($A10,Input_Raw!$A:$A,Input_Raw!CG:CG),"")</f>
        <v>3.3879487179487193</v>
      </c>
      <c r="N10" s="109">
        <f>IFERROR(_xlfn.XLOOKUP($A10,Input_Raw!$A:$A,Input_Raw!CH:CH),"")</f>
        <v>0</v>
      </c>
      <c r="O10" s="121">
        <f t="shared" si="1"/>
        <v>0.91343384344381273</v>
      </c>
      <c r="P10" s="121">
        <f>IFERROR(1-SUMIF(WTG_BD!$F:$F,$A10,WTG_BD!$AA:$AA)/($AA10+SUMIF(WTG_BD!$F:$F,$A10,WTG_BD!$AA:$AA)),"")</f>
        <v>0.91343384344381273</v>
      </c>
      <c r="Q10" s="122">
        <f>IFERROR(1-SUMIF(IGA_BD!$F:$F,$A10,IGA_BD!$V:$V)/($AA10+SUMIF(IGA_BD!$F:$F,$A10,IGA_BD!$V:$V)),"")</f>
        <v>1</v>
      </c>
      <c r="R10" s="127">
        <f>IFERROR(1-SUMIF(Grid_BD!$F:$F,$A10,Grid_BD!$X:$X)/($AA10+SUMIF(Grid_BD!$F:$F,$A10,Grid_BD!$X:$X)),"")</f>
        <v>1</v>
      </c>
      <c r="S10" s="105"/>
      <c r="T10" s="122"/>
      <c r="U10" s="123"/>
      <c r="V10" s="105"/>
      <c r="W10" s="124">
        <f>IFERROR(Table13[[#This Row],[Mtr_Net_Exp (KWh)]]/(24*AR10*1000),"")</f>
        <v>5.3846153846153849E-2</v>
      </c>
      <c r="X10" s="105">
        <f>IFERROR(_xlfn.XLOOKUP($A10,Input_Raw!$A:$A,Input_Raw!$CF:$CF),"")</f>
        <v>111449</v>
      </c>
      <c r="Y10" s="105">
        <f>IFERROR(_xlfn.XLOOKUP($A10,Input_Raw!$A:$A,Input_Raw!$CZ:$CZ),"")</f>
        <v>104400</v>
      </c>
      <c r="Z10" s="105">
        <f>IFERROR(_xlfn.XLOOKUP($A10,Input_Raw!$A:$A,Input_Raw!$DA:$DA),"")</f>
        <v>3600</v>
      </c>
      <c r="AA10" s="107">
        <f t="shared" si="2"/>
        <v>100800</v>
      </c>
      <c r="AB10" s="105">
        <f>IFERROR(_xlfn.XLOOKUP($A10,Input_Raw!$A:$A,Input_Raw!$DG:$DG),"")</f>
        <v>78</v>
      </c>
      <c r="AC10" s="125">
        <f>IFERROR(_xlfn.XLOOKUP($D10,'Modelling New'!$D:$D,'Modelling New'!$J:$J),"")</f>
        <v>5.6333333333333329</v>
      </c>
      <c r="AD10" s="107">
        <f>IFERROR(_xlfn.XLOOKUP($D10,'Modelling New'!$D:$D,'Modelling New'!$T:$T)*1000,"")</f>
        <v>340888.47260338557</v>
      </c>
      <c r="AE10" s="124"/>
      <c r="AF10" s="124">
        <f>IFERROR(_xlfn.XLOOKUP($D10,'Modelling New'!$D:$D,'Modelling New'!$W:$W),"")</f>
        <v>0.18209854305736409</v>
      </c>
      <c r="AG10" s="124">
        <f>IFERROR(_xlfn.XLOOKUP($D10,'Modelling New'!$D:$D,'Modelling New'!$AE:$AE),"")</f>
        <v>0.96029999999999993</v>
      </c>
      <c r="AH10" s="124">
        <f>IFERROR(_xlfn.XLOOKUP($D10,'Modelling New'!$D:$D,'Modelling New'!$AF:$AF),"")</f>
        <v>0.995</v>
      </c>
      <c r="AI10" s="105">
        <f>IFERROR(_xlfn.XLOOKUP($A10,Input_Raw!$A:$A,Input_Raw!$DE:$DE),"")</f>
        <v>106.01900000000001</v>
      </c>
      <c r="AJ10" s="105"/>
      <c r="AK10" s="105"/>
      <c r="AL10" s="105"/>
      <c r="AM10" s="105"/>
      <c r="AN10" s="126">
        <f>IFERROR(_xlfn.XLOOKUP($A10,Input_Raw!$A:$A,Input_Raw!$DB:$DB),"")</f>
        <v>6.3248660822438962E-2</v>
      </c>
      <c r="AO10" s="124">
        <f>IFERROR((_xlfn.XLOOKUP($A10,'WTG Reactive Power'!$A:$A,'WTG Reactive Power'!$AR:$AR))/X10/1000,"")</f>
        <v>3.9601172045808689E-4</v>
      </c>
      <c r="AP10" s="124">
        <f>IFERROR(_xlfn.XLOOKUP($D10,'Modelling New'!$D:$D,'Modelling New'!$AK:$AK),"")</f>
        <v>0.05</v>
      </c>
      <c r="AQ10" s="124">
        <f>IFERROR(_xlfn.XLOOKUP($D10,'Modelling New'!$D:$D,'Modelling New'!$AL:$AL),"")</f>
        <v>0.05</v>
      </c>
      <c r="AR10">
        <f>IFERROR(_xlfn.XLOOKUP($D10,'Modelling New'!$D:$D,'Modelling New'!$N:$N),"")</f>
        <v>78</v>
      </c>
    </row>
    <row r="11" spans="1:45">
      <c r="A11" s="118">
        <f t="shared" si="3"/>
        <v>45754</v>
      </c>
      <c r="B11" s="107">
        <f>YEAR(Table13[[#This Row],[Date]])+IF(MONTH(Table13[[#This Row],[Date]])&gt;=4,1,0)</f>
        <v>2026</v>
      </c>
      <c r="C11" s="105">
        <f>YEAR(Table13[[#This Row],[Date]])</f>
        <v>2025</v>
      </c>
      <c r="D11" s="119">
        <f>Table13[[#This Row],[Date]]-DAY(Table13[[#This Row],[Date]])+1</f>
        <v>45748</v>
      </c>
      <c r="E11" s="105">
        <f t="shared" si="0"/>
        <v>30</v>
      </c>
      <c r="F11" s="108"/>
      <c r="G11" s="109"/>
      <c r="H11" s="109"/>
      <c r="I11" s="109"/>
      <c r="J11" s="109"/>
      <c r="K11" s="120"/>
      <c r="L11" s="109"/>
      <c r="M11" s="109">
        <f>IFERROR(_xlfn.XLOOKUP($A11,Input_Raw!$A:$A,Input_Raw!CG:CG),"")</f>
        <v>4.1233333333333331</v>
      </c>
      <c r="N11" s="109">
        <f>IFERROR(_xlfn.XLOOKUP($A11,Input_Raw!$A:$A,Input_Raw!CH:CH),"")</f>
        <v>0</v>
      </c>
      <c r="O11" s="121">
        <f t="shared" si="1"/>
        <v>0.87012463786860128</v>
      </c>
      <c r="P11" s="121">
        <f>IFERROR(1-SUMIF(WTG_BD!$F:$F,$A11,WTG_BD!$AA:$AA)/($AA11+SUMIF(WTG_BD!$F:$F,$A11,WTG_BD!$AA:$AA)),"")</f>
        <v>0.9046571407682602</v>
      </c>
      <c r="Q11" s="122">
        <f>IFERROR(1-SUMIF(IGA_BD!$F:$F,$A11,IGA_BD!$V:$V)/($AA11+SUMIF(IGA_BD!$F:$F,$A11,IGA_BD!$V:$V)),"")</f>
        <v>0.96182807680008697</v>
      </c>
      <c r="R11" s="127">
        <f>IFERROR(1-SUMIF(Grid_BD!$F:$F,$A11,Grid_BD!$X:$X)/($AA11+SUMIF(Grid_BD!$F:$F,$A11,Grid_BD!$X:$X)),"")</f>
        <v>1</v>
      </c>
      <c r="S11" s="105"/>
      <c r="T11" s="122"/>
      <c r="U11" s="123"/>
      <c r="V11" s="105"/>
      <c r="W11" s="124">
        <f>IFERROR(Table13[[#This Row],[Mtr_Net_Exp (KWh)]]/(24*AR11*1000),"")</f>
        <v>0.11730769230769231</v>
      </c>
      <c r="X11" s="105">
        <f>IFERROR(_xlfn.XLOOKUP($A11,Input_Raw!$A:$A,Input_Raw!$CF:$CF),"")</f>
        <v>236100</v>
      </c>
      <c r="Y11" s="105">
        <f>IFERROR(_xlfn.XLOOKUP($A11,Input_Raw!$A:$A,Input_Raw!$CZ:$CZ),"")</f>
        <v>222000</v>
      </c>
      <c r="Z11" s="105">
        <f>IFERROR(_xlfn.XLOOKUP($A11,Input_Raw!$A:$A,Input_Raw!$DA:$DA),"")</f>
        <v>2400</v>
      </c>
      <c r="AA11" s="107">
        <f t="shared" si="2"/>
        <v>219600</v>
      </c>
      <c r="AB11" s="105">
        <f>IFERROR(_xlfn.XLOOKUP($A11,Input_Raw!$A:$A,Input_Raw!$DG:$DG),"")</f>
        <v>78</v>
      </c>
      <c r="AC11" s="125">
        <f>IFERROR(_xlfn.XLOOKUP($D11,'Modelling New'!$D:$D,'Modelling New'!$J:$J),"")</f>
        <v>5.6333333333333329</v>
      </c>
      <c r="AD11" s="107">
        <f>IFERROR(_xlfn.XLOOKUP($D11,'Modelling New'!$D:$D,'Modelling New'!$T:$T)*1000,"")</f>
        <v>340888.47260338557</v>
      </c>
      <c r="AE11" s="124"/>
      <c r="AF11" s="124">
        <f>IFERROR(_xlfn.XLOOKUP($D11,'Modelling New'!$D:$D,'Modelling New'!$W:$W),"")</f>
        <v>0.18209854305736409</v>
      </c>
      <c r="AG11" s="124">
        <f>IFERROR(_xlfn.XLOOKUP($D11,'Modelling New'!$D:$D,'Modelling New'!$AE:$AE),"")</f>
        <v>0.96029999999999993</v>
      </c>
      <c r="AH11" s="124">
        <f>IFERROR(_xlfn.XLOOKUP($D11,'Modelling New'!$D:$D,'Modelling New'!$AF:$AF),"")</f>
        <v>0.995</v>
      </c>
      <c r="AI11" s="105">
        <f>IFERROR(_xlfn.XLOOKUP($A11,Input_Raw!$A:$A,Input_Raw!$DE:$DE),"")</f>
        <v>238.17599999999999</v>
      </c>
      <c r="AJ11" s="105"/>
      <c r="AK11" s="105"/>
      <c r="AL11" s="105"/>
      <c r="AM11" s="105"/>
      <c r="AN11" s="126">
        <f>IFERROR(_xlfn.XLOOKUP($A11,Input_Raw!$A:$A,Input_Raw!$DB:$DB),"")</f>
        <v>5.9720457433291019E-2</v>
      </c>
      <c r="AO11" s="124">
        <f>IFERROR((_xlfn.XLOOKUP($A11,'WTG Reactive Power'!$A:$A,'WTG Reactive Power'!$AR:$AR))/X11/1000,"")</f>
        <v>1.324060207539178E-4</v>
      </c>
      <c r="AP11" s="124">
        <f>IFERROR(_xlfn.XLOOKUP($D11,'Modelling New'!$D:$D,'Modelling New'!$AK:$AK),"")</f>
        <v>0.05</v>
      </c>
      <c r="AQ11" s="124">
        <f>IFERROR(_xlfn.XLOOKUP($D11,'Modelling New'!$D:$D,'Modelling New'!$AL:$AL),"")</f>
        <v>0.05</v>
      </c>
      <c r="AR11">
        <f>IFERROR(_xlfn.XLOOKUP($D11,'Modelling New'!$D:$D,'Modelling New'!$N:$N),"")</f>
        <v>78</v>
      </c>
    </row>
    <row r="12" spans="1:45">
      <c r="A12" s="118">
        <f t="shared" si="3"/>
        <v>45755</v>
      </c>
      <c r="B12" s="107">
        <f>YEAR(Table13[[#This Row],[Date]])+IF(MONTH(Table13[[#This Row],[Date]])&gt;=4,1,0)</f>
        <v>2026</v>
      </c>
      <c r="C12" s="105">
        <f>YEAR(Table13[[#This Row],[Date]])</f>
        <v>2025</v>
      </c>
      <c r="D12" s="119">
        <f>Table13[[#This Row],[Date]]-DAY(Table13[[#This Row],[Date]])+1</f>
        <v>45748</v>
      </c>
      <c r="E12" s="105">
        <f t="shared" si="0"/>
        <v>30</v>
      </c>
      <c r="F12" s="108"/>
      <c r="G12" s="109"/>
      <c r="H12" s="109"/>
      <c r="I12" s="109"/>
      <c r="J12" s="109"/>
      <c r="K12" s="120"/>
      <c r="L12" s="109"/>
      <c r="M12" s="109">
        <f>IFERROR(_xlfn.XLOOKUP($A12,Input_Raw!$A:$A,Input_Raw!CG:CG),"")</f>
        <v>3.4951282051282053</v>
      </c>
      <c r="N12" s="109">
        <f>IFERROR(_xlfn.XLOOKUP($A12,Input_Raw!$A:$A,Input_Raw!CH:CH),"")</f>
        <v>0</v>
      </c>
      <c r="O12" s="121">
        <f t="shared" si="1"/>
        <v>0.92263967613779985</v>
      </c>
      <c r="P12" s="121">
        <f>IFERROR(1-SUMIF(WTG_BD!$F:$F,$A12,WTG_BD!$AA:$AA)/($AA12+SUMIF(WTG_BD!$F:$F,$A12,WTG_BD!$AA:$AA)),"")</f>
        <v>0.92263967613779985</v>
      </c>
      <c r="Q12" s="122">
        <f>IFERROR(1-SUMIF(IGA_BD!$F:$F,$A12,IGA_BD!$V:$V)/($AA12+SUMIF(IGA_BD!$F:$F,$A12,IGA_BD!$V:$V)),"")</f>
        <v>1</v>
      </c>
      <c r="R12" s="127">
        <f>IFERROR(1-SUMIF(Grid_BD!$F:$F,$A12,Grid_BD!$X:$X)/($AA12+SUMIF(Grid_BD!$F:$F,$A12,Grid_BD!$X:$X)),"")</f>
        <v>1</v>
      </c>
      <c r="S12" s="105"/>
      <c r="T12" s="122"/>
      <c r="U12" s="123"/>
      <c r="V12" s="105"/>
      <c r="W12" s="124">
        <f>IFERROR(Table13[[#This Row],[Mtr_Net_Exp (KWh)]]/(24*AR12*1000),"")</f>
        <v>7.7564102564102566E-2</v>
      </c>
      <c r="X12" s="105">
        <f>IFERROR(_xlfn.XLOOKUP($A12,Input_Raw!$A:$A,Input_Raw!$CF:$CF),"")</f>
        <v>151284</v>
      </c>
      <c r="Y12" s="105">
        <f>IFERROR(_xlfn.XLOOKUP($A12,Input_Raw!$A:$A,Input_Raw!$CZ:$CZ),"")</f>
        <v>150000</v>
      </c>
      <c r="Z12" s="105">
        <f>IFERROR(_xlfn.XLOOKUP($A12,Input_Raw!$A:$A,Input_Raw!$DA:$DA),"")</f>
        <v>4800</v>
      </c>
      <c r="AA12" s="107">
        <f t="shared" si="2"/>
        <v>145200</v>
      </c>
      <c r="AB12" s="105">
        <f>IFERROR(_xlfn.XLOOKUP($A12,Input_Raw!$A:$A,Input_Raw!$DG:$DG),"")</f>
        <v>78</v>
      </c>
      <c r="AC12" s="125">
        <f>IFERROR(_xlfn.XLOOKUP($D12,'Modelling New'!$D:$D,'Modelling New'!$J:$J),"")</f>
        <v>5.6333333333333329</v>
      </c>
      <c r="AD12" s="107">
        <f>IFERROR(_xlfn.XLOOKUP($D12,'Modelling New'!$D:$D,'Modelling New'!$T:$T)*1000,"")</f>
        <v>340888.47260338557</v>
      </c>
      <c r="AE12" s="124"/>
      <c r="AF12" s="124">
        <f>IFERROR(_xlfn.XLOOKUP($D12,'Modelling New'!$D:$D,'Modelling New'!$W:$W),"")</f>
        <v>0.18209854305736409</v>
      </c>
      <c r="AG12" s="124">
        <f>IFERROR(_xlfn.XLOOKUP($D12,'Modelling New'!$D:$D,'Modelling New'!$AE:$AE),"")</f>
        <v>0.96029999999999993</v>
      </c>
      <c r="AH12" s="124">
        <f>IFERROR(_xlfn.XLOOKUP($D12,'Modelling New'!$D:$D,'Modelling New'!$AF:$AF),"")</f>
        <v>0.995</v>
      </c>
      <c r="AI12" s="105">
        <f>IFERROR(_xlfn.XLOOKUP($A12,Input_Raw!$A:$A,Input_Raw!$DE:$DE),"")</f>
        <v>149.33000000000001</v>
      </c>
      <c r="AJ12" s="105"/>
      <c r="AK12" s="105"/>
      <c r="AL12" s="105"/>
      <c r="AM12" s="105"/>
      <c r="AN12" s="126">
        <f>IFERROR(_xlfn.XLOOKUP($A12,Input_Raw!$A:$A,Input_Raw!$DB:$DB),"")</f>
        <v>8.4873482985642346E-3</v>
      </c>
      <c r="AO12" s="124">
        <f>IFERROR((_xlfn.XLOOKUP($A12,'WTG Reactive Power'!$A:$A,'WTG Reactive Power'!$AR:$AR))/X12/1000,"")</f>
        <v>2.6192165628883429E-4</v>
      </c>
      <c r="AP12" s="124">
        <f>IFERROR(_xlfn.XLOOKUP($D12,'Modelling New'!$D:$D,'Modelling New'!$AK:$AK),"")</f>
        <v>0.05</v>
      </c>
      <c r="AQ12" s="124">
        <f>IFERROR(_xlfn.XLOOKUP($D12,'Modelling New'!$D:$D,'Modelling New'!$AL:$AL),"")</f>
        <v>0.05</v>
      </c>
      <c r="AR12">
        <f>IFERROR(_xlfn.XLOOKUP($D12,'Modelling New'!$D:$D,'Modelling New'!$N:$N),"")</f>
        <v>78</v>
      </c>
    </row>
    <row r="13" spans="1:45">
      <c r="A13" s="118">
        <f t="shared" si="3"/>
        <v>45756</v>
      </c>
      <c r="B13" s="107">
        <f>YEAR(Table13[[#This Row],[Date]])+IF(MONTH(Table13[[#This Row],[Date]])&gt;=4,1,0)</f>
        <v>2026</v>
      </c>
      <c r="C13" s="105">
        <f>YEAR(Table13[[#This Row],[Date]])</f>
        <v>2025</v>
      </c>
      <c r="D13" s="119">
        <f>Table13[[#This Row],[Date]]-DAY(Table13[[#This Row],[Date]])+1</f>
        <v>45748</v>
      </c>
      <c r="E13" s="105">
        <f t="shared" si="0"/>
        <v>30</v>
      </c>
      <c r="F13" s="108"/>
      <c r="G13" s="109"/>
      <c r="H13" s="109"/>
      <c r="I13" s="109"/>
      <c r="J13" s="109"/>
      <c r="K13" s="120"/>
      <c r="L13" s="109"/>
      <c r="M13" s="109">
        <f>IFERROR(_xlfn.XLOOKUP($A13,Input_Raw!$A:$A,Input_Raw!CG:CG),"")</f>
        <v>4.8151282051282047</v>
      </c>
      <c r="N13" s="109">
        <f>IFERROR(_xlfn.XLOOKUP($A13,Input_Raw!$A:$A,Input_Raw!CH:CH),"")</f>
        <v>0</v>
      </c>
      <c r="O13" s="121">
        <f t="shared" si="1"/>
        <v>0.8935197389681363</v>
      </c>
      <c r="P13" s="121">
        <f>IFERROR(1-SUMIF(WTG_BD!$F:$F,$A13,WTG_BD!$AA:$AA)/($AA13+SUMIF(WTG_BD!$F:$F,$A13,WTG_BD!$AA:$AA)),"")</f>
        <v>0.8935197389681363</v>
      </c>
      <c r="Q13" s="122">
        <f>IFERROR(1-SUMIF(IGA_BD!$F:$F,$A13,IGA_BD!$V:$V)/($AA13+SUMIF(IGA_BD!$F:$F,$A13,IGA_BD!$V:$V)),"")</f>
        <v>1</v>
      </c>
      <c r="R13" s="127">
        <f>IFERROR(1-SUMIF(Grid_BD!$F:$F,$A13,Grid_BD!$X:$X)/($AA13+SUMIF(Grid_BD!$F:$F,$A13,Grid_BD!$X:$X)),"")</f>
        <v>1</v>
      </c>
      <c r="S13" s="105"/>
      <c r="T13" s="122"/>
      <c r="U13" s="123"/>
      <c r="V13" s="105"/>
      <c r="W13" s="124">
        <f>IFERROR(Table13[[#This Row],[Mtr_Net_Exp (KWh)]]/(24*AR13*1000),"")</f>
        <v>0.16346153846153846</v>
      </c>
      <c r="X13" s="105">
        <f>IFERROR(_xlfn.XLOOKUP($A13,Input_Raw!$A:$A,Input_Raw!$CF:$CF),"")</f>
        <v>327786</v>
      </c>
      <c r="Y13" s="105">
        <f>IFERROR(_xlfn.XLOOKUP($A13,Input_Raw!$A:$A,Input_Raw!$CZ:$CZ),"")</f>
        <v>308400</v>
      </c>
      <c r="Z13" s="105">
        <f>IFERROR(_xlfn.XLOOKUP($A13,Input_Raw!$A:$A,Input_Raw!$DA:$DA),"")</f>
        <v>2400</v>
      </c>
      <c r="AA13" s="107">
        <f t="shared" si="2"/>
        <v>306000</v>
      </c>
      <c r="AB13" s="105">
        <f>IFERROR(_xlfn.XLOOKUP($A13,Input_Raw!$A:$A,Input_Raw!$DG:$DG),"")</f>
        <v>78</v>
      </c>
      <c r="AC13" s="125">
        <f>IFERROR(_xlfn.XLOOKUP($D13,'Modelling New'!$D:$D,'Modelling New'!$J:$J),"")</f>
        <v>5.6333333333333329</v>
      </c>
      <c r="AD13" s="107">
        <f>IFERROR(_xlfn.XLOOKUP($D13,'Modelling New'!$D:$D,'Modelling New'!$T:$T)*1000,"")</f>
        <v>340888.47260338557</v>
      </c>
      <c r="AE13" s="124"/>
      <c r="AF13" s="124">
        <f>IFERROR(_xlfn.XLOOKUP($D13,'Modelling New'!$D:$D,'Modelling New'!$W:$W),"")</f>
        <v>0.18209854305736409</v>
      </c>
      <c r="AG13" s="124">
        <f>IFERROR(_xlfn.XLOOKUP($D13,'Modelling New'!$D:$D,'Modelling New'!$AE:$AE),"")</f>
        <v>0.96029999999999993</v>
      </c>
      <c r="AH13" s="124">
        <f>IFERROR(_xlfn.XLOOKUP($D13,'Modelling New'!$D:$D,'Modelling New'!$AF:$AF),"")</f>
        <v>0.995</v>
      </c>
      <c r="AI13" s="105">
        <f>IFERROR(_xlfn.XLOOKUP($A13,Input_Raw!$A:$A,Input_Raw!$DE:$DE),"")</f>
        <v>327.512</v>
      </c>
      <c r="AJ13" s="105"/>
      <c r="AK13" s="105"/>
      <c r="AL13" s="105"/>
      <c r="AM13" s="105"/>
      <c r="AN13" s="126">
        <f>IFERROR(_xlfn.XLOOKUP($A13,Input_Raw!$A:$A,Input_Raw!$DB:$DB),"")</f>
        <v>5.9142245245373481E-2</v>
      </c>
      <c r="AO13" s="124">
        <f>IFERROR((_xlfn.XLOOKUP($A13,'WTG Reactive Power'!$A:$A,'WTG Reactive Power'!$AR:$AR))/X13/1000,"")</f>
        <v>1.298790179670069E-4</v>
      </c>
      <c r="AP13" s="124">
        <f>IFERROR(_xlfn.XLOOKUP($D13,'Modelling New'!$D:$D,'Modelling New'!$AK:$AK),"")</f>
        <v>0.05</v>
      </c>
      <c r="AQ13" s="124">
        <f>IFERROR(_xlfn.XLOOKUP($D13,'Modelling New'!$D:$D,'Modelling New'!$AL:$AL),"")</f>
        <v>0.05</v>
      </c>
      <c r="AR13">
        <f>IFERROR(_xlfn.XLOOKUP($D13,'Modelling New'!$D:$D,'Modelling New'!$N:$N),"")</f>
        <v>78</v>
      </c>
    </row>
    <row r="14" spans="1:45">
      <c r="A14" s="118">
        <f t="shared" si="3"/>
        <v>45757</v>
      </c>
      <c r="B14" s="107">
        <f>YEAR(Table13[[#This Row],[Date]])+IF(MONTH(Table13[[#This Row],[Date]])&gt;=4,1,0)</f>
        <v>2026</v>
      </c>
      <c r="C14" s="105">
        <f>YEAR(Table13[[#This Row],[Date]])</f>
        <v>2025</v>
      </c>
      <c r="D14" s="119">
        <f>Table13[[#This Row],[Date]]-DAY(Table13[[#This Row],[Date]])+1</f>
        <v>45748</v>
      </c>
      <c r="E14" s="105">
        <f t="shared" si="0"/>
        <v>30</v>
      </c>
      <c r="F14" s="108"/>
      <c r="G14" s="109"/>
      <c r="H14" s="109"/>
      <c r="I14" s="109"/>
      <c r="J14" s="109"/>
      <c r="K14" s="120"/>
      <c r="L14" s="109"/>
      <c r="M14" s="109">
        <f>IFERROR(_xlfn.XLOOKUP($A14,Input_Raw!$A:$A,Input_Raw!CG:CG),"")</f>
        <v>5.5674358974358968</v>
      </c>
      <c r="N14" s="109">
        <f>IFERROR(_xlfn.XLOOKUP($A14,Input_Raw!$A:$A,Input_Raw!CH:CH),"")</f>
        <v>0</v>
      </c>
      <c r="O14" s="121">
        <f t="shared" si="1"/>
        <v>0.94529692461520531</v>
      </c>
      <c r="P14" s="121">
        <f>IFERROR(1-SUMIF(WTG_BD!$F:$F,$A14,WTG_BD!$AA:$AA)/($AA14+SUMIF(WTG_BD!$F:$F,$A14,WTG_BD!$AA:$AA)),"")</f>
        <v>0.94529692461520531</v>
      </c>
      <c r="Q14" s="122">
        <f>IFERROR(1-SUMIF(IGA_BD!$F:$F,$A14,IGA_BD!$V:$V)/($AA14+SUMIF(IGA_BD!$F:$F,$A14,IGA_BD!$V:$V)),"")</f>
        <v>1</v>
      </c>
      <c r="R14" s="127">
        <f>IFERROR(1-SUMIF(Grid_BD!$F:$F,$A14,Grid_BD!$X:$X)/($AA14+SUMIF(Grid_BD!$F:$F,$A14,Grid_BD!$X:$X)),"")</f>
        <v>1</v>
      </c>
      <c r="S14" s="105"/>
      <c r="T14" s="122"/>
      <c r="U14" s="123"/>
      <c r="V14" s="105"/>
      <c r="W14" s="124">
        <f>IFERROR(Table13[[#This Row],[Mtr_Net_Exp (KWh)]]/(24*AR14*1000),"")</f>
        <v>0.27307692307692305</v>
      </c>
      <c r="X14" s="105">
        <f>IFERROR(_xlfn.XLOOKUP($A14,Input_Raw!$A:$A,Input_Raw!$CF:$CF),"")</f>
        <v>519730</v>
      </c>
      <c r="Y14" s="105">
        <f>IFERROR(_xlfn.XLOOKUP($A14,Input_Raw!$A:$A,Input_Raw!$CZ:$CZ),"")</f>
        <v>513600</v>
      </c>
      <c r="Z14" s="105">
        <f>IFERROR(_xlfn.XLOOKUP($A14,Input_Raw!$A:$A,Input_Raw!$DA:$DA),"")</f>
        <v>2400</v>
      </c>
      <c r="AA14" s="107">
        <f t="shared" si="2"/>
        <v>511200</v>
      </c>
      <c r="AB14" s="105">
        <f>IFERROR(_xlfn.XLOOKUP($A14,Input_Raw!$A:$A,Input_Raw!$DG:$DG),"")</f>
        <v>78</v>
      </c>
      <c r="AC14" s="125">
        <f>IFERROR(_xlfn.XLOOKUP($D14,'Modelling New'!$D:$D,'Modelling New'!$J:$J),"")</f>
        <v>5.6333333333333329</v>
      </c>
      <c r="AD14" s="107">
        <f>IFERROR(_xlfn.XLOOKUP($D14,'Modelling New'!$D:$D,'Modelling New'!$T:$T)*1000,"")</f>
        <v>340888.47260338557</v>
      </c>
      <c r="AE14" s="124"/>
      <c r="AF14" s="124">
        <f>IFERROR(_xlfn.XLOOKUP($D14,'Modelling New'!$D:$D,'Modelling New'!$W:$W),"")</f>
        <v>0.18209854305736409</v>
      </c>
      <c r="AG14" s="124">
        <f>IFERROR(_xlfn.XLOOKUP($D14,'Modelling New'!$D:$D,'Modelling New'!$AE:$AE),"")</f>
        <v>0.96029999999999993</v>
      </c>
      <c r="AH14" s="124">
        <f>IFERROR(_xlfn.XLOOKUP($D14,'Modelling New'!$D:$D,'Modelling New'!$AF:$AF),"")</f>
        <v>0.995</v>
      </c>
      <c r="AI14" s="105">
        <f>IFERROR(_xlfn.XLOOKUP($A14,Input_Raw!$A:$A,Input_Raw!$DE:$DE),"")</f>
        <v>511</v>
      </c>
      <c r="AJ14" s="105"/>
      <c r="AK14" s="105"/>
      <c r="AL14" s="105"/>
      <c r="AM14" s="105"/>
      <c r="AN14" s="126">
        <f>IFERROR(_xlfn.XLOOKUP($A14,Input_Raw!$A:$A,Input_Raw!$DB:$DB),"")</f>
        <v>1.1794585650241496E-2</v>
      </c>
      <c r="AO14" s="124">
        <f>IFERROR((_xlfn.XLOOKUP($A14,'WTG Reactive Power'!$A:$A,'WTG Reactive Power'!$AR:$AR))/X14/1000,"")</f>
        <v>8.9257883901256427E-6</v>
      </c>
      <c r="AP14" s="124">
        <f>IFERROR(_xlfn.XLOOKUP($D14,'Modelling New'!$D:$D,'Modelling New'!$AK:$AK),"")</f>
        <v>0.05</v>
      </c>
      <c r="AQ14" s="124">
        <f>IFERROR(_xlfn.XLOOKUP($D14,'Modelling New'!$D:$D,'Modelling New'!$AL:$AL),"")</f>
        <v>0.05</v>
      </c>
      <c r="AR14">
        <f>IFERROR(_xlfn.XLOOKUP($D14,'Modelling New'!$D:$D,'Modelling New'!$N:$N),"")</f>
        <v>78</v>
      </c>
    </row>
    <row r="15" spans="1:45">
      <c r="A15" s="118">
        <f t="shared" si="3"/>
        <v>45758</v>
      </c>
      <c r="B15" s="107">
        <f>YEAR(Table13[[#This Row],[Date]])+IF(MONTH(Table13[[#This Row],[Date]])&gt;=4,1,0)</f>
        <v>2026</v>
      </c>
      <c r="C15" s="105">
        <f>YEAR(Table13[[#This Row],[Date]])</f>
        <v>2025</v>
      </c>
      <c r="D15" s="119">
        <f>Table13[[#This Row],[Date]]-DAY(Table13[[#This Row],[Date]])+1</f>
        <v>45748</v>
      </c>
      <c r="E15" s="105">
        <f t="shared" si="0"/>
        <v>30</v>
      </c>
      <c r="F15" s="108"/>
      <c r="G15" s="109"/>
      <c r="H15" s="109"/>
      <c r="I15" s="109"/>
      <c r="J15" s="109"/>
      <c r="K15" s="120"/>
      <c r="L15" s="109"/>
      <c r="M15" s="109">
        <f>IFERROR(_xlfn.XLOOKUP($A15,Input_Raw!$A:$A,Input_Raw!CG:CG),"")</f>
        <v>5.5761538461538445</v>
      </c>
      <c r="N15" s="109">
        <f>IFERROR(_xlfn.XLOOKUP($A15,Input_Raw!$A:$A,Input_Raw!CH:CH),"")</f>
        <v>0</v>
      </c>
      <c r="O15" s="121">
        <f t="shared" si="1"/>
        <v>0.94227750508764418</v>
      </c>
      <c r="P15" s="121">
        <f>IFERROR(1-SUMIF(WTG_BD!$F:$F,$A15,WTG_BD!$AA:$AA)/($AA15+SUMIF(WTG_BD!$F:$F,$A15,WTG_BD!$AA:$AA)),"")</f>
        <v>0.94227750508764418</v>
      </c>
      <c r="Q15" s="122">
        <f>IFERROR(1-SUMIF(IGA_BD!$F:$F,$A15,IGA_BD!$V:$V)/($AA15+SUMIF(IGA_BD!$F:$F,$A15,IGA_BD!$V:$V)),"")</f>
        <v>1</v>
      </c>
      <c r="R15" s="127">
        <f>IFERROR(1-SUMIF(Grid_BD!$F:$F,$A15,Grid_BD!$X:$X)/($AA15+SUMIF(Grid_BD!$F:$F,$A15,Grid_BD!$X:$X)),"")</f>
        <v>1</v>
      </c>
      <c r="S15" s="105"/>
      <c r="T15" s="122"/>
      <c r="U15" s="123"/>
      <c r="V15" s="105"/>
      <c r="W15" s="124">
        <f>IFERROR(Table13[[#This Row],[Mtr_Net_Exp (KWh)]]/(24*AR15*1000),"")</f>
        <v>0.27307692307692305</v>
      </c>
      <c r="X15" s="105">
        <f>IFERROR(_xlfn.XLOOKUP($A15,Input_Raw!$A:$A,Input_Raw!$CF:$CF),"")</f>
        <v>514588</v>
      </c>
      <c r="Y15" s="105">
        <f>IFERROR(_xlfn.XLOOKUP($A15,Input_Raw!$A:$A,Input_Raw!$CZ:$CZ),"")</f>
        <v>511200</v>
      </c>
      <c r="Z15" s="105">
        <f>IFERROR(_xlfn.XLOOKUP($A15,Input_Raw!$A:$A,Input_Raw!$DA:$DA),"")</f>
        <v>0</v>
      </c>
      <c r="AA15" s="107">
        <f t="shared" si="2"/>
        <v>511200</v>
      </c>
      <c r="AB15" s="105">
        <f>IFERROR(_xlfn.XLOOKUP($A15,Input_Raw!$A:$A,Input_Raw!$DG:$DG),"")</f>
        <v>78</v>
      </c>
      <c r="AC15" s="125">
        <f>IFERROR(_xlfn.XLOOKUP($D15,'Modelling New'!$D:$D,'Modelling New'!$J:$J),"")</f>
        <v>5.6333333333333329</v>
      </c>
      <c r="AD15" s="107">
        <f>IFERROR(_xlfn.XLOOKUP($D15,'Modelling New'!$D:$D,'Modelling New'!$T:$T)*1000,"")</f>
        <v>340888.47260338557</v>
      </c>
      <c r="AE15" s="124"/>
      <c r="AF15" s="124">
        <f>IFERROR(_xlfn.XLOOKUP($D15,'Modelling New'!$D:$D,'Modelling New'!$W:$W),"")</f>
        <v>0.18209854305736409</v>
      </c>
      <c r="AG15" s="124">
        <f>IFERROR(_xlfn.XLOOKUP($D15,'Modelling New'!$D:$D,'Modelling New'!$AE:$AE),"")</f>
        <v>0.96029999999999993</v>
      </c>
      <c r="AH15" s="124">
        <f>IFERROR(_xlfn.XLOOKUP($D15,'Modelling New'!$D:$D,'Modelling New'!$AF:$AF),"")</f>
        <v>0.995</v>
      </c>
      <c r="AI15" s="105">
        <f>IFERROR(_xlfn.XLOOKUP($A15,Input_Raw!$A:$A,Input_Raw!$DE:$DE),"")</f>
        <v>514</v>
      </c>
      <c r="AJ15" s="105"/>
      <c r="AK15" s="105"/>
      <c r="AL15" s="105"/>
      <c r="AM15" s="105"/>
      <c r="AN15" s="126">
        <f>IFERROR(_xlfn.XLOOKUP($A15,Input_Raw!$A:$A,Input_Raw!$DB:$DB),"")</f>
        <v>6.5839079030214354E-3</v>
      </c>
      <c r="AO15" s="124">
        <f>IFERROR((_xlfn.XLOOKUP($A15,'WTG Reactive Power'!$A:$A,'WTG Reactive Power'!$AR:$AR))/X15/1000,"")</f>
        <v>0</v>
      </c>
      <c r="AP15" s="124">
        <f>IFERROR(_xlfn.XLOOKUP($D15,'Modelling New'!$D:$D,'Modelling New'!$AK:$AK),"")</f>
        <v>0.05</v>
      </c>
      <c r="AQ15" s="124">
        <f>IFERROR(_xlfn.XLOOKUP($D15,'Modelling New'!$D:$D,'Modelling New'!$AL:$AL),"")</f>
        <v>0.05</v>
      </c>
      <c r="AR15">
        <f>IFERROR(_xlfn.XLOOKUP($D15,'Modelling New'!$D:$D,'Modelling New'!$N:$N),"")</f>
        <v>78</v>
      </c>
    </row>
    <row r="16" spans="1:45">
      <c r="A16" s="118">
        <f t="shared" si="3"/>
        <v>45759</v>
      </c>
      <c r="B16" s="107">
        <f>YEAR(Table13[[#This Row],[Date]])+IF(MONTH(Table13[[#This Row],[Date]])&gt;=4,1,0)</f>
        <v>2026</v>
      </c>
      <c r="C16" s="105">
        <f>YEAR(Table13[[#This Row],[Date]])</f>
        <v>2025</v>
      </c>
      <c r="D16" s="119">
        <f>Table13[[#This Row],[Date]]-DAY(Table13[[#This Row],[Date]])+1</f>
        <v>45748</v>
      </c>
      <c r="E16" s="105">
        <f t="shared" si="0"/>
        <v>30</v>
      </c>
      <c r="F16" s="108"/>
      <c r="G16" s="109"/>
      <c r="H16" s="109"/>
      <c r="I16" s="109"/>
      <c r="J16" s="109"/>
      <c r="K16" s="120"/>
      <c r="L16" s="109"/>
      <c r="M16" s="109">
        <f>IFERROR(_xlfn.XLOOKUP($A16,Input_Raw!$A:$A,Input_Raw!CG:CG),"")</f>
        <v>5.4376923076923074</v>
      </c>
      <c r="N16" s="109">
        <f>IFERROR(_xlfn.XLOOKUP($A16,Input_Raw!$A:$A,Input_Raw!CH:CH),"")</f>
        <v>0</v>
      </c>
      <c r="O16" s="121">
        <f t="shared" si="1"/>
        <v>0.94025891978443088</v>
      </c>
      <c r="P16" s="121">
        <f>IFERROR(1-SUMIF(WTG_BD!$F:$F,$A16,WTG_BD!$AA:$AA)/($AA16+SUMIF(WTG_BD!$F:$F,$A16,WTG_BD!$AA:$AA)),"")</f>
        <v>0.94025891978443088</v>
      </c>
      <c r="Q16" s="122">
        <f>IFERROR(1-SUMIF(IGA_BD!$F:$F,$A16,IGA_BD!$V:$V)/($AA16+SUMIF(IGA_BD!$F:$F,$A16,IGA_BD!$V:$V)),"")</f>
        <v>1</v>
      </c>
      <c r="R16" s="127">
        <f>IFERROR(1-SUMIF(Grid_BD!$F:$F,$A16,Grid_BD!$X:$X)/($AA16+SUMIF(Grid_BD!$F:$F,$A16,Grid_BD!$X:$X)),"")</f>
        <v>1</v>
      </c>
      <c r="S16" s="105"/>
      <c r="T16" s="122"/>
      <c r="U16" s="123"/>
      <c r="V16" s="105"/>
      <c r="W16" s="124">
        <f>IFERROR(Table13[[#This Row],[Mtr_Net_Exp (KWh)]]/(24*AR16*1000),"")</f>
        <v>0.24807692307692308</v>
      </c>
      <c r="X16" s="105">
        <f>IFERROR(_xlfn.XLOOKUP($A16,Input_Raw!$A:$A,Input_Raw!$CF:$CF),"")</f>
        <v>469515</v>
      </c>
      <c r="Y16" s="105">
        <f>IFERROR(_xlfn.XLOOKUP($A16,Input_Raw!$A:$A,Input_Raw!$CZ:$CZ),"")</f>
        <v>465600</v>
      </c>
      <c r="Z16" s="105">
        <f>IFERROR(_xlfn.XLOOKUP($A16,Input_Raw!$A:$A,Input_Raw!$DA:$DA),"")</f>
        <v>1200</v>
      </c>
      <c r="AA16" s="107">
        <f t="shared" si="2"/>
        <v>464400</v>
      </c>
      <c r="AB16" s="105">
        <f>IFERROR(_xlfn.XLOOKUP($A16,Input_Raw!$A:$A,Input_Raw!$DG:$DG),"")</f>
        <v>78</v>
      </c>
      <c r="AC16" s="125">
        <f>IFERROR(_xlfn.XLOOKUP($D16,'Modelling New'!$D:$D,'Modelling New'!$J:$J),"")</f>
        <v>5.6333333333333329</v>
      </c>
      <c r="AD16" s="107">
        <f>IFERROR(_xlfn.XLOOKUP($D16,'Modelling New'!$D:$D,'Modelling New'!$T:$T)*1000,"")</f>
        <v>340888.47260338557</v>
      </c>
      <c r="AE16" s="124"/>
      <c r="AF16" s="124">
        <f>IFERROR(_xlfn.XLOOKUP($D16,'Modelling New'!$D:$D,'Modelling New'!$W:$W),"")</f>
        <v>0.18209854305736409</v>
      </c>
      <c r="AG16" s="124">
        <f>IFERROR(_xlfn.XLOOKUP($D16,'Modelling New'!$D:$D,'Modelling New'!$AE:$AE),"")</f>
        <v>0.96029999999999993</v>
      </c>
      <c r="AH16" s="124">
        <f>IFERROR(_xlfn.XLOOKUP($D16,'Modelling New'!$D:$D,'Modelling New'!$AF:$AF),"")</f>
        <v>0.995</v>
      </c>
      <c r="AI16" s="105">
        <f>IFERROR(_xlfn.XLOOKUP($A16,Input_Raw!$A:$A,Input_Raw!$DE:$DE),"")</f>
        <v>469.51</v>
      </c>
      <c r="AJ16" s="105"/>
      <c r="AK16" s="105"/>
      <c r="AL16" s="105"/>
      <c r="AM16" s="105"/>
      <c r="AN16" s="126">
        <f>IFERROR(_xlfn.XLOOKUP($A16,Input_Raw!$A:$A,Input_Raw!$DB:$DB),"")</f>
        <v>8.3383917446726574E-3</v>
      </c>
      <c r="AO16" s="124">
        <f>IFERROR((_xlfn.XLOOKUP($A16,'WTG Reactive Power'!$A:$A,'WTG Reactive Power'!$AR:$AR))/X16/1000,"")</f>
        <v>7.8016676783489344E-6</v>
      </c>
      <c r="AP16" s="124">
        <f>IFERROR(_xlfn.XLOOKUP($D16,'Modelling New'!$D:$D,'Modelling New'!$AK:$AK),"")</f>
        <v>0.05</v>
      </c>
      <c r="AQ16" s="124">
        <f>IFERROR(_xlfn.XLOOKUP($D16,'Modelling New'!$D:$D,'Modelling New'!$AL:$AL),"")</f>
        <v>0.05</v>
      </c>
      <c r="AR16">
        <f>IFERROR(_xlfn.XLOOKUP($D16,'Modelling New'!$D:$D,'Modelling New'!$N:$N),"")</f>
        <v>78</v>
      </c>
    </row>
    <row r="17" spans="1:44">
      <c r="A17" s="118">
        <f t="shared" si="3"/>
        <v>45760</v>
      </c>
      <c r="B17" s="107">
        <f>YEAR(Table13[[#This Row],[Date]])+IF(MONTH(Table13[[#This Row],[Date]])&gt;=4,1,0)</f>
        <v>2026</v>
      </c>
      <c r="C17" s="105">
        <f>YEAR(Table13[[#This Row],[Date]])</f>
        <v>2025</v>
      </c>
      <c r="D17" s="119">
        <f>Table13[[#This Row],[Date]]-DAY(Table13[[#This Row],[Date]])+1</f>
        <v>45748</v>
      </c>
      <c r="E17" s="105">
        <f t="shared" si="0"/>
        <v>30</v>
      </c>
      <c r="F17" s="108"/>
      <c r="G17" s="109"/>
      <c r="H17" s="109"/>
      <c r="I17" s="109"/>
      <c r="J17" s="109"/>
      <c r="K17" s="120"/>
      <c r="L17" s="109"/>
      <c r="M17" s="109">
        <f>IFERROR(_xlfn.XLOOKUP($A17,Input_Raw!$A:$A,Input_Raw!CG:CG),"")</f>
        <v>4.8151282051282047</v>
      </c>
      <c r="N17" s="109">
        <f>IFERROR(_xlfn.XLOOKUP($A17,Input_Raw!$A:$A,Input_Raw!CH:CH),"")</f>
        <v>0</v>
      </c>
      <c r="O17" s="121">
        <f t="shared" si="1"/>
        <v>0.94726332883375941</v>
      </c>
      <c r="P17" s="121">
        <f>IFERROR(1-SUMIF(WTG_BD!$F:$F,$A17,WTG_BD!$AA:$AA)/($AA17+SUMIF(WTG_BD!$F:$F,$A17,WTG_BD!$AA:$AA)),"")</f>
        <v>0.94726332883375941</v>
      </c>
      <c r="Q17" s="122">
        <f>IFERROR(1-SUMIF(IGA_BD!$F:$F,$A17,IGA_BD!$V:$V)/($AA17+SUMIF(IGA_BD!$F:$F,$A17,IGA_BD!$V:$V)),"")</f>
        <v>1</v>
      </c>
      <c r="R17" s="127">
        <f>IFERROR(1-SUMIF(Grid_BD!$F:$F,$A17,Grid_BD!$X:$X)/($AA17+SUMIF(Grid_BD!$F:$F,$A17,Grid_BD!$X:$X)),"")</f>
        <v>1</v>
      </c>
      <c r="S17" s="105"/>
      <c r="T17" s="122"/>
      <c r="U17" s="123"/>
      <c r="V17" s="105"/>
      <c r="W17" s="124">
        <f>IFERROR(Table13[[#This Row],[Mtr_Net_Exp (KWh)]]/(24*AR17*1000),"")</f>
        <v>0.17628205128205129</v>
      </c>
      <c r="X17" s="105">
        <f>IFERROR(_xlfn.XLOOKUP($A17,Input_Raw!$A:$A,Input_Raw!$CF:$CF),"")</f>
        <v>333663</v>
      </c>
      <c r="Y17" s="105">
        <f>IFERROR(_xlfn.XLOOKUP($A17,Input_Raw!$A:$A,Input_Raw!$CZ:$CZ),"")</f>
        <v>331200</v>
      </c>
      <c r="Z17" s="105">
        <f>IFERROR(_xlfn.XLOOKUP($A17,Input_Raw!$A:$A,Input_Raw!$DA:$DA),"")</f>
        <v>1200</v>
      </c>
      <c r="AA17" s="107">
        <f t="shared" si="2"/>
        <v>330000</v>
      </c>
      <c r="AB17" s="105">
        <f>IFERROR(_xlfn.XLOOKUP($A17,Input_Raw!$A:$A,Input_Raw!$DG:$DG),"")</f>
        <v>78</v>
      </c>
      <c r="AC17" s="125">
        <f>IFERROR(_xlfn.XLOOKUP($D17,'Modelling New'!$D:$D,'Modelling New'!$J:$J),"")</f>
        <v>5.6333333333333329</v>
      </c>
      <c r="AD17" s="107">
        <f>IFERROR(_xlfn.XLOOKUP($D17,'Modelling New'!$D:$D,'Modelling New'!$T:$T)*1000,"")</f>
        <v>340888.47260338557</v>
      </c>
      <c r="AE17" s="124"/>
      <c r="AF17" s="124">
        <f>IFERROR(_xlfn.XLOOKUP($D17,'Modelling New'!$D:$D,'Modelling New'!$W:$W),"")</f>
        <v>0.18209854305736409</v>
      </c>
      <c r="AG17" s="124">
        <f>IFERROR(_xlfn.XLOOKUP($D17,'Modelling New'!$D:$D,'Modelling New'!$AE:$AE),"")</f>
        <v>0.96029999999999993</v>
      </c>
      <c r="AH17" s="124">
        <f>IFERROR(_xlfn.XLOOKUP($D17,'Modelling New'!$D:$D,'Modelling New'!$AF:$AF),"")</f>
        <v>0.995</v>
      </c>
      <c r="AI17" s="105">
        <f>IFERROR(_xlfn.XLOOKUP($A17,Input_Raw!$A:$A,Input_Raw!$DE:$DE),"")</f>
        <v>333.66</v>
      </c>
      <c r="AJ17" s="105"/>
      <c r="AK17" s="105"/>
      <c r="AL17" s="105"/>
      <c r="AM17" s="105"/>
      <c r="AN17" s="126">
        <f>IFERROR(_xlfn.XLOOKUP($A17,Input_Raw!$A:$A,Input_Raw!$DB:$DB),"")</f>
        <v>7.3816994991953155E-3</v>
      </c>
      <c r="AO17" s="124">
        <f>IFERROR((_xlfn.XLOOKUP($A17,'WTG Reactive Power'!$A:$A,'WTG Reactive Power'!$AR:$AR))/X17/1000,"")</f>
        <v>1.4304852500876633E-5</v>
      </c>
      <c r="AP17" s="124">
        <f>IFERROR(_xlfn.XLOOKUP($D17,'Modelling New'!$D:$D,'Modelling New'!$AK:$AK),"")</f>
        <v>0.05</v>
      </c>
      <c r="AQ17" s="124">
        <f>IFERROR(_xlfn.XLOOKUP($D17,'Modelling New'!$D:$D,'Modelling New'!$AL:$AL),"")</f>
        <v>0.05</v>
      </c>
      <c r="AR17">
        <f>IFERROR(_xlfn.XLOOKUP($D17,'Modelling New'!$D:$D,'Modelling New'!$N:$N),"")</f>
        <v>78</v>
      </c>
    </row>
    <row r="18" spans="1:44">
      <c r="A18" s="118">
        <f t="shared" si="3"/>
        <v>45761</v>
      </c>
      <c r="B18" s="107">
        <f>YEAR(Table13[[#This Row],[Date]])+IF(MONTH(Table13[[#This Row],[Date]])&gt;=4,1,0)</f>
        <v>2026</v>
      </c>
      <c r="C18" s="105">
        <f>YEAR(Table13[[#This Row],[Date]])</f>
        <v>2025</v>
      </c>
      <c r="D18" s="119">
        <f>Table13[[#This Row],[Date]]-DAY(Table13[[#This Row],[Date]])+1</f>
        <v>45748</v>
      </c>
      <c r="E18" s="105">
        <f t="shared" si="0"/>
        <v>30</v>
      </c>
      <c r="F18" s="108"/>
      <c r="G18" s="109"/>
      <c r="H18" s="109"/>
      <c r="I18" s="109"/>
      <c r="J18" s="109"/>
      <c r="K18" s="120"/>
      <c r="L18" s="109"/>
      <c r="M18" s="109">
        <f>IFERROR(_xlfn.XLOOKUP($A18,Input_Raw!$A:$A,Input_Raw!CG:CG),"")</f>
        <v>6.7597435897435894</v>
      </c>
      <c r="N18" s="109">
        <f>IFERROR(_xlfn.XLOOKUP($A18,Input_Raw!$A:$A,Input_Raw!CH:CH),"")</f>
        <v>0</v>
      </c>
      <c r="O18" s="121">
        <f t="shared" si="1"/>
        <v>0.94675948932826615</v>
      </c>
      <c r="P18" s="121">
        <f>IFERROR(1-SUMIF(WTG_BD!$F:$F,$A18,WTG_BD!$AA:$AA)/($AA18+SUMIF(WTG_BD!$F:$F,$A18,WTG_BD!$AA:$AA)),"")</f>
        <v>0.94675948932826615</v>
      </c>
      <c r="Q18" s="122">
        <f>IFERROR(1-SUMIF(IGA_BD!$F:$F,$A18,IGA_BD!$V:$V)/($AA18+SUMIF(IGA_BD!$F:$F,$A18,IGA_BD!$V:$V)),"")</f>
        <v>1</v>
      </c>
      <c r="R18" s="127">
        <f>IFERROR(1-SUMIF(Grid_BD!$F:$F,$A18,Grid_BD!$X:$X)/($AA18+SUMIF(Grid_BD!$F:$F,$A18,Grid_BD!$X:$X)),"")</f>
        <v>1</v>
      </c>
      <c r="S18" s="105"/>
      <c r="T18" s="122"/>
      <c r="U18" s="123"/>
      <c r="V18" s="105"/>
      <c r="W18" s="124">
        <f>IFERROR(Table13[[#This Row],[Mtr_Net_Exp (KWh)]]/(24*AR18*1000),"")</f>
        <v>0.31923076923076921</v>
      </c>
      <c r="X18" s="105">
        <f>IFERROR(_xlfn.XLOOKUP($A18,Input_Raw!$A:$A,Input_Raw!$CF:$CF),"")</f>
        <v>601869</v>
      </c>
      <c r="Y18" s="105">
        <f>IFERROR(_xlfn.XLOOKUP($A18,Input_Raw!$A:$A,Input_Raw!$CZ:$CZ),"")</f>
        <v>598800</v>
      </c>
      <c r="Z18" s="105">
        <f>IFERROR(_xlfn.XLOOKUP($A18,Input_Raw!$A:$A,Input_Raw!$DA:$DA),"")</f>
        <v>1200</v>
      </c>
      <c r="AA18" s="107">
        <f t="shared" si="2"/>
        <v>597600</v>
      </c>
      <c r="AB18" s="105">
        <f>IFERROR(_xlfn.XLOOKUP($A18,Input_Raw!$A:$A,Input_Raw!$DG:$DG),"")</f>
        <v>78</v>
      </c>
      <c r="AC18" s="125">
        <f>IFERROR(_xlfn.XLOOKUP($D18,'Modelling New'!$D:$D,'Modelling New'!$J:$J),"")</f>
        <v>5.6333333333333329</v>
      </c>
      <c r="AD18" s="107">
        <f>IFERROR(_xlfn.XLOOKUP($D18,'Modelling New'!$D:$D,'Modelling New'!$T:$T)*1000,"")</f>
        <v>340888.47260338557</v>
      </c>
      <c r="AE18" s="124"/>
      <c r="AF18" s="124">
        <f>IFERROR(_xlfn.XLOOKUP($D18,'Modelling New'!$D:$D,'Modelling New'!$W:$W),"")</f>
        <v>0.18209854305736409</v>
      </c>
      <c r="AG18" s="124">
        <f>IFERROR(_xlfn.XLOOKUP($D18,'Modelling New'!$D:$D,'Modelling New'!$AE:$AE),"")</f>
        <v>0.96029999999999993</v>
      </c>
      <c r="AH18" s="124">
        <f>IFERROR(_xlfn.XLOOKUP($D18,'Modelling New'!$D:$D,'Modelling New'!$AF:$AF),"")</f>
        <v>0.995</v>
      </c>
      <c r="AI18" s="105">
        <f>IFERROR(_xlfn.XLOOKUP($A18,Input_Raw!$A:$A,Input_Raw!$DE:$DE),"")</f>
        <v>601.86900000000003</v>
      </c>
      <c r="AJ18" s="105"/>
      <c r="AK18" s="105"/>
      <c r="AL18" s="105"/>
      <c r="AM18" s="105"/>
      <c r="AN18" s="126">
        <f>IFERROR(_xlfn.XLOOKUP($A18,Input_Raw!$A:$A,Input_Raw!$DB:$DB),"")</f>
        <v>5.0991162528722933E-3</v>
      </c>
      <c r="AO18" s="124">
        <f>IFERROR((_xlfn.XLOOKUP($A18,'WTG Reactive Power'!$A:$A,'WTG Reactive Power'!$AR:$AR))/X18/1000,"")</f>
        <v>7.9302971244573151E-6</v>
      </c>
      <c r="AP18" s="124">
        <f>IFERROR(_xlfn.XLOOKUP($D18,'Modelling New'!$D:$D,'Modelling New'!$AK:$AK),"")</f>
        <v>0.05</v>
      </c>
      <c r="AQ18" s="124">
        <f>IFERROR(_xlfn.XLOOKUP($D18,'Modelling New'!$D:$D,'Modelling New'!$AL:$AL),"")</f>
        <v>0.05</v>
      </c>
      <c r="AR18">
        <f>IFERROR(_xlfn.XLOOKUP($D18,'Modelling New'!$D:$D,'Modelling New'!$N:$N),"")</f>
        <v>78</v>
      </c>
    </row>
    <row r="19" spans="1:44">
      <c r="A19" s="118">
        <f t="shared" si="3"/>
        <v>45762</v>
      </c>
      <c r="B19" s="107">
        <f>YEAR(Table13[[#This Row],[Date]])+IF(MONTH(Table13[[#This Row],[Date]])&gt;=4,1,0)</f>
        <v>2026</v>
      </c>
      <c r="C19" s="105">
        <f>YEAR(Table13[[#This Row],[Date]])</f>
        <v>2025</v>
      </c>
      <c r="D19" s="119">
        <f>Table13[[#This Row],[Date]]-DAY(Table13[[#This Row],[Date]])+1</f>
        <v>45748</v>
      </c>
      <c r="E19" s="105">
        <f t="shared" si="0"/>
        <v>30</v>
      </c>
      <c r="F19" s="108"/>
      <c r="G19" s="109"/>
      <c r="H19" s="109"/>
      <c r="I19" s="109"/>
      <c r="J19" s="109"/>
      <c r="K19" s="120"/>
      <c r="L19" s="109"/>
      <c r="M19" s="109">
        <f>IFERROR(_xlfn.XLOOKUP($A19,Input_Raw!$A:$A,Input_Raw!CG:CG),"")</f>
        <v>5.9428205128205125</v>
      </c>
      <c r="N19" s="109">
        <f>IFERROR(_xlfn.XLOOKUP($A19,Input_Raw!$A:$A,Input_Raw!CH:CH),"")</f>
        <v>0</v>
      </c>
      <c r="O19" s="121">
        <f t="shared" si="1"/>
        <v>0.93748485228023004</v>
      </c>
      <c r="P19" s="121">
        <f>IFERROR(1-SUMIF(WTG_BD!$F:$F,$A19,WTG_BD!$AA:$AA)/($AA19+SUMIF(WTG_BD!$F:$F,$A19,WTG_BD!$AA:$AA)),"")</f>
        <v>0.93748485228023004</v>
      </c>
      <c r="Q19" s="122">
        <f>IFERROR(1-SUMIF(IGA_BD!$F:$F,$A19,IGA_BD!$V:$V)/($AA19+SUMIF(IGA_BD!$F:$F,$A19,IGA_BD!$V:$V)),"")</f>
        <v>1</v>
      </c>
      <c r="R19" s="127">
        <f>IFERROR(1-SUMIF(Grid_BD!$F:$F,$A19,Grid_BD!$X:$X)/($AA19+SUMIF(Grid_BD!$F:$F,$A19,Grid_BD!$X:$X)),"")</f>
        <v>1</v>
      </c>
      <c r="S19" s="105"/>
      <c r="T19" s="122"/>
      <c r="U19" s="123"/>
      <c r="V19" s="105"/>
      <c r="W19" s="124">
        <f>IFERROR(Table13[[#This Row],[Mtr_Net_Exp (KWh)]]/(24*AR19*1000),"")</f>
        <v>0.27948717948717949</v>
      </c>
      <c r="X19" s="105">
        <f>IFERROR(_xlfn.XLOOKUP($A19,Input_Raw!$A:$A,Input_Raw!$CF:$CF),"")</f>
        <v>530337</v>
      </c>
      <c r="Y19" s="105">
        <f>IFERROR(_xlfn.XLOOKUP($A19,Input_Raw!$A:$A,Input_Raw!$CZ:$CZ),"")</f>
        <v>526800</v>
      </c>
      <c r="Z19" s="105">
        <f>IFERROR(_xlfn.XLOOKUP($A19,Input_Raw!$A:$A,Input_Raw!$DA:$DA),"")</f>
        <v>3600</v>
      </c>
      <c r="AA19" s="107">
        <f t="shared" si="2"/>
        <v>523200</v>
      </c>
      <c r="AB19" s="105">
        <f>IFERROR(_xlfn.XLOOKUP($A19,Input_Raw!$A:$A,Input_Raw!$DG:$DG),"")</f>
        <v>78</v>
      </c>
      <c r="AC19" s="125">
        <f>IFERROR(_xlfn.XLOOKUP($D19,'Modelling New'!$D:$D,'Modelling New'!$J:$J),"")</f>
        <v>5.6333333333333329</v>
      </c>
      <c r="AD19" s="107">
        <f>IFERROR(_xlfn.XLOOKUP($D19,'Modelling New'!$D:$D,'Modelling New'!$T:$T)*1000,"")</f>
        <v>340888.47260338557</v>
      </c>
      <c r="AE19" s="124"/>
      <c r="AF19" s="124">
        <f>IFERROR(_xlfn.XLOOKUP($D19,'Modelling New'!$D:$D,'Modelling New'!$W:$W),"")</f>
        <v>0.18209854305736409</v>
      </c>
      <c r="AG19" s="124">
        <f>IFERROR(_xlfn.XLOOKUP($D19,'Modelling New'!$D:$D,'Modelling New'!$AE:$AE),"")</f>
        <v>0.96029999999999993</v>
      </c>
      <c r="AH19" s="124">
        <f>IFERROR(_xlfn.XLOOKUP($D19,'Modelling New'!$D:$D,'Modelling New'!$AF:$AF),"")</f>
        <v>0.995</v>
      </c>
      <c r="AI19" s="105">
        <f>IFERROR(_xlfn.XLOOKUP($A19,Input_Raw!$A:$A,Input_Raw!$DE:$DE),"")</f>
        <v>530.33699999999999</v>
      </c>
      <c r="AJ19" s="105"/>
      <c r="AK19" s="105"/>
      <c r="AL19" s="105"/>
      <c r="AM19" s="105"/>
      <c r="AN19" s="126">
        <f>IFERROR(_xlfn.XLOOKUP($A19,Input_Raw!$A:$A,Input_Raw!$DB:$DB),"")</f>
        <v>6.6693442094366562E-3</v>
      </c>
      <c r="AO19" s="124">
        <f>IFERROR((_xlfn.XLOOKUP($A19,'WTG Reactive Power'!$A:$A,'WTG Reactive Power'!$AR:$AR))/X19/1000,"")</f>
        <v>8.9999377754145018E-6</v>
      </c>
      <c r="AP19" s="124">
        <f>IFERROR(_xlfn.XLOOKUP($D19,'Modelling New'!$D:$D,'Modelling New'!$AK:$AK),"")</f>
        <v>0.05</v>
      </c>
      <c r="AQ19" s="124">
        <f>IFERROR(_xlfn.XLOOKUP($D19,'Modelling New'!$D:$D,'Modelling New'!$AL:$AL),"")</f>
        <v>0.05</v>
      </c>
      <c r="AR19">
        <f>IFERROR(_xlfn.XLOOKUP($D19,'Modelling New'!$D:$D,'Modelling New'!$N:$N),"")</f>
        <v>78</v>
      </c>
    </row>
    <row r="20" spans="1:44">
      <c r="A20" s="118">
        <f t="shared" si="3"/>
        <v>45763</v>
      </c>
      <c r="B20" s="107">
        <f>YEAR(Table13[[#This Row],[Date]])+IF(MONTH(Table13[[#This Row],[Date]])&gt;=4,1,0)</f>
        <v>2026</v>
      </c>
      <c r="C20" s="105">
        <f>YEAR(Table13[[#This Row],[Date]])</f>
        <v>2025</v>
      </c>
      <c r="D20" s="119">
        <f>Table13[[#This Row],[Date]]-DAY(Table13[[#This Row],[Date]])+1</f>
        <v>45748</v>
      </c>
      <c r="E20" s="105">
        <f t="shared" si="0"/>
        <v>30</v>
      </c>
      <c r="F20" s="108"/>
      <c r="G20" s="109"/>
      <c r="H20" s="109"/>
      <c r="I20" s="109"/>
      <c r="J20" s="109"/>
      <c r="K20" s="120"/>
      <c r="L20" s="109"/>
      <c r="M20" s="109">
        <f>IFERROR(_xlfn.XLOOKUP($A20,Input_Raw!$A:$A,Input_Raw!CG:CG),"")</f>
        <v>5.5674358974358968</v>
      </c>
      <c r="N20" s="109">
        <f>IFERROR(_xlfn.XLOOKUP($A20,Input_Raw!$A:$A,Input_Raw!CH:CH),"")</f>
        <v>0</v>
      </c>
      <c r="O20" s="121">
        <f t="shared" si="1"/>
        <v>0.94300973238477903</v>
      </c>
      <c r="P20" s="121">
        <f>IFERROR(1-SUMIF(WTG_BD!$F:$F,$A20,WTG_BD!$AA:$AA)/($AA20+SUMIF(WTG_BD!$F:$F,$A20,WTG_BD!$AA:$AA)),"")</f>
        <v>0.94300973238477903</v>
      </c>
      <c r="Q20" s="122">
        <f>IFERROR(1-SUMIF(IGA_BD!$F:$F,$A20,IGA_BD!$V:$V)/($AA20+SUMIF(IGA_BD!$F:$F,$A20,IGA_BD!$V:$V)),"")</f>
        <v>1</v>
      </c>
      <c r="R20" s="127">
        <f>IFERROR(1-SUMIF(Grid_BD!$F:$F,$A20,Grid_BD!$X:$X)/($AA20+SUMIF(Grid_BD!$F:$F,$A20,Grid_BD!$X:$X)),"")</f>
        <v>1</v>
      </c>
      <c r="S20" s="105"/>
      <c r="T20" s="122"/>
      <c r="U20" s="123"/>
      <c r="V20" s="105"/>
      <c r="W20" s="124">
        <f>IFERROR(Table13[[#This Row],[Mtr_Net_Exp (KWh)]]/(24*AR20*1000),"")</f>
        <v>0.29423076923076924</v>
      </c>
      <c r="X20" s="105">
        <f>IFERROR(_xlfn.XLOOKUP($A20,Input_Raw!$A:$A,Input_Raw!$CF:$CF),"")</f>
        <v>552581</v>
      </c>
      <c r="Y20" s="105">
        <f>IFERROR(_xlfn.XLOOKUP($A20,Input_Raw!$A:$A,Input_Raw!$CZ:$CZ),"")</f>
        <v>550800</v>
      </c>
      <c r="Z20" s="105">
        <f>IFERROR(_xlfn.XLOOKUP($A20,Input_Raw!$A:$A,Input_Raw!$DA:$DA),"")</f>
        <v>0</v>
      </c>
      <c r="AA20" s="107">
        <f t="shared" si="2"/>
        <v>550800</v>
      </c>
      <c r="AB20" s="105">
        <f>IFERROR(_xlfn.XLOOKUP($A20,Input_Raw!$A:$A,Input_Raw!$DG:$DG),"")</f>
        <v>78</v>
      </c>
      <c r="AC20" s="125">
        <f>IFERROR(_xlfn.XLOOKUP($D20,'Modelling New'!$D:$D,'Modelling New'!$J:$J),"")</f>
        <v>5.6333333333333329</v>
      </c>
      <c r="AD20" s="107">
        <f>IFERROR(_xlfn.XLOOKUP($D20,'Modelling New'!$D:$D,'Modelling New'!$T:$T)*1000,"")</f>
        <v>340888.47260338557</v>
      </c>
      <c r="AE20" s="124"/>
      <c r="AF20" s="124">
        <f>IFERROR(_xlfn.XLOOKUP($D20,'Modelling New'!$D:$D,'Modelling New'!$W:$W),"")</f>
        <v>0.18209854305736409</v>
      </c>
      <c r="AG20" s="124">
        <f>IFERROR(_xlfn.XLOOKUP($D20,'Modelling New'!$D:$D,'Modelling New'!$AE:$AE),"")</f>
        <v>0.96029999999999993</v>
      </c>
      <c r="AH20" s="124">
        <f>IFERROR(_xlfn.XLOOKUP($D20,'Modelling New'!$D:$D,'Modelling New'!$AF:$AF),"")</f>
        <v>0.995</v>
      </c>
      <c r="AI20" s="105">
        <f>IFERROR(_xlfn.XLOOKUP($A20,Input_Raw!$A:$A,Input_Raw!$DE:$DE),"")</f>
        <v>552.58100000000002</v>
      </c>
      <c r="AJ20" s="105"/>
      <c r="AK20" s="105"/>
      <c r="AL20" s="105"/>
      <c r="AM20" s="105"/>
      <c r="AN20" s="126">
        <f>IFERROR(_xlfn.XLOOKUP($A20,Input_Raw!$A:$A,Input_Raw!$DB:$DB),"")</f>
        <v>3.2230568912069435E-3</v>
      </c>
      <c r="AO20" s="124">
        <f>IFERROR((_xlfn.XLOOKUP($A20,'WTG Reactive Power'!$A:$A,'WTG Reactive Power'!$AR:$AR))/X20/1000,"")</f>
        <v>6.4949753972720738E-6</v>
      </c>
      <c r="AP20" s="124">
        <f>IFERROR(_xlfn.XLOOKUP($D20,'Modelling New'!$D:$D,'Modelling New'!$AK:$AK),"")</f>
        <v>0.05</v>
      </c>
      <c r="AQ20" s="124">
        <f>IFERROR(_xlfn.XLOOKUP($D20,'Modelling New'!$D:$D,'Modelling New'!$AL:$AL),"")</f>
        <v>0.05</v>
      </c>
      <c r="AR20">
        <f>IFERROR(_xlfn.XLOOKUP($D20,'Modelling New'!$D:$D,'Modelling New'!$N:$N),"")</f>
        <v>78</v>
      </c>
    </row>
    <row r="21" spans="1:44">
      <c r="A21" s="118">
        <f t="shared" si="3"/>
        <v>45764</v>
      </c>
      <c r="B21" s="107">
        <f>YEAR(Table13[[#This Row],[Date]])+IF(MONTH(Table13[[#This Row],[Date]])&gt;=4,1,0)</f>
        <v>2026</v>
      </c>
      <c r="C21" s="105">
        <f>YEAR(Table13[[#This Row],[Date]])</f>
        <v>2025</v>
      </c>
      <c r="D21" s="119">
        <f>Table13[[#This Row],[Date]]-DAY(Table13[[#This Row],[Date]])+1</f>
        <v>45748</v>
      </c>
      <c r="E21" s="105">
        <f t="shared" si="0"/>
        <v>30</v>
      </c>
      <c r="F21" s="108"/>
      <c r="G21" s="109"/>
      <c r="H21" s="109"/>
      <c r="I21" s="109"/>
      <c r="J21" s="109"/>
      <c r="K21" s="120"/>
      <c r="L21" s="109"/>
      <c r="M21" s="109">
        <f>IFERROR(_xlfn.XLOOKUP($A21,Input_Raw!$A:$A,Input_Raw!CG:CG),"")</f>
        <v>5.5761538461538445</v>
      </c>
      <c r="N21" s="109">
        <f>IFERROR(_xlfn.XLOOKUP($A21,Input_Raw!$A:$A,Input_Raw!CH:CH),"")</f>
        <v>0</v>
      </c>
      <c r="O21" s="121">
        <f t="shared" si="1"/>
        <v>0.94450453231704179</v>
      </c>
      <c r="P21" s="121">
        <f>IFERROR(1-SUMIF(WTG_BD!$F:$F,$A21,WTG_BD!$AA:$AA)/($AA21+SUMIF(WTG_BD!$F:$F,$A21,WTG_BD!$AA:$AA)),"")</f>
        <v>0.94450453231704179</v>
      </c>
      <c r="Q21" s="122">
        <f>IFERROR(1-SUMIF(IGA_BD!$F:$F,$A21,IGA_BD!$V:$V)/($AA21+SUMIF(IGA_BD!$F:$F,$A21,IGA_BD!$V:$V)),"")</f>
        <v>1</v>
      </c>
      <c r="R21" s="127">
        <f>IFERROR(1-SUMIF(Grid_BD!$F:$F,$A21,Grid_BD!$X:$X)/($AA21+SUMIF(Grid_BD!$F:$F,$A21,Grid_BD!$X:$X)),"")</f>
        <v>1</v>
      </c>
      <c r="S21" s="105"/>
      <c r="T21" s="122"/>
      <c r="U21" s="123"/>
      <c r="V21" s="105"/>
      <c r="W21" s="124">
        <f>IFERROR(Table13[[#This Row],[Mtr_Net_Exp (KWh)]]/(24*AR21*1000),"")</f>
        <v>0.27884615384615385</v>
      </c>
      <c r="X21" s="105">
        <f>IFERROR(_xlfn.XLOOKUP($A21,Input_Raw!$A:$A,Input_Raw!$CF:$CF),"")</f>
        <v>522462</v>
      </c>
      <c r="Y21" s="105">
        <f>IFERROR(_xlfn.XLOOKUP($A21,Input_Raw!$A:$A,Input_Raw!$CZ:$CZ),"")</f>
        <v>522000</v>
      </c>
      <c r="Z21" s="105">
        <f>IFERROR(_xlfn.XLOOKUP($A21,Input_Raw!$A:$A,Input_Raw!$DA:$DA),"")</f>
        <v>0</v>
      </c>
      <c r="AA21" s="107">
        <f t="shared" si="2"/>
        <v>522000</v>
      </c>
      <c r="AB21" s="105">
        <f>IFERROR(_xlfn.XLOOKUP($A21,Input_Raw!$A:$A,Input_Raw!$DG:$DG),"")</f>
        <v>78</v>
      </c>
      <c r="AC21" s="125">
        <f>IFERROR(_xlfn.XLOOKUP($D21,'Modelling New'!$D:$D,'Modelling New'!$J:$J),"")</f>
        <v>5.6333333333333329</v>
      </c>
      <c r="AD21" s="107">
        <f>IFERROR(_xlfn.XLOOKUP($D21,'Modelling New'!$D:$D,'Modelling New'!$T:$T)*1000,"")</f>
        <v>340888.47260338557</v>
      </c>
      <c r="AE21" s="124"/>
      <c r="AF21" s="124">
        <f>IFERROR(_xlfn.XLOOKUP($D21,'Modelling New'!$D:$D,'Modelling New'!$W:$W),"")</f>
        <v>0.18209854305736409</v>
      </c>
      <c r="AG21" s="124">
        <f>IFERROR(_xlfn.XLOOKUP($D21,'Modelling New'!$D:$D,'Modelling New'!$AE:$AE),"")</f>
        <v>0.96029999999999993</v>
      </c>
      <c r="AH21" s="124">
        <f>IFERROR(_xlfn.XLOOKUP($D21,'Modelling New'!$D:$D,'Modelling New'!$AF:$AF),"")</f>
        <v>0.995</v>
      </c>
      <c r="AI21" s="105">
        <f>IFERROR(_xlfn.XLOOKUP($A21,Input_Raw!$A:$A,Input_Raw!$DE:$DE),"")</f>
        <v>522.46199999999999</v>
      </c>
      <c r="AJ21" s="105"/>
      <c r="AK21" s="105"/>
      <c r="AL21" s="105"/>
      <c r="AM21" s="105"/>
      <c r="AN21" s="126">
        <f>IFERROR(_xlfn.XLOOKUP($A21,Input_Raw!$A:$A,Input_Raw!$DB:$DB),"")</f>
        <v>8.8427483721309486E-4</v>
      </c>
      <c r="AO21" s="124">
        <f>IFERROR((_xlfn.XLOOKUP($A21,'WTG Reactive Power'!$A:$A,'WTG Reactive Power'!$AR:$AR))/X21/1000,"")</f>
        <v>6.8693991141939508E-6</v>
      </c>
      <c r="AP21" s="124">
        <f>IFERROR(_xlfn.XLOOKUP($D21,'Modelling New'!$D:$D,'Modelling New'!$AK:$AK),"")</f>
        <v>0.05</v>
      </c>
      <c r="AQ21" s="124">
        <f>IFERROR(_xlfn.XLOOKUP($D21,'Modelling New'!$D:$D,'Modelling New'!$AL:$AL),"")</f>
        <v>0.05</v>
      </c>
      <c r="AR21">
        <f>IFERROR(_xlfn.XLOOKUP($D21,'Modelling New'!$D:$D,'Modelling New'!$N:$N),"")</f>
        <v>78</v>
      </c>
    </row>
    <row r="22" spans="1:44">
      <c r="A22" s="118">
        <f t="shared" si="3"/>
        <v>45765</v>
      </c>
      <c r="B22" s="107">
        <f>YEAR(Table13[[#This Row],[Date]])+IF(MONTH(Table13[[#This Row],[Date]])&gt;=4,1,0)</f>
        <v>2026</v>
      </c>
      <c r="C22" s="105">
        <f>YEAR(Table13[[#This Row],[Date]])</f>
        <v>2025</v>
      </c>
      <c r="D22" s="119">
        <f>Table13[[#This Row],[Date]]-DAY(Table13[[#This Row],[Date]])+1</f>
        <v>45748</v>
      </c>
      <c r="E22" s="105">
        <f t="shared" si="0"/>
        <v>30</v>
      </c>
      <c r="F22" s="108"/>
      <c r="G22" s="109"/>
      <c r="H22" s="109"/>
      <c r="I22" s="109"/>
      <c r="J22" s="109"/>
      <c r="K22" s="120"/>
      <c r="L22" s="109"/>
      <c r="M22" s="109">
        <f>IFERROR(_xlfn.XLOOKUP($A22,Input_Raw!$A:$A,Input_Raw!CG:CG),"")</f>
        <v>4.8151282051282047</v>
      </c>
      <c r="N22" s="109">
        <f>IFERROR(_xlfn.XLOOKUP($A22,Input_Raw!$A:$A,Input_Raw!CH:CH),"")</f>
        <v>0</v>
      </c>
      <c r="O22" s="121">
        <f t="shared" si="1"/>
        <v>0.93842865723042967</v>
      </c>
      <c r="P22" s="121">
        <f>IFERROR(1-SUMIF(WTG_BD!$F:$F,$A22,WTG_BD!$AA:$AA)/($AA22+SUMIF(WTG_BD!$F:$F,$A22,WTG_BD!$AA:$AA)),"")</f>
        <v>0.93842865723042967</v>
      </c>
      <c r="Q22" s="122">
        <f>IFERROR(1-SUMIF(IGA_BD!$F:$F,$A22,IGA_BD!$V:$V)/($AA22+SUMIF(IGA_BD!$F:$F,$A22,IGA_BD!$V:$V)),"")</f>
        <v>1</v>
      </c>
      <c r="R22" s="127">
        <f>IFERROR(1-SUMIF(Grid_BD!$F:$F,$A22,Grid_BD!$X:$X)/($AA22+SUMIF(Grid_BD!$F:$F,$A22,Grid_BD!$X:$X)),"")</f>
        <v>1</v>
      </c>
      <c r="S22" s="105"/>
      <c r="T22" s="122"/>
      <c r="U22" s="123"/>
      <c r="V22" s="105"/>
      <c r="W22" s="124">
        <f>IFERROR(Table13[[#This Row],[Mtr_Net_Exp (KWh)]]/(24*AR22*1000),"")</f>
        <v>0.1685897435897436</v>
      </c>
      <c r="X22" s="105">
        <f>IFERROR(_xlfn.XLOOKUP($A22,Input_Raw!$A:$A,Input_Raw!$CF:$CF),"")</f>
        <v>320599</v>
      </c>
      <c r="Y22" s="105">
        <f>IFERROR(_xlfn.XLOOKUP($A22,Input_Raw!$A:$A,Input_Raw!$CZ:$CZ),"")</f>
        <v>316800</v>
      </c>
      <c r="Z22" s="105">
        <f>IFERROR(_xlfn.XLOOKUP($A22,Input_Raw!$A:$A,Input_Raw!$DA:$DA),"")</f>
        <v>1200</v>
      </c>
      <c r="AA22" s="107">
        <f t="shared" si="2"/>
        <v>315600</v>
      </c>
      <c r="AB22" s="105">
        <f>IFERROR(_xlfn.XLOOKUP($A22,Input_Raw!$A:$A,Input_Raw!$DG:$DG),"")</f>
        <v>78</v>
      </c>
      <c r="AC22" s="125">
        <f>IFERROR(_xlfn.XLOOKUP($D22,'Modelling New'!$D:$D,'Modelling New'!$J:$J),"")</f>
        <v>5.6333333333333329</v>
      </c>
      <c r="AD22" s="107">
        <f>IFERROR(_xlfn.XLOOKUP($D22,'Modelling New'!$D:$D,'Modelling New'!$T:$T)*1000,"")</f>
        <v>340888.47260338557</v>
      </c>
      <c r="AE22" s="124"/>
      <c r="AF22" s="124">
        <f>IFERROR(_xlfn.XLOOKUP($D22,'Modelling New'!$D:$D,'Modelling New'!$W:$W),"")</f>
        <v>0.18209854305736409</v>
      </c>
      <c r="AG22" s="124">
        <f>IFERROR(_xlfn.XLOOKUP($D22,'Modelling New'!$D:$D,'Modelling New'!$AE:$AE),"")</f>
        <v>0.96029999999999993</v>
      </c>
      <c r="AH22" s="124">
        <f>IFERROR(_xlfn.XLOOKUP($D22,'Modelling New'!$D:$D,'Modelling New'!$AF:$AF),"")</f>
        <v>0.995</v>
      </c>
      <c r="AI22" s="105">
        <f>IFERROR(_xlfn.XLOOKUP($A22,Input_Raw!$A:$A,Input_Raw!$DE:$DE),"")</f>
        <v>320.58999999999997</v>
      </c>
      <c r="AJ22" s="105"/>
      <c r="AK22" s="105"/>
      <c r="AL22" s="105"/>
      <c r="AM22" s="105"/>
      <c r="AN22" s="126">
        <f>IFERROR(_xlfn.XLOOKUP($A22,Input_Raw!$A:$A,Input_Raw!$DB:$DB),"")</f>
        <v>1.1849693854316445E-2</v>
      </c>
      <c r="AO22" s="124">
        <f>IFERROR((_xlfn.XLOOKUP($A22,'WTG Reactive Power'!$A:$A,'WTG Reactive Power'!$AR:$AR))/X22/1000,"")</f>
        <v>2.2457961503311007E-5</v>
      </c>
      <c r="AP22" s="124">
        <f>IFERROR(_xlfn.XLOOKUP($D22,'Modelling New'!$D:$D,'Modelling New'!$AK:$AK),"")</f>
        <v>0.05</v>
      </c>
      <c r="AQ22" s="124">
        <f>IFERROR(_xlfn.XLOOKUP($D22,'Modelling New'!$D:$D,'Modelling New'!$AL:$AL),"")</f>
        <v>0.05</v>
      </c>
      <c r="AR22">
        <f>IFERROR(_xlfn.XLOOKUP($D22,'Modelling New'!$D:$D,'Modelling New'!$N:$N),"")</f>
        <v>78</v>
      </c>
    </row>
    <row r="23" spans="1:44">
      <c r="A23" s="118">
        <f t="shared" si="3"/>
        <v>45766</v>
      </c>
      <c r="B23" s="107">
        <f>YEAR(Table13[[#This Row],[Date]])+IF(MONTH(Table13[[#This Row],[Date]])&gt;=4,1,0)</f>
        <v>2026</v>
      </c>
      <c r="C23" s="105">
        <f>YEAR(Table13[[#This Row],[Date]])</f>
        <v>2025</v>
      </c>
      <c r="D23" s="119">
        <f>Table13[[#This Row],[Date]]-DAY(Table13[[#This Row],[Date]])+1</f>
        <v>45748</v>
      </c>
      <c r="E23" s="105">
        <f t="shared" si="0"/>
        <v>30</v>
      </c>
      <c r="F23" s="108"/>
      <c r="G23" s="109"/>
      <c r="H23" s="109"/>
      <c r="I23" s="109"/>
      <c r="J23" s="109"/>
      <c r="K23" s="120"/>
      <c r="L23" s="109"/>
      <c r="M23" s="109">
        <f>IFERROR(_xlfn.XLOOKUP($A23,Input_Raw!$A:$A,Input_Raw!CG:CG),"")</f>
        <v>4.5097435897435885</v>
      </c>
      <c r="N23" s="109">
        <f>IFERROR(_xlfn.XLOOKUP($A23,Input_Raw!$A:$A,Input_Raw!CH:CH),"")</f>
        <v>0</v>
      </c>
      <c r="O23" s="121">
        <f t="shared" si="1"/>
        <v>0.94174271672284748</v>
      </c>
      <c r="P23" s="121">
        <f>IFERROR(1-SUMIF(WTG_BD!$F:$F,$A23,WTG_BD!$AA:$AA)/($AA23+SUMIF(WTG_BD!$F:$F,$A23,WTG_BD!$AA:$AA)),"")</f>
        <v>0.94174271672284748</v>
      </c>
      <c r="Q23" s="122">
        <f>IFERROR(1-SUMIF(IGA_BD!$F:$F,$A23,IGA_BD!$V:$V)/($AA23+SUMIF(IGA_BD!$F:$F,$A23,IGA_BD!$V:$V)),"")</f>
        <v>1</v>
      </c>
      <c r="R23" s="127">
        <f>IFERROR(1-SUMIF(Grid_BD!$F:$F,$A23,Grid_BD!$X:$X)/($AA23+SUMIF(Grid_BD!$F:$F,$A23,Grid_BD!$X:$X)),"")</f>
        <v>1</v>
      </c>
      <c r="S23" s="105"/>
      <c r="T23" s="122"/>
      <c r="U23" s="123"/>
      <c r="V23" s="105"/>
      <c r="W23" s="124">
        <f>IFERROR(Table13[[#This Row],[Mtr_Net_Exp (KWh)]]/(24*AR23*1000),"")</f>
        <v>0.2153846153846154</v>
      </c>
      <c r="X23" s="105">
        <f>IFERROR(_xlfn.XLOOKUP($A23,Input_Raw!$A:$A,Input_Raw!$CF:$CF),"")</f>
        <v>407326</v>
      </c>
      <c r="Y23" s="105">
        <f>IFERROR(_xlfn.XLOOKUP($A23,Input_Raw!$A:$A,Input_Raw!$CZ:$CZ),"")</f>
        <v>405600</v>
      </c>
      <c r="Z23" s="105">
        <f>IFERROR(_xlfn.XLOOKUP($A23,Input_Raw!$A:$A,Input_Raw!$DA:$DA),"")</f>
        <v>2400</v>
      </c>
      <c r="AA23" s="107">
        <f t="shared" si="2"/>
        <v>403200</v>
      </c>
      <c r="AB23" s="105">
        <f>IFERROR(_xlfn.XLOOKUP($A23,Input_Raw!$A:$A,Input_Raw!$DG:$DG),"")</f>
        <v>78</v>
      </c>
      <c r="AC23" s="125">
        <f>IFERROR(_xlfn.XLOOKUP($D23,'Modelling New'!$D:$D,'Modelling New'!$J:$J),"")</f>
        <v>5.6333333333333329</v>
      </c>
      <c r="AD23" s="107">
        <f>IFERROR(_xlfn.XLOOKUP($D23,'Modelling New'!$D:$D,'Modelling New'!$T:$T)*1000,"")</f>
        <v>340888.47260338557</v>
      </c>
      <c r="AE23" s="124"/>
      <c r="AF23" s="124">
        <f>IFERROR(_xlfn.XLOOKUP($D23,'Modelling New'!$D:$D,'Modelling New'!$W:$W),"")</f>
        <v>0.18209854305736409</v>
      </c>
      <c r="AG23" s="124">
        <f>IFERROR(_xlfn.XLOOKUP($D23,'Modelling New'!$D:$D,'Modelling New'!$AE:$AE),"")</f>
        <v>0.96029999999999993</v>
      </c>
      <c r="AH23" s="124">
        <f>IFERROR(_xlfn.XLOOKUP($D23,'Modelling New'!$D:$D,'Modelling New'!$AF:$AF),"")</f>
        <v>0.995</v>
      </c>
      <c r="AI23" s="105">
        <f>IFERROR(_xlfn.XLOOKUP($A23,Input_Raw!$A:$A,Input_Raw!$DE:$DE),"")</f>
        <v>407.32</v>
      </c>
      <c r="AJ23" s="105"/>
      <c r="AK23" s="105"/>
      <c r="AL23" s="105"/>
      <c r="AM23" s="105"/>
      <c r="AN23" s="126">
        <f>IFERROR(_xlfn.XLOOKUP($A23,Input_Raw!$A:$A,Input_Raw!$DB:$DB),"")</f>
        <v>4.2373921625430411E-3</v>
      </c>
      <c r="AO23" s="124">
        <f>IFERROR((_xlfn.XLOOKUP($A23,'WTG Reactive Power'!$A:$A,'WTG Reactive Power'!$AR:$AR))/X23/1000,"")</f>
        <v>0</v>
      </c>
      <c r="AP23" s="124">
        <f>IFERROR(_xlfn.XLOOKUP($D23,'Modelling New'!$D:$D,'Modelling New'!$AK:$AK),"")</f>
        <v>0.05</v>
      </c>
      <c r="AQ23" s="124">
        <f>IFERROR(_xlfn.XLOOKUP($D23,'Modelling New'!$D:$D,'Modelling New'!$AL:$AL),"")</f>
        <v>0.05</v>
      </c>
      <c r="AR23">
        <f>IFERROR(_xlfn.XLOOKUP($D23,'Modelling New'!$D:$D,'Modelling New'!$N:$N),"")</f>
        <v>78</v>
      </c>
    </row>
    <row r="24" spans="1:44">
      <c r="A24" s="118">
        <f t="shared" si="3"/>
        <v>45767</v>
      </c>
      <c r="B24" s="107">
        <f>YEAR(Table13[[#This Row],[Date]])+IF(MONTH(Table13[[#This Row],[Date]])&gt;=4,1,0)</f>
        <v>2026</v>
      </c>
      <c r="C24" s="105">
        <f>YEAR(Table13[[#This Row],[Date]])</f>
        <v>2025</v>
      </c>
      <c r="D24" s="119">
        <f>Table13[[#This Row],[Date]]-DAY(Table13[[#This Row],[Date]])+1</f>
        <v>45748</v>
      </c>
      <c r="E24" s="105">
        <f t="shared" si="0"/>
        <v>30</v>
      </c>
      <c r="F24" s="108"/>
      <c r="G24" s="109"/>
      <c r="H24" s="109"/>
      <c r="I24" s="109"/>
      <c r="J24" s="109"/>
      <c r="K24" s="120"/>
      <c r="L24" s="109"/>
      <c r="M24" s="109">
        <f>IFERROR(_xlfn.XLOOKUP($A24,Input_Raw!$A:$A,Input_Raw!CG:CG),"")</f>
        <v>6.7210256410256397</v>
      </c>
      <c r="N24" s="109">
        <f>IFERROR(_xlfn.XLOOKUP($A24,Input_Raw!$A:$A,Input_Raw!CH:CH),"")</f>
        <v>0</v>
      </c>
      <c r="O24" s="121">
        <f t="shared" si="1"/>
        <v>0.94175509881912511</v>
      </c>
      <c r="P24" s="121">
        <f>IFERROR(1-SUMIF(WTG_BD!$F:$F,$A24,WTG_BD!$AA:$AA)/($AA24+SUMIF(WTG_BD!$F:$F,$A24,WTG_BD!$AA:$AA)),"")</f>
        <v>0.94175509881912511</v>
      </c>
      <c r="Q24" s="122">
        <f>IFERROR(1-SUMIF(IGA_BD!$F:$F,$A24,IGA_BD!$V:$V)/($AA24+SUMIF(IGA_BD!$F:$F,$A24,IGA_BD!$V:$V)),"")</f>
        <v>1</v>
      </c>
      <c r="R24" s="127">
        <f>IFERROR(1-SUMIF(Grid_BD!$F:$F,$A24,Grid_BD!$X:$X)/($AA24+SUMIF(Grid_BD!$F:$F,$A24,Grid_BD!$X:$X)),"")</f>
        <v>1</v>
      </c>
      <c r="S24" s="105"/>
      <c r="T24" s="122"/>
      <c r="U24" s="123"/>
      <c r="V24" s="105"/>
      <c r="W24" s="124">
        <f>IFERROR(Table13[[#This Row],[Mtr_Net_Exp (KWh)]]/(24*AR24*1000),"")</f>
        <v>0.4012820512820513</v>
      </c>
      <c r="X24" s="105">
        <f>IFERROR(_xlfn.XLOOKUP($A24,Input_Raw!$A:$A,Input_Raw!$CF:$CF),"")</f>
        <v>752099</v>
      </c>
      <c r="Y24" s="105">
        <f>IFERROR(_xlfn.XLOOKUP($A24,Input_Raw!$A:$A,Input_Raw!$CZ:$CZ),"")</f>
        <v>751200</v>
      </c>
      <c r="Z24" s="105">
        <f>IFERROR(_xlfn.XLOOKUP($A24,Input_Raw!$A:$A,Input_Raw!$DA:$DA),"")</f>
        <v>0</v>
      </c>
      <c r="AA24" s="107">
        <f t="shared" si="2"/>
        <v>751200</v>
      </c>
      <c r="AB24" s="105">
        <f>IFERROR(_xlfn.XLOOKUP($A24,Input_Raw!$A:$A,Input_Raw!$DG:$DG),"")</f>
        <v>78</v>
      </c>
      <c r="AC24" s="125">
        <f>IFERROR(_xlfn.XLOOKUP($D24,'Modelling New'!$D:$D,'Modelling New'!$J:$J),"")</f>
        <v>5.6333333333333329</v>
      </c>
      <c r="AD24" s="107">
        <f>IFERROR(_xlfn.XLOOKUP($D24,'Modelling New'!$D:$D,'Modelling New'!$T:$T)*1000,"")</f>
        <v>340888.47260338557</v>
      </c>
      <c r="AE24" s="124"/>
      <c r="AF24" s="124">
        <f>IFERROR(_xlfn.XLOOKUP($D24,'Modelling New'!$D:$D,'Modelling New'!$W:$W),"")</f>
        <v>0.18209854305736409</v>
      </c>
      <c r="AG24" s="124">
        <f>IFERROR(_xlfn.XLOOKUP($D24,'Modelling New'!$D:$D,'Modelling New'!$AE:$AE),"")</f>
        <v>0.96029999999999993</v>
      </c>
      <c r="AH24" s="124">
        <f>IFERROR(_xlfn.XLOOKUP($D24,'Modelling New'!$D:$D,'Modelling New'!$AF:$AF),"")</f>
        <v>0.995</v>
      </c>
      <c r="AI24" s="105">
        <f>IFERROR(_xlfn.XLOOKUP($A24,Input_Raw!$A:$A,Input_Raw!$DE:$DE),"")</f>
        <v>752.09</v>
      </c>
      <c r="AJ24" s="105"/>
      <c r="AK24" s="105"/>
      <c r="AL24" s="105"/>
      <c r="AM24" s="105"/>
      <c r="AN24" s="126">
        <f>IFERROR(_xlfn.XLOOKUP($A24,Input_Raw!$A:$A,Input_Raw!$DB:$DB),"")</f>
        <v>1.1953213606187285E-3</v>
      </c>
      <c r="AO24" s="124">
        <f>IFERROR((_xlfn.XLOOKUP($A24,'WTG Reactive Power'!$A:$A,'WTG Reactive Power'!$AR:$AR))/X24/1000,"")</f>
        <v>0</v>
      </c>
      <c r="AP24" s="124">
        <f>IFERROR(_xlfn.XLOOKUP($D24,'Modelling New'!$D:$D,'Modelling New'!$AK:$AK),"")</f>
        <v>0.05</v>
      </c>
      <c r="AQ24" s="124">
        <f>IFERROR(_xlfn.XLOOKUP($D24,'Modelling New'!$D:$D,'Modelling New'!$AL:$AL),"")</f>
        <v>0.05</v>
      </c>
      <c r="AR24">
        <f>IFERROR(_xlfn.XLOOKUP($D24,'Modelling New'!$D:$D,'Modelling New'!$N:$N),"")</f>
        <v>78</v>
      </c>
    </row>
    <row r="25" spans="1:44">
      <c r="A25" s="118">
        <f t="shared" si="3"/>
        <v>45768</v>
      </c>
      <c r="B25" s="107">
        <f>YEAR(Table13[[#This Row],[Date]])+IF(MONTH(Table13[[#This Row],[Date]])&gt;=4,1,0)</f>
        <v>2026</v>
      </c>
      <c r="C25" s="105">
        <f>YEAR(Table13[[#This Row],[Date]])</f>
        <v>2025</v>
      </c>
      <c r="D25" s="119">
        <f>Table13[[#This Row],[Date]]-DAY(Table13[[#This Row],[Date]])+1</f>
        <v>45748</v>
      </c>
      <c r="E25" s="105">
        <f t="shared" si="0"/>
        <v>30</v>
      </c>
      <c r="F25" s="108"/>
      <c r="G25" s="109"/>
      <c r="H25" s="109"/>
      <c r="I25" s="109"/>
      <c r="J25" s="109"/>
      <c r="K25" s="120"/>
      <c r="L25" s="109"/>
      <c r="M25" s="109">
        <f>IFERROR(_xlfn.XLOOKUP($A25,Input_Raw!$A:$A,Input_Raw!CG:CG),"")</f>
        <v>5.25979450046166</v>
      </c>
      <c r="N25" s="109">
        <f>IFERROR(_xlfn.XLOOKUP($A25,Input_Raw!$A:$A,Input_Raw!CH:CH),"")</f>
        <v>0</v>
      </c>
      <c r="O25" s="121">
        <f t="shared" si="1"/>
        <v>0.9428951388204837</v>
      </c>
      <c r="P25" s="121">
        <f>IFERROR(1-SUMIF(WTG_BD!$F:$F,$A25,WTG_BD!$AA:$AA)/($AA25+SUMIF(WTG_BD!$F:$F,$A25,WTG_BD!$AA:$AA)),"")</f>
        <v>0.9428951388204837</v>
      </c>
      <c r="Q25" s="122">
        <f>IFERROR(1-SUMIF(IGA_BD!$F:$F,$A25,IGA_BD!$V:$V)/($AA25+SUMIF(IGA_BD!$F:$F,$A25,IGA_BD!$V:$V)),"")</f>
        <v>1</v>
      </c>
      <c r="R25" s="127">
        <f>IFERROR(1-SUMIF(Grid_BD!$F:$F,$A25,Grid_BD!$X:$X)/($AA25+SUMIF(Grid_BD!$F:$F,$A25,Grid_BD!$X:$X)),"")</f>
        <v>1</v>
      </c>
      <c r="S25" s="105"/>
      <c r="T25" s="122"/>
      <c r="U25" s="123"/>
      <c r="V25" s="105"/>
      <c r="W25" s="124">
        <f>IFERROR(Table13[[#This Row],[Mtr_Net_Exp (KWh)]]/(24*AR25*1000),"")</f>
        <v>0.15448717948717949</v>
      </c>
      <c r="X25" s="105">
        <f>IFERROR(_xlfn.XLOOKUP($A25,Input_Raw!$A:$A,Input_Raw!$CF:$CF),"")</f>
        <v>299034</v>
      </c>
      <c r="Y25" s="105">
        <f>IFERROR(_xlfn.XLOOKUP($A25,Input_Raw!$A:$A,Input_Raw!$CZ:$CZ),"")</f>
        <v>291600</v>
      </c>
      <c r="Z25" s="105">
        <f>IFERROR(_xlfn.XLOOKUP($A25,Input_Raw!$A:$A,Input_Raw!$DA:$DA),"")</f>
        <v>2400</v>
      </c>
      <c r="AA25" s="107">
        <f t="shared" si="2"/>
        <v>289200</v>
      </c>
      <c r="AB25" s="105">
        <f>IFERROR(_xlfn.XLOOKUP($A25,Input_Raw!$A:$A,Input_Raw!$DG:$DG),"")</f>
        <v>78</v>
      </c>
      <c r="AC25" s="125">
        <f>IFERROR(_xlfn.XLOOKUP($D25,'Modelling New'!$D:$D,'Modelling New'!$J:$J),"")</f>
        <v>5.6333333333333329</v>
      </c>
      <c r="AD25" s="107">
        <f>IFERROR(_xlfn.XLOOKUP($D25,'Modelling New'!$D:$D,'Modelling New'!$T:$T)*1000,"")</f>
        <v>340888.47260338557</v>
      </c>
      <c r="AE25" s="124"/>
      <c r="AF25" s="124">
        <f>IFERROR(_xlfn.XLOOKUP($D25,'Modelling New'!$D:$D,'Modelling New'!$W:$W),"")</f>
        <v>0.18209854305736409</v>
      </c>
      <c r="AG25" s="124">
        <f>IFERROR(_xlfn.XLOOKUP($D25,'Modelling New'!$D:$D,'Modelling New'!$AE:$AE),"")</f>
        <v>0.96029999999999993</v>
      </c>
      <c r="AH25" s="124">
        <f>IFERROR(_xlfn.XLOOKUP($D25,'Modelling New'!$D:$D,'Modelling New'!$AF:$AF),"")</f>
        <v>0.995</v>
      </c>
      <c r="AI25" s="105">
        <f>IFERROR(_xlfn.XLOOKUP($A25,Input_Raw!$A:$A,Input_Raw!$DE:$DE),"")</f>
        <v>299.02999999999997</v>
      </c>
      <c r="AJ25" s="105"/>
      <c r="AK25" s="105"/>
      <c r="AL25" s="105"/>
      <c r="AM25" s="105"/>
      <c r="AN25" s="126">
        <f>IFERROR(_xlfn.XLOOKUP($A25,Input_Raw!$A:$A,Input_Raw!$DB:$DB),"")</f>
        <v>2.4860049358935821E-2</v>
      </c>
      <c r="AO25" s="124">
        <f>IFERROR((_xlfn.XLOOKUP($A25,'WTG Reactive Power'!$A:$A,'WTG Reactive Power'!$AR:$AR))/X25/1000,"")</f>
        <v>2.8087107151695124E-5</v>
      </c>
      <c r="AP25" s="124">
        <f>IFERROR(_xlfn.XLOOKUP($D25,'Modelling New'!$D:$D,'Modelling New'!$AK:$AK),"")</f>
        <v>0.05</v>
      </c>
      <c r="AQ25" s="124">
        <f>IFERROR(_xlfn.XLOOKUP($D25,'Modelling New'!$D:$D,'Modelling New'!$AL:$AL),"")</f>
        <v>0.05</v>
      </c>
      <c r="AR25">
        <f>IFERROR(_xlfn.XLOOKUP($D25,'Modelling New'!$D:$D,'Modelling New'!$N:$N),"")</f>
        <v>78</v>
      </c>
    </row>
    <row r="26" spans="1:44">
      <c r="A26" s="118">
        <f t="shared" si="3"/>
        <v>45769</v>
      </c>
      <c r="B26" s="107">
        <f>YEAR(Table13[[#This Row],[Date]])+IF(MONTH(Table13[[#This Row],[Date]])&gt;=4,1,0)</f>
        <v>2026</v>
      </c>
      <c r="C26" s="105">
        <f>YEAR(Table13[[#This Row],[Date]])</f>
        <v>2025</v>
      </c>
      <c r="D26" s="119">
        <f>Table13[[#This Row],[Date]]-DAY(Table13[[#This Row],[Date]])+1</f>
        <v>45748</v>
      </c>
      <c r="E26" s="105">
        <f t="shared" si="0"/>
        <v>30</v>
      </c>
      <c r="F26" s="108"/>
      <c r="G26" s="109"/>
      <c r="H26" s="109"/>
      <c r="I26" s="109"/>
      <c r="J26" s="109"/>
      <c r="K26" s="120"/>
      <c r="L26" s="109"/>
      <c r="M26" s="109">
        <f>IFERROR(_xlfn.XLOOKUP($A26,Input_Raw!$A:$A,Input_Raw!CG:CG),"")</f>
        <v>4.056923076923078</v>
      </c>
      <c r="N26" s="109">
        <f>IFERROR(_xlfn.XLOOKUP($A26,Input_Raw!$A:$A,Input_Raw!CH:CH),"")</f>
        <v>0</v>
      </c>
      <c r="O26" s="121">
        <f t="shared" si="1"/>
        <v>0.93433376353694308</v>
      </c>
      <c r="P26" s="121">
        <f>IFERROR(1-SUMIF(WTG_BD!$F:$F,$A26,WTG_BD!$AA:$AA)/($AA26+SUMIF(WTG_BD!$F:$F,$A26,WTG_BD!$AA:$AA)),"")</f>
        <v>0.93433376353694308</v>
      </c>
      <c r="Q26" s="122">
        <f>IFERROR(1-SUMIF(IGA_BD!$F:$F,$A26,IGA_BD!$V:$V)/($AA26+SUMIF(IGA_BD!$F:$F,$A26,IGA_BD!$V:$V)),"")</f>
        <v>1</v>
      </c>
      <c r="R26" s="127">
        <f>IFERROR(1-SUMIF(Grid_BD!$F:$F,$A26,Grid_BD!$X:$X)/($AA26+SUMIF(Grid_BD!$F:$F,$A26,Grid_BD!$X:$X)),"")</f>
        <v>1</v>
      </c>
      <c r="S26" s="105"/>
      <c r="T26" s="122"/>
      <c r="U26" s="123"/>
      <c r="V26" s="105"/>
      <c r="W26" s="124">
        <f>IFERROR(Table13[[#This Row],[Mtr_Net_Exp (KWh)]]/(24*AR26*1000),"")</f>
        <v>0.11346153846153846</v>
      </c>
      <c r="X26" s="105">
        <f>IFERROR(_xlfn.XLOOKUP($A26,Input_Raw!$A:$A,Input_Raw!$CF:$CF),"")</f>
        <v>215096</v>
      </c>
      <c r="Y26" s="105">
        <f>IFERROR(_xlfn.XLOOKUP($A26,Input_Raw!$A:$A,Input_Raw!$CZ:$CZ),"")</f>
        <v>213600</v>
      </c>
      <c r="Z26" s="105">
        <f>IFERROR(_xlfn.XLOOKUP($A26,Input_Raw!$A:$A,Input_Raw!$DA:$DA),"")</f>
        <v>1200</v>
      </c>
      <c r="AA26" s="107">
        <f t="shared" si="2"/>
        <v>212400</v>
      </c>
      <c r="AB26" s="105">
        <f>IFERROR(_xlfn.XLOOKUP($A26,Input_Raw!$A:$A,Input_Raw!$DG:$DG),"")</f>
        <v>78</v>
      </c>
      <c r="AC26" s="125">
        <f>IFERROR(_xlfn.XLOOKUP($D26,'Modelling New'!$D:$D,'Modelling New'!$J:$J),"")</f>
        <v>5.6333333333333329</v>
      </c>
      <c r="AD26" s="107">
        <f>IFERROR(_xlfn.XLOOKUP($D26,'Modelling New'!$D:$D,'Modelling New'!$T:$T)*1000,"")</f>
        <v>340888.47260338557</v>
      </c>
      <c r="AE26" s="124"/>
      <c r="AF26" s="124">
        <f>IFERROR(_xlfn.XLOOKUP($D26,'Modelling New'!$D:$D,'Modelling New'!$W:$W),"")</f>
        <v>0.18209854305736409</v>
      </c>
      <c r="AG26" s="124">
        <f>IFERROR(_xlfn.XLOOKUP($D26,'Modelling New'!$D:$D,'Modelling New'!$AE:$AE),"")</f>
        <v>0.96029999999999993</v>
      </c>
      <c r="AH26" s="124">
        <f>IFERROR(_xlfn.XLOOKUP($D26,'Modelling New'!$D:$D,'Modelling New'!$AF:$AF),"")</f>
        <v>0.995</v>
      </c>
      <c r="AI26" s="105">
        <f>IFERROR(_xlfn.XLOOKUP($A26,Input_Raw!$A:$A,Input_Raw!$DE:$DE),"")</f>
        <v>215.09</v>
      </c>
      <c r="AJ26" s="105"/>
      <c r="AK26" s="105"/>
      <c r="AL26" s="105"/>
      <c r="AM26" s="105"/>
      <c r="AN26" s="126">
        <f>IFERROR(_xlfn.XLOOKUP($A26,Input_Raw!$A:$A,Input_Raw!$DB:$DB),"")</f>
        <v>6.955034031316254E-3</v>
      </c>
      <c r="AO26" s="124">
        <f>IFERROR((_xlfn.XLOOKUP($A26,'WTG Reactive Power'!$A:$A,'WTG Reactive Power'!$AR:$AR))/X26/1000,"")</f>
        <v>3.9047681035444639E-5</v>
      </c>
      <c r="AP26" s="124">
        <f>IFERROR(_xlfn.XLOOKUP($D26,'Modelling New'!$D:$D,'Modelling New'!$AK:$AK),"")</f>
        <v>0.05</v>
      </c>
      <c r="AQ26" s="124">
        <f>IFERROR(_xlfn.XLOOKUP($D26,'Modelling New'!$D:$D,'Modelling New'!$AL:$AL),"")</f>
        <v>0.05</v>
      </c>
      <c r="AR26">
        <f>IFERROR(_xlfn.XLOOKUP($D26,'Modelling New'!$D:$D,'Modelling New'!$N:$N),"")</f>
        <v>78</v>
      </c>
    </row>
    <row r="27" spans="1:44">
      <c r="A27" s="118">
        <f t="shared" si="3"/>
        <v>45770</v>
      </c>
      <c r="B27" s="107">
        <f>YEAR(Table13[[#This Row],[Date]])+IF(MONTH(Table13[[#This Row],[Date]])&gt;=4,1,0)</f>
        <v>2026</v>
      </c>
      <c r="C27" s="105">
        <f>YEAR(Table13[[#This Row],[Date]])</f>
        <v>2025</v>
      </c>
      <c r="D27" s="119">
        <f>Table13[[#This Row],[Date]]-DAY(Table13[[#This Row],[Date]])+1</f>
        <v>45748</v>
      </c>
      <c r="E27" s="105">
        <f t="shared" si="0"/>
        <v>30</v>
      </c>
      <c r="F27" s="108"/>
      <c r="G27" s="109"/>
      <c r="H27" s="109"/>
      <c r="I27" s="109"/>
      <c r="J27" s="109"/>
      <c r="K27" s="120"/>
      <c r="L27" s="109"/>
      <c r="M27" s="109">
        <f>IFERROR(_xlfn.XLOOKUP($A27,Input_Raw!$A:$A,Input_Raw!CG:CG),"")</f>
        <v>3.4902564102564111</v>
      </c>
      <c r="N27" s="109">
        <f>IFERROR(_xlfn.XLOOKUP($A27,Input_Raw!$A:$A,Input_Raw!CH:CH),"")</f>
        <v>0</v>
      </c>
      <c r="O27" s="121">
        <f t="shared" si="1"/>
        <v>0.9424764391420497</v>
      </c>
      <c r="P27" s="121">
        <f>IFERROR(1-SUMIF(WTG_BD!$F:$F,$A27,WTG_BD!$AA:$AA)/($AA27+SUMIF(WTG_BD!$F:$F,$A27,WTG_BD!$AA:$AA)),"")</f>
        <v>0.9424764391420497</v>
      </c>
      <c r="Q27" s="122">
        <f>IFERROR(1-SUMIF(IGA_BD!$F:$F,$A27,IGA_BD!$V:$V)/($AA27+SUMIF(IGA_BD!$F:$F,$A27,IGA_BD!$V:$V)),"")</f>
        <v>1</v>
      </c>
      <c r="R27" s="127">
        <f>IFERROR(1-SUMIF(Grid_BD!$F:$F,$A27,Grid_BD!$X:$X)/($AA27+SUMIF(Grid_BD!$F:$F,$A27,Grid_BD!$X:$X)),"")</f>
        <v>1</v>
      </c>
      <c r="S27" s="105"/>
      <c r="T27" s="122"/>
      <c r="U27" s="123"/>
      <c r="V27" s="105"/>
      <c r="W27" s="124">
        <f>IFERROR(Table13[[#This Row],[Mtr_Net_Exp (KWh)]]/(24*AR27*1000),"")</f>
        <v>6.4743589743589749E-2</v>
      </c>
      <c r="X27" s="105">
        <f>IFERROR(_xlfn.XLOOKUP($A27,Input_Raw!$A:$A,Input_Raw!$CF:$CF),"")</f>
        <v>128167</v>
      </c>
      <c r="Y27" s="105">
        <f>IFERROR(_xlfn.XLOOKUP($A27,Input_Raw!$A:$A,Input_Raw!$CZ:$CZ),"")</f>
        <v>126000</v>
      </c>
      <c r="Z27" s="105">
        <f>IFERROR(_xlfn.XLOOKUP($A27,Input_Raw!$A:$A,Input_Raw!$DA:$DA),"")</f>
        <v>4800</v>
      </c>
      <c r="AA27" s="107">
        <f t="shared" si="2"/>
        <v>121200</v>
      </c>
      <c r="AB27" s="105">
        <f>IFERROR(_xlfn.XLOOKUP($A27,Input_Raw!$A:$A,Input_Raw!$DG:$DG),"")</f>
        <v>78</v>
      </c>
      <c r="AC27" s="125">
        <f>IFERROR(_xlfn.XLOOKUP($D27,'Modelling New'!$D:$D,'Modelling New'!$J:$J),"")</f>
        <v>5.6333333333333329</v>
      </c>
      <c r="AD27" s="107">
        <f>IFERROR(_xlfn.XLOOKUP($D27,'Modelling New'!$D:$D,'Modelling New'!$T:$T)*1000,"")</f>
        <v>340888.47260338557</v>
      </c>
      <c r="AE27" s="124"/>
      <c r="AF27" s="124">
        <f>IFERROR(_xlfn.XLOOKUP($D27,'Modelling New'!$D:$D,'Modelling New'!$W:$W),"")</f>
        <v>0.18209854305736409</v>
      </c>
      <c r="AG27" s="124">
        <f>IFERROR(_xlfn.XLOOKUP($D27,'Modelling New'!$D:$D,'Modelling New'!$AE:$AE),"")</f>
        <v>0.96029999999999993</v>
      </c>
      <c r="AH27" s="124">
        <f>IFERROR(_xlfn.XLOOKUP($D27,'Modelling New'!$D:$D,'Modelling New'!$AF:$AF),"")</f>
        <v>0.995</v>
      </c>
      <c r="AI27" s="105">
        <f>IFERROR(_xlfn.XLOOKUP($A27,Input_Raw!$A:$A,Input_Raw!$DE:$DE),"")</f>
        <v>128.16</v>
      </c>
      <c r="AJ27" s="105"/>
      <c r="AK27" s="105"/>
      <c r="AL27" s="105"/>
      <c r="AM27" s="105"/>
      <c r="AN27" s="126">
        <f>IFERROR(_xlfn.XLOOKUP($A27,Input_Raw!$A:$A,Input_Raw!$DB:$DB),"")</f>
        <v>1.6907628328664992E-2</v>
      </c>
      <c r="AO27" s="124">
        <f>IFERROR((_xlfn.XLOOKUP($A27,'WTG Reactive Power'!$A:$A,'WTG Reactive Power'!$AR:$AR))/X27/1000,"")</f>
        <v>5.617670695264772E-5</v>
      </c>
      <c r="AP27" s="124">
        <f>IFERROR(_xlfn.XLOOKUP($D27,'Modelling New'!$D:$D,'Modelling New'!$AK:$AK),"")</f>
        <v>0.05</v>
      </c>
      <c r="AQ27" s="124">
        <f>IFERROR(_xlfn.XLOOKUP($D27,'Modelling New'!$D:$D,'Modelling New'!$AL:$AL),"")</f>
        <v>0.05</v>
      </c>
      <c r="AR27">
        <f>IFERROR(_xlfn.XLOOKUP($D27,'Modelling New'!$D:$D,'Modelling New'!$N:$N),"")</f>
        <v>78</v>
      </c>
    </row>
    <row r="28" spans="1:44">
      <c r="A28" s="118">
        <f t="shared" si="3"/>
        <v>45771</v>
      </c>
      <c r="B28" s="107">
        <f>YEAR(Table13[[#This Row],[Date]])+IF(MONTH(Table13[[#This Row],[Date]])&gt;=4,1,0)</f>
        <v>2026</v>
      </c>
      <c r="C28" s="105">
        <f>YEAR(Table13[[#This Row],[Date]])</f>
        <v>2025</v>
      </c>
      <c r="D28" s="119">
        <f>Table13[[#This Row],[Date]]-DAY(Table13[[#This Row],[Date]])+1</f>
        <v>45748</v>
      </c>
      <c r="E28" s="105">
        <f t="shared" si="0"/>
        <v>30</v>
      </c>
      <c r="F28" s="108"/>
      <c r="G28" s="109"/>
      <c r="H28" s="109"/>
      <c r="I28" s="109"/>
      <c r="J28" s="109"/>
      <c r="K28" s="120"/>
      <c r="L28" s="109"/>
      <c r="M28" s="109">
        <f>IFERROR(_xlfn.XLOOKUP($A28,Input_Raw!$A:$A,Input_Raw!CG:CG),"")</f>
        <v>4.2943589743589747</v>
      </c>
      <c r="N28" s="109">
        <f>IFERROR(_xlfn.XLOOKUP($A28,Input_Raw!$A:$A,Input_Raw!CH:CH),"")</f>
        <v>0</v>
      </c>
      <c r="O28" s="121">
        <f t="shared" si="1"/>
        <v>0.93054678518910039</v>
      </c>
      <c r="P28" s="121">
        <f>IFERROR(1-SUMIF(WTG_BD!$F:$F,$A28,WTG_BD!$AA:$AA)/($AA28+SUMIF(WTG_BD!$F:$F,$A28,WTG_BD!$AA:$AA)),"")</f>
        <v>0.93054678518910039</v>
      </c>
      <c r="Q28" s="122">
        <f>IFERROR(1-SUMIF(IGA_BD!$F:$F,$A28,IGA_BD!$V:$V)/($AA28+SUMIF(IGA_BD!$F:$F,$A28,IGA_BD!$V:$V)),"")</f>
        <v>1</v>
      </c>
      <c r="R28" s="127">
        <f>IFERROR(1-SUMIF(Grid_BD!$F:$F,$A28,Grid_BD!$X:$X)/($AA28+SUMIF(Grid_BD!$F:$F,$A28,Grid_BD!$X:$X)),"")</f>
        <v>1</v>
      </c>
      <c r="S28" s="105"/>
      <c r="T28" s="122"/>
      <c r="U28" s="123"/>
      <c r="V28" s="105"/>
      <c r="W28" s="124">
        <f>IFERROR(Table13[[#This Row],[Mtr_Net_Exp (KWh)]]/(24*AR28*1000),"")</f>
        <v>0.10512820512820513</v>
      </c>
      <c r="X28" s="105">
        <f>IFERROR(_xlfn.XLOOKUP($A28,Input_Raw!$A:$A,Input_Raw!$CF:$CF),"")</f>
        <v>203962</v>
      </c>
      <c r="Y28" s="105">
        <f>IFERROR(_xlfn.XLOOKUP($A28,Input_Raw!$A:$A,Input_Raw!$CZ:$CZ),"")</f>
        <v>198000</v>
      </c>
      <c r="Z28" s="105">
        <f>IFERROR(_xlfn.XLOOKUP($A28,Input_Raw!$A:$A,Input_Raw!$DA:$DA),"")</f>
        <v>1200</v>
      </c>
      <c r="AA28" s="107">
        <f t="shared" si="2"/>
        <v>196800</v>
      </c>
      <c r="AB28" s="105">
        <f>IFERROR(_xlfn.XLOOKUP($A28,Input_Raw!$A:$A,Input_Raw!$DG:$DG),"")</f>
        <v>78</v>
      </c>
      <c r="AC28" s="125">
        <f>IFERROR(_xlfn.XLOOKUP($D28,'Modelling New'!$D:$D,'Modelling New'!$J:$J),"")</f>
        <v>5.6333333333333329</v>
      </c>
      <c r="AD28" s="107">
        <f>IFERROR(_xlfn.XLOOKUP($D28,'Modelling New'!$D:$D,'Modelling New'!$T:$T)*1000,"")</f>
        <v>340888.47260338557</v>
      </c>
      <c r="AE28" s="124"/>
      <c r="AF28" s="124">
        <f>IFERROR(_xlfn.XLOOKUP($D28,'Modelling New'!$D:$D,'Modelling New'!$W:$W),"")</f>
        <v>0.18209854305736409</v>
      </c>
      <c r="AG28" s="124">
        <f>IFERROR(_xlfn.XLOOKUP($D28,'Modelling New'!$D:$D,'Modelling New'!$AE:$AE),"")</f>
        <v>0.96029999999999993</v>
      </c>
      <c r="AH28" s="124">
        <f>IFERROR(_xlfn.XLOOKUP($D28,'Modelling New'!$D:$D,'Modelling New'!$AF:$AF),"")</f>
        <v>0.995</v>
      </c>
      <c r="AI28" s="105">
        <f>IFERROR(_xlfn.XLOOKUP($A28,Input_Raw!$A:$A,Input_Raw!$DE:$DE),"")</f>
        <v>203.96</v>
      </c>
      <c r="AJ28" s="105"/>
      <c r="AK28" s="105"/>
      <c r="AL28" s="105"/>
      <c r="AM28" s="105"/>
      <c r="AN28" s="126">
        <f>IFERROR(_xlfn.XLOOKUP($A28,Input_Raw!$A:$A,Input_Raw!$DB:$DB),"")</f>
        <v>2.9230935174199169E-2</v>
      </c>
      <c r="AO28" s="124">
        <f>IFERROR((_xlfn.XLOOKUP($A28,'WTG Reactive Power'!$A:$A,'WTG Reactive Power'!$AR:$AR))/X28/1000,"")</f>
        <v>4.6984242162755807E-5</v>
      </c>
      <c r="AP28" s="124">
        <f>IFERROR(_xlfn.XLOOKUP($D28,'Modelling New'!$D:$D,'Modelling New'!$AK:$AK),"")</f>
        <v>0.05</v>
      </c>
      <c r="AQ28" s="124">
        <f>IFERROR(_xlfn.XLOOKUP($D28,'Modelling New'!$D:$D,'Modelling New'!$AL:$AL),"")</f>
        <v>0.05</v>
      </c>
      <c r="AR28">
        <f>IFERROR(_xlfn.XLOOKUP($D28,'Modelling New'!$D:$D,'Modelling New'!$N:$N),"")</f>
        <v>78</v>
      </c>
    </row>
    <row r="29" spans="1:44">
      <c r="A29" s="118">
        <f t="shared" si="3"/>
        <v>45772</v>
      </c>
      <c r="B29" s="107">
        <f>YEAR(Table13[[#This Row],[Date]])+IF(MONTH(Table13[[#This Row],[Date]])&gt;=4,1,0)</f>
        <v>2026</v>
      </c>
      <c r="C29" s="105">
        <f>YEAR(Table13[[#This Row],[Date]])</f>
        <v>2025</v>
      </c>
      <c r="D29" s="119">
        <f>Table13[[#This Row],[Date]]-DAY(Table13[[#This Row],[Date]])+1</f>
        <v>45748</v>
      </c>
      <c r="E29" s="105">
        <f t="shared" si="0"/>
        <v>30</v>
      </c>
      <c r="F29" s="108"/>
      <c r="G29" s="109"/>
      <c r="H29" s="109"/>
      <c r="I29" s="109"/>
      <c r="J29" s="109"/>
      <c r="K29" s="120"/>
      <c r="L29" s="109"/>
      <c r="M29" s="109">
        <f>IFERROR(_xlfn.XLOOKUP($A29,Input_Raw!$A:$A,Input_Raw!CG:CG),"")</f>
        <v>4.2261538461538448</v>
      </c>
      <c r="N29" s="109">
        <f>IFERROR(_xlfn.XLOOKUP($A29,Input_Raw!$A:$A,Input_Raw!CH:CH),"")</f>
        <v>0</v>
      </c>
      <c r="O29" s="121">
        <f t="shared" si="1"/>
        <v>0.93129773655152626</v>
      </c>
      <c r="P29" s="121">
        <f>IFERROR(1-SUMIF(WTG_BD!$F:$F,$A29,WTG_BD!$AA:$AA)/($AA29+SUMIF(WTG_BD!$F:$F,$A29,WTG_BD!$AA:$AA)),"")</f>
        <v>0.93129773655152626</v>
      </c>
      <c r="Q29" s="122">
        <f>IFERROR(1-SUMIF(IGA_BD!$F:$F,$A29,IGA_BD!$V:$V)/($AA29+SUMIF(IGA_BD!$F:$F,$A29,IGA_BD!$V:$V)),"")</f>
        <v>1</v>
      </c>
      <c r="R29" s="127">
        <f>IFERROR(1-SUMIF(Grid_BD!$F:$F,$A29,Grid_BD!$X:$X)/($AA29+SUMIF(Grid_BD!$F:$F,$A29,Grid_BD!$X:$X)),"")</f>
        <v>1</v>
      </c>
      <c r="S29" s="105"/>
      <c r="T29" s="122"/>
      <c r="U29" s="123"/>
      <c r="V29" s="105"/>
      <c r="W29" s="124">
        <f>IFERROR(Table13[[#This Row],[Mtr_Net_Exp (KWh)]]/(24*AR29*1000),"")</f>
        <v>0.12756410256410255</v>
      </c>
      <c r="X29" s="105">
        <f>IFERROR(_xlfn.XLOOKUP($A29,Input_Raw!$A:$A,Input_Raw!$CF:$CF),"")</f>
        <v>243861</v>
      </c>
      <c r="Y29" s="105">
        <f>IFERROR(_xlfn.XLOOKUP($A29,Input_Raw!$A:$A,Input_Raw!$CZ:$CZ),"")</f>
        <v>242400</v>
      </c>
      <c r="Z29" s="105">
        <f>IFERROR(_xlfn.XLOOKUP($A29,Input_Raw!$A:$A,Input_Raw!$DA:$DA),"")</f>
        <v>3600</v>
      </c>
      <c r="AA29" s="107">
        <f t="shared" si="2"/>
        <v>238800</v>
      </c>
      <c r="AB29" s="105">
        <f>IFERROR(_xlfn.XLOOKUP($A29,Input_Raw!$A:$A,Input_Raw!$DG:$DG),"")</f>
        <v>78</v>
      </c>
      <c r="AC29" s="125">
        <f>IFERROR(_xlfn.XLOOKUP($D29,'Modelling New'!$D:$D,'Modelling New'!$J:$J),"")</f>
        <v>5.6333333333333329</v>
      </c>
      <c r="AD29" s="107">
        <f>IFERROR(_xlfn.XLOOKUP($D29,'Modelling New'!$D:$D,'Modelling New'!$T:$T)*1000,"")</f>
        <v>340888.47260338557</v>
      </c>
      <c r="AE29" s="124"/>
      <c r="AF29" s="124">
        <f>IFERROR(_xlfn.XLOOKUP($D29,'Modelling New'!$D:$D,'Modelling New'!$W:$W),"")</f>
        <v>0.18209854305736409</v>
      </c>
      <c r="AG29" s="124">
        <f>IFERROR(_xlfn.XLOOKUP($D29,'Modelling New'!$D:$D,'Modelling New'!$AE:$AE),"")</f>
        <v>0.96029999999999993</v>
      </c>
      <c r="AH29" s="124">
        <f>IFERROR(_xlfn.XLOOKUP($D29,'Modelling New'!$D:$D,'Modelling New'!$AF:$AF),"")</f>
        <v>0.995</v>
      </c>
      <c r="AI29" s="105">
        <f>IFERROR(_xlfn.XLOOKUP($A29,Input_Raw!$A:$A,Input_Raw!$DE:$DE),"")</f>
        <v>243.86</v>
      </c>
      <c r="AJ29" s="105"/>
      <c r="AK29" s="105"/>
      <c r="AL29" s="105"/>
      <c r="AM29" s="105"/>
      <c r="AN29" s="126">
        <f>IFERROR(_xlfn.XLOOKUP($A29,Input_Raw!$A:$A,Input_Raw!$DB:$DB),"")</f>
        <v>5.9911178909296536E-3</v>
      </c>
      <c r="AO29" s="124">
        <f>IFERROR((_xlfn.XLOOKUP($A29,'WTG Reactive Power'!$A:$A,'WTG Reactive Power'!$AR:$AR))/X29/1000,"")</f>
        <v>9.862175583631659E-6</v>
      </c>
      <c r="AP29" s="124">
        <f>IFERROR(_xlfn.XLOOKUP($D29,'Modelling New'!$D:$D,'Modelling New'!$AK:$AK),"")</f>
        <v>0.05</v>
      </c>
      <c r="AQ29" s="124">
        <f>IFERROR(_xlfn.XLOOKUP($D29,'Modelling New'!$D:$D,'Modelling New'!$AL:$AL),"")</f>
        <v>0.05</v>
      </c>
      <c r="AR29">
        <f>IFERROR(_xlfn.XLOOKUP($D29,'Modelling New'!$D:$D,'Modelling New'!$N:$N),"")</f>
        <v>78</v>
      </c>
    </row>
    <row r="30" spans="1:44">
      <c r="A30" s="118">
        <f t="shared" si="3"/>
        <v>45773</v>
      </c>
      <c r="B30" s="107">
        <f>YEAR(Table13[[#This Row],[Date]])+IF(MONTH(Table13[[#This Row],[Date]])&gt;=4,1,0)</f>
        <v>2026</v>
      </c>
      <c r="C30" s="105">
        <f>YEAR(Table13[[#This Row],[Date]])</f>
        <v>2025</v>
      </c>
      <c r="D30" s="119">
        <f>Table13[[#This Row],[Date]]-DAY(Table13[[#This Row],[Date]])+1</f>
        <v>45748</v>
      </c>
      <c r="E30" s="105">
        <f t="shared" si="0"/>
        <v>30</v>
      </c>
      <c r="F30" s="108"/>
      <c r="G30" s="109"/>
      <c r="H30" s="109"/>
      <c r="I30" s="109"/>
      <c r="J30" s="109"/>
      <c r="K30" s="120"/>
      <c r="L30" s="109"/>
      <c r="M30" s="109">
        <f>IFERROR(_xlfn.XLOOKUP($A30,Input_Raw!$A:$A,Input_Raw!CG:CG),"")</f>
        <v>4.8151282051282047</v>
      </c>
      <c r="N30" s="109">
        <f>IFERROR(_xlfn.XLOOKUP($A30,Input_Raw!$A:$A,Input_Raw!CH:CH),"")</f>
        <v>0</v>
      </c>
      <c r="O30" s="121">
        <f t="shared" si="1"/>
        <v>0.94182762101859263</v>
      </c>
      <c r="P30" s="121">
        <f>IFERROR(1-SUMIF(WTG_BD!$F:$F,$A30,WTG_BD!$AA:$AA)/($AA30+SUMIF(WTG_BD!$F:$F,$A30,WTG_BD!$AA:$AA)),"")</f>
        <v>0.94182762101859263</v>
      </c>
      <c r="Q30" s="122">
        <f>IFERROR(1-SUMIF(IGA_BD!$F:$F,$A30,IGA_BD!$V:$V)/($AA30+SUMIF(IGA_BD!$F:$F,$A30,IGA_BD!$V:$V)),"")</f>
        <v>1</v>
      </c>
      <c r="R30" s="127">
        <f>IFERROR(1-SUMIF(Grid_BD!$F:$F,$A30,Grid_BD!$X:$X)/($AA30+SUMIF(Grid_BD!$F:$F,$A30,Grid_BD!$X:$X)),"")</f>
        <v>1</v>
      </c>
      <c r="S30" s="105"/>
      <c r="T30" s="122"/>
      <c r="U30" s="123"/>
      <c r="V30" s="105"/>
      <c r="W30" s="124">
        <f>IFERROR(Table13[[#This Row],[Mtr_Net_Exp (KWh)]]/(24*AR30*1000),"")</f>
        <v>0.20128205128205129</v>
      </c>
      <c r="X30" s="105">
        <f>IFERROR(_xlfn.XLOOKUP($A30,Input_Raw!$A:$A,Input_Raw!$CF:$CF),"")</f>
        <v>379529</v>
      </c>
      <c r="Y30" s="105">
        <f>IFERROR(_xlfn.XLOOKUP($A30,Input_Raw!$A:$A,Input_Raw!$CZ:$CZ),"")</f>
        <v>376800</v>
      </c>
      <c r="Z30" s="105">
        <f>IFERROR(_xlfn.XLOOKUP($A30,Input_Raw!$A:$A,Input_Raw!$DA:$DA),"")</f>
        <v>0</v>
      </c>
      <c r="AA30" s="107">
        <f t="shared" si="2"/>
        <v>376800</v>
      </c>
      <c r="AB30" s="105">
        <f>IFERROR(_xlfn.XLOOKUP($A30,Input_Raw!$A:$A,Input_Raw!$DG:$DG),"")</f>
        <v>78</v>
      </c>
      <c r="AC30" s="125">
        <f>IFERROR(_xlfn.XLOOKUP($D30,'Modelling New'!$D:$D,'Modelling New'!$J:$J),"")</f>
        <v>5.6333333333333329</v>
      </c>
      <c r="AD30" s="107">
        <f>IFERROR(_xlfn.XLOOKUP($D30,'Modelling New'!$D:$D,'Modelling New'!$T:$T)*1000,"")</f>
        <v>340888.47260338557</v>
      </c>
      <c r="AE30" s="124"/>
      <c r="AF30" s="124">
        <f>IFERROR(_xlfn.XLOOKUP($D30,'Modelling New'!$D:$D,'Modelling New'!$W:$W),"")</f>
        <v>0.18209854305736409</v>
      </c>
      <c r="AG30" s="124">
        <f>IFERROR(_xlfn.XLOOKUP($D30,'Modelling New'!$D:$D,'Modelling New'!$AE:$AE),"")</f>
        <v>0.96029999999999993</v>
      </c>
      <c r="AH30" s="124">
        <f>IFERROR(_xlfn.XLOOKUP($D30,'Modelling New'!$D:$D,'Modelling New'!$AF:$AF),"")</f>
        <v>0.995</v>
      </c>
      <c r="AI30" s="105">
        <f>IFERROR(_xlfn.XLOOKUP($A30,Input_Raw!$A:$A,Input_Raw!$DE:$DE),"")</f>
        <v>379.52</v>
      </c>
      <c r="AJ30" s="105"/>
      <c r="AK30" s="105"/>
      <c r="AL30" s="105"/>
      <c r="AM30" s="105"/>
      <c r="AN30" s="126">
        <f>IFERROR(_xlfn.XLOOKUP($A30,Input_Raw!$A:$A,Input_Raw!$DB:$DB),"")</f>
        <v>7.1904913722008468E-3</v>
      </c>
      <c r="AO30" s="124">
        <f>IFERROR((_xlfn.XLOOKUP($A30,'WTG Reactive Power'!$A:$A,'WTG Reactive Power'!$AR:$AR))/X30/1000,"")</f>
        <v>6.3368016673297688E-6</v>
      </c>
      <c r="AP30" s="124">
        <f>IFERROR(_xlfn.XLOOKUP($D30,'Modelling New'!$D:$D,'Modelling New'!$AK:$AK),"")</f>
        <v>0.05</v>
      </c>
      <c r="AQ30" s="124">
        <f>IFERROR(_xlfn.XLOOKUP($D30,'Modelling New'!$D:$D,'Modelling New'!$AL:$AL),"")</f>
        <v>0.05</v>
      </c>
      <c r="AR30">
        <f>IFERROR(_xlfn.XLOOKUP($D30,'Modelling New'!$D:$D,'Modelling New'!$N:$N),"")</f>
        <v>78</v>
      </c>
    </row>
    <row r="31" spans="1:44">
      <c r="A31" s="118">
        <f t="shared" si="3"/>
        <v>45774</v>
      </c>
      <c r="B31" s="107">
        <f>YEAR(Table13[[#This Row],[Date]])+IF(MONTH(Table13[[#This Row],[Date]])&gt;=4,1,0)</f>
        <v>2026</v>
      </c>
      <c r="C31" s="105">
        <f>YEAR(Table13[[#This Row],[Date]])</f>
        <v>2025</v>
      </c>
      <c r="D31" s="119">
        <f>Table13[[#This Row],[Date]]-DAY(Table13[[#This Row],[Date]])+1</f>
        <v>45748</v>
      </c>
      <c r="E31" s="105">
        <f t="shared" si="0"/>
        <v>30</v>
      </c>
      <c r="F31" s="108"/>
      <c r="G31" s="109"/>
      <c r="H31" s="109"/>
      <c r="I31" s="109"/>
      <c r="J31" s="109"/>
      <c r="K31" s="120"/>
      <c r="L31" s="109"/>
      <c r="M31" s="109">
        <f>IFERROR(_xlfn.XLOOKUP($A31,Input_Raw!$A:$A,Input_Raw!CG:CG),"")</f>
        <v>4.2369230769230759</v>
      </c>
      <c r="N31" s="109">
        <f>IFERROR(_xlfn.XLOOKUP($A31,Input_Raw!$A:$A,Input_Raw!CH:CH),"")</f>
        <v>0</v>
      </c>
      <c r="O31" s="121">
        <f t="shared" si="1"/>
        <v>0.93396408860146529</v>
      </c>
      <c r="P31" s="121">
        <f>IFERROR(1-SUMIF(WTG_BD!$F:$F,$A31,WTG_BD!$AA:$AA)/($AA31+SUMIF(WTG_BD!$F:$F,$A31,WTG_BD!$AA:$AA)),"")</f>
        <v>0.93396408860146529</v>
      </c>
      <c r="Q31" s="122">
        <f>IFERROR(1-SUMIF(IGA_BD!$F:$F,$A31,IGA_BD!$V:$V)/($AA31+SUMIF(IGA_BD!$F:$F,$A31,IGA_BD!$V:$V)),"")</f>
        <v>1</v>
      </c>
      <c r="R31" s="127">
        <f>IFERROR(1-SUMIF(Grid_BD!$F:$F,$A31,Grid_BD!$X:$X)/($AA31+SUMIF(Grid_BD!$F:$F,$A31,Grid_BD!$X:$X)),"")</f>
        <v>1</v>
      </c>
      <c r="S31" s="105"/>
      <c r="T31" s="122"/>
      <c r="U31" s="123"/>
      <c r="V31" s="105"/>
      <c r="W31" s="124">
        <f>IFERROR(Table13[[#This Row],[Mtr_Net_Exp (KWh)]]/(24*AR31*1000),"")</f>
        <v>9.7435897435897437E-2</v>
      </c>
      <c r="X31" s="105">
        <f>IFERROR(_xlfn.XLOOKUP($A31,Input_Raw!$A:$A,Input_Raw!$CF:$CF),"")</f>
        <v>190112</v>
      </c>
      <c r="Y31" s="105">
        <f>IFERROR(_xlfn.XLOOKUP($A31,Input_Raw!$A:$A,Input_Raw!$CZ:$CZ),"")</f>
        <v>187200</v>
      </c>
      <c r="Z31" s="105">
        <f>IFERROR(_xlfn.XLOOKUP($A31,Input_Raw!$A:$A,Input_Raw!$DA:$DA),"")</f>
        <v>4800</v>
      </c>
      <c r="AA31" s="107">
        <f t="shared" si="2"/>
        <v>182400</v>
      </c>
      <c r="AB31" s="105">
        <f>IFERROR(_xlfn.XLOOKUP($A31,Input_Raw!$A:$A,Input_Raw!$DG:$DG),"")</f>
        <v>78</v>
      </c>
      <c r="AC31" s="125">
        <f>IFERROR(_xlfn.XLOOKUP($D31,'Modelling New'!$D:$D,'Modelling New'!$J:$J),"")</f>
        <v>5.6333333333333329</v>
      </c>
      <c r="AD31" s="107">
        <f>IFERROR(_xlfn.XLOOKUP($D31,'Modelling New'!$D:$D,'Modelling New'!$T:$T)*1000,"")</f>
        <v>340888.47260338557</v>
      </c>
      <c r="AE31" s="124"/>
      <c r="AF31" s="124">
        <f>IFERROR(_xlfn.XLOOKUP($D31,'Modelling New'!$D:$D,'Modelling New'!$W:$W),"")</f>
        <v>0.18209854305736409</v>
      </c>
      <c r="AG31" s="124">
        <f>IFERROR(_xlfn.XLOOKUP($D31,'Modelling New'!$D:$D,'Modelling New'!$AE:$AE),"")</f>
        <v>0.96029999999999993</v>
      </c>
      <c r="AH31" s="124">
        <f>IFERROR(_xlfn.XLOOKUP($D31,'Modelling New'!$D:$D,'Modelling New'!$AF:$AF),"")</f>
        <v>0.995</v>
      </c>
      <c r="AI31" s="105">
        <f>IFERROR(_xlfn.XLOOKUP($A31,Input_Raw!$A:$A,Input_Raw!$DE:$DE),"")</f>
        <v>190.11</v>
      </c>
      <c r="AJ31" s="105"/>
      <c r="AK31" s="105"/>
      <c r="AL31" s="105"/>
      <c r="AM31" s="105"/>
      <c r="AN31" s="126">
        <f>IFERROR(_xlfn.XLOOKUP($A31,Input_Raw!$A:$A,Input_Raw!$DB:$DB),"")</f>
        <v>1.5317286652078765E-2</v>
      </c>
      <c r="AO31" s="124">
        <f>IFERROR((_xlfn.XLOOKUP($A31,'WTG Reactive Power'!$A:$A,'WTG Reactive Power'!$AR:$AR))/X31/1000,"")</f>
        <v>4.4179220669920886E-5</v>
      </c>
      <c r="AP31" s="124">
        <f>IFERROR(_xlfn.XLOOKUP($D31,'Modelling New'!$D:$D,'Modelling New'!$AK:$AK),"")</f>
        <v>0.05</v>
      </c>
      <c r="AQ31" s="124">
        <f>IFERROR(_xlfn.XLOOKUP($D31,'Modelling New'!$D:$D,'Modelling New'!$AL:$AL),"")</f>
        <v>0.05</v>
      </c>
      <c r="AR31">
        <f>IFERROR(_xlfn.XLOOKUP($D31,'Modelling New'!$D:$D,'Modelling New'!$N:$N),"")</f>
        <v>78</v>
      </c>
    </row>
    <row r="32" spans="1:44">
      <c r="A32" s="118">
        <f t="shared" si="3"/>
        <v>45775</v>
      </c>
      <c r="B32" s="107">
        <f>YEAR(Table13[[#This Row],[Date]])+IF(MONTH(Table13[[#This Row],[Date]])&gt;=4,1,0)</f>
        <v>2026</v>
      </c>
      <c r="C32" s="105">
        <f>YEAR(Table13[[#This Row],[Date]])</f>
        <v>2025</v>
      </c>
      <c r="D32" s="119">
        <f>Table13[[#This Row],[Date]]-DAY(Table13[[#This Row],[Date]])+1</f>
        <v>45748</v>
      </c>
      <c r="E32" s="105">
        <f t="shared" si="0"/>
        <v>30</v>
      </c>
      <c r="F32" s="108"/>
      <c r="G32" s="109"/>
      <c r="H32" s="109"/>
      <c r="I32" s="109"/>
      <c r="J32" s="109"/>
      <c r="K32" s="120"/>
      <c r="L32" s="109"/>
      <c r="M32" s="109">
        <f>IFERROR(_xlfn.XLOOKUP($A32,Input_Raw!$A:$A,Input_Raw!CG:CG),"")</f>
        <v>4.056923076923078</v>
      </c>
      <c r="N32" s="109">
        <f>IFERROR(_xlfn.XLOOKUP($A32,Input_Raw!$A:$A,Input_Raw!CH:CH),"")</f>
        <v>0</v>
      </c>
      <c r="O32" s="121">
        <f t="shared" si="1"/>
        <v>0.93917095840528986</v>
      </c>
      <c r="P32" s="121">
        <f>IFERROR(1-SUMIF(WTG_BD!$F:$F,$A32,WTG_BD!$AA:$AA)/($AA32+SUMIF(WTG_BD!$F:$F,$A32,WTG_BD!$AA:$AA)),"")</f>
        <v>0.93917095840528986</v>
      </c>
      <c r="Q32" s="122">
        <f>IFERROR(1-SUMIF(IGA_BD!$F:$F,$A32,IGA_BD!$V:$V)/($AA32+SUMIF(IGA_BD!$F:$F,$A32,IGA_BD!$V:$V)),"")</f>
        <v>1</v>
      </c>
      <c r="R32" s="127">
        <f>IFERROR(1-SUMIF(Grid_BD!$F:$F,$A32,Grid_BD!$X:$X)/($AA32+SUMIF(Grid_BD!$F:$F,$A32,Grid_BD!$X:$X)),"")</f>
        <v>1</v>
      </c>
      <c r="S32" s="105"/>
      <c r="T32" s="122"/>
      <c r="U32" s="123"/>
      <c r="V32" s="105"/>
      <c r="W32" s="124">
        <f>IFERROR(Table13[[#This Row],[Mtr_Net_Exp (KWh)]]/(24*AR32*1000),"")</f>
        <v>0.14358974358974358</v>
      </c>
      <c r="X32" s="105">
        <f>IFERROR(_xlfn.XLOOKUP($A32,Input_Raw!$A:$A,Input_Raw!$CF:$CF),"")</f>
        <v>271844</v>
      </c>
      <c r="Y32" s="105">
        <f>IFERROR(_xlfn.XLOOKUP($A32,Input_Raw!$A:$A,Input_Raw!$CZ:$CZ),"")</f>
        <v>268800</v>
      </c>
      <c r="Z32" s="105">
        <f>IFERROR(_xlfn.XLOOKUP($A32,Input_Raw!$A:$A,Input_Raw!$DA:$DA),"")</f>
        <v>0</v>
      </c>
      <c r="AA32" s="107">
        <f t="shared" si="2"/>
        <v>268800</v>
      </c>
      <c r="AB32" s="105">
        <f>IFERROR(_xlfn.XLOOKUP($A32,Input_Raw!$A:$A,Input_Raw!$DG:$DG),"")</f>
        <v>78</v>
      </c>
      <c r="AC32" s="125">
        <f>IFERROR(_xlfn.XLOOKUP($D32,'Modelling New'!$D:$D,'Modelling New'!$J:$J),"")</f>
        <v>5.6333333333333329</v>
      </c>
      <c r="AD32" s="107">
        <f>IFERROR(_xlfn.XLOOKUP($D32,'Modelling New'!$D:$D,'Modelling New'!$T:$T)*1000,"")</f>
        <v>340888.47260338557</v>
      </c>
      <c r="AE32" s="124"/>
      <c r="AF32" s="124">
        <f>IFERROR(_xlfn.XLOOKUP($D32,'Modelling New'!$D:$D,'Modelling New'!$W:$W),"")</f>
        <v>0.18209854305736409</v>
      </c>
      <c r="AG32" s="124">
        <f>IFERROR(_xlfn.XLOOKUP($D32,'Modelling New'!$D:$D,'Modelling New'!$AE:$AE),"")</f>
        <v>0.96029999999999993</v>
      </c>
      <c r="AH32" s="124">
        <f>IFERROR(_xlfn.XLOOKUP($D32,'Modelling New'!$D:$D,'Modelling New'!$AF:$AF),"")</f>
        <v>0.995</v>
      </c>
      <c r="AI32" s="105">
        <f>IFERROR(_xlfn.XLOOKUP($A32,Input_Raw!$A:$A,Input_Raw!$DE:$DE),"")</f>
        <v>271.83999999999997</v>
      </c>
      <c r="AJ32" s="105"/>
      <c r="AK32" s="105"/>
      <c r="AL32" s="105"/>
      <c r="AM32" s="105"/>
      <c r="AN32" s="126">
        <f>IFERROR(_xlfn.XLOOKUP($A32,Input_Raw!$A:$A,Input_Raw!$DB:$DB),"")</f>
        <v>1.1197598622739502E-2</v>
      </c>
      <c r="AO32" s="124">
        <f>IFERROR((_xlfn.XLOOKUP($A32,'WTG Reactive Power'!$A:$A,'WTG Reactive Power'!$AR:$AR))/X32/1000,"")</f>
        <v>2.2049410691425964E-5</v>
      </c>
      <c r="AP32" s="124">
        <f>IFERROR(_xlfn.XLOOKUP($D32,'Modelling New'!$D:$D,'Modelling New'!$AK:$AK),"")</f>
        <v>0.05</v>
      </c>
      <c r="AQ32" s="124">
        <f>IFERROR(_xlfn.XLOOKUP($D32,'Modelling New'!$D:$D,'Modelling New'!$AL:$AL),"")</f>
        <v>0.05</v>
      </c>
      <c r="AR32">
        <f>IFERROR(_xlfn.XLOOKUP($D32,'Modelling New'!$D:$D,'Modelling New'!$N:$N),"")</f>
        <v>78</v>
      </c>
    </row>
    <row r="33" spans="1:44">
      <c r="A33" s="118">
        <f t="shared" si="3"/>
        <v>45776</v>
      </c>
      <c r="B33" s="107">
        <f>YEAR(Table13[[#This Row],[Date]])+IF(MONTH(Table13[[#This Row],[Date]])&gt;=4,1,0)</f>
        <v>2026</v>
      </c>
      <c r="C33" s="105">
        <f>YEAR(Table13[[#This Row],[Date]])</f>
        <v>2025</v>
      </c>
      <c r="D33" s="119">
        <f>Table13[[#This Row],[Date]]-DAY(Table13[[#This Row],[Date]])+1</f>
        <v>45748</v>
      </c>
      <c r="E33" s="105">
        <f t="shared" si="0"/>
        <v>30</v>
      </c>
      <c r="F33" s="108"/>
      <c r="G33" s="109"/>
      <c r="H33" s="109"/>
      <c r="I33" s="109"/>
      <c r="J33" s="109"/>
      <c r="K33" s="120"/>
      <c r="L33" s="109"/>
      <c r="M33" s="109">
        <f>IFERROR(_xlfn.XLOOKUP($A33,Input_Raw!$A:$A,Input_Raw!CG:CG),"")</f>
        <v>4.056923076923078</v>
      </c>
      <c r="N33" s="109">
        <f>IFERROR(_xlfn.XLOOKUP($A33,Input_Raw!$A:$A,Input_Raw!CH:CH),"")</f>
        <v>0</v>
      </c>
      <c r="O33" s="121">
        <f t="shared" si="1"/>
        <v>0.94442033183744634</v>
      </c>
      <c r="P33" s="121">
        <f>IFERROR(1-SUMIF(WTG_BD!$F:$F,$A33,WTG_BD!$AA:$AA)/($AA33+SUMIF(WTG_BD!$F:$F,$A33,WTG_BD!$AA:$AA)),"")</f>
        <v>0.94442033183744634</v>
      </c>
      <c r="Q33" s="122">
        <f>IFERROR(1-SUMIF(IGA_BD!$F:$F,$A33,IGA_BD!$V:$V)/($AA33+SUMIF(IGA_BD!$F:$F,$A33,IGA_BD!$V:$V)),"")</f>
        <v>1</v>
      </c>
      <c r="R33" s="127">
        <f>IFERROR(1-SUMIF(Grid_BD!$F:$F,$A33,Grid_BD!$X:$X)/($AA33+SUMIF(Grid_BD!$F:$F,$A33,Grid_BD!$X:$X)),"")</f>
        <v>1</v>
      </c>
      <c r="S33" s="105"/>
      <c r="T33" s="122"/>
      <c r="U33" s="123"/>
      <c r="V33" s="105"/>
      <c r="W33" s="124">
        <f>IFERROR(Table13[[#This Row],[Mtr_Net_Exp (KWh)]]/(24*AR33*1000),"")</f>
        <v>0.14102564102564102</v>
      </c>
      <c r="X33" s="105">
        <f>IFERROR(_xlfn.XLOOKUP($A33,Input_Raw!$A:$A,Input_Raw!$CF:$CF),"")</f>
        <v>271570</v>
      </c>
      <c r="Y33" s="105">
        <f>IFERROR(_xlfn.XLOOKUP($A33,Input_Raw!$A:$A,Input_Raw!$CZ:$CZ),"")</f>
        <v>268800</v>
      </c>
      <c r="Z33" s="105">
        <f>IFERROR(_xlfn.XLOOKUP($A33,Input_Raw!$A:$A,Input_Raw!$DA:$DA),"")</f>
        <v>4800</v>
      </c>
      <c r="AA33" s="107">
        <f t="shared" si="2"/>
        <v>264000</v>
      </c>
      <c r="AB33" s="105">
        <f>IFERROR(_xlfn.XLOOKUP($A33,Input_Raw!$A:$A,Input_Raw!$DG:$DG),"")</f>
        <v>78</v>
      </c>
      <c r="AC33" s="125">
        <f>IFERROR(_xlfn.XLOOKUP($D33,'Modelling New'!$D:$D,'Modelling New'!$J:$J),"")</f>
        <v>5.6333333333333329</v>
      </c>
      <c r="AD33" s="107">
        <f>IFERROR(_xlfn.XLOOKUP($D33,'Modelling New'!$D:$D,'Modelling New'!$T:$T)*1000,"")</f>
        <v>340888.47260338557</v>
      </c>
      <c r="AE33" s="124"/>
      <c r="AF33" s="124">
        <f>IFERROR(_xlfn.XLOOKUP($D33,'Modelling New'!$D:$D,'Modelling New'!$W:$W),"")</f>
        <v>0.18209854305736409</v>
      </c>
      <c r="AG33" s="124">
        <f>IFERROR(_xlfn.XLOOKUP($D33,'Modelling New'!$D:$D,'Modelling New'!$AE:$AE),"")</f>
        <v>0.96029999999999993</v>
      </c>
      <c r="AH33" s="124">
        <f>IFERROR(_xlfn.XLOOKUP($D33,'Modelling New'!$D:$D,'Modelling New'!$AF:$AF),"")</f>
        <v>0.995</v>
      </c>
      <c r="AI33" s="105">
        <f>IFERROR(_xlfn.XLOOKUP($A33,Input_Raw!$A:$A,Input_Raw!$DE:$DE),"")</f>
        <v>271.54000000000002</v>
      </c>
      <c r="AJ33" s="105"/>
      <c r="AK33" s="105"/>
      <c r="AL33" s="105"/>
      <c r="AM33" s="105"/>
      <c r="AN33" s="126">
        <f>IFERROR(_xlfn.XLOOKUP($A33,Input_Raw!$A:$A,Input_Raw!$DB:$DB),"")</f>
        <v>1.0199948447913942E-2</v>
      </c>
      <c r="AO33" s="124">
        <f>IFERROR((_xlfn.XLOOKUP($A33,'WTG Reactive Power'!$A:$A,'WTG Reactive Power'!$AR:$AR))/X33/1000,"")</f>
        <v>2.6567735758736239E-5</v>
      </c>
      <c r="AP33" s="124">
        <f>IFERROR(_xlfn.XLOOKUP($D33,'Modelling New'!$D:$D,'Modelling New'!$AK:$AK),"")</f>
        <v>0.05</v>
      </c>
      <c r="AQ33" s="124">
        <f>IFERROR(_xlfn.XLOOKUP($D33,'Modelling New'!$D:$D,'Modelling New'!$AL:$AL),"")</f>
        <v>0.05</v>
      </c>
      <c r="AR33">
        <f>IFERROR(_xlfn.XLOOKUP($D33,'Modelling New'!$D:$D,'Modelling New'!$N:$N),"")</f>
        <v>78</v>
      </c>
    </row>
    <row r="34" spans="1:44">
      <c r="A34" s="118">
        <f t="shared" si="3"/>
        <v>45777</v>
      </c>
      <c r="B34" s="107">
        <f>YEAR(Table13[[#This Row],[Date]])+IF(MONTH(Table13[[#This Row],[Date]])&gt;=4,1,0)</f>
        <v>2026</v>
      </c>
      <c r="C34" s="105">
        <f>YEAR(Table13[[#This Row],[Date]])</f>
        <v>2025</v>
      </c>
      <c r="D34" s="119">
        <f>Table13[[#This Row],[Date]]-DAY(Table13[[#This Row],[Date]])+1</f>
        <v>45748</v>
      </c>
      <c r="E34" s="105">
        <f t="shared" si="0"/>
        <v>30</v>
      </c>
      <c r="F34" s="108"/>
      <c r="G34" s="109"/>
      <c r="H34" s="109"/>
      <c r="I34" s="109"/>
      <c r="J34" s="109"/>
      <c r="K34" s="120"/>
      <c r="L34" s="109"/>
      <c r="M34" s="109">
        <f>IFERROR(_xlfn.XLOOKUP($A34,Input_Raw!$A:$A,Input_Raw!CG:CG),"")</f>
        <v>5.9428205128205125</v>
      </c>
      <c r="N34" s="109">
        <f>IFERROR(_xlfn.XLOOKUP($A34,Input_Raw!$A:$A,Input_Raw!CH:CH),"")</f>
        <v>0</v>
      </c>
      <c r="O34" s="121">
        <f t="shared" si="1"/>
        <v>0.93000871528024676</v>
      </c>
      <c r="P34" s="121">
        <f>IFERROR(1-SUMIF(WTG_BD!$F:$F,$A34,WTG_BD!$AA:$AA)/($AA34+SUMIF(WTG_BD!$F:$F,$A34,WTG_BD!$AA:$AA)),"")</f>
        <v>0.93000871528024676</v>
      </c>
      <c r="Q34" s="122">
        <f>IFERROR(1-SUMIF(IGA_BD!$F:$F,$A34,IGA_BD!$V:$V)/($AA34+SUMIF(IGA_BD!$F:$F,$A34,IGA_BD!$V:$V)),"")</f>
        <v>1</v>
      </c>
      <c r="R34" s="127">
        <f>IFERROR(1-SUMIF(Grid_BD!$F:$F,$A34,Grid_BD!$X:$X)/($AA34+SUMIF(Grid_BD!$F:$F,$A34,Grid_BD!$X:$X)),"")</f>
        <v>1</v>
      </c>
      <c r="S34" s="105"/>
      <c r="T34" s="122"/>
      <c r="U34" s="123"/>
      <c r="V34" s="105"/>
      <c r="W34" s="124">
        <f>IFERROR(Table13[[#This Row],[Mtr_Net_Exp (KWh)]]/(24*AR34*1000),"")</f>
        <v>0.31474358974358974</v>
      </c>
      <c r="X34" s="105">
        <f>IFERROR(_xlfn.XLOOKUP($A34,Input_Raw!$A:$A,Input_Raw!$CF:$CF),"")</f>
        <v>590942</v>
      </c>
      <c r="Y34" s="105">
        <f>IFERROR(_xlfn.XLOOKUP($A34,Input_Raw!$A:$A,Input_Raw!$CZ:$CZ),"")</f>
        <v>589200</v>
      </c>
      <c r="Z34" s="105">
        <f>IFERROR(_xlfn.XLOOKUP($A34,Input_Raw!$A:$A,Input_Raw!$DA:$DA),"")</f>
        <v>0</v>
      </c>
      <c r="AA34" s="107">
        <f t="shared" si="2"/>
        <v>589200</v>
      </c>
      <c r="AB34" s="105">
        <f>IFERROR(_xlfn.XLOOKUP($A34,Input_Raw!$A:$A,Input_Raw!$DG:$DG),"")</f>
        <v>78</v>
      </c>
      <c r="AC34" s="125">
        <f>IFERROR(_xlfn.XLOOKUP($D34,'Modelling New'!$D:$D,'Modelling New'!$J:$J),"")</f>
        <v>5.6333333333333329</v>
      </c>
      <c r="AD34" s="107">
        <f>IFERROR(_xlfn.XLOOKUP($D34,'Modelling New'!$D:$D,'Modelling New'!$T:$T)*1000,"")</f>
        <v>340888.47260338557</v>
      </c>
      <c r="AE34" s="124"/>
      <c r="AF34" s="124">
        <f>IFERROR(_xlfn.XLOOKUP($D34,'Modelling New'!$D:$D,'Modelling New'!$W:$W),"")</f>
        <v>0.18209854305736409</v>
      </c>
      <c r="AG34" s="124">
        <f>IFERROR(_xlfn.XLOOKUP($D34,'Modelling New'!$D:$D,'Modelling New'!$AE:$AE),"")</f>
        <v>0.96029999999999993</v>
      </c>
      <c r="AH34" s="124">
        <f>IFERROR(_xlfn.XLOOKUP($D34,'Modelling New'!$D:$D,'Modelling New'!$AF:$AF),"")</f>
        <v>0.995</v>
      </c>
      <c r="AI34" s="105">
        <f>IFERROR(_xlfn.XLOOKUP($A34,Input_Raw!$A:$A,Input_Raw!$DE:$DE),"")</f>
        <v>590.94000000000005</v>
      </c>
      <c r="AJ34" s="105"/>
      <c r="AK34" s="105"/>
      <c r="AL34" s="105"/>
      <c r="AM34" s="105"/>
      <c r="AN34" s="126">
        <f>IFERROR(_xlfn.XLOOKUP($A34,Input_Raw!$A:$A,Input_Raw!$DB:$DB),"")</f>
        <v>2.9478358282200023E-3</v>
      </c>
      <c r="AO34" s="124">
        <f>IFERROR((_xlfn.XLOOKUP($A34,'WTG Reactive Power'!$A:$A,'WTG Reactive Power'!$AR:$AR))/X34/1000,"")</f>
        <v>4.0697733449306354E-6</v>
      </c>
      <c r="AP34" s="124">
        <f>IFERROR(_xlfn.XLOOKUP($D34,'Modelling New'!$D:$D,'Modelling New'!$AK:$AK),"")</f>
        <v>0.05</v>
      </c>
      <c r="AQ34" s="124">
        <f>IFERROR(_xlfn.XLOOKUP($D34,'Modelling New'!$D:$D,'Modelling New'!$AL:$AL),"")</f>
        <v>0.05</v>
      </c>
      <c r="AR34">
        <f>IFERROR(_xlfn.XLOOKUP($D34,'Modelling New'!$D:$D,'Modelling New'!$N:$N),"")</f>
        <v>78</v>
      </c>
    </row>
    <row r="35" spans="1:44">
      <c r="A35" s="118">
        <f t="shared" si="3"/>
        <v>45778</v>
      </c>
      <c r="B35" s="107">
        <f>YEAR(Table13[[#This Row],[Date]])+IF(MONTH(Table13[[#This Row],[Date]])&gt;=4,1,0)</f>
        <v>2026</v>
      </c>
      <c r="C35" s="105">
        <f>YEAR(Table13[[#This Row],[Date]])</f>
        <v>2025</v>
      </c>
      <c r="D35" s="119">
        <f>Table13[[#This Row],[Date]]-DAY(Table13[[#This Row],[Date]])+1</f>
        <v>45778</v>
      </c>
      <c r="E35" s="105">
        <f t="shared" si="0"/>
        <v>31</v>
      </c>
      <c r="F35" s="108"/>
      <c r="G35" s="109"/>
      <c r="H35" s="109"/>
      <c r="I35" s="109"/>
      <c r="J35" s="109"/>
      <c r="K35" s="120"/>
      <c r="L35" s="109"/>
      <c r="M35" s="109">
        <f>IFERROR(_xlfn.XLOOKUP($A35,Input_Raw!$A:$A,Input_Raw!CG:CG),"")</f>
        <v>5.8866666666666667</v>
      </c>
      <c r="N35" s="109">
        <f>IFERROR(_xlfn.XLOOKUP($A35,Input_Raw!$A:$A,Input_Raw!CH:CH),"")</f>
        <v>0</v>
      </c>
      <c r="O35" s="121">
        <f t="shared" si="1"/>
        <v>0.90989765915924115</v>
      </c>
      <c r="P35" s="121">
        <f>IFERROR(1-SUMIF(WTG_BD!$F:$F,$A35,WTG_BD!$AA:$AA)/($AA35+SUMIF(WTG_BD!$F:$F,$A35,WTG_BD!$AA:$AA)),"")</f>
        <v>0.92868713404960523</v>
      </c>
      <c r="Q35" s="122">
        <f>IFERROR(1-SUMIF(IGA_BD!$F:$F,$A35,IGA_BD!$V:$V)/($AA35+SUMIF(IGA_BD!$F:$F,$A35,IGA_BD!$V:$V)),"")</f>
        <v>0.97976770195099905</v>
      </c>
      <c r="R35" s="127">
        <f>IFERROR(1-SUMIF(Grid_BD!$F:$F,$A35,Grid_BD!$X:$X)/($AA35+SUMIF(Grid_BD!$F:$F,$A35,Grid_BD!$X:$X)),"")</f>
        <v>1</v>
      </c>
      <c r="S35" s="105"/>
      <c r="T35" s="122"/>
      <c r="U35" s="123"/>
      <c r="V35" s="105"/>
      <c r="W35" s="124">
        <f>IFERROR(Table13[[#This Row],[Mtr_Net_Exp (KWh)]]/(24*AR35*1000),"")</f>
        <v>0.31217948717948718</v>
      </c>
      <c r="X35" s="105">
        <f>IFERROR(_xlfn.XLOOKUP($A35,Input_Raw!$A:$A,Input_Raw!$CF:$CF),"")</f>
        <v>588285</v>
      </c>
      <c r="Y35" s="105">
        <f>IFERROR(_xlfn.XLOOKUP($A35,Input_Raw!$A:$A,Input_Raw!$CZ:$CZ),"")</f>
        <v>584400</v>
      </c>
      <c r="Z35" s="105">
        <f>IFERROR(_xlfn.XLOOKUP($A35,Input_Raw!$A:$A,Input_Raw!$DA:$DA),"")</f>
        <v>0</v>
      </c>
      <c r="AA35" s="107">
        <f t="shared" si="2"/>
        <v>584400</v>
      </c>
      <c r="AB35" s="105">
        <f>IFERROR(_xlfn.XLOOKUP($A35,Input_Raw!$A:$A,Input_Raw!$DG:$DG),"")</f>
        <v>78</v>
      </c>
      <c r="AC35" s="125">
        <f>IFERROR(_xlfn.XLOOKUP($D35,'Modelling New'!$D:$D,'Modelling New'!$J:$J),"")</f>
        <v>6.5666666666666664</v>
      </c>
      <c r="AD35" s="107">
        <f>IFERROR(_xlfn.XLOOKUP($D35,'Modelling New'!$D:$D,'Modelling New'!$T:$T)*1000,"")</f>
        <v>558388.39265938452</v>
      </c>
      <c r="AE35" s="124"/>
      <c r="AF35" s="124">
        <f>IFERROR(_xlfn.XLOOKUP($D35,'Modelling New'!$D:$D,'Modelling New'!$W:$W),"")</f>
        <v>0.29828439778813276</v>
      </c>
      <c r="AG35" s="124">
        <f>IFERROR(_xlfn.XLOOKUP($D35,'Modelling New'!$D:$D,'Modelling New'!$AE:$AE),"")</f>
        <v>0.96029999999999993</v>
      </c>
      <c r="AH35" s="124">
        <f>IFERROR(_xlfn.XLOOKUP($D35,'Modelling New'!$D:$D,'Modelling New'!$AF:$AF),"")</f>
        <v>0.995</v>
      </c>
      <c r="AI35" s="105">
        <f>IFERROR(_xlfn.XLOOKUP($A35,Input_Raw!$A:$A,Input_Raw!$DE:$DE),"")</f>
        <v>588.28</v>
      </c>
      <c r="AJ35" s="105"/>
      <c r="AK35" s="105"/>
      <c r="AL35" s="105"/>
      <c r="AM35" s="105"/>
      <c r="AN35" s="126">
        <f>IFERROR(_xlfn.XLOOKUP($A35,Input_Raw!$A:$A,Input_Raw!$DB:$DB),"")</f>
        <v>6.6039419669038368E-3</v>
      </c>
      <c r="AO35" s="124">
        <f>IFERROR((_xlfn.XLOOKUP($A35,'WTG Reactive Power'!$A:$A,'WTG Reactive Power'!$AR:$AR))/X35/1000,"")</f>
        <v>0</v>
      </c>
      <c r="AP35" s="124">
        <f>IFERROR(_xlfn.XLOOKUP($D35,'Modelling New'!$D:$D,'Modelling New'!$AK:$AK),"")</f>
        <v>0.05</v>
      </c>
      <c r="AQ35" s="124">
        <f>IFERROR(_xlfn.XLOOKUP($D35,'Modelling New'!$D:$D,'Modelling New'!$AL:$AL),"")</f>
        <v>0.05</v>
      </c>
      <c r="AR35">
        <f>IFERROR(_xlfn.XLOOKUP($D35,'Modelling New'!$D:$D,'Modelling New'!$N:$N),"")</f>
        <v>78</v>
      </c>
    </row>
    <row r="36" spans="1:44">
      <c r="A36" s="118">
        <f t="shared" si="3"/>
        <v>45779</v>
      </c>
      <c r="B36" s="107">
        <f>YEAR(Table13[[#This Row],[Date]])+IF(MONTH(Table13[[#This Row],[Date]])&gt;=4,1,0)</f>
        <v>2026</v>
      </c>
      <c r="C36" s="105">
        <f>YEAR(Table13[[#This Row],[Date]])</f>
        <v>2025</v>
      </c>
      <c r="D36" s="119">
        <f>Table13[[#This Row],[Date]]-DAY(Table13[[#This Row],[Date]])+1</f>
        <v>45778</v>
      </c>
      <c r="E36" s="105">
        <f t="shared" ref="E36:E99" si="4">DAY(EOMONTH(A36,0))</f>
        <v>31</v>
      </c>
      <c r="F36" s="108"/>
      <c r="G36" s="109"/>
      <c r="H36" s="109"/>
      <c r="I36" s="109"/>
      <c r="J36" s="109"/>
      <c r="K36" s="120"/>
      <c r="L36" s="109"/>
      <c r="M36" s="109">
        <f>IFERROR(_xlfn.XLOOKUP($A36,Input_Raw!$A:$A,Input_Raw!CG:CG),"")</f>
        <v>4.5097435897435885</v>
      </c>
      <c r="N36" s="109">
        <f>IFERROR(_xlfn.XLOOKUP($A36,Input_Raw!$A:$A,Input_Raw!CH:CH),"")</f>
        <v>0</v>
      </c>
      <c r="O36" s="121">
        <f t="shared" si="1"/>
        <v>0.92561881753486575</v>
      </c>
      <c r="P36" s="121">
        <f>IFERROR(1-SUMIF(WTG_BD!$F:$F,$A36,WTG_BD!$AA:$AA)/($AA36+SUMIF(WTG_BD!$F:$F,$A36,WTG_BD!$AA:$AA)),"")</f>
        <v>0.92561881753486575</v>
      </c>
      <c r="Q36" s="122">
        <f>IFERROR(1-SUMIF(IGA_BD!$F:$F,$A36,IGA_BD!$V:$V)/($AA36+SUMIF(IGA_BD!$F:$F,$A36,IGA_BD!$V:$V)),"")</f>
        <v>1</v>
      </c>
      <c r="R36" s="127">
        <f>IFERROR(1-SUMIF(Grid_BD!$F:$F,$A36,Grid_BD!$X:$X)/($AA36+SUMIF(Grid_BD!$F:$F,$A36,Grid_BD!$X:$X)),"")</f>
        <v>1</v>
      </c>
      <c r="S36" s="105"/>
      <c r="T36" s="122"/>
      <c r="U36" s="123"/>
      <c r="V36" s="105"/>
      <c r="W36" s="124">
        <f>IFERROR(Table13[[#This Row],[Mtr_Net_Exp (KWh)]]/(24*AR36*1000),"")</f>
        <v>0.25064102564102564</v>
      </c>
      <c r="X36" s="105">
        <f>IFERROR(_xlfn.XLOOKUP($A36,Input_Raw!$A:$A,Input_Raw!$CF:$CF),"")</f>
        <v>491493</v>
      </c>
      <c r="Y36" s="105">
        <f>IFERROR(_xlfn.XLOOKUP($A36,Input_Raw!$A:$A,Input_Raw!$CZ:$CZ),"")</f>
        <v>469200</v>
      </c>
      <c r="Z36" s="105">
        <f>IFERROR(_xlfn.XLOOKUP($A36,Input_Raw!$A:$A,Input_Raw!$DA:$DA),"")</f>
        <v>0</v>
      </c>
      <c r="AA36" s="107">
        <f t="shared" ref="AA36:AA99" si="5">IFERROR(Y36-Z36,"")</f>
        <v>469200</v>
      </c>
      <c r="AB36" s="105">
        <f>IFERROR(_xlfn.XLOOKUP($A36,Input_Raw!$A:$A,Input_Raw!$DG:$DG),"")</f>
        <v>78</v>
      </c>
      <c r="AC36" s="125">
        <f>IFERROR(_xlfn.XLOOKUP($D36,'Modelling New'!$D:$D,'Modelling New'!$J:$J),"")</f>
        <v>6.5666666666666664</v>
      </c>
      <c r="AD36" s="107">
        <f>IFERROR(_xlfn.XLOOKUP($D36,'Modelling New'!$D:$D,'Modelling New'!$T:$T)*1000,"")</f>
        <v>558388.39265938452</v>
      </c>
      <c r="AE36" s="124"/>
      <c r="AF36" s="124">
        <f>IFERROR(_xlfn.XLOOKUP($D36,'Modelling New'!$D:$D,'Modelling New'!$W:$W),"")</f>
        <v>0.29828439778813276</v>
      </c>
      <c r="AG36" s="124">
        <f>IFERROR(_xlfn.XLOOKUP($D36,'Modelling New'!$D:$D,'Modelling New'!$AE:$AE),"")</f>
        <v>0.96029999999999993</v>
      </c>
      <c r="AH36" s="124">
        <f>IFERROR(_xlfn.XLOOKUP($D36,'Modelling New'!$D:$D,'Modelling New'!$AF:$AF),"")</f>
        <v>0.995</v>
      </c>
      <c r="AI36" s="105">
        <f>IFERROR(_xlfn.XLOOKUP($A36,Input_Raw!$A:$A,Input_Raw!$DE:$DE),"")</f>
        <v>491.49</v>
      </c>
      <c r="AJ36" s="105"/>
      <c r="AK36" s="105"/>
      <c r="AL36" s="105"/>
      <c r="AM36" s="105"/>
      <c r="AN36" s="126">
        <f>IFERROR(_xlfn.XLOOKUP($A36,Input_Raw!$A:$A,Input_Raw!$DB:$DB),"")</f>
        <v>4.5357716183139996E-2</v>
      </c>
      <c r="AO36" s="124">
        <f>IFERROR((_xlfn.XLOOKUP($A36,'WTG Reactive Power'!$A:$A,'WTG Reactive Power'!$AR:$AR))/X36/1000,"")</f>
        <v>1.2195494137251193E-5</v>
      </c>
      <c r="AP36" s="124">
        <f>IFERROR(_xlfn.XLOOKUP($D36,'Modelling New'!$D:$D,'Modelling New'!$AK:$AK),"")</f>
        <v>0.05</v>
      </c>
      <c r="AQ36" s="124">
        <f>IFERROR(_xlfn.XLOOKUP($D36,'Modelling New'!$D:$D,'Modelling New'!$AL:$AL),"")</f>
        <v>0.05</v>
      </c>
      <c r="AR36">
        <f>IFERROR(_xlfn.XLOOKUP($D36,'Modelling New'!$D:$D,'Modelling New'!$N:$N),"")</f>
        <v>78</v>
      </c>
    </row>
    <row r="37" spans="1:44">
      <c r="A37" s="118">
        <f t="shared" si="3"/>
        <v>45780</v>
      </c>
      <c r="B37" s="107">
        <f>YEAR(Table13[[#This Row],[Date]])+IF(MONTH(Table13[[#This Row],[Date]])&gt;=4,1,0)</f>
        <v>2026</v>
      </c>
      <c r="C37" s="105">
        <f>YEAR(Table13[[#This Row],[Date]])</f>
        <v>2025</v>
      </c>
      <c r="D37" s="119">
        <f>Table13[[#This Row],[Date]]-DAY(Table13[[#This Row],[Date]])+1</f>
        <v>45778</v>
      </c>
      <c r="E37" s="105">
        <f t="shared" si="4"/>
        <v>31</v>
      </c>
      <c r="F37" s="108"/>
      <c r="G37" s="109"/>
      <c r="H37" s="109"/>
      <c r="I37" s="109"/>
      <c r="J37" s="109"/>
      <c r="K37" s="120"/>
      <c r="L37" s="109"/>
      <c r="M37" s="109">
        <f>IFERROR(_xlfn.XLOOKUP($A37,Input_Raw!$A:$A,Input_Raw!CG:CG),"")</f>
        <v>6.9187179487179487</v>
      </c>
      <c r="N37" s="109">
        <f>IFERROR(_xlfn.XLOOKUP($A37,Input_Raw!$A:$A,Input_Raw!CH:CH),"")</f>
        <v>0</v>
      </c>
      <c r="O37" s="121">
        <f t="shared" ref="O37:O100" si="6">IFERROR(P37*Q37,"")</f>
        <v>0.93552772471843271</v>
      </c>
      <c r="P37" s="121">
        <f>IFERROR(1-SUMIF(WTG_BD!$F:$F,$A37,WTG_BD!$AA:$AA)/($AA37+SUMIF(WTG_BD!$F:$F,$A37,WTG_BD!$AA:$AA)),"")</f>
        <v>0.93552772471843271</v>
      </c>
      <c r="Q37" s="122">
        <f>IFERROR(1-SUMIF(IGA_BD!$F:$F,$A37,IGA_BD!$V:$V)/($AA37+SUMIF(IGA_BD!$F:$F,$A37,IGA_BD!$V:$V)),"")</f>
        <v>1</v>
      </c>
      <c r="R37" s="127">
        <f>IFERROR(1-SUMIF(Grid_BD!$F:$F,$A37,Grid_BD!$X:$X)/($AA37+SUMIF(Grid_BD!$F:$F,$A37,Grid_BD!$X:$X)),"")</f>
        <v>1</v>
      </c>
      <c r="S37" s="105"/>
      <c r="T37" s="122"/>
      <c r="U37" s="123"/>
      <c r="V37" s="105"/>
      <c r="W37" s="124">
        <f>IFERROR(Table13[[#This Row],[Mtr_Net_Exp (KWh)]]/(24*AR37*1000),"")</f>
        <v>0.32756410256410257</v>
      </c>
      <c r="X37" s="105">
        <f>IFERROR(_xlfn.XLOOKUP($A37,Input_Raw!$A:$A,Input_Raw!$CF:$CF),"")</f>
        <v>616130</v>
      </c>
      <c r="Y37" s="105">
        <f>IFERROR(_xlfn.XLOOKUP($A37,Input_Raw!$A:$A,Input_Raw!$CZ:$CZ),"")</f>
        <v>614400</v>
      </c>
      <c r="Z37" s="105">
        <f>IFERROR(_xlfn.XLOOKUP($A37,Input_Raw!$A:$A,Input_Raw!$DA:$DA),"")</f>
        <v>1200</v>
      </c>
      <c r="AA37" s="107">
        <f t="shared" si="5"/>
        <v>613200</v>
      </c>
      <c r="AB37" s="105">
        <f>IFERROR(_xlfn.XLOOKUP($A37,Input_Raw!$A:$A,Input_Raw!$DG:$DG),"")</f>
        <v>78</v>
      </c>
      <c r="AC37" s="125">
        <f>IFERROR(_xlfn.XLOOKUP($D37,'Modelling New'!$D:$D,'Modelling New'!$J:$J),"")</f>
        <v>6.5666666666666664</v>
      </c>
      <c r="AD37" s="107">
        <f>IFERROR(_xlfn.XLOOKUP($D37,'Modelling New'!$D:$D,'Modelling New'!$T:$T)*1000,"")</f>
        <v>558388.39265938452</v>
      </c>
      <c r="AE37" s="124"/>
      <c r="AF37" s="124">
        <f>IFERROR(_xlfn.XLOOKUP($D37,'Modelling New'!$D:$D,'Modelling New'!$W:$W),"")</f>
        <v>0.29828439778813276</v>
      </c>
      <c r="AG37" s="124">
        <f>IFERROR(_xlfn.XLOOKUP($D37,'Modelling New'!$D:$D,'Modelling New'!$AE:$AE),"")</f>
        <v>0.96029999999999993</v>
      </c>
      <c r="AH37" s="124">
        <f>IFERROR(_xlfn.XLOOKUP($D37,'Modelling New'!$D:$D,'Modelling New'!$AF:$AF),"")</f>
        <v>0.995</v>
      </c>
      <c r="AI37" s="105">
        <f>IFERROR(_xlfn.XLOOKUP($A37,Input_Raw!$A:$A,Input_Raw!$DE:$DE),"")</f>
        <v>616.13</v>
      </c>
      <c r="AJ37" s="105"/>
      <c r="AK37" s="105"/>
      <c r="AL37" s="105"/>
      <c r="AM37" s="105"/>
      <c r="AN37" s="126">
        <f>IFERROR(_xlfn.XLOOKUP($A37,Input_Raw!$A:$A,Input_Raw!$DB:$DB),"")</f>
        <v>2.8078489929073136E-3</v>
      </c>
      <c r="AO37" s="124">
        <f>IFERROR((_xlfn.XLOOKUP($A37,'WTG Reactive Power'!$A:$A,'WTG Reactive Power'!$AR:$AR))/X37/1000,"")</f>
        <v>1.9216723743365848E-6</v>
      </c>
      <c r="AP37" s="124">
        <f>IFERROR(_xlfn.XLOOKUP($D37,'Modelling New'!$D:$D,'Modelling New'!$AK:$AK),"")</f>
        <v>0.05</v>
      </c>
      <c r="AQ37" s="124">
        <f>IFERROR(_xlfn.XLOOKUP($D37,'Modelling New'!$D:$D,'Modelling New'!$AL:$AL),"")</f>
        <v>0.05</v>
      </c>
      <c r="AR37">
        <f>IFERROR(_xlfn.XLOOKUP($D37,'Modelling New'!$D:$D,'Modelling New'!$N:$N),"")</f>
        <v>78</v>
      </c>
    </row>
    <row r="38" spans="1:44">
      <c r="A38" s="118">
        <f t="shared" ref="A38:A101" si="7">A37+1</f>
        <v>45781</v>
      </c>
      <c r="B38" s="107">
        <f>YEAR(Table13[[#This Row],[Date]])+IF(MONTH(Table13[[#This Row],[Date]])&gt;=4,1,0)</f>
        <v>2026</v>
      </c>
      <c r="C38" s="105">
        <f>YEAR(Table13[[#This Row],[Date]])</f>
        <v>2025</v>
      </c>
      <c r="D38" s="119">
        <f>Table13[[#This Row],[Date]]-DAY(Table13[[#This Row],[Date]])+1</f>
        <v>45778</v>
      </c>
      <c r="E38" s="105">
        <f t="shared" si="4"/>
        <v>31</v>
      </c>
      <c r="F38" s="108"/>
      <c r="G38" s="109"/>
      <c r="H38" s="109"/>
      <c r="I38" s="109"/>
      <c r="J38" s="109"/>
      <c r="K38" s="120"/>
      <c r="L38" s="109"/>
      <c r="M38" s="109">
        <f>IFERROR(_xlfn.XLOOKUP($A38,Input_Raw!$A:$A,Input_Raw!CG:CG),"")</f>
        <v>4.8151282051282047</v>
      </c>
      <c r="N38" s="109">
        <f>IFERROR(_xlfn.XLOOKUP($A38,Input_Raw!$A:$A,Input_Raw!CH:CH),"")</f>
        <v>0</v>
      </c>
      <c r="O38" s="121">
        <f t="shared" si="6"/>
        <v>0.92907467770644425</v>
      </c>
      <c r="P38" s="121">
        <f>IFERROR(1-SUMIF(WTG_BD!$F:$F,$A38,WTG_BD!$AA:$AA)/($AA38+SUMIF(WTG_BD!$F:$F,$A38,WTG_BD!$AA:$AA)),"")</f>
        <v>0.92907467770644425</v>
      </c>
      <c r="Q38" s="122">
        <f>IFERROR(1-SUMIF(IGA_BD!$F:$F,$A38,IGA_BD!$V:$V)/($AA38+SUMIF(IGA_BD!$F:$F,$A38,IGA_BD!$V:$V)),"")</f>
        <v>1</v>
      </c>
      <c r="R38" s="127">
        <f>IFERROR(1-SUMIF(Grid_BD!$F:$F,$A38,Grid_BD!$X:$X)/($AA38+SUMIF(Grid_BD!$F:$F,$A38,Grid_BD!$X:$X)),"")</f>
        <v>1</v>
      </c>
      <c r="S38" s="105"/>
      <c r="T38" s="122"/>
      <c r="U38" s="123"/>
      <c r="V38" s="105"/>
      <c r="W38" s="124">
        <f>IFERROR(Table13[[#This Row],[Mtr_Net_Exp (KWh)]]/(24*AR38*1000),"")</f>
        <v>0.21025641025641026</v>
      </c>
      <c r="X38" s="105">
        <f>IFERROR(_xlfn.XLOOKUP($A38,Input_Raw!$A:$A,Input_Raw!$CF:$CF),"")</f>
        <v>404176</v>
      </c>
      <c r="Y38" s="105">
        <f>IFERROR(_xlfn.XLOOKUP($A38,Input_Raw!$A:$A,Input_Raw!$CZ:$CZ),"")</f>
        <v>397200</v>
      </c>
      <c r="Z38" s="105">
        <f>IFERROR(_xlfn.XLOOKUP($A38,Input_Raw!$A:$A,Input_Raw!$DA:$DA),"")</f>
        <v>3600</v>
      </c>
      <c r="AA38" s="107">
        <f t="shared" si="5"/>
        <v>393600</v>
      </c>
      <c r="AB38" s="105">
        <f>IFERROR(_xlfn.XLOOKUP($A38,Input_Raw!$A:$A,Input_Raw!$DG:$DG),"")</f>
        <v>78</v>
      </c>
      <c r="AC38" s="125">
        <f>IFERROR(_xlfn.XLOOKUP($D38,'Modelling New'!$D:$D,'Modelling New'!$J:$J),"")</f>
        <v>6.5666666666666664</v>
      </c>
      <c r="AD38" s="107">
        <f>IFERROR(_xlfn.XLOOKUP($D38,'Modelling New'!$D:$D,'Modelling New'!$T:$T)*1000,"")</f>
        <v>558388.39265938452</v>
      </c>
      <c r="AE38" s="124"/>
      <c r="AF38" s="124">
        <f>IFERROR(_xlfn.XLOOKUP($D38,'Modelling New'!$D:$D,'Modelling New'!$W:$W),"")</f>
        <v>0.29828439778813276</v>
      </c>
      <c r="AG38" s="124">
        <f>IFERROR(_xlfn.XLOOKUP($D38,'Modelling New'!$D:$D,'Modelling New'!$AE:$AE),"")</f>
        <v>0.96029999999999993</v>
      </c>
      <c r="AH38" s="124">
        <f>IFERROR(_xlfn.XLOOKUP($D38,'Modelling New'!$D:$D,'Modelling New'!$AF:$AF),"")</f>
        <v>0.995</v>
      </c>
      <c r="AI38" s="105">
        <f>IFERROR(_xlfn.XLOOKUP($A38,Input_Raw!$A:$A,Input_Raw!$DE:$DE),"")</f>
        <v>404.17</v>
      </c>
      <c r="AJ38" s="105"/>
      <c r="AK38" s="105"/>
      <c r="AL38" s="105"/>
      <c r="AM38" s="105"/>
      <c r="AN38" s="126">
        <f>IFERROR(_xlfn.XLOOKUP($A38,Input_Raw!$A:$A,Input_Raw!$DB:$DB),"")</f>
        <v>1.7259807608566602E-2</v>
      </c>
      <c r="AO38" s="124">
        <f>IFERROR((_xlfn.XLOOKUP($A38,'WTG Reactive Power'!$A:$A,'WTG Reactive Power'!$AR:$AR))/X38/1000,"")</f>
        <v>5.9503780531253716E-6</v>
      </c>
      <c r="AP38" s="124">
        <f>IFERROR(_xlfn.XLOOKUP($D38,'Modelling New'!$D:$D,'Modelling New'!$AK:$AK),"")</f>
        <v>0.05</v>
      </c>
      <c r="AQ38" s="124">
        <f>IFERROR(_xlfn.XLOOKUP($D38,'Modelling New'!$D:$D,'Modelling New'!$AL:$AL),"")</f>
        <v>0.05</v>
      </c>
      <c r="AR38">
        <f>IFERROR(_xlfn.XLOOKUP($D38,'Modelling New'!$D:$D,'Modelling New'!$N:$N),"")</f>
        <v>78</v>
      </c>
    </row>
    <row r="39" spans="1:44">
      <c r="A39" s="118">
        <f t="shared" si="7"/>
        <v>45782</v>
      </c>
      <c r="B39" s="107">
        <f>YEAR(Table13[[#This Row],[Date]])+IF(MONTH(Table13[[#This Row],[Date]])&gt;=4,1,0)</f>
        <v>2026</v>
      </c>
      <c r="C39" s="105">
        <f>YEAR(Table13[[#This Row],[Date]])</f>
        <v>2025</v>
      </c>
      <c r="D39" s="119">
        <f>Table13[[#This Row],[Date]]-DAY(Table13[[#This Row],[Date]])+1</f>
        <v>45778</v>
      </c>
      <c r="E39" s="105">
        <f t="shared" si="4"/>
        <v>31</v>
      </c>
      <c r="F39" s="108"/>
      <c r="G39" s="109"/>
      <c r="H39" s="109"/>
      <c r="I39" s="109"/>
      <c r="J39" s="109"/>
      <c r="K39" s="120"/>
      <c r="L39" s="109"/>
      <c r="M39" s="109">
        <f>IFERROR(_xlfn.XLOOKUP($A39,Input_Raw!$A:$A,Input_Raw!CG:CG),"")</f>
        <v>4.056923076923078</v>
      </c>
      <c r="N39" s="109">
        <f>IFERROR(_xlfn.XLOOKUP($A39,Input_Raw!$A:$A,Input_Raw!CH:CH),"")</f>
        <v>0</v>
      </c>
      <c r="O39" s="121">
        <f t="shared" si="6"/>
        <v>0.910762387818014</v>
      </c>
      <c r="P39" s="121">
        <f>IFERROR(1-SUMIF(WTG_BD!$F:$F,$A39,WTG_BD!$AA:$AA)/($AA39+SUMIF(WTG_BD!$F:$F,$A39,WTG_BD!$AA:$AA)),"")</f>
        <v>0.910762387818014</v>
      </c>
      <c r="Q39" s="122">
        <f>IFERROR(1-SUMIF(IGA_BD!$F:$F,$A39,IGA_BD!$V:$V)/($AA39+SUMIF(IGA_BD!$F:$F,$A39,IGA_BD!$V:$V)),"")</f>
        <v>1</v>
      </c>
      <c r="R39" s="127">
        <f>IFERROR(1-SUMIF(Grid_BD!$F:$F,$A39,Grid_BD!$X:$X)/($AA39+SUMIF(Grid_BD!$F:$F,$A39,Grid_BD!$X:$X)),"")</f>
        <v>1</v>
      </c>
      <c r="S39" s="105"/>
      <c r="T39" s="122"/>
      <c r="U39" s="123"/>
      <c r="V39" s="105"/>
      <c r="W39" s="124">
        <f>IFERROR(Table13[[#This Row],[Mtr_Net_Exp (KWh)]]/(24*AR39*1000),"")</f>
        <v>0.14038461538461539</v>
      </c>
      <c r="X39" s="105">
        <f>IFERROR(_xlfn.XLOOKUP($A39,Input_Raw!$A:$A,Input_Raw!$CF:$CF),"")</f>
        <v>266316</v>
      </c>
      <c r="Y39" s="105">
        <f>IFERROR(_xlfn.XLOOKUP($A39,Input_Raw!$A:$A,Input_Raw!$CZ:$CZ),"")</f>
        <v>262800</v>
      </c>
      <c r="Z39" s="105">
        <f>IFERROR(_xlfn.XLOOKUP($A39,Input_Raw!$A:$A,Input_Raw!$DA:$DA),"")</f>
        <v>0</v>
      </c>
      <c r="AA39" s="107">
        <f t="shared" si="5"/>
        <v>262800</v>
      </c>
      <c r="AB39" s="105">
        <f>IFERROR(_xlfn.XLOOKUP($A39,Input_Raw!$A:$A,Input_Raw!$DG:$DG),"")</f>
        <v>78</v>
      </c>
      <c r="AC39" s="125">
        <f>IFERROR(_xlfn.XLOOKUP($D39,'Modelling New'!$D:$D,'Modelling New'!$J:$J),"")</f>
        <v>6.5666666666666664</v>
      </c>
      <c r="AD39" s="107">
        <f>IFERROR(_xlfn.XLOOKUP($D39,'Modelling New'!$D:$D,'Modelling New'!$T:$T)*1000,"")</f>
        <v>558388.39265938452</v>
      </c>
      <c r="AE39" s="124"/>
      <c r="AF39" s="124">
        <f>IFERROR(_xlfn.XLOOKUP($D39,'Modelling New'!$D:$D,'Modelling New'!$W:$W),"")</f>
        <v>0.29828439778813276</v>
      </c>
      <c r="AG39" s="124">
        <f>IFERROR(_xlfn.XLOOKUP($D39,'Modelling New'!$D:$D,'Modelling New'!$AE:$AE),"")</f>
        <v>0.96029999999999993</v>
      </c>
      <c r="AH39" s="124">
        <f>IFERROR(_xlfn.XLOOKUP($D39,'Modelling New'!$D:$D,'Modelling New'!$AF:$AF),"")</f>
        <v>0.995</v>
      </c>
      <c r="AI39" s="105">
        <f>IFERROR(_xlfn.XLOOKUP($A39,Input_Raw!$A:$A,Input_Raw!$DE:$DE),"")</f>
        <v>266.31</v>
      </c>
      <c r="AJ39" s="105"/>
      <c r="AK39" s="105"/>
      <c r="AL39" s="105"/>
      <c r="AM39" s="105"/>
      <c r="AN39" s="126">
        <f>IFERROR(_xlfn.XLOOKUP($A39,Input_Raw!$A:$A,Input_Raw!$DB:$DB),"")</f>
        <v>1.3202361104852844E-2</v>
      </c>
      <c r="AO39" s="124">
        <f>IFERROR((_xlfn.XLOOKUP($A39,'WTG Reactive Power'!$A:$A,'WTG Reactive Power'!$AR:$AR))/X39/1000,"")</f>
        <v>2.1898796917947101E-5</v>
      </c>
      <c r="AP39" s="124">
        <f>IFERROR(_xlfn.XLOOKUP($D39,'Modelling New'!$D:$D,'Modelling New'!$AK:$AK),"")</f>
        <v>0.05</v>
      </c>
      <c r="AQ39" s="124">
        <f>IFERROR(_xlfn.XLOOKUP($D39,'Modelling New'!$D:$D,'Modelling New'!$AL:$AL),"")</f>
        <v>0.05</v>
      </c>
      <c r="AR39">
        <f>IFERROR(_xlfn.XLOOKUP($D39,'Modelling New'!$D:$D,'Modelling New'!$N:$N),"")</f>
        <v>78</v>
      </c>
    </row>
    <row r="40" spans="1:44">
      <c r="A40" s="118">
        <f t="shared" si="7"/>
        <v>45783</v>
      </c>
      <c r="B40" s="107">
        <f>YEAR(Table13[[#This Row],[Date]])+IF(MONTH(Table13[[#This Row],[Date]])&gt;=4,1,0)</f>
        <v>2026</v>
      </c>
      <c r="C40" s="105">
        <f>YEAR(Table13[[#This Row],[Date]])</f>
        <v>2025</v>
      </c>
      <c r="D40" s="119">
        <f>Table13[[#This Row],[Date]]-DAY(Table13[[#This Row],[Date]])+1</f>
        <v>45778</v>
      </c>
      <c r="E40" s="105">
        <f t="shared" si="4"/>
        <v>31</v>
      </c>
      <c r="F40" s="108"/>
      <c r="G40" s="109"/>
      <c r="H40" s="109"/>
      <c r="I40" s="109"/>
      <c r="J40" s="109"/>
      <c r="K40" s="120"/>
      <c r="L40" s="109"/>
      <c r="M40" s="109">
        <f>IFERROR(_xlfn.XLOOKUP($A40,Input_Raw!$A:$A,Input_Raw!CG:CG),"")</f>
        <v>4.3910256410256414</v>
      </c>
      <c r="N40" s="109">
        <f>IFERROR(_xlfn.XLOOKUP($A40,Input_Raw!$A:$A,Input_Raw!CH:CH),"")</f>
        <v>0</v>
      </c>
      <c r="O40" s="121">
        <f t="shared" si="6"/>
        <v>0.92291518705242637</v>
      </c>
      <c r="P40" s="121">
        <f>IFERROR(1-SUMIF(WTG_BD!$F:$F,$A40,WTG_BD!$AA:$AA)/($AA40+SUMIF(WTG_BD!$F:$F,$A40,WTG_BD!$AA:$AA)),"")</f>
        <v>0.92373042880098932</v>
      </c>
      <c r="Q40" s="122">
        <f>IFERROR(1-SUMIF(IGA_BD!$F:$F,$A40,IGA_BD!$V:$V)/($AA40+SUMIF(IGA_BD!$F:$F,$A40,IGA_BD!$V:$V)),"")</f>
        <v>0.99911744625580734</v>
      </c>
      <c r="R40" s="127">
        <f>IFERROR(1-SUMIF(Grid_BD!$F:$F,$A40,Grid_BD!$X:$X)/($AA40+SUMIF(Grid_BD!$F:$F,$A40,Grid_BD!$X:$X)),"")</f>
        <v>1</v>
      </c>
      <c r="S40" s="105"/>
      <c r="T40" s="122"/>
      <c r="U40" s="123"/>
      <c r="V40" s="105"/>
      <c r="W40" s="124">
        <f>IFERROR(Table13[[#This Row],[Mtr_Net_Exp (KWh)]]/(24*AR40*1000),"")</f>
        <v>0.16025641025641027</v>
      </c>
      <c r="X40" s="105">
        <f>IFERROR(_xlfn.XLOOKUP($A40,Input_Raw!$A:$A,Input_Raw!$CF:$CF),"")</f>
        <v>306808</v>
      </c>
      <c r="Y40" s="105">
        <f>IFERROR(_xlfn.XLOOKUP($A40,Input_Raw!$A:$A,Input_Raw!$CZ:$CZ),"")</f>
        <v>304800</v>
      </c>
      <c r="Z40" s="105">
        <f>IFERROR(_xlfn.XLOOKUP($A40,Input_Raw!$A:$A,Input_Raw!$DA:$DA),"")</f>
        <v>4800</v>
      </c>
      <c r="AA40" s="107">
        <f t="shared" si="5"/>
        <v>300000</v>
      </c>
      <c r="AB40" s="105">
        <f>IFERROR(_xlfn.XLOOKUP($A40,Input_Raw!$A:$A,Input_Raw!$DG:$DG),"")</f>
        <v>78</v>
      </c>
      <c r="AC40" s="125">
        <f>IFERROR(_xlfn.XLOOKUP($D40,'Modelling New'!$D:$D,'Modelling New'!$J:$J),"")</f>
        <v>6.5666666666666664</v>
      </c>
      <c r="AD40" s="107">
        <f>IFERROR(_xlfn.XLOOKUP($D40,'Modelling New'!$D:$D,'Modelling New'!$T:$T)*1000,"")</f>
        <v>558388.39265938452</v>
      </c>
      <c r="AE40" s="124"/>
      <c r="AF40" s="124">
        <f>IFERROR(_xlfn.XLOOKUP($D40,'Modelling New'!$D:$D,'Modelling New'!$W:$W),"")</f>
        <v>0.29828439778813276</v>
      </c>
      <c r="AG40" s="124">
        <f>IFERROR(_xlfn.XLOOKUP($D40,'Modelling New'!$D:$D,'Modelling New'!$AE:$AE),"")</f>
        <v>0.96029999999999993</v>
      </c>
      <c r="AH40" s="124">
        <f>IFERROR(_xlfn.XLOOKUP($D40,'Modelling New'!$D:$D,'Modelling New'!$AF:$AF),"")</f>
        <v>0.995</v>
      </c>
      <c r="AI40" s="105">
        <f>IFERROR(_xlfn.XLOOKUP($A40,Input_Raw!$A:$A,Input_Raw!$DE:$DE),"")</f>
        <v>306.8</v>
      </c>
      <c r="AJ40" s="105"/>
      <c r="AK40" s="105"/>
      <c r="AL40" s="105"/>
      <c r="AM40" s="105"/>
      <c r="AN40" s="126">
        <f>IFERROR(_xlfn.XLOOKUP($A40,Input_Raw!$A:$A,Input_Raw!$DB:$DB),"")</f>
        <v>6.5448097833172847E-3</v>
      </c>
      <c r="AO40" s="124">
        <f>IFERROR((_xlfn.XLOOKUP($A40,'WTG Reactive Power'!$A:$A,'WTG Reactive Power'!$AR:$AR))/X40/1000,"")</f>
        <v>1.1733722719094678E-5</v>
      </c>
      <c r="AP40" s="124">
        <f>IFERROR(_xlfn.XLOOKUP($D40,'Modelling New'!$D:$D,'Modelling New'!$AK:$AK),"")</f>
        <v>0.05</v>
      </c>
      <c r="AQ40" s="124">
        <f>IFERROR(_xlfn.XLOOKUP($D40,'Modelling New'!$D:$D,'Modelling New'!$AL:$AL),"")</f>
        <v>0.05</v>
      </c>
      <c r="AR40">
        <f>IFERROR(_xlfn.XLOOKUP($D40,'Modelling New'!$D:$D,'Modelling New'!$N:$N),"")</f>
        <v>78</v>
      </c>
    </row>
    <row r="41" spans="1:44">
      <c r="A41" s="118">
        <f t="shared" si="7"/>
        <v>45784</v>
      </c>
      <c r="B41" s="107">
        <f>YEAR(Table13[[#This Row],[Date]])+IF(MONTH(Table13[[#This Row],[Date]])&gt;=4,1,0)</f>
        <v>2026</v>
      </c>
      <c r="C41" s="105">
        <f>YEAR(Table13[[#This Row],[Date]])</f>
        <v>2025</v>
      </c>
      <c r="D41" s="119">
        <f>Table13[[#This Row],[Date]]-DAY(Table13[[#This Row],[Date]])+1</f>
        <v>45778</v>
      </c>
      <c r="E41" s="105">
        <f t="shared" si="4"/>
        <v>31</v>
      </c>
      <c r="F41" s="108"/>
      <c r="G41" s="109"/>
      <c r="H41" s="109"/>
      <c r="I41" s="109"/>
      <c r="J41" s="109"/>
      <c r="K41" s="120"/>
      <c r="L41" s="109"/>
      <c r="M41" s="109">
        <f>IFERROR(_xlfn.XLOOKUP($A41,Input_Raw!$A:$A,Input_Raw!CG:CG),"")</f>
        <v>4.8151282051282047</v>
      </c>
      <c r="N41" s="109">
        <f>IFERROR(_xlfn.XLOOKUP($A41,Input_Raw!$A:$A,Input_Raw!CH:CH),"")</f>
        <v>0</v>
      </c>
      <c r="O41" s="121">
        <f t="shared" si="6"/>
        <v>0.92202489014423306</v>
      </c>
      <c r="P41" s="121">
        <f>IFERROR(1-SUMIF(WTG_BD!$F:$F,$A41,WTG_BD!$AA:$AA)/($AA41+SUMIF(WTG_BD!$F:$F,$A41,WTG_BD!$AA:$AA)),"")</f>
        <v>0.92202489014423306</v>
      </c>
      <c r="Q41" s="122">
        <f>IFERROR(1-SUMIF(IGA_BD!$F:$F,$A41,IGA_BD!$V:$V)/($AA41+SUMIF(IGA_BD!$F:$F,$A41,IGA_BD!$V:$V)),"")</f>
        <v>1</v>
      </c>
      <c r="R41" s="127">
        <f>IFERROR(1-SUMIF(Grid_BD!$F:$F,$A41,Grid_BD!$X:$X)/($AA41+SUMIF(Grid_BD!$F:$F,$A41,Grid_BD!$X:$X)),"")</f>
        <v>1</v>
      </c>
      <c r="S41" s="105"/>
      <c r="T41" s="122"/>
      <c r="U41" s="123"/>
      <c r="V41" s="105"/>
      <c r="W41" s="124">
        <f>IFERROR(Table13[[#This Row],[Mtr_Net_Exp (KWh)]]/(24*AR41*1000),"")</f>
        <v>0.17948717948717949</v>
      </c>
      <c r="X41" s="105">
        <f>IFERROR(_xlfn.XLOOKUP($A41,Input_Raw!$A:$A,Input_Raw!$CF:$CF),"")</f>
        <v>351123</v>
      </c>
      <c r="Y41" s="105">
        <f>IFERROR(_xlfn.XLOOKUP($A41,Input_Raw!$A:$A,Input_Raw!$CZ:$CZ),"")</f>
        <v>336000</v>
      </c>
      <c r="Z41" s="105">
        <f>IFERROR(_xlfn.XLOOKUP($A41,Input_Raw!$A:$A,Input_Raw!$DA:$DA),"")</f>
        <v>0</v>
      </c>
      <c r="AA41" s="107">
        <f t="shared" si="5"/>
        <v>336000</v>
      </c>
      <c r="AB41" s="105">
        <f>IFERROR(_xlfn.XLOOKUP($A41,Input_Raw!$A:$A,Input_Raw!$DG:$DG),"")</f>
        <v>78</v>
      </c>
      <c r="AC41" s="125">
        <f>IFERROR(_xlfn.XLOOKUP($D41,'Modelling New'!$D:$D,'Modelling New'!$J:$J),"")</f>
        <v>6.5666666666666664</v>
      </c>
      <c r="AD41" s="107">
        <f>IFERROR(_xlfn.XLOOKUP($D41,'Modelling New'!$D:$D,'Modelling New'!$T:$T)*1000,"")</f>
        <v>558388.39265938452</v>
      </c>
      <c r="AE41" s="124"/>
      <c r="AF41" s="124">
        <f>IFERROR(_xlfn.XLOOKUP($D41,'Modelling New'!$D:$D,'Modelling New'!$W:$W),"")</f>
        <v>0.29828439778813276</v>
      </c>
      <c r="AG41" s="124">
        <f>IFERROR(_xlfn.XLOOKUP($D41,'Modelling New'!$D:$D,'Modelling New'!$AE:$AE),"")</f>
        <v>0.96029999999999993</v>
      </c>
      <c r="AH41" s="124">
        <f>IFERROR(_xlfn.XLOOKUP($D41,'Modelling New'!$D:$D,'Modelling New'!$AF:$AF),"")</f>
        <v>0.995</v>
      </c>
      <c r="AI41" s="105">
        <f>IFERROR(_xlfn.XLOOKUP($A41,Input_Raw!$A:$A,Input_Raw!$DE:$DE),"")</f>
        <v>351.12</v>
      </c>
      <c r="AJ41" s="105"/>
      <c r="AK41" s="105"/>
      <c r="AL41" s="105"/>
      <c r="AM41" s="105"/>
      <c r="AN41" s="126">
        <f>IFERROR(_xlfn.XLOOKUP($A41,Input_Raw!$A:$A,Input_Raw!$DB:$DB),"")</f>
        <v>4.3070377047359498E-2</v>
      </c>
      <c r="AO41" s="124">
        <f>IFERROR((_xlfn.XLOOKUP($A41,'WTG Reactive Power'!$A:$A,'WTG Reactive Power'!$AR:$AR))/X41/1000,"")</f>
        <v>1.3698903233339884E-5</v>
      </c>
      <c r="AP41" s="124">
        <f>IFERROR(_xlfn.XLOOKUP($D41,'Modelling New'!$D:$D,'Modelling New'!$AK:$AK),"")</f>
        <v>0.05</v>
      </c>
      <c r="AQ41" s="124">
        <f>IFERROR(_xlfn.XLOOKUP($D41,'Modelling New'!$D:$D,'Modelling New'!$AL:$AL),"")</f>
        <v>0.05</v>
      </c>
      <c r="AR41">
        <f>IFERROR(_xlfn.XLOOKUP($D41,'Modelling New'!$D:$D,'Modelling New'!$N:$N),"")</f>
        <v>78</v>
      </c>
    </row>
    <row r="42" spans="1:44">
      <c r="A42" s="118">
        <f t="shared" si="7"/>
        <v>45785</v>
      </c>
      <c r="B42" s="107">
        <f>YEAR(Table13[[#This Row],[Date]])+IF(MONTH(Table13[[#This Row],[Date]])&gt;=4,1,0)</f>
        <v>2026</v>
      </c>
      <c r="C42" s="105">
        <f>YEAR(Table13[[#This Row],[Date]])</f>
        <v>2025</v>
      </c>
      <c r="D42" s="119">
        <f>Table13[[#This Row],[Date]]-DAY(Table13[[#This Row],[Date]])+1</f>
        <v>45778</v>
      </c>
      <c r="E42" s="105">
        <f t="shared" si="4"/>
        <v>31</v>
      </c>
      <c r="F42" s="108"/>
      <c r="G42" s="109"/>
      <c r="H42" s="109"/>
      <c r="I42" s="109"/>
      <c r="J42" s="109"/>
      <c r="K42" s="120"/>
      <c r="L42" s="109"/>
      <c r="M42" s="109">
        <f>IFERROR(_xlfn.XLOOKUP($A42,Input_Raw!$A:$A,Input_Raw!CG:CG),"")</f>
        <v>4.056923076923078</v>
      </c>
      <c r="N42" s="109">
        <f>IFERROR(_xlfn.XLOOKUP($A42,Input_Raw!$A:$A,Input_Raw!CH:CH),"")</f>
        <v>0</v>
      </c>
      <c r="O42" s="121">
        <f t="shared" si="6"/>
        <v>0.937766633305959</v>
      </c>
      <c r="P42" s="121">
        <f>IFERROR(1-SUMIF(WTG_BD!$F:$F,$A42,WTG_BD!$AA:$AA)/($AA42+SUMIF(WTG_BD!$F:$F,$A42,WTG_BD!$AA:$AA)),"")</f>
        <v>0.937766633305959</v>
      </c>
      <c r="Q42" s="122">
        <f>IFERROR(1-SUMIF(IGA_BD!$F:$F,$A42,IGA_BD!$V:$V)/($AA42+SUMIF(IGA_BD!$F:$F,$A42,IGA_BD!$V:$V)),"")</f>
        <v>1</v>
      </c>
      <c r="R42" s="127">
        <f>IFERROR(1-SUMIF(Grid_BD!$F:$F,$A42,Grid_BD!$X:$X)/($AA42+SUMIF(Grid_BD!$F:$F,$A42,Grid_BD!$X:$X)),"")</f>
        <v>1</v>
      </c>
      <c r="S42" s="105"/>
      <c r="T42" s="122"/>
      <c r="U42" s="123"/>
      <c r="V42" s="105"/>
      <c r="W42" s="124">
        <f>IFERROR(Table13[[#This Row],[Mtr_Net_Exp (KWh)]]/(24*AR42*1000),"")</f>
        <v>0.16602564102564102</v>
      </c>
      <c r="X42" s="105">
        <f>IFERROR(_xlfn.XLOOKUP($A42,Input_Raw!$A:$A,Input_Raw!$CF:$CF),"")</f>
        <v>315253</v>
      </c>
      <c r="Y42" s="105">
        <f>IFERROR(_xlfn.XLOOKUP($A42,Input_Raw!$A:$A,Input_Raw!$CZ:$CZ),"")</f>
        <v>310800</v>
      </c>
      <c r="Z42" s="105">
        <f>IFERROR(_xlfn.XLOOKUP($A42,Input_Raw!$A:$A,Input_Raw!$DA:$DA),"")</f>
        <v>0</v>
      </c>
      <c r="AA42" s="107">
        <f t="shared" si="5"/>
        <v>310800</v>
      </c>
      <c r="AB42" s="105">
        <f>IFERROR(_xlfn.XLOOKUP($A42,Input_Raw!$A:$A,Input_Raw!$DG:$DG),"")</f>
        <v>78</v>
      </c>
      <c r="AC42" s="125">
        <f>IFERROR(_xlfn.XLOOKUP($D42,'Modelling New'!$D:$D,'Modelling New'!$J:$J),"")</f>
        <v>6.5666666666666664</v>
      </c>
      <c r="AD42" s="107">
        <f>IFERROR(_xlfn.XLOOKUP($D42,'Modelling New'!$D:$D,'Modelling New'!$T:$T)*1000,"")</f>
        <v>558388.39265938452</v>
      </c>
      <c r="AE42" s="124"/>
      <c r="AF42" s="124">
        <f>IFERROR(_xlfn.XLOOKUP($D42,'Modelling New'!$D:$D,'Modelling New'!$W:$W),"")</f>
        <v>0.29828439778813276</v>
      </c>
      <c r="AG42" s="124">
        <f>IFERROR(_xlfn.XLOOKUP($D42,'Modelling New'!$D:$D,'Modelling New'!$AE:$AE),"")</f>
        <v>0.96029999999999993</v>
      </c>
      <c r="AH42" s="124">
        <f>IFERROR(_xlfn.XLOOKUP($D42,'Modelling New'!$D:$D,'Modelling New'!$AF:$AF),"")</f>
        <v>0.995</v>
      </c>
      <c r="AI42" s="105">
        <f>IFERROR(_xlfn.XLOOKUP($A42,Input_Raw!$A:$A,Input_Raw!$DE:$DE),"")</f>
        <v>315.25</v>
      </c>
      <c r="AJ42" s="105"/>
      <c r="AK42" s="105"/>
      <c r="AL42" s="105"/>
      <c r="AM42" s="105"/>
      <c r="AN42" s="126">
        <f>IFERROR(_xlfn.XLOOKUP($A42,Input_Raw!$A:$A,Input_Raw!$DB:$DB),"")</f>
        <v>1.4125162964349292E-2</v>
      </c>
      <c r="AO42" s="124">
        <f>IFERROR((_xlfn.XLOOKUP($A42,'WTG Reactive Power'!$A:$A,'WTG Reactive Power'!$AR:$AR))/X42/1000,"")</f>
        <v>1.1384507046721206E-5</v>
      </c>
      <c r="AP42" s="124">
        <f>IFERROR(_xlfn.XLOOKUP($D42,'Modelling New'!$D:$D,'Modelling New'!$AK:$AK),"")</f>
        <v>0.05</v>
      </c>
      <c r="AQ42" s="124">
        <f>IFERROR(_xlfn.XLOOKUP($D42,'Modelling New'!$D:$D,'Modelling New'!$AL:$AL),"")</f>
        <v>0.05</v>
      </c>
      <c r="AR42">
        <f>IFERROR(_xlfn.XLOOKUP($D42,'Modelling New'!$D:$D,'Modelling New'!$N:$N),"")</f>
        <v>78</v>
      </c>
    </row>
    <row r="43" spans="1:44">
      <c r="A43" s="118">
        <f t="shared" si="7"/>
        <v>45786</v>
      </c>
      <c r="B43" s="107">
        <f>YEAR(Table13[[#This Row],[Date]])+IF(MONTH(Table13[[#This Row],[Date]])&gt;=4,1,0)</f>
        <v>2026</v>
      </c>
      <c r="C43" s="105">
        <f>YEAR(Table13[[#This Row],[Date]])</f>
        <v>2025</v>
      </c>
      <c r="D43" s="119">
        <f>Table13[[#This Row],[Date]]-DAY(Table13[[#This Row],[Date]])+1</f>
        <v>45778</v>
      </c>
      <c r="E43" s="105">
        <f t="shared" si="4"/>
        <v>31</v>
      </c>
      <c r="F43" s="108"/>
      <c r="G43" s="109"/>
      <c r="H43" s="109"/>
      <c r="I43" s="109"/>
      <c r="J43" s="109"/>
      <c r="K43" s="120"/>
      <c r="L43" s="109"/>
      <c r="M43" s="109">
        <f>IFERROR(_xlfn.XLOOKUP($A43,Input_Raw!$A:$A,Input_Raw!CG:CG),"")</f>
        <v>3.885204939707056</v>
      </c>
      <c r="N43" s="109">
        <f>IFERROR(_xlfn.XLOOKUP($A43,Input_Raw!$A:$A,Input_Raw!CH:CH),"")</f>
        <v>0</v>
      </c>
      <c r="O43" s="121">
        <f t="shared" si="6"/>
        <v>0.93011290239716971</v>
      </c>
      <c r="P43" s="121">
        <f>IFERROR(1-SUMIF(WTG_BD!$F:$F,$A43,WTG_BD!$AA:$AA)/($AA43+SUMIF(WTG_BD!$F:$F,$A43,WTG_BD!$AA:$AA)),"")</f>
        <v>0.93011290239716971</v>
      </c>
      <c r="Q43" s="122">
        <f>IFERROR(1-SUMIF(IGA_BD!$F:$F,$A43,IGA_BD!$V:$V)/($AA43+SUMIF(IGA_BD!$F:$F,$A43,IGA_BD!$V:$V)),"")</f>
        <v>1</v>
      </c>
      <c r="R43" s="127">
        <f>IFERROR(1-SUMIF(Grid_BD!$F:$F,$A43,Grid_BD!$X:$X)/($AA43+SUMIF(Grid_BD!$F:$F,$A43,Grid_BD!$X:$X)),"")</f>
        <v>1</v>
      </c>
      <c r="S43" s="105"/>
      <c r="T43" s="122"/>
      <c r="U43" s="123"/>
      <c r="V43" s="105"/>
      <c r="W43" s="124">
        <f>IFERROR(Table13[[#This Row],[Mtr_Net_Exp (KWh)]]/(24*AR43*1000),"")</f>
        <v>7.3076923076923081E-2</v>
      </c>
      <c r="X43" s="105">
        <f>IFERROR(_xlfn.XLOOKUP($A43,Input_Raw!$A:$A,Input_Raw!$CF:$CF),"")</f>
        <v>144826</v>
      </c>
      <c r="Y43" s="105">
        <f>IFERROR(_xlfn.XLOOKUP($A43,Input_Raw!$A:$A,Input_Raw!$CZ:$CZ),"")</f>
        <v>141600</v>
      </c>
      <c r="Z43" s="105">
        <f>IFERROR(_xlfn.XLOOKUP($A43,Input_Raw!$A:$A,Input_Raw!$DA:$DA),"")</f>
        <v>4800</v>
      </c>
      <c r="AA43" s="107">
        <f t="shared" si="5"/>
        <v>136800</v>
      </c>
      <c r="AB43" s="105">
        <f>IFERROR(_xlfn.XLOOKUP($A43,Input_Raw!$A:$A,Input_Raw!$DG:$DG),"")</f>
        <v>78</v>
      </c>
      <c r="AC43" s="125">
        <f>IFERROR(_xlfn.XLOOKUP($D43,'Modelling New'!$D:$D,'Modelling New'!$J:$J),"")</f>
        <v>6.5666666666666664</v>
      </c>
      <c r="AD43" s="107">
        <f>IFERROR(_xlfn.XLOOKUP($D43,'Modelling New'!$D:$D,'Modelling New'!$T:$T)*1000,"")</f>
        <v>558388.39265938452</v>
      </c>
      <c r="AE43" s="124"/>
      <c r="AF43" s="124">
        <f>IFERROR(_xlfn.XLOOKUP($D43,'Modelling New'!$D:$D,'Modelling New'!$W:$W),"")</f>
        <v>0.29828439778813276</v>
      </c>
      <c r="AG43" s="124">
        <f>IFERROR(_xlfn.XLOOKUP($D43,'Modelling New'!$D:$D,'Modelling New'!$AE:$AE),"")</f>
        <v>0.96029999999999993</v>
      </c>
      <c r="AH43" s="124">
        <f>IFERROR(_xlfn.XLOOKUP($D43,'Modelling New'!$D:$D,'Modelling New'!$AF:$AF),"")</f>
        <v>0.995</v>
      </c>
      <c r="AI43" s="105">
        <f>IFERROR(_xlfn.XLOOKUP($A43,Input_Raw!$A:$A,Input_Raw!$DE:$DE),"")</f>
        <v>144.82</v>
      </c>
      <c r="AJ43" s="105"/>
      <c r="AK43" s="105"/>
      <c r="AL43" s="105"/>
      <c r="AM43" s="105"/>
      <c r="AN43" s="126">
        <f>IFERROR(_xlfn.XLOOKUP($A43,Input_Raw!$A:$A,Input_Raw!$DB:$DB),"")</f>
        <v>2.2275005869111908E-2</v>
      </c>
      <c r="AO43" s="124">
        <f>IFERROR((_xlfn.XLOOKUP($A43,'WTG Reactive Power'!$A:$A,'WTG Reactive Power'!$AR:$AR))/X43/1000,"")</f>
        <v>1.0781213318050627E-4</v>
      </c>
      <c r="AP43" s="124">
        <f>IFERROR(_xlfn.XLOOKUP($D43,'Modelling New'!$D:$D,'Modelling New'!$AK:$AK),"")</f>
        <v>0.05</v>
      </c>
      <c r="AQ43" s="124">
        <f>IFERROR(_xlfn.XLOOKUP($D43,'Modelling New'!$D:$D,'Modelling New'!$AL:$AL),"")</f>
        <v>0.05</v>
      </c>
      <c r="AR43">
        <f>IFERROR(_xlfn.XLOOKUP($D43,'Modelling New'!$D:$D,'Modelling New'!$N:$N),"")</f>
        <v>78</v>
      </c>
    </row>
    <row r="44" spans="1:44">
      <c r="A44" s="118">
        <f t="shared" si="7"/>
        <v>45787</v>
      </c>
      <c r="B44" s="107">
        <f>YEAR(Table13[[#This Row],[Date]])+IF(MONTH(Table13[[#This Row],[Date]])&gt;=4,1,0)</f>
        <v>2026</v>
      </c>
      <c r="C44" s="105">
        <f>YEAR(Table13[[#This Row],[Date]])</f>
        <v>2025</v>
      </c>
      <c r="D44" s="119">
        <f>Table13[[#This Row],[Date]]-DAY(Table13[[#This Row],[Date]])+1</f>
        <v>45778</v>
      </c>
      <c r="E44" s="105">
        <f t="shared" si="4"/>
        <v>31</v>
      </c>
      <c r="F44" s="108"/>
      <c r="G44" s="109"/>
      <c r="H44" s="109"/>
      <c r="I44" s="109"/>
      <c r="J44" s="109"/>
      <c r="K44" s="120"/>
      <c r="L44" s="109"/>
      <c r="M44" s="109">
        <f>IFERROR(_xlfn.XLOOKUP($A44,Input_Raw!$A:$A,Input_Raw!CG:CG),"")</f>
        <v>4.2369230769230759</v>
      </c>
      <c r="N44" s="109">
        <f>IFERROR(_xlfn.XLOOKUP($A44,Input_Raw!$A:$A,Input_Raw!CH:CH),"")</f>
        <v>0</v>
      </c>
      <c r="O44" s="121">
        <f t="shared" si="6"/>
        <v>0.93814888254982598</v>
      </c>
      <c r="P44" s="121">
        <f>IFERROR(1-SUMIF(WTG_BD!$F:$F,$A44,WTG_BD!$AA:$AA)/($AA44+SUMIF(WTG_BD!$F:$F,$A44,WTG_BD!$AA:$AA)),"")</f>
        <v>0.93814888254982598</v>
      </c>
      <c r="Q44" s="122">
        <f>IFERROR(1-SUMIF(IGA_BD!$F:$F,$A44,IGA_BD!$V:$V)/($AA44+SUMIF(IGA_BD!$F:$F,$A44,IGA_BD!$V:$V)),"")</f>
        <v>1</v>
      </c>
      <c r="R44" s="127">
        <f>IFERROR(1-SUMIF(Grid_BD!$F:$F,$A44,Grid_BD!$X:$X)/($AA44+SUMIF(Grid_BD!$F:$F,$A44,Grid_BD!$X:$X)),"")</f>
        <v>1</v>
      </c>
      <c r="S44" s="105"/>
      <c r="T44" s="122"/>
      <c r="U44" s="123"/>
      <c r="V44" s="105"/>
      <c r="W44" s="124">
        <f>IFERROR(Table13[[#This Row],[Mtr_Net_Exp (KWh)]]/(24*AR44*1000),"")</f>
        <v>0.10064102564102564</v>
      </c>
      <c r="X44" s="105">
        <f>IFERROR(_xlfn.XLOOKUP($A44,Input_Raw!$A:$A,Input_Raw!$CF:$CF),"")</f>
        <v>194224</v>
      </c>
      <c r="Y44" s="105">
        <f>IFERROR(_xlfn.XLOOKUP($A44,Input_Raw!$A:$A,Input_Raw!$CZ:$CZ),"")</f>
        <v>192000</v>
      </c>
      <c r="Z44" s="105">
        <f>IFERROR(_xlfn.XLOOKUP($A44,Input_Raw!$A:$A,Input_Raw!$DA:$DA),"")</f>
        <v>3600</v>
      </c>
      <c r="AA44" s="107">
        <f t="shared" si="5"/>
        <v>188400</v>
      </c>
      <c r="AB44" s="105">
        <f>IFERROR(_xlfn.XLOOKUP($A44,Input_Raw!$A:$A,Input_Raw!$DG:$DG),"")</f>
        <v>78</v>
      </c>
      <c r="AC44" s="125">
        <f>IFERROR(_xlfn.XLOOKUP($D44,'Modelling New'!$D:$D,'Modelling New'!$J:$J),"")</f>
        <v>6.5666666666666664</v>
      </c>
      <c r="AD44" s="107">
        <f>IFERROR(_xlfn.XLOOKUP($D44,'Modelling New'!$D:$D,'Modelling New'!$T:$T)*1000,"")</f>
        <v>558388.39265938452</v>
      </c>
      <c r="AE44" s="124"/>
      <c r="AF44" s="124">
        <f>IFERROR(_xlfn.XLOOKUP($D44,'Modelling New'!$D:$D,'Modelling New'!$W:$W),"")</f>
        <v>0.29828439778813276</v>
      </c>
      <c r="AG44" s="124">
        <f>IFERROR(_xlfn.XLOOKUP($D44,'Modelling New'!$D:$D,'Modelling New'!$AE:$AE),"")</f>
        <v>0.96029999999999993</v>
      </c>
      <c r="AH44" s="124">
        <f>IFERROR(_xlfn.XLOOKUP($D44,'Modelling New'!$D:$D,'Modelling New'!$AF:$AF),"")</f>
        <v>0.995</v>
      </c>
      <c r="AI44" s="105">
        <f>IFERROR(_xlfn.XLOOKUP($A44,Input_Raw!$A:$A,Input_Raw!$DE:$DE),"")</f>
        <v>194.22</v>
      </c>
      <c r="AJ44" s="105"/>
      <c r="AK44" s="105"/>
      <c r="AL44" s="105"/>
      <c r="AM44" s="105"/>
      <c r="AN44" s="126">
        <f>IFERROR(_xlfn.XLOOKUP($A44,Input_Raw!$A:$A,Input_Raw!$DB:$DB),"")</f>
        <v>1.1450696103468161E-2</v>
      </c>
      <c r="AO44" s="124">
        <f>IFERROR((_xlfn.XLOOKUP($A44,'WTG Reactive Power'!$A:$A,'WTG Reactive Power'!$AR:$AR))/X44/1000,"")</f>
        <v>5.5435991432572697E-5</v>
      </c>
      <c r="AP44" s="124">
        <f>IFERROR(_xlfn.XLOOKUP($D44,'Modelling New'!$D:$D,'Modelling New'!$AK:$AK),"")</f>
        <v>0.05</v>
      </c>
      <c r="AQ44" s="124">
        <f>IFERROR(_xlfn.XLOOKUP($D44,'Modelling New'!$D:$D,'Modelling New'!$AL:$AL),"")</f>
        <v>0.05</v>
      </c>
      <c r="AR44">
        <f>IFERROR(_xlfn.XLOOKUP($D44,'Modelling New'!$D:$D,'Modelling New'!$N:$N),"")</f>
        <v>78</v>
      </c>
    </row>
    <row r="45" spans="1:44">
      <c r="A45" s="118">
        <f t="shared" si="7"/>
        <v>45788</v>
      </c>
      <c r="B45" s="107">
        <f>YEAR(Table13[[#This Row],[Date]])+IF(MONTH(Table13[[#This Row],[Date]])&gt;=4,1,0)</f>
        <v>2026</v>
      </c>
      <c r="C45" s="105">
        <f>YEAR(Table13[[#This Row],[Date]])</f>
        <v>2025</v>
      </c>
      <c r="D45" s="119">
        <f>Table13[[#This Row],[Date]]-DAY(Table13[[#This Row],[Date]])+1</f>
        <v>45778</v>
      </c>
      <c r="E45" s="105">
        <f t="shared" si="4"/>
        <v>31</v>
      </c>
      <c r="F45" s="108"/>
      <c r="G45" s="109"/>
      <c r="H45" s="109"/>
      <c r="I45" s="109"/>
      <c r="J45" s="109"/>
      <c r="K45" s="120"/>
      <c r="L45" s="109"/>
      <c r="M45" s="109">
        <f>IFERROR(_xlfn.XLOOKUP($A45,Input_Raw!$A:$A,Input_Raw!CG:CG),"")</f>
        <v>4.8151282051282047</v>
      </c>
      <c r="N45" s="109">
        <f>IFERROR(_xlfn.XLOOKUP($A45,Input_Raw!$A:$A,Input_Raw!CH:CH),"")</f>
        <v>0</v>
      </c>
      <c r="O45" s="121">
        <f t="shared" si="6"/>
        <v>0.90736641589653733</v>
      </c>
      <c r="P45" s="121">
        <f>IFERROR(1-SUMIF(WTG_BD!$F:$F,$A45,WTG_BD!$AA:$AA)/($AA45+SUMIF(WTG_BD!$F:$F,$A45,WTG_BD!$AA:$AA)),"")</f>
        <v>0.90736641589653733</v>
      </c>
      <c r="Q45" s="122">
        <f>IFERROR(1-SUMIF(IGA_BD!$F:$F,$A45,IGA_BD!$V:$V)/($AA45+SUMIF(IGA_BD!$F:$F,$A45,IGA_BD!$V:$V)),"")</f>
        <v>1</v>
      </c>
      <c r="R45" s="127">
        <f>IFERROR(1-SUMIF(Grid_BD!$F:$F,$A45,Grid_BD!$X:$X)/($AA45+SUMIF(Grid_BD!$F:$F,$A45,Grid_BD!$X:$X)),"")</f>
        <v>1</v>
      </c>
      <c r="S45" s="105"/>
      <c r="T45" s="122"/>
      <c r="U45" s="123"/>
      <c r="V45" s="105"/>
      <c r="W45" s="124">
        <f>IFERROR(Table13[[#This Row],[Mtr_Net_Exp (KWh)]]/(24*AR45*1000),"")</f>
        <v>0.17820512820512821</v>
      </c>
      <c r="X45" s="105">
        <f>IFERROR(_xlfn.XLOOKUP($A45,Input_Raw!$A:$A,Input_Raw!$CF:$CF),"")</f>
        <v>338208</v>
      </c>
      <c r="Y45" s="105">
        <f>IFERROR(_xlfn.XLOOKUP($A45,Input_Raw!$A:$A,Input_Raw!$CZ:$CZ),"")</f>
        <v>334800</v>
      </c>
      <c r="Z45" s="105">
        <f>IFERROR(_xlfn.XLOOKUP($A45,Input_Raw!$A:$A,Input_Raw!$DA:$DA),"")</f>
        <v>1200</v>
      </c>
      <c r="AA45" s="107">
        <f t="shared" si="5"/>
        <v>333600</v>
      </c>
      <c r="AB45" s="105">
        <f>IFERROR(_xlfn.XLOOKUP($A45,Input_Raw!$A:$A,Input_Raw!$DG:$DG),"")</f>
        <v>78</v>
      </c>
      <c r="AC45" s="125">
        <f>IFERROR(_xlfn.XLOOKUP($D45,'Modelling New'!$D:$D,'Modelling New'!$J:$J),"")</f>
        <v>6.5666666666666664</v>
      </c>
      <c r="AD45" s="107">
        <f>IFERROR(_xlfn.XLOOKUP($D45,'Modelling New'!$D:$D,'Modelling New'!$T:$T)*1000,"")</f>
        <v>558388.39265938452</v>
      </c>
      <c r="AE45" s="124"/>
      <c r="AF45" s="124">
        <f>IFERROR(_xlfn.XLOOKUP($D45,'Modelling New'!$D:$D,'Modelling New'!$W:$W),"")</f>
        <v>0.29828439778813276</v>
      </c>
      <c r="AG45" s="124">
        <f>IFERROR(_xlfn.XLOOKUP($D45,'Modelling New'!$D:$D,'Modelling New'!$AE:$AE),"")</f>
        <v>0.96029999999999993</v>
      </c>
      <c r="AH45" s="124">
        <f>IFERROR(_xlfn.XLOOKUP($D45,'Modelling New'!$D:$D,'Modelling New'!$AF:$AF),"")</f>
        <v>0.995</v>
      </c>
      <c r="AI45" s="105">
        <f>IFERROR(_xlfn.XLOOKUP($A45,Input_Raw!$A:$A,Input_Raw!$DE:$DE),"")</f>
        <v>338.2</v>
      </c>
      <c r="AJ45" s="105"/>
      <c r="AK45" s="105"/>
      <c r="AL45" s="105"/>
      <c r="AM45" s="105"/>
      <c r="AN45" s="126">
        <f>IFERROR(_xlfn.XLOOKUP($A45,Input_Raw!$A:$A,Input_Raw!$DB:$DB),"")</f>
        <v>1.0076639227930784E-2</v>
      </c>
      <c r="AO45" s="124">
        <f>IFERROR((_xlfn.XLOOKUP($A45,'WTG Reactive Power'!$A:$A,'WTG Reactive Power'!$AR:$AR))/X45/1000,"")</f>
        <v>1.772282145898382E-5</v>
      </c>
      <c r="AP45" s="124">
        <f>IFERROR(_xlfn.XLOOKUP($D45,'Modelling New'!$D:$D,'Modelling New'!$AK:$AK),"")</f>
        <v>0.05</v>
      </c>
      <c r="AQ45" s="124">
        <f>IFERROR(_xlfn.XLOOKUP($D45,'Modelling New'!$D:$D,'Modelling New'!$AL:$AL),"")</f>
        <v>0.05</v>
      </c>
      <c r="AR45">
        <f>IFERROR(_xlfn.XLOOKUP($D45,'Modelling New'!$D:$D,'Modelling New'!$N:$N),"")</f>
        <v>78</v>
      </c>
    </row>
    <row r="46" spans="1:44">
      <c r="A46" s="118">
        <f t="shared" si="7"/>
        <v>45789</v>
      </c>
      <c r="B46" s="107">
        <f>YEAR(Table13[[#This Row],[Date]])+IF(MONTH(Table13[[#This Row],[Date]])&gt;=4,1,0)</f>
        <v>2026</v>
      </c>
      <c r="C46" s="105">
        <f>YEAR(Table13[[#This Row],[Date]])</f>
        <v>2025</v>
      </c>
      <c r="D46" s="119">
        <f>Table13[[#This Row],[Date]]-DAY(Table13[[#This Row],[Date]])+1</f>
        <v>45778</v>
      </c>
      <c r="E46" s="105">
        <f t="shared" si="4"/>
        <v>31</v>
      </c>
      <c r="F46" s="108"/>
      <c r="G46" s="109"/>
      <c r="H46" s="109"/>
      <c r="I46" s="109"/>
      <c r="J46" s="109"/>
      <c r="K46" s="120"/>
      <c r="L46" s="109"/>
      <c r="M46" s="109">
        <f>IFERROR(_xlfn.XLOOKUP($A46,Input_Raw!$A:$A,Input_Raw!CG:CG),"")</f>
        <v>3.5474358974358982</v>
      </c>
      <c r="N46" s="109">
        <f>IFERROR(_xlfn.XLOOKUP($A46,Input_Raw!$A:$A,Input_Raw!CH:CH),"")</f>
        <v>0</v>
      </c>
      <c r="O46" s="121">
        <f t="shared" si="6"/>
        <v>0.88036995855850975</v>
      </c>
      <c r="P46" s="121">
        <f>IFERROR(1-SUMIF(WTG_BD!$F:$F,$A46,WTG_BD!$AA:$AA)/($AA46+SUMIF(WTG_BD!$F:$F,$A46,WTG_BD!$AA:$AA)),"")</f>
        <v>0.88311103718405826</v>
      </c>
      <c r="Q46" s="122">
        <f>IFERROR(1-SUMIF(IGA_BD!$F:$F,$A46,IGA_BD!$V:$V)/($AA46+SUMIF(IGA_BD!$F:$F,$A46,IGA_BD!$V:$V)),"")</f>
        <v>0.99689611100967679</v>
      </c>
      <c r="R46" s="127">
        <f>IFERROR(1-SUMIF(Grid_BD!$F:$F,$A46,Grid_BD!$X:$X)/($AA46+SUMIF(Grid_BD!$F:$F,$A46,Grid_BD!$X:$X)),"")</f>
        <v>1</v>
      </c>
      <c r="S46" s="105"/>
      <c r="T46" s="122"/>
      <c r="U46" s="123"/>
      <c r="V46" s="105"/>
      <c r="W46" s="124">
        <f>IFERROR(Table13[[#This Row],[Mtr_Net_Exp (KWh)]]/(24*AR46*1000),"")</f>
        <v>5.8333333333333334E-2</v>
      </c>
      <c r="X46" s="105">
        <f>IFERROR(_xlfn.XLOOKUP($A46,Input_Raw!$A:$A,Input_Raw!$CF:$CF),"")</f>
        <v>112662</v>
      </c>
      <c r="Y46" s="105">
        <f>IFERROR(_xlfn.XLOOKUP($A46,Input_Raw!$A:$A,Input_Raw!$CZ:$CZ),"")</f>
        <v>111600</v>
      </c>
      <c r="Z46" s="105">
        <f>IFERROR(_xlfn.XLOOKUP($A46,Input_Raw!$A:$A,Input_Raw!$DA:$DA),"")</f>
        <v>2400</v>
      </c>
      <c r="AA46" s="107">
        <f t="shared" si="5"/>
        <v>109200</v>
      </c>
      <c r="AB46" s="105">
        <f>IFERROR(_xlfn.XLOOKUP($A46,Input_Raw!$A:$A,Input_Raw!$DG:$DG),"")</f>
        <v>78</v>
      </c>
      <c r="AC46" s="125">
        <f>IFERROR(_xlfn.XLOOKUP($D46,'Modelling New'!$D:$D,'Modelling New'!$J:$J),"")</f>
        <v>6.5666666666666664</v>
      </c>
      <c r="AD46" s="107">
        <f>IFERROR(_xlfn.XLOOKUP($D46,'Modelling New'!$D:$D,'Modelling New'!$T:$T)*1000,"")</f>
        <v>558388.39265938452</v>
      </c>
      <c r="AE46" s="124"/>
      <c r="AF46" s="124">
        <f>IFERROR(_xlfn.XLOOKUP($D46,'Modelling New'!$D:$D,'Modelling New'!$W:$W),"")</f>
        <v>0.29828439778813276</v>
      </c>
      <c r="AG46" s="124">
        <f>IFERROR(_xlfn.XLOOKUP($D46,'Modelling New'!$D:$D,'Modelling New'!$AE:$AE),"")</f>
        <v>0.96029999999999993</v>
      </c>
      <c r="AH46" s="124">
        <f>IFERROR(_xlfn.XLOOKUP($D46,'Modelling New'!$D:$D,'Modelling New'!$AF:$AF),"")</f>
        <v>0.995</v>
      </c>
      <c r="AI46" s="105">
        <f>IFERROR(_xlfn.XLOOKUP($A46,Input_Raw!$A:$A,Input_Raw!$DE:$DE),"")</f>
        <v>112.66</v>
      </c>
      <c r="AJ46" s="105"/>
      <c r="AK46" s="105"/>
      <c r="AL46" s="105"/>
      <c r="AM46" s="105"/>
      <c r="AN46" s="126">
        <f>IFERROR(_xlfn.XLOOKUP($A46,Input_Raw!$A:$A,Input_Raw!$DB:$DB),"")</f>
        <v>9.426425946636896E-3</v>
      </c>
      <c r="AO46" s="124">
        <f>IFERROR((_xlfn.XLOOKUP($A46,'WTG Reactive Power'!$A:$A,'WTG Reactive Power'!$AR:$AR))/X46/1000,"")</f>
        <v>5.1765457740853173E-5</v>
      </c>
      <c r="AP46" s="124">
        <f>IFERROR(_xlfn.XLOOKUP($D46,'Modelling New'!$D:$D,'Modelling New'!$AK:$AK),"")</f>
        <v>0.05</v>
      </c>
      <c r="AQ46" s="124">
        <f>IFERROR(_xlfn.XLOOKUP($D46,'Modelling New'!$D:$D,'Modelling New'!$AL:$AL),"")</f>
        <v>0.05</v>
      </c>
      <c r="AR46">
        <f>IFERROR(_xlfn.XLOOKUP($D46,'Modelling New'!$D:$D,'Modelling New'!$N:$N),"")</f>
        <v>78</v>
      </c>
    </row>
    <row r="47" spans="1:44">
      <c r="A47" s="118">
        <f t="shared" si="7"/>
        <v>45790</v>
      </c>
      <c r="B47" s="107">
        <f>YEAR(Table13[[#This Row],[Date]])+IF(MONTH(Table13[[#This Row],[Date]])&gt;=4,1,0)</f>
        <v>2026</v>
      </c>
      <c r="C47" s="105">
        <f>YEAR(Table13[[#This Row],[Date]])</f>
        <v>2025</v>
      </c>
      <c r="D47" s="119">
        <f>Table13[[#This Row],[Date]]-DAY(Table13[[#This Row],[Date]])+1</f>
        <v>45778</v>
      </c>
      <c r="E47" s="105">
        <f t="shared" si="4"/>
        <v>31</v>
      </c>
      <c r="F47" s="108"/>
      <c r="G47" s="109"/>
      <c r="H47" s="109"/>
      <c r="I47" s="109"/>
      <c r="J47" s="109"/>
      <c r="K47" s="120"/>
      <c r="L47" s="109"/>
      <c r="M47" s="109">
        <f>IFERROR(_xlfn.XLOOKUP($A47,Input_Raw!$A:$A,Input_Raw!CG:CG),"")</f>
        <v>4.8055263157894732</v>
      </c>
      <c r="N47" s="109">
        <f>IFERROR(_xlfn.XLOOKUP($A47,Input_Raw!$A:$A,Input_Raw!CH:CH),"")</f>
        <v>0</v>
      </c>
      <c r="O47" s="121">
        <f t="shared" si="6"/>
        <v>0.92613165404344744</v>
      </c>
      <c r="P47" s="121">
        <f>IFERROR(1-SUMIF(WTG_BD!$F:$F,$A47,WTG_BD!$AA:$AA)/($AA47+SUMIF(WTG_BD!$F:$F,$A47,WTG_BD!$AA:$AA)),"")</f>
        <v>0.92613165404344744</v>
      </c>
      <c r="Q47" s="122">
        <f>IFERROR(1-SUMIF(IGA_BD!$F:$F,$A47,IGA_BD!$V:$V)/($AA47+SUMIF(IGA_BD!$F:$F,$A47,IGA_BD!$V:$V)),"")</f>
        <v>1</v>
      </c>
      <c r="R47" s="127">
        <f>IFERROR(1-SUMIF(Grid_BD!$F:$F,$A47,Grid_BD!$X:$X)/($AA47+SUMIF(Grid_BD!$F:$F,$A47,Grid_BD!$X:$X)),"")</f>
        <v>1</v>
      </c>
      <c r="S47" s="105"/>
      <c r="T47" s="122"/>
      <c r="U47" s="123"/>
      <c r="V47" s="105"/>
      <c r="W47" s="124">
        <f>IFERROR(Table13[[#This Row],[Mtr_Net_Exp (KWh)]]/(24*AR47*1000),"")</f>
        <v>0.10512820512820513</v>
      </c>
      <c r="X47" s="105">
        <f>IFERROR(_xlfn.XLOOKUP($A47,Input_Raw!$A:$A,Input_Raw!$CF:$CF),"")</f>
        <v>205550</v>
      </c>
      <c r="Y47" s="105">
        <f>IFERROR(_xlfn.XLOOKUP($A47,Input_Raw!$A:$A,Input_Raw!$CZ:$CZ),"")</f>
        <v>201600</v>
      </c>
      <c r="Z47" s="105">
        <f>IFERROR(_xlfn.XLOOKUP($A47,Input_Raw!$A:$A,Input_Raw!$DA:$DA),"")</f>
        <v>4800</v>
      </c>
      <c r="AA47" s="107">
        <f t="shared" si="5"/>
        <v>196800</v>
      </c>
      <c r="AB47" s="105">
        <f>IFERROR(_xlfn.XLOOKUP($A47,Input_Raw!$A:$A,Input_Raw!$DG:$DG),"")</f>
        <v>78</v>
      </c>
      <c r="AC47" s="125">
        <f>IFERROR(_xlfn.XLOOKUP($D47,'Modelling New'!$D:$D,'Modelling New'!$J:$J),"")</f>
        <v>6.5666666666666664</v>
      </c>
      <c r="AD47" s="107">
        <f>IFERROR(_xlfn.XLOOKUP($D47,'Modelling New'!$D:$D,'Modelling New'!$T:$T)*1000,"")</f>
        <v>558388.39265938452</v>
      </c>
      <c r="AE47" s="124"/>
      <c r="AF47" s="124">
        <f>IFERROR(_xlfn.XLOOKUP($D47,'Modelling New'!$D:$D,'Modelling New'!$W:$W),"")</f>
        <v>0.29828439778813276</v>
      </c>
      <c r="AG47" s="124">
        <f>IFERROR(_xlfn.XLOOKUP($D47,'Modelling New'!$D:$D,'Modelling New'!$AE:$AE),"")</f>
        <v>0.96029999999999993</v>
      </c>
      <c r="AH47" s="124">
        <f>IFERROR(_xlfn.XLOOKUP($D47,'Modelling New'!$D:$D,'Modelling New'!$AF:$AF),"")</f>
        <v>0.995</v>
      </c>
      <c r="AI47" s="105">
        <f>IFERROR(_xlfn.XLOOKUP($A47,Input_Raw!$A:$A,Input_Raw!$DE:$DE),"")</f>
        <v>205.55</v>
      </c>
      <c r="AJ47" s="105"/>
      <c r="AK47" s="105"/>
      <c r="AL47" s="105"/>
      <c r="AM47" s="105"/>
      <c r="AN47" s="126">
        <f>IFERROR(_xlfn.XLOOKUP($A47,Input_Raw!$A:$A,Input_Raw!$DB:$DB),"")</f>
        <v>1.9216735587448297E-2</v>
      </c>
      <c r="AO47" s="124">
        <f>IFERROR((_xlfn.XLOOKUP($A47,'WTG Reactive Power'!$A:$A,'WTG Reactive Power'!$AR:$AR))/X47/1000,"")</f>
        <v>4.0861104354171735E-5</v>
      </c>
      <c r="AP47" s="124">
        <f>IFERROR(_xlfn.XLOOKUP($D47,'Modelling New'!$D:$D,'Modelling New'!$AK:$AK),"")</f>
        <v>0.05</v>
      </c>
      <c r="AQ47" s="124">
        <f>IFERROR(_xlfn.XLOOKUP($D47,'Modelling New'!$D:$D,'Modelling New'!$AL:$AL),"")</f>
        <v>0.05</v>
      </c>
      <c r="AR47">
        <f>IFERROR(_xlfn.XLOOKUP($D47,'Modelling New'!$D:$D,'Modelling New'!$N:$N),"")</f>
        <v>78</v>
      </c>
    </row>
    <row r="48" spans="1:44">
      <c r="A48" s="118">
        <f t="shared" si="7"/>
        <v>45791</v>
      </c>
      <c r="B48" s="107">
        <f>YEAR(Table13[[#This Row],[Date]])+IF(MONTH(Table13[[#This Row],[Date]])&gt;=4,1,0)</f>
        <v>2026</v>
      </c>
      <c r="C48" s="105">
        <f>YEAR(Table13[[#This Row],[Date]])</f>
        <v>2025</v>
      </c>
      <c r="D48" s="119">
        <f>Table13[[#This Row],[Date]]-DAY(Table13[[#This Row],[Date]])+1</f>
        <v>45778</v>
      </c>
      <c r="E48" s="105">
        <f t="shared" si="4"/>
        <v>31</v>
      </c>
      <c r="F48" s="108"/>
      <c r="G48" s="109"/>
      <c r="H48" s="109"/>
      <c r="I48" s="109"/>
      <c r="J48" s="109"/>
      <c r="K48" s="120"/>
      <c r="L48" s="109"/>
      <c r="M48" s="109">
        <f>IFERROR(_xlfn.XLOOKUP($A48,Input_Raw!$A:$A,Input_Raw!CG:CG),"")</f>
        <v>3.4951282051282053</v>
      </c>
      <c r="N48" s="109">
        <f>IFERROR(_xlfn.XLOOKUP($A48,Input_Raw!$A:$A,Input_Raw!CH:CH),"")</f>
        <v>0</v>
      </c>
      <c r="O48" s="121">
        <f t="shared" si="6"/>
        <v>0.89492402156729256</v>
      </c>
      <c r="P48" s="121">
        <f>IFERROR(1-SUMIF(WTG_BD!$F:$F,$A48,WTG_BD!$AA:$AA)/($AA48+SUMIF(WTG_BD!$F:$F,$A48,WTG_BD!$AA:$AA)),"")</f>
        <v>0.89492402156729256</v>
      </c>
      <c r="Q48" s="122">
        <f>IFERROR(1-SUMIF(IGA_BD!$F:$F,$A48,IGA_BD!$V:$V)/($AA48+SUMIF(IGA_BD!$F:$F,$A48,IGA_BD!$V:$V)),"")</f>
        <v>1</v>
      </c>
      <c r="R48" s="127">
        <f>IFERROR(1-SUMIF(Grid_BD!$F:$F,$A48,Grid_BD!$X:$X)/($AA48+SUMIF(Grid_BD!$F:$F,$A48,Grid_BD!$X:$X)),"")</f>
        <v>1</v>
      </c>
      <c r="S48" s="105"/>
      <c r="T48" s="122"/>
      <c r="U48" s="123"/>
      <c r="V48" s="105"/>
      <c r="W48" s="124">
        <f>IFERROR(Table13[[#This Row],[Mtr_Net_Exp (KWh)]]/(24*AR48*1000),"")</f>
        <v>6.9871794871794873E-2</v>
      </c>
      <c r="X48" s="105">
        <f>IFERROR(_xlfn.XLOOKUP($A48,Input_Raw!$A:$A,Input_Raw!$CF:$CF),"")</f>
        <v>139230</v>
      </c>
      <c r="Y48" s="105">
        <f>IFERROR(_xlfn.XLOOKUP($A48,Input_Raw!$A:$A,Input_Raw!$CZ:$CZ),"")</f>
        <v>135600</v>
      </c>
      <c r="Z48" s="105">
        <f>IFERROR(_xlfn.XLOOKUP($A48,Input_Raw!$A:$A,Input_Raw!$DA:$DA),"")</f>
        <v>4800</v>
      </c>
      <c r="AA48" s="107">
        <f t="shared" si="5"/>
        <v>130800</v>
      </c>
      <c r="AB48" s="105">
        <f>IFERROR(_xlfn.XLOOKUP($A48,Input_Raw!$A:$A,Input_Raw!$DG:$DG),"")</f>
        <v>78</v>
      </c>
      <c r="AC48" s="125">
        <f>IFERROR(_xlfn.XLOOKUP($D48,'Modelling New'!$D:$D,'Modelling New'!$J:$J),"")</f>
        <v>6.5666666666666664</v>
      </c>
      <c r="AD48" s="107">
        <f>IFERROR(_xlfn.XLOOKUP($D48,'Modelling New'!$D:$D,'Modelling New'!$T:$T)*1000,"")</f>
        <v>558388.39265938452</v>
      </c>
      <c r="AE48" s="124"/>
      <c r="AF48" s="124">
        <f>IFERROR(_xlfn.XLOOKUP($D48,'Modelling New'!$D:$D,'Modelling New'!$W:$W),"")</f>
        <v>0.29828439778813276</v>
      </c>
      <c r="AG48" s="124">
        <f>IFERROR(_xlfn.XLOOKUP($D48,'Modelling New'!$D:$D,'Modelling New'!$AE:$AE),"")</f>
        <v>0.96029999999999993</v>
      </c>
      <c r="AH48" s="124">
        <f>IFERROR(_xlfn.XLOOKUP($D48,'Modelling New'!$D:$D,'Modelling New'!$AF:$AF),"")</f>
        <v>0.995</v>
      </c>
      <c r="AI48" s="105">
        <f>IFERROR(_xlfn.XLOOKUP($A48,Input_Raw!$A:$A,Input_Raw!$DE:$DE),"")</f>
        <v>139.22999999999999</v>
      </c>
      <c r="AJ48" s="105"/>
      <c r="AK48" s="105"/>
      <c r="AL48" s="105"/>
      <c r="AM48" s="105"/>
      <c r="AN48" s="126">
        <f>IFERROR(_xlfn.XLOOKUP($A48,Input_Raw!$A:$A,Input_Raw!$DB:$DB),"")</f>
        <v>2.6071967248437855E-2</v>
      </c>
      <c r="AO48" s="124">
        <f>IFERROR((_xlfn.XLOOKUP($A48,'WTG Reactive Power'!$A:$A,'WTG Reactive Power'!$AR:$AR))/X48/1000,"")</f>
        <v>8.3775048480930821E-5</v>
      </c>
      <c r="AP48" s="124">
        <f>IFERROR(_xlfn.XLOOKUP($D48,'Modelling New'!$D:$D,'Modelling New'!$AK:$AK),"")</f>
        <v>0.05</v>
      </c>
      <c r="AQ48" s="124">
        <f>IFERROR(_xlfn.XLOOKUP($D48,'Modelling New'!$D:$D,'Modelling New'!$AL:$AL),"")</f>
        <v>0.05</v>
      </c>
      <c r="AR48">
        <f>IFERROR(_xlfn.XLOOKUP($D48,'Modelling New'!$D:$D,'Modelling New'!$N:$N),"")</f>
        <v>78</v>
      </c>
    </row>
    <row r="49" spans="1:44">
      <c r="A49" s="118">
        <f t="shared" si="7"/>
        <v>45792</v>
      </c>
      <c r="B49" s="107">
        <f>YEAR(Table13[[#This Row],[Date]])+IF(MONTH(Table13[[#This Row],[Date]])&gt;=4,1,0)</f>
        <v>2026</v>
      </c>
      <c r="C49" s="105">
        <f>YEAR(Table13[[#This Row],[Date]])</f>
        <v>2025</v>
      </c>
      <c r="D49" s="119">
        <f>Table13[[#This Row],[Date]]-DAY(Table13[[#This Row],[Date]])+1</f>
        <v>45778</v>
      </c>
      <c r="E49" s="105">
        <f t="shared" si="4"/>
        <v>31</v>
      </c>
      <c r="F49" s="108"/>
      <c r="G49" s="109"/>
      <c r="H49" s="109"/>
      <c r="I49" s="109"/>
      <c r="J49" s="109"/>
      <c r="K49" s="120"/>
      <c r="L49" s="109"/>
      <c r="M49" s="109">
        <f>IFERROR(_xlfn.XLOOKUP($A49,Input_Raw!$A:$A,Input_Raw!CG:CG),"")</f>
        <v>3.5474358974358982</v>
      </c>
      <c r="N49" s="109">
        <f>IFERROR(_xlfn.XLOOKUP($A49,Input_Raw!$A:$A,Input_Raw!CH:CH),"")</f>
        <v>0</v>
      </c>
      <c r="O49" s="121">
        <f t="shared" si="6"/>
        <v>0.91086987496206451</v>
      </c>
      <c r="P49" s="121">
        <f>IFERROR(1-SUMIF(WTG_BD!$F:$F,$A49,WTG_BD!$AA:$AA)/($AA49+SUMIF(WTG_BD!$F:$F,$A49,WTG_BD!$AA:$AA)),"")</f>
        <v>0.91086987496206451</v>
      </c>
      <c r="Q49" s="122">
        <f>IFERROR(1-SUMIF(IGA_BD!$F:$F,$A49,IGA_BD!$V:$V)/($AA49+SUMIF(IGA_BD!$F:$F,$A49,IGA_BD!$V:$V)),"")</f>
        <v>1</v>
      </c>
      <c r="R49" s="127">
        <f>IFERROR(1-SUMIF(Grid_BD!$F:$F,$A49,Grid_BD!$X:$X)/($AA49+SUMIF(Grid_BD!$F:$F,$A49,Grid_BD!$X:$X)),"")</f>
        <v>1</v>
      </c>
      <c r="S49" s="105"/>
      <c r="T49" s="122"/>
      <c r="U49" s="123"/>
      <c r="V49" s="105"/>
      <c r="W49" s="124">
        <f>IFERROR(Table13[[#This Row],[Mtr_Net_Exp (KWh)]]/(24*AR49*1000),"")</f>
        <v>0.10192307692307692</v>
      </c>
      <c r="X49" s="105">
        <f>IFERROR(_xlfn.XLOOKUP($A49,Input_Raw!$A:$A,Input_Raw!$CF:$CF),"")</f>
        <v>194666</v>
      </c>
      <c r="Y49" s="105">
        <f>IFERROR(_xlfn.XLOOKUP($A49,Input_Raw!$A:$A,Input_Raw!$CZ:$CZ),"")</f>
        <v>192000</v>
      </c>
      <c r="Z49" s="105">
        <f>IFERROR(_xlfn.XLOOKUP($A49,Input_Raw!$A:$A,Input_Raw!$DA:$DA),"")</f>
        <v>1200</v>
      </c>
      <c r="AA49" s="107">
        <f t="shared" si="5"/>
        <v>190800</v>
      </c>
      <c r="AB49" s="105">
        <f>IFERROR(_xlfn.XLOOKUP($A49,Input_Raw!$A:$A,Input_Raw!$DG:$DG),"")</f>
        <v>78</v>
      </c>
      <c r="AC49" s="125">
        <f>IFERROR(_xlfn.XLOOKUP($D49,'Modelling New'!$D:$D,'Modelling New'!$J:$J),"")</f>
        <v>6.5666666666666664</v>
      </c>
      <c r="AD49" s="107">
        <f>IFERROR(_xlfn.XLOOKUP($D49,'Modelling New'!$D:$D,'Modelling New'!$T:$T)*1000,"")</f>
        <v>558388.39265938452</v>
      </c>
      <c r="AE49" s="124"/>
      <c r="AF49" s="124">
        <f>IFERROR(_xlfn.XLOOKUP($D49,'Modelling New'!$D:$D,'Modelling New'!$W:$W),"")</f>
        <v>0.29828439778813276</v>
      </c>
      <c r="AG49" s="124">
        <f>IFERROR(_xlfn.XLOOKUP($D49,'Modelling New'!$D:$D,'Modelling New'!$AE:$AE),"")</f>
        <v>0.96029999999999993</v>
      </c>
      <c r="AH49" s="124">
        <f>IFERROR(_xlfn.XLOOKUP($D49,'Modelling New'!$D:$D,'Modelling New'!$AF:$AF),"")</f>
        <v>0.995</v>
      </c>
      <c r="AI49" s="105">
        <f>IFERROR(_xlfn.XLOOKUP($A49,Input_Raw!$A:$A,Input_Raw!$DE:$DE),"")</f>
        <v>194.66</v>
      </c>
      <c r="AJ49" s="105"/>
      <c r="AK49" s="105"/>
      <c r="AL49" s="105"/>
      <c r="AM49" s="105"/>
      <c r="AN49" s="126">
        <f>IFERROR(_xlfn.XLOOKUP($A49,Input_Raw!$A:$A,Input_Raw!$DB:$DB),"")</f>
        <v>1.3695252381001333E-2</v>
      </c>
      <c r="AO49" s="124">
        <f>IFERROR((_xlfn.XLOOKUP($A49,'WTG Reactive Power'!$A:$A,'WTG Reactive Power'!$AR:$AR))/X49/1000,"")</f>
        <v>3.0791201339730618E-5</v>
      </c>
      <c r="AP49" s="124">
        <f>IFERROR(_xlfn.XLOOKUP($D49,'Modelling New'!$D:$D,'Modelling New'!$AK:$AK),"")</f>
        <v>0.05</v>
      </c>
      <c r="AQ49" s="124">
        <f>IFERROR(_xlfn.XLOOKUP($D49,'Modelling New'!$D:$D,'Modelling New'!$AL:$AL),"")</f>
        <v>0.05</v>
      </c>
      <c r="AR49">
        <f>IFERROR(_xlfn.XLOOKUP($D49,'Modelling New'!$D:$D,'Modelling New'!$N:$N),"")</f>
        <v>78</v>
      </c>
    </row>
    <row r="50" spans="1:44">
      <c r="A50" s="118">
        <f t="shared" si="7"/>
        <v>45793</v>
      </c>
      <c r="B50" s="107">
        <f>YEAR(Table13[[#This Row],[Date]])+IF(MONTH(Table13[[#This Row],[Date]])&gt;=4,1,0)</f>
        <v>2026</v>
      </c>
      <c r="C50" s="105">
        <f>YEAR(Table13[[#This Row],[Date]])</f>
        <v>2025</v>
      </c>
      <c r="D50" s="119">
        <f>Table13[[#This Row],[Date]]-DAY(Table13[[#This Row],[Date]])+1</f>
        <v>45778</v>
      </c>
      <c r="E50" s="105">
        <f t="shared" si="4"/>
        <v>31</v>
      </c>
      <c r="F50" s="108"/>
      <c r="G50" s="109"/>
      <c r="H50" s="109"/>
      <c r="I50" s="109"/>
      <c r="J50" s="109"/>
      <c r="K50" s="120"/>
      <c r="L50" s="109"/>
      <c r="M50" s="109">
        <f>IFERROR(_xlfn.XLOOKUP($A50,Input_Raw!$A:$A,Input_Raw!CG:CG),"")</f>
        <v>4.056923076923078</v>
      </c>
      <c r="N50" s="109">
        <f>IFERROR(_xlfn.XLOOKUP($A50,Input_Raw!$A:$A,Input_Raw!CH:CH),"")</f>
        <v>0</v>
      </c>
      <c r="O50" s="121">
        <f t="shared" si="6"/>
        <v>0.91413196247312223</v>
      </c>
      <c r="P50" s="121">
        <f>IFERROR(1-SUMIF(WTG_BD!$F:$F,$A50,WTG_BD!$AA:$AA)/($AA50+SUMIF(WTG_BD!$F:$F,$A50,WTG_BD!$AA:$AA)),"")</f>
        <v>0.92211704250870152</v>
      </c>
      <c r="Q50" s="122">
        <f>IFERROR(1-SUMIF(IGA_BD!$F:$F,$A50,IGA_BD!$V:$V)/($AA50+SUMIF(IGA_BD!$F:$F,$A50,IGA_BD!$V:$V)),"")</f>
        <v>0.99134049186006234</v>
      </c>
      <c r="R50" s="127">
        <f>IFERROR(1-SUMIF(Grid_BD!$F:$F,$A50,Grid_BD!$X:$X)/($AA50+SUMIF(Grid_BD!$F:$F,$A50,Grid_BD!$X:$X)),"")</f>
        <v>1</v>
      </c>
      <c r="S50" s="105"/>
      <c r="T50" s="122"/>
      <c r="U50" s="123"/>
      <c r="V50" s="105"/>
      <c r="W50" s="124">
        <f>IFERROR(Table13[[#This Row],[Mtr_Net_Exp (KWh)]]/(24*AR50*1000),"")</f>
        <v>0.16987179487179488</v>
      </c>
      <c r="X50" s="105">
        <f>IFERROR(_xlfn.XLOOKUP($A50,Input_Raw!$A:$A,Input_Raw!$CF:$CF),"")</f>
        <v>321526</v>
      </c>
      <c r="Y50" s="105">
        <f>IFERROR(_xlfn.XLOOKUP($A50,Input_Raw!$A:$A,Input_Raw!$CZ:$CZ),"")</f>
        <v>318000</v>
      </c>
      <c r="Z50" s="105">
        <f>IFERROR(_xlfn.XLOOKUP($A50,Input_Raw!$A:$A,Input_Raw!$DA:$DA),"")</f>
        <v>0</v>
      </c>
      <c r="AA50" s="107">
        <f t="shared" si="5"/>
        <v>318000</v>
      </c>
      <c r="AB50" s="105">
        <f>IFERROR(_xlfn.XLOOKUP($A50,Input_Raw!$A:$A,Input_Raw!$DG:$DG),"")</f>
        <v>78</v>
      </c>
      <c r="AC50" s="125">
        <f>IFERROR(_xlfn.XLOOKUP($D50,'Modelling New'!$D:$D,'Modelling New'!$J:$J),"")</f>
        <v>6.5666666666666664</v>
      </c>
      <c r="AD50" s="107">
        <f>IFERROR(_xlfn.XLOOKUP($D50,'Modelling New'!$D:$D,'Modelling New'!$T:$T)*1000,"")</f>
        <v>558388.39265938452</v>
      </c>
      <c r="AE50" s="124"/>
      <c r="AF50" s="124">
        <f>IFERROR(_xlfn.XLOOKUP($D50,'Modelling New'!$D:$D,'Modelling New'!$W:$W),"")</f>
        <v>0.29828439778813276</v>
      </c>
      <c r="AG50" s="124">
        <f>IFERROR(_xlfn.XLOOKUP($D50,'Modelling New'!$D:$D,'Modelling New'!$AE:$AE),"")</f>
        <v>0.96029999999999993</v>
      </c>
      <c r="AH50" s="124">
        <f>IFERROR(_xlfn.XLOOKUP($D50,'Modelling New'!$D:$D,'Modelling New'!$AF:$AF),"")</f>
        <v>0.995</v>
      </c>
      <c r="AI50" s="105">
        <f>IFERROR(_xlfn.XLOOKUP($A50,Input_Raw!$A:$A,Input_Raw!$DE:$DE),"")</f>
        <v>321.52</v>
      </c>
      <c r="AJ50" s="105"/>
      <c r="AK50" s="105"/>
      <c r="AL50" s="105"/>
      <c r="AM50" s="105"/>
      <c r="AN50" s="126">
        <f>IFERROR(_xlfn.XLOOKUP($A50,Input_Raw!$A:$A,Input_Raw!$DB:$DB),"")</f>
        <v>1.0966453723804559E-2</v>
      </c>
      <c r="AO50" s="124">
        <f>IFERROR((_xlfn.XLOOKUP($A50,'WTG Reactive Power'!$A:$A,'WTG Reactive Power'!$AR:$AR))/X50/1000,"")</f>
        <v>1.4959909929523585E-5</v>
      </c>
      <c r="AP50" s="124">
        <f>IFERROR(_xlfn.XLOOKUP($D50,'Modelling New'!$D:$D,'Modelling New'!$AK:$AK),"")</f>
        <v>0.05</v>
      </c>
      <c r="AQ50" s="124">
        <f>IFERROR(_xlfn.XLOOKUP($D50,'Modelling New'!$D:$D,'Modelling New'!$AL:$AL),"")</f>
        <v>0.05</v>
      </c>
      <c r="AR50">
        <f>IFERROR(_xlfn.XLOOKUP($D50,'Modelling New'!$D:$D,'Modelling New'!$N:$N),"")</f>
        <v>78</v>
      </c>
    </row>
    <row r="51" spans="1:44">
      <c r="A51" s="118">
        <f t="shared" si="7"/>
        <v>45794</v>
      </c>
      <c r="B51" s="107">
        <f>YEAR(Table13[[#This Row],[Date]])+IF(MONTH(Table13[[#This Row],[Date]])&gt;=4,1,0)</f>
        <v>2026</v>
      </c>
      <c r="C51" s="105">
        <f>YEAR(Table13[[#This Row],[Date]])</f>
        <v>2025</v>
      </c>
      <c r="D51" s="119">
        <f>Table13[[#This Row],[Date]]-DAY(Table13[[#This Row],[Date]])+1</f>
        <v>45778</v>
      </c>
      <c r="E51" s="105">
        <f t="shared" si="4"/>
        <v>31</v>
      </c>
      <c r="F51" s="108"/>
      <c r="G51" s="109"/>
      <c r="H51" s="109"/>
      <c r="I51" s="109"/>
      <c r="J51" s="109"/>
      <c r="K51" s="120"/>
      <c r="L51" s="109"/>
      <c r="M51" s="109">
        <f>IFERROR(_xlfn.XLOOKUP($A51,Input_Raw!$A:$A,Input_Raw!CG:CG),"")</f>
        <v>3.885204939707056</v>
      </c>
      <c r="N51" s="109">
        <f>IFERROR(_xlfn.XLOOKUP($A51,Input_Raw!$A:$A,Input_Raw!CH:CH),"")</f>
        <v>0</v>
      </c>
      <c r="O51" s="121">
        <f t="shared" si="6"/>
        <v>0.89141302592511762</v>
      </c>
      <c r="P51" s="121">
        <f>IFERROR(1-SUMIF(WTG_BD!$F:$F,$A51,WTG_BD!$AA:$AA)/($AA51+SUMIF(WTG_BD!$F:$F,$A51,WTG_BD!$AA:$AA)),"")</f>
        <v>0.91203084818558844</v>
      </c>
      <c r="Q51" s="122">
        <f>IFERROR(1-SUMIF(IGA_BD!$F:$F,$A51,IGA_BD!$V:$V)/($AA51+SUMIF(IGA_BD!$F:$F,$A51,IGA_BD!$V:$V)),"")</f>
        <v>0.97739350340891618</v>
      </c>
      <c r="R51" s="127">
        <f>IFERROR(1-SUMIF(Grid_BD!$F:$F,$A51,Grid_BD!$X:$X)/($AA51+SUMIF(Grid_BD!$F:$F,$A51,Grid_BD!$X:$X)),"")</f>
        <v>1</v>
      </c>
      <c r="S51" s="105"/>
      <c r="T51" s="122"/>
      <c r="U51" s="123"/>
      <c r="V51" s="105"/>
      <c r="W51" s="124">
        <f>IFERROR(Table13[[#This Row],[Mtr_Net_Exp (KWh)]]/(24*AR51*1000),"")</f>
        <v>9.166666666666666E-2</v>
      </c>
      <c r="X51" s="105">
        <f>IFERROR(_xlfn.XLOOKUP($A51,Input_Raw!$A:$A,Input_Raw!$CF:$CF),"")</f>
        <v>176988</v>
      </c>
      <c r="Y51" s="105">
        <f>IFERROR(_xlfn.XLOOKUP($A51,Input_Raw!$A:$A,Input_Raw!$CZ:$CZ),"")</f>
        <v>174000</v>
      </c>
      <c r="Z51" s="105">
        <f>IFERROR(_xlfn.XLOOKUP($A51,Input_Raw!$A:$A,Input_Raw!$DA:$DA),"")</f>
        <v>2400</v>
      </c>
      <c r="AA51" s="107">
        <f t="shared" si="5"/>
        <v>171600</v>
      </c>
      <c r="AB51" s="105">
        <f>IFERROR(_xlfn.XLOOKUP($A51,Input_Raw!$A:$A,Input_Raw!$DG:$DG),"")</f>
        <v>78</v>
      </c>
      <c r="AC51" s="125">
        <f>IFERROR(_xlfn.XLOOKUP($D51,'Modelling New'!$D:$D,'Modelling New'!$J:$J),"")</f>
        <v>6.5666666666666664</v>
      </c>
      <c r="AD51" s="107">
        <f>IFERROR(_xlfn.XLOOKUP($D51,'Modelling New'!$D:$D,'Modelling New'!$T:$T)*1000,"")</f>
        <v>558388.39265938452</v>
      </c>
      <c r="AE51" s="124"/>
      <c r="AF51" s="124">
        <f>IFERROR(_xlfn.XLOOKUP($D51,'Modelling New'!$D:$D,'Modelling New'!$W:$W),"")</f>
        <v>0.29828439778813276</v>
      </c>
      <c r="AG51" s="124">
        <f>IFERROR(_xlfn.XLOOKUP($D51,'Modelling New'!$D:$D,'Modelling New'!$AE:$AE),"")</f>
        <v>0.96029999999999993</v>
      </c>
      <c r="AH51" s="124">
        <f>IFERROR(_xlfn.XLOOKUP($D51,'Modelling New'!$D:$D,'Modelling New'!$AF:$AF),"")</f>
        <v>0.995</v>
      </c>
      <c r="AI51" s="105">
        <f>IFERROR(_xlfn.XLOOKUP($A51,Input_Raw!$A:$A,Input_Raw!$DE:$DE),"")</f>
        <v>176.98</v>
      </c>
      <c r="AJ51" s="105"/>
      <c r="AK51" s="105"/>
      <c r="AL51" s="105"/>
      <c r="AM51" s="105"/>
      <c r="AN51" s="126">
        <f>IFERROR(_xlfn.XLOOKUP($A51,Input_Raw!$A:$A,Input_Raw!$DB:$DB),"")</f>
        <v>1.6882500508509035E-2</v>
      </c>
      <c r="AO51" s="124">
        <f>IFERROR((_xlfn.XLOOKUP($A51,'WTG Reactive Power'!$A:$A,'WTG Reactive Power'!$AR:$AR))/X51/1000,"")</f>
        <v>2.0487264673311187E-5</v>
      </c>
      <c r="AP51" s="124">
        <f>IFERROR(_xlfn.XLOOKUP($D51,'Modelling New'!$D:$D,'Modelling New'!$AK:$AK),"")</f>
        <v>0.05</v>
      </c>
      <c r="AQ51" s="124">
        <f>IFERROR(_xlfn.XLOOKUP($D51,'Modelling New'!$D:$D,'Modelling New'!$AL:$AL),"")</f>
        <v>0.05</v>
      </c>
      <c r="AR51">
        <f>IFERROR(_xlfn.XLOOKUP($D51,'Modelling New'!$D:$D,'Modelling New'!$N:$N),"")</f>
        <v>78</v>
      </c>
    </row>
    <row r="52" spans="1:44">
      <c r="A52" s="118">
        <f t="shared" si="7"/>
        <v>45795</v>
      </c>
      <c r="B52" s="107">
        <f>YEAR(Table13[[#This Row],[Date]])+IF(MONTH(Table13[[#This Row],[Date]])&gt;=4,1,0)</f>
        <v>2026</v>
      </c>
      <c r="C52" s="105">
        <f>YEAR(Table13[[#This Row],[Date]])</f>
        <v>2025</v>
      </c>
      <c r="D52" s="119">
        <f>Table13[[#This Row],[Date]]-DAY(Table13[[#This Row],[Date]])+1</f>
        <v>45778</v>
      </c>
      <c r="E52" s="105">
        <f t="shared" si="4"/>
        <v>31</v>
      </c>
      <c r="F52" s="108"/>
      <c r="G52" s="109"/>
      <c r="H52" s="109"/>
      <c r="I52" s="109"/>
      <c r="J52" s="109"/>
      <c r="K52" s="120"/>
      <c r="L52" s="109"/>
      <c r="M52" s="109">
        <f>IFERROR(_xlfn.XLOOKUP($A52,Input_Raw!$A:$A,Input_Raw!CG:CG),"")</f>
        <v>3.5474358974358982</v>
      </c>
      <c r="N52" s="109">
        <f>IFERROR(_xlfn.XLOOKUP($A52,Input_Raw!$A:$A,Input_Raw!CH:CH),"")</f>
        <v>0</v>
      </c>
      <c r="O52" s="121">
        <f t="shared" si="6"/>
        <v>0.93906711056649905</v>
      </c>
      <c r="P52" s="121">
        <f>IFERROR(1-SUMIF(WTG_BD!$F:$F,$A52,WTG_BD!$AA:$AA)/($AA52+SUMIF(WTG_BD!$F:$F,$A52,WTG_BD!$AA:$AA)),"")</f>
        <v>0.93906711056649905</v>
      </c>
      <c r="Q52" s="122">
        <f>IFERROR(1-SUMIF(IGA_BD!$F:$F,$A52,IGA_BD!$V:$V)/($AA52+SUMIF(IGA_BD!$F:$F,$A52,IGA_BD!$V:$V)),"")</f>
        <v>1</v>
      </c>
      <c r="R52" s="127">
        <f>IFERROR(1-SUMIF(Grid_BD!$F:$F,$A52,Grid_BD!$X:$X)/($AA52+SUMIF(Grid_BD!$F:$F,$A52,Grid_BD!$X:$X)),"")</f>
        <v>1</v>
      </c>
      <c r="S52" s="105"/>
      <c r="T52" s="122"/>
      <c r="U52" s="123"/>
      <c r="V52" s="105"/>
      <c r="W52" s="124">
        <f>IFERROR(Table13[[#This Row],[Mtr_Net_Exp (KWh)]]/(24*AR52*1000),"")</f>
        <v>6.6666666666666666E-2</v>
      </c>
      <c r="X52" s="105">
        <f>IFERROR(_xlfn.XLOOKUP($A52,Input_Raw!$A:$A,Input_Raw!$CF:$CF),"")</f>
        <v>131285</v>
      </c>
      <c r="Y52" s="105">
        <f>IFERROR(_xlfn.XLOOKUP($A52,Input_Raw!$A:$A,Input_Raw!$CZ:$CZ),"")</f>
        <v>127200</v>
      </c>
      <c r="Z52" s="105">
        <f>IFERROR(_xlfn.XLOOKUP($A52,Input_Raw!$A:$A,Input_Raw!$DA:$DA),"")</f>
        <v>2400</v>
      </c>
      <c r="AA52" s="107">
        <f t="shared" si="5"/>
        <v>124800</v>
      </c>
      <c r="AB52" s="105">
        <f>IFERROR(_xlfn.XLOOKUP($A52,Input_Raw!$A:$A,Input_Raw!$DG:$DG),"")</f>
        <v>78</v>
      </c>
      <c r="AC52" s="125">
        <f>IFERROR(_xlfn.XLOOKUP($D52,'Modelling New'!$D:$D,'Modelling New'!$J:$J),"")</f>
        <v>6.5666666666666664</v>
      </c>
      <c r="AD52" s="107">
        <f>IFERROR(_xlfn.XLOOKUP($D52,'Modelling New'!$D:$D,'Modelling New'!$T:$T)*1000,"")</f>
        <v>558388.39265938452</v>
      </c>
      <c r="AE52" s="124"/>
      <c r="AF52" s="124">
        <f>IFERROR(_xlfn.XLOOKUP($D52,'Modelling New'!$D:$D,'Modelling New'!$W:$W),"")</f>
        <v>0.29828439778813276</v>
      </c>
      <c r="AG52" s="124">
        <f>IFERROR(_xlfn.XLOOKUP($D52,'Modelling New'!$D:$D,'Modelling New'!$AE:$AE),"")</f>
        <v>0.96029999999999993</v>
      </c>
      <c r="AH52" s="124">
        <f>IFERROR(_xlfn.XLOOKUP($D52,'Modelling New'!$D:$D,'Modelling New'!$AF:$AF),"")</f>
        <v>0.995</v>
      </c>
      <c r="AI52" s="105">
        <f>IFERROR(_xlfn.XLOOKUP($A52,Input_Raw!$A:$A,Input_Raw!$DE:$DE),"")</f>
        <v>131.28</v>
      </c>
      <c r="AJ52" s="105"/>
      <c r="AK52" s="105"/>
      <c r="AL52" s="105"/>
      <c r="AM52" s="105"/>
      <c r="AN52" s="126">
        <f>IFERROR(_xlfn.XLOOKUP($A52,Input_Raw!$A:$A,Input_Raw!$DB:$DB),"")</f>
        <v>3.1115512053928485E-2</v>
      </c>
      <c r="AO52" s="124">
        <f>IFERROR((_xlfn.XLOOKUP($A52,'WTG Reactive Power'!$A:$A,'WTG Reactive Power'!$AR:$AR))/X52/1000,"")</f>
        <v>6.3975320866816471E-5</v>
      </c>
      <c r="AP52" s="124">
        <f>IFERROR(_xlfn.XLOOKUP($D52,'Modelling New'!$D:$D,'Modelling New'!$AK:$AK),"")</f>
        <v>0.05</v>
      </c>
      <c r="AQ52" s="124">
        <f>IFERROR(_xlfn.XLOOKUP($D52,'Modelling New'!$D:$D,'Modelling New'!$AL:$AL),"")</f>
        <v>0.05</v>
      </c>
      <c r="AR52">
        <f>IFERROR(_xlfn.XLOOKUP($D52,'Modelling New'!$D:$D,'Modelling New'!$N:$N),"")</f>
        <v>78</v>
      </c>
    </row>
    <row r="53" spans="1:44">
      <c r="A53" s="118">
        <f t="shared" si="7"/>
        <v>45796</v>
      </c>
      <c r="B53" s="107">
        <f>YEAR(Table13[[#This Row],[Date]])+IF(MONTH(Table13[[#This Row],[Date]])&gt;=4,1,0)</f>
        <v>2026</v>
      </c>
      <c r="C53" s="105">
        <f>YEAR(Table13[[#This Row],[Date]])</f>
        <v>2025</v>
      </c>
      <c r="D53" s="119">
        <f>Table13[[#This Row],[Date]]-DAY(Table13[[#This Row],[Date]])+1</f>
        <v>45778</v>
      </c>
      <c r="E53" s="105">
        <f t="shared" si="4"/>
        <v>31</v>
      </c>
      <c r="F53" s="108"/>
      <c r="G53" s="109"/>
      <c r="H53" s="109"/>
      <c r="I53" s="109"/>
      <c r="J53" s="109"/>
      <c r="K53" s="120"/>
      <c r="L53" s="109"/>
      <c r="M53" s="109">
        <f>IFERROR(_xlfn.XLOOKUP($A53,Input_Raw!$A:$A,Input_Raw!CG:CG),"")</f>
        <v>3.4951282051282053</v>
      </c>
      <c r="N53" s="109">
        <f>IFERROR(_xlfn.XLOOKUP($A53,Input_Raw!$A:$A,Input_Raw!CH:CH),"")</f>
        <v>0</v>
      </c>
      <c r="O53" s="121">
        <f t="shared" si="6"/>
        <v>0.88466267439654123</v>
      </c>
      <c r="P53" s="121">
        <f>IFERROR(1-SUMIF(WTG_BD!$F:$F,$A53,WTG_BD!$AA:$AA)/($AA53+SUMIF(WTG_BD!$F:$F,$A53,WTG_BD!$AA:$AA)),"")</f>
        <v>0.92886838181817888</v>
      </c>
      <c r="Q53" s="122">
        <f>IFERROR(1-SUMIF(IGA_BD!$F:$F,$A53,IGA_BD!$V:$V)/($AA53+SUMIF(IGA_BD!$F:$F,$A53,IGA_BD!$V:$V)),"")</f>
        <v>0.95240907292472499</v>
      </c>
      <c r="R53" s="127">
        <f>IFERROR(1-SUMIF(Grid_BD!$F:$F,$A53,Grid_BD!$X:$X)/($AA53+SUMIF(Grid_BD!$F:$F,$A53,Grid_BD!$X:$X)),"")</f>
        <v>1</v>
      </c>
      <c r="S53" s="105"/>
      <c r="T53" s="122"/>
      <c r="U53" s="123"/>
      <c r="V53" s="105"/>
      <c r="W53" s="124">
        <f>IFERROR(Table13[[#This Row],[Mtr_Net_Exp (KWh)]]/(24*AR53*1000),"")</f>
        <v>7.179487179487179E-2</v>
      </c>
      <c r="X53" s="105">
        <f>IFERROR(_xlfn.XLOOKUP($A53,Input_Raw!$A:$A,Input_Raw!$CF:$CF),"")</f>
        <v>141695</v>
      </c>
      <c r="Y53" s="105">
        <f>IFERROR(_xlfn.XLOOKUP($A53,Input_Raw!$A:$A,Input_Raw!$CZ:$CZ),"")</f>
        <v>138000</v>
      </c>
      <c r="Z53" s="105">
        <f>IFERROR(_xlfn.XLOOKUP($A53,Input_Raw!$A:$A,Input_Raw!$DA:$DA),"")</f>
        <v>3600</v>
      </c>
      <c r="AA53" s="107">
        <f t="shared" si="5"/>
        <v>134400</v>
      </c>
      <c r="AB53" s="105">
        <f>IFERROR(_xlfn.XLOOKUP($A53,Input_Raw!$A:$A,Input_Raw!$DG:$DG),"")</f>
        <v>78</v>
      </c>
      <c r="AC53" s="125">
        <f>IFERROR(_xlfn.XLOOKUP($D53,'Modelling New'!$D:$D,'Modelling New'!$J:$J),"")</f>
        <v>6.5666666666666664</v>
      </c>
      <c r="AD53" s="107">
        <f>IFERROR(_xlfn.XLOOKUP($D53,'Modelling New'!$D:$D,'Modelling New'!$T:$T)*1000,"")</f>
        <v>558388.39265938452</v>
      </c>
      <c r="AE53" s="124"/>
      <c r="AF53" s="124">
        <f>IFERROR(_xlfn.XLOOKUP($D53,'Modelling New'!$D:$D,'Modelling New'!$W:$W),"")</f>
        <v>0.29828439778813276</v>
      </c>
      <c r="AG53" s="124">
        <f>IFERROR(_xlfn.XLOOKUP($D53,'Modelling New'!$D:$D,'Modelling New'!$AE:$AE),"")</f>
        <v>0.96029999999999993</v>
      </c>
      <c r="AH53" s="124">
        <f>IFERROR(_xlfn.XLOOKUP($D53,'Modelling New'!$D:$D,'Modelling New'!$AF:$AF),"")</f>
        <v>0.995</v>
      </c>
      <c r="AI53" s="105">
        <f>IFERROR(_xlfn.XLOOKUP($A53,Input_Raw!$A:$A,Input_Raw!$DE:$DE),"")</f>
        <v>141.69</v>
      </c>
      <c r="AJ53" s="105"/>
      <c r="AK53" s="105"/>
      <c r="AL53" s="105"/>
      <c r="AM53" s="105"/>
      <c r="AN53" s="126">
        <f>IFERROR(_xlfn.XLOOKUP($A53,Input_Raw!$A:$A,Input_Raw!$DB:$DB),"")</f>
        <v>2.6077137513673687E-2</v>
      </c>
      <c r="AO53" s="124">
        <f>IFERROR((_xlfn.XLOOKUP($A53,'WTG Reactive Power'!$A:$A,'WTG Reactive Power'!$AR:$AR))/X53/1000,"")</f>
        <v>1.3552348353858639E-4</v>
      </c>
      <c r="AP53" s="124">
        <f>IFERROR(_xlfn.XLOOKUP($D53,'Modelling New'!$D:$D,'Modelling New'!$AK:$AK),"")</f>
        <v>0.05</v>
      </c>
      <c r="AQ53" s="124">
        <f>IFERROR(_xlfn.XLOOKUP($D53,'Modelling New'!$D:$D,'Modelling New'!$AL:$AL),"")</f>
        <v>0.05</v>
      </c>
      <c r="AR53">
        <f>IFERROR(_xlfn.XLOOKUP($D53,'Modelling New'!$D:$D,'Modelling New'!$N:$N),"")</f>
        <v>78</v>
      </c>
    </row>
    <row r="54" spans="1:44">
      <c r="A54" s="118">
        <f t="shared" si="7"/>
        <v>45797</v>
      </c>
      <c r="B54" s="107">
        <f>YEAR(Table13[[#This Row],[Date]])+IF(MONTH(Table13[[#This Row],[Date]])&gt;=4,1,0)</f>
        <v>2026</v>
      </c>
      <c r="C54" s="105">
        <f>YEAR(Table13[[#This Row],[Date]])</f>
        <v>2025</v>
      </c>
      <c r="D54" s="119">
        <f>Table13[[#This Row],[Date]]-DAY(Table13[[#This Row],[Date]])+1</f>
        <v>45778</v>
      </c>
      <c r="E54" s="105">
        <f t="shared" si="4"/>
        <v>31</v>
      </c>
      <c r="F54" s="108"/>
      <c r="G54" s="109"/>
      <c r="H54" s="109"/>
      <c r="I54" s="109"/>
      <c r="J54" s="109"/>
      <c r="K54" s="120"/>
      <c r="L54" s="109"/>
      <c r="M54" s="109">
        <f>IFERROR(_xlfn.XLOOKUP($A54,Input_Raw!$A:$A,Input_Raw!CG:CG),"")</f>
        <v>3.885204939707056</v>
      </c>
      <c r="N54" s="109">
        <f>IFERROR(_xlfn.XLOOKUP($A54,Input_Raw!$A:$A,Input_Raw!CH:CH),"")</f>
        <v>0</v>
      </c>
      <c r="O54" s="121">
        <f t="shared" si="6"/>
        <v>0.89470644776117714</v>
      </c>
      <c r="P54" s="121">
        <f>IFERROR(1-SUMIF(WTG_BD!$F:$F,$A54,WTG_BD!$AA:$AA)/($AA54+SUMIF(WTG_BD!$F:$F,$A54,WTG_BD!$AA:$AA)),"")</f>
        <v>0.92581579135858305</v>
      </c>
      <c r="Q54" s="122">
        <f>IFERROR(1-SUMIF(IGA_BD!$F:$F,$A54,IGA_BD!$V:$V)/($AA54+SUMIF(IGA_BD!$F:$F,$A54,IGA_BD!$V:$V)),"")</f>
        <v>0.9663979121032763</v>
      </c>
      <c r="R54" s="127">
        <f>IFERROR(1-SUMIF(Grid_BD!$F:$F,$A54,Grid_BD!$X:$X)/($AA54+SUMIF(Grid_BD!$F:$F,$A54,Grid_BD!$X:$X)),"")</f>
        <v>1</v>
      </c>
      <c r="S54" s="105"/>
      <c r="T54" s="122"/>
      <c r="U54" s="123"/>
      <c r="V54" s="105"/>
      <c r="W54" s="124">
        <f>IFERROR(Table13[[#This Row],[Mtr_Net_Exp (KWh)]]/(24*AR54*1000),"")</f>
        <v>9.2307692307692313E-2</v>
      </c>
      <c r="X54" s="105">
        <f>IFERROR(_xlfn.XLOOKUP($A54,Input_Raw!$A:$A,Input_Raw!$CF:$CF),"")</f>
        <v>178470</v>
      </c>
      <c r="Y54" s="105">
        <f>IFERROR(_xlfn.XLOOKUP($A54,Input_Raw!$A:$A,Input_Raw!$CZ:$CZ),"")</f>
        <v>176400</v>
      </c>
      <c r="Z54" s="105">
        <f>IFERROR(_xlfn.XLOOKUP($A54,Input_Raw!$A:$A,Input_Raw!$DA:$DA),"")</f>
        <v>3600</v>
      </c>
      <c r="AA54" s="107">
        <f t="shared" si="5"/>
        <v>172800</v>
      </c>
      <c r="AB54" s="105">
        <f>IFERROR(_xlfn.XLOOKUP($A54,Input_Raw!$A:$A,Input_Raw!$DG:$DG),"")</f>
        <v>78</v>
      </c>
      <c r="AC54" s="125">
        <f>IFERROR(_xlfn.XLOOKUP($D54,'Modelling New'!$D:$D,'Modelling New'!$J:$J),"")</f>
        <v>6.5666666666666664</v>
      </c>
      <c r="AD54" s="107">
        <f>IFERROR(_xlfn.XLOOKUP($D54,'Modelling New'!$D:$D,'Modelling New'!$T:$T)*1000,"")</f>
        <v>558388.39265938452</v>
      </c>
      <c r="AE54" s="124"/>
      <c r="AF54" s="124">
        <f>IFERROR(_xlfn.XLOOKUP($D54,'Modelling New'!$D:$D,'Modelling New'!$W:$W),"")</f>
        <v>0.29828439778813276</v>
      </c>
      <c r="AG54" s="124">
        <f>IFERROR(_xlfn.XLOOKUP($D54,'Modelling New'!$D:$D,'Modelling New'!$AE:$AE),"")</f>
        <v>0.96029999999999993</v>
      </c>
      <c r="AH54" s="124">
        <f>IFERROR(_xlfn.XLOOKUP($D54,'Modelling New'!$D:$D,'Modelling New'!$AF:$AF),"")</f>
        <v>0.995</v>
      </c>
      <c r="AI54" s="105">
        <f>IFERROR(_xlfn.XLOOKUP($A54,Input_Raw!$A:$A,Input_Raw!$DE:$DE),"")</f>
        <v>178.47</v>
      </c>
      <c r="AJ54" s="105"/>
      <c r="AK54" s="105"/>
      <c r="AL54" s="105"/>
      <c r="AM54" s="105"/>
      <c r="AN54" s="126">
        <f>IFERROR(_xlfn.XLOOKUP($A54,Input_Raw!$A:$A,Input_Raw!$DB:$DB),"")</f>
        <v>1.1598587997982857E-2</v>
      </c>
      <c r="AO54" s="124">
        <f>IFERROR((_xlfn.XLOOKUP($A54,'WTG Reactive Power'!$A:$A,'WTG Reactive Power'!$AR:$AR))/X54/1000,"")</f>
        <v>4.0426962514708353E-5</v>
      </c>
      <c r="AP54" s="124">
        <f>IFERROR(_xlfn.XLOOKUP($D54,'Modelling New'!$D:$D,'Modelling New'!$AK:$AK),"")</f>
        <v>0.05</v>
      </c>
      <c r="AQ54" s="124">
        <f>IFERROR(_xlfn.XLOOKUP($D54,'Modelling New'!$D:$D,'Modelling New'!$AL:$AL),"")</f>
        <v>0.05</v>
      </c>
      <c r="AR54">
        <f>IFERROR(_xlfn.XLOOKUP($D54,'Modelling New'!$D:$D,'Modelling New'!$N:$N),"")</f>
        <v>78</v>
      </c>
    </row>
    <row r="55" spans="1:44">
      <c r="A55" s="118">
        <f t="shared" si="7"/>
        <v>45798</v>
      </c>
      <c r="B55" s="107">
        <f>YEAR(Table13[[#This Row],[Date]])+IF(MONTH(Table13[[#This Row],[Date]])&gt;=4,1,0)</f>
        <v>2026</v>
      </c>
      <c r="C55" s="105">
        <f>YEAR(Table13[[#This Row],[Date]])</f>
        <v>2025</v>
      </c>
      <c r="D55" s="119">
        <f>Table13[[#This Row],[Date]]-DAY(Table13[[#This Row],[Date]])+1</f>
        <v>45778</v>
      </c>
      <c r="E55" s="105">
        <f t="shared" si="4"/>
        <v>31</v>
      </c>
      <c r="F55" s="108"/>
      <c r="G55" s="109"/>
      <c r="H55" s="109"/>
      <c r="I55" s="109"/>
      <c r="J55" s="109"/>
      <c r="K55" s="120"/>
      <c r="L55" s="109"/>
      <c r="M55" s="109">
        <f>IFERROR(_xlfn.XLOOKUP($A55,Input_Raw!$A:$A,Input_Raw!CG:CG),"")</f>
        <v>3.5474358974358982</v>
      </c>
      <c r="N55" s="109">
        <f>IFERROR(_xlfn.XLOOKUP($A55,Input_Raw!$A:$A,Input_Raw!CH:CH),"")</f>
        <v>0</v>
      </c>
      <c r="O55" s="121">
        <f t="shared" si="6"/>
        <v>0.91579509966185646</v>
      </c>
      <c r="P55" s="121">
        <f>IFERROR(1-SUMIF(WTG_BD!$F:$F,$A55,WTG_BD!$AA:$AA)/($AA55+SUMIF(WTG_BD!$F:$F,$A55,WTG_BD!$AA:$AA)),"")</f>
        <v>0.92784503518372297</v>
      </c>
      <c r="Q55" s="122">
        <f>IFERROR(1-SUMIF(IGA_BD!$F:$F,$A55,IGA_BD!$V:$V)/($AA55+SUMIF(IGA_BD!$F:$F,$A55,IGA_BD!$V:$V)),"")</f>
        <v>0.98701298701298701</v>
      </c>
      <c r="R55" s="127">
        <f>IFERROR(1-SUMIF(Grid_BD!$F:$F,$A55,Grid_BD!$X:$X)/($AA55+SUMIF(Grid_BD!$F:$F,$A55,Grid_BD!$X:$X)),"")</f>
        <v>1</v>
      </c>
      <c r="S55" s="105"/>
      <c r="T55" s="122"/>
      <c r="U55" s="123"/>
      <c r="V55" s="105"/>
      <c r="W55" s="124">
        <f>IFERROR(Table13[[#This Row],[Mtr_Net_Exp (KWh)]]/(24*AR55*1000),"")</f>
        <v>9.7435897435897437E-2</v>
      </c>
      <c r="X55" s="105">
        <f>IFERROR(_xlfn.XLOOKUP($A55,Input_Raw!$A:$A,Input_Raw!$CF:$CF),"")</f>
        <v>191723</v>
      </c>
      <c r="Y55" s="105">
        <f>IFERROR(_xlfn.XLOOKUP($A55,Input_Raw!$A:$A,Input_Raw!$CZ:$CZ),"")</f>
        <v>187200</v>
      </c>
      <c r="Z55" s="105">
        <f>IFERROR(_xlfn.XLOOKUP($A55,Input_Raw!$A:$A,Input_Raw!$DA:$DA),"")</f>
        <v>4800</v>
      </c>
      <c r="AA55" s="107">
        <f t="shared" si="5"/>
        <v>182400</v>
      </c>
      <c r="AB55" s="105">
        <f>IFERROR(_xlfn.XLOOKUP($A55,Input_Raw!$A:$A,Input_Raw!$DG:$DG),"")</f>
        <v>78</v>
      </c>
      <c r="AC55" s="125">
        <f>IFERROR(_xlfn.XLOOKUP($D55,'Modelling New'!$D:$D,'Modelling New'!$J:$J),"")</f>
        <v>6.5666666666666664</v>
      </c>
      <c r="AD55" s="107">
        <f>IFERROR(_xlfn.XLOOKUP($D55,'Modelling New'!$D:$D,'Modelling New'!$T:$T)*1000,"")</f>
        <v>558388.39265938452</v>
      </c>
      <c r="AE55" s="124"/>
      <c r="AF55" s="124">
        <f>IFERROR(_xlfn.XLOOKUP($D55,'Modelling New'!$D:$D,'Modelling New'!$W:$W),"")</f>
        <v>0.29828439778813276</v>
      </c>
      <c r="AG55" s="124">
        <f>IFERROR(_xlfn.XLOOKUP($D55,'Modelling New'!$D:$D,'Modelling New'!$AE:$AE),"")</f>
        <v>0.96029999999999993</v>
      </c>
      <c r="AH55" s="124">
        <f>IFERROR(_xlfn.XLOOKUP($D55,'Modelling New'!$D:$D,'Modelling New'!$AF:$AF),"")</f>
        <v>0.995</v>
      </c>
      <c r="AI55" s="105">
        <f>IFERROR(_xlfn.XLOOKUP($A55,Input_Raw!$A:$A,Input_Raw!$DE:$DE),"")</f>
        <v>191.73</v>
      </c>
      <c r="AJ55" s="105"/>
      <c r="AK55" s="105"/>
      <c r="AL55" s="105"/>
      <c r="AM55" s="105"/>
      <c r="AN55" s="126">
        <f>IFERROR(_xlfn.XLOOKUP($A55,Input_Raw!$A:$A,Input_Raw!$DB:$DB),"")</f>
        <v>2.3591327070826118E-2</v>
      </c>
      <c r="AO55" s="124">
        <f>IFERROR((_xlfn.XLOOKUP($A55,'WTG Reactive Power'!$A:$A,'WTG Reactive Power'!$AR:$AR))/X55/1000,"")</f>
        <v>2.5088278401652383E-5</v>
      </c>
      <c r="AP55" s="124">
        <f>IFERROR(_xlfn.XLOOKUP($D55,'Modelling New'!$D:$D,'Modelling New'!$AK:$AK),"")</f>
        <v>0.05</v>
      </c>
      <c r="AQ55" s="124">
        <f>IFERROR(_xlfn.XLOOKUP($D55,'Modelling New'!$D:$D,'Modelling New'!$AL:$AL),"")</f>
        <v>0.05</v>
      </c>
      <c r="AR55">
        <f>IFERROR(_xlfn.XLOOKUP($D55,'Modelling New'!$D:$D,'Modelling New'!$N:$N),"")</f>
        <v>78</v>
      </c>
    </row>
    <row r="56" spans="1:44">
      <c r="A56" s="118">
        <f t="shared" si="7"/>
        <v>45799</v>
      </c>
      <c r="B56" s="107">
        <f>YEAR(Table13[[#This Row],[Date]])+IF(MONTH(Table13[[#This Row],[Date]])&gt;=4,1,0)</f>
        <v>2026</v>
      </c>
      <c r="C56" s="105">
        <f>YEAR(Table13[[#This Row],[Date]])</f>
        <v>2025</v>
      </c>
      <c r="D56" s="119">
        <f>Table13[[#This Row],[Date]]-DAY(Table13[[#This Row],[Date]])+1</f>
        <v>45778</v>
      </c>
      <c r="E56" s="105">
        <f t="shared" si="4"/>
        <v>31</v>
      </c>
      <c r="F56" s="108"/>
      <c r="G56" s="109"/>
      <c r="H56" s="109"/>
      <c r="I56" s="109"/>
      <c r="J56" s="109"/>
      <c r="K56" s="120"/>
      <c r="L56" s="109"/>
      <c r="M56" s="109">
        <f>IFERROR(_xlfn.XLOOKUP($A56,Input_Raw!$A:$A,Input_Raw!CG:CG),"")</f>
        <v>4.8055263157894732</v>
      </c>
      <c r="N56" s="109">
        <f>IFERROR(_xlfn.XLOOKUP($A56,Input_Raw!$A:$A,Input_Raw!CH:CH),"")</f>
        <v>0</v>
      </c>
      <c r="O56" s="121">
        <f t="shared" si="6"/>
        <v>0.9290877121601564</v>
      </c>
      <c r="P56" s="121">
        <f>IFERROR(1-SUMIF(WTG_BD!$F:$F,$A56,WTG_BD!$AA:$AA)/($AA56+SUMIF(WTG_BD!$F:$F,$A56,WTG_BD!$AA:$AA)),"")</f>
        <v>0.9290877121601564</v>
      </c>
      <c r="Q56" s="122">
        <f>IFERROR(1-SUMIF(IGA_BD!$F:$F,$A56,IGA_BD!$V:$V)/($AA56+SUMIF(IGA_BD!$F:$F,$A56,IGA_BD!$V:$V)),"")</f>
        <v>1</v>
      </c>
      <c r="R56" s="127">
        <f>IFERROR(1-SUMIF(Grid_BD!$F:$F,$A56,Grid_BD!$X:$X)/($AA56+SUMIF(Grid_BD!$F:$F,$A56,Grid_BD!$X:$X)),"")</f>
        <v>1</v>
      </c>
      <c r="S56" s="105"/>
      <c r="T56" s="122"/>
      <c r="U56" s="123"/>
      <c r="V56" s="105"/>
      <c r="W56" s="124">
        <f>IFERROR(Table13[[#This Row],[Mtr_Net_Exp (KWh)]]/(24*AR56*1000),"")</f>
        <v>0.15</v>
      </c>
      <c r="X56" s="105">
        <f>IFERROR(_xlfn.XLOOKUP($A56,Input_Raw!$A:$A,Input_Raw!$CF:$CF),"")</f>
        <v>286041</v>
      </c>
      <c r="Y56" s="105">
        <f>IFERROR(_xlfn.XLOOKUP($A56,Input_Raw!$A:$A,Input_Raw!$CZ:$CZ),"")</f>
        <v>285600</v>
      </c>
      <c r="Z56" s="105">
        <f>IFERROR(_xlfn.XLOOKUP($A56,Input_Raw!$A:$A,Input_Raw!$DA:$DA),"")</f>
        <v>4800</v>
      </c>
      <c r="AA56" s="107">
        <f t="shared" si="5"/>
        <v>280800</v>
      </c>
      <c r="AB56" s="105">
        <f>IFERROR(_xlfn.XLOOKUP($A56,Input_Raw!$A:$A,Input_Raw!$DG:$DG),"")</f>
        <v>78</v>
      </c>
      <c r="AC56" s="125">
        <f>IFERROR(_xlfn.XLOOKUP($D56,'Modelling New'!$D:$D,'Modelling New'!$J:$J),"")</f>
        <v>6.5666666666666664</v>
      </c>
      <c r="AD56" s="107">
        <f>IFERROR(_xlfn.XLOOKUP($D56,'Modelling New'!$D:$D,'Modelling New'!$T:$T)*1000,"")</f>
        <v>558388.39265938452</v>
      </c>
      <c r="AE56" s="124"/>
      <c r="AF56" s="124">
        <f>IFERROR(_xlfn.XLOOKUP($D56,'Modelling New'!$D:$D,'Modelling New'!$W:$W),"")</f>
        <v>0.29828439778813276</v>
      </c>
      <c r="AG56" s="124">
        <f>IFERROR(_xlfn.XLOOKUP($D56,'Modelling New'!$D:$D,'Modelling New'!$AE:$AE),"")</f>
        <v>0.96029999999999993</v>
      </c>
      <c r="AH56" s="124">
        <f>IFERROR(_xlfn.XLOOKUP($D56,'Modelling New'!$D:$D,'Modelling New'!$AF:$AF),"")</f>
        <v>0.995</v>
      </c>
      <c r="AI56" s="105">
        <f>IFERROR(_xlfn.XLOOKUP($A56,Input_Raw!$A:$A,Input_Raw!$DE:$DE),"")</f>
        <v>286.08</v>
      </c>
      <c r="AJ56" s="105"/>
      <c r="AK56" s="105"/>
      <c r="AL56" s="105"/>
      <c r="AM56" s="105"/>
      <c r="AN56" s="126">
        <f>IFERROR(_xlfn.XLOOKUP($A56,Input_Raw!$A:$A,Input_Raw!$DB:$DB),"")</f>
        <v>1.5417370237134076E-3</v>
      </c>
      <c r="AO56" s="124">
        <f>IFERROR((_xlfn.XLOOKUP($A56,'WTG Reactive Power'!$A:$A,'WTG Reactive Power'!$AR:$AR))/X56/1000,"")</f>
        <v>7.1402351411161338E-5</v>
      </c>
      <c r="AP56" s="124">
        <f>IFERROR(_xlfn.XLOOKUP($D56,'Modelling New'!$D:$D,'Modelling New'!$AK:$AK),"")</f>
        <v>0.05</v>
      </c>
      <c r="AQ56" s="124">
        <f>IFERROR(_xlfn.XLOOKUP($D56,'Modelling New'!$D:$D,'Modelling New'!$AL:$AL),"")</f>
        <v>0.05</v>
      </c>
      <c r="AR56">
        <f>IFERROR(_xlfn.XLOOKUP($D56,'Modelling New'!$D:$D,'Modelling New'!$N:$N),"")</f>
        <v>78</v>
      </c>
    </row>
    <row r="57" spans="1:44">
      <c r="A57" s="118">
        <f t="shared" si="7"/>
        <v>45800</v>
      </c>
      <c r="B57" s="107">
        <f>YEAR(Table13[[#This Row],[Date]])+IF(MONTH(Table13[[#This Row],[Date]])&gt;=4,1,0)</f>
        <v>2026</v>
      </c>
      <c r="C57" s="105">
        <f>YEAR(Table13[[#This Row],[Date]])</f>
        <v>2025</v>
      </c>
      <c r="D57" s="119">
        <f>Table13[[#This Row],[Date]]-DAY(Table13[[#This Row],[Date]])+1</f>
        <v>45778</v>
      </c>
      <c r="E57" s="105">
        <f t="shared" si="4"/>
        <v>31</v>
      </c>
      <c r="F57" s="108"/>
      <c r="G57" s="109"/>
      <c r="H57" s="109"/>
      <c r="I57" s="109"/>
      <c r="J57" s="109"/>
      <c r="K57" s="120"/>
      <c r="L57" s="109"/>
      <c r="M57" s="109">
        <f>IFERROR(_xlfn.XLOOKUP($A57,Input_Raw!$A:$A,Input_Raw!CG:CG),"")</f>
        <v>2.9906115795012349</v>
      </c>
      <c r="N57" s="109">
        <f>IFERROR(_xlfn.XLOOKUP($A57,Input_Raw!$A:$A,Input_Raw!CH:CH),"")</f>
        <v>0</v>
      </c>
      <c r="O57" s="121">
        <f t="shared" si="6"/>
        <v>0.87137577702775515</v>
      </c>
      <c r="P57" s="121">
        <f>IFERROR(1-SUMIF(WTG_BD!$F:$F,$A57,WTG_BD!$AA:$AA)/($AA57+SUMIF(WTG_BD!$F:$F,$A57,WTG_BD!$AA:$AA)),"")</f>
        <v>0.93583044571993867</v>
      </c>
      <c r="Q57" s="122">
        <f>IFERROR(1-SUMIF(IGA_BD!$F:$F,$A57,IGA_BD!$V:$V)/($AA57+SUMIF(IGA_BD!$F:$F,$A57,IGA_BD!$V:$V)),"")</f>
        <v>0.93112569805035761</v>
      </c>
      <c r="R57" s="127">
        <f>IFERROR(1-SUMIF(Grid_BD!$F:$F,$A57,Grid_BD!$X:$X)/($AA57+SUMIF(Grid_BD!$F:$F,$A57,Grid_BD!$X:$X)),"")</f>
        <v>1</v>
      </c>
      <c r="S57" s="105"/>
      <c r="T57" s="122"/>
      <c r="U57" s="123"/>
      <c r="V57" s="105"/>
      <c r="W57" s="124">
        <f>IFERROR(Table13[[#This Row],[Mtr_Net_Exp (KWh)]]/(24*AR57*1000),"")</f>
        <v>4.230769230769231E-2</v>
      </c>
      <c r="X57" s="105">
        <f>IFERROR(_xlfn.XLOOKUP($A57,Input_Raw!$A:$A,Input_Raw!$CF:$CF),"")</f>
        <v>87964</v>
      </c>
      <c r="Y57" s="105">
        <f>IFERROR(_xlfn.XLOOKUP($A57,Input_Raw!$A:$A,Input_Raw!$CZ:$CZ),"")</f>
        <v>84000</v>
      </c>
      <c r="Z57" s="105">
        <f>IFERROR(_xlfn.XLOOKUP($A57,Input_Raw!$A:$A,Input_Raw!$DA:$DA),"")</f>
        <v>4800</v>
      </c>
      <c r="AA57" s="107">
        <f t="shared" si="5"/>
        <v>79200</v>
      </c>
      <c r="AB57" s="105">
        <f>IFERROR(_xlfn.XLOOKUP($A57,Input_Raw!$A:$A,Input_Raw!$DG:$DG),"")</f>
        <v>78</v>
      </c>
      <c r="AC57" s="125">
        <f>IFERROR(_xlfn.XLOOKUP($D57,'Modelling New'!$D:$D,'Modelling New'!$J:$J),"")</f>
        <v>6.5666666666666664</v>
      </c>
      <c r="AD57" s="107">
        <f>IFERROR(_xlfn.XLOOKUP($D57,'Modelling New'!$D:$D,'Modelling New'!$T:$T)*1000,"")</f>
        <v>558388.39265938452</v>
      </c>
      <c r="AE57" s="124"/>
      <c r="AF57" s="124">
        <f>IFERROR(_xlfn.XLOOKUP($D57,'Modelling New'!$D:$D,'Modelling New'!$W:$W),"")</f>
        <v>0.29828439778813276</v>
      </c>
      <c r="AG57" s="124">
        <f>IFERROR(_xlfn.XLOOKUP($D57,'Modelling New'!$D:$D,'Modelling New'!$AE:$AE),"")</f>
        <v>0.96029999999999993</v>
      </c>
      <c r="AH57" s="124">
        <f>IFERROR(_xlfn.XLOOKUP($D57,'Modelling New'!$D:$D,'Modelling New'!$AF:$AF),"")</f>
        <v>0.995</v>
      </c>
      <c r="AI57" s="105">
        <f>IFERROR(_xlfn.XLOOKUP($A57,Input_Raw!$A:$A,Input_Raw!$DE:$DE),"")</f>
        <v>87.96</v>
      </c>
      <c r="AJ57" s="105"/>
      <c r="AK57" s="105"/>
      <c r="AL57" s="105"/>
      <c r="AM57" s="105"/>
      <c r="AN57" s="126">
        <f>IFERROR(_xlfn.XLOOKUP($A57,Input_Raw!$A:$A,Input_Raw!$DB:$DB),"")</f>
        <v>4.506388977308895E-2</v>
      </c>
      <c r="AO57" s="124">
        <f>IFERROR((_xlfn.XLOOKUP($A57,'WTG Reactive Power'!$A:$A,'WTG Reactive Power'!$AR:$AR))/X57/1000,"")</f>
        <v>2.0484516393069893E-4</v>
      </c>
      <c r="AP57" s="124">
        <f>IFERROR(_xlfn.XLOOKUP($D57,'Modelling New'!$D:$D,'Modelling New'!$AK:$AK),"")</f>
        <v>0.05</v>
      </c>
      <c r="AQ57" s="124">
        <f>IFERROR(_xlfn.XLOOKUP($D57,'Modelling New'!$D:$D,'Modelling New'!$AL:$AL),"")</f>
        <v>0.05</v>
      </c>
      <c r="AR57">
        <f>IFERROR(_xlfn.XLOOKUP($D57,'Modelling New'!$D:$D,'Modelling New'!$N:$N),"")</f>
        <v>78</v>
      </c>
    </row>
    <row r="58" spans="1:44">
      <c r="A58" s="118">
        <f t="shared" si="7"/>
        <v>45801</v>
      </c>
      <c r="B58" s="107">
        <f>YEAR(Table13[[#This Row],[Date]])+IF(MONTH(Table13[[#This Row],[Date]])&gt;=4,1,0)</f>
        <v>2026</v>
      </c>
      <c r="C58" s="105">
        <f>YEAR(Table13[[#This Row],[Date]])</f>
        <v>2025</v>
      </c>
      <c r="D58" s="119">
        <f>Table13[[#This Row],[Date]]-DAY(Table13[[#This Row],[Date]])+1</f>
        <v>45778</v>
      </c>
      <c r="E58" s="105">
        <f t="shared" si="4"/>
        <v>31</v>
      </c>
      <c r="F58" s="108"/>
      <c r="G58" s="109"/>
      <c r="H58" s="109"/>
      <c r="I58" s="109"/>
      <c r="J58" s="109"/>
      <c r="K58" s="120"/>
      <c r="L58" s="109"/>
      <c r="M58" s="109">
        <f>IFERROR(_xlfn.XLOOKUP($A58,Input_Raw!$A:$A,Input_Raw!CG:CG),"")</f>
        <v>4.6823076923076918</v>
      </c>
      <c r="N58" s="109">
        <f>IFERROR(_xlfn.XLOOKUP($A58,Input_Raw!$A:$A,Input_Raw!CH:CH),"")</f>
        <v>0</v>
      </c>
      <c r="O58" s="121">
        <f t="shared" si="6"/>
        <v>0.92521193114383249</v>
      </c>
      <c r="P58" s="121">
        <f>IFERROR(1-SUMIF(WTG_BD!$F:$F,$A58,WTG_BD!$AA:$AA)/($AA58+SUMIF(WTG_BD!$F:$F,$A58,WTG_BD!$AA:$AA)),"")</f>
        <v>0.93167459467230174</v>
      </c>
      <c r="Q58" s="122">
        <f>IFERROR(1-SUMIF(IGA_BD!$F:$F,$A58,IGA_BD!$V:$V)/($AA58+SUMIF(IGA_BD!$F:$F,$A58,IGA_BD!$V:$V)),"")</f>
        <v>0.99306338976566988</v>
      </c>
      <c r="R58" s="127">
        <f>IFERROR(1-SUMIF(Grid_BD!$F:$F,$A58,Grid_BD!$X:$X)/($AA58+SUMIF(Grid_BD!$F:$F,$A58,Grid_BD!$X:$X)),"")</f>
        <v>1</v>
      </c>
      <c r="S58" s="105"/>
      <c r="T58" s="122"/>
      <c r="U58" s="123"/>
      <c r="V58" s="105"/>
      <c r="W58" s="124">
        <f>IFERROR(Table13[[#This Row],[Mtr_Net_Exp (KWh)]]/(24*AR58*1000),"")</f>
        <v>0.13589743589743589</v>
      </c>
      <c r="X58" s="105">
        <f>IFERROR(_xlfn.XLOOKUP($A58,Input_Raw!$A:$A,Input_Raw!$CF:$CF),"")</f>
        <v>261720</v>
      </c>
      <c r="Y58" s="105">
        <f>IFERROR(_xlfn.XLOOKUP($A58,Input_Raw!$A:$A,Input_Raw!$CZ:$CZ),"")</f>
        <v>258000</v>
      </c>
      <c r="Z58" s="105">
        <f>IFERROR(_xlfn.XLOOKUP($A58,Input_Raw!$A:$A,Input_Raw!$DA:$DA),"")</f>
        <v>3600</v>
      </c>
      <c r="AA58" s="107">
        <f t="shared" si="5"/>
        <v>254400</v>
      </c>
      <c r="AB58" s="105">
        <f>IFERROR(_xlfn.XLOOKUP($A58,Input_Raw!$A:$A,Input_Raw!$DG:$DG),"")</f>
        <v>78</v>
      </c>
      <c r="AC58" s="125">
        <f>IFERROR(_xlfn.XLOOKUP($D58,'Modelling New'!$D:$D,'Modelling New'!$J:$J),"")</f>
        <v>6.5666666666666664</v>
      </c>
      <c r="AD58" s="107">
        <f>IFERROR(_xlfn.XLOOKUP($D58,'Modelling New'!$D:$D,'Modelling New'!$T:$T)*1000,"")</f>
        <v>558388.39265938452</v>
      </c>
      <c r="AE58" s="124"/>
      <c r="AF58" s="124">
        <f>IFERROR(_xlfn.XLOOKUP($D58,'Modelling New'!$D:$D,'Modelling New'!$W:$W),"")</f>
        <v>0.29828439778813276</v>
      </c>
      <c r="AG58" s="124">
        <f>IFERROR(_xlfn.XLOOKUP($D58,'Modelling New'!$D:$D,'Modelling New'!$AE:$AE),"")</f>
        <v>0.96029999999999993</v>
      </c>
      <c r="AH58" s="124">
        <f>IFERROR(_xlfn.XLOOKUP($D58,'Modelling New'!$D:$D,'Modelling New'!$AF:$AF),"")</f>
        <v>0.995</v>
      </c>
      <c r="AI58" s="105">
        <f>IFERROR(_xlfn.XLOOKUP($A58,Input_Raw!$A:$A,Input_Raw!$DE:$DE),"")</f>
        <v>261.72000000000003</v>
      </c>
      <c r="AJ58" s="105"/>
      <c r="AK58" s="105"/>
      <c r="AL58" s="105"/>
      <c r="AM58" s="105"/>
      <c r="AN58" s="126">
        <f>IFERROR(_xlfn.XLOOKUP($A58,Input_Raw!$A:$A,Input_Raw!$DB:$DB),"")</f>
        <v>1.421366345712971E-2</v>
      </c>
      <c r="AO58" s="124">
        <f>IFERROR((_xlfn.XLOOKUP($A58,'WTG Reactive Power'!$A:$A,'WTG Reactive Power'!$AR:$AR))/X58/1000,"")</f>
        <v>2.3043710836007948E-5</v>
      </c>
      <c r="AP58" s="124">
        <f>IFERROR(_xlfn.XLOOKUP($D58,'Modelling New'!$D:$D,'Modelling New'!$AK:$AK),"")</f>
        <v>0.05</v>
      </c>
      <c r="AQ58" s="124">
        <f>IFERROR(_xlfn.XLOOKUP($D58,'Modelling New'!$D:$D,'Modelling New'!$AL:$AL),"")</f>
        <v>0.05</v>
      </c>
      <c r="AR58">
        <f>IFERROR(_xlfn.XLOOKUP($D58,'Modelling New'!$D:$D,'Modelling New'!$N:$N),"")</f>
        <v>78</v>
      </c>
    </row>
    <row r="59" spans="1:44">
      <c r="A59" s="118">
        <f t="shared" si="7"/>
        <v>45802</v>
      </c>
      <c r="B59" s="107">
        <f>YEAR(Table13[[#This Row],[Date]])+IF(MONTH(Table13[[#This Row],[Date]])&gt;=4,1,0)</f>
        <v>2026</v>
      </c>
      <c r="C59" s="105">
        <f>YEAR(Table13[[#This Row],[Date]])</f>
        <v>2025</v>
      </c>
      <c r="D59" s="119">
        <f>Table13[[#This Row],[Date]]-DAY(Table13[[#This Row],[Date]])+1</f>
        <v>45778</v>
      </c>
      <c r="E59" s="105">
        <f t="shared" si="4"/>
        <v>31</v>
      </c>
      <c r="F59" s="108"/>
      <c r="G59" s="109"/>
      <c r="H59" s="109"/>
      <c r="I59" s="109"/>
      <c r="J59" s="109"/>
      <c r="K59" s="120"/>
      <c r="L59" s="109"/>
      <c r="M59" s="109">
        <f>IFERROR(_xlfn.XLOOKUP($A59,Input_Raw!$A:$A,Input_Raw!CG:CG),"")</f>
        <v>3.885204939707056</v>
      </c>
      <c r="N59" s="109">
        <f>IFERROR(_xlfn.XLOOKUP($A59,Input_Raw!$A:$A,Input_Raw!CH:CH),"")</f>
        <v>0</v>
      </c>
      <c r="O59" s="121">
        <f t="shared" si="6"/>
        <v>0.94276978554459556</v>
      </c>
      <c r="P59" s="121">
        <f>IFERROR(1-SUMIF(WTG_BD!$F:$F,$A59,WTG_BD!$AA:$AA)/($AA59+SUMIF(WTG_BD!$F:$F,$A59,WTG_BD!$AA:$AA)),"")</f>
        <v>0.94276978554459556</v>
      </c>
      <c r="Q59" s="122">
        <f>IFERROR(1-SUMIF(IGA_BD!$F:$F,$A59,IGA_BD!$V:$V)/($AA59+SUMIF(IGA_BD!$F:$F,$A59,IGA_BD!$V:$V)),"")</f>
        <v>1</v>
      </c>
      <c r="R59" s="127">
        <f>IFERROR(1-SUMIF(Grid_BD!$F:$F,$A59,Grid_BD!$X:$X)/($AA59+SUMIF(Grid_BD!$F:$F,$A59,Grid_BD!$X:$X)),"")</f>
        <v>1</v>
      </c>
      <c r="S59" s="105"/>
      <c r="T59" s="122"/>
      <c r="U59" s="123"/>
      <c r="V59" s="105"/>
      <c r="W59" s="124">
        <f>IFERROR(Table13[[#This Row],[Mtr_Net_Exp (KWh)]]/(24*AR59*1000),"")</f>
        <v>0.12307692307692308</v>
      </c>
      <c r="X59" s="105">
        <f>IFERROR(_xlfn.XLOOKUP($A59,Input_Raw!$A:$A,Input_Raw!$CF:$CF),"")</f>
        <v>236447</v>
      </c>
      <c r="Y59" s="105">
        <f>IFERROR(_xlfn.XLOOKUP($A59,Input_Raw!$A:$A,Input_Raw!$CZ:$CZ),"")</f>
        <v>231600</v>
      </c>
      <c r="Z59" s="105">
        <f>IFERROR(_xlfn.XLOOKUP($A59,Input_Raw!$A:$A,Input_Raw!$DA:$DA),"")</f>
        <v>1200</v>
      </c>
      <c r="AA59" s="107">
        <f t="shared" si="5"/>
        <v>230400</v>
      </c>
      <c r="AB59" s="105">
        <f>IFERROR(_xlfn.XLOOKUP($A59,Input_Raw!$A:$A,Input_Raw!$DG:$DG),"")</f>
        <v>78</v>
      </c>
      <c r="AC59" s="125">
        <f>IFERROR(_xlfn.XLOOKUP($D59,'Modelling New'!$D:$D,'Modelling New'!$J:$J),"")</f>
        <v>6.5666666666666664</v>
      </c>
      <c r="AD59" s="107">
        <f>IFERROR(_xlfn.XLOOKUP($D59,'Modelling New'!$D:$D,'Modelling New'!$T:$T)*1000,"")</f>
        <v>558388.39265938452</v>
      </c>
      <c r="AE59" s="124"/>
      <c r="AF59" s="124">
        <f>IFERROR(_xlfn.XLOOKUP($D59,'Modelling New'!$D:$D,'Modelling New'!$W:$W),"")</f>
        <v>0.29828439778813276</v>
      </c>
      <c r="AG59" s="124">
        <f>IFERROR(_xlfn.XLOOKUP($D59,'Modelling New'!$D:$D,'Modelling New'!$AE:$AE),"")</f>
        <v>0.96029999999999993</v>
      </c>
      <c r="AH59" s="124">
        <f>IFERROR(_xlfn.XLOOKUP($D59,'Modelling New'!$D:$D,'Modelling New'!$AF:$AF),"")</f>
        <v>0.995</v>
      </c>
      <c r="AI59" s="105">
        <f>IFERROR(_xlfn.XLOOKUP($A59,Input_Raw!$A:$A,Input_Raw!$DE:$DE),"")</f>
        <v>236.44</v>
      </c>
      <c r="AJ59" s="105"/>
      <c r="AK59" s="105"/>
      <c r="AL59" s="105"/>
      <c r="AM59" s="105"/>
      <c r="AN59" s="126">
        <f>IFERROR(_xlfn.XLOOKUP($A59,Input_Raw!$A:$A,Input_Raw!$DB:$DB),"")</f>
        <v>2.0499308513112879E-2</v>
      </c>
      <c r="AO59" s="124">
        <f>IFERROR((_xlfn.XLOOKUP($A59,'WTG Reactive Power'!$A:$A,'WTG Reactive Power'!$AR:$AR))/X59/1000,"")</f>
        <v>2.5506773188071747E-5</v>
      </c>
      <c r="AP59" s="124">
        <f>IFERROR(_xlfn.XLOOKUP($D59,'Modelling New'!$D:$D,'Modelling New'!$AK:$AK),"")</f>
        <v>0.05</v>
      </c>
      <c r="AQ59" s="124">
        <f>IFERROR(_xlfn.XLOOKUP($D59,'Modelling New'!$D:$D,'Modelling New'!$AL:$AL),"")</f>
        <v>0.05</v>
      </c>
      <c r="AR59">
        <f>IFERROR(_xlfn.XLOOKUP($D59,'Modelling New'!$D:$D,'Modelling New'!$N:$N),"")</f>
        <v>78</v>
      </c>
    </row>
    <row r="60" spans="1:44">
      <c r="A60" s="118">
        <f t="shared" si="7"/>
        <v>45803</v>
      </c>
      <c r="B60" s="107">
        <f>YEAR(Table13[[#This Row],[Date]])+IF(MONTH(Table13[[#This Row],[Date]])&gt;=4,1,0)</f>
        <v>2026</v>
      </c>
      <c r="C60" s="105">
        <f>YEAR(Table13[[#This Row],[Date]])</f>
        <v>2025</v>
      </c>
      <c r="D60" s="119">
        <f>Table13[[#This Row],[Date]]-DAY(Table13[[#This Row],[Date]])+1</f>
        <v>45778</v>
      </c>
      <c r="E60" s="105">
        <f t="shared" si="4"/>
        <v>31</v>
      </c>
      <c r="F60" s="108"/>
      <c r="G60" s="109"/>
      <c r="H60" s="109"/>
      <c r="I60" s="109"/>
      <c r="J60" s="109"/>
      <c r="K60" s="120"/>
      <c r="L60" s="109"/>
      <c r="M60" s="109">
        <f>IFERROR(_xlfn.XLOOKUP($A60,Input_Raw!$A:$A,Input_Raw!CG:CG),"")</f>
        <v>3.4951282051282053</v>
      </c>
      <c r="N60" s="109">
        <f>IFERROR(_xlfn.XLOOKUP($A60,Input_Raw!$A:$A,Input_Raw!CH:CH),"")</f>
        <v>0</v>
      </c>
      <c r="O60" s="121">
        <f t="shared" si="6"/>
        <v>0.92826352201155005</v>
      </c>
      <c r="P60" s="121">
        <f>IFERROR(1-SUMIF(WTG_BD!$F:$F,$A60,WTG_BD!$AA:$AA)/($AA60+SUMIF(WTG_BD!$F:$F,$A60,WTG_BD!$AA:$AA)),"")</f>
        <v>0.92826352201155005</v>
      </c>
      <c r="Q60" s="122">
        <f>IFERROR(1-SUMIF(IGA_BD!$F:$F,$A60,IGA_BD!$V:$V)/($AA60+SUMIF(IGA_BD!$F:$F,$A60,IGA_BD!$V:$V)),"")</f>
        <v>1</v>
      </c>
      <c r="R60" s="127">
        <f>IFERROR(1-SUMIF(Grid_BD!$F:$F,$A60,Grid_BD!$X:$X)/($AA60+SUMIF(Grid_BD!$F:$F,$A60,Grid_BD!$X:$X)),"")</f>
        <v>1</v>
      </c>
      <c r="S60" s="105"/>
      <c r="T60" s="122"/>
      <c r="U60" s="123"/>
      <c r="V60" s="105"/>
      <c r="W60" s="124">
        <f>IFERROR(Table13[[#This Row],[Mtr_Net_Exp (KWh)]]/(24*AR60*1000),"")</f>
        <v>7.179487179487179E-2</v>
      </c>
      <c r="X60" s="105">
        <f>IFERROR(_xlfn.XLOOKUP($A60,Input_Raw!$A:$A,Input_Raw!$CF:$CF),"")</f>
        <v>140266</v>
      </c>
      <c r="Y60" s="105">
        <f>IFERROR(_xlfn.XLOOKUP($A60,Input_Raw!$A:$A,Input_Raw!$CZ:$CZ),"")</f>
        <v>138000</v>
      </c>
      <c r="Z60" s="105">
        <f>IFERROR(_xlfn.XLOOKUP($A60,Input_Raw!$A:$A,Input_Raw!$DA:$DA),"")</f>
        <v>3600</v>
      </c>
      <c r="AA60" s="107">
        <f t="shared" si="5"/>
        <v>134400</v>
      </c>
      <c r="AB60" s="105">
        <f>IFERROR(_xlfn.XLOOKUP($A60,Input_Raw!$A:$A,Input_Raw!$DG:$DG),"")</f>
        <v>78</v>
      </c>
      <c r="AC60" s="125">
        <f>IFERROR(_xlfn.XLOOKUP($D60,'Modelling New'!$D:$D,'Modelling New'!$J:$J),"")</f>
        <v>6.5666666666666664</v>
      </c>
      <c r="AD60" s="107">
        <f>IFERROR(_xlfn.XLOOKUP($D60,'Modelling New'!$D:$D,'Modelling New'!$T:$T)*1000,"")</f>
        <v>558388.39265938452</v>
      </c>
      <c r="AE60" s="124"/>
      <c r="AF60" s="124">
        <f>IFERROR(_xlfn.XLOOKUP($D60,'Modelling New'!$D:$D,'Modelling New'!$W:$W),"")</f>
        <v>0.29828439778813276</v>
      </c>
      <c r="AG60" s="124">
        <f>IFERROR(_xlfn.XLOOKUP($D60,'Modelling New'!$D:$D,'Modelling New'!$AE:$AE),"")</f>
        <v>0.96029999999999993</v>
      </c>
      <c r="AH60" s="124">
        <f>IFERROR(_xlfn.XLOOKUP($D60,'Modelling New'!$D:$D,'Modelling New'!$AF:$AF),"")</f>
        <v>0.995</v>
      </c>
      <c r="AI60" s="105">
        <f>IFERROR(_xlfn.XLOOKUP($A60,Input_Raw!$A:$A,Input_Raw!$DE:$DE),"")</f>
        <v>140.26</v>
      </c>
      <c r="AJ60" s="105"/>
      <c r="AK60" s="105"/>
      <c r="AL60" s="105"/>
      <c r="AM60" s="105"/>
      <c r="AN60" s="126">
        <f>IFERROR(_xlfn.XLOOKUP($A60,Input_Raw!$A:$A,Input_Raw!$DB:$DB),"")</f>
        <v>1.6155019748192667E-2</v>
      </c>
      <c r="AO60" s="124">
        <f>IFERROR((_xlfn.XLOOKUP($A60,'WTG Reactive Power'!$A:$A,'WTG Reactive Power'!$AR:$AR))/X60/1000,"")</f>
        <v>6.8583976159582505E-5</v>
      </c>
      <c r="AP60" s="124">
        <f>IFERROR(_xlfn.XLOOKUP($D60,'Modelling New'!$D:$D,'Modelling New'!$AK:$AK),"")</f>
        <v>0.05</v>
      </c>
      <c r="AQ60" s="124">
        <f>IFERROR(_xlfn.XLOOKUP($D60,'Modelling New'!$D:$D,'Modelling New'!$AL:$AL),"")</f>
        <v>0.05</v>
      </c>
      <c r="AR60">
        <f>IFERROR(_xlfn.XLOOKUP($D60,'Modelling New'!$D:$D,'Modelling New'!$N:$N),"")</f>
        <v>78</v>
      </c>
    </row>
    <row r="61" spans="1:44">
      <c r="A61" s="118">
        <f t="shared" si="7"/>
        <v>45804</v>
      </c>
      <c r="B61" s="107">
        <f>YEAR(Table13[[#This Row],[Date]])+IF(MONTH(Table13[[#This Row],[Date]])&gt;=4,1,0)</f>
        <v>2026</v>
      </c>
      <c r="C61" s="105">
        <f>YEAR(Table13[[#This Row],[Date]])</f>
        <v>2025</v>
      </c>
      <c r="D61" s="119">
        <f>Table13[[#This Row],[Date]]-DAY(Table13[[#This Row],[Date]])+1</f>
        <v>45778</v>
      </c>
      <c r="E61" s="105">
        <f t="shared" si="4"/>
        <v>31</v>
      </c>
      <c r="F61" s="108"/>
      <c r="G61" s="109"/>
      <c r="H61" s="109"/>
      <c r="I61" s="109"/>
      <c r="J61" s="109"/>
      <c r="K61" s="120"/>
      <c r="L61" s="109"/>
      <c r="M61" s="109">
        <f>IFERROR(_xlfn.XLOOKUP($A61,Input_Raw!$A:$A,Input_Raw!CG:CG),"")</f>
        <v>4.8151282051282047</v>
      </c>
      <c r="N61" s="109">
        <f>IFERROR(_xlfn.XLOOKUP($A61,Input_Raw!$A:$A,Input_Raw!CH:CH),"")</f>
        <v>0</v>
      </c>
      <c r="O61" s="121">
        <f t="shared" si="6"/>
        <v>0.88224635097139881</v>
      </c>
      <c r="P61" s="121">
        <f>IFERROR(1-SUMIF(WTG_BD!$F:$F,$A61,WTG_BD!$AA:$AA)/($AA61+SUMIF(WTG_BD!$F:$F,$A61,WTG_BD!$AA:$AA)),"")</f>
        <v>0.92919692652061903</v>
      </c>
      <c r="Q61" s="122">
        <f>IFERROR(1-SUMIF(IGA_BD!$F:$F,$A61,IGA_BD!$V:$V)/($AA61+SUMIF(IGA_BD!$F:$F,$A61,IGA_BD!$V:$V)),"")</f>
        <v>0.94947187812488054</v>
      </c>
      <c r="R61" s="127">
        <f>IFERROR(1-SUMIF(Grid_BD!$F:$F,$A61,Grid_BD!$X:$X)/($AA61+SUMIF(Grid_BD!$F:$F,$A61,Grid_BD!$X:$X)),"")</f>
        <v>1</v>
      </c>
      <c r="S61" s="105"/>
      <c r="T61" s="122"/>
      <c r="U61" s="123"/>
      <c r="V61" s="105"/>
      <c r="W61" s="124">
        <f>IFERROR(Table13[[#This Row],[Mtr_Net_Exp (KWh)]]/(24*AR61*1000),"")</f>
        <v>0.23205128205128206</v>
      </c>
      <c r="X61" s="105">
        <f>IFERROR(_xlfn.XLOOKUP($A61,Input_Raw!$A:$A,Input_Raw!$CF:$CF),"")</f>
        <v>436047</v>
      </c>
      <c r="Y61" s="105">
        <f>IFERROR(_xlfn.XLOOKUP($A61,Input_Raw!$A:$A,Input_Raw!$CZ:$CZ),"")</f>
        <v>434400</v>
      </c>
      <c r="Z61" s="105">
        <f>IFERROR(_xlfn.XLOOKUP($A61,Input_Raw!$A:$A,Input_Raw!$DA:$DA),"")</f>
        <v>0</v>
      </c>
      <c r="AA61" s="107">
        <f t="shared" si="5"/>
        <v>434400</v>
      </c>
      <c r="AB61" s="105">
        <f>IFERROR(_xlfn.XLOOKUP($A61,Input_Raw!$A:$A,Input_Raw!$DG:$DG),"")</f>
        <v>78</v>
      </c>
      <c r="AC61" s="125">
        <f>IFERROR(_xlfn.XLOOKUP($D61,'Modelling New'!$D:$D,'Modelling New'!$J:$J),"")</f>
        <v>6.5666666666666664</v>
      </c>
      <c r="AD61" s="107">
        <f>IFERROR(_xlfn.XLOOKUP($D61,'Modelling New'!$D:$D,'Modelling New'!$T:$T)*1000,"")</f>
        <v>558388.39265938452</v>
      </c>
      <c r="AE61" s="124"/>
      <c r="AF61" s="124">
        <f>IFERROR(_xlfn.XLOOKUP($D61,'Modelling New'!$D:$D,'Modelling New'!$W:$W),"")</f>
        <v>0.29828439778813276</v>
      </c>
      <c r="AG61" s="124">
        <f>IFERROR(_xlfn.XLOOKUP($D61,'Modelling New'!$D:$D,'Modelling New'!$AE:$AE),"")</f>
        <v>0.96029999999999993</v>
      </c>
      <c r="AH61" s="124">
        <f>IFERROR(_xlfn.XLOOKUP($D61,'Modelling New'!$D:$D,'Modelling New'!$AF:$AF),"")</f>
        <v>0.995</v>
      </c>
      <c r="AI61" s="105">
        <f>IFERROR(_xlfn.XLOOKUP($A61,Input_Raw!$A:$A,Input_Raw!$DE:$DE),"")</f>
        <v>436.04</v>
      </c>
      <c r="AJ61" s="105"/>
      <c r="AK61" s="105"/>
      <c r="AL61" s="105"/>
      <c r="AM61" s="105"/>
      <c r="AN61" s="126">
        <f>IFERROR(_xlfn.XLOOKUP($A61,Input_Raw!$A:$A,Input_Raw!$DB:$DB),"")</f>
        <v>3.777115769630357E-3</v>
      </c>
      <c r="AO61" s="124">
        <f>IFERROR((_xlfn.XLOOKUP($A61,'WTG Reactive Power'!$A:$A,'WTG Reactive Power'!$AR:$AR))/X61/1000,"")</f>
        <v>0</v>
      </c>
      <c r="AP61" s="124">
        <f>IFERROR(_xlfn.XLOOKUP($D61,'Modelling New'!$D:$D,'Modelling New'!$AK:$AK),"")</f>
        <v>0.05</v>
      </c>
      <c r="AQ61" s="124">
        <f>IFERROR(_xlfn.XLOOKUP($D61,'Modelling New'!$D:$D,'Modelling New'!$AL:$AL),"")</f>
        <v>0.05</v>
      </c>
      <c r="AR61">
        <f>IFERROR(_xlfn.XLOOKUP($D61,'Modelling New'!$D:$D,'Modelling New'!$N:$N),"")</f>
        <v>78</v>
      </c>
    </row>
    <row r="62" spans="1:44">
      <c r="A62" s="118">
        <f t="shared" si="7"/>
        <v>45805</v>
      </c>
      <c r="B62" s="107">
        <f>YEAR(Table13[[#This Row],[Date]])+IF(MONTH(Table13[[#This Row],[Date]])&gt;=4,1,0)</f>
        <v>2026</v>
      </c>
      <c r="C62" s="105">
        <f>YEAR(Table13[[#This Row],[Date]])</f>
        <v>2025</v>
      </c>
      <c r="D62" s="119">
        <f>Table13[[#This Row],[Date]]-DAY(Table13[[#This Row],[Date]])+1</f>
        <v>45778</v>
      </c>
      <c r="E62" s="105">
        <f t="shared" si="4"/>
        <v>31</v>
      </c>
      <c r="F62" s="108"/>
      <c r="G62" s="109"/>
      <c r="H62" s="109"/>
      <c r="I62" s="109"/>
      <c r="J62" s="109"/>
      <c r="K62" s="120"/>
      <c r="L62" s="109"/>
      <c r="M62" s="109">
        <f>IFERROR(_xlfn.XLOOKUP($A62,Input_Raw!$A:$A,Input_Raw!CG:CG),"")</f>
        <v>4.5097435897435885</v>
      </c>
      <c r="N62" s="109">
        <f>IFERROR(_xlfn.XLOOKUP($A62,Input_Raw!$A:$A,Input_Raw!CH:CH),"")</f>
        <v>0</v>
      </c>
      <c r="O62" s="121">
        <f t="shared" si="6"/>
        <v>0.91792531186271265</v>
      </c>
      <c r="P62" s="121">
        <f>IFERROR(1-SUMIF(WTG_BD!$F:$F,$A62,WTG_BD!$AA:$AA)/($AA62+SUMIF(WTG_BD!$F:$F,$A62,WTG_BD!$AA:$AA)),"")</f>
        <v>0.91837281147440364</v>
      </c>
      <c r="Q62" s="122">
        <f>IFERROR(1-SUMIF(IGA_BD!$F:$F,$A62,IGA_BD!$V:$V)/($AA62+SUMIF(IGA_BD!$F:$F,$A62,IGA_BD!$V:$V)),"")</f>
        <v>0.99951272554446324</v>
      </c>
      <c r="R62" s="127">
        <f>IFERROR(1-SUMIF(Grid_BD!$F:$F,$A62,Grid_BD!$X:$X)/($AA62+SUMIF(Grid_BD!$F:$F,$A62,Grid_BD!$X:$X)),"")</f>
        <v>1</v>
      </c>
      <c r="S62" s="105"/>
      <c r="T62" s="122"/>
      <c r="U62" s="123"/>
      <c r="V62" s="105"/>
      <c r="W62" s="124">
        <f>IFERROR(Table13[[#This Row],[Mtr_Net_Exp (KWh)]]/(24*AR62*1000),"")</f>
        <v>0.22243589743589742</v>
      </c>
      <c r="X62" s="105">
        <f>IFERROR(_xlfn.XLOOKUP($A62,Input_Raw!$A:$A,Input_Raw!$CF:$CF),"")</f>
        <v>424522</v>
      </c>
      <c r="Y62" s="105">
        <f>IFERROR(_xlfn.XLOOKUP($A62,Input_Raw!$A:$A,Input_Raw!$CZ:$CZ),"")</f>
        <v>420000</v>
      </c>
      <c r="Z62" s="105">
        <f>IFERROR(_xlfn.XLOOKUP($A62,Input_Raw!$A:$A,Input_Raw!$DA:$DA),"")</f>
        <v>3600</v>
      </c>
      <c r="AA62" s="107">
        <f t="shared" si="5"/>
        <v>416400</v>
      </c>
      <c r="AB62" s="105">
        <f>IFERROR(_xlfn.XLOOKUP($A62,Input_Raw!$A:$A,Input_Raw!$DG:$DG),"")</f>
        <v>78</v>
      </c>
      <c r="AC62" s="125">
        <f>IFERROR(_xlfn.XLOOKUP($D62,'Modelling New'!$D:$D,'Modelling New'!$J:$J),"")</f>
        <v>6.5666666666666664</v>
      </c>
      <c r="AD62" s="107">
        <f>IFERROR(_xlfn.XLOOKUP($D62,'Modelling New'!$D:$D,'Modelling New'!$T:$T)*1000,"")</f>
        <v>558388.39265938452</v>
      </c>
      <c r="AE62" s="124"/>
      <c r="AF62" s="124">
        <f>IFERROR(_xlfn.XLOOKUP($D62,'Modelling New'!$D:$D,'Modelling New'!$W:$W),"")</f>
        <v>0.29828439778813276</v>
      </c>
      <c r="AG62" s="124">
        <f>IFERROR(_xlfn.XLOOKUP($D62,'Modelling New'!$D:$D,'Modelling New'!$AE:$AE),"")</f>
        <v>0.96029999999999993</v>
      </c>
      <c r="AH62" s="124">
        <f>IFERROR(_xlfn.XLOOKUP($D62,'Modelling New'!$D:$D,'Modelling New'!$AF:$AF),"")</f>
        <v>0.995</v>
      </c>
      <c r="AI62" s="105">
        <f>IFERROR(_xlfn.XLOOKUP($A62,Input_Raw!$A:$A,Input_Raw!$DE:$DE),"")</f>
        <v>424.52</v>
      </c>
      <c r="AJ62" s="105"/>
      <c r="AK62" s="105"/>
      <c r="AL62" s="105"/>
      <c r="AM62" s="105"/>
      <c r="AN62" s="126">
        <f>IFERROR(_xlfn.XLOOKUP($A62,Input_Raw!$A:$A,Input_Raw!$DB:$DB),"")</f>
        <v>1.0651980344952627E-2</v>
      </c>
      <c r="AO62" s="124">
        <f>IFERROR((_xlfn.XLOOKUP($A62,'WTG Reactive Power'!$A:$A,'WTG Reactive Power'!$AR:$AR))/X62/1000,"")</f>
        <v>1.133039041557328E-5</v>
      </c>
      <c r="AP62" s="124">
        <f>IFERROR(_xlfn.XLOOKUP($D62,'Modelling New'!$D:$D,'Modelling New'!$AK:$AK),"")</f>
        <v>0.05</v>
      </c>
      <c r="AQ62" s="124">
        <f>IFERROR(_xlfn.XLOOKUP($D62,'Modelling New'!$D:$D,'Modelling New'!$AL:$AL),"")</f>
        <v>0.05</v>
      </c>
      <c r="AR62">
        <f>IFERROR(_xlfn.XLOOKUP($D62,'Modelling New'!$D:$D,'Modelling New'!$N:$N),"")</f>
        <v>78</v>
      </c>
    </row>
    <row r="63" spans="1:44">
      <c r="A63" s="118">
        <f t="shared" si="7"/>
        <v>45806</v>
      </c>
      <c r="B63" s="107">
        <f>YEAR(Table13[[#This Row],[Date]])+IF(MONTH(Table13[[#This Row],[Date]])&gt;=4,1,0)</f>
        <v>2026</v>
      </c>
      <c r="C63" s="105">
        <f>YEAR(Table13[[#This Row],[Date]])</f>
        <v>2025</v>
      </c>
      <c r="D63" s="119">
        <f>Table13[[#This Row],[Date]]-DAY(Table13[[#This Row],[Date]])+1</f>
        <v>45778</v>
      </c>
      <c r="E63" s="105">
        <f t="shared" si="4"/>
        <v>31</v>
      </c>
      <c r="F63" s="108"/>
      <c r="G63" s="109"/>
      <c r="H63" s="109"/>
      <c r="I63" s="109"/>
      <c r="J63" s="109"/>
      <c r="K63" s="120"/>
      <c r="L63" s="109"/>
      <c r="M63" s="109">
        <f>IFERROR(_xlfn.XLOOKUP($A63,Input_Raw!$A:$A,Input_Raw!CG:CG),"")</f>
        <v>5.7389743589743594</v>
      </c>
      <c r="N63" s="109">
        <f>IFERROR(_xlfn.XLOOKUP($A63,Input_Raw!$A:$A,Input_Raw!CH:CH),"")</f>
        <v>0</v>
      </c>
      <c r="O63" s="121">
        <f t="shared" si="6"/>
        <v>0.93021167331701227</v>
      </c>
      <c r="P63" s="121">
        <f>IFERROR(1-SUMIF(WTG_BD!$F:$F,$A63,WTG_BD!$AA:$AA)/($AA63+SUMIF(WTG_BD!$F:$F,$A63,WTG_BD!$AA:$AA)),"")</f>
        <v>0.93183026962592552</v>
      </c>
      <c r="Q63" s="122">
        <f>IFERROR(1-SUMIF(IGA_BD!$F:$F,$A63,IGA_BD!$V:$V)/($AA63+SUMIF(IGA_BD!$F:$F,$A63,IGA_BD!$V:$V)),"")</f>
        <v>0.99826299234777705</v>
      </c>
      <c r="R63" s="127">
        <f>IFERROR(1-SUMIF(Grid_BD!$F:$F,$A63,Grid_BD!$X:$X)/($AA63+SUMIF(Grid_BD!$F:$F,$A63,Grid_BD!$X:$X)),"")</f>
        <v>1</v>
      </c>
      <c r="S63" s="105"/>
      <c r="T63" s="122"/>
      <c r="U63" s="123"/>
      <c r="V63" s="105"/>
      <c r="W63" s="124">
        <f>IFERROR(Table13[[#This Row],[Mtr_Net_Exp (KWh)]]/(24*AR63*1000),"")</f>
        <v>0.28397435897435896</v>
      </c>
      <c r="X63" s="105">
        <f>IFERROR(_xlfn.XLOOKUP($A63,Input_Raw!$A:$A,Input_Raw!$CF:$CF),"")</f>
        <v>539046</v>
      </c>
      <c r="Y63" s="105">
        <f>IFERROR(_xlfn.XLOOKUP($A63,Input_Raw!$A:$A,Input_Raw!$CZ:$CZ),"")</f>
        <v>531600</v>
      </c>
      <c r="Z63" s="105">
        <f>IFERROR(_xlfn.XLOOKUP($A63,Input_Raw!$A:$A,Input_Raw!$DA:$DA),"")</f>
        <v>0</v>
      </c>
      <c r="AA63" s="107">
        <f t="shared" si="5"/>
        <v>531600</v>
      </c>
      <c r="AB63" s="105">
        <f>IFERROR(_xlfn.XLOOKUP($A63,Input_Raw!$A:$A,Input_Raw!$DG:$DG),"")</f>
        <v>78</v>
      </c>
      <c r="AC63" s="125">
        <f>IFERROR(_xlfn.XLOOKUP($D63,'Modelling New'!$D:$D,'Modelling New'!$J:$J),"")</f>
        <v>6.5666666666666664</v>
      </c>
      <c r="AD63" s="107">
        <f>IFERROR(_xlfn.XLOOKUP($D63,'Modelling New'!$D:$D,'Modelling New'!$T:$T)*1000,"")</f>
        <v>558388.39265938452</v>
      </c>
      <c r="AE63" s="124"/>
      <c r="AF63" s="124">
        <f>IFERROR(_xlfn.XLOOKUP($D63,'Modelling New'!$D:$D,'Modelling New'!$W:$W),"")</f>
        <v>0.29828439778813276</v>
      </c>
      <c r="AG63" s="124">
        <f>IFERROR(_xlfn.XLOOKUP($D63,'Modelling New'!$D:$D,'Modelling New'!$AE:$AE),"")</f>
        <v>0.96029999999999993</v>
      </c>
      <c r="AH63" s="124">
        <f>IFERROR(_xlfn.XLOOKUP($D63,'Modelling New'!$D:$D,'Modelling New'!$AF:$AF),"")</f>
        <v>0.995</v>
      </c>
      <c r="AI63" s="105">
        <f>IFERROR(_xlfn.XLOOKUP($A63,Input_Raw!$A:$A,Input_Raw!$DE:$DE),"")</f>
        <v>539.04</v>
      </c>
      <c r="AJ63" s="105"/>
      <c r="AK63" s="105"/>
      <c r="AL63" s="105"/>
      <c r="AM63" s="105"/>
      <c r="AN63" s="126">
        <f>IFERROR(_xlfn.XLOOKUP($A63,Input_Raw!$A:$A,Input_Raw!$DB:$DB),"")</f>
        <v>1.3813292372079511E-2</v>
      </c>
      <c r="AO63" s="124">
        <f>IFERROR((_xlfn.XLOOKUP($A63,'WTG Reactive Power'!$A:$A,'WTG Reactive Power'!$AR:$AR))/X63/1000,"")</f>
        <v>2.2651128104095013E-6</v>
      </c>
      <c r="AP63" s="124">
        <f>IFERROR(_xlfn.XLOOKUP($D63,'Modelling New'!$D:$D,'Modelling New'!$AK:$AK),"")</f>
        <v>0.05</v>
      </c>
      <c r="AQ63" s="124">
        <f>IFERROR(_xlfn.XLOOKUP($D63,'Modelling New'!$D:$D,'Modelling New'!$AL:$AL),"")</f>
        <v>0.05</v>
      </c>
      <c r="AR63">
        <f>IFERROR(_xlfn.XLOOKUP($D63,'Modelling New'!$D:$D,'Modelling New'!$N:$N),"")</f>
        <v>78</v>
      </c>
    </row>
    <row r="64" spans="1:44">
      <c r="A64" s="118">
        <f t="shared" si="7"/>
        <v>45807</v>
      </c>
      <c r="B64" s="107">
        <f>YEAR(Table13[[#This Row],[Date]])+IF(MONTH(Table13[[#This Row],[Date]])&gt;=4,1,0)</f>
        <v>2026</v>
      </c>
      <c r="C64" s="105">
        <f>YEAR(Table13[[#This Row],[Date]])</f>
        <v>2025</v>
      </c>
      <c r="D64" s="119">
        <f>Table13[[#This Row],[Date]]-DAY(Table13[[#This Row],[Date]])+1</f>
        <v>45778</v>
      </c>
      <c r="E64" s="105">
        <f t="shared" si="4"/>
        <v>31</v>
      </c>
      <c r="F64" s="108"/>
      <c r="G64" s="109"/>
      <c r="H64" s="109"/>
      <c r="I64" s="109"/>
      <c r="J64" s="109"/>
      <c r="K64" s="120"/>
      <c r="L64" s="109"/>
      <c r="M64" s="109">
        <f>IFERROR(_xlfn.XLOOKUP($A64,Input_Raw!$A:$A,Input_Raw!CG:CG),"")</f>
        <v>5.25979450046166</v>
      </c>
      <c r="N64" s="109">
        <f>IFERROR(_xlfn.XLOOKUP($A64,Input_Raw!$A:$A,Input_Raw!CH:CH),"")</f>
        <v>0</v>
      </c>
      <c r="O64" s="121">
        <f t="shared" si="6"/>
        <v>0.94209470617302393</v>
      </c>
      <c r="P64" s="121">
        <f>IFERROR(1-SUMIF(WTG_BD!$F:$F,$A64,WTG_BD!$AA:$AA)/($AA64+SUMIF(WTG_BD!$F:$F,$A64,WTG_BD!$AA:$AA)),"")</f>
        <v>0.94209470617302393</v>
      </c>
      <c r="Q64" s="122">
        <f>IFERROR(1-SUMIF(IGA_BD!$F:$F,$A64,IGA_BD!$V:$V)/($AA64+SUMIF(IGA_BD!$F:$F,$A64,IGA_BD!$V:$V)),"")</f>
        <v>1</v>
      </c>
      <c r="R64" s="127">
        <f>IFERROR(1-SUMIF(Grid_BD!$F:$F,$A64,Grid_BD!$X:$X)/($AA64+SUMIF(Grid_BD!$F:$F,$A64,Grid_BD!$X:$X)),"")</f>
        <v>1</v>
      </c>
      <c r="S64" s="105"/>
      <c r="T64" s="122"/>
      <c r="U64" s="123"/>
      <c r="V64" s="105"/>
      <c r="W64" s="124">
        <f>IFERROR(Table13[[#This Row],[Mtr_Net_Exp (KWh)]]/(24*AR64*1000),"")</f>
        <v>0.2935897435897436</v>
      </c>
      <c r="X64" s="105">
        <f>IFERROR(_xlfn.XLOOKUP($A64,Input_Raw!$A:$A,Input_Raw!$CF:$CF),"")</f>
        <v>552531</v>
      </c>
      <c r="Y64" s="105">
        <f>IFERROR(_xlfn.XLOOKUP($A64,Input_Raw!$A:$A,Input_Raw!$CZ:$CZ),"")</f>
        <v>549600</v>
      </c>
      <c r="Z64" s="105">
        <f>IFERROR(_xlfn.XLOOKUP($A64,Input_Raw!$A:$A,Input_Raw!$DA:$DA),"")</f>
        <v>0</v>
      </c>
      <c r="AA64" s="107">
        <f t="shared" si="5"/>
        <v>549600</v>
      </c>
      <c r="AB64" s="105">
        <f>IFERROR(_xlfn.XLOOKUP($A64,Input_Raw!$A:$A,Input_Raw!$DG:$DG),"")</f>
        <v>78</v>
      </c>
      <c r="AC64" s="125">
        <f>IFERROR(_xlfn.XLOOKUP($D64,'Modelling New'!$D:$D,'Modelling New'!$J:$J),"")</f>
        <v>6.5666666666666664</v>
      </c>
      <c r="AD64" s="107">
        <f>IFERROR(_xlfn.XLOOKUP($D64,'Modelling New'!$D:$D,'Modelling New'!$T:$T)*1000,"")</f>
        <v>558388.39265938452</v>
      </c>
      <c r="AE64" s="124"/>
      <c r="AF64" s="124">
        <f>IFERROR(_xlfn.XLOOKUP($D64,'Modelling New'!$D:$D,'Modelling New'!$W:$W),"")</f>
        <v>0.29828439778813276</v>
      </c>
      <c r="AG64" s="124">
        <f>IFERROR(_xlfn.XLOOKUP($D64,'Modelling New'!$D:$D,'Modelling New'!$AE:$AE),"")</f>
        <v>0.96029999999999993</v>
      </c>
      <c r="AH64" s="124">
        <f>IFERROR(_xlfn.XLOOKUP($D64,'Modelling New'!$D:$D,'Modelling New'!$AF:$AF),"")</f>
        <v>0.995</v>
      </c>
      <c r="AI64" s="105">
        <f>IFERROR(_xlfn.XLOOKUP($A64,Input_Raw!$A:$A,Input_Raw!$DE:$DE),"")</f>
        <v>552.53</v>
      </c>
      <c r="AJ64" s="105"/>
      <c r="AK64" s="105"/>
      <c r="AL64" s="105"/>
      <c r="AM64" s="105"/>
      <c r="AN64" s="126">
        <f>IFERROR(_xlfn.XLOOKUP($A64,Input_Raw!$A:$A,Input_Raw!$DB:$DB),"")</f>
        <v>5.3046797374265431E-3</v>
      </c>
      <c r="AO64" s="124">
        <f>IFERROR((_xlfn.XLOOKUP($A64,'WTG Reactive Power'!$A:$A,'WTG Reactive Power'!$AR:$AR))/X64/1000,"")</f>
        <v>2.2098307606270057E-6</v>
      </c>
      <c r="AP64" s="124">
        <f>IFERROR(_xlfn.XLOOKUP($D64,'Modelling New'!$D:$D,'Modelling New'!$AK:$AK),"")</f>
        <v>0.05</v>
      </c>
      <c r="AQ64" s="124">
        <f>IFERROR(_xlfn.XLOOKUP($D64,'Modelling New'!$D:$D,'Modelling New'!$AL:$AL),"")</f>
        <v>0.05</v>
      </c>
      <c r="AR64">
        <f>IFERROR(_xlfn.XLOOKUP($D64,'Modelling New'!$D:$D,'Modelling New'!$N:$N),"")</f>
        <v>78</v>
      </c>
    </row>
    <row r="65" spans="1:44">
      <c r="A65" s="118">
        <f t="shared" si="7"/>
        <v>45808</v>
      </c>
      <c r="B65" s="107">
        <f>YEAR(Table13[[#This Row],[Date]])+IF(MONTH(Table13[[#This Row],[Date]])&gt;=4,1,0)</f>
        <v>2026</v>
      </c>
      <c r="C65" s="105">
        <f>YEAR(Table13[[#This Row],[Date]])</f>
        <v>2025</v>
      </c>
      <c r="D65" s="119">
        <f>Table13[[#This Row],[Date]]-DAY(Table13[[#This Row],[Date]])+1</f>
        <v>45778</v>
      </c>
      <c r="E65" s="105">
        <f t="shared" si="4"/>
        <v>31</v>
      </c>
      <c r="F65" s="108"/>
      <c r="G65" s="109"/>
      <c r="H65" s="109"/>
      <c r="I65" s="109"/>
      <c r="J65" s="109"/>
      <c r="K65" s="120"/>
      <c r="L65" s="109"/>
      <c r="M65" s="109">
        <f>IFERROR(_xlfn.XLOOKUP($A65,Input_Raw!$A:$A,Input_Raw!CG:CG),"")</f>
        <v>6.7597435897435894</v>
      </c>
      <c r="N65" s="109">
        <f>IFERROR(_xlfn.XLOOKUP($A65,Input_Raw!$A:$A,Input_Raw!CH:CH),"")</f>
        <v>0</v>
      </c>
      <c r="O65" s="121">
        <f t="shared" si="6"/>
        <v>0.89787377920608258</v>
      </c>
      <c r="P65" s="121">
        <f>IFERROR(1-SUMIF(WTG_BD!$F:$F,$A65,WTG_BD!$AA:$AA)/($AA65+SUMIF(WTG_BD!$F:$F,$A65,WTG_BD!$AA:$AA)),"")</f>
        <v>0.93130151430557695</v>
      </c>
      <c r="Q65" s="122">
        <f>IFERROR(1-SUMIF(IGA_BD!$F:$F,$A65,IGA_BD!$V:$V)/($AA65+SUMIF(IGA_BD!$F:$F,$A65,IGA_BD!$V:$V)),"")</f>
        <v>0.96410643106876115</v>
      </c>
      <c r="R65" s="127">
        <f>IFERROR(1-SUMIF(Grid_BD!$F:$F,$A65,Grid_BD!$X:$X)/($AA65+SUMIF(Grid_BD!$F:$F,$A65,Grid_BD!$X:$X)),"")</f>
        <v>1</v>
      </c>
      <c r="S65" s="105"/>
      <c r="T65" s="122"/>
      <c r="U65" s="123"/>
      <c r="V65" s="105"/>
      <c r="W65" s="124">
        <f>IFERROR(Table13[[#This Row],[Mtr_Net_Exp (KWh)]]/(24*AR65*1000),"")</f>
        <v>0.44166666666666665</v>
      </c>
      <c r="X65" s="105">
        <f>IFERROR(_xlfn.XLOOKUP($A65,Input_Raw!$A:$A,Input_Raw!$CF:$CF),"")</f>
        <v>829710</v>
      </c>
      <c r="Y65" s="105">
        <f>IFERROR(_xlfn.XLOOKUP($A65,Input_Raw!$A:$A,Input_Raw!$CZ:$CZ),"")</f>
        <v>826800</v>
      </c>
      <c r="Z65" s="105">
        <f>IFERROR(_xlfn.XLOOKUP($A65,Input_Raw!$A:$A,Input_Raw!$DA:$DA),"")</f>
        <v>0</v>
      </c>
      <c r="AA65" s="107">
        <f t="shared" si="5"/>
        <v>826800</v>
      </c>
      <c r="AB65" s="105">
        <f>IFERROR(_xlfn.XLOOKUP($A65,Input_Raw!$A:$A,Input_Raw!$DG:$DG),"")</f>
        <v>78</v>
      </c>
      <c r="AC65" s="125">
        <f>IFERROR(_xlfn.XLOOKUP($D65,'Modelling New'!$D:$D,'Modelling New'!$J:$J),"")</f>
        <v>6.5666666666666664</v>
      </c>
      <c r="AD65" s="107">
        <f>IFERROR(_xlfn.XLOOKUP($D65,'Modelling New'!$D:$D,'Modelling New'!$T:$T)*1000,"")</f>
        <v>558388.39265938452</v>
      </c>
      <c r="AE65" s="124"/>
      <c r="AF65" s="124">
        <f>IFERROR(_xlfn.XLOOKUP($D65,'Modelling New'!$D:$D,'Modelling New'!$W:$W),"")</f>
        <v>0.29828439778813276</v>
      </c>
      <c r="AG65" s="124">
        <f>IFERROR(_xlfn.XLOOKUP($D65,'Modelling New'!$D:$D,'Modelling New'!$AE:$AE),"")</f>
        <v>0.96029999999999993</v>
      </c>
      <c r="AH65" s="124">
        <f>IFERROR(_xlfn.XLOOKUP($D65,'Modelling New'!$D:$D,'Modelling New'!$AF:$AF),"")</f>
        <v>0.995</v>
      </c>
      <c r="AI65" s="105">
        <f>IFERROR(_xlfn.XLOOKUP($A65,Input_Raw!$A:$A,Input_Raw!$DE:$DE),"")</f>
        <v>829.71</v>
      </c>
      <c r="AJ65" s="105"/>
      <c r="AK65" s="105"/>
      <c r="AL65" s="105"/>
      <c r="AM65" s="105"/>
      <c r="AN65" s="126">
        <f>IFERROR(_xlfn.XLOOKUP($A65,Input_Raw!$A:$A,Input_Raw!$DB:$DB),"")</f>
        <v>3.5072495209169663E-3</v>
      </c>
      <c r="AO65" s="124">
        <f>IFERROR((_xlfn.XLOOKUP($A65,'WTG Reactive Power'!$A:$A,'WTG Reactive Power'!$AR:$AR))/X65/1000,"")</f>
        <v>0</v>
      </c>
      <c r="AP65" s="124">
        <f>IFERROR(_xlfn.XLOOKUP($D65,'Modelling New'!$D:$D,'Modelling New'!$AK:$AK),"")</f>
        <v>0.05</v>
      </c>
      <c r="AQ65" s="124">
        <f>IFERROR(_xlfn.XLOOKUP($D65,'Modelling New'!$D:$D,'Modelling New'!$AL:$AL),"")</f>
        <v>0.05</v>
      </c>
      <c r="AR65">
        <f>IFERROR(_xlfn.XLOOKUP($D65,'Modelling New'!$D:$D,'Modelling New'!$N:$N),"")</f>
        <v>78</v>
      </c>
    </row>
    <row r="66" spans="1:44">
      <c r="A66" s="118">
        <f t="shared" si="7"/>
        <v>45809</v>
      </c>
      <c r="B66" s="107">
        <f>YEAR(Table13[[#This Row],[Date]])+IF(MONTH(Table13[[#This Row],[Date]])&gt;=4,1,0)</f>
        <v>2026</v>
      </c>
      <c r="C66" s="105">
        <f>YEAR(Table13[[#This Row],[Date]])</f>
        <v>2025</v>
      </c>
      <c r="D66" s="119">
        <f>Table13[[#This Row],[Date]]-DAY(Table13[[#This Row],[Date]])+1</f>
        <v>45809</v>
      </c>
      <c r="E66" s="105">
        <f t="shared" si="4"/>
        <v>30</v>
      </c>
      <c r="F66" s="108"/>
      <c r="G66" s="109"/>
      <c r="H66" s="109"/>
      <c r="I66" s="109"/>
      <c r="J66" s="109"/>
      <c r="K66" s="120"/>
      <c r="L66" s="109"/>
      <c r="M66" s="109">
        <f>IFERROR(_xlfn.XLOOKUP($A66,Input_Raw!$A:$A,Input_Raw!CG:CG),"")</f>
        <v>6.6617948717948723</v>
      </c>
      <c r="N66" s="109">
        <f>IFERROR(_xlfn.XLOOKUP($A66,Input_Raw!$A:$A,Input_Raw!CH:CH),"")</f>
        <v>0</v>
      </c>
      <c r="O66" s="121">
        <f t="shared" si="6"/>
        <v>0.94310092863724981</v>
      </c>
      <c r="P66" s="121">
        <f>IFERROR(1-SUMIF(WTG_BD!$F:$F,$A66,WTG_BD!$AA:$AA)/($AA66+SUMIF(WTG_BD!$F:$F,$A66,WTG_BD!$AA:$AA)),"")</f>
        <v>0.94377695424752261</v>
      </c>
      <c r="Q66" s="122">
        <f>IFERROR(1-SUMIF(IGA_BD!$F:$F,$A66,IGA_BD!$V:$V)/($AA66+SUMIF(IGA_BD!$F:$F,$A66,IGA_BD!$V:$V)),"")</f>
        <v>0.9992837019305989</v>
      </c>
      <c r="R66" s="127">
        <f>IFERROR(1-SUMIF(Grid_BD!$F:$F,$A66,Grid_BD!$X:$X)/($AA66+SUMIF(Grid_BD!$F:$F,$A66,Grid_BD!$X:$X)),"")</f>
        <v>1</v>
      </c>
      <c r="S66" s="105"/>
      <c r="T66" s="122"/>
      <c r="U66" s="123"/>
      <c r="V66" s="105"/>
      <c r="W66" s="124">
        <f>IFERROR(Table13[[#This Row],[Mtr_Net_Exp (KWh)]]/(24*AR66*1000),"")</f>
        <v>0.41794871794871796</v>
      </c>
      <c r="X66" s="105">
        <f>IFERROR(_xlfn.XLOOKUP($A66,Input_Raw!$A:$A,Input_Raw!$CF:$CF),"")</f>
        <v>785959</v>
      </c>
      <c r="Y66" s="105">
        <f>IFERROR(_xlfn.XLOOKUP($A66,Input_Raw!$A:$A,Input_Raw!$CZ:$CZ),"")</f>
        <v>782400</v>
      </c>
      <c r="Z66" s="105">
        <f>IFERROR(_xlfn.XLOOKUP($A66,Input_Raw!$A:$A,Input_Raw!$DA:$DA),"")</f>
        <v>0</v>
      </c>
      <c r="AA66" s="107">
        <f t="shared" si="5"/>
        <v>782400</v>
      </c>
      <c r="AB66" s="105">
        <f>IFERROR(_xlfn.XLOOKUP($A66,Input_Raw!$A:$A,Input_Raw!$DG:$DG),"")</f>
        <v>78</v>
      </c>
      <c r="AC66" s="125">
        <f>IFERROR(_xlfn.XLOOKUP($D66,'Modelling New'!$D:$D,'Modelling New'!$J:$J),"")</f>
        <v>6.5666666666666664</v>
      </c>
      <c r="AD66" s="107">
        <f>IFERROR(_xlfn.XLOOKUP($D66,'Modelling New'!$D:$D,'Modelling New'!$T:$T)*1000,"")</f>
        <v>501275.34211348038</v>
      </c>
      <c r="AE66" s="124"/>
      <c r="AF66" s="124">
        <f>IFERROR(_xlfn.XLOOKUP($D66,'Modelling New'!$D:$D,'Modelling New'!$W:$W),"")</f>
        <v>0.26777528959053443</v>
      </c>
      <c r="AG66" s="124">
        <f>IFERROR(_xlfn.XLOOKUP($D66,'Modelling New'!$D:$D,'Modelling New'!$AE:$AE),"")</f>
        <v>0.96029999999999993</v>
      </c>
      <c r="AH66" s="124">
        <f>IFERROR(_xlfn.XLOOKUP($D66,'Modelling New'!$D:$D,'Modelling New'!$AF:$AF),"")</f>
        <v>0.995</v>
      </c>
      <c r="AI66" s="105">
        <f>IFERROR(_xlfn.XLOOKUP($A66,Input_Raw!$A:$A,Input_Raw!$DE:$DE),"")</f>
        <v>785.95</v>
      </c>
      <c r="AJ66" s="105"/>
      <c r="AK66" s="105"/>
      <c r="AL66" s="105"/>
      <c r="AM66" s="105"/>
      <c r="AN66" s="126">
        <f>IFERROR(_xlfn.XLOOKUP($A66,Input_Raw!$A:$A,Input_Raw!$DB:$DB),"")</f>
        <v>4.5282260270573804E-3</v>
      </c>
      <c r="AO66" s="124">
        <f>IFERROR((_xlfn.XLOOKUP($A66,'WTG Reactive Power'!$A:$A,'WTG Reactive Power'!$AR:$AR))/X66/1000,"")</f>
        <v>0</v>
      </c>
      <c r="AP66" s="124">
        <f>IFERROR(_xlfn.XLOOKUP($D66,'Modelling New'!$D:$D,'Modelling New'!$AK:$AK),"")</f>
        <v>0.05</v>
      </c>
      <c r="AQ66" s="124">
        <f>IFERROR(_xlfn.XLOOKUP($D66,'Modelling New'!$D:$D,'Modelling New'!$AL:$AL),"")</f>
        <v>0.05</v>
      </c>
      <c r="AR66">
        <f>IFERROR(_xlfn.XLOOKUP($D66,'Modelling New'!$D:$D,'Modelling New'!$N:$N),"")</f>
        <v>78</v>
      </c>
    </row>
    <row r="67" spans="1:44">
      <c r="A67" s="118">
        <f t="shared" si="7"/>
        <v>45810</v>
      </c>
      <c r="B67" s="107">
        <f>YEAR(Table13[[#This Row],[Date]])+IF(MONTH(Table13[[#This Row],[Date]])&gt;=4,1,0)</f>
        <v>2026</v>
      </c>
      <c r="C67" s="105">
        <f>YEAR(Table13[[#This Row],[Date]])</f>
        <v>2025</v>
      </c>
      <c r="D67" s="119">
        <f>Table13[[#This Row],[Date]]-DAY(Table13[[#This Row],[Date]])+1</f>
        <v>45809</v>
      </c>
      <c r="E67" s="105">
        <f t="shared" si="4"/>
        <v>30</v>
      </c>
      <c r="F67" s="108"/>
      <c r="G67" s="109"/>
      <c r="H67" s="109"/>
      <c r="I67" s="109"/>
      <c r="J67" s="109"/>
      <c r="K67" s="120"/>
      <c r="L67" s="109"/>
      <c r="M67" s="109">
        <f>IFERROR(_xlfn.XLOOKUP($A67,Input_Raw!$A:$A,Input_Raw!CG:CG),"")</f>
        <v>4.8151282051282047</v>
      </c>
      <c r="N67" s="109">
        <f>IFERROR(_xlfn.XLOOKUP($A67,Input_Raw!$A:$A,Input_Raw!CH:CH),"")</f>
        <v>0</v>
      </c>
      <c r="O67" s="121">
        <f t="shared" si="6"/>
        <v>0.92556107873530746</v>
      </c>
      <c r="P67" s="121">
        <f>IFERROR(1-SUMIF(WTG_BD!$F:$F,$A67,WTG_BD!$AA:$AA)/($AA67+SUMIF(WTG_BD!$F:$F,$A67,WTG_BD!$AA:$AA)),"")</f>
        <v>0.93459213356473947</v>
      </c>
      <c r="Q67" s="122">
        <f>IFERROR(1-SUMIF(IGA_BD!$F:$F,$A67,IGA_BD!$V:$V)/($AA67+SUMIF(IGA_BD!$F:$F,$A67,IGA_BD!$V:$V)),"")</f>
        <v>0.99033690258553153</v>
      </c>
      <c r="R67" s="127">
        <f>IFERROR(1-SUMIF(Grid_BD!$F:$F,$A67,Grid_BD!$X:$X)/($AA67+SUMIF(Grid_BD!$F:$F,$A67,Grid_BD!$X:$X)),"")</f>
        <v>1</v>
      </c>
      <c r="S67" s="105"/>
      <c r="T67" s="122"/>
      <c r="U67" s="123"/>
      <c r="V67" s="105"/>
      <c r="W67" s="124">
        <f>IFERROR(Table13[[#This Row],[Mtr_Net_Exp (KWh)]]/(24*AR67*1000),"")</f>
        <v>0.20256410256410257</v>
      </c>
      <c r="X67" s="105">
        <f>IFERROR(_xlfn.XLOOKUP($A67,Input_Raw!$A:$A,Input_Raw!$CF:$CF),"")</f>
        <v>381731</v>
      </c>
      <c r="Y67" s="105">
        <f>IFERROR(_xlfn.XLOOKUP($A67,Input_Raw!$A:$A,Input_Raw!$CZ:$CZ),"")</f>
        <v>379200</v>
      </c>
      <c r="Z67" s="105">
        <f>IFERROR(_xlfn.XLOOKUP($A67,Input_Raw!$A:$A,Input_Raw!$DA:$DA),"")</f>
        <v>0</v>
      </c>
      <c r="AA67" s="107">
        <f t="shared" si="5"/>
        <v>379200</v>
      </c>
      <c r="AB67" s="105">
        <f>IFERROR(_xlfn.XLOOKUP($A67,Input_Raw!$A:$A,Input_Raw!$DG:$DG),"")</f>
        <v>78</v>
      </c>
      <c r="AC67" s="125">
        <f>IFERROR(_xlfn.XLOOKUP($D67,'Modelling New'!$D:$D,'Modelling New'!$J:$J),"")</f>
        <v>6.5666666666666664</v>
      </c>
      <c r="AD67" s="107">
        <f>IFERROR(_xlfn.XLOOKUP($D67,'Modelling New'!$D:$D,'Modelling New'!$T:$T)*1000,"")</f>
        <v>501275.34211348038</v>
      </c>
      <c r="AE67" s="124"/>
      <c r="AF67" s="124">
        <f>IFERROR(_xlfn.XLOOKUP($D67,'Modelling New'!$D:$D,'Modelling New'!$W:$W),"")</f>
        <v>0.26777528959053443</v>
      </c>
      <c r="AG67" s="124">
        <f>IFERROR(_xlfn.XLOOKUP($D67,'Modelling New'!$D:$D,'Modelling New'!$AE:$AE),"")</f>
        <v>0.96029999999999993</v>
      </c>
      <c r="AH67" s="124">
        <f>IFERROR(_xlfn.XLOOKUP($D67,'Modelling New'!$D:$D,'Modelling New'!$AF:$AF),"")</f>
        <v>0.995</v>
      </c>
      <c r="AI67" s="105">
        <f>IFERROR(_xlfn.XLOOKUP($A67,Input_Raw!$A:$A,Input_Raw!$DE:$DE),"")</f>
        <v>381.73</v>
      </c>
      <c r="AJ67" s="105"/>
      <c r="AK67" s="105"/>
      <c r="AL67" s="105"/>
      <c r="AM67" s="105"/>
      <c r="AN67" s="126">
        <f>IFERROR(_xlfn.XLOOKUP($A67,Input_Raw!$A:$A,Input_Raw!$DB:$DB),"")</f>
        <v>6.6303234476634554E-3</v>
      </c>
      <c r="AO67" s="124">
        <f>IFERROR((_xlfn.XLOOKUP($A67,'WTG Reactive Power'!$A:$A,'WTG Reactive Power'!$AR:$AR))/X67/1000,"")</f>
        <v>0</v>
      </c>
      <c r="AP67" s="124">
        <f>IFERROR(_xlfn.XLOOKUP($D67,'Modelling New'!$D:$D,'Modelling New'!$AK:$AK),"")</f>
        <v>0.05</v>
      </c>
      <c r="AQ67" s="124">
        <f>IFERROR(_xlfn.XLOOKUP($D67,'Modelling New'!$D:$D,'Modelling New'!$AL:$AL),"")</f>
        <v>0.05</v>
      </c>
      <c r="AR67">
        <f>IFERROR(_xlfn.XLOOKUP($D67,'Modelling New'!$D:$D,'Modelling New'!$N:$N),"")</f>
        <v>78</v>
      </c>
    </row>
    <row r="68" spans="1:44">
      <c r="A68" s="118">
        <f t="shared" si="7"/>
        <v>45811</v>
      </c>
      <c r="B68" s="107">
        <f>YEAR(Table13[[#This Row],[Date]])+IF(MONTH(Table13[[#This Row],[Date]])&gt;=4,1,0)</f>
        <v>2026</v>
      </c>
      <c r="C68" s="105">
        <f>YEAR(Table13[[#This Row],[Date]])</f>
        <v>2025</v>
      </c>
      <c r="D68" s="119">
        <f>Table13[[#This Row],[Date]]-DAY(Table13[[#This Row],[Date]])+1</f>
        <v>45809</v>
      </c>
      <c r="E68" s="105">
        <f t="shared" si="4"/>
        <v>30</v>
      </c>
      <c r="F68" s="108"/>
      <c r="G68" s="109"/>
      <c r="H68" s="109"/>
      <c r="I68" s="109"/>
      <c r="J68" s="109"/>
      <c r="K68" s="120"/>
      <c r="L68" s="109"/>
      <c r="M68" s="109">
        <f>IFERROR(_xlfn.XLOOKUP($A68,Input_Raw!$A:$A,Input_Raw!CG:CG),"")</f>
        <v>5.25979450046166</v>
      </c>
      <c r="N68" s="109">
        <f>IFERROR(_xlfn.XLOOKUP($A68,Input_Raw!$A:$A,Input_Raw!CH:CH),"")</f>
        <v>0</v>
      </c>
      <c r="O68" s="121">
        <f t="shared" si="6"/>
        <v>0.93595020320139455</v>
      </c>
      <c r="P68" s="121">
        <f>IFERROR(1-SUMIF(WTG_BD!$F:$F,$A68,WTG_BD!$AA:$AA)/($AA68+SUMIF(WTG_BD!$F:$F,$A68,WTG_BD!$AA:$AA)),"")</f>
        <v>0.93814077972208876</v>
      </c>
      <c r="Q68" s="122">
        <f>IFERROR(1-SUMIF(IGA_BD!$F:$F,$A68,IGA_BD!$V:$V)/($AA68+SUMIF(IGA_BD!$F:$F,$A68,IGA_BD!$V:$V)),"")</f>
        <v>0.99766498102625589</v>
      </c>
      <c r="R68" s="127">
        <f>IFERROR(1-SUMIF(Grid_BD!$F:$F,$A68,Grid_BD!$X:$X)/($AA68+SUMIF(Grid_BD!$F:$F,$A68,Grid_BD!$X:$X)),"")</f>
        <v>1</v>
      </c>
      <c r="S68" s="105"/>
      <c r="T68" s="122"/>
      <c r="U68" s="123"/>
      <c r="V68" s="105"/>
      <c r="W68" s="124">
        <f>IFERROR(Table13[[#This Row],[Mtr_Net_Exp (KWh)]]/(24*AR68*1000),"")</f>
        <v>0.38846153846153847</v>
      </c>
      <c r="X68" s="105">
        <f>IFERROR(_xlfn.XLOOKUP($A68,Input_Raw!$A:$A,Input_Raw!$CF:$CF),"")</f>
        <v>730526</v>
      </c>
      <c r="Y68" s="105">
        <f>IFERROR(_xlfn.XLOOKUP($A68,Input_Raw!$A:$A,Input_Raw!$CZ:$CZ),"")</f>
        <v>727200</v>
      </c>
      <c r="Z68" s="105">
        <f>IFERROR(_xlfn.XLOOKUP($A68,Input_Raw!$A:$A,Input_Raw!$DA:$DA),"")</f>
        <v>0</v>
      </c>
      <c r="AA68" s="107">
        <f t="shared" si="5"/>
        <v>727200</v>
      </c>
      <c r="AB68" s="105">
        <f>IFERROR(_xlfn.XLOOKUP($A68,Input_Raw!$A:$A,Input_Raw!$DG:$DG),"")</f>
        <v>78</v>
      </c>
      <c r="AC68" s="125">
        <f>IFERROR(_xlfn.XLOOKUP($D68,'Modelling New'!$D:$D,'Modelling New'!$J:$J),"")</f>
        <v>6.5666666666666664</v>
      </c>
      <c r="AD68" s="107">
        <f>IFERROR(_xlfn.XLOOKUP($D68,'Modelling New'!$D:$D,'Modelling New'!$T:$T)*1000,"")</f>
        <v>501275.34211348038</v>
      </c>
      <c r="AE68" s="124"/>
      <c r="AF68" s="124">
        <f>IFERROR(_xlfn.XLOOKUP($D68,'Modelling New'!$D:$D,'Modelling New'!$W:$W),"")</f>
        <v>0.26777528959053443</v>
      </c>
      <c r="AG68" s="124">
        <f>IFERROR(_xlfn.XLOOKUP($D68,'Modelling New'!$D:$D,'Modelling New'!$AE:$AE),"")</f>
        <v>0.96029999999999993</v>
      </c>
      <c r="AH68" s="124">
        <f>IFERROR(_xlfn.XLOOKUP($D68,'Modelling New'!$D:$D,'Modelling New'!$AF:$AF),"")</f>
        <v>0.995</v>
      </c>
      <c r="AI68" s="105">
        <f>IFERROR(_xlfn.XLOOKUP($A68,Input_Raw!$A:$A,Input_Raw!$DE:$DE),"")</f>
        <v>730.52</v>
      </c>
      <c r="AJ68" s="105"/>
      <c r="AK68" s="105"/>
      <c r="AL68" s="105"/>
      <c r="AM68" s="105"/>
      <c r="AN68" s="126">
        <f>IFERROR(_xlfn.XLOOKUP($A68,Input_Raw!$A:$A,Input_Raw!$DB:$DB),"")</f>
        <v>4.5528838124857529E-3</v>
      </c>
      <c r="AO68" s="124">
        <f>IFERROR((_xlfn.XLOOKUP($A68,'WTG Reactive Power'!$A:$A,'WTG Reactive Power'!$AR:$AR))/X68/1000,"")</f>
        <v>0</v>
      </c>
      <c r="AP68" s="124">
        <f>IFERROR(_xlfn.XLOOKUP($D68,'Modelling New'!$D:$D,'Modelling New'!$AK:$AK),"")</f>
        <v>0.05</v>
      </c>
      <c r="AQ68" s="124">
        <f>IFERROR(_xlfn.XLOOKUP($D68,'Modelling New'!$D:$D,'Modelling New'!$AL:$AL),"")</f>
        <v>0.05</v>
      </c>
      <c r="AR68">
        <f>IFERROR(_xlfn.XLOOKUP($D68,'Modelling New'!$D:$D,'Modelling New'!$N:$N),"")</f>
        <v>78</v>
      </c>
    </row>
    <row r="69" spans="1:44">
      <c r="A69" s="118">
        <f t="shared" si="7"/>
        <v>45812</v>
      </c>
      <c r="B69" s="107">
        <f>YEAR(Table13[[#This Row],[Date]])+IF(MONTH(Table13[[#This Row],[Date]])&gt;=4,1,0)</f>
        <v>2026</v>
      </c>
      <c r="C69" s="105">
        <f>YEAR(Table13[[#This Row],[Date]])</f>
        <v>2025</v>
      </c>
      <c r="D69" s="119">
        <f>Table13[[#This Row],[Date]]-DAY(Table13[[#This Row],[Date]])+1</f>
        <v>45809</v>
      </c>
      <c r="E69" s="105">
        <f t="shared" si="4"/>
        <v>30</v>
      </c>
      <c r="F69" s="108"/>
      <c r="G69" s="109"/>
      <c r="H69" s="109"/>
      <c r="I69" s="109"/>
      <c r="J69" s="109"/>
      <c r="K69" s="120"/>
      <c r="L69" s="109"/>
      <c r="M69" s="109">
        <f>IFERROR(_xlfn.XLOOKUP($A69,Input_Raw!$A:$A,Input_Raw!CG:CG),"")</f>
        <v>3.885204939707056</v>
      </c>
      <c r="N69" s="109">
        <f>IFERROR(_xlfn.XLOOKUP($A69,Input_Raw!$A:$A,Input_Raw!CH:CH),"")</f>
        <v>0</v>
      </c>
      <c r="O69" s="121">
        <f t="shared" si="6"/>
        <v>0.84607777432884912</v>
      </c>
      <c r="P69" s="121">
        <f>IFERROR(1-SUMIF(WTG_BD!$F:$F,$A69,WTG_BD!$AA:$AA)/($AA69+SUMIF(WTG_BD!$F:$F,$A69,WTG_BD!$AA:$AA)),"")</f>
        <v>0.96744325953488453</v>
      </c>
      <c r="Q69" s="122">
        <f>IFERROR(1-SUMIF(IGA_BD!$F:$F,$A69,IGA_BD!$V:$V)/($AA69+SUMIF(IGA_BD!$F:$F,$A69,IGA_BD!$V:$V)),"")</f>
        <v>0.87455028084604769</v>
      </c>
      <c r="R69" s="127">
        <f>IFERROR(1-SUMIF(Grid_BD!$F:$F,$A69,Grid_BD!$X:$X)/($AA69+SUMIF(Grid_BD!$F:$F,$A69,Grid_BD!$X:$X)),"")</f>
        <v>1</v>
      </c>
      <c r="S69" s="105"/>
      <c r="T69" s="122"/>
      <c r="U69" s="123"/>
      <c r="V69" s="105"/>
      <c r="W69" s="124">
        <f>IFERROR(Table13[[#This Row],[Mtr_Net_Exp (KWh)]]/(24*AR69*1000),"")</f>
        <v>8.3974358974358967E-2</v>
      </c>
      <c r="X69" s="105">
        <f>IFERROR(_xlfn.XLOOKUP($A69,Input_Raw!$A:$A,Input_Raw!$CF:$CF),"")</f>
        <v>161209</v>
      </c>
      <c r="Y69" s="105">
        <f>IFERROR(_xlfn.XLOOKUP($A69,Input_Raw!$A:$A,Input_Raw!$CZ:$CZ),"")</f>
        <v>157200</v>
      </c>
      <c r="Z69" s="105">
        <f>IFERROR(_xlfn.XLOOKUP($A69,Input_Raw!$A:$A,Input_Raw!$DA:$DA),"")</f>
        <v>0</v>
      </c>
      <c r="AA69" s="107">
        <f t="shared" si="5"/>
        <v>157200</v>
      </c>
      <c r="AB69" s="105">
        <f>IFERROR(_xlfn.XLOOKUP($A69,Input_Raw!$A:$A,Input_Raw!$DG:$DG),"")</f>
        <v>78</v>
      </c>
      <c r="AC69" s="125">
        <f>IFERROR(_xlfn.XLOOKUP($D69,'Modelling New'!$D:$D,'Modelling New'!$J:$J),"")</f>
        <v>6.5666666666666664</v>
      </c>
      <c r="AD69" s="107">
        <f>IFERROR(_xlfn.XLOOKUP($D69,'Modelling New'!$D:$D,'Modelling New'!$T:$T)*1000,"")</f>
        <v>501275.34211348038</v>
      </c>
      <c r="AE69" s="124"/>
      <c r="AF69" s="124">
        <f>IFERROR(_xlfn.XLOOKUP($D69,'Modelling New'!$D:$D,'Modelling New'!$W:$W),"")</f>
        <v>0.26777528959053443</v>
      </c>
      <c r="AG69" s="124">
        <f>IFERROR(_xlfn.XLOOKUP($D69,'Modelling New'!$D:$D,'Modelling New'!$AE:$AE),"")</f>
        <v>0.96029999999999993</v>
      </c>
      <c r="AH69" s="124">
        <f>IFERROR(_xlfn.XLOOKUP($D69,'Modelling New'!$D:$D,'Modelling New'!$AF:$AF),"")</f>
        <v>0.995</v>
      </c>
      <c r="AI69" s="105">
        <f>IFERROR(_xlfn.XLOOKUP($A69,Input_Raw!$A:$A,Input_Raw!$DE:$DE),"")</f>
        <v>161.19999999999999</v>
      </c>
      <c r="AJ69" s="105"/>
      <c r="AK69" s="105"/>
      <c r="AL69" s="105"/>
      <c r="AM69" s="105"/>
      <c r="AN69" s="126">
        <f>IFERROR(_xlfn.XLOOKUP($A69,Input_Raw!$A:$A,Input_Raw!$DB:$DB),"")</f>
        <v>2.486833861633031E-2</v>
      </c>
      <c r="AO69" s="124">
        <f>IFERROR((_xlfn.XLOOKUP($A69,'WTG Reactive Power'!$A:$A,'WTG Reactive Power'!$AR:$AR))/X69/1000,"")</f>
        <v>1.4918521918751436E-5</v>
      </c>
      <c r="AP69" s="124">
        <f>IFERROR(_xlfn.XLOOKUP($D69,'Modelling New'!$D:$D,'Modelling New'!$AK:$AK),"")</f>
        <v>0.05</v>
      </c>
      <c r="AQ69" s="124">
        <f>IFERROR(_xlfn.XLOOKUP($D69,'Modelling New'!$D:$D,'Modelling New'!$AL:$AL),"")</f>
        <v>0.05</v>
      </c>
      <c r="AR69">
        <f>IFERROR(_xlfn.XLOOKUP($D69,'Modelling New'!$D:$D,'Modelling New'!$N:$N),"")</f>
        <v>78</v>
      </c>
    </row>
    <row r="70" spans="1:44">
      <c r="A70" s="118">
        <f t="shared" si="7"/>
        <v>45813</v>
      </c>
      <c r="B70" s="107">
        <f>YEAR(Table13[[#This Row],[Date]])+IF(MONTH(Table13[[#This Row],[Date]])&gt;=4,1,0)</f>
        <v>2026</v>
      </c>
      <c r="C70" s="105">
        <f>YEAR(Table13[[#This Row],[Date]])</f>
        <v>2025</v>
      </c>
      <c r="D70" s="119">
        <f>Table13[[#This Row],[Date]]-DAY(Table13[[#This Row],[Date]])+1</f>
        <v>45809</v>
      </c>
      <c r="E70" s="105">
        <f t="shared" si="4"/>
        <v>30</v>
      </c>
      <c r="F70" s="108"/>
      <c r="G70" s="109"/>
      <c r="H70" s="109"/>
      <c r="I70" s="109"/>
      <c r="J70" s="109"/>
      <c r="K70" s="120"/>
      <c r="L70" s="109"/>
      <c r="M70" s="109">
        <f>IFERROR(_xlfn.XLOOKUP($A70,Input_Raw!$A:$A,Input_Raw!CG:CG),"")</f>
        <v>4.6823076923076918</v>
      </c>
      <c r="N70" s="109">
        <f>IFERROR(_xlfn.XLOOKUP($A70,Input_Raw!$A:$A,Input_Raw!CH:CH),"")</f>
        <v>0</v>
      </c>
      <c r="O70" s="121">
        <f t="shared" si="6"/>
        <v>0.93772308578127006</v>
      </c>
      <c r="P70" s="121">
        <f>IFERROR(1-SUMIF(WTG_BD!$F:$F,$A70,WTG_BD!$AA:$AA)/($AA70+SUMIF(WTG_BD!$F:$F,$A70,WTG_BD!$AA:$AA)),"")</f>
        <v>0.93772308578127006</v>
      </c>
      <c r="Q70" s="122">
        <f>IFERROR(1-SUMIF(IGA_BD!$F:$F,$A70,IGA_BD!$V:$V)/($AA70+SUMIF(IGA_BD!$F:$F,$A70,IGA_BD!$V:$V)),"")</f>
        <v>1</v>
      </c>
      <c r="R70" s="127">
        <f>IFERROR(1-SUMIF(Grid_BD!$F:$F,$A70,Grid_BD!$X:$X)/($AA70+SUMIF(Grid_BD!$F:$F,$A70,Grid_BD!$X:$X)),"")</f>
        <v>1</v>
      </c>
      <c r="S70" s="105"/>
      <c r="T70" s="122"/>
      <c r="U70" s="123"/>
      <c r="V70" s="105"/>
      <c r="W70" s="124">
        <f>IFERROR(Table13[[#This Row],[Mtr_Net_Exp (KWh)]]/(24*AR70*1000),"")</f>
        <v>0.14423076923076922</v>
      </c>
      <c r="X70" s="105">
        <f>IFERROR(_xlfn.XLOOKUP($A70,Input_Raw!$A:$A,Input_Raw!$CF:$CF),"")</f>
        <v>275124</v>
      </c>
      <c r="Y70" s="105">
        <f>IFERROR(_xlfn.XLOOKUP($A70,Input_Raw!$A:$A,Input_Raw!$CZ:$CZ),"")</f>
        <v>272400</v>
      </c>
      <c r="Z70" s="105">
        <f>IFERROR(_xlfn.XLOOKUP($A70,Input_Raw!$A:$A,Input_Raw!$DA:$DA),"")</f>
        <v>2400</v>
      </c>
      <c r="AA70" s="107">
        <f t="shared" si="5"/>
        <v>270000</v>
      </c>
      <c r="AB70" s="105">
        <f>IFERROR(_xlfn.XLOOKUP($A70,Input_Raw!$A:$A,Input_Raw!$DG:$DG),"")</f>
        <v>78</v>
      </c>
      <c r="AC70" s="125">
        <f>IFERROR(_xlfn.XLOOKUP($D70,'Modelling New'!$D:$D,'Modelling New'!$J:$J),"")</f>
        <v>6.5666666666666664</v>
      </c>
      <c r="AD70" s="107">
        <f>IFERROR(_xlfn.XLOOKUP($D70,'Modelling New'!$D:$D,'Modelling New'!$T:$T)*1000,"")</f>
        <v>501275.34211348038</v>
      </c>
      <c r="AE70" s="124"/>
      <c r="AF70" s="124">
        <f>IFERROR(_xlfn.XLOOKUP($D70,'Modelling New'!$D:$D,'Modelling New'!$W:$W),"")</f>
        <v>0.26777528959053443</v>
      </c>
      <c r="AG70" s="124">
        <f>IFERROR(_xlfn.XLOOKUP($D70,'Modelling New'!$D:$D,'Modelling New'!$AE:$AE),"")</f>
        <v>0.96029999999999993</v>
      </c>
      <c r="AH70" s="124">
        <f>IFERROR(_xlfn.XLOOKUP($D70,'Modelling New'!$D:$D,'Modelling New'!$AF:$AF),"")</f>
        <v>0.995</v>
      </c>
      <c r="AI70" s="105">
        <f>IFERROR(_xlfn.XLOOKUP($A70,Input_Raw!$A:$A,Input_Raw!$DE:$DE),"")</f>
        <v>275.12</v>
      </c>
      <c r="AJ70" s="105"/>
      <c r="AK70" s="105"/>
      <c r="AL70" s="105"/>
      <c r="AM70" s="105"/>
      <c r="AN70" s="126">
        <f>IFERROR(_xlfn.XLOOKUP($A70,Input_Raw!$A:$A,Input_Raw!$DB:$DB),"")</f>
        <v>9.9009900990099098E-3</v>
      </c>
      <c r="AO70" s="124">
        <f>IFERROR((_xlfn.XLOOKUP($A70,'WTG Reactive Power'!$A:$A,'WTG Reactive Power'!$AR:$AR))/X70/1000,"")</f>
        <v>2.1921024701589101E-5</v>
      </c>
      <c r="AP70" s="124">
        <f>IFERROR(_xlfn.XLOOKUP($D70,'Modelling New'!$D:$D,'Modelling New'!$AK:$AK),"")</f>
        <v>0.05</v>
      </c>
      <c r="AQ70" s="124">
        <f>IFERROR(_xlfn.XLOOKUP($D70,'Modelling New'!$D:$D,'Modelling New'!$AL:$AL),"")</f>
        <v>0.05</v>
      </c>
      <c r="AR70">
        <f>IFERROR(_xlfn.XLOOKUP($D70,'Modelling New'!$D:$D,'Modelling New'!$N:$N),"")</f>
        <v>78</v>
      </c>
    </row>
    <row r="71" spans="1:44">
      <c r="A71" s="118">
        <f t="shared" si="7"/>
        <v>45814</v>
      </c>
      <c r="B71" s="107">
        <f>YEAR(Table13[[#This Row],[Date]])+IF(MONTH(Table13[[#This Row],[Date]])&gt;=4,1,0)</f>
        <v>2026</v>
      </c>
      <c r="C71" s="105">
        <f>YEAR(Table13[[#This Row],[Date]])</f>
        <v>2025</v>
      </c>
      <c r="D71" s="119">
        <f>Table13[[#This Row],[Date]]-DAY(Table13[[#This Row],[Date]])+1</f>
        <v>45809</v>
      </c>
      <c r="E71" s="105">
        <f t="shared" si="4"/>
        <v>30</v>
      </c>
      <c r="F71" s="108"/>
      <c r="G71" s="109"/>
      <c r="H71" s="109"/>
      <c r="I71" s="109"/>
      <c r="J71" s="109"/>
      <c r="K71" s="120"/>
      <c r="L71" s="109"/>
      <c r="M71" s="109">
        <f>IFERROR(_xlfn.XLOOKUP($A71,Input_Raw!$A:$A,Input_Raw!CG:CG),"")</f>
        <v>4.8151282051282047</v>
      </c>
      <c r="N71" s="109">
        <f>IFERROR(_xlfn.XLOOKUP($A71,Input_Raw!$A:$A,Input_Raw!CH:CH),"")</f>
        <v>0</v>
      </c>
      <c r="O71" s="121">
        <f t="shared" si="6"/>
        <v>0.94185200892899668</v>
      </c>
      <c r="P71" s="121">
        <f>IFERROR(1-SUMIF(WTG_BD!$F:$F,$A71,WTG_BD!$AA:$AA)/($AA71+SUMIF(WTG_BD!$F:$F,$A71,WTG_BD!$AA:$AA)),"")</f>
        <v>0.94185200892899668</v>
      </c>
      <c r="Q71" s="122">
        <f>IFERROR(1-SUMIF(IGA_BD!$F:$F,$A71,IGA_BD!$V:$V)/($AA71+SUMIF(IGA_BD!$F:$F,$A71,IGA_BD!$V:$V)),"")</f>
        <v>1</v>
      </c>
      <c r="R71" s="127">
        <f>IFERROR(1-SUMIF(Grid_BD!$F:$F,$A71,Grid_BD!$X:$X)/($AA71+SUMIF(Grid_BD!$F:$F,$A71,Grid_BD!$X:$X)),"")</f>
        <v>1</v>
      </c>
      <c r="S71" s="105"/>
      <c r="T71" s="122"/>
      <c r="U71" s="123"/>
      <c r="V71" s="105"/>
      <c r="W71" s="124">
        <f>IFERROR(Table13[[#This Row],[Mtr_Net_Exp (KWh)]]/(24*AR71*1000),"")</f>
        <v>0.21217948717948718</v>
      </c>
      <c r="X71" s="105">
        <f>IFERROR(_xlfn.XLOOKUP($A71,Input_Raw!$A:$A,Input_Raw!$CF:$CF),"")</f>
        <v>409156</v>
      </c>
      <c r="Y71" s="105">
        <f>IFERROR(_xlfn.XLOOKUP($A71,Input_Raw!$A:$A,Input_Raw!$CZ:$CZ),"")</f>
        <v>397200</v>
      </c>
      <c r="Z71" s="105">
        <f>IFERROR(_xlfn.XLOOKUP($A71,Input_Raw!$A:$A,Input_Raw!$DA:$DA),"")</f>
        <v>0</v>
      </c>
      <c r="AA71" s="107">
        <f t="shared" si="5"/>
        <v>397200</v>
      </c>
      <c r="AB71" s="105">
        <f>IFERROR(_xlfn.XLOOKUP($A71,Input_Raw!$A:$A,Input_Raw!$DG:$DG),"")</f>
        <v>78</v>
      </c>
      <c r="AC71" s="125">
        <f>IFERROR(_xlfn.XLOOKUP($D71,'Modelling New'!$D:$D,'Modelling New'!$J:$J),"")</f>
        <v>6.5666666666666664</v>
      </c>
      <c r="AD71" s="107">
        <f>IFERROR(_xlfn.XLOOKUP($D71,'Modelling New'!$D:$D,'Modelling New'!$T:$T)*1000,"")</f>
        <v>501275.34211348038</v>
      </c>
      <c r="AE71" s="124"/>
      <c r="AF71" s="124">
        <f>IFERROR(_xlfn.XLOOKUP($D71,'Modelling New'!$D:$D,'Modelling New'!$W:$W),"")</f>
        <v>0.26777528959053443</v>
      </c>
      <c r="AG71" s="124">
        <f>IFERROR(_xlfn.XLOOKUP($D71,'Modelling New'!$D:$D,'Modelling New'!$AE:$AE),"")</f>
        <v>0.96029999999999993</v>
      </c>
      <c r="AH71" s="124">
        <f>IFERROR(_xlfn.XLOOKUP($D71,'Modelling New'!$D:$D,'Modelling New'!$AF:$AF),"")</f>
        <v>0.995</v>
      </c>
      <c r="AI71" s="105">
        <f>IFERROR(_xlfn.XLOOKUP($A71,Input_Raw!$A:$A,Input_Raw!$DE:$DE),"")</f>
        <v>409.15</v>
      </c>
      <c r="AJ71" s="105"/>
      <c r="AK71" s="105"/>
      <c r="AL71" s="105"/>
      <c r="AM71" s="105"/>
      <c r="AN71" s="126">
        <f>IFERROR(_xlfn.XLOOKUP($A71,Input_Raw!$A:$A,Input_Raw!$DB:$DB),"")</f>
        <v>2.9221128371574645E-2</v>
      </c>
      <c r="AO71" s="124">
        <f>IFERROR((_xlfn.XLOOKUP($A71,'WTG Reactive Power'!$A:$A,'WTG Reactive Power'!$AR:$AR))/X71/1000,"")</f>
        <v>2.9841918485858692E-6</v>
      </c>
      <c r="AP71" s="124">
        <f>IFERROR(_xlfn.XLOOKUP($D71,'Modelling New'!$D:$D,'Modelling New'!$AK:$AK),"")</f>
        <v>0.05</v>
      </c>
      <c r="AQ71" s="124">
        <f>IFERROR(_xlfn.XLOOKUP($D71,'Modelling New'!$D:$D,'Modelling New'!$AL:$AL),"")</f>
        <v>0.05</v>
      </c>
      <c r="AR71">
        <f>IFERROR(_xlfn.XLOOKUP($D71,'Modelling New'!$D:$D,'Modelling New'!$N:$N),"")</f>
        <v>78</v>
      </c>
    </row>
    <row r="72" spans="1:44">
      <c r="A72" s="118">
        <f t="shared" si="7"/>
        <v>45815</v>
      </c>
      <c r="B72" s="107">
        <f>YEAR(Table13[[#This Row],[Date]])+IF(MONTH(Table13[[#This Row],[Date]])&gt;=4,1,0)</f>
        <v>2026</v>
      </c>
      <c r="C72" s="105">
        <f>YEAR(Table13[[#This Row],[Date]])</f>
        <v>2025</v>
      </c>
      <c r="D72" s="119">
        <f>Table13[[#This Row],[Date]]-DAY(Table13[[#This Row],[Date]])+1</f>
        <v>45809</v>
      </c>
      <c r="E72" s="105">
        <f t="shared" si="4"/>
        <v>30</v>
      </c>
      <c r="F72" s="108"/>
      <c r="G72" s="109"/>
      <c r="H72" s="109"/>
      <c r="I72" s="109"/>
      <c r="J72" s="109"/>
      <c r="K72" s="120"/>
      <c r="L72" s="109"/>
      <c r="M72" s="109">
        <f>IFERROR(_xlfn.XLOOKUP($A72,Input_Raw!$A:$A,Input_Raw!CG:CG),"")</f>
        <v>5.25979450046166</v>
      </c>
      <c r="N72" s="109">
        <f>IFERROR(_xlfn.XLOOKUP($A72,Input_Raw!$A:$A,Input_Raw!CH:CH),"")</f>
        <v>0</v>
      </c>
      <c r="O72" s="121">
        <f t="shared" si="6"/>
        <v>0.94307511083610718</v>
      </c>
      <c r="P72" s="121">
        <f>IFERROR(1-SUMIF(WTG_BD!$F:$F,$A72,WTG_BD!$AA:$AA)/($AA72+SUMIF(WTG_BD!$F:$F,$A72,WTG_BD!$AA:$AA)),"")</f>
        <v>0.94307511083610718</v>
      </c>
      <c r="Q72" s="122">
        <f>IFERROR(1-SUMIF(IGA_BD!$F:$F,$A72,IGA_BD!$V:$V)/($AA72+SUMIF(IGA_BD!$F:$F,$A72,IGA_BD!$V:$V)),"")</f>
        <v>1</v>
      </c>
      <c r="R72" s="127">
        <f>IFERROR(1-SUMIF(Grid_BD!$F:$F,$A72,Grid_BD!$X:$X)/($AA72+SUMIF(Grid_BD!$F:$F,$A72,Grid_BD!$X:$X)),"")</f>
        <v>1</v>
      </c>
      <c r="S72" s="105"/>
      <c r="T72" s="122"/>
      <c r="U72" s="123"/>
      <c r="V72" s="105"/>
      <c r="W72" s="124">
        <f>IFERROR(Table13[[#This Row],[Mtr_Net_Exp (KWh)]]/(24*AR72*1000),"")</f>
        <v>0.2935897435897436</v>
      </c>
      <c r="X72" s="105">
        <f>IFERROR(_xlfn.XLOOKUP($A72,Input_Raw!$A:$A,Input_Raw!$CF:$CF),"")</f>
        <v>551667</v>
      </c>
      <c r="Y72" s="105">
        <f>IFERROR(_xlfn.XLOOKUP($A72,Input_Raw!$A:$A,Input_Raw!$CZ:$CZ),"")</f>
        <v>549600</v>
      </c>
      <c r="Z72" s="105">
        <f>IFERROR(_xlfn.XLOOKUP($A72,Input_Raw!$A:$A,Input_Raw!$DA:$DA),"")</f>
        <v>0</v>
      </c>
      <c r="AA72" s="107">
        <f t="shared" si="5"/>
        <v>549600</v>
      </c>
      <c r="AB72" s="105">
        <f>IFERROR(_xlfn.XLOOKUP($A72,Input_Raw!$A:$A,Input_Raw!$DG:$DG),"")</f>
        <v>78</v>
      </c>
      <c r="AC72" s="125">
        <f>IFERROR(_xlfn.XLOOKUP($D72,'Modelling New'!$D:$D,'Modelling New'!$J:$J),"")</f>
        <v>6.5666666666666664</v>
      </c>
      <c r="AD72" s="107">
        <f>IFERROR(_xlfn.XLOOKUP($D72,'Modelling New'!$D:$D,'Modelling New'!$T:$T)*1000,"")</f>
        <v>501275.34211348038</v>
      </c>
      <c r="AE72" s="124"/>
      <c r="AF72" s="124">
        <f>IFERROR(_xlfn.XLOOKUP($D72,'Modelling New'!$D:$D,'Modelling New'!$W:$W),"")</f>
        <v>0.26777528959053443</v>
      </c>
      <c r="AG72" s="124">
        <f>IFERROR(_xlfn.XLOOKUP($D72,'Modelling New'!$D:$D,'Modelling New'!$AE:$AE),"")</f>
        <v>0.96029999999999993</v>
      </c>
      <c r="AH72" s="124">
        <f>IFERROR(_xlfn.XLOOKUP($D72,'Modelling New'!$D:$D,'Modelling New'!$AF:$AF),"")</f>
        <v>0.995</v>
      </c>
      <c r="AI72" s="105">
        <f>IFERROR(_xlfn.XLOOKUP($A72,Input_Raw!$A:$A,Input_Raw!$DE:$DE),"")</f>
        <v>551.66</v>
      </c>
      <c r="AJ72" s="105"/>
      <c r="AK72" s="105"/>
      <c r="AL72" s="105"/>
      <c r="AM72" s="105"/>
      <c r="AN72" s="126">
        <f>IFERROR(_xlfn.XLOOKUP($A72,Input_Raw!$A:$A,Input_Raw!$DB:$DB),"")</f>
        <v>3.7468255306190024E-3</v>
      </c>
      <c r="AO72" s="124">
        <f>IFERROR((_xlfn.XLOOKUP($A72,'WTG Reactive Power'!$A:$A,'WTG Reactive Power'!$AR:$AR))/X72/1000,"")</f>
        <v>0</v>
      </c>
      <c r="AP72" s="124">
        <f>IFERROR(_xlfn.XLOOKUP($D72,'Modelling New'!$D:$D,'Modelling New'!$AK:$AK),"")</f>
        <v>0.05</v>
      </c>
      <c r="AQ72" s="124">
        <f>IFERROR(_xlfn.XLOOKUP($D72,'Modelling New'!$D:$D,'Modelling New'!$AL:$AL),"")</f>
        <v>0.05</v>
      </c>
      <c r="AR72">
        <f>IFERROR(_xlfn.XLOOKUP($D72,'Modelling New'!$D:$D,'Modelling New'!$N:$N),"")</f>
        <v>78</v>
      </c>
    </row>
    <row r="73" spans="1:44">
      <c r="A73" s="118">
        <f t="shared" si="7"/>
        <v>45816</v>
      </c>
      <c r="B73" s="107">
        <f>YEAR(Table13[[#This Row],[Date]])+IF(MONTH(Table13[[#This Row],[Date]])&gt;=4,1,0)</f>
        <v>2026</v>
      </c>
      <c r="C73" s="105">
        <f>YEAR(Table13[[#This Row],[Date]])</f>
        <v>2025</v>
      </c>
      <c r="D73" s="119">
        <f>Table13[[#This Row],[Date]]-DAY(Table13[[#This Row],[Date]])+1</f>
        <v>45809</v>
      </c>
      <c r="E73" s="105">
        <f t="shared" si="4"/>
        <v>30</v>
      </c>
      <c r="F73" s="108"/>
      <c r="G73" s="109"/>
      <c r="H73" s="109"/>
      <c r="I73" s="109"/>
      <c r="J73" s="109"/>
      <c r="K73" s="120"/>
      <c r="L73" s="109"/>
      <c r="M73" s="109">
        <f>IFERROR(_xlfn.XLOOKUP($A73,Input_Raw!$A:$A,Input_Raw!CG:CG),"")</f>
        <v>5.4376923076923074</v>
      </c>
      <c r="N73" s="109">
        <f>IFERROR(_xlfn.XLOOKUP($A73,Input_Raw!$A:$A,Input_Raw!CH:CH),"")</f>
        <v>0</v>
      </c>
      <c r="O73" s="121">
        <f t="shared" si="6"/>
        <v>0.93821152725936574</v>
      </c>
      <c r="P73" s="121">
        <f>IFERROR(1-SUMIF(WTG_BD!$F:$F,$A73,WTG_BD!$AA:$AA)/($AA73+SUMIF(WTG_BD!$F:$F,$A73,WTG_BD!$AA:$AA)),"")</f>
        <v>0.95679966331378263</v>
      </c>
      <c r="Q73" s="122">
        <f>IFERROR(1-SUMIF(IGA_BD!$F:$F,$A73,IGA_BD!$V:$V)/($AA73+SUMIF(IGA_BD!$F:$F,$A73,IGA_BD!$V:$V)),"")</f>
        <v>0.98057259344130754</v>
      </c>
      <c r="R73" s="127">
        <f>IFERROR(1-SUMIF(Grid_BD!$F:$F,$A73,Grid_BD!$X:$X)/($AA73+SUMIF(Grid_BD!$F:$F,$A73,Grid_BD!$X:$X)),"")</f>
        <v>1</v>
      </c>
      <c r="S73" s="105"/>
      <c r="T73" s="122"/>
      <c r="U73" s="123"/>
      <c r="V73" s="105"/>
      <c r="W73" s="124">
        <f>IFERROR(Table13[[#This Row],[Mtr_Net_Exp (KWh)]]/(24*AR73*1000),"")</f>
        <v>0.30192307692307691</v>
      </c>
      <c r="X73" s="105">
        <f>IFERROR(_xlfn.XLOOKUP($A73,Input_Raw!$A:$A,Input_Raw!$CF:$CF),"")</f>
        <v>567412</v>
      </c>
      <c r="Y73" s="105">
        <f>IFERROR(_xlfn.XLOOKUP($A73,Input_Raw!$A:$A,Input_Raw!$CZ:$CZ),"")</f>
        <v>565200</v>
      </c>
      <c r="Z73" s="105">
        <f>IFERROR(_xlfn.XLOOKUP($A73,Input_Raw!$A:$A,Input_Raw!$DA:$DA),"")</f>
        <v>0</v>
      </c>
      <c r="AA73" s="107">
        <f t="shared" si="5"/>
        <v>565200</v>
      </c>
      <c r="AB73" s="105">
        <f>IFERROR(_xlfn.XLOOKUP($A73,Input_Raw!$A:$A,Input_Raw!$DG:$DG),"")</f>
        <v>78</v>
      </c>
      <c r="AC73" s="125">
        <f>IFERROR(_xlfn.XLOOKUP($D73,'Modelling New'!$D:$D,'Modelling New'!$J:$J),"")</f>
        <v>6.5666666666666664</v>
      </c>
      <c r="AD73" s="107">
        <f>IFERROR(_xlfn.XLOOKUP($D73,'Modelling New'!$D:$D,'Modelling New'!$T:$T)*1000,"")</f>
        <v>501275.34211348038</v>
      </c>
      <c r="AE73" s="124"/>
      <c r="AF73" s="124">
        <f>IFERROR(_xlfn.XLOOKUP($D73,'Modelling New'!$D:$D,'Modelling New'!$W:$W),"")</f>
        <v>0.26777528959053443</v>
      </c>
      <c r="AG73" s="124">
        <f>IFERROR(_xlfn.XLOOKUP($D73,'Modelling New'!$D:$D,'Modelling New'!$AE:$AE),"")</f>
        <v>0.96029999999999993</v>
      </c>
      <c r="AH73" s="124">
        <f>IFERROR(_xlfn.XLOOKUP($D73,'Modelling New'!$D:$D,'Modelling New'!$AF:$AF),"")</f>
        <v>0.995</v>
      </c>
      <c r="AI73" s="105">
        <f>IFERROR(_xlfn.XLOOKUP($A73,Input_Raw!$A:$A,Input_Raw!$DE:$DE),"")</f>
        <v>567.41</v>
      </c>
      <c r="AJ73" s="105"/>
      <c r="AK73" s="105"/>
      <c r="AL73" s="105"/>
      <c r="AM73" s="105"/>
      <c r="AN73" s="126">
        <f>IFERROR(_xlfn.XLOOKUP($A73,Input_Raw!$A:$A,Input_Raw!$DB:$DB),"")</f>
        <v>3.8984018667211906E-3</v>
      </c>
      <c r="AO73" s="124">
        <f>IFERROR((_xlfn.XLOOKUP($A73,'WTG Reactive Power'!$A:$A,'WTG Reactive Power'!$AR:$AR))/X73/1000,"")</f>
        <v>2.1518755331223168E-6</v>
      </c>
      <c r="AP73" s="124">
        <f>IFERROR(_xlfn.XLOOKUP($D73,'Modelling New'!$D:$D,'Modelling New'!$AK:$AK),"")</f>
        <v>0.05</v>
      </c>
      <c r="AQ73" s="124">
        <f>IFERROR(_xlfn.XLOOKUP($D73,'Modelling New'!$D:$D,'Modelling New'!$AL:$AL),"")</f>
        <v>0.05</v>
      </c>
      <c r="AR73">
        <f>IFERROR(_xlfn.XLOOKUP($D73,'Modelling New'!$D:$D,'Modelling New'!$N:$N),"")</f>
        <v>78</v>
      </c>
    </row>
    <row r="74" spans="1:44">
      <c r="A74" s="118">
        <f t="shared" si="7"/>
        <v>45817</v>
      </c>
      <c r="B74" s="107">
        <f>YEAR(Table13[[#This Row],[Date]])+IF(MONTH(Table13[[#This Row],[Date]])&gt;=4,1,0)</f>
        <v>2026</v>
      </c>
      <c r="C74" s="105">
        <f>YEAR(Table13[[#This Row],[Date]])</f>
        <v>2025</v>
      </c>
      <c r="D74" s="119">
        <f>Table13[[#This Row],[Date]]-DAY(Table13[[#This Row],[Date]])+1</f>
        <v>45809</v>
      </c>
      <c r="E74" s="105">
        <f t="shared" si="4"/>
        <v>30</v>
      </c>
      <c r="F74" s="108"/>
      <c r="G74" s="109"/>
      <c r="H74" s="109"/>
      <c r="I74" s="109"/>
      <c r="J74" s="109"/>
      <c r="K74" s="120"/>
      <c r="L74" s="109"/>
      <c r="M74" s="109">
        <f>IFERROR(_xlfn.XLOOKUP($A74,Input_Raw!$A:$A,Input_Raw!CG:CG),"")</f>
        <v>6.9443589743589742</v>
      </c>
      <c r="N74" s="109">
        <f>IFERROR(_xlfn.XLOOKUP($A74,Input_Raw!$A:$A,Input_Raw!CH:CH),"")</f>
        <v>0</v>
      </c>
      <c r="O74" s="121">
        <f t="shared" si="6"/>
        <v>0.9359912699702172</v>
      </c>
      <c r="P74" s="121">
        <f>IFERROR(1-SUMIF(WTG_BD!$F:$F,$A74,WTG_BD!$AA:$AA)/($AA74+SUMIF(WTG_BD!$F:$F,$A74,WTG_BD!$AA:$AA)),"")</f>
        <v>0.9359912699702172</v>
      </c>
      <c r="Q74" s="122">
        <f>IFERROR(1-SUMIF(IGA_BD!$F:$F,$A74,IGA_BD!$V:$V)/($AA74+SUMIF(IGA_BD!$F:$F,$A74,IGA_BD!$V:$V)),"")</f>
        <v>1</v>
      </c>
      <c r="R74" s="127">
        <f>IFERROR(1-SUMIF(Grid_BD!$F:$F,$A74,Grid_BD!$X:$X)/($AA74+SUMIF(Grid_BD!$F:$F,$A74,Grid_BD!$X:$X)),"")</f>
        <v>1</v>
      </c>
      <c r="S74" s="105"/>
      <c r="T74" s="122"/>
      <c r="U74" s="123"/>
      <c r="V74" s="105"/>
      <c r="W74" s="124">
        <f>IFERROR(Table13[[#This Row],[Mtr_Net_Exp (KWh)]]/(24*AR74*1000),"")</f>
        <v>0.44038461538461537</v>
      </c>
      <c r="X74" s="105">
        <f>IFERROR(_xlfn.XLOOKUP($A74,Input_Raw!$A:$A,Input_Raw!$CF:$CF),"")</f>
        <v>826022</v>
      </c>
      <c r="Y74" s="105">
        <f>IFERROR(_xlfn.XLOOKUP($A74,Input_Raw!$A:$A,Input_Raw!$CZ:$CZ),"")</f>
        <v>824400</v>
      </c>
      <c r="Z74" s="105">
        <f>IFERROR(_xlfn.XLOOKUP($A74,Input_Raw!$A:$A,Input_Raw!$DA:$DA),"")</f>
        <v>0</v>
      </c>
      <c r="AA74" s="107">
        <f t="shared" si="5"/>
        <v>824400</v>
      </c>
      <c r="AB74" s="105">
        <f>IFERROR(_xlfn.XLOOKUP($A74,Input_Raw!$A:$A,Input_Raw!$DG:$DG),"")</f>
        <v>78</v>
      </c>
      <c r="AC74" s="125">
        <f>IFERROR(_xlfn.XLOOKUP($D74,'Modelling New'!$D:$D,'Modelling New'!$J:$J),"")</f>
        <v>6.5666666666666664</v>
      </c>
      <c r="AD74" s="107">
        <f>IFERROR(_xlfn.XLOOKUP($D74,'Modelling New'!$D:$D,'Modelling New'!$T:$T)*1000,"")</f>
        <v>501275.34211348038</v>
      </c>
      <c r="AE74" s="124"/>
      <c r="AF74" s="124">
        <f>IFERROR(_xlfn.XLOOKUP($D74,'Modelling New'!$D:$D,'Modelling New'!$W:$W),"")</f>
        <v>0.26777528959053443</v>
      </c>
      <c r="AG74" s="124">
        <f>IFERROR(_xlfn.XLOOKUP($D74,'Modelling New'!$D:$D,'Modelling New'!$AE:$AE),"")</f>
        <v>0.96029999999999993</v>
      </c>
      <c r="AH74" s="124">
        <f>IFERROR(_xlfn.XLOOKUP($D74,'Modelling New'!$D:$D,'Modelling New'!$AF:$AF),"")</f>
        <v>0.995</v>
      </c>
      <c r="AI74" s="105">
        <f>IFERROR(_xlfn.XLOOKUP($A74,Input_Raw!$A:$A,Input_Raw!$DE:$DE),"")</f>
        <v>826.02</v>
      </c>
      <c r="AJ74" s="105"/>
      <c r="AK74" s="105"/>
      <c r="AL74" s="105"/>
      <c r="AM74" s="105"/>
      <c r="AN74" s="126">
        <f>IFERROR(_xlfn.XLOOKUP($A74,Input_Raw!$A:$A,Input_Raw!$DB:$DB),"")</f>
        <v>1.9636280873874812E-3</v>
      </c>
      <c r="AO74" s="124">
        <f>IFERROR((_xlfn.XLOOKUP($A74,'WTG Reactive Power'!$A:$A,'WTG Reactive Power'!$AR:$AR))/X74/1000,"")</f>
        <v>0</v>
      </c>
      <c r="AP74" s="124">
        <f>IFERROR(_xlfn.XLOOKUP($D74,'Modelling New'!$D:$D,'Modelling New'!$AK:$AK),"")</f>
        <v>0.05</v>
      </c>
      <c r="AQ74" s="124">
        <f>IFERROR(_xlfn.XLOOKUP($D74,'Modelling New'!$D:$D,'Modelling New'!$AL:$AL),"")</f>
        <v>0.05</v>
      </c>
      <c r="AR74">
        <f>IFERROR(_xlfn.XLOOKUP($D74,'Modelling New'!$D:$D,'Modelling New'!$N:$N),"")</f>
        <v>78</v>
      </c>
    </row>
    <row r="75" spans="1:44">
      <c r="A75" s="118">
        <f t="shared" si="7"/>
        <v>45818</v>
      </c>
      <c r="B75" s="107">
        <f>YEAR(Table13[[#This Row],[Date]])+IF(MONTH(Table13[[#This Row],[Date]])&gt;=4,1,0)</f>
        <v>2026</v>
      </c>
      <c r="C75" s="105">
        <f>YEAR(Table13[[#This Row],[Date]])</f>
        <v>2025</v>
      </c>
      <c r="D75" s="119">
        <f>Table13[[#This Row],[Date]]-DAY(Table13[[#This Row],[Date]])+1</f>
        <v>45809</v>
      </c>
      <c r="E75" s="105">
        <f t="shared" si="4"/>
        <v>30</v>
      </c>
      <c r="F75" s="108"/>
      <c r="G75" s="109"/>
      <c r="H75" s="109"/>
      <c r="I75" s="109"/>
      <c r="J75" s="109"/>
      <c r="K75" s="120"/>
      <c r="L75" s="109"/>
      <c r="M75" s="109">
        <f>IFERROR(_xlfn.XLOOKUP($A75,Input_Raw!$A:$A,Input_Raw!CG:CG),"")</f>
        <v>5.3748717948717948</v>
      </c>
      <c r="N75" s="109">
        <f>IFERROR(_xlfn.XLOOKUP($A75,Input_Raw!$A:$A,Input_Raw!CH:CH),"")</f>
        <v>0</v>
      </c>
      <c r="O75" s="121">
        <f t="shared" si="6"/>
        <v>0.93108979290480798</v>
      </c>
      <c r="P75" s="121">
        <f>IFERROR(1-SUMIF(WTG_BD!$F:$F,$A75,WTG_BD!$AA:$AA)/($AA75+SUMIF(WTG_BD!$F:$F,$A75,WTG_BD!$AA:$AA)),"")</f>
        <v>0.93108979290480798</v>
      </c>
      <c r="Q75" s="122">
        <f>IFERROR(1-SUMIF(IGA_BD!$F:$F,$A75,IGA_BD!$V:$V)/($AA75+SUMIF(IGA_BD!$F:$F,$A75,IGA_BD!$V:$V)),"")</f>
        <v>1</v>
      </c>
      <c r="R75" s="127">
        <f>IFERROR(1-SUMIF(Grid_BD!$F:$F,$A75,Grid_BD!$X:$X)/($AA75+SUMIF(Grid_BD!$F:$F,$A75,Grid_BD!$X:$X)),"")</f>
        <v>1</v>
      </c>
      <c r="S75" s="105"/>
      <c r="T75" s="122"/>
      <c r="U75" s="123"/>
      <c r="V75" s="105"/>
      <c r="W75" s="124">
        <f>IFERROR(Table13[[#This Row],[Mtr_Net_Exp (KWh)]]/(24*AR75*1000),"")</f>
        <v>0.2935897435897436</v>
      </c>
      <c r="X75" s="105">
        <f>IFERROR(_xlfn.XLOOKUP($A75,Input_Raw!$A:$A,Input_Raw!$CF:$CF),"")</f>
        <v>554892</v>
      </c>
      <c r="Y75" s="105">
        <f>IFERROR(_xlfn.XLOOKUP($A75,Input_Raw!$A:$A,Input_Raw!$CZ:$CZ),"")</f>
        <v>552000</v>
      </c>
      <c r="Z75" s="105">
        <f>IFERROR(_xlfn.XLOOKUP($A75,Input_Raw!$A:$A,Input_Raw!$DA:$DA),"")</f>
        <v>2400</v>
      </c>
      <c r="AA75" s="107">
        <f t="shared" si="5"/>
        <v>549600</v>
      </c>
      <c r="AB75" s="105">
        <f>IFERROR(_xlfn.XLOOKUP($A75,Input_Raw!$A:$A,Input_Raw!$DG:$DG),"")</f>
        <v>78</v>
      </c>
      <c r="AC75" s="125">
        <f>IFERROR(_xlfn.XLOOKUP($D75,'Modelling New'!$D:$D,'Modelling New'!$J:$J),"")</f>
        <v>6.5666666666666664</v>
      </c>
      <c r="AD75" s="107">
        <f>IFERROR(_xlfn.XLOOKUP($D75,'Modelling New'!$D:$D,'Modelling New'!$T:$T)*1000,"")</f>
        <v>501275.34211348038</v>
      </c>
      <c r="AE75" s="124"/>
      <c r="AF75" s="124">
        <f>IFERROR(_xlfn.XLOOKUP($D75,'Modelling New'!$D:$D,'Modelling New'!$W:$W),"")</f>
        <v>0.26777528959053443</v>
      </c>
      <c r="AG75" s="124">
        <f>IFERROR(_xlfn.XLOOKUP($D75,'Modelling New'!$D:$D,'Modelling New'!$AE:$AE),"")</f>
        <v>0.96029999999999993</v>
      </c>
      <c r="AH75" s="124">
        <f>IFERROR(_xlfn.XLOOKUP($D75,'Modelling New'!$D:$D,'Modelling New'!$AF:$AF),"")</f>
        <v>0.995</v>
      </c>
      <c r="AI75" s="105">
        <f>IFERROR(_xlfn.XLOOKUP($A75,Input_Raw!$A:$A,Input_Raw!$DE:$DE),"")</f>
        <v>554.89</v>
      </c>
      <c r="AJ75" s="105"/>
      <c r="AK75" s="105"/>
      <c r="AL75" s="105"/>
      <c r="AM75" s="105"/>
      <c r="AN75" s="126">
        <f>IFERROR(_xlfn.XLOOKUP($A75,Input_Raw!$A:$A,Input_Raw!$DB:$DB),"")</f>
        <v>5.211825003784476E-3</v>
      </c>
      <c r="AO75" s="124">
        <f>IFERROR((_xlfn.XLOOKUP($A75,'WTG Reactive Power'!$A:$A,'WTG Reactive Power'!$AR:$AR))/X75/1000,"")</f>
        <v>6.5346049321309367E-6</v>
      </c>
      <c r="AP75" s="124">
        <f>IFERROR(_xlfn.XLOOKUP($D75,'Modelling New'!$D:$D,'Modelling New'!$AK:$AK),"")</f>
        <v>0.05</v>
      </c>
      <c r="AQ75" s="124">
        <f>IFERROR(_xlfn.XLOOKUP($D75,'Modelling New'!$D:$D,'Modelling New'!$AL:$AL),"")</f>
        <v>0.05</v>
      </c>
      <c r="AR75">
        <f>IFERROR(_xlfn.XLOOKUP($D75,'Modelling New'!$D:$D,'Modelling New'!$N:$N),"")</f>
        <v>78</v>
      </c>
    </row>
    <row r="76" spans="1:44">
      <c r="A76" s="118">
        <f t="shared" si="7"/>
        <v>45819</v>
      </c>
      <c r="B76" s="107">
        <f>YEAR(Table13[[#This Row],[Date]])+IF(MONTH(Table13[[#This Row],[Date]])&gt;=4,1,0)</f>
        <v>2026</v>
      </c>
      <c r="C76" s="105">
        <f>YEAR(Table13[[#This Row],[Date]])</f>
        <v>2025</v>
      </c>
      <c r="D76" s="119">
        <f>Table13[[#This Row],[Date]]-DAY(Table13[[#This Row],[Date]])+1</f>
        <v>45809</v>
      </c>
      <c r="E76" s="105">
        <f t="shared" si="4"/>
        <v>30</v>
      </c>
      <c r="F76" s="108"/>
      <c r="G76" s="109"/>
      <c r="H76" s="109"/>
      <c r="I76" s="109"/>
      <c r="J76" s="109"/>
      <c r="K76" s="120"/>
      <c r="L76" s="109"/>
      <c r="M76" s="109">
        <f>IFERROR(_xlfn.XLOOKUP($A76,Input_Raw!$A:$A,Input_Raw!CG:CG),"")</f>
        <v>4.8151282051282047</v>
      </c>
      <c r="N76" s="109">
        <f>IFERROR(_xlfn.XLOOKUP($A76,Input_Raw!$A:$A,Input_Raw!CH:CH),"")</f>
        <v>0</v>
      </c>
      <c r="O76" s="121">
        <f t="shared" si="6"/>
        <v>0.92611294248954634</v>
      </c>
      <c r="P76" s="121">
        <f>IFERROR(1-SUMIF(WTG_BD!$F:$F,$A76,WTG_BD!$AA:$AA)/($AA76+SUMIF(WTG_BD!$F:$F,$A76,WTG_BD!$AA:$AA)),"")</f>
        <v>0.92711967004872953</v>
      </c>
      <c r="Q76" s="122">
        <f>IFERROR(1-SUMIF(IGA_BD!$F:$F,$A76,IGA_BD!$V:$V)/($AA76+SUMIF(IGA_BD!$F:$F,$A76,IGA_BD!$V:$V)),"")</f>
        <v>0.99891413418169606</v>
      </c>
      <c r="R76" s="127">
        <f>IFERROR(1-SUMIF(Grid_BD!$F:$F,$A76,Grid_BD!$X:$X)/($AA76+SUMIF(Grid_BD!$F:$F,$A76,Grid_BD!$X:$X)),"")</f>
        <v>1</v>
      </c>
      <c r="S76" s="105"/>
      <c r="T76" s="122"/>
      <c r="U76" s="123"/>
      <c r="V76" s="105"/>
      <c r="W76" s="124">
        <f>IFERROR(Table13[[#This Row],[Mtr_Net_Exp (KWh)]]/(24*AR76*1000),"")</f>
        <v>0.258974358974359</v>
      </c>
      <c r="X76" s="105">
        <f>IFERROR(_xlfn.XLOOKUP($A76,Input_Raw!$A:$A,Input_Raw!$CF:$CF),"")</f>
        <v>491107</v>
      </c>
      <c r="Y76" s="105">
        <f>IFERROR(_xlfn.XLOOKUP($A76,Input_Raw!$A:$A,Input_Raw!$CZ:$CZ),"")</f>
        <v>484800</v>
      </c>
      <c r="Z76" s="105">
        <f>IFERROR(_xlfn.XLOOKUP($A76,Input_Raw!$A:$A,Input_Raw!$DA:$DA),"")</f>
        <v>0</v>
      </c>
      <c r="AA76" s="107">
        <f t="shared" si="5"/>
        <v>484800</v>
      </c>
      <c r="AB76" s="105">
        <f>IFERROR(_xlfn.XLOOKUP($A76,Input_Raw!$A:$A,Input_Raw!$DG:$DG),"")</f>
        <v>78</v>
      </c>
      <c r="AC76" s="125">
        <f>IFERROR(_xlfn.XLOOKUP($D76,'Modelling New'!$D:$D,'Modelling New'!$J:$J),"")</f>
        <v>6.5666666666666664</v>
      </c>
      <c r="AD76" s="107">
        <f>IFERROR(_xlfn.XLOOKUP($D76,'Modelling New'!$D:$D,'Modelling New'!$T:$T)*1000,"")</f>
        <v>501275.34211348038</v>
      </c>
      <c r="AE76" s="124"/>
      <c r="AF76" s="124">
        <f>IFERROR(_xlfn.XLOOKUP($D76,'Modelling New'!$D:$D,'Modelling New'!$W:$W),"")</f>
        <v>0.26777528959053443</v>
      </c>
      <c r="AG76" s="124">
        <f>IFERROR(_xlfn.XLOOKUP($D76,'Modelling New'!$D:$D,'Modelling New'!$AE:$AE),"")</f>
        <v>0.96029999999999993</v>
      </c>
      <c r="AH76" s="124">
        <f>IFERROR(_xlfn.XLOOKUP($D76,'Modelling New'!$D:$D,'Modelling New'!$AF:$AF),"")</f>
        <v>0.995</v>
      </c>
      <c r="AI76" s="105">
        <f>IFERROR(_xlfn.XLOOKUP($A76,Input_Raw!$A:$A,Input_Raw!$DE:$DE),"")</f>
        <v>491.1</v>
      </c>
      <c r="AJ76" s="105"/>
      <c r="AK76" s="105"/>
      <c r="AL76" s="105"/>
      <c r="AM76" s="105"/>
      <c r="AN76" s="126">
        <f>IFERROR(_xlfn.XLOOKUP($A76,Input_Raw!$A:$A,Input_Raw!$DB:$DB),"")</f>
        <v>1.2842415196688273E-2</v>
      </c>
      <c r="AO76" s="124">
        <f>IFERROR((_xlfn.XLOOKUP($A76,'WTG Reactive Power'!$A:$A,'WTG Reactive Power'!$AR:$AR))/X76/1000,"")</f>
        <v>2.4862199072707167E-6</v>
      </c>
      <c r="AP76" s="124">
        <f>IFERROR(_xlfn.XLOOKUP($D76,'Modelling New'!$D:$D,'Modelling New'!$AK:$AK),"")</f>
        <v>0.05</v>
      </c>
      <c r="AQ76" s="124">
        <f>IFERROR(_xlfn.XLOOKUP($D76,'Modelling New'!$D:$D,'Modelling New'!$AL:$AL),"")</f>
        <v>0.05</v>
      </c>
      <c r="AR76">
        <f>IFERROR(_xlfn.XLOOKUP($D76,'Modelling New'!$D:$D,'Modelling New'!$N:$N),"")</f>
        <v>78</v>
      </c>
    </row>
    <row r="77" spans="1:44">
      <c r="A77" s="118">
        <f t="shared" si="7"/>
        <v>45820</v>
      </c>
      <c r="B77" s="107">
        <f>YEAR(Table13[[#This Row],[Date]])+IF(MONTH(Table13[[#This Row],[Date]])&gt;=4,1,0)</f>
        <v>2026</v>
      </c>
      <c r="C77" s="105">
        <f>YEAR(Table13[[#This Row],[Date]])</f>
        <v>2025</v>
      </c>
      <c r="D77" s="119">
        <f>Table13[[#This Row],[Date]]-DAY(Table13[[#This Row],[Date]])+1</f>
        <v>45809</v>
      </c>
      <c r="E77" s="105">
        <f t="shared" si="4"/>
        <v>30</v>
      </c>
      <c r="F77" s="108"/>
      <c r="G77" s="109"/>
      <c r="H77" s="109"/>
      <c r="I77" s="109"/>
      <c r="J77" s="109"/>
      <c r="K77" s="120"/>
      <c r="L77" s="109"/>
      <c r="M77" s="109">
        <f>IFERROR(_xlfn.XLOOKUP($A77,Input_Raw!$A:$A,Input_Raw!CG:CG),"")</f>
        <v>4.6823076923076918</v>
      </c>
      <c r="N77" s="109">
        <f>IFERROR(_xlfn.XLOOKUP($A77,Input_Raw!$A:$A,Input_Raw!CH:CH),"")</f>
        <v>0</v>
      </c>
      <c r="O77" s="121">
        <f t="shared" si="6"/>
        <v>0.94319150358571413</v>
      </c>
      <c r="P77" s="121">
        <f>IFERROR(1-SUMIF(WTG_BD!$F:$F,$A77,WTG_BD!$AA:$AA)/($AA77+SUMIF(WTG_BD!$F:$F,$A77,WTG_BD!$AA:$AA)),"")</f>
        <v>0.94319150358571413</v>
      </c>
      <c r="Q77" s="122">
        <f>IFERROR(1-SUMIF(IGA_BD!$F:$F,$A77,IGA_BD!$V:$V)/($AA77+SUMIF(IGA_BD!$F:$F,$A77,IGA_BD!$V:$V)),"")</f>
        <v>1</v>
      </c>
      <c r="R77" s="127">
        <f>IFERROR(1-SUMIF(Grid_BD!$F:$F,$A77,Grid_BD!$X:$X)/($AA77+SUMIF(Grid_BD!$F:$F,$A77,Grid_BD!$X:$X)),"")</f>
        <v>1</v>
      </c>
      <c r="S77" s="105"/>
      <c r="T77" s="122"/>
      <c r="U77" s="123"/>
      <c r="V77" s="105"/>
      <c r="W77" s="124">
        <f>IFERROR(Table13[[#This Row],[Mtr_Net_Exp (KWh)]]/(24*AR77*1000),"")</f>
        <v>0.22435897435897437</v>
      </c>
      <c r="X77" s="105">
        <f>IFERROR(_xlfn.XLOOKUP($A77,Input_Raw!$A:$A,Input_Raw!$CF:$CF),"")</f>
        <v>428579</v>
      </c>
      <c r="Y77" s="105">
        <f>IFERROR(_xlfn.XLOOKUP($A77,Input_Raw!$A:$A,Input_Raw!$CZ:$CZ),"")</f>
        <v>422400</v>
      </c>
      <c r="Z77" s="105">
        <f>IFERROR(_xlfn.XLOOKUP($A77,Input_Raw!$A:$A,Input_Raw!$DA:$DA),"")</f>
        <v>2400</v>
      </c>
      <c r="AA77" s="107">
        <f t="shared" si="5"/>
        <v>420000</v>
      </c>
      <c r="AB77" s="105">
        <f>IFERROR(_xlfn.XLOOKUP($A77,Input_Raw!$A:$A,Input_Raw!$DG:$DG),"")</f>
        <v>78</v>
      </c>
      <c r="AC77" s="125">
        <f>IFERROR(_xlfn.XLOOKUP($D77,'Modelling New'!$D:$D,'Modelling New'!$J:$J),"")</f>
        <v>6.5666666666666664</v>
      </c>
      <c r="AD77" s="107">
        <f>IFERROR(_xlfn.XLOOKUP($D77,'Modelling New'!$D:$D,'Modelling New'!$T:$T)*1000,"")</f>
        <v>501275.34211348038</v>
      </c>
      <c r="AE77" s="124"/>
      <c r="AF77" s="124">
        <f>IFERROR(_xlfn.XLOOKUP($D77,'Modelling New'!$D:$D,'Modelling New'!$W:$W),"")</f>
        <v>0.26777528959053443</v>
      </c>
      <c r="AG77" s="124">
        <f>IFERROR(_xlfn.XLOOKUP($D77,'Modelling New'!$D:$D,'Modelling New'!$AE:$AE),"")</f>
        <v>0.96029999999999993</v>
      </c>
      <c r="AH77" s="124">
        <f>IFERROR(_xlfn.XLOOKUP($D77,'Modelling New'!$D:$D,'Modelling New'!$AF:$AF),"")</f>
        <v>0.995</v>
      </c>
      <c r="AI77" s="105">
        <f>IFERROR(_xlfn.XLOOKUP($A77,Input_Raw!$A:$A,Input_Raw!$DE:$DE),"")</f>
        <v>428.57</v>
      </c>
      <c r="AJ77" s="105"/>
      <c r="AK77" s="105"/>
      <c r="AL77" s="105"/>
      <c r="AM77" s="105"/>
      <c r="AN77" s="126">
        <f>IFERROR(_xlfn.XLOOKUP($A77,Input_Raw!$A:$A,Input_Raw!$DB:$DB),"")</f>
        <v>1.4417411959055437E-2</v>
      </c>
      <c r="AO77" s="124">
        <f>IFERROR((_xlfn.XLOOKUP($A77,'WTG Reactive Power'!$A:$A,'WTG Reactive Power'!$AR:$AR))/X77/1000,"")</f>
        <v>1.4072084726503166E-5</v>
      </c>
      <c r="AP77" s="124">
        <f>IFERROR(_xlfn.XLOOKUP($D77,'Modelling New'!$D:$D,'Modelling New'!$AK:$AK),"")</f>
        <v>0.05</v>
      </c>
      <c r="AQ77" s="124">
        <f>IFERROR(_xlfn.XLOOKUP($D77,'Modelling New'!$D:$D,'Modelling New'!$AL:$AL),"")</f>
        <v>0.05</v>
      </c>
      <c r="AR77">
        <f>IFERROR(_xlfn.XLOOKUP($D77,'Modelling New'!$D:$D,'Modelling New'!$N:$N),"")</f>
        <v>78</v>
      </c>
    </row>
    <row r="78" spans="1:44">
      <c r="A78" s="118">
        <f t="shared" si="7"/>
        <v>45821</v>
      </c>
      <c r="B78" s="107">
        <f>YEAR(Table13[[#This Row],[Date]])+IF(MONTH(Table13[[#This Row],[Date]])&gt;=4,1,0)</f>
        <v>2026</v>
      </c>
      <c r="C78" s="105">
        <f>YEAR(Table13[[#This Row],[Date]])</f>
        <v>2025</v>
      </c>
      <c r="D78" s="119">
        <f>Table13[[#This Row],[Date]]-DAY(Table13[[#This Row],[Date]])+1</f>
        <v>45809</v>
      </c>
      <c r="E78" s="105">
        <f t="shared" si="4"/>
        <v>30</v>
      </c>
      <c r="F78" s="108"/>
      <c r="G78" s="109"/>
      <c r="H78" s="109"/>
      <c r="I78" s="109"/>
      <c r="J78" s="109"/>
      <c r="K78" s="120"/>
      <c r="L78" s="109"/>
      <c r="M78" s="109">
        <f>IFERROR(_xlfn.XLOOKUP($A78,Input_Raw!$A:$A,Input_Raw!CG:CG),"")</f>
        <v>3.5474358974358982</v>
      </c>
      <c r="N78" s="109">
        <f>IFERROR(_xlfn.XLOOKUP($A78,Input_Raw!$A:$A,Input_Raw!CH:CH),"")</f>
        <v>0</v>
      </c>
      <c r="O78" s="121">
        <f t="shared" si="6"/>
        <v>0.93007496876807461</v>
      </c>
      <c r="P78" s="121">
        <f>IFERROR(1-SUMIF(WTG_BD!$F:$F,$A78,WTG_BD!$AA:$AA)/($AA78+SUMIF(WTG_BD!$F:$F,$A78,WTG_BD!$AA:$AA)),"")</f>
        <v>0.93388061260095523</v>
      </c>
      <c r="Q78" s="122">
        <f>IFERROR(1-SUMIF(IGA_BD!$F:$F,$A78,IGA_BD!$V:$V)/($AA78+SUMIF(IGA_BD!$F:$F,$A78,IGA_BD!$V:$V)),"")</f>
        <v>0.9959249139755868</v>
      </c>
      <c r="R78" s="127">
        <f>IFERROR(1-SUMIF(Grid_BD!$F:$F,$A78,Grid_BD!$X:$X)/($AA78+SUMIF(Grid_BD!$F:$F,$A78,Grid_BD!$X:$X)),"")</f>
        <v>1</v>
      </c>
      <c r="S78" s="105"/>
      <c r="T78" s="122"/>
      <c r="U78" s="123"/>
      <c r="V78" s="105"/>
      <c r="W78" s="124">
        <f>IFERROR(Table13[[#This Row],[Mtr_Net_Exp (KWh)]]/(24*AR78*1000),"")</f>
        <v>5.705128205128205E-2</v>
      </c>
      <c r="X78" s="105">
        <f>IFERROR(_xlfn.XLOOKUP($A78,Input_Raw!$A:$A,Input_Raw!$CF:$CF),"")</f>
        <v>116756</v>
      </c>
      <c r="Y78" s="105">
        <f>IFERROR(_xlfn.XLOOKUP($A78,Input_Raw!$A:$A,Input_Raw!$CZ:$CZ),"")</f>
        <v>112800</v>
      </c>
      <c r="Z78" s="105">
        <f>IFERROR(_xlfn.XLOOKUP($A78,Input_Raw!$A:$A,Input_Raw!$DA:$DA),"")</f>
        <v>6000</v>
      </c>
      <c r="AA78" s="107">
        <f t="shared" si="5"/>
        <v>106800</v>
      </c>
      <c r="AB78" s="105">
        <f>IFERROR(_xlfn.XLOOKUP($A78,Input_Raw!$A:$A,Input_Raw!$DG:$DG),"")</f>
        <v>78</v>
      </c>
      <c r="AC78" s="125">
        <f>IFERROR(_xlfn.XLOOKUP($D78,'Modelling New'!$D:$D,'Modelling New'!$J:$J),"")</f>
        <v>6.5666666666666664</v>
      </c>
      <c r="AD78" s="107">
        <f>IFERROR(_xlfn.XLOOKUP($D78,'Modelling New'!$D:$D,'Modelling New'!$T:$T)*1000,"")</f>
        <v>501275.34211348038</v>
      </c>
      <c r="AE78" s="124"/>
      <c r="AF78" s="124">
        <f>IFERROR(_xlfn.XLOOKUP($D78,'Modelling New'!$D:$D,'Modelling New'!$W:$W),"")</f>
        <v>0.26777528959053443</v>
      </c>
      <c r="AG78" s="124">
        <f>IFERROR(_xlfn.XLOOKUP($D78,'Modelling New'!$D:$D,'Modelling New'!$AE:$AE),"")</f>
        <v>0.96029999999999993</v>
      </c>
      <c r="AH78" s="124">
        <f>IFERROR(_xlfn.XLOOKUP($D78,'Modelling New'!$D:$D,'Modelling New'!$AF:$AF),"")</f>
        <v>0.995</v>
      </c>
      <c r="AI78" s="105">
        <f>IFERROR(_xlfn.XLOOKUP($A78,Input_Raw!$A:$A,Input_Raw!$DE:$DE),"")</f>
        <v>116.75</v>
      </c>
      <c r="AJ78" s="105"/>
      <c r="AK78" s="105"/>
      <c r="AL78" s="105"/>
      <c r="AM78" s="105"/>
      <c r="AN78" s="126">
        <f>IFERROR(_xlfn.XLOOKUP($A78,Input_Raw!$A:$A,Input_Raw!$DB:$DB),"")</f>
        <v>3.3882627017026934E-2</v>
      </c>
      <c r="AO78" s="124">
        <f>IFERROR((_xlfn.XLOOKUP($A78,'WTG Reactive Power'!$A:$A,'WTG Reactive Power'!$AR:$AR))/X78/1000,"")</f>
        <v>1.235910788310665E-4</v>
      </c>
      <c r="AP78" s="124">
        <f>IFERROR(_xlfn.XLOOKUP($D78,'Modelling New'!$D:$D,'Modelling New'!$AK:$AK),"")</f>
        <v>0.05</v>
      </c>
      <c r="AQ78" s="124">
        <f>IFERROR(_xlfn.XLOOKUP($D78,'Modelling New'!$D:$D,'Modelling New'!$AL:$AL),"")</f>
        <v>0.05</v>
      </c>
      <c r="AR78">
        <f>IFERROR(_xlfn.XLOOKUP($D78,'Modelling New'!$D:$D,'Modelling New'!$N:$N),"")</f>
        <v>78</v>
      </c>
    </row>
    <row r="79" spans="1:44">
      <c r="A79" s="118">
        <f t="shared" si="7"/>
        <v>45822</v>
      </c>
      <c r="B79" s="107">
        <f>YEAR(Table13[[#This Row],[Date]])+IF(MONTH(Table13[[#This Row],[Date]])&gt;=4,1,0)</f>
        <v>2026</v>
      </c>
      <c r="C79" s="105">
        <f>YEAR(Table13[[#This Row],[Date]])</f>
        <v>2025</v>
      </c>
      <c r="D79" s="119">
        <f>Table13[[#This Row],[Date]]-DAY(Table13[[#This Row],[Date]])+1</f>
        <v>45809</v>
      </c>
      <c r="E79" s="105">
        <f t="shared" si="4"/>
        <v>30</v>
      </c>
      <c r="F79" s="108"/>
      <c r="G79" s="109"/>
      <c r="H79" s="109"/>
      <c r="I79" s="109"/>
      <c r="J79" s="109"/>
      <c r="K79" s="120"/>
      <c r="L79" s="109"/>
      <c r="M79" s="109">
        <f>IFERROR(_xlfn.XLOOKUP($A79,Input_Raw!$A:$A,Input_Raw!CG:CG),"")</f>
        <v>3.4951282051282053</v>
      </c>
      <c r="N79" s="109">
        <f>IFERROR(_xlfn.XLOOKUP($A79,Input_Raw!$A:$A,Input_Raw!CH:CH),"")</f>
        <v>0</v>
      </c>
      <c r="O79" s="121">
        <f t="shared" si="6"/>
        <v>0.90459665436002923</v>
      </c>
      <c r="P79" s="121">
        <f>IFERROR(1-SUMIF(WTG_BD!$F:$F,$A79,WTG_BD!$AA:$AA)/($AA79+SUMIF(WTG_BD!$F:$F,$A79,WTG_BD!$AA:$AA)),"")</f>
        <v>0.90459665436002923</v>
      </c>
      <c r="Q79" s="122">
        <f>IFERROR(1-SUMIF(IGA_BD!$F:$F,$A79,IGA_BD!$V:$V)/($AA79+SUMIF(IGA_BD!$F:$F,$A79,IGA_BD!$V:$V)),"")</f>
        <v>1</v>
      </c>
      <c r="R79" s="127">
        <f>IFERROR(1-SUMIF(Grid_BD!$F:$F,$A79,Grid_BD!$X:$X)/($AA79+SUMIF(Grid_BD!$F:$F,$A79,Grid_BD!$X:$X)),"")</f>
        <v>1</v>
      </c>
      <c r="S79" s="105"/>
      <c r="T79" s="122"/>
      <c r="U79" s="123"/>
      <c r="V79" s="105"/>
      <c r="W79" s="124">
        <f>IFERROR(Table13[[#This Row],[Mtr_Net_Exp (KWh)]]/(24*AR79*1000),"")</f>
        <v>3.5256410256410256E-2</v>
      </c>
      <c r="X79" s="105">
        <f>IFERROR(_xlfn.XLOOKUP($A79,Input_Raw!$A:$A,Input_Raw!$CF:$CF),"")</f>
        <v>93389</v>
      </c>
      <c r="Y79" s="105">
        <f>IFERROR(_xlfn.XLOOKUP($A79,Input_Raw!$A:$A,Input_Raw!$CZ:$CZ),"")</f>
        <v>73200</v>
      </c>
      <c r="Z79" s="105">
        <f>IFERROR(_xlfn.XLOOKUP($A79,Input_Raw!$A:$A,Input_Raw!$DA:$DA),"")</f>
        <v>7200</v>
      </c>
      <c r="AA79" s="107">
        <f t="shared" si="5"/>
        <v>66000</v>
      </c>
      <c r="AB79" s="105">
        <f>IFERROR(_xlfn.XLOOKUP($A79,Input_Raw!$A:$A,Input_Raw!$DG:$DG),"")</f>
        <v>78</v>
      </c>
      <c r="AC79" s="125">
        <f>IFERROR(_xlfn.XLOOKUP($D79,'Modelling New'!$D:$D,'Modelling New'!$J:$J),"")</f>
        <v>6.5666666666666664</v>
      </c>
      <c r="AD79" s="107">
        <f>IFERROR(_xlfn.XLOOKUP($D79,'Modelling New'!$D:$D,'Modelling New'!$T:$T)*1000,"")</f>
        <v>501275.34211348038</v>
      </c>
      <c r="AE79" s="124"/>
      <c r="AF79" s="124">
        <f>IFERROR(_xlfn.XLOOKUP($D79,'Modelling New'!$D:$D,'Modelling New'!$W:$W),"")</f>
        <v>0.26777528959053443</v>
      </c>
      <c r="AG79" s="124">
        <f>IFERROR(_xlfn.XLOOKUP($D79,'Modelling New'!$D:$D,'Modelling New'!$AE:$AE),"")</f>
        <v>0.96029999999999993</v>
      </c>
      <c r="AH79" s="124">
        <f>IFERROR(_xlfn.XLOOKUP($D79,'Modelling New'!$D:$D,'Modelling New'!$AF:$AF),"")</f>
        <v>0.995</v>
      </c>
      <c r="AI79" s="105">
        <f>IFERROR(_xlfn.XLOOKUP($A79,Input_Raw!$A:$A,Input_Raw!$DE:$DE),"")</f>
        <v>76.680000000000007</v>
      </c>
      <c r="AJ79" s="105"/>
      <c r="AK79" s="105"/>
      <c r="AL79" s="105"/>
      <c r="AM79" s="105"/>
      <c r="AN79" s="126">
        <f>IFERROR(_xlfn.XLOOKUP($A79,Input_Raw!$A:$A,Input_Raw!$DB:$DB),"")</f>
        <v>0.21618177729711208</v>
      </c>
      <c r="AO79" s="124">
        <f>IFERROR((_xlfn.XLOOKUP($A79,'WTG Reactive Power'!$A:$A,'WTG Reactive Power'!$AR:$AR))/X79/1000,"")</f>
        <v>1.8734540470505091E-4</v>
      </c>
      <c r="AP79" s="124">
        <f>IFERROR(_xlfn.XLOOKUP($D79,'Modelling New'!$D:$D,'Modelling New'!$AK:$AK),"")</f>
        <v>0.05</v>
      </c>
      <c r="AQ79" s="124">
        <f>IFERROR(_xlfn.XLOOKUP($D79,'Modelling New'!$D:$D,'Modelling New'!$AL:$AL),"")</f>
        <v>0.05</v>
      </c>
      <c r="AR79">
        <f>IFERROR(_xlfn.XLOOKUP($D79,'Modelling New'!$D:$D,'Modelling New'!$N:$N),"")</f>
        <v>78</v>
      </c>
    </row>
    <row r="80" spans="1:44">
      <c r="A80" s="118">
        <f t="shared" si="7"/>
        <v>45823</v>
      </c>
      <c r="B80" s="107">
        <f>YEAR(Table13[[#This Row],[Date]])+IF(MONTH(Table13[[#This Row],[Date]])&gt;=4,1,0)</f>
        <v>2026</v>
      </c>
      <c r="C80" s="105">
        <f>YEAR(Table13[[#This Row],[Date]])</f>
        <v>2025</v>
      </c>
      <c r="D80" s="119">
        <f>Table13[[#This Row],[Date]]-DAY(Table13[[#This Row],[Date]])+1</f>
        <v>45809</v>
      </c>
      <c r="E80" s="105">
        <f t="shared" si="4"/>
        <v>30</v>
      </c>
      <c r="F80" s="108"/>
      <c r="G80" s="109"/>
      <c r="H80" s="109"/>
      <c r="I80" s="109"/>
      <c r="J80" s="109"/>
      <c r="K80" s="120"/>
      <c r="L80" s="109"/>
      <c r="M80" s="109">
        <f>IFERROR(_xlfn.XLOOKUP($A80,Input_Raw!$A:$A,Input_Raw!CG:CG),"")</f>
        <v>4.056923076923078</v>
      </c>
      <c r="N80" s="109">
        <f>IFERROR(_xlfn.XLOOKUP($A80,Input_Raw!$A:$A,Input_Raw!CH:CH),"")</f>
        <v>0</v>
      </c>
      <c r="O80" s="121">
        <f t="shared" si="6"/>
        <v>0.91368886363783774</v>
      </c>
      <c r="P80" s="121">
        <f>IFERROR(1-SUMIF(WTG_BD!$F:$F,$A80,WTG_BD!$AA:$AA)/($AA80+SUMIF(WTG_BD!$F:$F,$A80,WTG_BD!$AA:$AA)),"")</f>
        <v>0.91368886363783774</v>
      </c>
      <c r="Q80" s="122">
        <f>IFERROR(1-SUMIF(IGA_BD!$F:$F,$A80,IGA_BD!$V:$V)/($AA80+SUMIF(IGA_BD!$F:$F,$A80,IGA_BD!$V:$V)),"")</f>
        <v>1</v>
      </c>
      <c r="R80" s="127">
        <f>IFERROR(1-SUMIF(Grid_BD!$F:$F,$A80,Grid_BD!$X:$X)/($AA80+SUMIF(Grid_BD!$F:$F,$A80,Grid_BD!$X:$X)),"")</f>
        <v>1</v>
      </c>
      <c r="S80" s="105"/>
      <c r="T80" s="122"/>
      <c r="U80" s="123"/>
      <c r="V80" s="105"/>
      <c r="W80" s="124">
        <f>IFERROR(Table13[[#This Row],[Mtr_Net_Exp (KWh)]]/(24*AR80*1000),"")</f>
        <v>0.15192307692307691</v>
      </c>
      <c r="X80" s="105">
        <f>IFERROR(_xlfn.XLOOKUP($A80,Input_Raw!$A:$A,Input_Raw!$CF:$CF),"")</f>
        <v>318458</v>
      </c>
      <c r="Y80" s="105">
        <f>IFERROR(_xlfn.XLOOKUP($A80,Input_Raw!$A:$A,Input_Raw!$CZ:$CZ),"")</f>
        <v>284400</v>
      </c>
      <c r="Z80" s="105">
        <f>IFERROR(_xlfn.XLOOKUP($A80,Input_Raw!$A:$A,Input_Raw!$DA:$DA),"")</f>
        <v>0</v>
      </c>
      <c r="AA80" s="107">
        <f t="shared" si="5"/>
        <v>284400</v>
      </c>
      <c r="AB80" s="105">
        <f>IFERROR(_xlfn.XLOOKUP($A80,Input_Raw!$A:$A,Input_Raw!$DG:$DG),"")</f>
        <v>78</v>
      </c>
      <c r="AC80" s="125">
        <f>IFERROR(_xlfn.XLOOKUP($D80,'Modelling New'!$D:$D,'Modelling New'!$J:$J),"")</f>
        <v>6.5666666666666664</v>
      </c>
      <c r="AD80" s="107">
        <f>IFERROR(_xlfn.XLOOKUP($D80,'Modelling New'!$D:$D,'Modelling New'!$T:$T)*1000,"")</f>
        <v>501275.34211348038</v>
      </c>
      <c r="AE80" s="124"/>
      <c r="AF80" s="124">
        <f>IFERROR(_xlfn.XLOOKUP($D80,'Modelling New'!$D:$D,'Modelling New'!$W:$W),"")</f>
        <v>0.26777528959053443</v>
      </c>
      <c r="AG80" s="124">
        <f>IFERROR(_xlfn.XLOOKUP($D80,'Modelling New'!$D:$D,'Modelling New'!$AE:$AE),"")</f>
        <v>0.96029999999999993</v>
      </c>
      <c r="AH80" s="124">
        <f>IFERROR(_xlfn.XLOOKUP($D80,'Modelling New'!$D:$D,'Modelling New'!$AF:$AF),"")</f>
        <v>0.995</v>
      </c>
      <c r="AI80" s="105">
        <f>IFERROR(_xlfn.XLOOKUP($A80,Input_Raw!$A:$A,Input_Raw!$DE:$DE),"")</f>
        <v>287.89999999999998</v>
      </c>
      <c r="AJ80" s="105"/>
      <c r="AK80" s="105"/>
      <c r="AL80" s="105"/>
      <c r="AM80" s="105"/>
      <c r="AN80" s="126">
        <f>IFERROR(_xlfn.XLOOKUP($A80,Input_Raw!$A:$A,Input_Raw!$DB:$DB),"")</f>
        <v>0.10694659892356295</v>
      </c>
      <c r="AO80" s="124">
        <f>IFERROR((_xlfn.XLOOKUP($A80,'WTG Reactive Power'!$A:$A,'WTG Reactive Power'!$AR:$AR))/X80/1000,"")</f>
        <v>7.3479077303757483E-6</v>
      </c>
      <c r="AP80" s="124">
        <f>IFERROR(_xlfn.XLOOKUP($D80,'Modelling New'!$D:$D,'Modelling New'!$AK:$AK),"")</f>
        <v>0.05</v>
      </c>
      <c r="AQ80" s="124">
        <f>IFERROR(_xlfn.XLOOKUP($D80,'Modelling New'!$D:$D,'Modelling New'!$AL:$AL),"")</f>
        <v>0.05</v>
      </c>
      <c r="AR80">
        <f>IFERROR(_xlfn.XLOOKUP($D80,'Modelling New'!$D:$D,'Modelling New'!$N:$N),"")</f>
        <v>78</v>
      </c>
    </row>
    <row r="81" spans="1:44">
      <c r="A81" s="118">
        <f t="shared" si="7"/>
        <v>45824</v>
      </c>
      <c r="B81" s="107">
        <f>YEAR(Table13[[#This Row],[Date]])+IF(MONTH(Table13[[#This Row],[Date]])&gt;=4,1,0)</f>
        <v>2026</v>
      </c>
      <c r="C81" s="105">
        <f>YEAR(Table13[[#This Row],[Date]])</f>
        <v>2025</v>
      </c>
      <c r="D81" s="119">
        <f>Table13[[#This Row],[Date]]-DAY(Table13[[#This Row],[Date]])+1</f>
        <v>45809</v>
      </c>
      <c r="E81" s="105">
        <f t="shared" si="4"/>
        <v>30</v>
      </c>
      <c r="F81" s="108"/>
      <c r="G81" s="109"/>
      <c r="H81" s="109"/>
      <c r="I81" s="109"/>
      <c r="J81" s="109"/>
      <c r="K81" s="120"/>
      <c r="L81" s="109"/>
      <c r="M81" s="109">
        <f>IFERROR(_xlfn.XLOOKUP($A81,Input_Raw!$A:$A,Input_Raw!CG:CG),"")</f>
        <v>6.9443589743589742</v>
      </c>
      <c r="N81" s="109">
        <f>IFERROR(_xlfn.XLOOKUP($A81,Input_Raw!$A:$A,Input_Raw!CH:CH),"")</f>
        <v>0</v>
      </c>
      <c r="O81" s="121">
        <f t="shared" si="6"/>
        <v>0.92250740047545288</v>
      </c>
      <c r="P81" s="121">
        <f>IFERROR(1-SUMIF(WTG_BD!$F:$F,$A81,WTG_BD!$AA:$AA)/($AA81+SUMIF(WTG_BD!$F:$F,$A81,WTG_BD!$AA:$AA)),"")</f>
        <v>0.92313237720855523</v>
      </c>
      <c r="Q81" s="122">
        <f>IFERROR(1-SUMIF(IGA_BD!$F:$F,$A81,IGA_BD!$V:$V)/($AA81+SUMIF(IGA_BD!$F:$F,$A81,IGA_BD!$V:$V)),"")</f>
        <v>0.99932298254450547</v>
      </c>
      <c r="R81" s="127">
        <f>IFERROR(1-SUMIF(Grid_BD!$F:$F,$A81,Grid_BD!$X:$X)/($AA81+SUMIF(Grid_BD!$F:$F,$A81,Grid_BD!$X:$X)),"")</f>
        <v>1</v>
      </c>
      <c r="S81" s="105"/>
      <c r="T81" s="122"/>
      <c r="U81" s="123"/>
      <c r="V81" s="105"/>
      <c r="W81" s="124">
        <f>IFERROR(Table13[[#This Row],[Mtr_Net_Exp (KWh)]]/(24*AR81*1000),"")</f>
        <v>0.42499999999999999</v>
      </c>
      <c r="X81" s="105">
        <f>IFERROR(_xlfn.XLOOKUP($A81,Input_Raw!$A:$A,Input_Raw!$CF:$CF),"")</f>
        <v>810773</v>
      </c>
      <c r="Y81" s="105">
        <f>IFERROR(_xlfn.XLOOKUP($A81,Input_Raw!$A:$A,Input_Raw!$CZ:$CZ),"")</f>
        <v>795600</v>
      </c>
      <c r="Z81" s="105">
        <f>IFERROR(_xlfn.XLOOKUP($A81,Input_Raw!$A:$A,Input_Raw!$DA:$DA),"")</f>
        <v>0</v>
      </c>
      <c r="AA81" s="107">
        <f t="shared" si="5"/>
        <v>795600</v>
      </c>
      <c r="AB81" s="105">
        <f>IFERROR(_xlfn.XLOOKUP($A81,Input_Raw!$A:$A,Input_Raw!$DG:$DG),"")</f>
        <v>78</v>
      </c>
      <c r="AC81" s="125">
        <f>IFERROR(_xlfn.XLOOKUP($D81,'Modelling New'!$D:$D,'Modelling New'!$J:$J),"")</f>
        <v>6.5666666666666664</v>
      </c>
      <c r="AD81" s="107">
        <f>IFERROR(_xlfn.XLOOKUP($D81,'Modelling New'!$D:$D,'Modelling New'!$T:$T)*1000,"")</f>
        <v>501275.34211348038</v>
      </c>
      <c r="AE81" s="124"/>
      <c r="AF81" s="124">
        <f>IFERROR(_xlfn.XLOOKUP($D81,'Modelling New'!$D:$D,'Modelling New'!$W:$W),"")</f>
        <v>0.26777528959053443</v>
      </c>
      <c r="AG81" s="124">
        <f>IFERROR(_xlfn.XLOOKUP($D81,'Modelling New'!$D:$D,'Modelling New'!$AE:$AE),"")</f>
        <v>0.96029999999999993</v>
      </c>
      <c r="AH81" s="124">
        <f>IFERROR(_xlfn.XLOOKUP($D81,'Modelling New'!$D:$D,'Modelling New'!$AF:$AF),"")</f>
        <v>0.995</v>
      </c>
      <c r="AI81" s="105">
        <f>IFERROR(_xlfn.XLOOKUP($A81,Input_Raw!$A:$A,Input_Raw!$DE:$DE),"")</f>
        <v>799.17</v>
      </c>
      <c r="AJ81" s="105"/>
      <c r="AK81" s="105"/>
      <c r="AL81" s="105"/>
      <c r="AM81" s="105"/>
      <c r="AN81" s="126">
        <f>IFERROR(_xlfn.XLOOKUP($A81,Input_Raw!$A:$A,Input_Raw!$DB:$DB),"")</f>
        <v>1.8714239374029495E-2</v>
      </c>
      <c r="AO81" s="124">
        <f>IFERROR((_xlfn.XLOOKUP($A81,'WTG Reactive Power'!$A:$A,'WTG Reactive Power'!$AR:$AR))/X81/1000,"")</f>
        <v>1.4208662597299121E-6</v>
      </c>
      <c r="AP81" s="124">
        <f>IFERROR(_xlfn.XLOOKUP($D81,'Modelling New'!$D:$D,'Modelling New'!$AK:$AK),"")</f>
        <v>0.05</v>
      </c>
      <c r="AQ81" s="124">
        <f>IFERROR(_xlfn.XLOOKUP($D81,'Modelling New'!$D:$D,'Modelling New'!$AL:$AL),"")</f>
        <v>0.05</v>
      </c>
      <c r="AR81">
        <f>IFERROR(_xlfn.XLOOKUP($D81,'Modelling New'!$D:$D,'Modelling New'!$N:$N),"")</f>
        <v>78</v>
      </c>
    </row>
    <row r="82" spans="1:44">
      <c r="A82" s="118">
        <f t="shared" si="7"/>
        <v>45825</v>
      </c>
      <c r="B82" s="107">
        <f>YEAR(Table13[[#This Row],[Date]])+IF(MONTH(Table13[[#This Row],[Date]])&gt;=4,1,0)</f>
        <v>2026</v>
      </c>
      <c r="C82" s="105">
        <f>YEAR(Table13[[#This Row],[Date]])</f>
        <v>2025</v>
      </c>
      <c r="D82" s="119">
        <f>Table13[[#This Row],[Date]]-DAY(Table13[[#This Row],[Date]])+1</f>
        <v>45809</v>
      </c>
      <c r="E82" s="105">
        <f t="shared" si="4"/>
        <v>30</v>
      </c>
      <c r="F82" s="108"/>
      <c r="G82" s="109"/>
      <c r="H82" s="109"/>
      <c r="I82" s="109"/>
      <c r="J82" s="109"/>
      <c r="K82" s="120"/>
      <c r="L82" s="109"/>
      <c r="M82" s="109">
        <f>IFERROR(_xlfn.XLOOKUP($A82,Input_Raw!$A:$A,Input_Raw!CG:CG),"")</f>
        <v>7.9797435897435909</v>
      </c>
      <c r="N82" s="109">
        <f>IFERROR(_xlfn.XLOOKUP($A82,Input_Raw!$A:$A,Input_Raw!CH:CH),"")</f>
        <v>0</v>
      </c>
      <c r="O82" s="121">
        <f t="shared" si="6"/>
        <v>0.90629316650623959</v>
      </c>
      <c r="P82" s="121">
        <f>IFERROR(1-SUMIF(WTG_BD!$F:$F,$A82,WTG_BD!$AA:$AA)/($AA82+SUMIF(WTG_BD!$F:$F,$A82,WTG_BD!$AA:$AA)),"")</f>
        <v>0.90629316650623959</v>
      </c>
      <c r="Q82" s="122">
        <f>IFERROR(1-SUMIF(IGA_BD!$F:$F,$A82,IGA_BD!$V:$V)/($AA82+SUMIF(IGA_BD!$F:$F,$A82,IGA_BD!$V:$V)),"")</f>
        <v>1</v>
      </c>
      <c r="R82" s="127">
        <f>IFERROR(1-SUMIF(Grid_BD!$F:$F,$A82,Grid_BD!$X:$X)/($AA82+SUMIF(Grid_BD!$F:$F,$A82,Grid_BD!$X:$X)),"")</f>
        <v>1</v>
      </c>
      <c r="S82" s="105"/>
      <c r="T82" s="122"/>
      <c r="U82" s="123"/>
      <c r="V82" s="105"/>
      <c r="W82" s="124">
        <f>IFERROR(Table13[[#This Row],[Mtr_Net_Exp (KWh)]]/(24*AR82*1000),"")</f>
        <v>0.47884615384615387</v>
      </c>
      <c r="X82" s="105">
        <f>IFERROR(_xlfn.XLOOKUP($A82,Input_Raw!$A:$A,Input_Raw!$CF:$CF),"")</f>
        <v>911743</v>
      </c>
      <c r="Y82" s="105">
        <f>IFERROR(_xlfn.XLOOKUP($A82,Input_Raw!$A:$A,Input_Raw!$CZ:$CZ),"")</f>
        <v>896400</v>
      </c>
      <c r="Z82" s="105">
        <f>IFERROR(_xlfn.XLOOKUP($A82,Input_Raw!$A:$A,Input_Raw!$DA:$DA),"")</f>
        <v>0</v>
      </c>
      <c r="AA82" s="107">
        <f t="shared" si="5"/>
        <v>896400</v>
      </c>
      <c r="AB82" s="105">
        <f>IFERROR(_xlfn.XLOOKUP($A82,Input_Raw!$A:$A,Input_Raw!$DG:$DG),"")</f>
        <v>78</v>
      </c>
      <c r="AC82" s="125">
        <f>IFERROR(_xlfn.XLOOKUP($D82,'Modelling New'!$D:$D,'Modelling New'!$J:$J),"")</f>
        <v>6.5666666666666664</v>
      </c>
      <c r="AD82" s="107">
        <f>IFERROR(_xlfn.XLOOKUP($D82,'Modelling New'!$D:$D,'Modelling New'!$T:$T)*1000,"")</f>
        <v>501275.34211348038</v>
      </c>
      <c r="AE82" s="124"/>
      <c r="AF82" s="124">
        <f>IFERROR(_xlfn.XLOOKUP($D82,'Modelling New'!$D:$D,'Modelling New'!$W:$W),"")</f>
        <v>0.26777528959053443</v>
      </c>
      <c r="AG82" s="124">
        <f>IFERROR(_xlfn.XLOOKUP($D82,'Modelling New'!$D:$D,'Modelling New'!$AE:$AE),"")</f>
        <v>0.96029999999999993</v>
      </c>
      <c r="AH82" s="124">
        <f>IFERROR(_xlfn.XLOOKUP($D82,'Modelling New'!$D:$D,'Modelling New'!$AF:$AF),"")</f>
        <v>0.995</v>
      </c>
      <c r="AI82" s="105">
        <f>IFERROR(_xlfn.XLOOKUP($A82,Input_Raw!$A:$A,Input_Raw!$DE:$DE),"")</f>
        <v>900.13</v>
      </c>
      <c r="AJ82" s="105"/>
      <c r="AK82" s="105"/>
      <c r="AL82" s="105"/>
      <c r="AM82" s="105"/>
      <c r="AN82" s="126">
        <f>IFERROR(_xlfn.XLOOKUP($A82,Input_Raw!$A:$A,Input_Raw!$DB:$DB),"")</f>
        <v>1.6828207071510337E-2</v>
      </c>
      <c r="AO82" s="124">
        <f>IFERROR((_xlfn.XLOOKUP($A82,'WTG Reactive Power'!$A:$A,'WTG Reactive Power'!$AR:$AR))/X82/1000,"")</f>
        <v>0</v>
      </c>
      <c r="AP82" s="124">
        <f>IFERROR(_xlfn.XLOOKUP($D82,'Modelling New'!$D:$D,'Modelling New'!$AK:$AK),"")</f>
        <v>0.05</v>
      </c>
      <c r="AQ82" s="124">
        <f>IFERROR(_xlfn.XLOOKUP($D82,'Modelling New'!$D:$D,'Modelling New'!$AL:$AL),"")</f>
        <v>0.05</v>
      </c>
      <c r="AR82">
        <f>IFERROR(_xlfn.XLOOKUP($D82,'Modelling New'!$D:$D,'Modelling New'!$N:$N),"")</f>
        <v>78</v>
      </c>
    </row>
    <row r="83" spans="1:44">
      <c r="A83" s="118">
        <f t="shared" si="7"/>
        <v>45826</v>
      </c>
      <c r="B83" s="107">
        <f>YEAR(Table13[[#This Row],[Date]])+IF(MONTH(Table13[[#This Row],[Date]])&gt;=4,1,0)</f>
        <v>2026</v>
      </c>
      <c r="C83" s="105">
        <f>YEAR(Table13[[#This Row],[Date]])</f>
        <v>2025</v>
      </c>
      <c r="D83" s="119">
        <f>Table13[[#This Row],[Date]]-DAY(Table13[[#This Row],[Date]])+1</f>
        <v>45809</v>
      </c>
      <c r="E83" s="105">
        <f t="shared" si="4"/>
        <v>30</v>
      </c>
      <c r="F83" s="108"/>
      <c r="G83" s="109"/>
      <c r="H83" s="109"/>
      <c r="I83" s="109"/>
      <c r="J83" s="109"/>
      <c r="K83" s="120"/>
      <c r="L83" s="109"/>
      <c r="M83" s="109">
        <f>IFERROR(_xlfn.XLOOKUP($A83,Input_Raw!$A:$A,Input_Raw!CG:CG),"")</f>
        <v>9.8669230769230776</v>
      </c>
      <c r="N83" s="109">
        <f>IFERROR(_xlfn.XLOOKUP($A83,Input_Raw!$A:$A,Input_Raw!CH:CH),"")</f>
        <v>0</v>
      </c>
      <c r="O83" s="121">
        <f t="shared" si="6"/>
        <v>0.914124657231699</v>
      </c>
      <c r="P83" s="121">
        <f>IFERROR(1-SUMIF(WTG_BD!$F:$F,$A83,WTG_BD!$AA:$AA)/($AA83+SUMIF(WTG_BD!$F:$F,$A83,WTG_BD!$AA:$AA)),"")</f>
        <v>0.91495189934795107</v>
      </c>
      <c r="Q83" s="122">
        <f>IFERROR(1-SUMIF(IGA_BD!$F:$F,$A83,IGA_BD!$V:$V)/($AA83+SUMIF(IGA_BD!$F:$F,$A83,IGA_BD!$V:$V)),"")</f>
        <v>0.99909586272585305</v>
      </c>
      <c r="R83" s="127">
        <f>IFERROR(1-SUMIF(Grid_BD!$F:$F,$A83,Grid_BD!$X:$X)/($AA83+SUMIF(Grid_BD!$F:$F,$A83,Grid_BD!$X:$X)),"")</f>
        <v>1</v>
      </c>
      <c r="S83" s="105"/>
      <c r="T83" s="122"/>
      <c r="U83" s="123"/>
      <c r="V83" s="105"/>
      <c r="W83" s="124">
        <f>IFERROR(Table13[[#This Row],[Mtr_Net_Exp (KWh)]]/(24*AR83*1000),"")</f>
        <v>0.55192307692307696</v>
      </c>
      <c r="X83" s="105">
        <f>IFERROR(_xlfn.XLOOKUP($A83,Input_Raw!$A:$A,Input_Raw!$CF:$CF),"")</f>
        <v>1048241</v>
      </c>
      <c r="Y83" s="105">
        <f>IFERROR(_xlfn.XLOOKUP($A83,Input_Raw!$A:$A,Input_Raw!$CZ:$CZ),"")</f>
        <v>1033200</v>
      </c>
      <c r="Z83" s="105">
        <f>IFERROR(_xlfn.XLOOKUP($A83,Input_Raw!$A:$A,Input_Raw!$DA:$DA),"")</f>
        <v>0</v>
      </c>
      <c r="AA83" s="107">
        <f t="shared" si="5"/>
        <v>1033200</v>
      </c>
      <c r="AB83" s="105">
        <f>IFERROR(_xlfn.XLOOKUP($A83,Input_Raw!$A:$A,Input_Raw!$DG:$DG),"")</f>
        <v>78</v>
      </c>
      <c r="AC83" s="125">
        <f>IFERROR(_xlfn.XLOOKUP($D83,'Modelling New'!$D:$D,'Modelling New'!$J:$J),"")</f>
        <v>6.5666666666666664</v>
      </c>
      <c r="AD83" s="107">
        <f>IFERROR(_xlfn.XLOOKUP($D83,'Modelling New'!$D:$D,'Modelling New'!$T:$T)*1000,"")</f>
        <v>501275.34211348038</v>
      </c>
      <c r="AE83" s="124"/>
      <c r="AF83" s="124">
        <f>IFERROR(_xlfn.XLOOKUP($D83,'Modelling New'!$D:$D,'Modelling New'!$W:$W),"")</f>
        <v>0.26777528959053443</v>
      </c>
      <c r="AG83" s="124">
        <f>IFERROR(_xlfn.XLOOKUP($D83,'Modelling New'!$D:$D,'Modelling New'!$AE:$AE),"")</f>
        <v>0.96029999999999993</v>
      </c>
      <c r="AH83" s="124">
        <f>IFERROR(_xlfn.XLOOKUP($D83,'Modelling New'!$D:$D,'Modelling New'!$AF:$AF),"")</f>
        <v>0.995</v>
      </c>
      <c r="AI83" s="105">
        <f>IFERROR(_xlfn.XLOOKUP($A83,Input_Raw!$A:$A,Input_Raw!$DE:$DE),"")</f>
        <v>1036.6400000000001</v>
      </c>
      <c r="AJ83" s="105"/>
      <c r="AK83" s="105"/>
      <c r="AL83" s="105"/>
      <c r="AM83" s="105"/>
      <c r="AN83" s="126">
        <f>IFERROR(_xlfn.XLOOKUP($A83,Input_Raw!$A:$A,Input_Raw!$DB:$DB),"")</f>
        <v>1.4348799560406467E-2</v>
      </c>
      <c r="AO83" s="124">
        <f>IFERROR((_xlfn.XLOOKUP($A83,'WTG Reactive Power'!$A:$A,'WTG Reactive Power'!$AR:$AR))/X83/1000,"")</f>
        <v>0</v>
      </c>
      <c r="AP83" s="124">
        <f>IFERROR(_xlfn.XLOOKUP($D83,'Modelling New'!$D:$D,'Modelling New'!$AK:$AK),"")</f>
        <v>0.05</v>
      </c>
      <c r="AQ83" s="124">
        <f>IFERROR(_xlfn.XLOOKUP($D83,'Modelling New'!$D:$D,'Modelling New'!$AL:$AL),"")</f>
        <v>0.05</v>
      </c>
      <c r="AR83">
        <f>IFERROR(_xlfn.XLOOKUP($D83,'Modelling New'!$D:$D,'Modelling New'!$N:$N),"")</f>
        <v>78</v>
      </c>
    </row>
    <row r="84" spans="1:44">
      <c r="A84" s="118">
        <f t="shared" si="7"/>
        <v>45827</v>
      </c>
      <c r="B84" s="107">
        <f>YEAR(Table13[[#This Row],[Date]])+IF(MONTH(Table13[[#This Row],[Date]])&gt;=4,1,0)</f>
        <v>2026</v>
      </c>
      <c r="C84" s="105">
        <f>YEAR(Table13[[#This Row],[Date]])</f>
        <v>2025</v>
      </c>
      <c r="D84" s="119">
        <f>Table13[[#This Row],[Date]]-DAY(Table13[[#This Row],[Date]])+1</f>
        <v>45809</v>
      </c>
      <c r="E84" s="105">
        <f t="shared" si="4"/>
        <v>30</v>
      </c>
      <c r="F84" s="108"/>
      <c r="G84" s="109"/>
      <c r="H84" s="109"/>
      <c r="I84" s="109"/>
      <c r="J84" s="109"/>
      <c r="K84" s="120"/>
      <c r="L84" s="109"/>
      <c r="M84" s="109">
        <f>IFERROR(_xlfn.XLOOKUP($A84,Input_Raw!$A:$A,Input_Raw!CG:CG),"")</f>
        <v>7.5602564102564127</v>
      </c>
      <c r="N84" s="109">
        <f>IFERROR(_xlfn.XLOOKUP($A84,Input_Raw!$A:$A,Input_Raw!CH:CH),"")</f>
        <v>0</v>
      </c>
      <c r="O84" s="121">
        <f t="shared" si="6"/>
        <v>0.91458023341298278</v>
      </c>
      <c r="P84" s="121">
        <f>IFERROR(1-SUMIF(WTG_BD!$F:$F,$A84,WTG_BD!$AA:$AA)/($AA84+SUMIF(WTG_BD!$F:$F,$A84,WTG_BD!$AA:$AA)),"")</f>
        <v>0.91458023341298278</v>
      </c>
      <c r="Q84" s="122">
        <f>IFERROR(1-SUMIF(IGA_BD!$F:$F,$A84,IGA_BD!$V:$V)/($AA84+SUMIF(IGA_BD!$F:$F,$A84,IGA_BD!$V:$V)),"")</f>
        <v>1</v>
      </c>
      <c r="R84" s="127">
        <f>IFERROR(1-SUMIF(Grid_BD!$F:$F,$A84,Grid_BD!$X:$X)/($AA84+SUMIF(Grid_BD!$F:$F,$A84,Grid_BD!$X:$X)),"")</f>
        <v>1</v>
      </c>
      <c r="S84" s="105"/>
      <c r="T84" s="122"/>
      <c r="U84" s="123"/>
      <c r="V84" s="105"/>
      <c r="W84" s="124">
        <f>IFERROR(Table13[[#This Row],[Mtr_Net_Exp (KWh)]]/(24*AR84*1000),"")</f>
        <v>0.491025641025641</v>
      </c>
      <c r="X84" s="105">
        <f>IFERROR(_xlfn.XLOOKUP($A84,Input_Raw!$A:$A,Input_Raw!$CF:$CF),"")</f>
        <v>933641</v>
      </c>
      <c r="Y84" s="105">
        <f>IFERROR(_xlfn.XLOOKUP($A84,Input_Raw!$A:$A,Input_Raw!$CZ:$CZ),"")</f>
        <v>919200</v>
      </c>
      <c r="Z84" s="105">
        <f>IFERROR(_xlfn.XLOOKUP($A84,Input_Raw!$A:$A,Input_Raw!$DA:$DA),"")</f>
        <v>0</v>
      </c>
      <c r="AA84" s="107">
        <f t="shared" si="5"/>
        <v>919200</v>
      </c>
      <c r="AB84" s="105">
        <f>IFERROR(_xlfn.XLOOKUP($A84,Input_Raw!$A:$A,Input_Raw!$DG:$DG),"")</f>
        <v>78</v>
      </c>
      <c r="AC84" s="125">
        <f>IFERROR(_xlfn.XLOOKUP($D84,'Modelling New'!$D:$D,'Modelling New'!$J:$J),"")</f>
        <v>6.5666666666666664</v>
      </c>
      <c r="AD84" s="107">
        <f>IFERROR(_xlfn.XLOOKUP($D84,'Modelling New'!$D:$D,'Modelling New'!$T:$T)*1000,"")</f>
        <v>501275.34211348038</v>
      </c>
      <c r="AE84" s="124"/>
      <c r="AF84" s="124">
        <f>IFERROR(_xlfn.XLOOKUP($D84,'Modelling New'!$D:$D,'Modelling New'!$W:$W),"")</f>
        <v>0.26777528959053443</v>
      </c>
      <c r="AG84" s="124">
        <f>IFERROR(_xlfn.XLOOKUP($D84,'Modelling New'!$D:$D,'Modelling New'!$AE:$AE),"")</f>
        <v>0.96029999999999993</v>
      </c>
      <c r="AH84" s="124">
        <f>IFERROR(_xlfn.XLOOKUP($D84,'Modelling New'!$D:$D,'Modelling New'!$AF:$AF),"")</f>
        <v>0.995</v>
      </c>
      <c r="AI84" s="105">
        <f>IFERROR(_xlfn.XLOOKUP($A84,Input_Raw!$A:$A,Input_Raw!$DE:$DE),"")</f>
        <v>922.04</v>
      </c>
      <c r="AJ84" s="105"/>
      <c r="AK84" s="105"/>
      <c r="AL84" s="105"/>
      <c r="AM84" s="105"/>
      <c r="AN84" s="126">
        <f>IFERROR(_xlfn.XLOOKUP($A84,Input_Raw!$A:$A,Input_Raw!$DB:$DB),"")</f>
        <v>1.5467401281648918E-2</v>
      </c>
      <c r="AO84" s="124">
        <f>IFERROR((_xlfn.XLOOKUP($A84,'WTG Reactive Power'!$A:$A,'WTG Reactive Power'!$AR:$AR))/X84/1000,"")</f>
        <v>0</v>
      </c>
      <c r="AP84" s="124">
        <f>IFERROR(_xlfn.XLOOKUP($D84,'Modelling New'!$D:$D,'Modelling New'!$AK:$AK),"")</f>
        <v>0.05</v>
      </c>
      <c r="AQ84" s="124">
        <f>IFERROR(_xlfn.XLOOKUP($D84,'Modelling New'!$D:$D,'Modelling New'!$AL:$AL),"")</f>
        <v>0.05</v>
      </c>
      <c r="AR84">
        <f>IFERROR(_xlfn.XLOOKUP($D84,'Modelling New'!$D:$D,'Modelling New'!$N:$N),"")</f>
        <v>78</v>
      </c>
    </row>
    <row r="85" spans="1:44">
      <c r="A85" s="118">
        <f t="shared" si="7"/>
        <v>45828</v>
      </c>
      <c r="B85" s="107">
        <f>YEAR(Table13[[#This Row],[Date]])+IF(MONTH(Table13[[#This Row],[Date]])&gt;=4,1,0)</f>
        <v>2026</v>
      </c>
      <c r="C85" s="105">
        <f>YEAR(Table13[[#This Row],[Date]])</f>
        <v>2025</v>
      </c>
      <c r="D85" s="119">
        <f>Table13[[#This Row],[Date]]-DAY(Table13[[#This Row],[Date]])+1</f>
        <v>45809</v>
      </c>
      <c r="E85" s="105">
        <f t="shared" si="4"/>
        <v>30</v>
      </c>
      <c r="F85" s="108"/>
      <c r="G85" s="109"/>
      <c r="H85" s="109"/>
      <c r="I85" s="109"/>
      <c r="J85" s="109"/>
      <c r="K85" s="120"/>
      <c r="L85" s="109"/>
      <c r="M85" s="109">
        <f>IFERROR(_xlfn.XLOOKUP($A85,Input_Raw!$A:$A,Input_Raw!CG:CG),"")</f>
        <v>9.1527367782697269</v>
      </c>
      <c r="N85" s="109">
        <f>IFERROR(_xlfn.XLOOKUP($A85,Input_Raw!$A:$A,Input_Raw!CH:CH),"")</f>
        <v>0</v>
      </c>
      <c r="O85" s="121">
        <f t="shared" si="6"/>
        <v>0.92082120437964154</v>
      </c>
      <c r="P85" s="121">
        <f>IFERROR(1-SUMIF(WTG_BD!$F:$F,$A85,WTG_BD!$AA:$AA)/($AA85+SUMIF(WTG_BD!$F:$F,$A85,WTG_BD!$AA:$AA)),"")</f>
        <v>0.92082120437964154</v>
      </c>
      <c r="Q85" s="122">
        <f>IFERROR(1-SUMIF(IGA_BD!$F:$F,$A85,IGA_BD!$V:$V)/($AA85+SUMIF(IGA_BD!$F:$F,$A85,IGA_BD!$V:$V)),"")</f>
        <v>1</v>
      </c>
      <c r="R85" s="127">
        <f>IFERROR(1-SUMIF(Grid_BD!$F:$F,$A85,Grid_BD!$X:$X)/($AA85+SUMIF(Grid_BD!$F:$F,$A85,Grid_BD!$X:$X)),"")</f>
        <v>1</v>
      </c>
      <c r="S85" s="105"/>
      <c r="T85" s="122"/>
      <c r="U85" s="123"/>
      <c r="V85" s="105"/>
      <c r="W85" s="124">
        <f>IFERROR(Table13[[#This Row],[Mtr_Net_Exp (KWh)]]/(24*AR85*1000),"")</f>
        <v>0.54743589743589749</v>
      </c>
      <c r="X85" s="105">
        <f>IFERROR(_xlfn.XLOOKUP($A85,Input_Raw!$A:$A,Input_Raw!$CF:$CF),"")</f>
        <v>1039356</v>
      </c>
      <c r="Y85" s="105">
        <f>IFERROR(_xlfn.XLOOKUP($A85,Input_Raw!$A:$A,Input_Raw!$CZ:$CZ),"")</f>
        <v>1024800</v>
      </c>
      <c r="Z85" s="105">
        <f>IFERROR(_xlfn.XLOOKUP($A85,Input_Raw!$A:$A,Input_Raw!$DA:$DA),"")</f>
        <v>0</v>
      </c>
      <c r="AA85" s="107">
        <f t="shared" si="5"/>
        <v>1024800</v>
      </c>
      <c r="AB85" s="105">
        <f>IFERROR(_xlfn.XLOOKUP($A85,Input_Raw!$A:$A,Input_Raw!$DG:$DG),"")</f>
        <v>78</v>
      </c>
      <c r="AC85" s="125">
        <f>IFERROR(_xlfn.XLOOKUP($D85,'Modelling New'!$D:$D,'Modelling New'!$J:$J),"")</f>
        <v>6.5666666666666664</v>
      </c>
      <c r="AD85" s="107">
        <f>IFERROR(_xlfn.XLOOKUP($D85,'Modelling New'!$D:$D,'Modelling New'!$T:$T)*1000,"")</f>
        <v>501275.34211348038</v>
      </c>
      <c r="AE85" s="124"/>
      <c r="AF85" s="124">
        <f>IFERROR(_xlfn.XLOOKUP($D85,'Modelling New'!$D:$D,'Modelling New'!$W:$W),"")</f>
        <v>0.26777528959053443</v>
      </c>
      <c r="AG85" s="124">
        <f>IFERROR(_xlfn.XLOOKUP($D85,'Modelling New'!$D:$D,'Modelling New'!$AE:$AE),"")</f>
        <v>0.96029999999999993</v>
      </c>
      <c r="AH85" s="124">
        <f>IFERROR(_xlfn.XLOOKUP($D85,'Modelling New'!$D:$D,'Modelling New'!$AF:$AF),"")</f>
        <v>0.995</v>
      </c>
      <c r="AI85" s="105">
        <f>IFERROR(_xlfn.XLOOKUP($A85,Input_Raw!$A:$A,Input_Raw!$DE:$DE),"")</f>
        <v>1027.75</v>
      </c>
      <c r="AJ85" s="105"/>
      <c r="AK85" s="105"/>
      <c r="AL85" s="105"/>
      <c r="AM85" s="105"/>
      <c r="AN85" s="126">
        <f>IFERROR(_xlfn.XLOOKUP($A85,Input_Raw!$A:$A,Input_Raw!$DB:$DB),"")</f>
        <v>1.4004826065371234E-2</v>
      </c>
      <c r="AO85" s="124">
        <f>IFERROR((_xlfn.XLOOKUP($A85,'WTG Reactive Power'!$A:$A,'WTG Reactive Power'!$AR:$AR))/X85/1000,"")</f>
        <v>0</v>
      </c>
      <c r="AP85" s="124">
        <f>IFERROR(_xlfn.XLOOKUP($D85,'Modelling New'!$D:$D,'Modelling New'!$AK:$AK),"")</f>
        <v>0.05</v>
      </c>
      <c r="AQ85" s="124">
        <f>IFERROR(_xlfn.XLOOKUP($D85,'Modelling New'!$D:$D,'Modelling New'!$AL:$AL),"")</f>
        <v>0.05</v>
      </c>
      <c r="AR85">
        <f>IFERROR(_xlfn.XLOOKUP($D85,'Modelling New'!$D:$D,'Modelling New'!$N:$N),"")</f>
        <v>78</v>
      </c>
    </row>
    <row r="86" spans="1:44">
      <c r="A86" s="118">
        <f t="shared" si="7"/>
        <v>45829</v>
      </c>
      <c r="B86" s="107">
        <f>YEAR(Table13[[#This Row],[Date]])+IF(MONTH(Table13[[#This Row],[Date]])&gt;=4,1,0)</f>
        <v>2026</v>
      </c>
      <c r="C86" s="105">
        <f>YEAR(Table13[[#This Row],[Date]])</f>
        <v>2025</v>
      </c>
      <c r="D86" s="119">
        <f>Table13[[#This Row],[Date]]-DAY(Table13[[#This Row],[Date]])+1</f>
        <v>45809</v>
      </c>
      <c r="E86" s="105">
        <f t="shared" si="4"/>
        <v>30</v>
      </c>
      <c r="F86" s="108"/>
      <c r="G86" s="109"/>
      <c r="H86" s="109"/>
      <c r="I86" s="109"/>
      <c r="J86" s="109"/>
      <c r="K86" s="120"/>
      <c r="L86" s="109"/>
      <c r="M86" s="109">
        <f>IFERROR(_xlfn.XLOOKUP($A86,Input_Raw!$A:$A,Input_Raw!CG:CG),"")</f>
        <v>8.5607414696975752</v>
      </c>
      <c r="N86" s="109">
        <f>IFERROR(_xlfn.XLOOKUP($A86,Input_Raw!$A:$A,Input_Raw!CH:CH),"")</f>
        <v>0</v>
      </c>
      <c r="O86" s="121">
        <f t="shared" si="6"/>
        <v>0.90797855457935417</v>
      </c>
      <c r="P86" s="121">
        <f>IFERROR(1-SUMIF(WTG_BD!$F:$F,$A86,WTG_BD!$AA:$AA)/($AA86+SUMIF(WTG_BD!$F:$F,$A86,WTG_BD!$AA:$AA)),"")</f>
        <v>0.90797855457935417</v>
      </c>
      <c r="Q86" s="122">
        <f>IFERROR(1-SUMIF(IGA_BD!$F:$F,$A86,IGA_BD!$V:$V)/($AA86+SUMIF(IGA_BD!$F:$F,$A86,IGA_BD!$V:$V)),"")</f>
        <v>1</v>
      </c>
      <c r="R86" s="127">
        <f>IFERROR(1-SUMIF(Grid_BD!$F:$F,$A86,Grid_BD!$X:$X)/($AA86+SUMIF(Grid_BD!$F:$F,$A86,Grid_BD!$X:$X)),"")</f>
        <v>1</v>
      </c>
      <c r="S86" s="105"/>
      <c r="T86" s="122"/>
      <c r="U86" s="123"/>
      <c r="V86" s="105"/>
      <c r="W86" s="124">
        <f>IFERROR(Table13[[#This Row],[Mtr_Net_Exp (KWh)]]/(24*AR86*1000),"")</f>
        <v>0.50576923076923075</v>
      </c>
      <c r="X86" s="105">
        <f>IFERROR(_xlfn.XLOOKUP($A86,Input_Raw!$A:$A,Input_Raw!$CF:$CF),"")</f>
        <v>961356</v>
      </c>
      <c r="Y86" s="105">
        <f>IFERROR(_xlfn.XLOOKUP($A86,Input_Raw!$A:$A,Input_Raw!$CZ:$CZ),"")</f>
        <v>946800</v>
      </c>
      <c r="Z86" s="105">
        <f>IFERROR(_xlfn.XLOOKUP($A86,Input_Raw!$A:$A,Input_Raw!$DA:$DA),"")</f>
        <v>0</v>
      </c>
      <c r="AA86" s="107">
        <f t="shared" si="5"/>
        <v>946800</v>
      </c>
      <c r="AB86" s="105">
        <f>IFERROR(_xlfn.XLOOKUP($A86,Input_Raw!$A:$A,Input_Raw!$DG:$DG),"")</f>
        <v>78</v>
      </c>
      <c r="AC86" s="125">
        <f>IFERROR(_xlfn.XLOOKUP($D86,'Modelling New'!$D:$D,'Modelling New'!$J:$J),"")</f>
        <v>6.5666666666666664</v>
      </c>
      <c r="AD86" s="107">
        <f>IFERROR(_xlfn.XLOOKUP($D86,'Modelling New'!$D:$D,'Modelling New'!$T:$T)*1000,"")</f>
        <v>501275.34211348038</v>
      </c>
      <c r="AE86" s="124"/>
      <c r="AF86" s="124">
        <f>IFERROR(_xlfn.XLOOKUP($D86,'Modelling New'!$D:$D,'Modelling New'!$W:$W),"")</f>
        <v>0.26777528959053443</v>
      </c>
      <c r="AG86" s="124">
        <f>IFERROR(_xlfn.XLOOKUP($D86,'Modelling New'!$D:$D,'Modelling New'!$AE:$AE),"")</f>
        <v>0.96029999999999993</v>
      </c>
      <c r="AH86" s="124">
        <f>IFERROR(_xlfn.XLOOKUP($D86,'Modelling New'!$D:$D,'Modelling New'!$AF:$AF),"")</f>
        <v>0.995</v>
      </c>
      <c r="AI86" s="105">
        <f>IFERROR(_xlfn.XLOOKUP($A86,Input_Raw!$A:$A,Input_Raw!$DE:$DE),"")</f>
        <v>949.75</v>
      </c>
      <c r="AJ86" s="105"/>
      <c r="AK86" s="105"/>
      <c r="AL86" s="105"/>
      <c r="AM86" s="105"/>
      <c r="AN86" s="126">
        <f>IFERROR(_xlfn.XLOOKUP($A86,Input_Raw!$A:$A,Input_Raw!$DB:$DB),"")</f>
        <v>1.5141113177636556E-2</v>
      </c>
      <c r="AO86" s="124">
        <f>IFERROR((_xlfn.XLOOKUP($A86,'WTG Reactive Power'!$A:$A,'WTG Reactive Power'!$AR:$AR))/X86/1000,"")</f>
        <v>0</v>
      </c>
      <c r="AP86" s="124">
        <f>IFERROR(_xlfn.XLOOKUP($D86,'Modelling New'!$D:$D,'Modelling New'!$AK:$AK),"")</f>
        <v>0.05</v>
      </c>
      <c r="AQ86" s="124">
        <f>IFERROR(_xlfn.XLOOKUP($D86,'Modelling New'!$D:$D,'Modelling New'!$AL:$AL),"")</f>
        <v>0.05</v>
      </c>
      <c r="AR86">
        <f>IFERROR(_xlfn.XLOOKUP($D86,'Modelling New'!$D:$D,'Modelling New'!$N:$N),"")</f>
        <v>78</v>
      </c>
    </row>
    <row r="87" spans="1:44">
      <c r="A87" s="118">
        <f t="shared" si="7"/>
        <v>45830</v>
      </c>
      <c r="B87" s="107">
        <f>YEAR(Table13[[#This Row],[Date]])+IF(MONTH(Table13[[#This Row],[Date]])&gt;=4,1,0)</f>
        <v>2026</v>
      </c>
      <c r="C87" s="105">
        <f>YEAR(Table13[[#This Row],[Date]])</f>
        <v>2025</v>
      </c>
      <c r="D87" s="119">
        <f>Table13[[#This Row],[Date]]-DAY(Table13[[#This Row],[Date]])+1</f>
        <v>45809</v>
      </c>
      <c r="E87" s="105">
        <f t="shared" si="4"/>
        <v>30</v>
      </c>
      <c r="F87" s="108"/>
      <c r="G87" s="109"/>
      <c r="H87" s="109"/>
      <c r="I87" s="109"/>
      <c r="J87" s="109"/>
      <c r="K87" s="120"/>
      <c r="L87" s="109"/>
      <c r="M87" s="109">
        <f>IFERROR(_xlfn.XLOOKUP($A87,Input_Raw!$A:$A,Input_Raw!CG:CG),"")</f>
        <v>7.9797435897435909</v>
      </c>
      <c r="N87" s="109">
        <f>IFERROR(_xlfn.XLOOKUP($A87,Input_Raw!$A:$A,Input_Raw!CH:CH),"")</f>
        <v>0</v>
      </c>
      <c r="O87" s="121">
        <f t="shared" si="6"/>
        <v>0.91681072322066393</v>
      </c>
      <c r="P87" s="121">
        <f>IFERROR(1-SUMIF(WTG_BD!$F:$F,$A87,WTG_BD!$AA:$AA)/($AA87+SUMIF(WTG_BD!$F:$F,$A87,WTG_BD!$AA:$AA)),"")</f>
        <v>0.91681072322066393</v>
      </c>
      <c r="Q87" s="122">
        <f>IFERROR(1-SUMIF(IGA_BD!$F:$F,$A87,IGA_BD!$V:$V)/($AA87+SUMIF(IGA_BD!$F:$F,$A87,IGA_BD!$V:$V)),"")</f>
        <v>1</v>
      </c>
      <c r="R87" s="127">
        <f>IFERROR(1-SUMIF(Grid_BD!$F:$F,$A87,Grid_BD!$X:$X)/($AA87+SUMIF(Grid_BD!$F:$F,$A87,Grid_BD!$X:$X)),"")</f>
        <v>1</v>
      </c>
      <c r="S87" s="105"/>
      <c r="T87" s="122"/>
      <c r="U87" s="123"/>
      <c r="V87" s="105"/>
      <c r="W87" s="124">
        <f>IFERROR(Table13[[#This Row],[Mtr_Net_Exp (KWh)]]/(24*AR87*1000),"")</f>
        <v>0.48910256410256409</v>
      </c>
      <c r="X87" s="105">
        <f>IFERROR(_xlfn.XLOOKUP($A87,Input_Raw!$A:$A,Input_Raw!$CF:$CF),"")</f>
        <v>930291</v>
      </c>
      <c r="Y87" s="105">
        <f>IFERROR(_xlfn.XLOOKUP($A87,Input_Raw!$A:$A,Input_Raw!$CZ:$CZ),"")</f>
        <v>915600</v>
      </c>
      <c r="Z87" s="105">
        <f>IFERROR(_xlfn.XLOOKUP($A87,Input_Raw!$A:$A,Input_Raw!$DA:$DA),"")</f>
        <v>0</v>
      </c>
      <c r="AA87" s="107">
        <f t="shared" si="5"/>
        <v>915600</v>
      </c>
      <c r="AB87" s="105">
        <f>IFERROR(_xlfn.XLOOKUP($A87,Input_Raw!$A:$A,Input_Raw!$DG:$DG),"")</f>
        <v>78</v>
      </c>
      <c r="AC87" s="125">
        <f>IFERROR(_xlfn.XLOOKUP($D87,'Modelling New'!$D:$D,'Modelling New'!$J:$J),"")</f>
        <v>6.5666666666666664</v>
      </c>
      <c r="AD87" s="107">
        <f>IFERROR(_xlfn.XLOOKUP($D87,'Modelling New'!$D:$D,'Modelling New'!$T:$T)*1000,"")</f>
        <v>501275.34211348038</v>
      </c>
      <c r="AE87" s="124"/>
      <c r="AF87" s="124">
        <f>IFERROR(_xlfn.XLOOKUP($D87,'Modelling New'!$D:$D,'Modelling New'!$W:$W),"")</f>
        <v>0.26777528959053443</v>
      </c>
      <c r="AG87" s="124">
        <f>IFERROR(_xlfn.XLOOKUP($D87,'Modelling New'!$D:$D,'Modelling New'!$AE:$AE),"")</f>
        <v>0.96029999999999993</v>
      </c>
      <c r="AH87" s="124">
        <f>IFERROR(_xlfn.XLOOKUP($D87,'Modelling New'!$D:$D,'Modelling New'!$AF:$AF),"")</f>
        <v>0.995</v>
      </c>
      <c r="AI87" s="105">
        <f>IFERROR(_xlfn.XLOOKUP($A87,Input_Raw!$A:$A,Input_Raw!$DE:$DE),"")</f>
        <v>918.69</v>
      </c>
      <c r="AJ87" s="105"/>
      <c r="AK87" s="105"/>
      <c r="AL87" s="105"/>
      <c r="AM87" s="105"/>
      <c r="AN87" s="126">
        <f>IFERROR(_xlfn.XLOOKUP($A87,Input_Raw!$A:$A,Input_Raw!$DB:$DB),"")</f>
        <v>1.5791832878099488E-2</v>
      </c>
      <c r="AO87" s="124">
        <f>IFERROR((_xlfn.XLOOKUP($A87,'WTG Reactive Power'!$A:$A,'WTG Reactive Power'!$AR:$AR))/X87/1000,"")</f>
        <v>0</v>
      </c>
      <c r="AP87" s="124">
        <f>IFERROR(_xlfn.XLOOKUP($D87,'Modelling New'!$D:$D,'Modelling New'!$AK:$AK),"")</f>
        <v>0.05</v>
      </c>
      <c r="AQ87" s="124">
        <f>IFERROR(_xlfn.XLOOKUP($D87,'Modelling New'!$D:$D,'Modelling New'!$AL:$AL),"")</f>
        <v>0.05</v>
      </c>
      <c r="AR87">
        <f>IFERROR(_xlfn.XLOOKUP($D87,'Modelling New'!$D:$D,'Modelling New'!$N:$N),"")</f>
        <v>78</v>
      </c>
    </row>
    <row r="88" spans="1:44">
      <c r="A88" s="118">
        <f t="shared" si="7"/>
        <v>45831</v>
      </c>
      <c r="B88" s="107">
        <f>YEAR(Table13[[#This Row],[Date]])+IF(MONTH(Table13[[#This Row],[Date]])&gt;=4,1,0)</f>
        <v>2026</v>
      </c>
      <c r="C88" s="105">
        <f>YEAR(Table13[[#This Row],[Date]])</f>
        <v>2025</v>
      </c>
      <c r="D88" s="119">
        <f>Table13[[#This Row],[Date]]-DAY(Table13[[#This Row],[Date]])+1</f>
        <v>45809</v>
      </c>
      <c r="E88" s="105">
        <f t="shared" si="4"/>
        <v>30</v>
      </c>
      <c r="F88" s="108"/>
      <c r="G88" s="109"/>
      <c r="H88" s="109"/>
      <c r="I88" s="109"/>
      <c r="J88" s="109"/>
      <c r="K88" s="120"/>
      <c r="L88" s="109"/>
      <c r="M88" s="109">
        <f>IFERROR(_xlfn.XLOOKUP($A88,Input_Raw!$A:$A,Input_Raw!CG:CG),"")</f>
        <v>8.6466945508751873</v>
      </c>
      <c r="N88" s="109">
        <f>IFERROR(_xlfn.XLOOKUP($A88,Input_Raw!$A:$A,Input_Raw!CH:CH),"")</f>
        <v>0</v>
      </c>
      <c r="O88" s="121">
        <f t="shared" si="6"/>
        <v>0.91791788332252244</v>
      </c>
      <c r="P88" s="121">
        <f>IFERROR(1-SUMIF(WTG_BD!$F:$F,$A88,WTG_BD!$AA:$AA)/($AA88+SUMIF(WTG_BD!$F:$F,$A88,WTG_BD!$AA:$AA)),"")</f>
        <v>0.91791788332252244</v>
      </c>
      <c r="Q88" s="122">
        <f>IFERROR(1-SUMIF(IGA_BD!$F:$F,$A88,IGA_BD!$V:$V)/($AA88+SUMIF(IGA_BD!$F:$F,$A88,IGA_BD!$V:$V)),"")</f>
        <v>1</v>
      </c>
      <c r="R88" s="127">
        <f>IFERROR(1-SUMIF(Grid_BD!$F:$F,$A88,Grid_BD!$X:$X)/($AA88+SUMIF(Grid_BD!$F:$F,$A88,Grid_BD!$X:$X)),"")</f>
        <v>1</v>
      </c>
      <c r="S88" s="105"/>
      <c r="T88" s="122"/>
      <c r="U88" s="123"/>
      <c r="V88" s="105"/>
      <c r="W88" s="124">
        <f>IFERROR(Table13[[#This Row],[Mtr_Net_Exp (KWh)]]/(24*AR88*1000),"")</f>
        <v>0.58910256410256412</v>
      </c>
      <c r="X88" s="105">
        <f>IFERROR(_xlfn.XLOOKUP($A88,Input_Raw!$A:$A,Input_Raw!$CF:$CF),"")</f>
        <v>1117630</v>
      </c>
      <c r="Y88" s="105">
        <f>IFERROR(_xlfn.XLOOKUP($A88,Input_Raw!$A:$A,Input_Raw!$CZ:$CZ),"")</f>
        <v>1102800</v>
      </c>
      <c r="Z88" s="105">
        <f>IFERROR(_xlfn.XLOOKUP($A88,Input_Raw!$A:$A,Input_Raw!$DA:$DA),"")</f>
        <v>0</v>
      </c>
      <c r="AA88" s="107">
        <f t="shared" si="5"/>
        <v>1102800</v>
      </c>
      <c r="AB88" s="105">
        <f>IFERROR(_xlfn.XLOOKUP($A88,Input_Raw!$A:$A,Input_Raw!$DG:$DG),"")</f>
        <v>78</v>
      </c>
      <c r="AC88" s="125">
        <f>IFERROR(_xlfn.XLOOKUP($D88,'Modelling New'!$D:$D,'Modelling New'!$J:$J),"")</f>
        <v>6.5666666666666664</v>
      </c>
      <c r="AD88" s="107">
        <f>IFERROR(_xlfn.XLOOKUP($D88,'Modelling New'!$D:$D,'Modelling New'!$T:$T)*1000,"")</f>
        <v>501275.34211348038</v>
      </c>
      <c r="AE88" s="124"/>
      <c r="AF88" s="124">
        <f>IFERROR(_xlfn.XLOOKUP($D88,'Modelling New'!$D:$D,'Modelling New'!$W:$W),"")</f>
        <v>0.26777528959053443</v>
      </c>
      <c r="AG88" s="124">
        <f>IFERROR(_xlfn.XLOOKUP($D88,'Modelling New'!$D:$D,'Modelling New'!$AE:$AE),"")</f>
        <v>0.96029999999999993</v>
      </c>
      <c r="AH88" s="124">
        <f>IFERROR(_xlfn.XLOOKUP($D88,'Modelling New'!$D:$D,'Modelling New'!$AF:$AF),"")</f>
        <v>0.995</v>
      </c>
      <c r="AI88" s="105">
        <f>IFERROR(_xlfn.XLOOKUP($A88,Input_Raw!$A:$A,Input_Raw!$DE:$DE),"")</f>
        <v>1106.03</v>
      </c>
      <c r="AJ88" s="105"/>
      <c r="AK88" s="105"/>
      <c r="AL88" s="105"/>
      <c r="AM88" s="105"/>
      <c r="AN88" s="126">
        <f>IFERROR(_xlfn.XLOOKUP($A88,Input_Raw!$A:$A,Input_Raw!$DB:$DB),"")</f>
        <v>1.3269149897551014E-2</v>
      </c>
      <c r="AO88" s="124">
        <f>IFERROR((_xlfn.XLOOKUP($A88,'WTG Reactive Power'!$A:$A,'WTG Reactive Power'!$AR:$AR))/X88/1000,"")</f>
        <v>0</v>
      </c>
      <c r="AP88" s="124">
        <f>IFERROR(_xlfn.XLOOKUP($D88,'Modelling New'!$D:$D,'Modelling New'!$AK:$AK),"")</f>
        <v>0.05</v>
      </c>
      <c r="AQ88" s="124">
        <f>IFERROR(_xlfn.XLOOKUP($D88,'Modelling New'!$D:$D,'Modelling New'!$AL:$AL),"")</f>
        <v>0.05</v>
      </c>
      <c r="AR88">
        <f>IFERROR(_xlfn.XLOOKUP($D88,'Modelling New'!$D:$D,'Modelling New'!$N:$N),"")</f>
        <v>78</v>
      </c>
    </row>
    <row r="89" spans="1:44">
      <c r="A89" s="118">
        <f t="shared" si="7"/>
        <v>45832</v>
      </c>
      <c r="B89" s="107">
        <f>YEAR(Table13[[#This Row],[Date]])+IF(MONTH(Table13[[#This Row],[Date]])&gt;=4,1,0)</f>
        <v>2026</v>
      </c>
      <c r="C89" s="105">
        <f>YEAR(Table13[[#This Row],[Date]])</f>
        <v>2025</v>
      </c>
      <c r="D89" s="119">
        <f>Table13[[#This Row],[Date]]-DAY(Table13[[#This Row],[Date]])+1</f>
        <v>45809</v>
      </c>
      <c r="E89" s="105">
        <f t="shared" si="4"/>
        <v>30</v>
      </c>
      <c r="F89" s="108"/>
      <c r="G89" s="109"/>
      <c r="H89" s="109"/>
      <c r="I89" s="109"/>
      <c r="J89" s="109"/>
      <c r="K89" s="120"/>
      <c r="L89" s="109"/>
      <c r="M89" s="109">
        <f>IFERROR(_xlfn.XLOOKUP($A89,Input_Raw!$A:$A,Input_Raw!CG:CG),"")</f>
        <v>7.7648717948717962</v>
      </c>
      <c r="N89" s="109">
        <f>IFERROR(_xlfn.XLOOKUP($A89,Input_Raw!$A:$A,Input_Raw!CH:CH),"")</f>
        <v>0</v>
      </c>
      <c r="O89" s="121">
        <f t="shared" si="6"/>
        <v>0.9190030020214357</v>
      </c>
      <c r="P89" s="121">
        <f>IFERROR(1-SUMIF(WTG_BD!$F:$F,$A89,WTG_BD!$AA:$AA)/($AA89+SUMIF(WTG_BD!$F:$F,$A89,WTG_BD!$AA:$AA)),"")</f>
        <v>0.9190030020214357</v>
      </c>
      <c r="Q89" s="122">
        <f>IFERROR(1-SUMIF(IGA_BD!$F:$F,$A89,IGA_BD!$V:$V)/($AA89+SUMIF(IGA_BD!$F:$F,$A89,IGA_BD!$V:$V)),"")</f>
        <v>1</v>
      </c>
      <c r="R89" s="127">
        <f>IFERROR(1-SUMIF(Grid_BD!$F:$F,$A89,Grid_BD!$X:$X)/($AA89+SUMIF(Grid_BD!$F:$F,$A89,Grid_BD!$X:$X)),"")</f>
        <v>1</v>
      </c>
      <c r="S89" s="105"/>
      <c r="T89" s="122"/>
      <c r="U89" s="123"/>
      <c r="V89" s="105"/>
      <c r="W89" s="124">
        <f>IFERROR(Table13[[#This Row],[Mtr_Net_Exp (KWh)]]/(24*AR89*1000),"")</f>
        <v>0.56987179487179485</v>
      </c>
      <c r="X89" s="105">
        <f>IFERROR(_xlfn.XLOOKUP($A89,Input_Raw!$A:$A,Input_Raw!$CF:$CF),"")</f>
        <v>1081503</v>
      </c>
      <c r="Y89" s="105">
        <f>IFERROR(_xlfn.XLOOKUP($A89,Input_Raw!$A:$A,Input_Raw!$CZ:$CZ),"")</f>
        <v>1066800</v>
      </c>
      <c r="Z89" s="105">
        <f>IFERROR(_xlfn.XLOOKUP($A89,Input_Raw!$A:$A,Input_Raw!$DA:$DA),"")</f>
        <v>0</v>
      </c>
      <c r="AA89" s="107">
        <f t="shared" si="5"/>
        <v>1066800</v>
      </c>
      <c r="AB89" s="105">
        <f>IFERROR(_xlfn.XLOOKUP($A89,Input_Raw!$A:$A,Input_Raw!$DG:$DG),"")</f>
        <v>78</v>
      </c>
      <c r="AC89" s="125">
        <f>IFERROR(_xlfn.XLOOKUP($D89,'Modelling New'!$D:$D,'Modelling New'!$J:$J),"")</f>
        <v>6.5666666666666664</v>
      </c>
      <c r="AD89" s="107">
        <f>IFERROR(_xlfn.XLOOKUP($D89,'Modelling New'!$D:$D,'Modelling New'!$T:$T)*1000,"")</f>
        <v>501275.34211348038</v>
      </c>
      <c r="AE89" s="124"/>
      <c r="AF89" s="124">
        <f>IFERROR(_xlfn.XLOOKUP($D89,'Modelling New'!$D:$D,'Modelling New'!$W:$W),"")</f>
        <v>0.26777528959053443</v>
      </c>
      <c r="AG89" s="124">
        <f>IFERROR(_xlfn.XLOOKUP($D89,'Modelling New'!$D:$D,'Modelling New'!$AE:$AE),"")</f>
        <v>0.96029999999999993</v>
      </c>
      <c r="AH89" s="124">
        <f>IFERROR(_xlfn.XLOOKUP($D89,'Modelling New'!$D:$D,'Modelling New'!$AF:$AF),"")</f>
        <v>0.995</v>
      </c>
      <c r="AI89" s="105">
        <f>IFERROR(_xlfn.XLOOKUP($A89,Input_Raw!$A:$A,Input_Raw!$DE:$DE),"")</f>
        <v>1069.9000000000001</v>
      </c>
      <c r="AJ89" s="105"/>
      <c r="AK89" s="105"/>
      <c r="AL89" s="105"/>
      <c r="AM89" s="105"/>
      <c r="AN89" s="126">
        <f>IFERROR(_xlfn.XLOOKUP($A89,Input_Raw!$A:$A,Input_Raw!$DB:$DB),"")</f>
        <v>1.3594969223386322E-2</v>
      </c>
      <c r="AO89" s="124">
        <f>IFERROR((_xlfn.XLOOKUP($A89,'WTG Reactive Power'!$A:$A,'WTG Reactive Power'!$AR:$AR))/X89/1000,"")</f>
        <v>0</v>
      </c>
      <c r="AP89" s="124">
        <f>IFERROR(_xlfn.XLOOKUP($D89,'Modelling New'!$D:$D,'Modelling New'!$AK:$AK),"")</f>
        <v>0.05</v>
      </c>
      <c r="AQ89" s="124">
        <f>IFERROR(_xlfn.XLOOKUP($D89,'Modelling New'!$D:$D,'Modelling New'!$AL:$AL),"")</f>
        <v>0.05</v>
      </c>
      <c r="AR89">
        <f>IFERROR(_xlfn.XLOOKUP($D89,'Modelling New'!$D:$D,'Modelling New'!$N:$N),"")</f>
        <v>78</v>
      </c>
    </row>
    <row r="90" spans="1:44">
      <c r="A90" s="118">
        <f t="shared" si="7"/>
        <v>45833</v>
      </c>
      <c r="B90" s="107">
        <f>YEAR(Table13[[#This Row],[Date]])+IF(MONTH(Table13[[#This Row],[Date]])&gt;=4,1,0)</f>
        <v>2026</v>
      </c>
      <c r="C90" s="105">
        <f>YEAR(Table13[[#This Row],[Date]])</f>
        <v>2025</v>
      </c>
      <c r="D90" s="119">
        <f>Table13[[#This Row],[Date]]-DAY(Table13[[#This Row],[Date]])+1</f>
        <v>45809</v>
      </c>
      <c r="E90" s="105">
        <f t="shared" si="4"/>
        <v>30</v>
      </c>
      <c r="F90" s="108"/>
      <c r="G90" s="109"/>
      <c r="H90" s="109"/>
      <c r="I90" s="109"/>
      <c r="J90" s="109"/>
      <c r="K90" s="120"/>
      <c r="L90" s="109"/>
      <c r="M90" s="109">
        <f>IFERROR(_xlfn.XLOOKUP($A90,Input_Raw!$A:$A,Input_Raw!CG:CG),"")</f>
        <v>5.0984805759602354</v>
      </c>
      <c r="N90" s="109">
        <f>IFERROR(_xlfn.XLOOKUP($A90,Input_Raw!$A:$A,Input_Raw!CH:CH),"")</f>
        <v>0</v>
      </c>
      <c r="O90" s="121">
        <f t="shared" si="6"/>
        <v>0.88960373816840366</v>
      </c>
      <c r="P90" s="121">
        <f>IFERROR(1-SUMIF(WTG_BD!$F:$F,$A90,WTG_BD!$AA:$AA)/($AA90+SUMIF(WTG_BD!$F:$F,$A90,WTG_BD!$AA:$AA)),"")</f>
        <v>0.91924386271798941</v>
      </c>
      <c r="Q90" s="122">
        <f>IFERROR(1-SUMIF(IGA_BD!$F:$F,$A90,IGA_BD!$V:$V)/($AA90+SUMIF(IGA_BD!$F:$F,$A90,IGA_BD!$V:$V)),"")</f>
        <v>0.96775597232496413</v>
      </c>
      <c r="R90" s="127">
        <f>IFERROR(1-SUMIF(Grid_BD!$F:$F,$A90,Grid_BD!$X:$X)/($AA90+SUMIF(Grid_BD!$F:$F,$A90,Grid_BD!$X:$X)),"")</f>
        <v>1</v>
      </c>
      <c r="S90" s="105"/>
      <c r="T90" s="122"/>
      <c r="U90" s="123"/>
      <c r="V90" s="105"/>
      <c r="W90" s="124">
        <f>IFERROR(Table13[[#This Row],[Mtr_Net_Exp (KWh)]]/(24*AR90*1000),"")</f>
        <v>0.35641025641025642</v>
      </c>
      <c r="X90" s="105">
        <f>IFERROR(_xlfn.XLOOKUP($A90,Input_Raw!$A:$A,Input_Raw!$CF:$CF),"")</f>
        <v>655212</v>
      </c>
      <c r="Y90" s="105">
        <f>IFERROR(_xlfn.XLOOKUP($A90,Input_Raw!$A:$A,Input_Raw!$CZ:$CZ),"")</f>
        <v>667200</v>
      </c>
      <c r="Z90" s="105">
        <f>IFERROR(_xlfn.XLOOKUP($A90,Input_Raw!$A:$A,Input_Raw!$DA:$DA),"")</f>
        <v>0</v>
      </c>
      <c r="AA90" s="107">
        <f t="shared" si="5"/>
        <v>667200</v>
      </c>
      <c r="AB90" s="105">
        <f>IFERROR(_xlfn.XLOOKUP($A90,Input_Raw!$A:$A,Input_Raw!$DG:$DG),"")</f>
        <v>78</v>
      </c>
      <c r="AC90" s="125">
        <f>IFERROR(_xlfn.XLOOKUP($D90,'Modelling New'!$D:$D,'Modelling New'!$J:$J),"")</f>
        <v>6.5666666666666664</v>
      </c>
      <c r="AD90" s="107">
        <f>IFERROR(_xlfn.XLOOKUP($D90,'Modelling New'!$D:$D,'Modelling New'!$T:$T)*1000,"")</f>
        <v>501275.34211348038</v>
      </c>
      <c r="AE90" s="124"/>
      <c r="AF90" s="124">
        <f>IFERROR(_xlfn.XLOOKUP($D90,'Modelling New'!$D:$D,'Modelling New'!$W:$W),"")</f>
        <v>0.26777528959053443</v>
      </c>
      <c r="AG90" s="124">
        <f>IFERROR(_xlfn.XLOOKUP($D90,'Modelling New'!$D:$D,'Modelling New'!$AE:$AE),"")</f>
        <v>0.96029999999999993</v>
      </c>
      <c r="AH90" s="124">
        <f>IFERROR(_xlfn.XLOOKUP($D90,'Modelling New'!$D:$D,'Modelling New'!$AF:$AF),"")</f>
        <v>0.995</v>
      </c>
      <c r="AI90" s="105">
        <f>IFERROR(_xlfn.XLOOKUP($A90,Input_Raw!$A:$A,Input_Raw!$DE:$DE),"")</f>
        <v>676.61</v>
      </c>
      <c r="AJ90" s="105"/>
      <c r="AK90" s="105"/>
      <c r="AL90" s="105"/>
      <c r="AM90" s="105"/>
      <c r="AN90" s="126">
        <f>IFERROR(_xlfn.XLOOKUP($A90,Input_Raw!$A:$A,Input_Raw!$DB:$DB),"")</f>
        <v>-1.8296368198384538E-2</v>
      </c>
      <c r="AO90" s="124">
        <f>IFERROR((_xlfn.XLOOKUP($A90,'WTG Reactive Power'!$A:$A,'WTG Reactive Power'!$AR:$AR))/X90/1000,"")</f>
        <v>0</v>
      </c>
      <c r="AP90" s="124">
        <f>IFERROR(_xlfn.XLOOKUP($D90,'Modelling New'!$D:$D,'Modelling New'!$AK:$AK),"")</f>
        <v>0.05</v>
      </c>
      <c r="AQ90" s="124">
        <f>IFERROR(_xlfn.XLOOKUP($D90,'Modelling New'!$D:$D,'Modelling New'!$AL:$AL),"")</f>
        <v>0.05</v>
      </c>
      <c r="AR90">
        <f>IFERROR(_xlfn.XLOOKUP($D90,'Modelling New'!$D:$D,'Modelling New'!$N:$N),"")</f>
        <v>78</v>
      </c>
    </row>
    <row r="91" spans="1:44">
      <c r="A91" s="118">
        <f t="shared" si="7"/>
        <v>45834</v>
      </c>
      <c r="B91" s="107">
        <f>YEAR(Table13[[#This Row],[Date]])+IF(MONTH(Table13[[#This Row],[Date]])&gt;=4,1,0)</f>
        <v>2026</v>
      </c>
      <c r="C91" s="105">
        <f>YEAR(Table13[[#This Row],[Date]])</f>
        <v>2025</v>
      </c>
      <c r="D91" s="119">
        <f>Table13[[#This Row],[Date]]-DAY(Table13[[#This Row],[Date]])+1</f>
        <v>45809</v>
      </c>
      <c r="E91" s="105">
        <f t="shared" si="4"/>
        <v>30</v>
      </c>
      <c r="F91" s="108"/>
      <c r="G91" s="109"/>
      <c r="H91" s="109"/>
      <c r="I91" s="109"/>
      <c r="J91" s="109"/>
      <c r="K91" s="120"/>
      <c r="L91" s="109"/>
      <c r="M91" s="109">
        <f>IFERROR(_xlfn.XLOOKUP($A91,Input_Raw!$A:$A,Input_Raw!CG:CG),"")</f>
        <v>4.6851282051282048</v>
      </c>
      <c r="N91" s="109">
        <f>IFERROR(_xlfn.XLOOKUP($A91,Input_Raw!$A:$A,Input_Raw!CH:CH),"")</f>
        <v>0</v>
      </c>
      <c r="O91" s="121">
        <f t="shared" si="6"/>
        <v>0.90867112514344262</v>
      </c>
      <c r="P91" s="121">
        <f>IFERROR(1-SUMIF(WTG_BD!$F:$F,$A91,WTG_BD!$AA:$AA)/($AA91+SUMIF(WTG_BD!$F:$F,$A91,WTG_BD!$AA:$AA)),"")</f>
        <v>0.90867112514344262</v>
      </c>
      <c r="Q91" s="122">
        <f>IFERROR(1-SUMIF(IGA_BD!$F:$F,$A91,IGA_BD!$V:$V)/($AA91+SUMIF(IGA_BD!$F:$F,$A91,IGA_BD!$V:$V)),"")</f>
        <v>1</v>
      </c>
      <c r="R91" s="127">
        <f>IFERROR(1-SUMIF(Grid_BD!$F:$F,$A91,Grid_BD!$X:$X)/($AA91+SUMIF(Grid_BD!$F:$F,$A91,Grid_BD!$X:$X)),"")</f>
        <v>1</v>
      </c>
      <c r="S91" s="105"/>
      <c r="T91" s="122"/>
      <c r="U91" s="123"/>
      <c r="V91" s="105"/>
      <c r="W91" s="124">
        <f>IFERROR(Table13[[#This Row],[Mtr_Net_Exp (KWh)]]/(24*AR91*1000),"")</f>
        <v>0.1935897435897436</v>
      </c>
      <c r="X91" s="105">
        <f>IFERROR(_xlfn.XLOOKUP($A91,Input_Raw!$A:$A,Input_Raw!$CF:$CF),"")</f>
        <v>366418</v>
      </c>
      <c r="Y91" s="105">
        <f>IFERROR(_xlfn.XLOOKUP($A91,Input_Raw!$A:$A,Input_Raw!$CZ:$CZ),"")</f>
        <v>362400</v>
      </c>
      <c r="Z91" s="105">
        <f>IFERROR(_xlfn.XLOOKUP($A91,Input_Raw!$A:$A,Input_Raw!$DA:$DA),"")</f>
        <v>0</v>
      </c>
      <c r="AA91" s="107">
        <f t="shared" si="5"/>
        <v>362400</v>
      </c>
      <c r="AB91" s="105">
        <f>IFERROR(_xlfn.XLOOKUP($A91,Input_Raw!$A:$A,Input_Raw!$DG:$DG),"")</f>
        <v>78</v>
      </c>
      <c r="AC91" s="125">
        <f>IFERROR(_xlfn.XLOOKUP($D91,'Modelling New'!$D:$D,'Modelling New'!$J:$J),"")</f>
        <v>6.5666666666666664</v>
      </c>
      <c r="AD91" s="107">
        <f>IFERROR(_xlfn.XLOOKUP($D91,'Modelling New'!$D:$D,'Modelling New'!$T:$T)*1000,"")</f>
        <v>501275.34211348038</v>
      </c>
      <c r="AE91" s="124"/>
      <c r="AF91" s="124">
        <f>IFERROR(_xlfn.XLOOKUP($D91,'Modelling New'!$D:$D,'Modelling New'!$W:$W),"")</f>
        <v>0.26777528959053443</v>
      </c>
      <c r="AG91" s="124">
        <f>IFERROR(_xlfn.XLOOKUP($D91,'Modelling New'!$D:$D,'Modelling New'!$AE:$AE),"")</f>
        <v>0.96029999999999993</v>
      </c>
      <c r="AH91" s="124">
        <f>IFERROR(_xlfn.XLOOKUP($D91,'Modelling New'!$D:$D,'Modelling New'!$AF:$AF),"")</f>
        <v>0.995</v>
      </c>
      <c r="AI91" s="105">
        <f>IFERROR(_xlfn.XLOOKUP($A91,Input_Raw!$A:$A,Input_Raw!$DE:$DE),"")</f>
        <v>365.82</v>
      </c>
      <c r="AJ91" s="105"/>
      <c r="AK91" s="105"/>
      <c r="AL91" s="105"/>
      <c r="AM91" s="105"/>
      <c r="AN91" s="126">
        <f>IFERROR(_xlfn.XLOOKUP($A91,Input_Raw!$A:$A,Input_Raw!$DB:$DB),"")</f>
        <v>1.0965618501274532E-2</v>
      </c>
      <c r="AO91" s="124">
        <f>IFERROR((_xlfn.XLOOKUP($A91,'WTG Reactive Power'!$A:$A,'WTG Reactive Power'!$AR:$AR))/X91/1000,"")</f>
        <v>0</v>
      </c>
      <c r="AP91" s="124">
        <f>IFERROR(_xlfn.XLOOKUP($D91,'Modelling New'!$D:$D,'Modelling New'!$AK:$AK),"")</f>
        <v>0.05</v>
      </c>
      <c r="AQ91" s="124">
        <f>IFERROR(_xlfn.XLOOKUP($D91,'Modelling New'!$D:$D,'Modelling New'!$AL:$AL),"")</f>
        <v>0.05</v>
      </c>
      <c r="AR91">
        <f>IFERROR(_xlfn.XLOOKUP($D91,'Modelling New'!$D:$D,'Modelling New'!$N:$N),"")</f>
        <v>78</v>
      </c>
    </row>
    <row r="92" spans="1:44">
      <c r="A92" s="118">
        <f t="shared" si="7"/>
        <v>45835</v>
      </c>
      <c r="B92" s="107">
        <f>YEAR(Table13[[#This Row],[Date]])+IF(MONTH(Table13[[#This Row],[Date]])&gt;=4,1,0)</f>
        <v>2026</v>
      </c>
      <c r="C92" s="105">
        <f>YEAR(Table13[[#This Row],[Date]])</f>
        <v>2025</v>
      </c>
      <c r="D92" s="119">
        <f>Table13[[#This Row],[Date]]-DAY(Table13[[#This Row],[Date]])+1</f>
        <v>45809</v>
      </c>
      <c r="E92" s="105">
        <f t="shared" si="4"/>
        <v>30</v>
      </c>
      <c r="F92" s="108"/>
      <c r="G92" s="109"/>
      <c r="H92" s="109"/>
      <c r="I92" s="109"/>
      <c r="J92" s="109"/>
      <c r="K92" s="120"/>
      <c r="L92" s="109"/>
      <c r="M92" s="109">
        <f>IFERROR(_xlfn.XLOOKUP($A92,Input_Raw!$A:$A,Input_Raw!CG:CG),"")</f>
        <v>5.2874358974358975</v>
      </c>
      <c r="N92" s="109">
        <f>IFERROR(_xlfn.XLOOKUP($A92,Input_Raw!$A:$A,Input_Raw!CH:CH),"")</f>
        <v>0</v>
      </c>
      <c r="O92" s="121">
        <f t="shared" si="6"/>
        <v>0.9126176171199013</v>
      </c>
      <c r="P92" s="121">
        <f>IFERROR(1-SUMIF(WTG_BD!$F:$F,$A92,WTG_BD!$AA:$AA)/($AA92+SUMIF(WTG_BD!$F:$F,$A92,WTG_BD!$AA:$AA)),"")</f>
        <v>0.9126176171199013</v>
      </c>
      <c r="Q92" s="122">
        <f>IFERROR(1-SUMIF(IGA_BD!$F:$F,$A92,IGA_BD!$V:$V)/($AA92+SUMIF(IGA_BD!$F:$F,$A92,IGA_BD!$V:$V)),"")</f>
        <v>1</v>
      </c>
      <c r="R92" s="127">
        <f>IFERROR(1-SUMIF(Grid_BD!$F:$F,$A92,Grid_BD!$X:$X)/($AA92+SUMIF(Grid_BD!$F:$F,$A92,Grid_BD!$X:$X)),"")</f>
        <v>1</v>
      </c>
      <c r="S92" s="105"/>
      <c r="T92" s="122"/>
      <c r="U92" s="123"/>
      <c r="V92" s="105"/>
      <c r="W92" s="124">
        <f>IFERROR(Table13[[#This Row],[Mtr_Net_Exp (KWh)]]/(24*AR92*1000),"")</f>
        <v>0.31794871794871793</v>
      </c>
      <c r="X92" s="105">
        <f>IFERROR(_xlfn.XLOOKUP($A92,Input_Raw!$A:$A,Input_Raw!$CF:$CF),"")</f>
        <v>583375</v>
      </c>
      <c r="Y92" s="105">
        <f>IFERROR(_xlfn.XLOOKUP($A92,Input_Raw!$A:$A,Input_Raw!$CZ:$CZ),"")</f>
        <v>595200</v>
      </c>
      <c r="Z92" s="105">
        <f>IFERROR(_xlfn.XLOOKUP($A92,Input_Raw!$A:$A,Input_Raw!$DA:$DA),"")</f>
        <v>0</v>
      </c>
      <c r="AA92" s="107">
        <f t="shared" si="5"/>
        <v>595200</v>
      </c>
      <c r="AB92" s="105">
        <f>IFERROR(_xlfn.XLOOKUP($A92,Input_Raw!$A:$A,Input_Raw!$DG:$DG),"")</f>
        <v>78</v>
      </c>
      <c r="AC92" s="125">
        <f>IFERROR(_xlfn.XLOOKUP($D92,'Modelling New'!$D:$D,'Modelling New'!$J:$J),"")</f>
        <v>6.5666666666666664</v>
      </c>
      <c r="AD92" s="107">
        <f>IFERROR(_xlfn.XLOOKUP($D92,'Modelling New'!$D:$D,'Modelling New'!$T:$T)*1000,"")</f>
        <v>501275.34211348038</v>
      </c>
      <c r="AE92" s="124"/>
      <c r="AF92" s="124">
        <f>IFERROR(_xlfn.XLOOKUP($D92,'Modelling New'!$D:$D,'Modelling New'!$W:$W),"")</f>
        <v>0.26777528959053443</v>
      </c>
      <c r="AG92" s="124">
        <f>IFERROR(_xlfn.XLOOKUP($D92,'Modelling New'!$D:$D,'Modelling New'!$AE:$AE),"")</f>
        <v>0.96029999999999993</v>
      </c>
      <c r="AH92" s="124">
        <f>IFERROR(_xlfn.XLOOKUP($D92,'Modelling New'!$D:$D,'Modelling New'!$AF:$AF),"")</f>
        <v>0.995</v>
      </c>
      <c r="AI92" s="105">
        <f>IFERROR(_xlfn.XLOOKUP($A92,Input_Raw!$A:$A,Input_Raw!$DE:$DE),"")</f>
        <v>598.78</v>
      </c>
      <c r="AJ92" s="105"/>
      <c r="AK92" s="105"/>
      <c r="AL92" s="105"/>
      <c r="AM92" s="105"/>
      <c r="AN92" s="126">
        <f>IFERROR(_xlfn.XLOOKUP($A92,Input_Raw!$A:$A,Input_Raw!$DB:$DB),"")</f>
        <v>-2.0269980715663216E-2</v>
      </c>
      <c r="AO92" s="124">
        <f>IFERROR((_xlfn.XLOOKUP($A92,'WTG Reactive Power'!$A:$A,'WTG Reactive Power'!$AR:$AR))/X92/1000,"")</f>
        <v>0</v>
      </c>
      <c r="AP92" s="124">
        <f>IFERROR(_xlfn.XLOOKUP($D92,'Modelling New'!$D:$D,'Modelling New'!$AK:$AK),"")</f>
        <v>0.05</v>
      </c>
      <c r="AQ92" s="124">
        <f>IFERROR(_xlfn.XLOOKUP($D92,'Modelling New'!$D:$D,'Modelling New'!$AL:$AL),"")</f>
        <v>0.05</v>
      </c>
      <c r="AR92">
        <f>IFERROR(_xlfn.XLOOKUP($D92,'Modelling New'!$D:$D,'Modelling New'!$N:$N),"")</f>
        <v>78</v>
      </c>
    </row>
    <row r="93" spans="1:44">
      <c r="A93" s="118">
        <f t="shared" si="7"/>
        <v>45836</v>
      </c>
      <c r="B93" s="107">
        <f>YEAR(Table13[[#This Row],[Date]])+IF(MONTH(Table13[[#This Row],[Date]])&gt;=4,1,0)</f>
        <v>2026</v>
      </c>
      <c r="C93" s="105">
        <f>YEAR(Table13[[#This Row],[Date]])</f>
        <v>2025</v>
      </c>
      <c r="D93" s="119">
        <f>Table13[[#This Row],[Date]]-DAY(Table13[[#This Row],[Date]])+1</f>
        <v>45809</v>
      </c>
      <c r="E93" s="105">
        <f t="shared" si="4"/>
        <v>30</v>
      </c>
      <c r="F93" s="108"/>
      <c r="G93" s="109"/>
      <c r="H93" s="109"/>
      <c r="I93" s="109"/>
      <c r="J93" s="109"/>
      <c r="K93" s="120"/>
      <c r="L93" s="109"/>
      <c r="M93" s="109">
        <f>IFERROR(_xlfn.XLOOKUP($A93,Input_Raw!$A:$A,Input_Raw!CG:CG),"")</f>
        <v>6.7294871794871804</v>
      </c>
      <c r="N93" s="109">
        <f>IFERROR(_xlfn.XLOOKUP($A93,Input_Raw!$A:$A,Input_Raw!CH:CH),"")</f>
        <v>0</v>
      </c>
      <c r="O93" s="121">
        <f t="shared" si="6"/>
        <v>0.9089834950526281</v>
      </c>
      <c r="P93" s="121">
        <f>IFERROR(1-SUMIF(WTG_BD!$F:$F,$A93,WTG_BD!$AA:$AA)/($AA93+SUMIF(WTG_BD!$F:$F,$A93,WTG_BD!$AA:$AA)),"")</f>
        <v>0.9089834950526281</v>
      </c>
      <c r="Q93" s="122">
        <f>IFERROR(1-SUMIF(IGA_BD!$F:$F,$A93,IGA_BD!$V:$V)/($AA93+SUMIF(IGA_BD!$F:$F,$A93,IGA_BD!$V:$V)),"")</f>
        <v>1</v>
      </c>
      <c r="R93" s="127">
        <f>IFERROR(1-SUMIF(Grid_BD!$F:$F,$A93,Grid_BD!$X:$X)/($AA93+SUMIF(Grid_BD!$F:$F,$A93,Grid_BD!$X:$X)),"")</f>
        <v>1</v>
      </c>
      <c r="S93" s="105"/>
      <c r="T93" s="122"/>
      <c r="U93" s="123"/>
      <c r="V93" s="105"/>
      <c r="W93" s="124">
        <f>IFERROR(Table13[[#This Row],[Mtr_Net_Exp (KWh)]]/(24*AR93*1000),"")</f>
        <v>0.44743589743589746</v>
      </c>
      <c r="X93" s="105">
        <f>IFERROR(_xlfn.XLOOKUP($A93,Input_Raw!$A:$A,Input_Raw!$CF:$CF),"")</f>
        <v>851711</v>
      </c>
      <c r="Y93" s="105">
        <f>IFERROR(_xlfn.XLOOKUP($A93,Input_Raw!$A:$A,Input_Raw!$CZ:$CZ),"")</f>
        <v>837600</v>
      </c>
      <c r="Z93" s="105">
        <f>IFERROR(_xlfn.XLOOKUP($A93,Input_Raw!$A:$A,Input_Raw!$DA:$DA),"")</f>
        <v>0</v>
      </c>
      <c r="AA93" s="107">
        <f t="shared" si="5"/>
        <v>837600</v>
      </c>
      <c r="AB93" s="105">
        <f>IFERROR(_xlfn.XLOOKUP($A93,Input_Raw!$A:$A,Input_Raw!$DG:$DG),"")</f>
        <v>78</v>
      </c>
      <c r="AC93" s="125">
        <f>IFERROR(_xlfn.XLOOKUP($D93,'Modelling New'!$D:$D,'Modelling New'!$J:$J),"")</f>
        <v>6.5666666666666664</v>
      </c>
      <c r="AD93" s="107">
        <f>IFERROR(_xlfn.XLOOKUP($D93,'Modelling New'!$D:$D,'Modelling New'!$T:$T)*1000,"")</f>
        <v>501275.34211348038</v>
      </c>
      <c r="AE93" s="124"/>
      <c r="AF93" s="124">
        <f>IFERROR(_xlfn.XLOOKUP($D93,'Modelling New'!$D:$D,'Modelling New'!$W:$W),"")</f>
        <v>0.26777528959053443</v>
      </c>
      <c r="AG93" s="124">
        <f>IFERROR(_xlfn.XLOOKUP($D93,'Modelling New'!$D:$D,'Modelling New'!$AE:$AE),"")</f>
        <v>0.96029999999999993</v>
      </c>
      <c r="AH93" s="124">
        <f>IFERROR(_xlfn.XLOOKUP($D93,'Modelling New'!$D:$D,'Modelling New'!$AF:$AF),"")</f>
        <v>0.995</v>
      </c>
      <c r="AI93" s="105">
        <f>IFERROR(_xlfn.XLOOKUP($A93,Input_Raw!$A:$A,Input_Raw!$DE:$DE),"")</f>
        <v>840.11</v>
      </c>
      <c r="AJ93" s="105"/>
      <c r="AK93" s="105"/>
      <c r="AL93" s="105"/>
      <c r="AM93" s="105"/>
      <c r="AN93" s="126">
        <f>IFERROR(_xlfn.XLOOKUP($A93,Input_Raw!$A:$A,Input_Raw!$DB:$DB),"")</f>
        <v>1.6567826410601727E-2</v>
      </c>
      <c r="AO93" s="124">
        <f>IFERROR((_xlfn.XLOOKUP($A93,'WTG Reactive Power'!$A:$A,'WTG Reactive Power'!$AR:$AR))/X93/1000,"")</f>
        <v>2.7416989271713043E-6</v>
      </c>
      <c r="AP93" s="124">
        <f>IFERROR(_xlfn.XLOOKUP($D93,'Modelling New'!$D:$D,'Modelling New'!$AK:$AK),"")</f>
        <v>0.05</v>
      </c>
      <c r="AQ93" s="124">
        <f>IFERROR(_xlfn.XLOOKUP($D93,'Modelling New'!$D:$D,'Modelling New'!$AL:$AL),"")</f>
        <v>0.05</v>
      </c>
      <c r="AR93">
        <f>IFERROR(_xlfn.XLOOKUP($D93,'Modelling New'!$D:$D,'Modelling New'!$N:$N),"")</f>
        <v>78</v>
      </c>
    </row>
    <row r="94" spans="1:44">
      <c r="A94" s="118">
        <f t="shared" si="7"/>
        <v>45837</v>
      </c>
      <c r="B94" s="107">
        <f>YEAR(Table13[[#This Row],[Date]])+IF(MONTH(Table13[[#This Row],[Date]])&gt;=4,1,0)</f>
        <v>2026</v>
      </c>
      <c r="C94" s="105">
        <f>YEAR(Table13[[#This Row],[Date]])</f>
        <v>2025</v>
      </c>
      <c r="D94" s="119">
        <f>Table13[[#This Row],[Date]]-DAY(Table13[[#This Row],[Date]])+1</f>
        <v>45809</v>
      </c>
      <c r="E94" s="105">
        <f t="shared" si="4"/>
        <v>30</v>
      </c>
      <c r="F94" s="108"/>
      <c r="G94" s="109"/>
      <c r="H94" s="109"/>
      <c r="I94" s="109"/>
      <c r="J94" s="109"/>
      <c r="K94" s="120"/>
      <c r="L94" s="109"/>
      <c r="M94" s="109">
        <f>IFERROR(_xlfn.XLOOKUP($A94,Input_Raw!$A:$A,Input_Raw!CG:CG),"")</f>
        <v>9.2620791662597863</v>
      </c>
      <c r="N94" s="109">
        <f>IFERROR(_xlfn.XLOOKUP($A94,Input_Raw!$A:$A,Input_Raw!CH:CH),"")</f>
        <v>0</v>
      </c>
      <c r="O94" s="121">
        <f t="shared" si="6"/>
        <v>0.91840407012584813</v>
      </c>
      <c r="P94" s="121">
        <f>IFERROR(1-SUMIF(WTG_BD!$F:$F,$A94,WTG_BD!$AA:$AA)/($AA94+SUMIF(WTG_BD!$F:$F,$A94,WTG_BD!$AA:$AA)),"")</f>
        <v>0.91840407012584813</v>
      </c>
      <c r="Q94" s="122">
        <f>IFERROR(1-SUMIF(IGA_BD!$F:$F,$A94,IGA_BD!$V:$V)/($AA94+SUMIF(IGA_BD!$F:$F,$A94,IGA_BD!$V:$V)),"")</f>
        <v>1</v>
      </c>
      <c r="R94" s="127">
        <f>IFERROR(1-SUMIF(Grid_BD!$F:$F,$A94,Grid_BD!$X:$X)/($AA94+SUMIF(Grid_BD!$F:$F,$A94,Grid_BD!$X:$X)),"")</f>
        <v>1</v>
      </c>
      <c r="S94" s="105"/>
      <c r="T94" s="122"/>
      <c r="U94" s="123"/>
      <c r="V94" s="105"/>
      <c r="W94" s="124">
        <f>IFERROR(Table13[[#This Row],[Mtr_Net_Exp (KWh)]]/(24*AR94*1000),"")</f>
        <v>0.60192307692307689</v>
      </c>
      <c r="X94" s="105">
        <f>IFERROR(_xlfn.XLOOKUP($A94,Input_Raw!$A:$A,Input_Raw!$CF:$CF),"")</f>
        <v>1141646</v>
      </c>
      <c r="Y94" s="105">
        <f>IFERROR(_xlfn.XLOOKUP($A94,Input_Raw!$A:$A,Input_Raw!$CZ:$CZ),"")</f>
        <v>1126800</v>
      </c>
      <c r="Z94" s="105">
        <f>IFERROR(_xlfn.XLOOKUP($A94,Input_Raw!$A:$A,Input_Raw!$DA:$DA),"")</f>
        <v>0</v>
      </c>
      <c r="AA94" s="107">
        <f t="shared" si="5"/>
        <v>1126800</v>
      </c>
      <c r="AB94" s="105">
        <f>IFERROR(_xlfn.XLOOKUP($A94,Input_Raw!$A:$A,Input_Raw!$DG:$DG),"")</f>
        <v>78</v>
      </c>
      <c r="AC94" s="125">
        <f>IFERROR(_xlfn.XLOOKUP($D94,'Modelling New'!$D:$D,'Modelling New'!$J:$J),"")</f>
        <v>6.5666666666666664</v>
      </c>
      <c r="AD94" s="107">
        <f>IFERROR(_xlfn.XLOOKUP($D94,'Modelling New'!$D:$D,'Modelling New'!$T:$T)*1000,"")</f>
        <v>501275.34211348038</v>
      </c>
      <c r="AE94" s="124"/>
      <c r="AF94" s="124">
        <f>IFERROR(_xlfn.XLOOKUP($D94,'Modelling New'!$D:$D,'Modelling New'!$W:$W),"")</f>
        <v>0.26777528959053443</v>
      </c>
      <c r="AG94" s="124">
        <f>IFERROR(_xlfn.XLOOKUP($D94,'Modelling New'!$D:$D,'Modelling New'!$AE:$AE),"")</f>
        <v>0.96029999999999993</v>
      </c>
      <c r="AH94" s="124">
        <f>IFERROR(_xlfn.XLOOKUP($D94,'Modelling New'!$D:$D,'Modelling New'!$AF:$AF),"")</f>
        <v>0.995</v>
      </c>
      <c r="AI94" s="105">
        <f>IFERROR(_xlfn.XLOOKUP($A94,Input_Raw!$A:$A,Input_Raw!$DE:$DE),"")</f>
        <v>1130.55</v>
      </c>
      <c r="AJ94" s="105"/>
      <c r="AK94" s="105"/>
      <c r="AL94" s="105"/>
      <c r="AM94" s="105"/>
      <c r="AN94" s="126">
        <f>IFERROR(_xlfn.XLOOKUP($A94,Input_Raw!$A:$A,Input_Raw!$DB:$DB),"")</f>
        <v>1.3004031021875417E-2</v>
      </c>
      <c r="AO94" s="124">
        <f>IFERROR((_xlfn.XLOOKUP($A94,'WTG Reactive Power'!$A:$A,'WTG Reactive Power'!$AR:$AR))/X94/1000,"")</f>
        <v>0</v>
      </c>
      <c r="AP94" s="124">
        <f>IFERROR(_xlfn.XLOOKUP($D94,'Modelling New'!$D:$D,'Modelling New'!$AK:$AK),"")</f>
        <v>0.05</v>
      </c>
      <c r="AQ94" s="124">
        <f>IFERROR(_xlfn.XLOOKUP($D94,'Modelling New'!$D:$D,'Modelling New'!$AL:$AL),"")</f>
        <v>0.05</v>
      </c>
      <c r="AR94">
        <f>IFERROR(_xlfn.XLOOKUP($D94,'Modelling New'!$D:$D,'Modelling New'!$N:$N),"")</f>
        <v>78</v>
      </c>
    </row>
    <row r="95" spans="1:44">
      <c r="A95" s="118">
        <f t="shared" si="7"/>
        <v>45838</v>
      </c>
      <c r="B95" s="107">
        <f>YEAR(Table13[[#This Row],[Date]])+IF(MONTH(Table13[[#This Row],[Date]])&gt;=4,1,0)</f>
        <v>2026</v>
      </c>
      <c r="C95" s="105">
        <f>YEAR(Table13[[#This Row],[Date]])</f>
        <v>2025</v>
      </c>
      <c r="D95" s="119">
        <f>Table13[[#This Row],[Date]]-DAY(Table13[[#This Row],[Date]])+1</f>
        <v>45809</v>
      </c>
      <c r="E95" s="105">
        <f t="shared" si="4"/>
        <v>30</v>
      </c>
      <c r="F95" s="108"/>
      <c r="G95" s="109"/>
      <c r="H95" s="109"/>
      <c r="I95" s="109"/>
      <c r="J95" s="109"/>
      <c r="K95" s="120"/>
      <c r="L95" s="109"/>
      <c r="M95" s="109">
        <f>IFERROR(_xlfn.XLOOKUP($A95,Input_Raw!$A:$A,Input_Raw!CG:CG),"")</f>
        <v>6.7294871794871804</v>
      </c>
      <c r="N95" s="109">
        <f>IFERROR(_xlfn.XLOOKUP($A95,Input_Raw!$A:$A,Input_Raw!CH:CH),"")</f>
        <v>0</v>
      </c>
      <c r="O95" s="121">
        <f t="shared" si="6"/>
        <v>0.9202850004359231</v>
      </c>
      <c r="P95" s="121">
        <f>IFERROR(1-SUMIF(WTG_BD!$F:$F,$A95,WTG_BD!$AA:$AA)/($AA95+SUMIF(WTG_BD!$F:$F,$A95,WTG_BD!$AA:$AA)),"")</f>
        <v>0.9202850004359231</v>
      </c>
      <c r="Q95" s="122">
        <f>IFERROR(1-SUMIF(IGA_BD!$F:$F,$A95,IGA_BD!$V:$V)/($AA95+SUMIF(IGA_BD!$F:$F,$A95,IGA_BD!$V:$V)),"")</f>
        <v>1</v>
      </c>
      <c r="R95" s="127">
        <f>IFERROR(1-SUMIF(Grid_BD!$F:$F,$A95,Grid_BD!$X:$X)/($AA95+SUMIF(Grid_BD!$F:$F,$A95,Grid_BD!$X:$X)),"")</f>
        <v>1</v>
      </c>
      <c r="S95" s="105"/>
      <c r="T95" s="122"/>
      <c r="U95" s="123"/>
      <c r="V95" s="105"/>
      <c r="W95" s="124">
        <f>IFERROR(Table13[[#This Row],[Mtr_Net_Exp (KWh)]]/(24*AR95*1000),"")</f>
        <v>0.42628205128205127</v>
      </c>
      <c r="X95" s="105">
        <f>IFERROR(_xlfn.XLOOKUP($A95,Input_Raw!$A:$A,Input_Raw!$CF:$CF),"")</f>
        <v>813028</v>
      </c>
      <c r="Y95" s="105">
        <f>IFERROR(_xlfn.XLOOKUP($A95,Input_Raw!$A:$A,Input_Raw!$CZ:$CZ),"")</f>
        <v>798000</v>
      </c>
      <c r="Z95" s="105">
        <f>IFERROR(_xlfn.XLOOKUP($A95,Input_Raw!$A:$A,Input_Raw!$DA:$DA),"")</f>
        <v>0</v>
      </c>
      <c r="AA95" s="107">
        <f t="shared" si="5"/>
        <v>798000</v>
      </c>
      <c r="AB95" s="105">
        <f>IFERROR(_xlfn.XLOOKUP($A95,Input_Raw!$A:$A,Input_Raw!$DG:$DG),"")</f>
        <v>78</v>
      </c>
      <c r="AC95" s="125">
        <f>IFERROR(_xlfn.XLOOKUP($D95,'Modelling New'!$D:$D,'Modelling New'!$J:$J),"")</f>
        <v>6.5666666666666664</v>
      </c>
      <c r="AD95" s="107">
        <f>IFERROR(_xlfn.XLOOKUP($D95,'Modelling New'!$D:$D,'Modelling New'!$T:$T)*1000,"")</f>
        <v>501275.34211348038</v>
      </c>
      <c r="AE95" s="124"/>
      <c r="AF95" s="124">
        <f>IFERROR(_xlfn.XLOOKUP($D95,'Modelling New'!$D:$D,'Modelling New'!$W:$W),"")</f>
        <v>0.26777528959053443</v>
      </c>
      <c r="AG95" s="124">
        <f>IFERROR(_xlfn.XLOOKUP($D95,'Modelling New'!$D:$D,'Modelling New'!$AE:$AE),"")</f>
        <v>0.96029999999999993</v>
      </c>
      <c r="AH95" s="124">
        <f>IFERROR(_xlfn.XLOOKUP($D95,'Modelling New'!$D:$D,'Modelling New'!$AF:$AF),"")</f>
        <v>0.995</v>
      </c>
      <c r="AI95" s="105">
        <f>IFERROR(_xlfn.XLOOKUP($A95,Input_Raw!$A:$A,Input_Raw!$DE:$DE),"")</f>
        <v>801.43</v>
      </c>
      <c r="AJ95" s="105"/>
      <c r="AK95" s="105"/>
      <c r="AL95" s="105"/>
      <c r="AM95" s="105"/>
      <c r="AN95" s="126">
        <f>IFERROR(_xlfn.XLOOKUP($A95,Input_Raw!$A:$A,Input_Raw!$DB:$DB),"")</f>
        <v>1.8483988251327133E-2</v>
      </c>
      <c r="AO95" s="124">
        <f>IFERROR((_xlfn.XLOOKUP($A95,'WTG Reactive Power'!$A:$A,'WTG Reactive Power'!$AR:$AR))/X95/1000,"")</f>
        <v>0</v>
      </c>
      <c r="AP95" s="124">
        <f>IFERROR(_xlfn.XLOOKUP($D95,'Modelling New'!$D:$D,'Modelling New'!$AK:$AK),"")</f>
        <v>0.05</v>
      </c>
      <c r="AQ95" s="124">
        <f>IFERROR(_xlfn.XLOOKUP($D95,'Modelling New'!$D:$D,'Modelling New'!$AL:$AL),"")</f>
        <v>0.05</v>
      </c>
      <c r="AR95">
        <f>IFERROR(_xlfn.XLOOKUP($D95,'Modelling New'!$D:$D,'Modelling New'!$N:$N),"")</f>
        <v>78</v>
      </c>
    </row>
    <row r="96" spans="1:44">
      <c r="A96" s="118">
        <f t="shared" si="7"/>
        <v>45839</v>
      </c>
      <c r="B96" s="107">
        <f>YEAR(Table13[[#This Row],[Date]])+IF(MONTH(Table13[[#This Row],[Date]])&gt;=4,1,0)</f>
        <v>2026</v>
      </c>
      <c r="C96" s="105">
        <f>YEAR(Table13[[#This Row],[Date]])</f>
        <v>2025</v>
      </c>
      <c r="D96" s="119">
        <f>Table13[[#This Row],[Date]]-DAY(Table13[[#This Row],[Date]])+1</f>
        <v>45839</v>
      </c>
      <c r="E96" s="105">
        <f t="shared" si="4"/>
        <v>31</v>
      </c>
      <c r="F96" s="108"/>
      <c r="G96" s="109"/>
      <c r="H96" s="109"/>
      <c r="I96" s="109"/>
      <c r="J96" s="109"/>
      <c r="K96" s="120"/>
      <c r="L96" s="109"/>
      <c r="M96" s="109">
        <f>IFERROR(_xlfn.XLOOKUP($A96,Input_Raw!$A:$A,Input_Raw!CG:CG),"")</f>
        <v>5.1585046751725709</v>
      </c>
      <c r="N96" s="109">
        <f>IFERROR(_xlfn.XLOOKUP($A96,Input_Raw!$A:$A,Input_Raw!CH:CH),"")</f>
        <v>0</v>
      </c>
      <c r="O96" s="121">
        <f t="shared" si="6"/>
        <v>0.91672126608223348</v>
      </c>
      <c r="P96" s="121">
        <f>IFERROR(1-SUMIF(WTG_BD!$F:$F,$A96,WTG_BD!$AA:$AA)/($AA96+SUMIF(WTG_BD!$F:$F,$A96,WTG_BD!$AA:$AA)),"")</f>
        <v>0.91672126608223348</v>
      </c>
      <c r="Q96" s="122">
        <f>IFERROR(1-SUMIF(IGA_BD!$F:$F,$A96,IGA_BD!$V:$V)/($AA96+SUMIF(IGA_BD!$F:$F,$A96,IGA_BD!$V:$V)),"")</f>
        <v>1</v>
      </c>
      <c r="R96" s="127">
        <f>IFERROR(1-SUMIF(Grid_BD!$F:$F,$A96,Grid_BD!$X:$X)/($AA96+SUMIF(Grid_BD!$F:$F,$A96,Grid_BD!$X:$X)),"")</f>
        <v>1</v>
      </c>
      <c r="S96" s="105"/>
      <c r="T96" s="122"/>
      <c r="U96" s="123"/>
      <c r="V96" s="105"/>
      <c r="W96" s="124">
        <f>IFERROR(Table13[[#This Row],[Mtr_Net_Exp (KWh)]]/(24*AR96*1000),"")</f>
        <v>0.43974358974358974</v>
      </c>
      <c r="X96" s="105">
        <f>IFERROR(_xlfn.XLOOKUP($A96,Input_Raw!$A:$A,Input_Raw!$CF:$CF),"")</f>
        <v>826509</v>
      </c>
      <c r="Y96" s="105">
        <f>IFERROR(_xlfn.XLOOKUP($A96,Input_Raw!$A:$A,Input_Raw!$CZ:$CZ),"")</f>
        <v>823200</v>
      </c>
      <c r="Z96" s="105">
        <f>IFERROR(_xlfn.XLOOKUP($A96,Input_Raw!$A:$A,Input_Raw!$DA:$DA),"")</f>
        <v>0</v>
      </c>
      <c r="AA96" s="107">
        <f t="shared" si="5"/>
        <v>823200</v>
      </c>
      <c r="AB96" s="105">
        <f>IFERROR(_xlfn.XLOOKUP($A96,Input_Raw!$A:$A,Input_Raw!$DG:$DG),"")</f>
        <v>78</v>
      </c>
      <c r="AC96" s="125">
        <f>IFERROR(_xlfn.XLOOKUP($D96,'Modelling New'!$D:$D,'Modelling New'!$J:$J),"")</f>
        <v>7.6000000000000005</v>
      </c>
      <c r="AD96" s="107">
        <f>IFERROR(_xlfn.XLOOKUP($D96,'Modelling New'!$D:$D,'Modelling New'!$T:$T)*1000,"")</f>
        <v>585797.81940673687</v>
      </c>
      <c r="AE96" s="124"/>
      <c r="AF96" s="124">
        <f>IFERROR(_xlfn.XLOOKUP($D96,'Modelling New'!$D:$D,'Modelling New'!$W:$W),"")</f>
        <v>0.31292618558052182</v>
      </c>
      <c r="AG96" s="124">
        <f>IFERROR(_xlfn.XLOOKUP($D96,'Modelling New'!$D:$D,'Modelling New'!$AE:$AE),"")</f>
        <v>0.96029999999999993</v>
      </c>
      <c r="AH96" s="124">
        <f>IFERROR(_xlfn.XLOOKUP($D96,'Modelling New'!$D:$D,'Modelling New'!$AF:$AF),"")</f>
        <v>0.995</v>
      </c>
      <c r="AI96" s="105">
        <f>IFERROR(_xlfn.XLOOKUP($A96,Input_Raw!$A:$A,Input_Raw!$DE:$DE),"")</f>
        <v>826.51</v>
      </c>
      <c r="AJ96" s="105"/>
      <c r="AK96" s="105"/>
      <c r="AL96" s="105"/>
      <c r="AM96" s="105"/>
      <c r="AN96" s="126">
        <f>IFERROR(_xlfn.XLOOKUP($A96,Input_Raw!$A:$A,Input_Raw!$DB:$DB),"")</f>
        <v>4.0035861678456852E-3</v>
      </c>
      <c r="AO96" s="124">
        <f>IFERROR((_xlfn.XLOOKUP($A96,'WTG Reactive Power'!$A:$A,'WTG Reactive Power'!$AR:$AR))/X96/1000,"")</f>
        <v>0</v>
      </c>
      <c r="AP96" s="124">
        <f>IFERROR(_xlfn.XLOOKUP($D96,'Modelling New'!$D:$D,'Modelling New'!$AK:$AK),"")</f>
        <v>0.05</v>
      </c>
      <c r="AQ96" s="124">
        <f>IFERROR(_xlfn.XLOOKUP($D96,'Modelling New'!$D:$D,'Modelling New'!$AL:$AL),"")</f>
        <v>0.05</v>
      </c>
      <c r="AR96">
        <f>IFERROR(_xlfn.XLOOKUP($D96,'Modelling New'!$D:$D,'Modelling New'!$N:$N),"")</f>
        <v>78</v>
      </c>
    </row>
    <row r="97" spans="1:44">
      <c r="A97" s="118">
        <f t="shared" si="7"/>
        <v>45840</v>
      </c>
      <c r="B97" s="107">
        <f>YEAR(Table13[[#This Row],[Date]])+IF(MONTH(Table13[[#This Row],[Date]])&gt;=4,1,0)</f>
        <v>2026</v>
      </c>
      <c r="C97" s="105">
        <f>YEAR(Table13[[#This Row],[Date]])</f>
        <v>2025</v>
      </c>
      <c r="D97" s="119">
        <f>Table13[[#This Row],[Date]]-DAY(Table13[[#This Row],[Date]])+1</f>
        <v>45839</v>
      </c>
      <c r="E97" s="105">
        <f t="shared" si="4"/>
        <v>31</v>
      </c>
      <c r="F97" s="108"/>
      <c r="G97" s="109"/>
      <c r="H97" s="109"/>
      <c r="I97" s="109"/>
      <c r="J97" s="109"/>
      <c r="K97" s="120"/>
      <c r="L97" s="109"/>
      <c r="M97" s="109">
        <f>IFERROR(_xlfn.XLOOKUP($A97,Input_Raw!$A:$A,Input_Raw!CG:CG),"")</f>
        <v>5.000745753465794</v>
      </c>
      <c r="N97" s="109">
        <f>IFERROR(_xlfn.XLOOKUP($A97,Input_Raw!$A:$A,Input_Raw!CH:CH),"")</f>
        <v>0</v>
      </c>
      <c r="O97" s="121">
        <f t="shared" si="6"/>
        <v>0.91108194708868651</v>
      </c>
      <c r="P97" s="121">
        <f>IFERROR(1-SUMIF(WTG_BD!$F:$F,$A97,WTG_BD!$AA:$AA)/($AA97+SUMIF(WTG_BD!$F:$F,$A97,WTG_BD!$AA:$AA)),"")</f>
        <v>0.91108194708868651</v>
      </c>
      <c r="Q97" s="122">
        <f>IFERROR(1-SUMIF(IGA_BD!$F:$F,$A97,IGA_BD!$V:$V)/($AA97+SUMIF(IGA_BD!$F:$F,$A97,IGA_BD!$V:$V)),"")</f>
        <v>1</v>
      </c>
      <c r="R97" s="127">
        <f>IFERROR(1-SUMIF(Grid_BD!$F:$F,$A97,Grid_BD!$X:$X)/($AA97+SUMIF(Grid_BD!$F:$F,$A97,Grid_BD!$X:$X)),"")</f>
        <v>1</v>
      </c>
      <c r="S97" s="105"/>
      <c r="T97" s="122"/>
      <c r="U97" s="123"/>
      <c r="V97" s="105"/>
      <c r="W97" s="124">
        <f>IFERROR(Table13[[#This Row],[Mtr_Net_Exp (KWh)]]/(24*AR97*1000),"")</f>
        <v>0.41217948717948716</v>
      </c>
      <c r="X97" s="105">
        <f>IFERROR(_xlfn.XLOOKUP($A97,Input_Raw!$A:$A,Input_Raw!$CF:$CF),"")</f>
        <v>774795</v>
      </c>
      <c r="Y97" s="105">
        <f>IFERROR(_xlfn.XLOOKUP($A97,Input_Raw!$A:$A,Input_Raw!$CZ:$CZ),"")</f>
        <v>771600</v>
      </c>
      <c r="Z97" s="105">
        <f>IFERROR(_xlfn.XLOOKUP($A97,Input_Raw!$A:$A,Input_Raw!$DA:$DA),"")</f>
        <v>0</v>
      </c>
      <c r="AA97" s="107">
        <f t="shared" si="5"/>
        <v>771600</v>
      </c>
      <c r="AB97" s="105">
        <f>IFERROR(_xlfn.XLOOKUP($A97,Input_Raw!$A:$A,Input_Raw!$DG:$DG),"")</f>
        <v>78</v>
      </c>
      <c r="AC97" s="125">
        <f>IFERROR(_xlfn.XLOOKUP($D97,'Modelling New'!$D:$D,'Modelling New'!$J:$J),"")</f>
        <v>7.6000000000000005</v>
      </c>
      <c r="AD97" s="107">
        <f>IFERROR(_xlfn.XLOOKUP($D97,'Modelling New'!$D:$D,'Modelling New'!$T:$T)*1000,"")</f>
        <v>585797.81940673687</v>
      </c>
      <c r="AE97" s="124"/>
      <c r="AF97" s="124">
        <f>IFERROR(_xlfn.XLOOKUP($D97,'Modelling New'!$D:$D,'Modelling New'!$W:$W),"")</f>
        <v>0.31292618558052182</v>
      </c>
      <c r="AG97" s="124">
        <f>IFERROR(_xlfn.XLOOKUP($D97,'Modelling New'!$D:$D,'Modelling New'!$AE:$AE),"")</f>
        <v>0.96029999999999993</v>
      </c>
      <c r="AH97" s="124">
        <f>IFERROR(_xlfn.XLOOKUP($D97,'Modelling New'!$D:$D,'Modelling New'!$AF:$AF),"")</f>
        <v>0.995</v>
      </c>
      <c r="AI97" s="105">
        <f>IFERROR(_xlfn.XLOOKUP($A97,Input_Raw!$A:$A,Input_Raw!$DE:$DE),"")</f>
        <v>774.79499999999996</v>
      </c>
      <c r="AJ97" s="105"/>
      <c r="AK97" s="105"/>
      <c r="AL97" s="105"/>
      <c r="AM97" s="105"/>
      <c r="AN97" s="126">
        <f>IFERROR(_xlfn.XLOOKUP($A97,Input_Raw!$A:$A,Input_Raw!$DB:$DB),"")</f>
        <v>4.1236714227634863E-3</v>
      </c>
      <c r="AO97" s="124">
        <f>IFERROR((_xlfn.XLOOKUP($A97,'WTG Reactive Power'!$A:$A,'WTG Reactive Power'!$AR:$AR))/X97/1000,"")</f>
        <v>0</v>
      </c>
      <c r="AP97" s="124">
        <f>IFERROR(_xlfn.XLOOKUP($D97,'Modelling New'!$D:$D,'Modelling New'!$AK:$AK),"")</f>
        <v>0.05</v>
      </c>
      <c r="AQ97" s="124">
        <f>IFERROR(_xlfn.XLOOKUP($D97,'Modelling New'!$D:$D,'Modelling New'!$AL:$AL),"")</f>
        <v>0.05</v>
      </c>
      <c r="AR97">
        <f>IFERROR(_xlfn.XLOOKUP($D97,'Modelling New'!$D:$D,'Modelling New'!$N:$N),"")</f>
        <v>78</v>
      </c>
    </row>
    <row r="98" spans="1:44">
      <c r="A98" s="118">
        <f t="shared" si="7"/>
        <v>45841</v>
      </c>
      <c r="B98" s="107">
        <f>YEAR(Table13[[#This Row],[Date]])+IF(MONTH(Table13[[#This Row],[Date]])&gt;=4,1,0)</f>
        <v>2026</v>
      </c>
      <c r="C98" s="105">
        <f>YEAR(Table13[[#This Row],[Date]])</f>
        <v>2025</v>
      </c>
      <c r="D98" s="119">
        <f>Table13[[#This Row],[Date]]-DAY(Table13[[#This Row],[Date]])+1</f>
        <v>45839</v>
      </c>
      <c r="E98" s="105">
        <f t="shared" si="4"/>
        <v>31</v>
      </c>
      <c r="F98" s="108"/>
      <c r="G98" s="109"/>
      <c r="H98" s="109"/>
      <c r="I98" s="109"/>
      <c r="J98" s="109"/>
      <c r="K98" s="120"/>
      <c r="L98" s="109"/>
      <c r="M98" s="109">
        <f>IFERROR(_xlfn.XLOOKUP($A98,Input_Raw!$A:$A,Input_Raw!CG:CG),"")</f>
        <v>7.5105128205128198</v>
      </c>
      <c r="N98" s="109">
        <f>IFERROR(_xlfn.XLOOKUP($A98,Input_Raw!$A:$A,Input_Raw!CH:CH),"")</f>
        <v>0</v>
      </c>
      <c r="O98" s="121">
        <f t="shared" si="6"/>
        <v>0.92857935596248864</v>
      </c>
      <c r="P98" s="121">
        <f>IFERROR(1-SUMIF(WTG_BD!$F:$F,$A98,WTG_BD!$AA:$AA)/($AA98+SUMIF(WTG_BD!$F:$F,$A98,WTG_BD!$AA:$AA)),"")</f>
        <v>0.92857935596248864</v>
      </c>
      <c r="Q98" s="122">
        <f>IFERROR(1-SUMIF(IGA_BD!$F:$F,$A98,IGA_BD!$V:$V)/($AA98+SUMIF(IGA_BD!$F:$F,$A98,IGA_BD!$V:$V)),"")</f>
        <v>1</v>
      </c>
      <c r="R98" s="127">
        <f>IFERROR(1-SUMIF(Grid_BD!$F:$F,$A98,Grid_BD!$X:$X)/($AA98+SUMIF(Grid_BD!$F:$F,$A98,Grid_BD!$X:$X)),"")</f>
        <v>1</v>
      </c>
      <c r="S98" s="105"/>
      <c r="T98" s="122"/>
      <c r="U98" s="123"/>
      <c r="V98" s="105"/>
      <c r="W98" s="124">
        <f>IFERROR(Table13[[#This Row],[Mtr_Net_Exp (KWh)]]/(24*AR98*1000),"")</f>
        <v>0.51730769230769236</v>
      </c>
      <c r="X98" s="105">
        <f>IFERROR(_xlfn.XLOOKUP($A98,Input_Raw!$A:$A,Input_Raw!$CF:$CF),"")</f>
        <v>971643</v>
      </c>
      <c r="Y98" s="105">
        <f>IFERROR(_xlfn.XLOOKUP($A98,Input_Raw!$A:$A,Input_Raw!$CZ:$CZ),"")</f>
        <v>968400</v>
      </c>
      <c r="Z98" s="105">
        <f>IFERROR(_xlfn.XLOOKUP($A98,Input_Raw!$A:$A,Input_Raw!$DA:$DA),"")</f>
        <v>0</v>
      </c>
      <c r="AA98" s="107">
        <f t="shared" si="5"/>
        <v>968400</v>
      </c>
      <c r="AB98" s="105">
        <f>IFERROR(_xlfn.XLOOKUP($A98,Input_Raw!$A:$A,Input_Raw!$DG:$DG),"")</f>
        <v>78</v>
      </c>
      <c r="AC98" s="125">
        <f>IFERROR(_xlfn.XLOOKUP($D98,'Modelling New'!$D:$D,'Modelling New'!$J:$J),"")</f>
        <v>7.6000000000000005</v>
      </c>
      <c r="AD98" s="107">
        <f>IFERROR(_xlfn.XLOOKUP($D98,'Modelling New'!$D:$D,'Modelling New'!$T:$T)*1000,"")</f>
        <v>585797.81940673687</v>
      </c>
      <c r="AE98" s="124"/>
      <c r="AF98" s="124">
        <f>IFERROR(_xlfn.XLOOKUP($D98,'Modelling New'!$D:$D,'Modelling New'!$W:$W),"")</f>
        <v>0.31292618558052182</v>
      </c>
      <c r="AG98" s="124">
        <f>IFERROR(_xlfn.XLOOKUP($D98,'Modelling New'!$D:$D,'Modelling New'!$AE:$AE),"")</f>
        <v>0.96029999999999993</v>
      </c>
      <c r="AH98" s="124">
        <f>IFERROR(_xlfn.XLOOKUP($D98,'Modelling New'!$D:$D,'Modelling New'!$AF:$AF),"")</f>
        <v>0.995</v>
      </c>
      <c r="AI98" s="105">
        <f>IFERROR(_xlfn.XLOOKUP($A98,Input_Raw!$A:$A,Input_Raw!$DE:$DE),"")</f>
        <v>971.64300000000003</v>
      </c>
      <c r="AJ98" s="105"/>
      <c r="AK98" s="105"/>
      <c r="AL98" s="105"/>
      <c r="AM98" s="105"/>
      <c r="AN98" s="126">
        <f>IFERROR(_xlfn.XLOOKUP($A98,Input_Raw!$A:$A,Input_Raw!$DB:$DB),"")</f>
        <v>3.3376456167543145E-3</v>
      </c>
      <c r="AO98" s="124">
        <f>IFERROR((_xlfn.XLOOKUP($A98,'WTG Reactive Power'!$A:$A,'WTG Reactive Power'!$AR:$AR))/X98/1000,"")</f>
        <v>0</v>
      </c>
      <c r="AP98" s="124">
        <f>IFERROR(_xlfn.XLOOKUP($D98,'Modelling New'!$D:$D,'Modelling New'!$AK:$AK),"")</f>
        <v>0.05</v>
      </c>
      <c r="AQ98" s="124">
        <f>IFERROR(_xlfn.XLOOKUP($D98,'Modelling New'!$D:$D,'Modelling New'!$AL:$AL),"")</f>
        <v>0.05</v>
      </c>
      <c r="AR98">
        <f>IFERROR(_xlfn.XLOOKUP($D98,'Modelling New'!$D:$D,'Modelling New'!$N:$N),"")</f>
        <v>78</v>
      </c>
    </row>
    <row r="99" spans="1:44">
      <c r="A99" s="118">
        <f t="shared" si="7"/>
        <v>45842</v>
      </c>
      <c r="B99" s="107">
        <f>YEAR(Table13[[#This Row],[Date]])+IF(MONTH(Table13[[#This Row],[Date]])&gt;=4,1,0)</f>
        <v>2026</v>
      </c>
      <c r="C99" s="105">
        <f>YEAR(Table13[[#This Row],[Date]])</f>
        <v>2025</v>
      </c>
      <c r="D99" s="119">
        <f>Table13[[#This Row],[Date]]-DAY(Table13[[#This Row],[Date]])+1</f>
        <v>45839</v>
      </c>
      <c r="E99" s="105">
        <f t="shared" si="4"/>
        <v>31</v>
      </c>
      <c r="F99" s="108"/>
      <c r="G99" s="109"/>
      <c r="H99" s="109"/>
      <c r="I99" s="109"/>
      <c r="J99" s="109"/>
      <c r="K99" s="120"/>
      <c r="L99" s="109"/>
      <c r="M99" s="109">
        <f>IFERROR(_xlfn.XLOOKUP($A99,Input_Raw!$A:$A,Input_Raw!CG:CG),"")</f>
        <v>6.5364102564102584</v>
      </c>
      <c r="N99" s="109">
        <f>IFERROR(_xlfn.XLOOKUP($A99,Input_Raw!$A:$A,Input_Raw!CH:CH),"")</f>
        <v>0</v>
      </c>
      <c r="O99" s="121">
        <f t="shared" si="6"/>
        <v>0.91036014973746338</v>
      </c>
      <c r="P99" s="121">
        <f>IFERROR(1-SUMIF(WTG_BD!$F:$F,$A99,WTG_BD!$AA:$AA)/($AA99+SUMIF(WTG_BD!$F:$F,$A99,WTG_BD!$AA:$AA)),"")</f>
        <v>0.91036014973746338</v>
      </c>
      <c r="Q99" s="122">
        <f>IFERROR(1-SUMIF(IGA_BD!$F:$F,$A99,IGA_BD!$V:$V)/($AA99+SUMIF(IGA_BD!$F:$F,$A99,IGA_BD!$V:$V)),"")</f>
        <v>1</v>
      </c>
      <c r="R99" s="127">
        <f>IFERROR(1-SUMIF(Grid_BD!$F:$F,$A99,Grid_BD!$X:$X)/($AA99+SUMIF(Grid_BD!$F:$F,$A99,Grid_BD!$X:$X)),"")</f>
        <v>1</v>
      </c>
      <c r="S99" s="105"/>
      <c r="T99" s="122"/>
      <c r="U99" s="123"/>
      <c r="V99" s="105"/>
      <c r="W99" s="124">
        <f>IFERROR(Table13[[#This Row],[Mtr_Net_Exp (KWh)]]/(24*AR99*1000),"")</f>
        <v>0.42820512820512818</v>
      </c>
      <c r="X99" s="105">
        <f>IFERROR(_xlfn.XLOOKUP($A99,Input_Raw!$A:$A,Input_Raw!$CF:$CF),"")</f>
        <v>804983</v>
      </c>
      <c r="Y99" s="105">
        <f>IFERROR(_xlfn.XLOOKUP($A99,Input_Raw!$A:$A,Input_Raw!$CZ:$CZ),"")</f>
        <v>801600</v>
      </c>
      <c r="Z99" s="105">
        <f>IFERROR(_xlfn.XLOOKUP($A99,Input_Raw!$A:$A,Input_Raw!$DA:$DA),"")</f>
        <v>0</v>
      </c>
      <c r="AA99" s="107">
        <f t="shared" si="5"/>
        <v>801600</v>
      </c>
      <c r="AB99" s="105">
        <f>IFERROR(_xlfn.XLOOKUP($A99,Input_Raw!$A:$A,Input_Raw!$DG:$DG),"")</f>
        <v>78</v>
      </c>
      <c r="AC99" s="125">
        <f>IFERROR(_xlfn.XLOOKUP($D99,'Modelling New'!$D:$D,'Modelling New'!$J:$J),"")</f>
        <v>7.6000000000000005</v>
      </c>
      <c r="AD99" s="107">
        <f>IFERROR(_xlfn.XLOOKUP($D99,'Modelling New'!$D:$D,'Modelling New'!$T:$T)*1000,"")</f>
        <v>585797.81940673687</v>
      </c>
      <c r="AE99" s="124"/>
      <c r="AF99" s="124">
        <f>IFERROR(_xlfn.XLOOKUP($D99,'Modelling New'!$D:$D,'Modelling New'!$W:$W),"")</f>
        <v>0.31292618558052182</v>
      </c>
      <c r="AG99" s="124">
        <f>IFERROR(_xlfn.XLOOKUP($D99,'Modelling New'!$D:$D,'Modelling New'!$AE:$AE),"")</f>
        <v>0.96029999999999993</v>
      </c>
      <c r="AH99" s="124">
        <f>IFERROR(_xlfn.XLOOKUP($D99,'Modelling New'!$D:$D,'Modelling New'!$AF:$AF),"")</f>
        <v>0.995</v>
      </c>
      <c r="AI99" s="105">
        <f>IFERROR(_xlfn.XLOOKUP($A99,Input_Raw!$A:$A,Input_Raw!$DE:$DE),"")</f>
        <v>804.98299999999995</v>
      </c>
      <c r="AJ99" s="105"/>
      <c r="AK99" s="105"/>
      <c r="AL99" s="105"/>
      <c r="AM99" s="105"/>
      <c r="AN99" s="126">
        <f>IFERROR(_xlfn.XLOOKUP($A99,Input_Raw!$A:$A,Input_Raw!$DB:$DB),"")</f>
        <v>4.2025732220432044E-3</v>
      </c>
      <c r="AO99" s="124">
        <f>IFERROR((_xlfn.XLOOKUP($A99,'WTG Reactive Power'!$A:$A,'WTG Reactive Power'!$AR:$AR))/X99/1000,"")</f>
        <v>0</v>
      </c>
      <c r="AP99" s="124">
        <f>IFERROR(_xlfn.XLOOKUP($D99,'Modelling New'!$D:$D,'Modelling New'!$AK:$AK),"")</f>
        <v>0.05</v>
      </c>
      <c r="AQ99" s="124">
        <f>IFERROR(_xlfn.XLOOKUP($D99,'Modelling New'!$D:$D,'Modelling New'!$AL:$AL),"")</f>
        <v>0.05</v>
      </c>
      <c r="AR99">
        <f>IFERROR(_xlfn.XLOOKUP($D99,'Modelling New'!$D:$D,'Modelling New'!$N:$N),"")</f>
        <v>78</v>
      </c>
    </row>
    <row r="100" spans="1:44">
      <c r="A100" s="118">
        <f t="shared" si="7"/>
        <v>45843</v>
      </c>
      <c r="B100" s="107">
        <f>YEAR(Table13[[#This Row],[Date]])+IF(MONTH(Table13[[#This Row],[Date]])&gt;=4,1,0)</f>
        <v>2026</v>
      </c>
      <c r="C100" s="105">
        <f>YEAR(Table13[[#This Row],[Date]])</f>
        <v>2025</v>
      </c>
      <c r="D100" s="119">
        <f>Table13[[#This Row],[Date]]-DAY(Table13[[#This Row],[Date]])+1</f>
        <v>45839</v>
      </c>
      <c r="E100" s="105">
        <f t="shared" ref="E100:E163" si="8">DAY(EOMONTH(A100,0))</f>
        <v>31</v>
      </c>
      <c r="F100" s="108"/>
      <c r="G100" s="109"/>
      <c r="H100" s="109"/>
      <c r="I100" s="109"/>
      <c r="J100" s="109"/>
      <c r="K100" s="120"/>
      <c r="L100" s="109"/>
      <c r="M100" s="109">
        <f>IFERROR(_xlfn.XLOOKUP($A100,Input_Raw!$A:$A,Input_Raw!CG:CG),"")</f>
        <v>6.609230769230769</v>
      </c>
      <c r="N100" s="109">
        <f>IFERROR(_xlfn.XLOOKUP($A100,Input_Raw!$A:$A,Input_Raw!CH:CH),"")</f>
        <v>0</v>
      </c>
      <c r="O100" s="121">
        <f t="shared" si="6"/>
        <v>0.89698480608798048</v>
      </c>
      <c r="P100" s="121">
        <f>IFERROR(1-SUMIF(WTG_BD!$F:$F,$A100,WTG_BD!$AA:$AA)/($AA100+SUMIF(WTG_BD!$F:$F,$A100,WTG_BD!$AA:$AA)),"")</f>
        <v>0.91959574024840973</v>
      </c>
      <c r="Q100" s="122">
        <f>IFERROR(1-SUMIF(IGA_BD!$F:$F,$A100,IGA_BD!$V:$V)/($AA100+SUMIF(IGA_BD!$F:$F,$A100,IGA_BD!$V:$V)),"")</f>
        <v>0.9754120934114795</v>
      </c>
      <c r="R100" s="127">
        <f>IFERROR(1-SUMIF(Grid_BD!$F:$F,$A100,Grid_BD!$X:$X)/($AA100+SUMIF(Grid_BD!$F:$F,$A100,Grid_BD!$X:$X)),"")</f>
        <v>1</v>
      </c>
      <c r="S100" s="105"/>
      <c r="T100" s="122"/>
      <c r="U100" s="123"/>
      <c r="V100" s="105"/>
      <c r="W100" s="124">
        <f>IFERROR(Table13[[#This Row],[Mtr_Net_Exp (KWh)]]/(24*AR100*1000),"")</f>
        <v>0.42948717948717946</v>
      </c>
      <c r="X100" s="105">
        <f>IFERROR(_xlfn.XLOOKUP($A100,Input_Raw!$A:$A,Input_Raw!$CF:$CF),"")</f>
        <v>807243</v>
      </c>
      <c r="Y100" s="105">
        <f>IFERROR(_xlfn.XLOOKUP($A100,Input_Raw!$A:$A,Input_Raw!$CZ:$CZ),"")</f>
        <v>804000</v>
      </c>
      <c r="Z100" s="105">
        <f>IFERROR(_xlfn.XLOOKUP($A100,Input_Raw!$A:$A,Input_Raw!$DA:$DA),"")</f>
        <v>0</v>
      </c>
      <c r="AA100" s="107">
        <f t="shared" ref="AA100:AA163" si="9">IFERROR(Y100-Z100,"")</f>
        <v>804000</v>
      </c>
      <c r="AB100" s="105">
        <f>IFERROR(_xlfn.XLOOKUP($A100,Input_Raw!$A:$A,Input_Raw!$DG:$DG),"")</f>
        <v>78</v>
      </c>
      <c r="AC100" s="125">
        <f>IFERROR(_xlfn.XLOOKUP($D100,'Modelling New'!$D:$D,'Modelling New'!$J:$J),"")</f>
        <v>7.6000000000000005</v>
      </c>
      <c r="AD100" s="107">
        <f>IFERROR(_xlfn.XLOOKUP($D100,'Modelling New'!$D:$D,'Modelling New'!$T:$T)*1000,"")</f>
        <v>585797.81940673687</v>
      </c>
      <c r="AE100" s="124"/>
      <c r="AF100" s="124">
        <f>IFERROR(_xlfn.XLOOKUP($D100,'Modelling New'!$D:$D,'Modelling New'!$W:$W),"")</f>
        <v>0.31292618558052182</v>
      </c>
      <c r="AG100" s="124">
        <f>IFERROR(_xlfn.XLOOKUP($D100,'Modelling New'!$D:$D,'Modelling New'!$AE:$AE),"")</f>
        <v>0.96029999999999993</v>
      </c>
      <c r="AH100" s="124">
        <f>IFERROR(_xlfn.XLOOKUP($D100,'Modelling New'!$D:$D,'Modelling New'!$AF:$AF),"")</f>
        <v>0.995</v>
      </c>
      <c r="AI100" s="105">
        <f>IFERROR(_xlfn.XLOOKUP($A100,Input_Raw!$A:$A,Input_Raw!$DE:$DE),"")</f>
        <v>807.24300000000005</v>
      </c>
      <c r="AJ100" s="105"/>
      <c r="AK100" s="105"/>
      <c r="AL100" s="105"/>
      <c r="AM100" s="105"/>
      <c r="AN100" s="126">
        <f>IFERROR(_xlfn.XLOOKUP($A100,Input_Raw!$A:$A,Input_Raw!$DB:$DB),"")</f>
        <v>4.0173776669478745E-3</v>
      </c>
      <c r="AO100" s="124">
        <f>IFERROR((_xlfn.XLOOKUP($A100,'WTG Reactive Power'!$A:$A,'WTG Reactive Power'!$AR:$AR))/X100/1000,"")</f>
        <v>0</v>
      </c>
      <c r="AP100" s="124">
        <f>IFERROR(_xlfn.XLOOKUP($D100,'Modelling New'!$D:$D,'Modelling New'!$AK:$AK),"")</f>
        <v>0.05</v>
      </c>
      <c r="AQ100" s="124">
        <f>IFERROR(_xlfn.XLOOKUP($D100,'Modelling New'!$D:$D,'Modelling New'!$AL:$AL),"")</f>
        <v>0.05</v>
      </c>
      <c r="AR100">
        <f>IFERROR(_xlfn.XLOOKUP($D100,'Modelling New'!$D:$D,'Modelling New'!$N:$N),"")</f>
        <v>78</v>
      </c>
    </row>
    <row r="101" spans="1:44">
      <c r="A101" s="118">
        <f t="shared" si="7"/>
        <v>45844</v>
      </c>
      <c r="B101" s="107">
        <f>YEAR(Table13[[#This Row],[Date]])+IF(MONTH(Table13[[#This Row],[Date]])&gt;=4,1,0)</f>
        <v>2026</v>
      </c>
      <c r="C101" s="105">
        <f>YEAR(Table13[[#This Row],[Date]])</f>
        <v>2025</v>
      </c>
      <c r="D101" s="119">
        <f>Table13[[#This Row],[Date]]-DAY(Table13[[#This Row],[Date]])+1</f>
        <v>45839</v>
      </c>
      <c r="E101" s="105">
        <f t="shared" si="8"/>
        <v>31</v>
      </c>
      <c r="F101" s="108"/>
      <c r="G101" s="109"/>
      <c r="H101" s="109"/>
      <c r="I101" s="109"/>
      <c r="J101" s="109"/>
      <c r="K101" s="120"/>
      <c r="L101" s="109"/>
      <c r="M101" s="109">
        <f>IFERROR(_xlfn.XLOOKUP($A101,Input_Raw!$A:$A,Input_Raw!CG:CG),"")</f>
        <v>8.6466945508751873</v>
      </c>
      <c r="N101" s="109">
        <f>IFERROR(_xlfn.XLOOKUP($A101,Input_Raw!$A:$A,Input_Raw!CH:CH),"")</f>
        <v>0</v>
      </c>
      <c r="O101" s="121">
        <f t="shared" ref="O101:O164" si="10">IFERROR(P101*Q101,"")</f>
        <v>0.91199215382181587</v>
      </c>
      <c r="P101" s="121">
        <f>IFERROR(1-SUMIF(WTG_BD!$F:$F,$A101,WTG_BD!$AA:$AA)/($AA101+SUMIF(WTG_BD!$F:$F,$A101,WTG_BD!$AA:$AA)),"")</f>
        <v>0.91199215382181587</v>
      </c>
      <c r="Q101" s="122">
        <f>IFERROR(1-SUMIF(IGA_BD!$F:$F,$A101,IGA_BD!$V:$V)/($AA101+SUMIF(IGA_BD!$F:$F,$A101,IGA_BD!$V:$V)),"")</f>
        <v>1</v>
      </c>
      <c r="R101" s="127">
        <f>IFERROR(1-SUMIF(Grid_BD!$F:$F,$A101,Grid_BD!$X:$X)/($AA101+SUMIF(Grid_BD!$F:$F,$A101,Grid_BD!$X:$X)),"")</f>
        <v>1</v>
      </c>
      <c r="S101" s="105"/>
      <c r="T101" s="122"/>
      <c r="U101" s="123"/>
      <c r="V101" s="105"/>
      <c r="W101" s="124">
        <f>IFERROR(Table13[[#This Row],[Mtr_Net_Exp (KWh)]]/(24*AR101*1000),"")</f>
        <v>0.56153846153846154</v>
      </c>
      <c r="X101" s="105">
        <f>IFERROR(_xlfn.XLOOKUP($A101,Input_Raw!$A:$A,Input_Raw!$CF:$CF),"")</f>
        <v>1068626</v>
      </c>
      <c r="Y101" s="105">
        <f>IFERROR(_xlfn.XLOOKUP($A101,Input_Raw!$A:$A,Input_Raw!$CZ:$CZ),"")</f>
        <v>1051200</v>
      </c>
      <c r="Z101" s="105">
        <f>IFERROR(_xlfn.XLOOKUP($A101,Input_Raw!$A:$A,Input_Raw!$DA:$DA),"")</f>
        <v>0</v>
      </c>
      <c r="AA101" s="107">
        <f t="shared" si="9"/>
        <v>1051200</v>
      </c>
      <c r="AB101" s="105">
        <f>IFERROR(_xlfn.XLOOKUP($A101,Input_Raw!$A:$A,Input_Raw!$DG:$DG),"")</f>
        <v>78</v>
      </c>
      <c r="AC101" s="125">
        <f>IFERROR(_xlfn.XLOOKUP($D101,'Modelling New'!$D:$D,'Modelling New'!$J:$J),"")</f>
        <v>7.6000000000000005</v>
      </c>
      <c r="AD101" s="107">
        <f>IFERROR(_xlfn.XLOOKUP($D101,'Modelling New'!$D:$D,'Modelling New'!$T:$T)*1000,"")</f>
        <v>585797.81940673687</v>
      </c>
      <c r="AE101" s="124"/>
      <c r="AF101" s="124">
        <f>IFERROR(_xlfn.XLOOKUP($D101,'Modelling New'!$D:$D,'Modelling New'!$W:$W),"")</f>
        <v>0.31292618558052182</v>
      </c>
      <c r="AG101" s="124">
        <f>IFERROR(_xlfn.XLOOKUP($D101,'Modelling New'!$D:$D,'Modelling New'!$AE:$AE),"")</f>
        <v>0.96029999999999993</v>
      </c>
      <c r="AH101" s="124">
        <f>IFERROR(_xlfn.XLOOKUP($D101,'Modelling New'!$D:$D,'Modelling New'!$AF:$AF),"")</f>
        <v>0.995</v>
      </c>
      <c r="AI101" s="105">
        <f>IFERROR(_xlfn.XLOOKUP($A101,Input_Raw!$A:$A,Input_Raw!$DE:$DE),"")</f>
        <v>1068.626</v>
      </c>
      <c r="AJ101" s="105"/>
      <c r="AK101" s="105"/>
      <c r="AL101" s="105"/>
      <c r="AM101" s="105"/>
      <c r="AN101" s="126">
        <f>IFERROR(_xlfn.XLOOKUP($A101,Input_Raw!$A:$A,Input_Raw!$DB:$DB),"")</f>
        <v>1.6306921224076509E-2</v>
      </c>
      <c r="AO101" s="124">
        <f>IFERROR((_xlfn.XLOOKUP($A101,'WTG Reactive Power'!$A:$A,'WTG Reactive Power'!$AR:$AR))/X101/1000,"")</f>
        <v>0</v>
      </c>
      <c r="AP101" s="124">
        <f>IFERROR(_xlfn.XLOOKUP($D101,'Modelling New'!$D:$D,'Modelling New'!$AK:$AK),"")</f>
        <v>0.05</v>
      </c>
      <c r="AQ101" s="124">
        <f>IFERROR(_xlfn.XLOOKUP($D101,'Modelling New'!$D:$D,'Modelling New'!$AL:$AL),"")</f>
        <v>0.05</v>
      </c>
      <c r="AR101">
        <f>IFERROR(_xlfn.XLOOKUP($D101,'Modelling New'!$D:$D,'Modelling New'!$N:$N),"")</f>
        <v>78</v>
      </c>
    </row>
    <row r="102" spans="1:44">
      <c r="A102" s="118">
        <f t="shared" ref="A102:A165" si="11">A101+1</f>
        <v>45845</v>
      </c>
      <c r="B102" s="107">
        <f>YEAR(Table13[[#This Row],[Date]])+IF(MONTH(Table13[[#This Row],[Date]])&gt;=4,1,0)</f>
        <v>2026</v>
      </c>
      <c r="C102" s="105">
        <f>YEAR(Table13[[#This Row],[Date]])</f>
        <v>2025</v>
      </c>
      <c r="D102" s="119">
        <f>Table13[[#This Row],[Date]]-DAY(Table13[[#This Row],[Date]])+1</f>
        <v>45839</v>
      </c>
      <c r="E102" s="105">
        <f t="shared" si="8"/>
        <v>31</v>
      </c>
      <c r="F102" s="108"/>
      <c r="G102" s="109"/>
      <c r="H102" s="109"/>
      <c r="I102" s="109"/>
      <c r="J102" s="109"/>
      <c r="K102" s="120"/>
      <c r="L102" s="109"/>
      <c r="M102" s="109">
        <f>IFERROR(_xlfn.XLOOKUP($A102,Input_Raw!$A:$A,Input_Raw!CG:CG),"")</f>
        <v>4.6705128205128208</v>
      </c>
      <c r="N102" s="109">
        <f>IFERROR(_xlfn.XLOOKUP($A102,Input_Raw!$A:$A,Input_Raw!CH:CH),"")</f>
        <v>0</v>
      </c>
      <c r="O102" s="121">
        <f t="shared" si="10"/>
        <v>0.92034587129612799</v>
      </c>
      <c r="P102" s="121">
        <f>IFERROR(1-SUMIF(WTG_BD!$F:$F,$A102,WTG_BD!$AA:$AA)/($AA102+SUMIF(WTG_BD!$F:$F,$A102,WTG_BD!$AA:$AA)),"")</f>
        <v>0.92229347190255773</v>
      </c>
      <c r="Q102" s="122">
        <f>IFERROR(1-SUMIF(IGA_BD!$F:$F,$A102,IGA_BD!$V:$V)/($AA102+SUMIF(IGA_BD!$F:$F,$A102,IGA_BD!$V:$V)),"")</f>
        <v>0.99788830706736753</v>
      </c>
      <c r="R102" s="127">
        <f>IFERROR(1-SUMIF(Grid_BD!$F:$F,$A102,Grid_BD!$X:$X)/($AA102+SUMIF(Grid_BD!$F:$F,$A102,Grid_BD!$X:$X)),"")</f>
        <v>1</v>
      </c>
      <c r="S102" s="105"/>
      <c r="T102" s="122"/>
      <c r="U102" s="123"/>
      <c r="V102" s="105"/>
      <c r="W102" s="124">
        <f>IFERROR(Table13[[#This Row],[Mtr_Net_Exp (KWh)]]/(24*AR102*1000),"")</f>
        <v>0.21153846153846154</v>
      </c>
      <c r="X102" s="105">
        <f>IFERROR(_xlfn.XLOOKUP($A102,Input_Raw!$A:$A,Input_Raw!$CF:$CF),"")</f>
        <v>398921</v>
      </c>
      <c r="Y102" s="105">
        <f>IFERROR(_xlfn.XLOOKUP($A102,Input_Raw!$A:$A,Input_Raw!$CZ:$CZ),"")</f>
        <v>396000</v>
      </c>
      <c r="Z102" s="105">
        <f>IFERROR(_xlfn.XLOOKUP($A102,Input_Raw!$A:$A,Input_Raw!$DA:$DA),"")</f>
        <v>0</v>
      </c>
      <c r="AA102" s="107">
        <f t="shared" si="9"/>
        <v>396000</v>
      </c>
      <c r="AB102" s="105">
        <f>IFERROR(_xlfn.XLOOKUP($A102,Input_Raw!$A:$A,Input_Raw!$DG:$DG),"")</f>
        <v>78</v>
      </c>
      <c r="AC102" s="125">
        <f>IFERROR(_xlfn.XLOOKUP($D102,'Modelling New'!$D:$D,'Modelling New'!$J:$J),"")</f>
        <v>7.6000000000000005</v>
      </c>
      <c r="AD102" s="107">
        <f>IFERROR(_xlfn.XLOOKUP($D102,'Modelling New'!$D:$D,'Modelling New'!$T:$T)*1000,"")</f>
        <v>585797.81940673687</v>
      </c>
      <c r="AE102" s="124"/>
      <c r="AF102" s="124">
        <f>IFERROR(_xlfn.XLOOKUP($D102,'Modelling New'!$D:$D,'Modelling New'!$W:$W),"")</f>
        <v>0.31292618558052182</v>
      </c>
      <c r="AG102" s="124">
        <f>IFERROR(_xlfn.XLOOKUP($D102,'Modelling New'!$D:$D,'Modelling New'!$AE:$AE),"")</f>
        <v>0.96029999999999993</v>
      </c>
      <c r="AH102" s="124">
        <f>IFERROR(_xlfn.XLOOKUP($D102,'Modelling New'!$D:$D,'Modelling New'!$AF:$AF),"")</f>
        <v>0.995</v>
      </c>
      <c r="AI102" s="105">
        <f>IFERROR(_xlfn.XLOOKUP($A102,Input_Raw!$A:$A,Input_Raw!$DE:$DE),"")</f>
        <v>398.92099999999999</v>
      </c>
      <c r="AJ102" s="105"/>
      <c r="AK102" s="105"/>
      <c r="AL102" s="105"/>
      <c r="AM102" s="105"/>
      <c r="AN102" s="126">
        <f>IFERROR(_xlfn.XLOOKUP($A102,Input_Raw!$A:$A,Input_Raw!$DB:$DB),"")</f>
        <v>7.3222517741607929E-3</v>
      </c>
      <c r="AO102" s="124">
        <f>IFERROR((_xlfn.XLOOKUP($A102,'WTG Reactive Power'!$A:$A,'WTG Reactive Power'!$AR:$AR))/X102/1000,"")</f>
        <v>5.8536279993661272E-6</v>
      </c>
      <c r="AP102" s="124">
        <f>IFERROR(_xlfn.XLOOKUP($D102,'Modelling New'!$D:$D,'Modelling New'!$AK:$AK),"")</f>
        <v>0.05</v>
      </c>
      <c r="AQ102" s="124">
        <f>IFERROR(_xlfn.XLOOKUP($D102,'Modelling New'!$D:$D,'Modelling New'!$AL:$AL),"")</f>
        <v>0.05</v>
      </c>
      <c r="AR102">
        <f>IFERROR(_xlfn.XLOOKUP($D102,'Modelling New'!$D:$D,'Modelling New'!$N:$N),"")</f>
        <v>78</v>
      </c>
    </row>
    <row r="103" spans="1:44">
      <c r="A103" s="118">
        <f t="shared" si="11"/>
        <v>45846</v>
      </c>
      <c r="B103" s="107">
        <f>YEAR(Table13[[#This Row],[Date]])+IF(MONTH(Table13[[#This Row],[Date]])&gt;=4,1,0)</f>
        <v>2026</v>
      </c>
      <c r="C103" s="105">
        <f>YEAR(Table13[[#This Row],[Date]])</f>
        <v>2025</v>
      </c>
      <c r="D103" s="119">
        <f>Table13[[#This Row],[Date]]-DAY(Table13[[#This Row],[Date]])+1</f>
        <v>45839</v>
      </c>
      <c r="E103" s="105">
        <f t="shared" si="8"/>
        <v>31</v>
      </c>
      <c r="F103" s="108"/>
      <c r="G103" s="109"/>
      <c r="H103" s="109"/>
      <c r="I103" s="109"/>
      <c r="J103" s="109"/>
      <c r="K103" s="120"/>
      <c r="L103" s="109"/>
      <c r="M103" s="109">
        <f>IFERROR(_xlfn.XLOOKUP($A103,Input_Raw!$A:$A,Input_Raw!CG:CG),"")</f>
        <v>5.4123076923076923</v>
      </c>
      <c r="N103" s="109">
        <f>IFERROR(_xlfn.XLOOKUP($A103,Input_Raw!$A:$A,Input_Raw!CH:CH),"")</f>
        <v>0</v>
      </c>
      <c r="O103" s="121">
        <f t="shared" si="10"/>
        <v>0.90385483607141304</v>
      </c>
      <c r="P103" s="121">
        <f>IFERROR(1-SUMIF(WTG_BD!$F:$F,$A103,WTG_BD!$AA:$AA)/($AA103+SUMIF(WTG_BD!$F:$F,$A103,WTG_BD!$AA:$AA)),"")</f>
        <v>0.91246811254706917</v>
      </c>
      <c r="Q103" s="122">
        <f>IFERROR(1-SUMIF(IGA_BD!$F:$F,$A103,IGA_BD!$V:$V)/($AA103+SUMIF(IGA_BD!$F:$F,$A103,IGA_BD!$V:$V)),"")</f>
        <v>0.99056046303731871</v>
      </c>
      <c r="R103" s="127">
        <f>IFERROR(1-SUMIF(Grid_BD!$F:$F,$A103,Grid_BD!$X:$X)/($AA103+SUMIF(Grid_BD!$F:$F,$A103,Grid_BD!$X:$X)),"")</f>
        <v>1</v>
      </c>
      <c r="S103" s="105"/>
      <c r="T103" s="122"/>
      <c r="U103" s="123"/>
      <c r="V103" s="105"/>
      <c r="W103" s="124">
        <f>IFERROR(Table13[[#This Row],[Mtr_Net_Exp (KWh)]]/(24*AR103*1000),"")</f>
        <v>0.29102564102564105</v>
      </c>
      <c r="X103" s="105">
        <f>IFERROR(_xlfn.XLOOKUP($A103,Input_Raw!$A:$A,Input_Raw!$CF:$CF),"")</f>
        <v>548000</v>
      </c>
      <c r="Y103" s="105">
        <f>IFERROR(_xlfn.XLOOKUP($A103,Input_Raw!$A:$A,Input_Raw!$CZ:$CZ),"")</f>
        <v>544800</v>
      </c>
      <c r="Z103" s="105">
        <f>IFERROR(_xlfn.XLOOKUP($A103,Input_Raw!$A:$A,Input_Raw!$DA:$DA),"")</f>
        <v>0</v>
      </c>
      <c r="AA103" s="107">
        <f t="shared" si="9"/>
        <v>544800</v>
      </c>
      <c r="AB103" s="105">
        <f>IFERROR(_xlfn.XLOOKUP($A103,Input_Raw!$A:$A,Input_Raw!$DG:$DG),"")</f>
        <v>78</v>
      </c>
      <c r="AC103" s="125">
        <f>IFERROR(_xlfn.XLOOKUP($D103,'Modelling New'!$D:$D,'Modelling New'!$J:$J),"")</f>
        <v>7.6000000000000005</v>
      </c>
      <c r="AD103" s="107">
        <f>IFERROR(_xlfn.XLOOKUP($D103,'Modelling New'!$D:$D,'Modelling New'!$T:$T)*1000,"")</f>
        <v>585797.81940673687</v>
      </c>
      <c r="AE103" s="124"/>
      <c r="AF103" s="124">
        <f>IFERROR(_xlfn.XLOOKUP($D103,'Modelling New'!$D:$D,'Modelling New'!$W:$W),"")</f>
        <v>0.31292618558052182</v>
      </c>
      <c r="AG103" s="124">
        <f>IFERROR(_xlfn.XLOOKUP($D103,'Modelling New'!$D:$D,'Modelling New'!$AE:$AE),"")</f>
        <v>0.96029999999999993</v>
      </c>
      <c r="AH103" s="124">
        <f>IFERROR(_xlfn.XLOOKUP($D103,'Modelling New'!$D:$D,'Modelling New'!$AF:$AF),"")</f>
        <v>0.995</v>
      </c>
      <c r="AI103" s="105">
        <f>IFERROR(_xlfn.XLOOKUP($A103,Input_Raw!$A:$A,Input_Raw!$DE:$DE),"")</f>
        <v>548</v>
      </c>
      <c r="AJ103" s="105"/>
      <c r="AK103" s="105"/>
      <c r="AL103" s="105"/>
      <c r="AM103" s="105"/>
      <c r="AN103" s="126">
        <f>IFERROR(_xlfn.XLOOKUP($A103,Input_Raw!$A:$A,Input_Raw!$DB:$DB),"")</f>
        <v>5.839416058394109E-3</v>
      </c>
      <c r="AO103" s="124">
        <f>IFERROR((_xlfn.XLOOKUP($A103,'WTG Reactive Power'!$A:$A,'WTG Reactive Power'!$AR:$AR))/X103/1000,"")</f>
        <v>0</v>
      </c>
      <c r="AP103" s="124">
        <f>IFERROR(_xlfn.XLOOKUP($D103,'Modelling New'!$D:$D,'Modelling New'!$AK:$AK),"")</f>
        <v>0.05</v>
      </c>
      <c r="AQ103" s="124">
        <f>IFERROR(_xlfn.XLOOKUP($D103,'Modelling New'!$D:$D,'Modelling New'!$AL:$AL),"")</f>
        <v>0.05</v>
      </c>
      <c r="AR103">
        <f>IFERROR(_xlfn.XLOOKUP($D103,'Modelling New'!$D:$D,'Modelling New'!$N:$N),"")</f>
        <v>78</v>
      </c>
    </row>
    <row r="104" spans="1:44">
      <c r="A104" s="118">
        <f t="shared" si="11"/>
        <v>45847</v>
      </c>
      <c r="B104" s="107">
        <f>YEAR(Table13[[#This Row],[Date]])+IF(MONTH(Table13[[#This Row],[Date]])&gt;=4,1,0)</f>
        <v>2026</v>
      </c>
      <c r="C104" s="105">
        <f>YEAR(Table13[[#This Row],[Date]])</f>
        <v>2025</v>
      </c>
      <c r="D104" s="119">
        <f>Table13[[#This Row],[Date]]-DAY(Table13[[#This Row],[Date]])+1</f>
        <v>45839</v>
      </c>
      <c r="E104" s="105">
        <f t="shared" si="8"/>
        <v>31</v>
      </c>
      <c r="F104" s="108"/>
      <c r="G104" s="109"/>
      <c r="H104" s="109"/>
      <c r="I104" s="109"/>
      <c r="J104" s="109"/>
      <c r="K104" s="120"/>
      <c r="L104" s="109"/>
      <c r="M104" s="109">
        <f>IFERROR(_xlfn.XLOOKUP($A104,Input_Raw!$A:$A,Input_Raw!CG:CG),"")</f>
        <v>4.6851282051282048</v>
      </c>
      <c r="N104" s="109">
        <f>IFERROR(_xlfn.XLOOKUP($A104,Input_Raw!$A:$A,Input_Raw!CH:CH),"")</f>
        <v>0</v>
      </c>
      <c r="O104" s="121">
        <f t="shared" si="10"/>
        <v>0.92571711298995629</v>
      </c>
      <c r="P104" s="121">
        <f>IFERROR(1-SUMIF(WTG_BD!$F:$F,$A104,WTG_BD!$AA:$AA)/($AA104+SUMIF(WTG_BD!$F:$F,$A104,WTG_BD!$AA:$AA)),"")</f>
        <v>0.92571711298995629</v>
      </c>
      <c r="Q104" s="122">
        <f>IFERROR(1-SUMIF(IGA_BD!$F:$F,$A104,IGA_BD!$V:$V)/($AA104+SUMIF(IGA_BD!$F:$F,$A104,IGA_BD!$V:$V)),"")</f>
        <v>1</v>
      </c>
      <c r="R104" s="127">
        <f>IFERROR(1-SUMIF(Grid_BD!$F:$F,$A104,Grid_BD!$X:$X)/($AA104+SUMIF(Grid_BD!$F:$F,$A104,Grid_BD!$X:$X)),"")</f>
        <v>1</v>
      </c>
      <c r="S104" s="105"/>
      <c r="T104" s="122"/>
      <c r="U104" s="123"/>
      <c r="V104" s="105"/>
      <c r="W104" s="124">
        <f>IFERROR(Table13[[#This Row],[Mtr_Net_Exp (KWh)]]/(24*AR104*1000),"")</f>
        <v>0.1891025641025641</v>
      </c>
      <c r="X104" s="105">
        <f>IFERROR(_xlfn.XLOOKUP($A104,Input_Raw!$A:$A,Input_Raw!$CF:$CF),"")</f>
        <v>357020</v>
      </c>
      <c r="Y104" s="105">
        <f>IFERROR(_xlfn.XLOOKUP($A104,Input_Raw!$A:$A,Input_Raw!$CZ:$CZ),"")</f>
        <v>354000</v>
      </c>
      <c r="Z104" s="105">
        <f>IFERROR(_xlfn.XLOOKUP($A104,Input_Raw!$A:$A,Input_Raw!$DA:$DA),"")</f>
        <v>0</v>
      </c>
      <c r="AA104" s="107">
        <f t="shared" si="9"/>
        <v>354000</v>
      </c>
      <c r="AB104" s="105">
        <f>IFERROR(_xlfn.XLOOKUP($A104,Input_Raw!$A:$A,Input_Raw!$DG:$DG),"")</f>
        <v>78</v>
      </c>
      <c r="AC104" s="125">
        <f>IFERROR(_xlfn.XLOOKUP($D104,'Modelling New'!$D:$D,'Modelling New'!$J:$J),"")</f>
        <v>7.6000000000000005</v>
      </c>
      <c r="AD104" s="107">
        <f>IFERROR(_xlfn.XLOOKUP($D104,'Modelling New'!$D:$D,'Modelling New'!$T:$T)*1000,"")</f>
        <v>585797.81940673687</v>
      </c>
      <c r="AE104" s="124"/>
      <c r="AF104" s="124">
        <f>IFERROR(_xlfn.XLOOKUP($D104,'Modelling New'!$D:$D,'Modelling New'!$W:$W),"")</f>
        <v>0.31292618558052182</v>
      </c>
      <c r="AG104" s="124">
        <f>IFERROR(_xlfn.XLOOKUP($D104,'Modelling New'!$D:$D,'Modelling New'!$AE:$AE),"")</f>
        <v>0.96029999999999993</v>
      </c>
      <c r="AH104" s="124">
        <f>IFERROR(_xlfn.XLOOKUP($D104,'Modelling New'!$D:$D,'Modelling New'!$AF:$AF),"")</f>
        <v>0.995</v>
      </c>
      <c r="AI104" s="105">
        <f>IFERROR(_xlfn.XLOOKUP($A104,Input_Raw!$A:$A,Input_Raw!$DE:$DE),"")</f>
        <v>357.02</v>
      </c>
      <c r="AJ104" s="105"/>
      <c r="AK104" s="105"/>
      <c r="AL104" s="105"/>
      <c r="AM104" s="105"/>
      <c r="AN104" s="126">
        <f>IFERROR(_xlfn.XLOOKUP($A104,Input_Raw!$A:$A,Input_Raw!$DB:$DB),"")</f>
        <v>8.4589098649935357E-3</v>
      </c>
      <c r="AO104" s="124">
        <f>IFERROR((_xlfn.XLOOKUP($A104,'WTG Reactive Power'!$A:$A,'WTG Reactive Power'!$AR:$AR))/X104/1000,"")</f>
        <v>0</v>
      </c>
      <c r="AP104" s="124">
        <f>IFERROR(_xlfn.XLOOKUP($D104,'Modelling New'!$D:$D,'Modelling New'!$AK:$AK),"")</f>
        <v>0.05</v>
      </c>
      <c r="AQ104" s="124">
        <f>IFERROR(_xlfn.XLOOKUP($D104,'Modelling New'!$D:$D,'Modelling New'!$AL:$AL),"")</f>
        <v>0.05</v>
      </c>
      <c r="AR104">
        <f>IFERROR(_xlfn.XLOOKUP($D104,'Modelling New'!$D:$D,'Modelling New'!$N:$N),"")</f>
        <v>78</v>
      </c>
    </row>
    <row r="105" spans="1:44">
      <c r="A105" s="118">
        <f t="shared" si="11"/>
        <v>45848</v>
      </c>
      <c r="B105" s="107">
        <f>YEAR(Table13[[#This Row],[Date]])+IF(MONTH(Table13[[#This Row],[Date]])&gt;=4,1,0)</f>
        <v>2026</v>
      </c>
      <c r="C105" s="105">
        <f>YEAR(Table13[[#This Row],[Date]])</f>
        <v>2025</v>
      </c>
      <c r="D105" s="119">
        <f>Table13[[#This Row],[Date]]-DAY(Table13[[#This Row],[Date]])+1</f>
        <v>45839</v>
      </c>
      <c r="E105" s="105">
        <f t="shared" si="8"/>
        <v>31</v>
      </c>
      <c r="F105" s="108"/>
      <c r="G105" s="109"/>
      <c r="H105" s="109"/>
      <c r="I105" s="109"/>
      <c r="J105" s="109"/>
      <c r="K105" s="120"/>
      <c r="L105" s="109"/>
      <c r="M105" s="109">
        <f>IFERROR(_xlfn.XLOOKUP($A105,Input_Raw!$A:$A,Input_Raw!CG:CG),"")</f>
        <v>3.4600000000000009</v>
      </c>
      <c r="N105" s="109">
        <f>IFERROR(_xlfn.XLOOKUP($A105,Input_Raw!$A:$A,Input_Raw!CH:CH),"")</f>
        <v>0</v>
      </c>
      <c r="O105" s="121">
        <f t="shared" si="10"/>
        <v>0.91641427661673402</v>
      </c>
      <c r="P105" s="121">
        <f>IFERROR(1-SUMIF(WTG_BD!$F:$F,$A105,WTG_BD!$AA:$AA)/($AA105+SUMIF(WTG_BD!$F:$F,$A105,WTG_BD!$AA:$AA)),"")</f>
        <v>0.91641427661673402</v>
      </c>
      <c r="Q105" s="122">
        <f>IFERROR(1-SUMIF(IGA_BD!$F:$F,$A105,IGA_BD!$V:$V)/($AA105+SUMIF(IGA_BD!$F:$F,$A105,IGA_BD!$V:$V)),"")</f>
        <v>1</v>
      </c>
      <c r="R105" s="127">
        <f>IFERROR(1-SUMIF(Grid_BD!$F:$F,$A105,Grid_BD!$X:$X)/($AA105+SUMIF(Grid_BD!$F:$F,$A105,Grid_BD!$X:$X)),"")</f>
        <v>1</v>
      </c>
      <c r="S105" s="105"/>
      <c r="T105" s="122"/>
      <c r="U105" s="123"/>
      <c r="V105" s="105"/>
      <c r="W105" s="124">
        <f>IFERROR(Table13[[#This Row],[Mtr_Net_Exp (KWh)]]/(24*AR105*1000),"")</f>
        <v>9.8076923076923075E-2</v>
      </c>
      <c r="X105" s="105">
        <f>IFERROR(_xlfn.XLOOKUP($A105,Input_Raw!$A:$A,Input_Raw!$CF:$CF),"")</f>
        <v>186210</v>
      </c>
      <c r="Y105" s="105">
        <f>IFERROR(_xlfn.XLOOKUP($A105,Input_Raw!$A:$A,Input_Raw!$CZ:$CZ),"")</f>
        <v>183600</v>
      </c>
      <c r="Z105" s="105">
        <f>IFERROR(_xlfn.XLOOKUP($A105,Input_Raw!$A:$A,Input_Raw!$DA:$DA),"")</f>
        <v>0</v>
      </c>
      <c r="AA105" s="107">
        <f t="shared" si="9"/>
        <v>183600</v>
      </c>
      <c r="AB105" s="105">
        <f>IFERROR(_xlfn.XLOOKUP($A105,Input_Raw!$A:$A,Input_Raw!$DG:$DG),"")</f>
        <v>78</v>
      </c>
      <c r="AC105" s="125">
        <f>IFERROR(_xlfn.XLOOKUP($D105,'Modelling New'!$D:$D,'Modelling New'!$J:$J),"")</f>
        <v>7.6000000000000005</v>
      </c>
      <c r="AD105" s="107">
        <f>IFERROR(_xlfn.XLOOKUP($D105,'Modelling New'!$D:$D,'Modelling New'!$T:$T)*1000,"")</f>
        <v>585797.81940673687</v>
      </c>
      <c r="AE105" s="124"/>
      <c r="AF105" s="124">
        <f>IFERROR(_xlfn.XLOOKUP($D105,'Modelling New'!$D:$D,'Modelling New'!$W:$W),"")</f>
        <v>0.31292618558052182</v>
      </c>
      <c r="AG105" s="124">
        <f>IFERROR(_xlfn.XLOOKUP($D105,'Modelling New'!$D:$D,'Modelling New'!$AE:$AE),"")</f>
        <v>0.96029999999999993</v>
      </c>
      <c r="AH105" s="124">
        <f>IFERROR(_xlfn.XLOOKUP($D105,'Modelling New'!$D:$D,'Modelling New'!$AF:$AF),"")</f>
        <v>0.995</v>
      </c>
      <c r="AI105" s="105">
        <f>IFERROR(_xlfn.XLOOKUP($A105,Input_Raw!$A:$A,Input_Raw!$DE:$DE),"")</f>
        <v>186.21</v>
      </c>
      <c r="AJ105" s="105"/>
      <c r="AK105" s="105"/>
      <c r="AL105" s="105"/>
      <c r="AM105" s="105"/>
      <c r="AN105" s="126">
        <f>IFERROR(_xlfn.XLOOKUP($A105,Input_Raw!$A:$A,Input_Raw!$DB:$DB),"")</f>
        <v>1.4016433059448996E-2</v>
      </c>
      <c r="AO105" s="124">
        <f>IFERROR((_xlfn.XLOOKUP($A105,'WTG Reactive Power'!$A:$A,'WTG Reactive Power'!$AR:$AR))/X105/1000,"")</f>
        <v>6.253530959669187E-6</v>
      </c>
      <c r="AP105" s="124">
        <f>IFERROR(_xlfn.XLOOKUP($D105,'Modelling New'!$D:$D,'Modelling New'!$AK:$AK),"")</f>
        <v>0.05</v>
      </c>
      <c r="AQ105" s="124">
        <f>IFERROR(_xlfn.XLOOKUP($D105,'Modelling New'!$D:$D,'Modelling New'!$AL:$AL),"")</f>
        <v>0.05</v>
      </c>
      <c r="AR105">
        <f>IFERROR(_xlfn.XLOOKUP($D105,'Modelling New'!$D:$D,'Modelling New'!$N:$N),"")</f>
        <v>78</v>
      </c>
    </row>
    <row r="106" spans="1:44">
      <c r="A106" s="118">
        <f t="shared" si="11"/>
        <v>45849</v>
      </c>
      <c r="B106" s="107">
        <f>YEAR(Table13[[#This Row],[Date]])+IF(MONTH(Table13[[#This Row],[Date]])&gt;=4,1,0)</f>
        <v>2026</v>
      </c>
      <c r="C106" s="105">
        <f>YEAR(Table13[[#This Row],[Date]])</f>
        <v>2025</v>
      </c>
      <c r="D106" s="119">
        <f>Table13[[#This Row],[Date]]-DAY(Table13[[#This Row],[Date]])+1</f>
        <v>45839</v>
      </c>
      <c r="E106" s="105">
        <f t="shared" si="8"/>
        <v>31</v>
      </c>
      <c r="F106" s="108"/>
      <c r="G106" s="109"/>
      <c r="H106" s="109"/>
      <c r="I106" s="109"/>
      <c r="J106" s="109"/>
      <c r="K106" s="120"/>
      <c r="L106" s="109"/>
      <c r="M106" s="109">
        <f>IFERROR(_xlfn.XLOOKUP($A106,Input_Raw!$A:$A,Input_Raw!CG:CG),"")</f>
        <v>4.3253846153846149</v>
      </c>
      <c r="N106" s="109">
        <f>IFERROR(_xlfn.XLOOKUP($A106,Input_Raw!$A:$A,Input_Raw!CH:CH),"")</f>
        <v>0</v>
      </c>
      <c r="O106" s="121">
        <f t="shared" si="10"/>
        <v>0.92529967531186341</v>
      </c>
      <c r="P106" s="121">
        <f>IFERROR(1-SUMIF(WTG_BD!$F:$F,$A106,WTG_BD!$AA:$AA)/($AA106+SUMIF(WTG_BD!$F:$F,$A106,WTG_BD!$AA:$AA)),"")</f>
        <v>0.92529967531186341</v>
      </c>
      <c r="Q106" s="122">
        <f>IFERROR(1-SUMIF(IGA_BD!$F:$F,$A106,IGA_BD!$V:$V)/($AA106+SUMIF(IGA_BD!$F:$F,$A106,IGA_BD!$V:$V)),"")</f>
        <v>1</v>
      </c>
      <c r="R106" s="127">
        <f>IFERROR(1-SUMIF(Grid_BD!$F:$F,$A106,Grid_BD!$X:$X)/($AA106+SUMIF(Grid_BD!$F:$F,$A106,Grid_BD!$X:$X)),"")</f>
        <v>1</v>
      </c>
      <c r="S106" s="105"/>
      <c r="T106" s="122"/>
      <c r="U106" s="123"/>
      <c r="V106" s="105"/>
      <c r="W106" s="124">
        <f>IFERROR(Table13[[#This Row],[Mtr_Net_Exp (KWh)]]/(24*AR106*1000),"")</f>
        <v>0.18012820512820513</v>
      </c>
      <c r="X106" s="105">
        <f>IFERROR(_xlfn.XLOOKUP($A106,Input_Raw!$A:$A,Input_Raw!$CF:$CF),"")</f>
        <v>341630</v>
      </c>
      <c r="Y106" s="105">
        <f>IFERROR(_xlfn.XLOOKUP($A106,Input_Raw!$A:$A,Input_Raw!$CZ:$CZ),"")</f>
        <v>338400</v>
      </c>
      <c r="Z106" s="105">
        <f>IFERROR(_xlfn.XLOOKUP($A106,Input_Raw!$A:$A,Input_Raw!$DA:$DA),"")</f>
        <v>1200</v>
      </c>
      <c r="AA106" s="107">
        <f t="shared" si="9"/>
        <v>337200</v>
      </c>
      <c r="AB106" s="105">
        <f>IFERROR(_xlfn.XLOOKUP($A106,Input_Raw!$A:$A,Input_Raw!$DG:$DG),"")</f>
        <v>78</v>
      </c>
      <c r="AC106" s="125">
        <f>IFERROR(_xlfn.XLOOKUP($D106,'Modelling New'!$D:$D,'Modelling New'!$J:$J),"")</f>
        <v>7.6000000000000005</v>
      </c>
      <c r="AD106" s="107">
        <f>IFERROR(_xlfn.XLOOKUP($D106,'Modelling New'!$D:$D,'Modelling New'!$T:$T)*1000,"")</f>
        <v>585797.81940673687</v>
      </c>
      <c r="AE106" s="124"/>
      <c r="AF106" s="124">
        <f>IFERROR(_xlfn.XLOOKUP($D106,'Modelling New'!$D:$D,'Modelling New'!$W:$W),"")</f>
        <v>0.31292618558052182</v>
      </c>
      <c r="AG106" s="124">
        <f>IFERROR(_xlfn.XLOOKUP($D106,'Modelling New'!$D:$D,'Modelling New'!$AE:$AE),"")</f>
        <v>0.96029999999999993</v>
      </c>
      <c r="AH106" s="124">
        <f>IFERROR(_xlfn.XLOOKUP($D106,'Modelling New'!$D:$D,'Modelling New'!$AF:$AF),"")</f>
        <v>0.995</v>
      </c>
      <c r="AI106" s="105">
        <f>IFERROR(_xlfn.XLOOKUP($A106,Input_Raw!$A:$A,Input_Raw!$DE:$DE),"")</f>
        <v>341.63</v>
      </c>
      <c r="AJ106" s="105"/>
      <c r="AK106" s="105"/>
      <c r="AL106" s="105"/>
      <c r="AM106" s="105"/>
      <c r="AN106" s="126">
        <f>IFERROR(_xlfn.XLOOKUP($A106,Input_Raw!$A:$A,Input_Raw!$DB:$DB),"")</f>
        <v>9.4546731844392662E-3</v>
      </c>
      <c r="AO106" s="124">
        <f>IFERROR((_xlfn.XLOOKUP($A106,'WTG Reactive Power'!$A:$A,'WTG Reactive Power'!$AR:$AR))/X106/1000,"")</f>
        <v>3.4085706758774091E-6</v>
      </c>
      <c r="AP106" s="124">
        <f>IFERROR(_xlfn.XLOOKUP($D106,'Modelling New'!$D:$D,'Modelling New'!$AK:$AK),"")</f>
        <v>0.05</v>
      </c>
      <c r="AQ106" s="124">
        <f>IFERROR(_xlfn.XLOOKUP($D106,'Modelling New'!$D:$D,'Modelling New'!$AL:$AL),"")</f>
        <v>0.05</v>
      </c>
      <c r="AR106">
        <f>IFERROR(_xlfn.XLOOKUP($D106,'Modelling New'!$D:$D,'Modelling New'!$N:$N),"")</f>
        <v>78</v>
      </c>
    </row>
    <row r="107" spans="1:44">
      <c r="A107" s="118">
        <f t="shared" si="11"/>
        <v>45850</v>
      </c>
      <c r="B107" s="107">
        <f>YEAR(Table13[[#This Row],[Date]])+IF(MONTH(Table13[[#This Row],[Date]])&gt;=4,1,0)</f>
        <v>2026</v>
      </c>
      <c r="C107" s="105">
        <f>YEAR(Table13[[#This Row],[Date]])</f>
        <v>2025</v>
      </c>
      <c r="D107" s="119">
        <f>Table13[[#This Row],[Date]]-DAY(Table13[[#This Row],[Date]])+1</f>
        <v>45839</v>
      </c>
      <c r="E107" s="105">
        <f t="shared" si="8"/>
        <v>31</v>
      </c>
      <c r="F107" s="108"/>
      <c r="G107" s="109"/>
      <c r="H107" s="109"/>
      <c r="I107" s="109"/>
      <c r="J107" s="109"/>
      <c r="K107" s="120"/>
      <c r="L107" s="109"/>
      <c r="M107" s="109">
        <f>IFERROR(_xlfn.XLOOKUP($A107,Input_Raw!$A:$A,Input_Raw!CG:CG),"")</f>
        <v>4.6851282051282048</v>
      </c>
      <c r="N107" s="109">
        <f>IFERROR(_xlfn.XLOOKUP($A107,Input_Raw!$A:$A,Input_Raw!CH:CH),"")</f>
        <v>0</v>
      </c>
      <c r="O107" s="121">
        <f t="shared" si="10"/>
        <v>0.91517816792541062</v>
      </c>
      <c r="P107" s="121">
        <f>IFERROR(1-SUMIF(WTG_BD!$F:$F,$A107,WTG_BD!$AA:$AA)/($AA107+SUMIF(WTG_BD!$F:$F,$A107,WTG_BD!$AA:$AA)),"")</f>
        <v>0.91517816792541062</v>
      </c>
      <c r="Q107" s="122">
        <f>IFERROR(1-SUMIF(IGA_BD!$F:$F,$A107,IGA_BD!$V:$V)/($AA107+SUMIF(IGA_BD!$F:$F,$A107,IGA_BD!$V:$V)),"")</f>
        <v>1</v>
      </c>
      <c r="R107" s="127">
        <f>IFERROR(1-SUMIF(Grid_BD!$F:$F,$A107,Grid_BD!$X:$X)/($AA107+SUMIF(Grid_BD!$F:$F,$A107,Grid_BD!$X:$X)),"")</f>
        <v>1</v>
      </c>
      <c r="S107" s="105"/>
      <c r="T107" s="122"/>
      <c r="U107" s="123"/>
      <c r="V107" s="105"/>
      <c r="W107" s="124">
        <f>IFERROR(Table13[[#This Row],[Mtr_Net_Exp (KWh)]]/(24*AR107*1000),"")</f>
        <v>0.20833333333333334</v>
      </c>
      <c r="X107" s="105">
        <f>IFERROR(_xlfn.XLOOKUP($A107,Input_Raw!$A:$A,Input_Raw!$CF:$CF),"")</f>
        <v>393205</v>
      </c>
      <c r="Y107" s="105">
        <f>IFERROR(_xlfn.XLOOKUP($A107,Input_Raw!$A:$A,Input_Raw!$CZ:$CZ),"")</f>
        <v>390000</v>
      </c>
      <c r="Z107" s="105">
        <f>IFERROR(_xlfn.XLOOKUP($A107,Input_Raw!$A:$A,Input_Raw!$DA:$DA),"")</f>
        <v>0</v>
      </c>
      <c r="AA107" s="107">
        <f t="shared" si="9"/>
        <v>390000</v>
      </c>
      <c r="AB107" s="105">
        <f>IFERROR(_xlfn.XLOOKUP($A107,Input_Raw!$A:$A,Input_Raw!$DG:$DG),"")</f>
        <v>78</v>
      </c>
      <c r="AC107" s="125">
        <f>IFERROR(_xlfn.XLOOKUP($D107,'Modelling New'!$D:$D,'Modelling New'!$J:$J),"")</f>
        <v>7.6000000000000005</v>
      </c>
      <c r="AD107" s="107">
        <f>IFERROR(_xlfn.XLOOKUP($D107,'Modelling New'!$D:$D,'Modelling New'!$T:$T)*1000,"")</f>
        <v>585797.81940673687</v>
      </c>
      <c r="AE107" s="124"/>
      <c r="AF107" s="124">
        <f>IFERROR(_xlfn.XLOOKUP($D107,'Modelling New'!$D:$D,'Modelling New'!$W:$W),"")</f>
        <v>0.31292618558052182</v>
      </c>
      <c r="AG107" s="124">
        <f>IFERROR(_xlfn.XLOOKUP($D107,'Modelling New'!$D:$D,'Modelling New'!$AE:$AE),"")</f>
        <v>0.96029999999999993</v>
      </c>
      <c r="AH107" s="124">
        <f>IFERROR(_xlfn.XLOOKUP($D107,'Modelling New'!$D:$D,'Modelling New'!$AF:$AF),"")</f>
        <v>0.995</v>
      </c>
      <c r="AI107" s="105">
        <f>IFERROR(_xlfn.XLOOKUP($A107,Input_Raw!$A:$A,Input_Raw!$DE:$DE),"")</f>
        <v>393.20499999999998</v>
      </c>
      <c r="AJ107" s="105"/>
      <c r="AK107" s="105"/>
      <c r="AL107" s="105"/>
      <c r="AM107" s="105"/>
      <c r="AN107" s="126">
        <f>IFERROR(_xlfn.XLOOKUP($A107,Input_Raw!$A:$A,Input_Raw!$DB:$DB),"")</f>
        <v>8.1509645096069505E-3</v>
      </c>
      <c r="AO107" s="124">
        <f>IFERROR((_xlfn.XLOOKUP($A107,'WTG Reactive Power'!$A:$A,'WTG Reactive Power'!$AR:$AR))/X107/1000,"")</f>
        <v>0</v>
      </c>
      <c r="AP107" s="124">
        <f>IFERROR(_xlfn.XLOOKUP($D107,'Modelling New'!$D:$D,'Modelling New'!$AK:$AK),"")</f>
        <v>0.05</v>
      </c>
      <c r="AQ107" s="124">
        <f>IFERROR(_xlfn.XLOOKUP($D107,'Modelling New'!$D:$D,'Modelling New'!$AL:$AL),"")</f>
        <v>0.05</v>
      </c>
      <c r="AR107">
        <f>IFERROR(_xlfn.XLOOKUP($D107,'Modelling New'!$D:$D,'Modelling New'!$N:$N),"")</f>
        <v>78</v>
      </c>
    </row>
    <row r="108" spans="1:44">
      <c r="A108" s="118">
        <f t="shared" si="11"/>
        <v>45851</v>
      </c>
      <c r="B108" s="107">
        <f>YEAR(Table13[[#This Row],[Date]])+IF(MONTH(Table13[[#This Row],[Date]])&gt;=4,1,0)</f>
        <v>2026</v>
      </c>
      <c r="C108" s="105">
        <f>YEAR(Table13[[#This Row],[Date]])</f>
        <v>2025</v>
      </c>
      <c r="D108" s="119">
        <f>Table13[[#This Row],[Date]]-DAY(Table13[[#This Row],[Date]])+1</f>
        <v>45839</v>
      </c>
      <c r="E108" s="105">
        <f t="shared" si="8"/>
        <v>31</v>
      </c>
      <c r="F108" s="108"/>
      <c r="G108" s="109"/>
      <c r="H108" s="109"/>
      <c r="I108" s="109"/>
      <c r="J108" s="109"/>
      <c r="K108" s="120"/>
      <c r="L108" s="109"/>
      <c r="M108" s="109">
        <f>IFERROR(_xlfn.XLOOKUP($A108,Input_Raw!$A:$A,Input_Raw!CG:CG),"")</f>
        <v>5.6251282051282052</v>
      </c>
      <c r="N108" s="109">
        <f>IFERROR(_xlfn.XLOOKUP($A108,Input_Raw!$A:$A,Input_Raw!CH:CH),"")</f>
        <v>0</v>
      </c>
      <c r="O108" s="121">
        <f t="shared" si="10"/>
        <v>0.92203114947564824</v>
      </c>
      <c r="P108" s="121">
        <f>IFERROR(1-SUMIF(WTG_BD!$F:$F,$A108,WTG_BD!$AA:$AA)/($AA108+SUMIF(WTG_BD!$F:$F,$A108,WTG_BD!$AA:$AA)),"")</f>
        <v>0.92203114947564824</v>
      </c>
      <c r="Q108" s="122">
        <f>IFERROR(1-SUMIF(IGA_BD!$F:$F,$A108,IGA_BD!$V:$V)/($AA108+SUMIF(IGA_BD!$F:$F,$A108,IGA_BD!$V:$V)),"")</f>
        <v>1</v>
      </c>
      <c r="R108" s="127">
        <f>IFERROR(1-SUMIF(Grid_BD!$F:$F,$A108,Grid_BD!$X:$X)/($AA108+SUMIF(Grid_BD!$F:$F,$A108,Grid_BD!$X:$X)),"")</f>
        <v>1</v>
      </c>
      <c r="S108" s="105"/>
      <c r="T108" s="122"/>
      <c r="U108" s="123"/>
      <c r="V108" s="105"/>
      <c r="W108" s="124">
        <f>IFERROR(Table13[[#This Row],[Mtr_Net_Exp (KWh)]]/(24*AR108*1000),"")</f>
        <v>0.25961538461538464</v>
      </c>
      <c r="X108" s="105">
        <f>IFERROR(_xlfn.XLOOKUP($A108,Input_Raw!$A:$A,Input_Raw!$CF:$CF),"")</f>
        <v>489210</v>
      </c>
      <c r="Y108" s="105">
        <f>IFERROR(_xlfn.XLOOKUP($A108,Input_Raw!$A:$A,Input_Raw!$CZ:$CZ),"")</f>
        <v>486000</v>
      </c>
      <c r="Z108" s="105">
        <f>IFERROR(_xlfn.XLOOKUP($A108,Input_Raw!$A:$A,Input_Raw!$DA:$DA),"")</f>
        <v>0</v>
      </c>
      <c r="AA108" s="107">
        <f t="shared" si="9"/>
        <v>486000</v>
      </c>
      <c r="AB108" s="105">
        <f>IFERROR(_xlfn.XLOOKUP($A108,Input_Raw!$A:$A,Input_Raw!$DG:$DG),"")</f>
        <v>78</v>
      </c>
      <c r="AC108" s="125">
        <f>IFERROR(_xlfn.XLOOKUP($D108,'Modelling New'!$D:$D,'Modelling New'!$J:$J),"")</f>
        <v>7.6000000000000005</v>
      </c>
      <c r="AD108" s="107">
        <f>IFERROR(_xlfn.XLOOKUP($D108,'Modelling New'!$D:$D,'Modelling New'!$T:$T)*1000,"")</f>
        <v>585797.81940673687</v>
      </c>
      <c r="AE108" s="124"/>
      <c r="AF108" s="124">
        <f>IFERROR(_xlfn.XLOOKUP($D108,'Modelling New'!$D:$D,'Modelling New'!$W:$W),"")</f>
        <v>0.31292618558052182</v>
      </c>
      <c r="AG108" s="124">
        <f>IFERROR(_xlfn.XLOOKUP($D108,'Modelling New'!$D:$D,'Modelling New'!$AE:$AE),"")</f>
        <v>0.96029999999999993</v>
      </c>
      <c r="AH108" s="124">
        <f>IFERROR(_xlfn.XLOOKUP($D108,'Modelling New'!$D:$D,'Modelling New'!$AF:$AF),"")</f>
        <v>0.995</v>
      </c>
      <c r="AI108" s="105">
        <f>IFERROR(_xlfn.XLOOKUP($A108,Input_Raw!$A:$A,Input_Raw!$DE:$DE),"")</f>
        <v>489.21</v>
      </c>
      <c r="AJ108" s="105"/>
      <c r="AK108" s="105"/>
      <c r="AL108" s="105"/>
      <c r="AM108" s="105"/>
      <c r="AN108" s="126">
        <f>IFERROR(_xlfn.XLOOKUP($A108,Input_Raw!$A:$A,Input_Raw!$DB:$DB),"")</f>
        <v>6.5615993131783457E-3</v>
      </c>
      <c r="AO108" s="124">
        <f>IFERROR((_xlfn.XLOOKUP($A108,'WTG Reactive Power'!$A:$A,'WTG Reactive Power'!$AR:$AR))/X108/1000,"")</f>
        <v>0</v>
      </c>
      <c r="AP108" s="124">
        <f>IFERROR(_xlfn.XLOOKUP($D108,'Modelling New'!$D:$D,'Modelling New'!$AK:$AK),"")</f>
        <v>0.05</v>
      </c>
      <c r="AQ108" s="124">
        <f>IFERROR(_xlfn.XLOOKUP($D108,'Modelling New'!$D:$D,'Modelling New'!$AL:$AL),"")</f>
        <v>0.05</v>
      </c>
      <c r="AR108">
        <f>IFERROR(_xlfn.XLOOKUP($D108,'Modelling New'!$D:$D,'Modelling New'!$N:$N),"")</f>
        <v>78</v>
      </c>
    </row>
    <row r="109" spans="1:44">
      <c r="A109" s="118">
        <f t="shared" si="11"/>
        <v>45852</v>
      </c>
      <c r="B109" s="107">
        <f>YEAR(Table13[[#This Row],[Date]])+IF(MONTH(Table13[[#This Row],[Date]])&gt;=4,1,0)</f>
        <v>2026</v>
      </c>
      <c r="C109" s="105">
        <f>YEAR(Table13[[#This Row],[Date]])</f>
        <v>2025</v>
      </c>
      <c r="D109" s="119">
        <f>Table13[[#This Row],[Date]]-DAY(Table13[[#This Row],[Date]])+1</f>
        <v>45839</v>
      </c>
      <c r="E109" s="105">
        <f t="shared" si="8"/>
        <v>31</v>
      </c>
      <c r="F109" s="108"/>
      <c r="G109" s="109"/>
      <c r="H109" s="109"/>
      <c r="I109" s="109"/>
      <c r="J109" s="109"/>
      <c r="K109" s="120"/>
      <c r="L109" s="109"/>
      <c r="M109" s="109">
        <f>IFERROR(_xlfn.XLOOKUP($A109,Input_Raw!$A:$A,Input_Raw!CG:CG),"")</f>
        <v>5.000745753465794</v>
      </c>
      <c r="N109" s="109">
        <f>IFERROR(_xlfn.XLOOKUP($A109,Input_Raw!$A:$A,Input_Raw!CH:CH),"")</f>
        <v>0</v>
      </c>
      <c r="O109" s="121">
        <f t="shared" si="10"/>
        <v>0.91714448015800254</v>
      </c>
      <c r="P109" s="121">
        <f>IFERROR(1-SUMIF(WTG_BD!$F:$F,$A109,WTG_BD!$AA:$AA)/($AA109+SUMIF(WTG_BD!$F:$F,$A109,WTG_BD!$AA:$AA)),"")</f>
        <v>0.91714448015800254</v>
      </c>
      <c r="Q109" s="122">
        <f>IFERROR(1-SUMIF(IGA_BD!$F:$F,$A109,IGA_BD!$V:$V)/($AA109+SUMIF(IGA_BD!$F:$F,$A109,IGA_BD!$V:$V)),"")</f>
        <v>1</v>
      </c>
      <c r="R109" s="127">
        <f>IFERROR(1-SUMIF(Grid_BD!$F:$F,$A109,Grid_BD!$X:$X)/($AA109+SUMIF(Grid_BD!$F:$F,$A109,Grid_BD!$X:$X)),"")</f>
        <v>1</v>
      </c>
      <c r="S109" s="105"/>
      <c r="T109" s="122"/>
      <c r="U109" s="123"/>
      <c r="V109" s="105"/>
      <c r="W109" s="124">
        <f>IFERROR(Table13[[#This Row],[Mtr_Net_Exp (KWh)]]/(24*AR109*1000),"")</f>
        <v>0.38461538461538464</v>
      </c>
      <c r="X109" s="105">
        <f>IFERROR(_xlfn.XLOOKUP($A109,Input_Raw!$A:$A,Input_Raw!$CF:$CF),"")</f>
        <v>721083</v>
      </c>
      <c r="Y109" s="105">
        <f>IFERROR(_xlfn.XLOOKUP($A109,Input_Raw!$A:$A,Input_Raw!$CZ:$CZ),"")</f>
        <v>720000</v>
      </c>
      <c r="Z109" s="105">
        <f>IFERROR(_xlfn.XLOOKUP($A109,Input_Raw!$A:$A,Input_Raw!$DA:$DA),"")</f>
        <v>0</v>
      </c>
      <c r="AA109" s="107">
        <f t="shared" si="9"/>
        <v>720000</v>
      </c>
      <c r="AB109" s="105">
        <f>IFERROR(_xlfn.XLOOKUP($A109,Input_Raw!$A:$A,Input_Raw!$DG:$DG),"")</f>
        <v>78</v>
      </c>
      <c r="AC109" s="125">
        <f>IFERROR(_xlfn.XLOOKUP($D109,'Modelling New'!$D:$D,'Modelling New'!$J:$J),"")</f>
        <v>7.6000000000000005</v>
      </c>
      <c r="AD109" s="107">
        <f>IFERROR(_xlfn.XLOOKUP($D109,'Modelling New'!$D:$D,'Modelling New'!$T:$T)*1000,"")</f>
        <v>585797.81940673687</v>
      </c>
      <c r="AE109" s="124"/>
      <c r="AF109" s="124">
        <f>IFERROR(_xlfn.XLOOKUP($D109,'Modelling New'!$D:$D,'Modelling New'!$W:$W),"")</f>
        <v>0.31292618558052182</v>
      </c>
      <c r="AG109" s="124">
        <f>IFERROR(_xlfn.XLOOKUP($D109,'Modelling New'!$D:$D,'Modelling New'!$AE:$AE),"")</f>
        <v>0.96029999999999993</v>
      </c>
      <c r="AH109" s="124">
        <f>IFERROR(_xlfn.XLOOKUP($D109,'Modelling New'!$D:$D,'Modelling New'!$AF:$AF),"")</f>
        <v>0.995</v>
      </c>
      <c r="AI109" s="105">
        <f>IFERROR(_xlfn.XLOOKUP($A109,Input_Raw!$A:$A,Input_Raw!$DE:$DE),"")</f>
        <v>721.08299999999997</v>
      </c>
      <c r="AJ109" s="105"/>
      <c r="AK109" s="105"/>
      <c r="AL109" s="105"/>
      <c r="AM109" s="105"/>
      <c r="AN109" s="126">
        <f>IFERROR(_xlfn.XLOOKUP($A109,Input_Raw!$A:$A,Input_Raw!$DB:$DB),"")</f>
        <v>1.5019075473974297E-3</v>
      </c>
      <c r="AO109" s="124">
        <f>IFERROR((_xlfn.XLOOKUP($A109,'WTG Reactive Power'!$A:$A,'WTG Reactive Power'!$AR:$AR))/X109/1000,"")</f>
        <v>0</v>
      </c>
      <c r="AP109" s="124">
        <f>IFERROR(_xlfn.XLOOKUP($D109,'Modelling New'!$D:$D,'Modelling New'!$AK:$AK),"")</f>
        <v>0.05</v>
      </c>
      <c r="AQ109" s="124">
        <f>IFERROR(_xlfn.XLOOKUP($D109,'Modelling New'!$D:$D,'Modelling New'!$AL:$AL),"")</f>
        <v>0.05</v>
      </c>
      <c r="AR109">
        <f>IFERROR(_xlfn.XLOOKUP($D109,'Modelling New'!$D:$D,'Modelling New'!$N:$N),"")</f>
        <v>78</v>
      </c>
    </row>
    <row r="110" spans="1:44">
      <c r="A110" s="118">
        <f t="shared" si="11"/>
        <v>45853</v>
      </c>
      <c r="B110" s="107">
        <f>YEAR(Table13[[#This Row],[Date]])+IF(MONTH(Table13[[#This Row],[Date]])&gt;=4,1,0)</f>
        <v>2026</v>
      </c>
      <c r="C110" s="105">
        <f>YEAR(Table13[[#This Row],[Date]])</f>
        <v>2025</v>
      </c>
      <c r="D110" s="119">
        <f>Table13[[#This Row],[Date]]-DAY(Table13[[#This Row],[Date]])+1</f>
        <v>45839</v>
      </c>
      <c r="E110" s="105">
        <f t="shared" si="8"/>
        <v>31</v>
      </c>
      <c r="F110" s="108"/>
      <c r="G110" s="109"/>
      <c r="H110" s="109"/>
      <c r="I110" s="109"/>
      <c r="J110" s="109"/>
      <c r="K110" s="120"/>
      <c r="L110" s="109"/>
      <c r="M110" s="109">
        <f>IFERROR(_xlfn.XLOOKUP($A110,Input_Raw!$A:$A,Input_Raw!CG:CG),"")</f>
        <v>4.3253846153846149</v>
      </c>
      <c r="N110" s="109">
        <f>IFERROR(_xlfn.XLOOKUP($A110,Input_Raw!$A:$A,Input_Raw!CH:CH),"")</f>
        <v>0</v>
      </c>
      <c r="O110" s="121">
        <f t="shared" si="10"/>
        <v>0.91722613399476549</v>
      </c>
      <c r="P110" s="121">
        <f>IFERROR(1-SUMIF(WTG_BD!$F:$F,$A110,WTG_BD!$AA:$AA)/($AA110+SUMIF(WTG_BD!$F:$F,$A110,WTG_BD!$AA:$AA)),"")</f>
        <v>0.91722613399476549</v>
      </c>
      <c r="Q110" s="122">
        <f>IFERROR(1-SUMIF(IGA_BD!$F:$F,$A110,IGA_BD!$V:$V)/($AA110+SUMIF(IGA_BD!$F:$F,$A110,IGA_BD!$V:$V)),"")</f>
        <v>1</v>
      </c>
      <c r="R110" s="127">
        <f>IFERROR(1-SUMIF(Grid_BD!$F:$F,$A110,Grid_BD!$X:$X)/($AA110+SUMIF(Grid_BD!$F:$F,$A110,Grid_BD!$X:$X)),"")</f>
        <v>1</v>
      </c>
      <c r="S110" s="105"/>
      <c r="T110" s="122"/>
      <c r="U110" s="123"/>
      <c r="V110" s="105"/>
      <c r="W110" s="124">
        <f>IFERROR(Table13[[#This Row],[Mtr_Net_Exp (KWh)]]/(24*AR110*1000),"")</f>
        <v>0.18974358974358974</v>
      </c>
      <c r="X110" s="105">
        <f>IFERROR(_xlfn.XLOOKUP($A110,Input_Raw!$A:$A,Input_Raw!$CF:$CF),"")</f>
        <v>358300</v>
      </c>
      <c r="Y110" s="105">
        <f>IFERROR(_xlfn.XLOOKUP($A110,Input_Raw!$A:$A,Input_Raw!$CZ:$CZ),"")</f>
        <v>355200</v>
      </c>
      <c r="Z110" s="105">
        <f>IFERROR(_xlfn.XLOOKUP($A110,Input_Raw!$A:$A,Input_Raw!$DA:$DA),"")</f>
        <v>0</v>
      </c>
      <c r="AA110" s="107">
        <f t="shared" si="9"/>
        <v>355200</v>
      </c>
      <c r="AB110" s="105">
        <f>IFERROR(_xlfn.XLOOKUP($A110,Input_Raw!$A:$A,Input_Raw!$DG:$DG),"")</f>
        <v>78</v>
      </c>
      <c r="AC110" s="125">
        <f>IFERROR(_xlfn.XLOOKUP($D110,'Modelling New'!$D:$D,'Modelling New'!$J:$J),"")</f>
        <v>7.6000000000000005</v>
      </c>
      <c r="AD110" s="107">
        <f>IFERROR(_xlfn.XLOOKUP($D110,'Modelling New'!$D:$D,'Modelling New'!$T:$T)*1000,"")</f>
        <v>585797.81940673687</v>
      </c>
      <c r="AE110" s="124"/>
      <c r="AF110" s="124">
        <f>IFERROR(_xlfn.XLOOKUP($D110,'Modelling New'!$D:$D,'Modelling New'!$W:$W),"")</f>
        <v>0.31292618558052182</v>
      </c>
      <c r="AG110" s="124">
        <f>IFERROR(_xlfn.XLOOKUP($D110,'Modelling New'!$D:$D,'Modelling New'!$AE:$AE),"")</f>
        <v>0.96029999999999993</v>
      </c>
      <c r="AH110" s="124">
        <f>IFERROR(_xlfn.XLOOKUP($D110,'Modelling New'!$D:$D,'Modelling New'!$AF:$AF),"")</f>
        <v>0.995</v>
      </c>
      <c r="AI110" s="105">
        <f>IFERROR(_xlfn.XLOOKUP($A110,Input_Raw!$A:$A,Input_Raw!$DE:$DE),"")</f>
        <v>358.3</v>
      </c>
      <c r="AJ110" s="105"/>
      <c r="AK110" s="105"/>
      <c r="AL110" s="105"/>
      <c r="AM110" s="105"/>
      <c r="AN110" s="126">
        <f>IFERROR(_xlfn.XLOOKUP($A110,Input_Raw!$A:$A,Input_Raw!$DB:$DB),"")</f>
        <v>8.6519676248952848E-3</v>
      </c>
      <c r="AO110" s="124">
        <f>IFERROR((_xlfn.XLOOKUP($A110,'WTG Reactive Power'!$A:$A,'WTG Reactive Power'!$AR:$AR))/X110/1000,"")</f>
        <v>0</v>
      </c>
      <c r="AP110" s="124">
        <f>IFERROR(_xlfn.XLOOKUP($D110,'Modelling New'!$D:$D,'Modelling New'!$AK:$AK),"")</f>
        <v>0.05</v>
      </c>
      <c r="AQ110" s="124">
        <f>IFERROR(_xlfn.XLOOKUP($D110,'Modelling New'!$D:$D,'Modelling New'!$AL:$AL),"")</f>
        <v>0.05</v>
      </c>
      <c r="AR110">
        <f>IFERROR(_xlfn.XLOOKUP($D110,'Modelling New'!$D:$D,'Modelling New'!$N:$N),"")</f>
        <v>78</v>
      </c>
    </row>
    <row r="111" spans="1:44">
      <c r="A111" s="118">
        <f t="shared" si="11"/>
        <v>45854</v>
      </c>
      <c r="B111" s="107">
        <f>YEAR(Table13[[#This Row],[Date]])+IF(MONTH(Table13[[#This Row],[Date]])&gt;=4,1,0)</f>
        <v>2026</v>
      </c>
      <c r="C111" s="105">
        <f>YEAR(Table13[[#This Row],[Date]])</f>
        <v>2025</v>
      </c>
      <c r="D111" s="119">
        <f>Table13[[#This Row],[Date]]-DAY(Table13[[#This Row],[Date]])+1</f>
        <v>45839</v>
      </c>
      <c r="E111" s="105">
        <f t="shared" si="8"/>
        <v>31</v>
      </c>
      <c r="F111" s="108"/>
      <c r="G111" s="109"/>
      <c r="H111" s="109"/>
      <c r="I111" s="109"/>
      <c r="J111" s="109"/>
      <c r="K111" s="120"/>
      <c r="L111" s="109"/>
      <c r="M111" s="109">
        <f>IFERROR(_xlfn.XLOOKUP($A111,Input_Raw!$A:$A,Input_Raw!CG:CG),"")</f>
        <v>3.5474358974358982</v>
      </c>
      <c r="N111" s="109">
        <f>IFERROR(_xlfn.XLOOKUP($A111,Input_Raw!$A:$A,Input_Raw!CH:CH),"")</f>
        <v>0</v>
      </c>
      <c r="O111" s="121">
        <f t="shared" si="10"/>
        <v>0.91096983514559138</v>
      </c>
      <c r="P111" s="121">
        <f>IFERROR(1-SUMIF(WTG_BD!$F:$F,$A111,WTG_BD!$AA:$AA)/($AA111+SUMIF(WTG_BD!$F:$F,$A111,WTG_BD!$AA:$AA)),"")</f>
        <v>0.91460612307088085</v>
      </c>
      <c r="Q111" s="122">
        <f>IFERROR(1-SUMIF(IGA_BD!$F:$F,$A111,IGA_BD!$V:$V)/($AA111+SUMIF(IGA_BD!$F:$F,$A111,IGA_BD!$V:$V)),"")</f>
        <v>0.99602420338814235</v>
      </c>
      <c r="R111" s="127">
        <f>IFERROR(1-SUMIF(Grid_BD!$F:$F,$A111,Grid_BD!$X:$X)/($AA111+SUMIF(Grid_BD!$F:$F,$A111,Grid_BD!$X:$X)),"")</f>
        <v>1</v>
      </c>
      <c r="S111" s="105"/>
      <c r="T111" s="122"/>
      <c r="U111" s="123"/>
      <c r="V111" s="105"/>
      <c r="W111" s="124">
        <f>IFERROR(Table13[[#This Row],[Mtr_Net_Exp (KWh)]]/(24*AR111*1000),"")</f>
        <v>6.4102564102564097E-2</v>
      </c>
      <c r="X111" s="105">
        <f>IFERROR(_xlfn.XLOOKUP($A111,Input_Raw!$A:$A,Input_Raw!$CF:$CF),"")</f>
        <v>125549</v>
      </c>
      <c r="Y111" s="105">
        <f>IFERROR(_xlfn.XLOOKUP($A111,Input_Raw!$A:$A,Input_Raw!$CZ:$CZ),"")</f>
        <v>123600</v>
      </c>
      <c r="Z111" s="105">
        <f>IFERROR(_xlfn.XLOOKUP($A111,Input_Raw!$A:$A,Input_Raw!$DA:$DA),"")</f>
        <v>3600</v>
      </c>
      <c r="AA111" s="107">
        <f t="shared" si="9"/>
        <v>120000</v>
      </c>
      <c r="AB111" s="105">
        <f>IFERROR(_xlfn.XLOOKUP($A111,Input_Raw!$A:$A,Input_Raw!$DG:$DG),"")</f>
        <v>78</v>
      </c>
      <c r="AC111" s="125">
        <f>IFERROR(_xlfn.XLOOKUP($D111,'Modelling New'!$D:$D,'Modelling New'!$J:$J),"")</f>
        <v>7.6000000000000005</v>
      </c>
      <c r="AD111" s="107">
        <f>IFERROR(_xlfn.XLOOKUP($D111,'Modelling New'!$D:$D,'Modelling New'!$T:$T)*1000,"")</f>
        <v>585797.81940673687</v>
      </c>
      <c r="AE111" s="124"/>
      <c r="AF111" s="124">
        <f>IFERROR(_xlfn.XLOOKUP($D111,'Modelling New'!$D:$D,'Modelling New'!$W:$W),"")</f>
        <v>0.31292618558052182</v>
      </c>
      <c r="AG111" s="124">
        <f>IFERROR(_xlfn.XLOOKUP($D111,'Modelling New'!$D:$D,'Modelling New'!$AE:$AE),"")</f>
        <v>0.96029999999999993</v>
      </c>
      <c r="AH111" s="124">
        <f>IFERROR(_xlfn.XLOOKUP($D111,'Modelling New'!$D:$D,'Modelling New'!$AF:$AF),"")</f>
        <v>0.995</v>
      </c>
      <c r="AI111" s="105">
        <f>IFERROR(_xlfn.XLOOKUP($A111,Input_Raw!$A:$A,Input_Raw!$DE:$DE),"")</f>
        <v>125.54900000000001</v>
      </c>
      <c r="AJ111" s="105"/>
      <c r="AK111" s="105"/>
      <c r="AL111" s="105"/>
      <c r="AM111" s="105"/>
      <c r="AN111" s="126">
        <f>IFERROR(_xlfn.XLOOKUP($A111,Input_Raw!$A:$A,Input_Raw!$DB:$DB),"")</f>
        <v>1.5523819385259929E-2</v>
      </c>
      <c r="AO111" s="124">
        <f>IFERROR((_xlfn.XLOOKUP($A111,'WTG Reactive Power'!$A:$A,'WTG Reactive Power'!$AR:$AR))/X111/1000,"")</f>
        <v>0</v>
      </c>
      <c r="AP111" s="124">
        <f>IFERROR(_xlfn.XLOOKUP($D111,'Modelling New'!$D:$D,'Modelling New'!$AK:$AK),"")</f>
        <v>0.05</v>
      </c>
      <c r="AQ111" s="124">
        <f>IFERROR(_xlfn.XLOOKUP($D111,'Modelling New'!$D:$D,'Modelling New'!$AL:$AL),"")</f>
        <v>0.05</v>
      </c>
      <c r="AR111">
        <f>IFERROR(_xlfn.XLOOKUP($D111,'Modelling New'!$D:$D,'Modelling New'!$N:$N),"")</f>
        <v>78</v>
      </c>
    </row>
    <row r="112" spans="1:44">
      <c r="A112" s="118">
        <f t="shared" si="11"/>
        <v>45855</v>
      </c>
      <c r="B112" s="107">
        <f>YEAR(Table13[[#This Row],[Date]])+IF(MONTH(Table13[[#This Row],[Date]])&gt;=4,1,0)</f>
        <v>2026</v>
      </c>
      <c r="C112" s="105">
        <f>YEAR(Table13[[#This Row],[Date]])</f>
        <v>2025</v>
      </c>
      <c r="D112" s="119">
        <f>Table13[[#This Row],[Date]]-DAY(Table13[[#This Row],[Date]])+1</f>
        <v>45839</v>
      </c>
      <c r="E112" s="105">
        <f t="shared" si="8"/>
        <v>31</v>
      </c>
      <c r="F112" s="108"/>
      <c r="G112" s="109"/>
      <c r="H112" s="109"/>
      <c r="I112" s="109"/>
      <c r="J112" s="109"/>
      <c r="K112" s="120"/>
      <c r="L112" s="109"/>
      <c r="M112" s="109">
        <f>IFERROR(_xlfn.XLOOKUP($A112,Input_Raw!$A:$A,Input_Raw!CG:CG),"")</f>
        <v>3.4951282051282053</v>
      </c>
      <c r="N112" s="109">
        <f>IFERROR(_xlfn.XLOOKUP($A112,Input_Raw!$A:$A,Input_Raw!CH:CH),"")</f>
        <v>0</v>
      </c>
      <c r="O112" s="121">
        <f t="shared" si="10"/>
        <v>0.91710398084672451</v>
      </c>
      <c r="P112" s="121">
        <f>IFERROR(1-SUMIF(WTG_BD!$F:$F,$A112,WTG_BD!$AA:$AA)/($AA112+SUMIF(WTG_BD!$F:$F,$A112,WTG_BD!$AA:$AA)),"")</f>
        <v>0.92233092764232416</v>
      </c>
      <c r="Q112" s="122">
        <f>IFERROR(1-SUMIF(IGA_BD!$F:$F,$A112,IGA_BD!$V:$V)/($AA112+SUMIF(IGA_BD!$F:$F,$A112,IGA_BD!$V:$V)),"")</f>
        <v>0.99433289436692662</v>
      </c>
      <c r="R112" s="127">
        <f>IFERROR(1-SUMIF(Grid_BD!$F:$F,$A112,Grid_BD!$X:$X)/($AA112+SUMIF(Grid_BD!$F:$F,$A112,Grid_BD!$X:$X)),"")</f>
        <v>1</v>
      </c>
      <c r="S112" s="105"/>
      <c r="T112" s="122"/>
      <c r="U112" s="123"/>
      <c r="V112" s="105"/>
      <c r="W112" s="124">
        <f>IFERROR(Table13[[#This Row],[Mtr_Net_Exp (KWh)]]/(24*AR112*1000),"")</f>
        <v>3.5897435897435895E-2</v>
      </c>
      <c r="X112" s="105">
        <f>IFERROR(_xlfn.XLOOKUP($A112,Input_Raw!$A:$A,Input_Raw!$CF:$CF),"")</f>
        <v>71860</v>
      </c>
      <c r="Y112" s="105">
        <f>IFERROR(_xlfn.XLOOKUP($A112,Input_Raw!$A:$A,Input_Raw!$CZ:$CZ),"")</f>
        <v>68400</v>
      </c>
      <c r="Z112" s="105">
        <f>IFERROR(_xlfn.XLOOKUP($A112,Input_Raw!$A:$A,Input_Raw!$DA:$DA),"")</f>
        <v>1200</v>
      </c>
      <c r="AA112" s="107">
        <f t="shared" si="9"/>
        <v>67200</v>
      </c>
      <c r="AB112" s="105">
        <f>IFERROR(_xlfn.XLOOKUP($A112,Input_Raw!$A:$A,Input_Raw!$DG:$DG),"")</f>
        <v>78</v>
      </c>
      <c r="AC112" s="125">
        <f>IFERROR(_xlfn.XLOOKUP($D112,'Modelling New'!$D:$D,'Modelling New'!$J:$J),"")</f>
        <v>7.6000000000000005</v>
      </c>
      <c r="AD112" s="107">
        <f>IFERROR(_xlfn.XLOOKUP($D112,'Modelling New'!$D:$D,'Modelling New'!$T:$T)*1000,"")</f>
        <v>585797.81940673687</v>
      </c>
      <c r="AE112" s="124"/>
      <c r="AF112" s="124">
        <f>IFERROR(_xlfn.XLOOKUP($D112,'Modelling New'!$D:$D,'Modelling New'!$W:$W),"")</f>
        <v>0.31292618558052182</v>
      </c>
      <c r="AG112" s="124">
        <f>IFERROR(_xlfn.XLOOKUP($D112,'Modelling New'!$D:$D,'Modelling New'!$AE:$AE),"")</f>
        <v>0.96029999999999993</v>
      </c>
      <c r="AH112" s="124">
        <f>IFERROR(_xlfn.XLOOKUP($D112,'Modelling New'!$D:$D,'Modelling New'!$AF:$AF),"")</f>
        <v>0.995</v>
      </c>
      <c r="AI112" s="105">
        <f>IFERROR(_xlfn.XLOOKUP($A112,Input_Raw!$A:$A,Input_Raw!$DE:$DE),"")</f>
        <v>71.86</v>
      </c>
      <c r="AJ112" s="105"/>
      <c r="AK112" s="105"/>
      <c r="AL112" s="105"/>
      <c r="AM112" s="105"/>
      <c r="AN112" s="126">
        <f>IFERROR(_xlfn.XLOOKUP($A112,Input_Raw!$A:$A,Input_Raw!$DB:$DB),"")</f>
        <v>4.8149178959087102E-2</v>
      </c>
      <c r="AO112" s="124">
        <f>IFERROR((_xlfn.XLOOKUP($A112,'WTG Reactive Power'!$A:$A,'WTG Reactive Power'!$AR:$AR))/X112/1000,"")</f>
        <v>2.0080712496521014E-4</v>
      </c>
      <c r="AP112" s="124">
        <f>IFERROR(_xlfn.XLOOKUP($D112,'Modelling New'!$D:$D,'Modelling New'!$AK:$AK),"")</f>
        <v>0.05</v>
      </c>
      <c r="AQ112" s="124">
        <f>IFERROR(_xlfn.XLOOKUP($D112,'Modelling New'!$D:$D,'Modelling New'!$AL:$AL),"")</f>
        <v>0.05</v>
      </c>
      <c r="AR112">
        <f>IFERROR(_xlfn.XLOOKUP($D112,'Modelling New'!$D:$D,'Modelling New'!$N:$N),"")</f>
        <v>78</v>
      </c>
    </row>
    <row r="113" spans="1:44">
      <c r="A113" s="118">
        <f t="shared" si="11"/>
        <v>45856</v>
      </c>
      <c r="B113" s="107">
        <f>YEAR(Table13[[#This Row],[Date]])+IF(MONTH(Table13[[#This Row],[Date]])&gt;=4,1,0)</f>
        <v>2026</v>
      </c>
      <c r="C113" s="105">
        <f>YEAR(Table13[[#This Row],[Date]])</f>
        <v>2025</v>
      </c>
      <c r="D113" s="119">
        <f>Table13[[#This Row],[Date]]-DAY(Table13[[#This Row],[Date]])+1</f>
        <v>45839</v>
      </c>
      <c r="E113" s="105">
        <f t="shared" si="8"/>
        <v>31</v>
      </c>
      <c r="F113" s="108"/>
      <c r="G113" s="109"/>
      <c r="H113" s="109"/>
      <c r="I113" s="109"/>
      <c r="J113" s="109"/>
      <c r="K113" s="120"/>
      <c r="L113" s="109"/>
      <c r="M113" s="109">
        <f>IFERROR(_xlfn.XLOOKUP($A113,Input_Raw!$A:$A,Input_Raw!CG:CG),"")</f>
        <v>3.885204939707056</v>
      </c>
      <c r="N113" s="109">
        <f>IFERROR(_xlfn.XLOOKUP($A113,Input_Raw!$A:$A,Input_Raw!CH:CH),"")</f>
        <v>0</v>
      </c>
      <c r="O113" s="121">
        <f t="shared" si="10"/>
        <v>0.93185618260574155</v>
      </c>
      <c r="P113" s="121">
        <f>IFERROR(1-SUMIF(WTG_BD!$F:$F,$A113,WTG_BD!$AA:$AA)/($AA113+SUMIF(WTG_BD!$F:$F,$A113,WTG_BD!$AA:$AA)),"")</f>
        <v>0.93321365757913033</v>
      </c>
      <c r="Q113" s="122">
        <f>IFERROR(1-SUMIF(IGA_BD!$F:$F,$A113,IGA_BD!$V:$V)/($AA113+SUMIF(IGA_BD!$F:$F,$A113,IGA_BD!$V:$V)),"")</f>
        <v>0.99854537601077309</v>
      </c>
      <c r="R113" s="127">
        <f>IFERROR(1-SUMIF(Grid_BD!$F:$F,$A113,Grid_BD!$X:$X)/($AA113+SUMIF(Grid_BD!$F:$F,$A113,Grid_BD!$X:$X)),"")</f>
        <v>1</v>
      </c>
      <c r="S113" s="105"/>
      <c r="T113" s="122"/>
      <c r="U113" s="123"/>
      <c r="V113" s="105"/>
      <c r="W113" s="124">
        <f>IFERROR(Table13[[#This Row],[Mtr_Net_Exp (KWh)]]/(24*AR113*1000),"")</f>
        <v>8.3974358974358967E-2</v>
      </c>
      <c r="X113" s="105">
        <f>IFERROR(_xlfn.XLOOKUP($A113,Input_Raw!$A:$A,Input_Raw!$CF:$CF),"")</f>
        <v>163045</v>
      </c>
      <c r="Y113" s="105">
        <f>IFERROR(_xlfn.XLOOKUP($A113,Input_Raw!$A:$A,Input_Raw!$CZ:$CZ),"")</f>
        <v>160800</v>
      </c>
      <c r="Z113" s="105">
        <f>IFERROR(_xlfn.XLOOKUP($A113,Input_Raw!$A:$A,Input_Raw!$DA:$DA),"")</f>
        <v>3600</v>
      </c>
      <c r="AA113" s="107">
        <f t="shared" si="9"/>
        <v>157200</v>
      </c>
      <c r="AB113" s="105">
        <f>IFERROR(_xlfn.XLOOKUP($A113,Input_Raw!$A:$A,Input_Raw!$DG:$DG),"")</f>
        <v>78</v>
      </c>
      <c r="AC113" s="125">
        <f>IFERROR(_xlfn.XLOOKUP($D113,'Modelling New'!$D:$D,'Modelling New'!$J:$J),"")</f>
        <v>7.6000000000000005</v>
      </c>
      <c r="AD113" s="107">
        <f>IFERROR(_xlfn.XLOOKUP($D113,'Modelling New'!$D:$D,'Modelling New'!$T:$T)*1000,"")</f>
        <v>585797.81940673687</v>
      </c>
      <c r="AE113" s="124"/>
      <c r="AF113" s="124">
        <f>IFERROR(_xlfn.XLOOKUP($D113,'Modelling New'!$D:$D,'Modelling New'!$W:$W),"")</f>
        <v>0.31292618558052182</v>
      </c>
      <c r="AG113" s="124">
        <f>IFERROR(_xlfn.XLOOKUP($D113,'Modelling New'!$D:$D,'Modelling New'!$AE:$AE),"")</f>
        <v>0.96029999999999993</v>
      </c>
      <c r="AH113" s="124">
        <f>IFERROR(_xlfn.XLOOKUP($D113,'Modelling New'!$D:$D,'Modelling New'!$AF:$AF),"")</f>
        <v>0.995</v>
      </c>
      <c r="AI113" s="105">
        <f>IFERROR(_xlfn.XLOOKUP($A113,Input_Raw!$A:$A,Input_Raw!$DE:$DE),"")</f>
        <v>163.04</v>
      </c>
      <c r="AJ113" s="105"/>
      <c r="AK113" s="105"/>
      <c r="AL113" s="105"/>
      <c r="AM113" s="105"/>
      <c r="AN113" s="126">
        <f>IFERROR(_xlfn.XLOOKUP($A113,Input_Raw!$A:$A,Input_Raw!$DB:$DB),"")</f>
        <v>1.3769204820755054E-2</v>
      </c>
      <c r="AO113" s="124">
        <f>IFERROR((_xlfn.XLOOKUP($A113,'WTG Reactive Power'!$A:$A,'WTG Reactive Power'!$AR:$AR))/X113/1000,"")</f>
        <v>8.8503173970376275E-5</v>
      </c>
      <c r="AP113" s="124">
        <f>IFERROR(_xlfn.XLOOKUP($D113,'Modelling New'!$D:$D,'Modelling New'!$AK:$AK),"")</f>
        <v>0.05</v>
      </c>
      <c r="AQ113" s="124">
        <f>IFERROR(_xlfn.XLOOKUP($D113,'Modelling New'!$D:$D,'Modelling New'!$AL:$AL),"")</f>
        <v>0.05</v>
      </c>
      <c r="AR113">
        <f>IFERROR(_xlfn.XLOOKUP($D113,'Modelling New'!$D:$D,'Modelling New'!$N:$N),"")</f>
        <v>78</v>
      </c>
    </row>
    <row r="114" spans="1:44">
      <c r="A114" s="118">
        <f t="shared" si="11"/>
        <v>45857</v>
      </c>
      <c r="B114" s="107">
        <f>YEAR(Table13[[#This Row],[Date]])+IF(MONTH(Table13[[#This Row],[Date]])&gt;=4,1,0)</f>
        <v>2026</v>
      </c>
      <c r="C114" s="105">
        <f>YEAR(Table13[[#This Row],[Date]])</f>
        <v>2025</v>
      </c>
      <c r="D114" s="119">
        <f>Table13[[#This Row],[Date]]-DAY(Table13[[#This Row],[Date]])+1</f>
        <v>45839</v>
      </c>
      <c r="E114" s="105">
        <f t="shared" si="8"/>
        <v>31</v>
      </c>
      <c r="F114" s="108"/>
      <c r="G114" s="109"/>
      <c r="H114" s="109"/>
      <c r="I114" s="109"/>
      <c r="J114" s="109"/>
      <c r="K114" s="120"/>
      <c r="L114" s="109"/>
      <c r="M114" s="109">
        <f>IFERROR(_xlfn.XLOOKUP($A114,Input_Raw!$A:$A,Input_Raw!CG:CG),"")</f>
        <v>2.9906115795012349</v>
      </c>
      <c r="N114" s="109">
        <f>IFERROR(_xlfn.XLOOKUP($A114,Input_Raw!$A:$A,Input_Raw!CH:CH),"")</f>
        <v>0</v>
      </c>
      <c r="O114" s="121">
        <f t="shared" si="10"/>
        <v>0.94333768959134523</v>
      </c>
      <c r="P114" s="121">
        <f>IFERROR(1-SUMIF(WTG_BD!$F:$F,$A114,WTG_BD!$AA:$AA)/($AA114+SUMIF(WTG_BD!$F:$F,$A114,WTG_BD!$AA:$AA)),"")</f>
        <v>0.94333768959134523</v>
      </c>
      <c r="Q114" s="122">
        <f>IFERROR(1-SUMIF(IGA_BD!$F:$F,$A114,IGA_BD!$V:$V)/($AA114+SUMIF(IGA_BD!$F:$F,$A114,IGA_BD!$V:$V)),"")</f>
        <v>1</v>
      </c>
      <c r="R114" s="127">
        <f>IFERROR(1-SUMIF(Grid_BD!$F:$F,$A114,Grid_BD!$X:$X)/($AA114+SUMIF(Grid_BD!$F:$F,$A114,Grid_BD!$X:$X)),"")</f>
        <v>1</v>
      </c>
      <c r="S114" s="105"/>
      <c r="T114" s="122"/>
      <c r="U114" s="123"/>
      <c r="V114" s="105"/>
      <c r="W114" s="124">
        <f>IFERROR(Table13[[#This Row],[Mtr_Net_Exp (KWh)]]/(24*AR114*1000),"")</f>
        <v>8.3333333333333329E-2</v>
      </c>
      <c r="X114" s="105">
        <f>IFERROR(_xlfn.XLOOKUP($A114,Input_Raw!$A:$A,Input_Raw!$CF:$CF),"")</f>
        <v>158790</v>
      </c>
      <c r="Y114" s="105">
        <f>IFERROR(_xlfn.XLOOKUP($A114,Input_Raw!$A:$A,Input_Raw!$CZ:$CZ),"")</f>
        <v>157200</v>
      </c>
      <c r="Z114" s="105">
        <f>IFERROR(_xlfn.XLOOKUP($A114,Input_Raw!$A:$A,Input_Raw!$DA:$DA),"")</f>
        <v>1200</v>
      </c>
      <c r="AA114" s="107">
        <f t="shared" si="9"/>
        <v>156000</v>
      </c>
      <c r="AB114" s="105">
        <f>IFERROR(_xlfn.XLOOKUP($A114,Input_Raw!$A:$A,Input_Raw!$DG:$DG),"")</f>
        <v>78</v>
      </c>
      <c r="AC114" s="125">
        <f>IFERROR(_xlfn.XLOOKUP($D114,'Modelling New'!$D:$D,'Modelling New'!$J:$J),"")</f>
        <v>7.6000000000000005</v>
      </c>
      <c r="AD114" s="107">
        <f>IFERROR(_xlfn.XLOOKUP($D114,'Modelling New'!$D:$D,'Modelling New'!$T:$T)*1000,"")</f>
        <v>585797.81940673687</v>
      </c>
      <c r="AE114" s="124"/>
      <c r="AF114" s="124">
        <f>IFERROR(_xlfn.XLOOKUP($D114,'Modelling New'!$D:$D,'Modelling New'!$W:$W),"")</f>
        <v>0.31292618558052182</v>
      </c>
      <c r="AG114" s="124">
        <f>IFERROR(_xlfn.XLOOKUP($D114,'Modelling New'!$D:$D,'Modelling New'!$AE:$AE),"")</f>
        <v>0.96029999999999993</v>
      </c>
      <c r="AH114" s="124">
        <f>IFERROR(_xlfn.XLOOKUP($D114,'Modelling New'!$D:$D,'Modelling New'!$AF:$AF),"")</f>
        <v>0.995</v>
      </c>
      <c r="AI114" s="105">
        <f>IFERROR(_xlfn.XLOOKUP($A114,Input_Raw!$A:$A,Input_Raw!$DE:$DE),"")</f>
        <v>158.79</v>
      </c>
      <c r="AJ114" s="105"/>
      <c r="AK114" s="105"/>
      <c r="AL114" s="105"/>
      <c r="AM114" s="105"/>
      <c r="AN114" s="126">
        <f>IFERROR(_xlfn.XLOOKUP($A114,Input_Raw!$A:$A,Input_Raw!$DB:$DB),"")</f>
        <v>1.001322501416968E-2</v>
      </c>
      <c r="AO114" s="124">
        <f>IFERROR((_xlfn.XLOOKUP($A114,'WTG Reactive Power'!$A:$A,'WTG Reactive Power'!$AR:$AR))/X114/1000,"")</f>
        <v>4.5437370111467982E-5</v>
      </c>
      <c r="AP114" s="124">
        <f>IFERROR(_xlfn.XLOOKUP($D114,'Modelling New'!$D:$D,'Modelling New'!$AK:$AK),"")</f>
        <v>0.05</v>
      </c>
      <c r="AQ114" s="124">
        <f>IFERROR(_xlfn.XLOOKUP($D114,'Modelling New'!$D:$D,'Modelling New'!$AL:$AL),"")</f>
        <v>0.05</v>
      </c>
      <c r="AR114">
        <f>IFERROR(_xlfn.XLOOKUP($D114,'Modelling New'!$D:$D,'Modelling New'!$N:$N),"")</f>
        <v>78</v>
      </c>
    </row>
    <row r="115" spans="1:44">
      <c r="A115" s="118">
        <f t="shared" si="11"/>
        <v>45858</v>
      </c>
      <c r="B115" s="107">
        <f>YEAR(Table13[[#This Row],[Date]])+IF(MONTH(Table13[[#This Row],[Date]])&gt;=4,1,0)</f>
        <v>2026</v>
      </c>
      <c r="C115" s="105">
        <f>YEAR(Table13[[#This Row],[Date]])</f>
        <v>2025</v>
      </c>
      <c r="D115" s="119">
        <f>Table13[[#This Row],[Date]]-DAY(Table13[[#This Row],[Date]])+1</f>
        <v>45839</v>
      </c>
      <c r="E115" s="105">
        <f t="shared" si="8"/>
        <v>31</v>
      </c>
      <c r="F115" s="108"/>
      <c r="G115" s="109"/>
      <c r="H115" s="109"/>
      <c r="I115" s="109"/>
      <c r="J115" s="109"/>
      <c r="K115" s="120"/>
      <c r="L115" s="109"/>
      <c r="M115" s="109">
        <f>IFERROR(_xlfn.XLOOKUP($A115,Input_Raw!$A:$A,Input_Raw!CG:CG),"")</f>
        <v>3.6294871794871804</v>
      </c>
      <c r="N115" s="109">
        <f>IFERROR(_xlfn.XLOOKUP($A115,Input_Raw!$A:$A,Input_Raw!CH:CH),"")</f>
        <v>0</v>
      </c>
      <c r="O115" s="121">
        <f t="shared" si="10"/>
        <v>0.95580997345645413</v>
      </c>
      <c r="P115" s="121">
        <f>IFERROR(1-SUMIF(WTG_BD!$F:$F,$A115,WTG_BD!$AA:$AA)/($AA115+SUMIF(WTG_BD!$F:$F,$A115,WTG_BD!$AA:$AA)),"")</f>
        <v>0.96215991471529672</v>
      </c>
      <c r="Q115" s="122">
        <f>IFERROR(1-SUMIF(IGA_BD!$F:$F,$A115,IGA_BD!$V:$V)/($AA115+SUMIF(IGA_BD!$F:$F,$A115,IGA_BD!$V:$V)),"")</f>
        <v>0.99340032653436661</v>
      </c>
      <c r="R115" s="127">
        <f>IFERROR(1-SUMIF(Grid_BD!$F:$F,$A115,Grid_BD!$X:$X)/($AA115+SUMIF(Grid_BD!$F:$F,$A115,Grid_BD!$X:$X)),"")</f>
        <v>1</v>
      </c>
      <c r="S115" s="105"/>
      <c r="T115" s="122"/>
      <c r="U115" s="123"/>
      <c r="V115" s="105"/>
      <c r="W115" s="124">
        <f>IFERROR(Table13[[#This Row],[Mtr_Net_Exp (KWh)]]/(24*AR115*1000),"")</f>
        <v>6.9230769230769235E-2</v>
      </c>
      <c r="X115" s="105">
        <f>IFERROR(_xlfn.XLOOKUP($A115,Input_Raw!$A:$A,Input_Raw!$CF:$CF),"")</f>
        <v>140960</v>
      </c>
      <c r="Y115" s="105">
        <f>IFERROR(_xlfn.XLOOKUP($A115,Input_Raw!$A:$A,Input_Raw!$CZ:$CZ),"")</f>
        <v>133200</v>
      </c>
      <c r="Z115" s="105">
        <f>IFERROR(_xlfn.XLOOKUP($A115,Input_Raw!$A:$A,Input_Raw!$DA:$DA),"")</f>
        <v>3600</v>
      </c>
      <c r="AA115" s="107">
        <f t="shared" si="9"/>
        <v>129600</v>
      </c>
      <c r="AB115" s="105">
        <f>IFERROR(_xlfn.XLOOKUP($A115,Input_Raw!$A:$A,Input_Raw!$DG:$DG),"")</f>
        <v>78</v>
      </c>
      <c r="AC115" s="125">
        <f>IFERROR(_xlfn.XLOOKUP($D115,'Modelling New'!$D:$D,'Modelling New'!$J:$J),"")</f>
        <v>7.6000000000000005</v>
      </c>
      <c r="AD115" s="107">
        <f>IFERROR(_xlfn.XLOOKUP($D115,'Modelling New'!$D:$D,'Modelling New'!$T:$T)*1000,"")</f>
        <v>585797.81940673687</v>
      </c>
      <c r="AE115" s="124"/>
      <c r="AF115" s="124">
        <f>IFERROR(_xlfn.XLOOKUP($D115,'Modelling New'!$D:$D,'Modelling New'!$W:$W),"")</f>
        <v>0.31292618558052182</v>
      </c>
      <c r="AG115" s="124">
        <f>IFERROR(_xlfn.XLOOKUP($D115,'Modelling New'!$D:$D,'Modelling New'!$AE:$AE),"")</f>
        <v>0.96029999999999993</v>
      </c>
      <c r="AH115" s="124">
        <f>IFERROR(_xlfn.XLOOKUP($D115,'Modelling New'!$D:$D,'Modelling New'!$AF:$AF),"")</f>
        <v>0.995</v>
      </c>
      <c r="AI115" s="105">
        <f>IFERROR(_xlfn.XLOOKUP($A115,Input_Raw!$A:$A,Input_Raw!$DE:$DE),"")</f>
        <v>140.96</v>
      </c>
      <c r="AJ115" s="105"/>
      <c r="AK115" s="105"/>
      <c r="AL115" s="105"/>
      <c r="AM115" s="105"/>
      <c r="AN115" s="126">
        <f>IFERROR(_xlfn.XLOOKUP($A115,Input_Raw!$A:$A,Input_Raw!$DB:$DB),"")</f>
        <v>5.5051078320090818E-2</v>
      </c>
      <c r="AO115" s="124">
        <f>IFERROR((_xlfn.XLOOKUP($A115,'WTG Reactive Power'!$A:$A,'WTG Reactive Power'!$AR:$AR))/X115/1000,"")</f>
        <v>7.6830306469920549E-5</v>
      </c>
      <c r="AP115" s="124">
        <f>IFERROR(_xlfn.XLOOKUP($D115,'Modelling New'!$D:$D,'Modelling New'!$AK:$AK),"")</f>
        <v>0.05</v>
      </c>
      <c r="AQ115" s="124">
        <f>IFERROR(_xlfn.XLOOKUP($D115,'Modelling New'!$D:$D,'Modelling New'!$AL:$AL),"")</f>
        <v>0.05</v>
      </c>
      <c r="AR115">
        <f>IFERROR(_xlfn.XLOOKUP($D115,'Modelling New'!$D:$D,'Modelling New'!$N:$N),"")</f>
        <v>78</v>
      </c>
    </row>
    <row r="116" spans="1:44">
      <c r="A116" s="118">
        <f t="shared" si="11"/>
        <v>45859</v>
      </c>
      <c r="B116" s="107">
        <f>YEAR(Table13[[#This Row],[Date]])+IF(MONTH(Table13[[#This Row],[Date]])&gt;=4,1,0)</f>
        <v>2026</v>
      </c>
      <c r="C116" s="105">
        <f>YEAR(Table13[[#This Row],[Date]])</f>
        <v>2025</v>
      </c>
      <c r="D116" s="119">
        <f>Table13[[#This Row],[Date]]-DAY(Table13[[#This Row],[Date]])+1</f>
        <v>45839</v>
      </c>
      <c r="E116" s="105">
        <f t="shared" si="8"/>
        <v>31</v>
      </c>
      <c r="F116" s="108"/>
      <c r="G116" s="109"/>
      <c r="H116" s="109"/>
      <c r="I116" s="109"/>
      <c r="J116" s="109"/>
      <c r="K116" s="120"/>
      <c r="L116" s="109"/>
      <c r="M116" s="109">
        <f>IFERROR(_xlfn.XLOOKUP($A116,Input_Raw!$A:$A,Input_Raw!CG:CG),"")</f>
        <v>3.9703331448352608</v>
      </c>
      <c r="N116" s="109">
        <f>IFERROR(_xlfn.XLOOKUP($A116,Input_Raw!$A:$A,Input_Raw!CH:CH),"")</f>
        <v>0</v>
      </c>
      <c r="O116" s="121">
        <f t="shared" si="10"/>
        <v>0.97325229690082871</v>
      </c>
      <c r="P116" s="121">
        <f>IFERROR(1-SUMIF(WTG_BD!$F:$F,$A116,WTG_BD!$AA:$AA)/($AA116+SUMIF(WTG_BD!$F:$F,$A116,WTG_BD!$AA:$AA)),"")</f>
        <v>0.97325229690082871</v>
      </c>
      <c r="Q116" s="122">
        <f>IFERROR(1-SUMIF(IGA_BD!$F:$F,$A116,IGA_BD!$V:$V)/($AA116+SUMIF(IGA_BD!$F:$F,$A116,IGA_BD!$V:$V)),"")</f>
        <v>1</v>
      </c>
      <c r="R116" s="127">
        <f>IFERROR(1-SUMIF(Grid_BD!$F:$F,$A116,Grid_BD!$X:$X)/($AA116+SUMIF(Grid_BD!$F:$F,$A116,Grid_BD!$X:$X)),"")</f>
        <v>1</v>
      </c>
      <c r="S116" s="105"/>
      <c r="T116" s="122"/>
      <c r="U116" s="123"/>
      <c r="V116" s="105"/>
      <c r="W116" s="124">
        <f>IFERROR(Table13[[#This Row],[Mtr_Net_Exp (KWh)]]/(24*AR116*1000),"")</f>
        <v>0.14358974358974358</v>
      </c>
      <c r="X116" s="105">
        <f>IFERROR(_xlfn.XLOOKUP($A116,Input_Raw!$A:$A,Input_Raw!$CF:$CF),"")</f>
        <v>273342</v>
      </c>
      <c r="Y116" s="105">
        <f>IFERROR(_xlfn.XLOOKUP($A116,Input_Raw!$A:$A,Input_Raw!$CZ:$CZ),"")</f>
        <v>268800</v>
      </c>
      <c r="Z116" s="105">
        <f>IFERROR(_xlfn.XLOOKUP($A116,Input_Raw!$A:$A,Input_Raw!$DA:$DA),"")</f>
        <v>0</v>
      </c>
      <c r="AA116" s="107">
        <f t="shared" si="9"/>
        <v>268800</v>
      </c>
      <c r="AB116" s="105">
        <f>IFERROR(_xlfn.XLOOKUP($A116,Input_Raw!$A:$A,Input_Raw!$DG:$DG),"")</f>
        <v>78</v>
      </c>
      <c r="AC116" s="125">
        <f>IFERROR(_xlfn.XLOOKUP($D116,'Modelling New'!$D:$D,'Modelling New'!$J:$J),"")</f>
        <v>7.6000000000000005</v>
      </c>
      <c r="AD116" s="107">
        <f>IFERROR(_xlfn.XLOOKUP($D116,'Modelling New'!$D:$D,'Modelling New'!$T:$T)*1000,"")</f>
        <v>585797.81940673687</v>
      </c>
      <c r="AE116" s="124"/>
      <c r="AF116" s="124">
        <f>IFERROR(_xlfn.XLOOKUP($D116,'Modelling New'!$D:$D,'Modelling New'!$W:$W),"")</f>
        <v>0.31292618558052182</v>
      </c>
      <c r="AG116" s="124">
        <f>IFERROR(_xlfn.XLOOKUP($D116,'Modelling New'!$D:$D,'Modelling New'!$AE:$AE),"")</f>
        <v>0.96029999999999993</v>
      </c>
      <c r="AH116" s="124">
        <f>IFERROR(_xlfn.XLOOKUP($D116,'Modelling New'!$D:$D,'Modelling New'!$AF:$AF),"")</f>
        <v>0.995</v>
      </c>
      <c r="AI116" s="105">
        <f>IFERROR(_xlfn.XLOOKUP($A116,Input_Raw!$A:$A,Input_Raw!$DE:$DE),"")</f>
        <v>273.33999999999997</v>
      </c>
      <c r="AJ116" s="105"/>
      <c r="AK116" s="105"/>
      <c r="AL116" s="105"/>
      <c r="AM116" s="105"/>
      <c r="AN116" s="126">
        <f>IFERROR(_xlfn.XLOOKUP($A116,Input_Raw!$A:$A,Input_Raw!$DB:$DB),"")</f>
        <v>1.6616546304629387E-2</v>
      </c>
      <c r="AO116" s="124">
        <f>IFERROR((_xlfn.XLOOKUP($A116,'WTG Reactive Power'!$A:$A,'WTG Reactive Power'!$AR:$AR))/X116/1000,"")</f>
        <v>1.7655537751242034E-5</v>
      </c>
      <c r="AP116" s="124">
        <f>IFERROR(_xlfn.XLOOKUP($D116,'Modelling New'!$D:$D,'Modelling New'!$AK:$AK),"")</f>
        <v>0.05</v>
      </c>
      <c r="AQ116" s="124">
        <f>IFERROR(_xlfn.XLOOKUP($D116,'Modelling New'!$D:$D,'Modelling New'!$AL:$AL),"")</f>
        <v>0.05</v>
      </c>
      <c r="AR116">
        <f>IFERROR(_xlfn.XLOOKUP($D116,'Modelling New'!$D:$D,'Modelling New'!$N:$N),"")</f>
        <v>78</v>
      </c>
    </row>
    <row r="117" spans="1:44">
      <c r="A117" s="118">
        <f t="shared" si="11"/>
        <v>45860</v>
      </c>
      <c r="B117" s="107">
        <f>YEAR(Table13[[#This Row],[Date]])+IF(MONTH(Table13[[#This Row],[Date]])&gt;=4,1,0)</f>
        <v>2026</v>
      </c>
      <c r="C117" s="105">
        <f>YEAR(Table13[[#This Row],[Date]])</f>
        <v>2025</v>
      </c>
      <c r="D117" s="119">
        <f>Table13[[#This Row],[Date]]-DAY(Table13[[#This Row],[Date]])+1</f>
        <v>45839</v>
      </c>
      <c r="E117" s="105">
        <f t="shared" si="8"/>
        <v>31</v>
      </c>
      <c r="F117" s="108"/>
      <c r="G117" s="109"/>
      <c r="H117" s="109"/>
      <c r="I117" s="109"/>
      <c r="J117" s="109"/>
      <c r="K117" s="120"/>
      <c r="L117" s="109"/>
      <c r="M117" s="109">
        <f>IFERROR(_xlfn.XLOOKUP($A117,Input_Raw!$A:$A,Input_Raw!CG:CG),"")</f>
        <v>3.885204939707056</v>
      </c>
      <c r="N117" s="109">
        <f>IFERROR(_xlfn.XLOOKUP($A117,Input_Raw!$A:$A,Input_Raw!CH:CH),"")</f>
        <v>0</v>
      </c>
      <c r="O117" s="121">
        <f t="shared" si="10"/>
        <v>0.94994845036621256</v>
      </c>
      <c r="P117" s="121">
        <f>IFERROR(1-SUMIF(WTG_BD!$F:$F,$A117,WTG_BD!$AA:$AA)/($AA117+SUMIF(WTG_BD!$F:$F,$A117,WTG_BD!$AA:$AA)),"")</f>
        <v>0.94994845036621256</v>
      </c>
      <c r="Q117" s="122">
        <f>IFERROR(1-SUMIF(IGA_BD!$F:$F,$A117,IGA_BD!$V:$V)/($AA117+SUMIF(IGA_BD!$F:$F,$A117,IGA_BD!$V:$V)),"")</f>
        <v>1</v>
      </c>
      <c r="R117" s="127">
        <f>IFERROR(1-SUMIF(Grid_BD!$F:$F,$A117,Grid_BD!$X:$X)/($AA117+SUMIF(Grid_BD!$F:$F,$A117,Grid_BD!$X:$X)),"")</f>
        <v>1</v>
      </c>
      <c r="S117" s="105"/>
      <c r="T117" s="122"/>
      <c r="U117" s="123"/>
      <c r="V117" s="105"/>
      <c r="W117" s="124">
        <f>IFERROR(Table13[[#This Row],[Mtr_Net_Exp (KWh)]]/(24*AR117*1000),"")</f>
        <v>0.11153846153846154</v>
      </c>
      <c r="X117" s="105">
        <f>IFERROR(_xlfn.XLOOKUP($A117,Input_Raw!$A:$A,Input_Raw!$CF:$CF),"")</f>
        <v>217430</v>
      </c>
      <c r="Y117" s="105">
        <f>IFERROR(_xlfn.XLOOKUP($A117,Input_Raw!$A:$A,Input_Raw!$CZ:$CZ),"")</f>
        <v>208800</v>
      </c>
      <c r="Z117" s="105">
        <f>IFERROR(_xlfn.XLOOKUP($A117,Input_Raw!$A:$A,Input_Raw!$DA:$DA),"")</f>
        <v>0</v>
      </c>
      <c r="AA117" s="107">
        <f t="shared" si="9"/>
        <v>208800</v>
      </c>
      <c r="AB117" s="105">
        <f>IFERROR(_xlfn.XLOOKUP($A117,Input_Raw!$A:$A,Input_Raw!$DG:$DG),"")</f>
        <v>78</v>
      </c>
      <c r="AC117" s="125">
        <f>IFERROR(_xlfn.XLOOKUP($D117,'Modelling New'!$D:$D,'Modelling New'!$J:$J),"")</f>
        <v>7.6000000000000005</v>
      </c>
      <c r="AD117" s="107">
        <f>IFERROR(_xlfn.XLOOKUP($D117,'Modelling New'!$D:$D,'Modelling New'!$T:$T)*1000,"")</f>
        <v>585797.81940673687</v>
      </c>
      <c r="AE117" s="124"/>
      <c r="AF117" s="124">
        <f>IFERROR(_xlfn.XLOOKUP($D117,'Modelling New'!$D:$D,'Modelling New'!$W:$W),"")</f>
        <v>0.31292618558052182</v>
      </c>
      <c r="AG117" s="124">
        <f>IFERROR(_xlfn.XLOOKUP($D117,'Modelling New'!$D:$D,'Modelling New'!$AE:$AE),"")</f>
        <v>0.96029999999999993</v>
      </c>
      <c r="AH117" s="124">
        <f>IFERROR(_xlfn.XLOOKUP($D117,'Modelling New'!$D:$D,'Modelling New'!$AF:$AF),"")</f>
        <v>0.995</v>
      </c>
      <c r="AI117" s="105">
        <f>IFERROR(_xlfn.XLOOKUP($A117,Input_Raw!$A:$A,Input_Raw!$DE:$DE),"")</f>
        <v>217.43</v>
      </c>
      <c r="AJ117" s="105"/>
      <c r="AK117" s="105"/>
      <c r="AL117" s="105"/>
      <c r="AM117" s="105"/>
      <c r="AN117" s="126">
        <f>IFERROR(_xlfn.XLOOKUP($A117,Input_Raw!$A:$A,Input_Raw!$DB:$DB),"")</f>
        <v>3.9690935013567574E-2</v>
      </c>
      <c r="AO117" s="124">
        <f>IFERROR((_xlfn.XLOOKUP($A117,'WTG Reactive Power'!$A:$A,'WTG Reactive Power'!$AR:$AR))/X117/1000,"")</f>
        <v>0</v>
      </c>
      <c r="AP117" s="124">
        <f>IFERROR(_xlfn.XLOOKUP($D117,'Modelling New'!$D:$D,'Modelling New'!$AK:$AK),"")</f>
        <v>0.05</v>
      </c>
      <c r="AQ117" s="124">
        <f>IFERROR(_xlfn.XLOOKUP($D117,'Modelling New'!$D:$D,'Modelling New'!$AL:$AL),"")</f>
        <v>0.05</v>
      </c>
      <c r="AR117">
        <f>IFERROR(_xlfn.XLOOKUP($D117,'Modelling New'!$D:$D,'Modelling New'!$N:$N),"")</f>
        <v>78</v>
      </c>
    </row>
    <row r="118" spans="1:44">
      <c r="A118" s="118">
        <f t="shared" si="11"/>
        <v>45861</v>
      </c>
      <c r="B118" s="107">
        <f>YEAR(Table13[[#This Row],[Date]])+IF(MONTH(Table13[[#This Row],[Date]])&gt;=4,1,0)</f>
        <v>2026</v>
      </c>
      <c r="C118" s="105">
        <f>YEAR(Table13[[#This Row],[Date]])</f>
        <v>2025</v>
      </c>
      <c r="D118" s="119">
        <f>Table13[[#This Row],[Date]]-DAY(Table13[[#This Row],[Date]])+1</f>
        <v>45839</v>
      </c>
      <c r="E118" s="105">
        <f t="shared" si="8"/>
        <v>31</v>
      </c>
      <c r="F118" s="108"/>
      <c r="G118" s="109"/>
      <c r="H118" s="109"/>
      <c r="I118" s="109"/>
      <c r="J118" s="109"/>
      <c r="K118" s="120"/>
      <c r="L118" s="109"/>
      <c r="M118" s="109">
        <f>IFERROR(_xlfn.XLOOKUP($A118,Input_Raw!$A:$A,Input_Raw!CG:CG),"")</f>
        <v>4.3253846153846149</v>
      </c>
      <c r="N118" s="109">
        <f>IFERROR(_xlfn.XLOOKUP($A118,Input_Raw!$A:$A,Input_Raw!CH:CH),"")</f>
        <v>0</v>
      </c>
      <c r="O118" s="121">
        <f t="shared" si="10"/>
        <v>0.96853650819829684</v>
      </c>
      <c r="P118" s="121">
        <f>IFERROR(1-SUMIF(WTG_BD!$F:$F,$A118,WTG_BD!$AA:$AA)/($AA118+SUMIF(WTG_BD!$F:$F,$A118,WTG_BD!$AA:$AA)),"")</f>
        <v>0.96853650819829684</v>
      </c>
      <c r="Q118" s="122">
        <f>IFERROR(1-SUMIF(IGA_BD!$F:$F,$A118,IGA_BD!$V:$V)/($AA118+SUMIF(IGA_BD!$F:$F,$A118,IGA_BD!$V:$V)),"")</f>
        <v>1</v>
      </c>
      <c r="R118" s="127">
        <f>IFERROR(1-SUMIF(Grid_BD!$F:$F,$A118,Grid_BD!$X:$X)/($AA118+SUMIF(Grid_BD!$F:$F,$A118,Grid_BD!$X:$X)),"")</f>
        <v>1</v>
      </c>
      <c r="S118" s="105"/>
      <c r="T118" s="122"/>
      <c r="U118" s="123"/>
      <c r="V118" s="105"/>
      <c r="W118" s="124">
        <f>IFERROR(Table13[[#This Row],[Mtr_Net_Exp (KWh)]]/(24*AR118*1000),"")</f>
        <v>0.18076923076923077</v>
      </c>
      <c r="X118" s="105">
        <f>IFERROR(_xlfn.XLOOKUP($A118,Input_Raw!$A:$A,Input_Raw!$CF:$CF),"")</f>
        <v>348991</v>
      </c>
      <c r="Y118" s="105">
        <f>IFERROR(_xlfn.XLOOKUP($A118,Input_Raw!$A:$A,Input_Raw!$CZ:$CZ),"")</f>
        <v>338400</v>
      </c>
      <c r="Z118" s="105">
        <f>IFERROR(_xlfn.XLOOKUP($A118,Input_Raw!$A:$A,Input_Raw!$DA:$DA),"")</f>
        <v>0</v>
      </c>
      <c r="AA118" s="107">
        <f t="shared" si="9"/>
        <v>338400</v>
      </c>
      <c r="AB118" s="105">
        <f>IFERROR(_xlfn.XLOOKUP($A118,Input_Raw!$A:$A,Input_Raw!$DG:$DG),"")</f>
        <v>78</v>
      </c>
      <c r="AC118" s="125">
        <f>IFERROR(_xlfn.XLOOKUP($D118,'Modelling New'!$D:$D,'Modelling New'!$J:$J),"")</f>
        <v>7.6000000000000005</v>
      </c>
      <c r="AD118" s="107">
        <f>IFERROR(_xlfn.XLOOKUP($D118,'Modelling New'!$D:$D,'Modelling New'!$T:$T)*1000,"")</f>
        <v>585797.81940673687</v>
      </c>
      <c r="AE118" s="124"/>
      <c r="AF118" s="124">
        <f>IFERROR(_xlfn.XLOOKUP($D118,'Modelling New'!$D:$D,'Modelling New'!$W:$W),"")</f>
        <v>0.31292618558052182</v>
      </c>
      <c r="AG118" s="124">
        <f>IFERROR(_xlfn.XLOOKUP($D118,'Modelling New'!$D:$D,'Modelling New'!$AE:$AE),"")</f>
        <v>0.96029999999999993</v>
      </c>
      <c r="AH118" s="124">
        <f>IFERROR(_xlfn.XLOOKUP($D118,'Modelling New'!$D:$D,'Modelling New'!$AF:$AF),"")</f>
        <v>0.995</v>
      </c>
      <c r="AI118" s="105">
        <f>IFERROR(_xlfn.XLOOKUP($A118,Input_Raw!$A:$A,Input_Raw!$DE:$DE),"")</f>
        <v>348.99</v>
      </c>
      <c r="AJ118" s="105"/>
      <c r="AK118" s="105"/>
      <c r="AL118" s="105"/>
      <c r="AM118" s="105"/>
      <c r="AN118" s="126">
        <f>IFERROR(_xlfn.XLOOKUP($A118,Input_Raw!$A:$A,Input_Raw!$DB:$DB),"")</f>
        <v>3.034748747102356E-2</v>
      </c>
      <c r="AO118" s="124">
        <f>IFERROR((_xlfn.XLOOKUP($A118,'WTG Reactive Power'!$A:$A,'WTG Reactive Power'!$AR:$AR))/X118/1000,"")</f>
        <v>0</v>
      </c>
      <c r="AP118" s="124">
        <f>IFERROR(_xlfn.XLOOKUP($D118,'Modelling New'!$D:$D,'Modelling New'!$AK:$AK),"")</f>
        <v>0.05</v>
      </c>
      <c r="AQ118" s="124">
        <f>IFERROR(_xlfn.XLOOKUP($D118,'Modelling New'!$D:$D,'Modelling New'!$AL:$AL),"")</f>
        <v>0.05</v>
      </c>
      <c r="AR118">
        <f>IFERROR(_xlfn.XLOOKUP($D118,'Modelling New'!$D:$D,'Modelling New'!$N:$N),"")</f>
        <v>78</v>
      </c>
    </row>
    <row r="119" spans="1:44">
      <c r="A119" s="118">
        <f t="shared" si="11"/>
        <v>45862</v>
      </c>
      <c r="B119" s="107">
        <f>YEAR(Table13[[#This Row],[Date]])+IF(MONTH(Table13[[#This Row],[Date]])&gt;=4,1,0)</f>
        <v>2026</v>
      </c>
      <c r="C119" s="105">
        <f>YEAR(Table13[[#This Row],[Date]])</f>
        <v>2025</v>
      </c>
      <c r="D119" s="119">
        <f>Table13[[#This Row],[Date]]-DAY(Table13[[#This Row],[Date]])+1</f>
        <v>45839</v>
      </c>
      <c r="E119" s="105">
        <f t="shared" si="8"/>
        <v>31</v>
      </c>
      <c r="F119" s="108"/>
      <c r="G119" s="109"/>
      <c r="H119" s="109"/>
      <c r="I119" s="109"/>
      <c r="J119" s="109"/>
      <c r="K119" s="120"/>
      <c r="L119" s="109"/>
      <c r="M119" s="109" t="str">
        <f>IFERROR(_xlfn.XLOOKUP($A119,Input_Raw!$A:$A,Input_Raw!CG:CG),"")</f>
        <v/>
      </c>
      <c r="N119" s="109">
        <f>IFERROR(_xlfn.XLOOKUP($A119,Input_Raw!$A:$A,Input_Raw!CH:CH),"")</f>
        <v>0</v>
      </c>
      <c r="O119" s="121" t="str">
        <f t="shared" si="10"/>
        <v/>
      </c>
      <c r="P119" s="121" t="str">
        <f>IFERROR(1-SUMIF(WTG_BD!$F:$F,$A119,WTG_BD!$AA:$AA)/($AA119+SUMIF(WTG_BD!$F:$F,$A119,WTG_BD!$AA:$AA)),"")</f>
        <v/>
      </c>
      <c r="Q119" s="122" t="str">
        <f>IFERROR(1-SUMIF(IGA_BD!$F:$F,$A119,IGA_BD!$V:$V)/($AA119+SUMIF(IGA_BD!$F:$F,$A119,IGA_BD!$V:$V)),"")</f>
        <v/>
      </c>
      <c r="R119" s="127" t="str">
        <f>IFERROR(1-SUMIF(Grid_BD!$F:$F,$A119,Grid_BD!$X:$X)/($AA119+SUMIF(Grid_BD!$F:$F,$A119,Grid_BD!$X:$X)),"")</f>
        <v/>
      </c>
      <c r="S119" s="105"/>
      <c r="T119" s="122"/>
      <c r="U119" s="123"/>
      <c r="V119" s="105"/>
      <c r="W119" s="124">
        <f>IFERROR(Table13[[#This Row],[Mtr_Net_Exp (KWh)]]/(24*AR119*1000),"")</f>
        <v>0</v>
      </c>
      <c r="X119" s="105">
        <f>IFERROR(_xlfn.XLOOKUP($A119,Input_Raw!$A:$A,Input_Raw!$CF:$CF),"")</f>
        <v>0</v>
      </c>
      <c r="Y119" s="105">
        <f>IFERROR(_xlfn.XLOOKUP($A119,Input_Raw!$A:$A,Input_Raw!$CZ:$CZ),"")</f>
        <v>0</v>
      </c>
      <c r="Z119" s="105">
        <f>IFERROR(_xlfn.XLOOKUP($A119,Input_Raw!$A:$A,Input_Raw!$DA:$DA),"")</f>
        <v>0</v>
      </c>
      <c r="AA119" s="107">
        <f t="shared" si="9"/>
        <v>0</v>
      </c>
      <c r="AB119" s="105">
        <f>IFERROR(_xlfn.XLOOKUP($A119,Input_Raw!$A:$A,Input_Raw!$DG:$DG),"")</f>
        <v>0</v>
      </c>
      <c r="AC119" s="125">
        <f>IFERROR(_xlfn.XLOOKUP($D119,'Modelling New'!$D:$D,'Modelling New'!$J:$J),"")</f>
        <v>7.6000000000000005</v>
      </c>
      <c r="AD119" s="107">
        <f>IFERROR(_xlfn.XLOOKUP($D119,'Modelling New'!$D:$D,'Modelling New'!$T:$T)*1000,"")</f>
        <v>585797.81940673687</v>
      </c>
      <c r="AE119" s="124"/>
      <c r="AF119" s="124">
        <f>IFERROR(_xlfn.XLOOKUP($D119,'Modelling New'!$D:$D,'Modelling New'!$W:$W),"")</f>
        <v>0.31292618558052182</v>
      </c>
      <c r="AG119" s="124">
        <f>IFERROR(_xlfn.XLOOKUP($D119,'Modelling New'!$D:$D,'Modelling New'!$AE:$AE),"")</f>
        <v>0.96029999999999993</v>
      </c>
      <c r="AH119" s="124">
        <f>IFERROR(_xlfn.XLOOKUP($D119,'Modelling New'!$D:$D,'Modelling New'!$AF:$AF),"")</f>
        <v>0.995</v>
      </c>
      <c r="AI119" s="105">
        <f>IFERROR(_xlfn.XLOOKUP($A119,Input_Raw!$A:$A,Input_Raw!$DE:$DE),"")</f>
        <v>0</v>
      </c>
      <c r="AJ119" s="105"/>
      <c r="AK119" s="105"/>
      <c r="AL119" s="105"/>
      <c r="AM119" s="105"/>
      <c r="AN119" s="126">
        <f>IFERROR(_xlfn.XLOOKUP($A119,Input_Raw!$A:$A,Input_Raw!$DB:$DB),"")</f>
        <v>0</v>
      </c>
      <c r="AO119" s="124" t="str">
        <f>IFERROR((_xlfn.XLOOKUP($A119,'WTG Reactive Power'!$A:$A,'WTG Reactive Power'!$AR:$AR))/X119/1000,"")</f>
        <v/>
      </c>
      <c r="AP119" s="124">
        <f>IFERROR(_xlfn.XLOOKUP($D119,'Modelling New'!$D:$D,'Modelling New'!$AK:$AK),"")</f>
        <v>0.05</v>
      </c>
      <c r="AQ119" s="124">
        <f>IFERROR(_xlfn.XLOOKUP($D119,'Modelling New'!$D:$D,'Modelling New'!$AL:$AL),"")</f>
        <v>0.05</v>
      </c>
      <c r="AR119">
        <f>IFERROR(_xlfn.XLOOKUP($D119,'Modelling New'!$D:$D,'Modelling New'!$N:$N),"")</f>
        <v>78</v>
      </c>
    </row>
    <row r="120" spans="1:44">
      <c r="A120" s="118">
        <f t="shared" si="11"/>
        <v>45863</v>
      </c>
      <c r="B120" s="107">
        <f>YEAR(Table13[[#This Row],[Date]])+IF(MONTH(Table13[[#This Row],[Date]])&gt;=4,1,0)</f>
        <v>2026</v>
      </c>
      <c r="C120" s="105">
        <f>YEAR(Table13[[#This Row],[Date]])</f>
        <v>2025</v>
      </c>
      <c r="D120" s="119">
        <f>Table13[[#This Row],[Date]]-DAY(Table13[[#This Row],[Date]])+1</f>
        <v>45839</v>
      </c>
      <c r="E120" s="105">
        <f t="shared" si="8"/>
        <v>31</v>
      </c>
      <c r="F120" s="108"/>
      <c r="G120" s="109"/>
      <c r="H120" s="109"/>
      <c r="I120" s="109"/>
      <c r="J120" s="109"/>
      <c r="K120" s="120"/>
      <c r="L120" s="109"/>
      <c r="M120" s="109" t="str">
        <f>IFERROR(_xlfn.XLOOKUP($A120,Input_Raw!$A:$A,Input_Raw!CG:CG),"")</f>
        <v/>
      </c>
      <c r="N120" s="109">
        <f>IFERROR(_xlfn.XLOOKUP($A120,Input_Raw!$A:$A,Input_Raw!CH:CH),"")</f>
        <v>0</v>
      </c>
      <c r="O120" s="121" t="str">
        <f t="shared" si="10"/>
        <v/>
      </c>
      <c r="P120" s="121" t="str">
        <f>IFERROR(1-SUMIF(WTG_BD!$F:$F,$A120,WTG_BD!$AA:$AA)/($AA120+SUMIF(WTG_BD!$F:$F,$A120,WTG_BD!$AA:$AA)),"")</f>
        <v/>
      </c>
      <c r="Q120" s="122" t="str">
        <f>IFERROR(1-SUMIF(IGA_BD!$F:$F,$A120,IGA_BD!$V:$V)/($AA120+SUMIF(IGA_BD!$F:$F,$A120,IGA_BD!$V:$V)),"")</f>
        <v/>
      </c>
      <c r="R120" s="127" t="str">
        <f>IFERROR(1-SUMIF(Grid_BD!$F:$F,$A120,Grid_BD!$X:$X)/($AA120+SUMIF(Grid_BD!$F:$F,$A120,Grid_BD!$X:$X)),"")</f>
        <v/>
      </c>
      <c r="S120" s="105"/>
      <c r="T120" s="122"/>
      <c r="U120" s="123"/>
      <c r="V120" s="105"/>
      <c r="W120" s="124">
        <f>IFERROR(Table13[[#This Row],[Mtr_Net_Exp (KWh)]]/(24*AR120*1000),"")</f>
        <v>0</v>
      </c>
      <c r="X120" s="105">
        <f>IFERROR(_xlfn.XLOOKUP($A120,Input_Raw!$A:$A,Input_Raw!$CF:$CF),"")</f>
        <v>0</v>
      </c>
      <c r="Y120" s="105">
        <f>IFERROR(_xlfn.XLOOKUP($A120,Input_Raw!$A:$A,Input_Raw!$CZ:$CZ),"")</f>
        <v>0</v>
      </c>
      <c r="Z120" s="105">
        <f>IFERROR(_xlfn.XLOOKUP($A120,Input_Raw!$A:$A,Input_Raw!$DA:$DA),"")</f>
        <v>0</v>
      </c>
      <c r="AA120" s="107">
        <f t="shared" si="9"/>
        <v>0</v>
      </c>
      <c r="AB120" s="105">
        <f>IFERROR(_xlfn.XLOOKUP($A120,Input_Raw!$A:$A,Input_Raw!$DG:$DG),"")</f>
        <v>0</v>
      </c>
      <c r="AC120" s="125">
        <f>IFERROR(_xlfn.XLOOKUP($D120,'Modelling New'!$D:$D,'Modelling New'!$J:$J),"")</f>
        <v>7.6000000000000005</v>
      </c>
      <c r="AD120" s="107">
        <f>IFERROR(_xlfn.XLOOKUP($D120,'Modelling New'!$D:$D,'Modelling New'!$T:$T)*1000,"")</f>
        <v>585797.81940673687</v>
      </c>
      <c r="AE120" s="124"/>
      <c r="AF120" s="124">
        <f>IFERROR(_xlfn.XLOOKUP($D120,'Modelling New'!$D:$D,'Modelling New'!$W:$W),"")</f>
        <v>0.31292618558052182</v>
      </c>
      <c r="AG120" s="124">
        <f>IFERROR(_xlfn.XLOOKUP($D120,'Modelling New'!$D:$D,'Modelling New'!$AE:$AE),"")</f>
        <v>0.96029999999999993</v>
      </c>
      <c r="AH120" s="124">
        <f>IFERROR(_xlfn.XLOOKUP($D120,'Modelling New'!$D:$D,'Modelling New'!$AF:$AF),"")</f>
        <v>0.995</v>
      </c>
      <c r="AI120" s="105">
        <f>IFERROR(_xlfn.XLOOKUP($A120,Input_Raw!$A:$A,Input_Raw!$DE:$DE),"")</f>
        <v>0</v>
      </c>
      <c r="AJ120" s="105"/>
      <c r="AK120" s="105"/>
      <c r="AL120" s="105"/>
      <c r="AM120" s="105"/>
      <c r="AN120" s="126">
        <f>IFERROR(_xlfn.XLOOKUP($A120,Input_Raw!$A:$A,Input_Raw!$DB:$DB),"")</f>
        <v>0</v>
      </c>
      <c r="AO120" s="124" t="str">
        <f>IFERROR((_xlfn.XLOOKUP($A120,'WTG Reactive Power'!$A:$A,'WTG Reactive Power'!$AR:$AR))/X120/1000,"")</f>
        <v/>
      </c>
      <c r="AP120" s="124">
        <f>IFERROR(_xlfn.XLOOKUP($D120,'Modelling New'!$D:$D,'Modelling New'!$AK:$AK),"")</f>
        <v>0.05</v>
      </c>
      <c r="AQ120" s="124">
        <f>IFERROR(_xlfn.XLOOKUP($D120,'Modelling New'!$D:$D,'Modelling New'!$AL:$AL),"")</f>
        <v>0.05</v>
      </c>
      <c r="AR120">
        <f>IFERROR(_xlfn.XLOOKUP($D120,'Modelling New'!$D:$D,'Modelling New'!$N:$N),"")</f>
        <v>78</v>
      </c>
    </row>
    <row r="121" spans="1:44">
      <c r="A121" s="118">
        <f t="shared" si="11"/>
        <v>45864</v>
      </c>
      <c r="B121" s="107">
        <f>YEAR(Table13[[#This Row],[Date]])+IF(MONTH(Table13[[#This Row],[Date]])&gt;=4,1,0)</f>
        <v>2026</v>
      </c>
      <c r="C121" s="105">
        <f>YEAR(Table13[[#This Row],[Date]])</f>
        <v>2025</v>
      </c>
      <c r="D121" s="119">
        <f>Table13[[#This Row],[Date]]-DAY(Table13[[#This Row],[Date]])+1</f>
        <v>45839</v>
      </c>
      <c r="E121" s="105">
        <f t="shared" si="8"/>
        <v>31</v>
      </c>
      <c r="F121" s="108"/>
      <c r="G121" s="109"/>
      <c r="H121" s="109"/>
      <c r="I121" s="109"/>
      <c r="J121" s="109"/>
      <c r="K121" s="120"/>
      <c r="L121" s="109"/>
      <c r="M121" s="109" t="str">
        <f>IFERROR(_xlfn.XLOOKUP($A121,Input_Raw!$A:$A,Input_Raw!CG:CG),"")</f>
        <v/>
      </c>
      <c r="N121" s="109">
        <f>IFERROR(_xlfn.XLOOKUP($A121,Input_Raw!$A:$A,Input_Raw!CH:CH),"")</f>
        <v>0</v>
      </c>
      <c r="O121" s="121" t="str">
        <f t="shared" si="10"/>
        <v/>
      </c>
      <c r="P121" s="121" t="str">
        <f>IFERROR(1-SUMIF(WTG_BD!$F:$F,$A121,WTG_BD!$AA:$AA)/($AA121+SUMIF(WTG_BD!$F:$F,$A121,WTG_BD!$AA:$AA)),"")</f>
        <v/>
      </c>
      <c r="Q121" s="122" t="str">
        <f>IFERROR(1-SUMIF(IGA_BD!$F:$F,$A121,IGA_BD!$V:$V)/($AA121+SUMIF(IGA_BD!$F:$F,$A121,IGA_BD!$V:$V)),"")</f>
        <v/>
      </c>
      <c r="R121" s="127" t="str">
        <f>IFERROR(1-SUMIF(Grid_BD!$F:$F,$A121,Grid_BD!$X:$X)/($AA121+SUMIF(Grid_BD!$F:$F,$A121,Grid_BD!$X:$X)),"")</f>
        <v/>
      </c>
      <c r="S121" s="105"/>
      <c r="T121" s="122"/>
      <c r="U121" s="123"/>
      <c r="V121" s="105"/>
      <c r="W121" s="124">
        <f>IFERROR(Table13[[#This Row],[Mtr_Net_Exp (KWh)]]/(24*AR121*1000),"")</f>
        <v>0</v>
      </c>
      <c r="X121" s="105">
        <f>IFERROR(_xlfn.XLOOKUP($A121,Input_Raw!$A:$A,Input_Raw!$CF:$CF),"")</f>
        <v>0</v>
      </c>
      <c r="Y121" s="105">
        <f>IFERROR(_xlfn.XLOOKUP($A121,Input_Raw!$A:$A,Input_Raw!$CZ:$CZ),"")</f>
        <v>0</v>
      </c>
      <c r="Z121" s="105">
        <f>IFERROR(_xlfn.XLOOKUP($A121,Input_Raw!$A:$A,Input_Raw!$DA:$DA),"")</f>
        <v>0</v>
      </c>
      <c r="AA121" s="107">
        <f t="shared" si="9"/>
        <v>0</v>
      </c>
      <c r="AB121" s="105">
        <f>IFERROR(_xlfn.XLOOKUP($A121,Input_Raw!$A:$A,Input_Raw!$DG:$DG),"")</f>
        <v>0</v>
      </c>
      <c r="AC121" s="125">
        <f>IFERROR(_xlfn.XLOOKUP($D121,'Modelling New'!$D:$D,'Modelling New'!$J:$J),"")</f>
        <v>7.6000000000000005</v>
      </c>
      <c r="AD121" s="107">
        <f>IFERROR(_xlfn.XLOOKUP($D121,'Modelling New'!$D:$D,'Modelling New'!$T:$T)*1000,"")</f>
        <v>585797.81940673687</v>
      </c>
      <c r="AE121" s="124"/>
      <c r="AF121" s="124">
        <f>IFERROR(_xlfn.XLOOKUP($D121,'Modelling New'!$D:$D,'Modelling New'!$W:$W),"")</f>
        <v>0.31292618558052182</v>
      </c>
      <c r="AG121" s="124">
        <f>IFERROR(_xlfn.XLOOKUP($D121,'Modelling New'!$D:$D,'Modelling New'!$AE:$AE),"")</f>
        <v>0.96029999999999993</v>
      </c>
      <c r="AH121" s="124">
        <f>IFERROR(_xlfn.XLOOKUP($D121,'Modelling New'!$D:$D,'Modelling New'!$AF:$AF),"")</f>
        <v>0.995</v>
      </c>
      <c r="AI121" s="105">
        <f>IFERROR(_xlfn.XLOOKUP($A121,Input_Raw!$A:$A,Input_Raw!$DE:$DE),"")</f>
        <v>0</v>
      </c>
      <c r="AJ121" s="105"/>
      <c r="AK121" s="105"/>
      <c r="AL121" s="105"/>
      <c r="AM121" s="105"/>
      <c r="AN121" s="126">
        <f>IFERROR(_xlfn.XLOOKUP($A121,Input_Raw!$A:$A,Input_Raw!$DB:$DB),"")</f>
        <v>0</v>
      </c>
      <c r="AO121" s="124" t="str">
        <f>IFERROR((_xlfn.XLOOKUP($A121,'WTG Reactive Power'!$A:$A,'WTG Reactive Power'!$AR:$AR))/X121/1000,"")</f>
        <v/>
      </c>
      <c r="AP121" s="124">
        <f>IFERROR(_xlfn.XLOOKUP($D121,'Modelling New'!$D:$D,'Modelling New'!$AK:$AK),"")</f>
        <v>0.05</v>
      </c>
      <c r="AQ121" s="124">
        <f>IFERROR(_xlfn.XLOOKUP($D121,'Modelling New'!$D:$D,'Modelling New'!$AL:$AL),"")</f>
        <v>0.05</v>
      </c>
      <c r="AR121">
        <f>IFERROR(_xlfn.XLOOKUP($D121,'Modelling New'!$D:$D,'Modelling New'!$N:$N),"")</f>
        <v>78</v>
      </c>
    </row>
    <row r="122" spans="1:44">
      <c r="A122" s="118">
        <f t="shared" si="11"/>
        <v>45865</v>
      </c>
      <c r="B122" s="107">
        <f>YEAR(Table13[[#This Row],[Date]])+IF(MONTH(Table13[[#This Row],[Date]])&gt;=4,1,0)</f>
        <v>2026</v>
      </c>
      <c r="C122" s="105">
        <f>YEAR(Table13[[#This Row],[Date]])</f>
        <v>2025</v>
      </c>
      <c r="D122" s="119">
        <f>Table13[[#This Row],[Date]]-DAY(Table13[[#This Row],[Date]])+1</f>
        <v>45839</v>
      </c>
      <c r="E122" s="105">
        <f t="shared" si="8"/>
        <v>31</v>
      </c>
      <c r="F122" s="108"/>
      <c r="G122" s="109"/>
      <c r="H122" s="109"/>
      <c r="I122" s="109"/>
      <c r="J122" s="109"/>
      <c r="K122" s="120"/>
      <c r="L122" s="109"/>
      <c r="M122" s="109" t="str">
        <f>IFERROR(_xlfn.XLOOKUP($A122,Input_Raw!$A:$A,Input_Raw!CG:CG),"")</f>
        <v/>
      </c>
      <c r="N122" s="109">
        <f>IFERROR(_xlfn.XLOOKUP($A122,Input_Raw!$A:$A,Input_Raw!CH:CH),"")</f>
        <v>0</v>
      </c>
      <c r="O122" s="121" t="str">
        <f t="shared" si="10"/>
        <v/>
      </c>
      <c r="P122" s="121" t="str">
        <f>IFERROR(1-SUMIF(WTG_BD!$F:$F,$A122,WTG_BD!$AA:$AA)/($AA122+SUMIF(WTG_BD!$F:$F,$A122,WTG_BD!$AA:$AA)),"")</f>
        <v/>
      </c>
      <c r="Q122" s="122" t="str">
        <f>IFERROR(1-SUMIF(IGA_BD!$F:$F,$A122,IGA_BD!$V:$V)/($AA122+SUMIF(IGA_BD!$F:$F,$A122,IGA_BD!$V:$V)),"")</f>
        <v/>
      </c>
      <c r="R122" s="127" t="str">
        <f>IFERROR(1-SUMIF(Grid_BD!$F:$F,$A122,Grid_BD!$X:$X)/($AA122+SUMIF(Grid_BD!$F:$F,$A122,Grid_BD!$X:$X)),"")</f>
        <v/>
      </c>
      <c r="S122" s="105"/>
      <c r="T122" s="122"/>
      <c r="U122" s="123"/>
      <c r="V122" s="105"/>
      <c r="W122" s="124">
        <f>IFERROR(Table13[[#This Row],[Mtr_Net_Exp (KWh)]]/(24*AR122*1000),"")</f>
        <v>0</v>
      </c>
      <c r="X122" s="105">
        <f>IFERROR(_xlfn.XLOOKUP($A122,Input_Raw!$A:$A,Input_Raw!$CF:$CF),"")</f>
        <v>0</v>
      </c>
      <c r="Y122" s="105">
        <f>IFERROR(_xlfn.XLOOKUP($A122,Input_Raw!$A:$A,Input_Raw!$CZ:$CZ),"")</f>
        <v>0</v>
      </c>
      <c r="Z122" s="105">
        <f>IFERROR(_xlfn.XLOOKUP($A122,Input_Raw!$A:$A,Input_Raw!$DA:$DA),"")</f>
        <v>0</v>
      </c>
      <c r="AA122" s="107">
        <f t="shared" si="9"/>
        <v>0</v>
      </c>
      <c r="AB122" s="105">
        <f>IFERROR(_xlfn.XLOOKUP($A122,Input_Raw!$A:$A,Input_Raw!$DG:$DG),"")</f>
        <v>0</v>
      </c>
      <c r="AC122" s="125">
        <f>IFERROR(_xlfn.XLOOKUP($D122,'Modelling New'!$D:$D,'Modelling New'!$J:$J),"")</f>
        <v>7.6000000000000005</v>
      </c>
      <c r="AD122" s="107">
        <f>IFERROR(_xlfn.XLOOKUP($D122,'Modelling New'!$D:$D,'Modelling New'!$T:$T)*1000,"")</f>
        <v>585797.81940673687</v>
      </c>
      <c r="AE122" s="124"/>
      <c r="AF122" s="124">
        <f>IFERROR(_xlfn.XLOOKUP($D122,'Modelling New'!$D:$D,'Modelling New'!$W:$W),"")</f>
        <v>0.31292618558052182</v>
      </c>
      <c r="AG122" s="124">
        <f>IFERROR(_xlfn.XLOOKUP($D122,'Modelling New'!$D:$D,'Modelling New'!$AE:$AE),"")</f>
        <v>0.96029999999999993</v>
      </c>
      <c r="AH122" s="124">
        <f>IFERROR(_xlfn.XLOOKUP($D122,'Modelling New'!$D:$D,'Modelling New'!$AF:$AF),"")</f>
        <v>0.995</v>
      </c>
      <c r="AI122" s="105">
        <f>IFERROR(_xlfn.XLOOKUP($A122,Input_Raw!$A:$A,Input_Raw!$DE:$DE),"")</f>
        <v>0</v>
      </c>
      <c r="AJ122" s="105"/>
      <c r="AK122" s="105"/>
      <c r="AL122" s="105"/>
      <c r="AM122" s="105"/>
      <c r="AN122" s="126">
        <f>IFERROR(_xlfn.XLOOKUP($A122,Input_Raw!$A:$A,Input_Raw!$DB:$DB),"")</f>
        <v>0</v>
      </c>
      <c r="AO122" s="124" t="str">
        <f>IFERROR((_xlfn.XLOOKUP($A122,'WTG Reactive Power'!$A:$A,'WTG Reactive Power'!$AR:$AR))/X122/1000,"")</f>
        <v/>
      </c>
      <c r="AP122" s="124">
        <f>IFERROR(_xlfn.XLOOKUP($D122,'Modelling New'!$D:$D,'Modelling New'!$AK:$AK),"")</f>
        <v>0.05</v>
      </c>
      <c r="AQ122" s="124">
        <f>IFERROR(_xlfn.XLOOKUP($D122,'Modelling New'!$D:$D,'Modelling New'!$AL:$AL),"")</f>
        <v>0.05</v>
      </c>
      <c r="AR122">
        <f>IFERROR(_xlfn.XLOOKUP($D122,'Modelling New'!$D:$D,'Modelling New'!$N:$N),"")</f>
        <v>78</v>
      </c>
    </row>
    <row r="123" spans="1:44">
      <c r="A123" s="118">
        <f t="shared" si="11"/>
        <v>45866</v>
      </c>
      <c r="B123" s="107">
        <f>YEAR(Table13[[#This Row],[Date]])+IF(MONTH(Table13[[#This Row],[Date]])&gt;=4,1,0)</f>
        <v>2026</v>
      </c>
      <c r="C123" s="105">
        <f>YEAR(Table13[[#This Row],[Date]])</f>
        <v>2025</v>
      </c>
      <c r="D123" s="119">
        <f>Table13[[#This Row],[Date]]-DAY(Table13[[#This Row],[Date]])+1</f>
        <v>45839</v>
      </c>
      <c r="E123" s="105">
        <f t="shared" si="8"/>
        <v>31</v>
      </c>
      <c r="F123" s="108"/>
      <c r="G123" s="109"/>
      <c r="H123" s="109"/>
      <c r="I123" s="109"/>
      <c r="J123" s="109"/>
      <c r="K123" s="120"/>
      <c r="L123" s="109"/>
      <c r="M123" s="109" t="str">
        <f>IFERROR(_xlfn.XLOOKUP($A123,Input_Raw!$A:$A,Input_Raw!CG:CG),"")</f>
        <v/>
      </c>
      <c r="N123" s="109">
        <f>IFERROR(_xlfn.XLOOKUP($A123,Input_Raw!$A:$A,Input_Raw!CH:CH),"")</f>
        <v>0</v>
      </c>
      <c r="O123" s="121" t="str">
        <f t="shared" si="10"/>
        <v/>
      </c>
      <c r="P123" s="121" t="str">
        <f>IFERROR(1-SUMIF(WTG_BD!$F:$F,$A123,WTG_BD!$AA:$AA)/($AA123+SUMIF(WTG_BD!$F:$F,$A123,WTG_BD!$AA:$AA)),"")</f>
        <v/>
      </c>
      <c r="Q123" s="122" t="str">
        <f>IFERROR(1-SUMIF(IGA_BD!$F:$F,$A123,IGA_BD!$V:$V)/($AA123+SUMIF(IGA_BD!$F:$F,$A123,IGA_BD!$V:$V)),"")</f>
        <v/>
      </c>
      <c r="R123" s="127" t="str">
        <f>IFERROR(1-SUMIF(Grid_BD!$F:$F,$A123,Grid_BD!$X:$X)/($AA123+SUMIF(Grid_BD!$F:$F,$A123,Grid_BD!$X:$X)),"")</f>
        <v/>
      </c>
      <c r="S123" s="105"/>
      <c r="T123" s="122"/>
      <c r="U123" s="123"/>
      <c r="V123" s="105"/>
      <c r="W123" s="124">
        <f>IFERROR(Table13[[#This Row],[Mtr_Net_Exp (KWh)]]/(24*AR123*1000),"")</f>
        <v>0</v>
      </c>
      <c r="X123" s="105">
        <f>IFERROR(_xlfn.XLOOKUP($A123,Input_Raw!$A:$A,Input_Raw!$CF:$CF),"")</f>
        <v>0</v>
      </c>
      <c r="Y123" s="105">
        <f>IFERROR(_xlfn.XLOOKUP($A123,Input_Raw!$A:$A,Input_Raw!$CZ:$CZ),"")</f>
        <v>0</v>
      </c>
      <c r="Z123" s="105">
        <f>IFERROR(_xlfn.XLOOKUP($A123,Input_Raw!$A:$A,Input_Raw!$DA:$DA),"")</f>
        <v>0</v>
      </c>
      <c r="AA123" s="107">
        <f t="shared" si="9"/>
        <v>0</v>
      </c>
      <c r="AB123" s="105">
        <f>IFERROR(_xlfn.XLOOKUP($A123,Input_Raw!$A:$A,Input_Raw!$DG:$DG),"")</f>
        <v>0</v>
      </c>
      <c r="AC123" s="125">
        <f>IFERROR(_xlfn.XLOOKUP($D123,'Modelling New'!$D:$D,'Modelling New'!$J:$J),"")</f>
        <v>7.6000000000000005</v>
      </c>
      <c r="AD123" s="107">
        <f>IFERROR(_xlfn.XLOOKUP($D123,'Modelling New'!$D:$D,'Modelling New'!$T:$T)*1000,"")</f>
        <v>585797.81940673687</v>
      </c>
      <c r="AE123" s="124"/>
      <c r="AF123" s="124">
        <f>IFERROR(_xlfn.XLOOKUP($D123,'Modelling New'!$D:$D,'Modelling New'!$W:$W),"")</f>
        <v>0.31292618558052182</v>
      </c>
      <c r="AG123" s="124">
        <f>IFERROR(_xlfn.XLOOKUP($D123,'Modelling New'!$D:$D,'Modelling New'!$AE:$AE),"")</f>
        <v>0.96029999999999993</v>
      </c>
      <c r="AH123" s="124">
        <f>IFERROR(_xlfn.XLOOKUP($D123,'Modelling New'!$D:$D,'Modelling New'!$AF:$AF),"")</f>
        <v>0.995</v>
      </c>
      <c r="AI123" s="105">
        <f>IFERROR(_xlfn.XLOOKUP($A123,Input_Raw!$A:$A,Input_Raw!$DE:$DE),"")</f>
        <v>0</v>
      </c>
      <c r="AJ123" s="105"/>
      <c r="AK123" s="105"/>
      <c r="AL123" s="105"/>
      <c r="AM123" s="105"/>
      <c r="AN123" s="126">
        <f>IFERROR(_xlfn.XLOOKUP($A123,Input_Raw!$A:$A,Input_Raw!$DB:$DB),"")</f>
        <v>0</v>
      </c>
      <c r="AO123" s="124" t="str">
        <f>IFERROR((_xlfn.XLOOKUP($A123,'WTG Reactive Power'!$A:$A,'WTG Reactive Power'!$AR:$AR))/X123/1000,"")</f>
        <v/>
      </c>
      <c r="AP123" s="124">
        <f>IFERROR(_xlfn.XLOOKUP($D123,'Modelling New'!$D:$D,'Modelling New'!$AK:$AK),"")</f>
        <v>0.05</v>
      </c>
      <c r="AQ123" s="124">
        <f>IFERROR(_xlfn.XLOOKUP($D123,'Modelling New'!$D:$D,'Modelling New'!$AL:$AL),"")</f>
        <v>0.05</v>
      </c>
      <c r="AR123">
        <f>IFERROR(_xlfn.XLOOKUP($D123,'Modelling New'!$D:$D,'Modelling New'!$N:$N),"")</f>
        <v>78</v>
      </c>
    </row>
    <row r="124" spans="1:44">
      <c r="A124" s="118">
        <f t="shared" si="11"/>
        <v>45867</v>
      </c>
      <c r="B124" s="107">
        <f>YEAR(Table13[[#This Row],[Date]])+IF(MONTH(Table13[[#This Row],[Date]])&gt;=4,1,0)</f>
        <v>2026</v>
      </c>
      <c r="C124" s="105">
        <f>YEAR(Table13[[#This Row],[Date]])</f>
        <v>2025</v>
      </c>
      <c r="D124" s="119">
        <f>Table13[[#This Row],[Date]]-DAY(Table13[[#This Row],[Date]])+1</f>
        <v>45839</v>
      </c>
      <c r="E124" s="105">
        <f t="shared" si="8"/>
        <v>31</v>
      </c>
      <c r="F124" s="108"/>
      <c r="G124" s="109"/>
      <c r="H124" s="109"/>
      <c r="I124" s="109"/>
      <c r="J124" s="109"/>
      <c r="K124" s="120"/>
      <c r="L124" s="109"/>
      <c r="M124" s="109" t="str">
        <f>IFERROR(_xlfn.XLOOKUP($A124,Input_Raw!$A:$A,Input_Raw!CG:CG),"")</f>
        <v/>
      </c>
      <c r="N124" s="109">
        <f>IFERROR(_xlfn.XLOOKUP($A124,Input_Raw!$A:$A,Input_Raw!CH:CH),"")</f>
        <v>0</v>
      </c>
      <c r="O124" s="121" t="str">
        <f t="shared" si="10"/>
        <v/>
      </c>
      <c r="P124" s="121" t="str">
        <f>IFERROR(1-SUMIF(WTG_BD!$F:$F,$A124,WTG_BD!$AA:$AA)/($AA124+SUMIF(WTG_BD!$F:$F,$A124,WTG_BD!$AA:$AA)),"")</f>
        <v/>
      </c>
      <c r="Q124" s="122" t="str">
        <f>IFERROR(1-SUMIF(IGA_BD!$F:$F,$A124,IGA_BD!$V:$V)/($AA124+SUMIF(IGA_BD!$F:$F,$A124,IGA_BD!$V:$V)),"")</f>
        <v/>
      </c>
      <c r="R124" s="127" t="str">
        <f>IFERROR(1-SUMIF(Grid_BD!$F:$F,$A124,Grid_BD!$X:$X)/($AA124+SUMIF(Grid_BD!$F:$F,$A124,Grid_BD!$X:$X)),"")</f>
        <v/>
      </c>
      <c r="S124" s="105"/>
      <c r="T124" s="122"/>
      <c r="U124" s="123"/>
      <c r="V124" s="105"/>
      <c r="W124" s="124">
        <f>IFERROR(Table13[[#This Row],[Mtr_Net_Exp (KWh)]]/(24*AR124*1000),"")</f>
        <v>0</v>
      </c>
      <c r="X124" s="105">
        <f>IFERROR(_xlfn.XLOOKUP($A124,Input_Raw!$A:$A,Input_Raw!$CF:$CF),"")</f>
        <v>0</v>
      </c>
      <c r="Y124" s="105">
        <f>IFERROR(_xlfn.XLOOKUP($A124,Input_Raw!$A:$A,Input_Raw!$CZ:$CZ),"")</f>
        <v>0</v>
      </c>
      <c r="Z124" s="105">
        <f>IFERROR(_xlfn.XLOOKUP($A124,Input_Raw!$A:$A,Input_Raw!$DA:$DA),"")</f>
        <v>0</v>
      </c>
      <c r="AA124" s="107">
        <f t="shared" si="9"/>
        <v>0</v>
      </c>
      <c r="AB124" s="105">
        <f>IFERROR(_xlfn.XLOOKUP($A124,Input_Raw!$A:$A,Input_Raw!$DG:$DG),"")</f>
        <v>0</v>
      </c>
      <c r="AC124" s="125">
        <f>IFERROR(_xlfn.XLOOKUP($D124,'Modelling New'!$D:$D,'Modelling New'!$J:$J),"")</f>
        <v>7.6000000000000005</v>
      </c>
      <c r="AD124" s="107">
        <f>IFERROR(_xlfn.XLOOKUP($D124,'Modelling New'!$D:$D,'Modelling New'!$T:$T)*1000,"")</f>
        <v>585797.81940673687</v>
      </c>
      <c r="AE124" s="124"/>
      <c r="AF124" s="124">
        <f>IFERROR(_xlfn.XLOOKUP($D124,'Modelling New'!$D:$D,'Modelling New'!$W:$W),"")</f>
        <v>0.31292618558052182</v>
      </c>
      <c r="AG124" s="124">
        <f>IFERROR(_xlfn.XLOOKUP($D124,'Modelling New'!$D:$D,'Modelling New'!$AE:$AE),"")</f>
        <v>0.96029999999999993</v>
      </c>
      <c r="AH124" s="124">
        <f>IFERROR(_xlfn.XLOOKUP($D124,'Modelling New'!$D:$D,'Modelling New'!$AF:$AF),"")</f>
        <v>0.995</v>
      </c>
      <c r="AI124" s="105">
        <f>IFERROR(_xlfn.XLOOKUP($A124,Input_Raw!$A:$A,Input_Raw!$DE:$DE),"")</f>
        <v>0</v>
      </c>
      <c r="AJ124" s="105"/>
      <c r="AK124" s="105"/>
      <c r="AL124" s="105"/>
      <c r="AM124" s="105"/>
      <c r="AN124" s="126">
        <f>IFERROR(_xlfn.XLOOKUP($A124,Input_Raw!$A:$A,Input_Raw!$DB:$DB),"")</f>
        <v>0</v>
      </c>
      <c r="AO124" s="124" t="str">
        <f>IFERROR((_xlfn.XLOOKUP($A124,'WTG Reactive Power'!$A:$A,'WTG Reactive Power'!$AR:$AR))/X124/1000,"")</f>
        <v/>
      </c>
      <c r="AP124" s="124">
        <f>IFERROR(_xlfn.XLOOKUP($D124,'Modelling New'!$D:$D,'Modelling New'!$AK:$AK),"")</f>
        <v>0.05</v>
      </c>
      <c r="AQ124" s="124">
        <f>IFERROR(_xlfn.XLOOKUP($D124,'Modelling New'!$D:$D,'Modelling New'!$AL:$AL),"")</f>
        <v>0.05</v>
      </c>
      <c r="AR124">
        <f>IFERROR(_xlfn.XLOOKUP($D124,'Modelling New'!$D:$D,'Modelling New'!$N:$N),"")</f>
        <v>78</v>
      </c>
    </row>
    <row r="125" spans="1:44">
      <c r="A125" s="118">
        <f t="shared" si="11"/>
        <v>45868</v>
      </c>
      <c r="B125" s="107">
        <f>YEAR(Table13[[#This Row],[Date]])+IF(MONTH(Table13[[#This Row],[Date]])&gt;=4,1,0)</f>
        <v>2026</v>
      </c>
      <c r="C125" s="105">
        <f>YEAR(Table13[[#This Row],[Date]])</f>
        <v>2025</v>
      </c>
      <c r="D125" s="119">
        <f>Table13[[#This Row],[Date]]-DAY(Table13[[#This Row],[Date]])+1</f>
        <v>45839</v>
      </c>
      <c r="E125" s="105">
        <f t="shared" si="8"/>
        <v>31</v>
      </c>
      <c r="F125" s="108"/>
      <c r="G125" s="109"/>
      <c r="H125" s="109"/>
      <c r="I125" s="109"/>
      <c r="J125" s="109"/>
      <c r="K125" s="120"/>
      <c r="L125" s="109"/>
      <c r="M125" s="109" t="str">
        <f>IFERROR(_xlfn.XLOOKUP($A125,Input_Raw!$A:$A,Input_Raw!CG:CG),"")</f>
        <v/>
      </c>
      <c r="N125" s="109">
        <f>IFERROR(_xlfn.XLOOKUP($A125,Input_Raw!$A:$A,Input_Raw!CH:CH),"")</f>
        <v>0</v>
      </c>
      <c r="O125" s="121" t="str">
        <f t="shared" si="10"/>
        <v/>
      </c>
      <c r="P125" s="121" t="str">
        <f>IFERROR(1-SUMIF(WTG_BD!$F:$F,$A125,WTG_BD!$AA:$AA)/($AA125+SUMIF(WTG_BD!$F:$F,$A125,WTG_BD!$AA:$AA)),"")</f>
        <v/>
      </c>
      <c r="Q125" s="122" t="str">
        <f>IFERROR(1-SUMIF(IGA_BD!$F:$F,$A125,IGA_BD!$V:$V)/($AA125+SUMIF(IGA_BD!$F:$F,$A125,IGA_BD!$V:$V)),"")</f>
        <v/>
      </c>
      <c r="R125" s="127" t="str">
        <f>IFERROR(1-SUMIF(Grid_BD!$F:$F,$A125,Grid_BD!$X:$X)/($AA125+SUMIF(Grid_BD!$F:$F,$A125,Grid_BD!$X:$X)),"")</f>
        <v/>
      </c>
      <c r="S125" s="105"/>
      <c r="T125" s="122"/>
      <c r="U125" s="123"/>
      <c r="V125" s="105"/>
      <c r="W125" s="124">
        <f>IFERROR(Table13[[#This Row],[Mtr_Net_Exp (KWh)]]/(24*AR125*1000),"")</f>
        <v>0</v>
      </c>
      <c r="X125" s="105">
        <f>IFERROR(_xlfn.XLOOKUP($A125,Input_Raw!$A:$A,Input_Raw!$CF:$CF),"")</f>
        <v>0</v>
      </c>
      <c r="Y125" s="105">
        <f>IFERROR(_xlfn.XLOOKUP($A125,Input_Raw!$A:$A,Input_Raw!$CZ:$CZ),"")</f>
        <v>0</v>
      </c>
      <c r="Z125" s="105">
        <f>IFERROR(_xlfn.XLOOKUP($A125,Input_Raw!$A:$A,Input_Raw!$DA:$DA),"")</f>
        <v>0</v>
      </c>
      <c r="AA125" s="107">
        <f t="shared" si="9"/>
        <v>0</v>
      </c>
      <c r="AB125" s="105">
        <f>IFERROR(_xlfn.XLOOKUP($A125,Input_Raw!$A:$A,Input_Raw!$DG:$DG),"")</f>
        <v>0</v>
      </c>
      <c r="AC125" s="125">
        <f>IFERROR(_xlfn.XLOOKUP($D125,'Modelling New'!$D:$D,'Modelling New'!$J:$J),"")</f>
        <v>7.6000000000000005</v>
      </c>
      <c r="AD125" s="107">
        <f>IFERROR(_xlfn.XLOOKUP($D125,'Modelling New'!$D:$D,'Modelling New'!$T:$T)*1000,"")</f>
        <v>585797.81940673687</v>
      </c>
      <c r="AE125" s="124"/>
      <c r="AF125" s="124">
        <f>IFERROR(_xlfn.XLOOKUP($D125,'Modelling New'!$D:$D,'Modelling New'!$W:$W),"")</f>
        <v>0.31292618558052182</v>
      </c>
      <c r="AG125" s="124">
        <f>IFERROR(_xlfn.XLOOKUP($D125,'Modelling New'!$D:$D,'Modelling New'!$AE:$AE),"")</f>
        <v>0.96029999999999993</v>
      </c>
      <c r="AH125" s="124">
        <f>IFERROR(_xlfn.XLOOKUP($D125,'Modelling New'!$D:$D,'Modelling New'!$AF:$AF),"")</f>
        <v>0.995</v>
      </c>
      <c r="AI125" s="105">
        <f>IFERROR(_xlfn.XLOOKUP($A125,Input_Raw!$A:$A,Input_Raw!$DE:$DE),"")</f>
        <v>0</v>
      </c>
      <c r="AJ125" s="105"/>
      <c r="AK125" s="105"/>
      <c r="AL125" s="105"/>
      <c r="AM125" s="105"/>
      <c r="AN125" s="126">
        <f>IFERROR(_xlfn.XLOOKUP($A125,Input_Raw!$A:$A,Input_Raw!$DB:$DB),"")</f>
        <v>0</v>
      </c>
      <c r="AO125" s="124" t="str">
        <f>IFERROR((_xlfn.XLOOKUP($A125,'WTG Reactive Power'!$A:$A,'WTG Reactive Power'!$AR:$AR))/X125/1000,"")</f>
        <v/>
      </c>
      <c r="AP125" s="124">
        <f>IFERROR(_xlfn.XLOOKUP($D125,'Modelling New'!$D:$D,'Modelling New'!$AK:$AK),"")</f>
        <v>0.05</v>
      </c>
      <c r="AQ125" s="124">
        <f>IFERROR(_xlfn.XLOOKUP($D125,'Modelling New'!$D:$D,'Modelling New'!$AL:$AL),"")</f>
        <v>0.05</v>
      </c>
      <c r="AR125">
        <f>IFERROR(_xlfn.XLOOKUP($D125,'Modelling New'!$D:$D,'Modelling New'!$N:$N),"")</f>
        <v>78</v>
      </c>
    </row>
    <row r="126" spans="1:44">
      <c r="A126" s="118">
        <f t="shared" si="11"/>
        <v>45869</v>
      </c>
      <c r="B126" s="107">
        <f>YEAR(Table13[[#This Row],[Date]])+IF(MONTH(Table13[[#This Row],[Date]])&gt;=4,1,0)</f>
        <v>2026</v>
      </c>
      <c r="C126" s="105">
        <f>YEAR(Table13[[#This Row],[Date]])</f>
        <v>2025</v>
      </c>
      <c r="D126" s="119">
        <f>Table13[[#This Row],[Date]]-DAY(Table13[[#This Row],[Date]])+1</f>
        <v>45839</v>
      </c>
      <c r="E126" s="105">
        <f t="shared" si="8"/>
        <v>31</v>
      </c>
      <c r="F126" s="108"/>
      <c r="G126" s="109"/>
      <c r="H126" s="109"/>
      <c r="I126" s="109"/>
      <c r="J126" s="109"/>
      <c r="K126" s="120"/>
      <c r="L126" s="109"/>
      <c r="M126" s="109" t="str">
        <f>IFERROR(_xlfn.XLOOKUP($A126,Input_Raw!$A:$A,Input_Raw!CG:CG),"")</f>
        <v/>
      </c>
      <c r="N126" s="109">
        <f>IFERROR(_xlfn.XLOOKUP($A126,Input_Raw!$A:$A,Input_Raw!CH:CH),"")</f>
        <v>0</v>
      </c>
      <c r="O126" s="121" t="str">
        <f t="shared" si="10"/>
        <v/>
      </c>
      <c r="P126" s="121" t="str">
        <f>IFERROR(1-SUMIF(WTG_BD!$F:$F,$A126,WTG_BD!$AA:$AA)/($AA126+SUMIF(WTG_BD!$F:$F,$A126,WTG_BD!$AA:$AA)),"")</f>
        <v/>
      </c>
      <c r="Q126" s="122" t="str">
        <f>IFERROR(1-SUMIF(IGA_BD!$F:$F,$A126,IGA_BD!$V:$V)/($AA126+SUMIF(IGA_BD!$F:$F,$A126,IGA_BD!$V:$V)),"")</f>
        <v/>
      </c>
      <c r="R126" s="127" t="str">
        <f>IFERROR(1-SUMIF(Grid_BD!$F:$F,$A126,Grid_BD!$X:$X)/($AA126+SUMIF(Grid_BD!$F:$F,$A126,Grid_BD!$X:$X)),"")</f>
        <v/>
      </c>
      <c r="S126" s="105"/>
      <c r="T126" s="122"/>
      <c r="U126" s="123"/>
      <c r="V126" s="105"/>
      <c r="W126" s="124">
        <f>IFERROR(Table13[[#This Row],[Mtr_Net_Exp (KWh)]]/(24*AR126*1000),"")</f>
        <v>0</v>
      </c>
      <c r="X126" s="105">
        <f>IFERROR(_xlfn.XLOOKUP($A126,Input_Raw!$A:$A,Input_Raw!$CF:$CF),"")</f>
        <v>0</v>
      </c>
      <c r="Y126" s="105">
        <f>IFERROR(_xlfn.XLOOKUP($A126,Input_Raw!$A:$A,Input_Raw!$CZ:$CZ),"")</f>
        <v>0</v>
      </c>
      <c r="Z126" s="105">
        <f>IFERROR(_xlfn.XLOOKUP($A126,Input_Raw!$A:$A,Input_Raw!$DA:$DA),"")</f>
        <v>0</v>
      </c>
      <c r="AA126" s="107">
        <f t="shared" si="9"/>
        <v>0</v>
      </c>
      <c r="AB126" s="105">
        <f>IFERROR(_xlfn.XLOOKUP($A126,Input_Raw!$A:$A,Input_Raw!$DG:$DG),"")</f>
        <v>0</v>
      </c>
      <c r="AC126" s="125">
        <f>IFERROR(_xlfn.XLOOKUP($D126,'Modelling New'!$D:$D,'Modelling New'!$J:$J),"")</f>
        <v>7.6000000000000005</v>
      </c>
      <c r="AD126" s="107">
        <f>IFERROR(_xlfn.XLOOKUP($D126,'Modelling New'!$D:$D,'Modelling New'!$T:$T)*1000,"")</f>
        <v>585797.81940673687</v>
      </c>
      <c r="AE126" s="124"/>
      <c r="AF126" s="124">
        <f>IFERROR(_xlfn.XLOOKUP($D126,'Modelling New'!$D:$D,'Modelling New'!$W:$W),"")</f>
        <v>0.31292618558052182</v>
      </c>
      <c r="AG126" s="124">
        <f>IFERROR(_xlfn.XLOOKUP($D126,'Modelling New'!$D:$D,'Modelling New'!$AE:$AE),"")</f>
        <v>0.96029999999999993</v>
      </c>
      <c r="AH126" s="124">
        <f>IFERROR(_xlfn.XLOOKUP($D126,'Modelling New'!$D:$D,'Modelling New'!$AF:$AF),"")</f>
        <v>0.995</v>
      </c>
      <c r="AI126" s="105">
        <f>IFERROR(_xlfn.XLOOKUP($A126,Input_Raw!$A:$A,Input_Raw!$DE:$DE),"")</f>
        <v>0</v>
      </c>
      <c r="AJ126" s="105"/>
      <c r="AK126" s="105"/>
      <c r="AL126" s="105"/>
      <c r="AM126" s="105"/>
      <c r="AN126" s="126">
        <f>IFERROR(_xlfn.XLOOKUP($A126,Input_Raw!$A:$A,Input_Raw!$DB:$DB),"")</f>
        <v>0</v>
      </c>
      <c r="AO126" s="124" t="str">
        <f>IFERROR((_xlfn.XLOOKUP($A126,'WTG Reactive Power'!$A:$A,'WTG Reactive Power'!$AR:$AR))/X126/1000,"")</f>
        <v/>
      </c>
      <c r="AP126" s="124">
        <f>IFERROR(_xlfn.XLOOKUP($D126,'Modelling New'!$D:$D,'Modelling New'!$AK:$AK),"")</f>
        <v>0.05</v>
      </c>
      <c r="AQ126" s="124">
        <f>IFERROR(_xlfn.XLOOKUP($D126,'Modelling New'!$D:$D,'Modelling New'!$AL:$AL),"")</f>
        <v>0.05</v>
      </c>
      <c r="AR126">
        <f>IFERROR(_xlfn.XLOOKUP($D126,'Modelling New'!$D:$D,'Modelling New'!$N:$N),"")</f>
        <v>78</v>
      </c>
    </row>
    <row r="127" spans="1:44">
      <c r="A127" s="118">
        <f t="shared" si="11"/>
        <v>45870</v>
      </c>
      <c r="B127" s="107">
        <f>YEAR(Table13[[#This Row],[Date]])+IF(MONTH(Table13[[#This Row],[Date]])&gt;=4,1,0)</f>
        <v>2026</v>
      </c>
      <c r="C127" s="105">
        <f>YEAR(Table13[[#This Row],[Date]])</f>
        <v>2025</v>
      </c>
      <c r="D127" s="119">
        <f>Table13[[#This Row],[Date]]-DAY(Table13[[#This Row],[Date]])+1</f>
        <v>45870</v>
      </c>
      <c r="E127" s="105">
        <f t="shared" si="8"/>
        <v>31</v>
      </c>
      <c r="F127" s="108"/>
      <c r="G127" s="109"/>
      <c r="H127" s="109"/>
      <c r="I127" s="109"/>
      <c r="J127" s="109"/>
      <c r="K127" s="120"/>
      <c r="L127" s="109"/>
      <c r="M127" s="109" t="str">
        <f>IFERROR(_xlfn.XLOOKUP($A127,Input_Raw!$A:$A,Input_Raw!CG:CG),"")</f>
        <v/>
      </c>
      <c r="N127" s="109">
        <f>IFERROR(_xlfn.XLOOKUP($A127,Input_Raw!$A:$A,Input_Raw!CH:CH),"")</f>
        <v>0</v>
      </c>
      <c r="O127" s="121" t="str">
        <f t="shared" si="10"/>
        <v/>
      </c>
      <c r="P127" s="121" t="str">
        <f>IFERROR(1-SUMIF(WTG_BD!$F:$F,$A127,WTG_BD!$AA:$AA)/($AA127+SUMIF(WTG_BD!$F:$F,$A127,WTG_BD!$AA:$AA)),"")</f>
        <v/>
      </c>
      <c r="Q127" s="122" t="str">
        <f>IFERROR(1-SUMIF(IGA_BD!$F:$F,$A127,IGA_BD!$V:$V)/($AA127+SUMIF(IGA_BD!$F:$F,$A127,IGA_BD!$V:$V)),"")</f>
        <v/>
      </c>
      <c r="R127" s="127" t="str">
        <f>IFERROR(1-SUMIF(Grid_BD!$F:$F,$A127,Grid_BD!$X:$X)/($AA127+SUMIF(Grid_BD!$F:$F,$A127,Grid_BD!$X:$X)),"")</f>
        <v/>
      </c>
      <c r="S127" s="105"/>
      <c r="T127" s="122"/>
      <c r="U127" s="123"/>
      <c r="V127" s="105"/>
      <c r="W127" s="124">
        <f>IFERROR(Table13[[#This Row],[Mtr_Net_Exp (KWh)]]/(24*AR127*1000),"")</f>
        <v>0</v>
      </c>
      <c r="X127" s="105">
        <f>IFERROR(_xlfn.XLOOKUP($A127,Input_Raw!$A:$A,Input_Raw!$CF:$CF),"")</f>
        <v>0</v>
      </c>
      <c r="Y127" s="105">
        <f>IFERROR(_xlfn.XLOOKUP($A127,Input_Raw!$A:$A,Input_Raw!$CZ:$CZ),"")</f>
        <v>0</v>
      </c>
      <c r="Z127" s="105">
        <f>IFERROR(_xlfn.XLOOKUP($A127,Input_Raw!$A:$A,Input_Raw!$DA:$DA),"")</f>
        <v>0</v>
      </c>
      <c r="AA127" s="107">
        <f t="shared" si="9"/>
        <v>0</v>
      </c>
      <c r="AB127" s="105">
        <f>IFERROR(_xlfn.XLOOKUP($A127,Input_Raw!$A:$A,Input_Raw!$DG:$DG),"")</f>
        <v>0</v>
      </c>
      <c r="AC127" s="125">
        <f>IFERROR(_xlfn.XLOOKUP($D127,'Modelling New'!$D:$D,'Modelling New'!$J:$J),"")</f>
        <v>6.8666666666666671</v>
      </c>
      <c r="AD127" s="107">
        <f>IFERROR(_xlfn.XLOOKUP($D127,'Modelling New'!$D:$D,'Modelling New'!$T:$T)*1000,"")</f>
        <v>616013.63346204848</v>
      </c>
      <c r="AE127" s="124"/>
      <c r="AF127" s="124">
        <f>IFERROR(_xlfn.XLOOKUP($D127,'Modelling New'!$D:$D,'Modelling New'!$W:$W),"")</f>
        <v>0.3290671118921199</v>
      </c>
      <c r="AG127" s="124">
        <f>IFERROR(_xlfn.XLOOKUP($D127,'Modelling New'!$D:$D,'Modelling New'!$AE:$AE),"")</f>
        <v>0.96029999999999993</v>
      </c>
      <c r="AH127" s="124">
        <f>IFERROR(_xlfn.XLOOKUP($D127,'Modelling New'!$D:$D,'Modelling New'!$AF:$AF),"")</f>
        <v>0.995</v>
      </c>
      <c r="AI127" s="105">
        <f>IFERROR(_xlfn.XLOOKUP($A127,Input_Raw!$A:$A,Input_Raw!$DE:$DE),"")</f>
        <v>0</v>
      </c>
      <c r="AJ127" s="105"/>
      <c r="AK127" s="105"/>
      <c r="AL127" s="105"/>
      <c r="AM127" s="105"/>
      <c r="AN127" s="126">
        <f>IFERROR(_xlfn.XLOOKUP($A127,Input_Raw!$A:$A,Input_Raw!$DB:$DB),"")</f>
        <v>0</v>
      </c>
      <c r="AO127" s="124" t="str">
        <f>IFERROR((_xlfn.XLOOKUP($A127,'WTG Reactive Power'!$A:$A,'WTG Reactive Power'!$AR:$AR))/X127/1000,"")</f>
        <v/>
      </c>
      <c r="AP127" s="124">
        <f>IFERROR(_xlfn.XLOOKUP($D127,'Modelling New'!$D:$D,'Modelling New'!$AK:$AK),"")</f>
        <v>0.05</v>
      </c>
      <c r="AQ127" s="124">
        <f>IFERROR(_xlfn.XLOOKUP($D127,'Modelling New'!$D:$D,'Modelling New'!$AL:$AL),"")</f>
        <v>0.05</v>
      </c>
      <c r="AR127">
        <f>IFERROR(_xlfn.XLOOKUP($D127,'Modelling New'!$D:$D,'Modelling New'!$N:$N),"")</f>
        <v>78</v>
      </c>
    </row>
    <row r="128" spans="1:44">
      <c r="A128" s="118">
        <f t="shared" si="11"/>
        <v>45871</v>
      </c>
      <c r="B128" s="107">
        <f>YEAR(Table13[[#This Row],[Date]])+IF(MONTH(Table13[[#This Row],[Date]])&gt;=4,1,0)</f>
        <v>2026</v>
      </c>
      <c r="C128" s="105">
        <f>YEAR(Table13[[#This Row],[Date]])</f>
        <v>2025</v>
      </c>
      <c r="D128" s="119">
        <f>Table13[[#This Row],[Date]]-DAY(Table13[[#This Row],[Date]])+1</f>
        <v>45870</v>
      </c>
      <c r="E128" s="105">
        <f t="shared" si="8"/>
        <v>31</v>
      </c>
      <c r="F128" s="108"/>
      <c r="G128" s="109"/>
      <c r="H128" s="109"/>
      <c r="I128" s="109"/>
      <c r="J128" s="109"/>
      <c r="K128" s="120"/>
      <c r="L128" s="109"/>
      <c r="M128" s="109" t="str">
        <f>IFERROR(_xlfn.XLOOKUP($A128,Input_Raw!$A:$A,Input_Raw!CG:CG),"")</f>
        <v/>
      </c>
      <c r="N128" s="109">
        <f>IFERROR(_xlfn.XLOOKUP($A128,Input_Raw!$A:$A,Input_Raw!CH:CH),"")</f>
        <v>0</v>
      </c>
      <c r="O128" s="121" t="str">
        <f t="shared" si="10"/>
        <v/>
      </c>
      <c r="P128" s="121" t="str">
        <f>IFERROR(1-SUMIF(WTG_BD!$F:$F,$A128,WTG_BD!$AA:$AA)/($AA128+SUMIF(WTG_BD!$F:$F,$A128,WTG_BD!$AA:$AA)),"")</f>
        <v/>
      </c>
      <c r="Q128" s="122" t="str">
        <f>IFERROR(1-SUMIF(IGA_BD!$F:$F,$A128,IGA_BD!$V:$V)/($AA128+SUMIF(IGA_BD!$F:$F,$A128,IGA_BD!$V:$V)),"")</f>
        <v/>
      </c>
      <c r="R128" s="127" t="str">
        <f>IFERROR(1-SUMIF(Grid_BD!$F:$F,$A128,Grid_BD!$X:$X)/($AA128+SUMIF(Grid_BD!$F:$F,$A128,Grid_BD!$X:$X)),"")</f>
        <v/>
      </c>
      <c r="S128" s="105"/>
      <c r="T128" s="122"/>
      <c r="U128" s="123"/>
      <c r="V128" s="105"/>
      <c r="W128" s="124">
        <f>IFERROR(Table13[[#This Row],[Mtr_Net_Exp (KWh)]]/(24*AR128*1000),"")</f>
        <v>0</v>
      </c>
      <c r="X128" s="105">
        <f>IFERROR(_xlfn.XLOOKUP($A128,Input_Raw!$A:$A,Input_Raw!$CF:$CF),"")</f>
        <v>0</v>
      </c>
      <c r="Y128" s="105">
        <f>IFERROR(_xlfn.XLOOKUP($A128,Input_Raw!$A:$A,Input_Raw!$CZ:$CZ),"")</f>
        <v>0</v>
      </c>
      <c r="Z128" s="105">
        <f>IFERROR(_xlfn.XLOOKUP($A128,Input_Raw!$A:$A,Input_Raw!$DA:$DA),"")</f>
        <v>0</v>
      </c>
      <c r="AA128" s="107">
        <f t="shared" si="9"/>
        <v>0</v>
      </c>
      <c r="AB128" s="105">
        <f>IFERROR(_xlfn.XLOOKUP($A128,Input_Raw!$A:$A,Input_Raw!$DG:$DG),"")</f>
        <v>0</v>
      </c>
      <c r="AC128" s="125">
        <f>IFERROR(_xlfn.XLOOKUP($D128,'Modelling New'!$D:$D,'Modelling New'!$J:$J),"")</f>
        <v>6.8666666666666671</v>
      </c>
      <c r="AD128" s="107">
        <f>IFERROR(_xlfn.XLOOKUP($D128,'Modelling New'!$D:$D,'Modelling New'!$T:$T)*1000,"")</f>
        <v>616013.63346204848</v>
      </c>
      <c r="AE128" s="124"/>
      <c r="AF128" s="124">
        <f>IFERROR(_xlfn.XLOOKUP($D128,'Modelling New'!$D:$D,'Modelling New'!$W:$W),"")</f>
        <v>0.3290671118921199</v>
      </c>
      <c r="AG128" s="124">
        <f>IFERROR(_xlfn.XLOOKUP($D128,'Modelling New'!$D:$D,'Modelling New'!$AE:$AE),"")</f>
        <v>0.96029999999999993</v>
      </c>
      <c r="AH128" s="124">
        <f>IFERROR(_xlfn.XLOOKUP($D128,'Modelling New'!$D:$D,'Modelling New'!$AF:$AF),"")</f>
        <v>0.995</v>
      </c>
      <c r="AI128" s="105">
        <f>IFERROR(_xlfn.XLOOKUP($A128,Input_Raw!$A:$A,Input_Raw!$DE:$DE),"")</f>
        <v>0</v>
      </c>
      <c r="AJ128" s="105"/>
      <c r="AK128" s="105"/>
      <c r="AL128" s="105"/>
      <c r="AM128" s="105"/>
      <c r="AN128" s="126">
        <f>IFERROR(_xlfn.XLOOKUP($A128,Input_Raw!$A:$A,Input_Raw!$DB:$DB),"")</f>
        <v>0</v>
      </c>
      <c r="AO128" s="124" t="str">
        <f>IFERROR((_xlfn.XLOOKUP($A128,'WTG Reactive Power'!$A:$A,'WTG Reactive Power'!$AR:$AR))/X128/1000,"")</f>
        <v/>
      </c>
      <c r="AP128" s="124">
        <f>IFERROR(_xlfn.XLOOKUP($D128,'Modelling New'!$D:$D,'Modelling New'!$AK:$AK),"")</f>
        <v>0.05</v>
      </c>
      <c r="AQ128" s="124">
        <f>IFERROR(_xlfn.XLOOKUP($D128,'Modelling New'!$D:$D,'Modelling New'!$AL:$AL),"")</f>
        <v>0.05</v>
      </c>
      <c r="AR128">
        <f>IFERROR(_xlfn.XLOOKUP($D128,'Modelling New'!$D:$D,'Modelling New'!$N:$N),"")</f>
        <v>78</v>
      </c>
    </row>
    <row r="129" spans="1:44">
      <c r="A129" s="118">
        <f t="shared" si="11"/>
        <v>45872</v>
      </c>
      <c r="B129" s="107">
        <f>YEAR(Table13[[#This Row],[Date]])+IF(MONTH(Table13[[#This Row],[Date]])&gt;=4,1,0)</f>
        <v>2026</v>
      </c>
      <c r="C129" s="105">
        <f>YEAR(Table13[[#This Row],[Date]])</f>
        <v>2025</v>
      </c>
      <c r="D129" s="119">
        <f>Table13[[#This Row],[Date]]-DAY(Table13[[#This Row],[Date]])+1</f>
        <v>45870</v>
      </c>
      <c r="E129" s="105">
        <f t="shared" si="8"/>
        <v>31</v>
      </c>
      <c r="F129" s="108"/>
      <c r="G129" s="109"/>
      <c r="H129" s="109"/>
      <c r="I129" s="109"/>
      <c r="J129" s="109"/>
      <c r="K129" s="120"/>
      <c r="L129" s="109"/>
      <c r="M129" s="109" t="str">
        <f>IFERROR(_xlfn.XLOOKUP($A129,Input_Raw!$A:$A,Input_Raw!CG:CG),"")</f>
        <v/>
      </c>
      <c r="N129" s="109">
        <f>IFERROR(_xlfn.XLOOKUP($A129,Input_Raw!$A:$A,Input_Raw!CH:CH),"")</f>
        <v>0</v>
      </c>
      <c r="O129" s="121" t="str">
        <f t="shared" si="10"/>
        <v/>
      </c>
      <c r="P129" s="121" t="str">
        <f>IFERROR(1-SUMIF(WTG_BD!$F:$F,$A129,WTG_BD!$AA:$AA)/($AA129+SUMIF(WTG_BD!$F:$F,$A129,WTG_BD!$AA:$AA)),"")</f>
        <v/>
      </c>
      <c r="Q129" s="122" t="str">
        <f>IFERROR(1-SUMIF(IGA_BD!$F:$F,$A129,IGA_BD!$V:$V)/($AA129+SUMIF(IGA_BD!$F:$F,$A129,IGA_BD!$V:$V)),"")</f>
        <v/>
      </c>
      <c r="R129" s="127" t="str">
        <f>IFERROR(1-SUMIF(Grid_BD!$F:$F,$A129,Grid_BD!$X:$X)/($AA129+SUMIF(Grid_BD!$F:$F,$A129,Grid_BD!$X:$X)),"")</f>
        <v/>
      </c>
      <c r="S129" s="105"/>
      <c r="T129" s="122"/>
      <c r="U129" s="123"/>
      <c r="V129" s="105"/>
      <c r="W129" s="124">
        <f>IFERROR(Table13[[#This Row],[Mtr_Net_Exp (KWh)]]/(24*AR129*1000),"")</f>
        <v>0</v>
      </c>
      <c r="X129" s="105">
        <f>IFERROR(_xlfn.XLOOKUP($A129,Input_Raw!$A:$A,Input_Raw!$CF:$CF),"")</f>
        <v>0</v>
      </c>
      <c r="Y129" s="105">
        <f>IFERROR(_xlfn.XLOOKUP($A129,Input_Raw!$A:$A,Input_Raw!$CZ:$CZ),"")</f>
        <v>0</v>
      </c>
      <c r="Z129" s="105">
        <f>IFERROR(_xlfn.XLOOKUP($A129,Input_Raw!$A:$A,Input_Raw!$DA:$DA),"")</f>
        <v>0</v>
      </c>
      <c r="AA129" s="107">
        <f t="shared" si="9"/>
        <v>0</v>
      </c>
      <c r="AB129" s="105">
        <f>IFERROR(_xlfn.XLOOKUP($A129,Input_Raw!$A:$A,Input_Raw!$DG:$DG),"")</f>
        <v>0</v>
      </c>
      <c r="AC129" s="125">
        <f>IFERROR(_xlfn.XLOOKUP($D129,'Modelling New'!$D:$D,'Modelling New'!$J:$J),"")</f>
        <v>6.8666666666666671</v>
      </c>
      <c r="AD129" s="107">
        <f>IFERROR(_xlfn.XLOOKUP($D129,'Modelling New'!$D:$D,'Modelling New'!$T:$T)*1000,"")</f>
        <v>616013.63346204848</v>
      </c>
      <c r="AE129" s="124"/>
      <c r="AF129" s="124">
        <f>IFERROR(_xlfn.XLOOKUP($D129,'Modelling New'!$D:$D,'Modelling New'!$W:$W),"")</f>
        <v>0.3290671118921199</v>
      </c>
      <c r="AG129" s="124">
        <f>IFERROR(_xlfn.XLOOKUP($D129,'Modelling New'!$D:$D,'Modelling New'!$AE:$AE),"")</f>
        <v>0.96029999999999993</v>
      </c>
      <c r="AH129" s="124">
        <f>IFERROR(_xlfn.XLOOKUP($D129,'Modelling New'!$D:$D,'Modelling New'!$AF:$AF),"")</f>
        <v>0.995</v>
      </c>
      <c r="AI129" s="105">
        <f>IFERROR(_xlfn.XLOOKUP($A129,Input_Raw!$A:$A,Input_Raw!$DE:$DE),"")</f>
        <v>0</v>
      </c>
      <c r="AJ129" s="105"/>
      <c r="AK129" s="105"/>
      <c r="AL129" s="105"/>
      <c r="AM129" s="105"/>
      <c r="AN129" s="126">
        <f>IFERROR(_xlfn.XLOOKUP($A129,Input_Raw!$A:$A,Input_Raw!$DB:$DB),"")</f>
        <v>0</v>
      </c>
      <c r="AO129" s="124" t="str">
        <f>IFERROR((_xlfn.XLOOKUP($A129,'WTG Reactive Power'!$A:$A,'WTG Reactive Power'!$AR:$AR))/X129/1000,"")</f>
        <v/>
      </c>
      <c r="AP129" s="124">
        <f>IFERROR(_xlfn.XLOOKUP($D129,'Modelling New'!$D:$D,'Modelling New'!$AK:$AK),"")</f>
        <v>0.05</v>
      </c>
      <c r="AQ129" s="124">
        <f>IFERROR(_xlfn.XLOOKUP($D129,'Modelling New'!$D:$D,'Modelling New'!$AL:$AL),"")</f>
        <v>0.05</v>
      </c>
      <c r="AR129">
        <f>IFERROR(_xlfn.XLOOKUP($D129,'Modelling New'!$D:$D,'Modelling New'!$N:$N),"")</f>
        <v>78</v>
      </c>
    </row>
    <row r="130" spans="1:44">
      <c r="A130" s="118">
        <f t="shared" si="11"/>
        <v>45873</v>
      </c>
      <c r="B130" s="107">
        <f>YEAR(Table13[[#This Row],[Date]])+IF(MONTH(Table13[[#This Row],[Date]])&gt;=4,1,0)</f>
        <v>2026</v>
      </c>
      <c r="C130" s="105">
        <f>YEAR(Table13[[#This Row],[Date]])</f>
        <v>2025</v>
      </c>
      <c r="D130" s="119">
        <f>Table13[[#This Row],[Date]]-DAY(Table13[[#This Row],[Date]])+1</f>
        <v>45870</v>
      </c>
      <c r="E130" s="105">
        <f t="shared" si="8"/>
        <v>31</v>
      </c>
      <c r="F130" s="108"/>
      <c r="G130" s="109"/>
      <c r="H130" s="109"/>
      <c r="I130" s="109"/>
      <c r="J130" s="109"/>
      <c r="K130" s="120"/>
      <c r="L130" s="109"/>
      <c r="M130" s="109" t="str">
        <f>IFERROR(_xlfn.XLOOKUP($A130,Input_Raw!$A:$A,Input_Raw!CG:CG),"")</f>
        <v/>
      </c>
      <c r="N130" s="109">
        <f>IFERROR(_xlfn.XLOOKUP($A130,Input_Raw!$A:$A,Input_Raw!CH:CH),"")</f>
        <v>0</v>
      </c>
      <c r="O130" s="121" t="str">
        <f t="shared" si="10"/>
        <v/>
      </c>
      <c r="P130" s="121" t="str">
        <f>IFERROR(1-SUMIF(WTG_BD!$F:$F,$A130,WTG_BD!$AA:$AA)/($AA130+SUMIF(WTG_BD!$F:$F,$A130,WTG_BD!$AA:$AA)),"")</f>
        <v/>
      </c>
      <c r="Q130" s="122" t="str">
        <f>IFERROR(1-SUMIF(IGA_BD!$F:$F,$A130,IGA_BD!$V:$V)/($AA130+SUMIF(IGA_BD!$F:$F,$A130,IGA_BD!$V:$V)),"")</f>
        <v/>
      </c>
      <c r="R130" s="127" t="str">
        <f>IFERROR(1-SUMIF(Grid_BD!$F:$F,$A130,Grid_BD!$X:$X)/($AA130+SUMIF(Grid_BD!$F:$F,$A130,Grid_BD!$X:$X)),"")</f>
        <v/>
      </c>
      <c r="S130" s="105"/>
      <c r="T130" s="122"/>
      <c r="U130" s="123"/>
      <c r="V130" s="105"/>
      <c r="W130" s="124">
        <f>IFERROR(Table13[[#This Row],[Mtr_Net_Exp (KWh)]]/(24*AR130*1000),"")</f>
        <v>0</v>
      </c>
      <c r="X130" s="105">
        <f>IFERROR(_xlfn.XLOOKUP($A130,Input_Raw!$A:$A,Input_Raw!$CF:$CF),"")</f>
        <v>0</v>
      </c>
      <c r="Y130" s="105">
        <f>IFERROR(_xlfn.XLOOKUP($A130,Input_Raw!$A:$A,Input_Raw!$CZ:$CZ),"")</f>
        <v>0</v>
      </c>
      <c r="Z130" s="105">
        <f>IFERROR(_xlfn.XLOOKUP($A130,Input_Raw!$A:$A,Input_Raw!$DA:$DA),"")</f>
        <v>0</v>
      </c>
      <c r="AA130" s="107">
        <f t="shared" si="9"/>
        <v>0</v>
      </c>
      <c r="AB130" s="105">
        <f>IFERROR(_xlfn.XLOOKUP($A130,Input_Raw!$A:$A,Input_Raw!$DG:$DG),"")</f>
        <v>0</v>
      </c>
      <c r="AC130" s="125">
        <f>IFERROR(_xlfn.XLOOKUP($D130,'Modelling New'!$D:$D,'Modelling New'!$J:$J),"")</f>
        <v>6.8666666666666671</v>
      </c>
      <c r="AD130" s="107">
        <f>IFERROR(_xlfn.XLOOKUP($D130,'Modelling New'!$D:$D,'Modelling New'!$T:$T)*1000,"")</f>
        <v>616013.63346204848</v>
      </c>
      <c r="AE130" s="124"/>
      <c r="AF130" s="124">
        <f>IFERROR(_xlfn.XLOOKUP($D130,'Modelling New'!$D:$D,'Modelling New'!$W:$W),"")</f>
        <v>0.3290671118921199</v>
      </c>
      <c r="AG130" s="124">
        <f>IFERROR(_xlfn.XLOOKUP($D130,'Modelling New'!$D:$D,'Modelling New'!$AE:$AE),"")</f>
        <v>0.96029999999999993</v>
      </c>
      <c r="AH130" s="124">
        <f>IFERROR(_xlfn.XLOOKUP($D130,'Modelling New'!$D:$D,'Modelling New'!$AF:$AF),"")</f>
        <v>0.995</v>
      </c>
      <c r="AI130" s="105">
        <f>IFERROR(_xlfn.XLOOKUP($A130,Input_Raw!$A:$A,Input_Raw!$DE:$DE),"")</f>
        <v>0</v>
      </c>
      <c r="AJ130" s="105"/>
      <c r="AK130" s="105"/>
      <c r="AL130" s="105"/>
      <c r="AM130" s="105"/>
      <c r="AN130" s="126">
        <f>IFERROR(_xlfn.XLOOKUP($A130,Input_Raw!$A:$A,Input_Raw!$DB:$DB),"")</f>
        <v>0</v>
      </c>
      <c r="AO130" s="124" t="str">
        <f>IFERROR((_xlfn.XLOOKUP($A130,'WTG Reactive Power'!$A:$A,'WTG Reactive Power'!$AR:$AR))/X130/1000,"")</f>
        <v/>
      </c>
      <c r="AP130" s="124">
        <f>IFERROR(_xlfn.XLOOKUP($D130,'Modelling New'!$D:$D,'Modelling New'!$AK:$AK),"")</f>
        <v>0.05</v>
      </c>
      <c r="AQ130" s="124">
        <f>IFERROR(_xlfn.XLOOKUP($D130,'Modelling New'!$D:$D,'Modelling New'!$AL:$AL),"")</f>
        <v>0.05</v>
      </c>
      <c r="AR130">
        <f>IFERROR(_xlfn.XLOOKUP($D130,'Modelling New'!$D:$D,'Modelling New'!$N:$N),"")</f>
        <v>78</v>
      </c>
    </row>
    <row r="131" spans="1:44">
      <c r="A131" s="118">
        <f t="shared" si="11"/>
        <v>45874</v>
      </c>
      <c r="B131" s="107">
        <f>YEAR(Table13[[#This Row],[Date]])+IF(MONTH(Table13[[#This Row],[Date]])&gt;=4,1,0)</f>
        <v>2026</v>
      </c>
      <c r="C131" s="105">
        <f>YEAR(Table13[[#This Row],[Date]])</f>
        <v>2025</v>
      </c>
      <c r="D131" s="119">
        <f>Table13[[#This Row],[Date]]-DAY(Table13[[#This Row],[Date]])+1</f>
        <v>45870</v>
      </c>
      <c r="E131" s="105">
        <f t="shared" si="8"/>
        <v>31</v>
      </c>
      <c r="F131" s="108"/>
      <c r="G131" s="109"/>
      <c r="H131" s="109"/>
      <c r="I131" s="109"/>
      <c r="J131" s="109"/>
      <c r="K131" s="120"/>
      <c r="L131" s="109"/>
      <c r="M131" s="109" t="str">
        <f>IFERROR(_xlfn.XLOOKUP($A131,Input_Raw!$A:$A,Input_Raw!CG:CG),"")</f>
        <v/>
      </c>
      <c r="N131" s="109">
        <f>IFERROR(_xlfn.XLOOKUP($A131,Input_Raw!$A:$A,Input_Raw!CH:CH),"")</f>
        <v>0</v>
      </c>
      <c r="O131" s="121" t="str">
        <f t="shared" si="10"/>
        <v/>
      </c>
      <c r="P131" s="121" t="str">
        <f>IFERROR(1-SUMIF(WTG_BD!$F:$F,$A131,WTG_BD!$AA:$AA)/($AA131+SUMIF(WTG_BD!$F:$F,$A131,WTG_BD!$AA:$AA)),"")</f>
        <v/>
      </c>
      <c r="Q131" s="122" t="str">
        <f>IFERROR(1-SUMIF(IGA_BD!$F:$F,$A131,IGA_BD!$V:$V)/($AA131+SUMIF(IGA_BD!$F:$F,$A131,IGA_BD!$V:$V)),"")</f>
        <v/>
      </c>
      <c r="R131" s="127" t="str">
        <f>IFERROR(1-SUMIF(Grid_BD!$F:$F,$A131,Grid_BD!$X:$X)/($AA131+SUMIF(Grid_BD!$F:$F,$A131,Grid_BD!$X:$X)),"")</f>
        <v/>
      </c>
      <c r="S131" s="105"/>
      <c r="T131" s="122"/>
      <c r="U131" s="123"/>
      <c r="V131" s="105"/>
      <c r="W131" s="124">
        <f>IFERROR(Table13[[#This Row],[Mtr_Net_Exp (KWh)]]/(24*AR131*1000),"")</f>
        <v>0</v>
      </c>
      <c r="X131" s="105">
        <f>IFERROR(_xlfn.XLOOKUP($A131,Input_Raw!$A:$A,Input_Raw!$CF:$CF),"")</f>
        <v>0</v>
      </c>
      <c r="Y131" s="105">
        <f>IFERROR(_xlfn.XLOOKUP($A131,Input_Raw!$A:$A,Input_Raw!$CZ:$CZ),"")</f>
        <v>0</v>
      </c>
      <c r="Z131" s="105">
        <f>IFERROR(_xlfn.XLOOKUP($A131,Input_Raw!$A:$A,Input_Raw!$DA:$DA),"")</f>
        <v>0</v>
      </c>
      <c r="AA131" s="107">
        <f t="shared" si="9"/>
        <v>0</v>
      </c>
      <c r="AB131" s="105">
        <f>IFERROR(_xlfn.XLOOKUP($A131,Input_Raw!$A:$A,Input_Raw!$DG:$DG),"")</f>
        <v>0</v>
      </c>
      <c r="AC131" s="125">
        <f>IFERROR(_xlfn.XLOOKUP($D131,'Modelling New'!$D:$D,'Modelling New'!$J:$J),"")</f>
        <v>6.8666666666666671</v>
      </c>
      <c r="AD131" s="107">
        <f>IFERROR(_xlfn.XLOOKUP($D131,'Modelling New'!$D:$D,'Modelling New'!$T:$T)*1000,"")</f>
        <v>616013.63346204848</v>
      </c>
      <c r="AE131" s="124"/>
      <c r="AF131" s="124">
        <f>IFERROR(_xlfn.XLOOKUP($D131,'Modelling New'!$D:$D,'Modelling New'!$W:$W),"")</f>
        <v>0.3290671118921199</v>
      </c>
      <c r="AG131" s="124">
        <f>IFERROR(_xlfn.XLOOKUP($D131,'Modelling New'!$D:$D,'Modelling New'!$AE:$AE),"")</f>
        <v>0.96029999999999993</v>
      </c>
      <c r="AH131" s="124">
        <f>IFERROR(_xlfn.XLOOKUP($D131,'Modelling New'!$D:$D,'Modelling New'!$AF:$AF),"")</f>
        <v>0.995</v>
      </c>
      <c r="AI131" s="105">
        <f>IFERROR(_xlfn.XLOOKUP($A131,Input_Raw!$A:$A,Input_Raw!$DE:$DE),"")</f>
        <v>0</v>
      </c>
      <c r="AJ131" s="105"/>
      <c r="AK131" s="105"/>
      <c r="AL131" s="105"/>
      <c r="AM131" s="105"/>
      <c r="AN131" s="126">
        <f>IFERROR(_xlfn.XLOOKUP($A131,Input_Raw!$A:$A,Input_Raw!$DB:$DB),"")</f>
        <v>0</v>
      </c>
      <c r="AO131" s="124" t="str">
        <f>IFERROR((_xlfn.XLOOKUP($A131,'WTG Reactive Power'!$A:$A,'WTG Reactive Power'!$AR:$AR))/X131/1000,"")</f>
        <v/>
      </c>
      <c r="AP131" s="124">
        <f>IFERROR(_xlfn.XLOOKUP($D131,'Modelling New'!$D:$D,'Modelling New'!$AK:$AK),"")</f>
        <v>0.05</v>
      </c>
      <c r="AQ131" s="124">
        <f>IFERROR(_xlfn.XLOOKUP($D131,'Modelling New'!$D:$D,'Modelling New'!$AL:$AL),"")</f>
        <v>0.05</v>
      </c>
      <c r="AR131">
        <f>IFERROR(_xlfn.XLOOKUP($D131,'Modelling New'!$D:$D,'Modelling New'!$N:$N),"")</f>
        <v>78</v>
      </c>
    </row>
    <row r="132" spans="1:44">
      <c r="A132" s="118">
        <f t="shared" si="11"/>
        <v>45875</v>
      </c>
      <c r="B132" s="107">
        <f>YEAR(Table13[[#This Row],[Date]])+IF(MONTH(Table13[[#This Row],[Date]])&gt;=4,1,0)</f>
        <v>2026</v>
      </c>
      <c r="C132" s="105">
        <f>YEAR(Table13[[#This Row],[Date]])</f>
        <v>2025</v>
      </c>
      <c r="D132" s="119">
        <f>Table13[[#This Row],[Date]]-DAY(Table13[[#This Row],[Date]])+1</f>
        <v>45870</v>
      </c>
      <c r="E132" s="105">
        <f t="shared" si="8"/>
        <v>31</v>
      </c>
      <c r="F132" s="108"/>
      <c r="G132" s="109"/>
      <c r="H132" s="109"/>
      <c r="I132" s="109"/>
      <c r="J132" s="109"/>
      <c r="K132" s="120"/>
      <c r="L132" s="109"/>
      <c r="M132" s="109" t="str">
        <f>IFERROR(_xlfn.XLOOKUP($A132,Input_Raw!$A:$A,Input_Raw!CG:CG),"")</f>
        <v/>
      </c>
      <c r="N132" s="109">
        <f>IFERROR(_xlfn.XLOOKUP($A132,Input_Raw!$A:$A,Input_Raw!CH:CH),"")</f>
        <v>0</v>
      </c>
      <c r="O132" s="121" t="str">
        <f t="shared" si="10"/>
        <v/>
      </c>
      <c r="P132" s="121" t="str">
        <f>IFERROR(1-SUMIF(WTG_BD!$F:$F,$A132,WTG_BD!$AA:$AA)/($AA132+SUMIF(WTG_BD!$F:$F,$A132,WTG_BD!$AA:$AA)),"")</f>
        <v/>
      </c>
      <c r="Q132" s="122" t="str">
        <f>IFERROR(1-SUMIF(IGA_BD!$F:$F,$A132,IGA_BD!$V:$V)/($AA132+SUMIF(IGA_BD!$F:$F,$A132,IGA_BD!$V:$V)),"")</f>
        <v/>
      </c>
      <c r="R132" s="127" t="str">
        <f>IFERROR(1-SUMIF(Grid_BD!$F:$F,$A132,Grid_BD!$X:$X)/($AA132+SUMIF(Grid_BD!$F:$F,$A132,Grid_BD!$X:$X)),"")</f>
        <v/>
      </c>
      <c r="S132" s="105"/>
      <c r="T132" s="122"/>
      <c r="U132" s="123"/>
      <c r="V132" s="105"/>
      <c r="W132" s="124">
        <f>IFERROR(Table13[[#This Row],[Mtr_Net_Exp (KWh)]]/(24*AR132*1000),"")</f>
        <v>0</v>
      </c>
      <c r="X132" s="105">
        <f>IFERROR(_xlfn.XLOOKUP($A132,Input_Raw!$A:$A,Input_Raw!$CF:$CF),"")</f>
        <v>0</v>
      </c>
      <c r="Y132" s="105">
        <f>IFERROR(_xlfn.XLOOKUP($A132,Input_Raw!$A:$A,Input_Raw!$CZ:$CZ),"")</f>
        <v>0</v>
      </c>
      <c r="Z132" s="105">
        <f>IFERROR(_xlfn.XLOOKUP($A132,Input_Raw!$A:$A,Input_Raw!$DA:$DA),"")</f>
        <v>0</v>
      </c>
      <c r="AA132" s="107">
        <f t="shared" si="9"/>
        <v>0</v>
      </c>
      <c r="AB132" s="105">
        <f>IFERROR(_xlfn.XLOOKUP($A132,Input_Raw!$A:$A,Input_Raw!$DG:$DG),"")</f>
        <v>0</v>
      </c>
      <c r="AC132" s="125">
        <f>IFERROR(_xlfn.XLOOKUP($D132,'Modelling New'!$D:$D,'Modelling New'!$J:$J),"")</f>
        <v>6.8666666666666671</v>
      </c>
      <c r="AD132" s="107">
        <f>IFERROR(_xlfn.XLOOKUP($D132,'Modelling New'!$D:$D,'Modelling New'!$T:$T)*1000,"")</f>
        <v>616013.63346204848</v>
      </c>
      <c r="AE132" s="124"/>
      <c r="AF132" s="124">
        <f>IFERROR(_xlfn.XLOOKUP($D132,'Modelling New'!$D:$D,'Modelling New'!$W:$W),"")</f>
        <v>0.3290671118921199</v>
      </c>
      <c r="AG132" s="124">
        <f>IFERROR(_xlfn.XLOOKUP($D132,'Modelling New'!$D:$D,'Modelling New'!$AE:$AE),"")</f>
        <v>0.96029999999999993</v>
      </c>
      <c r="AH132" s="124">
        <f>IFERROR(_xlfn.XLOOKUP($D132,'Modelling New'!$D:$D,'Modelling New'!$AF:$AF),"")</f>
        <v>0.995</v>
      </c>
      <c r="AI132" s="105">
        <f>IFERROR(_xlfn.XLOOKUP($A132,Input_Raw!$A:$A,Input_Raw!$DE:$DE),"")</f>
        <v>0</v>
      </c>
      <c r="AJ132" s="105"/>
      <c r="AK132" s="105"/>
      <c r="AL132" s="105"/>
      <c r="AM132" s="105"/>
      <c r="AN132" s="126">
        <f>IFERROR(_xlfn.XLOOKUP($A132,Input_Raw!$A:$A,Input_Raw!$DB:$DB),"")</f>
        <v>0</v>
      </c>
      <c r="AO132" s="124" t="str">
        <f>IFERROR((_xlfn.XLOOKUP($A132,'WTG Reactive Power'!$A:$A,'WTG Reactive Power'!$AR:$AR))/X132/1000,"")</f>
        <v/>
      </c>
      <c r="AP132" s="124">
        <f>IFERROR(_xlfn.XLOOKUP($D132,'Modelling New'!$D:$D,'Modelling New'!$AK:$AK),"")</f>
        <v>0.05</v>
      </c>
      <c r="AQ132" s="124">
        <f>IFERROR(_xlfn.XLOOKUP($D132,'Modelling New'!$D:$D,'Modelling New'!$AL:$AL),"")</f>
        <v>0.05</v>
      </c>
      <c r="AR132">
        <f>IFERROR(_xlfn.XLOOKUP($D132,'Modelling New'!$D:$D,'Modelling New'!$N:$N),"")</f>
        <v>78</v>
      </c>
    </row>
    <row r="133" spans="1:44">
      <c r="A133" s="118">
        <f t="shared" si="11"/>
        <v>45876</v>
      </c>
      <c r="B133" s="107">
        <f>YEAR(Table13[[#This Row],[Date]])+IF(MONTH(Table13[[#This Row],[Date]])&gt;=4,1,0)</f>
        <v>2026</v>
      </c>
      <c r="C133" s="105">
        <f>YEAR(Table13[[#This Row],[Date]])</f>
        <v>2025</v>
      </c>
      <c r="D133" s="119">
        <f>Table13[[#This Row],[Date]]-DAY(Table13[[#This Row],[Date]])+1</f>
        <v>45870</v>
      </c>
      <c r="E133" s="105">
        <f t="shared" si="8"/>
        <v>31</v>
      </c>
      <c r="F133" s="108"/>
      <c r="G133" s="109"/>
      <c r="H133" s="109"/>
      <c r="I133" s="109"/>
      <c r="J133" s="109"/>
      <c r="K133" s="120"/>
      <c r="L133" s="109"/>
      <c r="M133" s="109" t="str">
        <f>IFERROR(_xlfn.XLOOKUP($A133,Input_Raw!$A:$A,Input_Raw!CG:CG),"")</f>
        <v/>
      </c>
      <c r="N133" s="109">
        <f>IFERROR(_xlfn.XLOOKUP($A133,Input_Raw!$A:$A,Input_Raw!CH:CH),"")</f>
        <v>0</v>
      </c>
      <c r="O133" s="121" t="str">
        <f t="shared" si="10"/>
        <v/>
      </c>
      <c r="P133" s="121" t="str">
        <f>IFERROR(1-SUMIF(WTG_BD!$F:$F,$A133,WTG_BD!$AA:$AA)/($AA133+SUMIF(WTG_BD!$F:$F,$A133,WTG_BD!$AA:$AA)),"")</f>
        <v/>
      </c>
      <c r="Q133" s="122" t="str">
        <f>IFERROR(1-SUMIF(IGA_BD!$F:$F,$A133,IGA_BD!$V:$V)/($AA133+SUMIF(IGA_BD!$F:$F,$A133,IGA_BD!$V:$V)),"")</f>
        <v/>
      </c>
      <c r="R133" s="127" t="str">
        <f>IFERROR(1-SUMIF(Grid_BD!$F:$F,$A133,Grid_BD!$X:$X)/($AA133+SUMIF(Grid_BD!$F:$F,$A133,Grid_BD!$X:$X)),"")</f>
        <v/>
      </c>
      <c r="S133" s="105"/>
      <c r="T133" s="122"/>
      <c r="U133" s="123"/>
      <c r="V133" s="105"/>
      <c r="W133" s="124">
        <f>IFERROR(Table13[[#This Row],[Mtr_Net_Exp (KWh)]]/(24*AR133*1000),"")</f>
        <v>0</v>
      </c>
      <c r="X133" s="105">
        <f>IFERROR(_xlfn.XLOOKUP($A133,Input_Raw!$A:$A,Input_Raw!$CF:$CF),"")</f>
        <v>0</v>
      </c>
      <c r="Y133" s="105">
        <f>IFERROR(_xlfn.XLOOKUP($A133,Input_Raw!$A:$A,Input_Raw!$CZ:$CZ),"")</f>
        <v>0</v>
      </c>
      <c r="Z133" s="105">
        <f>IFERROR(_xlfn.XLOOKUP($A133,Input_Raw!$A:$A,Input_Raw!$DA:$DA),"")</f>
        <v>0</v>
      </c>
      <c r="AA133" s="107">
        <f t="shared" si="9"/>
        <v>0</v>
      </c>
      <c r="AB133" s="105">
        <f>IFERROR(_xlfn.XLOOKUP($A133,Input_Raw!$A:$A,Input_Raw!$DG:$DG),"")</f>
        <v>0</v>
      </c>
      <c r="AC133" s="125">
        <f>IFERROR(_xlfn.XLOOKUP($D133,'Modelling New'!$D:$D,'Modelling New'!$J:$J),"")</f>
        <v>6.8666666666666671</v>
      </c>
      <c r="AD133" s="107">
        <f>IFERROR(_xlfn.XLOOKUP($D133,'Modelling New'!$D:$D,'Modelling New'!$T:$T)*1000,"")</f>
        <v>616013.63346204848</v>
      </c>
      <c r="AE133" s="124"/>
      <c r="AF133" s="124">
        <f>IFERROR(_xlfn.XLOOKUP($D133,'Modelling New'!$D:$D,'Modelling New'!$W:$W),"")</f>
        <v>0.3290671118921199</v>
      </c>
      <c r="AG133" s="124">
        <f>IFERROR(_xlfn.XLOOKUP($D133,'Modelling New'!$D:$D,'Modelling New'!$AE:$AE),"")</f>
        <v>0.96029999999999993</v>
      </c>
      <c r="AH133" s="124">
        <f>IFERROR(_xlfn.XLOOKUP($D133,'Modelling New'!$D:$D,'Modelling New'!$AF:$AF),"")</f>
        <v>0.995</v>
      </c>
      <c r="AI133" s="105">
        <f>IFERROR(_xlfn.XLOOKUP($A133,Input_Raw!$A:$A,Input_Raw!$DE:$DE),"")</f>
        <v>0</v>
      </c>
      <c r="AJ133" s="105"/>
      <c r="AK133" s="105"/>
      <c r="AL133" s="105"/>
      <c r="AM133" s="105"/>
      <c r="AN133" s="126">
        <f>IFERROR(_xlfn.XLOOKUP($A133,Input_Raw!$A:$A,Input_Raw!$DB:$DB),"")</f>
        <v>0</v>
      </c>
      <c r="AO133" s="124" t="str">
        <f>IFERROR((_xlfn.XLOOKUP($A133,'WTG Reactive Power'!$A:$A,'WTG Reactive Power'!$AR:$AR))/X133/1000,"")</f>
        <v/>
      </c>
      <c r="AP133" s="124">
        <f>IFERROR(_xlfn.XLOOKUP($D133,'Modelling New'!$D:$D,'Modelling New'!$AK:$AK),"")</f>
        <v>0.05</v>
      </c>
      <c r="AQ133" s="124">
        <f>IFERROR(_xlfn.XLOOKUP($D133,'Modelling New'!$D:$D,'Modelling New'!$AL:$AL),"")</f>
        <v>0.05</v>
      </c>
      <c r="AR133">
        <f>IFERROR(_xlfn.XLOOKUP($D133,'Modelling New'!$D:$D,'Modelling New'!$N:$N),"")</f>
        <v>78</v>
      </c>
    </row>
    <row r="134" spans="1:44">
      <c r="A134" s="118">
        <f t="shared" si="11"/>
        <v>45877</v>
      </c>
      <c r="B134" s="107">
        <f>YEAR(Table13[[#This Row],[Date]])+IF(MONTH(Table13[[#This Row],[Date]])&gt;=4,1,0)</f>
        <v>2026</v>
      </c>
      <c r="C134" s="105">
        <f>YEAR(Table13[[#This Row],[Date]])</f>
        <v>2025</v>
      </c>
      <c r="D134" s="119">
        <f>Table13[[#This Row],[Date]]-DAY(Table13[[#This Row],[Date]])+1</f>
        <v>45870</v>
      </c>
      <c r="E134" s="105">
        <f t="shared" si="8"/>
        <v>31</v>
      </c>
      <c r="F134" s="108"/>
      <c r="G134" s="109"/>
      <c r="H134" s="109"/>
      <c r="I134" s="109"/>
      <c r="J134" s="109"/>
      <c r="K134" s="120"/>
      <c r="L134" s="109"/>
      <c r="M134" s="109" t="str">
        <f>IFERROR(_xlfn.XLOOKUP($A134,Input_Raw!$A:$A,Input_Raw!CG:CG),"")</f>
        <v/>
      </c>
      <c r="N134" s="109">
        <f>IFERROR(_xlfn.XLOOKUP($A134,Input_Raw!$A:$A,Input_Raw!CH:CH),"")</f>
        <v>0</v>
      </c>
      <c r="O134" s="121" t="str">
        <f t="shared" si="10"/>
        <v/>
      </c>
      <c r="P134" s="121" t="str">
        <f>IFERROR(1-SUMIF(WTG_BD!$F:$F,$A134,WTG_BD!$AA:$AA)/($AA134+SUMIF(WTG_BD!$F:$F,$A134,WTG_BD!$AA:$AA)),"")</f>
        <v/>
      </c>
      <c r="Q134" s="122" t="str">
        <f>IFERROR(1-SUMIF(IGA_BD!$F:$F,$A134,IGA_BD!$V:$V)/($AA134+SUMIF(IGA_BD!$F:$F,$A134,IGA_BD!$V:$V)),"")</f>
        <v/>
      </c>
      <c r="R134" s="127" t="str">
        <f>IFERROR(1-SUMIF(Grid_BD!$F:$F,$A134,Grid_BD!$X:$X)/($AA134+SUMIF(Grid_BD!$F:$F,$A134,Grid_BD!$X:$X)),"")</f>
        <v/>
      </c>
      <c r="S134" s="105"/>
      <c r="T134" s="122"/>
      <c r="U134" s="123"/>
      <c r="V134" s="105"/>
      <c r="W134" s="124">
        <f>IFERROR(Table13[[#This Row],[Mtr_Net_Exp (KWh)]]/(24*AR134*1000),"")</f>
        <v>0</v>
      </c>
      <c r="X134" s="105">
        <f>IFERROR(_xlfn.XLOOKUP($A134,Input_Raw!$A:$A,Input_Raw!$CF:$CF),"")</f>
        <v>0</v>
      </c>
      <c r="Y134" s="105">
        <f>IFERROR(_xlfn.XLOOKUP($A134,Input_Raw!$A:$A,Input_Raw!$CZ:$CZ),"")</f>
        <v>0</v>
      </c>
      <c r="Z134" s="105">
        <f>IFERROR(_xlfn.XLOOKUP($A134,Input_Raw!$A:$A,Input_Raw!$DA:$DA),"")</f>
        <v>0</v>
      </c>
      <c r="AA134" s="107">
        <f t="shared" si="9"/>
        <v>0</v>
      </c>
      <c r="AB134" s="105">
        <f>IFERROR(_xlfn.XLOOKUP($A134,Input_Raw!$A:$A,Input_Raw!$DG:$DG),"")</f>
        <v>0</v>
      </c>
      <c r="AC134" s="125">
        <f>IFERROR(_xlfn.XLOOKUP($D134,'Modelling New'!$D:$D,'Modelling New'!$J:$J),"")</f>
        <v>6.8666666666666671</v>
      </c>
      <c r="AD134" s="107">
        <f>IFERROR(_xlfn.XLOOKUP($D134,'Modelling New'!$D:$D,'Modelling New'!$T:$T)*1000,"")</f>
        <v>616013.63346204848</v>
      </c>
      <c r="AE134" s="124"/>
      <c r="AF134" s="124">
        <f>IFERROR(_xlfn.XLOOKUP($D134,'Modelling New'!$D:$D,'Modelling New'!$W:$W),"")</f>
        <v>0.3290671118921199</v>
      </c>
      <c r="AG134" s="124">
        <f>IFERROR(_xlfn.XLOOKUP($D134,'Modelling New'!$D:$D,'Modelling New'!$AE:$AE),"")</f>
        <v>0.96029999999999993</v>
      </c>
      <c r="AH134" s="124">
        <f>IFERROR(_xlfn.XLOOKUP($D134,'Modelling New'!$D:$D,'Modelling New'!$AF:$AF),"")</f>
        <v>0.995</v>
      </c>
      <c r="AI134" s="105">
        <f>IFERROR(_xlfn.XLOOKUP($A134,Input_Raw!$A:$A,Input_Raw!$DE:$DE),"")</f>
        <v>0</v>
      </c>
      <c r="AJ134" s="105"/>
      <c r="AK134" s="105"/>
      <c r="AL134" s="105"/>
      <c r="AM134" s="105"/>
      <c r="AN134" s="126">
        <f>IFERROR(_xlfn.XLOOKUP($A134,Input_Raw!$A:$A,Input_Raw!$DB:$DB),"")</f>
        <v>0</v>
      </c>
      <c r="AO134" s="124" t="str">
        <f>IFERROR((_xlfn.XLOOKUP($A134,'WTG Reactive Power'!$A:$A,'WTG Reactive Power'!$AR:$AR))/X134/1000,"")</f>
        <v/>
      </c>
      <c r="AP134" s="124">
        <f>IFERROR(_xlfn.XLOOKUP($D134,'Modelling New'!$D:$D,'Modelling New'!$AK:$AK),"")</f>
        <v>0.05</v>
      </c>
      <c r="AQ134" s="124">
        <f>IFERROR(_xlfn.XLOOKUP($D134,'Modelling New'!$D:$D,'Modelling New'!$AL:$AL),"")</f>
        <v>0.05</v>
      </c>
      <c r="AR134">
        <f>IFERROR(_xlfn.XLOOKUP($D134,'Modelling New'!$D:$D,'Modelling New'!$N:$N),"")</f>
        <v>78</v>
      </c>
    </row>
    <row r="135" spans="1:44">
      <c r="A135" s="118">
        <f t="shared" si="11"/>
        <v>45878</v>
      </c>
      <c r="B135" s="107">
        <f>YEAR(Table13[[#This Row],[Date]])+IF(MONTH(Table13[[#This Row],[Date]])&gt;=4,1,0)</f>
        <v>2026</v>
      </c>
      <c r="C135" s="105">
        <f>YEAR(Table13[[#This Row],[Date]])</f>
        <v>2025</v>
      </c>
      <c r="D135" s="119">
        <f>Table13[[#This Row],[Date]]-DAY(Table13[[#This Row],[Date]])+1</f>
        <v>45870</v>
      </c>
      <c r="E135" s="105">
        <f t="shared" si="8"/>
        <v>31</v>
      </c>
      <c r="F135" s="108"/>
      <c r="G135" s="109"/>
      <c r="H135" s="109"/>
      <c r="I135" s="109"/>
      <c r="J135" s="109"/>
      <c r="K135" s="120"/>
      <c r="L135" s="109"/>
      <c r="M135" s="109" t="str">
        <f>IFERROR(_xlfn.XLOOKUP($A135,Input_Raw!$A:$A,Input_Raw!CG:CG),"")</f>
        <v/>
      </c>
      <c r="N135" s="109">
        <f>IFERROR(_xlfn.XLOOKUP($A135,Input_Raw!$A:$A,Input_Raw!CH:CH),"")</f>
        <v>0</v>
      </c>
      <c r="O135" s="121" t="str">
        <f t="shared" si="10"/>
        <v/>
      </c>
      <c r="P135" s="121" t="str">
        <f>IFERROR(1-SUMIF(WTG_BD!$F:$F,$A135,WTG_BD!$AA:$AA)/($AA135+SUMIF(WTG_BD!$F:$F,$A135,WTG_BD!$AA:$AA)),"")</f>
        <v/>
      </c>
      <c r="Q135" s="122" t="str">
        <f>IFERROR(1-SUMIF(IGA_BD!$F:$F,$A135,IGA_BD!$V:$V)/($AA135+SUMIF(IGA_BD!$F:$F,$A135,IGA_BD!$V:$V)),"")</f>
        <v/>
      </c>
      <c r="R135" s="127" t="str">
        <f>IFERROR(1-SUMIF(Grid_BD!$F:$F,$A135,Grid_BD!$X:$X)/($AA135+SUMIF(Grid_BD!$F:$F,$A135,Grid_BD!$X:$X)),"")</f>
        <v/>
      </c>
      <c r="S135" s="105"/>
      <c r="T135" s="122"/>
      <c r="U135" s="123"/>
      <c r="V135" s="105"/>
      <c r="W135" s="124">
        <f>IFERROR(Table13[[#This Row],[Mtr_Net_Exp (KWh)]]/(24*AR135*1000),"")</f>
        <v>0</v>
      </c>
      <c r="X135" s="105">
        <f>IFERROR(_xlfn.XLOOKUP($A135,Input_Raw!$A:$A,Input_Raw!$CF:$CF),"")</f>
        <v>0</v>
      </c>
      <c r="Y135" s="105">
        <f>IFERROR(_xlfn.XLOOKUP($A135,Input_Raw!$A:$A,Input_Raw!$CZ:$CZ),"")</f>
        <v>0</v>
      </c>
      <c r="Z135" s="105">
        <f>IFERROR(_xlfn.XLOOKUP($A135,Input_Raw!$A:$A,Input_Raw!$DA:$DA),"")</f>
        <v>0</v>
      </c>
      <c r="AA135" s="107">
        <f t="shared" si="9"/>
        <v>0</v>
      </c>
      <c r="AB135" s="105">
        <f>IFERROR(_xlfn.XLOOKUP($A135,Input_Raw!$A:$A,Input_Raw!$DG:$DG),"")</f>
        <v>0</v>
      </c>
      <c r="AC135" s="125">
        <f>IFERROR(_xlfn.XLOOKUP($D135,'Modelling New'!$D:$D,'Modelling New'!$J:$J),"")</f>
        <v>6.8666666666666671</v>
      </c>
      <c r="AD135" s="107">
        <f>IFERROR(_xlfn.XLOOKUP($D135,'Modelling New'!$D:$D,'Modelling New'!$T:$T)*1000,"")</f>
        <v>616013.63346204848</v>
      </c>
      <c r="AE135" s="124"/>
      <c r="AF135" s="124">
        <f>IFERROR(_xlfn.XLOOKUP($D135,'Modelling New'!$D:$D,'Modelling New'!$W:$W),"")</f>
        <v>0.3290671118921199</v>
      </c>
      <c r="AG135" s="124">
        <f>IFERROR(_xlfn.XLOOKUP($D135,'Modelling New'!$D:$D,'Modelling New'!$AE:$AE),"")</f>
        <v>0.96029999999999993</v>
      </c>
      <c r="AH135" s="124">
        <f>IFERROR(_xlfn.XLOOKUP($D135,'Modelling New'!$D:$D,'Modelling New'!$AF:$AF),"")</f>
        <v>0.995</v>
      </c>
      <c r="AI135" s="105">
        <f>IFERROR(_xlfn.XLOOKUP($A135,Input_Raw!$A:$A,Input_Raw!$DE:$DE),"")</f>
        <v>0</v>
      </c>
      <c r="AJ135" s="105"/>
      <c r="AK135" s="105"/>
      <c r="AL135" s="105"/>
      <c r="AM135" s="105"/>
      <c r="AN135" s="126">
        <f>IFERROR(_xlfn.XLOOKUP($A135,Input_Raw!$A:$A,Input_Raw!$DB:$DB),"")</f>
        <v>0</v>
      </c>
      <c r="AO135" s="124" t="str">
        <f>IFERROR((_xlfn.XLOOKUP($A135,'WTG Reactive Power'!$A:$A,'WTG Reactive Power'!$AR:$AR))/X135/1000,"")</f>
        <v/>
      </c>
      <c r="AP135" s="124">
        <f>IFERROR(_xlfn.XLOOKUP($D135,'Modelling New'!$D:$D,'Modelling New'!$AK:$AK),"")</f>
        <v>0.05</v>
      </c>
      <c r="AQ135" s="124">
        <f>IFERROR(_xlfn.XLOOKUP($D135,'Modelling New'!$D:$D,'Modelling New'!$AL:$AL),"")</f>
        <v>0.05</v>
      </c>
      <c r="AR135">
        <f>IFERROR(_xlfn.XLOOKUP($D135,'Modelling New'!$D:$D,'Modelling New'!$N:$N),"")</f>
        <v>78</v>
      </c>
    </row>
    <row r="136" spans="1:44">
      <c r="A136" s="118">
        <f t="shared" si="11"/>
        <v>45879</v>
      </c>
      <c r="B136" s="107">
        <f>YEAR(Table13[[#This Row],[Date]])+IF(MONTH(Table13[[#This Row],[Date]])&gt;=4,1,0)</f>
        <v>2026</v>
      </c>
      <c r="C136" s="105">
        <f>YEAR(Table13[[#This Row],[Date]])</f>
        <v>2025</v>
      </c>
      <c r="D136" s="119">
        <f>Table13[[#This Row],[Date]]-DAY(Table13[[#This Row],[Date]])+1</f>
        <v>45870</v>
      </c>
      <c r="E136" s="105">
        <f t="shared" si="8"/>
        <v>31</v>
      </c>
      <c r="F136" s="108"/>
      <c r="G136" s="109"/>
      <c r="H136" s="109"/>
      <c r="I136" s="109"/>
      <c r="J136" s="109"/>
      <c r="K136" s="120"/>
      <c r="L136" s="109"/>
      <c r="M136" s="109" t="str">
        <f>IFERROR(_xlfn.XLOOKUP($A136,Input_Raw!$A:$A,Input_Raw!CG:CG),"")</f>
        <v/>
      </c>
      <c r="N136" s="109">
        <f>IFERROR(_xlfn.XLOOKUP($A136,Input_Raw!$A:$A,Input_Raw!CH:CH),"")</f>
        <v>0</v>
      </c>
      <c r="O136" s="121" t="str">
        <f t="shared" si="10"/>
        <v/>
      </c>
      <c r="P136" s="121" t="str">
        <f>IFERROR(1-SUMIF(WTG_BD!$F:$F,$A136,WTG_BD!$AA:$AA)/($AA136+SUMIF(WTG_BD!$F:$F,$A136,WTG_BD!$AA:$AA)),"")</f>
        <v/>
      </c>
      <c r="Q136" s="122" t="str">
        <f>IFERROR(1-SUMIF(IGA_BD!$F:$F,$A136,IGA_BD!$V:$V)/($AA136+SUMIF(IGA_BD!$F:$F,$A136,IGA_BD!$V:$V)),"")</f>
        <v/>
      </c>
      <c r="R136" s="127" t="str">
        <f>IFERROR(1-SUMIF(Grid_BD!$F:$F,$A136,Grid_BD!$X:$X)/($AA136+SUMIF(Grid_BD!$F:$F,$A136,Grid_BD!$X:$X)),"")</f>
        <v/>
      </c>
      <c r="S136" s="105"/>
      <c r="T136" s="122"/>
      <c r="U136" s="123"/>
      <c r="V136" s="105"/>
      <c r="W136" s="124">
        <f>IFERROR(Table13[[#This Row],[Mtr_Net_Exp (KWh)]]/(24*AR136*1000),"")</f>
        <v>0</v>
      </c>
      <c r="X136" s="105">
        <f>IFERROR(_xlfn.XLOOKUP($A136,Input_Raw!$A:$A,Input_Raw!$CF:$CF),"")</f>
        <v>0</v>
      </c>
      <c r="Y136" s="105">
        <f>IFERROR(_xlfn.XLOOKUP($A136,Input_Raw!$A:$A,Input_Raw!$CZ:$CZ),"")</f>
        <v>0</v>
      </c>
      <c r="Z136" s="105">
        <f>IFERROR(_xlfn.XLOOKUP($A136,Input_Raw!$A:$A,Input_Raw!$DA:$DA),"")</f>
        <v>0</v>
      </c>
      <c r="AA136" s="107">
        <f t="shared" si="9"/>
        <v>0</v>
      </c>
      <c r="AB136" s="105">
        <f>IFERROR(_xlfn.XLOOKUP($A136,Input_Raw!$A:$A,Input_Raw!$DG:$DG),"")</f>
        <v>0</v>
      </c>
      <c r="AC136" s="125">
        <f>IFERROR(_xlfn.XLOOKUP($D136,'Modelling New'!$D:$D,'Modelling New'!$J:$J),"")</f>
        <v>6.8666666666666671</v>
      </c>
      <c r="AD136" s="107">
        <f>IFERROR(_xlfn.XLOOKUP($D136,'Modelling New'!$D:$D,'Modelling New'!$T:$T)*1000,"")</f>
        <v>616013.63346204848</v>
      </c>
      <c r="AE136" s="124"/>
      <c r="AF136" s="124">
        <f>IFERROR(_xlfn.XLOOKUP($D136,'Modelling New'!$D:$D,'Modelling New'!$W:$W),"")</f>
        <v>0.3290671118921199</v>
      </c>
      <c r="AG136" s="124">
        <f>IFERROR(_xlfn.XLOOKUP($D136,'Modelling New'!$D:$D,'Modelling New'!$AE:$AE),"")</f>
        <v>0.96029999999999993</v>
      </c>
      <c r="AH136" s="124">
        <f>IFERROR(_xlfn.XLOOKUP($D136,'Modelling New'!$D:$D,'Modelling New'!$AF:$AF),"")</f>
        <v>0.995</v>
      </c>
      <c r="AI136" s="105">
        <f>IFERROR(_xlfn.XLOOKUP($A136,Input_Raw!$A:$A,Input_Raw!$DE:$DE),"")</f>
        <v>0</v>
      </c>
      <c r="AJ136" s="105"/>
      <c r="AK136" s="105"/>
      <c r="AL136" s="105"/>
      <c r="AM136" s="105"/>
      <c r="AN136" s="126">
        <f>IFERROR(_xlfn.XLOOKUP($A136,Input_Raw!$A:$A,Input_Raw!$DB:$DB),"")</f>
        <v>0</v>
      </c>
      <c r="AO136" s="124" t="str">
        <f>IFERROR((_xlfn.XLOOKUP($A136,'WTG Reactive Power'!$A:$A,'WTG Reactive Power'!$AR:$AR))/X136/1000,"")</f>
        <v/>
      </c>
      <c r="AP136" s="124">
        <f>IFERROR(_xlfn.XLOOKUP($D136,'Modelling New'!$D:$D,'Modelling New'!$AK:$AK),"")</f>
        <v>0.05</v>
      </c>
      <c r="AQ136" s="124">
        <f>IFERROR(_xlfn.XLOOKUP($D136,'Modelling New'!$D:$D,'Modelling New'!$AL:$AL),"")</f>
        <v>0.05</v>
      </c>
      <c r="AR136">
        <f>IFERROR(_xlfn.XLOOKUP($D136,'Modelling New'!$D:$D,'Modelling New'!$N:$N),"")</f>
        <v>78</v>
      </c>
    </row>
    <row r="137" spans="1:44">
      <c r="A137" s="118">
        <f t="shared" si="11"/>
        <v>45880</v>
      </c>
      <c r="B137" s="107">
        <f>YEAR(Table13[[#This Row],[Date]])+IF(MONTH(Table13[[#This Row],[Date]])&gt;=4,1,0)</f>
        <v>2026</v>
      </c>
      <c r="C137" s="105">
        <f>YEAR(Table13[[#This Row],[Date]])</f>
        <v>2025</v>
      </c>
      <c r="D137" s="119">
        <f>Table13[[#This Row],[Date]]-DAY(Table13[[#This Row],[Date]])+1</f>
        <v>45870</v>
      </c>
      <c r="E137" s="105">
        <f t="shared" si="8"/>
        <v>31</v>
      </c>
      <c r="F137" s="108"/>
      <c r="G137" s="109"/>
      <c r="H137" s="109"/>
      <c r="I137" s="109"/>
      <c r="J137" s="109"/>
      <c r="K137" s="120"/>
      <c r="L137" s="109"/>
      <c r="M137" s="109" t="str">
        <f>IFERROR(_xlfn.XLOOKUP($A137,Input_Raw!$A:$A,Input_Raw!CG:CG),"")</f>
        <v/>
      </c>
      <c r="N137" s="109">
        <f>IFERROR(_xlfn.XLOOKUP($A137,Input_Raw!$A:$A,Input_Raw!CH:CH),"")</f>
        <v>0</v>
      </c>
      <c r="O137" s="121" t="str">
        <f t="shared" si="10"/>
        <v/>
      </c>
      <c r="P137" s="121" t="str">
        <f>IFERROR(1-SUMIF(WTG_BD!$F:$F,$A137,WTG_BD!$AA:$AA)/($AA137+SUMIF(WTG_BD!$F:$F,$A137,WTG_BD!$AA:$AA)),"")</f>
        <v/>
      </c>
      <c r="Q137" s="122" t="str">
        <f>IFERROR(1-SUMIF(IGA_BD!$F:$F,$A137,IGA_BD!$V:$V)/($AA137+SUMIF(IGA_BD!$F:$F,$A137,IGA_BD!$V:$V)),"")</f>
        <v/>
      </c>
      <c r="R137" s="127" t="str">
        <f>IFERROR(1-SUMIF(Grid_BD!$F:$F,$A137,Grid_BD!$X:$X)/($AA137+SUMIF(Grid_BD!$F:$F,$A137,Grid_BD!$X:$X)),"")</f>
        <v/>
      </c>
      <c r="S137" s="105"/>
      <c r="T137" s="122"/>
      <c r="U137" s="123"/>
      <c r="V137" s="105"/>
      <c r="W137" s="124">
        <f>IFERROR(Table13[[#This Row],[Mtr_Net_Exp (KWh)]]/(24*AR137*1000),"")</f>
        <v>0</v>
      </c>
      <c r="X137" s="105">
        <f>IFERROR(_xlfn.XLOOKUP($A137,Input_Raw!$A:$A,Input_Raw!$CF:$CF),"")</f>
        <v>0</v>
      </c>
      <c r="Y137" s="105">
        <f>IFERROR(_xlfn.XLOOKUP($A137,Input_Raw!$A:$A,Input_Raw!$CZ:$CZ),"")</f>
        <v>0</v>
      </c>
      <c r="Z137" s="105">
        <f>IFERROR(_xlfn.XLOOKUP($A137,Input_Raw!$A:$A,Input_Raw!$DA:$DA),"")</f>
        <v>0</v>
      </c>
      <c r="AA137" s="107">
        <f t="shared" si="9"/>
        <v>0</v>
      </c>
      <c r="AB137" s="105">
        <f>IFERROR(_xlfn.XLOOKUP($A137,Input_Raw!$A:$A,Input_Raw!$DG:$DG),"")</f>
        <v>0</v>
      </c>
      <c r="AC137" s="125">
        <f>IFERROR(_xlfn.XLOOKUP($D137,'Modelling New'!$D:$D,'Modelling New'!$J:$J),"")</f>
        <v>6.8666666666666671</v>
      </c>
      <c r="AD137" s="107">
        <f>IFERROR(_xlfn.XLOOKUP($D137,'Modelling New'!$D:$D,'Modelling New'!$T:$T)*1000,"")</f>
        <v>616013.63346204848</v>
      </c>
      <c r="AE137" s="124"/>
      <c r="AF137" s="124">
        <f>IFERROR(_xlfn.XLOOKUP($D137,'Modelling New'!$D:$D,'Modelling New'!$W:$W),"")</f>
        <v>0.3290671118921199</v>
      </c>
      <c r="AG137" s="124">
        <f>IFERROR(_xlfn.XLOOKUP($D137,'Modelling New'!$D:$D,'Modelling New'!$AE:$AE),"")</f>
        <v>0.96029999999999993</v>
      </c>
      <c r="AH137" s="124">
        <f>IFERROR(_xlfn.XLOOKUP($D137,'Modelling New'!$D:$D,'Modelling New'!$AF:$AF),"")</f>
        <v>0.995</v>
      </c>
      <c r="AI137" s="105">
        <f>IFERROR(_xlfn.XLOOKUP($A137,Input_Raw!$A:$A,Input_Raw!$DE:$DE),"")</f>
        <v>0</v>
      </c>
      <c r="AJ137" s="105"/>
      <c r="AK137" s="105"/>
      <c r="AL137" s="105"/>
      <c r="AM137" s="105"/>
      <c r="AN137" s="126">
        <f>IFERROR(_xlfn.XLOOKUP($A137,Input_Raw!$A:$A,Input_Raw!$DB:$DB),"")</f>
        <v>0</v>
      </c>
      <c r="AO137" s="124" t="str">
        <f>IFERROR((_xlfn.XLOOKUP($A137,'WTG Reactive Power'!$A:$A,'WTG Reactive Power'!$AR:$AR))/X137/1000,"")</f>
        <v/>
      </c>
      <c r="AP137" s="124">
        <f>IFERROR(_xlfn.XLOOKUP($D137,'Modelling New'!$D:$D,'Modelling New'!$AK:$AK),"")</f>
        <v>0.05</v>
      </c>
      <c r="AQ137" s="124">
        <f>IFERROR(_xlfn.XLOOKUP($D137,'Modelling New'!$D:$D,'Modelling New'!$AL:$AL),"")</f>
        <v>0.05</v>
      </c>
      <c r="AR137">
        <f>IFERROR(_xlfn.XLOOKUP($D137,'Modelling New'!$D:$D,'Modelling New'!$N:$N),"")</f>
        <v>78</v>
      </c>
    </row>
    <row r="138" spans="1:44">
      <c r="A138" s="118">
        <f t="shared" si="11"/>
        <v>45881</v>
      </c>
      <c r="B138" s="107">
        <f>YEAR(Table13[[#This Row],[Date]])+IF(MONTH(Table13[[#This Row],[Date]])&gt;=4,1,0)</f>
        <v>2026</v>
      </c>
      <c r="C138" s="105">
        <f>YEAR(Table13[[#This Row],[Date]])</f>
        <v>2025</v>
      </c>
      <c r="D138" s="119">
        <f>Table13[[#This Row],[Date]]-DAY(Table13[[#This Row],[Date]])+1</f>
        <v>45870</v>
      </c>
      <c r="E138" s="105">
        <f t="shared" si="8"/>
        <v>31</v>
      </c>
      <c r="F138" s="108"/>
      <c r="G138" s="109"/>
      <c r="H138" s="109"/>
      <c r="I138" s="109"/>
      <c r="J138" s="109"/>
      <c r="K138" s="120"/>
      <c r="L138" s="109"/>
      <c r="M138" s="109" t="str">
        <f>IFERROR(_xlfn.XLOOKUP($A138,Input_Raw!$A:$A,Input_Raw!CG:CG),"")</f>
        <v/>
      </c>
      <c r="N138" s="109">
        <f>IFERROR(_xlfn.XLOOKUP($A138,Input_Raw!$A:$A,Input_Raw!CH:CH),"")</f>
        <v>0</v>
      </c>
      <c r="O138" s="121" t="str">
        <f t="shared" si="10"/>
        <v/>
      </c>
      <c r="P138" s="121" t="str">
        <f>IFERROR(1-SUMIF(WTG_BD!$F:$F,$A138,WTG_BD!$AA:$AA)/($AA138+SUMIF(WTG_BD!$F:$F,$A138,WTG_BD!$AA:$AA)),"")</f>
        <v/>
      </c>
      <c r="Q138" s="122" t="str">
        <f>IFERROR(1-SUMIF(IGA_BD!$F:$F,$A138,IGA_BD!$V:$V)/($AA138+SUMIF(IGA_BD!$F:$F,$A138,IGA_BD!$V:$V)),"")</f>
        <v/>
      </c>
      <c r="R138" s="127" t="str">
        <f>IFERROR(1-SUMIF(Grid_BD!$F:$F,$A138,Grid_BD!$X:$X)/($AA138+SUMIF(Grid_BD!$F:$F,$A138,Grid_BD!$X:$X)),"")</f>
        <v/>
      </c>
      <c r="S138" s="105"/>
      <c r="T138" s="122"/>
      <c r="U138" s="123"/>
      <c r="V138" s="105"/>
      <c r="W138" s="124">
        <f>IFERROR(Table13[[#This Row],[Mtr_Net_Exp (KWh)]]/(24*AR138*1000),"")</f>
        <v>0</v>
      </c>
      <c r="X138" s="105">
        <f>IFERROR(_xlfn.XLOOKUP($A138,Input_Raw!$A:$A,Input_Raw!$CF:$CF),"")</f>
        <v>0</v>
      </c>
      <c r="Y138" s="105">
        <f>IFERROR(_xlfn.XLOOKUP($A138,Input_Raw!$A:$A,Input_Raw!$CZ:$CZ),"")</f>
        <v>0</v>
      </c>
      <c r="Z138" s="105">
        <f>IFERROR(_xlfn.XLOOKUP($A138,Input_Raw!$A:$A,Input_Raw!$DA:$DA),"")</f>
        <v>0</v>
      </c>
      <c r="AA138" s="107">
        <f t="shared" si="9"/>
        <v>0</v>
      </c>
      <c r="AB138" s="105">
        <f>IFERROR(_xlfn.XLOOKUP($A138,Input_Raw!$A:$A,Input_Raw!$DG:$DG),"")</f>
        <v>0</v>
      </c>
      <c r="AC138" s="125">
        <f>IFERROR(_xlfn.XLOOKUP($D138,'Modelling New'!$D:$D,'Modelling New'!$J:$J),"")</f>
        <v>6.8666666666666671</v>
      </c>
      <c r="AD138" s="107">
        <f>IFERROR(_xlfn.XLOOKUP($D138,'Modelling New'!$D:$D,'Modelling New'!$T:$T)*1000,"")</f>
        <v>616013.63346204848</v>
      </c>
      <c r="AE138" s="124"/>
      <c r="AF138" s="124">
        <f>IFERROR(_xlfn.XLOOKUP($D138,'Modelling New'!$D:$D,'Modelling New'!$W:$W),"")</f>
        <v>0.3290671118921199</v>
      </c>
      <c r="AG138" s="124">
        <f>IFERROR(_xlfn.XLOOKUP($D138,'Modelling New'!$D:$D,'Modelling New'!$AE:$AE),"")</f>
        <v>0.96029999999999993</v>
      </c>
      <c r="AH138" s="124">
        <f>IFERROR(_xlfn.XLOOKUP($D138,'Modelling New'!$D:$D,'Modelling New'!$AF:$AF),"")</f>
        <v>0.995</v>
      </c>
      <c r="AI138" s="105">
        <f>IFERROR(_xlfn.XLOOKUP($A138,Input_Raw!$A:$A,Input_Raw!$DE:$DE),"")</f>
        <v>0</v>
      </c>
      <c r="AJ138" s="105"/>
      <c r="AK138" s="105"/>
      <c r="AL138" s="105"/>
      <c r="AM138" s="105"/>
      <c r="AN138" s="126">
        <f>IFERROR(_xlfn.XLOOKUP($A138,Input_Raw!$A:$A,Input_Raw!$DB:$DB),"")</f>
        <v>0</v>
      </c>
      <c r="AO138" s="124" t="str">
        <f>IFERROR((_xlfn.XLOOKUP($A138,'WTG Reactive Power'!$A:$A,'WTG Reactive Power'!$AR:$AR))/X138/1000,"")</f>
        <v/>
      </c>
      <c r="AP138" s="124">
        <f>IFERROR(_xlfn.XLOOKUP($D138,'Modelling New'!$D:$D,'Modelling New'!$AK:$AK),"")</f>
        <v>0.05</v>
      </c>
      <c r="AQ138" s="124">
        <f>IFERROR(_xlfn.XLOOKUP($D138,'Modelling New'!$D:$D,'Modelling New'!$AL:$AL),"")</f>
        <v>0.05</v>
      </c>
      <c r="AR138">
        <f>IFERROR(_xlfn.XLOOKUP($D138,'Modelling New'!$D:$D,'Modelling New'!$N:$N),"")</f>
        <v>78</v>
      </c>
    </row>
    <row r="139" spans="1:44">
      <c r="A139" s="118">
        <f t="shared" si="11"/>
        <v>45882</v>
      </c>
      <c r="B139" s="107">
        <f>YEAR(Table13[[#This Row],[Date]])+IF(MONTH(Table13[[#This Row],[Date]])&gt;=4,1,0)</f>
        <v>2026</v>
      </c>
      <c r="C139" s="105">
        <f>YEAR(Table13[[#This Row],[Date]])</f>
        <v>2025</v>
      </c>
      <c r="D139" s="119">
        <f>Table13[[#This Row],[Date]]-DAY(Table13[[#This Row],[Date]])+1</f>
        <v>45870</v>
      </c>
      <c r="E139" s="105">
        <f t="shared" si="8"/>
        <v>31</v>
      </c>
      <c r="F139" s="108"/>
      <c r="G139" s="109"/>
      <c r="H139" s="109"/>
      <c r="I139" s="109"/>
      <c r="J139" s="109"/>
      <c r="K139" s="120"/>
      <c r="L139" s="109"/>
      <c r="M139" s="109" t="str">
        <f>IFERROR(_xlfn.XLOOKUP($A139,Input_Raw!$A:$A,Input_Raw!CG:CG),"")</f>
        <v/>
      </c>
      <c r="N139" s="109">
        <f>IFERROR(_xlfn.XLOOKUP($A139,Input_Raw!$A:$A,Input_Raw!CH:CH),"")</f>
        <v>0</v>
      </c>
      <c r="O139" s="121" t="str">
        <f t="shared" si="10"/>
        <v/>
      </c>
      <c r="P139" s="121" t="str">
        <f>IFERROR(1-SUMIF(WTG_BD!$F:$F,$A139,WTG_BD!$AA:$AA)/($AA139+SUMIF(WTG_BD!$F:$F,$A139,WTG_BD!$AA:$AA)),"")</f>
        <v/>
      </c>
      <c r="Q139" s="122" t="str">
        <f>IFERROR(1-SUMIF(IGA_BD!$F:$F,$A139,IGA_BD!$V:$V)/($AA139+SUMIF(IGA_BD!$F:$F,$A139,IGA_BD!$V:$V)),"")</f>
        <v/>
      </c>
      <c r="R139" s="127" t="str">
        <f>IFERROR(1-SUMIF(Grid_BD!$F:$F,$A139,Grid_BD!$X:$X)/($AA139+SUMIF(Grid_BD!$F:$F,$A139,Grid_BD!$X:$X)),"")</f>
        <v/>
      </c>
      <c r="S139" s="105"/>
      <c r="T139" s="122"/>
      <c r="U139" s="123"/>
      <c r="V139" s="105"/>
      <c r="W139" s="124">
        <f>IFERROR(Table13[[#This Row],[Mtr_Net_Exp (KWh)]]/(24*AR139*1000),"")</f>
        <v>0</v>
      </c>
      <c r="X139" s="105">
        <f>IFERROR(_xlfn.XLOOKUP($A139,Input_Raw!$A:$A,Input_Raw!$CF:$CF),"")</f>
        <v>0</v>
      </c>
      <c r="Y139" s="105">
        <f>IFERROR(_xlfn.XLOOKUP($A139,Input_Raw!$A:$A,Input_Raw!$CZ:$CZ),"")</f>
        <v>0</v>
      </c>
      <c r="Z139" s="105">
        <f>IFERROR(_xlfn.XLOOKUP($A139,Input_Raw!$A:$A,Input_Raw!$DA:$DA),"")</f>
        <v>0</v>
      </c>
      <c r="AA139" s="107">
        <f t="shared" si="9"/>
        <v>0</v>
      </c>
      <c r="AB139" s="105">
        <f>IFERROR(_xlfn.XLOOKUP($A139,Input_Raw!$A:$A,Input_Raw!$DG:$DG),"")</f>
        <v>0</v>
      </c>
      <c r="AC139" s="125">
        <f>IFERROR(_xlfn.XLOOKUP($D139,'Modelling New'!$D:$D,'Modelling New'!$J:$J),"")</f>
        <v>6.8666666666666671</v>
      </c>
      <c r="AD139" s="107">
        <f>IFERROR(_xlfn.XLOOKUP($D139,'Modelling New'!$D:$D,'Modelling New'!$T:$T)*1000,"")</f>
        <v>616013.63346204848</v>
      </c>
      <c r="AE139" s="124"/>
      <c r="AF139" s="124">
        <f>IFERROR(_xlfn.XLOOKUP($D139,'Modelling New'!$D:$D,'Modelling New'!$W:$W),"")</f>
        <v>0.3290671118921199</v>
      </c>
      <c r="AG139" s="124">
        <f>IFERROR(_xlfn.XLOOKUP($D139,'Modelling New'!$D:$D,'Modelling New'!$AE:$AE),"")</f>
        <v>0.96029999999999993</v>
      </c>
      <c r="AH139" s="124">
        <f>IFERROR(_xlfn.XLOOKUP($D139,'Modelling New'!$D:$D,'Modelling New'!$AF:$AF),"")</f>
        <v>0.995</v>
      </c>
      <c r="AI139" s="105">
        <f>IFERROR(_xlfn.XLOOKUP($A139,Input_Raw!$A:$A,Input_Raw!$DE:$DE),"")</f>
        <v>0</v>
      </c>
      <c r="AJ139" s="105"/>
      <c r="AK139" s="105"/>
      <c r="AL139" s="105"/>
      <c r="AM139" s="105"/>
      <c r="AN139" s="126">
        <f>IFERROR(_xlfn.XLOOKUP($A139,Input_Raw!$A:$A,Input_Raw!$DB:$DB),"")</f>
        <v>0</v>
      </c>
      <c r="AO139" s="124" t="str">
        <f>IFERROR((_xlfn.XLOOKUP($A139,'WTG Reactive Power'!$A:$A,'WTG Reactive Power'!$AR:$AR))/X139/1000,"")</f>
        <v/>
      </c>
      <c r="AP139" s="124">
        <f>IFERROR(_xlfn.XLOOKUP($D139,'Modelling New'!$D:$D,'Modelling New'!$AK:$AK),"")</f>
        <v>0.05</v>
      </c>
      <c r="AQ139" s="124">
        <f>IFERROR(_xlfn.XLOOKUP($D139,'Modelling New'!$D:$D,'Modelling New'!$AL:$AL),"")</f>
        <v>0.05</v>
      </c>
      <c r="AR139">
        <f>IFERROR(_xlfn.XLOOKUP($D139,'Modelling New'!$D:$D,'Modelling New'!$N:$N),"")</f>
        <v>78</v>
      </c>
    </row>
    <row r="140" spans="1:44">
      <c r="A140" s="118">
        <f t="shared" si="11"/>
        <v>45883</v>
      </c>
      <c r="B140" s="107">
        <f>YEAR(Table13[[#This Row],[Date]])+IF(MONTH(Table13[[#This Row],[Date]])&gt;=4,1,0)</f>
        <v>2026</v>
      </c>
      <c r="C140" s="105">
        <f>YEAR(Table13[[#This Row],[Date]])</f>
        <v>2025</v>
      </c>
      <c r="D140" s="119">
        <f>Table13[[#This Row],[Date]]-DAY(Table13[[#This Row],[Date]])+1</f>
        <v>45870</v>
      </c>
      <c r="E140" s="105">
        <f t="shared" si="8"/>
        <v>31</v>
      </c>
      <c r="F140" s="108"/>
      <c r="G140" s="109"/>
      <c r="H140" s="109"/>
      <c r="I140" s="109"/>
      <c r="J140" s="109"/>
      <c r="K140" s="120"/>
      <c r="L140" s="109"/>
      <c r="M140" s="109" t="str">
        <f>IFERROR(_xlfn.XLOOKUP($A140,Input_Raw!$A:$A,Input_Raw!CG:CG),"")</f>
        <v/>
      </c>
      <c r="N140" s="109">
        <f>IFERROR(_xlfn.XLOOKUP($A140,Input_Raw!$A:$A,Input_Raw!CH:CH),"")</f>
        <v>0</v>
      </c>
      <c r="O140" s="121" t="str">
        <f t="shared" si="10"/>
        <v/>
      </c>
      <c r="P140" s="121" t="str">
        <f>IFERROR(1-SUMIF(WTG_BD!$F:$F,$A140,WTG_BD!$AA:$AA)/($AA140+SUMIF(WTG_BD!$F:$F,$A140,WTG_BD!$AA:$AA)),"")</f>
        <v/>
      </c>
      <c r="Q140" s="122" t="str">
        <f>IFERROR(1-SUMIF(IGA_BD!$F:$F,$A140,IGA_BD!$V:$V)/($AA140+SUMIF(IGA_BD!$F:$F,$A140,IGA_BD!$V:$V)),"")</f>
        <v/>
      </c>
      <c r="R140" s="127" t="str">
        <f>IFERROR(1-SUMIF(Grid_BD!$F:$F,$A140,Grid_BD!$X:$X)/($AA140+SUMIF(Grid_BD!$F:$F,$A140,Grid_BD!$X:$X)),"")</f>
        <v/>
      </c>
      <c r="S140" s="105"/>
      <c r="T140" s="122"/>
      <c r="U140" s="123"/>
      <c r="V140" s="105"/>
      <c r="W140" s="124">
        <f>IFERROR(Table13[[#This Row],[Mtr_Net_Exp (KWh)]]/(24*AR140*1000),"")</f>
        <v>0</v>
      </c>
      <c r="X140" s="105">
        <f>IFERROR(_xlfn.XLOOKUP($A140,Input_Raw!$A:$A,Input_Raw!$CF:$CF),"")</f>
        <v>0</v>
      </c>
      <c r="Y140" s="105">
        <f>IFERROR(_xlfn.XLOOKUP($A140,Input_Raw!$A:$A,Input_Raw!$CZ:$CZ),"")</f>
        <v>0</v>
      </c>
      <c r="Z140" s="105">
        <f>IFERROR(_xlfn.XLOOKUP($A140,Input_Raw!$A:$A,Input_Raw!$DA:$DA),"")</f>
        <v>0</v>
      </c>
      <c r="AA140" s="107">
        <f t="shared" si="9"/>
        <v>0</v>
      </c>
      <c r="AB140" s="105">
        <f>IFERROR(_xlfn.XLOOKUP($A140,Input_Raw!$A:$A,Input_Raw!$DG:$DG),"")</f>
        <v>0</v>
      </c>
      <c r="AC140" s="125">
        <f>IFERROR(_xlfn.XLOOKUP($D140,'Modelling New'!$D:$D,'Modelling New'!$J:$J),"")</f>
        <v>6.8666666666666671</v>
      </c>
      <c r="AD140" s="107">
        <f>IFERROR(_xlfn.XLOOKUP($D140,'Modelling New'!$D:$D,'Modelling New'!$T:$T)*1000,"")</f>
        <v>616013.63346204848</v>
      </c>
      <c r="AE140" s="124"/>
      <c r="AF140" s="124">
        <f>IFERROR(_xlfn.XLOOKUP($D140,'Modelling New'!$D:$D,'Modelling New'!$W:$W),"")</f>
        <v>0.3290671118921199</v>
      </c>
      <c r="AG140" s="124">
        <f>IFERROR(_xlfn.XLOOKUP($D140,'Modelling New'!$D:$D,'Modelling New'!$AE:$AE),"")</f>
        <v>0.96029999999999993</v>
      </c>
      <c r="AH140" s="124">
        <f>IFERROR(_xlfn.XLOOKUP($D140,'Modelling New'!$D:$D,'Modelling New'!$AF:$AF),"")</f>
        <v>0.995</v>
      </c>
      <c r="AI140" s="105">
        <f>IFERROR(_xlfn.XLOOKUP($A140,Input_Raw!$A:$A,Input_Raw!$DE:$DE),"")</f>
        <v>0</v>
      </c>
      <c r="AJ140" s="105"/>
      <c r="AK140" s="105"/>
      <c r="AL140" s="105"/>
      <c r="AM140" s="105"/>
      <c r="AN140" s="126">
        <f>IFERROR(_xlfn.XLOOKUP($A140,Input_Raw!$A:$A,Input_Raw!$DB:$DB),"")</f>
        <v>0</v>
      </c>
      <c r="AO140" s="124" t="str">
        <f>IFERROR((_xlfn.XLOOKUP($A140,'WTG Reactive Power'!$A:$A,'WTG Reactive Power'!$AR:$AR))/X140/1000,"")</f>
        <v/>
      </c>
      <c r="AP140" s="124">
        <f>IFERROR(_xlfn.XLOOKUP($D140,'Modelling New'!$D:$D,'Modelling New'!$AK:$AK),"")</f>
        <v>0.05</v>
      </c>
      <c r="AQ140" s="124">
        <f>IFERROR(_xlfn.XLOOKUP($D140,'Modelling New'!$D:$D,'Modelling New'!$AL:$AL),"")</f>
        <v>0.05</v>
      </c>
      <c r="AR140">
        <f>IFERROR(_xlfn.XLOOKUP($D140,'Modelling New'!$D:$D,'Modelling New'!$N:$N),"")</f>
        <v>78</v>
      </c>
    </row>
    <row r="141" spans="1:44">
      <c r="A141" s="118">
        <f t="shared" si="11"/>
        <v>45884</v>
      </c>
      <c r="B141" s="107">
        <f>YEAR(Table13[[#This Row],[Date]])+IF(MONTH(Table13[[#This Row],[Date]])&gt;=4,1,0)</f>
        <v>2026</v>
      </c>
      <c r="C141" s="105">
        <f>YEAR(Table13[[#This Row],[Date]])</f>
        <v>2025</v>
      </c>
      <c r="D141" s="119">
        <f>Table13[[#This Row],[Date]]-DAY(Table13[[#This Row],[Date]])+1</f>
        <v>45870</v>
      </c>
      <c r="E141" s="105">
        <f t="shared" si="8"/>
        <v>31</v>
      </c>
      <c r="F141" s="108"/>
      <c r="G141" s="109"/>
      <c r="H141" s="109"/>
      <c r="I141" s="109"/>
      <c r="J141" s="109"/>
      <c r="K141" s="120"/>
      <c r="L141" s="109"/>
      <c r="M141" s="109" t="str">
        <f>IFERROR(_xlfn.XLOOKUP($A141,Input_Raw!$A:$A,Input_Raw!CG:CG),"")</f>
        <v/>
      </c>
      <c r="N141" s="109">
        <f>IFERROR(_xlfn.XLOOKUP($A141,Input_Raw!$A:$A,Input_Raw!CH:CH),"")</f>
        <v>0</v>
      </c>
      <c r="O141" s="121" t="str">
        <f t="shared" si="10"/>
        <v/>
      </c>
      <c r="P141" s="121" t="str">
        <f>IFERROR(1-SUMIF(WTG_BD!$F:$F,$A141,WTG_BD!$AA:$AA)/($AA141+SUMIF(WTG_BD!$F:$F,$A141,WTG_BD!$AA:$AA)),"")</f>
        <v/>
      </c>
      <c r="Q141" s="122" t="str">
        <f>IFERROR(1-SUMIF(IGA_BD!$F:$F,$A141,IGA_BD!$V:$V)/($AA141+SUMIF(IGA_BD!$F:$F,$A141,IGA_BD!$V:$V)),"")</f>
        <v/>
      </c>
      <c r="R141" s="127" t="str">
        <f>IFERROR(1-SUMIF(Grid_BD!$F:$F,$A141,Grid_BD!$X:$X)/($AA141+SUMIF(Grid_BD!$F:$F,$A141,Grid_BD!$X:$X)),"")</f>
        <v/>
      </c>
      <c r="S141" s="105"/>
      <c r="T141" s="122"/>
      <c r="U141" s="123"/>
      <c r="V141" s="105"/>
      <c r="W141" s="124">
        <f>IFERROR(Table13[[#This Row],[Mtr_Net_Exp (KWh)]]/(24*AR141*1000),"")</f>
        <v>0</v>
      </c>
      <c r="X141" s="105">
        <f>IFERROR(_xlfn.XLOOKUP($A141,Input_Raw!$A:$A,Input_Raw!$CF:$CF),"")</f>
        <v>0</v>
      </c>
      <c r="Y141" s="105">
        <f>IFERROR(_xlfn.XLOOKUP($A141,Input_Raw!$A:$A,Input_Raw!$CZ:$CZ),"")</f>
        <v>0</v>
      </c>
      <c r="Z141" s="105">
        <f>IFERROR(_xlfn.XLOOKUP($A141,Input_Raw!$A:$A,Input_Raw!$DA:$DA),"")</f>
        <v>0</v>
      </c>
      <c r="AA141" s="107">
        <f t="shared" si="9"/>
        <v>0</v>
      </c>
      <c r="AB141" s="105">
        <f>IFERROR(_xlfn.XLOOKUP($A141,Input_Raw!$A:$A,Input_Raw!$DG:$DG),"")</f>
        <v>0</v>
      </c>
      <c r="AC141" s="125">
        <f>IFERROR(_xlfn.XLOOKUP($D141,'Modelling New'!$D:$D,'Modelling New'!$J:$J),"")</f>
        <v>6.8666666666666671</v>
      </c>
      <c r="AD141" s="107">
        <f>IFERROR(_xlfn.XLOOKUP($D141,'Modelling New'!$D:$D,'Modelling New'!$T:$T)*1000,"")</f>
        <v>616013.63346204848</v>
      </c>
      <c r="AE141" s="124"/>
      <c r="AF141" s="124">
        <f>IFERROR(_xlfn.XLOOKUP($D141,'Modelling New'!$D:$D,'Modelling New'!$W:$W),"")</f>
        <v>0.3290671118921199</v>
      </c>
      <c r="AG141" s="124">
        <f>IFERROR(_xlfn.XLOOKUP($D141,'Modelling New'!$D:$D,'Modelling New'!$AE:$AE),"")</f>
        <v>0.96029999999999993</v>
      </c>
      <c r="AH141" s="124">
        <f>IFERROR(_xlfn.XLOOKUP($D141,'Modelling New'!$D:$D,'Modelling New'!$AF:$AF),"")</f>
        <v>0.995</v>
      </c>
      <c r="AI141" s="105">
        <f>IFERROR(_xlfn.XLOOKUP($A141,Input_Raw!$A:$A,Input_Raw!$DE:$DE),"")</f>
        <v>0</v>
      </c>
      <c r="AJ141" s="105"/>
      <c r="AK141" s="105"/>
      <c r="AL141" s="105"/>
      <c r="AM141" s="105"/>
      <c r="AN141" s="126">
        <f>IFERROR(_xlfn.XLOOKUP($A141,Input_Raw!$A:$A,Input_Raw!$DB:$DB),"")</f>
        <v>0</v>
      </c>
      <c r="AO141" s="124" t="str">
        <f>IFERROR((_xlfn.XLOOKUP($A141,'WTG Reactive Power'!$A:$A,'WTG Reactive Power'!$AR:$AR))/X141/1000,"")</f>
        <v/>
      </c>
      <c r="AP141" s="124">
        <f>IFERROR(_xlfn.XLOOKUP($D141,'Modelling New'!$D:$D,'Modelling New'!$AK:$AK),"")</f>
        <v>0.05</v>
      </c>
      <c r="AQ141" s="124">
        <f>IFERROR(_xlfn.XLOOKUP($D141,'Modelling New'!$D:$D,'Modelling New'!$AL:$AL),"")</f>
        <v>0.05</v>
      </c>
      <c r="AR141">
        <f>IFERROR(_xlfn.XLOOKUP($D141,'Modelling New'!$D:$D,'Modelling New'!$N:$N),"")</f>
        <v>78</v>
      </c>
    </row>
    <row r="142" spans="1:44">
      <c r="A142" s="118">
        <f t="shared" si="11"/>
        <v>45885</v>
      </c>
      <c r="B142" s="107">
        <f>YEAR(Table13[[#This Row],[Date]])+IF(MONTH(Table13[[#This Row],[Date]])&gt;=4,1,0)</f>
        <v>2026</v>
      </c>
      <c r="C142" s="105">
        <f>YEAR(Table13[[#This Row],[Date]])</f>
        <v>2025</v>
      </c>
      <c r="D142" s="119">
        <f>Table13[[#This Row],[Date]]-DAY(Table13[[#This Row],[Date]])+1</f>
        <v>45870</v>
      </c>
      <c r="E142" s="105">
        <f t="shared" si="8"/>
        <v>31</v>
      </c>
      <c r="F142" s="108"/>
      <c r="G142" s="109"/>
      <c r="H142" s="109"/>
      <c r="I142" s="109"/>
      <c r="J142" s="109"/>
      <c r="K142" s="120"/>
      <c r="L142" s="109"/>
      <c r="M142" s="109" t="str">
        <f>IFERROR(_xlfn.XLOOKUP($A142,Input_Raw!$A:$A,Input_Raw!CG:CG),"")</f>
        <v/>
      </c>
      <c r="N142" s="109" t="str">
        <f>IFERROR(_xlfn.XLOOKUP($A142,Input_Raw!$A:$A,Input_Raw!CH:CH),"")</f>
        <v/>
      </c>
      <c r="O142" s="121" t="str">
        <f t="shared" si="10"/>
        <v/>
      </c>
      <c r="P142" s="121" t="str">
        <f>IFERROR(1-SUMIF(WTG_BD!$F:$F,$A142,WTG_BD!$AA:$AA)/($AA142+SUMIF(WTG_BD!$F:$F,$A142,WTG_BD!$AA:$AA)),"")</f>
        <v/>
      </c>
      <c r="Q142" s="122" t="str">
        <f>IFERROR(1-SUMIF(IGA_BD!$F:$F,$A142,IGA_BD!$V:$V)/($AA142+SUMIF(IGA_BD!$F:$F,$A142,IGA_BD!$V:$V)),"")</f>
        <v/>
      </c>
      <c r="R142" s="127" t="str">
        <f>IFERROR(1-SUMIF(Grid_BD!$F:$F,$A142,Grid_BD!$X:$X)/($AA142+SUMIF(Grid_BD!$F:$F,$A142,Grid_BD!$X:$X)),"")</f>
        <v/>
      </c>
      <c r="S142" s="105"/>
      <c r="T142" s="122"/>
      <c r="U142" s="123"/>
      <c r="V142" s="105"/>
      <c r="W142" s="124" t="str">
        <f>IFERROR(Table13[[#This Row],[Mtr_Net_Exp (KWh)]]/(24*AR142*1000),"")</f>
        <v/>
      </c>
      <c r="X142" s="105" t="str">
        <f>IFERROR(_xlfn.XLOOKUP($A142,Input_Raw!$A:$A,Input_Raw!$CF:$CF),"")</f>
        <v/>
      </c>
      <c r="Y142" s="105" t="str">
        <f>IFERROR(_xlfn.XLOOKUP($A142,Input_Raw!$A:$A,Input_Raw!$CZ:$CZ),"")</f>
        <v/>
      </c>
      <c r="Z142" s="105" t="str">
        <f>IFERROR(_xlfn.XLOOKUP($A142,Input_Raw!$A:$A,Input_Raw!$DA:$DA),"")</f>
        <v/>
      </c>
      <c r="AA142" s="107" t="str">
        <f t="shared" si="9"/>
        <v/>
      </c>
      <c r="AB142" s="105" t="str">
        <f>IFERROR(_xlfn.XLOOKUP($A142,Input_Raw!$A:$A,Input_Raw!$DG:$DG),"")</f>
        <v/>
      </c>
      <c r="AC142" s="125">
        <f>IFERROR(_xlfn.XLOOKUP($D142,'Modelling New'!$D:$D,'Modelling New'!$J:$J),"")</f>
        <v>6.8666666666666671</v>
      </c>
      <c r="AD142" s="107">
        <f>IFERROR(_xlfn.XLOOKUP($D142,'Modelling New'!$D:$D,'Modelling New'!$T:$T)*1000,"")</f>
        <v>616013.63346204848</v>
      </c>
      <c r="AE142" s="124"/>
      <c r="AF142" s="124">
        <f>IFERROR(_xlfn.XLOOKUP($D142,'Modelling New'!$D:$D,'Modelling New'!$W:$W),"")</f>
        <v>0.3290671118921199</v>
      </c>
      <c r="AG142" s="124">
        <f>IFERROR(_xlfn.XLOOKUP($D142,'Modelling New'!$D:$D,'Modelling New'!$AE:$AE),"")</f>
        <v>0.96029999999999993</v>
      </c>
      <c r="AH142" s="124">
        <f>IFERROR(_xlfn.XLOOKUP($D142,'Modelling New'!$D:$D,'Modelling New'!$AF:$AF),"")</f>
        <v>0.995</v>
      </c>
      <c r="AI142" s="105" t="str">
        <f>IFERROR(_xlfn.XLOOKUP($A142,Input_Raw!$A:$A,Input_Raw!$DE:$DE),"")</f>
        <v/>
      </c>
      <c r="AJ142" s="105"/>
      <c r="AK142" s="105"/>
      <c r="AL142" s="105"/>
      <c r="AM142" s="105"/>
      <c r="AN142" s="126" t="str">
        <f>IFERROR(_xlfn.XLOOKUP($A142,Input_Raw!$A:$A,Input_Raw!$DB:$DB),"")</f>
        <v/>
      </c>
      <c r="AO142" s="124" t="str">
        <f>IFERROR((_xlfn.XLOOKUP($A142,'WTG Reactive Power'!$A:$A,'WTG Reactive Power'!$AR:$AR))/X142/1000,"")</f>
        <v/>
      </c>
      <c r="AP142" s="124">
        <f>IFERROR(_xlfn.XLOOKUP($D142,'Modelling New'!$D:$D,'Modelling New'!$AK:$AK),"")</f>
        <v>0.05</v>
      </c>
      <c r="AQ142" s="124">
        <f>IFERROR(_xlfn.XLOOKUP($D142,'Modelling New'!$D:$D,'Modelling New'!$AL:$AL),"")</f>
        <v>0.05</v>
      </c>
      <c r="AR142">
        <f>IFERROR(_xlfn.XLOOKUP($D142,'Modelling New'!$D:$D,'Modelling New'!$N:$N),"")</f>
        <v>78</v>
      </c>
    </row>
    <row r="143" spans="1:44">
      <c r="A143" s="118">
        <f t="shared" si="11"/>
        <v>45886</v>
      </c>
      <c r="B143" s="107">
        <f>YEAR(Table13[[#This Row],[Date]])+IF(MONTH(Table13[[#This Row],[Date]])&gt;=4,1,0)</f>
        <v>2026</v>
      </c>
      <c r="C143" s="105">
        <f>YEAR(Table13[[#This Row],[Date]])</f>
        <v>2025</v>
      </c>
      <c r="D143" s="119">
        <f>Table13[[#This Row],[Date]]-DAY(Table13[[#This Row],[Date]])+1</f>
        <v>45870</v>
      </c>
      <c r="E143" s="105">
        <f t="shared" si="8"/>
        <v>31</v>
      </c>
      <c r="F143" s="108"/>
      <c r="G143" s="109"/>
      <c r="H143" s="109"/>
      <c r="I143" s="109"/>
      <c r="J143" s="109"/>
      <c r="K143" s="120"/>
      <c r="L143" s="109"/>
      <c r="M143" s="109" t="str">
        <f>IFERROR(_xlfn.XLOOKUP($A143,Input_Raw!$A:$A,Input_Raw!CG:CG),"")</f>
        <v/>
      </c>
      <c r="N143" s="109" t="str">
        <f>IFERROR(_xlfn.XLOOKUP($A143,Input_Raw!$A:$A,Input_Raw!CH:CH),"")</f>
        <v/>
      </c>
      <c r="O143" s="121" t="str">
        <f t="shared" si="10"/>
        <v/>
      </c>
      <c r="P143" s="121" t="str">
        <f>IFERROR(1-SUMIF(WTG_BD!$F:$F,$A143,WTG_BD!$AA:$AA)/($AA143+SUMIF(WTG_BD!$F:$F,$A143,WTG_BD!$AA:$AA)),"")</f>
        <v/>
      </c>
      <c r="Q143" s="122" t="str">
        <f>IFERROR(1-SUMIF(IGA_BD!$F:$F,$A143,IGA_BD!$V:$V)/($AA143+SUMIF(IGA_BD!$F:$F,$A143,IGA_BD!$V:$V)),"")</f>
        <v/>
      </c>
      <c r="R143" s="127" t="str">
        <f>IFERROR(1-SUMIF(Grid_BD!$F:$F,$A143,Grid_BD!$X:$X)/($AA143+SUMIF(Grid_BD!$F:$F,$A143,Grid_BD!$X:$X)),"")</f>
        <v/>
      </c>
      <c r="S143" s="105"/>
      <c r="T143" s="122"/>
      <c r="U143" s="123"/>
      <c r="V143" s="105"/>
      <c r="W143" s="124" t="str">
        <f>IFERROR(Table13[[#This Row],[Mtr_Net_Exp (KWh)]]/(24*AR143*1000),"")</f>
        <v/>
      </c>
      <c r="X143" s="105" t="str">
        <f>IFERROR(_xlfn.XLOOKUP($A143,Input_Raw!$A:$A,Input_Raw!$CF:$CF),"")</f>
        <v/>
      </c>
      <c r="Y143" s="105" t="str">
        <f>IFERROR(_xlfn.XLOOKUP($A143,Input_Raw!$A:$A,Input_Raw!$CZ:$CZ),"")</f>
        <v/>
      </c>
      <c r="Z143" s="105" t="str">
        <f>IFERROR(_xlfn.XLOOKUP($A143,Input_Raw!$A:$A,Input_Raw!$DA:$DA),"")</f>
        <v/>
      </c>
      <c r="AA143" s="107" t="str">
        <f t="shared" si="9"/>
        <v/>
      </c>
      <c r="AB143" s="105" t="str">
        <f>IFERROR(_xlfn.XLOOKUP($A143,Input_Raw!$A:$A,Input_Raw!$DG:$DG),"")</f>
        <v/>
      </c>
      <c r="AC143" s="125">
        <f>IFERROR(_xlfn.XLOOKUP($D143,'Modelling New'!$D:$D,'Modelling New'!$J:$J),"")</f>
        <v>6.8666666666666671</v>
      </c>
      <c r="AD143" s="107">
        <f>IFERROR(_xlfn.XLOOKUP($D143,'Modelling New'!$D:$D,'Modelling New'!$T:$T)*1000,"")</f>
        <v>616013.63346204848</v>
      </c>
      <c r="AE143" s="124"/>
      <c r="AF143" s="124">
        <f>IFERROR(_xlfn.XLOOKUP($D143,'Modelling New'!$D:$D,'Modelling New'!$W:$W),"")</f>
        <v>0.3290671118921199</v>
      </c>
      <c r="AG143" s="124">
        <f>IFERROR(_xlfn.XLOOKUP($D143,'Modelling New'!$D:$D,'Modelling New'!$AE:$AE),"")</f>
        <v>0.96029999999999993</v>
      </c>
      <c r="AH143" s="124">
        <f>IFERROR(_xlfn.XLOOKUP($D143,'Modelling New'!$D:$D,'Modelling New'!$AF:$AF),"")</f>
        <v>0.995</v>
      </c>
      <c r="AI143" s="105" t="str">
        <f>IFERROR(_xlfn.XLOOKUP($A143,Input_Raw!$A:$A,Input_Raw!$DE:$DE),"")</f>
        <v/>
      </c>
      <c r="AJ143" s="105"/>
      <c r="AK143" s="105"/>
      <c r="AL143" s="105"/>
      <c r="AM143" s="105"/>
      <c r="AN143" s="126" t="str">
        <f>IFERROR(_xlfn.XLOOKUP($A143,Input_Raw!$A:$A,Input_Raw!$DB:$DB),"")</f>
        <v/>
      </c>
      <c r="AO143" s="124" t="str">
        <f>IFERROR((_xlfn.XLOOKUP($A143,'WTG Reactive Power'!$A:$A,'WTG Reactive Power'!$AR:$AR))/X143/1000,"")</f>
        <v/>
      </c>
      <c r="AP143" s="124">
        <f>IFERROR(_xlfn.XLOOKUP($D143,'Modelling New'!$D:$D,'Modelling New'!$AK:$AK),"")</f>
        <v>0.05</v>
      </c>
      <c r="AQ143" s="124">
        <f>IFERROR(_xlfn.XLOOKUP($D143,'Modelling New'!$D:$D,'Modelling New'!$AL:$AL),"")</f>
        <v>0.05</v>
      </c>
      <c r="AR143">
        <f>IFERROR(_xlfn.XLOOKUP($D143,'Modelling New'!$D:$D,'Modelling New'!$N:$N),"")</f>
        <v>78</v>
      </c>
    </row>
    <row r="144" spans="1:44">
      <c r="A144" s="118">
        <f t="shared" si="11"/>
        <v>45887</v>
      </c>
      <c r="B144" s="107">
        <f>YEAR(Table13[[#This Row],[Date]])+IF(MONTH(Table13[[#This Row],[Date]])&gt;=4,1,0)</f>
        <v>2026</v>
      </c>
      <c r="C144" s="105">
        <f>YEAR(Table13[[#This Row],[Date]])</f>
        <v>2025</v>
      </c>
      <c r="D144" s="119">
        <f>Table13[[#This Row],[Date]]-DAY(Table13[[#This Row],[Date]])+1</f>
        <v>45870</v>
      </c>
      <c r="E144" s="105">
        <f t="shared" si="8"/>
        <v>31</v>
      </c>
      <c r="F144" s="108"/>
      <c r="G144" s="109"/>
      <c r="H144" s="109"/>
      <c r="I144" s="109"/>
      <c r="J144" s="109"/>
      <c r="K144" s="120"/>
      <c r="L144" s="109"/>
      <c r="M144" s="109" t="str">
        <f>IFERROR(_xlfn.XLOOKUP($A144,Input_Raw!$A:$A,Input_Raw!CG:CG),"")</f>
        <v/>
      </c>
      <c r="N144" s="109" t="str">
        <f>IFERROR(_xlfn.XLOOKUP($A144,Input_Raw!$A:$A,Input_Raw!CH:CH),"")</f>
        <v/>
      </c>
      <c r="O144" s="121" t="str">
        <f t="shared" si="10"/>
        <v/>
      </c>
      <c r="P144" s="121" t="str">
        <f>IFERROR(1-SUMIF(WTG_BD!$F:$F,$A144,WTG_BD!$AA:$AA)/($AA144+SUMIF(WTG_BD!$F:$F,$A144,WTG_BD!$AA:$AA)),"")</f>
        <v/>
      </c>
      <c r="Q144" s="122" t="str">
        <f>IFERROR(1-SUMIF(IGA_BD!$F:$F,$A144,IGA_BD!$V:$V)/($AA144+SUMIF(IGA_BD!$F:$F,$A144,IGA_BD!$V:$V)),"")</f>
        <v/>
      </c>
      <c r="R144" s="127" t="str">
        <f>IFERROR(1-SUMIF(Grid_BD!$F:$F,$A144,Grid_BD!$X:$X)/($AA144+SUMIF(Grid_BD!$F:$F,$A144,Grid_BD!$X:$X)),"")</f>
        <v/>
      </c>
      <c r="S144" s="105"/>
      <c r="T144" s="122"/>
      <c r="U144" s="123"/>
      <c r="V144" s="105"/>
      <c r="W144" s="124" t="str">
        <f>IFERROR(Table13[[#This Row],[Mtr_Net_Exp (KWh)]]/(24*AR144*1000),"")</f>
        <v/>
      </c>
      <c r="X144" s="105" t="str">
        <f>IFERROR(_xlfn.XLOOKUP($A144,Input_Raw!$A:$A,Input_Raw!$CF:$CF),"")</f>
        <v/>
      </c>
      <c r="Y144" s="105" t="str">
        <f>IFERROR(_xlfn.XLOOKUP($A144,Input_Raw!$A:$A,Input_Raw!$CZ:$CZ),"")</f>
        <v/>
      </c>
      <c r="Z144" s="105" t="str">
        <f>IFERROR(_xlfn.XLOOKUP($A144,Input_Raw!$A:$A,Input_Raw!$DA:$DA),"")</f>
        <v/>
      </c>
      <c r="AA144" s="107" t="str">
        <f t="shared" si="9"/>
        <v/>
      </c>
      <c r="AB144" s="105" t="str">
        <f>IFERROR(_xlfn.XLOOKUP($A144,Input_Raw!$A:$A,Input_Raw!$DG:$DG),"")</f>
        <v/>
      </c>
      <c r="AC144" s="125">
        <f>IFERROR(_xlfn.XLOOKUP($D144,'Modelling New'!$D:$D,'Modelling New'!$J:$J),"")</f>
        <v>6.8666666666666671</v>
      </c>
      <c r="AD144" s="107">
        <f>IFERROR(_xlfn.XLOOKUP($D144,'Modelling New'!$D:$D,'Modelling New'!$T:$T)*1000,"")</f>
        <v>616013.63346204848</v>
      </c>
      <c r="AE144" s="124"/>
      <c r="AF144" s="124">
        <f>IFERROR(_xlfn.XLOOKUP($D144,'Modelling New'!$D:$D,'Modelling New'!$W:$W),"")</f>
        <v>0.3290671118921199</v>
      </c>
      <c r="AG144" s="124">
        <f>IFERROR(_xlfn.XLOOKUP($D144,'Modelling New'!$D:$D,'Modelling New'!$AE:$AE),"")</f>
        <v>0.96029999999999993</v>
      </c>
      <c r="AH144" s="124">
        <f>IFERROR(_xlfn.XLOOKUP($D144,'Modelling New'!$D:$D,'Modelling New'!$AF:$AF),"")</f>
        <v>0.995</v>
      </c>
      <c r="AI144" s="105" t="str">
        <f>IFERROR(_xlfn.XLOOKUP($A144,Input_Raw!$A:$A,Input_Raw!$DE:$DE),"")</f>
        <v/>
      </c>
      <c r="AJ144" s="105"/>
      <c r="AK144" s="105"/>
      <c r="AL144" s="105"/>
      <c r="AM144" s="105"/>
      <c r="AN144" s="126" t="str">
        <f>IFERROR(_xlfn.XLOOKUP($A144,Input_Raw!$A:$A,Input_Raw!$DB:$DB),"")</f>
        <v/>
      </c>
      <c r="AO144" s="124" t="str">
        <f>IFERROR((_xlfn.XLOOKUP($A144,'WTG Reactive Power'!$A:$A,'WTG Reactive Power'!$AR:$AR))/X144/1000,"")</f>
        <v/>
      </c>
      <c r="AP144" s="124">
        <f>IFERROR(_xlfn.XLOOKUP($D144,'Modelling New'!$D:$D,'Modelling New'!$AK:$AK),"")</f>
        <v>0.05</v>
      </c>
      <c r="AQ144" s="124">
        <f>IFERROR(_xlfn.XLOOKUP($D144,'Modelling New'!$D:$D,'Modelling New'!$AL:$AL),"")</f>
        <v>0.05</v>
      </c>
      <c r="AR144">
        <f>IFERROR(_xlfn.XLOOKUP($D144,'Modelling New'!$D:$D,'Modelling New'!$N:$N),"")</f>
        <v>78</v>
      </c>
    </row>
    <row r="145" spans="1:44">
      <c r="A145" s="118">
        <f t="shared" si="11"/>
        <v>45888</v>
      </c>
      <c r="B145" s="107">
        <f>YEAR(Table13[[#This Row],[Date]])+IF(MONTH(Table13[[#This Row],[Date]])&gt;=4,1,0)</f>
        <v>2026</v>
      </c>
      <c r="C145" s="105">
        <f>YEAR(Table13[[#This Row],[Date]])</f>
        <v>2025</v>
      </c>
      <c r="D145" s="119">
        <f>Table13[[#This Row],[Date]]-DAY(Table13[[#This Row],[Date]])+1</f>
        <v>45870</v>
      </c>
      <c r="E145" s="105">
        <f t="shared" si="8"/>
        <v>31</v>
      </c>
      <c r="F145" s="108"/>
      <c r="G145" s="109"/>
      <c r="H145" s="109"/>
      <c r="I145" s="109"/>
      <c r="J145" s="109"/>
      <c r="K145" s="120"/>
      <c r="L145" s="109"/>
      <c r="M145" s="109" t="str">
        <f>IFERROR(_xlfn.XLOOKUP($A145,Input_Raw!$A:$A,Input_Raw!CG:CG),"")</f>
        <v/>
      </c>
      <c r="N145" s="109" t="str">
        <f>IFERROR(_xlfn.XLOOKUP($A145,Input_Raw!$A:$A,Input_Raw!CH:CH),"")</f>
        <v/>
      </c>
      <c r="O145" s="121" t="str">
        <f t="shared" si="10"/>
        <v/>
      </c>
      <c r="P145" s="121" t="str">
        <f>IFERROR(1-SUMIF(WTG_BD!$F:$F,$A145,WTG_BD!$AA:$AA)/($AA145+SUMIF(WTG_BD!$F:$F,$A145,WTG_BD!$AA:$AA)),"")</f>
        <v/>
      </c>
      <c r="Q145" s="122" t="str">
        <f>IFERROR(1-SUMIF(IGA_BD!$F:$F,$A145,IGA_BD!$V:$V)/($AA145+SUMIF(IGA_BD!$F:$F,$A145,IGA_BD!$V:$V)),"")</f>
        <v/>
      </c>
      <c r="R145" s="127" t="str">
        <f>IFERROR(1-SUMIF(Grid_BD!$F:$F,$A145,Grid_BD!$X:$X)/($AA145+SUMIF(Grid_BD!$F:$F,$A145,Grid_BD!$X:$X)),"")</f>
        <v/>
      </c>
      <c r="S145" s="105"/>
      <c r="T145" s="122"/>
      <c r="U145" s="123"/>
      <c r="V145" s="105"/>
      <c r="W145" s="124" t="str">
        <f>IFERROR(Table13[[#This Row],[Mtr_Net_Exp (KWh)]]/(24*AR145*1000),"")</f>
        <v/>
      </c>
      <c r="X145" s="105" t="str">
        <f>IFERROR(_xlfn.XLOOKUP($A145,Input_Raw!$A:$A,Input_Raw!$CF:$CF),"")</f>
        <v/>
      </c>
      <c r="Y145" s="105" t="str">
        <f>IFERROR(_xlfn.XLOOKUP($A145,Input_Raw!$A:$A,Input_Raw!$CZ:$CZ),"")</f>
        <v/>
      </c>
      <c r="Z145" s="105" t="str">
        <f>IFERROR(_xlfn.XLOOKUP($A145,Input_Raw!$A:$A,Input_Raw!$DA:$DA),"")</f>
        <v/>
      </c>
      <c r="AA145" s="107" t="str">
        <f t="shared" si="9"/>
        <v/>
      </c>
      <c r="AB145" s="105" t="str">
        <f>IFERROR(_xlfn.XLOOKUP($A145,Input_Raw!$A:$A,Input_Raw!$DG:$DG),"")</f>
        <v/>
      </c>
      <c r="AC145" s="125">
        <f>IFERROR(_xlfn.XLOOKUP($D145,'Modelling New'!$D:$D,'Modelling New'!$J:$J),"")</f>
        <v>6.8666666666666671</v>
      </c>
      <c r="AD145" s="107">
        <f>IFERROR(_xlfn.XLOOKUP($D145,'Modelling New'!$D:$D,'Modelling New'!$T:$T)*1000,"")</f>
        <v>616013.63346204848</v>
      </c>
      <c r="AE145" s="124"/>
      <c r="AF145" s="124">
        <f>IFERROR(_xlfn.XLOOKUP($D145,'Modelling New'!$D:$D,'Modelling New'!$W:$W),"")</f>
        <v>0.3290671118921199</v>
      </c>
      <c r="AG145" s="124">
        <f>IFERROR(_xlfn.XLOOKUP($D145,'Modelling New'!$D:$D,'Modelling New'!$AE:$AE),"")</f>
        <v>0.96029999999999993</v>
      </c>
      <c r="AH145" s="124">
        <f>IFERROR(_xlfn.XLOOKUP($D145,'Modelling New'!$D:$D,'Modelling New'!$AF:$AF),"")</f>
        <v>0.995</v>
      </c>
      <c r="AI145" s="105" t="str">
        <f>IFERROR(_xlfn.XLOOKUP($A145,Input_Raw!$A:$A,Input_Raw!$DE:$DE),"")</f>
        <v/>
      </c>
      <c r="AJ145" s="105"/>
      <c r="AK145" s="105"/>
      <c r="AL145" s="105"/>
      <c r="AM145" s="105"/>
      <c r="AN145" s="126" t="str">
        <f>IFERROR(_xlfn.XLOOKUP($A145,Input_Raw!$A:$A,Input_Raw!$DB:$DB),"")</f>
        <v/>
      </c>
      <c r="AO145" s="124" t="str">
        <f>IFERROR((_xlfn.XLOOKUP($A145,'WTG Reactive Power'!$A:$A,'WTG Reactive Power'!$AR:$AR))/X145/1000,"")</f>
        <v/>
      </c>
      <c r="AP145" s="124">
        <f>IFERROR(_xlfn.XLOOKUP($D145,'Modelling New'!$D:$D,'Modelling New'!$AK:$AK),"")</f>
        <v>0.05</v>
      </c>
      <c r="AQ145" s="124">
        <f>IFERROR(_xlfn.XLOOKUP($D145,'Modelling New'!$D:$D,'Modelling New'!$AL:$AL),"")</f>
        <v>0.05</v>
      </c>
      <c r="AR145">
        <f>IFERROR(_xlfn.XLOOKUP($D145,'Modelling New'!$D:$D,'Modelling New'!$N:$N),"")</f>
        <v>78</v>
      </c>
    </row>
    <row r="146" spans="1:44">
      <c r="A146" s="118">
        <f t="shared" si="11"/>
        <v>45889</v>
      </c>
      <c r="B146" s="107">
        <f>YEAR(Table13[[#This Row],[Date]])+IF(MONTH(Table13[[#This Row],[Date]])&gt;=4,1,0)</f>
        <v>2026</v>
      </c>
      <c r="C146" s="105">
        <f>YEAR(Table13[[#This Row],[Date]])</f>
        <v>2025</v>
      </c>
      <c r="D146" s="119">
        <f>Table13[[#This Row],[Date]]-DAY(Table13[[#This Row],[Date]])+1</f>
        <v>45870</v>
      </c>
      <c r="E146" s="105">
        <f t="shared" si="8"/>
        <v>31</v>
      </c>
      <c r="F146" s="108"/>
      <c r="G146" s="109"/>
      <c r="H146" s="109"/>
      <c r="I146" s="109"/>
      <c r="J146" s="109"/>
      <c r="K146" s="120"/>
      <c r="L146" s="109"/>
      <c r="M146" s="109" t="str">
        <f>IFERROR(_xlfn.XLOOKUP($A146,Input_Raw!$A:$A,Input_Raw!CG:CG),"")</f>
        <v/>
      </c>
      <c r="N146" s="109" t="str">
        <f>IFERROR(_xlfn.XLOOKUP($A146,Input_Raw!$A:$A,Input_Raw!CH:CH),"")</f>
        <v/>
      </c>
      <c r="O146" s="121" t="str">
        <f t="shared" si="10"/>
        <v/>
      </c>
      <c r="P146" s="121" t="str">
        <f>IFERROR(1-SUMIF(WTG_BD!$F:$F,$A146,WTG_BD!$AA:$AA)/($AA146+SUMIF(WTG_BD!$F:$F,$A146,WTG_BD!$AA:$AA)),"")</f>
        <v/>
      </c>
      <c r="Q146" s="122" t="str">
        <f>IFERROR(1-SUMIF(IGA_BD!$F:$F,$A146,IGA_BD!$V:$V)/($AA146+SUMIF(IGA_BD!$F:$F,$A146,IGA_BD!$V:$V)),"")</f>
        <v/>
      </c>
      <c r="R146" s="127" t="str">
        <f>IFERROR(1-SUMIF(Grid_BD!$F:$F,$A146,Grid_BD!$X:$X)/($AA146+SUMIF(Grid_BD!$F:$F,$A146,Grid_BD!$X:$X)),"")</f>
        <v/>
      </c>
      <c r="S146" s="105"/>
      <c r="T146" s="122"/>
      <c r="U146" s="123"/>
      <c r="V146" s="105"/>
      <c r="W146" s="124" t="str">
        <f>IFERROR(Table13[[#This Row],[Mtr_Net_Exp (KWh)]]/(24*AR146*1000),"")</f>
        <v/>
      </c>
      <c r="X146" s="105" t="str">
        <f>IFERROR(_xlfn.XLOOKUP($A146,Input_Raw!$A:$A,Input_Raw!$CF:$CF),"")</f>
        <v/>
      </c>
      <c r="Y146" s="105" t="str">
        <f>IFERROR(_xlfn.XLOOKUP($A146,Input_Raw!$A:$A,Input_Raw!$CZ:$CZ),"")</f>
        <v/>
      </c>
      <c r="Z146" s="105" t="str">
        <f>IFERROR(_xlfn.XLOOKUP($A146,Input_Raw!$A:$A,Input_Raw!$DA:$DA),"")</f>
        <v/>
      </c>
      <c r="AA146" s="107" t="str">
        <f t="shared" si="9"/>
        <v/>
      </c>
      <c r="AB146" s="105" t="str">
        <f>IFERROR(_xlfn.XLOOKUP($A146,Input_Raw!$A:$A,Input_Raw!$DG:$DG),"")</f>
        <v/>
      </c>
      <c r="AC146" s="125">
        <f>IFERROR(_xlfn.XLOOKUP($D146,'Modelling New'!$D:$D,'Modelling New'!$J:$J),"")</f>
        <v>6.8666666666666671</v>
      </c>
      <c r="AD146" s="107">
        <f>IFERROR(_xlfn.XLOOKUP($D146,'Modelling New'!$D:$D,'Modelling New'!$T:$T)*1000,"")</f>
        <v>616013.63346204848</v>
      </c>
      <c r="AE146" s="124"/>
      <c r="AF146" s="124">
        <f>IFERROR(_xlfn.XLOOKUP($D146,'Modelling New'!$D:$D,'Modelling New'!$W:$W),"")</f>
        <v>0.3290671118921199</v>
      </c>
      <c r="AG146" s="124">
        <f>IFERROR(_xlfn.XLOOKUP($D146,'Modelling New'!$D:$D,'Modelling New'!$AE:$AE),"")</f>
        <v>0.96029999999999993</v>
      </c>
      <c r="AH146" s="124">
        <f>IFERROR(_xlfn.XLOOKUP($D146,'Modelling New'!$D:$D,'Modelling New'!$AF:$AF),"")</f>
        <v>0.995</v>
      </c>
      <c r="AI146" s="105" t="str">
        <f>IFERROR(_xlfn.XLOOKUP($A146,Input_Raw!$A:$A,Input_Raw!$DE:$DE),"")</f>
        <v/>
      </c>
      <c r="AJ146" s="105"/>
      <c r="AK146" s="105"/>
      <c r="AL146" s="105"/>
      <c r="AM146" s="105"/>
      <c r="AN146" s="126" t="str">
        <f>IFERROR(_xlfn.XLOOKUP($A146,Input_Raw!$A:$A,Input_Raw!$DB:$DB),"")</f>
        <v/>
      </c>
      <c r="AO146" s="124" t="str">
        <f>IFERROR((_xlfn.XLOOKUP($A146,'WTG Reactive Power'!$A:$A,'WTG Reactive Power'!$AR:$AR))/X146/1000,"")</f>
        <v/>
      </c>
      <c r="AP146" s="124">
        <f>IFERROR(_xlfn.XLOOKUP($D146,'Modelling New'!$D:$D,'Modelling New'!$AK:$AK),"")</f>
        <v>0.05</v>
      </c>
      <c r="AQ146" s="124">
        <f>IFERROR(_xlfn.XLOOKUP($D146,'Modelling New'!$D:$D,'Modelling New'!$AL:$AL),"")</f>
        <v>0.05</v>
      </c>
      <c r="AR146">
        <f>IFERROR(_xlfn.XLOOKUP($D146,'Modelling New'!$D:$D,'Modelling New'!$N:$N),"")</f>
        <v>78</v>
      </c>
    </row>
    <row r="147" spans="1:44">
      <c r="A147" s="118">
        <f t="shared" si="11"/>
        <v>45890</v>
      </c>
      <c r="B147" s="107">
        <f>YEAR(Table13[[#This Row],[Date]])+IF(MONTH(Table13[[#This Row],[Date]])&gt;=4,1,0)</f>
        <v>2026</v>
      </c>
      <c r="C147" s="105">
        <f>YEAR(Table13[[#This Row],[Date]])</f>
        <v>2025</v>
      </c>
      <c r="D147" s="119">
        <f>Table13[[#This Row],[Date]]-DAY(Table13[[#This Row],[Date]])+1</f>
        <v>45870</v>
      </c>
      <c r="E147" s="105">
        <f t="shared" si="8"/>
        <v>31</v>
      </c>
      <c r="F147" s="108"/>
      <c r="G147" s="109"/>
      <c r="H147" s="109"/>
      <c r="I147" s="109"/>
      <c r="J147" s="109"/>
      <c r="K147" s="120"/>
      <c r="L147" s="109"/>
      <c r="M147" s="109" t="str">
        <f>IFERROR(_xlfn.XLOOKUP($A147,Input_Raw!$A:$A,Input_Raw!CG:CG),"")</f>
        <v/>
      </c>
      <c r="N147" s="109" t="str">
        <f>IFERROR(_xlfn.XLOOKUP($A147,Input_Raw!$A:$A,Input_Raw!CH:CH),"")</f>
        <v/>
      </c>
      <c r="O147" s="121" t="str">
        <f t="shared" si="10"/>
        <v/>
      </c>
      <c r="P147" s="121" t="str">
        <f>IFERROR(1-SUMIF(WTG_BD!$F:$F,$A147,WTG_BD!$AA:$AA)/($AA147+SUMIF(WTG_BD!$F:$F,$A147,WTG_BD!$AA:$AA)),"")</f>
        <v/>
      </c>
      <c r="Q147" s="122" t="str">
        <f>IFERROR(1-SUMIF(IGA_BD!$F:$F,$A147,IGA_BD!$V:$V)/($AA147+SUMIF(IGA_BD!$F:$F,$A147,IGA_BD!$V:$V)),"")</f>
        <v/>
      </c>
      <c r="R147" s="127" t="str">
        <f>IFERROR(1-SUMIF(Grid_BD!$F:$F,$A147,Grid_BD!$X:$X)/($AA147+SUMIF(Grid_BD!$F:$F,$A147,Grid_BD!$X:$X)),"")</f>
        <v/>
      </c>
      <c r="S147" s="105"/>
      <c r="T147" s="122"/>
      <c r="U147" s="123"/>
      <c r="V147" s="105"/>
      <c r="W147" s="124" t="str">
        <f>IFERROR(Table13[[#This Row],[Mtr_Net_Exp (KWh)]]/(24*AR147*1000),"")</f>
        <v/>
      </c>
      <c r="X147" s="105" t="str">
        <f>IFERROR(_xlfn.XLOOKUP($A147,Input_Raw!$A:$A,Input_Raw!$CF:$CF),"")</f>
        <v/>
      </c>
      <c r="Y147" s="105" t="str">
        <f>IFERROR(_xlfn.XLOOKUP($A147,Input_Raw!$A:$A,Input_Raw!$CZ:$CZ),"")</f>
        <v/>
      </c>
      <c r="Z147" s="105" t="str">
        <f>IFERROR(_xlfn.XLOOKUP($A147,Input_Raw!$A:$A,Input_Raw!$DA:$DA),"")</f>
        <v/>
      </c>
      <c r="AA147" s="107" t="str">
        <f t="shared" si="9"/>
        <v/>
      </c>
      <c r="AB147" s="105" t="str">
        <f>IFERROR(_xlfn.XLOOKUP($A147,Input_Raw!$A:$A,Input_Raw!$DG:$DG),"")</f>
        <v/>
      </c>
      <c r="AC147" s="125">
        <f>IFERROR(_xlfn.XLOOKUP($D147,'Modelling New'!$D:$D,'Modelling New'!$J:$J),"")</f>
        <v>6.8666666666666671</v>
      </c>
      <c r="AD147" s="107">
        <f>IFERROR(_xlfn.XLOOKUP($D147,'Modelling New'!$D:$D,'Modelling New'!$T:$T)*1000,"")</f>
        <v>616013.63346204848</v>
      </c>
      <c r="AE147" s="124"/>
      <c r="AF147" s="124">
        <f>IFERROR(_xlfn.XLOOKUP($D147,'Modelling New'!$D:$D,'Modelling New'!$W:$W),"")</f>
        <v>0.3290671118921199</v>
      </c>
      <c r="AG147" s="124">
        <f>IFERROR(_xlfn.XLOOKUP($D147,'Modelling New'!$D:$D,'Modelling New'!$AE:$AE),"")</f>
        <v>0.96029999999999993</v>
      </c>
      <c r="AH147" s="124">
        <f>IFERROR(_xlfn.XLOOKUP($D147,'Modelling New'!$D:$D,'Modelling New'!$AF:$AF),"")</f>
        <v>0.995</v>
      </c>
      <c r="AI147" s="105" t="str">
        <f>IFERROR(_xlfn.XLOOKUP($A147,Input_Raw!$A:$A,Input_Raw!$DE:$DE),"")</f>
        <v/>
      </c>
      <c r="AJ147" s="105"/>
      <c r="AK147" s="105"/>
      <c r="AL147" s="105"/>
      <c r="AM147" s="105"/>
      <c r="AN147" s="126" t="str">
        <f>IFERROR(_xlfn.XLOOKUP($A147,Input_Raw!$A:$A,Input_Raw!$DB:$DB),"")</f>
        <v/>
      </c>
      <c r="AO147" s="124" t="str">
        <f>IFERROR((_xlfn.XLOOKUP($A147,'WTG Reactive Power'!$A:$A,'WTG Reactive Power'!$AR:$AR))/X147/1000,"")</f>
        <v/>
      </c>
      <c r="AP147" s="124">
        <f>IFERROR(_xlfn.XLOOKUP($D147,'Modelling New'!$D:$D,'Modelling New'!$AK:$AK),"")</f>
        <v>0.05</v>
      </c>
      <c r="AQ147" s="124">
        <f>IFERROR(_xlfn.XLOOKUP($D147,'Modelling New'!$D:$D,'Modelling New'!$AL:$AL),"")</f>
        <v>0.05</v>
      </c>
      <c r="AR147">
        <f>IFERROR(_xlfn.XLOOKUP($D147,'Modelling New'!$D:$D,'Modelling New'!$N:$N),"")</f>
        <v>78</v>
      </c>
    </row>
    <row r="148" spans="1:44">
      <c r="A148" s="118">
        <f t="shared" si="11"/>
        <v>45891</v>
      </c>
      <c r="B148" s="107">
        <f>YEAR(Table13[[#This Row],[Date]])+IF(MONTH(Table13[[#This Row],[Date]])&gt;=4,1,0)</f>
        <v>2026</v>
      </c>
      <c r="C148" s="105">
        <f>YEAR(Table13[[#This Row],[Date]])</f>
        <v>2025</v>
      </c>
      <c r="D148" s="119">
        <f>Table13[[#This Row],[Date]]-DAY(Table13[[#This Row],[Date]])+1</f>
        <v>45870</v>
      </c>
      <c r="E148" s="105">
        <f t="shared" si="8"/>
        <v>31</v>
      </c>
      <c r="F148" s="108"/>
      <c r="G148" s="109"/>
      <c r="H148" s="109"/>
      <c r="I148" s="109"/>
      <c r="J148" s="109"/>
      <c r="K148" s="120"/>
      <c r="L148" s="109"/>
      <c r="M148" s="109" t="str">
        <f>IFERROR(_xlfn.XLOOKUP($A148,Input_Raw!$A:$A,Input_Raw!CG:CG),"")</f>
        <v/>
      </c>
      <c r="N148" s="109" t="str">
        <f>IFERROR(_xlfn.XLOOKUP($A148,Input_Raw!$A:$A,Input_Raw!CH:CH),"")</f>
        <v/>
      </c>
      <c r="O148" s="121" t="str">
        <f t="shared" si="10"/>
        <v/>
      </c>
      <c r="P148" s="121" t="str">
        <f>IFERROR(1-SUMIF(WTG_BD!$F:$F,$A148,WTG_BD!$AA:$AA)/($AA148+SUMIF(WTG_BD!$F:$F,$A148,WTG_BD!$AA:$AA)),"")</f>
        <v/>
      </c>
      <c r="Q148" s="122" t="str">
        <f>IFERROR(1-SUMIF(IGA_BD!$F:$F,$A148,IGA_BD!$V:$V)/($AA148+SUMIF(IGA_BD!$F:$F,$A148,IGA_BD!$V:$V)),"")</f>
        <v/>
      </c>
      <c r="R148" s="127" t="str">
        <f>IFERROR(1-SUMIF(Grid_BD!$F:$F,$A148,Grid_BD!$X:$X)/($AA148+SUMIF(Grid_BD!$F:$F,$A148,Grid_BD!$X:$X)),"")</f>
        <v/>
      </c>
      <c r="S148" s="105"/>
      <c r="T148" s="122"/>
      <c r="U148" s="123"/>
      <c r="V148" s="105"/>
      <c r="W148" s="124" t="str">
        <f>IFERROR(Table13[[#This Row],[Mtr_Net_Exp (KWh)]]/(24*AR148*1000),"")</f>
        <v/>
      </c>
      <c r="X148" s="105" t="str">
        <f>IFERROR(_xlfn.XLOOKUP($A148,Input_Raw!$A:$A,Input_Raw!$CF:$CF),"")</f>
        <v/>
      </c>
      <c r="Y148" s="105" t="str">
        <f>IFERROR(_xlfn.XLOOKUP($A148,Input_Raw!$A:$A,Input_Raw!$CZ:$CZ),"")</f>
        <v/>
      </c>
      <c r="Z148" s="105" t="str">
        <f>IFERROR(_xlfn.XLOOKUP($A148,Input_Raw!$A:$A,Input_Raw!$DA:$DA),"")</f>
        <v/>
      </c>
      <c r="AA148" s="107" t="str">
        <f t="shared" si="9"/>
        <v/>
      </c>
      <c r="AB148" s="105" t="str">
        <f>IFERROR(_xlfn.XLOOKUP($A148,Input_Raw!$A:$A,Input_Raw!$DG:$DG),"")</f>
        <v/>
      </c>
      <c r="AC148" s="125">
        <f>IFERROR(_xlfn.XLOOKUP($D148,'Modelling New'!$D:$D,'Modelling New'!$J:$J),"")</f>
        <v>6.8666666666666671</v>
      </c>
      <c r="AD148" s="107">
        <f>IFERROR(_xlfn.XLOOKUP($D148,'Modelling New'!$D:$D,'Modelling New'!$T:$T)*1000,"")</f>
        <v>616013.63346204848</v>
      </c>
      <c r="AE148" s="124"/>
      <c r="AF148" s="124">
        <f>IFERROR(_xlfn.XLOOKUP($D148,'Modelling New'!$D:$D,'Modelling New'!$W:$W),"")</f>
        <v>0.3290671118921199</v>
      </c>
      <c r="AG148" s="124">
        <f>IFERROR(_xlfn.XLOOKUP($D148,'Modelling New'!$D:$D,'Modelling New'!$AE:$AE),"")</f>
        <v>0.96029999999999993</v>
      </c>
      <c r="AH148" s="124">
        <f>IFERROR(_xlfn.XLOOKUP($D148,'Modelling New'!$D:$D,'Modelling New'!$AF:$AF),"")</f>
        <v>0.995</v>
      </c>
      <c r="AI148" s="105" t="str">
        <f>IFERROR(_xlfn.XLOOKUP($A148,Input_Raw!$A:$A,Input_Raw!$DE:$DE),"")</f>
        <v/>
      </c>
      <c r="AJ148" s="105"/>
      <c r="AK148" s="105"/>
      <c r="AL148" s="105"/>
      <c r="AM148" s="105"/>
      <c r="AN148" s="126" t="str">
        <f>IFERROR(_xlfn.XLOOKUP($A148,Input_Raw!$A:$A,Input_Raw!$DB:$DB),"")</f>
        <v/>
      </c>
      <c r="AO148" s="124" t="str">
        <f>IFERROR((_xlfn.XLOOKUP($A148,'WTG Reactive Power'!$A:$A,'WTG Reactive Power'!$AR:$AR))/X148/1000,"")</f>
        <v/>
      </c>
      <c r="AP148" s="124">
        <f>IFERROR(_xlfn.XLOOKUP($D148,'Modelling New'!$D:$D,'Modelling New'!$AK:$AK),"")</f>
        <v>0.05</v>
      </c>
      <c r="AQ148" s="124">
        <f>IFERROR(_xlfn.XLOOKUP($D148,'Modelling New'!$D:$D,'Modelling New'!$AL:$AL),"")</f>
        <v>0.05</v>
      </c>
      <c r="AR148">
        <f>IFERROR(_xlfn.XLOOKUP($D148,'Modelling New'!$D:$D,'Modelling New'!$N:$N),"")</f>
        <v>78</v>
      </c>
    </row>
    <row r="149" spans="1:44">
      <c r="A149" s="118">
        <f t="shared" si="11"/>
        <v>45892</v>
      </c>
      <c r="B149" s="107">
        <f>YEAR(Table13[[#This Row],[Date]])+IF(MONTH(Table13[[#This Row],[Date]])&gt;=4,1,0)</f>
        <v>2026</v>
      </c>
      <c r="C149" s="105">
        <f>YEAR(Table13[[#This Row],[Date]])</f>
        <v>2025</v>
      </c>
      <c r="D149" s="119">
        <f>Table13[[#This Row],[Date]]-DAY(Table13[[#This Row],[Date]])+1</f>
        <v>45870</v>
      </c>
      <c r="E149" s="105">
        <f t="shared" si="8"/>
        <v>31</v>
      </c>
      <c r="F149" s="108"/>
      <c r="G149" s="109"/>
      <c r="H149" s="109"/>
      <c r="I149" s="109"/>
      <c r="J149" s="109"/>
      <c r="K149" s="120"/>
      <c r="L149" s="109"/>
      <c r="M149" s="109" t="str">
        <f>IFERROR(_xlfn.XLOOKUP($A149,Input_Raw!$A:$A,Input_Raw!CG:CG),"")</f>
        <v/>
      </c>
      <c r="N149" s="109" t="str">
        <f>IFERROR(_xlfn.XLOOKUP($A149,Input_Raw!$A:$A,Input_Raw!CH:CH),"")</f>
        <v/>
      </c>
      <c r="O149" s="121" t="str">
        <f t="shared" si="10"/>
        <v/>
      </c>
      <c r="P149" s="121" t="str">
        <f>IFERROR(1-SUMIF(WTG_BD!$F:$F,$A149,WTG_BD!$AA:$AA)/($AA149+SUMIF(WTG_BD!$F:$F,$A149,WTG_BD!$AA:$AA)),"")</f>
        <v/>
      </c>
      <c r="Q149" s="122" t="str">
        <f>IFERROR(1-SUMIF(IGA_BD!$F:$F,$A149,IGA_BD!$V:$V)/($AA149+SUMIF(IGA_BD!$F:$F,$A149,IGA_BD!$V:$V)),"")</f>
        <v/>
      </c>
      <c r="R149" s="127" t="str">
        <f>IFERROR(1-SUMIF(Grid_BD!$F:$F,$A149,Grid_BD!$X:$X)/($AA149+SUMIF(Grid_BD!$F:$F,$A149,Grid_BD!$X:$X)),"")</f>
        <v/>
      </c>
      <c r="S149" s="105"/>
      <c r="T149" s="122"/>
      <c r="U149" s="123"/>
      <c r="V149" s="105"/>
      <c r="W149" s="124" t="str">
        <f>IFERROR(Table13[[#This Row],[Mtr_Net_Exp (KWh)]]/(24*AR149*1000),"")</f>
        <v/>
      </c>
      <c r="X149" s="105" t="str">
        <f>IFERROR(_xlfn.XLOOKUP($A149,Input_Raw!$A:$A,Input_Raw!$CF:$CF),"")</f>
        <v/>
      </c>
      <c r="Y149" s="105" t="str">
        <f>IFERROR(_xlfn.XLOOKUP($A149,Input_Raw!$A:$A,Input_Raw!$CZ:$CZ),"")</f>
        <v/>
      </c>
      <c r="Z149" s="105" t="str">
        <f>IFERROR(_xlfn.XLOOKUP($A149,Input_Raw!$A:$A,Input_Raw!$DA:$DA),"")</f>
        <v/>
      </c>
      <c r="AA149" s="107" t="str">
        <f t="shared" si="9"/>
        <v/>
      </c>
      <c r="AB149" s="105" t="str">
        <f>IFERROR(_xlfn.XLOOKUP($A149,Input_Raw!$A:$A,Input_Raw!$DG:$DG),"")</f>
        <v/>
      </c>
      <c r="AC149" s="125">
        <f>IFERROR(_xlfn.XLOOKUP($D149,'Modelling New'!$D:$D,'Modelling New'!$J:$J),"")</f>
        <v>6.8666666666666671</v>
      </c>
      <c r="AD149" s="107">
        <f>IFERROR(_xlfn.XLOOKUP($D149,'Modelling New'!$D:$D,'Modelling New'!$T:$T)*1000,"")</f>
        <v>616013.63346204848</v>
      </c>
      <c r="AE149" s="124"/>
      <c r="AF149" s="124">
        <f>IFERROR(_xlfn.XLOOKUP($D149,'Modelling New'!$D:$D,'Modelling New'!$W:$W),"")</f>
        <v>0.3290671118921199</v>
      </c>
      <c r="AG149" s="124">
        <f>IFERROR(_xlfn.XLOOKUP($D149,'Modelling New'!$D:$D,'Modelling New'!$AE:$AE),"")</f>
        <v>0.96029999999999993</v>
      </c>
      <c r="AH149" s="124">
        <f>IFERROR(_xlfn.XLOOKUP($D149,'Modelling New'!$D:$D,'Modelling New'!$AF:$AF),"")</f>
        <v>0.995</v>
      </c>
      <c r="AI149" s="105" t="str">
        <f>IFERROR(_xlfn.XLOOKUP($A149,Input_Raw!$A:$A,Input_Raw!$DE:$DE),"")</f>
        <v/>
      </c>
      <c r="AJ149" s="105"/>
      <c r="AK149" s="105"/>
      <c r="AL149" s="105"/>
      <c r="AM149" s="105"/>
      <c r="AN149" s="126" t="str">
        <f>IFERROR(_xlfn.XLOOKUP($A149,Input_Raw!$A:$A,Input_Raw!$DB:$DB),"")</f>
        <v/>
      </c>
      <c r="AO149" s="124" t="str">
        <f>IFERROR((_xlfn.XLOOKUP($A149,'WTG Reactive Power'!$A:$A,'WTG Reactive Power'!$AR:$AR))/X149/1000,"")</f>
        <v/>
      </c>
      <c r="AP149" s="124">
        <f>IFERROR(_xlfn.XLOOKUP($D149,'Modelling New'!$D:$D,'Modelling New'!$AK:$AK),"")</f>
        <v>0.05</v>
      </c>
      <c r="AQ149" s="124">
        <f>IFERROR(_xlfn.XLOOKUP($D149,'Modelling New'!$D:$D,'Modelling New'!$AL:$AL),"")</f>
        <v>0.05</v>
      </c>
      <c r="AR149">
        <f>IFERROR(_xlfn.XLOOKUP($D149,'Modelling New'!$D:$D,'Modelling New'!$N:$N),"")</f>
        <v>78</v>
      </c>
    </row>
    <row r="150" spans="1:44">
      <c r="A150" s="118">
        <f t="shared" si="11"/>
        <v>45893</v>
      </c>
      <c r="B150" s="107">
        <f>YEAR(Table13[[#This Row],[Date]])+IF(MONTH(Table13[[#This Row],[Date]])&gt;=4,1,0)</f>
        <v>2026</v>
      </c>
      <c r="C150" s="105">
        <f>YEAR(Table13[[#This Row],[Date]])</f>
        <v>2025</v>
      </c>
      <c r="D150" s="119">
        <f>Table13[[#This Row],[Date]]-DAY(Table13[[#This Row],[Date]])+1</f>
        <v>45870</v>
      </c>
      <c r="E150" s="105">
        <f t="shared" si="8"/>
        <v>31</v>
      </c>
      <c r="F150" s="108"/>
      <c r="G150" s="109"/>
      <c r="H150" s="109"/>
      <c r="I150" s="109"/>
      <c r="J150" s="109"/>
      <c r="K150" s="120"/>
      <c r="L150" s="109"/>
      <c r="M150" s="109" t="str">
        <f>IFERROR(_xlfn.XLOOKUP($A150,Input_Raw!$A:$A,Input_Raw!CG:CG),"")</f>
        <v/>
      </c>
      <c r="N150" s="109" t="str">
        <f>IFERROR(_xlfn.XLOOKUP($A150,Input_Raw!$A:$A,Input_Raw!CH:CH),"")</f>
        <v/>
      </c>
      <c r="O150" s="121" t="str">
        <f t="shared" si="10"/>
        <v/>
      </c>
      <c r="P150" s="121" t="str">
        <f>IFERROR(1-SUMIF(WTG_BD!$F:$F,$A150,WTG_BD!$AA:$AA)/($AA150+SUMIF(WTG_BD!$F:$F,$A150,WTG_BD!$AA:$AA)),"")</f>
        <v/>
      </c>
      <c r="Q150" s="122" t="str">
        <f>IFERROR(1-SUMIF(IGA_BD!$F:$F,$A150,IGA_BD!$V:$V)/($AA150+SUMIF(IGA_BD!$F:$F,$A150,IGA_BD!$V:$V)),"")</f>
        <v/>
      </c>
      <c r="R150" s="127" t="str">
        <f>IFERROR(1-SUMIF(Grid_BD!$F:$F,$A150,Grid_BD!$X:$X)/($AA150+SUMIF(Grid_BD!$F:$F,$A150,Grid_BD!$X:$X)),"")</f>
        <v/>
      </c>
      <c r="S150" s="105"/>
      <c r="T150" s="122"/>
      <c r="U150" s="123"/>
      <c r="V150" s="105"/>
      <c r="W150" s="124" t="str">
        <f>IFERROR(Table13[[#This Row],[Mtr_Net_Exp (KWh)]]/(24*AR150*1000),"")</f>
        <v/>
      </c>
      <c r="X150" s="105" t="str">
        <f>IFERROR(_xlfn.XLOOKUP($A150,Input_Raw!$A:$A,Input_Raw!$CF:$CF),"")</f>
        <v/>
      </c>
      <c r="Y150" s="105" t="str">
        <f>IFERROR(_xlfn.XLOOKUP($A150,Input_Raw!$A:$A,Input_Raw!$CZ:$CZ),"")</f>
        <v/>
      </c>
      <c r="Z150" s="105" t="str">
        <f>IFERROR(_xlfn.XLOOKUP($A150,Input_Raw!$A:$A,Input_Raw!$DA:$DA),"")</f>
        <v/>
      </c>
      <c r="AA150" s="107" t="str">
        <f t="shared" si="9"/>
        <v/>
      </c>
      <c r="AB150" s="105" t="str">
        <f>IFERROR(_xlfn.XLOOKUP($A150,Input_Raw!$A:$A,Input_Raw!$DG:$DG),"")</f>
        <v/>
      </c>
      <c r="AC150" s="125">
        <f>IFERROR(_xlfn.XLOOKUP($D150,'Modelling New'!$D:$D,'Modelling New'!$J:$J),"")</f>
        <v>6.8666666666666671</v>
      </c>
      <c r="AD150" s="107">
        <f>IFERROR(_xlfn.XLOOKUP($D150,'Modelling New'!$D:$D,'Modelling New'!$T:$T)*1000,"")</f>
        <v>616013.63346204848</v>
      </c>
      <c r="AE150" s="124"/>
      <c r="AF150" s="124">
        <f>IFERROR(_xlfn.XLOOKUP($D150,'Modelling New'!$D:$D,'Modelling New'!$W:$W),"")</f>
        <v>0.3290671118921199</v>
      </c>
      <c r="AG150" s="124">
        <f>IFERROR(_xlfn.XLOOKUP($D150,'Modelling New'!$D:$D,'Modelling New'!$AE:$AE),"")</f>
        <v>0.96029999999999993</v>
      </c>
      <c r="AH150" s="124">
        <f>IFERROR(_xlfn.XLOOKUP($D150,'Modelling New'!$D:$D,'Modelling New'!$AF:$AF),"")</f>
        <v>0.995</v>
      </c>
      <c r="AI150" s="105" t="str">
        <f>IFERROR(_xlfn.XLOOKUP($A150,Input_Raw!$A:$A,Input_Raw!$DE:$DE),"")</f>
        <v/>
      </c>
      <c r="AJ150" s="105"/>
      <c r="AK150" s="105"/>
      <c r="AL150" s="105"/>
      <c r="AM150" s="105"/>
      <c r="AN150" s="126" t="str">
        <f>IFERROR(_xlfn.XLOOKUP($A150,Input_Raw!$A:$A,Input_Raw!$DB:$DB),"")</f>
        <v/>
      </c>
      <c r="AO150" s="124" t="str">
        <f>IFERROR((_xlfn.XLOOKUP($A150,'WTG Reactive Power'!$A:$A,'WTG Reactive Power'!$AR:$AR))/X150/1000,"")</f>
        <v/>
      </c>
      <c r="AP150" s="124">
        <f>IFERROR(_xlfn.XLOOKUP($D150,'Modelling New'!$D:$D,'Modelling New'!$AK:$AK),"")</f>
        <v>0.05</v>
      </c>
      <c r="AQ150" s="124">
        <f>IFERROR(_xlfn.XLOOKUP($D150,'Modelling New'!$D:$D,'Modelling New'!$AL:$AL),"")</f>
        <v>0.05</v>
      </c>
      <c r="AR150">
        <f>IFERROR(_xlfn.XLOOKUP($D150,'Modelling New'!$D:$D,'Modelling New'!$N:$N),"")</f>
        <v>78</v>
      </c>
    </row>
    <row r="151" spans="1:44">
      <c r="A151" s="118">
        <f t="shared" si="11"/>
        <v>45894</v>
      </c>
      <c r="B151" s="107">
        <f>YEAR(Table13[[#This Row],[Date]])+IF(MONTH(Table13[[#This Row],[Date]])&gt;=4,1,0)</f>
        <v>2026</v>
      </c>
      <c r="C151" s="105">
        <f>YEAR(Table13[[#This Row],[Date]])</f>
        <v>2025</v>
      </c>
      <c r="D151" s="119">
        <f>Table13[[#This Row],[Date]]-DAY(Table13[[#This Row],[Date]])+1</f>
        <v>45870</v>
      </c>
      <c r="E151" s="105">
        <f t="shared" si="8"/>
        <v>31</v>
      </c>
      <c r="F151" s="108"/>
      <c r="G151" s="109"/>
      <c r="H151" s="109"/>
      <c r="I151" s="109"/>
      <c r="J151" s="109"/>
      <c r="K151" s="120"/>
      <c r="L151" s="109"/>
      <c r="M151" s="109" t="str">
        <f>IFERROR(_xlfn.XLOOKUP($A151,Input_Raw!$A:$A,Input_Raw!CG:CG),"")</f>
        <v/>
      </c>
      <c r="N151" s="109" t="str">
        <f>IFERROR(_xlfn.XLOOKUP($A151,Input_Raw!$A:$A,Input_Raw!CH:CH),"")</f>
        <v/>
      </c>
      <c r="O151" s="121" t="str">
        <f t="shared" si="10"/>
        <v/>
      </c>
      <c r="P151" s="121" t="str">
        <f>IFERROR(1-SUMIF(WTG_BD!$F:$F,$A151,WTG_BD!$AA:$AA)/($AA151+SUMIF(WTG_BD!$F:$F,$A151,WTG_BD!$AA:$AA)),"")</f>
        <v/>
      </c>
      <c r="Q151" s="122" t="str">
        <f>IFERROR(1-SUMIF(IGA_BD!$F:$F,$A151,IGA_BD!$V:$V)/($AA151+SUMIF(IGA_BD!$F:$F,$A151,IGA_BD!$V:$V)),"")</f>
        <v/>
      </c>
      <c r="R151" s="127" t="str">
        <f>IFERROR(1-SUMIF(Grid_BD!$F:$F,$A151,Grid_BD!$X:$X)/($AA151+SUMIF(Grid_BD!$F:$F,$A151,Grid_BD!$X:$X)),"")</f>
        <v/>
      </c>
      <c r="S151" s="105"/>
      <c r="T151" s="122"/>
      <c r="U151" s="123"/>
      <c r="V151" s="105"/>
      <c r="W151" s="124" t="str">
        <f>IFERROR(Table13[[#This Row],[Mtr_Net_Exp (KWh)]]/(24*AR151*1000),"")</f>
        <v/>
      </c>
      <c r="X151" s="105" t="str">
        <f>IFERROR(_xlfn.XLOOKUP($A151,Input_Raw!$A:$A,Input_Raw!$CF:$CF),"")</f>
        <v/>
      </c>
      <c r="Y151" s="105" t="str">
        <f>IFERROR(_xlfn.XLOOKUP($A151,Input_Raw!$A:$A,Input_Raw!$CZ:$CZ),"")</f>
        <v/>
      </c>
      <c r="Z151" s="105" t="str">
        <f>IFERROR(_xlfn.XLOOKUP($A151,Input_Raw!$A:$A,Input_Raw!$DA:$DA),"")</f>
        <v/>
      </c>
      <c r="AA151" s="107" t="str">
        <f t="shared" si="9"/>
        <v/>
      </c>
      <c r="AB151" s="105" t="str">
        <f>IFERROR(_xlfn.XLOOKUP($A151,Input_Raw!$A:$A,Input_Raw!$DG:$DG),"")</f>
        <v/>
      </c>
      <c r="AC151" s="125">
        <f>IFERROR(_xlfn.XLOOKUP($D151,'Modelling New'!$D:$D,'Modelling New'!$J:$J),"")</f>
        <v>6.8666666666666671</v>
      </c>
      <c r="AD151" s="107">
        <f>IFERROR(_xlfn.XLOOKUP($D151,'Modelling New'!$D:$D,'Modelling New'!$T:$T)*1000,"")</f>
        <v>616013.63346204848</v>
      </c>
      <c r="AE151" s="124"/>
      <c r="AF151" s="124">
        <f>IFERROR(_xlfn.XLOOKUP($D151,'Modelling New'!$D:$D,'Modelling New'!$W:$W),"")</f>
        <v>0.3290671118921199</v>
      </c>
      <c r="AG151" s="124">
        <f>IFERROR(_xlfn.XLOOKUP($D151,'Modelling New'!$D:$D,'Modelling New'!$AE:$AE),"")</f>
        <v>0.96029999999999993</v>
      </c>
      <c r="AH151" s="124">
        <f>IFERROR(_xlfn.XLOOKUP($D151,'Modelling New'!$D:$D,'Modelling New'!$AF:$AF),"")</f>
        <v>0.995</v>
      </c>
      <c r="AI151" s="105" t="str">
        <f>IFERROR(_xlfn.XLOOKUP($A151,Input_Raw!$A:$A,Input_Raw!$DE:$DE),"")</f>
        <v/>
      </c>
      <c r="AJ151" s="105"/>
      <c r="AK151" s="105"/>
      <c r="AL151" s="105"/>
      <c r="AM151" s="105"/>
      <c r="AN151" s="126" t="str">
        <f>IFERROR(_xlfn.XLOOKUP($A151,Input_Raw!$A:$A,Input_Raw!$DB:$DB),"")</f>
        <v/>
      </c>
      <c r="AO151" s="124" t="str">
        <f>IFERROR((_xlfn.XLOOKUP($A151,'WTG Reactive Power'!$A:$A,'WTG Reactive Power'!$AR:$AR))/X151/1000,"")</f>
        <v/>
      </c>
      <c r="AP151" s="124">
        <f>IFERROR(_xlfn.XLOOKUP($D151,'Modelling New'!$D:$D,'Modelling New'!$AK:$AK),"")</f>
        <v>0.05</v>
      </c>
      <c r="AQ151" s="124">
        <f>IFERROR(_xlfn.XLOOKUP($D151,'Modelling New'!$D:$D,'Modelling New'!$AL:$AL),"")</f>
        <v>0.05</v>
      </c>
      <c r="AR151">
        <f>IFERROR(_xlfn.XLOOKUP($D151,'Modelling New'!$D:$D,'Modelling New'!$N:$N),"")</f>
        <v>78</v>
      </c>
    </row>
    <row r="152" spans="1:44">
      <c r="A152" s="118">
        <f t="shared" si="11"/>
        <v>45895</v>
      </c>
      <c r="B152" s="107">
        <f>YEAR(Table13[[#This Row],[Date]])+IF(MONTH(Table13[[#This Row],[Date]])&gt;=4,1,0)</f>
        <v>2026</v>
      </c>
      <c r="C152" s="105">
        <f>YEAR(Table13[[#This Row],[Date]])</f>
        <v>2025</v>
      </c>
      <c r="D152" s="119">
        <f>Table13[[#This Row],[Date]]-DAY(Table13[[#This Row],[Date]])+1</f>
        <v>45870</v>
      </c>
      <c r="E152" s="105">
        <f t="shared" si="8"/>
        <v>31</v>
      </c>
      <c r="F152" s="108"/>
      <c r="G152" s="109"/>
      <c r="H152" s="109"/>
      <c r="I152" s="109"/>
      <c r="J152" s="109"/>
      <c r="K152" s="120"/>
      <c r="L152" s="109"/>
      <c r="M152" s="109" t="str">
        <f>IFERROR(_xlfn.XLOOKUP($A152,Input_Raw!$A:$A,Input_Raw!CG:CG),"")</f>
        <v/>
      </c>
      <c r="N152" s="109" t="str">
        <f>IFERROR(_xlfn.XLOOKUP($A152,Input_Raw!$A:$A,Input_Raw!CH:CH),"")</f>
        <v/>
      </c>
      <c r="O152" s="121" t="str">
        <f t="shared" si="10"/>
        <v/>
      </c>
      <c r="P152" s="121" t="str">
        <f>IFERROR(1-SUMIF(WTG_BD!$F:$F,$A152,WTG_BD!$AA:$AA)/($AA152+SUMIF(WTG_BD!$F:$F,$A152,WTG_BD!$AA:$AA)),"")</f>
        <v/>
      </c>
      <c r="Q152" s="122" t="str">
        <f>IFERROR(1-SUMIF(IGA_BD!$F:$F,$A152,IGA_BD!$V:$V)/($AA152+SUMIF(IGA_BD!$F:$F,$A152,IGA_BD!$V:$V)),"")</f>
        <v/>
      </c>
      <c r="R152" s="127" t="str">
        <f>IFERROR(1-SUMIF(Grid_BD!$F:$F,$A152,Grid_BD!$X:$X)/($AA152+SUMIF(Grid_BD!$F:$F,$A152,Grid_BD!$X:$X)),"")</f>
        <v/>
      </c>
      <c r="S152" s="105"/>
      <c r="T152" s="122"/>
      <c r="U152" s="123"/>
      <c r="V152" s="105"/>
      <c r="W152" s="124" t="str">
        <f>IFERROR(Table13[[#This Row],[Mtr_Net_Exp (KWh)]]/(24*AR152*1000),"")</f>
        <v/>
      </c>
      <c r="X152" s="105" t="str">
        <f>IFERROR(_xlfn.XLOOKUP($A152,Input_Raw!$A:$A,Input_Raw!$CF:$CF),"")</f>
        <v/>
      </c>
      <c r="Y152" s="105" t="str">
        <f>IFERROR(_xlfn.XLOOKUP($A152,Input_Raw!$A:$A,Input_Raw!$CZ:$CZ),"")</f>
        <v/>
      </c>
      <c r="Z152" s="105" t="str">
        <f>IFERROR(_xlfn.XLOOKUP($A152,Input_Raw!$A:$A,Input_Raw!$DA:$DA),"")</f>
        <v/>
      </c>
      <c r="AA152" s="107" t="str">
        <f t="shared" si="9"/>
        <v/>
      </c>
      <c r="AB152" s="105" t="str">
        <f>IFERROR(_xlfn.XLOOKUP($A152,Input_Raw!$A:$A,Input_Raw!$DG:$DG),"")</f>
        <v/>
      </c>
      <c r="AC152" s="125">
        <f>IFERROR(_xlfn.XLOOKUP($D152,'Modelling New'!$D:$D,'Modelling New'!$J:$J),"")</f>
        <v>6.8666666666666671</v>
      </c>
      <c r="AD152" s="107">
        <f>IFERROR(_xlfn.XLOOKUP($D152,'Modelling New'!$D:$D,'Modelling New'!$T:$T)*1000,"")</f>
        <v>616013.63346204848</v>
      </c>
      <c r="AE152" s="124"/>
      <c r="AF152" s="124">
        <f>IFERROR(_xlfn.XLOOKUP($D152,'Modelling New'!$D:$D,'Modelling New'!$W:$W),"")</f>
        <v>0.3290671118921199</v>
      </c>
      <c r="AG152" s="124">
        <f>IFERROR(_xlfn.XLOOKUP($D152,'Modelling New'!$D:$D,'Modelling New'!$AE:$AE),"")</f>
        <v>0.96029999999999993</v>
      </c>
      <c r="AH152" s="124">
        <f>IFERROR(_xlfn.XLOOKUP($D152,'Modelling New'!$D:$D,'Modelling New'!$AF:$AF),"")</f>
        <v>0.995</v>
      </c>
      <c r="AI152" s="105" t="str">
        <f>IFERROR(_xlfn.XLOOKUP($A152,Input_Raw!$A:$A,Input_Raw!$DE:$DE),"")</f>
        <v/>
      </c>
      <c r="AJ152" s="105"/>
      <c r="AK152" s="105"/>
      <c r="AL152" s="105"/>
      <c r="AM152" s="105"/>
      <c r="AN152" s="126" t="str">
        <f>IFERROR(_xlfn.XLOOKUP($A152,Input_Raw!$A:$A,Input_Raw!$DB:$DB),"")</f>
        <v/>
      </c>
      <c r="AO152" s="124" t="str">
        <f>IFERROR((_xlfn.XLOOKUP($A152,'WTG Reactive Power'!$A:$A,'WTG Reactive Power'!$AR:$AR))/X152/1000,"")</f>
        <v/>
      </c>
      <c r="AP152" s="124">
        <f>IFERROR(_xlfn.XLOOKUP($D152,'Modelling New'!$D:$D,'Modelling New'!$AK:$AK),"")</f>
        <v>0.05</v>
      </c>
      <c r="AQ152" s="124">
        <f>IFERROR(_xlfn.XLOOKUP($D152,'Modelling New'!$D:$D,'Modelling New'!$AL:$AL),"")</f>
        <v>0.05</v>
      </c>
      <c r="AR152">
        <f>IFERROR(_xlfn.XLOOKUP($D152,'Modelling New'!$D:$D,'Modelling New'!$N:$N),"")</f>
        <v>78</v>
      </c>
    </row>
    <row r="153" spans="1:44">
      <c r="A153" s="118">
        <f t="shared" si="11"/>
        <v>45896</v>
      </c>
      <c r="B153" s="107">
        <f>YEAR(Table13[[#This Row],[Date]])+IF(MONTH(Table13[[#This Row],[Date]])&gt;=4,1,0)</f>
        <v>2026</v>
      </c>
      <c r="C153" s="105">
        <f>YEAR(Table13[[#This Row],[Date]])</f>
        <v>2025</v>
      </c>
      <c r="D153" s="119">
        <f>Table13[[#This Row],[Date]]-DAY(Table13[[#This Row],[Date]])+1</f>
        <v>45870</v>
      </c>
      <c r="E153" s="105">
        <f t="shared" si="8"/>
        <v>31</v>
      </c>
      <c r="F153" s="108"/>
      <c r="G153" s="109"/>
      <c r="H153" s="109"/>
      <c r="I153" s="109"/>
      <c r="J153" s="109"/>
      <c r="K153" s="120"/>
      <c r="L153" s="109"/>
      <c r="M153" s="109" t="str">
        <f>IFERROR(_xlfn.XLOOKUP($A153,Input_Raw!$A:$A,Input_Raw!CG:CG),"")</f>
        <v/>
      </c>
      <c r="N153" s="109" t="str">
        <f>IFERROR(_xlfn.XLOOKUP($A153,Input_Raw!$A:$A,Input_Raw!CH:CH),"")</f>
        <v/>
      </c>
      <c r="O153" s="121" t="str">
        <f t="shared" si="10"/>
        <v/>
      </c>
      <c r="P153" s="121" t="str">
        <f>IFERROR(1-SUMIF(WTG_BD!$F:$F,$A153,WTG_BD!$AA:$AA)/($AA153+SUMIF(WTG_BD!$F:$F,$A153,WTG_BD!$AA:$AA)),"")</f>
        <v/>
      </c>
      <c r="Q153" s="122" t="str">
        <f>IFERROR(1-SUMIF(IGA_BD!$F:$F,$A153,IGA_BD!$V:$V)/($AA153+SUMIF(IGA_BD!$F:$F,$A153,IGA_BD!$V:$V)),"")</f>
        <v/>
      </c>
      <c r="R153" s="127" t="str">
        <f>IFERROR(1-SUMIF(Grid_BD!$F:$F,$A153,Grid_BD!$X:$X)/($AA153+SUMIF(Grid_BD!$F:$F,$A153,Grid_BD!$X:$X)),"")</f>
        <v/>
      </c>
      <c r="S153" s="105"/>
      <c r="T153" s="122"/>
      <c r="U153" s="123"/>
      <c r="V153" s="105"/>
      <c r="W153" s="124" t="str">
        <f>IFERROR(Table13[[#This Row],[Mtr_Net_Exp (KWh)]]/(24*AR153*1000),"")</f>
        <v/>
      </c>
      <c r="X153" s="105" t="str">
        <f>IFERROR(_xlfn.XLOOKUP($A153,Input_Raw!$A:$A,Input_Raw!$CF:$CF),"")</f>
        <v/>
      </c>
      <c r="Y153" s="105" t="str">
        <f>IFERROR(_xlfn.XLOOKUP($A153,Input_Raw!$A:$A,Input_Raw!$CZ:$CZ),"")</f>
        <v/>
      </c>
      <c r="Z153" s="105" t="str">
        <f>IFERROR(_xlfn.XLOOKUP($A153,Input_Raw!$A:$A,Input_Raw!$DA:$DA),"")</f>
        <v/>
      </c>
      <c r="AA153" s="107" t="str">
        <f t="shared" si="9"/>
        <v/>
      </c>
      <c r="AB153" s="105" t="str">
        <f>IFERROR(_xlfn.XLOOKUP($A153,Input_Raw!$A:$A,Input_Raw!$DG:$DG),"")</f>
        <v/>
      </c>
      <c r="AC153" s="125">
        <f>IFERROR(_xlfn.XLOOKUP($D153,'Modelling New'!$D:$D,'Modelling New'!$J:$J),"")</f>
        <v>6.8666666666666671</v>
      </c>
      <c r="AD153" s="107">
        <f>IFERROR(_xlfn.XLOOKUP($D153,'Modelling New'!$D:$D,'Modelling New'!$T:$T)*1000,"")</f>
        <v>616013.63346204848</v>
      </c>
      <c r="AE153" s="124"/>
      <c r="AF153" s="124">
        <f>IFERROR(_xlfn.XLOOKUP($D153,'Modelling New'!$D:$D,'Modelling New'!$W:$W),"")</f>
        <v>0.3290671118921199</v>
      </c>
      <c r="AG153" s="124">
        <f>IFERROR(_xlfn.XLOOKUP($D153,'Modelling New'!$D:$D,'Modelling New'!$AE:$AE),"")</f>
        <v>0.96029999999999993</v>
      </c>
      <c r="AH153" s="124">
        <f>IFERROR(_xlfn.XLOOKUP($D153,'Modelling New'!$D:$D,'Modelling New'!$AF:$AF),"")</f>
        <v>0.995</v>
      </c>
      <c r="AI153" s="105" t="str">
        <f>IFERROR(_xlfn.XLOOKUP($A153,Input_Raw!$A:$A,Input_Raw!$DE:$DE),"")</f>
        <v/>
      </c>
      <c r="AJ153" s="105"/>
      <c r="AK153" s="105"/>
      <c r="AL153" s="105"/>
      <c r="AM153" s="105"/>
      <c r="AN153" s="126" t="str">
        <f>IFERROR(_xlfn.XLOOKUP($A153,Input_Raw!$A:$A,Input_Raw!$DB:$DB),"")</f>
        <v/>
      </c>
      <c r="AO153" s="124" t="str">
        <f>IFERROR((_xlfn.XLOOKUP($A153,'WTG Reactive Power'!$A:$A,'WTG Reactive Power'!$AR:$AR))/X153/1000,"")</f>
        <v/>
      </c>
      <c r="AP153" s="124">
        <f>IFERROR(_xlfn.XLOOKUP($D153,'Modelling New'!$D:$D,'Modelling New'!$AK:$AK),"")</f>
        <v>0.05</v>
      </c>
      <c r="AQ153" s="124">
        <f>IFERROR(_xlfn.XLOOKUP($D153,'Modelling New'!$D:$D,'Modelling New'!$AL:$AL),"")</f>
        <v>0.05</v>
      </c>
      <c r="AR153">
        <f>IFERROR(_xlfn.XLOOKUP($D153,'Modelling New'!$D:$D,'Modelling New'!$N:$N),"")</f>
        <v>78</v>
      </c>
    </row>
    <row r="154" spans="1:44">
      <c r="A154" s="118">
        <f t="shared" si="11"/>
        <v>45897</v>
      </c>
      <c r="B154" s="107">
        <f>YEAR(Table13[[#This Row],[Date]])+IF(MONTH(Table13[[#This Row],[Date]])&gt;=4,1,0)</f>
        <v>2026</v>
      </c>
      <c r="C154" s="105">
        <f>YEAR(Table13[[#This Row],[Date]])</f>
        <v>2025</v>
      </c>
      <c r="D154" s="119">
        <f>Table13[[#This Row],[Date]]-DAY(Table13[[#This Row],[Date]])+1</f>
        <v>45870</v>
      </c>
      <c r="E154" s="105">
        <f t="shared" si="8"/>
        <v>31</v>
      </c>
      <c r="F154" s="108"/>
      <c r="G154" s="109"/>
      <c r="H154" s="109"/>
      <c r="I154" s="109"/>
      <c r="J154" s="109"/>
      <c r="K154" s="120"/>
      <c r="L154" s="109"/>
      <c r="M154" s="109" t="str">
        <f>IFERROR(_xlfn.XLOOKUP($A154,Input_Raw!$A:$A,Input_Raw!CG:CG),"")</f>
        <v/>
      </c>
      <c r="N154" s="109" t="str">
        <f>IFERROR(_xlfn.XLOOKUP($A154,Input_Raw!$A:$A,Input_Raw!CH:CH),"")</f>
        <v/>
      </c>
      <c r="O154" s="121" t="str">
        <f t="shared" si="10"/>
        <v/>
      </c>
      <c r="P154" s="121" t="str">
        <f>IFERROR(1-SUMIF(WTG_BD!$F:$F,$A154,WTG_BD!$AA:$AA)/($AA154+SUMIF(WTG_BD!$F:$F,$A154,WTG_BD!$AA:$AA)),"")</f>
        <v/>
      </c>
      <c r="Q154" s="122" t="str">
        <f>IFERROR(1-SUMIF(IGA_BD!$F:$F,$A154,IGA_BD!$V:$V)/($AA154+SUMIF(IGA_BD!$F:$F,$A154,IGA_BD!$V:$V)),"")</f>
        <v/>
      </c>
      <c r="R154" s="127" t="str">
        <f>IFERROR(1-SUMIF(Grid_BD!$F:$F,$A154,Grid_BD!$X:$X)/($AA154+SUMIF(Grid_BD!$F:$F,$A154,Grid_BD!$X:$X)),"")</f>
        <v/>
      </c>
      <c r="S154" s="105"/>
      <c r="T154" s="122"/>
      <c r="U154" s="123"/>
      <c r="V154" s="105"/>
      <c r="W154" s="124" t="str">
        <f>IFERROR(Table13[[#This Row],[Mtr_Net_Exp (KWh)]]/(24*AR154*1000),"")</f>
        <v/>
      </c>
      <c r="X154" s="105" t="str">
        <f>IFERROR(_xlfn.XLOOKUP($A154,Input_Raw!$A:$A,Input_Raw!$CF:$CF),"")</f>
        <v/>
      </c>
      <c r="Y154" s="105" t="str">
        <f>IFERROR(_xlfn.XLOOKUP($A154,Input_Raw!$A:$A,Input_Raw!$CZ:$CZ),"")</f>
        <v/>
      </c>
      <c r="Z154" s="105" t="str">
        <f>IFERROR(_xlfn.XLOOKUP($A154,Input_Raw!$A:$A,Input_Raw!$DA:$DA),"")</f>
        <v/>
      </c>
      <c r="AA154" s="107" t="str">
        <f t="shared" si="9"/>
        <v/>
      </c>
      <c r="AB154" s="105" t="str">
        <f>IFERROR(_xlfn.XLOOKUP($A154,Input_Raw!$A:$A,Input_Raw!$DG:$DG),"")</f>
        <v/>
      </c>
      <c r="AC154" s="125">
        <f>IFERROR(_xlfn.XLOOKUP($D154,'Modelling New'!$D:$D,'Modelling New'!$J:$J),"")</f>
        <v>6.8666666666666671</v>
      </c>
      <c r="AD154" s="107">
        <f>IFERROR(_xlfn.XLOOKUP($D154,'Modelling New'!$D:$D,'Modelling New'!$T:$T)*1000,"")</f>
        <v>616013.63346204848</v>
      </c>
      <c r="AE154" s="124"/>
      <c r="AF154" s="124">
        <f>IFERROR(_xlfn.XLOOKUP($D154,'Modelling New'!$D:$D,'Modelling New'!$W:$W),"")</f>
        <v>0.3290671118921199</v>
      </c>
      <c r="AG154" s="124">
        <f>IFERROR(_xlfn.XLOOKUP($D154,'Modelling New'!$D:$D,'Modelling New'!$AE:$AE),"")</f>
        <v>0.96029999999999993</v>
      </c>
      <c r="AH154" s="124">
        <f>IFERROR(_xlfn.XLOOKUP($D154,'Modelling New'!$D:$D,'Modelling New'!$AF:$AF),"")</f>
        <v>0.995</v>
      </c>
      <c r="AI154" s="105" t="str">
        <f>IFERROR(_xlfn.XLOOKUP($A154,Input_Raw!$A:$A,Input_Raw!$DE:$DE),"")</f>
        <v/>
      </c>
      <c r="AJ154" s="105"/>
      <c r="AK154" s="105"/>
      <c r="AL154" s="105"/>
      <c r="AM154" s="105"/>
      <c r="AN154" s="126" t="str">
        <f>IFERROR(_xlfn.XLOOKUP($A154,Input_Raw!$A:$A,Input_Raw!$DB:$DB),"")</f>
        <v/>
      </c>
      <c r="AO154" s="124" t="str">
        <f>IFERROR((_xlfn.XLOOKUP($A154,'WTG Reactive Power'!$A:$A,'WTG Reactive Power'!$AR:$AR))/X154/1000,"")</f>
        <v/>
      </c>
      <c r="AP154" s="124">
        <f>IFERROR(_xlfn.XLOOKUP($D154,'Modelling New'!$D:$D,'Modelling New'!$AK:$AK),"")</f>
        <v>0.05</v>
      </c>
      <c r="AQ154" s="124">
        <f>IFERROR(_xlfn.XLOOKUP($D154,'Modelling New'!$D:$D,'Modelling New'!$AL:$AL),"")</f>
        <v>0.05</v>
      </c>
      <c r="AR154">
        <f>IFERROR(_xlfn.XLOOKUP($D154,'Modelling New'!$D:$D,'Modelling New'!$N:$N),"")</f>
        <v>78</v>
      </c>
    </row>
    <row r="155" spans="1:44">
      <c r="A155" s="118">
        <f t="shared" si="11"/>
        <v>45898</v>
      </c>
      <c r="B155" s="107">
        <f>YEAR(Table13[[#This Row],[Date]])+IF(MONTH(Table13[[#This Row],[Date]])&gt;=4,1,0)</f>
        <v>2026</v>
      </c>
      <c r="C155" s="105">
        <f>YEAR(Table13[[#This Row],[Date]])</f>
        <v>2025</v>
      </c>
      <c r="D155" s="119">
        <f>Table13[[#This Row],[Date]]-DAY(Table13[[#This Row],[Date]])+1</f>
        <v>45870</v>
      </c>
      <c r="E155" s="105">
        <f t="shared" si="8"/>
        <v>31</v>
      </c>
      <c r="F155" s="108"/>
      <c r="G155" s="109"/>
      <c r="H155" s="109"/>
      <c r="I155" s="109"/>
      <c r="J155" s="109"/>
      <c r="K155" s="120"/>
      <c r="L155" s="109"/>
      <c r="M155" s="109" t="str">
        <f>IFERROR(_xlfn.XLOOKUP($A155,Input_Raw!$A:$A,Input_Raw!CG:CG),"")</f>
        <v/>
      </c>
      <c r="N155" s="109" t="str">
        <f>IFERROR(_xlfn.XLOOKUP($A155,Input_Raw!$A:$A,Input_Raw!CH:CH),"")</f>
        <v/>
      </c>
      <c r="O155" s="121" t="str">
        <f t="shared" si="10"/>
        <v/>
      </c>
      <c r="P155" s="121" t="str">
        <f>IFERROR(1-SUMIF(WTG_BD!$F:$F,$A155,WTG_BD!$AA:$AA)/($AA155+SUMIF(WTG_BD!$F:$F,$A155,WTG_BD!$AA:$AA)),"")</f>
        <v/>
      </c>
      <c r="Q155" s="122" t="str">
        <f>IFERROR(1-SUMIF(IGA_BD!$F:$F,$A155,IGA_BD!$V:$V)/($AA155+SUMIF(IGA_BD!$F:$F,$A155,IGA_BD!$V:$V)),"")</f>
        <v/>
      </c>
      <c r="R155" s="127" t="str">
        <f>IFERROR(1-SUMIF(Grid_BD!$F:$F,$A155,Grid_BD!$X:$X)/($AA155+SUMIF(Grid_BD!$F:$F,$A155,Grid_BD!$X:$X)),"")</f>
        <v/>
      </c>
      <c r="S155" s="105"/>
      <c r="T155" s="122"/>
      <c r="U155" s="123"/>
      <c r="V155" s="105"/>
      <c r="W155" s="124" t="str">
        <f>IFERROR(Table13[[#This Row],[Mtr_Net_Exp (KWh)]]/(24*AR155*1000),"")</f>
        <v/>
      </c>
      <c r="X155" s="105" t="str">
        <f>IFERROR(_xlfn.XLOOKUP($A155,Input_Raw!$A:$A,Input_Raw!$CF:$CF),"")</f>
        <v/>
      </c>
      <c r="Y155" s="105" t="str">
        <f>IFERROR(_xlfn.XLOOKUP($A155,Input_Raw!$A:$A,Input_Raw!$CZ:$CZ),"")</f>
        <v/>
      </c>
      <c r="Z155" s="105" t="str">
        <f>IFERROR(_xlfn.XLOOKUP($A155,Input_Raw!$A:$A,Input_Raw!$DA:$DA),"")</f>
        <v/>
      </c>
      <c r="AA155" s="107" t="str">
        <f t="shared" si="9"/>
        <v/>
      </c>
      <c r="AB155" s="105" t="str">
        <f>IFERROR(_xlfn.XLOOKUP($A155,Input_Raw!$A:$A,Input_Raw!$DG:$DG),"")</f>
        <v/>
      </c>
      <c r="AC155" s="125">
        <f>IFERROR(_xlfn.XLOOKUP($D155,'Modelling New'!$D:$D,'Modelling New'!$J:$J),"")</f>
        <v>6.8666666666666671</v>
      </c>
      <c r="AD155" s="107">
        <f>IFERROR(_xlfn.XLOOKUP($D155,'Modelling New'!$D:$D,'Modelling New'!$T:$T)*1000,"")</f>
        <v>616013.63346204848</v>
      </c>
      <c r="AE155" s="124"/>
      <c r="AF155" s="124">
        <f>IFERROR(_xlfn.XLOOKUP($D155,'Modelling New'!$D:$D,'Modelling New'!$W:$W),"")</f>
        <v>0.3290671118921199</v>
      </c>
      <c r="AG155" s="124">
        <f>IFERROR(_xlfn.XLOOKUP($D155,'Modelling New'!$D:$D,'Modelling New'!$AE:$AE),"")</f>
        <v>0.96029999999999993</v>
      </c>
      <c r="AH155" s="124">
        <f>IFERROR(_xlfn.XLOOKUP($D155,'Modelling New'!$D:$D,'Modelling New'!$AF:$AF),"")</f>
        <v>0.995</v>
      </c>
      <c r="AI155" s="105" t="str">
        <f>IFERROR(_xlfn.XLOOKUP($A155,Input_Raw!$A:$A,Input_Raw!$DE:$DE),"")</f>
        <v/>
      </c>
      <c r="AJ155" s="105"/>
      <c r="AK155" s="105"/>
      <c r="AL155" s="105"/>
      <c r="AM155" s="105"/>
      <c r="AN155" s="126" t="str">
        <f>IFERROR(_xlfn.XLOOKUP($A155,Input_Raw!$A:$A,Input_Raw!$DB:$DB),"")</f>
        <v/>
      </c>
      <c r="AO155" s="124" t="str">
        <f>IFERROR((_xlfn.XLOOKUP($A155,'WTG Reactive Power'!$A:$A,'WTG Reactive Power'!$AR:$AR))/X155/1000,"")</f>
        <v/>
      </c>
      <c r="AP155" s="124">
        <f>IFERROR(_xlfn.XLOOKUP($D155,'Modelling New'!$D:$D,'Modelling New'!$AK:$AK),"")</f>
        <v>0.05</v>
      </c>
      <c r="AQ155" s="124">
        <f>IFERROR(_xlfn.XLOOKUP($D155,'Modelling New'!$D:$D,'Modelling New'!$AL:$AL),"")</f>
        <v>0.05</v>
      </c>
      <c r="AR155">
        <f>IFERROR(_xlfn.XLOOKUP($D155,'Modelling New'!$D:$D,'Modelling New'!$N:$N),"")</f>
        <v>78</v>
      </c>
    </row>
    <row r="156" spans="1:44">
      <c r="A156" s="118">
        <f t="shared" si="11"/>
        <v>45899</v>
      </c>
      <c r="B156" s="107">
        <f>YEAR(Table13[[#This Row],[Date]])+IF(MONTH(Table13[[#This Row],[Date]])&gt;=4,1,0)</f>
        <v>2026</v>
      </c>
      <c r="C156" s="105">
        <f>YEAR(Table13[[#This Row],[Date]])</f>
        <v>2025</v>
      </c>
      <c r="D156" s="119">
        <f>Table13[[#This Row],[Date]]-DAY(Table13[[#This Row],[Date]])+1</f>
        <v>45870</v>
      </c>
      <c r="E156" s="105">
        <f t="shared" si="8"/>
        <v>31</v>
      </c>
      <c r="F156" s="108"/>
      <c r="G156" s="109"/>
      <c r="H156" s="109"/>
      <c r="I156" s="109"/>
      <c r="J156" s="109"/>
      <c r="K156" s="120"/>
      <c r="L156" s="109"/>
      <c r="M156" s="109" t="str">
        <f>IFERROR(_xlfn.XLOOKUP($A156,Input_Raw!$A:$A,Input_Raw!CG:CG),"")</f>
        <v/>
      </c>
      <c r="N156" s="109" t="str">
        <f>IFERROR(_xlfn.XLOOKUP($A156,Input_Raw!$A:$A,Input_Raw!CH:CH),"")</f>
        <v/>
      </c>
      <c r="O156" s="121" t="str">
        <f t="shared" si="10"/>
        <v/>
      </c>
      <c r="P156" s="121" t="str">
        <f>IFERROR(1-SUMIF(WTG_BD!$F:$F,$A156,WTG_BD!$AA:$AA)/($AA156+SUMIF(WTG_BD!$F:$F,$A156,WTG_BD!$AA:$AA)),"")</f>
        <v/>
      </c>
      <c r="Q156" s="122" t="str">
        <f>IFERROR(1-SUMIF(IGA_BD!$F:$F,$A156,IGA_BD!$V:$V)/($AA156+SUMIF(IGA_BD!$F:$F,$A156,IGA_BD!$V:$V)),"")</f>
        <v/>
      </c>
      <c r="R156" s="127" t="str">
        <f>IFERROR(1-SUMIF(Grid_BD!$F:$F,$A156,Grid_BD!$X:$X)/($AA156+SUMIF(Grid_BD!$F:$F,$A156,Grid_BD!$X:$X)),"")</f>
        <v/>
      </c>
      <c r="S156" s="105"/>
      <c r="T156" s="122"/>
      <c r="U156" s="123"/>
      <c r="V156" s="105"/>
      <c r="W156" s="124" t="str">
        <f>IFERROR(Table13[[#This Row],[Mtr_Net_Exp (KWh)]]/(24*AR156*1000),"")</f>
        <v/>
      </c>
      <c r="X156" s="105" t="str">
        <f>IFERROR(_xlfn.XLOOKUP($A156,Input_Raw!$A:$A,Input_Raw!$CF:$CF),"")</f>
        <v/>
      </c>
      <c r="Y156" s="105" t="str">
        <f>IFERROR(_xlfn.XLOOKUP($A156,Input_Raw!$A:$A,Input_Raw!$CZ:$CZ),"")</f>
        <v/>
      </c>
      <c r="Z156" s="105" t="str">
        <f>IFERROR(_xlfn.XLOOKUP($A156,Input_Raw!$A:$A,Input_Raw!$DA:$DA),"")</f>
        <v/>
      </c>
      <c r="AA156" s="107" t="str">
        <f t="shared" si="9"/>
        <v/>
      </c>
      <c r="AB156" s="105" t="str">
        <f>IFERROR(_xlfn.XLOOKUP($A156,Input_Raw!$A:$A,Input_Raw!$DG:$DG),"")</f>
        <v/>
      </c>
      <c r="AC156" s="125">
        <f>IFERROR(_xlfn.XLOOKUP($D156,'Modelling New'!$D:$D,'Modelling New'!$J:$J),"")</f>
        <v>6.8666666666666671</v>
      </c>
      <c r="AD156" s="107">
        <f>IFERROR(_xlfn.XLOOKUP($D156,'Modelling New'!$D:$D,'Modelling New'!$T:$T)*1000,"")</f>
        <v>616013.63346204848</v>
      </c>
      <c r="AE156" s="124"/>
      <c r="AF156" s="124">
        <f>IFERROR(_xlfn.XLOOKUP($D156,'Modelling New'!$D:$D,'Modelling New'!$W:$W),"")</f>
        <v>0.3290671118921199</v>
      </c>
      <c r="AG156" s="124">
        <f>IFERROR(_xlfn.XLOOKUP($D156,'Modelling New'!$D:$D,'Modelling New'!$AE:$AE),"")</f>
        <v>0.96029999999999993</v>
      </c>
      <c r="AH156" s="124">
        <f>IFERROR(_xlfn.XLOOKUP($D156,'Modelling New'!$D:$D,'Modelling New'!$AF:$AF),"")</f>
        <v>0.995</v>
      </c>
      <c r="AI156" s="105" t="str">
        <f>IFERROR(_xlfn.XLOOKUP($A156,Input_Raw!$A:$A,Input_Raw!$DE:$DE),"")</f>
        <v/>
      </c>
      <c r="AJ156" s="105"/>
      <c r="AK156" s="105"/>
      <c r="AL156" s="105"/>
      <c r="AM156" s="105"/>
      <c r="AN156" s="126" t="str">
        <f>IFERROR(_xlfn.XLOOKUP($A156,Input_Raw!$A:$A,Input_Raw!$DB:$DB),"")</f>
        <v/>
      </c>
      <c r="AO156" s="124" t="str">
        <f>IFERROR((_xlfn.XLOOKUP($A156,'WTG Reactive Power'!$A:$A,'WTG Reactive Power'!$AR:$AR))/X156/1000,"")</f>
        <v/>
      </c>
      <c r="AP156" s="124">
        <f>IFERROR(_xlfn.XLOOKUP($D156,'Modelling New'!$D:$D,'Modelling New'!$AK:$AK),"")</f>
        <v>0.05</v>
      </c>
      <c r="AQ156" s="124">
        <f>IFERROR(_xlfn.XLOOKUP($D156,'Modelling New'!$D:$D,'Modelling New'!$AL:$AL),"")</f>
        <v>0.05</v>
      </c>
      <c r="AR156">
        <f>IFERROR(_xlfn.XLOOKUP($D156,'Modelling New'!$D:$D,'Modelling New'!$N:$N),"")</f>
        <v>78</v>
      </c>
    </row>
    <row r="157" spans="1:44">
      <c r="A157" s="118">
        <f t="shared" si="11"/>
        <v>45900</v>
      </c>
      <c r="B157" s="107">
        <f>YEAR(Table13[[#This Row],[Date]])+IF(MONTH(Table13[[#This Row],[Date]])&gt;=4,1,0)</f>
        <v>2026</v>
      </c>
      <c r="C157" s="105">
        <f>YEAR(Table13[[#This Row],[Date]])</f>
        <v>2025</v>
      </c>
      <c r="D157" s="119">
        <f>Table13[[#This Row],[Date]]-DAY(Table13[[#This Row],[Date]])+1</f>
        <v>45870</v>
      </c>
      <c r="E157" s="105">
        <f t="shared" si="8"/>
        <v>31</v>
      </c>
      <c r="F157" s="108"/>
      <c r="G157" s="109"/>
      <c r="H157" s="109"/>
      <c r="I157" s="109"/>
      <c r="J157" s="109"/>
      <c r="K157" s="120"/>
      <c r="L157" s="109"/>
      <c r="M157" s="109" t="str">
        <f>IFERROR(_xlfn.XLOOKUP($A157,Input_Raw!$A:$A,Input_Raw!CG:CG),"")</f>
        <v/>
      </c>
      <c r="N157" s="109" t="str">
        <f>IFERROR(_xlfn.XLOOKUP($A157,Input_Raw!$A:$A,Input_Raw!CH:CH),"")</f>
        <v/>
      </c>
      <c r="O157" s="121" t="str">
        <f t="shared" si="10"/>
        <v/>
      </c>
      <c r="P157" s="121" t="str">
        <f>IFERROR(1-SUMIF(WTG_BD!$F:$F,$A157,WTG_BD!$AA:$AA)/($AA157+SUMIF(WTG_BD!$F:$F,$A157,WTG_BD!$AA:$AA)),"")</f>
        <v/>
      </c>
      <c r="Q157" s="122" t="str">
        <f>IFERROR(1-SUMIF(IGA_BD!$F:$F,$A157,IGA_BD!$V:$V)/($AA157+SUMIF(IGA_BD!$F:$F,$A157,IGA_BD!$V:$V)),"")</f>
        <v/>
      </c>
      <c r="R157" s="127" t="str">
        <f>IFERROR(1-SUMIF(Grid_BD!$F:$F,$A157,Grid_BD!$X:$X)/($AA157+SUMIF(Grid_BD!$F:$F,$A157,Grid_BD!$X:$X)),"")</f>
        <v/>
      </c>
      <c r="S157" s="105"/>
      <c r="T157" s="122"/>
      <c r="U157" s="123"/>
      <c r="V157" s="105"/>
      <c r="W157" s="124" t="str">
        <f>IFERROR(Table13[[#This Row],[Mtr_Net_Exp (KWh)]]/(24*AR157*1000),"")</f>
        <v/>
      </c>
      <c r="X157" s="105" t="str">
        <f>IFERROR(_xlfn.XLOOKUP($A157,Input_Raw!$A:$A,Input_Raw!$CF:$CF),"")</f>
        <v/>
      </c>
      <c r="Y157" s="105" t="str">
        <f>IFERROR(_xlfn.XLOOKUP($A157,Input_Raw!$A:$A,Input_Raw!$CZ:$CZ),"")</f>
        <v/>
      </c>
      <c r="Z157" s="105" t="str">
        <f>IFERROR(_xlfn.XLOOKUP($A157,Input_Raw!$A:$A,Input_Raw!$DA:$DA),"")</f>
        <v/>
      </c>
      <c r="AA157" s="107" t="str">
        <f t="shared" si="9"/>
        <v/>
      </c>
      <c r="AB157" s="105" t="str">
        <f>IFERROR(_xlfn.XLOOKUP($A157,Input_Raw!$A:$A,Input_Raw!$DG:$DG),"")</f>
        <v/>
      </c>
      <c r="AC157" s="125">
        <f>IFERROR(_xlfn.XLOOKUP($D157,'Modelling New'!$D:$D,'Modelling New'!$J:$J),"")</f>
        <v>6.8666666666666671</v>
      </c>
      <c r="AD157" s="107">
        <f>IFERROR(_xlfn.XLOOKUP($D157,'Modelling New'!$D:$D,'Modelling New'!$T:$T)*1000,"")</f>
        <v>616013.63346204848</v>
      </c>
      <c r="AE157" s="124"/>
      <c r="AF157" s="124">
        <f>IFERROR(_xlfn.XLOOKUP($D157,'Modelling New'!$D:$D,'Modelling New'!$W:$W),"")</f>
        <v>0.3290671118921199</v>
      </c>
      <c r="AG157" s="124">
        <f>IFERROR(_xlfn.XLOOKUP($D157,'Modelling New'!$D:$D,'Modelling New'!$AE:$AE),"")</f>
        <v>0.96029999999999993</v>
      </c>
      <c r="AH157" s="124">
        <f>IFERROR(_xlfn.XLOOKUP($D157,'Modelling New'!$D:$D,'Modelling New'!$AF:$AF),"")</f>
        <v>0.995</v>
      </c>
      <c r="AI157" s="105" t="str">
        <f>IFERROR(_xlfn.XLOOKUP($A157,Input_Raw!$A:$A,Input_Raw!$DE:$DE),"")</f>
        <v/>
      </c>
      <c r="AJ157" s="105"/>
      <c r="AK157" s="105"/>
      <c r="AL157" s="105"/>
      <c r="AM157" s="105"/>
      <c r="AN157" s="126" t="str">
        <f>IFERROR(_xlfn.XLOOKUP($A157,Input_Raw!$A:$A,Input_Raw!$DB:$DB),"")</f>
        <v/>
      </c>
      <c r="AO157" s="124" t="str">
        <f>IFERROR((_xlfn.XLOOKUP($A157,'WTG Reactive Power'!$A:$A,'WTG Reactive Power'!$AR:$AR))/X157/1000,"")</f>
        <v/>
      </c>
      <c r="AP157" s="124">
        <f>IFERROR(_xlfn.XLOOKUP($D157,'Modelling New'!$D:$D,'Modelling New'!$AK:$AK),"")</f>
        <v>0.05</v>
      </c>
      <c r="AQ157" s="124">
        <f>IFERROR(_xlfn.XLOOKUP($D157,'Modelling New'!$D:$D,'Modelling New'!$AL:$AL),"")</f>
        <v>0.05</v>
      </c>
      <c r="AR157">
        <f>IFERROR(_xlfn.XLOOKUP($D157,'Modelling New'!$D:$D,'Modelling New'!$N:$N),"")</f>
        <v>78</v>
      </c>
    </row>
    <row r="158" spans="1:44">
      <c r="A158" s="118">
        <f t="shared" si="11"/>
        <v>45901</v>
      </c>
      <c r="B158" s="107">
        <f>YEAR(Table13[[#This Row],[Date]])+IF(MONTH(Table13[[#This Row],[Date]])&gt;=4,1,0)</f>
        <v>2026</v>
      </c>
      <c r="C158" s="105">
        <f>YEAR(Table13[[#This Row],[Date]])</f>
        <v>2025</v>
      </c>
      <c r="D158" s="119">
        <f>Table13[[#This Row],[Date]]-DAY(Table13[[#This Row],[Date]])+1</f>
        <v>45901</v>
      </c>
      <c r="E158" s="105">
        <f t="shared" si="8"/>
        <v>30</v>
      </c>
      <c r="F158" s="108"/>
      <c r="G158" s="109"/>
      <c r="H158" s="109"/>
      <c r="I158" s="109"/>
      <c r="J158" s="109"/>
      <c r="K158" s="120"/>
      <c r="L158" s="109"/>
      <c r="M158" s="109" t="str">
        <f>IFERROR(_xlfn.XLOOKUP($A158,Input_Raw!$A:$A,Input_Raw!CG:CG),"")</f>
        <v/>
      </c>
      <c r="N158" s="109" t="str">
        <f>IFERROR(_xlfn.XLOOKUP($A158,Input_Raw!$A:$A,Input_Raw!CH:CH),"")</f>
        <v/>
      </c>
      <c r="O158" s="121" t="str">
        <f t="shared" si="10"/>
        <v/>
      </c>
      <c r="P158" s="121" t="str">
        <f>IFERROR(1-SUMIF(WTG_BD!$F:$F,$A158,WTG_BD!$AA:$AA)/($AA158+SUMIF(WTG_BD!$F:$F,$A158,WTG_BD!$AA:$AA)),"")</f>
        <v/>
      </c>
      <c r="Q158" s="122" t="str">
        <f>IFERROR(1-SUMIF(IGA_BD!$F:$F,$A158,IGA_BD!$V:$V)/($AA158+SUMIF(IGA_BD!$F:$F,$A158,IGA_BD!$V:$V)),"")</f>
        <v/>
      </c>
      <c r="R158" s="127" t="str">
        <f>IFERROR(1-SUMIF(Grid_BD!$F:$F,$A158,Grid_BD!$X:$X)/($AA158+SUMIF(Grid_BD!$F:$F,$A158,Grid_BD!$X:$X)),"")</f>
        <v/>
      </c>
      <c r="S158" s="105"/>
      <c r="T158" s="122"/>
      <c r="U158" s="123"/>
      <c r="V158" s="105"/>
      <c r="W158" s="124" t="str">
        <f>IFERROR(Table13[[#This Row],[Mtr_Net_Exp (KWh)]]/(24*AR158*1000),"")</f>
        <v/>
      </c>
      <c r="X158" s="105" t="str">
        <f>IFERROR(_xlfn.XLOOKUP($A158,Input_Raw!$A:$A,Input_Raw!$CF:$CF),"")</f>
        <v/>
      </c>
      <c r="Y158" s="105" t="str">
        <f>IFERROR(_xlfn.XLOOKUP($A158,Input_Raw!$A:$A,Input_Raw!$CZ:$CZ),"")</f>
        <v/>
      </c>
      <c r="Z158" s="105" t="str">
        <f>IFERROR(_xlfn.XLOOKUP($A158,Input_Raw!$A:$A,Input_Raw!$DA:$DA),"")</f>
        <v/>
      </c>
      <c r="AA158" s="107" t="str">
        <f t="shared" si="9"/>
        <v/>
      </c>
      <c r="AB158" s="105" t="str">
        <f>IFERROR(_xlfn.XLOOKUP($A158,Input_Raw!$A:$A,Input_Raw!$DG:$DG),"")</f>
        <v/>
      </c>
      <c r="AC158" s="125">
        <f>IFERROR(_xlfn.XLOOKUP($D158,'Modelling New'!$D:$D,'Modelling New'!$J:$J),"")</f>
        <v>5.0333333333333332</v>
      </c>
      <c r="AD158" s="107">
        <f>IFERROR(_xlfn.XLOOKUP($D158,'Modelling New'!$D:$D,'Modelling New'!$T:$T)*1000,"")</f>
        <v>279529.73373197042</v>
      </c>
      <c r="AE158" s="124"/>
      <c r="AF158" s="124">
        <f>IFERROR(_xlfn.XLOOKUP($D158,'Modelling New'!$D:$D,'Modelling New'!$W:$W),"")</f>
        <v>0.14932143895938593</v>
      </c>
      <c r="AG158" s="124">
        <f>IFERROR(_xlfn.XLOOKUP($D158,'Modelling New'!$D:$D,'Modelling New'!$AE:$AE),"")</f>
        <v>0.96029999999999993</v>
      </c>
      <c r="AH158" s="124">
        <f>IFERROR(_xlfn.XLOOKUP($D158,'Modelling New'!$D:$D,'Modelling New'!$AF:$AF),"")</f>
        <v>0.995</v>
      </c>
      <c r="AI158" s="105" t="str">
        <f>IFERROR(_xlfn.XLOOKUP($A158,Input_Raw!$A:$A,Input_Raw!$DE:$DE),"")</f>
        <v/>
      </c>
      <c r="AJ158" s="105"/>
      <c r="AK158" s="105"/>
      <c r="AL158" s="105"/>
      <c r="AM158" s="105"/>
      <c r="AN158" s="126" t="str">
        <f>IFERROR(_xlfn.XLOOKUP($A158,Input_Raw!$A:$A,Input_Raw!$DB:$DB),"")</f>
        <v/>
      </c>
      <c r="AO158" s="124" t="str">
        <f>IFERROR((_xlfn.XLOOKUP($A158,'WTG Reactive Power'!$A:$A,'WTG Reactive Power'!$AR:$AR))/X158/1000,"")</f>
        <v/>
      </c>
      <c r="AP158" s="124">
        <f>IFERROR(_xlfn.XLOOKUP($D158,'Modelling New'!$D:$D,'Modelling New'!$AK:$AK),"")</f>
        <v>0.05</v>
      </c>
      <c r="AQ158" s="124">
        <f>IFERROR(_xlfn.XLOOKUP($D158,'Modelling New'!$D:$D,'Modelling New'!$AL:$AL),"")</f>
        <v>0.05</v>
      </c>
      <c r="AR158">
        <f>IFERROR(_xlfn.XLOOKUP($D158,'Modelling New'!$D:$D,'Modelling New'!$N:$N),"")</f>
        <v>78</v>
      </c>
    </row>
    <row r="159" spans="1:44">
      <c r="A159" s="118">
        <f t="shared" si="11"/>
        <v>45902</v>
      </c>
      <c r="B159" s="107">
        <f>YEAR(Table13[[#This Row],[Date]])+IF(MONTH(Table13[[#This Row],[Date]])&gt;=4,1,0)</f>
        <v>2026</v>
      </c>
      <c r="C159" s="105">
        <f>YEAR(Table13[[#This Row],[Date]])</f>
        <v>2025</v>
      </c>
      <c r="D159" s="119">
        <f>Table13[[#This Row],[Date]]-DAY(Table13[[#This Row],[Date]])+1</f>
        <v>45901</v>
      </c>
      <c r="E159" s="105">
        <f t="shared" si="8"/>
        <v>30</v>
      </c>
      <c r="F159" s="108"/>
      <c r="G159" s="109"/>
      <c r="H159" s="109"/>
      <c r="I159" s="109"/>
      <c r="J159" s="109"/>
      <c r="K159" s="120"/>
      <c r="L159" s="109"/>
      <c r="M159" s="109" t="str">
        <f>IFERROR(_xlfn.XLOOKUP($A159,Input_Raw!$A:$A,Input_Raw!CG:CG),"")</f>
        <v/>
      </c>
      <c r="N159" s="109" t="str">
        <f>IFERROR(_xlfn.XLOOKUP($A159,Input_Raw!$A:$A,Input_Raw!CH:CH),"")</f>
        <v/>
      </c>
      <c r="O159" s="121" t="str">
        <f t="shared" si="10"/>
        <v/>
      </c>
      <c r="P159" s="121" t="str">
        <f>IFERROR(1-SUMIF(WTG_BD!$F:$F,$A159,WTG_BD!$AA:$AA)/($AA159+SUMIF(WTG_BD!$F:$F,$A159,WTG_BD!$AA:$AA)),"")</f>
        <v/>
      </c>
      <c r="Q159" s="122" t="str">
        <f>IFERROR(1-SUMIF(IGA_BD!$F:$F,$A159,IGA_BD!$V:$V)/($AA159+SUMIF(IGA_BD!$F:$F,$A159,IGA_BD!$V:$V)),"")</f>
        <v/>
      </c>
      <c r="R159" s="127" t="str">
        <f>IFERROR(1-SUMIF(Grid_BD!$F:$F,$A159,Grid_BD!$X:$X)/($AA159+SUMIF(Grid_BD!$F:$F,$A159,Grid_BD!$X:$X)),"")</f>
        <v/>
      </c>
      <c r="S159" s="105"/>
      <c r="T159" s="122"/>
      <c r="U159" s="123"/>
      <c r="V159" s="105"/>
      <c r="W159" s="124" t="str">
        <f>IFERROR(Table13[[#This Row],[Mtr_Net_Exp (KWh)]]/(24*AR159*1000),"")</f>
        <v/>
      </c>
      <c r="X159" s="105" t="str">
        <f>IFERROR(_xlfn.XLOOKUP($A159,Input_Raw!$A:$A,Input_Raw!$CF:$CF),"")</f>
        <v/>
      </c>
      <c r="Y159" s="105" t="str">
        <f>IFERROR(_xlfn.XLOOKUP($A159,Input_Raw!$A:$A,Input_Raw!$CZ:$CZ),"")</f>
        <v/>
      </c>
      <c r="Z159" s="105" t="str">
        <f>IFERROR(_xlfn.XLOOKUP($A159,Input_Raw!$A:$A,Input_Raw!$DA:$DA),"")</f>
        <v/>
      </c>
      <c r="AA159" s="107" t="str">
        <f t="shared" si="9"/>
        <v/>
      </c>
      <c r="AB159" s="105" t="str">
        <f>IFERROR(_xlfn.XLOOKUP($A159,Input_Raw!$A:$A,Input_Raw!$DG:$DG),"")</f>
        <v/>
      </c>
      <c r="AC159" s="125">
        <f>IFERROR(_xlfn.XLOOKUP($D159,'Modelling New'!$D:$D,'Modelling New'!$J:$J),"")</f>
        <v>5.0333333333333332</v>
      </c>
      <c r="AD159" s="107">
        <f>IFERROR(_xlfn.XLOOKUP($D159,'Modelling New'!$D:$D,'Modelling New'!$T:$T)*1000,"")</f>
        <v>279529.73373197042</v>
      </c>
      <c r="AE159" s="124"/>
      <c r="AF159" s="124">
        <f>IFERROR(_xlfn.XLOOKUP($D159,'Modelling New'!$D:$D,'Modelling New'!$W:$W),"")</f>
        <v>0.14932143895938593</v>
      </c>
      <c r="AG159" s="124">
        <f>IFERROR(_xlfn.XLOOKUP($D159,'Modelling New'!$D:$D,'Modelling New'!$AE:$AE),"")</f>
        <v>0.96029999999999993</v>
      </c>
      <c r="AH159" s="124">
        <f>IFERROR(_xlfn.XLOOKUP($D159,'Modelling New'!$D:$D,'Modelling New'!$AF:$AF),"")</f>
        <v>0.995</v>
      </c>
      <c r="AI159" s="105" t="str">
        <f>IFERROR(_xlfn.XLOOKUP($A159,Input_Raw!$A:$A,Input_Raw!$DE:$DE),"")</f>
        <v/>
      </c>
      <c r="AJ159" s="105"/>
      <c r="AK159" s="105"/>
      <c r="AL159" s="105"/>
      <c r="AM159" s="105"/>
      <c r="AN159" s="126" t="str">
        <f>IFERROR(_xlfn.XLOOKUP($A159,Input_Raw!$A:$A,Input_Raw!$DB:$DB),"")</f>
        <v/>
      </c>
      <c r="AO159" s="124" t="str">
        <f>IFERROR((_xlfn.XLOOKUP($A159,'WTG Reactive Power'!$A:$A,'WTG Reactive Power'!$AR:$AR))/X159/1000,"")</f>
        <v/>
      </c>
      <c r="AP159" s="124">
        <f>IFERROR(_xlfn.XLOOKUP($D159,'Modelling New'!$D:$D,'Modelling New'!$AK:$AK),"")</f>
        <v>0.05</v>
      </c>
      <c r="AQ159" s="124">
        <f>IFERROR(_xlfn.XLOOKUP($D159,'Modelling New'!$D:$D,'Modelling New'!$AL:$AL),"")</f>
        <v>0.05</v>
      </c>
      <c r="AR159">
        <f>IFERROR(_xlfn.XLOOKUP($D159,'Modelling New'!$D:$D,'Modelling New'!$N:$N),"")</f>
        <v>78</v>
      </c>
    </row>
    <row r="160" spans="1:44">
      <c r="A160" s="118">
        <f t="shared" si="11"/>
        <v>45903</v>
      </c>
      <c r="B160" s="107">
        <f>YEAR(Table13[[#This Row],[Date]])+IF(MONTH(Table13[[#This Row],[Date]])&gt;=4,1,0)</f>
        <v>2026</v>
      </c>
      <c r="C160" s="105">
        <f>YEAR(Table13[[#This Row],[Date]])</f>
        <v>2025</v>
      </c>
      <c r="D160" s="119">
        <f>Table13[[#This Row],[Date]]-DAY(Table13[[#This Row],[Date]])+1</f>
        <v>45901</v>
      </c>
      <c r="E160" s="105">
        <f t="shared" si="8"/>
        <v>30</v>
      </c>
      <c r="F160" s="108"/>
      <c r="G160" s="109"/>
      <c r="H160" s="109"/>
      <c r="I160" s="109"/>
      <c r="J160" s="109"/>
      <c r="K160" s="120"/>
      <c r="L160" s="109"/>
      <c r="M160" s="109" t="str">
        <f>IFERROR(_xlfn.XLOOKUP($A160,Input_Raw!$A:$A,Input_Raw!CG:CG),"")</f>
        <v/>
      </c>
      <c r="N160" s="109" t="str">
        <f>IFERROR(_xlfn.XLOOKUP($A160,Input_Raw!$A:$A,Input_Raw!CH:CH),"")</f>
        <v/>
      </c>
      <c r="O160" s="121" t="str">
        <f t="shared" si="10"/>
        <v/>
      </c>
      <c r="P160" s="121" t="str">
        <f>IFERROR(1-SUMIF(WTG_BD!$F:$F,$A160,WTG_BD!$AA:$AA)/($AA160+SUMIF(WTG_BD!$F:$F,$A160,WTG_BD!$AA:$AA)),"")</f>
        <v/>
      </c>
      <c r="Q160" s="122" t="str">
        <f>IFERROR(1-SUMIF(IGA_BD!$F:$F,$A160,IGA_BD!$V:$V)/($AA160+SUMIF(IGA_BD!$F:$F,$A160,IGA_BD!$V:$V)),"")</f>
        <v/>
      </c>
      <c r="R160" s="127" t="str">
        <f>IFERROR(1-SUMIF(Grid_BD!$F:$F,$A160,Grid_BD!$X:$X)/($AA160+SUMIF(Grid_BD!$F:$F,$A160,Grid_BD!$X:$X)),"")</f>
        <v/>
      </c>
      <c r="S160" s="105"/>
      <c r="T160" s="122"/>
      <c r="U160" s="123"/>
      <c r="V160" s="105"/>
      <c r="W160" s="124" t="str">
        <f>IFERROR(Table13[[#This Row],[Mtr_Net_Exp (KWh)]]/(24*AR160*1000),"")</f>
        <v/>
      </c>
      <c r="X160" s="105" t="str">
        <f>IFERROR(_xlfn.XLOOKUP($A160,Input_Raw!$A:$A,Input_Raw!$CF:$CF),"")</f>
        <v/>
      </c>
      <c r="Y160" s="105" t="str">
        <f>IFERROR(_xlfn.XLOOKUP($A160,Input_Raw!$A:$A,Input_Raw!$CZ:$CZ),"")</f>
        <v/>
      </c>
      <c r="Z160" s="105" t="str">
        <f>IFERROR(_xlfn.XLOOKUP($A160,Input_Raw!$A:$A,Input_Raw!$DA:$DA),"")</f>
        <v/>
      </c>
      <c r="AA160" s="107" t="str">
        <f t="shared" si="9"/>
        <v/>
      </c>
      <c r="AB160" s="105" t="str">
        <f>IFERROR(_xlfn.XLOOKUP($A160,Input_Raw!$A:$A,Input_Raw!$DG:$DG),"")</f>
        <v/>
      </c>
      <c r="AC160" s="125">
        <f>IFERROR(_xlfn.XLOOKUP($D160,'Modelling New'!$D:$D,'Modelling New'!$J:$J),"")</f>
        <v>5.0333333333333332</v>
      </c>
      <c r="AD160" s="107">
        <f>IFERROR(_xlfn.XLOOKUP($D160,'Modelling New'!$D:$D,'Modelling New'!$T:$T)*1000,"")</f>
        <v>279529.73373197042</v>
      </c>
      <c r="AE160" s="124"/>
      <c r="AF160" s="124">
        <f>IFERROR(_xlfn.XLOOKUP($D160,'Modelling New'!$D:$D,'Modelling New'!$W:$W),"")</f>
        <v>0.14932143895938593</v>
      </c>
      <c r="AG160" s="124">
        <f>IFERROR(_xlfn.XLOOKUP($D160,'Modelling New'!$D:$D,'Modelling New'!$AE:$AE),"")</f>
        <v>0.96029999999999993</v>
      </c>
      <c r="AH160" s="124">
        <f>IFERROR(_xlfn.XLOOKUP($D160,'Modelling New'!$D:$D,'Modelling New'!$AF:$AF),"")</f>
        <v>0.995</v>
      </c>
      <c r="AI160" s="105" t="str">
        <f>IFERROR(_xlfn.XLOOKUP($A160,Input_Raw!$A:$A,Input_Raw!$DE:$DE),"")</f>
        <v/>
      </c>
      <c r="AJ160" s="105"/>
      <c r="AK160" s="105"/>
      <c r="AL160" s="105"/>
      <c r="AM160" s="105"/>
      <c r="AN160" s="126" t="str">
        <f>IFERROR(_xlfn.XLOOKUP($A160,Input_Raw!$A:$A,Input_Raw!$DB:$DB),"")</f>
        <v/>
      </c>
      <c r="AO160" s="124" t="str">
        <f>IFERROR((_xlfn.XLOOKUP($A160,'WTG Reactive Power'!$A:$A,'WTG Reactive Power'!$AR:$AR))/X160/1000,"")</f>
        <v/>
      </c>
      <c r="AP160" s="124">
        <f>IFERROR(_xlfn.XLOOKUP($D160,'Modelling New'!$D:$D,'Modelling New'!$AK:$AK),"")</f>
        <v>0.05</v>
      </c>
      <c r="AQ160" s="124">
        <f>IFERROR(_xlfn.XLOOKUP($D160,'Modelling New'!$D:$D,'Modelling New'!$AL:$AL),"")</f>
        <v>0.05</v>
      </c>
      <c r="AR160">
        <f>IFERROR(_xlfn.XLOOKUP($D160,'Modelling New'!$D:$D,'Modelling New'!$N:$N),"")</f>
        <v>78</v>
      </c>
    </row>
    <row r="161" spans="1:44">
      <c r="A161" s="118">
        <f t="shared" si="11"/>
        <v>45904</v>
      </c>
      <c r="B161" s="107">
        <f>YEAR(Table13[[#This Row],[Date]])+IF(MONTH(Table13[[#This Row],[Date]])&gt;=4,1,0)</f>
        <v>2026</v>
      </c>
      <c r="C161" s="105">
        <f>YEAR(Table13[[#This Row],[Date]])</f>
        <v>2025</v>
      </c>
      <c r="D161" s="119">
        <f>Table13[[#This Row],[Date]]-DAY(Table13[[#This Row],[Date]])+1</f>
        <v>45901</v>
      </c>
      <c r="E161" s="105">
        <f t="shared" si="8"/>
        <v>30</v>
      </c>
      <c r="F161" s="108"/>
      <c r="G161" s="109"/>
      <c r="H161" s="109"/>
      <c r="I161" s="109"/>
      <c r="J161" s="109"/>
      <c r="K161" s="120"/>
      <c r="L161" s="109"/>
      <c r="M161" s="109" t="str">
        <f>IFERROR(_xlfn.XLOOKUP($A161,Input_Raw!$A:$A,Input_Raw!CG:CG),"")</f>
        <v/>
      </c>
      <c r="N161" s="109" t="str">
        <f>IFERROR(_xlfn.XLOOKUP($A161,Input_Raw!$A:$A,Input_Raw!CH:CH),"")</f>
        <v/>
      </c>
      <c r="O161" s="121" t="str">
        <f t="shared" si="10"/>
        <v/>
      </c>
      <c r="P161" s="121" t="str">
        <f>IFERROR(1-SUMIF(WTG_BD!$F:$F,$A161,WTG_BD!$AA:$AA)/($AA161+SUMIF(WTG_BD!$F:$F,$A161,WTG_BD!$AA:$AA)),"")</f>
        <v/>
      </c>
      <c r="Q161" s="122" t="str">
        <f>IFERROR(1-SUMIF(IGA_BD!$F:$F,$A161,IGA_BD!$V:$V)/($AA161+SUMIF(IGA_BD!$F:$F,$A161,IGA_BD!$V:$V)),"")</f>
        <v/>
      </c>
      <c r="R161" s="127" t="str">
        <f>IFERROR(1-SUMIF(Grid_BD!$F:$F,$A161,Grid_BD!$X:$X)/($AA161+SUMIF(Grid_BD!$F:$F,$A161,Grid_BD!$X:$X)),"")</f>
        <v/>
      </c>
      <c r="S161" s="105"/>
      <c r="T161" s="122"/>
      <c r="U161" s="123"/>
      <c r="V161" s="105"/>
      <c r="W161" s="124" t="str">
        <f>IFERROR(Table13[[#This Row],[Mtr_Net_Exp (KWh)]]/(24*AR161*1000),"")</f>
        <v/>
      </c>
      <c r="X161" s="105" t="str">
        <f>IFERROR(_xlfn.XLOOKUP($A161,Input_Raw!$A:$A,Input_Raw!$CF:$CF),"")</f>
        <v/>
      </c>
      <c r="Y161" s="105" t="str">
        <f>IFERROR(_xlfn.XLOOKUP($A161,Input_Raw!$A:$A,Input_Raw!$CZ:$CZ),"")</f>
        <v/>
      </c>
      <c r="Z161" s="105" t="str">
        <f>IFERROR(_xlfn.XLOOKUP($A161,Input_Raw!$A:$A,Input_Raw!$DA:$DA),"")</f>
        <v/>
      </c>
      <c r="AA161" s="107" t="str">
        <f t="shared" si="9"/>
        <v/>
      </c>
      <c r="AB161" s="105" t="str">
        <f>IFERROR(_xlfn.XLOOKUP($A161,Input_Raw!$A:$A,Input_Raw!$DG:$DG),"")</f>
        <v/>
      </c>
      <c r="AC161" s="125">
        <f>IFERROR(_xlfn.XLOOKUP($D161,'Modelling New'!$D:$D,'Modelling New'!$J:$J),"")</f>
        <v>5.0333333333333332</v>
      </c>
      <c r="AD161" s="107">
        <f>IFERROR(_xlfn.XLOOKUP($D161,'Modelling New'!$D:$D,'Modelling New'!$T:$T)*1000,"")</f>
        <v>279529.73373197042</v>
      </c>
      <c r="AE161" s="124"/>
      <c r="AF161" s="124">
        <f>IFERROR(_xlfn.XLOOKUP($D161,'Modelling New'!$D:$D,'Modelling New'!$W:$W),"")</f>
        <v>0.14932143895938593</v>
      </c>
      <c r="AG161" s="124">
        <f>IFERROR(_xlfn.XLOOKUP($D161,'Modelling New'!$D:$D,'Modelling New'!$AE:$AE),"")</f>
        <v>0.96029999999999993</v>
      </c>
      <c r="AH161" s="124">
        <f>IFERROR(_xlfn.XLOOKUP($D161,'Modelling New'!$D:$D,'Modelling New'!$AF:$AF),"")</f>
        <v>0.995</v>
      </c>
      <c r="AI161" s="105" t="str">
        <f>IFERROR(_xlfn.XLOOKUP($A161,Input_Raw!$A:$A,Input_Raw!$DE:$DE),"")</f>
        <v/>
      </c>
      <c r="AJ161" s="105"/>
      <c r="AK161" s="105"/>
      <c r="AL161" s="105"/>
      <c r="AM161" s="105"/>
      <c r="AN161" s="126" t="str">
        <f>IFERROR(_xlfn.XLOOKUP($A161,Input_Raw!$A:$A,Input_Raw!$DB:$DB),"")</f>
        <v/>
      </c>
      <c r="AO161" s="124" t="str">
        <f>IFERROR((_xlfn.XLOOKUP($A161,'WTG Reactive Power'!$A:$A,'WTG Reactive Power'!$AR:$AR))/X161/1000,"")</f>
        <v/>
      </c>
      <c r="AP161" s="124">
        <f>IFERROR(_xlfn.XLOOKUP($D161,'Modelling New'!$D:$D,'Modelling New'!$AK:$AK),"")</f>
        <v>0.05</v>
      </c>
      <c r="AQ161" s="124">
        <f>IFERROR(_xlfn.XLOOKUP($D161,'Modelling New'!$D:$D,'Modelling New'!$AL:$AL),"")</f>
        <v>0.05</v>
      </c>
      <c r="AR161">
        <f>IFERROR(_xlfn.XLOOKUP($D161,'Modelling New'!$D:$D,'Modelling New'!$N:$N),"")</f>
        <v>78</v>
      </c>
    </row>
    <row r="162" spans="1:44">
      <c r="A162" s="118">
        <f t="shared" si="11"/>
        <v>45905</v>
      </c>
      <c r="B162" s="107">
        <f>YEAR(Table13[[#This Row],[Date]])+IF(MONTH(Table13[[#This Row],[Date]])&gt;=4,1,0)</f>
        <v>2026</v>
      </c>
      <c r="C162" s="105">
        <f>YEAR(Table13[[#This Row],[Date]])</f>
        <v>2025</v>
      </c>
      <c r="D162" s="119">
        <f>Table13[[#This Row],[Date]]-DAY(Table13[[#This Row],[Date]])+1</f>
        <v>45901</v>
      </c>
      <c r="E162" s="105">
        <f t="shared" si="8"/>
        <v>30</v>
      </c>
      <c r="F162" s="108"/>
      <c r="G162" s="109"/>
      <c r="H162" s="109"/>
      <c r="I162" s="109"/>
      <c r="J162" s="109"/>
      <c r="K162" s="120"/>
      <c r="L162" s="109"/>
      <c r="M162" s="109" t="str">
        <f>IFERROR(_xlfn.XLOOKUP($A162,Input_Raw!$A:$A,Input_Raw!CG:CG),"")</f>
        <v/>
      </c>
      <c r="N162" s="109" t="str">
        <f>IFERROR(_xlfn.XLOOKUP($A162,Input_Raw!$A:$A,Input_Raw!CH:CH),"")</f>
        <v/>
      </c>
      <c r="O162" s="121" t="str">
        <f t="shared" si="10"/>
        <v/>
      </c>
      <c r="P162" s="121" t="str">
        <f>IFERROR(1-SUMIF(WTG_BD!$F:$F,$A162,WTG_BD!$AA:$AA)/($AA162+SUMIF(WTG_BD!$F:$F,$A162,WTG_BD!$AA:$AA)),"")</f>
        <v/>
      </c>
      <c r="Q162" s="122" t="str">
        <f>IFERROR(1-SUMIF(IGA_BD!$F:$F,$A162,IGA_BD!$V:$V)/($AA162+SUMIF(IGA_BD!$F:$F,$A162,IGA_BD!$V:$V)),"")</f>
        <v/>
      </c>
      <c r="R162" s="127" t="str">
        <f>IFERROR(1-SUMIF(Grid_BD!$F:$F,$A162,Grid_BD!$X:$X)/($AA162+SUMIF(Grid_BD!$F:$F,$A162,Grid_BD!$X:$X)),"")</f>
        <v/>
      </c>
      <c r="S162" s="105"/>
      <c r="T162" s="122"/>
      <c r="U162" s="123"/>
      <c r="V162" s="105"/>
      <c r="W162" s="124" t="str">
        <f>IFERROR(Table13[[#This Row],[Mtr_Net_Exp (KWh)]]/(24*AR162*1000),"")</f>
        <v/>
      </c>
      <c r="X162" s="105" t="str">
        <f>IFERROR(_xlfn.XLOOKUP($A162,Input_Raw!$A:$A,Input_Raw!$CF:$CF),"")</f>
        <v/>
      </c>
      <c r="Y162" s="105" t="str">
        <f>IFERROR(_xlfn.XLOOKUP($A162,Input_Raw!$A:$A,Input_Raw!$CZ:$CZ),"")</f>
        <v/>
      </c>
      <c r="Z162" s="105" t="str">
        <f>IFERROR(_xlfn.XLOOKUP($A162,Input_Raw!$A:$A,Input_Raw!$DA:$DA),"")</f>
        <v/>
      </c>
      <c r="AA162" s="107" t="str">
        <f t="shared" si="9"/>
        <v/>
      </c>
      <c r="AB162" s="105" t="str">
        <f>IFERROR(_xlfn.XLOOKUP($A162,Input_Raw!$A:$A,Input_Raw!$DG:$DG),"")</f>
        <v/>
      </c>
      <c r="AC162" s="125">
        <f>IFERROR(_xlfn.XLOOKUP($D162,'Modelling New'!$D:$D,'Modelling New'!$J:$J),"")</f>
        <v>5.0333333333333332</v>
      </c>
      <c r="AD162" s="107">
        <f>IFERROR(_xlfn.XLOOKUP($D162,'Modelling New'!$D:$D,'Modelling New'!$T:$T)*1000,"")</f>
        <v>279529.73373197042</v>
      </c>
      <c r="AE162" s="124"/>
      <c r="AF162" s="124">
        <f>IFERROR(_xlfn.XLOOKUP($D162,'Modelling New'!$D:$D,'Modelling New'!$W:$W),"")</f>
        <v>0.14932143895938593</v>
      </c>
      <c r="AG162" s="124">
        <f>IFERROR(_xlfn.XLOOKUP($D162,'Modelling New'!$D:$D,'Modelling New'!$AE:$AE),"")</f>
        <v>0.96029999999999993</v>
      </c>
      <c r="AH162" s="124">
        <f>IFERROR(_xlfn.XLOOKUP($D162,'Modelling New'!$D:$D,'Modelling New'!$AF:$AF),"")</f>
        <v>0.995</v>
      </c>
      <c r="AI162" s="105" t="str">
        <f>IFERROR(_xlfn.XLOOKUP($A162,Input_Raw!$A:$A,Input_Raw!$DE:$DE),"")</f>
        <v/>
      </c>
      <c r="AJ162" s="105"/>
      <c r="AK162" s="105"/>
      <c r="AL162" s="105"/>
      <c r="AM162" s="105"/>
      <c r="AN162" s="126" t="str">
        <f>IFERROR(_xlfn.XLOOKUP($A162,Input_Raw!$A:$A,Input_Raw!$DB:$DB),"")</f>
        <v/>
      </c>
      <c r="AO162" s="124" t="str">
        <f>IFERROR((_xlfn.XLOOKUP($A162,'WTG Reactive Power'!$A:$A,'WTG Reactive Power'!$AR:$AR))/X162/1000,"")</f>
        <v/>
      </c>
      <c r="AP162" s="124">
        <f>IFERROR(_xlfn.XLOOKUP($D162,'Modelling New'!$D:$D,'Modelling New'!$AK:$AK),"")</f>
        <v>0.05</v>
      </c>
      <c r="AQ162" s="124">
        <f>IFERROR(_xlfn.XLOOKUP($D162,'Modelling New'!$D:$D,'Modelling New'!$AL:$AL),"")</f>
        <v>0.05</v>
      </c>
      <c r="AR162">
        <f>IFERROR(_xlfn.XLOOKUP($D162,'Modelling New'!$D:$D,'Modelling New'!$N:$N),"")</f>
        <v>78</v>
      </c>
    </row>
    <row r="163" spans="1:44">
      <c r="A163" s="118">
        <f t="shared" si="11"/>
        <v>45906</v>
      </c>
      <c r="B163" s="107">
        <f>YEAR(Table13[[#This Row],[Date]])+IF(MONTH(Table13[[#This Row],[Date]])&gt;=4,1,0)</f>
        <v>2026</v>
      </c>
      <c r="C163" s="105">
        <f>YEAR(Table13[[#This Row],[Date]])</f>
        <v>2025</v>
      </c>
      <c r="D163" s="119">
        <f>Table13[[#This Row],[Date]]-DAY(Table13[[#This Row],[Date]])+1</f>
        <v>45901</v>
      </c>
      <c r="E163" s="105">
        <f t="shared" si="8"/>
        <v>30</v>
      </c>
      <c r="F163" s="108"/>
      <c r="G163" s="109"/>
      <c r="H163" s="109"/>
      <c r="I163" s="109"/>
      <c r="J163" s="109"/>
      <c r="K163" s="120"/>
      <c r="L163" s="109"/>
      <c r="M163" s="109" t="str">
        <f>IFERROR(_xlfn.XLOOKUP($A163,Input_Raw!$A:$A,Input_Raw!CG:CG),"")</f>
        <v/>
      </c>
      <c r="N163" s="109" t="str">
        <f>IFERROR(_xlfn.XLOOKUP($A163,Input_Raw!$A:$A,Input_Raw!CH:CH),"")</f>
        <v/>
      </c>
      <c r="O163" s="121" t="str">
        <f t="shared" si="10"/>
        <v/>
      </c>
      <c r="P163" s="121" t="str">
        <f>IFERROR(1-SUMIF(WTG_BD!$F:$F,$A163,WTG_BD!$AA:$AA)/($AA163+SUMIF(WTG_BD!$F:$F,$A163,WTG_BD!$AA:$AA)),"")</f>
        <v/>
      </c>
      <c r="Q163" s="122" t="str">
        <f>IFERROR(1-SUMIF(IGA_BD!$F:$F,$A163,IGA_BD!$V:$V)/($AA163+SUMIF(IGA_BD!$F:$F,$A163,IGA_BD!$V:$V)),"")</f>
        <v/>
      </c>
      <c r="R163" s="127" t="str">
        <f>IFERROR(1-SUMIF(Grid_BD!$F:$F,$A163,Grid_BD!$X:$X)/($AA163+SUMIF(Grid_BD!$F:$F,$A163,Grid_BD!$X:$X)),"")</f>
        <v/>
      </c>
      <c r="S163" s="105"/>
      <c r="T163" s="122"/>
      <c r="U163" s="123"/>
      <c r="V163" s="105"/>
      <c r="W163" s="124" t="str">
        <f>IFERROR(Table13[[#This Row],[Mtr_Net_Exp (KWh)]]/(24*AR163*1000),"")</f>
        <v/>
      </c>
      <c r="X163" s="105" t="str">
        <f>IFERROR(_xlfn.XLOOKUP($A163,Input_Raw!$A:$A,Input_Raw!$CF:$CF),"")</f>
        <v/>
      </c>
      <c r="Y163" s="105" t="str">
        <f>IFERROR(_xlfn.XLOOKUP($A163,Input_Raw!$A:$A,Input_Raw!$CZ:$CZ),"")</f>
        <v/>
      </c>
      <c r="Z163" s="105" t="str">
        <f>IFERROR(_xlfn.XLOOKUP($A163,Input_Raw!$A:$A,Input_Raw!$DA:$DA),"")</f>
        <v/>
      </c>
      <c r="AA163" s="107" t="str">
        <f t="shared" si="9"/>
        <v/>
      </c>
      <c r="AB163" s="105" t="str">
        <f>IFERROR(_xlfn.XLOOKUP($A163,Input_Raw!$A:$A,Input_Raw!$DG:$DG),"")</f>
        <v/>
      </c>
      <c r="AC163" s="125">
        <f>IFERROR(_xlfn.XLOOKUP($D163,'Modelling New'!$D:$D,'Modelling New'!$J:$J),"")</f>
        <v>5.0333333333333332</v>
      </c>
      <c r="AD163" s="107">
        <f>IFERROR(_xlfn.XLOOKUP($D163,'Modelling New'!$D:$D,'Modelling New'!$T:$T)*1000,"")</f>
        <v>279529.73373197042</v>
      </c>
      <c r="AE163" s="124"/>
      <c r="AF163" s="124">
        <f>IFERROR(_xlfn.XLOOKUP($D163,'Modelling New'!$D:$D,'Modelling New'!$W:$W),"")</f>
        <v>0.14932143895938593</v>
      </c>
      <c r="AG163" s="124">
        <f>IFERROR(_xlfn.XLOOKUP($D163,'Modelling New'!$D:$D,'Modelling New'!$AE:$AE),"")</f>
        <v>0.96029999999999993</v>
      </c>
      <c r="AH163" s="124">
        <f>IFERROR(_xlfn.XLOOKUP($D163,'Modelling New'!$D:$D,'Modelling New'!$AF:$AF),"")</f>
        <v>0.995</v>
      </c>
      <c r="AI163" s="105" t="str">
        <f>IFERROR(_xlfn.XLOOKUP($A163,Input_Raw!$A:$A,Input_Raw!$DE:$DE),"")</f>
        <v/>
      </c>
      <c r="AJ163" s="105"/>
      <c r="AK163" s="105"/>
      <c r="AL163" s="105"/>
      <c r="AM163" s="105"/>
      <c r="AN163" s="126" t="str">
        <f>IFERROR(_xlfn.XLOOKUP($A163,Input_Raw!$A:$A,Input_Raw!$DB:$DB),"")</f>
        <v/>
      </c>
      <c r="AO163" s="124" t="str">
        <f>IFERROR((_xlfn.XLOOKUP($A163,'WTG Reactive Power'!$A:$A,'WTG Reactive Power'!$AR:$AR))/X163/1000,"")</f>
        <v/>
      </c>
      <c r="AP163" s="124">
        <f>IFERROR(_xlfn.XLOOKUP($D163,'Modelling New'!$D:$D,'Modelling New'!$AK:$AK),"")</f>
        <v>0.05</v>
      </c>
      <c r="AQ163" s="124">
        <f>IFERROR(_xlfn.XLOOKUP($D163,'Modelling New'!$D:$D,'Modelling New'!$AL:$AL),"")</f>
        <v>0.05</v>
      </c>
      <c r="AR163">
        <f>IFERROR(_xlfn.XLOOKUP($D163,'Modelling New'!$D:$D,'Modelling New'!$N:$N),"")</f>
        <v>78</v>
      </c>
    </row>
    <row r="164" spans="1:44">
      <c r="A164" s="118">
        <f t="shared" si="11"/>
        <v>45907</v>
      </c>
      <c r="B164" s="107">
        <f>YEAR(Table13[[#This Row],[Date]])+IF(MONTH(Table13[[#This Row],[Date]])&gt;=4,1,0)</f>
        <v>2026</v>
      </c>
      <c r="C164" s="105">
        <f>YEAR(Table13[[#This Row],[Date]])</f>
        <v>2025</v>
      </c>
      <c r="D164" s="119">
        <f>Table13[[#This Row],[Date]]-DAY(Table13[[#This Row],[Date]])+1</f>
        <v>45901</v>
      </c>
      <c r="E164" s="105">
        <f t="shared" ref="E164:E190" si="12">DAY(EOMONTH(A164,0))</f>
        <v>30</v>
      </c>
      <c r="F164" s="108"/>
      <c r="G164" s="109"/>
      <c r="H164" s="109"/>
      <c r="I164" s="109"/>
      <c r="J164" s="109"/>
      <c r="K164" s="120"/>
      <c r="L164" s="109"/>
      <c r="M164" s="109" t="str">
        <f>IFERROR(_xlfn.XLOOKUP($A164,Input_Raw!$A:$A,Input_Raw!CG:CG),"")</f>
        <v/>
      </c>
      <c r="N164" s="109" t="str">
        <f>IFERROR(_xlfn.XLOOKUP($A164,Input_Raw!$A:$A,Input_Raw!CH:CH),"")</f>
        <v/>
      </c>
      <c r="O164" s="121" t="str">
        <f t="shared" si="10"/>
        <v/>
      </c>
      <c r="P164" s="121" t="str">
        <f>IFERROR(1-SUMIF(WTG_BD!$F:$F,$A164,WTG_BD!$AA:$AA)/($AA164+SUMIF(WTG_BD!$F:$F,$A164,WTG_BD!$AA:$AA)),"")</f>
        <v/>
      </c>
      <c r="Q164" s="122" t="str">
        <f>IFERROR(1-SUMIF(IGA_BD!$F:$F,$A164,IGA_BD!$V:$V)/($AA164+SUMIF(IGA_BD!$F:$F,$A164,IGA_BD!$V:$V)),"")</f>
        <v/>
      </c>
      <c r="R164" s="127" t="str">
        <f>IFERROR(1-SUMIF(Grid_BD!$F:$F,$A164,Grid_BD!$X:$X)/($AA164+SUMIF(Grid_BD!$F:$F,$A164,Grid_BD!$X:$X)),"")</f>
        <v/>
      </c>
      <c r="S164" s="105"/>
      <c r="T164" s="122"/>
      <c r="U164" s="123"/>
      <c r="V164" s="105"/>
      <c r="W164" s="124" t="str">
        <f>IFERROR(Table13[[#This Row],[Mtr_Net_Exp (KWh)]]/(24*AR164*1000),"")</f>
        <v/>
      </c>
      <c r="X164" s="105" t="str">
        <f>IFERROR(_xlfn.XLOOKUP($A164,Input_Raw!$A:$A,Input_Raw!$CF:$CF),"")</f>
        <v/>
      </c>
      <c r="Y164" s="105" t="str">
        <f>IFERROR(_xlfn.XLOOKUP($A164,Input_Raw!$A:$A,Input_Raw!$CZ:$CZ),"")</f>
        <v/>
      </c>
      <c r="Z164" s="105" t="str">
        <f>IFERROR(_xlfn.XLOOKUP($A164,Input_Raw!$A:$A,Input_Raw!$DA:$DA),"")</f>
        <v/>
      </c>
      <c r="AA164" s="107" t="str">
        <f t="shared" ref="AA164:AA190" si="13">IFERROR(Y164-Z164,"")</f>
        <v/>
      </c>
      <c r="AB164" s="105" t="str">
        <f>IFERROR(_xlfn.XLOOKUP($A164,Input_Raw!$A:$A,Input_Raw!$DG:$DG),"")</f>
        <v/>
      </c>
      <c r="AC164" s="125">
        <f>IFERROR(_xlfn.XLOOKUP($D164,'Modelling New'!$D:$D,'Modelling New'!$J:$J),"")</f>
        <v>5.0333333333333332</v>
      </c>
      <c r="AD164" s="107">
        <f>IFERROR(_xlfn.XLOOKUP($D164,'Modelling New'!$D:$D,'Modelling New'!$T:$T)*1000,"")</f>
        <v>279529.73373197042</v>
      </c>
      <c r="AE164" s="124"/>
      <c r="AF164" s="124">
        <f>IFERROR(_xlfn.XLOOKUP($D164,'Modelling New'!$D:$D,'Modelling New'!$W:$W),"")</f>
        <v>0.14932143895938593</v>
      </c>
      <c r="AG164" s="124">
        <f>IFERROR(_xlfn.XLOOKUP($D164,'Modelling New'!$D:$D,'Modelling New'!$AE:$AE),"")</f>
        <v>0.96029999999999993</v>
      </c>
      <c r="AH164" s="124">
        <f>IFERROR(_xlfn.XLOOKUP($D164,'Modelling New'!$D:$D,'Modelling New'!$AF:$AF),"")</f>
        <v>0.995</v>
      </c>
      <c r="AI164" s="105" t="str">
        <f>IFERROR(_xlfn.XLOOKUP($A164,Input_Raw!$A:$A,Input_Raw!$DE:$DE),"")</f>
        <v/>
      </c>
      <c r="AJ164" s="105"/>
      <c r="AK164" s="105"/>
      <c r="AL164" s="105"/>
      <c r="AM164" s="105"/>
      <c r="AN164" s="126" t="str">
        <f>IFERROR(_xlfn.XLOOKUP($A164,Input_Raw!$A:$A,Input_Raw!$DB:$DB),"")</f>
        <v/>
      </c>
      <c r="AO164" s="124" t="str">
        <f>IFERROR((_xlfn.XLOOKUP($A164,'WTG Reactive Power'!$A:$A,'WTG Reactive Power'!$AR:$AR))/X164/1000,"")</f>
        <v/>
      </c>
      <c r="AP164" s="124">
        <f>IFERROR(_xlfn.XLOOKUP($D164,'Modelling New'!$D:$D,'Modelling New'!$AK:$AK),"")</f>
        <v>0.05</v>
      </c>
      <c r="AQ164" s="124">
        <f>IFERROR(_xlfn.XLOOKUP($D164,'Modelling New'!$D:$D,'Modelling New'!$AL:$AL),"")</f>
        <v>0.05</v>
      </c>
      <c r="AR164">
        <f>IFERROR(_xlfn.XLOOKUP($D164,'Modelling New'!$D:$D,'Modelling New'!$N:$N),"")</f>
        <v>78</v>
      </c>
    </row>
    <row r="165" spans="1:44">
      <c r="A165" s="118">
        <f t="shared" si="11"/>
        <v>45908</v>
      </c>
      <c r="B165" s="107">
        <f>YEAR(Table13[[#This Row],[Date]])+IF(MONTH(Table13[[#This Row],[Date]])&gt;=4,1,0)</f>
        <v>2026</v>
      </c>
      <c r="C165" s="105">
        <f>YEAR(Table13[[#This Row],[Date]])</f>
        <v>2025</v>
      </c>
      <c r="D165" s="119">
        <f>Table13[[#This Row],[Date]]-DAY(Table13[[#This Row],[Date]])+1</f>
        <v>45901</v>
      </c>
      <c r="E165" s="105">
        <f t="shared" si="12"/>
        <v>30</v>
      </c>
      <c r="F165" s="108"/>
      <c r="G165" s="109"/>
      <c r="H165" s="109"/>
      <c r="I165" s="109"/>
      <c r="J165" s="109"/>
      <c r="K165" s="120"/>
      <c r="L165" s="109"/>
      <c r="M165" s="109" t="str">
        <f>IFERROR(_xlfn.XLOOKUP($A165,Input_Raw!$A:$A,Input_Raw!CG:CG),"")</f>
        <v/>
      </c>
      <c r="N165" s="109" t="str">
        <f>IFERROR(_xlfn.XLOOKUP($A165,Input_Raw!$A:$A,Input_Raw!CH:CH),"")</f>
        <v/>
      </c>
      <c r="O165" s="121" t="str">
        <f t="shared" ref="O165:O190" si="14">IFERROR(P165*Q165,"")</f>
        <v/>
      </c>
      <c r="P165" s="121" t="str">
        <f>IFERROR(1-SUMIF(WTG_BD!$F:$F,$A165,WTG_BD!$AA:$AA)/($AA165+SUMIF(WTG_BD!$F:$F,$A165,WTG_BD!$AA:$AA)),"")</f>
        <v/>
      </c>
      <c r="Q165" s="122" t="str">
        <f>IFERROR(1-SUMIF(IGA_BD!$F:$F,$A165,IGA_BD!$V:$V)/($AA165+SUMIF(IGA_BD!$F:$F,$A165,IGA_BD!$V:$V)),"")</f>
        <v/>
      </c>
      <c r="R165" s="127" t="str">
        <f>IFERROR(1-SUMIF(Grid_BD!$F:$F,$A165,Grid_BD!$X:$X)/($AA165+SUMIF(Grid_BD!$F:$F,$A165,Grid_BD!$X:$X)),"")</f>
        <v/>
      </c>
      <c r="S165" s="105"/>
      <c r="T165" s="122"/>
      <c r="U165" s="123"/>
      <c r="V165" s="105"/>
      <c r="W165" s="124" t="str">
        <f>IFERROR(Table13[[#This Row],[Mtr_Net_Exp (KWh)]]/(24*AR165*1000),"")</f>
        <v/>
      </c>
      <c r="X165" s="105" t="str">
        <f>IFERROR(_xlfn.XLOOKUP($A165,Input_Raw!$A:$A,Input_Raw!$CF:$CF),"")</f>
        <v/>
      </c>
      <c r="Y165" s="105" t="str">
        <f>IFERROR(_xlfn.XLOOKUP($A165,Input_Raw!$A:$A,Input_Raw!$CZ:$CZ),"")</f>
        <v/>
      </c>
      <c r="Z165" s="105" t="str">
        <f>IFERROR(_xlfn.XLOOKUP($A165,Input_Raw!$A:$A,Input_Raw!$DA:$DA),"")</f>
        <v/>
      </c>
      <c r="AA165" s="107" t="str">
        <f t="shared" si="13"/>
        <v/>
      </c>
      <c r="AB165" s="105" t="str">
        <f>IFERROR(_xlfn.XLOOKUP($A165,Input_Raw!$A:$A,Input_Raw!$DG:$DG),"")</f>
        <v/>
      </c>
      <c r="AC165" s="125">
        <f>IFERROR(_xlfn.XLOOKUP($D165,'Modelling New'!$D:$D,'Modelling New'!$J:$J),"")</f>
        <v>5.0333333333333332</v>
      </c>
      <c r="AD165" s="107">
        <f>IFERROR(_xlfn.XLOOKUP($D165,'Modelling New'!$D:$D,'Modelling New'!$T:$T)*1000,"")</f>
        <v>279529.73373197042</v>
      </c>
      <c r="AE165" s="124"/>
      <c r="AF165" s="124">
        <f>IFERROR(_xlfn.XLOOKUP($D165,'Modelling New'!$D:$D,'Modelling New'!$W:$W),"")</f>
        <v>0.14932143895938593</v>
      </c>
      <c r="AG165" s="124">
        <f>IFERROR(_xlfn.XLOOKUP($D165,'Modelling New'!$D:$D,'Modelling New'!$AE:$AE),"")</f>
        <v>0.96029999999999993</v>
      </c>
      <c r="AH165" s="124">
        <f>IFERROR(_xlfn.XLOOKUP($D165,'Modelling New'!$D:$D,'Modelling New'!$AF:$AF),"")</f>
        <v>0.995</v>
      </c>
      <c r="AI165" s="105" t="str">
        <f>IFERROR(_xlfn.XLOOKUP($A165,Input_Raw!$A:$A,Input_Raw!$DE:$DE),"")</f>
        <v/>
      </c>
      <c r="AJ165" s="105"/>
      <c r="AK165" s="105"/>
      <c r="AL165" s="105"/>
      <c r="AM165" s="105"/>
      <c r="AN165" s="126" t="str">
        <f>IFERROR(_xlfn.XLOOKUP($A165,Input_Raw!$A:$A,Input_Raw!$DB:$DB),"")</f>
        <v/>
      </c>
      <c r="AO165" s="124" t="str">
        <f>IFERROR((_xlfn.XLOOKUP($A165,'WTG Reactive Power'!$A:$A,'WTG Reactive Power'!$AR:$AR))/X165/1000,"")</f>
        <v/>
      </c>
      <c r="AP165" s="124">
        <f>IFERROR(_xlfn.XLOOKUP($D165,'Modelling New'!$D:$D,'Modelling New'!$AK:$AK),"")</f>
        <v>0.05</v>
      </c>
      <c r="AQ165" s="124">
        <f>IFERROR(_xlfn.XLOOKUP($D165,'Modelling New'!$D:$D,'Modelling New'!$AL:$AL),"")</f>
        <v>0.05</v>
      </c>
      <c r="AR165">
        <f>IFERROR(_xlfn.XLOOKUP($D165,'Modelling New'!$D:$D,'Modelling New'!$N:$N),"")</f>
        <v>78</v>
      </c>
    </row>
    <row r="166" spans="1:44">
      <c r="A166" s="118">
        <f t="shared" ref="A166:A229" si="15">A165+1</f>
        <v>45909</v>
      </c>
      <c r="B166" s="107">
        <f>YEAR(Table13[[#This Row],[Date]])+IF(MONTH(Table13[[#This Row],[Date]])&gt;=4,1,0)</f>
        <v>2026</v>
      </c>
      <c r="C166" s="105">
        <f>YEAR(Table13[[#This Row],[Date]])</f>
        <v>2025</v>
      </c>
      <c r="D166" s="119">
        <f>Table13[[#This Row],[Date]]-DAY(Table13[[#This Row],[Date]])+1</f>
        <v>45901</v>
      </c>
      <c r="E166" s="105">
        <f t="shared" si="12"/>
        <v>30</v>
      </c>
      <c r="F166" s="108"/>
      <c r="G166" s="109"/>
      <c r="H166" s="109"/>
      <c r="I166" s="109"/>
      <c r="J166" s="109"/>
      <c r="K166" s="120"/>
      <c r="L166" s="109"/>
      <c r="M166" s="109" t="str">
        <f>IFERROR(_xlfn.XLOOKUP($A166,Input_Raw!$A:$A,Input_Raw!CG:CG),"")</f>
        <v/>
      </c>
      <c r="N166" s="109" t="str">
        <f>IFERROR(_xlfn.XLOOKUP($A166,Input_Raw!$A:$A,Input_Raw!CH:CH),"")</f>
        <v/>
      </c>
      <c r="O166" s="121" t="str">
        <f t="shared" si="14"/>
        <v/>
      </c>
      <c r="P166" s="121" t="str">
        <f>IFERROR(1-SUMIF(WTG_BD!$F:$F,$A166,WTG_BD!$AA:$AA)/($AA166+SUMIF(WTG_BD!$F:$F,$A166,WTG_BD!$AA:$AA)),"")</f>
        <v/>
      </c>
      <c r="Q166" s="122" t="str">
        <f>IFERROR(1-SUMIF(IGA_BD!$F:$F,$A166,IGA_BD!$V:$V)/($AA166+SUMIF(IGA_BD!$F:$F,$A166,IGA_BD!$V:$V)),"")</f>
        <v/>
      </c>
      <c r="R166" s="127" t="str">
        <f>IFERROR(1-SUMIF(Grid_BD!$F:$F,$A166,Grid_BD!$X:$X)/($AA166+SUMIF(Grid_BD!$F:$F,$A166,Grid_BD!$X:$X)),"")</f>
        <v/>
      </c>
      <c r="S166" s="105"/>
      <c r="T166" s="122"/>
      <c r="U166" s="123"/>
      <c r="V166" s="105"/>
      <c r="W166" s="124" t="str">
        <f>IFERROR(Table13[[#This Row],[Mtr_Net_Exp (KWh)]]/(24*AR166*1000),"")</f>
        <v/>
      </c>
      <c r="X166" s="105" t="str">
        <f>IFERROR(_xlfn.XLOOKUP($A166,Input_Raw!$A:$A,Input_Raw!$CF:$CF),"")</f>
        <v/>
      </c>
      <c r="Y166" s="105" t="str">
        <f>IFERROR(_xlfn.XLOOKUP($A166,Input_Raw!$A:$A,Input_Raw!$CZ:$CZ),"")</f>
        <v/>
      </c>
      <c r="Z166" s="105" t="str">
        <f>IFERROR(_xlfn.XLOOKUP($A166,Input_Raw!$A:$A,Input_Raw!$DA:$DA),"")</f>
        <v/>
      </c>
      <c r="AA166" s="107" t="str">
        <f t="shared" si="13"/>
        <v/>
      </c>
      <c r="AB166" s="105" t="str">
        <f>IFERROR(_xlfn.XLOOKUP($A166,Input_Raw!$A:$A,Input_Raw!$DG:$DG),"")</f>
        <v/>
      </c>
      <c r="AC166" s="125">
        <f>IFERROR(_xlfn.XLOOKUP($D166,'Modelling New'!$D:$D,'Modelling New'!$J:$J),"")</f>
        <v>5.0333333333333332</v>
      </c>
      <c r="AD166" s="107">
        <f>IFERROR(_xlfn.XLOOKUP($D166,'Modelling New'!$D:$D,'Modelling New'!$T:$T)*1000,"")</f>
        <v>279529.73373197042</v>
      </c>
      <c r="AE166" s="124"/>
      <c r="AF166" s="124">
        <f>IFERROR(_xlfn.XLOOKUP($D166,'Modelling New'!$D:$D,'Modelling New'!$W:$W),"")</f>
        <v>0.14932143895938593</v>
      </c>
      <c r="AG166" s="124">
        <f>IFERROR(_xlfn.XLOOKUP($D166,'Modelling New'!$D:$D,'Modelling New'!$AE:$AE),"")</f>
        <v>0.96029999999999993</v>
      </c>
      <c r="AH166" s="124">
        <f>IFERROR(_xlfn.XLOOKUP($D166,'Modelling New'!$D:$D,'Modelling New'!$AF:$AF),"")</f>
        <v>0.995</v>
      </c>
      <c r="AI166" s="105" t="str">
        <f>IFERROR(_xlfn.XLOOKUP($A166,Input_Raw!$A:$A,Input_Raw!$DE:$DE),"")</f>
        <v/>
      </c>
      <c r="AJ166" s="105"/>
      <c r="AK166" s="105"/>
      <c r="AL166" s="105"/>
      <c r="AM166" s="105"/>
      <c r="AN166" s="126" t="str">
        <f>IFERROR(_xlfn.XLOOKUP($A166,Input_Raw!$A:$A,Input_Raw!$DB:$DB),"")</f>
        <v/>
      </c>
      <c r="AO166" s="124" t="str">
        <f>IFERROR((_xlfn.XLOOKUP($A166,'WTG Reactive Power'!$A:$A,'WTG Reactive Power'!$AR:$AR))/X166/1000,"")</f>
        <v/>
      </c>
      <c r="AP166" s="124">
        <f>IFERROR(_xlfn.XLOOKUP($D166,'Modelling New'!$D:$D,'Modelling New'!$AK:$AK),"")</f>
        <v>0.05</v>
      </c>
      <c r="AQ166" s="124">
        <f>IFERROR(_xlfn.XLOOKUP($D166,'Modelling New'!$D:$D,'Modelling New'!$AL:$AL),"")</f>
        <v>0.05</v>
      </c>
      <c r="AR166">
        <f>IFERROR(_xlfn.XLOOKUP($D166,'Modelling New'!$D:$D,'Modelling New'!$N:$N),"")</f>
        <v>78</v>
      </c>
    </row>
    <row r="167" spans="1:44">
      <c r="A167" s="118">
        <f t="shared" si="15"/>
        <v>45910</v>
      </c>
      <c r="B167" s="107">
        <f>YEAR(Table13[[#This Row],[Date]])+IF(MONTH(Table13[[#This Row],[Date]])&gt;=4,1,0)</f>
        <v>2026</v>
      </c>
      <c r="C167" s="105">
        <f>YEAR(Table13[[#This Row],[Date]])</f>
        <v>2025</v>
      </c>
      <c r="D167" s="119">
        <f>Table13[[#This Row],[Date]]-DAY(Table13[[#This Row],[Date]])+1</f>
        <v>45901</v>
      </c>
      <c r="E167" s="105">
        <f t="shared" si="12"/>
        <v>30</v>
      </c>
      <c r="F167" s="108"/>
      <c r="G167" s="109"/>
      <c r="H167" s="109"/>
      <c r="I167" s="109"/>
      <c r="J167" s="109"/>
      <c r="K167" s="120"/>
      <c r="L167" s="109"/>
      <c r="M167" s="109" t="str">
        <f>IFERROR(_xlfn.XLOOKUP($A167,Input_Raw!$A:$A,Input_Raw!CG:CG),"")</f>
        <v/>
      </c>
      <c r="N167" s="109" t="str">
        <f>IFERROR(_xlfn.XLOOKUP($A167,Input_Raw!$A:$A,Input_Raw!CH:CH),"")</f>
        <v/>
      </c>
      <c r="O167" s="121" t="str">
        <f t="shared" si="14"/>
        <v/>
      </c>
      <c r="P167" s="121" t="str">
        <f>IFERROR(1-SUMIF(WTG_BD!$F:$F,$A167,WTG_BD!$AA:$AA)/($AA167+SUMIF(WTG_BD!$F:$F,$A167,WTG_BD!$AA:$AA)),"")</f>
        <v/>
      </c>
      <c r="Q167" s="122" t="str">
        <f>IFERROR(1-SUMIF(IGA_BD!$F:$F,$A167,IGA_BD!$V:$V)/($AA167+SUMIF(IGA_BD!$F:$F,$A167,IGA_BD!$V:$V)),"")</f>
        <v/>
      </c>
      <c r="R167" s="127" t="str">
        <f>IFERROR(1-SUMIF(Grid_BD!$F:$F,$A167,Grid_BD!$X:$X)/($AA167+SUMIF(Grid_BD!$F:$F,$A167,Grid_BD!$X:$X)),"")</f>
        <v/>
      </c>
      <c r="S167" s="105"/>
      <c r="T167" s="122"/>
      <c r="U167" s="123"/>
      <c r="V167" s="105"/>
      <c r="W167" s="124" t="str">
        <f>IFERROR(Table13[[#This Row],[Mtr_Net_Exp (KWh)]]/(24*AR167*1000),"")</f>
        <v/>
      </c>
      <c r="X167" s="105" t="str">
        <f>IFERROR(_xlfn.XLOOKUP($A167,Input_Raw!$A:$A,Input_Raw!$CF:$CF),"")</f>
        <v/>
      </c>
      <c r="Y167" s="105" t="str">
        <f>IFERROR(_xlfn.XLOOKUP($A167,Input_Raw!$A:$A,Input_Raw!$CZ:$CZ),"")</f>
        <v/>
      </c>
      <c r="Z167" s="105" t="str">
        <f>IFERROR(_xlfn.XLOOKUP($A167,Input_Raw!$A:$A,Input_Raw!$DA:$DA),"")</f>
        <v/>
      </c>
      <c r="AA167" s="107" t="str">
        <f t="shared" si="13"/>
        <v/>
      </c>
      <c r="AB167" s="105" t="str">
        <f>IFERROR(_xlfn.XLOOKUP($A167,Input_Raw!$A:$A,Input_Raw!$DG:$DG),"")</f>
        <v/>
      </c>
      <c r="AC167" s="125">
        <f>IFERROR(_xlfn.XLOOKUP($D167,'Modelling New'!$D:$D,'Modelling New'!$J:$J),"")</f>
        <v>5.0333333333333332</v>
      </c>
      <c r="AD167" s="107">
        <f>IFERROR(_xlfn.XLOOKUP($D167,'Modelling New'!$D:$D,'Modelling New'!$T:$T)*1000,"")</f>
        <v>279529.73373197042</v>
      </c>
      <c r="AE167" s="124"/>
      <c r="AF167" s="124">
        <f>IFERROR(_xlfn.XLOOKUP($D167,'Modelling New'!$D:$D,'Modelling New'!$W:$W),"")</f>
        <v>0.14932143895938593</v>
      </c>
      <c r="AG167" s="124">
        <f>IFERROR(_xlfn.XLOOKUP($D167,'Modelling New'!$D:$D,'Modelling New'!$AE:$AE),"")</f>
        <v>0.96029999999999993</v>
      </c>
      <c r="AH167" s="124">
        <f>IFERROR(_xlfn.XLOOKUP($D167,'Modelling New'!$D:$D,'Modelling New'!$AF:$AF),"")</f>
        <v>0.995</v>
      </c>
      <c r="AI167" s="105" t="str">
        <f>IFERROR(_xlfn.XLOOKUP($A167,Input_Raw!$A:$A,Input_Raw!$DE:$DE),"")</f>
        <v/>
      </c>
      <c r="AJ167" s="105"/>
      <c r="AK167" s="105"/>
      <c r="AL167" s="105"/>
      <c r="AM167" s="105"/>
      <c r="AN167" s="126" t="str">
        <f>IFERROR(_xlfn.XLOOKUP($A167,Input_Raw!$A:$A,Input_Raw!$DB:$DB),"")</f>
        <v/>
      </c>
      <c r="AO167" s="124" t="str">
        <f>IFERROR((_xlfn.XLOOKUP($A167,'WTG Reactive Power'!$A:$A,'WTG Reactive Power'!$AR:$AR))/X167/1000,"")</f>
        <v/>
      </c>
      <c r="AP167" s="124">
        <f>IFERROR(_xlfn.XLOOKUP($D167,'Modelling New'!$D:$D,'Modelling New'!$AK:$AK),"")</f>
        <v>0.05</v>
      </c>
      <c r="AQ167" s="124">
        <f>IFERROR(_xlfn.XLOOKUP($D167,'Modelling New'!$D:$D,'Modelling New'!$AL:$AL),"")</f>
        <v>0.05</v>
      </c>
      <c r="AR167">
        <f>IFERROR(_xlfn.XLOOKUP($D167,'Modelling New'!$D:$D,'Modelling New'!$N:$N),"")</f>
        <v>78</v>
      </c>
    </row>
    <row r="168" spans="1:44">
      <c r="A168" s="118">
        <f t="shared" si="15"/>
        <v>45911</v>
      </c>
      <c r="B168" s="107">
        <f>YEAR(Table13[[#This Row],[Date]])+IF(MONTH(Table13[[#This Row],[Date]])&gt;=4,1,0)</f>
        <v>2026</v>
      </c>
      <c r="C168" s="105">
        <f>YEAR(Table13[[#This Row],[Date]])</f>
        <v>2025</v>
      </c>
      <c r="D168" s="119">
        <f>Table13[[#This Row],[Date]]-DAY(Table13[[#This Row],[Date]])+1</f>
        <v>45901</v>
      </c>
      <c r="E168" s="105">
        <f t="shared" si="12"/>
        <v>30</v>
      </c>
      <c r="F168" s="108"/>
      <c r="G168" s="109"/>
      <c r="H168" s="109"/>
      <c r="I168" s="109"/>
      <c r="J168" s="109"/>
      <c r="K168" s="120"/>
      <c r="L168" s="109"/>
      <c r="M168" s="109" t="str">
        <f>IFERROR(_xlfn.XLOOKUP($A168,Input_Raw!$A:$A,Input_Raw!CG:CG),"")</f>
        <v/>
      </c>
      <c r="N168" s="109" t="str">
        <f>IFERROR(_xlfn.XLOOKUP($A168,Input_Raw!$A:$A,Input_Raw!CH:CH),"")</f>
        <v/>
      </c>
      <c r="O168" s="121" t="str">
        <f t="shared" si="14"/>
        <v/>
      </c>
      <c r="P168" s="121" t="str">
        <f>IFERROR(1-SUMIF(WTG_BD!$F:$F,$A168,WTG_BD!$AA:$AA)/($AA168+SUMIF(WTG_BD!$F:$F,$A168,WTG_BD!$AA:$AA)),"")</f>
        <v/>
      </c>
      <c r="Q168" s="122" t="str">
        <f>IFERROR(1-SUMIF(IGA_BD!$F:$F,$A168,IGA_BD!$V:$V)/($AA168+SUMIF(IGA_BD!$F:$F,$A168,IGA_BD!$V:$V)),"")</f>
        <v/>
      </c>
      <c r="R168" s="127" t="str">
        <f>IFERROR(1-SUMIF(Grid_BD!$F:$F,$A168,Grid_BD!$X:$X)/($AA168+SUMIF(Grid_BD!$F:$F,$A168,Grid_BD!$X:$X)),"")</f>
        <v/>
      </c>
      <c r="S168" s="105"/>
      <c r="T168" s="122"/>
      <c r="U168" s="123"/>
      <c r="V168" s="105"/>
      <c r="W168" s="124" t="str">
        <f>IFERROR(Table13[[#This Row],[Mtr_Net_Exp (KWh)]]/(24*AR168*1000),"")</f>
        <v/>
      </c>
      <c r="X168" s="105" t="str">
        <f>IFERROR(_xlfn.XLOOKUP($A168,Input_Raw!$A:$A,Input_Raw!$CF:$CF),"")</f>
        <v/>
      </c>
      <c r="Y168" s="105" t="str">
        <f>IFERROR(_xlfn.XLOOKUP($A168,Input_Raw!$A:$A,Input_Raw!$CZ:$CZ),"")</f>
        <v/>
      </c>
      <c r="Z168" s="105" t="str">
        <f>IFERROR(_xlfn.XLOOKUP($A168,Input_Raw!$A:$A,Input_Raw!$DA:$DA),"")</f>
        <v/>
      </c>
      <c r="AA168" s="107" t="str">
        <f t="shared" si="13"/>
        <v/>
      </c>
      <c r="AB168" s="105" t="str">
        <f>IFERROR(_xlfn.XLOOKUP($A168,Input_Raw!$A:$A,Input_Raw!$DG:$DG),"")</f>
        <v/>
      </c>
      <c r="AC168" s="125">
        <f>IFERROR(_xlfn.XLOOKUP($D168,'Modelling New'!$D:$D,'Modelling New'!$J:$J),"")</f>
        <v>5.0333333333333332</v>
      </c>
      <c r="AD168" s="107">
        <f>IFERROR(_xlfn.XLOOKUP($D168,'Modelling New'!$D:$D,'Modelling New'!$T:$T)*1000,"")</f>
        <v>279529.73373197042</v>
      </c>
      <c r="AE168" s="124"/>
      <c r="AF168" s="124">
        <f>IFERROR(_xlfn.XLOOKUP($D168,'Modelling New'!$D:$D,'Modelling New'!$W:$W),"")</f>
        <v>0.14932143895938593</v>
      </c>
      <c r="AG168" s="124">
        <f>IFERROR(_xlfn.XLOOKUP($D168,'Modelling New'!$D:$D,'Modelling New'!$AE:$AE),"")</f>
        <v>0.96029999999999993</v>
      </c>
      <c r="AH168" s="124">
        <f>IFERROR(_xlfn.XLOOKUP($D168,'Modelling New'!$D:$D,'Modelling New'!$AF:$AF),"")</f>
        <v>0.995</v>
      </c>
      <c r="AI168" s="105" t="str">
        <f>IFERROR(_xlfn.XLOOKUP($A168,Input_Raw!$A:$A,Input_Raw!$DE:$DE),"")</f>
        <v/>
      </c>
      <c r="AJ168" s="105"/>
      <c r="AK168" s="105"/>
      <c r="AL168" s="105"/>
      <c r="AM168" s="105"/>
      <c r="AN168" s="126" t="str">
        <f>IFERROR(_xlfn.XLOOKUP($A168,Input_Raw!$A:$A,Input_Raw!$DB:$DB),"")</f>
        <v/>
      </c>
      <c r="AO168" s="124" t="str">
        <f>IFERROR((_xlfn.XLOOKUP($A168,'WTG Reactive Power'!$A:$A,'WTG Reactive Power'!$AR:$AR))/X168/1000,"")</f>
        <v/>
      </c>
      <c r="AP168" s="124">
        <f>IFERROR(_xlfn.XLOOKUP($D168,'Modelling New'!$D:$D,'Modelling New'!$AK:$AK),"")</f>
        <v>0.05</v>
      </c>
      <c r="AQ168" s="124">
        <f>IFERROR(_xlfn.XLOOKUP($D168,'Modelling New'!$D:$D,'Modelling New'!$AL:$AL),"")</f>
        <v>0.05</v>
      </c>
      <c r="AR168">
        <f>IFERROR(_xlfn.XLOOKUP($D168,'Modelling New'!$D:$D,'Modelling New'!$N:$N),"")</f>
        <v>78</v>
      </c>
    </row>
    <row r="169" spans="1:44">
      <c r="A169" s="118">
        <f t="shared" si="15"/>
        <v>45912</v>
      </c>
      <c r="B169" s="107">
        <f>YEAR(Table13[[#This Row],[Date]])+IF(MONTH(Table13[[#This Row],[Date]])&gt;=4,1,0)</f>
        <v>2026</v>
      </c>
      <c r="C169" s="105">
        <f>YEAR(Table13[[#This Row],[Date]])</f>
        <v>2025</v>
      </c>
      <c r="D169" s="119">
        <f>Table13[[#This Row],[Date]]-DAY(Table13[[#This Row],[Date]])+1</f>
        <v>45901</v>
      </c>
      <c r="E169" s="105">
        <f t="shared" si="12"/>
        <v>30</v>
      </c>
      <c r="F169" s="108"/>
      <c r="G169" s="109"/>
      <c r="H169" s="109"/>
      <c r="I169" s="109"/>
      <c r="J169" s="109"/>
      <c r="K169" s="120"/>
      <c r="L169" s="109"/>
      <c r="M169" s="109" t="str">
        <f>IFERROR(_xlfn.XLOOKUP($A169,Input_Raw!$A:$A,Input_Raw!CG:CG),"")</f>
        <v/>
      </c>
      <c r="N169" s="109" t="str">
        <f>IFERROR(_xlfn.XLOOKUP($A169,Input_Raw!$A:$A,Input_Raw!CH:CH),"")</f>
        <v/>
      </c>
      <c r="O169" s="121" t="str">
        <f t="shared" si="14"/>
        <v/>
      </c>
      <c r="P169" s="121" t="str">
        <f>IFERROR(1-SUMIF(WTG_BD!$F:$F,$A169,WTG_BD!$AA:$AA)/($AA169+SUMIF(WTG_BD!$F:$F,$A169,WTG_BD!$AA:$AA)),"")</f>
        <v/>
      </c>
      <c r="Q169" s="122" t="str">
        <f>IFERROR(1-SUMIF(IGA_BD!$F:$F,$A169,IGA_BD!$V:$V)/($AA169+SUMIF(IGA_BD!$F:$F,$A169,IGA_BD!$V:$V)),"")</f>
        <v/>
      </c>
      <c r="R169" s="127" t="str">
        <f>IFERROR(1-SUMIF(Grid_BD!$F:$F,$A169,Grid_BD!$X:$X)/($AA169+SUMIF(Grid_BD!$F:$F,$A169,Grid_BD!$X:$X)),"")</f>
        <v/>
      </c>
      <c r="S169" s="105"/>
      <c r="T169" s="122"/>
      <c r="U169" s="123"/>
      <c r="V169" s="105"/>
      <c r="W169" s="124" t="str">
        <f>IFERROR(Table13[[#This Row],[Mtr_Net_Exp (KWh)]]/(24*AR169*1000),"")</f>
        <v/>
      </c>
      <c r="X169" s="105" t="str">
        <f>IFERROR(_xlfn.XLOOKUP($A169,Input_Raw!$A:$A,Input_Raw!$CF:$CF),"")</f>
        <v/>
      </c>
      <c r="Y169" s="105" t="str">
        <f>IFERROR(_xlfn.XLOOKUP($A169,Input_Raw!$A:$A,Input_Raw!$CZ:$CZ),"")</f>
        <v/>
      </c>
      <c r="Z169" s="105" t="str">
        <f>IFERROR(_xlfn.XLOOKUP($A169,Input_Raw!$A:$A,Input_Raw!$DA:$DA),"")</f>
        <v/>
      </c>
      <c r="AA169" s="107" t="str">
        <f t="shared" si="13"/>
        <v/>
      </c>
      <c r="AB169" s="105" t="str">
        <f>IFERROR(_xlfn.XLOOKUP($A169,Input_Raw!$A:$A,Input_Raw!$DG:$DG),"")</f>
        <v/>
      </c>
      <c r="AC169" s="125">
        <f>IFERROR(_xlfn.XLOOKUP($D169,'Modelling New'!$D:$D,'Modelling New'!$J:$J),"")</f>
        <v>5.0333333333333332</v>
      </c>
      <c r="AD169" s="107">
        <f>IFERROR(_xlfn.XLOOKUP($D169,'Modelling New'!$D:$D,'Modelling New'!$T:$T)*1000,"")</f>
        <v>279529.73373197042</v>
      </c>
      <c r="AE169" s="124"/>
      <c r="AF169" s="124">
        <f>IFERROR(_xlfn.XLOOKUP($D169,'Modelling New'!$D:$D,'Modelling New'!$W:$W),"")</f>
        <v>0.14932143895938593</v>
      </c>
      <c r="AG169" s="124">
        <f>IFERROR(_xlfn.XLOOKUP($D169,'Modelling New'!$D:$D,'Modelling New'!$AE:$AE),"")</f>
        <v>0.96029999999999993</v>
      </c>
      <c r="AH169" s="124">
        <f>IFERROR(_xlfn.XLOOKUP($D169,'Modelling New'!$D:$D,'Modelling New'!$AF:$AF),"")</f>
        <v>0.995</v>
      </c>
      <c r="AI169" s="105" t="str">
        <f>IFERROR(_xlfn.XLOOKUP($A169,Input_Raw!$A:$A,Input_Raw!$DE:$DE),"")</f>
        <v/>
      </c>
      <c r="AJ169" s="105"/>
      <c r="AK169" s="105"/>
      <c r="AL169" s="105"/>
      <c r="AM169" s="105"/>
      <c r="AN169" s="126" t="str">
        <f>IFERROR(_xlfn.XLOOKUP($A169,Input_Raw!$A:$A,Input_Raw!$DB:$DB),"")</f>
        <v/>
      </c>
      <c r="AO169" s="124" t="str">
        <f>IFERROR((_xlfn.XLOOKUP($A169,'WTG Reactive Power'!$A:$A,'WTG Reactive Power'!$AR:$AR))/X169/1000,"")</f>
        <v/>
      </c>
      <c r="AP169" s="124">
        <f>IFERROR(_xlfn.XLOOKUP($D169,'Modelling New'!$D:$D,'Modelling New'!$AK:$AK),"")</f>
        <v>0.05</v>
      </c>
      <c r="AQ169" s="124">
        <f>IFERROR(_xlfn.XLOOKUP($D169,'Modelling New'!$D:$D,'Modelling New'!$AL:$AL),"")</f>
        <v>0.05</v>
      </c>
      <c r="AR169">
        <f>IFERROR(_xlfn.XLOOKUP($D169,'Modelling New'!$D:$D,'Modelling New'!$N:$N),"")</f>
        <v>78</v>
      </c>
    </row>
    <row r="170" spans="1:44">
      <c r="A170" s="118">
        <f t="shared" si="15"/>
        <v>45913</v>
      </c>
      <c r="B170" s="107">
        <f>YEAR(Table13[[#This Row],[Date]])+IF(MONTH(Table13[[#This Row],[Date]])&gt;=4,1,0)</f>
        <v>2026</v>
      </c>
      <c r="C170" s="105">
        <f>YEAR(Table13[[#This Row],[Date]])</f>
        <v>2025</v>
      </c>
      <c r="D170" s="119">
        <f>Table13[[#This Row],[Date]]-DAY(Table13[[#This Row],[Date]])+1</f>
        <v>45901</v>
      </c>
      <c r="E170" s="105">
        <f t="shared" si="12"/>
        <v>30</v>
      </c>
      <c r="F170" s="108"/>
      <c r="G170" s="109"/>
      <c r="H170" s="109"/>
      <c r="I170" s="109"/>
      <c r="J170" s="109"/>
      <c r="K170" s="120"/>
      <c r="L170" s="109"/>
      <c r="M170" s="109" t="str">
        <f>IFERROR(_xlfn.XLOOKUP($A170,Input_Raw!$A:$A,Input_Raw!CG:CG),"")</f>
        <v/>
      </c>
      <c r="N170" s="109" t="str">
        <f>IFERROR(_xlfn.XLOOKUP($A170,Input_Raw!$A:$A,Input_Raw!CH:CH),"")</f>
        <v/>
      </c>
      <c r="O170" s="121" t="str">
        <f t="shared" si="14"/>
        <v/>
      </c>
      <c r="P170" s="121" t="str">
        <f>IFERROR(1-SUMIF(WTG_BD!$F:$F,$A170,WTG_BD!$AA:$AA)/($AA170+SUMIF(WTG_BD!$F:$F,$A170,WTG_BD!$AA:$AA)),"")</f>
        <v/>
      </c>
      <c r="Q170" s="122" t="str">
        <f>IFERROR(1-SUMIF(IGA_BD!$F:$F,$A170,IGA_BD!$V:$V)/($AA170+SUMIF(IGA_BD!$F:$F,$A170,IGA_BD!$V:$V)),"")</f>
        <v/>
      </c>
      <c r="R170" s="127" t="str">
        <f>IFERROR(1-SUMIF(Grid_BD!$F:$F,$A170,Grid_BD!$X:$X)/($AA170+SUMIF(Grid_BD!$F:$F,$A170,Grid_BD!$X:$X)),"")</f>
        <v/>
      </c>
      <c r="S170" s="105"/>
      <c r="T170" s="122"/>
      <c r="U170" s="123"/>
      <c r="V170" s="105"/>
      <c r="W170" s="124" t="str">
        <f>IFERROR(Table13[[#This Row],[Mtr_Net_Exp (KWh)]]/(24*AR170*1000),"")</f>
        <v/>
      </c>
      <c r="X170" s="105" t="str">
        <f>IFERROR(_xlfn.XLOOKUP($A170,Input_Raw!$A:$A,Input_Raw!$CF:$CF),"")</f>
        <v/>
      </c>
      <c r="Y170" s="105" t="str">
        <f>IFERROR(_xlfn.XLOOKUP($A170,Input_Raw!$A:$A,Input_Raw!$CZ:$CZ),"")</f>
        <v/>
      </c>
      <c r="Z170" s="105" t="str">
        <f>IFERROR(_xlfn.XLOOKUP($A170,Input_Raw!$A:$A,Input_Raw!$DA:$DA),"")</f>
        <v/>
      </c>
      <c r="AA170" s="107" t="str">
        <f t="shared" si="13"/>
        <v/>
      </c>
      <c r="AB170" s="105" t="str">
        <f>IFERROR(_xlfn.XLOOKUP($A170,Input_Raw!$A:$A,Input_Raw!$DG:$DG),"")</f>
        <v/>
      </c>
      <c r="AC170" s="125">
        <f>IFERROR(_xlfn.XLOOKUP($D170,'Modelling New'!$D:$D,'Modelling New'!$J:$J),"")</f>
        <v>5.0333333333333332</v>
      </c>
      <c r="AD170" s="107">
        <f>IFERROR(_xlfn.XLOOKUP($D170,'Modelling New'!$D:$D,'Modelling New'!$T:$T)*1000,"")</f>
        <v>279529.73373197042</v>
      </c>
      <c r="AE170" s="124"/>
      <c r="AF170" s="124">
        <f>IFERROR(_xlfn.XLOOKUP($D170,'Modelling New'!$D:$D,'Modelling New'!$W:$W),"")</f>
        <v>0.14932143895938593</v>
      </c>
      <c r="AG170" s="124">
        <f>IFERROR(_xlfn.XLOOKUP($D170,'Modelling New'!$D:$D,'Modelling New'!$AE:$AE),"")</f>
        <v>0.96029999999999993</v>
      </c>
      <c r="AH170" s="124">
        <f>IFERROR(_xlfn.XLOOKUP($D170,'Modelling New'!$D:$D,'Modelling New'!$AF:$AF),"")</f>
        <v>0.995</v>
      </c>
      <c r="AI170" s="105" t="str">
        <f>IFERROR(_xlfn.XLOOKUP($A170,Input_Raw!$A:$A,Input_Raw!$DE:$DE),"")</f>
        <v/>
      </c>
      <c r="AJ170" s="105"/>
      <c r="AK170" s="105"/>
      <c r="AL170" s="105"/>
      <c r="AM170" s="105"/>
      <c r="AN170" s="126" t="str">
        <f>IFERROR(_xlfn.XLOOKUP($A170,Input_Raw!$A:$A,Input_Raw!$DB:$DB),"")</f>
        <v/>
      </c>
      <c r="AO170" s="124" t="str">
        <f>IFERROR((_xlfn.XLOOKUP($A170,'WTG Reactive Power'!$A:$A,'WTG Reactive Power'!$AR:$AR))/X170/1000,"")</f>
        <v/>
      </c>
      <c r="AP170" s="124">
        <f>IFERROR(_xlfn.XLOOKUP($D170,'Modelling New'!$D:$D,'Modelling New'!$AK:$AK),"")</f>
        <v>0.05</v>
      </c>
      <c r="AQ170" s="124">
        <f>IFERROR(_xlfn.XLOOKUP($D170,'Modelling New'!$D:$D,'Modelling New'!$AL:$AL),"")</f>
        <v>0.05</v>
      </c>
      <c r="AR170">
        <f>IFERROR(_xlfn.XLOOKUP($D170,'Modelling New'!$D:$D,'Modelling New'!$N:$N),"")</f>
        <v>78</v>
      </c>
    </row>
    <row r="171" spans="1:44">
      <c r="A171" s="118">
        <f t="shared" si="15"/>
        <v>45914</v>
      </c>
      <c r="B171" s="107">
        <f>YEAR(Table13[[#This Row],[Date]])+IF(MONTH(Table13[[#This Row],[Date]])&gt;=4,1,0)</f>
        <v>2026</v>
      </c>
      <c r="C171" s="105">
        <f>YEAR(Table13[[#This Row],[Date]])</f>
        <v>2025</v>
      </c>
      <c r="D171" s="119">
        <f>Table13[[#This Row],[Date]]-DAY(Table13[[#This Row],[Date]])+1</f>
        <v>45901</v>
      </c>
      <c r="E171" s="105">
        <f t="shared" si="12"/>
        <v>30</v>
      </c>
      <c r="F171" s="108"/>
      <c r="G171" s="109"/>
      <c r="H171" s="109"/>
      <c r="I171" s="109"/>
      <c r="J171" s="109"/>
      <c r="K171" s="120"/>
      <c r="L171" s="109"/>
      <c r="M171" s="109" t="str">
        <f>IFERROR(_xlfn.XLOOKUP($A171,Input_Raw!$A:$A,Input_Raw!CG:CG),"")</f>
        <v/>
      </c>
      <c r="N171" s="109" t="str">
        <f>IFERROR(_xlfn.XLOOKUP($A171,Input_Raw!$A:$A,Input_Raw!CH:CH),"")</f>
        <v/>
      </c>
      <c r="O171" s="121" t="str">
        <f t="shared" si="14"/>
        <v/>
      </c>
      <c r="P171" s="121" t="str">
        <f>IFERROR(1-SUMIF(WTG_BD!$F:$F,$A171,WTG_BD!$AA:$AA)/($AA171+SUMIF(WTG_BD!$F:$F,$A171,WTG_BD!$AA:$AA)),"")</f>
        <v/>
      </c>
      <c r="Q171" s="122" t="str">
        <f>IFERROR(1-SUMIF(IGA_BD!$F:$F,$A171,IGA_BD!$V:$V)/($AA171+SUMIF(IGA_BD!$F:$F,$A171,IGA_BD!$V:$V)),"")</f>
        <v/>
      </c>
      <c r="R171" s="127" t="str">
        <f>IFERROR(1-SUMIF(Grid_BD!$F:$F,$A171,Grid_BD!$X:$X)/($AA171+SUMIF(Grid_BD!$F:$F,$A171,Grid_BD!$X:$X)),"")</f>
        <v/>
      </c>
      <c r="S171" s="105"/>
      <c r="T171" s="122"/>
      <c r="U171" s="123"/>
      <c r="V171" s="105"/>
      <c r="W171" s="124" t="str">
        <f>IFERROR(Table13[[#This Row],[Mtr_Net_Exp (KWh)]]/(24*AR171*1000),"")</f>
        <v/>
      </c>
      <c r="X171" s="105" t="str">
        <f>IFERROR(_xlfn.XLOOKUP($A171,Input_Raw!$A:$A,Input_Raw!$CF:$CF),"")</f>
        <v/>
      </c>
      <c r="Y171" s="105" t="str">
        <f>IFERROR(_xlfn.XLOOKUP($A171,Input_Raw!$A:$A,Input_Raw!$CZ:$CZ),"")</f>
        <v/>
      </c>
      <c r="Z171" s="105" t="str">
        <f>IFERROR(_xlfn.XLOOKUP($A171,Input_Raw!$A:$A,Input_Raw!$DA:$DA),"")</f>
        <v/>
      </c>
      <c r="AA171" s="107" t="str">
        <f t="shared" si="13"/>
        <v/>
      </c>
      <c r="AB171" s="105" t="str">
        <f>IFERROR(_xlfn.XLOOKUP($A171,Input_Raw!$A:$A,Input_Raw!$DG:$DG),"")</f>
        <v/>
      </c>
      <c r="AC171" s="125">
        <f>IFERROR(_xlfn.XLOOKUP($D171,'Modelling New'!$D:$D,'Modelling New'!$J:$J),"")</f>
        <v>5.0333333333333332</v>
      </c>
      <c r="AD171" s="107">
        <f>IFERROR(_xlfn.XLOOKUP($D171,'Modelling New'!$D:$D,'Modelling New'!$T:$T)*1000,"")</f>
        <v>279529.73373197042</v>
      </c>
      <c r="AE171" s="124"/>
      <c r="AF171" s="124">
        <f>IFERROR(_xlfn.XLOOKUP($D171,'Modelling New'!$D:$D,'Modelling New'!$W:$W),"")</f>
        <v>0.14932143895938593</v>
      </c>
      <c r="AG171" s="124">
        <f>IFERROR(_xlfn.XLOOKUP($D171,'Modelling New'!$D:$D,'Modelling New'!$AE:$AE),"")</f>
        <v>0.96029999999999993</v>
      </c>
      <c r="AH171" s="124">
        <f>IFERROR(_xlfn.XLOOKUP($D171,'Modelling New'!$D:$D,'Modelling New'!$AF:$AF),"")</f>
        <v>0.995</v>
      </c>
      <c r="AI171" s="105" t="str">
        <f>IFERROR(_xlfn.XLOOKUP($A171,Input_Raw!$A:$A,Input_Raw!$DE:$DE),"")</f>
        <v/>
      </c>
      <c r="AJ171" s="105"/>
      <c r="AK171" s="105"/>
      <c r="AL171" s="105"/>
      <c r="AM171" s="105"/>
      <c r="AN171" s="126" t="str">
        <f>IFERROR(_xlfn.XLOOKUP($A171,Input_Raw!$A:$A,Input_Raw!$DB:$DB),"")</f>
        <v/>
      </c>
      <c r="AO171" s="124" t="str">
        <f>IFERROR((_xlfn.XLOOKUP($A171,'WTG Reactive Power'!$A:$A,'WTG Reactive Power'!$AR:$AR))/X171/1000,"")</f>
        <v/>
      </c>
      <c r="AP171" s="124">
        <f>IFERROR(_xlfn.XLOOKUP($D171,'Modelling New'!$D:$D,'Modelling New'!$AK:$AK),"")</f>
        <v>0.05</v>
      </c>
      <c r="AQ171" s="124">
        <f>IFERROR(_xlfn.XLOOKUP($D171,'Modelling New'!$D:$D,'Modelling New'!$AL:$AL),"")</f>
        <v>0.05</v>
      </c>
      <c r="AR171">
        <f>IFERROR(_xlfn.XLOOKUP($D171,'Modelling New'!$D:$D,'Modelling New'!$N:$N),"")</f>
        <v>78</v>
      </c>
    </row>
    <row r="172" spans="1:44">
      <c r="A172" s="118">
        <f t="shared" si="15"/>
        <v>45915</v>
      </c>
      <c r="B172" s="107">
        <f>YEAR(Table13[[#This Row],[Date]])+IF(MONTH(Table13[[#This Row],[Date]])&gt;=4,1,0)</f>
        <v>2026</v>
      </c>
      <c r="C172" s="105">
        <f>YEAR(Table13[[#This Row],[Date]])</f>
        <v>2025</v>
      </c>
      <c r="D172" s="119">
        <f>Table13[[#This Row],[Date]]-DAY(Table13[[#This Row],[Date]])+1</f>
        <v>45901</v>
      </c>
      <c r="E172" s="105">
        <f t="shared" si="12"/>
        <v>30</v>
      </c>
      <c r="F172" s="108"/>
      <c r="G172" s="109"/>
      <c r="H172" s="109"/>
      <c r="I172" s="109"/>
      <c r="J172" s="109"/>
      <c r="K172" s="120"/>
      <c r="L172" s="109"/>
      <c r="M172" s="109" t="str">
        <f>IFERROR(_xlfn.XLOOKUP($A172,Input_Raw!$A:$A,Input_Raw!CG:CG),"")</f>
        <v/>
      </c>
      <c r="N172" s="109" t="str">
        <f>IFERROR(_xlfn.XLOOKUP($A172,Input_Raw!$A:$A,Input_Raw!CH:CH),"")</f>
        <v/>
      </c>
      <c r="O172" s="121" t="str">
        <f t="shared" si="14"/>
        <v/>
      </c>
      <c r="P172" s="121" t="str">
        <f>IFERROR(1-SUMIF(WTG_BD!$F:$F,$A172,WTG_BD!$AA:$AA)/($AA172+SUMIF(WTG_BD!$F:$F,$A172,WTG_BD!$AA:$AA)),"")</f>
        <v/>
      </c>
      <c r="Q172" s="122" t="str">
        <f>IFERROR(1-SUMIF(IGA_BD!$F:$F,$A172,IGA_BD!$V:$V)/($AA172+SUMIF(IGA_BD!$F:$F,$A172,IGA_BD!$V:$V)),"")</f>
        <v/>
      </c>
      <c r="R172" s="127" t="str">
        <f>IFERROR(1-SUMIF(Grid_BD!$F:$F,$A172,Grid_BD!$X:$X)/($AA172+SUMIF(Grid_BD!$F:$F,$A172,Grid_BD!$X:$X)),"")</f>
        <v/>
      </c>
      <c r="S172" s="105"/>
      <c r="T172" s="122"/>
      <c r="U172" s="123"/>
      <c r="V172" s="105"/>
      <c r="W172" s="124" t="str">
        <f>IFERROR(Table13[[#This Row],[Mtr_Net_Exp (KWh)]]/(24*AR172*1000),"")</f>
        <v/>
      </c>
      <c r="X172" s="105" t="str">
        <f>IFERROR(_xlfn.XLOOKUP($A172,Input_Raw!$A:$A,Input_Raw!$CF:$CF),"")</f>
        <v/>
      </c>
      <c r="Y172" s="105" t="str">
        <f>IFERROR(_xlfn.XLOOKUP($A172,Input_Raw!$A:$A,Input_Raw!$CZ:$CZ),"")</f>
        <v/>
      </c>
      <c r="Z172" s="105" t="str">
        <f>IFERROR(_xlfn.XLOOKUP($A172,Input_Raw!$A:$A,Input_Raw!$DA:$DA),"")</f>
        <v/>
      </c>
      <c r="AA172" s="107" t="str">
        <f t="shared" si="13"/>
        <v/>
      </c>
      <c r="AB172" s="105" t="str">
        <f>IFERROR(_xlfn.XLOOKUP($A172,Input_Raw!$A:$A,Input_Raw!$DG:$DG),"")</f>
        <v/>
      </c>
      <c r="AC172" s="125">
        <f>IFERROR(_xlfn.XLOOKUP($D172,'Modelling New'!$D:$D,'Modelling New'!$J:$J),"")</f>
        <v>5.0333333333333332</v>
      </c>
      <c r="AD172" s="107">
        <f>IFERROR(_xlfn.XLOOKUP($D172,'Modelling New'!$D:$D,'Modelling New'!$T:$T)*1000,"")</f>
        <v>279529.73373197042</v>
      </c>
      <c r="AE172" s="124"/>
      <c r="AF172" s="124">
        <f>IFERROR(_xlfn.XLOOKUP($D172,'Modelling New'!$D:$D,'Modelling New'!$W:$W),"")</f>
        <v>0.14932143895938593</v>
      </c>
      <c r="AG172" s="124">
        <f>IFERROR(_xlfn.XLOOKUP($D172,'Modelling New'!$D:$D,'Modelling New'!$AE:$AE),"")</f>
        <v>0.96029999999999993</v>
      </c>
      <c r="AH172" s="124">
        <f>IFERROR(_xlfn.XLOOKUP($D172,'Modelling New'!$D:$D,'Modelling New'!$AF:$AF),"")</f>
        <v>0.995</v>
      </c>
      <c r="AI172" s="105" t="str">
        <f>IFERROR(_xlfn.XLOOKUP($A172,Input_Raw!$A:$A,Input_Raw!$DE:$DE),"")</f>
        <v/>
      </c>
      <c r="AJ172" s="105"/>
      <c r="AK172" s="105"/>
      <c r="AL172" s="105"/>
      <c r="AM172" s="105"/>
      <c r="AN172" s="126" t="str">
        <f>IFERROR(_xlfn.XLOOKUP($A172,Input_Raw!$A:$A,Input_Raw!$DB:$DB),"")</f>
        <v/>
      </c>
      <c r="AO172" s="124" t="str">
        <f>IFERROR((_xlfn.XLOOKUP($A172,'WTG Reactive Power'!$A:$A,'WTG Reactive Power'!$AR:$AR))/X172/1000,"")</f>
        <v/>
      </c>
      <c r="AP172" s="124">
        <f>IFERROR(_xlfn.XLOOKUP($D172,'Modelling New'!$D:$D,'Modelling New'!$AK:$AK),"")</f>
        <v>0.05</v>
      </c>
      <c r="AQ172" s="124">
        <f>IFERROR(_xlfn.XLOOKUP($D172,'Modelling New'!$D:$D,'Modelling New'!$AL:$AL),"")</f>
        <v>0.05</v>
      </c>
      <c r="AR172">
        <f>IFERROR(_xlfn.XLOOKUP($D172,'Modelling New'!$D:$D,'Modelling New'!$N:$N),"")</f>
        <v>78</v>
      </c>
    </row>
    <row r="173" spans="1:44">
      <c r="A173" s="118">
        <f t="shared" si="15"/>
        <v>45916</v>
      </c>
      <c r="B173" s="107">
        <f>YEAR(Table13[[#This Row],[Date]])+IF(MONTH(Table13[[#This Row],[Date]])&gt;=4,1,0)</f>
        <v>2026</v>
      </c>
      <c r="C173" s="105">
        <f>YEAR(Table13[[#This Row],[Date]])</f>
        <v>2025</v>
      </c>
      <c r="D173" s="119">
        <f>Table13[[#This Row],[Date]]-DAY(Table13[[#This Row],[Date]])+1</f>
        <v>45901</v>
      </c>
      <c r="E173" s="105">
        <f t="shared" si="12"/>
        <v>30</v>
      </c>
      <c r="F173" s="108"/>
      <c r="G173" s="109"/>
      <c r="H173" s="109"/>
      <c r="I173" s="109"/>
      <c r="J173" s="109"/>
      <c r="K173" s="120"/>
      <c r="L173" s="109"/>
      <c r="M173" s="109" t="str">
        <f>IFERROR(_xlfn.XLOOKUP($A173,Input_Raw!$A:$A,Input_Raw!CG:CG),"")</f>
        <v/>
      </c>
      <c r="N173" s="109" t="str">
        <f>IFERROR(_xlfn.XLOOKUP($A173,Input_Raw!$A:$A,Input_Raw!CH:CH),"")</f>
        <v/>
      </c>
      <c r="O173" s="121" t="str">
        <f t="shared" si="14"/>
        <v/>
      </c>
      <c r="P173" s="121" t="str">
        <f>IFERROR(1-SUMIF(WTG_BD!$F:$F,$A173,WTG_BD!$AA:$AA)/($AA173+SUMIF(WTG_BD!$F:$F,$A173,WTG_BD!$AA:$AA)),"")</f>
        <v/>
      </c>
      <c r="Q173" s="122" t="str">
        <f>IFERROR(1-SUMIF(IGA_BD!$F:$F,$A173,IGA_BD!$V:$V)/($AA173+SUMIF(IGA_BD!$F:$F,$A173,IGA_BD!$V:$V)),"")</f>
        <v/>
      </c>
      <c r="R173" s="127" t="str">
        <f>IFERROR(1-SUMIF(Grid_BD!$F:$F,$A173,Grid_BD!$X:$X)/($AA173+SUMIF(Grid_BD!$F:$F,$A173,Grid_BD!$X:$X)),"")</f>
        <v/>
      </c>
      <c r="S173" s="105"/>
      <c r="T173" s="122"/>
      <c r="U173" s="123"/>
      <c r="V173" s="105"/>
      <c r="W173" s="124" t="str">
        <f>IFERROR(Table13[[#This Row],[Mtr_Net_Exp (KWh)]]/(24*AR173*1000),"")</f>
        <v/>
      </c>
      <c r="X173" s="105" t="str">
        <f>IFERROR(_xlfn.XLOOKUP($A173,Input_Raw!$A:$A,Input_Raw!$CF:$CF),"")</f>
        <v/>
      </c>
      <c r="Y173" s="105" t="str">
        <f>IFERROR(_xlfn.XLOOKUP($A173,Input_Raw!$A:$A,Input_Raw!$CZ:$CZ),"")</f>
        <v/>
      </c>
      <c r="Z173" s="105" t="str">
        <f>IFERROR(_xlfn.XLOOKUP($A173,Input_Raw!$A:$A,Input_Raw!$DA:$DA),"")</f>
        <v/>
      </c>
      <c r="AA173" s="107" t="str">
        <f t="shared" si="13"/>
        <v/>
      </c>
      <c r="AB173" s="105" t="str">
        <f>IFERROR(_xlfn.XLOOKUP($A173,Input_Raw!$A:$A,Input_Raw!$DG:$DG),"")</f>
        <v/>
      </c>
      <c r="AC173" s="125">
        <f>IFERROR(_xlfn.XLOOKUP($D173,'Modelling New'!$D:$D,'Modelling New'!$J:$J),"")</f>
        <v>5.0333333333333332</v>
      </c>
      <c r="AD173" s="107">
        <f>IFERROR(_xlfn.XLOOKUP($D173,'Modelling New'!$D:$D,'Modelling New'!$T:$T)*1000,"")</f>
        <v>279529.73373197042</v>
      </c>
      <c r="AE173" s="124"/>
      <c r="AF173" s="124">
        <f>IFERROR(_xlfn.XLOOKUP($D173,'Modelling New'!$D:$D,'Modelling New'!$W:$W),"")</f>
        <v>0.14932143895938593</v>
      </c>
      <c r="AG173" s="124">
        <f>IFERROR(_xlfn.XLOOKUP($D173,'Modelling New'!$D:$D,'Modelling New'!$AE:$AE),"")</f>
        <v>0.96029999999999993</v>
      </c>
      <c r="AH173" s="124">
        <f>IFERROR(_xlfn.XLOOKUP($D173,'Modelling New'!$D:$D,'Modelling New'!$AF:$AF),"")</f>
        <v>0.995</v>
      </c>
      <c r="AI173" s="105" t="str">
        <f>IFERROR(_xlfn.XLOOKUP($A173,Input_Raw!$A:$A,Input_Raw!$DE:$DE),"")</f>
        <v/>
      </c>
      <c r="AJ173" s="105"/>
      <c r="AK173" s="105"/>
      <c r="AL173" s="105"/>
      <c r="AM173" s="105"/>
      <c r="AN173" s="126" t="str">
        <f>IFERROR(_xlfn.XLOOKUP($A173,Input_Raw!$A:$A,Input_Raw!$DB:$DB),"")</f>
        <v/>
      </c>
      <c r="AO173" s="124" t="str">
        <f>IFERROR((_xlfn.XLOOKUP($A173,'WTG Reactive Power'!$A:$A,'WTG Reactive Power'!$AR:$AR))/X173/1000,"")</f>
        <v/>
      </c>
      <c r="AP173" s="124">
        <f>IFERROR(_xlfn.XLOOKUP($D173,'Modelling New'!$D:$D,'Modelling New'!$AK:$AK),"")</f>
        <v>0.05</v>
      </c>
      <c r="AQ173" s="124">
        <f>IFERROR(_xlfn.XLOOKUP($D173,'Modelling New'!$D:$D,'Modelling New'!$AL:$AL),"")</f>
        <v>0.05</v>
      </c>
      <c r="AR173">
        <f>IFERROR(_xlfn.XLOOKUP($D173,'Modelling New'!$D:$D,'Modelling New'!$N:$N),"")</f>
        <v>78</v>
      </c>
    </row>
    <row r="174" spans="1:44">
      <c r="A174" s="118">
        <f t="shared" si="15"/>
        <v>45917</v>
      </c>
      <c r="B174" s="107">
        <f>YEAR(Table13[[#This Row],[Date]])+IF(MONTH(Table13[[#This Row],[Date]])&gt;=4,1,0)</f>
        <v>2026</v>
      </c>
      <c r="C174" s="105">
        <f>YEAR(Table13[[#This Row],[Date]])</f>
        <v>2025</v>
      </c>
      <c r="D174" s="119">
        <f>Table13[[#This Row],[Date]]-DAY(Table13[[#This Row],[Date]])+1</f>
        <v>45901</v>
      </c>
      <c r="E174" s="105">
        <f t="shared" si="12"/>
        <v>30</v>
      </c>
      <c r="F174" s="108"/>
      <c r="G174" s="109"/>
      <c r="H174" s="109"/>
      <c r="I174" s="109"/>
      <c r="J174" s="109"/>
      <c r="K174" s="120"/>
      <c r="L174" s="109"/>
      <c r="M174" s="109" t="str">
        <f>IFERROR(_xlfn.XLOOKUP($A174,Input_Raw!$A:$A,Input_Raw!CG:CG),"")</f>
        <v/>
      </c>
      <c r="N174" s="109" t="str">
        <f>IFERROR(_xlfn.XLOOKUP($A174,Input_Raw!$A:$A,Input_Raw!CH:CH),"")</f>
        <v/>
      </c>
      <c r="O174" s="121" t="str">
        <f t="shared" si="14"/>
        <v/>
      </c>
      <c r="P174" s="121" t="str">
        <f>IFERROR(1-SUMIF(WTG_BD!$F:$F,$A174,WTG_BD!$AA:$AA)/($AA174+SUMIF(WTG_BD!$F:$F,$A174,WTG_BD!$AA:$AA)),"")</f>
        <v/>
      </c>
      <c r="Q174" s="122" t="str">
        <f>IFERROR(1-SUMIF(IGA_BD!$F:$F,$A174,IGA_BD!$V:$V)/($AA174+SUMIF(IGA_BD!$F:$F,$A174,IGA_BD!$V:$V)),"")</f>
        <v/>
      </c>
      <c r="R174" s="127" t="str">
        <f>IFERROR(1-SUMIF(Grid_BD!$F:$F,$A174,Grid_BD!$X:$X)/($AA174+SUMIF(Grid_BD!$F:$F,$A174,Grid_BD!$X:$X)),"")</f>
        <v/>
      </c>
      <c r="S174" s="105"/>
      <c r="T174" s="122"/>
      <c r="U174" s="123"/>
      <c r="V174" s="105"/>
      <c r="W174" s="124" t="str">
        <f>IFERROR(Table13[[#This Row],[Mtr_Net_Exp (KWh)]]/(24*AR174*1000),"")</f>
        <v/>
      </c>
      <c r="X174" s="105" t="str">
        <f>IFERROR(_xlfn.XLOOKUP($A174,Input_Raw!$A:$A,Input_Raw!$CF:$CF),"")</f>
        <v/>
      </c>
      <c r="Y174" s="105" t="str">
        <f>IFERROR(_xlfn.XLOOKUP($A174,Input_Raw!$A:$A,Input_Raw!$CZ:$CZ),"")</f>
        <v/>
      </c>
      <c r="Z174" s="105" t="str">
        <f>IFERROR(_xlfn.XLOOKUP($A174,Input_Raw!$A:$A,Input_Raw!$DA:$DA),"")</f>
        <v/>
      </c>
      <c r="AA174" s="107" t="str">
        <f t="shared" si="13"/>
        <v/>
      </c>
      <c r="AB174" s="105" t="str">
        <f>IFERROR(_xlfn.XLOOKUP($A174,Input_Raw!$A:$A,Input_Raw!$DG:$DG),"")</f>
        <v/>
      </c>
      <c r="AC174" s="125">
        <f>IFERROR(_xlfn.XLOOKUP($D174,'Modelling New'!$D:$D,'Modelling New'!$J:$J),"")</f>
        <v>5.0333333333333332</v>
      </c>
      <c r="AD174" s="107">
        <f>IFERROR(_xlfn.XLOOKUP($D174,'Modelling New'!$D:$D,'Modelling New'!$T:$T)*1000,"")</f>
        <v>279529.73373197042</v>
      </c>
      <c r="AE174" s="124"/>
      <c r="AF174" s="124">
        <f>IFERROR(_xlfn.XLOOKUP($D174,'Modelling New'!$D:$D,'Modelling New'!$W:$W),"")</f>
        <v>0.14932143895938593</v>
      </c>
      <c r="AG174" s="124">
        <f>IFERROR(_xlfn.XLOOKUP($D174,'Modelling New'!$D:$D,'Modelling New'!$AE:$AE),"")</f>
        <v>0.96029999999999993</v>
      </c>
      <c r="AH174" s="124">
        <f>IFERROR(_xlfn.XLOOKUP($D174,'Modelling New'!$D:$D,'Modelling New'!$AF:$AF),"")</f>
        <v>0.995</v>
      </c>
      <c r="AI174" s="105" t="str">
        <f>IFERROR(_xlfn.XLOOKUP($A174,Input_Raw!$A:$A,Input_Raw!$DE:$DE),"")</f>
        <v/>
      </c>
      <c r="AJ174" s="105"/>
      <c r="AK174" s="105"/>
      <c r="AL174" s="105"/>
      <c r="AM174" s="105"/>
      <c r="AN174" s="126" t="str">
        <f>IFERROR(_xlfn.XLOOKUP($A174,Input_Raw!$A:$A,Input_Raw!$DB:$DB),"")</f>
        <v/>
      </c>
      <c r="AO174" s="124" t="str">
        <f>IFERROR((_xlfn.XLOOKUP($A174,'WTG Reactive Power'!$A:$A,'WTG Reactive Power'!$AR:$AR))/X174/1000,"")</f>
        <v/>
      </c>
      <c r="AP174" s="124">
        <f>IFERROR(_xlfn.XLOOKUP($D174,'Modelling New'!$D:$D,'Modelling New'!$AK:$AK),"")</f>
        <v>0.05</v>
      </c>
      <c r="AQ174" s="124">
        <f>IFERROR(_xlfn.XLOOKUP($D174,'Modelling New'!$D:$D,'Modelling New'!$AL:$AL),"")</f>
        <v>0.05</v>
      </c>
      <c r="AR174">
        <f>IFERROR(_xlfn.XLOOKUP($D174,'Modelling New'!$D:$D,'Modelling New'!$N:$N),"")</f>
        <v>78</v>
      </c>
    </row>
    <row r="175" spans="1:44">
      <c r="A175" s="118">
        <f t="shared" si="15"/>
        <v>45918</v>
      </c>
      <c r="B175" s="107">
        <f>YEAR(Table13[[#This Row],[Date]])+IF(MONTH(Table13[[#This Row],[Date]])&gt;=4,1,0)</f>
        <v>2026</v>
      </c>
      <c r="C175" s="105">
        <f>YEAR(Table13[[#This Row],[Date]])</f>
        <v>2025</v>
      </c>
      <c r="D175" s="119">
        <f>Table13[[#This Row],[Date]]-DAY(Table13[[#This Row],[Date]])+1</f>
        <v>45901</v>
      </c>
      <c r="E175" s="105">
        <f t="shared" si="12"/>
        <v>30</v>
      </c>
      <c r="F175" s="108"/>
      <c r="G175" s="109"/>
      <c r="H175" s="109"/>
      <c r="I175" s="109"/>
      <c r="J175" s="109"/>
      <c r="K175" s="120"/>
      <c r="L175" s="109"/>
      <c r="M175" s="109" t="str">
        <f>IFERROR(_xlfn.XLOOKUP($A175,Input_Raw!$A:$A,Input_Raw!CG:CG),"")</f>
        <v/>
      </c>
      <c r="N175" s="109" t="str">
        <f>IFERROR(_xlfn.XLOOKUP($A175,Input_Raw!$A:$A,Input_Raw!CH:CH),"")</f>
        <v/>
      </c>
      <c r="O175" s="121" t="str">
        <f t="shared" si="14"/>
        <v/>
      </c>
      <c r="P175" s="121" t="str">
        <f>IFERROR(1-SUMIF(WTG_BD!$F:$F,$A175,WTG_BD!$AA:$AA)/($AA175+SUMIF(WTG_BD!$F:$F,$A175,WTG_BD!$AA:$AA)),"")</f>
        <v/>
      </c>
      <c r="Q175" s="122" t="str">
        <f>IFERROR(1-SUMIF(IGA_BD!$F:$F,$A175,IGA_BD!$V:$V)/($AA175+SUMIF(IGA_BD!$F:$F,$A175,IGA_BD!$V:$V)),"")</f>
        <v/>
      </c>
      <c r="R175" s="127" t="str">
        <f>IFERROR(1-SUMIF(Grid_BD!$F:$F,$A175,Grid_BD!$X:$X)/($AA175+SUMIF(Grid_BD!$F:$F,$A175,Grid_BD!$X:$X)),"")</f>
        <v/>
      </c>
      <c r="S175" s="105"/>
      <c r="T175" s="122"/>
      <c r="U175" s="123"/>
      <c r="V175" s="105"/>
      <c r="W175" s="124" t="str">
        <f>IFERROR(Table13[[#This Row],[Mtr_Net_Exp (KWh)]]/(24*AR175*1000),"")</f>
        <v/>
      </c>
      <c r="X175" s="105" t="str">
        <f>IFERROR(_xlfn.XLOOKUP($A175,Input_Raw!$A:$A,Input_Raw!$CF:$CF),"")</f>
        <v/>
      </c>
      <c r="Y175" s="105" t="str">
        <f>IFERROR(_xlfn.XLOOKUP($A175,Input_Raw!$A:$A,Input_Raw!$CZ:$CZ),"")</f>
        <v/>
      </c>
      <c r="Z175" s="105" t="str">
        <f>IFERROR(_xlfn.XLOOKUP($A175,Input_Raw!$A:$A,Input_Raw!$DA:$DA),"")</f>
        <v/>
      </c>
      <c r="AA175" s="107" t="str">
        <f t="shared" si="13"/>
        <v/>
      </c>
      <c r="AB175" s="105" t="str">
        <f>IFERROR(_xlfn.XLOOKUP($A175,Input_Raw!$A:$A,Input_Raw!$DG:$DG),"")</f>
        <v/>
      </c>
      <c r="AC175" s="125">
        <f>IFERROR(_xlfn.XLOOKUP($D175,'Modelling New'!$D:$D,'Modelling New'!$J:$J),"")</f>
        <v>5.0333333333333332</v>
      </c>
      <c r="AD175" s="107">
        <f>IFERROR(_xlfn.XLOOKUP($D175,'Modelling New'!$D:$D,'Modelling New'!$T:$T)*1000,"")</f>
        <v>279529.73373197042</v>
      </c>
      <c r="AE175" s="124"/>
      <c r="AF175" s="124">
        <f>IFERROR(_xlfn.XLOOKUP($D175,'Modelling New'!$D:$D,'Modelling New'!$W:$W),"")</f>
        <v>0.14932143895938593</v>
      </c>
      <c r="AG175" s="124">
        <f>IFERROR(_xlfn.XLOOKUP($D175,'Modelling New'!$D:$D,'Modelling New'!$AE:$AE),"")</f>
        <v>0.96029999999999993</v>
      </c>
      <c r="AH175" s="124">
        <f>IFERROR(_xlfn.XLOOKUP($D175,'Modelling New'!$D:$D,'Modelling New'!$AF:$AF),"")</f>
        <v>0.995</v>
      </c>
      <c r="AI175" s="105" t="str">
        <f>IFERROR(_xlfn.XLOOKUP($A175,Input_Raw!$A:$A,Input_Raw!$DE:$DE),"")</f>
        <v/>
      </c>
      <c r="AJ175" s="105"/>
      <c r="AK175" s="105"/>
      <c r="AL175" s="105"/>
      <c r="AM175" s="105"/>
      <c r="AN175" s="126" t="str">
        <f>IFERROR(_xlfn.XLOOKUP($A175,Input_Raw!$A:$A,Input_Raw!$DB:$DB),"")</f>
        <v/>
      </c>
      <c r="AO175" s="124" t="str">
        <f>IFERROR((_xlfn.XLOOKUP($A175,'WTG Reactive Power'!$A:$A,'WTG Reactive Power'!$AR:$AR))/X175/1000,"")</f>
        <v/>
      </c>
      <c r="AP175" s="124">
        <f>IFERROR(_xlfn.XLOOKUP($D175,'Modelling New'!$D:$D,'Modelling New'!$AK:$AK),"")</f>
        <v>0.05</v>
      </c>
      <c r="AQ175" s="124">
        <f>IFERROR(_xlfn.XLOOKUP($D175,'Modelling New'!$D:$D,'Modelling New'!$AL:$AL),"")</f>
        <v>0.05</v>
      </c>
      <c r="AR175">
        <f>IFERROR(_xlfn.XLOOKUP($D175,'Modelling New'!$D:$D,'Modelling New'!$N:$N),"")</f>
        <v>78</v>
      </c>
    </row>
    <row r="176" spans="1:44">
      <c r="A176" s="118">
        <f t="shared" si="15"/>
        <v>45919</v>
      </c>
      <c r="B176" s="107">
        <f>YEAR(Table13[[#This Row],[Date]])+IF(MONTH(Table13[[#This Row],[Date]])&gt;=4,1,0)</f>
        <v>2026</v>
      </c>
      <c r="C176" s="105">
        <f>YEAR(Table13[[#This Row],[Date]])</f>
        <v>2025</v>
      </c>
      <c r="D176" s="119">
        <f>Table13[[#This Row],[Date]]-DAY(Table13[[#This Row],[Date]])+1</f>
        <v>45901</v>
      </c>
      <c r="E176" s="105">
        <f t="shared" si="12"/>
        <v>30</v>
      </c>
      <c r="F176" s="108"/>
      <c r="G176" s="109"/>
      <c r="H176" s="109"/>
      <c r="I176" s="109"/>
      <c r="J176" s="109"/>
      <c r="K176" s="120"/>
      <c r="L176" s="109"/>
      <c r="M176" s="109" t="str">
        <f>IFERROR(_xlfn.XLOOKUP($A176,Input_Raw!$A:$A,Input_Raw!CG:CG),"")</f>
        <v/>
      </c>
      <c r="N176" s="109" t="str">
        <f>IFERROR(_xlfn.XLOOKUP($A176,Input_Raw!$A:$A,Input_Raw!CH:CH),"")</f>
        <v/>
      </c>
      <c r="O176" s="121" t="str">
        <f t="shared" si="14"/>
        <v/>
      </c>
      <c r="P176" s="121" t="str">
        <f>IFERROR(1-SUMIF(WTG_BD!$F:$F,$A176,WTG_BD!$AA:$AA)/($AA176+SUMIF(WTG_BD!$F:$F,$A176,WTG_BD!$AA:$AA)),"")</f>
        <v/>
      </c>
      <c r="Q176" s="122" t="str">
        <f>IFERROR(1-SUMIF(IGA_BD!$F:$F,$A176,IGA_BD!$V:$V)/($AA176+SUMIF(IGA_BD!$F:$F,$A176,IGA_BD!$V:$V)),"")</f>
        <v/>
      </c>
      <c r="R176" s="127" t="str">
        <f>IFERROR(1-SUMIF(Grid_BD!$F:$F,$A176,Grid_BD!$X:$X)/($AA176+SUMIF(Grid_BD!$F:$F,$A176,Grid_BD!$X:$X)),"")</f>
        <v/>
      </c>
      <c r="S176" s="105"/>
      <c r="T176" s="122"/>
      <c r="U176" s="123"/>
      <c r="V176" s="105"/>
      <c r="W176" s="124" t="str">
        <f>IFERROR(Table13[[#This Row],[Mtr_Net_Exp (KWh)]]/(24*AR176*1000),"")</f>
        <v/>
      </c>
      <c r="X176" s="105" t="str">
        <f>IFERROR(_xlfn.XLOOKUP($A176,Input_Raw!$A:$A,Input_Raw!$CF:$CF),"")</f>
        <v/>
      </c>
      <c r="Y176" s="105" t="str">
        <f>IFERROR(_xlfn.XLOOKUP($A176,Input_Raw!$A:$A,Input_Raw!$CZ:$CZ),"")</f>
        <v/>
      </c>
      <c r="Z176" s="105" t="str">
        <f>IFERROR(_xlfn.XLOOKUP($A176,Input_Raw!$A:$A,Input_Raw!$DA:$DA),"")</f>
        <v/>
      </c>
      <c r="AA176" s="107" t="str">
        <f t="shared" si="13"/>
        <v/>
      </c>
      <c r="AB176" s="105" t="str">
        <f>IFERROR(_xlfn.XLOOKUP($A176,Input_Raw!$A:$A,Input_Raw!$DG:$DG),"")</f>
        <v/>
      </c>
      <c r="AC176" s="125">
        <f>IFERROR(_xlfn.XLOOKUP($D176,'Modelling New'!$D:$D,'Modelling New'!$J:$J),"")</f>
        <v>5.0333333333333332</v>
      </c>
      <c r="AD176" s="107">
        <f>IFERROR(_xlfn.XLOOKUP($D176,'Modelling New'!$D:$D,'Modelling New'!$T:$T)*1000,"")</f>
        <v>279529.73373197042</v>
      </c>
      <c r="AE176" s="124"/>
      <c r="AF176" s="124">
        <f>IFERROR(_xlfn.XLOOKUP($D176,'Modelling New'!$D:$D,'Modelling New'!$W:$W),"")</f>
        <v>0.14932143895938593</v>
      </c>
      <c r="AG176" s="124">
        <f>IFERROR(_xlfn.XLOOKUP($D176,'Modelling New'!$D:$D,'Modelling New'!$AE:$AE),"")</f>
        <v>0.96029999999999993</v>
      </c>
      <c r="AH176" s="124">
        <f>IFERROR(_xlfn.XLOOKUP($D176,'Modelling New'!$D:$D,'Modelling New'!$AF:$AF),"")</f>
        <v>0.995</v>
      </c>
      <c r="AI176" s="105" t="str">
        <f>IFERROR(_xlfn.XLOOKUP($A176,Input_Raw!$A:$A,Input_Raw!$DE:$DE),"")</f>
        <v/>
      </c>
      <c r="AJ176" s="105"/>
      <c r="AK176" s="105"/>
      <c r="AL176" s="105"/>
      <c r="AM176" s="105"/>
      <c r="AN176" s="126" t="str">
        <f>IFERROR(_xlfn.XLOOKUP($A176,Input_Raw!$A:$A,Input_Raw!$DB:$DB),"")</f>
        <v/>
      </c>
      <c r="AO176" s="124" t="str">
        <f>IFERROR((_xlfn.XLOOKUP($A176,'WTG Reactive Power'!$A:$A,'WTG Reactive Power'!$AR:$AR))/X176/1000,"")</f>
        <v/>
      </c>
      <c r="AP176" s="124">
        <f>IFERROR(_xlfn.XLOOKUP($D176,'Modelling New'!$D:$D,'Modelling New'!$AK:$AK),"")</f>
        <v>0.05</v>
      </c>
      <c r="AQ176" s="124">
        <f>IFERROR(_xlfn.XLOOKUP($D176,'Modelling New'!$D:$D,'Modelling New'!$AL:$AL),"")</f>
        <v>0.05</v>
      </c>
      <c r="AR176">
        <f>IFERROR(_xlfn.XLOOKUP($D176,'Modelling New'!$D:$D,'Modelling New'!$N:$N),"")</f>
        <v>78</v>
      </c>
    </row>
    <row r="177" spans="1:44">
      <c r="A177" s="118">
        <f t="shared" si="15"/>
        <v>45920</v>
      </c>
      <c r="B177" s="107">
        <f>YEAR(Table13[[#This Row],[Date]])+IF(MONTH(Table13[[#This Row],[Date]])&gt;=4,1,0)</f>
        <v>2026</v>
      </c>
      <c r="C177" s="105">
        <f>YEAR(Table13[[#This Row],[Date]])</f>
        <v>2025</v>
      </c>
      <c r="D177" s="119">
        <f>Table13[[#This Row],[Date]]-DAY(Table13[[#This Row],[Date]])+1</f>
        <v>45901</v>
      </c>
      <c r="E177" s="105">
        <f t="shared" si="12"/>
        <v>30</v>
      </c>
      <c r="F177" s="108"/>
      <c r="G177" s="109"/>
      <c r="H177" s="109"/>
      <c r="I177" s="109"/>
      <c r="J177" s="109"/>
      <c r="K177" s="120"/>
      <c r="L177" s="109"/>
      <c r="M177" s="109" t="str">
        <f>IFERROR(_xlfn.XLOOKUP($A177,Input_Raw!$A:$A,Input_Raw!CG:CG),"")</f>
        <v/>
      </c>
      <c r="N177" s="109" t="str">
        <f>IFERROR(_xlfn.XLOOKUP($A177,Input_Raw!$A:$A,Input_Raw!CH:CH),"")</f>
        <v/>
      </c>
      <c r="O177" s="121" t="str">
        <f t="shared" si="14"/>
        <v/>
      </c>
      <c r="P177" s="121" t="str">
        <f>IFERROR(1-SUMIF(WTG_BD!$F:$F,$A177,WTG_BD!$AA:$AA)/($AA177+SUMIF(WTG_BD!$F:$F,$A177,WTG_BD!$AA:$AA)),"")</f>
        <v/>
      </c>
      <c r="Q177" s="122" t="str">
        <f>IFERROR(1-SUMIF(IGA_BD!$F:$F,$A177,IGA_BD!$V:$V)/($AA177+SUMIF(IGA_BD!$F:$F,$A177,IGA_BD!$V:$V)),"")</f>
        <v/>
      </c>
      <c r="R177" s="127" t="str">
        <f>IFERROR(1-SUMIF(Grid_BD!$F:$F,$A177,Grid_BD!$X:$X)/($AA177+SUMIF(Grid_BD!$F:$F,$A177,Grid_BD!$X:$X)),"")</f>
        <v/>
      </c>
      <c r="S177" s="105"/>
      <c r="T177" s="122"/>
      <c r="U177" s="123"/>
      <c r="V177" s="105"/>
      <c r="W177" s="124" t="str">
        <f>IFERROR(Table13[[#This Row],[Mtr_Net_Exp (KWh)]]/(24*AR177*1000),"")</f>
        <v/>
      </c>
      <c r="X177" s="105" t="str">
        <f>IFERROR(_xlfn.XLOOKUP($A177,Input_Raw!$A:$A,Input_Raw!$CF:$CF),"")</f>
        <v/>
      </c>
      <c r="Y177" s="105" t="str">
        <f>IFERROR(_xlfn.XLOOKUP($A177,Input_Raw!$A:$A,Input_Raw!$CZ:$CZ),"")</f>
        <v/>
      </c>
      <c r="Z177" s="105" t="str">
        <f>IFERROR(_xlfn.XLOOKUP($A177,Input_Raw!$A:$A,Input_Raw!$DA:$DA),"")</f>
        <v/>
      </c>
      <c r="AA177" s="107" t="str">
        <f t="shared" si="13"/>
        <v/>
      </c>
      <c r="AB177" s="105" t="str">
        <f>IFERROR(_xlfn.XLOOKUP($A177,Input_Raw!$A:$A,Input_Raw!$DG:$DG),"")</f>
        <v/>
      </c>
      <c r="AC177" s="125">
        <f>IFERROR(_xlfn.XLOOKUP($D177,'Modelling New'!$D:$D,'Modelling New'!$J:$J),"")</f>
        <v>5.0333333333333332</v>
      </c>
      <c r="AD177" s="107">
        <f>IFERROR(_xlfn.XLOOKUP($D177,'Modelling New'!$D:$D,'Modelling New'!$T:$T)*1000,"")</f>
        <v>279529.73373197042</v>
      </c>
      <c r="AE177" s="124"/>
      <c r="AF177" s="124">
        <f>IFERROR(_xlfn.XLOOKUP($D177,'Modelling New'!$D:$D,'Modelling New'!$W:$W),"")</f>
        <v>0.14932143895938593</v>
      </c>
      <c r="AG177" s="124">
        <f>IFERROR(_xlfn.XLOOKUP($D177,'Modelling New'!$D:$D,'Modelling New'!$AE:$AE),"")</f>
        <v>0.96029999999999993</v>
      </c>
      <c r="AH177" s="124">
        <f>IFERROR(_xlfn.XLOOKUP($D177,'Modelling New'!$D:$D,'Modelling New'!$AF:$AF),"")</f>
        <v>0.995</v>
      </c>
      <c r="AI177" s="105" t="str">
        <f>IFERROR(_xlfn.XLOOKUP($A177,Input_Raw!$A:$A,Input_Raw!$DE:$DE),"")</f>
        <v/>
      </c>
      <c r="AJ177" s="105"/>
      <c r="AK177" s="105"/>
      <c r="AL177" s="105"/>
      <c r="AM177" s="105"/>
      <c r="AN177" s="126" t="str">
        <f>IFERROR(_xlfn.XLOOKUP($A177,Input_Raw!$A:$A,Input_Raw!$DB:$DB),"")</f>
        <v/>
      </c>
      <c r="AO177" s="124" t="str">
        <f>IFERROR((_xlfn.XLOOKUP($A177,'WTG Reactive Power'!$A:$A,'WTG Reactive Power'!$AR:$AR))/X177/1000,"")</f>
        <v/>
      </c>
      <c r="AP177" s="124">
        <f>IFERROR(_xlfn.XLOOKUP($D177,'Modelling New'!$D:$D,'Modelling New'!$AK:$AK),"")</f>
        <v>0.05</v>
      </c>
      <c r="AQ177" s="124">
        <f>IFERROR(_xlfn.XLOOKUP($D177,'Modelling New'!$D:$D,'Modelling New'!$AL:$AL),"")</f>
        <v>0.05</v>
      </c>
      <c r="AR177">
        <f>IFERROR(_xlfn.XLOOKUP($D177,'Modelling New'!$D:$D,'Modelling New'!$N:$N),"")</f>
        <v>78</v>
      </c>
    </row>
    <row r="178" spans="1:44">
      <c r="A178" s="118">
        <f t="shared" si="15"/>
        <v>45921</v>
      </c>
      <c r="B178" s="107">
        <f>YEAR(Table13[[#This Row],[Date]])+IF(MONTH(Table13[[#This Row],[Date]])&gt;=4,1,0)</f>
        <v>2026</v>
      </c>
      <c r="C178" s="105">
        <f>YEAR(Table13[[#This Row],[Date]])</f>
        <v>2025</v>
      </c>
      <c r="D178" s="119">
        <f>Table13[[#This Row],[Date]]-DAY(Table13[[#This Row],[Date]])+1</f>
        <v>45901</v>
      </c>
      <c r="E178" s="105">
        <f t="shared" si="12"/>
        <v>30</v>
      </c>
      <c r="F178" s="108"/>
      <c r="G178" s="109"/>
      <c r="H178" s="109"/>
      <c r="I178" s="109"/>
      <c r="J178" s="109"/>
      <c r="K178" s="120"/>
      <c r="L178" s="109"/>
      <c r="M178" s="109" t="str">
        <f>IFERROR(_xlfn.XLOOKUP($A178,Input_Raw!$A:$A,Input_Raw!CG:CG),"")</f>
        <v/>
      </c>
      <c r="N178" s="109" t="str">
        <f>IFERROR(_xlfn.XLOOKUP($A178,Input_Raw!$A:$A,Input_Raw!CH:CH),"")</f>
        <v/>
      </c>
      <c r="O178" s="121" t="str">
        <f t="shared" si="14"/>
        <v/>
      </c>
      <c r="P178" s="121" t="str">
        <f>IFERROR(1-SUMIF(WTG_BD!$F:$F,$A178,WTG_BD!$AA:$AA)/($AA178+SUMIF(WTG_BD!$F:$F,$A178,WTG_BD!$AA:$AA)),"")</f>
        <v/>
      </c>
      <c r="Q178" s="122" t="str">
        <f>IFERROR(1-SUMIF(IGA_BD!$F:$F,$A178,IGA_BD!$V:$V)/($AA178+SUMIF(IGA_BD!$F:$F,$A178,IGA_BD!$V:$V)),"")</f>
        <v/>
      </c>
      <c r="R178" s="127" t="str">
        <f>IFERROR(1-SUMIF(Grid_BD!$F:$F,$A178,Grid_BD!$X:$X)/($AA178+SUMIF(Grid_BD!$F:$F,$A178,Grid_BD!$X:$X)),"")</f>
        <v/>
      </c>
      <c r="S178" s="105"/>
      <c r="T178" s="122"/>
      <c r="U178" s="123"/>
      <c r="V178" s="105"/>
      <c r="W178" s="124" t="str">
        <f>IFERROR(Table13[[#This Row],[Mtr_Net_Exp (KWh)]]/(24*AR178*1000),"")</f>
        <v/>
      </c>
      <c r="X178" s="105" t="str">
        <f>IFERROR(_xlfn.XLOOKUP($A178,Input_Raw!$A:$A,Input_Raw!$CF:$CF),"")</f>
        <v/>
      </c>
      <c r="Y178" s="105" t="str">
        <f>IFERROR(_xlfn.XLOOKUP($A178,Input_Raw!$A:$A,Input_Raw!$CZ:$CZ),"")</f>
        <v/>
      </c>
      <c r="Z178" s="105" t="str">
        <f>IFERROR(_xlfn.XLOOKUP($A178,Input_Raw!$A:$A,Input_Raw!$DA:$DA),"")</f>
        <v/>
      </c>
      <c r="AA178" s="107" t="str">
        <f t="shared" si="13"/>
        <v/>
      </c>
      <c r="AB178" s="105" t="str">
        <f>IFERROR(_xlfn.XLOOKUP($A178,Input_Raw!$A:$A,Input_Raw!$DG:$DG),"")</f>
        <v/>
      </c>
      <c r="AC178" s="125">
        <f>IFERROR(_xlfn.XLOOKUP($D178,'Modelling New'!$D:$D,'Modelling New'!$J:$J),"")</f>
        <v>5.0333333333333332</v>
      </c>
      <c r="AD178" s="107">
        <f>IFERROR(_xlfn.XLOOKUP($D178,'Modelling New'!$D:$D,'Modelling New'!$T:$T)*1000,"")</f>
        <v>279529.73373197042</v>
      </c>
      <c r="AE178" s="124"/>
      <c r="AF178" s="124">
        <f>IFERROR(_xlfn.XLOOKUP($D178,'Modelling New'!$D:$D,'Modelling New'!$W:$W),"")</f>
        <v>0.14932143895938593</v>
      </c>
      <c r="AG178" s="124">
        <f>IFERROR(_xlfn.XLOOKUP($D178,'Modelling New'!$D:$D,'Modelling New'!$AE:$AE),"")</f>
        <v>0.96029999999999993</v>
      </c>
      <c r="AH178" s="124">
        <f>IFERROR(_xlfn.XLOOKUP($D178,'Modelling New'!$D:$D,'Modelling New'!$AF:$AF),"")</f>
        <v>0.995</v>
      </c>
      <c r="AI178" s="105" t="str">
        <f>IFERROR(_xlfn.XLOOKUP($A178,Input_Raw!$A:$A,Input_Raw!$DE:$DE),"")</f>
        <v/>
      </c>
      <c r="AJ178" s="105"/>
      <c r="AK178" s="105"/>
      <c r="AL178" s="105"/>
      <c r="AM178" s="105"/>
      <c r="AN178" s="126" t="str">
        <f>IFERROR(_xlfn.XLOOKUP($A178,Input_Raw!$A:$A,Input_Raw!$DB:$DB),"")</f>
        <v/>
      </c>
      <c r="AO178" s="124" t="str">
        <f>IFERROR((_xlfn.XLOOKUP($A178,'WTG Reactive Power'!$A:$A,'WTG Reactive Power'!$AR:$AR))/X178/1000,"")</f>
        <v/>
      </c>
      <c r="AP178" s="124">
        <f>IFERROR(_xlfn.XLOOKUP($D178,'Modelling New'!$D:$D,'Modelling New'!$AK:$AK),"")</f>
        <v>0.05</v>
      </c>
      <c r="AQ178" s="124">
        <f>IFERROR(_xlfn.XLOOKUP($D178,'Modelling New'!$D:$D,'Modelling New'!$AL:$AL),"")</f>
        <v>0.05</v>
      </c>
      <c r="AR178">
        <f>IFERROR(_xlfn.XLOOKUP($D178,'Modelling New'!$D:$D,'Modelling New'!$N:$N),"")</f>
        <v>78</v>
      </c>
    </row>
    <row r="179" spans="1:44">
      <c r="A179" s="118">
        <f t="shared" si="15"/>
        <v>45922</v>
      </c>
      <c r="B179" s="107">
        <f>YEAR(Table13[[#This Row],[Date]])+IF(MONTH(Table13[[#This Row],[Date]])&gt;=4,1,0)</f>
        <v>2026</v>
      </c>
      <c r="C179" s="105">
        <f>YEAR(Table13[[#This Row],[Date]])</f>
        <v>2025</v>
      </c>
      <c r="D179" s="119">
        <f>Table13[[#This Row],[Date]]-DAY(Table13[[#This Row],[Date]])+1</f>
        <v>45901</v>
      </c>
      <c r="E179" s="105">
        <f t="shared" si="12"/>
        <v>30</v>
      </c>
      <c r="F179" s="108"/>
      <c r="G179" s="109"/>
      <c r="H179" s="109"/>
      <c r="I179" s="109"/>
      <c r="J179" s="109"/>
      <c r="K179" s="120"/>
      <c r="L179" s="109"/>
      <c r="M179" s="109" t="str">
        <f>IFERROR(_xlfn.XLOOKUP($A179,Input_Raw!$A:$A,Input_Raw!CG:CG),"")</f>
        <v/>
      </c>
      <c r="N179" s="109" t="str">
        <f>IFERROR(_xlfn.XLOOKUP($A179,Input_Raw!$A:$A,Input_Raw!CH:CH),"")</f>
        <v/>
      </c>
      <c r="O179" s="121" t="str">
        <f t="shared" si="14"/>
        <v/>
      </c>
      <c r="P179" s="121" t="str">
        <f>IFERROR(1-SUMIF(WTG_BD!$F:$F,$A179,WTG_BD!$AA:$AA)/($AA179+SUMIF(WTG_BD!$F:$F,$A179,WTG_BD!$AA:$AA)),"")</f>
        <v/>
      </c>
      <c r="Q179" s="122" t="str">
        <f>IFERROR(1-SUMIF(IGA_BD!$F:$F,$A179,IGA_BD!$V:$V)/($AA179+SUMIF(IGA_BD!$F:$F,$A179,IGA_BD!$V:$V)),"")</f>
        <v/>
      </c>
      <c r="R179" s="127" t="str">
        <f>IFERROR(1-SUMIF(Grid_BD!$F:$F,$A179,Grid_BD!$X:$X)/($AA179+SUMIF(Grid_BD!$F:$F,$A179,Grid_BD!$X:$X)),"")</f>
        <v/>
      </c>
      <c r="S179" s="105"/>
      <c r="T179" s="122"/>
      <c r="U179" s="123"/>
      <c r="V179" s="105"/>
      <c r="W179" s="124" t="str">
        <f>IFERROR(Table13[[#This Row],[Mtr_Net_Exp (KWh)]]/(24*AR179*1000),"")</f>
        <v/>
      </c>
      <c r="X179" s="105" t="str">
        <f>IFERROR(_xlfn.XLOOKUP($A179,Input_Raw!$A:$A,Input_Raw!$CF:$CF),"")</f>
        <v/>
      </c>
      <c r="Y179" s="105" t="str">
        <f>IFERROR(_xlfn.XLOOKUP($A179,Input_Raw!$A:$A,Input_Raw!$CZ:$CZ),"")</f>
        <v/>
      </c>
      <c r="Z179" s="105" t="str">
        <f>IFERROR(_xlfn.XLOOKUP($A179,Input_Raw!$A:$A,Input_Raw!$DA:$DA),"")</f>
        <v/>
      </c>
      <c r="AA179" s="107" t="str">
        <f t="shared" si="13"/>
        <v/>
      </c>
      <c r="AB179" s="105" t="str">
        <f>IFERROR(_xlfn.XLOOKUP($A179,Input_Raw!$A:$A,Input_Raw!$DG:$DG),"")</f>
        <v/>
      </c>
      <c r="AC179" s="125">
        <f>IFERROR(_xlfn.XLOOKUP($D179,'Modelling New'!$D:$D,'Modelling New'!$J:$J),"")</f>
        <v>5.0333333333333332</v>
      </c>
      <c r="AD179" s="107">
        <f>IFERROR(_xlfn.XLOOKUP($D179,'Modelling New'!$D:$D,'Modelling New'!$T:$T)*1000,"")</f>
        <v>279529.73373197042</v>
      </c>
      <c r="AE179" s="124"/>
      <c r="AF179" s="124">
        <f>IFERROR(_xlfn.XLOOKUP($D179,'Modelling New'!$D:$D,'Modelling New'!$W:$W),"")</f>
        <v>0.14932143895938593</v>
      </c>
      <c r="AG179" s="124">
        <f>IFERROR(_xlfn.XLOOKUP($D179,'Modelling New'!$D:$D,'Modelling New'!$AE:$AE),"")</f>
        <v>0.96029999999999993</v>
      </c>
      <c r="AH179" s="124">
        <f>IFERROR(_xlfn.XLOOKUP($D179,'Modelling New'!$D:$D,'Modelling New'!$AF:$AF),"")</f>
        <v>0.995</v>
      </c>
      <c r="AI179" s="105" t="str">
        <f>IFERROR(_xlfn.XLOOKUP($A179,Input_Raw!$A:$A,Input_Raw!$DE:$DE),"")</f>
        <v/>
      </c>
      <c r="AJ179" s="105"/>
      <c r="AK179" s="105"/>
      <c r="AL179" s="105"/>
      <c r="AM179" s="105"/>
      <c r="AN179" s="126" t="str">
        <f>IFERROR(_xlfn.XLOOKUP($A179,Input_Raw!$A:$A,Input_Raw!$DB:$DB),"")</f>
        <v/>
      </c>
      <c r="AO179" s="124" t="str">
        <f>IFERROR((_xlfn.XLOOKUP($A179,'WTG Reactive Power'!$A:$A,'WTG Reactive Power'!$AR:$AR))/X179/1000,"")</f>
        <v/>
      </c>
      <c r="AP179" s="124">
        <f>IFERROR(_xlfn.XLOOKUP($D179,'Modelling New'!$D:$D,'Modelling New'!$AK:$AK),"")</f>
        <v>0.05</v>
      </c>
      <c r="AQ179" s="124">
        <f>IFERROR(_xlfn.XLOOKUP($D179,'Modelling New'!$D:$D,'Modelling New'!$AL:$AL),"")</f>
        <v>0.05</v>
      </c>
      <c r="AR179">
        <f>IFERROR(_xlfn.XLOOKUP($D179,'Modelling New'!$D:$D,'Modelling New'!$N:$N),"")</f>
        <v>78</v>
      </c>
    </row>
    <row r="180" spans="1:44">
      <c r="A180" s="118">
        <f t="shared" si="15"/>
        <v>45923</v>
      </c>
      <c r="B180" s="107">
        <f>YEAR(Table13[[#This Row],[Date]])+IF(MONTH(Table13[[#This Row],[Date]])&gt;=4,1,0)</f>
        <v>2026</v>
      </c>
      <c r="C180" s="105">
        <f>YEAR(Table13[[#This Row],[Date]])</f>
        <v>2025</v>
      </c>
      <c r="D180" s="119">
        <f>Table13[[#This Row],[Date]]-DAY(Table13[[#This Row],[Date]])+1</f>
        <v>45901</v>
      </c>
      <c r="E180" s="105">
        <f t="shared" si="12"/>
        <v>30</v>
      </c>
      <c r="F180" s="108"/>
      <c r="G180" s="109"/>
      <c r="H180" s="109"/>
      <c r="I180" s="109"/>
      <c r="J180" s="109"/>
      <c r="K180" s="120"/>
      <c r="L180" s="109"/>
      <c r="M180" s="109" t="str">
        <f>IFERROR(_xlfn.XLOOKUP($A180,Input_Raw!$A:$A,Input_Raw!CG:CG),"")</f>
        <v/>
      </c>
      <c r="N180" s="109" t="str">
        <f>IFERROR(_xlfn.XLOOKUP($A180,Input_Raw!$A:$A,Input_Raw!CH:CH),"")</f>
        <v/>
      </c>
      <c r="O180" s="121" t="str">
        <f t="shared" si="14"/>
        <v/>
      </c>
      <c r="P180" s="121" t="str">
        <f>IFERROR(1-SUMIF(WTG_BD!$F:$F,$A180,WTG_BD!$AA:$AA)/($AA180+SUMIF(WTG_BD!$F:$F,$A180,WTG_BD!$AA:$AA)),"")</f>
        <v/>
      </c>
      <c r="Q180" s="122" t="str">
        <f>IFERROR(1-SUMIF(IGA_BD!$F:$F,$A180,IGA_BD!$V:$V)/($AA180+SUMIF(IGA_BD!$F:$F,$A180,IGA_BD!$V:$V)),"")</f>
        <v/>
      </c>
      <c r="R180" s="127" t="str">
        <f>IFERROR(1-SUMIF(Grid_BD!$F:$F,$A180,Grid_BD!$X:$X)/($AA180+SUMIF(Grid_BD!$F:$F,$A180,Grid_BD!$X:$X)),"")</f>
        <v/>
      </c>
      <c r="S180" s="105"/>
      <c r="T180" s="122"/>
      <c r="U180" s="123"/>
      <c r="V180" s="105"/>
      <c r="W180" s="124" t="str">
        <f>IFERROR(Table13[[#This Row],[Mtr_Net_Exp (KWh)]]/(24*AR180*1000),"")</f>
        <v/>
      </c>
      <c r="X180" s="105" t="str">
        <f>IFERROR(_xlfn.XLOOKUP($A180,Input_Raw!$A:$A,Input_Raw!$CF:$CF),"")</f>
        <v/>
      </c>
      <c r="Y180" s="105" t="str">
        <f>IFERROR(_xlfn.XLOOKUP($A180,Input_Raw!$A:$A,Input_Raw!$CZ:$CZ),"")</f>
        <v/>
      </c>
      <c r="Z180" s="105" t="str">
        <f>IFERROR(_xlfn.XLOOKUP($A180,Input_Raw!$A:$A,Input_Raw!$DA:$DA),"")</f>
        <v/>
      </c>
      <c r="AA180" s="107" t="str">
        <f t="shared" si="13"/>
        <v/>
      </c>
      <c r="AB180" s="105" t="str">
        <f>IFERROR(_xlfn.XLOOKUP($A180,Input_Raw!$A:$A,Input_Raw!$DG:$DG),"")</f>
        <v/>
      </c>
      <c r="AC180" s="125">
        <f>IFERROR(_xlfn.XLOOKUP($D180,'Modelling New'!$D:$D,'Modelling New'!$J:$J),"")</f>
        <v>5.0333333333333332</v>
      </c>
      <c r="AD180" s="107">
        <f>IFERROR(_xlfn.XLOOKUP($D180,'Modelling New'!$D:$D,'Modelling New'!$T:$T)*1000,"")</f>
        <v>279529.73373197042</v>
      </c>
      <c r="AE180" s="124"/>
      <c r="AF180" s="124">
        <f>IFERROR(_xlfn.XLOOKUP($D180,'Modelling New'!$D:$D,'Modelling New'!$W:$W),"")</f>
        <v>0.14932143895938593</v>
      </c>
      <c r="AG180" s="124">
        <f>IFERROR(_xlfn.XLOOKUP($D180,'Modelling New'!$D:$D,'Modelling New'!$AE:$AE),"")</f>
        <v>0.96029999999999993</v>
      </c>
      <c r="AH180" s="124">
        <f>IFERROR(_xlfn.XLOOKUP($D180,'Modelling New'!$D:$D,'Modelling New'!$AF:$AF),"")</f>
        <v>0.995</v>
      </c>
      <c r="AI180" s="105" t="str">
        <f>IFERROR(_xlfn.XLOOKUP($A180,Input_Raw!$A:$A,Input_Raw!$DE:$DE),"")</f>
        <v/>
      </c>
      <c r="AJ180" s="105"/>
      <c r="AK180" s="105"/>
      <c r="AL180" s="105"/>
      <c r="AM180" s="105"/>
      <c r="AN180" s="126" t="str">
        <f>IFERROR(_xlfn.XLOOKUP($A180,Input_Raw!$A:$A,Input_Raw!$DB:$DB),"")</f>
        <v/>
      </c>
      <c r="AO180" s="124" t="str">
        <f>IFERROR((_xlfn.XLOOKUP($A180,'WTG Reactive Power'!$A:$A,'WTG Reactive Power'!$AR:$AR))/X180/1000,"")</f>
        <v/>
      </c>
      <c r="AP180" s="124">
        <f>IFERROR(_xlfn.XLOOKUP($D180,'Modelling New'!$D:$D,'Modelling New'!$AK:$AK),"")</f>
        <v>0.05</v>
      </c>
      <c r="AQ180" s="124">
        <f>IFERROR(_xlfn.XLOOKUP($D180,'Modelling New'!$D:$D,'Modelling New'!$AL:$AL),"")</f>
        <v>0.05</v>
      </c>
      <c r="AR180">
        <f>IFERROR(_xlfn.XLOOKUP($D180,'Modelling New'!$D:$D,'Modelling New'!$N:$N),"")</f>
        <v>78</v>
      </c>
    </row>
    <row r="181" spans="1:44">
      <c r="A181" s="118">
        <f t="shared" si="15"/>
        <v>45924</v>
      </c>
      <c r="B181" s="107">
        <f>YEAR(Table13[[#This Row],[Date]])+IF(MONTH(Table13[[#This Row],[Date]])&gt;=4,1,0)</f>
        <v>2026</v>
      </c>
      <c r="C181" s="105">
        <f>YEAR(Table13[[#This Row],[Date]])</f>
        <v>2025</v>
      </c>
      <c r="D181" s="119">
        <f>Table13[[#This Row],[Date]]-DAY(Table13[[#This Row],[Date]])+1</f>
        <v>45901</v>
      </c>
      <c r="E181" s="105">
        <f t="shared" si="12"/>
        <v>30</v>
      </c>
      <c r="F181" s="108"/>
      <c r="G181" s="109"/>
      <c r="H181" s="109"/>
      <c r="I181" s="109"/>
      <c r="J181" s="109"/>
      <c r="K181" s="120"/>
      <c r="L181" s="109"/>
      <c r="M181" s="109" t="str">
        <f>IFERROR(_xlfn.XLOOKUP($A181,Input_Raw!$A:$A,Input_Raw!CG:CG),"")</f>
        <v/>
      </c>
      <c r="N181" s="109" t="str">
        <f>IFERROR(_xlfn.XLOOKUP($A181,Input_Raw!$A:$A,Input_Raw!CH:CH),"")</f>
        <v/>
      </c>
      <c r="O181" s="121" t="str">
        <f t="shared" si="14"/>
        <v/>
      </c>
      <c r="P181" s="121" t="str">
        <f>IFERROR(1-SUMIF(WTG_BD!$F:$F,$A181,WTG_BD!$AA:$AA)/($AA181+SUMIF(WTG_BD!$F:$F,$A181,WTG_BD!$AA:$AA)),"")</f>
        <v/>
      </c>
      <c r="Q181" s="122" t="str">
        <f>IFERROR(1-SUMIF(IGA_BD!$F:$F,$A181,IGA_BD!$V:$V)/($AA181+SUMIF(IGA_BD!$F:$F,$A181,IGA_BD!$V:$V)),"")</f>
        <v/>
      </c>
      <c r="R181" s="127" t="str">
        <f>IFERROR(1-SUMIF(Grid_BD!$F:$F,$A181,Grid_BD!$X:$X)/($AA181+SUMIF(Grid_BD!$F:$F,$A181,Grid_BD!$X:$X)),"")</f>
        <v/>
      </c>
      <c r="S181" s="105"/>
      <c r="T181" s="122"/>
      <c r="U181" s="123"/>
      <c r="V181" s="105"/>
      <c r="W181" s="124" t="str">
        <f>IFERROR(Table13[[#This Row],[Mtr_Net_Exp (KWh)]]/(24*AR181*1000),"")</f>
        <v/>
      </c>
      <c r="X181" s="105" t="str">
        <f>IFERROR(_xlfn.XLOOKUP($A181,Input_Raw!$A:$A,Input_Raw!$CF:$CF),"")</f>
        <v/>
      </c>
      <c r="Y181" s="105" t="str">
        <f>IFERROR(_xlfn.XLOOKUP($A181,Input_Raw!$A:$A,Input_Raw!$CZ:$CZ),"")</f>
        <v/>
      </c>
      <c r="Z181" s="105" t="str">
        <f>IFERROR(_xlfn.XLOOKUP($A181,Input_Raw!$A:$A,Input_Raw!$DA:$DA),"")</f>
        <v/>
      </c>
      <c r="AA181" s="107" t="str">
        <f t="shared" si="13"/>
        <v/>
      </c>
      <c r="AB181" s="105" t="str">
        <f>IFERROR(_xlfn.XLOOKUP($A181,Input_Raw!$A:$A,Input_Raw!$DG:$DG),"")</f>
        <v/>
      </c>
      <c r="AC181" s="125">
        <f>IFERROR(_xlfn.XLOOKUP($D181,'Modelling New'!$D:$D,'Modelling New'!$J:$J),"")</f>
        <v>5.0333333333333332</v>
      </c>
      <c r="AD181" s="107">
        <f>IFERROR(_xlfn.XLOOKUP($D181,'Modelling New'!$D:$D,'Modelling New'!$T:$T)*1000,"")</f>
        <v>279529.73373197042</v>
      </c>
      <c r="AE181" s="124"/>
      <c r="AF181" s="124">
        <f>IFERROR(_xlfn.XLOOKUP($D181,'Modelling New'!$D:$D,'Modelling New'!$W:$W),"")</f>
        <v>0.14932143895938593</v>
      </c>
      <c r="AG181" s="124">
        <f>IFERROR(_xlfn.XLOOKUP($D181,'Modelling New'!$D:$D,'Modelling New'!$AE:$AE),"")</f>
        <v>0.96029999999999993</v>
      </c>
      <c r="AH181" s="124">
        <f>IFERROR(_xlfn.XLOOKUP($D181,'Modelling New'!$D:$D,'Modelling New'!$AF:$AF),"")</f>
        <v>0.995</v>
      </c>
      <c r="AI181" s="105" t="str">
        <f>IFERROR(_xlfn.XLOOKUP($A181,Input_Raw!$A:$A,Input_Raw!$DE:$DE),"")</f>
        <v/>
      </c>
      <c r="AJ181" s="105"/>
      <c r="AK181" s="105"/>
      <c r="AL181" s="105"/>
      <c r="AM181" s="105"/>
      <c r="AN181" s="126" t="str">
        <f>IFERROR(_xlfn.XLOOKUP($A181,Input_Raw!$A:$A,Input_Raw!$DB:$DB),"")</f>
        <v/>
      </c>
      <c r="AO181" s="124" t="str">
        <f>IFERROR((_xlfn.XLOOKUP($A181,'WTG Reactive Power'!$A:$A,'WTG Reactive Power'!$AR:$AR))/X181/1000,"")</f>
        <v/>
      </c>
      <c r="AP181" s="124">
        <f>IFERROR(_xlfn.XLOOKUP($D181,'Modelling New'!$D:$D,'Modelling New'!$AK:$AK),"")</f>
        <v>0.05</v>
      </c>
      <c r="AQ181" s="124">
        <f>IFERROR(_xlfn.XLOOKUP($D181,'Modelling New'!$D:$D,'Modelling New'!$AL:$AL),"")</f>
        <v>0.05</v>
      </c>
      <c r="AR181">
        <f>IFERROR(_xlfn.XLOOKUP($D181,'Modelling New'!$D:$D,'Modelling New'!$N:$N),"")</f>
        <v>78</v>
      </c>
    </row>
    <row r="182" spans="1:44">
      <c r="A182" s="118">
        <f t="shared" si="15"/>
        <v>45925</v>
      </c>
      <c r="B182" s="107">
        <f>YEAR(Table13[[#This Row],[Date]])+IF(MONTH(Table13[[#This Row],[Date]])&gt;=4,1,0)</f>
        <v>2026</v>
      </c>
      <c r="C182" s="105">
        <f>YEAR(Table13[[#This Row],[Date]])</f>
        <v>2025</v>
      </c>
      <c r="D182" s="119">
        <f>Table13[[#This Row],[Date]]-DAY(Table13[[#This Row],[Date]])+1</f>
        <v>45901</v>
      </c>
      <c r="E182" s="105">
        <f t="shared" si="12"/>
        <v>30</v>
      </c>
      <c r="F182" s="108"/>
      <c r="G182" s="109"/>
      <c r="H182" s="109"/>
      <c r="I182" s="109"/>
      <c r="J182" s="109"/>
      <c r="K182" s="120"/>
      <c r="L182" s="109"/>
      <c r="M182" s="109" t="str">
        <f>IFERROR(_xlfn.XLOOKUP($A182,Input_Raw!$A:$A,Input_Raw!CG:CG),"")</f>
        <v/>
      </c>
      <c r="N182" s="109" t="str">
        <f>IFERROR(_xlfn.XLOOKUP($A182,Input_Raw!$A:$A,Input_Raw!CH:CH),"")</f>
        <v/>
      </c>
      <c r="O182" s="121" t="str">
        <f t="shared" si="14"/>
        <v/>
      </c>
      <c r="P182" s="121" t="str">
        <f>IFERROR(1-SUMIF(WTG_BD!$F:$F,$A182,WTG_BD!$AA:$AA)/($AA182+SUMIF(WTG_BD!$F:$F,$A182,WTG_BD!$AA:$AA)),"")</f>
        <v/>
      </c>
      <c r="Q182" s="122" t="str">
        <f>IFERROR(1-SUMIF(IGA_BD!$F:$F,$A182,IGA_BD!$V:$V)/($AA182+SUMIF(IGA_BD!$F:$F,$A182,IGA_BD!$V:$V)),"")</f>
        <v/>
      </c>
      <c r="R182" s="127" t="str">
        <f>IFERROR(1-SUMIF(Grid_BD!$F:$F,$A182,Grid_BD!$X:$X)/($AA182+SUMIF(Grid_BD!$F:$F,$A182,Grid_BD!$X:$X)),"")</f>
        <v/>
      </c>
      <c r="S182" s="105"/>
      <c r="T182" s="122"/>
      <c r="U182" s="123"/>
      <c r="V182" s="105"/>
      <c r="W182" s="124" t="str">
        <f>IFERROR(Table13[[#This Row],[Mtr_Net_Exp (KWh)]]/(24*AR182*1000),"")</f>
        <v/>
      </c>
      <c r="X182" s="105" t="str">
        <f>IFERROR(_xlfn.XLOOKUP($A182,Input_Raw!$A:$A,Input_Raw!$CF:$CF),"")</f>
        <v/>
      </c>
      <c r="Y182" s="105" t="str">
        <f>IFERROR(_xlfn.XLOOKUP($A182,Input_Raw!$A:$A,Input_Raw!$CZ:$CZ),"")</f>
        <v/>
      </c>
      <c r="Z182" s="105" t="str">
        <f>IFERROR(_xlfn.XLOOKUP($A182,Input_Raw!$A:$A,Input_Raw!$DA:$DA),"")</f>
        <v/>
      </c>
      <c r="AA182" s="107" t="str">
        <f t="shared" si="13"/>
        <v/>
      </c>
      <c r="AB182" s="105" t="str">
        <f>IFERROR(_xlfn.XLOOKUP($A182,Input_Raw!$A:$A,Input_Raw!$DG:$DG),"")</f>
        <v/>
      </c>
      <c r="AC182" s="125">
        <f>IFERROR(_xlfn.XLOOKUP($D182,'Modelling New'!$D:$D,'Modelling New'!$J:$J),"")</f>
        <v>5.0333333333333332</v>
      </c>
      <c r="AD182" s="107">
        <f>IFERROR(_xlfn.XLOOKUP($D182,'Modelling New'!$D:$D,'Modelling New'!$T:$T)*1000,"")</f>
        <v>279529.73373197042</v>
      </c>
      <c r="AE182" s="124"/>
      <c r="AF182" s="124">
        <f>IFERROR(_xlfn.XLOOKUP($D182,'Modelling New'!$D:$D,'Modelling New'!$W:$W),"")</f>
        <v>0.14932143895938593</v>
      </c>
      <c r="AG182" s="124">
        <f>IFERROR(_xlfn.XLOOKUP($D182,'Modelling New'!$D:$D,'Modelling New'!$AE:$AE),"")</f>
        <v>0.96029999999999993</v>
      </c>
      <c r="AH182" s="124">
        <f>IFERROR(_xlfn.XLOOKUP($D182,'Modelling New'!$D:$D,'Modelling New'!$AF:$AF),"")</f>
        <v>0.995</v>
      </c>
      <c r="AI182" s="105" t="str">
        <f>IFERROR(_xlfn.XLOOKUP($A182,Input_Raw!$A:$A,Input_Raw!$DE:$DE),"")</f>
        <v/>
      </c>
      <c r="AJ182" s="105"/>
      <c r="AK182" s="105"/>
      <c r="AL182" s="105"/>
      <c r="AM182" s="105"/>
      <c r="AN182" s="126" t="str">
        <f>IFERROR(_xlfn.XLOOKUP($A182,Input_Raw!$A:$A,Input_Raw!$DB:$DB),"")</f>
        <v/>
      </c>
      <c r="AO182" s="124" t="str">
        <f>IFERROR((_xlfn.XLOOKUP($A182,'WTG Reactive Power'!$A:$A,'WTG Reactive Power'!$AR:$AR))/X182/1000,"")</f>
        <v/>
      </c>
      <c r="AP182" s="124">
        <f>IFERROR(_xlfn.XLOOKUP($D182,'Modelling New'!$D:$D,'Modelling New'!$AK:$AK),"")</f>
        <v>0.05</v>
      </c>
      <c r="AQ182" s="124">
        <f>IFERROR(_xlfn.XLOOKUP($D182,'Modelling New'!$D:$D,'Modelling New'!$AL:$AL),"")</f>
        <v>0.05</v>
      </c>
      <c r="AR182">
        <f>IFERROR(_xlfn.XLOOKUP($D182,'Modelling New'!$D:$D,'Modelling New'!$N:$N),"")</f>
        <v>78</v>
      </c>
    </row>
    <row r="183" spans="1:44">
      <c r="A183" s="118">
        <f t="shared" si="15"/>
        <v>45926</v>
      </c>
      <c r="B183" s="107">
        <f>YEAR(Table13[[#This Row],[Date]])+IF(MONTH(Table13[[#This Row],[Date]])&gt;=4,1,0)</f>
        <v>2026</v>
      </c>
      <c r="C183" s="105">
        <f>YEAR(Table13[[#This Row],[Date]])</f>
        <v>2025</v>
      </c>
      <c r="D183" s="119">
        <f>Table13[[#This Row],[Date]]-DAY(Table13[[#This Row],[Date]])+1</f>
        <v>45901</v>
      </c>
      <c r="E183" s="105">
        <f t="shared" si="12"/>
        <v>30</v>
      </c>
      <c r="F183" s="108"/>
      <c r="G183" s="109"/>
      <c r="H183" s="109"/>
      <c r="I183" s="109"/>
      <c r="J183" s="109"/>
      <c r="K183" s="120"/>
      <c r="L183" s="109"/>
      <c r="M183" s="109" t="str">
        <f>IFERROR(_xlfn.XLOOKUP($A183,Input_Raw!$A:$A,Input_Raw!CG:CG),"")</f>
        <v/>
      </c>
      <c r="N183" s="109" t="str">
        <f>IFERROR(_xlfn.XLOOKUP($A183,Input_Raw!$A:$A,Input_Raw!CH:CH),"")</f>
        <v/>
      </c>
      <c r="O183" s="121" t="str">
        <f t="shared" si="14"/>
        <v/>
      </c>
      <c r="P183" s="121" t="str">
        <f>IFERROR(1-SUMIF(WTG_BD!$F:$F,$A183,WTG_BD!$AA:$AA)/($AA183+SUMIF(WTG_BD!$F:$F,$A183,WTG_BD!$AA:$AA)),"")</f>
        <v/>
      </c>
      <c r="Q183" s="122" t="str">
        <f>IFERROR(1-SUMIF(IGA_BD!$F:$F,$A183,IGA_BD!$V:$V)/($AA183+SUMIF(IGA_BD!$F:$F,$A183,IGA_BD!$V:$V)),"")</f>
        <v/>
      </c>
      <c r="R183" s="127" t="str">
        <f>IFERROR(1-SUMIF(Grid_BD!$F:$F,$A183,Grid_BD!$X:$X)/($AA183+SUMIF(Grid_BD!$F:$F,$A183,Grid_BD!$X:$X)),"")</f>
        <v/>
      </c>
      <c r="S183" s="105"/>
      <c r="T183" s="122"/>
      <c r="U183" s="123"/>
      <c r="V183" s="105"/>
      <c r="W183" s="124" t="str">
        <f>IFERROR(Table13[[#This Row],[Mtr_Net_Exp (KWh)]]/(24*AR183*1000),"")</f>
        <v/>
      </c>
      <c r="X183" s="105" t="str">
        <f>IFERROR(_xlfn.XLOOKUP($A183,Input_Raw!$A:$A,Input_Raw!$CF:$CF),"")</f>
        <v/>
      </c>
      <c r="Y183" s="105" t="str">
        <f>IFERROR(_xlfn.XLOOKUP($A183,Input_Raw!$A:$A,Input_Raw!$CZ:$CZ),"")</f>
        <v/>
      </c>
      <c r="Z183" s="105" t="str">
        <f>IFERROR(_xlfn.XLOOKUP($A183,Input_Raw!$A:$A,Input_Raw!$DA:$DA),"")</f>
        <v/>
      </c>
      <c r="AA183" s="107" t="str">
        <f t="shared" si="13"/>
        <v/>
      </c>
      <c r="AB183" s="105" t="str">
        <f>IFERROR(_xlfn.XLOOKUP($A183,Input_Raw!$A:$A,Input_Raw!$DG:$DG),"")</f>
        <v/>
      </c>
      <c r="AC183" s="125">
        <f>IFERROR(_xlfn.XLOOKUP($D183,'Modelling New'!$D:$D,'Modelling New'!$J:$J),"")</f>
        <v>5.0333333333333332</v>
      </c>
      <c r="AD183" s="107">
        <f>IFERROR(_xlfn.XLOOKUP($D183,'Modelling New'!$D:$D,'Modelling New'!$T:$T)*1000,"")</f>
        <v>279529.73373197042</v>
      </c>
      <c r="AE183" s="124"/>
      <c r="AF183" s="124">
        <f>IFERROR(_xlfn.XLOOKUP($D183,'Modelling New'!$D:$D,'Modelling New'!$W:$W),"")</f>
        <v>0.14932143895938593</v>
      </c>
      <c r="AG183" s="124">
        <f>IFERROR(_xlfn.XLOOKUP($D183,'Modelling New'!$D:$D,'Modelling New'!$AE:$AE),"")</f>
        <v>0.96029999999999993</v>
      </c>
      <c r="AH183" s="124">
        <f>IFERROR(_xlfn.XLOOKUP($D183,'Modelling New'!$D:$D,'Modelling New'!$AF:$AF),"")</f>
        <v>0.995</v>
      </c>
      <c r="AI183" s="105" t="str">
        <f>IFERROR(_xlfn.XLOOKUP($A183,Input_Raw!$A:$A,Input_Raw!$DE:$DE),"")</f>
        <v/>
      </c>
      <c r="AJ183" s="105"/>
      <c r="AK183" s="105"/>
      <c r="AL183" s="105"/>
      <c r="AM183" s="105"/>
      <c r="AN183" s="126" t="str">
        <f>IFERROR(_xlfn.XLOOKUP($A183,Input_Raw!$A:$A,Input_Raw!$DB:$DB),"")</f>
        <v/>
      </c>
      <c r="AO183" s="124" t="str">
        <f>IFERROR((_xlfn.XLOOKUP($A183,'WTG Reactive Power'!$A:$A,'WTG Reactive Power'!$AR:$AR))/X183/1000,"")</f>
        <v/>
      </c>
      <c r="AP183" s="124">
        <f>IFERROR(_xlfn.XLOOKUP($D183,'Modelling New'!$D:$D,'Modelling New'!$AK:$AK),"")</f>
        <v>0.05</v>
      </c>
      <c r="AQ183" s="124">
        <f>IFERROR(_xlfn.XLOOKUP($D183,'Modelling New'!$D:$D,'Modelling New'!$AL:$AL),"")</f>
        <v>0.05</v>
      </c>
      <c r="AR183">
        <f>IFERROR(_xlfn.XLOOKUP($D183,'Modelling New'!$D:$D,'Modelling New'!$N:$N),"")</f>
        <v>78</v>
      </c>
    </row>
    <row r="184" spans="1:44">
      <c r="A184" s="118">
        <f t="shared" si="15"/>
        <v>45927</v>
      </c>
      <c r="B184" s="107">
        <f>YEAR(Table13[[#This Row],[Date]])+IF(MONTH(Table13[[#This Row],[Date]])&gt;=4,1,0)</f>
        <v>2026</v>
      </c>
      <c r="C184" s="105">
        <f>YEAR(Table13[[#This Row],[Date]])</f>
        <v>2025</v>
      </c>
      <c r="D184" s="119">
        <f>Table13[[#This Row],[Date]]-DAY(Table13[[#This Row],[Date]])+1</f>
        <v>45901</v>
      </c>
      <c r="E184" s="105">
        <f t="shared" si="12"/>
        <v>30</v>
      </c>
      <c r="F184" s="108"/>
      <c r="G184" s="109"/>
      <c r="H184" s="109"/>
      <c r="I184" s="109"/>
      <c r="J184" s="109"/>
      <c r="K184" s="120"/>
      <c r="L184" s="109"/>
      <c r="M184" s="109" t="str">
        <f>IFERROR(_xlfn.XLOOKUP($A184,Input_Raw!$A:$A,Input_Raw!CG:CG),"")</f>
        <v/>
      </c>
      <c r="N184" s="109" t="str">
        <f>IFERROR(_xlfn.XLOOKUP($A184,Input_Raw!$A:$A,Input_Raw!CH:CH),"")</f>
        <v/>
      </c>
      <c r="O184" s="121" t="str">
        <f t="shared" si="14"/>
        <v/>
      </c>
      <c r="P184" s="121" t="str">
        <f>IFERROR(1-SUMIF(WTG_BD!$F:$F,$A184,WTG_BD!$AA:$AA)/($AA184+SUMIF(WTG_BD!$F:$F,$A184,WTG_BD!$AA:$AA)),"")</f>
        <v/>
      </c>
      <c r="Q184" s="122" t="str">
        <f>IFERROR(1-SUMIF(IGA_BD!$F:$F,$A184,IGA_BD!$V:$V)/($AA184+SUMIF(IGA_BD!$F:$F,$A184,IGA_BD!$V:$V)),"")</f>
        <v/>
      </c>
      <c r="R184" s="127" t="str">
        <f>IFERROR(1-SUMIF(Grid_BD!$F:$F,$A184,Grid_BD!$X:$X)/($AA184+SUMIF(Grid_BD!$F:$F,$A184,Grid_BD!$X:$X)),"")</f>
        <v/>
      </c>
      <c r="S184" s="105"/>
      <c r="T184" s="122"/>
      <c r="U184" s="123"/>
      <c r="V184" s="105"/>
      <c r="W184" s="124" t="str">
        <f>IFERROR(Table13[[#This Row],[Mtr_Net_Exp (KWh)]]/(24*AR184*1000),"")</f>
        <v/>
      </c>
      <c r="X184" s="105" t="str">
        <f>IFERROR(_xlfn.XLOOKUP($A184,Input_Raw!$A:$A,Input_Raw!$CF:$CF),"")</f>
        <v/>
      </c>
      <c r="Y184" s="105" t="str">
        <f>IFERROR(_xlfn.XLOOKUP($A184,Input_Raw!$A:$A,Input_Raw!$CZ:$CZ),"")</f>
        <v/>
      </c>
      <c r="Z184" s="105" t="str">
        <f>IFERROR(_xlfn.XLOOKUP($A184,Input_Raw!$A:$A,Input_Raw!$DA:$DA),"")</f>
        <v/>
      </c>
      <c r="AA184" s="107" t="str">
        <f t="shared" si="13"/>
        <v/>
      </c>
      <c r="AB184" s="105" t="str">
        <f>IFERROR(_xlfn.XLOOKUP($A184,Input_Raw!$A:$A,Input_Raw!$DG:$DG),"")</f>
        <v/>
      </c>
      <c r="AC184" s="125">
        <f>IFERROR(_xlfn.XLOOKUP($D184,'Modelling New'!$D:$D,'Modelling New'!$J:$J),"")</f>
        <v>5.0333333333333332</v>
      </c>
      <c r="AD184" s="107">
        <f>IFERROR(_xlfn.XLOOKUP($D184,'Modelling New'!$D:$D,'Modelling New'!$T:$T)*1000,"")</f>
        <v>279529.73373197042</v>
      </c>
      <c r="AE184" s="124"/>
      <c r="AF184" s="124">
        <f>IFERROR(_xlfn.XLOOKUP($D184,'Modelling New'!$D:$D,'Modelling New'!$W:$W),"")</f>
        <v>0.14932143895938593</v>
      </c>
      <c r="AG184" s="124">
        <f>IFERROR(_xlfn.XLOOKUP($D184,'Modelling New'!$D:$D,'Modelling New'!$AE:$AE),"")</f>
        <v>0.96029999999999993</v>
      </c>
      <c r="AH184" s="124">
        <f>IFERROR(_xlfn.XLOOKUP($D184,'Modelling New'!$D:$D,'Modelling New'!$AF:$AF),"")</f>
        <v>0.995</v>
      </c>
      <c r="AI184" s="105" t="str">
        <f>IFERROR(_xlfn.XLOOKUP($A184,Input_Raw!$A:$A,Input_Raw!$DE:$DE),"")</f>
        <v/>
      </c>
      <c r="AJ184" s="105"/>
      <c r="AK184" s="105"/>
      <c r="AL184" s="105"/>
      <c r="AM184" s="105"/>
      <c r="AN184" s="126" t="str">
        <f>IFERROR(_xlfn.XLOOKUP($A184,Input_Raw!$A:$A,Input_Raw!$DB:$DB),"")</f>
        <v/>
      </c>
      <c r="AO184" s="124" t="str">
        <f>IFERROR((_xlfn.XLOOKUP($A184,'WTG Reactive Power'!$A:$A,'WTG Reactive Power'!$AR:$AR))/X184/1000,"")</f>
        <v/>
      </c>
      <c r="AP184" s="124">
        <f>IFERROR(_xlfn.XLOOKUP($D184,'Modelling New'!$D:$D,'Modelling New'!$AK:$AK),"")</f>
        <v>0.05</v>
      </c>
      <c r="AQ184" s="124">
        <f>IFERROR(_xlfn.XLOOKUP($D184,'Modelling New'!$D:$D,'Modelling New'!$AL:$AL),"")</f>
        <v>0.05</v>
      </c>
      <c r="AR184">
        <f>IFERROR(_xlfn.XLOOKUP($D184,'Modelling New'!$D:$D,'Modelling New'!$N:$N),"")</f>
        <v>78</v>
      </c>
    </row>
    <row r="185" spans="1:44">
      <c r="A185" s="118">
        <f t="shared" si="15"/>
        <v>45928</v>
      </c>
      <c r="B185" s="107">
        <f>YEAR(Table13[[#This Row],[Date]])+IF(MONTH(Table13[[#This Row],[Date]])&gt;=4,1,0)</f>
        <v>2026</v>
      </c>
      <c r="C185" s="105">
        <f>YEAR(Table13[[#This Row],[Date]])</f>
        <v>2025</v>
      </c>
      <c r="D185" s="119">
        <f>Table13[[#This Row],[Date]]-DAY(Table13[[#This Row],[Date]])+1</f>
        <v>45901</v>
      </c>
      <c r="E185" s="105">
        <f t="shared" si="12"/>
        <v>30</v>
      </c>
      <c r="F185" s="108"/>
      <c r="G185" s="109"/>
      <c r="H185" s="109"/>
      <c r="I185" s="109"/>
      <c r="J185" s="109"/>
      <c r="K185" s="120"/>
      <c r="L185" s="109"/>
      <c r="M185" s="109" t="str">
        <f>IFERROR(_xlfn.XLOOKUP($A185,Input_Raw!$A:$A,Input_Raw!CG:CG),"")</f>
        <v/>
      </c>
      <c r="N185" s="109" t="str">
        <f>IFERROR(_xlfn.XLOOKUP($A185,Input_Raw!$A:$A,Input_Raw!CH:CH),"")</f>
        <v/>
      </c>
      <c r="O185" s="121" t="str">
        <f t="shared" si="14"/>
        <v/>
      </c>
      <c r="P185" s="121" t="str">
        <f>IFERROR(1-SUMIF(WTG_BD!$F:$F,$A185,WTG_BD!$AA:$AA)/($AA185+SUMIF(WTG_BD!$F:$F,$A185,WTG_BD!$AA:$AA)),"")</f>
        <v/>
      </c>
      <c r="Q185" s="122" t="str">
        <f>IFERROR(1-SUMIF(IGA_BD!$F:$F,$A185,IGA_BD!$V:$V)/($AA185+SUMIF(IGA_BD!$F:$F,$A185,IGA_BD!$V:$V)),"")</f>
        <v/>
      </c>
      <c r="R185" s="127" t="str">
        <f>IFERROR(1-SUMIF(Grid_BD!$F:$F,$A185,Grid_BD!$X:$X)/($AA185+SUMIF(Grid_BD!$F:$F,$A185,Grid_BD!$X:$X)),"")</f>
        <v/>
      </c>
      <c r="S185" s="105"/>
      <c r="T185" s="122"/>
      <c r="U185" s="123"/>
      <c r="V185" s="105"/>
      <c r="W185" s="124" t="str">
        <f>IFERROR(Table13[[#This Row],[Mtr_Net_Exp (KWh)]]/(24*AR185*1000),"")</f>
        <v/>
      </c>
      <c r="X185" s="105" t="str">
        <f>IFERROR(_xlfn.XLOOKUP($A185,Input_Raw!$A:$A,Input_Raw!$CF:$CF),"")</f>
        <v/>
      </c>
      <c r="Y185" s="105" t="str">
        <f>IFERROR(_xlfn.XLOOKUP($A185,Input_Raw!$A:$A,Input_Raw!$CZ:$CZ),"")</f>
        <v/>
      </c>
      <c r="Z185" s="105" t="str">
        <f>IFERROR(_xlfn.XLOOKUP($A185,Input_Raw!$A:$A,Input_Raw!$DA:$DA),"")</f>
        <v/>
      </c>
      <c r="AA185" s="107" t="str">
        <f t="shared" si="13"/>
        <v/>
      </c>
      <c r="AB185" s="105" t="str">
        <f>IFERROR(_xlfn.XLOOKUP($A185,Input_Raw!$A:$A,Input_Raw!$DG:$DG),"")</f>
        <v/>
      </c>
      <c r="AC185" s="125">
        <f>IFERROR(_xlfn.XLOOKUP($D185,'Modelling New'!$D:$D,'Modelling New'!$J:$J),"")</f>
        <v>5.0333333333333332</v>
      </c>
      <c r="AD185" s="107">
        <f>IFERROR(_xlfn.XLOOKUP($D185,'Modelling New'!$D:$D,'Modelling New'!$T:$T)*1000,"")</f>
        <v>279529.73373197042</v>
      </c>
      <c r="AE185" s="124"/>
      <c r="AF185" s="124">
        <f>IFERROR(_xlfn.XLOOKUP($D185,'Modelling New'!$D:$D,'Modelling New'!$W:$W),"")</f>
        <v>0.14932143895938593</v>
      </c>
      <c r="AG185" s="124">
        <f>IFERROR(_xlfn.XLOOKUP($D185,'Modelling New'!$D:$D,'Modelling New'!$AE:$AE),"")</f>
        <v>0.96029999999999993</v>
      </c>
      <c r="AH185" s="124">
        <f>IFERROR(_xlfn.XLOOKUP($D185,'Modelling New'!$D:$D,'Modelling New'!$AF:$AF),"")</f>
        <v>0.995</v>
      </c>
      <c r="AI185" s="105" t="str">
        <f>IFERROR(_xlfn.XLOOKUP($A185,Input_Raw!$A:$A,Input_Raw!$DE:$DE),"")</f>
        <v/>
      </c>
      <c r="AJ185" s="105"/>
      <c r="AK185" s="105"/>
      <c r="AL185" s="105"/>
      <c r="AM185" s="105"/>
      <c r="AN185" s="126" t="str">
        <f>IFERROR(_xlfn.XLOOKUP($A185,Input_Raw!$A:$A,Input_Raw!$DB:$DB),"")</f>
        <v/>
      </c>
      <c r="AO185" s="124" t="str">
        <f>IFERROR((_xlfn.XLOOKUP($A185,'WTG Reactive Power'!$A:$A,'WTG Reactive Power'!$AR:$AR))/X185/1000,"")</f>
        <v/>
      </c>
      <c r="AP185" s="124">
        <f>IFERROR(_xlfn.XLOOKUP($D185,'Modelling New'!$D:$D,'Modelling New'!$AK:$AK),"")</f>
        <v>0.05</v>
      </c>
      <c r="AQ185" s="124">
        <f>IFERROR(_xlfn.XLOOKUP($D185,'Modelling New'!$D:$D,'Modelling New'!$AL:$AL),"")</f>
        <v>0.05</v>
      </c>
      <c r="AR185">
        <f>IFERROR(_xlfn.XLOOKUP($D185,'Modelling New'!$D:$D,'Modelling New'!$N:$N),"")</f>
        <v>78</v>
      </c>
    </row>
    <row r="186" spans="1:44">
      <c r="A186" s="118">
        <f t="shared" si="15"/>
        <v>45929</v>
      </c>
      <c r="B186" s="107">
        <f>YEAR(Table13[[#This Row],[Date]])+IF(MONTH(Table13[[#This Row],[Date]])&gt;=4,1,0)</f>
        <v>2026</v>
      </c>
      <c r="C186" s="105">
        <f>YEAR(Table13[[#This Row],[Date]])</f>
        <v>2025</v>
      </c>
      <c r="D186" s="119">
        <f>Table13[[#This Row],[Date]]-DAY(Table13[[#This Row],[Date]])+1</f>
        <v>45901</v>
      </c>
      <c r="E186" s="105">
        <f t="shared" si="12"/>
        <v>30</v>
      </c>
      <c r="F186" s="108"/>
      <c r="G186" s="109"/>
      <c r="H186" s="109"/>
      <c r="I186" s="109"/>
      <c r="J186" s="109"/>
      <c r="K186" s="120"/>
      <c r="L186" s="109"/>
      <c r="M186" s="109" t="str">
        <f>IFERROR(_xlfn.XLOOKUP($A186,Input_Raw!$A:$A,Input_Raw!CG:CG),"")</f>
        <v/>
      </c>
      <c r="N186" s="109" t="str">
        <f>IFERROR(_xlfn.XLOOKUP($A186,Input_Raw!$A:$A,Input_Raw!CH:CH),"")</f>
        <v/>
      </c>
      <c r="O186" s="121" t="str">
        <f t="shared" si="14"/>
        <v/>
      </c>
      <c r="P186" s="121" t="str">
        <f>IFERROR(1-SUMIF(WTG_BD!$F:$F,$A186,WTG_BD!$AA:$AA)/($AA186+SUMIF(WTG_BD!$F:$F,$A186,WTG_BD!$AA:$AA)),"")</f>
        <v/>
      </c>
      <c r="Q186" s="122" t="str">
        <f>IFERROR(1-SUMIF(IGA_BD!$F:$F,$A186,IGA_BD!$V:$V)/($AA186+SUMIF(IGA_BD!$F:$F,$A186,IGA_BD!$V:$V)),"")</f>
        <v/>
      </c>
      <c r="R186" s="127" t="str">
        <f>IFERROR(1-SUMIF(Grid_BD!$F:$F,$A186,Grid_BD!$X:$X)/($AA186+SUMIF(Grid_BD!$F:$F,$A186,Grid_BD!$X:$X)),"")</f>
        <v/>
      </c>
      <c r="S186" s="105"/>
      <c r="T186" s="122"/>
      <c r="U186" s="123"/>
      <c r="V186" s="105"/>
      <c r="W186" s="124" t="str">
        <f>IFERROR(Table13[[#This Row],[Mtr_Net_Exp (KWh)]]/(24*AR186*1000),"")</f>
        <v/>
      </c>
      <c r="X186" s="105" t="str">
        <f>IFERROR(_xlfn.XLOOKUP($A186,Input_Raw!$A:$A,Input_Raw!$CF:$CF),"")</f>
        <v/>
      </c>
      <c r="Y186" s="105" t="str">
        <f>IFERROR(_xlfn.XLOOKUP($A186,Input_Raw!$A:$A,Input_Raw!$CZ:$CZ),"")</f>
        <v/>
      </c>
      <c r="Z186" s="105" t="str">
        <f>IFERROR(_xlfn.XLOOKUP($A186,Input_Raw!$A:$A,Input_Raw!$DA:$DA),"")</f>
        <v/>
      </c>
      <c r="AA186" s="107" t="str">
        <f t="shared" si="13"/>
        <v/>
      </c>
      <c r="AB186" s="105" t="str">
        <f>IFERROR(_xlfn.XLOOKUP($A186,Input_Raw!$A:$A,Input_Raw!$DG:$DG),"")</f>
        <v/>
      </c>
      <c r="AC186" s="125">
        <f>IFERROR(_xlfn.XLOOKUP($D186,'Modelling New'!$D:$D,'Modelling New'!$J:$J),"")</f>
        <v>5.0333333333333332</v>
      </c>
      <c r="AD186" s="107">
        <f>IFERROR(_xlfn.XLOOKUP($D186,'Modelling New'!$D:$D,'Modelling New'!$T:$T)*1000,"")</f>
        <v>279529.73373197042</v>
      </c>
      <c r="AE186" s="124"/>
      <c r="AF186" s="124">
        <f>IFERROR(_xlfn.XLOOKUP($D186,'Modelling New'!$D:$D,'Modelling New'!$W:$W),"")</f>
        <v>0.14932143895938593</v>
      </c>
      <c r="AG186" s="124">
        <f>IFERROR(_xlfn.XLOOKUP($D186,'Modelling New'!$D:$D,'Modelling New'!$AE:$AE),"")</f>
        <v>0.96029999999999993</v>
      </c>
      <c r="AH186" s="124">
        <f>IFERROR(_xlfn.XLOOKUP($D186,'Modelling New'!$D:$D,'Modelling New'!$AF:$AF),"")</f>
        <v>0.995</v>
      </c>
      <c r="AI186" s="105" t="str">
        <f>IFERROR(_xlfn.XLOOKUP($A186,Input_Raw!$A:$A,Input_Raw!$DE:$DE),"")</f>
        <v/>
      </c>
      <c r="AJ186" s="105"/>
      <c r="AK186" s="105"/>
      <c r="AL186" s="105"/>
      <c r="AM186" s="105"/>
      <c r="AN186" s="126" t="str">
        <f>IFERROR(_xlfn.XLOOKUP($A186,Input_Raw!$A:$A,Input_Raw!$DB:$DB),"")</f>
        <v/>
      </c>
      <c r="AO186" s="124" t="str">
        <f>IFERROR((_xlfn.XLOOKUP($A186,'WTG Reactive Power'!$A:$A,'WTG Reactive Power'!$AR:$AR))/X186/1000,"")</f>
        <v/>
      </c>
      <c r="AP186" s="124">
        <f>IFERROR(_xlfn.XLOOKUP($D186,'Modelling New'!$D:$D,'Modelling New'!$AK:$AK),"")</f>
        <v>0.05</v>
      </c>
      <c r="AQ186" s="124">
        <f>IFERROR(_xlfn.XLOOKUP($D186,'Modelling New'!$D:$D,'Modelling New'!$AL:$AL),"")</f>
        <v>0.05</v>
      </c>
      <c r="AR186">
        <f>IFERROR(_xlfn.XLOOKUP($D186,'Modelling New'!$D:$D,'Modelling New'!$N:$N),"")</f>
        <v>78</v>
      </c>
    </row>
    <row r="187" spans="1:44">
      <c r="A187" s="118">
        <f t="shared" si="15"/>
        <v>45930</v>
      </c>
      <c r="B187" s="107">
        <f>YEAR(Table13[[#This Row],[Date]])+IF(MONTH(Table13[[#This Row],[Date]])&gt;=4,1,0)</f>
        <v>2026</v>
      </c>
      <c r="C187" s="105">
        <f>YEAR(Table13[[#This Row],[Date]])</f>
        <v>2025</v>
      </c>
      <c r="D187" s="119">
        <f>Table13[[#This Row],[Date]]-DAY(Table13[[#This Row],[Date]])+1</f>
        <v>45901</v>
      </c>
      <c r="E187" s="105">
        <f t="shared" si="12"/>
        <v>30</v>
      </c>
      <c r="F187" s="108"/>
      <c r="G187" s="109"/>
      <c r="H187" s="109"/>
      <c r="I187" s="109"/>
      <c r="J187" s="109"/>
      <c r="K187" s="120"/>
      <c r="L187" s="109"/>
      <c r="M187" s="109" t="str">
        <f>IFERROR(_xlfn.XLOOKUP($A187,Input_Raw!$A:$A,Input_Raw!CG:CG),"")</f>
        <v/>
      </c>
      <c r="N187" s="109" t="str">
        <f>IFERROR(_xlfn.XLOOKUP($A187,Input_Raw!$A:$A,Input_Raw!CH:CH),"")</f>
        <v/>
      </c>
      <c r="O187" s="121" t="str">
        <f t="shared" si="14"/>
        <v/>
      </c>
      <c r="P187" s="121" t="str">
        <f>IFERROR(1-SUMIF(WTG_BD!$F:$F,$A187,WTG_BD!$AA:$AA)/($AA187+SUMIF(WTG_BD!$F:$F,$A187,WTG_BD!$AA:$AA)),"")</f>
        <v/>
      </c>
      <c r="Q187" s="122" t="str">
        <f>IFERROR(1-SUMIF(IGA_BD!$F:$F,$A187,IGA_BD!$V:$V)/($AA187+SUMIF(IGA_BD!$F:$F,$A187,IGA_BD!$V:$V)),"")</f>
        <v/>
      </c>
      <c r="R187" s="127" t="str">
        <f>IFERROR(1-SUMIF(Grid_BD!$F:$F,$A187,Grid_BD!$X:$X)/($AA187+SUMIF(Grid_BD!$F:$F,$A187,Grid_BD!$X:$X)),"")</f>
        <v/>
      </c>
      <c r="S187" s="105"/>
      <c r="T187" s="122"/>
      <c r="U187" s="123"/>
      <c r="V187" s="105"/>
      <c r="W187" s="124" t="str">
        <f>IFERROR(Table13[[#This Row],[Mtr_Net_Exp (KWh)]]/(24*AR187*1000),"")</f>
        <v/>
      </c>
      <c r="X187" s="105" t="str">
        <f>IFERROR(_xlfn.XLOOKUP($A187,Input_Raw!$A:$A,Input_Raw!$CF:$CF),"")</f>
        <v/>
      </c>
      <c r="Y187" s="105" t="str">
        <f>IFERROR(_xlfn.XLOOKUP($A187,Input_Raw!$A:$A,Input_Raw!$CZ:$CZ),"")</f>
        <v/>
      </c>
      <c r="Z187" s="105" t="str">
        <f>IFERROR(_xlfn.XLOOKUP($A187,Input_Raw!$A:$A,Input_Raw!$DA:$DA),"")</f>
        <v/>
      </c>
      <c r="AA187" s="107" t="str">
        <f t="shared" si="13"/>
        <v/>
      </c>
      <c r="AB187" s="105" t="str">
        <f>IFERROR(_xlfn.XLOOKUP($A187,Input_Raw!$A:$A,Input_Raw!$DG:$DG),"")</f>
        <v/>
      </c>
      <c r="AC187" s="125">
        <f>IFERROR(_xlfn.XLOOKUP($D187,'Modelling New'!$D:$D,'Modelling New'!$J:$J),"")</f>
        <v>5.0333333333333332</v>
      </c>
      <c r="AD187" s="107">
        <f>IFERROR(_xlfn.XLOOKUP($D187,'Modelling New'!$D:$D,'Modelling New'!$T:$T)*1000,"")</f>
        <v>279529.73373197042</v>
      </c>
      <c r="AE187" s="124"/>
      <c r="AF187" s="124">
        <f>IFERROR(_xlfn.XLOOKUP($D187,'Modelling New'!$D:$D,'Modelling New'!$W:$W),"")</f>
        <v>0.14932143895938593</v>
      </c>
      <c r="AG187" s="124">
        <f>IFERROR(_xlfn.XLOOKUP($D187,'Modelling New'!$D:$D,'Modelling New'!$AE:$AE),"")</f>
        <v>0.96029999999999993</v>
      </c>
      <c r="AH187" s="124">
        <f>IFERROR(_xlfn.XLOOKUP($D187,'Modelling New'!$D:$D,'Modelling New'!$AF:$AF),"")</f>
        <v>0.995</v>
      </c>
      <c r="AI187" s="105" t="str">
        <f>IFERROR(_xlfn.XLOOKUP($A187,Input_Raw!$A:$A,Input_Raw!$DE:$DE),"")</f>
        <v/>
      </c>
      <c r="AJ187" s="105"/>
      <c r="AK187" s="105"/>
      <c r="AL187" s="105"/>
      <c r="AM187" s="105"/>
      <c r="AN187" s="126" t="str">
        <f>IFERROR(_xlfn.XLOOKUP($A187,Input_Raw!$A:$A,Input_Raw!$DB:$DB),"")</f>
        <v/>
      </c>
      <c r="AO187" s="124" t="str">
        <f>IFERROR((_xlfn.XLOOKUP($A187,'WTG Reactive Power'!$A:$A,'WTG Reactive Power'!$AR:$AR))/X187/1000,"")</f>
        <v/>
      </c>
      <c r="AP187" s="124">
        <f>IFERROR(_xlfn.XLOOKUP($D187,'Modelling New'!$D:$D,'Modelling New'!$AK:$AK),"")</f>
        <v>0.05</v>
      </c>
      <c r="AQ187" s="124">
        <f>IFERROR(_xlfn.XLOOKUP($D187,'Modelling New'!$D:$D,'Modelling New'!$AL:$AL),"")</f>
        <v>0.05</v>
      </c>
      <c r="AR187">
        <f>IFERROR(_xlfn.XLOOKUP($D187,'Modelling New'!$D:$D,'Modelling New'!$N:$N),"")</f>
        <v>78</v>
      </c>
    </row>
    <row r="188" spans="1:44">
      <c r="A188" s="118">
        <f t="shared" si="15"/>
        <v>45931</v>
      </c>
      <c r="B188" s="107">
        <f>YEAR(Table13[[#This Row],[Date]])+IF(MONTH(Table13[[#This Row],[Date]])&gt;=4,1,0)</f>
        <v>2026</v>
      </c>
      <c r="C188" s="105">
        <f>YEAR(Table13[[#This Row],[Date]])</f>
        <v>2025</v>
      </c>
      <c r="D188" s="119">
        <f>Table13[[#This Row],[Date]]-DAY(Table13[[#This Row],[Date]])+1</f>
        <v>45931</v>
      </c>
      <c r="E188" s="105">
        <f t="shared" si="12"/>
        <v>31</v>
      </c>
      <c r="F188" s="108"/>
      <c r="G188" s="109"/>
      <c r="H188" s="109"/>
      <c r="I188" s="109"/>
      <c r="J188" s="109"/>
      <c r="K188" s="120"/>
      <c r="L188" s="109"/>
      <c r="M188" s="109" t="str">
        <f>IFERROR(_xlfn.XLOOKUP($A188,Input_Raw!$A:$A,Input_Raw!CG:CG),"")</f>
        <v/>
      </c>
      <c r="N188" s="109" t="str">
        <f>IFERROR(_xlfn.XLOOKUP($A188,Input_Raw!$A:$A,Input_Raw!CH:CH),"")</f>
        <v/>
      </c>
      <c r="O188" s="121" t="str">
        <f t="shared" si="14"/>
        <v/>
      </c>
      <c r="P188" s="121" t="str">
        <f>IFERROR(1-SUMIF(WTG_BD!$F:$F,$A188,WTG_BD!$AA:$AA)/($AA188+SUMIF(WTG_BD!$F:$F,$A188,WTG_BD!$AA:$AA)),"")</f>
        <v/>
      </c>
      <c r="Q188" s="122" t="str">
        <f>IFERROR(1-SUMIF(IGA_BD!$F:$F,$A188,IGA_BD!$V:$V)/($AA188+SUMIF(IGA_BD!$F:$F,$A188,IGA_BD!$V:$V)),"")</f>
        <v/>
      </c>
      <c r="R188" s="127" t="str">
        <f>IFERROR(1-SUMIF(Grid_BD!$F:$F,$A188,Grid_BD!$X:$X)/($AA188+SUMIF(Grid_BD!$F:$F,$A188,Grid_BD!$X:$X)),"")</f>
        <v/>
      </c>
      <c r="S188" s="105"/>
      <c r="T188" s="122"/>
      <c r="U188" s="123"/>
      <c r="V188" s="105"/>
      <c r="W188" s="124" t="str">
        <f>IFERROR(Table13[[#This Row],[Mtr_Net_Exp (KWh)]]/(24*AR188*1000),"")</f>
        <v/>
      </c>
      <c r="X188" s="105" t="str">
        <f>IFERROR(_xlfn.XLOOKUP($A188,Input_Raw!$A:$A,Input_Raw!$CF:$CF),"")</f>
        <v/>
      </c>
      <c r="Y188" s="105" t="str">
        <f>IFERROR(_xlfn.XLOOKUP($A188,Input_Raw!$A:$A,Input_Raw!$CZ:$CZ),"")</f>
        <v/>
      </c>
      <c r="Z188" s="105" t="str">
        <f>IFERROR(_xlfn.XLOOKUP($A188,Input_Raw!$A:$A,Input_Raw!$DA:$DA),"")</f>
        <v/>
      </c>
      <c r="AA188" s="107" t="str">
        <f t="shared" si="13"/>
        <v/>
      </c>
      <c r="AB188" s="105" t="str">
        <f>IFERROR(_xlfn.XLOOKUP($A188,Input_Raw!$A:$A,Input_Raw!$DG:$DG),"")</f>
        <v/>
      </c>
      <c r="AC188" s="125">
        <f>IFERROR(_xlfn.XLOOKUP($D188,'Modelling New'!$D:$D,'Modelling New'!$J:$J),"")</f>
        <v>3.9666666666666668</v>
      </c>
      <c r="AD188" s="107">
        <f>IFERROR(_xlfn.XLOOKUP($D188,'Modelling New'!$D:$D,'Modelling New'!$T:$T)*1000,"")</f>
        <v>164597.86033847061</v>
      </c>
      <c r="AE188" s="124"/>
      <c r="AF188" s="124">
        <f>IFERROR(_xlfn.XLOOKUP($D188,'Modelling New'!$D:$D,'Modelling New'!$W:$W),"")</f>
        <v>8.792620744576421E-2</v>
      </c>
      <c r="AG188" s="124">
        <f>IFERROR(_xlfn.XLOOKUP($D188,'Modelling New'!$D:$D,'Modelling New'!$AE:$AE),"")</f>
        <v>0.96029999999999993</v>
      </c>
      <c r="AH188" s="124">
        <f>IFERROR(_xlfn.XLOOKUP($D188,'Modelling New'!$D:$D,'Modelling New'!$AF:$AF),"")</f>
        <v>0.995</v>
      </c>
      <c r="AI188" s="105" t="str">
        <f>IFERROR(_xlfn.XLOOKUP($A188,Input_Raw!$A:$A,Input_Raw!$DE:$DE),"")</f>
        <v/>
      </c>
      <c r="AJ188" s="105"/>
      <c r="AK188" s="105"/>
      <c r="AL188" s="105"/>
      <c r="AM188" s="105"/>
      <c r="AN188" s="126" t="str">
        <f>IFERROR(_xlfn.XLOOKUP($A188,Input_Raw!$A:$A,Input_Raw!$DB:$DB),"")</f>
        <v/>
      </c>
      <c r="AO188" s="124" t="str">
        <f>IFERROR((_xlfn.XLOOKUP($A188,'WTG Reactive Power'!$A:$A,'WTG Reactive Power'!$AR:$AR))/X188/1000,"")</f>
        <v/>
      </c>
      <c r="AP188" s="124">
        <f>IFERROR(_xlfn.XLOOKUP($D188,'Modelling New'!$D:$D,'Modelling New'!$AK:$AK),"")</f>
        <v>0.05</v>
      </c>
      <c r="AQ188" s="124">
        <f>IFERROR(_xlfn.XLOOKUP($D188,'Modelling New'!$D:$D,'Modelling New'!$AL:$AL),"")</f>
        <v>0.05</v>
      </c>
      <c r="AR188">
        <f>IFERROR(_xlfn.XLOOKUP($D188,'Modelling New'!$D:$D,'Modelling New'!$N:$N),"")</f>
        <v>78</v>
      </c>
    </row>
    <row r="189" spans="1:44">
      <c r="A189" s="118">
        <f t="shared" si="15"/>
        <v>45932</v>
      </c>
      <c r="B189" s="107">
        <f>YEAR(Table13[[#This Row],[Date]])+IF(MONTH(Table13[[#This Row],[Date]])&gt;=4,1,0)</f>
        <v>2026</v>
      </c>
      <c r="C189" s="105">
        <f>YEAR(Table13[[#This Row],[Date]])</f>
        <v>2025</v>
      </c>
      <c r="D189" s="119">
        <f>Table13[[#This Row],[Date]]-DAY(Table13[[#This Row],[Date]])+1</f>
        <v>45931</v>
      </c>
      <c r="E189" s="105">
        <f t="shared" si="12"/>
        <v>31</v>
      </c>
      <c r="F189" s="108"/>
      <c r="G189" s="109"/>
      <c r="H189" s="109"/>
      <c r="I189" s="109"/>
      <c r="J189" s="109"/>
      <c r="K189" s="120"/>
      <c r="L189" s="109"/>
      <c r="M189" s="109" t="str">
        <f>IFERROR(_xlfn.XLOOKUP($A189,Input_Raw!$A:$A,Input_Raw!CG:CG),"")</f>
        <v/>
      </c>
      <c r="N189" s="109" t="str">
        <f>IFERROR(_xlfn.XLOOKUP($A189,Input_Raw!$A:$A,Input_Raw!CH:CH),"")</f>
        <v/>
      </c>
      <c r="O189" s="121" t="str">
        <f t="shared" si="14"/>
        <v/>
      </c>
      <c r="P189" s="121" t="str">
        <f>IFERROR(1-SUMIF(WTG_BD!$F:$F,$A189,WTG_BD!$AA:$AA)/($AA189+SUMIF(WTG_BD!$F:$F,$A189,WTG_BD!$AA:$AA)),"")</f>
        <v/>
      </c>
      <c r="Q189" s="122" t="str">
        <f>IFERROR(1-SUMIF(IGA_BD!$F:$F,$A189,IGA_BD!$V:$V)/($AA189+SUMIF(IGA_BD!$F:$F,$A189,IGA_BD!$V:$V)),"")</f>
        <v/>
      </c>
      <c r="R189" s="127" t="str">
        <f>IFERROR(1-SUMIF(Grid_BD!$F:$F,$A189,Grid_BD!$X:$X)/($AA189+SUMIF(Grid_BD!$F:$F,$A189,Grid_BD!$X:$X)),"")</f>
        <v/>
      </c>
      <c r="S189" s="105"/>
      <c r="T189" s="122"/>
      <c r="U189" s="123"/>
      <c r="V189" s="105"/>
      <c r="W189" s="124" t="str">
        <f>IFERROR(Table13[[#This Row],[Mtr_Net_Exp (KWh)]]/(24*AR189*1000),"")</f>
        <v/>
      </c>
      <c r="X189" s="105" t="str">
        <f>IFERROR(_xlfn.XLOOKUP($A189,Input_Raw!$A:$A,Input_Raw!$CF:$CF),"")</f>
        <v/>
      </c>
      <c r="Y189" s="105" t="str">
        <f>IFERROR(_xlfn.XLOOKUP($A189,Input_Raw!$A:$A,Input_Raw!$CZ:$CZ),"")</f>
        <v/>
      </c>
      <c r="Z189" s="105" t="str">
        <f>IFERROR(_xlfn.XLOOKUP($A189,Input_Raw!$A:$A,Input_Raw!$DA:$DA),"")</f>
        <v/>
      </c>
      <c r="AA189" s="107" t="str">
        <f t="shared" si="13"/>
        <v/>
      </c>
      <c r="AB189" s="105" t="str">
        <f>IFERROR(_xlfn.XLOOKUP($A189,Input_Raw!$A:$A,Input_Raw!$DG:$DG),"")</f>
        <v/>
      </c>
      <c r="AC189" s="125">
        <f>IFERROR(_xlfn.XLOOKUP($D189,'Modelling New'!$D:$D,'Modelling New'!$J:$J),"")</f>
        <v>3.9666666666666668</v>
      </c>
      <c r="AD189" s="107">
        <f>IFERROR(_xlfn.XLOOKUP($D189,'Modelling New'!$D:$D,'Modelling New'!$T:$T)*1000,"")</f>
        <v>164597.86033847061</v>
      </c>
      <c r="AE189" s="124"/>
      <c r="AF189" s="124">
        <f>IFERROR(_xlfn.XLOOKUP($D189,'Modelling New'!$D:$D,'Modelling New'!$W:$W),"")</f>
        <v>8.792620744576421E-2</v>
      </c>
      <c r="AG189" s="124">
        <f>IFERROR(_xlfn.XLOOKUP($D189,'Modelling New'!$D:$D,'Modelling New'!$AE:$AE),"")</f>
        <v>0.96029999999999993</v>
      </c>
      <c r="AH189" s="124">
        <f>IFERROR(_xlfn.XLOOKUP($D189,'Modelling New'!$D:$D,'Modelling New'!$AF:$AF),"")</f>
        <v>0.995</v>
      </c>
      <c r="AI189" s="105" t="str">
        <f>IFERROR(_xlfn.XLOOKUP($A189,Input_Raw!$A:$A,Input_Raw!$DE:$DE),"")</f>
        <v/>
      </c>
      <c r="AJ189" s="105"/>
      <c r="AK189" s="105"/>
      <c r="AL189" s="105"/>
      <c r="AM189" s="105"/>
      <c r="AN189" s="126" t="str">
        <f>IFERROR(_xlfn.XLOOKUP($A189,Input_Raw!$A:$A,Input_Raw!$DB:$DB),"")</f>
        <v/>
      </c>
      <c r="AO189" s="124" t="str">
        <f>IFERROR((_xlfn.XLOOKUP($A189,'WTG Reactive Power'!$A:$A,'WTG Reactive Power'!$AR:$AR))/X189/1000,"")</f>
        <v/>
      </c>
      <c r="AP189" s="124">
        <f>IFERROR(_xlfn.XLOOKUP($D189,'Modelling New'!$D:$D,'Modelling New'!$AK:$AK),"")</f>
        <v>0.05</v>
      </c>
      <c r="AQ189" s="124">
        <f>IFERROR(_xlfn.XLOOKUP($D189,'Modelling New'!$D:$D,'Modelling New'!$AL:$AL),"")</f>
        <v>0.05</v>
      </c>
      <c r="AR189">
        <f>IFERROR(_xlfn.XLOOKUP($D189,'Modelling New'!$D:$D,'Modelling New'!$N:$N),"")</f>
        <v>78</v>
      </c>
    </row>
    <row r="190" spans="1:44">
      <c r="A190" s="118">
        <f t="shared" si="15"/>
        <v>45933</v>
      </c>
      <c r="B190" s="107">
        <f>YEAR(Table13[[#This Row],[Date]])+IF(MONTH(Table13[[#This Row],[Date]])&gt;=4,1,0)</f>
        <v>2026</v>
      </c>
      <c r="C190" s="105">
        <f>YEAR(Table13[[#This Row],[Date]])</f>
        <v>2025</v>
      </c>
      <c r="D190" s="119">
        <f>Table13[[#This Row],[Date]]-DAY(Table13[[#This Row],[Date]])+1</f>
        <v>45931</v>
      </c>
      <c r="E190" s="105">
        <f t="shared" si="12"/>
        <v>31</v>
      </c>
      <c r="F190" s="108"/>
      <c r="G190" s="109"/>
      <c r="H190" s="109"/>
      <c r="I190" s="109"/>
      <c r="J190" s="109"/>
      <c r="K190" s="120"/>
      <c r="L190" s="109"/>
      <c r="M190" s="109" t="str">
        <f>IFERROR(_xlfn.XLOOKUP($A190,Input_Raw!$A:$A,Input_Raw!CG:CG),"")</f>
        <v/>
      </c>
      <c r="N190" s="109" t="str">
        <f>IFERROR(_xlfn.XLOOKUP($A190,Input_Raw!$A:$A,Input_Raw!CH:CH),"")</f>
        <v/>
      </c>
      <c r="O190" s="121" t="str">
        <f t="shared" si="14"/>
        <v/>
      </c>
      <c r="P190" s="121" t="str">
        <f>IFERROR(1-SUMIF(WTG_BD!$F:$F,$A190,WTG_BD!$AA:$AA)/($AA190+SUMIF(WTG_BD!$F:$F,$A190,WTG_BD!$AA:$AA)),"")</f>
        <v/>
      </c>
      <c r="Q190" s="122" t="str">
        <f>IFERROR(1-SUMIF(IGA_BD!$F:$F,$A190,IGA_BD!$V:$V)/($AA190+SUMIF(IGA_BD!$F:$F,$A190,IGA_BD!$V:$V)),"")</f>
        <v/>
      </c>
      <c r="R190" s="127" t="str">
        <f>IFERROR(1-SUMIF(Grid_BD!$F:$F,$A190,Grid_BD!$X:$X)/($AA190+SUMIF(Grid_BD!$F:$F,$A190,Grid_BD!$X:$X)),"")</f>
        <v/>
      </c>
      <c r="S190" s="105"/>
      <c r="T190" s="122"/>
      <c r="U190" s="123"/>
      <c r="V190" s="105"/>
      <c r="W190" s="124" t="str">
        <f>IFERROR(Table13[[#This Row],[Mtr_Net_Exp (KWh)]]/(24*AR190*1000),"")</f>
        <v/>
      </c>
      <c r="X190" s="105" t="str">
        <f>IFERROR(_xlfn.XLOOKUP($A190,Input_Raw!$A:$A,Input_Raw!$CF:$CF),"")</f>
        <v/>
      </c>
      <c r="Y190" s="105" t="str">
        <f>IFERROR(_xlfn.XLOOKUP($A190,Input_Raw!$A:$A,Input_Raw!$CZ:$CZ),"")</f>
        <v/>
      </c>
      <c r="Z190" s="105" t="str">
        <f>IFERROR(_xlfn.XLOOKUP($A190,Input_Raw!$A:$A,Input_Raw!$DA:$DA),"")</f>
        <v/>
      </c>
      <c r="AA190" s="107" t="str">
        <f t="shared" si="13"/>
        <v/>
      </c>
      <c r="AB190" s="105" t="str">
        <f>IFERROR(_xlfn.XLOOKUP($A190,Input_Raw!$A:$A,Input_Raw!$DG:$DG),"")</f>
        <v/>
      </c>
      <c r="AC190" s="125">
        <f>IFERROR(_xlfn.XLOOKUP($D190,'Modelling New'!$D:$D,'Modelling New'!$J:$J),"")</f>
        <v>3.9666666666666668</v>
      </c>
      <c r="AD190" s="107">
        <f>IFERROR(_xlfn.XLOOKUP($D190,'Modelling New'!$D:$D,'Modelling New'!$T:$T)*1000,"")</f>
        <v>164597.86033847061</v>
      </c>
      <c r="AE190" s="124"/>
      <c r="AF190" s="124">
        <f>IFERROR(_xlfn.XLOOKUP($D190,'Modelling New'!$D:$D,'Modelling New'!$W:$W),"")</f>
        <v>8.792620744576421E-2</v>
      </c>
      <c r="AG190" s="124">
        <f>IFERROR(_xlfn.XLOOKUP($D190,'Modelling New'!$D:$D,'Modelling New'!$AE:$AE),"")</f>
        <v>0.96029999999999993</v>
      </c>
      <c r="AH190" s="124">
        <f>IFERROR(_xlfn.XLOOKUP($D190,'Modelling New'!$D:$D,'Modelling New'!$AF:$AF),"")</f>
        <v>0.995</v>
      </c>
      <c r="AI190" s="105" t="str">
        <f>IFERROR(_xlfn.XLOOKUP($A190,Input_Raw!$A:$A,Input_Raw!$DE:$DE),"")</f>
        <v/>
      </c>
      <c r="AJ190" s="105"/>
      <c r="AK190" s="105"/>
      <c r="AL190" s="105"/>
      <c r="AM190" s="105"/>
      <c r="AN190" s="126" t="str">
        <f>IFERROR(_xlfn.XLOOKUP($A190,Input_Raw!$A:$A,Input_Raw!$DB:$DB),"")</f>
        <v/>
      </c>
      <c r="AO190" s="124" t="str">
        <f>IFERROR((_xlfn.XLOOKUP($A190,'WTG Reactive Power'!$A:$A,'WTG Reactive Power'!$AR:$AR))/X190/1000,"")</f>
        <v/>
      </c>
      <c r="AP190" s="124">
        <f>IFERROR(_xlfn.XLOOKUP($D190,'Modelling New'!$D:$D,'Modelling New'!$AK:$AK),"")</f>
        <v>0.05</v>
      </c>
      <c r="AQ190" s="124">
        <f>IFERROR(_xlfn.XLOOKUP($D190,'Modelling New'!$D:$D,'Modelling New'!$AL:$AL),"")</f>
        <v>0.05</v>
      </c>
      <c r="AR190">
        <f>IFERROR(_xlfn.XLOOKUP($D190,'Modelling New'!$D:$D,'Modelling New'!$N:$N),"")</f>
        <v>78</v>
      </c>
    </row>
    <row r="191" spans="1:44">
      <c r="A191" s="118">
        <f t="shared" si="15"/>
        <v>45934</v>
      </c>
      <c r="B191" s="107">
        <f>YEAR(Table13[[#This Row],[Date]])+IF(MONTH(Table13[[#This Row],[Date]])&gt;=4,1,0)</f>
        <v>2026</v>
      </c>
      <c r="C191" s="105">
        <f>YEAR(Table13[[#This Row],[Date]])</f>
        <v>2025</v>
      </c>
      <c r="D191" s="119">
        <f>Table13[[#This Row],[Date]]-DAY(Table13[[#This Row],[Date]])+1</f>
        <v>45931</v>
      </c>
      <c r="E191" s="105">
        <f t="shared" ref="E191:E222" si="16">DAY(EOMONTH(A191,0))</f>
        <v>31</v>
      </c>
      <c r="F191" s="108"/>
      <c r="G191" s="109"/>
      <c r="H191" s="109"/>
      <c r="I191" s="109"/>
      <c r="J191" s="109"/>
      <c r="K191" s="120"/>
      <c r="L191" s="109"/>
      <c r="M191" s="109" t="str">
        <f>IFERROR(_xlfn.XLOOKUP($A191,Input_Raw!$A:$A,Input_Raw!CG:CG),"")</f>
        <v/>
      </c>
      <c r="N191" s="109" t="str">
        <f>IFERROR(_xlfn.XLOOKUP($A191,Input_Raw!$A:$A,Input_Raw!CH:CH),"")</f>
        <v/>
      </c>
      <c r="O191" s="121" t="str">
        <f t="shared" ref="O191:O222" si="17">IFERROR(P191*Q191,"")</f>
        <v/>
      </c>
      <c r="P191" s="121" t="str">
        <f>IFERROR(1-SUMIF(WTG_BD!$F:$F,$A191,WTG_BD!$AA:$AA)/($AA191+SUMIF(WTG_BD!$F:$F,$A191,WTG_BD!$AA:$AA)),"")</f>
        <v/>
      </c>
      <c r="Q191" s="122" t="str">
        <f>IFERROR(1-SUMIF(IGA_BD!$F:$F,$A191,IGA_BD!$V:$V)/($AA191+SUMIF(IGA_BD!$F:$F,$A191,IGA_BD!$V:$V)),"")</f>
        <v/>
      </c>
      <c r="R191" s="127" t="str">
        <f>IFERROR(1-SUMIF(Grid_BD!$F:$F,$A191,Grid_BD!$X:$X)/($AA191+SUMIF(Grid_BD!$F:$F,$A191,Grid_BD!$X:$X)),"")</f>
        <v/>
      </c>
      <c r="S191" s="105"/>
      <c r="T191" s="122"/>
      <c r="U191" s="123"/>
      <c r="V191" s="105"/>
      <c r="W191" s="124" t="str">
        <f>IFERROR(Table13[[#This Row],[Mtr_Net_Exp (KWh)]]/(24*AR191*1000),"")</f>
        <v/>
      </c>
      <c r="X191" s="105" t="str">
        <f>IFERROR(_xlfn.XLOOKUP($A191,Input_Raw!$A:$A,Input_Raw!$CF:$CF),"")</f>
        <v/>
      </c>
      <c r="Y191" s="105" t="str">
        <f>IFERROR(_xlfn.XLOOKUP($A191,Input_Raw!$A:$A,Input_Raw!$CZ:$CZ),"")</f>
        <v/>
      </c>
      <c r="Z191" s="105" t="str">
        <f>IFERROR(_xlfn.XLOOKUP($A191,Input_Raw!$A:$A,Input_Raw!$DA:$DA),"")</f>
        <v/>
      </c>
      <c r="AA191" s="107" t="str">
        <f t="shared" ref="AA191:AA222" si="18">IFERROR(Y191-Z191,"")</f>
        <v/>
      </c>
      <c r="AB191" s="105" t="str">
        <f>IFERROR(_xlfn.XLOOKUP($A191,Input_Raw!$A:$A,Input_Raw!$DG:$DG),"")</f>
        <v/>
      </c>
      <c r="AC191" s="125">
        <f>IFERROR(_xlfn.XLOOKUP($D191,'Modelling New'!$D:$D,'Modelling New'!$J:$J),"")</f>
        <v>3.9666666666666668</v>
      </c>
      <c r="AD191" s="107">
        <f>IFERROR(_xlfn.XLOOKUP($D191,'Modelling New'!$D:$D,'Modelling New'!$T:$T)*1000,"")</f>
        <v>164597.86033847061</v>
      </c>
      <c r="AE191" s="124"/>
      <c r="AF191" s="124">
        <f>IFERROR(_xlfn.XLOOKUP($D191,'Modelling New'!$D:$D,'Modelling New'!$W:$W),"")</f>
        <v>8.792620744576421E-2</v>
      </c>
      <c r="AG191" s="124">
        <f>IFERROR(_xlfn.XLOOKUP($D191,'Modelling New'!$D:$D,'Modelling New'!$AE:$AE),"")</f>
        <v>0.96029999999999993</v>
      </c>
      <c r="AH191" s="124">
        <f>IFERROR(_xlfn.XLOOKUP($D191,'Modelling New'!$D:$D,'Modelling New'!$AF:$AF),"")</f>
        <v>0.995</v>
      </c>
      <c r="AI191" s="105" t="str">
        <f>IFERROR(_xlfn.XLOOKUP($A191,Input_Raw!$A:$A,Input_Raw!$DE:$DE),"")</f>
        <v/>
      </c>
      <c r="AJ191" s="105"/>
      <c r="AK191" s="105"/>
      <c r="AL191" s="105"/>
      <c r="AM191" s="105"/>
      <c r="AN191" s="126" t="str">
        <f>IFERROR(_xlfn.XLOOKUP($A191,Input_Raw!$A:$A,Input_Raw!$DB:$DB),"")</f>
        <v/>
      </c>
      <c r="AO191" s="124" t="str">
        <f>IFERROR((_xlfn.XLOOKUP($A191,'WTG Reactive Power'!$A:$A,'WTG Reactive Power'!$AR:$AR))/X191/1000,"")</f>
        <v/>
      </c>
      <c r="AP191" s="124">
        <f>IFERROR(_xlfn.XLOOKUP($D191,'Modelling New'!$D:$D,'Modelling New'!$AK:$AK),"")</f>
        <v>0.05</v>
      </c>
      <c r="AQ191" s="124">
        <f>IFERROR(_xlfn.XLOOKUP($D191,'Modelling New'!$D:$D,'Modelling New'!$AL:$AL),"")</f>
        <v>0.05</v>
      </c>
      <c r="AR191">
        <f>IFERROR(_xlfn.XLOOKUP($D191,'Modelling New'!$D:$D,'Modelling New'!$N:$N),"")</f>
        <v>78</v>
      </c>
    </row>
    <row r="192" spans="1:44">
      <c r="A192" s="118">
        <f t="shared" si="15"/>
        <v>45935</v>
      </c>
      <c r="B192" s="107">
        <f>YEAR(Table13[[#This Row],[Date]])+IF(MONTH(Table13[[#This Row],[Date]])&gt;=4,1,0)</f>
        <v>2026</v>
      </c>
      <c r="C192" s="105">
        <f>YEAR(Table13[[#This Row],[Date]])</f>
        <v>2025</v>
      </c>
      <c r="D192" s="119">
        <f>Table13[[#This Row],[Date]]-DAY(Table13[[#This Row],[Date]])+1</f>
        <v>45931</v>
      </c>
      <c r="E192" s="105">
        <f t="shared" si="16"/>
        <v>31</v>
      </c>
      <c r="F192" s="108"/>
      <c r="G192" s="109"/>
      <c r="H192" s="109"/>
      <c r="I192" s="109"/>
      <c r="J192" s="109"/>
      <c r="K192" s="120"/>
      <c r="L192" s="109"/>
      <c r="M192" s="109" t="str">
        <f>IFERROR(_xlfn.XLOOKUP($A192,Input_Raw!$A:$A,Input_Raw!CG:CG),"")</f>
        <v/>
      </c>
      <c r="N192" s="109" t="str">
        <f>IFERROR(_xlfn.XLOOKUP($A192,Input_Raw!$A:$A,Input_Raw!CH:CH),"")</f>
        <v/>
      </c>
      <c r="O192" s="121" t="str">
        <f t="shared" si="17"/>
        <v/>
      </c>
      <c r="P192" s="121" t="str">
        <f>IFERROR(1-SUMIF(WTG_BD!$F:$F,$A192,WTG_BD!$AA:$AA)/($AA192+SUMIF(WTG_BD!$F:$F,$A192,WTG_BD!$AA:$AA)),"")</f>
        <v/>
      </c>
      <c r="Q192" s="122" t="str">
        <f>IFERROR(1-SUMIF(IGA_BD!$F:$F,$A192,IGA_BD!$V:$V)/($AA192+SUMIF(IGA_BD!$F:$F,$A192,IGA_BD!$V:$V)),"")</f>
        <v/>
      </c>
      <c r="R192" s="127" t="str">
        <f>IFERROR(1-SUMIF(Grid_BD!$F:$F,$A192,Grid_BD!$X:$X)/($AA192+SUMIF(Grid_BD!$F:$F,$A192,Grid_BD!$X:$X)),"")</f>
        <v/>
      </c>
      <c r="S192" s="105"/>
      <c r="T192" s="122"/>
      <c r="U192" s="123"/>
      <c r="V192" s="105"/>
      <c r="W192" s="124" t="str">
        <f>IFERROR(Table13[[#This Row],[Mtr_Net_Exp (KWh)]]/(24*AR192*1000),"")</f>
        <v/>
      </c>
      <c r="X192" s="105" t="str">
        <f>IFERROR(_xlfn.XLOOKUP($A192,Input_Raw!$A:$A,Input_Raw!$CF:$CF),"")</f>
        <v/>
      </c>
      <c r="Y192" s="105" t="str">
        <f>IFERROR(_xlfn.XLOOKUP($A192,Input_Raw!$A:$A,Input_Raw!$CZ:$CZ),"")</f>
        <v/>
      </c>
      <c r="Z192" s="105" t="str">
        <f>IFERROR(_xlfn.XLOOKUP($A192,Input_Raw!$A:$A,Input_Raw!$DA:$DA),"")</f>
        <v/>
      </c>
      <c r="AA192" s="107" t="str">
        <f t="shared" si="18"/>
        <v/>
      </c>
      <c r="AB192" s="105" t="str">
        <f>IFERROR(_xlfn.XLOOKUP($A192,Input_Raw!$A:$A,Input_Raw!$DG:$DG),"")</f>
        <v/>
      </c>
      <c r="AC192" s="125">
        <f>IFERROR(_xlfn.XLOOKUP($D192,'Modelling New'!$D:$D,'Modelling New'!$J:$J),"")</f>
        <v>3.9666666666666668</v>
      </c>
      <c r="AD192" s="107">
        <f>IFERROR(_xlfn.XLOOKUP($D192,'Modelling New'!$D:$D,'Modelling New'!$T:$T)*1000,"")</f>
        <v>164597.86033847061</v>
      </c>
      <c r="AE192" s="124"/>
      <c r="AF192" s="124">
        <f>IFERROR(_xlfn.XLOOKUP($D192,'Modelling New'!$D:$D,'Modelling New'!$W:$W),"")</f>
        <v>8.792620744576421E-2</v>
      </c>
      <c r="AG192" s="124">
        <f>IFERROR(_xlfn.XLOOKUP($D192,'Modelling New'!$D:$D,'Modelling New'!$AE:$AE),"")</f>
        <v>0.96029999999999993</v>
      </c>
      <c r="AH192" s="124">
        <f>IFERROR(_xlfn.XLOOKUP($D192,'Modelling New'!$D:$D,'Modelling New'!$AF:$AF),"")</f>
        <v>0.995</v>
      </c>
      <c r="AI192" s="105" t="str">
        <f>IFERROR(_xlfn.XLOOKUP($A192,Input_Raw!$A:$A,Input_Raw!$DE:$DE),"")</f>
        <v/>
      </c>
      <c r="AJ192" s="105"/>
      <c r="AK192" s="105"/>
      <c r="AL192" s="105"/>
      <c r="AM192" s="105"/>
      <c r="AN192" s="126" t="str">
        <f>IFERROR(_xlfn.XLOOKUP($A192,Input_Raw!$A:$A,Input_Raw!$DB:$DB),"")</f>
        <v/>
      </c>
      <c r="AO192" s="124" t="str">
        <f>IFERROR((_xlfn.XLOOKUP($A192,'WTG Reactive Power'!$A:$A,'WTG Reactive Power'!$AR:$AR))/X192/1000,"")</f>
        <v/>
      </c>
      <c r="AP192" s="124">
        <f>IFERROR(_xlfn.XLOOKUP($D192,'Modelling New'!$D:$D,'Modelling New'!$AK:$AK),"")</f>
        <v>0.05</v>
      </c>
      <c r="AQ192" s="124">
        <f>IFERROR(_xlfn.XLOOKUP($D192,'Modelling New'!$D:$D,'Modelling New'!$AL:$AL),"")</f>
        <v>0.05</v>
      </c>
      <c r="AR192">
        <f>IFERROR(_xlfn.XLOOKUP($D192,'Modelling New'!$D:$D,'Modelling New'!$N:$N),"")</f>
        <v>78</v>
      </c>
    </row>
    <row r="193" spans="1:44">
      <c r="A193" s="118">
        <f t="shared" si="15"/>
        <v>45936</v>
      </c>
      <c r="B193" s="107">
        <f>YEAR(Table13[[#This Row],[Date]])+IF(MONTH(Table13[[#This Row],[Date]])&gt;=4,1,0)</f>
        <v>2026</v>
      </c>
      <c r="C193" s="105">
        <f>YEAR(Table13[[#This Row],[Date]])</f>
        <v>2025</v>
      </c>
      <c r="D193" s="119">
        <f>Table13[[#This Row],[Date]]-DAY(Table13[[#This Row],[Date]])+1</f>
        <v>45931</v>
      </c>
      <c r="E193" s="105">
        <f t="shared" si="16"/>
        <v>31</v>
      </c>
      <c r="F193" s="108"/>
      <c r="G193" s="109"/>
      <c r="H193" s="109"/>
      <c r="I193" s="109"/>
      <c r="J193" s="109"/>
      <c r="K193" s="120"/>
      <c r="L193" s="109"/>
      <c r="M193" s="109" t="str">
        <f>IFERROR(_xlfn.XLOOKUP($A193,Input_Raw!$A:$A,Input_Raw!CG:CG),"")</f>
        <v/>
      </c>
      <c r="N193" s="109" t="str">
        <f>IFERROR(_xlfn.XLOOKUP($A193,Input_Raw!$A:$A,Input_Raw!CH:CH),"")</f>
        <v/>
      </c>
      <c r="O193" s="121" t="str">
        <f t="shared" si="17"/>
        <v/>
      </c>
      <c r="P193" s="121" t="str">
        <f>IFERROR(1-SUMIF(WTG_BD!$F:$F,$A193,WTG_BD!$AA:$AA)/($AA193+SUMIF(WTG_BD!$F:$F,$A193,WTG_BD!$AA:$AA)),"")</f>
        <v/>
      </c>
      <c r="Q193" s="122" t="str">
        <f>IFERROR(1-SUMIF(IGA_BD!$F:$F,$A193,IGA_BD!$V:$V)/($AA193+SUMIF(IGA_BD!$F:$F,$A193,IGA_BD!$V:$V)),"")</f>
        <v/>
      </c>
      <c r="R193" s="127" t="str">
        <f>IFERROR(1-SUMIF(Grid_BD!$F:$F,$A193,Grid_BD!$X:$X)/($AA193+SUMIF(Grid_BD!$F:$F,$A193,Grid_BD!$X:$X)),"")</f>
        <v/>
      </c>
      <c r="S193" s="105"/>
      <c r="T193" s="122"/>
      <c r="U193" s="123"/>
      <c r="V193" s="105"/>
      <c r="W193" s="124" t="str">
        <f>IFERROR(Table13[[#This Row],[Mtr_Net_Exp (KWh)]]/(24*AR193*1000),"")</f>
        <v/>
      </c>
      <c r="X193" s="105" t="str">
        <f>IFERROR(_xlfn.XLOOKUP($A193,Input_Raw!$A:$A,Input_Raw!$CF:$CF),"")</f>
        <v/>
      </c>
      <c r="Y193" s="105" t="str">
        <f>IFERROR(_xlfn.XLOOKUP($A193,Input_Raw!$A:$A,Input_Raw!$CZ:$CZ),"")</f>
        <v/>
      </c>
      <c r="Z193" s="105" t="str">
        <f>IFERROR(_xlfn.XLOOKUP($A193,Input_Raw!$A:$A,Input_Raw!$DA:$DA),"")</f>
        <v/>
      </c>
      <c r="AA193" s="107" t="str">
        <f t="shared" si="18"/>
        <v/>
      </c>
      <c r="AB193" s="105" t="str">
        <f>IFERROR(_xlfn.XLOOKUP($A193,Input_Raw!$A:$A,Input_Raw!$DG:$DG),"")</f>
        <v/>
      </c>
      <c r="AC193" s="125">
        <f>IFERROR(_xlfn.XLOOKUP($D193,'Modelling New'!$D:$D,'Modelling New'!$J:$J),"")</f>
        <v>3.9666666666666668</v>
      </c>
      <c r="AD193" s="107">
        <f>IFERROR(_xlfn.XLOOKUP($D193,'Modelling New'!$D:$D,'Modelling New'!$T:$T)*1000,"")</f>
        <v>164597.86033847061</v>
      </c>
      <c r="AE193" s="124"/>
      <c r="AF193" s="124">
        <f>IFERROR(_xlfn.XLOOKUP($D193,'Modelling New'!$D:$D,'Modelling New'!$W:$W),"")</f>
        <v>8.792620744576421E-2</v>
      </c>
      <c r="AG193" s="124">
        <f>IFERROR(_xlfn.XLOOKUP($D193,'Modelling New'!$D:$D,'Modelling New'!$AE:$AE),"")</f>
        <v>0.96029999999999993</v>
      </c>
      <c r="AH193" s="124">
        <f>IFERROR(_xlfn.XLOOKUP($D193,'Modelling New'!$D:$D,'Modelling New'!$AF:$AF),"")</f>
        <v>0.995</v>
      </c>
      <c r="AI193" s="105" t="str">
        <f>IFERROR(_xlfn.XLOOKUP($A193,Input_Raw!$A:$A,Input_Raw!$DE:$DE),"")</f>
        <v/>
      </c>
      <c r="AJ193" s="105"/>
      <c r="AK193" s="105"/>
      <c r="AL193" s="105"/>
      <c r="AM193" s="105"/>
      <c r="AN193" s="126" t="str">
        <f>IFERROR(_xlfn.XLOOKUP($A193,Input_Raw!$A:$A,Input_Raw!$DB:$DB),"")</f>
        <v/>
      </c>
      <c r="AO193" s="124" t="str">
        <f>IFERROR((_xlfn.XLOOKUP($A193,'WTG Reactive Power'!$A:$A,'WTG Reactive Power'!$AR:$AR))/X193/1000,"")</f>
        <v/>
      </c>
      <c r="AP193" s="124">
        <f>IFERROR(_xlfn.XLOOKUP($D193,'Modelling New'!$D:$D,'Modelling New'!$AK:$AK),"")</f>
        <v>0.05</v>
      </c>
      <c r="AQ193" s="124">
        <f>IFERROR(_xlfn.XLOOKUP($D193,'Modelling New'!$D:$D,'Modelling New'!$AL:$AL),"")</f>
        <v>0.05</v>
      </c>
      <c r="AR193">
        <f>IFERROR(_xlfn.XLOOKUP($D193,'Modelling New'!$D:$D,'Modelling New'!$N:$N),"")</f>
        <v>78</v>
      </c>
    </row>
    <row r="194" spans="1:44">
      <c r="A194" s="118">
        <f t="shared" si="15"/>
        <v>45937</v>
      </c>
      <c r="B194" s="107">
        <f>YEAR(Table13[[#This Row],[Date]])+IF(MONTH(Table13[[#This Row],[Date]])&gt;=4,1,0)</f>
        <v>2026</v>
      </c>
      <c r="C194" s="105">
        <f>YEAR(Table13[[#This Row],[Date]])</f>
        <v>2025</v>
      </c>
      <c r="D194" s="119">
        <f>Table13[[#This Row],[Date]]-DAY(Table13[[#This Row],[Date]])+1</f>
        <v>45931</v>
      </c>
      <c r="E194" s="105">
        <f t="shared" si="16"/>
        <v>31</v>
      </c>
      <c r="F194" s="108"/>
      <c r="G194" s="109"/>
      <c r="H194" s="109"/>
      <c r="I194" s="109"/>
      <c r="J194" s="109"/>
      <c r="K194" s="120"/>
      <c r="L194" s="109"/>
      <c r="M194" s="109" t="str">
        <f>IFERROR(_xlfn.XLOOKUP($A194,Input_Raw!$A:$A,Input_Raw!CG:CG),"")</f>
        <v/>
      </c>
      <c r="N194" s="109" t="str">
        <f>IFERROR(_xlfn.XLOOKUP($A194,Input_Raw!$A:$A,Input_Raw!CH:CH),"")</f>
        <v/>
      </c>
      <c r="O194" s="121" t="str">
        <f t="shared" si="17"/>
        <v/>
      </c>
      <c r="P194" s="121" t="str">
        <f>IFERROR(1-SUMIF(WTG_BD!$F:$F,$A194,WTG_BD!$AA:$AA)/($AA194+SUMIF(WTG_BD!$F:$F,$A194,WTG_BD!$AA:$AA)),"")</f>
        <v/>
      </c>
      <c r="Q194" s="122" t="str">
        <f>IFERROR(1-SUMIF(IGA_BD!$F:$F,$A194,IGA_BD!$V:$V)/($AA194+SUMIF(IGA_BD!$F:$F,$A194,IGA_BD!$V:$V)),"")</f>
        <v/>
      </c>
      <c r="R194" s="127" t="str">
        <f>IFERROR(1-SUMIF(Grid_BD!$F:$F,$A194,Grid_BD!$X:$X)/($AA194+SUMIF(Grid_BD!$F:$F,$A194,Grid_BD!$X:$X)),"")</f>
        <v/>
      </c>
      <c r="S194" s="105"/>
      <c r="T194" s="122"/>
      <c r="U194" s="123"/>
      <c r="V194" s="105"/>
      <c r="W194" s="124" t="str">
        <f>IFERROR(Table13[[#This Row],[Mtr_Net_Exp (KWh)]]/(24*AR194*1000),"")</f>
        <v/>
      </c>
      <c r="X194" s="105" t="str">
        <f>IFERROR(_xlfn.XLOOKUP($A194,Input_Raw!$A:$A,Input_Raw!$CF:$CF),"")</f>
        <v/>
      </c>
      <c r="Y194" s="105" t="str">
        <f>IFERROR(_xlfn.XLOOKUP($A194,Input_Raw!$A:$A,Input_Raw!$CZ:$CZ),"")</f>
        <v/>
      </c>
      <c r="Z194" s="105" t="str">
        <f>IFERROR(_xlfn.XLOOKUP($A194,Input_Raw!$A:$A,Input_Raw!$DA:$DA),"")</f>
        <v/>
      </c>
      <c r="AA194" s="107" t="str">
        <f t="shared" si="18"/>
        <v/>
      </c>
      <c r="AB194" s="105" t="str">
        <f>IFERROR(_xlfn.XLOOKUP($A194,Input_Raw!$A:$A,Input_Raw!$DG:$DG),"")</f>
        <v/>
      </c>
      <c r="AC194" s="125">
        <f>IFERROR(_xlfn.XLOOKUP($D194,'Modelling New'!$D:$D,'Modelling New'!$J:$J),"")</f>
        <v>3.9666666666666668</v>
      </c>
      <c r="AD194" s="107">
        <f>IFERROR(_xlfn.XLOOKUP($D194,'Modelling New'!$D:$D,'Modelling New'!$T:$T)*1000,"")</f>
        <v>164597.86033847061</v>
      </c>
      <c r="AE194" s="124"/>
      <c r="AF194" s="124">
        <f>IFERROR(_xlfn.XLOOKUP($D194,'Modelling New'!$D:$D,'Modelling New'!$W:$W),"")</f>
        <v>8.792620744576421E-2</v>
      </c>
      <c r="AG194" s="124">
        <f>IFERROR(_xlfn.XLOOKUP($D194,'Modelling New'!$D:$D,'Modelling New'!$AE:$AE),"")</f>
        <v>0.96029999999999993</v>
      </c>
      <c r="AH194" s="124">
        <f>IFERROR(_xlfn.XLOOKUP($D194,'Modelling New'!$D:$D,'Modelling New'!$AF:$AF),"")</f>
        <v>0.995</v>
      </c>
      <c r="AI194" s="105" t="str">
        <f>IFERROR(_xlfn.XLOOKUP($A194,Input_Raw!$A:$A,Input_Raw!$DE:$DE),"")</f>
        <v/>
      </c>
      <c r="AJ194" s="105"/>
      <c r="AK194" s="105"/>
      <c r="AL194" s="105"/>
      <c r="AM194" s="105"/>
      <c r="AN194" s="126" t="str">
        <f>IFERROR(_xlfn.XLOOKUP($A194,Input_Raw!$A:$A,Input_Raw!$DB:$DB),"")</f>
        <v/>
      </c>
      <c r="AO194" s="124" t="str">
        <f>IFERROR((_xlfn.XLOOKUP($A194,'WTG Reactive Power'!$A:$A,'WTG Reactive Power'!$AR:$AR))/X194/1000,"")</f>
        <v/>
      </c>
      <c r="AP194" s="124">
        <f>IFERROR(_xlfn.XLOOKUP($D194,'Modelling New'!$D:$D,'Modelling New'!$AK:$AK),"")</f>
        <v>0.05</v>
      </c>
      <c r="AQ194" s="124">
        <f>IFERROR(_xlfn.XLOOKUP($D194,'Modelling New'!$D:$D,'Modelling New'!$AL:$AL),"")</f>
        <v>0.05</v>
      </c>
      <c r="AR194">
        <f>IFERROR(_xlfn.XLOOKUP($D194,'Modelling New'!$D:$D,'Modelling New'!$N:$N),"")</f>
        <v>78</v>
      </c>
    </row>
    <row r="195" spans="1:44">
      <c r="A195" s="118">
        <f t="shared" si="15"/>
        <v>45938</v>
      </c>
      <c r="B195" s="107">
        <f>YEAR(Table13[[#This Row],[Date]])+IF(MONTH(Table13[[#This Row],[Date]])&gt;=4,1,0)</f>
        <v>2026</v>
      </c>
      <c r="C195" s="105">
        <f>YEAR(Table13[[#This Row],[Date]])</f>
        <v>2025</v>
      </c>
      <c r="D195" s="119">
        <f>Table13[[#This Row],[Date]]-DAY(Table13[[#This Row],[Date]])+1</f>
        <v>45931</v>
      </c>
      <c r="E195" s="105">
        <f t="shared" si="16"/>
        <v>31</v>
      </c>
      <c r="F195" s="108"/>
      <c r="G195" s="109"/>
      <c r="H195" s="109"/>
      <c r="I195" s="109"/>
      <c r="J195" s="109"/>
      <c r="K195" s="120"/>
      <c r="L195" s="109"/>
      <c r="M195" s="109" t="str">
        <f>IFERROR(_xlfn.XLOOKUP($A195,Input_Raw!$A:$A,Input_Raw!CG:CG),"")</f>
        <v/>
      </c>
      <c r="N195" s="109" t="str">
        <f>IFERROR(_xlfn.XLOOKUP($A195,Input_Raw!$A:$A,Input_Raw!CH:CH),"")</f>
        <v/>
      </c>
      <c r="O195" s="121" t="str">
        <f t="shared" si="17"/>
        <v/>
      </c>
      <c r="P195" s="121" t="str">
        <f>IFERROR(1-SUMIF(WTG_BD!$F:$F,$A195,WTG_BD!$AA:$AA)/($AA195+SUMIF(WTG_BD!$F:$F,$A195,WTG_BD!$AA:$AA)),"")</f>
        <v/>
      </c>
      <c r="Q195" s="122" t="str">
        <f>IFERROR(1-SUMIF(IGA_BD!$F:$F,$A195,IGA_BD!$V:$V)/($AA195+SUMIF(IGA_BD!$F:$F,$A195,IGA_BD!$V:$V)),"")</f>
        <v/>
      </c>
      <c r="R195" s="127" t="str">
        <f>IFERROR(1-SUMIF(Grid_BD!$F:$F,$A195,Grid_BD!$X:$X)/($AA195+SUMIF(Grid_BD!$F:$F,$A195,Grid_BD!$X:$X)),"")</f>
        <v/>
      </c>
      <c r="S195" s="105"/>
      <c r="T195" s="122"/>
      <c r="U195" s="123"/>
      <c r="V195" s="105"/>
      <c r="W195" s="124" t="str">
        <f>IFERROR(Table13[[#This Row],[Mtr_Net_Exp (KWh)]]/(24*AR195*1000),"")</f>
        <v/>
      </c>
      <c r="X195" s="105" t="str">
        <f>IFERROR(_xlfn.XLOOKUP($A195,Input_Raw!$A:$A,Input_Raw!$CF:$CF),"")</f>
        <v/>
      </c>
      <c r="Y195" s="105" t="str">
        <f>IFERROR(_xlfn.XLOOKUP($A195,Input_Raw!$A:$A,Input_Raw!$CZ:$CZ),"")</f>
        <v/>
      </c>
      <c r="Z195" s="105" t="str">
        <f>IFERROR(_xlfn.XLOOKUP($A195,Input_Raw!$A:$A,Input_Raw!$DA:$DA),"")</f>
        <v/>
      </c>
      <c r="AA195" s="107" t="str">
        <f t="shared" si="18"/>
        <v/>
      </c>
      <c r="AB195" s="105" t="str">
        <f>IFERROR(_xlfn.XLOOKUP($A195,Input_Raw!$A:$A,Input_Raw!$DG:$DG),"")</f>
        <v/>
      </c>
      <c r="AC195" s="125">
        <f>IFERROR(_xlfn.XLOOKUP($D195,'Modelling New'!$D:$D,'Modelling New'!$J:$J),"")</f>
        <v>3.9666666666666668</v>
      </c>
      <c r="AD195" s="107">
        <f>IFERROR(_xlfn.XLOOKUP($D195,'Modelling New'!$D:$D,'Modelling New'!$T:$T)*1000,"")</f>
        <v>164597.86033847061</v>
      </c>
      <c r="AE195" s="124"/>
      <c r="AF195" s="124">
        <f>IFERROR(_xlfn.XLOOKUP($D195,'Modelling New'!$D:$D,'Modelling New'!$W:$W),"")</f>
        <v>8.792620744576421E-2</v>
      </c>
      <c r="AG195" s="124">
        <f>IFERROR(_xlfn.XLOOKUP($D195,'Modelling New'!$D:$D,'Modelling New'!$AE:$AE),"")</f>
        <v>0.96029999999999993</v>
      </c>
      <c r="AH195" s="124">
        <f>IFERROR(_xlfn.XLOOKUP($D195,'Modelling New'!$D:$D,'Modelling New'!$AF:$AF),"")</f>
        <v>0.995</v>
      </c>
      <c r="AI195" s="105" t="str">
        <f>IFERROR(_xlfn.XLOOKUP($A195,Input_Raw!$A:$A,Input_Raw!$DE:$DE),"")</f>
        <v/>
      </c>
      <c r="AJ195" s="105"/>
      <c r="AK195" s="105"/>
      <c r="AL195" s="105"/>
      <c r="AM195" s="105"/>
      <c r="AN195" s="126" t="str">
        <f>IFERROR(_xlfn.XLOOKUP($A195,Input_Raw!$A:$A,Input_Raw!$DB:$DB),"")</f>
        <v/>
      </c>
      <c r="AO195" s="124" t="str">
        <f>IFERROR((_xlfn.XLOOKUP($A195,'WTG Reactive Power'!$A:$A,'WTG Reactive Power'!$AR:$AR))/X195/1000,"")</f>
        <v/>
      </c>
      <c r="AP195" s="124">
        <f>IFERROR(_xlfn.XLOOKUP($D195,'Modelling New'!$D:$D,'Modelling New'!$AK:$AK),"")</f>
        <v>0.05</v>
      </c>
      <c r="AQ195" s="124">
        <f>IFERROR(_xlfn.XLOOKUP($D195,'Modelling New'!$D:$D,'Modelling New'!$AL:$AL),"")</f>
        <v>0.05</v>
      </c>
      <c r="AR195">
        <f>IFERROR(_xlfn.XLOOKUP($D195,'Modelling New'!$D:$D,'Modelling New'!$N:$N),"")</f>
        <v>78</v>
      </c>
    </row>
    <row r="196" spans="1:44">
      <c r="A196" s="118">
        <f t="shared" si="15"/>
        <v>45939</v>
      </c>
      <c r="B196" s="107">
        <f>YEAR(Table13[[#This Row],[Date]])+IF(MONTH(Table13[[#This Row],[Date]])&gt;=4,1,0)</f>
        <v>2026</v>
      </c>
      <c r="C196" s="105">
        <f>YEAR(Table13[[#This Row],[Date]])</f>
        <v>2025</v>
      </c>
      <c r="D196" s="119">
        <f>Table13[[#This Row],[Date]]-DAY(Table13[[#This Row],[Date]])+1</f>
        <v>45931</v>
      </c>
      <c r="E196" s="105">
        <f t="shared" si="16"/>
        <v>31</v>
      </c>
      <c r="F196" s="108"/>
      <c r="G196" s="109"/>
      <c r="H196" s="109"/>
      <c r="I196" s="109"/>
      <c r="J196" s="109"/>
      <c r="K196" s="120"/>
      <c r="L196" s="109"/>
      <c r="M196" s="109" t="str">
        <f>IFERROR(_xlfn.XLOOKUP($A196,Input_Raw!$A:$A,Input_Raw!CG:CG),"")</f>
        <v/>
      </c>
      <c r="N196" s="109" t="str">
        <f>IFERROR(_xlfn.XLOOKUP($A196,Input_Raw!$A:$A,Input_Raw!CH:CH),"")</f>
        <v/>
      </c>
      <c r="O196" s="121" t="str">
        <f t="shared" si="17"/>
        <v/>
      </c>
      <c r="P196" s="121" t="str">
        <f>IFERROR(1-SUMIF(WTG_BD!$F:$F,$A196,WTG_BD!$AA:$AA)/($AA196+SUMIF(WTG_BD!$F:$F,$A196,WTG_BD!$AA:$AA)),"")</f>
        <v/>
      </c>
      <c r="Q196" s="122" t="str">
        <f>IFERROR(1-SUMIF(IGA_BD!$F:$F,$A196,IGA_BD!$V:$V)/($AA196+SUMIF(IGA_BD!$F:$F,$A196,IGA_BD!$V:$V)),"")</f>
        <v/>
      </c>
      <c r="R196" s="127" t="str">
        <f>IFERROR(1-SUMIF(Grid_BD!$F:$F,$A196,Grid_BD!$X:$X)/($AA196+SUMIF(Grid_BD!$F:$F,$A196,Grid_BD!$X:$X)),"")</f>
        <v/>
      </c>
      <c r="S196" s="105"/>
      <c r="T196" s="122"/>
      <c r="U196" s="123"/>
      <c r="V196" s="105"/>
      <c r="W196" s="124" t="str">
        <f>IFERROR(Table13[[#This Row],[Mtr_Net_Exp (KWh)]]/(24*AR196*1000),"")</f>
        <v/>
      </c>
      <c r="X196" s="105" t="str">
        <f>IFERROR(_xlfn.XLOOKUP($A196,Input_Raw!$A:$A,Input_Raw!$CF:$CF),"")</f>
        <v/>
      </c>
      <c r="Y196" s="105" t="str">
        <f>IFERROR(_xlfn.XLOOKUP($A196,Input_Raw!$A:$A,Input_Raw!$CZ:$CZ),"")</f>
        <v/>
      </c>
      <c r="Z196" s="105" t="str">
        <f>IFERROR(_xlfn.XLOOKUP($A196,Input_Raw!$A:$A,Input_Raw!$DA:$DA),"")</f>
        <v/>
      </c>
      <c r="AA196" s="107" t="str">
        <f t="shared" si="18"/>
        <v/>
      </c>
      <c r="AB196" s="105" t="str">
        <f>IFERROR(_xlfn.XLOOKUP($A196,Input_Raw!$A:$A,Input_Raw!$DG:$DG),"")</f>
        <v/>
      </c>
      <c r="AC196" s="125">
        <f>IFERROR(_xlfn.XLOOKUP($D196,'Modelling New'!$D:$D,'Modelling New'!$J:$J),"")</f>
        <v>3.9666666666666668</v>
      </c>
      <c r="AD196" s="107">
        <f>IFERROR(_xlfn.XLOOKUP($D196,'Modelling New'!$D:$D,'Modelling New'!$T:$T)*1000,"")</f>
        <v>164597.86033847061</v>
      </c>
      <c r="AE196" s="124"/>
      <c r="AF196" s="124">
        <f>IFERROR(_xlfn.XLOOKUP($D196,'Modelling New'!$D:$D,'Modelling New'!$W:$W),"")</f>
        <v>8.792620744576421E-2</v>
      </c>
      <c r="AG196" s="124">
        <f>IFERROR(_xlfn.XLOOKUP($D196,'Modelling New'!$D:$D,'Modelling New'!$AE:$AE),"")</f>
        <v>0.96029999999999993</v>
      </c>
      <c r="AH196" s="124">
        <f>IFERROR(_xlfn.XLOOKUP($D196,'Modelling New'!$D:$D,'Modelling New'!$AF:$AF),"")</f>
        <v>0.995</v>
      </c>
      <c r="AI196" s="105" t="str">
        <f>IFERROR(_xlfn.XLOOKUP($A196,Input_Raw!$A:$A,Input_Raw!$DE:$DE),"")</f>
        <v/>
      </c>
      <c r="AJ196" s="105"/>
      <c r="AK196" s="105"/>
      <c r="AL196" s="105"/>
      <c r="AM196" s="105"/>
      <c r="AN196" s="126" t="str">
        <f>IFERROR(_xlfn.XLOOKUP($A196,Input_Raw!$A:$A,Input_Raw!$DB:$DB),"")</f>
        <v/>
      </c>
      <c r="AO196" s="124" t="str">
        <f>IFERROR((_xlfn.XLOOKUP($A196,'WTG Reactive Power'!$A:$A,'WTG Reactive Power'!$AR:$AR))/X196/1000,"")</f>
        <v/>
      </c>
      <c r="AP196" s="124">
        <f>IFERROR(_xlfn.XLOOKUP($D196,'Modelling New'!$D:$D,'Modelling New'!$AK:$AK),"")</f>
        <v>0.05</v>
      </c>
      <c r="AQ196" s="124">
        <f>IFERROR(_xlfn.XLOOKUP($D196,'Modelling New'!$D:$D,'Modelling New'!$AL:$AL),"")</f>
        <v>0.05</v>
      </c>
      <c r="AR196">
        <f>IFERROR(_xlfn.XLOOKUP($D196,'Modelling New'!$D:$D,'Modelling New'!$N:$N),"")</f>
        <v>78</v>
      </c>
    </row>
    <row r="197" spans="1:44">
      <c r="A197" s="118">
        <f t="shared" si="15"/>
        <v>45940</v>
      </c>
      <c r="B197" s="107">
        <f>YEAR(Table13[[#This Row],[Date]])+IF(MONTH(Table13[[#This Row],[Date]])&gt;=4,1,0)</f>
        <v>2026</v>
      </c>
      <c r="C197" s="105">
        <f>YEAR(Table13[[#This Row],[Date]])</f>
        <v>2025</v>
      </c>
      <c r="D197" s="119">
        <f>Table13[[#This Row],[Date]]-DAY(Table13[[#This Row],[Date]])+1</f>
        <v>45931</v>
      </c>
      <c r="E197" s="105">
        <f t="shared" si="16"/>
        <v>31</v>
      </c>
      <c r="F197" s="108"/>
      <c r="G197" s="109"/>
      <c r="H197" s="109"/>
      <c r="I197" s="109"/>
      <c r="J197" s="109"/>
      <c r="K197" s="120"/>
      <c r="L197" s="109"/>
      <c r="M197" s="109" t="str">
        <f>IFERROR(_xlfn.XLOOKUP($A197,Input_Raw!$A:$A,Input_Raw!CG:CG),"")</f>
        <v/>
      </c>
      <c r="N197" s="109" t="str">
        <f>IFERROR(_xlfn.XLOOKUP($A197,Input_Raw!$A:$A,Input_Raw!CH:CH),"")</f>
        <v/>
      </c>
      <c r="O197" s="121" t="str">
        <f t="shared" si="17"/>
        <v/>
      </c>
      <c r="P197" s="121" t="str">
        <f>IFERROR(1-SUMIF(WTG_BD!$F:$F,$A197,WTG_BD!$AA:$AA)/($AA197+SUMIF(WTG_BD!$F:$F,$A197,WTG_BD!$AA:$AA)),"")</f>
        <v/>
      </c>
      <c r="Q197" s="122" t="str">
        <f>IFERROR(1-SUMIF(IGA_BD!$F:$F,$A197,IGA_BD!$V:$V)/($AA197+SUMIF(IGA_BD!$F:$F,$A197,IGA_BD!$V:$V)),"")</f>
        <v/>
      </c>
      <c r="R197" s="127" t="str">
        <f>IFERROR(1-SUMIF(Grid_BD!$F:$F,$A197,Grid_BD!$X:$X)/($AA197+SUMIF(Grid_BD!$F:$F,$A197,Grid_BD!$X:$X)),"")</f>
        <v/>
      </c>
      <c r="S197" s="105"/>
      <c r="T197" s="122"/>
      <c r="U197" s="123"/>
      <c r="V197" s="105"/>
      <c r="W197" s="124" t="str">
        <f>IFERROR(Table13[[#This Row],[Mtr_Net_Exp (KWh)]]/(24*AR197*1000),"")</f>
        <v/>
      </c>
      <c r="X197" s="105" t="str">
        <f>IFERROR(_xlfn.XLOOKUP($A197,Input_Raw!$A:$A,Input_Raw!$CF:$CF),"")</f>
        <v/>
      </c>
      <c r="Y197" s="105" t="str">
        <f>IFERROR(_xlfn.XLOOKUP($A197,Input_Raw!$A:$A,Input_Raw!$CZ:$CZ),"")</f>
        <v/>
      </c>
      <c r="Z197" s="105" t="str">
        <f>IFERROR(_xlfn.XLOOKUP($A197,Input_Raw!$A:$A,Input_Raw!$DA:$DA),"")</f>
        <v/>
      </c>
      <c r="AA197" s="107" t="str">
        <f t="shared" si="18"/>
        <v/>
      </c>
      <c r="AB197" s="105" t="str">
        <f>IFERROR(_xlfn.XLOOKUP($A197,Input_Raw!$A:$A,Input_Raw!$DG:$DG),"")</f>
        <v/>
      </c>
      <c r="AC197" s="125">
        <f>IFERROR(_xlfn.XLOOKUP($D197,'Modelling New'!$D:$D,'Modelling New'!$J:$J),"")</f>
        <v>3.9666666666666668</v>
      </c>
      <c r="AD197" s="107">
        <f>IFERROR(_xlfn.XLOOKUP($D197,'Modelling New'!$D:$D,'Modelling New'!$T:$T)*1000,"")</f>
        <v>164597.86033847061</v>
      </c>
      <c r="AE197" s="124"/>
      <c r="AF197" s="124">
        <f>IFERROR(_xlfn.XLOOKUP($D197,'Modelling New'!$D:$D,'Modelling New'!$W:$W),"")</f>
        <v>8.792620744576421E-2</v>
      </c>
      <c r="AG197" s="124">
        <f>IFERROR(_xlfn.XLOOKUP($D197,'Modelling New'!$D:$D,'Modelling New'!$AE:$AE),"")</f>
        <v>0.96029999999999993</v>
      </c>
      <c r="AH197" s="124">
        <f>IFERROR(_xlfn.XLOOKUP($D197,'Modelling New'!$D:$D,'Modelling New'!$AF:$AF),"")</f>
        <v>0.995</v>
      </c>
      <c r="AI197" s="105" t="str">
        <f>IFERROR(_xlfn.XLOOKUP($A197,Input_Raw!$A:$A,Input_Raw!$DE:$DE),"")</f>
        <v/>
      </c>
      <c r="AJ197" s="105"/>
      <c r="AK197" s="105"/>
      <c r="AL197" s="105"/>
      <c r="AM197" s="105"/>
      <c r="AN197" s="126" t="str">
        <f>IFERROR(_xlfn.XLOOKUP($A197,Input_Raw!$A:$A,Input_Raw!$DB:$DB),"")</f>
        <v/>
      </c>
      <c r="AO197" s="124" t="str">
        <f>IFERROR((_xlfn.XLOOKUP($A197,'WTG Reactive Power'!$A:$A,'WTG Reactive Power'!$AR:$AR))/X197/1000,"")</f>
        <v/>
      </c>
      <c r="AP197" s="124">
        <f>IFERROR(_xlfn.XLOOKUP($D197,'Modelling New'!$D:$D,'Modelling New'!$AK:$AK),"")</f>
        <v>0.05</v>
      </c>
      <c r="AQ197" s="124">
        <f>IFERROR(_xlfn.XLOOKUP($D197,'Modelling New'!$D:$D,'Modelling New'!$AL:$AL),"")</f>
        <v>0.05</v>
      </c>
      <c r="AR197">
        <f>IFERROR(_xlfn.XLOOKUP($D197,'Modelling New'!$D:$D,'Modelling New'!$N:$N),"")</f>
        <v>78</v>
      </c>
    </row>
    <row r="198" spans="1:44">
      <c r="A198" s="118">
        <f t="shared" si="15"/>
        <v>45941</v>
      </c>
      <c r="B198" s="107">
        <f>YEAR(Table13[[#This Row],[Date]])+IF(MONTH(Table13[[#This Row],[Date]])&gt;=4,1,0)</f>
        <v>2026</v>
      </c>
      <c r="C198" s="105">
        <f>YEAR(Table13[[#This Row],[Date]])</f>
        <v>2025</v>
      </c>
      <c r="D198" s="119">
        <f>Table13[[#This Row],[Date]]-DAY(Table13[[#This Row],[Date]])+1</f>
        <v>45931</v>
      </c>
      <c r="E198" s="105">
        <f t="shared" si="16"/>
        <v>31</v>
      </c>
      <c r="F198" s="108"/>
      <c r="G198" s="109"/>
      <c r="H198" s="109"/>
      <c r="I198" s="109"/>
      <c r="J198" s="109"/>
      <c r="K198" s="120"/>
      <c r="L198" s="109"/>
      <c r="M198" s="109" t="str">
        <f>IFERROR(_xlfn.XLOOKUP($A198,Input_Raw!$A:$A,Input_Raw!CG:CG),"")</f>
        <v/>
      </c>
      <c r="N198" s="109" t="str">
        <f>IFERROR(_xlfn.XLOOKUP($A198,Input_Raw!$A:$A,Input_Raw!CH:CH),"")</f>
        <v/>
      </c>
      <c r="O198" s="121" t="str">
        <f t="shared" si="17"/>
        <v/>
      </c>
      <c r="P198" s="121" t="str">
        <f>IFERROR(1-SUMIF(WTG_BD!$F:$F,$A198,WTG_BD!$AA:$AA)/($AA198+SUMIF(WTG_BD!$F:$F,$A198,WTG_BD!$AA:$AA)),"")</f>
        <v/>
      </c>
      <c r="Q198" s="122" t="str">
        <f>IFERROR(1-SUMIF(IGA_BD!$F:$F,$A198,IGA_BD!$V:$V)/($AA198+SUMIF(IGA_BD!$F:$F,$A198,IGA_BD!$V:$V)),"")</f>
        <v/>
      </c>
      <c r="R198" s="127" t="str">
        <f>IFERROR(1-SUMIF(Grid_BD!$F:$F,$A198,Grid_BD!$X:$X)/($AA198+SUMIF(Grid_BD!$F:$F,$A198,Grid_BD!$X:$X)),"")</f>
        <v/>
      </c>
      <c r="S198" s="105"/>
      <c r="T198" s="122"/>
      <c r="U198" s="123"/>
      <c r="V198" s="105"/>
      <c r="W198" s="124" t="str">
        <f>IFERROR(Table13[[#This Row],[Mtr_Net_Exp (KWh)]]/(24*AR198*1000),"")</f>
        <v/>
      </c>
      <c r="X198" s="105" t="str">
        <f>IFERROR(_xlfn.XLOOKUP($A198,Input_Raw!$A:$A,Input_Raw!$CF:$CF),"")</f>
        <v/>
      </c>
      <c r="Y198" s="105" t="str">
        <f>IFERROR(_xlfn.XLOOKUP($A198,Input_Raw!$A:$A,Input_Raw!$CZ:$CZ),"")</f>
        <v/>
      </c>
      <c r="Z198" s="105" t="str">
        <f>IFERROR(_xlfn.XLOOKUP($A198,Input_Raw!$A:$A,Input_Raw!$DA:$DA),"")</f>
        <v/>
      </c>
      <c r="AA198" s="107" t="str">
        <f t="shared" si="18"/>
        <v/>
      </c>
      <c r="AB198" s="105" t="str">
        <f>IFERROR(_xlfn.XLOOKUP($A198,Input_Raw!$A:$A,Input_Raw!$DG:$DG),"")</f>
        <v/>
      </c>
      <c r="AC198" s="125">
        <f>IFERROR(_xlfn.XLOOKUP($D198,'Modelling New'!$D:$D,'Modelling New'!$J:$J),"")</f>
        <v>3.9666666666666668</v>
      </c>
      <c r="AD198" s="107">
        <f>IFERROR(_xlfn.XLOOKUP($D198,'Modelling New'!$D:$D,'Modelling New'!$T:$T)*1000,"")</f>
        <v>164597.86033847061</v>
      </c>
      <c r="AE198" s="124"/>
      <c r="AF198" s="124">
        <f>IFERROR(_xlfn.XLOOKUP($D198,'Modelling New'!$D:$D,'Modelling New'!$W:$W),"")</f>
        <v>8.792620744576421E-2</v>
      </c>
      <c r="AG198" s="124">
        <f>IFERROR(_xlfn.XLOOKUP($D198,'Modelling New'!$D:$D,'Modelling New'!$AE:$AE),"")</f>
        <v>0.96029999999999993</v>
      </c>
      <c r="AH198" s="124">
        <f>IFERROR(_xlfn.XLOOKUP($D198,'Modelling New'!$D:$D,'Modelling New'!$AF:$AF),"")</f>
        <v>0.995</v>
      </c>
      <c r="AI198" s="105" t="str">
        <f>IFERROR(_xlfn.XLOOKUP($A198,Input_Raw!$A:$A,Input_Raw!$DE:$DE),"")</f>
        <v/>
      </c>
      <c r="AJ198" s="105"/>
      <c r="AK198" s="105"/>
      <c r="AL198" s="105"/>
      <c r="AM198" s="105"/>
      <c r="AN198" s="126" t="str">
        <f>IFERROR(_xlfn.XLOOKUP($A198,Input_Raw!$A:$A,Input_Raw!$DB:$DB),"")</f>
        <v/>
      </c>
      <c r="AO198" s="124" t="str">
        <f>IFERROR((_xlfn.XLOOKUP($A198,'WTG Reactive Power'!$A:$A,'WTG Reactive Power'!$AR:$AR))/X198/1000,"")</f>
        <v/>
      </c>
      <c r="AP198" s="124">
        <f>IFERROR(_xlfn.XLOOKUP($D198,'Modelling New'!$D:$D,'Modelling New'!$AK:$AK),"")</f>
        <v>0.05</v>
      </c>
      <c r="AQ198" s="124">
        <f>IFERROR(_xlfn.XLOOKUP($D198,'Modelling New'!$D:$D,'Modelling New'!$AL:$AL),"")</f>
        <v>0.05</v>
      </c>
      <c r="AR198">
        <f>IFERROR(_xlfn.XLOOKUP($D198,'Modelling New'!$D:$D,'Modelling New'!$N:$N),"")</f>
        <v>78</v>
      </c>
    </row>
    <row r="199" spans="1:44">
      <c r="A199" s="118">
        <f t="shared" si="15"/>
        <v>45942</v>
      </c>
      <c r="B199" s="107">
        <f>YEAR(Table13[[#This Row],[Date]])+IF(MONTH(Table13[[#This Row],[Date]])&gt;=4,1,0)</f>
        <v>2026</v>
      </c>
      <c r="C199" s="105">
        <f>YEAR(Table13[[#This Row],[Date]])</f>
        <v>2025</v>
      </c>
      <c r="D199" s="119">
        <f>Table13[[#This Row],[Date]]-DAY(Table13[[#This Row],[Date]])+1</f>
        <v>45931</v>
      </c>
      <c r="E199" s="105">
        <f t="shared" si="16"/>
        <v>31</v>
      </c>
      <c r="F199" s="108"/>
      <c r="G199" s="109"/>
      <c r="H199" s="109"/>
      <c r="I199" s="109"/>
      <c r="J199" s="109"/>
      <c r="K199" s="120"/>
      <c r="L199" s="109"/>
      <c r="M199" s="109" t="str">
        <f>IFERROR(_xlfn.XLOOKUP($A199,Input_Raw!$A:$A,Input_Raw!CG:CG),"")</f>
        <v/>
      </c>
      <c r="N199" s="109" t="str">
        <f>IFERROR(_xlfn.XLOOKUP($A199,Input_Raw!$A:$A,Input_Raw!CH:CH),"")</f>
        <v/>
      </c>
      <c r="O199" s="121" t="str">
        <f t="shared" si="17"/>
        <v/>
      </c>
      <c r="P199" s="121" t="str">
        <f>IFERROR(1-SUMIF(WTG_BD!$F:$F,$A199,WTG_BD!$AA:$AA)/($AA199+SUMIF(WTG_BD!$F:$F,$A199,WTG_BD!$AA:$AA)),"")</f>
        <v/>
      </c>
      <c r="Q199" s="122" t="str">
        <f>IFERROR(1-SUMIF(IGA_BD!$F:$F,$A199,IGA_BD!$V:$V)/($AA199+SUMIF(IGA_BD!$F:$F,$A199,IGA_BD!$V:$V)),"")</f>
        <v/>
      </c>
      <c r="R199" s="127" t="str">
        <f>IFERROR(1-SUMIF(Grid_BD!$F:$F,$A199,Grid_BD!$X:$X)/($AA199+SUMIF(Grid_BD!$F:$F,$A199,Grid_BD!$X:$X)),"")</f>
        <v/>
      </c>
      <c r="S199" s="105"/>
      <c r="T199" s="122"/>
      <c r="U199" s="123"/>
      <c r="V199" s="105"/>
      <c r="W199" s="124" t="str">
        <f>IFERROR(Table13[[#This Row],[Mtr_Net_Exp (KWh)]]/(24*AR199*1000),"")</f>
        <v/>
      </c>
      <c r="X199" s="105" t="str">
        <f>IFERROR(_xlfn.XLOOKUP($A199,Input_Raw!$A:$A,Input_Raw!$CF:$CF),"")</f>
        <v/>
      </c>
      <c r="Y199" s="105" t="str">
        <f>IFERROR(_xlfn.XLOOKUP($A199,Input_Raw!$A:$A,Input_Raw!$CZ:$CZ),"")</f>
        <v/>
      </c>
      <c r="Z199" s="105" t="str">
        <f>IFERROR(_xlfn.XLOOKUP($A199,Input_Raw!$A:$A,Input_Raw!$DA:$DA),"")</f>
        <v/>
      </c>
      <c r="AA199" s="107" t="str">
        <f t="shared" si="18"/>
        <v/>
      </c>
      <c r="AB199" s="105" t="str">
        <f>IFERROR(_xlfn.XLOOKUP($A199,Input_Raw!$A:$A,Input_Raw!$DG:$DG),"")</f>
        <v/>
      </c>
      <c r="AC199" s="125">
        <f>IFERROR(_xlfn.XLOOKUP($D199,'Modelling New'!$D:$D,'Modelling New'!$J:$J),"")</f>
        <v>3.9666666666666668</v>
      </c>
      <c r="AD199" s="107">
        <f>IFERROR(_xlfn.XLOOKUP($D199,'Modelling New'!$D:$D,'Modelling New'!$T:$T)*1000,"")</f>
        <v>164597.86033847061</v>
      </c>
      <c r="AE199" s="124"/>
      <c r="AF199" s="124">
        <f>IFERROR(_xlfn.XLOOKUP($D199,'Modelling New'!$D:$D,'Modelling New'!$W:$W),"")</f>
        <v>8.792620744576421E-2</v>
      </c>
      <c r="AG199" s="124">
        <f>IFERROR(_xlfn.XLOOKUP($D199,'Modelling New'!$D:$D,'Modelling New'!$AE:$AE),"")</f>
        <v>0.96029999999999993</v>
      </c>
      <c r="AH199" s="124">
        <f>IFERROR(_xlfn.XLOOKUP($D199,'Modelling New'!$D:$D,'Modelling New'!$AF:$AF),"")</f>
        <v>0.995</v>
      </c>
      <c r="AI199" s="105" t="str">
        <f>IFERROR(_xlfn.XLOOKUP($A199,Input_Raw!$A:$A,Input_Raw!$DE:$DE),"")</f>
        <v/>
      </c>
      <c r="AJ199" s="105"/>
      <c r="AK199" s="105"/>
      <c r="AL199" s="105"/>
      <c r="AM199" s="105"/>
      <c r="AN199" s="126" t="str">
        <f>IFERROR(_xlfn.XLOOKUP($A199,Input_Raw!$A:$A,Input_Raw!$DB:$DB),"")</f>
        <v/>
      </c>
      <c r="AO199" s="124" t="str">
        <f>IFERROR((_xlfn.XLOOKUP($A199,'WTG Reactive Power'!$A:$A,'WTG Reactive Power'!$AR:$AR))/X199/1000,"")</f>
        <v/>
      </c>
      <c r="AP199" s="124">
        <f>IFERROR(_xlfn.XLOOKUP($D199,'Modelling New'!$D:$D,'Modelling New'!$AK:$AK),"")</f>
        <v>0.05</v>
      </c>
      <c r="AQ199" s="124">
        <f>IFERROR(_xlfn.XLOOKUP($D199,'Modelling New'!$D:$D,'Modelling New'!$AL:$AL),"")</f>
        <v>0.05</v>
      </c>
      <c r="AR199">
        <f>IFERROR(_xlfn.XLOOKUP($D199,'Modelling New'!$D:$D,'Modelling New'!$N:$N),"")</f>
        <v>78</v>
      </c>
    </row>
    <row r="200" spans="1:44">
      <c r="A200" s="118">
        <f t="shared" si="15"/>
        <v>45943</v>
      </c>
      <c r="B200" s="107">
        <f>YEAR(Table13[[#This Row],[Date]])+IF(MONTH(Table13[[#This Row],[Date]])&gt;=4,1,0)</f>
        <v>2026</v>
      </c>
      <c r="C200" s="105">
        <f>YEAR(Table13[[#This Row],[Date]])</f>
        <v>2025</v>
      </c>
      <c r="D200" s="119">
        <f>Table13[[#This Row],[Date]]-DAY(Table13[[#This Row],[Date]])+1</f>
        <v>45931</v>
      </c>
      <c r="E200" s="105">
        <f t="shared" si="16"/>
        <v>31</v>
      </c>
      <c r="F200" s="108"/>
      <c r="G200" s="109"/>
      <c r="H200" s="109"/>
      <c r="I200" s="109"/>
      <c r="J200" s="109"/>
      <c r="K200" s="120"/>
      <c r="L200" s="109"/>
      <c r="M200" s="109" t="str">
        <f>IFERROR(_xlfn.XLOOKUP($A200,Input_Raw!$A:$A,Input_Raw!CG:CG),"")</f>
        <v/>
      </c>
      <c r="N200" s="109" t="str">
        <f>IFERROR(_xlfn.XLOOKUP($A200,Input_Raw!$A:$A,Input_Raw!CH:CH),"")</f>
        <v/>
      </c>
      <c r="O200" s="121" t="str">
        <f t="shared" si="17"/>
        <v/>
      </c>
      <c r="P200" s="121" t="str">
        <f>IFERROR(1-SUMIF(WTG_BD!$F:$F,$A200,WTG_BD!$AA:$AA)/($AA200+SUMIF(WTG_BD!$F:$F,$A200,WTG_BD!$AA:$AA)),"")</f>
        <v/>
      </c>
      <c r="Q200" s="122" t="str">
        <f>IFERROR(1-SUMIF(IGA_BD!$F:$F,$A200,IGA_BD!$V:$V)/($AA200+SUMIF(IGA_BD!$F:$F,$A200,IGA_BD!$V:$V)),"")</f>
        <v/>
      </c>
      <c r="R200" s="127" t="str">
        <f>IFERROR(1-SUMIF(Grid_BD!$F:$F,$A200,Grid_BD!$X:$X)/($AA200+SUMIF(Grid_BD!$F:$F,$A200,Grid_BD!$X:$X)),"")</f>
        <v/>
      </c>
      <c r="S200" s="105"/>
      <c r="T200" s="122"/>
      <c r="U200" s="123"/>
      <c r="V200" s="105"/>
      <c r="W200" s="124" t="str">
        <f>IFERROR(Table13[[#This Row],[Mtr_Net_Exp (KWh)]]/(24*AR200*1000),"")</f>
        <v/>
      </c>
      <c r="X200" s="105" t="str">
        <f>IFERROR(_xlfn.XLOOKUP($A200,Input_Raw!$A:$A,Input_Raw!$CF:$CF),"")</f>
        <v/>
      </c>
      <c r="Y200" s="105" t="str">
        <f>IFERROR(_xlfn.XLOOKUP($A200,Input_Raw!$A:$A,Input_Raw!$CZ:$CZ),"")</f>
        <v/>
      </c>
      <c r="Z200" s="105" t="str">
        <f>IFERROR(_xlfn.XLOOKUP($A200,Input_Raw!$A:$A,Input_Raw!$DA:$DA),"")</f>
        <v/>
      </c>
      <c r="AA200" s="107" t="str">
        <f t="shared" si="18"/>
        <v/>
      </c>
      <c r="AB200" s="105" t="str">
        <f>IFERROR(_xlfn.XLOOKUP($A200,Input_Raw!$A:$A,Input_Raw!$DG:$DG),"")</f>
        <v/>
      </c>
      <c r="AC200" s="125">
        <f>IFERROR(_xlfn.XLOOKUP($D200,'Modelling New'!$D:$D,'Modelling New'!$J:$J),"")</f>
        <v>3.9666666666666668</v>
      </c>
      <c r="AD200" s="107">
        <f>IFERROR(_xlfn.XLOOKUP($D200,'Modelling New'!$D:$D,'Modelling New'!$T:$T)*1000,"")</f>
        <v>164597.86033847061</v>
      </c>
      <c r="AE200" s="124"/>
      <c r="AF200" s="124">
        <f>IFERROR(_xlfn.XLOOKUP($D200,'Modelling New'!$D:$D,'Modelling New'!$W:$W),"")</f>
        <v>8.792620744576421E-2</v>
      </c>
      <c r="AG200" s="124">
        <f>IFERROR(_xlfn.XLOOKUP($D200,'Modelling New'!$D:$D,'Modelling New'!$AE:$AE),"")</f>
        <v>0.96029999999999993</v>
      </c>
      <c r="AH200" s="124">
        <f>IFERROR(_xlfn.XLOOKUP($D200,'Modelling New'!$D:$D,'Modelling New'!$AF:$AF),"")</f>
        <v>0.995</v>
      </c>
      <c r="AI200" s="105" t="str">
        <f>IFERROR(_xlfn.XLOOKUP($A200,Input_Raw!$A:$A,Input_Raw!$DE:$DE),"")</f>
        <v/>
      </c>
      <c r="AJ200" s="105"/>
      <c r="AK200" s="105"/>
      <c r="AL200" s="105"/>
      <c r="AM200" s="105"/>
      <c r="AN200" s="126" t="str">
        <f>IFERROR(_xlfn.XLOOKUP($A200,Input_Raw!$A:$A,Input_Raw!$DB:$DB),"")</f>
        <v/>
      </c>
      <c r="AO200" s="124" t="str">
        <f>IFERROR((_xlfn.XLOOKUP($A200,'WTG Reactive Power'!$A:$A,'WTG Reactive Power'!$AR:$AR))/X200/1000,"")</f>
        <v/>
      </c>
      <c r="AP200" s="124">
        <f>IFERROR(_xlfn.XLOOKUP($D200,'Modelling New'!$D:$D,'Modelling New'!$AK:$AK),"")</f>
        <v>0.05</v>
      </c>
      <c r="AQ200" s="124">
        <f>IFERROR(_xlfn.XLOOKUP($D200,'Modelling New'!$D:$D,'Modelling New'!$AL:$AL),"")</f>
        <v>0.05</v>
      </c>
      <c r="AR200">
        <f>IFERROR(_xlfn.XLOOKUP($D200,'Modelling New'!$D:$D,'Modelling New'!$N:$N),"")</f>
        <v>78</v>
      </c>
    </row>
    <row r="201" spans="1:44">
      <c r="A201" s="118">
        <f t="shared" si="15"/>
        <v>45944</v>
      </c>
      <c r="B201" s="107">
        <f>YEAR(Table13[[#This Row],[Date]])+IF(MONTH(Table13[[#This Row],[Date]])&gt;=4,1,0)</f>
        <v>2026</v>
      </c>
      <c r="C201" s="105">
        <f>YEAR(Table13[[#This Row],[Date]])</f>
        <v>2025</v>
      </c>
      <c r="D201" s="119">
        <f>Table13[[#This Row],[Date]]-DAY(Table13[[#This Row],[Date]])+1</f>
        <v>45931</v>
      </c>
      <c r="E201" s="105">
        <f t="shared" si="16"/>
        <v>31</v>
      </c>
      <c r="F201" s="108"/>
      <c r="G201" s="109"/>
      <c r="H201" s="109"/>
      <c r="I201" s="109"/>
      <c r="J201" s="109"/>
      <c r="K201" s="120"/>
      <c r="L201" s="109"/>
      <c r="M201" s="109" t="str">
        <f>IFERROR(_xlfn.XLOOKUP($A201,Input_Raw!$A:$A,Input_Raw!CG:CG),"")</f>
        <v/>
      </c>
      <c r="N201" s="109" t="str">
        <f>IFERROR(_xlfn.XLOOKUP($A201,Input_Raw!$A:$A,Input_Raw!CH:CH),"")</f>
        <v/>
      </c>
      <c r="O201" s="121" t="str">
        <f t="shared" si="17"/>
        <v/>
      </c>
      <c r="P201" s="121" t="str">
        <f>IFERROR(1-SUMIF(WTG_BD!$F:$F,$A201,WTG_BD!$AA:$AA)/($AA201+SUMIF(WTG_BD!$F:$F,$A201,WTG_BD!$AA:$AA)),"")</f>
        <v/>
      </c>
      <c r="Q201" s="122" t="str">
        <f>IFERROR(1-SUMIF(IGA_BD!$F:$F,$A201,IGA_BD!$V:$V)/($AA201+SUMIF(IGA_BD!$F:$F,$A201,IGA_BD!$V:$V)),"")</f>
        <v/>
      </c>
      <c r="R201" s="127" t="str">
        <f>IFERROR(1-SUMIF(Grid_BD!$F:$F,$A201,Grid_BD!$X:$X)/($AA201+SUMIF(Grid_BD!$F:$F,$A201,Grid_BD!$X:$X)),"")</f>
        <v/>
      </c>
      <c r="S201" s="105"/>
      <c r="T201" s="122"/>
      <c r="U201" s="123"/>
      <c r="V201" s="105"/>
      <c r="W201" s="124" t="str">
        <f>IFERROR(Table13[[#This Row],[Mtr_Net_Exp (KWh)]]/(24*AR201*1000),"")</f>
        <v/>
      </c>
      <c r="X201" s="105" t="str">
        <f>IFERROR(_xlfn.XLOOKUP($A201,Input_Raw!$A:$A,Input_Raw!$CF:$CF),"")</f>
        <v/>
      </c>
      <c r="Y201" s="105" t="str">
        <f>IFERROR(_xlfn.XLOOKUP($A201,Input_Raw!$A:$A,Input_Raw!$CZ:$CZ),"")</f>
        <v/>
      </c>
      <c r="Z201" s="105" t="str">
        <f>IFERROR(_xlfn.XLOOKUP($A201,Input_Raw!$A:$A,Input_Raw!$DA:$DA),"")</f>
        <v/>
      </c>
      <c r="AA201" s="107" t="str">
        <f t="shared" si="18"/>
        <v/>
      </c>
      <c r="AB201" s="105" t="str">
        <f>IFERROR(_xlfn.XLOOKUP($A201,Input_Raw!$A:$A,Input_Raw!$DG:$DG),"")</f>
        <v/>
      </c>
      <c r="AC201" s="125">
        <f>IFERROR(_xlfn.XLOOKUP($D201,'Modelling New'!$D:$D,'Modelling New'!$J:$J),"")</f>
        <v>3.9666666666666668</v>
      </c>
      <c r="AD201" s="107">
        <f>IFERROR(_xlfn.XLOOKUP($D201,'Modelling New'!$D:$D,'Modelling New'!$T:$T)*1000,"")</f>
        <v>164597.86033847061</v>
      </c>
      <c r="AE201" s="124"/>
      <c r="AF201" s="124">
        <f>IFERROR(_xlfn.XLOOKUP($D201,'Modelling New'!$D:$D,'Modelling New'!$W:$W),"")</f>
        <v>8.792620744576421E-2</v>
      </c>
      <c r="AG201" s="124">
        <f>IFERROR(_xlfn.XLOOKUP($D201,'Modelling New'!$D:$D,'Modelling New'!$AE:$AE),"")</f>
        <v>0.96029999999999993</v>
      </c>
      <c r="AH201" s="124">
        <f>IFERROR(_xlfn.XLOOKUP($D201,'Modelling New'!$D:$D,'Modelling New'!$AF:$AF),"")</f>
        <v>0.995</v>
      </c>
      <c r="AI201" s="105" t="str">
        <f>IFERROR(_xlfn.XLOOKUP($A201,Input_Raw!$A:$A,Input_Raw!$DE:$DE),"")</f>
        <v/>
      </c>
      <c r="AJ201" s="105"/>
      <c r="AK201" s="105"/>
      <c r="AL201" s="105"/>
      <c r="AM201" s="105"/>
      <c r="AN201" s="126" t="str">
        <f>IFERROR(_xlfn.XLOOKUP($A201,Input_Raw!$A:$A,Input_Raw!$DB:$DB),"")</f>
        <v/>
      </c>
      <c r="AO201" s="124" t="str">
        <f>IFERROR((_xlfn.XLOOKUP($A201,'WTG Reactive Power'!$A:$A,'WTG Reactive Power'!$AR:$AR))/X201/1000,"")</f>
        <v/>
      </c>
      <c r="AP201" s="124">
        <f>IFERROR(_xlfn.XLOOKUP($D201,'Modelling New'!$D:$D,'Modelling New'!$AK:$AK),"")</f>
        <v>0.05</v>
      </c>
      <c r="AQ201" s="124">
        <f>IFERROR(_xlfn.XLOOKUP($D201,'Modelling New'!$D:$D,'Modelling New'!$AL:$AL),"")</f>
        <v>0.05</v>
      </c>
      <c r="AR201">
        <f>IFERROR(_xlfn.XLOOKUP($D201,'Modelling New'!$D:$D,'Modelling New'!$N:$N),"")</f>
        <v>78</v>
      </c>
    </row>
    <row r="202" spans="1:44">
      <c r="A202" s="118">
        <f t="shared" si="15"/>
        <v>45945</v>
      </c>
      <c r="B202" s="107">
        <f>YEAR(Table13[[#This Row],[Date]])+IF(MONTH(Table13[[#This Row],[Date]])&gt;=4,1,0)</f>
        <v>2026</v>
      </c>
      <c r="C202" s="105">
        <f>YEAR(Table13[[#This Row],[Date]])</f>
        <v>2025</v>
      </c>
      <c r="D202" s="119">
        <f>Table13[[#This Row],[Date]]-DAY(Table13[[#This Row],[Date]])+1</f>
        <v>45931</v>
      </c>
      <c r="E202" s="105">
        <f t="shared" si="16"/>
        <v>31</v>
      </c>
      <c r="F202" s="108"/>
      <c r="G202" s="109"/>
      <c r="H202" s="109"/>
      <c r="I202" s="109"/>
      <c r="J202" s="109"/>
      <c r="K202" s="120"/>
      <c r="L202" s="109"/>
      <c r="M202" s="109" t="str">
        <f>IFERROR(_xlfn.XLOOKUP($A202,Input_Raw!$A:$A,Input_Raw!CG:CG),"")</f>
        <v/>
      </c>
      <c r="N202" s="109" t="str">
        <f>IFERROR(_xlfn.XLOOKUP($A202,Input_Raw!$A:$A,Input_Raw!CH:CH),"")</f>
        <v/>
      </c>
      <c r="O202" s="121" t="str">
        <f t="shared" si="17"/>
        <v/>
      </c>
      <c r="P202" s="121" t="str">
        <f>IFERROR(1-SUMIF(WTG_BD!$F:$F,$A202,WTG_BD!$AA:$AA)/($AA202+SUMIF(WTG_BD!$F:$F,$A202,WTG_BD!$AA:$AA)),"")</f>
        <v/>
      </c>
      <c r="Q202" s="122" t="str">
        <f>IFERROR(1-SUMIF(IGA_BD!$F:$F,$A202,IGA_BD!$V:$V)/($AA202+SUMIF(IGA_BD!$F:$F,$A202,IGA_BD!$V:$V)),"")</f>
        <v/>
      </c>
      <c r="R202" s="127" t="str">
        <f>IFERROR(1-SUMIF(Grid_BD!$F:$F,$A202,Grid_BD!$X:$X)/($AA202+SUMIF(Grid_BD!$F:$F,$A202,Grid_BD!$X:$X)),"")</f>
        <v/>
      </c>
      <c r="S202" s="105"/>
      <c r="T202" s="122"/>
      <c r="U202" s="123"/>
      <c r="V202" s="105"/>
      <c r="W202" s="124" t="str">
        <f>IFERROR(Table13[[#This Row],[Mtr_Net_Exp (KWh)]]/(24*AR202*1000),"")</f>
        <v/>
      </c>
      <c r="X202" s="105" t="str">
        <f>IFERROR(_xlfn.XLOOKUP($A202,Input_Raw!$A:$A,Input_Raw!$CF:$CF),"")</f>
        <v/>
      </c>
      <c r="Y202" s="105" t="str">
        <f>IFERROR(_xlfn.XLOOKUP($A202,Input_Raw!$A:$A,Input_Raw!$CZ:$CZ),"")</f>
        <v/>
      </c>
      <c r="Z202" s="105" t="str">
        <f>IFERROR(_xlfn.XLOOKUP($A202,Input_Raw!$A:$A,Input_Raw!$DA:$DA),"")</f>
        <v/>
      </c>
      <c r="AA202" s="107" t="str">
        <f t="shared" si="18"/>
        <v/>
      </c>
      <c r="AB202" s="105" t="str">
        <f>IFERROR(_xlfn.XLOOKUP($A202,Input_Raw!$A:$A,Input_Raw!$DG:$DG),"")</f>
        <v/>
      </c>
      <c r="AC202" s="125">
        <f>IFERROR(_xlfn.XLOOKUP($D202,'Modelling New'!$D:$D,'Modelling New'!$J:$J),"")</f>
        <v>3.9666666666666668</v>
      </c>
      <c r="AD202" s="107">
        <f>IFERROR(_xlfn.XLOOKUP($D202,'Modelling New'!$D:$D,'Modelling New'!$T:$T)*1000,"")</f>
        <v>164597.86033847061</v>
      </c>
      <c r="AE202" s="124"/>
      <c r="AF202" s="124">
        <f>IFERROR(_xlfn.XLOOKUP($D202,'Modelling New'!$D:$D,'Modelling New'!$W:$W),"")</f>
        <v>8.792620744576421E-2</v>
      </c>
      <c r="AG202" s="124">
        <f>IFERROR(_xlfn.XLOOKUP($D202,'Modelling New'!$D:$D,'Modelling New'!$AE:$AE),"")</f>
        <v>0.96029999999999993</v>
      </c>
      <c r="AH202" s="124">
        <f>IFERROR(_xlfn.XLOOKUP($D202,'Modelling New'!$D:$D,'Modelling New'!$AF:$AF),"")</f>
        <v>0.995</v>
      </c>
      <c r="AI202" s="105" t="str">
        <f>IFERROR(_xlfn.XLOOKUP($A202,Input_Raw!$A:$A,Input_Raw!$DE:$DE),"")</f>
        <v/>
      </c>
      <c r="AJ202" s="105"/>
      <c r="AK202" s="105"/>
      <c r="AL202" s="105"/>
      <c r="AM202" s="105"/>
      <c r="AN202" s="126" t="str">
        <f>IFERROR(_xlfn.XLOOKUP($A202,Input_Raw!$A:$A,Input_Raw!$DB:$DB),"")</f>
        <v/>
      </c>
      <c r="AO202" s="124" t="str">
        <f>IFERROR((_xlfn.XLOOKUP($A202,'WTG Reactive Power'!$A:$A,'WTG Reactive Power'!$AR:$AR))/X202/1000,"")</f>
        <v/>
      </c>
      <c r="AP202" s="124">
        <f>IFERROR(_xlfn.XLOOKUP($D202,'Modelling New'!$D:$D,'Modelling New'!$AK:$AK),"")</f>
        <v>0.05</v>
      </c>
      <c r="AQ202" s="124">
        <f>IFERROR(_xlfn.XLOOKUP($D202,'Modelling New'!$D:$D,'Modelling New'!$AL:$AL),"")</f>
        <v>0.05</v>
      </c>
      <c r="AR202">
        <f>IFERROR(_xlfn.XLOOKUP($D202,'Modelling New'!$D:$D,'Modelling New'!$N:$N),"")</f>
        <v>78</v>
      </c>
    </row>
    <row r="203" spans="1:44">
      <c r="A203" s="118">
        <f t="shared" si="15"/>
        <v>45946</v>
      </c>
      <c r="B203" s="107">
        <f>YEAR(Table13[[#This Row],[Date]])+IF(MONTH(Table13[[#This Row],[Date]])&gt;=4,1,0)</f>
        <v>2026</v>
      </c>
      <c r="C203" s="105">
        <f>YEAR(Table13[[#This Row],[Date]])</f>
        <v>2025</v>
      </c>
      <c r="D203" s="119">
        <f>Table13[[#This Row],[Date]]-DAY(Table13[[#This Row],[Date]])+1</f>
        <v>45931</v>
      </c>
      <c r="E203" s="105">
        <f t="shared" si="16"/>
        <v>31</v>
      </c>
      <c r="F203" s="108"/>
      <c r="G203" s="109"/>
      <c r="H203" s="109"/>
      <c r="I203" s="109"/>
      <c r="J203" s="109"/>
      <c r="K203" s="120"/>
      <c r="L203" s="109"/>
      <c r="M203" s="109" t="str">
        <f>IFERROR(_xlfn.XLOOKUP($A203,Input_Raw!$A:$A,Input_Raw!CG:CG),"")</f>
        <v/>
      </c>
      <c r="N203" s="109" t="str">
        <f>IFERROR(_xlfn.XLOOKUP($A203,Input_Raw!$A:$A,Input_Raw!CH:CH),"")</f>
        <v/>
      </c>
      <c r="O203" s="121" t="str">
        <f t="shared" si="17"/>
        <v/>
      </c>
      <c r="P203" s="121" t="str">
        <f>IFERROR(1-SUMIF(WTG_BD!$F:$F,$A203,WTG_BD!$AA:$AA)/($AA203+SUMIF(WTG_BD!$F:$F,$A203,WTG_BD!$AA:$AA)),"")</f>
        <v/>
      </c>
      <c r="Q203" s="122" t="str">
        <f>IFERROR(1-SUMIF(IGA_BD!$F:$F,$A203,IGA_BD!$V:$V)/($AA203+SUMIF(IGA_BD!$F:$F,$A203,IGA_BD!$V:$V)),"")</f>
        <v/>
      </c>
      <c r="R203" s="127" t="str">
        <f>IFERROR(1-SUMIF(Grid_BD!$F:$F,$A203,Grid_BD!$X:$X)/($AA203+SUMIF(Grid_BD!$F:$F,$A203,Grid_BD!$X:$X)),"")</f>
        <v/>
      </c>
      <c r="S203" s="105"/>
      <c r="T203" s="122"/>
      <c r="U203" s="123"/>
      <c r="V203" s="105"/>
      <c r="W203" s="124" t="str">
        <f>IFERROR(Table13[[#This Row],[Mtr_Net_Exp (KWh)]]/(24*AR203*1000),"")</f>
        <v/>
      </c>
      <c r="X203" s="105" t="str">
        <f>IFERROR(_xlfn.XLOOKUP($A203,Input_Raw!$A:$A,Input_Raw!$CF:$CF),"")</f>
        <v/>
      </c>
      <c r="Y203" s="105" t="str">
        <f>IFERROR(_xlfn.XLOOKUP($A203,Input_Raw!$A:$A,Input_Raw!$CZ:$CZ),"")</f>
        <v/>
      </c>
      <c r="Z203" s="105" t="str">
        <f>IFERROR(_xlfn.XLOOKUP($A203,Input_Raw!$A:$A,Input_Raw!$DA:$DA),"")</f>
        <v/>
      </c>
      <c r="AA203" s="107" t="str">
        <f t="shared" si="18"/>
        <v/>
      </c>
      <c r="AB203" s="105" t="str">
        <f>IFERROR(_xlfn.XLOOKUP($A203,Input_Raw!$A:$A,Input_Raw!$DG:$DG),"")</f>
        <v/>
      </c>
      <c r="AC203" s="125">
        <f>IFERROR(_xlfn.XLOOKUP($D203,'Modelling New'!$D:$D,'Modelling New'!$J:$J),"")</f>
        <v>3.9666666666666668</v>
      </c>
      <c r="AD203" s="107">
        <f>IFERROR(_xlfn.XLOOKUP($D203,'Modelling New'!$D:$D,'Modelling New'!$T:$T)*1000,"")</f>
        <v>164597.86033847061</v>
      </c>
      <c r="AE203" s="124"/>
      <c r="AF203" s="124">
        <f>IFERROR(_xlfn.XLOOKUP($D203,'Modelling New'!$D:$D,'Modelling New'!$W:$W),"")</f>
        <v>8.792620744576421E-2</v>
      </c>
      <c r="AG203" s="124">
        <f>IFERROR(_xlfn.XLOOKUP($D203,'Modelling New'!$D:$D,'Modelling New'!$AE:$AE),"")</f>
        <v>0.96029999999999993</v>
      </c>
      <c r="AH203" s="124">
        <f>IFERROR(_xlfn.XLOOKUP($D203,'Modelling New'!$D:$D,'Modelling New'!$AF:$AF),"")</f>
        <v>0.995</v>
      </c>
      <c r="AI203" s="105" t="str">
        <f>IFERROR(_xlfn.XLOOKUP($A203,Input_Raw!$A:$A,Input_Raw!$DE:$DE),"")</f>
        <v/>
      </c>
      <c r="AJ203" s="105"/>
      <c r="AK203" s="105"/>
      <c r="AL203" s="105"/>
      <c r="AM203" s="105"/>
      <c r="AN203" s="126" t="str">
        <f>IFERROR(_xlfn.XLOOKUP($A203,Input_Raw!$A:$A,Input_Raw!$DB:$DB),"")</f>
        <v/>
      </c>
      <c r="AO203" s="124" t="str">
        <f>IFERROR((_xlfn.XLOOKUP($A203,'WTG Reactive Power'!$A:$A,'WTG Reactive Power'!$AR:$AR))/X203/1000,"")</f>
        <v/>
      </c>
      <c r="AP203" s="124">
        <f>IFERROR(_xlfn.XLOOKUP($D203,'Modelling New'!$D:$D,'Modelling New'!$AK:$AK),"")</f>
        <v>0.05</v>
      </c>
      <c r="AQ203" s="124">
        <f>IFERROR(_xlfn.XLOOKUP($D203,'Modelling New'!$D:$D,'Modelling New'!$AL:$AL),"")</f>
        <v>0.05</v>
      </c>
      <c r="AR203">
        <f>IFERROR(_xlfn.XLOOKUP($D203,'Modelling New'!$D:$D,'Modelling New'!$N:$N),"")</f>
        <v>78</v>
      </c>
    </row>
    <row r="204" spans="1:44">
      <c r="A204" s="118">
        <f t="shared" si="15"/>
        <v>45947</v>
      </c>
      <c r="B204" s="107">
        <f>YEAR(Table13[[#This Row],[Date]])+IF(MONTH(Table13[[#This Row],[Date]])&gt;=4,1,0)</f>
        <v>2026</v>
      </c>
      <c r="C204" s="105">
        <f>YEAR(Table13[[#This Row],[Date]])</f>
        <v>2025</v>
      </c>
      <c r="D204" s="119">
        <f>Table13[[#This Row],[Date]]-DAY(Table13[[#This Row],[Date]])+1</f>
        <v>45931</v>
      </c>
      <c r="E204" s="105">
        <f t="shared" si="16"/>
        <v>31</v>
      </c>
      <c r="F204" s="108"/>
      <c r="G204" s="109"/>
      <c r="H204" s="109"/>
      <c r="I204" s="109"/>
      <c r="J204" s="109"/>
      <c r="K204" s="120"/>
      <c r="L204" s="109"/>
      <c r="M204" s="109" t="str">
        <f>IFERROR(_xlfn.XLOOKUP($A204,Input_Raw!$A:$A,Input_Raw!CG:CG),"")</f>
        <v/>
      </c>
      <c r="N204" s="109" t="str">
        <f>IFERROR(_xlfn.XLOOKUP($A204,Input_Raw!$A:$A,Input_Raw!CH:CH),"")</f>
        <v/>
      </c>
      <c r="O204" s="121" t="str">
        <f t="shared" si="17"/>
        <v/>
      </c>
      <c r="P204" s="121" t="str">
        <f>IFERROR(1-SUMIF(WTG_BD!$F:$F,$A204,WTG_BD!$AA:$AA)/($AA204+SUMIF(WTG_BD!$F:$F,$A204,WTG_BD!$AA:$AA)),"")</f>
        <v/>
      </c>
      <c r="Q204" s="122" t="str">
        <f>IFERROR(1-SUMIF(IGA_BD!$F:$F,$A204,IGA_BD!$V:$V)/($AA204+SUMIF(IGA_BD!$F:$F,$A204,IGA_BD!$V:$V)),"")</f>
        <v/>
      </c>
      <c r="R204" s="127" t="str">
        <f>IFERROR(1-SUMIF(Grid_BD!$F:$F,$A204,Grid_BD!$X:$X)/($AA204+SUMIF(Grid_BD!$F:$F,$A204,Grid_BD!$X:$X)),"")</f>
        <v/>
      </c>
      <c r="S204" s="105"/>
      <c r="T204" s="122"/>
      <c r="U204" s="123"/>
      <c r="V204" s="105"/>
      <c r="W204" s="124" t="str">
        <f>IFERROR(Table13[[#This Row],[Mtr_Net_Exp (KWh)]]/(24*AR204*1000),"")</f>
        <v/>
      </c>
      <c r="X204" s="105" t="str">
        <f>IFERROR(_xlfn.XLOOKUP($A204,Input_Raw!$A:$A,Input_Raw!$CF:$CF),"")</f>
        <v/>
      </c>
      <c r="Y204" s="105" t="str">
        <f>IFERROR(_xlfn.XLOOKUP($A204,Input_Raw!$A:$A,Input_Raw!$CZ:$CZ),"")</f>
        <v/>
      </c>
      <c r="Z204" s="105" t="str">
        <f>IFERROR(_xlfn.XLOOKUP($A204,Input_Raw!$A:$A,Input_Raw!$DA:$DA),"")</f>
        <v/>
      </c>
      <c r="AA204" s="107" t="str">
        <f t="shared" si="18"/>
        <v/>
      </c>
      <c r="AB204" s="105" t="str">
        <f>IFERROR(_xlfn.XLOOKUP($A204,Input_Raw!$A:$A,Input_Raw!$DG:$DG),"")</f>
        <v/>
      </c>
      <c r="AC204" s="125">
        <f>IFERROR(_xlfn.XLOOKUP($D204,'Modelling New'!$D:$D,'Modelling New'!$J:$J),"")</f>
        <v>3.9666666666666668</v>
      </c>
      <c r="AD204" s="107">
        <f>IFERROR(_xlfn.XLOOKUP($D204,'Modelling New'!$D:$D,'Modelling New'!$T:$T)*1000,"")</f>
        <v>164597.86033847061</v>
      </c>
      <c r="AE204" s="124"/>
      <c r="AF204" s="124">
        <f>IFERROR(_xlfn.XLOOKUP($D204,'Modelling New'!$D:$D,'Modelling New'!$W:$W),"")</f>
        <v>8.792620744576421E-2</v>
      </c>
      <c r="AG204" s="124">
        <f>IFERROR(_xlfn.XLOOKUP($D204,'Modelling New'!$D:$D,'Modelling New'!$AE:$AE),"")</f>
        <v>0.96029999999999993</v>
      </c>
      <c r="AH204" s="124">
        <f>IFERROR(_xlfn.XLOOKUP($D204,'Modelling New'!$D:$D,'Modelling New'!$AF:$AF),"")</f>
        <v>0.995</v>
      </c>
      <c r="AI204" s="105" t="str">
        <f>IFERROR(_xlfn.XLOOKUP($A204,Input_Raw!$A:$A,Input_Raw!$DE:$DE),"")</f>
        <v/>
      </c>
      <c r="AJ204" s="105"/>
      <c r="AK204" s="105"/>
      <c r="AL204" s="105"/>
      <c r="AM204" s="105"/>
      <c r="AN204" s="126" t="str">
        <f>IFERROR(_xlfn.XLOOKUP($A204,Input_Raw!$A:$A,Input_Raw!$DB:$DB),"")</f>
        <v/>
      </c>
      <c r="AO204" s="124" t="str">
        <f>IFERROR((_xlfn.XLOOKUP($A204,'WTG Reactive Power'!$A:$A,'WTG Reactive Power'!$AR:$AR))/X204/1000,"")</f>
        <v/>
      </c>
      <c r="AP204" s="124">
        <f>IFERROR(_xlfn.XLOOKUP($D204,'Modelling New'!$D:$D,'Modelling New'!$AK:$AK),"")</f>
        <v>0.05</v>
      </c>
      <c r="AQ204" s="124">
        <f>IFERROR(_xlfn.XLOOKUP($D204,'Modelling New'!$D:$D,'Modelling New'!$AL:$AL),"")</f>
        <v>0.05</v>
      </c>
      <c r="AR204">
        <f>IFERROR(_xlfn.XLOOKUP($D204,'Modelling New'!$D:$D,'Modelling New'!$N:$N),"")</f>
        <v>78</v>
      </c>
    </row>
    <row r="205" spans="1:44">
      <c r="A205" s="118">
        <f t="shared" si="15"/>
        <v>45948</v>
      </c>
      <c r="B205" s="107">
        <f>YEAR(Table13[[#This Row],[Date]])+IF(MONTH(Table13[[#This Row],[Date]])&gt;=4,1,0)</f>
        <v>2026</v>
      </c>
      <c r="C205" s="105">
        <f>YEAR(Table13[[#This Row],[Date]])</f>
        <v>2025</v>
      </c>
      <c r="D205" s="119">
        <f>Table13[[#This Row],[Date]]-DAY(Table13[[#This Row],[Date]])+1</f>
        <v>45931</v>
      </c>
      <c r="E205" s="105">
        <f t="shared" si="16"/>
        <v>31</v>
      </c>
      <c r="F205" s="108"/>
      <c r="G205" s="109"/>
      <c r="H205" s="109"/>
      <c r="I205" s="109"/>
      <c r="J205" s="109"/>
      <c r="K205" s="120"/>
      <c r="L205" s="109"/>
      <c r="M205" s="109" t="str">
        <f>IFERROR(_xlfn.XLOOKUP($A205,Input_Raw!$A:$A,Input_Raw!CG:CG),"")</f>
        <v/>
      </c>
      <c r="N205" s="109" t="str">
        <f>IFERROR(_xlfn.XLOOKUP($A205,Input_Raw!$A:$A,Input_Raw!CH:CH),"")</f>
        <v/>
      </c>
      <c r="O205" s="121" t="str">
        <f t="shared" si="17"/>
        <v/>
      </c>
      <c r="P205" s="121" t="str">
        <f>IFERROR(1-SUMIF(WTG_BD!$F:$F,$A205,WTG_BD!$AA:$AA)/($AA205+SUMIF(WTG_BD!$F:$F,$A205,WTG_BD!$AA:$AA)),"")</f>
        <v/>
      </c>
      <c r="Q205" s="122" t="str">
        <f>IFERROR(1-SUMIF(IGA_BD!$F:$F,$A205,IGA_BD!$V:$V)/($AA205+SUMIF(IGA_BD!$F:$F,$A205,IGA_BD!$V:$V)),"")</f>
        <v/>
      </c>
      <c r="R205" s="127" t="str">
        <f>IFERROR(1-SUMIF(Grid_BD!$F:$F,$A205,Grid_BD!$X:$X)/($AA205+SUMIF(Grid_BD!$F:$F,$A205,Grid_BD!$X:$X)),"")</f>
        <v/>
      </c>
      <c r="S205" s="105"/>
      <c r="T205" s="122"/>
      <c r="U205" s="123"/>
      <c r="V205" s="105"/>
      <c r="W205" s="124" t="str">
        <f>IFERROR(Table13[[#This Row],[Mtr_Net_Exp (KWh)]]/(24*AR205*1000),"")</f>
        <v/>
      </c>
      <c r="X205" s="105" t="str">
        <f>IFERROR(_xlfn.XLOOKUP($A205,Input_Raw!$A:$A,Input_Raw!$CF:$CF),"")</f>
        <v/>
      </c>
      <c r="Y205" s="105" t="str">
        <f>IFERROR(_xlfn.XLOOKUP($A205,Input_Raw!$A:$A,Input_Raw!$CZ:$CZ),"")</f>
        <v/>
      </c>
      <c r="Z205" s="105" t="str">
        <f>IFERROR(_xlfn.XLOOKUP($A205,Input_Raw!$A:$A,Input_Raw!$DA:$DA),"")</f>
        <v/>
      </c>
      <c r="AA205" s="107" t="str">
        <f t="shared" si="18"/>
        <v/>
      </c>
      <c r="AB205" s="105" t="str">
        <f>IFERROR(_xlfn.XLOOKUP($A205,Input_Raw!$A:$A,Input_Raw!$DG:$DG),"")</f>
        <v/>
      </c>
      <c r="AC205" s="125">
        <f>IFERROR(_xlfn.XLOOKUP($D205,'Modelling New'!$D:$D,'Modelling New'!$J:$J),"")</f>
        <v>3.9666666666666668</v>
      </c>
      <c r="AD205" s="107">
        <f>IFERROR(_xlfn.XLOOKUP($D205,'Modelling New'!$D:$D,'Modelling New'!$T:$T)*1000,"")</f>
        <v>164597.86033847061</v>
      </c>
      <c r="AE205" s="124"/>
      <c r="AF205" s="124">
        <f>IFERROR(_xlfn.XLOOKUP($D205,'Modelling New'!$D:$D,'Modelling New'!$W:$W),"")</f>
        <v>8.792620744576421E-2</v>
      </c>
      <c r="AG205" s="124">
        <f>IFERROR(_xlfn.XLOOKUP($D205,'Modelling New'!$D:$D,'Modelling New'!$AE:$AE),"")</f>
        <v>0.96029999999999993</v>
      </c>
      <c r="AH205" s="124">
        <f>IFERROR(_xlfn.XLOOKUP($D205,'Modelling New'!$D:$D,'Modelling New'!$AF:$AF),"")</f>
        <v>0.995</v>
      </c>
      <c r="AI205" s="105" t="str">
        <f>IFERROR(_xlfn.XLOOKUP($A205,Input_Raw!$A:$A,Input_Raw!$DE:$DE),"")</f>
        <v/>
      </c>
      <c r="AJ205" s="105"/>
      <c r="AK205" s="105"/>
      <c r="AL205" s="105"/>
      <c r="AM205" s="105"/>
      <c r="AN205" s="126" t="str">
        <f>IFERROR(_xlfn.XLOOKUP($A205,Input_Raw!$A:$A,Input_Raw!$DB:$DB),"")</f>
        <v/>
      </c>
      <c r="AO205" s="124" t="str">
        <f>IFERROR((_xlfn.XLOOKUP($A205,'WTG Reactive Power'!$A:$A,'WTG Reactive Power'!$AR:$AR))/X205/1000,"")</f>
        <v/>
      </c>
      <c r="AP205" s="124">
        <f>IFERROR(_xlfn.XLOOKUP($D205,'Modelling New'!$D:$D,'Modelling New'!$AK:$AK),"")</f>
        <v>0.05</v>
      </c>
      <c r="AQ205" s="124">
        <f>IFERROR(_xlfn.XLOOKUP($D205,'Modelling New'!$D:$D,'Modelling New'!$AL:$AL),"")</f>
        <v>0.05</v>
      </c>
      <c r="AR205">
        <f>IFERROR(_xlfn.XLOOKUP($D205,'Modelling New'!$D:$D,'Modelling New'!$N:$N),"")</f>
        <v>78</v>
      </c>
    </row>
    <row r="206" spans="1:44">
      <c r="A206" s="118">
        <f t="shared" si="15"/>
        <v>45949</v>
      </c>
      <c r="B206" s="107">
        <f>YEAR(Table13[[#This Row],[Date]])+IF(MONTH(Table13[[#This Row],[Date]])&gt;=4,1,0)</f>
        <v>2026</v>
      </c>
      <c r="C206" s="105">
        <f>YEAR(Table13[[#This Row],[Date]])</f>
        <v>2025</v>
      </c>
      <c r="D206" s="119">
        <f>Table13[[#This Row],[Date]]-DAY(Table13[[#This Row],[Date]])+1</f>
        <v>45931</v>
      </c>
      <c r="E206" s="105">
        <f t="shared" si="16"/>
        <v>31</v>
      </c>
      <c r="F206" s="108"/>
      <c r="G206" s="109"/>
      <c r="H206" s="109"/>
      <c r="I206" s="109"/>
      <c r="J206" s="109"/>
      <c r="K206" s="120"/>
      <c r="L206" s="109"/>
      <c r="M206" s="109" t="str">
        <f>IFERROR(_xlfn.XLOOKUP($A206,Input_Raw!$A:$A,Input_Raw!CG:CG),"")</f>
        <v/>
      </c>
      <c r="N206" s="109" t="str">
        <f>IFERROR(_xlfn.XLOOKUP($A206,Input_Raw!$A:$A,Input_Raw!CH:CH),"")</f>
        <v/>
      </c>
      <c r="O206" s="121" t="str">
        <f t="shared" si="17"/>
        <v/>
      </c>
      <c r="P206" s="121" t="str">
        <f>IFERROR(1-SUMIF(WTG_BD!$F:$F,$A206,WTG_BD!$AA:$AA)/($AA206+SUMIF(WTG_BD!$F:$F,$A206,WTG_BD!$AA:$AA)),"")</f>
        <v/>
      </c>
      <c r="Q206" s="122" t="str">
        <f>IFERROR(1-SUMIF(IGA_BD!$F:$F,$A206,IGA_BD!$V:$V)/($AA206+SUMIF(IGA_BD!$F:$F,$A206,IGA_BD!$V:$V)),"")</f>
        <v/>
      </c>
      <c r="R206" s="127" t="str">
        <f>IFERROR(1-SUMIF(Grid_BD!$F:$F,$A206,Grid_BD!$X:$X)/($AA206+SUMIF(Grid_BD!$F:$F,$A206,Grid_BD!$X:$X)),"")</f>
        <v/>
      </c>
      <c r="S206" s="105"/>
      <c r="T206" s="122"/>
      <c r="U206" s="123"/>
      <c r="V206" s="105"/>
      <c r="W206" s="124" t="str">
        <f>IFERROR(Table13[[#This Row],[Mtr_Net_Exp (KWh)]]/(24*AR206*1000),"")</f>
        <v/>
      </c>
      <c r="X206" s="105" t="str">
        <f>IFERROR(_xlfn.XLOOKUP($A206,Input_Raw!$A:$A,Input_Raw!$CF:$CF),"")</f>
        <v/>
      </c>
      <c r="Y206" s="105" t="str">
        <f>IFERROR(_xlfn.XLOOKUP($A206,Input_Raw!$A:$A,Input_Raw!$CZ:$CZ),"")</f>
        <v/>
      </c>
      <c r="Z206" s="105" t="str">
        <f>IFERROR(_xlfn.XLOOKUP($A206,Input_Raw!$A:$A,Input_Raw!$DA:$DA),"")</f>
        <v/>
      </c>
      <c r="AA206" s="107" t="str">
        <f t="shared" si="18"/>
        <v/>
      </c>
      <c r="AB206" s="105" t="str">
        <f>IFERROR(_xlfn.XLOOKUP($A206,Input_Raw!$A:$A,Input_Raw!$DG:$DG),"")</f>
        <v/>
      </c>
      <c r="AC206" s="125">
        <f>IFERROR(_xlfn.XLOOKUP($D206,'Modelling New'!$D:$D,'Modelling New'!$J:$J),"")</f>
        <v>3.9666666666666668</v>
      </c>
      <c r="AD206" s="107">
        <f>IFERROR(_xlfn.XLOOKUP($D206,'Modelling New'!$D:$D,'Modelling New'!$T:$T)*1000,"")</f>
        <v>164597.86033847061</v>
      </c>
      <c r="AE206" s="124"/>
      <c r="AF206" s="124">
        <f>IFERROR(_xlfn.XLOOKUP($D206,'Modelling New'!$D:$D,'Modelling New'!$W:$W),"")</f>
        <v>8.792620744576421E-2</v>
      </c>
      <c r="AG206" s="124">
        <f>IFERROR(_xlfn.XLOOKUP($D206,'Modelling New'!$D:$D,'Modelling New'!$AE:$AE),"")</f>
        <v>0.96029999999999993</v>
      </c>
      <c r="AH206" s="124">
        <f>IFERROR(_xlfn.XLOOKUP($D206,'Modelling New'!$D:$D,'Modelling New'!$AF:$AF),"")</f>
        <v>0.995</v>
      </c>
      <c r="AI206" s="105" t="str">
        <f>IFERROR(_xlfn.XLOOKUP($A206,Input_Raw!$A:$A,Input_Raw!$DE:$DE),"")</f>
        <v/>
      </c>
      <c r="AJ206" s="105"/>
      <c r="AK206" s="105"/>
      <c r="AL206" s="105"/>
      <c r="AM206" s="105"/>
      <c r="AN206" s="126" t="str">
        <f>IFERROR(_xlfn.XLOOKUP($A206,Input_Raw!$A:$A,Input_Raw!$DB:$DB),"")</f>
        <v/>
      </c>
      <c r="AO206" s="124" t="str">
        <f>IFERROR((_xlfn.XLOOKUP($A206,'WTG Reactive Power'!$A:$A,'WTG Reactive Power'!$AR:$AR))/X206/1000,"")</f>
        <v/>
      </c>
      <c r="AP206" s="124">
        <f>IFERROR(_xlfn.XLOOKUP($D206,'Modelling New'!$D:$D,'Modelling New'!$AK:$AK),"")</f>
        <v>0.05</v>
      </c>
      <c r="AQ206" s="124">
        <f>IFERROR(_xlfn.XLOOKUP($D206,'Modelling New'!$D:$D,'Modelling New'!$AL:$AL),"")</f>
        <v>0.05</v>
      </c>
      <c r="AR206">
        <f>IFERROR(_xlfn.XLOOKUP($D206,'Modelling New'!$D:$D,'Modelling New'!$N:$N),"")</f>
        <v>78</v>
      </c>
    </row>
    <row r="207" spans="1:44">
      <c r="A207" s="118">
        <f t="shared" si="15"/>
        <v>45950</v>
      </c>
      <c r="B207" s="107">
        <f>YEAR(Table13[[#This Row],[Date]])+IF(MONTH(Table13[[#This Row],[Date]])&gt;=4,1,0)</f>
        <v>2026</v>
      </c>
      <c r="C207" s="105">
        <f>YEAR(Table13[[#This Row],[Date]])</f>
        <v>2025</v>
      </c>
      <c r="D207" s="119">
        <f>Table13[[#This Row],[Date]]-DAY(Table13[[#This Row],[Date]])+1</f>
        <v>45931</v>
      </c>
      <c r="E207" s="105">
        <f t="shared" si="16"/>
        <v>31</v>
      </c>
      <c r="F207" s="108"/>
      <c r="G207" s="109"/>
      <c r="H207" s="109"/>
      <c r="I207" s="109"/>
      <c r="J207" s="109"/>
      <c r="K207" s="120"/>
      <c r="L207" s="109"/>
      <c r="M207" s="109" t="str">
        <f>IFERROR(_xlfn.XLOOKUP($A207,Input_Raw!$A:$A,Input_Raw!CG:CG),"")</f>
        <v/>
      </c>
      <c r="N207" s="109" t="str">
        <f>IFERROR(_xlfn.XLOOKUP($A207,Input_Raw!$A:$A,Input_Raw!CH:CH),"")</f>
        <v/>
      </c>
      <c r="O207" s="121" t="str">
        <f t="shared" si="17"/>
        <v/>
      </c>
      <c r="P207" s="121" t="str">
        <f>IFERROR(1-SUMIF(WTG_BD!$F:$F,$A207,WTG_BD!$AA:$AA)/($AA207+SUMIF(WTG_BD!$F:$F,$A207,WTG_BD!$AA:$AA)),"")</f>
        <v/>
      </c>
      <c r="Q207" s="122" t="str">
        <f>IFERROR(1-SUMIF(IGA_BD!$F:$F,$A207,IGA_BD!$V:$V)/($AA207+SUMIF(IGA_BD!$F:$F,$A207,IGA_BD!$V:$V)),"")</f>
        <v/>
      </c>
      <c r="R207" s="127" t="str">
        <f>IFERROR(1-SUMIF(Grid_BD!$F:$F,$A207,Grid_BD!$X:$X)/($AA207+SUMIF(Grid_BD!$F:$F,$A207,Grid_BD!$X:$X)),"")</f>
        <v/>
      </c>
      <c r="S207" s="105"/>
      <c r="T207" s="122"/>
      <c r="U207" s="123"/>
      <c r="V207" s="105"/>
      <c r="W207" s="124" t="str">
        <f>IFERROR(Table13[[#This Row],[Mtr_Net_Exp (KWh)]]/(24*AR207*1000),"")</f>
        <v/>
      </c>
      <c r="X207" s="105" t="str">
        <f>IFERROR(_xlfn.XLOOKUP($A207,Input_Raw!$A:$A,Input_Raw!$CF:$CF),"")</f>
        <v/>
      </c>
      <c r="Y207" s="105" t="str">
        <f>IFERROR(_xlfn.XLOOKUP($A207,Input_Raw!$A:$A,Input_Raw!$CZ:$CZ),"")</f>
        <v/>
      </c>
      <c r="Z207" s="105" t="str">
        <f>IFERROR(_xlfn.XLOOKUP($A207,Input_Raw!$A:$A,Input_Raw!$DA:$DA),"")</f>
        <v/>
      </c>
      <c r="AA207" s="107" t="str">
        <f t="shared" si="18"/>
        <v/>
      </c>
      <c r="AB207" s="105" t="str">
        <f>IFERROR(_xlfn.XLOOKUP($A207,Input_Raw!$A:$A,Input_Raw!$DG:$DG),"")</f>
        <v/>
      </c>
      <c r="AC207" s="125">
        <f>IFERROR(_xlfn.XLOOKUP($D207,'Modelling New'!$D:$D,'Modelling New'!$J:$J),"")</f>
        <v>3.9666666666666668</v>
      </c>
      <c r="AD207" s="107">
        <f>IFERROR(_xlfn.XLOOKUP($D207,'Modelling New'!$D:$D,'Modelling New'!$T:$T)*1000,"")</f>
        <v>164597.86033847061</v>
      </c>
      <c r="AE207" s="124"/>
      <c r="AF207" s="124">
        <f>IFERROR(_xlfn.XLOOKUP($D207,'Modelling New'!$D:$D,'Modelling New'!$W:$W),"")</f>
        <v>8.792620744576421E-2</v>
      </c>
      <c r="AG207" s="124">
        <f>IFERROR(_xlfn.XLOOKUP($D207,'Modelling New'!$D:$D,'Modelling New'!$AE:$AE),"")</f>
        <v>0.96029999999999993</v>
      </c>
      <c r="AH207" s="124">
        <f>IFERROR(_xlfn.XLOOKUP($D207,'Modelling New'!$D:$D,'Modelling New'!$AF:$AF),"")</f>
        <v>0.995</v>
      </c>
      <c r="AI207" s="105" t="str">
        <f>IFERROR(_xlfn.XLOOKUP($A207,Input_Raw!$A:$A,Input_Raw!$DE:$DE),"")</f>
        <v/>
      </c>
      <c r="AJ207" s="105"/>
      <c r="AK207" s="105"/>
      <c r="AL207" s="105"/>
      <c r="AM207" s="105"/>
      <c r="AN207" s="126" t="str">
        <f>IFERROR(_xlfn.XLOOKUP($A207,Input_Raw!$A:$A,Input_Raw!$DB:$DB),"")</f>
        <v/>
      </c>
      <c r="AO207" s="124" t="str">
        <f>IFERROR((_xlfn.XLOOKUP($A207,'WTG Reactive Power'!$A:$A,'WTG Reactive Power'!$AR:$AR))/X207/1000,"")</f>
        <v/>
      </c>
      <c r="AP207" s="124">
        <f>IFERROR(_xlfn.XLOOKUP($D207,'Modelling New'!$D:$D,'Modelling New'!$AK:$AK),"")</f>
        <v>0.05</v>
      </c>
      <c r="AQ207" s="124">
        <f>IFERROR(_xlfn.XLOOKUP($D207,'Modelling New'!$D:$D,'Modelling New'!$AL:$AL),"")</f>
        <v>0.05</v>
      </c>
      <c r="AR207">
        <f>IFERROR(_xlfn.XLOOKUP($D207,'Modelling New'!$D:$D,'Modelling New'!$N:$N),"")</f>
        <v>78</v>
      </c>
    </row>
    <row r="208" spans="1:44">
      <c r="A208" s="118">
        <f t="shared" si="15"/>
        <v>45951</v>
      </c>
      <c r="B208" s="107">
        <f>YEAR(Table13[[#This Row],[Date]])+IF(MONTH(Table13[[#This Row],[Date]])&gt;=4,1,0)</f>
        <v>2026</v>
      </c>
      <c r="C208" s="105">
        <f>YEAR(Table13[[#This Row],[Date]])</f>
        <v>2025</v>
      </c>
      <c r="D208" s="119">
        <f>Table13[[#This Row],[Date]]-DAY(Table13[[#This Row],[Date]])+1</f>
        <v>45931</v>
      </c>
      <c r="E208" s="105">
        <f t="shared" si="16"/>
        <v>31</v>
      </c>
      <c r="F208" s="108"/>
      <c r="G208" s="109"/>
      <c r="H208" s="109"/>
      <c r="I208" s="109"/>
      <c r="J208" s="109"/>
      <c r="K208" s="120"/>
      <c r="L208" s="109"/>
      <c r="M208" s="109" t="str">
        <f>IFERROR(_xlfn.XLOOKUP($A208,Input_Raw!$A:$A,Input_Raw!CG:CG),"")</f>
        <v/>
      </c>
      <c r="N208" s="109" t="str">
        <f>IFERROR(_xlfn.XLOOKUP($A208,Input_Raw!$A:$A,Input_Raw!CH:CH),"")</f>
        <v/>
      </c>
      <c r="O208" s="121" t="str">
        <f t="shared" si="17"/>
        <v/>
      </c>
      <c r="P208" s="121" t="str">
        <f>IFERROR(1-SUMIF(WTG_BD!$F:$F,$A208,WTG_BD!$AA:$AA)/($AA208+SUMIF(WTG_BD!$F:$F,$A208,WTG_BD!$AA:$AA)),"")</f>
        <v/>
      </c>
      <c r="Q208" s="122" t="str">
        <f>IFERROR(1-SUMIF(IGA_BD!$F:$F,$A208,IGA_BD!$V:$V)/($AA208+SUMIF(IGA_BD!$F:$F,$A208,IGA_BD!$V:$V)),"")</f>
        <v/>
      </c>
      <c r="R208" s="127" t="str">
        <f>IFERROR(1-SUMIF(Grid_BD!$F:$F,$A208,Grid_BD!$X:$X)/($AA208+SUMIF(Grid_BD!$F:$F,$A208,Grid_BD!$X:$X)),"")</f>
        <v/>
      </c>
      <c r="S208" s="105"/>
      <c r="T208" s="122"/>
      <c r="U208" s="123"/>
      <c r="V208" s="105"/>
      <c r="W208" s="124" t="str">
        <f>IFERROR(Table13[[#This Row],[Mtr_Net_Exp (KWh)]]/(24*AR208*1000),"")</f>
        <v/>
      </c>
      <c r="X208" s="105" t="str">
        <f>IFERROR(_xlfn.XLOOKUP($A208,Input_Raw!$A:$A,Input_Raw!$CF:$CF),"")</f>
        <v/>
      </c>
      <c r="Y208" s="105" t="str">
        <f>IFERROR(_xlfn.XLOOKUP($A208,Input_Raw!$A:$A,Input_Raw!$CZ:$CZ),"")</f>
        <v/>
      </c>
      <c r="Z208" s="105" t="str">
        <f>IFERROR(_xlfn.XLOOKUP($A208,Input_Raw!$A:$A,Input_Raw!$DA:$DA),"")</f>
        <v/>
      </c>
      <c r="AA208" s="107" t="str">
        <f t="shared" si="18"/>
        <v/>
      </c>
      <c r="AB208" s="105" t="str">
        <f>IFERROR(_xlfn.XLOOKUP($A208,Input_Raw!$A:$A,Input_Raw!$DG:$DG),"")</f>
        <v/>
      </c>
      <c r="AC208" s="125">
        <f>IFERROR(_xlfn.XLOOKUP($D208,'Modelling New'!$D:$D,'Modelling New'!$J:$J),"")</f>
        <v>3.9666666666666668</v>
      </c>
      <c r="AD208" s="107">
        <f>IFERROR(_xlfn.XLOOKUP($D208,'Modelling New'!$D:$D,'Modelling New'!$T:$T)*1000,"")</f>
        <v>164597.86033847061</v>
      </c>
      <c r="AE208" s="124"/>
      <c r="AF208" s="124">
        <f>IFERROR(_xlfn.XLOOKUP($D208,'Modelling New'!$D:$D,'Modelling New'!$W:$W),"")</f>
        <v>8.792620744576421E-2</v>
      </c>
      <c r="AG208" s="124">
        <f>IFERROR(_xlfn.XLOOKUP($D208,'Modelling New'!$D:$D,'Modelling New'!$AE:$AE),"")</f>
        <v>0.96029999999999993</v>
      </c>
      <c r="AH208" s="124">
        <f>IFERROR(_xlfn.XLOOKUP($D208,'Modelling New'!$D:$D,'Modelling New'!$AF:$AF),"")</f>
        <v>0.995</v>
      </c>
      <c r="AI208" s="105" t="str">
        <f>IFERROR(_xlfn.XLOOKUP($A208,Input_Raw!$A:$A,Input_Raw!$DE:$DE),"")</f>
        <v/>
      </c>
      <c r="AJ208" s="105"/>
      <c r="AK208" s="105"/>
      <c r="AL208" s="105"/>
      <c r="AM208" s="105"/>
      <c r="AN208" s="126" t="str">
        <f>IFERROR(_xlfn.XLOOKUP($A208,Input_Raw!$A:$A,Input_Raw!$DB:$DB),"")</f>
        <v/>
      </c>
      <c r="AO208" s="124" t="str">
        <f>IFERROR((_xlfn.XLOOKUP($A208,'WTG Reactive Power'!$A:$A,'WTG Reactive Power'!$AR:$AR))/X208/1000,"")</f>
        <v/>
      </c>
      <c r="AP208" s="124">
        <f>IFERROR(_xlfn.XLOOKUP($D208,'Modelling New'!$D:$D,'Modelling New'!$AK:$AK),"")</f>
        <v>0.05</v>
      </c>
      <c r="AQ208" s="124">
        <f>IFERROR(_xlfn.XLOOKUP($D208,'Modelling New'!$D:$D,'Modelling New'!$AL:$AL),"")</f>
        <v>0.05</v>
      </c>
      <c r="AR208">
        <f>IFERROR(_xlfn.XLOOKUP($D208,'Modelling New'!$D:$D,'Modelling New'!$N:$N),"")</f>
        <v>78</v>
      </c>
    </row>
    <row r="209" spans="1:44">
      <c r="A209" s="118">
        <f t="shared" si="15"/>
        <v>45952</v>
      </c>
      <c r="B209" s="107">
        <f>YEAR(Table13[[#This Row],[Date]])+IF(MONTH(Table13[[#This Row],[Date]])&gt;=4,1,0)</f>
        <v>2026</v>
      </c>
      <c r="C209" s="105">
        <f>YEAR(Table13[[#This Row],[Date]])</f>
        <v>2025</v>
      </c>
      <c r="D209" s="119">
        <f>Table13[[#This Row],[Date]]-DAY(Table13[[#This Row],[Date]])+1</f>
        <v>45931</v>
      </c>
      <c r="E209" s="105">
        <f t="shared" si="16"/>
        <v>31</v>
      </c>
      <c r="F209" s="108"/>
      <c r="G209" s="109"/>
      <c r="H209" s="109"/>
      <c r="I209" s="109"/>
      <c r="J209" s="109"/>
      <c r="K209" s="120"/>
      <c r="L209" s="109"/>
      <c r="M209" s="109" t="str">
        <f>IFERROR(_xlfn.XLOOKUP($A209,Input_Raw!$A:$A,Input_Raw!CG:CG),"")</f>
        <v/>
      </c>
      <c r="N209" s="109" t="str">
        <f>IFERROR(_xlfn.XLOOKUP($A209,Input_Raw!$A:$A,Input_Raw!CH:CH),"")</f>
        <v/>
      </c>
      <c r="O209" s="121" t="str">
        <f t="shared" si="17"/>
        <v/>
      </c>
      <c r="P209" s="121" t="str">
        <f>IFERROR(1-SUMIF(WTG_BD!$F:$F,$A209,WTG_BD!$AA:$AA)/($AA209+SUMIF(WTG_BD!$F:$F,$A209,WTG_BD!$AA:$AA)),"")</f>
        <v/>
      </c>
      <c r="Q209" s="122" t="str">
        <f>IFERROR(1-SUMIF(IGA_BD!$F:$F,$A209,IGA_BD!$V:$V)/($AA209+SUMIF(IGA_BD!$F:$F,$A209,IGA_BD!$V:$V)),"")</f>
        <v/>
      </c>
      <c r="R209" s="127" t="str">
        <f>IFERROR(1-SUMIF(Grid_BD!$F:$F,$A209,Grid_BD!$X:$X)/($AA209+SUMIF(Grid_BD!$F:$F,$A209,Grid_BD!$X:$X)),"")</f>
        <v/>
      </c>
      <c r="S209" s="105"/>
      <c r="T209" s="122"/>
      <c r="U209" s="123"/>
      <c r="V209" s="105"/>
      <c r="W209" s="124" t="str">
        <f>IFERROR(Table13[[#This Row],[Mtr_Net_Exp (KWh)]]/(24*AR209*1000),"")</f>
        <v/>
      </c>
      <c r="X209" s="105" t="str">
        <f>IFERROR(_xlfn.XLOOKUP($A209,Input_Raw!$A:$A,Input_Raw!$CF:$CF),"")</f>
        <v/>
      </c>
      <c r="Y209" s="105" t="str">
        <f>IFERROR(_xlfn.XLOOKUP($A209,Input_Raw!$A:$A,Input_Raw!$CZ:$CZ),"")</f>
        <v/>
      </c>
      <c r="Z209" s="105" t="str">
        <f>IFERROR(_xlfn.XLOOKUP($A209,Input_Raw!$A:$A,Input_Raw!$DA:$DA),"")</f>
        <v/>
      </c>
      <c r="AA209" s="107" t="str">
        <f t="shared" si="18"/>
        <v/>
      </c>
      <c r="AB209" s="105" t="str">
        <f>IFERROR(_xlfn.XLOOKUP($A209,Input_Raw!$A:$A,Input_Raw!$DG:$DG),"")</f>
        <v/>
      </c>
      <c r="AC209" s="125">
        <f>IFERROR(_xlfn.XLOOKUP($D209,'Modelling New'!$D:$D,'Modelling New'!$J:$J),"")</f>
        <v>3.9666666666666668</v>
      </c>
      <c r="AD209" s="107">
        <f>IFERROR(_xlfn.XLOOKUP($D209,'Modelling New'!$D:$D,'Modelling New'!$T:$T)*1000,"")</f>
        <v>164597.86033847061</v>
      </c>
      <c r="AE209" s="124"/>
      <c r="AF209" s="124">
        <f>IFERROR(_xlfn.XLOOKUP($D209,'Modelling New'!$D:$D,'Modelling New'!$W:$W),"")</f>
        <v>8.792620744576421E-2</v>
      </c>
      <c r="AG209" s="124">
        <f>IFERROR(_xlfn.XLOOKUP($D209,'Modelling New'!$D:$D,'Modelling New'!$AE:$AE),"")</f>
        <v>0.96029999999999993</v>
      </c>
      <c r="AH209" s="124">
        <f>IFERROR(_xlfn.XLOOKUP($D209,'Modelling New'!$D:$D,'Modelling New'!$AF:$AF),"")</f>
        <v>0.995</v>
      </c>
      <c r="AI209" s="105" t="str">
        <f>IFERROR(_xlfn.XLOOKUP($A209,Input_Raw!$A:$A,Input_Raw!$DE:$DE),"")</f>
        <v/>
      </c>
      <c r="AJ209" s="105"/>
      <c r="AK209" s="105"/>
      <c r="AL209" s="105"/>
      <c r="AM209" s="105"/>
      <c r="AN209" s="126" t="str">
        <f>IFERROR(_xlfn.XLOOKUP($A209,Input_Raw!$A:$A,Input_Raw!$DB:$DB),"")</f>
        <v/>
      </c>
      <c r="AO209" s="124" t="str">
        <f>IFERROR((_xlfn.XLOOKUP($A209,'WTG Reactive Power'!$A:$A,'WTG Reactive Power'!$AR:$AR))/X209/1000,"")</f>
        <v/>
      </c>
      <c r="AP209" s="124">
        <f>IFERROR(_xlfn.XLOOKUP($D209,'Modelling New'!$D:$D,'Modelling New'!$AK:$AK),"")</f>
        <v>0.05</v>
      </c>
      <c r="AQ209" s="124">
        <f>IFERROR(_xlfn.XLOOKUP($D209,'Modelling New'!$D:$D,'Modelling New'!$AL:$AL),"")</f>
        <v>0.05</v>
      </c>
      <c r="AR209">
        <f>IFERROR(_xlfn.XLOOKUP($D209,'Modelling New'!$D:$D,'Modelling New'!$N:$N),"")</f>
        <v>78</v>
      </c>
    </row>
    <row r="210" spans="1:44">
      <c r="A210" s="118">
        <f t="shared" si="15"/>
        <v>45953</v>
      </c>
      <c r="B210" s="107">
        <f>YEAR(Table13[[#This Row],[Date]])+IF(MONTH(Table13[[#This Row],[Date]])&gt;=4,1,0)</f>
        <v>2026</v>
      </c>
      <c r="C210" s="105">
        <f>YEAR(Table13[[#This Row],[Date]])</f>
        <v>2025</v>
      </c>
      <c r="D210" s="119">
        <f>Table13[[#This Row],[Date]]-DAY(Table13[[#This Row],[Date]])+1</f>
        <v>45931</v>
      </c>
      <c r="E210" s="105">
        <f t="shared" si="16"/>
        <v>31</v>
      </c>
      <c r="F210" s="108"/>
      <c r="G210" s="109"/>
      <c r="H210" s="109"/>
      <c r="I210" s="109"/>
      <c r="J210" s="109"/>
      <c r="K210" s="120"/>
      <c r="L210" s="109"/>
      <c r="M210" s="109" t="str">
        <f>IFERROR(_xlfn.XLOOKUP($A210,Input_Raw!$A:$A,Input_Raw!CG:CG),"")</f>
        <v/>
      </c>
      <c r="N210" s="109" t="str">
        <f>IFERROR(_xlfn.XLOOKUP($A210,Input_Raw!$A:$A,Input_Raw!CH:CH),"")</f>
        <v/>
      </c>
      <c r="O210" s="121" t="str">
        <f t="shared" si="17"/>
        <v/>
      </c>
      <c r="P210" s="121" t="str">
        <f>IFERROR(1-SUMIF(WTG_BD!$F:$F,$A210,WTG_BD!$AA:$AA)/($AA210+SUMIF(WTG_BD!$F:$F,$A210,WTG_BD!$AA:$AA)),"")</f>
        <v/>
      </c>
      <c r="Q210" s="122" t="str">
        <f>IFERROR(1-SUMIF(IGA_BD!$F:$F,$A210,IGA_BD!$V:$V)/($AA210+SUMIF(IGA_BD!$F:$F,$A210,IGA_BD!$V:$V)),"")</f>
        <v/>
      </c>
      <c r="R210" s="127" t="str">
        <f>IFERROR(1-SUMIF(Grid_BD!$F:$F,$A210,Grid_BD!$X:$X)/($AA210+SUMIF(Grid_BD!$F:$F,$A210,Grid_BD!$X:$X)),"")</f>
        <v/>
      </c>
      <c r="S210" s="105"/>
      <c r="T210" s="122"/>
      <c r="U210" s="123"/>
      <c r="V210" s="105"/>
      <c r="W210" s="124" t="str">
        <f>IFERROR(Table13[[#This Row],[Mtr_Net_Exp (KWh)]]/(24*AR210*1000),"")</f>
        <v/>
      </c>
      <c r="X210" s="105" t="str">
        <f>IFERROR(_xlfn.XLOOKUP($A210,Input_Raw!$A:$A,Input_Raw!$CF:$CF),"")</f>
        <v/>
      </c>
      <c r="Y210" s="105" t="str">
        <f>IFERROR(_xlfn.XLOOKUP($A210,Input_Raw!$A:$A,Input_Raw!$CZ:$CZ),"")</f>
        <v/>
      </c>
      <c r="Z210" s="105" t="str">
        <f>IFERROR(_xlfn.XLOOKUP($A210,Input_Raw!$A:$A,Input_Raw!$DA:$DA),"")</f>
        <v/>
      </c>
      <c r="AA210" s="107" t="str">
        <f t="shared" si="18"/>
        <v/>
      </c>
      <c r="AB210" s="105" t="str">
        <f>IFERROR(_xlfn.XLOOKUP($A210,Input_Raw!$A:$A,Input_Raw!$DG:$DG),"")</f>
        <v/>
      </c>
      <c r="AC210" s="125">
        <f>IFERROR(_xlfn.XLOOKUP($D210,'Modelling New'!$D:$D,'Modelling New'!$J:$J),"")</f>
        <v>3.9666666666666668</v>
      </c>
      <c r="AD210" s="107">
        <f>IFERROR(_xlfn.XLOOKUP($D210,'Modelling New'!$D:$D,'Modelling New'!$T:$T)*1000,"")</f>
        <v>164597.86033847061</v>
      </c>
      <c r="AE210" s="124"/>
      <c r="AF210" s="124">
        <f>IFERROR(_xlfn.XLOOKUP($D210,'Modelling New'!$D:$D,'Modelling New'!$W:$W),"")</f>
        <v>8.792620744576421E-2</v>
      </c>
      <c r="AG210" s="124">
        <f>IFERROR(_xlfn.XLOOKUP($D210,'Modelling New'!$D:$D,'Modelling New'!$AE:$AE),"")</f>
        <v>0.96029999999999993</v>
      </c>
      <c r="AH210" s="124">
        <f>IFERROR(_xlfn.XLOOKUP($D210,'Modelling New'!$D:$D,'Modelling New'!$AF:$AF),"")</f>
        <v>0.995</v>
      </c>
      <c r="AI210" s="105" t="str">
        <f>IFERROR(_xlfn.XLOOKUP($A210,Input_Raw!$A:$A,Input_Raw!$DE:$DE),"")</f>
        <v/>
      </c>
      <c r="AJ210" s="105"/>
      <c r="AK210" s="105"/>
      <c r="AL210" s="105"/>
      <c r="AM210" s="105"/>
      <c r="AN210" s="126" t="str">
        <f>IFERROR(_xlfn.XLOOKUP($A210,Input_Raw!$A:$A,Input_Raw!$DB:$DB),"")</f>
        <v/>
      </c>
      <c r="AO210" s="124" t="str">
        <f>IFERROR((_xlfn.XLOOKUP($A210,'WTG Reactive Power'!$A:$A,'WTG Reactive Power'!$AR:$AR))/X210/1000,"")</f>
        <v/>
      </c>
      <c r="AP210" s="124">
        <f>IFERROR(_xlfn.XLOOKUP($D210,'Modelling New'!$D:$D,'Modelling New'!$AK:$AK),"")</f>
        <v>0.05</v>
      </c>
      <c r="AQ210" s="124">
        <f>IFERROR(_xlfn.XLOOKUP($D210,'Modelling New'!$D:$D,'Modelling New'!$AL:$AL),"")</f>
        <v>0.05</v>
      </c>
      <c r="AR210">
        <f>IFERROR(_xlfn.XLOOKUP($D210,'Modelling New'!$D:$D,'Modelling New'!$N:$N),"")</f>
        <v>78</v>
      </c>
    </row>
    <row r="211" spans="1:44">
      <c r="A211" s="118">
        <f t="shared" si="15"/>
        <v>45954</v>
      </c>
      <c r="B211" s="107">
        <f>YEAR(Table13[[#This Row],[Date]])+IF(MONTH(Table13[[#This Row],[Date]])&gt;=4,1,0)</f>
        <v>2026</v>
      </c>
      <c r="C211" s="105">
        <f>YEAR(Table13[[#This Row],[Date]])</f>
        <v>2025</v>
      </c>
      <c r="D211" s="119">
        <f>Table13[[#This Row],[Date]]-DAY(Table13[[#This Row],[Date]])+1</f>
        <v>45931</v>
      </c>
      <c r="E211" s="105">
        <f t="shared" si="16"/>
        <v>31</v>
      </c>
      <c r="F211" s="108"/>
      <c r="G211" s="109"/>
      <c r="H211" s="109"/>
      <c r="I211" s="109"/>
      <c r="J211" s="109"/>
      <c r="K211" s="120"/>
      <c r="L211" s="109"/>
      <c r="M211" s="109" t="str">
        <f>IFERROR(_xlfn.XLOOKUP($A211,Input_Raw!$A:$A,Input_Raw!CG:CG),"")</f>
        <v/>
      </c>
      <c r="N211" s="109" t="str">
        <f>IFERROR(_xlfn.XLOOKUP($A211,Input_Raw!$A:$A,Input_Raw!CH:CH),"")</f>
        <v/>
      </c>
      <c r="O211" s="121" t="str">
        <f t="shared" si="17"/>
        <v/>
      </c>
      <c r="P211" s="121" t="str">
        <f>IFERROR(1-SUMIF(WTG_BD!$F:$F,$A211,WTG_BD!$AA:$AA)/($AA211+SUMIF(WTG_BD!$F:$F,$A211,WTG_BD!$AA:$AA)),"")</f>
        <v/>
      </c>
      <c r="Q211" s="122" t="str">
        <f>IFERROR(1-SUMIF(IGA_BD!$F:$F,$A211,IGA_BD!$V:$V)/($AA211+SUMIF(IGA_BD!$F:$F,$A211,IGA_BD!$V:$V)),"")</f>
        <v/>
      </c>
      <c r="R211" s="127" t="str">
        <f>IFERROR(1-SUMIF(Grid_BD!$F:$F,$A211,Grid_BD!$X:$X)/($AA211+SUMIF(Grid_BD!$F:$F,$A211,Grid_BD!$X:$X)),"")</f>
        <v/>
      </c>
      <c r="S211" s="105"/>
      <c r="T211" s="122"/>
      <c r="U211" s="123"/>
      <c r="V211" s="105"/>
      <c r="W211" s="124" t="str">
        <f>IFERROR(Table13[[#This Row],[Mtr_Net_Exp (KWh)]]/(24*AR211*1000),"")</f>
        <v/>
      </c>
      <c r="X211" s="105" t="str">
        <f>IFERROR(_xlfn.XLOOKUP($A211,Input_Raw!$A:$A,Input_Raw!$CF:$CF),"")</f>
        <v/>
      </c>
      <c r="Y211" s="105" t="str">
        <f>IFERROR(_xlfn.XLOOKUP($A211,Input_Raw!$A:$A,Input_Raw!$CZ:$CZ),"")</f>
        <v/>
      </c>
      <c r="Z211" s="105" t="str">
        <f>IFERROR(_xlfn.XLOOKUP($A211,Input_Raw!$A:$A,Input_Raw!$DA:$DA),"")</f>
        <v/>
      </c>
      <c r="AA211" s="107" t="str">
        <f t="shared" si="18"/>
        <v/>
      </c>
      <c r="AB211" s="105" t="str">
        <f>IFERROR(_xlfn.XLOOKUP($A211,Input_Raw!$A:$A,Input_Raw!$DG:$DG),"")</f>
        <v/>
      </c>
      <c r="AC211" s="125">
        <f>IFERROR(_xlfn.XLOOKUP($D211,'Modelling New'!$D:$D,'Modelling New'!$J:$J),"")</f>
        <v>3.9666666666666668</v>
      </c>
      <c r="AD211" s="107">
        <f>IFERROR(_xlfn.XLOOKUP($D211,'Modelling New'!$D:$D,'Modelling New'!$T:$T)*1000,"")</f>
        <v>164597.86033847061</v>
      </c>
      <c r="AE211" s="124"/>
      <c r="AF211" s="124">
        <f>IFERROR(_xlfn.XLOOKUP($D211,'Modelling New'!$D:$D,'Modelling New'!$W:$W),"")</f>
        <v>8.792620744576421E-2</v>
      </c>
      <c r="AG211" s="124">
        <f>IFERROR(_xlfn.XLOOKUP($D211,'Modelling New'!$D:$D,'Modelling New'!$AE:$AE),"")</f>
        <v>0.96029999999999993</v>
      </c>
      <c r="AH211" s="124">
        <f>IFERROR(_xlfn.XLOOKUP($D211,'Modelling New'!$D:$D,'Modelling New'!$AF:$AF),"")</f>
        <v>0.995</v>
      </c>
      <c r="AI211" s="105" t="str">
        <f>IFERROR(_xlfn.XLOOKUP($A211,Input_Raw!$A:$A,Input_Raw!$DE:$DE),"")</f>
        <v/>
      </c>
      <c r="AJ211" s="105"/>
      <c r="AK211" s="105"/>
      <c r="AL211" s="105"/>
      <c r="AM211" s="105"/>
      <c r="AN211" s="126" t="str">
        <f>IFERROR(_xlfn.XLOOKUP($A211,Input_Raw!$A:$A,Input_Raw!$DB:$DB),"")</f>
        <v/>
      </c>
      <c r="AO211" s="124" t="str">
        <f>IFERROR((_xlfn.XLOOKUP($A211,'WTG Reactive Power'!$A:$A,'WTG Reactive Power'!$AR:$AR))/X211/1000,"")</f>
        <v/>
      </c>
      <c r="AP211" s="124">
        <f>IFERROR(_xlfn.XLOOKUP($D211,'Modelling New'!$D:$D,'Modelling New'!$AK:$AK),"")</f>
        <v>0.05</v>
      </c>
      <c r="AQ211" s="124">
        <f>IFERROR(_xlfn.XLOOKUP($D211,'Modelling New'!$D:$D,'Modelling New'!$AL:$AL),"")</f>
        <v>0.05</v>
      </c>
      <c r="AR211">
        <f>IFERROR(_xlfn.XLOOKUP($D211,'Modelling New'!$D:$D,'Modelling New'!$N:$N),"")</f>
        <v>78</v>
      </c>
    </row>
    <row r="212" spans="1:44">
      <c r="A212" s="118">
        <f t="shared" si="15"/>
        <v>45955</v>
      </c>
      <c r="B212" s="107">
        <f>YEAR(Table13[[#This Row],[Date]])+IF(MONTH(Table13[[#This Row],[Date]])&gt;=4,1,0)</f>
        <v>2026</v>
      </c>
      <c r="C212" s="105">
        <f>YEAR(Table13[[#This Row],[Date]])</f>
        <v>2025</v>
      </c>
      <c r="D212" s="119">
        <f>Table13[[#This Row],[Date]]-DAY(Table13[[#This Row],[Date]])+1</f>
        <v>45931</v>
      </c>
      <c r="E212" s="105">
        <f t="shared" si="16"/>
        <v>31</v>
      </c>
      <c r="F212" s="108"/>
      <c r="G212" s="109"/>
      <c r="H212" s="109"/>
      <c r="I212" s="109"/>
      <c r="J212" s="109"/>
      <c r="K212" s="120"/>
      <c r="L212" s="109"/>
      <c r="M212" s="109" t="str">
        <f>IFERROR(_xlfn.XLOOKUP($A212,Input_Raw!$A:$A,Input_Raw!CG:CG),"")</f>
        <v/>
      </c>
      <c r="N212" s="109" t="str">
        <f>IFERROR(_xlfn.XLOOKUP($A212,Input_Raw!$A:$A,Input_Raw!CH:CH),"")</f>
        <v/>
      </c>
      <c r="O212" s="121" t="str">
        <f t="shared" si="17"/>
        <v/>
      </c>
      <c r="P212" s="121" t="str">
        <f>IFERROR(1-SUMIF(WTG_BD!$F:$F,$A212,WTG_BD!$AA:$AA)/($AA212+SUMIF(WTG_BD!$F:$F,$A212,WTG_BD!$AA:$AA)),"")</f>
        <v/>
      </c>
      <c r="Q212" s="122" t="str">
        <f>IFERROR(1-SUMIF(IGA_BD!$F:$F,$A212,IGA_BD!$V:$V)/($AA212+SUMIF(IGA_BD!$F:$F,$A212,IGA_BD!$V:$V)),"")</f>
        <v/>
      </c>
      <c r="R212" s="127" t="str">
        <f>IFERROR(1-SUMIF(Grid_BD!$F:$F,$A212,Grid_BD!$X:$X)/($AA212+SUMIF(Grid_BD!$F:$F,$A212,Grid_BD!$X:$X)),"")</f>
        <v/>
      </c>
      <c r="S212" s="105"/>
      <c r="T212" s="122"/>
      <c r="U212" s="123"/>
      <c r="V212" s="105"/>
      <c r="W212" s="124" t="str">
        <f>IFERROR(Table13[[#This Row],[Mtr_Net_Exp (KWh)]]/(24*AR212*1000),"")</f>
        <v/>
      </c>
      <c r="X212" s="105" t="str">
        <f>IFERROR(_xlfn.XLOOKUP($A212,Input_Raw!$A:$A,Input_Raw!$CF:$CF),"")</f>
        <v/>
      </c>
      <c r="Y212" s="105" t="str">
        <f>IFERROR(_xlfn.XLOOKUP($A212,Input_Raw!$A:$A,Input_Raw!$CZ:$CZ),"")</f>
        <v/>
      </c>
      <c r="Z212" s="105" t="str">
        <f>IFERROR(_xlfn.XLOOKUP($A212,Input_Raw!$A:$A,Input_Raw!$DA:$DA),"")</f>
        <v/>
      </c>
      <c r="AA212" s="107" t="str">
        <f t="shared" si="18"/>
        <v/>
      </c>
      <c r="AB212" s="105" t="str">
        <f>IFERROR(_xlfn.XLOOKUP($A212,Input_Raw!$A:$A,Input_Raw!$DG:$DG),"")</f>
        <v/>
      </c>
      <c r="AC212" s="125">
        <f>IFERROR(_xlfn.XLOOKUP($D212,'Modelling New'!$D:$D,'Modelling New'!$J:$J),"")</f>
        <v>3.9666666666666668</v>
      </c>
      <c r="AD212" s="107">
        <f>IFERROR(_xlfn.XLOOKUP($D212,'Modelling New'!$D:$D,'Modelling New'!$T:$T)*1000,"")</f>
        <v>164597.86033847061</v>
      </c>
      <c r="AE212" s="124"/>
      <c r="AF212" s="124">
        <f>IFERROR(_xlfn.XLOOKUP($D212,'Modelling New'!$D:$D,'Modelling New'!$W:$W),"")</f>
        <v>8.792620744576421E-2</v>
      </c>
      <c r="AG212" s="124">
        <f>IFERROR(_xlfn.XLOOKUP($D212,'Modelling New'!$D:$D,'Modelling New'!$AE:$AE),"")</f>
        <v>0.96029999999999993</v>
      </c>
      <c r="AH212" s="124">
        <f>IFERROR(_xlfn.XLOOKUP($D212,'Modelling New'!$D:$D,'Modelling New'!$AF:$AF),"")</f>
        <v>0.995</v>
      </c>
      <c r="AI212" s="105" t="str">
        <f>IFERROR(_xlfn.XLOOKUP($A212,Input_Raw!$A:$A,Input_Raw!$DE:$DE),"")</f>
        <v/>
      </c>
      <c r="AJ212" s="105"/>
      <c r="AK212" s="105"/>
      <c r="AL212" s="105"/>
      <c r="AM212" s="105"/>
      <c r="AN212" s="126" t="str">
        <f>IFERROR(_xlfn.XLOOKUP($A212,Input_Raw!$A:$A,Input_Raw!$DB:$DB),"")</f>
        <v/>
      </c>
      <c r="AO212" s="124" t="str">
        <f>IFERROR((_xlfn.XLOOKUP($A212,'WTG Reactive Power'!$A:$A,'WTG Reactive Power'!$AR:$AR))/X212/1000,"")</f>
        <v/>
      </c>
      <c r="AP212" s="124">
        <f>IFERROR(_xlfn.XLOOKUP($D212,'Modelling New'!$D:$D,'Modelling New'!$AK:$AK),"")</f>
        <v>0.05</v>
      </c>
      <c r="AQ212" s="124">
        <f>IFERROR(_xlfn.XLOOKUP($D212,'Modelling New'!$D:$D,'Modelling New'!$AL:$AL),"")</f>
        <v>0.05</v>
      </c>
      <c r="AR212">
        <f>IFERROR(_xlfn.XLOOKUP($D212,'Modelling New'!$D:$D,'Modelling New'!$N:$N),"")</f>
        <v>78</v>
      </c>
    </row>
    <row r="213" spans="1:44">
      <c r="A213" s="118">
        <f t="shared" si="15"/>
        <v>45956</v>
      </c>
      <c r="B213" s="107">
        <f>YEAR(Table13[[#This Row],[Date]])+IF(MONTH(Table13[[#This Row],[Date]])&gt;=4,1,0)</f>
        <v>2026</v>
      </c>
      <c r="C213" s="105">
        <f>YEAR(Table13[[#This Row],[Date]])</f>
        <v>2025</v>
      </c>
      <c r="D213" s="119">
        <f>Table13[[#This Row],[Date]]-DAY(Table13[[#This Row],[Date]])+1</f>
        <v>45931</v>
      </c>
      <c r="E213" s="105">
        <f t="shared" si="16"/>
        <v>31</v>
      </c>
      <c r="F213" s="108"/>
      <c r="G213" s="109"/>
      <c r="H213" s="109"/>
      <c r="I213" s="109"/>
      <c r="J213" s="109"/>
      <c r="K213" s="120"/>
      <c r="L213" s="109"/>
      <c r="M213" s="109" t="str">
        <f>IFERROR(_xlfn.XLOOKUP($A213,Input_Raw!$A:$A,Input_Raw!CG:CG),"")</f>
        <v/>
      </c>
      <c r="N213" s="109" t="str">
        <f>IFERROR(_xlfn.XLOOKUP($A213,Input_Raw!$A:$A,Input_Raw!CH:CH),"")</f>
        <v/>
      </c>
      <c r="O213" s="121" t="str">
        <f t="shared" si="17"/>
        <v/>
      </c>
      <c r="P213" s="121" t="str">
        <f>IFERROR(1-SUMIF(WTG_BD!$F:$F,$A213,WTG_BD!$AA:$AA)/($AA213+SUMIF(WTG_BD!$F:$F,$A213,WTG_BD!$AA:$AA)),"")</f>
        <v/>
      </c>
      <c r="Q213" s="122" t="str">
        <f>IFERROR(1-SUMIF(IGA_BD!$F:$F,$A213,IGA_BD!$V:$V)/($AA213+SUMIF(IGA_BD!$F:$F,$A213,IGA_BD!$V:$V)),"")</f>
        <v/>
      </c>
      <c r="R213" s="127" t="str">
        <f>IFERROR(1-SUMIF(Grid_BD!$F:$F,$A213,Grid_BD!$X:$X)/($AA213+SUMIF(Grid_BD!$F:$F,$A213,Grid_BD!$X:$X)),"")</f>
        <v/>
      </c>
      <c r="S213" s="105"/>
      <c r="T213" s="122"/>
      <c r="U213" s="123"/>
      <c r="V213" s="105"/>
      <c r="W213" s="124" t="str">
        <f>IFERROR(Table13[[#This Row],[Mtr_Net_Exp (KWh)]]/(24*AR213*1000),"")</f>
        <v/>
      </c>
      <c r="X213" s="105" t="str">
        <f>IFERROR(_xlfn.XLOOKUP($A213,Input_Raw!$A:$A,Input_Raw!$CF:$CF),"")</f>
        <v/>
      </c>
      <c r="Y213" s="105" t="str">
        <f>IFERROR(_xlfn.XLOOKUP($A213,Input_Raw!$A:$A,Input_Raw!$CZ:$CZ),"")</f>
        <v/>
      </c>
      <c r="Z213" s="105" t="str">
        <f>IFERROR(_xlfn.XLOOKUP($A213,Input_Raw!$A:$A,Input_Raw!$DA:$DA),"")</f>
        <v/>
      </c>
      <c r="AA213" s="107" t="str">
        <f t="shared" si="18"/>
        <v/>
      </c>
      <c r="AB213" s="105" t="str">
        <f>IFERROR(_xlfn.XLOOKUP($A213,Input_Raw!$A:$A,Input_Raw!$DG:$DG),"")</f>
        <v/>
      </c>
      <c r="AC213" s="125">
        <f>IFERROR(_xlfn.XLOOKUP($D213,'Modelling New'!$D:$D,'Modelling New'!$J:$J),"")</f>
        <v>3.9666666666666668</v>
      </c>
      <c r="AD213" s="107">
        <f>IFERROR(_xlfn.XLOOKUP($D213,'Modelling New'!$D:$D,'Modelling New'!$T:$T)*1000,"")</f>
        <v>164597.86033847061</v>
      </c>
      <c r="AE213" s="124"/>
      <c r="AF213" s="124">
        <f>IFERROR(_xlfn.XLOOKUP($D213,'Modelling New'!$D:$D,'Modelling New'!$W:$W),"")</f>
        <v>8.792620744576421E-2</v>
      </c>
      <c r="AG213" s="124">
        <f>IFERROR(_xlfn.XLOOKUP($D213,'Modelling New'!$D:$D,'Modelling New'!$AE:$AE),"")</f>
        <v>0.96029999999999993</v>
      </c>
      <c r="AH213" s="124">
        <f>IFERROR(_xlfn.XLOOKUP($D213,'Modelling New'!$D:$D,'Modelling New'!$AF:$AF),"")</f>
        <v>0.995</v>
      </c>
      <c r="AI213" s="105" t="str">
        <f>IFERROR(_xlfn.XLOOKUP($A213,Input_Raw!$A:$A,Input_Raw!$DE:$DE),"")</f>
        <v/>
      </c>
      <c r="AJ213" s="105"/>
      <c r="AK213" s="105"/>
      <c r="AL213" s="105"/>
      <c r="AM213" s="105"/>
      <c r="AN213" s="126" t="str">
        <f>IFERROR(_xlfn.XLOOKUP($A213,Input_Raw!$A:$A,Input_Raw!$DB:$DB),"")</f>
        <v/>
      </c>
      <c r="AO213" s="124" t="str">
        <f>IFERROR((_xlfn.XLOOKUP($A213,'WTG Reactive Power'!$A:$A,'WTG Reactive Power'!$AR:$AR))/X213/1000,"")</f>
        <v/>
      </c>
      <c r="AP213" s="124">
        <f>IFERROR(_xlfn.XLOOKUP($D213,'Modelling New'!$D:$D,'Modelling New'!$AK:$AK),"")</f>
        <v>0.05</v>
      </c>
      <c r="AQ213" s="124">
        <f>IFERROR(_xlfn.XLOOKUP($D213,'Modelling New'!$D:$D,'Modelling New'!$AL:$AL),"")</f>
        <v>0.05</v>
      </c>
      <c r="AR213">
        <f>IFERROR(_xlfn.XLOOKUP($D213,'Modelling New'!$D:$D,'Modelling New'!$N:$N),"")</f>
        <v>78</v>
      </c>
    </row>
    <row r="214" spans="1:44">
      <c r="A214" s="118">
        <f t="shared" si="15"/>
        <v>45957</v>
      </c>
      <c r="B214" s="107">
        <f>YEAR(Table13[[#This Row],[Date]])+IF(MONTH(Table13[[#This Row],[Date]])&gt;=4,1,0)</f>
        <v>2026</v>
      </c>
      <c r="C214" s="105">
        <f>YEAR(Table13[[#This Row],[Date]])</f>
        <v>2025</v>
      </c>
      <c r="D214" s="119">
        <f>Table13[[#This Row],[Date]]-DAY(Table13[[#This Row],[Date]])+1</f>
        <v>45931</v>
      </c>
      <c r="E214" s="105">
        <f t="shared" si="16"/>
        <v>31</v>
      </c>
      <c r="F214" s="108"/>
      <c r="G214" s="109"/>
      <c r="H214" s="109"/>
      <c r="I214" s="109"/>
      <c r="J214" s="109"/>
      <c r="K214" s="120"/>
      <c r="L214" s="109"/>
      <c r="M214" s="109" t="str">
        <f>IFERROR(_xlfn.XLOOKUP($A214,Input_Raw!$A:$A,Input_Raw!CG:CG),"")</f>
        <v/>
      </c>
      <c r="N214" s="109" t="str">
        <f>IFERROR(_xlfn.XLOOKUP($A214,Input_Raw!$A:$A,Input_Raw!CH:CH),"")</f>
        <v/>
      </c>
      <c r="O214" s="121" t="str">
        <f t="shared" si="17"/>
        <v/>
      </c>
      <c r="P214" s="121" t="str">
        <f>IFERROR(1-SUMIF(WTG_BD!$F:$F,$A214,WTG_BD!$AA:$AA)/($AA214+SUMIF(WTG_BD!$F:$F,$A214,WTG_BD!$AA:$AA)),"")</f>
        <v/>
      </c>
      <c r="Q214" s="122" t="str">
        <f>IFERROR(1-SUMIF(IGA_BD!$F:$F,$A214,IGA_BD!$V:$V)/($AA214+SUMIF(IGA_BD!$F:$F,$A214,IGA_BD!$V:$V)),"")</f>
        <v/>
      </c>
      <c r="R214" s="127" t="str">
        <f>IFERROR(1-SUMIF(Grid_BD!$F:$F,$A214,Grid_BD!$X:$X)/($AA214+SUMIF(Grid_BD!$F:$F,$A214,Grid_BD!$X:$X)),"")</f>
        <v/>
      </c>
      <c r="S214" s="105"/>
      <c r="T214" s="122"/>
      <c r="U214" s="123"/>
      <c r="V214" s="105"/>
      <c r="W214" s="124" t="str">
        <f>IFERROR(Table13[[#This Row],[Mtr_Net_Exp (KWh)]]/(24*AR214*1000),"")</f>
        <v/>
      </c>
      <c r="X214" s="105" t="str">
        <f>IFERROR(_xlfn.XLOOKUP($A214,Input_Raw!$A:$A,Input_Raw!$CF:$CF),"")</f>
        <v/>
      </c>
      <c r="Y214" s="105" t="str">
        <f>IFERROR(_xlfn.XLOOKUP($A214,Input_Raw!$A:$A,Input_Raw!$CZ:$CZ),"")</f>
        <v/>
      </c>
      <c r="Z214" s="105" t="str">
        <f>IFERROR(_xlfn.XLOOKUP($A214,Input_Raw!$A:$A,Input_Raw!$DA:$DA),"")</f>
        <v/>
      </c>
      <c r="AA214" s="107" t="str">
        <f t="shared" si="18"/>
        <v/>
      </c>
      <c r="AB214" s="105" t="str">
        <f>IFERROR(_xlfn.XLOOKUP($A214,Input_Raw!$A:$A,Input_Raw!$DG:$DG),"")</f>
        <v/>
      </c>
      <c r="AC214" s="125">
        <f>IFERROR(_xlfn.XLOOKUP($D214,'Modelling New'!$D:$D,'Modelling New'!$J:$J),"")</f>
        <v>3.9666666666666668</v>
      </c>
      <c r="AD214" s="107">
        <f>IFERROR(_xlfn.XLOOKUP($D214,'Modelling New'!$D:$D,'Modelling New'!$T:$T)*1000,"")</f>
        <v>164597.86033847061</v>
      </c>
      <c r="AE214" s="124"/>
      <c r="AF214" s="124">
        <f>IFERROR(_xlfn.XLOOKUP($D214,'Modelling New'!$D:$D,'Modelling New'!$W:$W),"")</f>
        <v>8.792620744576421E-2</v>
      </c>
      <c r="AG214" s="124">
        <f>IFERROR(_xlfn.XLOOKUP($D214,'Modelling New'!$D:$D,'Modelling New'!$AE:$AE),"")</f>
        <v>0.96029999999999993</v>
      </c>
      <c r="AH214" s="124">
        <f>IFERROR(_xlfn.XLOOKUP($D214,'Modelling New'!$D:$D,'Modelling New'!$AF:$AF),"")</f>
        <v>0.995</v>
      </c>
      <c r="AI214" s="105" t="str">
        <f>IFERROR(_xlfn.XLOOKUP($A214,Input_Raw!$A:$A,Input_Raw!$DE:$DE),"")</f>
        <v/>
      </c>
      <c r="AJ214" s="105"/>
      <c r="AK214" s="105"/>
      <c r="AL214" s="105"/>
      <c r="AM214" s="105"/>
      <c r="AN214" s="126" t="str">
        <f>IFERROR(_xlfn.XLOOKUP($A214,Input_Raw!$A:$A,Input_Raw!$DB:$DB),"")</f>
        <v/>
      </c>
      <c r="AO214" s="124" t="str">
        <f>IFERROR((_xlfn.XLOOKUP($A214,'WTG Reactive Power'!$A:$A,'WTG Reactive Power'!$AR:$AR))/X214/1000,"")</f>
        <v/>
      </c>
      <c r="AP214" s="124">
        <f>IFERROR(_xlfn.XLOOKUP($D214,'Modelling New'!$D:$D,'Modelling New'!$AK:$AK),"")</f>
        <v>0.05</v>
      </c>
      <c r="AQ214" s="124">
        <f>IFERROR(_xlfn.XLOOKUP($D214,'Modelling New'!$D:$D,'Modelling New'!$AL:$AL),"")</f>
        <v>0.05</v>
      </c>
      <c r="AR214">
        <f>IFERROR(_xlfn.XLOOKUP($D214,'Modelling New'!$D:$D,'Modelling New'!$N:$N),"")</f>
        <v>78</v>
      </c>
    </row>
    <row r="215" spans="1:44">
      <c r="A215" s="118">
        <f t="shared" si="15"/>
        <v>45958</v>
      </c>
      <c r="B215" s="107">
        <f>YEAR(Table13[[#This Row],[Date]])+IF(MONTH(Table13[[#This Row],[Date]])&gt;=4,1,0)</f>
        <v>2026</v>
      </c>
      <c r="C215" s="105">
        <f>YEAR(Table13[[#This Row],[Date]])</f>
        <v>2025</v>
      </c>
      <c r="D215" s="119">
        <f>Table13[[#This Row],[Date]]-DAY(Table13[[#This Row],[Date]])+1</f>
        <v>45931</v>
      </c>
      <c r="E215" s="105">
        <f t="shared" si="16"/>
        <v>31</v>
      </c>
      <c r="F215" s="108"/>
      <c r="G215" s="109"/>
      <c r="H215" s="109"/>
      <c r="I215" s="109"/>
      <c r="J215" s="109"/>
      <c r="K215" s="120"/>
      <c r="L215" s="109"/>
      <c r="M215" s="109" t="str">
        <f>IFERROR(_xlfn.XLOOKUP($A215,Input_Raw!$A:$A,Input_Raw!CG:CG),"")</f>
        <v/>
      </c>
      <c r="N215" s="109" t="str">
        <f>IFERROR(_xlfn.XLOOKUP($A215,Input_Raw!$A:$A,Input_Raw!CH:CH),"")</f>
        <v/>
      </c>
      <c r="O215" s="121" t="str">
        <f t="shared" si="17"/>
        <v/>
      </c>
      <c r="P215" s="121" t="str">
        <f>IFERROR(1-SUMIF(WTG_BD!$F:$F,$A215,WTG_BD!$AA:$AA)/($AA215+SUMIF(WTG_BD!$F:$F,$A215,WTG_BD!$AA:$AA)),"")</f>
        <v/>
      </c>
      <c r="Q215" s="122" t="str">
        <f>IFERROR(1-SUMIF(IGA_BD!$F:$F,$A215,IGA_BD!$V:$V)/($AA215+SUMIF(IGA_BD!$F:$F,$A215,IGA_BD!$V:$V)),"")</f>
        <v/>
      </c>
      <c r="R215" s="127" t="str">
        <f>IFERROR(1-SUMIF(Grid_BD!$F:$F,$A215,Grid_BD!$X:$X)/($AA215+SUMIF(Grid_BD!$F:$F,$A215,Grid_BD!$X:$X)),"")</f>
        <v/>
      </c>
      <c r="S215" s="105"/>
      <c r="T215" s="122"/>
      <c r="U215" s="123"/>
      <c r="V215" s="105"/>
      <c r="W215" s="124" t="str">
        <f>IFERROR(Table13[[#This Row],[Mtr_Net_Exp (KWh)]]/(24*AR215*1000),"")</f>
        <v/>
      </c>
      <c r="X215" s="105" t="str">
        <f>IFERROR(_xlfn.XLOOKUP($A215,Input_Raw!$A:$A,Input_Raw!$CF:$CF),"")</f>
        <v/>
      </c>
      <c r="Y215" s="105" t="str">
        <f>IFERROR(_xlfn.XLOOKUP($A215,Input_Raw!$A:$A,Input_Raw!$CZ:$CZ),"")</f>
        <v/>
      </c>
      <c r="Z215" s="105" t="str">
        <f>IFERROR(_xlfn.XLOOKUP($A215,Input_Raw!$A:$A,Input_Raw!$DA:$DA),"")</f>
        <v/>
      </c>
      <c r="AA215" s="107" t="str">
        <f t="shared" si="18"/>
        <v/>
      </c>
      <c r="AB215" s="105" t="str">
        <f>IFERROR(_xlfn.XLOOKUP($A215,Input_Raw!$A:$A,Input_Raw!$DG:$DG),"")</f>
        <v/>
      </c>
      <c r="AC215" s="125">
        <f>IFERROR(_xlfn.XLOOKUP($D215,'Modelling New'!$D:$D,'Modelling New'!$J:$J),"")</f>
        <v>3.9666666666666668</v>
      </c>
      <c r="AD215" s="107">
        <f>IFERROR(_xlfn.XLOOKUP($D215,'Modelling New'!$D:$D,'Modelling New'!$T:$T)*1000,"")</f>
        <v>164597.86033847061</v>
      </c>
      <c r="AE215" s="124"/>
      <c r="AF215" s="124">
        <f>IFERROR(_xlfn.XLOOKUP($D215,'Modelling New'!$D:$D,'Modelling New'!$W:$W),"")</f>
        <v>8.792620744576421E-2</v>
      </c>
      <c r="AG215" s="124">
        <f>IFERROR(_xlfn.XLOOKUP($D215,'Modelling New'!$D:$D,'Modelling New'!$AE:$AE),"")</f>
        <v>0.96029999999999993</v>
      </c>
      <c r="AH215" s="124">
        <f>IFERROR(_xlfn.XLOOKUP($D215,'Modelling New'!$D:$D,'Modelling New'!$AF:$AF),"")</f>
        <v>0.995</v>
      </c>
      <c r="AI215" s="105" t="str">
        <f>IFERROR(_xlfn.XLOOKUP($A215,Input_Raw!$A:$A,Input_Raw!$DE:$DE),"")</f>
        <v/>
      </c>
      <c r="AJ215" s="105"/>
      <c r="AK215" s="105"/>
      <c r="AL215" s="105"/>
      <c r="AM215" s="105"/>
      <c r="AN215" s="126" t="str">
        <f>IFERROR(_xlfn.XLOOKUP($A215,Input_Raw!$A:$A,Input_Raw!$DB:$DB),"")</f>
        <v/>
      </c>
      <c r="AO215" s="124" t="str">
        <f>IFERROR((_xlfn.XLOOKUP($A215,'WTG Reactive Power'!$A:$A,'WTG Reactive Power'!$AR:$AR))/X215/1000,"")</f>
        <v/>
      </c>
      <c r="AP215" s="124">
        <f>IFERROR(_xlfn.XLOOKUP($D215,'Modelling New'!$D:$D,'Modelling New'!$AK:$AK),"")</f>
        <v>0.05</v>
      </c>
      <c r="AQ215" s="124">
        <f>IFERROR(_xlfn.XLOOKUP($D215,'Modelling New'!$D:$D,'Modelling New'!$AL:$AL),"")</f>
        <v>0.05</v>
      </c>
      <c r="AR215">
        <f>IFERROR(_xlfn.XLOOKUP($D215,'Modelling New'!$D:$D,'Modelling New'!$N:$N),"")</f>
        <v>78</v>
      </c>
    </row>
    <row r="216" spans="1:44">
      <c r="A216" s="118">
        <f t="shared" si="15"/>
        <v>45959</v>
      </c>
      <c r="B216" s="107">
        <f>YEAR(Table13[[#This Row],[Date]])+IF(MONTH(Table13[[#This Row],[Date]])&gt;=4,1,0)</f>
        <v>2026</v>
      </c>
      <c r="C216" s="105">
        <f>YEAR(Table13[[#This Row],[Date]])</f>
        <v>2025</v>
      </c>
      <c r="D216" s="119">
        <f>Table13[[#This Row],[Date]]-DAY(Table13[[#This Row],[Date]])+1</f>
        <v>45931</v>
      </c>
      <c r="E216" s="105">
        <f t="shared" si="16"/>
        <v>31</v>
      </c>
      <c r="F216" s="108"/>
      <c r="G216" s="109"/>
      <c r="H216" s="109"/>
      <c r="I216" s="109"/>
      <c r="J216" s="109"/>
      <c r="K216" s="120"/>
      <c r="L216" s="109"/>
      <c r="M216" s="109" t="str">
        <f>IFERROR(_xlfn.XLOOKUP($A216,Input_Raw!$A:$A,Input_Raw!CG:CG),"")</f>
        <v/>
      </c>
      <c r="N216" s="109" t="str">
        <f>IFERROR(_xlfn.XLOOKUP($A216,Input_Raw!$A:$A,Input_Raw!CH:CH),"")</f>
        <v/>
      </c>
      <c r="O216" s="121" t="str">
        <f t="shared" si="17"/>
        <v/>
      </c>
      <c r="P216" s="121" t="str">
        <f>IFERROR(1-SUMIF(WTG_BD!$F:$F,$A216,WTG_BD!$AA:$AA)/($AA216+SUMIF(WTG_BD!$F:$F,$A216,WTG_BD!$AA:$AA)),"")</f>
        <v/>
      </c>
      <c r="Q216" s="122" t="str">
        <f>IFERROR(1-SUMIF(IGA_BD!$F:$F,$A216,IGA_BD!$V:$V)/($AA216+SUMIF(IGA_BD!$F:$F,$A216,IGA_BD!$V:$V)),"")</f>
        <v/>
      </c>
      <c r="R216" s="127" t="str">
        <f>IFERROR(1-SUMIF(Grid_BD!$F:$F,$A216,Grid_BD!$X:$X)/($AA216+SUMIF(Grid_BD!$F:$F,$A216,Grid_BD!$X:$X)),"")</f>
        <v/>
      </c>
      <c r="S216" s="105"/>
      <c r="T216" s="122"/>
      <c r="U216" s="123"/>
      <c r="V216" s="105"/>
      <c r="W216" s="124" t="str">
        <f>IFERROR(Table13[[#This Row],[Mtr_Net_Exp (KWh)]]/(24*AR216*1000),"")</f>
        <v/>
      </c>
      <c r="X216" s="105" t="str">
        <f>IFERROR(_xlfn.XLOOKUP($A216,Input_Raw!$A:$A,Input_Raw!$CF:$CF),"")</f>
        <v/>
      </c>
      <c r="Y216" s="105" t="str">
        <f>IFERROR(_xlfn.XLOOKUP($A216,Input_Raw!$A:$A,Input_Raw!$CZ:$CZ),"")</f>
        <v/>
      </c>
      <c r="Z216" s="105" t="str">
        <f>IFERROR(_xlfn.XLOOKUP($A216,Input_Raw!$A:$A,Input_Raw!$DA:$DA),"")</f>
        <v/>
      </c>
      <c r="AA216" s="107" t="str">
        <f t="shared" si="18"/>
        <v/>
      </c>
      <c r="AB216" s="105" t="str">
        <f>IFERROR(_xlfn.XLOOKUP($A216,Input_Raw!$A:$A,Input_Raw!$DG:$DG),"")</f>
        <v/>
      </c>
      <c r="AC216" s="125">
        <f>IFERROR(_xlfn.XLOOKUP($D216,'Modelling New'!$D:$D,'Modelling New'!$J:$J),"")</f>
        <v>3.9666666666666668</v>
      </c>
      <c r="AD216" s="107">
        <f>IFERROR(_xlfn.XLOOKUP($D216,'Modelling New'!$D:$D,'Modelling New'!$T:$T)*1000,"")</f>
        <v>164597.86033847061</v>
      </c>
      <c r="AE216" s="124"/>
      <c r="AF216" s="124">
        <f>IFERROR(_xlfn.XLOOKUP($D216,'Modelling New'!$D:$D,'Modelling New'!$W:$W),"")</f>
        <v>8.792620744576421E-2</v>
      </c>
      <c r="AG216" s="124">
        <f>IFERROR(_xlfn.XLOOKUP($D216,'Modelling New'!$D:$D,'Modelling New'!$AE:$AE),"")</f>
        <v>0.96029999999999993</v>
      </c>
      <c r="AH216" s="124">
        <f>IFERROR(_xlfn.XLOOKUP($D216,'Modelling New'!$D:$D,'Modelling New'!$AF:$AF),"")</f>
        <v>0.995</v>
      </c>
      <c r="AI216" s="105" t="str">
        <f>IFERROR(_xlfn.XLOOKUP($A216,Input_Raw!$A:$A,Input_Raw!$DE:$DE),"")</f>
        <v/>
      </c>
      <c r="AJ216" s="105"/>
      <c r="AK216" s="105"/>
      <c r="AL216" s="105"/>
      <c r="AM216" s="105"/>
      <c r="AN216" s="126" t="str">
        <f>IFERROR(_xlfn.XLOOKUP($A216,Input_Raw!$A:$A,Input_Raw!$DB:$DB),"")</f>
        <v/>
      </c>
      <c r="AO216" s="124" t="str">
        <f>IFERROR((_xlfn.XLOOKUP($A216,'WTG Reactive Power'!$A:$A,'WTG Reactive Power'!$AR:$AR))/X216/1000,"")</f>
        <v/>
      </c>
      <c r="AP216" s="124">
        <f>IFERROR(_xlfn.XLOOKUP($D216,'Modelling New'!$D:$D,'Modelling New'!$AK:$AK),"")</f>
        <v>0.05</v>
      </c>
      <c r="AQ216" s="124">
        <f>IFERROR(_xlfn.XLOOKUP($D216,'Modelling New'!$D:$D,'Modelling New'!$AL:$AL),"")</f>
        <v>0.05</v>
      </c>
      <c r="AR216">
        <f>IFERROR(_xlfn.XLOOKUP($D216,'Modelling New'!$D:$D,'Modelling New'!$N:$N),"")</f>
        <v>78</v>
      </c>
    </row>
    <row r="217" spans="1:44">
      <c r="A217" s="118">
        <f t="shared" si="15"/>
        <v>45960</v>
      </c>
      <c r="B217" s="107">
        <f>YEAR(Table13[[#This Row],[Date]])+IF(MONTH(Table13[[#This Row],[Date]])&gt;=4,1,0)</f>
        <v>2026</v>
      </c>
      <c r="C217" s="105">
        <f>YEAR(Table13[[#This Row],[Date]])</f>
        <v>2025</v>
      </c>
      <c r="D217" s="119">
        <f>Table13[[#This Row],[Date]]-DAY(Table13[[#This Row],[Date]])+1</f>
        <v>45931</v>
      </c>
      <c r="E217" s="105">
        <f t="shared" si="16"/>
        <v>31</v>
      </c>
      <c r="F217" s="108"/>
      <c r="G217" s="109"/>
      <c r="H217" s="109"/>
      <c r="I217" s="109"/>
      <c r="J217" s="109"/>
      <c r="K217" s="120"/>
      <c r="L217" s="109"/>
      <c r="M217" s="109" t="str">
        <f>IFERROR(_xlfn.XLOOKUP($A217,Input_Raw!$A:$A,Input_Raw!CG:CG),"")</f>
        <v/>
      </c>
      <c r="N217" s="109" t="str">
        <f>IFERROR(_xlfn.XLOOKUP($A217,Input_Raw!$A:$A,Input_Raw!CH:CH),"")</f>
        <v/>
      </c>
      <c r="O217" s="121" t="str">
        <f t="shared" si="17"/>
        <v/>
      </c>
      <c r="P217" s="121" t="str">
        <f>IFERROR(1-SUMIF(WTG_BD!$F:$F,$A217,WTG_BD!$AA:$AA)/($AA217+SUMIF(WTG_BD!$F:$F,$A217,WTG_BD!$AA:$AA)),"")</f>
        <v/>
      </c>
      <c r="Q217" s="122" t="str">
        <f>IFERROR(1-SUMIF(IGA_BD!$F:$F,$A217,IGA_BD!$V:$V)/($AA217+SUMIF(IGA_BD!$F:$F,$A217,IGA_BD!$V:$V)),"")</f>
        <v/>
      </c>
      <c r="R217" s="127" t="str">
        <f>IFERROR(1-SUMIF(Grid_BD!$F:$F,$A217,Grid_BD!$X:$X)/($AA217+SUMIF(Grid_BD!$F:$F,$A217,Grid_BD!$X:$X)),"")</f>
        <v/>
      </c>
      <c r="S217" s="105"/>
      <c r="T217" s="122"/>
      <c r="U217" s="123"/>
      <c r="V217" s="105"/>
      <c r="W217" s="124" t="str">
        <f>IFERROR(Table13[[#This Row],[Mtr_Net_Exp (KWh)]]/(24*AR217*1000),"")</f>
        <v/>
      </c>
      <c r="X217" s="105" t="str">
        <f>IFERROR(_xlfn.XLOOKUP($A217,Input_Raw!$A:$A,Input_Raw!$CF:$CF),"")</f>
        <v/>
      </c>
      <c r="Y217" s="105" t="str">
        <f>IFERROR(_xlfn.XLOOKUP($A217,Input_Raw!$A:$A,Input_Raw!$CZ:$CZ),"")</f>
        <v/>
      </c>
      <c r="Z217" s="105" t="str">
        <f>IFERROR(_xlfn.XLOOKUP($A217,Input_Raw!$A:$A,Input_Raw!$DA:$DA),"")</f>
        <v/>
      </c>
      <c r="AA217" s="107" t="str">
        <f t="shared" si="18"/>
        <v/>
      </c>
      <c r="AB217" s="105" t="str">
        <f>IFERROR(_xlfn.XLOOKUP($A217,Input_Raw!$A:$A,Input_Raw!$DG:$DG),"")</f>
        <v/>
      </c>
      <c r="AC217" s="125">
        <f>IFERROR(_xlfn.XLOOKUP($D217,'Modelling New'!$D:$D,'Modelling New'!$J:$J),"")</f>
        <v>3.9666666666666668</v>
      </c>
      <c r="AD217" s="107">
        <f>IFERROR(_xlfn.XLOOKUP($D217,'Modelling New'!$D:$D,'Modelling New'!$T:$T)*1000,"")</f>
        <v>164597.86033847061</v>
      </c>
      <c r="AE217" s="124"/>
      <c r="AF217" s="124">
        <f>IFERROR(_xlfn.XLOOKUP($D217,'Modelling New'!$D:$D,'Modelling New'!$W:$W),"")</f>
        <v>8.792620744576421E-2</v>
      </c>
      <c r="AG217" s="124">
        <f>IFERROR(_xlfn.XLOOKUP($D217,'Modelling New'!$D:$D,'Modelling New'!$AE:$AE),"")</f>
        <v>0.96029999999999993</v>
      </c>
      <c r="AH217" s="124">
        <f>IFERROR(_xlfn.XLOOKUP($D217,'Modelling New'!$D:$D,'Modelling New'!$AF:$AF),"")</f>
        <v>0.995</v>
      </c>
      <c r="AI217" s="105" t="str">
        <f>IFERROR(_xlfn.XLOOKUP($A217,Input_Raw!$A:$A,Input_Raw!$DE:$DE),"")</f>
        <v/>
      </c>
      <c r="AJ217" s="105"/>
      <c r="AK217" s="105"/>
      <c r="AL217" s="105"/>
      <c r="AM217" s="105"/>
      <c r="AN217" s="126" t="str">
        <f>IFERROR(_xlfn.XLOOKUP($A217,Input_Raw!$A:$A,Input_Raw!$DB:$DB),"")</f>
        <v/>
      </c>
      <c r="AO217" s="124" t="str">
        <f>IFERROR((_xlfn.XLOOKUP($A217,'WTG Reactive Power'!$A:$A,'WTG Reactive Power'!$AR:$AR))/X217/1000,"")</f>
        <v/>
      </c>
      <c r="AP217" s="124">
        <f>IFERROR(_xlfn.XLOOKUP($D217,'Modelling New'!$D:$D,'Modelling New'!$AK:$AK),"")</f>
        <v>0.05</v>
      </c>
      <c r="AQ217" s="124">
        <f>IFERROR(_xlfn.XLOOKUP($D217,'Modelling New'!$D:$D,'Modelling New'!$AL:$AL),"")</f>
        <v>0.05</v>
      </c>
      <c r="AR217">
        <f>IFERROR(_xlfn.XLOOKUP($D217,'Modelling New'!$D:$D,'Modelling New'!$N:$N),"")</f>
        <v>78</v>
      </c>
    </row>
    <row r="218" spans="1:44">
      <c r="A218" s="118">
        <f t="shared" si="15"/>
        <v>45961</v>
      </c>
      <c r="B218" s="107">
        <f>YEAR(Table13[[#This Row],[Date]])+IF(MONTH(Table13[[#This Row],[Date]])&gt;=4,1,0)</f>
        <v>2026</v>
      </c>
      <c r="C218" s="105">
        <f>YEAR(Table13[[#This Row],[Date]])</f>
        <v>2025</v>
      </c>
      <c r="D218" s="119">
        <f>Table13[[#This Row],[Date]]-DAY(Table13[[#This Row],[Date]])+1</f>
        <v>45931</v>
      </c>
      <c r="E218" s="105">
        <f t="shared" si="16"/>
        <v>31</v>
      </c>
      <c r="F218" s="108"/>
      <c r="G218" s="109"/>
      <c r="H218" s="109"/>
      <c r="I218" s="109"/>
      <c r="J218" s="109"/>
      <c r="K218" s="120"/>
      <c r="L218" s="109"/>
      <c r="M218" s="109" t="str">
        <f>IFERROR(_xlfn.XLOOKUP($A218,Input_Raw!$A:$A,Input_Raw!CG:CG),"")</f>
        <v/>
      </c>
      <c r="N218" s="109" t="str">
        <f>IFERROR(_xlfn.XLOOKUP($A218,Input_Raw!$A:$A,Input_Raw!CH:CH),"")</f>
        <v/>
      </c>
      <c r="O218" s="121" t="str">
        <f t="shared" si="17"/>
        <v/>
      </c>
      <c r="P218" s="121" t="str">
        <f>IFERROR(1-SUMIF(WTG_BD!$F:$F,$A218,WTG_BD!$AA:$AA)/($AA218+SUMIF(WTG_BD!$F:$F,$A218,WTG_BD!$AA:$AA)),"")</f>
        <v/>
      </c>
      <c r="Q218" s="122" t="str">
        <f>IFERROR(1-SUMIF(IGA_BD!$F:$F,$A218,IGA_BD!$V:$V)/($AA218+SUMIF(IGA_BD!$F:$F,$A218,IGA_BD!$V:$V)),"")</f>
        <v/>
      </c>
      <c r="R218" s="127" t="str">
        <f>IFERROR(1-SUMIF(Grid_BD!$F:$F,$A218,Grid_BD!$X:$X)/($AA218+SUMIF(Grid_BD!$F:$F,$A218,Grid_BD!$X:$X)),"")</f>
        <v/>
      </c>
      <c r="S218" s="105"/>
      <c r="T218" s="122"/>
      <c r="U218" s="123"/>
      <c r="V218" s="105"/>
      <c r="W218" s="124" t="str">
        <f>IFERROR(Table13[[#This Row],[Mtr_Net_Exp (KWh)]]/(24*AR218*1000),"")</f>
        <v/>
      </c>
      <c r="X218" s="105" t="str">
        <f>IFERROR(_xlfn.XLOOKUP($A218,Input_Raw!$A:$A,Input_Raw!$CF:$CF),"")</f>
        <v/>
      </c>
      <c r="Y218" s="105" t="str">
        <f>IFERROR(_xlfn.XLOOKUP($A218,Input_Raw!$A:$A,Input_Raw!$CZ:$CZ),"")</f>
        <v/>
      </c>
      <c r="Z218" s="105" t="str">
        <f>IFERROR(_xlfn.XLOOKUP($A218,Input_Raw!$A:$A,Input_Raw!$DA:$DA),"")</f>
        <v/>
      </c>
      <c r="AA218" s="107" t="str">
        <f t="shared" si="18"/>
        <v/>
      </c>
      <c r="AB218" s="105" t="str">
        <f>IFERROR(_xlfn.XLOOKUP($A218,Input_Raw!$A:$A,Input_Raw!$DG:$DG),"")</f>
        <v/>
      </c>
      <c r="AC218" s="125">
        <f>IFERROR(_xlfn.XLOOKUP($D218,'Modelling New'!$D:$D,'Modelling New'!$J:$J),"")</f>
        <v>3.9666666666666668</v>
      </c>
      <c r="AD218" s="107">
        <f>IFERROR(_xlfn.XLOOKUP($D218,'Modelling New'!$D:$D,'Modelling New'!$T:$T)*1000,"")</f>
        <v>164597.86033847061</v>
      </c>
      <c r="AE218" s="124"/>
      <c r="AF218" s="124">
        <f>IFERROR(_xlfn.XLOOKUP($D218,'Modelling New'!$D:$D,'Modelling New'!$W:$W),"")</f>
        <v>8.792620744576421E-2</v>
      </c>
      <c r="AG218" s="124">
        <f>IFERROR(_xlfn.XLOOKUP($D218,'Modelling New'!$D:$D,'Modelling New'!$AE:$AE),"")</f>
        <v>0.96029999999999993</v>
      </c>
      <c r="AH218" s="124">
        <f>IFERROR(_xlfn.XLOOKUP($D218,'Modelling New'!$D:$D,'Modelling New'!$AF:$AF),"")</f>
        <v>0.995</v>
      </c>
      <c r="AI218" s="105" t="str">
        <f>IFERROR(_xlfn.XLOOKUP($A218,Input_Raw!$A:$A,Input_Raw!$DE:$DE),"")</f>
        <v/>
      </c>
      <c r="AJ218" s="105"/>
      <c r="AK218" s="105"/>
      <c r="AL218" s="105"/>
      <c r="AM218" s="105"/>
      <c r="AN218" s="126" t="str">
        <f>IFERROR(_xlfn.XLOOKUP($A218,Input_Raw!$A:$A,Input_Raw!$DB:$DB),"")</f>
        <v/>
      </c>
      <c r="AO218" s="124" t="str">
        <f>IFERROR((_xlfn.XLOOKUP($A218,'WTG Reactive Power'!$A:$A,'WTG Reactive Power'!$AR:$AR))/X218/1000,"")</f>
        <v/>
      </c>
      <c r="AP218" s="124">
        <f>IFERROR(_xlfn.XLOOKUP($D218,'Modelling New'!$D:$D,'Modelling New'!$AK:$AK),"")</f>
        <v>0.05</v>
      </c>
      <c r="AQ218" s="124">
        <f>IFERROR(_xlfn.XLOOKUP($D218,'Modelling New'!$D:$D,'Modelling New'!$AL:$AL),"")</f>
        <v>0.05</v>
      </c>
      <c r="AR218">
        <f>IFERROR(_xlfn.XLOOKUP($D218,'Modelling New'!$D:$D,'Modelling New'!$N:$N),"")</f>
        <v>78</v>
      </c>
    </row>
    <row r="219" spans="1:44">
      <c r="A219" s="118">
        <f t="shared" si="15"/>
        <v>45962</v>
      </c>
      <c r="B219" s="107">
        <f>YEAR(Table13[[#This Row],[Date]])+IF(MONTH(Table13[[#This Row],[Date]])&gt;=4,1,0)</f>
        <v>2026</v>
      </c>
      <c r="C219" s="105">
        <f>YEAR(Table13[[#This Row],[Date]])</f>
        <v>2025</v>
      </c>
      <c r="D219" s="119">
        <f>Table13[[#This Row],[Date]]-DAY(Table13[[#This Row],[Date]])+1</f>
        <v>45962</v>
      </c>
      <c r="E219" s="105">
        <f t="shared" si="16"/>
        <v>30</v>
      </c>
      <c r="F219" s="108"/>
      <c r="G219" s="109"/>
      <c r="H219" s="109"/>
      <c r="I219" s="109"/>
      <c r="J219" s="109"/>
      <c r="K219" s="120"/>
      <c r="L219" s="109"/>
      <c r="M219" s="109" t="str">
        <f>IFERROR(_xlfn.XLOOKUP($A219,Input_Raw!$A:$A,Input_Raw!CG:CG),"")</f>
        <v/>
      </c>
      <c r="N219" s="109" t="str">
        <f>IFERROR(_xlfn.XLOOKUP($A219,Input_Raw!$A:$A,Input_Raw!CH:CH),"")</f>
        <v/>
      </c>
      <c r="O219" s="121" t="str">
        <f t="shared" si="17"/>
        <v/>
      </c>
      <c r="P219" s="121" t="str">
        <f>IFERROR(1-SUMIF(WTG_BD!$F:$F,$A219,WTG_BD!$AA:$AA)/($AA219+SUMIF(WTG_BD!$F:$F,$A219,WTG_BD!$AA:$AA)),"")</f>
        <v/>
      </c>
      <c r="Q219" s="122" t="str">
        <f>IFERROR(1-SUMIF(IGA_BD!$F:$F,$A219,IGA_BD!$V:$V)/($AA219+SUMIF(IGA_BD!$F:$F,$A219,IGA_BD!$V:$V)),"")</f>
        <v/>
      </c>
      <c r="R219" s="127" t="str">
        <f>IFERROR(1-SUMIF(Grid_BD!$F:$F,$A219,Grid_BD!$X:$X)/($AA219+SUMIF(Grid_BD!$F:$F,$A219,Grid_BD!$X:$X)),"")</f>
        <v/>
      </c>
      <c r="S219" s="105"/>
      <c r="T219" s="122"/>
      <c r="U219" s="123"/>
      <c r="V219" s="105"/>
      <c r="W219" s="124" t="str">
        <f>IFERROR(Table13[[#This Row],[Mtr_Net_Exp (KWh)]]/(24*AR219*1000),"")</f>
        <v/>
      </c>
      <c r="X219" s="105" t="str">
        <f>IFERROR(_xlfn.XLOOKUP($A219,Input_Raw!$A:$A,Input_Raw!$CF:$CF),"")</f>
        <v/>
      </c>
      <c r="Y219" s="105" t="str">
        <f>IFERROR(_xlfn.XLOOKUP($A219,Input_Raw!$A:$A,Input_Raw!$CZ:$CZ),"")</f>
        <v/>
      </c>
      <c r="Z219" s="105" t="str">
        <f>IFERROR(_xlfn.XLOOKUP($A219,Input_Raw!$A:$A,Input_Raw!$DA:$DA),"")</f>
        <v/>
      </c>
      <c r="AA219" s="107" t="str">
        <f t="shared" si="18"/>
        <v/>
      </c>
      <c r="AB219" s="105" t="str">
        <f>IFERROR(_xlfn.XLOOKUP($A219,Input_Raw!$A:$A,Input_Raw!$DG:$DG),"")</f>
        <v/>
      </c>
      <c r="AC219" s="125">
        <f>IFERROR(_xlfn.XLOOKUP($D219,'Modelling New'!$D:$D,'Modelling New'!$J:$J),"")</f>
        <v>4.0333333333333332</v>
      </c>
      <c r="AD219" s="107">
        <f>IFERROR(_xlfn.XLOOKUP($D219,'Modelling New'!$D:$D,'Modelling New'!$T:$T)*1000,"")</f>
        <v>162550.46310460661</v>
      </c>
      <c r="AE219" s="124"/>
      <c r="AF219" s="124">
        <f>IFERROR(_xlfn.XLOOKUP($D219,'Modelling New'!$D:$D,'Modelling New'!$W:$W),"")</f>
        <v>8.6832512342204377E-2</v>
      </c>
      <c r="AG219" s="124">
        <f>IFERROR(_xlfn.XLOOKUP($D219,'Modelling New'!$D:$D,'Modelling New'!$AE:$AE),"")</f>
        <v>0.96029999999999993</v>
      </c>
      <c r="AH219" s="124">
        <f>IFERROR(_xlfn.XLOOKUP($D219,'Modelling New'!$D:$D,'Modelling New'!$AF:$AF),"")</f>
        <v>0.995</v>
      </c>
      <c r="AI219" s="105" t="str">
        <f>IFERROR(_xlfn.XLOOKUP($A219,Input_Raw!$A:$A,Input_Raw!$DE:$DE),"")</f>
        <v/>
      </c>
      <c r="AJ219" s="105"/>
      <c r="AK219" s="105"/>
      <c r="AL219" s="105"/>
      <c r="AM219" s="105"/>
      <c r="AN219" s="126" t="str">
        <f>IFERROR(_xlfn.XLOOKUP($A219,Input_Raw!$A:$A,Input_Raw!$DB:$DB),"")</f>
        <v/>
      </c>
      <c r="AO219" s="124" t="str">
        <f>IFERROR((_xlfn.XLOOKUP($A219,'WTG Reactive Power'!$A:$A,'WTG Reactive Power'!$AR:$AR))/X219/1000,"")</f>
        <v/>
      </c>
      <c r="AP219" s="124">
        <f>IFERROR(_xlfn.XLOOKUP($D219,'Modelling New'!$D:$D,'Modelling New'!$AK:$AK),"")</f>
        <v>0.05</v>
      </c>
      <c r="AQ219" s="124">
        <f>IFERROR(_xlfn.XLOOKUP($D219,'Modelling New'!$D:$D,'Modelling New'!$AL:$AL),"")</f>
        <v>0.05</v>
      </c>
      <c r="AR219">
        <f>IFERROR(_xlfn.XLOOKUP($D219,'Modelling New'!$D:$D,'Modelling New'!$N:$N),"")</f>
        <v>78</v>
      </c>
    </row>
    <row r="220" spans="1:44">
      <c r="A220" s="118">
        <f t="shared" si="15"/>
        <v>45963</v>
      </c>
      <c r="B220" s="107">
        <f>YEAR(Table13[[#This Row],[Date]])+IF(MONTH(Table13[[#This Row],[Date]])&gt;=4,1,0)</f>
        <v>2026</v>
      </c>
      <c r="C220" s="105">
        <f>YEAR(Table13[[#This Row],[Date]])</f>
        <v>2025</v>
      </c>
      <c r="D220" s="119">
        <f>Table13[[#This Row],[Date]]-DAY(Table13[[#This Row],[Date]])+1</f>
        <v>45962</v>
      </c>
      <c r="E220" s="105">
        <f t="shared" si="16"/>
        <v>30</v>
      </c>
      <c r="F220" s="108"/>
      <c r="G220" s="109"/>
      <c r="H220" s="109"/>
      <c r="I220" s="109"/>
      <c r="J220" s="109"/>
      <c r="K220" s="120"/>
      <c r="L220" s="109"/>
      <c r="M220" s="109" t="str">
        <f>IFERROR(_xlfn.XLOOKUP($A220,Input_Raw!$A:$A,Input_Raw!CG:CG),"")</f>
        <v/>
      </c>
      <c r="N220" s="109" t="str">
        <f>IFERROR(_xlfn.XLOOKUP($A220,Input_Raw!$A:$A,Input_Raw!CH:CH),"")</f>
        <v/>
      </c>
      <c r="O220" s="121" t="str">
        <f t="shared" si="17"/>
        <v/>
      </c>
      <c r="P220" s="121" t="str">
        <f>IFERROR(1-SUMIF(WTG_BD!$F:$F,$A220,WTG_BD!$AA:$AA)/($AA220+SUMIF(WTG_BD!$F:$F,$A220,WTG_BD!$AA:$AA)),"")</f>
        <v/>
      </c>
      <c r="Q220" s="122" t="str">
        <f>IFERROR(1-SUMIF(IGA_BD!$F:$F,$A220,IGA_BD!$V:$V)/($AA220+SUMIF(IGA_BD!$F:$F,$A220,IGA_BD!$V:$V)),"")</f>
        <v/>
      </c>
      <c r="R220" s="127" t="str">
        <f>IFERROR(1-SUMIF(Grid_BD!$F:$F,$A220,Grid_BD!$X:$X)/($AA220+SUMIF(Grid_BD!$F:$F,$A220,Grid_BD!$X:$X)),"")</f>
        <v/>
      </c>
      <c r="S220" s="105"/>
      <c r="T220" s="122"/>
      <c r="U220" s="123"/>
      <c r="V220" s="105"/>
      <c r="W220" s="124" t="str">
        <f>IFERROR(Table13[[#This Row],[Mtr_Net_Exp (KWh)]]/(24*AR220*1000),"")</f>
        <v/>
      </c>
      <c r="X220" s="105" t="str">
        <f>IFERROR(_xlfn.XLOOKUP($A220,Input_Raw!$A:$A,Input_Raw!$CF:$CF),"")</f>
        <v/>
      </c>
      <c r="Y220" s="105" t="str">
        <f>IFERROR(_xlfn.XLOOKUP($A220,Input_Raw!$A:$A,Input_Raw!$CZ:$CZ),"")</f>
        <v/>
      </c>
      <c r="Z220" s="105" t="str">
        <f>IFERROR(_xlfn.XLOOKUP($A220,Input_Raw!$A:$A,Input_Raw!$DA:$DA),"")</f>
        <v/>
      </c>
      <c r="AA220" s="107" t="str">
        <f t="shared" si="18"/>
        <v/>
      </c>
      <c r="AB220" s="105" t="str">
        <f>IFERROR(_xlfn.XLOOKUP($A220,Input_Raw!$A:$A,Input_Raw!$DG:$DG),"")</f>
        <v/>
      </c>
      <c r="AC220" s="125">
        <f>IFERROR(_xlfn.XLOOKUP($D220,'Modelling New'!$D:$D,'Modelling New'!$J:$J),"")</f>
        <v>4.0333333333333332</v>
      </c>
      <c r="AD220" s="107">
        <f>IFERROR(_xlfn.XLOOKUP($D220,'Modelling New'!$D:$D,'Modelling New'!$T:$T)*1000,"")</f>
        <v>162550.46310460661</v>
      </c>
      <c r="AE220" s="124"/>
      <c r="AF220" s="124">
        <f>IFERROR(_xlfn.XLOOKUP($D220,'Modelling New'!$D:$D,'Modelling New'!$W:$W),"")</f>
        <v>8.6832512342204377E-2</v>
      </c>
      <c r="AG220" s="124">
        <f>IFERROR(_xlfn.XLOOKUP($D220,'Modelling New'!$D:$D,'Modelling New'!$AE:$AE),"")</f>
        <v>0.96029999999999993</v>
      </c>
      <c r="AH220" s="124">
        <f>IFERROR(_xlfn.XLOOKUP($D220,'Modelling New'!$D:$D,'Modelling New'!$AF:$AF),"")</f>
        <v>0.995</v>
      </c>
      <c r="AI220" s="105" t="str">
        <f>IFERROR(_xlfn.XLOOKUP($A220,Input_Raw!$A:$A,Input_Raw!$DE:$DE),"")</f>
        <v/>
      </c>
      <c r="AJ220" s="105"/>
      <c r="AK220" s="105"/>
      <c r="AL220" s="105"/>
      <c r="AM220" s="105"/>
      <c r="AN220" s="126" t="str">
        <f>IFERROR(_xlfn.XLOOKUP($A220,Input_Raw!$A:$A,Input_Raw!$DB:$DB),"")</f>
        <v/>
      </c>
      <c r="AO220" s="124" t="str">
        <f>IFERROR((_xlfn.XLOOKUP($A220,'WTG Reactive Power'!$A:$A,'WTG Reactive Power'!$AR:$AR))/X220/1000,"")</f>
        <v/>
      </c>
      <c r="AP220" s="124">
        <f>IFERROR(_xlfn.XLOOKUP($D220,'Modelling New'!$D:$D,'Modelling New'!$AK:$AK),"")</f>
        <v>0.05</v>
      </c>
      <c r="AQ220" s="124">
        <f>IFERROR(_xlfn.XLOOKUP($D220,'Modelling New'!$D:$D,'Modelling New'!$AL:$AL),"")</f>
        <v>0.05</v>
      </c>
      <c r="AR220">
        <f>IFERROR(_xlfn.XLOOKUP($D220,'Modelling New'!$D:$D,'Modelling New'!$N:$N),"")</f>
        <v>78</v>
      </c>
    </row>
    <row r="221" spans="1:44">
      <c r="A221" s="118">
        <f t="shared" si="15"/>
        <v>45964</v>
      </c>
      <c r="B221" s="107">
        <f>YEAR(Table13[[#This Row],[Date]])+IF(MONTH(Table13[[#This Row],[Date]])&gt;=4,1,0)</f>
        <v>2026</v>
      </c>
      <c r="C221" s="105">
        <f>YEAR(Table13[[#This Row],[Date]])</f>
        <v>2025</v>
      </c>
      <c r="D221" s="119">
        <f>Table13[[#This Row],[Date]]-DAY(Table13[[#This Row],[Date]])+1</f>
        <v>45962</v>
      </c>
      <c r="E221" s="105">
        <f t="shared" si="16"/>
        <v>30</v>
      </c>
      <c r="F221" s="108"/>
      <c r="G221" s="109"/>
      <c r="H221" s="109"/>
      <c r="I221" s="109"/>
      <c r="J221" s="109"/>
      <c r="K221" s="120"/>
      <c r="L221" s="109"/>
      <c r="M221" s="109" t="str">
        <f>IFERROR(_xlfn.XLOOKUP($A221,Input_Raw!$A:$A,Input_Raw!CG:CG),"")</f>
        <v/>
      </c>
      <c r="N221" s="109" t="str">
        <f>IFERROR(_xlfn.XLOOKUP($A221,Input_Raw!$A:$A,Input_Raw!CH:CH),"")</f>
        <v/>
      </c>
      <c r="O221" s="121" t="str">
        <f t="shared" si="17"/>
        <v/>
      </c>
      <c r="P221" s="121" t="str">
        <f>IFERROR(1-SUMIF(WTG_BD!$F:$F,$A221,WTG_BD!$AA:$AA)/($AA221+SUMIF(WTG_BD!$F:$F,$A221,WTG_BD!$AA:$AA)),"")</f>
        <v/>
      </c>
      <c r="Q221" s="122" t="str">
        <f>IFERROR(1-SUMIF(IGA_BD!$F:$F,$A221,IGA_BD!$V:$V)/($AA221+SUMIF(IGA_BD!$F:$F,$A221,IGA_BD!$V:$V)),"")</f>
        <v/>
      </c>
      <c r="R221" s="127" t="str">
        <f>IFERROR(1-SUMIF(Grid_BD!$F:$F,$A221,Grid_BD!$X:$X)/($AA221+SUMIF(Grid_BD!$F:$F,$A221,Grid_BD!$X:$X)),"")</f>
        <v/>
      </c>
      <c r="S221" s="105"/>
      <c r="T221" s="122"/>
      <c r="U221" s="123"/>
      <c r="V221" s="105"/>
      <c r="W221" s="124" t="str">
        <f>IFERROR(Table13[[#This Row],[Mtr_Net_Exp (KWh)]]/(24*AR221*1000),"")</f>
        <v/>
      </c>
      <c r="X221" s="105" t="str">
        <f>IFERROR(_xlfn.XLOOKUP($A221,Input_Raw!$A:$A,Input_Raw!$CF:$CF),"")</f>
        <v/>
      </c>
      <c r="Y221" s="105" t="str">
        <f>IFERROR(_xlfn.XLOOKUP($A221,Input_Raw!$A:$A,Input_Raw!$CZ:$CZ),"")</f>
        <v/>
      </c>
      <c r="Z221" s="105" t="str">
        <f>IFERROR(_xlfn.XLOOKUP($A221,Input_Raw!$A:$A,Input_Raw!$DA:$DA),"")</f>
        <v/>
      </c>
      <c r="AA221" s="107" t="str">
        <f t="shared" si="18"/>
        <v/>
      </c>
      <c r="AB221" s="105" t="str">
        <f>IFERROR(_xlfn.XLOOKUP($A221,Input_Raw!$A:$A,Input_Raw!$DG:$DG),"")</f>
        <v/>
      </c>
      <c r="AC221" s="125">
        <f>IFERROR(_xlfn.XLOOKUP($D221,'Modelling New'!$D:$D,'Modelling New'!$J:$J),"")</f>
        <v>4.0333333333333332</v>
      </c>
      <c r="AD221" s="107">
        <f>IFERROR(_xlfn.XLOOKUP($D221,'Modelling New'!$D:$D,'Modelling New'!$T:$T)*1000,"")</f>
        <v>162550.46310460661</v>
      </c>
      <c r="AE221" s="124"/>
      <c r="AF221" s="124">
        <f>IFERROR(_xlfn.XLOOKUP($D221,'Modelling New'!$D:$D,'Modelling New'!$W:$W),"")</f>
        <v>8.6832512342204377E-2</v>
      </c>
      <c r="AG221" s="124">
        <f>IFERROR(_xlfn.XLOOKUP($D221,'Modelling New'!$D:$D,'Modelling New'!$AE:$AE),"")</f>
        <v>0.96029999999999993</v>
      </c>
      <c r="AH221" s="124">
        <f>IFERROR(_xlfn.XLOOKUP($D221,'Modelling New'!$D:$D,'Modelling New'!$AF:$AF),"")</f>
        <v>0.995</v>
      </c>
      <c r="AI221" s="105" t="str">
        <f>IFERROR(_xlfn.XLOOKUP($A221,Input_Raw!$A:$A,Input_Raw!$DE:$DE),"")</f>
        <v/>
      </c>
      <c r="AJ221" s="105"/>
      <c r="AK221" s="105"/>
      <c r="AL221" s="105"/>
      <c r="AM221" s="105"/>
      <c r="AN221" s="126" t="str">
        <f>IFERROR(_xlfn.XLOOKUP($A221,Input_Raw!$A:$A,Input_Raw!$DB:$DB),"")</f>
        <v/>
      </c>
      <c r="AO221" s="124" t="str">
        <f>IFERROR((_xlfn.XLOOKUP($A221,'WTG Reactive Power'!$A:$A,'WTG Reactive Power'!$AR:$AR))/X221/1000,"")</f>
        <v/>
      </c>
      <c r="AP221" s="124">
        <f>IFERROR(_xlfn.XLOOKUP($D221,'Modelling New'!$D:$D,'Modelling New'!$AK:$AK),"")</f>
        <v>0.05</v>
      </c>
      <c r="AQ221" s="124">
        <f>IFERROR(_xlfn.XLOOKUP($D221,'Modelling New'!$D:$D,'Modelling New'!$AL:$AL),"")</f>
        <v>0.05</v>
      </c>
      <c r="AR221">
        <f>IFERROR(_xlfn.XLOOKUP($D221,'Modelling New'!$D:$D,'Modelling New'!$N:$N),"")</f>
        <v>78</v>
      </c>
    </row>
    <row r="222" spans="1:44">
      <c r="A222" s="118">
        <f t="shared" si="15"/>
        <v>45965</v>
      </c>
      <c r="B222" s="107">
        <f>YEAR(Table13[[#This Row],[Date]])+IF(MONTH(Table13[[#This Row],[Date]])&gt;=4,1,0)</f>
        <v>2026</v>
      </c>
      <c r="C222" s="105">
        <f>YEAR(Table13[[#This Row],[Date]])</f>
        <v>2025</v>
      </c>
      <c r="D222" s="119">
        <f>Table13[[#This Row],[Date]]-DAY(Table13[[#This Row],[Date]])+1</f>
        <v>45962</v>
      </c>
      <c r="E222" s="105">
        <f t="shared" si="16"/>
        <v>30</v>
      </c>
      <c r="F222" s="108"/>
      <c r="G222" s="109"/>
      <c r="H222" s="109"/>
      <c r="I222" s="109"/>
      <c r="J222" s="109"/>
      <c r="K222" s="120"/>
      <c r="L222" s="109"/>
      <c r="M222" s="109" t="str">
        <f>IFERROR(_xlfn.XLOOKUP($A222,Input_Raw!$A:$A,Input_Raw!CG:CG),"")</f>
        <v/>
      </c>
      <c r="N222" s="109" t="str">
        <f>IFERROR(_xlfn.XLOOKUP($A222,Input_Raw!$A:$A,Input_Raw!CH:CH),"")</f>
        <v/>
      </c>
      <c r="O222" s="121" t="str">
        <f t="shared" si="17"/>
        <v/>
      </c>
      <c r="P222" s="121" t="str">
        <f>IFERROR(1-SUMIF(WTG_BD!$F:$F,$A222,WTG_BD!$AA:$AA)/($AA222+SUMIF(WTG_BD!$F:$F,$A222,WTG_BD!$AA:$AA)),"")</f>
        <v/>
      </c>
      <c r="Q222" s="122" t="str">
        <f>IFERROR(1-SUMIF(IGA_BD!$F:$F,$A222,IGA_BD!$V:$V)/($AA222+SUMIF(IGA_BD!$F:$F,$A222,IGA_BD!$V:$V)),"")</f>
        <v/>
      </c>
      <c r="R222" s="127" t="str">
        <f>IFERROR(1-SUMIF(Grid_BD!$F:$F,$A222,Grid_BD!$X:$X)/($AA222+SUMIF(Grid_BD!$F:$F,$A222,Grid_BD!$X:$X)),"")</f>
        <v/>
      </c>
      <c r="S222" s="105"/>
      <c r="T222" s="122"/>
      <c r="U222" s="123"/>
      <c r="V222" s="105"/>
      <c r="W222" s="124" t="str">
        <f>IFERROR(Table13[[#This Row],[Mtr_Net_Exp (KWh)]]/(24*AR222*1000),"")</f>
        <v/>
      </c>
      <c r="X222" s="105" t="str">
        <f>IFERROR(_xlfn.XLOOKUP($A222,Input_Raw!$A:$A,Input_Raw!$CF:$CF),"")</f>
        <v/>
      </c>
      <c r="Y222" s="105" t="str">
        <f>IFERROR(_xlfn.XLOOKUP($A222,Input_Raw!$A:$A,Input_Raw!$CZ:$CZ),"")</f>
        <v/>
      </c>
      <c r="Z222" s="105" t="str">
        <f>IFERROR(_xlfn.XLOOKUP($A222,Input_Raw!$A:$A,Input_Raw!$DA:$DA),"")</f>
        <v/>
      </c>
      <c r="AA222" s="107" t="str">
        <f t="shared" si="18"/>
        <v/>
      </c>
      <c r="AB222" s="105" t="str">
        <f>IFERROR(_xlfn.XLOOKUP($A222,Input_Raw!$A:$A,Input_Raw!$DG:$DG),"")</f>
        <v/>
      </c>
      <c r="AC222" s="125">
        <f>IFERROR(_xlfn.XLOOKUP($D222,'Modelling New'!$D:$D,'Modelling New'!$J:$J),"")</f>
        <v>4.0333333333333332</v>
      </c>
      <c r="AD222" s="107">
        <f>IFERROR(_xlfn.XLOOKUP($D222,'Modelling New'!$D:$D,'Modelling New'!$T:$T)*1000,"")</f>
        <v>162550.46310460661</v>
      </c>
      <c r="AE222" s="124"/>
      <c r="AF222" s="124">
        <f>IFERROR(_xlfn.XLOOKUP($D222,'Modelling New'!$D:$D,'Modelling New'!$W:$W),"")</f>
        <v>8.6832512342204377E-2</v>
      </c>
      <c r="AG222" s="124">
        <f>IFERROR(_xlfn.XLOOKUP($D222,'Modelling New'!$D:$D,'Modelling New'!$AE:$AE),"")</f>
        <v>0.96029999999999993</v>
      </c>
      <c r="AH222" s="124">
        <f>IFERROR(_xlfn.XLOOKUP($D222,'Modelling New'!$D:$D,'Modelling New'!$AF:$AF),"")</f>
        <v>0.995</v>
      </c>
      <c r="AI222" s="105" t="str">
        <f>IFERROR(_xlfn.XLOOKUP($A222,Input_Raw!$A:$A,Input_Raw!$DE:$DE),"")</f>
        <v/>
      </c>
      <c r="AJ222" s="105"/>
      <c r="AK222" s="105"/>
      <c r="AL222" s="105"/>
      <c r="AM222" s="105"/>
      <c r="AN222" s="126" t="str">
        <f>IFERROR(_xlfn.XLOOKUP($A222,Input_Raw!$A:$A,Input_Raw!$DB:$DB),"")</f>
        <v/>
      </c>
      <c r="AO222" s="124" t="str">
        <f>IFERROR((_xlfn.XLOOKUP($A222,'WTG Reactive Power'!$A:$A,'WTG Reactive Power'!$AR:$AR))/X222/1000,"")</f>
        <v/>
      </c>
      <c r="AP222" s="124">
        <f>IFERROR(_xlfn.XLOOKUP($D222,'Modelling New'!$D:$D,'Modelling New'!$AK:$AK),"")</f>
        <v>0.05</v>
      </c>
      <c r="AQ222" s="124">
        <f>IFERROR(_xlfn.XLOOKUP($D222,'Modelling New'!$D:$D,'Modelling New'!$AL:$AL),"")</f>
        <v>0.05</v>
      </c>
      <c r="AR222">
        <f>IFERROR(_xlfn.XLOOKUP($D222,'Modelling New'!$D:$D,'Modelling New'!$N:$N),"")</f>
        <v>78</v>
      </c>
    </row>
    <row r="223" spans="1:44">
      <c r="A223" s="118">
        <f t="shared" si="15"/>
        <v>45966</v>
      </c>
      <c r="B223" s="107">
        <f>YEAR(Table13[[#This Row],[Date]])+IF(MONTH(Table13[[#This Row],[Date]])&gt;=4,1,0)</f>
        <v>2026</v>
      </c>
      <c r="C223" s="105">
        <f>YEAR(Table13[[#This Row],[Date]])</f>
        <v>2025</v>
      </c>
      <c r="D223" s="119">
        <f>Table13[[#This Row],[Date]]-DAY(Table13[[#This Row],[Date]])+1</f>
        <v>45962</v>
      </c>
      <c r="E223" s="105">
        <f t="shared" ref="E223:E254" si="19">DAY(EOMONTH(A223,0))</f>
        <v>30</v>
      </c>
      <c r="F223" s="108"/>
      <c r="G223" s="109"/>
      <c r="H223" s="109"/>
      <c r="I223" s="109"/>
      <c r="J223" s="109"/>
      <c r="K223" s="120"/>
      <c r="L223" s="109"/>
      <c r="M223" s="109" t="str">
        <f>IFERROR(_xlfn.XLOOKUP($A223,Input_Raw!$A:$A,Input_Raw!CG:CG),"")</f>
        <v/>
      </c>
      <c r="N223" s="109" t="str">
        <f>IFERROR(_xlfn.XLOOKUP($A223,Input_Raw!$A:$A,Input_Raw!CH:CH),"")</f>
        <v/>
      </c>
      <c r="O223" s="121" t="str">
        <f t="shared" ref="O223:O254" si="20">IFERROR(P223*Q223,"")</f>
        <v/>
      </c>
      <c r="P223" s="121" t="str">
        <f>IFERROR(1-SUMIF(WTG_BD!$F:$F,$A223,WTG_BD!$AA:$AA)/($AA223+SUMIF(WTG_BD!$F:$F,$A223,WTG_BD!$AA:$AA)),"")</f>
        <v/>
      </c>
      <c r="Q223" s="122" t="str">
        <f>IFERROR(1-SUMIF(IGA_BD!$F:$F,$A223,IGA_BD!$V:$V)/($AA223+SUMIF(IGA_BD!$F:$F,$A223,IGA_BD!$V:$V)),"")</f>
        <v/>
      </c>
      <c r="R223" s="127" t="str">
        <f>IFERROR(1-SUMIF(Grid_BD!$F:$F,$A223,Grid_BD!$X:$X)/($AA223+SUMIF(Grid_BD!$F:$F,$A223,Grid_BD!$X:$X)),"")</f>
        <v/>
      </c>
      <c r="S223" s="105"/>
      <c r="T223" s="122"/>
      <c r="U223" s="123"/>
      <c r="V223" s="105"/>
      <c r="W223" s="124" t="str">
        <f>IFERROR(Table13[[#This Row],[Mtr_Net_Exp (KWh)]]/(24*AR223*1000),"")</f>
        <v/>
      </c>
      <c r="X223" s="105" t="str">
        <f>IFERROR(_xlfn.XLOOKUP($A223,Input_Raw!$A:$A,Input_Raw!$CF:$CF),"")</f>
        <v/>
      </c>
      <c r="Y223" s="105" t="str">
        <f>IFERROR(_xlfn.XLOOKUP($A223,Input_Raw!$A:$A,Input_Raw!$CZ:$CZ),"")</f>
        <v/>
      </c>
      <c r="Z223" s="105" t="str">
        <f>IFERROR(_xlfn.XLOOKUP($A223,Input_Raw!$A:$A,Input_Raw!$DA:$DA),"")</f>
        <v/>
      </c>
      <c r="AA223" s="107" t="str">
        <f t="shared" ref="AA223:AA254" si="21">IFERROR(Y223-Z223,"")</f>
        <v/>
      </c>
      <c r="AB223" s="105" t="str">
        <f>IFERROR(_xlfn.XLOOKUP($A223,Input_Raw!$A:$A,Input_Raw!$DG:$DG),"")</f>
        <v/>
      </c>
      <c r="AC223" s="125">
        <f>IFERROR(_xlfn.XLOOKUP($D223,'Modelling New'!$D:$D,'Modelling New'!$J:$J),"")</f>
        <v>4.0333333333333332</v>
      </c>
      <c r="AD223" s="107">
        <f>IFERROR(_xlfn.XLOOKUP($D223,'Modelling New'!$D:$D,'Modelling New'!$T:$T)*1000,"")</f>
        <v>162550.46310460661</v>
      </c>
      <c r="AE223" s="124"/>
      <c r="AF223" s="124">
        <f>IFERROR(_xlfn.XLOOKUP($D223,'Modelling New'!$D:$D,'Modelling New'!$W:$W),"")</f>
        <v>8.6832512342204377E-2</v>
      </c>
      <c r="AG223" s="124">
        <f>IFERROR(_xlfn.XLOOKUP($D223,'Modelling New'!$D:$D,'Modelling New'!$AE:$AE),"")</f>
        <v>0.96029999999999993</v>
      </c>
      <c r="AH223" s="124">
        <f>IFERROR(_xlfn.XLOOKUP($D223,'Modelling New'!$D:$D,'Modelling New'!$AF:$AF),"")</f>
        <v>0.995</v>
      </c>
      <c r="AI223" s="105" t="str">
        <f>IFERROR(_xlfn.XLOOKUP($A223,Input_Raw!$A:$A,Input_Raw!$DE:$DE),"")</f>
        <v/>
      </c>
      <c r="AJ223" s="105"/>
      <c r="AK223" s="105"/>
      <c r="AL223" s="105"/>
      <c r="AM223" s="105"/>
      <c r="AN223" s="126" t="str">
        <f>IFERROR(_xlfn.XLOOKUP($A223,Input_Raw!$A:$A,Input_Raw!$DB:$DB),"")</f>
        <v/>
      </c>
      <c r="AO223" s="124" t="str">
        <f>IFERROR((_xlfn.XLOOKUP($A223,'WTG Reactive Power'!$A:$A,'WTG Reactive Power'!$AR:$AR))/X223/1000,"")</f>
        <v/>
      </c>
      <c r="AP223" s="124">
        <f>IFERROR(_xlfn.XLOOKUP($D223,'Modelling New'!$D:$D,'Modelling New'!$AK:$AK),"")</f>
        <v>0.05</v>
      </c>
      <c r="AQ223" s="124">
        <f>IFERROR(_xlfn.XLOOKUP($D223,'Modelling New'!$D:$D,'Modelling New'!$AL:$AL),"")</f>
        <v>0.05</v>
      </c>
      <c r="AR223">
        <f>IFERROR(_xlfn.XLOOKUP($D223,'Modelling New'!$D:$D,'Modelling New'!$N:$N),"")</f>
        <v>78</v>
      </c>
    </row>
    <row r="224" spans="1:44">
      <c r="A224" s="118">
        <f t="shared" si="15"/>
        <v>45967</v>
      </c>
      <c r="B224" s="107">
        <f>YEAR(Table13[[#This Row],[Date]])+IF(MONTH(Table13[[#This Row],[Date]])&gt;=4,1,0)</f>
        <v>2026</v>
      </c>
      <c r="C224" s="105">
        <f>YEAR(Table13[[#This Row],[Date]])</f>
        <v>2025</v>
      </c>
      <c r="D224" s="119">
        <f>Table13[[#This Row],[Date]]-DAY(Table13[[#This Row],[Date]])+1</f>
        <v>45962</v>
      </c>
      <c r="E224" s="105">
        <f t="shared" si="19"/>
        <v>30</v>
      </c>
      <c r="F224" s="108"/>
      <c r="G224" s="109"/>
      <c r="H224" s="109"/>
      <c r="I224" s="109"/>
      <c r="J224" s="109"/>
      <c r="K224" s="120"/>
      <c r="L224" s="109"/>
      <c r="M224" s="109" t="str">
        <f>IFERROR(_xlfn.XLOOKUP($A224,Input_Raw!$A:$A,Input_Raw!CG:CG),"")</f>
        <v/>
      </c>
      <c r="N224" s="109" t="str">
        <f>IFERROR(_xlfn.XLOOKUP($A224,Input_Raw!$A:$A,Input_Raw!CH:CH),"")</f>
        <v/>
      </c>
      <c r="O224" s="121" t="str">
        <f t="shared" si="20"/>
        <v/>
      </c>
      <c r="P224" s="121" t="str">
        <f>IFERROR(1-SUMIF(WTG_BD!$F:$F,$A224,WTG_BD!$AA:$AA)/($AA224+SUMIF(WTG_BD!$F:$F,$A224,WTG_BD!$AA:$AA)),"")</f>
        <v/>
      </c>
      <c r="Q224" s="122" t="str">
        <f>IFERROR(1-SUMIF(IGA_BD!$F:$F,$A224,IGA_BD!$V:$V)/($AA224+SUMIF(IGA_BD!$F:$F,$A224,IGA_BD!$V:$V)),"")</f>
        <v/>
      </c>
      <c r="R224" s="127" t="str">
        <f>IFERROR(1-SUMIF(Grid_BD!$F:$F,$A224,Grid_BD!$X:$X)/($AA224+SUMIF(Grid_BD!$F:$F,$A224,Grid_BD!$X:$X)),"")</f>
        <v/>
      </c>
      <c r="S224" s="105"/>
      <c r="T224" s="122"/>
      <c r="U224" s="123"/>
      <c r="V224" s="105"/>
      <c r="W224" s="124" t="str">
        <f>IFERROR(Table13[[#This Row],[Mtr_Net_Exp (KWh)]]/(24*AR224*1000),"")</f>
        <v/>
      </c>
      <c r="X224" s="105" t="str">
        <f>IFERROR(_xlfn.XLOOKUP($A224,Input_Raw!$A:$A,Input_Raw!$CF:$CF),"")</f>
        <v/>
      </c>
      <c r="Y224" s="105" t="str">
        <f>IFERROR(_xlfn.XLOOKUP($A224,Input_Raw!$A:$A,Input_Raw!$CZ:$CZ),"")</f>
        <v/>
      </c>
      <c r="Z224" s="105" t="str">
        <f>IFERROR(_xlfn.XLOOKUP($A224,Input_Raw!$A:$A,Input_Raw!$DA:$DA),"")</f>
        <v/>
      </c>
      <c r="AA224" s="107" t="str">
        <f t="shared" si="21"/>
        <v/>
      </c>
      <c r="AB224" s="105" t="str">
        <f>IFERROR(_xlfn.XLOOKUP($A224,Input_Raw!$A:$A,Input_Raw!$DG:$DG),"")</f>
        <v/>
      </c>
      <c r="AC224" s="125">
        <f>IFERROR(_xlfn.XLOOKUP($D224,'Modelling New'!$D:$D,'Modelling New'!$J:$J),"")</f>
        <v>4.0333333333333332</v>
      </c>
      <c r="AD224" s="107">
        <f>IFERROR(_xlfn.XLOOKUP($D224,'Modelling New'!$D:$D,'Modelling New'!$T:$T)*1000,"")</f>
        <v>162550.46310460661</v>
      </c>
      <c r="AE224" s="124"/>
      <c r="AF224" s="124">
        <f>IFERROR(_xlfn.XLOOKUP($D224,'Modelling New'!$D:$D,'Modelling New'!$W:$W),"")</f>
        <v>8.6832512342204377E-2</v>
      </c>
      <c r="AG224" s="124">
        <f>IFERROR(_xlfn.XLOOKUP($D224,'Modelling New'!$D:$D,'Modelling New'!$AE:$AE),"")</f>
        <v>0.96029999999999993</v>
      </c>
      <c r="AH224" s="124">
        <f>IFERROR(_xlfn.XLOOKUP($D224,'Modelling New'!$D:$D,'Modelling New'!$AF:$AF),"")</f>
        <v>0.995</v>
      </c>
      <c r="AI224" s="105" t="str">
        <f>IFERROR(_xlfn.XLOOKUP($A224,Input_Raw!$A:$A,Input_Raw!$DE:$DE),"")</f>
        <v/>
      </c>
      <c r="AJ224" s="105"/>
      <c r="AK224" s="105"/>
      <c r="AL224" s="105"/>
      <c r="AM224" s="105"/>
      <c r="AN224" s="126" t="str">
        <f>IFERROR(_xlfn.XLOOKUP($A224,Input_Raw!$A:$A,Input_Raw!$DB:$DB),"")</f>
        <v/>
      </c>
      <c r="AO224" s="124" t="str">
        <f>IFERROR((_xlfn.XLOOKUP($A224,'WTG Reactive Power'!$A:$A,'WTG Reactive Power'!$AR:$AR))/X224/1000,"")</f>
        <v/>
      </c>
      <c r="AP224" s="124">
        <f>IFERROR(_xlfn.XLOOKUP($D224,'Modelling New'!$D:$D,'Modelling New'!$AK:$AK),"")</f>
        <v>0.05</v>
      </c>
      <c r="AQ224" s="124">
        <f>IFERROR(_xlfn.XLOOKUP($D224,'Modelling New'!$D:$D,'Modelling New'!$AL:$AL),"")</f>
        <v>0.05</v>
      </c>
      <c r="AR224">
        <f>IFERROR(_xlfn.XLOOKUP($D224,'Modelling New'!$D:$D,'Modelling New'!$N:$N),"")</f>
        <v>78</v>
      </c>
    </row>
    <row r="225" spans="1:44">
      <c r="A225" s="118">
        <f t="shared" si="15"/>
        <v>45968</v>
      </c>
      <c r="B225" s="107">
        <f>YEAR(Table13[[#This Row],[Date]])+IF(MONTH(Table13[[#This Row],[Date]])&gt;=4,1,0)</f>
        <v>2026</v>
      </c>
      <c r="C225" s="105">
        <f>YEAR(Table13[[#This Row],[Date]])</f>
        <v>2025</v>
      </c>
      <c r="D225" s="119">
        <f>Table13[[#This Row],[Date]]-DAY(Table13[[#This Row],[Date]])+1</f>
        <v>45962</v>
      </c>
      <c r="E225" s="105">
        <f t="shared" si="19"/>
        <v>30</v>
      </c>
      <c r="F225" s="108"/>
      <c r="G225" s="109"/>
      <c r="H225" s="109"/>
      <c r="I225" s="109"/>
      <c r="J225" s="109"/>
      <c r="K225" s="120"/>
      <c r="L225" s="109"/>
      <c r="M225" s="109" t="str">
        <f>IFERROR(_xlfn.XLOOKUP($A225,Input_Raw!$A:$A,Input_Raw!CG:CG),"")</f>
        <v/>
      </c>
      <c r="N225" s="109" t="str">
        <f>IFERROR(_xlfn.XLOOKUP($A225,Input_Raw!$A:$A,Input_Raw!CH:CH),"")</f>
        <v/>
      </c>
      <c r="O225" s="121" t="str">
        <f t="shared" si="20"/>
        <v/>
      </c>
      <c r="P225" s="121" t="str">
        <f>IFERROR(1-SUMIF(WTG_BD!$F:$F,$A225,WTG_BD!$AA:$AA)/($AA225+SUMIF(WTG_BD!$F:$F,$A225,WTG_BD!$AA:$AA)),"")</f>
        <v/>
      </c>
      <c r="Q225" s="122" t="str">
        <f>IFERROR(1-SUMIF(IGA_BD!$F:$F,$A225,IGA_BD!$V:$V)/($AA225+SUMIF(IGA_BD!$F:$F,$A225,IGA_BD!$V:$V)),"")</f>
        <v/>
      </c>
      <c r="R225" s="127" t="str">
        <f>IFERROR(1-SUMIF(Grid_BD!$F:$F,$A225,Grid_BD!$X:$X)/($AA225+SUMIF(Grid_BD!$F:$F,$A225,Grid_BD!$X:$X)),"")</f>
        <v/>
      </c>
      <c r="S225" s="105"/>
      <c r="T225" s="122"/>
      <c r="U225" s="123"/>
      <c r="V225" s="105"/>
      <c r="W225" s="124" t="str">
        <f>IFERROR(Table13[[#This Row],[Mtr_Net_Exp (KWh)]]/(24*AR225*1000),"")</f>
        <v/>
      </c>
      <c r="X225" s="105" t="str">
        <f>IFERROR(_xlfn.XLOOKUP($A225,Input_Raw!$A:$A,Input_Raw!$CF:$CF),"")</f>
        <v/>
      </c>
      <c r="Y225" s="105" t="str">
        <f>IFERROR(_xlfn.XLOOKUP($A225,Input_Raw!$A:$A,Input_Raw!$CZ:$CZ),"")</f>
        <v/>
      </c>
      <c r="Z225" s="105" t="str">
        <f>IFERROR(_xlfn.XLOOKUP($A225,Input_Raw!$A:$A,Input_Raw!$DA:$DA),"")</f>
        <v/>
      </c>
      <c r="AA225" s="107" t="str">
        <f t="shared" si="21"/>
        <v/>
      </c>
      <c r="AB225" s="105" t="str">
        <f>IFERROR(_xlfn.XLOOKUP($A225,Input_Raw!$A:$A,Input_Raw!$DG:$DG),"")</f>
        <v/>
      </c>
      <c r="AC225" s="125">
        <f>IFERROR(_xlfn.XLOOKUP($D225,'Modelling New'!$D:$D,'Modelling New'!$J:$J),"")</f>
        <v>4.0333333333333332</v>
      </c>
      <c r="AD225" s="107">
        <f>IFERROR(_xlfn.XLOOKUP($D225,'Modelling New'!$D:$D,'Modelling New'!$T:$T)*1000,"")</f>
        <v>162550.46310460661</v>
      </c>
      <c r="AE225" s="124"/>
      <c r="AF225" s="124">
        <f>IFERROR(_xlfn.XLOOKUP($D225,'Modelling New'!$D:$D,'Modelling New'!$W:$W),"")</f>
        <v>8.6832512342204377E-2</v>
      </c>
      <c r="AG225" s="124">
        <f>IFERROR(_xlfn.XLOOKUP($D225,'Modelling New'!$D:$D,'Modelling New'!$AE:$AE),"")</f>
        <v>0.96029999999999993</v>
      </c>
      <c r="AH225" s="124">
        <f>IFERROR(_xlfn.XLOOKUP($D225,'Modelling New'!$D:$D,'Modelling New'!$AF:$AF),"")</f>
        <v>0.995</v>
      </c>
      <c r="AI225" s="105" t="str">
        <f>IFERROR(_xlfn.XLOOKUP($A225,Input_Raw!$A:$A,Input_Raw!$DE:$DE),"")</f>
        <v/>
      </c>
      <c r="AJ225" s="105"/>
      <c r="AK225" s="105"/>
      <c r="AL225" s="105"/>
      <c r="AM225" s="105"/>
      <c r="AN225" s="126" t="str">
        <f>IFERROR(_xlfn.XLOOKUP($A225,Input_Raw!$A:$A,Input_Raw!$DB:$DB),"")</f>
        <v/>
      </c>
      <c r="AO225" s="124" t="str">
        <f>IFERROR((_xlfn.XLOOKUP($A225,'WTG Reactive Power'!$A:$A,'WTG Reactive Power'!$AR:$AR))/X225/1000,"")</f>
        <v/>
      </c>
      <c r="AP225" s="124">
        <f>IFERROR(_xlfn.XLOOKUP($D225,'Modelling New'!$D:$D,'Modelling New'!$AK:$AK),"")</f>
        <v>0.05</v>
      </c>
      <c r="AQ225" s="124">
        <f>IFERROR(_xlfn.XLOOKUP($D225,'Modelling New'!$D:$D,'Modelling New'!$AL:$AL),"")</f>
        <v>0.05</v>
      </c>
      <c r="AR225">
        <f>IFERROR(_xlfn.XLOOKUP($D225,'Modelling New'!$D:$D,'Modelling New'!$N:$N),"")</f>
        <v>78</v>
      </c>
    </row>
    <row r="226" spans="1:44">
      <c r="A226" s="118">
        <f t="shared" si="15"/>
        <v>45969</v>
      </c>
      <c r="B226" s="107">
        <f>YEAR(Table13[[#This Row],[Date]])+IF(MONTH(Table13[[#This Row],[Date]])&gt;=4,1,0)</f>
        <v>2026</v>
      </c>
      <c r="C226" s="105">
        <f>YEAR(Table13[[#This Row],[Date]])</f>
        <v>2025</v>
      </c>
      <c r="D226" s="119">
        <f>Table13[[#This Row],[Date]]-DAY(Table13[[#This Row],[Date]])+1</f>
        <v>45962</v>
      </c>
      <c r="E226" s="105">
        <f t="shared" si="19"/>
        <v>30</v>
      </c>
      <c r="F226" s="108"/>
      <c r="G226" s="109"/>
      <c r="H226" s="109"/>
      <c r="I226" s="109"/>
      <c r="J226" s="109"/>
      <c r="K226" s="120"/>
      <c r="L226" s="109"/>
      <c r="M226" s="109" t="str">
        <f>IFERROR(_xlfn.XLOOKUP($A226,Input_Raw!$A:$A,Input_Raw!CG:CG),"")</f>
        <v/>
      </c>
      <c r="N226" s="109" t="str">
        <f>IFERROR(_xlfn.XLOOKUP($A226,Input_Raw!$A:$A,Input_Raw!CH:CH),"")</f>
        <v/>
      </c>
      <c r="O226" s="121" t="str">
        <f t="shared" si="20"/>
        <v/>
      </c>
      <c r="P226" s="121" t="str">
        <f>IFERROR(1-SUMIF(WTG_BD!$F:$F,$A226,WTG_BD!$AA:$AA)/($AA226+SUMIF(WTG_BD!$F:$F,$A226,WTG_BD!$AA:$AA)),"")</f>
        <v/>
      </c>
      <c r="Q226" s="122" t="str">
        <f>IFERROR(1-SUMIF(IGA_BD!$F:$F,$A226,IGA_BD!$V:$V)/($AA226+SUMIF(IGA_BD!$F:$F,$A226,IGA_BD!$V:$V)),"")</f>
        <v/>
      </c>
      <c r="R226" s="127" t="str">
        <f>IFERROR(1-SUMIF(Grid_BD!$F:$F,$A226,Grid_BD!$X:$X)/($AA226+SUMIF(Grid_BD!$F:$F,$A226,Grid_BD!$X:$X)),"")</f>
        <v/>
      </c>
      <c r="S226" s="105"/>
      <c r="T226" s="122"/>
      <c r="U226" s="123"/>
      <c r="V226" s="105"/>
      <c r="W226" s="124" t="str">
        <f>IFERROR(Table13[[#This Row],[Mtr_Net_Exp (KWh)]]/(24*AR226*1000),"")</f>
        <v/>
      </c>
      <c r="X226" s="105" t="str">
        <f>IFERROR(_xlfn.XLOOKUP($A226,Input_Raw!$A:$A,Input_Raw!$CF:$CF),"")</f>
        <v/>
      </c>
      <c r="Y226" s="105" t="str">
        <f>IFERROR(_xlfn.XLOOKUP($A226,Input_Raw!$A:$A,Input_Raw!$CZ:$CZ),"")</f>
        <v/>
      </c>
      <c r="Z226" s="105" t="str">
        <f>IFERROR(_xlfn.XLOOKUP($A226,Input_Raw!$A:$A,Input_Raw!$DA:$DA),"")</f>
        <v/>
      </c>
      <c r="AA226" s="107" t="str">
        <f t="shared" si="21"/>
        <v/>
      </c>
      <c r="AB226" s="105" t="str">
        <f>IFERROR(_xlfn.XLOOKUP($A226,Input_Raw!$A:$A,Input_Raw!$DG:$DG),"")</f>
        <v/>
      </c>
      <c r="AC226" s="125">
        <f>IFERROR(_xlfn.XLOOKUP($D226,'Modelling New'!$D:$D,'Modelling New'!$J:$J),"")</f>
        <v>4.0333333333333332</v>
      </c>
      <c r="AD226" s="107">
        <f>IFERROR(_xlfn.XLOOKUP($D226,'Modelling New'!$D:$D,'Modelling New'!$T:$T)*1000,"")</f>
        <v>162550.46310460661</v>
      </c>
      <c r="AE226" s="124"/>
      <c r="AF226" s="124">
        <f>IFERROR(_xlfn.XLOOKUP($D226,'Modelling New'!$D:$D,'Modelling New'!$W:$W),"")</f>
        <v>8.6832512342204377E-2</v>
      </c>
      <c r="AG226" s="124">
        <f>IFERROR(_xlfn.XLOOKUP($D226,'Modelling New'!$D:$D,'Modelling New'!$AE:$AE),"")</f>
        <v>0.96029999999999993</v>
      </c>
      <c r="AH226" s="124">
        <f>IFERROR(_xlfn.XLOOKUP($D226,'Modelling New'!$D:$D,'Modelling New'!$AF:$AF),"")</f>
        <v>0.995</v>
      </c>
      <c r="AI226" s="105" t="str">
        <f>IFERROR(_xlfn.XLOOKUP($A226,Input_Raw!$A:$A,Input_Raw!$DE:$DE),"")</f>
        <v/>
      </c>
      <c r="AJ226" s="105"/>
      <c r="AK226" s="105"/>
      <c r="AL226" s="105"/>
      <c r="AM226" s="105"/>
      <c r="AN226" s="126" t="str">
        <f>IFERROR(_xlfn.XLOOKUP($A226,Input_Raw!$A:$A,Input_Raw!$DB:$DB),"")</f>
        <v/>
      </c>
      <c r="AO226" s="124" t="str">
        <f>IFERROR((_xlfn.XLOOKUP($A226,'WTG Reactive Power'!$A:$A,'WTG Reactive Power'!$AR:$AR))/X226/1000,"")</f>
        <v/>
      </c>
      <c r="AP226" s="124">
        <f>IFERROR(_xlfn.XLOOKUP($D226,'Modelling New'!$D:$D,'Modelling New'!$AK:$AK),"")</f>
        <v>0.05</v>
      </c>
      <c r="AQ226" s="124">
        <f>IFERROR(_xlfn.XLOOKUP($D226,'Modelling New'!$D:$D,'Modelling New'!$AL:$AL),"")</f>
        <v>0.05</v>
      </c>
      <c r="AR226">
        <f>IFERROR(_xlfn.XLOOKUP($D226,'Modelling New'!$D:$D,'Modelling New'!$N:$N),"")</f>
        <v>78</v>
      </c>
    </row>
    <row r="227" spans="1:44">
      <c r="A227" s="118">
        <f t="shared" si="15"/>
        <v>45970</v>
      </c>
      <c r="B227" s="107">
        <f>YEAR(Table13[[#This Row],[Date]])+IF(MONTH(Table13[[#This Row],[Date]])&gt;=4,1,0)</f>
        <v>2026</v>
      </c>
      <c r="C227" s="105">
        <f>YEAR(Table13[[#This Row],[Date]])</f>
        <v>2025</v>
      </c>
      <c r="D227" s="119">
        <f>Table13[[#This Row],[Date]]-DAY(Table13[[#This Row],[Date]])+1</f>
        <v>45962</v>
      </c>
      <c r="E227" s="105">
        <f t="shared" si="19"/>
        <v>30</v>
      </c>
      <c r="F227" s="108"/>
      <c r="G227" s="109"/>
      <c r="H227" s="109"/>
      <c r="I227" s="109"/>
      <c r="J227" s="109"/>
      <c r="K227" s="120"/>
      <c r="L227" s="109"/>
      <c r="M227" s="109" t="str">
        <f>IFERROR(_xlfn.XLOOKUP($A227,Input_Raw!$A:$A,Input_Raw!CG:CG),"")</f>
        <v/>
      </c>
      <c r="N227" s="109" t="str">
        <f>IFERROR(_xlfn.XLOOKUP($A227,Input_Raw!$A:$A,Input_Raw!CH:CH),"")</f>
        <v/>
      </c>
      <c r="O227" s="121" t="str">
        <f t="shared" si="20"/>
        <v/>
      </c>
      <c r="P227" s="121" t="str">
        <f>IFERROR(1-SUMIF(WTG_BD!$F:$F,$A227,WTG_BD!$AA:$AA)/($AA227+SUMIF(WTG_BD!$F:$F,$A227,WTG_BD!$AA:$AA)),"")</f>
        <v/>
      </c>
      <c r="Q227" s="122" t="str">
        <f>IFERROR(1-SUMIF(IGA_BD!$F:$F,$A227,IGA_BD!$V:$V)/($AA227+SUMIF(IGA_BD!$F:$F,$A227,IGA_BD!$V:$V)),"")</f>
        <v/>
      </c>
      <c r="R227" s="127" t="str">
        <f>IFERROR(1-SUMIF(Grid_BD!$F:$F,$A227,Grid_BD!$X:$X)/($AA227+SUMIF(Grid_BD!$F:$F,$A227,Grid_BD!$X:$X)),"")</f>
        <v/>
      </c>
      <c r="S227" s="105"/>
      <c r="T227" s="122"/>
      <c r="U227" s="123"/>
      <c r="V227" s="105"/>
      <c r="W227" s="124" t="str">
        <f>IFERROR(Table13[[#This Row],[Mtr_Net_Exp (KWh)]]/(24*AR227*1000),"")</f>
        <v/>
      </c>
      <c r="X227" s="105" t="str">
        <f>IFERROR(_xlfn.XLOOKUP($A227,Input_Raw!$A:$A,Input_Raw!$CF:$CF),"")</f>
        <v/>
      </c>
      <c r="Y227" s="105" t="str">
        <f>IFERROR(_xlfn.XLOOKUP($A227,Input_Raw!$A:$A,Input_Raw!$CZ:$CZ),"")</f>
        <v/>
      </c>
      <c r="Z227" s="105" t="str">
        <f>IFERROR(_xlfn.XLOOKUP($A227,Input_Raw!$A:$A,Input_Raw!$DA:$DA),"")</f>
        <v/>
      </c>
      <c r="AA227" s="107" t="str">
        <f t="shared" si="21"/>
        <v/>
      </c>
      <c r="AB227" s="105" t="str">
        <f>IFERROR(_xlfn.XLOOKUP($A227,Input_Raw!$A:$A,Input_Raw!$DG:$DG),"")</f>
        <v/>
      </c>
      <c r="AC227" s="125">
        <f>IFERROR(_xlfn.XLOOKUP($D227,'Modelling New'!$D:$D,'Modelling New'!$J:$J),"")</f>
        <v>4.0333333333333332</v>
      </c>
      <c r="AD227" s="107">
        <f>IFERROR(_xlfn.XLOOKUP($D227,'Modelling New'!$D:$D,'Modelling New'!$T:$T)*1000,"")</f>
        <v>162550.46310460661</v>
      </c>
      <c r="AE227" s="124"/>
      <c r="AF227" s="124">
        <f>IFERROR(_xlfn.XLOOKUP($D227,'Modelling New'!$D:$D,'Modelling New'!$W:$W),"")</f>
        <v>8.6832512342204377E-2</v>
      </c>
      <c r="AG227" s="124">
        <f>IFERROR(_xlfn.XLOOKUP($D227,'Modelling New'!$D:$D,'Modelling New'!$AE:$AE),"")</f>
        <v>0.96029999999999993</v>
      </c>
      <c r="AH227" s="124">
        <f>IFERROR(_xlfn.XLOOKUP($D227,'Modelling New'!$D:$D,'Modelling New'!$AF:$AF),"")</f>
        <v>0.995</v>
      </c>
      <c r="AI227" s="105" t="str">
        <f>IFERROR(_xlfn.XLOOKUP($A227,Input_Raw!$A:$A,Input_Raw!$DE:$DE),"")</f>
        <v/>
      </c>
      <c r="AJ227" s="105"/>
      <c r="AK227" s="105"/>
      <c r="AL227" s="105"/>
      <c r="AM227" s="105"/>
      <c r="AN227" s="126" t="str">
        <f>IFERROR(_xlfn.XLOOKUP($A227,Input_Raw!$A:$A,Input_Raw!$DB:$DB),"")</f>
        <v/>
      </c>
      <c r="AO227" s="124" t="str">
        <f>IFERROR((_xlfn.XLOOKUP($A227,'WTG Reactive Power'!$A:$A,'WTG Reactive Power'!$AR:$AR))/X227/1000,"")</f>
        <v/>
      </c>
      <c r="AP227" s="124">
        <f>IFERROR(_xlfn.XLOOKUP($D227,'Modelling New'!$D:$D,'Modelling New'!$AK:$AK),"")</f>
        <v>0.05</v>
      </c>
      <c r="AQ227" s="124">
        <f>IFERROR(_xlfn.XLOOKUP($D227,'Modelling New'!$D:$D,'Modelling New'!$AL:$AL),"")</f>
        <v>0.05</v>
      </c>
      <c r="AR227">
        <f>IFERROR(_xlfn.XLOOKUP($D227,'Modelling New'!$D:$D,'Modelling New'!$N:$N),"")</f>
        <v>78</v>
      </c>
    </row>
    <row r="228" spans="1:44">
      <c r="A228" s="118">
        <f t="shared" si="15"/>
        <v>45971</v>
      </c>
      <c r="B228" s="107">
        <f>YEAR(Table13[[#This Row],[Date]])+IF(MONTH(Table13[[#This Row],[Date]])&gt;=4,1,0)</f>
        <v>2026</v>
      </c>
      <c r="C228" s="105">
        <f>YEAR(Table13[[#This Row],[Date]])</f>
        <v>2025</v>
      </c>
      <c r="D228" s="119">
        <f>Table13[[#This Row],[Date]]-DAY(Table13[[#This Row],[Date]])+1</f>
        <v>45962</v>
      </c>
      <c r="E228" s="105">
        <f t="shared" si="19"/>
        <v>30</v>
      </c>
      <c r="F228" s="108"/>
      <c r="G228" s="109"/>
      <c r="H228" s="109"/>
      <c r="I228" s="109"/>
      <c r="J228" s="109"/>
      <c r="K228" s="120"/>
      <c r="L228" s="109"/>
      <c r="M228" s="109" t="str">
        <f>IFERROR(_xlfn.XLOOKUP($A228,Input_Raw!$A:$A,Input_Raw!CG:CG),"")</f>
        <v/>
      </c>
      <c r="N228" s="109" t="str">
        <f>IFERROR(_xlfn.XLOOKUP($A228,Input_Raw!$A:$A,Input_Raw!CH:CH),"")</f>
        <v/>
      </c>
      <c r="O228" s="121" t="str">
        <f t="shared" si="20"/>
        <v/>
      </c>
      <c r="P228" s="121" t="str">
        <f>IFERROR(1-SUMIF(WTG_BD!$F:$F,$A228,WTG_BD!$AA:$AA)/($AA228+SUMIF(WTG_BD!$F:$F,$A228,WTG_BD!$AA:$AA)),"")</f>
        <v/>
      </c>
      <c r="Q228" s="122" t="str">
        <f>IFERROR(1-SUMIF(IGA_BD!$F:$F,$A228,IGA_BD!$V:$V)/($AA228+SUMIF(IGA_BD!$F:$F,$A228,IGA_BD!$V:$V)),"")</f>
        <v/>
      </c>
      <c r="R228" s="127" t="str">
        <f>IFERROR(1-SUMIF(Grid_BD!$F:$F,$A228,Grid_BD!$X:$X)/($AA228+SUMIF(Grid_BD!$F:$F,$A228,Grid_BD!$X:$X)),"")</f>
        <v/>
      </c>
      <c r="S228" s="105"/>
      <c r="T228" s="122"/>
      <c r="U228" s="123"/>
      <c r="V228" s="105"/>
      <c r="W228" s="124" t="str">
        <f>IFERROR(Table13[[#This Row],[Mtr_Net_Exp (KWh)]]/(24*AR228*1000),"")</f>
        <v/>
      </c>
      <c r="X228" s="105" t="str">
        <f>IFERROR(_xlfn.XLOOKUP($A228,Input_Raw!$A:$A,Input_Raw!$CF:$CF),"")</f>
        <v/>
      </c>
      <c r="Y228" s="105" t="str">
        <f>IFERROR(_xlfn.XLOOKUP($A228,Input_Raw!$A:$A,Input_Raw!$CZ:$CZ),"")</f>
        <v/>
      </c>
      <c r="Z228" s="105" t="str">
        <f>IFERROR(_xlfn.XLOOKUP($A228,Input_Raw!$A:$A,Input_Raw!$DA:$DA),"")</f>
        <v/>
      </c>
      <c r="AA228" s="107" t="str">
        <f t="shared" si="21"/>
        <v/>
      </c>
      <c r="AB228" s="105" t="str">
        <f>IFERROR(_xlfn.XLOOKUP($A228,Input_Raw!$A:$A,Input_Raw!$DG:$DG),"")</f>
        <v/>
      </c>
      <c r="AC228" s="125">
        <f>IFERROR(_xlfn.XLOOKUP($D228,'Modelling New'!$D:$D,'Modelling New'!$J:$J),"")</f>
        <v>4.0333333333333332</v>
      </c>
      <c r="AD228" s="107">
        <f>IFERROR(_xlfn.XLOOKUP($D228,'Modelling New'!$D:$D,'Modelling New'!$T:$T)*1000,"")</f>
        <v>162550.46310460661</v>
      </c>
      <c r="AE228" s="124"/>
      <c r="AF228" s="124">
        <f>IFERROR(_xlfn.XLOOKUP($D228,'Modelling New'!$D:$D,'Modelling New'!$W:$W),"")</f>
        <v>8.6832512342204377E-2</v>
      </c>
      <c r="AG228" s="124">
        <f>IFERROR(_xlfn.XLOOKUP($D228,'Modelling New'!$D:$D,'Modelling New'!$AE:$AE),"")</f>
        <v>0.96029999999999993</v>
      </c>
      <c r="AH228" s="124">
        <f>IFERROR(_xlfn.XLOOKUP($D228,'Modelling New'!$D:$D,'Modelling New'!$AF:$AF),"")</f>
        <v>0.995</v>
      </c>
      <c r="AI228" s="105" t="str">
        <f>IFERROR(_xlfn.XLOOKUP($A228,Input_Raw!$A:$A,Input_Raw!$DE:$DE),"")</f>
        <v/>
      </c>
      <c r="AJ228" s="105"/>
      <c r="AK228" s="105"/>
      <c r="AL228" s="105"/>
      <c r="AM228" s="105"/>
      <c r="AN228" s="126" t="str">
        <f>IFERROR(_xlfn.XLOOKUP($A228,Input_Raw!$A:$A,Input_Raw!$DB:$DB),"")</f>
        <v/>
      </c>
      <c r="AO228" s="124" t="str">
        <f>IFERROR((_xlfn.XLOOKUP($A228,'WTG Reactive Power'!$A:$A,'WTG Reactive Power'!$AR:$AR))/X228/1000,"")</f>
        <v/>
      </c>
      <c r="AP228" s="124">
        <f>IFERROR(_xlfn.XLOOKUP($D228,'Modelling New'!$D:$D,'Modelling New'!$AK:$AK),"")</f>
        <v>0.05</v>
      </c>
      <c r="AQ228" s="124">
        <f>IFERROR(_xlfn.XLOOKUP($D228,'Modelling New'!$D:$D,'Modelling New'!$AL:$AL),"")</f>
        <v>0.05</v>
      </c>
      <c r="AR228">
        <f>IFERROR(_xlfn.XLOOKUP($D228,'Modelling New'!$D:$D,'Modelling New'!$N:$N),"")</f>
        <v>78</v>
      </c>
    </row>
    <row r="229" spans="1:44">
      <c r="A229" s="118">
        <f t="shared" si="15"/>
        <v>45972</v>
      </c>
      <c r="B229" s="107">
        <f>YEAR(Table13[[#This Row],[Date]])+IF(MONTH(Table13[[#This Row],[Date]])&gt;=4,1,0)</f>
        <v>2026</v>
      </c>
      <c r="C229" s="105">
        <f>YEAR(Table13[[#This Row],[Date]])</f>
        <v>2025</v>
      </c>
      <c r="D229" s="119">
        <f>Table13[[#This Row],[Date]]-DAY(Table13[[#This Row],[Date]])+1</f>
        <v>45962</v>
      </c>
      <c r="E229" s="105">
        <f t="shared" si="19"/>
        <v>30</v>
      </c>
      <c r="F229" s="108"/>
      <c r="G229" s="109"/>
      <c r="H229" s="109"/>
      <c r="I229" s="109"/>
      <c r="J229" s="109"/>
      <c r="K229" s="120"/>
      <c r="L229" s="109"/>
      <c r="M229" s="109" t="str">
        <f>IFERROR(_xlfn.XLOOKUP($A229,Input_Raw!$A:$A,Input_Raw!CG:CG),"")</f>
        <v/>
      </c>
      <c r="N229" s="109" t="str">
        <f>IFERROR(_xlfn.XLOOKUP($A229,Input_Raw!$A:$A,Input_Raw!CH:CH),"")</f>
        <v/>
      </c>
      <c r="O229" s="121" t="str">
        <f t="shared" si="20"/>
        <v/>
      </c>
      <c r="P229" s="121" t="str">
        <f>IFERROR(1-SUMIF(WTG_BD!$F:$F,$A229,WTG_BD!$AA:$AA)/($AA229+SUMIF(WTG_BD!$F:$F,$A229,WTG_BD!$AA:$AA)),"")</f>
        <v/>
      </c>
      <c r="Q229" s="122" t="str">
        <f>IFERROR(1-SUMIF(IGA_BD!$F:$F,$A229,IGA_BD!$V:$V)/($AA229+SUMIF(IGA_BD!$F:$F,$A229,IGA_BD!$V:$V)),"")</f>
        <v/>
      </c>
      <c r="R229" s="127" t="str">
        <f>IFERROR(1-SUMIF(Grid_BD!$F:$F,$A229,Grid_BD!$X:$X)/($AA229+SUMIF(Grid_BD!$F:$F,$A229,Grid_BD!$X:$X)),"")</f>
        <v/>
      </c>
      <c r="S229" s="105"/>
      <c r="T229" s="122"/>
      <c r="U229" s="123"/>
      <c r="V229" s="105"/>
      <c r="W229" s="124" t="str">
        <f>IFERROR(Table13[[#This Row],[Mtr_Net_Exp (KWh)]]/(24*AR229*1000),"")</f>
        <v/>
      </c>
      <c r="X229" s="105" t="str">
        <f>IFERROR(_xlfn.XLOOKUP($A229,Input_Raw!$A:$A,Input_Raw!$CF:$CF),"")</f>
        <v/>
      </c>
      <c r="Y229" s="105" t="str">
        <f>IFERROR(_xlfn.XLOOKUP($A229,Input_Raw!$A:$A,Input_Raw!$CZ:$CZ),"")</f>
        <v/>
      </c>
      <c r="Z229" s="105" t="str">
        <f>IFERROR(_xlfn.XLOOKUP($A229,Input_Raw!$A:$A,Input_Raw!$DA:$DA),"")</f>
        <v/>
      </c>
      <c r="AA229" s="107" t="str">
        <f t="shared" si="21"/>
        <v/>
      </c>
      <c r="AB229" s="105" t="str">
        <f>IFERROR(_xlfn.XLOOKUP($A229,Input_Raw!$A:$A,Input_Raw!$DG:$DG),"")</f>
        <v/>
      </c>
      <c r="AC229" s="125">
        <f>IFERROR(_xlfn.XLOOKUP($D229,'Modelling New'!$D:$D,'Modelling New'!$J:$J),"")</f>
        <v>4.0333333333333332</v>
      </c>
      <c r="AD229" s="107">
        <f>IFERROR(_xlfn.XLOOKUP($D229,'Modelling New'!$D:$D,'Modelling New'!$T:$T)*1000,"")</f>
        <v>162550.46310460661</v>
      </c>
      <c r="AE229" s="124"/>
      <c r="AF229" s="124">
        <f>IFERROR(_xlfn.XLOOKUP($D229,'Modelling New'!$D:$D,'Modelling New'!$W:$W),"")</f>
        <v>8.6832512342204377E-2</v>
      </c>
      <c r="AG229" s="124">
        <f>IFERROR(_xlfn.XLOOKUP($D229,'Modelling New'!$D:$D,'Modelling New'!$AE:$AE),"")</f>
        <v>0.96029999999999993</v>
      </c>
      <c r="AH229" s="124">
        <f>IFERROR(_xlfn.XLOOKUP($D229,'Modelling New'!$D:$D,'Modelling New'!$AF:$AF),"")</f>
        <v>0.995</v>
      </c>
      <c r="AI229" s="105" t="str">
        <f>IFERROR(_xlfn.XLOOKUP($A229,Input_Raw!$A:$A,Input_Raw!$DE:$DE),"")</f>
        <v/>
      </c>
      <c r="AJ229" s="105"/>
      <c r="AK229" s="105"/>
      <c r="AL229" s="105"/>
      <c r="AM229" s="105"/>
      <c r="AN229" s="126" t="str">
        <f>IFERROR(_xlfn.XLOOKUP($A229,Input_Raw!$A:$A,Input_Raw!$DB:$DB),"")</f>
        <v/>
      </c>
      <c r="AO229" s="124" t="str">
        <f>IFERROR((_xlfn.XLOOKUP($A229,'WTG Reactive Power'!$A:$A,'WTG Reactive Power'!$AR:$AR))/X229/1000,"")</f>
        <v/>
      </c>
      <c r="AP229" s="124">
        <f>IFERROR(_xlfn.XLOOKUP($D229,'Modelling New'!$D:$D,'Modelling New'!$AK:$AK),"")</f>
        <v>0.05</v>
      </c>
      <c r="AQ229" s="124">
        <f>IFERROR(_xlfn.XLOOKUP($D229,'Modelling New'!$D:$D,'Modelling New'!$AL:$AL),"")</f>
        <v>0.05</v>
      </c>
      <c r="AR229">
        <f>IFERROR(_xlfn.XLOOKUP($D229,'Modelling New'!$D:$D,'Modelling New'!$N:$N),"")</f>
        <v>78</v>
      </c>
    </row>
    <row r="230" spans="1:44">
      <c r="A230" s="118">
        <f t="shared" ref="A230:A293" si="22">A229+1</f>
        <v>45973</v>
      </c>
      <c r="B230" s="107">
        <f>YEAR(Table13[[#This Row],[Date]])+IF(MONTH(Table13[[#This Row],[Date]])&gt;=4,1,0)</f>
        <v>2026</v>
      </c>
      <c r="C230" s="105">
        <f>YEAR(Table13[[#This Row],[Date]])</f>
        <v>2025</v>
      </c>
      <c r="D230" s="119">
        <f>Table13[[#This Row],[Date]]-DAY(Table13[[#This Row],[Date]])+1</f>
        <v>45962</v>
      </c>
      <c r="E230" s="105">
        <f t="shared" si="19"/>
        <v>30</v>
      </c>
      <c r="F230" s="108"/>
      <c r="G230" s="109"/>
      <c r="H230" s="109"/>
      <c r="I230" s="109"/>
      <c r="J230" s="109"/>
      <c r="K230" s="120"/>
      <c r="L230" s="109"/>
      <c r="M230" s="109" t="str">
        <f>IFERROR(_xlfn.XLOOKUP($A230,Input_Raw!$A:$A,Input_Raw!CG:CG),"")</f>
        <v/>
      </c>
      <c r="N230" s="109" t="str">
        <f>IFERROR(_xlfn.XLOOKUP($A230,Input_Raw!$A:$A,Input_Raw!CH:CH),"")</f>
        <v/>
      </c>
      <c r="O230" s="121" t="str">
        <f t="shared" si="20"/>
        <v/>
      </c>
      <c r="P230" s="121" t="str">
        <f>IFERROR(1-SUMIF(WTG_BD!$F:$F,$A230,WTG_BD!$AA:$AA)/($AA230+SUMIF(WTG_BD!$F:$F,$A230,WTG_BD!$AA:$AA)),"")</f>
        <v/>
      </c>
      <c r="Q230" s="122" t="str">
        <f>IFERROR(1-SUMIF(IGA_BD!$F:$F,$A230,IGA_BD!$V:$V)/($AA230+SUMIF(IGA_BD!$F:$F,$A230,IGA_BD!$V:$V)),"")</f>
        <v/>
      </c>
      <c r="R230" s="127" t="str">
        <f>IFERROR(1-SUMIF(Grid_BD!$F:$F,$A230,Grid_BD!$X:$X)/($AA230+SUMIF(Grid_BD!$F:$F,$A230,Grid_BD!$X:$X)),"")</f>
        <v/>
      </c>
      <c r="S230" s="105"/>
      <c r="T230" s="122"/>
      <c r="U230" s="123"/>
      <c r="V230" s="105"/>
      <c r="W230" s="124" t="str">
        <f>IFERROR(Table13[[#This Row],[Mtr_Net_Exp (KWh)]]/(24*AR230*1000),"")</f>
        <v/>
      </c>
      <c r="X230" s="105" t="str">
        <f>IFERROR(_xlfn.XLOOKUP($A230,Input_Raw!$A:$A,Input_Raw!$CF:$CF),"")</f>
        <v/>
      </c>
      <c r="Y230" s="105" t="str">
        <f>IFERROR(_xlfn.XLOOKUP($A230,Input_Raw!$A:$A,Input_Raw!$CZ:$CZ),"")</f>
        <v/>
      </c>
      <c r="Z230" s="105" t="str">
        <f>IFERROR(_xlfn.XLOOKUP($A230,Input_Raw!$A:$A,Input_Raw!$DA:$DA),"")</f>
        <v/>
      </c>
      <c r="AA230" s="107" t="str">
        <f t="shared" si="21"/>
        <v/>
      </c>
      <c r="AB230" s="105" t="str">
        <f>IFERROR(_xlfn.XLOOKUP($A230,Input_Raw!$A:$A,Input_Raw!$DG:$DG),"")</f>
        <v/>
      </c>
      <c r="AC230" s="125">
        <f>IFERROR(_xlfn.XLOOKUP($D230,'Modelling New'!$D:$D,'Modelling New'!$J:$J),"")</f>
        <v>4.0333333333333332</v>
      </c>
      <c r="AD230" s="107">
        <f>IFERROR(_xlfn.XLOOKUP($D230,'Modelling New'!$D:$D,'Modelling New'!$T:$T)*1000,"")</f>
        <v>162550.46310460661</v>
      </c>
      <c r="AE230" s="124"/>
      <c r="AF230" s="124">
        <f>IFERROR(_xlfn.XLOOKUP($D230,'Modelling New'!$D:$D,'Modelling New'!$W:$W),"")</f>
        <v>8.6832512342204377E-2</v>
      </c>
      <c r="AG230" s="124">
        <f>IFERROR(_xlfn.XLOOKUP($D230,'Modelling New'!$D:$D,'Modelling New'!$AE:$AE),"")</f>
        <v>0.96029999999999993</v>
      </c>
      <c r="AH230" s="124">
        <f>IFERROR(_xlfn.XLOOKUP($D230,'Modelling New'!$D:$D,'Modelling New'!$AF:$AF),"")</f>
        <v>0.995</v>
      </c>
      <c r="AI230" s="105" t="str">
        <f>IFERROR(_xlfn.XLOOKUP($A230,Input_Raw!$A:$A,Input_Raw!$DE:$DE),"")</f>
        <v/>
      </c>
      <c r="AJ230" s="105"/>
      <c r="AK230" s="105"/>
      <c r="AL230" s="105"/>
      <c r="AM230" s="105"/>
      <c r="AN230" s="126" t="str">
        <f>IFERROR(_xlfn.XLOOKUP($A230,Input_Raw!$A:$A,Input_Raw!$DB:$DB),"")</f>
        <v/>
      </c>
      <c r="AO230" s="124" t="str">
        <f>IFERROR((_xlfn.XLOOKUP($A230,'WTG Reactive Power'!$A:$A,'WTG Reactive Power'!$AR:$AR))/X230/1000,"")</f>
        <v/>
      </c>
      <c r="AP230" s="124">
        <f>IFERROR(_xlfn.XLOOKUP($D230,'Modelling New'!$D:$D,'Modelling New'!$AK:$AK),"")</f>
        <v>0.05</v>
      </c>
      <c r="AQ230" s="124">
        <f>IFERROR(_xlfn.XLOOKUP($D230,'Modelling New'!$D:$D,'Modelling New'!$AL:$AL),"")</f>
        <v>0.05</v>
      </c>
      <c r="AR230">
        <f>IFERROR(_xlfn.XLOOKUP($D230,'Modelling New'!$D:$D,'Modelling New'!$N:$N),"")</f>
        <v>78</v>
      </c>
    </row>
    <row r="231" spans="1:44">
      <c r="A231" s="118">
        <f t="shared" si="22"/>
        <v>45974</v>
      </c>
      <c r="B231" s="107">
        <f>YEAR(Table13[[#This Row],[Date]])+IF(MONTH(Table13[[#This Row],[Date]])&gt;=4,1,0)</f>
        <v>2026</v>
      </c>
      <c r="C231" s="105">
        <f>YEAR(Table13[[#This Row],[Date]])</f>
        <v>2025</v>
      </c>
      <c r="D231" s="119">
        <f>Table13[[#This Row],[Date]]-DAY(Table13[[#This Row],[Date]])+1</f>
        <v>45962</v>
      </c>
      <c r="E231" s="105">
        <f t="shared" si="19"/>
        <v>30</v>
      </c>
      <c r="F231" s="108"/>
      <c r="G231" s="109"/>
      <c r="H231" s="109"/>
      <c r="I231" s="109"/>
      <c r="J231" s="109"/>
      <c r="K231" s="120"/>
      <c r="L231" s="109"/>
      <c r="M231" s="109" t="str">
        <f>IFERROR(_xlfn.XLOOKUP($A231,Input_Raw!$A:$A,Input_Raw!CG:CG),"")</f>
        <v/>
      </c>
      <c r="N231" s="109" t="str">
        <f>IFERROR(_xlfn.XLOOKUP($A231,Input_Raw!$A:$A,Input_Raw!CH:CH),"")</f>
        <v/>
      </c>
      <c r="O231" s="121" t="str">
        <f t="shared" si="20"/>
        <v/>
      </c>
      <c r="P231" s="121" t="str">
        <f>IFERROR(1-SUMIF(WTG_BD!$F:$F,$A231,WTG_BD!$AA:$AA)/($AA231+SUMIF(WTG_BD!$F:$F,$A231,WTG_BD!$AA:$AA)),"")</f>
        <v/>
      </c>
      <c r="Q231" s="122" t="str">
        <f>IFERROR(1-SUMIF(IGA_BD!$F:$F,$A231,IGA_BD!$V:$V)/($AA231+SUMIF(IGA_BD!$F:$F,$A231,IGA_BD!$V:$V)),"")</f>
        <v/>
      </c>
      <c r="R231" s="127" t="str">
        <f>IFERROR(1-SUMIF(Grid_BD!$F:$F,$A231,Grid_BD!$X:$X)/($AA231+SUMIF(Grid_BD!$F:$F,$A231,Grid_BD!$X:$X)),"")</f>
        <v/>
      </c>
      <c r="S231" s="105"/>
      <c r="T231" s="122"/>
      <c r="U231" s="123"/>
      <c r="V231" s="105"/>
      <c r="W231" s="124" t="str">
        <f>IFERROR(Table13[[#This Row],[Mtr_Net_Exp (KWh)]]/(24*AR231*1000),"")</f>
        <v/>
      </c>
      <c r="X231" s="105" t="str">
        <f>IFERROR(_xlfn.XLOOKUP($A231,Input_Raw!$A:$A,Input_Raw!$CF:$CF),"")</f>
        <v/>
      </c>
      <c r="Y231" s="105" t="str">
        <f>IFERROR(_xlfn.XLOOKUP($A231,Input_Raw!$A:$A,Input_Raw!$CZ:$CZ),"")</f>
        <v/>
      </c>
      <c r="Z231" s="105" t="str">
        <f>IFERROR(_xlfn.XLOOKUP($A231,Input_Raw!$A:$A,Input_Raw!$DA:$DA),"")</f>
        <v/>
      </c>
      <c r="AA231" s="107" t="str">
        <f t="shared" si="21"/>
        <v/>
      </c>
      <c r="AB231" s="105" t="str">
        <f>IFERROR(_xlfn.XLOOKUP($A231,Input_Raw!$A:$A,Input_Raw!$DG:$DG),"")</f>
        <v/>
      </c>
      <c r="AC231" s="125">
        <f>IFERROR(_xlfn.XLOOKUP($D231,'Modelling New'!$D:$D,'Modelling New'!$J:$J),"")</f>
        <v>4.0333333333333332</v>
      </c>
      <c r="AD231" s="107">
        <f>IFERROR(_xlfn.XLOOKUP($D231,'Modelling New'!$D:$D,'Modelling New'!$T:$T)*1000,"")</f>
        <v>162550.46310460661</v>
      </c>
      <c r="AE231" s="124"/>
      <c r="AF231" s="124">
        <f>IFERROR(_xlfn.XLOOKUP($D231,'Modelling New'!$D:$D,'Modelling New'!$W:$W),"")</f>
        <v>8.6832512342204377E-2</v>
      </c>
      <c r="AG231" s="124">
        <f>IFERROR(_xlfn.XLOOKUP($D231,'Modelling New'!$D:$D,'Modelling New'!$AE:$AE),"")</f>
        <v>0.96029999999999993</v>
      </c>
      <c r="AH231" s="124">
        <f>IFERROR(_xlfn.XLOOKUP($D231,'Modelling New'!$D:$D,'Modelling New'!$AF:$AF),"")</f>
        <v>0.995</v>
      </c>
      <c r="AI231" s="105" t="str">
        <f>IFERROR(_xlfn.XLOOKUP($A231,Input_Raw!$A:$A,Input_Raw!$DE:$DE),"")</f>
        <v/>
      </c>
      <c r="AJ231" s="105"/>
      <c r="AK231" s="105"/>
      <c r="AL231" s="105"/>
      <c r="AM231" s="105"/>
      <c r="AN231" s="126" t="str">
        <f>IFERROR(_xlfn.XLOOKUP($A231,Input_Raw!$A:$A,Input_Raw!$DB:$DB),"")</f>
        <v/>
      </c>
      <c r="AO231" s="124" t="str">
        <f>IFERROR((_xlfn.XLOOKUP($A231,'WTG Reactive Power'!$A:$A,'WTG Reactive Power'!$AR:$AR))/X231/1000,"")</f>
        <v/>
      </c>
      <c r="AP231" s="124">
        <f>IFERROR(_xlfn.XLOOKUP($D231,'Modelling New'!$D:$D,'Modelling New'!$AK:$AK),"")</f>
        <v>0.05</v>
      </c>
      <c r="AQ231" s="124">
        <f>IFERROR(_xlfn.XLOOKUP($D231,'Modelling New'!$D:$D,'Modelling New'!$AL:$AL),"")</f>
        <v>0.05</v>
      </c>
      <c r="AR231">
        <f>IFERROR(_xlfn.XLOOKUP($D231,'Modelling New'!$D:$D,'Modelling New'!$N:$N),"")</f>
        <v>78</v>
      </c>
    </row>
    <row r="232" spans="1:44">
      <c r="A232" s="118">
        <f t="shared" si="22"/>
        <v>45975</v>
      </c>
      <c r="B232" s="107">
        <f>YEAR(Table13[[#This Row],[Date]])+IF(MONTH(Table13[[#This Row],[Date]])&gt;=4,1,0)</f>
        <v>2026</v>
      </c>
      <c r="C232" s="105">
        <f>YEAR(Table13[[#This Row],[Date]])</f>
        <v>2025</v>
      </c>
      <c r="D232" s="119">
        <f>Table13[[#This Row],[Date]]-DAY(Table13[[#This Row],[Date]])+1</f>
        <v>45962</v>
      </c>
      <c r="E232" s="105">
        <f t="shared" si="19"/>
        <v>30</v>
      </c>
      <c r="F232" s="108"/>
      <c r="G232" s="109"/>
      <c r="H232" s="109"/>
      <c r="I232" s="109"/>
      <c r="J232" s="109"/>
      <c r="K232" s="120"/>
      <c r="L232" s="109"/>
      <c r="M232" s="109" t="str">
        <f>IFERROR(_xlfn.XLOOKUP($A232,Input_Raw!$A:$A,Input_Raw!CG:CG),"")</f>
        <v/>
      </c>
      <c r="N232" s="109" t="str">
        <f>IFERROR(_xlfn.XLOOKUP($A232,Input_Raw!$A:$A,Input_Raw!CH:CH),"")</f>
        <v/>
      </c>
      <c r="O232" s="121" t="str">
        <f t="shared" si="20"/>
        <v/>
      </c>
      <c r="P232" s="121" t="str">
        <f>IFERROR(1-SUMIF(WTG_BD!$F:$F,$A232,WTG_BD!$AA:$AA)/($AA232+SUMIF(WTG_BD!$F:$F,$A232,WTG_BD!$AA:$AA)),"")</f>
        <v/>
      </c>
      <c r="Q232" s="122" t="str">
        <f>IFERROR(1-SUMIF(IGA_BD!$F:$F,$A232,IGA_BD!$V:$V)/($AA232+SUMIF(IGA_BD!$F:$F,$A232,IGA_BD!$V:$V)),"")</f>
        <v/>
      </c>
      <c r="R232" s="127" t="str">
        <f>IFERROR(1-SUMIF(Grid_BD!$F:$F,$A232,Grid_BD!$X:$X)/($AA232+SUMIF(Grid_BD!$F:$F,$A232,Grid_BD!$X:$X)),"")</f>
        <v/>
      </c>
      <c r="S232" s="105"/>
      <c r="T232" s="122"/>
      <c r="U232" s="123"/>
      <c r="V232" s="105"/>
      <c r="W232" s="124" t="str">
        <f>IFERROR(Table13[[#This Row],[Mtr_Net_Exp (KWh)]]/(24*AR232*1000),"")</f>
        <v/>
      </c>
      <c r="X232" s="105" t="str">
        <f>IFERROR(_xlfn.XLOOKUP($A232,Input_Raw!$A:$A,Input_Raw!$CF:$CF),"")</f>
        <v/>
      </c>
      <c r="Y232" s="105" t="str">
        <f>IFERROR(_xlfn.XLOOKUP($A232,Input_Raw!$A:$A,Input_Raw!$CZ:$CZ),"")</f>
        <v/>
      </c>
      <c r="Z232" s="105" t="str">
        <f>IFERROR(_xlfn.XLOOKUP($A232,Input_Raw!$A:$A,Input_Raw!$DA:$DA),"")</f>
        <v/>
      </c>
      <c r="AA232" s="107" t="str">
        <f t="shared" si="21"/>
        <v/>
      </c>
      <c r="AB232" s="105" t="str">
        <f>IFERROR(_xlfn.XLOOKUP($A232,Input_Raw!$A:$A,Input_Raw!$DG:$DG),"")</f>
        <v/>
      </c>
      <c r="AC232" s="125">
        <f>IFERROR(_xlfn.XLOOKUP($D232,'Modelling New'!$D:$D,'Modelling New'!$J:$J),"")</f>
        <v>4.0333333333333332</v>
      </c>
      <c r="AD232" s="107">
        <f>IFERROR(_xlfn.XLOOKUP($D232,'Modelling New'!$D:$D,'Modelling New'!$T:$T)*1000,"")</f>
        <v>162550.46310460661</v>
      </c>
      <c r="AE232" s="124"/>
      <c r="AF232" s="124">
        <f>IFERROR(_xlfn.XLOOKUP($D232,'Modelling New'!$D:$D,'Modelling New'!$W:$W),"")</f>
        <v>8.6832512342204377E-2</v>
      </c>
      <c r="AG232" s="124">
        <f>IFERROR(_xlfn.XLOOKUP($D232,'Modelling New'!$D:$D,'Modelling New'!$AE:$AE),"")</f>
        <v>0.96029999999999993</v>
      </c>
      <c r="AH232" s="124">
        <f>IFERROR(_xlfn.XLOOKUP($D232,'Modelling New'!$D:$D,'Modelling New'!$AF:$AF),"")</f>
        <v>0.995</v>
      </c>
      <c r="AI232" s="105" t="str">
        <f>IFERROR(_xlfn.XLOOKUP($A232,Input_Raw!$A:$A,Input_Raw!$DE:$DE),"")</f>
        <v/>
      </c>
      <c r="AJ232" s="105"/>
      <c r="AK232" s="105"/>
      <c r="AL232" s="105"/>
      <c r="AM232" s="105"/>
      <c r="AN232" s="126" t="str">
        <f>IFERROR(_xlfn.XLOOKUP($A232,Input_Raw!$A:$A,Input_Raw!$DB:$DB),"")</f>
        <v/>
      </c>
      <c r="AO232" s="124" t="str">
        <f>IFERROR((_xlfn.XLOOKUP($A232,'WTG Reactive Power'!$A:$A,'WTG Reactive Power'!$AR:$AR))/X232/1000,"")</f>
        <v/>
      </c>
      <c r="AP232" s="124">
        <f>IFERROR(_xlfn.XLOOKUP($D232,'Modelling New'!$D:$D,'Modelling New'!$AK:$AK),"")</f>
        <v>0.05</v>
      </c>
      <c r="AQ232" s="124">
        <f>IFERROR(_xlfn.XLOOKUP($D232,'Modelling New'!$D:$D,'Modelling New'!$AL:$AL),"")</f>
        <v>0.05</v>
      </c>
      <c r="AR232">
        <f>IFERROR(_xlfn.XLOOKUP($D232,'Modelling New'!$D:$D,'Modelling New'!$N:$N),"")</f>
        <v>78</v>
      </c>
    </row>
    <row r="233" spans="1:44">
      <c r="A233" s="118">
        <f t="shared" si="22"/>
        <v>45976</v>
      </c>
      <c r="B233" s="107">
        <f>YEAR(Table13[[#This Row],[Date]])+IF(MONTH(Table13[[#This Row],[Date]])&gt;=4,1,0)</f>
        <v>2026</v>
      </c>
      <c r="C233" s="105">
        <f>YEAR(Table13[[#This Row],[Date]])</f>
        <v>2025</v>
      </c>
      <c r="D233" s="119">
        <f>Table13[[#This Row],[Date]]-DAY(Table13[[#This Row],[Date]])+1</f>
        <v>45962</v>
      </c>
      <c r="E233" s="105">
        <f t="shared" si="19"/>
        <v>30</v>
      </c>
      <c r="F233" s="108"/>
      <c r="G233" s="109"/>
      <c r="H233" s="109"/>
      <c r="I233" s="109"/>
      <c r="J233" s="109"/>
      <c r="K233" s="120"/>
      <c r="L233" s="109"/>
      <c r="M233" s="109" t="str">
        <f>IFERROR(_xlfn.XLOOKUP($A233,Input_Raw!$A:$A,Input_Raw!CG:CG),"")</f>
        <v/>
      </c>
      <c r="N233" s="109" t="str">
        <f>IFERROR(_xlfn.XLOOKUP($A233,Input_Raw!$A:$A,Input_Raw!CH:CH),"")</f>
        <v/>
      </c>
      <c r="O233" s="121" t="str">
        <f t="shared" si="20"/>
        <v/>
      </c>
      <c r="P233" s="121" t="str">
        <f>IFERROR(1-SUMIF(WTG_BD!$F:$F,$A233,WTG_BD!$AA:$AA)/($AA233+SUMIF(WTG_BD!$F:$F,$A233,WTG_BD!$AA:$AA)),"")</f>
        <v/>
      </c>
      <c r="Q233" s="122" t="str">
        <f>IFERROR(1-SUMIF(IGA_BD!$F:$F,$A233,IGA_BD!$V:$V)/($AA233+SUMIF(IGA_BD!$F:$F,$A233,IGA_BD!$V:$V)),"")</f>
        <v/>
      </c>
      <c r="R233" s="127" t="str">
        <f>IFERROR(1-SUMIF(Grid_BD!$F:$F,$A233,Grid_BD!$X:$X)/($AA233+SUMIF(Grid_BD!$F:$F,$A233,Grid_BD!$X:$X)),"")</f>
        <v/>
      </c>
      <c r="S233" s="105"/>
      <c r="T233" s="122"/>
      <c r="U233" s="123"/>
      <c r="V233" s="105"/>
      <c r="W233" s="124" t="str">
        <f>IFERROR(Table13[[#This Row],[Mtr_Net_Exp (KWh)]]/(24*AR233*1000),"")</f>
        <v/>
      </c>
      <c r="X233" s="105" t="str">
        <f>IFERROR(_xlfn.XLOOKUP($A233,Input_Raw!$A:$A,Input_Raw!$CF:$CF),"")</f>
        <v/>
      </c>
      <c r="Y233" s="105" t="str">
        <f>IFERROR(_xlfn.XLOOKUP($A233,Input_Raw!$A:$A,Input_Raw!$CZ:$CZ),"")</f>
        <v/>
      </c>
      <c r="Z233" s="105" t="str">
        <f>IFERROR(_xlfn.XLOOKUP($A233,Input_Raw!$A:$A,Input_Raw!$DA:$DA),"")</f>
        <v/>
      </c>
      <c r="AA233" s="107" t="str">
        <f t="shared" si="21"/>
        <v/>
      </c>
      <c r="AB233" s="105" t="str">
        <f>IFERROR(_xlfn.XLOOKUP($A233,Input_Raw!$A:$A,Input_Raw!$DG:$DG),"")</f>
        <v/>
      </c>
      <c r="AC233" s="125">
        <f>IFERROR(_xlfn.XLOOKUP($D233,'Modelling New'!$D:$D,'Modelling New'!$J:$J),"")</f>
        <v>4.0333333333333332</v>
      </c>
      <c r="AD233" s="107">
        <f>IFERROR(_xlfn.XLOOKUP($D233,'Modelling New'!$D:$D,'Modelling New'!$T:$T)*1000,"")</f>
        <v>162550.46310460661</v>
      </c>
      <c r="AE233" s="124"/>
      <c r="AF233" s="124">
        <f>IFERROR(_xlfn.XLOOKUP($D233,'Modelling New'!$D:$D,'Modelling New'!$W:$W),"")</f>
        <v>8.6832512342204377E-2</v>
      </c>
      <c r="AG233" s="124">
        <f>IFERROR(_xlfn.XLOOKUP($D233,'Modelling New'!$D:$D,'Modelling New'!$AE:$AE),"")</f>
        <v>0.96029999999999993</v>
      </c>
      <c r="AH233" s="124">
        <f>IFERROR(_xlfn.XLOOKUP($D233,'Modelling New'!$D:$D,'Modelling New'!$AF:$AF),"")</f>
        <v>0.995</v>
      </c>
      <c r="AI233" s="105" t="str">
        <f>IFERROR(_xlfn.XLOOKUP($A233,Input_Raw!$A:$A,Input_Raw!$DE:$DE),"")</f>
        <v/>
      </c>
      <c r="AJ233" s="105"/>
      <c r="AK233" s="105"/>
      <c r="AL233" s="105"/>
      <c r="AM233" s="105"/>
      <c r="AN233" s="126" t="str">
        <f>IFERROR(_xlfn.XLOOKUP($A233,Input_Raw!$A:$A,Input_Raw!$DB:$DB),"")</f>
        <v/>
      </c>
      <c r="AO233" s="124" t="str">
        <f>IFERROR((_xlfn.XLOOKUP($A233,'WTG Reactive Power'!$A:$A,'WTG Reactive Power'!$AR:$AR))/X233/1000,"")</f>
        <v/>
      </c>
      <c r="AP233" s="124">
        <f>IFERROR(_xlfn.XLOOKUP($D233,'Modelling New'!$D:$D,'Modelling New'!$AK:$AK),"")</f>
        <v>0.05</v>
      </c>
      <c r="AQ233" s="124">
        <f>IFERROR(_xlfn.XLOOKUP($D233,'Modelling New'!$D:$D,'Modelling New'!$AL:$AL),"")</f>
        <v>0.05</v>
      </c>
      <c r="AR233">
        <f>IFERROR(_xlfn.XLOOKUP($D233,'Modelling New'!$D:$D,'Modelling New'!$N:$N),"")</f>
        <v>78</v>
      </c>
    </row>
    <row r="234" spans="1:44">
      <c r="A234" s="118">
        <f t="shared" si="22"/>
        <v>45977</v>
      </c>
      <c r="B234" s="107">
        <f>YEAR(Table13[[#This Row],[Date]])+IF(MONTH(Table13[[#This Row],[Date]])&gt;=4,1,0)</f>
        <v>2026</v>
      </c>
      <c r="C234" s="105">
        <f>YEAR(Table13[[#This Row],[Date]])</f>
        <v>2025</v>
      </c>
      <c r="D234" s="119">
        <f>Table13[[#This Row],[Date]]-DAY(Table13[[#This Row],[Date]])+1</f>
        <v>45962</v>
      </c>
      <c r="E234" s="105">
        <f t="shared" si="19"/>
        <v>30</v>
      </c>
      <c r="F234" s="108"/>
      <c r="G234" s="109"/>
      <c r="H234" s="109"/>
      <c r="I234" s="109"/>
      <c r="J234" s="109"/>
      <c r="K234" s="120"/>
      <c r="L234" s="109"/>
      <c r="M234" s="109" t="str">
        <f>IFERROR(_xlfn.XLOOKUP($A234,Input_Raw!$A:$A,Input_Raw!CG:CG),"")</f>
        <v/>
      </c>
      <c r="N234" s="109" t="str">
        <f>IFERROR(_xlfn.XLOOKUP($A234,Input_Raw!$A:$A,Input_Raw!CH:CH),"")</f>
        <v/>
      </c>
      <c r="O234" s="121" t="str">
        <f t="shared" si="20"/>
        <v/>
      </c>
      <c r="P234" s="121" t="str">
        <f>IFERROR(1-SUMIF(WTG_BD!$F:$F,$A234,WTG_BD!$AA:$AA)/($AA234+SUMIF(WTG_BD!$F:$F,$A234,WTG_BD!$AA:$AA)),"")</f>
        <v/>
      </c>
      <c r="Q234" s="122" t="str">
        <f>IFERROR(1-SUMIF(IGA_BD!$F:$F,$A234,IGA_BD!$V:$V)/($AA234+SUMIF(IGA_BD!$F:$F,$A234,IGA_BD!$V:$V)),"")</f>
        <v/>
      </c>
      <c r="R234" s="127" t="str">
        <f>IFERROR(1-SUMIF(Grid_BD!$F:$F,$A234,Grid_BD!$X:$X)/($AA234+SUMIF(Grid_BD!$F:$F,$A234,Grid_BD!$X:$X)),"")</f>
        <v/>
      </c>
      <c r="S234" s="105"/>
      <c r="T234" s="122"/>
      <c r="U234" s="123"/>
      <c r="V234" s="105"/>
      <c r="W234" s="124" t="str">
        <f>IFERROR(Table13[[#This Row],[Mtr_Net_Exp (KWh)]]/(24*AR234*1000),"")</f>
        <v/>
      </c>
      <c r="X234" s="105" t="str">
        <f>IFERROR(_xlfn.XLOOKUP($A234,Input_Raw!$A:$A,Input_Raw!$CF:$CF),"")</f>
        <v/>
      </c>
      <c r="Y234" s="105" t="str">
        <f>IFERROR(_xlfn.XLOOKUP($A234,Input_Raw!$A:$A,Input_Raw!$CZ:$CZ),"")</f>
        <v/>
      </c>
      <c r="Z234" s="105" t="str">
        <f>IFERROR(_xlfn.XLOOKUP($A234,Input_Raw!$A:$A,Input_Raw!$DA:$DA),"")</f>
        <v/>
      </c>
      <c r="AA234" s="107" t="str">
        <f t="shared" si="21"/>
        <v/>
      </c>
      <c r="AB234" s="105" t="str">
        <f>IFERROR(_xlfn.XLOOKUP($A234,Input_Raw!$A:$A,Input_Raw!$DG:$DG),"")</f>
        <v/>
      </c>
      <c r="AC234" s="125">
        <f>IFERROR(_xlfn.XLOOKUP($D234,'Modelling New'!$D:$D,'Modelling New'!$J:$J),"")</f>
        <v>4.0333333333333332</v>
      </c>
      <c r="AD234" s="107">
        <f>IFERROR(_xlfn.XLOOKUP($D234,'Modelling New'!$D:$D,'Modelling New'!$T:$T)*1000,"")</f>
        <v>162550.46310460661</v>
      </c>
      <c r="AE234" s="124"/>
      <c r="AF234" s="124">
        <f>IFERROR(_xlfn.XLOOKUP($D234,'Modelling New'!$D:$D,'Modelling New'!$W:$W),"")</f>
        <v>8.6832512342204377E-2</v>
      </c>
      <c r="AG234" s="124">
        <f>IFERROR(_xlfn.XLOOKUP($D234,'Modelling New'!$D:$D,'Modelling New'!$AE:$AE),"")</f>
        <v>0.96029999999999993</v>
      </c>
      <c r="AH234" s="124">
        <f>IFERROR(_xlfn.XLOOKUP($D234,'Modelling New'!$D:$D,'Modelling New'!$AF:$AF),"")</f>
        <v>0.995</v>
      </c>
      <c r="AI234" s="105" t="str">
        <f>IFERROR(_xlfn.XLOOKUP($A234,Input_Raw!$A:$A,Input_Raw!$DE:$DE),"")</f>
        <v/>
      </c>
      <c r="AJ234" s="105"/>
      <c r="AK234" s="105"/>
      <c r="AL234" s="105"/>
      <c r="AM234" s="105"/>
      <c r="AN234" s="126" t="str">
        <f>IFERROR(_xlfn.XLOOKUP($A234,Input_Raw!$A:$A,Input_Raw!$DB:$DB),"")</f>
        <v/>
      </c>
      <c r="AO234" s="124" t="str">
        <f>IFERROR((_xlfn.XLOOKUP($A234,'WTG Reactive Power'!$A:$A,'WTG Reactive Power'!$AR:$AR))/X234/1000,"")</f>
        <v/>
      </c>
      <c r="AP234" s="124">
        <f>IFERROR(_xlfn.XLOOKUP($D234,'Modelling New'!$D:$D,'Modelling New'!$AK:$AK),"")</f>
        <v>0.05</v>
      </c>
      <c r="AQ234" s="124">
        <f>IFERROR(_xlfn.XLOOKUP($D234,'Modelling New'!$D:$D,'Modelling New'!$AL:$AL),"")</f>
        <v>0.05</v>
      </c>
      <c r="AR234">
        <f>IFERROR(_xlfn.XLOOKUP($D234,'Modelling New'!$D:$D,'Modelling New'!$N:$N),"")</f>
        <v>78</v>
      </c>
    </row>
    <row r="235" spans="1:44">
      <c r="A235" s="118">
        <f t="shared" si="22"/>
        <v>45978</v>
      </c>
      <c r="B235" s="107">
        <f>YEAR(Table13[[#This Row],[Date]])+IF(MONTH(Table13[[#This Row],[Date]])&gt;=4,1,0)</f>
        <v>2026</v>
      </c>
      <c r="C235" s="105">
        <f>YEAR(Table13[[#This Row],[Date]])</f>
        <v>2025</v>
      </c>
      <c r="D235" s="119">
        <f>Table13[[#This Row],[Date]]-DAY(Table13[[#This Row],[Date]])+1</f>
        <v>45962</v>
      </c>
      <c r="E235" s="105">
        <f t="shared" si="19"/>
        <v>30</v>
      </c>
      <c r="F235" s="108"/>
      <c r="G235" s="109"/>
      <c r="H235" s="109"/>
      <c r="I235" s="109"/>
      <c r="J235" s="109"/>
      <c r="K235" s="120"/>
      <c r="L235" s="109"/>
      <c r="M235" s="109" t="str">
        <f>IFERROR(_xlfn.XLOOKUP($A235,Input_Raw!$A:$A,Input_Raw!CG:CG),"")</f>
        <v/>
      </c>
      <c r="N235" s="109" t="str">
        <f>IFERROR(_xlfn.XLOOKUP($A235,Input_Raw!$A:$A,Input_Raw!CH:CH),"")</f>
        <v/>
      </c>
      <c r="O235" s="121" t="str">
        <f t="shared" si="20"/>
        <v/>
      </c>
      <c r="P235" s="121" t="str">
        <f>IFERROR(1-SUMIF(WTG_BD!$F:$F,$A235,WTG_BD!$AA:$AA)/($AA235+SUMIF(WTG_BD!$F:$F,$A235,WTG_BD!$AA:$AA)),"")</f>
        <v/>
      </c>
      <c r="Q235" s="122" t="str">
        <f>IFERROR(1-SUMIF(IGA_BD!$F:$F,$A235,IGA_BD!$V:$V)/($AA235+SUMIF(IGA_BD!$F:$F,$A235,IGA_BD!$V:$V)),"")</f>
        <v/>
      </c>
      <c r="R235" s="127" t="str">
        <f>IFERROR(1-SUMIF(Grid_BD!$F:$F,$A235,Grid_BD!$X:$X)/($AA235+SUMIF(Grid_BD!$F:$F,$A235,Grid_BD!$X:$X)),"")</f>
        <v/>
      </c>
      <c r="S235" s="105"/>
      <c r="T235" s="122"/>
      <c r="U235" s="123"/>
      <c r="V235" s="105"/>
      <c r="W235" s="124" t="str">
        <f>IFERROR(Table13[[#This Row],[Mtr_Net_Exp (KWh)]]/(24*AR235*1000),"")</f>
        <v/>
      </c>
      <c r="X235" s="105" t="str">
        <f>IFERROR(_xlfn.XLOOKUP($A235,Input_Raw!$A:$A,Input_Raw!$CF:$CF),"")</f>
        <v/>
      </c>
      <c r="Y235" s="105" t="str">
        <f>IFERROR(_xlfn.XLOOKUP($A235,Input_Raw!$A:$A,Input_Raw!$CZ:$CZ),"")</f>
        <v/>
      </c>
      <c r="Z235" s="105" t="str">
        <f>IFERROR(_xlfn.XLOOKUP($A235,Input_Raw!$A:$A,Input_Raw!$DA:$DA),"")</f>
        <v/>
      </c>
      <c r="AA235" s="107" t="str">
        <f t="shared" si="21"/>
        <v/>
      </c>
      <c r="AB235" s="105" t="str">
        <f>IFERROR(_xlfn.XLOOKUP($A235,Input_Raw!$A:$A,Input_Raw!$DG:$DG),"")</f>
        <v/>
      </c>
      <c r="AC235" s="125">
        <f>IFERROR(_xlfn.XLOOKUP($D235,'Modelling New'!$D:$D,'Modelling New'!$J:$J),"")</f>
        <v>4.0333333333333332</v>
      </c>
      <c r="AD235" s="107">
        <f>IFERROR(_xlfn.XLOOKUP($D235,'Modelling New'!$D:$D,'Modelling New'!$T:$T)*1000,"")</f>
        <v>162550.46310460661</v>
      </c>
      <c r="AE235" s="124"/>
      <c r="AF235" s="124">
        <f>IFERROR(_xlfn.XLOOKUP($D235,'Modelling New'!$D:$D,'Modelling New'!$W:$W),"")</f>
        <v>8.6832512342204377E-2</v>
      </c>
      <c r="AG235" s="124">
        <f>IFERROR(_xlfn.XLOOKUP($D235,'Modelling New'!$D:$D,'Modelling New'!$AE:$AE),"")</f>
        <v>0.96029999999999993</v>
      </c>
      <c r="AH235" s="124">
        <f>IFERROR(_xlfn.XLOOKUP($D235,'Modelling New'!$D:$D,'Modelling New'!$AF:$AF),"")</f>
        <v>0.995</v>
      </c>
      <c r="AI235" s="105" t="str">
        <f>IFERROR(_xlfn.XLOOKUP($A235,Input_Raw!$A:$A,Input_Raw!$DE:$DE),"")</f>
        <v/>
      </c>
      <c r="AJ235" s="105"/>
      <c r="AK235" s="105"/>
      <c r="AL235" s="105"/>
      <c r="AM235" s="105"/>
      <c r="AN235" s="126" t="str">
        <f>IFERROR(_xlfn.XLOOKUP($A235,Input_Raw!$A:$A,Input_Raw!$DB:$DB),"")</f>
        <v/>
      </c>
      <c r="AO235" s="124" t="str">
        <f>IFERROR((_xlfn.XLOOKUP($A235,'WTG Reactive Power'!$A:$A,'WTG Reactive Power'!$AR:$AR))/X235/1000,"")</f>
        <v/>
      </c>
      <c r="AP235" s="124">
        <f>IFERROR(_xlfn.XLOOKUP($D235,'Modelling New'!$D:$D,'Modelling New'!$AK:$AK),"")</f>
        <v>0.05</v>
      </c>
      <c r="AQ235" s="124">
        <f>IFERROR(_xlfn.XLOOKUP($D235,'Modelling New'!$D:$D,'Modelling New'!$AL:$AL),"")</f>
        <v>0.05</v>
      </c>
      <c r="AR235">
        <f>IFERROR(_xlfn.XLOOKUP($D235,'Modelling New'!$D:$D,'Modelling New'!$N:$N),"")</f>
        <v>78</v>
      </c>
    </row>
    <row r="236" spans="1:44">
      <c r="A236" s="118">
        <f t="shared" si="22"/>
        <v>45979</v>
      </c>
      <c r="B236" s="107">
        <f>YEAR(Table13[[#This Row],[Date]])+IF(MONTH(Table13[[#This Row],[Date]])&gt;=4,1,0)</f>
        <v>2026</v>
      </c>
      <c r="C236" s="105">
        <f>YEAR(Table13[[#This Row],[Date]])</f>
        <v>2025</v>
      </c>
      <c r="D236" s="119">
        <f>Table13[[#This Row],[Date]]-DAY(Table13[[#This Row],[Date]])+1</f>
        <v>45962</v>
      </c>
      <c r="E236" s="105">
        <f t="shared" si="19"/>
        <v>30</v>
      </c>
      <c r="F236" s="108"/>
      <c r="G236" s="109"/>
      <c r="H236" s="109"/>
      <c r="I236" s="109"/>
      <c r="J236" s="109"/>
      <c r="K236" s="120"/>
      <c r="L236" s="109"/>
      <c r="M236" s="109" t="str">
        <f>IFERROR(_xlfn.XLOOKUP($A236,Input_Raw!$A:$A,Input_Raw!CG:CG),"")</f>
        <v/>
      </c>
      <c r="N236" s="109" t="str">
        <f>IFERROR(_xlfn.XLOOKUP($A236,Input_Raw!$A:$A,Input_Raw!CH:CH),"")</f>
        <v/>
      </c>
      <c r="O236" s="121" t="str">
        <f t="shared" si="20"/>
        <v/>
      </c>
      <c r="P236" s="121" t="str">
        <f>IFERROR(1-SUMIF(WTG_BD!$F:$F,$A236,WTG_BD!$AA:$AA)/($AA236+SUMIF(WTG_BD!$F:$F,$A236,WTG_BD!$AA:$AA)),"")</f>
        <v/>
      </c>
      <c r="Q236" s="122" t="str">
        <f>IFERROR(1-SUMIF(IGA_BD!$F:$F,$A236,IGA_BD!$V:$V)/($AA236+SUMIF(IGA_BD!$F:$F,$A236,IGA_BD!$V:$V)),"")</f>
        <v/>
      </c>
      <c r="R236" s="127" t="str">
        <f>IFERROR(1-SUMIF(Grid_BD!$F:$F,$A236,Grid_BD!$X:$X)/($AA236+SUMIF(Grid_BD!$F:$F,$A236,Grid_BD!$X:$X)),"")</f>
        <v/>
      </c>
      <c r="S236" s="105"/>
      <c r="T236" s="122"/>
      <c r="U236" s="123"/>
      <c r="V236" s="105"/>
      <c r="W236" s="124" t="str">
        <f>IFERROR(Table13[[#This Row],[Mtr_Net_Exp (KWh)]]/(24*AR236*1000),"")</f>
        <v/>
      </c>
      <c r="X236" s="105" t="str">
        <f>IFERROR(_xlfn.XLOOKUP($A236,Input_Raw!$A:$A,Input_Raw!$CF:$CF),"")</f>
        <v/>
      </c>
      <c r="Y236" s="105" t="str">
        <f>IFERROR(_xlfn.XLOOKUP($A236,Input_Raw!$A:$A,Input_Raw!$CZ:$CZ),"")</f>
        <v/>
      </c>
      <c r="Z236" s="105" t="str">
        <f>IFERROR(_xlfn.XLOOKUP($A236,Input_Raw!$A:$A,Input_Raw!$DA:$DA),"")</f>
        <v/>
      </c>
      <c r="AA236" s="107" t="str">
        <f t="shared" si="21"/>
        <v/>
      </c>
      <c r="AB236" s="105" t="str">
        <f>IFERROR(_xlfn.XLOOKUP($A236,Input_Raw!$A:$A,Input_Raw!$DG:$DG),"")</f>
        <v/>
      </c>
      <c r="AC236" s="125">
        <f>IFERROR(_xlfn.XLOOKUP($D236,'Modelling New'!$D:$D,'Modelling New'!$J:$J),"")</f>
        <v>4.0333333333333332</v>
      </c>
      <c r="AD236" s="107">
        <f>IFERROR(_xlfn.XLOOKUP($D236,'Modelling New'!$D:$D,'Modelling New'!$T:$T)*1000,"")</f>
        <v>162550.46310460661</v>
      </c>
      <c r="AE236" s="124"/>
      <c r="AF236" s="124">
        <f>IFERROR(_xlfn.XLOOKUP($D236,'Modelling New'!$D:$D,'Modelling New'!$W:$W),"")</f>
        <v>8.6832512342204377E-2</v>
      </c>
      <c r="AG236" s="124">
        <f>IFERROR(_xlfn.XLOOKUP($D236,'Modelling New'!$D:$D,'Modelling New'!$AE:$AE),"")</f>
        <v>0.96029999999999993</v>
      </c>
      <c r="AH236" s="124">
        <f>IFERROR(_xlfn.XLOOKUP($D236,'Modelling New'!$D:$D,'Modelling New'!$AF:$AF),"")</f>
        <v>0.995</v>
      </c>
      <c r="AI236" s="105" t="str">
        <f>IFERROR(_xlfn.XLOOKUP($A236,Input_Raw!$A:$A,Input_Raw!$DE:$DE),"")</f>
        <v/>
      </c>
      <c r="AJ236" s="105"/>
      <c r="AK236" s="105"/>
      <c r="AL236" s="105"/>
      <c r="AM236" s="105"/>
      <c r="AN236" s="126" t="str">
        <f>IFERROR(_xlfn.XLOOKUP($A236,Input_Raw!$A:$A,Input_Raw!$DB:$DB),"")</f>
        <v/>
      </c>
      <c r="AO236" s="124" t="str">
        <f>IFERROR((_xlfn.XLOOKUP($A236,'WTG Reactive Power'!$A:$A,'WTG Reactive Power'!$AR:$AR))/X236/1000,"")</f>
        <v/>
      </c>
      <c r="AP236" s="124">
        <f>IFERROR(_xlfn.XLOOKUP($D236,'Modelling New'!$D:$D,'Modelling New'!$AK:$AK),"")</f>
        <v>0.05</v>
      </c>
      <c r="AQ236" s="124">
        <f>IFERROR(_xlfn.XLOOKUP($D236,'Modelling New'!$D:$D,'Modelling New'!$AL:$AL),"")</f>
        <v>0.05</v>
      </c>
      <c r="AR236">
        <f>IFERROR(_xlfn.XLOOKUP($D236,'Modelling New'!$D:$D,'Modelling New'!$N:$N),"")</f>
        <v>78</v>
      </c>
    </row>
    <row r="237" spans="1:44">
      <c r="A237" s="118">
        <f t="shared" si="22"/>
        <v>45980</v>
      </c>
      <c r="B237" s="107">
        <f>YEAR(Table13[[#This Row],[Date]])+IF(MONTH(Table13[[#This Row],[Date]])&gt;=4,1,0)</f>
        <v>2026</v>
      </c>
      <c r="C237" s="105">
        <f>YEAR(Table13[[#This Row],[Date]])</f>
        <v>2025</v>
      </c>
      <c r="D237" s="119">
        <f>Table13[[#This Row],[Date]]-DAY(Table13[[#This Row],[Date]])+1</f>
        <v>45962</v>
      </c>
      <c r="E237" s="105">
        <f t="shared" si="19"/>
        <v>30</v>
      </c>
      <c r="F237" s="108"/>
      <c r="G237" s="109"/>
      <c r="H237" s="109"/>
      <c r="I237" s="109"/>
      <c r="J237" s="109"/>
      <c r="K237" s="120"/>
      <c r="L237" s="109"/>
      <c r="M237" s="109" t="str">
        <f>IFERROR(_xlfn.XLOOKUP($A237,Input_Raw!$A:$A,Input_Raw!CG:CG),"")</f>
        <v/>
      </c>
      <c r="N237" s="109" t="str">
        <f>IFERROR(_xlfn.XLOOKUP($A237,Input_Raw!$A:$A,Input_Raw!CH:CH),"")</f>
        <v/>
      </c>
      <c r="O237" s="121" t="str">
        <f t="shared" si="20"/>
        <v/>
      </c>
      <c r="P237" s="121" t="str">
        <f>IFERROR(1-SUMIF(WTG_BD!$F:$F,$A237,WTG_BD!$AA:$AA)/($AA237+SUMIF(WTG_BD!$F:$F,$A237,WTG_BD!$AA:$AA)),"")</f>
        <v/>
      </c>
      <c r="Q237" s="122" t="str">
        <f>IFERROR(1-SUMIF(IGA_BD!$F:$F,$A237,IGA_BD!$V:$V)/($AA237+SUMIF(IGA_BD!$F:$F,$A237,IGA_BD!$V:$V)),"")</f>
        <v/>
      </c>
      <c r="R237" s="127" t="str">
        <f>IFERROR(1-SUMIF(Grid_BD!$F:$F,$A237,Grid_BD!$X:$X)/($AA237+SUMIF(Grid_BD!$F:$F,$A237,Grid_BD!$X:$X)),"")</f>
        <v/>
      </c>
      <c r="S237" s="105"/>
      <c r="T237" s="122"/>
      <c r="U237" s="123"/>
      <c r="V237" s="105"/>
      <c r="W237" s="124" t="str">
        <f>IFERROR(Table13[[#This Row],[Mtr_Net_Exp (KWh)]]/(24*AR237*1000),"")</f>
        <v/>
      </c>
      <c r="X237" s="105" t="str">
        <f>IFERROR(_xlfn.XLOOKUP($A237,Input_Raw!$A:$A,Input_Raw!$CF:$CF),"")</f>
        <v/>
      </c>
      <c r="Y237" s="105" t="str">
        <f>IFERROR(_xlfn.XLOOKUP($A237,Input_Raw!$A:$A,Input_Raw!$CZ:$CZ),"")</f>
        <v/>
      </c>
      <c r="Z237" s="105" t="str">
        <f>IFERROR(_xlfn.XLOOKUP($A237,Input_Raw!$A:$A,Input_Raw!$DA:$DA),"")</f>
        <v/>
      </c>
      <c r="AA237" s="107" t="str">
        <f t="shared" si="21"/>
        <v/>
      </c>
      <c r="AB237" s="105" t="str">
        <f>IFERROR(_xlfn.XLOOKUP($A237,Input_Raw!$A:$A,Input_Raw!$DG:$DG),"")</f>
        <v/>
      </c>
      <c r="AC237" s="125">
        <f>IFERROR(_xlfn.XLOOKUP($D237,'Modelling New'!$D:$D,'Modelling New'!$J:$J),"")</f>
        <v>4.0333333333333332</v>
      </c>
      <c r="AD237" s="107">
        <f>IFERROR(_xlfn.XLOOKUP($D237,'Modelling New'!$D:$D,'Modelling New'!$T:$T)*1000,"")</f>
        <v>162550.46310460661</v>
      </c>
      <c r="AE237" s="124"/>
      <c r="AF237" s="124">
        <f>IFERROR(_xlfn.XLOOKUP($D237,'Modelling New'!$D:$D,'Modelling New'!$W:$W),"")</f>
        <v>8.6832512342204377E-2</v>
      </c>
      <c r="AG237" s="124">
        <f>IFERROR(_xlfn.XLOOKUP($D237,'Modelling New'!$D:$D,'Modelling New'!$AE:$AE),"")</f>
        <v>0.96029999999999993</v>
      </c>
      <c r="AH237" s="124">
        <f>IFERROR(_xlfn.XLOOKUP($D237,'Modelling New'!$D:$D,'Modelling New'!$AF:$AF),"")</f>
        <v>0.995</v>
      </c>
      <c r="AI237" s="105" t="str">
        <f>IFERROR(_xlfn.XLOOKUP($A237,Input_Raw!$A:$A,Input_Raw!$DE:$DE),"")</f>
        <v/>
      </c>
      <c r="AJ237" s="105"/>
      <c r="AK237" s="105"/>
      <c r="AL237" s="105"/>
      <c r="AM237" s="105"/>
      <c r="AN237" s="126" t="str">
        <f>IFERROR(_xlfn.XLOOKUP($A237,Input_Raw!$A:$A,Input_Raw!$DB:$DB),"")</f>
        <v/>
      </c>
      <c r="AO237" s="124" t="str">
        <f>IFERROR((_xlfn.XLOOKUP($A237,'WTG Reactive Power'!$A:$A,'WTG Reactive Power'!$AR:$AR))/X237/1000,"")</f>
        <v/>
      </c>
      <c r="AP237" s="124">
        <f>IFERROR(_xlfn.XLOOKUP($D237,'Modelling New'!$D:$D,'Modelling New'!$AK:$AK),"")</f>
        <v>0.05</v>
      </c>
      <c r="AQ237" s="124">
        <f>IFERROR(_xlfn.XLOOKUP($D237,'Modelling New'!$D:$D,'Modelling New'!$AL:$AL),"")</f>
        <v>0.05</v>
      </c>
      <c r="AR237">
        <f>IFERROR(_xlfn.XLOOKUP($D237,'Modelling New'!$D:$D,'Modelling New'!$N:$N),"")</f>
        <v>78</v>
      </c>
    </row>
    <row r="238" spans="1:44">
      <c r="A238" s="118">
        <f t="shared" si="22"/>
        <v>45981</v>
      </c>
      <c r="B238" s="107">
        <f>YEAR(Table13[[#This Row],[Date]])+IF(MONTH(Table13[[#This Row],[Date]])&gt;=4,1,0)</f>
        <v>2026</v>
      </c>
      <c r="C238" s="105">
        <f>YEAR(Table13[[#This Row],[Date]])</f>
        <v>2025</v>
      </c>
      <c r="D238" s="119">
        <f>Table13[[#This Row],[Date]]-DAY(Table13[[#This Row],[Date]])+1</f>
        <v>45962</v>
      </c>
      <c r="E238" s="105">
        <f t="shared" si="19"/>
        <v>30</v>
      </c>
      <c r="F238" s="108"/>
      <c r="G238" s="109"/>
      <c r="H238" s="109"/>
      <c r="I238" s="109"/>
      <c r="J238" s="109"/>
      <c r="K238" s="120"/>
      <c r="L238" s="109"/>
      <c r="M238" s="109" t="str">
        <f>IFERROR(_xlfn.XLOOKUP($A238,Input_Raw!$A:$A,Input_Raw!CG:CG),"")</f>
        <v/>
      </c>
      <c r="N238" s="109" t="str">
        <f>IFERROR(_xlfn.XLOOKUP($A238,Input_Raw!$A:$A,Input_Raw!CH:CH),"")</f>
        <v/>
      </c>
      <c r="O238" s="121" t="str">
        <f t="shared" si="20"/>
        <v/>
      </c>
      <c r="P238" s="121" t="str">
        <f>IFERROR(1-SUMIF(WTG_BD!$F:$F,$A238,WTG_BD!$AA:$AA)/($AA238+SUMIF(WTG_BD!$F:$F,$A238,WTG_BD!$AA:$AA)),"")</f>
        <v/>
      </c>
      <c r="Q238" s="122" t="str">
        <f>IFERROR(1-SUMIF(IGA_BD!$F:$F,$A238,IGA_BD!$V:$V)/($AA238+SUMIF(IGA_BD!$F:$F,$A238,IGA_BD!$V:$V)),"")</f>
        <v/>
      </c>
      <c r="R238" s="127" t="str">
        <f>IFERROR(1-SUMIF(Grid_BD!$F:$F,$A238,Grid_BD!$X:$X)/($AA238+SUMIF(Grid_BD!$F:$F,$A238,Grid_BD!$X:$X)),"")</f>
        <v/>
      </c>
      <c r="S238" s="105"/>
      <c r="T238" s="122"/>
      <c r="U238" s="123"/>
      <c r="V238" s="105"/>
      <c r="W238" s="124" t="str">
        <f>IFERROR(Table13[[#This Row],[Mtr_Net_Exp (KWh)]]/(24*AR238*1000),"")</f>
        <v/>
      </c>
      <c r="X238" s="105" t="str">
        <f>IFERROR(_xlfn.XLOOKUP($A238,Input_Raw!$A:$A,Input_Raw!$CF:$CF),"")</f>
        <v/>
      </c>
      <c r="Y238" s="105" t="str">
        <f>IFERROR(_xlfn.XLOOKUP($A238,Input_Raw!$A:$A,Input_Raw!$CZ:$CZ),"")</f>
        <v/>
      </c>
      <c r="Z238" s="105" t="str">
        <f>IFERROR(_xlfn.XLOOKUP($A238,Input_Raw!$A:$A,Input_Raw!$DA:$DA),"")</f>
        <v/>
      </c>
      <c r="AA238" s="107" t="str">
        <f t="shared" si="21"/>
        <v/>
      </c>
      <c r="AB238" s="105" t="str">
        <f>IFERROR(_xlfn.XLOOKUP($A238,Input_Raw!$A:$A,Input_Raw!$DG:$DG),"")</f>
        <v/>
      </c>
      <c r="AC238" s="125">
        <f>IFERROR(_xlfn.XLOOKUP($D238,'Modelling New'!$D:$D,'Modelling New'!$J:$J),"")</f>
        <v>4.0333333333333332</v>
      </c>
      <c r="AD238" s="107">
        <f>IFERROR(_xlfn.XLOOKUP($D238,'Modelling New'!$D:$D,'Modelling New'!$T:$T)*1000,"")</f>
        <v>162550.46310460661</v>
      </c>
      <c r="AE238" s="124"/>
      <c r="AF238" s="124">
        <f>IFERROR(_xlfn.XLOOKUP($D238,'Modelling New'!$D:$D,'Modelling New'!$W:$W),"")</f>
        <v>8.6832512342204377E-2</v>
      </c>
      <c r="AG238" s="124">
        <f>IFERROR(_xlfn.XLOOKUP($D238,'Modelling New'!$D:$D,'Modelling New'!$AE:$AE),"")</f>
        <v>0.96029999999999993</v>
      </c>
      <c r="AH238" s="124">
        <f>IFERROR(_xlfn.XLOOKUP($D238,'Modelling New'!$D:$D,'Modelling New'!$AF:$AF),"")</f>
        <v>0.995</v>
      </c>
      <c r="AI238" s="105" t="str">
        <f>IFERROR(_xlfn.XLOOKUP($A238,Input_Raw!$A:$A,Input_Raw!$DE:$DE),"")</f>
        <v/>
      </c>
      <c r="AJ238" s="105"/>
      <c r="AK238" s="105"/>
      <c r="AL238" s="105"/>
      <c r="AM238" s="105"/>
      <c r="AN238" s="126" t="str">
        <f>IFERROR(_xlfn.XLOOKUP($A238,Input_Raw!$A:$A,Input_Raw!$DB:$DB),"")</f>
        <v/>
      </c>
      <c r="AO238" s="124" t="str">
        <f>IFERROR((_xlfn.XLOOKUP($A238,'WTG Reactive Power'!$A:$A,'WTG Reactive Power'!$AR:$AR))/X238/1000,"")</f>
        <v/>
      </c>
      <c r="AP238" s="124">
        <f>IFERROR(_xlfn.XLOOKUP($D238,'Modelling New'!$D:$D,'Modelling New'!$AK:$AK),"")</f>
        <v>0.05</v>
      </c>
      <c r="AQ238" s="124">
        <f>IFERROR(_xlfn.XLOOKUP($D238,'Modelling New'!$D:$D,'Modelling New'!$AL:$AL),"")</f>
        <v>0.05</v>
      </c>
      <c r="AR238">
        <f>IFERROR(_xlfn.XLOOKUP($D238,'Modelling New'!$D:$D,'Modelling New'!$N:$N),"")</f>
        <v>78</v>
      </c>
    </row>
    <row r="239" spans="1:44">
      <c r="A239" s="118">
        <f t="shared" si="22"/>
        <v>45982</v>
      </c>
      <c r="B239" s="107">
        <f>YEAR(Table13[[#This Row],[Date]])+IF(MONTH(Table13[[#This Row],[Date]])&gt;=4,1,0)</f>
        <v>2026</v>
      </c>
      <c r="C239" s="105">
        <f>YEAR(Table13[[#This Row],[Date]])</f>
        <v>2025</v>
      </c>
      <c r="D239" s="119">
        <f>Table13[[#This Row],[Date]]-DAY(Table13[[#This Row],[Date]])+1</f>
        <v>45962</v>
      </c>
      <c r="E239" s="105">
        <f t="shared" si="19"/>
        <v>30</v>
      </c>
      <c r="F239" s="108"/>
      <c r="G239" s="109"/>
      <c r="H239" s="109"/>
      <c r="I239" s="109"/>
      <c r="J239" s="109"/>
      <c r="K239" s="120"/>
      <c r="L239" s="109"/>
      <c r="M239" s="109" t="str">
        <f>IFERROR(_xlfn.XLOOKUP($A239,Input_Raw!$A:$A,Input_Raw!CG:CG),"")</f>
        <v/>
      </c>
      <c r="N239" s="109" t="str">
        <f>IFERROR(_xlfn.XLOOKUP($A239,Input_Raw!$A:$A,Input_Raw!CH:CH),"")</f>
        <v/>
      </c>
      <c r="O239" s="121" t="str">
        <f t="shared" si="20"/>
        <v/>
      </c>
      <c r="P239" s="121" t="str">
        <f>IFERROR(1-SUMIF(WTG_BD!$F:$F,$A239,WTG_BD!$AA:$AA)/($AA239+SUMIF(WTG_BD!$F:$F,$A239,WTG_BD!$AA:$AA)),"")</f>
        <v/>
      </c>
      <c r="Q239" s="122" t="str">
        <f>IFERROR(1-SUMIF(IGA_BD!$F:$F,$A239,IGA_BD!$V:$V)/($AA239+SUMIF(IGA_BD!$F:$F,$A239,IGA_BD!$V:$V)),"")</f>
        <v/>
      </c>
      <c r="R239" s="127" t="str">
        <f>IFERROR(1-SUMIF(Grid_BD!$F:$F,$A239,Grid_BD!$X:$X)/($AA239+SUMIF(Grid_BD!$F:$F,$A239,Grid_BD!$X:$X)),"")</f>
        <v/>
      </c>
      <c r="S239" s="105"/>
      <c r="T239" s="122"/>
      <c r="U239" s="123"/>
      <c r="V239" s="105"/>
      <c r="W239" s="124" t="str">
        <f>IFERROR(Table13[[#This Row],[Mtr_Net_Exp (KWh)]]/(24*AR239*1000),"")</f>
        <v/>
      </c>
      <c r="X239" s="105" t="str">
        <f>IFERROR(_xlfn.XLOOKUP($A239,Input_Raw!$A:$A,Input_Raw!$CF:$CF),"")</f>
        <v/>
      </c>
      <c r="Y239" s="105" t="str">
        <f>IFERROR(_xlfn.XLOOKUP($A239,Input_Raw!$A:$A,Input_Raw!$CZ:$CZ),"")</f>
        <v/>
      </c>
      <c r="Z239" s="105" t="str">
        <f>IFERROR(_xlfn.XLOOKUP($A239,Input_Raw!$A:$A,Input_Raw!$DA:$DA),"")</f>
        <v/>
      </c>
      <c r="AA239" s="107" t="str">
        <f t="shared" si="21"/>
        <v/>
      </c>
      <c r="AB239" s="105" t="str">
        <f>IFERROR(_xlfn.XLOOKUP($A239,Input_Raw!$A:$A,Input_Raw!$DG:$DG),"")</f>
        <v/>
      </c>
      <c r="AC239" s="125">
        <f>IFERROR(_xlfn.XLOOKUP($D239,'Modelling New'!$D:$D,'Modelling New'!$J:$J),"")</f>
        <v>4.0333333333333332</v>
      </c>
      <c r="AD239" s="107">
        <f>IFERROR(_xlfn.XLOOKUP($D239,'Modelling New'!$D:$D,'Modelling New'!$T:$T)*1000,"")</f>
        <v>162550.46310460661</v>
      </c>
      <c r="AE239" s="124"/>
      <c r="AF239" s="124">
        <f>IFERROR(_xlfn.XLOOKUP($D239,'Modelling New'!$D:$D,'Modelling New'!$W:$W),"")</f>
        <v>8.6832512342204377E-2</v>
      </c>
      <c r="AG239" s="124">
        <f>IFERROR(_xlfn.XLOOKUP($D239,'Modelling New'!$D:$D,'Modelling New'!$AE:$AE),"")</f>
        <v>0.96029999999999993</v>
      </c>
      <c r="AH239" s="124">
        <f>IFERROR(_xlfn.XLOOKUP($D239,'Modelling New'!$D:$D,'Modelling New'!$AF:$AF),"")</f>
        <v>0.995</v>
      </c>
      <c r="AI239" s="105" t="str">
        <f>IFERROR(_xlfn.XLOOKUP($A239,Input_Raw!$A:$A,Input_Raw!$DE:$DE),"")</f>
        <v/>
      </c>
      <c r="AJ239" s="105"/>
      <c r="AK239" s="105"/>
      <c r="AL239" s="105"/>
      <c r="AM239" s="105"/>
      <c r="AN239" s="126" t="str">
        <f>IFERROR(_xlfn.XLOOKUP($A239,Input_Raw!$A:$A,Input_Raw!$DB:$DB),"")</f>
        <v/>
      </c>
      <c r="AO239" s="124" t="str">
        <f>IFERROR((_xlfn.XLOOKUP($A239,'WTG Reactive Power'!$A:$A,'WTG Reactive Power'!$AR:$AR))/X239/1000,"")</f>
        <v/>
      </c>
      <c r="AP239" s="124">
        <f>IFERROR(_xlfn.XLOOKUP($D239,'Modelling New'!$D:$D,'Modelling New'!$AK:$AK),"")</f>
        <v>0.05</v>
      </c>
      <c r="AQ239" s="124">
        <f>IFERROR(_xlfn.XLOOKUP($D239,'Modelling New'!$D:$D,'Modelling New'!$AL:$AL),"")</f>
        <v>0.05</v>
      </c>
      <c r="AR239">
        <f>IFERROR(_xlfn.XLOOKUP($D239,'Modelling New'!$D:$D,'Modelling New'!$N:$N),"")</f>
        <v>78</v>
      </c>
    </row>
    <row r="240" spans="1:44">
      <c r="A240" s="118">
        <f t="shared" si="22"/>
        <v>45983</v>
      </c>
      <c r="B240" s="107">
        <f>YEAR(Table13[[#This Row],[Date]])+IF(MONTH(Table13[[#This Row],[Date]])&gt;=4,1,0)</f>
        <v>2026</v>
      </c>
      <c r="C240" s="105">
        <f>YEAR(Table13[[#This Row],[Date]])</f>
        <v>2025</v>
      </c>
      <c r="D240" s="119">
        <f>Table13[[#This Row],[Date]]-DAY(Table13[[#This Row],[Date]])+1</f>
        <v>45962</v>
      </c>
      <c r="E240" s="105">
        <f t="shared" si="19"/>
        <v>30</v>
      </c>
      <c r="F240" s="108"/>
      <c r="G240" s="109"/>
      <c r="H240" s="109"/>
      <c r="I240" s="109"/>
      <c r="J240" s="109"/>
      <c r="K240" s="120"/>
      <c r="L240" s="109"/>
      <c r="M240" s="109" t="str">
        <f>IFERROR(_xlfn.XLOOKUP($A240,Input_Raw!$A:$A,Input_Raw!CG:CG),"")</f>
        <v/>
      </c>
      <c r="N240" s="109" t="str">
        <f>IFERROR(_xlfn.XLOOKUP($A240,Input_Raw!$A:$A,Input_Raw!CH:CH),"")</f>
        <v/>
      </c>
      <c r="O240" s="121" t="str">
        <f t="shared" si="20"/>
        <v/>
      </c>
      <c r="P240" s="121" t="str">
        <f>IFERROR(1-SUMIF(WTG_BD!$F:$F,$A240,WTG_BD!$AA:$AA)/($AA240+SUMIF(WTG_BD!$F:$F,$A240,WTG_BD!$AA:$AA)),"")</f>
        <v/>
      </c>
      <c r="Q240" s="122" t="str">
        <f>IFERROR(1-SUMIF(IGA_BD!$F:$F,$A240,IGA_BD!$V:$V)/($AA240+SUMIF(IGA_BD!$F:$F,$A240,IGA_BD!$V:$V)),"")</f>
        <v/>
      </c>
      <c r="R240" s="127" t="str">
        <f>IFERROR(1-SUMIF(Grid_BD!$F:$F,$A240,Grid_BD!$X:$X)/($AA240+SUMIF(Grid_BD!$F:$F,$A240,Grid_BD!$X:$X)),"")</f>
        <v/>
      </c>
      <c r="S240" s="105"/>
      <c r="T240" s="122"/>
      <c r="U240" s="123"/>
      <c r="V240" s="105"/>
      <c r="W240" s="124" t="str">
        <f>IFERROR(Table13[[#This Row],[Mtr_Net_Exp (KWh)]]/(24*AR240*1000),"")</f>
        <v/>
      </c>
      <c r="X240" s="105" t="str">
        <f>IFERROR(_xlfn.XLOOKUP($A240,Input_Raw!$A:$A,Input_Raw!$CF:$CF),"")</f>
        <v/>
      </c>
      <c r="Y240" s="105" t="str">
        <f>IFERROR(_xlfn.XLOOKUP($A240,Input_Raw!$A:$A,Input_Raw!$CZ:$CZ),"")</f>
        <v/>
      </c>
      <c r="Z240" s="105" t="str">
        <f>IFERROR(_xlfn.XLOOKUP($A240,Input_Raw!$A:$A,Input_Raw!$DA:$DA),"")</f>
        <v/>
      </c>
      <c r="AA240" s="107" t="str">
        <f t="shared" si="21"/>
        <v/>
      </c>
      <c r="AB240" s="105" t="str">
        <f>IFERROR(_xlfn.XLOOKUP($A240,Input_Raw!$A:$A,Input_Raw!$DG:$DG),"")</f>
        <v/>
      </c>
      <c r="AC240" s="125">
        <f>IFERROR(_xlfn.XLOOKUP($D240,'Modelling New'!$D:$D,'Modelling New'!$J:$J),"")</f>
        <v>4.0333333333333332</v>
      </c>
      <c r="AD240" s="107">
        <f>IFERROR(_xlfn.XLOOKUP($D240,'Modelling New'!$D:$D,'Modelling New'!$T:$T)*1000,"")</f>
        <v>162550.46310460661</v>
      </c>
      <c r="AE240" s="124"/>
      <c r="AF240" s="124">
        <f>IFERROR(_xlfn.XLOOKUP($D240,'Modelling New'!$D:$D,'Modelling New'!$W:$W),"")</f>
        <v>8.6832512342204377E-2</v>
      </c>
      <c r="AG240" s="124">
        <f>IFERROR(_xlfn.XLOOKUP($D240,'Modelling New'!$D:$D,'Modelling New'!$AE:$AE),"")</f>
        <v>0.96029999999999993</v>
      </c>
      <c r="AH240" s="124">
        <f>IFERROR(_xlfn.XLOOKUP($D240,'Modelling New'!$D:$D,'Modelling New'!$AF:$AF),"")</f>
        <v>0.995</v>
      </c>
      <c r="AI240" s="105" t="str">
        <f>IFERROR(_xlfn.XLOOKUP($A240,Input_Raw!$A:$A,Input_Raw!$DE:$DE),"")</f>
        <v/>
      </c>
      <c r="AJ240" s="105"/>
      <c r="AK240" s="105"/>
      <c r="AL240" s="105"/>
      <c r="AM240" s="105"/>
      <c r="AN240" s="126" t="str">
        <f>IFERROR(_xlfn.XLOOKUP($A240,Input_Raw!$A:$A,Input_Raw!$DB:$DB),"")</f>
        <v/>
      </c>
      <c r="AO240" s="124" t="str">
        <f>IFERROR((_xlfn.XLOOKUP($A240,'WTG Reactive Power'!$A:$A,'WTG Reactive Power'!$AR:$AR))/X240/1000,"")</f>
        <v/>
      </c>
      <c r="AP240" s="124">
        <f>IFERROR(_xlfn.XLOOKUP($D240,'Modelling New'!$D:$D,'Modelling New'!$AK:$AK),"")</f>
        <v>0.05</v>
      </c>
      <c r="AQ240" s="124">
        <f>IFERROR(_xlfn.XLOOKUP($D240,'Modelling New'!$D:$D,'Modelling New'!$AL:$AL),"")</f>
        <v>0.05</v>
      </c>
      <c r="AR240">
        <f>IFERROR(_xlfn.XLOOKUP($D240,'Modelling New'!$D:$D,'Modelling New'!$N:$N),"")</f>
        <v>78</v>
      </c>
    </row>
    <row r="241" spans="1:44">
      <c r="A241" s="118">
        <f t="shared" si="22"/>
        <v>45984</v>
      </c>
      <c r="B241" s="107">
        <f>YEAR(Table13[[#This Row],[Date]])+IF(MONTH(Table13[[#This Row],[Date]])&gt;=4,1,0)</f>
        <v>2026</v>
      </c>
      <c r="C241" s="105">
        <f>YEAR(Table13[[#This Row],[Date]])</f>
        <v>2025</v>
      </c>
      <c r="D241" s="119">
        <f>Table13[[#This Row],[Date]]-DAY(Table13[[#This Row],[Date]])+1</f>
        <v>45962</v>
      </c>
      <c r="E241" s="105">
        <f t="shared" si="19"/>
        <v>30</v>
      </c>
      <c r="F241" s="108"/>
      <c r="G241" s="109"/>
      <c r="H241" s="109"/>
      <c r="I241" s="109"/>
      <c r="J241" s="109"/>
      <c r="K241" s="120"/>
      <c r="L241" s="109"/>
      <c r="M241" s="109" t="str">
        <f>IFERROR(_xlfn.XLOOKUP($A241,Input_Raw!$A:$A,Input_Raw!CG:CG),"")</f>
        <v/>
      </c>
      <c r="N241" s="109" t="str">
        <f>IFERROR(_xlfn.XLOOKUP($A241,Input_Raw!$A:$A,Input_Raw!CH:CH),"")</f>
        <v/>
      </c>
      <c r="O241" s="121" t="str">
        <f t="shared" si="20"/>
        <v/>
      </c>
      <c r="P241" s="121" t="str">
        <f>IFERROR(1-SUMIF(WTG_BD!$F:$F,$A241,WTG_BD!$AA:$AA)/($AA241+SUMIF(WTG_BD!$F:$F,$A241,WTG_BD!$AA:$AA)),"")</f>
        <v/>
      </c>
      <c r="Q241" s="122" t="str">
        <f>IFERROR(1-SUMIF(IGA_BD!$F:$F,$A241,IGA_BD!$V:$V)/($AA241+SUMIF(IGA_BD!$F:$F,$A241,IGA_BD!$V:$V)),"")</f>
        <v/>
      </c>
      <c r="R241" s="127" t="str">
        <f>IFERROR(1-SUMIF(Grid_BD!$F:$F,$A241,Grid_BD!$X:$X)/($AA241+SUMIF(Grid_BD!$F:$F,$A241,Grid_BD!$X:$X)),"")</f>
        <v/>
      </c>
      <c r="S241" s="105"/>
      <c r="T241" s="122"/>
      <c r="U241" s="123"/>
      <c r="V241" s="105"/>
      <c r="W241" s="124" t="str">
        <f>IFERROR(Table13[[#This Row],[Mtr_Net_Exp (KWh)]]/(24*AR241*1000),"")</f>
        <v/>
      </c>
      <c r="X241" s="105" t="str">
        <f>IFERROR(_xlfn.XLOOKUP($A241,Input_Raw!$A:$A,Input_Raw!$CF:$CF),"")</f>
        <v/>
      </c>
      <c r="Y241" s="105" t="str">
        <f>IFERROR(_xlfn.XLOOKUP($A241,Input_Raw!$A:$A,Input_Raw!$CZ:$CZ),"")</f>
        <v/>
      </c>
      <c r="Z241" s="105" t="str">
        <f>IFERROR(_xlfn.XLOOKUP($A241,Input_Raw!$A:$A,Input_Raw!$DA:$DA),"")</f>
        <v/>
      </c>
      <c r="AA241" s="107" t="str">
        <f t="shared" si="21"/>
        <v/>
      </c>
      <c r="AB241" s="105" t="str">
        <f>IFERROR(_xlfn.XLOOKUP($A241,Input_Raw!$A:$A,Input_Raw!$DG:$DG),"")</f>
        <v/>
      </c>
      <c r="AC241" s="125">
        <f>IFERROR(_xlfn.XLOOKUP($D241,'Modelling New'!$D:$D,'Modelling New'!$J:$J),"")</f>
        <v>4.0333333333333332</v>
      </c>
      <c r="AD241" s="107">
        <f>IFERROR(_xlfn.XLOOKUP($D241,'Modelling New'!$D:$D,'Modelling New'!$T:$T)*1000,"")</f>
        <v>162550.46310460661</v>
      </c>
      <c r="AE241" s="124"/>
      <c r="AF241" s="124">
        <f>IFERROR(_xlfn.XLOOKUP($D241,'Modelling New'!$D:$D,'Modelling New'!$W:$W),"")</f>
        <v>8.6832512342204377E-2</v>
      </c>
      <c r="AG241" s="124">
        <f>IFERROR(_xlfn.XLOOKUP($D241,'Modelling New'!$D:$D,'Modelling New'!$AE:$AE),"")</f>
        <v>0.96029999999999993</v>
      </c>
      <c r="AH241" s="124">
        <f>IFERROR(_xlfn.XLOOKUP($D241,'Modelling New'!$D:$D,'Modelling New'!$AF:$AF),"")</f>
        <v>0.995</v>
      </c>
      <c r="AI241" s="105" t="str">
        <f>IFERROR(_xlfn.XLOOKUP($A241,Input_Raw!$A:$A,Input_Raw!$DE:$DE),"")</f>
        <v/>
      </c>
      <c r="AJ241" s="105"/>
      <c r="AK241" s="105"/>
      <c r="AL241" s="105"/>
      <c r="AM241" s="105"/>
      <c r="AN241" s="126" t="str">
        <f>IFERROR(_xlfn.XLOOKUP($A241,Input_Raw!$A:$A,Input_Raw!$DB:$DB),"")</f>
        <v/>
      </c>
      <c r="AO241" s="124" t="str">
        <f>IFERROR((_xlfn.XLOOKUP($A241,'WTG Reactive Power'!$A:$A,'WTG Reactive Power'!$AR:$AR))/X241/1000,"")</f>
        <v/>
      </c>
      <c r="AP241" s="124">
        <f>IFERROR(_xlfn.XLOOKUP($D241,'Modelling New'!$D:$D,'Modelling New'!$AK:$AK),"")</f>
        <v>0.05</v>
      </c>
      <c r="AQ241" s="124">
        <f>IFERROR(_xlfn.XLOOKUP($D241,'Modelling New'!$D:$D,'Modelling New'!$AL:$AL),"")</f>
        <v>0.05</v>
      </c>
      <c r="AR241">
        <f>IFERROR(_xlfn.XLOOKUP($D241,'Modelling New'!$D:$D,'Modelling New'!$N:$N),"")</f>
        <v>78</v>
      </c>
    </row>
    <row r="242" spans="1:44">
      <c r="A242" s="118">
        <f t="shared" si="22"/>
        <v>45985</v>
      </c>
      <c r="B242" s="107">
        <f>YEAR(Table13[[#This Row],[Date]])+IF(MONTH(Table13[[#This Row],[Date]])&gt;=4,1,0)</f>
        <v>2026</v>
      </c>
      <c r="C242" s="105">
        <f>YEAR(Table13[[#This Row],[Date]])</f>
        <v>2025</v>
      </c>
      <c r="D242" s="119">
        <f>Table13[[#This Row],[Date]]-DAY(Table13[[#This Row],[Date]])+1</f>
        <v>45962</v>
      </c>
      <c r="E242" s="105">
        <f t="shared" si="19"/>
        <v>30</v>
      </c>
      <c r="F242" s="108"/>
      <c r="G242" s="109"/>
      <c r="H242" s="109"/>
      <c r="I242" s="109"/>
      <c r="J242" s="109"/>
      <c r="K242" s="120"/>
      <c r="L242" s="109"/>
      <c r="M242" s="109" t="str">
        <f>IFERROR(_xlfn.XLOOKUP($A242,Input_Raw!$A:$A,Input_Raw!CG:CG),"")</f>
        <v/>
      </c>
      <c r="N242" s="109" t="str">
        <f>IFERROR(_xlfn.XLOOKUP($A242,Input_Raw!$A:$A,Input_Raw!CH:CH),"")</f>
        <v/>
      </c>
      <c r="O242" s="121" t="str">
        <f t="shared" si="20"/>
        <v/>
      </c>
      <c r="P242" s="121" t="str">
        <f>IFERROR(1-SUMIF(WTG_BD!$F:$F,$A242,WTG_BD!$AA:$AA)/($AA242+SUMIF(WTG_BD!$F:$F,$A242,WTG_BD!$AA:$AA)),"")</f>
        <v/>
      </c>
      <c r="Q242" s="122" t="str">
        <f>IFERROR(1-SUMIF(IGA_BD!$F:$F,$A242,IGA_BD!$V:$V)/($AA242+SUMIF(IGA_BD!$F:$F,$A242,IGA_BD!$V:$V)),"")</f>
        <v/>
      </c>
      <c r="R242" s="127" t="str">
        <f>IFERROR(1-SUMIF(Grid_BD!$F:$F,$A242,Grid_BD!$X:$X)/($AA242+SUMIF(Grid_BD!$F:$F,$A242,Grid_BD!$X:$X)),"")</f>
        <v/>
      </c>
      <c r="S242" s="105"/>
      <c r="T242" s="122"/>
      <c r="U242" s="123"/>
      <c r="V242" s="105"/>
      <c r="W242" s="124" t="str">
        <f>IFERROR(Table13[[#This Row],[Mtr_Net_Exp (KWh)]]/(24*AR242*1000),"")</f>
        <v/>
      </c>
      <c r="X242" s="105" t="str">
        <f>IFERROR(_xlfn.XLOOKUP($A242,Input_Raw!$A:$A,Input_Raw!$CF:$CF),"")</f>
        <v/>
      </c>
      <c r="Y242" s="105" t="str">
        <f>IFERROR(_xlfn.XLOOKUP($A242,Input_Raw!$A:$A,Input_Raw!$CZ:$CZ),"")</f>
        <v/>
      </c>
      <c r="Z242" s="105" t="str">
        <f>IFERROR(_xlfn.XLOOKUP($A242,Input_Raw!$A:$A,Input_Raw!$DA:$DA),"")</f>
        <v/>
      </c>
      <c r="AA242" s="107" t="str">
        <f t="shared" si="21"/>
        <v/>
      </c>
      <c r="AB242" s="105" t="str">
        <f>IFERROR(_xlfn.XLOOKUP($A242,Input_Raw!$A:$A,Input_Raw!$DG:$DG),"")</f>
        <v/>
      </c>
      <c r="AC242" s="125">
        <f>IFERROR(_xlfn.XLOOKUP($D242,'Modelling New'!$D:$D,'Modelling New'!$J:$J),"")</f>
        <v>4.0333333333333332</v>
      </c>
      <c r="AD242" s="107">
        <f>IFERROR(_xlfn.XLOOKUP($D242,'Modelling New'!$D:$D,'Modelling New'!$T:$T)*1000,"")</f>
        <v>162550.46310460661</v>
      </c>
      <c r="AE242" s="124"/>
      <c r="AF242" s="124">
        <f>IFERROR(_xlfn.XLOOKUP($D242,'Modelling New'!$D:$D,'Modelling New'!$W:$W),"")</f>
        <v>8.6832512342204377E-2</v>
      </c>
      <c r="AG242" s="124">
        <f>IFERROR(_xlfn.XLOOKUP($D242,'Modelling New'!$D:$D,'Modelling New'!$AE:$AE),"")</f>
        <v>0.96029999999999993</v>
      </c>
      <c r="AH242" s="124">
        <f>IFERROR(_xlfn.XLOOKUP($D242,'Modelling New'!$D:$D,'Modelling New'!$AF:$AF),"")</f>
        <v>0.995</v>
      </c>
      <c r="AI242" s="105" t="str">
        <f>IFERROR(_xlfn.XLOOKUP($A242,Input_Raw!$A:$A,Input_Raw!$DE:$DE),"")</f>
        <v/>
      </c>
      <c r="AJ242" s="105"/>
      <c r="AK242" s="105"/>
      <c r="AL242" s="105"/>
      <c r="AM242" s="105"/>
      <c r="AN242" s="126" t="str">
        <f>IFERROR(_xlfn.XLOOKUP($A242,Input_Raw!$A:$A,Input_Raw!$DB:$DB),"")</f>
        <v/>
      </c>
      <c r="AO242" s="124" t="str">
        <f>IFERROR((_xlfn.XLOOKUP($A242,'WTG Reactive Power'!$A:$A,'WTG Reactive Power'!$AR:$AR))/X242/1000,"")</f>
        <v/>
      </c>
      <c r="AP242" s="124">
        <f>IFERROR(_xlfn.XLOOKUP($D242,'Modelling New'!$D:$D,'Modelling New'!$AK:$AK),"")</f>
        <v>0.05</v>
      </c>
      <c r="AQ242" s="124">
        <f>IFERROR(_xlfn.XLOOKUP($D242,'Modelling New'!$D:$D,'Modelling New'!$AL:$AL),"")</f>
        <v>0.05</v>
      </c>
      <c r="AR242">
        <f>IFERROR(_xlfn.XLOOKUP($D242,'Modelling New'!$D:$D,'Modelling New'!$N:$N),"")</f>
        <v>78</v>
      </c>
    </row>
    <row r="243" spans="1:44">
      <c r="A243" s="118">
        <f t="shared" si="22"/>
        <v>45986</v>
      </c>
      <c r="B243" s="107">
        <f>YEAR(Table13[[#This Row],[Date]])+IF(MONTH(Table13[[#This Row],[Date]])&gt;=4,1,0)</f>
        <v>2026</v>
      </c>
      <c r="C243" s="105">
        <f>YEAR(Table13[[#This Row],[Date]])</f>
        <v>2025</v>
      </c>
      <c r="D243" s="119">
        <f>Table13[[#This Row],[Date]]-DAY(Table13[[#This Row],[Date]])+1</f>
        <v>45962</v>
      </c>
      <c r="E243" s="105">
        <f t="shared" si="19"/>
        <v>30</v>
      </c>
      <c r="F243" s="108"/>
      <c r="G243" s="109"/>
      <c r="H243" s="109"/>
      <c r="I243" s="109"/>
      <c r="J243" s="109"/>
      <c r="K243" s="120"/>
      <c r="L243" s="109"/>
      <c r="M243" s="109" t="str">
        <f>IFERROR(_xlfn.XLOOKUP($A243,Input_Raw!$A:$A,Input_Raw!CG:CG),"")</f>
        <v/>
      </c>
      <c r="N243" s="109" t="str">
        <f>IFERROR(_xlfn.XLOOKUP($A243,Input_Raw!$A:$A,Input_Raw!CH:CH),"")</f>
        <v/>
      </c>
      <c r="O243" s="121" t="str">
        <f t="shared" si="20"/>
        <v/>
      </c>
      <c r="P243" s="121" t="str">
        <f>IFERROR(1-SUMIF(WTG_BD!$F:$F,$A243,WTG_BD!$AA:$AA)/($AA243+SUMIF(WTG_BD!$F:$F,$A243,WTG_BD!$AA:$AA)),"")</f>
        <v/>
      </c>
      <c r="Q243" s="122" t="str">
        <f>IFERROR(1-SUMIF(IGA_BD!$F:$F,$A243,IGA_BD!$V:$V)/($AA243+SUMIF(IGA_BD!$F:$F,$A243,IGA_BD!$V:$V)),"")</f>
        <v/>
      </c>
      <c r="R243" s="127" t="str">
        <f>IFERROR(1-SUMIF(Grid_BD!$F:$F,$A243,Grid_BD!$X:$X)/($AA243+SUMIF(Grid_BD!$F:$F,$A243,Grid_BD!$X:$X)),"")</f>
        <v/>
      </c>
      <c r="S243" s="105"/>
      <c r="T243" s="122"/>
      <c r="U243" s="123"/>
      <c r="V243" s="105"/>
      <c r="W243" s="124" t="str">
        <f>IFERROR(Table13[[#This Row],[Mtr_Net_Exp (KWh)]]/(24*AR243*1000),"")</f>
        <v/>
      </c>
      <c r="X243" s="105" t="str">
        <f>IFERROR(_xlfn.XLOOKUP($A243,Input_Raw!$A:$A,Input_Raw!$CF:$CF),"")</f>
        <v/>
      </c>
      <c r="Y243" s="105" t="str">
        <f>IFERROR(_xlfn.XLOOKUP($A243,Input_Raw!$A:$A,Input_Raw!$CZ:$CZ),"")</f>
        <v/>
      </c>
      <c r="Z243" s="105" t="str">
        <f>IFERROR(_xlfn.XLOOKUP($A243,Input_Raw!$A:$A,Input_Raw!$DA:$DA),"")</f>
        <v/>
      </c>
      <c r="AA243" s="107" t="str">
        <f t="shared" si="21"/>
        <v/>
      </c>
      <c r="AB243" s="105" t="str">
        <f>IFERROR(_xlfn.XLOOKUP($A243,Input_Raw!$A:$A,Input_Raw!$DG:$DG),"")</f>
        <v/>
      </c>
      <c r="AC243" s="125">
        <f>IFERROR(_xlfn.XLOOKUP($D243,'Modelling New'!$D:$D,'Modelling New'!$J:$J),"")</f>
        <v>4.0333333333333332</v>
      </c>
      <c r="AD243" s="107">
        <f>IFERROR(_xlfn.XLOOKUP($D243,'Modelling New'!$D:$D,'Modelling New'!$T:$T)*1000,"")</f>
        <v>162550.46310460661</v>
      </c>
      <c r="AE243" s="124"/>
      <c r="AF243" s="124">
        <f>IFERROR(_xlfn.XLOOKUP($D243,'Modelling New'!$D:$D,'Modelling New'!$W:$W),"")</f>
        <v>8.6832512342204377E-2</v>
      </c>
      <c r="AG243" s="124">
        <f>IFERROR(_xlfn.XLOOKUP($D243,'Modelling New'!$D:$D,'Modelling New'!$AE:$AE),"")</f>
        <v>0.96029999999999993</v>
      </c>
      <c r="AH243" s="124">
        <f>IFERROR(_xlfn.XLOOKUP($D243,'Modelling New'!$D:$D,'Modelling New'!$AF:$AF),"")</f>
        <v>0.995</v>
      </c>
      <c r="AI243" s="105" t="str">
        <f>IFERROR(_xlfn.XLOOKUP($A243,Input_Raw!$A:$A,Input_Raw!$DE:$DE),"")</f>
        <v/>
      </c>
      <c r="AJ243" s="105"/>
      <c r="AK243" s="105"/>
      <c r="AL243" s="105"/>
      <c r="AM243" s="105"/>
      <c r="AN243" s="126" t="str">
        <f>IFERROR(_xlfn.XLOOKUP($A243,Input_Raw!$A:$A,Input_Raw!$DB:$DB),"")</f>
        <v/>
      </c>
      <c r="AO243" s="124" t="str">
        <f>IFERROR((_xlfn.XLOOKUP($A243,'WTG Reactive Power'!$A:$A,'WTG Reactive Power'!$AR:$AR))/X243/1000,"")</f>
        <v/>
      </c>
      <c r="AP243" s="124">
        <f>IFERROR(_xlfn.XLOOKUP($D243,'Modelling New'!$D:$D,'Modelling New'!$AK:$AK),"")</f>
        <v>0.05</v>
      </c>
      <c r="AQ243" s="124">
        <f>IFERROR(_xlfn.XLOOKUP($D243,'Modelling New'!$D:$D,'Modelling New'!$AL:$AL),"")</f>
        <v>0.05</v>
      </c>
      <c r="AR243">
        <f>IFERROR(_xlfn.XLOOKUP($D243,'Modelling New'!$D:$D,'Modelling New'!$N:$N),"")</f>
        <v>78</v>
      </c>
    </row>
    <row r="244" spans="1:44">
      <c r="A244" s="118">
        <f t="shared" si="22"/>
        <v>45987</v>
      </c>
      <c r="B244" s="107">
        <f>YEAR(Table13[[#This Row],[Date]])+IF(MONTH(Table13[[#This Row],[Date]])&gt;=4,1,0)</f>
        <v>2026</v>
      </c>
      <c r="C244" s="105">
        <f>YEAR(Table13[[#This Row],[Date]])</f>
        <v>2025</v>
      </c>
      <c r="D244" s="119">
        <f>Table13[[#This Row],[Date]]-DAY(Table13[[#This Row],[Date]])+1</f>
        <v>45962</v>
      </c>
      <c r="E244" s="105">
        <f t="shared" si="19"/>
        <v>30</v>
      </c>
      <c r="F244" s="108"/>
      <c r="G244" s="109"/>
      <c r="H244" s="109"/>
      <c r="I244" s="109"/>
      <c r="J244" s="109"/>
      <c r="K244" s="120"/>
      <c r="L244" s="109"/>
      <c r="M244" s="109" t="str">
        <f>IFERROR(_xlfn.XLOOKUP($A244,Input_Raw!$A:$A,Input_Raw!CG:CG),"")</f>
        <v/>
      </c>
      <c r="N244" s="109" t="str">
        <f>IFERROR(_xlfn.XLOOKUP($A244,Input_Raw!$A:$A,Input_Raw!CH:CH),"")</f>
        <v/>
      </c>
      <c r="O244" s="121" t="str">
        <f t="shared" si="20"/>
        <v/>
      </c>
      <c r="P244" s="121" t="str">
        <f>IFERROR(1-SUMIF(WTG_BD!$F:$F,$A244,WTG_BD!$AA:$AA)/($AA244+SUMIF(WTG_BD!$F:$F,$A244,WTG_BD!$AA:$AA)),"")</f>
        <v/>
      </c>
      <c r="Q244" s="122" t="str">
        <f>IFERROR(1-SUMIF(IGA_BD!$F:$F,$A244,IGA_BD!$V:$V)/($AA244+SUMIF(IGA_BD!$F:$F,$A244,IGA_BD!$V:$V)),"")</f>
        <v/>
      </c>
      <c r="R244" s="127" t="str">
        <f>IFERROR(1-SUMIF(Grid_BD!$F:$F,$A244,Grid_BD!$X:$X)/($AA244+SUMIF(Grid_BD!$F:$F,$A244,Grid_BD!$X:$X)),"")</f>
        <v/>
      </c>
      <c r="S244" s="105"/>
      <c r="T244" s="122"/>
      <c r="U244" s="123"/>
      <c r="V244" s="105"/>
      <c r="W244" s="124" t="str">
        <f>IFERROR(Table13[[#This Row],[Mtr_Net_Exp (KWh)]]/(24*AR244*1000),"")</f>
        <v/>
      </c>
      <c r="X244" s="105" t="str">
        <f>IFERROR(_xlfn.XLOOKUP($A244,Input_Raw!$A:$A,Input_Raw!$CF:$CF),"")</f>
        <v/>
      </c>
      <c r="Y244" s="105" t="str">
        <f>IFERROR(_xlfn.XLOOKUP($A244,Input_Raw!$A:$A,Input_Raw!$CZ:$CZ),"")</f>
        <v/>
      </c>
      <c r="Z244" s="105" t="str">
        <f>IFERROR(_xlfn.XLOOKUP($A244,Input_Raw!$A:$A,Input_Raw!$DA:$DA),"")</f>
        <v/>
      </c>
      <c r="AA244" s="107" t="str">
        <f t="shared" si="21"/>
        <v/>
      </c>
      <c r="AB244" s="105" t="str">
        <f>IFERROR(_xlfn.XLOOKUP($A244,Input_Raw!$A:$A,Input_Raw!$DG:$DG),"")</f>
        <v/>
      </c>
      <c r="AC244" s="125">
        <f>IFERROR(_xlfn.XLOOKUP($D244,'Modelling New'!$D:$D,'Modelling New'!$J:$J),"")</f>
        <v>4.0333333333333332</v>
      </c>
      <c r="AD244" s="107">
        <f>IFERROR(_xlfn.XLOOKUP($D244,'Modelling New'!$D:$D,'Modelling New'!$T:$T)*1000,"")</f>
        <v>162550.46310460661</v>
      </c>
      <c r="AE244" s="124"/>
      <c r="AF244" s="124">
        <f>IFERROR(_xlfn.XLOOKUP($D244,'Modelling New'!$D:$D,'Modelling New'!$W:$W),"")</f>
        <v>8.6832512342204377E-2</v>
      </c>
      <c r="AG244" s="124">
        <f>IFERROR(_xlfn.XLOOKUP($D244,'Modelling New'!$D:$D,'Modelling New'!$AE:$AE),"")</f>
        <v>0.96029999999999993</v>
      </c>
      <c r="AH244" s="124">
        <f>IFERROR(_xlfn.XLOOKUP($D244,'Modelling New'!$D:$D,'Modelling New'!$AF:$AF),"")</f>
        <v>0.995</v>
      </c>
      <c r="AI244" s="105" t="str">
        <f>IFERROR(_xlfn.XLOOKUP($A244,Input_Raw!$A:$A,Input_Raw!$DE:$DE),"")</f>
        <v/>
      </c>
      <c r="AJ244" s="105"/>
      <c r="AK244" s="105"/>
      <c r="AL244" s="105"/>
      <c r="AM244" s="105"/>
      <c r="AN244" s="126" t="str">
        <f>IFERROR(_xlfn.XLOOKUP($A244,Input_Raw!$A:$A,Input_Raw!$DB:$DB),"")</f>
        <v/>
      </c>
      <c r="AO244" s="124" t="str">
        <f>IFERROR((_xlfn.XLOOKUP($A244,'WTG Reactive Power'!$A:$A,'WTG Reactive Power'!$AR:$AR))/X244/1000,"")</f>
        <v/>
      </c>
      <c r="AP244" s="124">
        <f>IFERROR(_xlfn.XLOOKUP($D244,'Modelling New'!$D:$D,'Modelling New'!$AK:$AK),"")</f>
        <v>0.05</v>
      </c>
      <c r="AQ244" s="124">
        <f>IFERROR(_xlfn.XLOOKUP($D244,'Modelling New'!$D:$D,'Modelling New'!$AL:$AL),"")</f>
        <v>0.05</v>
      </c>
      <c r="AR244">
        <f>IFERROR(_xlfn.XLOOKUP($D244,'Modelling New'!$D:$D,'Modelling New'!$N:$N),"")</f>
        <v>78</v>
      </c>
    </row>
    <row r="245" spans="1:44">
      <c r="A245" s="118">
        <f t="shared" si="22"/>
        <v>45988</v>
      </c>
      <c r="B245" s="107">
        <f>YEAR(Table13[[#This Row],[Date]])+IF(MONTH(Table13[[#This Row],[Date]])&gt;=4,1,0)</f>
        <v>2026</v>
      </c>
      <c r="C245" s="105">
        <f>YEAR(Table13[[#This Row],[Date]])</f>
        <v>2025</v>
      </c>
      <c r="D245" s="119">
        <f>Table13[[#This Row],[Date]]-DAY(Table13[[#This Row],[Date]])+1</f>
        <v>45962</v>
      </c>
      <c r="E245" s="105">
        <f t="shared" si="19"/>
        <v>30</v>
      </c>
      <c r="F245" s="108"/>
      <c r="G245" s="109"/>
      <c r="H245" s="109"/>
      <c r="I245" s="109"/>
      <c r="J245" s="109"/>
      <c r="K245" s="120"/>
      <c r="L245" s="109"/>
      <c r="M245" s="109" t="str">
        <f>IFERROR(_xlfn.XLOOKUP($A245,Input_Raw!$A:$A,Input_Raw!CG:CG),"")</f>
        <v/>
      </c>
      <c r="N245" s="109" t="str">
        <f>IFERROR(_xlfn.XLOOKUP($A245,Input_Raw!$A:$A,Input_Raw!CH:CH),"")</f>
        <v/>
      </c>
      <c r="O245" s="121" t="str">
        <f t="shared" si="20"/>
        <v/>
      </c>
      <c r="P245" s="121" t="str">
        <f>IFERROR(1-SUMIF(WTG_BD!$F:$F,$A245,WTG_BD!$AA:$AA)/($AA245+SUMIF(WTG_BD!$F:$F,$A245,WTG_BD!$AA:$AA)),"")</f>
        <v/>
      </c>
      <c r="Q245" s="122" t="str">
        <f>IFERROR(1-SUMIF(IGA_BD!$F:$F,$A245,IGA_BD!$V:$V)/($AA245+SUMIF(IGA_BD!$F:$F,$A245,IGA_BD!$V:$V)),"")</f>
        <v/>
      </c>
      <c r="R245" s="127" t="str">
        <f>IFERROR(1-SUMIF(Grid_BD!$F:$F,$A245,Grid_BD!$X:$X)/($AA245+SUMIF(Grid_BD!$F:$F,$A245,Grid_BD!$X:$X)),"")</f>
        <v/>
      </c>
      <c r="S245" s="105"/>
      <c r="T245" s="122"/>
      <c r="U245" s="123"/>
      <c r="V245" s="105"/>
      <c r="W245" s="124" t="str">
        <f>IFERROR(Table13[[#This Row],[Mtr_Net_Exp (KWh)]]/(24*AR245*1000),"")</f>
        <v/>
      </c>
      <c r="X245" s="105" t="str">
        <f>IFERROR(_xlfn.XLOOKUP($A245,Input_Raw!$A:$A,Input_Raw!$CF:$CF),"")</f>
        <v/>
      </c>
      <c r="Y245" s="105" t="str">
        <f>IFERROR(_xlfn.XLOOKUP($A245,Input_Raw!$A:$A,Input_Raw!$CZ:$CZ),"")</f>
        <v/>
      </c>
      <c r="Z245" s="105" t="str">
        <f>IFERROR(_xlfn.XLOOKUP($A245,Input_Raw!$A:$A,Input_Raw!$DA:$DA),"")</f>
        <v/>
      </c>
      <c r="AA245" s="107" t="str">
        <f t="shared" si="21"/>
        <v/>
      </c>
      <c r="AB245" s="105" t="str">
        <f>IFERROR(_xlfn.XLOOKUP($A245,Input_Raw!$A:$A,Input_Raw!$DG:$DG),"")</f>
        <v/>
      </c>
      <c r="AC245" s="125">
        <f>IFERROR(_xlfn.XLOOKUP($D245,'Modelling New'!$D:$D,'Modelling New'!$J:$J),"")</f>
        <v>4.0333333333333332</v>
      </c>
      <c r="AD245" s="107">
        <f>IFERROR(_xlfn.XLOOKUP($D245,'Modelling New'!$D:$D,'Modelling New'!$T:$T)*1000,"")</f>
        <v>162550.46310460661</v>
      </c>
      <c r="AE245" s="124"/>
      <c r="AF245" s="124">
        <f>IFERROR(_xlfn.XLOOKUP($D245,'Modelling New'!$D:$D,'Modelling New'!$W:$W),"")</f>
        <v>8.6832512342204377E-2</v>
      </c>
      <c r="AG245" s="124">
        <f>IFERROR(_xlfn.XLOOKUP($D245,'Modelling New'!$D:$D,'Modelling New'!$AE:$AE),"")</f>
        <v>0.96029999999999993</v>
      </c>
      <c r="AH245" s="124">
        <f>IFERROR(_xlfn.XLOOKUP($D245,'Modelling New'!$D:$D,'Modelling New'!$AF:$AF),"")</f>
        <v>0.995</v>
      </c>
      <c r="AI245" s="105" t="str">
        <f>IFERROR(_xlfn.XLOOKUP($A245,Input_Raw!$A:$A,Input_Raw!$DE:$DE),"")</f>
        <v/>
      </c>
      <c r="AJ245" s="105"/>
      <c r="AK245" s="105"/>
      <c r="AL245" s="105"/>
      <c r="AM245" s="105"/>
      <c r="AN245" s="126" t="str">
        <f>IFERROR(_xlfn.XLOOKUP($A245,Input_Raw!$A:$A,Input_Raw!$DB:$DB),"")</f>
        <v/>
      </c>
      <c r="AO245" s="124" t="str">
        <f>IFERROR((_xlfn.XLOOKUP($A245,'WTG Reactive Power'!$A:$A,'WTG Reactive Power'!$AR:$AR))/X245/1000,"")</f>
        <v/>
      </c>
      <c r="AP245" s="124">
        <f>IFERROR(_xlfn.XLOOKUP($D245,'Modelling New'!$D:$D,'Modelling New'!$AK:$AK),"")</f>
        <v>0.05</v>
      </c>
      <c r="AQ245" s="124">
        <f>IFERROR(_xlfn.XLOOKUP($D245,'Modelling New'!$D:$D,'Modelling New'!$AL:$AL),"")</f>
        <v>0.05</v>
      </c>
      <c r="AR245">
        <f>IFERROR(_xlfn.XLOOKUP($D245,'Modelling New'!$D:$D,'Modelling New'!$N:$N),"")</f>
        <v>78</v>
      </c>
    </row>
    <row r="246" spans="1:44">
      <c r="A246" s="118">
        <f t="shared" si="22"/>
        <v>45989</v>
      </c>
      <c r="B246" s="107">
        <f>YEAR(Table13[[#This Row],[Date]])+IF(MONTH(Table13[[#This Row],[Date]])&gt;=4,1,0)</f>
        <v>2026</v>
      </c>
      <c r="C246" s="105">
        <f>YEAR(Table13[[#This Row],[Date]])</f>
        <v>2025</v>
      </c>
      <c r="D246" s="119">
        <f>Table13[[#This Row],[Date]]-DAY(Table13[[#This Row],[Date]])+1</f>
        <v>45962</v>
      </c>
      <c r="E246" s="105">
        <f t="shared" si="19"/>
        <v>30</v>
      </c>
      <c r="F246" s="108"/>
      <c r="G246" s="109"/>
      <c r="H246" s="109"/>
      <c r="I246" s="109"/>
      <c r="J246" s="109"/>
      <c r="K246" s="120"/>
      <c r="L246" s="109"/>
      <c r="M246" s="109" t="str">
        <f>IFERROR(_xlfn.XLOOKUP($A246,Input_Raw!$A:$A,Input_Raw!CG:CG),"")</f>
        <v/>
      </c>
      <c r="N246" s="109" t="str">
        <f>IFERROR(_xlfn.XLOOKUP($A246,Input_Raw!$A:$A,Input_Raw!CH:CH),"")</f>
        <v/>
      </c>
      <c r="O246" s="121" t="str">
        <f t="shared" si="20"/>
        <v/>
      </c>
      <c r="P246" s="121" t="str">
        <f>IFERROR(1-SUMIF(WTG_BD!$F:$F,$A246,WTG_BD!$AA:$AA)/($AA246+SUMIF(WTG_BD!$F:$F,$A246,WTG_BD!$AA:$AA)),"")</f>
        <v/>
      </c>
      <c r="Q246" s="122" t="str">
        <f>IFERROR(1-SUMIF(IGA_BD!$F:$F,$A246,IGA_BD!$V:$V)/($AA246+SUMIF(IGA_BD!$F:$F,$A246,IGA_BD!$V:$V)),"")</f>
        <v/>
      </c>
      <c r="R246" s="127" t="str">
        <f>IFERROR(1-SUMIF(Grid_BD!$F:$F,$A246,Grid_BD!$X:$X)/($AA246+SUMIF(Grid_BD!$F:$F,$A246,Grid_BD!$X:$X)),"")</f>
        <v/>
      </c>
      <c r="S246" s="105"/>
      <c r="T246" s="122"/>
      <c r="U246" s="123"/>
      <c r="V246" s="105"/>
      <c r="W246" s="124" t="str">
        <f>IFERROR(Table13[[#This Row],[Mtr_Net_Exp (KWh)]]/(24*AR246*1000),"")</f>
        <v/>
      </c>
      <c r="X246" s="105" t="str">
        <f>IFERROR(_xlfn.XLOOKUP($A246,Input_Raw!$A:$A,Input_Raw!$CF:$CF),"")</f>
        <v/>
      </c>
      <c r="Y246" s="105" t="str">
        <f>IFERROR(_xlfn.XLOOKUP($A246,Input_Raw!$A:$A,Input_Raw!$CZ:$CZ),"")</f>
        <v/>
      </c>
      <c r="Z246" s="105" t="str">
        <f>IFERROR(_xlfn.XLOOKUP($A246,Input_Raw!$A:$A,Input_Raw!$DA:$DA),"")</f>
        <v/>
      </c>
      <c r="AA246" s="107" t="str">
        <f t="shared" si="21"/>
        <v/>
      </c>
      <c r="AB246" s="105" t="str">
        <f>IFERROR(_xlfn.XLOOKUP($A246,Input_Raw!$A:$A,Input_Raw!$DG:$DG),"")</f>
        <v/>
      </c>
      <c r="AC246" s="125">
        <f>IFERROR(_xlfn.XLOOKUP($D246,'Modelling New'!$D:$D,'Modelling New'!$J:$J),"")</f>
        <v>4.0333333333333332</v>
      </c>
      <c r="AD246" s="107">
        <f>IFERROR(_xlfn.XLOOKUP($D246,'Modelling New'!$D:$D,'Modelling New'!$T:$T)*1000,"")</f>
        <v>162550.46310460661</v>
      </c>
      <c r="AE246" s="124"/>
      <c r="AF246" s="124">
        <f>IFERROR(_xlfn.XLOOKUP($D246,'Modelling New'!$D:$D,'Modelling New'!$W:$W),"")</f>
        <v>8.6832512342204377E-2</v>
      </c>
      <c r="AG246" s="124">
        <f>IFERROR(_xlfn.XLOOKUP($D246,'Modelling New'!$D:$D,'Modelling New'!$AE:$AE),"")</f>
        <v>0.96029999999999993</v>
      </c>
      <c r="AH246" s="124">
        <f>IFERROR(_xlfn.XLOOKUP($D246,'Modelling New'!$D:$D,'Modelling New'!$AF:$AF),"")</f>
        <v>0.995</v>
      </c>
      <c r="AI246" s="105" t="str">
        <f>IFERROR(_xlfn.XLOOKUP($A246,Input_Raw!$A:$A,Input_Raw!$DE:$DE),"")</f>
        <v/>
      </c>
      <c r="AJ246" s="105"/>
      <c r="AK246" s="105"/>
      <c r="AL246" s="105"/>
      <c r="AM246" s="105"/>
      <c r="AN246" s="126" t="str">
        <f>IFERROR(_xlfn.XLOOKUP($A246,Input_Raw!$A:$A,Input_Raw!$DB:$DB),"")</f>
        <v/>
      </c>
      <c r="AO246" s="124" t="str">
        <f>IFERROR((_xlfn.XLOOKUP($A246,'WTG Reactive Power'!$A:$A,'WTG Reactive Power'!$AR:$AR))/X246/1000,"")</f>
        <v/>
      </c>
      <c r="AP246" s="124">
        <f>IFERROR(_xlfn.XLOOKUP($D246,'Modelling New'!$D:$D,'Modelling New'!$AK:$AK),"")</f>
        <v>0.05</v>
      </c>
      <c r="AQ246" s="124">
        <f>IFERROR(_xlfn.XLOOKUP($D246,'Modelling New'!$D:$D,'Modelling New'!$AL:$AL),"")</f>
        <v>0.05</v>
      </c>
      <c r="AR246">
        <f>IFERROR(_xlfn.XLOOKUP($D246,'Modelling New'!$D:$D,'Modelling New'!$N:$N),"")</f>
        <v>78</v>
      </c>
    </row>
    <row r="247" spans="1:44">
      <c r="A247" s="118">
        <f t="shared" si="22"/>
        <v>45990</v>
      </c>
      <c r="B247" s="107">
        <f>YEAR(Table13[[#This Row],[Date]])+IF(MONTH(Table13[[#This Row],[Date]])&gt;=4,1,0)</f>
        <v>2026</v>
      </c>
      <c r="C247" s="105">
        <f>YEAR(Table13[[#This Row],[Date]])</f>
        <v>2025</v>
      </c>
      <c r="D247" s="119">
        <f>Table13[[#This Row],[Date]]-DAY(Table13[[#This Row],[Date]])+1</f>
        <v>45962</v>
      </c>
      <c r="E247" s="105">
        <f t="shared" si="19"/>
        <v>30</v>
      </c>
      <c r="F247" s="108"/>
      <c r="G247" s="109"/>
      <c r="H247" s="109"/>
      <c r="I247" s="109"/>
      <c r="J247" s="109"/>
      <c r="K247" s="120"/>
      <c r="L247" s="109"/>
      <c r="M247" s="109" t="str">
        <f>IFERROR(_xlfn.XLOOKUP($A247,Input_Raw!$A:$A,Input_Raw!CG:CG),"")</f>
        <v/>
      </c>
      <c r="N247" s="109" t="str">
        <f>IFERROR(_xlfn.XLOOKUP($A247,Input_Raw!$A:$A,Input_Raw!CH:CH),"")</f>
        <v/>
      </c>
      <c r="O247" s="121" t="str">
        <f t="shared" si="20"/>
        <v/>
      </c>
      <c r="P247" s="121" t="str">
        <f>IFERROR(1-SUMIF(WTG_BD!$F:$F,$A247,WTG_BD!$AA:$AA)/($AA247+SUMIF(WTG_BD!$F:$F,$A247,WTG_BD!$AA:$AA)),"")</f>
        <v/>
      </c>
      <c r="Q247" s="122" t="str">
        <f>IFERROR(1-SUMIF(IGA_BD!$F:$F,$A247,IGA_BD!$V:$V)/($AA247+SUMIF(IGA_BD!$F:$F,$A247,IGA_BD!$V:$V)),"")</f>
        <v/>
      </c>
      <c r="R247" s="127" t="str">
        <f>IFERROR(1-SUMIF(Grid_BD!$F:$F,$A247,Grid_BD!$X:$X)/($AA247+SUMIF(Grid_BD!$F:$F,$A247,Grid_BD!$X:$X)),"")</f>
        <v/>
      </c>
      <c r="S247" s="105"/>
      <c r="T247" s="122"/>
      <c r="U247" s="123"/>
      <c r="V247" s="105"/>
      <c r="W247" s="124" t="str">
        <f>IFERROR(Table13[[#This Row],[Mtr_Net_Exp (KWh)]]/(24*AR247*1000),"")</f>
        <v/>
      </c>
      <c r="X247" s="105" t="str">
        <f>IFERROR(_xlfn.XLOOKUP($A247,Input_Raw!$A:$A,Input_Raw!$CF:$CF),"")</f>
        <v/>
      </c>
      <c r="Y247" s="105" t="str">
        <f>IFERROR(_xlfn.XLOOKUP($A247,Input_Raw!$A:$A,Input_Raw!$CZ:$CZ),"")</f>
        <v/>
      </c>
      <c r="Z247" s="105" t="str">
        <f>IFERROR(_xlfn.XLOOKUP($A247,Input_Raw!$A:$A,Input_Raw!$DA:$DA),"")</f>
        <v/>
      </c>
      <c r="AA247" s="107" t="str">
        <f t="shared" si="21"/>
        <v/>
      </c>
      <c r="AB247" s="105" t="str">
        <f>IFERROR(_xlfn.XLOOKUP($A247,Input_Raw!$A:$A,Input_Raw!$DG:$DG),"")</f>
        <v/>
      </c>
      <c r="AC247" s="125">
        <f>IFERROR(_xlfn.XLOOKUP($D247,'Modelling New'!$D:$D,'Modelling New'!$J:$J),"")</f>
        <v>4.0333333333333332</v>
      </c>
      <c r="AD247" s="107">
        <f>IFERROR(_xlfn.XLOOKUP($D247,'Modelling New'!$D:$D,'Modelling New'!$T:$T)*1000,"")</f>
        <v>162550.46310460661</v>
      </c>
      <c r="AE247" s="124"/>
      <c r="AF247" s="124">
        <f>IFERROR(_xlfn.XLOOKUP($D247,'Modelling New'!$D:$D,'Modelling New'!$W:$W),"")</f>
        <v>8.6832512342204377E-2</v>
      </c>
      <c r="AG247" s="124">
        <f>IFERROR(_xlfn.XLOOKUP($D247,'Modelling New'!$D:$D,'Modelling New'!$AE:$AE),"")</f>
        <v>0.96029999999999993</v>
      </c>
      <c r="AH247" s="124">
        <f>IFERROR(_xlfn.XLOOKUP($D247,'Modelling New'!$D:$D,'Modelling New'!$AF:$AF),"")</f>
        <v>0.995</v>
      </c>
      <c r="AI247" s="105" t="str">
        <f>IFERROR(_xlfn.XLOOKUP($A247,Input_Raw!$A:$A,Input_Raw!$DE:$DE),"")</f>
        <v/>
      </c>
      <c r="AJ247" s="105"/>
      <c r="AK247" s="105"/>
      <c r="AL247" s="105"/>
      <c r="AM247" s="105"/>
      <c r="AN247" s="126" t="str">
        <f>IFERROR(_xlfn.XLOOKUP($A247,Input_Raw!$A:$A,Input_Raw!$DB:$DB),"")</f>
        <v/>
      </c>
      <c r="AO247" s="124" t="str">
        <f>IFERROR((_xlfn.XLOOKUP($A247,'WTG Reactive Power'!$A:$A,'WTG Reactive Power'!$AR:$AR))/X247/1000,"")</f>
        <v/>
      </c>
      <c r="AP247" s="124">
        <f>IFERROR(_xlfn.XLOOKUP($D247,'Modelling New'!$D:$D,'Modelling New'!$AK:$AK),"")</f>
        <v>0.05</v>
      </c>
      <c r="AQ247" s="124">
        <f>IFERROR(_xlfn.XLOOKUP($D247,'Modelling New'!$D:$D,'Modelling New'!$AL:$AL),"")</f>
        <v>0.05</v>
      </c>
      <c r="AR247">
        <f>IFERROR(_xlfn.XLOOKUP($D247,'Modelling New'!$D:$D,'Modelling New'!$N:$N),"")</f>
        <v>78</v>
      </c>
    </row>
    <row r="248" spans="1:44">
      <c r="A248" s="118">
        <f t="shared" si="22"/>
        <v>45991</v>
      </c>
      <c r="B248" s="107">
        <f>YEAR(Table13[[#This Row],[Date]])+IF(MONTH(Table13[[#This Row],[Date]])&gt;=4,1,0)</f>
        <v>2026</v>
      </c>
      <c r="C248" s="105">
        <f>YEAR(Table13[[#This Row],[Date]])</f>
        <v>2025</v>
      </c>
      <c r="D248" s="119">
        <f>Table13[[#This Row],[Date]]-DAY(Table13[[#This Row],[Date]])+1</f>
        <v>45962</v>
      </c>
      <c r="E248" s="105">
        <f t="shared" si="19"/>
        <v>30</v>
      </c>
      <c r="F248" s="108"/>
      <c r="G248" s="109"/>
      <c r="H248" s="109"/>
      <c r="I248" s="109"/>
      <c r="J248" s="109"/>
      <c r="K248" s="120"/>
      <c r="L248" s="109"/>
      <c r="M248" s="109" t="str">
        <f>IFERROR(_xlfn.XLOOKUP($A248,Input_Raw!$A:$A,Input_Raw!CG:CG),"")</f>
        <v/>
      </c>
      <c r="N248" s="109" t="str">
        <f>IFERROR(_xlfn.XLOOKUP($A248,Input_Raw!$A:$A,Input_Raw!CH:CH),"")</f>
        <v/>
      </c>
      <c r="O248" s="121" t="str">
        <f t="shared" si="20"/>
        <v/>
      </c>
      <c r="P248" s="121" t="str">
        <f>IFERROR(1-SUMIF(WTG_BD!$F:$F,$A248,WTG_BD!$AA:$AA)/($AA248+SUMIF(WTG_BD!$F:$F,$A248,WTG_BD!$AA:$AA)),"")</f>
        <v/>
      </c>
      <c r="Q248" s="122" t="str">
        <f>IFERROR(1-SUMIF(IGA_BD!$F:$F,$A248,IGA_BD!$V:$V)/($AA248+SUMIF(IGA_BD!$F:$F,$A248,IGA_BD!$V:$V)),"")</f>
        <v/>
      </c>
      <c r="R248" s="127" t="str">
        <f>IFERROR(1-SUMIF(Grid_BD!$F:$F,$A248,Grid_BD!$X:$X)/($AA248+SUMIF(Grid_BD!$F:$F,$A248,Grid_BD!$X:$X)),"")</f>
        <v/>
      </c>
      <c r="S248" s="105"/>
      <c r="T248" s="122"/>
      <c r="U248" s="123"/>
      <c r="V248" s="105"/>
      <c r="W248" s="124" t="str">
        <f>IFERROR(Table13[[#This Row],[Mtr_Net_Exp (KWh)]]/(24*AR248*1000),"")</f>
        <v/>
      </c>
      <c r="X248" s="105" t="str">
        <f>IFERROR(_xlfn.XLOOKUP($A248,Input_Raw!$A:$A,Input_Raw!$CF:$CF),"")</f>
        <v/>
      </c>
      <c r="Y248" s="105" t="str">
        <f>IFERROR(_xlfn.XLOOKUP($A248,Input_Raw!$A:$A,Input_Raw!$CZ:$CZ),"")</f>
        <v/>
      </c>
      <c r="Z248" s="105" t="str">
        <f>IFERROR(_xlfn.XLOOKUP($A248,Input_Raw!$A:$A,Input_Raw!$DA:$DA),"")</f>
        <v/>
      </c>
      <c r="AA248" s="107" t="str">
        <f t="shared" si="21"/>
        <v/>
      </c>
      <c r="AB248" s="105" t="str">
        <f>IFERROR(_xlfn.XLOOKUP($A248,Input_Raw!$A:$A,Input_Raw!$DG:$DG),"")</f>
        <v/>
      </c>
      <c r="AC248" s="125">
        <f>IFERROR(_xlfn.XLOOKUP($D248,'Modelling New'!$D:$D,'Modelling New'!$J:$J),"")</f>
        <v>4.0333333333333332</v>
      </c>
      <c r="AD248" s="107">
        <f>IFERROR(_xlfn.XLOOKUP($D248,'Modelling New'!$D:$D,'Modelling New'!$T:$T)*1000,"")</f>
        <v>162550.46310460661</v>
      </c>
      <c r="AE248" s="124"/>
      <c r="AF248" s="124">
        <f>IFERROR(_xlfn.XLOOKUP($D248,'Modelling New'!$D:$D,'Modelling New'!$W:$W),"")</f>
        <v>8.6832512342204377E-2</v>
      </c>
      <c r="AG248" s="124">
        <f>IFERROR(_xlfn.XLOOKUP($D248,'Modelling New'!$D:$D,'Modelling New'!$AE:$AE),"")</f>
        <v>0.96029999999999993</v>
      </c>
      <c r="AH248" s="124">
        <f>IFERROR(_xlfn.XLOOKUP($D248,'Modelling New'!$D:$D,'Modelling New'!$AF:$AF),"")</f>
        <v>0.995</v>
      </c>
      <c r="AI248" s="105" t="str">
        <f>IFERROR(_xlfn.XLOOKUP($A248,Input_Raw!$A:$A,Input_Raw!$DE:$DE),"")</f>
        <v/>
      </c>
      <c r="AJ248" s="105"/>
      <c r="AK248" s="105"/>
      <c r="AL248" s="105"/>
      <c r="AM248" s="105"/>
      <c r="AN248" s="126" t="str">
        <f>IFERROR(_xlfn.XLOOKUP($A248,Input_Raw!$A:$A,Input_Raw!$DB:$DB),"")</f>
        <v/>
      </c>
      <c r="AO248" s="124" t="str">
        <f>IFERROR((_xlfn.XLOOKUP($A248,'WTG Reactive Power'!$A:$A,'WTG Reactive Power'!$AR:$AR))/X248/1000,"")</f>
        <v/>
      </c>
      <c r="AP248" s="124">
        <f>IFERROR(_xlfn.XLOOKUP($D248,'Modelling New'!$D:$D,'Modelling New'!$AK:$AK),"")</f>
        <v>0.05</v>
      </c>
      <c r="AQ248" s="124">
        <f>IFERROR(_xlfn.XLOOKUP($D248,'Modelling New'!$D:$D,'Modelling New'!$AL:$AL),"")</f>
        <v>0.05</v>
      </c>
      <c r="AR248">
        <f>IFERROR(_xlfn.XLOOKUP($D248,'Modelling New'!$D:$D,'Modelling New'!$N:$N),"")</f>
        <v>78</v>
      </c>
    </row>
    <row r="249" spans="1:44">
      <c r="A249" s="118">
        <f t="shared" si="22"/>
        <v>45992</v>
      </c>
      <c r="B249" s="107">
        <f>YEAR(Table13[[#This Row],[Date]])+IF(MONTH(Table13[[#This Row],[Date]])&gt;=4,1,0)</f>
        <v>2026</v>
      </c>
      <c r="C249" s="105">
        <f>YEAR(Table13[[#This Row],[Date]])</f>
        <v>2025</v>
      </c>
      <c r="D249" s="119">
        <f>Table13[[#This Row],[Date]]-DAY(Table13[[#This Row],[Date]])+1</f>
        <v>45992</v>
      </c>
      <c r="E249" s="105">
        <f t="shared" si="19"/>
        <v>31</v>
      </c>
      <c r="F249" s="108"/>
      <c r="G249" s="109"/>
      <c r="H249" s="109"/>
      <c r="I249" s="109"/>
      <c r="J249" s="109"/>
      <c r="K249" s="120"/>
      <c r="L249" s="109"/>
      <c r="M249" s="109" t="str">
        <f>IFERROR(_xlfn.XLOOKUP($A249,Input_Raw!$A:$A,Input_Raw!CG:CG),"")</f>
        <v/>
      </c>
      <c r="N249" s="109" t="str">
        <f>IFERROR(_xlfn.XLOOKUP($A249,Input_Raw!$A:$A,Input_Raw!CH:CH),"")</f>
        <v/>
      </c>
      <c r="O249" s="121" t="str">
        <f t="shared" si="20"/>
        <v/>
      </c>
      <c r="P249" s="121" t="str">
        <f>IFERROR(1-SUMIF(WTG_BD!$F:$F,$A249,WTG_BD!$AA:$AA)/($AA249+SUMIF(WTG_BD!$F:$F,$A249,WTG_BD!$AA:$AA)),"")</f>
        <v/>
      </c>
      <c r="Q249" s="122" t="str">
        <f>IFERROR(1-SUMIF(IGA_BD!$F:$F,$A249,IGA_BD!$V:$V)/($AA249+SUMIF(IGA_BD!$F:$F,$A249,IGA_BD!$V:$V)),"")</f>
        <v/>
      </c>
      <c r="R249" s="127" t="str">
        <f>IFERROR(1-SUMIF(Grid_BD!$F:$F,$A249,Grid_BD!$X:$X)/($AA249+SUMIF(Grid_BD!$F:$F,$A249,Grid_BD!$X:$X)),"")</f>
        <v/>
      </c>
      <c r="S249" s="105"/>
      <c r="T249" s="122"/>
      <c r="U249" s="123"/>
      <c r="V249" s="105"/>
      <c r="W249" s="124" t="str">
        <f>IFERROR(Table13[[#This Row],[Mtr_Net_Exp (KWh)]]/(24*AR249*1000),"")</f>
        <v/>
      </c>
      <c r="X249" s="105" t="str">
        <f>IFERROR(_xlfn.XLOOKUP($A249,Input_Raw!$A:$A,Input_Raw!$CF:$CF),"")</f>
        <v/>
      </c>
      <c r="Y249" s="105" t="str">
        <f>IFERROR(_xlfn.XLOOKUP($A249,Input_Raw!$A:$A,Input_Raw!$CZ:$CZ),"")</f>
        <v/>
      </c>
      <c r="Z249" s="105" t="str">
        <f>IFERROR(_xlfn.XLOOKUP($A249,Input_Raw!$A:$A,Input_Raw!$DA:$DA),"")</f>
        <v/>
      </c>
      <c r="AA249" s="107" t="str">
        <f t="shared" si="21"/>
        <v/>
      </c>
      <c r="AB249" s="105" t="str">
        <f>IFERROR(_xlfn.XLOOKUP($A249,Input_Raw!$A:$A,Input_Raw!$DG:$DG),"")</f>
        <v/>
      </c>
      <c r="AC249" s="125">
        <f>IFERROR(_xlfn.XLOOKUP($D249,'Modelling New'!$D:$D,'Modelling New'!$J:$J),"")</f>
        <v>4.4333333333333336</v>
      </c>
      <c r="AD249" s="107">
        <f>IFERROR(_xlfn.XLOOKUP($D249,'Modelling New'!$D:$D,'Modelling New'!$T:$T)*1000,"")</f>
        <v>183922.41431383044</v>
      </c>
      <c r="AE249" s="124"/>
      <c r="AF249" s="124">
        <f>IFERROR(_xlfn.XLOOKUP($D249,'Modelling New'!$D:$D,'Modelling New'!$W:$W),"")</f>
        <v>9.8249152945422247E-2</v>
      </c>
      <c r="AG249" s="124">
        <f>IFERROR(_xlfn.XLOOKUP($D249,'Modelling New'!$D:$D,'Modelling New'!$AE:$AE),"")</f>
        <v>0.96029999999999993</v>
      </c>
      <c r="AH249" s="124">
        <f>IFERROR(_xlfn.XLOOKUP($D249,'Modelling New'!$D:$D,'Modelling New'!$AF:$AF),"")</f>
        <v>0.995</v>
      </c>
      <c r="AI249" s="105" t="str">
        <f>IFERROR(_xlfn.XLOOKUP($A249,Input_Raw!$A:$A,Input_Raw!$DE:$DE),"")</f>
        <v/>
      </c>
      <c r="AJ249" s="105"/>
      <c r="AK249" s="105"/>
      <c r="AL249" s="105"/>
      <c r="AM249" s="105"/>
      <c r="AN249" s="126" t="str">
        <f>IFERROR(_xlfn.XLOOKUP($A249,Input_Raw!$A:$A,Input_Raw!$DB:$DB),"")</f>
        <v/>
      </c>
      <c r="AO249" s="124" t="str">
        <f>IFERROR((_xlfn.XLOOKUP($A249,'WTG Reactive Power'!$A:$A,'WTG Reactive Power'!$AR:$AR))/X249/1000,"")</f>
        <v/>
      </c>
      <c r="AP249" s="124">
        <f>IFERROR(_xlfn.XLOOKUP($D249,'Modelling New'!$D:$D,'Modelling New'!$AK:$AK),"")</f>
        <v>0.05</v>
      </c>
      <c r="AQ249" s="124">
        <f>IFERROR(_xlfn.XLOOKUP($D249,'Modelling New'!$D:$D,'Modelling New'!$AL:$AL),"")</f>
        <v>0.05</v>
      </c>
      <c r="AR249">
        <f>IFERROR(_xlfn.XLOOKUP($D249,'Modelling New'!$D:$D,'Modelling New'!$N:$N),"")</f>
        <v>78</v>
      </c>
    </row>
    <row r="250" spans="1:44">
      <c r="A250" s="118">
        <f t="shared" si="22"/>
        <v>45993</v>
      </c>
      <c r="B250" s="107">
        <f>YEAR(Table13[[#This Row],[Date]])+IF(MONTH(Table13[[#This Row],[Date]])&gt;=4,1,0)</f>
        <v>2026</v>
      </c>
      <c r="C250" s="105">
        <f>YEAR(Table13[[#This Row],[Date]])</f>
        <v>2025</v>
      </c>
      <c r="D250" s="119">
        <f>Table13[[#This Row],[Date]]-DAY(Table13[[#This Row],[Date]])+1</f>
        <v>45992</v>
      </c>
      <c r="E250" s="105">
        <f t="shared" si="19"/>
        <v>31</v>
      </c>
      <c r="F250" s="108"/>
      <c r="G250" s="109"/>
      <c r="H250" s="109"/>
      <c r="I250" s="109"/>
      <c r="J250" s="109"/>
      <c r="K250" s="120"/>
      <c r="L250" s="109"/>
      <c r="M250" s="109" t="str">
        <f>IFERROR(_xlfn.XLOOKUP($A250,Input_Raw!$A:$A,Input_Raw!CG:CG),"")</f>
        <v/>
      </c>
      <c r="N250" s="109" t="str">
        <f>IFERROR(_xlfn.XLOOKUP($A250,Input_Raw!$A:$A,Input_Raw!CH:CH),"")</f>
        <v/>
      </c>
      <c r="O250" s="121" t="str">
        <f t="shared" si="20"/>
        <v/>
      </c>
      <c r="P250" s="121" t="str">
        <f>IFERROR(1-SUMIF(WTG_BD!$F:$F,$A250,WTG_BD!$AA:$AA)/($AA250+SUMIF(WTG_BD!$F:$F,$A250,WTG_BD!$AA:$AA)),"")</f>
        <v/>
      </c>
      <c r="Q250" s="122" t="str">
        <f>IFERROR(1-SUMIF(IGA_BD!$F:$F,$A250,IGA_BD!$V:$V)/($AA250+SUMIF(IGA_BD!$F:$F,$A250,IGA_BD!$V:$V)),"")</f>
        <v/>
      </c>
      <c r="R250" s="127" t="str">
        <f>IFERROR(1-SUMIF(Grid_BD!$F:$F,$A250,Grid_BD!$X:$X)/($AA250+SUMIF(Grid_BD!$F:$F,$A250,Grid_BD!$X:$X)),"")</f>
        <v/>
      </c>
      <c r="S250" s="105"/>
      <c r="T250" s="122"/>
      <c r="U250" s="123"/>
      <c r="V250" s="105"/>
      <c r="W250" s="124" t="str">
        <f>IFERROR(Table13[[#This Row],[Mtr_Net_Exp (KWh)]]/(24*AR250*1000),"")</f>
        <v/>
      </c>
      <c r="X250" s="105" t="str">
        <f>IFERROR(_xlfn.XLOOKUP($A250,Input_Raw!$A:$A,Input_Raw!$CF:$CF),"")</f>
        <v/>
      </c>
      <c r="Y250" s="105" t="str">
        <f>IFERROR(_xlfn.XLOOKUP($A250,Input_Raw!$A:$A,Input_Raw!$CZ:$CZ),"")</f>
        <v/>
      </c>
      <c r="Z250" s="105" t="str">
        <f>IFERROR(_xlfn.XLOOKUP($A250,Input_Raw!$A:$A,Input_Raw!$DA:$DA),"")</f>
        <v/>
      </c>
      <c r="AA250" s="107" t="str">
        <f t="shared" si="21"/>
        <v/>
      </c>
      <c r="AB250" s="105" t="str">
        <f>IFERROR(_xlfn.XLOOKUP($A250,Input_Raw!$A:$A,Input_Raw!$DG:$DG),"")</f>
        <v/>
      </c>
      <c r="AC250" s="125">
        <f>IFERROR(_xlfn.XLOOKUP($D250,'Modelling New'!$D:$D,'Modelling New'!$J:$J),"")</f>
        <v>4.4333333333333336</v>
      </c>
      <c r="AD250" s="107">
        <f>IFERROR(_xlfn.XLOOKUP($D250,'Modelling New'!$D:$D,'Modelling New'!$T:$T)*1000,"")</f>
        <v>183922.41431383044</v>
      </c>
      <c r="AE250" s="124"/>
      <c r="AF250" s="124">
        <f>IFERROR(_xlfn.XLOOKUP($D250,'Modelling New'!$D:$D,'Modelling New'!$W:$W),"")</f>
        <v>9.8249152945422247E-2</v>
      </c>
      <c r="AG250" s="124">
        <f>IFERROR(_xlfn.XLOOKUP($D250,'Modelling New'!$D:$D,'Modelling New'!$AE:$AE),"")</f>
        <v>0.96029999999999993</v>
      </c>
      <c r="AH250" s="124">
        <f>IFERROR(_xlfn.XLOOKUP($D250,'Modelling New'!$D:$D,'Modelling New'!$AF:$AF),"")</f>
        <v>0.995</v>
      </c>
      <c r="AI250" s="105" t="str">
        <f>IFERROR(_xlfn.XLOOKUP($A250,Input_Raw!$A:$A,Input_Raw!$DE:$DE),"")</f>
        <v/>
      </c>
      <c r="AJ250" s="105"/>
      <c r="AK250" s="105"/>
      <c r="AL250" s="105"/>
      <c r="AM250" s="105"/>
      <c r="AN250" s="126" t="str">
        <f>IFERROR(_xlfn.XLOOKUP($A250,Input_Raw!$A:$A,Input_Raw!$DB:$DB),"")</f>
        <v/>
      </c>
      <c r="AO250" s="124" t="str">
        <f>IFERROR((_xlfn.XLOOKUP($A250,'WTG Reactive Power'!$A:$A,'WTG Reactive Power'!$AR:$AR))/X250/1000,"")</f>
        <v/>
      </c>
      <c r="AP250" s="124">
        <f>IFERROR(_xlfn.XLOOKUP($D250,'Modelling New'!$D:$D,'Modelling New'!$AK:$AK),"")</f>
        <v>0.05</v>
      </c>
      <c r="AQ250" s="124">
        <f>IFERROR(_xlfn.XLOOKUP($D250,'Modelling New'!$D:$D,'Modelling New'!$AL:$AL),"")</f>
        <v>0.05</v>
      </c>
      <c r="AR250">
        <f>IFERROR(_xlfn.XLOOKUP($D250,'Modelling New'!$D:$D,'Modelling New'!$N:$N),"")</f>
        <v>78</v>
      </c>
    </row>
    <row r="251" spans="1:44">
      <c r="A251" s="118">
        <f t="shared" si="22"/>
        <v>45994</v>
      </c>
      <c r="B251" s="107">
        <f>YEAR(Table13[[#This Row],[Date]])+IF(MONTH(Table13[[#This Row],[Date]])&gt;=4,1,0)</f>
        <v>2026</v>
      </c>
      <c r="C251" s="105">
        <f>YEAR(Table13[[#This Row],[Date]])</f>
        <v>2025</v>
      </c>
      <c r="D251" s="119">
        <f>Table13[[#This Row],[Date]]-DAY(Table13[[#This Row],[Date]])+1</f>
        <v>45992</v>
      </c>
      <c r="E251" s="105">
        <f t="shared" si="19"/>
        <v>31</v>
      </c>
      <c r="F251" s="108"/>
      <c r="G251" s="109"/>
      <c r="H251" s="109"/>
      <c r="I251" s="109"/>
      <c r="J251" s="109"/>
      <c r="K251" s="120"/>
      <c r="L251" s="109"/>
      <c r="M251" s="109" t="str">
        <f>IFERROR(_xlfn.XLOOKUP($A251,Input_Raw!$A:$A,Input_Raw!CG:CG),"")</f>
        <v/>
      </c>
      <c r="N251" s="109" t="str">
        <f>IFERROR(_xlfn.XLOOKUP($A251,Input_Raw!$A:$A,Input_Raw!CH:CH),"")</f>
        <v/>
      </c>
      <c r="O251" s="121" t="str">
        <f t="shared" si="20"/>
        <v/>
      </c>
      <c r="P251" s="121" t="str">
        <f>IFERROR(1-SUMIF(WTG_BD!$F:$F,$A251,WTG_BD!$AA:$AA)/($AA251+SUMIF(WTG_BD!$F:$F,$A251,WTG_BD!$AA:$AA)),"")</f>
        <v/>
      </c>
      <c r="Q251" s="122" t="str">
        <f>IFERROR(1-SUMIF(IGA_BD!$F:$F,$A251,IGA_BD!$V:$V)/($AA251+SUMIF(IGA_BD!$F:$F,$A251,IGA_BD!$V:$V)),"")</f>
        <v/>
      </c>
      <c r="R251" s="127" t="str">
        <f>IFERROR(1-SUMIF(Grid_BD!$F:$F,$A251,Grid_BD!$X:$X)/($AA251+SUMIF(Grid_BD!$F:$F,$A251,Grid_BD!$X:$X)),"")</f>
        <v/>
      </c>
      <c r="S251" s="105"/>
      <c r="T251" s="122"/>
      <c r="U251" s="123"/>
      <c r="V251" s="105"/>
      <c r="W251" s="124" t="str">
        <f>IFERROR(Table13[[#This Row],[Mtr_Net_Exp (KWh)]]/(24*AR251*1000),"")</f>
        <v/>
      </c>
      <c r="X251" s="105" t="str">
        <f>IFERROR(_xlfn.XLOOKUP($A251,Input_Raw!$A:$A,Input_Raw!$CF:$CF),"")</f>
        <v/>
      </c>
      <c r="Y251" s="105" t="str">
        <f>IFERROR(_xlfn.XLOOKUP($A251,Input_Raw!$A:$A,Input_Raw!$CZ:$CZ),"")</f>
        <v/>
      </c>
      <c r="Z251" s="105" t="str">
        <f>IFERROR(_xlfn.XLOOKUP($A251,Input_Raw!$A:$A,Input_Raw!$DA:$DA),"")</f>
        <v/>
      </c>
      <c r="AA251" s="107" t="str">
        <f t="shared" si="21"/>
        <v/>
      </c>
      <c r="AB251" s="105" t="str">
        <f>IFERROR(_xlfn.XLOOKUP($A251,Input_Raw!$A:$A,Input_Raw!$DG:$DG),"")</f>
        <v/>
      </c>
      <c r="AC251" s="125">
        <f>IFERROR(_xlfn.XLOOKUP($D251,'Modelling New'!$D:$D,'Modelling New'!$J:$J),"")</f>
        <v>4.4333333333333336</v>
      </c>
      <c r="AD251" s="107">
        <f>IFERROR(_xlfn.XLOOKUP($D251,'Modelling New'!$D:$D,'Modelling New'!$T:$T)*1000,"")</f>
        <v>183922.41431383044</v>
      </c>
      <c r="AE251" s="124"/>
      <c r="AF251" s="124">
        <f>IFERROR(_xlfn.XLOOKUP($D251,'Modelling New'!$D:$D,'Modelling New'!$W:$W),"")</f>
        <v>9.8249152945422247E-2</v>
      </c>
      <c r="AG251" s="124">
        <f>IFERROR(_xlfn.XLOOKUP($D251,'Modelling New'!$D:$D,'Modelling New'!$AE:$AE),"")</f>
        <v>0.96029999999999993</v>
      </c>
      <c r="AH251" s="124">
        <f>IFERROR(_xlfn.XLOOKUP($D251,'Modelling New'!$D:$D,'Modelling New'!$AF:$AF),"")</f>
        <v>0.995</v>
      </c>
      <c r="AI251" s="105" t="str">
        <f>IFERROR(_xlfn.XLOOKUP($A251,Input_Raw!$A:$A,Input_Raw!$DE:$DE),"")</f>
        <v/>
      </c>
      <c r="AJ251" s="105"/>
      <c r="AK251" s="105"/>
      <c r="AL251" s="105"/>
      <c r="AM251" s="105"/>
      <c r="AN251" s="126" t="str">
        <f>IFERROR(_xlfn.XLOOKUP($A251,Input_Raw!$A:$A,Input_Raw!$DB:$DB),"")</f>
        <v/>
      </c>
      <c r="AO251" s="124" t="str">
        <f>IFERROR((_xlfn.XLOOKUP($A251,'WTG Reactive Power'!$A:$A,'WTG Reactive Power'!$AR:$AR))/X251/1000,"")</f>
        <v/>
      </c>
      <c r="AP251" s="124">
        <f>IFERROR(_xlfn.XLOOKUP($D251,'Modelling New'!$D:$D,'Modelling New'!$AK:$AK),"")</f>
        <v>0.05</v>
      </c>
      <c r="AQ251" s="124">
        <f>IFERROR(_xlfn.XLOOKUP($D251,'Modelling New'!$D:$D,'Modelling New'!$AL:$AL),"")</f>
        <v>0.05</v>
      </c>
      <c r="AR251">
        <f>IFERROR(_xlfn.XLOOKUP($D251,'Modelling New'!$D:$D,'Modelling New'!$N:$N),"")</f>
        <v>78</v>
      </c>
    </row>
    <row r="252" spans="1:44">
      <c r="A252" s="118">
        <f t="shared" si="22"/>
        <v>45995</v>
      </c>
      <c r="B252" s="107">
        <f>YEAR(Table13[[#This Row],[Date]])+IF(MONTH(Table13[[#This Row],[Date]])&gt;=4,1,0)</f>
        <v>2026</v>
      </c>
      <c r="C252" s="105">
        <f>YEAR(Table13[[#This Row],[Date]])</f>
        <v>2025</v>
      </c>
      <c r="D252" s="119">
        <f>Table13[[#This Row],[Date]]-DAY(Table13[[#This Row],[Date]])+1</f>
        <v>45992</v>
      </c>
      <c r="E252" s="105">
        <f t="shared" si="19"/>
        <v>31</v>
      </c>
      <c r="F252" s="108"/>
      <c r="G252" s="109"/>
      <c r="H252" s="109"/>
      <c r="I252" s="109"/>
      <c r="J252" s="109"/>
      <c r="K252" s="120"/>
      <c r="L252" s="109"/>
      <c r="M252" s="109" t="str">
        <f>IFERROR(_xlfn.XLOOKUP($A252,Input_Raw!$A:$A,Input_Raw!CG:CG),"")</f>
        <v/>
      </c>
      <c r="N252" s="109" t="str">
        <f>IFERROR(_xlfn.XLOOKUP($A252,Input_Raw!$A:$A,Input_Raw!CH:CH),"")</f>
        <v/>
      </c>
      <c r="O252" s="121" t="str">
        <f t="shared" si="20"/>
        <v/>
      </c>
      <c r="P252" s="121" t="str">
        <f>IFERROR(1-SUMIF(WTG_BD!$F:$F,$A252,WTG_BD!$AA:$AA)/($AA252+SUMIF(WTG_BD!$F:$F,$A252,WTG_BD!$AA:$AA)),"")</f>
        <v/>
      </c>
      <c r="Q252" s="122" t="str">
        <f>IFERROR(1-SUMIF(IGA_BD!$F:$F,$A252,IGA_BD!$V:$V)/($AA252+SUMIF(IGA_BD!$F:$F,$A252,IGA_BD!$V:$V)),"")</f>
        <v/>
      </c>
      <c r="R252" s="127" t="str">
        <f>IFERROR(1-SUMIF(Grid_BD!$F:$F,$A252,Grid_BD!$X:$X)/($AA252+SUMIF(Grid_BD!$F:$F,$A252,Grid_BD!$X:$X)),"")</f>
        <v/>
      </c>
      <c r="S252" s="105"/>
      <c r="T252" s="122"/>
      <c r="U252" s="123"/>
      <c r="V252" s="105"/>
      <c r="W252" s="124" t="str">
        <f>IFERROR(Table13[[#This Row],[Mtr_Net_Exp (KWh)]]/(24*AR252*1000),"")</f>
        <v/>
      </c>
      <c r="X252" s="105" t="str">
        <f>IFERROR(_xlfn.XLOOKUP($A252,Input_Raw!$A:$A,Input_Raw!$CF:$CF),"")</f>
        <v/>
      </c>
      <c r="Y252" s="105" t="str">
        <f>IFERROR(_xlfn.XLOOKUP($A252,Input_Raw!$A:$A,Input_Raw!$CZ:$CZ),"")</f>
        <v/>
      </c>
      <c r="Z252" s="105" t="str">
        <f>IFERROR(_xlfn.XLOOKUP($A252,Input_Raw!$A:$A,Input_Raw!$DA:$DA),"")</f>
        <v/>
      </c>
      <c r="AA252" s="107" t="str">
        <f t="shared" si="21"/>
        <v/>
      </c>
      <c r="AB252" s="105" t="str">
        <f>IFERROR(_xlfn.XLOOKUP($A252,Input_Raw!$A:$A,Input_Raw!$DG:$DG),"")</f>
        <v/>
      </c>
      <c r="AC252" s="125">
        <f>IFERROR(_xlfn.XLOOKUP($D252,'Modelling New'!$D:$D,'Modelling New'!$J:$J),"")</f>
        <v>4.4333333333333336</v>
      </c>
      <c r="AD252" s="107">
        <f>IFERROR(_xlfn.XLOOKUP($D252,'Modelling New'!$D:$D,'Modelling New'!$T:$T)*1000,"")</f>
        <v>183922.41431383044</v>
      </c>
      <c r="AE252" s="124"/>
      <c r="AF252" s="124">
        <f>IFERROR(_xlfn.XLOOKUP($D252,'Modelling New'!$D:$D,'Modelling New'!$W:$W),"")</f>
        <v>9.8249152945422247E-2</v>
      </c>
      <c r="AG252" s="124">
        <f>IFERROR(_xlfn.XLOOKUP($D252,'Modelling New'!$D:$D,'Modelling New'!$AE:$AE),"")</f>
        <v>0.96029999999999993</v>
      </c>
      <c r="AH252" s="124">
        <f>IFERROR(_xlfn.XLOOKUP($D252,'Modelling New'!$D:$D,'Modelling New'!$AF:$AF),"")</f>
        <v>0.995</v>
      </c>
      <c r="AI252" s="105" t="str">
        <f>IFERROR(_xlfn.XLOOKUP($A252,Input_Raw!$A:$A,Input_Raw!$DE:$DE),"")</f>
        <v/>
      </c>
      <c r="AJ252" s="105"/>
      <c r="AK252" s="105"/>
      <c r="AL252" s="105"/>
      <c r="AM252" s="105"/>
      <c r="AN252" s="126" t="str">
        <f>IFERROR(_xlfn.XLOOKUP($A252,Input_Raw!$A:$A,Input_Raw!$DB:$DB),"")</f>
        <v/>
      </c>
      <c r="AO252" s="124" t="str">
        <f>IFERROR((_xlfn.XLOOKUP($A252,'WTG Reactive Power'!$A:$A,'WTG Reactive Power'!$AR:$AR))/X252/1000,"")</f>
        <v/>
      </c>
      <c r="AP252" s="124">
        <f>IFERROR(_xlfn.XLOOKUP($D252,'Modelling New'!$D:$D,'Modelling New'!$AK:$AK),"")</f>
        <v>0.05</v>
      </c>
      <c r="AQ252" s="124">
        <f>IFERROR(_xlfn.XLOOKUP($D252,'Modelling New'!$D:$D,'Modelling New'!$AL:$AL),"")</f>
        <v>0.05</v>
      </c>
      <c r="AR252">
        <f>IFERROR(_xlfn.XLOOKUP($D252,'Modelling New'!$D:$D,'Modelling New'!$N:$N),"")</f>
        <v>78</v>
      </c>
    </row>
    <row r="253" spans="1:44">
      <c r="A253" s="118">
        <f t="shared" si="22"/>
        <v>45996</v>
      </c>
      <c r="B253" s="107">
        <f>YEAR(Table13[[#This Row],[Date]])+IF(MONTH(Table13[[#This Row],[Date]])&gt;=4,1,0)</f>
        <v>2026</v>
      </c>
      <c r="C253" s="105">
        <f>YEAR(Table13[[#This Row],[Date]])</f>
        <v>2025</v>
      </c>
      <c r="D253" s="119">
        <f>Table13[[#This Row],[Date]]-DAY(Table13[[#This Row],[Date]])+1</f>
        <v>45992</v>
      </c>
      <c r="E253" s="105">
        <f t="shared" si="19"/>
        <v>31</v>
      </c>
      <c r="F253" s="108"/>
      <c r="G253" s="109"/>
      <c r="H253" s="109"/>
      <c r="I253" s="109"/>
      <c r="J253" s="109"/>
      <c r="K253" s="120"/>
      <c r="L253" s="109"/>
      <c r="M253" s="109" t="str">
        <f>IFERROR(_xlfn.XLOOKUP($A253,Input_Raw!$A:$A,Input_Raw!CG:CG),"")</f>
        <v/>
      </c>
      <c r="N253" s="109" t="str">
        <f>IFERROR(_xlfn.XLOOKUP($A253,Input_Raw!$A:$A,Input_Raw!CH:CH),"")</f>
        <v/>
      </c>
      <c r="O253" s="121" t="str">
        <f t="shared" si="20"/>
        <v/>
      </c>
      <c r="P253" s="121" t="str">
        <f>IFERROR(1-SUMIF(WTG_BD!$F:$F,$A253,WTG_BD!$AA:$AA)/($AA253+SUMIF(WTG_BD!$F:$F,$A253,WTG_BD!$AA:$AA)),"")</f>
        <v/>
      </c>
      <c r="Q253" s="122" t="str">
        <f>IFERROR(1-SUMIF(IGA_BD!$F:$F,$A253,IGA_BD!$V:$V)/($AA253+SUMIF(IGA_BD!$F:$F,$A253,IGA_BD!$V:$V)),"")</f>
        <v/>
      </c>
      <c r="R253" s="127" t="str">
        <f>IFERROR(1-SUMIF(Grid_BD!$F:$F,$A253,Grid_BD!$X:$X)/($AA253+SUMIF(Grid_BD!$F:$F,$A253,Grid_BD!$X:$X)),"")</f>
        <v/>
      </c>
      <c r="S253" s="105"/>
      <c r="T253" s="122"/>
      <c r="U253" s="123"/>
      <c r="V253" s="105"/>
      <c r="W253" s="124" t="str">
        <f>IFERROR(Table13[[#This Row],[Mtr_Net_Exp (KWh)]]/(24*AR253*1000),"")</f>
        <v/>
      </c>
      <c r="X253" s="105" t="str">
        <f>IFERROR(_xlfn.XLOOKUP($A253,Input_Raw!$A:$A,Input_Raw!$CF:$CF),"")</f>
        <v/>
      </c>
      <c r="Y253" s="105" t="str">
        <f>IFERROR(_xlfn.XLOOKUP($A253,Input_Raw!$A:$A,Input_Raw!$CZ:$CZ),"")</f>
        <v/>
      </c>
      <c r="Z253" s="105" t="str">
        <f>IFERROR(_xlfn.XLOOKUP($A253,Input_Raw!$A:$A,Input_Raw!$DA:$DA),"")</f>
        <v/>
      </c>
      <c r="AA253" s="107" t="str">
        <f t="shared" si="21"/>
        <v/>
      </c>
      <c r="AB253" s="105" t="str">
        <f>IFERROR(_xlfn.XLOOKUP($A253,Input_Raw!$A:$A,Input_Raw!$DG:$DG),"")</f>
        <v/>
      </c>
      <c r="AC253" s="125">
        <f>IFERROR(_xlfn.XLOOKUP($D253,'Modelling New'!$D:$D,'Modelling New'!$J:$J),"")</f>
        <v>4.4333333333333336</v>
      </c>
      <c r="AD253" s="107">
        <f>IFERROR(_xlfn.XLOOKUP($D253,'Modelling New'!$D:$D,'Modelling New'!$T:$T)*1000,"")</f>
        <v>183922.41431383044</v>
      </c>
      <c r="AE253" s="124"/>
      <c r="AF253" s="124">
        <f>IFERROR(_xlfn.XLOOKUP($D253,'Modelling New'!$D:$D,'Modelling New'!$W:$W),"")</f>
        <v>9.8249152945422247E-2</v>
      </c>
      <c r="AG253" s="124">
        <f>IFERROR(_xlfn.XLOOKUP($D253,'Modelling New'!$D:$D,'Modelling New'!$AE:$AE),"")</f>
        <v>0.96029999999999993</v>
      </c>
      <c r="AH253" s="124">
        <f>IFERROR(_xlfn.XLOOKUP($D253,'Modelling New'!$D:$D,'Modelling New'!$AF:$AF),"")</f>
        <v>0.995</v>
      </c>
      <c r="AI253" s="105" t="str">
        <f>IFERROR(_xlfn.XLOOKUP($A253,Input_Raw!$A:$A,Input_Raw!$DE:$DE),"")</f>
        <v/>
      </c>
      <c r="AJ253" s="105"/>
      <c r="AK253" s="105"/>
      <c r="AL253" s="105"/>
      <c r="AM253" s="105"/>
      <c r="AN253" s="126" t="str">
        <f>IFERROR(_xlfn.XLOOKUP($A253,Input_Raw!$A:$A,Input_Raw!$DB:$DB),"")</f>
        <v/>
      </c>
      <c r="AO253" s="124" t="str">
        <f>IFERROR((_xlfn.XLOOKUP($A253,'WTG Reactive Power'!$A:$A,'WTG Reactive Power'!$AR:$AR))/X253/1000,"")</f>
        <v/>
      </c>
      <c r="AP253" s="124">
        <f>IFERROR(_xlfn.XLOOKUP($D253,'Modelling New'!$D:$D,'Modelling New'!$AK:$AK),"")</f>
        <v>0.05</v>
      </c>
      <c r="AQ253" s="124">
        <f>IFERROR(_xlfn.XLOOKUP($D253,'Modelling New'!$D:$D,'Modelling New'!$AL:$AL),"")</f>
        <v>0.05</v>
      </c>
      <c r="AR253">
        <f>IFERROR(_xlfn.XLOOKUP($D253,'Modelling New'!$D:$D,'Modelling New'!$N:$N),"")</f>
        <v>78</v>
      </c>
    </row>
    <row r="254" spans="1:44">
      <c r="A254" s="118">
        <f t="shared" si="22"/>
        <v>45997</v>
      </c>
      <c r="B254" s="107">
        <f>YEAR(Table13[[#This Row],[Date]])+IF(MONTH(Table13[[#This Row],[Date]])&gt;=4,1,0)</f>
        <v>2026</v>
      </c>
      <c r="C254" s="105">
        <f>YEAR(Table13[[#This Row],[Date]])</f>
        <v>2025</v>
      </c>
      <c r="D254" s="119">
        <f>Table13[[#This Row],[Date]]-DAY(Table13[[#This Row],[Date]])+1</f>
        <v>45992</v>
      </c>
      <c r="E254" s="105">
        <f t="shared" si="19"/>
        <v>31</v>
      </c>
      <c r="F254" s="108"/>
      <c r="G254" s="109"/>
      <c r="H254" s="109"/>
      <c r="I254" s="109"/>
      <c r="J254" s="109"/>
      <c r="K254" s="120"/>
      <c r="L254" s="109"/>
      <c r="M254" s="109" t="str">
        <f>IFERROR(_xlfn.XLOOKUP($A254,Input_Raw!$A:$A,Input_Raw!CG:CG),"")</f>
        <v/>
      </c>
      <c r="N254" s="109" t="str">
        <f>IFERROR(_xlfn.XLOOKUP($A254,Input_Raw!$A:$A,Input_Raw!CH:CH),"")</f>
        <v/>
      </c>
      <c r="O254" s="121" t="str">
        <f t="shared" si="20"/>
        <v/>
      </c>
      <c r="P254" s="121" t="str">
        <f>IFERROR(1-SUMIF(WTG_BD!$F:$F,$A254,WTG_BD!$AA:$AA)/($AA254+SUMIF(WTG_BD!$F:$F,$A254,WTG_BD!$AA:$AA)),"")</f>
        <v/>
      </c>
      <c r="Q254" s="122" t="str">
        <f>IFERROR(1-SUMIF(IGA_BD!$F:$F,$A254,IGA_BD!$V:$V)/($AA254+SUMIF(IGA_BD!$F:$F,$A254,IGA_BD!$V:$V)),"")</f>
        <v/>
      </c>
      <c r="R254" s="127" t="str">
        <f>IFERROR(1-SUMIF(Grid_BD!$F:$F,$A254,Grid_BD!$X:$X)/($AA254+SUMIF(Grid_BD!$F:$F,$A254,Grid_BD!$X:$X)),"")</f>
        <v/>
      </c>
      <c r="S254" s="105"/>
      <c r="T254" s="122"/>
      <c r="U254" s="123"/>
      <c r="V254" s="105"/>
      <c r="W254" s="124" t="str">
        <f>IFERROR(Table13[[#This Row],[Mtr_Net_Exp (KWh)]]/(24*AR254*1000),"")</f>
        <v/>
      </c>
      <c r="X254" s="105" t="str">
        <f>IFERROR(_xlfn.XLOOKUP($A254,Input_Raw!$A:$A,Input_Raw!$CF:$CF),"")</f>
        <v/>
      </c>
      <c r="Y254" s="105" t="str">
        <f>IFERROR(_xlfn.XLOOKUP($A254,Input_Raw!$A:$A,Input_Raw!$CZ:$CZ),"")</f>
        <v/>
      </c>
      <c r="Z254" s="105" t="str">
        <f>IFERROR(_xlfn.XLOOKUP($A254,Input_Raw!$A:$A,Input_Raw!$DA:$DA),"")</f>
        <v/>
      </c>
      <c r="AA254" s="107" t="str">
        <f t="shared" si="21"/>
        <v/>
      </c>
      <c r="AB254" s="105" t="str">
        <f>IFERROR(_xlfn.XLOOKUP($A254,Input_Raw!$A:$A,Input_Raw!$DG:$DG),"")</f>
        <v/>
      </c>
      <c r="AC254" s="125">
        <f>IFERROR(_xlfn.XLOOKUP($D254,'Modelling New'!$D:$D,'Modelling New'!$J:$J),"")</f>
        <v>4.4333333333333336</v>
      </c>
      <c r="AD254" s="107">
        <f>IFERROR(_xlfn.XLOOKUP($D254,'Modelling New'!$D:$D,'Modelling New'!$T:$T)*1000,"")</f>
        <v>183922.41431383044</v>
      </c>
      <c r="AE254" s="124"/>
      <c r="AF254" s="124">
        <f>IFERROR(_xlfn.XLOOKUP($D254,'Modelling New'!$D:$D,'Modelling New'!$W:$W),"")</f>
        <v>9.8249152945422247E-2</v>
      </c>
      <c r="AG254" s="124">
        <f>IFERROR(_xlfn.XLOOKUP($D254,'Modelling New'!$D:$D,'Modelling New'!$AE:$AE),"")</f>
        <v>0.96029999999999993</v>
      </c>
      <c r="AH254" s="124">
        <f>IFERROR(_xlfn.XLOOKUP($D254,'Modelling New'!$D:$D,'Modelling New'!$AF:$AF),"")</f>
        <v>0.995</v>
      </c>
      <c r="AI254" s="105" t="str">
        <f>IFERROR(_xlfn.XLOOKUP($A254,Input_Raw!$A:$A,Input_Raw!$DE:$DE),"")</f>
        <v/>
      </c>
      <c r="AJ254" s="105"/>
      <c r="AK254" s="105"/>
      <c r="AL254" s="105"/>
      <c r="AM254" s="105"/>
      <c r="AN254" s="126" t="str">
        <f>IFERROR(_xlfn.XLOOKUP($A254,Input_Raw!$A:$A,Input_Raw!$DB:$DB),"")</f>
        <v/>
      </c>
      <c r="AO254" s="124" t="str">
        <f>IFERROR((_xlfn.XLOOKUP($A254,'WTG Reactive Power'!$A:$A,'WTG Reactive Power'!$AR:$AR))/X254/1000,"")</f>
        <v/>
      </c>
      <c r="AP254" s="124">
        <f>IFERROR(_xlfn.XLOOKUP($D254,'Modelling New'!$D:$D,'Modelling New'!$AK:$AK),"")</f>
        <v>0.05</v>
      </c>
      <c r="AQ254" s="124">
        <f>IFERROR(_xlfn.XLOOKUP($D254,'Modelling New'!$D:$D,'Modelling New'!$AL:$AL),"")</f>
        <v>0.05</v>
      </c>
      <c r="AR254">
        <f>IFERROR(_xlfn.XLOOKUP($D254,'Modelling New'!$D:$D,'Modelling New'!$N:$N),"")</f>
        <v>78</v>
      </c>
    </row>
    <row r="255" spans="1:44">
      <c r="A255" s="118">
        <f t="shared" si="22"/>
        <v>45998</v>
      </c>
      <c r="B255" s="107">
        <f>YEAR(Table13[[#This Row],[Date]])+IF(MONTH(Table13[[#This Row],[Date]])&gt;=4,1,0)</f>
        <v>2026</v>
      </c>
      <c r="C255" s="105">
        <f>YEAR(Table13[[#This Row],[Date]])</f>
        <v>2025</v>
      </c>
      <c r="D255" s="119">
        <f>Table13[[#This Row],[Date]]-DAY(Table13[[#This Row],[Date]])+1</f>
        <v>45992</v>
      </c>
      <c r="E255" s="105">
        <f t="shared" ref="E255:E260" si="23">DAY(EOMONTH(A255,0))</f>
        <v>31</v>
      </c>
      <c r="F255" s="108"/>
      <c r="G255" s="109"/>
      <c r="H255" s="109"/>
      <c r="I255" s="109"/>
      <c r="J255" s="109"/>
      <c r="K255" s="120"/>
      <c r="L255" s="109"/>
      <c r="M255" s="109" t="str">
        <f>IFERROR(_xlfn.XLOOKUP($A255,Input_Raw!$A:$A,Input_Raw!CG:CG),"")</f>
        <v/>
      </c>
      <c r="N255" s="109" t="str">
        <f>IFERROR(_xlfn.XLOOKUP($A255,Input_Raw!$A:$A,Input_Raw!CH:CH),"")</f>
        <v/>
      </c>
      <c r="O255" s="121" t="str">
        <f t="shared" ref="O255:O260" si="24">IFERROR(P255*Q255,"")</f>
        <v/>
      </c>
      <c r="P255" s="121" t="str">
        <f>IFERROR(1-SUMIF(WTG_BD!$F:$F,$A255,WTG_BD!$AA:$AA)/($AA255+SUMIF(WTG_BD!$F:$F,$A255,WTG_BD!$AA:$AA)),"")</f>
        <v/>
      </c>
      <c r="Q255" s="122" t="str">
        <f>IFERROR(1-SUMIF(IGA_BD!$F:$F,$A255,IGA_BD!$V:$V)/($AA255+SUMIF(IGA_BD!$F:$F,$A255,IGA_BD!$V:$V)),"")</f>
        <v/>
      </c>
      <c r="R255" s="127" t="str">
        <f>IFERROR(1-SUMIF(Grid_BD!$F:$F,$A255,Grid_BD!$X:$X)/($AA255+SUMIF(Grid_BD!$F:$F,$A255,Grid_BD!$X:$X)),"")</f>
        <v/>
      </c>
      <c r="S255" s="105"/>
      <c r="T255" s="122"/>
      <c r="U255" s="123"/>
      <c r="V255" s="105"/>
      <c r="W255" s="124" t="str">
        <f>IFERROR(Table13[[#This Row],[Mtr_Net_Exp (KWh)]]/(24*AR255*1000),"")</f>
        <v/>
      </c>
      <c r="X255" s="105" t="str">
        <f>IFERROR(_xlfn.XLOOKUP($A255,Input_Raw!$A:$A,Input_Raw!$CF:$CF),"")</f>
        <v/>
      </c>
      <c r="Y255" s="105" t="str">
        <f>IFERROR(_xlfn.XLOOKUP($A255,Input_Raw!$A:$A,Input_Raw!$CZ:$CZ),"")</f>
        <v/>
      </c>
      <c r="Z255" s="105" t="str">
        <f>IFERROR(_xlfn.XLOOKUP($A255,Input_Raw!$A:$A,Input_Raw!$DA:$DA),"")</f>
        <v/>
      </c>
      <c r="AA255" s="107" t="str">
        <f t="shared" ref="AA255:AA260" si="25">IFERROR(Y255-Z255,"")</f>
        <v/>
      </c>
      <c r="AB255" s="105" t="str">
        <f>IFERROR(_xlfn.XLOOKUP($A255,Input_Raw!$A:$A,Input_Raw!$DG:$DG),"")</f>
        <v/>
      </c>
      <c r="AC255" s="125">
        <f>IFERROR(_xlfn.XLOOKUP($D255,'Modelling New'!$D:$D,'Modelling New'!$J:$J),"")</f>
        <v>4.4333333333333336</v>
      </c>
      <c r="AD255" s="107">
        <f>IFERROR(_xlfn.XLOOKUP($D255,'Modelling New'!$D:$D,'Modelling New'!$T:$T)*1000,"")</f>
        <v>183922.41431383044</v>
      </c>
      <c r="AE255" s="124"/>
      <c r="AF255" s="124">
        <f>IFERROR(_xlfn.XLOOKUP($D255,'Modelling New'!$D:$D,'Modelling New'!$W:$W),"")</f>
        <v>9.8249152945422247E-2</v>
      </c>
      <c r="AG255" s="124">
        <f>IFERROR(_xlfn.XLOOKUP($D255,'Modelling New'!$D:$D,'Modelling New'!$AE:$AE),"")</f>
        <v>0.96029999999999993</v>
      </c>
      <c r="AH255" s="124">
        <f>IFERROR(_xlfn.XLOOKUP($D255,'Modelling New'!$D:$D,'Modelling New'!$AF:$AF),"")</f>
        <v>0.995</v>
      </c>
      <c r="AI255" s="105" t="str">
        <f>IFERROR(_xlfn.XLOOKUP($A255,Input_Raw!$A:$A,Input_Raw!$DE:$DE),"")</f>
        <v/>
      </c>
      <c r="AJ255" s="105"/>
      <c r="AK255" s="105"/>
      <c r="AL255" s="105"/>
      <c r="AM255" s="105"/>
      <c r="AN255" s="126" t="str">
        <f>IFERROR(_xlfn.XLOOKUP($A255,Input_Raw!$A:$A,Input_Raw!$DB:$DB),"")</f>
        <v/>
      </c>
      <c r="AO255" s="124" t="str">
        <f>IFERROR((_xlfn.XLOOKUP($A255,'WTG Reactive Power'!$A:$A,'WTG Reactive Power'!$AR:$AR))/X255/1000,"")</f>
        <v/>
      </c>
      <c r="AP255" s="124">
        <f>IFERROR(_xlfn.XLOOKUP($D255,'Modelling New'!$D:$D,'Modelling New'!$AK:$AK),"")</f>
        <v>0.05</v>
      </c>
      <c r="AQ255" s="124">
        <f>IFERROR(_xlfn.XLOOKUP($D255,'Modelling New'!$D:$D,'Modelling New'!$AL:$AL),"")</f>
        <v>0.05</v>
      </c>
      <c r="AR255">
        <f>IFERROR(_xlfn.XLOOKUP($D255,'Modelling New'!$D:$D,'Modelling New'!$N:$N),"")</f>
        <v>78</v>
      </c>
    </row>
    <row r="256" spans="1:44">
      <c r="A256" s="118">
        <f t="shared" si="22"/>
        <v>45999</v>
      </c>
      <c r="B256" s="107">
        <f>YEAR(Table13[[#This Row],[Date]])+IF(MONTH(Table13[[#This Row],[Date]])&gt;=4,1,0)</f>
        <v>2026</v>
      </c>
      <c r="C256" s="105">
        <f>YEAR(Table13[[#This Row],[Date]])</f>
        <v>2025</v>
      </c>
      <c r="D256" s="119">
        <f>Table13[[#This Row],[Date]]-DAY(Table13[[#This Row],[Date]])+1</f>
        <v>45992</v>
      </c>
      <c r="E256" s="105">
        <f t="shared" si="23"/>
        <v>31</v>
      </c>
      <c r="F256" s="108"/>
      <c r="G256" s="109"/>
      <c r="H256" s="109"/>
      <c r="I256" s="109"/>
      <c r="J256" s="109"/>
      <c r="K256" s="120"/>
      <c r="L256" s="109"/>
      <c r="M256" s="109" t="str">
        <f>IFERROR(_xlfn.XLOOKUP($A256,Input_Raw!$A:$A,Input_Raw!CG:CG),"")</f>
        <v/>
      </c>
      <c r="N256" s="109" t="str">
        <f>IFERROR(_xlfn.XLOOKUP($A256,Input_Raw!$A:$A,Input_Raw!CH:CH),"")</f>
        <v/>
      </c>
      <c r="O256" s="121" t="str">
        <f t="shared" si="24"/>
        <v/>
      </c>
      <c r="P256" s="121" t="str">
        <f>IFERROR(1-SUMIF(WTG_BD!$F:$F,$A256,WTG_BD!$AA:$AA)/($AA256+SUMIF(WTG_BD!$F:$F,$A256,WTG_BD!$AA:$AA)),"")</f>
        <v/>
      </c>
      <c r="Q256" s="122" t="str">
        <f>IFERROR(1-SUMIF(IGA_BD!$F:$F,$A256,IGA_BD!$V:$V)/($AA256+SUMIF(IGA_BD!$F:$F,$A256,IGA_BD!$V:$V)),"")</f>
        <v/>
      </c>
      <c r="R256" s="127" t="str">
        <f>IFERROR(1-SUMIF(Grid_BD!$F:$F,$A256,Grid_BD!$X:$X)/($AA256+SUMIF(Grid_BD!$F:$F,$A256,Grid_BD!$X:$X)),"")</f>
        <v/>
      </c>
      <c r="S256" s="105"/>
      <c r="T256" s="122"/>
      <c r="U256" s="123"/>
      <c r="V256" s="105"/>
      <c r="W256" s="124" t="str">
        <f>IFERROR(Table13[[#This Row],[Mtr_Net_Exp (KWh)]]/(24*AR256*1000),"")</f>
        <v/>
      </c>
      <c r="X256" s="105" t="str">
        <f>IFERROR(_xlfn.XLOOKUP($A256,Input_Raw!$A:$A,Input_Raw!$CF:$CF),"")</f>
        <v/>
      </c>
      <c r="Y256" s="105" t="str">
        <f>IFERROR(_xlfn.XLOOKUP($A256,Input_Raw!$A:$A,Input_Raw!$CZ:$CZ),"")</f>
        <v/>
      </c>
      <c r="Z256" s="105" t="str">
        <f>IFERROR(_xlfn.XLOOKUP($A256,Input_Raw!$A:$A,Input_Raw!$DA:$DA),"")</f>
        <v/>
      </c>
      <c r="AA256" s="107" t="str">
        <f t="shared" si="25"/>
        <v/>
      </c>
      <c r="AB256" s="105" t="str">
        <f>IFERROR(_xlfn.XLOOKUP($A256,Input_Raw!$A:$A,Input_Raw!$DG:$DG),"")</f>
        <v/>
      </c>
      <c r="AC256" s="125">
        <f>IFERROR(_xlfn.XLOOKUP($D256,'Modelling New'!$D:$D,'Modelling New'!$J:$J),"")</f>
        <v>4.4333333333333336</v>
      </c>
      <c r="AD256" s="107">
        <f>IFERROR(_xlfn.XLOOKUP($D256,'Modelling New'!$D:$D,'Modelling New'!$T:$T)*1000,"")</f>
        <v>183922.41431383044</v>
      </c>
      <c r="AE256" s="124"/>
      <c r="AF256" s="124">
        <f>IFERROR(_xlfn.XLOOKUP($D256,'Modelling New'!$D:$D,'Modelling New'!$W:$W),"")</f>
        <v>9.8249152945422247E-2</v>
      </c>
      <c r="AG256" s="124">
        <f>IFERROR(_xlfn.XLOOKUP($D256,'Modelling New'!$D:$D,'Modelling New'!$AE:$AE),"")</f>
        <v>0.96029999999999993</v>
      </c>
      <c r="AH256" s="124">
        <f>IFERROR(_xlfn.XLOOKUP($D256,'Modelling New'!$D:$D,'Modelling New'!$AF:$AF),"")</f>
        <v>0.995</v>
      </c>
      <c r="AI256" s="105" t="str">
        <f>IFERROR(_xlfn.XLOOKUP($A256,Input_Raw!$A:$A,Input_Raw!$DE:$DE),"")</f>
        <v/>
      </c>
      <c r="AJ256" s="105"/>
      <c r="AK256" s="105"/>
      <c r="AL256" s="105"/>
      <c r="AM256" s="105"/>
      <c r="AN256" s="126" t="str">
        <f>IFERROR(_xlfn.XLOOKUP($A256,Input_Raw!$A:$A,Input_Raw!$DB:$DB),"")</f>
        <v/>
      </c>
      <c r="AO256" s="124" t="str">
        <f>IFERROR((_xlfn.XLOOKUP($A256,'WTG Reactive Power'!$A:$A,'WTG Reactive Power'!$AR:$AR))/X256/1000,"")</f>
        <v/>
      </c>
      <c r="AP256" s="124">
        <f>IFERROR(_xlfn.XLOOKUP($D256,'Modelling New'!$D:$D,'Modelling New'!$AK:$AK),"")</f>
        <v>0.05</v>
      </c>
      <c r="AQ256" s="124">
        <f>IFERROR(_xlfn.XLOOKUP($D256,'Modelling New'!$D:$D,'Modelling New'!$AL:$AL),"")</f>
        <v>0.05</v>
      </c>
      <c r="AR256">
        <f>IFERROR(_xlfn.XLOOKUP($D256,'Modelling New'!$D:$D,'Modelling New'!$N:$N),"")</f>
        <v>78</v>
      </c>
    </row>
    <row r="257" spans="1:44">
      <c r="A257" s="118">
        <f t="shared" si="22"/>
        <v>46000</v>
      </c>
      <c r="B257" s="107">
        <f>YEAR(Table13[[#This Row],[Date]])+IF(MONTH(Table13[[#This Row],[Date]])&gt;=4,1,0)</f>
        <v>2026</v>
      </c>
      <c r="C257" s="105">
        <f>YEAR(Table13[[#This Row],[Date]])</f>
        <v>2025</v>
      </c>
      <c r="D257" s="119">
        <f>Table13[[#This Row],[Date]]-DAY(Table13[[#This Row],[Date]])+1</f>
        <v>45992</v>
      </c>
      <c r="E257" s="105">
        <f t="shared" si="23"/>
        <v>31</v>
      </c>
      <c r="F257" s="108"/>
      <c r="G257" s="109"/>
      <c r="H257" s="109"/>
      <c r="I257" s="109"/>
      <c r="J257" s="109"/>
      <c r="K257" s="120"/>
      <c r="L257" s="109"/>
      <c r="M257" s="109" t="str">
        <f>IFERROR(_xlfn.XLOOKUP($A257,Input_Raw!$A:$A,Input_Raw!CG:CG),"")</f>
        <v/>
      </c>
      <c r="N257" s="109" t="str">
        <f>IFERROR(_xlfn.XLOOKUP($A257,Input_Raw!$A:$A,Input_Raw!CH:CH),"")</f>
        <v/>
      </c>
      <c r="O257" s="121" t="str">
        <f t="shared" si="24"/>
        <v/>
      </c>
      <c r="P257" s="121" t="str">
        <f>IFERROR(1-SUMIF(WTG_BD!$F:$F,$A257,WTG_BD!$AA:$AA)/($AA257+SUMIF(WTG_BD!$F:$F,$A257,WTG_BD!$AA:$AA)),"")</f>
        <v/>
      </c>
      <c r="Q257" s="122" t="str">
        <f>IFERROR(1-SUMIF(IGA_BD!$F:$F,$A257,IGA_BD!$V:$V)/($AA257+SUMIF(IGA_BD!$F:$F,$A257,IGA_BD!$V:$V)),"")</f>
        <v/>
      </c>
      <c r="R257" s="127" t="str">
        <f>IFERROR(1-SUMIF(Grid_BD!$F:$F,$A257,Grid_BD!$X:$X)/($AA257+SUMIF(Grid_BD!$F:$F,$A257,Grid_BD!$X:$X)),"")</f>
        <v/>
      </c>
      <c r="S257" s="105"/>
      <c r="T257" s="122"/>
      <c r="U257" s="123"/>
      <c r="V257" s="105"/>
      <c r="W257" s="124" t="str">
        <f>IFERROR(Table13[[#This Row],[Mtr_Net_Exp (KWh)]]/(24*AR257*1000),"")</f>
        <v/>
      </c>
      <c r="X257" s="105" t="str">
        <f>IFERROR(_xlfn.XLOOKUP($A257,Input_Raw!$A:$A,Input_Raw!$CF:$CF),"")</f>
        <v/>
      </c>
      <c r="Y257" s="105" t="str">
        <f>IFERROR(_xlfn.XLOOKUP($A257,Input_Raw!$A:$A,Input_Raw!$CZ:$CZ),"")</f>
        <v/>
      </c>
      <c r="Z257" s="105" t="str">
        <f>IFERROR(_xlfn.XLOOKUP($A257,Input_Raw!$A:$A,Input_Raw!$DA:$DA),"")</f>
        <v/>
      </c>
      <c r="AA257" s="107" t="str">
        <f t="shared" si="25"/>
        <v/>
      </c>
      <c r="AB257" s="105" t="str">
        <f>IFERROR(_xlfn.XLOOKUP($A257,Input_Raw!$A:$A,Input_Raw!$DG:$DG),"")</f>
        <v/>
      </c>
      <c r="AC257" s="125">
        <f>IFERROR(_xlfn.XLOOKUP($D257,'Modelling New'!$D:$D,'Modelling New'!$J:$J),"")</f>
        <v>4.4333333333333336</v>
      </c>
      <c r="AD257" s="107">
        <f>IFERROR(_xlfn.XLOOKUP($D257,'Modelling New'!$D:$D,'Modelling New'!$T:$T)*1000,"")</f>
        <v>183922.41431383044</v>
      </c>
      <c r="AE257" s="124"/>
      <c r="AF257" s="124">
        <f>IFERROR(_xlfn.XLOOKUP($D257,'Modelling New'!$D:$D,'Modelling New'!$W:$W),"")</f>
        <v>9.8249152945422247E-2</v>
      </c>
      <c r="AG257" s="124">
        <f>IFERROR(_xlfn.XLOOKUP($D257,'Modelling New'!$D:$D,'Modelling New'!$AE:$AE),"")</f>
        <v>0.96029999999999993</v>
      </c>
      <c r="AH257" s="124">
        <f>IFERROR(_xlfn.XLOOKUP($D257,'Modelling New'!$D:$D,'Modelling New'!$AF:$AF),"")</f>
        <v>0.995</v>
      </c>
      <c r="AI257" s="105" t="str">
        <f>IFERROR(_xlfn.XLOOKUP($A257,Input_Raw!$A:$A,Input_Raw!$DE:$DE),"")</f>
        <v/>
      </c>
      <c r="AJ257" s="105"/>
      <c r="AK257" s="105"/>
      <c r="AL257" s="105"/>
      <c r="AM257" s="105"/>
      <c r="AN257" s="126" t="str">
        <f>IFERROR(_xlfn.XLOOKUP($A257,Input_Raw!$A:$A,Input_Raw!$DB:$DB),"")</f>
        <v/>
      </c>
      <c r="AO257" s="124" t="str">
        <f>IFERROR((_xlfn.XLOOKUP($A257,'WTG Reactive Power'!$A:$A,'WTG Reactive Power'!$AR:$AR))/X257/1000,"")</f>
        <v/>
      </c>
      <c r="AP257" s="124">
        <f>IFERROR(_xlfn.XLOOKUP($D257,'Modelling New'!$D:$D,'Modelling New'!$AK:$AK),"")</f>
        <v>0.05</v>
      </c>
      <c r="AQ257" s="124">
        <f>IFERROR(_xlfn.XLOOKUP($D257,'Modelling New'!$D:$D,'Modelling New'!$AL:$AL),"")</f>
        <v>0.05</v>
      </c>
      <c r="AR257">
        <f>IFERROR(_xlfn.XLOOKUP($D257,'Modelling New'!$D:$D,'Modelling New'!$N:$N),"")</f>
        <v>78</v>
      </c>
    </row>
    <row r="258" spans="1:44">
      <c r="A258" s="118">
        <f t="shared" si="22"/>
        <v>46001</v>
      </c>
      <c r="B258" s="107">
        <f>YEAR(Table13[[#This Row],[Date]])+IF(MONTH(Table13[[#This Row],[Date]])&gt;=4,1,0)</f>
        <v>2026</v>
      </c>
      <c r="C258" s="105">
        <f>YEAR(Table13[[#This Row],[Date]])</f>
        <v>2025</v>
      </c>
      <c r="D258" s="119">
        <f>Table13[[#This Row],[Date]]-DAY(Table13[[#This Row],[Date]])+1</f>
        <v>45992</v>
      </c>
      <c r="E258" s="105">
        <f t="shared" si="23"/>
        <v>31</v>
      </c>
      <c r="F258" s="108"/>
      <c r="G258" s="109"/>
      <c r="H258" s="109"/>
      <c r="I258" s="109"/>
      <c r="J258" s="109"/>
      <c r="K258" s="120"/>
      <c r="L258" s="109"/>
      <c r="M258" s="109" t="str">
        <f>IFERROR(_xlfn.XLOOKUP($A258,Input_Raw!$A:$A,Input_Raw!CG:CG),"")</f>
        <v/>
      </c>
      <c r="N258" s="109" t="str">
        <f>IFERROR(_xlfn.XLOOKUP($A258,Input_Raw!$A:$A,Input_Raw!CH:CH),"")</f>
        <v/>
      </c>
      <c r="O258" s="121" t="str">
        <f t="shared" si="24"/>
        <v/>
      </c>
      <c r="P258" s="121" t="str">
        <f>IFERROR(1-SUMIF(WTG_BD!$F:$F,$A258,WTG_BD!$AA:$AA)/($AA258+SUMIF(WTG_BD!$F:$F,$A258,WTG_BD!$AA:$AA)),"")</f>
        <v/>
      </c>
      <c r="Q258" s="122" t="str">
        <f>IFERROR(1-SUMIF(IGA_BD!$F:$F,$A258,IGA_BD!$V:$V)/($AA258+SUMIF(IGA_BD!$F:$F,$A258,IGA_BD!$V:$V)),"")</f>
        <v/>
      </c>
      <c r="R258" s="127" t="str">
        <f>IFERROR(1-SUMIF(Grid_BD!$F:$F,$A258,Grid_BD!$X:$X)/($AA258+SUMIF(Grid_BD!$F:$F,$A258,Grid_BD!$X:$X)),"")</f>
        <v/>
      </c>
      <c r="S258" s="105"/>
      <c r="T258" s="122"/>
      <c r="U258" s="123"/>
      <c r="V258" s="105"/>
      <c r="W258" s="124" t="str">
        <f>IFERROR(Table13[[#This Row],[Mtr_Net_Exp (KWh)]]/(24*AR258*1000),"")</f>
        <v/>
      </c>
      <c r="X258" s="105" t="str">
        <f>IFERROR(_xlfn.XLOOKUP($A258,Input_Raw!$A:$A,Input_Raw!$CF:$CF),"")</f>
        <v/>
      </c>
      <c r="Y258" s="105" t="str">
        <f>IFERROR(_xlfn.XLOOKUP($A258,Input_Raw!$A:$A,Input_Raw!$CZ:$CZ),"")</f>
        <v/>
      </c>
      <c r="Z258" s="105" t="str">
        <f>IFERROR(_xlfn.XLOOKUP($A258,Input_Raw!$A:$A,Input_Raw!$DA:$DA),"")</f>
        <v/>
      </c>
      <c r="AA258" s="107" t="str">
        <f t="shared" si="25"/>
        <v/>
      </c>
      <c r="AB258" s="105" t="str">
        <f>IFERROR(_xlfn.XLOOKUP($A258,Input_Raw!$A:$A,Input_Raw!$DG:$DG),"")</f>
        <v/>
      </c>
      <c r="AC258" s="125">
        <f>IFERROR(_xlfn.XLOOKUP($D258,'Modelling New'!$D:$D,'Modelling New'!$J:$J),"")</f>
        <v>4.4333333333333336</v>
      </c>
      <c r="AD258" s="107">
        <f>IFERROR(_xlfn.XLOOKUP($D258,'Modelling New'!$D:$D,'Modelling New'!$T:$T)*1000,"")</f>
        <v>183922.41431383044</v>
      </c>
      <c r="AE258" s="124"/>
      <c r="AF258" s="124">
        <f>IFERROR(_xlfn.XLOOKUP($D258,'Modelling New'!$D:$D,'Modelling New'!$W:$W),"")</f>
        <v>9.8249152945422247E-2</v>
      </c>
      <c r="AG258" s="124">
        <f>IFERROR(_xlfn.XLOOKUP($D258,'Modelling New'!$D:$D,'Modelling New'!$AE:$AE),"")</f>
        <v>0.96029999999999993</v>
      </c>
      <c r="AH258" s="124">
        <f>IFERROR(_xlfn.XLOOKUP($D258,'Modelling New'!$D:$D,'Modelling New'!$AF:$AF),"")</f>
        <v>0.995</v>
      </c>
      <c r="AI258" s="105" t="str">
        <f>IFERROR(_xlfn.XLOOKUP($A258,Input_Raw!$A:$A,Input_Raw!$DE:$DE),"")</f>
        <v/>
      </c>
      <c r="AJ258" s="105"/>
      <c r="AK258" s="105"/>
      <c r="AL258" s="105"/>
      <c r="AM258" s="105"/>
      <c r="AN258" s="126" t="str">
        <f>IFERROR(_xlfn.XLOOKUP($A258,Input_Raw!$A:$A,Input_Raw!$DB:$DB),"")</f>
        <v/>
      </c>
      <c r="AO258" s="124" t="str">
        <f>IFERROR((_xlfn.XLOOKUP($A258,'WTG Reactive Power'!$A:$A,'WTG Reactive Power'!$AR:$AR))/X258/1000,"")</f>
        <v/>
      </c>
      <c r="AP258" s="124">
        <f>IFERROR(_xlfn.XLOOKUP($D258,'Modelling New'!$D:$D,'Modelling New'!$AK:$AK),"")</f>
        <v>0.05</v>
      </c>
      <c r="AQ258" s="124">
        <f>IFERROR(_xlfn.XLOOKUP($D258,'Modelling New'!$D:$D,'Modelling New'!$AL:$AL),"")</f>
        <v>0.05</v>
      </c>
      <c r="AR258">
        <f>IFERROR(_xlfn.XLOOKUP($D258,'Modelling New'!$D:$D,'Modelling New'!$N:$N),"")</f>
        <v>78</v>
      </c>
    </row>
    <row r="259" spans="1:44">
      <c r="A259" s="118">
        <f t="shared" si="22"/>
        <v>46002</v>
      </c>
      <c r="B259" s="107">
        <f>YEAR(Table13[[#This Row],[Date]])+IF(MONTH(Table13[[#This Row],[Date]])&gt;=4,1,0)</f>
        <v>2026</v>
      </c>
      <c r="C259" s="105">
        <f>YEAR(Table13[[#This Row],[Date]])</f>
        <v>2025</v>
      </c>
      <c r="D259" s="119">
        <f>Table13[[#This Row],[Date]]-DAY(Table13[[#This Row],[Date]])+1</f>
        <v>45992</v>
      </c>
      <c r="E259" s="105">
        <f t="shared" si="23"/>
        <v>31</v>
      </c>
      <c r="F259" s="108"/>
      <c r="G259" s="109"/>
      <c r="H259" s="109"/>
      <c r="I259" s="109"/>
      <c r="J259" s="109"/>
      <c r="K259" s="120"/>
      <c r="L259" s="109"/>
      <c r="M259" s="109" t="str">
        <f>IFERROR(_xlfn.XLOOKUP($A259,Input_Raw!$A:$A,Input_Raw!CG:CG),"")</f>
        <v/>
      </c>
      <c r="N259" s="109" t="str">
        <f>IFERROR(_xlfn.XLOOKUP($A259,Input_Raw!$A:$A,Input_Raw!CH:CH),"")</f>
        <v/>
      </c>
      <c r="O259" s="121" t="str">
        <f t="shared" si="24"/>
        <v/>
      </c>
      <c r="P259" s="121" t="str">
        <f>IFERROR(1-SUMIF(WTG_BD!$F:$F,$A259,WTG_BD!$AA:$AA)/($AA259+SUMIF(WTG_BD!$F:$F,$A259,WTG_BD!$AA:$AA)),"")</f>
        <v/>
      </c>
      <c r="Q259" s="122" t="str">
        <f>IFERROR(1-SUMIF(IGA_BD!$F:$F,$A259,IGA_BD!$V:$V)/($AA259+SUMIF(IGA_BD!$F:$F,$A259,IGA_BD!$V:$V)),"")</f>
        <v/>
      </c>
      <c r="R259" s="127" t="str">
        <f>IFERROR(1-SUMIF(Grid_BD!$F:$F,$A259,Grid_BD!$X:$X)/($AA259+SUMIF(Grid_BD!$F:$F,$A259,Grid_BD!$X:$X)),"")</f>
        <v/>
      </c>
      <c r="S259" s="105"/>
      <c r="T259" s="122"/>
      <c r="U259" s="123"/>
      <c r="V259" s="105"/>
      <c r="W259" s="124" t="str">
        <f>IFERROR(Table13[[#This Row],[Mtr_Net_Exp (KWh)]]/(24*AR259*1000),"")</f>
        <v/>
      </c>
      <c r="X259" s="105" t="str">
        <f>IFERROR(_xlfn.XLOOKUP($A259,Input_Raw!$A:$A,Input_Raw!$CF:$CF),"")</f>
        <v/>
      </c>
      <c r="Y259" s="105" t="str">
        <f>IFERROR(_xlfn.XLOOKUP($A259,Input_Raw!$A:$A,Input_Raw!$CZ:$CZ),"")</f>
        <v/>
      </c>
      <c r="Z259" s="105" t="str">
        <f>IFERROR(_xlfn.XLOOKUP($A259,Input_Raw!$A:$A,Input_Raw!$DA:$DA),"")</f>
        <v/>
      </c>
      <c r="AA259" s="107" t="str">
        <f t="shared" si="25"/>
        <v/>
      </c>
      <c r="AB259" s="105" t="str">
        <f>IFERROR(_xlfn.XLOOKUP($A259,Input_Raw!$A:$A,Input_Raw!$DG:$DG),"")</f>
        <v/>
      </c>
      <c r="AC259" s="125">
        <f>IFERROR(_xlfn.XLOOKUP($D259,'Modelling New'!$D:$D,'Modelling New'!$J:$J),"")</f>
        <v>4.4333333333333336</v>
      </c>
      <c r="AD259" s="107">
        <f>IFERROR(_xlfn.XLOOKUP($D259,'Modelling New'!$D:$D,'Modelling New'!$T:$T)*1000,"")</f>
        <v>183922.41431383044</v>
      </c>
      <c r="AE259" s="124"/>
      <c r="AF259" s="124">
        <f>IFERROR(_xlfn.XLOOKUP($D259,'Modelling New'!$D:$D,'Modelling New'!$W:$W),"")</f>
        <v>9.8249152945422247E-2</v>
      </c>
      <c r="AG259" s="124">
        <f>IFERROR(_xlfn.XLOOKUP($D259,'Modelling New'!$D:$D,'Modelling New'!$AE:$AE),"")</f>
        <v>0.96029999999999993</v>
      </c>
      <c r="AH259" s="124">
        <f>IFERROR(_xlfn.XLOOKUP($D259,'Modelling New'!$D:$D,'Modelling New'!$AF:$AF),"")</f>
        <v>0.995</v>
      </c>
      <c r="AI259" s="105" t="str">
        <f>IFERROR(_xlfn.XLOOKUP($A259,Input_Raw!$A:$A,Input_Raw!$DE:$DE),"")</f>
        <v/>
      </c>
      <c r="AJ259" s="105"/>
      <c r="AK259" s="105"/>
      <c r="AL259" s="105"/>
      <c r="AM259" s="105"/>
      <c r="AN259" s="126" t="str">
        <f>IFERROR(_xlfn.XLOOKUP($A259,Input_Raw!$A:$A,Input_Raw!$DB:$DB),"")</f>
        <v/>
      </c>
      <c r="AO259" s="124" t="str">
        <f>IFERROR((_xlfn.XLOOKUP($A259,'WTG Reactive Power'!$A:$A,'WTG Reactive Power'!$AR:$AR))/X259/1000,"")</f>
        <v/>
      </c>
      <c r="AP259" s="124">
        <f>IFERROR(_xlfn.XLOOKUP($D259,'Modelling New'!$D:$D,'Modelling New'!$AK:$AK),"")</f>
        <v>0.05</v>
      </c>
      <c r="AQ259" s="124">
        <f>IFERROR(_xlfn.XLOOKUP($D259,'Modelling New'!$D:$D,'Modelling New'!$AL:$AL),"")</f>
        <v>0.05</v>
      </c>
      <c r="AR259">
        <f>IFERROR(_xlfn.XLOOKUP($D259,'Modelling New'!$D:$D,'Modelling New'!$N:$N),"")</f>
        <v>78</v>
      </c>
    </row>
    <row r="260" spans="1:44">
      <c r="A260" s="118">
        <f t="shared" si="22"/>
        <v>46003</v>
      </c>
      <c r="B260" s="107">
        <f>YEAR(Table13[[#This Row],[Date]])+IF(MONTH(Table13[[#This Row],[Date]])&gt;=4,1,0)</f>
        <v>2026</v>
      </c>
      <c r="C260" s="105">
        <f>YEAR(Table13[[#This Row],[Date]])</f>
        <v>2025</v>
      </c>
      <c r="D260" s="119">
        <f>Table13[[#This Row],[Date]]-DAY(Table13[[#This Row],[Date]])+1</f>
        <v>45992</v>
      </c>
      <c r="E260" s="105">
        <f t="shared" si="23"/>
        <v>31</v>
      </c>
      <c r="F260" s="108"/>
      <c r="G260" s="109"/>
      <c r="H260" s="109"/>
      <c r="I260" s="109"/>
      <c r="J260" s="109"/>
      <c r="K260" s="120"/>
      <c r="L260" s="109"/>
      <c r="M260" s="109" t="str">
        <f>IFERROR(_xlfn.XLOOKUP($A260,Input_Raw!$A:$A,Input_Raw!CG:CG),"")</f>
        <v/>
      </c>
      <c r="N260" s="109" t="str">
        <f>IFERROR(_xlfn.XLOOKUP($A260,Input_Raw!$A:$A,Input_Raw!CH:CH),"")</f>
        <v/>
      </c>
      <c r="O260" s="121" t="str">
        <f t="shared" si="24"/>
        <v/>
      </c>
      <c r="P260" s="121" t="str">
        <f>IFERROR(1-SUMIF(WTG_BD!$F:$F,$A260,WTG_BD!$AA:$AA)/($AA260+SUMIF(WTG_BD!$F:$F,$A260,WTG_BD!$AA:$AA)),"")</f>
        <v/>
      </c>
      <c r="Q260" s="122" t="str">
        <f>IFERROR(1-SUMIF(IGA_BD!$F:$F,$A260,IGA_BD!$V:$V)/($AA260+SUMIF(IGA_BD!$F:$F,$A260,IGA_BD!$V:$V)),"")</f>
        <v/>
      </c>
      <c r="R260" s="127" t="str">
        <f>IFERROR(1-SUMIF(Grid_BD!$F:$F,$A260,Grid_BD!$X:$X)/($AA260+SUMIF(Grid_BD!$F:$F,$A260,Grid_BD!$X:$X)),"")</f>
        <v/>
      </c>
      <c r="S260" s="105"/>
      <c r="T260" s="122"/>
      <c r="U260" s="123"/>
      <c r="V260" s="105"/>
      <c r="W260" s="124" t="str">
        <f>IFERROR(Table13[[#This Row],[Mtr_Net_Exp (KWh)]]/(24*AR260*1000),"")</f>
        <v/>
      </c>
      <c r="X260" s="105" t="str">
        <f>IFERROR(_xlfn.XLOOKUP($A260,Input_Raw!$A:$A,Input_Raw!$CF:$CF),"")</f>
        <v/>
      </c>
      <c r="Y260" s="105" t="str">
        <f>IFERROR(_xlfn.XLOOKUP($A260,Input_Raw!$A:$A,Input_Raw!$CZ:$CZ),"")</f>
        <v/>
      </c>
      <c r="Z260" s="105" t="str">
        <f>IFERROR(_xlfn.XLOOKUP($A260,Input_Raw!$A:$A,Input_Raw!$DA:$DA),"")</f>
        <v/>
      </c>
      <c r="AA260" s="107" t="str">
        <f t="shared" si="25"/>
        <v/>
      </c>
      <c r="AB260" s="105" t="str">
        <f>IFERROR(_xlfn.XLOOKUP($A260,Input_Raw!$A:$A,Input_Raw!$DG:$DG),"")</f>
        <v/>
      </c>
      <c r="AC260" s="125">
        <f>IFERROR(_xlfn.XLOOKUP($D260,'Modelling New'!$D:$D,'Modelling New'!$J:$J),"")</f>
        <v>4.4333333333333336</v>
      </c>
      <c r="AD260" s="107">
        <f>IFERROR(_xlfn.XLOOKUP($D260,'Modelling New'!$D:$D,'Modelling New'!$T:$T)*1000,"")</f>
        <v>183922.41431383044</v>
      </c>
      <c r="AE260" s="124"/>
      <c r="AF260" s="124">
        <f>IFERROR(_xlfn.XLOOKUP($D260,'Modelling New'!$D:$D,'Modelling New'!$W:$W),"")</f>
        <v>9.8249152945422247E-2</v>
      </c>
      <c r="AG260" s="124">
        <f>IFERROR(_xlfn.XLOOKUP($D260,'Modelling New'!$D:$D,'Modelling New'!$AE:$AE),"")</f>
        <v>0.96029999999999993</v>
      </c>
      <c r="AH260" s="124">
        <f>IFERROR(_xlfn.XLOOKUP($D260,'Modelling New'!$D:$D,'Modelling New'!$AF:$AF),"")</f>
        <v>0.995</v>
      </c>
      <c r="AI260" s="105" t="str">
        <f>IFERROR(_xlfn.XLOOKUP($A260,Input_Raw!$A:$A,Input_Raw!$DE:$DE),"")</f>
        <v/>
      </c>
      <c r="AJ260" s="105"/>
      <c r="AK260" s="105"/>
      <c r="AL260" s="105"/>
      <c r="AM260" s="105"/>
      <c r="AN260" s="126" t="str">
        <f>IFERROR(_xlfn.XLOOKUP($A260,Input_Raw!$A:$A,Input_Raw!$DB:$DB),"")</f>
        <v/>
      </c>
      <c r="AO260" s="124" t="str">
        <f>IFERROR((_xlfn.XLOOKUP($A260,'WTG Reactive Power'!$A:$A,'WTG Reactive Power'!$AR:$AR))/X260/1000,"")</f>
        <v/>
      </c>
      <c r="AP260" s="124">
        <f>IFERROR(_xlfn.XLOOKUP($D260,'Modelling New'!$D:$D,'Modelling New'!$AK:$AK),"")</f>
        <v>0.05</v>
      </c>
      <c r="AQ260" s="124">
        <f>IFERROR(_xlfn.XLOOKUP($D260,'Modelling New'!$D:$D,'Modelling New'!$AL:$AL),"")</f>
        <v>0.05</v>
      </c>
      <c r="AR260">
        <f>IFERROR(_xlfn.XLOOKUP($D260,'Modelling New'!$D:$D,'Modelling New'!$N:$N),"")</f>
        <v>78</v>
      </c>
    </row>
    <row r="261" spans="1:44">
      <c r="A261" s="118">
        <f t="shared" si="22"/>
        <v>46004</v>
      </c>
      <c r="B261" s="107">
        <f>YEAR(Table13[[#This Row],[Date]])+IF(MONTH(Table13[[#This Row],[Date]])&gt;=4,1,0)</f>
        <v>2026</v>
      </c>
      <c r="C261" s="105">
        <f>YEAR(Table13[[#This Row],[Date]])</f>
        <v>2025</v>
      </c>
      <c r="D261" s="119">
        <f>Table13[[#This Row],[Date]]-DAY(Table13[[#This Row],[Date]])+1</f>
        <v>45992</v>
      </c>
      <c r="E261" s="105">
        <f t="shared" ref="E261:E292" si="26">DAY(EOMONTH(A261,0))</f>
        <v>31</v>
      </c>
      <c r="F261" s="108"/>
      <c r="G261" s="109"/>
      <c r="H261" s="109"/>
      <c r="I261" s="109"/>
      <c r="J261" s="109"/>
      <c r="K261" s="120"/>
      <c r="L261" s="109"/>
      <c r="M261" s="109" t="str">
        <f>IFERROR(_xlfn.XLOOKUP($A261,Input_Raw!$A:$A,Input_Raw!CG:CG),"")</f>
        <v/>
      </c>
      <c r="N261" s="109" t="str">
        <f>IFERROR(_xlfn.XLOOKUP($A261,Input_Raw!$A:$A,Input_Raw!CH:CH),"")</f>
        <v/>
      </c>
      <c r="O261" s="121" t="str">
        <f t="shared" ref="O261:O292" si="27">IFERROR(P261*Q261,"")</f>
        <v/>
      </c>
      <c r="P261" s="121" t="str">
        <f>IFERROR(1-SUMIF(WTG_BD!$F:$F,$A261,WTG_BD!$AA:$AA)/($AA261+SUMIF(WTG_BD!$F:$F,$A261,WTG_BD!$AA:$AA)),"")</f>
        <v/>
      </c>
      <c r="Q261" s="122" t="str">
        <f>IFERROR(1-SUMIF(IGA_BD!$F:$F,$A261,IGA_BD!$V:$V)/($AA261+SUMIF(IGA_BD!$F:$F,$A261,IGA_BD!$V:$V)),"")</f>
        <v/>
      </c>
      <c r="R261" s="127" t="str">
        <f>IFERROR(1-SUMIF(Grid_BD!$F:$F,$A261,Grid_BD!$X:$X)/($AA261+SUMIF(Grid_BD!$F:$F,$A261,Grid_BD!$X:$X)),"")</f>
        <v/>
      </c>
      <c r="S261" s="105"/>
      <c r="T261" s="122"/>
      <c r="U261" s="123"/>
      <c r="V261" s="105"/>
      <c r="W261" s="124" t="str">
        <f>IFERROR(Table13[[#This Row],[Mtr_Net_Exp (KWh)]]/(24*AR261*1000),"")</f>
        <v/>
      </c>
      <c r="X261" s="105" t="str">
        <f>IFERROR(_xlfn.XLOOKUP($A261,Input_Raw!$A:$A,Input_Raw!$CF:$CF),"")</f>
        <v/>
      </c>
      <c r="Y261" s="105" t="str">
        <f>IFERROR(_xlfn.XLOOKUP($A261,Input_Raw!$A:$A,Input_Raw!$CZ:$CZ),"")</f>
        <v/>
      </c>
      <c r="Z261" s="105" t="str">
        <f>IFERROR(_xlfn.XLOOKUP($A261,Input_Raw!$A:$A,Input_Raw!$DA:$DA),"")</f>
        <v/>
      </c>
      <c r="AA261" s="107" t="str">
        <f t="shared" ref="AA261:AA292" si="28">IFERROR(Y261-Z261,"")</f>
        <v/>
      </c>
      <c r="AB261" s="105" t="str">
        <f>IFERROR(_xlfn.XLOOKUP($A261,Input_Raw!$A:$A,Input_Raw!$DG:$DG),"")</f>
        <v/>
      </c>
      <c r="AC261" s="125">
        <f>IFERROR(_xlfn.XLOOKUP($D261,'Modelling New'!$D:$D,'Modelling New'!$J:$J),"")</f>
        <v>4.4333333333333336</v>
      </c>
      <c r="AD261" s="107">
        <f>IFERROR(_xlfn.XLOOKUP($D261,'Modelling New'!$D:$D,'Modelling New'!$T:$T)*1000,"")</f>
        <v>183922.41431383044</v>
      </c>
      <c r="AE261" s="124"/>
      <c r="AF261" s="124">
        <f>IFERROR(_xlfn.XLOOKUP($D261,'Modelling New'!$D:$D,'Modelling New'!$W:$W),"")</f>
        <v>9.8249152945422247E-2</v>
      </c>
      <c r="AG261" s="124">
        <f>IFERROR(_xlfn.XLOOKUP($D261,'Modelling New'!$D:$D,'Modelling New'!$AE:$AE),"")</f>
        <v>0.96029999999999993</v>
      </c>
      <c r="AH261" s="124">
        <f>IFERROR(_xlfn.XLOOKUP($D261,'Modelling New'!$D:$D,'Modelling New'!$AF:$AF),"")</f>
        <v>0.995</v>
      </c>
      <c r="AI261" s="105" t="str">
        <f>IFERROR(_xlfn.XLOOKUP($A261,Input_Raw!$A:$A,Input_Raw!$DE:$DE),"")</f>
        <v/>
      </c>
      <c r="AJ261" s="105"/>
      <c r="AK261" s="105"/>
      <c r="AL261" s="105"/>
      <c r="AM261" s="105"/>
      <c r="AN261" s="126" t="str">
        <f>IFERROR(_xlfn.XLOOKUP($A261,Input_Raw!$A:$A,Input_Raw!$DB:$DB),"")</f>
        <v/>
      </c>
      <c r="AO261" s="124" t="str">
        <f>IFERROR((_xlfn.XLOOKUP($A261,'WTG Reactive Power'!$A:$A,'WTG Reactive Power'!$AR:$AR))/X261/1000,"")</f>
        <v/>
      </c>
      <c r="AP261" s="124">
        <f>IFERROR(_xlfn.XLOOKUP($D261,'Modelling New'!$D:$D,'Modelling New'!$AK:$AK),"")</f>
        <v>0.05</v>
      </c>
      <c r="AQ261" s="124">
        <f>IFERROR(_xlfn.XLOOKUP($D261,'Modelling New'!$D:$D,'Modelling New'!$AL:$AL),"")</f>
        <v>0.05</v>
      </c>
      <c r="AR261">
        <f>IFERROR(_xlfn.XLOOKUP($D261,'Modelling New'!$D:$D,'Modelling New'!$N:$N),"")</f>
        <v>78</v>
      </c>
    </row>
    <row r="262" spans="1:44">
      <c r="A262" s="118">
        <f t="shared" si="22"/>
        <v>46005</v>
      </c>
      <c r="B262" s="107">
        <f>YEAR(Table13[[#This Row],[Date]])+IF(MONTH(Table13[[#This Row],[Date]])&gt;=4,1,0)</f>
        <v>2026</v>
      </c>
      <c r="C262" s="105">
        <f>YEAR(Table13[[#This Row],[Date]])</f>
        <v>2025</v>
      </c>
      <c r="D262" s="119">
        <f>Table13[[#This Row],[Date]]-DAY(Table13[[#This Row],[Date]])+1</f>
        <v>45992</v>
      </c>
      <c r="E262" s="105">
        <f t="shared" si="26"/>
        <v>31</v>
      </c>
      <c r="F262" s="108"/>
      <c r="G262" s="109"/>
      <c r="H262" s="109"/>
      <c r="I262" s="109"/>
      <c r="J262" s="109"/>
      <c r="K262" s="120"/>
      <c r="L262" s="109"/>
      <c r="M262" s="109" t="str">
        <f>IFERROR(_xlfn.XLOOKUP($A262,Input_Raw!$A:$A,Input_Raw!CG:CG),"")</f>
        <v/>
      </c>
      <c r="N262" s="109" t="str">
        <f>IFERROR(_xlfn.XLOOKUP($A262,Input_Raw!$A:$A,Input_Raw!CH:CH),"")</f>
        <v/>
      </c>
      <c r="O262" s="121" t="str">
        <f t="shared" si="27"/>
        <v/>
      </c>
      <c r="P262" s="121" t="str">
        <f>IFERROR(1-SUMIF(WTG_BD!$F:$F,$A262,WTG_BD!$AA:$AA)/($AA262+SUMIF(WTG_BD!$F:$F,$A262,WTG_BD!$AA:$AA)),"")</f>
        <v/>
      </c>
      <c r="Q262" s="122" t="str">
        <f>IFERROR(1-SUMIF(IGA_BD!$F:$F,$A262,IGA_BD!$V:$V)/($AA262+SUMIF(IGA_BD!$F:$F,$A262,IGA_BD!$V:$V)),"")</f>
        <v/>
      </c>
      <c r="R262" s="127" t="str">
        <f>IFERROR(1-SUMIF(Grid_BD!$F:$F,$A262,Grid_BD!$X:$X)/($AA262+SUMIF(Grid_BD!$F:$F,$A262,Grid_BD!$X:$X)),"")</f>
        <v/>
      </c>
      <c r="S262" s="105"/>
      <c r="T262" s="122"/>
      <c r="U262" s="123"/>
      <c r="V262" s="105"/>
      <c r="W262" s="124" t="str">
        <f>IFERROR(Table13[[#This Row],[Mtr_Net_Exp (KWh)]]/(24*AR262*1000),"")</f>
        <v/>
      </c>
      <c r="X262" s="105" t="str">
        <f>IFERROR(_xlfn.XLOOKUP($A262,Input_Raw!$A:$A,Input_Raw!$CF:$CF),"")</f>
        <v/>
      </c>
      <c r="Y262" s="105" t="str">
        <f>IFERROR(_xlfn.XLOOKUP($A262,Input_Raw!$A:$A,Input_Raw!$CZ:$CZ),"")</f>
        <v/>
      </c>
      <c r="Z262" s="105" t="str">
        <f>IFERROR(_xlfn.XLOOKUP($A262,Input_Raw!$A:$A,Input_Raw!$DA:$DA),"")</f>
        <v/>
      </c>
      <c r="AA262" s="107" t="str">
        <f t="shared" si="28"/>
        <v/>
      </c>
      <c r="AB262" s="105" t="str">
        <f>IFERROR(_xlfn.XLOOKUP($A262,Input_Raw!$A:$A,Input_Raw!$DG:$DG),"")</f>
        <v/>
      </c>
      <c r="AC262" s="125">
        <f>IFERROR(_xlfn.XLOOKUP($D262,'Modelling New'!$D:$D,'Modelling New'!$J:$J),"")</f>
        <v>4.4333333333333336</v>
      </c>
      <c r="AD262" s="107">
        <f>IFERROR(_xlfn.XLOOKUP($D262,'Modelling New'!$D:$D,'Modelling New'!$T:$T)*1000,"")</f>
        <v>183922.41431383044</v>
      </c>
      <c r="AE262" s="124"/>
      <c r="AF262" s="124">
        <f>IFERROR(_xlfn.XLOOKUP($D262,'Modelling New'!$D:$D,'Modelling New'!$W:$W),"")</f>
        <v>9.8249152945422247E-2</v>
      </c>
      <c r="AG262" s="124">
        <f>IFERROR(_xlfn.XLOOKUP($D262,'Modelling New'!$D:$D,'Modelling New'!$AE:$AE),"")</f>
        <v>0.96029999999999993</v>
      </c>
      <c r="AH262" s="124">
        <f>IFERROR(_xlfn.XLOOKUP($D262,'Modelling New'!$D:$D,'Modelling New'!$AF:$AF),"")</f>
        <v>0.995</v>
      </c>
      <c r="AI262" s="105" t="str">
        <f>IFERROR(_xlfn.XLOOKUP($A262,Input_Raw!$A:$A,Input_Raw!$DE:$DE),"")</f>
        <v/>
      </c>
      <c r="AJ262" s="105"/>
      <c r="AK262" s="105"/>
      <c r="AL262" s="105"/>
      <c r="AM262" s="105"/>
      <c r="AN262" s="126" t="str">
        <f>IFERROR(_xlfn.XLOOKUP($A262,Input_Raw!$A:$A,Input_Raw!$DB:$DB),"")</f>
        <v/>
      </c>
      <c r="AO262" s="124" t="str">
        <f>IFERROR((_xlfn.XLOOKUP($A262,'WTG Reactive Power'!$A:$A,'WTG Reactive Power'!$AR:$AR))/X262/1000,"")</f>
        <v/>
      </c>
      <c r="AP262" s="124">
        <f>IFERROR(_xlfn.XLOOKUP($D262,'Modelling New'!$D:$D,'Modelling New'!$AK:$AK),"")</f>
        <v>0.05</v>
      </c>
      <c r="AQ262" s="124">
        <f>IFERROR(_xlfn.XLOOKUP($D262,'Modelling New'!$D:$D,'Modelling New'!$AL:$AL),"")</f>
        <v>0.05</v>
      </c>
      <c r="AR262">
        <f>IFERROR(_xlfn.XLOOKUP($D262,'Modelling New'!$D:$D,'Modelling New'!$N:$N),"")</f>
        <v>78</v>
      </c>
    </row>
    <row r="263" spans="1:44">
      <c r="A263" s="118">
        <f t="shared" si="22"/>
        <v>46006</v>
      </c>
      <c r="B263" s="107">
        <f>YEAR(Table13[[#This Row],[Date]])+IF(MONTH(Table13[[#This Row],[Date]])&gt;=4,1,0)</f>
        <v>2026</v>
      </c>
      <c r="C263" s="105">
        <f>YEAR(Table13[[#This Row],[Date]])</f>
        <v>2025</v>
      </c>
      <c r="D263" s="119">
        <f>Table13[[#This Row],[Date]]-DAY(Table13[[#This Row],[Date]])+1</f>
        <v>45992</v>
      </c>
      <c r="E263" s="105">
        <f t="shared" si="26"/>
        <v>31</v>
      </c>
      <c r="F263" s="108"/>
      <c r="G263" s="109"/>
      <c r="H263" s="109"/>
      <c r="I263" s="109"/>
      <c r="J263" s="109"/>
      <c r="K263" s="120"/>
      <c r="L263" s="109"/>
      <c r="M263" s="109" t="str">
        <f>IFERROR(_xlfn.XLOOKUP($A263,Input_Raw!$A:$A,Input_Raw!CG:CG),"")</f>
        <v/>
      </c>
      <c r="N263" s="109" t="str">
        <f>IFERROR(_xlfn.XLOOKUP($A263,Input_Raw!$A:$A,Input_Raw!CH:CH),"")</f>
        <v/>
      </c>
      <c r="O263" s="121" t="str">
        <f t="shared" si="27"/>
        <v/>
      </c>
      <c r="P263" s="121" t="str">
        <f>IFERROR(1-SUMIF(WTG_BD!$F:$F,$A263,WTG_BD!$AA:$AA)/($AA263+SUMIF(WTG_BD!$F:$F,$A263,WTG_BD!$AA:$AA)),"")</f>
        <v/>
      </c>
      <c r="Q263" s="122" t="str">
        <f>IFERROR(1-SUMIF(IGA_BD!$F:$F,$A263,IGA_BD!$V:$V)/($AA263+SUMIF(IGA_BD!$F:$F,$A263,IGA_BD!$V:$V)),"")</f>
        <v/>
      </c>
      <c r="R263" s="127" t="str">
        <f>IFERROR(1-SUMIF(Grid_BD!$F:$F,$A263,Grid_BD!$X:$X)/($AA263+SUMIF(Grid_BD!$F:$F,$A263,Grid_BD!$X:$X)),"")</f>
        <v/>
      </c>
      <c r="S263" s="105"/>
      <c r="T263" s="122"/>
      <c r="U263" s="123"/>
      <c r="V263" s="105"/>
      <c r="W263" s="124" t="str">
        <f>IFERROR(Table13[[#This Row],[Mtr_Net_Exp (KWh)]]/(24*AR263*1000),"")</f>
        <v/>
      </c>
      <c r="X263" s="105" t="str">
        <f>IFERROR(_xlfn.XLOOKUP($A263,Input_Raw!$A:$A,Input_Raw!$CF:$CF),"")</f>
        <v/>
      </c>
      <c r="Y263" s="105" t="str">
        <f>IFERROR(_xlfn.XLOOKUP($A263,Input_Raw!$A:$A,Input_Raw!$CZ:$CZ),"")</f>
        <v/>
      </c>
      <c r="Z263" s="105" t="str">
        <f>IFERROR(_xlfn.XLOOKUP($A263,Input_Raw!$A:$A,Input_Raw!$DA:$DA),"")</f>
        <v/>
      </c>
      <c r="AA263" s="107" t="str">
        <f t="shared" si="28"/>
        <v/>
      </c>
      <c r="AB263" s="105" t="str">
        <f>IFERROR(_xlfn.XLOOKUP($A263,Input_Raw!$A:$A,Input_Raw!$DG:$DG),"")</f>
        <v/>
      </c>
      <c r="AC263" s="125">
        <f>IFERROR(_xlfn.XLOOKUP($D263,'Modelling New'!$D:$D,'Modelling New'!$J:$J),"")</f>
        <v>4.4333333333333336</v>
      </c>
      <c r="AD263" s="107">
        <f>IFERROR(_xlfn.XLOOKUP($D263,'Modelling New'!$D:$D,'Modelling New'!$T:$T)*1000,"")</f>
        <v>183922.41431383044</v>
      </c>
      <c r="AE263" s="124"/>
      <c r="AF263" s="124">
        <f>IFERROR(_xlfn.XLOOKUP($D263,'Modelling New'!$D:$D,'Modelling New'!$W:$W),"")</f>
        <v>9.8249152945422247E-2</v>
      </c>
      <c r="AG263" s="124">
        <f>IFERROR(_xlfn.XLOOKUP($D263,'Modelling New'!$D:$D,'Modelling New'!$AE:$AE),"")</f>
        <v>0.96029999999999993</v>
      </c>
      <c r="AH263" s="124">
        <f>IFERROR(_xlfn.XLOOKUP($D263,'Modelling New'!$D:$D,'Modelling New'!$AF:$AF),"")</f>
        <v>0.995</v>
      </c>
      <c r="AI263" s="105" t="str">
        <f>IFERROR(_xlfn.XLOOKUP($A263,Input_Raw!$A:$A,Input_Raw!$DE:$DE),"")</f>
        <v/>
      </c>
      <c r="AJ263" s="105"/>
      <c r="AK263" s="105"/>
      <c r="AL263" s="105"/>
      <c r="AM263" s="105"/>
      <c r="AN263" s="126" t="str">
        <f>IFERROR(_xlfn.XLOOKUP($A263,Input_Raw!$A:$A,Input_Raw!$DB:$DB),"")</f>
        <v/>
      </c>
      <c r="AO263" s="124" t="str">
        <f>IFERROR((_xlfn.XLOOKUP($A263,'WTG Reactive Power'!$A:$A,'WTG Reactive Power'!$AR:$AR))/X263/1000,"")</f>
        <v/>
      </c>
      <c r="AP263" s="124">
        <f>IFERROR(_xlfn.XLOOKUP($D263,'Modelling New'!$D:$D,'Modelling New'!$AK:$AK),"")</f>
        <v>0.05</v>
      </c>
      <c r="AQ263" s="124">
        <f>IFERROR(_xlfn.XLOOKUP($D263,'Modelling New'!$D:$D,'Modelling New'!$AL:$AL),"")</f>
        <v>0.05</v>
      </c>
      <c r="AR263">
        <f>IFERROR(_xlfn.XLOOKUP($D263,'Modelling New'!$D:$D,'Modelling New'!$N:$N),"")</f>
        <v>78</v>
      </c>
    </row>
    <row r="264" spans="1:44">
      <c r="A264" s="118">
        <f t="shared" si="22"/>
        <v>46007</v>
      </c>
      <c r="B264" s="107">
        <f>YEAR(Table13[[#This Row],[Date]])+IF(MONTH(Table13[[#This Row],[Date]])&gt;=4,1,0)</f>
        <v>2026</v>
      </c>
      <c r="C264" s="105">
        <f>YEAR(Table13[[#This Row],[Date]])</f>
        <v>2025</v>
      </c>
      <c r="D264" s="119">
        <f>Table13[[#This Row],[Date]]-DAY(Table13[[#This Row],[Date]])+1</f>
        <v>45992</v>
      </c>
      <c r="E264" s="105">
        <f t="shared" si="26"/>
        <v>31</v>
      </c>
      <c r="F264" s="108"/>
      <c r="G264" s="109"/>
      <c r="H264" s="109"/>
      <c r="I264" s="109"/>
      <c r="J264" s="109"/>
      <c r="K264" s="120"/>
      <c r="L264" s="109"/>
      <c r="M264" s="109" t="str">
        <f>IFERROR(_xlfn.XLOOKUP($A264,Input_Raw!$A:$A,Input_Raw!CG:CG),"")</f>
        <v/>
      </c>
      <c r="N264" s="109" t="str">
        <f>IFERROR(_xlfn.XLOOKUP($A264,Input_Raw!$A:$A,Input_Raw!CH:CH),"")</f>
        <v/>
      </c>
      <c r="O264" s="121" t="str">
        <f t="shared" si="27"/>
        <v/>
      </c>
      <c r="P264" s="121" t="str">
        <f>IFERROR(1-SUMIF(WTG_BD!$F:$F,$A264,WTG_BD!$AA:$AA)/($AA264+SUMIF(WTG_BD!$F:$F,$A264,WTG_BD!$AA:$AA)),"")</f>
        <v/>
      </c>
      <c r="Q264" s="122" t="str">
        <f>IFERROR(1-SUMIF(IGA_BD!$F:$F,$A264,IGA_BD!$V:$V)/($AA264+SUMIF(IGA_BD!$F:$F,$A264,IGA_BD!$V:$V)),"")</f>
        <v/>
      </c>
      <c r="R264" s="127" t="str">
        <f>IFERROR(1-SUMIF(Grid_BD!$F:$F,$A264,Grid_BD!$X:$X)/($AA264+SUMIF(Grid_BD!$F:$F,$A264,Grid_BD!$X:$X)),"")</f>
        <v/>
      </c>
      <c r="S264" s="105"/>
      <c r="T264" s="122"/>
      <c r="U264" s="123"/>
      <c r="V264" s="105"/>
      <c r="W264" s="124" t="str">
        <f>IFERROR(Table13[[#This Row],[Mtr_Net_Exp (KWh)]]/(24*AR264*1000),"")</f>
        <v/>
      </c>
      <c r="X264" s="105" t="str">
        <f>IFERROR(_xlfn.XLOOKUP($A264,Input_Raw!$A:$A,Input_Raw!$CF:$CF),"")</f>
        <v/>
      </c>
      <c r="Y264" s="105" t="str">
        <f>IFERROR(_xlfn.XLOOKUP($A264,Input_Raw!$A:$A,Input_Raw!$CZ:$CZ),"")</f>
        <v/>
      </c>
      <c r="Z264" s="105" t="str">
        <f>IFERROR(_xlfn.XLOOKUP($A264,Input_Raw!$A:$A,Input_Raw!$DA:$DA),"")</f>
        <v/>
      </c>
      <c r="AA264" s="107" t="str">
        <f t="shared" si="28"/>
        <v/>
      </c>
      <c r="AB264" s="105" t="str">
        <f>IFERROR(_xlfn.XLOOKUP($A264,Input_Raw!$A:$A,Input_Raw!$DG:$DG),"")</f>
        <v/>
      </c>
      <c r="AC264" s="125">
        <f>IFERROR(_xlfn.XLOOKUP($D264,'Modelling New'!$D:$D,'Modelling New'!$J:$J),"")</f>
        <v>4.4333333333333336</v>
      </c>
      <c r="AD264" s="107">
        <f>IFERROR(_xlfn.XLOOKUP($D264,'Modelling New'!$D:$D,'Modelling New'!$T:$T)*1000,"")</f>
        <v>183922.41431383044</v>
      </c>
      <c r="AE264" s="124"/>
      <c r="AF264" s="124">
        <f>IFERROR(_xlfn.XLOOKUP($D264,'Modelling New'!$D:$D,'Modelling New'!$W:$W),"")</f>
        <v>9.8249152945422247E-2</v>
      </c>
      <c r="AG264" s="124">
        <f>IFERROR(_xlfn.XLOOKUP($D264,'Modelling New'!$D:$D,'Modelling New'!$AE:$AE),"")</f>
        <v>0.96029999999999993</v>
      </c>
      <c r="AH264" s="124">
        <f>IFERROR(_xlfn.XLOOKUP($D264,'Modelling New'!$D:$D,'Modelling New'!$AF:$AF),"")</f>
        <v>0.995</v>
      </c>
      <c r="AI264" s="105" t="str">
        <f>IFERROR(_xlfn.XLOOKUP($A264,Input_Raw!$A:$A,Input_Raw!$DE:$DE),"")</f>
        <v/>
      </c>
      <c r="AJ264" s="105"/>
      <c r="AK264" s="105"/>
      <c r="AL264" s="105"/>
      <c r="AM264" s="105"/>
      <c r="AN264" s="126" t="str">
        <f>IFERROR(_xlfn.XLOOKUP($A264,Input_Raw!$A:$A,Input_Raw!$DB:$DB),"")</f>
        <v/>
      </c>
      <c r="AO264" s="124" t="str">
        <f>IFERROR((_xlfn.XLOOKUP($A264,'WTG Reactive Power'!$A:$A,'WTG Reactive Power'!$AR:$AR))/X264/1000,"")</f>
        <v/>
      </c>
      <c r="AP264" s="124">
        <f>IFERROR(_xlfn.XLOOKUP($D264,'Modelling New'!$D:$D,'Modelling New'!$AK:$AK),"")</f>
        <v>0.05</v>
      </c>
      <c r="AQ264" s="124">
        <f>IFERROR(_xlfn.XLOOKUP($D264,'Modelling New'!$D:$D,'Modelling New'!$AL:$AL),"")</f>
        <v>0.05</v>
      </c>
      <c r="AR264">
        <f>IFERROR(_xlfn.XLOOKUP($D264,'Modelling New'!$D:$D,'Modelling New'!$N:$N),"")</f>
        <v>78</v>
      </c>
    </row>
    <row r="265" spans="1:44">
      <c r="A265" s="118">
        <f t="shared" si="22"/>
        <v>46008</v>
      </c>
      <c r="B265" s="107">
        <f>YEAR(Table13[[#This Row],[Date]])+IF(MONTH(Table13[[#This Row],[Date]])&gt;=4,1,0)</f>
        <v>2026</v>
      </c>
      <c r="C265" s="105">
        <f>YEAR(Table13[[#This Row],[Date]])</f>
        <v>2025</v>
      </c>
      <c r="D265" s="119">
        <f>Table13[[#This Row],[Date]]-DAY(Table13[[#This Row],[Date]])+1</f>
        <v>45992</v>
      </c>
      <c r="E265" s="105">
        <f t="shared" si="26"/>
        <v>31</v>
      </c>
      <c r="F265" s="108"/>
      <c r="G265" s="109"/>
      <c r="H265" s="109"/>
      <c r="I265" s="109"/>
      <c r="J265" s="109"/>
      <c r="K265" s="120"/>
      <c r="L265" s="109"/>
      <c r="M265" s="109" t="str">
        <f>IFERROR(_xlfn.XLOOKUP($A265,Input_Raw!$A:$A,Input_Raw!CG:CG),"")</f>
        <v/>
      </c>
      <c r="N265" s="109" t="str">
        <f>IFERROR(_xlfn.XLOOKUP($A265,Input_Raw!$A:$A,Input_Raw!CH:CH),"")</f>
        <v/>
      </c>
      <c r="O265" s="121" t="str">
        <f t="shared" si="27"/>
        <v/>
      </c>
      <c r="P265" s="121" t="str">
        <f>IFERROR(1-SUMIF(WTG_BD!$F:$F,$A265,WTG_BD!$AA:$AA)/($AA265+SUMIF(WTG_BD!$F:$F,$A265,WTG_BD!$AA:$AA)),"")</f>
        <v/>
      </c>
      <c r="Q265" s="122" t="str">
        <f>IFERROR(1-SUMIF(IGA_BD!$F:$F,$A265,IGA_BD!$V:$V)/($AA265+SUMIF(IGA_BD!$F:$F,$A265,IGA_BD!$V:$V)),"")</f>
        <v/>
      </c>
      <c r="R265" s="127" t="str">
        <f>IFERROR(1-SUMIF(Grid_BD!$F:$F,$A265,Grid_BD!$X:$X)/($AA265+SUMIF(Grid_BD!$F:$F,$A265,Grid_BD!$X:$X)),"")</f>
        <v/>
      </c>
      <c r="S265" s="105"/>
      <c r="T265" s="122"/>
      <c r="U265" s="123"/>
      <c r="V265" s="105"/>
      <c r="W265" s="124" t="str">
        <f>IFERROR(Table13[[#This Row],[Mtr_Net_Exp (KWh)]]/(24*AR265*1000),"")</f>
        <v/>
      </c>
      <c r="X265" s="105" t="str">
        <f>IFERROR(_xlfn.XLOOKUP($A265,Input_Raw!$A:$A,Input_Raw!$CF:$CF),"")</f>
        <v/>
      </c>
      <c r="Y265" s="105" t="str">
        <f>IFERROR(_xlfn.XLOOKUP($A265,Input_Raw!$A:$A,Input_Raw!$CZ:$CZ),"")</f>
        <v/>
      </c>
      <c r="Z265" s="105" t="str">
        <f>IFERROR(_xlfn.XLOOKUP($A265,Input_Raw!$A:$A,Input_Raw!$DA:$DA),"")</f>
        <v/>
      </c>
      <c r="AA265" s="107" t="str">
        <f t="shared" si="28"/>
        <v/>
      </c>
      <c r="AB265" s="105" t="str">
        <f>IFERROR(_xlfn.XLOOKUP($A265,Input_Raw!$A:$A,Input_Raw!$DG:$DG),"")</f>
        <v/>
      </c>
      <c r="AC265" s="125">
        <f>IFERROR(_xlfn.XLOOKUP($D265,'Modelling New'!$D:$D,'Modelling New'!$J:$J),"")</f>
        <v>4.4333333333333336</v>
      </c>
      <c r="AD265" s="107">
        <f>IFERROR(_xlfn.XLOOKUP($D265,'Modelling New'!$D:$D,'Modelling New'!$T:$T)*1000,"")</f>
        <v>183922.41431383044</v>
      </c>
      <c r="AE265" s="124"/>
      <c r="AF265" s="124">
        <f>IFERROR(_xlfn.XLOOKUP($D265,'Modelling New'!$D:$D,'Modelling New'!$W:$W),"")</f>
        <v>9.8249152945422247E-2</v>
      </c>
      <c r="AG265" s="124">
        <f>IFERROR(_xlfn.XLOOKUP($D265,'Modelling New'!$D:$D,'Modelling New'!$AE:$AE),"")</f>
        <v>0.96029999999999993</v>
      </c>
      <c r="AH265" s="124">
        <f>IFERROR(_xlfn.XLOOKUP($D265,'Modelling New'!$D:$D,'Modelling New'!$AF:$AF),"")</f>
        <v>0.995</v>
      </c>
      <c r="AI265" s="105" t="str">
        <f>IFERROR(_xlfn.XLOOKUP($A265,Input_Raw!$A:$A,Input_Raw!$DE:$DE),"")</f>
        <v/>
      </c>
      <c r="AJ265" s="105"/>
      <c r="AK265" s="105"/>
      <c r="AL265" s="105"/>
      <c r="AM265" s="105"/>
      <c r="AN265" s="126" t="str">
        <f>IFERROR(_xlfn.XLOOKUP($A265,Input_Raw!$A:$A,Input_Raw!$DB:$DB),"")</f>
        <v/>
      </c>
      <c r="AO265" s="124" t="str">
        <f>IFERROR((_xlfn.XLOOKUP($A265,'WTG Reactive Power'!$A:$A,'WTG Reactive Power'!$AR:$AR))/X265/1000,"")</f>
        <v/>
      </c>
      <c r="AP265" s="124">
        <f>IFERROR(_xlfn.XLOOKUP($D265,'Modelling New'!$D:$D,'Modelling New'!$AK:$AK),"")</f>
        <v>0.05</v>
      </c>
      <c r="AQ265" s="124">
        <f>IFERROR(_xlfn.XLOOKUP($D265,'Modelling New'!$D:$D,'Modelling New'!$AL:$AL),"")</f>
        <v>0.05</v>
      </c>
      <c r="AR265">
        <f>IFERROR(_xlfn.XLOOKUP($D265,'Modelling New'!$D:$D,'Modelling New'!$N:$N),"")</f>
        <v>78</v>
      </c>
    </row>
    <row r="266" spans="1:44">
      <c r="A266" s="118">
        <f t="shared" si="22"/>
        <v>46009</v>
      </c>
      <c r="B266" s="107">
        <f>YEAR(Table13[[#This Row],[Date]])+IF(MONTH(Table13[[#This Row],[Date]])&gt;=4,1,0)</f>
        <v>2026</v>
      </c>
      <c r="C266" s="105">
        <f>YEAR(Table13[[#This Row],[Date]])</f>
        <v>2025</v>
      </c>
      <c r="D266" s="119">
        <f>Table13[[#This Row],[Date]]-DAY(Table13[[#This Row],[Date]])+1</f>
        <v>45992</v>
      </c>
      <c r="E266" s="105">
        <f t="shared" si="26"/>
        <v>31</v>
      </c>
      <c r="F266" s="108"/>
      <c r="G266" s="109"/>
      <c r="H266" s="109"/>
      <c r="I266" s="109"/>
      <c r="J266" s="109"/>
      <c r="K266" s="120"/>
      <c r="L266" s="109"/>
      <c r="M266" s="109" t="str">
        <f>IFERROR(_xlfn.XLOOKUP($A266,Input_Raw!$A:$A,Input_Raw!CG:CG),"")</f>
        <v/>
      </c>
      <c r="N266" s="109" t="str">
        <f>IFERROR(_xlfn.XLOOKUP($A266,Input_Raw!$A:$A,Input_Raw!CH:CH),"")</f>
        <v/>
      </c>
      <c r="O266" s="121" t="str">
        <f t="shared" si="27"/>
        <v/>
      </c>
      <c r="P266" s="121" t="str">
        <f>IFERROR(1-SUMIF(WTG_BD!$F:$F,$A266,WTG_BD!$AA:$AA)/($AA266+SUMIF(WTG_BD!$F:$F,$A266,WTG_BD!$AA:$AA)),"")</f>
        <v/>
      </c>
      <c r="Q266" s="122" t="str">
        <f>IFERROR(1-SUMIF(IGA_BD!$F:$F,$A266,IGA_BD!$V:$V)/($AA266+SUMIF(IGA_BD!$F:$F,$A266,IGA_BD!$V:$V)),"")</f>
        <v/>
      </c>
      <c r="R266" s="127" t="str">
        <f>IFERROR(1-SUMIF(Grid_BD!$F:$F,$A266,Grid_BD!$X:$X)/($AA266+SUMIF(Grid_BD!$F:$F,$A266,Grid_BD!$X:$X)),"")</f>
        <v/>
      </c>
      <c r="S266" s="105"/>
      <c r="T266" s="122"/>
      <c r="U266" s="123"/>
      <c r="V266" s="105"/>
      <c r="W266" s="124" t="str">
        <f>IFERROR(Table13[[#This Row],[Mtr_Net_Exp (KWh)]]/(24*AR266*1000),"")</f>
        <v/>
      </c>
      <c r="X266" s="105" t="str">
        <f>IFERROR(_xlfn.XLOOKUP($A266,Input_Raw!$A:$A,Input_Raw!$CF:$CF),"")</f>
        <v/>
      </c>
      <c r="Y266" s="105" t="str">
        <f>IFERROR(_xlfn.XLOOKUP($A266,Input_Raw!$A:$A,Input_Raw!$CZ:$CZ),"")</f>
        <v/>
      </c>
      <c r="Z266" s="105" t="str">
        <f>IFERROR(_xlfn.XLOOKUP($A266,Input_Raw!$A:$A,Input_Raw!$DA:$DA),"")</f>
        <v/>
      </c>
      <c r="AA266" s="107" t="str">
        <f t="shared" si="28"/>
        <v/>
      </c>
      <c r="AB266" s="105" t="str">
        <f>IFERROR(_xlfn.XLOOKUP($A266,Input_Raw!$A:$A,Input_Raw!$DG:$DG),"")</f>
        <v/>
      </c>
      <c r="AC266" s="125">
        <f>IFERROR(_xlfn.XLOOKUP($D266,'Modelling New'!$D:$D,'Modelling New'!$J:$J),"")</f>
        <v>4.4333333333333336</v>
      </c>
      <c r="AD266" s="107">
        <f>IFERROR(_xlfn.XLOOKUP($D266,'Modelling New'!$D:$D,'Modelling New'!$T:$T)*1000,"")</f>
        <v>183922.41431383044</v>
      </c>
      <c r="AE266" s="124"/>
      <c r="AF266" s="124">
        <f>IFERROR(_xlfn.XLOOKUP($D266,'Modelling New'!$D:$D,'Modelling New'!$W:$W),"")</f>
        <v>9.8249152945422247E-2</v>
      </c>
      <c r="AG266" s="124">
        <f>IFERROR(_xlfn.XLOOKUP($D266,'Modelling New'!$D:$D,'Modelling New'!$AE:$AE),"")</f>
        <v>0.96029999999999993</v>
      </c>
      <c r="AH266" s="124">
        <f>IFERROR(_xlfn.XLOOKUP($D266,'Modelling New'!$D:$D,'Modelling New'!$AF:$AF),"")</f>
        <v>0.995</v>
      </c>
      <c r="AI266" s="105" t="str">
        <f>IFERROR(_xlfn.XLOOKUP($A266,Input_Raw!$A:$A,Input_Raw!$DE:$DE),"")</f>
        <v/>
      </c>
      <c r="AJ266" s="105"/>
      <c r="AK266" s="105"/>
      <c r="AL266" s="105"/>
      <c r="AM266" s="105"/>
      <c r="AN266" s="126" t="str">
        <f>IFERROR(_xlfn.XLOOKUP($A266,Input_Raw!$A:$A,Input_Raw!$DB:$DB),"")</f>
        <v/>
      </c>
      <c r="AO266" s="124" t="str">
        <f>IFERROR((_xlfn.XLOOKUP($A266,'WTG Reactive Power'!$A:$A,'WTG Reactive Power'!$AR:$AR))/X266/1000,"")</f>
        <v/>
      </c>
      <c r="AP266" s="124">
        <f>IFERROR(_xlfn.XLOOKUP($D266,'Modelling New'!$D:$D,'Modelling New'!$AK:$AK),"")</f>
        <v>0.05</v>
      </c>
      <c r="AQ266" s="124">
        <f>IFERROR(_xlfn.XLOOKUP($D266,'Modelling New'!$D:$D,'Modelling New'!$AL:$AL),"")</f>
        <v>0.05</v>
      </c>
      <c r="AR266">
        <f>IFERROR(_xlfn.XLOOKUP($D266,'Modelling New'!$D:$D,'Modelling New'!$N:$N),"")</f>
        <v>78</v>
      </c>
    </row>
    <row r="267" spans="1:44">
      <c r="A267" s="118">
        <f t="shared" si="22"/>
        <v>46010</v>
      </c>
      <c r="B267" s="107">
        <f>YEAR(Table13[[#This Row],[Date]])+IF(MONTH(Table13[[#This Row],[Date]])&gt;=4,1,0)</f>
        <v>2026</v>
      </c>
      <c r="C267" s="105">
        <f>YEAR(Table13[[#This Row],[Date]])</f>
        <v>2025</v>
      </c>
      <c r="D267" s="119">
        <f>Table13[[#This Row],[Date]]-DAY(Table13[[#This Row],[Date]])+1</f>
        <v>45992</v>
      </c>
      <c r="E267" s="105">
        <f t="shared" si="26"/>
        <v>31</v>
      </c>
      <c r="F267" s="108"/>
      <c r="G267" s="109"/>
      <c r="H267" s="109"/>
      <c r="I267" s="109"/>
      <c r="J267" s="109"/>
      <c r="K267" s="120"/>
      <c r="L267" s="109"/>
      <c r="M267" s="109" t="str">
        <f>IFERROR(_xlfn.XLOOKUP($A267,Input_Raw!$A:$A,Input_Raw!CG:CG),"")</f>
        <v/>
      </c>
      <c r="N267" s="109" t="str">
        <f>IFERROR(_xlfn.XLOOKUP($A267,Input_Raw!$A:$A,Input_Raw!CH:CH),"")</f>
        <v/>
      </c>
      <c r="O267" s="121" t="str">
        <f t="shared" si="27"/>
        <v/>
      </c>
      <c r="P267" s="121" t="str">
        <f>IFERROR(1-SUMIF(WTG_BD!$F:$F,$A267,WTG_BD!$AA:$AA)/($AA267+SUMIF(WTG_BD!$F:$F,$A267,WTG_BD!$AA:$AA)),"")</f>
        <v/>
      </c>
      <c r="Q267" s="122" t="str">
        <f>IFERROR(1-SUMIF(IGA_BD!$F:$F,$A267,IGA_BD!$V:$V)/($AA267+SUMIF(IGA_BD!$F:$F,$A267,IGA_BD!$V:$V)),"")</f>
        <v/>
      </c>
      <c r="R267" s="127" t="str">
        <f>IFERROR(1-SUMIF(Grid_BD!$F:$F,$A267,Grid_BD!$X:$X)/($AA267+SUMIF(Grid_BD!$F:$F,$A267,Grid_BD!$X:$X)),"")</f>
        <v/>
      </c>
      <c r="S267" s="105"/>
      <c r="T267" s="122"/>
      <c r="U267" s="123"/>
      <c r="V267" s="105"/>
      <c r="W267" s="124" t="str">
        <f>IFERROR(Table13[[#This Row],[Mtr_Net_Exp (KWh)]]/(24*AR267*1000),"")</f>
        <v/>
      </c>
      <c r="X267" s="105" t="str">
        <f>IFERROR(_xlfn.XLOOKUP($A267,Input_Raw!$A:$A,Input_Raw!$CF:$CF),"")</f>
        <v/>
      </c>
      <c r="Y267" s="105" t="str">
        <f>IFERROR(_xlfn.XLOOKUP($A267,Input_Raw!$A:$A,Input_Raw!$CZ:$CZ),"")</f>
        <v/>
      </c>
      <c r="Z267" s="105" t="str">
        <f>IFERROR(_xlfn.XLOOKUP($A267,Input_Raw!$A:$A,Input_Raw!$DA:$DA),"")</f>
        <v/>
      </c>
      <c r="AA267" s="107" t="str">
        <f t="shared" si="28"/>
        <v/>
      </c>
      <c r="AB267" s="105" t="str">
        <f>IFERROR(_xlfn.XLOOKUP($A267,Input_Raw!$A:$A,Input_Raw!$DG:$DG),"")</f>
        <v/>
      </c>
      <c r="AC267" s="125">
        <f>IFERROR(_xlfn.XLOOKUP($D267,'Modelling New'!$D:$D,'Modelling New'!$J:$J),"")</f>
        <v>4.4333333333333336</v>
      </c>
      <c r="AD267" s="107">
        <f>IFERROR(_xlfn.XLOOKUP($D267,'Modelling New'!$D:$D,'Modelling New'!$T:$T)*1000,"")</f>
        <v>183922.41431383044</v>
      </c>
      <c r="AE267" s="124"/>
      <c r="AF267" s="124">
        <f>IFERROR(_xlfn.XLOOKUP($D267,'Modelling New'!$D:$D,'Modelling New'!$W:$W),"")</f>
        <v>9.8249152945422247E-2</v>
      </c>
      <c r="AG267" s="124">
        <f>IFERROR(_xlfn.XLOOKUP($D267,'Modelling New'!$D:$D,'Modelling New'!$AE:$AE),"")</f>
        <v>0.96029999999999993</v>
      </c>
      <c r="AH267" s="124">
        <f>IFERROR(_xlfn.XLOOKUP($D267,'Modelling New'!$D:$D,'Modelling New'!$AF:$AF),"")</f>
        <v>0.995</v>
      </c>
      <c r="AI267" s="105" t="str">
        <f>IFERROR(_xlfn.XLOOKUP($A267,Input_Raw!$A:$A,Input_Raw!$DE:$DE),"")</f>
        <v/>
      </c>
      <c r="AJ267" s="105"/>
      <c r="AK267" s="105"/>
      <c r="AL267" s="105"/>
      <c r="AM267" s="105"/>
      <c r="AN267" s="126" t="str">
        <f>IFERROR(_xlfn.XLOOKUP($A267,Input_Raw!$A:$A,Input_Raw!$DB:$DB),"")</f>
        <v/>
      </c>
      <c r="AO267" s="124" t="str">
        <f>IFERROR((_xlfn.XLOOKUP($A267,'WTG Reactive Power'!$A:$A,'WTG Reactive Power'!$AR:$AR))/X267/1000,"")</f>
        <v/>
      </c>
      <c r="AP267" s="124">
        <f>IFERROR(_xlfn.XLOOKUP($D267,'Modelling New'!$D:$D,'Modelling New'!$AK:$AK),"")</f>
        <v>0.05</v>
      </c>
      <c r="AQ267" s="124">
        <f>IFERROR(_xlfn.XLOOKUP($D267,'Modelling New'!$D:$D,'Modelling New'!$AL:$AL),"")</f>
        <v>0.05</v>
      </c>
      <c r="AR267">
        <f>IFERROR(_xlfn.XLOOKUP($D267,'Modelling New'!$D:$D,'Modelling New'!$N:$N),"")</f>
        <v>78</v>
      </c>
    </row>
    <row r="268" spans="1:44">
      <c r="A268" s="118">
        <f t="shared" si="22"/>
        <v>46011</v>
      </c>
      <c r="B268" s="107">
        <f>YEAR(Table13[[#This Row],[Date]])+IF(MONTH(Table13[[#This Row],[Date]])&gt;=4,1,0)</f>
        <v>2026</v>
      </c>
      <c r="C268" s="105">
        <f>YEAR(Table13[[#This Row],[Date]])</f>
        <v>2025</v>
      </c>
      <c r="D268" s="119">
        <f>Table13[[#This Row],[Date]]-DAY(Table13[[#This Row],[Date]])+1</f>
        <v>45992</v>
      </c>
      <c r="E268" s="105">
        <f t="shared" si="26"/>
        <v>31</v>
      </c>
      <c r="F268" s="108"/>
      <c r="G268" s="109"/>
      <c r="H268" s="109"/>
      <c r="I268" s="109"/>
      <c r="J268" s="109"/>
      <c r="K268" s="120"/>
      <c r="L268" s="109"/>
      <c r="M268" s="109" t="str">
        <f>IFERROR(_xlfn.XLOOKUP($A268,Input_Raw!$A:$A,Input_Raw!CG:CG),"")</f>
        <v/>
      </c>
      <c r="N268" s="109" t="str">
        <f>IFERROR(_xlfn.XLOOKUP($A268,Input_Raw!$A:$A,Input_Raw!CH:CH),"")</f>
        <v/>
      </c>
      <c r="O268" s="121" t="str">
        <f t="shared" si="27"/>
        <v/>
      </c>
      <c r="P268" s="121" t="str">
        <f>IFERROR(1-SUMIF(WTG_BD!$F:$F,$A268,WTG_BD!$AA:$AA)/($AA268+SUMIF(WTG_BD!$F:$F,$A268,WTG_BD!$AA:$AA)),"")</f>
        <v/>
      </c>
      <c r="Q268" s="122" t="str">
        <f>IFERROR(1-SUMIF(IGA_BD!$F:$F,$A268,IGA_BD!$V:$V)/($AA268+SUMIF(IGA_BD!$F:$F,$A268,IGA_BD!$V:$V)),"")</f>
        <v/>
      </c>
      <c r="R268" s="127" t="str">
        <f>IFERROR(1-SUMIF(Grid_BD!$F:$F,$A268,Grid_BD!$X:$X)/($AA268+SUMIF(Grid_BD!$F:$F,$A268,Grid_BD!$X:$X)),"")</f>
        <v/>
      </c>
      <c r="S268" s="105"/>
      <c r="T268" s="122"/>
      <c r="U268" s="123"/>
      <c r="V268" s="105"/>
      <c r="W268" s="124" t="str">
        <f>IFERROR(Table13[[#This Row],[Mtr_Net_Exp (KWh)]]/(24*AR268*1000),"")</f>
        <v/>
      </c>
      <c r="X268" s="105" t="str">
        <f>IFERROR(_xlfn.XLOOKUP($A268,Input_Raw!$A:$A,Input_Raw!$CF:$CF),"")</f>
        <v/>
      </c>
      <c r="Y268" s="105" t="str">
        <f>IFERROR(_xlfn.XLOOKUP($A268,Input_Raw!$A:$A,Input_Raw!$CZ:$CZ),"")</f>
        <v/>
      </c>
      <c r="Z268" s="105" t="str">
        <f>IFERROR(_xlfn.XLOOKUP($A268,Input_Raw!$A:$A,Input_Raw!$DA:$DA),"")</f>
        <v/>
      </c>
      <c r="AA268" s="107" t="str">
        <f t="shared" si="28"/>
        <v/>
      </c>
      <c r="AB268" s="105" t="str">
        <f>IFERROR(_xlfn.XLOOKUP($A268,Input_Raw!$A:$A,Input_Raw!$DG:$DG),"")</f>
        <v/>
      </c>
      <c r="AC268" s="125">
        <f>IFERROR(_xlfn.XLOOKUP($D268,'Modelling New'!$D:$D,'Modelling New'!$J:$J),"")</f>
        <v>4.4333333333333336</v>
      </c>
      <c r="AD268" s="107">
        <f>IFERROR(_xlfn.XLOOKUP($D268,'Modelling New'!$D:$D,'Modelling New'!$T:$T)*1000,"")</f>
        <v>183922.41431383044</v>
      </c>
      <c r="AE268" s="124"/>
      <c r="AF268" s="124">
        <f>IFERROR(_xlfn.XLOOKUP($D268,'Modelling New'!$D:$D,'Modelling New'!$W:$W),"")</f>
        <v>9.8249152945422247E-2</v>
      </c>
      <c r="AG268" s="124">
        <f>IFERROR(_xlfn.XLOOKUP($D268,'Modelling New'!$D:$D,'Modelling New'!$AE:$AE),"")</f>
        <v>0.96029999999999993</v>
      </c>
      <c r="AH268" s="124">
        <f>IFERROR(_xlfn.XLOOKUP($D268,'Modelling New'!$D:$D,'Modelling New'!$AF:$AF),"")</f>
        <v>0.995</v>
      </c>
      <c r="AI268" s="105" t="str">
        <f>IFERROR(_xlfn.XLOOKUP($A268,Input_Raw!$A:$A,Input_Raw!$DE:$DE),"")</f>
        <v/>
      </c>
      <c r="AJ268" s="105"/>
      <c r="AK268" s="105"/>
      <c r="AL268" s="105"/>
      <c r="AM268" s="105"/>
      <c r="AN268" s="126" t="str">
        <f>IFERROR(_xlfn.XLOOKUP($A268,Input_Raw!$A:$A,Input_Raw!$DB:$DB),"")</f>
        <v/>
      </c>
      <c r="AO268" s="124" t="str">
        <f>IFERROR((_xlfn.XLOOKUP($A268,'WTG Reactive Power'!$A:$A,'WTG Reactive Power'!$AR:$AR))/X268/1000,"")</f>
        <v/>
      </c>
      <c r="AP268" s="124">
        <f>IFERROR(_xlfn.XLOOKUP($D268,'Modelling New'!$D:$D,'Modelling New'!$AK:$AK),"")</f>
        <v>0.05</v>
      </c>
      <c r="AQ268" s="124">
        <f>IFERROR(_xlfn.XLOOKUP($D268,'Modelling New'!$D:$D,'Modelling New'!$AL:$AL),"")</f>
        <v>0.05</v>
      </c>
      <c r="AR268">
        <f>IFERROR(_xlfn.XLOOKUP($D268,'Modelling New'!$D:$D,'Modelling New'!$N:$N),"")</f>
        <v>78</v>
      </c>
    </row>
    <row r="269" spans="1:44">
      <c r="A269" s="118">
        <f t="shared" si="22"/>
        <v>46012</v>
      </c>
      <c r="B269" s="107">
        <f>YEAR(Table13[[#This Row],[Date]])+IF(MONTH(Table13[[#This Row],[Date]])&gt;=4,1,0)</f>
        <v>2026</v>
      </c>
      <c r="C269" s="105">
        <f>YEAR(Table13[[#This Row],[Date]])</f>
        <v>2025</v>
      </c>
      <c r="D269" s="119">
        <f>Table13[[#This Row],[Date]]-DAY(Table13[[#This Row],[Date]])+1</f>
        <v>45992</v>
      </c>
      <c r="E269" s="105">
        <f t="shared" si="26"/>
        <v>31</v>
      </c>
      <c r="F269" s="108"/>
      <c r="G269" s="109"/>
      <c r="H269" s="109"/>
      <c r="I269" s="109"/>
      <c r="J269" s="109"/>
      <c r="K269" s="120"/>
      <c r="L269" s="109"/>
      <c r="M269" s="109" t="str">
        <f>IFERROR(_xlfn.XLOOKUP($A269,Input_Raw!$A:$A,Input_Raw!CG:CG),"")</f>
        <v/>
      </c>
      <c r="N269" s="109" t="str">
        <f>IFERROR(_xlfn.XLOOKUP($A269,Input_Raw!$A:$A,Input_Raw!CH:CH),"")</f>
        <v/>
      </c>
      <c r="O269" s="121" t="str">
        <f t="shared" si="27"/>
        <v/>
      </c>
      <c r="P269" s="121" t="str">
        <f>IFERROR(1-SUMIF(WTG_BD!$F:$F,$A269,WTG_BD!$AA:$AA)/($AA269+SUMIF(WTG_BD!$F:$F,$A269,WTG_BD!$AA:$AA)),"")</f>
        <v/>
      </c>
      <c r="Q269" s="122" t="str">
        <f>IFERROR(1-SUMIF(IGA_BD!$F:$F,$A269,IGA_BD!$V:$V)/($AA269+SUMIF(IGA_BD!$F:$F,$A269,IGA_BD!$V:$V)),"")</f>
        <v/>
      </c>
      <c r="R269" s="127" t="str">
        <f>IFERROR(1-SUMIF(Grid_BD!$F:$F,$A269,Grid_BD!$X:$X)/($AA269+SUMIF(Grid_BD!$F:$F,$A269,Grid_BD!$X:$X)),"")</f>
        <v/>
      </c>
      <c r="S269" s="105"/>
      <c r="T269" s="122"/>
      <c r="U269" s="123"/>
      <c r="V269" s="105"/>
      <c r="W269" s="124" t="str">
        <f>IFERROR(Table13[[#This Row],[Mtr_Net_Exp (KWh)]]/(24*AR269*1000),"")</f>
        <v/>
      </c>
      <c r="X269" s="105" t="str">
        <f>IFERROR(_xlfn.XLOOKUP($A269,Input_Raw!$A:$A,Input_Raw!$CF:$CF),"")</f>
        <v/>
      </c>
      <c r="Y269" s="105" t="str">
        <f>IFERROR(_xlfn.XLOOKUP($A269,Input_Raw!$A:$A,Input_Raw!$CZ:$CZ),"")</f>
        <v/>
      </c>
      <c r="Z269" s="105" t="str">
        <f>IFERROR(_xlfn.XLOOKUP($A269,Input_Raw!$A:$A,Input_Raw!$DA:$DA),"")</f>
        <v/>
      </c>
      <c r="AA269" s="107" t="str">
        <f t="shared" si="28"/>
        <v/>
      </c>
      <c r="AB269" s="105" t="str">
        <f>IFERROR(_xlfn.XLOOKUP($A269,Input_Raw!$A:$A,Input_Raw!$DG:$DG),"")</f>
        <v/>
      </c>
      <c r="AC269" s="125">
        <f>IFERROR(_xlfn.XLOOKUP($D269,'Modelling New'!$D:$D,'Modelling New'!$J:$J),"")</f>
        <v>4.4333333333333336</v>
      </c>
      <c r="AD269" s="107">
        <f>IFERROR(_xlfn.XLOOKUP($D269,'Modelling New'!$D:$D,'Modelling New'!$T:$T)*1000,"")</f>
        <v>183922.41431383044</v>
      </c>
      <c r="AE269" s="124"/>
      <c r="AF269" s="124">
        <f>IFERROR(_xlfn.XLOOKUP($D269,'Modelling New'!$D:$D,'Modelling New'!$W:$W),"")</f>
        <v>9.8249152945422247E-2</v>
      </c>
      <c r="AG269" s="124">
        <f>IFERROR(_xlfn.XLOOKUP($D269,'Modelling New'!$D:$D,'Modelling New'!$AE:$AE),"")</f>
        <v>0.96029999999999993</v>
      </c>
      <c r="AH269" s="124">
        <f>IFERROR(_xlfn.XLOOKUP($D269,'Modelling New'!$D:$D,'Modelling New'!$AF:$AF),"")</f>
        <v>0.995</v>
      </c>
      <c r="AI269" s="105" t="str">
        <f>IFERROR(_xlfn.XLOOKUP($A269,Input_Raw!$A:$A,Input_Raw!$DE:$DE),"")</f>
        <v/>
      </c>
      <c r="AJ269" s="105"/>
      <c r="AK269" s="105"/>
      <c r="AL269" s="105"/>
      <c r="AM269" s="105"/>
      <c r="AN269" s="126" t="str">
        <f>IFERROR(_xlfn.XLOOKUP($A269,Input_Raw!$A:$A,Input_Raw!$DB:$DB),"")</f>
        <v/>
      </c>
      <c r="AO269" s="124" t="str">
        <f>IFERROR((_xlfn.XLOOKUP($A269,'WTG Reactive Power'!$A:$A,'WTG Reactive Power'!$AR:$AR))/X269/1000,"")</f>
        <v/>
      </c>
      <c r="AP269" s="124">
        <f>IFERROR(_xlfn.XLOOKUP($D269,'Modelling New'!$D:$D,'Modelling New'!$AK:$AK),"")</f>
        <v>0.05</v>
      </c>
      <c r="AQ269" s="124">
        <f>IFERROR(_xlfn.XLOOKUP($D269,'Modelling New'!$D:$D,'Modelling New'!$AL:$AL),"")</f>
        <v>0.05</v>
      </c>
      <c r="AR269">
        <f>IFERROR(_xlfn.XLOOKUP($D269,'Modelling New'!$D:$D,'Modelling New'!$N:$N),"")</f>
        <v>78</v>
      </c>
    </row>
    <row r="270" spans="1:44">
      <c r="A270" s="118">
        <f t="shared" si="22"/>
        <v>46013</v>
      </c>
      <c r="B270" s="107">
        <f>YEAR(Table13[[#This Row],[Date]])+IF(MONTH(Table13[[#This Row],[Date]])&gt;=4,1,0)</f>
        <v>2026</v>
      </c>
      <c r="C270" s="105">
        <f>YEAR(Table13[[#This Row],[Date]])</f>
        <v>2025</v>
      </c>
      <c r="D270" s="119">
        <f>Table13[[#This Row],[Date]]-DAY(Table13[[#This Row],[Date]])+1</f>
        <v>45992</v>
      </c>
      <c r="E270" s="105">
        <f t="shared" si="26"/>
        <v>31</v>
      </c>
      <c r="F270" s="108"/>
      <c r="G270" s="109"/>
      <c r="H270" s="109"/>
      <c r="I270" s="109"/>
      <c r="J270" s="109"/>
      <c r="K270" s="120"/>
      <c r="L270" s="109"/>
      <c r="M270" s="109" t="str">
        <f>IFERROR(_xlfn.XLOOKUP($A270,Input_Raw!$A:$A,Input_Raw!CG:CG),"")</f>
        <v/>
      </c>
      <c r="N270" s="109" t="str">
        <f>IFERROR(_xlfn.XLOOKUP($A270,Input_Raw!$A:$A,Input_Raw!CH:CH),"")</f>
        <v/>
      </c>
      <c r="O270" s="121" t="str">
        <f t="shared" si="27"/>
        <v/>
      </c>
      <c r="P270" s="121" t="str">
        <f>IFERROR(1-SUMIF(WTG_BD!$F:$F,$A270,WTG_BD!$AA:$AA)/($AA270+SUMIF(WTG_BD!$F:$F,$A270,WTG_BD!$AA:$AA)),"")</f>
        <v/>
      </c>
      <c r="Q270" s="122" t="str">
        <f>IFERROR(1-SUMIF(IGA_BD!$F:$F,$A270,IGA_BD!$V:$V)/($AA270+SUMIF(IGA_BD!$F:$F,$A270,IGA_BD!$V:$V)),"")</f>
        <v/>
      </c>
      <c r="R270" s="127" t="str">
        <f>IFERROR(1-SUMIF(Grid_BD!$F:$F,$A270,Grid_BD!$X:$X)/($AA270+SUMIF(Grid_BD!$F:$F,$A270,Grid_BD!$X:$X)),"")</f>
        <v/>
      </c>
      <c r="S270" s="105"/>
      <c r="T270" s="122"/>
      <c r="U270" s="123"/>
      <c r="V270" s="105"/>
      <c r="W270" s="124" t="str">
        <f>IFERROR(Table13[[#This Row],[Mtr_Net_Exp (KWh)]]/(24*AR270*1000),"")</f>
        <v/>
      </c>
      <c r="X270" s="105" t="str">
        <f>IFERROR(_xlfn.XLOOKUP($A270,Input_Raw!$A:$A,Input_Raw!$CF:$CF),"")</f>
        <v/>
      </c>
      <c r="Y270" s="105" t="str">
        <f>IFERROR(_xlfn.XLOOKUP($A270,Input_Raw!$A:$A,Input_Raw!$CZ:$CZ),"")</f>
        <v/>
      </c>
      <c r="Z270" s="105" t="str">
        <f>IFERROR(_xlfn.XLOOKUP($A270,Input_Raw!$A:$A,Input_Raw!$DA:$DA),"")</f>
        <v/>
      </c>
      <c r="AA270" s="107" t="str">
        <f t="shared" si="28"/>
        <v/>
      </c>
      <c r="AB270" s="105" t="str">
        <f>IFERROR(_xlfn.XLOOKUP($A270,Input_Raw!$A:$A,Input_Raw!$DG:$DG),"")</f>
        <v/>
      </c>
      <c r="AC270" s="125">
        <f>IFERROR(_xlfn.XLOOKUP($D270,'Modelling New'!$D:$D,'Modelling New'!$J:$J),"")</f>
        <v>4.4333333333333336</v>
      </c>
      <c r="AD270" s="107">
        <f>IFERROR(_xlfn.XLOOKUP($D270,'Modelling New'!$D:$D,'Modelling New'!$T:$T)*1000,"")</f>
        <v>183922.41431383044</v>
      </c>
      <c r="AE270" s="124"/>
      <c r="AF270" s="124">
        <f>IFERROR(_xlfn.XLOOKUP($D270,'Modelling New'!$D:$D,'Modelling New'!$W:$W),"")</f>
        <v>9.8249152945422247E-2</v>
      </c>
      <c r="AG270" s="124">
        <f>IFERROR(_xlfn.XLOOKUP($D270,'Modelling New'!$D:$D,'Modelling New'!$AE:$AE),"")</f>
        <v>0.96029999999999993</v>
      </c>
      <c r="AH270" s="124">
        <f>IFERROR(_xlfn.XLOOKUP($D270,'Modelling New'!$D:$D,'Modelling New'!$AF:$AF),"")</f>
        <v>0.995</v>
      </c>
      <c r="AI270" s="105" t="str">
        <f>IFERROR(_xlfn.XLOOKUP($A270,Input_Raw!$A:$A,Input_Raw!$DE:$DE),"")</f>
        <v/>
      </c>
      <c r="AJ270" s="105"/>
      <c r="AK270" s="105"/>
      <c r="AL270" s="105"/>
      <c r="AM270" s="105"/>
      <c r="AN270" s="126" t="str">
        <f>IFERROR(_xlfn.XLOOKUP($A270,Input_Raw!$A:$A,Input_Raw!$DB:$DB),"")</f>
        <v/>
      </c>
      <c r="AO270" s="124" t="str">
        <f>IFERROR((_xlfn.XLOOKUP($A270,'WTG Reactive Power'!$A:$A,'WTG Reactive Power'!$AR:$AR))/X270/1000,"")</f>
        <v/>
      </c>
      <c r="AP270" s="124">
        <f>IFERROR(_xlfn.XLOOKUP($D270,'Modelling New'!$D:$D,'Modelling New'!$AK:$AK),"")</f>
        <v>0.05</v>
      </c>
      <c r="AQ270" s="124">
        <f>IFERROR(_xlfn.XLOOKUP($D270,'Modelling New'!$D:$D,'Modelling New'!$AL:$AL),"")</f>
        <v>0.05</v>
      </c>
      <c r="AR270">
        <f>IFERROR(_xlfn.XLOOKUP($D270,'Modelling New'!$D:$D,'Modelling New'!$N:$N),"")</f>
        <v>78</v>
      </c>
    </row>
    <row r="271" spans="1:44">
      <c r="A271" s="118">
        <f t="shared" si="22"/>
        <v>46014</v>
      </c>
      <c r="B271" s="107">
        <f>YEAR(Table13[[#This Row],[Date]])+IF(MONTH(Table13[[#This Row],[Date]])&gt;=4,1,0)</f>
        <v>2026</v>
      </c>
      <c r="C271" s="105">
        <f>YEAR(Table13[[#This Row],[Date]])</f>
        <v>2025</v>
      </c>
      <c r="D271" s="119">
        <f>Table13[[#This Row],[Date]]-DAY(Table13[[#This Row],[Date]])+1</f>
        <v>45992</v>
      </c>
      <c r="E271" s="105">
        <f t="shared" si="26"/>
        <v>31</v>
      </c>
      <c r="F271" s="108"/>
      <c r="G271" s="109"/>
      <c r="H271" s="109"/>
      <c r="I271" s="109"/>
      <c r="J271" s="109"/>
      <c r="K271" s="120"/>
      <c r="L271" s="109"/>
      <c r="M271" s="109" t="str">
        <f>IFERROR(_xlfn.XLOOKUP($A271,Input_Raw!$A:$A,Input_Raw!CG:CG),"")</f>
        <v/>
      </c>
      <c r="N271" s="109" t="str">
        <f>IFERROR(_xlfn.XLOOKUP($A271,Input_Raw!$A:$A,Input_Raw!CH:CH),"")</f>
        <v/>
      </c>
      <c r="O271" s="121" t="str">
        <f t="shared" si="27"/>
        <v/>
      </c>
      <c r="P271" s="121" t="str">
        <f>IFERROR(1-SUMIF(WTG_BD!$F:$F,$A271,WTG_BD!$AA:$AA)/($AA271+SUMIF(WTG_BD!$F:$F,$A271,WTG_BD!$AA:$AA)),"")</f>
        <v/>
      </c>
      <c r="Q271" s="122" t="str">
        <f>IFERROR(1-SUMIF(IGA_BD!$F:$F,$A271,IGA_BD!$V:$V)/($AA271+SUMIF(IGA_BD!$F:$F,$A271,IGA_BD!$V:$V)),"")</f>
        <v/>
      </c>
      <c r="R271" s="127" t="str">
        <f>IFERROR(1-SUMIF(Grid_BD!$F:$F,$A271,Grid_BD!$X:$X)/($AA271+SUMIF(Grid_BD!$F:$F,$A271,Grid_BD!$X:$X)),"")</f>
        <v/>
      </c>
      <c r="S271" s="105"/>
      <c r="T271" s="122"/>
      <c r="U271" s="123"/>
      <c r="V271" s="105"/>
      <c r="W271" s="124" t="str">
        <f>IFERROR(Table13[[#This Row],[Mtr_Net_Exp (KWh)]]/(24*AR271*1000),"")</f>
        <v/>
      </c>
      <c r="X271" s="105" t="str">
        <f>IFERROR(_xlfn.XLOOKUP($A271,Input_Raw!$A:$A,Input_Raw!$CF:$CF),"")</f>
        <v/>
      </c>
      <c r="Y271" s="105" t="str">
        <f>IFERROR(_xlfn.XLOOKUP($A271,Input_Raw!$A:$A,Input_Raw!$CZ:$CZ),"")</f>
        <v/>
      </c>
      <c r="Z271" s="105" t="str">
        <f>IFERROR(_xlfn.XLOOKUP($A271,Input_Raw!$A:$A,Input_Raw!$DA:$DA),"")</f>
        <v/>
      </c>
      <c r="AA271" s="107" t="str">
        <f t="shared" si="28"/>
        <v/>
      </c>
      <c r="AB271" s="105" t="str">
        <f>IFERROR(_xlfn.XLOOKUP($A271,Input_Raw!$A:$A,Input_Raw!$DG:$DG),"")</f>
        <v/>
      </c>
      <c r="AC271" s="125">
        <f>IFERROR(_xlfn.XLOOKUP($D271,'Modelling New'!$D:$D,'Modelling New'!$J:$J),"")</f>
        <v>4.4333333333333336</v>
      </c>
      <c r="AD271" s="107">
        <f>IFERROR(_xlfn.XLOOKUP($D271,'Modelling New'!$D:$D,'Modelling New'!$T:$T)*1000,"")</f>
        <v>183922.41431383044</v>
      </c>
      <c r="AE271" s="124"/>
      <c r="AF271" s="124">
        <f>IFERROR(_xlfn.XLOOKUP($D271,'Modelling New'!$D:$D,'Modelling New'!$W:$W),"")</f>
        <v>9.8249152945422247E-2</v>
      </c>
      <c r="AG271" s="124">
        <f>IFERROR(_xlfn.XLOOKUP($D271,'Modelling New'!$D:$D,'Modelling New'!$AE:$AE),"")</f>
        <v>0.96029999999999993</v>
      </c>
      <c r="AH271" s="124">
        <f>IFERROR(_xlfn.XLOOKUP($D271,'Modelling New'!$D:$D,'Modelling New'!$AF:$AF),"")</f>
        <v>0.995</v>
      </c>
      <c r="AI271" s="105" t="str">
        <f>IFERROR(_xlfn.XLOOKUP($A271,Input_Raw!$A:$A,Input_Raw!$DE:$DE),"")</f>
        <v/>
      </c>
      <c r="AJ271" s="105"/>
      <c r="AK271" s="105"/>
      <c r="AL271" s="105"/>
      <c r="AM271" s="105"/>
      <c r="AN271" s="126" t="str">
        <f>IFERROR(_xlfn.XLOOKUP($A271,Input_Raw!$A:$A,Input_Raw!$DB:$DB),"")</f>
        <v/>
      </c>
      <c r="AO271" s="124" t="str">
        <f>IFERROR((_xlfn.XLOOKUP($A271,'WTG Reactive Power'!$A:$A,'WTG Reactive Power'!$AR:$AR))/X271/1000,"")</f>
        <v/>
      </c>
      <c r="AP271" s="124">
        <f>IFERROR(_xlfn.XLOOKUP($D271,'Modelling New'!$D:$D,'Modelling New'!$AK:$AK),"")</f>
        <v>0.05</v>
      </c>
      <c r="AQ271" s="124">
        <f>IFERROR(_xlfn.XLOOKUP($D271,'Modelling New'!$D:$D,'Modelling New'!$AL:$AL),"")</f>
        <v>0.05</v>
      </c>
      <c r="AR271">
        <f>IFERROR(_xlfn.XLOOKUP($D271,'Modelling New'!$D:$D,'Modelling New'!$N:$N),"")</f>
        <v>78</v>
      </c>
    </row>
    <row r="272" spans="1:44">
      <c r="A272" s="118">
        <f t="shared" si="22"/>
        <v>46015</v>
      </c>
      <c r="B272" s="107">
        <f>YEAR(Table13[[#This Row],[Date]])+IF(MONTH(Table13[[#This Row],[Date]])&gt;=4,1,0)</f>
        <v>2026</v>
      </c>
      <c r="C272" s="105">
        <f>YEAR(Table13[[#This Row],[Date]])</f>
        <v>2025</v>
      </c>
      <c r="D272" s="119">
        <f>Table13[[#This Row],[Date]]-DAY(Table13[[#This Row],[Date]])+1</f>
        <v>45992</v>
      </c>
      <c r="E272" s="105">
        <f t="shared" si="26"/>
        <v>31</v>
      </c>
      <c r="F272" s="108"/>
      <c r="G272" s="109"/>
      <c r="H272" s="109"/>
      <c r="I272" s="109"/>
      <c r="J272" s="109"/>
      <c r="K272" s="120"/>
      <c r="L272" s="109"/>
      <c r="M272" s="109" t="str">
        <f>IFERROR(_xlfn.XLOOKUP($A272,Input_Raw!$A:$A,Input_Raw!CG:CG),"")</f>
        <v/>
      </c>
      <c r="N272" s="109" t="str">
        <f>IFERROR(_xlfn.XLOOKUP($A272,Input_Raw!$A:$A,Input_Raw!CH:CH),"")</f>
        <v/>
      </c>
      <c r="O272" s="121" t="str">
        <f t="shared" si="27"/>
        <v/>
      </c>
      <c r="P272" s="121" t="str">
        <f>IFERROR(1-SUMIF(WTG_BD!$F:$F,$A272,WTG_BD!$AA:$AA)/($AA272+SUMIF(WTG_BD!$F:$F,$A272,WTG_BD!$AA:$AA)),"")</f>
        <v/>
      </c>
      <c r="Q272" s="122" t="str">
        <f>IFERROR(1-SUMIF(IGA_BD!$F:$F,$A272,IGA_BD!$V:$V)/($AA272+SUMIF(IGA_BD!$F:$F,$A272,IGA_BD!$V:$V)),"")</f>
        <v/>
      </c>
      <c r="R272" s="127" t="str">
        <f>IFERROR(1-SUMIF(Grid_BD!$F:$F,$A272,Grid_BD!$X:$X)/($AA272+SUMIF(Grid_BD!$F:$F,$A272,Grid_BD!$X:$X)),"")</f>
        <v/>
      </c>
      <c r="S272" s="105"/>
      <c r="T272" s="122"/>
      <c r="U272" s="123"/>
      <c r="V272" s="105"/>
      <c r="W272" s="124" t="str">
        <f>IFERROR(Table13[[#This Row],[Mtr_Net_Exp (KWh)]]/(24*AR272*1000),"")</f>
        <v/>
      </c>
      <c r="X272" s="105" t="str">
        <f>IFERROR(_xlfn.XLOOKUP($A272,Input_Raw!$A:$A,Input_Raw!$CF:$CF),"")</f>
        <v/>
      </c>
      <c r="Y272" s="105" t="str">
        <f>IFERROR(_xlfn.XLOOKUP($A272,Input_Raw!$A:$A,Input_Raw!$CZ:$CZ),"")</f>
        <v/>
      </c>
      <c r="Z272" s="105" t="str">
        <f>IFERROR(_xlfn.XLOOKUP($A272,Input_Raw!$A:$A,Input_Raw!$DA:$DA),"")</f>
        <v/>
      </c>
      <c r="AA272" s="107" t="str">
        <f t="shared" si="28"/>
        <v/>
      </c>
      <c r="AB272" s="105" t="str">
        <f>IFERROR(_xlfn.XLOOKUP($A272,Input_Raw!$A:$A,Input_Raw!$DG:$DG),"")</f>
        <v/>
      </c>
      <c r="AC272" s="125">
        <f>IFERROR(_xlfn.XLOOKUP($D272,'Modelling New'!$D:$D,'Modelling New'!$J:$J),"")</f>
        <v>4.4333333333333336</v>
      </c>
      <c r="AD272" s="107">
        <f>IFERROR(_xlfn.XLOOKUP($D272,'Modelling New'!$D:$D,'Modelling New'!$T:$T)*1000,"")</f>
        <v>183922.41431383044</v>
      </c>
      <c r="AE272" s="124"/>
      <c r="AF272" s="124">
        <f>IFERROR(_xlfn.XLOOKUP($D272,'Modelling New'!$D:$D,'Modelling New'!$W:$W),"")</f>
        <v>9.8249152945422247E-2</v>
      </c>
      <c r="AG272" s="124">
        <f>IFERROR(_xlfn.XLOOKUP($D272,'Modelling New'!$D:$D,'Modelling New'!$AE:$AE),"")</f>
        <v>0.96029999999999993</v>
      </c>
      <c r="AH272" s="124">
        <f>IFERROR(_xlfn.XLOOKUP($D272,'Modelling New'!$D:$D,'Modelling New'!$AF:$AF),"")</f>
        <v>0.995</v>
      </c>
      <c r="AI272" s="105" t="str">
        <f>IFERROR(_xlfn.XLOOKUP($A272,Input_Raw!$A:$A,Input_Raw!$DE:$DE),"")</f>
        <v/>
      </c>
      <c r="AJ272" s="105"/>
      <c r="AK272" s="105"/>
      <c r="AL272" s="105"/>
      <c r="AM272" s="105"/>
      <c r="AN272" s="126" t="str">
        <f>IFERROR(_xlfn.XLOOKUP($A272,Input_Raw!$A:$A,Input_Raw!$DB:$DB),"")</f>
        <v/>
      </c>
      <c r="AO272" s="124" t="str">
        <f>IFERROR((_xlfn.XLOOKUP($A272,'WTG Reactive Power'!$A:$A,'WTG Reactive Power'!$AR:$AR))/X272/1000,"")</f>
        <v/>
      </c>
      <c r="AP272" s="124">
        <f>IFERROR(_xlfn.XLOOKUP($D272,'Modelling New'!$D:$D,'Modelling New'!$AK:$AK),"")</f>
        <v>0.05</v>
      </c>
      <c r="AQ272" s="124">
        <f>IFERROR(_xlfn.XLOOKUP($D272,'Modelling New'!$D:$D,'Modelling New'!$AL:$AL),"")</f>
        <v>0.05</v>
      </c>
      <c r="AR272">
        <f>IFERROR(_xlfn.XLOOKUP($D272,'Modelling New'!$D:$D,'Modelling New'!$N:$N),"")</f>
        <v>78</v>
      </c>
    </row>
    <row r="273" spans="1:44">
      <c r="A273" s="118">
        <f t="shared" si="22"/>
        <v>46016</v>
      </c>
      <c r="B273" s="107">
        <f>YEAR(Table13[[#This Row],[Date]])+IF(MONTH(Table13[[#This Row],[Date]])&gt;=4,1,0)</f>
        <v>2026</v>
      </c>
      <c r="C273" s="105">
        <f>YEAR(Table13[[#This Row],[Date]])</f>
        <v>2025</v>
      </c>
      <c r="D273" s="119">
        <f>Table13[[#This Row],[Date]]-DAY(Table13[[#This Row],[Date]])+1</f>
        <v>45992</v>
      </c>
      <c r="E273" s="105">
        <f t="shared" si="26"/>
        <v>31</v>
      </c>
      <c r="F273" s="108"/>
      <c r="G273" s="109"/>
      <c r="H273" s="109"/>
      <c r="I273" s="109"/>
      <c r="J273" s="109"/>
      <c r="K273" s="120"/>
      <c r="L273" s="109"/>
      <c r="M273" s="109" t="str">
        <f>IFERROR(_xlfn.XLOOKUP($A273,Input_Raw!$A:$A,Input_Raw!CG:CG),"")</f>
        <v/>
      </c>
      <c r="N273" s="109" t="str">
        <f>IFERROR(_xlfn.XLOOKUP($A273,Input_Raw!$A:$A,Input_Raw!CH:CH),"")</f>
        <v/>
      </c>
      <c r="O273" s="121" t="str">
        <f t="shared" si="27"/>
        <v/>
      </c>
      <c r="P273" s="121" t="str">
        <f>IFERROR(1-SUMIF(WTG_BD!$F:$F,$A273,WTG_BD!$AA:$AA)/($AA273+SUMIF(WTG_BD!$F:$F,$A273,WTG_BD!$AA:$AA)),"")</f>
        <v/>
      </c>
      <c r="Q273" s="122" t="str">
        <f>IFERROR(1-SUMIF(IGA_BD!$F:$F,$A273,IGA_BD!$V:$V)/($AA273+SUMIF(IGA_BD!$F:$F,$A273,IGA_BD!$V:$V)),"")</f>
        <v/>
      </c>
      <c r="R273" s="127" t="str">
        <f>IFERROR(1-SUMIF(Grid_BD!$F:$F,$A273,Grid_BD!$X:$X)/($AA273+SUMIF(Grid_BD!$F:$F,$A273,Grid_BD!$X:$X)),"")</f>
        <v/>
      </c>
      <c r="S273" s="105"/>
      <c r="T273" s="122"/>
      <c r="U273" s="123"/>
      <c r="V273" s="105"/>
      <c r="W273" s="124" t="str">
        <f>IFERROR(Table13[[#This Row],[Mtr_Net_Exp (KWh)]]/(24*AR273*1000),"")</f>
        <v/>
      </c>
      <c r="X273" s="105" t="str">
        <f>IFERROR(_xlfn.XLOOKUP($A273,Input_Raw!$A:$A,Input_Raw!$CF:$CF),"")</f>
        <v/>
      </c>
      <c r="Y273" s="105" t="str">
        <f>IFERROR(_xlfn.XLOOKUP($A273,Input_Raw!$A:$A,Input_Raw!$CZ:$CZ),"")</f>
        <v/>
      </c>
      <c r="Z273" s="105" t="str">
        <f>IFERROR(_xlfn.XLOOKUP($A273,Input_Raw!$A:$A,Input_Raw!$DA:$DA),"")</f>
        <v/>
      </c>
      <c r="AA273" s="107" t="str">
        <f t="shared" si="28"/>
        <v/>
      </c>
      <c r="AB273" s="105" t="str">
        <f>IFERROR(_xlfn.XLOOKUP($A273,Input_Raw!$A:$A,Input_Raw!$DG:$DG),"")</f>
        <v/>
      </c>
      <c r="AC273" s="125">
        <f>IFERROR(_xlfn.XLOOKUP($D273,'Modelling New'!$D:$D,'Modelling New'!$J:$J),"")</f>
        <v>4.4333333333333336</v>
      </c>
      <c r="AD273" s="107">
        <f>IFERROR(_xlfn.XLOOKUP($D273,'Modelling New'!$D:$D,'Modelling New'!$T:$T)*1000,"")</f>
        <v>183922.41431383044</v>
      </c>
      <c r="AE273" s="124"/>
      <c r="AF273" s="124">
        <f>IFERROR(_xlfn.XLOOKUP($D273,'Modelling New'!$D:$D,'Modelling New'!$W:$W),"")</f>
        <v>9.8249152945422247E-2</v>
      </c>
      <c r="AG273" s="124">
        <f>IFERROR(_xlfn.XLOOKUP($D273,'Modelling New'!$D:$D,'Modelling New'!$AE:$AE),"")</f>
        <v>0.96029999999999993</v>
      </c>
      <c r="AH273" s="124">
        <f>IFERROR(_xlfn.XLOOKUP($D273,'Modelling New'!$D:$D,'Modelling New'!$AF:$AF),"")</f>
        <v>0.995</v>
      </c>
      <c r="AI273" s="105" t="str">
        <f>IFERROR(_xlfn.XLOOKUP($A273,Input_Raw!$A:$A,Input_Raw!$DE:$DE),"")</f>
        <v/>
      </c>
      <c r="AJ273" s="105"/>
      <c r="AK273" s="105"/>
      <c r="AL273" s="105"/>
      <c r="AM273" s="105"/>
      <c r="AN273" s="126" t="str">
        <f>IFERROR(_xlfn.XLOOKUP($A273,Input_Raw!$A:$A,Input_Raw!$DB:$DB),"")</f>
        <v/>
      </c>
      <c r="AO273" s="124" t="str">
        <f>IFERROR((_xlfn.XLOOKUP($A273,'WTG Reactive Power'!$A:$A,'WTG Reactive Power'!$AR:$AR))/X273/1000,"")</f>
        <v/>
      </c>
      <c r="AP273" s="124">
        <f>IFERROR(_xlfn.XLOOKUP($D273,'Modelling New'!$D:$D,'Modelling New'!$AK:$AK),"")</f>
        <v>0.05</v>
      </c>
      <c r="AQ273" s="124">
        <f>IFERROR(_xlfn.XLOOKUP($D273,'Modelling New'!$D:$D,'Modelling New'!$AL:$AL),"")</f>
        <v>0.05</v>
      </c>
      <c r="AR273">
        <f>IFERROR(_xlfn.XLOOKUP($D273,'Modelling New'!$D:$D,'Modelling New'!$N:$N),"")</f>
        <v>78</v>
      </c>
    </row>
    <row r="274" spans="1:44">
      <c r="A274" s="118">
        <f t="shared" si="22"/>
        <v>46017</v>
      </c>
      <c r="B274" s="107">
        <f>YEAR(Table13[[#This Row],[Date]])+IF(MONTH(Table13[[#This Row],[Date]])&gt;=4,1,0)</f>
        <v>2026</v>
      </c>
      <c r="C274" s="105">
        <f>YEAR(Table13[[#This Row],[Date]])</f>
        <v>2025</v>
      </c>
      <c r="D274" s="119">
        <f>Table13[[#This Row],[Date]]-DAY(Table13[[#This Row],[Date]])+1</f>
        <v>45992</v>
      </c>
      <c r="E274" s="105">
        <f t="shared" si="26"/>
        <v>31</v>
      </c>
      <c r="F274" s="108"/>
      <c r="G274" s="109"/>
      <c r="H274" s="109"/>
      <c r="I274" s="109"/>
      <c r="J274" s="109"/>
      <c r="K274" s="120"/>
      <c r="L274" s="109"/>
      <c r="M274" s="109" t="str">
        <f>IFERROR(_xlfn.XLOOKUP($A274,Input_Raw!$A:$A,Input_Raw!CG:CG),"")</f>
        <v/>
      </c>
      <c r="N274" s="109" t="str">
        <f>IFERROR(_xlfn.XLOOKUP($A274,Input_Raw!$A:$A,Input_Raw!CH:CH),"")</f>
        <v/>
      </c>
      <c r="O274" s="121" t="str">
        <f t="shared" si="27"/>
        <v/>
      </c>
      <c r="P274" s="121" t="str">
        <f>IFERROR(1-SUMIF(WTG_BD!$F:$F,$A274,WTG_BD!$AA:$AA)/($AA274+SUMIF(WTG_BD!$F:$F,$A274,WTG_BD!$AA:$AA)),"")</f>
        <v/>
      </c>
      <c r="Q274" s="122" t="str">
        <f>IFERROR(1-SUMIF(IGA_BD!$F:$F,$A274,IGA_BD!$V:$V)/($AA274+SUMIF(IGA_BD!$F:$F,$A274,IGA_BD!$V:$V)),"")</f>
        <v/>
      </c>
      <c r="R274" s="127" t="str">
        <f>IFERROR(1-SUMIF(Grid_BD!$F:$F,$A274,Grid_BD!$X:$X)/($AA274+SUMIF(Grid_BD!$F:$F,$A274,Grid_BD!$X:$X)),"")</f>
        <v/>
      </c>
      <c r="S274" s="105"/>
      <c r="T274" s="122"/>
      <c r="U274" s="123"/>
      <c r="V274" s="105"/>
      <c r="W274" s="124" t="str">
        <f>IFERROR(Table13[[#This Row],[Mtr_Net_Exp (KWh)]]/(24*AR274*1000),"")</f>
        <v/>
      </c>
      <c r="X274" s="105" t="str">
        <f>IFERROR(_xlfn.XLOOKUP($A274,Input_Raw!$A:$A,Input_Raw!$CF:$CF),"")</f>
        <v/>
      </c>
      <c r="Y274" s="105" t="str">
        <f>IFERROR(_xlfn.XLOOKUP($A274,Input_Raw!$A:$A,Input_Raw!$CZ:$CZ),"")</f>
        <v/>
      </c>
      <c r="Z274" s="105" t="str">
        <f>IFERROR(_xlfn.XLOOKUP($A274,Input_Raw!$A:$A,Input_Raw!$DA:$DA),"")</f>
        <v/>
      </c>
      <c r="AA274" s="107" t="str">
        <f t="shared" si="28"/>
        <v/>
      </c>
      <c r="AB274" s="105" t="str">
        <f>IFERROR(_xlfn.XLOOKUP($A274,Input_Raw!$A:$A,Input_Raw!$DG:$DG),"")</f>
        <v/>
      </c>
      <c r="AC274" s="125">
        <f>IFERROR(_xlfn.XLOOKUP($D274,'Modelling New'!$D:$D,'Modelling New'!$J:$J),"")</f>
        <v>4.4333333333333336</v>
      </c>
      <c r="AD274" s="107">
        <f>IFERROR(_xlfn.XLOOKUP($D274,'Modelling New'!$D:$D,'Modelling New'!$T:$T)*1000,"")</f>
        <v>183922.41431383044</v>
      </c>
      <c r="AE274" s="124"/>
      <c r="AF274" s="124">
        <f>IFERROR(_xlfn.XLOOKUP($D274,'Modelling New'!$D:$D,'Modelling New'!$W:$W),"")</f>
        <v>9.8249152945422247E-2</v>
      </c>
      <c r="AG274" s="124">
        <f>IFERROR(_xlfn.XLOOKUP($D274,'Modelling New'!$D:$D,'Modelling New'!$AE:$AE),"")</f>
        <v>0.96029999999999993</v>
      </c>
      <c r="AH274" s="124">
        <f>IFERROR(_xlfn.XLOOKUP($D274,'Modelling New'!$D:$D,'Modelling New'!$AF:$AF),"")</f>
        <v>0.995</v>
      </c>
      <c r="AI274" s="105" t="str">
        <f>IFERROR(_xlfn.XLOOKUP($A274,Input_Raw!$A:$A,Input_Raw!$DE:$DE),"")</f>
        <v/>
      </c>
      <c r="AJ274" s="105"/>
      <c r="AK274" s="105"/>
      <c r="AL274" s="105"/>
      <c r="AM274" s="105"/>
      <c r="AN274" s="126" t="str">
        <f>IFERROR(_xlfn.XLOOKUP($A274,Input_Raw!$A:$A,Input_Raw!$DB:$DB),"")</f>
        <v/>
      </c>
      <c r="AO274" s="124" t="str">
        <f>IFERROR((_xlfn.XLOOKUP($A274,'WTG Reactive Power'!$A:$A,'WTG Reactive Power'!$AR:$AR))/X274/1000,"")</f>
        <v/>
      </c>
      <c r="AP274" s="124">
        <f>IFERROR(_xlfn.XLOOKUP($D274,'Modelling New'!$D:$D,'Modelling New'!$AK:$AK),"")</f>
        <v>0.05</v>
      </c>
      <c r="AQ274" s="124">
        <f>IFERROR(_xlfn.XLOOKUP($D274,'Modelling New'!$D:$D,'Modelling New'!$AL:$AL),"")</f>
        <v>0.05</v>
      </c>
      <c r="AR274">
        <f>IFERROR(_xlfn.XLOOKUP($D274,'Modelling New'!$D:$D,'Modelling New'!$N:$N),"")</f>
        <v>78</v>
      </c>
    </row>
    <row r="275" spans="1:44">
      <c r="A275" s="118">
        <f t="shared" si="22"/>
        <v>46018</v>
      </c>
      <c r="B275" s="107">
        <f>YEAR(Table13[[#This Row],[Date]])+IF(MONTH(Table13[[#This Row],[Date]])&gt;=4,1,0)</f>
        <v>2026</v>
      </c>
      <c r="C275" s="105">
        <f>YEAR(Table13[[#This Row],[Date]])</f>
        <v>2025</v>
      </c>
      <c r="D275" s="119">
        <f>Table13[[#This Row],[Date]]-DAY(Table13[[#This Row],[Date]])+1</f>
        <v>45992</v>
      </c>
      <c r="E275" s="105">
        <f t="shared" si="26"/>
        <v>31</v>
      </c>
      <c r="F275" s="108"/>
      <c r="G275" s="109"/>
      <c r="H275" s="109"/>
      <c r="I275" s="109"/>
      <c r="J275" s="109"/>
      <c r="K275" s="120"/>
      <c r="L275" s="109"/>
      <c r="M275" s="109" t="str">
        <f>IFERROR(_xlfn.XLOOKUP($A275,Input_Raw!$A:$A,Input_Raw!CG:CG),"")</f>
        <v/>
      </c>
      <c r="N275" s="109" t="str">
        <f>IFERROR(_xlfn.XLOOKUP($A275,Input_Raw!$A:$A,Input_Raw!CH:CH),"")</f>
        <v/>
      </c>
      <c r="O275" s="121" t="str">
        <f t="shared" si="27"/>
        <v/>
      </c>
      <c r="P275" s="121" t="str">
        <f>IFERROR(1-SUMIF(WTG_BD!$F:$F,$A275,WTG_BD!$AA:$AA)/($AA275+SUMIF(WTG_BD!$F:$F,$A275,WTG_BD!$AA:$AA)),"")</f>
        <v/>
      </c>
      <c r="Q275" s="122" t="str">
        <f>IFERROR(1-SUMIF(IGA_BD!$F:$F,$A275,IGA_BD!$V:$V)/($AA275+SUMIF(IGA_BD!$F:$F,$A275,IGA_BD!$V:$V)),"")</f>
        <v/>
      </c>
      <c r="R275" s="127" t="str">
        <f>IFERROR(1-SUMIF(Grid_BD!$F:$F,$A275,Grid_BD!$X:$X)/($AA275+SUMIF(Grid_BD!$F:$F,$A275,Grid_BD!$X:$X)),"")</f>
        <v/>
      </c>
      <c r="S275" s="105"/>
      <c r="T275" s="122"/>
      <c r="U275" s="123"/>
      <c r="V275" s="105"/>
      <c r="W275" s="124" t="str">
        <f>IFERROR(Table13[[#This Row],[Mtr_Net_Exp (KWh)]]/(24*AR275*1000),"")</f>
        <v/>
      </c>
      <c r="X275" s="105" t="str">
        <f>IFERROR(_xlfn.XLOOKUP($A275,Input_Raw!$A:$A,Input_Raw!$CF:$CF),"")</f>
        <v/>
      </c>
      <c r="Y275" s="105" t="str">
        <f>IFERROR(_xlfn.XLOOKUP($A275,Input_Raw!$A:$A,Input_Raw!$CZ:$CZ),"")</f>
        <v/>
      </c>
      <c r="Z275" s="105" t="str">
        <f>IFERROR(_xlfn.XLOOKUP($A275,Input_Raw!$A:$A,Input_Raw!$DA:$DA),"")</f>
        <v/>
      </c>
      <c r="AA275" s="107" t="str">
        <f t="shared" si="28"/>
        <v/>
      </c>
      <c r="AB275" s="105" t="str">
        <f>IFERROR(_xlfn.XLOOKUP($A275,Input_Raw!$A:$A,Input_Raw!$DG:$DG),"")</f>
        <v/>
      </c>
      <c r="AC275" s="125">
        <f>IFERROR(_xlfn.XLOOKUP($D275,'Modelling New'!$D:$D,'Modelling New'!$J:$J),"")</f>
        <v>4.4333333333333336</v>
      </c>
      <c r="AD275" s="107">
        <f>IFERROR(_xlfn.XLOOKUP($D275,'Modelling New'!$D:$D,'Modelling New'!$T:$T)*1000,"")</f>
        <v>183922.41431383044</v>
      </c>
      <c r="AE275" s="124"/>
      <c r="AF275" s="124">
        <f>IFERROR(_xlfn.XLOOKUP($D275,'Modelling New'!$D:$D,'Modelling New'!$W:$W),"")</f>
        <v>9.8249152945422247E-2</v>
      </c>
      <c r="AG275" s="124">
        <f>IFERROR(_xlfn.XLOOKUP($D275,'Modelling New'!$D:$D,'Modelling New'!$AE:$AE),"")</f>
        <v>0.96029999999999993</v>
      </c>
      <c r="AH275" s="124">
        <f>IFERROR(_xlfn.XLOOKUP($D275,'Modelling New'!$D:$D,'Modelling New'!$AF:$AF),"")</f>
        <v>0.995</v>
      </c>
      <c r="AI275" s="105" t="str">
        <f>IFERROR(_xlfn.XLOOKUP($A275,Input_Raw!$A:$A,Input_Raw!$DE:$DE),"")</f>
        <v/>
      </c>
      <c r="AJ275" s="105"/>
      <c r="AK275" s="105"/>
      <c r="AL275" s="105"/>
      <c r="AM275" s="105"/>
      <c r="AN275" s="126" t="str">
        <f>IFERROR(_xlfn.XLOOKUP($A275,Input_Raw!$A:$A,Input_Raw!$DB:$DB),"")</f>
        <v/>
      </c>
      <c r="AO275" s="124" t="str">
        <f>IFERROR((_xlfn.XLOOKUP($A275,'WTG Reactive Power'!$A:$A,'WTG Reactive Power'!$AR:$AR))/X275/1000,"")</f>
        <v/>
      </c>
      <c r="AP275" s="124">
        <f>IFERROR(_xlfn.XLOOKUP($D275,'Modelling New'!$D:$D,'Modelling New'!$AK:$AK),"")</f>
        <v>0.05</v>
      </c>
      <c r="AQ275" s="124">
        <f>IFERROR(_xlfn.XLOOKUP($D275,'Modelling New'!$D:$D,'Modelling New'!$AL:$AL),"")</f>
        <v>0.05</v>
      </c>
      <c r="AR275">
        <f>IFERROR(_xlfn.XLOOKUP($D275,'Modelling New'!$D:$D,'Modelling New'!$N:$N),"")</f>
        <v>78</v>
      </c>
    </row>
    <row r="276" spans="1:44">
      <c r="A276" s="118">
        <f t="shared" si="22"/>
        <v>46019</v>
      </c>
      <c r="B276" s="107">
        <f>YEAR(Table13[[#This Row],[Date]])+IF(MONTH(Table13[[#This Row],[Date]])&gt;=4,1,0)</f>
        <v>2026</v>
      </c>
      <c r="C276" s="105">
        <f>YEAR(Table13[[#This Row],[Date]])</f>
        <v>2025</v>
      </c>
      <c r="D276" s="119">
        <f>Table13[[#This Row],[Date]]-DAY(Table13[[#This Row],[Date]])+1</f>
        <v>45992</v>
      </c>
      <c r="E276" s="105">
        <f t="shared" si="26"/>
        <v>31</v>
      </c>
      <c r="F276" s="108"/>
      <c r="G276" s="109"/>
      <c r="H276" s="109"/>
      <c r="I276" s="109"/>
      <c r="J276" s="109"/>
      <c r="K276" s="120"/>
      <c r="L276" s="109"/>
      <c r="M276" s="109" t="str">
        <f>IFERROR(_xlfn.XLOOKUP($A276,Input_Raw!$A:$A,Input_Raw!CG:CG),"")</f>
        <v/>
      </c>
      <c r="N276" s="109" t="str">
        <f>IFERROR(_xlfn.XLOOKUP($A276,Input_Raw!$A:$A,Input_Raw!CH:CH),"")</f>
        <v/>
      </c>
      <c r="O276" s="121" t="str">
        <f t="shared" si="27"/>
        <v/>
      </c>
      <c r="P276" s="121" t="str">
        <f>IFERROR(1-SUMIF(WTG_BD!$F:$F,$A276,WTG_BD!$AA:$AA)/($AA276+SUMIF(WTG_BD!$F:$F,$A276,WTG_BD!$AA:$AA)),"")</f>
        <v/>
      </c>
      <c r="Q276" s="122" t="str">
        <f>IFERROR(1-SUMIF(IGA_BD!$F:$F,$A276,IGA_BD!$V:$V)/($AA276+SUMIF(IGA_BD!$F:$F,$A276,IGA_BD!$V:$V)),"")</f>
        <v/>
      </c>
      <c r="R276" s="127" t="str">
        <f>IFERROR(1-SUMIF(Grid_BD!$F:$F,$A276,Grid_BD!$X:$X)/($AA276+SUMIF(Grid_BD!$F:$F,$A276,Grid_BD!$X:$X)),"")</f>
        <v/>
      </c>
      <c r="S276" s="105"/>
      <c r="T276" s="122"/>
      <c r="U276" s="123"/>
      <c r="V276" s="105"/>
      <c r="W276" s="124" t="str">
        <f>IFERROR(Table13[[#This Row],[Mtr_Net_Exp (KWh)]]/(24*AR276*1000),"")</f>
        <v/>
      </c>
      <c r="X276" s="105" t="str">
        <f>IFERROR(_xlfn.XLOOKUP($A276,Input_Raw!$A:$A,Input_Raw!$CF:$CF),"")</f>
        <v/>
      </c>
      <c r="Y276" s="105" t="str">
        <f>IFERROR(_xlfn.XLOOKUP($A276,Input_Raw!$A:$A,Input_Raw!$CZ:$CZ),"")</f>
        <v/>
      </c>
      <c r="Z276" s="105" t="str">
        <f>IFERROR(_xlfn.XLOOKUP($A276,Input_Raw!$A:$A,Input_Raw!$DA:$DA),"")</f>
        <v/>
      </c>
      <c r="AA276" s="107" t="str">
        <f t="shared" si="28"/>
        <v/>
      </c>
      <c r="AB276" s="105" t="str">
        <f>IFERROR(_xlfn.XLOOKUP($A276,Input_Raw!$A:$A,Input_Raw!$DG:$DG),"")</f>
        <v/>
      </c>
      <c r="AC276" s="125">
        <f>IFERROR(_xlfn.XLOOKUP($D276,'Modelling New'!$D:$D,'Modelling New'!$J:$J),"")</f>
        <v>4.4333333333333336</v>
      </c>
      <c r="AD276" s="107">
        <f>IFERROR(_xlfn.XLOOKUP($D276,'Modelling New'!$D:$D,'Modelling New'!$T:$T)*1000,"")</f>
        <v>183922.41431383044</v>
      </c>
      <c r="AE276" s="124"/>
      <c r="AF276" s="124">
        <f>IFERROR(_xlfn.XLOOKUP($D276,'Modelling New'!$D:$D,'Modelling New'!$W:$W),"")</f>
        <v>9.8249152945422247E-2</v>
      </c>
      <c r="AG276" s="124">
        <f>IFERROR(_xlfn.XLOOKUP($D276,'Modelling New'!$D:$D,'Modelling New'!$AE:$AE),"")</f>
        <v>0.96029999999999993</v>
      </c>
      <c r="AH276" s="124">
        <f>IFERROR(_xlfn.XLOOKUP($D276,'Modelling New'!$D:$D,'Modelling New'!$AF:$AF),"")</f>
        <v>0.995</v>
      </c>
      <c r="AI276" s="105" t="str">
        <f>IFERROR(_xlfn.XLOOKUP($A276,Input_Raw!$A:$A,Input_Raw!$DE:$DE),"")</f>
        <v/>
      </c>
      <c r="AJ276" s="105"/>
      <c r="AK276" s="105"/>
      <c r="AL276" s="105"/>
      <c r="AM276" s="105"/>
      <c r="AN276" s="126" t="str">
        <f>IFERROR(_xlfn.XLOOKUP($A276,Input_Raw!$A:$A,Input_Raw!$DB:$DB),"")</f>
        <v/>
      </c>
      <c r="AO276" s="124" t="str">
        <f>IFERROR((_xlfn.XLOOKUP($A276,'WTG Reactive Power'!$A:$A,'WTG Reactive Power'!$AR:$AR))/X276/1000,"")</f>
        <v/>
      </c>
      <c r="AP276" s="124">
        <f>IFERROR(_xlfn.XLOOKUP($D276,'Modelling New'!$D:$D,'Modelling New'!$AK:$AK),"")</f>
        <v>0.05</v>
      </c>
      <c r="AQ276" s="124">
        <f>IFERROR(_xlfn.XLOOKUP($D276,'Modelling New'!$D:$D,'Modelling New'!$AL:$AL),"")</f>
        <v>0.05</v>
      </c>
      <c r="AR276">
        <f>IFERROR(_xlfn.XLOOKUP($D276,'Modelling New'!$D:$D,'Modelling New'!$N:$N),"")</f>
        <v>78</v>
      </c>
    </row>
    <row r="277" spans="1:44">
      <c r="A277" s="118">
        <f t="shared" si="22"/>
        <v>46020</v>
      </c>
      <c r="B277" s="107">
        <f>YEAR(Table13[[#This Row],[Date]])+IF(MONTH(Table13[[#This Row],[Date]])&gt;=4,1,0)</f>
        <v>2026</v>
      </c>
      <c r="C277" s="105">
        <f>YEAR(Table13[[#This Row],[Date]])</f>
        <v>2025</v>
      </c>
      <c r="D277" s="119">
        <f>Table13[[#This Row],[Date]]-DAY(Table13[[#This Row],[Date]])+1</f>
        <v>45992</v>
      </c>
      <c r="E277" s="105">
        <f t="shared" si="26"/>
        <v>31</v>
      </c>
      <c r="F277" s="108"/>
      <c r="G277" s="109"/>
      <c r="H277" s="109"/>
      <c r="I277" s="109"/>
      <c r="J277" s="109"/>
      <c r="K277" s="120"/>
      <c r="L277" s="109"/>
      <c r="M277" s="109" t="str">
        <f>IFERROR(_xlfn.XLOOKUP($A277,Input_Raw!$A:$A,Input_Raw!CG:CG),"")</f>
        <v/>
      </c>
      <c r="N277" s="109" t="str">
        <f>IFERROR(_xlfn.XLOOKUP($A277,Input_Raw!$A:$A,Input_Raw!CH:CH),"")</f>
        <v/>
      </c>
      <c r="O277" s="121" t="str">
        <f t="shared" si="27"/>
        <v/>
      </c>
      <c r="P277" s="121" t="str">
        <f>IFERROR(1-SUMIF(WTG_BD!$F:$F,$A277,WTG_BD!$AA:$AA)/($AA277+SUMIF(WTG_BD!$F:$F,$A277,WTG_BD!$AA:$AA)),"")</f>
        <v/>
      </c>
      <c r="Q277" s="122" t="str">
        <f>IFERROR(1-SUMIF(IGA_BD!$F:$F,$A277,IGA_BD!$V:$V)/($AA277+SUMIF(IGA_BD!$F:$F,$A277,IGA_BD!$V:$V)),"")</f>
        <v/>
      </c>
      <c r="R277" s="127" t="str">
        <f>IFERROR(1-SUMIF(Grid_BD!$F:$F,$A277,Grid_BD!$X:$X)/($AA277+SUMIF(Grid_BD!$F:$F,$A277,Grid_BD!$X:$X)),"")</f>
        <v/>
      </c>
      <c r="S277" s="105"/>
      <c r="T277" s="122"/>
      <c r="U277" s="123"/>
      <c r="V277" s="105"/>
      <c r="W277" s="124" t="str">
        <f>IFERROR(Table13[[#This Row],[Mtr_Net_Exp (KWh)]]/(24*AR277*1000),"")</f>
        <v/>
      </c>
      <c r="X277" s="105" t="str">
        <f>IFERROR(_xlfn.XLOOKUP($A277,Input_Raw!$A:$A,Input_Raw!$CF:$CF),"")</f>
        <v/>
      </c>
      <c r="Y277" s="105" t="str">
        <f>IFERROR(_xlfn.XLOOKUP($A277,Input_Raw!$A:$A,Input_Raw!$CZ:$CZ),"")</f>
        <v/>
      </c>
      <c r="Z277" s="105" t="str">
        <f>IFERROR(_xlfn.XLOOKUP($A277,Input_Raw!$A:$A,Input_Raw!$DA:$DA),"")</f>
        <v/>
      </c>
      <c r="AA277" s="107" t="str">
        <f t="shared" si="28"/>
        <v/>
      </c>
      <c r="AB277" s="105" t="str">
        <f>IFERROR(_xlfn.XLOOKUP($A277,Input_Raw!$A:$A,Input_Raw!$DG:$DG),"")</f>
        <v/>
      </c>
      <c r="AC277" s="125">
        <f>IFERROR(_xlfn.XLOOKUP($D277,'Modelling New'!$D:$D,'Modelling New'!$J:$J),"")</f>
        <v>4.4333333333333336</v>
      </c>
      <c r="AD277" s="107">
        <f>IFERROR(_xlfn.XLOOKUP($D277,'Modelling New'!$D:$D,'Modelling New'!$T:$T)*1000,"")</f>
        <v>183922.41431383044</v>
      </c>
      <c r="AE277" s="124"/>
      <c r="AF277" s="124">
        <f>IFERROR(_xlfn.XLOOKUP($D277,'Modelling New'!$D:$D,'Modelling New'!$W:$W),"")</f>
        <v>9.8249152945422247E-2</v>
      </c>
      <c r="AG277" s="124">
        <f>IFERROR(_xlfn.XLOOKUP($D277,'Modelling New'!$D:$D,'Modelling New'!$AE:$AE),"")</f>
        <v>0.96029999999999993</v>
      </c>
      <c r="AH277" s="124">
        <f>IFERROR(_xlfn.XLOOKUP($D277,'Modelling New'!$D:$D,'Modelling New'!$AF:$AF),"")</f>
        <v>0.995</v>
      </c>
      <c r="AI277" s="105" t="str">
        <f>IFERROR(_xlfn.XLOOKUP($A277,Input_Raw!$A:$A,Input_Raw!$DE:$DE),"")</f>
        <v/>
      </c>
      <c r="AJ277" s="105"/>
      <c r="AK277" s="105"/>
      <c r="AL277" s="105"/>
      <c r="AM277" s="105"/>
      <c r="AN277" s="126" t="str">
        <f>IFERROR(_xlfn.XLOOKUP($A277,Input_Raw!$A:$A,Input_Raw!$DB:$DB),"")</f>
        <v/>
      </c>
      <c r="AO277" s="124" t="str">
        <f>IFERROR((_xlfn.XLOOKUP($A277,'WTG Reactive Power'!$A:$A,'WTG Reactive Power'!$AR:$AR))/X277/1000,"")</f>
        <v/>
      </c>
      <c r="AP277" s="124">
        <f>IFERROR(_xlfn.XLOOKUP($D277,'Modelling New'!$D:$D,'Modelling New'!$AK:$AK),"")</f>
        <v>0.05</v>
      </c>
      <c r="AQ277" s="124">
        <f>IFERROR(_xlfn.XLOOKUP($D277,'Modelling New'!$D:$D,'Modelling New'!$AL:$AL),"")</f>
        <v>0.05</v>
      </c>
      <c r="AR277">
        <f>IFERROR(_xlfn.XLOOKUP($D277,'Modelling New'!$D:$D,'Modelling New'!$N:$N),"")</f>
        <v>78</v>
      </c>
    </row>
    <row r="278" spans="1:44">
      <c r="A278" s="118">
        <f t="shared" si="22"/>
        <v>46021</v>
      </c>
      <c r="B278" s="107">
        <f>YEAR(Table13[[#This Row],[Date]])+IF(MONTH(Table13[[#This Row],[Date]])&gt;=4,1,0)</f>
        <v>2026</v>
      </c>
      <c r="C278" s="105">
        <f>YEAR(Table13[[#This Row],[Date]])</f>
        <v>2025</v>
      </c>
      <c r="D278" s="119">
        <f>Table13[[#This Row],[Date]]-DAY(Table13[[#This Row],[Date]])+1</f>
        <v>45992</v>
      </c>
      <c r="E278" s="105">
        <f t="shared" si="26"/>
        <v>31</v>
      </c>
      <c r="F278" s="108"/>
      <c r="G278" s="109"/>
      <c r="H278" s="109"/>
      <c r="I278" s="109"/>
      <c r="J278" s="109"/>
      <c r="K278" s="120"/>
      <c r="L278" s="109"/>
      <c r="M278" s="109" t="str">
        <f>IFERROR(_xlfn.XLOOKUP($A278,Input_Raw!$A:$A,Input_Raw!CG:CG),"")</f>
        <v/>
      </c>
      <c r="N278" s="109" t="str">
        <f>IFERROR(_xlfn.XLOOKUP($A278,Input_Raw!$A:$A,Input_Raw!CH:CH),"")</f>
        <v/>
      </c>
      <c r="O278" s="121" t="str">
        <f t="shared" si="27"/>
        <v/>
      </c>
      <c r="P278" s="121" t="str">
        <f>IFERROR(1-SUMIF(WTG_BD!$F:$F,$A278,WTG_BD!$AA:$AA)/($AA278+SUMIF(WTG_BD!$F:$F,$A278,WTG_BD!$AA:$AA)),"")</f>
        <v/>
      </c>
      <c r="Q278" s="122" t="str">
        <f>IFERROR(1-SUMIF(IGA_BD!$F:$F,$A278,IGA_BD!$V:$V)/($AA278+SUMIF(IGA_BD!$F:$F,$A278,IGA_BD!$V:$V)),"")</f>
        <v/>
      </c>
      <c r="R278" s="127" t="str">
        <f>IFERROR(1-SUMIF(Grid_BD!$F:$F,$A278,Grid_BD!$X:$X)/($AA278+SUMIF(Grid_BD!$F:$F,$A278,Grid_BD!$X:$X)),"")</f>
        <v/>
      </c>
      <c r="S278" s="105"/>
      <c r="T278" s="122"/>
      <c r="U278" s="123"/>
      <c r="V278" s="105"/>
      <c r="W278" s="124" t="str">
        <f>IFERROR(Table13[[#This Row],[Mtr_Net_Exp (KWh)]]/(24*AR278*1000),"")</f>
        <v/>
      </c>
      <c r="X278" s="105" t="str">
        <f>IFERROR(_xlfn.XLOOKUP($A278,Input_Raw!$A:$A,Input_Raw!$CF:$CF),"")</f>
        <v/>
      </c>
      <c r="Y278" s="105" t="str">
        <f>IFERROR(_xlfn.XLOOKUP($A278,Input_Raw!$A:$A,Input_Raw!$CZ:$CZ),"")</f>
        <v/>
      </c>
      <c r="Z278" s="105" t="str">
        <f>IFERROR(_xlfn.XLOOKUP($A278,Input_Raw!$A:$A,Input_Raw!$DA:$DA),"")</f>
        <v/>
      </c>
      <c r="AA278" s="107" t="str">
        <f t="shared" si="28"/>
        <v/>
      </c>
      <c r="AB278" s="105" t="str">
        <f>IFERROR(_xlfn.XLOOKUP($A278,Input_Raw!$A:$A,Input_Raw!$DG:$DG),"")</f>
        <v/>
      </c>
      <c r="AC278" s="125">
        <f>IFERROR(_xlfn.XLOOKUP($D278,'Modelling New'!$D:$D,'Modelling New'!$J:$J),"")</f>
        <v>4.4333333333333336</v>
      </c>
      <c r="AD278" s="107">
        <f>IFERROR(_xlfn.XLOOKUP($D278,'Modelling New'!$D:$D,'Modelling New'!$T:$T)*1000,"")</f>
        <v>183922.41431383044</v>
      </c>
      <c r="AE278" s="124"/>
      <c r="AF278" s="124">
        <f>IFERROR(_xlfn.XLOOKUP($D278,'Modelling New'!$D:$D,'Modelling New'!$W:$W),"")</f>
        <v>9.8249152945422247E-2</v>
      </c>
      <c r="AG278" s="124">
        <f>IFERROR(_xlfn.XLOOKUP($D278,'Modelling New'!$D:$D,'Modelling New'!$AE:$AE),"")</f>
        <v>0.96029999999999993</v>
      </c>
      <c r="AH278" s="124">
        <f>IFERROR(_xlfn.XLOOKUP($D278,'Modelling New'!$D:$D,'Modelling New'!$AF:$AF),"")</f>
        <v>0.995</v>
      </c>
      <c r="AI278" s="105" t="str">
        <f>IFERROR(_xlfn.XLOOKUP($A278,Input_Raw!$A:$A,Input_Raw!$DE:$DE),"")</f>
        <v/>
      </c>
      <c r="AJ278" s="105"/>
      <c r="AK278" s="105"/>
      <c r="AL278" s="105"/>
      <c r="AM278" s="105"/>
      <c r="AN278" s="126" t="str">
        <f>IFERROR(_xlfn.XLOOKUP($A278,Input_Raw!$A:$A,Input_Raw!$DB:$DB),"")</f>
        <v/>
      </c>
      <c r="AO278" s="124" t="str">
        <f>IFERROR((_xlfn.XLOOKUP($A278,'WTG Reactive Power'!$A:$A,'WTG Reactive Power'!$AR:$AR))/X278/1000,"")</f>
        <v/>
      </c>
      <c r="AP278" s="124">
        <f>IFERROR(_xlfn.XLOOKUP($D278,'Modelling New'!$D:$D,'Modelling New'!$AK:$AK),"")</f>
        <v>0.05</v>
      </c>
      <c r="AQ278" s="124">
        <f>IFERROR(_xlfn.XLOOKUP($D278,'Modelling New'!$D:$D,'Modelling New'!$AL:$AL),"")</f>
        <v>0.05</v>
      </c>
      <c r="AR278">
        <f>IFERROR(_xlfn.XLOOKUP($D278,'Modelling New'!$D:$D,'Modelling New'!$N:$N),"")</f>
        <v>78</v>
      </c>
    </row>
    <row r="279" spans="1:44">
      <c r="A279" s="118">
        <f t="shared" si="22"/>
        <v>46022</v>
      </c>
      <c r="B279" s="107">
        <f>YEAR(Table13[[#This Row],[Date]])+IF(MONTH(Table13[[#This Row],[Date]])&gt;=4,1,0)</f>
        <v>2026</v>
      </c>
      <c r="C279" s="105">
        <f>YEAR(Table13[[#This Row],[Date]])</f>
        <v>2025</v>
      </c>
      <c r="D279" s="119">
        <f>Table13[[#This Row],[Date]]-DAY(Table13[[#This Row],[Date]])+1</f>
        <v>45992</v>
      </c>
      <c r="E279" s="105">
        <f t="shared" si="26"/>
        <v>31</v>
      </c>
      <c r="F279" s="108"/>
      <c r="G279" s="109"/>
      <c r="H279" s="109"/>
      <c r="I279" s="109"/>
      <c r="J279" s="109"/>
      <c r="K279" s="120"/>
      <c r="L279" s="109"/>
      <c r="M279" s="109" t="str">
        <f>IFERROR(_xlfn.XLOOKUP($A279,Input_Raw!$A:$A,Input_Raw!CG:CG),"")</f>
        <v/>
      </c>
      <c r="N279" s="109" t="str">
        <f>IFERROR(_xlfn.XLOOKUP($A279,Input_Raw!$A:$A,Input_Raw!CH:CH),"")</f>
        <v/>
      </c>
      <c r="O279" s="121" t="str">
        <f t="shared" si="27"/>
        <v/>
      </c>
      <c r="P279" s="121" t="str">
        <f>IFERROR(1-SUMIF(WTG_BD!$F:$F,$A279,WTG_BD!$AA:$AA)/($AA279+SUMIF(WTG_BD!$F:$F,$A279,WTG_BD!$AA:$AA)),"")</f>
        <v/>
      </c>
      <c r="Q279" s="122" t="str">
        <f>IFERROR(1-SUMIF(IGA_BD!$F:$F,$A279,IGA_BD!$V:$V)/($AA279+SUMIF(IGA_BD!$F:$F,$A279,IGA_BD!$V:$V)),"")</f>
        <v/>
      </c>
      <c r="R279" s="127" t="str">
        <f>IFERROR(1-SUMIF(Grid_BD!$F:$F,$A279,Grid_BD!$X:$X)/($AA279+SUMIF(Grid_BD!$F:$F,$A279,Grid_BD!$X:$X)),"")</f>
        <v/>
      </c>
      <c r="S279" s="105"/>
      <c r="T279" s="122"/>
      <c r="U279" s="123"/>
      <c r="V279" s="105"/>
      <c r="W279" s="124" t="str">
        <f>IFERROR(Table13[[#This Row],[Mtr_Net_Exp (KWh)]]/(24*AR279*1000),"")</f>
        <v/>
      </c>
      <c r="X279" s="105" t="str">
        <f>IFERROR(_xlfn.XLOOKUP($A279,Input_Raw!$A:$A,Input_Raw!$CF:$CF),"")</f>
        <v/>
      </c>
      <c r="Y279" s="105" t="str">
        <f>IFERROR(_xlfn.XLOOKUP($A279,Input_Raw!$A:$A,Input_Raw!$CZ:$CZ),"")</f>
        <v/>
      </c>
      <c r="Z279" s="105" t="str">
        <f>IFERROR(_xlfn.XLOOKUP($A279,Input_Raw!$A:$A,Input_Raw!$DA:$DA),"")</f>
        <v/>
      </c>
      <c r="AA279" s="107" t="str">
        <f t="shared" si="28"/>
        <v/>
      </c>
      <c r="AB279" s="105" t="str">
        <f>IFERROR(_xlfn.XLOOKUP($A279,Input_Raw!$A:$A,Input_Raw!$DG:$DG),"")</f>
        <v/>
      </c>
      <c r="AC279" s="125">
        <f>IFERROR(_xlfn.XLOOKUP($D279,'Modelling New'!$D:$D,'Modelling New'!$J:$J),"")</f>
        <v>4.4333333333333336</v>
      </c>
      <c r="AD279" s="107">
        <f>IFERROR(_xlfn.XLOOKUP($D279,'Modelling New'!$D:$D,'Modelling New'!$T:$T)*1000,"")</f>
        <v>183922.41431383044</v>
      </c>
      <c r="AE279" s="124"/>
      <c r="AF279" s="124">
        <f>IFERROR(_xlfn.XLOOKUP($D279,'Modelling New'!$D:$D,'Modelling New'!$W:$W),"")</f>
        <v>9.8249152945422247E-2</v>
      </c>
      <c r="AG279" s="124">
        <f>IFERROR(_xlfn.XLOOKUP($D279,'Modelling New'!$D:$D,'Modelling New'!$AE:$AE),"")</f>
        <v>0.96029999999999993</v>
      </c>
      <c r="AH279" s="124">
        <f>IFERROR(_xlfn.XLOOKUP($D279,'Modelling New'!$D:$D,'Modelling New'!$AF:$AF),"")</f>
        <v>0.995</v>
      </c>
      <c r="AI279" s="105" t="str">
        <f>IFERROR(_xlfn.XLOOKUP($A279,Input_Raw!$A:$A,Input_Raw!$DE:$DE),"")</f>
        <v/>
      </c>
      <c r="AJ279" s="105"/>
      <c r="AK279" s="105"/>
      <c r="AL279" s="105"/>
      <c r="AM279" s="105"/>
      <c r="AN279" s="126" t="str">
        <f>IFERROR(_xlfn.XLOOKUP($A279,Input_Raw!$A:$A,Input_Raw!$DB:$DB),"")</f>
        <v/>
      </c>
      <c r="AO279" s="124" t="str">
        <f>IFERROR((_xlfn.XLOOKUP($A279,'WTG Reactive Power'!$A:$A,'WTG Reactive Power'!$AR:$AR))/X279/1000,"")</f>
        <v/>
      </c>
      <c r="AP279" s="124">
        <f>IFERROR(_xlfn.XLOOKUP($D279,'Modelling New'!$D:$D,'Modelling New'!$AK:$AK),"")</f>
        <v>0.05</v>
      </c>
      <c r="AQ279" s="124">
        <f>IFERROR(_xlfn.XLOOKUP($D279,'Modelling New'!$D:$D,'Modelling New'!$AL:$AL),"")</f>
        <v>0.05</v>
      </c>
      <c r="AR279">
        <f>IFERROR(_xlfn.XLOOKUP($D279,'Modelling New'!$D:$D,'Modelling New'!$N:$N),"")</f>
        <v>78</v>
      </c>
    </row>
    <row r="280" spans="1:44">
      <c r="A280" s="118">
        <f t="shared" si="22"/>
        <v>46023</v>
      </c>
      <c r="B280" s="107">
        <f>YEAR(Table13[[#This Row],[Date]])+IF(MONTH(Table13[[#This Row],[Date]])&gt;=4,1,0)</f>
        <v>2026</v>
      </c>
      <c r="C280" s="105">
        <f>YEAR(Table13[[#This Row],[Date]])</f>
        <v>2026</v>
      </c>
      <c r="D280" s="119">
        <f>Table13[[#This Row],[Date]]-DAY(Table13[[#This Row],[Date]])+1</f>
        <v>46023</v>
      </c>
      <c r="E280" s="105">
        <f t="shared" si="26"/>
        <v>31</v>
      </c>
      <c r="F280" s="108"/>
      <c r="G280" s="109"/>
      <c r="H280" s="109"/>
      <c r="I280" s="109"/>
      <c r="J280" s="109"/>
      <c r="K280" s="120"/>
      <c r="L280" s="109"/>
      <c r="M280" s="109" t="str">
        <f>IFERROR(_xlfn.XLOOKUP($A280,Input_Raw!$A:$A,Input_Raw!CG:CG),"")</f>
        <v/>
      </c>
      <c r="N280" s="109" t="str">
        <f>IFERROR(_xlfn.XLOOKUP($A280,Input_Raw!$A:$A,Input_Raw!CH:CH),"")</f>
        <v/>
      </c>
      <c r="O280" s="121" t="str">
        <f t="shared" si="27"/>
        <v/>
      </c>
      <c r="P280" s="121" t="str">
        <f>IFERROR(1-SUMIF(WTG_BD!$F:$F,$A280,WTG_BD!$AA:$AA)/($AA280+SUMIF(WTG_BD!$F:$F,$A280,WTG_BD!$AA:$AA)),"")</f>
        <v/>
      </c>
      <c r="Q280" s="122" t="str">
        <f>IFERROR(1-SUMIF(IGA_BD!$F:$F,$A280,IGA_BD!$V:$V)/($AA280+SUMIF(IGA_BD!$F:$F,$A280,IGA_BD!$V:$V)),"")</f>
        <v/>
      </c>
      <c r="R280" s="127" t="str">
        <f>IFERROR(1-SUMIF(Grid_BD!$F:$F,$A280,Grid_BD!$X:$X)/($AA280+SUMIF(Grid_BD!$F:$F,$A280,Grid_BD!$X:$X)),"")</f>
        <v/>
      </c>
      <c r="S280" s="105"/>
      <c r="T280" s="122"/>
      <c r="U280" s="123"/>
      <c r="V280" s="105"/>
      <c r="W280" s="124" t="str">
        <f>IFERROR(Table13[[#This Row],[Mtr_Net_Exp (KWh)]]/(24*AR280*1000),"")</f>
        <v/>
      </c>
      <c r="X280" s="105" t="str">
        <f>IFERROR(_xlfn.XLOOKUP($A280,Input_Raw!$A:$A,Input_Raw!$CF:$CF),"")</f>
        <v/>
      </c>
      <c r="Y280" s="105" t="str">
        <f>IFERROR(_xlfn.XLOOKUP($A280,Input_Raw!$A:$A,Input_Raw!$CZ:$CZ),"")</f>
        <v/>
      </c>
      <c r="Z280" s="105" t="str">
        <f>IFERROR(_xlfn.XLOOKUP($A280,Input_Raw!$A:$A,Input_Raw!$DA:$DA),"")</f>
        <v/>
      </c>
      <c r="AA280" s="107" t="str">
        <f t="shared" si="28"/>
        <v/>
      </c>
      <c r="AB280" s="105" t="str">
        <f>IFERROR(_xlfn.XLOOKUP($A280,Input_Raw!$A:$A,Input_Raw!$DG:$DG),"")</f>
        <v/>
      </c>
      <c r="AC280" s="125">
        <f>IFERROR(_xlfn.XLOOKUP($D280,'Modelling New'!$D:$D,'Modelling New'!$J:$J),"")</f>
        <v>3.8</v>
      </c>
      <c r="AD280" s="107">
        <f>IFERROR(_xlfn.XLOOKUP($D280,'Modelling New'!$D:$D,'Modelling New'!$T:$T)*1000,"")</f>
        <v>128093.39599615177</v>
      </c>
      <c r="AE280" s="124"/>
      <c r="AF280" s="124">
        <f>IFERROR(_xlfn.XLOOKUP($D280,'Modelling New'!$D:$D,'Modelling New'!$W:$W),"")</f>
        <v>6.8425959399653721E-2</v>
      </c>
      <c r="AG280" s="124">
        <f>IFERROR(_xlfn.XLOOKUP($D280,'Modelling New'!$D:$D,'Modelling New'!$AE:$AE),"")</f>
        <v>0.96029999999999993</v>
      </c>
      <c r="AH280" s="124">
        <f>IFERROR(_xlfn.XLOOKUP($D280,'Modelling New'!$D:$D,'Modelling New'!$AF:$AF),"")</f>
        <v>0.995</v>
      </c>
      <c r="AI280" s="105" t="str">
        <f>IFERROR(_xlfn.XLOOKUP($A280,Input_Raw!$A:$A,Input_Raw!$DE:$DE),"")</f>
        <v/>
      </c>
      <c r="AJ280" s="105"/>
      <c r="AK280" s="105"/>
      <c r="AL280" s="105"/>
      <c r="AM280" s="105"/>
      <c r="AN280" s="126" t="str">
        <f>IFERROR(_xlfn.XLOOKUP($A280,Input_Raw!$A:$A,Input_Raw!$DB:$DB),"")</f>
        <v/>
      </c>
      <c r="AO280" s="124" t="str">
        <f>IFERROR((_xlfn.XLOOKUP($A280,'WTG Reactive Power'!$A:$A,'WTG Reactive Power'!$AR:$AR))/X280/1000,"")</f>
        <v/>
      </c>
      <c r="AP280" s="124">
        <f>IFERROR(_xlfn.XLOOKUP($D280,'Modelling New'!$D:$D,'Modelling New'!$AK:$AK),"")</f>
        <v>0.05</v>
      </c>
      <c r="AQ280" s="124">
        <f>IFERROR(_xlfn.XLOOKUP($D280,'Modelling New'!$D:$D,'Modelling New'!$AL:$AL),"")</f>
        <v>0.05</v>
      </c>
      <c r="AR280">
        <f>IFERROR(_xlfn.XLOOKUP($D280,'Modelling New'!$D:$D,'Modelling New'!$N:$N),"")</f>
        <v>78</v>
      </c>
    </row>
    <row r="281" spans="1:44">
      <c r="A281" s="118">
        <f t="shared" si="22"/>
        <v>46024</v>
      </c>
      <c r="B281" s="107">
        <f>YEAR(Table13[[#This Row],[Date]])+IF(MONTH(Table13[[#This Row],[Date]])&gt;=4,1,0)</f>
        <v>2026</v>
      </c>
      <c r="C281" s="105">
        <f>YEAR(Table13[[#This Row],[Date]])</f>
        <v>2026</v>
      </c>
      <c r="D281" s="119">
        <f>Table13[[#This Row],[Date]]-DAY(Table13[[#This Row],[Date]])+1</f>
        <v>46023</v>
      </c>
      <c r="E281" s="105">
        <f t="shared" si="26"/>
        <v>31</v>
      </c>
      <c r="F281" s="108"/>
      <c r="G281" s="109"/>
      <c r="H281" s="109"/>
      <c r="I281" s="109"/>
      <c r="J281" s="109"/>
      <c r="K281" s="120"/>
      <c r="L281" s="109"/>
      <c r="M281" s="109" t="str">
        <f>IFERROR(_xlfn.XLOOKUP($A281,Input_Raw!$A:$A,Input_Raw!CG:CG),"")</f>
        <v/>
      </c>
      <c r="N281" s="109" t="str">
        <f>IFERROR(_xlfn.XLOOKUP($A281,Input_Raw!$A:$A,Input_Raw!CH:CH),"")</f>
        <v/>
      </c>
      <c r="O281" s="121" t="str">
        <f t="shared" si="27"/>
        <v/>
      </c>
      <c r="P281" s="121" t="str">
        <f>IFERROR(1-SUMIF(WTG_BD!$F:$F,$A281,WTG_BD!$AA:$AA)/($AA281+SUMIF(WTG_BD!$F:$F,$A281,WTG_BD!$AA:$AA)),"")</f>
        <v/>
      </c>
      <c r="Q281" s="122" t="str">
        <f>IFERROR(1-SUMIF(IGA_BD!$F:$F,$A281,IGA_BD!$V:$V)/($AA281+SUMIF(IGA_BD!$F:$F,$A281,IGA_BD!$V:$V)),"")</f>
        <v/>
      </c>
      <c r="R281" s="127" t="str">
        <f>IFERROR(1-SUMIF(Grid_BD!$F:$F,$A281,Grid_BD!$X:$X)/($AA281+SUMIF(Grid_BD!$F:$F,$A281,Grid_BD!$X:$X)),"")</f>
        <v/>
      </c>
      <c r="S281" s="105"/>
      <c r="T281" s="122"/>
      <c r="U281" s="123"/>
      <c r="V281" s="105"/>
      <c r="W281" s="124" t="str">
        <f>IFERROR(Table13[[#This Row],[Mtr_Net_Exp (KWh)]]/(24*AR281*1000),"")</f>
        <v/>
      </c>
      <c r="X281" s="105" t="str">
        <f>IFERROR(_xlfn.XLOOKUP($A281,Input_Raw!$A:$A,Input_Raw!$CF:$CF),"")</f>
        <v/>
      </c>
      <c r="Y281" s="105" t="str">
        <f>IFERROR(_xlfn.XLOOKUP($A281,Input_Raw!$A:$A,Input_Raw!$CZ:$CZ),"")</f>
        <v/>
      </c>
      <c r="Z281" s="105" t="str">
        <f>IFERROR(_xlfn.XLOOKUP($A281,Input_Raw!$A:$A,Input_Raw!$DA:$DA),"")</f>
        <v/>
      </c>
      <c r="AA281" s="107" t="str">
        <f t="shared" si="28"/>
        <v/>
      </c>
      <c r="AB281" s="105" t="str">
        <f>IFERROR(_xlfn.XLOOKUP($A281,Input_Raw!$A:$A,Input_Raw!$DG:$DG),"")</f>
        <v/>
      </c>
      <c r="AC281" s="125">
        <f>IFERROR(_xlfn.XLOOKUP($D281,'Modelling New'!$D:$D,'Modelling New'!$J:$J),"")</f>
        <v>3.8</v>
      </c>
      <c r="AD281" s="107">
        <f>IFERROR(_xlfn.XLOOKUP($D281,'Modelling New'!$D:$D,'Modelling New'!$T:$T)*1000,"")</f>
        <v>128093.39599615177</v>
      </c>
      <c r="AE281" s="124"/>
      <c r="AF281" s="124">
        <f>IFERROR(_xlfn.XLOOKUP($D281,'Modelling New'!$D:$D,'Modelling New'!$W:$W),"")</f>
        <v>6.8425959399653721E-2</v>
      </c>
      <c r="AG281" s="124">
        <f>IFERROR(_xlfn.XLOOKUP($D281,'Modelling New'!$D:$D,'Modelling New'!$AE:$AE),"")</f>
        <v>0.96029999999999993</v>
      </c>
      <c r="AH281" s="124">
        <f>IFERROR(_xlfn.XLOOKUP($D281,'Modelling New'!$D:$D,'Modelling New'!$AF:$AF),"")</f>
        <v>0.995</v>
      </c>
      <c r="AI281" s="105" t="str">
        <f>IFERROR(_xlfn.XLOOKUP($A281,Input_Raw!$A:$A,Input_Raw!$DE:$DE),"")</f>
        <v/>
      </c>
      <c r="AJ281" s="105"/>
      <c r="AK281" s="105"/>
      <c r="AL281" s="105"/>
      <c r="AM281" s="105"/>
      <c r="AN281" s="126" t="str">
        <f>IFERROR(_xlfn.XLOOKUP($A281,Input_Raw!$A:$A,Input_Raw!$DB:$DB),"")</f>
        <v/>
      </c>
      <c r="AO281" s="124" t="str">
        <f>IFERROR((_xlfn.XLOOKUP($A281,'WTG Reactive Power'!$A:$A,'WTG Reactive Power'!$AR:$AR))/X281/1000,"")</f>
        <v/>
      </c>
      <c r="AP281" s="124">
        <f>IFERROR(_xlfn.XLOOKUP($D281,'Modelling New'!$D:$D,'Modelling New'!$AK:$AK),"")</f>
        <v>0.05</v>
      </c>
      <c r="AQ281" s="124">
        <f>IFERROR(_xlfn.XLOOKUP($D281,'Modelling New'!$D:$D,'Modelling New'!$AL:$AL),"")</f>
        <v>0.05</v>
      </c>
      <c r="AR281">
        <f>IFERROR(_xlfn.XLOOKUP($D281,'Modelling New'!$D:$D,'Modelling New'!$N:$N),"")</f>
        <v>78</v>
      </c>
    </row>
    <row r="282" spans="1:44">
      <c r="A282" s="118">
        <f t="shared" si="22"/>
        <v>46025</v>
      </c>
      <c r="B282" s="107">
        <f>YEAR(Table13[[#This Row],[Date]])+IF(MONTH(Table13[[#This Row],[Date]])&gt;=4,1,0)</f>
        <v>2026</v>
      </c>
      <c r="C282" s="105">
        <f>YEAR(Table13[[#This Row],[Date]])</f>
        <v>2026</v>
      </c>
      <c r="D282" s="119">
        <f>Table13[[#This Row],[Date]]-DAY(Table13[[#This Row],[Date]])+1</f>
        <v>46023</v>
      </c>
      <c r="E282" s="105">
        <f t="shared" si="26"/>
        <v>31</v>
      </c>
      <c r="F282" s="108"/>
      <c r="G282" s="109"/>
      <c r="H282" s="109"/>
      <c r="I282" s="109"/>
      <c r="J282" s="109"/>
      <c r="K282" s="120"/>
      <c r="L282" s="109"/>
      <c r="M282" s="109" t="str">
        <f>IFERROR(_xlfn.XLOOKUP($A282,Input_Raw!$A:$A,Input_Raw!CG:CG),"")</f>
        <v/>
      </c>
      <c r="N282" s="109" t="str">
        <f>IFERROR(_xlfn.XLOOKUP($A282,Input_Raw!$A:$A,Input_Raw!CH:CH),"")</f>
        <v/>
      </c>
      <c r="O282" s="121" t="str">
        <f t="shared" si="27"/>
        <v/>
      </c>
      <c r="P282" s="121" t="str">
        <f>IFERROR(1-SUMIF(WTG_BD!$F:$F,$A282,WTG_BD!$AA:$AA)/($AA282+SUMIF(WTG_BD!$F:$F,$A282,WTG_BD!$AA:$AA)),"")</f>
        <v/>
      </c>
      <c r="Q282" s="122" t="str">
        <f>IFERROR(1-SUMIF(IGA_BD!$F:$F,$A282,IGA_BD!$V:$V)/($AA282+SUMIF(IGA_BD!$F:$F,$A282,IGA_BD!$V:$V)),"")</f>
        <v/>
      </c>
      <c r="R282" s="127" t="str">
        <f>IFERROR(1-SUMIF(Grid_BD!$F:$F,$A282,Grid_BD!$X:$X)/($AA282+SUMIF(Grid_BD!$F:$F,$A282,Grid_BD!$X:$X)),"")</f>
        <v/>
      </c>
      <c r="S282" s="105"/>
      <c r="T282" s="122"/>
      <c r="U282" s="123"/>
      <c r="V282" s="105"/>
      <c r="W282" s="124" t="str">
        <f>IFERROR(Table13[[#This Row],[Mtr_Net_Exp (KWh)]]/(24*AR282*1000),"")</f>
        <v/>
      </c>
      <c r="X282" s="105" t="str">
        <f>IFERROR(_xlfn.XLOOKUP($A282,Input_Raw!$A:$A,Input_Raw!$CF:$CF),"")</f>
        <v/>
      </c>
      <c r="Y282" s="105" t="str">
        <f>IFERROR(_xlfn.XLOOKUP($A282,Input_Raw!$A:$A,Input_Raw!$CZ:$CZ),"")</f>
        <v/>
      </c>
      <c r="Z282" s="105" t="str">
        <f>IFERROR(_xlfn.XLOOKUP($A282,Input_Raw!$A:$A,Input_Raw!$DA:$DA),"")</f>
        <v/>
      </c>
      <c r="AA282" s="107" t="str">
        <f t="shared" si="28"/>
        <v/>
      </c>
      <c r="AB282" s="105" t="str">
        <f>IFERROR(_xlfn.XLOOKUP($A282,Input_Raw!$A:$A,Input_Raw!$DG:$DG),"")</f>
        <v/>
      </c>
      <c r="AC282" s="125">
        <f>IFERROR(_xlfn.XLOOKUP($D282,'Modelling New'!$D:$D,'Modelling New'!$J:$J),"")</f>
        <v>3.8</v>
      </c>
      <c r="AD282" s="107">
        <f>IFERROR(_xlfn.XLOOKUP($D282,'Modelling New'!$D:$D,'Modelling New'!$T:$T)*1000,"")</f>
        <v>128093.39599615177</v>
      </c>
      <c r="AE282" s="124"/>
      <c r="AF282" s="124">
        <f>IFERROR(_xlfn.XLOOKUP($D282,'Modelling New'!$D:$D,'Modelling New'!$W:$W),"")</f>
        <v>6.8425959399653721E-2</v>
      </c>
      <c r="AG282" s="124">
        <f>IFERROR(_xlfn.XLOOKUP($D282,'Modelling New'!$D:$D,'Modelling New'!$AE:$AE),"")</f>
        <v>0.96029999999999993</v>
      </c>
      <c r="AH282" s="124">
        <f>IFERROR(_xlfn.XLOOKUP($D282,'Modelling New'!$D:$D,'Modelling New'!$AF:$AF),"")</f>
        <v>0.995</v>
      </c>
      <c r="AI282" s="105" t="str">
        <f>IFERROR(_xlfn.XLOOKUP($A282,Input_Raw!$A:$A,Input_Raw!$DE:$DE),"")</f>
        <v/>
      </c>
      <c r="AJ282" s="105"/>
      <c r="AK282" s="105"/>
      <c r="AL282" s="105"/>
      <c r="AM282" s="105"/>
      <c r="AN282" s="126" t="str">
        <f>IFERROR(_xlfn.XLOOKUP($A282,Input_Raw!$A:$A,Input_Raw!$DB:$DB),"")</f>
        <v/>
      </c>
      <c r="AO282" s="124" t="str">
        <f>IFERROR((_xlfn.XLOOKUP($A282,'WTG Reactive Power'!$A:$A,'WTG Reactive Power'!$AR:$AR))/X282/1000,"")</f>
        <v/>
      </c>
      <c r="AP282" s="124">
        <f>IFERROR(_xlfn.XLOOKUP($D282,'Modelling New'!$D:$D,'Modelling New'!$AK:$AK),"")</f>
        <v>0.05</v>
      </c>
      <c r="AQ282" s="124">
        <f>IFERROR(_xlfn.XLOOKUP($D282,'Modelling New'!$D:$D,'Modelling New'!$AL:$AL),"")</f>
        <v>0.05</v>
      </c>
      <c r="AR282">
        <f>IFERROR(_xlfn.XLOOKUP($D282,'Modelling New'!$D:$D,'Modelling New'!$N:$N),"")</f>
        <v>78</v>
      </c>
    </row>
    <row r="283" spans="1:44">
      <c r="A283" s="118">
        <f t="shared" si="22"/>
        <v>46026</v>
      </c>
      <c r="B283" s="107">
        <f>YEAR(Table13[[#This Row],[Date]])+IF(MONTH(Table13[[#This Row],[Date]])&gt;=4,1,0)</f>
        <v>2026</v>
      </c>
      <c r="C283" s="105">
        <f>YEAR(Table13[[#This Row],[Date]])</f>
        <v>2026</v>
      </c>
      <c r="D283" s="119">
        <f>Table13[[#This Row],[Date]]-DAY(Table13[[#This Row],[Date]])+1</f>
        <v>46023</v>
      </c>
      <c r="E283" s="105">
        <f t="shared" si="26"/>
        <v>31</v>
      </c>
      <c r="F283" s="108"/>
      <c r="G283" s="109"/>
      <c r="H283" s="109"/>
      <c r="I283" s="109"/>
      <c r="J283" s="109"/>
      <c r="K283" s="120"/>
      <c r="L283" s="109"/>
      <c r="M283" s="109" t="str">
        <f>IFERROR(_xlfn.XLOOKUP($A283,Input_Raw!$A:$A,Input_Raw!CG:CG),"")</f>
        <v/>
      </c>
      <c r="N283" s="109" t="str">
        <f>IFERROR(_xlfn.XLOOKUP($A283,Input_Raw!$A:$A,Input_Raw!CH:CH),"")</f>
        <v/>
      </c>
      <c r="O283" s="121" t="str">
        <f t="shared" si="27"/>
        <v/>
      </c>
      <c r="P283" s="121" t="str">
        <f>IFERROR(1-SUMIF(WTG_BD!$F:$F,$A283,WTG_BD!$AA:$AA)/($AA283+SUMIF(WTG_BD!$F:$F,$A283,WTG_BD!$AA:$AA)),"")</f>
        <v/>
      </c>
      <c r="Q283" s="122" t="str">
        <f>IFERROR(1-SUMIF(IGA_BD!$F:$F,$A283,IGA_BD!$V:$V)/($AA283+SUMIF(IGA_BD!$F:$F,$A283,IGA_BD!$V:$V)),"")</f>
        <v/>
      </c>
      <c r="R283" s="127" t="str">
        <f>IFERROR(1-SUMIF(Grid_BD!$F:$F,$A283,Grid_BD!$X:$X)/($AA283+SUMIF(Grid_BD!$F:$F,$A283,Grid_BD!$X:$X)),"")</f>
        <v/>
      </c>
      <c r="S283" s="105"/>
      <c r="T283" s="122"/>
      <c r="U283" s="123"/>
      <c r="V283" s="105"/>
      <c r="W283" s="124" t="str">
        <f>IFERROR(Table13[[#This Row],[Mtr_Net_Exp (KWh)]]/(24*AR283*1000),"")</f>
        <v/>
      </c>
      <c r="X283" s="105" t="str">
        <f>IFERROR(_xlfn.XLOOKUP($A283,Input_Raw!$A:$A,Input_Raw!$CF:$CF),"")</f>
        <v/>
      </c>
      <c r="Y283" s="105" t="str">
        <f>IFERROR(_xlfn.XLOOKUP($A283,Input_Raw!$A:$A,Input_Raw!$CZ:$CZ),"")</f>
        <v/>
      </c>
      <c r="Z283" s="105" t="str">
        <f>IFERROR(_xlfn.XLOOKUP($A283,Input_Raw!$A:$A,Input_Raw!$DA:$DA),"")</f>
        <v/>
      </c>
      <c r="AA283" s="107" t="str">
        <f t="shared" si="28"/>
        <v/>
      </c>
      <c r="AB283" s="105" t="str">
        <f>IFERROR(_xlfn.XLOOKUP($A283,Input_Raw!$A:$A,Input_Raw!$DG:$DG),"")</f>
        <v/>
      </c>
      <c r="AC283" s="125">
        <f>IFERROR(_xlfn.XLOOKUP($D283,'Modelling New'!$D:$D,'Modelling New'!$J:$J),"")</f>
        <v>3.8</v>
      </c>
      <c r="AD283" s="107">
        <f>IFERROR(_xlfn.XLOOKUP($D283,'Modelling New'!$D:$D,'Modelling New'!$T:$T)*1000,"")</f>
        <v>128093.39599615177</v>
      </c>
      <c r="AE283" s="124"/>
      <c r="AF283" s="124">
        <f>IFERROR(_xlfn.XLOOKUP($D283,'Modelling New'!$D:$D,'Modelling New'!$W:$W),"")</f>
        <v>6.8425959399653721E-2</v>
      </c>
      <c r="AG283" s="124">
        <f>IFERROR(_xlfn.XLOOKUP($D283,'Modelling New'!$D:$D,'Modelling New'!$AE:$AE),"")</f>
        <v>0.96029999999999993</v>
      </c>
      <c r="AH283" s="124">
        <f>IFERROR(_xlfn.XLOOKUP($D283,'Modelling New'!$D:$D,'Modelling New'!$AF:$AF),"")</f>
        <v>0.995</v>
      </c>
      <c r="AI283" s="105" t="str">
        <f>IFERROR(_xlfn.XLOOKUP($A283,Input_Raw!$A:$A,Input_Raw!$DE:$DE),"")</f>
        <v/>
      </c>
      <c r="AJ283" s="105"/>
      <c r="AK283" s="105"/>
      <c r="AL283" s="105"/>
      <c r="AM283" s="105"/>
      <c r="AN283" s="126" t="str">
        <f>IFERROR(_xlfn.XLOOKUP($A283,Input_Raw!$A:$A,Input_Raw!$DB:$DB),"")</f>
        <v/>
      </c>
      <c r="AO283" s="124" t="str">
        <f>IFERROR((_xlfn.XLOOKUP($A283,'WTG Reactive Power'!$A:$A,'WTG Reactive Power'!$AR:$AR))/X283/1000,"")</f>
        <v/>
      </c>
      <c r="AP283" s="124">
        <f>IFERROR(_xlfn.XLOOKUP($D283,'Modelling New'!$D:$D,'Modelling New'!$AK:$AK),"")</f>
        <v>0.05</v>
      </c>
      <c r="AQ283" s="124">
        <f>IFERROR(_xlfn.XLOOKUP($D283,'Modelling New'!$D:$D,'Modelling New'!$AL:$AL),"")</f>
        <v>0.05</v>
      </c>
      <c r="AR283">
        <f>IFERROR(_xlfn.XLOOKUP($D283,'Modelling New'!$D:$D,'Modelling New'!$N:$N),"")</f>
        <v>78</v>
      </c>
    </row>
    <row r="284" spans="1:44">
      <c r="A284" s="118">
        <f t="shared" si="22"/>
        <v>46027</v>
      </c>
      <c r="B284" s="107">
        <f>YEAR(Table13[[#This Row],[Date]])+IF(MONTH(Table13[[#This Row],[Date]])&gt;=4,1,0)</f>
        <v>2026</v>
      </c>
      <c r="C284" s="105">
        <f>YEAR(Table13[[#This Row],[Date]])</f>
        <v>2026</v>
      </c>
      <c r="D284" s="119">
        <f>Table13[[#This Row],[Date]]-DAY(Table13[[#This Row],[Date]])+1</f>
        <v>46023</v>
      </c>
      <c r="E284" s="105">
        <f t="shared" si="26"/>
        <v>31</v>
      </c>
      <c r="F284" s="108"/>
      <c r="G284" s="109"/>
      <c r="H284" s="109"/>
      <c r="I284" s="109"/>
      <c r="J284" s="109"/>
      <c r="K284" s="120"/>
      <c r="L284" s="109"/>
      <c r="M284" s="109" t="str">
        <f>IFERROR(_xlfn.XLOOKUP($A284,Input_Raw!$A:$A,Input_Raw!CG:CG),"")</f>
        <v/>
      </c>
      <c r="N284" s="109" t="str">
        <f>IFERROR(_xlfn.XLOOKUP($A284,Input_Raw!$A:$A,Input_Raw!CH:CH),"")</f>
        <v/>
      </c>
      <c r="O284" s="121" t="str">
        <f t="shared" si="27"/>
        <v/>
      </c>
      <c r="P284" s="121" t="str">
        <f>IFERROR(1-SUMIF(WTG_BD!$F:$F,$A284,WTG_BD!$AA:$AA)/($AA284+SUMIF(WTG_BD!$F:$F,$A284,WTG_BD!$AA:$AA)),"")</f>
        <v/>
      </c>
      <c r="Q284" s="122" t="str">
        <f>IFERROR(1-SUMIF(IGA_BD!$F:$F,$A284,IGA_BD!$V:$V)/($AA284+SUMIF(IGA_BD!$F:$F,$A284,IGA_BD!$V:$V)),"")</f>
        <v/>
      </c>
      <c r="R284" s="127" t="str">
        <f>IFERROR(1-SUMIF(Grid_BD!$F:$F,$A284,Grid_BD!$X:$X)/($AA284+SUMIF(Grid_BD!$F:$F,$A284,Grid_BD!$X:$X)),"")</f>
        <v/>
      </c>
      <c r="S284" s="105"/>
      <c r="T284" s="122"/>
      <c r="U284" s="123"/>
      <c r="V284" s="105"/>
      <c r="W284" s="124" t="str">
        <f>IFERROR(Table13[[#This Row],[Mtr_Net_Exp (KWh)]]/(24*AR284*1000),"")</f>
        <v/>
      </c>
      <c r="X284" s="105" t="str">
        <f>IFERROR(_xlfn.XLOOKUP($A284,Input_Raw!$A:$A,Input_Raw!$CF:$CF),"")</f>
        <v/>
      </c>
      <c r="Y284" s="105" t="str">
        <f>IFERROR(_xlfn.XLOOKUP($A284,Input_Raw!$A:$A,Input_Raw!$CZ:$CZ),"")</f>
        <v/>
      </c>
      <c r="Z284" s="105" t="str">
        <f>IFERROR(_xlfn.XLOOKUP($A284,Input_Raw!$A:$A,Input_Raw!$DA:$DA),"")</f>
        <v/>
      </c>
      <c r="AA284" s="107" t="str">
        <f t="shared" si="28"/>
        <v/>
      </c>
      <c r="AB284" s="105" t="str">
        <f>IFERROR(_xlfn.XLOOKUP($A284,Input_Raw!$A:$A,Input_Raw!$DG:$DG),"")</f>
        <v/>
      </c>
      <c r="AC284" s="125">
        <f>IFERROR(_xlfn.XLOOKUP($D284,'Modelling New'!$D:$D,'Modelling New'!$J:$J),"")</f>
        <v>3.8</v>
      </c>
      <c r="AD284" s="107">
        <f>IFERROR(_xlfn.XLOOKUP($D284,'Modelling New'!$D:$D,'Modelling New'!$T:$T)*1000,"")</f>
        <v>128093.39599615177</v>
      </c>
      <c r="AE284" s="124"/>
      <c r="AF284" s="124">
        <f>IFERROR(_xlfn.XLOOKUP($D284,'Modelling New'!$D:$D,'Modelling New'!$W:$W),"")</f>
        <v>6.8425959399653721E-2</v>
      </c>
      <c r="AG284" s="124">
        <f>IFERROR(_xlfn.XLOOKUP($D284,'Modelling New'!$D:$D,'Modelling New'!$AE:$AE),"")</f>
        <v>0.96029999999999993</v>
      </c>
      <c r="AH284" s="124">
        <f>IFERROR(_xlfn.XLOOKUP($D284,'Modelling New'!$D:$D,'Modelling New'!$AF:$AF),"")</f>
        <v>0.995</v>
      </c>
      <c r="AI284" s="105" t="str">
        <f>IFERROR(_xlfn.XLOOKUP($A284,Input_Raw!$A:$A,Input_Raw!$DE:$DE),"")</f>
        <v/>
      </c>
      <c r="AJ284" s="105"/>
      <c r="AK284" s="105"/>
      <c r="AL284" s="105"/>
      <c r="AM284" s="105"/>
      <c r="AN284" s="126" t="str">
        <f>IFERROR(_xlfn.XLOOKUP($A284,Input_Raw!$A:$A,Input_Raw!$DB:$DB),"")</f>
        <v/>
      </c>
      <c r="AO284" s="124" t="str">
        <f>IFERROR((_xlfn.XLOOKUP($A284,'WTG Reactive Power'!$A:$A,'WTG Reactive Power'!$AR:$AR))/X284/1000,"")</f>
        <v/>
      </c>
      <c r="AP284" s="124">
        <f>IFERROR(_xlfn.XLOOKUP($D284,'Modelling New'!$D:$D,'Modelling New'!$AK:$AK),"")</f>
        <v>0.05</v>
      </c>
      <c r="AQ284" s="124">
        <f>IFERROR(_xlfn.XLOOKUP($D284,'Modelling New'!$D:$D,'Modelling New'!$AL:$AL),"")</f>
        <v>0.05</v>
      </c>
      <c r="AR284">
        <f>IFERROR(_xlfn.XLOOKUP($D284,'Modelling New'!$D:$D,'Modelling New'!$N:$N),"")</f>
        <v>78</v>
      </c>
    </row>
    <row r="285" spans="1:44">
      <c r="A285" s="118">
        <f t="shared" si="22"/>
        <v>46028</v>
      </c>
      <c r="B285" s="107">
        <f>YEAR(Table13[[#This Row],[Date]])+IF(MONTH(Table13[[#This Row],[Date]])&gt;=4,1,0)</f>
        <v>2026</v>
      </c>
      <c r="C285" s="105">
        <f>YEAR(Table13[[#This Row],[Date]])</f>
        <v>2026</v>
      </c>
      <c r="D285" s="119">
        <f>Table13[[#This Row],[Date]]-DAY(Table13[[#This Row],[Date]])+1</f>
        <v>46023</v>
      </c>
      <c r="E285" s="105">
        <f t="shared" si="26"/>
        <v>31</v>
      </c>
      <c r="F285" s="108"/>
      <c r="G285" s="109"/>
      <c r="H285" s="109"/>
      <c r="I285" s="109"/>
      <c r="J285" s="109"/>
      <c r="K285" s="120"/>
      <c r="L285" s="109"/>
      <c r="M285" s="109" t="str">
        <f>IFERROR(_xlfn.XLOOKUP($A285,Input_Raw!$A:$A,Input_Raw!CG:CG),"")</f>
        <v/>
      </c>
      <c r="N285" s="109" t="str">
        <f>IFERROR(_xlfn.XLOOKUP($A285,Input_Raw!$A:$A,Input_Raw!CH:CH),"")</f>
        <v/>
      </c>
      <c r="O285" s="121" t="str">
        <f t="shared" si="27"/>
        <v/>
      </c>
      <c r="P285" s="121" t="str">
        <f>IFERROR(1-SUMIF(WTG_BD!$F:$F,$A285,WTG_BD!$AA:$AA)/($AA285+SUMIF(WTG_BD!$F:$F,$A285,WTG_BD!$AA:$AA)),"")</f>
        <v/>
      </c>
      <c r="Q285" s="122" t="str">
        <f>IFERROR(1-SUMIF(IGA_BD!$F:$F,$A285,IGA_BD!$V:$V)/($AA285+SUMIF(IGA_BD!$F:$F,$A285,IGA_BD!$V:$V)),"")</f>
        <v/>
      </c>
      <c r="R285" s="127" t="str">
        <f>IFERROR(1-SUMIF(Grid_BD!$F:$F,$A285,Grid_BD!$X:$X)/($AA285+SUMIF(Grid_BD!$F:$F,$A285,Grid_BD!$X:$X)),"")</f>
        <v/>
      </c>
      <c r="S285" s="105"/>
      <c r="T285" s="122"/>
      <c r="U285" s="123"/>
      <c r="V285" s="105"/>
      <c r="W285" s="124" t="str">
        <f>IFERROR(Table13[[#This Row],[Mtr_Net_Exp (KWh)]]/(24*AR285*1000),"")</f>
        <v/>
      </c>
      <c r="X285" s="105" t="str">
        <f>IFERROR(_xlfn.XLOOKUP($A285,Input_Raw!$A:$A,Input_Raw!$CF:$CF),"")</f>
        <v/>
      </c>
      <c r="Y285" s="105" t="str">
        <f>IFERROR(_xlfn.XLOOKUP($A285,Input_Raw!$A:$A,Input_Raw!$CZ:$CZ),"")</f>
        <v/>
      </c>
      <c r="Z285" s="105" t="str">
        <f>IFERROR(_xlfn.XLOOKUP($A285,Input_Raw!$A:$A,Input_Raw!$DA:$DA),"")</f>
        <v/>
      </c>
      <c r="AA285" s="107" t="str">
        <f t="shared" si="28"/>
        <v/>
      </c>
      <c r="AB285" s="105" t="str">
        <f>IFERROR(_xlfn.XLOOKUP($A285,Input_Raw!$A:$A,Input_Raw!$DG:$DG),"")</f>
        <v/>
      </c>
      <c r="AC285" s="125">
        <f>IFERROR(_xlfn.XLOOKUP($D285,'Modelling New'!$D:$D,'Modelling New'!$J:$J),"")</f>
        <v>3.8</v>
      </c>
      <c r="AD285" s="107">
        <f>IFERROR(_xlfn.XLOOKUP($D285,'Modelling New'!$D:$D,'Modelling New'!$T:$T)*1000,"")</f>
        <v>128093.39599615177</v>
      </c>
      <c r="AE285" s="124"/>
      <c r="AF285" s="124">
        <f>IFERROR(_xlfn.XLOOKUP($D285,'Modelling New'!$D:$D,'Modelling New'!$W:$W),"")</f>
        <v>6.8425959399653721E-2</v>
      </c>
      <c r="AG285" s="124">
        <f>IFERROR(_xlfn.XLOOKUP($D285,'Modelling New'!$D:$D,'Modelling New'!$AE:$AE),"")</f>
        <v>0.96029999999999993</v>
      </c>
      <c r="AH285" s="124">
        <f>IFERROR(_xlfn.XLOOKUP($D285,'Modelling New'!$D:$D,'Modelling New'!$AF:$AF),"")</f>
        <v>0.995</v>
      </c>
      <c r="AI285" s="105" t="str">
        <f>IFERROR(_xlfn.XLOOKUP($A285,Input_Raw!$A:$A,Input_Raw!$DE:$DE),"")</f>
        <v/>
      </c>
      <c r="AJ285" s="105"/>
      <c r="AK285" s="105"/>
      <c r="AL285" s="105"/>
      <c r="AM285" s="105"/>
      <c r="AN285" s="126" t="str">
        <f>IFERROR(_xlfn.XLOOKUP($A285,Input_Raw!$A:$A,Input_Raw!$DB:$DB),"")</f>
        <v/>
      </c>
      <c r="AO285" s="124" t="str">
        <f>IFERROR((_xlfn.XLOOKUP($A285,'WTG Reactive Power'!$A:$A,'WTG Reactive Power'!$AR:$AR))/X285/1000,"")</f>
        <v/>
      </c>
      <c r="AP285" s="124">
        <f>IFERROR(_xlfn.XLOOKUP($D285,'Modelling New'!$D:$D,'Modelling New'!$AK:$AK),"")</f>
        <v>0.05</v>
      </c>
      <c r="AQ285" s="124">
        <f>IFERROR(_xlfn.XLOOKUP($D285,'Modelling New'!$D:$D,'Modelling New'!$AL:$AL),"")</f>
        <v>0.05</v>
      </c>
      <c r="AR285">
        <f>IFERROR(_xlfn.XLOOKUP($D285,'Modelling New'!$D:$D,'Modelling New'!$N:$N),"")</f>
        <v>78</v>
      </c>
    </row>
    <row r="286" spans="1:44">
      <c r="A286" s="118">
        <f t="shared" si="22"/>
        <v>46029</v>
      </c>
      <c r="B286" s="107">
        <f>YEAR(Table13[[#This Row],[Date]])+IF(MONTH(Table13[[#This Row],[Date]])&gt;=4,1,0)</f>
        <v>2026</v>
      </c>
      <c r="C286" s="105">
        <f>YEAR(Table13[[#This Row],[Date]])</f>
        <v>2026</v>
      </c>
      <c r="D286" s="119">
        <f>Table13[[#This Row],[Date]]-DAY(Table13[[#This Row],[Date]])+1</f>
        <v>46023</v>
      </c>
      <c r="E286" s="105">
        <f t="shared" si="26"/>
        <v>31</v>
      </c>
      <c r="F286" s="108"/>
      <c r="G286" s="109"/>
      <c r="H286" s="109"/>
      <c r="I286" s="109"/>
      <c r="J286" s="109"/>
      <c r="K286" s="120"/>
      <c r="L286" s="109"/>
      <c r="M286" s="109" t="str">
        <f>IFERROR(_xlfn.XLOOKUP($A286,Input_Raw!$A:$A,Input_Raw!CG:CG),"")</f>
        <v/>
      </c>
      <c r="N286" s="109" t="str">
        <f>IFERROR(_xlfn.XLOOKUP($A286,Input_Raw!$A:$A,Input_Raw!CH:CH),"")</f>
        <v/>
      </c>
      <c r="O286" s="121" t="str">
        <f t="shared" si="27"/>
        <v/>
      </c>
      <c r="P286" s="121" t="str">
        <f>IFERROR(1-SUMIF(WTG_BD!$F:$F,$A286,WTG_BD!$AA:$AA)/($AA286+SUMIF(WTG_BD!$F:$F,$A286,WTG_BD!$AA:$AA)),"")</f>
        <v/>
      </c>
      <c r="Q286" s="122" t="str">
        <f>IFERROR(1-SUMIF(IGA_BD!$F:$F,$A286,IGA_BD!$V:$V)/($AA286+SUMIF(IGA_BD!$F:$F,$A286,IGA_BD!$V:$V)),"")</f>
        <v/>
      </c>
      <c r="R286" s="127" t="str">
        <f>IFERROR(1-SUMIF(Grid_BD!$F:$F,$A286,Grid_BD!$X:$X)/($AA286+SUMIF(Grid_BD!$F:$F,$A286,Grid_BD!$X:$X)),"")</f>
        <v/>
      </c>
      <c r="S286" s="105"/>
      <c r="T286" s="122"/>
      <c r="U286" s="123"/>
      <c r="V286" s="105"/>
      <c r="W286" s="124" t="str">
        <f>IFERROR(Table13[[#This Row],[Mtr_Net_Exp (KWh)]]/(24*AR286*1000),"")</f>
        <v/>
      </c>
      <c r="X286" s="105" t="str">
        <f>IFERROR(_xlfn.XLOOKUP($A286,Input_Raw!$A:$A,Input_Raw!$CF:$CF),"")</f>
        <v/>
      </c>
      <c r="Y286" s="105" t="str">
        <f>IFERROR(_xlfn.XLOOKUP($A286,Input_Raw!$A:$A,Input_Raw!$CZ:$CZ),"")</f>
        <v/>
      </c>
      <c r="Z286" s="105" t="str">
        <f>IFERROR(_xlfn.XLOOKUP($A286,Input_Raw!$A:$A,Input_Raw!$DA:$DA),"")</f>
        <v/>
      </c>
      <c r="AA286" s="107" t="str">
        <f t="shared" si="28"/>
        <v/>
      </c>
      <c r="AB286" s="105" t="str">
        <f>IFERROR(_xlfn.XLOOKUP($A286,Input_Raw!$A:$A,Input_Raw!$DG:$DG),"")</f>
        <v/>
      </c>
      <c r="AC286" s="125">
        <f>IFERROR(_xlfn.XLOOKUP($D286,'Modelling New'!$D:$D,'Modelling New'!$J:$J),"")</f>
        <v>3.8</v>
      </c>
      <c r="AD286" s="107">
        <f>IFERROR(_xlfn.XLOOKUP($D286,'Modelling New'!$D:$D,'Modelling New'!$T:$T)*1000,"")</f>
        <v>128093.39599615177</v>
      </c>
      <c r="AE286" s="124"/>
      <c r="AF286" s="124">
        <f>IFERROR(_xlfn.XLOOKUP($D286,'Modelling New'!$D:$D,'Modelling New'!$W:$W),"")</f>
        <v>6.8425959399653721E-2</v>
      </c>
      <c r="AG286" s="124">
        <f>IFERROR(_xlfn.XLOOKUP($D286,'Modelling New'!$D:$D,'Modelling New'!$AE:$AE),"")</f>
        <v>0.96029999999999993</v>
      </c>
      <c r="AH286" s="124">
        <f>IFERROR(_xlfn.XLOOKUP($D286,'Modelling New'!$D:$D,'Modelling New'!$AF:$AF),"")</f>
        <v>0.995</v>
      </c>
      <c r="AI286" s="105" t="str">
        <f>IFERROR(_xlfn.XLOOKUP($A286,Input_Raw!$A:$A,Input_Raw!$DE:$DE),"")</f>
        <v/>
      </c>
      <c r="AJ286" s="105"/>
      <c r="AK286" s="105"/>
      <c r="AL286" s="105"/>
      <c r="AM286" s="105"/>
      <c r="AN286" s="126" t="str">
        <f>IFERROR(_xlfn.XLOOKUP($A286,Input_Raw!$A:$A,Input_Raw!$DB:$DB),"")</f>
        <v/>
      </c>
      <c r="AO286" s="124" t="str">
        <f>IFERROR((_xlfn.XLOOKUP($A286,'WTG Reactive Power'!$A:$A,'WTG Reactive Power'!$AR:$AR))/X286/1000,"")</f>
        <v/>
      </c>
      <c r="AP286" s="124">
        <f>IFERROR(_xlfn.XLOOKUP($D286,'Modelling New'!$D:$D,'Modelling New'!$AK:$AK),"")</f>
        <v>0.05</v>
      </c>
      <c r="AQ286" s="124">
        <f>IFERROR(_xlfn.XLOOKUP($D286,'Modelling New'!$D:$D,'Modelling New'!$AL:$AL),"")</f>
        <v>0.05</v>
      </c>
      <c r="AR286">
        <f>IFERROR(_xlfn.XLOOKUP($D286,'Modelling New'!$D:$D,'Modelling New'!$N:$N),"")</f>
        <v>78</v>
      </c>
    </row>
    <row r="287" spans="1:44">
      <c r="A287" s="118">
        <f t="shared" si="22"/>
        <v>46030</v>
      </c>
      <c r="B287" s="107">
        <f>YEAR(Table13[[#This Row],[Date]])+IF(MONTH(Table13[[#This Row],[Date]])&gt;=4,1,0)</f>
        <v>2026</v>
      </c>
      <c r="C287" s="105">
        <f>YEAR(Table13[[#This Row],[Date]])</f>
        <v>2026</v>
      </c>
      <c r="D287" s="119">
        <f>Table13[[#This Row],[Date]]-DAY(Table13[[#This Row],[Date]])+1</f>
        <v>46023</v>
      </c>
      <c r="E287" s="105">
        <f t="shared" si="26"/>
        <v>31</v>
      </c>
      <c r="F287" s="108"/>
      <c r="G287" s="109"/>
      <c r="H287" s="109"/>
      <c r="I287" s="109"/>
      <c r="J287" s="109"/>
      <c r="K287" s="120"/>
      <c r="L287" s="109"/>
      <c r="M287" s="109" t="str">
        <f>IFERROR(_xlfn.XLOOKUP($A287,Input_Raw!$A:$A,Input_Raw!CG:CG),"")</f>
        <v/>
      </c>
      <c r="N287" s="109" t="str">
        <f>IFERROR(_xlfn.XLOOKUP($A287,Input_Raw!$A:$A,Input_Raw!CH:CH),"")</f>
        <v/>
      </c>
      <c r="O287" s="121" t="str">
        <f t="shared" si="27"/>
        <v/>
      </c>
      <c r="P287" s="121" t="str">
        <f>IFERROR(1-SUMIF(WTG_BD!$F:$F,$A287,WTG_BD!$AA:$AA)/($AA287+SUMIF(WTG_BD!$F:$F,$A287,WTG_BD!$AA:$AA)),"")</f>
        <v/>
      </c>
      <c r="Q287" s="122" t="str">
        <f>IFERROR(1-SUMIF(IGA_BD!$F:$F,$A287,IGA_BD!$V:$V)/($AA287+SUMIF(IGA_BD!$F:$F,$A287,IGA_BD!$V:$V)),"")</f>
        <v/>
      </c>
      <c r="R287" s="127" t="str">
        <f>IFERROR(1-SUMIF(Grid_BD!$F:$F,$A287,Grid_BD!$X:$X)/($AA287+SUMIF(Grid_BD!$F:$F,$A287,Grid_BD!$X:$X)),"")</f>
        <v/>
      </c>
      <c r="S287" s="105"/>
      <c r="T287" s="122"/>
      <c r="U287" s="123"/>
      <c r="V287" s="105"/>
      <c r="W287" s="124" t="str">
        <f>IFERROR(Table13[[#This Row],[Mtr_Net_Exp (KWh)]]/(24*AR287*1000),"")</f>
        <v/>
      </c>
      <c r="X287" s="105" t="str">
        <f>IFERROR(_xlfn.XLOOKUP($A287,Input_Raw!$A:$A,Input_Raw!$CF:$CF),"")</f>
        <v/>
      </c>
      <c r="Y287" s="105" t="str">
        <f>IFERROR(_xlfn.XLOOKUP($A287,Input_Raw!$A:$A,Input_Raw!$CZ:$CZ),"")</f>
        <v/>
      </c>
      <c r="Z287" s="105" t="str">
        <f>IFERROR(_xlfn.XLOOKUP($A287,Input_Raw!$A:$A,Input_Raw!$DA:$DA),"")</f>
        <v/>
      </c>
      <c r="AA287" s="107" t="str">
        <f t="shared" si="28"/>
        <v/>
      </c>
      <c r="AB287" s="105" t="str">
        <f>IFERROR(_xlfn.XLOOKUP($A287,Input_Raw!$A:$A,Input_Raw!$DG:$DG),"")</f>
        <v/>
      </c>
      <c r="AC287" s="125">
        <f>IFERROR(_xlfn.XLOOKUP($D287,'Modelling New'!$D:$D,'Modelling New'!$J:$J),"")</f>
        <v>3.8</v>
      </c>
      <c r="AD287" s="107">
        <f>IFERROR(_xlfn.XLOOKUP($D287,'Modelling New'!$D:$D,'Modelling New'!$T:$T)*1000,"")</f>
        <v>128093.39599615177</v>
      </c>
      <c r="AE287" s="124"/>
      <c r="AF287" s="124">
        <f>IFERROR(_xlfn.XLOOKUP($D287,'Modelling New'!$D:$D,'Modelling New'!$W:$W),"")</f>
        <v>6.8425959399653721E-2</v>
      </c>
      <c r="AG287" s="124">
        <f>IFERROR(_xlfn.XLOOKUP($D287,'Modelling New'!$D:$D,'Modelling New'!$AE:$AE),"")</f>
        <v>0.96029999999999993</v>
      </c>
      <c r="AH287" s="124">
        <f>IFERROR(_xlfn.XLOOKUP($D287,'Modelling New'!$D:$D,'Modelling New'!$AF:$AF),"")</f>
        <v>0.995</v>
      </c>
      <c r="AI287" s="105" t="str">
        <f>IFERROR(_xlfn.XLOOKUP($A287,Input_Raw!$A:$A,Input_Raw!$DE:$DE),"")</f>
        <v/>
      </c>
      <c r="AJ287" s="105"/>
      <c r="AK287" s="105"/>
      <c r="AL287" s="105"/>
      <c r="AM287" s="105"/>
      <c r="AN287" s="126" t="str">
        <f>IFERROR(_xlfn.XLOOKUP($A287,Input_Raw!$A:$A,Input_Raw!$DB:$DB),"")</f>
        <v/>
      </c>
      <c r="AO287" s="124" t="str">
        <f>IFERROR((_xlfn.XLOOKUP($A287,'WTG Reactive Power'!$A:$A,'WTG Reactive Power'!$AR:$AR))/X287/1000,"")</f>
        <v/>
      </c>
      <c r="AP287" s="124">
        <f>IFERROR(_xlfn.XLOOKUP($D287,'Modelling New'!$D:$D,'Modelling New'!$AK:$AK),"")</f>
        <v>0.05</v>
      </c>
      <c r="AQ287" s="124">
        <f>IFERROR(_xlfn.XLOOKUP($D287,'Modelling New'!$D:$D,'Modelling New'!$AL:$AL),"")</f>
        <v>0.05</v>
      </c>
      <c r="AR287">
        <f>IFERROR(_xlfn.XLOOKUP($D287,'Modelling New'!$D:$D,'Modelling New'!$N:$N),"")</f>
        <v>78</v>
      </c>
    </row>
    <row r="288" spans="1:44">
      <c r="A288" s="118">
        <f t="shared" si="22"/>
        <v>46031</v>
      </c>
      <c r="B288" s="107">
        <f>YEAR(Table13[[#This Row],[Date]])+IF(MONTH(Table13[[#This Row],[Date]])&gt;=4,1,0)</f>
        <v>2026</v>
      </c>
      <c r="C288" s="105">
        <f>YEAR(Table13[[#This Row],[Date]])</f>
        <v>2026</v>
      </c>
      <c r="D288" s="119">
        <f>Table13[[#This Row],[Date]]-DAY(Table13[[#This Row],[Date]])+1</f>
        <v>46023</v>
      </c>
      <c r="E288" s="105">
        <f t="shared" si="26"/>
        <v>31</v>
      </c>
      <c r="F288" s="108"/>
      <c r="G288" s="109"/>
      <c r="H288" s="109"/>
      <c r="I288" s="109"/>
      <c r="J288" s="109"/>
      <c r="K288" s="120"/>
      <c r="L288" s="109"/>
      <c r="M288" s="109" t="str">
        <f>IFERROR(_xlfn.XLOOKUP($A288,Input_Raw!$A:$A,Input_Raw!CG:CG),"")</f>
        <v/>
      </c>
      <c r="N288" s="109" t="str">
        <f>IFERROR(_xlfn.XLOOKUP($A288,Input_Raw!$A:$A,Input_Raw!CH:CH),"")</f>
        <v/>
      </c>
      <c r="O288" s="121" t="str">
        <f t="shared" si="27"/>
        <v/>
      </c>
      <c r="P288" s="121" t="str">
        <f>IFERROR(1-SUMIF(WTG_BD!$F:$F,$A288,WTG_BD!$AA:$AA)/($AA288+SUMIF(WTG_BD!$F:$F,$A288,WTG_BD!$AA:$AA)),"")</f>
        <v/>
      </c>
      <c r="Q288" s="122" t="str">
        <f>IFERROR(1-SUMIF(IGA_BD!$F:$F,$A288,IGA_BD!$V:$V)/($AA288+SUMIF(IGA_BD!$F:$F,$A288,IGA_BD!$V:$V)),"")</f>
        <v/>
      </c>
      <c r="R288" s="127" t="str">
        <f>IFERROR(1-SUMIF(Grid_BD!$F:$F,$A288,Grid_BD!$X:$X)/($AA288+SUMIF(Grid_BD!$F:$F,$A288,Grid_BD!$X:$X)),"")</f>
        <v/>
      </c>
      <c r="S288" s="105"/>
      <c r="T288" s="122"/>
      <c r="U288" s="123"/>
      <c r="V288" s="105"/>
      <c r="W288" s="124" t="str">
        <f>IFERROR(Table13[[#This Row],[Mtr_Net_Exp (KWh)]]/(24*AR288*1000),"")</f>
        <v/>
      </c>
      <c r="X288" s="105" t="str">
        <f>IFERROR(_xlfn.XLOOKUP($A288,Input_Raw!$A:$A,Input_Raw!$CF:$CF),"")</f>
        <v/>
      </c>
      <c r="Y288" s="105" t="str">
        <f>IFERROR(_xlfn.XLOOKUP($A288,Input_Raw!$A:$A,Input_Raw!$CZ:$CZ),"")</f>
        <v/>
      </c>
      <c r="Z288" s="105" t="str">
        <f>IFERROR(_xlfn.XLOOKUP($A288,Input_Raw!$A:$A,Input_Raw!$DA:$DA),"")</f>
        <v/>
      </c>
      <c r="AA288" s="107" t="str">
        <f t="shared" si="28"/>
        <v/>
      </c>
      <c r="AB288" s="105" t="str">
        <f>IFERROR(_xlfn.XLOOKUP($A288,Input_Raw!$A:$A,Input_Raw!$DG:$DG),"")</f>
        <v/>
      </c>
      <c r="AC288" s="125">
        <f>IFERROR(_xlfn.XLOOKUP($D288,'Modelling New'!$D:$D,'Modelling New'!$J:$J),"")</f>
        <v>3.8</v>
      </c>
      <c r="AD288" s="107">
        <f>IFERROR(_xlfn.XLOOKUP($D288,'Modelling New'!$D:$D,'Modelling New'!$T:$T)*1000,"")</f>
        <v>128093.39599615177</v>
      </c>
      <c r="AE288" s="124"/>
      <c r="AF288" s="124">
        <f>IFERROR(_xlfn.XLOOKUP($D288,'Modelling New'!$D:$D,'Modelling New'!$W:$W),"")</f>
        <v>6.8425959399653721E-2</v>
      </c>
      <c r="AG288" s="124">
        <f>IFERROR(_xlfn.XLOOKUP($D288,'Modelling New'!$D:$D,'Modelling New'!$AE:$AE),"")</f>
        <v>0.96029999999999993</v>
      </c>
      <c r="AH288" s="124">
        <f>IFERROR(_xlfn.XLOOKUP($D288,'Modelling New'!$D:$D,'Modelling New'!$AF:$AF),"")</f>
        <v>0.995</v>
      </c>
      <c r="AI288" s="105" t="str">
        <f>IFERROR(_xlfn.XLOOKUP($A288,Input_Raw!$A:$A,Input_Raw!$DE:$DE),"")</f>
        <v/>
      </c>
      <c r="AJ288" s="105"/>
      <c r="AK288" s="105"/>
      <c r="AL288" s="105"/>
      <c r="AM288" s="105"/>
      <c r="AN288" s="126" t="str">
        <f>IFERROR(_xlfn.XLOOKUP($A288,Input_Raw!$A:$A,Input_Raw!$DB:$DB),"")</f>
        <v/>
      </c>
      <c r="AO288" s="124" t="str">
        <f>IFERROR((_xlfn.XLOOKUP($A288,'WTG Reactive Power'!$A:$A,'WTG Reactive Power'!$AR:$AR))/X288/1000,"")</f>
        <v/>
      </c>
      <c r="AP288" s="124">
        <f>IFERROR(_xlfn.XLOOKUP($D288,'Modelling New'!$D:$D,'Modelling New'!$AK:$AK),"")</f>
        <v>0.05</v>
      </c>
      <c r="AQ288" s="124">
        <f>IFERROR(_xlfn.XLOOKUP($D288,'Modelling New'!$D:$D,'Modelling New'!$AL:$AL),"")</f>
        <v>0.05</v>
      </c>
      <c r="AR288">
        <f>IFERROR(_xlfn.XLOOKUP($D288,'Modelling New'!$D:$D,'Modelling New'!$N:$N),"")</f>
        <v>78</v>
      </c>
    </row>
    <row r="289" spans="1:44">
      <c r="A289" s="118">
        <f t="shared" si="22"/>
        <v>46032</v>
      </c>
      <c r="B289" s="107">
        <f>YEAR(Table13[[#This Row],[Date]])+IF(MONTH(Table13[[#This Row],[Date]])&gt;=4,1,0)</f>
        <v>2026</v>
      </c>
      <c r="C289" s="105">
        <f>YEAR(Table13[[#This Row],[Date]])</f>
        <v>2026</v>
      </c>
      <c r="D289" s="119">
        <f>Table13[[#This Row],[Date]]-DAY(Table13[[#This Row],[Date]])+1</f>
        <v>46023</v>
      </c>
      <c r="E289" s="105">
        <f t="shared" si="26"/>
        <v>31</v>
      </c>
      <c r="F289" s="108"/>
      <c r="G289" s="109"/>
      <c r="H289" s="109"/>
      <c r="I289" s="109"/>
      <c r="J289" s="109"/>
      <c r="K289" s="120"/>
      <c r="L289" s="109"/>
      <c r="M289" s="109" t="str">
        <f>IFERROR(_xlfn.XLOOKUP($A289,Input_Raw!$A:$A,Input_Raw!CG:CG),"")</f>
        <v/>
      </c>
      <c r="N289" s="109" t="str">
        <f>IFERROR(_xlfn.XLOOKUP($A289,Input_Raw!$A:$A,Input_Raw!CH:CH),"")</f>
        <v/>
      </c>
      <c r="O289" s="121" t="str">
        <f t="shared" si="27"/>
        <v/>
      </c>
      <c r="P289" s="121" t="str">
        <f>IFERROR(1-SUMIF(WTG_BD!$F:$F,$A289,WTG_BD!$AA:$AA)/($AA289+SUMIF(WTG_BD!$F:$F,$A289,WTG_BD!$AA:$AA)),"")</f>
        <v/>
      </c>
      <c r="Q289" s="122" t="str">
        <f>IFERROR(1-SUMIF(IGA_BD!$F:$F,$A289,IGA_BD!$V:$V)/($AA289+SUMIF(IGA_BD!$F:$F,$A289,IGA_BD!$V:$V)),"")</f>
        <v/>
      </c>
      <c r="R289" s="127" t="str">
        <f>IFERROR(1-SUMIF(Grid_BD!$F:$F,$A289,Grid_BD!$X:$X)/($AA289+SUMIF(Grid_BD!$F:$F,$A289,Grid_BD!$X:$X)),"")</f>
        <v/>
      </c>
      <c r="S289" s="105"/>
      <c r="T289" s="122"/>
      <c r="U289" s="123"/>
      <c r="V289" s="105"/>
      <c r="W289" s="124" t="str">
        <f>IFERROR(Table13[[#This Row],[Mtr_Net_Exp (KWh)]]/(24*AR289*1000),"")</f>
        <v/>
      </c>
      <c r="X289" s="105" t="str">
        <f>IFERROR(_xlfn.XLOOKUP($A289,Input_Raw!$A:$A,Input_Raw!$CF:$CF),"")</f>
        <v/>
      </c>
      <c r="Y289" s="105" t="str">
        <f>IFERROR(_xlfn.XLOOKUP($A289,Input_Raw!$A:$A,Input_Raw!$CZ:$CZ),"")</f>
        <v/>
      </c>
      <c r="Z289" s="105" t="str">
        <f>IFERROR(_xlfn.XLOOKUP($A289,Input_Raw!$A:$A,Input_Raw!$DA:$DA),"")</f>
        <v/>
      </c>
      <c r="AA289" s="107" t="str">
        <f t="shared" si="28"/>
        <v/>
      </c>
      <c r="AB289" s="105" t="str">
        <f>IFERROR(_xlfn.XLOOKUP($A289,Input_Raw!$A:$A,Input_Raw!$DG:$DG),"")</f>
        <v/>
      </c>
      <c r="AC289" s="125">
        <f>IFERROR(_xlfn.XLOOKUP($D289,'Modelling New'!$D:$D,'Modelling New'!$J:$J),"")</f>
        <v>3.8</v>
      </c>
      <c r="AD289" s="107">
        <f>IFERROR(_xlfn.XLOOKUP($D289,'Modelling New'!$D:$D,'Modelling New'!$T:$T)*1000,"")</f>
        <v>128093.39599615177</v>
      </c>
      <c r="AE289" s="124"/>
      <c r="AF289" s="124">
        <f>IFERROR(_xlfn.XLOOKUP($D289,'Modelling New'!$D:$D,'Modelling New'!$W:$W),"")</f>
        <v>6.8425959399653721E-2</v>
      </c>
      <c r="AG289" s="124">
        <f>IFERROR(_xlfn.XLOOKUP($D289,'Modelling New'!$D:$D,'Modelling New'!$AE:$AE),"")</f>
        <v>0.96029999999999993</v>
      </c>
      <c r="AH289" s="124">
        <f>IFERROR(_xlfn.XLOOKUP($D289,'Modelling New'!$D:$D,'Modelling New'!$AF:$AF),"")</f>
        <v>0.995</v>
      </c>
      <c r="AI289" s="105" t="str">
        <f>IFERROR(_xlfn.XLOOKUP($A289,Input_Raw!$A:$A,Input_Raw!$DE:$DE),"")</f>
        <v/>
      </c>
      <c r="AJ289" s="105"/>
      <c r="AK289" s="105"/>
      <c r="AL289" s="105"/>
      <c r="AM289" s="105"/>
      <c r="AN289" s="126" t="str">
        <f>IFERROR(_xlfn.XLOOKUP($A289,Input_Raw!$A:$A,Input_Raw!$DB:$DB),"")</f>
        <v/>
      </c>
      <c r="AO289" s="124" t="str">
        <f>IFERROR((_xlfn.XLOOKUP($A289,'WTG Reactive Power'!$A:$A,'WTG Reactive Power'!$AR:$AR))/X289/1000,"")</f>
        <v/>
      </c>
      <c r="AP289" s="124">
        <f>IFERROR(_xlfn.XLOOKUP($D289,'Modelling New'!$D:$D,'Modelling New'!$AK:$AK),"")</f>
        <v>0.05</v>
      </c>
      <c r="AQ289" s="124">
        <f>IFERROR(_xlfn.XLOOKUP($D289,'Modelling New'!$D:$D,'Modelling New'!$AL:$AL),"")</f>
        <v>0.05</v>
      </c>
      <c r="AR289">
        <f>IFERROR(_xlfn.XLOOKUP($D289,'Modelling New'!$D:$D,'Modelling New'!$N:$N),"")</f>
        <v>78</v>
      </c>
    </row>
    <row r="290" spans="1:44">
      <c r="A290" s="118">
        <f t="shared" si="22"/>
        <v>46033</v>
      </c>
      <c r="B290" s="107">
        <f>YEAR(Table13[[#This Row],[Date]])+IF(MONTH(Table13[[#This Row],[Date]])&gt;=4,1,0)</f>
        <v>2026</v>
      </c>
      <c r="C290" s="105">
        <f>YEAR(Table13[[#This Row],[Date]])</f>
        <v>2026</v>
      </c>
      <c r="D290" s="119">
        <f>Table13[[#This Row],[Date]]-DAY(Table13[[#This Row],[Date]])+1</f>
        <v>46023</v>
      </c>
      <c r="E290" s="105">
        <f t="shared" si="26"/>
        <v>31</v>
      </c>
      <c r="F290" s="108"/>
      <c r="G290" s="109"/>
      <c r="H290" s="109"/>
      <c r="I290" s="109"/>
      <c r="J290" s="109"/>
      <c r="K290" s="120"/>
      <c r="L290" s="109"/>
      <c r="M290" s="109" t="str">
        <f>IFERROR(_xlfn.XLOOKUP($A290,Input_Raw!$A:$A,Input_Raw!CG:CG),"")</f>
        <v/>
      </c>
      <c r="N290" s="109" t="str">
        <f>IFERROR(_xlfn.XLOOKUP($A290,Input_Raw!$A:$A,Input_Raw!CH:CH),"")</f>
        <v/>
      </c>
      <c r="O290" s="121" t="str">
        <f t="shared" si="27"/>
        <v/>
      </c>
      <c r="P290" s="121" t="str">
        <f>IFERROR(1-SUMIF(WTG_BD!$F:$F,$A290,WTG_BD!$AA:$AA)/($AA290+SUMIF(WTG_BD!$F:$F,$A290,WTG_BD!$AA:$AA)),"")</f>
        <v/>
      </c>
      <c r="Q290" s="122" t="str">
        <f>IFERROR(1-SUMIF(IGA_BD!$F:$F,$A290,IGA_BD!$V:$V)/($AA290+SUMIF(IGA_BD!$F:$F,$A290,IGA_BD!$V:$V)),"")</f>
        <v/>
      </c>
      <c r="R290" s="127" t="str">
        <f>IFERROR(1-SUMIF(Grid_BD!$F:$F,$A290,Grid_BD!$X:$X)/($AA290+SUMIF(Grid_BD!$F:$F,$A290,Grid_BD!$X:$X)),"")</f>
        <v/>
      </c>
      <c r="S290" s="105"/>
      <c r="T290" s="122"/>
      <c r="U290" s="123"/>
      <c r="V290" s="105"/>
      <c r="W290" s="124" t="str">
        <f>IFERROR(Table13[[#This Row],[Mtr_Net_Exp (KWh)]]/(24*AR290*1000),"")</f>
        <v/>
      </c>
      <c r="X290" s="105" t="str">
        <f>IFERROR(_xlfn.XLOOKUP($A290,Input_Raw!$A:$A,Input_Raw!$CF:$CF),"")</f>
        <v/>
      </c>
      <c r="Y290" s="105" t="str">
        <f>IFERROR(_xlfn.XLOOKUP($A290,Input_Raw!$A:$A,Input_Raw!$CZ:$CZ),"")</f>
        <v/>
      </c>
      <c r="Z290" s="105" t="str">
        <f>IFERROR(_xlfn.XLOOKUP($A290,Input_Raw!$A:$A,Input_Raw!$DA:$DA),"")</f>
        <v/>
      </c>
      <c r="AA290" s="107" t="str">
        <f t="shared" si="28"/>
        <v/>
      </c>
      <c r="AB290" s="105" t="str">
        <f>IFERROR(_xlfn.XLOOKUP($A290,Input_Raw!$A:$A,Input_Raw!$DG:$DG),"")</f>
        <v/>
      </c>
      <c r="AC290" s="125">
        <f>IFERROR(_xlfn.XLOOKUP($D290,'Modelling New'!$D:$D,'Modelling New'!$J:$J),"")</f>
        <v>3.8</v>
      </c>
      <c r="AD290" s="107">
        <f>IFERROR(_xlfn.XLOOKUP($D290,'Modelling New'!$D:$D,'Modelling New'!$T:$T)*1000,"")</f>
        <v>128093.39599615177</v>
      </c>
      <c r="AE290" s="124"/>
      <c r="AF290" s="124">
        <f>IFERROR(_xlfn.XLOOKUP($D290,'Modelling New'!$D:$D,'Modelling New'!$W:$W),"")</f>
        <v>6.8425959399653721E-2</v>
      </c>
      <c r="AG290" s="124">
        <f>IFERROR(_xlfn.XLOOKUP($D290,'Modelling New'!$D:$D,'Modelling New'!$AE:$AE),"")</f>
        <v>0.96029999999999993</v>
      </c>
      <c r="AH290" s="124">
        <f>IFERROR(_xlfn.XLOOKUP($D290,'Modelling New'!$D:$D,'Modelling New'!$AF:$AF),"")</f>
        <v>0.995</v>
      </c>
      <c r="AI290" s="105" t="str">
        <f>IFERROR(_xlfn.XLOOKUP($A290,Input_Raw!$A:$A,Input_Raw!$DE:$DE),"")</f>
        <v/>
      </c>
      <c r="AJ290" s="105"/>
      <c r="AK290" s="105"/>
      <c r="AL290" s="105"/>
      <c r="AM290" s="105"/>
      <c r="AN290" s="126" t="str">
        <f>IFERROR(_xlfn.XLOOKUP($A290,Input_Raw!$A:$A,Input_Raw!$DB:$DB),"")</f>
        <v/>
      </c>
      <c r="AO290" s="124" t="str">
        <f>IFERROR((_xlfn.XLOOKUP($A290,'WTG Reactive Power'!$A:$A,'WTG Reactive Power'!$AR:$AR))/X290/1000,"")</f>
        <v/>
      </c>
      <c r="AP290" s="124">
        <f>IFERROR(_xlfn.XLOOKUP($D290,'Modelling New'!$D:$D,'Modelling New'!$AK:$AK),"")</f>
        <v>0.05</v>
      </c>
      <c r="AQ290" s="124">
        <f>IFERROR(_xlfn.XLOOKUP($D290,'Modelling New'!$D:$D,'Modelling New'!$AL:$AL),"")</f>
        <v>0.05</v>
      </c>
      <c r="AR290">
        <f>IFERROR(_xlfn.XLOOKUP($D290,'Modelling New'!$D:$D,'Modelling New'!$N:$N),"")</f>
        <v>78</v>
      </c>
    </row>
    <row r="291" spans="1:44">
      <c r="A291" s="118">
        <f t="shared" si="22"/>
        <v>46034</v>
      </c>
      <c r="B291" s="107">
        <f>YEAR(Table13[[#This Row],[Date]])+IF(MONTH(Table13[[#This Row],[Date]])&gt;=4,1,0)</f>
        <v>2026</v>
      </c>
      <c r="C291" s="105">
        <f>YEAR(Table13[[#This Row],[Date]])</f>
        <v>2026</v>
      </c>
      <c r="D291" s="119">
        <f>Table13[[#This Row],[Date]]-DAY(Table13[[#This Row],[Date]])+1</f>
        <v>46023</v>
      </c>
      <c r="E291" s="105">
        <f t="shared" si="26"/>
        <v>31</v>
      </c>
      <c r="F291" s="108"/>
      <c r="G291" s="109"/>
      <c r="H291" s="109"/>
      <c r="I291" s="109"/>
      <c r="J291" s="109"/>
      <c r="K291" s="120"/>
      <c r="L291" s="109"/>
      <c r="M291" s="109" t="str">
        <f>IFERROR(_xlfn.XLOOKUP($A291,Input_Raw!$A:$A,Input_Raw!CG:CG),"")</f>
        <v/>
      </c>
      <c r="N291" s="109" t="str">
        <f>IFERROR(_xlfn.XLOOKUP($A291,Input_Raw!$A:$A,Input_Raw!CH:CH),"")</f>
        <v/>
      </c>
      <c r="O291" s="121" t="str">
        <f t="shared" si="27"/>
        <v/>
      </c>
      <c r="P291" s="121" t="str">
        <f>IFERROR(1-SUMIF(WTG_BD!$F:$F,$A291,WTG_BD!$AA:$AA)/($AA291+SUMIF(WTG_BD!$F:$F,$A291,WTG_BD!$AA:$AA)),"")</f>
        <v/>
      </c>
      <c r="Q291" s="122" t="str">
        <f>IFERROR(1-SUMIF(IGA_BD!$F:$F,$A291,IGA_BD!$V:$V)/($AA291+SUMIF(IGA_BD!$F:$F,$A291,IGA_BD!$V:$V)),"")</f>
        <v/>
      </c>
      <c r="R291" s="127" t="str">
        <f>IFERROR(1-SUMIF(Grid_BD!$F:$F,$A291,Grid_BD!$X:$X)/($AA291+SUMIF(Grid_BD!$F:$F,$A291,Grid_BD!$X:$X)),"")</f>
        <v/>
      </c>
      <c r="S291" s="105"/>
      <c r="T291" s="122"/>
      <c r="U291" s="123"/>
      <c r="V291" s="105"/>
      <c r="W291" s="124" t="str">
        <f>IFERROR(Table13[[#This Row],[Mtr_Net_Exp (KWh)]]/(24*AR291*1000),"")</f>
        <v/>
      </c>
      <c r="X291" s="105" t="str">
        <f>IFERROR(_xlfn.XLOOKUP($A291,Input_Raw!$A:$A,Input_Raw!$CF:$CF),"")</f>
        <v/>
      </c>
      <c r="Y291" s="105" t="str">
        <f>IFERROR(_xlfn.XLOOKUP($A291,Input_Raw!$A:$A,Input_Raw!$CZ:$CZ),"")</f>
        <v/>
      </c>
      <c r="Z291" s="105" t="str">
        <f>IFERROR(_xlfn.XLOOKUP($A291,Input_Raw!$A:$A,Input_Raw!$DA:$DA),"")</f>
        <v/>
      </c>
      <c r="AA291" s="107" t="str">
        <f t="shared" si="28"/>
        <v/>
      </c>
      <c r="AB291" s="105" t="str">
        <f>IFERROR(_xlfn.XLOOKUP($A291,Input_Raw!$A:$A,Input_Raw!$DG:$DG),"")</f>
        <v/>
      </c>
      <c r="AC291" s="125">
        <f>IFERROR(_xlfn.XLOOKUP($D291,'Modelling New'!$D:$D,'Modelling New'!$J:$J),"")</f>
        <v>3.8</v>
      </c>
      <c r="AD291" s="107">
        <f>IFERROR(_xlfn.XLOOKUP($D291,'Modelling New'!$D:$D,'Modelling New'!$T:$T)*1000,"")</f>
        <v>128093.39599615177</v>
      </c>
      <c r="AE291" s="124"/>
      <c r="AF291" s="124">
        <f>IFERROR(_xlfn.XLOOKUP($D291,'Modelling New'!$D:$D,'Modelling New'!$W:$W),"")</f>
        <v>6.8425959399653721E-2</v>
      </c>
      <c r="AG291" s="124">
        <f>IFERROR(_xlfn.XLOOKUP($D291,'Modelling New'!$D:$D,'Modelling New'!$AE:$AE),"")</f>
        <v>0.96029999999999993</v>
      </c>
      <c r="AH291" s="124">
        <f>IFERROR(_xlfn.XLOOKUP($D291,'Modelling New'!$D:$D,'Modelling New'!$AF:$AF),"")</f>
        <v>0.995</v>
      </c>
      <c r="AI291" s="105" t="str">
        <f>IFERROR(_xlfn.XLOOKUP($A291,Input_Raw!$A:$A,Input_Raw!$DE:$DE),"")</f>
        <v/>
      </c>
      <c r="AJ291" s="105"/>
      <c r="AK291" s="105"/>
      <c r="AL291" s="105"/>
      <c r="AM291" s="105"/>
      <c r="AN291" s="126" t="str">
        <f>IFERROR(_xlfn.XLOOKUP($A291,Input_Raw!$A:$A,Input_Raw!$DB:$DB),"")</f>
        <v/>
      </c>
      <c r="AO291" s="124" t="str">
        <f>IFERROR((_xlfn.XLOOKUP($A291,'WTG Reactive Power'!$A:$A,'WTG Reactive Power'!$AR:$AR))/X291/1000,"")</f>
        <v/>
      </c>
      <c r="AP291" s="124">
        <f>IFERROR(_xlfn.XLOOKUP($D291,'Modelling New'!$D:$D,'Modelling New'!$AK:$AK),"")</f>
        <v>0.05</v>
      </c>
      <c r="AQ291" s="124">
        <f>IFERROR(_xlfn.XLOOKUP($D291,'Modelling New'!$D:$D,'Modelling New'!$AL:$AL),"")</f>
        <v>0.05</v>
      </c>
      <c r="AR291">
        <f>IFERROR(_xlfn.XLOOKUP($D291,'Modelling New'!$D:$D,'Modelling New'!$N:$N),"")</f>
        <v>78</v>
      </c>
    </row>
    <row r="292" spans="1:44">
      <c r="A292" s="118">
        <f t="shared" si="22"/>
        <v>46035</v>
      </c>
      <c r="B292" s="107">
        <f>YEAR(Table13[[#This Row],[Date]])+IF(MONTH(Table13[[#This Row],[Date]])&gt;=4,1,0)</f>
        <v>2026</v>
      </c>
      <c r="C292" s="105">
        <f>YEAR(Table13[[#This Row],[Date]])</f>
        <v>2026</v>
      </c>
      <c r="D292" s="119">
        <f>Table13[[#This Row],[Date]]-DAY(Table13[[#This Row],[Date]])+1</f>
        <v>46023</v>
      </c>
      <c r="E292" s="105">
        <f t="shared" si="26"/>
        <v>31</v>
      </c>
      <c r="F292" s="108"/>
      <c r="G292" s="109"/>
      <c r="H292" s="109"/>
      <c r="I292" s="109"/>
      <c r="J292" s="109"/>
      <c r="K292" s="120"/>
      <c r="L292" s="109"/>
      <c r="M292" s="109" t="str">
        <f>IFERROR(_xlfn.XLOOKUP($A292,Input_Raw!$A:$A,Input_Raw!CG:CG),"")</f>
        <v/>
      </c>
      <c r="N292" s="109" t="str">
        <f>IFERROR(_xlfn.XLOOKUP($A292,Input_Raw!$A:$A,Input_Raw!CH:CH),"")</f>
        <v/>
      </c>
      <c r="O292" s="121" t="str">
        <f t="shared" si="27"/>
        <v/>
      </c>
      <c r="P292" s="121" t="str">
        <f>IFERROR(1-SUMIF(WTG_BD!$F:$F,$A292,WTG_BD!$AA:$AA)/($AA292+SUMIF(WTG_BD!$F:$F,$A292,WTG_BD!$AA:$AA)),"")</f>
        <v/>
      </c>
      <c r="Q292" s="122" t="str">
        <f>IFERROR(1-SUMIF(IGA_BD!$F:$F,$A292,IGA_BD!$V:$V)/($AA292+SUMIF(IGA_BD!$F:$F,$A292,IGA_BD!$V:$V)),"")</f>
        <v/>
      </c>
      <c r="R292" s="127" t="str">
        <f>IFERROR(1-SUMIF(Grid_BD!$F:$F,$A292,Grid_BD!$X:$X)/($AA292+SUMIF(Grid_BD!$F:$F,$A292,Grid_BD!$X:$X)),"")</f>
        <v/>
      </c>
      <c r="S292" s="105"/>
      <c r="T292" s="122"/>
      <c r="U292" s="123"/>
      <c r="V292" s="105"/>
      <c r="W292" s="124" t="str">
        <f>IFERROR(Table13[[#This Row],[Mtr_Net_Exp (KWh)]]/(24*AR292*1000),"")</f>
        <v/>
      </c>
      <c r="X292" s="105" t="str">
        <f>IFERROR(_xlfn.XLOOKUP($A292,Input_Raw!$A:$A,Input_Raw!$CF:$CF),"")</f>
        <v/>
      </c>
      <c r="Y292" s="105" t="str">
        <f>IFERROR(_xlfn.XLOOKUP($A292,Input_Raw!$A:$A,Input_Raw!$CZ:$CZ),"")</f>
        <v/>
      </c>
      <c r="Z292" s="105" t="str">
        <f>IFERROR(_xlfn.XLOOKUP($A292,Input_Raw!$A:$A,Input_Raw!$DA:$DA),"")</f>
        <v/>
      </c>
      <c r="AA292" s="107" t="str">
        <f t="shared" si="28"/>
        <v/>
      </c>
      <c r="AB292" s="105" t="str">
        <f>IFERROR(_xlfn.XLOOKUP($A292,Input_Raw!$A:$A,Input_Raw!$DG:$DG),"")</f>
        <v/>
      </c>
      <c r="AC292" s="125">
        <f>IFERROR(_xlfn.XLOOKUP($D292,'Modelling New'!$D:$D,'Modelling New'!$J:$J),"")</f>
        <v>3.8</v>
      </c>
      <c r="AD292" s="107">
        <f>IFERROR(_xlfn.XLOOKUP($D292,'Modelling New'!$D:$D,'Modelling New'!$T:$T)*1000,"")</f>
        <v>128093.39599615177</v>
      </c>
      <c r="AE292" s="124"/>
      <c r="AF292" s="124">
        <f>IFERROR(_xlfn.XLOOKUP($D292,'Modelling New'!$D:$D,'Modelling New'!$W:$W),"")</f>
        <v>6.8425959399653721E-2</v>
      </c>
      <c r="AG292" s="124">
        <f>IFERROR(_xlfn.XLOOKUP($D292,'Modelling New'!$D:$D,'Modelling New'!$AE:$AE),"")</f>
        <v>0.96029999999999993</v>
      </c>
      <c r="AH292" s="124">
        <f>IFERROR(_xlfn.XLOOKUP($D292,'Modelling New'!$D:$D,'Modelling New'!$AF:$AF),"")</f>
        <v>0.995</v>
      </c>
      <c r="AI292" s="105" t="str">
        <f>IFERROR(_xlfn.XLOOKUP($A292,Input_Raw!$A:$A,Input_Raw!$DE:$DE),"")</f>
        <v/>
      </c>
      <c r="AJ292" s="105"/>
      <c r="AK292" s="105"/>
      <c r="AL292" s="105"/>
      <c r="AM292" s="105"/>
      <c r="AN292" s="126" t="str">
        <f>IFERROR(_xlfn.XLOOKUP($A292,Input_Raw!$A:$A,Input_Raw!$DB:$DB),"")</f>
        <v/>
      </c>
      <c r="AO292" s="124" t="str">
        <f>IFERROR((_xlfn.XLOOKUP($A292,'WTG Reactive Power'!$A:$A,'WTG Reactive Power'!$AR:$AR))/X292/1000,"")</f>
        <v/>
      </c>
      <c r="AP292" s="124">
        <f>IFERROR(_xlfn.XLOOKUP($D292,'Modelling New'!$D:$D,'Modelling New'!$AK:$AK),"")</f>
        <v>0.05</v>
      </c>
      <c r="AQ292" s="124">
        <f>IFERROR(_xlfn.XLOOKUP($D292,'Modelling New'!$D:$D,'Modelling New'!$AL:$AL),"")</f>
        <v>0.05</v>
      </c>
      <c r="AR292">
        <f>IFERROR(_xlfn.XLOOKUP($D292,'Modelling New'!$D:$D,'Modelling New'!$N:$N),"")</f>
        <v>78</v>
      </c>
    </row>
    <row r="293" spans="1:44">
      <c r="A293" s="118">
        <f t="shared" si="22"/>
        <v>46036</v>
      </c>
      <c r="B293" s="107">
        <f>YEAR(Table13[[#This Row],[Date]])+IF(MONTH(Table13[[#This Row],[Date]])&gt;=4,1,0)</f>
        <v>2026</v>
      </c>
      <c r="C293" s="105">
        <f>YEAR(Table13[[#This Row],[Date]])</f>
        <v>2026</v>
      </c>
      <c r="D293" s="119">
        <f>Table13[[#This Row],[Date]]-DAY(Table13[[#This Row],[Date]])+1</f>
        <v>46023</v>
      </c>
      <c r="E293" s="105">
        <f t="shared" ref="E293:E324" si="29">DAY(EOMONTH(A293,0))</f>
        <v>31</v>
      </c>
      <c r="F293" s="108"/>
      <c r="G293" s="109"/>
      <c r="H293" s="109"/>
      <c r="I293" s="109"/>
      <c r="J293" s="109"/>
      <c r="K293" s="120"/>
      <c r="L293" s="109"/>
      <c r="M293" s="109" t="str">
        <f>IFERROR(_xlfn.XLOOKUP($A293,Input_Raw!$A:$A,Input_Raw!CG:CG),"")</f>
        <v/>
      </c>
      <c r="N293" s="109" t="str">
        <f>IFERROR(_xlfn.XLOOKUP($A293,Input_Raw!$A:$A,Input_Raw!CH:CH),"")</f>
        <v/>
      </c>
      <c r="O293" s="121" t="str">
        <f t="shared" ref="O293:O324" si="30">IFERROR(P293*Q293,"")</f>
        <v/>
      </c>
      <c r="P293" s="121" t="str">
        <f>IFERROR(1-SUMIF(WTG_BD!$F:$F,$A293,WTG_BD!$AA:$AA)/($AA293+SUMIF(WTG_BD!$F:$F,$A293,WTG_BD!$AA:$AA)),"")</f>
        <v/>
      </c>
      <c r="Q293" s="122" t="str">
        <f>IFERROR(1-SUMIF(IGA_BD!$F:$F,$A293,IGA_BD!$V:$V)/($AA293+SUMIF(IGA_BD!$F:$F,$A293,IGA_BD!$V:$V)),"")</f>
        <v/>
      </c>
      <c r="R293" s="127" t="str">
        <f>IFERROR(1-SUMIF(Grid_BD!$F:$F,$A293,Grid_BD!$X:$X)/($AA293+SUMIF(Grid_BD!$F:$F,$A293,Grid_BD!$X:$X)),"")</f>
        <v/>
      </c>
      <c r="S293" s="105"/>
      <c r="T293" s="122"/>
      <c r="U293" s="123"/>
      <c r="V293" s="105"/>
      <c r="W293" s="124" t="str">
        <f>IFERROR(Table13[[#This Row],[Mtr_Net_Exp (KWh)]]/(24*AR293*1000),"")</f>
        <v/>
      </c>
      <c r="X293" s="105" t="str">
        <f>IFERROR(_xlfn.XLOOKUP($A293,Input_Raw!$A:$A,Input_Raw!$CF:$CF),"")</f>
        <v/>
      </c>
      <c r="Y293" s="105" t="str">
        <f>IFERROR(_xlfn.XLOOKUP($A293,Input_Raw!$A:$A,Input_Raw!$CZ:$CZ),"")</f>
        <v/>
      </c>
      <c r="Z293" s="105" t="str">
        <f>IFERROR(_xlfn.XLOOKUP($A293,Input_Raw!$A:$A,Input_Raw!$DA:$DA),"")</f>
        <v/>
      </c>
      <c r="AA293" s="107" t="str">
        <f t="shared" ref="AA293:AA324" si="31">IFERROR(Y293-Z293,"")</f>
        <v/>
      </c>
      <c r="AB293" s="105" t="str">
        <f>IFERROR(_xlfn.XLOOKUP($A293,Input_Raw!$A:$A,Input_Raw!$DG:$DG),"")</f>
        <v/>
      </c>
      <c r="AC293" s="125">
        <f>IFERROR(_xlfn.XLOOKUP($D293,'Modelling New'!$D:$D,'Modelling New'!$J:$J),"")</f>
        <v>3.8</v>
      </c>
      <c r="AD293" s="107">
        <f>IFERROR(_xlfn.XLOOKUP($D293,'Modelling New'!$D:$D,'Modelling New'!$T:$T)*1000,"")</f>
        <v>128093.39599615177</v>
      </c>
      <c r="AE293" s="124"/>
      <c r="AF293" s="124">
        <f>IFERROR(_xlfn.XLOOKUP($D293,'Modelling New'!$D:$D,'Modelling New'!$W:$W),"")</f>
        <v>6.8425959399653721E-2</v>
      </c>
      <c r="AG293" s="124">
        <f>IFERROR(_xlfn.XLOOKUP($D293,'Modelling New'!$D:$D,'Modelling New'!$AE:$AE),"")</f>
        <v>0.96029999999999993</v>
      </c>
      <c r="AH293" s="124">
        <f>IFERROR(_xlfn.XLOOKUP($D293,'Modelling New'!$D:$D,'Modelling New'!$AF:$AF),"")</f>
        <v>0.995</v>
      </c>
      <c r="AI293" s="105" t="str">
        <f>IFERROR(_xlfn.XLOOKUP($A293,Input_Raw!$A:$A,Input_Raw!$DE:$DE),"")</f>
        <v/>
      </c>
      <c r="AJ293" s="105"/>
      <c r="AK293" s="105"/>
      <c r="AL293" s="105"/>
      <c r="AM293" s="105"/>
      <c r="AN293" s="126" t="str">
        <f>IFERROR(_xlfn.XLOOKUP($A293,Input_Raw!$A:$A,Input_Raw!$DB:$DB),"")</f>
        <v/>
      </c>
      <c r="AO293" s="124" t="str">
        <f>IFERROR((_xlfn.XLOOKUP($A293,'WTG Reactive Power'!$A:$A,'WTG Reactive Power'!$AR:$AR))/X293/1000,"")</f>
        <v/>
      </c>
      <c r="AP293" s="124">
        <f>IFERROR(_xlfn.XLOOKUP($D293,'Modelling New'!$D:$D,'Modelling New'!$AK:$AK),"")</f>
        <v>0.05</v>
      </c>
      <c r="AQ293" s="124">
        <f>IFERROR(_xlfn.XLOOKUP($D293,'Modelling New'!$D:$D,'Modelling New'!$AL:$AL),"")</f>
        <v>0.05</v>
      </c>
      <c r="AR293">
        <f>IFERROR(_xlfn.XLOOKUP($D293,'Modelling New'!$D:$D,'Modelling New'!$N:$N),"")</f>
        <v>78</v>
      </c>
    </row>
    <row r="294" spans="1:44">
      <c r="A294" s="118">
        <f t="shared" ref="A294:A357" si="32">A293+1</f>
        <v>46037</v>
      </c>
      <c r="B294" s="107">
        <f>YEAR(Table13[[#This Row],[Date]])+IF(MONTH(Table13[[#This Row],[Date]])&gt;=4,1,0)</f>
        <v>2026</v>
      </c>
      <c r="C294" s="105">
        <f>YEAR(Table13[[#This Row],[Date]])</f>
        <v>2026</v>
      </c>
      <c r="D294" s="119">
        <f>Table13[[#This Row],[Date]]-DAY(Table13[[#This Row],[Date]])+1</f>
        <v>46023</v>
      </c>
      <c r="E294" s="105">
        <f t="shared" si="29"/>
        <v>31</v>
      </c>
      <c r="F294" s="108"/>
      <c r="G294" s="109"/>
      <c r="H294" s="109"/>
      <c r="I294" s="109"/>
      <c r="J294" s="109"/>
      <c r="K294" s="120"/>
      <c r="L294" s="109"/>
      <c r="M294" s="109" t="str">
        <f>IFERROR(_xlfn.XLOOKUP($A294,Input_Raw!$A:$A,Input_Raw!CG:CG),"")</f>
        <v/>
      </c>
      <c r="N294" s="109" t="str">
        <f>IFERROR(_xlfn.XLOOKUP($A294,Input_Raw!$A:$A,Input_Raw!CH:CH),"")</f>
        <v/>
      </c>
      <c r="O294" s="121" t="str">
        <f t="shared" si="30"/>
        <v/>
      </c>
      <c r="P294" s="121" t="str">
        <f>IFERROR(1-SUMIF(WTG_BD!$F:$F,$A294,WTG_BD!$AA:$AA)/($AA294+SUMIF(WTG_BD!$F:$F,$A294,WTG_BD!$AA:$AA)),"")</f>
        <v/>
      </c>
      <c r="Q294" s="122" t="str">
        <f>IFERROR(1-SUMIF(IGA_BD!$F:$F,$A294,IGA_BD!$V:$V)/($AA294+SUMIF(IGA_BD!$F:$F,$A294,IGA_BD!$V:$V)),"")</f>
        <v/>
      </c>
      <c r="R294" s="127" t="str">
        <f>IFERROR(1-SUMIF(Grid_BD!$F:$F,$A294,Grid_BD!$X:$X)/($AA294+SUMIF(Grid_BD!$F:$F,$A294,Grid_BD!$X:$X)),"")</f>
        <v/>
      </c>
      <c r="S294" s="105"/>
      <c r="T294" s="122"/>
      <c r="U294" s="123"/>
      <c r="V294" s="105"/>
      <c r="W294" s="124" t="str">
        <f>IFERROR(Table13[[#This Row],[Mtr_Net_Exp (KWh)]]/(24*AR294*1000),"")</f>
        <v/>
      </c>
      <c r="X294" s="105" t="str">
        <f>IFERROR(_xlfn.XLOOKUP($A294,Input_Raw!$A:$A,Input_Raw!$CF:$CF),"")</f>
        <v/>
      </c>
      <c r="Y294" s="105" t="str">
        <f>IFERROR(_xlfn.XLOOKUP($A294,Input_Raw!$A:$A,Input_Raw!$CZ:$CZ),"")</f>
        <v/>
      </c>
      <c r="Z294" s="105" t="str">
        <f>IFERROR(_xlfn.XLOOKUP($A294,Input_Raw!$A:$A,Input_Raw!$DA:$DA),"")</f>
        <v/>
      </c>
      <c r="AA294" s="107" t="str">
        <f t="shared" si="31"/>
        <v/>
      </c>
      <c r="AB294" s="105" t="str">
        <f>IFERROR(_xlfn.XLOOKUP($A294,Input_Raw!$A:$A,Input_Raw!$DG:$DG),"")</f>
        <v/>
      </c>
      <c r="AC294" s="125">
        <f>IFERROR(_xlfn.XLOOKUP($D294,'Modelling New'!$D:$D,'Modelling New'!$J:$J),"")</f>
        <v>3.8</v>
      </c>
      <c r="AD294" s="107">
        <f>IFERROR(_xlfn.XLOOKUP($D294,'Modelling New'!$D:$D,'Modelling New'!$T:$T)*1000,"")</f>
        <v>128093.39599615177</v>
      </c>
      <c r="AE294" s="124"/>
      <c r="AF294" s="124">
        <f>IFERROR(_xlfn.XLOOKUP($D294,'Modelling New'!$D:$D,'Modelling New'!$W:$W),"")</f>
        <v>6.8425959399653721E-2</v>
      </c>
      <c r="AG294" s="124">
        <f>IFERROR(_xlfn.XLOOKUP($D294,'Modelling New'!$D:$D,'Modelling New'!$AE:$AE),"")</f>
        <v>0.96029999999999993</v>
      </c>
      <c r="AH294" s="124">
        <f>IFERROR(_xlfn.XLOOKUP($D294,'Modelling New'!$D:$D,'Modelling New'!$AF:$AF),"")</f>
        <v>0.995</v>
      </c>
      <c r="AI294" s="105" t="str">
        <f>IFERROR(_xlfn.XLOOKUP($A294,Input_Raw!$A:$A,Input_Raw!$DE:$DE),"")</f>
        <v/>
      </c>
      <c r="AJ294" s="105"/>
      <c r="AK294" s="105"/>
      <c r="AL294" s="105"/>
      <c r="AM294" s="105"/>
      <c r="AN294" s="126" t="str">
        <f>IFERROR(_xlfn.XLOOKUP($A294,Input_Raw!$A:$A,Input_Raw!$DB:$DB),"")</f>
        <v/>
      </c>
      <c r="AO294" s="124" t="str">
        <f>IFERROR((_xlfn.XLOOKUP($A294,'WTG Reactive Power'!$A:$A,'WTG Reactive Power'!$AR:$AR))/X294/1000,"")</f>
        <v/>
      </c>
      <c r="AP294" s="124">
        <f>IFERROR(_xlfn.XLOOKUP($D294,'Modelling New'!$D:$D,'Modelling New'!$AK:$AK),"")</f>
        <v>0.05</v>
      </c>
      <c r="AQ294" s="124">
        <f>IFERROR(_xlfn.XLOOKUP($D294,'Modelling New'!$D:$D,'Modelling New'!$AL:$AL),"")</f>
        <v>0.05</v>
      </c>
      <c r="AR294">
        <f>IFERROR(_xlfn.XLOOKUP($D294,'Modelling New'!$D:$D,'Modelling New'!$N:$N),"")</f>
        <v>78</v>
      </c>
    </row>
    <row r="295" spans="1:44">
      <c r="A295" s="118">
        <f t="shared" si="32"/>
        <v>46038</v>
      </c>
      <c r="B295" s="107">
        <f>YEAR(Table13[[#This Row],[Date]])+IF(MONTH(Table13[[#This Row],[Date]])&gt;=4,1,0)</f>
        <v>2026</v>
      </c>
      <c r="C295" s="105">
        <f>YEAR(Table13[[#This Row],[Date]])</f>
        <v>2026</v>
      </c>
      <c r="D295" s="119">
        <f>Table13[[#This Row],[Date]]-DAY(Table13[[#This Row],[Date]])+1</f>
        <v>46023</v>
      </c>
      <c r="E295" s="105">
        <f t="shared" si="29"/>
        <v>31</v>
      </c>
      <c r="F295" s="108"/>
      <c r="G295" s="109"/>
      <c r="H295" s="109"/>
      <c r="I295" s="109"/>
      <c r="J295" s="109"/>
      <c r="K295" s="120"/>
      <c r="L295" s="109"/>
      <c r="M295" s="109" t="str">
        <f>IFERROR(_xlfn.XLOOKUP($A295,Input_Raw!$A:$A,Input_Raw!CG:CG),"")</f>
        <v/>
      </c>
      <c r="N295" s="109" t="str">
        <f>IFERROR(_xlfn.XLOOKUP($A295,Input_Raw!$A:$A,Input_Raw!CH:CH),"")</f>
        <v/>
      </c>
      <c r="O295" s="121" t="str">
        <f t="shared" si="30"/>
        <v/>
      </c>
      <c r="P295" s="121" t="str">
        <f>IFERROR(1-SUMIF(WTG_BD!$F:$F,$A295,WTG_BD!$AA:$AA)/($AA295+SUMIF(WTG_BD!$F:$F,$A295,WTG_BD!$AA:$AA)),"")</f>
        <v/>
      </c>
      <c r="Q295" s="122" t="str">
        <f>IFERROR(1-SUMIF(IGA_BD!$F:$F,$A295,IGA_BD!$V:$V)/($AA295+SUMIF(IGA_BD!$F:$F,$A295,IGA_BD!$V:$V)),"")</f>
        <v/>
      </c>
      <c r="R295" s="127" t="str">
        <f>IFERROR(1-SUMIF(Grid_BD!$F:$F,$A295,Grid_BD!$X:$X)/($AA295+SUMIF(Grid_BD!$F:$F,$A295,Grid_BD!$X:$X)),"")</f>
        <v/>
      </c>
      <c r="S295" s="105"/>
      <c r="T295" s="122"/>
      <c r="U295" s="123"/>
      <c r="V295" s="105"/>
      <c r="W295" s="124" t="str">
        <f>IFERROR(Table13[[#This Row],[Mtr_Net_Exp (KWh)]]/(24*AR295*1000),"")</f>
        <v/>
      </c>
      <c r="X295" s="105" t="str">
        <f>IFERROR(_xlfn.XLOOKUP($A295,Input_Raw!$A:$A,Input_Raw!$CF:$CF),"")</f>
        <v/>
      </c>
      <c r="Y295" s="105" t="str">
        <f>IFERROR(_xlfn.XLOOKUP($A295,Input_Raw!$A:$A,Input_Raw!$CZ:$CZ),"")</f>
        <v/>
      </c>
      <c r="Z295" s="105" t="str">
        <f>IFERROR(_xlfn.XLOOKUP($A295,Input_Raw!$A:$A,Input_Raw!$DA:$DA),"")</f>
        <v/>
      </c>
      <c r="AA295" s="107" t="str">
        <f t="shared" si="31"/>
        <v/>
      </c>
      <c r="AB295" s="105" t="str">
        <f>IFERROR(_xlfn.XLOOKUP($A295,Input_Raw!$A:$A,Input_Raw!$DG:$DG),"")</f>
        <v/>
      </c>
      <c r="AC295" s="125">
        <f>IFERROR(_xlfn.XLOOKUP($D295,'Modelling New'!$D:$D,'Modelling New'!$J:$J),"")</f>
        <v>3.8</v>
      </c>
      <c r="AD295" s="107">
        <f>IFERROR(_xlfn.XLOOKUP($D295,'Modelling New'!$D:$D,'Modelling New'!$T:$T)*1000,"")</f>
        <v>128093.39599615177</v>
      </c>
      <c r="AE295" s="124"/>
      <c r="AF295" s="124">
        <f>IFERROR(_xlfn.XLOOKUP($D295,'Modelling New'!$D:$D,'Modelling New'!$W:$W),"")</f>
        <v>6.8425959399653721E-2</v>
      </c>
      <c r="AG295" s="124">
        <f>IFERROR(_xlfn.XLOOKUP($D295,'Modelling New'!$D:$D,'Modelling New'!$AE:$AE),"")</f>
        <v>0.96029999999999993</v>
      </c>
      <c r="AH295" s="124">
        <f>IFERROR(_xlfn.XLOOKUP($D295,'Modelling New'!$D:$D,'Modelling New'!$AF:$AF),"")</f>
        <v>0.995</v>
      </c>
      <c r="AI295" s="105" t="str">
        <f>IFERROR(_xlfn.XLOOKUP($A295,Input_Raw!$A:$A,Input_Raw!$DE:$DE),"")</f>
        <v/>
      </c>
      <c r="AJ295" s="105"/>
      <c r="AK295" s="105"/>
      <c r="AL295" s="105"/>
      <c r="AM295" s="105"/>
      <c r="AN295" s="126" t="str">
        <f>IFERROR(_xlfn.XLOOKUP($A295,Input_Raw!$A:$A,Input_Raw!$DB:$DB),"")</f>
        <v/>
      </c>
      <c r="AO295" s="124" t="str">
        <f>IFERROR((_xlfn.XLOOKUP($A295,'WTG Reactive Power'!$A:$A,'WTG Reactive Power'!$AR:$AR))/X295/1000,"")</f>
        <v/>
      </c>
      <c r="AP295" s="124">
        <f>IFERROR(_xlfn.XLOOKUP($D295,'Modelling New'!$D:$D,'Modelling New'!$AK:$AK),"")</f>
        <v>0.05</v>
      </c>
      <c r="AQ295" s="124">
        <f>IFERROR(_xlfn.XLOOKUP($D295,'Modelling New'!$D:$D,'Modelling New'!$AL:$AL),"")</f>
        <v>0.05</v>
      </c>
      <c r="AR295">
        <f>IFERROR(_xlfn.XLOOKUP($D295,'Modelling New'!$D:$D,'Modelling New'!$N:$N),"")</f>
        <v>78</v>
      </c>
    </row>
    <row r="296" spans="1:44">
      <c r="A296" s="118">
        <f t="shared" si="32"/>
        <v>46039</v>
      </c>
      <c r="B296" s="107">
        <f>YEAR(Table13[[#This Row],[Date]])+IF(MONTH(Table13[[#This Row],[Date]])&gt;=4,1,0)</f>
        <v>2026</v>
      </c>
      <c r="C296" s="105">
        <f>YEAR(Table13[[#This Row],[Date]])</f>
        <v>2026</v>
      </c>
      <c r="D296" s="119">
        <f>Table13[[#This Row],[Date]]-DAY(Table13[[#This Row],[Date]])+1</f>
        <v>46023</v>
      </c>
      <c r="E296" s="105">
        <f t="shared" si="29"/>
        <v>31</v>
      </c>
      <c r="F296" s="108"/>
      <c r="G296" s="109"/>
      <c r="H296" s="109"/>
      <c r="I296" s="109"/>
      <c r="J296" s="109"/>
      <c r="K296" s="120"/>
      <c r="L296" s="109"/>
      <c r="M296" s="109" t="str">
        <f>IFERROR(_xlfn.XLOOKUP($A296,Input_Raw!$A:$A,Input_Raw!CG:CG),"")</f>
        <v/>
      </c>
      <c r="N296" s="109" t="str">
        <f>IFERROR(_xlfn.XLOOKUP($A296,Input_Raw!$A:$A,Input_Raw!CH:CH),"")</f>
        <v/>
      </c>
      <c r="O296" s="121" t="str">
        <f t="shared" si="30"/>
        <v/>
      </c>
      <c r="P296" s="121" t="str">
        <f>IFERROR(1-SUMIF(WTG_BD!$F:$F,$A296,WTG_BD!$AA:$AA)/($AA296+SUMIF(WTG_BD!$F:$F,$A296,WTG_BD!$AA:$AA)),"")</f>
        <v/>
      </c>
      <c r="Q296" s="122" t="str">
        <f>IFERROR(1-SUMIF(IGA_BD!$F:$F,$A296,IGA_BD!$V:$V)/($AA296+SUMIF(IGA_BD!$F:$F,$A296,IGA_BD!$V:$V)),"")</f>
        <v/>
      </c>
      <c r="R296" s="127" t="str">
        <f>IFERROR(1-SUMIF(Grid_BD!$F:$F,$A296,Grid_BD!$X:$X)/($AA296+SUMIF(Grid_BD!$F:$F,$A296,Grid_BD!$X:$X)),"")</f>
        <v/>
      </c>
      <c r="S296" s="105"/>
      <c r="T296" s="122"/>
      <c r="U296" s="123"/>
      <c r="V296" s="105"/>
      <c r="W296" s="124" t="str">
        <f>IFERROR(Table13[[#This Row],[Mtr_Net_Exp (KWh)]]/(24*AR296*1000),"")</f>
        <v/>
      </c>
      <c r="X296" s="105" t="str">
        <f>IFERROR(_xlfn.XLOOKUP($A296,Input_Raw!$A:$A,Input_Raw!$CF:$CF),"")</f>
        <v/>
      </c>
      <c r="Y296" s="105" t="str">
        <f>IFERROR(_xlfn.XLOOKUP($A296,Input_Raw!$A:$A,Input_Raw!$CZ:$CZ),"")</f>
        <v/>
      </c>
      <c r="Z296" s="105" t="str">
        <f>IFERROR(_xlfn.XLOOKUP($A296,Input_Raw!$A:$A,Input_Raw!$DA:$DA),"")</f>
        <v/>
      </c>
      <c r="AA296" s="107" t="str">
        <f t="shared" si="31"/>
        <v/>
      </c>
      <c r="AB296" s="105" t="str">
        <f>IFERROR(_xlfn.XLOOKUP($A296,Input_Raw!$A:$A,Input_Raw!$DG:$DG),"")</f>
        <v/>
      </c>
      <c r="AC296" s="125">
        <f>IFERROR(_xlfn.XLOOKUP($D296,'Modelling New'!$D:$D,'Modelling New'!$J:$J),"")</f>
        <v>3.8</v>
      </c>
      <c r="AD296" s="107">
        <f>IFERROR(_xlfn.XLOOKUP($D296,'Modelling New'!$D:$D,'Modelling New'!$T:$T)*1000,"")</f>
        <v>128093.39599615177</v>
      </c>
      <c r="AE296" s="124"/>
      <c r="AF296" s="124">
        <f>IFERROR(_xlfn.XLOOKUP($D296,'Modelling New'!$D:$D,'Modelling New'!$W:$W),"")</f>
        <v>6.8425959399653721E-2</v>
      </c>
      <c r="AG296" s="124">
        <f>IFERROR(_xlfn.XLOOKUP($D296,'Modelling New'!$D:$D,'Modelling New'!$AE:$AE),"")</f>
        <v>0.96029999999999993</v>
      </c>
      <c r="AH296" s="124">
        <f>IFERROR(_xlfn.XLOOKUP($D296,'Modelling New'!$D:$D,'Modelling New'!$AF:$AF),"")</f>
        <v>0.995</v>
      </c>
      <c r="AI296" s="105" t="str">
        <f>IFERROR(_xlfn.XLOOKUP($A296,Input_Raw!$A:$A,Input_Raw!$DE:$DE),"")</f>
        <v/>
      </c>
      <c r="AJ296" s="105"/>
      <c r="AK296" s="105"/>
      <c r="AL296" s="105"/>
      <c r="AM296" s="105"/>
      <c r="AN296" s="126" t="str">
        <f>IFERROR(_xlfn.XLOOKUP($A296,Input_Raw!$A:$A,Input_Raw!$DB:$DB),"")</f>
        <v/>
      </c>
      <c r="AO296" s="124" t="str">
        <f>IFERROR((_xlfn.XLOOKUP($A296,'WTG Reactive Power'!$A:$A,'WTG Reactive Power'!$AR:$AR))/X296/1000,"")</f>
        <v/>
      </c>
      <c r="AP296" s="124">
        <f>IFERROR(_xlfn.XLOOKUP($D296,'Modelling New'!$D:$D,'Modelling New'!$AK:$AK),"")</f>
        <v>0.05</v>
      </c>
      <c r="AQ296" s="124">
        <f>IFERROR(_xlfn.XLOOKUP($D296,'Modelling New'!$D:$D,'Modelling New'!$AL:$AL),"")</f>
        <v>0.05</v>
      </c>
      <c r="AR296">
        <f>IFERROR(_xlfn.XLOOKUP($D296,'Modelling New'!$D:$D,'Modelling New'!$N:$N),"")</f>
        <v>78</v>
      </c>
    </row>
    <row r="297" spans="1:44">
      <c r="A297" s="118">
        <f t="shared" si="32"/>
        <v>46040</v>
      </c>
      <c r="B297" s="107">
        <f>YEAR(Table13[[#This Row],[Date]])+IF(MONTH(Table13[[#This Row],[Date]])&gt;=4,1,0)</f>
        <v>2026</v>
      </c>
      <c r="C297" s="105">
        <f>YEAR(Table13[[#This Row],[Date]])</f>
        <v>2026</v>
      </c>
      <c r="D297" s="119">
        <f>Table13[[#This Row],[Date]]-DAY(Table13[[#This Row],[Date]])+1</f>
        <v>46023</v>
      </c>
      <c r="E297" s="105">
        <f t="shared" si="29"/>
        <v>31</v>
      </c>
      <c r="F297" s="108"/>
      <c r="G297" s="109"/>
      <c r="H297" s="109"/>
      <c r="I297" s="109"/>
      <c r="J297" s="109"/>
      <c r="K297" s="120"/>
      <c r="L297" s="109"/>
      <c r="M297" s="109" t="str">
        <f>IFERROR(_xlfn.XLOOKUP($A297,Input_Raw!$A:$A,Input_Raw!CG:CG),"")</f>
        <v/>
      </c>
      <c r="N297" s="109" t="str">
        <f>IFERROR(_xlfn.XLOOKUP($A297,Input_Raw!$A:$A,Input_Raw!CH:CH),"")</f>
        <v/>
      </c>
      <c r="O297" s="121" t="str">
        <f t="shared" si="30"/>
        <v/>
      </c>
      <c r="P297" s="121" t="str">
        <f>IFERROR(1-SUMIF(WTG_BD!$F:$F,$A297,WTG_BD!$AA:$AA)/($AA297+SUMIF(WTG_BD!$F:$F,$A297,WTG_BD!$AA:$AA)),"")</f>
        <v/>
      </c>
      <c r="Q297" s="122" t="str">
        <f>IFERROR(1-SUMIF(IGA_BD!$F:$F,$A297,IGA_BD!$V:$V)/($AA297+SUMIF(IGA_BD!$F:$F,$A297,IGA_BD!$V:$V)),"")</f>
        <v/>
      </c>
      <c r="R297" s="127" t="str">
        <f>IFERROR(1-SUMIF(Grid_BD!$F:$F,$A297,Grid_BD!$X:$X)/($AA297+SUMIF(Grid_BD!$F:$F,$A297,Grid_BD!$X:$X)),"")</f>
        <v/>
      </c>
      <c r="S297" s="105"/>
      <c r="T297" s="122"/>
      <c r="U297" s="123"/>
      <c r="V297" s="105"/>
      <c r="W297" s="124" t="str">
        <f>IFERROR(Table13[[#This Row],[Mtr_Net_Exp (KWh)]]/(24*AR297*1000),"")</f>
        <v/>
      </c>
      <c r="X297" s="105" t="str">
        <f>IFERROR(_xlfn.XLOOKUP($A297,Input_Raw!$A:$A,Input_Raw!$CF:$CF),"")</f>
        <v/>
      </c>
      <c r="Y297" s="105" t="str">
        <f>IFERROR(_xlfn.XLOOKUP($A297,Input_Raw!$A:$A,Input_Raw!$CZ:$CZ),"")</f>
        <v/>
      </c>
      <c r="Z297" s="105" t="str">
        <f>IFERROR(_xlfn.XLOOKUP($A297,Input_Raw!$A:$A,Input_Raw!$DA:$DA),"")</f>
        <v/>
      </c>
      <c r="AA297" s="107" t="str">
        <f t="shared" si="31"/>
        <v/>
      </c>
      <c r="AB297" s="105" t="str">
        <f>IFERROR(_xlfn.XLOOKUP($A297,Input_Raw!$A:$A,Input_Raw!$DG:$DG),"")</f>
        <v/>
      </c>
      <c r="AC297" s="125">
        <f>IFERROR(_xlfn.XLOOKUP($D297,'Modelling New'!$D:$D,'Modelling New'!$J:$J),"")</f>
        <v>3.8</v>
      </c>
      <c r="AD297" s="107">
        <f>IFERROR(_xlfn.XLOOKUP($D297,'Modelling New'!$D:$D,'Modelling New'!$T:$T)*1000,"")</f>
        <v>128093.39599615177</v>
      </c>
      <c r="AE297" s="124"/>
      <c r="AF297" s="124">
        <f>IFERROR(_xlfn.XLOOKUP($D297,'Modelling New'!$D:$D,'Modelling New'!$W:$W),"")</f>
        <v>6.8425959399653721E-2</v>
      </c>
      <c r="AG297" s="124">
        <f>IFERROR(_xlfn.XLOOKUP($D297,'Modelling New'!$D:$D,'Modelling New'!$AE:$AE),"")</f>
        <v>0.96029999999999993</v>
      </c>
      <c r="AH297" s="124">
        <f>IFERROR(_xlfn.XLOOKUP($D297,'Modelling New'!$D:$D,'Modelling New'!$AF:$AF),"")</f>
        <v>0.995</v>
      </c>
      <c r="AI297" s="105" t="str">
        <f>IFERROR(_xlfn.XLOOKUP($A297,Input_Raw!$A:$A,Input_Raw!$DE:$DE),"")</f>
        <v/>
      </c>
      <c r="AJ297" s="105"/>
      <c r="AK297" s="105"/>
      <c r="AL297" s="105"/>
      <c r="AM297" s="105"/>
      <c r="AN297" s="126" t="str">
        <f>IFERROR(_xlfn.XLOOKUP($A297,Input_Raw!$A:$A,Input_Raw!$DB:$DB),"")</f>
        <v/>
      </c>
      <c r="AO297" s="124" t="str">
        <f>IFERROR((_xlfn.XLOOKUP($A297,'WTG Reactive Power'!$A:$A,'WTG Reactive Power'!$AR:$AR))/X297/1000,"")</f>
        <v/>
      </c>
      <c r="AP297" s="124">
        <f>IFERROR(_xlfn.XLOOKUP($D297,'Modelling New'!$D:$D,'Modelling New'!$AK:$AK),"")</f>
        <v>0.05</v>
      </c>
      <c r="AQ297" s="124">
        <f>IFERROR(_xlfn.XLOOKUP($D297,'Modelling New'!$D:$D,'Modelling New'!$AL:$AL),"")</f>
        <v>0.05</v>
      </c>
      <c r="AR297">
        <f>IFERROR(_xlfn.XLOOKUP($D297,'Modelling New'!$D:$D,'Modelling New'!$N:$N),"")</f>
        <v>78</v>
      </c>
    </row>
    <row r="298" spans="1:44">
      <c r="A298" s="118">
        <f t="shared" si="32"/>
        <v>46041</v>
      </c>
      <c r="B298" s="107">
        <f>YEAR(Table13[[#This Row],[Date]])+IF(MONTH(Table13[[#This Row],[Date]])&gt;=4,1,0)</f>
        <v>2026</v>
      </c>
      <c r="C298" s="105">
        <f>YEAR(Table13[[#This Row],[Date]])</f>
        <v>2026</v>
      </c>
      <c r="D298" s="119">
        <f>Table13[[#This Row],[Date]]-DAY(Table13[[#This Row],[Date]])+1</f>
        <v>46023</v>
      </c>
      <c r="E298" s="105">
        <f t="shared" si="29"/>
        <v>31</v>
      </c>
      <c r="F298" s="108"/>
      <c r="G298" s="109"/>
      <c r="H298" s="109"/>
      <c r="I298" s="109"/>
      <c r="J298" s="109"/>
      <c r="K298" s="120"/>
      <c r="L298" s="109"/>
      <c r="M298" s="109" t="str">
        <f>IFERROR(_xlfn.XLOOKUP($A298,Input_Raw!$A:$A,Input_Raw!CG:CG),"")</f>
        <v/>
      </c>
      <c r="N298" s="109" t="str">
        <f>IFERROR(_xlfn.XLOOKUP($A298,Input_Raw!$A:$A,Input_Raw!CH:CH),"")</f>
        <v/>
      </c>
      <c r="O298" s="121" t="str">
        <f t="shared" si="30"/>
        <v/>
      </c>
      <c r="P298" s="121" t="str">
        <f>IFERROR(1-SUMIF(WTG_BD!$F:$F,$A298,WTG_BD!$AA:$AA)/($AA298+SUMIF(WTG_BD!$F:$F,$A298,WTG_BD!$AA:$AA)),"")</f>
        <v/>
      </c>
      <c r="Q298" s="122" t="str">
        <f>IFERROR(1-SUMIF(IGA_BD!$F:$F,$A298,IGA_BD!$V:$V)/($AA298+SUMIF(IGA_BD!$F:$F,$A298,IGA_BD!$V:$V)),"")</f>
        <v/>
      </c>
      <c r="R298" s="127" t="str">
        <f>IFERROR(1-SUMIF(Grid_BD!$F:$F,$A298,Grid_BD!$X:$X)/($AA298+SUMIF(Grid_BD!$F:$F,$A298,Grid_BD!$X:$X)),"")</f>
        <v/>
      </c>
      <c r="S298" s="105"/>
      <c r="T298" s="122"/>
      <c r="U298" s="123"/>
      <c r="V298" s="105"/>
      <c r="W298" s="124" t="str">
        <f>IFERROR(Table13[[#This Row],[Mtr_Net_Exp (KWh)]]/(24*AR298*1000),"")</f>
        <v/>
      </c>
      <c r="X298" s="105" t="str">
        <f>IFERROR(_xlfn.XLOOKUP($A298,Input_Raw!$A:$A,Input_Raw!$CF:$CF),"")</f>
        <v/>
      </c>
      <c r="Y298" s="105" t="str">
        <f>IFERROR(_xlfn.XLOOKUP($A298,Input_Raw!$A:$A,Input_Raw!$CZ:$CZ),"")</f>
        <v/>
      </c>
      <c r="Z298" s="105" t="str">
        <f>IFERROR(_xlfn.XLOOKUP($A298,Input_Raw!$A:$A,Input_Raw!$DA:$DA),"")</f>
        <v/>
      </c>
      <c r="AA298" s="107" t="str">
        <f t="shared" si="31"/>
        <v/>
      </c>
      <c r="AB298" s="105" t="str">
        <f>IFERROR(_xlfn.XLOOKUP($A298,Input_Raw!$A:$A,Input_Raw!$DG:$DG),"")</f>
        <v/>
      </c>
      <c r="AC298" s="125">
        <f>IFERROR(_xlfn.XLOOKUP($D298,'Modelling New'!$D:$D,'Modelling New'!$J:$J),"")</f>
        <v>3.8</v>
      </c>
      <c r="AD298" s="107">
        <f>IFERROR(_xlfn.XLOOKUP($D298,'Modelling New'!$D:$D,'Modelling New'!$T:$T)*1000,"")</f>
        <v>128093.39599615177</v>
      </c>
      <c r="AE298" s="124"/>
      <c r="AF298" s="124">
        <f>IFERROR(_xlfn.XLOOKUP($D298,'Modelling New'!$D:$D,'Modelling New'!$W:$W),"")</f>
        <v>6.8425959399653721E-2</v>
      </c>
      <c r="AG298" s="124">
        <f>IFERROR(_xlfn.XLOOKUP($D298,'Modelling New'!$D:$D,'Modelling New'!$AE:$AE),"")</f>
        <v>0.96029999999999993</v>
      </c>
      <c r="AH298" s="124">
        <f>IFERROR(_xlfn.XLOOKUP($D298,'Modelling New'!$D:$D,'Modelling New'!$AF:$AF),"")</f>
        <v>0.995</v>
      </c>
      <c r="AI298" s="105" t="str">
        <f>IFERROR(_xlfn.XLOOKUP($A298,Input_Raw!$A:$A,Input_Raw!$DE:$DE),"")</f>
        <v/>
      </c>
      <c r="AJ298" s="105"/>
      <c r="AK298" s="105"/>
      <c r="AL298" s="105"/>
      <c r="AM298" s="105"/>
      <c r="AN298" s="126" t="str">
        <f>IFERROR(_xlfn.XLOOKUP($A298,Input_Raw!$A:$A,Input_Raw!$DB:$DB),"")</f>
        <v/>
      </c>
      <c r="AO298" s="124" t="str">
        <f>IFERROR((_xlfn.XLOOKUP($A298,'WTG Reactive Power'!$A:$A,'WTG Reactive Power'!$AR:$AR))/X298/1000,"")</f>
        <v/>
      </c>
      <c r="AP298" s="124">
        <f>IFERROR(_xlfn.XLOOKUP($D298,'Modelling New'!$D:$D,'Modelling New'!$AK:$AK),"")</f>
        <v>0.05</v>
      </c>
      <c r="AQ298" s="124">
        <f>IFERROR(_xlfn.XLOOKUP($D298,'Modelling New'!$D:$D,'Modelling New'!$AL:$AL),"")</f>
        <v>0.05</v>
      </c>
      <c r="AR298">
        <f>IFERROR(_xlfn.XLOOKUP($D298,'Modelling New'!$D:$D,'Modelling New'!$N:$N),"")</f>
        <v>78</v>
      </c>
    </row>
    <row r="299" spans="1:44">
      <c r="A299" s="118">
        <f t="shared" si="32"/>
        <v>46042</v>
      </c>
      <c r="B299" s="107">
        <f>YEAR(Table13[[#This Row],[Date]])+IF(MONTH(Table13[[#This Row],[Date]])&gt;=4,1,0)</f>
        <v>2026</v>
      </c>
      <c r="C299" s="105">
        <f>YEAR(Table13[[#This Row],[Date]])</f>
        <v>2026</v>
      </c>
      <c r="D299" s="119">
        <f>Table13[[#This Row],[Date]]-DAY(Table13[[#This Row],[Date]])+1</f>
        <v>46023</v>
      </c>
      <c r="E299" s="105">
        <f t="shared" si="29"/>
        <v>31</v>
      </c>
      <c r="F299" s="108"/>
      <c r="G299" s="109"/>
      <c r="H299" s="109"/>
      <c r="I299" s="109"/>
      <c r="J299" s="109"/>
      <c r="K299" s="120"/>
      <c r="L299" s="109"/>
      <c r="M299" s="109" t="str">
        <f>IFERROR(_xlfn.XLOOKUP($A299,Input_Raw!$A:$A,Input_Raw!CG:CG),"")</f>
        <v/>
      </c>
      <c r="N299" s="109" t="str">
        <f>IFERROR(_xlfn.XLOOKUP($A299,Input_Raw!$A:$A,Input_Raw!CH:CH),"")</f>
        <v/>
      </c>
      <c r="O299" s="121" t="str">
        <f t="shared" si="30"/>
        <v/>
      </c>
      <c r="P299" s="121" t="str">
        <f>IFERROR(1-SUMIF(WTG_BD!$F:$F,$A299,WTG_BD!$AA:$AA)/($AA299+SUMIF(WTG_BD!$F:$F,$A299,WTG_BD!$AA:$AA)),"")</f>
        <v/>
      </c>
      <c r="Q299" s="122" t="str">
        <f>IFERROR(1-SUMIF(IGA_BD!$F:$F,$A299,IGA_BD!$V:$V)/($AA299+SUMIF(IGA_BD!$F:$F,$A299,IGA_BD!$V:$V)),"")</f>
        <v/>
      </c>
      <c r="R299" s="127" t="str">
        <f>IFERROR(1-SUMIF(Grid_BD!$F:$F,$A299,Grid_BD!$X:$X)/($AA299+SUMIF(Grid_BD!$F:$F,$A299,Grid_BD!$X:$X)),"")</f>
        <v/>
      </c>
      <c r="S299" s="105"/>
      <c r="T299" s="122"/>
      <c r="U299" s="123"/>
      <c r="V299" s="105"/>
      <c r="W299" s="124" t="str">
        <f>IFERROR(Table13[[#This Row],[Mtr_Net_Exp (KWh)]]/(24*AR299*1000),"")</f>
        <v/>
      </c>
      <c r="X299" s="105" t="str">
        <f>IFERROR(_xlfn.XLOOKUP($A299,Input_Raw!$A:$A,Input_Raw!$CF:$CF),"")</f>
        <v/>
      </c>
      <c r="Y299" s="105" t="str">
        <f>IFERROR(_xlfn.XLOOKUP($A299,Input_Raw!$A:$A,Input_Raw!$CZ:$CZ),"")</f>
        <v/>
      </c>
      <c r="Z299" s="105" t="str">
        <f>IFERROR(_xlfn.XLOOKUP($A299,Input_Raw!$A:$A,Input_Raw!$DA:$DA),"")</f>
        <v/>
      </c>
      <c r="AA299" s="107" t="str">
        <f t="shared" si="31"/>
        <v/>
      </c>
      <c r="AB299" s="105" t="str">
        <f>IFERROR(_xlfn.XLOOKUP($A299,Input_Raw!$A:$A,Input_Raw!$DG:$DG),"")</f>
        <v/>
      </c>
      <c r="AC299" s="125">
        <f>IFERROR(_xlfn.XLOOKUP($D299,'Modelling New'!$D:$D,'Modelling New'!$J:$J),"")</f>
        <v>3.8</v>
      </c>
      <c r="AD299" s="107">
        <f>IFERROR(_xlfn.XLOOKUP($D299,'Modelling New'!$D:$D,'Modelling New'!$T:$T)*1000,"")</f>
        <v>128093.39599615177</v>
      </c>
      <c r="AE299" s="124"/>
      <c r="AF299" s="124">
        <f>IFERROR(_xlfn.XLOOKUP($D299,'Modelling New'!$D:$D,'Modelling New'!$W:$W),"")</f>
        <v>6.8425959399653721E-2</v>
      </c>
      <c r="AG299" s="124">
        <f>IFERROR(_xlfn.XLOOKUP($D299,'Modelling New'!$D:$D,'Modelling New'!$AE:$AE),"")</f>
        <v>0.96029999999999993</v>
      </c>
      <c r="AH299" s="124">
        <f>IFERROR(_xlfn.XLOOKUP($D299,'Modelling New'!$D:$D,'Modelling New'!$AF:$AF),"")</f>
        <v>0.995</v>
      </c>
      <c r="AI299" s="105" t="str">
        <f>IFERROR(_xlfn.XLOOKUP($A299,Input_Raw!$A:$A,Input_Raw!$DE:$DE),"")</f>
        <v/>
      </c>
      <c r="AJ299" s="105"/>
      <c r="AK299" s="105"/>
      <c r="AL299" s="105"/>
      <c r="AM299" s="105"/>
      <c r="AN299" s="126" t="str">
        <f>IFERROR(_xlfn.XLOOKUP($A299,Input_Raw!$A:$A,Input_Raw!$DB:$DB),"")</f>
        <v/>
      </c>
      <c r="AO299" s="124" t="str">
        <f>IFERROR((_xlfn.XLOOKUP($A299,'WTG Reactive Power'!$A:$A,'WTG Reactive Power'!$AR:$AR))/X299/1000,"")</f>
        <v/>
      </c>
      <c r="AP299" s="124">
        <f>IFERROR(_xlfn.XLOOKUP($D299,'Modelling New'!$D:$D,'Modelling New'!$AK:$AK),"")</f>
        <v>0.05</v>
      </c>
      <c r="AQ299" s="124">
        <f>IFERROR(_xlfn.XLOOKUP($D299,'Modelling New'!$D:$D,'Modelling New'!$AL:$AL),"")</f>
        <v>0.05</v>
      </c>
      <c r="AR299">
        <f>IFERROR(_xlfn.XLOOKUP($D299,'Modelling New'!$D:$D,'Modelling New'!$N:$N),"")</f>
        <v>78</v>
      </c>
    </row>
    <row r="300" spans="1:44">
      <c r="A300" s="118">
        <f t="shared" si="32"/>
        <v>46043</v>
      </c>
      <c r="B300" s="107">
        <f>YEAR(Table13[[#This Row],[Date]])+IF(MONTH(Table13[[#This Row],[Date]])&gt;=4,1,0)</f>
        <v>2026</v>
      </c>
      <c r="C300" s="105">
        <f>YEAR(Table13[[#This Row],[Date]])</f>
        <v>2026</v>
      </c>
      <c r="D300" s="119">
        <f>Table13[[#This Row],[Date]]-DAY(Table13[[#This Row],[Date]])+1</f>
        <v>46023</v>
      </c>
      <c r="E300" s="105">
        <f t="shared" si="29"/>
        <v>31</v>
      </c>
      <c r="F300" s="108"/>
      <c r="G300" s="109"/>
      <c r="H300" s="109"/>
      <c r="I300" s="109"/>
      <c r="J300" s="109"/>
      <c r="K300" s="120"/>
      <c r="L300" s="109"/>
      <c r="M300" s="109" t="str">
        <f>IFERROR(_xlfn.XLOOKUP($A300,Input_Raw!$A:$A,Input_Raw!CG:CG),"")</f>
        <v/>
      </c>
      <c r="N300" s="109" t="str">
        <f>IFERROR(_xlfn.XLOOKUP($A300,Input_Raw!$A:$A,Input_Raw!CH:CH),"")</f>
        <v/>
      </c>
      <c r="O300" s="121" t="str">
        <f t="shared" si="30"/>
        <v/>
      </c>
      <c r="P300" s="121" t="str">
        <f>IFERROR(1-SUMIF(WTG_BD!$F:$F,$A300,WTG_BD!$AA:$AA)/($AA300+SUMIF(WTG_BD!$F:$F,$A300,WTG_BD!$AA:$AA)),"")</f>
        <v/>
      </c>
      <c r="Q300" s="122" t="str">
        <f>IFERROR(1-SUMIF(IGA_BD!$F:$F,$A300,IGA_BD!$V:$V)/($AA300+SUMIF(IGA_BD!$F:$F,$A300,IGA_BD!$V:$V)),"")</f>
        <v/>
      </c>
      <c r="R300" s="127" t="str">
        <f>IFERROR(1-SUMIF(Grid_BD!$F:$F,$A300,Grid_BD!$X:$X)/($AA300+SUMIF(Grid_BD!$F:$F,$A300,Grid_BD!$X:$X)),"")</f>
        <v/>
      </c>
      <c r="S300" s="105"/>
      <c r="T300" s="122"/>
      <c r="U300" s="123"/>
      <c r="V300" s="105"/>
      <c r="W300" s="124" t="str">
        <f>IFERROR(Table13[[#This Row],[Mtr_Net_Exp (KWh)]]/(24*AR300*1000),"")</f>
        <v/>
      </c>
      <c r="X300" s="105" t="str">
        <f>IFERROR(_xlfn.XLOOKUP($A300,Input_Raw!$A:$A,Input_Raw!$CF:$CF),"")</f>
        <v/>
      </c>
      <c r="Y300" s="105" t="str">
        <f>IFERROR(_xlfn.XLOOKUP($A300,Input_Raw!$A:$A,Input_Raw!$CZ:$CZ),"")</f>
        <v/>
      </c>
      <c r="Z300" s="105" t="str">
        <f>IFERROR(_xlfn.XLOOKUP($A300,Input_Raw!$A:$A,Input_Raw!$DA:$DA),"")</f>
        <v/>
      </c>
      <c r="AA300" s="107" t="str">
        <f t="shared" si="31"/>
        <v/>
      </c>
      <c r="AB300" s="105" t="str">
        <f>IFERROR(_xlfn.XLOOKUP($A300,Input_Raw!$A:$A,Input_Raw!$DG:$DG),"")</f>
        <v/>
      </c>
      <c r="AC300" s="125">
        <f>IFERROR(_xlfn.XLOOKUP($D300,'Modelling New'!$D:$D,'Modelling New'!$J:$J),"")</f>
        <v>3.8</v>
      </c>
      <c r="AD300" s="107">
        <f>IFERROR(_xlfn.XLOOKUP($D300,'Modelling New'!$D:$D,'Modelling New'!$T:$T)*1000,"")</f>
        <v>128093.39599615177</v>
      </c>
      <c r="AE300" s="124"/>
      <c r="AF300" s="124">
        <f>IFERROR(_xlfn.XLOOKUP($D300,'Modelling New'!$D:$D,'Modelling New'!$W:$W),"")</f>
        <v>6.8425959399653721E-2</v>
      </c>
      <c r="AG300" s="124">
        <f>IFERROR(_xlfn.XLOOKUP($D300,'Modelling New'!$D:$D,'Modelling New'!$AE:$AE),"")</f>
        <v>0.96029999999999993</v>
      </c>
      <c r="AH300" s="124">
        <f>IFERROR(_xlfn.XLOOKUP($D300,'Modelling New'!$D:$D,'Modelling New'!$AF:$AF),"")</f>
        <v>0.995</v>
      </c>
      <c r="AI300" s="105" t="str">
        <f>IFERROR(_xlfn.XLOOKUP($A300,Input_Raw!$A:$A,Input_Raw!$DE:$DE),"")</f>
        <v/>
      </c>
      <c r="AJ300" s="105"/>
      <c r="AK300" s="105"/>
      <c r="AL300" s="105"/>
      <c r="AM300" s="105"/>
      <c r="AN300" s="126" t="str">
        <f>IFERROR(_xlfn.XLOOKUP($A300,Input_Raw!$A:$A,Input_Raw!$DB:$DB),"")</f>
        <v/>
      </c>
      <c r="AO300" s="124" t="str">
        <f>IFERROR((_xlfn.XLOOKUP($A300,'WTG Reactive Power'!$A:$A,'WTG Reactive Power'!$AR:$AR))/X300/1000,"")</f>
        <v/>
      </c>
      <c r="AP300" s="124">
        <f>IFERROR(_xlfn.XLOOKUP($D300,'Modelling New'!$D:$D,'Modelling New'!$AK:$AK),"")</f>
        <v>0.05</v>
      </c>
      <c r="AQ300" s="124">
        <f>IFERROR(_xlfn.XLOOKUP($D300,'Modelling New'!$D:$D,'Modelling New'!$AL:$AL),"")</f>
        <v>0.05</v>
      </c>
      <c r="AR300">
        <f>IFERROR(_xlfn.XLOOKUP($D300,'Modelling New'!$D:$D,'Modelling New'!$N:$N),"")</f>
        <v>78</v>
      </c>
    </row>
    <row r="301" spans="1:44">
      <c r="A301" s="118">
        <f t="shared" si="32"/>
        <v>46044</v>
      </c>
      <c r="B301" s="107">
        <f>YEAR(Table13[[#This Row],[Date]])+IF(MONTH(Table13[[#This Row],[Date]])&gt;=4,1,0)</f>
        <v>2026</v>
      </c>
      <c r="C301" s="105">
        <f>YEAR(Table13[[#This Row],[Date]])</f>
        <v>2026</v>
      </c>
      <c r="D301" s="119">
        <f>Table13[[#This Row],[Date]]-DAY(Table13[[#This Row],[Date]])+1</f>
        <v>46023</v>
      </c>
      <c r="E301" s="105">
        <f t="shared" si="29"/>
        <v>31</v>
      </c>
      <c r="F301" s="108"/>
      <c r="G301" s="109"/>
      <c r="H301" s="109"/>
      <c r="I301" s="109"/>
      <c r="J301" s="109"/>
      <c r="K301" s="120"/>
      <c r="L301" s="109"/>
      <c r="M301" s="109" t="str">
        <f>IFERROR(_xlfn.XLOOKUP($A301,Input_Raw!$A:$A,Input_Raw!CG:CG),"")</f>
        <v/>
      </c>
      <c r="N301" s="109" t="str">
        <f>IFERROR(_xlfn.XLOOKUP($A301,Input_Raw!$A:$A,Input_Raw!CH:CH),"")</f>
        <v/>
      </c>
      <c r="O301" s="121" t="str">
        <f t="shared" si="30"/>
        <v/>
      </c>
      <c r="P301" s="121" t="str">
        <f>IFERROR(1-SUMIF(WTG_BD!$F:$F,$A301,WTG_BD!$AA:$AA)/($AA301+SUMIF(WTG_BD!$F:$F,$A301,WTG_BD!$AA:$AA)),"")</f>
        <v/>
      </c>
      <c r="Q301" s="122" t="str">
        <f>IFERROR(1-SUMIF(IGA_BD!$F:$F,$A301,IGA_BD!$V:$V)/($AA301+SUMIF(IGA_BD!$F:$F,$A301,IGA_BD!$V:$V)),"")</f>
        <v/>
      </c>
      <c r="R301" s="127" t="str">
        <f>IFERROR(1-SUMIF(Grid_BD!$F:$F,$A301,Grid_BD!$X:$X)/($AA301+SUMIF(Grid_BD!$F:$F,$A301,Grid_BD!$X:$X)),"")</f>
        <v/>
      </c>
      <c r="S301" s="105"/>
      <c r="T301" s="122"/>
      <c r="U301" s="123"/>
      <c r="V301" s="105"/>
      <c r="W301" s="124" t="str">
        <f>IFERROR(Table13[[#This Row],[Mtr_Net_Exp (KWh)]]/(24*AR301*1000),"")</f>
        <v/>
      </c>
      <c r="X301" s="105" t="str">
        <f>IFERROR(_xlfn.XLOOKUP($A301,Input_Raw!$A:$A,Input_Raw!$CF:$CF),"")</f>
        <v/>
      </c>
      <c r="Y301" s="105" t="str">
        <f>IFERROR(_xlfn.XLOOKUP($A301,Input_Raw!$A:$A,Input_Raw!$CZ:$CZ),"")</f>
        <v/>
      </c>
      <c r="Z301" s="105" t="str">
        <f>IFERROR(_xlfn.XLOOKUP($A301,Input_Raw!$A:$A,Input_Raw!$DA:$DA),"")</f>
        <v/>
      </c>
      <c r="AA301" s="107" t="str">
        <f t="shared" si="31"/>
        <v/>
      </c>
      <c r="AB301" s="105" t="str">
        <f>IFERROR(_xlfn.XLOOKUP($A301,Input_Raw!$A:$A,Input_Raw!$DG:$DG),"")</f>
        <v/>
      </c>
      <c r="AC301" s="125">
        <f>IFERROR(_xlfn.XLOOKUP($D301,'Modelling New'!$D:$D,'Modelling New'!$J:$J),"")</f>
        <v>3.8</v>
      </c>
      <c r="AD301" s="107">
        <f>IFERROR(_xlfn.XLOOKUP($D301,'Modelling New'!$D:$D,'Modelling New'!$T:$T)*1000,"")</f>
        <v>128093.39599615177</v>
      </c>
      <c r="AE301" s="124"/>
      <c r="AF301" s="124">
        <f>IFERROR(_xlfn.XLOOKUP($D301,'Modelling New'!$D:$D,'Modelling New'!$W:$W),"")</f>
        <v>6.8425959399653721E-2</v>
      </c>
      <c r="AG301" s="124">
        <f>IFERROR(_xlfn.XLOOKUP($D301,'Modelling New'!$D:$D,'Modelling New'!$AE:$AE),"")</f>
        <v>0.96029999999999993</v>
      </c>
      <c r="AH301" s="124">
        <f>IFERROR(_xlfn.XLOOKUP($D301,'Modelling New'!$D:$D,'Modelling New'!$AF:$AF),"")</f>
        <v>0.995</v>
      </c>
      <c r="AI301" s="105" t="str">
        <f>IFERROR(_xlfn.XLOOKUP($A301,Input_Raw!$A:$A,Input_Raw!$DE:$DE),"")</f>
        <v/>
      </c>
      <c r="AJ301" s="105"/>
      <c r="AK301" s="105"/>
      <c r="AL301" s="105"/>
      <c r="AM301" s="105"/>
      <c r="AN301" s="126" t="str">
        <f>IFERROR(_xlfn.XLOOKUP($A301,Input_Raw!$A:$A,Input_Raw!$DB:$DB),"")</f>
        <v/>
      </c>
      <c r="AO301" s="124" t="str">
        <f>IFERROR((_xlfn.XLOOKUP($A301,'WTG Reactive Power'!$A:$A,'WTG Reactive Power'!$AR:$AR))/X301/1000,"")</f>
        <v/>
      </c>
      <c r="AP301" s="124">
        <f>IFERROR(_xlfn.XLOOKUP($D301,'Modelling New'!$D:$D,'Modelling New'!$AK:$AK),"")</f>
        <v>0.05</v>
      </c>
      <c r="AQ301" s="124">
        <f>IFERROR(_xlfn.XLOOKUP($D301,'Modelling New'!$D:$D,'Modelling New'!$AL:$AL),"")</f>
        <v>0.05</v>
      </c>
      <c r="AR301">
        <f>IFERROR(_xlfn.XLOOKUP($D301,'Modelling New'!$D:$D,'Modelling New'!$N:$N),"")</f>
        <v>78</v>
      </c>
    </row>
    <row r="302" spans="1:44">
      <c r="A302" s="118">
        <f t="shared" si="32"/>
        <v>46045</v>
      </c>
      <c r="B302" s="107">
        <f>YEAR(Table13[[#This Row],[Date]])+IF(MONTH(Table13[[#This Row],[Date]])&gt;=4,1,0)</f>
        <v>2026</v>
      </c>
      <c r="C302" s="105">
        <f>YEAR(Table13[[#This Row],[Date]])</f>
        <v>2026</v>
      </c>
      <c r="D302" s="119">
        <f>Table13[[#This Row],[Date]]-DAY(Table13[[#This Row],[Date]])+1</f>
        <v>46023</v>
      </c>
      <c r="E302" s="105">
        <f t="shared" si="29"/>
        <v>31</v>
      </c>
      <c r="F302" s="108"/>
      <c r="G302" s="109"/>
      <c r="H302" s="109"/>
      <c r="I302" s="109"/>
      <c r="J302" s="109"/>
      <c r="K302" s="120"/>
      <c r="L302" s="109"/>
      <c r="M302" s="109" t="str">
        <f>IFERROR(_xlfn.XLOOKUP($A302,Input_Raw!$A:$A,Input_Raw!CG:CG),"")</f>
        <v/>
      </c>
      <c r="N302" s="109" t="str">
        <f>IFERROR(_xlfn.XLOOKUP($A302,Input_Raw!$A:$A,Input_Raw!CH:CH),"")</f>
        <v/>
      </c>
      <c r="O302" s="121" t="str">
        <f t="shared" si="30"/>
        <v/>
      </c>
      <c r="P302" s="121" t="str">
        <f>IFERROR(1-SUMIF(WTG_BD!$F:$F,$A302,WTG_BD!$AA:$AA)/($AA302+SUMIF(WTG_BD!$F:$F,$A302,WTG_BD!$AA:$AA)),"")</f>
        <v/>
      </c>
      <c r="Q302" s="122" t="str">
        <f>IFERROR(1-SUMIF(IGA_BD!$F:$F,$A302,IGA_BD!$V:$V)/($AA302+SUMIF(IGA_BD!$F:$F,$A302,IGA_BD!$V:$V)),"")</f>
        <v/>
      </c>
      <c r="R302" s="127" t="str">
        <f>IFERROR(1-SUMIF(Grid_BD!$F:$F,$A302,Grid_BD!$X:$X)/($AA302+SUMIF(Grid_BD!$F:$F,$A302,Grid_BD!$X:$X)),"")</f>
        <v/>
      </c>
      <c r="S302" s="105"/>
      <c r="T302" s="122"/>
      <c r="U302" s="123"/>
      <c r="V302" s="105"/>
      <c r="W302" s="124" t="str">
        <f>IFERROR(Table13[[#This Row],[Mtr_Net_Exp (KWh)]]/(24*AR302*1000),"")</f>
        <v/>
      </c>
      <c r="X302" s="105" t="str">
        <f>IFERROR(_xlfn.XLOOKUP($A302,Input_Raw!$A:$A,Input_Raw!$CF:$CF),"")</f>
        <v/>
      </c>
      <c r="Y302" s="105" t="str">
        <f>IFERROR(_xlfn.XLOOKUP($A302,Input_Raw!$A:$A,Input_Raw!$CZ:$CZ),"")</f>
        <v/>
      </c>
      <c r="Z302" s="105" t="str">
        <f>IFERROR(_xlfn.XLOOKUP($A302,Input_Raw!$A:$A,Input_Raw!$DA:$DA),"")</f>
        <v/>
      </c>
      <c r="AA302" s="107" t="str">
        <f t="shared" si="31"/>
        <v/>
      </c>
      <c r="AB302" s="105" t="str">
        <f>IFERROR(_xlfn.XLOOKUP($A302,Input_Raw!$A:$A,Input_Raw!$DG:$DG),"")</f>
        <v/>
      </c>
      <c r="AC302" s="125">
        <f>IFERROR(_xlfn.XLOOKUP($D302,'Modelling New'!$D:$D,'Modelling New'!$J:$J),"")</f>
        <v>3.8</v>
      </c>
      <c r="AD302" s="107">
        <f>IFERROR(_xlfn.XLOOKUP($D302,'Modelling New'!$D:$D,'Modelling New'!$T:$T)*1000,"")</f>
        <v>128093.39599615177</v>
      </c>
      <c r="AE302" s="124"/>
      <c r="AF302" s="124">
        <f>IFERROR(_xlfn.XLOOKUP($D302,'Modelling New'!$D:$D,'Modelling New'!$W:$W),"")</f>
        <v>6.8425959399653721E-2</v>
      </c>
      <c r="AG302" s="124">
        <f>IFERROR(_xlfn.XLOOKUP($D302,'Modelling New'!$D:$D,'Modelling New'!$AE:$AE),"")</f>
        <v>0.96029999999999993</v>
      </c>
      <c r="AH302" s="124">
        <f>IFERROR(_xlfn.XLOOKUP($D302,'Modelling New'!$D:$D,'Modelling New'!$AF:$AF),"")</f>
        <v>0.995</v>
      </c>
      <c r="AI302" s="105" t="str">
        <f>IFERROR(_xlfn.XLOOKUP($A302,Input_Raw!$A:$A,Input_Raw!$DE:$DE),"")</f>
        <v/>
      </c>
      <c r="AJ302" s="105"/>
      <c r="AK302" s="105"/>
      <c r="AL302" s="105"/>
      <c r="AM302" s="105"/>
      <c r="AN302" s="126" t="str">
        <f>IFERROR(_xlfn.XLOOKUP($A302,Input_Raw!$A:$A,Input_Raw!$DB:$DB),"")</f>
        <v/>
      </c>
      <c r="AO302" s="124" t="str">
        <f>IFERROR((_xlfn.XLOOKUP($A302,'WTG Reactive Power'!$A:$A,'WTG Reactive Power'!$AR:$AR))/X302/1000,"")</f>
        <v/>
      </c>
      <c r="AP302" s="124">
        <f>IFERROR(_xlfn.XLOOKUP($D302,'Modelling New'!$D:$D,'Modelling New'!$AK:$AK),"")</f>
        <v>0.05</v>
      </c>
      <c r="AQ302" s="124">
        <f>IFERROR(_xlfn.XLOOKUP($D302,'Modelling New'!$D:$D,'Modelling New'!$AL:$AL),"")</f>
        <v>0.05</v>
      </c>
      <c r="AR302">
        <f>IFERROR(_xlfn.XLOOKUP($D302,'Modelling New'!$D:$D,'Modelling New'!$N:$N),"")</f>
        <v>78</v>
      </c>
    </row>
    <row r="303" spans="1:44">
      <c r="A303" s="118">
        <f t="shared" si="32"/>
        <v>46046</v>
      </c>
      <c r="B303" s="107">
        <f>YEAR(Table13[[#This Row],[Date]])+IF(MONTH(Table13[[#This Row],[Date]])&gt;=4,1,0)</f>
        <v>2026</v>
      </c>
      <c r="C303" s="105">
        <f>YEAR(Table13[[#This Row],[Date]])</f>
        <v>2026</v>
      </c>
      <c r="D303" s="119">
        <f>Table13[[#This Row],[Date]]-DAY(Table13[[#This Row],[Date]])+1</f>
        <v>46023</v>
      </c>
      <c r="E303" s="105">
        <f t="shared" si="29"/>
        <v>31</v>
      </c>
      <c r="F303" s="108"/>
      <c r="G303" s="109"/>
      <c r="H303" s="109"/>
      <c r="I303" s="109"/>
      <c r="J303" s="109"/>
      <c r="K303" s="120"/>
      <c r="L303" s="109"/>
      <c r="M303" s="109" t="str">
        <f>IFERROR(_xlfn.XLOOKUP($A303,Input_Raw!$A:$A,Input_Raw!CG:CG),"")</f>
        <v/>
      </c>
      <c r="N303" s="109" t="str">
        <f>IFERROR(_xlfn.XLOOKUP($A303,Input_Raw!$A:$A,Input_Raw!CH:CH),"")</f>
        <v/>
      </c>
      <c r="O303" s="121" t="str">
        <f t="shared" si="30"/>
        <v/>
      </c>
      <c r="P303" s="121" t="str">
        <f>IFERROR(1-SUMIF(WTG_BD!$F:$F,$A303,WTG_BD!$AA:$AA)/($AA303+SUMIF(WTG_BD!$F:$F,$A303,WTG_BD!$AA:$AA)),"")</f>
        <v/>
      </c>
      <c r="Q303" s="122" t="str">
        <f>IFERROR(1-SUMIF(IGA_BD!$F:$F,$A303,IGA_BD!$V:$V)/($AA303+SUMIF(IGA_BD!$F:$F,$A303,IGA_BD!$V:$V)),"")</f>
        <v/>
      </c>
      <c r="R303" s="127" t="str">
        <f>IFERROR(1-SUMIF(Grid_BD!$F:$F,$A303,Grid_BD!$X:$X)/($AA303+SUMIF(Grid_BD!$F:$F,$A303,Grid_BD!$X:$X)),"")</f>
        <v/>
      </c>
      <c r="S303" s="105"/>
      <c r="T303" s="122"/>
      <c r="U303" s="123"/>
      <c r="V303" s="105"/>
      <c r="W303" s="124" t="str">
        <f>IFERROR(Table13[[#This Row],[Mtr_Net_Exp (KWh)]]/(24*AR303*1000),"")</f>
        <v/>
      </c>
      <c r="X303" s="105" t="str">
        <f>IFERROR(_xlfn.XLOOKUP($A303,Input_Raw!$A:$A,Input_Raw!$CF:$CF),"")</f>
        <v/>
      </c>
      <c r="Y303" s="105" t="str">
        <f>IFERROR(_xlfn.XLOOKUP($A303,Input_Raw!$A:$A,Input_Raw!$CZ:$CZ),"")</f>
        <v/>
      </c>
      <c r="Z303" s="105" t="str">
        <f>IFERROR(_xlfn.XLOOKUP($A303,Input_Raw!$A:$A,Input_Raw!$DA:$DA),"")</f>
        <v/>
      </c>
      <c r="AA303" s="107" t="str">
        <f t="shared" si="31"/>
        <v/>
      </c>
      <c r="AB303" s="105" t="str">
        <f>IFERROR(_xlfn.XLOOKUP($A303,Input_Raw!$A:$A,Input_Raw!$DG:$DG),"")</f>
        <v/>
      </c>
      <c r="AC303" s="125">
        <f>IFERROR(_xlfn.XLOOKUP($D303,'Modelling New'!$D:$D,'Modelling New'!$J:$J),"")</f>
        <v>3.8</v>
      </c>
      <c r="AD303" s="107">
        <f>IFERROR(_xlfn.XLOOKUP($D303,'Modelling New'!$D:$D,'Modelling New'!$T:$T)*1000,"")</f>
        <v>128093.39599615177</v>
      </c>
      <c r="AE303" s="124"/>
      <c r="AF303" s="124">
        <f>IFERROR(_xlfn.XLOOKUP($D303,'Modelling New'!$D:$D,'Modelling New'!$W:$W),"")</f>
        <v>6.8425959399653721E-2</v>
      </c>
      <c r="AG303" s="124">
        <f>IFERROR(_xlfn.XLOOKUP($D303,'Modelling New'!$D:$D,'Modelling New'!$AE:$AE),"")</f>
        <v>0.96029999999999993</v>
      </c>
      <c r="AH303" s="124">
        <f>IFERROR(_xlfn.XLOOKUP($D303,'Modelling New'!$D:$D,'Modelling New'!$AF:$AF),"")</f>
        <v>0.995</v>
      </c>
      <c r="AI303" s="105" t="str">
        <f>IFERROR(_xlfn.XLOOKUP($A303,Input_Raw!$A:$A,Input_Raw!$DE:$DE),"")</f>
        <v/>
      </c>
      <c r="AJ303" s="105"/>
      <c r="AK303" s="105"/>
      <c r="AL303" s="105"/>
      <c r="AM303" s="105"/>
      <c r="AN303" s="126" t="str">
        <f>IFERROR(_xlfn.XLOOKUP($A303,Input_Raw!$A:$A,Input_Raw!$DB:$DB),"")</f>
        <v/>
      </c>
      <c r="AO303" s="124" t="str">
        <f>IFERROR((_xlfn.XLOOKUP($A303,'WTG Reactive Power'!$A:$A,'WTG Reactive Power'!$AR:$AR))/X303/1000,"")</f>
        <v/>
      </c>
      <c r="AP303" s="124">
        <f>IFERROR(_xlfn.XLOOKUP($D303,'Modelling New'!$D:$D,'Modelling New'!$AK:$AK),"")</f>
        <v>0.05</v>
      </c>
      <c r="AQ303" s="124">
        <f>IFERROR(_xlfn.XLOOKUP($D303,'Modelling New'!$D:$D,'Modelling New'!$AL:$AL),"")</f>
        <v>0.05</v>
      </c>
      <c r="AR303">
        <f>IFERROR(_xlfn.XLOOKUP($D303,'Modelling New'!$D:$D,'Modelling New'!$N:$N),"")</f>
        <v>78</v>
      </c>
    </row>
    <row r="304" spans="1:44">
      <c r="A304" s="118">
        <f t="shared" si="32"/>
        <v>46047</v>
      </c>
      <c r="B304" s="107">
        <f>YEAR(Table13[[#This Row],[Date]])+IF(MONTH(Table13[[#This Row],[Date]])&gt;=4,1,0)</f>
        <v>2026</v>
      </c>
      <c r="C304" s="105">
        <f>YEAR(Table13[[#This Row],[Date]])</f>
        <v>2026</v>
      </c>
      <c r="D304" s="119">
        <f>Table13[[#This Row],[Date]]-DAY(Table13[[#This Row],[Date]])+1</f>
        <v>46023</v>
      </c>
      <c r="E304" s="105">
        <f t="shared" si="29"/>
        <v>31</v>
      </c>
      <c r="F304" s="108"/>
      <c r="G304" s="109"/>
      <c r="H304" s="109"/>
      <c r="I304" s="109"/>
      <c r="J304" s="109"/>
      <c r="K304" s="120"/>
      <c r="L304" s="109"/>
      <c r="M304" s="109" t="str">
        <f>IFERROR(_xlfn.XLOOKUP($A304,Input_Raw!$A:$A,Input_Raw!CG:CG),"")</f>
        <v/>
      </c>
      <c r="N304" s="109" t="str">
        <f>IFERROR(_xlfn.XLOOKUP($A304,Input_Raw!$A:$A,Input_Raw!CH:CH),"")</f>
        <v/>
      </c>
      <c r="O304" s="121" t="str">
        <f t="shared" si="30"/>
        <v/>
      </c>
      <c r="P304" s="121" t="str">
        <f>IFERROR(1-SUMIF(WTG_BD!$F:$F,$A304,WTG_BD!$AA:$AA)/($AA304+SUMIF(WTG_BD!$F:$F,$A304,WTG_BD!$AA:$AA)),"")</f>
        <v/>
      </c>
      <c r="Q304" s="122" t="str">
        <f>IFERROR(1-SUMIF(IGA_BD!$F:$F,$A304,IGA_BD!$V:$V)/($AA304+SUMIF(IGA_BD!$F:$F,$A304,IGA_BD!$V:$V)),"")</f>
        <v/>
      </c>
      <c r="R304" s="127" t="str">
        <f>IFERROR(1-SUMIF(Grid_BD!$F:$F,$A304,Grid_BD!$X:$X)/($AA304+SUMIF(Grid_BD!$F:$F,$A304,Grid_BD!$X:$X)),"")</f>
        <v/>
      </c>
      <c r="S304" s="105"/>
      <c r="T304" s="122"/>
      <c r="U304" s="123"/>
      <c r="V304" s="105"/>
      <c r="W304" s="124" t="str">
        <f>IFERROR(Table13[[#This Row],[Mtr_Net_Exp (KWh)]]/(24*AR304*1000),"")</f>
        <v/>
      </c>
      <c r="X304" s="105" t="str">
        <f>IFERROR(_xlfn.XLOOKUP($A304,Input_Raw!$A:$A,Input_Raw!$CF:$CF),"")</f>
        <v/>
      </c>
      <c r="Y304" s="105" t="str">
        <f>IFERROR(_xlfn.XLOOKUP($A304,Input_Raw!$A:$A,Input_Raw!$CZ:$CZ),"")</f>
        <v/>
      </c>
      <c r="Z304" s="105" t="str">
        <f>IFERROR(_xlfn.XLOOKUP($A304,Input_Raw!$A:$A,Input_Raw!$DA:$DA),"")</f>
        <v/>
      </c>
      <c r="AA304" s="107" t="str">
        <f t="shared" si="31"/>
        <v/>
      </c>
      <c r="AB304" s="105" t="str">
        <f>IFERROR(_xlfn.XLOOKUP($A304,Input_Raw!$A:$A,Input_Raw!$DG:$DG),"")</f>
        <v/>
      </c>
      <c r="AC304" s="125">
        <f>IFERROR(_xlfn.XLOOKUP($D304,'Modelling New'!$D:$D,'Modelling New'!$J:$J),"")</f>
        <v>3.8</v>
      </c>
      <c r="AD304" s="107">
        <f>IFERROR(_xlfn.XLOOKUP($D304,'Modelling New'!$D:$D,'Modelling New'!$T:$T)*1000,"")</f>
        <v>128093.39599615177</v>
      </c>
      <c r="AE304" s="124"/>
      <c r="AF304" s="124">
        <f>IFERROR(_xlfn.XLOOKUP($D304,'Modelling New'!$D:$D,'Modelling New'!$W:$W),"")</f>
        <v>6.8425959399653721E-2</v>
      </c>
      <c r="AG304" s="124">
        <f>IFERROR(_xlfn.XLOOKUP($D304,'Modelling New'!$D:$D,'Modelling New'!$AE:$AE),"")</f>
        <v>0.96029999999999993</v>
      </c>
      <c r="AH304" s="124">
        <f>IFERROR(_xlfn.XLOOKUP($D304,'Modelling New'!$D:$D,'Modelling New'!$AF:$AF),"")</f>
        <v>0.995</v>
      </c>
      <c r="AI304" s="105" t="str">
        <f>IFERROR(_xlfn.XLOOKUP($A304,Input_Raw!$A:$A,Input_Raw!$DE:$DE),"")</f>
        <v/>
      </c>
      <c r="AJ304" s="105"/>
      <c r="AK304" s="105"/>
      <c r="AL304" s="105"/>
      <c r="AM304" s="105"/>
      <c r="AN304" s="126" t="str">
        <f>IFERROR(_xlfn.XLOOKUP($A304,Input_Raw!$A:$A,Input_Raw!$DB:$DB),"")</f>
        <v/>
      </c>
      <c r="AO304" s="124" t="str">
        <f>IFERROR((_xlfn.XLOOKUP($A304,'WTG Reactive Power'!$A:$A,'WTG Reactive Power'!$AR:$AR))/X304/1000,"")</f>
        <v/>
      </c>
      <c r="AP304" s="124">
        <f>IFERROR(_xlfn.XLOOKUP($D304,'Modelling New'!$D:$D,'Modelling New'!$AK:$AK),"")</f>
        <v>0.05</v>
      </c>
      <c r="AQ304" s="124">
        <f>IFERROR(_xlfn.XLOOKUP($D304,'Modelling New'!$D:$D,'Modelling New'!$AL:$AL),"")</f>
        <v>0.05</v>
      </c>
      <c r="AR304">
        <f>IFERROR(_xlfn.XLOOKUP($D304,'Modelling New'!$D:$D,'Modelling New'!$N:$N),"")</f>
        <v>78</v>
      </c>
    </row>
    <row r="305" spans="1:44">
      <c r="A305" s="118">
        <f t="shared" si="32"/>
        <v>46048</v>
      </c>
      <c r="B305" s="107">
        <f>YEAR(Table13[[#This Row],[Date]])+IF(MONTH(Table13[[#This Row],[Date]])&gt;=4,1,0)</f>
        <v>2026</v>
      </c>
      <c r="C305" s="105">
        <f>YEAR(Table13[[#This Row],[Date]])</f>
        <v>2026</v>
      </c>
      <c r="D305" s="119">
        <f>Table13[[#This Row],[Date]]-DAY(Table13[[#This Row],[Date]])+1</f>
        <v>46023</v>
      </c>
      <c r="E305" s="105">
        <f t="shared" si="29"/>
        <v>31</v>
      </c>
      <c r="F305" s="108"/>
      <c r="G305" s="109"/>
      <c r="H305" s="109"/>
      <c r="I305" s="109"/>
      <c r="J305" s="109"/>
      <c r="K305" s="120"/>
      <c r="L305" s="109"/>
      <c r="M305" s="109" t="str">
        <f>IFERROR(_xlfn.XLOOKUP($A305,Input_Raw!$A:$A,Input_Raw!CG:CG),"")</f>
        <v/>
      </c>
      <c r="N305" s="109" t="str">
        <f>IFERROR(_xlfn.XLOOKUP($A305,Input_Raw!$A:$A,Input_Raw!CH:CH),"")</f>
        <v/>
      </c>
      <c r="O305" s="121" t="str">
        <f t="shared" si="30"/>
        <v/>
      </c>
      <c r="P305" s="121" t="str">
        <f>IFERROR(1-SUMIF(WTG_BD!$F:$F,$A305,WTG_BD!$AA:$AA)/($AA305+SUMIF(WTG_BD!$F:$F,$A305,WTG_BD!$AA:$AA)),"")</f>
        <v/>
      </c>
      <c r="Q305" s="122" t="str">
        <f>IFERROR(1-SUMIF(IGA_BD!$F:$F,$A305,IGA_BD!$V:$V)/($AA305+SUMIF(IGA_BD!$F:$F,$A305,IGA_BD!$V:$V)),"")</f>
        <v/>
      </c>
      <c r="R305" s="127" t="str">
        <f>IFERROR(1-SUMIF(Grid_BD!$F:$F,$A305,Grid_BD!$X:$X)/($AA305+SUMIF(Grid_BD!$F:$F,$A305,Grid_BD!$X:$X)),"")</f>
        <v/>
      </c>
      <c r="S305" s="105"/>
      <c r="T305" s="122"/>
      <c r="U305" s="123"/>
      <c r="V305" s="105"/>
      <c r="W305" s="124" t="str">
        <f>IFERROR(Table13[[#This Row],[Mtr_Net_Exp (KWh)]]/(24*AR305*1000),"")</f>
        <v/>
      </c>
      <c r="X305" s="105" t="str">
        <f>IFERROR(_xlfn.XLOOKUP($A305,Input_Raw!$A:$A,Input_Raw!$CF:$CF),"")</f>
        <v/>
      </c>
      <c r="Y305" s="105" t="str">
        <f>IFERROR(_xlfn.XLOOKUP($A305,Input_Raw!$A:$A,Input_Raw!$CZ:$CZ),"")</f>
        <v/>
      </c>
      <c r="Z305" s="105" t="str">
        <f>IFERROR(_xlfn.XLOOKUP($A305,Input_Raw!$A:$A,Input_Raw!$DA:$DA),"")</f>
        <v/>
      </c>
      <c r="AA305" s="107" t="str">
        <f t="shared" si="31"/>
        <v/>
      </c>
      <c r="AB305" s="105" t="str">
        <f>IFERROR(_xlfn.XLOOKUP($A305,Input_Raw!$A:$A,Input_Raw!$DG:$DG),"")</f>
        <v/>
      </c>
      <c r="AC305" s="125">
        <f>IFERROR(_xlfn.XLOOKUP($D305,'Modelling New'!$D:$D,'Modelling New'!$J:$J),"")</f>
        <v>3.8</v>
      </c>
      <c r="AD305" s="107">
        <f>IFERROR(_xlfn.XLOOKUP($D305,'Modelling New'!$D:$D,'Modelling New'!$T:$T)*1000,"")</f>
        <v>128093.39599615177</v>
      </c>
      <c r="AE305" s="124"/>
      <c r="AF305" s="124">
        <f>IFERROR(_xlfn.XLOOKUP($D305,'Modelling New'!$D:$D,'Modelling New'!$W:$W),"")</f>
        <v>6.8425959399653721E-2</v>
      </c>
      <c r="AG305" s="124">
        <f>IFERROR(_xlfn.XLOOKUP($D305,'Modelling New'!$D:$D,'Modelling New'!$AE:$AE),"")</f>
        <v>0.96029999999999993</v>
      </c>
      <c r="AH305" s="124">
        <f>IFERROR(_xlfn.XLOOKUP($D305,'Modelling New'!$D:$D,'Modelling New'!$AF:$AF),"")</f>
        <v>0.995</v>
      </c>
      <c r="AI305" s="105" t="str">
        <f>IFERROR(_xlfn.XLOOKUP($A305,Input_Raw!$A:$A,Input_Raw!$DE:$DE),"")</f>
        <v/>
      </c>
      <c r="AJ305" s="105"/>
      <c r="AK305" s="105"/>
      <c r="AL305" s="105"/>
      <c r="AM305" s="105"/>
      <c r="AN305" s="126" t="str">
        <f>IFERROR(_xlfn.XLOOKUP($A305,Input_Raw!$A:$A,Input_Raw!$DB:$DB),"")</f>
        <v/>
      </c>
      <c r="AO305" s="124" t="str">
        <f>IFERROR((_xlfn.XLOOKUP($A305,'WTG Reactive Power'!$A:$A,'WTG Reactive Power'!$AR:$AR))/X305/1000,"")</f>
        <v/>
      </c>
      <c r="AP305" s="124">
        <f>IFERROR(_xlfn.XLOOKUP($D305,'Modelling New'!$D:$D,'Modelling New'!$AK:$AK),"")</f>
        <v>0.05</v>
      </c>
      <c r="AQ305" s="124">
        <f>IFERROR(_xlfn.XLOOKUP($D305,'Modelling New'!$D:$D,'Modelling New'!$AL:$AL),"")</f>
        <v>0.05</v>
      </c>
      <c r="AR305">
        <f>IFERROR(_xlfn.XLOOKUP($D305,'Modelling New'!$D:$D,'Modelling New'!$N:$N),"")</f>
        <v>78</v>
      </c>
    </row>
    <row r="306" spans="1:44">
      <c r="A306" s="118">
        <f t="shared" si="32"/>
        <v>46049</v>
      </c>
      <c r="B306" s="107">
        <f>YEAR(Table13[[#This Row],[Date]])+IF(MONTH(Table13[[#This Row],[Date]])&gt;=4,1,0)</f>
        <v>2026</v>
      </c>
      <c r="C306" s="105">
        <f>YEAR(Table13[[#This Row],[Date]])</f>
        <v>2026</v>
      </c>
      <c r="D306" s="119">
        <f>Table13[[#This Row],[Date]]-DAY(Table13[[#This Row],[Date]])+1</f>
        <v>46023</v>
      </c>
      <c r="E306" s="105">
        <f t="shared" si="29"/>
        <v>31</v>
      </c>
      <c r="F306" s="108"/>
      <c r="G306" s="109"/>
      <c r="H306" s="109"/>
      <c r="I306" s="109"/>
      <c r="J306" s="109"/>
      <c r="K306" s="120"/>
      <c r="L306" s="109"/>
      <c r="M306" s="109" t="str">
        <f>IFERROR(_xlfn.XLOOKUP($A306,Input_Raw!$A:$A,Input_Raw!CG:CG),"")</f>
        <v/>
      </c>
      <c r="N306" s="109" t="str">
        <f>IFERROR(_xlfn.XLOOKUP($A306,Input_Raw!$A:$A,Input_Raw!CH:CH),"")</f>
        <v/>
      </c>
      <c r="O306" s="121" t="str">
        <f t="shared" si="30"/>
        <v/>
      </c>
      <c r="P306" s="121" t="str">
        <f>IFERROR(1-SUMIF(WTG_BD!$F:$F,$A306,WTG_BD!$AA:$AA)/($AA306+SUMIF(WTG_BD!$F:$F,$A306,WTG_BD!$AA:$AA)),"")</f>
        <v/>
      </c>
      <c r="Q306" s="122" t="str">
        <f>IFERROR(1-SUMIF(IGA_BD!$F:$F,$A306,IGA_BD!$V:$V)/($AA306+SUMIF(IGA_BD!$F:$F,$A306,IGA_BD!$V:$V)),"")</f>
        <v/>
      </c>
      <c r="R306" s="127" t="str">
        <f>IFERROR(1-SUMIF(Grid_BD!$F:$F,$A306,Grid_BD!$X:$X)/($AA306+SUMIF(Grid_BD!$F:$F,$A306,Grid_BD!$X:$X)),"")</f>
        <v/>
      </c>
      <c r="S306" s="105"/>
      <c r="T306" s="122"/>
      <c r="U306" s="123"/>
      <c r="V306" s="105"/>
      <c r="W306" s="124" t="str">
        <f>IFERROR(Table13[[#This Row],[Mtr_Net_Exp (KWh)]]/(24*AR306*1000),"")</f>
        <v/>
      </c>
      <c r="X306" s="105" t="str">
        <f>IFERROR(_xlfn.XLOOKUP($A306,Input_Raw!$A:$A,Input_Raw!$CF:$CF),"")</f>
        <v/>
      </c>
      <c r="Y306" s="105" t="str">
        <f>IFERROR(_xlfn.XLOOKUP($A306,Input_Raw!$A:$A,Input_Raw!$CZ:$CZ),"")</f>
        <v/>
      </c>
      <c r="Z306" s="105" t="str">
        <f>IFERROR(_xlfn.XLOOKUP($A306,Input_Raw!$A:$A,Input_Raw!$DA:$DA),"")</f>
        <v/>
      </c>
      <c r="AA306" s="107" t="str">
        <f t="shared" si="31"/>
        <v/>
      </c>
      <c r="AB306" s="105" t="str">
        <f>IFERROR(_xlfn.XLOOKUP($A306,Input_Raw!$A:$A,Input_Raw!$DG:$DG),"")</f>
        <v/>
      </c>
      <c r="AC306" s="125">
        <f>IFERROR(_xlfn.XLOOKUP($D306,'Modelling New'!$D:$D,'Modelling New'!$J:$J),"")</f>
        <v>3.8</v>
      </c>
      <c r="AD306" s="107">
        <f>IFERROR(_xlfn.XLOOKUP($D306,'Modelling New'!$D:$D,'Modelling New'!$T:$T)*1000,"")</f>
        <v>128093.39599615177</v>
      </c>
      <c r="AE306" s="124"/>
      <c r="AF306" s="124">
        <f>IFERROR(_xlfn.XLOOKUP($D306,'Modelling New'!$D:$D,'Modelling New'!$W:$W),"")</f>
        <v>6.8425959399653721E-2</v>
      </c>
      <c r="AG306" s="124">
        <f>IFERROR(_xlfn.XLOOKUP($D306,'Modelling New'!$D:$D,'Modelling New'!$AE:$AE),"")</f>
        <v>0.96029999999999993</v>
      </c>
      <c r="AH306" s="124">
        <f>IFERROR(_xlfn.XLOOKUP($D306,'Modelling New'!$D:$D,'Modelling New'!$AF:$AF),"")</f>
        <v>0.995</v>
      </c>
      <c r="AI306" s="105" t="str">
        <f>IFERROR(_xlfn.XLOOKUP($A306,Input_Raw!$A:$A,Input_Raw!$DE:$DE),"")</f>
        <v/>
      </c>
      <c r="AJ306" s="105"/>
      <c r="AK306" s="105"/>
      <c r="AL306" s="105"/>
      <c r="AM306" s="105"/>
      <c r="AN306" s="126" t="str">
        <f>IFERROR(_xlfn.XLOOKUP($A306,Input_Raw!$A:$A,Input_Raw!$DB:$DB),"")</f>
        <v/>
      </c>
      <c r="AO306" s="124" t="str">
        <f>IFERROR((_xlfn.XLOOKUP($A306,'WTG Reactive Power'!$A:$A,'WTG Reactive Power'!$AR:$AR))/X306/1000,"")</f>
        <v/>
      </c>
      <c r="AP306" s="124">
        <f>IFERROR(_xlfn.XLOOKUP($D306,'Modelling New'!$D:$D,'Modelling New'!$AK:$AK),"")</f>
        <v>0.05</v>
      </c>
      <c r="AQ306" s="124">
        <f>IFERROR(_xlfn.XLOOKUP($D306,'Modelling New'!$D:$D,'Modelling New'!$AL:$AL),"")</f>
        <v>0.05</v>
      </c>
      <c r="AR306">
        <f>IFERROR(_xlfn.XLOOKUP($D306,'Modelling New'!$D:$D,'Modelling New'!$N:$N),"")</f>
        <v>78</v>
      </c>
    </row>
    <row r="307" spans="1:44">
      <c r="A307" s="118">
        <f t="shared" si="32"/>
        <v>46050</v>
      </c>
      <c r="B307" s="107">
        <f>YEAR(Table13[[#This Row],[Date]])+IF(MONTH(Table13[[#This Row],[Date]])&gt;=4,1,0)</f>
        <v>2026</v>
      </c>
      <c r="C307" s="105">
        <f>YEAR(Table13[[#This Row],[Date]])</f>
        <v>2026</v>
      </c>
      <c r="D307" s="119">
        <f>Table13[[#This Row],[Date]]-DAY(Table13[[#This Row],[Date]])+1</f>
        <v>46023</v>
      </c>
      <c r="E307" s="105">
        <f t="shared" si="29"/>
        <v>31</v>
      </c>
      <c r="F307" s="108"/>
      <c r="G307" s="109"/>
      <c r="H307" s="109"/>
      <c r="I307" s="109"/>
      <c r="J307" s="109"/>
      <c r="K307" s="120"/>
      <c r="L307" s="109"/>
      <c r="M307" s="109" t="str">
        <f>IFERROR(_xlfn.XLOOKUP($A307,Input_Raw!$A:$A,Input_Raw!CG:CG),"")</f>
        <v/>
      </c>
      <c r="N307" s="109" t="str">
        <f>IFERROR(_xlfn.XLOOKUP($A307,Input_Raw!$A:$A,Input_Raw!CH:CH),"")</f>
        <v/>
      </c>
      <c r="O307" s="121" t="str">
        <f t="shared" si="30"/>
        <v/>
      </c>
      <c r="P307" s="121" t="str">
        <f>IFERROR(1-SUMIF(WTG_BD!$F:$F,$A307,WTG_BD!$AA:$AA)/($AA307+SUMIF(WTG_BD!$F:$F,$A307,WTG_BD!$AA:$AA)),"")</f>
        <v/>
      </c>
      <c r="Q307" s="122" t="str">
        <f>IFERROR(1-SUMIF(IGA_BD!$F:$F,$A307,IGA_BD!$V:$V)/($AA307+SUMIF(IGA_BD!$F:$F,$A307,IGA_BD!$V:$V)),"")</f>
        <v/>
      </c>
      <c r="R307" s="127" t="str">
        <f>IFERROR(1-SUMIF(Grid_BD!$F:$F,$A307,Grid_BD!$X:$X)/($AA307+SUMIF(Grid_BD!$F:$F,$A307,Grid_BD!$X:$X)),"")</f>
        <v/>
      </c>
      <c r="S307" s="105"/>
      <c r="T307" s="122"/>
      <c r="U307" s="123"/>
      <c r="V307" s="105"/>
      <c r="W307" s="124" t="str">
        <f>IFERROR(Table13[[#This Row],[Mtr_Net_Exp (KWh)]]/(24*AR307*1000),"")</f>
        <v/>
      </c>
      <c r="X307" s="105" t="str">
        <f>IFERROR(_xlfn.XLOOKUP($A307,Input_Raw!$A:$A,Input_Raw!$CF:$CF),"")</f>
        <v/>
      </c>
      <c r="Y307" s="105" t="str">
        <f>IFERROR(_xlfn.XLOOKUP($A307,Input_Raw!$A:$A,Input_Raw!$CZ:$CZ),"")</f>
        <v/>
      </c>
      <c r="Z307" s="105" t="str">
        <f>IFERROR(_xlfn.XLOOKUP($A307,Input_Raw!$A:$A,Input_Raw!$DA:$DA),"")</f>
        <v/>
      </c>
      <c r="AA307" s="107" t="str">
        <f t="shared" si="31"/>
        <v/>
      </c>
      <c r="AB307" s="105" t="str">
        <f>IFERROR(_xlfn.XLOOKUP($A307,Input_Raw!$A:$A,Input_Raw!$DG:$DG),"")</f>
        <v/>
      </c>
      <c r="AC307" s="125">
        <f>IFERROR(_xlfn.XLOOKUP($D307,'Modelling New'!$D:$D,'Modelling New'!$J:$J),"")</f>
        <v>3.8</v>
      </c>
      <c r="AD307" s="107">
        <f>IFERROR(_xlfn.XLOOKUP($D307,'Modelling New'!$D:$D,'Modelling New'!$T:$T)*1000,"")</f>
        <v>128093.39599615177</v>
      </c>
      <c r="AE307" s="124"/>
      <c r="AF307" s="124">
        <f>IFERROR(_xlfn.XLOOKUP($D307,'Modelling New'!$D:$D,'Modelling New'!$W:$W),"")</f>
        <v>6.8425959399653721E-2</v>
      </c>
      <c r="AG307" s="124">
        <f>IFERROR(_xlfn.XLOOKUP($D307,'Modelling New'!$D:$D,'Modelling New'!$AE:$AE),"")</f>
        <v>0.96029999999999993</v>
      </c>
      <c r="AH307" s="124">
        <f>IFERROR(_xlfn.XLOOKUP($D307,'Modelling New'!$D:$D,'Modelling New'!$AF:$AF),"")</f>
        <v>0.995</v>
      </c>
      <c r="AI307" s="105" t="str">
        <f>IFERROR(_xlfn.XLOOKUP($A307,Input_Raw!$A:$A,Input_Raw!$DE:$DE),"")</f>
        <v/>
      </c>
      <c r="AJ307" s="105"/>
      <c r="AK307" s="105"/>
      <c r="AL307" s="105"/>
      <c r="AM307" s="105"/>
      <c r="AN307" s="126" t="str">
        <f>IFERROR(_xlfn.XLOOKUP($A307,Input_Raw!$A:$A,Input_Raw!$DB:$DB),"")</f>
        <v/>
      </c>
      <c r="AO307" s="124" t="str">
        <f>IFERROR((_xlfn.XLOOKUP($A307,'WTG Reactive Power'!$A:$A,'WTG Reactive Power'!$AR:$AR))/X307/1000,"")</f>
        <v/>
      </c>
      <c r="AP307" s="124">
        <f>IFERROR(_xlfn.XLOOKUP($D307,'Modelling New'!$D:$D,'Modelling New'!$AK:$AK),"")</f>
        <v>0.05</v>
      </c>
      <c r="AQ307" s="124">
        <f>IFERROR(_xlfn.XLOOKUP($D307,'Modelling New'!$D:$D,'Modelling New'!$AL:$AL),"")</f>
        <v>0.05</v>
      </c>
      <c r="AR307">
        <f>IFERROR(_xlfn.XLOOKUP($D307,'Modelling New'!$D:$D,'Modelling New'!$N:$N),"")</f>
        <v>78</v>
      </c>
    </row>
    <row r="308" spans="1:44">
      <c r="A308" s="118">
        <f t="shared" si="32"/>
        <v>46051</v>
      </c>
      <c r="B308" s="107">
        <f>YEAR(Table13[[#This Row],[Date]])+IF(MONTH(Table13[[#This Row],[Date]])&gt;=4,1,0)</f>
        <v>2026</v>
      </c>
      <c r="C308" s="105">
        <f>YEAR(Table13[[#This Row],[Date]])</f>
        <v>2026</v>
      </c>
      <c r="D308" s="119">
        <f>Table13[[#This Row],[Date]]-DAY(Table13[[#This Row],[Date]])+1</f>
        <v>46023</v>
      </c>
      <c r="E308" s="105">
        <f t="shared" si="29"/>
        <v>31</v>
      </c>
      <c r="F308" s="108"/>
      <c r="G308" s="109"/>
      <c r="H308" s="109"/>
      <c r="I308" s="109"/>
      <c r="J308" s="109"/>
      <c r="K308" s="120"/>
      <c r="L308" s="109"/>
      <c r="M308" s="109" t="str">
        <f>IFERROR(_xlfn.XLOOKUP($A308,Input_Raw!$A:$A,Input_Raw!CG:CG),"")</f>
        <v/>
      </c>
      <c r="N308" s="109" t="str">
        <f>IFERROR(_xlfn.XLOOKUP($A308,Input_Raw!$A:$A,Input_Raw!CH:CH),"")</f>
        <v/>
      </c>
      <c r="O308" s="121" t="str">
        <f t="shared" si="30"/>
        <v/>
      </c>
      <c r="P308" s="121" t="str">
        <f>IFERROR(1-SUMIF(WTG_BD!$F:$F,$A308,WTG_BD!$AA:$AA)/($AA308+SUMIF(WTG_BD!$F:$F,$A308,WTG_BD!$AA:$AA)),"")</f>
        <v/>
      </c>
      <c r="Q308" s="122" t="str">
        <f>IFERROR(1-SUMIF(IGA_BD!$F:$F,$A308,IGA_BD!$V:$V)/($AA308+SUMIF(IGA_BD!$F:$F,$A308,IGA_BD!$V:$V)),"")</f>
        <v/>
      </c>
      <c r="R308" s="127" t="str">
        <f>IFERROR(1-SUMIF(Grid_BD!$F:$F,$A308,Grid_BD!$X:$X)/($AA308+SUMIF(Grid_BD!$F:$F,$A308,Grid_BD!$X:$X)),"")</f>
        <v/>
      </c>
      <c r="S308" s="105"/>
      <c r="T308" s="122"/>
      <c r="U308" s="123"/>
      <c r="V308" s="105"/>
      <c r="W308" s="124" t="str">
        <f>IFERROR(Table13[[#This Row],[Mtr_Net_Exp (KWh)]]/(24*AR308*1000),"")</f>
        <v/>
      </c>
      <c r="X308" s="105" t="str">
        <f>IFERROR(_xlfn.XLOOKUP($A308,Input_Raw!$A:$A,Input_Raw!$CF:$CF),"")</f>
        <v/>
      </c>
      <c r="Y308" s="105" t="str">
        <f>IFERROR(_xlfn.XLOOKUP($A308,Input_Raw!$A:$A,Input_Raw!$CZ:$CZ),"")</f>
        <v/>
      </c>
      <c r="Z308" s="105" t="str">
        <f>IFERROR(_xlfn.XLOOKUP($A308,Input_Raw!$A:$A,Input_Raw!$DA:$DA),"")</f>
        <v/>
      </c>
      <c r="AA308" s="107" t="str">
        <f t="shared" si="31"/>
        <v/>
      </c>
      <c r="AB308" s="105" t="str">
        <f>IFERROR(_xlfn.XLOOKUP($A308,Input_Raw!$A:$A,Input_Raw!$DG:$DG),"")</f>
        <v/>
      </c>
      <c r="AC308" s="125">
        <f>IFERROR(_xlfn.XLOOKUP($D308,'Modelling New'!$D:$D,'Modelling New'!$J:$J),"")</f>
        <v>3.8</v>
      </c>
      <c r="AD308" s="107">
        <f>IFERROR(_xlfn.XLOOKUP($D308,'Modelling New'!$D:$D,'Modelling New'!$T:$T)*1000,"")</f>
        <v>128093.39599615177</v>
      </c>
      <c r="AE308" s="124"/>
      <c r="AF308" s="124">
        <f>IFERROR(_xlfn.XLOOKUP($D308,'Modelling New'!$D:$D,'Modelling New'!$W:$W),"")</f>
        <v>6.8425959399653721E-2</v>
      </c>
      <c r="AG308" s="124">
        <f>IFERROR(_xlfn.XLOOKUP($D308,'Modelling New'!$D:$D,'Modelling New'!$AE:$AE),"")</f>
        <v>0.96029999999999993</v>
      </c>
      <c r="AH308" s="124">
        <f>IFERROR(_xlfn.XLOOKUP($D308,'Modelling New'!$D:$D,'Modelling New'!$AF:$AF),"")</f>
        <v>0.995</v>
      </c>
      <c r="AI308" s="105" t="str">
        <f>IFERROR(_xlfn.XLOOKUP($A308,Input_Raw!$A:$A,Input_Raw!$DE:$DE),"")</f>
        <v/>
      </c>
      <c r="AJ308" s="105"/>
      <c r="AK308" s="105"/>
      <c r="AL308" s="105"/>
      <c r="AM308" s="105"/>
      <c r="AN308" s="126" t="str">
        <f>IFERROR(_xlfn.XLOOKUP($A308,Input_Raw!$A:$A,Input_Raw!$DB:$DB),"")</f>
        <v/>
      </c>
      <c r="AO308" s="124" t="str">
        <f>IFERROR((_xlfn.XLOOKUP($A308,'WTG Reactive Power'!$A:$A,'WTG Reactive Power'!$AR:$AR))/X308/1000,"")</f>
        <v/>
      </c>
      <c r="AP308" s="124">
        <f>IFERROR(_xlfn.XLOOKUP($D308,'Modelling New'!$D:$D,'Modelling New'!$AK:$AK),"")</f>
        <v>0.05</v>
      </c>
      <c r="AQ308" s="124">
        <f>IFERROR(_xlfn.XLOOKUP($D308,'Modelling New'!$D:$D,'Modelling New'!$AL:$AL),"")</f>
        <v>0.05</v>
      </c>
      <c r="AR308">
        <f>IFERROR(_xlfn.XLOOKUP($D308,'Modelling New'!$D:$D,'Modelling New'!$N:$N),"")</f>
        <v>78</v>
      </c>
    </row>
    <row r="309" spans="1:44">
      <c r="A309" s="118">
        <f t="shared" si="32"/>
        <v>46052</v>
      </c>
      <c r="B309" s="107">
        <f>YEAR(Table13[[#This Row],[Date]])+IF(MONTH(Table13[[#This Row],[Date]])&gt;=4,1,0)</f>
        <v>2026</v>
      </c>
      <c r="C309" s="105">
        <f>YEAR(Table13[[#This Row],[Date]])</f>
        <v>2026</v>
      </c>
      <c r="D309" s="119">
        <f>Table13[[#This Row],[Date]]-DAY(Table13[[#This Row],[Date]])+1</f>
        <v>46023</v>
      </c>
      <c r="E309" s="105">
        <f t="shared" si="29"/>
        <v>31</v>
      </c>
      <c r="F309" s="108"/>
      <c r="G309" s="109"/>
      <c r="H309" s="109"/>
      <c r="I309" s="109"/>
      <c r="J309" s="109"/>
      <c r="K309" s="120"/>
      <c r="L309" s="109"/>
      <c r="M309" s="109" t="str">
        <f>IFERROR(_xlfn.XLOOKUP($A309,Input_Raw!$A:$A,Input_Raw!CG:CG),"")</f>
        <v/>
      </c>
      <c r="N309" s="109" t="str">
        <f>IFERROR(_xlfn.XLOOKUP($A309,Input_Raw!$A:$A,Input_Raw!CH:CH),"")</f>
        <v/>
      </c>
      <c r="O309" s="121" t="str">
        <f t="shared" si="30"/>
        <v/>
      </c>
      <c r="P309" s="121" t="str">
        <f>IFERROR(1-SUMIF(WTG_BD!$F:$F,$A309,WTG_BD!$AA:$AA)/($AA309+SUMIF(WTG_BD!$F:$F,$A309,WTG_BD!$AA:$AA)),"")</f>
        <v/>
      </c>
      <c r="Q309" s="122" t="str">
        <f>IFERROR(1-SUMIF(IGA_BD!$F:$F,$A309,IGA_BD!$V:$V)/($AA309+SUMIF(IGA_BD!$F:$F,$A309,IGA_BD!$V:$V)),"")</f>
        <v/>
      </c>
      <c r="R309" s="127" t="str">
        <f>IFERROR(1-SUMIF(Grid_BD!$F:$F,$A309,Grid_BD!$X:$X)/($AA309+SUMIF(Grid_BD!$F:$F,$A309,Grid_BD!$X:$X)),"")</f>
        <v/>
      </c>
      <c r="S309" s="105"/>
      <c r="T309" s="122"/>
      <c r="U309" s="123"/>
      <c r="V309" s="105"/>
      <c r="W309" s="124" t="str">
        <f>IFERROR(Table13[[#This Row],[Mtr_Net_Exp (KWh)]]/(24*AR309*1000),"")</f>
        <v/>
      </c>
      <c r="X309" s="105" t="str">
        <f>IFERROR(_xlfn.XLOOKUP($A309,Input_Raw!$A:$A,Input_Raw!$CF:$CF),"")</f>
        <v/>
      </c>
      <c r="Y309" s="105" t="str">
        <f>IFERROR(_xlfn.XLOOKUP($A309,Input_Raw!$A:$A,Input_Raw!$CZ:$CZ),"")</f>
        <v/>
      </c>
      <c r="Z309" s="105" t="str">
        <f>IFERROR(_xlfn.XLOOKUP($A309,Input_Raw!$A:$A,Input_Raw!$DA:$DA),"")</f>
        <v/>
      </c>
      <c r="AA309" s="107" t="str">
        <f t="shared" si="31"/>
        <v/>
      </c>
      <c r="AB309" s="105" t="str">
        <f>IFERROR(_xlfn.XLOOKUP($A309,Input_Raw!$A:$A,Input_Raw!$DG:$DG),"")</f>
        <v/>
      </c>
      <c r="AC309" s="125">
        <f>IFERROR(_xlfn.XLOOKUP($D309,'Modelling New'!$D:$D,'Modelling New'!$J:$J),"")</f>
        <v>3.8</v>
      </c>
      <c r="AD309" s="107">
        <f>IFERROR(_xlfn.XLOOKUP($D309,'Modelling New'!$D:$D,'Modelling New'!$T:$T)*1000,"")</f>
        <v>128093.39599615177</v>
      </c>
      <c r="AE309" s="124"/>
      <c r="AF309" s="124">
        <f>IFERROR(_xlfn.XLOOKUP($D309,'Modelling New'!$D:$D,'Modelling New'!$W:$W),"")</f>
        <v>6.8425959399653721E-2</v>
      </c>
      <c r="AG309" s="124">
        <f>IFERROR(_xlfn.XLOOKUP($D309,'Modelling New'!$D:$D,'Modelling New'!$AE:$AE),"")</f>
        <v>0.96029999999999993</v>
      </c>
      <c r="AH309" s="124">
        <f>IFERROR(_xlfn.XLOOKUP($D309,'Modelling New'!$D:$D,'Modelling New'!$AF:$AF),"")</f>
        <v>0.995</v>
      </c>
      <c r="AI309" s="105" t="str">
        <f>IFERROR(_xlfn.XLOOKUP($A309,Input_Raw!$A:$A,Input_Raw!$DE:$DE),"")</f>
        <v/>
      </c>
      <c r="AJ309" s="105"/>
      <c r="AK309" s="105"/>
      <c r="AL309" s="105"/>
      <c r="AM309" s="105"/>
      <c r="AN309" s="126" t="str">
        <f>IFERROR(_xlfn.XLOOKUP($A309,Input_Raw!$A:$A,Input_Raw!$DB:$DB),"")</f>
        <v/>
      </c>
      <c r="AO309" s="124" t="str">
        <f>IFERROR((_xlfn.XLOOKUP($A309,'WTG Reactive Power'!$A:$A,'WTG Reactive Power'!$AR:$AR))/X309/1000,"")</f>
        <v/>
      </c>
      <c r="AP309" s="124">
        <f>IFERROR(_xlfn.XLOOKUP($D309,'Modelling New'!$D:$D,'Modelling New'!$AK:$AK),"")</f>
        <v>0.05</v>
      </c>
      <c r="AQ309" s="124">
        <f>IFERROR(_xlfn.XLOOKUP($D309,'Modelling New'!$D:$D,'Modelling New'!$AL:$AL),"")</f>
        <v>0.05</v>
      </c>
      <c r="AR309">
        <f>IFERROR(_xlfn.XLOOKUP($D309,'Modelling New'!$D:$D,'Modelling New'!$N:$N),"")</f>
        <v>78</v>
      </c>
    </row>
    <row r="310" spans="1:44">
      <c r="A310" s="118">
        <f t="shared" si="32"/>
        <v>46053</v>
      </c>
      <c r="B310" s="107">
        <f>YEAR(Table13[[#This Row],[Date]])+IF(MONTH(Table13[[#This Row],[Date]])&gt;=4,1,0)</f>
        <v>2026</v>
      </c>
      <c r="C310" s="105">
        <f>YEAR(Table13[[#This Row],[Date]])</f>
        <v>2026</v>
      </c>
      <c r="D310" s="119">
        <f>Table13[[#This Row],[Date]]-DAY(Table13[[#This Row],[Date]])+1</f>
        <v>46023</v>
      </c>
      <c r="E310" s="105">
        <f t="shared" si="29"/>
        <v>31</v>
      </c>
      <c r="F310" s="108"/>
      <c r="G310" s="109"/>
      <c r="H310" s="109"/>
      <c r="I310" s="109"/>
      <c r="J310" s="109"/>
      <c r="K310" s="120"/>
      <c r="L310" s="109"/>
      <c r="M310" s="109" t="str">
        <f>IFERROR(_xlfn.XLOOKUP($A310,Input_Raw!$A:$A,Input_Raw!CG:CG),"")</f>
        <v/>
      </c>
      <c r="N310" s="109" t="str">
        <f>IFERROR(_xlfn.XLOOKUP($A310,Input_Raw!$A:$A,Input_Raw!CH:CH),"")</f>
        <v/>
      </c>
      <c r="O310" s="121" t="str">
        <f t="shared" si="30"/>
        <v/>
      </c>
      <c r="P310" s="121" t="str">
        <f>IFERROR(1-SUMIF(WTG_BD!$F:$F,$A310,WTG_BD!$AA:$AA)/($AA310+SUMIF(WTG_BD!$F:$F,$A310,WTG_BD!$AA:$AA)),"")</f>
        <v/>
      </c>
      <c r="Q310" s="122" t="str">
        <f>IFERROR(1-SUMIF(IGA_BD!$F:$F,$A310,IGA_BD!$V:$V)/($AA310+SUMIF(IGA_BD!$F:$F,$A310,IGA_BD!$V:$V)),"")</f>
        <v/>
      </c>
      <c r="R310" s="127" t="str">
        <f>IFERROR(1-SUMIF(Grid_BD!$F:$F,$A310,Grid_BD!$X:$X)/($AA310+SUMIF(Grid_BD!$F:$F,$A310,Grid_BD!$X:$X)),"")</f>
        <v/>
      </c>
      <c r="S310" s="105"/>
      <c r="T310" s="122"/>
      <c r="U310" s="123"/>
      <c r="V310" s="105"/>
      <c r="W310" s="124" t="str">
        <f>IFERROR(Table13[[#This Row],[Mtr_Net_Exp (KWh)]]/(24*AR310*1000),"")</f>
        <v/>
      </c>
      <c r="X310" s="105" t="str">
        <f>IFERROR(_xlfn.XLOOKUP($A310,Input_Raw!$A:$A,Input_Raw!$CF:$CF),"")</f>
        <v/>
      </c>
      <c r="Y310" s="105" t="str">
        <f>IFERROR(_xlfn.XLOOKUP($A310,Input_Raw!$A:$A,Input_Raw!$CZ:$CZ),"")</f>
        <v/>
      </c>
      <c r="Z310" s="105" t="str">
        <f>IFERROR(_xlfn.XLOOKUP($A310,Input_Raw!$A:$A,Input_Raw!$DA:$DA),"")</f>
        <v/>
      </c>
      <c r="AA310" s="107" t="str">
        <f t="shared" si="31"/>
        <v/>
      </c>
      <c r="AB310" s="105" t="str">
        <f>IFERROR(_xlfn.XLOOKUP($A310,Input_Raw!$A:$A,Input_Raw!$DG:$DG),"")</f>
        <v/>
      </c>
      <c r="AC310" s="125">
        <f>IFERROR(_xlfn.XLOOKUP($D310,'Modelling New'!$D:$D,'Modelling New'!$J:$J),"")</f>
        <v>3.8</v>
      </c>
      <c r="AD310" s="107">
        <f>IFERROR(_xlfn.XLOOKUP($D310,'Modelling New'!$D:$D,'Modelling New'!$T:$T)*1000,"")</f>
        <v>128093.39599615177</v>
      </c>
      <c r="AE310" s="124"/>
      <c r="AF310" s="124">
        <f>IFERROR(_xlfn.XLOOKUP($D310,'Modelling New'!$D:$D,'Modelling New'!$W:$W),"")</f>
        <v>6.8425959399653721E-2</v>
      </c>
      <c r="AG310" s="124">
        <f>IFERROR(_xlfn.XLOOKUP($D310,'Modelling New'!$D:$D,'Modelling New'!$AE:$AE),"")</f>
        <v>0.96029999999999993</v>
      </c>
      <c r="AH310" s="124">
        <f>IFERROR(_xlfn.XLOOKUP($D310,'Modelling New'!$D:$D,'Modelling New'!$AF:$AF),"")</f>
        <v>0.995</v>
      </c>
      <c r="AI310" s="105" t="str">
        <f>IFERROR(_xlfn.XLOOKUP($A310,Input_Raw!$A:$A,Input_Raw!$DE:$DE),"")</f>
        <v/>
      </c>
      <c r="AJ310" s="105"/>
      <c r="AK310" s="105"/>
      <c r="AL310" s="105"/>
      <c r="AM310" s="105"/>
      <c r="AN310" s="126" t="str">
        <f>IFERROR(_xlfn.XLOOKUP($A310,Input_Raw!$A:$A,Input_Raw!$DB:$DB),"")</f>
        <v/>
      </c>
      <c r="AO310" s="124" t="str">
        <f>IFERROR((_xlfn.XLOOKUP($A310,'WTG Reactive Power'!$A:$A,'WTG Reactive Power'!$AR:$AR))/X310/1000,"")</f>
        <v/>
      </c>
      <c r="AP310" s="124">
        <f>IFERROR(_xlfn.XLOOKUP($D310,'Modelling New'!$D:$D,'Modelling New'!$AK:$AK),"")</f>
        <v>0.05</v>
      </c>
      <c r="AQ310" s="124">
        <f>IFERROR(_xlfn.XLOOKUP($D310,'Modelling New'!$D:$D,'Modelling New'!$AL:$AL),"")</f>
        <v>0.05</v>
      </c>
      <c r="AR310">
        <f>IFERROR(_xlfn.XLOOKUP($D310,'Modelling New'!$D:$D,'Modelling New'!$N:$N),"")</f>
        <v>78</v>
      </c>
    </row>
    <row r="311" spans="1:44">
      <c r="A311" s="118">
        <f t="shared" si="32"/>
        <v>46054</v>
      </c>
      <c r="B311" s="107">
        <f>YEAR(Table13[[#This Row],[Date]])+IF(MONTH(Table13[[#This Row],[Date]])&gt;=4,1,0)</f>
        <v>2026</v>
      </c>
      <c r="C311" s="105">
        <f>YEAR(Table13[[#This Row],[Date]])</f>
        <v>2026</v>
      </c>
      <c r="D311" s="119">
        <f>Table13[[#This Row],[Date]]-DAY(Table13[[#This Row],[Date]])+1</f>
        <v>46054</v>
      </c>
      <c r="E311" s="105">
        <f t="shared" si="29"/>
        <v>28</v>
      </c>
      <c r="F311" s="108"/>
      <c r="G311" s="109"/>
      <c r="H311" s="109"/>
      <c r="I311" s="109"/>
      <c r="J311" s="109"/>
      <c r="K311" s="120"/>
      <c r="L311" s="109"/>
      <c r="M311" s="109" t="str">
        <f>IFERROR(_xlfn.XLOOKUP($A311,Input_Raw!$A:$A,Input_Raw!CG:CG),"")</f>
        <v/>
      </c>
      <c r="N311" s="109" t="str">
        <f>IFERROR(_xlfn.XLOOKUP($A311,Input_Raw!$A:$A,Input_Raw!CH:CH),"")</f>
        <v/>
      </c>
      <c r="O311" s="121" t="str">
        <f t="shared" si="30"/>
        <v/>
      </c>
      <c r="P311" s="121" t="str">
        <f>IFERROR(1-SUMIF(WTG_BD!$F:$F,$A311,WTG_BD!$AA:$AA)/($AA311+SUMIF(WTG_BD!$F:$F,$A311,WTG_BD!$AA:$AA)),"")</f>
        <v/>
      </c>
      <c r="Q311" s="122" t="str">
        <f>IFERROR(1-SUMIF(IGA_BD!$F:$F,$A311,IGA_BD!$V:$V)/($AA311+SUMIF(IGA_BD!$F:$F,$A311,IGA_BD!$V:$V)),"")</f>
        <v/>
      </c>
      <c r="R311" s="127" t="str">
        <f>IFERROR(1-SUMIF(Grid_BD!$F:$F,$A311,Grid_BD!$X:$X)/($AA311+SUMIF(Grid_BD!$F:$F,$A311,Grid_BD!$X:$X)),"")</f>
        <v/>
      </c>
      <c r="S311" s="105"/>
      <c r="T311" s="122"/>
      <c r="U311" s="123"/>
      <c r="V311" s="105"/>
      <c r="W311" s="124" t="str">
        <f>IFERROR(Table13[[#This Row],[Mtr_Net_Exp (KWh)]]/(24*AR311*1000),"")</f>
        <v/>
      </c>
      <c r="X311" s="105" t="str">
        <f>IFERROR(_xlfn.XLOOKUP($A311,Input_Raw!$A:$A,Input_Raw!$CF:$CF),"")</f>
        <v/>
      </c>
      <c r="Y311" s="105" t="str">
        <f>IFERROR(_xlfn.XLOOKUP($A311,Input_Raw!$A:$A,Input_Raw!$CZ:$CZ),"")</f>
        <v/>
      </c>
      <c r="Z311" s="105" t="str">
        <f>IFERROR(_xlfn.XLOOKUP($A311,Input_Raw!$A:$A,Input_Raw!$DA:$DA),"")</f>
        <v/>
      </c>
      <c r="AA311" s="107" t="str">
        <f t="shared" si="31"/>
        <v/>
      </c>
      <c r="AB311" s="105" t="str">
        <f>IFERROR(_xlfn.XLOOKUP($A311,Input_Raw!$A:$A,Input_Raw!$DG:$DG),"")</f>
        <v/>
      </c>
      <c r="AC311" s="125">
        <f>IFERROR(_xlfn.XLOOKUP($D311,'Modelling New'!$D:$D,'Modelling New'!$J:$J),"")</f>
        <v>4.3</v>
      </c>
      <c r="AD311" s="107">
        <f>IFERROR(_xlfn.XLOOKUP($D311,'Modelling New'!$D:$D,'Modelling New'!$T:$T)*1000,"")</f>
        <v>171913.60080596086</v>
      </c>
      <c r="AE311" s="124"/>
      <c r="AF311" s="124">
        <f>IFERROR(_xlfn.XLOOKUP($D311,'Modelling New'!$D:$D,'Modelling New'!$W:$W),"")</f>
        <v>9.1834188464722688E-2</v>
      </c>
      <c r="AG311" s="124">
        <f>IFERROR(_xlfn.XLOOKUP($D311,'Modelling New'!$D:$D,'Modelling New'!$AE:$AE),"")</f>
        <v>0.96029999999999993</v>
      </c>
      <c r="AH311" s="124">
        <f>IFERROR(_xlfn.XLOOKUP($D311,'Modelling New'!$D:$D,'Modelling New'!$AF:$AF),"")</f>
        <v>0.995</v>
      </c>
      <c r="AI311" s="105" t="str">
        <f>IFERROR(_xlfn.XLOOKUP($A311,Input_Raw!$A:$A,Input_Raw!$DE:$DE),"")</f>
        <v/>
      </c>
      <c r="AJ311" s="105"/>
      <c r="AK311" s="105"/>
      <c r="AL311" s="105"/>
      <c r="AM311" s="105"/>
      <c r="AN311" s="126" t="str">
        <f>IFERROR(_xlfn.XLOOKUP($A311,Input_Raw!$A:$A,Input_Raw!$DB:$DB),"")</f>
        <v/>
      </c>
      <c r="AO311" s="124" t="str">
        <f>IFERROR((_xlfn.XLOOKUP($A311,'WTG Reactive Power'!$A:$A,'WTG Reactive Power'!$AR:$AR))/X311/1000,"")</f>
        <v/>
      </c>
      <c r="AP311" s="124">
        <f>IFERROR(_xlfn.XLOOKUP($D311,'Modelling New'!$D:$D,'Modelling New'!$AK:$AK),"")</f>
        <v>0.05</v>
      </c>
      <c r="AQ311" s="124">
        <f>IFERROR(_xlfn.XLOOKUP($D311,'Modelling New'!$D:$D,'Modelling New'!$AL:$AL),"")</f>
        <v>0.05</v>
      </c>
      <c r="AR311">
        <f>IFERROR(_xlfn.XLOOKUP($D311,'Modelling New'!$D:$D,'Modelling New'!$N:$N),"")</f>
        <v>78</v>
      </c>
    </row>
    <row r="312" spans="1:44">
      <c r="A312" s="118">
        <f t="shared" si="32"/>
        <v>46055</v>
      </c>
      <c r="B312" s="107">
        <f>YEAR(Table13[[#This Row],[Date]])+IF(MONTH(Table13[[#This Row],[Date]])&gt;=4,1,0)</f>
        <v>2026</v>
      </c>
      <c r="C312" s="105">
        <f>YEAR(Table13[[#This Row],[Date]])</f>
        <v>2026</v>
      </c>
      <c r="D312" s="119">
        <f>Table13[[#This Row],[Date]]-DAY(Table13[[#This Row],[Date]])+1</f>
        <v>46054</v>
      </c>
      <c r="E312" s="105">
        <f t="shared" si="29"/>
        <v>28</v>
      </c>
      <c r="F312" s="108"/>
      <c r="G312" s="109"/>
      <c r="H312" s="109"/>
      <c r="I312" s="109"/>
      <c r="J312" s="109"/>
      <c r="K312" s="120"/>
      <c r="L312" s="109"/>
      <c r="M312" s="109" t="str">
        <f>IFERROR(_xlfn.XLOOKUP($A312,Input_Raw!$A:$A,Input_Raw!CG:CG),"")</f>
        <v/>
      </c>
      <c r="N312" s="109" t="str">
        <f>IFERROR(_xlfn.XLOOKUP($A312,Input_Raw!$A:$A,Input_Raw!CH:CH),"")</f>
        <v/>
      </c>
      <c r="O312" s="121" t="str">
        <f t="shared" si="30"/>
        <v/>
      </c>
      <c r="P312" s="121" t="str">
        <f>IFERROR(1-SUMIF(WTG_BD!$F:$F,$A312,WTG_BD!$AA:$AA)/($AA312+SUMIF(WTG_BD!$F:$F,$A312,WTG_BD!$AA:$AA)),"")</f>
        <v/>
      </c>
      <c r="Q312" s="122" t="str">
        <f>IFERROR(1-SUMIF(IGA_BD!$F:$F,$A312,IGA_BD!$V:$V)/($AA312+SUMIF(IGA_BD!$F:$F,$A312,IGA_BD!$V:$V)),"")</f>
        <v/>
      </c>
      <c r="R312" s="127" t="str">
        <f>IFERROR(1-SUMIF(Grid_BD!$F:$F,$A312,Grid_BD!$X:$X)/($AA312+SUMIF(Grid_BD!$F:$F,$A312,Grid_BD!$X:$X)),"")</f>
        <v/>
      </c>
      <c r="S312" s="105"/>
      <c r="T312" s="122"/>
      <c r="U312" s="123"/>
      <c r="V312" s="105"/>
      <c r="W312" s="124" t="str">
        <f>IFERROR(Table13[[#This Row],[Mtr_Net_Exp (KWh)]]/(24*AR312*1000),"")</f>
        <v/>
      </c>
      <c r="X312" s="105" t="str">
        <f>IFERROR(_xlfn.XLOOKUP($A312,Input_Raw!$A:$A,Input_Raw!$CF:$CF),"")</f>
        <v/>
      </c>
      <c r="Y312" s="105" t="str">
        <f>IFERROR(_xlfn.XLOOKUP($A312,Input_Raw!$A:$A,Input_Raw!$CZ:$CZ),"")</f>
        <v/>
      </c>
      <c r="Z312" s="105" t="str">
        <f>IFERROR(_xlfn.XLOOKUP($A312,Input_Raw!$A:$A,Input_Raw!$DA:$DA),"")</f>
        <v/>
      </c>
      <c r="AA312" s="107" t="str">
        <f t="shared" si="31"/>
        <v/>
      </c>
      <c r="AB312" s="105" t="str">
        <f>IFERROR(_xlfn.XLOOKUP($A312,Input_Raw!$A:$A,Input_Raw!$DG:$DG),"")</f>
        <v/>
      </c>
      <c r="AC312" s="125">
        <f>IFERROR(_xlfn.XLOOKUP($D312,'Modelling New'!$D:$D,'Modelling New'!$J:$J),"")</f>
        <v>4.3</v>
      </c>
      <c r="AD312" s="107">
        <f>IFERROR(_xlfn.XLOOKUP($D312,'Modelling New'!$D:$D,'Modelling New'!$T:$T)*1000,"")</f>
        <v>171913.60080596086</v>
      </c>
      <c r="AE312" s="124"/>
      <c r="AF312" s="124">
        <f>IFERROR(_xlfn.XLOOKUP($D312,'Modelling New'!$D:$D,'Modelling New'!$W:$W),"")</f>
        <v>9.1834188464722688E-2</v>
      </c>
      <c r="AG312" s="124">
        <f>IFERROR(_xlfn.XLOOKUP($D312,'Modelling New'!$D:$D,'Modelling New'!$AE:$AE),"")</f>
        <v>0.96029999999999993</v>
      </c>
      <c r="AH312" s="124">
        <f>IFERROR(_xlfn.XLOOKUP($D312,'Modelling New'!$D:$D,'Modelling New'!$AF:$AF),"")</f>
        <v>0.995</v>
      </c>
      <c r="AI312" s="105" t="str">
        <f>IFERROR(_xlfn.XLOOKUP($A312,Input_Raw!$A:$A,Input_Raw!$DE:$DE),"")</f>
        <v/>
      </c>
      <c r="AJ312" s="105"/>
      <c r="AK312" s="105"/>
      <c r="AL312" s="105"/>
      <c r="AM312" s="105"/>
      <c r="AN312" s="126" t="str">
        <f>IFERROR(_xlfn.XLOOKUP($A312,Input_Raw!$A:$A,Input_Raw!$DB:$DB),"")</f>
        <v/>
      </c>
      <c r="AO312" s="124" t="str">
        <f>IFERROR((_xlfn.XLOOKUP($A312,'WTG Reactive Power'!$A:$A,'WTG Reactive Power'!$AR:$AR))/X312/1000,"")</f>
        <v/>
      </c>
      <c r="AP312" s="124">
        <f>IFERROR(_xlfn.XLOOKUP($D312,'Modelling New'!$D:$D,'Modelling New'!$AK:$AK),"")</f>
        <v>0.05</v>
      </c>
      <c r="AQ312" s="124">
        <f>IFERROR(_xlfn.XLOOKUP($D312,'Modelling New'!$D:$D,'Modelling New'!$AL:$AL),"")</f>
        <v>0.05</v>
      </c>
      <c r="AR312">
        <f>IFERROR(_xlfn.XLOOKUP($D312,'Modelling New'!$D:$D,'Modelling New'!$N:$N),"")</f>
        <v>78</v>
      </c>
    </row>
    <row r="313" spans="1:44">
      <c r="A313" s="118">
        <f t="shared" si="32"/>
        <v>46056</v>
      </c>
      <c r="B313" s="107">
        <f>YEAR(Table13[[#This Row],[Date]])+IF(MONTH(Table13[[#This Row],[Date]])&gt;=4,1,0)</f>
        <v>2026</v>
      </c>
      <c r="C313" s="105">
        <f>YEAR(Table13[[#This Row],[Date]])</f>
        <v>2026</v>
      </c>
      <c r="D313" s="119">
        <f>Table13[[#This Row],[Date]]-DAY(Table13[[#This Row],[Date]])+1</f>
        <v>46054</v>
      </c>
      <c r="E313" s="105">
        <f t="shared" si="29"/>
        <v>28</v>
      </c>
      <c r="F313" s="108"/>
      <c r="G313" s="109"/>
      <c r="H313" s="109"/>
      <c r="I313" s="109"/>
      <c r="J313" s="109"/>
      <c r="K313" s="120"/>
      <c r="L313" s="109"/>
      <c r="M313" s="109" t="str">
        <f>IFERROR(_xlfn.XLOOKUP($A313,Input_Raw!$A:$A,Input_Raw!CG:CG),"")</f>
        <v/>
      </c>
      <c r="N313" s="109" t="str">
        <f>IFERROR(_xlfn.XLOOKUP($A313,Input_Raw!$A:$A,Input_Raw!CH:CH),"")</f>
        <v/>
      </c>
      <c r="O313" s="121" t="str">
        <f t="shared" si="30"/>
        <v/>
      </c>
      <c r="P313" s="121" t="str">
        <f>IFERROR(1-SUMIF(WTG_BD!$F:$F,$A313,WTG_BD!$AA:$AA)/($AA313+SUMIF(WTG_BD!$F:$F,$A313,WTG_BD!$AA:$AA)),"")</f>
        <v/>
      </c>
      <c r="Q313" s="122" t="str">
        <f>IFERROR(1-SUMIF(IGA_BD!$F:$F,$A313,IGA_BD!$V:$V)/($AA313+SUMIF(IGA_BD!$F:$F,$A313,IGA_BD!$V:$V)),"")</f>
        <v/>
      </c>
      <c r="R313" s="127" t="str">
        <f>IFERROR(1-SUMIF(Grid_BD!$F:$F,$A313,Grid_BD!$X:$X)/($AA313+SUMIF(Grid_BD!$F:$F,$A313,Grid_BD!$X:$X)),"")</f>
        <v/>
      </c>
      <c r="S313" s="105"/>
      <c r="T313" s="122"/>
      <c r="U313" s="123"/>
      <c r="V313" s="105"/>
      <c r="W313" s="124" t="str">
        <f>IFERROR(Table13[[#This Row],[Mtr_Net_Exp (KWh)]]/(24*AR313*1000),"")</f>
        <v/>
      </c>
      <c r="X313" s="105" t="str">
        <f>IFERROR(_xlfn.XLOOKUP($A313,Input_Raw!$A:$A,Input_Raw!$CF:$CF),"")</f>
        <v/>
      </c>
      <c r="Y313" s="105" t="str">
        <f>IFERROR(_xlfn.XLOOKUP($A313,Input_Raw!$A:$A,Input_Raw!$CZ:$CZ),"")</f>
        <v/>
      </c>
      <c r="Z313" s="105" t="str">
        <f>IFERROR(_xlfn.XLOOKUP($A313,Input_Raw!$A:$A,Input_Raw!$DA:$DA),"")</f>
        <v/>
      </c>
      <c r="AA313" s="107" t="str">
        <f t="shared" si="31"/>
        <v/>
      </c>
      <c r="AB313" s="105" t="str">
        <f>IFERROR(_xlfn.XLOOKUP($A313,Input_Raw!$A:$A,Input_Raw!$DG:$DG),"")</f>
        <v/>
      </c>
      <c r="AC313" s="125">
        <f>IFERROR(_xlfn.XLOOKUP($D313,'Modelling New'!$D:$D,'Modelling New'!$J:$J),"")</f>
        <v>4.3</v>
      </c>
      <c r="AD313" s="107">
        <f>IFERROR(_xlfn.XLOOKUP($D313,'Modelling New'!$D:$D,'Modelling New'!$T:$T)*1000,"")</f>
        <v>171913.60080596086</v>
      </c>
      <c r="AE313" s="124"/>
      <c r="AF313" s="124">
        <f>IFERROR(_xlfn.XLOOKUP($D313,'Modelling New'!$D:$D,'Modelling New'!$W:$W),"")</f>
        <v>9.1834188464722688E-2</v>
      </c>
      <c r="AG313" s="124">
        <f>IFERROR(_xlfn.XLOOKUP($D313,'Modelling New'!$D:$D,'Modelling New'!$AE:$AE),"")</f>
        <v>0.96029999999999993</v>
      </c>
      <c r="AH313" s="124">
        <f>IFERROR(_xlfn.XLOOKUP($D313,'Modelling New'!$D:$D,'Modelling New'!$AF:$AF),"")</f>
        <v>0.995</v>
      </c>
      <c r="AI313" s="105" t="str">
        <f>IFERROR(_xlfn.XLOOKUP($A313,Input_Raw!$A:$A,Input_Raw!$DE:$DE),"")</f>
        <v/>
      </c>
      <c r="AJ313" s="105"/>
      <c r="AK313" s="105"/>
      <c r="AL313" s="105"/>
      <c r="AM313" s="105"/>
      <c r="AN313" s="126" t="str">
        <f>IFERROR(_xlfn.XLOOKUP($A313,Input_Raw!$A:$A,Input_Raw!$DB:$DB),"")</f>
        <v/>
      </c>
      <c r="AO313" s="124" t="str">
        <f>IFERROR((_xlfn.XLOOKUP($A313,'WTG Reactive Power'!$A:$A,'WTG Reactive Power'!$AR:$AR))/X313/1000,"")</f>
        <v/>
      </c>
      <c r="AP313" s="124">
        <f>IFERROR(_xlfn.XLOOKUP($D313,'Modelling New'!$D:$D,'Modelling New'!$AK:$AK),"")</f>
        <v>0.05</v>
      </c>
      <c r="AQ313" s="124">
        <f>IFERROR(_xlfn.XLOOKUP($D313,'Modelling New'!$D:$D,'Modelling New'!$AL:$AL),"")</f>
        <v>0.05</v>
      </c>
      <c r="AR313">
        <f>IFERROR(_xlfn.XLOOKUP($D313,'Modelling New'!$D:$D,'Modelling New'!$N:$N),"")</f>
        <v>78</v>
      </c>
    </row>
    <row r="314" spans="1:44">
      <c r="A314" s="118">
        <f t="shared" si="32"/>
        <v>46057</v>
      </c>
      <c r="B314" s="107">
        <f>YEAR(Table13[[#This Row],[Date]])+IF(MONTH(Table13[[#This Row],[Date]])&gt;=4,1,0)</f>
        <v>2026</v>
      </c>
      <c r="C314" s="105">
        <f>YEAR(Table13[[#This Row],[Date]])</f>
        <v>2026</v>
      </c>
      <c r="D314" s="119">
        <f>Table13[[#This Row],[Date]]-DAY(Table13[[#This Row],[Date]])+1</f>
        <v>46054</v>
      </c>
      <c r="E314" s="105">
        <f t="shared" si="29"/>
        <v>28</v>
      </c>
      <c r="F314" s="108"/>
      <c r="G314" s="109"/>
      <c r="H314" s="109"/>
      <c r="I314" s="109"/>
      <c r="J314" s="109"/>
      <c r="K314" s="120"/>
      <c r="L314" s="109"/>
      <c r="M314" s="109" t="str">
        <f>IFERROR(_xlfn.XLOOKUP($A314,Input_Raw!$A:$A,Input_Raw!CG:CG),"")</f>
        <v/>
      </c>
      <c r="N314" s="109" t="str">
        <f>IFERROR(_xlfn.XLOOKUP($A314,Input_Raw!$A:$A,Input_Raw!CH:CH),"")</f>
        <v/>
      </c>
      <c r="O314" s="121" t="str">
        <f t="shared" si="30"/>
        <v/>
      </c>
      <c r="P314" s="121" t="str">
        <f>IFERROR(1-SUMIF(WTG_BD!$F:$F,$A314,WTG_BD!$AA:$AA)/($AA314+SUMIF(WTG_BD!$F:$F,$A314,WTG_BD!$AA:$AA)),"")</f>
        <v/>
      </c>
      <c r="Q314" s="122" t="str">
        <f>IFERROR(1-SUMIF(IGA_BD!$F:$F,$A314,IGA_BD!$V:$V)/($AA314+SUMIF(IGA_BD!$F:$F,$A314,IGA_BD!$V:$V)),"")</f>
        <v/>
      </c>
      <c r="R314" s="127" t="str">
        <f>IFERROR(1-SUMIF(Grid_BD!$F:$F,$A314,Grid_BD!$X:$X)/($AA314+SUMIF(Grid_BD!$F:$F,$A314,Grid_BD!$X:$X)),"")</f>
        <v/>
      </c>
      <c r="S314" s="105"/>
      <c r="T314" s="122"/>
      <c r="U314" s="123"/>
      <c r="V314" s="105"/>
      <c r="W314" s="124" t="str">
        <f>IFERROR(Table13[[#This Row],[Mtr_Net_Exp (KWh)]]/(24*AR314*1000),"")</f>
        <v/>
      </c>
      <c r="X314" s="105" t="str">
        <f>IFERROR(_xlfn.XLOOKUP($A314,Input_Raw!$A:$A,Input_Raw!$CF:$CF),"")</f>
        <v/>
      </c>
      <c r="Y314" s="105" t="str">
        <f>IFERROR(_xlfn.XLOOKUP($A314,Input_Raw!$A:$A,Input_Raw!$CZ:$CZ),"")</f>
        <v/>
      </c>
      <c r="Z314" s="105" t="str">
        <f>IFERROR(_xlfn.XLOOKUP($A314,Input_Raw!$A:$A,Input_Raw!$DA:$DA),"")</f>
        <v/>
      </c>
      <c r="AA314" s="107" t="str">
        <f t="shared" si="31"/>
        <v/>
      </c>
      <c r="AB314" s="105" t="str">
        <f>IFERROR(_xlfn.XLOOKUP($A314,Input_Raw!$A:$A,Input_Raw!$DG:$DG),"")</f>
        <v/>
      </c>
      <c r="AC314" s="125">
        <f>IFERROR(_xlfn.XLOOKUP($D314,'Modelling New'!$D:$D,'Modelling New'!$J:$J),"")</f>
        <v>4.3</v>
      </c>
      <c r="AD314" s="107">
        <f>IFERROR(_xlfn.XLOOKUP($D314,'Modelling New'!$D:$D,'Modelling New'!$T:$T)*1000,"")</f>
        <v>171913.60080596086</v>
      </c>
      <c r="AE314" s="124"/>
      <c r="AF314" s="124">
        <f>IFERROR(_xlfn.XLOOKUP($D314,'Modelling New'!$D:$D,'Modelling New'!$W:$W),"")</f>
        <v>9.1834188464722688E-2</v>
      </c>
      <c r="AG314" s="124">
        <f>IFERROR(_xlfn.XLOOKUP($D314,'Modelling New'!$D:$D,'Modelling New'!$AE:$AE),"")</f>
        <v>0.96029999999999993</v>
      </c>
      <c r="AH314" s="124">
        <f>IFERROR(_xlfn.XLOOKUP($D314,'Modelling New'!$D:$D,'Modelling New'!$AF:$AF),"")</f>
        <v>0.995</v>
      </c>
      <c r="AI314" s="105" t="str">
        <f>IFERROR(_xlfn.XLOOKUP($A314,Input_Raw!$A:$A,Input_Raw!$DE:$DE),"")</f>
        <v/>
      </c>
      <c r="AJ314" s="105"/>
      <c r="AK314" s="105"/>
      <c r="AL314" s="105"/>
      <c r="AM314" s="105"/>
      <c r="AN314" s="126" t="str">
        <f>IFERROR(_xlfn.XLOOKUP($A314,Input_Raw!$A:$A,Input_Raw!$DB:$DB),"")</f>
        <v/>
      </c>
      <c r="AO314" s="124" t="str">
        <f>IFERROR((_xlfn.XLOOKUP($A314,'WTG Reactive Power'!$A:$A,'WTG Reactive Power'!$AR:$AR))/X314/1000,"")</f>
        <v/>
      </c>
      <c r="AP314" s="124">
        <f>IFERROR(_xlfn.XLOOKUP($D314,'Modelling New'!$D:$D,'Modelling New'!$AK:$AK),"")</f>
        <v>0.05</v>
      </c>
      <c r="AQ314" s="124">
        <f>IFERROR(_xlfn.XLOOKUP($D314,'Modelling New'!$D:$D,'Modelling New'!$AL:$AL),"")</f>
        <v>0.05</v>
      </c>
      <c r="AR314">
        <f>IFERROR(_xlfn.XLOOKUP($D314,'Modelling New'!$D:$D,'Modelling New'!$N:$N),"")</f>
        <v>78</v>
      </c>
    </row>
    <row r="315" spans="1:44">
      <c r="A315" s="118">
        <f t="shared" si="32"/>
        <v>46058</v>
      </c>
      <c r="B315" s="107">
        <f>YEAR(Table13[[#This Row],[Date]])+IF(MONTH(Table13[[#This Row],[Date]])&gt;=4,1,0)</f>
        <v>2026</v>
      </c>
      <c r="C315" s="105">
        <f>YEAR(Table13[[#This Row],[Date]])</f>
        <v>2026</v>
      </c>
      <c r="D315" s="119">
        <f>Table13[[#This Row],[Date]]-DAY(Table13[[#This Row],[Date]])+1</f>
        <v>46054</v>
      </c>
      <c r="E315" s="105">
        <f t="shared" si="29"/>
        <v>28</v>
      </c>
      <c r="F315" s="108"/>
      <c r="G315" s="109"/>
      <c r="H315" s="109"/>
      <c r="I315" s="109"/>
      <c r="J315" s="109"/>
      <c r="K315" s="120"/>
      <c r="L315" s="109"/>
      <c r="M315" s="109" t="str">
        <f>IFERROR(_xlfn.XLOOKUP($A315,Input_Raw!$A:$A,Input_Raw!CG:CG),"")</f>
        <v/>
      </c>
      <c r="N315" s="109" t="str">
        <f>IFERROR(_xlfn.XLOOKUP($A315,Input_Raw!$A:$A,Input_Raw!CH:CH),"")</f>
        <v/>
      </c>
      <c r="O315" s="121" t="str">
        <f t="shared" si="30"/>
        <v/>
      </c>
      <c r="P315" s="121" t="str">
        <f>IFERROR(1-SUMIF(WTG_BD!$F:$F,$A315,WTG_BD!$AA:$AA)/($AA315+SUMIF(WTG_BD!$F:$F,$A315,WTG_BD!$AA:$AA)),"")</f>
        <v/>
      </c>
      <c r="Q315" s="122" t="str">
        <f>IFERROR(1-SUMIF(IGA_BD!$F:$F,$A315,IGA_BD!$V:$V)/($AA315+SUMIF(IGA_BD!$F:$F,$A315,IGA_BD!$V:$V)),"")</f>
        <v/>
      </c>
      <c r="R315" s="127" t="str">
        <f>IFERROR(1-SUMIF(Grid_BD!$F:$F,$A315,Grid_BD!$X:$X)/($AA315+SUMIF(Grid_BD!$F:$F,$A315,Grid_BD!$X:$X)),"")</f>
        <v/>
      </c>
      <c r="S315" s="105"/>
      <c r="T315" s="122"/>
      <c r="U315" s="123"/>
      <c r="V315" s="105"/>
      <c r="W315" s="124" t="str">
        <f>IFERROR(Table13[[#This Row],[Mtr_Net_Exp (KWh)]]/(24*AR315*1000),"")</f>
        <v/>
      </c>
      <c r="X315" s="105" t="str">
        <f>IFERROR(_xlfn.XLOOKUP($A315,Input_Raw!$A:$A,Input_Raw!$CF:$CF),"")</f>
        <v/>
      </c>
      <c r="Y315" s="105" t="str">
        <f>IFERROR(_xlfn.XLOOKUP($A315,Input_Raw!$A:$A,Input_Raw!$CZ:$CZ),"")</f>
        <v/>
      </c>
      <c r="Z315" s="105" t="str">
        <f>IFERROR(_xlfn.XLOOKUP($A315,Input_Raw!$A:$A,Input_Raw!$DA:$DA),"")</f>
        <v/>
      </c>
      <c r="AA315" s="107" t="str">
        <f t="shared" si="31"/>
        <v/>
      </c>
      <c r="AB315" s="105" t="str">
        <f>IFERROR(_xlfn.XLOOKUP($A315,Input_Raw!$A:$A,Input_Raw!$DG:$DG),"")</f>
        <v/>
      </c>
      <c r="AC315" s="125">
        <f>IFERROR(_xlfn.XLOOKUP($D315,'Modelling New'!$D:$D,'Modelling New'!$J:$J),"")</f>
        <v>4.3</v>
      </c>
      <c r="AD315" s="107">
        <f>IFERROR(_xlfn.XLOOKUP($D315,'Modelling New'!$D:$D,'Modelling New'!$T:$T)*1000,"")</f>
        <v>171913.60080596086</v>
      </c>
      <c r="AE315" s="124"/>
      <c r="AF315" s="124">
        <f>IFERROR(_xlfn.XLOOKUP($D315,'Modelling New'!$D:$D,'Modelling New'!$W:$W),"")</f>
        <v>9.1834188464722688E-2</v>
      </c>
      <c r="AG315" s="124">
        <f>IFERROR(_xlfn.XLOOKUP($D315,'Modelling New'!$D:$D,'Modelling New'!$AE:$AE),"")</f>
        <v>0.96029999999999993</v>
      </c>
      <c r="AH315" s="124">
        <f>IFERROR(_xlfn.XLOOKUP($D315,'Modelling New'!$D:$D,'Modelling New'!$AF:$AF),"")</f>
        <v>0.995</v>
      </c>
      <c r="AI315" s="105" t="str">
        <f>IFERROR(_xlfn.XLOOKUP($A315,Input_Raw!$A:$A,Input_Raw!$DE:$DE),"")</f>
        <v/>
      </c>
      <c r="AJ315" s="105"/>
      <c r="AK315" s="105"/>
      <c r="AL315" s="105"/>
      <c r="AM315" s="105"/>
      <c r="AN315" s="126" t="str">
        <f>IFERROR(_xlfn.XLOOKUP($A315,Input_Raw!$A:$A,Input_Raw!$DB:$DB),"")</f>
        <v/>
      </c>
      <c r="AO315" s="124" t="str">
        <f>IFERROR((_xlfn.XLOOKUP($A315,'WTG Reactive Power'!$A:$A,'WTG Reactive Power'!$AR:$AR))/X315/1000,"")</f>
        <v/>
      </c>
      <c r="AP315" s="124">
        <f>IFERROR(_xlfn.XLOOKUP($D315,'Modelling New'!$D:$D,'Modelling New'!$AK:$AK),"")</f>
        <v>0.05</v>
      </c>
      <c r="AQ315" s="124">
        <f>IFERROR(_xlfn.XLOOKUP($D315,'Modelling New'!$D:$D,'Modelling New'!$AL:$AL),"")</f>
        <v>0.05</v>
      </c>
      <c r="AR315">
        <f>IFERROR(_xlfn.XLOOKUP($D315,'Modelling New'!$D:$D,'Modelling New'!$N:$N),"")</f>
        <v>78</v>
      </c>
    </row>
    <row r="316" spans="1:44">
      <c r="A316" s="118">
        <f t="shared" si="32"/>
        <v>46059</v>
      </c>
      <c r="B316" s="107">
        <f>YEAR(Table13[[#This Row],[Date]])+IF(MONTH(Table13[[#This Row],[Date]])&gt;=4,1,0)</f>
        <v>2026</v>
      </c>
      <c r="C316" s="105">
        <f>YEAR(Table13[[#This Row],[Date]])</f>
        <v>2026</v>
      </c>
      <c r="D316" s="119">
        <f>Table13[[#This Row],[Date]]-DAY(Table13[[#This Row],[Date]])+1</f>
        <v>46054</v>
      </c>
      <c r="E316" s="105">
        <f t="shared" si="29"/>
        <v>28</v>
      </c>
      <c r="F316" s="108"/>
      <c r="G316" s="109"/>
      <c r="H316" s="109"/>
      <c r="I316" s="109"/>
      <c r="J316" s="109"/>
      <c r="K316" s="120"/>
      <c r="L316" s="109"/>
      <c r="M316" s="109" t="str">
        <f>IFERROR(_xlfn.XLOOKUP($A316,Input_Raw!$A:$A,Input_Raw!CG:CG),"")</f>
        <v/>
      </c>
      <c r="N316" s="109" t="str">
        <f>IFERROR(_xlfn.XLOOKUP($A316,Input_Raw!$A:$A,Input_Raw!CH:CH),"")</f>
        <v/>
      </c>
      <c r="O316" s="121" t="str">
        <f t="shared" si="30"/>
        <v/>
      </c>
      <c r="P316" s="121" t="str">
        <f>IFERROR(1-SUMIF(WTG_BD!$F:$F,$A316,WTG_BD!$AA:$AA)/($AA316+SUMIF(WTG_BD!$F:$F,$A316,WTG_BD!$AA:$AA)),"")</f>
        <v/>
      </c>
      <c r="Q316" s="122" t="str">
        <f>IFERROR(1-SUMIF(IGA_BD!$F:$F,$A316,IGA_BD!$V:$V)/($AA316+SUMIF(IGA_BD!$F:$F,$A316,IGA_BD!$V:$V)),"")</f>
        <v/>
      </c>
      <c r="R316" s="127" t="str">
        <f>IFERROR(1-SUMIF(Grid_BD!$F:$F,$A316,Grid_BD!$X:$X)/($AA316+SUMIF(Grid_BD!$F:$F,$A316,Grid_BD!$X:$X)),"")</f>
        <v/>
      </c>
      <c r="S316" s="105"/>
      <c r="T316" s="122"/>
      <c r="U316" s="123"/>
      <c r="V316" s="105"/>
      <c r="W316" s="124" t="str">
        <f>IFERROR(Table13[[#This Row],[Mtr_Net_Exp (KWh)]]/(24*AR316*1000),"")</f>
        <v/>
      </c>
      <c r="X316" s="105" t="str">
        <f>IFERROR(_xlfn.XLOOKUP($A316,Input_Raw!$A:$A,Input_Raw!$CF:$CF),"")</f>
        <v/>
      </c>
      <c r="Y316" s="105" t="str">
        <f>IFERROR(_xlfn.XLOOKUP($A316,Input_Raw!$A:$A,Input_Raw!$CZ:$CZ),"")</f>
        <v/>
      </c>
      <c r="Z316" s="105" t="str">
        <f>IFERROR(_xlfn.XLOOKUP($A316,Input_Raw!$A:$A,Input_Raw!$DA:$DA),"")</f>
        <v/>
      </c>
      <c r="AA316" s="107" t="str">
        <f t="shared" si="31"/>
        <v/>
      </c>
      <c r="AB316" s="105" t="str">
        <f>IFERROR(_xlfn.XLOOKUP($A316,Input_Raw!$A:$A,Input_Raw!$DG:$DG),"")</f>
        <v/>
      </c>
      <c r="AC316" s="125">
        <f>IFERROR(_xlfn.XLOOKUP($D316,'Modelling New'!$D:$D,'Modelling New'!$J:$J),"")</f>
        <v>4.3</v>
      </c>
      <c r="AD316" s="107">
        <f>IFERROR(_xlfn.XLOOKUP($D316,'Modelling New'!$D:$D,'Modelling New'!$T:$T)*1000,"")</f>
        <v>171913.60080596086</v>
      </c>
      <c r="AE316" s="124"/>
      <c r="AF316" s="124">
        <f>IFERROR(_xlfn.XLOOKUP($D316,'Modelling New'!$D:$D,'Modelling New'!$W:$W),"")</f>
        <v>9.1834188464722688E-2</v>
      </c>
      <c r="AG316" s="124">
        <f>IFERROR(_xlfn.XLOOKUP($D316,'Modelling New'!$D:$D,'Modelling New'!$AE:$AE),"")</f>
        <v>0.96029999999999993</v>
      </c>
      <c r="AH316" s="124">
        <f>IFERROR(_xlfn.XLOOKUP($D316,'Modelling New'!$D:$D,'Modelling New'!$AF:$AF),"")</f>
        <v>0.995</v>
      </c>
      <c r="AI316" s="105" t="str">
        <f>IFERROR(_xlfn.XLOOKUP($A316,Input_Raw!$A:$A,Input_Raw!$DE:$DE),"")</f>
        <v/>
      </c>
      <c r="AJ316" s="105"/>
      <c r="AK316" s="105"/>
      <c r="AL316" s="105"/>
      <c r="AM316" s="105"/>
      <c r="AN316" s="126" t="str">
        <f>IFERROR(_xlfn.XLOOKUP($A316,Input_Raw!$A:$A,Input_Raw!$DB:$DB),"")</f>
        <v/>
      </c>
      <c r="AO316" s="124" t="str">
        <f>IFERROR((_xlfn.XLOOKUP($A316,'WTG Reactive Power'!$A:$A,'WTG Reactive Power'!$AR:$AR))/X316/1000,"")</f>
        <v/>
      </c>
      <c r="AP316" s="124">
        <f>IFERROR(_xlfn.XLOOKUP($D316,'Modelling New'!$D:$D,'Modelling New'!$AK:$AK),"")</f>
        <v>0.05</v>
      </c>
      <c r="AQ316" s="124">
        <f>IFERROR(_xlfn.XLOOKUP($D316,'Modelling New'!$D:$D,'Modelling New'!$AL:$AL),"")</f>
        <v>0.05</v>
      </c>
      <c r="AR316">
        <f>IFERROR(_xlfn.XLOOKUP($D316,'Modelling New'!$D:$D,'Modelling New'!$N:$N),"")</f>
        <v>78</v>
      </c>
    </row>
    <row r="317" spans="1:44">
      <c r="A317" s="118">
        <f t="shared" si="32"/>
        <v>46060</v>
      </c>
      <c r="B317" s="107">
        <f>YEAR(Table13[[#This Row],[Date]])+IF(MONTH(Table13[[#This Row],[Date]])&gt;=4,1,0)</f>
        <v>2026</v>
      </c>
      <c r="C317" s="105">
        <f>YEAR(Table13[[#This Row],[Date]])</f>
        <v>2026</v>
      </c>
      <c r="D317" s="119">
        <f>Table13[[#This Row],[Date]]-DAY(Table13[[#This Row],[Date]])+1</f>
        <v>46054</v>
      </c>
      <c r="E317" s="105">
        <f t="shared" si="29"/>
        <v>28</v>
      </c>
      <c r="F317" s="108"/>
      <c r="G317" s="109"/>
      <c r="H317" s="109"/>
      <c r="I317" s="109"/>
      <c r="J317" s="109"/>
      <c r="K317" s="120"/>
      <c r="L317" s="109"/>
      <c r="M317" s="109" t="str">
        <f>IFERROR(_xlfn.XLOOKUP($A317,Input_Raw!$A:$A,Input_Raw!CG:CG),"")</f>
        <v/>
      </c>
      <c r="N317" s="109" t="str">
        <f>IFERROR(_xlfn.XLOOKUP($A317,Input_Raw!$A:$A,Input_Raw!CH:CH),"")</f>
        <v/>
      </c>
      <c r="O317" s="121" t="str">
        <f t="shared" si="30"/>
        <v/>
      </c>
      <c r="P317" s="121" t="str">
        <f>IFERROR(1-SUMIF(WTG_BD!$F:$F,$A317,WTG_BD!$AA:$AA)/($AA317+SUMIF(WTG_BD!$F:$F,$A317,WTG_BD!$AA:$AA)),"")</f>
        <v/>
      </c>
      <c r="Q317" s="122" t="str">
        <f>IFERROR(1-SUMIF(IGA_BD!$F:$F,$A317,IGA_BD!$V:$V)/($AA317+SUMIF(IGA_BD!$F:$F,$A317,IGA_BD!$V:$V)),"")</f>
        <v/>
      </c>
      <c r="R317" s="127" t="str">
        <f>IFERROR(1-SUMIF(Grid_BD!$F:$F,$A317,Grid_BD!$X:$X)/($AA317+SUMIF(Grid_BD!$F:$F,$A317,Grid_BD!$X:$X)),"")</f>
        <v/>
      </c>
      <c r="S317" s="105"/>
      <c r="T317" s="122"/>
      <c r="U317" s="123"/>
      <c r="V317" s="105"/>
      <c r="W317" s="124" t="str">
        <f>IFERROR(Table13[[#This Row],[Mtr_Net_Exp (KWh)]]/(24*AR317*1000),"")</f>
        <v/>
      </c>
      <c r="X317" s="105" t="str">
        <f>IFERROR(_xlfn.XLOOKUP($A317,Input_Raw!$A:$A,Input_Raw!$CF:$CF),"")</f>
        <v/>
      </c>
      <c r="Y317" s="105" t="str">
        <f>IFERROR(_xlfn.XLOOKUP($A317,Input_Raw!$A:$A,Input_Raw!$CZ:$CZ),"")</f>
        <v/>
      </c>
      <c r="Z317" s="105" t="str">
        <f>IFERROR(_xlfn.XLOOKUP($A317,Input_Raw!$A:$A,Input_Raw!$DA:$DA),"")</f>
        <v/>
      </c>
      <c r="AA317" s="107" t="str">
        <f t="shared" si="31"/>
        <v/>
      </c>
      <c r="AB317" s="105" t="str">
        <f>IFERROR(_xlfn.XLOOKUP($A317,Input_Raw!$A:$A,Input_Raw!$DG:$DG),"")</f>
        <v/>
      </c>
      <c r="AC317" s="125">
        <f>IFERROR(_xlfn.XLOOKUP($D317,'Modelling New'!$D:$D,'Modelling New'!$J:$J),"")</f>
        <v>4.3</v>
      </c>
      <c r="AD317" s="107">
        <f>IFERROR(_xlfn.XLOOKUP($D317,'Modelling New'!$D:$D,'Modelling New'!$T:$T)*1000,"")</f>
        <v>171913.60080596086</v>
      </c>
      <c r="AE317" s="124"/>
      <c r="AF317" s="124">
        <f>IFERROR(_xlfn.XLOOKUP($D317,'Modelling New'!$D:$D,'Modelling New'!$W:$W),"")</f>
        <v>9.1834188464722688E-2</v>
      </c>
      <c r="AG317" s="124">
        <f>IFERROR(_xlfn.XLOOKUP($D317,'Modelling New'!$D:$D,'Modelling New'!$AE:$AE),"")</f>
        <v>0.96029999999999993</v>
      </c>
      <c r="AH317" s="124">
        <f>IFERROR(_xlfn.XLOOKUP($D317,'Modelling New'!$D:$D,'Modelling New'!$AF:$AF),"")</f>
        <v>0.995</v>
      </c>
      <c r="AI317" s="105" t="str">
        <f>IFERROR(_xlfn.XLOOKUP($A317,Input_Raw!$A:$A,Input_Raw!$DE:$DE),"")</f>
        <v/>
      </c>
      <c r="AJ317" s="105"/>
      <c r="AK317" s="105"/>
      <c r="AL317" s="105"/>
      <c r="AM317" s="105"/>
      <c r="AN317" s="126" t="str">
        <f>IFERROR(_xlfn.XLOOKUP($A317,Input_Raw!$A:$A,Input_Raw!$DB:$DB),"")</f>
        <v/>
      </c>
      <c r="AO317" s="124" t="str">
        <f>IFERROR((_xlfn.XLOOKUP($A317,'WTG Reactive Power'!$A:$A,'WTG Reactive Power'!$AR:$AR))/X317/1000,"")</f>
        <v/>
      </c>
      <c r="AP317" s="124">
        <f>IFERROR(_xlfn.XLOOKUP($D317,'Modelling New'!$D:$D,'Modelling New'!$AK:$AK),"")</f>
        <v>0.05</v>
      </c>
      <c r="AQ317" s="124">
        <f>IFERROR(_xlfn.XLOOKUP($D317,'Modelling New'!$D:$D,'Modelling New'!$AL:$AL),"")</f>
        <v>0.05</v>
      </c>
      <c r="AR317">
        <f>IFERROR(_xlfn.XLOOKUP($D317,'Modelling New'!$D:$D,'Modelling New'!$N:$N),"")</f>
        <v>78</v>
      </c>
    </row>
    <row r="318" spans="1:44">
      <c r="A318" s="118">
        <f t="shared" si="32"/>
        <v>46061</v>
      </c>
      <c r="B318" s="107">
        <f>YEAR(Table13[[#This Row],[Date]])+IF(MONTH(Table13[[#This Row],[Date]])&gt;=4,1,0)</f>
        <v>2026</v>
      </c>
      <c r="C318" s="105">
        <f>YEAR(Table13[[#This Row],[Date]])</f>
        <v>2026</v>
      </c>
      <c r="D318" s="119">
        <f>Table13[[#This Row],[Date]]-DAY(Table13[[#This Row],[Date]])+1</f>
        <v>46054</v>
      </c>
      <c r="E318" s="105">
        <f t="shared" si="29"/>
        <v>28</v>
      </c>
      <c r="F318" s="108"/>
      <c r="G318" s="109"/>
      <c r="H318" s="109"/>
      <c r="I318" s="109"/>
      <c r="J318" s="109"/>
      <c r="K318" s="120"/>
      <c r="L318" s="109"/>
      <c r="M318" s="109" t="str">
        <f>IFERROR(_xlfn.XLOOKUP($A318,Input_Raw!$A:$A,Input_Raw!CG:CG),"")</f>
        <v/>
      </c>
      <c r="N318" s="109" t="str">
        <f>IFERROR(_xlfn.XLOOKUP($A318,Input_Raw!$A:$A,Input_Raw!CH:CH),"")</f>
        <v/>
      </c>
      <c r="O318" s="121" t="str">
        <f t="shared" si="30"/>
        <v/>
      </c>
      <c r="P318" s="121" t="str">
        <f>IFERROR(1-SUMIF(WTG_BD!$F:$F,$A318,WTG_BD!$AA:$AA)/($AA318+SUMIF(WTG_BD!$F:$F,$A318,WTG_BD!$AA:$AA)),"")</f>
        <v/>
      </c>
      <c r="Q318" s="122" t="str">
        <f>IFERROR(1-SUMIF(IGA_BD!$F:$F,$A318,IGA_BD!$V:$V)/($AA318+SUMIF(IGA_BD!$F:$F,$A318,IGA_BD!$V:$V)),"")</f>
        <v/>
      </c>
      <c r="R318" s="127" t="str">
        <f>IFERROR(1-SUMIF(Grid_BD!$F:$F,$A318,Grid_BD!$X:$X)/($AA318+SUMIF(Grid_BD!$F:$F,$A318,Grid_BD!$X:$X)),"")</f>
        <v/>
      </c>
      <c r="S318" s="105"/>
      <c r="T318" s="122"/>
      <c r="U318" s="123"/>
      <c r="V318" s="105"/>
      <c r="W318" s="124" t="str">
        <f>IFERROR(Table13[[#This Row],[Mtr_Net_Exp (KWh)]]/(24*AR318*1000),"")</f>
        <v/>
      </c>
      <c r="X318" s="105" t="str">
        <f>IFERROR(_xlfn.XLOOKUP($A318,Input_Raw!$A:$A,Input_Raw!$CF:$CF),"")</f>
        <v/>
      </c>
      <c r="Y318" s="105" t="str">
        <f>IFERROR(_xlfn.XLOOKUP($A318,Input_Raw!$A:$A,Input_Raw!$CZ:$CZ),"")</f>
        <v/>
      </c>
      <c r="Z318" s="105" t="str">
        <f>IFERROR(_xlfn.XLOOKUP($A318,Input_Raw!$A:$A,Input_Raw!$DA:$DA),"")</f>
        <v/>
      </c>
      <c r="AA318" s="107" t="str">
        <f t="shared" si="31"/>
        <v/>
      </c>
      <c r="AB318" s="105" t="str">
        <f>IFERROR(_xlfn.XLOOKUP($A318,Input_Raw!$A:$A,Input_Raw!$DG:$DG),"")</f>
        <v/>
      </c>
      <c r="AC318" s="125">
        <f>IFERROR(_xlfn.XLOOKUP($D318,'Modelling New'!$D:$D,'Modelling New'!$J:$J),"")</f>
        <v>4.3</v>
      </c>
      <c r="AD318" s="107">
        <f>IFERROR(_xlfn.XLOOKUP($D318,'Modelling New'!$D:$D,'Modelling New'!$T:$T)*1000,"")</f>
        <v>171913.60080596086</v>
      </c>
      <c r="AE318" s="124"/>
      <c r="AF318" s="124">
        <f>IFERROR(_xlfn.XLOOKUP($D318,'Modelling New'!$D:$D,'Modelling New'!$W:$W),"")</f>
        <v>9.1834188464722688E-2</v>
      </c>
      <c r="AG318" s="124">
        <f>IFERROR(_xlfn.XLOOKUP($D318,'Modelling New'!$D:$D,'Modelling New'!$AE:$AE),"")</f>
        <v>0.96029999999999993</v>
      </c>
      <c r="AH318" s="124">
        <f>IFERROR(_xlfn.XLOOKUP($D318,'Modelling New'!$D:$D,'Modelling New'!$AF:$AF),"")</f>
        <v>0.995</v>
      </c>
      <c r="AI318" s="105" t="str">
        <f>IFERROR(_xlfn.XLOOKUP($A318,Input_Raw!$A:$A,Input_Raw!$DE:$DE),"")</f>
        <v/>
      </c>
      <c r="AJ318" s="105"/>
      <c r="AK318" s="105"/>
      <c r="AL318" s="105"/>
      <c r="AM318" s="105"/>
      <c r="AN318" s="126" t="str">
        <f>IFERROR(_xlfn.XLOOKUP($A318,Input_Raw!$A:$A,Input_Raw!$DB:$DB),"")</f>
        <v/>
      </c>
      <c r="AO318" s="124" t="str">
        <f>IFERROR((_xlfn.XLOOKUP($A318,'WTG Reactive Power'!$A:$A,'WTG Reactive Power'!$AR:$AR))/X318/1000,"")</f>
        <v/>
      </c>
      <c r="AP318" s="124">
        <f>IFERROR(_xlfn.XLOOKUP($D318,'Modelling New'!$D:$D,'Modelling New'!$AK:$AK),"")</f>
        <v>0.05</v>
      </c>
      <c r="AQ318" s="124">
        <f>IFERROR(_xlfn.XLOOKUP($D318,'Modelling New'!$D:$D,'Modelling New'!$AL:$AL),"")</f>
        <v>0.05</v>
      </c>
      <c r="AR318">
        <f>IFERROR(_xlfn.XLOOKUP($D318,'Modelling New'!$D:$D,'Modelling New'!$N:$N),"")</f>
        <v>78</v>
      </c>
    </row>
    <row r="319" spans="1:44">
      <c r="A319" s="118">
        <f t="shared" si="32"/>
        <v>46062</v>
      </c>
      <c r="B319" s="107">
        <f>YEAR(Table13[[#This Row],[Date]])+IF(MONTH(Table13[[#This Row],[Date]])&gt;=4,1,0)</f>
        <v>2026</v>
      </c>
      <c r="C319" s="105">
        <f>YEAR(Table13[[#This Row],[Date]])</f>
        <v>2026</v>
      </c>
      <c r="D319" s="119">
        <f>Table13[[#This Row],[Date]]-DAY(Table13[[#This Row],[Date]])+1</f>
        <v>46054</v>
      </c>
      <c r="E319" s="105">
        <f t="shared" si="29"/>
        <v>28</v>
      </c>
      <c r="F319" s="108"/>
      <c r="G319" s="109"/>
      <c r="H319" s="109"/>
      <c r="I319" s="109"/>
      <c r="J319" s="109"/>
      <c r="K319" s="120"/>
      <c r="L319" s="109"/>
      <c r="M319" s="109" t="str">
        <f>IFERROR(_xlfn.XLOOKUP($A319,Input_Raw!$A:$A,Input_Raw!CG:CG),"")</f>
        <v/>
      </c>
      <c r="N319" s="109" t="str">
        <f>IFERROR(_xlfn.XLOOKUP($A319,Input_Raw!$A:$A,Input_Raw!CH:CH),"")</f>
        <v/>
      </c>
      <c r="O319" s="121" t="str">
        <f t="shared" si="30"/>
        <v/>
      </c>
      <c r="P319" s="121" t="str">
        <f>IFERROR(1-SUMIF(WTG_BD!$F:$F,$A319,WTG_BD!$AA:$AA)/($AA319+SUMIF(WTG_BD!$F:$F,$A319,WTG_BD!$AA:$AA)),"")</f>
        <v/>
      </c>
      <c r="Q319" s="122" t="str">
        <f>IFERROR(1-SUMIF(IGA_BD!$F:$F,$A319,IGA_BD!$V:$V)/($AA319+SUMIF(IGA_BD!$F:$F,$A319,IGA_BD!$V:$V)),"")</f>
        <v/>
      </c>
      <c r="R319" s="127" t="str">
        <f>IFERROR(1-SUMIF(Grid_BD!$F:$F,$A319,Grid_BD!$X:$X)/($AA319+SUMIF(Grid_BD!$F:$F,$A319,Grid_BD!$X:$X)),"")</f>
        <v/>
      </c>
      <c r="S319" s="105"/>
      <c r="T319" s="122"/>
      <c r="U319" s="123"/>
      <c r="V319" s="105"/>
      <c r="W319" s="124" t="str">
        <f>IFERROR(Table13[[#This Row],[Mtr_Net_Exp (KWh)]]/(24*AR319*1000),"")</f>
        <v/>
      </c>
      <c r="X319" s="105" t="str">
        <f>IFERROR(_xlfn.XLOOKUP($A319,Input_Raw!$A:$A,Input_Raw!$CF:$CF),"")</f>
        <v/>
      </c>
      <c r="Y319" s="105" t="str">
        <f>IFERROR(_xlfn.XLOOKUP($A319,Input_Raw!$A:$A,Input_Raw!$CZ:$CZ),"")</f>
        <v/>
      </c>
      <c r="Z319" s="105" t="str">
        <f>IFERROR(_xlfn.XLOOKUP($A319,Input_Raw!$A:$A,Input_Raw!$DA:$DA),"")</f>
        <v/>
      </c>
      <c r="AA319" s="107" t="str">
        <f t="shared" si="31"/>
        <v/>
      </c>
      <c r="AB319" s="105" t="str">
        <f>IFERROR(_xlfn.XLOOKUP($A319,Input_Raw!$A:$A,Input_Raw!$DG:$DG),"")</f>
        <v/>
      </c>
      <c r="AC319" s="125">
        <f>IFERROR(_xlfn.XLOOKUP($D319,'Modelling New'!$D:$D,'Modelling New'!$J:$J),"")</f>
        <v>4.3</v>
      </c>
      <c r="AD319" s="107">
        <f>IFERROR(_xlfn.XLOOKUP($D319,'Modelling New'!$D:$D,'Modelling New'!$T:$T)*1000,"")</f>
        <v>171913.60080596086</v>
      </c>
      <c r="AE319" s="124"/>
      <c r="AF319" s="124">
        <f>IFERROR(_xlfn.XLOOKUP($D319,'Modelling New'!$D:$D,'Modelling New'!$W:$W),"")</f>
        <v>9.1834188464722688E-2</v>
      </c>
      <c r="AG319" s="124">
        <f>IFERROR(_xlfn.XLOOKUP($D319,'Modelling New'!$D:$D,'Modelling New'!$AE:$AE),"")</f>
        <v>0.96029999999999993</v>
      </c>
      <c r="AH319" s="124">
        <f>IFERROR(_xlfn.XLOOKUP($D319,'Modelling New'!$D:$D,'Modelling New'!$AF:$AF),"")</f>
        <v>0.995</v>
      </c>
      <c r="AI319" s="105" t="str">
        <f>IFERROR(_xlfn.XLOOKUP($A319,Input_Raw!$A:$A,Input_Raw!$DE:$DE),"")</f>
        <v/>
      </c>
      <c r="AJ319" s="105"/>
      <c r="AK319" s="105"/>
      <c r="AL319" s="105"/>
      <c r="AM319" s="105"/>
      <c r="AN319" s="126" t="str">
        <f>IFERROR(_xlfn.XLOOKUP($A319,Input_Raw!$A:$A,Input_Raw!$DB:$DB),"")</f>
        <v/>
      </c>
      <c r="AO319" s="124" t="str">
        <f>IFERROR((_xlfn.XLOOKUP($A319,'WTG Reactive Power'!$A:$A,'WTG Reactive Power'!$AR:$AR))/X319/1000,"")</f>
        <v/>
      </c>
      <c r="AP319" s="124">
        <f>IFERROR(_xlfn.XLOOKUP($D319,'Modelling New'!$D:$D,'Modelling New'!$AK:$AK),"")</f>
        <v>0.05</v>
      </c>
      <c r="AQ319" s="124">
        <f>IFERROR(_xlfn.XLOOKUP($D319,'Modelling New'!$D:$D,'Modelling New'!$AL:$AL),"")</f>
        <v>0.05</v>
      </c>
      <c r="AR319">
        <f>IFERROR(_xlfn.XLOOKUP($D319,'Modelling New'!$D:$D,'Modelling New'!$N:$N),"")</f>
        <v>78</v>
      </c>
    </row>
    <row r="320" spans="1:44">
      <c r="A320" s="118">
        <f t="shared" si="32"/>
        <v>46063</v>
      </c>
      <c r="B320" s="107">
        <f>YEAR(Table13[[#This Row],[Date]])+IF(MONTH(Table13[[#This Row],[Date]])&gt;=4,1,0)</f>
        <v>2026</v>
      </c>
      <c r="C320" s="105">
        <f>YEAR(Table13[[#This Row],[Date]])</f>
        <v>2026</v>
      </c>
      <c r="D320" s="119">
        <f>Table13[[#This Row],[Date]]-DAY(Table13[[#This Row],[Date]])+1</f>
        <v>46054</v>
      </c>
      <c r="E320" s="105">
        <f t="shared" si="29"/>
        <v>28</v>
      </c>
      <c r="F320" s="108"/>
      <c r="G320" s="109"/>
      <c r="H320" s="109"/>
      <c r="I320" s="109"/>
      <c r="J320" s="109"/>
      <c r="K320" s="120"/>
      <c r="L320" s="109"/>
      <c r="M320" s="109" t="str">
        <f>IFERROR(_xlfn.XLOOKUP($A320,Input_Raw!$A:$A,Input_Raw!CG:CG),"")</f>
        <v/>
      </c>
      <c r="N320" s="109" t="str">
        <f>IFERROR(_xlfn.XLOOKUP($A320,Input_Raw!$A:$A,Input_Raw!CH:CH),"")</f>
        <v/>
      </c>
      <c r="O320" s="121" t="str">
        <f t="shared" si="30"/>
        <v/>
      </c>
      <c r="P320" s="121" t="str">
        <f>IFERROR(1-SUMIF(WTG_BD!$F:$F,$A320,WTG_BD!$AA:$AA)/($AA320+SUMIF(WTG_BD!$F:$F,$A320,WTG_BD!$AA:$AA)),"")</f>
        <v/>
      </c>
      <c r="Q320" s="122" t="str">
        <f>IFERROR(1-SUMIF(IGA_BD!$F:$F,$A320,IGA_BD!$V:$V)/($AA320+SUMIF(IGA_BD!$F:$F,$A320,IGA_BD!$V:$V)),"")</f>
        <v/>
      </c>
      <c r="R320" s="127" t="str">
        <f>IFERROR(1-SUMIF(Grid_BD!$F:$F,$A320,Grid_BD!$X:$X)/($AA320+SUMIF(Grid_BD!$F:$F,$A320,Grid_BD!$X:$X)),"")</f>
        <v/>
      </c>
      <c r="S320" s="105"/>
      <c r="T320" s="122"/>
      <c r="U320" s="123"/>
      <c r="V320" s="105"/>
      <c r="W320" s="124" t="str">
        <f>IFERROR(Table13[[#This Row],[Mtr_Net_Exp (KWh)]]/(24*AR320*1000),"")</f>
        <v/>
      </c>
      <c r="X320" s="105" t="str">
        <f>IFERROR(_xlfn.XLOOKUP($A320,Input_Raw!$A:$A,Input_Raw!$CF:$CF),"")</f>
        <v/>
      </c>
      <c r="Y320" s="105" t="str">
        <f>IFERROR(_xlfn.XLOOKUP($A320,Input_Raw!$A:$A,Input_Raw!$CZ:$CZ),"")</f>
        <v/>
      </c>
      <c r="Z320" s="105" t="str">
        <f>IFERROR(_xlfn.XLOOKUP($A320,Input_Raw!$A:$A,Input_Raw!$DA:$DA),"")</f>
        <v/>
      </c>
      <c r="AA320" s="107" t="str">
        <f t="shared" si="31"/>
        <v/>
      </c>
      <c r="AB320" s="105" t="str">
        <f>IFERROR(_xlfn.XLOOKUP($A320,Input_Raw!$A:$A,Input_Raw!$DG:$DG),"")</f>
        <v/>
      </c>
      <c r="AC320" s="125">
        <f>IFERROR(_xlfn.XLOOKUP($D320,'Modelling New'!$D:$D,'Modelling New'!$J:$J),"")</f>
        <v>4.3</v>
      </c>
      <c r="AD320" s="107">
        <f>IFERROR(_xlfn.XLOOKUP($D320,'Modelling New'!$D:$D,'Modelling New'!$T:$T)*1000,"")</f>
        <v>171913.60080596086</v>
      </c>
      <c r="AE320" s="124"/>
      <c r="AF320" s="124">
        <f>IFERROR(_xlfn.XLOOKUP($D320,'Modelling New'!$D:$D,'Modelling New'!$W:$W),"")</f>
        <v>9.1834188464722688E-2</v>
      </c>
      <c r="AG320" s="124">
        <f>IFERROR(_xlfn.XLOOKUP($D320,'Modelling New'!$D:$D,'Modelling New'!$AE:$AE),"")</f>
        <v>0.96029999999999993</v>
      </c>
      <c r="AH320" s="124">
        <f>IFERROR(_xlfn.XLOOKUP($D320,'Modelling New'!$D:$D,'Modelling New'!$AF:$AF),"")</f>
        <v>0.995</v>
      </c>
      <c r="AI320" s="105" t="str">
        <f>IFERROR(_xlfn.XLOOKUP($A320,Input_Raw!$A:$A,Input_Raw!$DE:$DE),"")</f>
        <v/>
      </c>
      <c r="AJ320" s="105"/>
      <c r="AK320" s="105"/>
      <c r="AL320" s="105"/>
      <c r="AM320" s="105"/>
      <c r="AN320" s="126" t="str">
        <f>IFERROR(_xlfn.XLOOKUP($A320,Input_Raw!$A:$A,Input_Raw!$DB:$DB),"")</f>
        <v/>
      </c>
      <c r="AO320" s="124" t="str">
        <f>IFERROR((_xlfn.XLOOKUP($A320,'WTG Reactive Power'!$A:$A,'WTG Reactive Power'!$AR:$AR))/X320/1000,"")</f>
        <v/>
      </c>
      <c r="AP320" s="124">
        <f>IFERROR(_xlfn.XLOOKUP($D320,'Modelling New'!$D:$D,'Modelling New'!$AK:$AK),"")</f>
        <v>0.05</v>
      </c>
      <c r="AQ320" s="124">
        <f>IFERROR(_xlfn.XLOOKUP($D320,'Modelling New'!$D:$D,'Modelling New'!$AL:$AL),"")</f>
        <v>0.05</v>
      </c>
      <c r="AR320">
        <f>IFERROR(_xlfn.XLOOKUP($D320,'Modelling New'!$D:$D,'Modelling New'!$N:$N),"")</f>
        <v>78</v>
      </c>
    </row>
    <row r="321" spans="1:44">
      <c r="A321" s="118">
        <f t="shared" si="32"/>
        <v>46064</v>
      </c>
      <c r="B321" s="107">
        <f>YEAR(Table13[[#This Row],[Date]])+IF(MONTH(Table13[[#This Row],[Date]])&gt;=4,1,0)</f>
        <v>2026</v>
      </c>
      <c r="C321" s="105">
        <f>YEAR(Table13[[#This Row],[Date]])</f>
        <v>2026</v>
      </c>
      <c r="D321" s="119">
        <f>Table13[[#This Row],[Date]]-DAY(Table13[[#This Row],[Date]])+1</f>
        <v>46054</v>
      </c>
      <c r="E321" s="105">
        <f t="shared" si="29"/>
        <v>28</v>
      </c>
      <c r="F321" s="108"/>
      <c r="G321" s="109"/>
      <c r="H321" s="109"/>
      <c r="I321" s="109"/>
      <c r="J321" s="109"/>
      <c r="K321" s="120"/>
      <c r="L321" s="109"/>
      <c r="M321" s="109" t="str">
        <f>IFERROR(_xlfn.XLOOKUP($A321,Input_Raw!$A:$A,Input_Raw!CG:CG),"")</f>
        <v/>
      </c>
      <c r="N321" s="109" t="str">
        <f>IFERROR(_xlfn.XLOOKUP($A321,Input_Raw!$A:$A,Input_Raw!CH:CH),"")</f>
        <v/>
      </c>
      <c r="O321" s="121" t="str">
        <f t="shared" si="30"/>
        <v/>
      </c>
      <c r="P321" s="121" t="str">
        <f>IFERROR(1-SUMIF(WTG_BD!$F:$F,$A321,WTG_BD!$AA:$AA)/($AA321+SUMIF(WTG_BD!$F:$F,$A321,WTG_BD!$AA:$AA)),"")</f>
        <v/>
      </c>
      <c r="Q321" s="122" t="str">
        <f>IFERROR(1-SUMIF(IGA_BD!$F:$F,$A321,IGA_BD!$V:$V)/($AA321+SUMIF(IGA_BD!$F:$F,$A321,IGA_BD!$V:$V)),"")</f>
        <v/>
      </c>
      <c r="R321" s="127" t="str">
        <f>IFERROR(1-SUMIF(Grid_BD!$F:$F,$A321,Grid_BD!$X:$X)/($AA321+SUMIF(Grid_BD!$F:$F,$A321,Grid_BD!$X:$X)),"")</f>
        <v/>
      </c>
      <c r="S321" s="105"/>
      <c r="T321" s="122"/>
      <c r="U321" s="123"/>
      <c r="V321" s="105"/>
      <c r="W321" s="124" t="str">
        <f>IFERROR(Table13[[#This Row],[Mtr_Net_Exp (KWh)]]/(24*AR321*1000),"")</f>
        <v/>
      </c>
      <c r="X321" s="105" t="str">
        <f>IFERROR(_xlfn.XLOOKUP($A321,Input_Raw!$A:$A,Input_Raw!$CF:$CF),"")</f>
        <v/>
      </c>
      <c r="Y321" s="105" t="str">
        <f>IFERROR(_xlfn.XLOOKUP($A321,Input_Raw!$A:$A,Input_Raw!$CZ:$CZ),"")</f>
        <v/>
      </c>
      <c r="Z321" s="105" t="str">
        <f>IFERROR(_xlfn.XLOOKUP($A321,Input_Raw!$A:$A,Input_Raw!$DA:$DA),"")</f>
        <v/>
      </c>
      <c r="AA321" s="107" t="str">
        <f t="shared" si="31"/>
        <v/>
      </c>
      <c r="AB321" s="105" t="str">
        <f>IFERROR(_xlfn.XLOOKUP($A321,Input_Raw!$A:$A,Input_Raw!$DG:$DG),"")</f>
        <v/>
      </c>
      <c r="AC321" s="125">
        <f>IFERROR(_xlfn.XLOOKUP($D321,'Modelling New'!$D:$D,'Modelling New'!$J:$J),"")</f>
        <v>4.3</v>
      </c>
      <c r="AD321" s="107">
        <f>IFERROR(_xlfn.XLOOKUP($D321,'Modelling New'!$D:$D,'Modelling New'!$T:$T)*1000,"")</f>
        <v>171913.60080596086</v>
      </c>
      <c r="AE321" s="124"/>
      <c r="AF321" s="124">
        <f>IFERROR(_xlfn.XLOOKUP($D321,'Modelling New'!$D:$D,'Modelling New'!$W:$W),"")</f>
        <v>9.1834188464722688E-2</v>
      </c>
      <c r="AG321" s="124">
        <f>IFERROR(_xlfn.XLOOKUP($D321,'Modelling New'!$D:$D,'Modelling New'!$AE:$AE),"")</f>
        <v>0.96029999999999993</v>
      </c>
      <c r="AH321" s="124">
        <f>IFERROR(_xlfn.XLOOKUP($D321,'Modelling New'!$D:$D,'Modelling New'!$AF:$AF),"")</f>
        <v>0.995</v>
      </c>
      <c r="AI321" s="105" t="str">
        <f>IFERROR(_xlfn.XLOOKUP($A321,Input_Raw!$A:$A,Input_Raw!$DE:$DE),"")</f>
        <v/>
      </c>
      <c r="AJ321" s="105"/>
      <c r="AK321" s="105"/>
      <c r="AL321" s="105"/>
      <c r="AM321" s="105"/>
      <c r="AN321" s="126" t="str">
        <f>IFERROR(_xlfn.XLOOKUP($A321,Input_Raw!$A:$A,Input_Raw!$DB:$DB),"")</f>
        <v/>
      </c>
      <c r="AO321" s="124" t="str">
        <f>IFERROR((_xlfn.XLOOKUP($A321,'WTG Reactive Power'!$A:$A,'WTG Reactive Power'!$AR:$AR))/X321/1000,"")</f>
        <v/>
      </c>
      <c r="AP321" s="124">
        <f>IFERROR(_xlfn.XLOOKUP($D321,'Modelling New'!$D:$D,'Modelling New'!$AK:$AK),"")</f>
        <v>0.05</v>
      </c>
      <c r="AQ321" s="124">
        <f>IFERROR(_xlfn.XLOOKUP($D321,'Modelling New'!$D:$D,'Modelling New'!$AL:$AL),"")</f>
        <v>0.05</v>
      </c>
      <c r="AR321">
        <f>IFERROR(_xlfn.XLOOKUP($D321,'Modelling New'!$D:$D,'Modelling New'!$N:$N),"")</f>
        <v>78</v>
      </c>
    </row>
    <row r="322" spans="1:44">
      <c r="A322" s="118">
        <f t="shared" si="32"/>
        <v>46065</v>
      </c>
      <c r="B322" s="107">
        <f>YEAR(Table13[[#This Row],[Date]])+IF(MONTH(Table13[[#This Row],[Date]])&gt;=4,1,0)</f>
        <v>2026</v>
      </c>
      <c r="C322" s="105">
        <f>YEAR(Table13[[#This Row],[Date]])</f>
        <v>2026</v>
      </c>
      <c r="D322" s="119">
        <f>Table13[[#This Row],[Date]]-DAY(Table13[[#This Row],[Date]])+1</f>
        <v>46054</v>
      </c>
      <c r="E322" s="105">
        <f t="shared" si="29"/>
        <v>28</v>
      </c>
      <c r="F322" s="108"/>
      <c r="G322" s="109"/>
      <c r="H322" s="109"/>
      <c r="I322" s="109"/>
      <c r="J322" s="109"/>
      <c r="K322" s="120"/>
      <c r="L322" s="109"/>
      <c r="M322" s="109" t="str">
        <f>IFERROR(_xlfn.XLOOKUP($A322,Input_Raw!$A:$A,Input_Raw!CG:CG),"")</f>
        <v/>
      </c>
      <c r="N322" s="109" t="str">
        <f>IFERROR(_xlfn.XLOOKUP($A322,Input_Raw!$A:$A,Input_Raw!CH:CH),"")</f>
        <v/>
      </c>
      <c r="O322" s="121" t="str">
        <f t="shared" si="30"/>
        <v/>
      </c>
      <c r="P322" s="121" t="str">
        <f>IFERROR(1-SUMIF(WTG_BD!$F:$F,$A322,WTG_BD!$AA:$AA)/($AA322+SUMIF(WTG_BD!$F:$F,$A322,WTG_BD!$AA:$AA)),"")</f>
        <v/>
      </c>
      <c r="Q322" s="122" t="str">
        <f>IFERROR(1-SUMIF(IGA_BD!$F:$F,$A322,IGA_BD!$V:$V)/($AA322+SUMIF(IGA_BD!$F:$F,$A322,IGA_BD!$V:$V)),"")</f>
        <v/>
      </c>
      <c r="R322" s="127" t="str">
        <f>IFERROR(1-SUMIF(Grid_BD!$F:$F,$A322,Grid_BD!$X:$X)/($AA322+SUMIF(Grid_BD!$F:$F,$A322,Grid_BD!$X:$X)),"")</f>
        <v/>
      </c>
      <c r="S322" s="105"/>
      <c r="T322" s="122"/>
      <c r="U322" s="123"/>
      <c r="V322" s="105"/>
      <c r="W322" s="124" t="str">
        <f>IFERROR(Table13[[#This Row],[Mtr_Net_Exp (KWh)]]/(24*AR322*1000),"")</f>
        <v/>
      </c>
      <c r="X322" s="105" t="str">
        <f>IFERROR(_xlfn.XLOOKUP($A322,Input_Raw!$A:$A,Input_Raw!$CF:$CF),"")</f>
        <v/>
      </c>
      <c r="Y322" s="105" t="str">
        <f>IFERROR(_xlfn.XLOOKUP($A322,Input_Raw!$A:$A,Input_Raw!$CZ:$CZ),"")</f>
        <v/>
      </c>
      <c r="Z322" s="105" t="str">
        <f>IFERROR(_xlfn.XLOOKUP($A322,Input_Raw!$A:$A,Input_Raw!$DA:$DA),"")</f>
        <v/>
      </c>
      <c r="AA322" s="107" t="str">
        <f t="shared" si="31"/>
        <v/>
      </c>
      <c r="AB322" s="105" t="str">
        <f>IFERROR(_xlfn.XLOOKUP($A322,Input_Raw!$A:$A,Input_Raw!$DG:$DG),"")</f>
        <v/>
      </c>
      <c r="AC322" s="125">
        <f>IFERROR(_xlfn.XLOOKUP($D322,'Modelling New'!$D:$D,'Modelling New'!$J:$J),"")</f>
        <v>4.3</v>
      </c>
      <c r="AD322" s="107">
        <f>IFERROR(_xlfn.XLOOKUP($D322,'Modelling New'!$D:$D,'Modelling New'!$T:$T)*1000,"")</f>
        <v>171913.60080596086</v>
      </c>
      <c r="AE322" s="124"/>
      <c r="AF322" s="124">
        <f>IFERROR(_xlfn.XLOOKUP($D322,'Modelling New'!$D:$D,'Modelling New'!$W:$W),"")</f>
        <v>9.1834188464722688E-2</v>
      </c>
      <c r="AG322" s="124">
        <f>IFERROR(_xlfn.XLOOKUP($D322,'Modelling New'!$D:$D,'Modelling New'!$AE:$AE),"")</f>
        <v>0.96029999999999993</v>
      </c>
      <c r="AH322" s="124">
        <f>IFERROR(_xlfn.XLOOKUP($D322,'Modelling New'!$D:$D,'Modelling New'!$AF:$AF),"")</f>
        <v>0.995</v>
      </c>
      <c r="AI322" s="105" t="str">
        <f>IFERROR(_xlfn.XLOOKUP($A322,Input_Raw!$A:$A,Input_Raw!$DE:$DE),"")</f>
        <v/>
      </c>
      <c r="AJ322" s="105"/>
      <c r="AK322" s="105"/>
      <c r="AL322" s="105"/>
      <c r="AM322" s="105"/>
      <c r="AN322" s="126" t="str">
        <f>IFERROR(_xlfn.XLOOKUP($A322,Input_Raw!$A:$A,Input_Raw!$DB:$DB),"")</f>
        <v/>
      </c>
      <c r="AO322" s="124" t="str">
        <f>IFERROR((_xlfn.XLOOKUP($A322,'WTG Reactive Power'!$A:$A,'WTG Reactive Power'!$AR:$AR))/X322/1000,"")</f>
        <v/>
      </c>
      <c r="AP322" s="124">
        <f>IFERROR(_xlfn.XLOOKUP($D322,'Modelling New'!$D:$D,'Modelling New'!$AK:$AK),"")</f>
        <v>0.05</v>
      </c>
      <c r="AQ322" s="124">
        <f>IFERROR(_xlfn.XLOOKUP($D322,'Modelling New'!$D:$D,'Modelling New'!$AL:$AL),"")</f>
        <v>0.05</v>
      </c>
      <c r="AR322">
        <f>IFERROR(_xlfn.XLOOKUP($D322,'Modelling New'!$D:$D,'Modelling New'!$N:$N),"")</f>
        <v>78</v>
      </c>
    </row>
    <row r="323" spans="1:44">
      <c r="A323" s="118">
        <f t="shared" si="32"/>
        <v>46066</v>
      </c>
      <c r="B323" s="107">
        <f>YEAR(Table13[[#This Row],[Date]])+IF(MONTH(Table13[[#This Row],[Date]])&gt;=4,1,0)</f>
        <v>2026</v>
      </c>
      <c r="C323" s="105">
        <f>YEAR(Table13[[#This Row],[Date]])</f>
        <v>2026</v>
      </c>
      <c r="D323" s="119">
        <f>Table13[[#This Row],[Date]]-DAY(Table13[[#This Row],[Date]])+1</f>
        <v>46054</v>
      </c>
      <c r="E323" s="105">
        <f t="shared" si="29"/>
        <v>28</v>
      </c>
      <c r="F323" s="108"/>
      <c r="G323" s="109"/>
      <c r="H323" s="109"/>
      <c r="I323" s="109"/>
      <c r="J323" s="109"/>
      <c r="K323" s="120"/>
      <c r="L323" s="109"/>
      <c r="M323" s="109" t="str">
        <f>IFERROR(_xlfn.XLOOKUP($A323,Input_Raw!$A:$A,Input_Raw!CG:CG),"")</f>
        <v/>
      </c>
      <c r="N323" s="109" t="str">
        <f>IFERROR(_xlfn.XLOOKUP($A323,Input_Raw!$A:$A,Input_Raw!CH:CH),"")</f>
        <v/>
      </c>
      <c r="O323" s="121" t="str">
        <f t="shared" si="30"/>
        <v/>
      </c>
      <c r="P323" s="121" t="str">
        <f>IFERROR(1-SUMIF(WTG_BD!$F:$F,$A323,WTG_BD!$AA:$AA)/($AA323+SUMIF(WTG_BD!$F:$F,$A323,WTG_BD!$AA:$AA)),"")</f>
        <v/>
      </c>
      <c r="Q323" s="122" t="str">
        <f>IFERROR(1-SUMIF(IGA_BD!$F:$F,$A323,IGA_BD!$V:$V)/($AA323+SUMIF(IGA_BD!$F:$F,$A323,IGA_BD!$V:$V)),"")</f>
        <v/>
      </c>
      <c r="R323" s="127" t="str">
        <f>IFERROR(1-SUMIF(Grid_BD!$F:$F,$A323,Grid_BD!$X:$X)/($AA323+SUMIF(Grid_BD!$F:$F,$A323,Grid_BD!$X:$X)),"")</f>
        <v/>
      </c>
      <c r="S323" s="105"/>
      <c r="T323" s="122"/>
      <c r="U323" s="123"/>
      <c r="V323" s="105"/>
      <c r="W323" s="124" t="str">
        <f>IFERROR(Table13[[#This Row],[Mtr_Net_Exp (KWh)]]/(24*AR323*1000),"")</f>
        <v/>
      </c>
      <c r="X323" s="105" t="str">
        <f>IFERROR(_xlfn.XLOOKUP($A323,Input_Raw!$A:$A,Input_Raw!$CF:$CF),"")</f>
        <v/>
      </c>
      <c r="Y323" s="105" t="str">
        <f>IFERROR(_xlfn.XLOOKUP($A323,Input_Raw!$A:$A,Input_Raw!$CZ:$CZ),"")</f>
        <v/>
      </c>
      <c r="Z323" s="105" t="str">
        <f>IFERROR(_xlfn.XLOOKUP($A323,Input_Raw!$A:$A,Input_Raw!$DA:$DA),"")</f>
        <v/>
      </c>
      <c r="AA323" s="107" t="str">
        <f t="shared" si="31"/>
        <v/>
      </c>
      <c r="AB323" s="105" t="str">
        <f>IFERROR(_xlfn.XLOOKUP($A323,Input_Raw!$A:$A,Input_Raw!$DG:$DG),"")</f>
        <v/>
      </c>
      <c r="AC323" s="125">
        <f>IFERROR(_xlfn.XLOOKUP($D323,'Modelling New'!$D:$D,'Modelling New'!$J:$J),"")</f>
        <v>4.3</v>
      </c>
      <c r="AD323" s="107">
        <f>IFERROR(_xlfn.XLOOKUP($D323,'Modelling New'!$D:$D,'Modelling New'!$T:$T)*1000,"")</f>
        <v>171913.60080596086</v>
      </c>
      <c r="AE323" s="124"/>
      <c r="AF323" s="124">
        <f>IFERROR(_xlfn.XLOOKUP($D323,'Modelling New'!$D:$D,'Modelling New'!$W:$W),"")</f>
        <v>9.1834188464722688E-2</v>
      </c>
      <c r="AG323" s="124">
        <f>IFERROR(_xlfn.XLOOKUP($D323,'Modelling New'!$D:$D,'Modelling New'!$AE:$AE),"")</f>
        <v>0.96029999999999993</v>
      </c>
      <c r="AH323" s="124">
        <f>IFERROR(_xlfn.XLOOKUP($D323,'Modelling New'!$D:$D,'Modelling New'!$AF:$AF),"")</f>
        <v>0.995</v>
      </c>
      <c r="AI323" s="105" t="str">
        <f>IFERROR(_xlfn.XLOOKUP($A323,Input_Raw!$A:$A,Input_Raw!$DE:$DE),"")</f>
        <v/>
      </c>
      <c r="AJ323" s="105"/>
      <c r="AK323" s="105"/>
      <c r="AL323" s="105"/>
      <c r="AM323" s="105"/>
      <c r="AN323" s="126" t="str">
        <f>IFERROR(_xlfn.XLOOKUP($A323,Input_Raw!$A:$A,Input_Raw!$DB:$DB),"")</f>
        <v/>
      </c>
      <c r="AO323" s="124" t="str">
        <f>IFERROR((_xlfn.XLOOKUP($A323,'WTG Reactive Power'!$A:$A,'WTG Reactive Power'!$AR:$AR))/X323/1000,"")</f>
        <v/>
      </c>
      <c r="AP323" s="124">
        <f>IFERROR(_xlfn.XLOOKUP($D323,'Modelling New'!$D:$D,'Modelling New'!$AK:$AK),"")</f>
        <v>0.05</v>
      </c>
      <c r="AQ323" s="124">
        <f>IFERROR(_xlfn.XLOOKUP($D323,'Modelling New'!$D:$D,'Modelling New'!$AL:$AL),"")</f>
        <v>0.05</v>
      </c>
      <c r="AR323">
        <f>IFERROR(_xlfn.XLOOKUP($D323,'Modelling New'!$D:$D,'Modelling New'!$N:$N),"")</f>
        <v>78</v>
      </c>
    </row>
    <row r="324" spans="1:44">
      <c r="A324" s="118">
        <f t="shared" si="32"/>
        <v>46067</v>
      </c>
      <c r="B324" s="107">
        <f>YEAR(Table13[[#This Row],[Date]])+IF(MONTH(Table13[[#This Row],[Date]])&gt;=4,1,0)</f>
        <v>2026</v>
      </c>
      <c r="C324" s="105">
        <f>YEAR(Table13[[#This Row],[Date]])</f>
        <v>2026</v>
      </c>
      <c r="D324" s="119">
        <f>Table13[[#This Row],[Date]]-DAY(Table13[[#This Row],[Date]])+1</f>
        <v>46054</v>
      </c>
      <c r="E324" s="105">
        <f t="shared" si="29"/>
        <v>28</v>
      </c>
      <c r="F324" s="108"/>
      <c r="G324" s="109"/>
      <c r="H324" s="109"/>
      <c r="I324" s="109"/>
      <c r="J324" s="109"/>
      <c r="K324" s="120"/>
      <c r="L324" s="109"/>
      <c r="M324" s="109" t="str">
        <f>IFERROR(_xlfn.XLOOKUP($A324,Input_Raw!$A:$A,Input_Raw!CG:CG),"")</f>
        <v/>
      </c>
      <c r="N324" s="109" t="str">
        <f>IFERROR(_xlfn.XLOOKUP($A324,Input_Raw!$A:$A,Input_Raw!CH:CH),"")</f>
        <v/>
      </c>
      <c r="O324" s="121" t="str">
        <f t="shared" si="30"/>
        <v/>
      </c>
      <c r="P324" s="121" t="str">
        <f>IFERROR(1-SUMIF(WTG_BD!$F:$F,$A324,WTG_BD!$AA:$AA)/($AA324+SUMIF(WTG_BD!$F:$F,$A324,WTG_BD!$AA:$AA)),"")</f>
        <v/>
      </c>
      <c r="Q324" s="122" t="str">
        <f>IFERROR(1-SUMIF(IGA_BD!$F:$F,$A324,IGA_BD!$V:$V)/($AA324+SUMIF(IGA_BD!$F:$F,$A324,IGA_BD!$V:$V)),"")</f>
        <v/>
      </c>
      <c r="R324" s="127" t="str">
        <f>IFERROR(1-SUMIF(Grid_BD!$F:$F,$A324,Grid_BD!$X:$X)/($AA324+SUMIF(Grid_BD!$F:$F,$A324,Grid_BD!$X:$X)),"")</f>
        <v/>
      </c>
      <c r="S324" s="105"/>
      <c r="T324" s="122"/>
      <c r="U324" s="123"/>
      <c r="V324" s="105"/>
      <c r="W324" s="124" t="str">
        <f>IFERROR(Table13[[#This Row],[Mtr_Net_Exp (KWh)]]/(24*AR324*1000),"")</f>
        <v/>
      </c>
      <c r="X324" s="105" t="str">
        <f>IFERROR(_xlfn.XLOOKUP($A324,Input_Raw!$A:$A,Input_Raw!$CF:$CF),"")</f>
        <v/>
      </c>
      <c r="Y324" s="105" t="str">
        <f>IFERROR(_xlfn.XLOOKUP($A324,Input_Raw!$A:$A,Input_Raw!$CZ:$CZ),"")</f>
        <v/>
      </c>
      <c r="Z324" s="105" t="str">
        <f>IFERROR(_xlfn.XLOOKUP($A324,Input_Raw!$A:$A,Input_Raw!$DA:$DA),"")</f>
        <v/>
      </c>
      <c r="AA324" s="107" t="str">
        <f t="shared" si="31"/>
        <v/>
      </c>
      <c r="AB324" s="105" t="str">
        <f>IFERROR(_xlfn.XLOOKUP($A324,Input_Raw!$A:$A,Input_Raw!$DG:$DG),"")</f>
        <v/>
      </c>
      <c r="AC324" s="125">
        <f>IFERROR(_xlfn.XLOOKUP($D324,'Modelling New'!$D:$D,'Modelling New'!$J:$J),"")</f>
        <v>4.3</v>
      </c>
      <c r="AD324" s="107">
        <f>IFERROR(_xlfn.XLOOKUP($D324,'Modelling New'!$D:$D,'Modelling New'!$T:$T)*1000,"")</f>
        <v>171913.60080596086</v>
      </c>
      <c r="AE324" s="124"/>
      <c r="AF324" s="124">
        <f>IFERROR(_xlfn.XLOOKUP($D324,'Modelling New'!$D:$D,'Modelling New'!$W:$W),"")</f>
        <v>9.1834188464722688E-2</v>
      </c>
      <c r="AG324" s="124">
        <f>IFERROR(_xlfn.XLOOKUP($D324,'Modelling New'!$D:$D,'Modelling New'!$AE:$AE),"")</f>
        <v>0.96029999999999993</v>
      </c>
      <c r="AH324" s="124">
        <f>IFERROR(_xlfn.XLOOKUP($D324,'Modelling New'!$D:$D,'Modelling New'!$AF:$AF),"")</f>
        <v>0.995</v>
      </c>
      <c r="AI324" s="105" t="str">
        <f>IFERROR(_xlfn.XLOOKUP($A324,Input_Raw!$A:$A,Input_Raw!$DE:$DE),"")</f>
        <v/>
      </c>
      <c r="AJ324" s="105"/>
      <c r="AK324" s="105"/>
      <c r="AL324" s="105"/>
      <c r="AM324" s="105"/>
      <c r="AN324" s="126" t="str">
        <f>IFERROR(_xlfn.XLOOKUP($A324,Input_Raw!$A:$A,Input_Raw!$DB:$DB),"")</f>
        <v/>
      </c>
      <c r="AO324" s="124" t="str">
        <f>IFERROR((_xlfn.XLOOKUP($A324,'WTG Reactive Power'!$A:$A,'WTG Reactive Power'!$AR:$AR))/X324/1000,"")</f>
        <v/>
      </c>
      <c r="AP324" s="124">
        <f>IFERROR(_xlfn.XLOOKUP($D324,'Modelling New'!$D:$D,'Modelling New'!$AK:$AK),"")</f>
        <v>0.05</v>
      </c>
      <c r="AQ324" s="124">
        <f>IFERROR(_xlfn.XLOOKUP($D324,'Modelling New'!$D:$D,'Modelling New'!$AL:$AL),"")</f>
        <v>0.05</v>
      </c>
      <c r="AR324">
        <f>IFERROR(_xlfn.XLOOKUP($D324,'Modelling New'!$D:$D,'Modelling New'!$N:$N),"")</f>
        <v>78</v>
      </c>
    </row>
    <row r="325" spans="1:44">
      <c r="A325" s="118">
        <f t="shared" si="32"/>
        <v>46068</v>
      </c>
      <c r="B325" s="107">
        <f>YEAR(Table13[[#This Row],[Date]])+IF(MONTH(Table13[[#This Row],[Date]])&gt;=4,1,0)</f>
        <v>2026</v>
      </c>
      <c r="C325" s="105">
        <f>YEAR(Table13[[#This Row],[Date]])</f>
        <v>2026</v>
      </c>
      <c r="D325" s="119">
        <f>Table13[[#This Row],[Date]]-DAY(Table13[[#This Row],[Date]])+1</f>
        <v>46054</v>
      </c>
      <c r="E325" s="105">
        <f t="shared" ref="E325:E356" si="33">DAY(EOMONTH(A325,0))</f>
        <v>28</v>
      </c>
      <c r="F325" s="108"/>
      <c r="G325" s="109"/>
      <c r="H325" s="109"/>
      <c r="I325" s="109"/>
      <c r="J325" s="109"/>
      <c r="K325" s="120"/>
      <c r="L325" s="109"/>
      <c r="M325" s="109" t="str">
        <f>IFERROR(_xlfn.XLOOKUP($A325,Input_Raw!$A:$A,Input_Raw!CG:CG),"")</f>
        <v/>
      </c>
      <c r="N325" s="109" t="str">
        <f>IFERROR(_xlfn.XLOOKUP($A325,Input_Raw!$A:$A,Input_Raw!CH:CH),"")</f>
        <v/>
      </c>
      <c r="O325" s="121" t="str">
        <f t="shared" ref="O325:O356" si="34">IFERROR(P325*Q325,"")</f>
        <v/>
      </c>
      <c r="P325" s="121" t="str">
        <f>IFERROR(1-SUMIF(WTG_BD!$F:$F,$A325,WTG_BD!$AA:$AA)/($AA325+SUMIF(WTG_BD!$F:$F,$A325,WTG_BD!$AA:$AA)),"")</f>
        <v/>
      </c>
      <c r="Q325" s="122" t="str">
        <f>IFERROR(1-SUMIF(IGA_BD!$F:$F,$A325,IGA_BD!$V:$V)/($AA325+SUMIF(IGA_BD!$F:$F,$A325,IGA_BD!$V:$V)),"")</f>
        <v/>
      </c>
      <c r="R325" s="127" t="str">
        <f>IFERROR(1-SUMIF(Grid_BD!$F:$F,$A325,Grid_BD!$X:$X)/($AA325+SUMIF(Grid_BD!$F:$F,$A325,Grid_BD!$X:$X)),"")</f>
        <v/>
      </c>
      <c r="S325" s="105"/>
      <c r="T325" s="122"/>
      <c r="U325" s="123"/>
      <c r="V325" s="105"/>
      <c r="W325" s="124" t="str">
        <f>IFERROR(Table13[[#This Row],[Mtr_Net_Exp (KWh)]]/(24*AR325*1000),"")</f>
        <v/>
      </c>
      <c r="X325" s="105" t="str">
        <f>IFERROR(_xlfn.XLOOKUP($A325,Input_Raw!$A:$A,Input_Raw!$CF:$CF),"")</f>
        <v/>
      </c>
      <c r="Y325" s="105" t="str">
        <f>IFERROR(_xlfn.XLOOKUP($A325,Input_Raw!$A:$A,Input_Raw!$CZ:$CZ),"")</f>
        <v/>
      </c>
      <c r="Z325" s="105" t="str">
        <f>IFERROR(_xlfn.XLOOKUP($A325,Input_Raw!$A:$A,Input_Raw!$DA:$DA),"")</f>
        <v/>
      </c>
      <c r="AA325" s="107" t="str">
        <f t="shared" ref="AA325:AA356" si="35">IFERROR(Y325-Z325,"")</f>
        <v/>
      </c>
      <c r="AB325" s="105" t="str">
        <f>IFERROR(_xlfn.XLOOKUP($A325,Input_Raw!$A:$A,Input_Raw!$DG:$DG),"")</f>
        <v/>
      </c>
      <c r="AC325" s="125">
        <f>IFERROR(_xlfn.XLOOKUP($D325,'Modelling New'!$D:$D,'Modelling New'!$J:$J),"")</f>
        <v>4.3</v>
      </c>
      <c r="AD325" s="107">
        <f>IFERROR(_xlfn.XLOOKUP($D325,'Modelling New'!$D:$D,'Modelling New'!$T:$T)*1000,"")</f>
        <v>171913.60080596086</v>
      </c>
      <c r="AE325" s="124"/>
      <c r="AF325" s="124">
        <f>IFERROR(_xlfn.XLOOKUP($D325,'Modelling New'!$D:$D,'Modelling New'!$W:$W),"")</f>
        <v>9.1834188464722688E-2</v>
      </c>
      <c r="AG325" s="124">
        <f>IFERROR(_xlfn.XLOOKUP($D325,'Modelling New'!$D:$D,'Modelling New'!$AE:$AE),"")</f>
        <v>0.96029999999999993</v>
      </c>
      <c r="AH325" s="124">
        <f>IFERROR(_xlfn.XLOOKUP($D325,'Modelling New'!$D:$D,'Modelling New'!$AF:$AF),"")</f>
        <v>0.995</v>
      </c>
      <c r="AI325" s="105" t="str">
        <f>IFERROR(_xlfn.XLOOKUP($A325,Input_Raw!$A:$A,Input_Raw!$DE:$DE),"")</f>
        <v/>
      </c>
      <c r="AJ325" s="105"/>
      <c r="AK325" s="105"/>
      <c r="AL325" s="105"/>
      <c r="AM325" s="105"/>
      <c r="AN325" s="126" t="str">
        <f>IFERROR(_xlfn.XLOOKUP($A325,Input_Raw!$A:$A,Input_Raw!$DB:$DB),"")</f>
        <v/>
      </c>
      <c r="AO325" s="124" t="str">
        <f>IFERROR((_xlfn.XLOOKUP($A325,'WTG Reactive Power'!$A:$A,'WTG Reactive Power'!$AR:$AR))/X325/1000,"")</f>
        <v/>
      </c>
      <c r="AP325" s="124">
        <f>IFERROR(_xlfn.XLOOKUP($D325,'Modelling New'!$D:$D,'Modelling New'!$AK:$AK),"")</f>
        <v>0.05</v>
      </c>
      <c r="AQ325" s="124">
        <f>IFERROR(_xlfn.XLOOKUP($D325,'Modelling New'!$D:$D,'Modelling New'!$AL:$AL),"")</f>
        <v>0.05</v>
      </c>
      <c r="AR325">
        <f>IFERROR(_xlfn.XLOOKUP($D325,'Modelling New'!$D:$D,'Modelling New'!$N:$N),"")</f>
        <v>78</v>
      </c>
    </row>
    <row r="326" spans="1:44">
      <c r="A326" s="118">
        <f t="shared" si="32"/>
        <v>46069</v>
      </c>
      <c r="B326" s="107">
        <f>YEAR(Table13[[#This Row],[Date]])+IF(MONTH(Table13[[#This Row],[Date]])&gt;=4,1,0)</f>
        <v>2026</v>
      </c>
      <c r="C326" s="105">
        <f>YEAR(Table13[[#This Row],[Date]])</f>
        <v>2026</v>
      </c>
      <c r="D326" s="119">
        <f>Table13[[#This Row],[Date]]-DAY(Table13[[#This Row],[Date]])+1</f>
        <v>46054</v>
      </c>
      <c r="E326" s="105">
        <f t="shared" si="33"/>
        <v>28</v>
      </c>
      <c r="F326" s="108"/>
      <c r="G326" s="109"/>
      <c r="H326" s="109"/>
      <c r="I326" s="109"/>
      <c r="J326" s="109"/>
      <c r="K326" s="120"/>
      <c r="L326" s="109"/>
      <c r="M326" s="109" t="str">
        <f>IFERROR(_xlfn.XLOOKUP($A326,Input_Raw!$A:$A,Input_Raw!CG:CG),"")</f>
        <v/>
      </c>
      <c r="N326" s="109" t="str">
        <f>IFERROR(_xlfn.XLOOKUP($A326,Input_Raw!$A:$A,Input_Raw!CH:CH),"")</f>
        <v/>
      </c>
      <c r="O326" s="121" t="str">
        <f t="shared" si="34"/>
        <v/>
      </c>
      <c r="P326" s="121" t="str">
        <f>IFERROR(1-SUMIF(WTG_BD!$F:$F,$A326,WTG_BD!$AA:$AA)/($AA326+SUMIF(WTG_BD!$F:$F,$A326,WTG_BD!$AA:$AA)),"")</f>
        <v/>
      </c>
      <c r="Q326" s="122" t="str">
        <f>IFERROR(1-SUMIF(IGA_BD!$F:$F,$A326,IGA_BD!$V:$V)/($AA326+SUMIF(IGA_BD!$F:$F,$A326,IGA_BD!$V:$V)),"")</f>
        <v/>
      </c>
      <c r="R326" s="127" t="str">
        <f>IFERROR(1-SUMIF(Grid_BD!$F:$F,$A326,Grid_BD!$X:$X)/($AA326+SUMIF(Grid_BD!$F:$F,$A326,Grid_BD!$X:$X)),"")</f>
        <v/>
      </c>
      <c r="S326" s="105"/>
      <c r="T326" s="122"/>
      <c r="U326" s="123"/>
      <c r="V326" s="105"/>
      <c r="W326" s="124" t="str">
        <f>IFERROR(Table13[[#This Row],[Mtr_Net_Exp (KWh)]]/(24*AR326*1000),"")</f>
        <v/>
      </c>
      <c r="X326" s="105" t="str">
        <f>IFERROR(_xlfn.XLOOKUP($A326,Input_Raw!$A:$A,Input_Raw!$CF:$CF),"")</f>
        <v/>
      </c>
      <c r="Y326" s="105" t="str">
        <f>IFERROR(_xlfn.XLOOKUP($A326,Input_Raw!$A:$A,Input_Raw!$CZ:$CZ),"")</f>
        <v/>
      </c>
      <c r="Z326" s="105" t="str">
        <f>IFERROR(_xlfn.XLOOKUP($A326,Input_Raw!$A:$A,Input_Raw!$DA:$DA),"")</f>
        <v/>
      </c>
      <c r="AA326" s="107" t="str">
        <f t="shared" si="35"/>
        <v/>
      </c>
      <c r="AB326" s="105" t="str">
        <f>IFERROR(_xlfn.XLOOKUP($A326,Input_Raw!$A:$A,Input_Raw!$DG:$DG),"")</f>
        <v/>
      </c>
      <c r="AC326" s="125">
        <f>IFERROR(_xlfn.XLOOKUP($D326,'Modelling New'!$D:$D,'Modelling New'!$J:$J),"")</f>
        <v>4.3</v>
      </c>
      <c r="AD326" s="107">
        <f>IFERROR(_xlfn.XLOOKUP($D326,'Modelling New'!$D:$D,'Modelling New'!$T:$T)*1000,"")</f>
        <v>171913.60080596086</v>
      </c>
      <c r="AE326" s="124"/>
      <c r="AF326" s="124">
        <f>IFERROR(_xlfn.XLOOKUP($D326,'Modelling New'!$D:$D,'Modelling New'!$W:$W),"")</f>
        <v>9.1834188464722688E-2</v>
      </c>
      <c r="AG326" s="124">
        <f>IFERROR(_xlfn.XLOOKUP($D326,'Modelling New'!$D:$D,'Modelling New'!$AE:$AE),"")</f>
        <v>0.96029999999999993</v>
      </c>
      <c r="AH326" s="124">
        <f>IFERROR(_xlfn.XLOOKUP($D326,'Modelling New'!$D:$D,'Modelling New'!$AF:$AF),"")</f>
        <v>0.995</v>
      </c>
      <c r="AI326" s="105" t="str">
        <f>IFERROR(_xlfn.XLOOKUP($A326,Input_Raw!$A:$A,Input_Raw!$DE:$DE),"")</f>
        <v/>
      </c>
      <c r="AJ326" s="105"/>
      <c r="AK326" s="105"/>
      <c r="AL326" s="105"/>
      <c r="AM326" s="105"/>
      <c r="AN326" s="126" t="str">
        <f>IFERROR(_xlfn.XLOOKUP($A326,Input_Raw!$A:$A,Input_Raw!$DB:$DB),"")</f>
        <v/>
      </c>
      <c r="AO326" s="124" t="str">
        <f>IFERROR((_xlfn.XLOOKUP($A326,'WTG Reactive Power'!$A:$A,'WTG Reactive Power'!$AR:$AR))/X326/1000,"")</f>
        <v/>
      </c>
      <c r="AP326" s="124">
        <f>IFERROR(_xlfn.XLOOKUP($D326,'Modelling New'!$D:$D,'Modelling New'!$AK:$AK),"")</f>
        <v>0.05</v>
      </c>
      <c r="AQ326" s="124">
        <f>IFERROR(_xlfn.XLOOKUP($D326,'Modelling New'!$D:$D,'Modelling New'!$AL:$AL),"")</f>
        <v>0.05</v>
      </c>
      <c r="AR326">
        <f>IFERROR(_xlfn.XLOOKUP($D326,'Modelling New'!$D:$D,'Modelling New'!$N:$N),"")</f>
        <v>78</v>
      </c>
    </row>
    <row r="327" spans="1:44">
      <c r="A327" s="118">
        <f t="shared" si="32"/>
        <v>46070</v>
      </c>
      <c r="B327" s="107">
        <f>YEAR(Table13[[#This Row],[Date]])+IF(MONTH(Table13[[#This Row],[Date]])&gt;=4,1,0)</f>
        <v>2026</v>
      </c>
      <c r="C327" s="105">
        <f>YEAR(Table13[[#This Row],[Date]])</f>
        <v>2026</v>
      </c>
      <c r="D327" s="119">
        <f>Table13[[#This Row],[Date]]-DAY(Table13[[#This Row],[Date]])+1</f>
        <v>46054</v>
      </c>
      <c r="E327" s="105">
        <f t="shared" si="33"/>
        <v>28</v>
      </c>
      <c r="F327" s="108"/>
      <c r="G327" s="109"/>
      <c r="H327" s="109"/>
      <c r="I327" s="109"/>
      <c r="J327" s="109"/>
      <c r="K327" s="120"/>
      <c r="L327" s="109"/>
      <c r="M327" s="109" t="str">
        <f>IFERROR(_xlfn.XLOOKUP($A327,Input_Raw!$A:$A,Input_Raw!CG:CG),"")</f>
        <v/>
      </c>
      <c r="N327" s="109" t="str">
        <f>IFERROR(_xlfn.XLOOKUP($A327,Input_Raw!$A:$A,Input_Raw!CH:CH),"")</f>
        <v/>
      </c>
      <c r="O327" s="121" t="str">
        <f t="shared" si="34"/>
        <v/>
      </c>
      <c r="P327" s="121" t="str">
        <f>IFERROR(1-SUMIF(WTG_BD!$F:$F,$A327,WTG_BD!$AA:$AA)/($AA327+SUMIF(WTG_BD!$F:$F,$A327,WTG_BD!$AA:$AA)),"")</f>
        <v/>
      </c>
      <c r="Q327" s="122" t="str">
        <f>IFERROR(1-SUMIF(IGA_BD!$F:$F,$A327,IGA_BD!$V:$V)/($AA327+SUMIF(IGA_BD!$F:$F,$A327,IGA_BD!$V:$V)),"")</f>
        <v/>
      </c>
      <c r="R327" s="127" t="str">
        <f>IFERROR(1-SUMIF(Grid_BD!$F:$F,$A327,Grid_BD!$X:$X)/($AA327+SUMIF(Grid_BD!$F:$F,$A327,Grid_BD!$X:$X)),"")</f>
        <v/>
      </c>
      <c r="S327" s="105"/>
      <c r="T327" s="122"/>
      <c r="U327" s="123"/>
      <c r="V327" s="105"/>
      <c r="W327" s="124" t="str">
        <f>IFERROR(Table13[[#This Row],[Mtr_Net_Exp (KWh)]]/(24*AR327*1000),"")</f>
        <v/>
      </c>
      <c r="X327" s="105" t="str">
        <f>IFERROR(_xlfn.XLOOKUP($A327,Input_Raw!$A:$A,Input_Raw!$CF:$CF),"")</f>
        <v/>
      </c>
      <c r="Y327" s="105" t="str">
        <f>IFERROR(_xlfn.XLOOKUP($A327,Input_Raw!$A:$A,Input_Raw!$CZ:$CZ),"")</f>
        <v/>
      </c>
      <c r="Z327" s="105" t="str">
        <f>IFERROR(_xlfn.XLOOKUP($A327,Input_Raw!$A:$A,Input_Raw!$DA:$DA),"")</f>
        <v/>
      </c>
      <c r="AA327" s="107" t="str">
        <f t="shared" si="35"/>
        <v/>
      </c>
      <c r="AB327" s="105" t="str">
        <f>IFERROR(_xlfn.XLOOKUP($A327,Input_Raw!$A:$A,Input_Raw!$DG:$DG),"")</f>
        <v/>
      </c>
      <c r="AC327" s="125">
        <f>IFERROR(_xlfn.XLOOKUP($D327,'Modelling New'!$D:$D,'Modelling New'!$J:$J),"")</f>
        <v>4.3</v>
      </c>
      <c r="AD327" s="107">
        <f>IFERROR(_xlfn.XLOOKUP($D327,'Modelling New'!$D:$D,'Modelling New'!$T:$T)*1000,"")</f>
        <v>171913.60080596086</v>
      </c>
      <c r="AE327" s="124"/>
      <c r="AF327" s="124">
        <f>IFERROR(_xlfn.XLOOKUP($D327,'Modelling New'!$D:$D,'Modelling New'!$W:$W),"")</f>
        <v>9.1834188464722688E-2</v>
      </c>
      <c r="AG327" s="124">
        <f>IFERROR(_xlfn.XLOOKUP($D327,'Modelling New'!$D:$D,'Modelling New'!$AE:$AE),"")</f>
        <v>0.96029999999999993</v>
      </c>
      <c r="AH327" s="124">
        <f>IFERROR(_xlfn.XLOOKUP($D327,'Modelling New'!$D:$D,'Modelling New'!$AF:$AF),"")</f>
        <v>0.995</v>
      </c>
      <c r="AI327" s="105" t="str">
        <f>IFERROR(_xlfn.XLOOKUP($A327,Input_Raw!$A:$A,Input_Raw!$DE:$DE),"")</f>
        <v/>
      </c>
      <c r="AJ327" s="105"/>
      <c r="AK327" s="105"/>
      <c r="AL327" s="105"/>
      <c r="AM327" s="105"/>
      <c r="AN327" s="126" t="str">
        <f>IFERROR(_xlfn.XLOOKUP($A327,Input_Raw!$A:$A,Input_Raw!$DB:$DB),"")</f>
        <v/>
      </c>
      <c r="AO327" s="124" t="str">
        <f>IFERROR((_xlfn.XLOOKUP($A327,'WTG Reactive Power'!$A:$A,'WTG Reactive Power'!$AR:$AR))/X327/1000,"")</f>
        <v/>
      </c>
      <c r="AP327" s="124">
        <f>IFERROR(_xlfn.XLOOKUP($D327,'Modelling New'!$D:$D,'Modelling New'!$AK:$AK),"")</f>
        <v>0.05</v>
      </c>
      <c r="AQ327" s="124">
        <f>IFERROR(_xlfn.XLOOKUP($D327,'Modelling New'!$D:$D,'Modelling New'!$AL:$AL),"")</f>
        <v>0.05</v>
      </c>
      <c r="AR327">
        <f>IFERROR(_xlfn.XLOOKUP($D327,'Modelling New'!$D:$D,'Modelling New'!$N:$N),"")</f>
        <v>78</v>
      </c>
    </row>
    <row r="328" spans="1:44">
      <c r="A328" s="118">
        <f t="shared" si="32"/>
        <v>46071</v>
      </c>
      <c r="B328" s="107">
        <f>YEAR(Table13[[#This Row],[Date]])+IF(MONTH(Table13[[#This Row],[Date]])&gt;=4,1,0)</f>
        <v>2026</v>
      </c>
      <c r="C328" s="105">
        <f>YEAR(Table13[[#This Row],[Date]])</f>
        <v>2026</v>
      </c>
      <c r="D328" s="119">
        <f>Table13[[#This Row],[Date]]-DAY(Table13[[#This Row],[Date]])+1</f>
        <v>46054</v>
      </c>
      <c r="E328" s="105">
        <f t="shared" si="33"/>
        <v>28</v>
      </c>
      <c r="F328" s="108"/>
      <c r="G328" s="109"/>
      <c r="H328" s="109"/>
      <c r="I328" s="109"/>
      <c r="J328" s="109"/>
      <c r="K328" s="120"/>
      <c r="L328" s="109"/>
      <c r="M328" s="109" t="str">
        <f>IFERROR(_xlfn.XLOOKUP($A328,Input_Raw!$A:$A,Input_Raw!CG:CG),"")</f>
        <v/>
      </c>
      <c r="N328" s="109" t="str">
        <f>IFERROR(_xlfn.XLOOKUP($A328,Input_Raw!$A:$A,Input_Raw!CH:CH),"")</f>
        <v/>
      </c>
      <c r="O328" s="121" t="str">
        <f t="shared" si="34"/>
        <v/>
      </c>
      <c r="P328" s="121" t="str">
        <f>IFERROR(1-SUMIF(WTG_BD!$F:$F,$A328,WTG_BD!$AA:$AA)/($AA328+SUMIF(WTG_BD!$F:$F,$A328,WTG_BD!$AA:$AA)),"")</f>
        <v/>
      </c>
      <c r="Q328" s="122" t="str">
        <f>IFERROR(1-SUMIF(IGA_BD!$F:$F,$A328,IGA_BD!$V:$V)/($AA328+SUMIF(IGA_BD!$F:$F,$A328,IGA_BD!$V:$V)),"")</f>
        <v/>
      </c>
      <c r="R328" s="127" t="str">
        <f>IFERROR(1-SUMIF(Grid_BD!$F:$F,$A328,Grid_BD!$X:$X)/($AA328+SUMIF(Grid_BD!$F:$F,$A328,Grid_BD!$X:$X)),"")</f>
        <v/>
      </c>
      <c r="S328" s="105"/>
      <c r="T328" s="122"/>
      <c r="U328" s="123"/>
      <c r="V328" s="105"/>
      <c r="W328" s="124" t="str">
        <f>IFERROR(Table13[[#This Row],[Mtr_Net_Exp (KWh)]]/(24*AR328*1000),"")</f>
        <v/>
      </c>
      <c r="X328" s="105" t="str">
        <f>IFERROR(_xlfn.XLOOKUP($A328,Input_Raw!$A:$A,Input_Raw!$CF:$CF),"")</f>
        <v/>
      </c>
      <c r="Y328" s="105" t="str">
        <f>IFERROR(_xlfn.XLOOKUP($A328,Input_Raw!$A:$A,Input_Raw!$CZ:$CZ),"")</f>
        <v/>
      </c>
      <c r="Z328" s="105" t="str">
        <f>IFERROR(_xlfn.XLOOKUP($A328,Input_Raw!$A:$A,Input_Raw!$DA:$DA),"")</f>
        <v/>
      </c>
      <c r="AA328" s="107" t="str">
        <f t="shared" si="35"/>
        <v/>
      </c>
      <c r="AB328" s="105" t="str">
        <f>IFERROR(_xlfn.XLOOKUP($A328,Input_Raw!$A:$A,Input_Raw!$DG:$DG),"")</f>
        <v/>
      </c>
      <c r="AC328" s="125">
        <f>IFERROR(_xlfn.XLOOKUP($D328,'Modelling New'!$D:$D,'Modelling New'!$J:$J),"")</f>
        <v>4.3</v>
      </c>
      <c r="AD328" s="107">
        <f>IFERROR(_xlfn.XLOOKUP($D328,'Modelling New'!$D:$D,'Modelling New'!$T:$T)*1000,"")</f>
        <v>171913.60080596086</v>
      </c>
      <c r="AE328" s="124"/>
      <c r="AF328" s="124">
        <f>IFERROR(_xlfn.XLOOKUP($D328,'Modelling New'!$D:$D,'Modelling New'!$W:$W),"")</f>
        <v>9.1834188464722688E-2</v>
      </c>
      <c r="AG328" s="124">
        <f>IFERROR(_xlfn.XLOOKUP($D328,'Modelling New'!$D:$D,'Modelling New'!$AE:$AE),"")</f>
        <v>0.96029999999999993</v>
      </c>
      <c r="AH328" s="124">
        <f>IFERROR(_xlfn.XLOOKUP($D328,'Modelling New'!$D:$D,'Modelling New'!$AF:$AF),"")</f>
        <v>0.995</v>
      </c>
      <c r="AI328" s="105" t="str">
        <f>IFERROR(_xlfn.XLOOKUP($A328,Input_Raw!$A:$A,Input_Raw!$DE:$DE),"")</f>
        <v/>
      </c>
      <c r="AJ328" s="105"/>
      <c r="AK328" s="105"/>
      <c r="AL328" s="105"/>
      <c r="AM328" s="105"/>
      <c r="AN328" s="126" t="str">
        <f>IFERROR(_xlfn.XLOOKUP($A328,Input_Raw!$A:$A,Input_Raw!$DB:$DB),"")</f>
        <v/>
      </c>
      <c r="AO328" s="124" t="str">
        <f>IFERROR((_xlfn.XLOOKUP($A328,'WTG Reactive Power'!$A:$A,'WTG Reactive Power'!$AR:$AR))/X328/1000,"")</f>
        <v/>
      </c>
      <c r="AP328" s="124">
        <f>IFERROR(_xlfn.XLOOKUP($D328,'Modelling New'!$D:$D,'Modelling New'!$AK:$AK),"")</f>
        <v>0.05</v>
      </c>
      <c r="AQ328" s="124">
        <f>IFERROR(_xlfn.XLOOKUP($D328,'Modelling New'!$D:$D,'Modelling New'!$AL:$AL),"")</f>
        <v>0.05</v>
      </c>
      <c r="AR328">
        <f>IFERROR(_xlfn.XLOOKUP($D328,'Modelling New'!$D:$D,'Modelling New'!$N:$N),"")</f>
        <v>78</v>
      </c>
    </row>
    <row r="329" spans="1:44">
      <c r="A329" s="118">
        <f t="shared" si="32"/>
        <v>46072</v>
      </c>
      <c r="B329" s="107">
        <f>YEAR(Table13[[#This Row],[Date]])+IF(MONTH(Table13[[#This Row],[Date]])&gt;=4,1,0)</f>
        <v>2026</v>
      </c>
      <c r="C329" s="105">
        <f>YEAR(Table13[[#This Row],[Date]])</f>
        <v>2026</v>
      </c>
      <c r="D329" s="119">
        <f>Table13[[#This Row],[Date]]-DAY(Table13[[#This Row],[Date]])+1</f>
        <v>46054</v>
      </c>
      <c r="E329" s="105">
        <f t="shared" si="33"/>
        <v>28</v>
      </c>
      <c r="F329" s="108"/>
      <c r="G329" s="109"/>
      <c r="H329" s="109"/>
      <c r="I329" s="109"/>
      <c r="J329" s="109"/>
      <c r="K329" s="120"/>
      <c r="L329" s="109"/>
      <c r="M329" s="109" t="str">
        <f>IFERROR(_xlfn.XLOOKUP($A329,Input_Raw!$A:$A,Input_Raw!CG:CG),"")</f>
        <v/>
      </c>
      <c r="N329" s="109" t="str">
        <f>IFERROR(_xlfn.XLOOKUP($A329,Input_Raw!$A:$A,Input_Raw!CH:CH),"")</f>
        <v/>
      </c>
      <c r="O329" s="121" t="str">
        <f t="shared" si="34"/>
        <v/>
      </c>
      <c r="P329" s="121" t="str">
        <f>IFERROR(1-SUMIF(WTG_BD!$F:$F,$A329,WTG_BD!$AA:$AA)/($AA329+SUMIF(WTG_BD!$F:$F,$A329,WTG_BD!$AA:$AA)),"")</f>
        <v/>
      </c>
      <c r="Q329" s="122" t="str">
        <f>IFERROR(1-SUMIF(IGA_BD!$F:$F,$A329,IGA_BD!$V:$V)/($AA329+SUMIF(IGA_BD!$F:$F,$A329,IGA_BD!$V:$V)),"")</f>
        <v/>
      </c>
      <c r="R329" s="127" t="str">
        <f>IFERROR(1-SUMIF(Grid_BD!$F:$F,$A329,Grid_BD!$X:$X)/($AA329+SUMIF(Grid_BD!$F:$F,$A329,Grid_BD!$X:$X)),"")</f>
        <v/>
      </c>
      <c r="S329" s="105"/>
      <c r="T329" s="122"/>
      <c r="U329" s="123"/>
      <c r="V329" s="105"/>
      <c r="W329" s="124" t="str">
        <f>IFERROR(Table13[[#This Row],[Mtr_Net_Exp (KWh)]]/(24*AR329*1000),"")</f>
        <v/>
      </c>
      <c r="X329" s="105" t="str">
        <f>IFERROR(_xlfn.XLOOKUP($A329,Input_Raw!$A:$A,Input_Raw!$CF:$CF),"")</f>
        <v/>
      </c>
      <c r="Y329" s="105" t="str">
        <f>IFERROR(_xlfn.XLOOKUP($A329,Input_Raw!$A:$A,Input_Raw!$CZ:$CZ),"")</f>
        <v/>
      </c>
      <c r="Z329" s="105" t="str">
        <f>IFERROR(_xlfn.XLOOKUP($A329,Input_Raw!$A:$A,Input_Raw!$DA:$DA),"")</f>
        <v/>
      </c>
      <c r="AA329" s="107" t="str">
        <f t="shared" si="35"/>
        <v/>
      </c>
      <c r="AB329" s="105" t="str">
        <f>IFERROR(_xlfn.XLOOKUP($A329,Input_Raw!$A:$A,Input_Raw!$DG:$DG),"")</f>
        <v/>
      </c>
      <c r="AC329" s="125">
        <f>IFERROR(_xlfn.XLOOKUP($D329,'Modelling New'!$D:$D,'Modelling New'!$J:$J),"")</f>
        <v>4.3</v>
      </c>
      <c r="AD329" s="107">
        <f>IFERROR(_xlfn.XLOOKUP($D329,'Modelling New'!$D:$D,'Modelling New'!$T:$T)*1000,"")</f>
        <v>171913.60080596086</v>
      </c>
      <c r="AE329" s="124"/>
      <c r="AF329" s="124">
        <f>IFERROR(_xlfn.XLOOKUP($D329,'Modelling New'!$D:$D,'Modelling New'!$W:$W),"")</f>
        <v>9.1834188464722688E-2</v>
      </c>
      <c r="AG329" s="124">
        <f>IFERROR(_xlfn.XLOOKUP($D329,'Modelling New'!$D:$D,'Modelling New'!$AE:$AE),"")</f>
        <v>0.96029999999999993</v>
      </c>
      <c r="AH329" s="124">
        <f>IFERROR(_xlfn.XLOOKUP($D329,'Modelling New'!$D:$D,'Modelling New'!$AF:$AF),"")</f>
        <v>0.995</v>
      </c>
      <c r="AI329" s="105" t="str">
        <f>IFERROR(_xlfn.XLOOKUP($A329,Input_Raw!$A:$A,Input_Raw!$DE:$DE),"")</f>
        <v/>
      </c>
      <c r="AJ329" s="105"/>
      <c r="AK329" s="105"/>
      <c r="AL329" s="105"/>
      <c r="AM329" s="105"/>
      <c r="AN329" s="126" t="str">
        <f>IFERROR(_xlfn.XLOOKUP($A329,Input_Raw!$A:$A,Input_Raw!$DB:$DB),"")</f>
        <v/>
      </c>
      <c r="AO329" s="124" t="str">
        <f>IFERROR((_xlfn.XLOOKUP($A329,'WTG Reactive Power'!$A:$A,'WTG Reactive Power'!$AR:$AR))/X329/1000,"")</f>
        <v/>
      </c>
      <c r="AP329" s="124">
        <f>IFERROR(_xlfn.XLOOKUP($D329,'Modelling New'!$D:$D,'Modelling New'!$AK:$AK),"")</f>
        <v>0.05</v>
      </c>
      <c r="AQ329" s="124">
        <f>IFERROR(_xlfn.XLOOKUP($D329,'Modelling New'!$D:$D,'Modelling New'!$AL:$AL),"")</f>
        <v>0.05</v>
      </c>
      <c r="AR329">
        <f>IFERROR(_xlfn.XLOOKUP($D329,'Modelling New'!$D:$D,'Modelling New'!$N:$N),"")</f>
        <v>78</v>
      </c>
    </row>
    <row r="330" spans="1:44">
      <c r="A330" s="118">
        <f t="shared" si="32"/>
        <v>46073</v>
      </c>
      <c r="B330" s="107">
        <f>YEAR(Table13[[#This Row],[Date]])+IF(MONTH(Table13[[#This Row],[Date]])&gt;=4,1,0)</f>
        <v>2026</v>
      </c>
      <c r="C330" s="105">
        <f>YEAR(Table13[[#This Row],[Date]])</f>
        <v>2026</v>
      </c>
      <c r="D330" s="119">
        <f>Table13[[#This Row],[Date]]-DAY(Table13[[#This Row],[Date]])+1</f>
        <v>46054</v>
      </c>
      <c r="E330" s="105">
        <f t="shared" si="33"/>
        <v>28</v>
      </c>
      <c r="F330" s="108"/>
      <c r="G330" s="109"/>
      <c r="H330" s="109"/>
      <c r="I330" s="109"/>
      <c r="J330" s="109"/>
      <c r="K330" s="120"/>
      <c r="L330" s="109"/>
      <c r="M330" s="109" t="str">
        <f>IFERROR(_xlfn.XLOOKUP($A330,Input_Raw!$A:$A,Input_Raw!CG:CG),"")</f>
        <v/>
      </c>
      <c r="N330" s="109" t="str">
        <f>IFERROR(_xlfn.XLOOKUP($A330,Input_Raw!$A:$A,Input_Raw!CH:CH),"")</f>
        <v/>
      </c>
      <c r="O330" s="121" t="str">
        <f t="shared" si="34"/>
        <v/>
      </c>
      <c r="P330" s="121" t="str">
        <f>IFERROR(1-SUMIF(WTG_BD!$F:$F,$A330,WTG_BD!$AA:$AA)/($AA330+SUMIF(WTG_BD!$F:$F,$A330,WTG_BD!$AA:$AA)),"")</f>
        <v/>
      </c>
      <c r="Q330" s="122" t="str">
        <f>IFERROR(1-SUMIF(IGA_BD!$F:$F,$A330,IGA_BD!$V:$V)/($AA330+SUMIF(IGA_BD!$F:$F,$A330,IGA_BD!$V:$V)),"")</f>
        <v/>
      </c>
      <c r="R330" s="127" t="str">
        <f>IFERROR(1-SUMIF(Grid_BD!$F:$F,$A330,Grid_BD!$X:$X)/($AA330+SUMIF(Grid_BD!$F:$F,$A330,Grid_BD!$X:$X)),"")</f>
        <v/>
      </c>
      <c r="S330" s="105"/>
      <c r="T330" s="122"/>
      <c r="U330" s="123"/>
      <c r="V330" s="105"/>
      <c r="W330" s="124" t="str">
        <f>IFERROR(Table13[[#This Row],[Mtr_Net_Exp (KWh)]]/(24*AR330*1000),"")</f>
        <v/>
      </c>
      <c r="X330" s="105" t="str">
        <f>IFERROR(_xlfn.XLOOKUP($A330,Input_Raw!$A:$A,Input_Raw!$CF:$CF),"")</f>
        <v/>
      </c>
      <c r="Y330" s="105" t="str">
        <f>IFERROR(_xlfn.XLOOKUP($A330,Input_Raw!$A:$A,Input_Raw!$CZ:$CZ),"")</f>
        <v/>
      </c>
      <c r="Z330" s="105" t="str">
        <f>IFERROR(_xlfn.XLOOKUP($A330,Input_Raw!$A:$A,Input_Raw!$DA:$DA),"")</f>
        <v/>
      </c>
      <c r="AA330" s="107" t="str">
        <f t="shared" si="35"/>
        <v/>
      </c>
      <c r="AB330" s="105" t="str">
        <f>IFERROR(_xlfn.XLOOKUP($A330,Input_Raw!$A:$A,Input_Raw!$DG:$DG),"")</f>
        <v/>
      </c>
      <c r="AC330" s="125">
        <f>IFERROR(_xlfn.XLOOKUP($D330,'Modelling New'!$D:$D,'Modelling New'!$J:$J),"")</f>
        <v>4.3</v>
      </c>
      <c r="AD330" s="107">
        <f>IFERROR(_xlfn.XLOOKUP($D330,'Modelling New'!$D:$D,'Modelling New'!$T:$T)*1000,"")</f>
        <v>171913.60080596086</v>
      </c>
      <c r="AE330" s="124"/>
      <c r="AF330" s="124">
        <f>IFERROR(_xlfn.XLOOKUP($D330,'Modelling New'!$D:$D,'Modelling New'!$W:$W),"")</f>
        <v>9.1834188464722688E-2</v>
      </c>
      <c r="AG330" s="124">
        <f>IFERROR(_xlfn.XLOOKUP($D330,'Modelling New'!$D:$D,'Modelling New'!$AE:$AE),"")</f>
        <v>0.96029999999999993</v>
      </c>
      <c r="AH330" s="124">
        <f>IFERROR(_xlfn.XLOOKUP($D330,'Modelling New'!$D:$D,'Modelling New'!$AF:$AF),"")</f>
        <v>0.995</v>
      </c>
      <c r="AI330" s="105" t="str">
        <f>IFERROR(_xlfn.XLOOKUP($A330,Input_Raw!$A:$A,Input_Raw!$DE:$DE),"")</f>
        <v/>
      </c>
      <c r="AJ330" s="105"/>
      <c r="AK330" s="105"/>
      <c r="AL330" s="105"/>
      <c r="AM330" s="105"/>
      <c r="AN330" s="126" t="str">
        <f>IFERROR(_xlfn.XLOOKUP($A330,Input_Raw!$A:$A,Input_Raw!$DB:$DB),"")</f>
        <v/>
      </c>
      <c r="AO330" s="124" t="str">
        <f>IFERROR((_xlfn.XLOOKUP($A330,'WTG Reactive Power'!$A:$A,'WTG Reactive Power'!$AR:$AR))/X330/1000,"")</f>
        <v/>
      </c>
      <c r="AP330" s="124">
        <f>IFERROR(_xlfn.XLOOKUP($D330,'Modelling New'!$D:$D,'Modelling New'!$AK:$AK),"")</f>
        <v>0.05</v>
      </c>
      <c r="AQ330" s="124">
        <f>IFERROR(_xlfn.XLOOKUP($D330,'Modelling New'!$D:$D,'Modelling New'!$AL:$AL),"")</f>
        <v>0.05</v>
      </c>
      <c r="AR330">
        <f>IFERROR(_xlfn.XLOOKUP($D330,'Modelling New'!$D:$D,'Modelling New'!$N:$N),"")</f>
        <v>78</v>
      </c>
    </row>
    <row r="331" spans="1:44">
      <c r="A331" s="118">
        <f t="shared" si="32"/>
        <v>46074</v>
      </c>
      <c r="B331" s="107">
        <f>YEAR(Table13[[#This Row],[Date]])+IF(MONTH(Table13[[#This Row],[Date]])&gt;=4,1,0)</f>
        <v>2026</v>
      </c>
      <c r="C331" s="105">
        <f>YEAR(Table13[[#This Row],[Date]])</f>
        <v>2026</v>
      </c>
      <c r="D331" s="119">
        <f>Table13[[#This Row],[Date]]-DAY(Table13[[#This Row],[Date]])+1</f>
        <v>46054</v>
      </c>
      <c r="E331" s="105">
        <f t="shared" si="33"/>
        <v>28</v>
      </c>
      <c r="F331" s="108"/>
      <c r="G331" s="109"/>
      <c r="H331" s="109"/>
      <c r="I331" s="109"/>
      <c r="J331" s="109"/>
      <c r="K331" s="120"/>
      <c r="L331" s="109"/>
      <c r="M331" s="109" t="str">
        <f>IFERROR(_xlfn.XLOOKUP($A331,Input_Raw!$A:$A,Input_Raw!CG:CG),"")</f>
        <v/>
      </c>
      <c r="N331" s="109" t="str">
        <f>IFERROR(_xlfn.XLOOKUP($A331,Input_Raw!$A:$A,Input_Raw!CH:CH),"")</f>
        <v/>
      </c>
      <c r="O331" s="121" t="str">
        <f t="shared" si="34"/>
        <v/>
      </c>
      <c r="P331" s="121" t="str">
        <f>IFERROR(1-SUMIF(WTG_BD!$F:$F,$A331,WTG_BD!$AA:$AA)/($AA331+SUMIF(WTG_BD!$F:$F,$A331,WTG_BD!$AA:$AA)),"")</f>
        <v/>
      </c>
      <c r="Q331" s="122" t="str">
        <f>IFERROR(1-SUMIF(IGA_BD!$F:$F,$A331,IGA_BD!$V:$V)/($AA331+SUMIF(IGA_BD!$F:$F,$A331,IGA_BD!$V:$V)),"")</f>
        <v/>
      </c>
      <c r="R331" s="127" t="str">
        <f>IFERROR(1-SUMIF(Grid_BD!$F:$F,$A331,Grid_BD!$X:$X)/($AA331+SUMIF(Grid_BD!$F:$F,$A331,Grid_BD!$X:$X)),"")</f>
        <v/>
      </c>
      <c r="S331" s="105"/>
      <c r="T331" s="122"/>
      <c r="U331" s="123"/>
      <c r="V331" s="105"/>
      <c r="W331" s="124" t="str">
        <f>IFERROR(Table13[[#This Row],[Mtr_Net_Exp (KWh)]]/(24*AR331*1000),"")</f>
        <v/>
      </c>
      <c r="X331" s="105" t="str">
        <f>IFERROR(_xlfn.XLOOKUP($A331,Input_Raw!$A:$A,Input_Raw!$CF:$CF),"")</f>
        <v/>
      </c>
      <c r="Y331" s="105" t="str">
        <f>IFERROR(_xlfn.XLOOKUP($A331,Input_Raw!$A:$A,Input_Raw!$CZ:$CZ),"")</f>
        <v/>
      </c>
      <c r="Z331" s="105" t="str">
        <f>IFERROR(_xlfn.XLOOKUP($A331,Input_Raw!$A:$A,Input_Raw!$DA:$DA),"")</f>
        <v/>
      </c>
      <c r="AA331" s="107" t="str">
        <f t="shared" si="35"/>
        <v/>
      </c>
      <c r="AB331" s="105" t="str">
        <f>IFERROR(_xlfn.XLOOKUP($A331,Input_Raw!$A:$A,Input_Raw!$DG:$DG),"")</f>
        <v/>
      </c>
      <c r="AC331" s="125">
        <f>IFERROR(_xlfn.XLOOKUP($D331,'Modelling New'!$D:$D,'Modelling New'!$J:$J),"")</f>
        <v>4.3</v>
      </c>
      <c r="AD331" s="107">
        <f>IFERROR(_xlfn.XLOOKUP($D331,'Modelling New'!$D:$D,'Modelling New'!$T:$T)*1000,"")</f>
        <v>171913.60080596086</v>
      </c>
      <c r="AE331" s="124"/>
      <c r="AF331" s="124">
        <f>IFERROR(_xlfn.XLOOKUP($D331,'Modelling New'!$D:$D,'Modelling New'!$W:$W),"")</f>
        <v>9.1834188464722688E-2</v>
      </c>
      <c r="AG331" s="124">
        <f>IFERROR(_xlfn.XLOOKUP($D331,'Modelling New'!$D:$D,'Modelling New'!$AE:$AE),"")</f>
        <v>0.96029999999999993</v>
      </c>
      <c r="AH331" s="124">
        <f>IFERROR(_xlfn.XLOOKUP($D331,'Modelling New'!$D:$D,'Modelling New'!$AF:$AF),"")</f>
        <v>0.995</v>
      </c>
      <c r="AI331" s="105" t="str">
        <f>IFERROR(_xlfn.XLOOKUP($A331,Input_Raw!$A:$A,Input_Raw!$DE:$DE),"")</f>
        <v/>
      </c>
      <c r="AJ331" s="105"/>
      <c r="AK331" s="105"/>
      <c r="AL331" s="105"/>
      <c r="AM331" s="105"/>
      <c r="AN331" s="126" t="str">
        <f>IFERROR(_xlfn.XLOOKUP($A331,Input_Raw!$A:$A,Input_Raw!$DB:$DB),"")</f>
        <v/>
      </c>
      <c r="AO331" s="124" t="str">
        <f>IFERROR((_xlfn.XLOOKUP($A331,'WTG Reactive Power'!$A:$A,'WTG Reactive Power'!$AR:$AR))/X331/1000,"")</f>
        <v/>
      </c>
      <c r="AP331" s="124">
        <f>IFERROR(_xlfn.XLOOKUP($D331,'Modelling New'!$D:$D,'Modelling New'!$AK:$AK),"")</f>
        <v>0.05</v>
      </c>
      <c r="AQ331" s="124">
        <f>IFERROR(_xlfn.XLOOKUP($D331,'Modelling New'!$D:$D,'Modelling New'!$AL:$AL),"")</f>
        <v>0.05</v>
      </c>
      <c r="AR331">
        <f>IFERROR(_xlfn.XLOOKUP($D331,'Modelling New'!$D:$D,'Modelling New'!$N:$N),"")</f>
        <v>78</v>
      </c>
    </row>
    <row r="332" spans="1:44">
      <c r="A332" s="118">
        <f t="shared" si="32"/>
        <v>46075</v>
      </c>
      <c r="B332" s="107">
        <f>YEAR(Table13[[#This Row],[Date]])+IF(MONTH(Table13[[#This Row],[Date]])&gt;=4,1,0)</f>
        <v>2026</v>
      </c>
      <c r="C332" s="105">
        <f>YEAR(Table13[[#This Row],[Date]])</f>
        <v>2026</v>
      </c>
      <c r="D332" s="119">
        <f>Table13[[#This Row],[Date]]-DAY(Table13[[#This Row],[Date]])+1</f>
        <v>46054</v>
      </c>
      <c r="E332" s="105">
        <f t="shared" si="33"/>
        <v>28</v>
      </c>
      <c r="F332" s="108"/>
      <c r="G332" s="109"/>
      <c r="H332" s="109"/>
      <c r="I332" s="109"/>
      <c r="J332" s="109"/>
      <c r="K332" s="120"/>
      <c r="L332" s="109"/>
      <c r="M332" s="109" t="str">
        <f>IFERROR(_xlfn.XLOOKUP($A332,Input_Raw!$A:$A,Input_Raw!CG:CG),"")</f>
        <v/>
      </c>
      <c r="N332" s="109" t="str">
        <f>IFERROR(_xlfn.XLOOKUP($A332,Input_Raw!$A:$A,Input_Raw!CH:CH),"")</f>
        <v/>
      </c>
      <c r="O332" s="121" t="str">
        <f t="shared" si="34"/>
        <v/>
      </c>
      <c r="P332" s="121" t="str">
        <f>IFERROR(1-SUMIF(WTG_BD!$F:$F,$A332,WTG_BD!$AA:$AA)/($AA332+SUMIF(WTG_BD!$F:$F,$A332,WTG_BD!$AA:$AA)),"")</f>
        <v/>
      </c>
      <c r="Q332" s="122" t="str">
        <f>IFERROR(1-SUMIF(IGA_BD!$F:$F,$A332,IGA_BD!$V:$V)/($AA332+SUMIF(IGA_BD!$F:$F,$A332,IGA_BD!$V:$V)),"")</f>
        <v/>
      </c>
      <c r="R332" s="127" t="str">
        <f>IFERROR(1-SUMIF(Grid_BD!$F:$F,$A332,Grid_BD!$X:$X)/($AA332+SUMIF(Grid_BD!$F:$F,$A332,Grid_BD!$X:$X)),"")</f>
        <v/>
      </c>
      <c r="S332" s="105"/>
      <c r="T332" s="122"/>
      <c r="U332" s="123"/>
      <c r="V332" s="105"/>
      <c r="W332" s="124" t="str">
        <f>IFERROR(Table13[[#This Row],[Mtr_Net_Exp (KWh)]]/(24*AR332*1000),"")</f>
        <v/>
      </c>
      <c r="X332" s="105" t="str">
        <f>IFERROR(_xlfn.XLOOKUP($A332,Input_Raw!$A:$A,Input_Raw!$CF:$CF),"")</f>
        <v/>
      </c>
      <c r="Y332" s="105" t="str">
        <f>IFERROR(_xlfn.XLOOKUP($A332,Input_Raw!$A:$A,Input_Raw!$CZ:$CZ),"")</f>
        <v/>
      </c>
      <c r="Z332" s="105" t="str">
        <f>IFERROR(_xlfn.XLOOKUP($A332,Input_Raw!$A:$A,Input_Raw!$DA:$DA),"")</f>
        <v/>
      </c>
      <c r="AA332" s="107" t="str">
        <f t="shared" si="35"/>
        <v/>
      </c>
      <c r="AB332" s="105" t="str">
        <f>IFERROR(_xlfn.XLOOKUP($A332,Input_Raw!$A:$A,Input_Raw!$DG:$DG),"")</f>
        <v/>
      </c>
      <c r="AC332" s="125">
        <f>IFERROR(_xlfn.XLOOKUP($D332,'Modelling New'!$D:$D,'Modelling New'!$J:$J),"")</f>
        <v>4.3</v>
      </c>
      <c r="AD332" s="107">
        <f>IFERROR(_xlfn.XLOOKUP($D332,'Modelling New'!$D:$D,'Modelling New'!$T:$T)*1000,"")</f>
        <v>171913.60080596086</v>
      </c>
      <c r="AE332" s="124"/>
      <c r="AF332" s="124">
        <f>IFERROR(_xlfn.XLOOKUP($D332,'Modelling New'!$D:$D,'Modelling New'!$W:$W),"")</f>
        <v>9.1834188464722688E-2</v>
      </c>
      <c r="AG332" s="124">
        <f>IFERROR(_xlfn.XLOOKUP($D332,'Modelling New'!$D:$D,'Modelling New'!$AE:$AE),"")</f>
        <v>0.96029999999999993</v>
      </c>
      <c r="AH332" s="124">
        <f>IFERROR(_xlfn.XLOOKUP($D332,'Modelling New'!$D:$D,'Modelling New'!$AF:$AF),"")</f>
        <v>0.995</v>
      </c>
      <c r="AI332" s="105" t="str">
        <f>IFERROR(_xlfn.XLOOKUP($A332,Input_Raw!$A:$A,Input_Raw!$DE:$DE),"")</f>
        <v/>
      </c>
      <c r="AJ332" s="105"/>
      <c r="AK332" s="105"/>
      <c r="AL332" s="105"/>
      <c r="AM332" s="105"/>
      <c r="AN332" s="126" t="str">
        <f>IFERROR(_xlfn.XLOOKUP($A332,Input_Raw!$A:$A,Input_Raw!$DB:$DB),"")</f>
        <v/>
      </c>
      <c r="AO332" s="124" t="str">
        <f>IFERROR((_xlfn.XLOOKUP($A332,'WTG Reactive Power'!$A:$A,'WTG Reactive Power'!$AR:$AR))/X332/1000,"")</f>
        <v/>
      </c>
      <c r="AP332" s="124">
        <f>IFERROR(_xlfn.XLOOKUP($D332,'Modelling New'!$D:$D,'Modelling New'!$AK:$AK),"")</f>
        <v>0.05</v>
      </c>
      <c r="AQ332" s="124">
        <f>IFERROR(_xlfn.XLOOKUP($D332,'Modelling New'!$D:$D,'Modelling New'!$AL:$AL),"")</f>
        <v>0.05</v>
      </c>
      <c r="AR332">
        <f>IFERROR(_xlfn.XLOOKUP($D332,'Modelling New'!$D:$D,'Modelling New'!$N:$N),"")</f>
        <v>78</v>
      </c>
    </row>
    <row r="333" spans="1:44">
      <c r="A333" s="118">
        <f t="shared" si="32"/>
        <v>46076</v>
      </c>
      <c r="B333" s="107">
        <f>YEAR(Table13[[#This Row],[Date]])+IF(MONTH(Table13[[#This Row],[Date]])&gt;=4,1,0)</f>
        <v>2026</v>
      </c>
      <c r="C333" s="105">
        <f>YEAR(Table13[[#This Row],[Date]])</f>
        <v>2026</v>
      </c>
      <c r="D333" s="119">
        <f>Table13[[#This Row],[Date]]-DAY(Table13[[#This Row],[Date]])+1</f>
        <v>46054</v>
      </c>
      <c r="E333" s="105">
        <f t="shared" si="33"/>
        <v>28</v>
      </c>
      <c r="F333" s="108"/>
      <c r="G333" s="109"/>
      <c r="H333" s="109"/>
      <c r="I333" s="109"/>
      <c r="J333" s="109"/>
      <c r="K333" s="120"/>
      <c r="L333" s="109"/>
      <c r="M333" s="109" t="str">
        <f>IFERROR(_xlfn.XLOOKUP($A333,Input_Raw!$A:$A,Input_Raw!CG:CG),"")</f>
        <v/>
      </c>
      <c r="N333" s="109" t="str">
        <f>IFERROR(_xlfn.XLOOKUP($A333,Input_Raw!$A:$A,Input_Raw!CH:CH),"")</f>
        <v/>
      </c>
      <c r="O333" s="121" t="str">
        <f t="shared" si="34"/>
        <v/>
      </c>
      <c r="P333" s="121" t="str">
        <f>IFERROR(1-SUMIF(WTG_BD!$F:$F,$A333,WTG_BD!$AA:$AA)/($AA333+SUMIF(WTG_BD!$F:$F,$A333,WTG_BD!$AA:$AA)),"")</f>
        <v/>
      </c>
      <c r="Q333" s="122" t="str">
        <f>IFERROR(1-SUMIF(IGA_BD!$F:$F,$A333,IGA_BD!$V:$V)/($AA333+SUMIF(IGA_BD!$F:$F,$A333,IGA_BD!$V:$V)),"")</f>
        <v/>
      </c>
      <c r="R333" s="127" t="str">
        <f>IFERROR(1-SUMIF(Grid_BD!$F:$F,$A333,Grid_BD!$X:$X)/($AA333+SUMIF(Grid_BD!$F:$F,$A333,Grid_BD!$X:$X)),"")</f>
        <v/>
      </c>
      <c r="S333" s="105"/>
      <c r="T333" s="122"/>
      <c r="U333" s="123"/>
      <c r="V333" s="105"/>
      <c r="W333" s="124" t="str">
        <f>IFERROR(Table13[[#This Row],[Mtr_Net_Exp (KWh)]]/(24*AR333*1000),"")</f>
        <v/>
      </c>
      <c r="X333" s="105" t="str">
        <f>IFERROR(_xlfn.XLOOKUP($A333,Input_Raw!$A:$A,Input_Raw!$CF:$CF),"")</f>
        <v/>
      </c>
      <c r="Y333" s="105" t="str">
        <f>IFERROR(_xlfn.XLOOKUP($A333,Input_Raw!$A:$A,Input_Raw!$CZ:$CZ),"")</f>
        <v/>
      </c>
      <c r="Z333" s="105" t="str">
        <f>IFERROR(_xlfn.XLOOKUP($A333,Input_Raw!$A:$A,Input_Raw!$DA:$DA),"")</f>
        <v/>
      </c>
      <c r="AA333" s="107" t="str">
        <f t="shared" si="35"/>
        <v/>
      </c>
      <c r="AB333" s="105" t="str">
        <f>IFERROR(_xlfn.XLOOKUP($A333,Input_Raw!$A:$A,Input_Raw!$DG:$DG),"")</f>
        <v/>
      </c>
      <c r="AC333" s="125">
        <f>IFERROR(_xlfn.XLOOKUP($D333,'Modelling New'!$D:$D,'Modelling New'!$J:$J),"")</f>
        <v>4.3</v>
      </c>
      <c r="AD333" s="107">
        <f>IFERROR(_xlfn.XLOOKUP($D333,'Modelling New'!$D:$D,'Modelling New'!$T:$T)*1000,"")</f>
        <v>171913.60080596086</v>
      </c>
      <c r="AE333" s="124"/>
      <c r="AF333" s="124">
        <f>IFERROR(_xlfn.XLOOKUP($D333,'Modelling New'!$D:$D,'Modelling New'!$W:$W),"")</f>
        <v>9.1834188464722688E-2</v>
      </c>
      <c r="AG333" s="124">
        <f>IFERROR(_xlfn.XLOOKUP($D333,'Modelling New'!$D:$D,'Modelling New'!$AE:$AE),"")</f>
        <v>0.96029999999999993</v>
      </c>
      <c r="AH333" s="124">
        <f>IFERROR(_xlfn.XLOOKUP($D333,'Modelling New'!$D:$D,'Modelling New'!$AF:$AF),"")</f>
        <v>0.995</v>
      </c>
      <c r="AI333" s="105" t="str">
        <f>IFERROR(_xlfn.XLOOKUP($A333,Input_Raw!$A:$A,Input_Raw!$DE:$DE),"")</f>
        <v/>
      </c>
      <c r="AJ333" s="105"/>
      <c r="AK333" s="105"/>
      <c r="AL333" s="105"/>
      <c r="AM333" s="105"/>
      <c r="AN333" s="126" t="str">
        <f>IFERROR(_xlfn.XLOOKUP($A333,Input_Raw!$A:$A,Input_Raw!$DB:$DB),"")</f>
        <v/>
      </c>
      <c r="AO333" s="124" t="str">
        <f>IFERROR((_xlfn.XLOOKUP($A333,'WTG Reactive Power'!$A:$A,'WTG Reactive Power'!$AR:$AR))/X333/1000,"")</f>
        <v/>
      </c>
      <c r="AP333" s="124">
        <f>IFERROR(_xlfn.XLOOKUP($D333,'Modelling New'!$D:$D,'Modelling New'!$AK:$AK),"")</f>
        <v>0.05</v>
      </c>
      <c r="AQ333" s="124">
        <f>IFERROR(_xlfn.XLOOKUP($D333,'Modelling New'!$D:$D,'Modelling New'!$AL:$AL),"")</f>
        <v>0.05</v>
      </c>
      <c r="AR333">
        <f>IFERROR(_xlfn.XLOOKUP($D333,'Modelling New'!$D:$D,'Modelling New'!$N:$N),"")</f>
        <v>78</v>
      </c>
    </row>
    <row r="334" spans="1:44">
      <c r="A334" s="118">
        <f t="shared" si="32"/>
        <v>46077</v>
      </c>
      <c r="B334" s="107">
        <f>YEAR(Table13[[#This Row],[Date]])+IF(MONTH(Table13[[#This Row],[Date]])&gt;=4,1,0)</f>
        <v>2026</v>
      </c>
      <c r="C334" s="105">
        <f>YEAR(Table13[[#This Row],[Date]])</f>
        <v>2026</v>
      </c>
      <c r="D334" s="119">
        <f>Table13[[#This Row],[Date]]-DAY(Table13[[#This Row],[Date]])+1</f>
        <v>46054</v>
      </c>
      <c r="E334" s="105">
        <f t="shared" si="33"/>
        <v>28</v>
      </c>
      <c r="F334" s="108"/>
      <c r="G334" s="109"/>
      <c r="H334" s="109"/>
      <c r="I334" s="109"/>
      <c r="J334" s="109"/>
      <c r="K334" s="120"/>
      <c r="L334" s="109"/>
      <c r="M334" s="109" t="str">
        <f>IFERROR(_xlfn.XLOOKUP($A334,Input_Raw!$A:$A,Input_Raw!CG:CG),"")</f>
        <v/>
      </c>
      <c r="N334" s="109" t="str">
        <f>IFERROR(_xlfn.XLOOKUP($A334,Input_Raw!$A:$A,Input_Raw!CH:CH),"")</f>
        <v/>
      </c>
      <c r="O334" s="121" t="str">
        <f t="shared" si="34"/>
        <v/>
      </c>
      <c r="P334" s="121" t="str">
        <f>IFERROR(1-SUMIF(WTG_BD!$F:$F,$A334,WTG_BD!$AA:$AA)/($AA334+SUMIF(WTG_BD!$F:$F,$A334,WTG_BD!$AA:$AA)),"")</f>
        <v/>
      </c>
      <c r="Q334" s="122" t="str">
        <f>IFERROR(1-SUMIF(IGA_BD!$F:$F,$A334,IGA_BD!$V:$V)/($AA334+SUMIF(IGA_BD!$F:$F,$A334,IGA_BD!$V:$V)),"")</f>
        <v/>
      </c>
      <c r="R334" s="127" t="str">
        <f>IFERROR(1-SUMIF(Grid_BD!$F:$F,$A334,Grid_BD!$X:$X)/($AA334+SUMIF(Grid_BD!$F:$F,$A334,Grid_BD!$X:$X)),"")</f>
        <v/>
      </c>
      <c r="S334" s="105"/>
      <c r="T334" s="122"/>
      <c r="U334" s="123"/>
      <c r="V334" s="105"/>
      <c r="W334" s="124" t="str">
        <f>IFERROR(Table13[[#This Row],[Mtr_Net_Exp (KWh)]]/(24*AR334*1000),"")</f>
        <v/>
      </c>
      <c r="X334" s="105" t="str">
        <f>IFERROR(_xlfn.XLOOKUP($A334,Input_Raw!$A:$A,Input_Raw!$CF:$CF),"")</f>
        <v/>
      </c>
      <c r="Y334" s="105" t="str">
        <f>IFERROR(_xlfn.XLOOKUP($A334,Input_Raw!$A:$A,Input_Raw!$CZ:$CZ),"")</f>
        <v/>
      </c>
      <c r="Z334" s="105" t="str">
        <f>IFERROR(_xlfn.XLOOKUP($A334,Input_Raw!$A:$A,Input_Raw!$DA:$DA),"")</f>
        <v/>
      </c>
      <c r="AA334" s="107" t="str">
        <f t="shared" si="35"/>
        <v/>
      </c>
      <c r="AB334" s="105" t="str">
        <f>IFERROR(_xlfn.XLOOKUP($A334,Input_Raw!$A:$A,Input_Raw!$DG:$DG),"")</f>
        <v/>
      </c>
      <c r="AC334" s="125">
        <f>IFERROR(_xlfn.XLOOKUP($D334,'Modelling New'!$D:$D,'Modelling New'!$J:$J),"")</f>
        <v>4.3</v>
      </c>
      <c r="AD334" s="107">
        <f>IFERROR(_xlfn.XLOOKUP($D334,'Modelling New'!$D:$D,'Modelling New'!$T:$T)*1000,"")</f>
        <v>171913.60080596086</v>
      </c>
      <c r="AE334" s="124"/>
      <c r="AF334" s="124">
        <f>IFERROR(_xlfn.XLOOKUP($D334,'Modelling New'!$D:$D,'Modelling New'!$W:$W),"")</f>
        <v>9.1834188464722688E-2</v>
      </c>
      <c r="AG334" s="124">
        <f>IFERROR(_xlfn.XLOOKUP($D334,'Modelling New'!$D:$D,'Modelling New'!$AE:$AE),"")</f>
        <v>0.96029999999999993</v>
      </c>
      <c r="AH334" s="124">
        <f>IFERROR(_xlfn.XLOOKUP($D334,'Modelling New'!$D:$D,'Modelling New'!$AF:$AF),"")</f>
        <v>0.995</v>
      </c>
      <c r="AI334" s="105" t="str">
        <f>IFERROR(_xlfn.XLOOKUP($A334,Input_Raw!$A:$A,Input_Raw!$DE:$DE),"")</f>
        <v/>
      </c>
      <c r="AJ334" s="105"/>
      <c r="AK334" s="105"/>
      <c r="AL334" s="105"/>
      <c r="AM334" s="105"/>
      <c r="AN334" s="126" t="str">
        <f>IFERROR(_xlfn.XLOOKUP($A334,Input_Raw!$A:$A,Input_Raw!$DB:$DB),"")</f>
        <v/>
      </c>
      <c r="AO334" s="124" t="str">
        <f>IFERROR((_xlfn.XLOOKUP($A334,'WTG Reactive Power'!$A:$A,'WTG Reactive Power'!$AR:$AR))/X334/1000,"")</f>
        <v/>
      </c>
      <c r="AP334" s="124">
        <f>IFERROR(_xlfn.XLOOKUP($D334,'Modelling New'!$D:$D,'Modelling New'!$AK:$AK),"")</f>
        <v>0.05</v>
      </c>
      <c r="AQ334" s="124">
        <f>IFERROR(_xlfn.XLOOKUP($D334,'Modelling New'!$D:$D,'Modelling New'!$AL:$AL),"")</f>
        <v>0.05</v>
      </c>
      <c r="AR334">
        <f>IFERROR(_xlfn.XLOOKUP($D334,'Modelling New'!$D:$D,'Modelling New'!$N:$N),"")</f>
        <v>78</v>
      </c>
    </row>
    <row r="335" spans="1:44">
      <c r="A335" s="118">
        <f t="shared" si="32"/>
        <v>46078</v>
      </c>
      <c r="B335" s="107">
        <f>YEAR(Table13[[#This Row],[Date]])+IF(MONTH(Table13[[#This Row],[Date]])&gt;=4,1,0)</f>
        <v>2026</v>
      </c>
      <c r="C335" s="105">
        <f>YEAR(Table13[[#This Row],[Date]])</f>
        <v>2026</v>
      </c>
      <c r="D335" s="119">
        <f>Table13[[#This Row],[Date]]-DAY(Table13[[#This Row],[Date]])+1</f>
        <v>46054</v>
      </c>
      <c r="E335" s="105">
        <f t="shared" si="33"/>
        <v>28</v>
      </c>
      <c r="F335" s="108"/>
      <c r="G335" s="109"/>
      <c r="H335" s="109"/>
      <c r="I335" s="109"/>
      <c r="J335" s="109"/>
      <c r="K335" s="120"/>
      <c r="L335" s="109"/>
      <c r="M335" s="109" t="str">
        <f>IFERROR(_xlfn.XLOOKUP($A335,Input_Raw!$A:$A,Input_Raw!CG:CG),"")</f>
        <v/>
      </c>
      <c r="N335" s="109" t="str">
        <f>IFERROR(_xlfn.XLOOKUP($A335,Input_Raw!$A:$A,Input_Raw!CH:CH),"")</f>
        <v/>
      </c>
      <c r="O335" s="121" t="str">
        <f t="shared" si="34"/>
        <v/>
      </c>
      <c r="P335" s="121" t="str">
        <f>IFERROR(1-SUMIF(WTG_BD!$F:$F,$A335,WTG_BD!$AA:$AA)/($AA335+SUMIF(WTG_BD!$F:$F,$A335,WTG_BD!$AA:$AA)),"")</f>
        <v/>
      </c>
      <c r="Q335" s="122" t="str">
        <f>IFERROR(1-SUMIF(IGA_BD!$F:$F,$A335,IGA_BD!$V:$V)/($AA335+SUMIF(IGA_BD!$F:$F,$A335,IGA_BD!$V:$V)),"")</f>
        <v/>
      </c>
      <c r="R335" s="127" t="str">
        <f>IFERROR(1-SUMIF(Grid_BD!$F:$F,$A335,Grid_BD!$X:$X)/($AA335+SUMIF(Grid_BD!$F:$F,$A335,Grid_BD!$X:$X)),"")</f>
        <v/>
      </c>
      <c r="S335" s="105"/>
      <c r="T335" s="122"/>
      <c r="U335" s="123"/>
      <c r="V335" s="105"/>
      <c r="W335" s="124" t="str">
        <f>IFERROR(Table13[[#This Row],[Mtr_Net_Exp (KWh)]]/(24*AR335*1000),"")</f>
        <v/>
      </c>
      <c r="X335" s="105" t="str">
        <f>IFERROR(_xlfn.XLOOKUP($A335,Input_Raw!$A:$A,Input_Raw!$CF:$CF),"")</f>
        <v/>
      </c>
      <c r="Y335" s="105" t="str">
        <f>IFERROR(_xlfn.XLOOKUP($A335,Input_Raw!$A:$A,Input_Raw!$CZ:$CZ),"")</f>
        <v/>
      </c>
      <c r="Z335" s="105" t="str">
        <f>IFERROR(_xlfn.XLOOKUP($A335,Input_Raw!$A:$A,Input_Raw!$DA:$DA),"")</f>
        <v/>
      </c>
      <c r="AA335" s="107" t="str">
        <f t="shared" si="35"/>
        <v/>
      </c>
      <c r="AB335" s="105" t="str">
        <f>IFERROR(_xlfn.XLOOKUP($A335,Input_Raw!$A:$A,Input_Raw!$DG:$DG),"")</f>
        <v/>
      </c>
      <c r="AC335" s="125">
        <f>IFERROR(_xlfn.XLOOKUP($D335,'Modelling New'!$D:$D,'Modelling New'!$J:$J),"")</f>
        <v>4.3</v>
      </c>
      <c r="AD335" s="107">
        <f>IFERROR(_xlfn.XLOOKUP($D335,'Modelling New'!$D:$D,'Modelling New'!$T:$T)*1000,"")</f>
        <v>171913.60080596086</v>
      </c>
      <c r="AE335" s="124"/>
      <c r="AF335" s="124">
        <f>IFERROR(_xlfn.XLOOKUP($D335,'Modelling New'!$D:$D,'Modelling New'!$W:$W),"")</f>
        <v>9.1834188464722688E-2</v>
      </c>
      <c r="AG335" s="124">
        <f>IFERROR(_xlfn.XLOOKUP($D335,'Modelling New'!$D:$D,'Modelling New'!$AE:$AE),"")</f>
        <v>0.96029999999999993</v>
      </c>
      <c r="AH335" s="124">
        <f>IFERROR(_xlfn.XLOOKUP($D335,'Modelling New'!$D:$D,'Modelling New'!$AF:$AF),"")</f>
        <v>0.995</v>
      </c>
      <c r="AI335" s="105" t="str">
        <f>IFERROR(_xlfn.XLOOKUP($A335,Input_Raw!$A:$A,Input_Raw!$DE:$DE),"")</f>
        <v/>
      </c>
      <c r="AJ335" s="105"/>
      <c r="AK335" s="105"/>
      <c r="AL335" s="105"/>
      <c r="AM335" s="105"/>
      <c r="AN335" s="126" t="str">
        <f>IFERROR(_xlfn.XLOOKUP($A335,Input_Raw!$A:$A,Input_Raw!$DB:$DB),"")</f>
        <v/>
      </c>
      <c r="AO335" s="124" t="str">
        <f>IFERROR((_xlfn.XLOOKUP($A335,'WTG Reactive Power'!$A:$A,'WTG Reactive Power'!$AR:$AR))/X335/1000,"")</f>
        <v/>
      </c>
      <c r="AP335" s="124">
        <f>IFERROR(_xlfn.XLOOKUP($D335,'Modelling New'!$D:$D,'Modelling New'!$AK:$AK),"")</f>
        <v>0.05</v>
      </c>
      <c r="AQ335" s="124">
        <f>IFERROR(_xlfn.XLOOKUP($D335,'Modelling New'!$D:$D,'Modelling New'!$AL:$AL),"")</f>
        <v>0.05</v>
      </c>
      <c r="AR335">
        <f>IFERROR(_xlfn.XLOOKUP($D335,'Modelling New'!$D:$D,'Modelling New'!$N:$N),"")</f>
        <v>78</v>
      </c>
    </row>
    <row r="336" spans="1:44">
      <c r="A336" s="118">
        <f t="shared" si="32"/>
        <v>46079</v>
      </c>
      <c r="B336" s="107">
        <f>YEAR(Table13[[#This Row],[Date]])+IF(MONTH(Table13[[#This Row],[Date]])&gt;=4,1,0)</f>
        <v>2026</v>
      </c>
      <c r="C336" s="105">
        <f>YEAR(Table13[[#This Row],[Date]])</f>
        <v>2026</v>
      </c>
      <c r="D336" s="119">
        <f>Table13[[#This Row],[Date]]-DAY(Table13[[#This Row],[Date]])+1</f>
        <v>46054</v>
      </c>
      <c r="E336" s="105">
        <f t="shared" si="33"/>
        <v>28</v>
      </c>
      <c r="F336" s="108"/>
      <c r="G336" s="109"/>
      <c r="H336" s="109"/>
      <c r="I336" s="109"/>
      <c r="J336" s="109"/>
      <c r="K336" s="120"/>
      <c r="L336" s="109"/>
      <c r="M336" s="109" t="str">
        <f>IFERROR(_xlfn.XLOOKUP($A336,Input_Raw!$A:$A,Input_Raw!CG:CG),"")</f>
        <v/>
      </c>
      <c r="N336" s="109" t="str">
        <f>IFERROR(_xlfn.XLOOKUP($A336,Input_Raw!$A:$A,Input_Raw!CH:CH),"")</f>
        <v/>
      </c>
      <c r="O336" s="121" t="str">
        <f t="shared" si="34"/>
        <v/>
      </c>
      <c r="P336" s="121" t="str">
        <f>IFERROR(1-SUMIF(WTG_BD!$F:$F,$A336,WTG_BD!$AA:$AA)/($AA336+SUMIF(WTG_BD!$F:$F,$A336,WTG_BD!$AA:$AA)),"")</f>
        <v/>
      </c>
      <c r="Q336" s="122" t="str">
        <f>IFERROR(1-SUMIF(IGA_BD!$F:$F,$A336,IGA_BD!$V:$V)/($AA336+SUMIF(IGA_BD!$F:$F,$A336,IGA_BD!$V:$V)),"")</f>
        <v/>
      </c>
      <c r="R336" s="127" t="str">
        <f>IFERROR(1-SUMIF(Grid_BD!$F:$F,$A336,Grid_BD!$X:$X)/($AA336+SUMIF(Grid_BD!$F:$F,$A336,Grid_BD!$X:$X)),"")</f>
        <v/>
      </c>
      <c r="S336" s="105"/>
      <c r="T336" s="122"/>
      <c r="U336" s="123"/>
      <c r="V336" s="105"/>
      <c r="W336" s="124" t="str">
        <f>IFERROR(Table13[[#This Row],[Mtr_Net_Exp (KWh)]]/(24*AR336*1000),"")</f>
        <v/>
      </c>
      <c r="X336" s="105" t="str">
        <f>IFERROR(_xlfn.XLOOKUP($A336,Input_Raw!$A:$A,Input_Raw!$CF:$CF),"")</f>
        <v/>
      </c>
      <c r="Y336" s="105" t="str">
        <f>IFERROR(_xlfn.XLOOKUP($A336,Input_Raw!$A:$A,Input_Raw!$CZ:$CZ),"")</f>
        <v/>
      </c>
      <c r="Z336" s="105" t="str">
        <f>IFERROR(_xlfn.XLOOKUP($A336,Input_Raw!$A:$A,Input_Raw!$DA:$DA),"")</f>
        <v/>
      </c>
      <c r="AA336" s="107" t="str">
        <f t="shared" si="35"/>
        <v/>
      </c>
      <c r="AB336" s="105" t="str">
        <f>IFERROR(_xlfn.XLOOKUP($A336,Input_Raw!$A:$A,Input_Raw!$DG:$DG),"")</f>
        <v/>
      </c>
      <c r="AC336" s="125">
        <f>IFERROR(_xlfn.XLOOKUP($D336,'Modelling New'!$D:$D,'Modelling New'!$J:$J),"")</f>
        <v>4.3</v>
      </c>
      <c r="AD336" s="107">
        <f>IFERROR(_xlfn.XLOOKUP($D336,'Modelling New'!$D:$D,'Modelling New'!$T:$T)*1000,"")</f>
        <v>171913.60080596086</v>
      </c>
      <c r="AE336" s="124"/>
      <c r="AF336" s="124">
        <f>IFERROR(_xlfn.XLOOKUP($D336,'Modelling New'!$D:$D,'Modelling New'!$W:$W),"")</f>
        <v>9.1834188464722688E-2</v>
      </c>
      <c r="AG336" s="124">
        <f>IFERROR(_xlfn.XLOOKUP($D336,'Modelling New'!$D:$D,'Modelling New'!$AE:$AE),"")</f>
        <v>0.96029999999999993</v>
      </c>
      <c r="AH336" s="124">
        <f>IFERROR(_xlfn.XLOOKUP($D336,'Modelling New'!$D:$D,'Modelling New'!$AF:$AF),"")</f>
        <v>0.995</v>
      </c>
      <c r="AI336" s="105" t="str">
        <f>IFERROR(_xlfn.XLOOKUP($A336,Input_Raw!$A:$A,Input_Raw!$DE:$DE),"")</f>
        <v/>
      </c>
      <c r="AJ336" s="105"/>
      <c r="AK336" s="105"/>
      <c r="AL336" s="105"/>
      <c r="AM336" s="105"/>
      <c r="AN336" s="126" t="str">
        <f>IFERROR(_xlfn.XLOOKUP($A336,Input_Raw!$A:$A,Input_Raw!$DB:$DB),"")</f>
        <v/>
      </c>
      <c r="AO336" s="124" t="str">
        <f>IFERROR((_xlfn.XLOOKUP($A336,'WTG Reactive Power'!$A:$A,'WTG Reactive Power'!$AR:$AR))/X336/1000,"")</f>
        <v/>
      </c>
      <c r="AP336" s="124">
        <f>IFERROR(_xlfn.XLOOKUP($D336,'Modelling New'!$D:$D,'Modelling New'!$AK:$AK),"")</f>
        <v>0.05</v>
      </c>
      <c r="AQ336" s="124">
        <f>IFERROR(_xlfn.XLOOKUP($D336,'Modelling New'!$D:$D,'Modelling New'!$AL:$AL),"")</f>
        <v>0.05</v>
      </c>
      <c r="AR336">
        <f>IFERROR(_xlfn.XLOOKUP($D336,'Modelling New'!$D:$D,'Modelling New'!$N:$N),"")</f>
        <v>78</v>
      </c>
    </row>
    <row r="337" spans="1:44">
      <c r="A337" s="118">
        <f t="shared" si="32"/>
        <v>46080</v>
      </c>
      <c r="B337" s="107">
        <f>YEAR(Table13[[#This Row],[Date]])+IF(MONTH(Table13[[#This Row],[Date]])&gt;=4,1,0)</f>
        <v>2026</v>
      </c>
      <c r="C337" s="105">
        <f>YEAR(Table13[[#This Row],[Date]])</f>
        <v>2026</v>
      </c>
      <c r="D337" s="119">
        <f>Table13[[#This Row],[Date]]-DAY(Table13[[#This Row],[Date]])+1</f>
        <v>46054</v>
      </c>
      <c r="E337" s="105">
        <f t="shared" si="33"/>
        <v>28</v>
      </c>
      <c r="F337" s="108"/>
      <c r="G337" s="109"/>
      <c r="H337" s="109"/>
      <c r="I337" s="109"/>
      <c r="J337" s="109"/>
      <c r="K337" s="120"/>
      <c r="L337" s="109"/>
      <c r="M337" s="109" t="str">
        <f>IFERROR(_xlfn.XLOOKUP($A337,Input_Raw!$A:$A,Input_Raw!CG:CG),"")</f>
        <v/>
      </c>
      <c r="N337" s="109" t="str">
        <f>IFERROR(_xlfn.XLOOKUP($A337,Input_Raw!$A:$A,Input_Raw!CH:CH),"")</f>
        <v/>
      </c>
      <c r="O337" s="121" t="str">
        <f t="shared" si="34"/>
        <v/>
      </c>
      <c r="P337" s="121" t="str">
        <f>IFERROR(1-SUMIF(WTG_BD!$F:$F,$A337,WTG_BD!$AA:$AA)/($AA337+SUMIF(WTG_BD!$F:$F,$A337,WTG_BD!$AA:$AA)),"")</f>
        <v/>
      </c>
      <c r="Q337" s="122" t="str">
        <f>IFERROR(1-SUMIF(IGA_BD!$F:$F,$A337,IGA_BD!$V:$V)/($AA337+SUMIF(IGA_BD!$F:$F,$A337,IGA_BD!$V:$V)),"")</f>
        <v/>
      </c>
      <c r="R337" s="127" t="str">
        <f>IFERROR(1-SUMIF(Grid_BD!$F:$F,$A337,Grid_BD!$X:$X)/($AA337+SUMIF(Grid_BD!$F:$F,$A337,Grid_BD!$X:$X)),"")</f>
        <v/>
      </c>
      <c r="S337" s="105"/>
      <c r="T337" s="122"/>
      <c r="U337" s="123"/>
      <c r="V337" s="105"/>
      <c r="W337" s="124" t="str">
        <f>IFERROR(Table13[[#This Row],[Mtr_Net_Exp (KWh)]]/(24*AR337*1000),"")</f>
        <v/>
      </c>
      <c r="X337" s="105" t="str">
        <f>IFERROR(_xlfn.XLOOKUP($A337,Input_Raw!$A:$A,Input_Raw!$CF:$CF),"")</f>
        <v/>
      </c>
      <c r="Y337" s="105" t="str">
        <f>IFERROR(_xlfn.XLOOKUP($A337,Input_Raw!$A:$A,Input_Raw!$CZ:$CZ),"")</f>
        <v/>
      </c>
      <c r="Z337" s="105" t="str">
        <f>IFERROR(_xlfn.XLOOKUP($A337,Input_Raw!$A:$A,Input_Raw!$DA:$DA),"")</f>
        <v/>
      </c>
      <c r="AA337" s="107" t="str">
        <f t="shared" si="35"/>
        <v/>
      </c>
      <c r="AB337" s="105" t="str">
        <f>IFERROR(_xlfn.XLOOKUP($A337,Input_Raw!$A:$A,Input_Raw!$DG:$DG),"")</f>
        <v/>
      </c>
      <c r="AC337" s="125">
        <f>IFERROR(_xlfn.XLOOKUP($D337,'Modelling New'!$D:$D,'Modelling New'!$J:$J),"")</f>
        <v>4.3</v>
      </c>
      <c r="AD337" s="107">
        <f>IFERROR(_xlfn.XLOOKUP($D337,'Modelling New'!$D:$D,'Modelling New'!$T:$T)*1000,"")</f>
        <v>171913.60080596086</v>
      </c>
      <c r="AE337" s="124"/>
      <c r="AF337" s="124">
        <f>IFERROR(_xlfn.XLOOKUP($D337,'Modelling New'!$D:$D,'Modelling New'!$W:$W),"")</f>
        <v>9.1834188464722688E-2</v>
      </c>
      <c r="AG337" s="124">
        <f>IFERROR(_xlfn.XLOOKUP($D337,'Modelling New'!$D:$D,'Modelling New'!$AE:$AE),"")</f>
        <v>0.96029999999999993</v>
      </c>
      <c r="AH337" s="124">
        <f>IFERROR(_xlfn.XLOOKUP($D337,'Modelling New'!$D:$D,'Modelling New'!$AF:$AF),"")</f>
        <v>0.995</v>
      </c>
      <c r="AI337" s="105" t="str">
        <f>IFERROR(_xlfn.XLOOKUP($A337,Input_Raw!$A:$A,Input_Raw!$DE:$DE),"")</f>
        <v/>
      </c>
      <c r="AJ337" s="105"/>
      <c r="AK337" s="105"/>
      <c r="AL337" s="105"/>
      <c r="AM337" s="105"/>
      <c r="AN337" s="126" t="str">
        <f>IFERROR(_xlfn.XLOOKUP($A337,Input_Raw!$A:$A,Input_Raw!$DB:$DB),"")</f>
        <v/>
      </c>
      <c r="AO337" s="124" t="str">
        <f>IFERROR((_xlfn.XLOOKUP($A337,'WTG Reactive Power'!$A:$A,'WTG Reactive Power'!$AR:$AR))/X337/1000,"")</f>
        <v/>
      </c>
      <c r="AP337" s="124">
        <f>IFERROR(_xlfn.XLOOKUP($D337,'Modelling New'!$D:$D,'Modelling New'!$AK:$AK),"")</f>
        <v>0.05</v>
      </c>
      <c r="AQ337" s="124">
        <f>IFERROR(_xlfn.XLOOKUP($D337,'Modelling New'!$D:$D,'Modelling New'!$AL:$AL),"")</f>
        <v>0.05</v>
      </c>
      <c r="AR337">
        <f>IFERROR(_xlfn.XLOOKUP($D337,'Modelling New'!$D:$D,'Modelling New'!$N:$N),"")</f>
        <v>78</v>
      </c>
    </row>
    <row r="338" spans="1:44">
      <c r="A338" s="118">
        <f t="shared" si="32"/>
        <v>46081</v>
      </c>
      <c r="B338" s="107">
        <f>YEAR(Table13[[#This Row],[Date]])+IF(MONTH(Table13[[#This Row],[Date]])&gt;=4,1,0)</f>
        <v>2026</v>
      </c>
      <c r="C338" s="105">
        <f>YEAR(Table13[[#This Row],[Date]])</f>
        <v>2026</v>
      </c>
      <c r="D338" s="119">
        <f>Table13[[#This Row],[Date]]-DAY(Table13[[#This Row],[Date]])+1</f>
        <v>46054</v>
      </c>
      <c r="E338" s="105">
        <f t="shared" si="33"/>
        <v>28</v>
      </c>
      <c r="F338" s="108"/>
      <c r="G338" s="109"/>
      <c r="H338" s="109"/>
      <c r="I338" s="109"/>
      <c r="J338" s="109"/>
      <c r="K338" s="120"/>
      <c r="L338" s="109"/>
      <c r="M338" s="109" t="str">
        <f>IFERROR(_xlfn.XLOOKUP($A338,Input_Raw!$A:$A,Input_Raw!CG:CG),"")</f>
        <v/>
      </c>
      <c r="N338" s="109" t="str">
        <f>IFERROR(_xlfn.XLOOKUP($A338,Input_Raw!$A:$A,Input_Raw!CH:CH),"")</f>
        <v/>
      </c>
      <c r="O338" s="121" t="str">
        <f t="shared" si="34"/>
        <v/>
      </c>
      <c r="P338" s="121" t="str">
        <f>IFERROR(1-SUMIF(WTG_BD!$F:$F,$A338,WTG_BD!$AA:$AA)/($AA338+SUMIF(WTG_BD!$F:$F,$A338,WTG_BD!$AA:$AA)),"")</f>
        <v/>
      </c>
      <c r="Q338" s="122" t="str">
        <f>IFERROR(1-SUMIF(IGA_BD!$F:$F,$A338,IGA_BD!$V:$V)/($AA338+SUMIF(IGA_BD!$F:$F,$A338,IGA_BD!$V:$V)),"")</f>
        <v/>
      </c>
      <c r="R338" s="127" t="str">
        <f>IFERROR(1-SUMIF(Grid_BD!$F:$F,$A338,Grid_BD!$X:$X)/($AA338+SUMIF(Grid_BD!$F:$F,$A338,Grid_BD!$X:$X)),"")</f>
        <v/>
      </c>
      <c r="S338" s="105"/>
      <c r="T338" s="122"/>
      <c r="U338" s="123"/>
      <c r="V338" s="105"/>
      <c r="W338" s="124" t="str">
        <f>IFERROR(Table13[[#This Row],[Mtr_Net_Exp (KWh)]]/(24*AR338*1000),"")</f>
        <v/>
      </c>
      <c r="X338" s="105" t="str">
        <f>IFERROR(_xlfn.XLOOKUP($A338,Input_Raw!$A:$A,Input_Raw!$CF:$CF),"")</f>
        <v/>
      </c>
      <c r="Y338" s="105" t="str">
        <f>IFERROR(_xlfn.XLOOKUP($A338,Input_Raw!$A:$A,Input_Raw!$CZ:$CZ),"")</f>
        <v/>
      </c>
      <c r="Z338" s="105" t="str">
        <f>IFERROR(_xlfn.XLOOKUP($A338,Input_Raw!$A:$A,Input_Raw!$DA:$DA),"")</f>
        <v/>
      </c>
      <c r="AA338" s="107" t="str">
        <f t="shared" si="35"/>
        <v/>
      </c>
      <c r="AB338" s="105" t="str">
        <f>IFERROR(_xlfn.XLOOKUP($A338,Input_Raw!$A:$A,Input_Raw!$DG:$DG),"")</f>
        <v/>
      </c>
      <c r="AC338" s="125">
        <f>IFERROR(_xlfn.XLOOKUP($D338,'Modelling New'!$D:$D,'Modelling New'!$J:$J),"")</f>
        <v>4.3</v>
      </c>
      <c r="AD338" s="107">
        <f>IFERROR(_xlfn.XLOOKUP($D338,'Modelling New'!$D:$D,'Modelling New'!$T:$T)*1000,"")</f>
        <v>171913.60080596086</v>
      </c>
      <c r="AE338" s="124"/>
      <c r="AF338" s="124">
        <f>IFERROR(_xlfn.XLOOKUP($D338,'Modelling New'!$D:$D,'Modelling New'!$W:$W),"")</f>
        <v>9.1834188464722688E-2</v>
      </c>
      <c r="AG338" s="124">
        <f>IFERROR(_xlfn.XLOOKUP($D338,'Modelling New'!$D:$D,'Modelling New'!$AE:$AE),"")</f>
        <v>0.96029999999999993</v>
      </c>
      <c r="AH338" s="124">
        <f>IFERROR(_xlfn.XLOOKUP($D338,'Modelling New'!$D:$D,'Modelling New'!$AF:$AF),"")</f>
        <v>0.995</v>
      </c>
      <c r="AI338" s="105" t="str">
        <f>IFERROR(_xlfn.XLOOKUP($A338,Input_Raw!$A:$A,Input_Raw!$DE:$DE),"")</f>
        <v/>
      </c>
      <c r="AJ338" s="105"/>
      <c r="AK338" s="105"/>
      <c r="AL338" s="105"/>
      <c r="AM338" s="105"/>
      <c r="AN338" s="126" t="str">
        <f>IFERROR(_xlfn.XLOOKUP($A338,Input_Raw!$A:$A,Input_Raw!$DB:$DB),"")</f>
        <v/>
      </c>
      <c r="AO338" s="124" t="str">
        <f>IFERROR((_xlfn.XLOOKUP($A338,'WTG Reactive Power'!$A:$A,'WTG Reactive Power'!$AR:$AR))/X338/1000,"")</f>
        <v/>
      </c>
      <c r="AP338" s="124">
        <f>IFERROR(_xlfn.XLOOKUP($D338,'Modelling New'!$D:$D,'Modelling New'!$AK:$AK),"")</f>
        <v>0.05</v>
      </c>
      <c r="AQ338" s="124">
        <f>IFERROR(_xlfn.XLOOKUP($D338,'Modelling New'!$D:$D,'Modelling New'!$AL:$AL),"")</f>
        <v>0.05</v>
      </c>
      <c r="AR338">
        <f>IFERROR(_xlfn.XLOOKUP($D338,'Modelling New'!$D:$D,'Modelling New'!$N:$N),"")</f>
        <v>78</v>
      </c>
    </row>
    <row r="339" spans="1:44">
      <c r="A339" s="118">
        <f t="shared" si="32"/>
        <v>46082</v>
      </c>
      <c r="B339" s="107">
        <f>YEAR(Table13[[#This Row],[Date]])+IF(MONTH(Table13[[#This Row],[Date]])&gt;=4,1,0)</f>
        <v>2026</v>
      </c>
      <c r="C339" s="105">
        <f>YEAR(Table13[[#This Row],[Date]])</f>
        <v>2026</v>
      </c>
      <c r="D339" s="119">
        <f>Table13[[#This Row],[Date]]-DAY(Table13[[#This Row],[Date]])+1</f>
        <v>46082</v>
      </c>
      <c r="E339" s="105">
        <f t="shared" si="33"/>
        <v>31</v>
      </c>
      <c r="F339" s="108"/>
      <c r="G339" s="109"/>
      <c r="H339" s="109"/>
      <c r="I339" s="109"/>
      <c r="J339" s="109"/>
      <c r="K339" s="120"/>
      <c r="L339" s="109"/>
      <c r="M339" s="109" t="str">
        <f>IFERROR(_xlfn.XLOOKUP($A339,Input_Raw!$A:$A,Input_Raw!CG:CG),"")</f>
        <v/>
      </c>
      <c r="N339" s="109" t="str">
        <f>IFERROR(_xlfn.XLOOKUP($A339,Input_Raw!$A:$A,Input_Raw!CH:CH),"")</f>
        <v/>
      </c>
      <c r="O339" s="121" t="str">
        <f t="shared" si="34"/>
        <v/>
      </c>
      <c r="P339" s="121" t="str">
        <f>IFERROR(1-SUMIF(WTG_BD!$F:$F,$A339,WTG_BD!$AA:$AA)/($AA339+SUMIF(WTG_BD!$F:$F,$A339,WTG_BD!$AA:$AA)),"")</f>
        <v/>
      </c>
      <c r="Q339" s="122" t="str">
        <f>IFERROR(1-SUMIF(IGA_BD!$F:$F,$A339,IGA_BD!$V:$V)/($AA339+SUMIF(IGA_BD!$F:$F,$A339,IGA_BD!$V:$V)),"")</f>
        <v/>
      </c>
      <c r="R339" s="127" t="str">
        <f>IFERROR(1-SUMIF(Grid_BD!$F:$F,$A339,Grid_BD!$X:$X)/($AA339+SUMIF(Grid_BD!$F:$F,$A339,Grid_BD!$X:$X)),"")</f>
        <v/>
      </c>
      <c r="S339" s="105"/>
      <c r="T339" s="122"/>
      <c r="U339" s="123"/>
      <c r="V339" s="105"/>
      <c r="W339" s="124" t="str">
        <f>IFERROR(Table13[[#This Row],[Mtr_Net_Exp (KWh)]]/(24*AR339*1000),"")</f>
        <v/>
      </c>
      <c r="X339" s="105" t="str">
        <f>IFERROR(_xlfn.XLOOKUP($A339,Input_Raw!$A:$A,Input_Raw!$CF:$CF),"")</f>
        <v/>
      </c>
      <c r="Y339" s="105" t="str">
        <f>IFERROR(_xlfn.XLOOKUP($A339,Input_Raw!$A:$A,Input_Raw!$CZ:$CZ),"")</f>
        <v/>
      </c>
      <c r="Z339" s="105" t="str">
        <f>IFERROR(_xlfn.XLOOKUP($A339,Input_Raw!$A:$A,Input_Raw!$DA:$DA),"")</f>
        <v/>
      </c>
      <c r="AA339" s="107" t="str">
        <f t="shared" si="35"/>
        <v/>
      </c>
      <c r="AB339" s="105" t="str">
        <f>IFERROR(_xlfn.XLOOKUP($A339,Input_Raw!$A:$A,Input_Raw!$DG:$DG),"")</f>
        <v/>
      </c>
      <c r="AC339" s="125">
        <f>IFERROR(_xlfn.XLOOKUP($D339,'Modelling New'!$D:$D,'Modelling New'!$J:$J),"")</f>
        <v>4.5999999999999996</v>
      </c>
      <c r="AD339" s="107">
        <f>IFERROR(_xlfn.XLOOKUP($D339,'Modelling New'!$D:$D,'Modelling New'!$T:$T)*1000,"")</f>
        <v>221156.23146397382</v>
      </c>
      <c r="AE339" s="124"/>
      <c r="AF339" s="124">
        <f>IFERROR(_xlfn.XLOOKUP($D339,'Modelling New'!$D:$D,'Modelling New'!$W:$W),"")</f>
        <v>0.11813901253417405</v>
      </c>
      <c r="AG339" s="124">
        <f>IFERROR(_xlfn.XLOOKUP($D339,'Modelling New'!$D:$D,'Modelling New'!$AE:$AE),"")</f>
        <v>0.96029999999999993</v>
      </c>
      <c r="AH339" s="124">
        <f>IFERROR(_xlfn.XLOOKUP($D339,'Modelling New'!$D:$D,'Modelling New'!$AF:$AF),"")</f>
        <v>0.995</v>
      </c>
      <c r="AI339" s="105" t="str">
        <f>IFERROR(_xlfn.XLOOKUP($A339,Input_Raw!$A:$A,Input_Raw!$DE:$DE),"")</f>
        <v/>
      </c>
      <c r="AJ339" s="105"/>
      <c r="AK339" s="105"/>
      <c r="AL339" s="105"/>
      <c r="AM339" s="105"/>
      <c r="AN339" s="126" t="str">
        <f>IFERROR(_xlfn.XLOOKUP($A339,Input_Raw!$A:$A,Input_Raw!$DB:$DB),"")</f>
        <v/>
      </c>
      <c r="AO339" s="124" t="str">
        <f>IFERROR((_xlfn.XLOOKUP($A339,'WTG Reactive Power'!$A:$A,'WTG Reactive Power'!$AR:$AR))/X339/1000,"")</f>
        <v/>
      </c>
      <c r="AP339" s="124">
        <f>IFERROR(_xlfn.XLOOKUP($D339,'Modelling New'!$D:$D,'Modelling New'!$AK:$AK),"")</f>
        <v>0.05</v>
      </c>
      <c r="AQ339" s="124">
        <f>IFERROR(_xlfn.XLOOKUP($D339,'Modelling New'!$D:$D,'Modelling New'!$AL:$AL),"")</f>
        <v>0.05</v>
      </c>
      <c r="AR339">
        <f>IFERROR(_xlfn.XLOOKUP($D339,'Modelling New'!$D:$D,'Modelling New'!$N:$N),"")</f>
        <v>78</v>
      </c>
    </row>
    <row r="340" spans="1:44">
      <c r="A340" s="118">
        <f t="shared" si="32"/>
        <v>46083</v>
      </c>
      <c r="B340" s="107">
        <f>YEAR(Table13[[#This Row],[Date]])+IF(MONTH(Table13[[#This Row],[Date]])&gt;=4,1,0)</f>
        <v>2026</v>
      </c>
      <c r="C340" s="105">
        <f>YEAR(Table13[[#This Row],[Date]])</f>
        <v>2026</v>
      </c>
      <c r="D340" s="119">
        <f>Table13[[#This Row],[Date]]-DAY(Table13[[#This Row],[Date]])+1</f>
        <v>46082</v>
      </c>
      <c r="E340" s="105">
        <f t="shared" si="33"/>
        <v>31</v>
      </c>
      <c r="F340" s="108"/>
      <c r="G340" s="109"/>
      <c r="H340" s="109"/>
      <c r="I340" s="109"/>
      <c r="J340" s="109"/>
      <c r="K340" s="120"/>
      <c r="L340" s="109"/>
      <c r="M340" s="109" t="str">
        <f>IFERROR(_xlfn.XLOOKUP($A340,Input_Raw!$A:$A,Input_Raw!CG:CG),"")</f>
        <v/>
      </c>
      <c r="N340" s="109" t="str">
        <f>IFERROR(_xlfn.XLOOKUP($A340,Input_Raw!$A:$A,Input_Raw!CH:CH),"")</f>
        <v/>
      </c>
      <c r="O340" s="121" t="str">
        <f t="shared" si="34"/>
        <v/>
      </c>
      <c r="P340" s="121" t="str">
        <f>IFERROR(1-SUMIF(WTG_BD!$F:$F,$A340,WTG_BD!$AA:$AA)/($AA340+SUMIF(WTG_BD!$F:$F,$A340,WTG_BD!$AA:$AA)),"")</f>
        <v/>
      </c>
      <c r="Q340" s="122" t="str">
        <f>IFERROR(1-SUMIF(IGA_BD!$F:$F,$A340,IGA_BD!$V:$V)/($AA340+SUMIF(IGA_BD!$F:$F,$A340,IGA_BD!$V:$V)),"")</f>
        <v/>
      </c>
      <c r="R340" s="127" t="str">
        <f>IFERROR(1-SUMIF(Grid_BD!$F:$F,$A340,Grid_BD!$X:$X)/($AA340+SUMIF(Grid_BD!$F:$F,$A340,Grid_BD!$X:$X)),"")</f>
        <v/>
      </c>
      <c r="S340" s="105"/>
      <c r="T340" s="122"/>
      <c r="U340" s="123"/>
      <c r="V340" s="105"/>
      <c r="W340" s="124" t="str">
        <f>IFERROR(Table13[[#This Row],[Mtr_Net_Exp (KWh)]]/(24*AR340*1000),"")</f>
        <v/>
      </c>
      <c r="X340" s="105" t="str">
        <f>IFERROR(_xlfn.XLOOKUP($A340,Input_Raw!$A:$A,Input_Raw!$CF:$CF),"")</f>
        <v/>
      </c>
      <c r="Y340" s="105" t="str">
        <f>IFERROR(_xlfn.XLOOKUP($A340,Input_Raw!$A:$A,Input_Raw!$CZ:$CZ),"")</f>
        <v/>
      </c>
      <c r="Z340" s="105" t="str">
        <f>IFERROR(_xlfn.XLOOKUP($A340,Input_Raw!$A:$A,Input_Raw!$DA:$DA),"")</f>
        <v/>
      </c>
      <c r="AA340" s="107" t="str">
        <f t="shared" si="35"/>
        <v/>
      </c>
      <c r="AB340" s="105" t="str">
        <f>IFERROR(_xlfn.XLOOKUP($A340,Input_Raw!$A:$A,Input_Raw!$DG:$DG),"")</f>
        <v/>
      </c>
      <c r="AC340" s="125">
        <f>IFERROR(_xlfn.XLOOKUP($D340,'Modelling New'!$D:$D,'Modelling New'!$J:$J),"")</f>
        <v>4.5999999999999996</v>
      </c>
      <c r="AD340" s="107">
        <f>IFERROR(_xlfn.XLOOKUP($D340,'Modelling New'!$D:$D,'Modelling New'!$T:$T)*1000,"")</f>
        <v>221156.23146397382</v>
      </c>
      <c r="AE340" s="124"/>
      <c r="AF340" s="124">
        <f>IFERROR(_xlfn.XLOOKUP($D340,'Modelling New'!$D:$D,'Modelling New'!$W:$W),"")</f>
        <v>0.11813901253417405</v>
      </c>
      <c r="AG340" s="124">
        <f>IFERROR(_xlfn.XLOOKUP($D340,'Modelling New'!$D:$D,'Modelling New'!$AE:$AE),"")</f>
        <v>0.96029999999999993</v>
      </c>
      <c r="AH340" s="124">
        <f>IFERROR(_xlfn.XLOOKUP($D340,'Modelling New'!$D:$D,'Modelling New'!$AF:$AF),"")</f>
        <v>0.995</v>
      </c>
      <c r="AI340" s="105" t="str">
        <f>IFERROR(_xlfn.XLOOKUP($A340,Input_Raw!$A:$A,Input_Raw!$DE:$DE),"")</f>
        <v/>
      </c>
      <c r="AJ340" s="105"/>
      <c r="AK340" s="105"/>
      <c r="AL340" s="105"/>
      <c r="AM340" s="105"/>
      <c r="AN340" s="126" t="str">
        <f>IFERROR(_xlfn.XLOOKUP($A340,Input_Raw!$A:$A,Input_Raw!$DB:$DB),"")</f>
        <v/>
      </c>
      <c r="AO340" s="124" t="str">
        <f>IFERROR((_xlfn.XLOOKUP($A340,'WTG Reactive Power'!$A:$A,'WTG Reactive Power'!$AR:$AR))/X340/1000,"")</f>
        <v/>
      </c>
      <c r="AP340" s="124">
        <f>IFERROR(_xlfn.XLOOKUP($D340,'Modelling New'!$D:$D,'Modelling New'!$AK:$AK),"")</f>
        <v>0.05</v>
      </c>
      <c r="AQ340" s="124">
        <f>IFERROR(_xlfn.XLOOKUP($D340,'Modelling New'!$D:$D,'Modelling New'!$AL:$AL),"")</f>
        <v>0.05</v>
      </c>
      <c r="AR340">
        <f>IFERROR(_xlfn.XLOOKUP($D340,'Modelling New'!$D:$D,'Modelling New'!$N:$N),"")</f>
        <v>78</v>
      </c>
    </row>
    <row r="341" spans="1:44">
      <c r="A341" s="118">
        <f t="shared" si="32"/>
        <v>46084</v>
      </c>
      <c r="B341" s="107">
        <f>YEAR(Table13[[#This Row],[Date]])+IF(MONTH(Table13[[#This Row],[Date]])&gt;=4,1,0)</f>
        <v>2026</v>
      </c>
      <c r="C341" s="105">
        <f>YEAR(Table13[[#This Row],[Date]])</f>
        <v>2026</v>
      </c>
      <c r="D341" s="119">
        <f>Table13[[#This Row],[Date]]-DAY(Table13[[#This Row],[Date]])+1</f>
        <v>46082</v>
      </c>
      <c r="E341" s="105">
        <f t="shared" si="33"/>
        <v>31</v>
      </c>
      <c r="F341" s="108"/>
      <c r="G341" s="109"/>
      <c r="H341" s="109"/>
      <c r="I341" s="109"/>
      <c r="J341" s="109"/>
      <c r="K341" s="120"/>
      <c r="L341" s="109"/>
      <c r="M341" s="109" t="str">
        <f>IFERROR(_xlfn.XLOOKUP($A341,Input_Raw!$A:$A,Input_Raw!CG:CG),"")</f>
        <v/>
      </c>
      <c r="N341" s="109" t="str">
        <f>IFERROR(_xlfn.XLOOKUP($A341,Input_Raw!$A:$A,Input_Raw!CH:CH),"")</f>
        <v/>
      </c>
      <c r="O341" s="121" t="str">
        <f t="shared" si="34"/>
        <v/>
      </c>
      <c r="P341" s="121" t="str">
        <f>IFERROR(1-SUMIF(WTG_BD!$F:$F,$A341,WTG_BD!$AA:$AA)/($AA341+SUMIF(WTG_BD!$F:$F,$A341,WTG_BD!$AA:$AA)),"")</f>
        <v/>
      </c>
      <c r="Q341" s="122" t="str">
        <f>IFERROR(1-SUMIF(IGA_BD!$F:$F,$A341,IGA_BD!$V:$V)/($AA341+SUMIF(IGA_BD!$F:$F,$A341,IGA_BD!$V:$V)),"")</f>
        <v/>
      </c>
      <c r="R341" s="127" t="str">
        <f>IFERROR(1-SUMIF(Grid_BD!$F:$F,$A341,Grid_BD!$X:$X)/($AA341+SUMIF(Grid_BD!$F:$F,$A341,Grid_BD!$X:$X)),"")</f>
        <v/>
      </c>
      <c r="S341" s="105"/>
      <c r="T341" s="122"/>
      <c r="U341" s="123"/>
      <c r="V341" s="105"/>
      <c r="W341" s="124" t="str">
        <f>IFERROR(Table13[[#This Row],[Mtr_Net_Exp (KWh)]]/(24*AR341*1000),"")</f>
        <v/>
      </c>
      <c r="X341" s="105" t="str">
        <f>IFERROR(_xlfn.XLOOKUP($A341,Input_Raw!$A:$A,Input_Raw!$CF:$CF),"")</f>
        <v/>
      </c>
      <c r="Y341" s="105" t="str">
        <f>IFERROR(_xlfn.XLOOKUP($A341,Input_Raw!$A:$A,Input_Raw!$CZ:$CZ),"")</f>
        <v/>
      </c>
      <c r="Z341" s="105" t="str">
        <f>IFERROR(_xlfn.XLOOKUP($A341,Input_Raw!$A:$A,Input_Raw!$DA:$DA),"")</f>
        <v/>
      </c>
      <c r="AA341" s="107" t="str">
        <f t="shared" si="35"/>
        <v/>
      </c>
      <c r="AB341" s="105" t="str">
        <f>IFERROR(_xlfn.XLOOKUP($A341,Input_Raw!$A:$A,Input_Raw!$DG:$DG),"")</f>
        <v/>
      </c>
      <c r="AC341" s="125">
        <f>IFERROR(_xlfn.XLOOKUP($D341,'Modelling New'!$D:$D,'Modelling New'!$J:$J),"")</f>
        <v>4.5999999999999996</v>
      </c>
      <c r="AD341" s="107">
        <f>IFERROR(_xlfn.XLOOKUP($D341,'Modelling New'!$D:$D,'Modelling New'!$T:$T)*1000,"")</f>
        <v>221156.23146397382</v>
      </c>
      <c r="AE341" s="124"/>
      <c r="AF341" s="124">
        <f>IFERROR(_xlfn.XLOOKUP($D341,'Modelling New'!$D:$D,'Modelling New'!$W:$W),"")</f>
        <v>0.11813901253417405</v>
      </c>
      <c r="AG341" s="124">
        <f>IFERROR(_xlfn.XLOOKUP($D341,'Modelling New'!$D:$D,'Modelling New'!$AE:$AE),"")</f>
        <v>0.96029999999999993</v>
      </c>
      <c r="AH341" s="124">
        <f>IFERROR(_xlfn.XLOOKUP($D341,'Modelling New'!$D:$D,'Modelling New'!$AF:$AF),"")</f>
        <v>0.995</v>
      </c>
      <c r="AI341" s="105" t="str">
        <f>IFERROR(_xlfn.XLOOKUP($A341,Input_Raw!$A:$A,Input_Raw!$DE:$DE),"")</f>
        <v/>
      </c>
      <c r="AJ341" s="105"/>
      <c r="AK341" s="105"/>
      <c r="AL341" s="105"/>
      <c r="AM341" s="105"/>
      <c r="AN341" s="126" t="str">
        <f>IFERROR(_xlfn.XLOOKUP($A341,Input_Raw!$A:$A,Input_Raw!$DB:$DB),"")</f>
        <v/>
      </c>
      <c r="AO341" s="124" t="str">
        <f>IFERROR((_xlfn.XLOOKUP($A341,'WTG Reactive Power'!$A:$A,'WTG Reactive Power'!$AR:$AR))/X341/1000,"")</f>
        <v/>
      </c>
      <c r="AP341" s="124">
        <f>IFERROR(_xlfn.XLOOKUP($D341,'Modelling New'!$D:$D,'Modelling New'!$AK:$AK),"")</f>
        <v>0.05</v>
      </c>
      <c r="AQ341" s="124">
        <f>IFERROR(_xlfn.XLOOKUP($D341,'Modelling New'!$D:$D,'Modelling New'!$AL:$AL),"")</f>
        <v>0.05</v>
      </c>
      <c r="AR341">
        <f>IFERROR(_xlfn.XLOOKUP($D341,'Modelling New'!$D:$D,'Modelling New'!$N:$N),"")</f>
        <v>78</v>
      </c>
    </row>
    <row r="342" spans="1:44">
      <c r="A342" s="118">
        <f t="shared" si="32"/>
        <v>46085</v>
      </c>
      <c r="B342" s="107">
        <f>YEAR(Table13[[#This Row],[Date]])+IF(MONTH(Table13[[#This Row],[Date]])&gt;=4,1,0)</f>
        <v>2026</v>
      </c>
      <c r="C342" s="105">
        <f>YEAR(Table13[[#This Row],[Date]])</f>
        <v>2026</v>
      </c>
      <c r="D342" s="119">
        <f>Table13[[#This Row],[Date]]-DAY(Table13[[#This Row],[Date]])+1</f>
        <v>46082</v>
      </c>
      <c r="E342" s="105">
        <f t="shared" si="33"/>
        <v>31</v>
      </c>
      <c r="F342" s="108"/>
      <c r="G342" s="109"/>
      <c r="H342" s="109"/>
      <c r="I342" s="109"/>
      <c r="J342" s="109"/>
      <c r="K342" s="120"/>
      <c r="L342" s="109"/>
      <c r="M342" s="109" t="str">
        <f>IFERROR(_xlfn.XLOOKUP($A342,Input_Raw!$A:$A,Input_Raw!CG:CG),"")</f>
        <v/>
      </c>
      <c r="N342" s="109" t="str">
        <f>IFERROR(_xlfn.XLOOKUP($A342,Input_Raw!$A:$A,Input_Raw!CH:CH),"")</f>
        <v/>
      </c>
      <c r="O342" s="121" t="str">
        <f t="shared" si="34"/>
        <v/>
      </c>
      <c r="P342" s="121" t="str">
        <f>IFERROR(1-SUMIF(WTG_BD!$F:$F,$A342,WTG_BD!$AA:$AA)/($AA342+SUMIF(WTG_BD!$F:$F,$A342,WTG_BD!$AA:$AA)),"")</f>
        <v/>
      </c>
      <c r="Q342" s="122" t="str">
        <f>IFERROR(1-SUMIF(IGA_BD!$F:$F,$A342,IGA_BD!$V:$V)/($AA342+SUMIF(IGA_BD!$F:$F,$A342,IGA_BD!$V:$V)),"")</f>
        <v/>
      </c>
      <c r="R342" s="127" t="str">
        <f>IFERROR(1-SUMIF(Grid_BD!$F:$F,$A342,Grid_BD!$X:$X)/($AA342+SUMIF(Grid_BD!$F:$F,$A342,Grid_BD!$X:$X)),"")</f>
        <v/>
      </c>
      <c r="S342" s="105"/>
      <c r="T342" s="122"/>
      <c r="U342" s="123"/>
      <c r="V342" s="105"/>
      <c r="W342" s="124" t="str">
        <f>IFERROR(Table13[[#This Row],[Mtr_Net_Exp (KWh)]]/(24*AR342*1000),"")</f>
        <v/>
      </c>
      <c r="X342" s="105" t="str">
        <f>IFERROR(_xlfn.XLOOKUP($A342,Input_Raw!$A:$A,Input_Raw!$CF:$CF),"")</f>
        <v/>
      </c>
      <c r="Y342" s="105" t="str">
        <f>IFERROR(_xlfn.XLOOKUP($A342,Input_Raw!$A:$A,Input_Raw!$CZ:$CZ),"")</f>
        <v/>
      </c>
      <c r="Z342" s="105" t="str">
        <f>IFERROR(_xlfn.XLOOKUP($A342,Input_Raw!$A:$A,Input_Raw!$DA:$DA),"")</f>
        <v/>
      </c>
      <c r="AA342" s="107" t="str">
        <f t="shared" si="35"/>
        <v/>
      </c>
      <c r="AB342" s="105" t="str">
        <f>IFERROR(_xlfn.XLOOKUP($A342,Input_Raw!$A:$A,Input_Raw!$DG:$DG),"")</f>
        <v/>
      </c>
      <c r="AC342" s="125">
        <f>IFERROR(_xlfn.XLOOKUP($D342,'Modelling New'!$D:$D,'Modelling New'!$J:$J),"")</f>
        <v>4.5999999999999996</v>
      </c>
      <c r="AD342" s="107">
        <f>IFERROR(_xlfn.XLOOKUP($D342,'Modelling New'!$D:$D,'Modelling New'!$T:$T)*1000,"")</f>
        <v>221156.23146397382</v>
      </c>
      <c r="AE342" s="124"/>
      <c r="AF342" s="124">
        <f>IFERROR(_xlfn.XLOOKUP($D342,'Modelling New'!$D:$D,'Modelling New'!$W:$W),"")</f>
        <v>0.11813901253417405</v>
      </c>
      <c r="AG342" s="124">
        <f>IFERROR(_xlfn.XLOOKUP($D342,'Modelling New'!$D:$D,'Modelling New'!$AE:$AE),"")</f>
        <v>0.96029999999999993</v>
      </c>
      <c r="AH342" s="124">
        <f>IFERROR(_xlfn.XLOOKUP($D342,'Modelling New'!$D:$D,'Modelling New'!$AF:$AF),"")</f>
        <v>0.995</v>
      </c>
      <c r="AI342" s="105" t="str">
        <f>IFERROR(_xlfn.XLOOKUP($A342,Input_Raw!$A:$A,Input_Raw!$DE:$DE),"")</f>
        <v/>
      </c>
      <c r="AJ342" s="105"/>
      <c r="AK342" s="105"/>
      <c r="AL342" s="105"/>
      <c r="AM342" s="105"/>
      <c r="AN342" s="126" t="str">
        <f>IFERROR(_xlfn.XLOOKUP($A342,Input_Raw!$A:$A,Input_Raw!$DB:$DB),"")</f>
        <v/>
      </c>
      <c r="AO342" s="124" t="str">
        <f>IFERROR((_xlfn.XLOOKUP($A342,'WTG Reactive Power'!$A:$A,'WTG Reactive Power'!$AR:$AR))/X342/1000,"")</f>
        <v/>
      </c>
      <c r="AP342" s="124">
        <f>IFERROR(_xlfn.XLOOKUP($D342,'Modelling New'!$D:$D,'Modelling New'!$AK:$AK),"")</f>
        <v>0.05</v>
      </c>
      <c r="AQ342" s="124">
        <f>IFERROR(_xlfn.XLOOKUP($D342,'Modelling New'!$D:$D,'Modelling New'!$AL:$AL),"")</f>
        <v>0.05</v>
      </c>
      <c r="AR342">
        <f>IFERROR(_xlfn.XLOOKUP($D342,'Modelling New'!$D:$D,'Modelling New'!$N:$N),"")</f>
        <v>78</v>
      </c>
    </row>
    <row r="343" spans="1:44">
      <c r="A343" s="118">
        <f t="shared" si="32"/>
        <v>46086</v>
      </c>
      <c r="B343" s="107">
        <f>YEAR(Table13[[#This Row],[Date]])+IF(MONTH(Table13[[#This Row],[Date]])&gt;=4,1,0)</f>
        <v>2026</v>
      </c>
      <c r="C343" s="105">
        <f>YEAR(Table13[[#This Row],[Date]])</f>
        <v>2026</v>
      </c>
      <c r="D343" s="119">
        <f>Table13[[#This Row],[Date]]-DAY(Table13[[#This Row],[Date]])+1</f>
        <v>46082</v>
      </c>
      <c r="E343" s="105">
        <f t="shared" si="33"/>
        <v>31</v>
      </c>
      <c r="F343" s="108"/>
      <c r="G343" s="109"/>
      <c r="H343" s="109"/>
      <c r="I343" s="109"/>
      <c r="J343" s="109"/>
      <c r="K343" s="120"/>
      <c r="L343" s="109"/>
      <c r="M343" s="109" t="str">
        <f>IFERROR(_xlfn.XLOOKUP($A343,Input_Raw!$A:$A,Input_Raw!CG:CG),"")</f>
        <v/>
      </c>
      <c r="N343" s="109" t="str">
        <f>IFERROR(_xlfn.XLOOKUP($A343,Input_Raw!$A:$A,Input_Raw!CH:CH),"")</f>
        <v/>
      </c>
      <c r="O343" s="121" t="str">
        <f t="shared" si="34"/>
        <v/>
      </c>
      <c r="P343" s="121" t="str">
        <f>IFERROR(1-SUMIF(WTG_BD!$F:$F,$A343,WTG_BD!$AA:$AA)/($AA343+SUMIF(WTG_BD!$F:$F,$A343,WTG_BD!$AA:$AA)),"")</f>
        <v/>
      </c>
      <c r="Q343" s="122" t="str">
        <f>IFERROR(1-SUMIF(IGA_BD!$F:$F,$A343,IGA_BD!$V:$V)/($AA343+SUMIF(IGA_BD!$F:$F,$A343,IGA_BD!$V:$V)),"")</f>
        <v/>
      </c>
      <c r="R343" s="127" t="str">
        <f>IFERROR(1-SUMIF(Grid_BD!$F:$F,$A343,Grid_BD!$X:$X)/($AA343+SUMIF(Grid_BD!$F:$F,$A343,Grid_BD!$X:$X)),"")</f>
        <v/>
      </c>
      <c r="S343" s="105"/>
      <c r="T343" s="122"/>
      <c r="U343" s="123"/>
      <c r="V343" s="105"/>
      <c r="W343" s="124" t="str">
        <f>IFERROR(Table13[[#This Row],[Mtr_Net_Exp (KWh)]]/(24*AR343*1000),"")</f>
        <v/>
      </c>
      <c r="X343" s="105" t="str">
        <f>IFERROR(_xlfn.XLOOKUP($A343,Input_Raw!$A:$A,Input_Raw!$CF:$CF),"")</f>
        <v/>
      </c>
      <c r="Y343" s="105" t="str">
        <f>IFERROR(_xlfn.XLOOKUP($A343,Input_Raw!$A:$A,Input_Raw!$CZ:$CZ),"")</f>
        <v/>
      </c>
      <c r="Z343" s="105" t="str">
        <f>IFERROR(_xlfn.XLOOKUP($A343,Input_Raw!$A:$A,Input_Raw!$DA:$DA),"")</f>
        <v/>
      </c>
      <c r="AA343" s="107" t="str">
        <f t="shared" si="35"/>
        <v/>
      </c>
      <c r="AB343" s="105" t="str">
        <f>IFERROR(_xlfn.XLOOKUP($A343,Input_Raw!$A:$A,Input_Raw!$DG:$DG),"")</f>
        <v/>
      </c>
      <c r="AC343" s="125">
        <f>IFERROR(_xlfn.XLOOKUP($D343,'Modelling New'!$D:$D,'Modelling New'!$J:$J),"")</f>
        <v>4.5999999999999996</v>
      </c>
      <c r="AD343" s="107">
        <f>IFERROR(_xlfn.XLOOKUP($D343,'Modelling New'!$D:$D,'Modelling New'!$T:$T)*1000,"")</f>
        <v>221156.23146397382</v>
      </c>
      <c r="AE343" s="124"/>
      <c r="AF343" s="124">
        <f>IFERROR(_xlfn.XLOOKUP($D343,'Modelling New'!$D:$D,'Modelling New'!$W:$W),"")</f>
        <v>0.11813901253417405</v>
      </c>
      <c r="AG343" s="124">
        <f>IFERROR(_xlfn.XLOOKUP($D343,'Modelling New'!$D:$D,'Modelling New'!$AE:$AE),"")</f>
        <v>0.96029999999999993</v>
      </c>
      <c r="AH343" s="124">
        <f>IFERROR(_xlfn.XLOOKUP($D343,'Modelling New'!$D:$D,'Modelling New'!$AF:$AF),"")</f>
        <v>0.995</v>
      </c>
      <c r="AI343" s="105" t="str">
        <f>IFERROR(_xlfn.XLOOKUP($A343,Input_Raw!$A:$A,Input_Raw!$DE:$DE),"")</f>
        <v/>
      </c>
      <c r="AJ343" s="105"/>
      <c r="AK343" s="105"/>
      <c r="AL343" s="105"/>
      <c r="AM343" s="105"/>
      <c r="AN343" s="126" t="str">
        <f>IFERROR(_xlfn.XLOOKUP($A343,Input_Raw!$A:$A,Input_Raw!$DB:$DB),"")</f>
        <v/>
      </c>
      <c r="AO343" s="124" t="str">
        <f>IFERROR((_xlfn.XLOOKUP($A343,'WTG Reactive Power'!$A:$A,'WTG Reactive Power'!$AR:$AR))/X343/1000,"")</f>
        <v/>
      </c>
      <c r="AP343" s="124">
        <f>IFERROR(_xlfn.XLOOKUP($D343,'Modelling New'!$D:$D,'Modelling New'!$AK:$AK),"")</f>
        <v>0.05</v>
      </c>
      <c r="AQ343" s="124">
        <f>IFERROR(_xlfn.XLOOKUP($D343,'Modelling New'!$D:$D,'Modelling New'!$AL:$AL),"")</f>
        <v>0.05</v>
      </c>
      <c r="AR343">
        <f>IFERROR(_xlfn.XLOOKUP($D343,'Modelling New'!$D:$D,'Modelling New'!$N:$N),"")</f>
        <v>78</v>
      </c>
    </row>
    <row r="344" spans="1:44">
      <c r="A344" s="118">
        <f t="shared" si="32"/>
        <v>46087</v>
      </c>
      <c r="B344" s="107">
        <f>YEAR(Table13[[#This Row],[Date]])+IF(MONTH(Table13[[#This Row],[Date]])&gt;=4,1,0)</f>
        <v>2026</v>
      </c>
      <c r="C344" s="105">
        <f>YEAR(Table13[[#This Row],[Date]])</f>
        <v>2026</v>
      </c>
      <c r="D344" s="119">
        <f>Table13[[#This Row],[Date]]-DAY(Table13[[#This Row],[Date]])+1</f>
        <v>46082</v>
      </c>
      <c r="E344" s="105">
        <f t="shared" si="33"/>
        <v>31</v>
      </c>
      <c r="F344" s="108"/>
      <c r="G344" s="109"/>
      <c r="H344" s="109"/>
      <c r="I344" s="109"/>
      <c r="J344" s="109"/>
      <c r="K344" s="120"/>
      <c r="L344" s="109"/>
      <c r="M344" s="109" t="str">
        <f>IFERROR(_xlfn.XLOOKUP($A344,Input_Raw!$A:$A,Input_Raw!CG:CG),"")</f>
        <v/>
      </c>
      <c r="N344" s="109" t="str">
        <f>IFERROR(_xlfn.XLOOKUP($A344,Input_Raw!$A:$A,Input_Raw!CH:CH),"")</f>
        <v/>
      </c>
      <c r="O344" s="121" t="str">
        <f t="shared" si="34"/>
        <v/>
      </c>
      <c r="P344" s="121" t="str">
        <f>IFERROR(1-SUMIF(WTG_BD!$F:$F,$A344,WTG_BD!$AA:$AA)/($AA344+SUMIF(WTG_BD!$F:$F,$A344,WTG_BD!$AA:$AA)),"")</f>
        <v/>
      </c>
      <c r="Q344" s="122" t="str">
        <f>IFERROR(1-SUMIF(IGA_BD!$F:$F,$A344,IGA_BD!$V:$V)/($AA344+SUMIF(IGA_BD!$F:$F,$A344,IGA_BD!$V:$V)),"")</f>
        <v/>
      </c>
      <c r="R344" s="127" t="str">
        <f>IFERROR(1-SUMIF(Grid_BD!$F:$F,$A344,Grid_BD!$X:$X)/($AA344+SUMIF(Grid_BD!$F:$F,$A344,Grid_BD!$X:$X)),"")</f>
        <v/>
      </c>
      <c r="S344" s="105"/>
      <c r="T344" s="122"/>
      <c r="U344" s="123"/>
      <c r="V344" s="105"/>
      <c r="W344" s="124" t="str">
        <f>IFERROR(Table13[[#This Row],[Mtr_Net_Exp (KWh)]]/(24*AR344*1000),"")</f>
        <v/>
      </c>
      <c r="X344" s="105" t="str">
        <f>IFERROR(_xlfn.XLOOKUP($A344,Input_Raw!$A:$A,Input_Raw!$CF:$CF),"")</f>
        <v/>
      </c>
      <c r="Y344" s="105" t="str">
        <f>IFERROR(_xlfn.XLOOKUP($A344,Input_Raw!$A:$A,Input_Raw!$CZ:$CZ),"")</f>
        <v/>
      </c>
      <c r="Z344" s="105" t="str">
        <f>IFERROR(_xlfn.XLOOKUP($A344,Input_Raw!$A:$A,Input_Raw!$DA:$DA),"")</f>
        <v/>
      </c>
      <c r="AA344" s="107" t="str">
        <f t="shared" si="35"/>
        <v/>
      </c>
      <c r="AB344" s="105" t="str">
        <f>IFERROR(_xlfn.XLOOKUP($A344,Input_Raw!$A:$A,Input_Raw!$DG:$DG),"")</f>
        <v/>
      </c>
      <c r="AC344" s="125">
        <f>IFERROR(_xlfn.XLOOKUP($D344,'Modelling New'!$D:$D,'Modelling New'!$J:$J),"")</f>
        <v>4.5999999999999996</v>
      </c>
      <c r="AD344" s="107">
        <f>IFERROR(_xlfn.XLOOKUP($D344,'Modelling New'!$D:$D,'Modelling New'!$T:$T)*1000,"")</f>
        <v>221156.23146397382</v>
      </c>
      <c r="AE344" s="124"/>
      <c r="AF344" s="124">
        <f>IFERROR(_xlfn.XLOOKUP($D344,'Modelling New'!$D:$D,'Modelling New'!$W:$W),"")</f>
        <v>0.11813901253417405</v>
      </c>
      <c r="AG344" s="124">
        <f>IFERROR(_xlfn.XLOOKUP($D344,'Modelling New'!$D:$D,'Modelling New'!$AE:$AE),"")</f>
        <v>0.96029999999999993</v>
      </c>
      <c r="AH344" s="124">
        <f>IFERROR(_xlfn.XLOOKUP($D344,'Modelling New'!$D:$D,'Modelling New'!$AF:$AF),"")</f>
        <v>0.995</v>
      </c>
      <c r="AI344" s="105" t="str">
        <f>IFERROR(_xlfn.XLOOKUP($A344,Input_Raw!$A:$A,Input_Raw!$DE:$DE),"")</f>
        <v/>
      </c>
      <c r="AJ344" s="105"/>
      <c r="AK344" s="105"/>
      <c r="AL344" s="105"/>
      <c r="AM344" s="105"/>
      <c r="AN344" s="126" t="str">
        <f>IFERROR(_xlfn.XLOOKUP($A344,Input_Raw!$A:$A,Input_Raw!$DB:$DB),"")</f>
        <v/>
      </c>
      <c r="AO344" s="124" t="str">
        <f>IFERROR((_xlfn.XLOOKUP($A344,'WTG Reactive Power'!$A:$A,'WTG Reactive Power'!$AR:$AR))/X344/1000,"")</f>
        <v/>
      </c>
      <c r="AP344" s="124">
        <f>IFERROR(_xlfn.XLOOKUP($D344,'Modelling New'!$D:$D,'Modelling New'!$AK:$AK),"")</f>
        <v>0.05</v>
      </c>
      <c r="AQ344" s="124">
        <f>IFERROR(_xlfn.XLOOKUP($D344,'Modelling New'!$D:$D,'Modelling New'!$AL:$AL),"")</f>
        <v>0.05</v>
      </c>
      <c r="AR344">
        <f>IFERROR(_xlfn.XLOOKUP($D344,'Modelling New'!$D:$D,'Modelling New'!$N:$N),"")</f>
        <v>78</v>
      </c>
    </row>
    <row r="345" spans="1:44">
      <c r="A345" s="118">
        <f t="shared" si="32"/>
        <v>46088</v>
      </c>
      <c r="B345" s="107">
        <f>YEAR(Table13[[#This Row],[Date]])+IF(MONTH(Table13[[#This Row],[Date]])&gt;=4,1,0)</f>
        <v>2026</v>
      </c>
      <c r="C345" s="105">
        <f>YEAR(Table13[[#This Row],[Date]])</f>
        <v>2026</v>
      </c>
      <c r="D345" s="119">
        <f>Table13[[#This Row],[Date]]-DAY(Table13[[#This Row],[Date]])+1</f>
        <v>46082</v>
      </c>
      <c r="E345" s="105">
        <f t="shared" si="33"/>
        <v>31</v>
      </c>
      <c r="F345" s="108"/>
      <c r="G345" s="109"/>
      <c r="H345" s="109"/>
      <c r="I345" s="109"/>
      <c r="J345" s="109"/>
      <c r="K345" s="120"/>
      <c r="L345" s="109"/>
      <c r="M345" s="109" t="str">
        <f>IFERROR(_xlfn.XLOOKUP($A345,Input_Raw!$A:$A,Input_Raw!CG:CG),"")</f>
        <v/>
      </c>
      <c r="N345" s="109" t="str">
        <f>IFERROR(_xlfn.XLOOKUP($A345,Input_Raw!$A:$A,Input_Raw!CH:CH),"")</f>
        <v/>
      </c>
      <c r="O345" s="121" t="str">
        <f t="shared" si="34"/>
        <v/>
      </c>
      <c r="P345" s="121" t="str">
        <f>IFERROR(1-SUMIF(WTG_BD!$F:$F,$A345,WTG_BD!$AA:$AA)/($AA345+SUMIF(WTG_BD!$F:$F,$A345,WTG_BD!$AA:$AA)),"")</f>
        <v/>
      </c>
      <c r="Q345" s="122" t="str">
        <f>IFERROR(1-SUMIF(IGA_BD!$F:$F,$A345,IGA_BD!$V:$V)/($AA345+SUMIF(IGA_BD!$F:$F,$A345,IGA_BD!$V:$V)),"")</f>
        <v/>
      </c>
      <c r="R345" s="127" t="str">
        <f>IFERROR(1-SUMIF(Grid_BD!$F:$F,$A345,Grid_BD!$X:$X)/($AA345+SUMIF(Grid_BD!$F:$F,$A345,Grid_BD!$X:$X)),"")</f>
        <v/>
      </c>
      <c r="S345" s="105"/>
      <c r="T345" s="122"/>
      <c r="U345" s="123"/>
      <c r="V345" s="105"/>
      <c r="W345" s="124" t="str">
        <f>IFERROR(Table13[[#This Row],[Mtr_Net_Exp (KWh)]]/(24*AR345*1000),"")</f>
        <v/>
      </c>
      <c r="X345" s="105" t="str">
        <f>IFERROR(_xlfn.XLOOKUP($A345,Input_Raw!$A:$A,Input_Raw!$CF:$CF),"")</f>
        <v/>
      </c>
      <c r="Y345" s="105" t="str">
        <f>IFERROR(_xlfn.XLOOKUP($A345,Input_Raw!$A:$A,Input_Raw!$CZ:$CZ),"")</f>
        <v/>
      </c>
      <c r="Z345" s="105" t="str">
        <f>IFERROR(_xlfn.XLOOKUP($A345,Input_Raw!$A:$A,Input_Raw!$DA:$DA),"")</f>
        <v/>
      </c>
      <c r="AA345" s="107" t="str">
        <f t="shared" si="35"/>
        <v/>
      </c>
      <c r="AB345" s="105" t="str">
        <f>IFERROR(_xlfn.XLOOKUP($A345,Input_Raw!$A:$A,Input_Raw!$DG:$DG),"")</f>
        <v/>
      </c>
      <c r="AC345" s="125">
        <f>IFERROR(_xlfn.XLOOKUP($D345,'Modelling New'!$D:$D,'Modelling New'!$J:$J),"")</f>
        <v>4.5999999999999996</v>
      </c>
      <c r="AD345" s="107">
        <f>IFERROR(_xlfn.XLOOKUP($D345,'Modelling New'!$D:$D,'Modelling New'!$T:$T)*1000,"")</f>
        <v>221156.23146397382</v>
      </c>
      <c r="AE345" s="124"/>
      <c r="AF345" s="124">
        <f>IFERROR(_xlfn.XLOOKUP($D345,'Modelling New'!$D:$D,'Modelling New'!$W:$W),"")</f>
        <v>0.11813901253417405</v>
      </c>
      <c r="AG345" s="124">
        <f>IFERROR(_xlfn.XLOOKUP($D345,'Modelling New'!$D:$D,'Modelling New'!$AE:$AE),"")</f>
        <v>0.96029999999999993</v>
      </c>
      <c r="AH345" s="124">
        <f>IFERROR(_xlfn.XLOOKUP($D345,'Modelling New'!$D:$D,'Modelling New'!$AF:$AF),"")</f>
        <v>0.995</v>
      </c>
      <c r="AI345" s="105" t="str">
        <f>IFERROR(_xlfn.XLOOKUP($A345,Input_Raw!$A:$A,Input_Raw!$DE:$DE),"")</f>
        <v/>
      </c>
      <c r="AJ345" s="105"/>
      <c r="AK345" s="105"/>
      <c r="AL345" s="105"/>
      <c r="AM345" s="105"/>
      <c r="AN345" s="126" t="str">
        <f>IFERROR(_xlfn.XLOOKUP($A345,Input_Raw!$A:$A,Input_Raw!$DB:$DB),"")</f>
        <v/>
      </c>
      <c r="AO345" s="124" t="str">
        <f>IFERROR((_xlfn.XLOOKUP($A345,'WTG Reactive Power'!$A:$A,'WTG Reactive Power'!$AR:$AR))/X345/1000,"")</f>
        <v/>
      </c>
      <c r="AP345" s="124">
        <f>IFERROR(_xlfn.XLOOKUP($D345,'Modelling New'!$D:$D,'Modelling New'!$AK:$AK),"")</f>
        <v>0.05</v>
      </c>
      <c r="AQ345" s="124">
        <f>IFERROR(_xlfn.XLOOKUP($D345,'Modelling New'!$D:$D,'Modelling New'!$AL:$AL),"")</f>
        <v>0.05</v>
      </c>
      <c r="AR345">
        <f>IFERROR(_xlfn.XLOOKUP($D345,'Modelling New'!$D:$D,'Modelling New'!$N:$N),"")</f>
        <v>78</v>
      </c>
    </row>
    <row r="346" spans="1:44">
      <c r="A346" s="118">
        <f t="shared" si="32"/>
        <v>46089</v>
      </c>
      <c r="B346" s="107">
        <f>YEAR(Table13[[#This Row],[Date]])+IF(MONTH(Table13[[#This Row],[Date]])&gt;=4,1,0)</f>
        <v>2026</v>
      </c>
      <c r="C346" s="105">
        <f>YEAR(Table13[[#This Row],[Date]])</f>
        <v>2026</v>
      </c>
      <c r="D346" s="119">
        <f>Table13[[#This Row],[Date]]-DAY(Table13[[#This Row],[Date]])+1</f>
        <v>46082</v>
      </c>
      <c r="E346" s="105">
        <f t="shared" si="33"/>
        <v>31</v>
      </c>
      <c r="F346" s="108"/>
      <c r="G346" s="109"/>
      <c r="H346" s="109"/>
      <c r="I346" s="109"/>
      <c r="J346" s="109"/>
      <c r="K346" s="120"/>
      <c r="L346" s="109"/>
      <c r="M346" s="109" t="str">
        <f>IFERROR(_xlfn.XLOOKUP($A346,Input_Raw!$A:$A,Input_Raw!CG:CG),"")</f>
        <v/>
      </c>
      <c r="N346" s="109" t="str">
        <f>IFERROR(_xlfn.XLOOKUP($A346,Input_Raw!$A:$A,Input_Raw!CH:CH),"")</f>
        <v/>
      </c>
      <c r="O346" s="121" t="str">
        <f t="shared" si="34"/>
        <v/>
      </c>
      <c r="P346" s="121" t="str">
        <f>IFERROR(1-SUMIF(WTG_BD!$F:$F,$A346,WTG_BD!$AA:$AA)/($AA346+SUMIF(WTG_BD!$F:$F,$A346,WTG_BD!$AA:$AA)),"")</f>
        <v/>
      </c>
      <c r="Q346" s="122" t="str">
        <f>IFERROR(1-SUMIF(IGA_BD!$F:$F,$A346,IGA_BD!$V:$V)/($AA346+SUMIF(IGA_BD!$F:$F,$A346,IGA_BD!$V:$V)),"")</f>
        <v/>
      </c>
      <c r="R346" s="127" t="str">
        <f>IFERROR(1-SUMIF(Grid_BD!$F:$F,$A346,Grid_BD!$X:$X)/($AA346+SUMIF(Grid_BD!$F:$F,$A346,Grid_BD!$X:$X)),"")</f>
        <v/>
      </c>
      <c r="S346" s="105"/>
      <c r="T346" s="122"/>
      <c r="U346" s="123"/>
      <c r="V346" s="105"/>
      <c r="W346" s="124" t="str">
        <f>IFERROR(Table13[[#This Row],[Mtr_Net_Exp (KWh)]]/(24*AR346*1000),"")</f>
        <v/>
      </c>
      <c r="X346" s="105" t="str">
        <f>IFERROR(_xlfn.XLOOKUP($A346,Input_Raw!$A:$A,Input_Raw!$CF:$CF),"")</f>
        <v/>
      </c>
      <c r="Y346" s="105" t="str">
        <f>IFERROR(_xlfn.XLOOKUP($A346,Input_Raw!$A:$A,Input_Raw!$CZ:$CZ),"")</f>
        <v/>
      </c>
      <c r="Z346" s="105" t="str">
        <f>IFERROR(_xlfn.XLOOKUP($A346,Input_Raw!$A:$A,Input_Raw!$DA:$DA),"")</f>
        <v/>
      </c>
      <c r="AA346" s="107" t="str">
        <f t="shared" si="35"/>
        <v/>
      </c>
      <c r="AB346" s="105" t="str">
        <f>IFERROR(_xlfn.XLOOKUP($A346,Input_Raw!$A:$A,Input_Raw!$DG:$DG),"")</f>
        <v/>
      </c>
      <c r="AC346" s="125">
        <f>IFERROR(_xlfn.XLOOKUP($D346,'Modelling New'!$D:$D,'Modelling New'!$J:$J),"")</f>
        <v>4.5999999999999996</v>
      </c>
      <c r="AD346" s="107">
        <f>IFERROR(_xlfn.XLOOKUP($D346,'Modelling New'!$D:$D,'Modelling New'!$T:$T)*1000,"")</f>
        <v>221156.23146397382</v>
      </c>
      <c r="AE346" s="124"/>
      <c r="AF346" s="124">
        <f>IFERROR(_xlfn.XLOOKUP($D346,'Modelling New'!$D:$D,'Modelling New'!$W:$W),"")</f>
        <v>0.11813901253417405</v>
      </c>
      <c r="AG346" s="124">
        <f>IFERROR(_xlfn.XLOOKUP($D346,'Modelling New'!$D:$D,'Modelling New'!$AE:$AE),"")</f>
        <v>0.96029999999999993</v>
      </c>
      <c r="AH346" s="124">
        <f>IFERROR(_xlfn.XLOOKUP($D346,'Modelling New'!$D:$D,'Modelling New'!$AF:$AF),"")</f>
        <v>0.995</v>
      </c>
      <c r="AI346" s="105" t="str">
        <f>IFERROR(_xlfn.XLOOKUP($A346,Input_Raw!$A:$A,Input_Raw!$DE:$DE),"")</f>
        <v/>
      </c>
      <c r="AJ346" s="105"/>
      <c r="AK346" s="105"/>
      <c r="AL346" s="105"/>
      <c r="AM346" s="105"/>
      <c r="AN346" s="126" t="str">
        <f>IFERROR(_xlfn.XLOOKUP($A346,Input_Raw!$A:$A,Input_Raw!$DB:$DB),"")</f>
        <v/>
      </c>
      <c r="AO346" s="124" t="str">
        <f>IFERROR((_xlfn.XLOOKUP($A346,'WTG Reactive Power'!$A:$A,'WTG Reactive Power'!$AR:$AR))/X346/1000,"")</f>
        <v/>
      </c>
      <c r="AP346" s="124">
        <f>IFERROR(_xlfn.XLOOKUP($D346,'Modelling New'!$D:$D,'Modelling New'!$AK:$AK),"")</f>
        <v>0.05</v>
      </c>
      <c r="AQ346" s="124">
        <f>IFERROR(_xlfn.XLOOKUP($D346,'Modelling New'!$D:$D,'Modelling New'!$AL:$AL),"")</f>
        <v>0.05</v>
      </c>
      <c r="AR346">
        <f>IFERROR(_xlfn.XLOOKUP($D346,'Modelling New'!$D:$D,'Modelling New'!$N:$N),"")</f>
        <v>78</v>
      </c>
    </row>
    <row r="347" spans="1:44">
      <c r="A347" s="118">
        <f t="shared" si="32"/>
        <v>46090</v>
      </c>
      <c r="B347" s="107">
        <f>YEAR(Table13[[#This Row],[Date]])+IF(MONTH(Table13[[#This Row],[Date]])&gt;=4,1,0)</f>
        <v>2026</v>
      </c>
      <c r="C347" s="105">
        <f>YEAR(Table13[[#This Row],[Date]])</f>
        <v>2026</v>
      </c>
      <c r="D347" s="119">
        <f>Table13[[#This Row],[Date]]-DAY(Table13[[#This Row],[Date]])+1</f>
        <v>46082</v>
      </c>
      <c r="E347" s="105">
        <f t="shared" si="33"/>
        <v>31</v>
      </c>
      <c r="F347" s="108"/>
      <c r="G347" s="109"/>
      <c r="H347" s="109"/>
      <c r="I347" s="109"/>
      <c r="J347" s="109"/>
      <c r="K347" s="120"/>
      <c r="L347" s="109"/>
      <c r="M347" s="109" t="str">
        <f>IFERROR(_xlfn.XLOOKUP($A347,Input_Raw!$A:$A,Input_Raw!CG:CG),"")</f>
        <v/>
      </c>
      <c r="N347" s="109" t="str">
        <f>IFERROR(_xlfn.XLOOKUP($A347,Input_Raw!$A:$A,Input_Raw!CH:CH),"")</f>
        <v/>
      </c>
      <c r="O347" s="121" t="str">
        <f t="shared" si="34"/>
        <v/>
      </c>
      <c r="P347" s="121" t="str">
        <f>IFERROR(1-SUMIF(WTG_BD!$F:$F,$A347,WTG_BD!$AA:$AA)/($AA347+SUMIF(WTG_BD!$F:$F,$A347,WTG_BD!$AA:$AA)),"")</f>
        <v/>
      </c>
      <c r="Q347" s="122" t="str">
        <f>IFERROR(1-SUMIF(IGA_BD!$F:$F,$A347,IGA_BD!$V:$V)/($AA347+SUMIF(IGA_BD!$F:$F,$A347,IGA_BD!$V:$V)),"")</f>
        <v/>
      </c>
      <c r="R347" s="127" t="str">
        <f>IFERROR(1-SUMIF(Grid_BD!$F:$F,$A347,Grid_BD!$X:$X)/($AA347+SUMIF(Grid_BD!$F:$F,$A347,Grid_BD!$X:$X)),"")</f>
        <v/>
      </c>
      <c r="S347" s="105"/>
      <c r="T347" s="122"/>
      <c r="U347" s="123"/>
      <c r="V347" s="105"/>
      <c r="W347" s="124" t="str">
        <f>IFERROR(Table13[[#This Row],[Mtr_Net_Exp (KWh)]]/(24*AR347*1000),"")</f>
        <v/>
      </c>
      <c r="X347" s="105" t="str">
        <f>IFERROR(_xlfn.XLOOKUP($A347,Input_Raw!$A:$A,Input_Raw!$CF:$CF),"")</f>
        <v/>
      </c>
      <c r="Y347" s="105" t="str">
        <f>IFERROR(_xlfn.XLOOKUP($A347,Input_Raw!$A:$A,Input_Raw!$CZ:$CZ),"")</f>
        <v/>
      </c>
      <c r="Z347" s="105" t="str">
        <f>IFERROR(_xlfn.XLOOKUP($A347,Input_Raw!$A:$A,Input_Raw!$DA:$DA),"")</f>
        <v/>
      </c>
      <c r="AA347" s="107" t="str">
        <f t="shared" si="35"/>
        <v/>
      </c>
      <c r="AB347" s="105" t="str">
        <f>IFERROR(_xlfn.XLOOKUP($A347,Input_Raw!$A:$A,Input_Raw!$DG:$DG),"")</f>
        <v/>
      </c>
      <c r="AC347" s="125">
        <f>IFERROR(_xlfn.XLOOKUP($D347,'Modelling New'!$D:$D,'Modelling New'!$J:$J),"")</f>
        <v>4.5999999999999996</v>
      </c>
      <c r="AD347" s="107">
        <f>IFERROR(_xlfn.XLOOKUP($D347,'Modelling New'!$D:$D,'Modelling New'!$T:$T)*1000,"")</f>
        <v>221156.23146397382</v>
      </c>
      <c r="AE347" s="124"/>
      <c r="AF347" s="124">
        <f>IFERROR(_xlfn.XLOOKUP($D347,'Modelling New'!$D:$D,'Modelling New'!$W:$W),"")</f>
        <v>0.11813901253417405</v>
      </c>
      <c r="AG347" s="124">
        <f>IFERROR(_xlfn.XLOOKUP($D347,'Modelling New'!$D:$D,'Modelling New'!$AE:$AE),"")</f>
        <v>0.96029999999999993</v>
      </c>
      <c r="AH347" s="124">
        <f>IFERROR(_xlfn.XLOOKUP($D347,'Modelling New'!$D:$D,'Modelling New'!$AF:$AF),"")</f>
        <v>0.995</v>
      </c>
      <c r="AI347" s="105" t="str">
        <f>IFERROR(_xlfn.XLOOKUP($A347,Input_Raw!$A:$A,Input_Raw!$DE:$DE),"")</f>
        <v/>
      </c>
      <c r="AJ347" s="105"/>
      <c r="AK347" s="105"/>
      <c r="AL347" s="105"/>
      <c r="AM347" s="105"/>
      <c r="AN347" s="126" t="str">
        <f>IFERROR(_xlfn.XLOOKUP($A347,Input_Raw!$A:$A,Input_Raw!$DB:$DB),"")</f>
        <v/>
      </c>
      <c r="AO347" s="124" t="str">
        <f>IFERROR((_xlfn.XLOOKUP($A347,'WTG Reactive Power'!$A:$A,'WTG Reactive Power'!$AR:$AR))/X347/1000,"")</f>
        <v/>
      </c>
      <c r="AP347" s="124">
        <f>IFERROR(_xlfn.XLOOKUP($D347,'Modelling New'!$D:$D,'Modelling New'!$AK:$AK),"")</f>
        <v>0.05</v>
      </c>
      <c r="AQ347" s="124">
        <f>IFERROR(_xlfn.XLOOKUP($D347,'Modelling New'!$D:$D,'Modelling New'!$AL:$AL),"")</f>
        <v>0.05</v>
      </c>
      <c r="AR347">
        <f>IFERROR(_xlfn.XLOOKUP($D347,'Modelling New'!$D:$D,'Modelling New'!$N:$N),"")</f>
        <v>78</v>
      </c>
    </row>
    <row r="348" spans="1:44">
      <c r="A348" s="118">
        <f t="shared" si="32"/>
        <v>46091</v>
      </c>
      <c r="B348" s="107">
        <f>YEAR(Table13[[#This Row],[Date]])+IF(MONTH(Table13[[#This Row],[Date]])&gt;=4,1,0)</f>
        <v>2026</v>
      </c>
      <c r="C348" s="105">
        <f>YEAR(Table13[[#This Row],[Date]])</f>
        <v>2026</v>
      </c>
      <c r="D348" s="119">
        <f>Table13[[#This Row],[Date]]-DAY(Table13[[#This Row],[Date]])+1</f>
        <v>46082</v>
      </c>
      <c r="E348" s="105">
        <f t="shared" si="33"/>
        <v>31</v>
      </c>
      <c r="F348" s="108"/>
      <c r="G348" s="109"/>
      <c r="H348" s="109"/>
      <c r="I348" s="109"/>
      <c r="J348" s="109"/>
      <c r="K348" s="120"/>
      <c r="L348" s="109"/>
      <c r="M348" s="109" t="str">
        <f>IFERROR(_xlfn.XLOOKUP($A348,Input_Raw!$A:$A,Input_Raw!CG:CG),"")</f>
        <v/>
      </c>
      <c r="N348" s="109" t="str">
        <f>IFERROR(_xlfn.XLOOKUP($A348,Input_Raw!$A:$A,Input_Raw!CH:CH),"")</f>
        <v/>
      </c>
      <c r="O348" s="121" t="str">
        <f t="shared" si="34"/>
        <v/>
      </c>
      <c r="P348" s="121" t="str">
        <f>IFERROR(1-SUMIF(WTG_BD!$F:$F,$A348,WTG_BD!$AA:$AA)/($AA348+SUMIF(WTG_BD!$F:$F,$A348,WTG_BD!$AA:$AA)),"")</f>
        <v/>
      </c>
      <c r="Q348" s="122" t="str">
        <f>IFERROR(1-SUMIF(IGA_BD!$F:$F,$A348,IGA_BD!$V:$V)/($AA348+SUMIF(IGA_BD!$F:$F,$A348,IGA_BD!$V:$V)),"")</f>
        <v/>
      </c>
      <c r="R348" s="127" t="str">
        <f>IFERROR(1-SUMIF(Grid_BD!$F:$F,$A348,Grid_BD!$X:$X)/($AA348+SUMIF(Grid_BD!$F:$F,$A348,Grid_BD!$X:$X)),"")</f>
        <v/>
      </c>
      <c r="S348" s="105"/>
      <c r="T348" s="122"/>
      <c r="U348" s="123"/>
      <c r="V348" s="105"/>
      <c r="W348" s="124" t="str">
        <f>IFERROR(Table13[[#This Row],[Mtr_Net_Exp (KWh)]]/(24*AR348*1000),"")</f>
        <v/>
      </c>
      <c r="X348" s="105" t="str">
        <f>IFERROR(_xlfn.XLOOKUP($A348,Input_Raw!$A:$A,Input_Raw!$CF:$CF),"")</f>
        <v/>
      </c>
      <c r="Y348" s="105" t="str">
        <f>IFERROR(_xlfn.XLOOKUP($A348,Input_Raw!$A:$A,Input_Raw!$CZ:$CZ),"")</f>
        <v/>
      </c>
      <c r="Z348" s="105" t="str">
        <f>IFERROR(_xlfn.XLOOKUP($A348,Input_Raw!$A:$A,Input_Raw!$DA:$DA),"")</f>
        <v/>
      </c>
      <c r="AA348" s="107" t="str">
        <f t="shared" si="35"/>
        <v/>
      </c>
      <c r="AB348" s="105" t="str">
        <f>IFERROR(_xlfn.XLOOKUP($A348,Input_Raw!$A:$A,Input_Raw!$DG:$DG),"")</f>
        <v/>
      </c>
      <c r="AC348" s="125">
        <f>IFERROR(_xlfn.XLOOKUP($D348,'Modelling New'!$D:$D,'Modelling New'!$J:$J),"")</f>
        <v>4.5999999999999996</v>
      </c>
      <c r="AD348" s="107">
        <f>IFERROR(_xlfn.XLOOKUP($D348,'Modelling New'!$D:$D,'Modelling New'!$T:$T)*1000,"")</f>
        <v>221156.23146397382</v>
      </c>
      <c r="AE348" s="124"/>
      <c r="AF348" s="124">
        <f>IFERROR(_xlfn.XLOOKUP($D348,'Modelling New'!$D:$D,'Modelling New'!$W:$W),"")</f>
        <v>0.11813901253417405</v>
      </c>
      <c r="AG348" s="124">
        <f>IFERROR(_xlfn.XLOOKUP($D348,'Modelling New'!$D:$D,'Modelling New'!$AE:$AE),"")</f>
        <v>0.96029999999999993</v>
      </c>
      <c r="AH348" s="124">
        <f>IFERROR(_xlfn.XLOOKUP($D348,'Modelling New'!$D:$D,'Modelling New'!$AF:$AF),"")</f>
        <v>0.995</v>
      </c>
      <c r="AI348" s="105" t="str">
        <f>IFERROR(_xlfn.XLOOKUP($A348,Input_Raw!$A:$A,Input_Raw!$DE:$DE),"")</f>
        <v/>
      </c>
      <c r="AJ348" s="105"/>
      <c r="AK348" s="105"/>
      <c r="AL348" s="105"/>
      <c r="AM348" s="105"/>
      <c r="AN348" s="126" t="str">
        <f>IFERROR(_xlfn.XLOOKUP($A348,Input_Raw!$A:$A,Input_Raw!$DB:$DB),"")</f>
        <v/>
      </c>
      <c r="AO348" s="124" t="str">
        <f>IFERROR((_xlfn.XLOOKUP($A348,'WTG Reactive Power'!$A:$A,'WTG Reactive Power'!$AR:$AR))/X348/1000,"")</f>
        <v/>
      </c>
      <c r="AP348" s="124">
        <f>IFERROR(_xlfn.XLOOKUP($D348,'Modelling New'!$D:$D,'Modelling New'!$AK:$AK),"")</f>
        <v>0.05</v>
      </c>
      <c r="AQ348" s="124">
        <f>IFERROR(_xlfn.XLOOKUP($D348,'Modelling New'!$D:$D,'Modelling New'!$AL:$AL),"")</f>
        <v>0.05</v>
      </c>
      <c r="AR348">
        <f>IFERROR(_xlfn.XLOOKUP($D348,'Modelling New'!$D:$D,'Modelling New'!$N:$N),"")</f>
        <v>78</v>
      </c>
    </row>
    <row r="349" spans="1:44">
      <c r="A349" s="118">
        <f t="shared" si="32"/>
        <v>46092</v>
      </c>
      <c r="B349" s="107">
        <f>YEAR(Table13[[#This Row],[Date]])+IF(MONTH(Table13[[#This Row],[Date]])&gt;=4,1,0)</f>
        <v>2026</v>
      </c>
      <c r="C349" s="105">
        <f>YEAR(Table13[[#This Row],[Date]])</f>
        <v>2026</v>
      </c>
      <c r="D349" s="119">
        <f>Table13[[#This Row],[Date]]-DAY(Table13[[#This Row],[Date]])+1</f>
        <v>46082</v>
      </c>
      <c r="E349" s="105">
        <f t="shared" si="33"/>
        <v>31</v>
      </c>
      <c r="F349" s="108"/>
      <c r="G349" s="109"/>
      <c r="H349" s="109"/>
      <c r="I349" s="109"/>
      <c r="J349" s="109"/>
      <c r="K349" s="120"/>
      <c r="L349" s="109"/>
      <c r="M349" s="109" t="str">
        <f>IFERROR(_xlfn.XLOOKUP($A349,Input_Raw!$A:$A,Input_Raw!CG:CG),"")</f>
        <v/>
      </c>
      <c r="N349" s="109" t="str">
        <f>IFERROR(_xlfn.XLOOKUP($A349,Input_Raw!$A:$A,Input_Raw!CH:CH),"")</f>
        <v/>
      </c>
      <c r="O349" s="121" t="str">
        <f t="shared" si="34"/>
        <v/>
      </c>
      <c r="P349" s="121" t="str">
        <f>IFERROR(1-SUMIF(WTG_BD!$F:$F,$A349,WTG_BD!$AA:$AA)/($AA349+SUMIF(WTG_BD!$F:$F,$A349,WTG_BD!$AA:$AA)),"")</f>
        <v/>
      </c>
      <c r="Q349" s="122" t="str">
        <f>IFERROR(1-SUMIF(IGA_BD!$F:$F,$A349,IGA_BD!$V:$V)/($AA349+SUMIF(IGA_BD!$F:$F,$A349,IGA_BD!$V:$V)),"")</f>
        <v/>
      </c>
      <c r="R349" s="127" t="str">
        <f>IFERROR(1-SUMIF(Grid_BD!$F:$F,$A349,Grid_BD!$X:$X)/($AA349+SUMIF(Grid_BD!$F:$F,$A349,Grid_BD!$X:$X)),"")</f>
        <v/>
      </c>
      <c r="S349" s="105"/>
      <c r="T349" s="122"/>
      <c r="U349" s="123"/>
      <c r="V349" s="105"/>
      <c r="W349" s="124" t="str">
        <f>IFERROR(Table13[[#This Row],[Mtr_Net_Exp (KWh)]]/(24*AR349*1000),"")</f>
        <v/>
      </c>
      <c r="X349" s="105" t="str">
        <f>IFERROR(_xlfn.XLOOKUP($A349,Input_Raw!$A:$A,Input_Raw!$CF:$CF),"")</f>
        <v/>
      </c>
      <c r="Y349" s="105" t="str">
        <f>IFERROR(_xlfn.XLOOKUP($A349,Input_Raw!$A:$A,Input_Raw!$CZ:$CZ),"")</f>
        <v/>
      </c>
      <c r="Z349" s="105" t="str">
        <f>IFERROR(_xlfn.XLOOKUP($A349,Input_Raw!$A:$A,Input_Raw!$DA:$DA),"")</f>
        <v/>
      </c>
      <c r="AA349" s="107" t="str">
        <f t="shared" si="35"/>
        <v/>
      </c>
      <c r="AB349" s="105" t="str">
        <f>IFERROR(_xlfn.XLOOKUP($A349,Input_Raw!$A:$A,Input_Raw!$DG:$DG),"")</f>
        <v/>
      </c>
      <c r="AC349" s="125">
        <f>IFERROR(_xlfn.XLOOKUP($D349,'Modelling New'!$D:$D,'Modelling New'!$J:$J),"")</f>
        <v>4.5999999999999996</v>
      </c>
      <c r="AD349" s="107">
        <f>IFERROR(_xlfn.XLOOKUP($D349,'Modelling New'!$D:$D,'Modelling New'!$T:$T)*1000,"")</f>
        <v>221156.23146397382</v>
      </c>
      <c r="AE349" s="124"/>
      <c r="AF349" s="124">
        <f>IFERROR(_xlfn.XLOOKUP($D349,'Modelling New'!$D:$D,'Modelling New'!$W:$W),"")</f>
        <v>0.11813901253417405</v>
      </c>
      <c r="AG349" s="124">
        <f>IFERROR(_xlfn.XLOOKUP($D349,'Modelling New'!$D:$D,'Modelling New'!$AE:$AE),"")</f>
        <v>0.96029999999999993</v>
      </c>
      <c r="AH349" s="124">
        <f>IFERROR(_xlfn.XLOOKUP($D349,'Modelling New'!$D:$D,'Modelling New'!$AF:$AF),"")</f>
        <v>0.995</v>
      </c>
      <c r="AI349" s="105" t="str">
        <f>IFERROR(_xlfn.XLOOKUP($A349,Input_Raw!$A:$A,Input_Raw!$DE:$DE),"")</f>
        <v/>
      </c>
      <c r="AJ349" s="105"/>
      <c r="AK349" s="105"/>
      <c r="AL349" s="105"/>
      <c r="AM349" s="105"/>
      <c r="AN349" s="126" t="str">
        <f>IFERROR(_xlfn.XLOOKUP($A349,Input_Raw!$A:$A,Input_Raw!$DB:$DB),"")</f>
        <v/>
      </c>
      <c r="AO349" s="124" t="str">
        <f>IFERROR((_xlfn.XLOOKUP($A349,'WTG Reactive Power'!$A:$A,'WTG Reactive Power'!$AR:$AR))/X349/1000,"")</f>
        <v/>
      </c>
      <c r="AP349" s="124">
        <f>IFERROR(_xlfn.XLOOKUP($D349,'Modelling New'!$D:$D,'Modelling New'!$AK:$AK),"")</f>
        <v>0.05</v>
      </c>
      <c r="AQ349" s="124">
        <f>IFERROR(_xlfn.XLOOKUP($D349,'Modelling New'!$D:$D,'Modelling New'!$AL:$AL),"")</f>
        <v>0.05</v>
      </c>
      <c r="AR349">
        <f>IFERROR(_xlfn.XLOOKUP($D349,'Modelling New'!$D:$D,'Modelling New'!$N:$N),"")</f>
        <v>78</v>
      </c>
    </row>
    <row r="350" spans="1:44">
      <c r="A350" s="118">
        <f t="shared" si="32"/>
        <v>46093</v>
      </c>
      <c r="B350" s="107">
        <f>YEAR(Table13[[#This Row],[Date]])+IF(MONTH(Table13[[#This Row],[Date]])&gt;=4,1,0)</f>
        <v>2026</v>
      </c>
      <c r="C350" s="105">
        <f>YEAR(Table13[[#This Row],[Date]])</f>
        <v>2026</v>
      </c>
      <c r="D350" s="119">
        <f>Table13[[#This Row],[Date]]-DAY(Table13[[#This Row],[Date]])+1</f>
        <v>46082</v>
      </c>
      <c r="E350" s="105">
        <f t="shared" si="33"/>
        <v>31</v>
      </c>
      <c r="F350" s="108"/>
      <c r="G350" s="109"/>
      <c r="H350" s="109"/>
      <c r="I350" s="109"/>
      <c r="J350" s="109"/>
      <c r="K350" s="120"/>
      <c r="L350" s="109"/>
      <c r="M350" s="109" t="str">
        <f>IFERROR(_xlfn.XLOOKUP($A350,Input_Raw!$A:$A,Input_Raw!CG:CG),"")</f>
        <v/>
      </c>
      <c r="N350" s="109" t="str">
        <f>IFERROR(_xlfn.XLOOKUP($A350,Input_Raw!$A:$A,Input_Raw!CH:CH),"")</f>
        <v/>
      </c>
      <c r="O350" s="121" t="str">
        <f t="shared" si="34"/>
        <v/>
      </c>
      <c r="P350" s="121" t="str">
        <f>IFERROR(1-SUMIF(WTG_BD!$F:$F,$A350,WTG_BD!$AA:$AA)/($AA350+SUMIF(WTG_BD!$F:$F,$A350,WTG_BD!$AA:$AA)),"")</f>
        <v/>
      </c>
      <c r="Q350" s="122" t="str">
        <f>IFERROR(1-SUMIF(IGA_BD!$F:$F,$A350,IGA_BD!$V:$V)/($AA350+SUMIF(IGA_BD!$F:$F,$A350,IGA_BD!$V:$V)),"")</f>
        <v/>
      </c>
      <c r="R350" s="127" t="str">
        <f>IFERROR(1-SUMIF(Grid_BD!$F:$F,$A350,Grid_BD!$X:$X)/($AA350+SUMIF(Grid_BD!$F:$F,$A350,Grid_BD!$X:$X)),"")</f>
        <v/>
      </c>
      <c r="S350" s="105"/>
      <c r="T350" s="122"/>
      <c r="U350" s="123"/>
      <c r="V350" s="105"/>
      <c r="W350" s="124" t="str">
        <f>IFERROR(Table13[[#This Row],[Mtr_Net_Exp (KWh)]]/(24*AR350*1000),"")</f>
        <v/>
      </c>
      <c r="X350" s="105" t="str">
        <f>IFERROR(_xlfn.XLOOKUP($A350,Input_Raw!$A:$A,Input_Raw!$CF:$CF),"")</f>
        <v/>
      </c>
      <c r="Y350" s="105" t="str">
        <f>IFERROR(_xlfn.XLOOKUP($A350,Input_Raw!$A:$A,Input_Raw!$CZ:$CZ),"")</f>
        <v/>
      </c>
      <c r="Z350" s="105" t="str">
        <f>IFERROR(_xlfn.XLOOKUP($A350,Input_Raw!$A:$A,Input_Raw!$DA:$DA),"")</f>
        <v/>
      </c>
      <c r="AA350" s="107" t="str">
        <f t="shared" si="35"/>
        <v/>
      </c>
      <c r="AB350" s="105" t="str">
        <f>IFERROR(_xlfn.XLOOKUP($A350,Input_Raw!$A:$A,Input_Raw!$DG:$DG),"")</f>
        <v/>
      </c>
      <c r="AC350" s="125">
        <f>IFERROR(_xlfn.XLOOKUP($D350,'Modelling New'!$D:$D,'Modelling New'!$J:$J),"")</f>
        <v>4.5999999999999996</v>
      </c>
      <c r="AD350" s="107">
        <f>IFERROR(_xlfn.XLOOKUP($D350,'Modelling New'!$D:$D,'Modelling New'!$T:$T)*1000,"")</f>
        <v>221156.23146397382</v>
      </c>
      <c r="AE350" s="124"/>
      <c r="AF350" s="124">
        <f>IFERROR(_xlfn.XLOOKUP($D350,'Modelling New'!$D:$D,'Modelling New'!$W:$W),"")</f>
        <v>0.11813901253417405</v>
      </c>
      <c r="AG350" s="124">
        <f>IFERROR(_xlfn.XLOOKUP($D350,'Modelling New'!$D:$D,'Modelling New'!$AE:$AE),"")</f>
        <v>0.96029999999999993</v>
      </c>
      <c r="AH350" s="124">
        <f>IFERROR(_xlfn.XLOOKUP($D350,'Modelling New'!$D:$D,'Modelling New'!$AF:$AF),"")</f>
        <v>0.995</v>
      </c>
      <c r="AI350" s="105" t="str">
        <f>IFERROR(_xlfn.XLOOKUP($A350,Input_Raw!$A:$A,Input_Raw!$DE:$DE),"")</f>
        <v/>
      </c>
      <c r="AJ350" s="105"/>
      <c r="AK350" s="105"/>
      <c r="AL350" s="105"/>
      <c r="AM350" s="105"/>
      <c r="AN350" s="126" t="str">
        <f>IFERROR(_xlfn.XLOOKUP($A350,Input_Raw!$A:$A,Input_Raw!$DB:$DB),"")</f>
        <v/>
      </c>
      <c r="AO350" s="124" t="str">
        <f>IFERROR((_xlfn.XLOOKUP($A350,'WTG Reactive Power'!$A:$A,'WTG Reactive Power'!$AR:$AR))/X350/1000,"")</f>
        <v/>
      </c>
      <c r="AP350" s="124">
        <f>IFERROR(_xlfn.XLOOKUP($D350,'Modelling New'!$D:$D,'Modelling New'!$AK:$AK),"")</f>
        <v>0.05</v>
      </c>
      <c r="AQ350" s="124">
        <f>IFERROR(_xlfn.XLOOKUP($D350,'Modelling New'!$D:$D,'Modelling New'!$AL:$AL),"")</f>
        <v>0.05</v>
      </c>
      <c r="AR350">
        <f>IFERROR(_xlfn.XLOOKUP($D350,'Modelling New'!$D:$D,'Modelling New'!$N:$N),"")</f>
        <v>78</v>
      </c>
    </row>
    <row r="351" spans="1:44">
      <c r="A351" s="118">
        <f t="shared" si="32"/>
        <v>46094</v>
      </c>
      <c r="B351" s="107">
        <f>YEAR(Table13[[#This Row],[Date]])+IF(MONTH(Table13[[#This Row],[Date]])&gt;=4,1,0)</f>
        <v>2026</v>
      </c>
      <c r="C351" s="105">
        <f>YEAR(Table13[[#This Row],[Date]])</f>
        <v>2026</v>
      </c>
      <c r="D351" s="119">
        <f>Table13[[#This Row],[Date]]-DAY(Table13[[#This Row],[Date]])+1</f>
        <v>46082</v>
      </c>
      <c r="E351" s="105">
        <f t="shared" si="33"/>
        <v>31</v>
      </c>
      <c r="F351" s="108"/>
      <c r="G351" s="109"/>
      <c r="H351" s="109"/>
      <c r="I351" s="109"/>
      <c r="J351" s="109"/>
      <c r="K351" s="120"/>
      <c r="L351" s="109"/>
      <c r="M351" s="109" t="str">
        <f>IFERROR(_xlfn.XLOOKUP($A351,Input_Raw!$A:$A,Input_Raw!CG:CG),"")</f>
        <v/>
      </c>
      <c r="N351" s="109" t="str">
        <f>IFERROR(_xlfn.XLOOKUP($A351,Input_Raw!$A:$A,Input_Raw!CH:CH),"")</f>
        <v/>
      </c>
      <c r="O351" s="121" t="str">
        <f t="shared" si="34"/>
        <v/>
      </c>
      <c r="P351" s="121" t="str">
        <f>IFERROR(1-SUMIF(WTG_BD!$F:$F,$A351,WTG_BD!$AA:$AA)/($AA351+SUMIF(WTG_BD!$F:$F,$A351,WTG_BD!$AA:$AA)),"")</f>
        <v/>
      </c>
      <c r="Q351" s="122" t="str">
        <f>IFERROR(1-SUMIF(IGA_BD!$F:$F,$A351,IGA_BD!$V:$V)/($AA351+SUMIF(IGA_BD!$F:$F,$A351,IGA_BD!$V:$V)),"")</f>
        <v/>
      </c>
      <c r="R351" s="127" t="str">
        <f>IFERROR(1-SUMIF(Grid_BD!$F:$F,$A351,Grid_BD!$X:$X)/($AA351+SUMIF(Grid_BD!$F:$F,$A351,Grid_BD!$X:$X)),"")</f>
        <v/>
      </c>
      <c r="S351" s="105"/>
      <c r="T351" s="122"/>
      <c r="U351" s="123"/>
      <c r="V351" s="105"/>
      <c r="W351" s="124" t="str">
        <f>IFERROR(Table13[[#This Row],[Mtr_Net_Exp (KWh)]]/(24*AR351*1000),"")</f>
        <v/>
      </c>
      <c r="X351" s="105" t="str">
        <f>IFERROR(_xlfn.XLOOKUP($A351,Input_Raw!$A:$A,Input_Raw!$CF:$CF),"")</f>
        <v/>
      </c>
      <c r="Y351" s="105" t="str">
        <f>IFERROR(_xlfn.XLOOKUP($A351,Input_Raw!$A:$A,Input_Raw!$CZ:$CZ),"")</f>
        <v/>
      </c>
      <c r="Z351" s="105" t="str">
        <f>IFERROR(_xlfn.XLOOKUP($A351,Input_Raw!$A:$A,Input_Raw!$DA:$DA),"")</f>
        <v/>
      </c>
      <c r="AA351" s="107" t="str">
        <f t="shared" si="35"/>
        <v/>
      </c>
      <c r="AB351" s="105" t="str">
        <f>IFERROR(_xlfn.XLOOKUP($A351,Input_Raw!$A:$A,Input_Raw!$DG:$DG),"")</f>
        <v/>
      </c>
      <c r="AC351" s="125">
        <f>IFERROR(_xlfn.XLOOKUP($D351,'Modelling New'!$D:$D,'Modelling New'!$J:$J),"")</f>
        <v>4.5999999999999996</v>
      </c>
      <c r="AD351" s="107">
        <f>IFERROR(_xlfn.XLOOKUP($D351,'Modelling New'!$D:$D,'Modelling New'!$T:$T)*1000,"")</f>
        <v>221156.23146397382</v>
      </c>
      <c r="AE351" s="124"/>
      <c r="AF351" s="124">
        <f>IFERROR(_xlfn.XLOOKUP($D351,'Modelling New'!$D:$D,'Modelling New'!$W:$W),"")</f>
        <v>0.11813901253417405</v>
      </c>
      <c r="AG351" s="124">
        <f>IFERROR(_xlfn.XLOOKUP($D351,'Modelling New'!$D:$D,'Modelling New'!$AE:$AE),"")</f>
        <v>0.96029999999999993</v>
      </c>
      <c r="AH351" s="124">
        <f>IFERROR(_xlfn.XLOOKUP($D351,'Modelling New'!$D:$D,'Modelling New'!$AF:$AF),"")</f>
        <v>0.995</v>
      </c>
      <c r="AI351" s="105" t="str">
        <f>IFERROR(_xlfn.XLOOKUP($A351,Input_Raw!$A:$A,Input_Raw!$DE:$DE),"")</f>
        <v/>
      </c>
      <c r="AJ351" s="105"/>
      <c r="AK351" s="105"/>
      <c r="AL351" s="105"/>
      <c r="AM351" s="105"/>
      <c r="AN351" s="126" t="str">
        <f>IFERROR(_xlfn.XLOOKUP($A351,Input_Raw!$A:$A,Input_Raw!$DB:$DB),"")</f>
        <v/>
      </c>
      <c r="AO351" s="124" t="str">
        <f>IFERROR((_xlfn.XLOOKUP($A351,'WTG Reactive Power'!$A:$A,'WTG Reactive Power'!$AR:$AR))/X351/1000,"")</f>
        <v/>
      </c>
      <c r="AP351" s="124">
        <f>IFERROR(_xlfn.XLOOKUP($D351,'Modelling New'!$D:$D,'Modelling New'!$AK:$AK),"")</f>
        <v>0.05</v>
      </c>
      <c r="AQ351" s="124">
        <f>IFERROR(_xlfn.XLOOKUP($D351,'Modelling New'!$D:$D,'Modelling New'!$AL:$AL),"")</f>
        <v>0.05</v>
      </c>
      <c r="AR351">
        <f>IFERROR(_xlfn.XLOOKUP($D351,'Modelling New'!$D:$D,'Modelling New'!$N:$N),"")</f>
        <v>78</v>
      </c>
    </row>
    <row r="352" spans="1:44">
      <c r="A352" s="118">
        <f t="shared" si="32"/>
        <v>46095</v>
      </c>
      <c r="B352" s="107">
        <f>YEAR(Table13[[#This Row],[Date]])+IF(MONTH(Table13[[#This Row],[Date]])&gt;=4,1,0)</f>
        <v>2026</v>
      </c>
      <c r="C352" s="105">
        <f>YEAR(Table13[[#This Row],[Date]])</f>
        <v>2026</v>
      </c>
      <c r="D352" s="119">
        <f>Table13[[#This Row],[Date]]-DAY(Table13[[#This Row],[Date]])+1</f>
        <v>46082</v>
      </c>
      <c r="E352" s="105">
        <f t="shared" si="33"/>
        <v>31</v>
      </c>
      <c r="F352" s="108"/>
      <c r="G352" s="109"/>
      <c r="H352" s="109"/>
      <c r="I352" s="109"/>
      <c r="J352" s="109"/>
      <c r="K352" s="120"/>
      <c r="L352" s="109"/>
      <c r="M352" s="109" t="str">
        <f>IFERROR(_xlfn.XLOOKUP($A352,Input_Raw!$A:$A,Input_Raw!CG:CG),"")</f>
        <v/>
      </c>
      <c r="N352" s="109" t="str">
        <f>IFERROR(_xlfn.XLOOKUP($A352,Input_Raw!$A:$A,Input_Raw!CH:CH),"")</f>
        <v/>
      </c>
      <c r="O352" s="121" t="str">
        <f t="shared" si="34"/>
        <v/>
      </c>
      <c r="P352" s="121" t="str">
        <f>IFERROR(1-SUMIF(WTG_BD!$F:$F,$A352,WTG_BD!$AA:$AA)/($AA352+SUMIF(WTG_BD!$F:$F,$A352,WTG_BD!$AA:$AA)),"")</f>
        <v/>
      </c>
      <c r="Q352" s="122" t="str">
        <f>IFERROR(1-SUMIF(IGA_BD!$F:$F,$A352,IGA_BD!$V:$V)/($AA352+SUMIF(IGA_BD!$F:$F,$A352,IGA_BD!$V:$V)),"")</f>
        <v/>
      </c>
      <c r="R352" s="127" t="str">
        <f>IFERROR(1-SUMIF(Grid_BD!$F:$F,$A352,Grid_BD!$X:$X)/($AA352+SUMIF(Grid_BD!$F:$F,$A352,Grid_BD!$X:$X)),"")</f>
        <v/>
      </c>
      <c r="S352" s="105"/>
      <c r="T352" s="122"/>
      <c r="U352" s="123"/>
      <c r="V352" s="105"/>
      <c r="W352" s="124" t="str">
        <f>IFERROR(Table13[[#This Row],[Mtr_Net_Exp (KWh)]]/(24*AR352*1000),"")</f>
        <v/>
      </c>
      <c r="X352" s="105" t="str">
        <f>IFERROR(_xlfn.XLOOKUP($A352,Input_Raw!$A:$A,Input_Raw!$CF:$CF),"")</f>
        <v/>
      </c>
      <c r="Y352" s="105" t="str">
        <f>IFERROR(_xlfn.XLOOKUP($A352,Input_Raw!$A:$A,Input_Raw!$CZ:$CZ),"")</f>
        <v/>
      </c>
      <c r="Z352" s="105" t="str">
        <f>IFERROR(_xlfn.XLOOKUP($A352,Input_Raw!$A:$A,Input_Raw!$DA:$DA),"")</f>
        <v/>
      </c>
      <c r="AA352" s="107" t="str">
        <f t="shared" si="35"/>
        <v/>
      </c>
      <c r="AB352" s="105" t="str">
        <f>IFERROR(_xlfn.XLOOKUP($A352,Input_Raw!$A:$A,Input_Raw!$DG:$DG),"")</f>
        <v/>
      </c>
      <c r="AC352" s="125">
        <f>IFERROR(_xlfn.XLOOKUP($D352,'Modelling New'!$D:$D,'Modelling New'!$J:$J),"")</f>
        <v>4.5999999999999996</v>
      </c>
      <c r="AD352" s="107">
        <f>IFERROR(_xlfn.XLOOKUP($D352,'Modelling New'!$D:$D,'Modelling New'!$T:$T)*1000,"")</f>
        <v>221156.23146397382</v>
      </c>
      <c r="AE352" s="124"/>
      <c r="AF352" s="124">
        <f>IFERROR(_xlfn.XLOOKUP($D352,'Modelling New'!$D:$D,'Modelling New'!$W:$W),"")</f>
        <v>0.11813901253417405</v>
      </c>
      <c r="AG352" s="124">
        <f>IFERROR(_xlfn.XLOOKUP($D352,'Modelling New'!$D:$D,'Modelling New'!$AE:$AE),"")</f>
        <v>0.96029999999999993</v>
      </c>
      <c r="AH352" s="124">
        <f>IFERROR(_xlfn.XLOOKUP($D352,'Modelling New'!$D:$D,'Modelling New'!$AF:$AF),"")</f>
        <v>0.995</v>
      </c>
      <c r="AI352" s="105" t="str">
        <f>IFERROR(_xlfn.XLOOKUP($A352,Input_Raw!$A:$A,Input_Raw!$DE:$DE),"")</f>
        <v/>
      </c>
      <c r="AJ352" s="105"/>
      <c r="AK352" s="105"/>
      <c r="AL352" s="105"/>
      <c r="AM352" s="105"/>
      <c r="AN352" s="126" t="str">
        <f>IFERROR(_xlfn.XLOOKUP($A352,Input_Raw!$A:$A,Input_Raw!$DB:$DB),"")</f>
        <v/>
      </c>
      <c r="AO352" s="124" t="str">
        <f>IFERROR((_xlfn.XLOOKUP($A352,'WTG Reactive Power'!$A:$A,'WTG Reactive Power'!$AR:$AR))/X352/1000,"")</f>
        <v/>
      </c>
      <c r="AP352" s="124">
        <f>IFERROR(_xlfn.XLOOKUP($D352,'Modelling New'!$D:$D,'Modelling New'!$AK:$AK),"")</f>
        <v>0.05</v>
      </c>
      <c r="AQ352" s="124">
        <f>IFERROR(_xlfn.XLOOKUP($D352,'Modelling New'!$D:$D,'Modelling New'!$AL:$AL),"")</f>
        <v>0.05</v>
      </c>
      <c r="AR352">
        <f>IFERROR(_xlfn.XLOOKUP($D352,'Modelling New'!$D:$D,'Modelling New'!$N:$N),"")</f>
        <v>78</v>
      </c>
    </row>
    <row r="353" spans="1:44">
      <c r="A353" s="118">
        <f t="shared" si="32"/>
        <v>46096</v>
      </c>
      <c r="B353" s="107">
        <f>YEAR(Table13[[#This Row],[Date]])+IF(MONTH(Table13[[#This Row],[Date]])&gt;=4,1,0)</f>
        <v>2026</v>
      </c>
      <c r="C353" s="105">
        <f>YEAR(Table13[[#This Row],[Date]])</f>
        <v>2026</v>
      </c>
      <c r="D353" s="119">
        <f>Table13[[#This Row],[Date]]-DAY(Table13[[#This Row],[Date]])+1</f>
        <v>46082</v>
      </c>
      <c r="E353" s="105">
        <f t="shared" si="33"/>
        <v>31</v>
      </c>
      <c r="F353" s="108"/>
      <c r="G353" s="109"/>
      <c r="H353" s="109"/>
      <c r="I353" s="109"/>
      <c r="J353" s="109"/>
      <c r="K353" s="120"/>
      <c r="L353" s="109"/>
      <c r="M353" s="109" t="str">
        <f>IFERROR(_xlfn.XLOOKUP($A353,Input_Raw!$A:$A,Input_Raw!CG:CG),"")</f>
        <v/>
      </c>
      <c r="N353" s="109" t="str">
        <f>IFERROR(_xlfn.XLOOKUP($A353,Input_Raw!$A:$A,Input_Raw!CH:CH),"")</f>
        <v/>
      </c>
      <c r="O353" s="121" t="str">
        <f t="shared" si="34"/>
        <v/>
      </c>
      <c r="P353" s="121" t="str">
        <f>IFERROR(1-SUMIF(WTG_BD!$F:$F,$A353,WTG_BD!$AA:$AA)/($AA353+SUMIF(WTG_BD!$F:$F,$A353,WTG_BD!$AA:$AA)),"")</f>
        <v/>
      </c>
      <c r="Q353" s="122" t="str">
        <f>IFERROR(1-SUMIF(IGA_BD!$F:$F,$A353,IGA_BD!$V:$V)/($AA353+SUMIF(IGA_BD!$F:$F,$A353,IGA_BD!$V:$V)),"")</f>
        <v/>
      </c>
      <c r="R353" s="127" t="str">
        <f>IFERROR(1-SUMIF(Grid_BD!$F:$F,$A353,Grid_BD!$X:$X)/($AA353+SUMIF(Grid_BD!$F:$F,$A353,Grid_BD!$X:$X)),"")</f>
        <v/>
      </c>
      <c r="S353" s="105"/>
      <c r="T353" s="122"/>
      <c r="U353" s="123"/>
      <c r="V353" s="105"/>
      <c r="W353" s="124" t="str">
        <f>IFERROR(Table13[[#This Row],[Mtr_Net_Exp (KWh)]]/(24*AR353*1000),"")</f>
        <v/>
      </c>
      <c r="X353" s="105" t="str">
        <f>IFERROR(_xlfn.XLOOKUP($A353,Input_Raw!$A:$A,Input_Raw!$CF:$CF),"")</f>
        <v/>
      </c>
      <c r="Y353" s="105" t="str">
        <f>IFERROR(_xlfn.XLOOKUP($A353,Input_Raw!$A:$A,Input_Raw!$CZ:$CZ),"")</f>
        <v/>
      </c>
      <c r="Z353" s="105" t="str">
        <f>IFERROR(_xlfn.XLOOKUP($A353,Input_Raw!$A:$A,Input_Raw!$DA:$DA),"")</f>
        <v/>
      </c>
      <c r="AA353" s="107" t="str">
        <f t="shared" si="35"/>
        <v/>
      </c>
      <c r="AB353" s="105" t="str">
        <f>IFERROR(_xlfn.XLOOKUP($A353,Input_Raw!$A:$A,Input_Raw!$DG:$DG),"")</f>
        <v/>
      </c>
      <c r="AC353" s="125">
        <f>IFERROR(_xlfn.XLOOKUP($D353,'Modelling New'!$D:$D,'Modelling New'!$J:$J),"")</f>
        <v>4.5999999999999996</v>
      </c>
      <c r="AD353" s="107">
        <f>IFERROR(_xlfn.XLOOKUP($D353,'Modelling New'!$D:$D,'Modelling New'!$T:$T)*1000,"")</f>
        <v>221156.23146397382</v>
      </c>
      <c r="AE353" s="124"/>
      <c r="AF353" s="124">
        <f>IFERROR(_xlfn.XLOOKUP($D353,'Modelling New'!$D:$D,'Modelling New'!$W:$W),"")</f>
        <v>0.11813901253417405</v>
      </c>
      <c r="AG353" s="124">
        <f>IFERROR(_xlfn.XLOOKUP($D353,'Modelling New'!$D:$D,'Modelling New'!$AE:$AE),"")</f>
        <v>0.96029999999999993</v>
      </c>
      <c r="AH353" s="124">
        <f>IFERROR(_xlfn.XLOOKUP($D353,'Modelling New'!$D:$D,'Modelling New'!$AF:$AF),"")</f>
        <v>0.995</v>
      </c>
      <c r="AI353" s="105" t="str">
        <f>IFERROR(_xlfn.XLOOKUP($A353,Input_Raw!$A:$A,Input_Raw!$DE:$DE),"")</f>
        <v/>
      </c>
      <c r="AJ353" s="105"/>
      <c r="AK353" s="105"/>
      <c r="AL353" s="105"/>
      <c r="AM353" s="105"/>
      <c r="AN353" s="126" t="str">
        <f>IFERROR(_xlfn.XLOOKUP($A353,Input_Raw!$A:$A,Input_Raw!$DB:$DB),"")</f>
        <v/>
      </c>
      <c r="AO353" s="124" t="str">
        <f>IFERROR((_xlfn.XLOOKUP($A353,'WTG Reactive Power'!$A:$A,'WTG Reactive Power'!$AR:$AR))/X353/1000,"")</f>
        <v/>
      </c>
      <c r="AP353" s="124">
        <f>IFERROR(_xlfn.XLOOKUP($D353,'Modelling New'!$D:$D,'Modelling New'!$AK:$AK),"")</f>
        <v>0.05</v>
      </c>
      <c r="AQ353" s="124">
        <f>IFERROR(_xlfn.XLOOKUP($D353,'Modelling New'!$D:$D,'Modelling New'!$AL:$AL),"")</f>
        <v>0.05</v>
      </c>
      <c r="AR353">
        <f>IFERROR(_xlfn.XLOOKUP($D353,'Modelling New'!$D:$D,'Modelling New'!$N:$N),"")</f>
        <v>78</v>
      </c>
    </row>
    <row r="354" spans="1:44">
      <c r="A354" s="118">
        <f t="shared" si="32"/>
        <v>46097</v>
      </c>
      <c r="B354" s="107">
        <f>YEAR(Table13[[#This Row],[Date]])+IF(MONTH(Table13[[#This Row],[Date]])&gt;=4,1,0)</f>
        <v>2026</v>
      </c>
      <c r="C354" s="105">
        <f>YEAR(Table13[[#This Row],[Date]])</f>
        <v>2026</v>
      </c>
      <c r="D354" s="119">
        <f>Table13[[#This Row],[Date]]-DAY(Table13[[#This Row],[Date]])+1</f>
        <v>46082</v>
      </c>
      <c r="E354" s="105">
        <f t="shared" si="33"/>
        <v>31</v>
      </c>
      <c r="F354" s="108"/>
      <c r="G354" s="109"/>
      <c r="H354" s="109"/>
      <c r="I354" s="109"/>
      <c r="J354" s="109"/>
      <c r="K354" s="120"/>
      <c r="L354" s="109"/>
      <c r="M354" s="109" t="str">
        <f>IFERROR(_xlfn.XLOOKUP($A354,Input_Raw!$A:$A,Input_Raw!CG:CG),"")</f>
        <v/>
      </c>
      <c r="N354" s="109" t="str">
        <f>IFERROR(_xlfn.XLOOKUP($A354,Input_Raw!$A:$A,Input_Raw!CH:CH),"")</f>
        <v/>
      </c>
      <c r="O354" s="121" t="str">
        <f t="shared" si="34"/>
        <v/>
      </c>
      <c r="P354" s="121" t="str">
        <f>IFERROR(1-SUMIF(WTG_BD!$F:$F,$A354,WTG_BD!$AA:$AA)/($AA354+SUMIF(WTG_BD!$F:$F,$A354,WTG_BD!$AA:$AA)),"")</f>
        <v/>
      </c>
      <c r="Q354" s="122" t="str">
        <f>IFERROR(1-SUMIF(IGA_BD!$F:$F,$A354,IGA_BD!$V:$V)/($AA354+SUMIF(IGA_BD!$F:$F,$A354,IGA_BD!$V:$V)),"")</f>
        <v/>
      </c>
      <c r="R354" s="127" t="str">
        <f>IFERROR(1-SUMIF(Grid_BD!$F:$F,$A354,Grid_BD!$X:$X)/($AA354+SUMIF(Grid_BD!$F:$F,$A354,Grid_BD!$X:$X)),"")</f>
        <v/>
      </c>
      <c r="S354" s="105"/>
      <c r="T354" s="122"/>
      <c r="U354" s="123"/>
      <c r="V354" s="105"/>
      <c r="W354" s="124" t="str">
        <f>IFERROR(Table13[[#This Row],[Mtr_Net_Exp (KWh)]]/(24*AR354*1000),"")</f>
        <v/>
      </c>
      <c r="X354" s="105" t="str">
        <f>IFERROR(_xlfn.XLOOKUP($A354,Input_Raw!$A:$A,Input_Raw!$CF:$CF),"")</f>
        <v/>
      </c>
      <c r="Y354" s="105" t="str">
        <f>IFERROR(_xlfn.XLOOKUP($A354,Input_Raw!$A:$A,Input_Raw!$CZ:$CZ),"")</f>
        <v/>
      </c>
      <c r="Z354" s="105" t="str">
        <f>IFERROR(_xlfn.XLOOKUP($A354,Input_Raw!$A:$A,Input_Raw!$DA:$DA),"")</f>
        <v/>
      </c>
      <c r="AA354" s="107" t="str">
        <f t="shared" si="35"/>
        <v/>
      </c>
      <c r="AB354" s="105" t="str">
        <f>IFERROR(_xlfn.XLOOKUP($A354,Input_Raw!$A:$A,Input_Raw!$DG:$DG),"")</f>
        <v/>
      </c>
      <c r="AC354" s="125">
        <f>IFERROR(_xlfn.XLOOKUP($D354,'Modelling New'!$D:$D,'Modelling New'!$J:$J),"")</f>
        <v>4.5999999999999996</v>
      </c>
      <c r="AD354" s="107">
        <f>IFERROR(_xlfn.XLOOKUP($D354,'Modelling New'!$D:$D,'Modelling New'!$T:$T)*1000,"")</f>
        <v>221156.23146397382</v>
      </c>
      <c r="AE354" s="124"/>
      <c r="AF354" s="124">
        <f>IFERROR(_xlfn.XLOOKUP($D354,'Modelling New'!$D:$D,'Modelling New'!$W:$W),"")</f>
        <v>0.11813901253417405</v>
      </c>
      <c r="AG354" s="124">
        <f>IFERROR(_xlfn.XLOOKUP($D354,'Modelling New'!$D:$D,'Modelling New'!$AE:$AE),"")</f>
        <v>0.96029999999999993</v>
      </c>
      <c r="AH354" s="124">
        <f>IFERROR(_xlfn.XLOOKUP($D354,'Modelling New'!$D:$D,'Modelling New'!$AF:$AF),"")</f>
        <v>0.995</v>
      </c>
      <c r="AI354" s="105" t="str">
        <f>IFERROR(_xlfn.XLOOKUP($A354,Input_Raw!$A:$A,Input_Raw!$DE:$DE),"")</f>
        <v/>
      </c>
      <c r="AJ354" s="105"/>
      <c r="AK354" s="105"/>
      <c r="AL354" s="105"/>
      <c r="AM354" s="105"/>
      <c r="AN354" s="126" t="str">
        <f>IFERROR(_xlfn.XLOOKUP($A354,Input_Raw!$A:$A,Input_Raw!$DB:$DB),"")</f>
        <v/>
      </c>
      <c r="AO354" s="124" t="str">
        <f>IFERROR((_xlfn.XLOOKUP($A354,'WTG Reactive Power'!$A:$A,'WTG Reactive Power'!$AR:$AR))/X354/1000,"")</f>
        <v/>
      </c>
      <c r="AP354" s="124">
        <f>IFERROR(_xlfn.XLOOKUP($D354,'Modelling New'!$D:$D,'Modelling New'!$AK:$AK),"")</f>
        <v>0.05</v>
      </c>
      <c r="AQ354" s="124">
        <f>IFERROR(_xlfn.XLOOKUP($D354,'Modelling New'!$D:$D,'Modelling New'!$AL:$AL),"")</f>
        <v>0.05</v>
      </c>
      <c r="AR354">
        <f>IFERROR(_xlfn.XLOOKUP($D354,'Modelling New'!$D:$D,'Modelling New'!$N:$N),"")</f>
        <v>78</v>
      </c>
    </row>
    <row r="355" spans="1:44">
      <c r="A355" s="118">
        <f t="shared" si="32"/>
        <v>46098</v>
      </c>
      <c r="B355" s="107">
        <f>YEAR(Table13[[#This Row],[Date]])+IF(MONTH(Table13[[#This Row],[Date]])&gt;=4,1,0)</f>
        <v>2026</v>
      </c>
      <c r="C355" s="105">
        <f>YEAR(Table13[[#This Row],[Date]])</f>
        <v>2026</v>
      </c>
      <c r="D355" s="119">
        <f>Table13[[#This Row],[Date]]-DAY(Table13[[#This Row],[Date]])+1</f>
        <v>46082</v>
      </c>
      <c r="E355" s="105">
        <f t="shared" si="33"/>
        <v>31</v>
      </c>
      <c r="F355" s="108"/>
      <c r="G355" s="109"/>
      <c r="H355" s="109"/>
      <c r="I355" s="109"/>
      <c r="J355" s="109"/>
      <c r="K355" s="120"/>
      <c r="L355" s="109"/>
      <c r="M355" s="109" t="str">
        <f>IFERROR(_xlfn.XLOOKUP($A355,Input_Raw!$A:$A,Input_Raw!CG:CG),"")</f>
        <v/>
      </c>
      <c r="N355" s="109" t="str">
        <f>IFERROR(_xlfn.XLOOKUP($A355,Input_Raw!$A:$A,Input_Raw!CH:CH),"")</f>
        <v/>
      </c>
      <c r="O355" s="121" t="str">
        <f t="shared" si="34"/>
        <v/>
      </c>
      <c r="P355" s="121" t="str">
        <f>IFERROR(1-SUMIF(WTG_BD!$F:$F,$A355,WTG_BD!$AA:$AA)/($AA355+SUMIF(WTG_BD!$F:$F,$A355,WTG_BD!$AA:$AA)),"")</f>
        <v/>
      </c>
      <c r="Q355" s="122" t="str">
        <f>IFERROR(1-SUMIF(IGA_BD!$F:$F,$A355,IGA_BD!$V:$V)/($AA355+SUMIF(IGA_BD!$F:$F,$A355,IGA_BD!$V:$V)),"")</f>
        <v/>
      </c>
      <c r="R355" s="127" t="str">
        <f>IFERROR(1-SUMIF(Grid_BD!$F:$F,$A355,Grid_BD!$X:$X)/($AA355+SUMIF(Grid_BD!$F:$F,$A355,Grid_BD!$X:$X)),"")</f>
        <v/>
      </c>
      <c r="S355" s="105"/>
      <c r="T355" s="122"/>
      <c r="U355" s="123"/>
      <c r="V355" s="105"/>
      <c r="W355" s="124" t="str">
        <f>IFERROR(Table13[[#This Row],[Mtr_Net_Exp (KWh)]]/(24*AR355*1000),"")</f>
        <v/>
      </c>
      <c r="X355" s="105" t="str">
        <f>IFERROR(_xlfn.XLOOKUP($A355,Input_Raw!$A:$A,Input_Raw!$CF:$CF),"")</f>
        <v/>
      </c>
      <c r="Y355" s="105" t="str">
        <f>IFERROR(_xlfn.XLOOKUP($A355,Input_Raw!$A:$A,Input_Raw!$CZ:$CZ),"")</f>
        <v/>
      </c>
      <c r="Z355" s="105" t="str">
        <f>IFERROR(_xlfn.XLOOKUP($A355,Input_Raw!$A:$A,Input_Raw!$DA:$DA),"")</f>
        <v/>
      </c>
      <c r="AA355" s="107" t="str">
        <f t="shared" si="35"/>
        <v/>
      </c>
      <c r="AB355" s="105" t="str">
        <f>IFERROR(_xlfn.XLOOKUP($A355,Input_Raw!$A:$A,Input_Raw!$DG:$DG),"")</f>
        <v/>
      </c>
      <c r="AC355" s="125">
        <f>IFERROR(_xlfn.XLOOKUP($D355,'Modelling New'!$D:$D,'Modelling New'!$J:$J),"")</f>
        <v>4.5999999999999996</v>
      </c>
      <c r="AD355" s="107">
        <f>IFERROR(_xlfn.XLOOKUP($D355,'Modelling New'!$D:$D,'Modelling New'!$T:$T)*1000,"")</f>
        <v>221156.23146397382</v>
      </c>
      <c r="AE355" s="124"/>
      <c r="AF355" s="124">
        <f>IFERROR(_xlfn.XLOOKUP($D355,'Modelling New'!$D:$D,'Modelling New'!$W:$W),"")</f>
        <v>0.11813901253417405</v>
      </c>
      <c r="AG355" s="124">
        <f>IFERROR(_xlfn.XLOOKUP($D355,'Modelling New'!$D:$D,'Modelling New'!$AE:$AE),"")</f>
        <v>0.96029999999999993</v>
      </c>
      <c r="AH355" s="124">
        <f>IFERROR(_xlfn.XLOOKUP($D355,'Modelling New'!$D:$D,'Modelling New'!$AF:$AF),"")</f>
        <v>0.995</v>
      </c>
      <c r="AI355" s="105" t="str">
        <f>IFERROR(_xlfn.XLOOKUP($A355,Input_Raw!$A:$A,Input_Raw!$DE:$DE),"")</f>
        <v/>
      </c>
      <c r="AJ355" s="105"/>
      <c r="AK355" s="105"/>
      <c r="AL355" s="105"/>
      <c r="AM355" s="105"/>
      <c r="AN355" s="126" t="str">
        <f>IFERROR(_xlfn.XLOOKUP($A355,Input_Raw!$A:$A,Input_Raw!$DB:$DB),"")</f>
        <v/>
      </c>
      <c r="AO355" s="124" t="str">
        <f>IFERROR((_xlfn.XLOOKUP($A355,'WTG Reactive Power'!$A:$A,'WTG Reactive Power'!$AR:$AR))/X355/1000,"")</f>
        <v/>
      </c>
      <c r="AP355" s="124">
        <f>IFERROR(_xlfn.XLOOKUP($D355,'Modelling New'!$D:$D,'Modelling New'!$AK:$AK),"")</f>
        <v>0.05</v>
      </c>
      <c r="AQ355" s="124">
        <f>IFERROR(_xlfn.XLOOKUP($D355,'Modelling New'!$D:$D,'Modelling New'!$AL:$AL),"")</f>
        <v>0.05</v>
      </c>
      <c r="AR355">
        <f>IFERROR(_xlfn.XLOOKUP($D355,'Modelling New'!$D:$D,'Modelling New'!$N:$N),"")</f>
        <v>78</v>
      </c>
    </row>
    <row r="356" spans="1:44">
      <c r="A356" s="118">
        <f t="shared" si="32"/>
        <v>46099</v>
      </c>
      <c r="B356" s="107">
        <f>YEAR(Table13[[#This Row],[Date]])+IF(MONTH(Table13[[#This Row],[Date]])&gt;=4,1,0)</f>
        <v>2026</v>
      </c>
      <c r="C356" s="105">
        <f>YEAR(Table13[[#This Row],[Date]])</f>
        <v>2026</v>
      </c>
      <c r="D356" s="119">
        <f>Table13[[#This Row],[Date]]-DAY(Table13[[#This Row],[Date]])+1</f>
        <v>46082</v>
      </c>
      <c r="E356" s="105">
        <f t="shared" si="33"/>
        <v>31</v>
      </c>
      <c r="F356" s="108"/>
      <c r="G356" s="109"/>
      <c r="H356" s="109"/>
      <c r="I356" s="109"/>
      <c r="J356" s="109"/>
      <c r="K356" s="120"/>
      <c r="L356" s="109"/>
      <c r="M356" s="109" t="str">
        <f>IFERROR(_xlfn.XLOOKUP($A356,Input_Raw!$A:$A,Input_Raw!CG:CG),"")</f>
        <v/>
      </c>
      <c r="N356" s="109" t="str">
        <f>IFERROR(_xlfn.XLOOKUP($A356,Input_Raw!$A:$A,Input_Raw!CH:CH),"")</f>
        <v/>
      </c>
      <c r="O356" s="121" t="str">
        <f t="shared" si="34"/>
        <v/>
      </c>
      <c r="P356" s="121" t="str">
        <f>IFERROR(1-SUMIF(WTG_BD!$F:$F,$A356,WTG_BD!$AA:$AA)/($AA356+SUMIF(WTG_BD!$F:$F,$A356,WTG_BD!$AA:$AA)),"")</f>
        <v/>
      </c>
      <c r="Q356" s="122" t="str">
        <f>IFERROR(1-SUMIF(IGA_BD!$F:$F,$A356,IGA_BD!$V:$V)/($AA356+SUMIF(IGA_BD!$F:$F,$A356,IGA_BD!$V:$V)),"")</f>
        <v/>
      </c>
      <c r="R356" s="127" t="str">
        <f>IFERROR(1-SUMIF(Grid_BD!$F:$F,$A356,Grid_BD!$X:$X)/($AA356+SUMIF(Grid_BD!$F:$F,$A356,Grid_BD!$X:$X)),"")</f>
        <v/>
      </c>
      <c r="S356" s="105"/>
      <c r="T356" s="122"/>
      <c r="U356" s="123"/>
      <c r="V356" s="105"/>
      <c r="W356" s="124" t="str">
        <f>IFERROR(Table13[[#This Row],[Mtr_Net_Exp (KWh)]]/(24*AR356*1000),"")</f>
        <v/>
      </c>
      <c r="X356" s="105" t="str">
        <f>IFERROR(_xlfn.XLOOKUP($A356,Input_Raw!$A:$A,Input_Raw!$CF:$CF),"")</f>
        <v/>
      </c>
      <c r="Y356" s="105" t="str">
        <f>IFERROR(_xlfn.XLOOKUP($A356,Input_Raw!$A:$A,Input_Raw!$CZ:$CZ),"")</f>
        <v/>
      </c>
      <c r="Z356" s="105" t="str">
        <f>IFERROR(_xlfn.XLOOKUP($A356,Input_Raw!$A:$A,Input_Raw!$DA:$DA),"")</f>
        <v/>
      </c>
      <c r="AA356" s="107" t="str">
        <f t="shared" si="35"/>
        <v/>
      </c>
      <c r="AB356" s="105" t="str">
        <f>IFERROR(_xlfn.XLOOKUP($A356,Input_Raw!$A:$A,Input_Raw!$DG:$DG),"")</f>
        <v/>
      </c>
      <c r="AC356" s="125">
        <f>IFERROR(_xlfn.XLOOKUP($D356,'Modelling New'!$D:$D,'Modelling New'!$J:$J),"")</f>
        <v>4.5999999999999996</v>
      </c>
      <c r="AD356" s="107">
        <f>IFERROR(_xlfn.XLOOKUP($D356,'Modelling New'!$D:$D,'Modelling New'!$T:$T)*1000,"")</f>
        <v>221156.23146397382</v>
      </c>
      <c r="AE356" s="124"/>
      <c r="AF356" s="124">
        <f>IFERROR(_xlfn.XLOOKUP($D356,'Modelling New'!$D:$D,'Modelling New'!$W:$W),"")</f>
        <v>0.11813901253417405</v>
      </c>
      <c r="AG356" s="124">
        <f>IFERROR(_xlfn.XLOOKUP($D356,'Modelling New'!$D:$D,'Modelling New'!$AE:$AE),"")</f>
        <v>0.96029999999999993</v>
      </c>
      <c r="AH356" s="124">
        <f>IFERROR(_xlfn.XLOOKUP($D356,'Modelling New'!$D:$D,'Modelling New'!$AF:$AF),"")</f>
        <v>0.995</v>
      </c>
      <c r="AI356" s="105" t="str">
        <f>IFERROR(_xlfn.XLOOKUP($A356,Input_Raw!$A:$A,Input_Raw!$DE:$DE),"")</f>
        <v/>
      </c>
      <c r="AJ356" s="105"/>
      <c r="AK356" s="105"/>
      <c r="AL356" s="105"/>
      <c r="AM356" s="105"/>
      <c r="AN356" s="126" t="str">
        <f>IFERROR(_xlfn.XLOOKUP($A356,Input_Raw!$A:$A,Input_Raw!$DB:$DB),"")</f>
        <v/>
      </c>
      <c r="AO356" s="124" t="str">
        <f>IFERROR((_xlfn.XLOOKUP($A356,'WTG Reactive Power'!$A:$A,'WTG Reactive Power'!$AR:$AR))/X356/1000,"")</f>
        <v/>
      </c>
      <c r="AP356" s="124">
        <f>IFERROR(_xlfn.XLOOKUP($D356,'Modelling New'!$D:$D,'Modelling New'!$AK:$AK),"")</f>
        <v>0.05</v>
      </c>
      <c r="AQ356" s="124">
        <f>IFERROR(_xlfn.XLOOKUP($D356,'Modelling New'!$D:$D,'Modelling New'!$AL:$AL),"")</f>
        <v>0.05</v>
      </c>
      <c r="AR356">
        <f>IFERROR(_xlfn.XLOOKUP($D356,'Modelling New'!$D:$D,'Modelling New'!$N:$N),"")</f>
        <v>78</v>
      </c>
    </row>
    <row r="357" spans="1:44">
      <c r="A357" s="118">
        <f t="shared" si="32"/>
        <v>46100</v>
      </c>
      <c r="B357" s="107">
        <f>YEAR(Table13[[#This Row],[Date]])+IF(MONTH(Table13[[#This Row],[Date]])&gt;=4,1,0)</f>
        <v>2026</v>
      </c>
      <c r="C357" s="105">
        <f>YEAR(Table13[[#This Row],[Date]])</f>
        <v>2026</v>
      </c>
      <c r="D357" s="119">
        <f>Table13[[#This Row],[Date]]-DAY(Table13[[#This Row],[Date]])+1</f>
        <v>46082</v>
      </c>
      <c r="E357" s="105">
        <f t="shared" ref="E357:E369" si="36">DAY(EOMONTH(A357,0))</f>
        <v>31</v>
      </c>
      <c r="F357" s="108"/>
      <c r="G357" s="109"/>
      <c r="H357" s="109"/>
      <c r="I357" s="109"/>
      <c r="J357" s="109"/>
      <c r="K357" s="120"/>
      <c r="L357" s="109"/>
      <c r="M357" s="109" t="str">
        <f>IFERROR(_xlfn.XLOOKUP($A357,Input_Raw!$A:$A,Input_Raw!CG:CG),"")</f>
        <v/>
      </c>
      <c r="N357" s="109" t="str">
        <f>IFERROR(_xlfn.XLOOKUP($A357,Input_Raw!$A:$A,Input_Raw!CH:CH),"")</f>
        <v/>
      </c>
      <c r="O357" s="121" t="str">
        <f t="shared" ref="O357:O369" si="37">IFERROR(P357*Q357,"")</f>
        <v/>
      </c>
      <c r="P357" s="121" t="str">
        <f>IFERROR(1-SUMIF(WTG_BD!$F:$F,$A357,WTG_BD!$AA:$AA)/($AA357+SUMIF(WTG_BD!$F:$F,$A357,WTG_BD!$AA:$AA)),"")</f>
        <v/>
      </c>
      <c r="Q357" s="122" t="str">
        <f>IFERROR(1-SUMIF(IGA_BD!$F:$F,$A357,IGA_BD!$V:$V)/($AA357+SUMIF(IGA_BD!$F:$F,$A357,IGA_BD!$V:$V)),"")</f>
        <v/>
      </c>
      <c r="R357" s="127" t="str">
        <f>IFERROR(1-SUMIF(Grid_BD!$F:$F,$A357,Grid_BD!$X:$X)/($AA357+SUMIF(Grid_BD!$F:$F,$A357,Grid_BD!$X:$X)),"")</f>
        <v/>
      </c>
      <c r="S357" s="105"/>
      <c r="T357" s="122"/>
      <c r="U357" s="123"/>
      <c r="V357" s="105"/>
      <c r="W357" s="124" t="str">
        <f>IFERROR(Table13[[#This Row],[Mtr_Net_Exp (KWh)]]/(24*AR357*1000),"")</f>
        <v/>
      </c>
      <c r="X357" s="105" t="str">
        <f>IFERROR(_xlfn.XLOOKUP($A357,Input_Raw!$A:$A,Input_Raw!$CF:$CF),"")</f>
        <v/>
      </c>
      <c r="Y357" s="105" t="str">
        <f>IFERROR(_xlfn.XLOOKUP($A357,Input_Raw!$A:$A,Input_Raw!$CZ:$CZ),"")</f>
        <v/>
      </c>
      <c r="Z357" s="105" t="str">
        <f>IFERROR(_xlfn.XLOOKUP($A357,Input_Raw!$A:$A,Input_Raw!$DA:$DA),"")</f>
        <v/>
      </c>
      <c r="AA357" s="107" t="str">
        <f t="shared" ref="AA357:AA369" si="38">IFERROR(Y357-Z357,"")</f>
        <v/>
      </c>
      <c r="AB357" s="105" t="str">
        <f>IFERROR(_xlfn.XLOOKUP($A357,Input_Raw!$A:$A,Input_Raw!$DG:$DG),"")</f>
        <v/>
      </c>
      <c r="AC357" s="125">
        <f>IFERROR(_xlfn.XLOOKUP($D357,'Modelling New'!$D:$D,'Modelling New'!$J:$J),"")</f>
        <v>4.5999999999999996</v>
      </c>
      <c r="AD357" s="107">
        <f>IFERROR(_xlfn.XLOOKUP($D357,'Modelling New'!$D:$D,'Modelling New'!$T:$T)*1000,"")</f>
        <v>221156.23146397382</v>
      </c>
      <c r="AE357" s="124"/>
      <c r="AF357" s="124">
        <f>IFERROR(_xlfn.XLOOKUP($D357,'Modelling New'!$D:$D,'Modelling New'!$W:$W),"")</f>
        <v>0.11813901253417405</v>
      </c>
      <c r="AG357" s="124">
        <f>IFERROR(_xlfn.XLOOKUP($D357,'Modelling New'!$D:$D,'Modelling New'!$AE:$AE),"")</f>
        <v>0.96029999999999993</v>
      </c>
      <c r="AH357" s="124">
        <f>IFERROR(_xlfn.XLOOKUP($D357,'Modelling New'!$D:$D,'Modelling New'!$AF:$AF),"")</f>
        <v>0.995</v>
      </c>
      <c r="AI357" s="105" t="str">
        <f>IFERROR(_xlfn.XLOOKUP($A357,Input_Raw!$A:$A,Input_Raw!$DE:$DE),"")</f>
        <v/>
      </c>
      <c r="AJ357" s="105"/>
      <c r="AK357" s="105"/>
      <c r="AL357" s="105"/>
      <c r="AM357" s="105"/>
      <c r="AN357" s="126" t="str">
        <f>IFERROR(_xlfn.XLOOKUP($A357,Input_Raw!$A:$A,Input_Raw!$DB:$DB),"")</f>
        <v/>
      </c>
      <c r="AO357" s="124" t="str">
        <f>IFERROR((_xlfn.XLOOKUP($A357,'WTG Reactive Power'!$A:$A,'WTG Reactive Power'!$AR:$AR))/X357/1000,"")</f>
        <v/>
      </c>
      <c r="AP357" s="124">
        <f>IFERROR(_xlfn.XLOOKUP($D357,'Modelling New'!$D:$D,'Modelling New'!$AK:$AK),"")</f>
        <v>0.05</v>
      </c>
      <c r="AQ357" s="124">
        <f>IFERROR(_xlfn.XLOOKUP($D357,'Modelling New'!$D:$D,'Modelling New'!$AL:$AL),"")</f>
        <v>0.05</v>
      </c>
      <c r="AR357">
        <f>IFERROR(_xlfn.XLOOKUP($D357,'Modelling New'!$D:$D,'Modelling New'!$N:$N),"")</f>
        <v>78</v>
      </c>
    </row>
    <row r="358" spans="1:44">
      <c r="A358" s="118">
        <f t="shared" ref="A358:A369" si="39">A357+1</f>
        <v>46101</v>
      </c>
      <c r="B358" s="107">
        <f>YEAR(Table13[[#This Row],[Date]])+IF(MONTH(Table13[[#This Row],[Date]])&gt;=4,1,0)</f>
        <v>2026</v>
      </c>
      <c r="C358" s="105">
        <f>YEAR(Table13[[#This Row],[Date]])</f>
        <v>2026</v>
      </c>
      <c r="D358" s="119">
        <f>Table13[[#This Row],[Date]]-DAY(Table13[[#This Row],[Date]])+1</f>
        <v>46082</v>
      </c>
      <c r="E358" s="105">
        <f t="shared" si="36"/>
        <v>31</v>
      </c>
      <c r="F358" s="108"/>
      <c r="G358" s="109"/>
      <c r="H358" s="109"/>
      <c r="I358" s="109"/>
      <c r="J358" s="109"/>
      <c r="K358" s="120"/>
      <c r="L358" s="109"/>
      <c r="M358" s="109" t="str">
        <f>IFERROR(_xlfn.XLOOKUP($A358,Input_Raw!$A:$A,Input_Raw!CG:CG),"")</f>
        <v/>
      </c>
      <c r="N358" s="109" t="str">
        <f>IFERROR(_xlfn.XLOOKUP($A358,Input_Raw!$A:$A,Input_Raw!CH:CH),"")</f>
        <v/>
      </c>
      <c r="O358" s="121" t="str">
        <f t="shared" si="37"/>
        <v/>
      </c>
      <c r="P358" s="121" t="str">
        <f>IFERROR(1-SUMIF(WTG_BD!$F:$F,$A358,WTG_BD!$AA:$AA)/($AA358+SUMIF(WTG_BD!$F:$F,$A358,WTG_BD!$AA:$AA)),"")</f>
        <v/>
      </c>
      <c r="Q358" s="122" t="str">
        <f>IFERROR(1-SUMIF(IGA_BD!$F:$F,$A358,IGA_BD!$V:$V)/($AA358+SUMIF(IGA_BD!$F:$F,$A358,IGA_BD!$V:$V)),"")</f>
        <v/>
      </c>
      <c r="R358" s="127" t="str">
        <f>IFERROR(1-SUMIF(Grid_BD!$F:$F,$A358,Grid_BD!$X:$X)/($AA358+SUMIF(Grid_BD!$F:$F,$A358,Grid_BD!$X:$X)),"")</f>
        <v/>
      </c>
      <c r="S358" s="105"/>
      <c r="T358" s="122"/>
      <c r="U358" s="123"/>
      <c r="V358" s="105"/>
      <c r="W358" s="124" t="str">
        <f>IFERROR(Table13[[#This Row],[Mtr_Net_Exp (KWh)]]/(24*AR358*1000),"")</f>
        <v/>
      </c>
      <c r="X358" s="105" t="str">
        <f>IFERROR(_xlfn.XLOOKUP($A358,Input_Raw!$A:$A,Input_Raw!$CF:$CF),"")</f>
        <v/>
      </c>
      <c r="Y358" s="105" t="str">
        <f>IFERROR(_xlfn.XLOOKUP($A358,Input_Raw!$A:$A,Input_Raw!$CZ:$CZ),"")</f>
        <v/>
      </c>
      <c r="Z358" s="105" t="str">
        <f>IFERROR(_xlfn.XLOOKUP($A358,Input_Raw!$A:$A,Input_Raw!$DA:$DA),"")</f>
        <v/>
      </c>
      <c r="AA358" s="107" t="str">
        <f t="shared" si="38"/>
        <v/>
      </c>
      <c r="AB358" s="105" t="str">
        <f>IFERROR(_xlfn.XLOOKUP($A358,Input_Raw!$A:$A,Input_Raw!$DG:$DG),"")</f>
        <v/>
      </c>
      <c r="AC358" s="125">
        <f>IFERROR(_xlfn.XLOOKUP($D358,'Modelling New'!$D:$D,'Modelling New'!$J:$J),"")</f>
        <v>4.5999999999999996</v>
      </c>
      <c r="AD358" s="107">
        <f>IFERROR(_xlfn.XLOOKUP($D358,'Modelling New'!$D:$D,'Modelling New'!$T:$T)*1000,"")</f>
        <v>221156.23146397382</v>
      </c>
      <c r="AE358" s="124"/>
      <c r="AF358" s="124">
        <f>IFERROR(_xlfn.XLOOKUP($D358,'Modelling New'!$D:$D,'Modelling New'!$W:$W),"")</f>
        <v>0.11813901253417405</v>
      </c>
      <c r="AG358" s="124">
        <f>IFERROR(_xlfn.XLOOKUP($D358,'Modelling New'!$D:$D,'Modelling New'!$AE:$AE),"")</f>
        <v>0.96029999999999993</v>
      </c>
      <c r="AH358" s="124">
        <f>IFERROR(_xlfn.XLOOKUP($D358,'Modelling New'!$D:$D,'Modelling New'!$AF:$AF),"")</f>
        <v>0.995</v>
      </c>
      <c r="AI358" s="105" t="str">
        <f>IFERROR(_xlfn.XLOOKUP($A358,Input_Raw!$A:$A,Input_Raw!$DE:$DE),"")</f>
        <v/>
      </c>
      <c r="AJ358" s="105"/>
      <c r="AK358" s="105"/>
      <c r="AL358" s="105"/>
      <c r="AM358" s="105"/>
      <c r="AN358" s="126" t="str">
        <f>IFERROR(_xlfn.XLOOKUP($A358,Input_Raw!$A:$A,Input_Raw!$DB:$DB),"")</f>
        <v/>
      </c>
      <c r="AO358" s="124" t="str">
        <f>IFERROR((_xlfn.XLOOKUP($A358,'WTG Reactive Power'!$A:$A,'WTG Reactive Power'!$AR:$AR))/X358/1000,"")</f>
        <v/>
      </c>
      <c r="AP358" s="124">
        <f>IFERROR(_xlfn.XLOOKUP($D358,'Modelling New'!$D:$D,'Modelling New'!$AK:$AK),"")</f>
        <v>0.05</v>
      </c>
      <c r="AQ358" s="124">
        <f>IFERROR(_xlfn.XLOOKUP($D358,'Modelling New'!$D:$D,'Modelling New'!$AL:$AL),"")</f>
        <v>0.05</v>
      </c>
      <c r="AR358">
        <f>IFERROR(_xlfn.XLOOKUP($D358,'Modelling New'!$D:$D,'Modelling New'!$N:$N),"")</f>
        <v>78</v>
      </c>
    </row>
    <row r="359" spans="1:44">
      <c r="A359" s="118">
        <f t="shared" si="39"/>
        <v>46102</v>
      </c>
      <c r="B359" s="107">
        <f>YEAR(Table13[[#This Row],[Date]])+IF(MONTH(Table13[[#This Row],[Date]])&gt;=4,1,0)</f>
        <v>2026</v>
      </c>
      <c r="C359" s="105">
        <f>YEAR(Table13[[#This Row],[Date]])</f>
        <v>2026</v>
      </c>
      <c r="D359" s="119">
        <f>Table13[[#This Row],[Date]]-DAY(Table13[[#This Row],[Date]])+1</f>
        <v>46082</v>
      </c>
      <c r="E359" s="105">
        <f t="shared" si="36"/>
        <v>31</v>
      </c>
      <c r="F359" s="108"/>
      <c r="G359" s="109"/>
      <c r="H359" s="109"/>
      <c r="I359" s="109"/>
      <c r="J359" s="109"/>
      <c r="K359" s="120"/>
      <c r="L359" s="109"/>
      <c r="M359" s="109" t="str">
        <f>IFERROR(_xlfn.XLOOKUP($A359,Input_Raw!$A:$A,Input_Raw!CG:CG),"")</f>
        <v/>
      </c>
      <c r="N359" s="109" t="str">
        <f>IFERROR(_xlfn.XLOOKUP($A359,Input_Raw!$A:$A,Input_Raw!CH:CH),"")</f>
        <v/>
      </c>
      <c r="O359" s="121" t="str">
        <f t="shared" si="37"/>
        <v/>
      </c>
      <c r="P359" s="121" t="str">
        <f>IFERROR(1-SUMIF(WTG_BD!$F:$F,$A359,WTG_BD!$AA:$AA)/($AA359+SUMIF(WTG_BD!$F:$F,$A359,WTG_BD!$AA:$AA)),"")</f>
        <v/>
      </c>
      <c r="Q359" s="122" t="str">
        <f>IFERROR(1-SUMIF(IGA_BD!$F:$F,$A359,IGA_BD!$V:$V)/($AA359+SUMIF(IGA_BD!$F:$F,$A359,IGA_BD!$V:$V)),"")</f>
        <v/>
      </c>
      <c r="R359" s="127" t="str">
        <f>IFERROR(1-SUMIF(Grid_BD!$F:$F,$A359,Grid_BD!$X:$X)/($AA359+SUMIF(Grid_BD!$F:$F,$A359,Grid_BD!$X:$X)),"")</f>
        <v/>
      </c>
      <c r="S359" s="105"/>
      <c r="T359" s="122"/>
      <c r="U359" s="123"/>
      <c r="V359" s="105"/>
      <c r="W359" s="124" t="str">
        <f>IFERROR(Table13[[#This Row],[Mtr_Net_Exp (KWh)]]/(24*AR359*1000),"")</f>
        <v/>
      </c>
      <c r="X359" s="105" t="str">
        <f>IFERROR(_xlfn.XLOOKUP($A359,Input_Raw!$A:$A,Input_Raw!$CF:$CF),"")</f>
        <v/>
      </c>
      <c r="Y359" s="105" t="str">
        <f>IFERROR(_xlfn.XLOOKUP($A359,Input_Raw!$A:$A,Input_Raw!$CZ:$CZ),"")</f>
        <v/>
      </c>
      <c r="Z359" s="105" t="str">
        <f>IFERROR(_xlfn.XLOOKUP($A359,Input_Raw!$A:$A,Input_Raw!$DA:$DA),"")</f>
        <v/>
      </c>
      <c r="AA359" s="107" t="str">
        <f t="shared" si="38"/>
        <v/>
      </c>
      <c r="AB359" s="105" t="str">
        <f>IFERROR(_xlfn.XLOOKUP($A359,Input_Raw!$A:$A,Input_Raw!$DG:$DG),"")</f>
        <v/>
      </c>
      <c r="AC359" s="125">
        <f>IFERROR(_xlfn.XLOOKUP($D359,'Modelling New'!$D:$D,'Modelling New'!$J:$J),"")</f>
        <v>4.5999999999999996</v>
      </c>
      <c r="AD359" s="107">
        <f>IFERROR(_xlfn.XLOOKUP($D359,'Modelling New'!$D:$D,'Modelling New'!$T:$T)*1000,"")</f>
        <v>221156.23146397382</v>
      </c>
      <c r="AE359" s="124"/>
      <c r="AF359" s="124">
        <f>IFERROR(_xlfn.XLOOKUP($D359,'Modelling New'!$D:$D,'Modelling New'!$W:$W),"")</f>
        <v>0.11813901253417405</v>
      </c>
      <c r="AG359" s="124">
        <f>IFERROR(_xlfn.XLOOKUP($D359,'Modelling New'!$D:$D,'Modelling New'!$AE:$AE),"")</f>
        <v>0.96029999999999993</v>
      </c>
      <c r="AH359" s="124">
        <f>IFERROR(_xlfn.XLOOKUP($D359,'Modelling New'!$D:$D,'Modelling New'!$AF:$AF),"")</f>
        <v>0.995</v>
      </c>
      <c r="AI359" s="105" t="str">
        <f>IFERROR(_xlfn.XLOOKUP($A359,Input_Raw!$A:$A,Input_Raw!$DE:$DE),"")</f>
        <v/>
      </c>
      <c r="AJ359" s="105"/>
      <c r="AK359" s="105"/>
      <c r="AL359" s="105"/>
      <c r="AM359" s="105"/>
      <c r="AN359" s="126" t="str">
        <f>IFERROR(_xlfn.XLOOKUP($A359,Input_Raw!$A:$A,Input_Raw!$DB:$DB),"")</f>
        <v/>
      </c>
      <c r="AO359" s="124" t="str">
        <f>IFERROR((_xlfn.XLOOKUP($A359,'WTG Reactive Power'!$A:$A,'WTG Reactive Power'!$AR:$AR))/X359/1000,"")</f>
        <v/>
      </c>
      <c r="AP359" s="124">
        <f>IFERROR(_xlfn.XLOOKUP($D359,'Modelling New'!$D:$D,'Modelling New'!$AK:$AK),"")</f>
        <v>0.05</v>
      </c>
      <c r="AQ359" s="124">
        <f>IFERROR(_xlfn.XLOOKUP($D359,'Modelling New'!$D:$D,'Modelling New'!$AL:$AL),"")</f>
        <v>0.05</v>
      </c>
      <c r="AR359">
        <f>IFERROR(_xlfn.XLOOKUP($D359,'Modelling New'!$D:$D,'Modelling New'!$N:$N),"")</f>
        <v>78</v>
      </c>
    </row>
    <row r="360" spans="1:44">
      <c r="A360" s="118">
        <f t="shared" si="39"/>
        <v>46103</v>
      </c>
      <c r="B360" s="107">
        <f>YEAR(Table13[[#This Row],[Date]])+IF(MONTH(Table13[[#This Row],[Date]])&gt;=4,1,0)</f>
        <v>2026</v>
      </c>
      <c r="C360" s="105">
        <f>YEAR(Table13[[#This Row],[Date]])</f>
        <v>2026</v>
      </c>
      <c r="D360" s="119">
        <f>Table13[[#This Row],[Date]]-DAY(Table13[[#This Row],[Date]])+1</f>
        <v>46082</v>
      </c>
      <c r="E360" s="105">
        <f t="shared" si="36"/>
        <v>31</v>
      </c>
      <c r="F360" s="108"/>
      <c r="G360" s="109"/>
      <c r="H360" s="109"/>
      <c r="I360" s="109"/>
      <c r="J360" s="109"/>
      <c r="K360" s="120"/>
      <c r="L360" s="109"/>
      <c r="M360" s="109" t="str">
        <f>IFERROR(_xlfn.XLOOKUP($A360,Input_Raw!$A:$A,Input_Raw!CG:CG),"")</f>
        <v/>
      </c>
      <c r="N360" s="109" t="str">
        <f>IFERROR(_xlfn.XLOOKUP($A360,Input_Raw!$A:$A,Input_Raw!CH:CH),"")</f>
        <v/>
      </c>
      <c r="O360" s="121" t="str">
        <f t="shared" si="37"/>
        <v/>
      </c>
      <c r="P360" s="121" t="str">
        <f>IFERROR(1-SUMIF(WTG_BD!$F:$F,$A360,WTG_BD!$AA:$AA)/($AA360+SUMIF(WTG_BD!$F:$F,$A360,WTG_BD!$AA:$AA)),"")</f>
        <v/>
      </c>
      <c r="Q360" s="122" t="str">
        <f>IFERROR(1-SUMIF(IGA_BD!$F:$F,$A360,IGA_BD!$V:$V)/($AA360+SUMIF(IGA_BD!$F:$F,$A360,IGA_BD!$V:$V)),"")</f>
        <v/>
      </c>
      <c r="R360" s="127" t="str">
        <f>IFERROR(1-SUMIF(Grid_BD!$F:$F,$A360,Grid_BD!$X:$X)/($AA360+SUMIF(Grid_BD!$F:$F,$A360,Grid_BD!$X:$X)),"")</f>
        <v/>
      </c>
      <c r="S360" s="105"/>
      <c r="T360" s="122"/>
      <c r="U360" s="123"/>
      <c r="V360" s="105"/>
      <c r="W360" s="124" t="str">
        <f>IFERROR(Table13[[#This Row],[Mtr_Net_Exp (KWh)]]/(24*AR360*1000),"")</f>
        <v/>
      </c>
      <c r="X360" s="105" t="str">
        <f>IFERROR(_xlfn.XLOOKUP($A360,Input_Raw!$A:$A,Input_Raw!$CF:$CF),"")</f>
        <v/>
      </c>
      <c r="Y360" s="105" t="str">
        <f>IFERROR(_xlfn.XLOOKUP($A360,Input_Raw!$A:$A,Input_Raw!$CZ:$CZ),"")</f>
        <v/>
      </c>
      <c r="Z360" s="105" t="str">
        <f>IFERROR(_xlfn.XLOOKUP($A360,Input_Raw!$A:$A,Input_Raw!$DA:$DA),"")</f>
        <v/>
      </c>
      <c r="AA360" s="107" t="str">
        <f t="shared" si="38"/>
        <v/>
      </c>
      <c r="AB360" s="105" t="str">
        <f>IFERROR(_xlfn.XLOOKUP($A360,Input_Raw!$A:$A,Input_Raw!$DG:$DG),"")</f>
        <v/>
      </c>
      <c r="AC360" s="125">
        <f>IFERROR(_xlfn.XLOOKUP($D360,'Modelling New'!$D:$D,'Modelling New'!$J:$J),"")</f>
        <v>4.5999999999999996</v>
      </c>
      <c r="AD360" s="107">
        <f>IFERROR(_xlfn.XLOOKUP($D360,'Modelling New'!$D:$D,'Modelling New'!$T:$T)*1000,"")</f>
        <v>221156.23146397382</v>
      </c>
      <c r="AE360" s="124"/>
      <c r="AF360" s="124">
        <f>IFERROR(_xlfn.XLOOKUP($D360,'Modelling New'!$D:$D,'Modelling New'!$W:$W),"")</f>
        <v>0.11813901253417405</v>
      </c>
      <c r="AG360" s="124">
        <f>IFERROR(_xlfn.XLOOKUP($D360,'Modelling New'!$D:$D,'Modelling New'!$AE:$AE),"")</f>
        <v>0.96029999999999993</v>
      </c>
      <c r="AH360" s="124">
        <f>IFERROR(_xlfn.XLOOKUP($D360,'Modelling New'!$D:$D,'Modelling New'!$AF:$AF),"")</f>
        <v>0.995</v>
      </c>
      <c r="AI360" s="105" t="str">
        <f>IFERROR(_xlfn.XLOOKUP($A360,Input_Raw!$A:$A,Input_Raw!$DE:$DE),"")</f>
        <v/>
      </c>
      <c r="AJ360" s="105"/>
      <c r="AK360" s="105"/>
      <c r="AL360" s="105"/>
      <c r="AM360" s="105"/>
      <c r="AN360" s="126" t="str">
        <f>IFERROR(_xlfn.XLOOKUP($A360,Input_Raw!$A:$A,Input_Raw!$DB:$DB),"")</f>
        <v/>
      </c>
      <c r="AO360" s="124" t="str">
        <f>IFERROR((_xlfn.XLOOKUP($A360,'WTG Reactive Power'!$A:$A,'WTG Reactive Power'!$AR:$AR))/X360/1000,"")</f>
        <v/>
      </c>
      <c r="AP360" s="124">
        <f>IFERROR(_xlfn.XLOOKUP($D360,'Modelling New'!$D:$D,'Modelling New'!$AK:$AK),"")</f>
        <v>0.05</v>
      </c>
      <c r="AQ360" s="124">
        <f>IFERROR(_xlfn.XLOOKUP($D360,'Modelling New'!$D:$D,'Modelling New'!$AL:$AL),"")</f>
        <v>0.05</v>
      </c>
      <c r="AR360">
        <f>IFERROR(_xlfn.XLOOKUP($D360,'Modelling New'!$D:$D,'Modelling New'!$N:$N),"")</f>
        <v>78</v>
      </c>
    </row>
    <row r="361" spans="1:44">
      <c r="A361" s="118">
        <f t="shared" si="39"/>
        <v>46104</v>
      </c>
      <c r="B361" s="107">
        <f>YEAR(Table13[[#This Row],[Date]])+IF(MONTH(Table13[[#This Row],[Date]])&gt;=4,1,0)</f>
        <v>2026</v>
      </c>
      <c r="C361" s="105">
        <f>YEAR(Table13[[#This Row],[Date]])</f>
        <v>2026</v>
      </c>
      <c r="D361" s="119">
        <f>Table13[[#This Row],[Date]]-DAY(Table13[[#This Row],[Date]])+1</f>
        <v>46082</v>
      </c>
      <c r="E361" s="105">
        <f t="shared" si="36"/>
        <v>31</v>
      </c>
      <c r="F361" s="108"/>
      <c r="G361" s="109"/>
      <c r="H361" s="109"/>
      <c r="I361" s="109"/>
      <c r="J361" s="109"/>
      <c r="K361" s="120"/>
      <c r="L361" s="109"/>
      <c r="M361" s="109" t="str">
        <f>IFERROR(_xlfn.XLOOKUP($A361,Input_Raw!$A:$A,Input_Raw!CG:CG),"")</f>
        <v/>
      </c>
      <c r="N361" s="109" t="str">
        <f>IFERROR(_xlfn.XLOOKUP($A361,Input_Raw!$A:$A,Input_Raw!CH:CH),"")</f>
        <v/>
      </c>
      <c r="O361" s="121" t="str">
        <f t="shared" si="37"/>
        <v/>
      </c>
      <c r="P361" s="121" t="str">
        <f>IFERROR(1-SUMIF(WTG_BD!$F:$F,$A361,WTG_BD!$AA:$AA)/($AA361+SUMIF(WTG_BD!$F:$F,$A361,WTG_BD!$AA:$AA)),"")</f>
        <v/>
      </c>
      <c r="Q361" s="122" t="str">
        <f>IFERROR(1-SUMIF(IGA_BD!$F:$F,$A361,IGA_BD!$V:$V)/($AA361+SUMIF(IGA_BD!$F:$F,$A361,IGA_BD!$V:$V)),"")</f>
        <v/>
      </c>
      <c r="R361" s="127" t="str">
        <f>IFERROR(1-SUMIF(Grid_BD!$F:$F,$A361,Grid_BD!$X:$X)/($AA361+SUMIF(Grid_BD!$F:$F,$A361,Grid_BD!$X:$X)),"")</f>
        <v/>
      </c>
      <c r="S361" s="105"/>
      <c r="T361" s="122"/>
      <c r="U361" s="123"/>
      <c r="V361" s="105"/>
      <c r="W361" s="124" t="str">
        <f>IFERROR(Table13[[#This Row],[Mtr_Net_Exp (KWh)]]/(24*AR361*1000),"")</f>
        <v/>
      </c>
      <c r="X361" s="105" t="str">
        <f>IFERROR(_xlfn.XLOOKUP($A361,Input_Raw!$A:$A,Input_Raw!$CF:$CF),"")</f>
        <v/>
      </c>
      <c r="Y361" s="105" t="str">
        <f>IFERROR(_xlfn.XLOOKUP($A361,Input_Raw!$A:$A,Input_Raw!$CZ:$CZ),"")</f>
        <v/>
      </c>
      <c r="Z361" s="105" t="str">
        <f>IFERROR(_xlfn.XLOOKUP($A361,Input_Raw!$A:$A,Input_Raw!$DA:$DA),"")</f>
        <v/>
      </c>
      <c r="AA361" s="107" t="str">
        <f t="shared" si="38"/>
        <v/>
      </c>
      <c r="AB361" s="105" t="str">
        <f>IFERROR(_xlfn.XLOOKUP($A361,Input_Raw!$A:$A,Input_Raw!$DG:$DG),"")</f>
        <v/>
      </c>
      <c r="AC361" s="125">
        <f>IFERROR(_xlfn.XLOOKUP($D361,'Modelling New'!$D:$D,'Modelling New'!$J:$J),"")</f>
        <v>4.5999999999999996</v>
      </c>
      <c r="AD361" s="107">
        <f>IFERROR(_xlfn.XLOOKUP($D361,'Modelling New'!$D:$D,'Modelling New'!$T:$T)*1000,"")</f>
        <v>221156.23146397382</v>
      </c>
      <c r="AE361" s="124"/>
      <c r="AF361" s="124">
        <f>IFERROR(_xlfn.XLOOKUP($D361,'Modelling New'!$D:$D,'Modelling New'!$W:$W),"")</f>
        <v>0.11813901253417405</v>
      </c>
      <c r="AG361" s="124">
        <f>IFERROR(_xlfn.XLOOKUP($D361,'Modelling New'!$D:$D,'Modelling New'!$AE:$AE),"")</f>
        <v>0.96029999999999993</v>
      </c>
      <c r="AH361" s="124">
        <f>IFERROR(_xlfn.XLOOKUP($D361,'Modelling New'!$D:$D,'Modelling New'!$AF:$AF),"")</f>
        <v>0.995</v>
      </c>
      <c r="AI361" s="105" t="str">
        <f>IFERROR(_xlfn.XLOOKUP($A361,Input_Raw!$A:$A,Input_Raw!$DE:$DE),"")</f>
        <v/>
      </c>
      <c r="AJ361" s="105"/>
      <c r="AK361" s="105"/>
      <c r="AL361" s="105"/>
      <c r="AM361" s="105"/>
      <c r="AN361" s="126" t="str">
        <f>IFERROR(_xlfn.XLOOKUP($A361,Input_Raw!$A:$A,Input_Raw!$DB:$DB),"")</f>
        <v/>
      </c>
      <c r="AO361" s="124" t="str">
        <f>IFERROR((_xlfn.XLOOKUP($A361,'WTG Reactive Power'!$A:$A,'WTG Reactive Power'!$AR:$AR))/X361/1000,"")</f>
        <v/>
      </c>
      <c r="AP361" s="124">
        <f>IFERROR(_xlfn.XLOOKUP($D361,'Modelling New'!$D:$D,'Modelling New'!$AK:$AK),"")</f>
        <v>0.05</v>
      </c>
      <c r="AQ361" s="124">
        <f>IFERROR(_xlfn.XLOOKUP($D361,'Modelling New'!$D:$D,'Modelling New'!$AL:$AL),"")</f>
        <v>0.05</v>
      </c>
      <c r="AR361">
        <f>IFERROR(_xlfn.XLOOKUP($D361,'Modelling New'!$D:$D,'Modelling New'!$N:$N),"")</f>
        <v>78</v>
      </c>
    </row>
    <row r="362" spans="1:44">
      <c r="A362" s="118">
        <f t="shared" si="39"/>
        <v>46105</v>
      </c>
      <c r="B362" s="107">
        <f>YEAR(Table13[[#This Row],[Date]])+IF(MONTH(Table13[[#This Row],[Date]])&gt;=4,1,0)</f>
        <v>2026</v>
      </c>
      <c r="C362" s="105">
        <f>YEAR(Table13[[#This Row],[Date]])</f>
        <v>2026</v>
      </c>
      <c r="D362" s="119">
        <f>Table13[[#This Row],[Date]]-DAY(Table13[[#This Row],[Date]])+1</f>
        <v>46082</v>
      </c>
      <c r="E362" s="105">
        <f t="shared" si="36"/>
        <v>31</v>
      </c>
      <c r="F362" s="108"/>
      <c r="G362" s="109"/>
      <c r="H362" s="109"/>
      <c r="I362" s="109"/>
      <c r="J362" s="109"/>
      <c r="K362" s="120"/>
      <c r="L362" s="109"/>
      <c r="M362" s="109" t="str">
        <f>IFERROR(_xlfn.XLOOKUP($A362,Input_Raw!$A:$A,Input_Raw!CG:CG),"")</f>
        <v/>
      </c>
      <c r="N362" s="109" t="str">
        <f>IFERROR(_xlfn.XLOOKUP($A362,Input_Raw!$A:$A,Input_Raw!CH:CH),"")</f>
        <v/>
      </c>
      <c r="O362" s="121" t="str">
        <f t="shared" si="37"/>
        <v/>
      </c>
      <c r="P362" s="121" t="str">
        <f>IFERROR(1-SUMIF(WTG_BD!$F:$F,$A362,WTG_BD!$AA:$AA)/($AA362+SUMIF(WTG_BD!$F:$F,$A362,WTG_BD!$AA:$AA)),"")</f>
        <v/>
      </c>
      <c r="Q362" s="122" t="str">
        <f>IFERROR(1-SUMIF(IGA_BD!$F:$F,$A362,IGA_BD!$V:$V)/($AA362+SUMIF(IGA_BD!$F:$F,$A362,IGA_BD!$V:$V)),"")</f>
        <v/>
      </c>
      <c r="R362" s="127" t="str">
        <f>IFERROR(1-SUMIF(Grid_BD!$F:$F,$A362,Grid_BD!$X:$X)/($AA362+SUMIF(Grid_BD!$F:$F,$A362,Grid_BD!$X:$X)),"")</f>
        <v/>
      </c>
      <c r="S362" s="105"/>
      <c r="T362" s="122"/>
      <c r="U362" s="123"/>
      <c r="V362" s="105"/>
      <c r="W362" s="124" t="str">
        <f>IFERROR(Table13[[#This Row],[Mtr_Net_Exp (KWh)]]/(24*AR362*1000),"")</f>
        <v/>
      </c>
      <c r="X362" s="105" t="str">
        <f>IFERROR(_xlfn.XLOOKUP($A362,Input_Raw!$A:$A,Input_Raw!$CF:$CF),"")</f>
        <v/>
      </c>
      <c r="Y362" s="105" t="str">
        <f>IFERROR(_xlfn.XLOOKUP($A362,Input_Raw!$A:$A,Input_Raw!$CZ:$CZ),"")</f>
        <v/>
      </c>
      <c r="Z362" s="105" t="str">
        <f>IFERROR(_xlfn.XLOOKUP($A362,Input_Raw!$A:$A,Input_Raw!$DA:$DA),"")</f>
        <v/>
      </c>
      <c r="AA362" s="107" t="str">
        <f t="shared" si="38"/>
        <v/>
      </c>
      <c r="AB362" s="105" t="str">
        <f>IFERROR(_xlfn.XLOOKUP($A362,Input_Raw!$A:$A,Input_Raw!$DG:$DG),"")</f>
        <v/>
      </c>
      <c r="AC362" s="125">
        <f>IFERROR(_xlfn.XLOOKUP($D362,'Modelling New'!$D:$D,'Modelling New'!$J:$J),"")</f>
        <v>4.5999999999999996</v>
      </c>
      <c r="AD362" s="107">
        <f>IFERROR(_xlfn.XLOOKUP($D362,'Modelling New'!$D:$D,'Modelling New'!$T:$T)*1000,"")</f>
        <v>221156.23146397382</v>
      </c>
      <c r="AE362" s="124"/>
      <c r="AF362" s="124">
        <f>IFERROR(_xlfn.XLOOKUP($D362,'Modelling New'!$D:$D,'Modelling New'!$W:$W),"")</f>
        <v>0.11813901253417405</v>
      </c>
      <c r="AG362" s="124">
        <f>IFERROR(_xlfn.XLOOKUP($D362,'Modelling New'!$D:$D,'Modelling New'!$AE:$AE),"")</f>
        <v>0.96029999999999993</v>
      </c>
      <c r="AH362" s="124">
        <f>IFERROR(_xlfn.XLOOKUP($D362,'Modelling New'!$D:$D,'Modelling New'!$AF:$AF),"")</f>
        <v>0.995</v>
      </c>
      <c r="AI362" s="105" t="str">
        <f>IFERROR(_xlfn.XLOOKUP($A362,Input_Raw!$A:$A,Input_Raw!$DE:$DE),"")</f>
        <v/>
      </c>
      <c r="AJ362" s="105"/>
      <c r="AK362" s="105"/>
      <c r="AL362" s="105"/>
      <c r="AM362" s="105"/>
      <c r="AN362" s="126" t="str">
        <f>IFERROR(_xlfn.XLOOKUP($A362,Input_Raw!$A:$A,Input_Raw!$DB:$DB),"")</f>
        <v/>
      </c>
      <c r="AO362" s="124" t="str">
        <f>IFERROR((_xlfn.XLOOKUP($A362,'WTG Reactive Power'!$A:$A,'WTG Reactive Power'!$AR:$AR))/X362/1000,"")</f>
        <v/>
      </c>
      <c r="AP362" s="124">
        <f>IFERROR(_xlfn.XLOOKUP($D362,'Modelling New'!$D:$D,'Modelling New'!$AK:$AK),"")</f>
        <v>0.05</v>
      </c>
      <c r="AQ362" s="124">
        <f>IFERROR(_xlfn.XLOOKUP($D362,'Modelling New'!$D:$D,'Modelling New'!$AL:$AL),"")</f>
        <v>0.05</v>
      </c>
      <c r="AR362">
        <f>IFERROR(_xlfn.XLOOKUP($D362,'Modelling New'!$D:$D,'Modelling New'!$N:$N),"")</f>
        <v>78</v>
      </c>
    </row>
    <row r="363" spans="1:44">
      <c r="A363" s="118">
        <f t="shared" si="39"/>
        <v>46106</v>
      </c>
      <c r="B363" s="107">
        <f>YEAR(Table13[[#This Row],[Date]])+IF(MONTH(Table13[[#This Row],[Date]])&gt;=4,1,0)</f>
        <v>2026</v>
      </c>
      <c r="C363" s="105">
        <f>YEAR(Table13[[#This Row],[Date]])</f>
        <v>2026</v>
      </c>
      <c r="D363" s="119">
        <f>Table13[[#This Row],[Date]]-DAY(Table13[[#This Row],[Date]])+1</f>
        <v>46082</v>
      </c>
      <c r="E363" s="105">
        <f t="shared" si="36"/>
        <v>31</v>
      </c>
      <c r="F363" s="108"/>
      <c r="G363" s="109"/>
      <c r="H363" s="109"/>
      <c r="I363" s="109"/>
      <c r="J363" s="109"/>
      <c r="K363" s="120"/>
      <c r="L363" s="109"/>
      <c r="M363" s="109" t="str">
        <f>IFERROR(_xlfn.XLOOKUP($A363,Input_Raw!$A:$A,Input_Raw!CG:CG),"")</f>
        <v/>
      </c>
      <c r="N363" s="109" t="str">
        <f>IFERROR(_xlfn.XLOOKUP($A363,Input_Raw!$A:$A,Input_Raw!CH:CH),"")</f>
        <v/>
      </c>
      <c r="O363" s="121" t="str">
        <f t="shared" si="37"/>
        <v/>
      </c>
      <c r="P363" s="121" t="str">
        <f>IFERROR(1-SUMIF(WTG_BD!$F:$F,$A363,WTG_BD!$AA:$AA)/($AA363+SUMIF(WTG_BD!$F:$F,$A363,WTG_BD!$AA:$AA)),"")</f>
        <v/>
      </c>
      <c r="Q363" s="122" t="str">
        <f>IFERROR(1-SUMIF(IGA_BD!$F:$F,$A363,IGA_BD!$V:$V)/($AA363+SUMIF(IGA_BD!$F:$F,$A363,IGA_BD!$V:$V)),"")</f>
        <v/>
      </c>
      <c r="R363" s="127" t="str">
        <f>IFERROR(1-SUMIF(Grid_BD!$F:$F,$A363,Grid_BD!$X:$X)/($AA363+SUMIF(Grid_BD!$F:$F,$A363,Grid_BD!$X:$X)),"")</f>
        <v/>
      </c>
      <c r="S363" s="105"/>
      <c r="T363" s="122"/>
      <c r="U363" s="123"/>
      <c r="V363" s="105"/>
      <c r="W363" s="124" t="str">
        <f>IFERROR(Table13[[#This Row],[Mtr_Net_Exp (KWh)]]/(24*AR363*1000),"")</f>
        <v/>
      </c>
      <c r="X363" s="105" t="str">
        <f>IFERROR(_xlfn.XLOOKUP($A363,Input_Raw!$A:$A,Input_Raw!$CF:$CF),"")</f>
        <v/>
      </c>
      <c r="Y363" s="105" t="str">
        <f>IFERROR(_xlfn.XLOOKUP($A363,Input_Raw!$A:$A,Input_Raw!$CZ:$CZ),"")</f>
        <v/>
      </c>
      <c r="Z363" s="105" t="str">
        <f>IFERROR(_xlfn.XLOOKUP($A363,Input_Raw!$A:$A,Input_Raw!$DA:$DA),"")</f>
        <v/>
      </c>
      <c r="AA363" s="107" t="str">
        <f t="shared" si="38"/>
        <v/>
      </c>
      <c r="AB363" s="105" t="str">
        <f>IFERROR(_xlfn.XLOOKUP($A363,Input_Raw!$A:$A,Input_Raw!$DG:$DG),"")</f>
        <v/>
      </c>
      <c r="AC363" s="125">
        <f>IFERROR(_xlfn.XLOOKUP($D363,'Modelling New'!$D:$D,'Modelling New'!$J:$J),"")</f>
        <v>4.5999999999999996</v>
      </c>
      <c r="AD363" s="107">
        <f>IFERROR(_xlfn.XLOOKUP($D363,'Modelling New'!$D:$D,'Modelling New'!$T:$T)*1000,"")</f>
        <v>221156.23146397382</v>
      </c>
      <c r="AE363" s="124"/>
      <c r="AF363" s="124">
        <f>IFERROR(_xlfn.XLOOKUP($D363,'Modelling New'!$D:$D,'Modelling New'!$W:$W),"")</f>
        <v>0.11813901253417405</v>
      </c>
      <c r="AG363" s="124">
        <f>IFERROR(_xlfn.XLOOKUP($D363,'Modelling New'!$D:$D,'Modelling New'!$AE:$AE),"")</f>
        <v>0.96029999999999993</v>
      </c>
      <c r="AH363" s="124">
        <f>IFERROR(_xlfn.XLOOKUP($D363,'Modelling New'!$D:$D,'Modelling New'!$AF:$AF),"")</f>
        <v>0.995</v>
      </c>
      <c r="AI363" s="105" t="str">
        <f>IFERROR(_xlfn.XLOOKUP($A363,Input_Raw!$A:$A,Input_Raw!$DE:$DE),"")</f>
        <v/>
      </c>
      <c r="AJ363" s="105"/>
      <c r="AK363" s="105"/>
      <c r="AL363" s="105"/>
      <c r="AM363" s="105"/>
      <c r="AN363" s="126" t="str">
        <f>IFERROR(_xlfn.XLOOKUP($A363,Input_Raw!$A:$A,Input_Raw!$DB:$DB),"")</f>
        <v/>
      </c>
      <c r="AO363" s="124" t="str">
        <f>IFERROR((_xlfn.XLOOKUP($A363,'WTG Reactive Power'!$A:$A,'WTG Reactive Power'!$AR:$AR))/X363/1000,"")</f>
        <v/>
      </c>
      <c r="AP363" s="124">
        <f>IFERROR(_xlfn.XLOOKUP($D363,'Modelling New'!$D:$D,'Modelling New'!$AK:$AK),"")</f>
        <v>0.05</v>
      </c>
      <c r="AQ363" s="124">
        <f>IFERROR(_xlfn.XLOOKUP($D363,'Modelling New'!$D:$D,'Modelling New'!$AL:$AL),"")</f>
        <v>0.05</v>
      </c>
      <c r="AR363">
        <f>IFERROR(_xlfn.XLOOKUP($D363,'Modelling New'!$D:$D,'Modelling New'!$N:$N),"")</f>
        <v>78</v>
      </c>
    </row>
    <row r="364" spans="1:44">
      <c r="A364" s="118">
        <f t="shared" si="39"/>
        <v>46107</v>
      </c>
      <c r="B364" s="107">
        <f>YEAR(Table13[[#This Row],[Date]])+IF(MONTH(Table13[[#This Row],[Date]])&gt;=4,1,0)</f>
        <v>2026</v>
      </c>
      <c r="C364" s="105">
        <f>YEAR(Table13[[#This Row],[Date]])</f>
        <v>2026</v>
      </c>
      <c r="D364" s="119">
        <f>Table13[[#This Row],[Date]]-DAY(Table13[[#This Row],[Date]])+1</f>
        <v>46082</v>
      </c>
      <c r="E364" s="105">
        <f t="shared" si="36"/>
        <v>31</v>
      </c>
      <c r="F364" s="108"/>
      <c r="G364" s="109"/>
      <c r="H364" s="109"/>
      <c r="I364" s="109"/>
      <c r="J364" s="109"/>
      <c r="K364" s="120"/>
      <c r="L364" s="109"/>
      <c r="M364" s="109" t="str">
        <f>IFERROR(_xlfn.XLOOKUP($A364,Input_Raw!$A:$A,Input_Raw!CG:CG),"")</f>
        <v/>
      </c>
      <c r="N364" s="109" t="str">
        <f>IFERROR(_xlfn.XLOOKUP($A364,Input_Raw!$A:$A,Input_Raw!CH:CH),"")</f>
        <v/>
      </c>
      <c r="O364" s="121" t="str">
        <f t="shared" si="37"/>
        <v/>
      </c>
      <c r="P364" s="121" t="str">
        <f>IFERROR(1-SUMIF(WTG_BD!$F:$F,$A364,WTG_BD!$AA:$AA)/($AA364+SUMIF(WTG_BD!$F:$F,$A364,WTG_BD!$AA:$AA)),"")</f>
        <v/>
      </c>
      <c r="Q364" s="122" t="str">
        <f>IFERROR(1-SUMIF(IGA_BD!$F:$F,$A364,IGA_BD!$V:$V)/($AA364+SUMIF(IGA_BD!$F:$F,$A364,IGA_BD!$V:$V)),"")</f>
        <v/>
      </c>
      <c r="R364" s="127" t="str">
        <f>IFERROR(1-SUMIF(Grid_BD!$F:$F,$A364,Grid_BD!$X:$X)/($AA364+SUMIF(Grid_BD!$F:$F,$A364,Grid_BD!$X:$X)),"")</f>
        <v/>
      </c>
      <c r="S364" s="105"/>
      <c r="T364" s="122"/>
      <c r="U364" s="123"/>
      <c r="V364" s="105"/>
      <c r="W364" s="124" t="str">
        <f>IFERROR(Table13[[#This Row],[Mtr_Net_Exp (KWh)]]/(24*AR364*1000),"")</f>
        <v/>
      </c>
      <c r="X364" s="105" t="str">
        <f>IFERROR(_xlfn.XLOOKUP($A364,Input_Raw!$A:$A,Input_Raw!$CF:$CF),"")</f>
        <v/>
      </c>
      <c r="Y364" s="105" t="str">
        <f>IFERROR(_xlfn.XLOOKUP($A364,Input_Raw!$A:$A,Input_Raw!$CZ:$CZ),"")</f>
        <v/>
      </c>
      <c r="Z364" s="105" t="str">
        <f>IFERROR(_xlfn.XLOOKUP($A364,Input_Raw!$A:$A,Input_Raw!$DA:$DA),"")</f>
        <v/>
      </c>
      <c r="AA364" s="107" t="str">
        <f t="shared" si="38"/>
        <v/>
      </c>
      <c r="AB364" s="105" t="str">
        <f>IFERROR(_xlfn.XLOOKUP($A364,Input_Raw!$A:$A,Input_Raw!$DG:$DG),"")</f>
        <v/>
      </c>
      <c r="AC364" s="125">
        <f>IFERROR(_xlfn.XLOOKUP($D364,'Modelling New'!$D:$D,'Modelling New'!$J:$J),"")</f>
        <v>4.5999999999999996</v>
      </c>
      <c r="AD364" s="107">
        <f>IFERROR(_xlfn.XLOOKUP($D364,'Modelling New'!$D:$D,'Modelling New'!$T:$T)*1000,"")</f>
        <v>221156.23146397382</v>
      </c>
      <c r="AE364" s="124"/>
      <c r="AF364" s="124">
        <f>IFERROR(_xlfn.XLOOKUP($D364,'Modelling New'!$D:$D,'Modelling New'!$W:$W),"")</f>
        <v>0.11813901253417405</v>
      </c>
      <c r="AG364" s="124">
        <f>IFERROR(_xlfn.XLOOKUP($D364,'Modelling New'!$D:$D,'Modelling New'!$AE:$AE),"")</f>
        <v>0.96029999999999993</v>
      </c>
      <c r="AH364" s="124">
        <f>IFERROR(_xlfn.XLOOKUP($D364,'Modelling New'!$D:$D,'Modelling New'!$AF:$AF),"")</f>
        <v>0.995</v>
      </c>
      <c r="AI364" s="105" t="str">
        <f>IFERROR(_xlfn.XLOOKUP($A364,Input_Raw!$A:$A,Input_Raw!$DE:$DE),"")</f>
        <v/>
      </c>
      <c r="AJ364" s="105"/>
      <c r="AK364" s="105"/>
      <c r="AL364" s="105"/>
      <c r="AM364" s="105"/>
      <c r="AN364" s="126" t="str">
        <f>IFERROR(_xlfn.XLOOKUP($A364,Input_Raw!$A:$A,Input_Raw!$DB:$DB),"")</f>
        <v/>
      </c>
      <c r="AO364" s="124" t="str">
        <f>IFERROR((_xlfn.XLOOKUP($A364,'WTG Reactive Power'!$A:$A,'WTG Reactive Power'!$AR:$AR))/X364/1000,"")</f>
        <v/>
      </c>
      <c r="AP364" s="124">
        <f>IFERROR(_xlfn.XLOOKUP($D364,'Modelling New'!$D:$D,'Modelling New'!$AK:$AK),"")</f>
        <v>0.05</v>
      </c>
      <c r="AQ364" s="124">
        <f>IFERROR(_xlfn.XLOOKUP($D364,'Modelling New'!$D:$D,'Modelling New'!$AL:$AL),"")</f>
        <v>0.05</v>
      </c>
      <c r="AR364">
        <f>IFERROR(_xlfn.XLOOKUP($D364,'Modelling New'!$D:$D,'Modelling New'!$N:$N),"")</f>
        <v>78</v>
      </c>
    </row>
    <row r="365" spans="1:44">
      <c r="A365" s="118">
        <f t="shared" si="39"/>
        <v>46108</v>
      </c>
      <c r="B365" s="107">
        <f>YEAR(Table13[[#This Row],[Date]])+IF(MONTH(Table13[[#This Row],[Date]])&gt;=4,1,0)</f>
        <v>2026</v>
      </c>
      <c r="C365" s="105">
        <f>YEAR(Table13[[#This Row],[Date]])</f>
        <v>2026</v>
      </c>
      <c r="D365" s="119">
        <f>Table13[[#This Row],[Date]]-DAY(Table13[[#This Row],[Date]])+1</f>
        <v>46082</v>
      </c>
      <c r="E365" s="105">
        <f t="shared" si="36"/>
        <v>31</v>
      </c>
      <c r="F365" s="108"/>
      <c r="G365" s="109"/>
      <c r="H365" s="109"/>
      <c r="I365" s="109"/>
      <c r="J365" s="109"/>
      <c r="K365" s="120"/>
      <c r="L365" s="109"/>
      <c r="M365" s="109" t="str">
        <f>IFERROR(_xlfn.XLOOKUP($A365,Input_Raw!$A:$A,Input_Raw!CG:CG),"")</f>
        <v/>
      </c>
      <c r="N365" s="109" t="str">
        <f>IFERROR(_xlfn.XLOOKUP($A365,Input_Raw!$A:$A,Input_Raw!CH:CH),"")</f>
        <v/>
      </c>
      <c r="O365" s="121" t="str">
        <f t="shared" si="37"/>
        <v/>
      </c>
      <c r="P365" s="121" t="str">
        <f>IFERROR(1-SUMIF(WTG_BD!$F:$F,$A365,WTG_BD!$AA:$AA)/($AA365+SUMIF(WTG_BD!$F:$F,$A365,WTG_BD!$AA:$AA)),"")</f>
        <v/>
      </c>
      <c r="Q365" s="122" t="str">
        <f>IFERROR(1-SUMIF(IGA_BD!$F:$F,$A365,IGA_BD!$V:$V)/($AA365+SUMIF(IGA_BD!$F:$F,$A365,IGA_BD!$V:$V)),"")</f>
        <v/>
      </c>
      <c r="R365" s="127" t="str">
        <f>IFERROR(1-SUMIF(Grid_BD!$F:$F,$A365,Grid_BD!$X:$X)/($AA365+SUMIF(Grid_BD!$F:$F,$A365,Grid_BD!$X:$X)),"")</f>
        <v/>
      </c>
      <c r="S365" s="105"/>
      <c r="T365" s="122"/>
      <c r="U365" s="123"/>
      <c r="V365" s="105"/>
      <c r="W365" s="124" t="str">
        <f>IFERROR(Table13[[#This Row],[Mtr_Net_Exp (KWh)]]/(24*AR365*1000),"")</f>
        <v/>
      </c>
      <c r="X365" s="105" t="str">
        <f>IFERROR(_xlfn.XLOOKUP($A365,Input_Raw!$A:$A,Input_Raw!$CF:$CF),"")</f>
        <v/>
      </c>
      <c r="Y365" s="105" t="str">
        <f>IFERROR(_xlfn.XLOOKUP($A365,Input_Raw!$A:$A,Input_Raw!$CZ:$CZ),"")</f>
        <v/>
      </c>
      <c r="Z365" s="105" t="str">
        <f>IFERROR(_xlfn.XLOOKUP($A365,Input_Raw!$A:$A,Input_Raw!$DA:$DA),"")</f>
        <v/>
      </c>
      <c r="AA365" s="107" t="str">
        <f t="shared" si="38"/>
        <v/>
      </c>
      <c r="AB365" s="105" t="str">
        <f>IFERROR(_xlfn.XLOOKUP($A365,Input_Raw!$A:$A,Input_Raw!$DG:$DG),"")</f>
        <v/>
      </c>
      <c r="AC365" s="125">
        <f>IFERROR(_xlfn.XLOOKUP($D365,'Modelling New'!$D:$D,'Modelling New'!$J:$J),"")</f>
        <v>4.5999999999999996</v>
      </c>
      <c r="AD365" s="107">
        <f>IFERROR(_xlfn.XLOOKUP($D365,'Modelling New'!$D:$D,'Modelling New'!$T:$T)*1000,"")</f>
        <v>221156.23146397382</v>
      </c>
      <c r="AE365" s="124"/>
      <c r="AF365" s="124">
        <f>IFERROR(_xlfn.XLOOKUP($D365,'Modelling New'!$D:$D,'Modelling New'!$W:$W),"")</f>
        <v>0.11813901253417405</v>
      </c>
      <c r="AG365" s="124">
        <f>IFERROR(_xlfn.XLOOKUP($D365,'Modelling New'!$D:$D,'Modelling New'!$AE:$AE),"")</f>
        <v>0.96029999999999993</v>
      </c>
      <c r="AH365" s="124">
        <f>IFERROR(_xlfn.XLOOKUP($D365,'Modelling New'!$D:$D,'Modelling New'!$AF:$AF),"")</f>
        <v>0.995</v>
      </c>
      <c r="AI365" s="105" t="str">
        <f>IFERROR(_xlfn.XLOOKUP($A365,Input_Raw!$A:$A,Input_Raw!$DE:$DE),"")</f>
        <v/>
      </c>
      <c r="AJ365" s="105"/>
      <c r="AK365" s="105"/>
      <c r="AL365" s="105"/>
      <c r="AM365" s="105"/>
      <c r="AN365" s="126" t="str">
        <f>IFERROR(_xlfn.XLOOKUP($A365,Input_Raw!$A:$A,Input_Raw!$DB:$DB),"")</f>
        <v/>
      </c>
      <c r="AO365" s="124" t="str">
        <f>IFERROR((_xlfn.XLOOKUP($A365,'WTG Reactive Power'!$A:$A,'WTG Reactive Power'!$AR:$AR))/X365/1000,"")</f>
        <v/>
      </c>
      <c r="AP365" s="124">
        <f>IFERROR(_xlfn.XLOOKUP($D365,'Modelling New'!$D:$D,'Modelling New'!$AK:$AK),"")</f>
        <v>0.05</v>
      </c>
      <c r="AQ365" s="124">
        <f>IFERROR(_xlfn.XLOOKUP($D365,'Modelling New'!$D:$D,'Modelling New'!$AL:$AL),"")</f>
        <v>0.05</v>
      </c>
      <c r="AR365">
        <f>IFERROR(_xlfn.XLOOKUP($D365,'Modelling New'!$D:$D,'Modelling New'!$N:$N),"")</f>
        <v>78</v>
      </c>
    </row>
    <row r="366" spans="1:44">
      <c r="A366" s="118">
        <f t="shared" si="39"/>
        <v>46109</v>
      </c>
      <c r="B366" s="107">
        <f>YEAR(Table13[[#This Row],[Date]])+IF(MONTH(Table13[[#This Row],[Date]])&gt;=4,1,0)</f>
        <v>2026</v>
      </c>
      <c r="C366" s="105">
        <f>YEAR(Table13[[#This Row],[Date]])</f>
        <v>2026</v>
      </c>
      <c r="D366" s="119">
        <f>Table13[[#This Row],[Date]]-DAY(Table13[[#This Row],[Date]])+1</f>
        <v>46082</v>
      </c>
      <c r="E366" s="105">
        <f t="shared" si="36"/>
        <v>31</v>
      </c>
      <c r="F366" s="108"/>
      <c r="G366" s="109"/>
      <c r="H366" s="109"/>
      <c r="I366" s="109"/>
      <c r="J366" s="109"/>
      <c r="K366" s="120"/>
      <c r="L366" s="109"/>
      <c r="M366" s="109" t="str">
        <f>IFERROR(_xlfn.XLOOKUP($A366,Input_Raw!$A:$A,Input_Raw!CG:CG),"")</f>
        <v/>
      </c>
      <c r="N366" s="109" t="str">
        <f>IFERROR(_xlfn.XLOOKUP($A366,Input_Raw!$A:$A,Input_Raw!CH:CH),"")</f>
        <v/>
      </c>
      <c r="O366" s="121" t="str">
        <f t="shared" si="37"/>
        <v/>
      </c>
      <c r="P366" s="121" t="str">
        <f>IFERROR(1-SUMIF(WTG_BD!$F:$F,$A366,WTG_BD!$AA:$AA)/($AA366+SUMIF(WTG_BD!$F:$F,$A366,WTG_BD!$AA:$AA)),"")</f>
        <v/>
      </c>
      <c r="Q366" s="122" t="str">
        <f>IFERROR(1-SUMIF(IGA_BD!$F:$F,$A366,IGA_BD!$V:$V)/($AA366+SUMIF(IGA_BD!$F:$F,$A366,IGA_BD!$V:$V)),"")</f>
        <v/>
      </c>
      <c r="R366" s="127" t="str">
        <f>IFERROR(1-SUMIF(Grid_BD!$F:$F,$A366,Grid_BD!$X:$X)/($AA366+SUMIF(Grid_BD!$F:$F,$A366,Grid_BD!$X:$X)),"")</f>
        <v/>
      </c>
      <c r="S366" s="105"/>
      <c r="T366" s="122"/>
      <c r="U366" s="123"/>
      <c r="V366" s="105"/>
      <c r="W366" s="124" t="str">
        <f>IFERROR(Table13[[#This Row],[Mtr_Net_Exp (KWh)]]/(24*AR366*1000),"")</f>
        <v/>
      </c>
      <c r="X366" s="105" t="str">
        <f>IFERROR(_xlfn.XLOOKUP($A366,Input_Raw!$A:$A,Input_Raw!$CF:$CF),"")</f>
        <v/>
      </c>
      <c r="Y366" s="105" t="str">
        <f>IFERROR(_xlfn.XLOOKUP($A366,Input_Raw!$A:$A,Input_Raw!$CZ:$CZ),"")</f>
        <v/>
      </c>
      <c r="Z366" s="105" t="str">
        <f>IFERROR(_xlfn.XLOOKUP($A366,Input_Raw!$A:$A,Input_Raw!$DA:$DA),"")</f>
        <v/>
      </c>
      <c r="AA366" s="107" t="str">
        <f t="shared" si="38"/>
        <v/>
      </c>
      <c r="AB366" s="105" t="str">
        <f>IFERROR(_xlfn.XLOOKUP($A366,Input_Raw!$A:$A,Input_Raw!$DG:$DG),"")</f>
        <v/>
      </c>
      <c r="AC366" s="125">
        <f>IFERROR(_xlfn.XLOOKUP($D366,'Modelling New'!$D:$D,'Modelling New'!$J:$J),"")</f>
        <v>4.5999999999999996</v>
      </c>
      <c r="AD366" s="107">
        <f>IFERROR(_xlfn.XLOOKUP($D366,'Modelling New'!$D:$D,'Modelling New'!$T:$T)*1000,"")</f>
        <v>221156.23146397382</v>
      </c>
      <c r="AE366" s="124"/>
      <c r="AF366" s="124">
        <f>IFERROR(_xlfn.XLOOKUP($D366,'Modelling New'!$D:$D,'Modelling New'!$W:$W),"")</f>
        <v>0.11813901253417405</v>
      </c>
      <c r="AG366" s="124">
        <f>IFERROR(_xlfn.XLOOKUP($D366,'Modelling New'!$D:$D,'Modelling New'!$AE:$AE),"")</f>
        <v>0.96029999999999993</v>
      </c>
      <c r="AH366" s="124">
        <f>IFERROR(_xlfn.XLOOKUP($D366,'Modelling New'!$D:$D,'Modelling New'!$AF:$AF),"")</f>
        <v>0.995</v>
      </c>
      <c r="AI366" s="105" t="str">
        <f>IFERROR(_xlfn.XLOOKUP($A366,Input_Raw!$A:$A,Input_Raw!$DE:$DE),"")</f>
        <v/>
      </c>
      <c r="AJ366" s="105"/>
      <c r="AK366" s="105"/>
      <c r="AL366" s="105"/>
      <c r="AM366" s="105"/>
      <c r="AN366" s="126" t="str">
        <f>IFERROR(_xlfn.XLOOKUP($A366,Input_Raw!$A:$A,Input_Raw!$DB:$DB),"")</f>
        <v/>
      </c>
      <c r="AO366" s="124" t="str">
        <f>IFERROR((_xlfn.XLOOKUP($A366,'WTG Reactive Power'!$A:$A,'WTG Reactive Power'!$AR:$AR))/X366/1000,"")</f>
        <v/>
      </c>
      <c r="AP366" s="124">
        <f>IFERROR(_xlfn.XLOOKUP($D366,'Modelling New'!$D:$D,'Modelling New'!$AK:$AK),"")</f>
        <v>0.05</v>
      </c>
      <c r="AQ366" s="124">
        <f>IFERROR(_xlfn.XLOOKUP($D366,'Modelling New'!$D:$D,'Modelling New'!$AL:$AL),"")</f>
        <v>0.05</v>
      </c>
      <c r="AR366">
        <f>IFERROR(_xlfn.XLOOKUP($D366,'Modelling New'!$D:$D,'Modelling New'!$N:$N),"")</f>
        <v>78</v>
      </c>
    </row>
    <row r="367" spans="1:44">
      <c r="A367" s="118">
        <f t="shared" si="39"/>
        <v>46110</v>
      </c>
      <c r="B367" s="107">
        <f>YEAR(Table13[[#This Row],[Date]])+IF(MONTH(Table13[[#This Row],[Date]])&gt;=4,1,0)</f>
        <v>2026</v>
      </c>
      <c r="C367" s="105">
        <f>YEAR(Table13[[#This Row],[Date]])</f>
        <v>2026</v>
      </c>
      <c r="D367" s="119">
        <f>Table13[[#This Row],[Date]]-DAY(Table13[[#This Row],[Date]])+1</f>
        <v>46082</v>
      </c>
      <c r="E367" s="105">
        <f t="shared" si="36"/>
        <v>31</v>
      </c>
      <c r="F367" s="108"/>
      <c r="G367" s="109"/>
      <c r="H367" s="109"/>
      <c r="I367" s="109"/>
      <c r="J367" s="109"/>
      <c r="K367" s="120"/>
      <c r="L367" s="109"/>
      <c r="M367" s="109" t="str">
        <f>IFERROR(_xlfn.XLOOKUP($A367,Input_Raw!$A:$A,Input_Raw!CG:CG),"")</f>
        <v/>
      </c>
      <c r="N367" s="109" t="str">
        <f>IFERROR(_xlfn.XLOOKUP($A367,Input_Raw!$A:$A,Input_Raw!CH:CH),"")</f>
        <v/>
      </c>
      <c r="O367" s="121" t="str">
        <f t="shared" si="37"/>
        <v/>
      </c>
      <c r="P367" s="121" t="str">
        <f>IFERROR(1-SUMIF(WTG_BD!$F:$F,$A367,WTG_BD!$AA:$AA)/($AA367+SUMIF(WTG_BD!$F:$F,$A367,WTG_BD!$AA:$AA)),"")</f>
        <v/>
      </c>
      <c r="Q367" s="122" t="str">
        <f>IFERROR(1-SUMIF(IGA_BD!$F:$F,$A367,IGA_BD!$V:$V)/($AA367+SUMIF(IGA_BD!$F:$F,$A367,IGA_BD!$V:$V)),"")</f>
        <v/>
      </c>
      <c r="R367" s="127" t="str">
        <f>IFERROR(1-SUMIF(Grid_BD!$F:$F,$A367,Grid_BD!$X:$X)/($AA367+SUMIF(Grid_BD!$F:$F,$A367,Grid_BD!$X:$X)),"")</f>
        <v/>
      </c>
      <c r="S367" s="105"/>
      <c r="T367" s="122"/>
      <c r="U367" s="123"/>
      <c r="V367" s="105"/>
      <c r="W367" s="124" t="str">
        <f>IFERROR(Table13[[#This Row],[Mtr_Net_Exp (KWh)]]/(24*AR367*1000),"")</f>
        <v/>
      </c>
      <c r="X367" s="105" t="str">
        <f>IFERROR(_xlfn.XLOOKUP($A367,Input_Raw!$A:$A,Input_Raw!$CF:$CF),"")</f>
        <v/>
      </c>
      <c r="Y367" s="105" t="str">
        <f>IFERROR(_xlfn.XLOOKUP($A367,Input_Raw!$A:$A,Input_Raw!$CZ:$CZ),"")</f>
        <v/>
      </c>
      <c r="Z367" s="105" t="str">
        <f>IFERROR(_xlfn.XLOOKUP($A367,Input_Raw!$A:$A,Input_Raw!$DA:$DA),"")</f>
        <v/>
      </c>
      <c r="AA367" s="107" t="str">
        <f t="shared" si="38"/>
        <v/>
      </c>
      <c r="AB367" s="105" t="str">
        <f>IFERROR(_xlfn.XLOOKUP($A367,Input_Raw!$A:$A,Input_Raw!$DG:$DG),"")</f>
        <v/>
      </c>
      <c r="AC367" s="125">
        <f>IFERROR(_xlfn.XLOOKUP($D367,'Modelling New'!$D:$D,'Modelling New'!$J:$J),"")</f>
        <v>4.5999999999999996</v>
      </c>
      <c r="AD367" s="107">
        <f>IFERROR(_xlfn.XLOOKUP($D367,'Modelling New'!$D:$D,'Modelling New'!$T:$T)*1000,"")</f>
        <v>221156.23146397382</v>
      </c>
      <c r="AE367" s="124"/>
      <c r="AF367" s="124">
        <f>IFERROR(_xlfn.XLOOKUP($D367,'Modelling New'!$D:$D,'Modelling New'!$W:$W),"")</f>
        <v>0.11813901253417405</v>
      </c>
      <c r="AG367" s="124">
        <f>IFERROR(_xlfn.XLOOKUP($D367,'Modelling New'!$D:$D,'Modelling New'!$AE:$AE),"")</f>
        <v>0.96029999999999993</v>
      </c>
      <c r="AH367" s="124">
        <f>IFERROR(_xlfn.XLOOKUP($D367,'Modelling New'!$D:$D,'Modelling New'!$AF:$AF),"")</f>
        <v>0.995</v>
      </c>
      <c r="AI367" s="105" t="str">
        <f>IFERROR(_xlfn.XLOOKUP($A367,Input_Raw!$A:$A,Input_Raw!$DE:$DE),"")</f>
        <v/>
      </c>
      <c r="AJ367" s="105"/>
      <c r="AK367" s="105"/>
      <c r="AL367" s="105"/>
      <c r="AM367" s="105"/>
      <c r="AN367" s="126" t="str">
        <f>IFERROR(_xlfn.XLOOKUP($A367,Input_Raw!$A:$A,Input_Raw!$DB:$DB),"")</f>
        <v/>
      </c>
      <c r="AO367" s="124" t="str">
        <f>IFERROR((_xlfn.XLOOKUP($A367,'WTG Reactive Power'!$A:$A,'WTG Reactive Power'!$AR:$AR))/X367/1000,"")</f>
        <v/>
      </c>
      <c r="AP367" s="124">
        <f>IFERROR(_xlfn.XLOOKUP($D367,'Modelling New'!$D:$D,'Modelling New'!$AK:$AK),"")</f>
        <v>0.05</v>
      </c>
      <c r="AQ367" s="124">
        <f>IFERROR(_xlfn.XLOOKUP($D367,'Modelling New'!$D:$D,'Modelling New'!$AL:$AL),"")</f>
        <v>0.05</v>
      </c>
      <c r="AR367">
        <f>IFERROR(_xlfn.XLOOKUP($D367,'Modelling New'!$D:$D,'Modelling New'!$N:$N),"")</f>
        <v>78</v>
      </c>
    </row>
    <row r="368" spans="1:44">
      <c r="A368" s="118">
        <f t="shared" si="39"/>
        <v>46111</v>
      </c>
      <c r="B368" s="107">
        <f>YEAR(Table13[[#This Row],[Date]])+IF(MONTH(Table13[[#This Row],[Date]])&gt;=4,1,0)</f>
        <v>2026</v>
      </c>
      <c r="C368" s="105">
        <f>YEAR(Table13[[#This Row],[Date]])</f>
        <v>2026</v>
      </c>
      <c r="D368" s="119">
        <f>Table13[[#This Row],[Date]]-DAY(Table13[[#This Row],[Date]])+1</f>
        <v>46082</v>
      </c>
      <c r="E368" s="105">
        <f t="shared" si="36"/>
        <v>31</v>
      </c>
      <c r="F368" s="108"/>
      <c r="G368" s="109"/>
      <c r="H368" s="109"/>
      <c r="I368" s="109"/>
      <c r="J368" s="109"/>
      <c r="K368" s="120"/>
      <c r="L368" s="109"/>
      <c r="M368" s="109" t="str">
        <f>IFERROR(_xlfn.XLOOKUP($A368,Input_Raw!$A:$A,Input_Raw!CG:CG),"")</f>
        <v/>
      </c>
      <c r="N368" s="109" t="str">
        <f>IFERROR(_xlfn.XLOOKUP($A368,Input_Raw!$A:$A,Input_Raw!CH:CH),"")</f>
        <v/>
      </c>
      <c r="O368" s="121" t="str">
        <f t="shared" si="37"/>
        <v/>
      </c>
      <c r="P368" s="121" t="str">
        <f>IFERROR(1-SUMIF(WTG_BD!$F:$F,$A368,WTG_BD!$AA:$AA)/($AA368+SUMIF(WTG_BD!$F:$F,$A368,WTG_BD!$AA:$AA)),"")</f>
        <v/>
      </c>
      <c r="Q368" s="122" t="str">
        <f>IFERROR(1-SUMIF(IGA_BD!$F:$F,$A368,IGA_BD!$V:$V)/($AA368+SUMIF(IGA_BD!$F:$F,$A368,IGA_BD!$V:$V)),"")</f>
        <v/>
      </c>
      <c r="R368" s="127" t="str">
        <f>IFERROR(1-SUMIF(Grid_BD!$F:$F,$A368,Grid_BD!$X:$X)/($AA368+SUMIF(Grid_BD!$F:$F,$A368,Grid_BD!$X:$X)),"")</f>
        <v/>
      </c>
      <c r="S368" s="105"/>
      <c r="T368" s="122"/>
      <c r="U368" s="123"/>
      <c r="V368" s="105"/>
      <c r="W368" s="124" t="str">
        <f>IFERROR(Table13[[#This Row],[Mtr_Net_Exp (KWh)]]/(24*AR368*1000),"")</f>
        <v/>
      </c>
      <c r="X368" s="105" t="str">
        <f>IFERROR(_xlfn.XLOOKUP($A368,Input_Raw!$A:$A,Input_Raw!$CF:$CF),"")</f>
        <v/>
      </c>
      <c r="Y368" s="105" t="str">
        <f>IFERROR(_xlfn.XLOOKUP($A368,Input_Raw!$A:$A,Input_Raw!$CZ:$CZ),"")</f>
        <v/>
      </c>
      <c r="Z368" s="105" t="str">
        <f>IFERROR(_xlfn.XLOOKUP($A368,Input_Raw!$A:$A,Input_Raw!$DA:$DA),"")</f>
        <v/>
      </c>
      <c r="AA368" s="107" t="str">
        <f t="shared" si="38"/>
        <v/>
      </c>
      <c r="AB368" s="105" t="str">
        <f>IFERROR(_xlfn.XLOOKUP($A368,Input_Raw!$A:$A,Input_Raw!$DG:$DG),"")</f>
        <v/>
      </c>
      <c r="AC368" s="125">
        <f>IFERROR(_xlfn.XLOOKUP($D368,'Modelling New'!$D:$D,'Modelling New'!$J:$J),"")</f>
        <v>4.5999999999999996</v>
      </c>
      <c r="AD368" s="107">
        <f>IFERROR(_xlfn.XLOOKUP($D368,'Modelling New'!$D:$D,'Modelling New'!$T:$T)*1000,"")</f>
        <v>221156.23146397382</v>
      </c>
      <c r="AE368" s="124"/>
      <c r="AF368" s="124">
        <f>IFERROR(_xlfn.XLOOKUP($D368,'Modelling New'!$D:$D,'Modelling New'!$W:$W),"")</f>
        <v>0.11813901253417405</v>
      </c>
      <c r="AG368" s="124">
        <f>IFERROR(_xlfn.XLOOKUP($D368,'Modelling New'!$D:$D,'Modelling New'!$AE:$AE),"")</f>
        <v>0.96029999999999993</v>
      </c>
      <c r="AH368" s="124">
        <f>IFERROR(_xlfn.XLOOKUP($D368,'Modelling New'!$D:$D,'Modelling New'!$AF:$AF),"")</f>
        <v>0.995</v>
      </c>
      <c r="AI368" s="105" t="str">
        <f>IFERROR(_xlfn.XLOOKUP($A368,Input_Raw!$A:$A,Input_Raw!$DE:$DE),"")</f>
        <v/>
      </c>
      <c r="AJ368" s="105"/>
      <c r="AK368" s="105"/>
      <c r="AL368" s="105"/>
      <c r="AM368" s="105"/>
      <c r="AN368" s="126" t="str">
        <f>IFERROR(_xlfn.XLOOKUP($A368,Input_Raw!$A:$A,Input_Raw!$DB:$DB),"")</f>
        <v/>
      </c>
      <c r="AO368" s="124" t="str">
        <f>IFERROR((_xlfn.XLOOKUP($A368,'WTG Reactive Power'!$A:$A,'WTG Reactive Power'!$AR:$AR))/X368/1000,"")</f>
        <v/>
      </c>
      <c r="AP368" s="124">
        <f>IFERROR(_xlfn.XLOOKUP($D368,'Modelling New'!$D:$D,'Modelling New'!$AK:$AK),"")</f>
        <v>0.05</v>
      </c>
      <c r="AQ368" s="124">
        <f>IFERROR(_xlfn.XLOOKUP($D368,'Modelling New'!$D:$D,'Modelling New'!$AL:$AL),"")</f>
        <v>0.05</v>
      </c>
      <c r="AR368">
        <f>IFERROR(_xlfn.XLOOKUP($D368,'Modelling New'!$D:$D,'Modelling New'!$N:$N),"")</f>
        <v>78</v>
      </c>
    </row>
    <row r="369" spans="1:44">
      <c r="A369" s="118">
        <f t="shared" si="39"/>
        <v>46112</v>
      </c>
      <c r="B369" s="107">
        <f>YEAR(Table13[[#This Row],[Date]])+IF(MONTH(Table13[[#This Row],[Date]])&gt;=4,1,0)</f>
        <v>2026</v>
      </c>
      <c r="C369" s="105">
        <f>YEAR(Table13[[#This Row],[Date]])</f>
        <v>2026</v>
      </c>
      <c r="D369" s="119">
        <f>Table13[[#This Row],[Date]]-DAY(Table13[[#This Row],[Date]])+1</f>
        <v>46082</v>
      </c>
      <c r="E369" s="105">
        <f t="shared" si="36"/>
        <v>31</v>
      </c>
      <c r="F369" s="108"/>
      <c r="G369" s="109"/>
      <c r="H369" s="109"/>
      <c r="I369" s="109"/>
      <c r="J369" s="109"/>
      <c r="K369" s="120"/>
      <c r="L369" s="109"/>
      <c r="M369" s="109" t="str">
        <f>IFERROR(_xlfn.XLOOKUP($A369,Input_Raw!$A:$A,Input_Raw!CG:CG),"")</f>
        <v/>
      </c>
      <c r="N369" s="109" t="str">
        <f>IFERROR(_xlfn.XLOOKUP($A369,Input_Raw!$A:$A,Input_Raw!CH:CH),"")</f>
        <v/>
      </c>
      <c r="O369" s="121" t="str">
        <f t="shared" si="37"/>
        <v/>
      </c>
      <c r="P369" s="121" t="str">
        <f>IFERROR(1-SUMIF(WTG_BD!$F:$F,$A369,WTG_BD!$AA:$AA)/($AA369+SUMIF(WTG_BD!$F:$F,$A369,WTG_BD!$AA:$AA)),"")</f>
        <v/>
      </c>
      <c r="Q369" s="122" t="str">
        <f>IFERROR(1-SUMIF(IGA_BD!$F:$F,$A369,IGA_BD!$V:$V)/($AA369+SUMIF(IGA_BD!$F:$F,$A369,IGA_BD!$V:$V)),"")</f>
        <v/>
      </c>
      <c r="R369" s="127" t="str">
        <f>IFERROR(1-SUMIF(Grid_BD!$F:$F,$A369,Grid_BD!$X:$X)/($AA369+SUMIF(Grid_BD!$F:$F,$A369,Grid_BD!$X:$X)),"")</f>
        <v/>
      </c>
      <c r="S369" s="105"/>
      <c r="T369" s="122"/>
      <c r="U369" s="123"/>
      <c r="V369" s="105"/>
      <c r="W369" s="124" t="str">
        <f>IFERROR(Table13[[#This Row],[Mtr_Net_Exp (KWh)]]/(24*AR369*1000),"")</f>
        <v/>
      </c>
      <c r="X369" s="105" t="str">
        <f>IFERROR(_xlfn.XLOOKUP($A369,Input_Raw!$A:$A,Input_Raw!$CF:$CF),"")</f>
        <v/>
      </c>
      <c r="Y369" s="105" t="str">
        <f>IFERROR(_xlfn.XLOOKUP($A369,Input_Raw!$A:$A,Input_Raw!$CZ:$CZ),"")</f>
        <v/>
      </c>
      <c r="Z369" s="105" t="str">
        <f>IFERROR(_xlfn.XLOOKUP($A369,Input_Raw!$A:$A,Input_Raw!$DA:$DA),"")</f>
        <v/>
      </c>
      <c r="AA369" s="107" t="str">
        <f t="shared" si="38"/>
        <v/>
      </c>
      <c r="AB369" s="105" t="str">
        <f>IFERROR(_xlfn.XLOOKUP($A369,Input_Raw!$A:$A,Input_Raw!$DG:$DG),"")</f>
        <v/>
      </c>
      <c r="AC369" s="125">
        <f>IFERROR(_xlfn.XLOOKUP($D369,'Modelling New'!$D:$D,'Modelling New'!$J:$J),"")</f>
        <v>4.5999999999999996</v>
      </c>
      <c r="AD369" s="107">
        <f>IFERROR(_xlfn.XLOOKUP($D369,'Modelling New'!$D:$D,'Modelling New'!$T:$T)*1000,"")</f>
        <v>221156.23146397382</v>
      </c>
      <c r="AE369" s="124"/>
      <c r="AF369" s="124">
        <f>IFERROR(_xlfn.XLOOKUP($D369,'Modelling New'!$D:$D,'Modelling New'!$W:$W),"")</f>
        <v>0.11813901253417405</v>
      </c>
      <c r="AG369" s="124">
        <f>IFERROR(_xlfn.XLOOKUP($D369,'Modelling New'!$D:$D,'Modelling New'!$AE:$AE),"")</f>
        <v>0.96029999999999993</v>
      </c>
      <c r="AH369" s="124">
        <f>IFERROR(_xlfn.XLOOKUP($D369,'Modelling New'!$D:$D,'Modelling New'!$AF:$AF),"")</f>
        <v>0.995</v>
      </c>
      <c r="AI369" s="105" t="str">
        <f>IFERROR(_xlfn.XLOOKUP($A369,Input_Raw!$A:$A,Input_Raw!$DE:$DE),"")</f>
        <v/>
      </c>
      <c r="AJ369" s="105"/>
      <c r="AK369" s="105"/>
      <c r="AL369" s="105"/>
      <c r="AM369" s="105"/>
      <c r="AN369" s="126" t="str">
        <f>IFERROR(_xlfn.XLOOKUP($A369,Input_Raw!$A:$A,Input_Raw!$DB:$DB),"")</f>
        <v/>
      </c>
      <c r="AO369" s="124" t="str">
        <f>IFERROR((_xlfn.XLOOKUP($A369,'WTG Reactive Power'!$A:$A,'WTG Reactive Power'!$AR:$AR))/X369/1000,"")</f>
        <v/>
      </c>
      <c r="AP369" s="124">
        <f>IFERROR(_xlfn.XLOOKUP($D369,'Modelling New'!$D:$D,'Modelling New'!$AK:$AK),"")</f>
        <v>0.05</v>
      </c>
      <c r="AQ369" s="124">
        <f>IFERROR(_xlfn.XLOOKUP($D369,'Modelling New'!$D:$D,'Modelling New'!$AL:$AL),"")</f>
        <v>0.05</v>
      </c>
      <c r="AR369">
        <f>IFERROR(_xlfn.XLOOKUP($D369,'Modelling New'!$D:$D,'Modelling New'!$N:$N),"")</f>
        <v>78</v>
      </c>
    </row>
  </sheetData>
  <sheetProtection algorithmName="SHA-512" hashValue="DrSMSay+Axc6l8zA3zVSrnvgP4KI+AXMQhB5AjUOg6uFwtbGQ5j5zYGit/bkJ6Vb+N+eMlz6vtF2EYqWUbOu7w==" saltValue="9mMjDVVFu1m5opWh5GCGIA==" spinCount="100000" sheet="1" objects="1" scenarios="1" autoFilter="0"/>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4A75-7217-415B-A631-97F0B6117394}">
  <dimension ref="A1:AQ61"/>
  <sheetViews>
    <sheetView workbookViewId="0">
      <pane xSplit="4" ySplit="1" topLeftCell="E50" activePane="bottomRight" state="frozen"/>
      <selection pane="topRight" activeCell="C1" sqref="C1"/>
      <selection pane="bottomLeft" activeCell="C1" sqref="C1"/>
      <selection pane="bottomRight" activeCell="Z51" sqref="Z51"/>
    </sheetView>
  </sheetViews>
  <sheetFormatPr defaultColWidth="8.7109375" defaultRowHeight="15"/>
  <cols>
    <col min="1" max="1" width="8.7109375" style="105"/>
    <col min="2" max="2" width="9.85546875" style="105" bestFit="1" customWidth="1"/>
    <col min="3" max="3" width="15.85546875" style="105" customWidth="1"/>
    <col min="4" max="6" width="8.7109375" style="105"/>
    <col min="7" max="7" width="20.5703125" style="105" customWidth="1"/>
    <col min="8" max="8" width="8.7109375" style="105"/>
    <col min="9" max="9" width="9.42578125" style="105" bestFit="1" customWidth="1"/>
    <col min="10" max="14" width="8.7109375" style="105"/>
    <col min="15" max="15" width="9.85546875" style="105" bestFit="1" customWidth="1"/>
    <col min="16" max="16" width="11" style="105" customWidth="1"/>
    <col min="17" max="17" width="15.28515625" style="105" customWidth="1"/>
    <col min="18" max="19" width="10.85546875" style="105" customWidth="1"/>
    <col min="20" max="20" width="13" style="105" customWidth="1"/>
    <col min="21" max="25" width="12.85546875" style="105" customWidth="1"/>
    <col min="26" max="27" width="14.5703125" style="105" customWidth="1"/>
    <col min="28" max="29" width="15.5703125" style="105" customWidth="1"/>
    <col min="30" max="38" width="9.85546875" style="105" customWidth="1"/>
    <col min="39" max="39" width="12" style="105" bestFit="1" customWidth="1"/>
    <col min="40" max="41" width="12" style="105" customWidth="1"/>
    <col min="42" max="42" width="27.5703125" style="105" bestFit="1" customWidth="1"/>
    <col min="43" max="16384" width="8.7109375" style="105"/>
  </cols>
  <sheetData>
    <row r="1" spans="1:43" ht="45">
      <c r="A1" s="129" t="s">
        <v>7</v>
      </c>
      <c r="B1" s="129" t="s">
        <v>383</v>
      </c>
      <c r="C1" s="129" t="s">
        <v>384</v>
      </c>
      <c r="D1" s="129" t="s">
        <v>385</v>
      </c>
      <c r="E1" s="129" t="s">
        <v>386</v>
      </c>
      <c r="F1" s="129" t="s">
        <v>387</v>
      </c>
      <c r="G1" s="129" t="s">
        <v>388</v>
      </c>
      <c r="H1" s="129" t="s">
        <v>389</v>
      </c>
      <c r="I1" s="129" t="s">
        <v>390</v>
      </c>
      <c r="J1" s="129" t="s">
        <v>391</v>
      </c>
      <c r="K1" s="129" t="s">
        <v>392</v>
      </c>
      <c r="L1" s="129" t="s">
        <v>393</v>
      </c>
      <c r="M1" s="129" t="s">
        <v>394</v>
      </c>
      <c r="N1" s="129" t="s">
        <v>395</v>
      </c>
      <c r="O1" s="129" t="s">
        <v>396</v>
      </c>
      <c r="P1" s="129" t="s">
        <v>397</v>
      </c>
      <c r="Q1" s="129" t="s">
        <v>398</v>
      </c>
      <c r="R1" s="129" t="s">
        <v>399</v>
      </c>
      <c r="S1" s="129" t="s">
        <v>400</v>
      </c>
      <c r="T1" s="129" t="s">
        <v>401</v>
      </c>
      <c r="U1" s="129" t="s">
        <v>402</v>
      </c>
      <c r="V1" s="129" t="s">
        <v>403</v>
      </c>
      <c r="W1" s="129" t="s">
        <v>404</v>
      </c>
      <c r="X1" s="129" t="s">
        <v>405</v>
      </c>
      <c r="Y1" s="129" t="s">
        <v>406</v>
      </c>
      <c r="Z1" s="129" t="s">
        <v>407</v>
      </c>
      <c r="AA1" s="129" t="s">
        <v>408</v>
      </c>
      <c r="AB1" s="129" t="s">
        <v>409</v>
      </c>
      <c r="AC1" s="129" t="s">
        <v>410</v>
      </c>
      <c r="AD1" s="129" t="s">
        <v>411</v>
      </c>
      <c r="AE1" s="129" t="s">
        <v>412</v>
      </c>
      <c r="AF1" s="129" t="s">
        <v>413</v>
      </c>
      <c r="AG1" s="129" t="s">
        <v>414</v>
      </c>
      <c r="AH1" s="129" t="s">
        <v>415</v>
      </c>
      <c r="AI1" s="129" t="s">
        <v>416</v>
      </c>
      <c r="AJ1" s="129" t="s">
        <v>417</v>
      </c>
      <c r="AK1" s="129" t="s">
        <v>418</v>
      </c>
      <c r="AL1" s="129" t="s">
        <v>419</v>
      </c>
      <c r="AM1" s="129" t="s">
        <v>112</v>
      </c>
      <c r="AN1" s="129" t="s">
        <v>113</v>
      </c>
      <c r="AP1" s="105" t="s">
        <v>420</v>
      </c>
      <c r="AQ1" s="130">
        <v>78</v>
      </c>
    </row>
    <row r="2" spans="1:43">
      <c r="A2" s="131">
        <v>1</v>
      </c>
      <c r="B2" s="132" t="s">
        <v>421</v>
      </c>
      <c r="C2" s="133">
        <v>4</v>
      </c>
      <c r="D2" s="132">
        <v>44287</v>
      </c>
      <c r="E2" s="112">
        <f>YEAR(D2)</f>
        <v>2021</v>
      </c>
      <c r="F2" s="112" t="s">
        <v>422</v>
      </c>
      <c r="G2" s="131">
        <f>DAY(EOMONTH(D2,0))</f>
        <v>30</v>
      </c>
      <c r="H2" s="134"/>
      <c r="I2" s="134"/>
      <c r="J2" s="135">
        <v>5.6333333333333329</v>
      </c>
      <c r="K2" s="134"/>
      <c r="L2" s="131"/>
      <c r="M2" s="136">
        <v>11863.843200000001</v>
      </c>
      <c r="N2" s="136">
        <v>80</v>
      </c>
      <c r="O2" s="113"/>
      <c r="P2" s="135"/>
      <c r="Q2" s="131">
        <f>COUNTIFS('Daily KPI'!$D:$D,D2,'Daily KPI'!$M:$M,"&gt;0")</f>
        <v>0</v>
      </c>
      <c r="R2" s="136"/>
      <c r="S2" s="136"/>
      <c r="T2" s="135">
        <f t="shared" ref="T2:T39" si="0">M2/G2</f>
        <v>395.46144000000004</v>
      </c>
      <c r="U2" s="136">
        <f t="shared" ref="U2:U39" si="1">M2/G2*Q2</f>
        <v>0</v>
      </c>
      <c r="V2" s="136">
        <f>SUMIF($F$2:F2,F2,$U$2:U2)</f>
        <v>0</v>
      </c>
      <c r="W2" s="113">
        <f t="shared" ref="W2:W33" si="2">IFERROR(T2/(24*N2),"")</f>
        <v>0.20596950000000003</v>
      </c>
      <c r="X2" s="113" t="str">
        <f t="shared" ref="X2:X33" si="3">IFERROR(U2/(24*N2*Q2),"")</f>
        <v/>
      </c>
      <c r="Y2" s="113" t="str">
        <f t="shared" ref="Y2:Y33" si="4">IFERROR(V2/(24*N2*SUMIFS($Q:$Q,$F:$F,$F2,$D:$D,"&lt;="&amp;D2)),"")</f>
        <v/>
      </c>
      <c r="Z2" s="135" t="str">
        <f>IFERROR(AVERAGEIF('Daily KPI'!D:D,Table14[[#This Row],[Month]],'Daily KPI'!AB:AB),"")</f>
        <v/>
      </c>
      <c r="AA2" s="134" t="str">
        <f>IFERROR(AVERAGEIF($F$2:F2,F2,$Z$2:Z2),"")</f>
        <v/>
      </c>
      <c r="AB2" s="136"/>
      <c r="AC2" s="135">
        <v>6.4041034581308942</v>
      </c>
      <c r="AD2" s="135">
        <f>AVERAGEIF($F$2:F2,F2,$AC$2:AC2)</f>
        <v>6.4041034581308942</v>
      </c>
      <c r="AE2" s="113">
        <f t="shared" ref="AE2:AE33" si="5">IFERROR(AH2*AI2,"")</f>
        <v>0.96029999999999993</v>
      </c>
      <c r="AF2" s="113">
        <v>0.995</v>
      </c>
      <c r="AG2" s="113"/>
      <c r="AH2" s="113">
        <v>0.97</v>
      </c>
      <c r="AI2" s="113">
        <v>0.99</v>
      </c>
      <c r="AJ2" s="113">
        <v>0.95</v>
      </c>
      <c r="AK2" s="113">
        <v>0.05</v>
      </c>
      <c r="AL2" s="113">
        <v>0.05</v>
      </c>
      <c r="AM2" s="160"/>
      <c r="AN2" s="160"/>
      <c r="AP2" s="141" t="s">
        <v>423</v>
      </c>
      <c r="AQ2" s="105">
        <f>AQ1*5%</f>
        <v>3.9000000000000004</v>
      </c>
    </row>
    <row r="3" spans="1:43">
      <c r="A3" s="133">
        <f>A2+1</f>
        <v>2</v>
      </c>
      <c r="B3" s="132" t="s">
        <v>424</v>
      </c>
      <c r="C3" s="133">
        <v>5</v>
      </c>
      <c r="D3" s="132">
        <v>44317</v>
      </c>
      <c r="E3" s="110">
        <f>YEAR(D3)</f>
        <v>2021</v>
      </c>
      <c r="F3" s="112" t="s">
        <v>422</v>
      </c>
      <c r="G3" s="133">
        <f>DAY(EOMONTH(D3,0))</f>
        <v>31</v>
      </c>
      <c r="H3" s="137"/>
      <c r="I3" s="137"/>
      <c r="J3" s="138">
        <v>6.5666666666666664</v>
      </c>
      <c r="K3" s="137"/>
      <c r="L3" s="133"/>
      <c r="M3" s="139">
        <v>20092.21632</v>
      </c>
      <c r="N3" s="139">
        <v>80</v>
      </c>
      <c r="O3" s="111"/>
      <c r="P3" s="138"/>
      <c r="Q3" s="133">
        <f>COUNTIFS('Daily KPI'!$D:$D,D3,'Daily KPI'!$M:$M,"&gt;0")</f>
        <v>0</v>
      </c>
      <c r="R3" s="139"/>
      <c r="S3" s="139"/>
      <c r="T3" s="138">
        <f t="shared" si="0"/>
        <v>648.13601032258066</v>
      </c>
      <c r="U3" s="139">
        <f t="shared" si="1"/>
        <v>0</v>
      </c>
      <c r="V3" s="139">
        <f>SUMIF($F$2:F3,F3,$U$2:U3)</f>
        <v>0</v>
      </c>
      <c r="W3" s="111">
        <f t="shared" si="2"/>
        <v>0.33757083870967741</v>
      </c>
      <c r="X3" s="111" t="str">
        <f t="shared" si="3"/>
        <v/>
      </c>
      <c r="Y3" s="111" t="str">
        <f t="shared" si="4"/>
        <v/>
      </c>
      <c r="Z3" s="138" t="str">
        <f>IFERROR(AVERAGEIF('Daily KPI'!D:D,Table14[[#This Row],[Month]],'Daily KPI'!AB:AB),"")</f>
        <v/>
      </c>
      <c r="AA3" s="134" t="str">
        <f>IFERROR(AVERAGEIF($F$2:F3,F3,$Z$2:Z3),"")</f>
        <v/>
      </c>
      <c r="AB3" s="139"/>
      <c r="AC3" s="138">
        <v>5.9681800514432695</v>
      </c>
      <c r="AD3" s="138">
        <f>AVERAGEIF($F$2:F3,F3,$AC$2:AC3)</f>
        <v>6.1861417547870818</v>
      </c>
      <c r="AE3" s="111">
        <f t="shared" si="5"/>
        <v>0.96029999999999993</v>
      </c>
      <c r="AF3" s="111">
        <v>0.995</v>
      </c>
      <c r="AG3" s="111"/>
      <c r="AH3" s="111">
        <v>0.97</v>
      </c>
      <c r="AI3" s="111">
        <v>0.99</v>
      </c>
      <c r="AJ3" s="111">
        <v>0.95</v>
      </c>
      <c r="AK3" s="111">
        <v>0.05</v>
      </c>
      <c r="AL3" s="111">
        <v>0.05</v>
      </c>
      <c r="AM3" s="159"/>
      <c r="AN3" s="159"/>
      <c r="AP3" s="141" t="s">
        <v>425</v>
      </c>
      <c r="AQ3" s="105">
        <f>AQ2*24</f>
        <v>93.600000000000009</v>
      </c>
    </row>
    <row r="4" spans="1:43">
      <c r="A4" s="133">
        <f t="shared" ref="A4:A61" si="6">A3+1</f>
        <v>3</v>
      </c>
      <c r="B4" s="132" t="s">
        <v>426</v>
      </c>
      <c r="C4" s="133">
        <v>6</v>
      </c>
      <c r="D4" s="132">
        <v>44348</v>
      </c>
      <c r="E4" s="112">
        <f t="shared" ref="E4:E23" si="7">YEAR(D4)</f>
        <v>2021</v>
      </c>
      <c r="F4" s="112" t="s">
        <v>422</v>
      </c>
      <c r="G4" s="131">
        <f t="shared" ref="G4:G23" si="8">DAY(EOMONTH(D4,0))</f>
        <v>30</v>
      </c>
      <c r="H4" s="134"/>
      <c r="I4" s="134"/>
      <c r="J4" s="135">
        <v>6.5666666666666664</v>
      </c>
      <c r="K4" s="134"/>
      <c r="L4" s="131"/>
      <c r="M4" s="136">
        <v>17455.80672</v>
      </c>
      <c r="N4" s="136">
        <v>80</v>
      </c>
      <c r="O4" s="113"/>
      <c r="P4" s="135"/>
      <c r="Q4" s="131">
        <f>COUNTIFS('Daily KPI'!$D:$D,D4,'Daily KPI'!$M:$M,"&gt;0")</f>
        <v>0</v>
      </c>
      <c r="R4" s="136"/>
      <c r="S4" s="136"/>
      <c r="T4" s="135">
        <f t="shared" si="0"/>
        <v>581.86022400000002</v>
      </c>
      <c r="U4" s="136">
        <f t="shared" si="1"/>
        <v>0</v>
      </c>
      <c r="V4" s="136">
        <f>SUMIF($F$2:F4,F4,$U$2:U4)</f>
        <v>0</v>
      </c>
      <c r="W4" s="113">
        <f t="shared" si="2"/>
        <v>0.30305219999999999</v>
      </c>
      <c r="X4" s="113" t="str">
        <f t="shared" si="3"/>
        <v/>
      </c>
      <c r="Y4" s="113" t="str">
        <f t="shared" si="4"/>
        <v/>
      </c>
      <c r="Z4" s="135" t="str">
        <f>IFERROR(AVERAGEIF('Daily KPI'!D:D,Table14[[#This Row],[Month]],'Daily KPI'!AB:AB),"")</f>
        <v/>
      </c>
      <c r="AA4" s="134" t="str">
        <f>IFERROR(AVERAGEIF($F$2:F4,F4,$Z$2:Z4),"")</f>
        <v/>
      </c>
      <c r="AB4" s="136"/>
      <c r="AC4" s="135">
        <v>5.6310997427836513</v>
      </c>
      <c r="AD4" s="135">
        <f>AVERAGEIF($F$2:F4,F4,$AC$2:AC4)</f>
        <v>6.0011277507859377</v>
      </c>
      <c r="AE4" s="113">
        <f t="shared" si="5"/>
        <v>0.96029999999999993</v>
      </c>
      <c r="AF4" s="113">
        <v>0.995</v>
      </c>
      <c r="AG4" s="113"/>
      <c r="AH4" s="113">
        <v>0.97</v>
      </c>
      <c r="AI4" s="113">
        <v>0.99</v>
      </c>
      <c r="AJ4" s="113">
        <v>0.95</v>
      </c>
      <c r="AK4" s="113">
        <v>0.05</v>
      </c>
      <c r="AL4" s="113">
        <v>0.05</v>
      </c>
      <c r="AM4" s="159"/>
      <c r="AN4" s="159"/>
    </row>
    <row r="5" spans="1:43">
      <c r="A5" s="133">
        <f t="shared" si="6"/>
        <v>4</v>
      </c>
      <c r="B5" s="132" t="s">
        <v>427</v>
      </c>
      <c r="C5" s="133">
        <v>7</v>
      </c>
      <c r="D5" s="132">
        <v>44378</v>
      </c>
      <c r="E5" s="110">
        <f t="shared" si="7"/>
        <v>2021</v>
      </c>
      <c r="F5" s="112" t="s">
        <v>422</v>
      </c>
      <c r="G5" s="133">
        <f t="shared" si="8"/>
        <v>31</v>
      </c>
      <c r="H5" s="137"/>
      <c r="I5" s="137"/>
      <c r="J5" s="138">
        <v>7.6000000000000005</v>
      </c>
      <c r="K5" s="137"/>
      <c r="L5" s="133"/>
      <c r="M5" s="139">
        <v>21077.400960000003</v>
      </c>
      <c r="N5" s="139">
        <v>80</v>
      </c>
      <c r="O5" s="111"/>
      <c r="P5" s="138"/>
      <c r="Q5" s="133">
        <f>COUNTIFS('Daily KPI'!$D:$D,D5,'Daily KPI'!$M:$M,"&gt;0")</f>
        <v>0</v>
      </c>
      <c r="R5" s="139"/>
      <c r="S5" s="139"/>
      <c r="T5" s="138">
        <f t="shared" si="0"/>
        <v>679.9161600000001</v>
      </c>
      <c r="U5" s="139">
        <f t="shared" si="1"/>
        <v>0</v>
      </c>
      <c r="V5" s="139">
        <f>SUMIF($F$2:F5,F5,$U$2:U5)</f>
        <v>0</v>
      </c>
      <c r="W5" s="111">
        <f t="shared" si="2"/>
        <v>0.35412300000000008</v>
      </c>
      <c r="X5" s="111" t="str">
        <f t="shared" si="3"/>
        <v/>
      </c>
      <c r="Y5" s="111" t="str">
        <f t="shared" si="4"/>
        <v/>
      </c>
      <c r="Z5" s="138" t="str">
        <f>IFERROR(AVERAGEIF('Daily KPI'!D:D,Table14[[#This Row],[Month]],'Daily KPI'!AB:AB),"")</f>
        <v/>
      </c>
      <c r="AA5" s="134" t="str">
        <f>IFERROR(AVERAGEIF($F$2:F5,F5,$Z$2:Z5),"")</f>
        <v/>
      </c>
      <c r="AB5" s="139"/>
      <c r="AC5" s="138">
        <v>7.1310648756787653</v>
      </c>
      <c r="AD5" s="138">
        <f>AVERAGEIF($F$2:F5,F5,$AC$2:AC5)</f>
        <v>6.2836120320091453</v>
      </c>
      <c r="AE5" s="111">
        <f t="shared" si="5"/>
        <v>0.96029999999999993</v>
      </c>
      <c r="AF5" s="111">
        <v>0.995</v>
      </c>
      <c r="AG5" s="111"/>
      <c r="AH5" s="111">
        <v>0.97</v>
      </c>
      <c r="AI5" s="111">
        <v>0.99</v>
      </c>
      <c r="AJ5" s="111">
        <v>0.95</v>
      </c>
      <c r="AK5" s="111">
        <v>0.05</v>
      </c>
      <c r="AL5" s="111">
        <v>0.05</v>
      </c>
      <c r="AM5" s="159"/>
      <c r="AN5" s="159"/>
    </row>
    <row r="6" spans="1:43">
      <c r="A6" s="133">
        <f t="shared" si="6"/>
        <v>5</v>
      </c>
      <c r="B6" s="132" t="s">
        <v>428</v>
      </c>
      <c r="C6" s="133">
        <v>8</v>
      </c>
      <c r="D6" s="132">
        <v>44409</v>
      </c>
      <c r="E6" s="112">
        <f t="shared" si="7"/>
        <v>2021</v>
      </c>
      <c r="F6" s="112" t="s">
        <v>422</v>
      </c>
      <c r="G6" s="131">
        <f t="shared" si="8"/>
        <v>31</v>
      </c>
      <c r="H6" s="134"/>
      <c r="I6" s="134"/>
      <c r="J6" s="135">
        <v>6.8666666666666671</v>
      </c>
      <c r="K6" s="134"/>
      <c r="L6" s="131"/>
      <c r="M6" s="136">
        <v>22159.716479999999</v>
      </c>
      <c r="N6" s="136">
        <v>80</v>
      </c>
      <c r="O6" s="113"/>
      <c r="P6" s="135"/>
      <c r="Q6" s="131">
        <f>COUNTIFS('Daily KPI'!$D:$D,D6,'Daily KPI'!$M:$M,"&gt;0")</f>
        <v>0</v>
      </c>
      <c r="R6" s="136"/>
      <c r="S6" s="136"/>
      <c r="T6" s="135">
        <f t="shared" si="0"/>
        <v>714.82956387096772</v>
      </c>
      <c r="U6" s="136">
        <f t="shared" si="1"/>
        <v>0</v>
      </c>
      <c r="V6" s="136">
        <f>SUMIF($F$2:F6,F6,$U$2:U6)</f>
        <v>0</v>
      </c>
      <c r="W6" s="113">
        <f t="shared" si="2"/>
        <v>0.37230706451612899</v>
      </c>
      <c r="X6" s="113" t="str">
        <f t="shared" si="3"/>
        <v/>
      </c>
      <c r="Y6" s="113" t="str">
        <f t="shared" si="4"/>
        <v/>
      </c>
      <c r="Z6" s="135" t="str">
        <f>IFERROR(AVERAGEIF('Daily KPI'!D:D,Table14[[#This Row],[Month]],'Daily KPI'!AB:AB),"")</f>
        <v/>
      </c>
      <c r="AA6" s="134" t="str">
        <f>IFERROR(AVERAGEIF($F$2:F6,F6,$Z$2:Z6),"")</f>
        <v/>
      </c>
      <c r="AB6" s="136"/>
      <c r="AC6" s="135">
        <v>9.4530328665332952</v>
      </c>
      <c r="AD6" s="135">
        <f>AVERAGEIF($F$2:F6,F6,$AC$2:AC6)</f>
        <v>6.9174961989139749</v>
      </c>
      <c r="AE6" s="113">
        <f t="shared" si="5"/>
        <v>0.96029999999999993</v>
      </c>
      <c r="AF6" s="113">
        <v>0.995</v>
      </c>
      <c r="AG6" s="113"/>
      <c r="AH6" s="113">
        <v>0.97</v>
      </c>
      <c r="AI6" s="113">
        <v>0.99</v>
      </c>
      <c r="AJ6" s="113">
        <v>0.95</v>
      </c>
      <c r="AK6" s="113">
        <v>0.05</v>
      </c>
      <c r="AL6" s="113">
        <v>0.05</v>
      </c>
      <c r="AM6" s="159"/>
      <c r="AN6" s="159"/>
      <c r="AQ6" s="140"/>
    </row>
    <row r="7" spans="1:43">
      <c r="A7" s="133">
        <f t="shared" si="6"/>
        <v>6</v>
      </c>
      <c r="B7" s="132" t="s">
        <v>429</v>
      </c>
      <c r="C7" s="133">
        <v>9</v>
      </c>
      <c r="D7" s="132">
        <v>44440</v>
      </c>
      <c r="E7" s="110">
        <f t="shared" si="7"/>
        <v>2021</v>
      </c>
      <c r="F7" s="112" t="s">
        <v>422</v>
      </c>
      <c r="G7" s="133">
        <f t="shared" si="8"/>
        <v>30</v>
      </c>
      <c r="H7" s="137"/>
      <c r="I7" s="137"/>
      <c r="J7" s="138">
        <v>5.0333333333333332</v>
      </c>
      <c r="K7" s="137"/>
      <c r="L7" s="133"/>
      <c r="M7" s="139">
        <v>9726.9638400000003</v>
      </c>
      <c r="N7" s="139">
        <v>80</v>
      </c>
      <c r="O7" s="111"/>
      <c r="P7" s="138"/>
      <c r="Q7" s="133">
        <f>COUNTIFS('Daily KPI'!$D:$D,D7,'Daily KPI'!$M:$M,"&gt;0")</f>
        <v>0</v>
      </c>
      <c r="R7" s="139"/>
      <c r="S7" s="139"/>
      <c r="T7" s="138">
        <f t="shared" si="0"/>
        <v>324.23212799999999</v>
      </c>
      <c r="U7" s="139">
        <f t="shared" si="1"/>
        <v>0</v>
      </c>
      <c r="V7" s="139">
        <f>SUMIF($F$2:F7,F7,$U$2:U7)</f>
        <v>0</v>
      </c>
      <c r="W7" s="111">
        <f t="shared" si="2"/>
        <v>0.16887089999999999</v>
      </c>
      <c r="X7" s="111" t="str">
        <f t="shared" si="3"/>
        <v/>
      </c>
      <c r="Y7" s="111" t="str">
        <f t="shared" si="4"/>
        <v/>
      </c>
      <c r="Z7" s="138" t="str">
        <f>IFERROR(AVERAGEIF('Daily KPI'!D:D,Table14[[#This Row],[Month]],'Daily KPI'!AB:AB),"")</f>
        <v/>
      </c>
      <c r="AA7" s="134" t="str">
        <f>IFERROR(AVERAGEIF($F$2:F7,F7,$Z$2:Z7),"")</f>
        <v/>
      </c>
      <c r="AB7" s="139"/>
      <c r="AC7" s="138">
        <v>10.303759359817088</v>
      </c>
      <c r="AD7" s="138">
        <f>AVERAGEIF($F$2:F7,F7,$AC$2:AC7)</f>
        <v>7.4818733923978264</v>
      </c>
      <c r="AE7" s="111">
        <f t="shared" si="5"/>
        <v>0.96029999999999993</v>
      </c>
      <c r="AF7" s="111">
        <v>0.995</v>
      </c>
      <c r="AG7" s="111"/>
      <c r="AH7" s="111">
        <v>0.97</v>
      </c>
      <c r="AI7" s="111">
        <v>0.99</v>
      </c>
      <c r="AJ7" s="111">
        <v>0.95</v>
      </c>
      <c r="AK7" s="111">
        <v>0.05</v>
      </c>
      <c r="AL7" s="111">
        <v>0.05</v>
      </c>
      <c r="AM7" s="159"/>
      <c r="AN7" s="159"/>
    </row>
    <row r="8" spans="1:43">
      <c r="A8" s="133">
        <f t="shared" si="6"/>
        <v>7</v>
      </c>
      <c r="B8" s="132" t="s">
        <v>430</v>
      </c>
      <c r="C8" s="133">
        <v>10</v>
      </c>
      <c r="D8" s="132">
        <v>44470</v>
      </c>
      <c r="E8" s="112">
        <f t="shared" si="7"/>
        <v>2021</v>
      </c>
      <c r="F8" s="112" t="s">
        <v>422</v>
      </c>
      <c r="G8" s="131">
        <f t="shared" si="8"/>
        <v>31</v>
      </c>
      <c r="H8" s="134"/>
      <c r="I8" s="134"/>
      <c r="J8" s="135">
        <v>3.9666666666666668</v>
      </c>
      <c r="K8" s="134"/>
      <c r="L8" s="131"/>
      <c r="M8" s="136">
        <v>5924.9836800000003</v>
      </c>
      <c r="N8" s="136">
        <v>80</v>
      </c>
      <c r="O8" s="113"/>
      <c r="P8" s="135"/>
      <c r="Q8" s="131">
        <f>COUNTIFS('Daily KPI'!$D:$D,D8,'Daily KPI'!$M:$M,"&gt;0")</f>
        <v>0</v>
      </c>
      <c r="R8" s="136"/>
      <c r="S8" s="136"/>
      <c r="T8" s="135">
        <f t="shared" si="0"/>
        <v>191.12850580645161</v>
      </c>
      <c r="U8" s="136">
        <f t="shared" si="1"/>
        <v>0</v>
      </c>
      <c r="V8" s="136">
        <f>SUMIF($F$2:F8,F8,$U$2:U8)</f>
        <v>0</v>
      </c>
      <c r="W8" s="113">
        <f t="shared" si="2"/>
        <v>9.9546096774193543E-2</v>
      </c>
      <c r="X8" s="113" t="str">
        <f t="shared" si="3"/>
        <v/>
      </c>
      <c r="Y8" s="113" t="str">
        <f t="shared" si="4"/>
        <v/>
      </c>
      <c r="Z8" s="135" t="str">
        <f>IFERROR(AVERAGEIF('Daily KPI'!D:D,Table14[[#This Row],[Month]],'Daily KPI'!AB:AB),"")</f>
        <v/>
      </c>
      <c r="AA8" s="134" t="str">
        <f>IFERROR(AVERAGEIF($F$2:F8,F8,$Z$2:Z8),"")</f>
        <v/>
      </c>
      <c r="AB8" s="136"/>
      <c r="AC8" s="135">
        <v>8.5195147184909956</v>
      </c>
      <c r="AD8" s="135">
        <f>AVERAGEIF($F$2:F8,F8,$AC$2:AC8)</f>
        <v>7.6301078675539937</v>
      </c>
      <c r="AE8" s="113">
        <f t="shared" si="5"/>
        <v>0.96029999999999993</v>
      </c>
      <c r="AF8" s="113">
        <v>0.995</v>
      </c>
      <c r="AG8" s="113"/>
      <c r="AH8" s="113">
        <v>0.97</v>
      </c>
      <c r="AI8" s="113">
        <v>0.99</v>
      </c>
      <c r="AJ8" s="113">
        <v>0.95</v>
      </c>
      <c r="AK8" s="113">
        <v>0.05</v>
      </c>
      <c r="AL8" s="113">
        <v>0.05</v>
      </c>
      <c r="AM8" s="159"/>
      <c r="AN8" s="159"/>
    </row>
    <row r="9" spans="1:43">
      <c r="A9" s="133">
        <f t="shared" si="6"/>
        <v>8</v>
      </c>
      <c r="B9" s="132" t="s">
        <v>431</v>
      </c>
      <c r="C9" s="133">
        <v>11</v>
      </c>
      <c r="D9" s="132">
        <v>44501</v>
      </c>
      <c r="E9" s="110">
        <f t="shared" si="7"/>
        <v>2021</v>
      </c>
      <c r="F9" s="112" t="s">
        <v>422</v>
      </c>
      <c r="G9" s="133">
        <f t="shared" si="8"/>
        <v>30</v>
      </c>
      <c r="H9" s="137"/>
      <c r="I9" s="137"/>
      <c r="J9" s="138">
        <v>4.0333333333333332</v>
      </c>
      <c r="K9" s="137"/>
      <c r="L9" s="133"/>
      <c r="M9" s="139">
        <v>5661.3427200000006</v>
      </c>
      <c r="N9" s="139">
        <v>80</v>
      </c>
      <c r="O9" s="111"/>
      <c r="P9" s="138"/>
      <c r="Q9" s="133">
        <f>COUNTIFS('Daily KPI'!$D:$D,D9,'Daily KPI'!$M:$M,"&gt;0")</f>
        <v>0</v>
      </c>
      <c r="R9" s="139"/>
      <c r="S9" s="139"/>
      <c r="T9" s="138">
        <f t="shared" si="0"/>
        <v>188.71142400000002</v>
      </c>
      <c r="U9" s="139">
        <f t="shared" si="1"/>
        <v>0</v>
      </c>
      <c r="V9" s="139">
        <f>SUMIF($F$2:F9,F9,$U$2:U9)</f>
        <v>0</v>
      </c>
      <c r="W9" s="111">
        <f t="shared" si="2"/>
        <v>9.8287200000000005E-2</v>
      </c>
      <c r="X9" s="111" t="str">
        <f t="shared" si="3"/>
        <v/>
      </c>
      <c r="Y9" s="111" t="str">
        <f t="shared" si="4"/>
        <v/>
      </c>
      <c r="Z9" s="138" t="str">
        <f>IFERROR(AVERAGEIF('Daily KPI'!D:D,Table14[[#This Row],[Month]],'Daily KPI'!AB:AB),"")</f>
        <v/>
      </c>
      <c r="AA9" s="134" t="str">
        <f>IFERROR(AVERAGEIF($F$2:F9,F9,$Z$2:Z9),"")</f>
        <v/>
      </c>
      <c r="AB9" s="139"/>
      <c r="AC9" s="138">
        <v>7.2366664761360369</v>
      </c>
      <c r="AD9" s="138">
        <f>AVERAGEIF($F$2:F9,F9,$AC$2:AC9)</f>
        <v>7.5809276936267489</v>
      </c>
      <c r="AE9" s="111">
        <f t="shared" si="5"/>
        <v>0.96029999999999993</v>
      </c>
      <c r="AF9" s="111">
        <v>0.995</v>
      </c>
      <c r="AG9" s="111"/>
      <c r="AH9" s="111">
        <v>0.97</v>
      </c>
      <c r="AI9" s="111">
        <v>0.99</v>
      </c>
      <c r="AJ9" s="111">
        <v>0.95</v>
      </c>
      <c r="AK9" s="111">
        <v>0.05</v>
      </c>
      <c r="AL9" s="111">
        <v>0.05</v>
      </c>
      <c r="AM9" s="159"/>
      <c r="AN9" s="159"/>
    </row>
    <row r="10" spans="1:43">
      <c r="A10" s="133">
        <f t="shared" si="6"/>
        <v>9</v>
      </c>
      <c r="B10" s="132" t="s">
        <v>432</v>
      </c>
      <c r="C10" s="133">
        <v>12</v>
      </c>
      <c r="D10" s="132">
        <v>44531</v>
      </c>
      <c r="E10" s="112">
        <f t="shared" si="7"/>
        <v>2021</v>
      </c>
      <c r="F10" s="112" t="s">
        <v>422</v>
      </c>
      <c r="G10" s="131">
        <f t="shared" si="8"/>
        <v>31</v>
      </c>
      <c r="H10" s="134"/>
      <c r="I10" s="134"/>
      <c r="J10" s="135">
        <v>4.4333333333333336</v>
      </c>
      <c r="K10" s="134"/>
      <c r="L10" s="131"/>
      <c r="M10" s="136">
        <v>6618.7756799999997</v>
      </c>
      <c r="N10" s="136">
        <v>80</v>
      </c>
      <c r="O10" s="113"/>
      <c r="P10" s="135"/>
      <c r="Q10" s="131">
        <f>COUNTIFS('Daily KPI'!$D:$D,D10,'Daily KPI'!$M:$M,"&gt;0")</f>
        <v>0</v>
      </c>
      <c r="R10" s="136"/>
      <c r="S10" s="136"/>
      <c r="T10" s="135">
        <f t="shared" si="0"/>
        <v>213.50889290322579</v>
      </c>
      <c r="U10" s="136">
        <f t="shared" si="1"/>
        <v>0</v>
      </c>
      <c r="V10" s="136">
        <f>SUMIF($F$2:F10,F10,$U$2:U10)</f>
        <v>0</v>
      </c>
      <c r="W10" s="113">
        <f t="shared" si="2"/>
        <v>0.11120254838709677</v>
      </c>
      <c r="X10" s="113" t="str">
        <f t="shared" si="3"/>
        <v/>
      </c>
      <c r="Y10" s="113" t="str">
        <f t="shared" si="4"/>
        <v/>
      </c>
      <c r="Z10" s="135" t="str">
        <f>IFERROR(AVERAGEIF('Daily KPI'!D:D,Table14[[#This Row],[Month]],'Daily KPI'!AB:AB),"")</f>
        <v/>
      </c>
      <c r="AA10" s="134" t="str">
        <f>IFERROR(AVERAGEIF($F$2:F10,F10,$Z$2:Z10),"")</f>
        <v/>
      </c>
      <c r="AB10" s="136"/>
      <c r="AC10" s="135">
        <v>6.0015501571877659</v>
      </c>
      <c r="AD10" s="135">
        <f>AVERAGEIF($F$2:F10,F10,$AC$2:AC10)</f>
        <v>7.4054413006890849</v>
      </c>
      <c r="AE10" s="113">
        <f t="shared" si="5"/>
        <v>0.96029999999999993</v>
      </c>
      <c r="AF10" s="113">
        <v>0.995</v>
      </c>
      <c r="AG10" s="113"/>
      <c r="AH10" s="113">
        <v>0.97</v>
      </c>
      <c r="AI10" s="113">
        <v>0.99</v>
      </c>
      <c r="AJ10" s="113">
        <v>0.95</v>
      </c>
      <c r="AK10" s="113">
        <v>0.05</v>
      </c>
      <c r="AL10" s="113">
        <v>0.05</v>
      </c>
      <c r="AM10" s="159"/>
      <c r="AN10" s="159"/>
    </row>
    <row r="11" spans="1:43">
      <c r="A11" s="133">
        <f t="shared" si="6"/>
        <v>10</v>
      </c>
      <c r="B11" s="132" t="s">
        <v>433</v>
      </c>
      <c r="C11" s="133">
        <v>1</v>
      </c>
      <c r="D11" s="132">
        <v>44562</v>
      </c>
      <c r="E11" s="110">
        <f t="shared" si="7"/>
        <v>2022</v>
      </c>
      <c r="F11" s="112" t="s">
        <v>422</v>
      </c>
      <c r="G11" s="133">
        <f t="shared" si="8"/>
        <v>31</v>
      </c>
      <c r="H11" s="137"/>
      <c r="I11" s="137"/>
      <c r="J11" s="138">
        <v>3.8</v>
      </c>
      <c r="K11" s="137"/>
      <c r="L11" s="133"/>
      <c r="M11" s="139">
        <v>4606.7788799999998</v>
      </c>
      <c r="N11" s="139">
        <v>80</v>
      </c>
      <c r="O11" s="111"/>
      <c r="P11" s="138"/>
      <c r="Q11" s="133">
        <f>COUNTIFS('Daily KPI'!$D:$D,D11,'Daily KPI'!$M:$M,"&gt;0")</f>
        <v>0</v>
      </c>
      <c r="R11" s="139"/>
      <c r="S11" s="139"/>
      <c r="T11" s="138">
        <f t="shared" si="0"/>
        <v>148.60577032258064</v>
      </c>
      <c r="U11" s="139">
        <f t="shared" si="1"/>
        <v>0</v>
      </c>
      <c r="V11" s="139">
        <f>SUMIF($F$2:F11,F11,$U$2:U11)</f>
        <v>0</v>
      </c>
      <c r="W11" s="111">
        <f t="shared" si="2"/>
        <v>7.7398838709677412E-2</v>
      </c>
      <c r="X11" s="111" t="str">
        <f t="shared" si="3"/>
        <v/>
      </c>
      <c r="Y11" s="111" t="str">
        <f t="shared" si="4"/>
        <v/>
      </c>
      <c r="Z11" s="138" t="str">
        <f>IFERROR(AVERAGEIF('Daily KPI'!D:D,Table14[[#This Row],[Month]],'Daily KPI'!AB:AB),"")</f>
        <v/>
      </c>
      <c r="AA11" s="134" t="str">
        <f>IFERROR(AVERAGEIF($F$2:F11,F11,$Z$2:Z11),"")</f>
        <v/>
      </c>
      <c r="AB11" s="139"/>
      <c r="AC11" s="138">
        <v>6.7073912546441834</v>
      </c>
      <c r="AD11" s="138">
        <f>AVERAGEIF($F$2:F11,F11,$AC$2:AC11)</f>
        <v>7.3356362960845942</v>
      </c>
      <c r="AE11" s="111">
        <f t="shared" si="5"/>
        <v>0.96029999999999993</v>
      </c>
      <c r="AF11" s="111">
        <v>0.995</v>
      </c>
      <c r="AG11" s="111"/>
      <c r="AH11" s="111">
        <v>0.97</v>
      </c>
      <c r="AI11" s="111">
        <v>0.99</v>
      </c>
      <c r="AJ11" s="111">
        <v>0.95</v>
      </c>
      <c r="AK11" s="111">
        <v>0.05</v>
      </c>
      <c r="AL11" s="111">
        <v>0.05</v>
      </c>
      <c r="AM11" s="159"/>
      <c r="AN11" s="159"/>
    </row>
    <row r="12" spans="1:43">
      <c r="A12" s="133">
        <f t="shared" si="6"/>
        <v>11</v>
      </c>
      <c r="B12" s="132" t="s">
        <v>434</v>
      </c>
      <c r="C12" s="133">
        <v>2</v>
      </c>
      <c r="D12" s="132">
        <v>44593</v>
      </c>
      <c r="E12" s="112">
        <f t="shared" si="7"/>
        <v>2022</v>
      </c>
      <c r="F12" s="112" t="s">
        <v>422</v>
      </c>
      <c r="G12" s="131">
        <f t="shared" si="8"/>
        <v>28</v>
      </c>
      <c r="H12" s="134"/>
      <c r="I12" s="134"/>
      <c r="J12" s="135">
        <v>4.3</v>
      </c>
      <c r="K12" s="134"/>
      <c r="L12" s="131"/>
      <c r="M12" s="136">
        <v>5619.7152000000006</v>
      </c>
      <c r="N12" s="136">
        <v>80</v>
      </c>
      <c r="O12" s="113"/>
      <c r="P12" s="135"/>
      <c r="Q12" s="131">
        <f>COUNTIFS('Daily KPI'!$D:$D,D12,'Daily KPI'!$M:$M,"&gt;0")</f>
        <v>0</v>
      </c>
      <c r="R12" s="136"/>
      <c r="S12" s="136"/>
      <c r="T12" s="135">
        <f t="shared" si="0"/>
        <v>200.7041142857143</v>
      </c>
      <c r="U12" s="136">
        <f t="shared" si="1"/>
        <v>0</v>
      </c>
      <c r="V12" s="136">
        <f>SUMIF($F$2:F12,F12,$U$2:U12)</f>
        <v>0</v>
      </c>
      <c r="W12" s="113">
        <f t="shared" si="2"/>
        <v>0.10453339285714286</v>
      </c>
      <c r="X12" s="113" t="str">
        <f t="shared" si="3"/>
        <v/>
      </c>
      <c r="Y12" s="113" t="str">
        <f t="shared" si="4"/>
        <v/>
      </c>
      <c r="Z12" s="135" t="str">
        <f>IFERROR(AVERAGEIF('Daily KPI'!D:D,Table14[[#This Row],[Month]],'Daily KPI'!AB:AB),"")</f>
        <v/>
      </c>
      <c r="AA12" s="134" t="str">
        <f>IFERROR(AVERAGEIF($F$2:F12,F12,$Z$2:Z12),"")</f>
        <v/>
      </c>
      <c r="AB12" s="136"/>
      <c r="AC12" s="135">
        <v>7.0533420977422105</v>
      </c>
      <c r="AD12" s="135">
        <f>AVERAGEIF($F$2:F12,F12,$AC$2:AC12)</f>
        <v>7.3099731871443785</v>
      </c>
      <c r="AE12" s="113">
        <f t="shared" si="5"/>
        <v>0.96029999999999993</v>
      </c>
      <c r="AF12" s="113">
        <v>0.995</v>
      </c>
      <c r="AG12" s="113"/>
      <c r="AH12" s="113">
        <v>0.97</v>
      </c>
      <c r="AI12" s="113">
        <v>0.99</v>
      </c>
      <c r="AJ12" s="113">
        <v>0.95</v>
      </c>
      <c r="AK12" s="113">
        <v>0.05</v>
      </c>
      <c r="AL12" s="113">
        <v>0.05</v>
      </c>
      <c r="AM12" s="159"/>
      <c r="AN12" s="159"/>
    </row>
    <row r="13" spans="1:43">
      <c r="A13" s="133">
        <f t="shared" si="6"/>
        <v>12</v>
      </c>
      <c r="B13" s="132" t="s">
        <v>435</v>
      </c>
      <c r="C13" s="133">
        <v>3</v>
      </c>
      <c r="D13" s="132">
        <v>44621</v>
      </c>
      <c r="E13" s="110">
        <f t="shared" si="7"/>
        <v>2022</v>
      </c>
      <c r="F13" s="112" t="s">
        <v>422</v>
      </c>
      <c r="G13" s="133">
        <f t="shared" si="8"/>
        <v>31</v>
      </c>
      <c r="H13" s="137"/>
      <c r="I13" s="137"/>
      <c r="J13" s="138">
        <v>4.5999999999999996</v>
      </c>
      <c r="K13" s="137"/>
      <c r="L13" s="133"/>
      <c r="M13" s="139">
        <v>7950.856319999999</v>
      </c>
      <c r="N13" s="139">
        <v>80</v>
      </c>
      <c r="O13" s="111"/>
      <c r="P13" s="138"/>
      <c r="Q13" s="133">
        <f>COUNTIFS('Daily KPI'!$D:$D,D13,'Daily KPI'!$M:$M,"&gt;0")</f>
        <v>0</v>
      </c>
      <c r="R13" s="139"/>
      <c r="S13" s="139"/>
      <c r="T13" s="138">
        <f t="shared" si="0"/>
        <v>256.47923612903224</v>
      </c>
      <c r="U13" s="139">
        <f t="shared" si="1"/>
        <v>0</v>
      </c>
      <c r="V13" s="139">
        <f>SUMIF($F$2:F13,F13,$U$2:U13)</f>
        <v>0</v>
      </c>
      <c r="W13" s="111">
        <f t="shared" si="2"/>
        <v>0.13358293548387096</v>
      </c>
      <c r="X13" s="111" t="str">
        <f t="shared" si="3"/>
        <v/>
      </c>
      <c r="Y13" s="111" t="str">
        <f t="shared" si="4"/>
        <v/>
      </c>
      <c r="Z13" s="138" t="str">
        <f>IFERROR(AVERAGEIF('Daily KPI'!D:D,Table14[[#This Row],[Month]],'Daily KPI'!AB:AB),"")</f>
        <v/>
      </c>
      <c r="AA13" s="134" t="str">
        <f>IFERROR(AVERAGEIF($F$2:F13,F13,$Z$2:Z13),"")</f>
        <v/>
      </c>
      <c r="AB13" s="139"/>
      <c r="AC13" s="138">
        <v>7.411120320091455</v>
      </c>
      <c r="AD13" s="138">
        <f>AVERAGEIF($F$2:F13,F13,$AC$2:AC13)</f>
        <v>7.3184021148899676</v>
      </c>
      <c r="AE13" s="111">
        <f t="shared" si="5"/>
        <v>0.96029999999999993</v>
      </c>
      <c r="AF13" s="111">
        <v>0.995</v>
      </c>
      <c r="AG13" s="111"/>
      <c r="AH13" s="111">
        <v>0.97</v>
      </c>
      <c r="AI13" s="111">
        <v>0.99</v>
      </c>
      <c r="AJ13" s="111">
        <v>0.95</v>
      </c>
      <c r="AK13" s="111">
        <v>0.05</v>
      </c>
      <c r="AL13" s="111">
        <v>0.05</v>
      </c>
      <c r="AM13" s="159"/>
      <c r="AN13" s="159"/>
    </row>
    <row r="14" spans="1:43">
      <c r="A14" s="133">
        <f t="shared" si="6"/>
        <v>13</v>
      </c>
      <c r="B14" s="132" t="str">
        <f>B2</f>
        <v>April</v>
      </c>
      <c r="C14" s="133">
        <f>C2</f>
        <v>4</v>
      </c>
      <c r="D14" s="132">
        <v>44652</v>
      </c>
      <c r="E14" s="112">
        <f t="shared" si="7"/>
        <v>2022</v>
      </c>
      <c r="F14" s="112" t="s">
        <v>436</v>
      </c>
      <c r="G14" s="131">
        <f t="shared" si="8"/>
        <v>30</v>
      </c>
      <c r="H14" s="134"/>
      <c r="I14" s="134"/>
      <c r="J14" s="135">
        <f>J2</f>
        <v>5.6333333333333329</v>
      </c>
      <c r="K14" s="134"/>
      <c r="L14" s="131"/>
      <c r="M14" s="136">
        <v>11863.843200000001</v>
      </c>
      <c r="N14" s="136">
        <v>80</v>
      </c>
      <c r="O14" s="113"/>
      <c r="P14" s="135"/>
      <c r="Q14" s="131">
        <f>COUNTIFS('Daily KPI'!$D:$D,D14,'Daily KPI'!$M:$M,"&gt;0")</f>
        <v>0</v>
      </c>
      <c r="R14" s="136"/>
      <c r="S14" s="136"/>
      <c r="T14" s="135">
        <f t="shared" si="0"/>
        <v>395.46144000000004</v>
      </c>
      <c r="U14" s="136">
        <f t="shared" si="1"/>
        <v>0</v>
      </c>
      <c r="V14" s="136">
        <f>SUMIF($F$2:F14,F14,$U$2:U14)</f>
        <v>0</v>
      </c>
      <c r="W14" s="113">
        <f t="shared" si="2"/>
        <v>0.20596950000000003</v>
      </c>
      <c r="X14" s="113" t="str">
        <f t="shared" si="3"/>
        <v/>
      </c>
      <c r="Y14" s="113" t="str">
        <f t="shared" si="4"/>
        <v/>
      </c>
      <c r="Z14" s="135" t="str">
        <f>IFERROR(AVERAGEIF('Daily KPI'!D:D,Table14[[#This Row],[Month]],'Daily KPI'!AB:AB),"")</f>
        <v/>
      </c>
      <c r="AA14" s="134" t="str">
        <f>IFERROR(AVERAGEIF($F$2:F14,F14,$Z$2:Z14),"")</f>
        <v/>
      </c>
      <c r="AB14" s="136"/>
      <c r="AC14" s="135">
        <v>6.4041034581308942</v>
      </c>
      <c r="AD14" s="135">
        <f>AVERAGEIF($F$2:F14,F14,$AC$2:AC14)</f>
        <v>6.4041034581308942</v>
      </c>
      <c r="AE14" s="113">
        <f t="shared" si="5"/>
        <v>0.96029999999999993</v>
      </c>
      <c r="AF14" s="113">
        <v>0.995</v>
      </c>
      <c r="AG14" s="113"/>
      <c r="AH14" s="113">
        <v>0.97</v>
      </c>
      <c r="AI14" s="113">
        <v>0.99</v>
      </c>
      <c r="AJ14" s="113">
        <v>0.95</v>
      </c>
      <c r="AK14" s="113">
        <v>0.05</v>
      </c>
      <c r="AL14" s="113">
        <v>0.05</v>
      </c>
      <c r="AM14" s="159"/>
      <c r="AN14" s="159"/>
    </row>
    <row r="15" spans="1:43">
      <c r="A15" s="133">
        <f t="shared" si="6"/>
        <v>14</v>
      </c>
      <c r="B15" s="132" t="str">
        <f t="shared" ref="B15:C39" si="9">B3</f>
        <v>May</v>
      </c>
      <c r="C15" s="133">
        <f t="shared" si="9"/>
        <v>5</v>
      </c>
      <c r="D15" s="132">
        <v>44682</v>
      </c>
      <c r="E15" s="110">
        <f t="shared" si="7"/>
        <v>2022</v>
      </c>
      <c r="F15" s="112" t="s">
        <v>436</v>
      </c>
      <c r="G15" s="133">
        <f t="shared" si="8"/>
        <v>31</v>
      </c>
      <c r="H15" s="137"/>
      <c r="I15" s="137"/>
      <c r="J15" s="135">
        <f t="shared" ref="J15:J61" si="10">J3</f>
        <v>6.5666666666666664</v>
      </c>
      <c r="K15" s="137"/>
      <c r="L15" s="133"/>
      <c r="M15" s="139">
        <v>20092.21632</v>
      </c>
      <c r="N15" s="139">
        <v>80</v>
      </c>
      <c r="O15" s="111"/>
      <c r="P15" s="138"/>
      <c r="Q15" s="133">
        <f>COUNTIFS('Daily KPI'!$D:$D,D15,'Daily KPI'!$M:$M,"&gt;0")</f>
        <v>0</v>
      </c>
      <c r="R15" s="139"/>
      <c r="S15" s="139"/>
      <c r="T15" s="138">
        <f t="shared" si="0"/>
        <v>648.13601032258066</v>
      </c>
      <c r="U15" s="139">
        <f t="shared" si="1"/>
        <v>0</v>
      </c>
      <c r="V15" s="139">
        <f>SUMIF($F$2:F15,F15,$U$2:U15)</f>
        <v>0</v>
      </c>
      <c r="W15" s="111">
        <f t="shared" si="2"/>
        <v>0.33757083870967741</v>
      </c>
      <c r="X15" s="111" t="str">
        <f t="shared" si="3"/>
        <v/>
      </c>
      <c r="Y15" s="111" t="str">
        <f t="shared" si="4"/>
        <v/>
      </c>
      <c r="Z15" s="138" t="str">
        <f>IFERROR(AVERAGEIF('Daily KPI'!D:D,Table14[[#This Row],[Month]],'Daily KPI'!AB:AB),"")</f>
        <v/>
      </c>
      <c r="AA15" s="134" t="str">
        <f>IFERROR(AVERAGEIF($F$2:F15,F15,$Z$2:Z15),"")</f>
        <v/>
      </c>
      <c r="AB15" s="139"/>
      <c r="AC15" s="138">
        <v>5.9681800514432695</v>
      </c>
      <c r="AD15" s="138">
        <f>AVERAGEIF($F$2:F15,F15,$AC$2:AC15)</f>
        <v>6.1861417547870818</v>
      </c>
      <c r="AE15" s="111">
        <f t="shared" si="5"/>
        <v>0.96029999999999993</v>
      </c>
      <c r="AF15" s="111">
        <v>0.995</v>
      </c>
      <c r="AG15" s="111"/>
      <c r="AH15" s="111">
        <v>0.97</v>
      </c>
      <c r="AI15" s="111">
        <v>0.99</v>
      </c>
      <c r="AJ15" s="111">
        <v>0.95</v>
      </c>
      <c r="AK15" s="111">
        <v>0.05</v>
      </c>
      <c r="AL15" s="111">
        <v>0.05</v>
      </c>
      <c r="AM15" s="159"/>
      <c r="AN15" s="159"/>
    </row>
    <row r="16" spans="1:43">
      <c r="A16" s="133">
        <f t="shared" si="6"/>
        <v>15</v>
      </c>
      <c r="B16" s="132" t="str">
        <f t="shared" si="9"/>
        <v>June</v>
      </c>
      <c r="C16" s="133">
        <f t="shared" si="9"/>
        <v>6</v>
      </c>
      <c r="D16" s="132">
        <v>44713</v>
      </c>
      <c r="E16" s="112">
        <f t="shared" si="7"/>
        <v>2022</v>
      </c>
      <c r="F16" s="112" t="s">
        <v>436</v>
      </c>
      <c r="G16" s="131">
        <f t="shared" si="8"/>
        <v>30</v>
      </c>
      <c r="H16" s="134"/>
      <c r="I16" s="134"/>
      <c r="J16" s="135">
        <f t="shared" si="10"/>
        <v>6.5666666666666664</v>
      </c>
      <c r="K16" s="134"/>
      <c r="L16" s="131"/>
      <c r="M16" s="136">
        <v>17455.80672</v>
      </c>
      <c r="N16" s="136">
        <v>80</v>
      </c>
      <c r="O16" s="113"/>
      <c r="P16" s="135"/>
      <c r="Q16" s="131">
        <f>COUNTIFS('Daily KPI'!$D:$D,D16,'Daily KPI'!$M:$M,"&gt;0")</f>
        <v>0</v>
      </c>
      <c r="R16" s="136"/>
      <c r="S16" s="136"/>
      <c r="T16" s="135">
        <f t="shared" si="0"/>
        <v>581.86022400000002</v>
      </c>
      <c r="U16" s="136">
        <f t="shared" si="1"/>
        <v>0</v>
      </c>
      <c r="V16" s="136">
        <f>SUMIF($F$2:F16,F16,$U$2:U16)</f>
        <v>0</v>
      </c>
      <c r="W16" s="113">
        <f t="shared" si="2"/>
        <v>0.30305219999999999</v>
      </c>
      <c r="X16" s="113" t="str">
        <f t="shared" si="3"/>
        <v/>
      </c>
      <c r="Y16" s="113" t="str">
        <f t="shared" si="4"/>
        <v/>
      </c>
      <c r="Z16" s="135" t="str">
        <f>IFERROR(AVERAGEIF('Daily KPI'!D:D,Table14[[#This Row],[Month]],'Daily KPI'!AB:AB),"")</f>
        <v/>
      </c>
      <c r="AA16" s="134" t="str">
        <f>IFERROR(AVERAGEIF($F$2:F16,F16,$Z$2:Z16),"")</f>
        <v/>
      </c>
      <c r="AB16" s="136"/>
      <c r="AC16" s="135">
        <v>5.6310997427836513</v>
      </c>
      <c r="AD16" s="135">
        <f>AVERAGEIF($F$2:F16,F16,$AC$2:AC16)</f>
        <v>6.0011277507859377</v>
      </c>
      <c r="AE16" s="113">
        <f t="shared" si="5"/>
        <v>0.96029999999999993</v>
      </c>
      <c r="AF16" s="113">
        <v>0.995</v>
      </c>
      <c r="AG16" s="113"/>
      <c r="AH16" s="113">
        <v>0.97</v>
      </c>
      <c r="AI16" s="113">
        <v>0.99</v>
      </c>
      <c r="AJ16" s="113">
        <v>0.95</v>
      </c>
      <c r="AK16" s="113">
        <v>0.05</v>
      </c>
      <c r="AL16" s="113">
        <v>0.05</v>
      </c>
      <c r="AM16" s="159"/>
      <c r="AN16" s="159"/>
    </row>
    <row r="17" spans="1:40">
      <c r="A17" s="133">
        <f t="shared" si="6"/>
        <v>16</v>
      </c>
      <c r="B17" s="132" t="str">
        <f t="shared" si="9"/>
        <v>July</v>
      </c>
      <c r="C17" s="133">
        <f t="shared" si="9"/>
        <v>7</v>
      </c>
      <c r="D17" s="132">
        <v>44743</v>
      </c>
      <c r="E17" s="110">
        <f t="shared" si="7"/>
        <v>2022</v>
      </c>
      <c r="F17" s="112" t="s">
        <v>436</v>
      </c>
      <c r="G17" s="133">
        <f t="shared" si="8"/>
        <v>31</v>
      </c>
      <c r="H17" s="137"/>
      <c r="I17" s="137"/>
      <c r="J17" s="135">
        <f t="shared" si="10"/>
        <v>7.6000000000000005</v>
      </c>
      <c r="K17" s="137"/>
      <c r="L17" s="133"/>
      <c r="M17" s="139">
        <v>21077.400960000003</v>
      </c>
      <c r="N17" s="139">
        <v>80</v>
      </c>
      <c r="O17" s="111"/>
      <c r="P17" s="138"/>
      <c r="Q17" s="133">
        <f>COUNTIFS('Daily KPI'!$D:$D,D17,'Daily KPI'!$M:$M,"&gt;0")</f>
        <v>0</v>
      </c>
      <c r="R17" s="139"/>
      <c r="S17" s="139"/>
      <c r="T17" s="138">
        <f t="shared" si="0"/>
        <v>679.9161600000001</v>
      </c>
      <c r="U17" s="139">
        <f t="shared" si="1"/>
        <v>0</v>
      </c>
      <c r="V17" s="139">
        <f>SUMIF($F$2:F17,F17,$U$2:U17)</f>
        <v>0</v>
      </c>
      <c r="W17" s="111">
        <f t="shared" si="2"/>
        <v>0.35412300000000008</v>
      </c>
      <c r="X17" s="111" t="str">
        <f t="shared" si="3"/>
        <v/>
      </c>
      <c r="Y17" s="111" t="str">
        <f t="shared" si="4"/>
        <v/>
      </c>
      <c r="Z17" s="138" t="str">
        <f>IFERROR(AVERAGEIF('Daily KPI'!D:D,Table14[[#This Row],[Month]],'Daily KPI'!AB:AB),"")</f>
        <v/>
      </c>
      <c r="AA17" s="134" t="str">
        <f>IFERROR(AVERAGEIF($F$2:F17,F17,$Z$2:Z17),"")</f>
        <v/>
      </c>
      <c r="AB17" s="139"/>
      <c r="AC17" s="138">
        <v>7.1310648756787653</v>
      </c>
      <c r="AD17" s="138">
        <f>AVERAGEIF($F$2:F17,F17,$AC$2:AC17)</f>
        <v>6.2836120320091453</v>
      </c>
      <c r="AE17" s="111">
        <f t="shared" si="5"/>
        <v>0.96029999999999993</v>
      </c>
      <c r="AF17" s="111">
        <v>0.995</v>
      </c>
      <c r="AG17" s="111"/>
      <c r="AH17" s="111">
        <v>0.97</v>
      </c>
      <c r="AI17" s="111">
        <v>0.99</v>
      </c>
      <c r="AJ17" s="111">
        <v>0.95</v>
      </c>
      <c r="AK17" s="111">
        <v>0.05</v>
      </c>
      <c r="AL17" s="111">
        <v>0.05</v>
      </c>
      <c r="AM17" s="159"/>
      <c r="AN17" s="159"/>
    </row>
    <row r="18" spans="1:40">
      <c r="A18" s="133">
        <f t="shared" si="6"/>
        <v>17</v>
      </c>
      <c r="B18" s="132" t="str">
        <f t="shared" si="9"/>
        <v>August</v>
      </c>
      <c r="C18" s="133">
        <f t="shared" si="9"/>
        <v>8</v>
      </c>
      <c r="D18" s="132">
        <v>44774</v>
      </c>
      <c r="E18" s="112">
        <f t="shared" si="7"/>
        <v>2022</v>
      </c>
      <c r="F18" s="112" t="s">
        <v>436</v>
      </c>
      <c r="G18" s="131">
        <f t="shared" si="8"/>
        <v>31</v>
      </c>
      <c r="H18" s="134"/>
      <c r="I18" s="134"/>
      <c r="J18" s="135">
        <f t="shared" si="10"/>
        <v>6.8666666666666671</v>
      </c>
      <c r="K18" s="134"/>
      <c r="L18" s="131"/>
      <c r="M18" s="136">
        <v>22159.716479999999</v>
      </c>
      <c r="N18" s="136">
        <v>80</v>
      </c>
      <c r="O18" s="113"/>
      <c r="P18" s="135"/>
      <c r="Q18" s="131">
        <f>COUNTIFS('Daily KPI'!$D:$D,D18,'Daily KPI'!$M:$M,"&gt;0")</f>
        <v>0</v>
      </c>
      <c r="R18" s="136"/>
      <c r="S18" s="136"/>
      <c r="T18" s="135">
        <f t="shared" si="0"/>
        <v>714.82956387096772</v>
      </c>
      <c r="U18" s="136">
        <f t="shared" si="1"/>
        <v>0</v>
      </c>
      <c r="V18" s="136">
        <f>SUMIF($F$2:F18,F18,$U$2:U18)</f>
        <v>0</v>
      </c>
      <c r="W18" s="113">
        <f t="shared" si="2"/>
        <v>0.37230706451612899</v>
      </c>
      <c r="X18" s="113" t="str">
        <f t="shared" si="3"/>
        <v/>
      </c>
      <c r="Y18" s="113" t="str">
        <f t="shared" si="4"/>
        <v/>
      </c>
      <c r="Z18" s="135" t="str">
        <f>IFERROR(AVERAGEIF('Daily KPI'!D:D,Table14[[#This Row],[Month]],'Daily KPI'!AB:AB),"")</f>
        <v/>
      </c>
      <c r="AA18" s="134" t="str">
        <f>IFERROR(AVERAGEIF($F$2:F18,F18,$Z$2:Z18),"")</f>
        <v/>
      </c>
      <c r="AB18" s="136"/>
      <c r="AC18" s="135">
        <v>9.4530328665332952</v>
      </c>
      <c r="AD18" s="135">
        <f>AVERAGEIF($F$2:F18,F18,$AC$2:AC18)</f>
        <v>6.9174961989139749</v>
      </c>
      <c r="AE18" s="113">
        <f t="shared" si="5"/>
        <v>0.96029999999999993</v>
      </c>
      <c r="AF18" s="113">
        <v>0.995</v>
      </c>
      <c r="AG18" s="113"/>
      <c r="AH18" s="113">
        <v>0.97</v>
      </c>
      <c r="AI18" s="113">
        <v>0.99</v>
      </c>
      <c r="AJ18" s="113">
        <v>0.95</v>
      </c>
      <c r="AK18" s="113">
        <v>0.05</v>
      </c>
      <c r="AL18" s="113">
        <v>0.05</v>
      </c>
      <c r="AM18" s="159"/>
      <c r="AN18" s="159"/>
    </row>
    <row r="19" spans="1:40">
      <c r="A19" s="133">
        <f t="shared" si="6"/>
        <v>18</v>
      </c>
      <c r="B19" s="132" t="str">
        <f t="shared" si="9"/>
        <v>September</v>
      </c>
      <c r="C19" s="133">
        <f t="shared" si="9"/>
        <v>9</v>
      </c>
      <c r="D19" s="132">
        <v>44805</v>
      </c>
      <c r="E19" s="110">
        <f t="shared" si="7"/>
        <v>2022</v>
      </c>
      <c r="F19" s="112" t="s">
        <v>436</v>
      </c>
      <c r="G19" s="133">
        <f t="shared" si="8"/>
        <v>30</v>
      </c>
      <c r="H19" s="137"/>
      <c r="I19" s="137"/>
      <c r="J19" s="135">
        <f t="shared" si="10"/>
        <v>5.0333333333333332</v>
      </c>
      <c r="K19" s="137"/>
      <c r="L19" s="133"/>
      <c r="M19" s="139">
        <v>9726.9638400000003</v>
      </c>
      <c r="N19" s="139">
        <v>80</v>
      </c>
      <c r="O19" s="111"/>
      <c r="P19" s="138"/>
      <c r="Q19" s="133">
        <f>COUNTIFS('Daily KPI'!$D:$D,D19,'Daily KPI'!$M:$M,"&gt;0")</f>
        <v>0</v>
      </c>
      <c r="R19" s="139"/>
      <c r="S19" s="139"/>
      <c r="T19" s="138">
        <f t="shared" si="0"/>
        <v>324.23212799999999</v>
      </c>
      <c r="U19" s="139">
        <f t="shared" si="1"/>
        <v>0</v>
      </c>
      <c r="V19" s="139">
        <f>SUMIF($F$2:F19,F19,$U$2:U19)</f>
        <v>0</v>
      </c>
      <c r="W19" s="111">
        <f t="shared" si="2"/>
        <v>0.16887089999999999</v>
      </c>
      <c r="X19" s="111" t="str">
        <f t="shared" si="3"/>
        <v/>
      </c>
      <c r="Y19" s="111" t="str">
        <f t="shared" si="4"/>
        <v/>
      </c>
      <c r="Z19" s="138" t="str">
        <f>IFERROR(AVERAGEIF('Daily KPI'!D:D,Table14[[#This Row],[Month]],'Daily KPI'!AB:AB),"")</f>
        <v/>
      </c>
      <c r="AA19" s="134" t="str">
        <f>IFERROR(AVERAGEIF($F$2:F19,F19,$Z$2:Z19),"")</f>
        <v/>
      </c>
      <c r="AB19" s="139"/>
      <c r="AC19" s="138">
        <v>10.303759359817088</v>
      </c>
      <c r="AD19" s="138">
        <f>AVERAGEIF($F$2:F19,F19,$AC$2:AC19)</f>
        <v>7.4818733923978264</v>
      </c>
      <c r="AE19" s="111">
        <f t="shared" si="5"/>
        <v>0.96029999999999993</v>
      </c>
      <c r="AF19" s="111">
        <v>0.995</v>
      </c>
      <c r="AG19" s="111"/>
      <c r="AH19" s="111">
        <v>0.97</v>
      </c>
      <c r="AI19" s="111">
        <v>0.99</v>
      </c>
      <c r="AJ19" s="111">
        <v>0.95</v>
      </c>
      <c r="AK19" s="111">
        <v>0.05</v>
      </c>
      <c r="AL19" s="111">
        <v>0.05</v>
      </c>
      <c r="AM19" s="159"/>
      <c r="AN19" s="159"/>
    </row>
    <row r="20" spans="1:40">
      <c r="A20" s="133">
        <f t="shared" si="6"/>
        <v>19</v>
      </c>
      <c r="B20" s="132" t="str">
        <f t="shared" si="9"/>
        <v>October</v>
      </c>
      <c r="C20" s="133">
        <f t="shared" si="9"/>
        <v>10</v>
      </c>
      <c r="D20" s="132">
        <v>44835</v>
      </c>
      <c r="E20" s="112">
        <f t="shared" si="7"/>
        <v>2022</v>
      </c>
      <c r="F20" s="112" t="s">
        <v>436</v>
      </c>
      <c r="G20" s="131">
        <f t="shared" si="8"/>
        <v>31</v>
      </c>
      <c r="H20" s="134"/>
      <c r="I20" s="134"/>
      <c r="J20" s="135">
        <f t="shared" si="10"/>
        <v>3.9666666666666668</v>
      </c>
      <c r="K20" s="134"/>
      <c r="L20" s="131"/>
      <c r="M20" s="136">
        <v>5924.9836800000003</v>
      </c>
      <c r="N20" s="136">
        <v>80</v>
      </c>
      <c r="O20" s="113"/>
      <c r="P20" s="135"/>
      <c r="Q20" s="131">
        <f>COUNTIFS('Daily KPI'!$D:$D,D20,'Daily KPI'!$M:$M,"&gt;0")</f>
        <v>0</v>
      </c>
      <c r="R20" s="136"/>
      <c r="S20" s="136"/>
      <c r="T20" s="135">
        <f t="shared" si="0"/>
        <v>191.12850580645161</v>
      </c>
      <c r="U20" s="136">
        <f t="shared" si="1"/>
        <v>0</v>
      </c>
      <c r="V20" s="136">
        <f>SUMIF($F$2:F20,F20,$U$2:U20)</f>
        <v>0</v>
      </c>
      <c r="W20" s="113">
        <f t="shared" si="2"/>
        <v>9.9546096774193543E-2</v>
      </c>
      <c r="X20" s="113" t="str">
        <f t="shared" si="3"/>
        <v/>
      </c>
      <c r="Y20" s="113" t="str">
        <f t="shared" si="4"/>
        <v/>
      </c>
      <c r="Z20" s="135" t="str">
        <f>IFERROR(AVERAGEIF('Daily KPI'!D:D,Table14[[#This Row],[Month]],'Daily KPI'!AB:AB),"")</f>
        <v/>
      </c>
      <c r="AA20" s="134" t="str">
        <f>IFERROR(AVERAGEIF($F$2:F20,F20,$Z$2:Z20),"")</f>
        <v/>
      </c>
      <c r="AB20" s="136"/>
      <c r="AC20" s="135">
        <v>8.5195147184909956</v>
      </c>
      <c r="AD20" s="135">
        <f>AVERAGEIF($F$2:F20,F20,$AC$2:AC20)</f>
        <v>7.6301078675539937</v>
      </c>
      <c r="AE20" s="113">
        <f t="shared" si="5"/>
        <v>0.96029999999999993</v>
      </c>
      <c r="AF20" s="113">
        <v>0.995</v>
      </c>
      <c r="AG20" s="113"/>
      <c r="AH20" s="113">
        <v>0.97</v>
      </c>
      <c r="AI20" s="113">
        <v>0.99</v>
      </c>
      <c r="AJ20" s="113">
        <v>0.95</v>
      </c>
      <c r="AK20" s="113">
        <v>0.05</v>
      </c>
      <c r="AL20" s="113">
        <v>0.05</v>
      </c>
      <c r="AM20" s="159"/>
      <c r="AN20" s="159"/>
    </row>
    <row r="21" spans="1:40">
      <c r="A21" s="133">
        <f t="shared" si="6"/>
        <v>20</v>
      </c>
      <c r="B21" s="132" t="str">
        <f t="shared" si="9"/>
        <v>November</v>
      </c>
      <c r="C21" s="133">
        <f t="shared" si="9"/>
        <v>11</v>
      </c>
      <c r="D21" s="132">
        <v>44866</v>
      </c>
      <c r="E21" s="110">
        <f t="shared" si="7"/>
        <v>2022</v>
      </c>
      <c r="F21" s="112" t="s">
        <v>436</v>
      </c>
      <c r="G21" s="133">
        <f t="shared" si="8"/>
        <v>30</v>
      </c>
      <c r="H21" s="137"/>
      <c r="I21" s="137"/>
      <c r="J21" s="135">
        <f t="shared" si="10"/>
        <v>4.0333333333333332</v>
      </c>
      <c r="K21" s="137"/>
      <c r="L21" s="133"/>
      <c r="M21" s="139">
        <v>5661.3427200000006</v>
      </c>
      <c r="N21" s="139">
        <v>80</v>
      </c>
      <c r="O21" s="111"/>
      <c r="P21" s="138"/>
      <c r="Q21" s="133">
        <f>COUNTIFS('Daily KPI'!$D:$D,D21,'Daily KPI'!$M:$M,"&gt;0")</f>
        <v>0</v>
      </c>
      <c r="R21" s="139"/>
      <c r="S21" s="139"/>
      <c r="T21" s="138">
        <f t="shared" si="0"/>
        <v>188.71142400000002</v>
      </c>
      <c r="U21" s="139">
        <f t="shared" si="1"/>
        <v>0</v>
      </c>
      <c r="V21" s="139">
        <f>SUMIF($F$2:F21,F21,$U$2:U21)</f>
        <v>0</v>
      </c>
      <c r="W21" s="111">
        <f t="shared" si="2"/>
        <v>9.8287200000000005E-2</v>
      </c>
      <c r="X21" s="111" t="str">
        <f t="shared" si="3"/>
        <v/>
      </c>
      <c r="Y21" s="111" t="str">
        <f t="shared" si="4"/>
        <v/>
      </c>
      <c r="Z21" s="138" t="str">
        <f>IFERROR(AVERAGEIF('Daily KPI'!D:D,Table14[[#This Row],[Month]],'Daily KPI'!AB:AB),"")</f>
        <v/>
      </c>
      <c r="AA21" s="134" t="str">
        <f>IFERROR(AVERAGEIF($F$2:F21,F21,$Z$2:Z21),"")</f>
        <v/>
      </c>
      <c r="AB21" s="139"/>
      <c r="AC21" s="138">
        <v>7.2366664761360369</v>
      </c>
      <c r="AD21" s="138">
        <f>AVERAGEIF($F$2:F21,F21,$AC$2:AC21)</f>
        <v>7.5809276936267489</v>
      </c>
      <c r="AE21" s="111">
        <f t="shared" si="5"/>
        <v>0.96029999999999993</v>
      </c>
      <c r="AF21" s="111">
        <v>0.995</v>
      </c>
      <c r="AG21" s="111"/>
      <c r="AH21" s="111">
        <v>0.97</v>
      </c>
      <c r="AI21" s="111">
        <v>0.99</v>
      </c>
      <c r="AJ21" s="111">
        <v>0.95</v>
      </c>
      <c r="AK21" s="111">
        <v>0.05</v>
      </c>
      <c r="AL21" s="111">
        <v>0.05</v>
      </c>
      <c r="AM21" s="159"/>
      <c r="AN21" s="159"/>
    </row>
    <row r="22" spans="1:40">
      <c r="A22" s="133">
        <f t="shared" si="6"/>
        <v>21</v>
      </c>
      <c r="B22" s="132" t="str">
        <f t="shared" si="9"/>
        <v>December</v>
      </c>
      <c r="C22" s="133">
        <f t="shared" si="9"/>
        <v>12</v>
      </c>
      <c r="D22" s="132">
        <v>44896</v>
      </c>
      <c r="E22" s="112">
        <f t="shared" si="7"/>
        <v>2022</v>
      </c>
      <c r="F22" s="112" t="s">
        <v>436</v>
      </c>
      <c r="G22" s="131">
        <f t="shared" si="8"/>
        <v>31</v>
      </c>
      <c r="H22" s="134"/>
      <c r="I22" s="134"/>
      <c r="J22" s="135">
        <f t="shared" si="10"/>
        <v>4.4333333333333336</v>
      </c>
      <c r="K22" s="134"/>
      <c r="L22" s="131"/>
      <c r="M22" s="136">
        <v>6618.7756799999997</v>
      </c>
      <c r="N22" s="136">
        <v>80</v>
      </c>
      <c r="O22" s="113"/>
      <c r="P22" s="135"/>
      <c r="Q22" s="131">
        <f>COUNTIFS('Daily KPI'!$D:$D,D22,'Daily KPI'!$M:$M,"&gt;0")</f>
        <v>0</v>
      </c>
      <c r="R22" s="136"/>
      <c r="S22" s="136"/>
      <c r="T22" s="135">
        <f t="shared" si="0"/>
        <v>213.50889290322579</v>
      </c>
      <c r="U22" s="136">
        <f t="shared" si="1"/>
        <v>0</v>
      </c>
      <c r="V22" s="136">
        <f>SUMIF($F$2:F22,F22,$U$2:U22)</f>
        <v>0</v>
      </c>
      <c r="W22" s="113">
        <f t="shared" si="2"/>
        <v>0.11120254838709677</v>
      </c>
      <c r="X22" s="113" t="str">
        <f t="shared" si="3"/>
        <v/>
      </c>
      <c r="Y22" s="113" t="str">
        <f t="shared" si="4"/>
        <v/>
      </c>
      <c r="Z22" s="135" t="str">
        <f>IFERROR(AVERAGEIF('Daily KPI'!D:D,Table14[[#This Row],[Month]],'Daily KPI'!AB:AB),"")</f>
        <v/>
      </c>
      <c r="AA22" s="134" t="str">
        <f>IFERROR(AVERAGEIF($F$2:F22,F22,$Z$2:Z22),"")</f>
        <v/>
      </c>
      <c r="AB22" s="136"/>
      <c r="AC22" s="135">
        <v>6.0015501571877659</v>
      </c>
      <c r="AD22" s="135">
        <f>AVERAGEIF($F$2:F22,F22,$AC$2:AC22)</f>
        <v>7.4054413006890849</v>
      </c>
      <c r="AE22" s="113">
        <f t="shared" si="5"/>
        <v>0.96029999999999993</v>
      </c>
      <c r="AF22" s="113">
        <v>0.995</v>
      </c>
      <c r="AG22" s="113"/>
      <c r="AH22" s="113">
        <v>0.97</v>
      </c>
      <c r="AI22" s="113">
        <v>0.99</v>
      </c>
      <c r="AJ22" s="113">
        <v>0.95</v>
      </c>
      <c r="AK22" s="113">
        <v>0.05</v>
      </c>
      <c r="AL22" s="113">
        <v>0.05</v>
      </c>
      <c r="AM22" s="159"/>
      <c r="AN22" s="159"/>
    </row>
    <row r="23" spans="1:40">
      <c r="A23" s="133">
        <f t="shared" si="6"/>
        <v>22</v>
      </c>
      <c r="B23" s="132" t="str">
        <f t="shared" si="9"/>
        <v>January</v>
      </c>
      <c r="C23" s="133">
        <f t="shared" si="9"/>
        <v>1</v>
      </c>
      <c r="D23" s="132">
        <v>44927</v>
      </c>
      <c r="E23" s="110">
        <f t="shared" si="7"/>
        <v>2023</v>
      </c>
      <c r="F23" s="112" t="s">
        <v>436</v>
      </c>
      <c r="G23" s="133">
        <f t="shared" si="8"/>
        <v>31</v>
      </c>
      <c r="H23" s="137"/>
      <c r="I23" s="137"/>
      <c r="J23" s="135">
        <f t="shared" si="10"/>
        <v>3.8</v>
      </c>
      <c r="K23" s="137"/>
      <c r="L23" s="133"/>
      <c r="M23" s="139">
        <v>4606.7788799999998</v>
      </c>
      <c r="N23" s="139">
        <v>80</v>
      </c>
      <c r="O23" s="111"/>
      <c r="P23" s="138"/>
      <c r="Q23" s="133">
        <f>COUNTIFS('Daily KPI'!$D:$D,D23,'Daily KPI'!$M:$M,"&gt;0")</f>
        <v>0</v>
      </c>
      <c r="R23" s="139"/>
      <c r="S23" s="139"/>
      <c r="T23" s="138">
        <f t="shared" si="0"/>
        <v>148.60577032258064</v>
      </c>
      <c r="U23" s="139">
        <f t="shared" si="1"/>
        <v>0</v>
      </c>
      <c r="V23" s="139">
        <f>SUMIF($F$2:F23,F23,$U$2:U23)</f>
        <v>0</v>
      </c>
      <c r="W23" s="111">
        <f t="shared" si="2"/>
        <v>7.7398838709677412E-2</v>
      </c>
      <c r="X23" s="111" t="str">
        <f t="shared" si="3"/>
        <v/>
      </c>
      <c r="Y23" s="111" t="str">
        <f t="shared" si="4"/>
        <v/>
      </c>
      <c r="Z23" s="138" t="str">
        <f>IFERROR(AVERAGEIF('Daily KPI'!D:D,Table14[[#This Row],[Month]],'Daily KPI'!AB:AB),"")</f>
        <v/>
      </c>
      <c r="AA23" s="134" t="str">
        <f>IFERROR(AVERAGEIF($F$2:F23,F23,$Z$2:Z23),"")</f>
        <v/>
      </c>
      <c r="AB23" s="139"/>
      <c r="AC23" s="138">
        <v>6.7073912546441834</v>
      </c>
      <c r="AD23" s="138">
        <f>AVERAGEIF($F$2:F23,F23,$AC$2:AC23)</f>
        <v>7.3356362960845942</v>
      </c>
      <c r="AE23" s="111">
        <f t="shared" si="5"/>
        <v>0.96029999999999993</v>
      </c>
      <c r="AF23" s="111">
        <v>0.995</v>
      </c>
      <c r="AG23" s="111"/>
      <c r="AH23" s="111">
        <v>0.97</v>
      </c>
      <c r="AI23" s="111">
        <v>0.99</v>
      </c>
      <c r="AJ23" s="111">
        <v>0.95</v>
      </c>
      <c r="AK23" s="111">
        <v>0.05</v>
      </c>
      <c r="AL23" s="111">
        <v>0.05</v>
      </c>
      <c r="AM23" s="159"/>
      <c r="AN23" s="159"/>
    </row>
    <row r="24" spans="1:40">
      <c r="A24" s="133">
        <f t="shared" si="6"/>
        <v>23</v>
      </c>
      <c r="B24" s="132" t="str">
        <f t="shared" si="9"/>
        <v>February</v>
      </c>
      <c r="C24" s="133">
        <f t="shared" si="9"/>
        <v>2</v>
      </c>
      <c r="D24" s="132">
        <v>44958</v>
      </c>
      <c r="E24" s="112">
        <f>YEAR(D24)</f>
        <v>2023</v>
      </c>
      <c r="F24" s="112" t="s">
        <v>436</v>
      </c>
      <c r="G24" s="131">
        <f>DAY(EOMONTH(D24,0))</f>
        <v>28</v>
      </c>
      <c r="H24" s="134"/>
      <c r="I24" s="134"/>
      <c r="J24" s="135">
        <f t="shared" si="10"/>
        <v>4.3</v>
      </c>
      <c r="K24" s="134"/>
      <c r="L24" s="131"/>
      <c r="M24" s="136">
        <v>5619.7152000000006</v>
      </c>
      <c r="N24" s="136">
        <v>80</v>
      </c>
      <c r="O24" s="113"/>
      <c r="P24" s="135"/>
      <c r="Q24" s="131">
        <f>COUNTIFS('Daily KPI'!$D:$D,D24,'Daily KPI'!$M:$M,"&gt;0")</f>
        <v>0</v>
      </c>
      <c r="R24" s="136"/>
      <c r="S24" s="136"/>
      <c r="T24" s="135">
        <f t="shared" si="0"/>
        <v>200.7041142857143</v>
      </c>
      <c r="U24" s="136">
        <f t="shared" si="1"/>
        <v>0</v>
      </c>
      <c r="V24" s="136">
        <f>SUMIF($F$2:F24,F24,$U$2:U24)</f>
        <v>0</v>
      </c>
      <c r="W24" s="113">
        <f t="shared" si="2"/>
        <v>0.10453339285714286</v>
      </c>
      <c r="X24" s="113" t="str">
        <f t="shared" si="3"/>
        <v/>
      </c>
      <c r="Y24" s="113" t="str">
        <f t="shared" si="4"/>
        <v/>
      </c>
      <c r="Z24" s="135" t="str">
        <f>IFERROR(AVERAGEIF('Daily KPI'!D:D,Table14[[#This Row],[Month]],'Daily KPI'!AB:AB),"")</f>
        <v/>
      </c>
      <c r="AA24" s="134" t="str">
        <f>IFERROR(AVERAGEIF($F$2:F24,F24,$Z$2:Z24),"")</f>
        <v/>
      </c>
      <c r="AB24" s="136"/>
      <c r="AC24" s="135">
        <v>7.0533420977422105</v>
      </c>
      <c r="AD24" s="135">
        <f>AVERAGEIF($F$2:F24,F24,$AC$2:AC24)</f>
        <v>7.3099731871443785</v>
      </c>
      <c r="AE24" s="113">
        <f t="shared" si="5"/>
        <v>0.96029999999999993</v>
      </c>
      <c r="AF24" s="113">
        <v>0.995</v>
      </c>
      <c r="AG24" s="113"/>
      <c r="AH24" s="113">
        <v>0.97</v>
      </c>
      <c r="AI24" s="113">
        <v>0.99</v>
      </c>
      <c r="AJ24" s="113">
        <v>0.95</v>
      </c>
      <c r="AK24" s="113">
        <v>0.05</v>
      </c>
      <c r="AL24" s="113">
        <v>0.05</v>
      </c>
      <c r="AM24" s="159"/>
      <c r="AN24" s="159"/>
    </row>
    <row r="25" spans="1:40">
      <c r="A25" s="133">
        <f t="shared" si="6"/>
        <v>24</v>
      </c>
      <c r="B25" s="132" t="str">
        <f t="shared" si="9"/>
        <v>March</v>
      </c>
      <c r="C25" s="133">
        <f t="shared" si="9"/>
        <v>3</v>
      </c>
      <c r="D25" s="132">
        <v>44986</v>
      </c>
      <c r="E25" s="110">
        <f>YEAR(D25)</f>
        <v>2023</v>
      </c>
      <c r="F25" s="112" t="s">
        <v>436</v>
      </c>
      <c r="G25" s="133">
        <f>DAY(EOMONTH(D25,0))</f>
        <v>31</v>
      </c>
      <c r="H25" s="137"/>
      <c r="I25" s="137"/>
      <c r="J25" s="135">
        <f t="shared" si="10"/>
        <v>4.5999999999999996</v>
      </c>
      <c r="K25" s="137"/>
      <c r="L25" s="133"/>
      <c r="M25" s="139">
        <v>7950.856319999999</v>
      </c>
      <c r="N25" s="139">
        <v>80</v>
      </c>
      <c r="O25" s="111"/>
      <c r="P25" s="138"/>
      <c r="Q25" s="133">
        <f>COUNTIFS('Daily KPI'!$D:$D,D25,'Daily KPI'!$M:$M,"&gt;0")</f>
        <v>0</v>
      </c>
      <c r="R25" s="139"/>
      <c r="S25" s="139"/>
      <c r="T25" s="138">
        <f t="shared" si="0"/>
        <v>256.47923612903224</v>
      </c>
      <c r="U25" s="139">
        <f t="shared" si="1"/>
        <v>0</v>
      </c>
      <c r="V25" s="139">
        <f>SUMIF($F$2:F25,F25,$U$2:U25)</f>
        <v>0</v>
      </c>
      <c r="W25" s="111">
        <f t="shared" si="2"/>
        <v>0.13358293548387096</v>
      </c>
      <c r="X25" s="111" t="str">
        <f t="shared" si="3"/>
        <v/>
      </c>
      <c r="Y25" s="111" t="str">
        <f t="shared" si="4"/>
        <v/>
      </c>
      <c r="Z25" s="138" t="str">
        <f>IFERROR(AVERAGEIF('Daily KPI'!D:D,Table14[[#This Row],[Month]],'Daily KPI'!AB:AB),"")</f>
        <v/>
      </c>
      <c r="AA25" s="134" t="str">
        <f>IFERROR(AVERAGEIF($F$2:F25,F25,$Z$2:Z25),"")</f>
        <v/>
      </c>
      <c r="AB25" s="139"/>
      <c r="AC25" s="138">
        <v>7.411120320091455</v>
      </c>
      <c r="AD25" s="138">
        <f>AVERAGEIF($F$2:F25,F25,$AC$2:AC25)</f>
        <v>7.3184021148899676</v>
      </c>
      <c r="AE25" s="111">
        <f t="shared" si="5"/>
        <v>0.96029999999999993</v>
      </c>
      <c r="AF25" s="111">
        <v>0.995</v>
      </c>
      <c r="AG25" s="111"/>
      <c r="AH25" s="111">
        <v>0.97</v>
      </c>
      <c r="AI25" s="111">
        <v>0.99</v>
      </c>
      <c r="AJ25" s="111">
        <v>0.95</v>
      </c>
      <c r="AK25" s="111">
        <v>0.05</v>
      </c>
      <c r="AL25" s="111">
        <v>0.05</v>
      </c>
      <c r="AM25" s="159"/>
      <c r="AN25" s="159"/>
    </row>
    <row r="26" spans="1:40">
      <c r="A26" s="133">
        <f t="shared" si="6"/>
        <v>25</v>
      </c>
      <c r="B26" s="132" t="str">
        <f t="shared" si="9"/>
        <v>April</v>
      </c>
      <c r="C26" s="133">
        <f t="shared" si="9"/>
        <v>4</v>
      </c>
      <c r="D26" s="132">
        <v>45017</v>
      </c>
      <c r="E26" s="110">
        <f t="shared" ref="E26:E39" si="11">YEAR(D26)</f>
        <v>2023</v>
      </c>
      <c r="F26" s="112" t="s">
        <v>437</v>
      </c>
      <c r="G26" s="133">
        <f t="shared" ref="G26:G39" si="12">DAY(EOMONTH(D26,0))</f>
        <v>30</v>
      </c>
      <c r="H26" s="137"/>
      <c r="I26" s="137"/>
      <c r="J26" s="135">
        <f t="shared" si="10"/>
        <v>5.6333333333333329</v>
      </c>
      <c r="K26" s="137"/>
      <c r="L26" s="133"/>
      <c r="M26" s="139">
        <v>11000</v>
      </c>
      <c r="N26" s="139">
        <v>80</v>
      </c>
      <c r="O26" s="111"/>
      <c r="P26" s="138"/>
      <c r="Q26" s="133">
        <f>COUNTIFS('Daily KPI'!$D:$D,D26,'Daily KPI'!$M:$M,"&gt;0")</f>
        <v>0</v>
      </c>
      <c r="R26" s="139"/>
      <c r="S26" s="139"/>
      <c r="T26" s="138">
        <f t="shared" si="0"/>
        <v>366.66666666666669</v>
      </c>
      <c r="U26" s="139">
        <f t="shared" si="1"/>
        <v>0</v>
      </c>
      <c r="V26" s="139">
        <f>SUMIF($F$2:F61,F26,$U$2:U61)</f>
        <v>0</v>
      </c>
      <c r="W26" s="111">
        <f t="shared" si="2"/>
        <v>0.19097222222222224</v>
      </c>
      <c r="X26" s="111" t="str">
        <f t="shared" si="3"/>
        <v/>
      </c>
      <c r="Y26" s="111" t="str">
        <f t="shared" si="4"/>
        <v/>
      </c>
      <c r="Z26" s="138" t="str">
        <f>IFERROR(AVERAGEIF('Daily KPI'!D:D,Table14[[#This Row],[Month]],'Daily KPI'!AB:AB),"")</f>
        <v/>
      </c>
      <c r="AA26" s="134" t="str">
        <f>IFERROR(AVERAGEIF($F$2:F26,F26,$Z$2:Z26),"")</f>
        <v/>
      </c>
      <c r="AB26" s="139"/>
      <c r="AC26" s="138">
        <v>6.4041034581308942</v>
      </c>
      <c r="AD26" s="138">
        <f>AVERAGEIF($F$2:F26,F26,$AC$2:AC26)</f>
        <v>6.4041034581308942</v>
      </c>
      <c r="AE26" s="111">
        <f t="shared" si="5"/>
        <v>0.96029999999999993</v>
      </c>
      <c r="AF26" s="111">
        <v>0.995</v>
      </c>
      <c r="AG26" s="111"/>
      <c r="AH26" s="111">
        <v>0.97</v>
      </c>
      <c r="AI26" s="111">
        <v>0.99</v>
      </c>
      <c r="AJ26" s="111">
        <v>0.95</v>
      </c>
      <c r="AK26" s="111">
        <v>0.05</v>
      </c>
      <c r="AL26" s="111">
        <v>0.05</v>
      </c>
      <c r="AM26" s="159"/>
      <c r="AN26" s="159"/>
    </row>
    <row r="27" spans="1:40">
      <c r="A27" s="133">
        <f t="shared" si="6"/>
        <v>26</v>
      </c>
      <c r="B27" s="132" t="str">
        <f t="shared" si="9"/>
        <v>May</v>
      </c>
      <c r="C27" s="133">
        <f t="shared" si="9"/>
        <v>5</v>
      </c>
      <c r="D27" s="132">
        <v>45047</v>
      </c>
      <c r="E27" s="110">
        <f t="shared" si="11"/>
        <v>2023</v>
      </c>
      <c r="F27" s="112" t="s">
        <v>437</v>
      </c>
      <c r="G27" s="133">
        <f t="shared" si="12"/>
        <v>31</v>
      </c>
      <c r="H27" s="137"/>
      <c r="I27" s="137"/>
      <c r="J27" s="135">
        <f t="shared" si="10"/>
        <v>6.5666666666666664</v>
      </c>
      <c r="K27" s="137"/>
      <c r="L27" s="133"/>
      <c r="M27" s="139">
        <v>19240</v>
      </c>
      <c r="N27" s="139">
        <v>80</v>
      </c>
      <c r="O27" s="111"/>
      <c r="P27" s="138"/>
      <c r="Q27" s="133">
        <f>COUNTIFS('Daily KPI'!$D:$D,D27,'Daily KPI'!$M:$M,"&gt;0")</f>
        <v>0</v>
      </c>
      <c r="R27" s="139"/>
      <c r="S27" s="139"/>
      <c r="T27" s="138">
        <f t="shared" si="0"/>
        <v>620.64516129032256</v>
      </c>
      <c r="U27" s="139">
        <f t="shared" si="1"/>
        <v>0</v>
      </c>
      <c r="V27" s="139">
        <f>SUMIF($F$2:F61,F27,$U$2:U61)</f>
        <v>0</v>
      </c>
      <c r="W27" s="111">
        <f t="shared" si="2"/>
        <v>0.323252688172043</v>
      </c>
      <c r="X27" s="111" t="str">
        <f t="shared" si="3"/>
        <v/>
      </c>
      <c r="Y27" s="111" t="str">
        <f t="shared" si="4"/>
        <v/>
      </c>
      <c r="Z27" s="138" t="str">
        <f>IFERROR(AVERAGEIF('Daily KPI'!D:D,Table14[[#This Row],[Month]],'Daily KPI'!AB:AB),"")</f>
        <v/>
      </c>
      <c r="AA27" s="134" t="str">
        <f>IFERROR(AVERAGEIF($F$2:F27,F27,$Z$2:Z27),"")</f>
        <v/>
      </c>
      <c r="AB27" s="139"/>
      <c r="AC27" s="138">
        <v>5.9681800514432695</v>
      </c>
      <c r="AD27" s="138">
        <f>AVERAGEIF($F$2:F61,F27,$AC$2:AC61)</f>
        <v>7.3184021148899676</v>
      </c>
      <c r="AE27" s="111">
        <f t="shared" si="5"/>
        <v>0.96029999999999993</v>
      </c>
      <c r="AF27" s="111">
        <v>0.995</v>
      </c>
      <c r="AG27" s="111"/>
      <c r="AH27" s="111">
        <v>0.97</v>
      </c>
      <c r="AI27" s="111">
        <v>0.99</v>
      </c>
      <c r="AJ27" s="111">
        <v>0.95</v>
      </c>
      <c r="AK27" s="111">
        <v>0.05</v>
      </c>
      <c r="AL27" s="111">
        <v>0.05</v>
      </c>
      <c r="AM27" s="159"/>
      <c r="AN27" s="159"/>
    </row>
    <row r="28" spans="1:40">
      <c r="A28" s="133">
        <f t="shared" si="6"/>
        <v>27</v>
      </c>
      <c r="B28" s="132" t="str">
        <f t="shared" si="9"/>
        <v>June</v>
      </c>
      <c r="C28" s="133">
        <f t="shared" si="9"/>
        <v>6</v>
      </c>
      <c r="D28" s="132">
        <v>45078</v>
      </c>
      <c r="E28" s="110">
        <f t="shared" si="11"/>
        <v>2023</v>
      </c>
      <c r="F28" s="112" t="s">
        <v>437</v>
      </c>
      <c r="G28" s="133">
        <f t="shared" si="12"/>
        <v>30</v>
      </c>
      <c r="H28" s="137"/>
      <c r="I28" s="137"/>
      <c r="J28" s="135">
        <f t="shared" si="10"/>
        <v>6.5666666666666664</v>
      </c>
      <c r="K28" s="137"/>
      <c r="L28" s="133"/>
      <c r="M28" s="139">
        <v>16180</v>
      </c>
      <c r="N28" s="139">
        <v>80</v>
      </c>
      <c r="O28" s="111"/>
      <c r="P28" s="138"/>
      <c r="Q28" s="133">
        <f>COUNTIFS('Daily KPI'!$D:$D,D28,'Daily KPI'!$M:$M,"&gt;0")</f>
        <v>0</v>
      </c>
      <c r="R28" s="139"/>
      <c r="S28" s="139"/>
      <c r="T28" s="138">
        <f t="shared" si="0"/>
        <v>539.33333333333337</v>
      </c>
      <c r="U28" s="139">
        <f t="shared" si="1"/>
        <v>0</v>
      </c>
      <c r="V28" s="139">
        <f>SUMIF($F$2:F28,F28,$U$2:U28)</f>
        <v>0</v>
      </c>
      <c r="W28" s="111">
        <f t="shared" si="2"/>
        <v>0.28090277777777778</v>
      </c>
      <c r="X28" s="111" t="str">
        <f t="shared" si="3"/>
        <v/>
      </c>
      <c r="Y28" s="111" t="str">
        <f t="shared" si="4"/>
        <v/>
      </c>
      <c r="Z28" s="138" t="str">
        <f>IFERROR(AVERAGEIF('Daily KPI'!D:D,Table14[[#This Row],[Month]],'Daily KPI'!AB:AB),"")</f>
        <v/>
      </c>
      <c r="AA28" s="134" t="str">
        <f>IFERROR(AVERAGEIF($F$2:F28,F28,$Z$2:Z28),"")</f>
        <v/>
      </c>
      <c r="AB28" s="139"/>
      <c r="AC28" s="138">
        <f>AC16</f>
        <v>5.6310997427836513</v>
      </c>
      <c r="AD28" s="138">
        <f>AVERAGEIF($F$2:F28,F28,$AC$2:AC28)</f>
        <v>6.0011277507859377</v>
      </c>
      <c r="AE28" s="111">
        <f t="shared" si="5"/>
        <v>0.96029999999999993</v>
      </c>
      <c r="AF28" s="111">
        <v>0.995</v>
      </c>
      <c r="AG28" s="111"/>
      <c r="AH28" s="111">
        <v>0.97</v>
      </c>
      <c r="AI28" s="111">
        <v>0.99</v>
      </c>
      <c r="AJ28" s="111">
        <v>0.95</v>
      </c>
      <c r="AK28" s="111">
        <v>0.05</v>
      </c>
      <c r="AL28" s="111">
        <v>0.05</v>
      </c>
      <c r="AM28" s="159"/>
      <c r="AN28" s="159"/>
    </row>
    <row r="29" spans="1:40">
      <c r="A29" s="133">
        <f t="shared" si="6"/>
        <v>28</v>
      </c>
      <c r="B29" s="132" t="str">
        <f t="shared" si="9"/>
        <v>July</v>
      </c>
      <c r="C29" s="133">
        <f t="shared" si="9"/>
        <v>7</v>
      </c>
      <c r="D29" s="132">
        <v>45108</v>
      </c>
      <c r="E29" s="110">
        <f t="shared" si="11"/>
        <v>2023</v>
      </c>
      <c r="F29" s="112" t="s">
        <v>437</v>
      </c>
      <c r="G29" s="133">
        <f t="shared" si="12"/>
        <v>31</v>
      </c>
      <c r="H29" s="137"/>
      <c r="I29" s="137"/>
      <c r="J29" s="135">
        <f t="shared" si="10"/>
        <v>7.6000000000000005</v>
      </c>
      <c r="K29" s="137"/>
      <c r="L29" s="133"/>
      <c r="M29" s="139">
        <v>20190</v>
      </c>
      <c r="N29" s="139">
        <v>80</v>
      </c>
      <c r="O29" s="111"/>
      <c r="P29" s="138"/>
      <c r="Q29" s="133">
        <f>COUNTIFS('Daily KPI'!$D:$D,D29,'Daily KPI'!$M:$M,"&gt;0")</f>
        <v>0</v>
      </c>
      <c r="R29" s="139"/>
      <c r="S29" s="139"/>
      <c r="T29" s="138">
        <f t="shared" si="0"/>
        <v>651.29032258064512</v>
      </c>
      <c r="U29" s="139">
        <f t="shared" si="1"/>
        <v>0</v>
      </c>
      <c r="V29" s="139">
        <f>SUMIF($F$2:F29,F29,$U$2:U29)</f>
        <v>0</v>
      </c>
      <c r="W29" s="111">
        <f t="shared" si="2"/>
        <v>0.33921370967741932</v>
      </c>
      <c r="X29" s="111" t="str">
        <f t="shared" si="3"/>
        <v/>
      </c>
      <c r="Y29" s="111" t="str">
        <f t="shared" si="4"/>
        <v/>
      </c>
      <c r="Z29" s="138" t="str">
        <f>IFERROR(AVERAGEIF('Daily KPI'!D:D,Table14[[#This Row],[Month]],'Daily KPI'!AB:AB),"")</f>
        <v/>
      </c>
      <c r="AA29" s="134" t="str">
        <f>IFERROR(AVERAGEIF($F$2:F29,F29,$Z$2:Z29),"")</f>
        <v/>
      </c>
      <c r="AB29" s="139"/>
      <c r="AC29" s="138">
        <f t="shared" ref="AC29:AC38" si="13">AC17</f>
        <v>7.1310648756787653</v>
      </c>
      <c r="AD29" s="138">
        <f>AVERAGEIF($F$2:F29,F29,$AC$2:AC29)</f>
        <v>6.2836120320091453</v>
      </c>
      <c r="AE29" s="111">
        <f t="shared" si="5"/>
        <v>0.96029999999999993</v>
      </c>
      <c r="AF29" s="111">
        <v>0.995</v>
      </c>
      <c r="AG29" s="111"/>
      <c r="AH29" s="111">
        <v>0.97</v>
      </c>
      <c r="AI29" s="111">
        <v>0.99</v>
      </c>
      <c r="AJ29" s="111">
        <v>0.95</v>
      </c>
      <c r="AK29" s="111">
        <v>0.05</v>
      </c>
      <c r="AL29" s="111">
        <v>0.05</v>
      </c>
      <c r="AM29" s="159"/>
      <c r="AN29" s="159"/>
    </row>
    <row r="30" spans="1:40">
      <c r="A30" s="133">
        <f t="shared" si="6"/>
        <v>29</v>
      </c>
      <c r="B30" s="132" t="str">
        <f t="shared" si="9"/>
        <v>August</v>
      </c>
      <c r="C30" s="133">
        <f t="shared" si="9"/>
        <v>8</v>
      </c>
      <c r="D30" s="132">
        <v>45139</v>
      </c>
      <c r="E30" s="110">
        <f t="shared" si="11"/>
        <v>2023</v>
      </c>
      <c r="F30" s="112" t="s">
        <v>437</v>
      </c>
      <c r="G30" s="133">
        <f t="shared" si="12"/>
        <v>31</v>
      </c>
      <c r="H30" s="137"/>
      <c r="I30" s="137"/>
      <c r="J30" s="135">
        <f t="shared" si="10"/>
        <v>6.8666666666666671</v>
      </c>
      <c r="K30" s="137"/>
      <c r="L30" s="133"/>
      <c r="M30" s="139">
        <v>21230</v>
      </c>
      <c r="N30" s="139">
        <v>80</v>
      </c>
      <c r="O30" s="111"/>
      <c r="P30" s="138"/>
      <c r="Q30" s="133">
        <f>COUNTIFS('Daily KPI'!$D:$D,D30,'Daily KPI'!$M:$M,"&gt;0")</f>
        <v>0</v>
      </c>
      <c r="R30" s="139"/>
      <c r="S30" s="139"/>
      <c r="T30" s="138">
        <f t="shared" si="0"/>
        <v>684.83870967741939</v>
      </c>
      <c r="U30" s="139">
        <f t="shared" si="1"/>
        <v>0</v>
      </c>
      <c r="V30" s="139">
        <f>SUMIF($F$2:F30,F30,$U$2:U30)</f>
        <v>0</v>
      </c>
      <c r="W30" s="111">
        <f t="shared" si="2"/>
        <v>0.35668682795698925</v>
      </c>
      <c r="X30" s="111" t="str">
        <f t="shared" si="3"/>
        <v/>
      </c>
      <c r="Y30" s="111" t="str">
        <f t="shared" si="4"/>
        <v/>
      </c>
      <c r="Z30" s="138" t="str">
        <f>IFERROR(AVERAGEIF('Daily KPI'!D:D,Table14[[#This Row],[Month]],'Daily KPI'!AB:AB),"")</f>
        <v/>
      </c>
      <c r="AA30" s="134" t="str">
        <f>IFERROR(AVERAGEIF($F$2:F30,F30,$Z$2:Z30),"")</f>
        <v/>
      </c>
      <c r="AB30" s="139"/>
      <c r="AC30" s="138">
        <f t="shared" si="13"/>
        <v>9.4530328665332952</v>
      </c>
      <c r="AD30" s="138">
        <f>AVERAGEIF($F$2:F30,F30,$AC$2:AC30)</f>
        <v>6.9174961989139749</v>
      </c>
      <c r="AE30" s="111">
        <f t="shared" si="5"/>
        <v>0.96029999999999993</v>
      </c>
      <c r="AF30" s="111">
        <v>0.995</v>
      </c>
      <c r="AG30" s="111"/>
      <c r="AH30" s="111">
        <v>0.97</v>
      </c>
      <c r="AI30" s="111">
        <v>0.99</v>
      </c>
      <c r="AJ30" s="111">
        <v>0.95</v>
      </c>
      <c r="AK30" s="111">
        <v>0.05</v>
      </c>
      <c r="AL30" s="111">
        <v>0.05</v>
      </c>
      <c r="AM30" s="159"/>
      <c r="AN30" s="159"/>
    </row>
    <row r="31" spans="1:40">
      <c r="A31" s="133">
        <f t="shared" si="6"/>
        <v>30</v>
      </c>
      <c r="B31" s="132" t="str">
        <f t="shared" si="9"/>
        <v>September</v>
      </c>
      <c r="C31" s="133">
        <f t="shared" si="9"/>
        <v>9</v>
      </c>
      <c r="D31" s="132">
        <v>45170</v>
      </c>
      <c r="E31" s="110">
        <f t="shared" si="11"/>
        <v>2023</v>
      </c>
      <c r="F31" s="112" t="s">
        <v>437</v>
      </c>
      <c r="G31" s="133">
        <f t="shared" si="12"/>
        <v>30</v>
      </c>
      <c r="H31" s="137"/>
      <c r="I31" s="137"/>
      <c r="J31" s="135">
        <f t="shared" si="10"/>
        <v>5.0333333333333332</v>
      </c>
      <c r="K31" s="137"/>
      <c r="L31" s="133"/>
      <c r="M31" s="139">
        <v>9020</v>
      </c>
      <c r="N31" s="139">
        <v>80</v>
      </c>
      <c r="O31" s="111"/>
      <c r="P31" s="138"/>
      <c r="Q31" s="133">
        <f>COUNTIFS('Daily KPI'!$D:$D,D31,'Daily KPI'!$M:$M,"&gt;0")</f>
        <v>0</v>
      </c>
      <c r="R31" s="139"/>
      <c r="S31" s="139"/>
      <c r="T31" s="138">
        <f t="shared" si="0"/>
        <v>300.66666666666669</v>
      </c>
      <c r="U31" s="139">
        <f t="shared" si="1"/>
        <v>0</v>
      </c>
      <c r="V31" s="139">
        <f>SUMIF($F$2:F31,F31,$U$2:U31)</f>
        <v>0</v>
      </c>
      <c r="W31" s="111">
        <f t="shared" si="2"/>
        <v>0.15659722222222222</v>
      </c>
      <c r="X31" s="111" t="str">
        <f t="shared" si="3"/>
        <v/>
      </c>
      <c r="Y31" s="111" t="str">
        <f t="shared" si="4"/>
        <v/>
      </c>
      <c r="Z31" s="138" t="str">
        <f>IFERROR(AVERAGEIF('Daily KPI'!D:D,Table14[[#This Row],[Month]],'Daily KPI'!AB:AB),"")</f>
        <v/>
      </c>
      <c r="AA31" s="134" t="str">
        <f>IFERROR(AVERAGEIF($F$2:F31,F31,$Z$2:Z31),"")</f>
        <v/>
      </c>
      <c r="AB31" s="139"/>
      <c r="AC31" s="138">
        <f t="shared" si="13"/>
        <v>10.303759359817088</v>
      </c>
      <c r="AD31" s="138">
        <f>AVERAGEIF($F$2:F31,F31,$AC$2:AC31)</f>
        <v>7.4818733923978264</v>
      </c>
      <c r="AE31" s="111">
        <f t="shared" si="5"/>
        <v>0.96029999999999993</v>
      </c>
      <c r="AF31" s="111">
        <v>0.995</v>
      </c>
      <c r="AG31" s="111"/>
      <c r="AH31" s="111">
        <v>0.97</v>
      </c>
      <c r="AI31" s="111">
        <v>0.99</v>
      </c>
      <c r="AJ31" s="111">
        <v>0.95</v>
      </c>
      <c r="AK31" s="111">
        <v>0.05</v>
      </c>
      <c r="AL31" s="111">
        <v>0.05</v>
      </c>
      <c r="AM31" s="159"/>
      <c r="AN31" s="159"/>
    </row>
    <row r="32" spans="1:40">
      <c r="A32" s="133">
        <f t="shared" si="6"/>
        <v>31</v>
      </c>
      <c r="B32" s="132" t="str">
        <f t="shared" si="9"/>
        <v>October</v>
      </c>
      <c r="C32" s="133">
        <f t="shared" si="9"/>
        <v>10</v>
      </c>
      <c r="D32" s="132">
        <v>45200</v>
      </c>
      <c r="E32" s="110">
        <f t="shared" si="11"/>
        <v>2023</v>
      </c>
      <c r="F32" s="112" t="s">
        <v>437</v>
      </c>
      <c r="G32" s="133">
        <f t="shared" si="12"/>
        <v>31</v>
      </c>
      <c r="H32" s="137"/>
      <c r="I32" s="137"/>
      <c r="J32" s="135">
        <f t="shared" si="10"/>
        <v>3.9666666666666668</v>
      </c>
      <c r="K32" s="137"/>
      <c r="L32" s="133"/>
      <c r="M32" s="139">
        <v>6030</v>
      </c>
      <c r="N32" s="139">
        <v>80</v>
      </c>
      <c r="O32" s="111"/>
      <c r="P32" s="138"/>
      <c r="Q32" s="133">
        <f>COUNTIFS('Daily KPI'!$D:$D,D32,'Daily KPI'!$M:$M,"&gt;0")</f>
        <v>0</v>
      </c>
      <c r="R32" s="139"/>
      <c r="S32" s="139"/>
      <c r="T32" s="138">
        <f t="shared" si="0"/>
        <v>194.51612903225808</v>
      </c>
      <c r="U32" s="139">
        <f t="shared" si="1"/>
        <v>0</v>
      </c>
      <c r="V32" s="139">
        <f>SUMIF($F$2:F32,F32,$U$2:U32)</f>
        <v>0</v>
      </c>
      <c r="W32" s="111">
        <f t="shared" si="2"/>
        <v>0.10131048387096775</v>
      </c>
      <c r="X32" s="111" t="str">
        <f t="shared" si="3"/>
        <v/>
      </c>
      <c r="Y32" s="111" t="str">
        <f t="shared" si="4"/>
        <v/>
      </c>
      <c r="Z32" s="138" t="str">
        <f>IFERROR(AVERAGEIF('Daily KPI'!D:D,Table14[[#This Row],[Month]],'Daily KPI'!AB:AB),"")</f>
        <v/>
      </c>
      <c r="AA32" s="134" t="str">
        <f>IFERROR(AVERAGEIF($F$2:F32,F32,$Z$2:Z32),"")</f>
        <v/>
      </c>
      <c r="AB32" s="139"/>
      <c r="AC32" s="138">
        <f t="shared" si="13"/>
        <v>8.5195147184909956</v>
      </c>
      <c r="AD32" s="138">
        <f>AVERAGEIF($F$2:F32,F32,$AC$2:AC32)</f>
        <v>7.6301078675539937</v>
      </c>
      <c r="AE32" s="111">
        <f t="shared" si="5"/>
        <v>0.96029999999999993</v>
      </c>
      <c r="AF32" s="111">
        <v>0.995</v>
      </c>
      <c r="AG32" s="111"/>
      <c r="AH32" s="111">
        <v>0.97</v>
      </c>
      <c r="AI32" s="111">
        <v>0.99</v>
      </c>
      <c r="AJ32" s="111">
        <v>0.95</v>
      </c>
      <c r="AK32" s="111">
        <v>0.05</v>
      </c>
      <c r="AL32" s="111">
        <v>0.05</v>
      </c>
      <c r="AM32" s="159"/>
      <c r="AN32" s="159"/>
    </row>
    <row r="33" spans="1:40">
      <c r="A33" s="133">
        <f t="shared" si="6"/>
        <v>32</v>
      </c>
      <c r="B33" s="132" t="str">
        <f t="shared" si="9"/>
        <v>November</v>
      </c>
      <c r="C33" s="133">
        <f t="shared" si="9"/>
        <v>11</v>
      </c>
      <c r="D33" s="132">
        <v>45231</v>
      </c>
      <c r="E33" s="110">
        <f t="shared" si="11"/>
        <v>2023</v>
      </c>
      <c r="F33" s="112" t="s">
        <v>437</v>
      </c>
      <c r="G33" s="133">
        <f t="shared" si="12"/>
        <v>30</v>
      </c>
      <c r="H33" s="137"/>
      <c r="I33" s="137"/>
      <c r="J33" s="135">
        <f t="shared" si="10"/>
        <v>4.0333333333333332</v>
      </c>
      <c r="K33" s="137"/>
      <c r="L33" s="133"/>
      <c r="M33" s="139">
        <v>5580</v>
      </c>
      <c r="N33" s="139">
        <v>80</v>
      </c>
      <c r="O33" s="111"/>
      <c r="P33" s="138"/>
      <c r="Q33" s="133">
        <f>COUNTIFS('Daily KPI'!$D:$D,D33,'Daily KPI'!$M:$M,"&gt;0")</f>
        <v>0</v>
      </c>
      <c r="R33" s="139"/>
      <c r="S33" s="139"/>
      <c r="T33" s="138">
        <f t="shared" si="0"/>
        <v>186</v>
      </c>
      <c r="U33" s="139">
        <f t="shared" si="1"/>
        <v>0</v>
      </c>
      <c r="V33" s="139">
        <f>SUMIF($F$2:F33,F33,$U$2:U33)</f>
        <v>0</v>
      </c>
      <c r="W33" s="111">
        <f t="shared" si="2"/>
        <v>9.6875000000000003E-2</v>
      </c>
      <c r="X33" s="111" t="str">
        <f t="shared" si="3"/>
        <v/>
      </c>
      <c r="Y33" s="111" t="str">
        <f t="shared" si="4"/>
        <v/>
      </c>
      <c r="Z33" s="138" t="str">
        <f>IFERROR(AVERAGEIF('Daily KPI'!D:D,Table14[[#This Row],[Month]],'Daily KPI'!AB:AB),"")</f>
        <v/>
      </c>
      <c r="AA33" s="134" t="str">
        <f>IFERROR(AVERAGEIF($F$2:F33,F33,$Z$2:Z33),"")</f>
        <v/>
      </c>
      <c r="AB33" s="139"/>
      <c r="AC33" s="138">
        <f t="shared" si="13"/>
        <v>7.2366664761360369</v>
      </c>
      <c r="AD33" s="138">
        <f>AVERAGEIF($F$2:F33,F33,$AC$2:AC33)</f>
        <v>7.5809276936267489</v>
      </c>
      <c r="AE33" s="111">
        <f t="shared" si="5"/>
        <v>0.96029999999999993</v>
      </c>
      <c r="AF33" s="111">
        <v>0.995</v>
      </c>
      <c r="AG33" s="111"/>
      <c r="AH33" s="111">
        <v>0.97</v>
      </c>
      <c r="AI33" s="111">
        <v>0.99</v>
      </c>
      <c r="AJ33" s="111">
        <v>0.95</v>
      </c>
      <c r="AK33" s="111">
        <v>0.05</v>
      </c>
      <c r="AL33" s="111">
        <v>0.05</v>
      </c>
      <c r="AM33" s="159"/>
      <c r="AN33" s="159"/>
    </row>
    <row r="34" spans="1:40">
      <c r="A34" s="133">
        <f t="shared" si="6"/>
        <v>33</v>
      </c>
      <c r="B34" s="132" t="str">
        <f t="shared" si="9"/>
        <v>December</v>
      </c>
      <c r="C34" s="133">
        <f t="shared" si="9"/>
        <v>12</v>
      </c>
      <c r="D34" s="132">
        <v>45261</v>
      </c>
      <c r="E34" s="110">
        <f t="shared" si="11"/>
        <v>2023</v>
      </c>
      <c r="F34" s="112" t="s">
        <v>437</v>
      </c>
      <c r="G34" s="133">
        <f t="shared" si="12"/>
        <v>31</v>
      </c>
      <c r="H34" s="137"/>
      <c r="I34" s="137"/>
      <c r="J34" s="135">
        <f t="shared" si="10"/>
        <v>4.4333333333333336</v>
      </c>
      <c r="K34" s="137"/>
      <c r="L34" s="133"/>
      <c r="M34" s="139">
        <v>6740</v>
      </c>
      <c r="N34" s="139">
        <v>80</v>
      </c>
      <c r="O34" s="111"/>
      <c r="P34" s="138"/>
      <c r="Q34" s="133">
        <f>COUNTIFS('Daily KPI'!$D:$D,D34,'Daily KPI'!$M:$M,"&gt;0")</f>
        <v>0</v>
      </c>
      <c r="R34" s="139"/>
      <c r="S34" s="139"/>
      <c r="T34" s="138">
        <f t="shared" si="0"/>
        <v>217.41935483870967</v>
      </c>
      <c r="U34" s="139">
        <f t="shared" si="1"/>
        <v>0</v>
      </c>
      <c r="V34" s="139">
        <f>SUMIF($F$2:F34,F34,$U$2:U34)</f>
        <v>0</v>
      </c>
      <c r="W34" s="111">
        <f t="shared" ref="W34:W61" si="14">IFERROR(T34/(24*N34),"")</f>
        <v>0.11323924731182795</v>
      </c>
      <c r="X34" s="111" t="str">
        <f t="shared" ref="X34:X61" si="15">IFERROR(U34/(24*N34*Q34),"")</f>
        <v/>
      </c>
      <c r="Y34" s="111" t="str">
        <f t="shared" ref="Y34:Y61" si="16">IFERROR(V34/(24*N34*SUMIFS($Q:$Q,$F:$F,$F34,$D:$D,"&lt;="&amp;D34)),"")</f>
        <v/>
      </c>
      <c r="Z34" s="138" t="str">
        <f>IFERROR(AVERAGEIF('Daily KPI'!D:D,Table14[[#This Row],[Month]],'Daily KPI'!AB:AB),"")</f>
        <v/>
      </c>
      <c r="AA34" s="134" t="str">
        <f>IFERROR(AVERAGEIF($F$2:F34,F34,$Z$2:Z34),"")</f>
        <v/>
      </c>
      <c r="AB34" s="139"/>
      <c r="AC34" s="138">
        <f t="shared" si="13"/>
        <v>6.0015501571877659</v>
      </c>
      <c r="AD34" s="138">
        <f>AVERAGEIF($F$2:F34,F34,$AC$2:AC34)</f>
        <v>7.4054413006890849</v>
      </c>
      <c r="AE34" s="111">
        <f t="shared" ref="AE34:AE61" si="17">IFERROR(AH34*AI34,"")</f>
        <v>0.96029999999999993</v>
      </c>
      <c r="AF34" s="111">
        <v>0.995</v>
      </c>
      <c r="AG34" s="111"/>
      <c r="AH34" s="111">
        <v>0.97</v>
      </c>
      <c r="AI34" s="111">
        <v>0.99</v>
      </c>
      <c r="AJ34" s="111">
        <v>0.95</v>
      </c>
      <c r="AK34" s="111">
        <v>0.05</v>
      </c>
      <c r="AL34" s="111">
        <v>0.05</v>
      </c>
      <c r="AM34" s="159"/>
      <c r="AN34" s="159"/>
    </row>
    <row r="35" spans="1:40">
      <c r="A35" s="133">
        <f t="shared" si="6"/>
        <v>34</v>
      </c>
      <c r="B35" s="132" t="str">
        <f t="shared" si="9"/>
        <v>January</v>
      </c>
      <c r="C35" s="133">
        <f t="shared" si="9"/>
        <v>1</v>
      </c>
      <c r="D35" s="132">
        <v>45292</v>
      </c>
      <c r="E35" s="110">
        <f t="shared" si="11"/>
        <v>2024</v>
      </c>
      <c r="F35" s="112" t="s">
        <v>437</v>
      </c>
      <c r="G35" s="133">
        <f t="shared" si="12"/>
        <v>31</v>
      </c>
      <c r="H35" s="137"/>
      <c r="I35" s="137"/>
      <c r="J35" s="135">
        <f t="shared" si="10"/>
        <v>3.8</v>
      </c>
      <c r="K35" s="137"/>
      <c r="L35" s="133"/>
      <c r="M35" s="139">
        <v>4700</v>
      </c>
      <c r="N35" s="139">
        <v>80</v>
      </c>
      <c r="O35" s="111"/>
      <c r="P35" s="138"/>
      <c r="Q35" s="133">
        <f>COUNTIFS('Daily KPI'!$D:$D,D35,'Daily KPI'!$M:$M,"&gt;0")</f>
        <v>0</v>
      </c>
      <c r="R35" s="139"/>
      <c r="S35" s="139"/>
      <c r="T35" s="138">
        <f t="shared" si="0"/>
        <v>151.61290322580646</v>
      </c>
      <c r="U35" s="139">
        <f t="shared" si="1"/>
        <v>0</v>
      </c>
      <c r="V35" s="139">
        <f>SUMIF($F$2:F35,F35,$U$2:U35)</f>
        <v>0</v>
      </c>
      <c r="W35" s="111">
        <f t="shared" si="14"/>
        <v>7.8965053763440859E-2</v>
      </c>
      <c r="X35" s="111" t="str">
        <f t="shared" si="15"/>
        <v/>
      </c>
      <c r="Y35" s="111" t="str">
        <f t="shared" si="16"/>
        <v/>
      </c>
      <c r="Z35" s="138" t="str">
        <f>IFERROR(AVERAGEIF('Daily KPI'!D:D,Table14[[#This Row],[Month]],'Daily KPI'!AB:AB),"")</f>
        <v/>
      </c>
      <c r="AA35" s="134" t="str">
        <f>IFERROR(AVERAGEIF($F$2:F35,F35,$Z$2:Z35),"")</f>
        <v/>
      </c>
      <c r="AB35" s="139"/>
      <c r="AC35" s="138">
        <f t="shared" si="13"/>
        <v>6.7073912546441834</v>
      </c>
      <c r="AD35" s="138">
        <f>AVERAGEIF($F$2:F35,F35,$AC$2:AC35)</f>
        <v>7.3356362960845942</v>
      </c>
      <c r="AE35" s="111">
        <f t="shared" si="17"/>
        <v>0.96029999999999993</v>
      </c>
      <c r="AF35" s="111">
        <v>0.995</v>
      </c>
      <c r="AG35" s="111"/>
      <c r="AH35" s="111">
        <v>0.97</v>
      </c>
      <c r="AI35" s="111">
        <v>0.99</v>
      </c>
      <c r="AJ35" s="111">
        <v>0.95</v>
      </c>
      <c r="AK35" s="111">
        <v>0.05</v>
      </c>
      <c r="AL35" s="111">
        <v>0.05</v>
      </c>
      <c r="AM35" s="159"/>
      <c r="AN35" s="159"/>
    </row>
    <row r="36" spans="1:40">
      <c r="A36" s="133">
        <f t="shared" si="6"/>
        <v>35</v>
      </c>
      <c r="B36" s="132" t="str">
        <f t="shared" si="9"/>
        <v>February</v>
      </c>
      <c r="C36" s="133">
        <f t="shared" si="9"/>
        <v>2</v>
      </c>
      <c r="D36" s="132">
        <v>45323</v>
      </c>
      <c r="E36" s="110">
        <f t="shared" si="11"/>
        <v>2024</v>
      </c>
      <c r="F36" s="112" t="s">
        <v>437</v>
      </c>
      <c r="G36" s="133">
        <f t="shared" si="12"/>
        <v>29</v>
      </c>
      <c r="H36" s="137"/>
      <c r="I36" s="137"/>
      <c r="J36" s="135">
        <f t="shared" si="10"/>
        <v>4.3</v>
      </c>
      <c r="K36" s="137"/>
      <c r="L36" s="133"/>
      <c r="M36" s="139">
        <v>5360</v>
      </c>
      <c r="N36" s="139">
        <v>80</v>
      </c>
      <c r="O36" s="111"/>
      <c r="P36" s="138"/>
      <c r="Q36" s="133">
        <f>COUNTIFS('Daily KPI'!$D:$D,D36,'Daily KPI'!$M:$M,"&gt;0")</f>
        <v>0</v>
      </c>
      <c r="R36" s="139"/>
      <c r="S36" s="139"/>
      <c r="T36" s="138">
        <f t="shared" si="0"/>
        <v>184.82758620689654</v>
      </c>
      <c r="U36" s="139">
        <f t="shared" si="1"/>
        <v>0</v>
      </c>
      <c r="V36" s="139">
        <f>SUMIF($F$2:F36,F36,$U$2:U36)</f>
        <v>0</v>
      </c>
      <c r="W36" s="111">
        <f t="shared" si="14"/>
        <v>9.6264367816091947E-2</v>
      </c>
      <c r="X36" s="111" t="str">
        <f t="shared" si="15"/>
        <v/>
      </c>
      <c r="Y36" s="111" t="str">
        <f t="shared" si="16"/>
        <v/>
      </c>
      <c r="Z36" s="138" t="str">
        <f>IFERROR(AVERAGEIF('Daily KPI'!D:D,Table14[[#This Row],[Month]],'Daily KPI'!AB:AB),"")</f>
        <v/>
      </c>
      <c r="AA36" s="134" t="str">
        <f>IFERROR(AVERAGEIF($F$2:F36,F36,$Z$2:Z36),"")</f>
        <v/>
      </c>
      <c r="AB36" s="139"/>
      <c r="AC36" s="138">
        <f t="shared" si="13"/>
        <v>7.0533420977422105</v>
      </c>
      <c r="AD36" s="138">
        <f>AVERAGEIF($F$2:F36,F36,$AC$2:AC36)</f>
        <v>7.3099731871443785</v>
      </c>
      <c r="AE36" s="111">
        <f t="shared" si="17"/>
        <v>0.96029999999999993</v>
      </c>
      <c r="AF36" s="111">
        <v>0.995</v>
      </c>
      <c r="AG36" s="111"/>
      <c r="AH36" s="111">
        <v>0.97</v>
      </c>
      <c r="AI36" s="111">
        <v>0.99</v>
      </c>
      <c r="AJ36" s="111">
        <v>0.95</v>
      </c>
      <c r="AK36" s="111">
        <v>0.05</v>
      </c>
      <c r="AL36" s="111">
        <v>0.05</v>
      </c>
      <c r="AM36" s="159"/>
      <c r="AN36" s="159"/>
    </row>
    <row r="37" spans="1:40">
      <c r="A37" s="133">
        <f t="shared" si="6"/>
        <v>36</v>
      </c>
      <c r="B37" s="132" t="str">
        <f t="shared" si="9"/>
        <v>March</v>
      </c>
      <c r="C37" s="133">
        <f t="shared" si="9"/>
        <v>3</v>
      </c>
      <c r="D37" s="132">
        <v>45352</v>
      </c>
      <c r="E37" s="110">
        <f t="shared" si="11"/>
        <v>2024</v>
      </c>
      <c r="F37" s="112" t="s">
        <v>437</v>
      </c>
      <c r="G37" s="133">
        <f t="shared" si="12"/>
        <v>31</v>
      </c>
      <c r="H37" s="137"/>
      <c r="I37" s="137"/>
      <c r="J37" s="135">
        <f t="shared" si="10"/>
        <v>4.5999999999999996</v>
      </c>
      <c r="K37" s="137"/>
      <c r="L37" s="133"/>
      <c r="M37" s="139">
        <v>8109.9999999999991</v>
      </c>
      <c r="N37" s="139">
        <v>80</v>
      </c>
      <c r="O37" s="111"/>
      <c r="P37" s="138"/>
      <c r="Q37" s="133">
        <f>COUNTIFS('Daily KPI'!$D:$D,D37,'Daily KPI'!$M:$M,"&gt;0")</f>
        <v>0</v>
      </c>
      <c r="R37" s="139"/>
      <c r="S37" s="139"/>
      <c r="T37" s="138">
        <f t="shared" si="0"/>
        <v>261.61290322580641</v>
      </c>
      <c r="U37" s="139">
        <f t="shared" si="1"/>
        <v>0</v>
      </c>
      <c r="V37" s="139">
        <f>SUMIF($F$2:F37,F37,$U$2:U37)</f>
        <v>0</v>
      </c>
      <c r="W37" s="111">
        <f t="shared" si="14"/>
        <v>0.1362567204301075</v>
      </c>
      <c r="X37" s="111" t="str">
        <f t="shared" si="15"/>
        <v/>
      </c>
      <c r="Y37" s="111" t="str">
        <f t="shared" si="16"/>
        <v/>
      </c>
      <c r="Z37" s="138" t="str">
        <f>IFERROR(AVERAGEIF('Daily KPI'!D:D,Table14[[#This Row],[Month]],'Daily KPI'!AB:AB),"")</f>
        <v/>
      </c>
      <c r="AA37" s="134" t="str">
        <f>IFERROR(AVERAGEIF($F$2:F37,F37,$Z$2:Z37),"")</f>
        <v/>
      </c>
      <c r="AB37" s="139"/>
      <c r="AC37" s="138">
        <f t="shared" si="13"/>
        <v>7.411120320091455</v>
      </c>
      <c r="AD37" s="138">
        <f>AVERAGEIF($F$2:F37,F37,$AC$2:AC37)</f>
        <v>7.3184021148899676</v>
      </c>
      <c r="AE37" s="111">
        <f t="shared" si="17"/>
        <v>0.96029999999999993</v>
      </c>
      <c r="AF37" s="111">
        <v>0.995</v>
      </c>
      <c r="AG37" s="111"/>
      <c r="AH37" s="111">
        <v>0.97</v>
      </c>
      <c r="AI37" s="111">
        <v>0.99</v>
      </c>
      <c r="AJ37" s="111">
        <v>0.95</v>
      </c>
      <c r="AK37" s="111">
        <v>0.05</v>
      </c>
      <c r="AL37" s="111">
        <v>0.05</v>
      </c>
      <c r="AM37" s="159"/>
      <c r="AN37" s="159"/>
    </row>
    <row r="38" spans="1:40">
      <c r="A38" s="133">
        <f t="shared" si="6"/>
        <v>37</v>
      </c>
      <c r="B38" s="132" t="str">
        <f t="shared" si="9"/>
        <v>April</v>
      </c>
      <c r="C38" s="133">
        <f t="shared" si="9"/>
        <v>4</v>
      </c>
      <c r="D38" s="132">
        <v>45383</v>
      </c>
      <c r="E38" s="110">
        <f t="shared" si="11"/>
        <v>2024</v>
      </c>
      <c r="F38" s="112" t="s">
        <v>438</v>
      </c>
      <c r="G38" s="133">
        <f t="shared" si="12"/>
        <v>30</v>
      </c>
      <c r="H38" s="137"/>
      <c r="I38" s="137"/>
      <c r="J38" s="135">
        <f t="shared" si="10"/>
        <v>5.6333333333333329</v>
      </c>
      <c r="K38" s="137"/>
      <c r="L38" s="133"/>
      <c r="M38" s="139">
        <v>11919.2</v>
      </c>
      <c r="N38" s="139">
        <v>80</v>
      </c>
      <c r="O38" s="111"/>
      <c r="P38" s="138"/>
      <c r="Q38" s="133">
        <f>COUNTIFS('Daily KPI'!$D:$D,D38,'Daily KPI'!$M:$M,"&gt;0")</f>
        <v>0</v>
      </c>
      <c r="R38" s="139"/>
      <c r="S38" s="139"/>
      <c r="T38" s="138">
        <f t="shared" si="0"/>
        <v>397.30666666666667</v>
      </c>
      <c r="U38" s="139">
        <f t="shared" si="1"/>
        <v>0</v>
      </c>
      <c r="V38" s="139">
        <f>SUMIF($F$2:F38,F38,$U$2:U38)</f>
        <v>0</v>
      </c>
      <c r="W38" s="111">
        <f t="shared" si="14"/>
        <v>0.20693055555555556</v>
      </c>
      <c r="X38" s="111" t="str">
        <f t="shared" si="15"/>
        <v/>
      </c>
      <c r="Y38" s="111" t="str">
        <f t="shared" si="16"/>
        <v/>
      </c>
      <c r="Z38" s="138" t="str">
        <f>IFERROR(AVERAGEIF('Daily KPI'!D:D,Table14[[#This Row],[Month]],'Daily KPI'!AB:AB),"")</f>
        <v/>
      </c>
      <c r="AA38" s="134" t="str">
        <f>IFERROR(AVERAGEIF($F$2:F38,F38,$Z$2:Z38),"")</f>
        <v/>
      </c>
      <c r="AB38" s="139"/>
      <c r="AC38" s="138">
        <f t="shared" si="13"/>
        <v>6.4041034581308942</v>
      </c>
      <c r="AD38" s="138">
        <f>AVERAGEIF($F$2:F38,F38,$AC$2:AC38)</f>
        <v>6.4041034581308942</v>
      </c>
      <c r="AE38" s="111">
        <f t="shared" si="17"/>
        <v>0.96029999999999993</v>
      </c>
      <c r="AF38" s="111">
        <v>0.995</v>
      </c>
      <c r="AG38" s="111"/>
      <c r="AH38" s="111">
        <v>0.97</v>
      </c>
      <c r="AI38" s="111">
        <v>0.99</v>
      </c>
      <c r="AJ38" s="111">
        <v>0.95</v>
      </c>
      <c r="AK38" s="111">
        <v>0.05</v>
      </c>
      <c r="AL38" s="111">
        <v>0.05</v>
      </c>
      <c r="AM38" s="159"/>
      <c r="AN38" s="159"/>
    </row>
    <row r="39" spans="1:40">
      <c r="A39" s="133">
        <f t="shared" si="6"/>
        <v>38</v>
      </c>
      <c r="B39" s="132" t="str">
        <f t="shared" si="9"/>
        <v>May</v>
      </c>
      <c r="C39" s="133">
        <f t="shared" si="9"/>
        <v>5</v>
      </c>
      <c r="D39" s="132">
        <v>45413</v>
      </c>
      <c r="E39" s="110">
        <f t="shared" si="11"/>
        <v>2024</v>
      </c>
      <c r="F39" s="112" t="s">
        <v>438</v>
      </c>
      <c r="G39" s="133">
        <f t="shared" si="12"/>
        <v>31</v>
      </c>
      <c r="H39" s="137"/>
      <c r="I39" s="137"/>
      <c r="J39" s="135">
        <f t="shared" si="10"/>
        <v>6.5666666666666664</v>
      </c>
      <c r="K39" s="137"/>
      <c r="L39" s="133"/>
      <c r="M39" s="139">
        <v>20174.900000000001</v>
      </c>
      <c r="N39" s="139">
        <v>80</v>
      </c>
      <c r="O39" s="111"/>
      <c r="P39" s="138"/>
      <c r="Q39" s="133">
        <f>COUNTIFS('Daily KPI'!$D:$D,D39,'Daily KPI'!$M:$M,"&gt;0")</f>
        <v>0</v>
      </c>
      <c r="R39" s="139"/>
      <c r="S39" s="139"/>
      <c r="T39" s="138">
        <f t="shared" si="0"/>
        <v>650.80322580645168</v>
      </c>
      <c r="U39" s="139">
        <f t="shared" si="1"/>
        <v>0</v>
      </c>
      <c r="V39" s="139">
        <f>SUMIF($F$2:F61,F39,$U$2:U61)</f>
        <v>773.27419354838707</v>
      </c>
      <c r="W39" s="111">
        <f t="shared" si="14"/>
        <v>0.33896001344086024</v>
      </c>
      <c r="X39" s="111" t="str">
        <f t="shared" si="15"/>
        <v/>
      </c>
      <c r="Y39" s="111" t="str">
        <f t="shared" si="16"/>
        <v/>
      </c>
      <c r="Z39" s="138" t="str">
        <f>IFERROR(AVERAGEIF('Daily KPI'!D:D,Table14[[#This Row],[Month]],'Daily KPI'!AB:AB),"")</f>
        <v/>
      </c>
      <c r="AA39" s="134" t="str">
        <f>IFERROR(AVERAGEIF($F$2:F39,F39,$Z$2:Z39),"")</f>
        <v/>
      </c>
      <c r="AB39" s="139"/>
      <c r="AC39" s="138">
        <f>AC27</f>
        <v>5.9681800514432695</v>
      </c>
      <c r="AD39" s="138">
        <f>AVERAGEIF($F$2:F61,F39,$AC$2:AC61)</f>
        <v>7.3184021148899676</v>
      </c>
      <c r="AE39" s="111">
        <f t="shared" si="17"/>
        <v>0.96029999999999993</v>
      </c>
      <c r="AF39" s="111">
        <v>0.995</v>
      </c>
      <c r="AG39" s="111"/>
      <c r="AH39" s="111">
        <v>0.97</v>
      </c>
      <c r="AI39" s="111">
        <v>0.99</v>
      </c>
      <c r="AJ39" s="111">
        <v>0.95</v>
      </c>
      <c r="AK39" s="111">
        <v>0.05</v>
      </c>
      <c r="AL39" s="111">
        <v>0.05</v>
      </c>
      <c r="AM39" s="159"/>
      <c r="AN39" s="159"/>
    </row>
    <row r="40" spans="1:40">
      <c r="A40" s="133">
        <f t="shared" si="6"/>
        <v>39</v>
      </c>
      <c r="B40" s="132" t="str">
        <f t="shared" ref="B40:C40" si="18">B28</f>
        <v>June</v>
      </c>
      <c r="C40" s="133">
        <f t="shared" si="18"/>
        <v>6</v>
      </c>
      <c r="D40" s="132">
        <v>45444</v>
      </c>
      <c r="E40" s="110">
        <f t="shared" ref="E40:E61" si="19">YEAR(D40)</f>
        <v>2024</v>
      </c>
      <c r="F40" s="112" t="s">
        <v>438</v>
      </c>
      <c r="G40" s="133">
        <f t="shared" ref="G40:G61" si="20">DAY(EOMONTH(D40,0))</f>
        <v>30</v>
      </c>
      <c r="H40" s="137"/>
      <c r="I40" s="137"/>
      <c r="J40" s="135">
        <f t="shared" si="10"/>
        <v>6.5666666666666664</v>
      </c>
      <c r="K40" s="137"/>
      <c r="L40" s="133"/>
      <c r="M40" s="139">
        <v>17527.099999999999</v>
      </c>
      <c r="N40" s="139">
        <v>80</v>
      </c>
      <c r="O40" s="111"/>
      <c r="P40" s="138"/>
      <c r="Q40" s="133">
        <f>COUNTIFS('Daily KPI'!$D:$D,D40,'Daily KPI'!$M:$M,"&gt;0")</f>
        <v>0</v>
      </c>
      <c r="R40" s="139"/>
      <c r="S40" s="139"/>
      <c r="T40" s="138">
        <f t="shared" ref="T40:T61" si="21">M40/G40</f>
        <v>584.23666666666657</v>
      </c>
      <c r="U40" s="139">
        <f t="shared" ref="U40:U61" si="22">M40/G40*Q40</f>
        <v>0</v>
      </c>
      <c r="V40" s="139">
        <f>SUMIF($F$2:F40,F40,$U$2:U40)</f>
        <v>0</v>
      </c>
      <c r="W40" s="111">
        <f t="shared" si="14"/>
        <v>0.30428993055555548</v>
      </c>
      <c r="X40" s="111" t="str">
        <f t="shared" si="15"/>
        <v/>
      </c>
      <c r="Y40" s="111" t="str">
        <f t="shared" si="16"/>
        <v/>
      </c>
      <c r="Z40" s="138" t="str">
        <f>IFERROR(AVERAGEIF('Daily KPI'!D:D,Table14[[#This Row],[Month]],'Daily KPI'!AB:AB),"")</f>
        <v/>
      </c>
      <c r="AA40" s="134" t="str">
        <f>IFERROR(AVERAGEIF($F$2:F40,F40,$Z$2:Z40),"")</f>
        <v/>
      </c>
      <c r="AB40" s="139"/>
      <c r="AC40" s="138">
        <f t="shared" ref="AC40:AC61" si="23">AC28</f>
        <v>5.6310997427836513</v>
      </c>
      <c r="AD40" s="138">
        <f>AVERAGEIF($F$2:F40,F40,$AC$2:AC40)</f>
        <v>6.0011277507859377</v>
      </c>
      <c r="AE40" s="111">
        <f t="shared" si="17"/>
        <v>0.96029999999999993</v>
      </c>
      <c r="AF40" s="111">
        <v>0.995</v>
      </c>
      <c r="AG40" s="111"/>
      <c r="AH40" s="111">
        <v>0.97</v>
      </c>
      <c r="AI40" s="111">
        <v>0.99</v>
      </c>
      <c r="AJ40" s="111">
        <v>0.95</v>
      </c>
      <c r="AK40" s="111">
        <v>0.05</v>
      </c>
      <c r="AL40" s="111">
        <v>0.05</v>
      </c>
      <c r="AM40" s="159"/>
      <c r="AN40" s="159"/>
    </row>
    <row r="41" spans="1:40">
      <c r="A41" s="133">
        <f t="shared" si="6"/>
        <v>40</v>
      </c>
      <c r="B41" s="132" t="str">
        <f t="shared" ref="B41:C41" si="24">B29</f>
        <v>July</v>
      </c>
      <c r="C41" s="133">
        <f t="shared" si="24"/>
        <v>7</v>
      </c>
      <c r="D41" s="132">
        <v>45474</v>
      </c>
      <c r="E41" s="110">
        <f t="shared" si="19"/>
        <v>2024</v>
      </c>
      <c r="F41" s="112" t="s">
        <v>438</v>
      </c>
      <c r="G41" s="133">
        <f t="shared" si="20"/>
        <v>31</v>
      </c>
      <c r="H41" s="137"/>
      <c r="I41" s="137"/>
      <c r="J41" s="135">
        <f t="shared" si="10"/>
        <v>7.6000000000000005</v>
      </c>
      <c r="K41" s="137"/>
      <c r="L41" s="133"/>
      <c r="M41" s="139">
        <v>21165.200000000001</v>
      </c>
      <c r="N41" s="139">
        <v>80</v>
      </c>
      <c r="O41" s="111"/>
      <c r="P41" s="138"/>
      <c r="Q41" s="133">
        <f>COUNTIFS('Daily KPI'!$D:$D,D41,'Daily KPI'!$M:$M,"&gt;0")</f>
        <v>0</v>
      </c>
      <c r="R41" s="139"/>
      <c r="S41" s="139"/>
      <c r="T41" s="138">
        <f t="shared" si="21"/>
        <v>682.7483870967742</v>
      </c>
      <c r="U41" s="139">
        <f t="shared" si="22"/>
        <v>0</v>
      </c>
      <c r="V41" s="139">
        <f>SUMIF($F$2:F41,F41,$U$2:U41)</f>
        <v>0</v>
      </c>
      <c r="W41" s="111">
        <f t="shared" si="14"/>
        <v>0.35559811827956989</v>
      </c>
      <c r="X41" s="111" t="str">
        <f t="shared" si="15"/>
        <v/>
      </c>
      <c r="Y41" s="111" t="str">
        <f t="shared" si="16"/>
        <v/>
      </c>
      <c r="Z41" s="138" t="str">
        <f>IFERROR(AVERAGEIF('Daily KPI'!D:D,Table14[[#This Row],[Month]],'Daily KPI'!AB:AB),"")</f>
        <v/>
      </c>
      <c r="AA41" s="134" t="str">
        <f>IFERROR(AVERAGEIF($F$2:F41,F41,$Z$2:Z41),"")</f>
        <v/>
      </c>
      <c r="AB41" s="139"/>
      <c r="AC41" s="138">
        <f t="shared" si="23"/>
        <v>7.1310648756787653</v>
      </c>
      <c r="AD41" s="138">
        <f>AVERAGEIF($F$2:F41,F41,$AC$2:AC41)</f>
        <v>6.2836120320091453</v>
      </c>
      <c r="AE41" s="111">
        <f t="shared" si="17"/>
        <v>0.96029999999999993</v>
      </c>
      <c r="AF41" s="111">
        <v>0.995</v>
      </c>
      <c r="AG41" s="111"/>
      <c r="AH41" s="111">
        <v>0.97</v>
      </c>
      <c r="AI41" s="111">
        <v>0.99</v>
      </c>
      <c r="AJ41" s="111">
        <v>0.95</v>
      </c>
      <c r="AK41" s="111">
        <v>0.05</v>
      </c>
      <c r="AL41" s="111">
        <v>0.05</v>
      </c>
      <c r="AM41" s="159"/>
      <c r="AN41" s="159"/>
    </row>
    <row r="42" spans="1:40">
      <c r="A42" s="133">
        <f t="shared" si="6"/>
        <v>41</v>
      </c>
      <c r="B42" s="132" t="str">
        <f t="shared" ref="B42:C42" si="25">B30</f>
        <v>August</v>
      </c>
      <c r="C42" s="133">
        <f t="shared" si="25"/>
        <v>8</v>
      </c>
      <c r="D42" s="132">
        <v>45505</v>
      </c>
      <c r="E42" s="110">
        <f t="shared" si="19"/>
        <v>2024</v>
      </c>
      <c r="F42" s="112" t="s">
        <v>438</v>
      </c>
      <c r="G42" s="133">
        <f t="shared" si="20"/>
        <v>31</v>
      </c>
      <c r="H42" s="137"/>
      <c r="I42" s="137"/>
      <c r="J42" s="135">
        <f t="shared" si="10"/>
        <v>6.8666666666666671</v>
      </c>
      <c r="K42" s="137"/>
      <c r="L42" s="133"/>
      <c r="M42" s="139">
        <v>22256.9</v>
      </c>
      <c r="N42" s="139">
        <v>80</v>
      </c>
      <c r="O42" s="111"/>
      <c r="P42" s="138"/>
      <c r="Q42" s="133">
        <f>COUNTIFS('Daily KPI'!$D:$D,D42,'Daily KPI'!$M:$M,"&gt;0")</f>
        <v>0</v>
      </c>
      <c r="R42" s="139"/>
      <c r="S42" s="139"/>
      <c r="T42" s="138">
        <f t="shared" si="21"/>
        <v>717.96451612903229</v>
      </c>
      <c r="U42" s="139">
        <f t="shared" si="22"/>
        <v>0</v>
      </c>
      <c r="V42" s="139">
        <f>SUMIF($F$2:F42,F42,$U$2:U42)</f>
        <v>0</v>
      </c>
      <c r="W42" s="111">
        <f t="shared" si="14"/>
        <v>0.37393985215053765</v>
      </c>
      <c r="X42" s="111" t="str">
        <f t="shared" si="15"/>
        <v/>
      </c>
      <c r="Y42" s="111" t="str">
        <f t="shared" si="16"/>
        <v/>
      </c>
      <c r="Z42" s="138" t="str">
        <f>IFERROR(AVERAGEIF('Daily KPI'!D:D,Table14[[#This Row],[Month]],'Daily KPI'!AB:AB),"")</f>
        <v/>
      </c>
      <c r="AA42" s="134" t="str">
        <f>IFERROR(AVERAGEIF($F$2:F42,F42,$Z$2:Z42),"")</f>
        <v/>
      </c>
      <c r="AB42" s="139"/>
      <c r="AC42" s="138">
        <f t="shared" si="23"/>
        <v>9.4530328665332952</v>
      </c>
      <c r="AD42" s="138">
        <f>AVERAGEIF($F$2:F42,F42,$AC$2:AC42)</f>
        <v>6.9174961989139749</v>
      </c>
      <c r="AE42" s="111">
        <f t="shared" si="17"/>
        <v>0.96029999999999993</v>
      </c>
      <c r="AF42" s="111">
        <v>0.995</v>
      </c>
      <c r="AG42" s="111"/>
      <c r="AH42" s="111">
        <v>0.97</v>
      </c>
      <c r="AI42" s="111">
        <v>0.99</v>
      </c>
      <c r="AJ42" s="111">
        <v>0.95</v>
      </c>
      <c r="AK42" s="111">
        <v>0.05</v>
      </c>
      <c r="AL42" s="111">
        <v>0.05</v>
      </c>
      <c r="AM42" s="159"/>
      <c r="AN42" s="159"/>
    </row>
    <row r="43" spans="1:40">
      <c r="A43" s="133">
        <f t="shared" si="6"/>
        <v>42</v>
      </c>
      <c r="B43" s="132" t="str">
        <f t="shared" ref="B43:C43" si="26">B31</f>
        <v>September</v>
      </c>
      <c r="C43" s="133">
        <f t="shared" si="26"/>
        <v>9</v>
      </c>
      <c r="D43" s="132">
        <v>45536</v>
      </c>
      <c r="E43" s="110">
        <f t="shared" si="19"/>
        <v>2024</v>
      </c>
      <c r="F43" s="112" t="s">
        <v>438</v>
      </c>
      <c r="G43" s="133">
        <f t="shared" si="20"/>
        <v>30</v>
      </c>
      <c r="H43" s="137"/>
      <c r="I43" s="137"/>
      <c r="J43" s="135">
        <f t="shared" si="10"/>
        <v>5.0333333333333332</v>
      </c>
      <c r="K43" s="137"/>
      <c r="L43" s="133"/>
      <c r="M43" s="139">
        <v>9773.7999999999993</v>
      </c>
      <c r="N43" s="139">
        <v>80</v>
      </c>
      <c r="O43" s="111"/>
      <c r="P43" s="138"/>
      <c r="Q43" s="133">
        <f>COUNTIFS('Daily KPI'!$D:$D,D43,'Daily KPI'!$M:$M,"&gt;0")</f>
        <v>0</v>
      </c>
      <c r="R43" s="139"/>
      <c r="S43" s="139"/>
      <c r="T43" s="138">
        <f t="shared" si="21"/>
        <v>325.79333333333329</v>
      </c>
      <c r="U43" s="139">
        <f t="shared" si="22"/>
        <v>0</v>
      </c>
      <c r="V43" s="139">
        <f>SUMIF($F$2:F43,F43,$U$2:U43)</f>
        <v>0</v>
      </c>
      <c r="W43" s="111">
        <f t="shared" si="14"/>
        <v>0.16968402777777775</v>
      </c>
      <c r="X43" s="111" t="str">
        <f t="shared" si="15"/>
        <v/>
      </c>
      <c r="Y43" s="111" t="str">
        <f t="shared" si="16"/>
        <v/>
      </c>
      <c r="Z43" s="138" t="str">
        <f>IFERROR(AVERAGEIF('Daily KPI'!D:D,Table14[[#This Row],[Month]],'Daily KPI'!AB:AB),"")</f>
        <v/>
      </c>
      <c r="AA43" s="134" t="str">
        <f>IFERROR(AVERAGEIF($F$2:F43,F43,$Z$2:Z43),"")</f>
        <v/>
      </c>
      <c r="AB43" s="139"/>
      <c r="AC43" s="138">
        <f t="shared" si="23"/>
        <v>10.303759359817088</v>
      </c>
      <c r="AD43" s="138">
        <f>AVERAGEIF($F$2:F43,F43,$AC$2:AC43)</f>
        <v>7.4818733923978264</v>
      </c>
      <c r="AE43" s="111">
        <f t="shared" si="17"/>
        <v>0.96029999999999993</v>
      </c>
      <c r="AF43" s="111">
        <v>0.995</v>
      </c>
      <c r="AG43" s="111"/>
      <c r="AH43" s="111">
        <v>0.97</v>
      </c>
      <c r="AI43" s="111">
        <v>0.99</v>
      </c>
      <c r="AJ43" s="111">
        <v>0.95</v>
      </c>
      <c r="AK43" s="111">
        <v>0.05</v>
      </c>
      <c r="AL43" s="111">
        <v>0.05</v>
      </c>
      <c r="AM43" s="159"/>
      <c r="AN43" s="159"/>
    </row>
    <row r="44" spans="1:40">
      <c r="A44" s="133">
        <f t="shared" si="6"/>
        <v>43</v>
      </c>
      <c r="B44" s="132" t="str">
        <f t="shared" ref="B44:C44" si="27">B32</f>
        <v>October</v>
      </c>
      <c r="C44" s="133">
        <f t="shared" si="27"/>
        <v>10</v>
      </c>
      <c r="D44" s="132">
        <v>45566</v>
      </c>
      <c r="E44" s="110">
        <f t="shared" si="19"/>
        <v>2024</v>
      </c>
      <c r="F44" s="112" t="s">
        <v>438</v>
      </c>
      <c r="G44" s="133">
        <f t="shared" si="20"/>
        <v>31</v>
      </c>
      <c r="H44" s="137"/>
      <c r="I44" s="137"/>
      <c r="J44" s="135">
        <f t="shared" si="10"/>
        <v>3.9666666666666668</v>
      </c>
      <c r="K44" s="137"/>
      <c r="L44" s="133"/>
      <c r="M44" s="139">
        <v>5947</v>
      </c>
      <c r="N44" s="139">
        <v>80</v>
      </c>
      <c r="O44" s="111"/>
      <c r="P44" s="138"/>
      <c r="Q44" s="133">
        <f>COUNTIFS('Daily KPI'!$D:$D,D44,'Daily KPI'!$M:$M,"&gt;0")</f>
        <v>0</v>
      </c>
      <c r="R44" s="139"/>
      <c r="S44" s="139"/>
      <c r="T44" s="138">
        <f t="shared" si="21"/>
        <v>191.83870967741936</v>
      </c>
      <c r="U44" s="139">
        <f t="shared" si="22"/>
        <v>0</v>
      </c>
      <c r="V44" s="139">
        <f>SUMIF($F$2:F44,F44,$U$2:U44)</f>
        <v>0</v>
      </c>
      <c r="W44" s="111">
        <f t="shared" si="14"/>
        <v>9.9915994623655913E-2</v>
      </c>
      <c r="X44" s="111" t="str">
        <f t="shared" si="15"/>
        <v/>
      </c>
      <c r="Y44" s="111" t="str">
        <f t="shared" si="16"/>
        <v/>
      </c>
      <c r="Z44" s="138" t="str">
        <f>IFERROR(AVERAGEIF('Daily KPI'!D:D,Table14[[#This Row],[Month]],'Daily KPI'!AB:AB),"")</f>
        <v/>
      </c>
      <c r="AA44" s="134" t="str">
        <f>IFERROR(AVERAGEIF($F$2:F44,F44,$Z$2:Z44),"")</f>
        <v/>
      </c>
      <c r="AB44" s="139"/>
      <c r="AC44" s="138">
        <f t="shared" si="23"/>
        <v>8.5195147184909956</v>
      </c>
      <c r="AD44" s="138">
        <f>AVERAGEIF($F$2:F44,F44,$AC$2:AC44)</f>
        <v>7.6301078675539937</v>
      </c>
      <c r="AE44" s="111">
        <f t="shared" si="17"/>
        <v>0.96029999999999993</v>
      </c>
      <c r="AF44" s="111">
        <v>0.995</v>
      </c>
      <c r="AG44" s="111"/>
      <c r="AH44" s="111">
        <v>0.97</v>
      </c>
      <c r="AI44" s="111">
        <v>0.99</v>
      </c>
      <c r="AJ44" s="111">
        <v>0.95</v>
      </c>
      <c r="AK44" s="111">
        <v>0.05</v>
      </c>
      <c r="AL44" s="111">
        <v>0.05</v>
      </c>
      <c r="AM44" s="159"/>
      <c r="AN44" s="159"/>
    </row>
    <row r="45" spans="1:40">
      <c r="A45" s="133">
        <f t="shared" si="6"/>
        <v>44</v>
      </c>
      <c r="B45" s="132" t="str">
        <f t="shared" ref="B45:C45" si="28">B33</f>
        <v>November</v>
      </c>
      <c r="C45" s="133">
        <f t="shared" si="28"/>
        <v>11</v>
      </c>
      <c r="D45" s="132">
        <v>45597</v>
      </c>
      <c r="E45" s="110">
        <f t="shared" si="19"/>
        <v>2024</v>
      </c>
      <c r="F45" s="112" t="s">
        <v>438</v>
      </c>
      <c r="G45" s="133">
        <f t="shared" si="20"/>
        <v>30</v>
      </c>
      <c r="H45" s="137"/>
      <c r="I45" s="137"/>
      <c r="J45" s="135">
        <f t="shared" si="10"/>
        <v>4.0333333333333332</v>
      </c>
      <c r="K45" s="137"/>
      <c r="L45" s="133"/>
      <c r="M45" s="139">
        <v>5683.6</v>
      </c>
      <c r="N45" s="139">
        <v>80</v>
      </c>
      <c r="O45" s="111"/>
      <c r="P45" s="138"/>
      <c r="Q45" s="133">
        <f>COUNTIFS('Daily KPI'!$D:$D,D45,'Daily KPI'!$M:$M,"&gt;0")</f>
        <v>0</v>
      </c>
      <c r="R45" s="139"/>
      <c r="S45" s="139"/>
      <c r="T45" s="138">
        <f t="shared" si="21"/>
        <v>189.45333333333335</v>
      </c>
      <c r="U45" s="139">
        <f t="shared" si="22"/>
        <v>0</v>
      </c>
      <c r="V45" s="139">
        <f>SUMIF($F$2:F45,F45,$U$2:U45)</f>
        <v>0</v>
      </c>
      <c r="W45" s="111">
        <f t="shared" si="14"/>
        <v>9.8673611111111115E-2</v>
      </c>
      <c r="X45" s="111" t="str">
        <f t="shared" si="15"/>
        <v/>
      </c>
      <c r="Y45" s="111" t="str">
        <f t="shared" si="16"/>
        <v/>
      </c>
      <c r="Z45" s="138" t="str">
        <f>IFERROR(AVERAGEIF('Daily KPI'!D:D,Table14[[#This Row],[Month]],'Daily KPI'!AB:AB),"")</f>
        <v/>
      </c>
      <c r="AA45" s="134" t="str">
        <f>IFERROR(AVERAGEIF($F$2:F45,F45,$Z$2:Z45),"")</f>
        <v/>
      </c>
      <c r="AB45" s="139"/>
      <c r="AC45" s="138">
        <f t="shared" si="23"/>
        <v>7.2366664761360369</v>
      </c>
      <c r="AD45" s="138">
        <f>AVERAGEIF($F$2:F45,F45,$AC$2:AC45)</f>
        <v>7.5809276936267489</v>
      </c>
      <c r="AE45" s="111">
        <f t="shared" si="17"/>
        <v>0.96029999999999993</v>
      </c>
      <c r="AF45" s="111">
        <v>0.995</v>
      </c>
      <c r="AG45" s="111"/>
      <c r="AH45" s="111">
        <v>0.97</v>
      </c>
      <c r="AI45" s="111">
        <v>0.99</v>
      </c>
      <c r="AJ45" s="111">
        <v>0.95</v>
      </c>
      <c r="AK45" s="111">
        <v>0.05</v>
      </c>
      <c r="AL45" s="111">
        <v>0.05</v>
      </c>
      <c r="AM45" s="159"/>
      <c r="AN45" s="159"/>
    </row>
    <row r="46" spans="1:40">
      <c r="A46" s="133">
        <f t="shared" si="6"/>
        <v>45</v>
      </c>
      <c r="B46" s="132" t="str">
        <f t="shared" ref="B46:C46" si="29">B34</f>
        <v>December</v>
      </c>
      <c r="C46" s="133">
        <f t="shared" si="29"/>
        <v>12</v>
      </c>
      <c r="D46" s="132">
        <v>45627</v>
      </c>
      <c r="E46" s="110">
        <f t="shared" si="19"/>
        <v>2024</v>
      </c>
      <c r="F46" s="112" t="s">
        <v>438</v>
      </c>
      <c r="G46" s="133">
        <f t="shared" si="20"/>
        <v>31</v>
      </c>
      <c r="H46" s="137"/>
      <c r="I46" s="137"/>
      <c r="J46" s="135">
        <f t="shared" si="10"/>
        <v>4.4333333333333336</v>
      </c>
      <c r="K46" s="137"/>
      <c r="L46" s="133"/>
      <c r="M46" s="139">
        <v>6645.2</v>
      </c>
      <c r="N46" s="139">
        <v>80</v>
      </c>
      <c r="O46" s="111"/>
      <c r="P46" s="138"/>
      <c r="Q46" s="133">
        <f>COUNTIFS('Daily KPI'!$D:$D,D46,'Daily KPI'!$M:$M,"&gt;0")</f>
        <v>0</v>
      </c>
      <c r="R46" s="139"/>
      <c r="S46" s="139"/>
      <c r="T46" s="138">
        <f t="shared" si="21"/>
        <v>214.36129032258063</v>
      </c>
      <c r="U46" s="139">
        <f t="shared" si="22"/>
        <v>0</v>
      </c>
      <c r="V46" s="139">
        <f>SUMIF($F$2:F46,F46,$U$2:U46)</f>
        <v>0</v>
      </c>
      <c r="W46" s="111">
        <f t="shared" si="14"/>
        <v>0.11164650537634407</v>
      </c>
      <c r="X46" s="111" t="str">
        <f t="shared" si="15"/>
        <v/>
      </c>
      <c r="Y46" s="111" t="str">
        <f t="shared" si="16"/>
        <v/>
      </c>
      <c r="Z46" s="138" t="str">
        <f>IFERROR(AVERAGEIF('Daily KPI'!D:D,Table14[[#This Row],[Month]],'Daily KPI'!AB:AB),"")</f>
        <v/>
      </c>
      <c r="AA46" s="134" t="str">
        <f>IFERROR(AVERAGEIF($F$2:F46,F46,$Z$2:Z46),"")</f>
        <v/>
      </c>
      <c r="AB46" s="139"/>
      <c r="AC46" s="138">
        <f t="shared" si="23"/>
        <v>6.0015501571877659</v>
      </c>
      <c r="AD46" s="138">
        <f>AVERAGEIF($F$2:F46,F46,$AC$2:AC46)</f>
        <v>7.4054413006890849</v>
      </c>
      <c r="AE46" s="111">
        <f t="shared" si="17"/>
        <v>0.96029999999999993</v>
      </c>
      <c r="AF46" s="111">
        <v>0.995</v>
      </c>
      <c r="AG46" s="111"/>
      <c r="AH46" s="111">
        <v>0.97</v>
      </c>
      <c r="AI46" s="111">
        <v>0.99</v>
      </c>
      <c r="AJ46" s="111">
        <v>0.95</v>
      </c>
      <c r="AK46" s="111">
        <v>0.05</v>
      </c>
      <c r="AL46" s="111">
        <v>0.05</v>
      </c>
      <c r="AM46" s="159"/>
      <c r="AN46" s="159"/>
    </row>
    <row r="47" spans="1:40">
      <c r="A47" s="133">
        <f t="shared" si="6"/>
        <v>46</v>
      </c>
      <c r="B47" s="132" t="str">
        <f t="shared" ref="B47:C47" si="30">B35</f>
        <v>January</v>
      </c>
      <c r="C47" s="133">
        <f t="shared" si="30"/>
        <v>1</v>
      </c>
      <c r="D47" s="132">
        <v>45658</v>
      </c>
      <c r="E47" s="110">
        <f t="shared" si="19"/>
        <v>2025</v>
      </c>
      <c r="F47" s="112" t="s">
        <v>438</v>
      </c>
      <c r="G47" s="133">
        <f t="shared" si="20"/>
        <v>31</v>
      </c>
      <c r="H47" s="137"/>
      <c r="I47" s="137"/>
      <c r="J47" s="135">
        <f t="shared" si="10"/>
        <v>3.8</v>
      </c>
      <c r="K47" s="137"/>
      <c r="L47" s="133"/>
      <c r="M47" s="139">
        <v>4628.1000000000004</v>
      </c>
      <c r="N47" s="139">
        <v>80</v>
      </c>
      <c r="O47" s="111"/>
      <c r="P47" s="138"/>
      <c r="Q47" s="133">
        <f>COUNTIFS('Daily KPI'!$D:$D,D47,'Daily KPI'!$M:$M,"&gt;0")</f>
        <v>0</v>
      </c>
      <c r="R47" s="139"/>
      <c r="S47" s="139"/>
      <c r="T47" s="138">
        <f t="shared" si="21"/>
        <v>149.29354838709679</v>
      </c>
      <c r="U47" s="139">
        <f t="shared" si="22"/>
        <v>0</v>
      </c>
      <c r="V47" s="139">
        <f>SUMIF($F$2:F47,F47,$U$2:U47)</f>
        <v>0</v>
      </c>
      <c r="W47" s="111">
        <f t="shared" si="14"/>
        <v>7.7757056451612919E-2</v>
      </c>
      <c r="X47" s="111" t="str">
        <f t="shared" si="15"/>
        <v/>
      </c>
      <c r="Y47" s="111" t="str">
        <f t="shared" si="16"/>
        <v/>
      </c>
      <c r="Z47" s="138" t="str">
        <f>IFERROR(AVERAGEIF('Daily KPI'!D:D,Table14[[#This Row],[Month]],'Daily KPI'!AB:AB),"")</f>
        <v/>
      </c>
      <c r="AA47" s="134" t="str">
        <f>IFERROR(AVERAGEIF($F$2:F47,F47,$Z$2:Z47),"")</f>
        <v/>
      </c>
      <c r="AB47" s="139"/>
      <c r="AC47" s="138">
        <f t="shared" si="23"/>
        <v>6.7073912546441834</v>
      </c>
      <c r="AD47" s="138">
        <f>AVERAGEIF($F$2:F47,F47,$AC$2:AC47)</f>
        <v>7.3356362960845942</v>
      </c>
      <c r="AE47" s="111">
        <f t="shared" si="17"/>
        <v>0.96029999999999993</v>
      </c>
      <c r="AF47" s="111">
        <v>0.995</v>
      </c>
      <c r="AG47" s="111"/>
      <c r="AH47" s="111">
        <v>0.97</v>
      </c>
      <c r="AI47" s="111">
        <v>0.99</v>
      </c>
      <c r="AJ47" s="111">
        <v>0.95</v>
      </c>
      <c r="AK47" s="111">
        <v>0.05</v>
      </c>
      <c r="AL47" s="111">
        <v>0.05</v>
      </c>
      <c r="AM47" s="159"/>
      <c r="AN47" s="159"/>
    </row>
    <row r="48" spans="1:40">
      <c r="A48" s="133">
        <f t="shared" si="6"/>
        <v>47</v>
      </c>
      <c r="B48" s="132" t="str">
        <f t="shared" ref="B48:C48" si="31">B36</f>
        <v>February</v>
      </c>
      <c r="C48" s="133">
        <f t="shared" si="31"/>
        <v>2</v>
      </c>
      <c r="D48" s="132">
        <v>45689</v>
      </c>
      <c r="E48" s="110">
        <f t="shared" si="19"/>
        <v>2025</v>
      </c>
      <c r="F48" s="112" t="s">
        <v>438</v>
      </c>
      <c r="G48" s="133">
        <f t="shared" si="20"/>
        <v>28</v>
      </c>
      <c r="H48" s="137"/>
      <c r="I48" s="137"/>
      <c r="J48" s="135">
        <f t="shared" si="10"/>
        <v>4.3</v>
      </c>
      <c r="K48" s="137"/>
      <c r="L48" s="133"/>
      <c r="M48" s="139">
        <v>5610.2</v>
      </c>
      <c r="N48" s="139">
        <v>80</v>
      </c>
      <c r="O48" s="111"/>
      <c r="P48" s="138"/>
      <c r="Q48" s="133">
        <f>COUNTIFS('Daily KPI'!$D:$D,D48,'Daily KPI'!$M:$M,"&gt;0")</f>
        <v>0</v>
      </c>
      <c r="R48" s="139"/>
      <c r="S48" s="139"/>
      <c r="T48" s="138">
        <f t="shared" si="21"/>
        <v>200.3642857142857</v>
      </c>
      <c r="U48" s="139">
        <f t="shared" si="22"/>
        <v>0</v>
      </c>
      <c r="V48" s="139">
        <f>SUMIF($F$2:F48,F48,$U$2:U48)</f>
        <v>0</v>
      </c>
      <c r="W48" s="111">
        <f t="shared" si="14"/>
        <v>0.1043563988095238</v>
      </c>
      <c r="X48" s="111" t="str">
        <f t="shared" si="15"/>
        <v/>
      </c>
      <c r="Y48" s="111" t="str">
        <f t="shared" si="16"/>
        <v/>
      </c>
      <c r="Z48" s="138" t="str">
        <f>IFERROR(AVERAGEIF('Daily KPI'!D:D,Table14[[#This Row],[Month]],'Daily KPI'!AB:AB),"")</f>
        <v/>
      </c>
      <c r="AA48" s="134" t="str">
        <f>IFERROR(AVERAGEIF($F$2:F48,F48,$Z$2:Z48),"")</f>
        <v/>
      </c>
      <c r="AB48" s="139"/>
      <c r="AC48" s="138">
        <f t="shared" si="23"/>
        <v>7.0533420977422105</v>
      </c>
      <c r="AD48" s="138">
        <f>AVERAGEIF($F$2:F48,F48,$AC$2:AC48)</f>
        <v>7.3099731871443785</v>
      </c>
      <c r="AE48" s="111">
        <f t="shared" si="17"/>
        <v>0.96029999999999993</v>
      </c>
      <c r="AF48" s="111">
        <v>0.995</v>
      </c>
      <c r="AG48" s="111"/>
      <c r="AH48" s="111">
        <v>0.97</v>
      </c>
      <c r="AI48" s="111">
        <v>0.99</v>
      </c>
      <c r="AJ48" s="111">
        <v>0.95</v>
      </c>
      <c r="AK48" s="111">
        <v>0.05</v>
      </c>
      <c r="AL48" s="111">
        <v>0.05</v>
      </c>
      <c r="AM48" s="159"/>
      <c r="AN48" s="159"/>
    </row>
    <row r="49" spans="1:40">
      <c r="A49" s="133">
        <f t="shared" si="6"/>
        <v>48</v>
      </c>
      <c r="B49" s="132" t="str">
        <f t="shared" ref="B49:C49" si="32">B37</f>
        <v>March</v>
      </c>
      <c r="C49" s="133">
        <f t="shared" si="32"/>
        <v>3</v>
      </c>
      <c r="D49" s="132">
        <v>45717</v>
      </c>
      <c r="E49" s="110">
        <f t="shared" si="19"/>
        <v>2025</v>
      </c>
      <c r="F49" s="112" t="s">
        <v>438</v>
      </c>
      <c r="G49" s="133">
        <f t="shared" si="20"/>
        <v>31</v>
      </c>
      <c r="H49" s="137"/>
      <c r="I49" s="137"/>
      <c r="J49" s="135">
        <f t="shared" si="10"/>
        <v>4.5999999999999996</v>
      </c>
      <c r="K49" s="137"/>
      <c r="L49" s="133"/>
      <c r="M49" s="139">
        <v>7990.5</v>
      </c>
      <c r="N49" s="139">
        <v>80</v>
      </c>
      <c r="O49" s="111"/>
      <c r="P49" s="138"/>
      <c r="Q49" s="133">
        <f>COUNTIFS('Daily KPI'!$D:$D,D49,'Daily KPI'!$M:$M,"&gt;0")</f>
        <v>3</v>
      </c>
      <c r="R49" s="139"/>
      <c r="S49" s="139"/>
      <c r="T49" s="138">
        <f t="shared" si="21"/>
        <v>257.75806451612902</v>
      </c>
      <c r="U49" s="139">
        <f t="shared" si="22"/>
        <v>773.27419354838707</v>
      </c>
      <c r="V49" s="139">
        <f>SUMIF($F$2:F49,F49,$U$2:U49)</f>
        <v>773.27419354838707</v>
      </c>
      <c r="W49" s="111">
        <f t="shared" si="14"/>
        <v>0.13424899193548387</v>
      </c>
      <c r="X49" s="111">
        <f t="shared" si="15"/>
        <v>0.13424899193548387</v>
      </c>
      <c r="Y49" s="111">
        <f t="shared" si="16"/>
        <v>0.13424899193548387</v>
      </c>
      <c r="Z49" s="138">
        <f>IFERROR(AVERAGEIF('Daily KPI'!D:D,Table14[[#This Row],[Month]],'Daily KPI'!AB:AB),"")</f>
        <v>80</v>
      </c>
      <c r="AA49" s="134">
        <f>IFERROR(AVERAGEIF($F$2:F49,F49,$Z$2:Z49),"")</f>
        <v>80</v>
      </c>
      <c r="AB49" s="139"/>
      <c r="AC49" s="138">
        <f t="shared" si="23"/>
        <v>7.411120320091455</v>
      </c>
      <c r="AD49" s="138">
        <f>AVERAGEIF($F$2:F49,F49,$AC$2:AC49)</f>
        <v>7.3184021148899676</v>
      </c>
      <c r="AE49" s="111">
        <f t="shared" si="17"/>
        <v>0.96029999999999993</v>
      </c>
      <c r="AF49" s="111">
        <v>0.995</v>
      </c>
      <c r="AG49" s="111"/>
      <c r="AH49" s="111">
        <v>0.97</v>
      </c>
      <c r="AI49" s="111">
        <v>0.99</v>
      </c>
      <c r="AJ49" s="111">
        <v>0.95</v>
      </c>
      <c r="AK49" s="111">
        <v>0.05</v>
      </c>
      <c r="AL49" s="111">
        <v>0.05</v>
      </c>
      <c r="AM49" s="159"/>
      <c r="AN49" s="159"/>
    </row>
    <row r="50" spans="1:40">
      <c r="A50" s="133">
        <f t="shared" si="6"/>
        <v>49</v>
      </c>
      <c r="B50" s="132" t="str">
        <f t="shared" ref="B50:C50" si="33">B38</f>
        <v>April</v>
      </c>
      <c r="C50" s="133">
        <f t="shared" si="33"/>
        <v>4</v>
      </c>
      <c r="D50" s="132">
        <v>45748</v>
      </c>
      <c r="E50" s="110">
        <f t="shared" si="19"/>
        <v>2025</v>
      </c>
      <c r="F50" s="112" t="s">
        <v>439</v>
      </c>
      <c r="G50" s="133">
        <f t="shared" si="20"/>
        <v>30</v>
      </c>
      <c r="H50" s="137"/>
      <c r="I50" s="137"/>
      <c r="J50" s="135">
        <f t="shared" si="10"/>
        <v>5.6333333333333329</v>
      </c>
      <c r="K50" s="137"/>
      <c r="L50" s="133"/>
      <c r="M50" s="139">
        <v>10226.654178101568</v>
      </c>
      <c r="N50" s="139">
        <v>78</v>
      </c>
      <c r="O50" s="111"/>
      <c r="P50" s="138"/>
      <c r="Q50" s="133">
        <f>COUNTIFS('Daily KPI'!$D:$D,D50,'Daily KPI'!$M:$M,"&gt;0")</f>
        <v>30</v>
      </c>
      <c r="R50" s="139"/>
      <c r="S50" s="139"/>
      <c r="T50" s="138">
        <f t="shared" si="21"/>
        <v>340.88847260338559</v>
      </c>
      <c r="U50" s="139">
        <f t="shared" si="22"/>
        <v>10226.654178101568</v>
      </c>
      <c r="V50" s="139">
        <f>SUMIF($F$2:F50,F50,$U$2:U50)</f>
        <v>10226.654178101568</v>
      </c>
      <c r="W50" s="111">
        <f t="shared" si="14"/>
        <v>0.18209854305736409</v>
      </c>
      <c r="X50" s="111">
        <f t="shared" si="15"/>
        <v>0.18209854305736409</v>
      </c>
      <c r="Y50" s="111">
        <f t="shared" si="16"/>
        <v>0.18209854305736409</v>
      </c>
      <c r="Z50" s="138">
        <f>IFERROR(AVERAGEIF('Daily KPI'!D:D,Table14[[#This Row],[Month]],'Daily KPI'!AB:AB),"")</f>
        <v>78</v>
      </c>
      <c r="AA50" s="134">
        <f>IFERROR(AVERAGEIF($F$2:F50,F50,$Z$2:Z50),"")</f>
        <v>78</v>
      </c>
      <c r="AB50" s="139"/>
      <c r="AC50" s="138">
        <f t="shared" si="23"/>
        <v>6.4041034581308942</v>
      </c>
      <c r="AD50" s="138">
        <f>AVERAGEIF($F$2:F50,F50,$AC$2:AC50)</f>
        <v>6.4041034581308942</v>
      </c>
      <c r="AE50" s="111">
        <f t="shared" si="17"/>
        <v>0.96029999999999993</v>
      </c>
      <c r="AF50" s="111">
        <v>0.995</v>
      </c>
      <c r="AG50" s="111"/>
      <c r="AH50" s="111">
        <v>0.97</v>
      </c>
      <c r="AI50" s="111">
        <v>0.99</v>
      </c>
      <c r="AJ50" s="111">
        <v>0.95</v>
      </c>
      <c r="AK50" s="111">
        <v>0.05</v>
      </c>
      <c r="AL50" s="111">
        <v>0.05</v>
      </c>
      <c r="AM50" s="159"/>
      <c r="AN50" s="159"/>
    </row>
    <row r="51" spans="1:40">
      <c r="A51" s="133">
        <f t="shared" si="6"/>
        <v>50</v>
      </c>
      <c r="B51" s="132" t="str">
        <f t="shared" ref="B51:C51" si="34">B39</f>
        <v>May</v>
      </c>
      <c r="C51" s="133">
        <f t="shared" si="34"/>
        <v>5</v>
      </c>
      <c r="D51" s="132">
        <v>45778</v>
      </c>
      <c r="E51" s="110">
        <f t="shared" si="19"/>
        <v>2025</v>
      </c>
      <c r="F51" s="112" t="s">
        <v>439</v>
      </c>
      <c r="G51" s="133">
        <f t="shared" si="20"/>
        <v>31</v>
      </c>
      <c r="H51" s="137"/>
      <c r="I51" s="137"/>
      <c r="J51" s="135">
        <f t="shared" si="10"/>
        <v>6.5666666666666664</v>
      </c>
      <c r="K51" s="137"/>
      <c r="L51" s="133"/>
      <c r="M51" s="139">
        <v>17310.04017244092</v>
      </c>
      <c r="N51" s="139">
        <v>78</v>
      </c>
      <c r="O51" s="111"/>
      <c r="P51" s="138"/>
      <c r="Q51" s="133">
        <f>COUNTIFS('Daily KPI'!$D:$D,D51,'Daily KPI'!$M:$M,"&gt;0")</f>
        <v>31</v>
      </c>
      <c r="R51" s="139"/>
      <c r="S51" s="139"/>
      <c r="T51" s="138">
        <f t="shared" si="21"/>
        <v>558.38839265938452</v>
      </c>
      <c r="U51" s="139">
        <f t="shared" si="22"/>
        <v>17310.04017244092</v>
      </c>
      <c r="V51" s="139">
        <f>SUMIF($F$2:F51,F51,$U$2:U51)</f>
        <v>27536.694350542486</v>
      </c>
      <c r="W51" s="111">
        <f t="shared" si="14"/>
        <v>0.29828439778813276</v>
      </c>
      <c r="X51" s="111">
        <f t="shared" si="15"/>
        <v>0.29828439778813276</v>
      </c>
      <c r="Y51" s="111">
        <f t="shared" si="16"/>
        <v>0.24114381349431208</v>
      </c>
      <c r="Z51" s="138">
        <f>IFERROR(AVERAGEIF('Daily KPI'!D:D,Table14[[#This Row],[Month]],'Daily KPI'!AB:AB),"")</f>
        <v>78</v>
      </c>
      <c r="AA51" s="134">
        <f>IFERROR(AVERAGEIF($F$2:F51,F51,$Z$2:Z51),"")</f>
        <v>78</v>
      </c>
      <c r="AB51" s="139"/>
      <c r="AC51" s="138">
        <f t="shared" si="23"/>
        <v>5.9681800514432695</v>
      </c>
      <c r="AD51" s="138">
        <f>AVERAGEIF($F$2:F51,F51,$AC$2:AC51)</f>
        <v>6.1861417547870818</v>
      </c>
      <c r="AE51" s="111">
        <f t="shared" si="17"/>
        <v>0.96029999999999993</v>
      </c>
      <c r="AF51" s="111">
        <v>0.995</v>
      </c>
      <c r="AG51" s="111"/>
      <c r="AH51" s="111">
        <v>0.97</v>
      </c>
      <c r="AI51" s="111">
        <v>0.99</v>
      </c>
      <c r="AJ51" s="111">
        <v>0.95</v>
      </c>
      <c r="AK51" s="111">
        <v>0.05</v>
      </c>
      <c r="AL51" s="111">
        <v>0.05</v>
      </c>
      <c r="AM51" s="159"/>
      <c r="AN51" s="159"/>
    </row>
    <row r="52" spans="1:40">
      <c r="A52" s="133">
        <f t="shared" si="6"/>
        <v>51</v>
      </c>
      <c r="B52" s="132" t="str">
        <f t="shared" ref="B52:C52" si="35">B40</f>
        <v>June</v>
      </c>
      <c r="C52" s="133">
        <f t="shared" si="35"/>
        <v>6</v>
      </c>
      <c r="D52" s="132">
        <v>45809</v>
      </c>
      <c r="E52" s="110">
        <f t="shared" si="19"/>
        <v>2025</v>
      </c>
      <c r="F52" s="112" t="s">
        <v>439</v>
      </c>
      <c r="G52" s="133">
        <f t="shared" si="20"/>
        <v>30</v>
      </c>
      <c r="H52" s="137"/>
      <c r="I52" s="137"/>
      <c r="J52" s="135">
        <f t="shared" si="10"/>
        <v>6.5666666666666664</v>
      </c>
      <c r="K52" s="137"/>
      <c r="L52" s="133"/>
      <c r="M52" s="139">
        <v>15038.260263404412</v>
      </c>
      <c r="N52" s="139">
        <v>78</v>
      </c>
      <c r="O52" s="111"/>
      <c r="P52" s="138"/>
      <c r="Q52" s="133">
        <f>COUNTIFS('Daily KPI'!$D:$D,D52,'Daily KPI'!$M:$M,"&gt;0")</f>
        <v>30</v>
      </c>
      <c r="R52" s="139"/>
      <c r="S52" s="139"/>
      <c r="T52" s="138">
        <f t="shared" si="21"/>
        <v>501.27534211348041</v>
      </c>
      <c r="U52" s="139">
        <f t="shared" si="22"/>
        <v>15038.260263404412</v>
      </c>
      <c r="V52" s="139">
        <f>SUMIF($F$2:F52,F52,$U$2:U52)</f>
        <v>42574.954613946902</v>
      </c>
      <c r="W52" s="111">
        <f t="shared" si="14"/>
        <v>0.26777528959053443</v>
      </c>
      <c r="X52" s="111">
        <f t="shared" si="15"/>
        <v>0.26777528959053443</v>
      </c>
      <c r="Y52" s="111">
        <f t="shared" si="16"/>
        <v>0.24992342099856121</v>
      </c>
      <c r="Z52" s="138">
        <f>IFERROR(AVERAGEIF('Daily KPI'!D:D,Table14[[#This Row],[Month]],'Daily KPI'!AB:AB),"")</f>
        <v>78</v>
      </c>
      <c r="AA52" s="134">
        <f>IFERROR(AVERAGEIF($F$2:F52,F52,$Z$2:Z52),"")</f>
        <v>78</v>
      </c>
      <c r="AB52" s="139"/>
      <c r="AC52" s="138">
        <f t="shared" si="23"/>
        <v>5.6310997427836513</v>
      </c>
      <c r="AD52" s="138">
        <f>AVERAGEIF($F$2:F52,F52,$AC$2:AC52)</f>
        <v>6.0011277507859377</v>
      </c>
      <c r="AE52" s="111">
        <f t="shared" si="17"/>
        <v>0.96029999999999993</v>
      </c>
      <c r="AF52" s="111">
        <v>0.995</v>
      </c>
      <c r="AG52" s="111"/>
      <c r="AH52" s="111">
        <v>0.97</v>
      </c>
      <c r="AI52" s="111">
        <v>0.99</v>
      </c>
      <c r="AJ52" s="111">
        <v>0.95</v>
      </c>
      <c r="AK52" s="111">
        <v>0.05</v>
      </c>
      <c r="AL52" s="111">
        <v>0.05</v>
      </c>
      <c r="AM52" s="159"/>
      <c r="AN52" s="159"/>
    </row>
    <row r="53" spans="1:40">
      <c r="A53" s="133">
        <f t="shared" si="6"/>
        <v>52</v>
      </c>
      <c r="B53" s="132" t="str">
        <f t="shared" ref="B53:C53" si="36">B41</f>
        <v>July</v>
      </c>
      <c r="C53" s="133">
        <f t="shared" si="36"/>
        <v>7</v>
      </c>
      <c r="D53" s="132">
        <v>45839</v>
      </c>
      <c r="E53" s="110">
        <f t="shared" si="19"/>
        <v>2025</v>
      </c>
      <c r="F53" s="112" t="s">
        <v>439</v>
      </c>
      <c r="G53" s="133">
        <f t="shared" si="20"/>
        <v>31</v>
      </c>
      <c r="H53" s="137"/>
      <c r="I53" s="137"/>
      <c r="J53" s="135">
        <f t="shared" si="10"/>
        <v>7.6000000000000005</v>
      </c>
      <c r="K53" s="137"/>
      <c r="L53" s="133"/>
      <c r="M53" s="139">
        <v>18159.732401608842</v>
      </c>
      <c r="N53" s="139">
        <v>78</v>
      </c>
      <c r="O53" s="111"/>
      <c r="P53" s="138"/>
      <c r="Q53" s="133">
        <f>COUNTIFS('Daily KPI'!$D:$D,D53,'Daily KPI'!$M:$M,"&gt;0")</f>
        <v>23</v>
      </c>
      <c r="R53" s="139"/>
      <c r="S53" s="139"/>
      <c r="T53" s="138">
        <f t="shared" si="21"/>
        <v>585.79781940673683</v>
      </c>
      <c r="U53" s="139">
        <f t="shared" si="22"/>
        <v>13473.349846354948</v>
      </c>
      <c r="V53" s="139">
        <f>SUMIF($F$2:F53,F53,$U$2:U53)</f>
        <v>56048.30446030185</v>
      </c>
      <c r="W53" s="111">
        <f t="shared" si="14"/>
        <v>0.31292618558052182</v>
      </c>
      <c r="X53" s="111">
        <f t="shared" si="15"/>
        <v>0.31292618558052182</v>
      </c>
      <c r="Y53" s="111">
        <f t="shared" si="16"/>
        <v>0.26263450508088659</v>
      </c>
      <c r="Z53" s="138">
        <f>IFERROR(AVERAGEIF('Daily KPI'!D:D,Table14[[#This Row],[Month]],'Daily KPI'!AB:AB),"")</f>
        <v>57.87096774193548</v>
      </c>
      <c r="AA53" s="134">
        <f>IFERROR(AVERAGEIF($F$2:F53,F53,$Z$2:Z53),"")</f>
        <v>72.967741935483872</v>
      </c>
      <c r="AB53" s="139"/>
      <c r="AC53" s="138">
        <f t="shared" si="23"/>
        <v>7.1310648756787653</v>
      </c>
      <c r="AD53" s="138">
        <f>AVERAGEIF($F$2:F53,F53,$AC$2:AC53)</f>
        <v>6.2836120320091453</v>
      </c>
      <c r="AE53" s="111">
        <f t="shared" si="17"/>
        <v>0.96029999999999993</v>
      </c>
      <c r="AF53" s="111">
        <v>0.995</v>
      </c>
      <c r="AG53" s="111"/>
      <c r="AH53" s="111">
        <v>0.97</v>
      </c>
      <c r="AI53" s="111">
        <v>0.99</v>
      </c>
      <c r="AJ53" s="111">
        <v>0.95</v>
      </c>
      <c r="AK53" s="111">
        <v>0.05</v>
      </c>
      <c r="AL53" s="111">
        <v>0.05</v>
      </c>
      <c r="AM53" s="159"/>
      <c r="AN53" s="159"/>
    </row>
    <row r="54" spans="1:40">
      <c r="A54" s="133">
        <f t="shared" si="6"/>
        <v>53</v>
      </c>
      <c r="B54" s="132" t="str">
        <f t="shared" ref="B54:C54" si="37">B42</f>
        <v>August</v>
      </c>
      <c r="C54" s="133">
        <f t="shared" si="37"/>
        <v>8</v>
      </c>
      <c r="D54" s="132">
        <v>45870</v>
      </c>
      <c r="E54" s="110">
        <f t="shared" si="19"/>
        <v>2025</v>
      </c>
      <c r="F54" s="112" t="s">
        <v>439</v>
      </c>
      <c r="G54" s="133">
        <f t="shared" si="20"/>
        <v>31</v>
      </c>
      <c r="H54" s="137"/>
      <c r="I54" s="137"/>
      <c r="J54" s="135">
        <f t="shared" si="10"/>
        <v>6.8666666666666671</v>
      </c>
      <c r="K54" s="137"/>
      <c r="L54" s="133"/>
      <c r="M54" s="139">
        <v>19096.422637323503</v>
      </c>
      <c r="N54" s="139">
        <v>78</v>
      </c>
      <c r="O54" s="111"/>
      <c r="P54" s="138"/>
      <c r="Q54" s="133">
        <f>COUNTIFS('Daily KPI'!$D:$D,D54,'Daily KPI'!$M:$M,"&gt;0")</f>
        <v>0</v>
      </c>
      <c r="R54" s="139"/>
      <c r="S54" s="139"/>
      <c r="T54" s="138">
        <f t="shared" si="21"/>
        <v>616.01363346204846</v>
      </c>
      <c r="U54" s="139">
        <f t="shared" si="22"/>
        <v>0</v>
      </c>
      <c r="V54" s="139">
        <f>SUMIF($F$2:F54,F54,$U$2:U54)</f>
        <v>56048.30446030185</v>
      </c>
      <c r="W54" s="111">
        <f t="shared" si="14"/>
        <v>0.3290671118921199</v>
      </c>
      <c r="X54" s="111" t="str">
        <f t="shared" si="15"/>
        <v/>
      </c>
      <c r="Y54" s="111">
        <f t="shared" si="16"/>
        <v>0.26263450508088659</v>
      </c>
      <c r="Z54" s="138">
        <f>IFERROR(AVERAGEIF('Daily KPI'!D:D,Table14[[#This Row],[Month]],'Daily KPI'!AB:AB),"")</f>
        <v>0</v>
      </c>
      <c r="AA54" s="134">
        <f>IFERROR(AVERAGEIF($F$2:F54,F54,$Z$2:Z54),"")</f>
        <v>58.374193548387098</v>
      </c>
      <c r="AB54" s="139"/>
      <c r="AC54" s="138">
        <f t="shared" si="23"/>
        <v>9.4530328665332952</v>
      </c>
      <c r="AD54" s="138">
        <f>AVERAGEIF($F$2:F54,F54,$AC$2:AC54)</f>
        <v>6.9174961989139749</v>
      </c>
      <c r="AE54" s="111">
        <f t="shared" si="17"/>
        <v>0.96029999999999993</v>
      </c>
      <c r="AF54" s="111">
        <v>0.995</v>
      </c>
      <c r="AG54" s="111"/>
      <c r="AH54" s="111">
        <v>0.97</v>
      </c>
      <c r="AI54" s="111">
        <v>0.99</v>
      </c>
      <c r="AJ54" s="111">
        <v>0.95</v>
      </c>
      <c r="AK54" s="111">
        <v>0.05</v>
      </c>
      <c r="AL54" s="111">
        <v>0.05</v>
      </c>
      <c r="AM54" s="159"/>
      <c r="AN54" s="159"/>
    </row>
    <row r="55" spans="1:40">
      <c r="A55" s="133">
        <f t="shared" si="6"/>
        <v>54</v>
      </c>
      <c r="B55" s="132" t="str">
        <f t="shared" ref="B55:C55" si="38">B43</f>
        <v>September</v>
      </c>
      <c r="C55" s="133">
        <f t="shared" si="38"/>
        <v>9</v>
      </c>
      <c r="D55" s="132">
        <v>45901</v>
      </c>
      <c r="E55" s="110">
        <f t="shared" si="19"/>
        <v>2025</v>
      </c>
      <c r="F55" s="112" t="s">
        <v>439</v>
      </c>
      <c r="G55" s="133">
        <f t="shared" si="20"/>
        <v>30</v>
      </c>
      <c r="H55" s="137"/>
      <c r="I55" s="137"/>
      <c r="J55" s="135">
        <f t="shared" si="10"/>
        <v>5.0333333333333332</v>
      </c>
      <c r="K55" s="137"/>
      <c r="L55" s="133"/>
      <c r="M55" s="139">
        <v>8385.892011959113</v>
      </c>
      <c r="N55" s="139">
        <v>78</v>
      </c>
      <c r="O55" s="111"/>
      <c r="P55" s="138"/>
      <c r="Q55" s="133">
        <f>COUNTIFS('Daily KPI'!$D:$D,D55,'Daily KPI'!$M:$M,"&gt;0")</f>
        <v>0</v>
      </c>
      <c r="R55" s="139"/>
      <c r="S55" s="139"/>
      <c r="T55" s="138">
        <f t="shared" si="21"/>
        <v>279.52973373197045</v>
      </c>
      <c r="U55" s="139">
        <f t="shared" si="22"/>
        <v>0</v>
      </c>
      <c r="V55" s="139">
        <f>SUMIF($F$2:F55,F55,$U$2:U55)</f>
        <v>56048.30446030185</v>
      </c>
      <c r="W55" s="111">
        <f t="shared" si="14"/>
        <v>0.14932143895938593</v>
      </c>
      <c r="X55" s="111" t="str">
        <f t="shared" si="15"/>
        <v/>
      </c>
      <c r="Y55" s="111">
        <f t="shared" si="16"/>
        <v>0.26263450508088659</v>
      </c>
      <c r="Z55" s="138" t="str">
        <f>IFERROR(AVERAGEIF('Daily KPI'!D:D,Table14[[#This Row],[Month]],'Daily KPI'!AB:AB),"")</f>
        <v/>
      </c>
      <c r="AA55" s="134">
        <f>IFERROR(AVERAGEIF($F$2:F55,F55,$Z$2:Z55),"")</f>
        <v>58.374193548387098</v>
      </c>
      <c r="AB55" s="139"/>
      <c r="AC55" s="138">
        <f t="shared" si="23"/>
        <v>10.303759359817088</v>
      </c>
      <c r="AD55" s="138">
        <f>AVERAGEIF($F$2:F55,F55,$AC$2:AC55)</f>
        <v>7.4818733923978264</v>
      </c>
      <c r="AE55" s="111">
        <f t="shared" si="17"/>
        <v>0.96029999999999993</v>
      </c>
      <c r="AF55" s="111">
        <v>0.995</v>
      </c>
      <c r="AG55" s="111"/>
      <c r="AH55" s="111">
        <v>0.97</v>
      </c>
      <c r="AI55" s="111">
        <v>0.99</v>
      </c>
      <c r="AJ55" s="111">
        <v>0.95</v>
      </c>
      <c r="AK55" s="111">
        <v>0.05</v>
      </c>
      <c r="AL55" s="111">
        <v>0.05</v>
      </c>
      <c r="AM55" s="159"/>
      <c r="AN55" s="159"/>
    </row>
    <row r="56" spans="1:40">
      <c r="A56" s="133">
        <f t="shared" si="6"/>
        <v>55</v>
      </c>
      <c r="B56" s="132" t="str">
        <f t="shared" ref="B56:C56" si="39">B44</f>
        <v>October</v>
      </c>
      <c r="C56" s="133">
        <f t="shared" si="39"/>
        <v>10</v>
      </c>
      <c r="D56" s="132">
        <v>45931</v>
      </c>
      <c r="E56" s="110">
        <f t="shared" si="19"/>
        <v>2025</v>
      </c>
      <c r="F56" s="112" t="s">
        <v>439</v>
      </c>
      <c r="G56" s="133">
        <f t="shared" si="20"/>
        <v>31</v>
      </c>
      <c r="H56" s="137"/>
      <c r="I56" s="137"/>
      <c r="J56" s="135">
        <f t="shared" si="10"/>
        <v>3.9666666666666668</v>
      </c>
      <c r="K56" s="137"/>
      <c r="L56" s="133"/>
      <c r="M56" s="139">
        <v>5102.5336704925885</v>
      </c>
      <c r="N56" s="139">
        <v>78</v>
      </c>
      <c r="O56" s="111"/>
      <c r="P56" s="138"/>
      <c r="Q56" s="133">
        <f>COUNTIFS('Daily KPI'!$D:$D,D56,'Daily KPI'!$M:$M,"&gt;0")</f>
        <v>0</v>
      </c>
      <c r="R56" s="139"/>
      <c r="S56" s="139"/>
      <c r="T56" s="138">
        <f t="shared" si="21"/>
        <v>164.59786033847061</v>
      </c>
      <c r="U56" s="139">
        <f t="shared" si="22"/>
        <v>0</v>
      </c>
      <c r="V56" s="139">
        <f>SUMIF($F$2:F56,F56,$U$2:U56)</f>
        <v>56048.30446030185</v>
      </c>
      <c r="W56" s="111">
        <f t="shared" si="14"/>
        <v>8.792620744576421E-2</v>
      </c>
      <c r="X56" s="111" t="str">
        <f t="shared" si="15"/>
        <v/>
      </c>
      <c r="Y56" s="111">
        <f t="shared" si="16"/>
        <v>0.26263450508088659</v>
      </c>
      <c r="Z56" s="138" t="str">
        <f>IFERROR(AVERAGEIF('Daily KPI'!D:D,Table14[[#This Row],[Month]],'Daily KPI'!AB:AB),"")</f>
        <v/>
      </c>
      <c r="AA56" s="134">
        <f>IFERROR(AVERAGEIF($F$2:F56,F56,$Z$2:Z56),"")</f>
        <v>58.374193548387098</v>
      </c>
      <c r="AB56" s="139"/>
      <c r="AC56" s="138">
        <f t="shared" si="23"/>
        <v>8.5195147184909956</v>
      </c>
      <c r="AD56" s="138">
        <f>AVERAGEIF($F$2:F56,F56,$AC$2:AC56)</f>
        <v>7.6301078675539937</v>
      </c>
      <c r="AE56" s="111">
        <f t="shared" si="17"/>
        <v>0.96029999999999993</v>
      </c>
      <c r="AF56" s="111">
        <v>0.995</v>
      </c>
      <c r="AG56" s="111"/>
      <c r="AH56" s="111">
        <v>0.97</v>
      </c>
      <c r="AI56" s="111">
        <v>0.99</v>
      </c>
      <c r="AJ56" s="111">
        <v>0.95</v>
      </c>
      <c r="AK56" s="111">
        <v>0.05</v>
      </c>
      <c r="AL56" s="111">
        <v>0.05</v>
      </c>
      <c r="AM56" s="159"/>
      <c r="AN56" s="159"/>
    </row>
    <row r="57" spans="1:40">
      <c r="A57" s="133">
        <f t="shared" si="6"/>
        <v>56</v>
      </c>
      <c r="B57" s="132" t="str">
        <f t="shared" ref="B57:C57" si="40">B45</f>
        <v>November</v>
      </c>
      <c r="C57" s="133">
        <f t="shared" si="40"/>
        <v>11</v>
      </c>
      <c r="D57" s="132">
        <v>45962</v>
      </c>
      <c r="E57" s="110">
        <f t="shared" si="19"/>
        <v>2025</v>
      </c>
      <c r="F57" s="112" t="s">
        <v>439</v>
      </c>
      <c r="G57" s="133">
        <f t="shared" si="20"/>
        <v>30</v>
      </c>
      <c r="H57" s="137"/>
      <c r="I57" s="137"/>
      <c r="J57" s="135">
        <f t="shared" si="10"/>
        <v>4.0333333333333332</v>
      </c>
      <c r="K57" s="137"/>
      <c r="L57" s="133"/>
      <c r="M57" s="139">
        <v>4876.513893138198</v>
      </c>
      <c r="N57" s="139">
        <v>78</v>
      </c>
      <c r="O57" s="111"/>
      <c r="P57" s="138"/>
      <c r="Q57" s="133">
        <f>COUNTIFS('Daily KPI'!$D:$D,D57,'Daily KPI'!$M:$M,"&gt;0")</f>
        <v>0</v>
      </c>
      <c r="R57" s="139"/>
      <c r="S57" s="139"/>
      <c r="T57" s="138">
        <f t="shared" si="21"/>
        <v>162.55046310460659</v>
      </c>
      <c r="U57" s="139">
        <f t="shared" si="22"/>
        <v>0</v>
      </c>
      <c r="V57" s="139">
        <f>SUMIF($F$2:F57,F57,$U$2:U57)</f>
        <v>56048.30446030185</v>
      </c>
      <c r="W57" s="111">
        <f t="shared" si="14"/>
        <v>8.6832512342204377E-2</v>
      </c>
      <c r="X57" s="111" t="str">
        <f t="shared" si="15"/>
        <v/>
      </c>
      <c r="Y57" s="111">
        <f t="shared" si="16"/>
        <v>0.26263450508088659</v>
      </c>
      <c r="Z57" s="138" t="str">
        <f>IFERROR(AVERAGEIF('Daily KPI'!D:D,Table14[[#This Row],[Month]],'Daily KPI'!AB:AB),"")</f>
        <v/>
      </c>
      <c r="AA57" s="134">
        <f>IFERROR(AVERAGEIF($F$2:F57,F57,$Z$2:Z57),"")</f>
        <v>58.374193548387098</v>
      </c>
      <c r="AB57" s="139"/>
      <c r="AC57" s="138">
        <f t="shared" si="23"/>
        <v>7.2366664761360369</v>
      </c>
      <c r="AD57" s="138">
        <f>AVERAGEIF($F$2:F57,F57,$AC$2:AC57)</f>
        <v>7.5809276936267489</v>
      </c>
      <c r="AE57" s="111">
        <f t="shared" si="17"/>
        <v>0.96029999999999993</v>
      </c>
      <c r="AF57" s="111">
        <v>0.995</v>
      </c>
      <c r="AG57" s="111"/>
      <c r="AH57" s="111">
        <v>0.97</v>
      </c>
      <c r="AI57" s="111">
        <v>0.99</v>
      </c>
      <c r="AJ57" s="111">
        <v>0.95</v>
      </c>
      <c r="AK57" s="111">
        <v>0.05</v>
      </c>
      <c r="AL57" s="111">
        <v>0.05</v>
      </c>
      <c r="AM57" s="159"/>
      <c r="AN57" s="159"/>
    </row>
    <row r="58" spans="1:40">
      <c r="A58" s="133">
        <f t="shared" si="6"/>
        <v>57</v>
      </c>
      <c r="B58" s="132" t="str">
        <f t="shared" ref="B58:C58" si="41">B46</f>
        <v>December</v>
      </c>
      <c r="C58" s="133">
        <f t="shared" si="41"/>
        <v>12</v>
      </c>
      <c r="D58" s="132">
        <v>45992</v>
      </c>
      <c r="E58" s="110">
        <f t="shared" si="19"/>
        <v>2025</v>
      </c>
      <c r="F58" s="112" t="s">
        <v>439</v>
      </c>
      <c r="G58" s="133">
        <f t="shared" si="20"/>
        <v>31</v>
      </c>
      <c r="H58" s="137"/>
      <c r="I58" s="137"/>
      <c r="J58" s="135">
        <f t="shared" si="10"/>
        <v>4.4333333333333336</v>
      </c>
      <c r="K58" s="137"/>
      <c r="L58" s="133"/>
      <c r="M58" s="139">
        <v>5701.5948437287434</v>
      </c>
      <c r="N58" s="139">
        <v>78</v>
      </c>
      <c r="O58" s="111"/>
      <c r="P58" s="138"/>
      <c r="Q58" s="133">
        <f>COUNTIFS('Daily KPI'!$D:$D,D58,'Daily KPI'!$M:$M,"&gt;0")</f>
        <v>0</v>
      </c>
      <c r="R58" s="139"/>
      <c r="S58" s="139"/>
      <c r="T58" s="138">
        <f t="shared" si="21"/>
        <v>183.92241431383044</v>
      </c>
      <c r="U58" s="139">
        <f t="shared" si="22"/>
        <v>0</v>
      </c>
      <c r="V58" s="139">
        <f>SUMIF($F$2:F58,F58,$U$2:U58)</f>
        <v>56048.30446030185</v>
      </c>
      <c r="W58" s="111">
        <f t="shared" si="14"/>
        <v>9.8249152945422247E-2</v>
      </c>
      <c r="X58" s="111" t="str">
        <f t="shared" si="15"/>
        <v/>
      </c>
      <c r="Y58" s="111">
        <f t="shared" si="16"/>
        <v>0.26263450508088659</v>
      </c>
      <c r="Z58" s="138" t="str">
        <f>IFERROR(AVERAGEIF('Daily KPI'!D:D,Table14[[#This Row],[Month]],'Daily KPI'!AB:AB),"")</f>
        <v/>
      </c>
      <c r="AA58" s="134">
        <f>IFERROR(AVERAGEIF($F$2:F58,F58,$Z$2:Z58),"")</f>
        <v>58.374193548387098</v>
      </c>
      <c r="AB58" s="139"/>
      <c r="AC58" s="138">
        <f t="shared" si="23"/>
        <v>6.0015501571877659</v>
      </c>
      <c r="AD58" s="138">
        <f>AVERAGEIF($F$2:F58,F58,$AC$2:AC58)</f>
        <v>7.4054413006890849</v>
      </c>
      <c r="AE58" s="111">
        <f t="shared" si="17"/>
        <v>0.96029999999999993</v>
      </c>
      <c r="AF58" s="111">
        <v>0.995</v>
      </c>
      <c r="AG58" s="111"/>
      <c r="AH58" s="111">
        <v>0.97</v>
      </c>
      <c r="AI58" s="111">
        <v>0.99</v>
      </c>
      <c r="AJ58" s="111">
        <v>0.95</v>
      </c>
      <c r="AK58" s="111">
        <v>0.05</v>
      </c>
      <c r="AL58" s="111">
        <v>0.05</v>
      </c>
      <c r="AM58" s="159"/>
      <c r="AN58" s="159"/>
    </row>
    <row r="59" spans="1:40">
      <c r="A59" s="133">
        <f t="shared" si="6"/>
        <v>58</v>
      </c>
      <c r="B59" s="132" t="str">
        <f t="shared" ref="B59:C59" si="42">B47</f>
        <v>January</v>
      </c>
      <c r="C59" s="133">
        <f t="shared" si="42"/>
        <v>1</v>
      </c>
      <c r="D59" s="132">
        <v>46023</v>
      </c>
      <c r="E59" s="110">
        <f t="shared" si="19"/>
        <v>2026</v>
      </c>
      <c r="F59" s="112" t="s">
        <v>439</v>
      </c>
      <c r="G59" s="133">
        <f t="shared" si="20"/>
        <v>31</v>
      </c>
      <c r="H59" s="137"/>
      <c r="I59" s="137"/>
      <c r="J59" s="135">
        <f t="shared" si="10"/>
        <v>3.8</v>
      </c>
      <c r="K59" s="137"/>
      <c r="L59" s="133"/>
      <c r="M59" s="139">
        <v>3970.895275880705</v>
      </c>
      <c r="N59" s="139">
        <v>78</v>
      </c>
      <c r="O59" s="111"/>
      <c r="P59" s="138"/>
      <c r="Q59" s="133">
        <f>COUNTIFS('Daily KPI'!$D:$D,D59,'Daily KPI'!$M:$M,"&gt;0")</f>
        <v>0</v>
      </c>
      <c r="R59" s="139"/>
      <c r="S59" s="139"/>
      <c r="T59" s="138">
        <f t="shared" si="21"/>
        <v>128.09339599615177</v>
      </c>
      <c r="U59" s="139">
        <f t="shared" si="22"/>
        <v>0</v>
      </c>
      <c r="V59" s="139">
        <f>SUMIF($F$2:F59,F59,$U$2:U59)</f>
        <v>56048.30446030185</v>
      </c>
      <c r="W59" s="111">
        <f t="shared" si="14"/>
        <v>6.8425959399653721E-2</v>
      </c>
      <c r="X59" s="111" t="str">
        <f t="shared" si="15"/>
        <v/>
      </c>
      <c r="Y59" s="111">
        <f t="shared" si="16"/>
        <v>0.26263450508088659</v>
      </c>
      <c r="Z59" s="138" t="str">
        <f>IFERROR(AVERAGEIF('Daily KPI'!D:D,Table14[[#This Row],[Month]],'Daily KPI'!AB:AB),"")</f>
        <v/>
      </c>
      <c r="AA59" s="134">
        <f>IFERROR(AVERAGEIF($F$2:F59,F59,$Z$2:Z59),"")</f>
        <v>58.374193548387098</v>
      </c>
      <c r="AB59" s="139"/>
      <c r="AC59" s="138">
        <f t="shared" si="23"/>
        <v>6.7073912546441834</v>
      </c>
      <c r="AD59" s="138">
        <f>AVERAGEIF($F$2:F59,F59,$AC$2:AC59)</f>
        <v>7.3356362960845942</v>
      </c>
      <c r="AE59" s="111">
        <f t="shared" si="17"/>
        <v>0.96029999999999993</v>
      </c>
      <c r="AF59" s="111">
        <v>0.995</v>
      </c>
      <c r="AG59" s="111"/>
      <c r="AH59" s="111">
        <v>0.97</v>
      </c>
      <c r="AI59" s="111">
        <v>0.99</v>
      </c>
      <c r="AJ59" s="111">
        <v>0.95</v>
      </c>
      <c r="AK59" s="111">
        <v>0.05</v>
      </c>
      <c r="AL59" s="111">
        <v>0.05</v>
      </c>
      <c r="AM59" s="159"/>
      <c r="AN59" s="159"/>
    </row>
    <row r="60" spans="1:40">
      <c r="A60" s="133">
        <f t="shared" si="6"/>
        <v>59</v>
      </c>
      <c r="B60" s="132" t="str">
        <f t="shared" ref="B60:C60" si="43">B48</f>
        <v>February</v>
      </c>
      <c r="C60" s="133">
        <f t="shared" si="43"/>
        <v>2</v>
      </c>
      <c r="D60" s="132">
        <v>46054</v>
      </c>
      <c r="E60" s="110">
        <f t="shared" si="19"/>
        <v>2026</v>
      </c>
      <c r="F60" s="112" t="s">
        <v>439</v>
      </c>
      <c r="G60" s="133">
        <f t="shared" si="20"/>
        <v>28</v>
      </c>
      <c r="H60" s="137"/>
      <c r="I60" s="137"/>
      <c r="J60" s="135">
        <f t="shared" si="10"/>
        <v>4.3</v>
      </c>
      <c r="K60" s="137"/>
      <c r="L60" s="133"/>
      <c r="M60" s="139">
        <v>4813.5808225669043</v>
      </c>
      <c r="N60" s="139">
        <v>78</v>
      </c>
      <c r="O60" s="111"/>
      <c r="P60" s="138"/>
      <c r="Q60" s="133">
        <f>COUNTIFS('Daily KPI'!$D:$D,D60,'Daily KPI'!$M:$M,"&gt;0")</f>
        <v>0</v>
      </c>
      <c r="R60" s="139"/>
      <c r="S60" s="139"/>
      <c r="T60" s="138">
        <f t="shared" si="21"/>
        <v>171.91360080596087</v>
      </c>
      <c r="U60" s="139">
        <f t="shared" si="22"/>
        <v>0</v>
      </c>
      <c r="V60" s="139">
        <f>SUMIF($F$2:F60,F60,$U$2:U60)</f>
        <v>56048.30446030185</v>
      </c>
      <c r="W60" s="111">
        <f t="shared" si="14"/>
        <v>9.1834188464722688E-2</v>
      </c>
      <c r="X60" s="111" t="str">
        <f t="shared" si="15"/>
        <v/>
      </c>
      <c r="Y60" s="111">
        <f t="shared" si="16"/>
        <v>0.26263450508088659</v>
      </c>
      <c r="Z60" s="138" t="str">
        <f>IFERROR(AVERAGEIF('Daily KPI'!D:D,Table14[[#This Row],[Month]],'Daily KPI'!AB:AB),"")</f>
        <v/>
      </c>
      <c r="AA60" s="134">
        <f>IFERROR(AVERAGEIF($F$2:F60,F60,$Z$2:Z60),"")</f>
        <v>58.374193548387098</v>
      </c>
      <c r="AB60" s="139"/>
      <c r="AC60" s="138">
        <f t="shared" si="23"/>
        <v>7.0533420977422105</v>
      </c>
      <c r="AD60" s="138">
        <f>AVERAGEIF($F$2:F60,F60,$AC$2:AC60)</f>
        <v>7.3099731871443785</v>
      </c>
      <c r="AE60" s="111">
        <f t="shared" si="17"/>
        <v>0.96029999999999993</v>
      </c>
      <c r="AF60" s="111">
        <v>0.995</v>
      </c>
      <c r="AG60" s="111"/>
      <c r="AH60" s="111">
        <v>0.97</v>
      </c>
      <c r="AI60" s="111">
        <v>0.99</v>
      </c>
      <c r="AJ60" s="111">
        <v>0.95</v>
      </c>
      <c r="AK60" s="111">
        <v>0.05</v>
      </c>
      <c r="AL60" s="111">
        <v>0.05</v>
      </c>
      <c r="AM60" s="159"/>
      <c r="AN60" s="159"/>
    </row>
    <row r="61" spans="1:40">
      <c r="A61" s="133">
        <f t="shared" si="6"/>
        <v>60</v>
      </c>
      <c r="B61" s="132" t="str">
        <f t="shared" ref="B61:C61" si="44">B49</f>
        <v>March</v>
      </c>
      <c r="C61" s="133">
        <f t="shared" si="44"/>
        <v>3</v>
      </c>
      <c r="D61" s="132">
        <v>46082</v>
      </c>
      <c r="E61" s="110">
        <f t="shared" si="19"/>
        <v>2026</v>
      </c>
      <c r="F61" s="112" t="s">
        <v>439</v>
      </c>
      <c r="G61" s="133">
        <f t="shared" si="20"/>
        <v>31</v>
      </c>
      <c r="H61" s="137"/>
      <c r="I61" s="137"/>
      <c r="J61" s="135">
        <f t="shared" si="10"/>
        <v>4.5999999999999996</v>
      </c>
      <c r="K61" s="137"/>
      <c r="L61" s="133"/>
      <c r="M61" s="139">
        <v>6855.8431753831883</v>
      </c>
      <c r="N61" s="139">
        <v>78</v>
      </c>
      <c r="O61" s="111"/>
      <c r="P61" s="138"/>
      <c r="Q61" s="133">
        <f>COUNTIFS('Daily KPI'!$D:$D,D61,'Daily KPI'!$M:$M,"&gt;0")</f>
        <v>0</v>
      </c>
      <c r="R61" s="139"/>
      <c r="S61" s="139"/>
      <c r="T61" s="138">
        <f t="shared" si="21"/>
        <v>221.15623146397382</v>
      </c>
      <c r="U61" s="139">
        <f t="shared" si="22"/>
        <v>0</v>
      </c>
      <c r="V61" s="139">
        <f>SUMIF($F$2:F61,F61,$U$2:U61)</f>
        <v>56048.30446030185</v>
      </c>
      <c r="W61" s="111">
        <f t="shared" si="14"/>
        <v>0.11813901253417405</v>
      </c>
      <c r="X61" s="111" t="str">
        <f t="shared" si="15"/>
        <v/>
      </c>
      <c r="Y61" s="111">
        <f t="shared" si="16"/>
        <v>0.26263450508088659</v>
      </c>
      <c r="Z61" s="138" t="str">
        <f>IFERROR(AVERAGEIF('Daily KPI'!D:D,Table14[[#This Row],[Month]],'Daily KPI'!AB:AB),"")</f>
        <v/>
      </c>
      <c r="AA61" s="134">
        <f>IFERROR(AVERAGEIF($F$2:F61,F61,$Z$2:Z61),"")</f>
        <v>58.374193548387098</v>
      </c>
      <c r="AB61" s="139"/>
      <c r="AC61" s="138">
        <f t="shared" si="23"/>
        <v>7.411120320091455</v>
      </c>
      <c r="AD61" s="138">
        <f>AVERAGEIF($F$2:F61,F61,$AC$2:AC61)</f>
        <v>7.3184021148899676</v>
      </c>
      <c r="AE61" s="111">
        <f t="shared" si="17"/>
        <v>0.96029999999999993</v>
      </c>
      <c r="AF61" s="111">
        <v>0.995</v>
      </c>
      <c r="AG61" s="111"/>
      <c r="AH61" s="111">
        <v>0.97</v>
      </c>
      <c r="AI61" s="111">
        <v>0.99</v>
      </c>
      <c r="AJ61" s="111">
        <v>0.95</v>
      </c>
      <c r="AK61" s="111">
        <v>0.05</v>
      </c>
      <c r="AL61" s="111">
        <v>0.05</v>
      </c>
      <c r="AM61" s="161"/>
      <c r="AN61" s="161"/>
    </row>
  </sheetData>
  <phoneticPr fontId="9" type="noConversion"/>
  <pageMargins left="0.7" right="0.7" top="0.75" bottom="0.75" header="0.3" footer="0.3"/>
  <ignoredErrors>
    <ignoredError sqref="AA2" calculatedColumn="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5729-D598-4691-82DF-F97D012914D9}">
  <dimension ref="A1:AD1037"/>
  <sheetViews>
    <sheetView zoomScale="96" zoomScaleNormal="96" workbookViewId="0">
      <pane xSplit="7" ySplit="1" topLeftCell="Q1027" activePane="bottomRight" state="frozen"/>
      <selection pane="topRight" activeCell="H1" sqref="H1"/>
      <selection pane="bottomLeft" activeCell="A2" sqref="A2"/>
      <selection pane="bottomRight" activeCell="T1039" sqref="T1039"/>
    </sheetView>
  </sheetViews>
  <sheetFormatPr defaultColWidth="7.7109375" defaultRowHeight="15"/>
  <cols>
    <col min="1" max="5" width="7.7109375" style="39"/>
    <col min="6" max="6" width="10.42578125" style="39" customWidth="1"/>
    <col min="7" max="7" width="7.7109375" style="105"/>
    <col min="8" max="9" width="7.7109375" style="39"/>
    <col min="10" max="10" width="10.5703125" style="39" customWidth="1"/>
    <col min="11" max="11" width="8.85546875" style="105" bestFit="1" customWidth="1"/>
    <col min="12" max="12" width="64.42578125" style="39" bestFit="1" customWidth="1"/>
    <col min="13" max="13" width="30.42578125" style="346" bestFit="1" customWidth="1"/>
    <col min="14" max="14" width="15.85546875" style="39" bestFit="1" customWidth="1"/>
    <col min="15" max="17" width="7.7109375" style="105"/>
    <col min="18" max="18" width="7.7109375" style="39"/>
    <col min="19" max="19" width="8.5703125" style="39" customWidth="1"/>
    <col min="20" max="20" width="9.28515625" style="353" customWidth="1"/>
    <col min="21" max="21" width="86.42578125" style="346" customWidth="1"/>
    <col min="22" max="22" width="7.7109375" style="346"/>
    <col min="23" max="23" width="9.5703125" style="339" customWidth="1"/>
    <col min="24" max="24" width="28.85546875" style="337" bestFit="1" customWidth="1"/>
    <col min="25" max="25" width="7.7109375" style="346"/>
    <col min="26" max="26" width="10.42578125" style="105" customWidth="1"/>
    <col min="27" max="27" width="7.7109375" style="105"/>
    <col min="28" max="28" width="39.7109375" style="39" bestFit="1" customWidth="1"/>
    <col min="29" max="29" width="11.42578125" style="39" bestFit="1" customWidth="1"/>
    <col min="30" max="16384" width="7.7109375" style="39"/>
  </cols>
  <sheetData>
    <row r="1" spans="1:30" ht="63" customHeight="1">
      <c r="A1" s="324" t="s">
        <v>7</v>
      </c>
      <c r="B1" s="324" t="s">
        <v>3</v>
      </c>
      <c r="C1" s="324" t="s">
        <v>74</v>
      </c>
      <c r="D1" s="324" t="s">
        <v>440</v>
      </c>
      <c r="E1" s="324" t="s">
        <v>385</v>
      </c>
      <c r="F1" s="326" t="s">
        <v>73</v>
      </c>
      <c r="G1" s="324" t="s">
        <v>441</v>
      </c>
      <c r="H1" s="324" t="s">
        <v>442</v>
      </c>
      <c r="I1" s="324" t="s">
        <v>718</v>
      </c>
      <c r="J1" s="324" t="s">
        <v>444</v>
      </c>
      <c r="K1" s="324" t="s">
        <v>445</v>
      </c>
      <c r="L1" s="324" t="s">
        <v>446</v>
      </c>
      <c r="M1" s="340" t="s">
        <v>447</v>
      </c>
      <c r="N1" s="324" t="s">
        <v>1268</v>
      </c>
      <c r="O1" s="324" t="s">
        <v>448</v>
      </c>
      <c r="P1" s="324" t="s">
        <v>449</v>
      </c>
      <c r="Q1" s="324" t="s">
        <v>450</v>
      </c>
      <c r="R1" s="324" t="s">
        <v>451</v>
      </c>
      <c r="S1" s="324" t="s">
        <v>452</v>
      </c>
      <c r="T1" s="341" t="s">
        <v>453</v>
      </c>
      <c r="U1" s="340" t="s">
        <v>454</v>
      </c>
      <c r="V1" s="340" t="s">
        <v>455</v>
      </c>
      <c r="W1" s="342" t="s">
        <v>456</v>
      </c>
      <c r="X1" s="343" t="s">
        <v>458</v>
      </c>
      <c r="Y1" s="340" t="s">
        <v>457</v>
      </c>
      <c r="Z1" s="344" t="s">
        <v>1272</v>
      </c>
      <c r="AA1" s="344" t="s">
        <v>1273</v>
      </c>
      <c r="AB1" s="344" t="s">
        <v>1274</v>
      </c>
      <c r="AC1" s="344" t="s">
        <v>459</v>
      </c>
      <c r="AD1" s="39" t="s">
        <v>460</v>
      </c>
    </row>
    <row r="2" spans="1:30">
      <c r="A2" s="105">
        <v>1</v>
      </c>
      <c r="B2" s="107">
        <f>YEAR(Table6[[#This Row],[Date]])+IF(MONTH(Table6[[#This Row],[Date]])&gt;=4,1,0)</f>
        <v>2025</v>
      </c>
      <c r="C2" s="105">
        <f>YEAR(Table6[[#This Row],[Date]])</f>
        <v>2025</v>
      </c>
      <c r="D2" s="105" t="s">
        <v>490</v>
      </c>
      <c r="E2" s="119">
        <f>Table6[[#This Row],[Date]]-DAY(Table6[[#This Row],[Date]])+1</f>
        <v>45717</v>
      </c>
      <c r="F2" s="118">
        <v>45745</v>
      </c>
      <c r="G2" s="105" t="s">
        <v>144</v>
      </c>
      <c r="H2" s="39" t="str">
        <f>_xlfn.XLOOKUP(Table6[[#This Row],[Affected WTG]],'Basic Data'!$A:$A,'Basic Data'!$B:$B)</f>
        <v>PWEGPL</v>
      </c>
      <c r="I2" s="39" t="str">
        <f>_xlfn.XLOOKUP(Table6[[#This Row],[Affected WTG]],'Basic Data'!$A:$A,'Basic Data'!$C:$C)</f>
        <v>MSEDCL</v>
      </c>
      <c r="J2" s="345">
        <f>IFERROR(VLOOKUP(Table6[[#This Row],[Affected WTG]],'Basic Data'!$A$3:$E$56,5,0),"")</f>
        <v>2.564102564102564E-2</v>
      </c>
      <c r="K2" s="105" t="s">
        <v>492</v>
      </c>
      <c r="L2" s="39" t="str">
        <f>IFERROR(VLOOKUP(Table6[[#This Row],[Error Code]],'Basic Data'!$T:$U,2,0),"")</f>
        <v>Manual Stop - Safety Related</v>
      </c>
      <c r="M2" s="346" t="s">
        <v>481</v>
      </c>
      <c r="N2" s="39" t="s">
        <v>1269</v>
      </c>
      <c r="O2" s="347">
        <v>0</v>
      </c>
      <c r="P2" s="347">
        <v>0.99930555555555556</v>
      </c>
      <c r="Q2" s="347">
        <v>0.99930555555555556</v>
      </c>
      <c r="R2" s="348">
        <f>IF(Table6[[#This Row],[Work Start TimeStamp]]="","",(Table6[[#This Row],[Work Start TimeStamp]]-Table6[[#This Row],[Fault Start TimeStamp]])*24)</f>
        <v>23.983333333333334</v>
      </c>
      <c r="S2" s="349">
        <f>(Table6[[#This Row],[Fault Clearance time]]-Table6[[#This Row],[Work Start TimeStamp]])*24</f>
        <v>0</v>
      </c>
      <c r="T2" s="350">
        <f>(Table6[[#This Row],[Fault Clearance time]]-Table6[[#This Row],[Fault Start TimeStamp]])*24</f>
        <v>23.983333333333334</v>
      </c>
      <c r="U2" s="346" t="s">
        <v>498</v>
      </c>
      <c r="V2" s="351" t="s">
        <v>473</v>
      </c>
      <c r="W2" s="338">
        <f>Table6[[#This Row],[Breakdown Time]]*(1/39)</f>
        <v>0.61495726495726499</v>
      </c>
      <c r="X2" s="336" t="s">
        <v>1212</v>
      </c>
      <c r="Y2" s="352" t="s">
        <v>141</v>
      </c>
      <c r="Z2" s="105">
        <v>2420</v>
      </c>
      <c r="AA2" s="107">
        <v>2418.3194444444443</v>
      </c>
      <c r="AB2" s="105" t="s">
        <v>478</v>
      </c>
    </row>
    <row r="3" spans="1:30">
      <c r="A3" s="105">
        <f>A2+1</f>
        <v>2</v>
      </c>
      <c r="B3" s="107">
        <f>YEAR(Table6[[#This Row],[Date]])+IF(MONTH(Table6[[#This Row],[Date]])&gt;=4,1,0)</f>
        <v>2025</v>
      </c>
      <c r="C3" s="105">
        <f>YEAR(Table6[[#This Row],[Date]])</f>
        <v>2025</v>
      </c>
      <c r="D3" s="105" t="s">
        <v>490</v>
      </c>
      <c r="E3" s="119">
        <f>Table6[[#This Row],[Date]]-DAY(Table6[[#This Row],[Date]])+1</f>
        <v>45717</v>
      </c>
      <c r="F3" s="118">
        <v>45745</v>
      </c>
      <c r="G3" s="105" t="s">
        <v>142</v>
      </c>
      <c r="H3" s="39" t="str">
        <f>_xlfn.XLOOKUP(Table6[[#This Row],[Affected WTG]],'Basic Data'!$A:$A,'Basic Data'!$B:$B)</f>
        <v>PWEGPL</v>
      </c>
      <c r="I3" s="39" t="str">
        <f>_xlfn.XLOOKUP(Table6[[#This Row],[Affected WTG]],'Basic Data'!$A:$A,'Basic Data'!$C:$C)</f>
        <v>MSEDCL</v>
      </c>
      <c r="J3" s="345">
        <f>IFERROR(VLOOKUP(Table6[[#This Row],[Affected WTG]],'Basic Data'!$A$3:$E$56,5,0),"")</f>
        <v>2.564102564102564E-2</v>
      </c>
      <c r="K3" s="105" t="s">
        <v>492</v>
      </c>
      <c r="L3" s="39" t="str">
        <f>IFERROR(VLOOKUP(Table6[[#This Row],[Error Code]],'Basic Data'!$T:$U,2,0),"")</f>
        <v>Manual Stop - Safety Related</v>
      </c>
      <c r="M3" s="346" t="s">
        <v>481</v>
      </c>
      <c r="N3" s="39" t="s">
        <v>1269</v>
      </c>
      <c r="O3" s="347">
        <v>0</v>
      </c>
      <c r="P3" s="347">
        <v>0.99930555555555556</v>
      </c>
      <c r="Q3" s="347">
        <v>0.99930555555555556</v>
      </c>
      <c r="R3" s="348">
        <f>IF(Table6[[#This Row],[Work Start TimeStamp]]="","",(Table6[[#This Row],[Work Start TimeStamp]]-Table6[[#This Row],[Fault Start TimeStamp]])*24)</f>
        <v>23.983333333333334</v>
      </c>
      <c r="S3" s="349">
        <f>(Table6[[#This Row],[Fault Clearance time]]-Table6[[#This Row],[Work Start TimeStamp]])*24</f>
        <v>0</v>
      </c>
      <c r="T3" s="350">
        <f>(Table6[[#This Row],[Fault Clearance time]]-Table6[[#This Row],[Fault Start TimeStamp]])*24</f>
        <v>23.983333333333334</v>
      </c>
      <c r="U3" s="346" t="s">
        <v>498</v>
      </c>
      <c r="V3" s="351" t="s">
        <v>473</v>
      </c>
      <c r="W3" s="338">
        <f>Table6[[#This Row],[Breakdown Time]]*(1/39)</f>
        <v>0.61495726495726499</v>
      </c>
      <c r="X3" s="336" t="s">
        <v>1212</v>
      </c>
      <c r="Y3" s="352" t="s">
        <v>141</v>
      </c>
      <c r="Z3" s="105">
        <v>2420</v>
      </c>
      <c r="AA3" s="107">
        <v>2418.3194444444443</v>
      </c>
      <c r="AB3" s="105" t="s">
        <v>478</v>
      </c>
    </row>
    <row r="4" spans="1:30">
      <c r="A4" s="105">
        <f t="shared" ref="A4:A67" si="0">A3+1</f>
        <v>3</v>
      </c>
      <c r="B4" s="107">
        <f>YEAR(Table6[[#This Row],[Date]])+IF(MONTH(Table6[[#This Row],[Date]])&gt;=4,1,0)</f>
        <v>2025</v>
      </c>
      <c r="C4" s="105">
        <f>YEAR(Table6[[#This Row],[Date]])</f>
        <v>2025</v>
      </c>
      <c r="D4" s="105" t="s">
        <v>490</v>
      </c>
      <c r="E4" s="119">
        <f>Table6[[#This Row],[Date]]-DAY(Table6[[#This Row],[Date]])+1</f>
        <v>45717</v>
      </c>
      <c r="F4" s="118">
        <v>45745</v>
      </c>
      <c r="G4" s="105" t="s">
        <v>118</v>
      </c>
      <c r="H4" s="39" t="str">
        <f>_xlfn.XLOOKUP(Table6[[#This Row],[Affected WTG]],'Basic Data'!$A:$A,'Basic Data'!$B:$B)</f>
        <v>PWEGPL</v>
      </c>
      <c r="I4" s="39" t="str">
        <f>_xlfn.XLOOKUP(Table6[[#This Row],[Affected WTG]],'Basic Data'!$A:$A,'Basic Data'!$C:$C)</f>
        <v>MSEDCL</v>
      </c>
      <c r="J4" s="345">
        <f>IFERROR(VLOOKUP(Table6[[#This Row],[Affected WTG]],'Basic Data'!$A$3:$E$56,5,0),"")</f>
        <v>2.564102564102564E-2</v>
      </c>
      <c r="K4" s="105">
        <v>5200</v>
      </c>
      <c r="L4" s="39" t="str">
        <f>IFERROR(VLOOKUP(Table6[[#This Row],[Error Code]],'Basic Data'!$T:$U,2,0),"")</f>
        <v>Magnetothermic Trigger Of The Line Protection</v>
      </c>
      <c r="M4" s="346" t="s">
        <v>462</v>
      </c>
      <c r="N4" s="39" t="s">
        <v>1270</v>
      </c>
      <c r="O4" s="347">
        <v>0.67013888888888884</v>
      </c>
      <c r="P4" s="347">
        <v>0.67013888888888884</v>
      </c>
      <c r="Q4" s="347">
        <v>0.67986111111111114</v>
      </c>
      <c r="R4" s="348">
        <f>IF(Table6[[#This Row],[Work Start TimeStamp]]="","",(Table6[[#This Row],[Work Start TimeStamp]]-Table6[[#This Row],[Fault Start TimeStamp]])*24)</f>
        <v>0</v>
      </c>
      <c r="S4" s="349">
        <f>(Table6[[#This Row],[Fault Clearance time]]-Table6[[#This Row],[Work Start TimeStamp]])*24</f>
        <v>0.23333333333333517</v>
      </c>
      <c r="T4" s="350">
        <f>(Table6[[#This Row],[Fault Clearance time]]-Table6[[#This Row],[Fault Start TimeStamp]])*24</f>
        <v>0.23333333333333517</v>
      </c>
      <c r="U4" s="346" t="s">
        <v>493</v>
      </c>
      <c r="V4" s="351" t="s">
        <v>463</v>
      </c>
      <c r="W4" s="338">
        <f>Table6[[#This Row],[Breakdown Time]]*(1/39)</f>
        <v>5.9829059829060302E-3</v>
      </c>
      <c r="X4" s="336" t="s">
        <v>465</v>
      </c>
      <c r="Y4" s="352" t="s">
        <v>117</v>
      </c>
      <c r="Z4" s="105">
        <v>3376</v>
      </c>
      <c r="AA4" s="107">
        <v>32.822222222222479</v>
      </c>
      <c r="AB4" s="105" t="s">
        <v>478</v>
      </c>
    </row>
    <row r="5" spans="1:30">
      <c r="A5" s="105">
        <f t="shared" si="0"/>
        <v>4</v>
      </c>
      <c r="B5" s="107">
        <f>YEAR(Table6[[#This Row],[Date]])+IF(MONTH(Table6[[#This Row],[Date]])&gt;=4,1,0)</f>
        <v>2025</v>
      </c>
      <c r="C5" s="105">
        <f>YEAR(Table6[[#This Row],[Date]])</f>
        <v>2025</v>
      </c>
      <c r="D5" s="105" t="s">
        <v>490</v>
      </c>
      <c r="E5" s="119">
        <f>Table6[[#This Row],[Date]]-DAY(Table6[[#This Row],[Date]])+1</f>
        <v>45717</v>
      </c>
      <c r="F5" s="118">
        <v>45745</v>
      </c>
      <c r="G5" s="105" t="s">
        <v>118</v>
      </c>
      <c r="H5" s="39" t="str">
        <f>_xlfn.XLOOKUP(Table6[[#This Row],[Affected WTG]],'Basic Data'!$A:$A,'Basic Data'!$B:$B)</f>
        <v>PWEGPL</v>
      </c>
      <c r="I5" s="39" t="str">
        <f>_xlfn.XLOOKUP(Table6[[#This Row],[Affected WTG]],'Basic Data'!$A:$A,'Basic Data'!$C:$C)</f>
        <v>MSEDCL</v>
      </c>
      <c r="J5" s="345">
        <f>IFERROR(VLOOKUP(Table6[[#This Row],[Affected WTG]],'Basic Data'!$A$3:$E$56,5,0),"")</f>
        <v>2.564102564102564E-2</v>
      </c>
      <c r="K5" s="105">
        <v>5200</v>
      </c>
      <c r="L5" s="39" t="str">
        <f>IFERROR(VLOOKUP(Table6[[#This Row],[Error Code]],'Basic Data'!$T:$U,2,0),"")</f>
        <v>Magnetothermic Trigger Of The Line Protection</v>
      </c>
      <c r="M5" s="346" t="s">
        <v>462</v>
      </c>
      <c r="N5" s="39" t="s">
        <v>1270</v>
      </c>
      <c r="O5" s="347">
        <v>0.84791666666666665</v>
      </c>
      <c r="P5" s="347">
        <v>0.84791666666666665</v>
      </c>
      <c r="Q5" s="347">
        <v>0.85138888888888886</v>
      </c>
      <c r="R5" s="348">
        <f>IF(Table6[[#This Row],[Work Start TimeStamp]]="","",(Table6[[#This Row],[Work Start TimeStamp]]-Table6[[#This Row],[Fault Start TimeStamp]])*24)</f>
        <v>0</v>
      </c>
      <c r="S5" s="349">
        <f>(Table6[[#This Row],[Fault Clearance time]]-Table6[[#This Row],[Work Start TimeStamp]])*24</f>
        <v>8.3333333333333037E-2</v>
      </c>
      <c r="T5" s="350">
        <f>(Table6[[#This Row],[Fault Clearance time]]-Table6[[#This Row],[Fault Start TimeStamp]])*24</f>
        <v>8.3333333333333037E-2</v>
      </c>
      <c r="U5" s="346" t="s">
        <v>480</v>
      </c>
      <c r="V5" s="351" t="s">
        <v>463</v>
      </c>
      <c r="W5" s="338">
        <f>Table6[[#This Row],[Breakdown Time]]*(1/39)</f>
        <v>2.1367521367521292E-3</v>
      </c>
      <c r="X5" s="336" t="s">
        <v>465</v>
      </c>
      <c r="Y5" s="352" t="s">
        <v>117</v>
      </c>
      <c r="Z5" s="105">
        <v>3376</v>
      </c>
      <c r="AA5" s="107">
        <v>11.722222222222181</v>
      </c>
      <c r="AB5" s="105" t="s">
        <v>478</v>
      </c>
    </row>
    <row r="6" spans="1:30">
      <c r="A6" s="105">
        <f t="shared" si="0"/>
        <v>5</v>
      </c>
      <c r="B6" s="107">
        <f>YEAR(Table6[[#This Row],[Date]])+IF(MONTH(Table6[[#This Row],[Date]])&gt;=4,1,0)</f>
        <v>2025</v>
      </c>
      <c r="C6" s="105">
        <f>YEAR(Table6[[#This Row],[Date]])</f>
        <v>2025</v>
      </c>
      <c r="D6" s="105" t="s">
        <v>490</v>
      </c>
      <c r="E6" s="119">
        <f>Table6[[#This Row],[Date]]-DAY(Table6[[#This Row],[Date]])+1</f>
        <v>45717</v>
      </c>
      <c r="F6" s="118">
        <v>45745</v>
      </c>
      <c r="G6" s="105" t="s">
        <v>119</v>
      </c>
      <c r="H6" s="39" t="str">
        <f>_xlfn.XLOOKUP(Table6[[#This Row],[Affected WTG]],'Basic Data'!$A:$A,'Basic Data'!$B:$B)</f>
        <v>PWEGPL</v>
      </c>
      <c r="I6" s="39" t="str">
        <f>_xlfn.XLOOKUP(Table6[[#This Row],[Affected WTG]],'Basic Data'!$A:$A,'Basic Data'!$C:$C)</f>
        <v>MSEDCL</v>
      </c>
      <c r="J6" s="345">
        <f>IFERROR(VLOOKUP(Table6[[#This Row],[Affected WTG]],'Basic Data'!$A$3:$E$56,5,0),"")</f>
        <v>2.564102564102564E-2</v>
      </c>
      <c r="K6" s="105">
        <v>5204</v>
      </c>
      <c r="L6" s="39" t="str">
        <f>IFERROR(VLOOKUP(Table6[[#This Row],[Error Code]],'Basic Data'!$T:$U,2,0),"")</f>
        <v>Emergency Series Not OK</v>
      </c>
      <c r="M6" s="346" t="s">
        <v>462</v>
      </c>
      <c r="N6" s="39" t="s">
        <v>1270</v>
      </c>
      <c r="O6" s="347">
        <v>0.84444444444444444</v>
      </c>
      <c r="P6" s="347">
        <v>0.84444444444444444</v>
      </c>
      <c r="Q6" s="347">
        <v>0.84791666666666665</v>
      </c>
      <c r="R6" s="348">
        <f>IF(Table6[[#This Row],[Work Start TimeStamp]]="","",(Table6[[#This Row],[Work Start TimeStamp]]-Table6[[#This Row],[Fault Start TimeStamp]])*24)</f>
        <v>0</v>
      </c>
      <c r="S6" s="349">
        <f>(Table6[[#This Row],[Fault Clearance time]]-Table6[[#This Row],[Work Start TimeStamp]])*24</f>
        <v>8.3333333333333037E-2</v>
      </c>
      <c r="T6" s="350">
        <f>(Table6[[#This Row],[Fault Clearance time]]-Table6[[#This Row],[Fault Start TimeStamp]])*24</f>
        <v>8.3333333333333037E-2</v>
      </c>
      <c r="U6" s="346" t="s">
        <v>480</v>
      </c>
      <c r="V6" s="351" t="s">
        <v>463</v>
      </c>
      <c r="W6" s="338">
        <f>Table6[[#This Row],[Breakdown Time]]*(1/39)</f>
        <v>2.1367521367521292E-3</v>
      </c>
      <c r="X6" s="336" t="s">
        <v>465</v>
      </c>
      <c r="Y6" s="352" t="s">
        <v>136</v>
      </c>
      <c r="Z6" s="105">
        <v>2780</v>
      </c>
      <c r="AA6" s="107">
        <v>9.652777777777743</v>
      </c>
      <c r="AB6" s="105" t="s">
        <v>478</v>
      </c>
    </row>
    <row r="7" spans="1:30">
      <c r="A7" s="105">
        <f t="shared" si="0"/>
        <v>6</v>
      </c>
      <c r="B7" s="107">
        <f>YEAR(Table6[[#This Row],[Date]])+IF(MONTH(Table6[[#This Row],[Date]])&gt;=4,1,0)</f>
        <v>2025</v>
      </c>
      <c r="C7" s="105">
        <f>YEAR(Table6[[#This Row],[Date]])</f>
        <v>2025</v>
      </c>
      <c r="D7" s="105" t="s">
        <v>490</v>
      </c>
      <c r="E7" s="119">
        <f>Table6[[#This Row],[Date]]-DAY(Table6[[#This Row],[Date]])+1</f>
        <v>45717</v>
      </c>
      <c r="F7" s="118">
        <v>45745</v>
      </c>
      <c r="G7" s="105" t="s">
        <v>120</v>
      </c>
      <c r="H7" s="39" t="str">
        <f>_xlfn.XLOOKUP(Table6[[#This Row],[Affected WTG]],'Basic Data'!$A:$A,'Basic Data'!$B:$B)</f>
        <v>PWEGPL</v>
      </c>
      <c r="I7" s="39" t="str">
        <f>_xlfn.XLOOKUP(Table6[[#This Row],[Affected WTG]],'Basic Data'!$A:$A,'Basic Data'!$C:$C)</f>
        <v>MSEDCL</v>
      </c>
      <c r="J7" s="345">
        <f>IFERROR(VLOOKUP(Table6[[#This Row],[Affected WTG]],'Basic Data'!$A$3:$E$56,5,0),"")</f>
        <v>2.564102564102564E-2</v>
      </c>
      <c r="K7" s="105">
        <v>700</v>
      </c>
      <c r="L7" s="39" t="str">
        <f>IFERROR(VLOOKUP(Table6[[#This Row],[Error Code]],'Basic Data'!$T:$U,2,0),"")</f>
        <v>PLC-Converter Communication Error</v>
      </c>
      <c r="M7" s="346" t="s">
        <v>462</v>
      </c>
      <c r="N7" s="39" t="s">
        <v>1270</v>
      </c>
      <c r="O7" s="347">
        <v>0.4513888888888889</v>
      </c>
      <c r="P7" s="347">
        <v>0.4861111111111111</v>
      </c>
      <c r="Q7" s="347">
        <v>0.52013888888888893</v>
      </c>
      <c r="R7" s="348">
        <f>IF(Table6[[#This Row],[Work Start TimeStamp]]="","",(Table6[[#This Row],[Work Start TimeStamp]]-Table6[[#This Row],[Fault Start TimeStamp]])*24)</f>
        <v>0.83333333333333304</v>
      </c>
      <c r="S7" s="349">
        <f>(Table6[[#This Row],[Fault Clearance time]]-Table6[[#This Row],[Work Start TimeStamp]])*24</f>
        <v>0.81666666666666776</v>
      </c>
      <c r="T7" s="350">
        <f>(Table6[[#This Row],[Fault Clearance time]]-Table6[[#This Row],[Fault Start TimeStamp]])*24</f>
        <v>1.6500000000000008</v>
      </c>
      <c r="U7" s="346" t="s">
        <v>499</v>
      </c>
      <c r="V7" s="351" t="s">
        <v>463</v>
      </c>
      <c r="W7" s="338">
        <f>Table6[[#This Row],[Breakdown Time]]*(1/39)</f>
        <v>4.2307692307692324E-2</v>
      </c>
      <c r="X7" s="336" t="s">
        <v>465</v>
      </c>
      <c r="Y7" s="352" t="s">
        <v>117</v>
      </c>
      <c r="Z7" s="105">
        <v>3376</v>
      </c>
      <c r="AA7" s="107">
        <v>232.10000000000011</v>
      </c>
      <c r="AB7" s="105" t="s">
        <v>478</v>
      </c>
    </row>
    <row r="8" spans="1:30">
      <c r="A8" s="105">
        <f t="shared" si="0"/>
        <v>7</v>
      </c>
      <c r="B8" s="107">
        <f>YEAR(Table6[[#This Row],[Date]])+IF(MONTH(Table6[[#This Row],[Date]])&gt;=4,1,0)</f>
        <v>2025</v>
      </c>
      <c r="C8" s="105">
        <f>YEAR(Table6[[#This Row],[Date]])</f>
        <v>2025</v>
      </c>
      <c r="D8" s="105" t="s">
        <v>490</v>
      </c>
      <c r="E8" s="119">
        <f>Table6[[#This Row],[Date]]-DAY(Table6[[#This Row],[Date]])+1</f>
        <v>45717</v>
      </c>
      <c r="F8" s="118">
        <v>45745</v>
      </c>
      <c r="G8" s="105" t="s">
        <v>135</v>
      </c>
      <c r="H8" s="39" t="str">
        <f>_xlfn.XLOOKUP(Table6[[#This Row],[Affected WTG]],'Basic Data'!$A:$A,'Basic Data'!$B:$B)</f>
        <v>PWEGPL</v>
      </c>
      <c r="I8" s="39" t="str">
        <f>_xlfn.XLOOKUP(Table6[[#This Row],[Affected WTG]],'Basic Data'!$A:$A,'Basic Data'!$C:$C)</f>
        <v>MSEDCL</v>
      </c>
      <c r="J8" s="345">
        <f>IFERROR(VLOOKUP(Table6[[#This Row],[Affected WTG]],'Basic Data'!$A$3:$E$56,5,0),"")</f>
        <v>2.564102564102564E-2</v>
      </c>
      <c r="K8" s="105">
        <v>202</v>
      </c>
      <c r="L8" s="39" t="str">
        <f>IFERROR(VLOOKUP(Table6[[#This Row],[Error Code]],'Basic Data'!$T:$U,2,0),"")</f>
        <v>Low Pressure On Brake Circuit</v>
      </c>
      <c r="M8" s="346" t="s">
        <v>462</v>
      </c>
      <c r="N8" s="39" t="s">
        <v>1270</v>
      </c>
      <c r="O8" s="347">
        <v>0.84513888888888888</v>
      </c>
      <c r="P8" s="347">
        <v>0.84513888888888888</v>
      </c>
      <c r="Q8" s="347">
        <v>0.84861111111111109</v>
      </c>
      <c r="R8" s="348">
        <f>IF(Table6[[#This Row],[Work Start TimeStamp]]="","",(Table6[[#This Row],[Work Start TimeStamp]]-Table6[[#This Row],[Fault Start TimeStamp]])*24)</f>
        <v>0</v>
      </c>
      <c r="S8" s="349">
        <f>(Table6[[#This Row],[Fault Clearance time]]-Table6[[#This Row],[Work Start TimeStamp]])*24</f>
        <v>8.3333333333333037E-2</v>
      </c>
      <c r="T8" s="350">
        <f>(Table6[[#This Row],[Fault Clearance time]]-Table6[[#This Row],[Fault Start TimeStamp]])*24</f>
        <v>8.3333333333333037E-2</v>
      </c>
      <c r="U8" s="346" t="s">
        <v>480</v>
      </c>
      <c r="V8" s="351" t="s">
        <v>463</v>
      </c>
      <c r="W8" s="338">
        <f>Table6[[#This Row],[Breakdown Time]]*(1/39)</f>
        <v>2.1367521367521292E-3</v>
      </c>
      <c r="X8" s="336" t="s">
        <v>465</v>
      </c>
      <c r="Y8" s="352" t="s">
        <v>136</v>
      </c>
      <c r="Z8" s="105">
        <v>2780</v>
      </c>
      <c r="AA8" s="107">
        <v>9.652777777777743</v>
      </c>
      <c r="AB8" s="105" t="s">
        <v>478</v>
      </c>
    </row>
    <row r="9" spans="1:30">
      <c r="A9" s="105">
        <f t="shared" si="0"/>
        <v>8</v>
      </c>
      <c r="B9" s="107">
        <f>YEAR(Table6[[#This Row],[Date]])+IF(MONTH(Table6[[#This Row],[Date]])&gt;=4,1,0)</f>
        <v>2025</v>
      </c>
      <c r="C9" s="105">
        <f>YEAR(Table6[[#This Row],[Date]])</f>
        <v>2025</v>
      </c>
      <c r="D9" s="105" t="s">
        <v>490</v>
      </c>
      <c r="E9" s="119">
        <f>Table6[[#This Row],[Date]]-DAY(Table6[[#This Row],[Date]])+1</f>
        <v>45717</v>
      </c>
      <c r="F9" s="118">
        <v>45745</v>
      </c>
      <c r="G9" s="105" t="s">
        <v>136</v>
      </c>
      <c r="H9" s="39" t="str">
        <f>_xlfn.XLOOKUP(Table6[[#This Row],[Affected WTG]],'Basic Data'!$A:$A,'Basic Data'!$B:$B)</f>
        <v>PWEGPL</v>
      </c>
      <c r="I9" s="39" t="str">
        <f>_xlfn.XLOOKUP(Table6[[#This Row],[Affected WTG]],'Basic Data'!$A:$A,'Basic Data'!$C:$C)</f>
        <v>MSEDCL</v>
      </c>
      <c r="J9" s="345">
        <f>IFERROR(VLOOKUP(Table6[[#This Row],[Affected WTG]],'Basic Data'!$A$3:$E$56,5,0),"")</f>
        <v>2.564102564102564E-2</v>
      </c>
      <c r="K9" s="105">
        <v>5201</v>
      </c>
      <c r="L9" s="39" t="str">
        <f>IFERROR(VLOOKUP(Table6[[#This Row],[Error Code]],'Basic Data'!$T:$U,2,0),"")</f>
        <v>Magnetothermic Trigger Of The Stator Protection</v>
      </c>
      <c r="M9" s="346" t="s">
        <v>462</v>
      </c>
      <c r="N9" s="39" t="s">
        <v>1270</v>
      </c>
      <c r="O9" s="347">
        <v>0.84583333333333333</v>
      </c>
      <c r="P9" s="347">
        <v>0.84583333333333333</v>
      </c>
      <c r="Q9" s="347">
        <v>0.84930555555555554</v>
      </c>
      <c r="R9" s="348">
        <f>IF(Table6[[#This Row],[Work Start TimeStamp]]="","",(Table6[[#This Row],[Work Start TimeStamp]]-Table6[[#This Row],[Fault Start TimeStamp]])*24)</f>
        <v>0</v>
      </c>
      <c r="S9" s="349">
        <f>(Table6[[#This Row],[Fault Clearance time]]-Table6[[#This Row],[Work Start TimeStamp]])*24</f>
        <v>8.3333333333333037E-2</v>
      </c>
      <c r="T9" s="350">
        <f>(Table6[[#This Row],[Fault Clearance time]]-Table6[[#This Row],[Fault Start TimeStamp]])*24</f>
        <v>8.3333333333333037E-2</v>
      </c>
      <c r="U9" s="346" t="s">
        <v>480</v>
      </c>
      <c r="V9" s="351" t="s">
        <v>463</v>
      </c>
      <c r="W9" s="338">
        <f>Table6[[#This Row],[Breakdown Time]]*(1/39)</f>
        <v>2.1367521367521292E-3</v>
      </c>
      <c r="X9" s="336" t="s">
        <v>465</v>
      </c>
      <c r="Y9" s="352" t="s">
        <v>135</v>
      </c>
      <c r="Z9" s="105">
        <v>4216</v>
      </c>
      <c r="AA9" s="107">
        <v>14.638888888888836</v>
      </c>
      <c r="AB9" s="105" t="s">
        <v>478</v>
      </c>
    </row>
    <row r="10" spans="1:30">
      <c r="A10" s="105">
        <f t="shared" si="0"/>
        <v>9</v>
      </c>
      <c r="B10" s="107">
        <f>YEAR(Table6[[#This Row],[Date]])+IF(MONTH(Table6[[#This Row],[Date]])&gt;=4,1,0)</f>
        <v>2025</v>
      </c>
      <c r="C10" s="105">
        <f>YEAR(Table6[[#This Row],[Date]])</f>
        <v>2025</v>
      </c>
      <c r="D10" s="105" t="s">
        <v>490</v>
      </c>
      <c r="E10" s="119">
        <f>Table6[[#This Row],[Date]]-DAY(Table6[[#This Row],[Date]])+1</f>
        <v>45717</v>
      </c>
      <c r="F10" s="118">
        <v>45745</v>
      </c>
      <c r="G10" s="105" t="s">
        <v>146</v>
      </c>
      <c r="H10" s="39" t="str">
        <f>_xlfn.XLOOKUP(Table6[[#This Row],[Affected WTG]],'Basic Data'!$A:$A,'Basic Data'!$B:$B)</f>
        <v>PWEGPL</v>
      </c>
      <c r="I10" s="39" t="str">
        <f>_xlfn.XLOOKUP(Table6[[#This Row],[Affected WTG]],'Basic Data'!$A:$A,'Basic Data'!$C:$C)</f>
        <v>MSEDCL</v>
      </c>
      <c r="J10" s="345">
        <f>IFERROR(VLOOKUP(Table6[[#This Row],[Affected WTG]],'Basic Data'!$A$3:$E$56,5,0),"")</f>
        <v>2.564102564102564E-2</v>
      </c>
      <c r="K10" s="105">
        <v>205</v>
      </c>
      <c r="L10" s="39" t="str">
        <f>IFERROR(VLOOKUP(Table6[[#This Row],[Error Code]],'Basic Data'!$T:$U,2,0),"")</f>
        <v>Low Level Hydraulic Group Refrigeration Oil</v>
      </c>
      <c r="M10" s="346" t="s">
        <v>462</v>
      </c>
      <c r="N10" s="39" t="s">
        <v>1270</v>
      </c>
      <c r="O10" s="347">
        <v>0.35694444444444445</v>
      </c>
      <c r="P10" s="347">
        <v>0.59305555555555556</v>
      </c>
      <c r="Q10" s="347">
        <v>0.71250000000000002</v>
      </c>
      <c r="R10" s="348">
        <f>IF(Table6[[#This Row],[Work Start TimeStamp]]="","",(Table6[[#This Row],[Work Start TimeStamp]]-Table6[[#This Row],[Fault Start TimeStamp]])*24)</f>
        <v>5.6666666666666661</v>
      </c>
      <c r="S10" s="349">
        <f>(Table6[[#This Row],[Fault Clearance time]]-Table6[[#This Row],[Work Start TimeStamp]])*24</f>
        <v>2.8666666666666671</v>
      </c>
      <c r="T10" s="350">
        <f>(Table6[[#This Row],[Fault Clearance time]]-Table6[[#This Row],[Fault Start TimeStamp]])*24</f>
        <v>8.5333333333333332</v>
      </c>
      <c r="U10" s="346" t="s">
        <v>502</v>
      </c>
      <c r="V10" s="351" t="s">
        <v>463</v>
      </c>
      <c r="W10" s="338">
        <f>Table6[[#This Row],[Breakdown Time]]*(1/39)</f>
        <v>0.2188034188034188</v>
      </c>
      <c r="X10" s="336" t="s">
        <v>465</v>
      </c>
      <c r="Y10" s="352" t="s">
        <v>147</v>
      </c>
      <c r="Z10" s="105">
        <v>2688</v>
      </c>
      <c r="AA10" s="107">
        <v>955.73333333333335</v>
      </c>
      <c r="AB10" s="105" t="s">
        <v>478</v>
      </c>
    </row>
    <row r="11" spans="1:30">
      <c r="A11" s="105">
        <f t="shared" si="0"/>
        <v>10</v>
      </c>
      <c r="B11" s="107">
        <f>YEAR(Table6[[#This Row],[Date]])+IF(MONTH(Table6[[#This Row],[Date]])&gt;=4,1,0)</f>
        <v>2025</v>
      </c>
      <c r="C11" s="105">
        <f>YEAR(Table6[[#This Row],[Date]])</f>
        <v>2025</v>
      </c>
      <c r="D11" s="105" t="s">
        <v>490</v>
      </c>
      <c r="E11" s="119">
        <f>Table6[[#This Row],[Date]]-DAY(Table6[[#This Row],[Date]])+1</f>
        <v>45717</v>
      </c>
      <c r="F11" s="118">
        <v>45745</v>
      </c>
      <c r="G11" s="105" t="s">
        <v>147</v>
      </c>
      <c r="H11" s="39" t="str">
        <f>_xlfn.XLOOKUP(Table6[[#This Row],[Affected WTG]],'Basic Data'!$A:$A,'Basic Data'!$B:$B)</f>
        <v>PWEGPL</v>
      </c>
      <c r="I11" s="39" t="str">
        <f>_xlfn.XLOOKUP(Table6[[#This Row],[Affected WTG]],'Basic Data'!$A:$A,'Basic Data'!$C:$C)</f>
        <v>MSEDCL</v>
      </c>
      <c r="J11" s="345">
        <f>IFERROR(VLOOKUP(Table6[[#This Row],[Affected WTG]],'Basic Data'!$A$3:$E$56,5,0),"")</f>
        <v>2.564102564102564E-2</v>
      </c>
      <c r="K11" s="105">
        <v>5201</v>
      </c>
      <c r="L11" s="39" t="str">
        <f>IFERROR(VLOOKUP(Table6[[#This Row],[Error Code]],'Basic Data'!$T:$U,2,0),"")</f>
        <v>Magnetothermic Trigger Of The Stator Protection</v>
      </c>
      <c r="M11" s="346" t="s">
        <v>462</v>
      </c>
      <c r="N11" s="39" t="s">
        <v>1270</v>
      </c>
      <c r="O11" s="347">
        <v>0.37708333333333333</v>
      </c>
      <c r="P11" s="347">
        <v>0.37708333333333333</v>
      </c>
      <c r="Q11" s="347">
        <v>0.38055555555555554</v>
      </c>
      <c r="R11" s="348">
        <f>IF(Table6[[#This Row],[Work Start TimeStamp]]="","",(Table6[[#This Row],[Work Start TimeStamp]]-Table6[[#This Row],[Fault Start TimeStamp]])*24)</f>
        <v>0</v>
      </c>
      <c r="S11" s="349">
        <f>(Table6[[#This Row],[Fault Clearance time]]-Table6[[#This Row],[Work Start TimeStamp]])*24</f>
        <v>8.3333333333333037E-2</v>
      </c>
      <c r="T11" s="350">
        <f>(Table6[[#This Row],[Fault Clearance time]]-Table6[[#This Row],[Fault Start TimeStamp]])*24</f>
        <v>8.3333333333333037E-2</v>
      </c>
      <c r="U11" s="346" t="s">
        <v>480</v>
      </c>
      <c r="V11" s="351" t="s">
        <v>463</v>
      </c>
      <c r="W11" s="338">
        <f>Table6[[#This Row],[Breakdown Time]]*(1/39)</f>
        <v>2.1367521367521292E-3</v>
      </c>
      <c r="X11" s="336" t="s">
        <v>465</v>
      </c>
      <c r="Y11" s="352" t="s">
        <v>148</v>
      </c>
      <c r="Z11" s="105">
        <v>2976</v>
      </c>
      <c r="AA11" s="107">
        <v>10.333333333333297</v>
      </c>
      <c r="AB11" s="105" t="s">
        <v>478</v>
      </c>
    </row>
    <row r="12" spans="1:30">
      <c r="A12" s="105">
        <f t="shared" si="0"/>
        <v>11</v>
      </c>
      <c r="B12" s="107">
        <f>YEAR(Table6[[#This Row],[Date]])+IF(MONTH(Table6[[#This Row],[Date]])&gt;=4,1,0)</f>
        <v>2025</v>
      </c>
      <c r="C12" s="105">
        <f>YEAR(Table6[[#This Row],[Date]])</f>
        <v>2025</v>
      </c>
      <c r="D12" s="105" t="s">
        <v>490</v>
      </c>
      <c r="E12" s="119">
        <f>Table6[[#This Row],[Date]]-DAY(Table6[[#This Row],[Date]])+1</f>
        <v>45717</v>
      </c>
      <c r="F12" s="118">
        <v>45745</v>
      </c>
      <c r="G12" s="105" t="s">
        <v>147</v>
      </c>
      <c r="H12" s="39" t="str">
        <f>_xlfn.XLOOKUP(Table6[[#This Row],[Affected WTG]],'Basic Data'!$A:$A,'Basic Data'!$B:$B)</f>
        <v>PWEGPL</v>
      </c>
      <c r="I12" s="39" t="str">
        <f>_xlfn.XLOOKUP(Table6[[#This Row],[Affected WTG]],'Basic Data'!$A:$A,'Basic Data'!$C:$C)</f>
        <v>MSEDCL</v>
      </c>
      <c r="J12" s="345">
        <f>IFERROR(VLOOKUP(Table6[[#This Row],[Affected WTG]],'Basic Data'!$A$3:$E$56,5,0),"")</f>
        <v>2.564102564102564E-2</v>
      </c>
      <c r="K12" s="105">
        <v>5200</v>
      </c>
      <c r="L12" s="39" t="str">
        <f>IFERROR(VLOOKUP(Table6[[#This Row],[Error Code]],'Basic Data'!$T:$U,2,0),"")</f>
        <v>Magnetothermic Trigger Of The Line Protection</v>
      </c>
      <c r="M12" s="346" t="s">
        <v>462</v>
      </c>
      <c r="N12" s="39" t="s">
        <v>1270</v>
      </c>
      <c r="O12" s="347">
        <v>0.72638888888888886</v>
      </c>
      <c r="P12" s="347">
        <v>0.72638888888888886</v>
      </c>
      <c r="Q12" s="347">
        <v>0.73263888888888884</v>
      </c>
      <c r="R12" s="348">
        <f>IF(Table6[[#This Row],[Work Start TimeStamp]]="","",(Table6[[#This Row],[Work Start TimeStamp]]-Table6[[#This Row],[Fault Start TimeStamp]])*24)</f>
        <v>0</v>
      </c>
      <c r="S12" s="349">
        <f>(Table6[[#This Row],[Fault Clearance time]]-Table6[[#This Row],[Work Start TimeStamp]])*24</f>
        <v>0.14999999999999947</v>
      </c>
      <c r="T12" s="350">
        <f>(Table6[[#This Row],[Fault Clearance time]]-Table6[[#This Row],[Fault Start TimeStamp]])*24</f>
        <v>0.14999999999999947</v>
      </c>
      <c r="U12" s="346" t="s">
        <v>493</v>
      </c>
      <c r="V12" s="351" t="s">
        <v>463</v>
      </c>
      <c r="W12" s="338">
        <f>Table6[[#This Row],[Breakdown Time]]*(1/39)</f>
        <v>3.8461538461538325E-3</v>
      </c>
      <c r="X12" s="336" t="s">
        <v>465</v>
      </c>
      <c r="Y12" s="352" t="s">
        <v>148</v>
      </c>
      <c r="Z12" s="105">
        <v>2976</v>
      </c>
      <c r="AA12" s="107">
        <v>18.599999999999934</v>
      </c>
      <c r="AB12" s="105" t="s">
        <v>478</v>
      </c>
    </row>
    <row r="13" spans="1:30">
      <c r="A13" s="105">
        <f t="shared" si="0"/>
        <v>12</v>
      </c>
      <c r="B13" s="107">
        <f>YEAR(Table6[[#This Row],[Date]])+IF(MONTH(Table6[[#This Row],[Date]])&gt;=4,1,0)</f>
        <v>2025</v>
      </c>
      <c r="C13" s="105">
        <f>YEAR(Table6[[#This Row],[Date]])</f>
        <v>2025</v>
      </c>
      <c r="D13" s="105" t="s">
        <v>490</v>
      </c>
      <c r="E13" s="119">
        <f>Table6[[#This Row],[Date]]-DAY(Table6[[#This Row],[Date]])+1</f>
        <v>45717</v>
      </c>
      <c r="F13" s="118">
        <v>45745</v>
      </c>
      <c r="G13" s="105" t="s">
        <v>149</v>
      </c>
      <c r="H13" s="39" t="str">
        <f>_xlfn.XLOOKUP(Table6[[#This Row],[Affected WTG]],'Basic Data'!$A:$A,'Basic Data'!$B:$B)</f>
        <v>PWEGPL</v>
      </c>
      <c r="I13" s="39" t="str">
        <f>_xlfn.XLOOKUP(Table6[[#This Row],[Affected WTG]],'Basic Data'!$A:$A,'Basic Data'!$C:$C)</f>
        <v>MSEDCL</v>
      </c>
      <c r="J13" s="345">
        <f>IFERROR(VLOOKUP(Table6[[#This Row],[Affected WTG]],'Basic Data'!$A$3:$E$56,5,0),"")</f>
        <v>2.564102564102564E-2</v>
      </c>
      <c r="K13" s="105">
        <v>812</v>
      </c>
      <c r="L13" s="39" t="str">
        <f>IFERROR(VLOOKUP(Table6[[#This Row],[Error Code]],'Basic Data'!$T:$U,2,0),"")</f>
        <v>Blade Position Meas. Error</v>
      </c>
      <c r="M13" s="346" t="s">
        <v>462</v>
      </c>
      <c r="N13" s="39" t="s">
        <v>1270</v>
      </c>
      <c r="O13" s="347">
        <v>0.38541666666666669</v>
      </c>
      <c r="P13" s="347">
        <v>0.38541666666666669</v>
      </c>
      <c r="Q13" s="347">
        <v>0.3888888888888889</v>
      </c>
      <c r="R13" s="348">
        <f>IF(Table6[[#This Row],[Work Start TimeStamp]]="","",(Table6[[#This Row],[Work Start TimeStamp]]-Table6[[#This Row],[Fault Start TimeStamp]])*24)</f>
        <v>0</v>
      </c>
      <c r="S13" s="349">
        <f>(Table6[[#This Row],[Fault Clearance time]]-Table6[[#This Row],[Work Start TimeStamp]])*24</f>
        <v>8.3333333333333037E-2</v>
      </c>
      <c r="T13" s="350">
        <f>(Table6[[#This Row],[Fault Clearance time]]-Table6[[#This Row],[Fault Start TimeStamp]])*24</f>
        <v>8.3333333333333037E-2</v>
      </c>
      <c r="U13" s="346" t="s">
        <v>480</v>
      </c>
      <c r="V13" s="351" t="s">
        <v>463</v>
      </c>
      <c r="W13" s="338">
        <f>Table6[[#This Row],[Breakdown Time]]*(1/39)</f>
        <v>2.1367521367521292E-3</v>
      </c>
      <c r="X13" s="336" t="s">
        <v>465</v>
      </c>
      <c r="Y13" s="352" t="s">
        <v>150</v>
      </c>
      <c r="Z13" s="105">
        <v>2818</v>
      </c>
      <c r="AA13" s="107">
        <v>9.7847222222221877</v>
      </c>
      <c r="AB13" s="105" t="s">
        <v>478</v>
      </c>
    </row>
    <row r="14" spans="1:30">
      <c r="A14" s="105">
        <f t="shared" si="0"/>
        <v>13</v>
      </c>
      <c r="B14" s="107">
        <f>YEAR(Table6[[#This Row],[Date]])+IF(MONTH(Table6[[#This Row],[Date]])&gt;=4,1,0)</f>
        <v>2025</v>
      </c>
      <c r="C14" s="105">
        <f>YEAR(Table6[[#This Row],[Date]])</f>
        <v>2025</v>
      </c>
      <c r="D14" s="105" t="s">
        <v>490</v>
      </c>
      <c r="E14" s="119">
        <f>Table6[[#This Row],[Date]]-DAY(Table6[[#This Row],[Date]])+1</f>
        <v>45717</v>
      </c>
      <c r="F14" s="118">
        <v>45745</v>
      </c>
      <c r="G14" s="105" t="s">
        <v>149</v>
      </c>
      <c r="H14" s="39" t="str">
        <f>_xlfn.XLOOKUP(Table6[[#This Row],[Affected WTG]],'Basic Data'!$A:$A,'Basic Data'!$B:$B)</f>
        <v>PWEGPL</v>
      </c>
      <c r="I14" s="39" t="str">
        <f>_xlfn.XLOOKUP(Table6[[#This Row],[Affected WTG]],'Basic Data'!$A:$A,'Basic Data'!$C:$C)</f>
        <v>MSEDCL</v>
      </c>
      <c r="J14" s="345">
        <f>IFERROR(VLOOKUP(Table6[[#This Row],[Affected WTG]],'Basic Data'!$A$3:$E$56,5,0),"")</f>
        <v>2.564102564102564E-2</v>
      </c>
      <c r="K14" s="105">
        <v>812</v>
      </c>
      <c r="L14" s="39" t="str">
        <f>IFERROR(VLOOKUP(Table6[[#This Row],[Error Code]],'Basic Data'!$T:$U,2,0),"")</f>
        <v>Blade Position Meas. Error</v>
      </c>
      <c r="M14" s="346" t="s">
        <v>462</v>
      </c>
      <c r="N14" s="39" t="s">
        <v>1270</v>
      </c>
      <c r="O14" s="347">
        <v>0.42777777777777776</v>
      </c>
      <c r="P14" s="347">
        <v>0.42777777777777776</v>
      </c>
      <c r="Q14" s="347">
        <v>0.43125000000000002</v>
      </c>
      <c r="R14" s="348">
        <f>IF(Table6[[#This Row],[Work Start TimeStamp]]="","",(Table6[[#This Row],[Work Start TimeStamp]]-Table6[[#This Row],[Fault Start TimeStamp]])*24)</f>
        <v>0</v>
      </c>
      <c r="S14" s="349">
        <f>(Table6[[#This Row],[Fault Clearance time]]-Table6[[#This Row],[Work Start TimeStamp]])*24</f>
        <v>8.333333333333437E-2</v>
      </c>
      <c r="T14" s="350">
        <f>(Table6[[#This Row],[Fault Clearance time]]-Table6[[#This Row],[Fault Start TimeStamp]])*24</f>
        <v>8.333333333333437E-2</v>
      </c>
      <c r="U14" s="346" t="s">
        <v>480</v>
      </c>
      <c r="V14" s="351" t="s">
        <v>463</v>
      </c>
      <c r="W14" s="338">
        <f>Table6[[#This Row],[Breakdown Time]]*(1/39)</f>
        <v>2.1367521367521634E-3</v>
      </c>
      <c r="X14" s="336" t="s">
        <v>465</v>
      </c>
      <c r="Y14" s="352" t="s">
        <v>150</v>
      </c>
      <c r="Z14" s="105">
        <v>2818</v>
      </c>
      <c r="AA14" s="107">
        <v>9.784722222222344</v>
      </c>
      <c r="AB14" s="105" t="s">
        <v>478</v>
      </c>
    </row>
    <row r="15" spans="1:30">
      <c r="A15" s="105">
        <f t="shared" si="0"/>
        <v>14</v>
      </c>
      <c r="B15" s="107">
        <f>YEAR(Table6[[#This Row],[Date]])+IF(MONTH(Table6[[#This Row],[Date]])&gt;=4,1,0)</f>
        <v>2025</v>
      </c>
      <c r="C15" s="105">
        <f>YEAR(Table6[[#This Row],[Date]])</f>
        <v>2025</v>
      </c>
      <c r="D15" s="105" t="s">
        <v>490</v>
      </c>
      <c r="E15" s="119">
        <f>Table6[[#This Row],[Date]]-DAY(Table6[[#This Row],[Date]])+1</f>
        <v>45717</v>
      </c>
      <c r="F15" s="118">
        <v>45745</v>
      </c>
      <c r="G15" s="105" t="s">
        <v>149</v>
      </c>
      <c r="H15" s="39" t="str">
        <f>_xlfn.XLOOKUP(Table6[[#This Row],[Affected WTG]],'Basic Data'!$A:$A,'Basic Data'!$B:$B)</f>
        <v>PWEGPL</v>
      </c>
      <c r="I15" s="39" t="str">
        <f>_xlfn.XLOOKUP(Table6[[#This Row],[Affected WTG]],'Basic Data'!$A:$A,'Basic Data'!$C:$C)</f>
        <v>MSEDCL</v>
      </c>
      <c r="J15" s="345">
        <f>IFERROR(VLOOKUP(Table6[[#This Row],[Affected WTG]],'Basic Data'!$A$3:$E$56,5,0),"")</f>
        <v>2.564102564102564E-2</v>
      </c>
      <c r="K15" s="105">
        <v>812</v>
      </c>
      <c r="L15" s="39" t="str">
        <f>IFERROR(VLOOKUP(Table6[[#This Row],[Error Code]],'Basic Data'!$T:$U,2,0),"")</f>
        <v>Blade Position Meas. Error</v>
      </c>
      <c r="M15" s="346" t="s">
        <v>462</v>
      </c>
      <c r="N15" s="39" t="s">
        <v>1270</v>
      </c>
      <c r="O15" s="347">
        <v>0.45416666666666666</v>
      </c>
      <c r="P15" s="347">
        <v>0.45416666666666666</v>
      </c>
      <c r="Q15" s="347">
        <v>0.45763888888888887</v>
      </c>
      <c r="R15" s="348">
        <f>IF(Table6[[#This Row],[Work Start TimeStamp]]="","",(Table6[[#This Row],[Work Start TimeStamp]]-Table6[[#This Row],[Fault Start TimeStamp]])*24)</f>
        <v>0</v>
      </c>
      <c r="S15" s="349">
        <f>(Table6[[#This Row],[Fault Clearance time]]-Table6[[#This Row],[Work Start TimeStamp]])*24</f>
        <v>8.3333333333333037E-2</v>
      </c>
      <c r="T15" s="350">
        <f>(Table6[[#This Row],[Fault Clearance time]]-Table6[[#This Row],[Fault Start TimeStamp]])*24</f>
        <v>8.3333333333333037E-2</v>
      </c>
      <c r="U15" s="346" t="s">
        <v>480</v>
      </c>
      <c r="V15" s="351" t="s">
        <v>463</v>
      </c>
      <c r="W15" s="338">
        <f>Table6[[#This Row],[Breakdown Time]]*(1/39)</f>
        <v>2.1367521367521292E-3</v>
      </c>
      <c r="X15" s="336" t="s">
        <v>465</v>
      </c>
      <c r="Y15" s="352" t="s">
        <v>150</v>
      </c>
      <c r="Z15" s="105">
        <v>2818</v>
      </c>
      <c r="AA15" s="107">
        <v>9.7847222222221877</v>
      </c>
      <c r="AB15" s="105" t="s">
        <v>478</v>
      </c>
    </row>
    <row r="16" spans="1:30">
      <c r="A16" s="105">
        <f t="shared" si="0"/>
        <v>15</v>
      </c>
      <c r="B16" s="107">
        <f>YEAR(Table6[[#This Row],[Date]])+IF(MONTH(Table6[[#This Row],[Date]])&gt;=4,1,0)</f>
        <v>2025</v>
      </c>
      <c r="C16" s="105">
        <f>YEAR(Table6[[#This Row],[Date]])</f>
        <v>2025</v>
      </c>
      <c r="D16" s="105" t="s">
        <v>490</v>
      </c>
      <c r="E16" s="119">
        <f>Table6[[#This Row],[Date]]-DAY(Table6[[#This Row],[Date]])+1</f>
        <v>45717</v>
      </c>
      <c r="F16" s="118">
        <v>45745</v>
      </c>
      <c r="G16" s="105" t="s">
        <v>149</v>
      </c>
      <c r="H16" s="39" t="str">
        <f>_xlfn.XLOOKUP(Table6[[#This Row],[Affected WTG]],'Basic Data'!$A:$A,'Basic Data'!$B:$B)</f>
        <v>PWEGPL</v>
      </c>
      <c r="I16" s="39" t="str">
        <f>_xlfn.XLOOKUP(Table6[[#This Row],[Affected WTG]],'Basic Data'!$A:$A,'Basic Data'!$C:$C)</f>
        <v>MSEDCL</v>
      </c>
      <c r="J16" s="345">
        <f>IFERROR(VLOOKUP(Table6[[#This Row],[Affected WTG]],'Basic Data'!$A$3:$E$56,5,0),"")</f>
        <v>2.564102564102564E-2</v>
      </c>
      <c r="K16" s="105">
        <v>812</v>
      </c>
      <c r="L16" s="39" t="str">
        <f>IFERROR(VLOOKUP(Table6[[#This Row],[Error Code]],'Basic Data'!$T:$U,2,0),"")</f>
        <v>Blade Position Meas. Error</v>
      </c>
      <c r="M16" s="346" t="s">
        <v>462</v>
      </c>
      <c r="N16" s="39" t="s">
        <v>1270</v>
      </c>
      <c r="O16" s="347">
        <v>0.48888888888888887</v>
      </c>
      <c r="P16" s="347">
        <v>0.48888888888888887</v>
      </c>
      <c r="Q16" s="347">
        <v>0.56180555555555556</v>
      </c>
      <c r="R16" s="348">
        <f>IF(Table6[[#This Row],[Work Start TimeStamp]]="","",(Table6[[#This Row],[Work Start TimeStamp]]-Table6[[#This Row],[Fault Start TimeStamp]])*24)</f>
        <v>0</v>
      </c>
      <c r="S16" s="349">
        <f>(Table6[[#This Row],[Fault Clearance time]]-Table6[[#This Row],[Work Start TimeStamp]])*24</f>
        <v>1.7500000000000004</v>
      </c>
      <c r="T16" s="350">
        <f>(Table6[[#This Row],[Fault Clearance time]]-Table6[[#This Row],[Fault Start TimeStamp]])*24</f>
        <v>1.7500000000000004</v>
      </c>
      <c r="U16" s="346" t="s">
        <v>493</v>
      </c>
      <c r="V16" s="351" t="s">
        <v>463</v>
      </c>
      <c r="W16" s="338">
        <f>Table6[[#This Row],[Breakdown Time]]*(1/39)</f>
        <v>4.4871794871794879E-2</v>
      </c>
      <c r="X16" s="336" t="s">
        <v>465</v>
      </c>
      <c r="Y16" s="352" t="s">
        <v>150</v>
      </c>
      <c r="Z16" s="105">
        <v>2818</v>
      </c>
      <c r="AA16" s="107">
        <v>205.47916666666671</v>
      </c>
      <c r="AB16" s="105" t="s">
        <v>478</v>
      </c>
    </row>
    <row r="17" spans="1:28">
      <c r="A17" s="105">
        <f t="shared" si="0"/>
        <v>16</v>
      </c>
      <c r="B17" s="107">
        <f>YEAR(Table6[[#This Row],[Date]])+IF(MONTH(Table6[[#This Row],[Date]])&gt;=4,1,0)</f>
        <v>2025</v>
      </c>
      <c r="C17" s="105">
        <f>YEAR(Table6[[#This Row],[Date]])</f>
        <v>2025</v>
      </c>
      <c r="D17" s="105" t="s">
        <v>490</v>
      </c>
      <c r="E17" s="119">
        <f>Table6[[#This Row],[Date]]-DAY(Table6[[#This Row],[Date]])+1</f>
        <v>45717</v>
      </c>
      <c r="F17" s="118">
        <v>45745</v>
      </c>
      <c r="G17" s="105" t="s">
        <v>149</v>
      </c>
      <c r="H17" s="39" t="str">
        <f>_xlfn.XLOOKUP(Table6[[#This Row],[Affected WTG]],'Basic Data'!$A:$A,'Basic Data'!$B:$B)</f>
        <v>PWEGPL</v>
      </c>
      <c r="I17" s="39" t="str">
        <f>_xlfn.XLOOKUP(Table6[[#This Row],[Affected WTG]],'Basic Data'!$A:$A,'Basic Data'!$C:$C)</f>
        <v>MSEDCL</v>
      </c>
      <c r="J17" s="345">
        <f>IFERROR(VLOOKUP(Table6[[#This Row],[Affected WTG]],'Basic Data'!$A$3:$E$56,5,0),"")</f>
        <v>2.564102564102564E-2</v>
      </c>
      <c r="K17" s="105">
        <v>812</v>
      </c>
      <c r="L17" s="39" t="str">
        <f>IFERROR(VLOOKUP(Table6[[#This Row],[Error Code]],'Basic Data'!$T:$U,2,0),"")</f>
        <v>Blade Position Meas. Error</v>
      </c>
      <c r="M17" s="346" t="s">
        <v>462</v>
      </c>
      <c r="N17" s="39" t="s">
        <v>1270</v>
      </c>
      <c r="O17" s="347">
        <v>0.62777777777777777</v>
      </c>
      <c r="P17" s="347">
        <v>0.64444444444444449</v>
      </c>
      <c r="Q17" s="347">
        <v>0.73819444444444449</v>
      </c>
      <c r="R17" s="348">
        <f>IF(Table6[[#This Row],[Work Start TimeStamp]]="","",(Table6[[#This Row],[Work Start TimeStamp]]-Table6[[#This Row],[Fault Start TimeStamp]])*24)</f>
        <v>0.40000000000000124</v>
      </c>
      <c r="S17" s="349">
        <f>(Table6[[#This Row],[Fault Clearance time]]-Table6[[#This Row],[Work Start TimeStamp]])*24</f>
        <v>2.25</v>
      </c>
      <c r="T17" s="350">
        <f>(Table6[[#This Row],[Fault Clearance time]]-Table6[[#This Row],[Fault Start TimeStamp]])*24</f>
        <v>2.6500000000000012</v>
      </c>
      <c r="U17" s="346" t="s">
        <v>511</v>
      </c>
      <c r="V17" s="351" t="s">
        <v>463</v>
      </c>
      <c r="W17" s="338">
        <f>Table6[[#This Row],[Breakdown Time]]*(1/39)</f>
        <v>6.7948717948717985E-2</v>
      </c>
      <c r="X17" s="336" t="s">
        <v>465</v>
      </c>
      <c r="Y17" s="352" t="s">
        <v>150</v>
      </c>
      <c r="Z17" s="105">
        <v>2818</v>
      </c>
      <c r="AA17" s="107">
        <v>311.15416666666681</v>
      </c>
      <c r="AB17" s="105" t="s">
        <v>478</v>
      </c>
    </row>
    <row r="18" spans="1:28">
      <c r="A18" s="105">
        <f t="shared" si="0"/>
        <v>17</v>
      </c>
      <c r="B18" s="107">
        <f>YEAR(Table6[[#This Row],[Date]])+IF(MONTH(Table6[[#This Row],[Date]])&gt;=4,1,0)</f>
        <v>2025</v>
      </c>
      <c r="C18" s="105">
        <f>YEAR(Table6[[#This Row],[Date]])</f>
        <v>2025</v>
      </c>
      <c r="D18" s="105" t="s">
        <v>490</v>
      </c>
      <c r="E18" s="119">
        <f>Table6[[#This Row],[Date]]-DAY(Table6[[#This Row],[Date]])+1</f>
        <v>45717</v>
      </c>
      <c r="F18" s="118">
        <v>45746</v>
      </c>
      <c r="G18" s="105" t="s">
        <v>144</v>
      </c>
      <c r="H18" s="39" t="str">
        <f>_xlfn.XLOOKUP(Table6[[#This Row],[Affected WTG]],'Basic Data'!$A:$A,'Basic Data'!$B:$B)</f>
        <v>PWEGPL</v>
      </c>
      <c r="I18" s="39" t="str">
        <f>_xlfn.XLOOKUP(Table6[[#This Row],[Affected WTG]],'Basic Data'!$A:$A,'Basic Data'!$C:$C)</f>
        <v>MSEDCL</v>
      </c>
      <c r="J18" s="345">
        <f>IFERROR(VLOOKUP(Table6[[#This Row],[Affected WTG]],'Basic Data'!$A$3:$E$56,5,0),"")</f>
        <v>2.564102564102564E-2</v>
      </c>
      <c r="K18" s="105" t="s">
        <v>492</v>
      </c>
      <c r="L18" s="39" t="str">
        <f>IFERROR(VLOOKUP(Table6[[#This Row],[Error Code]],'Basic Data'!$T:$U,2,0),"")</f>
        <v>Manual Stop - Safety Related</v>
      </c>
      <c r="M18" s="346" t="s">
        <v>481</v>
      </c>
      <c r="N18" s="39" t="s">
        <v>1269</v>
      </c>
      <c r="O18" s="347">
        <v>0</v>
      </c>
      <c r="P18" s="347">
        <v>0.99930555555555556</v>
      </c>
      <c r="Q18" s="347">
        <v>0.99930555555555556</v>
      </c>
      <c r="R18" s="348">
        <f>IF(Table6[[#This Row],[Work Start TimeStamp]]="","",(Table6[[#This Row],[Work Start TimeStamp]]-Table6[[#This Row],[Fault Start TimeStamp]])*24)</f>
        <v>23.983333333333334</v>
      </c>
      <c r="S18" s="349">
        <f>(Table6[[#This Row],[Fault Clearance time]]-Table6[[#This Row],[Work Start TimeStamp]])*24</f>
        <v>0</v>
      </c>
      <c r="T18" s="350">
        <f>(Table6[[#This Row],[Fault Clearance time]]-Table6[[#This Row],[Fault Start TimeStamp]])*24</f>
        <v>23.983333333333334</v>
      </c>
      <c r="U18" s="346" t="s">
        <v>498</v>
      </c>
      <c r="V18" s="351" t="s">
        <v>473</v>
      </c>
      <c r="W18" s="338">
        <f>Table6[[#This Row],[Breakdown Time]]*(1/39)</f>
        <v>0.61495726495726499</v>
      </c>
      <c r="X18" s="336" t="s">
        <v>1212</v>
      </c>
      <c r="Y18" s="352" t="s">
        <v>141</v>
      </c>
      <c r="Z18" s="105">
        <v>1552</v>
      </c>
      <c r="AA18" s="107">
        <v>1550.9222222222224</v>
      </c>
      <c r="AB18" s="105" t="s">
        <v>478</v>
      </c>
    </row>
    <row r="19" spans="1:28">
      <c r="A19" s="105">
        <f t="shared" si="0"/>
        <v>18</v>
      </c>
      <c r="B19" s="107">
        <f>YEAR(Table6[[#This Row],[Date]])+IF(MONTH(Table6[[#This Row],[Date]])&gt;=4,1,0)</f>
        <v>2025</v>
      </c>
      <c r="C19" s="105">
        <f>YEAR(Table6[[#This Row],[Date]])</f>
        <v>2025</v>
      </c>
      <c r="D19" s="105" t="s">
        <v>490</v>
      </c>
      <c r="E19" s="119">
        <f>Table6[[#This Row],[Date]]-DAY(Table6[[#This Row],[Date]])+1</f>
        <v>45717</v>
      </c>
      <c r="F19" s="118">
        <v>45746</v>
      </c>
      <c r="G19" s="105" t="s">
        <v>142</v>
      </c>
      <c r="H19" s="39" t="str">
        <f>_xlfn.XLOOKUP(Table6[[#This Row],[Affected WTG]],'Basic Data'!$A:$A,'Basic Data'!$B:$B)</f>
        <v>PWEGPL</v>
      </c>
      <c r="I19" s="39" t="str">
        <f>_xlfn.XLOOKUP(Table6[[#This Row],[Affected WTG]],'Basic Data'!$A:$A,'Basic Data'!$C:$C)</f>
        <v>MSEDCL</v>
      </c>
      <c r="J19" s="345">
        <f>IFERROR(VLOOKUP(Table6[[#This Row],[Affected WTG]],'Basic Data'!$A$3:$E$56,5,0),"")</f>
        <v>2.564102564102564E-2</v>
      </c>
      <c r="K19" s="105" t="s">
        <v>492</v>
      </c>
      <c r="L19" s="39" t="str">
        <f>IFERROR(VLOOKUP(Table6[[#This Row],[Error Code]],'Basic Data'!$T:$U,2,0),"")</f>
        <v>Manual Stop - Safety Related</v>
      </c>
      <c r="M19" s="346" t="s">
        <v>481</v>
      </c>
      <c r="N19" s="39" t="s">
        <v>1269</v>
      </c>
      <c r="O19" s="347">
        <v>0</v>
      </c>
      <c r="P19" s="347">
        <v>0.99930555555555556</v>
      </c>
      <c r="Q19" s="347">
        <v>0.99930555555555556</v>
      </c>
      <c r="R19" s="348">
        <f>IF(Table6[[#This Row],[Work Start TimeStamp]]="","",(Table6[[#This Row],[Work Start TimeStamp]]-Table6[[#This Row],[Fault Start TimeStamp]])*24)</f>
        <v>23.983333333333334</v>
      </c>
      <c r="S19" s="349">
        <f>(Table6[[#This Row],[Fault Clearance time]]-Table6[[#This Row],[Work Start TimeStamp]])*24</f>
        <v>0</v>
      </c>
      <c r="T19" s="350">
        <f>(Table6[[#This Row],[Fault Clearance time]]-Table6[[#This Row],[Fault Start TimeStamp]])*24</f>
        <v>23.983333333333334</v>
      </c>
      <c r="U19" s="346" t="s">
        <v>498</v>
      </c>
      <c r="V19" s="351" t="s">
        <v>473</v>
      </c>
      <c r="W19" s="338">
        <f>Table6[[#This Row],[Breakdown Time]]*(1/39)</f>
        <v>0.61495726495726499</v>
      </c>
      <c r="X19" s="336" t="s">
        <v>1212</v>
      </c>
      <c r="Y19" s="352" t="s">
        <v>141</v>
      </c>
      <c r="Z19" s="105">
        <v>1552</v>
      </c>
      <c r="AA19" s="107">
        <v>1550.9222222222224</v>
      </c>
      <c r="AB19" s="105" t="s">
        <v>478</v>
      </c>
    </row>
    <row r="20" spans="1:28">
      <c r="A20" s="105">
        <f t="shared" si="0"/>
        <v>19</v>
      </c>
      <c r="B20" s="107">
        <f>YEAR(Table6[[#This Row],[Date]])+IF(MONTH(Table6[[#This Row],[Date]])&gt;=4,1,0)</f>
        <v>2025</v>
      </c>
      <c r="C20" s="105">
        <f>YEAR(Table6[[#This Row],[Date]])</f>
        <v>2025</v>
      </c>
      <c r="D20" s="105" t="s">
        <v>490</v>
      </c>
      <c r="E20" s="119">
        <f>Table6[[#This Row],[Date]]-DAY(Table6[[#This Row],[Date]])+1</f>
        <v>45717</v>
      </c>
      <c r="F20" s="118">
        <v>45746</v>
      </c>
      <c r="G20" s="105" t="s">
        <v>115</v>
      </c>
      <c r="H20" s="39" t="str">
        <f>_xlfn.XLOOKUP(Table6[[#This Row],[Affected WTG]],'Basic Data'!$A:$A,'Basic Data'!$B:$B)</f>
        <v>PWEGPL</v>
      </c>
      <c r="I20" s="39" t="str">
        <f>_xlfn.XLOOKUP(Table6[[#This Row],[Affected WTG]],'Basic Data'!$A:$A,'Basic Data'!$C:$C)</f>
        <v>MSEDCL</v>
      </c>
      <c r="J20" s="345">
        <f>IFERROR(VLOOKUP(Table6[[#This Row],[Affected WTG]],'Basic Data'!$A$3:$E$56,5,0),"")</f>
        <v>2.564102564102564E-2</v>
      </c>
      <c r="K20" s="105">
        <v>125</v>
      </c>
      <c r="L20" s="39" t="str">
        <f>IFERROR(VLOOKUP(Table6[[#This Row],[Error Code]],'Basic Data'!$T:$U,2,0),"")</f>
        <v xml:space="preserve">Yaw Motors Over Current Protection </v>
      </c>
      <c r="M20" s="346" t="s">
        <v>462</v>
      </c>
      <c r="N20" s="39" t="s">
        <v>1270</v>
      </c>
      <c r="O20" s="347">
        <v>0.49027777777777776</v>
      </c>
      <c r="P20" s="347">
        <v>0.58888888888888891</v>
      </c>
      <c r="Q20" s="347">
        <v>0.77916666666666667</v>
      </c>
      <c r="R20" s="348">
        <f>IF(Table6[[#This Row],[Work Start TimeStamp]]="","",(Table6[[#This Row],[Work Start TimeStamp]]-Table6[[#This Row],[Fault Start TimeStamp]])*24)</f>
        <v>2.3666666666666676</v>
      </c>
      <c r="S20" s="349">
        <f>(Table6[[#This Row],[Fault Clearance time]]-Table6[[#This Row],[Work Start TimeStamp]])*24</f>
        <v>4.5666666666666664</v>
      </c>
      <c r="T20" s="350">
        <f>(Table6[[#This Row],[Fault Clearance time]]-Table6[[#This Row],[Fault Start TimeStamp]])*24</f>
        <v>6.9333333333333336</v>
      </c>
      <c r="U20" s="346" t="s">
        <v>510</v>
      </c>
      <c r="V20" s="351" t="s">
        <v>463</v>
      </c>
      <c r="W20" s="338">
        <f>Table6[[#This Row],[Breakdown Time]]*(1/39)</f>
        <v>0.17777777777777778</v>
      </c>
      <c r="X20" s="336" t="s">
        <v>465</v>
      </c>
      <c r="Y20" s="352" t="s">
        <v>121</v>
      </c>
      <c r="Z20" s="105">
        <v>3645</v>
      </c>
      <c r="AA20" s="107">
        <v>1053</v>
      </c>
      <c r="AB20" s="105" t="s">
        <v>478</v>
      </c>
    </row>
    <row r="21" spans="1:28">
      <c r="A21" s="105">
        <f t="shared" si="0"/>
        <v>20</v>
      </c>
      <c r="B21" s="107">
        <f>YEAR(Table6[[#This Row],[Date]])+IF(MONTH(Table6[[#This Row],[Date]])&gt;=4,1,0)</f>
        <v>2025</v>
      </c>
      <c r="C21" s="105">
        <f>YEAR(Table6[[#This Row],[Date]])</f>
        <v>2025</v>
      </c>
      <c r="D21" s="105" t="s">
        <v>490</v>
      </c>
      <c r="E21" s="119">
        <f>Table6[[#This Row],[Date]]-DAY(Table6[[#This Row],[Date]])+1</f>
        <v>45717</v>
      </c>
      <c r="F21" s="118">
        <v>45746</v>
      </c>
      <c r="G21" s="105" t="s">
        <v>116</v>
      </c>
      <c r="H21" s="39" t="str">
        <f>_xlfn.XLOOKUP(Table6[[#This Row],[Affected WTG]],'Basic Data'!$A:$A,'Basic Data'!$B:$B)</f>
        <v>PWEGPL</v>
      </c>
      <c r="I21" s="39" t="str">
        <f>_xlfn.XLOOKUP(Table6[[#This Row],[Affected WTG]],'Basic Data'!$A:$A,'Basic Data'!$C:$C)</f>
        <v>MSEDCL</v>
      </c>
      <c r="J21" s="345">
        <f>IFERROR(VLOOKUP(Table6[[#This Row],[Affected WTG]],'Basic Data'!$A$3:$E$56,5,0),"")</f>
        <v>2.564102564102564E-2</v>
      </c>
      <c r="K21" s="105">
        <v>5203</v>
      </c>
      <c r="L21" s="39" t="str">
        <f>IFERROR(VLOOKUP(Table6[[#This Row],[Error Code]],'Basic Data'!$T:$U,2,0),"")</f>
        <v>Heating/Coolant Thermal Magnetic Failure</v>
      </c>
      <c r="M21" s="346" t="s">
        <v>462</v>
      </c>
      <c r="N21" s="39" t="s">
        <v>1270</v>
      </c>
      <c r="O21" s="347">
        <v>9.583333333333334E-2</v>
      </c>
      <c r="P21" s="347">
        <v>0.12708333333333333</v>
      </c>
      <c r="Q21" s="347">
        <v>0.32569444444444445</v>
      </c>
      <c r="R21" s="348">
        <f>IF(Table6[[#This Row],[Work Start TimeStamp]]="","",(Table6[[#This Row],[Work Start TimeStamp]]-Table6[[#This Row],[Fault Start TimeStamp]])*24)</f>
        <v>0.74999999999999967</v>
      </c>
      <c r="S21" s="349">
        <f>(Table6[[#This Row],[Fault Clearance time]]-Table6[[#This Row],[Work Start TimeStamp]])*24</f>
        <v>4.7666666666666675</v>
      </c>
      <c r="T21" s="350">
        <f>(Table6[[#This Row],[Fault Clearance time]]-Table6[[#This Row],[Fault Start TimeStamp]])*24</f>
        <v>5.5166666666666675</v>
      </c>
      <c r="U21" s="346" t="s">
        <v>515</v>
      </c>
      <c r="V21" s="351" t="s">
        <v>463</v>
      </c>
      <c r="W21" s="338">
        <f>Table6[[#This Row],[Breakdown Time]]*(1/39)</f>
        <v>0.14145299145299148</v>
      </c>
      <c r="X21" s="336" t="s">
        <v>465</v>
      </c>
      <c r="Y21" s="352" t="s">
        <v>118</v>
      </c>
      <c r="Z21" s="105">
        <v>3336</v>
      </c>
      <c r="AA21" s="107">
        <v>766.81666666666683</v>
      </c>
      <c r="AB21" s="105" t="s">
        <v>478</v>
      </c>
    </row>
    <row r="22" spans="1:28">
      <c r="A22" s="105">
        <f t="shared" si="0"/>
        <v>21</v>
      </c>
      <c r="B22" s="107">
        <f>YEAR(Table6[[#This Row],[Date]])+IF(MONTH(Table6[[#This Row],[Date]])&gt;=4,1,0)</f>
        <v>2025</v>
      </c>
      <c r="C22" s="105">
        <f>YEAR(Table6[[#This Row],[Date]])</f>
        <v>2025</v>
      </c>
      <c r="D22" s="105" t="s">
        <v>490</v>
      </c>
      <c r="E22" s="119">
        <f>Table6[[#This Row],[Date]]-DAY(Table6[[#This Row],[Date]])+1</f>
        <v>45717</v>
      </c>
      <c r="F22" s="118">
        <v>45746</v>
      </c>
      <c r="G22" s="105" t="s">
        <v>118</v>
      </c>
      <c r="H22" s="39" t="str">
        <f>_xlfn.XLOOKUP(Table6[[#This Row],[Affected WTG]],'Basic Data'!$A:$A,'Basic Data'!$B:$B)</f>
        <v>PWEGPL</v>
      </c>
      <c r="I22" s="39" t="str">
        <f>_xlfn.XLOOKUP(Table6[[#This Row],[Affected WTG]],'Basic Data'!$A:$A,'Basic Data'!$C:$C)</f>
        <v>MSEDCL</v>
      </c>
      <c r="J22" s="345">
        <f>IFERROR(VLOOKUP(Table6[[#This Row],[Affected WTG]],'Basic Data'!$A$3:$E$56,5,0),"")</f>
        <v>2.564102564102564E-2</v>
      </c>
      <c r="K22" s="105">
        <v>5200</v>
      </c>
      <c r="L22" s="39" t="str">
        <f>IFERROR(VLOOKUP(Table6[[#This Row],[Error Code]],'Basic Data'!$T:$U,2,0),"")</f>
        <v>Magnetothermic Trigger Of The Line Protection</v>
      </c>
      <c r="M22" s="346" t="s">
        <v>462</v>
      </c>
      <c r="N22" s="39" t="s">
        <v>1270</v>
      </c>
      <c r="O22" s="347">
        <v>0.61736111111111114</v>
      </c>
      <c r="P22" s="347">
        <v>0.61736111111111114</v>
      </c>
      <c r="Q22" s="347">
        <v>0.625</v>
      </c>
      <c r="R22" s="348">
        <f>IF(Table6[[#This Row],[Work Start TimeStamp]]="","",(Table6[[#This Row],[Work Start TimeStamp]]-Table6[[#This Row],[Fault Start TimeStamp]])*24)</f>
        <v>0</v>
      </c>
      <c r="S22" s="349">
        <f>(Table6[[#This Row],[Fault Clearance time]]-Table6[[#This Row],[Work Start TimeStamp]])*24</f>
        <v>0.18333333333333268</v>
      </c>
      <c r="T22" s="350">
        <f>(Table6[[#This Row],[Fault Clearance time]]-Table6[[#This Row],[Fault Start TimeStamp]])*24</f>
        <v>0.18333333333333268</v>
      </c>
      <c r="U22" s="346" t="s">
        <v>480</v>
      </c>
      <c r="V22" s="351" t="s">
        <v>463</v>
      </c>
      <c r="W22" s="338">
        <f>Table6[[#This Row],[Breakdown Time]]*(1/39)</f>
        <v>4.7008547008546842E-3</v>
      </c>
      <c r="X22" s="336" t="s">
        <v>465</v>
      </c>
      <c r="Y22" s="352" t="s">
        <v>117</v>
      </c>
      <c r="Z22" s="105">
        <v>2170</v>
      </c>
      <c r="AA22" s="107">
        <v>16.576388888888832</v>
      </c>
      <c r="AB22" s="105" t="s">
        <v>478</v>
      </c>
    </row>
    <row r="23" spans="1:28">
      <c r="A23" s="105">
        <f t="shared" si="0"/>
        <v>22</v>
      </c>
      <c r="B23" s="107">
        <f>YEAR(Table6[[#This Row],[Date]])+IF(MONTH(Table6[[#This Row],[Date]])&gt;=4,1,0)</f>
        <v>2025</v>
      </c>
      <c r="C23" s="105">
        <f>YEAR(Table6[[#This Row],[Date]])</f>
        <v>2025</v>
      </c>
      <c r="D23" s="105" t="s">
        <v>490</v>
      </c>
      <c r="E23" s="119">
        <f>Table6[[#This Row],[Date]]-DAY(Table6[[#This Row],[Date]])+1</f>
        <v>45717</v>
      </c>
      <c r="F23" s="118">
        <v>45746</v>
      </c>
      <c r="G23" s="105" t="s">
        <v>118</v>
      </c>
      <c r="H23" s="39" t="str">
        <f>_xlfn.XLOOKUP(Table6[[#This Row],[Affected WTG]],'Basic Data'!$A:$A,'Basic Data'!$B:$B)</f>
        <v>PWEGPL</v>
      </c>
      <c r="I23" s="39" t="str">
        <f>_xlfn.XLOOKUP(Table6[[#This Row],[Affected WTG]],'Basic Data'!$A:$A,'Basic Data'!$C:$C)</f>
        <v>MSEDCL</v>
      </c>
      <c r="J23" s="345">
        <f>IFERROR(VLOOKUP(Table6[[#This Row],[Affected WTG]],'Basic Data'!$A$3:$E$56,5,0),"")</f>
        <v>2.564102564102564E-2</v>
      </c>
      <c r="K23" s="105">
        <v>5200</v>
      </c>
      <c r="L23" s="39" t="str">
        <f>IFERROR(VLOOKUP(Table6[[#This Row],[Error Code]],'Basic Data'!$T:$U,2,0),"")</f>
        <v>Magnetothermic Trigger Of The Line Protection</v>
      </c>
      <c r="M23" s="346" t="s">
        <v>462</v>
      </c>
      <c r="N23" s="39" t="s">
        <v>1270</v>
      </c>
      <c r="O23" s="347">
        <v>0.68194444444444446</v>
      </c>
      <c r="P23" s="347">
        <v>0.78888888888888886</v>
      </c>
      <c r="Q23" s="347">
        <v>0.79097222222222219</v>
      </c>
      <c r="R23" s="348">
        <f>IF(Table6[[#This Row],[Work Start TimeStamp]]="","",(Table6[[#This Row],[Work Start TimeStamp]]-Table6[[#This Row],[Fault Start TimeStamp]])*24)</f>
        <v>2.5666666666666655</v>
      </c>
      <c r="S23" s="349">
        <f>(Table6[[#This Row],[Fault Clearance time]]-Table6[[#This Row],[Work Start TimeStamp]])*24</f>
        <v>4.9999999999999822E-2</v>
      </c>
      <c r="T23" s="350">
        <f>(Table6[[#This Row],[Fault Clearance time]]-Table6[[#This Row],[Fault Start TimeStamp]])*24</f>
        <v>2.6166666666666654</v>
      </c>
      <c r="U23" s="346" t="s">
        <v>491</v>
      </c>
      <c r="V23" s="351" t="s">
        <v>463</v>
      </c>
      <c r="W23" s="338">
        <f>Table6[[#This Row],[Breakdown Time]]*(1/39)</f>
        <v>6.7094017094017064E-2</v>
      </c>
      <c r="X23" s="336" t="s">
        <v>465</v>
      </c>
      <c r="Y23" s="352" t="s">
        <v>117</v>
      </c>
      <c r="Z23" s="105">
        <v>2170</v>
      </c>
      <c r="AA23" s="107">
        <v>236.59027777777769</v>
      </c>
      <c r="AB23" s="105" t="s">
        <v>478</v>
      </c>
    </row>
    <row r="24" spans="1:28">
      <c r="A24" s="105">
        <f t="shared" si="0"/>
        <v>23</v>
      </c>
      <c r="B24" s="107">
        <f>YEAR(Table6[[#This Row],[Date]])+IF(MONTH(Table6[[#This Row],[Date]])&gt;=4,1,0)</f>
        <v>2025</v>
      </c>
      <c r="C24" s="105">
        <f>YEAR(Table6[[#This Row],[Date]])</f>
        <v>2025</v>
      </c>
      <c r="D24" s="105" t="s">
        <v>490</v>
      </c>
      <c r="E24" s="119">
        <f>Table6[[#This Row],[Date]]-DAY(Table6[[#This Row],[Date]])+1</f>
        <v>45717</v>
      </c>
      <c r="F24" s="118">
        <v>45746</v>
      </c>
      <c r="G24" s="105" t="s">
        <v>140</v>
      </c>
      <c r="H24" s="39" t="str">
        <f>_xlfn.XLOOKUP(Table6[[#This Row],[Affected WTG]],'Basic Data'!$A:$A,'Basic Data'!$B:$B)</f>
        <v>PWEGPL</v>
      </c>
      <c r="I24" s="39" t="str">
        <f>_xlfn.XLOOKUP(Table6[[#This Row],[Affected WTG]],'Basic Data'!$A:$A,'Basic Data'!$C:$C)</f>
        <v>MSEDCL</v>
      </c>
      <c r="J24" s="345">
        <f>IFERROR(VLOOKUP(Table6[[#This Row],[Affected WTG]],'Basic Data'!$A$3:$E$56,5,0),"")</f>
        <v>2.564102564102564E-2</v>
      </c>
      <c r="K24" s="105" t="s">
        <v>492</v>
      </c>
      <c r="L24" s="39" t="str">
        <f>IFERROR(VLOOKUP(Table6[[#This Row],[Error Code]],'Basic Data'!$T:$U,2,0),"")</f>
        <v>Manual Stop - Safety Related</v>
      </c>
      <c r="M24" s="346" t="s">
        <v>481</v>
      </c>
      <c r="N24" s="39" t="s">
        <v>230</v>
      </c>
      <c r="O24" s="347">
        <v>0.51458333333333328</v>
      </c>
      <c r="P24" s="347">
        <v>0.51458333333333328</v>
      </c>
      <c r="Q24" s="347">
        <v>0.71111111111111114</v>
      </c>
      <c r="R24" s="348">
        <f>IF(Table6[[#This Row],[Work Start TimeStamp]]="","",(Table6[[#This Row],[Work Start TimeStamp]]-Table6[[#This Row],[Fault Start TimeStamp]])*24)</f>
        <v>0</v>
      </c>
      <c r="S24" s="349">
        <f>(Table6[[#This Row],[Fault Clearance time]]-Table6[[#This Row],[Work Start TimeStamp]])*24</f>
        <v>4.7166666666666686</v>
      </c>
      <c r="T24" s="350">
        <f>(Table6[[#This Row],[Fault Clearance time]]-Table6[[#This Row],[Fault Start TimeStamp]])*24</f>
        <v>4.7166666666666686</v>
      </c>
      <c r="U24" s="346" t="s">
        <v>505</v>
      </c>
      <c r="V24" s="351" t="s">
        <v>463</v>
      </c>
      <c r="W24" s="338">
        <f>Table6[[#This Row],[Breakdown Time]]*(1/39)</f>
        <v>0.12094017094017098</v>
      </c>
      <c r="X24" s="336" t="s">
        <v>468</v>
      </c>
      <c r="Y24" s="352" t="s">
        <v>138</v>
      </c>
      <c r="Z24" s="105">
        <v>2822</v>
      </c>
      <c r="AA24" s="107">
        <v>554.60138888888912</v>
      </c>
      <c r="AB24" s="105" t="s">
        <v>478</v>
      </c>
    </row>
    <row r="25" spans="1:28">
      <c r="A25" s="105">
        <f t="shared" si="0"/>
        <v>24</v>
      </c>
      <c r="B25" s="107">
        <f>YEAR(Table6[[#This Row],[Date]])+IF(MONTH(Table6[[#This Row],[Date]])&gt;=4,1,0)</f>
        <v>2025</v>
      </c>
      <c r="C25" s="105">
        <f>YEAR(Table6[[#This Row],[Date]])</f>
        <v>2025</v>
      </c>
      <c r="D25" s="105" t="s">
        <v>490</v>
      </c>
      <c r="E25" s="119">
        <f>Table6[[#This Row],[Date]]-DAY(Table6[[#This Row],[Date]])+1</f>
        <v>45717</v>
      </c>
      <c r="F25" s="118">
        <v>45746</v>
      </c>
      <c r="G25" s="105" t="s">
        <v>141</v>
      </c>
      <c r="H25" s="39" t="str">
        <f>_xlfn.XLOOKUP(Table6[[#This Row],[Affected WTG]],'Basic Data'!$A:$A,'Basic Data'!$B:$B)</f>
        <v>PWEGPL</v>
      </c>
      <c r="I25" s="39" t="str">
        <f>_xlfn.XLOOKUP(Table6[[#This Row],[Affected WTG]],'Basic Data'!$A:$A,'Basic Data'!$C:$C)</f>
        <v>MSEDCL</v>
      </c>
      <c r="J25" s="345">
        <f>IFERROR(VLOOKUP(Table6[[#This Row],[Affected WTG]],'Basic Data'!$A$3:$E$56,5,0),"")</f>
        <v>2.564102564102564E-2</v>
      </c>
      <c r="K25" s="105">
        <v>524</v>
      </c>
      <c r="L25" s="39" t="str">
        <f>IFERROR(VLOOKUP(Table6[[#This Row],[Error Code]],'Basic Data'!$T:$U,2,0),"")</f>
        <v>High Temperature Of The Control Module</v>
      </c>
      <c r="M25" s="346" t="s">
        <v>462</v>
      </c>
      <c r="N25" s="39" t="s">
        <v>1270</v>
      </c>
      <c r="O25" s="347">
        <v>3.125E-2</v>
      </c>
      <c r="P25" s="347">
        <v>7.6388888888888895E-2</v>
      </c>
      <c r="Q25" s="347">
        <v>8.1944444444444445E-2</v>
      </c>
      <c r="R25" s="348">
        <f>IF(Table6[[#This Row],[Work Start TimeStamp]]="","",(Table6[[#This Row],[Work Start TimeStamp]]-Table6[[#This Row],[Fault Start TimeStamp]])*24)</f>
        <v>1.0833333333333335</v>
      </c>
      <c r="S25" s="349">
        <f>(Table6[[#This Row],[Fault Clearance time]]-Table6[[#This Row],[Work Start TimeStamp]])*24</f>
        <v>0.13333333333333319</v>
      </c>
      <c r="T25" s="350">
        <f>(Table6[[#This Row],[Fault Clearance time]]-Table6[[#This Row],[Fault Start TimeStamp]])*24</f>
        <v>1.2166666666666668</v>
      </c>
      <c r="U25" s="346" t="s">
        <v>491</v>
      </c>
      <c r="V25" s="351" t="s">
        <v>463</v>
      </c>
      <c r="W25" s="338">
        <f>Table6[[#This Row],[Breakdown Time]]*(1/39)</f>
        <v>3.11965811965812E-2</v>
      </c>
      <c r="X25" s="336" t="s">
        <v>465</v>
      </c>
      <c r="Y25" s="352" t="s">
        <v>143</v>
      </c>
      <c r="Z25" s="105">
        <v>2712</v>
      </c>
      <c r="AA25" s="107">
        <v>137.48333333333335</v>
      </c>
      <c r="AB25" s="105" t="s">
        <v>478</v>
      </c>
    </row>
    <row r="26" spans="1:28">
      <c r="A26" s="105">
        <f t="shared" si="0"/>
        <v>25</v>
      </c>
      <c r="B26" s="107">
        <f>YEAR(Table6[[#This Row],[Date]])+IF(MONTH(Table6[[#This Row],[Date]])&gt;=4,1,0)</f>
        <v>2025</v>
      </c>
      <c r="C26" s="105">
        <f>YEAR(Table6[[#This Row],[Date]])</f>
        <v>2025</v>
      </c>
      <c r="D26" s="105" t="s">
        <v>490</v>
      </c>
      <c r="E26" s="119">
        <f>Table6[[#This Row],[Date]]-DAY(Table6[[#This Row],[Date]])+1</f>
        <v>45717</v>
      </c>
      <c r="F26" s="118">
        <v>45746</v>
      </c>
      <c r="G26" s="105" t="s">
        <v>141</v>
      </c>
      <c r="H26" s="39" t="str">
        <f>_xlfn.XLOOKUP(Table6[[#This Row],[Affected WTG]],'Basic Data'!$A:$A,'Basic Data'!$B:$B)</f>
        <v>PWEGPL</v>
      </c>
      <c r="I26" s="39" t="str">
        <f>_xlfn.XLOOKUP(Table6[[#This Row],[Affected WTG]],'Basic Data'!$A:$A,'Basic Data'!$C:$C)</f>
        <v>MSEDCL</v>
      </c>
      <c r="J26" s="345">
        <f>IFERROR(VLOOKUP(Table6[[#This Row],[Affected WTG]],'Basic Data'!$A$3:$E$56,5,0),"")</f>
        <v>2.564102564102564E-2</v>
      </c>
      <c r="K26" s="105">
        <v>524</v>
      </c>
      <c r="L26" s="39" t="str">
        <f>IFERROR(VLOOKUP(Table6[[#This Row],[Error Code]],'Basic Data'!$T:$U,2,0),"")</f>
        <v>High Temperature Of The Control Module</v>
      </c>
      <c r="M26" s="346" t="s">
        <v>462</v>
      </c>
      <c r="N26" s="39" t="s">
        <v>1270</v>
      </c>
      <c r="O26" s="347">
        <v>0.4777777777777778</v>
      </c>
      <c r="P26" s="347">
        <v>0.72499999999999998</v>
      </c>
      <c r="Q26" s="347">
        <v>0.73750000000000004</v>
      </c>
      <c r="R26" s="348">
        <f>IF(Table6[[#This Row],[Work Start TimeStamp]]="","",(Table6[[#This Row],[Work Start TimeStamp]]-Table6[[#This Row],[Fault Start TimeStamp]])*24)</f>
        <v>5.9333333333333318</v>
      </c>
      <c r="S26" s="349">
        <f>(Table6[[#This Row],[Fault Clearance time]]-Table6[[#This Row],[Work Start TimeStamp]])*24</f>
        <v>0.3000000000000016</v>
      </c>
      <c r="T26" s="350">
        <f>(Table6[[#This Row],[Fault Clearance time]]-Table6[[#This Row],[Fault Start TimeStamp]])*24</f>
        <v>6.2333333333333343</v>
      </c>
      <c r="U26" s="346" t="s">
        <v>503</v>
      </c>
      <c r="V26" s="351" t="s">
        <v>463</v>
      </c>
      <c r="W26" s="338">
        <f>Table6[[#This Row],[Breakdown Time]]*(1/39)</f>
        <v>0.15982905982905984</v>
      </c>
      <c r="X26" s="336" t="s">
        <v>465</v>
      </c>
      <c r="Y26" s="352" t="s">
        <v>143</v>
      </c>
      <c r="Z26" s="105">
        <v>2712</v>
      </c>
      <c r="AA26" s="107">
        <v>704.36666666666679</v>
      </c>
      <c r="AB26" s="105" t="s">
        <v>478</v>
      </c>
    </row>
    <row r="27" spans="1:28">
      <c r="A27" s="105">
        <f t="shared" si="0"/>
        <v>26</v>
      </c>
      <c r="B27" s="107">
        <f>YEAR(Table6[[#This Row],[Date]])+IF(MONTH(Table6[[#This Row],[Date]])&gt;=4,1,0)</f>
        <v>2025</v>
      </c>
      <c r="C27" s="105">
        <f>YEAR(Table6[[#This Row],[Date]])</f>
        <v>2025</v>
      </c>
      <c r="D27" s="105" t="s">
        <v>490</v>
      </c>
      <c r="E27" s="119">
        <f>Table6[[#This Row],[Date]]-DAY(Table6[[#This Row],[Date]])+1</f>
        <v>45717</v>
      </c>
      <c r="F27" s="118">
        <v>45746</v>
      </c>
      <c r="G27" s="105" t="s">
        <v>148</v>
      </c>
      <c r="H27" s="39" t="str">
        <f>_xlfn.XLOOKUP(Table6[[#This Row],[Affected WTG]],'Basic Data'!$A:$A,'Basic Data'!$B:$B)</f>
        <v>PWEGPL</v>
      </c>
      <c r="I27" s="39" t="str">
        <f>_xlfn.XLOOKUP(Table6[[#This Row],[Affected WTG]],'Basic Data'!$A:$A,'Basic Data'!$C:$C)</f>
        <v>MSEDCL</v>
      </c>
      <c r="J27" s="345">
        <f>IFERROR(VLOOKUP(Table6[[#This Row],[Affected WTG]],'Basic Data'!$A$3:$E$56,5,0),"")</f>
        <v>2.564102564102564E-2</v>
      </c>
      <c r="K27" s="105">
        <v>103</v>
      </c>
      <c r="L27" s="39" t="str">
        <f>IFERROR(VLOOKUP(Table6[[#This Row],[Error Code]],'Basic Data'!$T:$U,2,0),"")</f>
        <v>CCW Feedback Failure</v>
      </c>
      <c r="M27" s="346" t="s">
        <v>462</v>
      </c>
      <c r="N27" s="39" t="s">
        <v>1270</v>
      </c>
      <c r="O27" s="347">
        <v>0.42083333333333334</v>
      </c>
      <c r="P27" s="347">
        <v>0.42083333333333334</v>
      </c>
      <c r="Q27" s="347">
        <v>0.42777777777777776</v>
      </c>
      <c r="R27" s="348">
        <f>IF(Table6[[#This Row],[Work Start TimeStamp]]="","",(Table6[[#This Row],[Work Start TimeStamp]]-Table6[[#This Row],[Fault Start TimeStamp]])*24)</f>
        <v>0</v>
      </c>
      <c r="S27" s="349">
        <f>(Table6[[#This Row],[Fault Clearance time]]-Table6[[#This Row],[Work Start TimeStamp]])*24</f>
        <v>0.16666666666666607</v>
      </c>
      <c r="T27" s="350">
        <f>(Table6[[#This Row],[Fault Clearance time]]-Table6[[#This Row],[Fault Start TimeStamp]])*24</f>
        <v>0.16666666666666607</v>
      </c>
      <c r="U27" s="346" t="s">
        <v>480</v>
      </c>
      <c r="V27" s="351" t="s">
        <v>463</v>
      </c>
      <c r="W27" s="338">
        <f>Table6[[#This Row],[Breakdown Time]]*(1/39)</f>
        <v>4.2735042735042583E-3</v>
      </c>
      <c r="X27" s="336" t="s">
        <v>465</v>
      </c>
      <c r="Y27" s="352" t="s">
        <v>149</v>
      </c>
      <c r="Z27" s="105">
        <v>3150</v>
      </c>
      <c r="AA27" s="107">
        <v>21.874999999999922</v>
      </c>
      <c r="AB27" s="105" t="s">
        <v>478</v>
      </c>
    </row>
    <row r="28" spans="1:28">
      <c r="A28" s="105">
        <f t="shared" si="0"/>
        <v>27</v>
      </c>
      <c r="B28" s="107">
        <f>YEAR(Table6[[#This Row],[Date]])+IF(MONTH(Table6[[#This Row],[Date]])&gt;=4,1,0)</f>
        <v>2025</v>
      </c>
      <c r="C28" s="105">
        <f>YEAR(Table6[[#This Row],[Date]])</f>
        <v>2025</v>
      </c>
      <c r="D28" s="105" t="s">
        <v>490</v>
      </c>
      <c r="E28" s="119">
        <f>Table6[[#This Row],[Date]]-DAY(Table6[[#This Row],[Date]])+1</f>
        <v>45717</v>
      </c>
      <c r="F28" s="118">
        <v>45746</v>
      </c>
      <c r="G28" s="105" t="s">
        <v>148</v>
      </c>
      <c r="H28" s="39" t="str">
        <f>_xlfn.XLOOKUP(Table6[[#This Row],[Affected WTG]],'Basic Data'!$A:$A,'Basic Data'!$B:$B)</f>
        <v>PWEGPL</v>
      </c>
      <c r="I28" s="39" t="str">
        <f>_xlfn.XLOOKUP(Table6[[#This Row],[Affected WTG]],'Basic Data'!$A:$A,'Basic Data'!$C:$C)</f>
        <v>MSEDCL</v>
      </c>
      <c r="J28" s="345">
        <f>IFERROR(VLOOKUP(Table6[[#This Row],[Affected WTG]],'Basic Data'!$A$3:$E$56,5,0),"")</f>
        <v>2.564102564102564E-2</v>
      </c>
      <c r="K28" s="105">
        <v>103</v>
      </c>
      <c r="L28" s="39" t="str">
        <f>IFERROR(VLOOKUP(Table6[[#This Row],[Error Code]],'Basic Data'!$T:$U,2,0),"")</f>
        <v>CCW Feedback Failure</v>
      </c>
      <c r="M28" s="346" t="s">
        <v>462</v>
      </c>
      <c r="N28" s="39" t="s">
        <v>1270</v>
      </c>
      <c r="O28" s="347">
        <v>0.43194444444444446</v>
      </c>
      <c r="P28" s="347">
        <v>0.52152777777777781</v>
      </c>
      <c r="Q28" s="347">
        <v>0.66666666666666663</v>
      </c>
      <c r="R28" s="348">
        <f>IF(Table6[[#This Row],[Work Start TimeStamp]]="","",(Table6[[#This Row],[Work Start TimeStamp]]-Table6[[#This Row],[Fault Start TimeStamp]])*24)</f>
        <v>2.1500000000000004</v>
      </c>
      <c r="S28" s="349">
        <f>(Table6[[#This Row],[Fault Clearance time]]-Table6[[#This Row],[Work Start TimeStamp]])*24</f>
        <v>3.4833333333333316</v>
      </c>
      <c r="T28" s="350">
        <f>(Table6[[#This Row],[Fault Clearance time]]-Table6[[#This Row],[Fault Start TimeStamp]])*24</f>
        <v>5.633333333333332</v>
      </c>
      <c r="U28" s="346" t="s">
        <v>516</v>
      </c>
      <c r="V28" s="351" t="s">
        <v>463</v>
      </c>
      <c r="W28" s="338">
        <f>Table6[[#This Row],[Breakdown Time]]*(1/39)</f>
        <v>0.1444444444444444</v>
      </c>
      <c r="X28" s="336" t="s">
        <v>465</v>
      </c>
      <c r="Y28" s="352" t="s">
        <v>149</v>
      </c>
      <c r="Z28" s="105">
        <v>3150</v>
      </c>
      <c r="AA28" s="107">
        <v>739.37499999999977</v>
      </c>
      <c r="AB28" s="105" t="s">
        <v>478</v>
      </c>
    </row>
    <row r="29" spans="1:28">
      <c r="A29" s="105">
        <f t="shared" si="0"/>
        <v>28</v>
      </c>
      <c r="B29" s="107">
        <f>YEAR(Table6[[#This Row],[Date]])+IF(MONTH(Table6[[#This Row],[Date]])&gt;=4,1,0)</f>
        <v>2025</v>
      </c>
      <c r="C29" s="105">
        <f>YEAR(Table6[[#This Row],[Date]])</f>
        <v>2025</v>
      </c>
      <c r="D29" s="105" t="s">
        <v>490</v>
      </c>
      <c r="E29" s="119">
        <f>Table6[[#This Row],[Date]]-DAY(Table6[[#This Row],[Date]])+1</f>
        <v>45717</v>
      </c>
      <c r="F29" s="118">
        <v>45746</v>
      </c>
      <c r="G29" s="105" t="s">
        <v>153</v>
      </c>
      <c r="H29" s="39" t="str">
        <f>_xlfn.XLOOKUP(Table6[[#This Row],[Affected WTG]],'Basic Data'!$A:$A,'Basic Data'!$B:$B)</f>
        <v>PWEGPL</v>
      </c>
      <c r="I29" s="39" t="str">
        <f>_xlfn.XLOOKUP(Table6[[#This Row],[Affected WTG]],'Basic Data'!$A:$A,'Basic Data'!$C:$C)</f>
        <v>MSEDCL</v>
      </c>
      <c r="J29" s="345">
        <f>IFERROR(VLOOKUP(Table6[[#This Row],[Affected WTG]],'Basic Data'!$A$3:$E$56,5,0),"")</f>
        <v>2.564102564102564E-2</v>
      </c>
      <c r="K29" s="105">
        <v>812</v>
      </c>
      <c r="L29" s="39" t="str">
        <f>IFERROR(VLOOKUP(Table6[[#This Row],[Error Code]],'Basic Data'!$T:$U,2,0),"")</f>
        <v>Blade Position Meas. Error</v>
      </c>
      <c r="M29" s="346" t="s">
        <v>462</v>
      </c>
      <c r="N29" s="39" t="s">
        <v>1270</v>
      </c>
      <c r="O29" s="347">
        <v>0.51458333333333328</v>
      </c>
      <c r="P29" s="347">
        <v>0.51458333333333328</v>
      </c>
      <c r="Q29" s="347">
        <v>0.5180555555555556</v>
      </c>
      <c r="R29" s="348">
        <f>IF(Table6[[#This Row],[Work Start TimeStamp]]="","",(Table6[[#This Row],[Work Start TimeStamp]]-Table6[[#This Row],[Fault Start TimeStamp]])*24)</f>
        <v>0</v>
      </c>
      <c r="S29" s="349">
        <f>(Table6[[#This Row],[Fault Clearance time]]-Table6[[#This Row],[Work Start TimeStamp]])*24</f>
        <v>8.3333333333335702E-2</v>
      </c>
      <c r="T29" s="350">
        <f>(Table6[[#This Row],[Fault Clearance time]]-Table6[[#This Row],[Fault Start TimeStamp]])*24</f>
        <v>8.3333333333335702E-2</v>
      </c>
      <c r="U29" s="346" t="s">
        <v>480</v>
      </c>
      <c r="V29" s="351" t="s">
        <v>463</v>
      </c>
      <c r="W29" s="338">
        <f>Table6[[#This Row],[Breakdown Time]]*(1/39)</f>
        <v>2.1367521367521972E-3</v>
      </c>
      <c r="X29" s="336" t="s">
        <v>465</v>
      </c>
      <c r="Y29" s="352" t="s">
        <v>152</v>
      </c>
      <c r="Z29" s="105">
        <v>2708</v>
      </c>
      <c r="AA29" s="107">
        <v>9.402777777778045</v>
      </c>
      <c r="AB29" s="105" t="s">
        <v>478</v>
      </c>
    </row>
    <row r="30" spans="1:28">
      <c r="A30" s="105">
        <f t="shared" si="0"/>
        <v>29</v>
      </c>
      <c r="B30" s="107">
        <f>YEAR(Table6[[#This Row],[Date]])+IF(MONTH(Table6[[#This Row],[Date]])&gt;=4,1,0)</f>
        <v>2025</v>
      </c>
      <c r="C30" s="105">
        <f>YEAR(Table6[[#This Row],[Date]])</f>
        <v>2025</v>
      </c>
      <c r="D30" s="105" t="s">
        <v>490</v>
      </c>
      <c r="E30" s="119">
        <f>Table6[[#This Row],[Date]]-DAY(Table6[[#This Row],[Date]])+1</f>
        <v>45717</v>
      </c>
      <c r="F30" s="118">
        <v>45747</v>
      </c>
      <c r="G30" s="105" t="s">
        <v>144</v>
      </c>
      <c r="H30" s="39" t="str">
        <f>_xlfn.XLOOKUP(Table6[[#This Row],[Affected WTG]],'Basic Data'!$A:$A,'Basic Data'!$B:$B)</f>
        <v>PWEGPL</v>
      </c>
      <c r="I30" s="39" t="str">
        <f>_xlfn.XLOOKUP(Table6[[#This Row],[Affected WTG]],'Basic Data'!$A:$A,'Basic Data'!$C:$C)</f>
        <v>MSEDCL</v>
      </c>
      <c r="J30" s="345">
        <f>IFERROR(VLOOKUP(Table6[[#This Row],[Affected WTG]],'Basic Data'!$A$3:$E$56,5,0),"")</f>
        <v>2.564102564102564E-2</v>
      </c>
      <c r="K30" s="105" t="s">
        <v>492</v>
      </c>
      <c r="L30" s="39" t="str">
        <f>IFERROR(VLOOKUP(Table6[[#This Row],[Error Code]],'Basic Data'!$T:$U,2,0),"")</f>
        <v>Manual Stop - Safety Related</v>
      </c>
      <c r="M30" s="346" t="s">
        <v>481</v>
      </c>
      <c r="N30" s="39" t="s">
        <v>1269</v>
      </c>
      <c r="O30" s="347">
        <v>0</v>
      </c>
      <c r="P30" s="347">
        <v>0.99930555555555556</v>
      </c>
      <c r="Q30" s="347">
        <v>0.99930555555555556</v>
      </c>
      <c r="R30" s="348">
        <f>IF(Table6[[#This Row],[Work Start TimeStamp]]="","",(Table6[[#This Row],[Work Start TimeStamp]]-Table6[[#This Row],[Fault Start TimeStamp]])*24)</f>
        <v>23.983333333333334</v>
      </c>
      <c r="S30" s="349">
        <f>(Table6[[#This Row],[Fault Clearance time]]-Table6[[#This Row],[Work Start TimeStamp]])*24</f>
        <v>0</v>
      </c>
      <c r="T30" s="350">
        <f>(Table6[[#This Row],[Fault Clearance time]]-Table6[[#This Row],[Fault Start TimeStamp]])*24</f>
        <v>23.983333333333334</v>
      </c>
      <c r="U30" s="346" t="s">
        <v>498</v>
      </c>
      <c r="V30" s="351" t="s">
        <v>473</v>
      </c>
      <c r="W30" s="338">
        <f>Table6[[#This Row],[Breakdown Time]]*(1/39)</f>
        <v>0.61495726495726499</v>
      </c>
      <c r="X30" s="336" t="s">
        <v>468</v>
      </c>
      <c r="Y30" s="352" t="s">
        <v>141</v>
      </c>
      <c r="Z30" s="105">
        <v>6006</v>
      </c>
      <c r="AA30" s="107">
        <v>6001.8291666666673</v>
      </c>
      <c r="AB30" s="105" t="s">
        <v>478</v>
      </c>
    </row>
    <row r="31" spans="1:28">
      <c r="A31" s="105">
        <f t="shared" si="0"/>
        <v>30</v>
      </c>
      <c r="B31" s="107">
        <f>YEAR(Table6[[#This Row],[Date]])+IF(MONTH(Table6[[#This Row],[Date]])&gt;=4,1,0)</f>
        <v>2025</v>
      </c>
      <c r="C31" s="105">
        <f>YEAR(Table6[[#This Row],[Date]])</f>
        <v>2025</v>
      </c>
      <c r="D31" s="105" t="s">
        <v>490</v>
      </c>
      <c r="E31" s="119">
        <f>Table6[[#This Row],[Date]]-DAY(Table6[[#This Row],[Date]])+1</f>
        <v>45717</v>
      </c>
      <c r="F31" s="118">
        <v>45747</v>
      </c>
      <c r="G31" s="105" t="s">
        <v>142</v>
      </c>
      <c r="H31" s="39" t="str">
        <f>_xlfn.XLOOKUP(Table6[[#This Row],[Affected WTG]],'Basic Data'!$A:$A,'Basic Data'!$B:$B)</f>
        <v>PWEGPL</v>
      </c>
      <c r="I31" s="39" t="str">
        <f>_xlfn.XLOOKUP(Table6[[#This Row],[Affected WTG]],'Basic Data'!$A:$A,'Basic Data'!$C:$C)</f>
        <v>MSEDCL</v>
      </c>
      <c r="J31" s="345">
        <f>IFERROR(VLOOKUP(Table6[[#This Row],[Affected WTG]],'Basic Data'!$A$3:$E$56,5,0),"")</f>
        <v>2.564102564102564E-2</v>
      </c>
      <c r="K31" s="105" t="s">
        <v>492</v>
      </c>
      <c r="L31" s="39" t="str">
        <f>IFERROR(VLOOKUP(Table6[[#This Row],[Error Code]],'Basic Data'!$T:$U,2,0),"")</f>
        <v>Manual Stop - Safety Related</v>
      </c>
      <c r="M31" s="346" t="s">
        <v>481</v>
      </c>
      <c r="N31" s="39" t="s">
        <v>1269</v>
      </c>
      <c r="O31" s="347">
        <v>0</v>
      </c>
      <c r="P31" s="347">
        <v>0.99930555555555556</v>
      </c>
      <c r="Q31" s="347">
        <v>0.99930555555555556</v>
      </c>
      <c r="R31" s="348">
        <f>IF(Table6[[#This Row],[Work Start TimeStamp]]="","",(Table6[[#This Row],[Work Start TimeStamp]]-Table6[[#This Row],[Fault Start TimeStamp]])*24)</f>
        <v>23.983333333333334</v>
      </c>
      <c r="S31" s="349">
        <f>(Table6[[#This Row],[Fault Clearance time]]-Table6[[#This Row],[Work Start TimeStamp]])*24</f>
        <v>0</v>
      </c>
      <c r="T31" s="350">
        <f>(Table6[[#This Row],[Fault Clearance time]]-Table6[[#This Row],[Fault Start TimeStamp]])*24</f>
        <v>23.983333333333334</v>
      </c>
      <c r="U31" s="346" t="s">
        <v>498</v>
      </c>
      <c r="V31" s="351" t="s">
        <v>473</v>
      </c>
      <c r="W31" s="338">
        <f>Table6[[#This Row],[Breakdown Time]]*(1/39)</f>
        <v>0.61495726495726499</v>
      </c>
      <c r="X31" s="336" t="s">
        <v>468</v>
      </c>
      <c r="Y31" s="352" t="s">
        <v>141</v>
      </c>
      <c r="Z31" s="105">
        <v>6006</v>
      </c>
      <c r="AA31" s="107">
        <v>6001.8291666666673</v>
      </c>
      <c r="AB31" s="105" t="s">
        <v>478</v>
      </c>
    </row>
    <row r="32" spans="1:28">
      <c r="A32" s="105">
        <f t="shared" si="0"/>
        <v>31</v>
      </c>
      <c r="B32" s="107">
        <f>YEAR(Table6[[#This Row],[Date]])+IF(MONTH(Table6[[#This Row],[Date]])&gt;=4,1,0)</f>
        <v>2025</v>
      </c>
      <c r="C32" s="105">
        <f>YEAR(Table6[[#This Row],[Date]])</f>
        <v>2025</v>
      </c>
      <c r="D32" s="105" t="s">
        <v>490</v>
      </c>
      <c r="E32" s="119">
        <f>Table6[[#This Row],[Date]]-DAY(Table6[[#This Row],[Date]])+1</f>
        <v>45717</v>
      </c>
      <c r="F32" s="118">
        <v>45747</v>
      </c>
      <c r="G32" s="105" t="s">
        <v>115</v>
      </c>
      <c r="H32" s="39" t="str">
        <f>_xlfn.XLOOKUP(Table6[[#This Row],[Affected WTG]],'Basic Data'!$A:$A,'Basic Data'!$B:$B)</f>
        <v>PWEGPL</v>
      </c>
      <c r="I32" s="39" t="str">
        <f>_xlfn.XLOOKUP(Table6[[#This Row],[Affected WTG]],'Basic Data'!$A:$A,'Basic Data'!$C:$C)</f>
        <v>MSEDCL</v>
      </c>
      <c r="J32" s="345">
        <f>IFERROR(VLOOKUP(Table6[[#This Row],[Affected WTG]],'Basic Data'!$A$3:$E$56,5,0),"")</f>
        <v>2.564102564102564E-2</v>
      </c>
      <c r="K32" s="105">
        <v>5205</v>
      </c>
      <c r="L32" s="39" t="str">
        <f>IFERROR(VLOOKUP(Table6[[#This Row],[Error Code]],'Basic Data'!$T:$U,2,0),"")</f>
        <v>Magnetothermic Of The Stator Protection Failure Or Door Open</v>
      </c>
      <c r="M32" s="346" t="s">
        <v>462</v>
      </c>
      <c r="N32" s="39" t="s">
        <v>1270</v>
      </c>
      <c r="O32" s="347">
        <v>0.55069444444444449</v>
      </c>
      <c r="P32" s="347">
        <v>0.55069444444444449</v>
      </c>
      <c r="Q32" s="347">
        <v>0.55347222222222225</v>
      </c>
      <c r="R32" s="348">
        <f>IF(Table6[[#This Row],[Work Start TimeStamp]]="","",(Table6[[#This Row],[Work Start TimeStamp]]-Table6[[#This Row],[Fault Start TimeStamp]])*24)</f>
        <v>0</v>
      </c>
      <c r="S32" s="349">
        <f>(Table6[[#This Row],[Fault Clearance time]]-Table6[[#This Row],[Work Start TimeStamp]])*24</f>
        <v>6.666666666666643E-2</v>
      </c>
      <c r="T32" s="350">
        <f>(Table6[[#This Row],[Fault Clearance time]]-Table6[[#This Row],[Fault Start TimeStamp]])*24</f>
        <v>6.666666666666643E-2</v>
      </c>
      <c r="U32" s="346" t="s">
        <v>480</v>
      </c>
      <c r="V32" s="351" t="s">
        <v>463</v>
      </c>
      <c r="W32" s="338">
        <f>Table6[[#This Row],[Breakdown Time]]*(1/39)</f>
        <v>1.7094017094017033E-3</v>
      </c>
      <c r="X32" s="336" t="s">
        <v>465</v>
      </c>
      <c r="Y32" s="352" t="s">
        <v>121</v>
      </c>
      <c r="Z32" s="105">
        <v>6040</v>
      </c>
      <c r="AA32" s="107">
        <v>16.777777777777718</v>
      </c>
      <c r="AB32" s="105" t="s">
        <v>478</v>
      </c>
    </row>
    <row r="33" spans="1:28">
      <c r="A33" s="105">
        <f t="shared" si="0"/>
        <v>32</v>
      </c>
      <c r="B33" s="107">
        <f>YEAR(Table6[[#This Row],[Date]])+IF(MONTH(Table6[[#This Row],[Date]])&gt;=4,1,0)</f>
        <v>2025</v>
      </c>
      <c r="C33" s="105">
        <f>YEAR(Table6[[#This Row],[Date]])</f>
        <v>2025</v>
      </c>
      <c r="D33" s="105" t="s">
        <v>490</v>
      </c>
      <c r="E33" s="119">
        <f>Table6[[#This Row],[Date]]-DAY(Table6[[#This Row],[Date]])+1</f>
        <v>45717</v>
      </c>
      <c r="F33" s="118">
        <v>45747</v>
      </c>
      <c r="G33" s="105" t="s">
        <v>115</v>
      </c>
      <c r="H33" s="39" t="str">
        <f>_xlfn.XLOOKUP(Table6[[#This Row],[Affected WTG]],'Basic Data'!$A:$A,'Basic Data'!$B:$B)</f>
        <v>PWEGPL</v>
      </c>
      <c r="I33" s="39" t="str">
        <f>_xlfn.XLOOKUP(Table6[[#This Row],[Affected WTG]],'Basic Data'!$A:$A,'Basic Data'!$C:$C)</f>
        <v>MSEDCL</v>
      </c>
      <c r="J33" s="345">
        <f>IFERROR(VLOOKUP(Table6[[#This Row],[Affected WTG]],'Basic Data'!$A$3:$E$56,5,0),"")</f>
        <v>2.564102564102564E-2</v>
      </c>
      <c r="K33" s="105">
        <v>812</v>
      </c>
      <c r="L33" s="39" t="str">
        <f>IFERROR(VLOOKUP(Table6[[#This Row],[Error Code]],'Basic Data'!$T:$U,2,0),"")</f>
        <v>Blade Position Meas. Error</v>
      </c>
      <c r="M33" s="346" t="s">
        <v>462</v>
      </c>
      <c r="N33" s="39" t="s">
        <v>1270</v>
      </c>
      <c r="O33" s="347">
        <v>0.56319444444444444</v>
      </c>
      <c r="P33" s="347">
        <v>0.56319444444444444</v>
      </c>
      <c r="Q33" s="347">
        <v>0.57013888888888886</v>
      </c>
      <c r="R33" s="348">
        <f>IF(Table6[[#This Row],[Work Start TimeStamp]]="","",(Table6[[#This Row],[Work Start TimeStamp]]-Table6[[#This Row],[Fault Start TimeStamp]])*24)</f>
        <v>0</v>
      </c>
      <c r="S33" s="349">
        <f>(Table6[[#This Row],[Fault Clearance time]]-Table6[[#This Row],[Work Start TimeStamp]])*24</f>
        <v>0.16666666666666607</v>
      </c>
      <c r="T33" s="350">
        <f>(Table6[[#This Row],[Fault Clearance time]]-Table6[[#This Row],[Fault Start TimeStamp]])*24</f>
        <v>0.16666666666666607</v>
      </c>
      <c r="U33" s="346" t="s">
        <v>480</v>
      </c>
      <c r="V33" s="351" t="s">
        <v>463</v>
      </c>
      <c r="W33" s="338">
        <f>Table6[[#This Row],[Breakdown Time]]*(1/39)</f>
        <v>4.2735042735042583E-3</v>
      </c>
      <c r="X33" s="336" t="s">
        <v>465</v>
      </c>
      <c r="Y33" s="352" t="s">
        <v>121</v>
      </c>
      <c r="Z33" s="105">
        <v>6040</v>
      </c>
      <c r="AA33" s="107">
        <v>41.944444444444294</v>
      </c>
      <c r="AB33" s="105" t="s">
        <v>478</v>
      </c>
    </row>
    <row r="34" spans="1:28">
      <c r="A34" s="105">
        <f t="shared" si="0"/>
        <v>33</v>
      </c>
      <c r="B34" s="107">
        <f>YEAR(Table6[[#This Row],[Date]])+IF(MONTH(Table6[[#This Row],[Date]])&gt;=4,1,0)</f>
        <v>2025</v>
      </c>
      <c r="C34" s="105">
        <f>YEAR(Table6[[#This Row],[Date]])</f>
        <v>2025</v>
      </c>
      <c r="D34" s="105" t="s">
        <v>490</v>
      </c>
      <c r="E34" s="119">
        <f>Table6[[#This Row],[Date]]-DAY(Table6[[#This Row],[Date]])+1</f>
        <v>45717</v>
      </c>
      <c r="F34" s="118">
        <v>45747</v>
      </c>
      <c r="G34" s="105" t="s">
        <v>117</v>
      </c>
      <c r="H34" s="39" t="str">
        <f>_xlfn.XLOOKUP(Table6[[#This Row],[Affected WTG]],'Basic Data'!$A:$A,'Basic Data'!$B:$B)</f>
        <v>PWEGPL</v>
      </c>
      <c r="I34" s="39" t="str">
        <f>_xlfn.XLOOKUP(Table6[[#This Row],[Affected WTG]],'Basic Data'!$A:$A,'Basic Data'!$C:$C)</f>
        <v>MSEDCL</v>
      </c>
      <c r="J34" s="345">
        <f>IFERROR(VLOOKUP(Table6[[#This Row],[Affected WTG]],'Basic Data'!$A$3:$E$56,5,0),"")</f>
        <v>2.564102564102564E-2</v>
      </c>
      <c r="K34" s="105" t="s">
        <v>492</v>
      </c>
      <c r="L34" s="39" t="str">
        <f>IFERROR(VLOOKUP(Table6[[#This Row],[Error Code]],'Basic Data'!$T:$U,2,0),"")</f>
        <v>Manual Stop - Safety Related</v>
      </c>
      <c r="M34" s="346" t="s">
        <v>481</v>
      </c>
      <c r="N34" s="39" t="s">
        <v>230</v>
      </c>
      <c r="O34" s="347">
        <v>0.46527777777777779</v>
      </c>
      <c r="P34" s="347">
        <v>0.46527777777777779</v>
      </c>
      <c r="Q34" s="347">
        <v>0.54861111111111116</v>
      </c>
      <c r="R34" s="348">
        <f>IF(Table6[[#This Row],[Work Start TimeStamp]]="","",(Table6[[#This Row],[Work Start TimeStamp]]-Table6[[#This Row],[Fault Start TimeStamp]])*24)</f>
        <v>0</v>
      </c>
      <c r="S34" s="349">
        <f>(Table6[[#This Row],[Fault Clearance time]]-Table6[[#This Row],[Work Start TimeStamp]])*24</f>
        <v>2.0000000000000009</v>
      </c>
      <c r="T34" s="350">
        <f>(Table6[[#This Row],[Fault Clearance time]]-Table6[[#This Row],[Fault Start TimeStamp]])*24</f>
        <v>2.0000000000000009</v>
      </c>
      <c r="U34" s="346" t="s">
        <v>505</v>
      </c>
      <c r="V34" s="351" t="s">
        <v>463</v>
      </c>
      <c r="W34" s="338">
        <f>Table6[[#This Row],[Breakdown Time]]*(1/39)</f>
        <v>5.1282051282051301E-2</v>
      </c>
      <c r="X34" s="336" t="s">
        <v>468</v>
      </c>
      <c r="Y34" s="352" t="s">
        <v>118</v>
      </c>
      <c r="Z34" s="105">
        <v>7992</v>
      </c>
      <c r="AA34" s="107">
        <v>666.00000000000034</v>
      </c>
      <c r="AB34" s="105" t="s">
        <v>478</v>
      </c>
    </row>
    <row r="35" spans="1:28">
      <c r="A35" s="105">
        <f t="shared" si="0"/>
        <v>34</v>
      </c>
      <c r="B35" s="107">
        <f>YEAR(Table6[[#This Row],[Date]])+IF(MONTH(Table6[[#This Row],[Date]])&gt;=4,1,0)</f>
        <v>2025</v>
      </c>
      <c r="C35" s="105">
        <f>YEAR(Table6[[#This Row],[Date]])</f>
        <v>2025</v>
      </c>
      <c r="D35" s="105" t="s">
        <v>490</v>
      </c>
      <c r="E35" s="119">
        <f>Table6[[#This Row],[Date]]-DAY(Table6[[#This Row],[Date]])+1</f>
        <v>45717</v>
      </c>
      <c r="F35" s="118">
        <v>45747</v>
      </c>
      <c r="G35" s="105" t="s">
        <v>118</v>
      </c>
      <c r="H35" s="39" t="str">
        <f>_xlfn.XLOOKUP(Table6[[#This Row],[Affected WTG]],'Basic Data'!$A:$A,'Basic Data'!$B:$B)</f>
        <v>PWEGPL</v>
      </c>
      <c r="I35" s="39" t="str">
        <f>_xlfn.XLOOKUP(Table6[[#This Row],[Affected WTG]],'Basic Data'!$A:$A,'Basic Data'!$C:$C)</f>
        <v>MSEDCL</v>
      </c>
      <c r="J35" s="345">
        <f>IFERROR(VLOOKUP(Table6[[#This Row],[Affected WTG]],'Basic Data'!$A$3:$E$56,5,0),"")</f>
        <v>2.564102564102564E-2</v>
      </c>
      <c r="K35" s="105">
        <v>523</v>
      </c>
      <c r="L35" s="39" t="str">
        <f>IFERROR(VLOOKUP(Table6[[#This Row],[Error Code]],'Basic Data'!$T:$U,2,0),"")</f>
        <v>High Temperature Of Coolant In The Input Of The Cooling Circuit</v>
      </c>
      <c r="M35" s="346" t="s">
        <v>462</v>
      </c>
      <c r="N35" s="39" t="s">
        <v>1270</v>
      </c>
      <c r="O35" s="347">
        <v>0.65694444444444444</v>
      </c>
      <c r="P35" s="347">
        <v>0.65694444444444444</v>
      </c>
      <c r="Q35" s="347">
        <v>0.66041666666666665</v>
      </c>
      <c r="R35" s="348">
        <f>IF(Table6[[#This Row],[Work Start TimeStamp]]="","",(Table6[[#This Row],[Work Start TimeStamp]]-Table6[[#This Row],[Fault Start TimeStamp]])*24)</f>
        <v>0</v>
      </c>
      <c r="S35" s="349">
        <f>(Table6[[#This Row],[Fault Clearance time]]-Table6[[#This Row],[Work Start TimeStamp]])*24</f>
        <v>8.3333333333333037E-2</v>
      </c>
      <c r="T35" s="350">
        <f>(Table6[[#This Row],[Fault Clearance time]]-Table6[[#This Row],[Fault Start TimeStamp]])*24</f>
        <v>8.3333333333333037E-2</v>
      </c>
      <c r="U35" s="346" t="s">
        <v>480</v>
      </c>
      <c r="V35" s="351" t="s">
        <v>463</v>
      </c>
      <c r="W35" s="338">
        <f>Table6[[#This Row],[Breakdown Time]]*(1/39)</f>
        <v>2.1367521367521292E-3</v>
      </c>
      <c r="X35" s="336" t="s">
        <v>465</v>
      </c>
      <c r="Y35" s="352" t="s">
        <v>117</v>
      </c>
      <c r="Z35" s="105">
        <v>8994</v>
      </c>
      <c r="AA35" s="107">
        <v>31.229166666666554</v>
      </c>
      <c r="AB35" s="105" t="s">
        <v>478</v>
      </c>
    </row>
    <row r="36" spans="1:28">
      <c r="A36" s="105">
        <f t="shared" si="0"/>
        <v>35</v>
      </c>
      <c r="B36" s="107">
        <f>YEAR(Table6[[#This Row],[Date]])+IF(MONTH(Table6[[#This Row],[Date]])&gt;=4,1,0)</f>
        <v>2025</v>
      </c>
      <c r="C36" s="105">
        <f>YEAR(Table6[[#This Row],[Date]])</f>
        <v>2025</v>
      </c>
      <c r="D36" s="105" t="s">
        <v>490</v>
      </c>
      <c r="E36" s="119">
        <f>Table6[[#This Row],[Date]]-DAY(Table6[[#This Row],[Date]])+1</f>
        <v>45717</v>
      </c>
      <c r="F36" s="118">
        <v>45747</v>
      </c>
      <c r="G36" s="105" t="s">
        <v>118</v>
      </c>
      <c r="H36" s="39" t="str">
        <f>_xlfn.XLOOKUP(Table6[[#This Row],[Affected WTG]],'Basic Data'!$A:$A,'Basic Data'!$B:$B)</f>
        <v>PWEGPL</v>
      </c>
      <c r="I36" s="39" t="str">
        <f>_xlfn.XLOOKUP(Table6[[#This Row],[Affected WTG]],'Basic Data'!$A:$A,'Basic Data'!$C:$C)</f>
        <v>MSEDCL</v>
      </c>
      <c r="J36" s="345">
        <f>IFERROR(VLOOKUP(Table6[[#This Row],[Affected WTG]],'Basic Data'!$A$3:$E$56,5,0),"")</f>
        <v>2.564102564102564E-2</v>
      </c>
      <c r="K36" s="105">
        <v>5200</v>
      </c>
      <c r="L36" s="39" t="str">
        <f>IFERROR(VLOOKUP(Table6[[#This Row],[Error Code]],'Basic Data'!$T:$U,2,0),"")</f>
        <v>Magnetothermic Trigger Of The Line Protection</v>
      </c>
      <c r="M36" s="346" t="s">
        <v>462</v>
      </c>
      <c r="N36" s="39" t="s">
        <v>1270</v>
      </c>
      <c r="O36" s="347">
        <v>0.67569444444444449</v>
      </c>
      <c r="P36" s="347">
        <v>0.67569444444444449</v>
      </c>
      <c r="Q36" s="347">
        <v>0.69097222222222221</v>
      </c>
      <c r="R36" s="348">
        <f>IF(Table6[[#This Row],[Work Start TimeStamp]]="","",(Table6[[#This Row],[Work Start TimeStamp]]-Table6[[#This Row],[Fault Start TimeStamp]])*24)</f>
        <v>0</v>
      </c>
      <c r="S36" s="349">
        <f>(Table6[[#This Row],[Fault Clearance time]]-Table6[[#This Row],[Work Start TimeStamp]])*24</f>
        <v>0.36666666666666536</v>
      </c>
      <c r="T36" s="350">
        <f>(Table6[[#This Row],[Fault Clearance time]]-Table6[[#This Row],[Fault Start TimeStamp]])*24</f>
        <v>0.36666666666666536</v>
      </c>
      <c r="U36" s="346" t="s">
        <v>480</v>
      </c>
      <c r="V36" s="351" t="s">
        <v>463</v>
      </c>
      <c r="W36" s="338">
        <f>Table6[[#This Row],[Breakdown Time]]*(1/39)</f>
        <v>9.4017094017093683E-3</v>
      </c>
      <c r="X36" s="336" t="s">
        <v>465</v>
      </c>
      <c r="Y36" s="352" t="s">
        <v>117</v>
      </c>
      <c r="Z36" s="105">
        <v>8994</v>
      </c>
      <c r="AA36" s="107">
        <v>137.40833333333285</v>
      </c>
      <c r="AB36" s="105" t="s">
        <v>478</v>
      </c>
    </row>
    <row r="37" spans="1:28">
      <c r="A37" s="105">
        <f t="shared" si="0"/>
        <v>36</v>
      </c>
      <c r="B37" s="107">
        <f>YEAR(Table6[[#This Row],[Date]])+IF(MONTH(Table6[[#This Row],[Date]])&gt;=4,1,0)</f>
        <v>2025</v>
      </c>
      <c r="C37" s="105">
        <f>YEAR(Table6[[#This Row],[Date]])</f>
        <v>2025</v>
      </c>
      <c r="D37" s="105" t="s">
        <v>490</v>
      </c>
      <c r="E37" s="119">
        <f>Table6[[#This Row],[Date]]-DAY(Table6[[#This Row],[Date]])+1</f>
        <v>45717</v>
      </c>
      <c r="F37" s="118">
        <v>45747</v>
      </c>
      <c r="G37" s="105" t="s">
        <v>120</v>
      </c>
      <c r="H37" s="39" t="str">
        <f>_xlfn.XLOOKUP(Table6[[#This Row],[Affected WTG]],'Basic Data'!$A:$A,'Basic Data'!$B:$B)</f>
        <v>PWEGPL</v>
      </c>
      <c r="I37" s="39" t="str">
        <f>_xlfn.XLOOKUP(Table6[[#This Row],[Affected WTG]],'Basic Data'!$A:$A,'Basic Data'!$C:$C)</f>
        <v>MSEDCL</v>
      </c>
      <c r="J37" s="345">
        <f>IFERROR(VLOOKUP(Table6[[#This Row],[Affected WTG]],'Basic Data'!$A$3:$E$56,5,0),"")</f>
        <v>2.564102564102564E-2</v>
      </c>
      <c r="K37" s="105">
        <v>116</v>
      </c>
      <c r="L37" s="39" t="str">
        <f>IFERROR(VLOOKUP(Table6[[#This Row],[Error Code]],'Basic Data'!$T:$U,2,0),"")</f>
        <v>Orienting and High Yaw Brake Pressure</v>
      </c>
      <c r="M37" s="346" t="s">
        <v>462</v>
      </c>
      <c r="N37" s="39" t="s">
        <v>1270</v>
      </c>
      <c r="O37" s="347">
        <v>0.68888888888888888</v>
      </c>
      <c r="P37" s="347">
        <v>0.68888888888888888</v>
      </c>
      <c r="Q37" s="347">
        <v>0.69236111111111109</v>
      </c>
      <c r="R37" s="348">
        <f>IF(Table6[[#This Row],[Work Start TimeStamp]]="","",(Table6[[#This Row],[Work Start TimeStamp]]-Table6[[#This Row],[Fault Start TimeStamp]])*24)</f>
        <v>0</v>
      </c>
      <c r="S37" s="349">
        <f>(Table6[[#This Row],[Fault Clearance time]]-Table6[[#This Row],[Work Start TimeStamp]])*24</f>
        <v>8.3333333333333037E-2</v>
      </c>
      <c r="T37" s="350">
        <f>(Table6[[#This Row],[Fault Clearance time]]-Table6[[#This Row],[Fault Start TimeStamp]])*24</f>
        <v>8.3333333333333037E-2</v>
      </c>
      <c r="U37" s="346" t="s">
        <v>480</v>
      </c>
      <c r="V37" s="351" t="s">
        <v>463</v>
      </c>
      <c r="W37" s="338">
        <f>Table6[[#This Row],[Breakdown Time]]*(1/39)</f>
        <v>2.1367521367521292E-3</v>
      </c>
      <c r="X37" s="336" t="s">
        <v>465</v>
      </c>
      <c r="Y37" s="352" t="s">
        <v>117</v>
      </c>
      <c r="Z37" s="105">
        <v>8994</v>
      </c>
      <c r="AA37" s="107">
        <v>31.229166666666554</v>
      </c>
      <c r="AB37" s="105" t="s">
        <v>478</v>
      </c>
    </row>
    <row r="38" spans="1:28">
      <c r="A38" s="105">
        <f t="shared" si="0"/>
        <v>37</v>
      </c>
      <c r="B38" s="107">
        <f>YEAR(Table6[[#This Row],[Date]])+IF(MONTH(Table6[[#This Row],[Date]])&gt;=4,1,0)</f>
        <v>2025</v>
      </c>
      <c r="C38" s="105">
        <f>YEAR(Table6[[#This Row],[Date]])</f>
        <v>2025</v>
      </c>
      <c r="D38" s="105" t="s">
        <v>490</v>
      </c>
      <c r="E38" s="119">
        <f>Table6[[#This Row],[Date]]-DAY(Table6[[#This Row],[Date]])+1</f>
        <v>45717</v>
      </c>
      <c r="F38" s="118">
        <v>45747</v>
      </c>
      <c r="G38" s="105" t="s">
        <v>121</v>
      </c>
      <c r="H38" s="39" t="str">
        <f>_xlfn.XLOOKUP(Table6[[#This Row],[Affected WTG]],'Basic Data'!$A:$A,'Basic Data'!$B:$B)</f>
        <v>PWEGPL</v>
      </c>
      <c r="I38" s="39" t="str">
        <f>_xlfn.XLOOKUP(Table6[[#This Row],[Affected WTG]],'Basic Data'!$A:$A,'Basic Data'!$C:$C)</f>
        <v>MSEDCL</v>
      </c>
      <c r="J38" s="345">
        <f>IFERROR(VLOOKUP(Table6[[#This Row],[Affected WTG]],'Basic Data'!$A$3:$E$56,5,0),"")</f>
        <v>2.564102564102564E-2</v>
      </c>
      <c r="K38" s="105">
        <v>2102</v>
      </c>
      <c r="L38" s="39" t="str">
        <f>IFERROR(VLOOKUP(Table6[[#This Row],[Error Code]],'Basic Data'!$T:$U,2,0),"")</f>
        <v>PLC Module Failure</v>
      </c>
      <c r="M38" s="346" t="s">
        <v>462</v>
      </c>
      <c r="N38" s="39" t="s">
        <v>1270</v>
      </c>
      <c r="O38" s="347">
        <v>0.68819444444444444</v>
      </c>
      <c r="P38" s="347">
        <v>0.81111111111111112</v>
      </c>
      <c r="Q38" s="347">
        <v>0.81319444444444444</v>
      </c>
      <c r="R38" s="348">
        <f>IF(Table6[[#This Row],[Work Start TimeStamp]]="","",(Table6[[#This Row],[Work Start TimeStamp]]-Table6[[#This Row],[Fault Start TimeStamp]])*24)</f>
        <v>2.95</v>
      </c>
      <c r="S38" s="349">
        <f>(Table6[[#This Row],[Fault Clearance time]]-Table6[[#This Row],[Work Start TimeStamp]])*24</f>
        <v>4.9999999999999822E-2</v>
      </c>
      <c r="T38" s="350">
        <f>(Table6[[#This Row],[Fault Clearance time]]-Table6[[#This Row],[Fault Start TimeStamp]])*24</f>
        <v>3</v>
      </c>
      <c r="U38" s="346" t="s">
        <v>491</v>
      </c>
      <c r="V38" s="351" t="s">
        <v>463</v>
      </c>
      <c r="W38" s="338">
        <f>Table6[[#This Row],[Breakdown Time]]*(1/39)</f>
        <v>7.6923076923076927E-2</v>
      </c>
      <c r="X38" s="336" t="s">
        <v>465</v>
      </c>
      <c r="Y38" s="352" t="s">
        <v>115</v>
      </c>
      <c r="Z38" s="105">
        <v>9436</v>
      </c>
      <c r="AA38" s="107">
        <v>1179.5</v>
      </c>
      <c r="AB38" s="105" t="s">
        <v>478</v>
      </c>
    </row>
    <row r="39" spans="1:28">
      <c r="A39" s="105">
        <f t="shared" si="0"/>
        <v>38</v>
      </c>
      <c r="B39" s="107">
        <f>YEAR(Table6[[#This Row],[Date]])+IF(MONTH(Table6[[#This Row],[Date]])&gt;=4,1,0)</f>
        <v>2025</v>
      </c>
      <c r="C39" s="105">
        <f>YEAR(Table6[[#This Row],[Date]])</f>
        <v>2025</v>
      </c>
      <c r="D39" s="105" t="s">
        <v>490</v>
      </c>
      <c r="E39" s="119">
        <f>Table6[[#This Row],[Date]]-DAY(Table6[[#This Row],[Date]])+1</f>
        <v>45717</v>
      </c>
      <c r="F39" s="118">
        <v>45747</v>
      </c>
      <c r="G39" s="105" t="s">
        <v>121</v>
      </c>
      <c r="H39" s="39" t="str">
        <f>_xlfn.XLOOKUP(Table6[[#This Row],[Affected WTG]],'Basic Data'!$A:$A,'Basic Data'!$B:$B)</f>
        <v>PWEGPL</v>
      </c>
      <c r="I39" s="39" t="str">
        <f>_xlfn.XLOOKUP(Table6[[#This Row],[Affected WTG]],'Basic Data'!$A:$A,'Basic Data'!$C:$C)</f>
        <v>MSEDCL</v>
      </c>
      <c r="J39" s="345">
        <f>IFERROR(VLOOKUP(Table6[[#This Row],[Affected WTG]],'Basic Data'!$A$3:$E$56,5,0),"")</f>
        <v>2.564102564102564E-2</v>
      </c>
      <c r="K39" s="105">
        <v>812</v>
      </c>
      <c r="L39" s="39" t="str">
        <f>IFERROR(VLOOKUP(Table6[[#This Row],[Error Code]],'Basic Data'!$T:$U,2,0),"")</f>
        <v>Blade Position Meas. Error</v>
      </c>
      <c r="M39" s="346" t="s">
        <v>462</v>
      </c>
      <c r="N39" s="39" t="s">
        <v>1270</v>
      </c>
      <c r="O39" s="347">
        <v>0.84583333333333333</v>
      </c>
      <c r="P39" s="347">
        <v>0.84583333333333333</v>
      </c>
      <c r="Q39" s="347">
        <v>0.84930555555555554</v>
      </c>
      <c r="R39" s="348">
        <f>IF(Table6[[#This Row],[Work Start TimeStamp]]="","",(Table6[[#This Row],[Work Start TimeStamp]]-Table6[[#This Row],[Fault Start TimeStamp]])*24)</f>
        <v>0</v>
      </c>
      <c r="S39" s="349">
        <f>(Table6[[#This Row],[Fault Clearance time]]-Table6[[#This Row],[Work Start TimeStamp]])*24</f>
        <v>8.3333333333333037E-2</v>
      </c>
      <c r="T39" s="350">
        <f>(Table6[[#This Row],[Fault Clearance time]]-Table6[[#This Row],[Fault Start TimeStamp]])*24</f>
        <v>8.3333333333333037E-2</v>
      </c>
      <c r="U39" s="346" t="s">
        <v>480</v>
      </c>
      <c r="V39" s="351" t="s">
        <v>463</v>
      </c>
      <c r="W39" s="338">
        <f>Table6[[#This Row],[Breakdown Time]]*(1/39)</f>
        <v>2.1367521367521292E-3</v>
      </c>
      <c r="X39" s="336" t="s">
        <v>465</v>
      </c>
      <c r="Y39" s="352" t="s">
        <v>115</v>
      </c>
      <c r="Z39" s="105">
        <v>9436</v>
      </c>
      <c r="AA39" s="107">
        <v>32.763888888888772</v>
      </c>
      <c r="AB39" s="105" t="s">
        <v>478</v>
      </c>
    </row>
    <row r="40" spans="1:28">
      <c r="A40" s="105">
        <f t="shared" si="0"/>
        <v>39</v>
      </c>
      <c r="B40" s="107">
        <f>YEAR(Table6[[#This Row],[Date]])+IF(MONTH(Table6[[#This Row],[Date]])&gt;=4,1,0)</f>
        <v>2025</v>
      </c>
      <c r="C40" s="105">
        <f>YEAR(Table6[[#This Row],[Date]])</f>
        <v>2025</v>
      </c>
      <c r="D40" s="105" t="s">
        <v>490</v>
      </c>
      <c r="E40" s="119">
        <f>Table6[[#This Row],[Date]]-DAY(Table6[[#This Row],[Date]])+1</f>
        <v>45717</v>
      </c>
      <c r="F40" s="118">
        <v>45747</v>
      </c>
      <c r="G40" s="105" t="s">
        <v>123</v>
      </c>
      <c r="H40" s="39" t="str">
        <f>_xlfn.XLOOKUP(Table6[[#This Row],[Affected WTG]],'Basic Data'!$A:$A,'Basic Data'!$B:$B)</f>
        <v>PWEGPL</v>
      </c>
      <c r="I40" s="39" t="str">
        <f>_xlfn.XLOOKUP(Table6[[#This Row],[Affected WTG]],'Basic Data'!$A:$A,'Basic Data'!$C:$C)</f>
        <v>MSEDCL</v>
      </c>
      <c r="J40" s="345">
        <f>IFERROR(VLOOKUP(Table6[[#This Row],[Affected WTG]],'Basic Data'!$A$3:$E$56,5,0),"")</f>
        <v>2.564102564102564E-2</v>
      </c>
      <c r="K40" s="105">
        <v>222</v>
      </c>
      <c r="L40" s="39" t="str">
        <f>IFERROR(VLOOKUP(Table6[[#This Row],[Error Code]],'Basic Data'!$T:$U,2,0),"")</f>
        <v>Very Low Pressure On Hydraulic Unit</v>
      </c>
      <c r="M40" s="346" t="s">
        <v>462</v>
      </c>
      <c r="N40" s="39" t="s">
        <v>1270</v>
      </c>
      <c r="O40" s="347">
        <v>0.80555555555555558</v>
      </c>
      <c r="P40" s="347">
        <v>0.82361111111111107</v>
      </c>
      <c r="Q40" s="347">
        <v>0.82361111111111107</v>
      </c>
      <c r="R40" s="348">
        <f>IF(Table6[[#This Row],[Work Start TimeStamp]]="","",(Table6[[#This Row],[Work Start TimeStamp]]-Table6[[#This Row],[Fault Start TimeStamp]])*24)</f>
        <v>0.43333333333333179</v>
      </c>
      <c r="S40" s="349">
        <f>(Table6[[#This Row],[Fault Clearance time]]-Table6[[#This Row],[Work Start TimeStamp]])*24</f>
        <v>0</v>
      </c>
      <c r="T40" s="350">
        <f>(Table6[[#This Row],[Fault Clearance time]]-Table6[[#This Row],[Fault Start TimeStamp]])*24</f>
        <v>0.43333333333333179</v>
      </c>
      <c r="U40" s="346" t="s">
        <v>493</v>
      </c>
      <c r="V40" s="351" t="s">
        <v>463</v>
      </c>
      <c r="W40" s="338">
        <f>Table6[[#This Row],[Breakdown Time]]*(1/39)</f>
        <v>1.1111111111111072E-2</v>
      </c>
      <c r="X40" s="336" t="s">
        <v>465</v>
      </c>
      <c r="Y40" s="352" t="s">
        <v>126</v>
      </c>
      <c r="Z40" s="105">
        <v>5883</v>
      </c>
      <c r="AA40" s="107">
        <v>106.22083333333296</v>
      </c>
      <c r="AB40" s="105" t="s">
        <v>478</v>
      </c>
    </row>
    <row r="41" spans="1:28">
      <c r="A41" s="105">
        <f t="shared" si="0"/>
        <v>40</v>
      </c>
      <c r="B41" s="107">
        <f>YEAR(Table6[[#This Row],[Date]])+IF(MONTH(Table6[[#This Row],[Date]])&gt;=4,1,0)</f>
        <v>2025</v>
      </c>
      <c r="C41" s="105">
        <f>YEAR(Table6[[#This Row],[Date]])</f>
        <v>2025</v>
      </c>
      <c r="D41" s="105" t="s">
        <v>490</v>
      </c>
      <c r="E41" s="119">
        <f>Table6[[#This Row],[Date]]-DAY(Table6[[#This Row],[Date]])+1</f>
        <v>45717</v>
      </c>
      <c r="F41" s="118">
        <v>45747</v>
      </c>
      <c r="G41" s="105" t="s">
        <v>124</v>
      </c>
      <c r="H41" s="39" t="str">
        <f>_xlfn.XLOOKUP(Table6[[#This Row],[Affected WTG]],'Basic Data'!$A:$A,'Basic Data'!$B:$B)</f>
        <v>PWEGPL</v>
      </c>
      <c r="I41" s="39" t="str">
        <f>_xlfn.XLOOKUP(Table6[[#This Row],[Affected WTG]],'Basic Data'!$A:$A,'Basic Data'!$C:$C)</f>
        <v>MSEDCL</v>
      </c>
      <c r="J41" s="345">
        <f>IFERROR(VLOOKUP(Table6[[#This Row],[Affected WTG]],'Basic Data'!$A$3:$E$56,5,0),"")</f>
        <v>2.564102564102564E-2</v>
      </c>
      <c r="K41" s="105">
        <v>527</v>
      </c>
      <c r="L41" s="39" t="str">
        <f>IFERROR(VLOOKUP(Table6[[#This Row],[Error Code]],'Basic Data'!$T:$U,2,0),"")</f>
        <v>High Temperature Of Upper Radiator</v>
      </c>
      <c r="M41" s="346" t="s">
        <v>462</v>
      </c>
      <c r="N41" s="39" t="s">
        <v>1270</v>
      </c>
      <c r="O41" s="347">
        <v>0.69027777777777777</v>
      </c>
      <c r="P41" s="347">
        <v>0.69027777777777777</v>
      </c>
      <c r="Q41" s="347">
        <v>0.69374999999999998</v>
      </c>
      <c r="R41" s="348">
        <f>IF(Table6[[#This Row],[Work Start TimeStamp]]="","",(Table6[[#This Row],[Work Start TimeStamp]]-Table6[[#This Row],[Fault Start TimeStamp]])*24)</f>
        <v>0</v>
      </c>
      <c r="S41" s="349">
        <f>(Table6[[#This Row],[Fault Clearance time]]-Table6[[#This Row],[Work Start TimeStamp]])*24</f>
        <v>8.3333333333333037E-2</v>
      </c>
      <c r="T41" s="350">
        <f>(Table6[[#This Row],[Fault Clearance time]]-Table6[[#This Row],[Fault Start TimeStamp]])*24</f>
        <v>8.3333333333333037E-2</v>
      </c>
      <c r="U41" s="346" t="s">
        <v>480</v>
      </c>
      <c r="V41" s="351" t="s">
        <v>463</v>
      </c>
      <c r="W41" s="338">
        <f>Table6[[#This Row],[Breakdown Time]]*(1/39)</f>
        <v>2.1367521367521292E-3</v>
      </c>
      <c r="X41" s="336" t="s">
        <v>465</v>
      </c>
      <c r="Y41" s="352" t="s">
        <v>125</v>
      </c>
      <c r="Z41" s="105">
        <v>9876</v>
      </c>
      <c r="AA41" s="107">
        <v>34.291666666666544</v>
      </c>
      <c r="AB41" s="105" t="s">
        <v>478</v>
      </c>
    </row>
    <row r="42" spans="1:28">
      <c r="A42" s="105">
        <f t="shared" si="0"/>
        <v>41</v>
      </c>
      <c r="B42" s="107">
        <f>YEAR(Table6[[#This Row],[Date]])+IF(MONTH(Table6[[#This Row],[Date]])&gt;=4,1,0)</f>
        <v>2025</v>
      </c>
      <c r="C42" s="105">
        <f>YEAR(Table6[[#This Row],[Date]])</f>
        <v>2025</v>
      </c>
      <c r="D42" s="105" t="s">
        <v>490</v>
      </c>
      <c r="E42" s="119">
        <f>Table6[[#This Row],[Date]]-DAY(Table6[[#This Row],[Date]])+1</f>
        <v>45717</v>
      </c>
      <c r="F42" s="118">
        <v>45747</v>
      </c>
      <c r="G42" s="105" t="s">
        <v>124</v>
      </c>
      <c r="H42" s="39" t="str">
        <f>_xlfn.XLOOKUP(Table6[[#This Row],[Affected WTG]],'Basic Data'!$A:$A,'Basic Data'!$B:$B)</f>
        <v>PWEGPL</v>
      </c>
      <c r="I42" s="39" t="str">
        <f>_xlfn.XLOOKUP(Table6[[#This Row],[Affected WTG]],'Basic Data'!$A:$A,'Basic Data'!$C:$C)</f>
        <v>MSEDCL</v>
      </c>
      <c r="J42" s="345">
        <f>IFERROR(VLOOKUP(Table6[[#This Row],[Affected WTG]],'Basic Data'!$A$3:$E$56,5,0),"")</f>
        <v>2.564102564102564E-2</v>
      </c>
      <c r="K42" s="105">
        <v>527</v>
      </c>
      <c r="L42" s="39" t="str">
        <f>IFERROR(VLOOKUP(Table6[[#This Row],[Error Code]],'Basic Data'!$T:$U,2,0),"")</f>
        <v>High Temperature Of Upper Radiator</v>
      </c>
      <c r="M42" s="346" t="s">
        <v>462</v>
      </c>
      <c r="N42" s="39" t="s">
        <v>1270</v>
      </c>
      <c r="O42" s="347">
        <v>0.71736111111111112</v>
      </c>
      <c r="P42" s="347">
        <v>0.71736111111111112</v>
      </c>
      <c r="Q42" s="347">
        <v>0.72083333333333333</v>
      </c>
      <c r="R42" s="348">
        <f>IF(Table6[[#This Row],[Work Start TimeStamp]]="","",(Table6[[#This Row],[Work Start TimeStamp]]-Table6[[#This Row],[Fault Start TimeStamp]])*24)</f>
        <v>0</v>
      </c>
      <c r="S42" s="349">
        <f>(Table6[[#This Row],[Fault Clearance time]]-Table6[[#This Row],[Work Start TimeStamp]])*24</f>
        <v>8.3333333333333037E-2</v>
      </c>
      <c r="T42" s="350">
        <f>(Table6[[#This Row],[Fault Clearance time]]-Table6[[#This Row],[Fault Start TimeStamp]])*24</f>
        <v>8.3333333333333037E-2</v>
      </c>
      <c r="U42" s="346" t="s">
        <v>480</v>
      </c>
      <c r="V42" s="351" t="s">
        <v>463</v>
      </c>
      <c r="W42" s="338">
        <f>Table6[[#This Row],[Breakdown Time]]*(1/39)</f>
        <v>2.1367521367521292E-3</v>
      </c>
      <c r="X42" s="336" t="s">
        <v>465</v>
      </c>
      <c r="Y42" s="352" t="s">
        <v>125</v>
      </c>
      <c r="Z42" s="105">
        <v>9876</v>
      </c>
      <c r="AA42" s="107">
        <v>34.291666666666544</v>
      </c>
      <c r="AB42" s="105" t="s">
        <v>478</v>
      </c>
    </row>
    <row r="43" spans="1:28">
      <c r="A43" s="105">
        <f t="shared" si="0"/>
        <v>42</v>
      </c>
      <c r="B43" s="107">
        <f>YEAR(Table6[[#This Row],[Date]])+IF(MONTH(Table6[[#This Row],[Date]])&gt;=4,1,0)</f>
        <v>2025</v>
      </c>
      <c r="C43" s="105">
        <f>YEAR(Table6[[#This Row],[Date]])</f>
        <v>2025</v>
      </c>
      <c r="D43" s="105" t="s">
        <v>490</v>
      </c>
      <c r="E43" s="119">
        <f>Table6[[#This Row],[Date]]-DAY(Table6[[#This Row],[Date]])+1</f>
        <v>45717</v>
      </c>
      <c r="F43" s="118">
        <v>45747</v>
      </c>
      <c r="G43" s="105" t="s">
        <v>124</v>
      </c>
      <c r="H43" s="39" t="str">
        <f>_xlfn.XLOOKUP(Table6[[#This Row],[Affected WTG]],'Basic Data'!$A:$A,'Basic Data'!$B:$B)</f>
        <v>PWEGPL</v>
      </c>
      <c r="I43" s="39" t="str">
        <f>_xlfn.XLOOKUP(Table6[[#This Row],[Affected WTG]],'Basic Data'!$A:$A,'Basic Data'!$C:$C)</f>
        <v>MSEDCL</v>
      </c>
      <c r="J43" s="345">
        <f>IFERROR(VLOOKUP(Table6[[#This Row],[Affected WTG]],'Basic Data'!$A$3:$E$56,5,0),"")</f>
        <v>2.564102564102564E-2</v>
      </c>
      <c r="K43" s="105">
        <v>527</v>
      </c>
      <c r="L43" s="39" t="str">
        <f>IFERROR(VLOOKUP(Table6[[#This Row],[Error Code]],'Basic Data'!$T:$U,2,0),"")</f>
        <v>High Temperature Of Upper Radiator</v>
      </c>
      <c r="M43" s="346" t="s">
        <v>462</v>
      </c>
      <c r="N43" s="39" t="s">
        <v>1270</v>
      </c>
      <c r="O43" s="347">
        <v>0.72916666666666663</v>
      </c>
      <c r="P43" s="347">
        <v>0.72916666666666663</v>
      </c>
      <c r="Q43" s="347">
        <v>0.73263888888888884</v>
      </c>
      <c r="R43" s="348">
        <f>IF(Table6[[#This Row],[Work Start TimeStamp]]="","",(Table6[[#This Row],[Work Start TimeStamp]]-Table6[[#This Row],[Fault Start TimeStamp]])*24)</f>
        <v>0</v>
      </c>
      <c r="S43" s="349">
        <f>(Table6[[#This Row],[Fault Clearance time]]-Table6[[#This Row],[Work Start TimeStamp]])*24</f>
        <v>8.3333333333333037E-2</v>
      </c>
      <c r="T43" s="350">
        <f>(Table6[[#This Row],[Fault Clearance time]]-Table6[[#This Row],[Fault Start TimeStamp]])*24</f>
        <v>8.3333333333333037E-2</v>
      </c>
      <c r="U43" s="346" t="s">
        <v>480</v>
      </c>
      <c r="V43" s="351" t="s">
        <v>463</v>
      </c>
      <c r="W43" s="338">
        <f>Table6[[#This Row],[Breakdown Time]]*(1/39)</f>
        <v>2.1367521367521292E-3</v>
      </c>
      <c r="X43" s="336" t="s">
        <v>465</v>
      </c>
      <c r="Y43" s="352" t="s">
        <v>125</v>
      </c>
      <c r="Z43" s="105">
        <v>9876</v>
      </c>
      <c r="AA43" s="107">
        <v>34.291666666666544</v>
      </c>
      <c r="AB43" s="105" t="s">
        <v>478</v>
      </c>
    </row>
    <row r="44" spans="1:28">
      <c r="A44" s="105">
        <f t="shared" si="0"/>
        <v>43</v>
      </c>
      <c r="B44" s="107">
        <f>YEAR(Table6[[#This Row],[Date]])+IF(MONTH(Table6[[#This Row],[Date]])&gt;=4,1,0)</f>
        <v>2025</v>
      </c>
      <c r="C44" s="105">
        <f>YEAR(Table6[[#This Row],[Date]])</f>
        <v>2025</v>
      </c>
      <c r="D44" s="105" t="s">
        <v>490</v>
      </c>
      <c r="E44" s="119">
        <f>Table6[[#This Row],[Date]]-DAY(Table6[[#This Row],[Date]])+1</f>
        <v>45717</v>
      </c>
      <c r="F44" s="118">
        <v>45747</v>
      </c>
      <c r="G44" s="105" t="s">
        <v>124</v>
      </c>
      <c r="H44" s="39" t="str">
        <f>_xlfn.XLOOKUP(Table6[[#This Row],[Affected WTG]],'Basic Data'!$A:$A,'Basic Data'!$B:$B)</f>
        <v>PWEGPL</v>
      </c>
      <c r="I44" s="39" t="str">
        <f>_xlfn.XLOOKUP(Table6[[#This Row],[Affected WTG]],'Basic Data'!$A:$A,'Basic Data'!$C:$C)</f>
        <v>MSEDCL</v>
      </c>
      <c r="J44" s="345">
        <f>IFERROR(VLOOKUP(Table6[[#This Row],[Affected WTG]],'Basic Data'!$A$3:$E$56,5,0),"")</f>
        <v>2.564102564102564E-2</v>
      </c>
      <c r="K44" s="105">
        <v>527</v>
      </c>
      <c r="L44" s="39" t="str">
        <f>IFERROR(VLOOKUP(Table6[[#This Row],[Error Code]],'Basic Data'!$T:$U,2,0),"")</f>
        <v>High Temperature Of Upper Radiator</v>
      </c>
      <c r="M44" s="346" t="s">
        <v>462</v>
      </c>
      <c r="N44" s="39" t="s">
        <v>1270</v>
      </c>
      <c r="O44" s="347">
        <v>0.78749999999999998</v>
      </c>
      <c r="P44" s="347">
        <v>0.82291666666666663</v>
      </c>
      <c r="Q44" s="347">
        <v>0.82291666666666663</v>
      </c>
      <c r="R44" s="348">
        <f>IF(Table6[[#This Row],[Work Start TimeStamp]]="","",(Table6[[#This Row],[Work Start TimeStamp]]-Table6[[#This Row],[Fault Start TimeStamp]])*24)</f>
        <v>0.84999999999999964</v>
      </c>
      <c r="S44" s="349">
        <f>(Table6[[#This Row],[Fault Clearance time]]-Table6[[#This Row],[Work Start TimeStamp]])*24</f>
        <v>0</v>
      </c>
      <c r="T44" s="350">
        <f>(Table6[[#This Row],[Fault Clearance time]]-Table6[[#This Row],[Fault Start TimeStamp]])*24</f>
        <v>0.84999999999999964</v>
      </c>
      <c r="U44" s="346" t="s">
        <v>493</v>
      </c>
      <c r="V44" s="351" t="s">
        <v>463</v>
      </c>
      <c r="W44" s="338">
        <f>Table6[[#This Row],[Breakdown Time]]*(1/39)</f>
        <v>2.1794871794871783E-2</v>
      </c>
      <c r="X44" s="336" t="s">
        <v>465</v>
      </c>
      <c r="Y44" s="352" t="s">
        <v>125</v>
      </c>
      <c r="Z44" s="105">
        <v>9876</v>
      </c>
      <c r="AA44" s="107">
        <v>349.77499999999986</v>
      </c>
      <c r="AB44" s="105" t="s">
        <v>478</v>
      </c>
    </row>
    <row r="45" spans="1:28">
      <c r="A45" s="105">
        <f t="shared" si="0"/>
        <v>44</v>
      </c>
      <c r="B45" s="107">
        <f>YEAR(Table6[[#This Row],[Date]])+IF(MONTH(Table6[[#This Row],[Date]])&gt;=4,1,0)</f>
        <v>2025</v>
      </c>
      <c r="C45" s="105">
        <f>YEAR(Table6[[#This Row],[Date]])</f>
        <v>2025</v>
      </c>
      <c r="D45" s="105" t="s">
        <v>490</v>
      </c>
      <c r="E45" s="119">
        <f>Table6[[#This Row],[Date]]-DAY(Table6[[#This Row],[Date]])+1</f>
        <v>45717</v>
      </c>
      <c r="F45" s="118">
        <v>45747</v>
      </c>
      <c r="G45" s="105" t="s">
        <v>125</v>
      </c>
      <c r="H45" s="39" t="str">
        <f>_xlfn.XLOOKUP(Table6[[#This Row],[Affected WTG]],'Basic Data'!$A:$A,'Basic Data'!$B:$B)</f>
        <v>PWEGPL</v>
      </c>
      <c r="I45" s="39" t="str">
        <f>_xlfn.XLOOKUP(Table6[[#This Row],[Affected WTG]],'Basic Data'!$A:$A,'Basic Data'!$C:$C)</f>
        <v>MSEDCL</v>
      </c>
      <c r="J45" s="345">
        <f>IFERROR(VLOOKUP(Table6[[#This Row],[Affected WTG]],'Basic Data'!$A$3:$E$56,5,0),"")</f>
        <v>2.564102564102564E-2</v>
      </c>
      <c r="K45" s="105">
        <v>116</v>
      </c>
      <c r="L45" s="39" t="str">
        <f>IFERROR(VLOOKUP(Table6[[#This Row],[Error Code]],'Basic Data'!$T:$U,2,0),"")</f>
        <v>Orienting and High Yaw Brake Pressure</v>
      </c>
      <c r="M45" s="346" t="s">
        <v>462</v>
      </c>
      <c r="N45" s="39" t="s">
        <v>1270</v>
      </c>
      <c r="O45" s="347">
        <v>0.69305555555555554</v>
      </c>
      <c r="P45" s="347">
        <v>0.69305555555555554</v>
      </c>
      <c r="Q45" s="347">
        <v>0.69652777777777775</v>
      </c>
      <c r="R45" s="348">
        <f>IF(Table6[[#This Row],[Work Start TimeStamp]]="","",(Table6[[#This Row],[Work Start TimeStamp]]-Table6[[#This Row],[Fault Start TimeStamp]])*24)</f>
        <v>0</v>
      </c>
      <c r="S45" s="349">
        <f>(Table6[[#This Row],[Fault Clearance time]]-Table6[[#This Row],[Work Start TimeStamp]])*24</f>
        <v>8.3333333333333037E-2</v>
      </c>
      <c r="T45" s="350">
        <f>(Table6[[#This Row],[Fault Clearance time]]-Table6[[#This Row],[Fault Start TimeStamp]])*24</f>
        <v>8.3333333333333037E-2</v>
      </c>
      <c r="U45" s="346" t="s">
        <v>480</v>
      </c>
      <c r="V45" s="351" t="s">
        <v>463</v>
      </c>
      <c r="W45" s="338">
        <f>Table6[[#This Row],[Breakdown Time]]*(1/39)</f>
        <v>2.1367521367521292E-3</v>
      </c>
      <c r="X45" s="336" t="s">
        <v>465</v>
      </c>
      <c r="Y45" s="352" t="s">
        <v>124</v>
      </c>
      <c r="Z45" s="105">
        <v>7384</v>
      </c>
      <c r="AA45" s="107">
        <v>25.6388888888888</v>
      </c>
      <c r="AB45" s="105" t="s">
        <v>478</v>
      </c>
    </row>
    <row r="46" spans="1:28">
      <c r="A46" s="105">
        <f t="shared" si="0"/>
        <v>45</v>
      </c>
      <c r="B46" s="107">
        <f>YEAR(Table6[[#This Row],[Date]])+IF(MONTH(Table6[[#This Row],[Date]])&gt;=4,1,0)</f>
        <v>2025</v>
      </c>
      <c r="C46" s="105">
        <f>YEAR(Table6[[#This Row],[Date]])</f>
        <v>2025</v>
      </c>
      <c r="D46" s="105" t="s">
        <v>490</v>
      </c>
      <c r="E46" s="119">
        <f>Table6[[#This Row],[Date]]-DAY(Table6[[#This Row],[Date]])+1</f>
        <v>45717</v>
      </c>
      <c r="F46" s="118">
        <v>45747</v>
      </c>
      <c r="G46" s="105" t="s">
        <v>126</v>
      </c>
      <c r="H46" s="39" t="str">
        <f>_xlfn.XLOOKUP(Table6[[#This Row],[Affected WTG]],'Basic Data'!$A:$A,'Basic Data'!$B:$B)</f>
        <v>PWEGPL</v>
      </c>
      <c r="I46" s="39" t="str">
        <f>_xlfn.XLOOKUP(Table6[[#This Row],[Affected WTG]],'Basic Data'!$A:$A,'Basic Data'!$C:$C)</f>
        <v>MSEDCL</v>
      </c>
      <c r="J46" s="345">
        <f>IFERROR(VLOOKUP(Table6[[#This Row],[Affected WTG]],'Basic Data'!$A$3:$E$56,5,0),"")</f>
        <v>2.564102564102564E-2</v>
      </c>
      <c r="K46" s="105">
        <v>203</v>
      </c>
      <c r="L46" s="39" t="str">
        <f>IFERROR(VLOOKUP(Table6[[#This Row],[Error Code]],'Basic Data'!$T:$U,2,0),"")</f>
        <v>Low Pressure On Hydraulic Group</v>
      </c>
      <c r="M46" s="346" t="s">
        <v>462</v>
      </c>
      <c r="N46" s="39" t="s">
        <v>1270</v>
      </c>
      <c r="O46" s="347">
        <v>0.68402777777777779</v>
      </c>
      <c r="P46" s="347">
        <v>0.68402777777777779</v>
      </c>
      <c r="Q46" s="347">
        <v>0.68680555555555556</v>
      </c>
      <c r="R46" s="348">
        <f>IF(Table6[[#This Row],[Work Start TimeStamp]]="","",(Table6[[#This Row],[Work Start TimeStamp]]-Table6[[#This Row],[Fault Start TimeStamp]])*24)</f>
        <v>0</v>
      </c>
      <c r="S46" s="349">
        <f>(Table6[[#This Row],[Fault Clearance time]]-Table6[[#This Row],[Work Start TimeStamp]])*24</f>
        <v>6.666666666666643E-2</v>
      </c>
      <c r="T46" s="350">
        <f>(Table6[[#This Row],[Fault Clearance time]]-Table6[[#This Row],[Fault Start TimeStamp]])*24</f>
        <v>6.666666666666643E-2</v>
      </c>
      <c r="U46" s="346" t="s">
        <v>480</v>
      </c>
      <c r="V46" s="351" t="s">
        <v>463</v>
      </c>
      <c r="W46" s="338">
        <f>Table6[[#This Row],[Breakdown Time]]*(1/39)</f>
        <v>1.7094017094017033E-3</v>
      </c>
      <c r="X46" s="336" t="s">
        <v>465</v>
      </c>
      <c r="Y46" s="352" t="s">
        <v>127</v>
      </c>
      <c r="Z46" s="105">
        <v>7698</v>
      </c>
      <c r="AA46" s="107">
        <v>21.383333333333258</v>
      </c>
      <c r="AB46" s="105" t="s">
        <v>478</v>
      </c>
    </row>
    <row r="47" spans="1:28">
      <c r="A47" s="105">
        <f t="shared" si="0"/>
        <v>46</v>
      </c>
      <c r="B47" s="107">
        <f>YEAR(Table6[[#This Row],[Date]])+IF(MONTH(Table6[[#This Row],[Date]])&gt;=4,1,0)</f>
        <v>2025</v>
      </c>
      <c r="C47" s="105">
        <f>YEAR(Table6[[#This Row],[Date]])</f>
        <v>2025</v>
      </c>
      <c r="D47" s="105" t="s">
        <v>490</v>
      </c>
      <c r="E47" s="119">
        <f>Table6[[#This Row],[Date]]-DAY(Table6[[#This Row],[Date]])+1</f>
        <v>45717</v>
      </c>
      <c r="F47" s="118">
        <v>45747</v>
      </c>
      <c r="G47" s="105" t="s">
        <v>126</v>
      </c>
      <c r="H47" s="39" t="str">
        <f>_xlfn.XLOOKUP(Table6[[#This Row],[Affected WTG]],'Basic Data'!$A:$A,'Basic Data'!$B:$B)</f>
        <v>PWEGPL</v>
      </c>
      <c r="I47" s="39" t="str">
        <f>_xlfn.XLOOKUP(Table6[[#This Row],[Affected WTG]],'Basic Data'!$A:$A,'Basic Data'!$C:$C)</f>
        <v>MSEDCL</v>
      </c>
      <c r="J47" s="345">
        <f>IFERROR(VLOOKUP(Table6[[#This Row],[Affected WTG]],'Basic Data'!$A$3:$E$56,5,0),"")</f>
        <v>2.564102564102564E-2</v>
      </c>
      <c r="K47" s="105">
        <v>5210</v>
      </c>
      <c r="L47" s="39" t="str">
        <f>IFERROR(VLOOKUP(Table6[[#This Row],[Error Code]],'Basic Data'!$T:$U,2,0),"")</f>
        <v>Failure Of The Contactor's Rotor Power</v>
      </c>
      <c r="M47" s="346" t="s">
        <v>462</v>
      </c>
      <c r="N47" s="39" t="s">
        <v>1270</v>
      </c>
      <c r="O47" s="347">
        <v>0.68819444444444444</v>
      </c>
      <c r="P47" s="347">
        <v>0.68819444444444444</v>
      </c>
      <c r="Q47" s="347">
        <v>0.70138888888888884</v>
      </c>
      <c r="R47" s="348">
        <f>IF(Table6[[#This Row],[Work Start TimeStamp]]="","",(Table6[[#This Row],[Work Start TimeStamp]]-Table6[[#This Row],[Fault Start TimeStamp]])*24)</f>
        <v>0</v>
      </c>
      <c r="S47" s="349">
        <f>(Table6[[#This Row],[Fault Clearance time]]-Table6[[#This Row],[Work Start TimeStamp]])*24</f>
        <v>0.31666666666666554</v>
      </c>
      <c r="T47" s="350">
        <f>(Table6[[#This Row],[Fault Clearance time]]-Table6[[#This Row],[Fault Start TimeStamp]])*24</f>
        <v>0.31666666666666554</v>
      </c>
      <c r="U47" s="346" t="s">
        <v>493</v>
      </c>
      <c r="V47" s="351" t="s">
        <v>463</v>
      </c>
      <c r="W47" s="338">
        <f>Table6[[#This Row],[Breakdown Time]]*(1/39)</f>
        <v>8.1196581196580908E-3</v>
      </c>
      <c r="X47" s="336" t="s">
        <v>465</v>
      </c>
      <c r="Y47" s="352" t="s">
        <v>127</v>
      </c>
      <c r="Z47" s="105">
        <v>7698</v>
      </c>
      <c r="AA47" s="107">
        <v>101.57083333333297</v>
      </c>
      <c r="AB47" s="105" t="s">
        <v>478</v>
      </c>
    </row>
    <row r="48" spans="1:28">
      <c r="A48" s="105">
        <f t="shared" si="0"/>
        <v>47</v>
      </c>
      <c r="B48" s="107">
        <f>YEAR(Table6[[#This Row],[Date]])+IF(MONTH(Table6[[#This Row],[Date]])&gt;=4,1,0)</f>
        <v>2025</v>
      </c>
      <c r="C48" s="105">
        <f>YEAR(Table6[[#This Row],[Date]])</f>
        <v>2025</v>
      </c>
      <c r="D48" s="105" t="s">
        <v>490</v>
      </c>
      <c r="E48" s="119">
        <f>Table6[[#This Row],[Date]]-DAY(Table6[[#This Row],[Date]])+1</f>
        <v>45717</v>
      </c>
      <c r="F48" s="118">
        <v>45747</v>
      </c>
      <c r="G48" s="105" t="s">
        <v>126</v>
      </c>
      <c r="H48" s="39" t="str">
        <f>_xlfn.XLOOKUP(Table6[[#This Row],[Affected WTG]],'Basic Data'!$A:$A,'Basic Data'!$B:$B)</f>
        <v>PWEGPL</v>
      </c>
      <c r="I48" s="39" t="str">
        <f>_xlfn.XLOOKUP(Table6[[#This Row],[Affected WTG]],'Basic Data'!$A:$A,'Basic Data'!$C:$C)</f>
        <v>MSEDCL</v>
      </c>
      <c r="J48" s="345">
        <f>IFERROR(VLOOKUP(Table6[[#This Row],[Affected WTG]],'Basic Data'!$A$3:$E$56,5,0),"")</f>
        <v>2.564102564102564E-2</v>
      </c>
      <c r="K48" s="105">
        <v>203</v>
      </c>
      <c r="L48" s="39" t="str">
        <f>IFERROR(VLOOKUP(Table6[[#This Row],[Error Code]],'Basic Data'!$T:$U,2,0),"")</f>
        <v>Low Pressure On Hydraulic Group</v>
      </c>
      <c r="M48" s="346" t="s">
        <v>462</v>
      </c>
      <c r="N48" s="39" t="s">
        <v>1270</v>
      </c>
      <c r="O48" s="347">
        <v>0.70277777777777772</v>
      </c>
      <c r="P48" s="347">
        <v>0.70277777777777772</v>
      </c>
      <c r="Q48" s="347">
        <v>0.75347222222222221</v>
      </c>
      <c r="R48" s="348">
        <f>IF(Table6[[#This Row],[Work Start TimeStamp]]="","",(Table6[[#This Row],[Work Start TimeStamp]]-Table6[[#This Row],[Fault Start TimeStamp]])*24)</f>
        <v>0</v>
      </c>
      <c r="S48" s="349">
        <f>(Table6[[#This Row],[Fault Clearance time]]-Table6[[#This Row],[Work Start TimeStamp]])*24</f>
        <v>1.2166666666666677</v>
      </c>
      <c r="T48" s="350">
        <f>(Table6[[#This Row],[Fault Clearance time]]-Table6[[#This Row],[Fault Start TimeStamp]])*24</f>
        <v>1.2166666666666677</v>
      </c>
      <c r="U48" s="346" t="s">
        <v>493</v>
      </c>
      <c r="V48" s="351" t="s">
        <v>463</v>
      </c>
      <c r="W48" s="338">
        <f>Table6[[#This Row],[Breakdown Time]]*(1/39)</f>
        <v>3.1196581196581221E-2</v>
      </c>
      <c r="X48" s="336" t="s">
        <v>465</v>
      </c>
      <c r="Y48" s="352" t="s">
        <v>127</v>
      </c>
      <c r="Z48" s="105">
        <v>7698</v>
      </c>
      <c r="AA48" s="107">
        <v>390.24583333333368</v>
      </c>
      <c r="AB48" s="105" t="s">
        <v>478</v>
      </c>
    </row>
    <row r="49" spans="1:28">
      <c r="A49" s="105">
        <f t="shared" si="0"/>
        <v>48</v>
      </c>
      <c r="B49" s="107">
        <f>YEAR(Table6[[#This Row],[Date]])+IF(MONTH(Table6[[#This Row],[Date]])&gt;=4,1,0)</f>
        <v>2025</v>
      </c>
      <c r="C49" s="105">
        <f>YEAR(Table6[[#This Row],[Date]])</f>
        <v>2025</v>
      </c>
      <c r="D49" s="105" t="s">
        <v>490</v>
      </c>
      <c r="E49" s="119">
        <f>Table6[[#This Row],[Date]]-DAY(Table6[[#This Row],[Date]])+1</f>
        <v>45717</v>
      </c>
      <c r="F49" s="118">
        <v>45747</v>
      </c>
      <c r="G49" s="105" t="s">
        <v>126</v>
      </c>
      <c r="H49" s="39" t="str">
        <f>_xlfn.XLOOKUP(Table6[[#This Row],[Affected WTG]],'Basic Data'!$A:$A,'Basic Data'!$B:$B)</f>
        <v>PWEGPL</v>
      </c>
      <c r="I49" s="39" t="str">
        <f>_xlfn.XLOOKUP(Table6[[#This Row],[Affected WTG]],'Basic Data'!$A:$A,'Basic Data'!$C:$C)</f>
        <v>MSEDCL</v>
      </c>
      <c r="J49" s="345">
        <f>IFERROR(VLOOKUP(Table6[[#This Row],[Affected WTG]],'Basic Data'!$A$3:$E$56,5,0),"")</f>
        <v>2.564102564102564E-2</v>
      </c>
      <c r="K49" s="105">
        <v>812</v>
      </c>
      <c r="L49" s="39" t="str">
        <f>IFERROR(VLOOKUP(Table6[[#This Row],[Error Code]],'Basic Data'!$T:$U,2,0),"")</f>
        <v>Blade Position Meas. Error</v>
      </c>
      <c r="M49" s="346" t="s">
        <v>462</v>
      </c>
      <c r="N49" s="39" t="s">
        <v>1270</v>
      </c>
      <c r="O49" s="347">
        <v>0.76388888888888884</v>
      </c>
      <c r="P49" s="347">
        <v>0.76388888888888884</v>
      </c>
      <c r="Q49" s="347">
        <v>0.77083333333333337</v>
      </c>
      <c r="R49" s="348">
        <f>IF(Table6[[#This Row],[Work Start TimeStamp]]="","",(Table6[[#This Row],[Work Start TimeStamp]]-Table6[[#This Row],[Fault Start TimeStamp]])*24)</f>
        <v>0</v>
      </c>
      <c r="S49" s="349">
        <f>(Table6[[#This Row],[Fault Clearance time]]-Table6[[#This Row],[Work Start TimeStamp]])*24</f>
        <v>0.16666666666666874</v>
      </c>
      <c r="T49" s="350">
        <f>(Table6[[#This Row],[Fault Clearance time]]-Table6[[#This Row],[Fault Start TimeStamp]])*24</f>
        <v>0.16666666666666874</v>
      </c>
      <c r="U49" s="346" t="s">
        <v>480</v>
      </c>
      <c r="V49" s="351" t="s">
        <v>463</v>
      </c>
      <c r="W49" s="338">
        <f>Table6[[#This Row],[Breakdown Time]]*(1/39)</f>
        <v>4.2735042735043268E-3</v>
      </c>
      <c r="X49" s="336" t="s">
        <v>465</v>
      </c>
      <c r="Y49" s="352" t="s">
        <v>127</v>
      </c>
      <c r="Z49" s="105">
        <v>7698</v>
      </c>
      <c r="AA49" s="107">
        <v>53.458333333333997</v>
      </c>
      <c r="AB49" s="105" t="s">
        <v>478</v>
      </c>
    </row>
    <row r="50" spans="1:28">
      <c r="A50" s="105">
        <f t="shared" si="0"/>
        <v>49</v>
      </c>
      <c r="B50" s="107">
        <f>YEAR(Table6[[#This Row],[Date]])+IF(MONTH(Table6[[#This Row],[Date]])&gt;=4,1,0)</f>
        <v>2025</v>
      </c>
      <c r="C50" s="105">
        <f>YEAR(Table6[[#This Row],[Date]])</f>
        <v>2025</v>
      </c>
      <c r="D50" s="105" t="s">
        <v>490</v>
      </c>
      <c r="E50" s="119">
        <f>Table6[[#This Row],[Date]]-DAY(Table6[[#This Row],[Date]])+1</f>
        <v>45717</v>
      </c>
      <c r="F50" s="118">
        <v>45747</v>
      </c>
      <c r="G50" s="105" t="s">
        <v>126</v>
      </c>
      <c r="H50" s="39" t="str">
        <f>_xlfn.XLOOKUP(Table6[[#This Row],[Affected WTG]],'Basic Data'!$A:$A,'Basic Data'!$B:$B)</f>
        <v>PWEGPL</v>
      </c>
      <c r="I50" s="39" t="str">
        <f>_xlfn.XLOOKUP(Table6[[#This Row],[Affected WTG]],'Basic Data'!$A:$A,'Basic Data'!$C:$C)</f>
        <v>MSEDCL</v>
      </c>
      <c r="J50" s="345">
        <f>IFERROR(VLOOKUP(Table6[[#This Row],[Affected WTG]],'Basic Data'!$A$3:$E$56,5,0),"")</f>
        <v>2.564102564102564E-2</v>
      </c>
      <c r="K50" s="105">
        <v>203</v>
      </c>
      <c r="L50" s="39" t="str">
        <f>IFERROR(VLOOKUP(Table6[[#This Row],[Error Code]],'Basic Data'!$T:$U,2,0),"")</f>
        <v>Low Pressure On Hydraulic Group</v>
      </c>
      <c r="M50" s="346" t="s">
        <v>462</v>
      </c>
      <c r="N50" s="39" t="s">
        <v>1270</v>
      </c>
      <c r="O50" s="347">
        <v>0.84513888888888888</v>
      </c>
      <c r="P50" s="347">
        <v>0.9145833333333333</v>
      </c>
      <c r="Q50" s="347">
        <v>0.92777777777777781</v>
      </c>
      <c r="R50" s="348">
        <f>IF(Table6[[#This Row],[Work Start TimeStamp]]="","",(Table6[[#This Row],[Work Start TimeStamp]]-Table6[[#This Row],[Fault Start TimeStamp]])*24)</f>
        <v>1.6666666666666661</v>
      </c>
      <c r="S50" s="349">
        <f>(Table6[[#This Row],[Fault Clearance time]]-Table6[[#This Row],[Work Start TimeStamp]])*24</f>
        <v>0.31666666666666821</v>
      </c>
      <c r="T50" s="350">
        <f>(Table6[[#This Row],[Fault Clearance time]]-Table6[[#This Row],[Fault Start TimeStamp]])*24</f>
        <v>1.9833333333333343</v>
      </c>
      <c r="U50" s="346" t="s">
        <v>491</v>
      </c>
      <c r="V50" s="351" t="s">
        <v>463</v>
      </c>
      <c r="W50" s="338">
        <f>Table6[[#This Row],[Breakdown Time]]*(1/39)</f>
        <v>5.0854700854700875E-2</v>
      </c>
      <c r="X50" s="336" t="s">
        <v>465</v>
      </c>
      <c r="Y50" s="352" t="s">
        <v>127</v>
      </c>
      <c r="Z50" s="105">
        <v>7698</v>
      </c>
      <c r="AA50" s="107">
        <v>636.15416666666692</v>
      </c>
      <c r="AB50" s="105" t="s">
        <v>478</v>
      </c>
    </row>
    <row r="51" spans="1:28">
      <c r="A51" s="105">
        <f t="shared" si="0"/>
        <v>50</v>
      </c>
      <c r="B51" s="107">
        <f>YEAR(Table6[[#This Row],[Date]])+IF(MONTH(Table6[[#This Row],[Date]])&gt;=4,1,0)</f>
        <v>2025</v>
      </c>
      <c r="C51" s="105">
        <f>YEAR(Table6[[#This Row],[Date]])</f>
        <v>2025</v>
      </c>
      <c r="D51" s="105" t="s">
        <v>490</v>
      </c>
      <c r="E51" s="119">
        <f>Table6[[#This Row],[Date]]-DAY(Table6[[#This Row],[Date]])+1</f>
        <v>45717</v>
      </c>
      <c r="F51" s="118">
        <v>45747</v>
      </c>
      <c r="G51" s="105" t="s">
        <v>127</v>
      </c>
      <c r="H51" s="39" t="str">
        <f>_xlfn.XLOOKUP(Table6[[#This Row],[Affected WTG]],'Basic Data'!$A:$A,'Basic Data'!$B:$B)</f>
        <v>PWEGPL</v>
      </c>
      <c r="I51" s="39" t="str">
        <f>_xlfn.XLOOKUP(Table6[[#This Row],[Affected WTG]],'Basic Data'!$A:$A,'Basic Data'!$C:$C)</f>
        <v>MSEDCL</v>
      </c>
      <c r="J51" s="345">
        <f>IFERROR(VLOOKUP(Table6[[#This Row],[Affected WTG]],'Basic Data'!$A$3:$E$56,5,0),"")</f>
        <v>2.564102564102564E-2</v>
      </c>
      <c r="K51" s="105">
        <v>550</v>
      </c>
      <c r="L51" s="39" t="str">
        <f>IFERROR(VLOOKUP(Table6[[#This Row],[Error Code]],'Basic Data'!$T:$U,2,0),"")</f>
        <v>Generator Fans Thermal Relay Triggered Too Long</v>
      </c>
      <c r="M51" s="346" t="s">
        <v>462</v>
      </c>
      <c r="N51" s="39" t="s">
        <v>1270</v>
      </c>
      <c r="O51" s="347">
        <v>0.63194444444444442</v>
      </c>
      <c r="P51" s="347">
        <v>0.65972222222222221</v>
      </c>
      <c r="Q51" s="347">
        <v>0.66805555555555551</v>
      </c>
      <c r="R51" s="348">
        <f>IF(Table6[[#This Row],[Work Start TimeStamp]]="","",(Table6[[#This Row],[Work Start TimeStamp]]-Table6[[#This Row],[Fault Start TimeStamp]])*24)</f>
        <v>0.66666666666666696</v>
      </c>
      <c r="S51" s="349">
        <f>(Table6[[#This Row],[Fault Clearance time]]-Table6[[#This Row],[Work Start TimeStamp]])*24</f>
        <v>0.19999999999999929</v>
      </c>
      <c r="T51" s="350">
        <f>(Table6[[#This Row],[Fault Clearance time]]-Table6[[#This Row],[Fault Start TimeStamp]])*24</f>
        <v>0.86666666666666625</v>
      </c>
      <c r="U51" s="346" t="s">
        <v>493</v>
      </c>
      <c r="V51" s="351" t="s">
        <v>463</v>
      </c>
      <c r="W51" s="338">
        <f>Table6[[#This Row],[Breakdown Time]]*(1/39)</f>
        <v>2.2222222222222209E-2</v>
      </c>
      <c r="X51" s="336" t="s">
        <v>465</v>
      </c>
      <c r="Y51" s="352" t="s">
        <v>128</v>
      </c>
      <c r="Z51" s="105">
        <v>7408</v>
      </c>
      <c r="AA51" s="107">
        <v>267.51111111111101</v>
      </c>
      <c r="AB51" s="105" t="s">
        <v>478</v>
      </c>
    </row>
    <row r="52" spans="1:28">
      <c r="A52" s="105">
        <f t="shared" si="0"/>
        <v>51</v>
      </c>
      <c r="B52" s="107">
        <f>YEAR(Table6[[#This Row],[Date]])+IF(MONTH(Table6[[#This Row],[Date]])&gt;=4,1,0)</f>
        <v>2025</v>
      </c>
      <c r="C52" s="105">
        <f>YEAR(Table6[[#This Row],[Date]])</f>
        <v>2025</v>
      </c>
      <c r="D52" s="105" t="s">
        <v>490</v>
      </c>
      <c r="E52" s="119">
        <f>Table6[[#This Row],[Date]]-DAY(Table6[[#This Row],[Date]])+1</f>
        <v>45717</v>
      </c>
      <c r="F52" s="118">
        <v>45747</v>
      </c>
      <c r="G52" s="105" t="s">
        <v>127</v>
      </c>
      <c r="H52" s="39" t="str">
        <f>_xlfn.XLOOKUP(Table6[[#This Row],[Affected WTG]],'Basic Data'!$A:$A,'Basic Data'!$B:$B)</f>
        <v>PWEGPL</v>
      </c>
      <c r="I52" s="39" t="str">
        <f>_xlfn.XLOOKUP(Table6[[#This Row],[Affected WTG]],'Basic Data'!$A:$A,'Basic Data'!$C:$C)</f>
        <v>MSEDCL</v>
      </c>
      <c r="J52" s="345">
        <f>IFERROR(VLOOKUP(Table6[[#This Row],[Affected WTG]],'Basic Data'!$A$3:$E$56,5,0),"")</f>
        <v>2.564102564102564E-2</v>
      </c>
      <c r="K52" s="105">
        <v>426</v>
      </c>
      <c r="L52" s="39" t="str">
        <f>IFERROR(VLOOKUP(Table6[[#This Row],[Error Code]],'Basic Data'!$T:$U,2,0),"")</f>
        <v>Rotor Speed Reading Failure</v>
      </c>
      <c r="M52" s="346" t="s">
        <v>462</v>
      </c>
      <c r="N52" s="39" t="s">
        <v>1270</v>
      </c>
      <c r="O52" s="347">
        <v>0.8569444444444444</v>
      </c>
      <c r="P52" s="347">
        <v>0.8569444444444444</v>
      </c>
      <c r="Q52" s="347">
        <v>0.86458333333333337</v>
      </c>
      <c r="R52" s="348">
        <f>IF(Table6[[#This Row],[Work Start TimeStamp]]="","",(Table6[[#This Row],[Work Start TimeStamp]]-Table6[[#This Row],[Fault Start TimeStamp]])*24)</f>
        <v>0</v>
      </c>
      <c r="S52" s="349">
        <f>(Table6[[#This Row],[Fault Clearance time]]-Table6[[#This Row],[Work Start TimeStamp]])*24</f>
        <v>0.18333333333333535</v>
      </c>
      <c r="T52" s="350">
        <f>(Table6[[#This Row],[Fault Clearance time]]-Table6[[#This Row],[Fault Start TimeStamp]])*24</f>
        <v>0.18333333333333535</v>
      </c>
      <c r="U52" s="346" t="s">
        <v>480</v>
      </c>
      <c r="V52" s="351" t="s">
        <v>463</v>
      </c>
      <c r="W52" s="338">
        <f>Table6[[#This Row],[Breakdown Time]]*(1/39)</f>
        <v>4.7008547008547527E-3</v>
      </c>
      <c r="X52" s="336" t="s">
        <v>465</v>
      </c>
      <c r="Y52" s="352" t="s">
        <v>128</v>
      </c>
      <c r="Z52" s="105">
        <v>7408</v>
      </c>
      <c r="AA52" s="107">
        <v>56.588888888889514</v>
      </c>
      <c r="AB52" s="105" t="s">
        <v>478</v>
      </c>
    </row>
    <row r="53" spans="1:28">
      <c r="A53" s="105">
        <f t="shared" si="0"/>
        <v>52</v>
      </c>
      <c r="B53" s="107">
        <f>YEAR(Table6[[#This Row],[Date]])+IF(MONTH(Table6[[#This Row],[Date]])&gt;=4,1,0)</f>
        <v>2025</v>
      </c>
      <c r="C53" s="105">
        <f>YEAR(Table6[[#This Row],[Date]])</f>
        <v>2025</v>
      </c>
      <c r="D53" s="105" t="s">
        <v>490</v>
      </c>
      <c r="E53" s="119">
        <f>Table6[[#This Row],[Date]]-DAY(Table6[[#This Row],[Date]])+1</f>
        <v>45717</v>
      </c>
      <c r="F53" s="118">
        <v>45747</v>
      </c>
      <c r="G53" s="105" t="s">
        <v>128</v>
      </c>
      <c r="H53" s="39" t="str">
        <f>_xlfn.XLOOKUP(Table6[[#This Row],[Affected WTG]],'Basic Data'!$A:$A,'Basic Data'!$B:$B)</f>
        <v>PWEGPL</v>
      </c>
      <c r="I53" s="39" t="str">
        <f>_xlfn.XLOOKUP(Table6[[#This Row],[Affected WTG]],'Basic Data'!$A:$A,'Basic Data'!$C:$C)</f>
        <v>MSEDCL</v>
      </c>
      <c r="J53" s="345">
        <f>IFERROR(VLOOKUP(Table6[[#This Row],[Affected WTG]],'Basic Data'!$A$3:$E$56,5,0),"")</f>
        <v>2.564102564102564E-2</v>
      </c>
      <c r="K53" s="105">
        <v>205</v>
      </c>
      <c r="L53" s="39" t="str">
        <f>IFERROR(VLOOKUP(Table6[[#This Row],[Error Code]],'Basic Data'!$T:$U,2,0),"")</f>
        <v>Low Level Hydraulic Group Refrigeration Oil</v>
      </c>
      <c r="M53" s="346" t="s">
        <v>462</v>
      </c>
      <c r="N53" s="39" t="s">
        <v>1270</v>
      </c>
      <c r="O53" s="347">
        <v>0.35416666666666669</v>
      </c>
      <c r="P53" s="347">
        <v>0.46597222222222223</v>
      </c>
      <c r="Q53" s="347">
        <v>0.54166666666666663</v>
      </c>
      <c r="R53" s="348">
        <f>IF(Table6[[#This Row],[Work Start TimeStamp]]="","",(Table6[[#This Row],[Work Start TimeStamp]]-Table6[[#This Row],[Fault Start TimeStamp]])*24)</f>
        <v>2.6833333333333331</v>
      </c>
      <c r="S53" s="349">
        <f>(Table6[[#This Row],[Fault Clearance time]]-Table6[[#This Row],[Work Start TimeStamp]])*24</f>
        <v>1.8166666666666655</v>
      </c>
      <c r="T53" s="350">
        <f>(Table6[[#This Row],[Fault Clearance time]]-Table6[[#This Row],[Fault Start TimeStamp]])*24</f>
        <v>4.4999999999999982</v>
      </c>
      <c r="U53" s="346" t="s">
        <v>503</v>
      </c>
      <c r="V53" s="351" t="s">
        <v>463</v>
      </c>
      <c r="W53" s="338">
        <f>Table6[[#This Row],[Breakdown Time]]*(1/39)</f>
        <v>0.11538461538461534</v>
      </c>
      <c r="X53" s="336" t="s">
        <v>465</v>
      </c>
      <c r="Y53" s="352" t="s">
        <v>129</v>
      </c>
      <c r="Z53" s="105">
        <v>6173</v>
      </c>
      <c r="AA53" s="107">
        <v>1157.4374999999995</v>
      </c>
      <c r="AB53" s="105" t="s">
        <v>478</v>
      </c>
    </row>
    <row r="54" spans="1:28">
      <c r="A54" s="105">
        <f t="shared" si="0"/>
        <v>53</v>
      </c>
      <c r="B54" s="107">
        <f>YEAR(Table6[[#This Row],[Date]])+IF(MONTH(Table6[[#This Row],[Date]])&gt;=4,1,0)</f>
        <v>2025</v>
      </c>
      <c r="C54" s="105">
        <f>YEAR(Table6[[#This Row],[Date]])</f>
        <v>2025</v>
      </c>
      <c r="D54" s="105" t="s">
        <v>490</v>
      </c>
      <c r="E54" s="119">
        <f>Table6[[#This Row],[Date]]-DAY(Table6[[#This Row],[Date]])+1</f>
        <v>45717</v>
      </c>
      <c r="F54" s="118">
        <v>45747</v>
      </c>
      <c r="G54" s="105" t="s">
        <v>128</v>
      </c>
      <c r="H54" s="39" t="str">
        <f>_xlfn.XLOOKUP(Table6[[#This Row],[Affected WTG]],'Basic Data'!$A:$A,'Basic Data'!$B:$B)</f>
        <v>PWEGPL</v>
      </c>
      <c r="I54" s="39" t="str">
        <f>_xlfn.XLOOKUP(Table6[[#This Row],[Affected WTG]],'Basic Data'!$A:$A,'Basic Data'!$C:$C)</f>
        <v>MSEDCL</v>
      </c>
      <c r="J54" s="345">
        <f>IFERROR(VLOOKUP(Table6[[#This Row],[Affected WTG]],'Basic Data'!$A$3:$E$56,5,0),"")</f>
        <v>2.564102564102564E-2</v>
      </c>
      <c r="K54" s="105">
        <v>203</v>
      </c>
      <c r="L54" s="39" t="str">
        <f>IFERROR(VLOOKUP(Table6[[#This Row],[Error Code]],'Basic Data'!$T:$U,2,0),"")</f>
        <v>Low Pressure On Hydraulic Group</v>
      </c>
      <c r="M54" s="346" t="s">
        <v>462</v>
      </c>
      <c r="N54" s="39" t="s">
        <v>1270</v>
      </c>
      <c r="O54" s="347">
        <v>0.68541666666666667</v>
      </c>
      <c r="P54" s="347">
        <v>0.68541666666666667</v>
      </c>
      <c r="Q54" s="347">
        <v>0.69236111111111109</v>
      </c>
      <c r="R54" s="348">
        <f>IF(Table6[[#This Row],[Work Start TimeStamp]]="","",(Table6[[#This Row],[Work Start TimeStamp]]-Table6[[#This Row],[Fault Start TimeStamp]])*24)</f>
        <v>0</v>
      </c>
      <c r="S54" s="349">
        <f>(Table6[[#This Row],[Fault Clearance time]]-Table6[[#This Row],[Work Start TimeStamp]])*24</f>
        <v>0.16666666666666607</v>
      </c>
      <c r="T54" s="350">
        <f>(Table6[[#This Row],[Fault Clearance time]]-Table6[[#This Row],[Fault Start TimeStamp]])*24</f>
        <v>0.16666666666666607</v>
      </c>
      <c r="U54" s="346" t="s">
        <v>480</v>
      </c>
      <c r="V54" s="351" t="s">
        <v>463</v>
      </c>
      <c r="W54" s="338">
        <f>Table6[[#This Row],[Breakdown Time]]*(1/39)</f>
        <v>4.2735042735042583E-3</v>
      </c>
      <c r="X54" s="336" t="s">
        <v>465</v>
      </c>
      <c r="Y54" s="352" t="s">
        <v>129</v>
      </c>
      <c r="Z54" s="105">
        <v>6173</v>
      </c>
      <c r="AA54" s="107">
        <v>42.868055555555401</v>
      </c>
      <c r="AB54" s="105" t="s">
        <v>478</v>
      </c>
    </row>
    <row r="55" spans="1:28">
      <c r="A55" s="105">
        <f t="shared" si="0"/>
        <v>54</v>
      </c>
      <c r="B55" s="107">
        <f>YEAR(Table6[[#This Row],[Date]])+IF(MONTH(Table6[[#This Row],[Date]])&gt;=4,1,0)</f>
        <v>2025</v>
      </c>
      <c r="C55" s="105">
        <f>YEAR(Table6[[#This Row],[Date]])</f>
        <v>2025</v>
      </c>
      <c r="D55" s="105" t="s">
        <v>490</v>
      </c>
      <c r="E55" s="119">
        <f>Table6[[#This Row],[Date]]-DAY(Table6[[#This Row],[Date]])+1</f>
        <v>45717</v>
      </c>
      <c r="F55" s="118">
        <v>45747</v>
      </c>
      <c r="G55" s="105" t="s">
        <v>129</v>
      </c>
      <c r="H55" s="39" t="str">
        <f>_xlfn.XLOOKUP(Table6[[#This Row],[Affected WTG]],'Basic Data'!$A:$A,'Basic Data'!$B:$B)</f>
        <v>PWEGPL</v>
      </c>
      <c r="I55" s="39" t="str">
        <f>_xlfn.XLOOKUP(Table6[[#This Row],[Affected WTG]],'Basic Data'!$A:$A,'Basic Data'!$C:$C)</f>
        <v>MSEDCL</v>
      </c>
      <c r="J55" s="345">
        <f>IFERROR(VLOOKUP(Table6[[#This Row],[Affected WTG]],'Basic Data'!$A$3:$E$56,5,0),"")</f>
        <v>2.564102564102564E-2</v>
      </c>
      <c r="K55" s="105">
        <v>722</v>
      </c>
      <c r="L55" s="39" t="str">
        <f>IFERROR(VLOOKUP(Table6[[#This Row],[Error Code]],'Basic Data'!$T:$U,2,0),"")</f>
        <v>Wind Vane Failure Alarm</v>
      </c>
      <c r="M55" s="346" t="s">
        <v>462</v>
      </c>
      <c r="N55" s="39" t="s">
        <v>1270</v>
      </c>
      <c r="O55" s="347">
        <v>0.68333333333333335</v>
      </c>
      <c r="P55" s="347">
        <v>0.74722222222222223</v>
      </c>
      <c r="Q55" s="347">
        <v>0.74722222222222223</v>
      </c>
      <c r="R55" s="348">
        <f>IF(Table6[[#This Row],[Work Start TimeStamp]]="","",(Table6[[#This Row],[Work Start TimeStamp]]-Table6[[#This Row],[Fault Start TimeStamp]])*24)</f>
        <v>1.5333333333333332</v>
      </c>
      <c r="S55" s="349">
        <f>(Table6[[#This Row],[Fault Clearance time]]-Table6[[#This Row],[Work Start TimeStamp]])*24</f>
        <v>0</v>
      </c>
      <c r="T55" s="350">
        <f>(Table6[[#This Row],[Fault Clearance time]]-Table6[[#This Row],[Fault Start TimeStamp]])*24</f>
        <v>1.5333333333333332</v>
      </c>
      <c r="U55" s="346" t="s">
        <v>493</v>
      </c>
      <c r="V55" s="351" t="s">
        <v>463</v>
      </c>
      <c r="W55" s="338">
        <f>Table6[[#This Row],[Breakdown Time]]*(1/39)</f>
        <v>3.9316239316239308E-2</v>
      </c>
      <c r="X55" s="336" t="s">
        <v>465</v>
      </c>
      <c r="Y55" s="352" t="s">
        <v>128</v>
      </c>
      <c r="Z55" s="105">
        <v>7408</v>
      </c>
      <c r="AA55" s="107">
        <v>473.28888888888889</v>
      </c>
      <c r="AB55" s="105" t="s">
        <v>478</v>
      </c>
    </row>
    <row r="56" spans="1:28">
      <c r="A56" s="105">
        <f t="shared" si="0"/>
        <v>55</v>
      </c>
      <c r="B56" s="107">
        <f>YEAR(Table6[[#This Row],[Date]])+IF(MONTH(Table6[[#This Row],[Date]])&gt;=4,1,0)</f>
        <v>2025</v>
      </c>
      <c r="C56" s="105">
        <f>YEAR(Table6[[#This Row],[Date]])</f>
        <v>2025</v>
      </c>
      <c r="D56" s="105" t="s">
        <v>490</v>
      </c>
      <c r="E56" s="119">
        <f>Table6[[#This Row],[Date]]-DAY(Table6[[#This Row],[Date]])+1</f>
        <v>45717</v>
      </c>
      <c r="F56" s="118">
        <v>45747</v>
      </c>
      <c r="G56" s="105" t="s">
        <v>130</v>
      </c>
      <c r="H56" s="39" t="str">
        <f>_xlfn.XLOOKUP(Table6[[#This Row],[Affected WTG]],'Basic Data'!$A:$A,'Basic Data'!$B:$B)</f>
        <v>PWEGPL</v>
      </c>
      <c r="I56" s="39" t="str">
        <f>_xlfn.XLOOKUP(Table6[[#This Row],[Affected WTG]],'Basic Data'!$A:$A,'Basic Data'!$C:$C)</f>
        <v>MSEDCL</v>
      </c>
      <c r="J56" s="345">
        <f>IFERROR(VLOOKUP(Table6[[#This Row],[Affected WTG]],'Basic Data'!$A$3:$E$56,5,0),"")</f>
        <v>2.564102564102564E-2</v>
      </c>
      <c r="K56" s="105">
        <v>812</v>
      </c>
      <c r="L56" s="39" t="str">
        <f>IFERROR(VLOOKUP(Table6[[#This Row],[Error Code]],'Basic Data'!$T:$U,2,0),"")</f>
        <v>Blade Position Meas. Error</v>
      </c>
      <c r="M56" s="346" t="s">
        <v>462</v>
      </c>
      <c r="N56" s="39" t="s">
        <v>1270</v>
      </c>
      <c r="O56" s="347">
        <v>0.68819444444444444</v>
      </c>
      <c r="P56" s="347">
        <v>0.68819444444444444</v>
      </c>
      <c r="Q56" s="347">
        <v>0.69166666666666665</v>
      </c>
      <c r="R56" s="348">
        <f>IF(Table6[[#This Row],[Work Start TimeStamp]]="","",(Table6[[#This Row],[Work Start TimeStamp]]-Table6[[#This Row],[Fault Start TimeStamp]])*24)</f>
        <v>0</v>
      </c>
      <c r="S56" s="349">
        <f>(Table6[[#This Row],[Fault Clearance time]]-Table6[[#This Row],[Work Start TimeStamp]])*24</f>
        <v>8.3333333333333037E-2</v>
      </c>
      <c r="T56" s="350">
        <f>(Table6[[#This Row],[Fault Clearance time]]-Table6[[#This Row],[Fault Start TimeStamp]])*24</f>
        <v>8.3333333333333037E-2</v>
      </c>
      <c r="U56" s="346" t="s">
        <v>480</v>
      </c>
      <c r="V56" s="351" t="s">
        <v>463</v>
      </c>
      <c r="W56" s="338">
        <f>Table6[[#This Row],[Breakdown Time]]*(1/39)</f>
        <v>2.1367521367521292E-3</v>
      </c>
      <c r="X56" s="336" t="s">
        <v>465</v>
      </c>
      <c r="Y56" s="352" t="s">
        <v>131</v>
      </c>
      <c r="Z56" s="105">
        <v>8016</v>
      </c>
      <c r="AA56" s="107">
        <v>27.833333333333236</v>
      </c>
      <c r="AB56" s="105" t="s">
        <v>478</v>
      </c>
    </row>
    <row r="57" spans="1:28">
      <c r="A57" s="105">
        <f t="shared" si="0"/>
        <v>56</v>
      </c>
      <c r="B57" s="107">
        <f>YEAR(Table6[[#This Row],[Date]])+IF(MONTH(Table6[[#This Row],[Date]])&gt;=4,1,0)</f>
        <v>2025</v>
      </c>
      <c r="C57" s="105">
        <f>YEAR(Table6[[#This Row],[Date]])</f>
        <v>2025</v>
      </c>
      <c r="D57" s="105" t="s">
        <v>490</v>
      </c>
      <c r="E57" s="119">
        <f>Table6[[#This Row],[Date]]-DAY(Table6[[#This Row],[Date]])+1</f>
        <v>45717</v>
      </c>
      <c r="F57" s="118">
        <v>45747</v>
      </c>
      <c r="G57" s="105" t="s">
        <v>130</v>
      </c>
      <c r="H57" s="39" t="str">
        <f>_xlfn.XLOOKUP(Table6[[#This Row],[Affected WTG]],'Basic Data'!$A:$A,'Basic Data'!$B:$B)</f>
        <v>PWEGPL</v>
      </c>
      <c r="I57" s="39" t="str">
        <f>_xlfn.XLOOKUP(Table6[[#This Row],[Affected WTG]],'Basic Data'!$A:$A,'Basic Data'!$C:$C)</f>
        <v>MSEDCL</v>
      </c>
      <c r="J57" s="345">
        <f>IFERROR(VLOOKUP(Table6[[#This Row],[Affected WTG]],'Basic Data'!$A$3:$E$56,5,0),"")</f>
        <v>2.564102564102564E-2</v>
      </c>
      <c r="K57" s="105">
        <v>804</v>
      </c>
      <c r="L57" s="39" t="str">
        <f>IFERROR(VLOOKUP(Table6[[#This Row],[Error Code]],'Basic Data'!$T:$U,2,0),"")</f>
        <v>Difference Between 2 Blades Too High</v>
      </c>
      <c r="M57" s="346" t="s">
        <v>462</v>
      </c>
      <c r="N57" s="39" t="s">
        <v>1270</v>
      </c>
      <c r="O57" s="347">
        <v>0.74652777777777779</v>
      </c>
      <c r="P57" s="347">
        <v>0.74652777777777779</v>
      </c>
      <c r="Q57" s="347">
        <v>0.75</v>
      </c>
      <c r="R57" s="348">
        <f>IF(Table6[[#This Row],[Work Start TimeStamp]]="","",(Table6[[#This Row],[Work Start TimeStamp]]-Table6[[#This Row],[Fault Start TimeStamp]])*24)</f>
        <v>0</v>
      </c>
      <c r="S57" s="349">
        <f>(Table6[[#This Row],[Fault Clearance time]]-Table6[[#This Row],[Work Start TimeStamp]])*24</f>
        <v>8.3333333333333037E-2</v>
      </c>
      <c r="T57" s="350">
        <f>(Table6[[#This Row],[Fault Clearance time]]-Table6[[#This Row],[Fault Start TimeStamp]])*24</f>
        <v>8.3333333333333037E-2</v>
      </c>
      <c r="U57" s="346" t="s">
        <v>480</v>
      </c>
      <c r="V57" s="351" t="s">
        <v>463</v>
      </c>
      <c r="W57" s="338">
        <f>Table6[[#This Row],[Breakdown Time]]*(1/39)</f>
        <v>2.1367521367521292E-3</v>
      </c>
      <c r="X57" s="336" t="s">
        <v>465</v>
      </c>
      <c r="Y57" s="352" t="s">
        <v>131</v>
      </c>
      <c r="Z57" s="105">
        <v>8016</v>
      </c>
      <c r="AA57" s="107">
        <v>27.833333333333236</v>
      </c>
      <c r="AB57" s="105" t="s">
        <v>478</v>
      </c>
    </row>
    <row r="58" spans="1:28">
      <c r="A58" s="105">
        <f t="shared" si="0"/>
        <v>57</v>
      </c>
      <c r="B58" s="107">
        <f>YEAR(Table6[[#This Row],[Date]])+IF(MONTH(Table6[[#This Row],[Date]])&gt;=4,1,0)</f>
        <v>2025</v>
      </c>
      <c r="C58" s="105">
        <f>YEAR(Table6[[#This Row],[Date]])</f>
        <v>2025</v>
      </c>
      <c r="D58" s="105" t="s">
        <v>490</v>
      </c>
      <c r="E58" s="119">
        <f>Table6[[#This Row],[Date]]-DAY(Table6[[#This Row],[Date]])+1</f>
        <v>45717</v>
      </c>
      <c r="F58" s="118">
        <v>45747</v>
      </c>
      <c r="G58" s="105" t="s">
        <v>130</v>
      </c>
      <c r="H58" s="39" t="str">
        <f>_xlfn.XLOOKUP(Table6[[#This Row],[Affected WTG]],'Basic Data'!$A:$A,'Basic Data'!$B:$B)</f>
        <v>PWEGPL</v>
      </c>
      <c r="I58" s="39" t="str">
        <f>_xlfn.XLOOKUP(Table6[[#This Row],[Affected WTG]],'Basic Data'!$A:$A,'Basic Data'!$C:$C)</f>
        <v>MSEDCL</v>
      </c>
      <c r="J58" s="345">
        <f>IFERROR(VLOOKUP(Table6[[#This Row],[Affected WTG]],'Basic Data'!$A$3:$E$56,5,0),"")</f>
        <v>2.564102564102564E-2</v>
      </c>
      <c r="K58" s="105">
        <v>2118</v>
      </c>
      <c r="L58" s="39" t="str">
        <f>IFERROR(VLOOKUP(Table6[[#This Row],[Error Code]],'Basic Data'!$T:$U,2,0),"")</f>
        <v>Bus Error - Interbus Failure</v>
      </c>
      <c r="M58" s="346" t="s">
        <v>462</v>
      </c>
      <c r="N58" s="39" t="s">
        <v>1270</v>
      </c>
      <c r="O58" s="347">
        <v>0.7583333333333333</v>
      </c>
      <c r="P58" s="347">
        <v>0.76875000000000004</v>
      </c>
      <c r="Q58" s="347">
        <v>0.78125</v>
      </c>
      <c r="R58" s="348">
        <f>IF(Table6[[#This Row],[Work Start TimeStamp]]="","",(Table6[[#This Row],[Work Start TimeStamp]]-Table6[[#This Row],[Fault Start TimeStamp]])*24)</f>
        <v>0.25000000000000178</v>
      </c>
      <c r="S58" s="349">
        <f>(Table6[[#This Row],[Fault Clearance time]]-Table6[[#This Row],[Work Start TimeStamp]])*24</f>
        <v>0.29999999999999893</v>
      </c>
      <c r="T58" s="350">
        <f>(Table6[[#This Row],[Fault Clearance time]]-Table6[[#This Row],[Fault Start TimeStamp]])*24</f>
        <v>0.55000000000000071</v>
      </c>
      <c r="U58" s="346" t="s">
        <v>480</v>
      </c>
      <c r="V58" s="351" t="s">
        <v>463</v>
      </c>
      <c r="W58" s="338">
        <f>Table6[[#This Row],[Breakdown Time]]*(1/39)</f>
        <v>1.410256410256412E-2</v>
      </c>
      <c r="X58" s="336" t="s">
        <v>465</v>
      </c>
      <c r="Y58" s="352" t="s">
        <v>131</v>
      </c>
      <c r="Z58" s="105">
        <v>8016</v>
      </c>
      <c r="AA58" s="107">
        <v>183.70000000000024</v>
      </c>
      <c r="AB58" s="105" t="s">
        <v>478</v>
      </c>
    </row>
    <row r="59" spans="1:28">
      <c r="A59" s="105">
        <f t="shared" si="0"/>
        <v>58</v>
      </c>
      <c r="B59" s="107">
        <f>YEAR(Table6[[#This Row],[Date]])+IF(MONTH(Table6[[#This Row],[Date]])&gt;=4,1,0)</f>
        <v>2025</v>
      </c>
      <c r="C59" s="105">
        <f>YEAR(Table6[[#This Row],[Date]])</f>
        <v>2025</v>
      </c>
      <c r="D59" s="105" t="s">
        <v>490</v>
      </c>
      <c r="E59" s="119">
        <f>Table6[[#This Row],[Date]]-DAY(Table6[[#This Row],[Date]])+1</f>
        <v>45717</v>
      </c>
      <c r="F59" s="118">
        <v>45747</v>
      </c>
      <c r="G59" s="105" t="s">
        <v>130</v>
      </c>
      <c r="H59" s="39" t="str">
        <f>_xlfn.XLOOKUP(Table6[[#This Row],[Affected WTG]],'Basic Data'!$A:$A,'Basic Data'!$B:$B)</f>
        <v>PWEGPL</v>
      </c>
      <c r="I59" s="39" t="str">
        <f>_xlfn.XLOOKUP(Table6[[#This Row],[Affected WTG]],'Basic Data'!$A:$A,'Basic Data'!$C:$C)</f>
        <v>MSEDCL</v>
      </c>
      <c r="J59" s="345">
        <f>IFERROR(VLOOKUP(Table6[[#This Row],[Affected WTG]],'Basic Data'!$A$3:$E$56,5,0),"")</f>
        <v>2.564102564102564E-2</v>
      </c>
      <c r="K59" s="105">
        <v>804</v>
      </c>
      <c r="L59" s="39" t="str">
        <f>IFERROR(VLOOKUP(Table6[[#This Row],[Error Code]],'Basic Data'!$T:$U,2,0),"")</f>
        <v>Difference Between 2 Blades Too High</v>
      </c>
      <c r="M59" s="346" t="s">
        <v>462</v>
      </c>
      <c r="N59" s="39" t="s">
        <v>1270</v>
      </c>
      <c r="O59" s="347">
        <v>0.8618055555555556</v>
      </c>
      <c r="P59" s="347">
        <v>0.8618055555555556</v>
      </c>
      <c r="Q59" s="347">
        <v>0.86527777777777781</v>
      </c>
      <c r="R59" s="348">
        <f>IF(Table6[[#This Row],[Work Start TimeStamp]]="","",(Table6[[#This Row],[Work Start TimeStamp]]-Table6[[#This Row],[Fault Start TimeStamp]])*24)</f>
        <v>0</v>
      </c>
      <c r="S59" s="349">
        <f>(Table6[[#This Row],[Fault Clearance time]]-Table6[[#This Row],[Work Start TimeStamp]])*24</f>
        <v>8.3333333333333037E-2</v>
      </c>
      <c r="T59" s="350">
        <f>(Table6[[#This Row],[Fault Clearance time]]-Table6[[#This Row],[Fault Start TimeStamp]])*24</f>
        <v>8.3333333333333037E-2</v>
      </c>
      <c r="U59" s="346" t="s">
        <v>480</v>
      </c>
      <c r="V59" s="351" t="s">
        <v>463</v>
      </c>
      <c r="W59" s="338">
        <f>Table6[[#This Row],[Breakdown Time]]*(1/39)</f>
        <v>2.1367521367521292E-3</v>
      </c>
      <c r="X59" s="336" t="s">
        <v>465</v>
      </c>
      <c r="Y59" s="352" t="s">
        <v>131</v>
      </c>
      <c r="Z59" s="105">
        <v>8016</v>
      </c>
      <c r="AA59" s="107">
        <v>27.833333333333236</v>
      </c>
      <c r="AB59" s="105" t="s">
        <v>478</v>
      </c>
    </row>
    <row r="60" spans="1:28">
      <c r="A60" s="105">
        <f t="shared" si="0"/>
        <v>59</v>
      </c>
      <c r="B60" s="107">
        <f>YEAR(Table6[[#This Row],[Date]])+IF(MONTH(Table6[[#This Row],[Date]])&gt;=4,1,0)</f>
        <v>2025</v>
      </c>
      <c r="C60" s="105">
        <f>YEAR(Table6[[#This Row],[Date]])</f>
        <v>2025</v>
      </c>
      <c r="D60" s="105" t="s">
        <v>490</v>
      </c>
      <c r="E60" s="119">
        <f>Table6[[#This Row],[Date]]-DAY(Table6[[#This Row],[Date]])+1</f>
        <v>45717</v>
      </c>
      <c r="F60" s="118">
        <v>45747</v>
      </c>
      <c r="G60" s="105" t="s">
        <v>130</v>
      </c>
      <c r="H60" s="39" t="str">
        <f>_xlfn.XLOOKUP(Table6[[#This Row],[Affected WTG]],'Basic Data'!$A:$A,'Basic Data'!$B:$B)</f>
        <v>PWEGPL</v>
      </c>
      <c r="I60" s="39" t="str">
        <f>_xlfn.XLOOKUP(Table6[[#This Row],[Affected WTG]],'Basic Data'!$A:$A,'Basic Data'!$C:$C)</f>
        <v>MSEDCL</v>
      </c>
      <c r="J60" s="345">
        <f>IFERROR(VLOOKUP(Table6[[#This Row],[Affected WTG]],'Basic Data'!$A$3:$E$56,5,0),"")</f>
        <v>2.564102564102564E-2</v>
      </c>
      <c r="K60" s="105">
        <v>812</v>
      </c>
      <c r="L60" s="39" t="str">
        <f>IFERROR(VLOOKUP(Table6[[#This Row],[Error Code]],'Basic Data'!$T:$U,2,0),"")</f>
        <v>Blade Position Meas. Error</v>
      </c>
      <c r="M60" s="346" t="s">
        <v>462</v>
      </c>
      <c r="N60" s="39" t="s">
        <v>1270</v>
      </c>
      <c r="O60" s="347">
        <v>0.88958333333333328</v>
      </c>
      <c r="P60" s="347">
        <v>0.89444444444444449</v>
      </c>
      <c r="Q60" s="347">
        <v>0.8979166666666667</v>
      </c>
      <c r="R60" s="348">
        <f>IF(Table6[[#This Row],[Work Start TimeStamp]]="","",(Table6[[#This Row],[Work Start TimeStamp]]-Table6[[#This Row],[Fault Start TimeStamp]])*24)</f>
        <v>0.11666666666666892</v>
      </c>
      <c r="S60" s="349">
        <f>(Table6[[#This Row],[Fault Clearance time]]-Table6[[#This Row],[Work Start TimeStamp]])*24</f>
        <v>8.3333333333333037E-2</v>
      </c>
      <c r="T60" s="350">
        <f>(Table6[[#This Row],[Fault Clearance time]]-Table6[[#This Row],[Fault Start TimeStamp]])*24</f>
        <v>0.20000000000000195</v>
      </c>
      <c r="U60" s="346" t="s">
        <v>480</v>
      </c>
      <c r="V60" s="351" t="s">
        <v>463</v>
      </c>
      <c r="W60" s="338">
        <f>Table6[[#This Row],[Breakdown Time]]*(1/39)</f>
        <v>5.1282051282051785E-3</v>
      </c>
      <c r="X60" s="336" t="s">
        <v>465</v>
      </c>
      <c r="Y60" s="352" t="s">
        <v>131</v>
      </c>
      <c r="Z60" s="105">
        <v>8016</v>
      </c>
      <c r="AA60" s="107">
        <v>66.800000000000651</v>
      </c>
      <c r="AB60" s="105" t="s">
        <v>478</v>
      </c>
    </row>
    <row r="61" spans="1:28">
      <c r="A61" s="105">
        <f t="shared" si="0"/>
        <v>60</v>
      </c>
      <c r="B61" s="107">
        <f>YEAR(Table6[[#This Row],[Date]])+IF(MONTH(Table6[[#This Row],[Date]])&gt;=4,1,0)</f>
        <v>2025</v>
      </c>
      <c r="C61" s="105">
        <f>YEAR(Table6[[#This Row],[Date]])</f>
        <v>2025</v>
      </c>
      <c r="D61" s="105" t="s">
        <v>490</v>
      </c>
      <c r="E61" s="119">
        <f>Table6[[#This Row],[Date]]-DAY(Table6[[#This Row],[Date]])+1</f>
        <v>45717</v>
      </c>
      <c r="F61" s="118">
        <v>45747</v>
      </c>
      <c r="G61" s="105" t="s">
        <v>131</v>
      </c>
      <c r="H61" s="39" t="str">
        <f>_xlfn.XLOOKUP(Table6[[#This Row],[Affected WTG]],'Basic Data'!$A:$A,'Basic Data'!$B:$B)</f>
        <v>PWEGPL</v>
      </c>
      <c r="I61" s="39" t="str">
        <f>_xlfn.XLOOKUP(Table6[[#This Row],[Affected WTG]],'Basic Data'!$A:$A,'Basic Data'!$C:$C)</f>
        <v>MSEDCL</v>
      </c>
      <c r="J61" s="345">
        <f>IFERROR(VLOOKUP(Table6[[#This Row],[Affected WTG]],'Basic Data'!$A$3:$E$56,5,0),"")</f>
        <v>2.564102564102564E-2</v>
      </c>
      <c r="K61" s="105">
        <v>5201</v>
      </c>
      <c r="L61" s="39" t="str">
        <f>IFERROR(VLOOKUP(Table6[[#This Row],[Error Code]],'Basic Data'!$T:$U,2,0),"")</f>
        <v>Magnetothermic Trigger Of The Stator Protection</v>
      </c>
      <c r="M61" s="346" t="s">
        <v>462</v>
      </c>
      <c r="N61" s="39" t="s">
        <v>1270</v>
      </c>
      <c r="O61" s="347">
        <v>0.76527777777777772</v>
      </c>
      <c r="P61" s="347">
        <v>0.76527777777777772</v>
      </c>
      <c r="Q61" s="347">
        <v>0.77708333333333335</v>
      </c>
      <c r="R61" s="348">
        <f>IF(Table6[[#This Row],[Work Start TimeStamp]]="","",(Table6[[#This Row],[Work Start TimeStamp]]-Table6[[#This Row],[Fault Start TimeStamp]])*24)</f>
        <v>0</v>
      </c>
      <c r="S61" s="349">
        <f>(Table6[[#This Row],[Fault Clearance time]]-Table6[[#This Row],[Work Start TimeStamp]])*24</f>
        <v>0.28333333333333499</v>
      </c>
      <c r="T61" s="350">
        <f>(Table6[[#This Row],[Fault Clearance time]]-Table6[[#This Row],[Fault Start TimeStamp]])*24</f>
        <v>0.28333333333333499</v>
      </c>
      <c r="U61" s="346" t="s">
        <v>491</v>
      </c>
      <c r="V61" s="351" t="s">
        <v>463</v>
      </c>
      <c r="W61" s="338">
        <f>Table6[[#This Row],[Breakdown Time]]*(1/39)</f>
        <v>7.2649572649573068E-3</v>
      </c>
      <c r="X61" s="336" t="s">
        <v>465</v>
      </c>
      <c r="Y61" s="352" t="s">
        <v>130</v>
      </c>
      <c r="Z61" s="105">
        <v>7064</v>
      </c>
      <c r="AA61" s="107">
        <v>83.394444444444929</v>
      </c>
      <c r="AB61" s="105" t="s">
        <v>478</v>
      </c>
    </row>
    <row r="62" spans="1:28">
      <c r="A62" s="105">
        <f t="shared" si="0"/>
        <v>61</v>
      </c>
      <c r="B62" s="107">
        <f>YEAR(Table6[[#This Row],[Date]])+IF(MONTH(Table6[[#This Row],[Date]])&gt;=4,1,0)</f>
        <v>2025</v>
      </c>
      <c r="C62" s="105">
        <f>YEAR(Table6[[#This Row],[Date]])</f>
        <v>2025</v>
      </c>
      <c r="D62" s="105" t="s">
        <v>490</v>
      </c>
      <c r="E62" s="119">
        <f>Table6[[#This Row],[Date]]-DAY(Table6[[#This Row],[Date]])+1</f>
        <v>45717</v>
      </c>
      <c r="F62" s="118">
        <v>45747</v>
      </c>
      <c r="G62" s="105" t="s">
        <v>132</v>
      </c>
      <c r="H62" s="39" t="str">
        <f>_xlfn.XLOOKUP(Table6[[#This Row],[Affected WTG]],'Basic Data'!$A:$A,'Basic Data'!$B:$B)</f>
        <v>PWEGPL</v>
      </c>
      <c r="I62" s="39" t="str">
        <f>_xlfn.XLOOKUP(Table6[[#This Row],[Affected WTG]],'Basic Data'!$A:$A,'Basic Data'!$C:$C)</f>
        <v>MSEDCL</v>
      </c>
      <c r="J62" s="345">
        <f>IFERROR(VLOOKUP(Table6[[#This Row],[Affected WTG]],'Basic Data'!$A$3:$E$56,5,0),"")</f>
        <v>2.564102564102564E-2</v>
      </c>
      <c r="K62" s="105">
        <v>812</v>
      </c>
      <c r="L62" s="39" t="str">
        <f>IFERROR(VLOOKUP(Table6[[#This Row],[Error Code]],'Basic Data'!$T:$U,2,0),"")</f>
        <v>Blade Position Meas. Error</v>
      </c>
      <c r="M62" s="346" t="s">
        <v>462</v>
      </c>
      <c r="N62" s="39" t="s">
        <v>1270</v>
      </c>
      <c r="O62" s="347">
        <v>0.68819444444444444</v>
      </c>
      <c r="P62" s="347">
        <v>0.68819444444444444</v>
      </c>
      <c r="Q62" s="347">
        <v>0.69930555555555551</v>
      </c>
      <c r="R62" s="348">
        <f>IF(Table6[[#This Row],[Work Start TimeStamp]]="","",(Table6[[#This Row],[Work Start TimeStamp]]-Table6[[#This Row],[Fault Start TimeStamp]])*24)</f>
        <v>0</v>
      </c>
      <c r="S62" s="349">
        <f>(Table6[[#This Row],[Fault Clearance time]]-Table6[[#This Row],[Work Start TimeStamp]])*24</f>
        <v>0.26666666666666572</v>
      </c>
      <c r="T62" s="350">
        <f>(Table6[[#This Row],[Fault Clearance time]]-Table6[[#This Row],[Fault Start TimeStamp]])*24</f>
        <v>0.26666666666666572</v>
      </c>
      <c r="U62" s="346" t="s">
        <v>480</v>
      </c>
      <c r="V62" s="351" t="s">
        <v>463</v>
      </c>
      <c r="W62" s="338">
        <f>Table6[[#This Row],[Breakdown Time]]*(1/39)</f>
        <v>6.8376068376068133E-3</v>
      </c>
      <c r="X62" s="336" t="s">
        <v>465</v>
      </c>
      <c r="Y62" s="352" t="s">
        <v>133</v>
      </c>
      <c r="Z62" s="105">
        <v>8564</v>
      </c>
      <c r="AA62" s="107">
        <v>95.15555555555521</v>
      </c>
      <c r="AB62" s="105" t="s">
        <v>478</v>
      </c>
    </row>
    <row r="63" spans="1:28">
      <c r="A63" s="105">
        <f t="shared" si="0"/>
        <v>62</v>
      </c>
      <c r="B63" s="107">
        <f>YEAR(Table6[[#This Row],[Date]])+IF(MONTH(Table6[[#This Row],[Date]])&gt;=4,1,0)</f>
        <v>2025</v>
      </c>
      <c r="C63" s="105">
        <f>YEAR(Table6[[#This Row],[Date]])</f>
        <v>2025</v>
      </c>
      <c r="D63" s="105" t="s">
        <v>490</v>
      </c>
      <c r="E63" s="119">
        <f>Table6[[#This Row],[Date]]-DAY(Table6[[#This Row],[Date]])+1</f>
        <v>45717</v>
      </c>
      <c r="F63" s="118">
        <v>45747</v>
      </c>
      <c r="G63" s="105" t="s">
        <v>132</v>
      </c>
      <c r="H63" s="39" t="str">
        <f>_xlfn.XLOOKUP(Table6[[#This Row],[Affected WTG]],'Basic Data'!$A:$A,'Basic Data'!$B:$B)</f>
        <v>PWEGPL</v>
      </c>
      <c r="I63" s="39" t="str">
        <f>_xlfn.XLOOKUP(Table6[[#This Row],[Affected WTG]],'Basic Data'!$A:$A,'Basic Data'!$C:$C)</f>
        <v>MSEDCL</v>
      </c>
      <c r="J63" s="345">
        <f>IFERROR(VLOOKUP(Table6[[#This Row],[Affected WTG]],'Basic Data'!$A$3:$E$56,5,0),"")</f>
        <v>2.564102564102564E-2</v>
      </c>
      <c r="K63" s="105">
        <v>812</v>
      </c>
      <c r="L63" s="39" t="str">
        <f>IFERROR(VLOOKUP(Table6[[#This Row],[Error Code]],'Basic Data'!$T:$U,2,0),"")</f>
        <v>Blade Position Meas. Error</v>
      </c>
      <c r="M63" s="346" t="s">
        <v>462</v>
      </c>
      <c r="N63" s="39" t="s">
        <v>1270</v>
      </c>
      <c r="O63" s="347">
        <v>0.7583333333333333</v>
      </c>
      <c r="P63" s="347">
        <v>0.7583333333333333</v>
      </c>
      <c r="Q63" s="347">
        <v>0.77430555555555558</v>
      </c>
      <c r="R63" s="348">
        <f>IF(Table6[[#This Row],[Work Start TimeStamp]]="","",(Table6[[#This Row],[Work Start TimeStamp]]-Table6[[#This Row],[Fault Start TimeStamp]])*24)</f>
        <v>0</v>
      </c>
      <c r="S63" s="349">
        <f>(Table6[[#This Row],[Fault Clearance time]]-Table6[[#This Row],[Work Start TimeStamp]])*24</f>
        <v>0.38333333333333464</v>
      </c>
      <c r="T63" s="350">
        <f>(Table6[[#This Row],[Fault Clearance time]]-Table6[[#This Row],[Fault Start TimeStamp]])*24</f>
        <v>0.38333333333333464</v>
      </c>
      <c r="U63" s="346" t="s">
        <v>480</v>
      </c>
      <c r="V63" s="351" t="s">
        <v>463</v>
      </c>
      <c r="W63" s="338">
        <f>Table6[[#This Row],[Breakdown Time]]*(1/39)</f>
        <v>9.8290598290598618E-3</v>
      </c>
      <c r="X63" s="336" t="s">
        <v>465</v>
      </c>
      <c r="Y63" s="352" t="s">
        <v>133</v>
      </c>
      <c r="Z63" s="105">
        <v>8564</v>
      </c>
      <c r="AA63" s="107">
        <v>136.78611111111158</v>
      </c>
      <c r="AB63" s="105" t="s">
        <v>478</v>
      </c>
    </row>
    <row r="64" spans="1:28">
      <c r="A64" s="105">
        <f t="shared" si="0"/>
        <v>63</v>
      </c>
      <c r="B64" s="107">
        <f>YEAR(Table6[[#This Row],[Date]])+IF(MONTH(Table6[[#This Row],[Date]])&gt;=4,1,0)</f>
        <v>2025</v>
      </c>
      <c r="C64" s="105">
        <f>YEAR(Table6[[#This Row],[Date]])</f>
        <v>2025</v>
      </c>
      <c r="D64" s="105" t="s">
        <v>490</v>
      </c>
      <c r="E64" s="119">
        <f>Table6[[#This Row],[Date]]-DAY(Table6[[#This Row],[Date]])+1</f>
        <v>45717</v>
      </c>
      <c r="F64" s="118">
        <v>45747</v>
      </c>
      <c r="G64" s="105" t="s">
        <v>132</v>
      </c>
      <c r="H64" s="39" t="str">
        <f>_xlfn.XLOOKUP(Table6[[#This Row],[Affected WTG]],'Basic Data'!$A:$A,'Basic Data'!$B:$B)</f>
        <v>PWEGPL</v>
      </c>
      <c r="I64" s="39" t="str">
        <f>_xlfn.XLOOKUP(Table6[[#This Row],[Affected WTG]],'Basic Data'!$A:$A,'Basic Data'!$C:$C)</f>
        <v>MSEDCL</v>
      </c>
      <c r="J64" s="345">
        <f>IFERROR(VLOOKUP(Table6[[#This Row],[Affected WTG]],'Basic Data'!$A$3:$E$56,5,0),"")</f>
        <v>2.564102564102564E-2</v>
      </c>
      <c r="K64" s="105">
        <v>812</v>
      </c>
      <c r="L64" s="39" t="str">
        <f>IFERROR(VLOOKUP(Table6[[#This Row],[Error Code]],'Basic Data'!$T:$U,2,0),"")</f>
        <v>Blade Position Meas. Error</v>
      </c>
      <c r="M64" s="346" t="s">
        <v>462</v>
      </c>
      <c r="N64" s="39" t="s">
        <v>1270</v>
      </c>
      <c r="O64" s="347">
        <v>0.85972222222222228</v>
      </c>
      <c r="P64" s="347">
        <v>0.89513888888888893</v>
      </c>
      <c r="Q64" s="347">
        <v>0.89583333333333337</v>
      </c>
      <c r="R64" s="348">
        <f>IF(Table6[[#This Row],[Work Start TimeStamp]]="","",(Table6[[#This Row],[Work Start TimeStamp]]-Table6[[#This Row],[Fault Start TimeStamp]])*24)</f>
        <v>0.84999999999999964</v>
      </c>
      <c r="S64" s="349">
        <f>(Table6[[#This Row],[Fault Clearance time]]-Table6[[#This Row],[Work Start TimeStamp]])*24</f>
        <v>1.6666666666666607E-2</v>
      </c>
      <c r="T64" s="350">
        <f>(Table6[[#This Row],[Fault Clearance time]]-Table6[[#This Row],[Fault Start TimeStamp]])*24</f>
        <v>0.86666666666666625</v>
      </c>
      <c r="U64" s="346" t="s">
        <v>480</v>
      </c>
      <c r="V64" s="351" t="s">
        <v>463</v>
      </c>
      <c r="W64" s="338">
        <f>Table6[[#This Row],[Breakdown Time]]*(1/39)</f>
        <v>2.2222222222222209E-2</v>
      </c>
      <c r="X64" s="336" t="s">
        <v>465</v>
      </c>
      <c r="Y64" s="352" t="s">
        <v>133</v>
      </c>
      <c r="Z64" s="105">
        <v>8564</v>
      </c>
      <c r="AA64" s="107">
        <v>309.25555555555542</v>
      </c>
      <c r="AB64" s="105" t="s">
        <v>478</v>
      </c>
    </row>
    <row r="65" spans="1:28">
      <c r="A65" s="105">
        <f t="shared" si="0"/>
        <v>64</v>
      </c>
      <c r="B65" s="107">
        <f>YEAR(Table6[[#This Row],[Date]])+IF(MONTH(Table6[[#This Row],[Date]])&gt;=4,1,0)</f>
        <v>2025</v>
      </c>
      <c r="C65" s="105">
        <f>YEAR(Table6[[#This Row],[Date]])</f>
        <v>2025</v>
      </c>
      <c r="D65" s="105" t="s">
        <v>490</v>
      </c>
      <c r="E65" s="119">
        <f>Table6[[#This Row],[Date]]-DAY(Table6[[#This Row],[Date]])+1</f>
        <v>45717</v>
      </c>
      <c r="F65" s="118">
        <v>45747</v>
      </c>
      <c r="G65" s="105" t="s">
        <v>135</v>
      </c>
      <c r="H65" s="39" t="str">
        <f>_xlfn.XLOOKUP(Table6[[#This Row],[Affected WTG]],'Basic Data'!$A:$A,'Basic Data'!$B:$B)</f>
        <v>PWEGPL</v>
      </c>
      <c r="I65" s="39" t="str">
        <f>_xlfn.XLOOKUP(Table6[[#This Row],[Affected WTG]],'Basic Data'!$A:$A,'Basic Data'!$C:$C)</f>
        <v>MSEDCL</v>
      </c>
      <c r="J65" s="345">
        <f>IFERROR(VLOOKUP(Table6[[#This Row],[Affected WTG]],'Basic Data'!$A$3:$E$56,5,0),"")</f>
        <v>2.564102564102564E-2</v>
      </c>
      <c r="K65" s="105">
        <v>5228</v>
      </c>
      <c r="L65" s="39" t="str">
        <f>IFERROR(VLOOKUP(Table6[[#This Row],[Error Code]],'Basic Data'!$T:$U,2,0),"")</f>
        <v>Preload Failure</v>
      </c>
      <c r="M65" s="346" t="s">
        <v>462</v>
      </c>
      <c r="N65" s="39" t="s">
        <v>1270</v>
      </c>
      <c r="O65" s="347">
        <v>0.81805555555555554</v>
      </c>
      <c r="P65" s="347">
        <v>0.99305555555555558</v>
      </c>
      <c r="Q65" s="347">
        <v>0.99583333333333335</v>
      </c>
      <c r="R65" s="348">
        <f>IF(Table6[[#This Row],[Work Start TimeStamp]]="","",(Table6[[#This Row],[Work Start TimeStamp]]-Table6[[#This Row],[Fault Start TimeStamp]])*24)</f>
        <v>4.2000000000000011</v>
      </c>
      <c r="S65" s="349">
        <f>(Table6[[#This Row],[Fault Clearance time]]-Table6[[#This Row],[Work Start TimeStamp]])*24</f>
        <v>6.666666666666643E-2</v>
      </c>
      <c r="T65" s="350">
        <f>(Table6[[#This Row],[Fault Clearance time]]-Table6[[#This Row],[Fault Start TimeStamp]])*24</f>
        <v>4.2666666666666675</v>
      </c>
      <c r="U65" s="346" t="s">
        <v>491</v>
      </c>
      <c r="V65" s="351" t="s">
        <v>463</v>
      </c>
      <c r="W65" s="338">
        <f>Table6[[#This Row],[Breakdown Time]]*(1/39)</f>
        <v>0.10940170940170942</v>
      </c>
      <c r="X65" s="336" t="s">
        <v>465</v>
      </c>
      <c r="Y65" s="352" t="s">
        <v>136</v>
      </c>
      <c r="Z65" s="105">
        <v>3920</v>
      </c>
      <c r="AA65" s="107">
        <v>696.88888888888903</v>
      </c>
      <c r="AB65" s="105" t="s">
        <v>478</v>
      </c>
    </row>
    <row r="66" spans="1:28">
      <c r="A66" s="105">
        <f t="shared" si="0"/>
        <v>65</v>
      </c>
      <c r="B66" s="107">
        <f>YEAR(Table6[[#This Row],[Date]])+IF(MONTH(Table6[[#This Row],[Date]])&gt;=4,1,0)</f>
        <v>2025</v>
      </c>
      <c r="C66" s="105">
        <f>YEAR(Table6[[#This Row],[Date]])</f>
        <v>2025</v>
      </c>
      <c r="D66" s="105" t="s">
        <v>490</v>
      </c>
      <c r="E66" s="119">
        <f>Table6[[#This Row],[Date]]-DAY(Table6[[#This Row],[Date]])+1</f>
        <v>45717</v>
      </c>
      <c r="F66" s="118">
        <v>45747</v>
      </c>
      <c r="G66" s="105" t="s">
        <v>136</v>
      </c>
      <c r="H66" s="39" t="str">
        <f>_xlfn.XLOOKUP(Table6[[#This Row],[Affected WTG]],'Basic Data'!$A:$A,'Basic Data'!$B:$B)</f>
        <v>PWEGPL</v>
      </c>
      <c r="I66" s="39" t="str">
        <f>_xlfn.XLOOKUP(Table6[[#This Row],[Affected WTG]],'Basic Data'!$A:$A,'Basic Data'!$C:$C)</f>
        <v>MSEDCL</v>
      </c>
      <c r="J66" s="345">
        <f>IFERROR(VLOOKUP(Table6[[#This Row],[Affected WTG]],'Basic Data'!$A$3:$E$56,5,0),"")</f>
        <v>2.564102564102564E-2</v>
      </c>
      <c r="K66" s="105">
        <v>402</v>
      </c>
      <c r="L66" s="39" t="str">
        <f>IFERROR(VLOOKUP(Table6[[#This Row],[Error Code]],'Basic Data'!$T:$U,2,0),"")</f>
        <v>Gearbox Oil Level Low</v>
      </c>
      <c r="M66" s="346" t="s">
        <v>462</v>
      </c>
      <c r="N66" s="39" t="s">
        <v>1270</v>
      </c>
      <c r="O66" s="347">
        <v>0.81736111111111109</v>
      </c>
      <c r="P66" s="347">
        <v>0.98333333333333328</v>
      </c>
      <c r="Q66" s="347">
        <v>0.99930555555555556</v>
      </c>
      <c r="R66" s="348">
        <f>IF(Table6[[#This Row],[Work Start TimeStamp]]="","",(Table6[[#This Row],[Work Start TimeStamp]]-Table6[[#This Row],[Fault Start TimeStamp]])*24)</f>
        <v>3.9833333333333325</v>
      </c>
      <c r="S66" s="349">
        <f>(Table6[[#This Row],[Fault Clearance time]]-Table6[[#This Row],[Work Start TimeStamp]])*24</f>
        <v>0.38333333333333464</v>
      </c>
      <c r="T66" s="350">
        <f>(Table6[[#This Row],[Fault Clearance time]]-Table6[[#This Row],[Fault Start TimeStamp]])*24</f>
        <v>4.3666666666666671</v>
      </c>
      <c r="U66" s="346" t="s">
        <v>500</v>
      </c>
      <c r="V66" s="351" t="s">
        <v>473</v>
      </c>
      <c r="W66" s="338">
        <f>Table6[[#This Row],[Breakdown Time]]*(1/39)</f>
        <v>0.11196581196581197</v>
      </c>
      <c r="X66" s="336" t="s">
        <v>465</v>
      </c>
      <c r="Y66" s="352" t="s">
        <v>135</v>
      </c>
      <c r="Z66" s="105">
        <v>6850</v>
      </c>
      <c r="AA66" s="107">
        <v>1246.3194444444446</v>
      </c>
      <c r="AB66" s="105" t="s">
        <v>478</v>
      </c>
    </row>
    <row r="67" spans="1:28">
      <c r="A67" s="105">
        <f t="shared" si="0"/>
        <v>66</v>
      </c>
      <c r="B67" s="107">
        <f>YEAR(Table6[[#This Row],[Date]])+IF(MONTH(Table6[[#This Row],[Date]])&gt;=4,1,0)</f>
        <v>2025</v>
      </c>
      <c r="C67" s="105">
        <f>YEAR(Table6[[#This Row],[Date]])</f>
        <v>2025</v>
      </c>
      <c r="D67" s="105" t="s">
        <v>490</v>
      </c>
      <c r="E67" s="119">
        <f>Table6[[#This Row],[Date]]-DAY(Table6[[#This Row],[Date]])+1</f>
        <v>45717</v>
      </c>
      <c r="F67" s="118">
        <v>45747</v>
      </c>
      <c r="G67" s="105" t="s">
        <v>137</v>
      </c>
      <c r="H67" s="39" t="str">
        <f>_xlfn.XLOOKUP(Table6[[#This Row],[Affected WTG]],'Basic Data'!$A:$A,'Basic Data'!$B:$B)</f>
        <v>PWEGPL</v>
      </c>
      <c r="I67" s="39" t="str">
        <f>_xlfn.XLOOKUP(Table6[[#This Row],[Affected WTG]],'Basic Data'!$A:$A,'Basic Data'!$C:$C)</f>
        <v>MSEDCL</v>
      </c>
      <c r="J67" s="345">
        <f>IFERROR(VLOOKUP(Table6[[#This Row],[Affected WTG]],'Basic Data'!$A$3:$E$56,5,0),"")</f>
        <v>2.564102564102564E-2</v>
      </c>
      <c r="K67" s="105">
        <v>2102</v>
      </c>
      <c r="L67" s="39" t="str">
        <f>IFERROR(VLOOKUP(Table6[[#This Row],[Error Code]],'Basic Data'!$T:$U,2,0),"")</f>
        <v>PLC Module Failure</v>
      </c>
      <c r="M67" s="346" t="s">
        <v>462</v>
      </c>
      <c r="N67" s="39" t="s">
        <v>1270</v>
      </c>
      <c r="O67" s="347">
        <v>0.59097222222222223</v>
      </c>
      <c r="P67" s="347">
        <v>0.61458333333333337</v>
      </c>
      <c r="Q67" s="347">
        <v>0.72638888888888886</v>
      </c>
      <c r="R67" s="348">
        <f>IF(Table6[[#This Row],[Work Start TimeStamp]]="","",(Table6[[#This Row],[Work Start TimeStamp]]-Table6[[#This Row],[Fault Start TimeStamp]])*24)</f>
        <v>0.56666666666666732</v>
      </c>
      <c r="S67" s="349">
        <f>(Table6[[#This Row],[Fault Clearance time]]-Table6[[#This Row],[Work Start TimeStamp]])*24</f>
        <v>2.6833333333333318</v>
      </c>
      <c r="T67" s="350">
        <f>(Table6[[#This Row],[Fault Clearance time]]-Table6[[#This Row],[Fault Start TimeStamp]])*24</f>
        <v>3.2499999999999991</v>
      </c>
      <c r="U67" s="346" t="s">
        <v>517</v>
      </c>
      <c r="V67" s="351" t="s">
        <v>463</v>
      </c>
      <c r="W67" s="338">
        <f>Table6[[#This Row],[Breakdown Time]]*(1/39)</f>
        <v>8.3333333333333301E-2</v>
      </c>
      <c r="X67" s="336" t="s">
        <v>465</v>
      </c>
      <c r="Y67" s="352" t="s">
        <v>136</v>
      </c>
      <c r="Z67" s="105">
        <v>3920</v>
      </c>
      <c r="AA67" s="107">
        <v>530.83333333333326</v>
      </c>
      <c r="AB67" s="105" t="s">
        <v>478</v>
      </c>
    </row>
    <row r="68" spans="1:28">
      <c r="A68" s="105">
        <f t="shared" ref="A68:A131" si="1">A67+1</f>
        <v>67</v>
      </c>
      <c r="B68" s="107">
        <f>YEAR(Table6[[#This Row],[Date]])+IF(MONTH(Table6[[#This Row],[Date]])&gt;=4,1,0)</f>
        <v>2025</v>
      </c>
      <c r="C68" s="105">
        <f>YEAR(Table6[[#This Row],[Date]])</f>
        <v>2025</v>
      </c>
      <c r="D68" s="105" t="s">
        <v>490</v>
      </c>
      <c r="E68" s="119">
        <f>Table6[[#This Row],[Date]]-DAY(Table6[[#This Row],[Date]])+1</f>
        <v>45717</v>
      </c>
      <c r="F68" s="118">
        <v>45747</v>
      </c>
      <c r="G68" s="105" t="s">
        <v>137</v>
      </c>
      <c r="H68" s="39" t="str">
        <f>_xlfn.XLOOKUP(Table6[[#This Row],[Affected WTG]],'Basic Data'!$A:$A,'Basic Data'!$B:$B)</f>
        <v>PWEGPL</v>
      </c>
      <c r="I68" s="39" t="str">
        <f>_xlfn.XLOOKUP(Table6[[#This Row],[Affected WTG]],'Basic Data'!$A:$A,'Basic Data'!$C:$C)</f>
        <v>MSEDCL</v>
      </c>
      <c r="J68" s="345">
        <f>IFERROR(VLOOKUP(Table6[[#This Row],[Affected WTG]],'Basic Data'!$A$3:$E$56,5,0),"")</f>
        <v>2.564102564102564E-2</v>
      </c>
      <c r="K68" s="105">
        <v>222</v>
      </c>
      <c r="L68" s="39" t="str">
        <f>IFERROR(VLOOKUP(Table6[[#This Row],[Error Code]],'Basic Data'!$T:$U,2,0),"")</f>
        <v>Very Low Pressure On Hydraulic Unit</v>
      </c>
      <c r="M68" s="346" t="s">
        <v>462</v>
      </c>
      <c r="N68" s="39" t="s">
        <v>1270</v>
      </c>
      <c r="O68" s="347">
        <v>0.87986111111111109</v>
      </c>
      <c r="P68" s="347">
        <v>0.89444444444444449</v>
      </c>
      <c r="Q68" s="347">
        <v>0.89513888888888893</v>
      </c>
      <c r="R68" s="348">
        <f>IF(Table6[[#This Row],[Work Start TimeStamp]]="","",(Table6[[#This Row],[Work Start TimeStamp]]-Table6[[#This Row],[Fault Start TimeStamp]])*24)</f>
        <v>0.35000000000000142</v>
      </c>
      <c r="S68" s="349">
        <f>(Table6[[#This Row],[Fault Clearance time]]-Table6[[#This Row],[Work Start TimeStamp]])*24</f>
        <v>1.6666666666666607E-2</v>
      </c>
      <c r="T68" s="350">
        <f>(Table6[[#This Row],[Fault Clearance time]]-Table6[[#This Row],[Fault Start TimeStamp]])*24</f>
        <v>0.36666666666666803</v>
      </c>
      <c r="U68" s="346" t="s">
        <v>493</v>
      </c>
      <c r="V68" s="351" t="s">
        <v>463</v>
      </c>
      <c r="W68" s="338">
        <f>Table6[[#This Row],[Breakdown Time]]*(1/39)</f>
        <v>9.401709401709436E-3</v>
      </c>
      <c r="X68" s="336" t="s">
        <v>465</v>
      </c>
      <c r="Y68" s="352" t="s">
        <v>136</v>
      </c>
      <c r="Z68" s="105">
        <v>3920</v>
      </c>
      <c r="AA68" s="107">
        <v>59.888888888889113</v>
      </c>
      <c r="AB68" s="105" t="s">
        <v>478</v>
      </c>
    </row>
    <row r="69" spans="1:28">
      <c r="A69" s="105">
        <f t="shared" si="1"/>
        <v>68</v>
      </c>
      <c r="B69" s="107">
        <f>YEAR(Table6[[#This Row],[Date]])+IF(MONTH(Table6[[#This Row],[Date]])&gt;=4,1,0)</f>
        <v>2025</v>
      </c>
      <c r="C69" s="105">
        <f>YEAR(Table6[[#This Row],[Date]])</f>
        <v>2025</v>
      </c>
      <c r="D69" s="105" t="s">
        <v>490</v>
      </c>
      <c r="E69" s="119">
        <f>Table6[[#This Row],[Date]]-DAY(Table6[[#This Row],[Date]])+1</f>
        <v>45717</v>
      </c>
      <c r="F69" s="118">
        <v>45747</v>
      </c>
      <c r="G69" s="105" t="s">
        <v>139</v>
      </c>
      <c r="H69" s="39" t="str">
        <f>_xlfn.XLOOKUP(Table6[[#This Row],[Affected WTG]],'Basic Data'!$A:$A,'Basic Data'!$B:$B)</f>
        <v>PWEGPL</v>
      </c>
      <c r="I69" s="39" t="str">
        <f>_xlfn.XLOOKUP(Table6[[#This Row],[Affected WTG]],'Basic Data'!$A:$A,'Basic Data'!$C:$C)</f>
        <v>MSEDCL</v>
      </c>
      <c r="J69" s="345">
        <f>IFERROR(VLOOKUP(Table6[[#This Row],[Affected WTG]],'Basic Data'!$A$3:$E$56,5,0),"")</f>
        <v>2.564102564102564E-2</v>
      </c>
      <c r="K69" s="105">
        <v>205</v>
      </c>
      <c r="L69" s="39" t="str">
        <f>IFERROR(VLOOKUP(Table6[[#This Row],[Error Code]],'Basic Data'!$T:$U,2,0),"")</f>
        <v>Low Level Hydraulic Group Refrigeration Oil</v>
      </c>
      <c r="M69" s="346" t="s">
        <v>462</v>
      </c>
      <c r="N69" s="39" t="s">
        <v>1270</v>
      </c>
      <c r="O69" s="347">
        <v>0.14374999999999999</v>
      </c>
      <c r="P69" s="347">
        <v>0.14374999999999999</v>
      </c>
      <c r="Q69" s="347">
        <v>0.18124999999999999</v>
      </c>
      <c r="R69" s="348">
        <f>IF(Table6[[#This Row],[Work Start TimeStamp]]="","",(Table6[[#This Row],[Work Start TimeStamp]]-Table6[[#This Row],[Fault Start TimeStamp]])*24)</f>
        <v>0</v>
      </c>
      <c r="S69" s="349">
        <f>(Table6[[#This Row],[Fault Clearance time]]-Table6[[#This Row],[Work Start TimeStamp]])*24</f>
        <v>0.90000000000000013</v>
      </c>
      <c r="T69" s="350">
        <f>(Table6[[#This Row],[Fault Clearance time]]-Table6[[#This Row],[Fault Start TimeStamp]])*24</f>
        <v>0.90000000000000013</v>
      </c>
      <c r="U69" s="346" t="s">
        <v>493</v>
      </c>
      <c r="V69" s="351" t="s">
        <v>463</v>
      </c>
      <c r="W69" s="338">
        <f>Table6[[#This Row],[Breakdown Time]]*(1/39)</f>
        <v>2.3076923076923078E-2</v>
      </c>
      <c r="X69" s="336" t="s">
        <v>465</v>
      </c>
      <c r="Y69" s="352" t="s">
        <v>145</v>
      </c>
      <c r="Z69" s="105">
        <v>5080</v>
      </c>
      <c r="AA69" s="107">
        <v>190.50000000000003</v>
      </c>
      <c r="AB69" s="105" t="s">
        <v>478</v>
      </c>
    </row>
    <row r="70" spans="1:28">
      <c r="A70" s="105">
        <f t="shared" si="1"/>
        <v>69</v>
      </c>
      <c r="B70" s="107">
        <f>YEAR(Table6[[#This Row],[Date]])+IF(MONTH(Table6[[#This Row],[Date]])&gt;=4,1,0)</f>
        <v>2025</v>
      </c>
      <c r="C70" s="105">
        <f>YEAR(Table6[[#This Row],[Date]])</f>
        <v>2025</v>
      </c>
      <c r="D70" s="105" t="s">
        <v>490</v>
      </c>
      <c r="E70" s="119">
        <f>Table6[[#This Row],[Date]]-DAY(Table6[[#This Row],[Date]])+1</f>
        <v>45717</v>
      </c>
      <c r="F70" s="118">
        <v>45747</v>
      </c>
      <c r="G70" s="105" t="s">
        <v>139</v>
      </c>
      <c r="H70" s="39" t="str">
        <f>_xlfn.XLOOKUP(Table6[[#This Row],[Affected WTG]],'Basic Data'!$A:$A,'Basic Data'!$B:$B)</f>
        <v>PWEGPL</v>
      </c>
      <c r="I70" s="39" t="str">
        <f>_xlfn.XLOOKUP(Table6[[#This Row],[Affected WTG]],'Basic Data'!$A:$A,'Basic Data'!$C:$C)</f>
        <v>MSEDCL</v>
      </c>
      <c r="J70" s="345">
        <f>IFERROR(VLOOKUP(Table6[[#This Row],[Affected WTG]],'Basic Data'!$A$3:$E$56,5,0),"")</f>
        <v>2.564102564102564E-2</v>
      </c>
      <c r="K70" s="105">
        <v>205</v>
      </c>
      <c r="L70" s="39" t="str">
        <f>IFERROR(VLOOKUP(Table6[[#This Row],[Error Code]],'Basic Data'!$T:$U,2,0),"")</f>
        <v>Low Level Hydraulic Group Refrigeration Oil</v>
      </c>
      <c r="M70" s="346" t="s">
        <v>462</v>
      </c>
      <c r="N70" s="39" t="s">
        <v>1270</v>
      </c>
      <c r="O70" s="347">
        <v>0.38194444444444442</v>
      </c>
      <c r="P70" s="347">
        <v>0.48055555555555557</v>
      </c>
      <c r="Q70" s="347">
        <v>0.70347222222222228</v>
      </c>
      <c r="R70" s="348">
        <f>IF(Table6[[#This Row],[Work Start TimeStamp]]="","",(Table6[[#This Row],[Work Start TimeStamp]]-Table6[[#This Row],[Fault Start TimeStamp]])*24)</f>
        <v>2.3666666666666676</v>
      </c>
      <c r="S70" s="349">
        <f>(Table6[[#This Row],[Fault Clearance time]]-Table6[[#This Row],[Work Start TimeStamp]])*24</f>
        <v>5.3500000000000014</v>
      </c>
      <c r="T70" s="350">
        <f>(Table6[[#This Row],[Fault Clearance time]]-Table6[[#This Row],[Fault Start TimeStamp]])*24</f>
        <v>7.7166666666666686</v>
      </c>
      <c r="U70" s="346" t="s">
        <v>518</v>
      </c>
      <c r="V70" s="351" t="s">
        <v>463</v>
      </c>
      <c r="W70" s="338">
        <f>Table6[[#This Row],[Breakdown Time]]*(1/39)</f>
        <v>0.19786324786324791</v>
      </c>
      <c r="X70" s="336" t="s">
        <v>465</v>
      </c>
      <c r="Y70" s="352" t="s">
        <v>145</v>
      </c>
      <c r="Z70" s="105">
        <v>5080</v>
      </c>
      <c r="AA70" s="107">
        <v>1633.3611111111115</v>
      </c>
      <c r="AB70" s="105" t="s">
        <v>478</v>
      </c>
    </row>
    <row r="71" spans="1:28">
      <c r="A71" s="105">
        <f t="shared" si="1"/>
        <v>70</v>
      </c>
      <c r="B71" s="107">
        <f>YEAR(Table6[[#This Row],[Date]])+IF(MONTH(Table6[[#This Row],[Date]])&gt;=4,1,0)</f>
        <v>2025</v>
      </c>
      <c r="C71" s="105">
        <f>YEAR(Table6[[#This Row],[Date]])</f>
        <v>2025</v>
      </c>
      <c r="D71" s="105" t="s">
        <v>490</v>
      </c>
      <c r="E71" s="119">
        <f>Table6[[#This Row],[Date]]-DAY(Table6[[#This Row],[Date]])+1</f>
        <v>45717</v>
      </c>
      <c r="F71" s="118">
        <v>45747</v>
      </c>
      <c r="G71" s="105" t="s">
        <v>139</v>
      </c>
      <c r="H71" s="39" t="str">
        <f>_xlfn.XLOOKUP(Table6[[#This Row],[Affected WTG]],'Basic Data'!$A:$A,'Basic Data'!$B:$B)</f>
        <v>PWEGPL</v>
      </c>
      <c r="I71" s="39" t="str">
        <f>_xlfn.XLOOKUP(Table6[[#This Row],[Affected WTG]],'Basic Data'!$A:$A,'Basic Data'!$C:$C)</f>
        <v>MSEDCL</v>
      </c>
      <c r="J71" s="345">
        <f>IFERROR(VLOOKUP(Table6[[#This Row],[Affected WTG]],'Basic Data'!$A$3:$E$56,5,0),"")</f>
        <v>2.564102564102564E-2</v>
      </c>
      <c r="K71" s="105">
        <v>222</v>
      </c>
      <c r="L71" s="39" t="str">
        <f>IFERROR(VLOOKUP(Table6[[#This Row],[Error Code]],'Basic Data'!$T:$U,2,0),"")</f>
        <v>Very Low Pressure On Hydraulic Unit</v>
      </c>
      <c r="M71" s="346" t="s">
        <v>462</v>
      </c>
      <c r="N71" s="39" t="s">
        <v>1270</v>
      </c>
      <c r="O71" s="347">
        <v>0.80555555555555558</v>
      </c>
      <c r="P71" s="347">
        <v>0.80555555555555558</v>
      </c>
      <c r="Q71" s="347">
        <v>0.82638888888888884</v>
      </c>
      <c r="R71" s="348">
        <f>IF(Table6[[#This Row],[Work Start TimeStamp]]="","",(Table6[[#This Row],[Work Start TimeStamp]]-Table6[[#This Row],[Fault Start TimeStamp]])*24)</f>
        <v>0</v>
      </c>
      <c r="S71" s="349">
        <f>(Table6[[#This Row],[Fault Clearance time]]-Table6[[#This Row],[Work Start TimeStamp]])*24</f>
        <v>0.49999999999999822</v>
      </c>
      <c r="T71" s="350">
        <f>(Table6[[#This Row],[Fault Clearance time]]-Table6[[#This Row],[Fault Start TimeStamp]])*24</f>
        <v>0.49999999999999822</v>
      </c>
      <c r="U71" s="346" t="s">
        <v>493</v>
      </c>
      <c r="V71" s="351" t="s">
        <v>463</v>
      </c>
      <c r="W71" s="338">
        <f>Table6[[#This Row],[Breakdown Time]]*(1/39)</f>
        <v>1.2820512820512775E-2</v>
      </c>
      <c r="X71" s="336" t="s">
        <v>465</v>
      </c>
      <c r="Y71" s="352" t="s">
        <v>145</v>
      </c>
      <c r="Z71" s="105">
        <v>5080</v>
      </c>
      <c r="AA71" s="107">
        <v>105.83333333333296</v>
      </c>
      <c r="AB71" s="105" t="s">
        <v>478</v>
      </c>
    </row>
    <row r="72" spans="1:28">
      <c r="A72" s="105">
        <f t="shared" si="1"/>
        <v>71</v>
      </c>
      <c r="B72" s="107">
        <f>YEAR(Table6[[#This Row],[Date]])+IF(MONTH(Table6[[#This Row],[Date]])&gt;=4,1,0)</f>
        <v>2025</v>
      </c>
      <c r="C72" s="105">
        <f>YEAR(Table6[[#This Row],[Date]])</f>
        <v>2025</v>
      </c>
      <c r="D72" s="105" t="s">
        <v>490</v>
      </c>
      <c r="E72" s="119">
        <f>Table6[[#This Row],[Date]]-DAY(Table6[[#This Row],[Date]])+1</f>
        <v>45717</v>
      </c>
      <c r="F72" s="118">
        <v>45747</v>
      </c>
      <c r="G72" s="105" t="s">
        <v>140</v>
      </c>
      <c r="H72" s="39" t="str">
        <f>_xlfn.XLOOKUP(Table6[[#This Row],[Affected WTG]],'Basic Data'!$A:$A,'Basic Data'!$B:$B)</f>
        <v>PWEGPL</v>
      </c>
      <c r="I72" s="39" t="str">
        <f>_xlfn.XLOOKUP(Table6[[#This Row],[Affected WTG]],'Basic Data'!$A:$A,'Basic Data'!$C:$C)</f>
        <v>MSEDCL</v>
      </c>
      <c r="J72" s="345">
        <f>IFERROR(VLOOKUP(Table6[[#This Row],[Affected WTG]],'Basic Data'!$A$3:$E$56,5,0),"")</f>
        <v>2.564102564102564E-2</v>
      </c>
      <c r="K72" s="105">
        <v>426</v>
      </c>
      <c r="L72" s="39" t="str">
        <f>IFERROR(VLOOKUP(Table6[[#This Row],[Error Code]],'Basic Data'!$T:$U,2,0),"")</f>
        <v>Rotor Speed Reading Failure</v>
      </c>
      <c r="M72" s="346" t="s">
        <v>462</v>
      </c>
      <c r="N72" s="39" t="s">
        <v>1270</v>
      </c>
      <c r="O72" s="347">
        <v>0.87638888888888888</v>
      </c>
      <c r="P72" s="347">
        <v>0.87638888888888888</v>
      </c>
      <c r="Q72" s="347">
        <v>0.87986111111111109</v>
      </c>
      <c r="R72" s="348">
        <f>IF(Table6[[#This Row],[Work Start TimeStamp]]="","",(Table6[[#This Row],[Work Start TimeStamp]]-Table6[[#This Row],[Fault Start TimeStamp]])*24)</f>
        <v>0</v>
      </c>
      <c r="S72" s="349">
        <f>(Table6[[#This Row],[Fault Clearance time]]-Table6[[#This Row],[Work Start TimeStamp]])*24</f>
        <v>8.3333333333333037E-2</v>
      </c>
      <c r="T72" s="350">
        <f>(Table6[[#This Row],[Fault Clearance time]]-Table6[[#This Row],[Fault Start TimeStamp]])*24</f>
        <v>8.3333333333333037E-2</v>
      </c>
      <c r="U72" s="346" t="s">
        <v>480</v>
      </c>
      <c r="V72" s="351" t="s">
        <v>463</v>
      </c>
      <c r="W72" s="338">
        <f>Table6[[#This Row],[Breakdown Time]]*(1/39)</f>
        <v>2.1367521367521292E-3</v>
      </c>
      <c r="X72" s="336" t="s">
        <v>465</v>
      </c>
      <c r="Y72" s="352" t="s">
        <v>138</v>
      </c>
      <c r="Z72" s="105">
        <v>7082</v>
      </c>
      <c r="AA72" s="107">
        <v>24.59027777777769</v>
      </c>
      <c r="AB72" s="105" t="s">
        <v>478</v>
      </c>
    </row>
    <row r="73" spans="1:28">
      <c r="A73" s="105">
        <f t="shared" si="1"/>
        <v>72</v>
      </c>
      <c r="B73" s="107">
        <f>YEAR(Table6[[#This Row],[Date]])+IF(MONTH(Table6[[#This Row],[Date]])&gt;=4,1,0)</f>
        <v>2025</v>
      </c>
      <c r="C73" s="105">
        <f>YEAR(Table6[[#This Row],[Date]])</f>
        <v>2025</v>
      </c>
      <c r="D73" s="105" t="s">
        <v>490</v>
      </c>
      <c r="E73" s="119">
        <f>Table6[[#This Row],[Date]]-DAY(Table6[[#This Row],[Date]])+1</f>
        <v>45717</v>
      </c>
      <c r="F73" s="118">
        <v>45747</v>
      </c>
      <c r="G73" s="105" t="s">
        <v>143</v>
      </c>
      <c r="H73" s="39" t="str">
        <f>_xlfn.XLOOKUP(Table6[[#This Row],[Affected WTG]],'Basic Data'!$A:$A,'Basic Data'!$B:$B)</f>
        <v>PWEGPL</v>
      </c>
      <c r="I73" s="39" t="str">
        <f>_xlfn.XLOOKUP(Table6[[#This Row],[Affected WTG]],'Basic Data'!$A:$A,'Basic Data'!$C:$C)</f>
        <v>MSEDCL</v>
      </c>
      <c r="J73" s="345">
        <f>IFERROR(VLOOKUP(Table6[[#This Row],[Affected WTG]],'Basic Data'!$A$3:$E$56,5,0),"")</f>
        <v>2.564102564102564E-2</v>
      </c>
      <c r="K73" s="105">
        <v>5216</v>
      </c>
      <c r="L73" s="39" t="str">
        <f>IFERROR(VLOOKUP(Table6[[#This Row],[Error Code]],'Basic Data'!$T:$U,2,0),"")</f>
        <v>Grid Voltage Failure</v>
      </c>
      <c r="M73" s="346" t="s">
        <v>462</v>
      </c>
      <c r="N73" s="39" t="s">
        <v>1270</v>
      </c>
      <c r="O73" s="347">
        <v>0.81736111111111109</v>
      </c>
      <c r="P73" s="347">
        <v>0.81736111111111109</v>
      </c>
      <c r="Q73" s="347">
        <v>0.99930555555555556</v>
      </c>
      <c r="R73" s="348">
        <f>IF(Table6[[#This Row],[Work Start TimeStamp]]="","",(Table6[[#This Row],[Work Start TimeStamp]]-Table6[[#This Row],[Fault Start TimeStamp]])*24)</f>
        <v>0</v>
      </c>
      <c r="S73" s="349">
        <f>(Table6[[#This Row],[Fault Clearance time]]-Table6[[#This Row],[Work Start TimeStamp]])*24</f>
        <v>4.3666666666666671</v>
      </c>
      <c r="T73" s="350">
        <f>(Table6[[#This Row],[Fault Clearance time]]-Table6[[#This Row],[Fault Start TimeStamp]])*24</f>
        <v>4.3666666666666671</v>
      </c>
      <c r="U73" s="346" t="s">
        <v>500</v>
      </c>
      <c r="V73" s="351" t="s">
        <v>473</v>
      </c>
      <c r="W73" s="338">
        <f>Table6[[#This Row],[Breakdown Time]]*(1/39)</f>
        <v>0.11196581196581197</v>
      </c>
      <c r="X73" s="336" t="s">
        <v>465</v>
      </c>
      <c r="Y73" s="352" t="s">
        <v>141</v>
      </c>
      <c r="Z73" s="105">
        <v>6006</v>
      </c>
      <c r="AA73" s="107">
        <v>1092.7583333333334</v>
      </c>
      <c r="AB73" s="105" t="s">
        <v>478</v>
      </c>
    </row>
    <row r="74" spans="1:28">
      <c r="A74" s="105">
        <f t="shared" si="1"/>
        <v>73</v>
      </c>
      <c r="B74" s="107">
        <f>YEAR(Table6[[#This Row],[Date]])+IF(MONTH(Table6[[#This Row],[Date]])&gt;=4,1,0)</f>
        <v>2025</v>
      </c>
      <c r="C74" s="105">
        <f>YEAR(Table6[[#This Row],[Date]])</f>
        <v>2025</v>
      </c>
      <c r="D74" s="105" t="s">
        <v>490</v>
      </c>
      <c r="E74" s="119">
        <f>Table6[[#This Row],[Date]]-DAY(Table6[[#This Row],[Date]])+1</f>
        <v>45717</v>
      </c>
      <c r="F74" s="118">
        <v>45747</v>
      </c>
      <c r="G74" s="105" t="s">
        <v>145</v>
      </c>
      <c r="H74" s="39" t="str">
        <f>_xlfn.XLOOKUP(Table6[[#This Row],[Affected WTG]],'Basic Data'!$A:$A,'Basic Data'!$B:$B)</f>
        <v>PWEGPL</v>
      </c>
      <c r="I74" s="39" t="str">
        <f>_xlfn.XLOOKUP(Table6[[#This Row],[Affected WTG]],'Basic Data'!$A:$A,'Basic Data'!$C:$C)</f>
        <v>MSEDCL</v>
      </c>
      <c r="J74" s="345">
        <f>IFERROR(VLOOKUP(Table6[[#This Row],[Affected WTG]],'Basic Data'!$A$3:$E$56,5,0),"")</f>
        <v>2.564102564102564E-2</v>
      </c>
      <c r="K74" s="105">
        <v>2102</v>
      </c>
      <c r="L74" s="39" t="str">
        <f>IFERROR(VLOOKUP(Table6[[#This Row],[Error Code]],'Basic Data'!$T:$U,2,0),"")</f>
        <v>PLC Module Failure</v>
      </c>
      <c r="M74" s="346" t="s">
        <v>462</v>
      </c>
      <c r="N74" s="39" t="s">
        <v>1270</v>
      </c>
      <c r="O74" s="347">
        <v>0.74652777777777779</v>
      </c>
      <c r="P74" s="347">
        <v>0.81597222222222221</v>
      </c>
      <c r="Q74" s="347">
        <v>0.81874999999999998</v>
      </c>
      <c r="R74" s="348">
        <f>IF(Table6[[#This Row],[Work Start TimeStamp]]="","",(Table6[[#This Row],[Work Start TimeStamp]]-Table6[[#This Row],[Fault Start TimeStamp]])*24)</f>
        <v>1.6666666666666661</v>
      </c>
      <c r="S74" s="349">
        <f>(Table6[[#This Row],[Fault Clearance time]]-Table6[[#This Row],[Work Start TimeStamp]])*24</f>
        <v>6.666666666666643E-2</v>
      </c>
      <c r="T74" s="350">
        <f>(Table6[[#This Row],[Fault Clearance time]]-Table6[[#This Row],[Fault Start TimeStamp]])*24</f>
        <v>1.7333333333333325</v>
      </c>
      <c r="U74" s="346" t="s">
        <v>491</v>
      </c>
      <c r="V74" s="351" t="s">
        <v>463</v>
      </c>
      <c r="W74" s="338">
        <f>Table6[[#This Row],[Breakdown Time]]*(1/39)</f>
        <v>4.4444444444444418E-2</v>
      </c>
      <c r="X74" s="336" t="s">
        <v>465</v>
      </c>
      <c r="Y74" s="352" t="s">
        <v>139</v>
      </c>
      <c r="Z74" s="105">
        <v>5480</v>
      </c>
      <c r="AA74" s="107">
        <v>395.7777777777776</v>
      </c>
      <c r="AB74" s="105" t="s">
        <v>478</v>
      </c>
    </row>
    <row r="75" spans="1:28">
      <c r="A75" s="105">
        <f t="shared" si="1"/>
        <v>74</v>
      </c>
      <c r="B75" s="107">
        <f>YEAR(Table6[[#This Row],[Date]])+IF(MONTH(Table6[[#This Row],[Date]])&gt;=4,1,0)</f>
        <v>2025</v>
      </c>
      <c r="C75" s="105">
        <f>YEAR(Table6[[#This Row],[Date]])</f>
        <v>2025</v>
      </c>
      <c r="D75" s="105" t="s">
        <v>490</v>
      </c>
      <c r="E75" s="119">
        <f>Table6[[#This Row],[Date]]-DAY(Table6[[#This Row],[Date]])+1</f>
        <v>45717</v>
      </c>
      <c r="F75" s="118">
        <v>45747</v>
      </c>
      <c r="G75" s="105" t="s">
        <v>146</v>
      </c>
      <c r="H75" s="39" t="str">
        <f>_xlfn.XLOOKUP(Table6[[#This Row],[Affected WTG]],'Basic Data'!$A:$A,'Basic Data'!$B:$B)</f>
        <v>PWEGPL</v>
      </c>
      <c r="I75" s="39" t="str">
        <f>_xlfn.XLOOKUP(Table6[[#This Row],[Affected WTG]],'Basic Data'!$A:$A,'Basic Data'!$C:$C)</f>
        <v>MSEDCL</v>
      </c>
      <c r="J75" s="345">
        <f>IFERROR(VLOOKUP(Table6[[#This Row],[Affected WTG]],'Basic Data'!$A$3:$E$56,5,0),"")</f>
        <v>2.564102564102564E-2</v>
      </c>
      <c r="K75" s="105">
        <v>812</v>
      </c>
      <c r="L75" s="39" t="str">
        <f>IFERROR(VLOOKUP(Table6[[#This Row],[Error Code]],'Basic Data'!$T:$U,2,0),"")</f>
        <v>Blade Position Meas. Error</v>
      </c>
      <c r="M75" s="346" t="s">
        <v>462</v>
      </c>
      <c r="N75" s="39" t="s">
        <v>1270</v>
      </c>
      <c r="O75" s="347">
        <v>0.84583333333333333</v>
      </c>
      <c r="P75" s="347">
        <v>0.84583333333333333</v>
      </c>
      <c r="Q75" s="347">
        <v>0.84930555555555554</v>
      </c>
      <c r="R75" s="348">
        <f>IF(Table6[[#This Row],[Work Start TimeStamp]]="","",(Table6[[#This Row],[Work Start TimeStamp]]-Table6[[#This Row],[Fault Start TimeStamp]])*24)</f>
        <v>0</v>
      </c>
      <c r="S75" s="349">
        <f>(Table6[[#This Row],[Fault Clearance time]]-Table6[[#This Row],[Work Start TimeStamp]])*24</f>
        <v>8.3333333333333037E-2</v>
      </c>
      <c r="T75" s="350">
        <f>(Table6[[#This Row],[Fault Clearance time]]-Table6[[#This Row],[Fault Start TimeStamp]])*24</f>
        <v>8.3333333333333037E-2</v>
      </c>
      <c r="U75" s="346" t="s">
        <v>480</v>
      </c>
      <c r="V75" s="351" t="s">
        <v>463</v>
      </c>
      <c r="W75" s="338">
        <f>Table6[[#This Row],[Breakdown Time]]*(1/39)</f>
        <v>2.1367521367521292E-3</v>
      </c>
      <c r="X75" s="336" t="s">
        <v>465</v>
      </c>
      <c r="Y75" s="352" t="s">
        <v>147</v>
      </c>
      <c r="Z75" s="105">
        <v>7996</v>
      </c>
      <c r="AA75" s="107">
        <v>27.763888888888793</v>
      </c>
      <c r="AB75" s="105" t="s">
        <v>478</v>
      </c>
    </row>
    <row r="76" spans="1:28">
      <c r="A76" s="105">
        <f t="shared" si="1"/>
        <v>75</v>
      </c>
      <c r="B76" s="107">
        <f>YEAR(Table6[[#This Row],[Date]])+IF(MONTH(Table6[[#This Row],[Date]])&gt;=4,1,0)</f>
        <v>2025</v>
      </c>
      <c r="C76" s="105">
        <f>YEAR(Table6[[#This Row],[Date]])</f>
        <v>2025</v>
      </c>
      <c r="D76" s="105" t="s">
        <v>490</v>
      </c>
      <c r="E76" s="119">
        <f>Table6[[#This Row],[Date]]-DAY(Table6[[#This Row],[Date]])+1</f>
        <v>45717</v>
      </c>
      <c r="F76" s="118">
        <v>45747</v>
      </c>
      <c r="G76" s="105" t="s">
        <v>147</v>
      </c>
      <c r="H76" s="39" t="str">
        <f>_xlfn.XLOOKUP(Table6[[#This Row],[Affected WTG]],'Basic Data'!$A:$A,'Basic Data'!$B:$B)</f>
        <v>PWEGPL</v>
      </c>
      <c r="I76" s="39" t="str">
        <f>_xlfn.XLOOKUP(Table6[[#This Row],[Affected WTG]],'Basic Data'!$A:$A,'Basic Data'!$C:$C)</f>
        <v>MSEDCL</v>
      </c>
      <c r="J76" s="345">
        <f>IFERROR(VLOOKUP(Table6[[#This Row],[Affected WTG]],'Basic Data'!$A$3:$E$56,5,0),"")</f>
        <v>2.564102564102564E-2</v>
      </c>
      <c r="K76" s="105">
        <v>5200</v>
      </c>
      <c r="L76" s="39" t="str">
        <f>IFERROR(VLOOKUP(Table6[[#This Row],[Error Code]],'Basic Data'!$T:$U,2,0),"")</f>
        <v>Magnetothermic Trigger Of The Line Protection</v>
      </c>
      <c r="M76" s="346" t="s">
        <v>462</v>
      </c>
      <c r="N76" s="39" t="s">
        <v>1270</v>
      </c>
      <c r="O76" s="347">
        <v>0.74583333333333335</v>
      </c>
      <c r="P76" s="347">
        <v>0.74583333333333335</v>
      </c>
      <c r="Q76" s="347">
        <v>0.74930555555555556</v>
      </c>
      <c r="R76" s="348">
        <f>IF(Table6[[#This Row],[Work Start TimeStamp]]="","",(Table6[[#This Row],[Work Start TimeStamp]]-Table6[[#This Row],[Fault Start TimeStamp]])*24)</f>
        <v>0</v>
      </c>
      <c r="S76" s="349">
        <f>(Table6[[#This Row],[Fault Clearance time]]-Table6[[#This Row],[Work Start TimeStamp]])*24</f>
        <v>8.3333333333333037E-2</v>
      </c>
      <c r="T76" s="350">
        <f>(Table6[[#This Row],[Fault Clearance time]]-Table6[[#This Row],[Fault Start TimeStamp]])*24</f>
        <v>8.3333333333333037E-2</v>
      </c>
      <c r="U76" s="346" t="s">
        <v>480</v>
      </c>
      <c r="V76" s="351" t="s">
        <v>463</v>
      </c>
      <c r="W76" s="338">
        <f>Table6[[#This Row],[Breakdown Time]]*(1/39)</f>
        <v>2.1367521367521292E-3</v>
      </c>
      <c r="X76" s="336" t="s">
        <v>465</v>
      </c>
      <c r="Y76" s="352" t="s">
        <v>146</v>
      </c>
      <c r="Z76" s="105">
        <v>6703</v>
      </c>
      <c r="AA76" s="107">
        <v>23.274305555555475</v>
      </c>
      <c r="AB76" s="105" t="s">
        <v>478</v>
      </c>
    </row>
    <row r="77" spans="1:28">
      <c r="A77" s="105">
        <f t="shared" si="1"/>
        <v>76</v>
      </c>
      <c r="B77" s="107">
        <f>YEAR(Table6[[#This Row],[Date]])+IF(MONTH(Table6[[#This Row],[Date]])&gt;=4,1,0)</f>
        <v>2025</v>
      </c>
      <c r="C77" s="105">
        <f>YEAR(Table6[[#This Row],[Date]])</f>
        <v>2025</v>
      </c>
      <c r="D77" s="105" t="s">
        <v>490</v>
      </c>
      <c r="E77" s="119">
        <f>Table6[[#This Row],[Date]]-DAY(Table6[[#This Row],[Date]])+1</f>
        <v>45717</v>
      </c>
      <c r="F77" s="118">
        <v>45747</v>
      </c>
      <c r="G77" s="105" t="s">
        <v>148</v>
      </c>
      <c r="H77" s="39" t="str">
        <f>_xlfn.XLOOKUP(Table6[[#This Row],[Affected WTG]],'Basic Data'!$A:$A,'Basic Data'!$B:$B)</f>
        <v>PWEGPL</v>
      </c>
      <c r="I77" s="39" t="str">
        <f>_xlfn.XLOOKUP(Table6[[#This Row],[Affected WTG]],'Basic Data'!$A:$A,'Basic Data'!$C:$C)</f>
        <v>MSEDCL</v>
      </c>
      <c r="J77" s="345">
        <f>IFERROR(VLOOKUP(Table6[[#This Row],[Affected WTG]],'Basic Data'!$A$3:$E$56,5,0),"")</f>
        <v>2.564102564102564E-2</v>
      </c>
      <c r="K77" s="105">
        <v>5201</v>
      </c>
      <c r="L77" s="39" t="str">
        <f>IFERROR(VLOOKUP(Table6[[#This Row],[Error Code]],'Basic Data'!$T:$U,2,0),"")</f>
        <v>Magnetothermic Trigger Of The Stator Protection</v>
      </c>
      <c r="M77" s="346" t="s">
        <v>462</v>
      </c>
      <c r="N77" s="39" t="s">
        <v>1270</v>
      </c>
      <c r="O77" s="347">
        <v>0.80555555555555558</v>
      </c>
      <c r="P77" s="347">
        <v>0.80555555555555558</v>
      </c>
      <c r="Q77" s="347">
        <v>0.99930555555555556</v>
      </c>
      <c r="R77" s="348">
        <f>IF(Table6[[#This Row],[Work Start TimeStamp]]="","",(Table6[[#This Row],[Work Start TimeStamp]]-Table6[[#This Row],[Fault Start TimeStamp]])*24)</f>
        <v>0</v>
      </c>
      <c r="S77" s="349">
        <f>(Table6[[#This Row],[Fault Clearance time]]-Table6[[#This Row],[Work Start TimeStamp]])*24</f>
        <v>4.6499999999999995</v>
      </c>
      <c r="T77" s="350">
        <f>(Table6[[#This Row],[Fault Clearance time]]-Table6[[#This Row],[Fault Start TimeStamp]])*24</f>
        <v>4.6499999999999995</v>
      </c>
      <c r="U77" s="346" t="s">
        <v>500</v>
      </c>
      <c r="V77" s="351" t="s">
        <v>473</v>
      </c>
      <c r="W77" s="338">
        <f>Table6[[#This Row],[Breakdown Time]]*(1/39)</f>
        <v>0.11923076923076921</v>
      </c>
      <c r="X77" s="336" t="s">
        <v>465</v>
      </c>
      <c r="Y77" s="352" t="s">
        <v>149</v>
      </c>
      <c r="Z77" s="105">
        <v>4792</v>
      </c>
      <c r="AA77" s="107">
        <v>928.44999999999982</v>
      </c>
      <c r="AB77" s="105" t="s">
        <v>478</v>
      </c>
    </row>
    <row r="78" spans="1:28">
      <c r="A78" s="105">
        <f t="shared" si="1"/>
        <v>77</v>
      </c>
      <c r="B78" s="107">
        <f>YEAR(Table6[[#This Row],[Date]])+IF(MONTH(Table6[[#This Row],[Date]])&gt;=4,1,0)</f>
        <v>2025</v>
      </c>
      <c r="C78" s="105">
        <f>YEAR(Table6[[#This Row],[Date]])</f>
        <v>2025</v>
      </c>
      <c r="D78" s="105" t="s">
        <v>490</v>
      </c>
      <c r="E78" s="119">
        <f>Table6[[#This Row],[Date]]-DAY(Table6[[#This Row],[Date]])+1</f>
        <v>45717</v>
      </c>
      <c r="F78" s="118">
        <v>45747</v>
      </c>
      <c r="G78" s="105" t="s">
        <v>149</v>
      </c>
      <c r="H78" s="39" t="str">
        <f>_xlfn.XLOOKUP(Table6[[#This Row],[Affected WTG]],'Basic Data'!$A:$A,'Basic Data'!$B:$B)</f>
        <v>PWEGPL</v>
      </c>
      <c r="I78" s="39" t="str">
        <f>_xlfn.XLOOKUP(Table6[[#This Row],[Affected WTG]],'Basic Data'!$A:$A,'Basic Data'!$C:$C)</f>
        <v>MSEDCL</v>
      </c>
      <c r="J78" s="345">
        <f>IFERROR(VLOOKUP(Table6[[#This Row],[Affected WTG]],'Basic Data'!$A$3:$E$56,5,0),"")</f>
        <v>2.564102564102564E-2</v>
      </c>
      <c r="K78" s="105">
        <v>812</v>
      </c>
      <c r="L78" s="39" t="str">
        <f>IFERROR(VLOOKUP(Table6[[#This Row],[Error Code]],'Basic Data'!$T:$U,2,0),"")</f>
        <v>Blade Position Meas. Error</v>
      </c>
      <c r="M78" s="346" t="s">
        <v>462</v>
      </c>
      <c r="N78" s="39" t="s">
        <v>1270</v>
      </c>
      <c r="O78" s="347">
        <v>0.35694444444444445</v>
      </c>
      <c r="P78" s="347">
        <v>0.35694444444444445</v>
      </c>
      <c r="Q78" s="347">
        <v>0.36041666666666666</v>
      </c>
      <c r="R78" s="348">
        <f>IF(Table6[[#This Row],[Work Start TimeStamp]]="","",(Table6[[#This Row],[Work Start TimeStamp]]-Table6[[#This Row],[Fault Start TimeStamp]])*24)</f>
        <v>0</v>
      </c>
      <c r="S78" s="349">
        <f>(Table6[[#This Row],[Fault Clearance time]]-Table6[[#This Row],[Work Start TimeStamp]])*24</f>
        <v>8.3333333333333037E-2</v>
      </c>
      <c r="T78" s="350">
        <f>(Table6[[#This Row],[Fault Clearance time]]-Table6[[#This Row],[Fault Start TimeStamp]])*24</f>
        <v>8.3333333333333037E-2</v>
      </c>
      <c r="U78" s="346" t="s">
        <v>480</v>
      </c>
      <c r="V78" s="351" t="s">
        <v>463</v>
      </c>
      <c r="W78" s="338">
        <f>Table6[[#This Row],[Breakdown Time]]*(1/39)</f>
        <v>2.1367521367521292E-3</v>
      </c>
      <c r="X78" s="336" t="s">
        <v>465</v>
      </c>
      <c r="Y78" s="352" t="s">
        <v>148</v>
      </c>
      <c r="Z78" s="105">
        <v>4764</v>
      </c>
      <c r="AA78" s="107">
        <v>16.541666666666607</v>
      </c>
      <c r="AB78" s="105" t="s">
        <v>478</v>
      </c>
    </row>
    <row r="79" spans="1:28">
      <c r="A79" s="105">
        <f t="shared" si="1"/>
        <v>78</v>
      </c>
      <c r="B79" s="107">
        <f>YEAR(Table6[[#This Row],[Date]])+IF(MONTH(Table6[[#This Row],[Date]])&gt;=4,1,0)</f>
        <v>2025</v>
      </c>
      <c r="C79" s="105">
        <f>YEAR(Table6[[#This Row],[Date]])</f>
        <v>2025</v>
      </c>
      <c r="D79" s="105" t="s">
        <v>490</v>
      </c>
      <c r="E79" s="119">
        <f>Table6[[#This Row],[Date]]-DAY(Table6[[#This Row],[Date]])+1</f>
        <v>45717</v>
      </c>
      <c r="F79" s="118">
        <v>45747</v>
      </c>
      <c r="G79" s="105" t="s">
        <v>149</v>
      </c>
      <c r="H79" s="39" t="str">
        <f>_xlfn.XLOOKUP(Table6[[#This Row],[Affected WTG]],'Basic Data'!$A:$A,'Basic Data'!$B:$B)</f>
        <v>PWEGPL</v>
      </c>
      <c r="I79" s="39" t="str">
        <f>_xlfn.XLOOKUP(Table6[[#This Row],[Affected WTG]],'Basic Data'!$A:$A,'Basic Data'!$C:$C)</f>
        <v>MSEDCL</v>
      </c>
      <c r="J79" s="345">
        <f>IFERROR(VLOOKUP(Table6[[#This Row],[Affected WTG]],'Basic Data'!$A$3:$E$56,5,0),"")</f>
        <v>2.564102564102564E-2</v>
      </c>
      <c r="K79" s="105">
        <v>426</v>
      </c>
      <c r="L79" s="39" t="str">
        <f>IFERROR(VLOOKUP(Table6[[#This Row],[Error Code]],'Basic Data'!$T:$U,2,0),"")</f>
        <v>Rotor Speed Reading Failure</v>
      </c>
      <c r="M79" s="346" t="s">
        <v>462</v>
      </c>
      <c r="N79" s="39" t="s">
        <v>1270</v>
      </c>
      <c r="O79" s="347">
        <v>0.38958333333333334</v>
      </c>
      <c r="P79" s="347">
        <v>0.38958333333333334</v>
      </c>
      <c r="Q79" s="347">
        <v>0.39305555555555555</v>
      </c>
      <c r="R79" s="348">
        <f>IF(Table6[[#This Row],[Work Start TimeStamp]]="","",(Table6[[#This Row],[Work Start TimeStamp]]-Table6[[#This Row],[Fault Start TimeStamp]])*24)</f>
        <v>0</v>
      </c>
      <c r="S79" s="349">
        <f>(Table6[[#This Row],[Fault Clearance time]]-Table6[[#This Row],[Work Start TimeStamp]])*24</f>
        <v>8.3333333333333037E-2</v>
      </c>
      <c r="T79" s="350">
        <f>(Table6[[#This Row],[Fault Clearance time]]-Table6[[#This Row],[Fault Start TimeStamp]])*24</f>
        <v>8.3333333333333037E-2</v>
      </c>
      <c r="U79" s="346" t="s">
        <v>480</v>
      </c>
      <c r="V79" s="351" t="s">
        <v>463</v>
      </c>
      <c r="W79" s="338">
        <f>Table6[[#This Row],[Breakdown Time]]*(1/39)</f>
        <v>2.1367521367521292E-3</v>
      </c>
      <c r="X79" s="336" t="s">
        <v>465</v>
      </c>
      <c r="Y79" s="352" t="s">
        <v>148</v>
      </c>
      <c r="Z79" s="105">
        <v>4764</v>
      </c>
      <c r="AA79" s="107">
        <v>16.541666666666607</v>
      </c>
      <c r="AB79" s="105" t="s">
        <v>478</v>
      </c>
    </row>
    <row r="80" spans="1:28">
      <c r="A80" s="105">
        <f t="shared" si="1"/>
        <v>79</v>
      </c>
      <c r="B80" s="107">
        <f>YEAR(Table6[[#This Row],[Date]])+IF(MONTH(Table6[[#This Row],[Date]])&gt;=4,1,0)</f>
        <v>2025</v>
      </c>
      <c r="C80" s="105">
        <f>YEAR(Table6[[#This Row],[Date]])</f>
        <v>2025</v>
      </c>
      <c r="D80" s="105" t="s">
        <v>490</v>
      </c>
      <c r="E80" s="119">
        <f>Table6[[#This Row],[Date]]-DAY(Table6[[#This Row],[Date]])+1</f>
        <v>45717</v>
      </c>
      <c r="F80" s="118">
        <v>45747</v>
      </c>
      <c r="G80" s="105" t="s">
        <v>149</v>
      </c>
      <c r="H80" s="39" t="str">
        <f>_xlfn.XLOOKUP(Table6[[#This Row],[Affected WTG]],'Basic Data'!$A:$A,'Basic Data'!$B:$B)</f>
        <v>PWEGPL</v>
      </c>
      <c r="I80" s="39" t="str">
        <f>_xlfn.XLOOKUP(Table6[[#This Row],[Affected WTG]],'Basic Data'!$A:$A,'Basic Data'!$C:$C)</f>
        <v>MSEDCL</v>
      </c>
      <c r="J80" s="345">
        <f>IFERROR(VLOOKUP(Table6[[#This Row],[Affected WTG]],'Basic Data'!$A$3:$E$56,5,0),"")</f>
        <v>2.564102564102564E-2</v>
      </c>
      <c r="K80" s="105">
        <v>804</v>
      </c>
      <c r="L80" s="39" t="str">
        <f>IFERROR(VLOOKUP(Table6[[#This Row],[Error Code]],'Basic Data'!$T:$U,2,0),"")</f>
        <v>Difference Between 2 Blades Too High</v>
      </c>
      <c r="M80" s="346" t="s">
        <v>462</v>
      </c>
      <c r="N80" s="39" t="s">
        <v>1270</v>
      </c>
      <c r="O80" s="347">
        <v>0.4465277777777778</v>
      </c>
      <c r="P80" s="347">
        <v>0.45</v>
      </c>
      <c r="Q80" s="347">
        <v>0.45</v>
      </c>
      <c r="R80" s="348">
        <f>IF(Table6[[#This Row],[Work Start TimeStamp]]="","",(Table6[[#This Row],[Work Start TimeStamp]]-Table6[[#This Row],[Fault Start TimeStamp]])*24)</f>
        <v>8.3333333333333037E-2</v>
      </c>
      <c r="S80" s="349">
        <f>(Table6[[#This Row],[Fault Clearance time]]-Table6[[#This Row],[Work Start TimeStamp]])*24</f>
        <v>0</v>
      </c>
      <c r="T80" s="350">
        <f>(Table6[[#This Row],[Fault Clearance time]]-Table6[[#This Row],[Fault Start TimeStamp]])*24</f>
        <v>8.3333333333333037E-2</v>
      </c>
      <c r="U80" s="346" t="s">
        <v>480</v>
      </c>
      <c r="V80" s="351" t="s">
        <v>463</v>
      </c>
      <c r="W80" s="338">
        <f>Table6[[#This Row],[Breakdown Time]]*(1/39)</f>
        <v>2.1367521367521292E-3</v>
      </c>
      <c r="X80" s="336" t="s">
        <v>465</v>
      </c>
      <c r="Y80" s="352" t="s">
        <v>148</v>
      </c>
      <c r="Z80" s="105">
        <v>4764</v>
      </c>
      <c r="AA80" s="107">
        <v>16.541666666666607</v>
      </c>
      <c r="AB80" s="105" t="s">
        <v>478</v>
      </c>
    </row>
    <row r="81" spans="1:28">
      <c r="A81" s="105">
        <f t="shared" si="1"/>
        <v>80</v>
      </c>
      <c r="B81" s="107">
        <f>YEAR(Table6[[#This Row],[Date]])+IF(MONTH(Table6[[#This Row],[Date]])&gt;=4,1,0)</f>
        <v>2025</v>
      </c>
      <c r="C81" s="105">
        <f>YEAR(Table6[[#This Row],[Date]])</f>
        <v>2025</v>
      </c>
      <c r="D81" s="105" t="s">
        <v>490</v>
      </c>
      <c r="E81" s="119">
        <f>Table6[[#This Row],[Date]]-DAY(Table6[[#This Row],[Date]])+1</f>
        <v>45717</v>
      </c>
      <c r="F81" s="118">
        <v>45747</v>
      </c>
      <c r="G81" s="105" t="s">
        <v>149</v>
      </c>
      <c r="H81" s="39" t="str">
        <f>_xlfn.XLOOKUP(Table6[[#This Row],[Affected WTG]],'Basic Data'!$A:$A,'Basic Data'!$B:$B)</f>
        <v>PWEGPL</v>
      </c>
      <c r="I81" s="39" t="str">
        <f>_xlfn.XLOOKUP(Table6[[#This Row],[Affected WTG]],'Basic Data'!$A:$A,'Basic Data'!$C:$C)</f>
        <v>MSEDCL</v>
      </c>
      <c r="J81" s="345">
        <f>IFERROR(VLOOKUP(Table6[[#This Row],[Affected WTG]],'Basic Data'!$A$3:$E$56,5,0),"")</f>
        <v>2.564102564102564E-2</v>
      </c>
      <c r="K81" s="105">
        <v>812</v>
      </c>
      <c r="L81" s="39" t="str">
        <f>IFERROR(VLOOKUP(Table6[[#This Row],[Error Code]],'Basic Data'!$T:$U,2,0),"")</f>
        <v>Blade Position Meas. Error</v>
      </c>
      <c r="M81" s="346" t="s">
        <v>462</v>
      </c>
      <c r="N81" s="39" t="s">
        <v>1270</v>
      </c>
      <c r="O81" s="347">
        <v>0.48055555555555557</v>
      </c>
      <c r="P81" s="347">
        <v>0.48055555555555557</v>
      </c>
      <c r="Q81" s="347">
        <v>0.48402777777777778</v>
      </c>
      <c r="R81" s="348">
        <f>IF(Table6[[#This Row],[Work Start TimeStamp]]="","",(Table6[[#This Row],[Work Start TimeStamp]]-Table6[[#This Row],[Fault Start TimeStamp]])*24)</f>
        <v>0</v>
      </c>
      <c r="S81" s="349">
        <f>(Table6[[#This Row],[Fault Clearance time]]-Table6[[#This Row],[Work Start TimeStamp]])*24</f>
        <v>8.3333333333333037E-2</v>
      </c>
      <c r="T81" s="350">
        <f>(Table6[[#This Row],[Fault Clearance time]]-Table6[[#This Row],[Fault Start TimeStamp]])*24</f>
        <v>8.3333333333333037E-2</v>
      </c>
      <c r="U81" s="346" t="s">
        <v>480</v>
      </c>
      <c r="V81" s="351" t="s">
        <v>463</v>
      </c>
      <c r="W81" s="338">
        <f>Table6[[#This Row],[Breakdown Time]]*(1/39)</f>
        <v>2.1367521367521292E-3</v>
      </c>
      <c r="X81" s="336" t="s">
        <v>465</v>
      </c>
      <c r="Y81" s="352" t="s">
        <v>148</v>
      </c>
      <c r="Z81" s="105">
        <v>4764</v>
      </c>
      <c r="AA81" s="107">
        <v>16.541666666666607</v>
      </c>
      <c r="AB81" s="105" t="s">
        <v>478</v>
      </c>
    </row>
    <row r="82" spans="1:28">
      <c r="A82" s="105">
        <f t="shared" si="1"/>
        <v>81</v>
      </c>
      <c r="B82" s="107">
        <f>YEAR(Table6[[#This Row],[Date]])+IF(MONTH(Table6[[#This Row],[Date]])&gt;=4,1,0)</f>
        <v>2025</v>
      </c>
      <c r="C82" s="105">
        <f>YEAR(Table6[[#This Row],[Date]])</f>
        <v>2025</v>
      </c>
      <c r="D82" s="105" t="s">
        <v>490</v>
      </c>
      <c r="E82" s="119">
        <f>Table6[[#This Row],[Date]]-DAY(Table6[[#This Row],[Date]])+1</f>
        <v>45717</v>
      </c>
      <c r="F82" s="118">
        <v>45747</v>
      </c>
      <c r="G82" s="105" t="s">
        <v>149</v>
      </c>
      <c r="H82" s="39" t="str">
        <f>_xlfn.XLOOKUP(Table6[[#This Row],[Affected WTG]],'Basic Data'!$A:$A,'Basic Data'!$B:$B)</f>
        <v>PWEGPL</v>
      </c>
      <c r="I82" s="39" t="str">
        <f>_xlfn.XLOOKUP(Table6[[#This Row],[Affected WTG]],'Basic Data'!$A:$A,'Basic Data'!$C:$C)</f>
        <v>MSEDCL</v>
      </c>
      <c r="J82" s="345">
        <f>IFERROR(VLOOKUP(Table6[[#This Row],[Affected WTG]],'Basic Data'!$A$3:$E$56,5,0),"")</f>
        <v>2.564102564102564E-2</v>
      </c>
      <c r="K82" s="105">
        <v>812</v>
      </c>
      <c r="L82" s="39" t="str">
        <f>IFERROR(VLOOKUP(Table6[[#This Row],[Error Code]],'Basic Data'!$T:$U,2,0),"")</f>
        <v>Blade Position Meas. Error</v>
      </c>
      <c r="M82" s="346" t="s">
        <v>462</v>
      </c>
      <c r="N82" s="39" t="s">
        <v>1270</v>
      </c>
      <c r="O82" s="347">
        <v>0.51041666666666663</v>
      </c>
      <c r="P82" s="347">
        <v>0.51041666666666663</v>
      </c>
      <c r="Q82" s="347">
        <v>0.54722222222222228</v>
      </c>
      <c r="R82" s="348">
        <f>IF(Table6[[#This Row],[Work Start TimeStamp]]="","",(Table6[[#This Row],[Work Start TimeStamp]]-Table6[[#This Row],[Fault Start TimeStamp]])*24)</f>
        <v>0</v>
      </c>
      <c r="S82" s="349">
        <f>(Table6[[#This Row],[Fault Clearance time]]-Table6[[#This Row],[Work Start TimeStamp]])*24</f>
        <v>0.88333333333333552</v>
      </c>
      <c r="T82" s="350">
        <f>(Table6[[#This Row],[Fault Clearance time]]-Table6[[#This Row],[Fault Start TimeStamp]])*24</f>
        <v>0.88333333333333552</v>
      </c>
      <c r="U82" s="346" t="s">
        <v>493</v>
      </c>
      <c r="V82" s="351" t="s">
        <v>463</v>
      </c>
      <c r="W82" s="338">
        <f>Table6[[#This Row],[Breakdown Time]]*(1/39)</f>
        <v>2.2649572649572704E-2</v>
      </c>
      <c r="X82" s="336" t="s">
        <v>465</v>
      </c>
      <c r="Y82" s="352" t="s">
        <v>148</v>
      </c>
      <c r="Z82" s="105">
        <v>4764</v>
      </c>
      <c r="AA82" s="107">
        <v>175.34166666666709</v>
      </c>
      <c r="AB82" s="105" t="s">
        <v>478</v>
      </c>
    </row>
    <row r="83" spans="1:28">
      <c r="A83" s="105">
        <f t="shared" si="1"/>
        <v>82</v>
      </c>
      <c r="B83" s="107">
        <f>YEAR(Table6[[#This Row],[Date]])+IF(MONTH(Table6[[#This Row],[Date]])&gt;=4,1,0)</f>
        <v>2025</v>
      </c>
      <c r="C83" s="105">
        <f>YEAR(Table6[[#This Row],[Date]])</f>
        <v>2025</v>
      </c>
      <c r="D83" s="105" t="s">
        <v>490</v>
      </c>
      <c r="E83" s="119">
        <f>Table6[[#This Row],[Date]]-DAY(Table6[[#This Row],[Date]])+1</f>
        <v>45717</v>
      </c>
      <c r="F83" s="118">
        <v>45747</v>
      </c>
      <c r="G83" s="105" t="s">
        <v>149</v>
      </c>
      <c r="H83" s="39" t="str">
        <f>_xlfn.XLOOKUP(Table6[[#This Row],[Affected WTG]],'Basic Data'!$A:$A,'Basic Data'!$B:$B)</f>
        <v>PWEGPL</v>
      </c>
      <c r="I83" s="39" t="str">
        <f>_xlfn.XLOOKUP(Table6[[#This Row],[Affected WTG]],'Basic Data'!$A:$A,'Basic Data'!$C:$C)</f>
        <v>MSEDCL</v>
      </c>
      <c r="J83" s="345">
        <f>IFERROR(VLOOKUP(Table6[[#This Row],[Affected WTG]],'Basic Data'!$A$3:$E$56,5,0),"")</f>
        <v>2.564102564102564E-2</v>
      </c>
      <c r="K83" s="105">
        <v>804</v>
      </c>
      <c r="L83" s="39" t="str">
        <f>IFERROR(VLOOKUP(Table6[[#This Row],[Error Code]],'Basic Data'!$T:$U,2,0),"")</f>
        <v>Difference Between 2 Blades Too High</v>
      </c>
      <c r="M83" s="346" t="s">
        <v>462</v>
      </c>
      <c r="N83" s="39" t="s">
        <v>1270</v>
      </c>
      <c r="O83" s="347">
        <v>0.5708333333333333</v>
      </c>
      <c r="P83" s="347">
        <v>0.5708333333333333</v>
      </c>
      <c r="Q83" s="347">
        <v>0.59097222222222223</v>
      </c>
      <c r="R83" s="348">
        <f>IF(Table6[[#This Row],[Work Start TimeStamp]]="","",(Table6[[#This Row],[Work Start TimeStamp]]-Table6[[#This Row],[Fault Start TimeStamp]])*24)</f>
        <v>0</v>
      </c>
      <c r="S83" s="349">
        <f>(Table6[[#This Row],[Fault Clearance time]]-Table6[[#This Row],[Work Start TimeStamp]])*24</f>
        <v>0.48333333333333428</v>
      </c>
      <c r="T83" s="350">
        <f>(Table6[[#This Row],[Fault Clearance time]]-Table6[[#This Row],[Fault Start TimeStamp]])*24</f>
        <v>0.48333333333333428</v>
      </c>
      <c r="U83" s="346" t="s">
        <v>493</v>
      </c>
      <c r="V83" s="351" t="s">
        <v>463</v>
      </c>
      <c r="W83" s="338">
        <f>Table6[[#This Row],[Breakdown Time]]*(1/39)</f>
        <v>1.2393162393162417E-2</v>
      </c>
      <c r="X83" s="336" t="s">
        <v>465</v>
      </c>
      <c r="Y83" s="352" t="s">
        <v>148</v>
      </c>
      <c r="Z83" s="105">
        <v>4764</v>
      </c>
      <c r="AA83" s="107">
        <v>95.941666666666862</v>
      </c>
      <c r="AB83" s="105" t="s">
        <v>478</v>
      </c>
    </row>
    <row r="84" spans="1:28">
      <c r="A84" s="105">
        <f t="shared" si="1"/>
        <v>83</v>
      </c>
      <c r="B84" s="107">
        <f>YEAR(Table6[[#This Row],[Date]])+IF(MONTH(Table6[[#This Row],[Date]])&gt;=4,1,0)</f>
        <v>2025</v>
      </c>
      <c r="C84" s="105">
        <f>YEAR(Table6[[#This Row],[Date]])</f>
        <v>2025</v>
      </c>
      <c r="D84" s="105" t="s">
        <v>490</v>
      </c>
      <c r="E84" s="119">
        <f>Table6[[#This Row],[Date]]-DAY(Table6[[#This Row],[Date]])+1</f>
        <v>45717</v>
      </c>
      <c r="F84" s="118">
        <v>45747</v>
      </c>
      <c r="G84" s="105" t="s">
        <v>149</v>
      </c>
      <c r="H84" s="39" t="str">
        <f>_xlfn.XLOOKUP(Table6[[#This Row],[Affected WTG]],'Basic Data'!$A:$A,'Basic Data'!$B:$B)</f>
        <v>PWEGPL</v>
      </c>
      <c r="I84" s="39" t="str">
        <f>_xlfn.XLOOKUP(Table6[[#This Row],[Affected WTG]],'Basic Data'!$A:$A,'Basic Data'!$C:$C)</f>
        <v>MSEDCL</v>
      </c>
      <c r="J84" s="345">
        <f>IFERROR(VLOOKUP(Table6[[#This Row],[Affected WTG]],'Basic Data'!$A$3:$E$56,5,0),"")</f>
        <v>2.564102564102564E-2</v>
      </c>
      <c r="K84" s="105">
        <v>5201</v>
      </c>
      <c r="L84" s="39" t="str">
        <f>IFERROR(VLOOKUP(Table6[[#This Row],[Error Code]],'Basic Data'!$T:$U,2,0),"")</f>
        <v>Magnetothermic Trigger Of The Stator Protection</v>
      </c>
      <c r="M84" s="346" t="s">
        <v>462</v>
      </c>
      <c r="N84" s="39" t="s">
        <v>1270</v>
      </c>
      <c r="O84" s="347">
        <v>0.80555555555555558</v>
      </c>
      <c r="P84" s="347">
        <v>0.80555555555555558</v>
      </c>
      <c r="Q84" s="347">
        <v>0.99930555555555556</v>
      </c>
      <c r="R84" s="348">
        <f>IF(Table6[[#This Row],[Work Start TimeStamp]]="","",(Table6[[#This Row],[Work Start TimeStamp]]-Table6[[#This Row],[Fault Start TimeStamp]])*24)</f>
        <v>0</v>
      </c>
      <c r="S84" s="349">
        <f>(Table6[[#This Row],[Fault Clearance time]]-Table6[[#This Row],[Work Start TimeStamp]])*24</f>
        <v>4.6499999999999995</v>
      </c>
      <c r="T84" s="350">
        <f>(Table6[[#This Row],[Fault Clearance time]]-Table6[[#This Row],[Fault Start TimeStamp]])*24</f>
        <v>4.6499999999999995</v>
      </c>
      <c r="U84" s="346" t="s">
        <v>500</v>
      </c>
      <c r="V84" s="351" t="s">
        <v>473</v>
      </c>
      <c r="W84" s="338">
        <f>Table6[[#This Row],[Breakdown Time]]*(1/39)</f>
        <v>0.11923076923076921</v>
      </c>
      <c r="X84" s="336" t="s">
        <v>465</v>
      </c>
      <c r="Y84" s="352" t="s">
        <v>148</v>
      </c>
      <c r="Z84" s="105">
        <v>4764</v>
      </c>
      <c r="AA84" s="107">
        <v>923.02499999999986</v>
      </c>
      <c r="AB84" s="105" t="s">
        <v>478</v>
      </c>
    </row>
    <row r="85" spans="1:28">
      <c r="A85" s="105">
        <f t="shared" si="1"/>
        <v>84</v>
      </c>
      <c r="B85" s="107">
        <f>YEAR(Table6[[#This Row],[Date]])+IF(MONTH(Table6[[#This Row],[Date]])&gt;=4,1,0)</f>
        <v>2025</v>
      </c>
      <c r="C85" s="105">
        <f>YEAR(Table6[[#This Row],[Date]])</f>
        <v>2025</v>
      </c>
      <c r="D85" s="105" t="s">
        <v>490</v>
      </c>
      <c r="E85" s="119">
        <f>Table6[[#This Row],[Date]]-DAY(Table6[[#This Row],[Date]])+1</f>
        <v>45717</v>
      </c>
      <c r="F85" s="118">
        <v>45747</v>
      </c>
      <c r="G85" s="105" t="s">
        <v>150</v>
      </c>
      <c r="H85" s="39" t="str">
        <f>_xlfn.XLOOKUP(Table6[[#This Row],[Affected WTG]],'Basic Data'!$A:$A,'Basic Data'!$B:$B)</f>
        <v>PWEGPL</v>
      </c>
      <c r="I85" s="39" t="str">
        <f>_xlfn.XLOOKUP(Table6[[#This Row],[Affected WTG]],'Basic Data'!$A:$A,'Basic Data'!$C:$C)</f>
        <v>MSEDCL</v>
      </c>
      <c r="J85" s="345">
        <f>IFERROR(VLOOKUP(Table6[[#This Row],[Affected WTG]],'Basic Data'!$A$3:$E$56,5,0),"")</f>
        <v>2.564102564102564E-2</v>
      </c>
      <c r="K85" s="105">
        <v>205</v>
      </c>
      <c r="L85" s="39" t="str">
        <f>IFERROR(VLOOKUP(Table6[[#This Row],[Error Code]],'Basic Data'!$T:$U,2,0),"")</f>
        <v>Low Level Hydraulic Group Refrigeration Oil</v>
      </c>
      <c r="M85" s="346" t="s">
        <v>462</v>
      </c>
      <c r="N85" s="39" t="s">
        <v>1270</v>
      </c>
      <c r="O85" s="347">
        <v>0.3576388888888889</v>
      </c>
      <c r="P85" s="347">
        <v>0.59027777777777779</v>
      </c>
      <c r="Q85" s="347">
        <v>0.79652777777777772</v>
      </c>
      <c r="R85" s="348">
        <f>IF(Table6[[#This Row],[Work Start TimeStamp]]="","",(Table6[[#This Row],[Work Start TimeStamp]]-Table6[[#This Row],[Fault Start TimeStamp]])*24)</f>
        <v>5.5833333333333339</v>
      </c>
      <c r="S85" s="349">
        <f>(Table6[[#This Row],[Fault Clearance time]]-Table6[[#This Row],[Work Start TimeStamp]])*24</f>
        <v>4.9499999999999984</v>
      </c>
      <c r="T85" s="350">
        <f>(Table6[[#This Row],[Fault Clearance time]]-Table6[[#This Row],[Fault Start TimeStamp]])*24</f>
        <v>10.533333333333331</v>
      </c>
      <c r="U85" s="346" t="s">
        <v>512</v>
      </c>
      <c r="V85" s="351" t="s">
        <v>463</v>
      </c>
      <c r="W85" s="338">
        <f>Table6[[#This Row],[Breakdown Time]]*(1/39)</f>
        <v>0.27008547008547001</v>
      </c>
      <c r="X85" s="336" t="s">
        <v>465</v>
      </c>
      <c r="Y85" s="352" t="s">
        <v>149</v>
      </c>
      <c r="Z85" s="105">
        <v>4792</v>
      </c>
      <c r="AA85" s="107">
        <v>2103.1555555555551</v>
      </c>
      <c r="AB85" s="105" t="s">
        <v>478</v>
      </c>
    </row>
    <row r="86" spans="1:28">
      <c r="A86" s="105">
        <f t="shared" si="1"/>
        <v>85</v>
      </c>
      <c r="B86" s="107">
        <f>YEAR(Table6[[#This Row],[Date]])+IF(MONTH(Table6[[#This Row],[Date]])&gt;=4,1,0)</f>
        <v>2025</v>
      </c>
      <c r="C86" s="105">
        <f>YEAR(Table6[[#This Row],[Date]])</f>
        <v>2025</v>
      </c>
      <c r="D86" s="105" t="s">
        <v>490</v>
      </c>
      <c r="E86" s="119">
        <f>Table6[[#This Row],[Date]]-DAY(Table6[[#This Row],[Date]])+1</f>
        <v>45717</v>
      </c>
      <c r="F86" s="118">
        <v>45747</v>
      </c>
      <c r="G86" s="105" t="s">
        <v>151</v>
      </c>
      <c r="H86" s="39" t="str">
        <f>_xlfn.XLOOKUP(Table6[[#This Row],[Affected WTG]],'Basic Data'!$A:$A,'Basic Data'!$B:$B)</f>
        <v>PWEGPL</v>
      </c>
      <c r="I86" s="39" t="str">
        <f>_xlfn.XLOOKUP(Table6[[#This Row],[Affected WTG]],'Basic Data'!$A:$A,'Basic Data'!$C:$C)</f>
        <v>MSEDCL</v>
      </c>
      <c r="J86" s="345">
        <f>IFERROR(VLOOKUP(Table6[[#This Row],[Affected WTG]],'Basic Data'!$A$3:$E$56,5,0),"")</f>
        <v>2.564102564102564E-2</v>
      </c>
      <c r="K86" s="105">
        <v>222</v>
      </c>
      <c r="L86" s="39" t="str">
        <f>IFERROR(VLOOKUP(Table6[[#This Row],[Error Code]],'Basic Data'!$T:$U,2,0),"")</f>
        <v>Very Low Pressure On Hydraulic Unit</v>
      </c>
      <c r="M86" s="346" t="s">
        <v>462</v>
      </c>
      <c r="N86" s="39" t="s">
        <v>1270</v>
      </c>
      <c r="O86" s="347">
        <v>0.80555555555555558</v>
      </c>
      <c r="P86" s="347">
        <v>0.80555555555555558</v>
      </c>
      <c r="Q86" s="347">
        <v>0.82777777777777772</v>
      </c>
      <c r="R86" s="348">
        <f>IF(Table6[[#This Row],[Work Start TimeStamp]]="","",(Table6[[#This Row],[Work Start TimeStamp]]-Table6[[#This Row],[Fault Start TimeStamp]])*24)</f>
        <v>0</v>
      </c>
      <c r="S86" s="349">
        <f>(Table6[[#This Row],[Fault Clearance time]]-Table6[[#This Row],[Work Start TimeStamp]])*24</f>
        <v>0.53333333333333144</v>
      </c>
      <c r="T86" s="350">
        <f>(Table6[[#This Row],[Fault Clearance time]]-Table6[[#This Row],[Fault Start TimeStamp]])*24</f>
        <v>0.53333333333333144</v>
      </c>
      <c r="U86" s="346" t="s">
        <v>493</v>
      </c>
      <c r="V86" s="351" t="s">
        <v>463</v>
      </c>
      <c r="W86" s="338">
        <f>Table6[[#This Row],[Breakdown Time]]*(1/39)</f>
        <v>1.3675213675213627E-2</v>
      </c>
      <c r="X86" s="336" t="s">
        <v>465</v>
      </c>
      <c r="Y86" s="352" t="s">
        <v>152</v>
      </c>
      <c r="Z86" s="105">
        <v>7552</v>
      </c>
      <c r="AA86" s="107">
        <v>167.82222222222163</v>
      </c>
      <c r="AB86" s="105" t="s">
        <v>478</v>
      </c>
    </row>
    <row r="87" spans="1:28">
      <c r="A87" s="105">
        <f t="shared" si="1"/>
        <v>86</v>
      </c>
      <c r="B87" s="107">
        <f>YEAR(Table6[[#This Row],[Date]])+IF(MONTH(Table6[[#This Row],[Date]])&gt;=4,1,0)</f>
        <v>2025</v>
      </c>
      <c r="C87" s="105">
        <f>YEAR(Table6[[#This Row],[Date]])</f>
        <v>2025</v>
      </c>
      <c r="D87" s="105" t="s">
        <v>490</v>
      </c>
      <c r="E87" s="119">
        <f>Table6[[#This Row],[Date]]-DAY(Table6[[#This Row],[Date]])+1</f>
        <v>45717</v>
      </c>
      <c r="F87" s="118">
        <v>45747</v>
      </c>
      <c r="G87" s="105" t="s">
        <v>152</v>
      </c>
      <c r="H87" s="39" t="str">
        <f>_xlfn.XLOOKUP(Table6[[#This Row],[Affected WTG]],'Basic Data'!$A:$A,'Basic Data'!$B:$B)</f>
        <v>PWEGPL</v>
      </c>
      <c r="I87" s="39" t="str">
        <f>_xlfn.XLOOKUP(Table6[[#This Row],[Affected WTG]],'Basic Data'!$A:$A,'Basic Data'!$C:$C)</f>
        <v>MSEDCL</v>
      </c>
      <c r="J87" s="345">
        <f>IFERROR(VLOOKUP(Table6[[#This Row],[Affected WTG]],'Basic Data'!$A$3:$E$56,5,0),"")</f>
        <v>2.564102564102564E-2</v>
      </c>
      <c r="K87" s="105">
        <v>222</v>
      </c>
      <c r="L87" s="39" t="str">
        <f>IFERROR(VLOOKUP(Table6[[#This Row],[Error Code]],'Basic Data'!$T:$U,2,0),"")</f>
        <v>Very Low Pressure On Hydraulic Unit</v>
      </c>
      <c r="M87" s="346" t="s">
        <v>462</v>
      </c>
      <c r="N87" s="39" t="s">
        <v>1270</v>
      </c>
      <c r="O87" s="347">
        <v>0.80555555555555558</v>
      </c>
      <c r="P87" s="347">
        <v>0.80555555555555558</v>
      </c>
      <c r="Q87" s="347">
        <v>0.82777777777777772</v>
      </c>
      <c r="R87" s="348">
        <f>IF(Table6[[#This Row],[Work Start TimeStamp]]="","",(Table6[[#This Row],[Work Start TimeStamp]]-Table6[[#This Row],[Fault Start TimeStamp]])*24)</f>
        <v>0</v>
      </c>
      <c r="S87" s="349">
        <f>(Table6[[#This Row],[Fault Clearance time]]-Table6[[#This Row],[Work Start TimeStamp]])*24</f>
        <v>0.53333333333333144</v>
      </c>
      <c r="T87" s="350">
        <f>(Table6[[#This Row],[Fault Clearance time]]-Table6[[#This Row],[Fault Start TimeStamp]])*24</f>
        <v>0.53333333333333144</v>
      </c>
      <c r="U87" s="346" t="s">
        <v>493</v>
      </c>
      <c r="V87" s="351" t="s">
        <v>463</v>
      </c>
      <c r="W87" s="338">
        <f>Table6[[#This Row],[Breakdown Time]]*(1/39)</f>
        <v>1.3675213675213627E-2</v>
      </c>
      <c r="X87" s="336" t="s">
        <v>465</v>
      </c>
      <c r="Y87" s="352" t="s">
        <v>151</v>
      </c>
      <c r="Z87" s="105">
        <v>6680</v>
      </c>
      <c r="AA87" s="107">
        <v>148.44444444444392</v>
      </c>
      <c r="AB87" s="105" t="s">
        <v>478</v>
      </c>
    </row>
    <row r="88" spans="1:28">
      <c r="A88" s="105">
        <f t="shared" si="1"/>
        <v>87</v>
      </c>
      <c r="B88" s="107">
        <f>YEAR(Table6[[#This Row],[Date]])+IF(MONTH(Table6[[#This Row],[Date]])&gt;=4,1,0)</f>
        <v>2025</v>
      </c>
      <c r="C88" s="105">
        <f>YEAR(Table6[[#This Row],[Date]])</f>
        <v>2025</v>
      </c>
      <c r="D88" s="105" t="s">
        <v>490</v>
      </c>
      <c r="E88" s="119">
        <f>Table6[[#This Row],[Date]]-DAY(Table6[[#This Row],[Date]])+1</f>
        <v>45717</v>
      </c>
      <c r="F88" s="118">
        <v>45747</v>
      </c>
      <c r="G88" s="105" t="s">
        <v>153</v>
      </c>
      <c r="H88" s="39" t="str">
        <f>_xlfn.XLOOKUP(Table6[[#This Row],[Affected WTG]],'Basic Data'!$A:$A,'Basic Data'!$B:$B)</f>
        <v>PWEGPL</v>
      </c>
      <c r="I88" s="39" t="str">
        <f>_xlfn.XLOOKUP(Table6[[#This Row],[Affected WTG]],'Basic Data'!$A:$A,'Basic Data'!$C:$C)</f>
        <v>MSEDCL</v>
      </c>
      <c r="J88" s="345">
        <f>IFERROR(VLOOKUP(Table6[[#This Row],[Affected WTG]],'Basic Data'!$A$3:$E$56,5,0),"")</f>
        <v>2.564102564102564E-2</v>
      </c>
      <c r="K88" s="105">
        <v>804</v>
      </c>
      <c r="L88" s="39" t="str">
        <f>IFERROR(VLOOKUP(Table6[[#This Row],[Error Code]],'Basic Data'!$T:$U,2,0),"")</f>
        <v>Difference Between 2 Blades Too High</v>
      </c>
      <c r="M88" s="346" t="s">
        <v>462</v>
      </c>
      <c r="N88" s="39" t="s">
        <v>1270</v>
      </c>
      <c r="O88" s="347">
        <v>0.29583333333333334</v>
      </c>
      <c r="P88" s="347">
        <v>0.29583333333333334</v>
      </c>
      <c r="Q88" s="347">
        <v>0.29930555555555555</v>
      </c>
      <c r="R88" s="348">
        <f>IF(Table6[[#This Row],[Work Start TimeStamp]]="","",(Table6[[#This Row],[Work Start TimeStamp]]-Table6[[#This Row],[Fault Start TimeStamp]])*24)</f>
        <v>0</v>
      </c>
      <c r="S88" s="349">
        <f>(Table6[[#This Row],[Fault Clearance time]]-Table6[[#This Row],[Work Start TimeStamp]])*24</f>
        <v>8.3333333333333037E-2</v>
      </c>
      <c r="T88" s="350">
        <f>(Table6[[#This Row],[Fault Clearance time]]-Table6[[#This Row],[Fault Start TimeStamp]])*24</f>
        <v>8.3333333333333037E-2</v>
      </c>
      <c r="U88" s="346" t="s">
        <v>480</v>
      </c>
      <c r="V88" s="351" t="s">
        <v>463</v>
      </c>
      <c r="W88" s="338">
        <f>Table6[[#This Row],[Breakdown Time]]*(1/39)</f>
        <v>2.1367521367521292E-3</v>
      </c>
      <c r="X88" s="336" t="s">
        <v>465</v>
      </c>
      <c r="Y88" s="352" t="s">
        <v>152</v>
      </c>
      <c r="Z88" s="105">
        <v>7552</v>
      </c>
      <c r="AA88" s="107">
        <v>26.222222222222129</v>
      </c>
      <c r="AB88" s="105" t="s">
        <v>478</v>
      </c>
    </row>
    <row r="89" spans="1:28">
      <c r="A89" s="105">
        <f t="shared" si="1"/>
        <v>88</v>
      </c>
      <c r="B89" s="107">
        <f>YEAR(Table6[[#This Row],[Date]])+IF(MONTH(Table6[[#This Row],[Date]])&gt;=4,1,0)</f>
        <v>2025</v>
      </c>
      <c r="C89" s="105">
        <f>YEAR(Table6[[#This Row],[Date]])</f>
        <v>2025</v>
      </c>
      <c r="D89" s="105" t="s">
        <v>490</v>
      </c>
      <c r="E89" s="119">
        <f>Table6[[#This Row],[Date]]-DAY(Table6[[#This Row],[Date]])+1</f>
        <v>45717</v>
      </c>
      <c r="F89" s="118">
        <v>45747</v>
      </c>
      <c r="G89" s="105" t="s">
        <v>153</v>
      </c>
      <c r="H89" s="39" t="str">
        <f>_xlfn.XLOOKUP(Table6[[#This Row],[Affected WTG]],'Basic Data'!$A:$A,'Basic Data'!$B:$B)</f>
        <v>PWEGPL</v>
      </c>
      <c r="I89" s="39" t="str">
        <f>_xlfn.XLOOKUP(Table6[[#This Row],[Affected WTG]],'Basic Data'!$A:$A,'Basic Data'!$C:$C)</f>
        <v>MSEDCL</v>
      </c>
      <c r="J89" s="345">
        <f>IFERROR(VLOOKUP(Table6[[#This Row],[Affected WTG]],'Basic Data'!$A$3:$E$56,5,0),"")</f>
        <v>2.564102564102564E-2</v>
      </c>
      <c r="K89" s="105">
        <v>812</v>
      </c>
      <c r="L89" s="39" t="str">
        <f>IFERROR(VLOOKUP(Table6[[#This Row],[Error Code]],'Basic Data'!$T:$U,2,0),"")</f>
        <v>Blade Position Meas. Error</v>
      </c>
      <c r="M89" s="346" t="s">
        <v>462</v>
      </c>
      <c r="N89" s="39" t="s">
        <v>1270</v>
      </c>
      <c r="O89" s="347">
        <v>0.61458333333333337</v>
      </c>
      <c r="P89" s="347">
        <v>0.61458333333333337</v>
      </c>
      <c r="Q89" s="347">
        <v>0.61805555555555558</v>
      </c>
      <c r="R89" s="348">
        <f>IF(Table6[[#This Row],[Work Start TimeStamp]]="","",(Table6[[#This Row],[Work Start TimeStamp]]-Table6[[#This Row],[Fault Start TimeStamp]])*24)</f>
        <v>0</v>
      </c>
      <c r="S89" s="349">
        <f>(Table6[[#This Row],[Fault Clearance time]]-Table6[[#This Row],[Work Start TimeStamp]])*24</f>
        <v>8.3333333333333037E-2</v>
      </c>
      <c r="T89" s="350">
        <f>(Table6[[#This Row],[Fault Clearance time]]-Table6[[#This Row],[Fault Start TimeStamp]])*24</f>
        <v>8.3333333333333037E-2</v>
      </c>
      <c r="U89" s="346" t="s">
        <v>480</v>
      </c>
      <c r="V89" s="351" t="s">
        <v>463</v>
      </c>
      <c r="W89" s="338">
        <f>Table6[[#This Row],[Breakdown Time]]*(1/39)</f>
        <v>2.1367521367521292E-3</v>
      </c>
      <c r="X89" s="336" t="s">
        <v>465</v>
      </c>
      <c r="Y89" s="352" t="s">
        <v>152</v>
      </c>
      <c r="Z89" s="105">
        <v>7552</v>
      </c>
      <c r="AA89" s="107">
        <v>26.222222222222129</v>
      </c>
      <c r="AB89" s="105" t="s">
        <v>478</v>
      </c>
    </row>
    <row r="90" spans="1:28">
      <c r="A90" s="105">
        <f t="shared" si="1"/>
        <v>89</v>
      </c>
      <c r="B90" s="107">
        <f>YEAR(Table6[[#This Row],[Date]])+IF(MONTH(Table6[[#This Row],[Date]])&gt;=4,1,0)</f>
        <v>2025</v>
      </c>
      <c r="C90" s="105">
        <f>YEAR(Table6[[#This Row],[Date]])</f>
        <v>2025</v>
      </c>
      <c r="D90" s="105" t="s">
        <v>490</v>
      </c>
      <c r="E90" s="119">
        <f>Table6[[#This Row],[Date]]-DAY(Table6[[#This Row],[Date]])+1</f>
        <v>45717</v>
      </c>
      <c r="F90" s="118">
        <v>45747</v>
      </c>
      <c r="G90" s="105" t="s">
        <v>153</v>
      </c>
      <c r="H90" s="39" t="str">
        <f>_xlfn.XLOOKUP(Table6[[#This Row],[Affected WTG]],'Basic Data'!$A:$A,'Basic Data'!$B:$B)</f>
        <v>PWEGPL</v>
      </c>
      <c r="I90" s="39" t="str">
        <f>_xlfn.XLOOKUP(Table6[[#This Row],[Affected WTG]],'Basic Data'!$A:$A,'Basic Data'!$C:$C)</f>
        <v>MSEDCL</v>
      </c>
      <c r="J90" s="345">
        <f>IFERROR(VLOOKUP(Table6[[#This Row],[Affected WTG]],'Basic Data'!$A$3:$E$56,5,0),"")</f>
        <v>2.564102564102564E-2</v>
      </c>
      <c r="K90" s="105">
        <v>812</v>
      </c>
      <c r="L90" s="39" t="str">
        <f>IFERROR(VLOOKUP(Table6[[#This Row],[Error Code]],'Basic Data'!$T:$U,2,0),"")</f>
        <v>Blade Position Meas. Error</v>
      </c>
      <c r="M90" s="346" t="s">
        <v>462</v>
      </c>
      <c r="N90" s="39" t="s">
        <v>1270</v>
      </c>
      <c r="O90" s="347">
        <v>0.65277777777777779</v>
      </c>
      <c r="P90" s="347">
        <v>0.65277777777777779</v>
      </c>
      <c r="Q90" s="347">
        <v>0.65625</v>
      </c>
      <c r="R90" s="348">
        <f>IF(Table6[[#This Row],[Work Start TimeStamp]]="","",(Table6[[#This Row],[Work Start TimeStamp]]-Table6[[#This Row],[Fault Start TimeStamp]])*24)</f>
        <v>0</v>
      </c>
      <c r="S90" s="349">
        <f>(Table6[[#This Row],[Fault Clearance time]]-Table6[[#This Row],[Work Start TimeStamp]])*24</f>
        <v>8.3333333333333037E-2</v>
      </c>
      <c r="T90" s="350">
        <f>(Table6[[#This Row],[Fault Clearance time]]-Table6[[#This Row],[Fault Start TimeStamp]])*24</f>
        <v>8.3333333333333037E-2</v>
      </c>
      <c r="U90" s="346" t="s">
        <v>480</v>
      </c>
      <c r="V90" s="351" t="s">
        <v>463</v>
      </c>
      <c r="W90" s="338">
        <f>Table6[[#This Row],[Breakdown Time]]*(1/39)</f>
        <v>2.1367521367521292E-3</v>
      </c>
      <c r="X90" s="336" t="s">
        <v>465</v>
      </c>
      <c r="Y90" s="352" t="s">
        <v>152</v>
      </c>
      <c r="Z90" s="105">
        <v>7552</v>
      </c>
      <c r="AA90" s="107">
        <v>26.222222222222129</v>
      </c>
      <c r="AB90" s="105" t="s">
        <v>478</v>
      </c>
    </row>
    <row r="91" spans="1:28">
      <c r="A91" s="105">
        <f t="shared" si="1"/>
        <v>90</v>
      </c>
      <c r="B91" s="107">
        <f>YEAR(Table6[[#This Row],[Date]])+IF(MONTH(Table6[[#This Row],[Date]])&gt;=4,1,0)</f>
        <v>2025</v>
      </c>
      <c r="C91" s="105">
        <f>YEAR(Table6[[#This Row],[Date]])</f>
        <v>2025</v>
      </c>
      <c r="D91" s="105" t="s">
        <v>490</v>
      </c>
      <c r="E91" s="119">
        <f>Table6[[#This Row],[Date]]-DAY(Table6[[#This Row],[Date]])+1</f>
        <v>45717</v>
      </c>
      <c r="F91" s="118">
        <v>45747</v>
      </c>
      <c r="G91" s="105" t="s">
        <v>153</v>
      </c>
      <c r="H91" s="39" t="str">
        <f>_xlfn.XLOOKUP(Table6[[#This Row],[Affected WTG]],'Basic Data'!$A:$A,'Basic Data'!$B:$B)</f>
        <v>PWEGPL</v>
      </c>
      <c r="I91" s="39" t="str">
        <f>_xlfn.XLOOKUP(Table6[[#This Row],[Affected WTG]],'Basic Data'!$A:$A,'Basic Data'!$C:$C)</f>
        <v>MSEDCL</v>
      </c>
      <c r="J91" s="345">
        <f>IFERROR(VLOOKUP(Table6[[#This Row],[Affected WTG]],'Basic Data'!$A$3:$E$56,5,0),"")</f>
        <v>2.564102564102564E-2</v>
      </c>
      <c r="K91" s="105">
        <v>812</v>
      </c>
      <c r="L91" s="39" t="str">
        <f>IFERROR(VLOOKUP(Table6[[#This Row],[Error Code]],'Basic Data'!$T:$U,2,0),"")</f>
        <v>Blade Position Meas. Error</v>
      </c>
      <c r="M91" s="346" t="s">
        <v>462</v>
      </c>
      <c r="N91" s="39" t="s">
        <v>1270</v>
      </c>
      <c r="O91" s="347">
        <v>0.74513888888888891</v>
      </c>
      <c r="P91" s="347">
        <v>0.74513888888888891</v>
      </c>
      <c r="Q91" s="347">
        <v>0.74861111111111112</v>
      </c>
      <c r="R91" s="348">
        <f>IF(Table6[[#This Row],[Work Start TimeStamp]]="","",(Table6[[#This Row],[Work Start TimeStamp]]-Table6[[#This Row],[Fault Start TimeStamp]])*24)</f>
        <v>0</v>
      </c>
      <c r="S91" s="349">
        <f>(Table6[[#This Row],[Fault Clearance time]]-Table6[[#This Row],[Work Start TimeStamp]])*24</f>
        <v>8.3333333333333037E-2</v>
      </c>
      <c r="T91" s="350">
        <f>(Table6[[#This Row],[Fault Clearance time]]-Table6[[#This Row],[Fault Start TimeStamp]])*24</f>
        <v>8.3333333333333037E-2</v>
      </c>
      <c r="U91" s="346" t="s">
        <v>480</v>
      </c>
      <c r="V91" s="351" t="s">
        <v>463</v>
      </c>
      <c r="W91" s="338">
        <f>Table6[[#This Row],[Breakdown Time]]*(1/39)</f>
        <v>2.1367521367521292E-3</v>
      </c>
      <c r="X91" s="336" t="s">
        <v>465</v>
      </c>
      <c r="Y91" s="352" t="s">
        <v>152</v>
      </c>
      <c r="Z91" s="105">
        <v>7552</v>
      </c>
      <c r="AA91" s="107">
        <v>26.222222222222129</v>
      </c>
      <c r="AB91" s="105" t="s">
        <v>478</v>
      </c>
    </row>
    <row r="92" spans="1:28">
      <c r="A92" s="105">
        <f t="shared" si="1"/>
        <v>91</v>
      </c>
      <c r="B92" s="107">
        <f>YEAR(Table6[[#This Row],[Date]])+IF(MONTH(Table6[[#This Row],[Date]])&gt;=4,1,0)</f>
        <v>2025</v>
      </c>
      <c r="C92" s="105">
        <f>YEAR(Table6[[#This Row],[Date]])</f>
        <v>2025</v>
      </c>
      <c r="D92" s="105" t="s">
        <v>490</v>
      </c>
      <c r="E92" s="119">
        <f>Table6[[#This Row],[Date]]-DAY(Table6[[#This Row],[Date]])+1</f>
        <v>45717</v>
      </c>
      <c r="F92" s="118">
        <v>45747</v>
      </c>
      <c r="G92" s="105" t="s">
        <v>153</v>
      </c>
      <c r="H92" s="39" t="str">
        <f>_xlfn.XLOOKUP(Table6[[#This Row],[Affected WTG]],'Basic Data'!$A:$A,'Basic Data'!$B:$B)</f>
        <v>PWEGPL</v>
      </c>
      <c r="I92" s="39" t="str">
        <f>_xlfn.XLOOKUP(Table6[[#This Row],[Affected WTG]],'Basic Data'!$A:$A,'Basic Data'!$C:$C)</f>
        <v>MSEDCL</v>
      </c>
      <c r="J92" s="345">
        <f>IFERROR(VLOOKUP(Table6[[#This Row],[Affected WTG]],'Basic Data'!$A$3:$E$56,5,0),"")</f>
        <v>2.564102564102564E-2</v>
      </c>
      <c r="K92" s="105">
        <v>804</v>
      </c>
      <c r="L92" s="39" t="str">
        <f>IFERROR(VLOOKUP(Table6[[#This Row],[Error Code]],'Basic Data'!$T:$U,2,0),"")</f>
        <v>Difference Between 2 Blades Too High</v>
      </c>
      <c r="M92" s="346" t="s">
        <v>462</v>
      </c>
      <c r="N92" s="39" t="s">
        <v>1270</v>
      </c>
      <c r="O92" s="347">
        <v>0.76666666666666672</v>
      </c>
      <c r="P92" s="347">
        <v>0.80486111111111114</v>
      </c>
      <c r="Q92" s="347">
        <v>0.81597222222222221</v>
      </c>
      <c r="R92" s="348">
        <f>IF(Table6[[#This Row],[Work Start TimeStamp]]="","",(Table6[[#This Row],[Work Start TimeStamp]]-Table6[[#This Row],[Fault Start TimeStamp]])*24)</f>
        <v>0.91666666666666607</v>
      </c>
      <c r="S92" s="349">
        <f>(Table6[[#This Row],[Fault Clearance time]]-Table6[[#This Row],[Work Start TimeStamp]])*24</f>
        <v>0.26666666666666572</v>
      </c>
      <c r="T92" s="350">
        <f>(Table6[[#This Row],[Fault Clearance time]]-Table6[[#This Row],[Fault Start TimeStamp]])*24</f>
        <v>1.1833333333333318</v>
      </c>
      <c r="U92" s="346" t="s">
        <v>491</v>
      </c>
      <c r="V92" s="351" t="s">
        <v>463</v>
      </c>
      <c r="W92" s="338">
        <f>Table6[[#This Row],[Breakdown Time]]*(1/39)</f>
        <v>3.03418803418803E-2</v>
      </c>
      <c r="X92" s="336" t="s">
        <v>465</v>
      </c>
      <c r="Y92" s="352" t="s">
        <v>152</v>
      </c>
      <c r="Z92" s="105">
        <v>7552</v>
      </c>
      <c r="AA92" s="107">
        <v>372.3555555555551</v>
      </c>
      <c r="AB92" s="105" t="s">
        <v>478</v>
      </c>
    </row>
    <row r="93" spans="1:28">
      <c r="A93" s="105">
        <f t="shared" si="1"/>
        <v>92</v>
      </c>
      <c r="B93" s="107">
        <f>YEAR(Table6[[#This Row],[Date]])+IF(MONTH(Table6[[#This Row],[Date]])&gt;=4,1,0)</f>
        <v>2025</v>
      </c>
      <c r="C93" s="105">
        <f>YEAR(Table6[[#This Row],[Date]])</f>
        <v>2025</v>
      </c>
      <c r="D93" s="105" t="s">
        <v>490</v>
      </c>
      <c r="E93" s="119">
        <f>Table6[[#This Row],[Date]]-DAY(Table6[[#This Row],[Date]])+1</f>
        <v>45717</v>
      </c>
      <c r="F93" s="118">
        <v>45747</v>
      </c>
      <c r="G93" s="105" t="s">
        <v>153</v>
      </c>
      <c r="H93" s="39" t="str">
        <f>_xlfn.XLOOKUP(Table6[[#This Row],[Affected WTG]],'Basic Data'!$A:$A,'Basic Data'!$B:$B)</f>
        <v>PWEGPL</v>
      </c>
      <c r="I93" s="39" t="str">
        <f>_xlfn.XLOOKUP(Table6[[#This Row],[Affected WTG]],'Basic Data'!$A:$A,'Basic Data'!$C:$C)</f>
        <v>MSEDCL</v>
      </c>
      <c r="J93" s="345">
        <f>IFERROR(VLOOKUP(Table6[[#This Row],[Affected WTG]],'Basic Data'!$A$3:$E$56,5,0),"")</f>
        <v>2.564102564102564E-2</v>
      </c>
      <c r="K93" s="105">
        <v>812</v>
      </c>
      <c r="L93" s="39" t="str">
        <f>IFERROR(VLOOKUP(Table6[[#This Row],[Error Code]],'Basic Data'!$T:$U,2,0),"")</f>
        <v>Blade Position Meas. Error</v>
      </c>
      <c r="M93" s="346" t="s">
        <v>462</v>
      </c>
      <c r="N93" s="39" t="s">
        <v>1270</v>
      </c>
      <c r="O93" s="347">
        <v>0.81874999999999998</v>
      </c>
      <c r="P93" s="347">
        <v>0.81874999999999998</v>
      </c>
      <c r="Q93" s="347">
        <v>0.99930555555555556</v>
      </c>
      <c r="R93" s="348">
        <f>IF(Table6[[#This Row],[Work Start TimeStamp]]="","",(Table6[[#This Row],[Work Start TimeStamp]]-Table6[[#This Row],[Fault Start TimeStamp]])*24)</f>
        <v>0</v>
      </c>
      <c r="S93" s="349">
        <f>(Table6[[#This Row],[Fault Clearance time]]-Table6[[#This Row],[Work Start TimeStamp]])*24</f>
        <v>4.3333333333333339</v>
      </c>
      <c r="T93" s="350">
        <f>(Table6[[#This Row],[Fault Clearance time]]-Table6[[#This Row],[Fault Start TimeStamp]])*24</f>
        <v>4.3333333333333339</v>
      </c>
      <c r="U93" s="346" t="s">
        <v>500</v>
      </c>
      <c r="V93" s="351" t="s">
        <v>473</v>
      </c>
      <c r="W93" s="338">
        <f>Table6[[#This Row],[Breakdown Time]]*(1/39)</f>
        <v>0.11111111111111112</v>
      </c>
      <c r="X93" s="336" t="s">
        <v>465</v>
      </c>
      <c r="Y93" s="352" t="s">
        <v>152</v>
      </c>
      <c r="Z93" s="105">
        <v>7552</v>
      </c>
      <c r="AA93" s="107">
        <v>1363.5555555555559</v>
      </c>
      <c r="AB93" s="105" t="s">
        <v>478</v>
      </c>
    </row>
    <row r="94" spans="1:28">
      <c r="A94" s="105">
        <f t="shared" si="1"/>
        <v>93</v>
      </c>
      <c r="B94" s="107">
        <f>YEAR(Table6[[#This Row],[Date]])+IF(MONTH(Table6[[#This Row],[Date]])&gt;=4,1,0)</f>
        <v>2026</v>
      </c>
      <c r="C94" s="105">
        <f>YEAR(Table6[[#This Row],[Date]])</f>
        <v>2025</v>
      </c>
      <c r="D94" s="105" t="s">
        <v>490</v>
      </c>
      <c r="E94" s="119">
        <f>Table6[[#This Row],[Date]]-DAY(Table6[[#This Row],[Date]])+1</f>
        <v>45748</v>
      </c>
      <c r="F94" s="118">
        <v>45748</v>
      </c>
      <c r="G94" s="105" t="s">
        <v>144</v>
      </c>
      <c r="H94" s="39" t="str">
        <f>_xlfn.XLOOKUP(Table6[[#This Row],[Affected WTG]],'Basic Data'!$A:$A,'Basic Data'!$B:$B)</f>
        <v>PWEGPL</v>
      </c>
      <c r="I94" s="39" t="str">
        <f>_xlfn.XLOOKUP(Table6[[#This Row],[Affected WTG]],'Basic Data'!$A:$A,'Basic Data'!$C:$C)</f>
        <v>MSEDCL</v>
      </c>
      <c r="J94" s="345">
        <f>IFERROR(VLOOKUP(Table6[[#This Row],[Affected WTG]],'Basic Data'!$A$3:$E$56,5,0),"")</f>
        <v>2.564102564102564E-2</v>
      </c>
      <c r="K94" s="105" t="s">
        <v>492</v>
      </c>
      <c r="L94" s="39" t="str">
        <f>IFERROR(VLOOKUP(Table6[[#This Row],[Error Code]],'Basic Data'!$T:$U,2,0),"")</f>
        <v>Manual Stop - Safety Related</v>
      </c>
      <c r="M94" s="346" t="s">
        <v>481</v>
      </c>
      <c r="N94" s="39" t="s">
        <v>1269</v>
      </c>
      <c r="O94" s="347">
        <v>0</v>
      </c>
      <c r="P94" s="347">
        <v>0.99930555555555556</v>
      </c>
      <c r="Q94" s="347">
        <v>0.99930555555555556</v>
      </c>
      <c r="R94" s="348">
        <f>IF(Table6[[#This Row],[Work Start TimeStamp]]="","",(Table6[[#This Row],[Work Start TimeStamp]]-Table6[[#This Row],[Fault Start TimeStamp]])*24)</f>
        <v>23.983333333333334</v>
      </c>
      <c r="S94" s="349">
        <f>(Table6[[#This Row],[Fault Clearance time]]-Table6[[#This Row],[Work Start TimeStamp]])*24</f>
        <v>0</v>
      </c>
      <c r="T94" s="350">
        <f>(Table6[[#This Row],[Fault Clearance time]]-Table6[[#This Row],[Fault Start TimeStamp]])*24</f>
        <v>23.983333333333334</v>
      </c>
      <c r="U94" s="346" t="s">
        <v>498</v>
      </c>
      <c r="V94" s="351" t="s">
        <v>473</v>
      </c>
      <c r="W94" s="338">
        <f>Table6[[#This Row],[Breakdown Time]]*(1/39)</f>
        <v>0.61495726495726499</v>
      </c>
      <c r="X94" s="336" t="s">
        <v>468</v>
      </c>
      <c r="Y94" s="352" t="s">
        <v>141</v>
      </c>
      <c r="Z94" s="105">
        <v>6260</v>
      </c>
      <c r="AA94" s="107">
        <v>6255.6527777777774</v>
      </c>
      <c r="AB94" s="105" t="s">
        <v>478</v>
      </c>
    </row>
    <row r="95" spans="1:28">
      <c r="A95" s="105">
        <f t="shared" si="1"/>
        <v>94</v>
      </c>
      <c r="B95" s="107">
        <f>YEAR(Table6[[#This Row],[Date]])+IF(MONTH(Table6[[#This Row],[Date]])&gt;=4,1,0)</f>
        <v>2026</v>
      </c>
      <c r="C95" s="105">
        <f>YEAR(Table6[[#This Row],[Date]])</f>
        <v>2025</v>
      </c>
      <c r="D95" s="105" t="s">
        <v>490</v>
      </c>
      <c r="E95" s="119">
        <f>Table6[[#This Row],[Date]]-DAY(Table6[[#This Row],[Date]])+1</f>
        <v>45748</v>
      </c>
      <c r="F95" s="118">
        <v>45748</v>
      </c>
      <c r="G95" s="105" t="s">
        <v>142</v>
      </c>
      <c r="H95" s="39" t="str">
        <f>_xlfn.XLOOKUP(Table6[[#This Row],[Affected WTG]],'Basic Data'!$A:$A,'Basic Data'!$B:$B)</f>
        <v>PWEGPL</v>
      </c>
      <c r="I95" s="39" t="str">
        <f>_xlfn.XLOOKUP(Table6[[#This Row],[Affected WTG]],'Basic Data'!$A:$A,'Basic Data'!$C:$C)</f>
        <v>MSEDCL</v>
      </c>
      <c r="J95" s="345">
        <f>IFERROR(VLOOKUP(Table6[[#This Row],[Affected WTG]],'Basic Data'!$A$3:$E$56,5,0),"")</f>
        <v>2.564102564102564E-2</v>
      </c>
      <c r="K95" s="105" t="s">
        <v>492</v>
      </c>
      <c r="L95" s="39" t="str">
        <f>IFERROR(VLOOKUP(Table6[[#This Row],[Error Code]],'Basic Data'!$T:$U,2,0),"")</f>
        <v>Manual Stop - Safety Related</v>
      </c>
      <c r="M95" s="346" t="s">
        <v>481</v>
      </c>
      <c r="N95" s="39" t="s">
        <v>1269</v>
      </c>
      <c r="O95" s="347">
        <v>0</v>
      </c>
      <c r="P95" s="347">
        <v>0.99930555555555556</v>
      </c>
      <c r="Q95" s="347">
        <v>0.99930555555555556</v>
      </c>
      <c r="R95" s="348">
        <f>IF(Table6[[#This Row],[Work Start TimeStamp]]="","",(Table6[[#This Row],[Work Start TimeStamp]]-Table6[[#This Row],[Fault Start TimeStamp]])*24)</f>
        <v>23.983333333333334</v>
      </c>
      <c r="S95" s="349">
        <f>(Table6[[#This Row],[Fault Clearance time]]-Table6[[#This Row],[Work Start TimeStamp]])*24</f>
        <v>0</v>
      </c>
      <c r="T95" s="350">
        <f>(Table6[[#This Row],[Fault Clearance time]]-Table6[[#This Row],[Fault Start TimeStamp]])*24</f>
        <v>23.983333333333334</v>
      </c>
      <c r="U95" s="346" t="s">
        <v>498</v>
      </c>
      <c r="V95" s="351" t="s">
        <v>473</v>
      </c>
      <c r="W95" s="338">
        <f>Table6[[#This Row],[Breakdown Time]]*(1/39)</f>
        <v>0.61495726495726499</v>
      </c>
      <c r="X95" s="336" t="s">
        <v>468</v>
      </c>
      <c r="Y95" s="352" t="s">
        <v>141</v>
      </c>
      <c r="Z95" s="105">
        <v>6260</v>
      </c>
      <c r="AA95" s="107">
        <v>6255.6527777777774</v>
      </c>
      <c r="AB95" s="105" t="s">
        <v>478</v>
      </c>
    </row>
    <row r="96" spans="1:28">
      <c r="A96" s="105">
        <f t="shared" si="1"/>
        <v>95</v>
      </c>
      <c r="B96" s="107">
        <f>YEAR(Table6[[#This Row],[Date]])+IF(MONTH(Table6[[#This Row],[Date]])&gt;=4,1,0)</f>
        <v>2026</v>
      </c>
      <c r="C96" s="105">
        <f>YEAR(Table6[[#This Row],[Date]])</f>
        <v>2025</v>
      </c>
      <c r="D96" s="105" t="s">
        <v>490</v>
      </c>
      <c r="E96" s="119">
        <f>Table6[[#This Row],[Date]]-DAY(Table6[[#This Row],[Date]])+1</f>
        <v>45748</v>
      </c>
      <c r="F96" s="118">
        <v>45748</v>
      </c>
      <c r="G96" s="105" t="s">
        <v>115</v>
      </c>
      <c r="H96" s="39" t="str">
        <f>_xlfn.XLOOKUP(Table6[[#This Row],[Affected WTG]],'Basic Data'!$A:$A,'Basic Data'!$B:$B)</f>
        <v>PWEGPL</v>
      </c>
      <c r="I96" s="39" t="str">
        <f>_xlfn.XLOOKUP(Table6[[#This Row],[Affected WTG]],'Basic Data'!$A:$A,'Basic Data'!$C:$C)</f>
        <v>MSEDCL</v>
      </c>
      <c r="J96" s="345">
        <f>IFERROR(VLOOKUP(Table6[[#This Row],[Affected WTG]],'Basic Data'!$A$3:$E$56,5,0),"")</f>
        <v>2.564102564102564E-2</v>
      </c>
      <c r="K96" s="105">
        <v>107</v>
      </c>
      <c r="L96" s="39" t="str">
        <f>IFERROR(VLOOKUP(Table6[[#This Row],[Error Code]],'Basic Data'!$T:$U,2,0),"")</f>
        <v>Yawing Motor Thermal Relays</v>
      </c>
      <c r="M96" s="346" t="s">
        <v>462</v>
      </c>
      <c r="N96" s="39" t="s">
        <v>1270</v>
      </c>
      <c r="O96" s="347">
        <v>0.39374999999999999</v>
      </c>
      <c r="P96" s="347">
        <v>0.39374999999999999</v>
      </c>
      <c r="Q96" s="347">
        <v>0.40902777777777777</v>
      </c>
      <c r="R96" s="348">
        <f>IF(Table6[[#This Row],[Work Start TimeStamp]]="","",(Table6[[#This Row],[Work Start TimeStamp]]-Table6[[#This Row],[Fault Start TimeStamp]])*24)</f>
        <v>0</v>
      </c>
      <c r="S96" s="349">
        <f>(Table6[[#This Row],[Fault Clearance time]]-Table6[[#This Row],[Work Start TimeStamp]])*24</f>
        <v>0.3666666666666667</v>
      </c>
      <c r="T96" s="350">
        <f>(Table6[[#This Row],[Fault Clearance time]]-Table6[[#This Row],[Fault Start TimeStamp]])*24</f>
        <v>0.3666666666666667</v>
      </c>
      <c r="U96" s="346" t="s">
        <v>480</v>
      </c>
      <c r="V96" s="351" t="s">
        <v>463</v>
      </c>
      <c r="W96" s="338">
        <f>Table6[[#This Row],[Breakdown Time]]*(1/39)</f>
        <v>9.401709401709403E-3</v>
      </c>
      <c r="X96" s="336" t="s">
        <v>465</v>
      </c>
      <c r="Y96" s="352" t="s">
        <v>121</v>
      </c>
      <c r="Z96" s="105">
        <v>6951</v>
      </c>
      <c r="AA96" s="107">
        <v>106.19583333333334</v>
      </c>
      <c r="AB96" s="105" t="s">
        <v>478</v>
      </c>
    </row>
    <row r="97" spans="1:28">
      <c r="A97" s="105">
        <f t="shared" si="1"/>
        <v>96</v>
      </c>
      <c r="B97" s="107">
        <f>YEAR(Table6[[#This Row],[Date]])+IF(MONTH(Table6[[#This Row],[Date]])&gt;=4,1,0)</f>
        <v>2026</v>
      </c>
      <c r="C97" s="105">
        <f>YEAR(Table6[[#This Row],[Date]])</f>
        <v>2025</v>
      </c>
      <c r="D97" s="105" t="s">
        <v>490</v>
      </c>
      <c r="E97" s="119">
        <f>Table6[[#This Row],[Date]]-DAY(Table6[[#This Row],[Date]])+1</f>
        <v>45748</v>
      </c>
      <c r="F97" s="118">
        <v>45748</v>
      </c>
      <c r="G97" s="105" t="s">
        <v>115</v>
      </c>
      <c r="H97" s="39" t="str">
        <f>_xlfn.XLOOKUP(Table6[[#This Row],[Affected WTG]],'Basic Data'!$A:$A,'Basic Data'!$B:$B)</f>
        <v>PWEGPL</v>
      </c>
      <c r="I97" s="39" t="str">
        <f>_xlfn.XLOOKUP(Table6[[#This Row],[Affected WTG]],'Basic Data'!$A:$A,'Basic Data'!$C:$C)</f>
        <v>MSEDCL</v>
      </c>
      <c r="J97" s="345">
        <f>IFERROR(VLOOKUP(Table6[[#This Row],[Affected WTG]],'Basic Data'!$A$3:$E$56,5,0),"")</f>
        <v>2.564102564102564E-2</v>
      </c>
      <c r="K97" s="105">
        <v>125</v>
      </c>
      <c r="L97" s="39" t="str">
        <f>IFERROR(VLOOKUP(Table6[[#This Row],[Error Code]],'Basic Data'!$T:$U,2,0),"")</f>
        <v xml:space="preserve">Yaw Motors Over Current Protection </v>
      </c>
      <c r="M97" s="346" t="s">
        <v>462</v>
      </c>
      <c r="N97" s="39" t="s">
        <v>1270</v>
      </c>
      <c r="O97" s="347">
        <v>0.47361111111111109</v>
      </c>
      <c r="P97" s="347">
        <v>0.64583333333333337</v>
      </c>
      <c r="Q97" s="347">
        <v>0.72013888888888888</v>
      </c>
      <c r="R97" s="348">
        <f>IF(Table6[[#This Row],[Work Start TimeStamp]]="","",(Table6[[#This Row],[Work Start TimeStamp]]-Table6[[#This Row],[Fault Start TimeStamp]])*24)</f>
        <v>4.1333333333333346</v>
      </c>
      <c r="S97" s="349">
        <f>(Table6[[#This Row],[Fault Clearance time]]-Table6[[#This Row],[Work Start TimeStamp]])*24</f>
        <v>1.7833333333333323</v>
      </c>
      <c r="T97" s="350">
        <f>(Table6[[#This Row],[Fault Clearance time]]-Table6[[#This Row],[Fault Start TimeStamp]])*24</f>
        <v>5.916666666666667</v>
      </c>
      <c r="U97" s="346" t="s">
        <v>519</v>
      </c>
      <c r="V97" s="351" t="s">
        <v>463</v>
      </c>
      <c r="W97" s="338">
        <f>Table6[[#This Row],[Breakdown Time]]*(1/39)</f>
        <v>0.15170940170940173</v>
      </c>
      <c r="X97" s="336" t="s">
        <v>465</v>
      </c>
      <c r="Y97" s="352" t="s">
        <v>121</v>
      </c>
      <c r="Z97" s="105">
        <v>6951</v>
      </c>
      <c r="AA97" s="107">
        <v>1713.6145833333335</v>
      </c>
      <c r="AB97" s="105" t="s">
        <v>478</v>
      </c>
    </row>
    <row r="98" spans="1:28">
      <c r="A98" s="105">
        <f t="shared" si="1"/>
        <v>97</v>
      </c>
      <c r="B98" s="107">
        <f>YEAR(Table6[[#This Row],[Date]])+IF(MONTH(Table6[[#This Row],[Date]])&gt;=4,1,0)</f>
        <v>2026</v>
      </c>
      <c r="C98" s="105">
        <f>YEAR(Table6[[#This Row],[Date]])</f>
        <v>2025</v>
      </c>
      <c r="D98" s="105" t="s">
        <v>490</v>
      </c>
      <c r="E98" s="119">
        <f>Table6[[#This Row],[Date]]-DAY(Table6[[#This Row],[Date]])+1</f>
        <v>45748</v>
      </c>
      <c r="F98" s="118">
        <v>45748</v>
      </c>
      <c r="G98" s="105" t="s">
        <v>115</v>
      </c>
      <c r="H98" s="39" t="str">
        <f>_xlfn.XLOOKUP(Table6[[#This Row],[Affected WTG]],'Basic Data'!$A:$A,'Basic Data'!$B:$B)</f>
        <v>PWEGPL</v>
      </c>
      <c r="I98" s="39" t="str">
        <f>_xlfn.XLOOKUP(Table6[[#This Row],[Affected WTG]],'Basic Data'!$A:$A,'Basic Data'!$C:$C)</f>
        <v>MSEDCL</v>
      </c>
      <c r="J98" s="345">
        <f>IFERROR(VLOOKUP(Table6[[#This Row],[Affected WTG]],'Basic Data'!$A$3:$E$56,5,0),"")</f>
        <v>2.564102564102564E-2</v>
      </c>
      <c r="K98" s="105">
        <v>804</v>
      </c>
      <c r="L98" s="39" t="str">
        <f>IFERROR(VLOOKUP(Table6[[#This Row],[Error Code]],'Basic Data'!$T:$U,2,0),"")</f>
        <v>Difference Between 2 Blades Too High</v>
      </c>
      <c r="M98" s="346" t="s">
        <v>462</v>
      </c>
      <c r="N98" s="39" t="s">
        <v>1270</v>
      </c>
      <c r="O98" s="347">
        <v>0.72083333333333333</v>
      </c>
      <c r="P98" s="347">
        <v>0.72083333333333333</v>
      </c>
      <c r="Q98" s="347">
        <v>0.84861111111111109</v>
      </c>
      <c r="R98" s="348">
        <f>IF(Table6[[#This Row],[Work Start TimeStamp]]="","",(Table6[[#This Row],[Work Start TimeStamp]]-Table6[[#This Row],[Fault Start TimeStamp]])*24)</f>
        <v>0</v>
      </c>
      <c r="S98" s="349">
        <f>(Table6[[#This Row],[Fault Clearance time]]-Table6[[#This Row],[Work Start TimeStamp]])*24</f>
        <v>3.0666666666666664</v>
      </c>
      <c r="T98" s="350">
        <f>(Table6[[#This Row],[Fault Clearance time]]-Table6[[#This Row],[Fault Start TimeStamp]])*24</f>
        <v>3.0666666666666664</v>
      </c>
      <c r="U98" s="346" t="s">
        <v>520</v>
      </c>
      <c r="V98" s="351" t="s">
        <v>463</v>
      </c>
      <c r="W98" s="338">
        <f>Table6[[#This Row],[Breakdown Time]]*(1/39)</f>
        <v>7.8632478632478617E-2</v>
      </c>
      <c r="X98" s="336" t="s">
        <v>465</v>
      </c>
      <c r="Y98" s="352" t="s">
        <v>121</v>
      </c>
      <c r="Z98" s="105">
        <v>6951</v>
      </c>
      <c r="AA98" s="107">
        <v>888.18333333333328</v>
      </c>
      <c r="AB98" s="105" t="s">
        <v>478</v>
      </c>
    </row>
    <row r="99" spans="1:28">
      <c r="A99" s="105">
        <f t="shared" si="1"/>
        <v>98</v>
      </c>
      <c r="B99" s="107">
        <f>YEAR(Table6[[#This Row],[Date]])+IF(MONTH(Table6[[#This Row],[Date]])&gt;=4,1,0)</f>
        <v>2026</v>
      </c>
      <c r="C99" s="105">
        <f>YEAR(Table6[[#This Row],[Date]])</f>
        <v>2025</v>
      </c>
      <c r="D99" s="105" t="s">
        <v>490</v>
      </c>
      <c r="E99" s="119">
        <f>Table6[[#This Row],[Date]]-DAY(Table6[[#This Row],[Date]])+1</f>
        <v>45748</v>
      </c>
      <c r="F99" s="118">
        <v>45748</v>
      </c>
      <c r="G99" s="105" t="s">
        <v>118</v>
      </c>
      <c r="H99" s="39" t="str">
        <f>_xlfn.XLOOKUP(Table6[[#This Row],[Affected WTG]],'Basic Data'!$A:$A,'Basic Data'!$B:$B)</f>
        <v>PWEGPL</v>
      </c>
      <c r="I99" s="39" t="str">
        <f>_xlfn.XLOOKUP(Table6[[#This Row],[Affected WTG]],'Basic Data'!$A:$A,'Basic Data'!$C:$C)</f>
        <v>MSEDCL</v>
      </c>
      <c r="J99" s="345">
        <f>IFERROR(VLOOKUP(Table6[[#This Row],[Affected WTG]],'Basic Data'!$A$3:$E$56,5,0),"")</f>
        <v>2.564102564102564E-2</v>
      </c>
      <c r="K99" s="105">
        <v>5202</v>
      </c>
      <c r="L99" s="39" t="str">
        <f>IFERROR(VLOOKUP(Table6[[#This Row],[Error Code]],'Basic Data'!$T:$U,2,0),"")</f>
        <v>Stator Contactor Failure</v>
      </c>
      <c r="M99" s="346" t="s">
        <v>462</v>
      </c>
      <c r="N99" s="39" t="s">
        <v>1270</v>
      </c>
      <c r="O99" s="347">
        <v>0.92291666666666672</v>
      </c>
      <c r="P99" s="347">
        <v>0.92291666666666672</v>
      </c>
      <c r="Q99" s="347">
        <v>0.92638888888888893</v>
      </c>
      <c r="R99" s="348">
        <f>IF(Table6[[#This Row],[Work Start TimeStamp]]="","",(Table6[[#This Row],[Work Start TimeStamp]]-Table6[[#This Row],[Fault Start TimeStamp]])*24)</f>
        <v>0</v>
      </c>
      <c r="S99" s="349">
        <f>(Table6[[#This Row],[Fault Clearance time]]-Table6[[#This Row],[Work Start TimeStamp]])*24</f>
        <v>8.3333333333333037E-2</v>
      </c>
      <c r="T99" s="350">
        <f>(Table6[[#This Row],[Fault Clearance time]]-Table6[[#This Row],[Fault Start TimeStamp]])*24</f>
        <v>8.3333333333333037E-2</v>
      </c>
      <c r="U99" s="346" t="s">
        <v>480</v>
      </c>
      <c r="V99" s="351" t="s">
        <v>463</v>
      </c>
      <c r="W99" s="338">
        <f>Table6[[#This Row],[Breakdown Time]]*(1/39)</f>
        <v>2.1367521367521292E-3</v>
      </c>
      <c r="X99" s="336" t="s">
        <v>465</v>
      </c>
      <c r="Y99" s="352" t="s">
        <v>117</v>
      </c>
      <c r="Z99" s="105">
        <v>5356</v>
      </c>
      <c r="AA99" s="107">
        <v>18.597222222222154</v>
      </c>
      <c r="AB99" s="105" t="s">
        <v>478</v>
      </c>
    </row>
    <row r="100" spans="1:28">
      <c r="A100" s="105">
        <f t="shared" si="1"/>
        <v>99</v>
      </c>
      <c r="B100" s="107">
        <f>YEAR(Table6[[#This Row],[Date]])+IF(MONTH(Table6[[#This Row],[Date]])&gt;=4,1,0)</f>
        <v>2026</v>
      </c>
      <c r="C100" s="105">
        <f>YEAR(Table6[[#This Row],[Date]])</f>
        <v>2025</v>
      </c>
      <c r="D100" s="105" t="s">
        <v>490</v>
      </c>
      <c r="E100" s="119">
        <f>Table6[[#This Row],[Date]]-DAY(Table6[[#This Row],[Date]])+1</f>
        <v>45748</v>
      </c>
      <c r="F100" s="118">
        <v>45748</v>
      </c>
      <c r="G100" s="105" t="s">
        <v>122</v>
      </c>
      <c r="H100" s="39" t="str">
        <f>_xlfn.XLOOKUP(Table6[[#This Row],[Affected WTG]],'Basic Data'!$A:$A,'Basic Data'!$B:$B)</f>
        <v>PWEGPL</v>
      </c>
      <c r="I100" s="39" t="str">
        <f>_xlfn.XLOOKUP(Table6[[#This Row],[Affected WTG]],'Basic Data'!$A:$A,'Basic Data'!$C:$C)</f>
        <v>MSEDCL</v>
      </c>
      <c r="J100" s="345">
        <f>IFERROR(VLOOKUP(Table6[[#This Row],[Affected WTG]],'Basic Data'!$A$3:$E$56,5,0),"")</f>
        <v>2.564102564102564E-2</v>
      </c>
      <c r="K100" s="105">
        <v>110</v>
      </c>
      <c r="L100" s="39" t="str">
        <f>IFERROR(VLOOKUP(Table6[[#This Row],[Error Code]],'Basic Data'!$T:$U,2,0),"")</f>
        <v>Yaw Sensor Wiring Error</v>
      </c>
      <c r="M100" s="346" t="s">
        <v>462</v>
      </c>
      <c r="N100" s="39" t="s">
        <v>1270</v>
      </c>
      <c r="O100" s="347">
        <v>0.19722222222222222</v>
      </c>
      <c r="P100" s="347">
        <v>0.3</v>
      </c>
      <c r="Q100" s="347">
        <v>0.31111111111111112</v>
      </c>
      <c r="R100" s="348">
        <f>IF(Table6[[#This Row],[Work Start TimeStamp]]="","",(Table6[[#This Row],[Work Start TimeStamp]]-Table6[[#This Row],[Fault Start TimeStamp]])*24)</f>
        <v>2.4666666666666668</v>
      </c>
      <c r="S100" s="349">
        <f>(Table6[[#This Row],[Fault Clearance time]]-Table6[[#This Row],[Work Start TimeStamp]])*24</f>
        <v>0.26666666666666705</v>
      </c>
      <c r="T100" s="350">
        <f>(Table6[[#This Row],[Fault Clearance time]]-Table6[[#This Row],[Fault Start TimeStamp]])*24</f>
        <v>2.7333333333333334</v>
      </c>
      <c r="U100" s="346" t="s">
        <v>495</v>
      </c>
      <c r="V100" s="351" t="s">
        <v>463</v>
      </c>
      <c r="W100" s="338">
        <f>Table6[[#This Row],[Breakdown Time]]*(1/39)</f>
        <v>7.0085470085470086E-2</v>
      </c>
      <c r="X100" s="336" t="s">
        <v>465</v>
      </c>
      <c r="Y100" s="352" t="s">
        <v>122</v>
      </c>
      <c r="Z100" s="105">
        <v>6252</v>
      </c>
      <c r="AA100" s="107">
        <v>712.0333333333333</v>
      </c>
      <c r="AB100" s="105" t="s">
        <v>478</v>
      </c>
    </row>
    <row r="101" spans="1:28">
      <c r="A101" s="105">
        <f t="shared" si="1"/>
        <v>100</v>
      </c>
      <c r="B101" s="107">
        <f>YEAR(Table6[[#This Row],[Date]])+IF(MONTH(Table6[[#This Row],[Date]])&gt;=4,1,0)</f>
        <v>2026</v>
      </c>
      <c r="C101" s="105">
        <f>YEAR(Table6[[#This Row],[Date]])</f>
        <v>2025</v>
      </c>
      <c r="D101" s="105" t="s">
        <v>490</v>
      </c>
      <c r="E101" s="119">
        <f>Table6[[#This Row],[Date]]-DAY(Table6[[#This Row],[Date]])+1</f>
        <v>45748</v>
      </c>
      <c r="F101" s="118">
        <v>45748</v>
      </c>
      <c r="G101" s="105" t="s">
        <v>126</v>
      </c>
      <c r="H101" s="39" t="str">
        <f>_xlfn.XLOOKUP(Table6[[#This Row],[Affected WTG]],'Basic Data'!$A:$A,'Basic Data'!$B:$B)</f>
        <v>PWEGPL</v>
      </c>
      <c r="I101" s="39" t="str">
        <f>_xlfn.XLOOKUP(Table6[[#This Row],[Affected WTG]],'Basic Data'!$A:$A,'Basic Data'!$C:$C)</f>
        <v>MSEDCL</v>
      </c>
      <c r="J101" s="345">
        <f>IFERROR(VLOOKUP(Table6[[#This Row],[Affected WTG]],'Basic Data'!$A$3:$E$56,5,0),"")</f>
        <v>2.564102564102564E-2</v>
      </c>
      <c r="K101" s="105">
        <v>5210</v>
      </c>
      <c r="L101" s="39" t="str">
        <f>IFERROR(VLOOKUP(Table6[[#This Row],[Error Code]],'Basic Data'!$T:$U,2,0),"")</f>
        <v>Failure Of The Contactor's Rotor Power</v>
      </c>
      <c r="M101" s="346" t="s">
        <v>462</v>
      </c>
      <c r="N101" s="39" t="s">
        <v>1270</v>
      </c>
      <c r="O101" s="347">
        <v>0.11388888888888889</v>
      </c>
      <c r="P101" s="347">
        <v>0.11388888888888889</v>
      </c>
      <c r="Q101" s="347">
        <v>0.11736111111111111</v>
      </c>
      <c r="R101" s="348">
        <f>IF(Table6[[#This Row],[Work Start TimeStamp]]="","",(Table6[[#This Row],[Work Start TimeStamp]]-Table6[[#This Row],[Fault Start TimeStamp]])*24)</f>
        <v>0</v>
      </c>
      <c r="S101" s="349">
        <f>(Table6[[#This Row],[Fault Clearance time]]-Table6[[#This Row],[Work Start TimeStamp]])*24</f>
        <v>8.333333333333337E-2</v>
      </c>
      <c r="T101" s="350">
        <f>(Table6[[#This Row],[Fault Clearance time]]-Table6[[#This Row],[Fault Start TimeStamp]])*24</f>
        <v>8.333333333333337E-2</v>
      </c>
      <c r="U101" s="346" t="s">
        <v>480</v>
      </c>
      <c r="V101" s="351" t="s">
        <v>463</v>
      </c>
      <c r="W101" s="338">
        <f>Table6[[#This Row],[Breakdown Time]]*(1/39)</f>
        <v>2.1367521367521378E-3</v>
      </c>
      <c r="X101" s="336" t="s">
        <v>465</v>
      </c>
      <c r="Y101" s="352" t="s">
        <v>127</v>
      </c>
      <c r="Z101" s="105">
        <v>5686</v>
      </c>
      <c r="AA101" s="107">
        <v>19.743055555555564</v>
      </c>
      <c r="AB101" s="105" t="s">
        <v>478</v>
      </c>
    </row>
    <row r="102" spans="1:28">
      <c r="A102" s="105">
        <f t="shared" si="1"/>
        <v>101</v>
      </c>
      <c r="B102" s="107">
        <f>YEAR(Table6[[#This Row],[Date]])+IF(MONTH(Table6[[#This Row],[Date]])&gt;=4,1,0)</f>
        <v>2026</v>
      </c>
      <c r="C102" s="105">
        <f>YEAR(Table6[[#This Row],[Date]])</f>
        <v>2025</v>
      </c>
      <c r="D102" s="105" t="s">
        <v>490</v>
      </c>
      <c r="E102" s="119">
        <f>Table6[[#This Row],[Date]]-DAY(Table6[[#This Row],[Date]])+1</f>
        <v>45748</v>
      </c>
      <c r="F102" s="118">
        <v>45748</v>
      </c>
      <c r="G102" s="105" t="s">
        <v>126</v>
      </c>
      <c r="H102" s="39" t="str">
        <f>_xlfn.XLOOKUP(Table6[[#This Row],[Affected WTG]],'Basic Data'!$A:$A,'Basic Data'!$B:$B)</f>
        <v>PWEGPL</v>
      </c>
      <c r="I102" s="39" t="str">
        <f>_xlfn.XLOOKUP(Table6[[#This Row],[Affected WTG]],'Basic Data'!$A:$A,'Basic Data'!$C:$C)</f>
        <v>MSEDCL</v>
      </c>
      <c r="J102" s="345">
        <f>IFERROR(VLOOKUP(Table6[[#This Row],[Affected WTG]],'Basic Data'!$A$3:$E$56,5,0),"")</f>
        <v>2.564102564102564E-2</v>
      </c>
      <c r="K102" s="105">
        <v>203</v>
      </c>
      <c r="L102" s="39" t="str">
        <f>IFERROR(VLOOKUP(Table6[[#This Row],[Error Code]],'Basic Data'!$T:$U,2,0),"")</f>
        <v>Low Pressure On Hydraulic Group</v>
      </c>
      <c r="M102" s="346" t="s">
        <v>462</v>
      </c>
      <c r="N102" s="39" t="s">
        <v>1270</v>
      </c>
      <c r="O102" s="347">
        <v>0.53472222222222221</v>
      </c>
      <c r="P102" s="347">
        <v>0.53472222222222221</v>
      </c>
      <c r="Q102" s="347">
        <v>0.53819444444444442</v>
      </c>
      <c r="R102" s="348">
        <f>IF(Table6[[#This Row],[Work Start TimeStamp]]="","",(Table6[[#This Row],[Work Start TimeStamp]]-Table6[[#This Row],[Fault Start TimeStamp]])*24)</f>
        <v>0</v>
      </c>
      <c r="S102" s="349">
        <f>(Table6[[#This Row],[Fault Clearance time]]-Table6[[#This Row],[Work Start TimeStamp]])*24</f>
        <v>8.3333333333333037E-2</v>
      </c>
      <c r="T102" s="350">
        <f>(Table6[[#This Row],[Fault Clearance time]]-Table6[[#This Row],[Fault Start TimeStamp]])*24</f>
        <v>8.3333333333333037E-2</v>
      </c>
      <c r="U102" s="346" t="s">
        <v>480</v>
      </c>
      <c r="V102" s="351" t="s">
        <v>463</v>
      </c>
      <c r="W102" s="338">
        <f>Table6[[#This Row],[Breakdown Time]]*(1/39)</f>
        <v>2.1367521367521292E-3</v>
      </c>
      <c r="X102" s="336" t="s">
        <v>465</v>
      </c>
      <c r="Y102" s="352" t="s">
        <v>127</v>
      </c>
      <c r="Z102" s="105">
        <v>5686</v>
      </c>
      <c r="AA102" s="107">
        <v>19.743055555555486</v>
      </c>
      <c r="AB102" s="105" t="s">
        <v>478</v>
      </c>
    </row>
    <row r="103" spans="1:28">
      <c r="A103" s="105">
        <f t="shared" si="1"/>
        <v>102</v>
      </c>
      <c r="B103" s="107">
        <f>YEAR(Table6[[#This Row],[Date]])+IF(MONTH(Table6[[#This Row],[Date]])&gt;=4,1,0)</f>
        <v>2026</v>
      </c>
      <c r="C103" s="105">
        <f>YEAR(Table6[[#This Row],[Date]])</f>
        <v>2025</v>
      </c>
      <c r="D103" s="105" t="s">
        <v>490</v>
      </c>
      <c r="E103" s="119">
        <f>Table6[[#This Row],[Date]]-DAY(Table6[[#This Row],[Date]])+1</f>
        <v>45748</v>
      </c>
      <c r="F103" s="118">
        <v>45748</v>
      </c>
      <c r="G103" s="105" t="s">
        <v>127</v>
      </c>
      <c r="H103" s="39" t="str">
        <f>_xlfn.XLOOKUP(Table6[[#This Row],[Affected WTG]],'Basic Data'!$A:$A,'Basic Data'!$B:$B)</f>
        <v>PWEGPL</v>
      </c>
      <c r="I103" s="39" t="str">
        <f>_xlfn.XLOOKUP(Table6[[#This Row],[Affected WTG]],'Basic Data'!$A:$A,'Basic Data'!$C:$C)</f>
        <v>MSEDCL</v>
      </c>
      <c r="J103" s="345">
        <f>IFERROR(VLOOKUP(Table6[[#This Row],[Affected WTG]],'Basic Data'!$A$3:$E$56,5,0),"")</f>
        <v>2.564102564102564E-2</v>
      </c>
      <c r="K103" s="105">
        <v>5210</v>
      </c>
      <c r="L103" s="39" t="str">
        <f>IFERROR(VLOOKUP(Table6[[#This Row],[Error Code]],'Basic Data'!$T:$U,2,0),"")</f>
        <v>Failure Of The Contactor's Rotor Power</v>
      </c>
      <c r="M103" s="346" t="s">
        <v>462</v>
      </c>
      <c r="N103" s="39" t="s">
        <v>1270</v>
      </c>
      <c r="O103" s="347">
        <v>0.94097222222222221</v>
      </c>
      <c r="P103" s="347">
        <v>0.94097222222222221</v>
      </c>
      <c r="Q103" s="347">
        <v>0.99930555555555556</v>
      </c>
      <c r="R103" s="348">
        <f>IF(Table6[[#This Row],[Work Start TimeStamp]]="","",(Table6[[#This Row],[Work Start TimeStamp]]-Table6[[#This Row],[Fault Start TimeStamp]])*24)</f>
        <v>0</v>
      </c>
      <c r="S103" s="349">
        <f>(Table6[[#This Row],[Fault Clearance time]]-Table6[[#This Row],[Work Start TimeStamp]])*24</f>
        <v>1.4000000000000004</v>
      </c>
      <c r="T103" s="350">
        <f>(Table6[[#This Row],[Fault Clearance time]]-Table6[[#This Row],[Fault Start TimeStamp]])*24</f>
        <v>1.4000000000000004</v>
      </c>
      <c r="U103" s="346" t="s">
        <v>500</v>
      </c>
      <c r="V103" s="351" t="s">
        <v>473</v>
      </c>
      <c r="W103" s="338">
        <f>Table6[[#This Row],[Breakdown Time]]*(1/39)</f>
        <v>3.5897435897435909E-2</v>
      </c>
      <c r="X103" s="336" t="s">
        <v>465</v>
      </c>
      <c r="Y103" s="352" t="s">
        <v>128</v>
      </c>
      <c r="Z103" s="105">
        <v>4942</v>
      </c>
      <c r="AA103" s="107">
        <v>288.28333333333342</v>
      </c>
      <c r="AB103" s="105" t="s">
        <v>478</v>
      </c>
    </row>
    <row r="104" spans="1:28">
      <c r="A104" s="105">
        <f t="shared" si="1"/>
        <v>103</v>
      </c>
      <c r="B104" s="107">
        <f>YEAR(Table6[[#This Row],[Date]])+IF(MONTH(Table6[[#This Row],[Date]])&gt;=4,1,0)</f>
        <v>2026</v>
      </c>
      <c r="C104" s="105">
        <f>YEAR(Table6[[#This Row],[Date]])</f>
        <v>2025</v>
      </c>
      <c r="D104" s="105" t="s">
        <v>490</v>
      </c>
      <c r="E104" s="119">
        <f>Table6[[#This Row],[Date]]-DAY(Table6[[#This Row],[Date]])+1</f>
        <v>45748</v>
      </c>
      <c r="F104" s="118">
        <v>45748</v>
      </c>
      <c r="G104" s="105" t="s">
        <v>128</v>
      </c>
      <c r="H104" s="39" t="str">
        <f>_xlfn.XLOOKUP(Table6[[#This Row],[Affected WTG]],'Basic Data'!$A:$A,'Basic Data'!$B:$B)</f>
        <v>PWEGPL</v>
      </c>
      <c r="I104" s="39" t="str">
        <f>_xlfn.XLOOKUP(Table6[[#This Row],[Affected WTG]],'Basic Data'!$A:$A,'Basic Data'!$C:$C)</f>
        <v>MSEDCL</v>
      </c>
      <c r="J104" s="345">
        <f>IFERROR(VLOOKUP(Table6[[#This Row],[Affected WTG]],'Basic Data'!$A$3:$E$56,5,0),"")</f>
        <v>2.564102564102564E-2</v>
      </c>
      <c r="K104" s="105">
        <v>203</v>
      </c>
      <c r="L104" s="39" t="str">
        <f>IFERROR(VLOOKUP(Table6[[#This Row],[Error Code]],'Basic Data'!$T:$U,2,0),"")</f>
        <v>Low Pressure On Hydraulic Group</v>
      </c>
      <c r="M104" s="346" t="s">
        <v>462</v>
      </c>
      <c r="N104" s="39" t="s">
        <v>1270</v>
      </c>
      <c r="O104" s="347">
        <v>0.92986111111111114</v>
      </c>
      <c r="P104" s="347">
        <v>0.92986111111111114</v>
      </c>
      <c r="Q104" s="347">
        <v>0.93333333333333335</v>
      </c>
      <c r="R104" s="348">
        <f>IF(Table6[[#This Row],[Work Start TimeStamp]]="","",(Table6[[#This Row],[Work Start TimeStamp]]-Table6[[#This Row],[Fault Start TimeStamp]])*24)</f>
        <v>0</v>
      </c>
      <c r="S104" s="349">
        <f>(Table6[[#This Row],[Fault Clearance time]]-Table6[[#This Row],[Work Start TimeStamp]])*24</f>
        <v>8.3333333333333037E-2</v>
      </c>
      <c r="T104" s="350">
        <f>(Table6[[#This Row],[Fault Clearance time]]-Table6[[#This Row],[Fault Start TimeStamp]])*24</f>
        <v>8.3333333333333037E-2</v>
      </c>
      <c r="U104" s="346" t="s">
        <v>480</v>
      </c>
      <c r="V104" s="351" t="s">
        <v>463</v>
      </c>
      <c r="W104" s="338">
        <f>Table6[[#This Row],[Breakdown Time]]*(1/39)</f>
        <v>2.1367521367521292E-3</v>
      </c>
      <c r="X104" s="336" t="s">
        <v>465</v>
      </c>
      <c r="Y104" s="352" t="s">
        <v>129</v>
      </c>
      <c r="Z104" s="105">
        <v>4039</v>
      </c>
      <c r="AA104" s="107">
        <v>14.024305555555506</v>
      </c>
      <c r="AB104" s="105" t="s">
        <v>478</v>
      </c>
    </row>
    <row r="105" spans="1:28">
      <c r="A105" s="105">
        <f t="shared" si="1"/>
        <v>104</v>
      </c>
      <c r="B105" s="107">
        <f>YEAR(Table6[[#This Row],[Date]])+IF(MONTH(Table6[[#This Row],[Date]])&gt;=4,1,0)</f>
        <v>2026</v>
      </c>
      <c r="C105" s="105">
        <f>YEAR(Table6[[#This Row],[Date]])</f>
        <v>2025</v>
      </c>
      <c r="D105" s="105" t="s">
        <v>490</v>
      </c>
      <c r="E105" s="119">
        <f>Table6[[#This Row],[Date]]-DAY(Table6[[#This Row],[Date]])+1</f>
        <v>45748</v>
      </c>
      <c r="F105" s="118">
        <v>45748</v>
      </c>
      <c r="G105" s="105" t="s">
        <v>128</v>
      </c>
      <c r="H105" s="39" t="str">
        <f>_xlfn.XLOOKUP(Table6[[#This Row],[Affected WTG]],'Basic Data'!$A:$A,'Basic Data'!$B:$B)</f>
        <v>PWEGPL</v>
      </c>
      <c r="I105" s="39" t="str">
        <f>_xlfn.XLOOKUP(Table6[[#This Row],[Affected WTG]],'Basic Data'!$A:$A,'Basic Data'!$C:$C)</f>
        <v>MSEDCL</v>
      </c>
      <c r="J105" s="345">
        <f>IFERROR(VLOOKUP(Table6[[#This Row],[Affected WTG]],'Basic Data'!$A$3:$E$56,5,0),"")</f>
        <v>2.564102564102564E-2</v>
      </c>
      <c r="K105" s="105">
        <v>5201</v>
      </c>
      <c r="L105" s="39" t="str">
        <f>IFERROR(VLOOKUP(Table6[[#This Row],[Error Code]],'Basic Data'!$T:$U,2,0),"")</f>
        <v>Magnetothermic Trigger Of The Stator Protection</v>
      </c>
      <c r="M105" s="346" t="s">
        <v>462</v>
      </c>
      <c r="N105" s="39" t="s">
        <v>1270</v>
      </c>
      <c r="O105" s="347">
        <v>0.9604166666666667</v>
      </c>
      <c r="P105" s="347">
        <v>0.99930555555555556</v>
      </c>
      <c r="Q105" s="347">
        <v>0.99930555555555556</v>
      </c>
      <c r="R105" s="348">
        <f>IF(Table6[[#This Row],[Work Start TimeStamp]]="","",(Table6[[#This Row],[Work Start TimeStamp]]-Table6[[#This Row],[Fault Start TimeStamp]])*24)</f>
        <v>0.93333333333333268</v>
      </c>
      <c r="S105" s="349">
        <f>(Table6[[#This Row],[Fault Clearance time]]-Table6[[#This Row],[Work Start TimeStamp]])*24</f>
        <v>0</v>
      </c>
      <c r="T105" s="350">
        <f>(Table6[[#This Row],[Fault Clearance time]]-Table6[[#This Row],[Fault Start TimeStamp]])*24</f>
        <v>0.93333333333333268</v>
      </c>
      <c r="U105" s="346" t="s">
        <v>500</v>
      </c>
      <c r="V105" s="351" t="s">
        <v>473</v>
      </c>
      <c r="W105" s="338">
        <f>Table6[[#This Row],[Breakdown Time]]*(1/39)</f>
        <v>2.3931623931623913E-2</v>
      </c>
      <c r="X105" s="336" t="s">
        <v>465</v>
      </c>
      <c r="Y105" s="352" t="s">
        <v>129</v>
      </c>
      <c r="Z105" s="105">
        <v>4039</v>
      </c>
      <c r="AA105" s="107">
        <v>157.07222222222211</v>
      </c>
      <c r="AB105" s="105" t="s">
        <v>478</v>
      </c>
    </row>
    <row r="106" spans="1:28">
      <c r="A106" s="105">
        <f t="shared" si="1"/>
        <v>105</v>
      </c>
      <c r="B106" s="107">
        <f>YEAR(Table6[[#This Row],[Date]])+IF(MONTH(Table6[[#This Row],[Date]])&gt;=4,1,0)</f>
        <v>2026</v>
      </c>
      <c r="C106" s="105">
        <f>YEAR(Table6[[#This Row],[Date]])</f>
        <v>2025</v>
      </c>
      <c r="D106" s="105" t="s">
        <v>490</v>
      </c>
      <c r="E106" s="119">
        <f>Table6[[#This Row],[Date]]-DAY(Table6[[#This Row],[Date]])+1</f>
        <v>45748</v>
      </c>
      <c r="F106" s="118">
        <v>45748</v>
      </c>
      <c r="G106" s="105" t="s">
        <v>129</v>
      </c>
      <c r="H106" s="39" t="str">
        <f>_xlfn.XLOOKUP(Table6[[#This Row],[Affected WTG]],'Basic Data'!$A:$A,'Basic Data'!$B:$B)</f>
        <v>PWEGPL</v>
      </c>
      <c r="I106" s="39" t="str">
        <f>_xlfn.XLOOKUP(Table6[[#This Row],[Affected WTG]],'Basic Data'!$A:$A,'Basic Data'!$C:$C)</f>
        <v>MSEDCL</v>
      </c>
      <c r="J106" s="345">
        <f>IFERROR(VLOOKUP(Table6[[#This Row],[Affected WTG]],'Basic Data'!$A$3:$E$56,5,0),"")</f>
        <v>2.564102564102564E-2</v>
      </c>
      <c r="K106" s="105">
        <v>5210</v>
      </c>
      <c r="L106" s="39" t="str">
        <f>IFERROR(VLOOKUP(Table6[[#This Row],[Error Code]],'Basic Data'!$T:$U,2,0),"")</f>
        <v>Failure Of The Contactor's Rotor Power</v>
      </c>
      <c r="M106" s="346" t="s">
        <v>462</v>
      </c>
      <c r="N106" s="39" t="s">
        <v>1270</v>
      </c>
      <c r="O106" s="347">
        <v>0.94097222222222221</v>
      </c>
      <c r="P106" s="347">
        <v>0.94097222222222221</v>
      </c>
      <c r="Q106" s="347">
        <v>0.97083333333333333</v>
      </c>
      <c r="R106" s="348">
        <f>IF(Table6[[#This Row],[Work Start TimeStamp]]="","",(Table6[[#This Row],[Work Start TimeStamp]]-Table6[[#This Row],[Fault Start TimeStamp]])*24)</f>
        <v>0</v>
      </c>
      <c r="S106" s="349">
        <f>(Table6[[#This Row],[Fault Clearance time]]-Table6[[#This Row],[Work Start TimeStamp]])*24</f>
        <v>0.71666666666666679</v>
      </c>
      <c r="T106" s="350">
        <f>(Table6[[#This Row],[Fault Clearance time]]-Table6[[#This Row],[Fault Start TimeStamp]])*24</f>
        <v>0.71666666666666679</v>
      </c>
      <c r="U106" s="346" t="s">
        <v>480</v>
      </c>
      <c r="V106" s="351" t="s">
        <v>463</v>
      </c>
      <c r="W106" s="338">
        <f>Table6[[#This Row],[Breakdown Time]]*(1/39)</f>
        <v>1.837606837606838E-2</v>
      </c>
      <c r="X106" s="336" t="s">
        <v>465</v>
      </c>
      <c r="Y106" s="352" t="s">
        <v>130</v>
      </c>
      <c r="Z106" s="105">
        <v>5316</v>
      </c>
      <c r="AA106" s="107">
        <v>158.7416666666667</v>
      </c>
      <c r="AB106" s="105" t="s">
        <v>478</v>
      </c>
    </row>
    <row r="107" spans="1:28">
      <c r="A107" s="105">
        <f t="shared" si="1"/>
        <v>106</v>
      </c>
      <c r="B107" s="107">
        <f>YEAR(Table6[[#This Row],[Date]])+IF(MONTH(Table6[[#This Row],[Date]])&gt;=4,1,0)</f>
        <v>2026</v>
      </c>
      <c r="C107" s="105">
        <f>YEAR(Table6[[#This Row],[Date]])</f>
        <v>2025</v>
      </c>
      <c r="D107" s="105" t="s">
        <v>490</v>
      </c>
      <c r="E107" s="119">
        <f>Table6[[#This Row],[Date]]-DAY(Table6[[#This Row],[Date]])+1</f>
        <v>45748</v>
      </c>
      <c r="F107" s="118">
        <v>45748</v>
      </c>
      <c r="G107" s="105" t="s">
        <v>130</v>
      </c>
      <c r="H107" s="39" t="str">
        <f>_xlfn.XLOOKUP(Table6[[#This Row],[Affected WTG]],'Basic Data'!$A:$A,'Basic Data'!$B:$B)</f>
        <v>PWEGPL</v>
      </c>
      <c r="I107" s="39" t="str">
        <f>_xlfn.XLOOKUP(Table6[[#This Row],[Affected WTG]],'Basic Data'!$A:$A,'Basic Data'!$C:$C)</f>
        <v>MSEDCL</v>
      </c>
      <c r="J107" s="345">
        <f>IFERROR(VLOOKUP(Table6[[#This Row],[Affected WTG]],'Basic Data'!$A$3:$E$56,5,0),"")</f>
        <v>2.564102564102564E-2</v>
      </c>
      <c r="K107" s="105">
        <v>812</v>
      </c>
      <c r="L107" s="39" t="str">
        <f>IFERROR(VLOOKUP(Table6[[#This Row],[Error Code]],'Basic Data'!$T:$U,2,0),"")</f>
        <v>Blade Position Meas. Error</v>
      </c>
      <c r="M107" s="346" t="s">
        <v>462</v>
      </c>
      <c r="N107" s="39" t="s">
        <v>1270</v>
      </c>
      <c r="O107" s="347">
        <v>0.20694444444444443</v>
      </c>
      <c r="P107" s="347">
        <v>0.20694444444444443</v>
      </c>
      <c r="Q107" s="347">
        <v>0.21041666666666667</v>
      </c>
      <c r="R107" s="348">
        <f>IF(Table6[[#This Row],[Work Start TimeStamp]]="","",(Table6[[#This Row],[Work Start TimeStamp]]-Table6[[#This Row],[Fault Start TimeStamp]])*24)</f>
        <v>0</v>
      </c>
      <c r="S107" s="349">
        <f>(Table6[[#This Row],[Fault Clearance time]]-Table6[[#This Row],[Work Start TimeStamp]])*24</f>
        <v>8.3333333333333703E-2</v>
      </c>
      <c r="T107" s="350">
        <f>(Table6[[#This Row],[Fault Clearance time]]-Table6[[#This Row],[Fault Start TimeStamp]])*24</f>
        <v>8.3333333333333703E-2</v>
      </c>
      <c r="U107" s="346" t="s">
        <v>480</v>
      </c>
      <c r="V107" s="351" t="s">
        <v>463</v>
      </c>
      <c r="W107" s="338">
        <f>Table6[[#This Row],[Breakdown Time]]*(1/39)</f>
        <v>2.1367521367521461E-3</v>
      </c>
      <c r="X107" s="336" t="s">
        <v>465</v>
      </c>
      <c r="Y107" s="352" t="s">
        <v>131</v>
      </c>
      <c r="Z107" s="105">
        <v>6766</v>
      </c>
      <c r="AA107" s="107">
        <v>23.49305555555566</v>
      </c>
      <c r="AB107" s="105" t="s">
        <v>478</v>
      </c>
    </row>
    <row r="108" spans="1:28">
      <c r="A108" s="105">
        <f t="shared" si="1"/>
        <v>107</v>
      </c>
      <c r="B108" s="107">
        <f>YEAR(Table6[[#This Row],[Date]])+IF(MONTH(Table6[[#This Row],[Date]])&gt;=4,1,0)</f>
        <v>2026</v>
      </c>
      <c r="C108" s="105">
        <f>YEAR(Table6[[#This Row],[Date]])</f>
        <v>2025</v>
      </c>
      <c r="D108" s="105" t="s">
        <v>490</v>
      </c>
      <c r="E108" s="119">
        <f>Table6[[#This Row],[Date]]-DAY(Table6[[#This Row],[Date]])+1</f>
        <v>45748</v>
      </c>
      <c r="F108" s="118">
        <v>45748</v>
      </c>
      <c r="G108" s="105" t="s">
        <v>130</v>
      </c>
      <c r="H108" s="39" t="str">
        <f>_xlfn.XLOOKUP(Table6[[#This Row],[Affected WTG]],'Basic Data'!$A:$A,'Basic Data'!$B:$B)</f>
        <v>PWEGPL</v>
      </c>
      <c r="I108" s="39" t="str">
        <f>_xlfn.XLOOKUP(Table6[[#This Row],[Affected WTG]],'Basic Data'!$A:$A,'Basic Data'!$C:$C)</f>
        <v>MSEDCL</v>
      </c>
      <c r="J108" s="345">
        <f>IFERROR(VLOOKUP(Table6[[#This Row],[Affected WTG]],'Basic Data'!$A$3:$E$56,5,0),"")</f>
        <v>2.564102564102564E-2</v>
      </c>
      <c r="K108" s="105">
        <v>2118</v>
      </c>
      <c r="L108" s="39" t="str">
        <f>IFERROR(VLOOKUP(Table6[[#This Row],[Error Code]],'Basic Data'!$T:$U,2,0),"")</f>
        <v>Bus Error - Interbus Failure</v>
      </c>
      <c r="M108" s="346" t="s">
        <v>462</v>
      </c>
      <c r="N108" s="39" t="s">
        <v>1270</v>
      </c>
      <c r="O108" s="347">
        <v>0.9555555555555556</v>
      </c>
      <c r="P108" s="347">
        <v>0.99444444444444446</v>
      </c>
      <c r="Q108" s="347">
        <v>0.99930555555555556</v>
      </c>
      <c r="R108" s="348">
        <f>IF(Table6[[#This Row],[Work Start TimeStamp]]="","",(Table6[[#This Row],[Work Start TimeStamp]]-Table6[[#This Row],[Fault Start TimeStamp]])*24)</f>
        <v>0.93333333333333268</v>
      </c>
      <c r="S108" s="349">
        <f>(Table6[[#This Row],[Fault Clearance time]]-Table6[[#This Row],[Work Start TimeStamp]])*24</f>
        <v>0.11666666666666625</v>
      </c>
      <c r="T108" s="350">
        <f>(Table6[[#This Row],[Fault Clearance time]]-Table6[[#This Row],[Fault Start TimeStamp]])*24</f>
        <v>1.0499999999999989</v>
      </c>
      <c r="U108" s="346" t="s">
        <v>491</v>
      </c>
      <c r="V108" s="351" t="s">
        <v>463</v>
      </c>
      <c r="W108" s="338">
        <f>Table6[[#This Row],[Breakdown Time]]*(1/39)</f>
        <v>2.6923076923076893E-2</v>
      </c>
      <c r="X108" s="336" t="s">
        <v>465</v>
      </c>
      <c r="Y108" s="352" t="s">
        <v>131</v>
      </c>
      <c r="Z108" s="105">
        <v>6766</v>
      </c>
      <c r="AA108" s="107">
        <v>296.0124999999997</v>
      </c>
      <c r="AB108" s="105" t="s">
        <v>478</v>
      </c>
    </row>
    <row r="109" spans="1:28">
      <c r="A109" s="105">
        <f t="shared" si="1"/>
        <v>108</v>
      </c>
      <c r="B109" s="107">
        <f>YEAR(Table6[[#This Row],[Date]])+IF(MONTH(Table6[[#This Row],[Date]])&gt;=4,1,0)</f>
        <v>2026</v>
      </c>
      <c r="C109" s="105">
        <f>YEAR(Table6[[#This Row],[Date]])</f>
        <v>2025</v>
      </c>
      <c r="D109" s="105" t="s">
        <v>490</v>
      </c>
      <c r="E109" s="119">
        <f>Table6[[#This Row],[Date]]-DAY(Table6[[#This Row],[Date]])+1</f>
        <v>45748</v>
      </c>
      <c r="F109" s="118">
        <v>45748</v>
      </c>
      <c r="G109" s="105" t="s">
        <v>131</v>
      </c>
      <c r="H109" s="39" t="str">
        <f>_xlfn.XLOOKUP(Table6[[#This Row],[Affected WTG]],'Basic Data'!$A:$A,'Basic Data'!$B:$B)</f>
        <v>PWEGPL</v>
      </c>
      <c r="I109" s="39" t="str">
        <f>_xlfn.XLOOKUP(Table6[[#This Row],[Affected WTG]],'Basic Data'!$A:$A,'Basic Data'!$C:$C)</f>
        <v>MSEDCL</v>
      </c>
      <c r="J109" s="345">
        <f>IFERROR(VLOOKUP(Table6[[#This Row],[Affected WTG]],'Basic Data'!$A$3:$E$56,5,0),"")</f>
        <v>2.564102564102564E-2</v>
      </c>
      <c r="K109" s="105">
        <v>5201</v>
      </c>
      <c r="L109" s="39" t="str">
        <f>IFERROR(VLOOKUP(Table6[[#This Row],[Error Code]],'Basic Data'!$T:$U,2,0),"")</f>
        <v>Magnetothermic Trigger Of The Stator Protection</v>
      </c>
      <c r="M109" s="346" t="s">
        <v>462</v>
      </c>
      <c r="N109" s="39" t="s">
        <v>1270</v>
      </c>
      <c r="O109" s="347">
        <v>0.96736111111111112</v>
      </c>
      <c r="P109" s="347">
        <v>0.96736111111111112</v>
      </c>
      <c r="Q109" s="347">
        <v>0.99930555555555556</v>
      </c>
      <c r="R109" s="348">
        <f>IF(Table6[[#This Row],[Work Start TimeStamp]]="","",(Table6[[#This Row],[Work Start TimeStamp]]-Table6[[#This Row],[Fault Start TimeStamp]])*24)</f>
        <v>0</v>
      </c>
      <c r="S109" s="349">
        <f>(Table6[[#This Row],[Fault Clearance time]]-Table6[[#This Row],[Work Start TimeStamp]])*24</f>
        <v>0.76666666666666661</v>
      </c>
      <c r="T109" s="350">
        <f>(Table6[[#This Row],[Fault Clearance time]]-Table6[[#This Row],[Fault Start TimeStamp]])*24</f>
        <v>0.76666666666666661</v>
      </c>
      <c r="U109" s="346" t="s">
        <v>500</v>
      </c>
      <c r="V109" s="351" t="s">
        <v>473</v>
      </c>
      <c r="W109" s="338">
        <f>Table6[[#This Row],[Breakdown Time]]*(1/39)</f>
        <v>1.9658119658119654E-2</v>
      </c>
      <c r="X109" s="336" t="s">
        <v>465</v>
      </c>
      <c r="Y109" s="352" t="s">
        <v>130</v>
      </c>
      <c r="Z109" s="105">
        <v>5316</v>
      </c>
      <c r="AA109" s="107">
        <v>169.81666666666666</v>
      </c>
      <c r="AB109" s="105" t="s">
        <v>478</v>
      </c>
    </row>
    <row r="110" spans="1:28">
      <c r="A110" s="105">
        <f t="shared" si="1"/>
        <v>109</v>
      </c>
      <c r="B110" s="107">
        <f>YEAR(Table6[[#This Row],[Date]])+IF(MONTH(Table6[[#This Row],[Date]])&gt;=4,1,0)</f>
        <v>2026</v>
      </c>
      <c r="C110" s="105">
        <f>YEAR(Table6[[#This Row],[Date]])</f>
        <v>2025</v>
      </c>
      <c r="D110" s="105" t="s">
        <v>490</v>
      </c>
      <c r="E110" s="119">
        <f>Table6[[#This Row],[Date]]-DAY(Table6[[#This Row],[Date]])+1</f>
        <v>45748</v>
      </c>
      <c r="F110" s="118">
        <v>45748</v>
      </c>
      <c r="G110" s="105" t="s">
        <v>132</v>
      </c>
      <c r="H110" s="39" t="str">
        <f>_xlfn.XLOOKUP(Table6[[#This Row],[Affected WTG]],'Basic Data'!$A:$A,'Basic Data'!$B:$B)</f>
        <v>PWEGPL</v>
      </c>
      <c r="I110" s="39" t="str">
        <f>_xlfn.XLOOKUP(Table6[[#This Row],[Affected WTG]],'Basic Data'!$A:$A,'Basic Data'!$C:$C)</f>
        <v>MSEDCL</v>
      </c>
      <c r="J110" s="345">
        <f>IFERROR(VLOOKUP(Table6[[#This Row],[Affected WTG]],'Basic Data'!$A$3:$E$56,5,0),"")</f>
        <v>2.564102564102564E-2</v>
      </c>
      <c r="K110" s="105">
        <v>812</v>
      </c>
      <c r="L110" s="39" t="str">
        <f>IFERROR(VLOOKUP(Table6[[#This Row],[Error Code]],'Basic Data'!$T:$U,2,0),"")</f>
        <v>Blade Position Meas. Error</v>
      </c>
      <c r="M110" s="346" t="s">
        <v>462</v>
      </c>
      <c r="N110" s="39" t="s">
        <v>1270</v>
      </c>
      <c r="O110" s="347">
        <v>0.93263888888888891</v>
      </c>
      <c r="P110" s="347">
        <v>0.93263888888888891</v>
      </c>
      <c r="Q110" s="347">
        <v>0.99930555555555556</v>
      </c>
      <c r="R110" s="348">
        <f>IF(Table6[[#This Row],[Work Start TimeStamp]]="","",(Table6[[#This Row],[Work Start TimeStamp]]-Table6[[#This Row],[Fault Start TimeStamp]])*24)</f>
        <v>0</v>
      </c>
      <c r="S110" s="349">
        <f>(Table6[[#This Row],[Fault Clearance time]]-Table6[[#This Row],[Work Start TimeStamp]])*24</f>
        <v>1.5999999999999996</v>
      </c>
      <c r="T110" s="350">
        <f>(Table6[[#This Row],[Fault Clearance time]]-Table6[[#This Row],[Fault Start TimeStamp]])*24</f>
        <v>1.5999999999999996</v>
      </c>
      <c r="U110" s="346" t="s">
        <v>480</v>
      </c>
      <c r="V110" s="351" t="s">
        <v>463</v>
      </c>
      <c r="W110" s="338">
        <f>Table6[[#This Row],[Breakdown Time]]*(1/39)</f>
        <v>4.1025641025641012E-2</v>
      </c>
      <c r="X110" s="336" t="s">
        <v>465</v>
      </c>
      <c r="Y110" s="352" t="s">
        <v>133</v>
      </c>
      <c r="Z110" s="105">
        <v>6788</v>
      </c>
      <c r="AA110" s="107">
        <v>452.53333333333319</v>
      </c>
      <c r="AB110" s="105" t="s">
        <v>478</v>
      </c>
    </row>
    <row r="111" spans="1:28">
      <c r="A111" s="105">
        <f t="shared" si="1"/>
        <v>110</v>
      </c>
      <c r="B111" s="107">
        <f>YEAR(Table6[[#This Row],[Date]])+IF(MONTH(Table6[[#This Row],[Date]])&gt;=4,1,0)</f>
        <v>2026</v>
      </c>
      <c r="C111" s="105">
        <f>YEAR(Table6[[#This Row],[Date]])</f>
        <v>2025</v>
      </c>
      <c r="D111" s="105" t="s">
        <v>490</v>
      </c>
      <c r="E111" s="119">
        <f>Table6[[#This Row],[Date]]-DAY(Table6[[#This Row],[Date]])+1</f>
        <v>45748</v>
      </c>
      <c r="F111" s="118">
        <v>45748</v>
      </c>
      <c r="G111" s="105" t="s">
        <v>133</v>
      </c>
      <c r="H111" s="39" t="str">
        <f>_xlfn.XLOOKUP(Table6[[#This Row],[Affected WTG]],'Basic Data'!$A:$A,'Basic Data'!$B:$B)</f>
        <v>PWEGPL</v>
      </c>
      <c r="I111" s="39" t="str">
        <f>_xlfn.XLOOKUP(Table6[[#This Row],[Affected WTG]],'Basic Data'!$A:$A,'Basic Data'!$C:$C)</f>
        <v>MSEDCL</v>
      </c>
      <c r="J111" s="345">
        <f>IFERROR(VLOOKUP(Table6[[#This Row],[Affected WTG]],'Basic Data'!$A$3:$E$56,5,0),"")</f>
        <v>2.564102564102564E-2</v>
      </c>
      <c r="K111" s="105">
        <v>5216</v>
      </c>
      <c r="L111" s="39" t="str">
        <f>IFERROR(VLOOKUP(Table6[[#This Row],[Error Code]],'Basic Data'!$T:$U,2,0),"")</f>
        <v>Grid Voltage Failure</v>
      </c>
      <c r="M111" s="346" t="s">
        <v>462</v>
      </c>
      <c r="N111" s="39" t="s">
        <v>1270</v>
      </c>
      <c r="O111" s="347">
        <v>0.96597222222222223</v>
      </c>
      <c r="P111" s="347">
        <v>0.96597222222222223</v>
      </c>
      <c r="Q111" s="347">
        <v>0.99930555555555556</v>
      </c>
      <c r="R111" s="348">
        <f>IF(Table6[[#This Row],[Work Start TimeStamp]]="","",(Table6[[#This Row],[Work Start TimeStamp]]-Table6[[#This Row],[Fault Start TimeStamp]])*24)</f>
        <v>0</v>
      </c>
      <c r="S111" s="349">
        <f>(Table6[[#This Row],[Fault Clearance time]]-Table6[[#This Row],[Work Start TimeStamp]])*24</f>
        <v>0.79999999999999982</v>
      </c>
      <c r="T111" s="350">
        <f>(Table6[[#This Row],[Fault Clearance time]]-Table6[[#This Row],[Fault Start TimeStamp]])*24</f>
        <v>0.79999999999999982</v>
      </c>
      <c r="U111" s="346" t="s">
        <v>500</v>
      </c>
      <c r="V111" s="351" t="s">
        <v>473</v>
      </c>
      <c r="W111" s="338">
        <f>Table6[[#This Row],[Breakdown Time]]*(1/39)</f>
        <v>2.0512820512820506E-2</v>
      </c>
      <c r="X111" s="336" t="s">
        <v>465</v>
      </c>
      <c r="Y111" s="352" t="s">
        <v>132</v>
      </c>
      <c r="Z111" s="105">
        <v>6572</v>
      </c>
      <c r="AA111" s="107">
        <v>219.06666666666661</v>
      </c>
      <c r="AB111" s="105" t="s">
        <v>478</v>
      </c>
    </row>
    <row r="112" spans="1:28">
      <c r="A112" s="105">
        <f t="shared" si="1"/>
        <v>111</v>
      </c>
      <c r="B112" s="107">
        <f>YEAR(Table6[[#This Row],[Date]])+IF(MONTH(Table6[[#This Row],[Date]])&gt;=4,1,0)</f>
        <v>2026</v>
      </c>
      <c r="C112" s="105">
        <f>YEAR(Table6[[#This Row],[Date]])</f>
        <v>2025</v>
      </c>
      <c r="D112" s="105" t="s">
        <v>490</v>
      </c>
      <c r="E112" s="119">
        <f>Table6[[#This Row],[Date]]-DAY(Table6[[#This Row],[Date]])+1</f>
        <v>45748</v>
      </c>
      <c r="F112" s="118">
        <v>45748</v>
      </c>
      <c r="G112" s="105" t="s">
        <v>134</v>
      </c>
      <c r="H112" s="39" t="str">
        <f>_xlfn.XLOOKUP(Table6[[#This Row],[Affected WTG]],'Basic Data'!$A:$A,'Basic Data'!$B:$B)</f>
        <v>PWEGPL</v>
      </c>
      <c r="I112" s="39" t="str">
        <f>_xlfn.XLOOKUP(Table6[[#This Row],[Affected WTG]],'Basic Data'!$A:$A,'Basic Data'!$C:$C)</f>
        <v>MSEDCL</v>
      </c>
      <c r="J112" s="345">
        <f>IFERROR(VLOOKUP(Table6[[#This Row],[Affected WTG]],'Basic Data'!$A$3:$E$56,5,0),"")</f>
        <v>2.564102564102564E-2</v>
      </c>
      <c r="K112" s="105">
        <v>5200</v>
      </c>
      <c r="L112" s="39" t="str">
        <f>IFERROR(VLOOKUP(Table6[[#This Row],[Error Code]],'Basic Data'!$T:$U,2,0),"")</f>
        <v>Magnetothermic Trigger Of The Line Protection</v>
      </c>
      <c r="M112" s="346" t="s">
        <v>462</v>
      </c>
      <c r="N112" s="39" t="s">
        <v>1270</v>
      </c>
      <c r="O112" s="347">
        <v>0.9604166666666667</v>
      </c>
      <c r="P112" s="347">
        <v>0.96875</v>
      </c>
      <c r="Q112" s="347">
        <v>0.99930555555555556</v>
      </c>
      <c r="R112" s="348">
        <f>IF(Table6[[#This Row],[Work Start TimeStamp]]="","",(Table6[[#This Row],[Work Start TimeStamp]]-Table6[[#This Row],[Fault Start TimeStamp]])*24)</f>
        <v>0.19999999999999929</v>
      </c>
      <c r="S112" s="349">
        <f>(Table6[[#This Row],[Fault Clearance time]]-Table6[[#This Row],[Work Start TimeStamp]])*24</f>
        <v>0.73333333333333339</v>
      </c>
      <c r="T112" s="350">
        <f>(Table6[[#This Row],[Fault Clearance time]]-Table6[[#This Row],[Fault Start TimeStamp]])*24</f>
        <v>0.93333333333333268</v>
      </c>
      <c r="U112" s="346" t="s">
        <v>500</v>
      </c>
      <c r="V112" s="351" t="s">
        <v>473</v>
      </c>
      <c r="W112" s="338">
        <f>Table6[[#This Row],[Breakdown Time]]*(1/39)</f>
        <v>2.3931623931623913E-2</v>
      </c>
      <c r="X112" s="336" t="s">
        <v>465</v>
      </c>
      <c r="Y112" s="352" t="s">
        <v>133</v>
      </c>
      <c r="Z112" s="105">
        <v>6788</v>
      </c>
      <c r="AA112" s="107">
        <v>263.97777777777759</v>
      </c>
      <c r="AB112" s="105" t="s">
        <v>478</v>
      </c>
    </row>
    <row r="113" spans="1:28">
      <c r="A113" s="105">
        <f t="shared" si="1"/>
        <v>112</v>
      </c>
      <c r="B113" s="107">
        <f>YEAR(Table6[[#This Row],[Date]])+IF(MONTH(Table6[[#This Row],[Date]])&gt;=4,1,0)</f>
        <v>2026</v>
      </c>
      <c r="C113" s="105">
        <f>YEAR(Table6[[#This Row],[Date]])</f>
        <v>2025</v>
      </c>
      <c r="D113" s="105" t="s">
        <v>490</v>
      </c>
      <c r="E113" s="119">
        <f>Table6[[#This Row],[Date]]-DAY(Table6[[#This Row],[Date]])+1</f>
        <v>45748</v>
      </c>
      <c r="F113" s="118">
        <v>45748</v>
      </c>
      <c r="G113" s="105" t="s">
        <v>136</v>
      </c>
      <c r="H113" s="39" t="str">
        <f>_xlfn.XLOOKUP(Table6[[#This Row],[Affected WTG]],'Basic Data'!$A:$A,'Basic Data'!$B:$B)</f>
        <v>PWEGPL</v>
      </c>
      <c r="I113" s="39" t="str">
        <f>_xlfn.XLOOKUP(Table6[[#This Row],[Affected WTG]],'Basic Data'!$A:$A,'Basic Data'!$C:$C)</f>
        <v>MSEDCL</v>
      </c>
      <c r="J113" s="345">
        <f>IFERROR(VLOOKUP(Table6[[#This Row],[Affected WTG]],'Basic Data'!$A$3:$E$56,5,0),"")</f>
        <v>2.564102564102564E-2</v>
      </c>
      <c r="K113" s="105">
        <v>5210</v>
      </c>
      <c r="L113" s="39" t="str">
        <f>IFERROR(VLOOKUP(Table6[[#This Row],[Error Code]],'Basic Data'!$T:$U,2,0),"")</f>
        <v>Failure Of The Contactor's Rotor Power</v>
      </c>
      <c r="M113" s="346" t="s">
        <v>462</v>
      </c>
      <c r="N113" s="39" t="s">
        <v>1270</v>
      </c>
      <c r="O113" s="347">
        <v>0.94097222222222221</v>
      </c>
      <c r="P113" s="347">
        <v>0.96597222222222223</v>
      </c>
      <c r="Q113" s="347">
        <v>0.99930555555555556</v>
      </c>
      <c r="R113" s="348">
        <f>IF(Table6[[#This Row],[Work Start TimeStamp]]="","",(Table6[[#This Row],[Work Start TimeStamp]]-Table6[[#This Row],[Fault Start TimeStamp]])*24)</f>
        <v>0.60000000000000053</v>
      </c>
      <c r="S113" s="349">
        <f>(Table6[[#This Row],[Fault Clearance time]]-Table6[[#This Row],[Work Start TimeStamp]])*24</f>
        <v>0.79999999999999982</v>
      </c>
      <c r="T113" s="350">
        <f>(Table6[[#This Row],[Fault Clearance time]]-Table6[[#This Row],[Fault Start TimeStamp]])*24</f>
        <v>1.4000000000000004</v>
      </c>
      <c r="U113" s="346" t="s">
        <v>500</v>
      </c>
      <c r="V113" s="351" t="s">
        <v>463</v>
      </c>
      <c r="W113" s="338">
        <f>Table6[[#This Row],[Breakdown Time]]*(1/39)</f>
        <v>3.5897435897435909E-2</v>
      </c>
      <c r="X113" s="336" t="s">
        <v>465</v>
      </c>
      <c r="Y113" s="352" t="s">
        <v>119</v>
      </c>
      <c r="Z113" s="105">
        <v>4726</v>
      </c>
      <c r="AA113" s="107">
        <v>275.68333333333339</v>
      </c>
      <c r="AB113" s="105" t="s">
        <v>478</v>
      </c>
    </row>
    <row r="114" spans="1:28">
      <c r="A114" s="105">
        <f t="shared" si="1"/>
        <v>113</v>
      </c>
      <c r="B114" s="107">
        <f>YEAR(Table6[[#This Row],[Date]])+IF(MONTH(Table6[[#This Row],[Date]])&gt;=4,1,0)</f>
        <v>2026</v>
      </c>
      <c r="C114" s="105">
        <f>YEAR(Table6[[#This Row],[Date]])</f>
        <v>2025</v>
      </c>
      <c r="D114" s="105" t="s">
        <v>490</v>
      </c>
      <c r="E114" s="119">
        <f>Table6[[#This Row],[Date]]-DAY(Table6[[#This Row],[Date]])+1</f>
        <v>45748</v>
      </c>
      <c r="F114" s="118">
        <v>45748</v>
      </c>
      <c r="G114" s="105" t="s">
        <v>143</v>
      </c>
      <c r="H114" s="39" t="str">
        <f>_xlfn.XLOOKUP(Table6[[#This Row],[Affected WTG]],'Basic Data'!$A:$A,'Basic Data'!$B:$B)</f>
        <v>PWEGPL</v>
      </c>
      <c r="I114" s="39" t="str">
        <f>_xlfn.XLOOKUP(Table6[[#This Row],[Affected WTG]],'Basic Data'!$A:$A,'Basic Data'!$C:$C)</f>
        <v>MSEDCL</v>
      </c>
      <c r="J114" s="345">
        <f>IFERROR(VLOOKUP(Table6[[#This Row],[Affected WTG]],'Basic Data'!$A$3:$E$56,5,0),"")</f>
        <v>2.564102564102564E-2</v>
      </c>
      <c r="K114" s="105">
        <v>5216</v>
      </c>
      <c r="L114" s="39" t="str">
        <f>IFERROR(VLOOKUP(Table6[[#This Row],[Error Code]],'Basic Data'!$T:$U,2,0),"")</f>
        <v>Grid Voltage Failure</v>
      </c>
      <c r="M114" s="346" t="s">
        <v>462</v>
      </c>
      <c r="N114" s="39" t="s">
        <v>1270</v>
      </c>
      <c r="O114" s="347">
        <v>0</v>
      </c>
      <c r="P114" s="347">
        <v>0.10347222222222222</v>
      </c>
      <c r="Q114" s="347">
        <v>0.5805555555555556</v>
      </c>
      <c r="R114" s="348">
        <f>IF(Table6[[#This Row],[Work Start TimeStamp]]="","",(Table6[[#This Row],[Work Start TimeStamp]]-Table6[[#This Row],[Fault Start TimeStamp]])*24)</f>
        <v>2.4833333333333334</v>
      </c>
      <c r="S114" s="349">
        <f>(Table6[[#This Row],[Fault Clearance time]]-Table6[[#This Row],[Work Start TimeStamp]])*24</f>
        <v>11.450000000000003</v>
      </c>
      <c r="T114" s="350">
        <f>(Table6[[#This Row],[Fault Clearance time]]-Table6[[#This Row],[Fault Start TimeStamp]])*24</f>
        <v>13.933333333333334</v>
      </c>
      <c r="U114" s="346" t="s">
        <v>521</v>
      </c>
      <c r="V114" s="351" t="s">
        <v>463</v>
      </c>
      <c r="W114" s="338">
        <f>Table6[[#This Row],[Breakdown Time]]*(1/39)</f>
        <v>0.35726495726495727</v>
      </c>
      <c r="X114" s="336" t="s">
        <v>465</v>
      </c>
      <c r="Y114" s="352" t="s">
        <v>141</v>
      </c>
      <c r="Z114" s="105">
        <v>6260</v>
      </c>
      <c r="AA114" s="107">
        <v>3634.2777777777774</v>
      </c>
      <c r="AB114" s="105" t="s">
        <v>478</v>
      </c>
    </row>
    <row r="115" spans="1:28">
      <c r="A115" s="105">
        <f t="shared" si="1"/>
        <v>114</v>
      </c>
      <c r="B115" s="107">
        <f>YEAR(Table6[[#This Row],[Date]])+IF(MONTH(Table6[[#This Row],[Date]])&gt;=4,1,0)</f>
        <v>2026</v>
      </c>
      <c r="C115" s="105">
        <f>YEAR(Table6[[#This Row],[Date]])</f>
        <v>2025</v>
      </c>
      <c r="D115" s="105" t="s">
        <v>490</v>
      </c>
      <c r="E115" s="119">
        <f>Table6[[#This Row],[Date]]-DAY(Table6[[#This Row],[Date]])+1</f>
        <v>45748</v>
      </c>
      <c r="F115" s="118">
        <v>45748</v>
      </c>
      <c r="G115" s="105" t="s">
        <v>145</v>
      </c>
      <c r="H115" s="39" t="str">
        <f>_xlfn.XLOOKUP(Table6[[#This Row],[Affected WTG]],'Basic Data'!$A:$A,'Basic Data'!$B:$B)</f>
        <v>PWEGPL</v>
      </c>
      <c r="I115" s="39" t="str">
        <f>_xlfn.XLOOKUP(Table6[[#This Row],[Affected WTG]],'Basic Data'!$A:$A,'Basic Data'!$C:$C)</f>
        <v>MSEDCL</v>
      </c>
      <c r="J115" s="345">
        <f>IFERROR(VLOOKUP(Table6[[#This Row],[Affected WTG]],'Basic Data'!$A$3:$E$56,5,0),"")</f>
        <v>2.564102564102564E-2</v>
      </c>
      <c r="K115" s="105">
        <v>2118</v>
      </c>
      <c r="L115" s="39" t="str">
        <f>IFERROR(VLOOKUP(Table6[[#This Row],[Error Code]],'Basic Data'!$T:$U,2,0),"")</f>
        <v>Bus Error - Interbus Failure</v>
      </c>
      <c r="M115" s="346" t="s">
        <v>462</v>
      </c>
      <c r="N115" s="39" t="s">
        <v>1270</v>
      </c>
      <c r="O115" s="347">
        <v>0.19236111111111112</v>
      </c>
      <c r="P115" s="347">
        <v>0.19236111111111112</v>
      </c>
      <c r="Q115" s="347">
        <v>0.21527777777777779</v>
      </c>
      <c r="R115" s="348">
        <f>IF(Table6[[#This Row],[Work Start TimeStamp]]="","",(Table6[[#This Row],[Work Start TimeStamp]]-Table6[[#This Row],[Fault Start TimeStamp]])*24)</f>
        <v>0</v>
      </c>
      <c r="S115" s="349">
        <f>(Table6[[#This Row],[Fault Clearance time]]-Table6[[#This Row],[Work Start TimeStamp]])*24</f>
        <v>0.55000000000000004</v>
      </c>
      <c r="T115" s="350">
        <f>(Table6[[#This Row],[Fault Clearance time]]-Table6[[#This Row],[Fault Start TimeStamp]])*24</f>
        <v>0.55000000000000004</v>
      </c>
      <c r="U115" s="346" t="s">
        <v>491</v>
      </c>
      <c r="V115" s="351" t="s">
        <v>463</v>
      </c>
      <c r="W115" s="338">
        <f>Table6[[#This Row],[Breakdown Time]]*(1/39)</f>
        <v>1.4102564102564103E-2</v>
      </c>
      <c r="X115" s="336" t="s">
        <v>465</v>
      </c>
      <c r="Y115" s="352" t="s">
        <v>139</v>
      </c>
      <c r="Z115" s="105">
        <v>5834</v>
      </c>
      <c r="AA115" s="107">
        <v>133.69583333333335</v>
      </c>
      <c r="AB115" s="105" t="s">
        <v>478</v>
      </c>
    </row>
    <row r="116" spans="1:28">
      <c r="A116" s="105">
        <f t="shared" si="1"/>
        <v>115</v>
      </c>
      <c r="B116" s="107">
        <f>YEAR(Table6[[#This Row],[Date]])+IF(MONTH(Table6[[#This Row],[Date]])&gt;=4,1,0)</f>
        <v>2026</v>
      </c>
      <c r="C116" s="105">
        <f>YEAR(Table6[[#This Row],[Date]])</f>
        <v>2025</v>
      </c>
      <c r="D116" s="105" t="s">
        <v>490</v>
      </c>
      <c r="E116" s="119">
        <f>Table6[[#This Row],[Date]]-DAY(Table6[[#This Row],[Date]])+1</f>
        <v>45748</v>
      </c>
      <c r="F116" s="118">
        <v>45748</v>
      </c>
      <c r="G116" s="105" t="s">
        <v>145</v>
      </c>
      <c r="H116" s="39" t="str">
        <f>_xlfn.XLOOKUP(Table6[[#This Row],[Affected WTG]],'Basic Data'!$A:$A,'Basic Data'!$B:$B)</f>
        <v>PWEGPL</v>
      </c>
      <c r="I116" s="39" t="str">
        <f>_xlfn.XLOOKUP(Table6[[#This Row],[Affected WTG]],'Basic Data'!$A:$A,'Basic Data'!$C:$C)</f>
        <v>MSEDCL</v>
      </c>
      <c r="J116" s="345">
        <f>IFERROR(VLOOKUP(Table6[[#This Row],[Affected WTG]],'Basic Data'!$A$3:$E$56,5,0),"")</f>
        <v>2.564102564102564E-2</v>
      </c>
      <c r="K116" s="105">
        <v>700</v>
      </c>
      <c r="L116" s="39" t="str">
        <f>IFERROR(VLOOKUP(Table6[[#This Row],[Error Code]],'Basic Data'!$T:$U,2,0),"")</f>
        <v>PLC-Converter Communication Error</v>
      </c>
      <c r="M116" s="346" t="s">
        <v>462</v>
      </c>
      <c r="N116" s="39" t="s">
        <v>1270</v>
      </c>
      <c r="O116" s="347">
        <v>0.55902777777777779</v>
      </c>
      <c r="P116" s="347">
        <v>0.65069444444444446</v>
      </c>
      <c r="Q116" s="347">
        <v>0.65555555555555556</v>
      </c>
      <c r="R116" s="348">
        <f>IF(Table6[[#This Row],[Work Start TimeStamp]]="","",(Table6[[#This Row],[Work Start TimeStamp]]-Table6[[#This Row],[Fault Start TimeStamp]])*24)</f>
        <v>2.2000000000000002</v>
      </c>
      <c r="S116" s="349">
        <f>(Table6[[#This Row],[Fault Clearance time]]-Table6[[#This Row],[Work Start TimeStamp]])*24</f>
        <v>0.11666666666666625</v>
      </c>
      <c r="T116" s="350">
        <f>(Table6[[#This Row],[Fault Clearance time]]-Table6[[#This Row],[Fault Start TimeStamp]])*24</f>
        <v>2.3166666666666664</v>
      </c>
      <c r="U116" s="346" t="s">
        <v>491</v>
      </c>
      <c r="V116" s="351" t="s">
        <v>463</v>
      </c>
      <c r="W116" s="338">
        <f>Table6[[#This Row],[Breakdown Time]]*(1/39)</f>
        <v>5.9401709401709392E-2</v>
      </c>
      <c r="X116" s="336" t="s">
        <v>465</v>
      </c>
      <c r="Y116" s="352" t="s">
        <v>139</v>
      </c>
      <c r="Z116" s="105">
        <v>5834</v>
      </c>
      <c r="AA116" s="107">
        <v>563.14305555555552</v>
      </c>
      <c r="AB116" s="105" t="s">
        <v>478</v>
      </c>
    </row>
    <row r="117" spans="1:28">
      <c r="A117" s="105">
        <f t="shared" si="1"/>
        <v>116</v>
      </c>
      <c r="B117" s="107">
        <f>YEAR(Table6[[#This Row],[Date]])+IF(MONTH(Table6[[#This Row],[Date]])&gt;=4,1,0)</f>
        <v>2026</v>
      </c>
      <c r="C117" s="105">
        <f>YEAR(Table6[[#This Row],[Date]])</f>
        <v>2025</v>
      </c>
      <c r="D117" s="105" t="s">
        <v>490</v>
      </c>
      <c r="E117" s="119">
        <f>Table6[[#This Row],[Date]]-DAY(Table6[[#This Row],[Date]])+1</f>
        <v>45748</v>
      </c>
      <c r="F117" s="118">
        <v>45748</v>
      </c>
      <c r="G117" s="105" t="s">
        <v>145</v>
      </c>
      <c r="H117" s="39" t="str">
        <f>_xlfn.XLOOKUP(Table6[[#This Row],[Affected WTG]],'Basic Data'!$A:$A,'Basic Data'!$B:$B)</f>
        <v>PWEGPL</v>
      </c>
      <c r="I117" s="39" t="str">
        <f>_xlfn.XLOOKUP(Table6[[#This Row],[Affected WTG]],'Basic Data'!$A:$A,'Basic Data'!$C:$C)</f>
        <v>MSEDCL</v>
      </c>
      <c r="J117" s="345">
        <f>IFERROR(VLOOKUP(Table6[[#This Row],[Affected WTG]],'Basic Data'!$A$3:$E$56,5,0),"")</f>
        <v>2.564102564102564E-2</v>
      </c>
      <c r="K117" s="105">
        <v>5201</v>
      </c>
      <c r="L117" s="39" t="str">
        <f>IFERROR(VLOOKUP(Table6[[#This Row],[Error Code]],'Basic Data'!$T:$U,2,0),"")</f>
        <v>Magnetothermic Trigger Of The Stator Protection</v>
      </c>
      <c r="M117" s="346" t="s">
        <v>462</v>
      </c>
      <c r="N117" s="39" t="s">
        <v>1270</v>
      </c>
      <c r="O117" s="347">
        <v>0.96111111111111114</v>
      </c>
      <c r="P117" s="347">
        <v>0.96111111111111114</v>
      </c>
      <c r="Q117" s="347">
        <v>0.99930555555555556</v>
      </c>
      <c r="R117" s="348">
        <f>IF(Table6[[#This Row],[Work Start TimeStamp]]="","",(Table6[[#This Row],[Work Start TimeStamp]]-Table6[[#This Row],[Fault Start TimeStamp]])*24)</f>
        <v>0</v>
      </c>
      <c r="S117" s="349">
        <f>(Table6[[#This Row],[Fault Clearance time]]-Table6[[#This Row],[Work Start TimeStamp]])*24</f>
        <v>0.91666666666666607</v>
      </c>
      <c r="T117" s="350">
        <f>(Table6[[#This Row],[Fault Clearance time]]-Table6[[#This Row],[Fault Start TimeStamp]])*24</f>
        <v>0.91666666666666607</v>
      </c>
      <c r="U117" s="346" t="s">
        <v>500</v>
      </c>
      <c r="V117" s="351" t="s">
        <v>463</v>
      </c>
      <c r="W117" s="338">
        <f>Table6[[#This Row],[Breakdown Time]]*(1/39)</f>
        <v>2.3504273504273487E-2</v>
      </c>
      <c r="X117" s="336" t="s">
        <v>465</v>
      </c>
      <c r="Y117" s="352" t="s">
        <v>139</v>
      </c>
      <c r="Z117" s="105">
        <v>5834</v>
      </c>
      <c r="AA117" s="107">
        <v>222.82638888888874</v>
      </c>
      <c r="AB117" s="105" t="s">
        <v>478</v>
      </c>
    </row>
    <row r="118" spans="1:28">
      <c r="A118" s="105">
        <f t="shared" si="1"/>
        <v>117</v>
      </c>
      <c r="B118" s="107">
        <f>YEAR(Table6[[#This Row],[Date]])+IF(MONTH(Table6[[#This Row],[Date]])&gt;=4,1,0)</f>
        <v>2026</v>
      </c>
      <c r="C118" s="105">
        <f>YEAR(Table6[[#This Row],[Date]])</f>
        <v>2025</v>
      </c>
      <c r="D118" s="105" t="s">
        <v>490</v>
      </c>
      <c r="E118" s="119">
        <f>Table6[[#This Row],[Date]]-DAY(Table6[[#This Row],[Date]])+1</f>
        <v>45748</v>
      </c>
      <c r="F118" s="118">
        <v>45748</v>
      </c>
      <c r="G118" s="105" t="s">
        <v>146</v>
      </c>
      <c r="H118" s="39" t="str">
        <f>_xlfn.XLOOKUP(Table6[[#This Row],[Affected WTG]],'Basic Data'!$A:$A,'Basic Data'!$B:$B)</f>
        <v>PWEGPL</v>
      </c>
      <c r="I118" s="39" t="str">
        <f>_xlfn.XLOOKUP(Table6[[#This Row],[Affected WTG]],'Basic Data'!$A:$A,'Basic Data'!$C:$C)</f>
        <v>MSEDCL</v>
      </c>
      <c r="J118" s="345">
        <f>IFERROR(VLOOKUP(Table6[[#This Row],[Affected WTG]],'Basic Data'!$A$3:$E$56,5,0),"")</f>
        <v>2.564102564102564E-2</v>
      </c>
      <c r="K118" s="105">
        <v>907</v>
      </c>
      <c r="L118" s="39" t="str">
        <f>IFERROR(VLOOKUP(Table6[[#This Row],[Error Code]],'Basic Data'!$T:$U,2,0),"")</f>
        <v>Emergency Series HUB Trigger</v>
      </c>
      <c r="M118" s="346" t="s">
        <v>462</v>
      </c>
      <c r="N118" s="39" t="s">
        <v>1270</v>
      </c>
      <c r="O118" s="347">
        <v>0.97291666666666665</v>
      </c>
      <c r="P118" s="347">
        <v>0.97291666666666665</v>
      </c>
      <c r="Q118" s="347">
        <v>0.97638888888888886</v>
      </c>
      <c r="R118" s="348">
        <f>IF(Table6[[#This Row],[Work Start TimeStamp]]="","",(Table6[[#This Row],[Work Start TimeStamp]]-Table6[[#This Row],[Fault Start TimeStamp]])*24)</f>
        <v>0</v>
      </c>
      <c r="S118" s="349">
        <f>(Table6[[#This Row],[Fault Clearance time]]-Table6[[#This Row],[Work Start TimeStamp]])*24</f>
        <v>8.3333333333333037E-2</v>
      </c>
      <c r="T118" s="350">
        <f>(Table6[[#This Row],[Fault Clearance time]]-Table6[[#This Row],[Fault Start TimeStamp]])*24</f>
        <v>8.3333333333333037E-2</v>
      </c>
      <c r="U118" s="346" t="s">
        <v>480</v>
      </c>
      <c r="V118" s="351" t="s">
        <v>463</v>
      </c>
      <c r="W118" s="338">
        <f>Table6[[#This Row],[Breakdown Time]]*(1/39)</f>
        <v>2.1367521367521292E-3</v>
      </c>
      <c r="X118" s="336" t="s">
        <v>465</v>
      </c>
      <c r="Y118" s="352" t="s">
        <v>147</v>
      </c>
      <c r="Z118" s="105">
        <v>7280</v>
      </c>
      <c r="AA118" s="107">
        <v>25.277777777777686</v>
      </c>
      <c r="AB118" s="105" t="s">
        <v>478</v>
      </c>
    </row>
    <row r="119" spans="1:28">
      <c r="A119" s="105">
        <f t="shared" si="1"/>
        <v>118</v>
      </c>
      <c r="B119" s="107">
        <f>YEAR(Table6[[#This Row],[Date]])+IF(MONTH(Table6[[#This Row],[Date]])&gt;=4,1,0)</f>
        <v>2026</v>
      </c>
      <c r="C119" s="105">
        <f>YEAR(Table6[[#This Row],[Date]])</f>
        <v>2025</v>
      </c>
      <c r="D119" s="105" t="s">
        <v>490</v>
      </c>
      <c r="E119" s="119">
        <f>Table6[[#This Row],[Date]]-DAY(Table6[[#This Row],[Date]])+1</f>
        <v>45748</v>
      </c>
      <c r="F119" s="118">
        <v>45748</v>
      </c>
      <c r="G119" s="105" t="s">
        <v>148</v>
      </c>
      <c r="H119" s="39" t="str">
        <f>_xlfn.XLOOKUP(Table6[[#This Row],[Affected WTG]],'Basic Data'!$A:$A,'Basic Data'!$B:$B)</f>
        <v>PWEGPL</v>
      </c>
      <c r="I119" s="39" t="str">
        <f>_xlfn.XLOOKUP(Table6[[#This Row],[Affected WTG]],'Basic Data'!$A:$A,'Basic Data'!$C:$C)</f>
        <v>MSEDCL</v>
      </c>
      <c r="J119" s="345">
        <f>IFERROR(VLOOKUP(Table6[[#This Row],[Affected WTG]],'Basic Data'!$A$3:$E$56,5,0),"")</f>
        <v>2.564102564102564E-2</v>
      </c>
      <c r="K119" s="105">
        <v>5201</v>
      </c>
      <c r="L119" s="39" t="str">
        <f>IFERROR(VLOOKUP(Table6[[#This Row],[Error Code]],'Basic Data'!$T:$U,2,0),"")</f>
        <v>Magnetothermic Trigger Of The Stator Protection</v>
      </c>
      <c r="M119" s="346" t="s">
        <v>462</v>
      </c>
      <c r="N119" s="39" t="s">
        <v>1270</v>
      </c>
      <c r="O119" s="347">
        <v>0</v>
      </c>
      <c r="P119" s="347">
        <v>5.9722222222222225E-2</v>
      </c>
      <c r="Q119" s="347">
        <v>0.13263888888888889</v>
      </c>
      <c r="R119" s="348">
        <f>IF(Table6[[#This Row],[Work Start TimeStamp]]="","",(Table6[[#This Row],[Work Start TimeStamp]]-Table6[[#This Row],[Fault Start TimeStamp]])*24)</f>
        <v>1.4333333333333333</v>
      </c>
      <c r="S119" s="349">
        <f>(Table6[[#This Row],[Fault Clearance time]]-Table6[[#This Row],[Work Start TimeStamp]])*24</f>
        <v>1.7499999999999998</v>
      </c>
      <c r="T119" s="350">
        <f>(Table6[[#This Row],[Fault Clearance time]]-Table6[[#This Row],[Fault Start TimeStamp]])*24</f>
        <v>3.1833333333333336</v>
      </c>
      <c r="U119" s="346" t="s">
        <v>491</v>
      </c>
      <c r="V119" s="351" t="s">
        <v>463</v>
      </c>
      <c r="W119" s="338">
        <f>Table6[[#This Row],[Breakdown Time]]*(1/39)</f>
        <v>8.1623931623931625E-2</v>
      </c>
      <c r="X119" s="336" t="s">
        <v>465</v>
      </c>
      <c r="Y119" s="352" t="s">
        <v>149</v>
      </c>
      <c r="Z119" s="105">
        <v>3390</v>
      </c>
      <c r="AA119" s="107">
        <v>449.64583333333337</v>
      </c>
      <c r="AB119" s="105" t="s">
        <v>478</v>
      </c>
    </row>
    <row r="120" spans="1:28">
      <c r="A120" s="105">
        <f t="shared" si="1"/>
        <v>119</v>
      </c>
      <c r="B120" s="107">
        <f>YEAR(Table6[[#This Row],[Date]])+IF(MONTH(Table6[[#This Row],[Date]])&gt;=4,1,0)</f>
        <v>2026</v>
      </c>
      <c r="C120" s="105">
        <f>YEAR(Table6[[#This Row],[Date]])</f>
        <v>2025</v>
      </c>
      <c r="D120" s="105" t="s">
        <v>490</v>
      </c>
      <c r="E120" s="119">
        <f>Table6[[#This Row],[Date]]-DAY(Table6[[#This Row],[Date]])+1</f>
        <v>45748</v>
      </c>
      <c r="F120" s="118">
        <v>45748</v>
      </c>
      <c r="G120" s="105" t="s">
        <v>149</v>
      </c>
      <c r="H120" s="39" t="str">
        <f>_xlfn.XLOOKUP(Table6[[#This Row],[Affected WTG]],'Basic Data'!$A:$A,'Basic Data'!$B:$B)</f>
        <v>PWEGPL</v>
      </c>
      <c r="I120" s="39" t="str">
        <f>_xlfn.XLOOKUP(Table6[[#This Row],[Affected WTG]],'Basic Data'!$A:$A,'Basic Data'!$C:$C)</f>
        <v>MSEDCL</v>
      </c>
      <c r="J120" s="345">
        <f>IFERROR(VLOOKUP(Table6[[#This Row],[Affected WTG]],'Basic Data'!$A$3:$E$56,5,0),"")</f>
        <v>2.564102564102564E-2</v>
      </c>
      <c r="K120" s="105">
        <v>812</v>
      </c>
      <c r="L120" s="39" t="str">
        <f>IFERROR(VLOOKUP(Table6[[#This Row],[Error Code]],'Basic Data'!$T:$U,2,0),"")</f>
        <v>Blade Position Meas. Error</v>
      </c>
      <c r="M120" s="346" t="s">
        <v>462</v>
      </c>
      <c r="N120" s="39" t="s">
        <v>1270</v>
      </c>
      <c r="O120" s="347">
        <v>0</v>
      </c>
      <c r="P120" s="347">
        <v>0.16597222222222222</v>
      </c>
      <c r="Q120" s="347">
        <v>0.66597222222222219</v>
      </c>
      <c r="R120" s="348">
        <f>IF(Table6[[#This Row],[Work Start TimeStamp]]="","",(Table6[[#This Row],[Work Start TimeStamp]]-Table6[[#This Row],[Fault Start TimeStamp]])*24)</f>
        <v>3.9833333333333334</v>
      </c>
      <c r="S120" s="349">
        <f>(Table6[[#This Row],[Fault Clearance time]]-Table6[[#This Row],[Work Start TimeStamp]])*24</f>
        <v>12</v>
      </c>
      <c r="T120" s="350">
        <f>(Table6[[#This Row],[Fault Clearance time]]-Table6[[#This Row],[Fault Start TimeStamp]])*24</f>
        <v>15.983333333333333</v>
      </c>
      <c r="U120" s="346" t="s">
        <v>522</v>
      </c>
      <c r="V120" s="351" t="s">
        <v>463</v>
      </c>
      <c r="W120" s="338">
        <f>Table6[[#This Row],[Breakdown Time]]*(1/39)</f>
        <v>0.40982905982905982</v>
      </c>
      <c r="X120" s="336" t="s">
        <v>465</v>
      </c>
      <c r="Y120" s="352" t="s">
        <v>150</v>
      </c>
      <c r="Z120" s="105">
        <v>7150</v>
      </c>
      <c r="AA120" s="107">
        <v>4761.7013888888887</v>
      </c>
      <c r="AB120" s="105" t="s">
        <v>478</v>
      </c>
    </row>
    <row r="121" spans="1:28">
      <c r="A121" s="105">
        <f t="shared" si="1"/>
        <v>120</v>
      </c>
      <c r="B121" s="107">
        <f>YEAR(Table6[[#This Row],[Date]])+IF(MONTH(Table6[[#This Row],[Date]])&gt;=4,1,0)</f>
        <v>2026</v>
      </c>
      <c r="C121" s="105">
        <f>YEAR(Table6[[#This Row],[Date]])</f>
        <v>2025</v>
      </c>
      <c r="D121" s="105" t="s">
        <v>490</v>
      </c>
      <c r="E121" s="119">
        <f>Table6[[#This Row],[Date]]-DAY(Table6[[#This Row],[Date]])+1</f>
        <v>45748</v>
      </c>
      <c r="F121" s="118">
        <v>45748</v>
      </c>
      <c r="G121" s="105" t="s">
        <v>151</v>
      </c>
      <c r="H121" s="39" t="str">
        <f>_xlfn.XLOOKUP(Table6[[#This Row],[Affected WTG]],'Basic Data'!$A:$A,'Basic Data'!$B:$B)</f>
        <v>PWEGPL</v>
      </c>
      <c r="I121" s="39" t="str">
        <f>_xlfn.XLOOKUP(Table6[[#This Row],[Affected WTG]],'Basic Data'!$A:$A,'Basic Data'!$C:$C)</f>
        <v>MSEDCL</v>
      </c>
      <c r="J121" s="345">
        <f>IFERROR(VLOOKUP(Table6[[#This Row],[Affected WTG]],'Basic Data'!$A$3:$E$56,5,0),"")</f>
        <v>2.564102564102564E-2</v>
      </c>
      <c r="K121" s="105">
        <v>205</v>
      </c>
      <c r="L121" s="39" t="str">
        <f>IFERROR(VLOOKUP(Table6[[#This Row],[Error Code]],'Basic Data'!$T:$U,2,0),"")</f>
        <v>Low Level Hydraulic Group Refrigeration Oil</v>
      </c>
      <c r="M121" s="346" t="s">
        <v>462</v>
      </c>
      <c r="N121" s="39" t="s">
        <v>1270</v>
      </c>
      <c r="O121" s="347">
        <v>0.19722222222222222</v>
      </c>
      <c r="P121" s="347">
        <v>0.22430555555555556</v>
      </c>
      <c r="Q121" s="347">
        <v>0.22430555555555556</v>
      </c>
      <c r="R121" s="348">
        <f>IF(Table6[[#This Row],[Work Start TimeStamp]]="","",(Table6[[#This Row],[Work Start TimeStamp]]-Table6[[#This Row],[Fault Start TimeStamp]])*24)</f>
        <v>0.65000000000000036</v>
      </c>
      <c r="S121" s="349">
        <f>(Table6[[#This Row],[Fault Clearance time]]-Table6[[#This Row],[Work Start TimeStamp]])*24</f>
        <v>0</v>
      </c>
      <c r="T121" s="350">
        <f>(Table6[[#This Row],[Fault Clearance time]]-Table6[[#This Row],[Fault Start TimeStamp]])*24</f>
        <v>0.65000000000000036</v>
      </c>
      <c r="U121" s="346" t="s">
        <v>493</v>
      </c>
      <c r="V121" s="351" t="s">
        <v>463</v>
      </c>
      <c r="W121" s="338">
        <f>Table6[[#This Row],[Breakdown Time]]*(1/39)</f>
        <v>1.6666666666666677E-2</v>
      </c>
      <c r="X121" s="336" t="s">
        <v>465</v>
      </c>
      <c r="Y121" s="352" t="s">
        <v>152</v>
      </c>
      <c r="Z121" s="105">
        <v>6772</v>
      </c>
      <c r="AA121" s="107">
        <v>183.40833333333345</v>
      </c>
      <c r="AB121" s="105" t="s">
        <v>478</v>
      </c>
    </row>
    <row r="122" spans="1:28">
      <c r="A122" s="105">
        <f t="shared" si="1"/>
        <v>121</v>
      </c>
      <c r="B122" s="107">
        <f>YEAR(Table6[[#This Row],[Date]])+IF(MONTH(Table6[[#This Row],[Date]])&gt;=4,1,0)</f>
        <v>2026</v>
      </c>
      <c r="C122" s="105">
        <f>YEAR(Table6[[#This Row],[Date]])</f>
        <v>2025</v>
      </c>
      <c r="D122" s="105" t="s">
        <v>490</v>
      </c>
      <c r="E122" s="119">
        <f>Table6[[#This Row],[Date]]-DAY(Table6[[#This Row],[Date]])+1</f>
        <v>45748</v>
      </c>
      <c r="F122" s="118">
        <v>45748</v>
      </c>
      <c r="G122" s="105" t="s">
        <v>151</v>
      </c>
      <c r="H122" s="39" t="str">
        <f>_xlfn.XLOOKUP(Table6[[#This Row],[Affected WTG]],'Basic Data'!$A:$A,'Basic Data'!$B:$B)</f>
        <v>PWEGPL</v>
      </c>
      <c r="I122" s="39" t="str">
        <f>_xlfn.XLOOKUP(Table6[[#This Row],[Affected WTG]],'Basic Data'!$A:$A,'Basic Data'!$C:$C)</f>
        <v>MSEDCL</v>
      </c>
      <c r="J122" s="345">
        <f>IFERROR(VLOOKUP(Table6[[#This Row],[Affected WTG]],'Basic Data'!$A$3:$E$56,5,0),"")</f>
        <v>2.564102564102564E-2</v>
      </c>
      <c r="K122" s="105">
        <v>205</v>
      </c>
      <c r="L122" s="39" t="str">
        <f>IFERROR(VLOOKUP(Table6[[#This Row],[Error Code]],'Basic Data'!$T:$U,2,0),"")</f>
        <v>Low Level Hydraulic Group Refrigeration Oil</v>
      </c>
      <c r="M122" s="346" t="s">
        <v>462</v>
      </c>
      <c r="N122" s="39" t="s">
        <v>1270</v>
      </c>
      <c r="O122" s="347">
        <v>0.26250000000000001</v>
      </c>
      <c r="P122" s="347">
        <v>0.26250000000000001</v>
      </c>
      <c r="Q122" s="347">
        <v>0.49236111111111114</v>
      </c>
      <c r="R122" s="348">
        <f>IF(Table6[[#This Row],[Work Start TimeStamp]]="","",(Table6[[#This Row],[Work Start TimeStamp]]-Table6[[#This Row],[Fault Start TimeStamp]])*24)</f>
        <v>0</v>
      </c>
      <c r="S122" s="349">
        <f>(Table6[[#This Row],[Fault Clearance time]]-Table6[[#This Row],[Work Start TimeStamp]])*24</f>
        <v>5.5166666666666675</v>
      </c>
      <c r="T122" s="350">
        <f>(Table6[[#This Row],[Fault Clearance time]]-Table6[[#This Row],[Fault Start TimeStamp]])*24</f>
        <v>5.5166666666666675</v>
      </c>
      <c r="U122" s="346" t="s">
        <v>523</v>
      </c>
      <c r="V122" s="351" t="s">
        <v>463</v>
      </c>
      <c r="W122" s="338">
        <f>Table6[[#This Row],[Breakdown Time]]*(1/39)</f>
        <v>0.14145299145299148</v>
      </c>
      <c r="X122" s="336" t="s">
        <v>465</v>
      </c>
      <c r="Y122" s="352" t="s">
        <v>152</v>
      </c>
      <c r="Z122" s="105">
        <v>6772</v>
      </c>
      <c r="AA122" s="107">
        <v>1556.6194444444448</v>
      </c>
      <c r="AB122" s="105" t="s">
        <v>478</v>
      </c>
    </row>
    <row r="123" spans="1:28">
      <c r="A123" s="105">
        <f t="shared" si="1"/>
        <v>122</v>
      </c>
      <c r="B123" s="107">
        <f>YEAR(Table6[[#This Row],[Date]])+IF(MONTH(Table6[[#This Row],[Date]])&gt;=4,1,0)</f>
        <v>2026</v>
      </c>
      <c r="C123" s="105">
        <f>YEAR(Table6[[#This Row],[Date]])</f>
        <v>2025</v>
      </c>
      <c r="D123" s="105" t="s">
        <v>490</v>
      </c>
      <c r="E123" s="119">
        <f>Table6[[#This Row],[Date]]-DAY(Table6[[#This Row],[Date]])+1</f>
        <v>45748</v>
      </c>
      <c r="F123" s="118">
        <v>45748</v>
      </c>
      <c r="G123" s="105" t="s">
        <v>151</v>
      </c>
      <c r="H123" s="39" t="str">
        <f>_xlfn.XLOOKUP(Table6[[#This Row],[Affected WTG]],'Basic Data'!$A:$A,'Basic Data'!$B:$B)</f>
        <v>PWEGPL</v>
      </c>
      <c r="I123" s="39" t="str">
        <f>_xlfn.XLOOKUP(Table6[[#This Row],[Affected WTG]],'Basic Data'!$A:$A,'Basic Data'!$C:$C)</f>
        <v>MSEDCL</v>
      </c>
      <c r="J123" s="345">
        <f>IFERROR(VLOOKUP(Table6[[#This Row],[Affected WTG]],'Basic Data'!$A$3:$E$56,5,0),"")</f>
        <v>2.564102564102564E-2</v>
      </c>
      <c r="K123" s="105" t="s">
        <v>492</v>
      </c>
      <c r="L123" s="39" t="str">
        <f>IFERROR(VLOOKUP(Table6[[#This Row],[Error Code]],'Basic Data'!$T:$U,2,0),"")</f>
        <v>Manual Stop - Safety Related</v>
      </c>
      <c r="M123" s="346" t="s">
        <v>479</v>
      </c>
      <c r="N123" s="39" t="s">
        <v>230</v>
      </c>
      <c r="O123" s="347">
        <v>0.49236111111111114</v>
      </c>
      <c r="P123" s="347">
        <v>0.49236111111111114</v>
      </c>
      <c r="Q123" s="347">
        <v>0.64722222222222225</v>
      </c>
      <c r="R123" s="348">
        <f>IF(Table6[[#This Row],[Work Start TimeStamp]]="","",(Table6[[#This Row],[Work Start TimeStamp]]-Table6[[#This Row],[Fault Start TimeStamp]])*24)</f>
        <v>0</v>
      </c>
      <c r="S123" s="349">
        <f>(Table6[[#This Row],[Fault Clearance time]]-Table6[[#This Row],[Work Start TimeStamp]])*24</f>
        <v>3.7166666666666668</v>
      </c>
      <c r="T123" s="350">
        <f>(Table6[[#This Row],[Fault Clearance time]]-Table6[[#This Row],[Fault Start TimeStamp]])*24</f>
        <v>3.7166666666666668</v>
      </c>
      <c r="U123" s="346" t="s">
        <v>504</v>
      </c>
      <c r="V123" s="351" t="s">
        <v>463</v>
      </c>
      <c r="W123" s="338">
        <f>Table6[[#This Row],[Breakdown Time]]*(1/39)</f>
        <v>9.5299145299145294E-2</v>
      </c>
      <c r="X123" s="336" t="s">
        <v>464</v>
      </c>
      <c r="Y123" s="352" t="s">
        <v>152</v>
      </c>
      <c r="Z123" s="105">
        <v>6772</v>
      </c>
      <c r="AA123" s="107">
        <v>1048.7194444444447</v>
      </c>
      <c r="AB123" s="105" t="s">
        <v>478</v>
      </c>
    </row>
    <row r="124" spans="1:28">
      <c r="A124" s="105">
        <f t="shared" si="1"/>
        <v>123</v>
      </c>
      <c r="B124" s="107">
        <f>YEAR(Table6[[#This Row],[Date]])+IF(MONTH(Table6[[#This Row],[Date]])&gt;=4,1,0)</f>
        <v>2026</v>
      </c>
      <c r="C124" s="105">
        <f>YEAR(Table6[[#This Row],[Date]])</f>
        <v>2025</v>
      </c>
      <c r="D124" s="105" t="s">
        <v>490</v>
      </c>
      <c r="E124" s="119">
        <f>Table6[[#This Row],[Date]]-DAY(Table6[[#This Row],[Date]])+1</f>
        <v>45748</v>
      </c>
      <c r="F124" s="118">
        <v>45748</v>
      </c>
      <c r="G124" s="105" t="s">
        <v>152</v>
      </c>
      <c r="H124" s="39" t="str">
        <f>_xlfn.XLOOKUP(Table6[[#This Row],[Affected WTG]],'Basic Data'!$A:$A,'Basic Data'!$B:$B)</f>
        <v>PWEGPL</v>
      </c>
      <c r="I124" s="39" t="str">
        <f>_xlfn.XLOOKUP(Table6[[#This Row],[Affected WTG]],'Basic Data'!$A:$A,'Basic Data'!$C:$C)</f>
        <v>MSEDCL</v>
      </c>
      <c r="J124" s="345">
        <f>IFERROR(VLOOKUP(Table6[[#This Row],[Affected WTG]],'Basic Data'!$A$3:$E$56,5,0),"")</f>
        <v>2.564102564102564E-2</v>
      </c>
      <c r="K124" s="105">
        <v>5201</v>
      </c>
      <c r="L124" s="39" t="str">
        <f>IFERROR(VLOOKUP(Table6[[#This Row],[Error Code]],'Basic Data'!$T:$U,2,0),"")</f>
        <v>Magnetothermic Trigger Of The Stator Protection</v>
      </c>
      <c r="M124" s="346" t="s">
        <v>462</v>
      </c>
      <c r="N124" s="39" t="s">
        <v>1270</v>
      </c>
      <c r="O124" s="347">
        <v>0.97638888888888886</v>
      </c>
      <c r="P124" s="347">
        <v>0.98333333333333328</v>
      </c>
      <c r="Q124" s="347">
        <v>0.98333333333333328</v>
      </c>
      <c r="R124" s="348">
        <f>IF(Table6[[#This Row],[Work Start TimeStamp]]="","",(Table6[[#This Row],[Work Start TimeStamp]]-Table6[[#This Row],[Fault Start TimeStamp]])*24)</f>
        <v>0.16666666666666607</v>
      </c>
      <c r="S124" s="349">
        <f>(Table6[[#This Row],[Fault Clearance time]]-Table6[[#This Row],[Work Start TimeStamp]])*24</f>
        <v>0</v>
      </c>
      <c r="T124" s="350">
        <f>(Table6[[#This Row],[Fault Clearance time]]-Table6[[#This Row],[Fault Start TimeStamp]])*24</f>
        <v>0.16666666666666607</v>
      </c>
      <c r="U124" s="346" t="s">
        <v>480</v>
      </c>
      <c r="V124" s="351" t="s">
        <v>463</v>
      </c>
      <c r="W124" s="338">
        <f>Table6[[#This Row],[Breakdown Time]]*(1/39)</f>
        <v>4.2735042735042583E-3</v>
      </c>
      <c r="X124" s="336" t="s">
        <v>465</v>
      </c>
      <c r="Y124" s="352" t="s">
        <v>153</v>
      </c>
      <c r="Z124" s="105">
        <v>3752</v>
      </c>
      <c r="AA124" s="107">
        <v>26.055555555555465</v>
      </c>
      <c r="AB124" s="105" t="s">
        <v>478</v>
      </c>
    </row>
    <row r="125" spans="1:28">
      <c r="A125" s="105">
        <f t="shared" si="1"/>
        <v>124</v>
      </c>
      <c r="B125" s="107">
        <f>YEAR(Table6[[#This Row],[Date]])+IF(MONTH(Table6[[#This Row],[Date]])&gt;=4,1,0)</f>
        <v>2026</v>
      </c>
      <c r="C125" s="105">
        <f>YEAR(Table6[[#This Row],[Date]])</f>
        <v>2025</v>
      </c>
      <c r="D125" s="105" t="s">
        <v>490</v>
      </c>
      <c r="E125" s="119">
        <f>Table6[[#This Row],[Date]]-DAY(Table6[[#This Row],[Date]])+1</f>
        <v>45748</v>
      </c>
      <c r="F125" s="118">
        <v>45748</v>
      </c>
      <c r="G125" s="105" t="s">
        <v>153</v>
      </c>
      <c r="H125" s="39" t="str">
        <f>_xlfn.XLOOKUP(Table6[[#This Row],[Affected WTG]],'Basic Data'!$A:$A,'Basic Data'!$B:$B)</f>
        <v>PWEGPL</v>
      </c>
      <c r="I125" s="39" t="str">
        <f>_xlfn.XLOOKUP(Table6[[#This Row],[Affected WTG]],'Basic Data'!$A:$A,'Basic Data'!$C:$C)</f>
        <v>MSEDCL</v>
      </c>
      <c r="J125" s="345">
        <f>IFERROR(VLOOKUP(Table6[[#This Row],[Affected WTG]],'Basic Data'!$A$3:$E$56,5,0),"")</f>
        <v>2.564102564102564E-2</v>
      </c>
      <c r="K125" s="105">
        <v>812</v>
      </c>
      <c r="L125" s="39" t="str">
        <f>IFERROR(VLOOKUP(Table6[[#This Row],[Error Code]],'Basic Data'!$T:$U,2,0),"")</f>
        <v>Blade Position Meas. Error</v>
      </c>
      <c r="M125" s="346" t="s">
        <v>462</v>
      </c>
      <c r="N125" s="39" t="s">
        <v>1270</v>
      </c>
      <c r="O125" s="347">
        <v>0</v>
      </c>
      <c r="P125" s="347">
        <v>0.19583333333333333</v>
      </c>
      <c r="Q125" s="347">
        <v>0.22152777777777777</v>
      </c>
      <c r="R125" s="348">
        <f>IF(Table6[[#This Row],[Work Start TimeStamp]]="","",(Table6[[#This Row],[Work Start TimeStamp]]-Table6[[#This Row],[Fault Start TimeStamp]])*24)</f>
        <v>4.7</v>
      </c>
      <c r="S125" s="349">
        <f>(Table6[[#This Row],[Fault Clearance time]]-Table6[[#This Row],[Work Start TimeStamp]])*24</f>
        <v>0.61666666666666647</v>
      </c>
      <c r="T125" s="350">
        <f>(Table6[[#This Row],[Fault Clearance time]]-Table6[[#This Row],[Fault Start TimeStamp]])*24</f>
        <v>5.3166666666666664</v>
      </c>
      <c r="U125" s="346" t="s">
        <v>480</v>
      </c>
      <c r="V125" s="351" t="s">
        <v>463</v>
      </c>
      <c r="W125" s="338">
        <f>Table6[[#This Row],[Breakdown Time]]*(1/39)</f>
        <v>0.13632478632478631</v>
      </c>
      <c r="X125" s="336" t="s">
        <v>465</v>
      </c>
      <c r="Y125" s="352" t="s">
        <v>152</v>
      </c>
      <c r="Z125" s="105">
        <v>6772</v>
      </c>
      <c r="AA125" s="107">
        <v>1500.1861111111111</v>
      </c>
      <c r="AB125" s="105" t="s">
        <v>478</v>
      </c>
    </row>
    <row r="126" spans="1:28">
      <c r="A126" s="105">
        <f t="shared" si="1"/>
        <v>125</v>
      </c>
      <c r="B126" s="107">
        <f>YEAR(Table6[[#This Row],[Date]])+IF(MONTH(Table6[[#This Row],[Date]])&gt;=4,1,0)</f>
        <v>2026</v>
      </c>
      <c r="C126" s="105">
        <f>YEAR(Table6[[#This Row],[Date]])</f>
        <v>2025</v>
      </c>
      <c r="D126" s="105" t="s">
        <v>490</v>
      </c>
      <c r="E126" s="119">
        <f>Table6[[#This Row],[Date]]-DAY(Table6[[#This Row],[Date]])+1</f>
        <v>45748</v>
      </c>
      <c r="F126" s="118">
        <v>45748</v>
      </c>
      <c r="G126" s="105" t="s">
        <v>153</v>
      </c>
      <c r="H126" s="39" t="str">
        <f>_xlfn.XLOOKUP(Table6[[#This Row],[Affected WTG]],'Basic Data'!$A:$A,'Basic Data'!$B:$B)</f>
        <v>PWEGPL</v>
      </c>
      <c r="I126" s="39" t="str">
        <f>_xlfn.XLOOKUP(Table6[[#This Row],[Affected WTG]],'Basic Data'!$A:$A,'Basic Data'!$C:$C)</f>
        <v>MSEDCL</v>
      </c>
      <c r="J126" s="345">
        <f>IFERROR(VLOOKUP(Table6[[#This Row],[Affected WTG]],'Basic Data'!$A$3:$E$56,5,0),"")</f>
        <v>2.564102564102564E-2</v>
      </c>
      <c r="K126" s="105">
        <v>812</v>
      </c>
      <c r="L126" s="39" t="str">
        <f>IFERROR(VLOOKUP(Table6[[#This Row],[Error Code]],'Basic Data'!$T:$U,2,0),"")</f>
        <v>Blade Position Meas. Error</v>
      </c>
      <c r="M126" s="346" t="s">
        <v>462</v>
      </c>
      <c r="N126" s="39" t="s">
        <v>1270</v>
      </c>
      <c r="O126" s="347">
        <v>0.25</v>
      </c>
      <c r="P126" s="347">
        <v>0.46736111111111112</v>
      </c>
      <c r="Q126" s="347">
        <v>0.47499999999999998</v>
      </c>
      <c r="R126" s="348">
        <f>IF(Table6[[#This Row],[Work Start TimeStamp]]="","",(Table6[[#This Row],[Work Start TimeStamp]]-Table6[[#This Row],[Fault Start TimeStamp]])*24)</f>
        <v>5.2166666666666668</v>
      </c>
      <c r="S126" s="349">
        <f>(Table6[[#This Row],[Fault Clearance time]]-Table6[[#This Row],[Work Start TimeStamp]])*24</f>
        <v>0.18333333333333268</v>
      </c>
      <c r="T126" s="350">
        <f>(Table6[[#This Row],[Fault Clearance time]]-Table6[[#This Row],[Fault Start TimeStamp]])*24</f>
        <v>5.3999999999999995</v>
      </c>
      <c r="U126" s="346" t="s">
        <v>491</v>
      </c>
      <c r="V126" s="351" t="s">
        <v>463</v>
      </c>
      <c r="W126" s="338">
        <f>Table6[[#This Row],[Breakdown Time]]*(1/39)</f>
        <v>0.13846153846153844</v>
      </c>
      <c r="X126" s="336" t="s">
        <v>465</v>
      </c>
      <c r="Y126" s="352" t="s">
        <v>152</v>
      </c>
      <c r="Z126" s="105">
        <v>6772</v>
      </c>
      <c r="AA126" s="107">
        <v>1523.7</v>
      </c>
      <c r="AB126" s="105" t="s">
        <v>478</v>
      </c>
    </row>
    <row r="127" spans="1:28">
      <c r="A127" s="105">
        <f t="shared" si="1"/>
        <v>126</v>
      </c>
      <c r="B127" s="107">
        <f>YEAR(Table6[[#This Row],[Date]])+IF(MONTH(Table6[[#This Row],[Date]])&gt;=4,1,0)</f>
        <v>2026</v>
      </c>
      <c r="C127" s="105">
        <f>YEAR(Table6[[#This Row],[Date]])</f>
        <v>2025</v>
      </c>
      <c r="D127" s="105" t="s">
        <v>490</v>
      </c>
      <c r="E127" s="119">
        <f>Table6[[#This Row],[Date]]-DAY(Table6[[#This Row],[Date]])+1</f>
        <v>45748</v>
      </c>
      <c r="F127" s="118">
        <v>45748</v>
      </c>
      <c r="G127" s="105" t="s">
        <v>153</v>
      </c>
      <c r="H127" s="39" t="str">
        <f>_xlfn.XLOOKUP(Table6[[#This Row],[Affected WTG]],'Basic Data'!$A:$A,'Basic Data'!$B:$B)</f>
        <v>PWEGPL</v>
      </c>
      <c r="I127" s="39" t="str">
        <f>_xlfn.XLOOKUP(Table6[[#This Row],[Affected WTG]],'Basic Data'!$A:$A,'Basic Data'!$C:$C)</f>
        <v>MSEDCL</v>
      </c>
      <c r="J127" s="345">
        <f>IFERROR(VLOOKUP(Table6[[#This Row],[Affected WTG]],'Basic Data'!$A$3:$E$56,5,0),"")</f>
        <v>2.564102564102564E-2</v>
      </c>
      <c r="K127" s="105">
        <v>812</v>
      </c>
      <c r="L127" s="39" t="str">
        <f>IFERROR(VLOOKUP(Table6[[#This Row],[Error Code]],'Basic Data'!$T:$U,2,0),"")</f>
        <v>Blade Position Meas. Error</v>
      </c>
      <c r="M127" s="346" t="s">
        <v>462</v>
      </c>
      <c r="N127" s="39" t="s">
        <v>1270</v>
      </c>
      <c r="O127" s="347">
        <v>0.65902777777777777</v>
      </c>
      <c r="P127" s="347">
        <v>0.67569444444444449</v>
      </c>
      <c r="Q127" s="347">
        <v>0.67708333333333337</v>
      </c>
      <c r="R127" s="348">
        <f>IF(Table6[[#This Row],[Work Start TimeStamp]]="","",(Table6[[#This Row],[Work Start TimeStamp]]-Table6[[#This Row],[Fault Start TimeStamp]])*24)</f>
        <v>0.40000000000000124</v>
      </c>
      <c r="S127" s="349">
        <f>(Table6[[#This Row],[Fault Clearance time]]-Table6[[#This Row],[Work Start TimeStamp]])*24</f>
        <v>3.3333333333333215E-2</v>
      </c>
      <c r="T127" s="350">
        <f>(Table6[[#This Row],[Fault Clearance time]]-Table6[[#This Row],[Fault Start TimeStamp]])*24</f>
        <v>0.43333333333333446</v>
      </c>
      <c r="U127" s="346" t="s">
        <v>491</v>
      </c>
      <c r="V127" s="351" t="s">
        <v>463</v>
      </c>
      <c r="W127" s="338">
        <f>Table6[[#This Row],[Breakdown Time]]*(1/39)</f>
        <v>1.1111111111111139E-2</v>
      </c>
      <c r="X127" s="336" t="s">
        <v>465</v>
      </c>
      <c r="Y127" s="352" t="s">
        <v>152</v>
      </c>
      <c r="Z127" s="105">
        <v>6772</v>
      </c>
      <c r="AA127" s="107">
        <v>122.27222222222255</v>
      </c>
      <c r="AB127" s="105" t="s">
        <v>478</v>
      </c>
    </row>
    <row r="128" spans="1:28">
      <c r="A128" s="105">
        <f t="shared" si="1"/>
        <v>127</v>
      </c>
      <c r="B128" s="107">
        <f>YEAR(Table6[[#This Row],[Date]])+IF(MONTH(Table6[[#This Row],[Date]])&gt;=4,1,0)</f>
        <v>2026</v>
      </c>
      <c r="C128" s="105">
        <f>YEAR(Table6[[#This Row],[Date]])</f>
        <v>2025</v>
      </c>
      <c r="D128" s="105" t="s">
        <v>490</v>
      </c>
      <c r="E128" s="119">
        <f>Table6[[#This Row],[Date]]-DAY(Table6[[#This Row],[Date]])+1</f>
        <v>45748</v>
      </c>
      <c r="F128" s="118">
        <v>45748</v>
      </c>
      <c r="G128" s="105" t="s">
        <v>153</v>
      </c>
      <c r="H128" s="39" t="str">
        <f>_xlfn.XLOOKUP(Table6[[#This Row],[Affected WTG]],'Basic Data'!$A:$A,'Basic Data'!$B:$B)</f>
        <v>PWEGPL</v>
      </c>
      <c r="I128" s="39" t="str">
        <f>_xlfn.XLOOKUP(Table6[[#This Row],[Affected WTG]],'Basic Data'!$A:$A,'Basic Data'!$C:$C)</f>
        <v>MSEDCL</v>
      </c>
      <c r="J128" s="345">
        <f>IFERROR(VLOOKUP(Table6[[#This Row],[Affected WTG]],'Basic Data'!$A$3:$E$56,5,0),"")</f>
        <v>2.564102564102564E-2</v>
      </c>
      <c r="K128" s="105">
        <v>812</v>
      </c>
      <c r="L128" s="39" t="str">
        <f>IFERROR(VLOOKUP(Table6[[#This Row],[Error Code]],'Basic Data'!$T:$U,2,0),"")</f>
        <v>Blade Position Meas. Error</v>
      </c>
      <c r="M128" s="346" t="s">
        <v>462</v>
      </c>
      <c r="N128" s="39" t="s">
        <v>1270</v>
      </c>
      <c r="O128" s="347">
        <v>0.93263888888888891</v>
      </c>
      <c r="P128" s="347">
        <v>0.94374999999999998</v>
      </c>
      <c r="Q128" s="347">
        <v>0.96111111111111114</v>
      </c>
      <c r="R128" s="348">
        <f>IF(Table6[[#This Row],[Work Start TimeStamp]]="","",(Table6[[#This Row],[Work Start TimeStamp]]-Table6[[#This Row],[Fault Start TimeStamp]])*24)</f>
        <v>0.26666666666666572</v>
      </c>
      <c r="S128" s="349">
        <f>(Table6[[#This Row],[Fault Clearance time]]-Table6[[#This Row],[Work Start TimeStamp]])*24</f>
        <v>0.41666666666666785</v>
      </c>
      <c r="T128" s="350">
        <f>(Table6[[#This Row],[Fault Clearance time]]-Table6[[#This Row],[Fault Start TimeStamp]])*24</f>
        <v>0.68333333333333357</v>
      </c>
      <c r="U128" s="346" t="s">
        <v>491</v>
      </c>
      <c r="V128" s="351" t="s">
        <v>463</v>
      </c>
      <c r="W128" s="338">
        <f>Table6[[#This Row],[Breakdown Time]]*(1/39)</f>
        <v>1.7521367521367529E-2</v>
      </c>
      <c r="X128" s="336" t="s">
        <v>465</v>
      </c>
      <c r="Y128" s="352" t="s">
        <v>152</v>
      </c>
      <c r="Z128" s="105">
        <v>6772</v>
      </c>
      <c r="AA128" s="107">
        <v>192.81388888888898</v>
      </c>
      <c r="AB128" s="105" t="s">
        <v>478</v>
      </c>
    </row>
    <row r="129" spans="1:28">
      <c r="A129" s="105">
        <f t="shared" si="1"/>
        <v>128</v>
      </c>
      <c r="B129" s="107">
        <f>YEAR(Table6[[#This Row],[Date]])+IF(MONTH(Table6[[#This Row],[Date]])&gt;=4,1,0)</f>
        <v>2026</v>
      </c>
      <c r="C129" s="105">
        <f>YEAR(Table6[[#This Row],[Date]])</f>
        <v>2025</v>
      </c>
      <c r="D129" s="105" t="s">
        <v>490</v>
      </c>
      <c r="E129" s="119">
        <f>Table6[[#This Row],[Date]]-DAY(Table6[[#This Row],[Date]])+1</f>
        <v>45748</v>
      </c>
      <c r="F129" s="118">
        <v>45749</v>
      </c>
      <c r="G129" s="105" t="s">
        <v>144</v>
      </c>
      <c r="H129" s="39" t="str">
        <f>_xlfn.XLOOKUP(Table6[[#This Row],[Affected WTG]],'Basic Data'!$A:$A,'Basic Data'!$B:$B)</f>
        <v>PWEGPL</v>
      </c>
      <c r="I129" s="39" t="str">
        <f>_xlfn.XLOOKUP(Table6[[#This Row],[Affected WTG]],'Basic Data'!$A:$A,'Basic Data'!$C:$C)</f>
        <v>MSEDCL</v>
      </c>
      <c r="J129" s="345">
        <f>IFERROR(VLOOKUP(Table6[[#This Row],[Affected WTG]],'Basic Data'!$A$3:$E$56,5,0),"")</f>
        <v>2.564102564102564E-2</v>
      </c>
      <c r="K129" s="105" t="s">
        <v>492</v>
      </c>
      <c r="L129" s="39" t="str">
        <f>IFERROR(VLOOKUP(Table6[[#This Row],[Error Code]],'Basic Data'!$T:$U,2,0),"")</f>
        <v>Manual Stop - Safety Related</v>
      </c>
      <c r="M129" s="346" t="s">
        <v>481</v>
      </c>
      <c r="N129" s="39" t="s">
        <v>1269</v>
      </c>
      <c r="O129" s="347">
        <v>0</v>
      </c>
      <c r="P129" s="347">
        <v>0.99930555555555556</v>
      </c>
      <c r="Q129" s="347">
        <v>0.99930555555555556</v>
      </c>
      <c r="R129" s="348">
        <f>IF(Table6[[#This Row],[Work Start TimeStamp]]="","",(Table6[[#This Row],[Work Start TimeStamp]]-Table6[[#This Row],[Fault Start TimeStamp]])*24)</f>
        <v>23.983333333333334</v>
      </c>
      <c r="S129" s="349">
        <f>(Table6[[#This Row],[Fault Clearance time]]-Table6[[#This Row],[Work Start TimeStamp]])*24</f>
        <v>0</v>
      </c>
      <c r="T129" s="350">
        <f>(Table6[[#This Row],[Fault Clearance time]]-Table6[[#This Row],[Fault Start TimeStamp]])*24</f>
        <v>23.983333333333334</v>
      </c>
      <c r="U129" s="346" t="s">
        <v>498</v>
      </c>
      <c r="V129" s="351" t="s">
        <v>473</v>
      </c>
      <c r="W129" s="338">
        <f>Table6[[#This Row],[Breakdown Time]]*(1/39)</f>
        <v>0.61495726495726499</v>
      </c>
      <c r="X129" s="336" t="s">
        <v>468</v>
      </c>
      <c r="Y129" s="352" t="s">
        <v>141</v>
      </c>
      <c r="Z129" s="105">
        <v>10142</v>
      </c>
      <c r="AA129" s="107">
        <v>10134.956944444444</v>
      </c>
      <c r="AB129" s="105" t="s">
        <v>478</v>
      </c>
    </row>
    <row r="130" spans="1:28">
      <c r="A130" s="105">
        <f t="shared" si="1"/>
        <v>129</v>
      </c>
      <c r="B130" s="107">
        <f>YEAR(Table6[[#This Row],[Date]])+IF(MONTH(Table6[[#This Row],[Date]])&gt;=4,1,0)</f>
        <v>2026</v>
      </c>
      <c r="C130" s="105">
        <f>YEAR(Table6[[#This Row],[Date]])</f>
        <v>2025</v>
      </c>
      <c r="D130" s="105" t="s">
        <v>490</v>
      </c>
      <c r="E130" s="119">
        <f>Table6[[#This Row],[Date]]-DAY(Table6[[#This Row],[Date]])+1</f>
        <v>45748</v>
      </c>
      <c r="F130" s="118">
        <v>45749</v>
      </c>
      <c r="G130" s="105" t="s">
        <v>142</v>
      </c>
      <c r="H130" s="39" t="str">
        <f>_xlfn.XLOOKUP(Table6[[#This Row],[Affected WTG]],'Basic Data'!$A:$A,'Basic Data'!$B:$B)</f>
        <v>PWEGPL</v>
      </c>
      <c r="I130" s="39" t="str">
        <f>_xlfn.XLOOKUP(Table6[[#This Row],[Affected WTG]],'Basic Data'!$A:$A,'Basic Data'!$C:$C)</f>
        <v>MSEDCL</v>
      </c>
      <c r="J130" s="345">
        <f>IFERROR(VLOOKUP(Table6[[#This Row],[Affected WTG]],'Basic Data'!$A$3:$E$56,5,0),"")</f>
        <v>2.564102564102564E-2</v>
      </c>
      <c r="K130" s="105" t="s">
        <v>492</v>
      </c>
      <c r="L130" s="39" t="str">
        <f>IFERROR(VLOOKUP(Table6[[#This Row],[Error Code]],'Basic Data'!$T:$U,2,0),"")</f>
        <v>Manual Stop - Safety Related</v>
      </c>
      <c r="M130" s="346" t="s">
        <v>481</v>
      </c>
      <c r="N130" s="39" t="s">
        <v>1269</v>
      </c>
      <c r="O130" s="347">
        <v>0</v>
      </c>
      <c r="P130" s="347">
        <v>0.99930555555555556</v>
      </c>
      <c r="Q130" s="347">
        <v>0.99930555555555556</v>
      </c>
      <c r="R130" s="348">
        <f>IF(Table6[[#This Row],[Work Start TimeStamp]]="","",(Table6[[#This Row],[Work Start TimeStamp]]-Table6[[#This Row],[Fault Start TimeStamp]])*24)</f>
        <v>23.983333333333334</v>
      </c>
      <c r="S130" s="349">
        <f>(Table6[[#This Row],[Fault Clearance time]]-Table6[[#This Row],[Work Start TimeStamp]])*24</f>
        <v>0</v>
      </c>
      <c r="T130" s="350">
        <f>(Table6[[#This Row],[Fault Clearance time]]-Table6[[#This Row],[Fault Start TimeStamp]])*24</f>
        <v>23.983333333333334</v>
      </c>
      <c r="U130" s="346" t="s">
        <v>498</v>
      </c>
      <c r="V130" s="351" t="s">
        <v>473</v>
      </c>
      <c r="W130" s="338">
        <f>Table6[[#This Row],[Breakdown Time]]*(1/39)</f>
        <v>0.61495726495726499</v>
      </c>
      <c r="X130" s="336" t="s">
        <v>468</v>
      </c>
      <c r="Y130" s="352" t="s">
        <v>141</v>
      </c>
      <c r="Z130" s="105">
        <v>10142</v>
      </c>
      <c r="AA130" s="107">
        <v>10134.956944444444</v>
      </c>
      <c r="AB130" s="105" t="s">
        <v>478</v>
      </c>
    </row>
    <row r="131" spans="1:28">
      <c r="A131" s="105">
        <f t="shared" si="1"/>
        <v>130</v>
      </c>
      <c r="B131" s="107">
        <f>YEAR(Table6[[#This Row],[Date]])+IF(MONTH(Table6[[#This Row],[Date]])&gt;=4,1,0)</f>
        <v>2026</v>
      </c>
      <c r="C131" s="105">
        <f>YEAR(Table6[[#This Row],[Date]])</f>
        <v>2025</v>
      </c>
      <c r="D131" s="105" t="s">
        <v>490</v>
      </c>
      <c r="E131" s="119">
        <f>Table6[[#This Row],[Date]]-DAY(Table6[[#This Row],[Date]])+1</f>
        <v>45748</v>
      </c>
      <c r="F131" s="118">
        <v>45749</v>
      </c>
      <c r="G131" s="105" t="s">
        <v>116</v>
      </c>
      <c r="H131" s="39" t="str">
        <f>_xlfn.XLOOKUP(Table6[[#This Row],[Affected WTG]],'Basic Data'!$A:$A,'Basic Data'!$B:$B)</f>
        <v>PWEGPL</v>
      </c>
      <c r="I131" s="39" t="str">
        <f>_xlfn.XLOOKUP(Table6[[#This Row],[Affected WTG]],'Basic Data'!$A:$A,'Basic Data'!$C:$C)</f>
        <v>MSEDCL</v>
      </c>
      <c r="J131" s="345">
        <f>IFERROR(VLOOKUP(Table6[[#This Row],[Affected WTG]],'Basic Data'!$A$3:$E$56,5,0),"")</f>
        <v>2.564102564102564E-2</v>
      </c>
      <c r="K131" s="105">
        <v>5225</v>
      </c>
      <c r="L131" s="39" t="str">
        <f>IFERROR(VLOOKUP(Table6[[#This Row],[Error Code]],'Basic Data'!$T:$U,2,0),"")</f>
        <v>Fault In Analog Electronic Power Supply</v>
      </c>
      <c r="M131" s="346" t="s">
        <v>462</v>
      </c>
      <c r="N131" s="39" t="s">
        <v>1270</v>
      </c>
      <c r="O131" s="347">
        <v>5.6250000000000001E-2</v>
      </c>
      <c r="P131" s="347">
        <v>0.16527777777777777</v>
      </c>
      <c r="Q131" s="347">
        <v>0.19166666666666668</v>
      </c>
      <c r="R131" s="348">
        <f>IF(Table6[[#This Row],[Work Start TimeStamp]]="","",(Table6[[#This Row],[Work Start TimeStamp]]-Table6[[#This Row],[Fault Start TimeStamp]])*24)</f>
        <v>2.6166666666666667</v>
      </c>
      <c r="S131" s="349">
        <f>(Table6[[#This Row],[Fault Clearance time]]-Table6[[#This Row],[Work Start TimeStamp]])*24</f>
        <v>0.63333333333333375</v>
      </c>
      <c r="T131" s="350">
        <f>(Table6[[#This Row],[Fault Clearance time]]-Table6[[#This Row],[Fault Start TimeStamp]])*24</f>
        <v>3.2500000000000004</v>
      </c>
      <c r="U131" s="346" t="s">
        <v>524</v>
      </c>
      <c r="V131" s="351" t="s">
        <v>463</v>
      </c>
      <c r="W131" s="338">
        <f>Table6[[#This Row],[Breakdown Time]]*(1/39)</f>
        <v>8.3333333333333343E-2</v>
      </c>
      <c r="X131" s="336" t="s">
        <v>465</v>
      </c>
      <c r="Y131" s="352" t="s">
        <v>118</v>
      </c>
      <c r="Z131" s="105">
        <v>5956</v>
      </c>
      <c r="AA131" s="107">
        <v>806.54166666666674</v>
      </c>
      <c r="AB131" s="105" t="s">
        <v>478</v>
      </c>
    </row>
    <row r="132" spans="1:28">
      <c r="A132" s="105">
        <f t="shared" ref="A132:A195" si="2">A131+1</f>
        <v>131</v>
      </c>
      <c r="B132" s="107">
        <f>YEAR(Table6[[#This Row],[Date]])+IF(MONTH(Table6[[#This Row],[Date]])&gt;=4,1,0)</f>
        <v>2026</v>
      </c>
      <c r="C132" s="105">
        <f>YEAR(Table6[[#This Row],[Date]])</f>
        <v>2025</v>
      </c>
      <c r="D132" s="105" t="s">
        <v>490</v>
      </c>
      <c r="E132" s="119">
        <f>Table6[[#This Row],[Date]]-DAY(Table6[[#This Row],[Date]])+1</f>
        <v>45748</v>
      </c>
      <c r="F132" s="118">
        <v>45749</v>
      </c>
      <c r="G132" s="105" t="s">
        <v>118</v>
      </c>
      <c r="H132" s="39" t="str">
        <f>_xlfn.XLOOKUP(Table6[[#This Row],[Affected WTG]],'Basic Data'!$A:$A,'Basic Data'!$B:$B)</f>
        <v>PWEGPL</v>
      </c>
      <c r="I132" s="39" t="str">
        <f>_xlfn.XLOOKUP(Table6[[#This Row],[Affected WTG]],'Basic Data'!$A:$A,'Basic Data'!$C:$C)</f>
        <v>MSEDCL</v>
      </c>
      <c r="J132" s="345">
        <f>IFERROR(VLOOKUP(Table6[[#This Row],[Affected WTG]],'Basic Data'!$A$3:$E$56,5,0),"")</f>
        <v>2.564102564102564E-2</v>
      </c>
      <c r="K132" s="105">
        <v>5203</v>
      </c>
      <c r="L132" s="39" t="str">
        <f>IFERROR(VLOOKUP(Table6[[#This Row],[Error Code]],'Basic Data'!$T:$U,2,0),"")</f>
        <v>Heating/Coolant Thermal Magnetic Failure</v>
      </c>
      <c r="M132" s="346" t="s">
        <v>462</v>
      </c>
      <c r="N132" s="39" t="s">
        <v>1270</v>
      </c>
      <c r="O132" s="347">
        <v>0.17569444444444443</v>
      </c>
      <c r="P132" s="347">
        <v>0.22569444444444445</v>
      </c>
      <c r="Q132" s="347">
        <v>0.35416666666666669</v>
      </c>
      <c r="R132" s="348">
        <f>IF(Table6[[#This Row],[Work Start TimeStamp]]="","",(Table6[[#This Row],[Work Start TimeStamp]]-Table6[[#This Row],[Fault Start TimeStamp]])*24)</f>
        <v>1.2000000000000004</v>
      </c>
      <c r="S132" s="349">
        <f>(Table6[[#This Row],[Fault Clearance time]]-Table6[[#This Row],[Work Start TimeStamp]])*24</f>
        <v>3.0833333333333339</v>
      </c>
      <c r="T132" s="350">
        <f>(Table6[[#This Row],[Fault Clearance time]]-Table6[[#This Row],[Fault Start TimeStamp]])*24</f>
        <v>4.2833333333333341</v>
      </c>
      <c r="U132" s="346" t="s">
        <v>525</v>
      </c>
      <c r="V132" s="351" t="s">
        <v>463</v>
      </c>
      <c r="W132" s="338">
        <f>Table6[[#This Row],[Breakdown Time]]*(1/39)</f>
        <v>0.10982905982905984</v>
      </c>
      <c r="X132" s="336" t="s">
        <v>465</v>
      </c>
      <c r="Y132" s="352" t="s">
        <v>117</v>
      </c>
      <c r="Z132" s="105">
        <v>10570</v>
      </c>
      <c r="AA132" s="107">
        <v>1886.4513888888894</v>
      </c>
      <c r="AB132" s="105" t="s">
        <v>478</v>
      </c>
    </row>
    <row r="133" spans="1:28">
      <c r="A133" s="105">
        <f t="shared" si="2"/>
        <v>132</v>
      </c>
      <c r="B133" s="107">
        <f>YEAR(Table6[[#This Row],[Date]])+IF(MONTH(Table6[[#This Row],[Date]])&gt;=4,1,0)</f>
        <v>2026</v>
      </c>
      <c r="C133" s="105">
        <f>YEAR(Table6[[#This Row],[Date]])</f>
        <v>2025</v>
      </c>
      <c r="D133" s="105" t="s">
        <v>490</v>
      </c>
      <c r="E133" s="119">
        <f>Table6[[#This Row],[Date]]-DAY(Table6[[#This Row],[Date]])+1</f>
        <v>45748</v>
      </c>
      <c r="F133" s="118">
        <v>45749</v>
      </c>
      <c r="G133" s="105" t="s">
        <v>118</v>
      </c>
      <c r="H133" s="39" t="str">
        <f>_xlfn.XLOOKUP(Table6[[#This Row],[Affected WTG]],'Basic Data'!$A:$A,'Basic Data'!$B:$B)</f>
        <v>PWEGPL</v>
      </c>
      <c r="I133" s="39" t="str">
        <f>_xlfn.XLOOKUP(Table6[[#This Row],[Affected WTG]],'Basic Data'!$A:$A,'Basic Data'!$C:$C)</f>
        <v>MSEDCL</v>
      </c>
      <c r="J133" s="345">
        <f>IFERROR(VLOOKUP(Table6[[#This Row],[Affected WTG]],'Basic Data'!$A$3:$E$56,5,0),"")</f>
        <v>2.564102564102564E-2</v>
      </c>
      <c r="K133" s="105">
        <v>205</v>
      </c>
      <c r="L133" s="39" t="str">
        <f>IFERROR(VLOOKUP(Table6[[#This Row],[Error Code]],'Basic Data'!$T:$U,2,0),"")</f>
        <v>Low Level Hydraulic Group Refrigeration Oil</v>
      </c>
      <c r="M133" s="346" t="s">
        <v>462</v>
      </c>
      <c r="N133" s="39" t="s">
        <v>1270</v>
      </c>
      <c r="O133" s="347">
        <v>0.35416666666666669</v>
      </c>
      <c r="P133" s="347">
        <v>0.49930555555555556</v>
      </c>
      <c r="Q133" s="347">
        <v>0.49930555555555556</v>
      </c>
      <c r="R133" s="348">
        <f>IF(Table6[[#This Row],[Work Start TimeStamp]]="","",(Table6[[#This Row],[Work Start TimeStamp]]-Table6[[#This Row],[Fault Start TimeStamp]])*24)</f>
        <v>3.4833333333333329</v>
      </c>
      <c r="S133" s="349">
        <f>(Table6[[#This Row],[Fault Clearance time]]-Table6[[#This Row],[Work Start TimeStamp]])*24</f>
        <v>0</v>
      </c>
      <c r="T133" s="350">
        <f>(Table6[[#This Row],[Fault Clearance time]]-Table6[[#This Row],[Fault Start TimeStamp]])*24</f>
        <v>3.4833333333333329</v>
      </c>
      <c r="U133" s="346" t="s">
        <v>493</v>
      </c>
      <c r="V133" s="351" t="s">
        <v>463</v>
      </c>
      <c r="W133" s="338">
        <f>Table6[[#This Row],[Breakdown Time]]*(1/39)</f>
        <v>8.9316239316239304E-2</v>
      </c>
      <c r="X133" s="336" t="s">
        <v>465</v>
      </c>
      <c r="Y133" s="352" t="s">
        <v>117</v>
      </c>
      <c r="Z133" s="105">
        <v>10570</v>
      </c>
      <c r="AA133" s="107">
        <v>1534.1180555555554</v>
      </c>
      <c r="AB133" s="105" t="s">
        <v>478</v>
      </c>
    </row>
    <row r="134" spans="1:28">
      <c r="A134" s="105">
        <f t="shared" si="2"/>
        <v>133</v>
      </c>
      <c r="B134" s="107">
        <f>YEAR(Table6[[#This Row],[Date]])+IF(MONTH(Table6[[#This Row],[Date]])&gt;=4,1,0)</f>
        <v>2026</v>
      </c>
      <c r="C134" s="105">
        <f>YEAR(Table6[[#This Row],[Date]])</f>
        <v>2025</v>
      </c>
      <c r="D134" s="105" t="s">
        <v>490</v>
      </c>
      <c r="E134" s="119">
        <f>Table6[[#This Row],[Date]]-DAY(Table6[[#This Row],[Date]])+1</f>
        <v>45748</v>
      </c>
      <c r="F134" s="118">
        <v>45749</v>
      </c>
      <c r="G134" s="105" t="s">
        <v>126</v>
      </c>
      <c r="H134" s="39" t="str">
        <f>_xlfn.XLOOKUP(Table6[[#This Row],[Affected WTG]],'Basic Data'!$A:$A,'Basic Data'!$B:$B)</f>
        <v>PWEGPL</v>
      </c>
      <c r="I134" s="39" t="str">
        <f>_xlfn.XLOOKUP(Table6[[#This Row],[Affected WTG]],'Basic Data'!$A:$A,'Basic Data'!$C:$C)</f>
        <v>MSEDCL</v>
      </c>
      <c r="J134" s="345">
        <f>IFERROR(VLOOKUP(Table6[[#This Row],[Affected WTG]],'Basic Data'!$A$3:$E$56,5,0),"")</f>
        <v>2.564102564102564E-2</v>
      </c>
      <c r="K134" s="105">
        <v>5210</v>
      </c>
      <c r="L134" s="39" t="str">
        <f>IFERROR(VLOOKUP(Table6[[#This Row],[Error Code]],'Basic Data'!$T:$U,2,0),"")</f>
        <v>Failure Of The Contactor's Rotor Power</v>
      </c>
      <c r="M134" s="346" t="s">
        <v>462</v>
      </c>
      <c r="N134" s="39" t="s">
        <v>1270</v>
      </c>
      <c r="O134" s="347">
        <v>0.13750000000000001</v>
      </c>
      <c r="P134" s="347">
        <v>0.13750000000000001</v>
      </c>
      <c r="Q134" s="347">
        <v>0.15138888888888888</v>
      </c>
      <c r="R134" s="348">
        <f>IF(Table6[[#This Row],[Work Start TimeStamp]]="","",(Table6[[#This Row],[Work Start TimeStamp]]-Table6[[#This Row],[Fault Start TimeStamp]])*24)</f>
        <v>0</v>
      </c>
      <c r="S134" s="349">
        <f>(Table6[[#This Row],[Fault Clearance time]]-Table6[[#This Row],[Work Start TimeStamp]])*24</f>
        <v>0.33333333333333282</v>
      </c>
      <c r="T134" s="350">
        <f>(Table6[[#This Row],[Fault Clearance time]]-Table6[[#This Row],[Fault Start TimeStamp]])*24</f>
        <v>0.33333333333333282</v>
      </c>
      <c r="U134" s="346" t="s">
        <v>480</v>
      </c>
      <c r="V134" s="351" t="s">
        <v>463</v>
      </c>
      <c r="W134" s="338">
        <f>Table6[[#This Row],[Breakdown Time]]*(1/39)</f>
        <v>8.547008547008534E-3</v>
      </c>
      <c r="X134" s="336" t="s">
        <v>465</v>
      </c>
      <c r="Y134" s="352" t="s">
        <v>127</v>
      </c>
      <c r="Z134" s="105">
        <v>11088</v>
      </c>
      <c r="AA134" s="107">
        <v>153.99999999999977</v>
      </c>
      <c r="AB134" s="105" t="s">
        <v>478</v>
      </c>
    </row>
    <row r="135" spans="1:28">
      <c r="A135" s="105">
        <f t="shared" si="2"/>
        <v>134</v>
      </c>
      <c r="B135" s="107">
        <f>YEAR(Table6[[#This Row],[Date]])+IF(MONTH(Table6[[#This Row],[Date]])&gt;=4,1,0)</f>
        <v>2026</v>
      </c>
      <c r="C135" s="105">
        <f>YEAR(Table6[[#This Row],[Date]])</f>
        <v>2025</v>
      </c>
      <c r="D135" s="105" t="s">
        <v>490</v>
      </c>
      <c r="E135" s="119">
        <f>Table6[[#This Row],[Date]]-DAY(Table6[[#This Row],[Date]])+1</f>
        <v>45748</v>
      </c>
      <c r="F135" s="118">
        <v>45749</v>
      </c>
      <c r="G135" s="105" t="s">
        <v>126</v>
      </c>
      <c r="H135" s="39" t="str">
        <f>_xlfn.XLOOKUP(Table6[[#This Row],[Affected WTG]],'Basic Data'!$A:$A,'Basic Data'!$B:$B)</f>
        <v>PWEGPL</v>
      </c>
      <c r="I135" s="39" t="str">
        <f>_xlfn.XLOOKUP(Table6[[#This Row],[Affected WTG]],'Basic Data'!$A:$A,'Basic Data'!$C:$C)</f>
        <v>MSEDCL</v>
      </c>
      <c r="J135" s="345">
        <f>IFERROR(VLOOKUP(Table6[[#This Row],[Affected WTG]],'Basic Data'!$A$3:$E$56,5,0),"")</f>
        <v>2.564102564102564E-2</v>
      </c>
      <c r="K135" s="105">
        <v>5210</v>
      </c>
      <c r="L135" s="39" t="str">
        <f>IFERROR(VLOOKUP(Table6[[#This Row],[Error Code]],'Basic Data'!$T:$U,2,0),"")</f>
        <v>Failure Of The Contactor's Rotor Power</v>
      </c>
      <c r="M135" s="346" t="s">
        <v>462</v>
      </c>
      <c r="N135" s="39" t="s">
        <v>1270</v>
      </c>
      <c r="O135" s="347">
        <v>0.55277777777777781</v>
      </c>
      <c r="P135" s="347">
        <v>0.55972222222222223</v>
      </c>
      <c r="Q135" s="347">
        <v>0.56041666666666667</v>
      </c>
      <c r="R135" s="348">
        <f>IF(Table6[[#This Row],[Work Start TimeStamp]]="","",(Table6[[#This Row],[Work Start TimeStamp]]-Table6[[#This Row],[Fault Start TimeStamp]])*24)</f>
        <v>0.16666666666666607</v>
      </c>
      <c r="S135" s="349">
        <f>(Table6[[#This Row],[Fault Clearance time]]-Table6[[#This Row],[Work Start TimeStamp]])*24</f>
        <v>1.6666666666666607E-2</v>
      </c>
      <c r="T135" s="350">
        <f>(Table6[[#This Row],[Fault Clearance time]]-Table6[[#This Row],[Fault Start TimeStamp]])*24</f>
        <v>0.18333333333333268</v>
      </c>
      <c r="U135" s="346" t="s">
        <v>493</v>
      </c>
      <c r="V135" s="351" t="s">
        <v>463</v>
      </c>
      <c r="W135" s="338">
        <f>Table6[[#This Row],[Breakdown Time]]*(1/39)</f>
        <v>4.7008547008546842E-3</v>
      </c>
      <c r="X135" s="336" t="s">
        <v>465</v>
      </c>
      <c r="Y135" s="352" t="s">
        <v>127</v>
      </c>
      <c r="Z135" s="105">
        <v>11088</v>
      </c>
      <c r="AA135" s="107">
        <v>84.699999999999704</v>
      </c>
      <c r="AB135" s="105" t="s">
        <v>478</v>
      </c>
    </row>
    <row r="136" spans="1:28">
      <c r="A136" s="105">
        <f t="shared" si="2"/>
        <v>135</v>
      </c>
      <c r="B136" s="107">
        <f>YEAR(Table6[[#This Row],[Date]])+IF(MONTH(Table6[[#This Row],[Date]])&gt;=4,1,0)</f>
        <v>2026</v>
      </c>
      <c r="C136" s="105">
        <f>YEAR(Table6[[#This Row],[Date]])</f>
        <v>2025</v>
      </c>
      <c r="D136" s="105" t="s">
        <v>490</v>
      </c>
      <c r="E136" s="119">
        <f>Table6[[#This Row],[Date]]-DAY(Table6[[#This Row],[Date]])+1</f>
        <v>45748</v>
      </c>
      <c r="F136" s="118">
        <v>45749</v>
      </c>
      <c r="G136" s="105" t="s">
        <v>127</v>
      </c>
      <c r="H136" s="39" t="str">
        <f>_xlfn.XLOOKUP(Table6[[#This Row],[Affected WTG]],'Basic Data'!$A:$A,'Basic Data'!$B:$B)</f>
        <v>PWEGPL</v>
      </c>
      <c r="I136" s="39" t="str">
        <f>_xlfn.XLOOKUP(Table6[[#This Row],[Affected WTG]],'Basic Data'!$A:$A,'Basic Data'!$C:$C)</f>
        <v>MSEDCL</v>
      </c>
      <c r="J136" s="345">
        <f>IFERROR(VLOOKUP(Table6[[#This Row],[Affected WTG]],'Basic Data'!$A$3:$E$56,5,0),"")</f>
        <v>2.564102564102564E-2</v>
      </c>
      <c r="K136" s="105">
        <v>5228</v>
      </c>
      <c r="L136" s="39" t="str">
        <f>IFERROR(VLOOKUP(Table6[[#This Row],[Error Code]],'Basic Data'!$T:$U,2,0),"")</f>
        <v>Preload Failure</v>
      </c>
      <c r="M136" s="346" t="s">
        <v>462</v>
      </c>
      <c r="N136" s="39" t="s">
        <v>1270</v>
      </c>
      <c r="O136" s="347">
        <v>8.1250000000000003E-2</v>
      </c>
      <c r="P136" s="347">
        <v>0.10416666666666667</v>
      </c>
      <c r="Q136" s="347">
        <v>0.14305555555555555</v>
      </c>
      <c r="R136" s="348">
        <f>IF(Table6[[#This Row],[Work Start TimeStamp]]="","",(Table6[[#This Row],[Work Start TimeStamp]]-Table6[[#This Row],[Fault Start TimeStamp]])*24)</f>
        <v>0.55000000000000004</v>
      </c>
      <c r="S136" s="349">
        <f>(Table6[[#This Row],[Fault Clearance time]]-Table6[[#This Row],[Work Start TimeStamp]])*24</f>
        <v>0.93333333333333302</v>
      </c>
      <c r="T136" s="350">
        <f>(Table6[[#This Row],[Fault Clearance time]]-Table6[[#This Row],[Fault Start TimeStamp]])*24</f>
        <v>1.4833333333333329</v>
      </c>
      <c r="U136" s="346" t="s">
        <v>526</v>
      </c>
      <c r="V136" s="351" t="s">
        <v>463</v>
      </c>
      <c r="W136" s="338">
        <f>Table6[[#This Row],[Breakdown Time]]*(1/39)</f>
        <v>3.8034188034188024E-2</v>
      </c>
      <c r="X136" s="336" t="s">
        <v>465</v>
      </c>
      <c r="Y136" s="352" t="s">
        <v>128</v>
      </c>
      <c r="Z136" s="105">
        <v>12636</v>
      </c>
      <c r="AA136" s="107">
        <v>780.9749999999998</v>
      </c>
      <c r="AB136" s="105" t="s">
        <v>478</v>
      </c>
    </row>
    <row r="137" spans="1:28">
      <c r="A137" s="105">
        <f t="shared" si="2"/>
        <v>136</v>
      </c>
      <c r="B137" s="107">
        <f>YEAR(Table6[[#This Row],[Date]])+IF(MONTH(Table6[[#This Row],[Date]])&gt;=4,1,0)</f>
        <v>2026</v>
      </c>
      <c r="C137" s="105">
        <f>YEAR(Table6[[#This Row],[Date]])</f>
        <v>2025</v>
      </c>
      <c r="D137" s="105" t="s">
        <v>490</v>
      </c>
      <c r="E137" s="119">
        <f>Table6[[#This Row],[Date]]-DAY(Table6[[#This Row],[Date]])+1</f>
        <v>45748</v>
      </c>
      <c r="F137" s="118">
        <v>45749</v>
      </c>
      <c r="G137" s="105" t="s">
        <v>127</v>
      </c>
      <c r="H137" s="39" t="str">
        <f>_xlfn.XLOOKUP(Table6[[#This Row],[Affected WTG]],'Basic Data'!$A:$A,'Basic Data'!$B:$B)</f>
        <v>PWEGPL</v>
      </c>
      <c r="I137" s="39" t="str">
        <f>_xlfn.XLOOKUP(Table6[[#This Row],[Affected WTG]],'Basic Data'!$A:$A,'Basic Data'!$C:$C)</f>
        <v>MSEDCL</v>
      </c>
      <c r="J137" s="345">
        <f>IFERROR(VLOOKUP(Table6[[#This Row],[Affected WTG]],'Basic Data'!$A$3:$E$56,5,0),"")</f>
        <v>2.564102564102564E-2</v>
      </c>
      <c r="K137" s="105">
        <v>500</v>
      </c>
      <c r="L137" s="39" t="str">
        <f>IFERROR(VLOOKUP(Table6[[#This Row],[Error Code]],'Basic Data'!$T:$U,2,0),"")</f>
        <v>High Generator Winding Temperature</v>
      </c>
      <c r="M137" s="346" t="s">
        <v>462</v>
      </c>
      <c r="N137" s="39" t="s">
        <v>1270</v>
      </c>
      <c r="O137" s="347">
        <v>0.29444444444444445</v>
      </c>
      <c r="P137" s="347">
        <v>0.29444444444444445</v>
      </c>
      <c r="Q137" s="347">
        <v>0.29791666666666666</v>
      </c>
      <c r="R137" s="348">
        <f>IF(Table6[[#This Row],[Work Start TimeStamp]]="","",(Table6[[#This Row],[Work Start TimeStamp]]-Table6[[#This Row],[Fault Start TimeStamp]])*24)</f>
        <v>0</v>
      </c>
      <c r="S137" s="349">
        <f>(Table6[[#This Row],[Fault Clearance time]]-Table6[[#This Row],[Work Start TimeStamp]])*24</f>
        <v>8.3333333333333037E-2</v>
      </c>
      <c r="T137" s="350">
        <f>(Table6[[#This Row],[Fault Clearance time]]-Table6[[#This Row],[Fault Start TimeStamp]])*24</f>
        <v>8.3333333333333037E-2</v>
      </c>
      <c r="U137" s="346" t="s">
        <v>480</v>
      </c>
      <c r="V137" s="351" t="s">
        <v>463</v>
      </c>
      <c r="W137" s="338">
        <f>Table6[[#This Row],[Breakdown Time]]*(1/39)</f>
        <v>2.1367521367521292E-3</v>
      </c>
      <c r="X137" s="336" t="s">
        <v>465</v>
      </c>
      <c r="Y137" s="352" t="s">
        <v>128</v>
      </c>
      <c r="Z137" s="105">
        <v>12636</v>
      </c>
      <c r="AA137" s="107">
        <v>43.874999999999844</v>
      </c>
      <c r="AB137" s="105" t="s">
        <v>478</v>
      </c>
    </row>
    <row r="138" spans="1:28">
      <c r="A138" s="105">
        <f t="shared" si="2"/>
        <v>137</v>
      </c>
      <c r="B138" s="107">
        <f>YEAR(Table6[[#This Row],[Date]])+IF(MONTH(Table6[[#This Row],[Date]])&gt;=4,1,0)</f>
        <v>2026</v>
      </c>
      <c r="C138" s="105">
        <f>YEAR(Table6[[#This Row],[Date]])</f>
        <v>2025</v>
      </c>
      <c r="D138" s="105" t="s">
        <v>490</v>
      </c>
      <c r="E138" s="119">
        <f>Table6[[#This Row],[Date]]-DAY(Table6[[#This Row],[Date]])+1</f>
        <v>45748</v>
      </c>
      <c r="F138" s="118">
        <v>45749</v>
      </c>
      <c r="G138" s="105" t="s">
        <v>127</v>
      </c>
      <c r="H138" s="39" t="str">
        <f>_xlfn.XLOOKUP(Table6[[#This Row],[Affected WTG]],'Basic Data'!$A:$A,'Basic Data'!$B:$B)</f>
        <v>PWEGPL</v>
      </c>
      <c r="I138" s="39" t="str">
        <f>_xlfn.XLOOKUP(Table6[[#This Row],[Affected WTG]],'Basic Data'!$A:$A,'Basic Data'!$C:$C)</f>
        <v>MSEDCL</v>
      </c>
      <c r="J138" s="345">
        <f>IFERROR(VLOOKUP(Table6[[#This Row],[Affected WTG]],'Basic Data'!$A$3:$E$56,5,0),"")</f>
        <v>2.564102564102564E-2</v>
      </c>
      <c r="K138" s="105">
        <v>500</v>
      </c>
      <c r="L138" s="39" t="str">
        <f>IFERROR(VLOOKUP(Table6[[#This Row],[Error Code]],'Basic Data'!$T:$U,2,0),"")</f>
        <v>High Generator Winding Temperature</v>
      </c>
      <c r="M138" s="346" t="s">
        <v>462</v>
      </c>
      <c r="N138" s="39" t="s">
        <v>1270</v>
      </c>
      <c r="O138" s="347">
        <v>0.30555555555555558</v>
      </c>
      <c r="P138" s="347">
        <v>0.30555555555555558</v>
      </c>
      <c r="Q138" s="347">
        <v>0.30902777777777779</v>
      </c>
      <c r="R138" s="348">
        <f>IF(Table6[[#This Row],[Work Start TimeStamp]]="","",(Table6[[#This Row],[Work Start TimeStamp]]-Table6[[#This Row],[Fault Start TimeStamp]])*24)</f>
        <v>0</v>
      </c>
      <c r="S138" s="349">
        <f>(Table6[[#This Row],[Fault Clearance time]]-Table6[[#This Row],[Work Start TimeStamp]])*24</f>
        <v>8.3333333333333037E-2</v>
      </c>
      <c r="T138" s="350">
        <f>(Table6[[#This Row],[Fault Clearance time]]-Table6[[#This Row],[Fault Start TimeStamp]])*24</f>
        <v>8.3333333333333037E-2</v>
      </c>
      <c r="U138" s="346" t="s">
        <v>480</v>
      </c>
      <c r="V138" s="351" t="s">
        <v>463</v>
      </c>
      <c r="W138" s="338">
        <f>Table6[[#This Row],[Breakdown Time]]*(1/39)</f>
        <v>2.1367521367521292E-3</v>
      </c>
      <c r="X138" s="336" t="s">
        <v>465</v>
      </c>
      <c r="Y138" s="352" t="s">
        <v>128</v>
      </c>
      <c r="Z138" s="105">
        <v>12636</v>
      </c>
      <c r="AA138" s="107">
        <v>43.874999999999844</v>
      </c>
      <c r="AB138" s="105" t="s">
        <v>478</v>
      </c>
    </row>
    <row r="139" spans="1:28">
      <c r="A139" s="105">
        <f t="shared" si="2"/>
        <v>138</v>
      </c>
      <c r="B139" s="107">
        <f>YEAR(Table6[[#This Row],[Date]])+IF(MONTH(Table6[[#This Row],[Date]])&gt;=4,1,0)</f>
        <v>2026</v>
      </c>
      <c r="C139" s="105">
        <f>YEAR(Table6[[#This Row],[Date]])</f>
        <v>2025</v>
      </c>
      <c r="D139" s="105" t="s">
        <v>490</v>
      </c>
      <c r="E139" s="119">
        <f>Table6[[#This Row],[Date]]-DAY(Table6[[#This Row],[Date]])+1</f>
        <v>45748</v>
      </c>
      <c r="F139" s="118">
        <v>45749</v>
      </c>
      <c r="G139" s="105" t="s">
        <v>127</v>
      </c>
      <c r="H139" s="39" t="str">
        <f>_xlfn.XLOOKUP(Table6[[#This Row],[Affected WTG]],'Basic Data'!$A:$A,'Basic Data'!$B:$B)</f>
        <v>PWEGPL</v>
      </c>
      <c r="I139" s="39" t="str">
        <f>_xlfn.XLOOKUP(Table6[[#This Row],[Affected WTG]],'Basic Data'!$A:$A,'Basic Data'!$C:$C)</f>
        <v>MSEDCL</v>
      </c>
      <c r="J139" s="345">
        <f>IFERROR(VLOOKUP(Table6[[#This Row],[Affected WTG]],'Basic Data'!$A$3:$E$56,5,0),"")</f>
        <v>2.564102564102564E-2</v>
      </c>
      <c r="K139" s="105">
        <v>500</v>
      </c>
      <c r="L139" s="39" t="str">
        <f>IFERROR(VLOOKUP(Table6[[#This Row],[Error Code]],'Basic Data'!$T:$U,2,0),"")</f>
        <v>High Generator Winding Temperature</v>
      </c>
      <c r="M139" s="346" t="s">
        <v>462</v>
      </c>
      <c r="N139" s="39" t="s">
        <v>1270</v>
      </c>
      <c r="O139" s="347">
        <v>0.32430555555555557</v>
      </c>
      <c r="P139" s="347">
        <v>0.32430555555555557</v>
      </c>
      <c r="Q139" s="347">
        <v>0.32777777777777778</v>
      </c>
      <c r="R139" s="348">
        <f>IF(Table6[[#This Row],[Work Start TimeStamp]]="","",(Table6[[#This Row],[Work Start TimeStamp]]-Table6[[#This Row],[Fault Start TimeStamp]])*24)</f>
        <v>0</v>
      </c>
      <c r="S139" s="349">
        <f>(Table6[[#This Row],[Fault Clearance time]]-Table6[[#This Row],[Work Start TimeStamp]])*24</f>
        <v>8.3333333333333037E-2</v>
      </c>
      <c r="T139" s="350">
        <f>(Table6[[#This Row],[Fault Clearance time]]-Table6[[#This Row],[Fault Start TimeStamp]])*24</f>
        <v>8.3333333333333037E-2</v>
      </c>
      <c r="U139" s="346" t="s">
        <v>480</v>
      </c>
      <c r="V139" s="351" t="s">
        <v>463</v>
      </c>
      <c r="W139" s="338">
        <f>Table6[[#This Row],[Breakdown Time]]*(1/39)</f>
        <v>2.1367521367521292E-3</v>
      </c>
      <c r="X139" s="336" t="s">
        <v>465</v>
      </c>
      <c r="Y139" s="352" t="s">
        <v>128</v>
      </c>
      <c r="Z139" s="105">
        <v>12636</v>
      </c>
      <c r="AA139" s="107">
        <v>43.874999999999844</v>
      </c>
      <c r="AB139" s="105" t="s">
        <v>478</v>
      </c>
    </row>
    <row r="140" spans="1:28">
      <c r="A140" s="105">
        <f t="shared" si="2"/>
        <v>139</v>
      </c>
      <c r="B140" s="107">
        <f>YEAR(Table6[[#This Row],[Date]])+IF(MONTH(Table6[[#This Row],[Date]])&gt;=4,1,0)</f>
        <v>2026</v>
      </c>
      <c r="C140" s="105">
        <f>YEAR(Table6[[#This Row],[Date]])</f>
        <v>2025</v>
      </c>
      <c r="D140" s="105" t="s">
        <v>490</v>
      </c>
      <c r="E140" s="119">
        <f>Table6[[#This Row],[Date]]-DAY(Table6[[#This Row],[Date]])+1</f>
        <v>45748</v>
      </c>
      <c r="F140" s="118">
        <v>45749</v>
      </c>
      <c r="G140" s="105" t="s">
        <v>127</v>
      </c>
      <c r="H140" s="39" t="str">
        <f>_xlfn.XLOOKUP(Table6[[#This Row],[Affected WTG]],'Basic Data'!$A:$A,'Basic Data'!$B:$B)</f>
        <v>PWEGPL</v>
      </c>
      <c r="I140" s="39" t="str">
        <f>_xlfn.XLOOKUP(Table6[[#This Row],[Affected WTG]],'Basic Data'!$A:$A,'Basic Data'!$C:$C)</f>
        <v>MSEDCL</v>
      </c>
      <c r="J140" s="345">
        <f>IFERROR(VLOOKUP(Table6[[#This Row],[Affected WTG]],'Basic Data'!$A$3:$E$56,5,0),"")</f>
        <v>2.564102564102564E-2</v>
      </c>
      <c r="K140" s="105">
        <v>500</v>
      </c>
      <c r="L140" s="39" t="str">
        <f>IFERROR(VLOOKUP(Table6[[#This Row],[Error Code]],'Basic Data'!$T:$U,2,0),"")</f>
        <v>High Generator Winding Temperature</v>
      </c>
      <c r="M140" s="346" t="s">
        <v>462</v>
      </c>
      <c r="N140" s="39" t="s">
        <v>1270</v>
      </c>
      <c r="O140" s="347">
        <v>0.34791666666666665</v>
      </c>
      <c r="P140" s="347">
        <v>0.34791666666666665</v>
      </c>
      <c r="Q140" s="347">
        <v>0.36527777777777776</v>
      </c>
      <c r="R140" s="348">
        <f>IF(Table6[[#This Row],[Work Start TimeStamp]]="","",(Table6[[#This Row],[Work Start TimeStamp]]-Table6[[#This Row],[Fault Start TimeStamp]])*24)</f>
        <v>0</v>
      </c>
      <c r="S140" s="349">
        <f>(Table6[[#This Row],[Fault Clearance time]]-Table6[[#This Row],[Work Start TimeStamp]])*24</f>
        <v>0.41666666666666652</v>
      </c>
      <c r="T140" s="350">
        <f>(Table6[[#This Row],[Fault Clearance time]]-Table6[[#This Row],[Fault Start TimeStamp]])*24</f>
        <v>0.41666666666666652</v>
      </c>
      <c r="U140" s="346" t="s">
        <v>493</v>
      </c>
      <c r="V140" s="351" t="s">
        <v>463</v>
      </c>
      <c r="W140" s="338">
        <f>Table6[[#This Row],[Breakdown Time]]*(1/39)</f>
        <v>1.0683760683760679E-2</v>
      </c>
      <c r="X140" s="336" t="s">
        <v>465</v>
      </c>
      <c r="Y140" s="352" t="s">
        <v>128</v>
      </c>
      <c r="Z140" s="105">
        <v>12636</v>
      </c>
      <c r="AA140" s="107">
        <v>219.37499999999991</v>
      </c>
      <c r="AB140" s="105" t="s">
        <v>478</v>
      </c>
    </row>
    <row r="141" spans="1:28">
      <c r="A141" s="105">
        <f t="shared" si="2"/>
        <v>140</v>
      </c>
      <c r="B141" s="107">
        <f>YEAR(Table6[[#This Row],[Date]])+IF(MONTH(Table6[[#This Row],[Date]])&gt;=4,1,0)</f>
        <v>2026</v>
      </c>
      <c r="C141" s="105">
        <f>YEAR(Table6[[#This Row],[Date]])</f>
        <v>2025</v>
      </c>
      <c r="D141" s="105" t="s">
        <v>490</v>
      </c>
      <c r="E141" s="119">
        <f>Table6[[#This Row],[Date]]-DAY(Table6[[#This Row],[Date]])+1</f>
        <v>45748</v>
      </c>
      <c r="F141" s="118">
        <v>45749</v>
      </c>
      <c r="G141" s="105" t="s">
        <v>127</v>
      </c>
      <c r="H141" s="39" t="str">
        <f>_xlfn.XLOOKUP(Table6[[#This Row],[Affected WTG]],'Basic Data'!$A:$A,'Basic Data'!$B:$B)</f>
        <v>PWEGPL</v>
      </c>
      <c r="I141" s="39" t="str">
        <f>_xlfn.XLOOKUP(Table6[[#This Row],[Affected WTG]],'Basic Data'!$A:$A,'Basic Data'!$C:$C)</f>
        <v>MSEDCL</v>
      </c>
      <c r="J141" s="345">
        <f>IFERROR(VLOOKUP(Table6[[#This Row],[Affected WTG]],'Basic Data'!$A$3:$E$56,5,0),"")</f>
        <v>2.564102564102564E-2</v>
      </c>
      <c r="K141" s="105">
        <v>500</v>
      </c>
      <c r="L141" s="39" t="str">
        <f>IFERROR(VLOOKUP(Table6[[#This Row],[Error Code]],'Basic Data'!$T:$U,2,0),"")</f>
        <v>High Generator Winding Temperature</v>
      </c>
      <c r="M141" s="346" t="s">
        <v>462</v>
      </c>
      <c r="N141" s="39" t="s">
        <v>1270</v>
      </c>
      <c r="O141" s="347">
        <v>0.4284722222222222</v>
      </c>
      <c r="P141" s="347">
        <v>0.4284722222222222</v>
      </c>
      <c r="Q141" s="347">
        <v>0.43194444444444446</v>
      </c>
      <c r="R141" s="348">
        <f>IF(Table6[[#This Row],[Work Start TimeStamp]]="","",(Table6[[#This Row],[Work Start TimeStamp]]-Table6[[#This Row],[Fault Start TimeStamp]])*24)</f>
        <v>0</v>
      </c>
      <c r="S141" s="349">
        <f>(Table6[[#This Row],[Fault Clearance time]]-Table6[[#This Row],[Work Start TimeStamp]])*24</f>
        <v>8.333333333333437E-2</v>
      </c>
      <c r="T141" s="350">
        <f>(Table6[[#This Row],[Fault Clearance time]]-Table6[[#This Row],[Fault Start TimeStamp]])*24</f>
        <v>8.333333333333437E-2</v>
      </c>
      <c r="U141" s="346" t="s">
        <v>480</v>
      </c>
      <c r="V141" s="351" t="s">
        <v>463</v>
      </c>
      <c r="W141" s="338">
        <f>Table6[[#This Row],[Breakdown Time]]*(1/39)</f>
        <v>2.1367521367521634E-3</v>
      </c>
      <c r="X141" s="336" t="s">
        <v>465</v>
      </c>
      <c r="Y141" s="352" t="s">
        <v>128</v>
      </c>
      <c r="Z141" s="105">
        <v>12636</v>
      </c>
      <c r="AA141" s="107">
        <v>43.875000000000547</v>
      </c>
      <c r="AB141" s="105" t="s">
        <v>478</v>
      </c>
    </row>
    <row r="142" spans="1:28">
      <c r="A142" s="105">
        <f t="shared" si="2"/>
        <v>141</v>
      </c>
      <c r="B142" s="107">
        <f>YEAR(Table6[[#This Row],[Date]])+IF(MONTH(Table6[[#This Row],[Date]])&gt;=4,1,0)</f>
        <v>2026</v>
      </c>
      <c r="C142" s="105">
        <f>YEAR(Table6[[#This Row],[Date]])</f>
        <v>2025</v>
      </c>
      <c r="D142" s="105" t="s">
        <v>490</v>
      </c>
      <c r="E142" s="119">
        <f>Table6[[#This Row],[Date]]-DAY(Table6[[#This Row],[Date]])+1</f>
        <v>45748</v>
      </c>
      <c r="F142" s="118">
        <v>45749</v>
      </c>
      <c r="G142" s="105" t="s">
        <v>127</v>
      </c>
      <c r="H142" s="39" t="str">
        <f>_xlfn.XLOOKUP(Table6[[#This Row],[Affected WTG]],'Basic Data'!$A:$A,'Basic Data'!$B:$B)</f>
        <v>PWEGPL</v>
      </c>
      <c r="I142" s="39" t="str">
        <f>_xlfn.XLOOKUP(Table6[[#This Row],[Affected WTG]],'Basic Data'!$A:$A,'Basic Data'!$C:$C)</f>
        <v>MSEDCL</v>
      </c>
      <c r="J142" s="345">
        <f>IFERROR(VLOOKUP(Table6[[#This Row],[Affected WTG]],'Basic Data'!$A$3:$E$56,5,0),"")</f>
        <v>2.564102564102564E-2</v>
      </c>
      <c r="K142" s="105">
        <v>500</v>
      </c>
      <c r="L142" s="39" t="str">
        <f>IFERROR(VLOOKUP(Table6[[#This Row],[Error Code]],'Basic Data'!$T:$U,2,0),"")</f>
        <v>High Generator Winding Temperature</v>
      </c>
      <c r="M142" s="346" t="s">
        <v>462</v>
      </c>
      <c r="N142" s="39" t="s">
        <v>1270</v>
      </c>
      <c r="O142" s="347">
        <v>0.44444444444444442</v>
      </c>
      <c r="P142" s="347">
        <v>0.44444444444444442</v>
      </c>
      <c r="Q142" s="347">
        <v>0.44791666666666669</v>
      </c>
      <c r="R142" s="348">
        <f>IF(Table6[[#This Row],[Work Start TimeStamp]]="","",(Table6[[#This Row],[Work Start TimeStamp]]-Table6[[#This Row],[Fault Start TimeStamp]])*24)</f>
        <v>0</v>
      </c>
      <c r="S142" s="349">
        <f>(Table6[[#This Row],[Fault Clearance time]]-Table6[[#This Row],[Work Start TimeStamp]])*24</f>
        <v>8.333333333333437E-2</v>
      </c>
      <c r="T142" s="350">
        <f>(Table6[[#This Row],[Fault Clearance time]]-Table6[[#This Row],[Fault Start TimeStamp]])*24</f>
        <v>8.333333333333437E-2</v>
      </c>
      <c r="U142" s="346" t="s">
        <v>480</v>
      </c>
      <c r="V142" s="351" t="s">
        <v>463</v>
      </c>
      <c r="W142" s="338">
        <f>Table6[[#This Row],[Breakdown Time]]*(1/39)</f>
        <v>2.1367521367521634E-3</v>
      </c>
      <c r="X142" s="336" t="s">
        <v>465</v>
      </c>
      <c r="Y142" s="352" t="s">
        <v>128</v>
      </c>
      <c r="Z142" s="105">
        <v>12636</v>
      </c>
      <c r="AA142" s="107">
        <v>43.875000000000547</v>
      </c>
      <c r="AB142" s="105" t="s">
        <v>478</v>
      </c>
    </row>
    <row r="143" spans="1:28">
      <c r="A143" s="105">
        <f t="shared" si="2"/>
        <v>142</v>
      </c>
      <c r="B143" s="107">
        <f>YEAR(Table6[[#This Row],[Date]])+IF(MONTH(Table6[[#This Row],[Date]])&gt;=4,1,0)</f>
        <v>2026</v>
      </c>
      <c r="C143" s="105">
        <f>YEAR(Table6[[#This Row],[Date]])</f>
        <v>2025</v>
      </c>
      <c r="D143" s="105" t="s">
        <v>490</v>
      </c>
      <c r="E143" s="119">
        <f>Table6[[#This Row],[Date]]-DAY(Table6[[#This Row],[Date]])+1</f>
        <v>45748</v>
      </c>
      <c r="F143" s="118">
        <v>45749</v>
      </c>
      <c r="G143" s="105" t="s">
        <v>128</v>
      </c>
      <c r="H143" s="39" t="str">
        <f>_xlfn.XLOOKUP(Table6[[#This Row],[Affected WTG]],'Basic Data'!$A:$A,'Basic Data'!$B:$B)</f>
        <v>PWEGPL</v>
      </c>
      <c r="I143" s="39" t="str">
        <f>_xlfn.XLOOKUP(Table6[[#This Row],[Affected WTG]],'Basic Data'!$A:$A,'Basic Data'!$C:$C)</f>
        <v>MSEDCL</v>
      </c>
      <c r="J143" s="345">
        <f>IFERROR(VLOOKUP(Table6[[#This Row],[Affected WTG]],'Basic Data'!$A$3:$E$56,5,0),"")</f>
        <v>2.564102564102564E-2</v>
      </c>
      <c r="K143" s="105">
        <v>5201</v>
      </c>
      <c r="L143" s="39" t="str">
        <f>IFERROR(VLOOKUP(Table6[[#This Row],[Error Code]],'Basic Data'!$T:$U,2,0),"")</f>
        <v>Magnetothermic Trigger Of The Stator Protection</v>
      </c>
      <c r="M143" s="346" t="s">
        <v>462</v>
      </c>
      <c r="N143" s="39" t="s">
        <v>1270</v>
      </c>
      <c r="O143" s="347">
        <v>0</v>
      </c>
      <c r="P143" s="347">
        <v>8.819444444444445E-2</v>
      </c>
      <c r="Q143" s="347">
        <v>9.6527777777777782E-2</v>
      </c>
      <c r="R143" s="348">
        <f>IF(Table6[[#This Row],[Work Start TimeStamp]]="","",(Table6[[#This Row],[Work Start TimeStamp]]-Table6[[#This Row],[Fault Start TimeStamp]])*24)</f>
        <v>2.1166666666666667</v>
      </c>
      <c r="S143" s="349">
        <f>(Table6[[#This Row],[Fault Clearance time]]-Table6[[#This Row],[Work Start TimeStamp]])*24</f>
        <v>0.19999999999999996</v>
      </c>
      <c r="T143" s="350">
        <f>(Table6[[#This Row],[Fault Clearance time]]-Table6[[#This Row],[Fault Start TimeStamp]])*24</f>
        <v>2.3166666666666669</v>
      </c>
      <c r="U143" s="346" t="s">
        <v>493</v>
      </c>
      <c r="V143" s="351" t="s">
        <v>463</v>
      </c>
      <c r="W143" s="338">
        <f>Table6[[#This Row],[Breakdown Time]]*(1/39)</f>
        <v>5.9401709401709406E-2</v>
      </c>
      <c r="X143" s="336" t="s">
        <v>465</v>
      </c>
      <c r="Y143" s="352" t="s">
        <v>129</v>
      </c>
      <c r="Z143" s="105">
        <v>14796</v>
      </c>
      <c r="AA143" s="107">
        <v>1428.2250000000001</v>
      </c>
      <c r="AB143" s="105" t="s">
        <v>478</v>
      </c>
    </row>
    <row r="144" spans="1:28">
      <c r="A144" s="105">
        <f t="shared" si="2"/>
        <v>143</v>
      </c>
      <c r="B144" s="107">
        <f>YEAR(Table6[[#This Row],[Date]])+IF(MONTH(Table6[[#This Row],[Date]])&gt;=4,1,0)</f>
        <v>2026</v>
      </c>
      <c r="C144" s="105">
        <f>YEAR(Table6[[#This Row],[Date]])</f>
        <v>2025</v>
      </c>
      <c r="D144" s="105" t="s">
        <v>490</v>
      </c>
      <c r="E144" s="119">
        <f>Table6[[#This Row],[Date]]-DAY(Table6[[#This Row],[Date]])+1</f>
        <v>45748</v>
      </c>
      <c r="F144" s="118">
        <v>45749</v>
      </c>
      <c r="G144" s="105" t="s">
        <v>130</v>
      </c>
      <c r="H144" s="39" t="str">
        <f>_xlfn.XLOOKUP(Table6[[#This Row],[Affected WTG]],'Basic Data'!$A:$A,'Basic Data'!$B:$B)</f>
        <v>PWEGPL</v>
      </c>
      <c r="I144" s="39" t="str">
        <f>_xlfn.XLOOKUP(Table6[[#This Row],[Affected WTG]],'Basic Data'!$A:$A,'Basic Data'!$C:$C)</f>
        <v>MSEDCL</v>
      </c>
      <c r="J144" s="345">
        <f>IFERROR(VLOOKUP(Table6[[#This Row],[Affected WTG]],'Basic Data'!$A$3:$E$56,5,0),"")</f>
        <v>2.564102564102564E-2</v>
      </c>
      <c r="K144" s="105">
        <v>2118</v>
      </c>
      <c r="L144" s="39" t="str">
        <f>IFERROR(VLOOKUP(Table6[[#This Row],[Error Code]],'Basic Data'!$T:$U,2,0),"")</f>
        <v>Bus Error - Interbus Failure</v>
      </c>
      <c r="M144" s="346" t="s">
        <v>462</v>
      </c>
      <c r="N144" s="39" t="s">
        <v>1270</v>
      </c>
      <c r="O144" s="347">
        <v>0</v>
      </c>
      <c r="P144" s="347">
        <v>1.2500000000000001E-2</v>
      </c>
      <c r="Q144" s="347">
        <v>1.9444444444444445E-2</v>
      </c>
      <c r="R144" s="348">
        <f>IF(Table6[[#This Row],[Work Start TimeStamp]]="","",(Table6[[#This Row],[Work Start TimeStamp]]-Table6[[#This Row],[Fault Start TimeStamp]])*24)</f>
        <v>0.30000000000000004</v>
      </c>
      <c r="S144" s="349">
        <f>(Table6[[#This Row],[Fault Clearance time]]-Table6[[#This Row],[Work Start TimeStamp]])*24</f>
        <v>0.16666666666666666</v>
      </c>
      <c r="T144" s="350">
        <f>(Table6[[#This Row],[Fault Clearance time]]-Table6[[#This Row],[Fault Start TimeStamp]])*24</f>
        <v>0.46666666666666667</v>
      </c>
      <c r="U144" s="346" t="s">
        <v>491</v>
      </c>
      <c r="V144" s="351" t="s">
        <v>463</v>
      </c>
      <c r="W144" s="338">
        <f>Table6[[#This Row],[Breakdown Time]]*(1/39)</f>
        <v>1.1965811965811965E-2</v>
      </c>
      <c r="X144" s="336" t="s">
        <v>465</v>
      </c>
      <c r="Y144" s="352" t="s">
        <v>131</v>
      </c>
      <c r="Z144" s="105">
        <v>15820</v>
      </c>
      <c r="AA144" s="107">
        <v>307.61111111111109</v>
      </c>
      <c r="AB144" s="105" t="s">
        <v>478</v>
      </c>
    </row>
    <row r="145" spans="1:28">
      <c r="A145" s="105">
        <f t="shared" si="2"/>
        <v>144</v>
      </c>
      <c r="B145" s="107">
        <f>YEAR(Table6[[#This Row],[Date]])+IF(MONTH(Table6[[#This Row],[Date]])&gt;=4,1,0)</f>
        <v>2026</v>
      </c>
      <c r="C145" s="105">
        <f>YEAR(Table6[[#This Row],[Date]])</f>
        <v>2025</v>
      </c>
      <c r="D145" s="105" t="s">
        <v>490</v>
      </c>
      <c r="E145" s="119">
        <f>Table6[[#This Row],[Date]]-DAY(Table6[[#This Row],[Date]])+1</f>
        <v>45748</v>
      </c>
      <c r="F145" s="118">
        <v>45749</v>
      </c>
      <c r="G145" s="105" t="s">
        <v>130</v>
      </c>
      <c r="H145" s="39" t="str">
        <f>_xlfn.XLOOKUP(Table6[[#This Row],[Affected WTG]],'Basic Data'!$A:$A,'Basic Data'!$B:$B)</f>
        <v>PWEGPL</v>
      </c>
      <c r="I145" s="39" t="str">
        <f>_xlfn.XLOOKUP(Table6[[#This Row],[Affected WTG]],'Basic Data'!$A:$A,'Basic Data'!$C:$C)</f>
        <v>MSEDCL</v>
      </c>
      <c r="J145" s="345">
        <f>IFERROR(VLOOKUP(Table6[[#This Row],[Affected WTG]],'Basic Data'!$A$3:$E$56,5,0),"")</f>
        <v>2.564102564102564E-2</v>
      </c>
      <c r="K145" s="105">
        <v>444</v>
      </c>
      <c r="L145" s="39" t="str">
        <f>IFERROR(VLOOKUP(Table6[[#This Row],[Error Code]],'Basic Data'!$T:$U,2,0),"")</f>
        <v>Gearbox Pump Thermal Relay Triggered and High Gearbox Oil Temperature</v>
      </c>
      <c r="M145" s="346" t="s">
        <v>462</v>
      </c>
      <c r="N145" s="39" t="s">
        <v>1270</v>
      </c>
      <c r="O145" s="347">
        <v>0.14166666666666666</v>
      </c>
      <c r="P145" s="347">
        <v>0.14166666666666666</v>
      </c>
      <c r="Q145" s="347">
        <v>0.38055555555555554</v>
      </c>
      <c r="R145" s="348">
        <f>IF(Table6[[#This Row],[Work Start TimeStamp]]="","",(Table6[[#This Row],[Work Start TimeStamp]]-Table6[[#This Row],[Fault Start TimeStamp]])*24)</f>
        <v>0</v>
      </c>
      <c r="S145" s="349">
        <f>(Table6[[#This Row],[Fault Clearance time]]-Table6[[#This Row],[Work Start TimeStamp]])*24</f>
        <v>5.7333333333333325</v>
      </c>
      <c r="T145" s="350">
        <f>(Table6[[#This Row],[Fault Clearance time]]-Table6[[#This Row],[Fault Start TimeStamp]])*24</f>
        <v>5.7333333333333325</v>
      </c>
      <c r="U145" s="346" t="s">
        <v>493</v>
      </c>
      <c r="V145" s="351" t="s">
        <v>463</v>
      </c>
      <c r="W145" s="338">
        <f>Table6[[#This Row],[Breakdown Time]]*(1/39)</f>
        <v>0.14700854700854699</v>
      </c>
      <c r="X145" s="336" t="s">
        <v>465</v>
      </c>
      <c r="Y145" s="352" t="s">
        <v>131</v>
      </c>
      <c r="Z145" s="105">
        <v>15820</v>
      </c>
      <c r="AA145" s="107">
        <v>3779.2222222222213</v>
      </c>
      <c r="AB145" s="105" t="s">
        <v>478</v>
      </c>
    </row>
    <row r="146" spans="1:28">
      <c r="A146" s="105">
        <f t="shared" si="2"/>
        <v>145</v>
      </c>
      <c r="B146" s="107">
        <f>YEAR(Table6[[#This Row],[Date]])+IF(MONTH(Table6[[#This Row],[Date]])&gt;=4,1,0)</f>
        <v>2026</v>
      </c>
      <c r="C146" s="105">
        <f>YEAR(Table6[[#This Row],[Date]])</f>
        <v>2025</v>
      </c>
      <c r="D146" s="105" t="s">
        <v>490</v>
      </c>
      <c r="E146" s="119">
        <f>Table6[[#This Row],[Date]]-DAY(Table6[[#This Row],[Date]])+1</f>
        <v>45748</v>
      </c>
      <c r="F146" s="118">
        <v>45749</v>
      </c>
      <c r="G146" s="105" t="s">
        <v>130</v>
      </c>
      <c r="H146" s="39" t="str">
        <f>_xlfn.XLOOKUP(Table6[[#This Row],[Affected WTG]],'Basic Data'!$A:$A,'Basic Data'!$B:$B)</f>
        <v>PWEGPL</v>
      </c>
      <c r="I146" s="39" t="str">
        <f>_xlfn.XLOOKUP(Table6[[#This Row],[Affected WTG]],'Basic Data'!$A:$A,'Basic Data'!$C:$C)</f>
        <v>MSEDCL</v>
      </c>
      <c r="J146" s="345">
        <f>IFERROR(VLOOKUP(Table6[[#This Row],[Affected WTG]],'Basic Data'!$A$3:$E$56,5,0),"")</f>
        <v>2.564102564102564E-2</v>
      </c>
      <c r="K146" s="105">
        <v>412</v>
      </c>
      <c r="L146" s="39" t="str">
        <f>IFERROR(VLOOKUP(Table6[[#This Row],[Error Code]],'Basic Data'!$T:$U,2,0),"")</f>
        <v>Gearbox Fan Thermal Relays</v>
      </c>
      <c r="M146" s="346" t="s">
        <v>462</v>
      </c>
      <c r="N146" s="39" t="s">
        <v>1270</v>
      </c>
      <c r="O146" s="347">
        <v>0.3840277777777778</v>
      </c>
      <c r="P146" s="347">
        <v>0.3840277777777778</v>
      </c>
      <c r="Q146" s="347">
        <v>0.50069444444444444</v>
      </c>
      <c r="R146" s="348">
        <f>IF(Table6[[#This Row],[Work Start TimeStamp]]="","",(Table6[[#This Row],[Work Start TimeStamp]]-Table6[[#This Row],[Fault Start TimeStamp]])*24)</f>
        <v>0</v>
      </c>
      <c r="S146" s="349">
        <f>(Table6[[#This Row],[Fault Clearance time]]-Table6[[#This Row],[Work Start TimeStamp]])*24</f>
        <v>2.7999999999999994</v>
      </c>
      <c r="T146" s="350">
        <f>(Table6[[#This Row],[Fault Clearance time]]-Table6[[#This Row],[Fault Start TimeStamp]])*24</f>
        <v>2.7999999999999994</v>
      </c>
      <c r="U146" s="346" t="s">
        <v>493</v>
      </c>
      <c r="V146" s="351" t="s">
        <v>463</v>
      </c>
      <c r="W146" s="338">
        <f>Table6[[#This Row],[Breakdown Time]]*(1/39)</f>
        <v>7.1794871794871776E-2</v>
      </c>
      <c r="X146" s="336" t="s">
        <v>465</v>
      </c>
      <c r="Y146" s="352" t="s">
        <v>131</v>
      </c>
      <c r="Z146" s="105">
        <v>15820</v>
      </c>
      <c r="AA146" s="107">
        <v>1845.6666666666661</v>
      </c>
      <c r="AB146" s="105" t="s">
        <v>478</v>
      </c>
    </row>
    <row r="147" spans="1:28">
      <c r="A147" s="105">
        <f t="shared" si="2"/>
        <v>146</v>
      </c>
      <c r="B147" s="107">
        <f>YEAR(Table6[[#This Row],[Date]])+IF(MONTH(Table6[[#This Row],[Date]])&gt;=4,1,0)</f>
        <v>2026</v>
      </c>
      <c r="C147" s="105">
        <f>YEAR(Table6[[#This Row],[Date]])</f>
        <v>2025</v>
      </c>
      <c r="D147" s="105" t="s">
        <v>490</v>
      </c>
      <c r="E147" s="119">
        <f>Table6[[#This Row],[Date]]-DAY(Table6[[#This Row],[Date]])+1</f>
        <v>45748</v>
      </c>
      <c r="F147" s="118">
        <v>45749</v>
      </c>
      <c r="G147" s="105" t="s">
        <v>131</v>
      </c>
      <c r="H147" s="39" t="str">
        <f>_xlfn.XLOOKUP(Table6[[#This Row],[Affected WTG]],'Basic Data'!$A:$A,'Basic Data'!$B:$B)</f>
        <v>PWEGPL</v>
      </c>
      <c r="I147" s="39" t="str">
        <f>_xlfn.XLOOKUP(Table6[[#This Row],[Affected WTG]],'Basic Data'!$A:$A,'Basic Data'!$C:$C)</f>
        <v>MSEDCL</v>
      </c>
      <c r="J147" s="345">
        <f>IFERROR(VLOOKUP(Table6[[#This Row],[Affected WTG]],'Basic Data'!$A$3:$E$56,5,0),"")</f>
        <v>2.564102564102564E-2</v>
      </c>
      <c r="K147" s="105">
        <v>5201</v>
      </c>
      <c r="L147" s="39" t="str">
        <f>IFERROR(VLOOKUP(Table6[[#This Row],[Error Code]],'Basic Data'!$T:$U,2,0),"")</f>
        <v>Magnetothermic Trigger Of The Stator Protection</v>
      </c>
      <c r="M147" s="346" t="s">
        <v>462</v>
      </c>
      <c r="N147" s="39" t="s">
        <v>1270</v>
      </c>
      <c r="O147" s="347">
        <v>0</v>
      </c>
      <c r="P147" s="347">
        <v>2.7083333333333334E-2</v>
      </c>
      <c r="Q147" s="347">
        <v>4.2361111111111113E-2</v>
      </c>
      <c r="R147" s="348">
        <f>IF(Table6[[#This Row],[Work Start TimeStamp]]="","",(Table6[[#This Row],[Work Start TimeStamp]]-Table6[[#This Row],[Fault Start TimeStamp]])*24)</f>
        <v>0.65</v>
      </c>
      <c r="S147" s="349">
        <f>(Table6[[#This Row],[Fault Clearance time]]-Table6[[#This Row],[Work Start TimeStamp]])*24</f>
        <v>0.3666666666666667</v>
      </c>
      <c r="T147" s="350">
        <f>(Table6[[#This Row],[Fault Clearance time]]-Table6[[#This Row],[Fault Start TimeStamp]])*24</f>
        <v>1.0166666666666666</v>
      </c>
      <c r="U147" s="346" t="s">
        <v>491</v>
      </c>
      <c r="V147" s="351" t="s">
        <v>463</v>
      </c>
      <c r="W147" s="338">
        <f>Table6[[#This Row],[Breakdown Time]]*(1/39)</f>
        <v>2.6068376068376066E-2</v>
      </c>
      <c r="X147" s="336" t="s">
        <v>465</v>
      </c>
      <c r="Y147" s="352" t="s">
        <v>130</v>
      </c>
      <c r="Z147" s="105">
        <v>7036</v>
      </c>
      <c r="AA147" s="107">
        <v>298.05277777777781</v>
      </c>
      <c r="AB147" s="105" t="s">
        <v>478</v>
      </c>
    </row>
    <row r="148" spans="1:28">
      <c r="A148" s="105">
        <f t="shared" si="2"/>
        <v>147</v>
      </c>
      <c r="B148" s="107">
        <f>YEAR(Table6[[#This Row],[Date]])+IF(MONTH(Table6[[#This Row],[Date]])&gt;=4,1,0)</f>
        <v>2026</v>
      </c>
      <c r="C148" s="105">
        <f>YEAR(Table6[[#This Row],[Date]])</f>
        <v>2025</v>
      </c>
      <c r="D148" s="105" t="s">
        <v>490</v>
      </c>
      <c r="E148" s="119">
        <f>Table6[[#This Row],[Date]]-DAY(Table6[[#This Row],[Date]])+1</f>
        <v>45748</v>
      </c>
      <c r="F148" s="118">
        <v>45749</v>
      </c>
      <c r="G148" s="105" t="s">
        <v>131</v>
      </c>
      <c r="H148" s="39" t="str">
        <f>_xlfn.XLOOKUP(Table6[[#This Row],[Affected WTG]],'Basic Data'!$A:$A,'Basic Data'!$B:$B)</f>
        <v>PWEGPL</v>
      </c>
      <c r="I148" s="39" t="str">
        <f>_xlfn.XLOOKUP(Table6[[#This Row],[Affected WTG]],'Basic Data'!$A:$A,'Basic Data'!$C:$C)</f>
        <v>MSEDCL</v>
      </c>
      <c r="J148" s="345">
        <f>IFERROR(VLOOKUP(Table6[[#This Row],[Affected WTG]],'Basic Data'!$A$3:$E$56,5,0),"")</f>
        <v>2.564102564102564E-2</v>
      </c>
      <c r="K148" s="105">
        <v>5201</v>
      </c>
      <c r="L148" s="39" t="str">
        <f>IFERROR(VLOOKUP(Table6[[#This Row],[Error Code]],'Basic Data'!$T:$U,2,0),"")</f>
        <v>Magnetothermic Trigger Of The Stator Protection</v>
      </c>
      <c r="M148" s="346" t="s">
        <v>462</v>
      </c>
      <c r="N148" s="39" t="s">
        <v>1270</v>
      </c>
      <c r="O148" s="347">
        <v>0.33611111111111114</v>
      </c>
      <c r="P148" s="347">
        <v>0.33611111111111114</v>
      </c>
      <c r="Q148" s="347">
        <v>0.33958333333333335</v>
      </c>
      <c r="R148" s="348">
        <f>IF(Table6[[#This Row],[Work Start TimeStamp]]="","",(Table6[[#This Row],[Work Start TimeStamp]]-Table6[[#This Row],[Fault Start TimeStamp]])*24)</f>
        <v>0</v>
      </c>
      <c r="S148" s="349">
        <f>(Table6[[#This Row],[Fault Clearance time]]-Table6[[#This Row],[Work Start TimeStamp]])*24</f>
        <v>8.3333333333333037E-2</v>
      </c>
      <c r="T148" s="350">
        <f>(Table6[[#This Row],[Fault Clearance time]]-Table6[[#This Row],[Fault Start TimeStamp]])*24</f>
        <v>8.3333333333333037E-2</v>
      </c>
      <c r="U148" s="346" t="s">
        <v>480</v>
      </c>
      <c r="V148" s="351" t="s">
        <v>463</v>
      </c>
      <c r="W148" s="338">
        <f>Table6[[#This Row],[Breakdown Time]]*(1/39)</f>
        <v>2.1367521367521292E-3</v>
      </c>
      <c r="X148" s="336" t="s">
        <v>465</v>
      </c>
      <c r="Y148" s="352" t="s">
        <v>130</v>
      </c>
      <c r="Z148" s="105">
        <v>7036</v>
      </c>
      <c r="AA148" s="107">
        <v>24.430555555555472</v>
      </c>
      <c r="AB148" s="105" t="s">
        <v>478</v>
      </c>
    </row>
    <row r="149" spans="1:28">
      <c r="A149" s="105">
        <f t="shared" si="2"/>
        <v>148</v>
      </c>
      <c r="B149" s="107">
        <f>YEAR(Table6[[#This Row],[Date]])+IF(MONTH(Table6[[#This Row],[Date]])&gt;=4,1,0)</f>
        <v>2026</v>
      </c>
      <c r="C149" s="105">
        <f>YEAR(Table6[[#This Row],[Date]])</f>
        <v>2025</v>
      </c>
      <c r="D149" s="105" t="s">
        <v>490</v>
      </c>
      <c r="E149" s="119">
        <f>Table6[[#This Row],[Date]]-DAY(Table6[[#This Row],[Date]])+1</f>
        <v>45748</v>
      </c>
      <c r="F149" s="118">
        <v>45749</v>
      </c>
      <c r="G149" s="105" t="s">
        <v>132</v>
      </c>
      <c r="H149" s="39" t="str">
        <f>_xlfn.XLOOKUP(Table6[[#This Row],[Affected WTG]],'Basic Data'!$A:$A,'Basic Data'!$B:$B)</f>
        <v>PWEGPL</v>
      </c>
      <c r="I149" s="39" t="str">
        <f>_xlfn.XLOOKUP(Table6[[#This Row],[Affected WTG]],'Basic Data'!$A:$A,'Basic Data'!$C:$C)</f>
        <v>MSEDCL</v>
      </c>
      <c r="J149" s="345">
        <f>IFERROR(VLOOKUP(Table6[[#This Row],[Affected WTG]],'Basic Data'!$A$3:$E$56,5,0),"")</f>
        <v>2.564102564102564E-2</v>
      </c>
      <c r="K149" s="105">
        <v>812</v>
      </c>
      <c r="L149" s="39" t="str">
        <f>IFERROR(VLOOKUP(Table6[[#This Row],[Error Code]],'Basic Data'!$T:$U,2,0),"")</f>
        <v>Blade Position Meas. Error</v>
      </c>
      <c r="M149" s="346" t="s">
        <v>462</v>
      </c>
      <c r="N149" s="39" t="s">
        <v>1270</v>
      </c>
      <c r="O149" s="347">
        <v>0.33958333333333335</v>
      </c>
      <c r="P149" s="347">
        <v>0.33958333333333335</v>
      </c>
      <c r="Q149" s="347">
        <v>0.34305555555555556</v>
      </c>
      <c r="R149" s="348">
        <f>IF(Table6[[#This Row],[Work Start TimeStamp]]="","",(Table6[[#This Row],[Work Start TimeStamp]]-Table6[[#This Row],[Fault Start TimeStamp]])*24)</f>
        <v>0</v>
      </c>
      <c r="S149" s="349">
        <f>(Table6[[#This Row],[Fault Clearance time]]-Table6[[#This Row],[Work Start TimeStamp]])*24</f>
        <v>8.3333333333333037E-2</v>
      </c>
      <c r="T149" s="350">
        <f>(Table6[[#This Row],[Fault Clearance time]]-Table6[[#This Row],[Fault Start TimeStamp]])*24</f>
        <v>8.3333333333333037E-2</v>
      </c>
      <c r="U149" s="346" t="s">
        <v>480</v>
      </c>
      <c r="V149" s="351" t="s">
        <v>463</v>
      </c>
      <c r="W149" s="338">
        <f>Table6[[#This Row],[Breakdown Time]]*(1/39)</f>
        <v>2.1367521367521292E-3</v>
      </c>
      <c r="X149" s="336" t="s">
        <v>465</v>
      </c>
      <c r="Y149" s="352" t="s">
        <v>133</v>
      </c>
      <c r="Z149" s="105">
        <v>17394</v>
      </c>
      <c r="AA149" s="107">
        <v>60.395833333333115</v>
      </c>
      <c r="AB149" s="105" t="s">
        <v>478</v>
      </c>
    </row>
    <row r="150" spans="1:28">
      <c r="A150" s="105">
        <f t="shared" si="2"/>
        <v>149</v>
      </c>
      <c r="B150" s="107">
        <f>YEAR(Table6[[#This Row],[Date]])+IF(MONTH(Table6[[#This Row],[Date]])&gt;=4,1,0)</f>
        <v>2026</v>
      </c>
      <c r="C150" s="105">
        <f>YEAR(Table6[[#This Row],[Date]])</f>
        <v>2025</v>
      </c>
      <c r="D150" s="105" t="s">
        <v>490</v>
      </c>
      <c r="E150" s="119">
        <f>Table6[[#This Row],[Date]]-DAY(Table6[[#This Row],[Date]])+1</f>
        <v>45748</v>
      </c>
      <c r="F150" s="118">
        <v>45749</v>
      </c>
      <c r="G150" s="105" t="s">
        <v>136</v>
      </c>
      <c r="H150" s="39" t="str">
        <f>_xlfn.XLOOKUP(Table6[[#This Row],[Affected WTG]],'Basic Data'!$A:$A,'Basic Data'!$B:$B)</f>
        <v>PWEGPL</v>
      </c>
      <c r="I150" s="39" t="str">
        <f>_xlfn.XLOOKUP(Table6[[#This Row],[Affected WTG]],'Basic Data'!$A:$A,'Basic Data'!$C:$C)</f>
        <v>MSEDCL</v>
      </c>
      <c r="J150" s="345">
        <f>IFERROR(VLOOKUP(Table6[[#This Row],[Affected WTG]],'Basic Data'!$A$3:$E$56,5,0),"")</f>
        <v>2.564102564102564E-2</v>
      </c>
      <c r="K150" s="105">
        <v>5228</v>
      </c>
      <c r="L150" s="39" t="str">
        <f>IFERROR(VLOOKUP(Table6[[#This Row],[Error Code]],'Basic Data'!$T:$U,2,0),"")</f>
        <v>Preload Failure</v>
      </c>
      <c r="M150" s="346" t="s">
        <v>462</v>
      </c>
      <c r="N150" s="39" t="s">
        <v>1270</v>
      </c>
      <c r="O150" s="347">
        <v>0</v>
      </c>
      <c r="P150" s="347">
        <v>0.43472222222222223</v>
      </c>
      <c r="Q150" s="347">
        <v>0.45416666666666666</v>
      </c>
      <c r="R150" s="348">
        <f>IF(Table6[[#This Row],[Work Start TimeStamp]]="","",(Table6[[#This Row],[Work Start TimeStamp]]-Table6[[#This Row],[Fault Start TimeStamp]])*24)</f>
        <v>10.433333333333334</v>
      </c>
      <c r="S150" s="349">
        <f>(Table6[[#This Row],[Fault Clearance time]]-Table6[[#This Row],[Work Start TimeStamp]])*24</f>
        <v>0.46666666666666634</v>
      </c>
      <c r="T150" s="350">
        <f>(Table6[[#This Row],[Fault Clearance time]]-Table6[[#This Row],[Fault Start TimeStamp]])*24</f>
        <v>10.9</v>
      </c>
      <c r="U150" s="346" t="s">
        <v>527</v>
      </c>
      <c r="V150" s="351" t="s">
        <v>463</v>
      </c>
      <c r="W150" s="338">
        <f>Table6[[#This Row],[Breakdown Time]]*(1/39)</f>
        <v>0.27948717948717949</v>
      </c>
      <c r="X150" s="336" t="s">
        <v>465</v>
      </c>
      <c r="Y150" s="352" t="s">
        <v>119</v>
      </c>
      <c r="Z150" s="105">
        <v>11540</v>
      </c>
      <c r="AA150" s="107">
        <v>5241.083333333333</v>
      </c>
      <c r="AB150" s="105" t="s">
        <v>478</v>
      </c>
    </row>
    <row r="151" spans="1:28">
      <c r="A151" s="105">
        <f t="shared" si="2"/>
        <v>150</v>
      </c>
      <c r="B151" s="107">
        <f>YEAR(Table6[[#This Row],[Date]])+IF(MONTH(Table6[[#This Row],[Date]])&gt;=4,1,0)</f>
        <v>2026</v>
      </c>
      <c r="C151" s="105">
        <f>YEAR(Table6[[#This Row],[Date]])</f>
        <v>2025</v>
      </c>
      <c r="D151" s="105" t="s">
        <v>490</v>
      </c>
      <c r="E151" s="119">
        <f>Table6[[#This Row],[Date]]-DAY(Table6[[#This Row],[Date]])+1</f>
        <v>45748</v>
      </c>
      <c r="F151" s="118">
        <v>45749</v>
      </c>
      <c r="G151" s="105" t="s">
        <v>136</v>
      </c>
      <c r="H151" s="39" t="str">
        <f>_xlfn.XLOOKUP(Table6[[#This Row],[Affected WTG]],'Basic Data'!$A:$A,'Basic Data'!$B:$B)</f>
        <v>PWEGPL</v>
      </c>
      <c r="I151" s="39" t="str">
        <f>_xlfn.XLOOKUP(Table6[[#This Row],[Affected WTG]],'Basic Data'!$A:$A,'Basic Data'!$C:$C)</f>
        <v>MSEDCL</v>
      </c>
      <c r="J151" s="345">
        <f>IFERROR(VLOOKUP(Table6[[#This Row],[Affected WTG]],'Basic Data'!$A$3:$E$56,5,0),"")</f>
        <v>2.564102564102564E-2</v>
      </c>
      <c r="K151" s="105">
        <v>800</v>
      </c>
      <c r="L151" s="39" t="str">
        <f>IFERROR(VLOOKUP(Table6[[#This Row],[Error Code]],'Basic Data'!$T:$U,2,0),"")</f>
        <v>Pitch Drive Error</v>
      </c>
      <c r="M151" s="346" t="s">
        <v>462</v>
      </c>
      <c r="N151" s="39" t="s">
        <v>1270</v>
      </c>
      <c r="O151" s="347">
        <v>0.50972222222222219</v>
      </c>
      <c r="P151" s="347">
        <v>0.50972222222222219</v>
      </c>
      <c r="Q151" s="347">
        <v>0.51666666666666672</v>
      </c>
      <c r="R151" s="348">
        <f>IF(Table6[[#This Row],[Work Start TimeStamp]]="","",(Table6[[#This Row],[Work Start TimeStamp]]-Table6[[#This Row],[Fault Start TimeStamp]])*24)</f>
        <v>0</v>
      </c>
      <c r="S151" s="349">
        <f>(Table6[[#This Row],[Fault Clearance time]]-Table6[[#This Row],[Work Start TimeStamp]])*24</f>
        <v>0.16666666666666874</v>
      </c>
      <c r="T151" s="350">
        <f>(Table6[[#This Row],[Fault Clearance time]]-Table6[[#This Row],[Fault Start TimeStamp]])*24</f>
        <v>0.16666666666666874</v>
      </c>
      <c r="U151" s="346" t="s">
        <v>480</v>
      </c>
      <c r="V151" s="351" t="s">
        <v>463</v>
      </c>
      <c r="W151" s="338">
        <f>Table6[[#This Row],[Breakdown Time]]*(1/39)</f>
        <v>4.2735042735043268E-3</v>
      </c>
      <c r="X151" s="336" t="s">
        <v>465</v>
      </c>
      <c r="Y151" s="352" t="s">
        <v>119</v>
      </c>
      <c r="Z151" s="105">
        <v>11540</v>
      </c>
      <c r="AA151" s="107">
        <v>80.13888888888988</v>
      </c>
      <c r="AB151" s="105" t="s">
        <v>478</v>
      </c>
    </row>
    <row r="152" spans="1:28">
      <c r="A152" s="105">
        <f t="shared" si="2"/>
        <v>151</v>
      </c>
      <c r="B152" s="107">
        <f>YEAR(Table6[[#This Row],[Date]])+IF(MONTH(Table6[[#This Row],[Date]])&gt;=4,1,0)</f>
        <v>2026</v>
      </c>
      <c r="C152" s="105">
        <f>YEAR(Table6[[#This Row],[Date]])</f>
        <v>2025</v>
      </c>
      <c r="D152" s="105" t="s">
        <v>490</v>
      </c>
      <c r="E152" s="119">
        <f>Table6[[#This Row],[Date]]-DAY(Table6[[#This Row],[Date]])+1</f>
        <v>45748</v>
      </c>
      <c r="F152" s="118">
        <v>45749</v>
      </c>
      <c r="G152" s="105" t="s">
        <v>136</v>
      </c>
      <c r="H152" s="39" t="str">
        <f>_xlfn.XLOOKUP(Table6[[#This Row],[Affected WTG]],'Basic Data'!$A:$A,'Basic Data'!$B:$B)</f>
        <v>PWEGPL</v>
      </c>
      <c r="I152" s="39" t="str">
        <f>_xlfn.XLOOKUP(Table6[[#This Row],[Affected WTG]],'Basic Data'!$A:$A,'Basic Data'!$C:$C)</f>
        <v>MSEDCL</v>
      </c>
      <c r="J152" s="345">
        <f>IFERROR(VLOOKUP(Table6[[#This Row],[Affected WTG]],'Basic Data'!$A$3:$E$56,5,0),"")</f>
        <v>2.564102564102564E-2</v>
      </c>
      <c r="K152" s="105">
        <v>5201</v>
      </c>
      <c r="L152" s="39" t="str">
        <f>IFERROR(VLOOKUP(Table6[[#This Row],[Error Code]],'Basic Data'!$T:$U,2,0),"")</f>
        <v>Magnetothermic Trigger Of The Stator Protection</v>
      </c>
      <c r="M152" s="346" t="s">
        <v>462</v>
      </c>
      <c r="N152" s="39" t="s">
        <v>1270</v>
      </c>
      <c r="O152" s="347">
        <v>0.56874999999999998</v>
      </c>
      <c r="P152" s="347">
        <v>0.56874999999999998</v>
      </c>
      <c r="Q152" s="347">
        <v>0.61736111111111114</v>
      </c>
      <c r="R152" s="348">
        <f>IF(Table6[[#This Row],[Work Start TimeStamp]]="","",(Table6[[#This Row],[Work Start TimeStamp]]-Table6[[#This Row],[Fault Start TimeStamp]])*24)</f>
        <v>0</v>
      </c>
      <c r="S152" s="349">
        <f>(Table6[[#This Row],[Fault Clearance time]]-Table6[[#This Row],[Work Start TimeStamp]])*24</f>
        <v>1.1666666666666679</v>
      </c>
      <c r="T152" s="350">
        <f>(Table6[[#This Row],[Fault Clearance time]]-Table6[[#This Row],[Fault Start TimeStamp]])*24</f>
        <v>1.1666666666666679</v>
      </c>
      <c r="U152" s="346" t="s">
        <v>493</v>
      </c>
      <c r="V152" s="351" t="s">
        <v>463</v>
      </c>
      <c r="W152" s="338">
        <f>Table6[[#This Row],[Breakdown Time]]*(1/39)</f>
        <v>2.9914529914529944E-2</v>
      </c>
      <c r="X152" s="336" t="s">
        <v>465</v>
      </c>
      <c r="Y152" s="352" t="s">
        <v>119</v>
      </c>
      <c r="Z152" s="105">
        <v>11540</v>
      </c>
      <c r="AA152" s="107">
        <v>560.97222222222274</v>
      </c>
      <c r="AB152" s="105" t="s">
        <v>478</v>
      </c>
    </row>
    <row r="153" spans="1:28">
      <c r="A153" s="105">
        <f t="shared" si="2"/>
        <v>152</v>
      </c>
      <c r="B153" s="107">
        <f>YEAR(Table6[[#This Row],[Date]])+IF(MONTH(Table6[[#This Row],[Date]])&gt;=4,1,0)</f>
        <v>2026</v>
      </c>
      <c r="C153" s="105">
        <f>YEAR(Table6[[#This Row],[Date]])</f>
        <v>2025</v>
      </c>
      <c r="D153" s="105" t="s">
        <v>490</v>
      </c>
      <c r="E153" s="119">
        <f>Table6[[#This Row],[Date]]-DAY(Table6[[#This Row],[Date]])+1</f>
        <v>45748</v>
      </c>
      <c r="F153" s="118">
        <v>45749</v>
      </c>
      <c r="G153" s="105" t="s">
        <v>136</v>
      </c>
      <c r="H153" s="39" t="str">
        <f>_xlfn.XLOOKUP(Table6[[#This Row],[Affected WTG]],'Basic Data'!$A:$A,'Basic Data'!$B:$B)</f>
        <v>PWEGPL</v>
      </c>
      <c r="I153" s="39" t="str">
        <f>_xlfn.XLOOKUP(Table6[[#This Row],[Affected WTG]],'Basic Data'!$A:$A,'Basic Data'!$C:$C)</f>
        <v>MSEDCL</v>
      </c>
      <c r="J153" s="345">
        <f>IFERROR(VLOOKUP(Table6[[#This Row],[Affected WTG]],'Basic Data'!$A$3:$E$56,5,0),"")</f>
        <v>2.564102564102564E-2</v>
      </c>
      <c r="K153" s="105" t="s">
        <v>492</v>
      </c>
      <c r="L153" s="39" t="str">
        <f>IFERROR(VLOOKUP(Table6[[#This Row],[Error Code]],'Basic Data'!$T:$U,2,0),"")</f>
        <v>Manual Stop - Safety Related</v>
      </c>
      <c r="M153" s="346" t="s">
        <v>481</v>
      </c>
      <c r="N153" s="39" t="s">
        <v>230</v>
      </c>
      <c r="O153" s="347">
        <v>0.61736111111111114</v>
      </c>
      <c r="P153" s="347">
        <v>0.61736111111111114</v>
      </c>
      <c r="Q153" s="347">
        <v>0.74444444444444446</v>
      </c>
      <c r="R153" s="348">
        <f>IF(Table6[[#This Row],[Work Start TimeStamp]]="","",(Table6[[#This Row],[Work Start TimeStamp]]-Table6[[#This Row],[Fault Start TimeStamp]])*24)</f>
        <v>0</v>
      </c>
      <c r="S153" s="349">
        <f>(Table6[[#This Row],[Fault Clearance time]]-Table6[[#This Row],[Work Start TimeStamp]])*24</f>
        <v>3.05</v>
      </c>
      <c r="T153" s="350">
        <f>(Table6[[#This Row],[Fault Clearance time]]-Table6[[#This Row],[Fault Start TimeStamp]])*24</f>
        <v>3.05</v>
      </c>
      <c r="U153" s="346" t="s">
        <v>508</v>
      </c>
      <c r="V153" s="351" t="s">
        <v>463</v>
      </c>
      <c r="W153" s="338">
        <f>Table6[[#This Row],[Breakdown Time]]*(1/39)</f>
        <v>7.8205128205128191E-2</v>
      </c>
      <c r="X153" s="336" t="s">
        <v>468</v>
      </c>
      <c r="Y153" s="352" t="s">
        <v>119</v>
      </c>
      <c r="Z153" s="105">
        <v>11540</v>
      </c>
      <c r="AA153" s="107">
        <v>1466.5416666666665</v>
      </c>
      <c r="AB153" s="105" t="s">
        <v>478</v>
      </c>
    </row>
    <row r="154" spans="1:28">
      <c r="A154" s="105">
        <f t="shared" si="2"/>
        <v>153</v>
      </c>
      <c r="B154" s="107">
        <f>YEAR(Table6[[#This Row],[Date]])+IF(MONTH(Table6[[#This Row],[Date]])&gt;=4,1,0)</f>
        <v>2026</v>
      </c>
      <c r="C154" s="105">
        <f>YEAR(Table6[[#This Row],[Date]])</f>
        <v>2025</v>
      </c>
      <c r="D154" s="105" t="s">
        <v>490</v>
      </c>
      <c r="E154" s="119">
        <f>Table6[[#This Row],[Date]]-DAY(Table6[[#This Row],[Date]])+1</f>
        <v>45748</v>
      </c>
      <c r="F154" s="118">
        <v>45749</v>
      </c>
      <c r="G154" s="105" t="s">
        <v>136</v>
      </c>
      <c r="H154" s="39" t="str">
        <f>_xlfn.XLOOKUP(Table6[[#This Row],[Affected WTG]],'Basic Data'!$A:$A,'Basic Data'!$B:$B)</f>
        <v>PWEGPL</v>
      </c>
      <c r="I154" s="39" t="str">
        <f>_xlfn.XLOOKUP(Table6[[#This Row],[Affected WTG]],'Basic Data'!$A:$A,'Basic Data'!$C:$C)</f>
        <v>MSEDCL</v>
      </c>
      <c r="J154" s="345">
        <f>IFERROR(VLOOKUP(Table6[[#This Row],[Affected WTG]],'Basic Data'!$A$3:$E$56,5,0),"")</f>
        <v>2.564102564102564E-2</v>
      </c>
      <c r="K154" s="105">
        <v>2106</v>
      </c>
      <c r="L154" s="39" t="str">
        <f>IFERROR(VLOOKUP(Table6[[#This Row],[Error Code]],'Basic Data'!$T:$U,2,0),"")</f>
        <v>Temp. Measurement Module Failure</v>
      </c>
      <c r="M154" s="346" t="s">
        <v>462</v>
      </c>
      <c r="N154" s="39" t="s">
        <v>1270</v>
      </c>
      <c r="O154" s="347">
        <v>0.78680555555555554</v>
      </c>
      <c r="P154" s="347">
        <v>0.93680555555555556</v>
      </c>
      <c r="Q154" s="347">
        <v>0.94097222222222221</v>
      </c>
      <c r="R154" s="348">
        <f>IF(Table6[[#This Row],[Work Start TimeStamp]]="","",(Table6[[#This Row],[Work Start TimeStamp]]-Table6[[#This Row],[Fault Start TimeStamp]])*24)</f>
        <v>3.6000000000000005</v>
      </c>
      <c r="S154" s="349">
        <f>(Table6[[#This Row],[Fault Clearance time]]-Table6[[#This Row],[Work Start TimeStamp]])*24</f>
        <v>9.9999999999999645E-2</v>
      </c>
      <c r="T154" s="350">
        <f>(Table6[[#This Row],[Fault Clearance time]]-Table6[[#This Row],[Fault Start TimeStamp]])*24</f>
        <v>3.7</v>
      </c>
      <c r="U154" s="346" t="s">
        <v>491</v>
      </c>
      <c r="V154" s="351" t="s">
        <v>463</v>
      </c>
      <c r="W154" s="338">
        <f>Table6[[#This Row],[Breakdown Time]]*(1/39)</f>
        <v>9.4871794871794868E-2</v>
      </c>
      <c r="X154" s="336" t="s">
        <v>465</v>
      </c>
      <c r="Y154" s="352" t="s">
        <v>119</v>
      </c>
      <c r="Z154" s="105">
        <v>11540</v>
      </c>
      <c r="AA154" s="107">
        <v>1779.0833333333333</v>
      </c>
      <c r="AB154" s="105" t="s">
        <v>478</v>
      </c>
    </row>
    <row r="155" spans="1:28">
      <c r="A155" s="105">
        <f t="shared" si="2"/>
        <v>154</v>
      </c>
      <c r="B155" s="107">
        <f>YEAR(Table6[[#This Row],[Date]])+IF(MONTH(Table6[[#This Row],[Date]])&gt;=4,1,0)</f>
        <v>2026</v>
      </c>
      <c r="C155" s="105">
        <f>YEAR(Table6[[#This Row],[Date]])</f>
        <v>2025</v>
      </c>
      <c r="D155" s="105" t="s">
        <v>490</v>
      </c>
      <c r="E155" s="119">
        <f>Table6[[#This Row],[Date]]-DAY(Table6[[#This Row],[Date]])+1</f>
        <v>45748</v>
      </c>
      <c r="F155" s="118">
        <v>45749</v>
      </c>
      <c r="G155" s="105" t="s">
        <v>139</v>
      </c>
      <c r="H155" s="39" t="str">
        <f>_xlfn.XLOOKUP(Table6[[#This Row],[Affected WTG]],'Basic Data'!$A:$A,'Basic Data'!$B:$B)</f>
        <v>PWEGPL</v>
      </c>
      <c r="I155" s="39" t="str">
        <f>_xlfn.XLOOKUP(Table6[[#This Row],[Affected WTG]],'Basic Data'!$A:$A,'Basic Data'!$C:$C)</f>
        <v>MSEDCL</v>
      </c>
      <c r="J155" s="345">
        <f>IFERROR(VLOOKUP(Table6[[#This Row],[Affected WTG]],'Basic Data'!$A$3:$E$56,5,0),"")</f>
        <v>2.564102564102564E-2</v>
      </c>
      <c r="K155" s="105">
        <v>5201</v>
      </c>
      <c r="L155" s="39" t="str">
        <f>IFERROR(VLOOKUP(Table6[[#This Row],[Error Code]],'Basic Data'!$T:$U,2,0),"")</f>
        <v>Magnetothermic Trigger Of The Stator Protection</v>
      </c>
      <c r="M155" s="346" t="s">
        <v>462</v>
      </c>
      <c r="N155" s="39" t="s">
        <v>1270</v>
      </c>
      <c r="O155" s="347">
        <v>0.23125000000000001</v>
      </c>
      <c r="P155" s="347">
        <v>0.23125000000000001</v>
      </c>
      <c r="Q155" s="347">
        <v>0.23472222222222222</v>
      </c>
      <c r="R155" s="348">
        <f>IF(Table6[[#This Row],[Work Start TimeStamp]]="","",(Table6[[#This Row],[Work Start TimeStamp]]-Table6[[#This Row],[Fault Start TimeStamp]])*24)</f>
        <v>0</v>
      </c>
      <c r="S155" s="349">
        <f>(Table6[[#This Row],[Fault Clearance time]]-Table6[[#This Row],[Work Start TimeStamp]])*24</f>
        <v>8.3333333333333037E-2</v>
      </c>
      <c r="T155" s="350">
        <f>(Table6[[#This Row],[Fault Clearance time]]-Table6[[#This Row],[Fault Start TimeStamp]])*24</f>
        <v>8.3333333333333037E-2</v>
      </c>
      <c r="U155" s="346" t="s">
        <v>480</v>
      </c>
      <c r="V155" s="351" t="s">
        <v>463</v>
      </c>
      <c r="W155" s="338">
        <f>Table6[[#This Row],[Breakdown Time]]*(1/39)</f>
        <v>2.1367521367521292E-3</v>
      </c>
      <c r="X155" s="336" t="s">
        <v>465</v>
      </c>
      <c r="Y155" s="352" t="s">
        <v>145</v>
      </c>
      <c r="Z155" s="105">
        <v>2722</v>
      </c>
      <c r="AA155" s="107">
        <v>9.4513888888888555</v>
      </c>
      <c r="AB155" s="105" t="s">
        <v>478</v>
      </c>
    </row>
    <row r="156" spans="1:28">
      <c r="A156" s="105">
        <f t="shared" si="2"/>
        <v>155</v>
      </c>
      <c r="B156" s="107">
        <f>YEAR(Table6[[#This Row],[Date]])+IF(MONTH(Table6[[#This Row],[Date]])&gt;=4,1,0)</f>
        <v>2026</v>
      </c>
      <c r="C156" s="105">
        <f>YEAR(Table6[[#This Row],[Date]])</f>
        <v>2025</v>
      </c>
      <c r="D156" s="105" t="s">
        <v>490</v>
      </c>
      <c r="E156" s="119">
        <f>Table6[[#This Row],[Date]]-DAY(Table6[[#This Row],[Date]])+1</f>
        <v>45748</v>
      </c>
      <c r="F156" s="118">
        <v>45749</v>
      </c>
      <c r="G156" s="105" t="s">
        <v>139</v>
      </c>
      <c r="H156" s="39" t="str">
        <f>_xlfn.XLOOKUP(Table6[[#This Row],[Affected WTG]],'Basic Data'!$A:$A,'Basic Data'!$B:$B)</f>
        <v>PWEGPL</v>
      </c>
      <c r="I156" s="39" t="str">
        <f>_xlfn.XLOOKUP(Table6[[#This Row],[Affected WTG]],'Basic Data'!$A:$A,'Basic Data'!$C:$C)</f>
        <v>MSEDCL</v>
      </c>
      <c r="J156" s="345">
        <f>IFERROR(VLOOKUP(Table6[[#This Row],[Affected WTG]],'Basic Data'!$A$3:$E$56,5,0),"")</f>
        <v>2.564102564102564E-2</v>
      </c>
      <c r="K156" s="105">
        <v>5201</v>
      </c>
      <c r="L156" s="39" t="str">
        <f>IFERROR(VLOOKUP(Table6[[#This Row],[Error Code]],'Basic Data'!$T:$U,2,0),"")</f>
        <v>Magnetothermic Trigger Of The Stator Protection</v>
      </c>
      <c r="M156" s="346" t="s">
        <v>462</v>
      </c>
      <c r="N156" s="39" t="s">
        <v>1270</v>
      </c>
      <c r="O156" s="347">
        <v>0.45</v>
      </c>
      <c r="P156" s="347">
        <v>0.45</v>
      </c>
      <c r="Q156" s="347">
        <v>0.45347222222222222</v>
      </c>
      <c r="R156" s="348">
        <f>IF(Table6[[#This Row],[Work Start TimeStamp]]="","",(Table6[[#This Row],[Work Start TimeStamp]]-Table6[[#This Row],[Fault Start TimeStamp]])*24)</f>
        <v>0</v>
      </c>
      <c r="S156" s="349">
        <f>(Table6[[#This Row],[Fault Clearance time]]-Table6[[#This Row],[Work Start TimeStamp]])*24</f>
        <v>8.3333333333333037E-2</v>
      </c>
      <c r="T156" s="350">
        <f>(Table6[[#This Row],[Fault Clearance time]]-Table6[[#This Row],[Fault Start TimeStamp]])*24</f>
        <v>8.3333333333333037E-2</v>
      </c>
      <c r="U156" s="346" t="s">
        <v>480</v>
      </c>
      <c r="V156" s="351" t="s">
        <v>463</v>
      </c>
      <c r="W156" s="338">
        <f>Table6[[#This Row],[Breakdown Time]]*(1/39)</f>
        <v>2.1367521367521292E-3</v>
      </c>
      <c r="X156" s="336" t="s">
        <v>465</v>
      </c>
      <c r="Y156" s="352" t="s">
        <v>145</v>
      </c>
      <c r="Z156" s="105">
        <v>2722</v>
      </c>
      <c r="AA156" s="107">
        <v>9.4513888888888555</v>
      </c>
      <c r="AB156" s="105" t="s">
        <v>478</v>
      </c>
    </row>
    <row r="157" spans="1:28">
      <c r="A157" s="105">
        <f t="shared" si="2"/>
        <v>156</v>
      </c>
      <c r="B157" s="107">
        <f>YEAR(Table6[[#This Row],[Date]])+IF(MONTH(Table6[[#This Row],[Date]])&gt;=4,1,0)</f>
        <v>2026</v>
      </c>
      <c r="C157" s="105">
        <f>YEAR(Table6[[#This Row],[Date]])</f>
        <v>2025</v>
      </c>
      <c r="D157" s="105" t="s">
        <v>490</v>
      </c>
      <c r="E157" s="119">
        <f>Table6[[#This Row],[Date]]-DAY(Table6[[#This Row],[Date]])+1</f>
        <v>45748</v>
      </c>
      <c r="F157" s="118">
        <v>45749</v>
      </c>
      <c r="G157" s="105" t="s">
        <v>139</v>
      </c>
      <c r="H157" s="39" t="str">
        <f>_xlfn.XLOOKUP(Table6[[#This Row],[Affected WTG]],'Basic Data'!$A:$A,'Basic Data'!$B:$B)</f>
        <v>PWEGPL</v>
      </c>
      <c r="I157" s="39" t="str">
        <f>_xlfn.XLOOKUP(Table6[[#This Row],[Affected WTG]],'Basic Data'!$A:$A,'Basic Data'!$C:$C)</f>
        <v>MSEDCL</v>
      </c>
      <c r="J157" s="345">
        <f>IFERROR(VLOOKUP(Table6[[#This Row],[Affected WTG]],'Basic Data'!$A$3:$E$56,5,0),"")</f>
        <v>2.564102564102564E-2</v>
      </c>
      <c r="K157" s="105">
        <v>5201</v>
      </c>
      <c r="L157" s="39" t="str">
        <f>IFERROR(VLOOKUP(Table6[[#This Row],[Error Code]],'Basic Data'!$T:$U,2,0),"")</f>
        <v>Magnetothermic Trigger Of The Stator Protection</v>
      </c>
      <c r="M157" s="346" t="s">
        <v>462</v>
      </c>
      <c r="N157" s="39" t="s">
        <v>1270</v>
      </c>
      <c r="O157" s="347">
        <v>0.53402777777777777</v>
      </c>
      <c r="P157" s="347">
        <v>0.53402777777777777</v>
      </c>
      <c r="Q157" s="347">
        <v>0.53749999999999998</v>
      </c>
      <c r="R157" s="348">
        <f>IF(Table6[[#This Row],[Work Start TimeStamp]]="","",(Table6[[#This Row],[Work Start TimeStamp]]-Table6[[#This Row],[Fault Start TimeStamp]])*24)</f>
        <v>0</v>
      </c>
      <c r="S157" s="349">
        <f>(Table6[[#This Row],[Fault Clearance time]]-Table6[[#This Row],[Work Start TimeStamp]])*24</f>
        <v>8.3333333333333037E-2</v>
      </c>
      <c r="T157" s="350">
        <f>(Table6[[#This Row],[Fault Clearance time]]-Table6[[#This Row],[Fault Start TimeStamp]])*24</f>
        <v>8.3333333333333037E-2</v>
      </c>
      <c r="U157" s="346" t="s">
        <v>480</v>
      </c>
      <c r="V157" s="351" t="s">
        <v>463</v>
      </c>
      <c r="W157" s="338">
        <f>Table6[[#This Row],[Breakdown Time]]*(1/39)</f>
        <v>2.1367521367521292E-3</v>
      </c>
      <c r="X157" s="336" t="s">
        <v>465</v>
      </c>
      <c r="Y157" s="352" t="s">
        <v>145</v>
      </c>
      <c r="Z157" s="105">
        <v>2722</v>
      </c>
      <c r="AA157" s="107">
        <v>9.4513888888888555</v>
      </c>
      <c r="AB157" s="105" t="s">
        <v>478</v>
      </c>
    </row>
    <row r="158" spans="1:28">
      <c r="A158" s="105">
        <f t="shared" si="2"/>
        <v>157</v>
      </c>
      <c r="B158" s="107">
        <f>YEAR(Table6[[#This Row],[Date]])+IF(MONTH(Table6[[#This Row],[Date]])&gt;=4,1,0)</f>
        <v>2026</v>
      </c>
      <c r="C158" s="105">
        <f>YEAR(Table6[[#This Row],[Date]])</f>
        <v>2025</v>
      </c>
      <c r="D158" s="105" t="s">
        <v>490</v>
      </c>
      <c r="E158" s="119">
        <f>Table6[[#This Row],[Date]]-DAY(Table6[[#This Row],[Date]])+1</f>
        <v>45748</v>
      </c>
      <c r="F158" s="118">
        <v>45749</v>
      </c>
      <c r="G158" s="105" t="s">
        <v>145</v>
      </c>
      <c r="H158" s="39" t="str">
        <f>_xlfn.XLOOKUP(Table6[[#This Row],[Affected WTG]],'Basic Data'!$A:$A,'Basic Data'!$B:$B)</f>
        <v>PWEGPL</v>
      </c>
      <c r="I158" s="39" t="str">
        <f>_xlfn.XLOOKUP(Table6[[#This Row],[Affected WTG]],'Basic Data'!$A:$A,'Basic Data'!$C:$C)</f>
        <v>MSEDCL</v>
      </c>
      <c r="J158" s="345">
        <f>IFERROR(VLOOKUP(Table6[[#This Row],[Affected WTG]],'Basic Data'!$A$3:$E$56,5,0),"")</f>
        <v>2.564102564102564E-2</v>
      </c>
      <c r="K158" s="105">
        <v>5201</v>
      </c>
      <c r="L158" s="39" t="str">
        <f>IFERROR(VLOOKUP(Table6[[#This Row],[Error Code]],'Basic Data'!$T:$U,2,0),"")</f>
        <v>Magnetothermic Trigger Of The Stator Protection</v>
      </c>
      <c r="M158" s="346" t="s">
        <v>462</v>
      </c>
      <c r="N158" s="39" t="s">
        <v>1270</v>
      </c>
      <c r="O158" s="347">
        <v>0</v>
      </c>
      <c r="P158" s="347">
        <v>0.44791666666666669</v>
      </c>
      <c r="Q158" s="347">
        <v>0.4513888888888889</v>
      </c>
      <c r="R158" s="348">
        <f>IF(Table6[[#This Row],[Work Start TimeStamp]]="","",(Table6[[#This Row],[Work Start TimeStamp]]-Table6[[#This Row],[Fault Start TimeStamp]])*24)</f>
        <v>10.75</v>
      </c>
      <c r="S158" s="349">
        <f>(Table6[[#This Row],[Fault Clearance time]]-Table6[[#This Row],[Work Start TimeStamp]])*24</f>
        <v>8.3333333333333037E-2</v>
      </c>
      <c r="T158" s="350">
        <f>(Table6[[#This Row],[Fault Clearance time]]-Table6[[#This Row],[Fault Start TimeStamp]])*24</f>
        <v>10.833333333333334</v>
      </c>
      <c r="U158" s="346" t="s">
        <v>491</v>
      </c>
      <c r="V158" s="351" t="s">
        <v>463</v>
      </c>
      <c r="W158" s="338">
        <f>Table6[[#This Row],[Breakdown Time]]*(1/39)</f>
        <v>0.27777777777777779</v>
      </c>
      <c r="X158" s="336" t="s">
        <v>465</v>
      </c>
      <c r="Y158" s="352" t="s">
        <v>139</v>
      </c>
      <c r="Z158" s="105">
        <v>12938</v>
      </c>
      <c r="AA158" s="107">
        <v>5840.0694444444453</v>
      </c>
      <c r="AB158" s="105" t="s">
        <v>478</v>
      </c>
    </row>
    <row r="159" spans="1:28">
      <c r="A159" s="105">
        <f t="shared" si="2"/>
        <v>158</v>
      </c>
      <c r="B159" s="107">
        <f>YEAR(Table6[[#This Row],[Date]])+IF(MONTH(Table6[[#This Row],[Date]])&gt;=4,1,0)</f>
        <v>2026</v>
      </c>
      <c r="C159" s="105">
        <f>YEAR(Table6[[#This Row],[Date]])</f>
        <v>2025</v>
      </c>
      <c r="D159" s="105" t="s">
        <v>490</v>
      </c>
      <c r="E159" s="119">
        <f>Table6[[#This Row],[Date]]-DAY(Table6[[#This Row],[Date]])+1</f>
        <v>45748</v>
      </c>
      <c r="F159" s="118">
        <v>45749</v>
      </c>
      <c r="G159" s="105" t="s">
        <v>145</v>
      </c>
      <c r="H159" s="39" t="str">
        <f>_xlfn.XLOOKUP(Table6[[#This Row],[Affected WTG]],'Basic Data'!$A:$A,'Basic Data'!$B:$B)</f>
        <v>PWEGPL</v>
      </c>
      <c r="I159" s="39" t="str">
        <f>_xlfn.XLOOKUP(Table6[[#This Row],[Affected WTG]],'Basic Data'!$A:$A,'Basic Data'!$C:$C)</f>
        <v>MSEDCL</v>
      </c>
      <c r="J159" s="345">
        <f>IFERROR(VLOOKUP(Table6[[#This Row],[Affected WTG]],'Basic Data'!$A$3:$E$56,5,0),"")</f>
        <v>2.564102564102564E-2</v>
      </c>
      <c r="K159" s="105">
        <v>700</v>
      </c>
      <c r="L159" s="39" t="str">
        <f>IFERROR(VLOOKUP(Table6[[#This Row],[Error Code]],'Basic Data'!$T:$U,2,0),"")</f>
        <v>PLC-Converter Communication Error</v>
      </c>
      <c r="M159" s="346" t="s">
        <v>462</v>
      </c>
      <c r="N159" s="39" t="s">
        <v>1270</v>
      </c>
      <c r="O159" s="347">
        <v>0.81874999999999998</v>
      </c>
      <c r="P159" s="347">
        <v>0.96527777777777779</v>
      </c>
      <c r="Q159" s="347">
        <v>0.96597222222222223</v>
      </c>
      <c r="R159" s="348">
        <f>IF(Table6[[#This Row],[Work Start TimeStamp]]="","",(Table6[[#This Row],[Work Start TimeStamp]]-Table6[[#This Row],[Fault Start TimeStamp]])*24)</f>
        <v>3.5166666666666675</v>
      </c>
      <c r="S159" s="349">
        <f>(Table6[[#This Row],[Fault Clearance time]]-Table6[[#This Row],[Work Start TimeStamp]])*24</f>
        <v>1.6666666666666607E-2</v>
      </c>
      <c r="T159" s="350">
        <f>(Table6[[#This Row],[Fault Clearance time]]-Table6[[#This Row],[Fault Start TimeStamp]])*24</f>
        <v>3.5333333333333341</v>
      </c>
      <c r="U159" s="346" t="s">
        <v>493</v>
      </c>
      <c r="V159" s="351" t="s">
        <v>463</v>
      </c>
      <c r="W159" s="338">
        <f>Table6[[#This Row],[Breakdown Time]]*(1/39)</f>
        <v>9.0598290598290609E-2</v>
      </c>
      <c r="X159" s="336" t="s">
        <v>465</v>
      </c>
      <c r="Y159" s="352" t="s">
        <v>139</v>
      </c>
      <c r="Z159" s="105">
        <v>12938</v>
      </c>
      <c r="AA159" s="107">
        <v>1904.7611111111116</v>
      </c>
      <c r="AB159" s="105" t="s">
        <v>478</v>
      </c>
    </row>
    <row r="160" spans="1:28">
      <c r="A160" s="105">
        <f t="shared" si="2"/>
        <v>159</v>
      </c>
      <c r="B160" s="107">
        <f>YEAR(Table6[[#This Row],[Date]])+IF(MONTH(Table6[[#This Row],[Date]])&gt;=4,1,0)</f>
        <v>2026</v>
      </c>
      <c r="C160" s="105">
        <f>YEAR(Table6[[#This Row],[Date]])</f>
        <v>2025</v>
      </c>
      <c r="D160" s="105" t="s">
        <v>490</v>
      </c>
      <c r="E160" s="119">
        <f>Table6[[#This Row],[Date]]-DAY(Table6[[#This Row],[Date]])+1</f>
        <v>45748</v>
      </c>
      <c r="F160" s="118">
        <v>45749</v>
      </c>
      <c r="G160" s="105" t="s">
        <v>145</v>
      </c>
      <c r="H160" s="39" t="str">
        <f>_xlfn.XLOOKUP(Table6[[#This Row],[Affected WTG]],'Basic Data'!$A:$A,'Basic Data'!$B:$B)</f>
        <v>PWEGPL</v>
      </c>
      <c r="I160" s="39" t="str">
        <f>_xlfn.XLOOKUP(Table6[[#This Row],[Affected WTG]],'Basic Data'!$A:$A,'Basic Data'!$C:$C)</f>
        <v>MSEDCL</v>
      </c>
      <c r="J160" s="345">
        <f>IFERROR(VLOOKUP(Table6[[#This Row],[Affected WTG]],'Basic Data'!$A$3:$E$56,5,0),"")</f>
        <v>2.564102564102564E-2</v>
      </c>
      <c r="K160" s="105">
        <v>700</v>
      </c>
      <c r="L160" s="39" t="str">
        <f>IFERROR(VLOOKUP(Table6[[#This Row],[Error Code]],'Basic Data'!$T:$U,2,0),"")</f>
        <v>PLC-Converter Communication Error</v>
      </c>
      <c r="M160" s="346" t="s">
        <v>462</v>
      </c>
      <c r="N160" s="39" t="s">
        <v>1270</v>
      </c>
      <c r="O160" s="347">
        <v>0.97222222222222221</v>
      </c>
      <c r="P160" s="347">
        <v>0.97430555555555554</v>
      </c>
      <c r="Q160" s="347">
        <v>0.99930555555555556</v>
      </c>
      <c r="R160" s="348">
        <f>IF(Table6[[#This Row],[Work Start TimeStamp]]="","",(Table6[[#This Row],[Work Start TimeStamp]]-Table6[[#This Row],[Fault Start TimeStamp]])*24)</f>
        <v>4.9999999999999822E-2</v>
      </c>
      <c r="S160" s="349">
        <f>(Table6[[#This Row],[Fault Clearance time]]-Table6[[#This Row],[Work Start TimeStamp]])*24</f>
        <v>0.60000000000000053</v>
      </c>
      <c r="T160" s="350">
        <f>(Table6[[#This Row],[Fault Clearance time]]-Table6[[#This Row],[Fault Start TimeStamp]])*24</f>
        <v>0.65000000000000036</v>
      </c>
      <c r="U160" s="346" t="s">
        <v>500</v>
      </c>
      <c r="V160" s="351" t="s">
        <v>463</v>
      </c>
      <c r="W160" s="338">
        <f>Table6[[#This Row],[Breakdown Time]]*(1/39)</f>
        <v>1.6666666666666677E-2</v>
      </c>
      <c r="X160" s="336" t="s">
        <v>465</v>
      </c>
      <c r="Y160" s="352" t="s">
        <v>139</v>
      </c>
      <c r="Z160" s="105">
        <v>12938</v>
      </c>
      <c r="AA160" s="107">
        <v>350.40416666666687</v>
      </c>
      <c r="AB160" s="105" t="s">
        <v>478</v>
      </c>
    </row>
    <row r="161" spans="1:28">
      <c r="A161" s="105">
        <f t="shared" si="2"/>
        <v>160</v>
      </c>
      <c r="B161" s="107">
        <f>YEAR(Table6[[#This Row],[Date]])+IF(MONTH(Table6[[#This Row],[Date]])&gt;=4,1,0)</f>
        <v>2026</v>
      </c>
      <c r="C161" s="105">
        <f>YEAR(Table6[[#This Row],[Date]])</f>
        <v>2025</v>
      </c>
      <c r="D161" s="105" t="s">
        <v>490</v>
      </c>
      <c r="E161" s="119">
        <f>Table6[[#This Row],[Date]]-DAY(Table6[[#This Row],[Date]])+1</f>
        <v>45748</v>
      </c>
      <c r="F161" s="118">
        <v>45749</v>
      </c>
      <c r="G161" s="105" t="s">
        <v>152</v>
      </c>
      <c r="H161" s="39" t="str">
        <f>_xlfn.XLOOKUP(Table6[[#This Row],[Affected WTG]],'Basic Data'!$A:$A,'Basic Data'!$B:$B)</f>
        <v>PWEGPL</v>
      </c>
      <c r="I161" s="39" t="str">
        <f>_xlfn.XLOOKUP(Table6[[#This Row],[Affected WTG]],'Basic Data'!$A:$A,'Basic Data'!$C:$C)</f>
        <v>MSEDCL</v>
      </c>
      <c r="J161" s="345">
        <f>IFERROR(VLOOKUP(Table6[[#This Row],[Affected WTG]],'Basic Data'!$A$3:$E$56,5,0),"")</f>
        <v>2.564102564102564E-2</v>
      </c>
      <c r="K161" s="105">
        <v>5201</v>
      </c>
      <c r="L161" s="39" t="str">
        <f>IFERROR(VLOOKUP(Table6[[#This Row],[Error Code]],'Basic Data'!$T:$U,2,0),"")</f>
        <v>Magnetothermic Trigger Of The Stator Protection</v>
      </c>
      <c r="M161" s="346" t="s">
        <v>462</v>
      </c>
      <c r="N161" s="39" t="s">
        <v>1270</v>
      </c>
      <c r="O161" s="347">
        <v>0.34097222222222223</v>
      </c>
      <c r="P161" s="347">
        <v>0.34097222222222223</v>
      </c>
      <c r="Q161" s="347">
        <v>0.34444444444444444</v>
      </c>
      <c r="R161" s="348">
        <f>IF(Table6[[#This Row],[Work Start TimeStamp]]="","",(Table6[[#This Row],[Work Start TimeStamp]]-Table6[[#This Row],[Fault Start TimeStamp]])*24)</f>
        <v>0</v>
      </c>
      <c r="S161" s="349">
        <f>(Table6[[#This Row],[Fault Clearance time]]-Table6[[#This Row],[Work Start TimeStamp]])*24</f>
        <v>8.3333333333333037E-2</v>
      </c>
      <c r="T161" s="350">
        <f>(Table6[[#This Row],[Fault Clearance time]]-Table6[[#This Row],[Fault Start TimeStamp]])*24</f>
        <v>8.3333333333333037E-2</v>
      </c>
      <c r="U161" s="346" t="s">
        <v>480</v>
      </c>
      <c r="V161" s="351" t="s">
        <v>463</v>
      </c>
      <c r="W161" s="338">
        <f>Table6[[#This Row],[Breakdown Time]]*(1/39)</f>
        <v>2.1367521367521292E-3</v>
      </c>
      <c r="X161" s="336" t="s">
        <v>465</v>
      </c>
      <c r="Y161" s="352" t="s">
        <v>151</v>
      </c>
      <c r="Z161" s="105">
        <v>11404</v>
      </c>
      <c r="AA161" s="107">
        <v>39.597222222222086</v>
      </c>
      <c r="AB161" s="105" t="s">
        <v>478</v>
      </c>
    </row>
    <row r="162" spans="1:28">
      <c r="A162" s="105">
        <f t="shared" si="2"/>
        <v>161</v>
      </c>
      <c r="B162" s="107">
        <f>YEAR(Table6[[#This Row],[Date]])+IF(MONTH(Table6[[#This Row],[Date]])&gt;=4,1,0)</f>
        <v>2026</v>
      </c>
      <c r="C162" s="105">
        <f>YEAR(Table6[[#This Row],[Date]])</f>
        <v>2025</v>
      </c>
      <c r="D162" s="105" t="s">
        <v>490</v>
      </c>
      <c r="E162" s="119">
        <f>Table6[[#This Row],[Date]]-DAY(Table6[[#This Row],[Date]])+1</f>
        <v>45748</v>
      </c>
      <c r="F162" s="118">
        <v>45749</v>
      </c>
      <c r="G162" s="105" t="s">
        <v>152</v>
      </c>
      <c r="H162" s="39" t="str">
        <f>_xlfn.XLOOKUP(Table6[[#This Row],[Affected WTG]],'Basic Data'!$A:$A,'Basic Data'!$B:$B)</f>
        <v>PWEGPL</v>
      </c>
      <c r="I162" s="39" t="str">
        <f>_xlfn.XLOOKUP(Table6[[#This Row],[Affected WTG]],'Basic Data'!$A:$A,'Basic Data'!$C:$C)</f>
        <v>MSEDCL</v>
      </c>
      <c r="J162" s="345">
        <f>IFERROR(VLOOKUP(Table6[[#This Row],[Affected WTG]],'Basic Data'!$A$3:$E$56,5,0),"")</f>
        <v>2.564102564102564E-2</v>
      </c>
      <c r="K162" s="105">
        <v>5201</v>
      </c>
      <c r="L162" s="39" t="str">
        <f>IFERROR(VLOOKUP(Table6[[#This Row],[Error Code]],'Basic Data'!$T:$U,2,0),"")</f>
        <v>Magnetothermic Trigger Of The Stator Protection</v>
      </c>
      <c r="M162" s="346" t="s">
        <v>462</v>
      </c>
      <c r="N162" s="39" t="s">
        <v>1270</v>
      </c>
      <c r="O162" s="347">
        <v>0.49375000000000002</v>
      </c>
      <c r="P162" s="347">
        <v>0.49375000000000002</v>
      </c>
      <c r="Q162" s="347">
        <v>0.49722222222222223</v>
      </c>
      <c r="R162" s="348">
        <f>IF(Table6[[#This Row],[Work Start TimeStamp]]="","",(Table6[[#This Row],[Work Start TimeStamp]]-Table6[[#This Row],[Fault Start TimeStamp]])*24)</f>
        <v>0</v>
      </c>
      <c r="S162" s="349">
        <f>(Table6[[#This Row],[Fault Clearance time]]-Table6[[#This Row],[Work Start TimeStamp]])*24</f>
        <v>8.3333333333333037E-2</v>
      </c>
      <c r="T162" s="350">
        <f>(Table6[[#This Row],[Fault Clearance time]]-Table6[[#This Row],[Fault Start TimeStamp]])*24</f>
        <v>8.3333333333333037E-2</v>
      </c>
      <c r="U162" s="346" t="s">
        <v>480</v>
      </c>
      <c r="V162" s="351" t="s">
        <v>463</v>
      </c>
      <c r="W162" s="338">
        <f>Table6[[#This Row],[Breakdown Time]]*(1/39)</f>
        <v>2.1367521367521292E-3</v>
      </c>
      <c r="X162" s="336" t="s">
        <v>465</v>
      </c>
      <c r="Y162" s="352" t="s">
        <v>151</v>
      </c>
      <c r="Z162" s="105">
        <v>11404</v>
      </c>
      <c r="AA162" s="107">
        <v>39.597222222222086</v>
      </c>
      <c r="AB162" s="105" t="s">
        <v>478</v>
      </c>
    </row>
    <row r="163" spans="1:28">
      <c r="A163" s="105">
        <f t="shared" si="2"/>
        <v>162</v>
      </c>
      <c r="B163" s="107">
        <f>YEAR(Table6[[#This Row],[Date]])+IF(MONTH(Table6[[#This Row],[Date]])&gt;=4,1,0)</f>
        <v>2026</v>
      </c>
      <c r="C163" s="105">
        <f>YEAR(Table6[[#This Row],[Date]])</f>
        <v>2025</v>
      </c>
      <c r="D163" s="105" t="s">
        <v>490</v>
      </c>
      <c r="E163" s="119">
        <f>Table6[[#This Row],[Date]]-DAY(Table6[[#This Row],[Date]])+1</f>
        <v>45748</v>
      </c>
      <c r="F163" s="118">
        <v>45749</v>
      </c>
      <c r="G163" s="105" t="s">
        <v>152</v>
      </c>
      <c r="H163" s="39" t="str">
        <f>_xlfn.XLOOKUP(Table6[[#This Row],[Affected WTG]],'Basic Data'!$A:$A,'Basic Data'!$B:$B)</f>
        <v>PWEGPL</v>
      </c>
      <c r="I163" s="39" t="str">
        <f>_xlfn.XLOOKUP(Table6[[#This Row],[Affected WTG]],'Basic Data'!$A:$A,'Basic Data'!$C:$C)</f>
        <v>MSEDCL</v>
      </c>
      <c r="J163" s="345">
        <f>IFERROR(VLOOKUP(Table6[[#This Row],[Affected WTG]],'Basic Data'!$A$3:$E$56,5,0),"")</f>
        <v>2.564102564102564E-2</v>
      </c>
      <c r="K163" s="105">
        <v>5201</v>
      </c>
      <c r="L163" s="39" t="str">
        <f>IFERROR(VLOOKUP(Table6[[#This Row],[Error Code]],'Basic Data'!$T:$U,2,0),"")</f>
        <v>Magnetothermic Trigger Of The Stator Protection</v>
      </c>
      <c r="M163" s="346" t="s">
        <v>462</v>
      </c>
      <c r="N163" s="39" t="s">
        <v>1270</v>
      </c>
      <c r="O163" s="347">
        <v>0.82361111111111107</v>
      </c>
      <c r="P163" s="347">
        <v>0.82361111111111107</v>
      </c>
      <c r="Q163" s="347">
        <v>0.83125000000000004</v>
      </c>
      <c r="R163" s="348">
        <f>IF(Table6[[#This Row],[Work Start TimeStamp]]="","",(Table6[[#This Row],[Work Start TimeStamp]]-Table6[[#This Row],[Fault Start TimeStamp]])*24)</f>
        <v>0</v>
      </c>
      <c r="S163" s="349">
        <f>(Table6[[#This Row],[Fault Clearance time]]-Table6[[#This Row],[Work Start TimeStamp]])*24</f>
        <v>0.18333333333333535</v>
      </c>
      <c r="T163" s="350">
        <f>(Table6[[#This Row],[Fault Clearance time]]-Table6[[#This Row],[Fault Start TimeStamp]])*24</f>
        <v>0.18333333333333535</v>
      </c>
      <c r="U163" s="346" t="s">
        <v>480</v>
      </c>
      <c r="V163" s="351" t="s">
        <v>463</v>
      </c>
      <c r="W163" s="338">
        <f>Table6[[#This Row],[Breakdown Time]]*(1/39)</f>
        <v>4.7008547008547527E-3</v>
      </c>
      <c r="X163" s="336" t="s">
        <v>465</v>
      </c>
      <c r="Y163" s="352" t="s">
        <v>151</v>
      </c>
      <c r="Z163" s="105">
        <v>11404</v>
      </c>
      <c r="AA163" s="107">
        <v>87.113888888889846</v>
      </c>
      <c r="AB163" s="105" t="s">
        <v>478</v>
      </c>
    </row>
    <row r="164" spans="1:28">
      <c r="A164" s="105">
        <f t="shared" si="2"/>
        <v>163</v>
      </c>
      <c r="B164" s="107">
        <f>YEAR(Table6[[#This Row],[Date]])+IF(MONTH(Table6[[#This Row],[Date]])&gt;=4,1,0)</f>
        <v>2026</v>
      </c>
      <c r="C164" s="105">
        <f>YEAR(Table6[[#This Row],[Date]])</f>
        <v>2025</v>
      </c>
      <c r="D164" s="105" t="s">
        <v>490</v>
      </c>
      <c r="E164" s="119">
        <f>Table6[[#This Row],[Date]]-DAY(Table6[[#This Row],[Date]])+1</f>
        <v>45748</v>
      </c>
      <c r="F164" s="118">
        <v>45749</v>
      </c>
      <c r="G164" s="105" t="s">
        <v>153</v>
      </c>
      <c r="H164" s="39" t="str">
        <f>_xlfn.XLOOKUP(Table6[[#This Row],[Affected WTG]],'Basic Data'!$A:$A,'Basic Data'!$B:$B)</f>
        <v>PWEGPL</v>
      </c>
      <c r="I164" s="39" t="str">
        <f>_xlfn.XLOOKUP(Table6[[#This Row],[Affected WTG]],'Basic Data'!$A:$A,'Basic Data'!$C:$C)</f>
        <v>MSEDCL</v>
      </c>
      <c r="J164" s="345">
        <f>IFERROR(VLOOKUP(Table6[[#This Row],[Affected WTG]],'Basic Data'!$A$3:$E$56,5,0),"")</f>
        <v>2.564102564102564E-2</v>
      </c>
      <c r="K164" s="105">
        <v>812</v>
      </c>
      <c r="L164" s="39" t="str">
        <f>IFERROR(VLOOKUP(Table6[[#This Row],[Error Code]],'Basic Data'!$T:$U,2,0),"")</f>
        <v>Blade Position Meas. Error</v>
      </c>
      <c r="M164" s="346" t="s">
        <v>462</v>
      </c>
      <c r="N164" s="39" t="s">
        <v>1270</v>
      </c>
      <c r="O164" s="347">
        <v>0.31944444444444442</v>
      </c>
      <c r="P164" s="347">
        <v>0.45694444444444443</v>
      </c>
      <c r="Q164" s="347">
        <v>0.45694444444444443</v>
      </c>
      <c r="R164" s="348">
        <f>IF(Table6[[#This Row],[Work Start TimeStamp]]="","",(Table6[[#This Row],[Work Start TimeStamp]]-Table6[[#This Row],[Fault Start TimeStamp]])*24)</f>
        <v>3.3000000000000003</v>
      </c>
      <c r="S164" s="349">
        <f>(Table6[[#This Row],[Fault Clearance time]]-Table6[[#This Row],[Work Start TimeStamp]])*24</f>
        <v>0</v>
      </c>
      <c r="T164" s="350">
        <f>(Table6[[#This Row],[Fault Clearance time]]-Table6[[#This Row],[Fault Start TimeStamp]])*24</f>
        <v>3.3000000000000003</v>
      </c>
      <c r="U164" s="346" t="s">
        <v>493</v>
      </c>
      <c r="V164" s="351" t="s">
        <v>463</v>
      </c>
      <c r="W164" s="338">
        <f>Table6[[#This Row],[Breakdown Time]]*(1/39)</f>
        <v>8.461538461538462E-2</v>
      </c>
      <c r="X164" s="336" t="s">
        <v>465</v>
      </c>
      <c r="Y164" s="352" t="s">
        <v>152</v>
      </c>
      <c r="Z164" s="105">
        <v>11460</v>
      </c>
      <c r="AA164" s="107">
        <v>1575.7500000000002</v>
      </c>
      <c r="AB164" s="105" t="s">
        <v>478</v>
      </c>
    </row>
    <row r="165" spans="1:28">
      <c r="A165" s="105">
        <f t="shared" si="2"/>
        <v>164</v>
      </c>
      <c r="B165" s="107">
        <f>YEAR(Table6[[#This Row],[Date]])+IF(MONTH(Table6[[#This Row],[Date]])&gt;=4,1,0)</f>
        <v>2026</v>
      </c>
      <c r="C165" s="105">
        <f>YEAR(Table6[[#This Row],[Date]])</f>
        <v>2025</v>
      </c>
      <c r="D165" s="105" t="s">
        <v>490</v>
      </c>
      <c r="E165" s="119">
        <f>Table6[[#This Row],[Date]]-DAY(Table6[[#This Row],[Date]])+1</f>
        <v>45748</v>
      </c>
      <c r="F165" s="118">
        <v>45750</v>
      </c>
      <c r="G165" s="105" t="s">
        <v>144</v>
      </c>
      <c r="H165" s="39" t="str">
        <f>_xlfn.XLOOKUP(Table6[[#This Row],[Affected WTG]],'Basic Data'!$A:$A,'Basic Data'!$B:$B)</f>
        <v>PWEGPL</v>
      </c>
      <c r="I165" s="39" t="str">
        <f>_xlfn.XLOOKUP(Table6[[#This Row],[Affected WTG]],'Basic Data'!$A:$A,'Basic Data'!$C:$C)</f>
        <v>MSEDCL</v>
      </c>
      <c r="J165" s="345">
        <f>IFERROR(VLOOKUP(Table6[[#This Row],[Affected WTG]],'Basic Data'!$A$3:$E$56,5,0),"")</f>
        <v>2.564102564102564E-2</v>
      </c>
      <c r="K165" s="105" t="s">
        <v>492</v>
      </c>
      <c r="L165" s="39" t="str">
        <f>IFERROR(VLOOKUP(Table6[[#This Row],[Error Code]],'Basic Data'!$T:$U,2,0),"")</f>
        <v>Manual Stop - Safety Related</v>
      </c>
      <c r="M165" s="346" t="s">
        <v>481</v>
      </c>
      <c r="N165" s="39" t="s">
        <v>1269</v>
      </c>
      <c r="O165" s="347">
        <v>0</v>
      </c>
      <c r="P165" s="347">
        <v>0.99930555555555556</v>
      </c>
      <c r="Q165" s="347">
        <v>0.99930555555555556</v>
      </c>
      <c r="R165" s="348">
        <f>IF(Table6[[#This Row],[Work Start TimeStamp]]="","",(Table6[[#This Row],[Work Start TimeStamp]]-Table6[[#This Row],[Fault Start TimeStamp]])*24)</f>
        <v>23.983333333333334</v>
      </c>
      <c r="S165" s="349">
        <f>(Table6[[#This Row],[Fault Clearance time]]-Table6[[#This Row],[Work Start TimeStamp]])*24</f>
        <v>0</v>
      </c>
      <c r="T165" s="350">
        <f>(Table6[[#This Row],[Fault Clearance time]]-Table6[[#This Row],[Fault Start TimeStamp]])*24</f>
        <v>23.983333333333334</v>
      </c>
      <c r="U165" s="346" t="s">
        <v>498</v>
      </c>
      <c r="V165" s="351" t="s">
        <v>473</v>
      </c>
      <c r="W165" s="338">
        <f>Table6[[#This Row],[Breakdown Time]]*(1/39)</f>
        <v>0.61495726495726499</v>
      </c>
      <c r="X165" s="336" t="s">
        <v>468</v>
      </c>
      <c r="Y165" s="352" t="s">
        <v>141</v>
      </c>
      <c r="Z165" s="105">
        <v>6354</v>
      </c>
      <c r="AA165" s="107">
        <v>6349.5875000000005</v>
      </c>
      <c r="AB165" s="105" t="s">
        <v>478</v>
      </c>
    </row>
    <row r="166" spans="1:28">
      <c r="A166" s="105">
        <f t="shared" si="2"/>
        <v>165</v>
      </c>
      <c r="B166" s="107">
        <f>YEAR(Table6[[#This Row],[Date]])+IF(MONTH(Table6[[#This Row],[Date]])&gt;=4,1,0)</f>
        <v>2026</v>
      </c>
      <c r="C166" s="105">
        <f>YEAR(Table6[[#This Row],[Date]])</f>
        <v>2025</v>
      </c>
      <c r="D166" s="105" t="s">
        <v>490</v>
      </c>
      <c r="E166" s="119">
        <f>Table6[[#This Row],[Date]]-DAY(Table6[[#This Row],[Date]])+1</f>
        <v>45748</v>
      </c>
      <c r="F166" s="118">
        <v>45750</v>
      </c>
      <c r="G166" s="105" t="s">
        <v>142</v>
      </c>
      <c r="H166" s="39" t="str">
        <f>_xlfn.XLOOKUP(Table6[[#This Row],[Affected WTG]],'Basic Data'!$A:$A,'Basic Data'!$B:$B)</f>
        <v>PWEGPL</v>
      </c>
      <c r="I166" s="39" t="str">
        <f>_xlfn.XLOOKUP(Table6[[#This Row],[Affected WTG]],'Basic Data'!$A:$A,'Basic Data'!$C:$C)</f>
        <v>MSEDCL</v>
      </c>
      <c r="J166" s="345">
        <f>IFERROR(VLOOKUP(Table6[[#This Row],[Affected WTG]],'Basic Data'!$A$3:$E$56,5,0),"")</f>
        <v>2.564102564102564E-2</v>
      </c>
      <c r="K166" s="105" t="s">
        <v>492</v>
      </c>
      <c r="L166" s="39" t="str">
        <f>IFERROR(VLOOKUP(Table6[[#This Row],[Error Code]],'Basic Data'!$T:$U,2,0),"")</f>
        <v>Manual Stop - Safety Related</v>
      </c>
      <c r="M166" s="346" t="s">
        <v>481</v>
      </c>
      <c r="N166" s="39" t="s">
        <v>1269</v>
      </c>
      <c r="O166" s="347">
        <v>0</v>
      </c>
      <c r="P166" s="347">
        <v>0.99930555555555556</v>
      </c>
      <c r="Q166" s="347">
        <v>0.99930555555555556</v>
      </c>
      <c r="R166" s="348">
        <f>IF(Table6[[#This Row],[Work Start TimeStamp]]="","",(Table6[[#This Row],[Work Start TimeStamp]]-Table6[[#This Row],[Fault Start TimeStamp]])*24)</f>
        <v>23.983333333333334</v>
      </c>
      <c r="S166" s="349">
        <f>(Table6[[#This Row],[Fault Clearance time]]-Table6[[#This Row],[Work Start TimeStamp]])*24</f>
        <v>0</v>
      </c>
      <c r="T166" s="350">
        <f>(Table6[[#This Row],[Fault Clearance time]]-Table6[[#This Row],[Fault Start TimeStamp]])*24</f>
        <v>23.983333333333334</v>
      </c>
      <c r="U166" s="346" t="s">
        <v>498</v>
      </c>
      <c r="V166" s="351" t="s">
        <v>473</v>
      </c>
      <c r="W166" s="338">
        <f>Table6[[#This Row],[Breakdown Time]]*(1/39)</f>
        <v>0.61495726495726499</v>
      </c>
      <c r="X166" s="336" t="s">
        <v>468</v>
      </c>
      <c r="Y166" s="352" t="s">
        <v>141</v>
      </c>
      <c r="Z166" s="105">
        <v>6354</v>
      </c>
      <c r="AA166" s="107">
        <v>6349.5875000000005</v>
      </c>
      <c r="AB166" s="105" t="s">
        <v>478</v>
      </c>
    </row>
    <row r="167" spans="1:28">
      <c r="A167" s="105">
        <f t="shared" si="2"/>
        <v>166</v>
      </c>
      <c r="B167" s="107">
        <f>YEAR(Table6[[#This Row],[Date]])+IF(MONTH(Table6[[#This Row],[Date]])&gt;=4,1,0)</f>
        <v>2026</v>
      </c>
      <c r="C167" s="105">
        <f>YEAR(Table6[[#This Row],[Date]])</f>
        <v>2025</v>
      </c>
      <c r="D167" s="105" t="s">
        <v>490</v>
      </c>
      <c r="E167" s="119">
        <f>Table6[[#This Row],[Date]]-DAY(Table6[[#This Row],[Date]])+1</f>
        <v>45748</v>
      </c>
      <c r="F167" s="118">
        <v>45750</v>
      </c>
      <c r="G167" s="105" t="s">
        <v>118</v>
      </c>
      <c r="H167" s="39" t="str">
        <f>_xlfn.XLOOKUP(Table6[[#This Row],[Affected WTG]],'Basic Data'!$A:$A,'Basic Data'!$B:$B)</f>
        <v>PWEGPL</v>
      </c>
      <c r="I167" s="39" t="str">
        <f>_xlfn.XLOOKUP(Table6[[#This Row],[Affected WTG]],'Basic Data'!$A:$A,'Basic Data'!$C:$C)</f>
        <v>MSEDCL</v>
      </c>
      <c r="J167" s="345">
        <f>IFERROR(VLOOKUP(Table6[[#This Row],[Affected WTG]],'Basic Data'!$A$3:$E$56,5,0),"")</f>
        <v>2.564102564102564E-2</v>
      </c>
      <c r="K167" s="105">
        <v>1825</v>
      </c>
      <c r="L167" s="39" t="str">
        <f>IFERROR(VLOOKUP(Table6[[#This Row],[Error Code]],'Basic Data'!$T:$U,2,0),"")</f>
        <v>Automatics Not Ok</v>
      </c>
      <c r="M167" s="346" t="s">
        <v>462</v>
      </c>
      <c r="N167" s="39" t="s">
        <v>1270</v>
      </c>
      <c r="O167" s="347">
        <v>0.26111111111111113</v>
      </c>
      <c r="P167" s="347">
        <v>0.26111111111111113</v>
      </c>
      <c r="Q167" s="347">
        <v>0.26458333333333334</v>
      </c>
      <c r="R167" s="348">
        <f>IF(Table6[[#This Row],[Work Start TimeStamp]]="","",(Table6[[#This Row],[Work Start TimeStamp]]-Table6[[#This Row],[Fault Start TimeStamp]])*24)</f>
        <v>0</v>
      </c>
      <c r="S167" s="349">
        <f>(Table6[[#This Row],[Fault Clearance time]]-Table6[[#This Row],[Work Start TimeStamp]])*24</f>
        <v>8.3333333333333037E-2</v>
      </c>
      <c r="T167" s="350">
        <f>(Table6[[#This Row],[Fault Clearance time]]-Table6[[#This Row],[Fault Start TimeStamp]])*24</f>
        <v>8.3333333333333037E-2</v>
      </c>
      <c r="U167" s="346" t="s">
        <v>480</v>
      </c>
      <c r="V167" s="351" t="s">
        <v>463</v>
      </c>
      <c r="W167" s="338">
        <f>Table6[[#This Row],[Breakdown Time]]*(1/39)</f>
        <v>2.1367521367521292E-3</v>
      </c>
      <c r="X167" s="336" t="s">
        <v>465</v>
      </c>
      <c r="Y167" s="352" t="s">
        <v>117</v>
      </c>
      <c r="Z167" s="105">
        <v>6462</v>
      </c>
      <c r="AA167" s="107">
        <v>22.437499999999922</v>
      </c>
      <c r="AB167" s="105" t="s">
        <v>478</v>
      </c>
    </row>
    <row r="168" spans="1:28">
      <c r="A168" s="105">
        <f t="shared" si="2"/>
        <v>167</v>
      </c>
      <c r="B168" s="107">
        <f>YEAR(Table6[[#This Row],[Date]])+IF(MONTH(Table6[[#This Row],[Date]])&gt;=4,1,0)</f>
        <v>2026</v>
      </c>
      <c r="C168" s="105">
        <f>YEAR(Table6[[#This Row],[Date]])</f>
        <v>2025</v>
      </c>
      <c r="D168" s="105" t="s">
        <v>490</v>
      </c>
      <c r="E168" s="119">
        <f>Table6[[#This Row],[Date]]-DAY(Table6[[#This Row],[Date]])+1</f>
        <v>45748</v>
      </c>
      <c r="F168" s="118">
        <v>45750</v>
      </c>
      <c r="G168" s="105" t="s">
        <v>118</v>
      </c>
      <c r="H168" s="39" t="str">
        <f>_xlfn.XLOOKUP(Table6[[#This Row],[Affected WTG]],'Basic Data'!$A:$A,'Basic Data'!$B:$B)</f>
        <v>PWEGPL</v>
      </c>
      <c r="I168" s="39" t="str">
        <f>_xlfn.XLOOKUP(Table6[[#This Row],[Affected WTG]],'Basic Data'!$A:$A,'Basic Data'!$C:$C)</f>
        <v>MSEDCL</v>
      </c>
      <c r="J168" s="345">
        <f>IFERROR(VLOOKUP(Table6[[#This Row],[Affected WTG]],'Basic Data'!$A$3:$E$56,5,0),"")</f>
        <v>2.564102564102564E-2</v>
      </c>
      <c r="K168" s="105">
        <v>1825</v>
      </c>
      <c r="L168" s="39" t="str">
        <f>IFERROR(VLOOKUP(Table6[[#This Row],[Error Code]],'Basic Data'!$T:$U,2,0),"")</f>
        <v>Automatics Not Ok</v>
      </c>
      <c r="M168" s="346" t="s">
        <v>462</v>
      </c>
      <c r="N168" s="39" t="s">
        <v>1270</v>
      </c>
      <c r="O168" s="347">
        <v>0.33194444444444443</v>
      </c>
      <c r="P168" s="347">
        <v>0.33194444444444443</v>
      </c>
      <c r="Q168" s="347">
        <v>0.33541666666666664</v>
      </c>
      <c r="R168" s="348">
        <f>IF(Table6[[#This Row],[Work Start TimeStamp]]="","",(Table6[[#This Row],[Work Start TimeStamp]]-Table6[[#This Row],[Fault Start TimeStamp]])*24)</f>
        <v>0</v>
      </c>
      <c r="S168" s="349">
        <f>(Table6[[#This Row],[Fault Clearance time]]-Table6[[#This Row],[Work Start TimeStamp]])*24</f>
        <v>8.3333333333333037E-2</v>
      </c>
      <c r="T168" s="350">
        <f>(Table6[[#This Row],[Fault Clearance time]]-Table6[[#This Row],[Fault Start TimeStamp]])*24</f>
        <v>8.3333333333333037E-2</v>
      </c>
      <c r="U168" s="346" t="s">
        <v>480</v>
      </c>
      <c r="V168" s="351" t="s">
        <v>463</v>
      </c>
      <c r="W168" s="338">
        <f>Table6[[#This Row],[Breakdown Time]]*(1/39)</f>
        <v>2.1367521367521292E-3</v>
      </c>
      <c r="X168" s="336" t="s">
        <v>465</v>
      </c>
      <c r="Y168" s="352" t="s">
        <v>117</v>
      </c>
      <c r="Z168" s="105">
        <v>6462</v>
      </c>
      <c r="AA168" s="107">
        <v>22.437499999999922</v>
      </c>
      <c r="AB168" s="105" t="s">
        <v>478</v>
      </c>
    </row>
    <row r="169" spans="1:28">
      <c r="A169" s="105">
        <f t="shared" si="2"/>
        <v>168</v>
      </c>
      <c r="B169" s="107">
        <f>YEAR(Table6[[#This Row],[Date]])+IF(MONTH(Table6[[#This Row],[Date]])&gt;=4,1,0)</f>
        <v>2026</v>
      </c>
      <c r="C169" s="105">
        <f>YEAR(Table6[[#This Row],[Date]])</f>
        <v>2025</v>
      </c>
      <c r="D169" s="105" t="s">
        <v>490</v>
      </c>
      <c r="E169" s="119">
        <f>Table6[[#This Row],[Date]]-DAY(Table6[[#This Row],[Date]])+1</f>
        <v>45748</v>
      </c>
      <c r="F169" s="118">
        <v>45750</v>
      </c>
      <c r="G169" s="105" t="s">
        <v>118</v>
      </c>
      <c r="H169" s="39" t="str">
        <f>_xlfn.XLOOKUP(Table6[[#This Row],[Affected WTG]],'Basic Data'!$A:$A,'Basic Data'!$B:$B)</f>
        <v>PWEGPL</v>
      </c>
      <c r="I169" s="39" t="str">
        <f>_xlfn.XLOOKUP(Table6[[#This Row],[Affected WTG]],'Basic Data'!$A:$A,'Basic Data'!$C:$C)</f>
        <v>MSEDCL</v>
      </c>
      <c r="J169" s="345">
        <f>IFERROR(VLOOKUP(Table6[[#This Row],[Affected WTG]],'Basic Data'!$A$3:$E$56,5,0),"")</f>
        <v>2.564102564102564E-2</v>
      </c>
      <c r="K169" s="105">
        <v>1825</v>
      </c>
      <c r="L169" s="39" t="str">
        <f>IFERROR(VLOOKUP(Table6[[#This Row],[Error Code]],'Basic Data'!$T:$U,2,0),"")</f>
        <v>Automatics Not Ok</v>
      </c>
      <c r="M169" s="346" t="s">
        <v>462</v>
      </c>
      <c r="N169" s="39" t="s">
        <v>1270</v>
      </c>
      <c r="O169" s="347">
        <v>0.67638888888888893</v>
      </c>
      <c r="P169" s="347">
        <v>0.67638888888888893</v>
      </c>
      <c r="Q169" s="347">
        <v>0.67986111111111114</v>
      </c>
      <c r="R169" s="348">
        <f>IF(Table6[[#This Row],[Work Start TimeStamp]]="","",(Table6[[#This Row],[Work Start TimeStamp]]-Table6[[#This Row],[Fault Start TimeStamp]])*24)</f>
        <v>0</v>
      </c>
      <c r="S169" s="349">
        <f>(Table6[[#This Row],[Fault Clearance time]]-Table6[[#This Row],[Work Start TimeStamp]])*24</f>
        <v>8.3333333333333037E-2</v>
      </c>
      <c r="T169" s="350">
        <f>(Table6[[#This Row],[Fault Clearance time]]-Table6[[#This Row],[Fault Start TimeStamp]])*24</f>
        <v>8.3333333333333037E-2</v>
      </c>
      <c r="U169" s="346" t="s">
        <v>480</v>
      </c>
      <c r="V169" s="351" t="s">
        <v>463</v>
      </c>
      <c r="W169" s="338">
        <f>Table6[[#This Row],[Breakdown Time]]*(1/39)</f>
        <v>2.1367521367521292E-3</v>
      </c>
      <c r="X169" s="336" t="s">
        <v>465</v>
      </c>
      <c r="Y169" s="352" t="s">
        <v>117</v>
      </c>
      <c r="Z169" s="105">
        <v>6462</v>
      </c>
      <c r="AA169" s="107">
        <v>22.437499999999922</v>
      </c>
      <c r="AB169" s="105" t="s">
        <v>478</v>
      </c>
    </row>
    <row r="170" spans="1:28">
      <c r="A170" s="105">
        <f t="shared" si="2"/>
        <v>169</v>
      </c>
      <c r="B170" s="107">
        <f>YEAR(Table6[[#This Row],[Date]])+IF(MONTH(Table6[[#This Row],[Date]])&gt;=4,1,0)</f>
        <v>2026</v>
      </c>
      <c r="C170" s="105">
        <f>YEAR(Table6[[#This Row],[Date]])</f>
        <v>2025</v>
      </c>
      <c r="D170" s="105" t="s">
        <v>490</v>
      </c>
      <c r="E170" s="119">
        <f>Table6[[#This Row],[Date]]-DAY(Table6[[#This Row],[Date]])+1</f>
        <v>45748</v>
      </c>
      <c r="F170" s="118">
        <v>45750</v>
      </c>
      <c r="G170" s="105" t="s">
        <v>120</v>
      </c>
      <c r="H170" s="39" t="str">
        <f>_xlfn.XLOOKUP(Table6[[#This Row],[Affected WTG]],'Basic Data'!$A:$A,'Basic Data'!$B:$B)</f>
        <v>PWEGPL</v>
      </c>
      <c r="I170" s="39" t="str">
        <f>_xlfn.XLOOKUP(Table6[[#This Row],[Affected WTG]],'Basic Data'!$A:$A,'Basic Data'!$C:$C)</f>
        <v>MSEDCL</v>
      </c>
      <c r="J170" s="345">
        <f>IFERROR(VLOOKUP(Table6[[#This Row],[Affected WTG]],'Basic Data'!$A$3:$E$56,5,0),"")</f>
        <v>2.564102564102564E-2</v>
      </c>
      <c r="K170" s="105">
        <v>5216</v>
      </c>
      <c r="L170" s="39" t="str">
        <f>IFERROR(VLOOKUP(Table6[[#This Row],[Error Code]],'Basic Data'!$T:$U,2,0),"")</f>
        <v>Grid Voltage Failure</v>
      </c>
      <c r="M170" s="346" t="s">
        <v>462</v>
      </c>
      <c r="N170" s="39" t="s">
        <v>1270</v>
      </c>
      <c r="O170" s="347">
        <v>0.75694444444444442</v>
      </c>
      <c r="P170" s="347">
        <v>0.79166666666666663</v>
      </c>
      <c r="Q170" s="347">
        <v>0.81388888888888888</v>
      </c>
      <c r="R170" s="348">
        <f>IF(Table6[[#This Row],[Work Start TimeStamp]]="","",(Table6[[#This Row],[Work Start TimeStamp]]-Table6[[#This Row],[Fault Start TimeStamp]])*24)</f>
        <v>0.83333333333333304</v>
      </c>
      <c r="S170" s="349">
        <f>(Table6[[#This Row],[Fault Clearance time]]-Table6[[#This Row],[Work Start TimeStamp]])*24</f>
        <v>0.5333333333333341</v>
      </c>
      <c r="T170" s="350">
        <f>(Table6[[#This Row],[Fault Clearance time]]-Table6[[#This Row],[Fault Start TimeStamp]])*24</f>
        <v>1.3666666666666671</v>
      </c>
      <c r="U170" s="346" t="s">
        <v>528</v>
      </c>
      <c r="V170" s="351" t="s">
        <v>463</v>
      </c>
      <c r="W170" s="338">
        <f>Table6[[#This Row],[Breakdown Time]]*(1/39)</f>
        <v>3.5042735042735057E-2</v>
      </c>
      <c r="X170" s="336" t="s">
        <v>465</v>
      </c>
      <c r="Y170" s="352" t="s">
        <v>117</v>
      </c>
      <c r="Z170" s="105">
        <v>6462</v>
      </c>
      <c r="AA170" s="107">
        <v>367.97500000000014</v>
      </c>
      <c r="AB170" s="105" t="s">
        <v>478</v>
      </c>
    </row>
    <row r="171" spans="1:28">
      <c r="A171" s="105">
        <f t="shared" si="2"/>
        <v>170</v>
      </c>
      <c r="B171" s="107">
        <f>YEAR(Table6[[#This Row],[Date]])+IF(MONTH(Table6[[#This Row],[Date]])&gt;=4,1,0)</f>
        <v>2026</v>
      </c>
      <c r="C171" s="105">
        <f>YEAR(Table6[[#This Row],[Date]])</f>
        <v>2025</v>
      </c>
      <c r="D171" s="105" t="s">
        <v>490</v>
      </c>
      <c r="E171" s="119">
        <f>Table6[[#This Row],[Date]]-DAY(Table6[[#This Row],[Date]])+1</f>
        <v>45748</v>
      </c>
      <c r="F171" s="118">
        <v>45750</v>
      </c>
      <c r="G171" s="105" t="s">
        <v>120</v>
      </c>
      <c r="H171" s="39" t="str">
        <f>_xlfn.XLOOKUP(Table6[[#This Row],[Affected WTG]],'Basic Data'!$A:$A,'Basic Data'!$B:$B)</f>
        <v>PWEGPL</v>
      </c>
      <c r="I171" s="39" t="str">
        <f>_xlfn.XLOOKUP(Table6[[#This Row],[Affected WTG]],'Basic Data'!$A:$A,'Basic Data'!$C:$C)</f>
        <v>MSEDCL</v>
      </c>
      <c r="J171" s="345">
        <f>IFERROR(VLOOKUP(Table6[[#This Row],[Affected WTG]],'Basic Data'!$A$3:$E$56,5,0),"")</f>
        <v>2.564102564102564E-2</v>
      </c>
      <c r="K171" s="105">
        <v>5216</v>
      </c>
      <c r="L171" s="39" t="str">
        <f>IFERROR(VLOOKUP(Table6[[#This Row],[Error Code]],'Basic Data'!$T:$U,2,0),"")</f>
        <v>Grid Voltage Failure</v>
      </c>
      <c r="M171" s="346" t="s">
        <v>462</v>
      </c>
      <c r="N171" s="39" t="s">
        <v>1270</v>
      </c>
      <c r="O171" s="347">
        <v>0.83402777777777781</v>
      </c>
      <c r="P171" s="347">
        <v>0.90763888888888888</v>
      </c>
      <c r="Q171" s="347">
        <v>0.99930555555555556</v>
      </c>
      <c r="R171" s="348">
        <f>IF(Table6[[#This Row],[Work Start TimeStamp]]="","",(Table6[[#This Row],[Work Start TimeStamp]]-Table6[[#This Row],[Fault Start TimeStamp]])*24)</f>
        <v>1.7666666666666657</v>
      </c>
      <c r="S171" s="349">
        <f>(Table6[[#This Row],[Fault Clearance time]]-Table6[[#This Row],[Work Start TimeStamp]])*24</f>
        <v>2.2000000000000002</v>
      </c>
      <c r="T171" s="350">
        <f>(Table6[[#This Row],[Fault Clearance time]]-Table6[[#This Row],[Fault Start TimeStamp]])*24</f>
        <v>3.9666666666666659</v>
      </c>
      <c r="U171" s="346" t="s">
        <v>500</v>
      </c>
      <c r="V171" s="351" t="s">
        <v>473</v>
      </c>
      <c r="W171" s="338">
        <f>Table6[[#This Row],[Breakdown Time]]*(1/39)</f>
        <v>0.10170940170940168</v>
      </c>
      <c r="X171" s="336" t="s">
        <v>465</v>
      </c>
      <c r="Y171" s="352" t="s">
        <v>117</v>
      </c>
      <c r="Z171" s="105">
        <v>6462</v>
      </c>
      <c r="AA171" s="107">
        <v>1068.0249999999999</v>
      </c>
      <c r="AB171" s="105" t="s">
        <v>478</v>
      </c>
    </row>
    <row r="172" spans="1:28">
      <c r="A172" s="105">
        <f t="shared" si="2"/>
        <v>171</v>
      </c>
      <c r="B172" s="107">
        <f>YEAR(Table6[[#This Row],[Date]])+IF(MONTH(Table6[[#This Row],[Date]])&gt;=4,1,0)</f>
        <v>2026</v>
      </c>
      <c r="C172" s="105">
        <f>YEAR(Table6[[#This Row],[Date]])</f>
        <v>2025</v>
      </c>
      <c r="D172" s="105" t="s">
        <v>490</v>
      </c>
      <c r="E172" s="119">
        <f>Table6[[#This Row],[Date]]-DAY(Table6[[#This Row],[Date]])+1</f>
        <v>45748</v>
      </c>
      <c r="F172" s="118">
        <v>45750</v>
      </c>
      <c r="G172" s="105" t="s">
        <v>121</v>
      </c>
      <c r="H172" s="39" t="str">
        <f>_xlfn.XLOOKUP(Table6[[#This Row],[Affected WTG]],'Basic Data'!$A:$A,'Basic Data'!$B:$B)</f>
        <v>PWEGPL</v>
      </c>
      <c r="I172" s="39" t="str">
        <f>_xlfn.XLOOKUP(Table6[[#This Row],[Affected WTG]],'Basic Data'!$A:$A,'Basic Data'!$C:$C)</f>
        <v>MSEDCL</v>
      </c>
      <c r="J172" s="345">
        <f>IFERROR(VLOOKUP(Table6[[#This Row],[Affected WTG]],'Basic Data'!$A$3:$E$56,5,0),"")</f>
        <v>2.564102564102564E-2</v>
      </c>
      <c r="K172" s="105">
        <v>205</v>
      </c>
      <c r="L172" s="39" t="str">
        <f>IFERROR(VLOOKUP(Table6[[#This Row],[Error Code]],'Basic Data'!$T:$U,2,0),"")</f>
        <v>Low Level Hydraulic Group Refrigeration Oil</v>
      </c>
      <c r="M172" s="346" t="s">
        <v>462</v>
      </c>
      <c r="N172" s="39" t="s">
        <v>1270</v>
      </c>
      <c r="O172" s="347">
        <v>0.15486111111111112</v>
      </c>
      <c r="P172" s="347">
        <v>0.15486111111111112</v>
      </c>
      <c r="Q172" s="347">
        <v>0.28680555555555554</v>
      </c>
      <c r="R172" s="348">
        <f>IF(Table6[[#This Row],[Work Start TimeStamp]]="","",(Table6[[#This Row],[Work Start TimeStamp]]-Table6[[#This Row],[Fault Start TimeStamp]])*24)</f>
        <v>0</v>
      </c>
      <c r="S172" s="349">
        <f>(Table6[[#This Row],[Fault Clearance time]]-Table6[[#This Row],[Work Start TimeStamp]])*24</f>
        <v>3.1666666666666661</v>
      </c>
      <c r="T172" s="350">
        <f>(Table6[[#This Row],[Fault Clearance time]]-Table6[[#This Row],[Fault Start TimeStamp]])*24</f>
        <v>3.1666666666666661</v>
      </c>
      <c r="U172" s="346" t="s">
        <v>493</v>
      </c>
      <c r="V172" s="351" t="s">
        <v>463</v>
      </c>
      <c r="W172" s="338">
        <f>Table6[[#This Row],[Breakdown Time]]*(1/39)</f>
        <v>8.1196581196581172E-2</v>
      </c>
      <c r="X172" s="336" t="s">
        <v>465</v>
      </c>
      <c r="Y172" s="352" t="s">
        <v>115</v>
      </c>
      <c r="Z172" s="105">
        <v>7048</v>
      </c>
      <c r="AA172" s="107">
        <v>929.94444444444434</v>
      </c>
      <c r="AB172" s="105" t="s">
        <v>478</v>
      </c>
    </row>
    <row r="173" spans="1:28">
      <c r="A173" s="105">
        <f t="shared" si="2"/>
        <v>172</v>
      </c>
      <c r="B173" s="107">
        <f>YEAR(Table6[[#This Row],[Date]])+IF(MONTH(Table6[[#This Row],[Date]])&gt;=4,1,0)</f>
        <v>2026</v>
      </c>
      <c r="C173" s="105">
        <f>YEAR(Table6[[#This Row],[Date]])</f>
        <v>2025</v>
      </c>
      <c r="D173" s="105" t="s">
        <v>490</v>
      </c>
      <c r="E173" s="119">
        <f>Table6[[#This Row],[Date]]-DAY(Table6[[#This Row],[Date]])+1</f>
        <v>45748</v>
      </c>
      <c r="F173" s="118">
        <v>45750</v>
      </c>
      <c r="G173" s="105" t="s">
        <v>121</v>
      </c>
      <c r="H173" s="39" t="str">
        <f>_xlfn.XLOOKUP(Table6[[#This Row],[Affected WTG]],'Basic Data'!$A:$A,'Basic Data'!$B:$B)</f>
        <v>PWEGPL</v>
      </c>
      <c r="I173" s="39" t="str">
        <f>_xlfn.XLOOKUP(Table6[[#This Row],[Affected WTG]],'Basic Data'!$A:$A,'Basic Data'!$C:$C)</f>
        <v>MSEDCL</v>
      </c>
      <c r="J173" s="345">
        <f>IFERROR(VLOOKUP(Table6[[#This Row],[Affected WTG]],'Basic Data'!$A$3:$E$56,5,0),"")</f>
        <v>2.564102564102564E-2</v>
      </c>
      <c r="K173" s="105">
        <v>813</v>
      </c>
      <c r="L173" s="39" t="str">
        <f>IFERROR(VLOOKUP(Table6[[#This Row],[Error Code]],'Basic Data'!$T:$U,2,0),"")</f>
        <v>Low Pressure Of Emergency Accumulators</v>
      </c>
      <c r="M173" s="346" t="s">
        <v>462</v>
      </c>
      <c r="N173" s="39" t="s">
        <v>1270</v>
      </c>
      <c r="O173" s="347">
        <v>0.77916666666666667</v>
      </c>
      <c r="P173" s="347">
        <v>0.82638888888888884</v>
      </c>
      <c r="Q173" s="347">
        <v>0.82638888888888884</v>
      </c>
      <c r="R173" s="348">
        <f>IF(Table6[[#This Row],[Work Start TimeStamp]]="","",(Table6[[#This Row],[Work Start TimeStamp]]-Table6[[#This Row],[Fault Start TimeStamp]])*24)</f>
        <v>1.133333333333332</v>
      </c>
      <c r="S173" s="349">
        <f>(Table6[[#This Row],[Fault Clearance time]]-Table6[[#This Row],[Work Start TimeStamp]])*24</f>
        <v>0</v>
      </c>
      <c r="T173" s="350">
        <f>(Table6[[#This Row],[Fault Clearance time]]-Table6[[#This Row],[Fault Start TimeStamp]])*24</f>
        <v>1.133333333333332</v>
      </c>
      <c r="U173" s="346" t="s">
        <v>493</v>
      </c>
      <c r="V173" s="351" t="s">
        <v>463</v>
      </c>
      <c r="W173" s="338">
        <f>Table6[[#This Row],[Breakdown Time]]*(1/39)</f>
        <v>2.9059829059829023E-2</v>
      </c>
      <c r="X173" s="336" t="s">
        <v>465</v>
      </c>
      <c r="Y173" s="352" t="s">
        <v>115</v>
      </c>
      <c r="Z173" s="105">
        <v>7048</v>
      </c>
      <c r="AA173" s="107">
        <v>332.82222222222185</v>
      </c>
      <c r="AB173" s="105" t="s">
        <v>478</v>
      </c>
    </row>
    <row r="174" spans="1:28">
      <c r="A174" s="105">
        <f t="shared" si="2"/>
        <v>173</v>
      </c>
      <c r="B174" s="107">
        <f>YEAR(Table6[[#This Row],[Date]])+IF(MONTH(Table6[[#This Row],[Date]])&gt;=4,1,0)</f>
        <v>2026</v>
      </c>
      <c r="C174" s="105">
        <f>YEAR(Table6[[#This Row],[Date]])</f>
        <v>2025</v>
      </c>
      <c r="D174" s="105" t="s">
        <v>490</v>
      </c>
      <c r="E174" s="119">
        <f>Table6[[#This Row],[Date]]-DAY(Table6[[#This Row],[Date]])+1</f>
        <v>45748</v>
      </c>
      <c r="F174" s="118">
        <v>45750</v>
      </c>
      <c r="G174" s="105" t="s">
        <v>121</v>
      </c>
      <c r="H174" s="39" t="str">
        <f>_xlfn.XLOOKUP(Table6[[#This Row],[Affected WTG]],'Basic Data'!$A:$A,'Basic Data'!$B:$B)</f>
        <v>PWEGPL</v>
      </c>
      <c r="I174" s="39" t="str">
        <f>_xlfn.XLOOKUP(Table6[[#This Row],[Affected WTG]],'Basic Data'!$A:$A,'Basic Data'!$C:$C)</f>
        <v>MSEDCL</v>
      </c>
      <c r="J174" s="345">
        <f>IFERROR(VLOOKUP(Table6[[#This Row],[Affected WTG]],'Basic Data'!$A$3:$E$56,5,0),"")</f>
        <v>2.564102564102564E-2</v>
      </c>
      <c r="K174" s="105">
        <v>2102</v>
      </c>
      <c r="L174" s="39" t="str">
        <f>IFERROR(VLOOKUP(Table6[[#This Row],[Error Code]],'Basic Data'!$T:$U,2,0),"")</f>
        <v>PLC Module Failure</v>
      </c>
      <c r="M174" s="346" t="s">
        <v>462</v>
      </c>
      <c r="N174" s="39" t="s">
        <v>1270</v>
      </c>
      <c r="O174" s="347">
        <v>0.85972222222222228</v>
      </c>
      <c r="P174" s="347">
        <v>0.85972222222222228</v>
      </c>
      <c r="Q174" s="347">
        <v>0.99930555555555556</v>
      </c>
      <c r="R174" s="348">
        <f>IF(Table6[[#This Row],[Work Start TimeStamp]]="","",(Table6[[#This Row],[Work Start TimeStamp]]-Table6[[#This Row],[Fault Start TimeStamp]])*24)</f>
        <v>0</v>
      </c>
      <c r="S174" s="349">
        <f>(Table6[[#This Row],[Fault Clearance time]]-Table6[[#This Row],[Work Start TimeStamp]])*24</f>
        <v>3.3499999999999988</v>
      </c>
      <c r="T174" s="350">
        <f>(Table6[[#This Row],[Fault Clearance time]]-Table6[[#This Row],[Fault Start TimeStamp]])*24</f>
        <v>3.3499999999999988</v>
      </c>
      <c r="U174" s="346" t="s">
        <v>500</v>
      </c>
      <c r="V174" s="351" t="s">
        <v>463</v>
      </c>
      <c r="W174" s="338">
        <f>Table6[[#This Row],[Breakdown Time]]*(1/39)</f>
        <v>8.5897435897435856E-2</v>
      </c>
      <c r="X174" s="336" t="s">
        <v>465</v>
      </c>
      <c r="Y174" s="352" t="s">
        <v>115</v>
      </c>
      <c r="Z174" s="105">
        <v>7048</v>
      </c>
      <c r="AA174" s="107">
        <v>983.78333333333308</v>
      </c>
      <c r="AB174" s="105" t="s">
        <v>478</v>
      </c>
    </row>
    <row r="175" spans="1:28">
      <c r="A175" s="105">
        <f t="shared" si="2"/>
        <v>174</v>
      </c>
      <c r="B175" s="107">
        <f>YEAR(Table6[[#This Row],[Date]])+IF(MONTH(Table6[[#This Row],[Date]])&gt;=4,1,0)</f>
        <v>2026</v>
      </c>
      <c r="C175" s="105">
        <f>YEAR(Table6[[#This Row],[Date]])</f>
        <v>2025</v>
      </c>
      <c r="D175" s="105" t="s">
        <v>490</v>
      </c>
      <c r="E175" s="119">
        <f>Table6[[#This Row],[Date]]-DAY(Table6[[#This Row],[Date]])+1</f>
        <v>45748</v>
      </c>
      <c r="F175" s="118">
        <v>45750</v>
      </c>
      <c r="G175" s="105" t="s">
        <v>127</v>
      </c>
      <c r="H175" s="39" t="str">
        <f>_xlfn.XLOOKUP(Table6[[#This Row],[Affected WTG]],'Basic Data'!$A:$A,'Basic Data'!$B:$B)</f>
        <v>PWEGPL</v>
      </c>
      <c r="I175" s="39" t="str">
        <f>_xlfn.XLOOKUP(Table6[[#This Row],[Affected WTG]],'Basic Data'!$A:$A,'Basic Data'!$C:$C)</f>
        <v>MSEDCL</v>
      </c>
      <c r="J175" s="345">
        <f>IFERROR(VLOOKUP(Table6[[#This Row],[Affected WTG]],'Basic Data'!$A$3:$E$56,5,0),"")</f>
        <v>2.564102564102564E-2</v>
      </c>
      <c r="K175" s="105">
        <v>500</v>
      </c>
      <c r="L175" s="39" t="str">
        <f>IFERROR(VLOOKUP(Table6[[#This Row],[Error Code]],'Basic Data'!$T:$U,2,0),"")</f>
        <v>High Generator Winding Temperature</v>
      </c>
      <c r="M175" s="346" t="s">
        <v>462</v>
      </c>
      <c r="N175" s="39" t="s">
        <v>1270</v>
      </c>
      <c r="O175" s="347">
        <v>0.47986111111111113</v>
      </c>
      <c r="P175" s="347">
        <v>0.47986111111111113</v>
      </c>
      <c r="Q175" s="347">
        <v>0.48333333333333334</v>
      </c>
      <c r="R175" s="348">
        <f>IF(Table6[[#This Row],[Work Start TimeStamp]]="","",(Table6[[#This Row],[Work Start TimeStamp]]-Table6[[#This Row],[Fault Start TimeStamp]])*24)</f>
        <v>0</v>
      </c>
      <c r="S175" s="349">
        <f>(Table6[[#This Row],[Fault Clearance time]]-Table6[[#This Row],[Work Start TimeStamp]])*24</f>
        <v>8.3333333333333037E-2</v>
      </c>
      <c r="T175" s="350">
        <f>(Table6[[#This Row],[Fault Clearance time]]-Table6[[#This Row],[Fault Start TimeStamp]])*24</f>
        <v>8.3333333333333037E-2</v>
      </c>
      <c r="U175" s="346" t="s">
        <v>480</v>
      </c>
      <c r="V175" s="351" t="s">
        <v>463</v>
      </c>
      <c r="W175" s="338">
        <f>Table6[[#This Row],[Breakdown Time]]*(1/39)</f>
        <v>2.1367521367521292E-3</v>
      </c>
      <c r="X175" s="336" t="s">
        <v>465</v>
      </c>
      <c r="Y175" s="352" t="s">
        <v>126</v>
      </c>
      <c r="Z175" s="105">
        <v>8930</v>
      </c>
      <c r="AA175" s="107">
        <v>31.006944444444333</v>
      </c>
      <c r="AB175" s="105" t="s">
        <v>478</v>
      </c>
    </row>
    <row r="176" spans="1:28">
      <c r="A176" s="105">
        <f t="shared" si="2"/>
        <v>175</v>
      </c>
      <c r="B176" s="107">
        <f>YEAR(Table6[[#This Row],[Date]])+IF(MONTH(Table6[[#This Row],[Date]])&gt;=4,1,0)</f>
        <v>2026</v>
      </c>
      <c r="C176" s="105">
        <f>YEAR(Table6[[#This Row],[Date]])</f>
        <v>2025</v>
      </c>
      <c r="D176" s="105" t="s">
        <v>490</v>
      </c>
      <c r="E176" s="119">
        <f>Table6[[#This Row],[Date]]-DAY(Table6[[#This Row],[Date]])+1</f>
        <v>45748</v>
      </c>
      <c r="F176" s="118">
        <v>45750</v>
      </c>
      <c r="G176" s="105" t="s">
        <v>130</v>
      </c>
      <c r="H176" s="39" t="str">
        <f>_xlfn.XLOOKUP(Table6[[#This Row],[Affected WTG]],'Basic Data'!$A:$A,'Basic Data'!$B:$B)</f>
        <v>PWEGPL</v>
      </c>
      <c r="I176" s="39" t="str">
        <f>_xlfn.XLOOKUP(Table6[[#This Row],[Affected WTG]],'Basic Data'!$A:$A,'Basic Data'!$C:$C)</f>
        <v>MSEDCL</v>
      </c>
      <c r="J176" s="345">
        <f>IFERROR(VLOOKUP(Table6[[#This Row],[Affected WTG]],'Basic Data'!$A$3:$E$56,5,0),"")</f>
        <v>2.564102564102564E-2</v>
      </c>
      <c r="K176" s="105">
        <v>2118</v>
      </c>
      <c r="L176" s="39" t="str">
        <f>IFERROR(VLOOKUP(Table6[[#This Row],[Error Code]],'Basic Data'!$T:$U,2,0),"")</f>
        <v>Bus Error - Interbus Failure</v>
      </c>
      <c r="M176" s="346" t="s">
        <v>462</v>
      </c>
      <c r="N176" s="39" t="s">
        <v>1270</v>
      </c>
      <c r="O176" s="347">
        <v>0.81944444444444442</v>
      </c>
      <c r="P176" s="347">
        <v>0.92222222222222228</v>
      </c>
      <c r="Q176" s="347">
        <v>0.94444444444444442</v>
      </c>
      <c r="R176" s="348">
        <f>IF(Table6[[#This Row],[Work Start TimeStamp]]="","",(Table6[[#This Row],[Work Start TimeStamp]]-Table6[[#This Row],[Fault Start TimeStamp]])*24)</f>
        <v>2.4666666666666686</v>
      </c>
      <c r="S176" s="349">
        <f>(Table6[[#This Row],[Fault Clearance time]]-Table6[[#This Row],[Work Start TimeStamp]])*24</f>
        <v>0.53333333333333144</v>
      </c>
      <c r="T176" s="350">
        <f>(Table6[[#This Row],[Fault Clearance time]]-Table6[[#This Row],[Fault Start TimeStamp]])*24</f>
        <v>3</v>
      </c>
      <c r="U176" s="346" t="s">
        <v>491</v>
      </c>
      <c r="V176" s="351" t="s">
        <v>463</v>
      </c>
      <c r="W176" s="338">
        <f>Table6[[#This Row],[Breakdown Time]]*(1/39)</f>
        <v>7.6923076923076927E-2</v>
      </c>
      <c r="X176" s="336" t="s">
        <v>465</v>
      </c>
      <c r="Y176" s="352" t="s">
        <v>131</v>
      </c>
      <c r="Z176" s="105">
        <v>10152</v>
      </c>
      <c r="AA176" s="107">
        <v>1269</v>
      </c>
      <c r="AB176" s="105" t="s">
        <v>478</v>
      </c>
    </row>
    <row r="177" spans="1:28">
      <c r="A177" s="105">
        <f t="shared" si="2"/>
        <v>176</v>
      </c>
      <c r="B177" s="107">
        <f>YEAR(Table6[[#This Row],[Date]])+IF(MONTH(Table6[[#This Row],[Date]])&gt;=4,1,0)</f>
        <v>2026</v>
      </c>
      <c r="C177" s="105">
        <f>YEAR(Table6[[#This Row],[Date]])</f>
        <v>2025</v>
      </c>
      <c r="D177" s="105" t="s">
        <v>490</v>
      </c>
      <c r="E177" s="119">
        <f>Table6[[#This Row],[Date]]-DAY(Table6[[#This Row],[Date]])+1</f>
        <v>45748</v>
      </c>
      <c r="F177" s="118">
        <v>45750</v>
      </c>
      <c r="G177" s="105" t="s">
        <v>130</v>
      </c>
      <c r="H177" s="39" t="str">
        <f>_xlfn.XLOOKUP(Table6[[#This Row],[Affected WTG]],'Basic Data'!$A:$A,'Basic Data'!$B:$B)</f>
        <v>PWEGPL</v>
      </c>
      <c r="I177" s="39" t="str">
        <f>_xlfn.XLOOKUP(Table6[[#This Row],[Affected WTG]],'Basic Data'!$A:$A,'Basic Data'!$C:$C)</f>
        <v>MSEDCL</v>
      </c>
      <c r="J177" s="345">
        <f>IFERROR(VLOOKUP(Table6[[#This Row],[Affected WTG]],'Basic Data'!$A$3:$E$56,5,0),"")</f>
        <v>2.564102564102564E-2</v>
      </c>
      <c r="K177" s="105">
        <v>5248</v>
      </c>
      <c r="L177" s="39" t="str">
        <f>IFERROR(VLOOKUP(Table6[[#This Row],[Error Code]],'Basic Data'!$T:$U,2,0),"")</f>
        <v>Active Crowbar IGBT Errors</v>
      </c>
      <c r="M177" s="346" t="s">
        <v>462</v>
      </c>
      <c r="N177" s="39" t="s">
        <v>1270</v>
      </c>
      <c r="O177" s="347">
        <v>0.99375000000000002</v>
      </c>
      <c r="P177" s="347">
        <v>0.99375000000000002</v>
      </c>
      <c r="Q177" s="347">
        <v>0.99930555555555556</v>
      </c>
      <c r="R177" s="348">
        <f>IF(Table6[[#This Row],[Work Start TimeStamp]]="","",(Table6[[#This Row],[Work Start TimeStamp]]-Table6[[#This Row],[Fault Start TimeStamp]])*24)</f>
        <v>0</v>
      </c>
      <c r="S177" s="349">
        <f>(Table6[[#This Row],[Fault Clearance time]]-Table6[[#This Row],[Work Start TimeStamp]])*24</f>
        <v>0.13333333333333286</v>
      </c>
      <c r="T177" s="350">
        <f>(Table6[[#This Row],[Fault Clearance time]]-Table6[[#This Row],[Fault Start TimeStamp]])*24</f>
        <v>0.13333333333333286</v>
      </c>
      <c r="U177" s="346" t="s">
        <v>500</v>
      </c>
      <c r="V177" s="351" t="s">
        <v>463</v>
      </c>
      <c r="W177" s="338">
        <f>Table6[[#This Row],[Breakdown Time]]*(1/39)</f>
        <v>3.4188034188034067E-3</v>
      </c>
      <c r="X177" s="336" t="s">
        <v>465</v>
      </c>
      <c r="Y177" s="352" t="s">
        <v>131</v>
      </c>
      <c r="Z177" s="105">
        <v>10152</v>
      </c>
      <c r="AA177" s="107">
        <v>56.3999999999998</v>
      </c>
      <c r="AB177" s="105" t="s">
        <v>478</v>
      </c>
    </row>
    <row r="178" spans="1:28">
      <c r="A178" s="105">
        <f t="shared" si="2"/>
        <v>177</v>
      </c>
      <c r="B178" s="107">
        <f>YEAR(Table6[[#This Row],[Date]])+IF(MONTH(Table6[[#This Row],[Date]])&gt;=4,1,0)</f>
        <v>2026</v>
      </c>
      <c r="C178" s="105">
        <f>YEAR(Table6[[#This Row],[Date]])</f>
        <v>2025</v>
      </c>
      <c r="D178" s="105" t="s">
        <v>490</v>
      </c>
      <c r="E178" s="119">
        <f>Table6[[#This Row],[Date]]-DAY(Table6[[#This Row],[Date]])+1</f>
        <v>45748</v>
      </c>
      <c r="F178" s="118">
        <v>45750</v>
      </c>
      <c r="G178" s="105" t="s">
        <v>132</v>
      </c>
      <c r="H178" s="39" t="str">
        <f>_xlfn.XLOOKUP(Table6[[#This Row],[Affected WTG]],'Basic Data'!$A:$A,'Basic Data'!$B:$B)</f>
        <v>PWEGPL</v>
      </c>
      <c r="I178" s="39" t="str">
        <f>_xlfn.XLOOKUP(Table6[[#This Row],[Affected WTG]],'Basic Data'!$A:$A,'Basic Data'!$C:$C)</f>
        <v>MSEDCL</v>
      </c>
      <c r="J178" s="345">
        <f>IFERROR(VLOOKUP(Table6[[#This Row],[Affected WTG]],'Basic Data'!$A$3:$E$56,5,0),"")</f>
        <v>2.564102564102564E-2</v>
      </c>
      <c r="K178" s="105">
        <v>813</v>
      </c>
      <c r="L178" s="39" t="str">
        <f>IFERROR(VLOOKUP(Table6[[#This Row],[Error Code]],'Basic Data'!$T:$U,2,0),"")</f>
        <v>Low Pressure Of Emergency Accumulators</v>
      </c>
      <c r="M178" s="346" t="s">
        <v>462</v>
      </c>
      <c r="N178" s="39" t="s">
        <v>1270</v>
      </c>
      <c r="O178" s="347">
        <v>0.82361111111111107</v>
      </c>
      <c r="P178" s="347">
        <v>0.82361111111111107</v>
      </c>
      <c r="Q178" s="347">
        <v>0.82708333333333328</v>
      </c>
      <c r="R178" s="348">
        <f>IF(Table6[[#This Row],[Work Start TimeStamp]]="","",(Table6[[#This Row],[Work Start TimeStamp]]-Table6[[#This Row],[Fault Start TimeStamp]])*24)</f>
        <v>0</v>
      </c>
      <c r="S178" s="349">
        <f>(Table6[[#This Row],[Fault Clearance time]]-Table6[[#This Row],[Work Start TimeStamp]])*24</f>
        <v>8.3333333333333037E-2</v>
      </c>
      <c r="T178" s="350">
        <f>(Table6[[#This Row],[Fault Clearance time]]-Table6[[#This Row],[Fault Start TimeStamp]])*24</f>
        <v>8.3333333333333037E-2</v>
      </c>
      <c r="U178" s="346" t="s">
        <v>480</v>
      </c>
      <c r="V178" s="351" t="s">
        <v>463</v>
      </c>
      <c r="W178" s="338">
        <f>Table6[[#This Row],[Breakdown Time]]*(1/39)</f>
        <v>2.1367521367521292E-3</v>
      </c>
      <c r="X178" s="336" t="s">
        <v>465</v>
      </c>
      <c r="Y178" s="352" t="s">
        <v>133</v>
      </c>
      <c r="Z178" s="105">
        <v>10280</v>
      </c>
      <c r="AA178" s="107">
        <v>35.694444444444315</v>
      </c>
      <c r="AB178" s="105" t="s">
        <v>478</v>
      </c>
    </row>
    <row r="179" spans="1:28">
      <c r="A179" s="105">
        <f t="shared" si="2"/>
        <v>178</v>
      </c>
      <c r="B179" s="107">
        <f>YEAR(Table6[[#This Row],[Date]])+IF(MONTH(Table6[[#This Row],[Date]])&gt;=4,1,0)</f>
        <v>2026</v>
      </c>
      <c r="C179" s="105">
        <f>YEAR(Table6[[#This Row],[Date]])</f>
        <v>2025</v>
      </c>
      <c r="D179" s="105" t="s">
        <v>490</v>
      </c>
      <c r="E179" s="119">
        <f>Table6[[#This Row],[Date]]-DAY(Table6[[#This Row],[Date]])+1</f>
        <v>45748</v>
      </c>
      <c r="F179" s="118">
        <v>45750</v>
      </c>
      <c r="G179" s="105" t="s">
        <v>132</v>
      </c>
      <c r="H179" s="39" t="str">
        <f>_xlfn.XLOOKUP(Table6[[#This Row],[Affected WTG]],'Basic Data'!$A:$A,'Basic Data'!$B:$B)</f>
        <v>PWEGPL</v>
      </c>
      <c r="I179" s="39" t="str">
        <f>_xlfn.XLOOKUP(Table6[[#This Row],[Affected WTG]],'Basic Data'!$A:$A,'Basic Data'!$C:$C)</f>
        <v>MSEDCL</v>
      </c>
      <c r="J179" s="345">
        <f>IFERROR(VLOOKUP(Table6[[#This Row],[Affected WTG]],'Basic Data'!$A$3:$E$56,5,0),"")</f>
        <v>2.564102564102564E-2</v>
      </c>
      <c r="K179" s="105">
        <v>813</v>
      </c>
      <c r="L179" s="39" t="str">
        <f>IFERROR(VLOOKUP(Table6[[#This Row],[Error Code]],'Basic Data'!$T:$U,2,0),"")</f>
        <v>Low Pressure Of Emergency Accumulators</v>
      </c>
      <c r="M179" s="346" t="s">
        <v>462</v>
      </c>
      <c r="N179" s="39" t="s">
        <v>1270</v>
      </c>
      <c r="O179" s="347">
        <v>0.84097222222222223</v>
      </c>
      <c r="P179" s="347">
        <v>0.95277777777777772</v>
      </c>
      <c r="Q179" s="347">
        <v>0.95416666666666672</v>
      </c>
      <c r="R179" s="348">
        <f>IF(Table6[[#This Row],[Work Start TimeStamp]]="","",(Table6[[#This Row],[Work Start TimeStamp]]-Table6[[#This Row],[Fault Start TimeStamp]])*24)</f>
        <v>2.6833333333333318</v>
      </c>
      <c r="S179" s="349">
        <f>(Table6[[#This Row],[Fault Clearance time]]-Table6[[#This Row],[Work Start TimeStamp]])*24</f>
        <v>3.3333333333335879E-2</v>
      </c>
      <c r="T179" s="350">
        <f>(Table6[[#This Row],[Fault Clearance time]]-Table6[[#This Row],[Fault Start TimeStamp]])*24</f>
        <v>2.7166666666666677</v>
      </c>
      <c r="U179" s="346" t="s">
        <v>493</v>
      </c>
      <c r="V179" s="351" t="s">
        <v>463</v>
      </c>
      <c r="W179" s="338">
        <f>Table6[[#This Row],[Breakdown Time]]*(1/39)</f>
        <v>6.9658119658119688E-2</v>
      </c>
      <c r="X179" s="336" t="s">
        <v>465</v>
      </c>
      <c r="Y179" s="352" t="s">
        <v>133</v>
      </c>
      <c r="Z179" s="105">
        <v>10280</v>
      </c>
      <c r="AA179" s="107">
        <v>1163.6388888888894</v>
      </c>
      <c r="AB179" s="105" t="s">
        <v>478</v>
      </c>
    </row>
    <row r="180" spans="1:28">
      <c r="A180" s="105">
        <f t="shared" si="2"/>
        <v>179</v>
      </c>
      <c r="B180" s="107">
        <f>YEAR(Table6[[#This Row],[Date]])+IF(MONTH(Table6[[#This Row],[Date]])&gt;=4,1,0)</f>
        <v>2026</v>
      </c>
      <c r="C180" s="105">
        <f>YEAR(Table6[[#This Row],[Date]])</f>
        <v>2025</v>
      </c>
      <c r="D180" s="105" t="s">
        <v>490</v>
      </c>
      <c r="E180" s="119">
        <f>Table6[[#This Row],[Date]]-DAY(Table6[[#This Row],[Date]])+1</f>
        <v>45748</v>
      </c>
      <c r="F180" s="118">
        <v>45750</v>
      </c>
      <c r="G180" s="105" t="s">
        <v>138</v>
      </c>
      <c r="H180" s="39" t="str">
        <f>_xlfn.XLOOKUP(Table6[[#This Row],[Affected WTG]],'Basic Data'!$A:$A,'Basic Data'!$B:$B)</f>
        <v>PWEGPL</v>
      </c>
      <c r="I180" s="39" t="str">
        <f>_xlfn.XLOOKUP(Table6[[#This Row],[Affected WTG]],'Basic Data'!$A:$A,'Basic Data'!$C:$C)</f>
        <v>MSEDCL</v>
      </c>
      <c r="J180" s="345">
        <f>IFERROR(VLOOKUP(Table6[[#This Row],[Affected WTG]],'Basic Data'!$A$3:$E$56,5,0),"")</f>
        <v>2.564102564102564E-2</v>
      </c>
      <c r="K180" s="105">
        <v>205</v>
      </c>
      <c r="L180" s="39" t="str">
        <f>IFERROR(VLOOKUP(Table6[[#This Row],[Error Code]],'Basic Data'!$T:$U,2,0),"")</f>
        <v>Low Level Hydraulic Group Refrigeration Oil</v>
      </c>
      <c r="M180" s="346" t="s">
        <v>462</v>
      </c>
      <c r="N180" s="39" t="s">
        <v>1270</v>
      </c>
      <c r="O180" s="347">
        <v>0.50069444444444444</v>
      </c>
      <c r="P180" s="347">
        <v>0.59097222222222223</v>
      </c>
      <c r="Q180" s="347">
        <v>0.64236111111111116</v>
      </c>
      <c r="R180" s="348">
        <f>IF(Table6[[#This Row],[Work Start TimeStamp]]="","",(Table6[[#This Row],[Work Start TimeStamp]]-Table6[[#This Row],[Fault Start TimeStamp]])*24)</f>
        <v>2.166666666666667</v>
      </c>
      <c r="S180" s="349">
        <f>(Table6[[#This Row],[Fault Clearance time]]-Table6[[#This Row],[Work Start TimeStamp]])*24</f>
        <v>1.2333333333333343</v>
      </c>
      <c r="T180" s="350">
        <f>(Table6[[#This Row],[Fault Clearance time]]-Table6[[#This Row],[Fault Start TimeStamp]])*24</f>
        <v>3.4000000000000012</v>
      </c>
      <c r="U180" s="346" t="s">
        <v>509</v>
      </c>
      <c r="V180" s="351" t="s">
        <v>463</v>
      </c>
      <c r="W180" s="338">
        <f>Table6[[#This Row],[Breakdown Time]]*(1/39)</f>
        <v>8.7179487179487203E-2</v>
      </c>
      <c r="X180" s="336" t="s">
        <v>465</v>
      </c>
      <c r="Y180" s="352" t="s">
        <v>140</v>
      </c>
      <c r="Z180" s="105">
        <v>6588</v>
      </c>
      <c r="AA180" s="107">
        <v>933.3000000000003</v>
      </c>
      <c r="AB180" s="105" t="s">
        <v>478</v>
      </c>
    </row>
    <row r="181" spans="1:28">
      <c r="A181" s="105">
        <f t="shared" si="2"/>
        <v>180</v>
      </c>
      <c r="B181" s="107">
        <f>YEAR(Table6[[#This Row],[Date]])+IF(MONTH(Table6[[#This Row],[Date]])&gt;=4,1,0)</f>
        <v>2026</v>
      </c>
      <c r="C181" s="105">
        <f>YEAR(Table6[[#This Row],[Date]])</f>
        <v>2025</v>
      </c>
      <c r="D181" s="105" t="s">
        <v>490</v>
      </c>
      <c r="E181" s="119">
        <f>Table6[[#This Row],[Date]]-DAY(Table6[[#This Row],[Date]])+1</f>
        <v>45748</v>
      </c>
      <c r="F181" s="118">
        <v>45750</v>
      </c>
      <c r="G181" s="105" t="s">
        <v>145</v>
      </c>
      <c r="H181" s="39" t="str">
        <f>_xlfn.XLOOKUP(Table6[[#This Row],[Affected WTG]],'Basic Data'!$A:$A,'Basic Data'!$B:$B)</f>
        <v>PWEGPL</v>
      </c>
      <c r="I181" s="39" t="str">
        <f>_xlfn.XLOOKUP(Table6[[#This Row],[Affected WTG]],'Basic Data'!$A:$A,'Basic Data'!$C:$C)</f>
        <v>MSEDCL</v>
      </c>
      <c r="J181" s="345">
        <f>IFERROR(VLOOKUP(Table6[[#This Row],[Affected WTG]],'Basic Data'!$A$3:$E$56,5,0),"")</f>
        <v>2.564102564102564E-2</v>
      </c>
      <c r="K181" s="105">
        <v>700</v>
      </c>
      <c r="L181" s="39" t="str">
        <f>IFERROR(VLOOKUP(Table6[[#This Row],[Error Code]],'Basic Data'!$T:$U,2,0),"")</f>
        <v>PLC-Converter Communication Error</v>
      </c>
      <c r="M181" s="346" t="s">
        <v>462</v>
      </c>
      <c r="N181" s="39" t="s">
        <v>1270</v>
      </c>
      <c r="O181" s="347">
        <v>4.8611111111111112E-3</v>
      </c>
      <c r="P181" s="347">
        <v>6.5972222222222224E-2</v>
      </c>
      <c r="Q181" s="347">
        <v>7.2916666666666671E-2</v>
      </c>
      <c r="R181" s="348">
        <f>IF(Table6[[#This Row],[Work Start TimeStamp]]="","",(Table6[[#This Row],[Work Start TimeStamp]]-Table6[[#This Row],[Fault Start TimeStamp]])*24)</f>
        <v>1.4666666666666668</v>
      </c>
      <c r="S181" s="349">
        <f>(Table6[[#This Row],[Fault Clearance time]]-Table6[[#This Row],[Work Start TimeStamp]])*24</f>
        <v>0.16666666666666674</v>
      </c>
      <c r="T181" s="350">
        <f>(Table6[[#This Row],[Fault Clearance time]]-Table6[[#This Row],[Fault Start TimeStamp]])*24</f>
        <v>1.6333333333333335</v>
      </c>
      <c r="U181" s="346" t="s">
        <v>493</v>
      </c>
      <c r="V181" s="351" t="s">
        <v>463</v>
      </c>
      <c r="W181" s="338">
        <f>Table6[[#This Row],[Breakdown Time]]*(1/39)</f>
        <v>4.1880341880341884E-2</v>
      </c>
      <c r="X181" s="336" t="s">
        <v>465</v>
      </c>
      <c r="Y181" s="352" t="s">
        <v>139</v>
      </c>
      <c r="Z181" s="105">
        <v>7248</v>
      </c>
      <c r="AA181" s="107">
        <v>493.26666666666671</v>
      </c>
      <c r="AB181" s="105" t="s">
        <v>478</v>
      </c>
    </row>
    <row r="182" spans="1:28">
      <c r="A182" s="105">
        <f t="shared" si="2"/>
        <v>181</v>
      </c>
      <c r="B182" s="107">
        <f>YEAR(Table6[[#This Row],[Date]])+IF(MONTH(Table6[[#This Row],[Date]])&gt;=4,1,0)</f>
        <v>2026</v>
      </c>
      <c r="C182" s="105">
        <f>YEAR(Table6[[#This Row],[Date]])</f>
        <v>2025</v>
      </c>
      <c r="D182" s="105" t="s">
        <v>490</v>
      </c>
      <c r="E182" s="119">
        <f>Table6[[#This Row],[Date]]-DAY(Table6[[#This Row],[Date]])+1</f>
        <v>45748</v>
      </c>
      <c r="F182" s="118">
        <v>45750</v>
      </c>
      <c r="G182" s="105" t="s">
        <v>145</v>
      </c>
      <c r="H182" s="39" t="str">
        <f>_xlfn.XLOOKUP(Table6[[#This Row],[Affected WTG]],'Basic Data'!$A:$A,'Basic Data'!$B:$B)</f>
        <v>PWEGPL</v>
      </c>
      <c r="I182" s="39" t="str">
        <f>_xlfn.XLOOKUP(Table6[[#This Row],[Affected WTG]],'Basic Data'!$A:$A,'Basic Data'!$C:$C)</f>
        <v>MSEDCL</v>
      </c>
      <c r="J182" s="345">
        <f>IFERROR(VLOOKUP(Table6[[#This Row],[Affected WTG]],'Basic Data'!$A$3:$E$56,5,0),"")</f>
        <v>2.564102564102564E-2</v>
      </c>
      <c r="K182" s="105">
        <v>700</v>
      </c>
      <c r="L182" s="39" t="str">
        <f>IFERROR(VLOOKUP(Table6[[#This Row],[Error Code]],'Basic Data'!$T:$U,2,0),"")</f>
        <v>PLC-Converter Communication Error</v>
      </c>
      <c r="M182" s="346" t="s">
        <v>462</v>
      </c>
      <c r="N182" s="39" t="s">
        <v>1270</v>
      </c>
      <c r="O182" s="347">
        <v>0.25833333333333336</v>
      </c>
      <c r="P182" s="347">
        <v>0.30625000000000002</v>
      </c>
      <c r="Q182" s="347">
        <v>0.50416666666666665</v>
      </c>
      <c r="R182" s="348">
        <f>IF(Table6[[#This Row],[Work Start TimeStamp]]="","",(Table6[[#This Row],[Work Start TimeStamp]]-Table6[[#This Row],[Fault Start TimeStamp]])*24)</f>
        <v>1.1499999999999999</v>
      </c>
      <c r="S182" s="349">
        <f>(Table6[[#This Row],[Fault Clearance time]]-Table6[[#This Row],[Work Start TimeStamp]])*24</f>
        <v>4.7499999999999991</v>
      </c>
      <c r="T182" s="350">
        <f>(Table6[[#This Row],[Fault Clearance time]]-Table6[[#This Row],[Fault Start TimeStamp]])*24</f>
        <v>5.8999999999999986</v>
      </c>
      <c r="U182" s="346" t="s">
        <v>529</v>
      </c>
      <c r="V182" s="351" t="s">
        <v>463</v>
      </c>
      <c r="W182" s="338">
        <f>Table6[[#This Row],[Breakdown Time]]*(1/39)</f>
        <v>0.15128205128205124</v>
      </c>
      <c r="X182" s="336" t="s">
        <v>465</v>
      </c>
      <c r="Y182" s="352" t="s">
        <v>139</v>
      </c>
      <c r="Z182" s="105">
        <v>7248</v>
      </c>
      <c r="AA182" s="107">
        <v>1781.7999999999995</v>
      </c>
      <c r="AB182" s="105" t="s">
        <v>478</v>
      </c>
    </row>
    <row r="183" spans="1:28">
      <c r="A183" s="105">
        <f t="shared" si="2"/>
        <v>182</v>
      </c>
      <c r="B183" s="107">
        <f>YEAR(Table6[[#This Row],[Date]])+IF(MONTH(Table6[[#This Row],[Date]])&gt;=4,1,0)</f>
        <v>2026</v>
      </c>
      <c r="C183" s="105">
        <f>YEAR(Table6[[#This Row],[Date]])</f>
        <v>2025</v>
      </c>
      <c r="D183" s="105" t="s">
        <v>490</v>
      </c>
      <c r="E183" s="119">
        <f>Table6[[#This Row],[Date]]-DAY(Table6[[#This Row],[Date]])+1</f>
        <v>45748</v>
      </c>
      <c r="F183" s="118">
        <v>45750</v>
      </c>
      <c r="G183" s="105" t="s">
        <v>146</v>
      </c>
      <c r="H183" s="39" t="str">
        <f>_xlfn.XLOOKUP(Table6[[#This Row],[Affected WTG]],'Basic Data'!$A:$A,'Basic Data'!$B:$B)</f>
        <v>PWEGPL</v>
      </c>
      <c r="I183" s="39" t="str">
        <f>_xlfn.XLOOKUP(Table6[[#This Row],[Affected WTG]],'Basic Data'!$A:$A,'Basic Data'!$C:$C)</f>
        <v>MSEDCL</v>
      </c>
      <c r="J183" s="345">
        <f>IFERROR(VLOOKUP(Table6[[#This Row],[Affected WTG]],'Basic Data'!$A$3:$E$56,5,0),"")</f>
        <v>2.564102564102564E-2</v>
      </c>
      <c r="K183" s="105">
        <v>813</v>
      </c>
      <c r="L183" s="39" t="str">
        <f>IFERROR(VLOOKUP(Table6[[#This Row],[Error Code]],'Basic Data'!$T:$U,2,0),"")</f>
        <v>Low Pressure Of Emergency Accumulators</v>
      </c>
      <c r="M183" s="346" t="s">
        <v>462</v>
      </c>
      <c r="N183" s="39" t="s">
        <v>1270</v>
      </c>
      <c r="O183" s="347">
        <v>0.49930555555555556</v>
      </c>
      <c r="P183" s="347">
        <v>0.5444444444444444</v>
      </c>
      <c r="Q183" s="347">
        <v>0.5493055555555556</v>
      </c>
      <c r="R183" s="348">
        <f>IF(Table6[[#This Row],[Work Start TimeStamp]]="","",(Table6[[#This Row],[Work Start TimeStamp]]-Table6[[#This Row],[Fault Start TimeStamp]])*24)</f>
        <v>1.0833333333333321</v>
      </c>
      <c r="S183" s="349">
        <f>(Table6[[#This Row],[Fault Clearance time]]-Table6[[#This Row],[Work Start TimeStamp]])*24</f>
        <v>0.11666666666666892</v>
      </c>
      <c r="T183" s="350">
        <f>(Table6[[#This Row],[Fault Clearance time]]-Table6[[#This Row],[Fault Start TimeStamp]])*24</f>
        <v>1.2000000000000011</v>
      </c>
      <c r="U183" s="346" t="s">
        <v>491</v>
      </c>
      <c r="V183" s="351" t="s">
        <v>463</v>
      </c>
      <c r="W183" s="338">
        <f>Table6[[#This Row],[Breakdown Time]]*(1/39)</f>
        <v>3.0769230769230795E-2</v>
      </c>
      <c r="X183" s="336" t="s">
        <v>465</v>
      </c>
      <c r="Y183" s="352" t="s">
        <v>147</v>
      </c>
      <c r="Z183" s="105">
        <v>3472</v>
      </c>
      <c r="AA183" s="107">
        <v>173.60000000000014</v>
      </c>
      <c r="AB183" s="105" t="s">
        <v>478</v>
      </c>
    </row>
    <row r="184" spans="1:28">
      <c r="A184" s="105">
        <f t="shared" si="2"/>
        <v>183</v>
      </c>
      <c r="B184" s="107">
        <f>YEAR(Table6[[#This Row],[Date]])+IF(MONTH(Table6[[#This Row],[Date]])&gt;=4,1,0)</f>
        <v>2026</v>
      </c>
      <c r="C184" s="105">
        <f>YEAR(Table6[[#This Row],[Date]])</f>
        <v>2025</v>
      </c>
      <c r="D184" s="105" t="s">
        <v>490</v>
      </c>
      <c r="E184" s="119">
        <f>Table6[[#This Row],[Date]]-DAY(Table6[[#This Row],[Date]])+1</f>
        <v>45748</v>
      </c>
      <c r="F184" s="118">
        <v>45750</v>
      </c>
      <c r="G184" s="105" t="s">
        <v>146</v>
      </c>
      <c r="H184" s="39" t="str">
        <f>_xlfn.XLOOKUP(Table6[[#This Row],[Affected WTG]],'Basic Data'!$A:$A,'Basic Data'!$B:$B)</f>
        <v>PWEGPL</v>
      </c>
      <c r="I184" s="39" t="str">
        <f>_xlfn.XLOOKUP(Table6[[#This Row],[Affected WTG]],'Basic Data'!$A:$A,'Basic Data'!$C:$C)</f>
        <v>MSEDCL</v>
      </c>
      <c r="J184" s="345">
        <f>IFERROR(VLOOKUP(Table6[[#This Row],[Affected WTG]],'Basic Data'!$A$3:$E$56,5,0),"")</f>
        <v>2.564102564102564E-2</v>
      </c>
      <c r="K184" s="105">
        <v>813</v>
      </c>
      <c r="L184" s="39" t="str">
        <f>IFERROR(VLOOKUP(Table6[[#This Row],[Error Code]],'Basic Data'!$T:$U,2,0),"")</f>
        <v>Low Pressure Of Emergency Accumulators</v>
      </c>
      <c r="M184" s="346" t="s">
        <v>462</v>
      </c>
      <c r="N184" s="39" t="s">
        <v>1270</v>
      </c>
      <c r="O184" s="347">
        <v>0.55069444444444449</v>
      </c>
      <c r="P184" s="347">
        <v>0.5756944444444444</v>
      </c>
      <c r="Q184" s="347">
        <v>0.63680555555555551</v>
      </c>
      <c r="R184" s="348">
        <f>IF(Table6[[#This Row],[Work Start TimeStamp]]="","",(Table6[[#This Row],[Work Start TimeStamp]]-Table6[[#This Row],[Fault Start TimeStamp]])*24)</f>
        <v>0.59999999999999787</v>
      </c>
      <c r="S184" s="349">
        <f>(Table6[[#This Row],[Fault Clearance time]]-Table6[[#This Row],[Work Start TimeStamp]])*24</f>
        <v>1.4666666666666668</v>
      </c>
      <c r="T184" s="350">
        <f>(Table6[[#This Row],[Fault Clearance time]]-Table6[[#This Row],[Fault Start TimeStamp]])*24</f>
        <v>2.0666666666666647</v>
      </c>
      <c r="U184" s="346" t="s">
        <v>530</v>
      </c>
      <c r="V184" s="351" t="s">
        <v>463</v>
      </c>
      <c r="W184" s="338">
        <f>Table6[[#This Row],[Breakdown Time]]*(1/39)</f>
        <v>5.2991452991452935E-2</v>
      </c>
      <c r="X184" s="336" t="s">
        <v>465</v>
      </c>
      <c r="Y184" s="352" t="s">
        <v>147</v>
      </c>
      <c r="Z184" s="105">
        <v>6772</v>
      </c>
      <c r="AA184" s="107">
        <v>583.14444444444393</v>
      </c>
      <c r="AB184" s="105" t="s">
        <v>478</v>
      </c>
    </row>
    <row r="185" spans="1:28">
      <c r="A185" s="105">
        <f t="shared" si="2"/>
        <v>184</v>
      </c>
      <c r="B185" s="107">
        <f>YEAR(Table6[[#This Row],[Date]])+IF(MONTH(Table6[[#This Row],[Date]])&gt;=4,1,0)</f>
        <v>2026</v>
      </c>
      <c r="C185" s="105">
        <f>YEAR(Table6[[#This Row],[Date]])</f>
        <v>2025</v>
      </c>
      <c r="D185" s="105" t="s">
        <v>490</v>
      </c>
      <c r="E185" s="119">
        <f>Table6[[#This Row],[Date]]-DAY(Table6[[#This Row],[Date]])+1</f>
        <v>45748</v>
      </c>
      <c r="F185" s="118">
        <v>45750</v>
      </c>
      <c r="G185" s="105" t="s">
        <v>147</v>
      </c>
      <c r="H185" s="39" t="str">
        <f>_xlfn.XLOOKUP(Table6[[#This Row],[Affected WTG]],'Basic Data'!$A:$A,'Basic Data'!$B:$B)</f>
        <v>PWEGPL</v>
      </c>
      <c r="I185" s="39" t="str">
        <f>_xlfn.XLOOKUP(Table6[[#This Row],[Affected WTG]],'Basic Data'!$A:$A,'Basic Data'!$C:$C)</f>
        <v>MSEDCL</v>
      </c>
      <c r="J185" s="345">
        <f>IFERROR(VLOOKUP(Table6[[#This Row],[Affected WTG]],'Basic Data'!$A$3:$E$56,5,0),"")</f>
        <v>2.564102564102564E-2</v>
      </c>
      <c r="K185" s="105">
        <v>5201</v>
      </c>
      <c r="L185" s="39" t="str">
        <f>IFERROR(VLOOKUP(Table6[[#This Row],[Error Code]],'Basic Data'!$T:$U,2,0),"")</f>
        <v>Magnetothermic Trigger Of The Stator Protection</v>
      </c>
      <c r="M185" s="346" t="s">
        <v>462</v>
      </c>
      <c r="N185" s="39" t="s">
        <v>1270</v>
      </c>
      <c r="O185" s="347">
        <v>0.85486111111111107</v>
      </c>
      <c r="P185" s="347">
        <v>0.99930555555555556</v>
      </c>
      <c r="Q185" s="347">
        <v>0.99930555555555556</v>
      </c>
      <c r="R185" s="348">
        <f>IF(Table6[[#This Row],[Work Start TimeStamp]]="","",(Table6[[#This Row],[Work Start TimeStamp]]-Table6[[#This Row],[Fault Start TimeStamp]])*24)</f>
        <v>3.4666666666666677</v>
      </c>
      <c r="S185" s="349">
        <f>(Table6[[#This Row],[Fault Clearance time]]-Table6[[#This Row],[Work Start TimeStamp]])*24</f>
        <v>0</v>
      </c>
      <c r="T185" s="350">
        <f>(Table6[[#This Row],[Fault Clearance time]]-Table6[[#This Row],[Fault Start TimeStamp]])*24</f>
        <v>3.4666666666666677</v>
      </c>
      <c r="U185" s="346" t="s">
        <v>500</v>
      </c>
      <c r="V185" s="351" t="s">
        <v>463</v>
      </c>
      <c r="W185" s="338">
        <f>Table6[[#This Row],[Breakdown Time]]*(1/39)</f>
        <v>8.8888888888888906E-2</v>
      </c>
      <c r="X185" s="336" t="s">
        <v>465</v>
      </c>
      <c r="Y185" s="352" t="s">
        <v>146</v>
      </c>
      <c r="Z185" s="105">
        <v>5908</v>
      </c>
      <c r="AA185" s="107">
        <v>853.37777777777796</v>
      </c>
      <c r="AB185" s="105" t="s">
        <v>478</v>
      </c>
    </row>
    <row r="186" spans="1:28">
      <c r="A186" s="105">
        <f t="shared" si="2"/>
        <v>185</v>
      </c>
      <c r="B186" s="107">
        <f>YEAR(Table6[[#This Row],[Date]])+IF(MONTH(Table6[[#This Row],[Date]])&gt;=4,1,0)</f>
        <v>2026</v>
      </c>
      <c r="C186" s="105">
        <f>YEAR(Table6[[#This Row],[Date]])</f>
        <v>2025</v>
      </c>
      <c r="D186" s="105" t="s">
        <v>490</v>
      </c>
      <c r="E186" s="119">
        <f>Table6[[#This Row],[Date]]-DAY(Table6[[#This Row],[Date]])+1</f>
        <v>45748</v>
      </c>
      <c r="F186" s="118">
        <v>45750</v>
      </c>
      <c r="G186" s="105" t="s">
        <v>149</v>
      </c>
      <c r="H186" s="39" t="str">
        <f>_xlfn.XLOOKUP(Table6[[#This Row],[Affected WTG]],'Basic Data'!$A:$A,'Basic Data'!$B:$B)</f>
        <v>PWEGPL</v>
      </c>
      <c r="I186" s="39" t="str">
        <f>_xlfn.XLOOKUP(Table6[[#This Row],[Affected WTG]],'Basic Data'!$A:$A,'Basic Data'!$C:$C)</f>
        <v>MSEDCL</v>
      </c>
      <c r="J186" s="345">
        <f>IFERROR(VLOOKUP(Table6[[#This Row],[Affected WTG]],'Basic Data'!$A$3:$E$56,5,0),"")</f>
        <v>2.564102564102564E-2</v>
      </c>
      <c r="K186" s="105" t="s">
        <v>492</v>
      </c>
      <c r="L186" s="39" t="str">
        <f>IFERROR(VLOOKUP(Table6[[#This Row],[Error Code]],'Basic Data'!$T:$U,2,0),"")</f>
        <v>Manual Stop - Safety Related</v>
      </c>
      <c r="M186" s="346" t="s">
        <v>462</v>
      </c>
      <c r="N186" s="39" t="s">
        <v>1270</v>
      </c>
      <c r="O186" s="347">
        <v>0.65208333333333335</v>
      </c>
      <c r="P186" s="347">
        <v>0.65208333333333335</v>
      </c>
      <c r="Q186" s="347">
        <v>0.71319444444444446</v>
      </c>
      <c r="R186" s="348">
        <f>IF(Table6[[#This Row],[Work Start TimeStamp]]="","",(Table6[[#This Row],[Work Start TimeStamp]]-Table6[[#This Row],[Fault Start TimeStamp]])*24)</f>
        <v>0</v>
      </c>
      <c r="S186" s="349">
        <f>(Table6[[#This Row],[Fault Clearance time]]-Table6[[#This Row],[Work Start TimeStamp]])*24</f>
        <v>1.4666666666666668</v>
      </c>
      <c r="T186" s="350">
        <f>(Table6[[#This Row],[Fault Clearance time]]-Table6[[#This Row],[Fault Start TimeStamp]])*24</f>
        <v>1.4666666666666668</v>
      </c>
      <c r="U186" s="346" t="s">
        <v>501</v>
      </c>
      <c r="V186" s="351" t="s">
        <v>463</v>
      </c>
      <c r="W186" s="338">
        <f>Table6[[#This Row],[Breakdown Time]]*(1/39)</f>
        <v>3.7606837606837612E-2</v>
      </c>
      <c r="X186" s="336" t="s">
        <v>465</v>
      </c>
      <c r="Y186" s="352" t="s">
        <v>150</v>
      </c>
      <c r="Z186" s="105">
        <v>6498</v>
      </c>
      <c r="AA186" s="107">
        <v>397.1</v>
      </c>
      <c r="AB186" s="105" t="s">
        <v>478</v>
      </c>
    </row>
    <row r="187" spans="1:28">
      <c r="A187" s="105">
        <f t="shared" si="2"/>
        <v>186</v>
      </c>
      <c r="B187" s="107">
        <f>YEAR(Table6[[#This Row],[Date]])+IF(MONTH(Table6[[#This Row],[Date]])&gt;=4,1,0)</f>
        <v>2026</v>
      </c>
      <c r="C187" s="105">
        <f>YEAR(Table6[[#This Row],[Date]])</f>
        <v>2025</v>
      </c>
      <c r="D187" s="105" t="s">
        <v>490</v>
      </c>
      <c r="E187" s="119">
        <f>Table6[[#This Row],[Date]]-DAY(Table6[[#This Row],[Date]])+1</f>
        <v>45748</v>
      </c>
      <c r="F187" s="118">
        <v>45750</v>
      </c>
      <c r="G187" s="105" t="s">
        <v>151</v>
      </c>
      <c r="H187" s="39" t="str">
        <f>_xlfn.XLOOKUP(Table6[[#This Row],[Affected WTG]],'Basic Data'!$A:$A,'Basic Data'!$B:$B)</f>
        <v>PWEGPL</v>
      </c>
      <c r="I187" s="39" t="str">
        <f>_xlfn.XLOOKUP(Table6[[#This Row],[Affected WTG]],'Basic Data'!$A:$A,'Basic Data'!$C:$C)</f>
        <v>MSEDCL</v>
      </c>
      <c r="J187" s="345">
        <f>IFERROR(VLOOKUP(Table6[[#This Row],[Affected WTG]],'Basic Data'!$A$3:$E$56,5,0),"")</f>
        <v>2.564102564102564E-2</v>
      </c>
      <c r="K187" s="105">
        <v>5203</v>
      </c>
      <c r="L187" s="39" t="str">
        <f>IFERROR(VLOOKUP(Table6[[#This Row],[Error Code]],'Basic Data'!$T:$U,2,0),"")</f>
        <v>Heating/Coolant Thermal Magnetic Failure</v>
      </c>
      <c r="M187" s="346" t="s">
        <v>462</v>
      </c>
      <c r="N187" s="39" t="s">
        <v>1270</v>
      </c>
      <c r="O187" s="347">
        <v>6.6666666666666666E-2</v>
      </c>
      <c r="P187" s="347">
        <v>0.46458333333333335</v>
      </c>
      <c r="Q187" s="347">
        <v>0.51597222222222228</v>
      </c>
      <c r="R187" s="348">
        <f>IF(Table6[[#This Row],[Work Start TimeStamp]]="","",(Table6[[#This Row],[Work Start TimeStamp]]-Table6[[#This Row],[Fault Start TimeStamp]])*24)</f>
        <v>9.5500000000000007</v>
      </c>
      <c r="S187" s="349">
        <f>(Table6[[#This Row],[Fault Clearance time]]-Table6[[#This Row],[Work Start TimeStamp]])*24</f>
        <v>1.2333333333333343</v>
      </c>
      <c r="T187" s="350">
        <f>(Table6[[#This Row],[Fault Clearance time]]-Table6[[#This Row],[Fault Start TimeStamp]])*24</f>
        <v>10.783333333333335</v>
      </c>
      <c r="U187" s="346" t="s">
        <v>531</v>
      </c>
      <c r="V187" s="351" t="s">
        <v>463</v>
      </c>
      <c r="W187" s="338">
        <f>Table6[[#This Row],[Breakdown Time]]*(1/39)</f>
        <v>0.27649572649572651</v>
      </c>
      <c r="X187" s="336" t="s">
        <v>465</v>
      </c>
      <c r="Y187" s="352" t="s">
        <v>152</v>
      </c>
      <c r="Z187" s="105">
        <v>4518</v>
      </c>
      <c r="AA187" s="107">
        <v>2029.9625000000003</v>
      </c>
      <c r="AB187" s="105" t="s">
        <v>478</v>
      </c>
    </row>
    <row r="188" spans="1:28">
      <c r="A188" s="105">
        <f t="shared" si="2"/>
        <v>187</v>
      </c>
      <c r="B188" s="107">
        <f>YEAR(Table6[[#This Row],[Date]])+IF(MONTH(Table6[[#This Row],[Date]])&gt;=4,1,0)</f>
        <v>2026</v>
      </c>
      <c r="C188" s="105">
        <f>YEAR(Table6[[#This Row],[Date]])</f>
        <v>2025</v>
      </c>
      <c r="D188" s="105" t="s">
        <v>490</v>
      </c>
      <c r="E188" s="119">
        <f>Table6[[#This Row],[Date]]-DAY(Table6[[#This Row],[Date]])+1</f>
        <v>45748</v>
      </c>
      <c r="F188" s="118">
        <v>45750</v>
      </c>
      <c r="G188" s="105" t="s">
        <v>152</v>
      </c>
      <c r="H188" s="39" t="str">
        <f>_xlfn.XLOOKUP(Table6[[#This Row],[Affected WTG]],'Basic Data'!$A:$A,'Basic Data'!$B:$B)</f>
        <v>PWEGPL</v>
      </c>
      <c r="I188" s="39" t="str">
        <f>_xlfn.XLOOKUP(Table6[[#This Row],[Affected WTG]],'Basic Data'!$A:$A,'Basic Data'!$C:$C)</f>
        <v>MSEDCL</v>
      </c>
      <c r="J188" s="345">
        <f>IFERROR(VLOOKUP(Table6[[#This Row],[Affected WTG]],'Basic Data'!$A$3:$E$56,5,0),"")</f>
        <v>2.564102564102564E-2</v>
      </c>
      <c r="K188" s="105">
        <v>804</v>
      </c>
      <c r="L188" s="39" t="str">
        <f>IFERROR(VLOOKUP(Table6[[#This Row],[Error Code]],'Basic Data'!$T:$U,2,0),"")</f>
        <v>Difference Between 2 Blades Too High</v>
      </c>
      <c r="M188" s="346" t="s">
        <v>462</v>
      </c>
      <c r="N188" s="39" t="s">
        <v>1270</v>
      </c>
      <c r="O188" s="347">
        <v>0.85486111111111107</v>
      </c>
      <c r="P188" s="347">
        <v>0.85486111111111107</v>
      </c>
      <c r="Q188" s="347">
        <v>0.8666666666666667</v>
      </c>
      <c r="R188" s="348">
        <f>IF(Table6[[#This Row],[Work Start TimeStamp]]="","",(Table6[[#This Row],[Work Start TimeStamp]]-Table6[[#This Row],[Fault Start TimeStamp]])*24)</f>
        <v>0</v>
      </c>
      <c r="S188" s="349">
        <f>(Table6[[#This Row],[Fault Clearance time]]-Table6[[#This Row],[Work Start TimeStamp]])*24</f>
        <v>0.28333333333333499</v>
      </c>
      <c r="T188" s="350">
        <f>(Table6[[#This Row],[Fault Clearance time]]-Table6[[#This Row],[Fault Start TimeStamp]])*24</f>
        <v>0.28333333333333499</v>
      </c>
      <c r="U188" s="346" t="s">
        <v>480</v>
      </c>
      <c r="V188" s="351" t="s">
        <v>463</v>
      </c>
      <c r="W188" s="338">
        <f>Table6[[#This Row],[Breakdown Time]]*(1/39)</f>
        <v>7.2649572649573068E-3</v>
      </c>
      <c r="X188" s="336" t="s">
        <v>465</v>
      </c>
      <c r="Y188" s="352" t="s">
        <v>151</v>
      </c>
      <c r="Z188" s="105">
        <v>6232</v>
      </c>
      <c r="AA188" s="107">
        <v>73.572222222222663</v>
      </c>
      <c r="AB188" s="105" t="s">
        <v>478</v>
      </c>
    </row>
    <row r="189" spans="1:28">
      <c r="A189" s="105">
        <f t="shared" si="2"/>
        <v>188</v>
      </c>
      <c r="B189" s="107">
        <f>YEAR(Table6[[#This Row],[Date]])+IF(MONTH(Table6[[#This Row],[Date]])&gt;=4,1,0)</f>
        <v>2026</v>
      </c>
      <c r="C189" s="105">
        <f>YEAR(Table6[[#This Row],[Date]])</f>
        <v>2025</v>
      </c>
      <c r="D189" s="105" t="s">
        <v>490</v>
      </c>
      <c r="E189" s="119">
        <f>Table6[[#This Row],[Date]]-DAY(Table6[[#This Row],[Date]])+1</f>
        <v>45748</v>
      </c>
      <c r="F189" s="118">
        <v>45750</v>
      </c>
      <c r="G189" s="105" t="s">
        <v>153</v>
      </c>
      <c r="H189" s="39" t="str">
        <f>_xlfn.XLOOKUP(Table6[[#This Row],[Affected WTG]],'Basic Data'!$A:$A,'Basic Data'!$B:$B)</f>
        <v>PWEGPL</v>
      </c>
      <c r="I189" s="39" t="str">
        <f>_xlfn.XLOOKUP(Table6[[#This Row],[Affected WTG]],'Basic Data'!$A:$A,'Basic Data'!$C:$C)</f>
        <v>MSEDCL</v>
      </c>
      <c r="J189" s="345">
        <f>IFERROR(VLOOKUP(Table6[[#This Row],[Affected WTG]],'Basic Data'!$A$3:$E$56,5,0),"")</f>
        <v>2.564102564102564E-2</v>
      </c>
      <c r="K189" s="105">
        <v>804</v>
      </c>
      <c r="L189" s="39" t="str">
        <f>IFERROR(VLOOKUP(Table6[[#This Row],[Error Code]],'Basic Data'!$T:$U,2,0),"")</f>
        <v>Difference Between 2 Blades Too High</v>
      </c>
      <c r="M189" s="346" t="s">
        <v>462</v>
      </c>
      <c r="N189" s="39" t="s">
        <v>1270</v>
      </c>
      <c r="O189" s="347">
        <v>0.60555555555555551</v>
      </c>
      <c r="P189" s="347">
        <v>0.60555555555555551</v>
      </c>
      <c r="Q189" s="347">
        <v>0.60902777777777772</v>
      </c>
      <c r="R189" s="348">
        <f>IF(Table6[[#This Row],[Work Start TimeStamp]]="","",(Table6[[#This Row],[Work Start TimeStamp]]-Table6[[#This Row],[Fault Start TimeStamp]])*24)</f>
        <v>0</v>
      </c>
      <c r="S189" s="349">
        <f>(Table6[[#This Row],[Fault Clearance time]]-Table6[[#This Row],[Work Start TimeStamp]])*24</f>
        <v>8.3333333333333037E-2</v>
      </c>
      <c r="T189" s="350">
        <f>(Table6[[#This Row],[Fault Clearance time]]-Table6[[#This Row],[Fault Start TimeStamp]])*24</f>
        <v>8.3333333333333037E-2</v>
      </c>
      <c r="U189" s="346" t="s">
        <v>480</v>
      </c>
      <c r="V189" s="351" t="s">
        <v>463</v>
      </c>
      <c r="W189" s="338">
        <f>Table6[[#This Row],[Breakdown Time]]*(1/39)</f>
        <v>2.1367521367521292E-3</v>
      </c>
      <c r="X189" s="336" t="s">
        <v>465</v>
      </c>
      <c r="Y189" s="352" t="s">
        <v>153</v>
      </c>
      <c r="Z189" s="105">
        <v>6148</v>
      </c>
      <c r="AA189" s="107">
        <v>21.347222222222147</v>
      </c>
      <c r="AB189" s="105" t="s">
        <v>478</v>
      </c>
    </row>
    <row r="190" spans="1:28">
      <c r="A190" s="105">
        <f t="shared" si="2"/>
        <v>189</v>
      </c>
      <c r="B190" s="107">
        <f>YEAR(Table6[[#This Row],[Date]])+IF(MONTH(Table6[[#This Row],[Date]])&gt;=4,1,0)</f>
        <v>2026</v>
      </c>
      <c r="C190" s="105">
        <f>YEAR(Table6[[#This Row],[Date]])</f>
        <v>2025</v>
      </c>
      <c r="D190" s="105" t="s">
        <v>490</v>
      </c>
      <c r="E190" s="119">
        <f>Table6[[#This Row],[Date]]-DAY(Table6[[#This Row],[Date]])+1</f>
        <v>45748</v>
      </c>
      <c r="F190" s="118">
        <v>45750</v>
      </c>
      <c r="G190" s="105" t="s">
        <v>153</v>
      </c>
      <c r="H190" s="39" t="str">
        <f>_xlfn.XLOOKUP(Table6[[#This Row],[Affected WTG]],'Basic Data'!$A:$A,'Basic Data'!$B:$B)</f>
        <v>PWEGPL</v>
      </c>
      <c r="I190" s="39" t="str">
        <f>_xlfn.XLOOKUP(Table6[[#This Row],[Affected WTG]],'Basic Data'!$A:$A,'Basic Data'!$C:$C)</f>
        <v>MSEDCL</v>
      </c>
      <c r="J190" s="345">
        <f>IFERROR(VLOOKUP(Table6[[#This Row],[Affected WTG]],'Basic Data'!$A$3:$E$56,5,0),"")</f>
        <v>2.564102564102564E-2</v>
      </c>
      <c r="K190" s="105">
        <v>2118</v>
      </c>
      <c r="L190" s="39" t="str">
        <f>IFERROR(VLOOKUP(Table6[[#This Row],[Error Code]],'Basic Data'!$T:$U,2,0),"")</f>
        <v>Bus Error - Interbus Failure</v>
      </c>
      <c r="M190" s="346" t="s">
        <v>462</v>
      </c>
      <c r="N190" s="39" t="s">
        <v>1270</v>
      </c>
      <c r="O190" s="347">
        <v>0.83819444444444446</v>
      </c>
      <c r="P190" s="347">
        <v>0.83819444444444446</v>
      </c>
      <c r="Q190" s="347">
        <v>0.86250000000000004</v>
      </c>
      <c r="R190" s="348">
        <f>IF(Table6[[#This Row],[Work Start TimeStamp]]="","",(Table6[[#This Row],[Work Start TimeStamp]]-Table6[[#This Row],[Fault Start TimeStamp]])*24)</f>
        <v>0</v>
      </c>
      <c r="S190" s="349">
        <f>(Table6[[#This Row],[Fault Clearance time]]-Table6[[#This Row],[Work Start TimeStamp]])*24</f>
        <v>0.58333333333333393</v>
      </c>
      <c r="T190" s="350">
        <f>(Table6[[#This Row],[Fault Clearance time]]-Table6[[#This Row],[Fault Start TimeStamp]])*24</f>
        <v>0.58333333333333393</v>
      </c>
      <c r="U190" s="346" t="s">
        <v>480</v>
      </c>
      <c r="V190" s="351" t="s">
        <v>463</v>
      </c>
      <c r="W190" s="338">
        <f>Table6[[#This Row],[Breakdown Time]]*(1/39)</f>
        <v>1.4957264957264972E-2</v>
      </c>
      <c r="X190" s="336" t="s">
        <v>465</v>
      </c>
      <c r="Y190" s="352" t="s">
        <v>153</v>
      </c>
      <c r="Z190" s="105">
        <v>6148</v>
      </c>
      <c r="AA190" s="107">
        <v>149.43055555555571</v>
      </c>
      <c r="AB190" s="105" t="s">
        <v>478</v>
      </c>
    </row>
    <row r="191" spans="1:28">
      <c r="A191" s="105">
        <f t="shared" si="2"/>
        <v>190</v>
      </c>
      <c r="B191" s="107">
        <f>YEAR(Table6[[#This Row],[Date]])+IF(MONTH(Table6[[#This Row],[Date]])&gt;=4,1,0)</f>
        <v>2026</v>
      </c>
      <c r="C191" s="105">
        <f>YEAR(Table6[[#This Row],[Date]])</f>
        <v>2025</v>
      </c>
      <c r="D191" s="105" t="s">
        <v>490</v>
      </c>
      <c r="E191" s="119">
        <f>Table6[[#This Row],[Date]]-DAY(Table6[[#This Row],[Date]])+1</f>
        <v>45748</v>
      </c>
      <c r="F191" s="118">
        <v>45750</v>
      </c>
      <c r="G191" s="105" t="s">
        <v>153</v>
      </c>
      <c r="H191" s="39" t="str">
        <f>_xlfn.XLOOKUP(Table6[[#This Row],[Affected WTG]],'Basic Data'!$A:$A,'Basic Data'!$B:$B)</f>
        <v>PWEGPL</v>
      </c>
      <c r="I191" s="39" t="str">
        <f>_xlfn.XLOOKUP(Table6[[#This Row],[Affected WTG]],'Basic Data'!$A:$A,'Basic Data'!$C:$C)</f>
        <v>MSEDCL</v>
      </c>
      <c r="J191" s="345">
        <f>IFERROR(VLOOKUP(Table6[[#This Row],[Affected WTG]],'Basic Data'!$A$3:$E$56,5,0),"")</f>
        <v>2.564102564102564E-2</v>
      </c>
      <c r="K191" s="105">
        <v>813</v>
      </c>
      <c r="L191" s="39" t="str">
        <f>IFERROR(VLOOKUP(Table6[[#This Row],[Error Code]],'Basic Data'!$T:$U,2,0),"")</f>
        <v>Low Pressure Of Emergency Accumulators</v>
      </c>
      <c r="M191" s="346" t="s">
        <v>462</v>
      </c>
      <c r="N191" s="39" t="s">
        <v>1270</v>
      </c>
      <c r="O191" s="347">
        <v>0.91180555555555554</v>
      </c>
      <c r="P191" s="347">
        <v>0.91180555555555554</v>
      </c>
      <c r="Q191" s="347">
        <v>0.91527777777777775</v>
      </c>
      <c r="R191" s="348">
        <f>IF(Table6[[#This Row],[Work Start TimeStamp]]="","",(Table6[[#This Row],[Work Start TimeStamp]]-Table6[[#This Row],[Fault Start TimeStamp]])*24)</f>
        <v>0</v>
      </c>
      <c r="S191" s="349">
        <f>(Table6[[#This Row],[Fault Clearance time]]-Table6[[#This Row],[Work Start TimeStamp]])*24</f>
        <v>8.3333333333333037E-2</v>
      </c>
      <c r="T191" s="350">
        <f>(Table6[[#This Row],[Fault Clearance time]]-Table6[[#This Row],[Fault Start TimeStamp]])*24</f>
        <v>8.3333333333333037E-2</v>
      </c>
      <c r="U191" s="346" t="s">
        <v>480</v>
      </c>
      <c r="V191" s="351" t="s">
        <v>463</v>
      </c>
      <c r="W191" s="338">
        <f>Table6[[#This Row],[Breakdown Time]]*(1/39)</f>
        <v>2.1367521367521292E-3</v>
      </c>
      <c r="X191" s="336" t="s">
        <v>465</v>
      </c>
      <c r="Y191" s="352" t="s">
        <v>153</v>
      </c>
      <c r="Z191" s="105">
        <v>6148</v>
      </c>
      <c r="AA191" s="107">
        <v>21.347222222222147</v>
      </c>
      <c r="AB191" s="105" t="s">
        <v>478</v>
      </c>
    </row>
    <row r="192" spans="1:28">
      <c r="A192" s="105">
        <f t="shared" si="2"/>
        <v>191</v>
      </c>
      <c r="B192" s="107">
        <f>YEAR(Table6[[#This Row],[Date]])+IF(MONTH(Table6[[#This Row],[Date]])&gt;=4,1,0)</f>
        <v>2026</v>
      </c>
      <c r="C192" s="105">
        <f>YEAR(Table6[[#This Row],[Date]])</f>
        <v>2025</v>
      </c>
      <c r="D192" s="105" t="s">
        <v>490</v>
      </c>
      <c r="E192" s="119">
        <f>Table6[[#This Row],[Date]]-DAY(Table6[[#This Row],[Date]])+1</f>
        <v>45748</v>
      </c>
      <c r="F192" s="118">
        <v>45751</v>
      </c>
      <c r="G192" s="105" t="s">
        <v>144</v>
      </c>
      <c r="H192" s="39" t="str">
        <f>_xlfn.XLOOKUP(Table6[[#This Row],[Affected WTG]],'Basic Data'!$A:$A,'Basic Data'!$B:$B)</f>
        <v>PWEGPL</v>
      </c>
      <c r="I192" s="39" t="str">
        <f>_xlfn.XLOOKUP(Table6[[#This Row],[Affected WTG]],'Basic Data'!$A:$A,'Basic Data'!$C:$C)</f>
        <v>MSEDCL</v>
      </c>
      <c r="J192" s="345">
        <f>IFERROR(VLOOKUP(Table6[[#This Row],[Affected WTG]],'Basic Data'!$A$3:$E$56,5,0),"")</f>
        <v>2.564102564102564E-2</v>
      </c>
      <c r="K192" s="105" t="s">
        <v>492</v>
      </c>
      <c r="L192" s="39" t="str">
        <f>IFERROR(VLOOKUP(Table6[[#This Row],[Error Code]],'Basic Data'!$T:$U,2,0),"")</f>
        <v>Manual Stop - Safety Related</v>
      </c>
      <c r="M192" s="346" t="s">
        <v>481</v>
      </c>
      <c r="N192" s="39" t="s">
        <v>1269</v>
      </c>
      <c r="O192" s="347">
        <v>0</v>
      </c>
      <c r="P192" s="347">
        <v>0.99930555555555556</v>
      </c>
      <c r="Q192" s="347">
        <v>0.99930555555555556</v>
      </c>
      <c r="R192" s="348">
        <f>IF(Table6[[#This Row],[Work Start TimeStamp]]="","",(Table6[[#This Row],[Work Start TimeStamp]]-Table6[[#This Row],[Fault Start TimeStamp]])*24)</f>
        <v>23.983333333333334</v>
      </c>
      <c r="S192" s="349">
        <f>(Table6[[#This Row],[Fault Clearance time]]-Table6[[#This Row],[Work Start TimeStamp]])*24</f>
        <v>0</v>
      </c>
      <c r="T192" s="350">
        <f>(Table6[[#This Row],[Fault Clearance time]]-Table6[[#This Row],[Fault Start TimeStamp]])*24</f>
        <v>23.983333333333334</v>
      </c>
      <c r="U192" s="346" t="s">
        <v>498</v>
      </c>
      <c r="V192" s="351" t="s">
        <v>473</v>
      </c>
      <c r="W192" s="338">
        <f>Table6[[#This Row],[Breakdown Time]]*(1/39)</f>
        <v>0.61495726495726499</v>
      </c>
      <c r="X192" s="336" t="s">
        <v>468</v>
      </c>
      <c r="Y192" s="352" t="s">
        <v>141</v>
      </c>
      <c r="Z192" s="105">
        <v>4658</v>
      </c>
      <c r="AA192" s="107">
        <v>4654.7652777777785</v>
      </c>
      <c r="AB192" s="105" t="s">
        <v>478</v>
      </c>
    </row>
    <row r="193" spans="1:28">
      <c r="A193" s="105">
        <f t="shared" si="2"/>
        <v>192</v>
      </c>
      <c r="B193" s="107">
        <f>YEAR(Table6[[#This Row],[Date]])+IF(MONTH(Table6[[#This Row],[Date]])&gt;=4,1,0)</f>
        <v>2026</v>
      </c>
      <c r="C193" s="105">
        <f>YEAR(Table6[[#This Row],[Date]])</f>
        <v>2025</v>
      </c>
      <c r="D193" s="105" t="s">
        <v>490</v>
      </c>
      <c r="E193" s="119">
        <f>Table6[[#This Row],[Date]]-DAY(Table6[[#This Row],[Date]])+1</f>
        <v>45748</v>
      </c>
      <c r="F193" s="118">
        <v>45751</v>
      </c>
      <c r="G193" s="105" t="s">
        <v>142</v>
      </c>
      <c r="H193" s="39" t="str">
        <f>_xlfn.XLOOKUP(Table6[[#This Row],[Affected WTG]],'Basic Data'!$A:$A,'Basic Data'!$B:$B)</f>
        <v>PWEGPL</v>
      </c>
      <c r="I193" s="39" t="str">
        <f>_xlfn.XLOOKUP(Table6[[#This Row],[Affected WTG]],'Basic Data'!$A:$A,'Basic Data'!$C:$C)</f>
        <v>MSEDCL</v>
      </c>
      <c r="J193" s="345">
        <f>IFERROR(VLOOKUP(Table6[[#This Row],[Affected WTG]],'Basic Data'!$A$3:$E$56,5,0),"")</f>
        <v>2.564102564102564E-2</v>
      </c>
      <c r="K193" s="105" t="s">
        <v>492</v>
      </c>
      <c r="L193" s="39" t="str">
        <f>IFERROR(VLOOKUP(Table6[[#This Row],[Error Code]],'Basic Data'!$T:$U,2,0),"")</f>
        <v>Manual Stop - Safety Related</v>
      </c>
      <c r="M193" s="346" t="s">
        <v>481</v>
      </c>
      <c r="N193" s="39" t="s">
        <v>1269</v>
      </c>
      <c r="O193" s="347">
        <v>0</v>
      </c>
      <c r="P193" s="347">
        <v>0.99930555555555556</v>
      </c>
      <c r="Q193" s="347">
        <v>0.99930555555555556</v>
      </c>
      <c r="R193" s="348">
        <f>IF(Table6[[#This Row],[Work Start TimeStamp]]="","",(Table6[[#This Row],[Work Start TimeStamp]]-Table6[[#This Row],[Fault Start TimeStamp]])*24)</f>
        <v>23.983333333333334</v>
      </c>
      <c r="S193" s="349">
        <f>(Table6[[#This Row],[Fault Clearance time]]-Table6[[#This Row],[Work Start TimeStamp]])*24</f>
        <v>0</v>
      </c>
      <c r="T193" s="350">
        <f>(Table6[[#This Row],[Fault Clearance time]]-Table6[[#This Row],[Fault Start TimeStamp]])*24</f>
        <v>23.983333333333334</v>
      </c>
      <c r="U193" s="346" t="s">
        <v>498</v>
      </c>
      <c r="V193" s="351" t="s">
        <v>473</v>
      </c>
      <c r="W193" s="338">
        <f>Table6[[#This Row],[Breakdown Time]]*(1/39)</f>
        <v>0.61495726495726499</v>
      </c>
      <c r="X193" s="336" t="s">
        <v>468</v>
      </c>
      <c r="Y193" s="352" t="s">
        <v>141</v>
      </c>
      <c r="Z193" s="105">
        <v>4658</v>
      </c>
      <c r="AA193" s="107">
        <v>4654.7652777777785</v>
      </c>
      <c r="AB193" s="105" t="s">
        <v>478</v>
      </c>
    </row>
    <row r="194" spans="1:28">
      <c r="A194" s="105">
        <f t="shared" si="2"/>
        <v>193</v>
      </c>
      <c r="B194" s="107">
        <f>YEAR(Table6[[#This Row],[Date]])+IF(MONTH(Table6[[#This Row],[Date]])&gt;=4,1,0)</f>
        <v>2026</v>
      </c>
      <c r="C194" s="105">
        <f>YEAR(Table6[[#This Row],[Date]])</f>
        <v>2025</v>
      </c>
      <c r="D194" s="105" t="s">
        <v>490</v>
      </c>
      <c r="E194" s="119">
        <f>Table6[[#This Row],[Date]]-DAY(Table6[[#This Row],[Date]])+1</f>
        <v>45748</v>
      </c>
      <c r="F194" s="118">
        <v>45751</v>
      </c>
      <c r="G194" s="105" t="s">
        <v>117</v>
      </c>
      <c r="H194" s="39" t="str">
        <f>_xlfn.XLOOKUP(Table6[[#This Row],[Affected WTG]],'Basic Data'!$A:$A,'Basic Data'!$B:$B)</f>
        <v>PWEGPL</v>
      </c>
      <c r="I194" s="39" t="str">
        <f>_xlfn.XLOOKUP(Table6[[#This Row],[Affected WTG]],'Basic Data'!$A:$A,'Basic Data'!$C:$C)</f>
        <v>MSEDCL</v>
      </c>
      <c r="J194" s="345">
        <f>IFERROR(VLOOKUP(Table6[[#This Row],[Affected WTG]],'Basic Data'!$A$3:$E$56,5,0),"")</f>
        <v>2.564102564102564E-2</v>
      </c>
      <c r="K194" s="105">
        <v>110</v>
      </c>
      <c r="L194" s="39" t="str">
        <f>IFERROR(VLOOKUP(Table6[[#This Row],[Error Code]],'Basic Data'!$T:$U,2,0),"")</f>
        <v>Yaw Sensor Wiring Error</v>
      </c>
      <c r="M194" s="346" t="s">
        <v>462</v>
      </c>
      <c r="N194" s="39" t="s">
        <v>1270</v>
      </c>
      <c r="O194" s="347">
        <v>0.51249999999999996</v>
      </c>
      <c r="P194" s="347">
        <v>0.58333333333333337</v>
      </c>
      <c r="Q194" s="347">
        <v>0.6</v>
      </c>
      <c r="R194" s="348">
        <f>IF(Table6[[#This Row],[Work Start TimeStamp]]="","",(Table6[[#This Row],[Work Start TimeStamp]]-Table6[[#This Row],[Fault Start TimeStamp]])*24)</f>
        <v>1.700000000000002</v>
      </c>
      <c r="S194" s="349">
        <f>(Table6[[#This Row],[Fault Clearance time]]-Table6[[#This Row],[Work Start TimeStamp]])*24</f>
        <v>0.39999999999999858</v>
      </c>
      <c r="T194" s="350">
        <f>(Table6[[#This Row],[Fault Clearance time]]-Table6[[#This Row],[Fault Start TimeStamp]])*24</f>
        <v>2.1000000000000005</v>
      </c>
      <c r="U194" s="346" t="s">
        <v>495</v>
      </c>
      <c r="V194" s="351" t="s">
        <v>463</v>
      </c>
      <c r="W194" s="338">
        <f>Table6[[#This Row],[Breakdown Time]]*(1/39)</f>
        <v>5.3846153846153856E-2</v>
      </c>
      <c r="X194" s="336" t="s">
        <v>465</v>
      </c>
      <c r="Y194" s="352" t="s">
        <v>118</v>
      </c>
      <c r="Z194" s="105">
        <v>884</v>
      </c>
      <c r="AA194" s="107">
        <v>77.350000000000023</v>
      </c>
      <c r="AB194" s="105" t="s">
        <v>478</v>
      </c>
    </row>
    <row r="195" spans="1:28">
      <c r="A195" s="105">
        <f t="shared" si="2"/>
        <v>194</v>
      </c>
      <c r="B195" s="107">
        <f>YEAR(Table6[[#This Row],[Date]])+IF(MONTH(Table6[[#This Row],[Date]])&gt;=4,1,0)</f>
        <v>2026</v>
      </c>
      <c r="C195" s="105">
        <f>YEAR(Table6[[#This Row],[Date]])</f>
        <v>2025</v>
      </c>
      <c r="D195" s="105" t="s">
        <v>490</v>
      </c>
      <c r="E195" s="119">
        <f>Table6[[#This Row],[Date]]-DAY(Table6[[#This Row],[Date]])+1</f>
        <v>45748</v>
      </c>
      <c r="F195" s="118">
        <v>45751</v>
      </c>
      <c r="G195" s="105" t="s">
        <v>118</v>
      </c>
      <c r="H195" s="39" t="str">
        <f>_xlfn.XLOOKUP(Table6[[#This Row],[Affected WTG]],'Basic Data'!$A:$A,'Basic Data'!$B:$B)</f>
        <v>PWEGPL</v>
      </c>
      <c r="I195" s="39" t="str">
        <f>_xlfn.XLOOKUP(Table6[[#This Row],[Affected WTG]],'Basic Data'!$A:$A,'Basic Data'!$C:$C)</f>
        <v>MSEDCL</v>
      </c>
      <c r="J195" s="345">
        <f>IFERROR(VLOOKUP(Table6[[#This Row],[Affected WTG]],'Basic Data'!$A$3:$E$56,5,0),"")</f>
        <v>2.564102564102564E-2</v>
      </c>
      <c r="K195" s="105">
        <v>1825</v>
      </c>
      <c r="L195" s="39" t="str">
        <f>IFERROR(VLOOKUP(Table6[[#This Row],[Error Code]],'Basic Data'!$T:$U,2,0),"")</f>
        <v>Automatics Not Ok</v>
      </c>
      <c r="M195" s="346" t="s">
        <v>462</v>
      </c>
      <c r="N195" s="39" t="s">
        <v>1270</v>
      </c>
      <c r="O195" s="347">
        <v>2.9861111111111113E-2</v>
      </c>
      <c r="P195" s="347">
        <v>7.3611111111111113E-2</v>
      </c>
      <c r="Q195" s="347">
        <v>0.46250000000000002</v>
      </c>
      <c r="R195" s="348">
        <f>IF(Table6[[#This Row],[Work Start TimeStamp]]="","",(Table6[[#This Row],[Work Start TimeStamp]]-Table6[[#This Row],[Fault Start TimeStamp]])*24)</f>
        <v>1.0499999999999998</v>
      </c>
      <c r="S195" s="349">
        <f>(Table6[[#This Row],[Fault Clearance time]]-Table6[[#This Row],[Work Start TimeStamp]])*24</f>
        <v>9.3333333333333339</v>
      </c>
      <c r="T195" s="350">
        <f>(Table6[[#This Row],[Fault Clearance time]]-Table6[[#This Row],[Fault Start TimeStamp]])*24</f>
        <v>10.383333333333333</v>
      </c>
      <c r="U195" s="346" t="s">
        <v>532</v>
      </c>
      <c r="V195" s="351" t="s">
        <v>463</v>
      </c>
      <c r="W195" s="338">
        <f>Table6[[#This Row],[Breakdown Time]]*(1/39)</f>
        <v>0.26623931623931624</v>
      </c>
      <c r="X195" s="336" t="s">
        <v>465</v>
      </c>
      <c r="Y195" s="352" t="s">
        <v>117</v>
      </c>
      <c r="Z195" s="105">
        <v>4436</v>
      </c>
      <c r="AA195" s="107">
        <v>1919.1861111111111</v>
      </c>
      <c r="AB195" s="105" t="s">
        <v>478</v>
      </c>
    </row>
    <row r="196" spans="1:28">
      <c r="A196" s="105">
        <f t="shared" ref="A196:A259" si="3">A195+1</f>
        <v>195</v>
      </c>
      <c r="B196" s="107">
        <f>YEAR(Table6[[#This Row],[Date]])+IF(MONTH(Table6[[#This Row],[Date]])&gt;=4,1,0)</f>
        <v>2026</v>
      </c>
      <c r="C196" s="105">
        <f>YEAR(Table6[[#This Row],[Date]])</f>
        <v>2025</v>
      </c>
      <c r="D196" s="105" t="s">
        <v>490</v>
      </c>
      <c r="E196" s="119">
        <f>Table6[[#This Row],[Date]]-DAY(Table6[[#This Row],[Date]])+1</f>
        <v>45748</v>
      </c>
      <c r="F196" s="118">
        <v>45751</v>
      </c>
      <c r="G196" s="105" t="s">
        <v>118</v>
      </c>
      <c r="H196" s="39" t="str">
        <f>_xlfn.XLOOKUP(Table6[[#This Row],[Affected WTG]],'Basic Data'!$A:$A,'Basic Data'!$B:$B)</f>
        <v>PWEGPL</v>
      </c>
      <c r="I196" s="39" t="str">
        <f>_xlfn.XLOOKUP(Table6[[#This Row],[Affected WTG]],'Basic Data'!$A:$A,'Basic Data'!$C:$C)</f>
        <v>MSEDCL</v>
      </c>
      <c r="J196" s="345">
        <f>IFERROR(VLOOKUP(Table6[[#This Row],[Affected WTG]],'Basic Data'!$A$3:$E$56,5,0),"")</f>
        <v>2.564102564102564E-2</v>
      </c>
      <c r="K196" s="105">
        <v>5200</v>
      </c>
      <c r="L196" s="39" t="str">
        <f>IFERROR(VLOOKUP(Table6[[#This Row],[Error Code]],'Basic Data'!$T:$U,2,0),"")</f>
        <v>Magnetothermic Trigger Of The Line Protection</v>
      </c>
      <c r="M196" s="346" t="s">
        <v>462</v>
      </c>
      <c r="N196" s="39" t="s">
        <v>1270</v>
      </c>
      <c r="O196" s="347">
        <v>0.8125</v>
      </c>
      <c r="P196" s="347">
        <v>0.92847222222222225</v>
      </c>
      <c r="Q196" s="347">
        <v>0.92847222222222225</v>
      </c>
      <c r="R196" s="348">
        <f>IF(Table6[[#This Row],[Work Start TimeStamp]]="","",(Table6[[#This Row],[Work Start TimeStamp]]-Table6[[#This Row],[Fault Start TimeStamp]])*24)</f>
        <v>2.7833333333333341</v>
      </c>
      <c r="S196" s="349">
        <f>(Table6[[#This Row],[Fault Clearance time]]-Table6[[#This Row],[Work Start TimeStamp]])*24</f>
        <v>0</v>
      </c>
      <c r="T196" s="350">
        <f>(Table6[[#This Row],[Fault Clearance time]]-Table6[[#This Row],[Fault Start TimeStamp]])*24</f>
        <v>2.7833333333333341</v>
      </c>
      <c r="U196" s="346" t="s">
        <v>493</v>
      </c>
      <c r="V196" s="351" t="s">
        <v>463</v>
      </c>
      <c r="W196" s="338">
        <f>Table6[[#This Row],[Breakdown Time]]*(1/39)</f>
        <v>7.1367521367521392E-2</v>
      </c>
      <c r="X196" s="336" t="s">
        <v>465</v>
      </c>
      <c r="Y196" s="352" t="s">
        <v>117</v>
      </c>
      <c r="Z196" s="105">
        <v>4436</v>
      </c>
      <c r="AA196" s="107">
        <v>514.4527777777779</v>
      </c>
      <c r="AB196" s="105" t="s">
        <v>478</v>
      </c>
    </row>
    <row r="197" spans="1:28">
      <c r="A197" s="105">
        <f t="shared" si="3"/>
        <v>196</v>
      </c>
      <c r="B197" s="107">
        <f>YEAR(Table6[[#This Row],[Date]])+IF(MONTH(Table6[[#This Row],[Date]])&gt;=4,1,0)</f>
        <v>2026</v>
      </c>
      <c r="C197" s="105">
        <f>YEAR(Table6[[#This Row],[Date]])</f>
        <v>2025</v>
      </c>
      <c r="D197" s="105" t="s">
        <v>490</v>
      </c>
      <c r="E197" s="119">
        <f>Table6[[#This Row],[Date]]-DAY(Table6[[#This Row],[Date]])+1</f>
        <v>45748</v>
      </c>
      <c r="F197" s="118">
        <v>45751</v>
      </c>
      <c r="G197" s="105" t="s">
        <v>120</v>
      </c>
      <c r="H197" s="39" t="str">
        <f>_xlfn.XLOOKUP(Table6[[#This Row],[Affected WTG]],'Basic Data'!$A:$A,'Basic Data'!$B:$B)</f>
        <v>PWEGPL</v>
      </c>
      <c r="I197" s="39" t="str">
        <f>_xlfn.XLOOKUP(Table6[[#This Row],[Affected WTG]],'Basic Data'!$A:$A,'Basic Data'!$C:$C)</f>
        <v>MSEDCL</v>
      </c>
      <c r="J197" s="345">
        <f>IFERROR(VLOOKUP(Table6[[#This Row],[Affected WTG]],'Basic Data'!$A$3:$E$56,5,0),"")</f>
        <v>2.564102564102564E-2</v>
      </c>
      <c r="K197" s="105">
        <v>5216</v>
      </c>
      <c r="L197" s="39" t="str">
        <f>IFERROR(VLOOKUP(Table6[[#This Row],[Error Code]],'Basic Data'!$T:$U,2,0),"")</f>
        <v>Grid Voltage Failure</v>
      </c>
      <c r="M197" s="346" t="s">
        <v>462</v>
      </c>
      <c r="N197" s="39" t="s">
        <v>1270</v>
      </c>
      <c r="O197" s="347">
        <v>0</v>
      </c>
      <c r="P197" s="347">
        <v>0</v>
      </c>
      <c r="Q197" s="347">
        <v>0.57430555555555551</v>
      </c>
      <c r="R197" s="348">
        <f>IF(Table6[[#This Row],[Work Start TimeStamp]]="","",(Table6[[#This Row],[Work Start TimeStamp]]-Table6[[#This Row],[Fault Start TimeStamp]])*24)</f>
        <v>0</v>
      </c>
      <c r="S197" s="349">
        <f>(Table6[[#This Row],[Fault Clearance time]]-Table6[[#This Row],[Work Start TimeStamp]])*24</f>
        <v>13.783333333333331</v>
      </c>
      <c r="T197" s="350">
        <f>(Table6[[#This Row],[Fault Clearance time]]-Table6[[#This Row],[Fault Start TimeStamp]])*24</f>
        <v>13.783333333333331</v>
      </c>
      <c r="U197" s="346" t="s">
        <v>533</v>
      </c>
      <c r="V197" s="351" t="s">
        <v>463</v>
      </c>
      <c r="W197" s="338">
        <f>Table6[[#This Row],[Breakdown Time]]*(1/39)</f>
        <v>0.35341880341880338</v>
      </c>
      <c r="X197" s="336" t="s">
        <v>465</v>
      </c>
      <c r="Y197" s="352" t="s">
        <v>117</v>
      </c>
      <c r="Z197" s="105">
        <v>4436</v>
      </c>
      <c r="AA197" s="107">
        <v>2547.6194444444441</v>
      </c>
      <c r="AB197" s="105" t="s">
        <v>478</v>
      </c>
    </row>
    <row r="198" spans="1:28">
      <c r="A198" s="105">
        <f t="shared" si="3"/>
        <v>197</v>
      </c>
      <c r="B198" s="107">
        <f>YEAR(Table6[[#This Row],[Date]])+IF(MONTH(Table6[[#This Row],[Date]])&gt;=4,1,0)</f>
        <v>2026</v>
      </c>
      <c r="C198" s="105">
        <f>YEAR(Table6[[#This Row],[Date]])</f>
        <v>2025</v>
      </c>
      <c r="D198" s="105" t="s">
        <v>490</v>
      </c>
      <c r="E198" s="119">
        <f>Table6[[#This Row],[Date]]-DAY(Table6[[#This Row],[Date]])+1</f>
        <v>45748</v>
      </c>
      <c r="F198" s="118">
        <v>45751</v>
      </c>
      <c r="G198" s="105" t="s">
        <v>121</v>
      </c>
      <c r="H198" s="39" t="str">
        <f>_xlfn.XLOOKUP(Table6[[#This Row],[Affected WTG]],'Basic Data'!$A:$A,'Basic Data'!$B:$B)</f>
        <v>PWEGPL</v>
      </c>
      <c r="I198" s="39" t="str">
        <f>_xlfn.XLOOKUP(Table6[[#This Row],[Affected WTG]],'Basic Data'!$A:$A,'Basic Data'!$C:$C)</f>
        <v>MSEDCL</v>
      </c>
      <c r="J198" s="345">
        <f>IFERROR(VLOOKUP(Table6[[#This Row],[Affected WTG]],'Basic Data'!$A$3:$E$56,5,0),"")</f>
        <v>2.564102564102564E-2</v>
      </c>
      <c r="K198" s="105">
        <v>2102</v>
      </c>
      <c r="L198" s="39" t="str">
        <f>IFERROR(VLOOKUP(Table6[[#This Row],[Error Code]],'Basic Data'!$T:$U,2,0),"")</f>
        <v>PLC Module Failure</v>
      </c>
      <c r="M198" s="346" t="s">
        <v>462</v>
      </c>
      <c r="N198" s="39" t="s">
        <v>1270</v>
      </c>
      <c r="O198" s="347">
        <v>0</v>
      </c>
      <c r="P198" s="347">
        <v>0.16875000000000001</v>
      </c>
      <c r="Q198" s="347">
        <v>0.1875</v>
      </c>
      <c r="R198" s="348">
        <f>IF(Table6[[#This Row],[Work Start TimeStamp]]="","",(Table6[[#This Row],[Work Start TimeStamp]]-Table6[[#This Row],[Fault Start TimeStamp]])*24)</f>
        <v>4.0500000000000007</v>
      </c>
      <c r="S198" s="349">
        <f>(Table6[[#This Row],[Fault Clearance time]]-Table6[[#This Row],[Work Start TimeStamp]])*24</f>
        <v>0.44999999999999973</v>
      </c>
      <c r="T198" s="350">
        <f>(Table6[[#This Row],[Fault Clearance time]]-Table6[[#This Row],[Fault Start TimeStamp]])*24</f>
        <v>4.5</v>
      </c>
      <c r="U198" s="346" t="s">
        <v>491</v>
      </c>
      <c r="V198" s="351" t="s">
        <v>463</v>
      </c>
      <c r="W198" s="338">
        <f>Table6[[#This Row],[Breakdown Time]]*(1/39)</f>
        <v>0.11538461538461538</v>
      </c>
      <c r="X198" s="336" t="s">
        <v>465</v>
      </c>
      <c r="Y198" s="352" t="s">
        <v>115</v>
      </c>
      <c r="Z198" s="105">
        <v>5220</v>
      </c>
      <c r="AA198" s="107">
        <v>978.75</v>
      </c>
      <c r="AB198" s="105" t="s">
        <v>478</v>
      </c>
    </row>
    <row r="199" spans="1:28">
      <c r="A199" s="105">
        <f t="shared" si="3"/>
        <v>198</v>
      </c>
      <c r="B199" s="107">
        <f>YEAR(Table6[[#This Row],[Date]])+IF(MONTH(Table6[[#This Row],[Date]])&gt;=4,1,0)</f>
        <v>2026</v>
      </c>
      <c r="C199" s="105">
        <f>YEAR(Table6[[#This Row],[Date]])</f>
        <v>2025</v>
      </c>
      <c r="D199" s="105" t="s">
        <v>490</v>
      </c>
      <c r="E199" s="119">
        <f>Table6[[#This Row],[Date]]-DAY(Table6[[#This Row],[Date]])+1</f>
        <v>45748</v>
      </c>
      <c r="F199" s="118">
        <v>45751</v>
      </c>
      <c r="G199" s="105" t="s">
        <v>122</v>
      </c>
      <c r="H199" s="39" t="str">
        <f>_xlfn.XLOOKUP(Table6[[#This Row],[Affected WTG]],'Basic Data'!$A:$A,'Basic Data'!$B:$B)</f>
        <v>PWEGPL</v>
      </c>
      <c r="I199" s="39" t="str">
        <f>_xlfn.XLOOKUP(Table6[[#This Row],[Affected WTG]],'Basic Data'!$A:$A,'Basic Data'!$C:$C)</f>
        <v>MSEDCL</v>
      </c>
      <c r="J199" s="345">
        <f>IFERROR(VLOOKUP(Table6[[#This Row],[Affected WTG]],'Basic Data'!$A$3:$E$56,5,0),"")</f>
        <v>2.564102564102564E-2</v>
      </c>
      <c r="K199" s="105">
        <v>125</v>
      </c>
      <c r="L199" s="39" t="str">
        <f>IFERROR(VLOOKUP(Table6[[#This Row],[Error Code]],'Basic Data'!$T:$U,2,0),"")</f>
        <v xml:space="preserve">Yaw Motors Over Current Protection </v>
      </c>
      <c r="M199" s="346" t="s">
        <v>462</v>
      </c>
      <c r="N199" s="39" t="s">
        <v>1270</v>
      </c>
      <c r="O199" s="347">
        <v>0.61111111111111116</v>
      </c>
      <c r="P199" s="347">
        <v>0.65763888888888888</v>
      </c>
      <c r="Q199" s="347">
        <v>1</v>
      </c>
      <c r="R199" s="348">
        <f>IF(Table6[[#This Row],[Work Start TimeStamp]]="","",(Table6[[#This Row],[Work Start TimeStamp]]-Table6[[#This Row],[Fault Start TimeStamp]])*24)</f>
        <v>1.1166666666666654</v>
      </c>
      <c r="S199" s="349">
        <f>(Table6[[#This Row],[Fault Clearance time]]-Table6[[#This Row],[Work Start TimeStamp]])*24</f>
        <v>8.2166666666666668</v>
      </c>
      <c r="T199" s="350">
        <f>(Table6[[#This Row],[Fault Clearance time]]-Table6[[#This Row],[Fault Start TimeStamp]])*24</f>
        <v>9.3333333333333321</v>
      </c>
      <c r="U199" s="346" t="s">
        <v>516</v>
      </c>
      <c r="V199" s="351" t="s">
        <v>463</v>
      </c>
      <c r="W199" s="338">
        <f>Table6[[#This Row],[Breakdown Time]]*(1/39)</f>
        <v>0.23931623931623927</v>
      </c>
      <c r="X199" s="336" t="s">
        <v>465</v>
      </c>
      <c r="Y199" s="352" t="s">
        <v>117</v>
      </c>
      <c r="Z199" s="105">
        <v>4436</v>
      </c>
      <c r="AA199" s="107">
        <v>1725.1111111111111</v>
      </c>
      <c r="AB199" s="105" t="s">
        <v>478</v>
      </c>
    </row>
    <row r="200" spans="1:28">
      <c r="A200" s="105">
        <f t="shared" si="3"/>
        <v>199</v>
      </c>
      <c r="B200" s="107">
        <f>YEAR(Table6[[#This Row],[Date]])+IF(MONTH(Table6[[#This Row],[Date]])&gt;=4,1,0)</f>
        <v>2026</v>
      </c>
      <c r="C200" s="105">
        <f>YEAR(Table6[[#This Row],[Date]])</f>
        <v>2025</v>
      </c>
      <c r="D200" s="105" t="s">
        <v>490</v>
      </c>
      <c r="E200" s="119">
        <f>Table6[[#This Row],[Date]]-DAY(Table6[[#This Row],[Date]])+1</f>
        <v>45748</v>
      </c>
      <c r="F200" s="118">
        <v>45751</v>
      </c>
      <c r="G200" s="105" t="s">
        <v>125</v>
      </c>
      <c r="H200" s="39" t="str">
        <f>_xlfn.XLOOKUP(Table6[[#This Row],[Affected WTG]],'Basic Data'!$A:$A,'Basic Data'!$B:$B)</f>
        <v>PWEGPL</v>
      </c>
      <c r="I200" s="39" t="str">
        <f>_xlfn.XLOOKUP(Table6[[#This Row],[Affected WTG]],'Basic Data'!$A:$A,'Basic Data'!$C:$C)</f>
        <v>MSEDCL</v>
      </c>
      <c r="J200" s="345">
        <f>IFERROR(VLOOKUP(Table6[[#This Row],[Affected WTG]],'Basic Data'!$A$3:$E$56,5,0),"")</f>
        <v>2.564102564102564E-2</v>
      </c>
      <c r="K200" s="105">
        <v>116</v>
      </c>
      <c r="L200" s="39" t="str">
        <f>IFERROR(VLOOKUP(Table6[[#This Row],[Error Code]],'Basic Data'!$T:$U,2,0),"")</f>
        <v>Orienting and High Yaw Brake Pressure</v>
      </c>
      <c r="M200" s="346" t="s">
        <v>462</v>
      </c>
      <c r="N200" s="39" t="s">
        <v>1270</v>
      </c>
      <c r="O200" s="347">
        <v>0.50416666666666665</v>
      </c>
      <c r="P200" s="347">
        <v>0.50416666666666665</v>
      </c>
      <c r="Q200" s="347">
        <v>0.50763888888888886</v>
      </c>
      <c r="R200" s="348">
        <f>IF(Table6[[#This Row],[Work Start TimeStamp]]="","",(Table6[[#This Row],[Work Start TimeStamp]]-Table6[[#This Row],[Fault Start TimeStamp]])*24)</f>
        <v>0</v>
      </c>
      <c r="S200" s="349">
        <f>(Table6[[#This Row],[Fault Clearance time]]-Table6[[#This Row],[Work Start TimeStamp]])*24</f>
        <v>8.3333333333333037E-2</v>
      </c>
      <c r="T200" s="350">
        <f>(Table6[[#This Row],[Fault Clearance time]]-Table6[[#This Row],[Fault Start TimeStamp]])*24</f>
        <v>8.3333333333333037E-2</v>
      </c>
      <c r="U200" s="346" t="s">
        <v>480</v>
      </c>
      <c r="V200" s="351" t="s">
        <v>463</v>
      </c>
      <c r="W200" s="338">
        <f>Table6[[#This Row],[Breakdown Time]]*(1/39)</f>
        <v>2.1367521367521292E-3</v>
      </c>
      <c r="X200" s="336" t="s">
        <v>465</v>
      </c>
      <c r="Y200" s="352" t="s">
        <v>124</v>
      </c>
      <c r="Z200" s="105">
        <v>5040</v>
      </c>
      <c r="AA200" s="107">
        <v>17.499999999999936</v>
      </c>
      <c r="AB200" s="105" t="s">
        <v>478</v>
      </c>
    </row>
    <row r="201" spans="1:28">
      <c r="A201" s="105">
        <f t="shared" si="3"/>
        <v>200</v>
      </c>
      <c r="B201" s="107">
        <f>YEAR(Table6[[#This Row],[Date]])+IF(MONTH(Table6[[#This Row],[Date]])&gt;=4,1,0)</f>
        <v>2026</v>
      </c>
      <c r="C201" s="105">
        <f>YEAR(Table6[[#This Row],[Date]])</f>
        <v>2025</v>
      </c>
      <c r="D201" s="105" t="s">
        <v>490</v>
      </c>
      <c r="E201" s="119">
        <f>Table6[[#This Row],[Date]]-DAY(Table6[[#This Row],[Date]])+1</f>
        <v>45748</v>
      </c>
      <c r="F201" s="118">
        <v>45751</v>
      </c>
      <c r="G201" s="105" t="s">
        <v>125</v>
      </c>
      <c r="H201" s="39" t="str">
        <f>_xlfn.XLOOKUP(Table6[[#This Row],[Affected WTG]],'Basic Data'!$A:$A,'Basic Data'!$B:$B)</f>
        <v>PWEGPL</v>
      </c>
      <c r="I201" s="39" t="str">
        <f>_xlfn.XLOOKUP(Table6[[#This Row],[Affected WTG]],'Basic Data'!$A:$A,'Basic Data'!$C:$C)</f>
        <v>MSEDCL</v>
      </c>
      <c r="J201" s="345">
        <f>IFERROR(VLOOKUP(Table6[[#This Row],[Affected WTG]],'Basic Data'!$A$3:$E$56,5,0),"")</f>
        <v>2.564102564102564E-2</v>
      </c>
      <c r="K201" s="105">
        <v>116</v>
      </c>
      <c r="L201" s="39" t="str">
        <f>IFERROR(VLOOKUP(Table6[[#This Row],[Error Code]],'Basic Data'!$T:$U,2,0),"")</f>
        <v>Orienting and High Yaw Brake Pressure</v>
      </c>
      <c r="M201" s="346" t="s">
        <v>462</v>
      </c>
      <c r="N201" s="39" t="s">
        <v>1270</v>
      </c>
      <c r="O201" s="347">
        <v>0.53263888888888888</v>
      </c>
      <c r="P201" s="347">
        <v>0.53263888888888888</v>
      </c>
      <c r="Q201" s="347">
        <v>0.53611111111111109</v>
      </c>
      <c r="R201" s="348">
        <f>IF(Table6[[#This Row],[Work Start TimeStamp]]="","",(Table6[[#This Row],[Work Start TimeStamp]]-Table6[[#This Row],[Fault Start TimeStamp]])*24)</f>
        <v>0</v>
      </c>
      <c r="S201" s="349">
        <f>(Table6[[#This Row],[Fault Clearance time]]-Table6[[#This Row],[Work Start TimeStamp]])*24</f>
        <v>8.3333333333333037E-2</v>
      </c>
      <c r="T201" s="350">
        <f>(Table6[[#This Row],[Fault Clearance time]]-Table6[[#This Row],[Fault Start TimeStamp]])*24</f>
        <v>8.3333333333333037E-2</v>
      </c>
      <c r="U201" s="346" t="s">
        <v>480</v>
      </c>
      <c r="V201" s="351" t="s">
        <v>463</v>
      </c>
      <c r="W201" s="338">
        <f>Table6[[#This Row],[Breakdown Time]]*(1/39)</f>
        <v>2.1367521367521292E-3</v>
      </c>
      <c r="X201" s="336" t="s">
        <v>465</v>
      </c>
      <c r="Y201" s="352" t="s">
        <v>124</v>
      </c>
      <c r="Z201" s="105">
        <v>5040</v>
      </c>
      <c r="AA201" s="107">
        <v>17.499999999999936</v>
      </c>
      <c r="AB201" s="105" t="s">
        <v>478</v>
      </c>
    </row>
    <row r="202" spans="1:28">
      <c r="A202" s="105">
        <f t="shared" si="3"/>
        <v>201</v>
      </c>
      <c r="B202" s="107">
        <f>YEAR(Table6[[#This Row],[Date]])+IF(MONTH(Table6[[#This Row],[Date]])&gt;=4,1,0)</f>
        <v>2026</v>
      </c>
      <c r="C202" s="105">
        <f>YEAR(Table6[[#This Row],[Date]])</f>
        <v>2025</v>
      </c>
      <c r="D202" s="105" t="s">
        <v>490</v>
      </c>
      <c r="E202" s="119">
        <f>Table6[[#This Row],[Date]]-DAY(Table6[[#This Row],[Date]])+1</f>
        <v>45748</v>
      </c>
      <c r="F202" s="118">
        <v>45751</v>
      </c>
      <c r="G202" s="105" t="s">
        <v>126</v>
      </c>
      <c r="H202" s="39" t="str">
        <f>_xlfn.XLOOKUP(Table6[[#This Row],[Affected WTG]],'Basic Data'!$A:$A,'Basic Data'!$B:$B)</f>
        <v>PWEGPL</v>
      </c>
      <c r="I202" s="39" t="str">
        <f>_xlfn.XLOOKUP(Table6[[#This Row],[Affected WTG]],'Basic Data'!$A:$A,'Basic Data'!$C:$C)</f>
        <v>MSEDCL</v>
      </c>
      <c r="J202" s="345">
        <f>IFERROR(VLOOKUP(Table6[[#This Row],[Affected WTG]],'Basic Data'!$A$3:$E$56,5,0),"")</f>
        <v>2.564102564102564E-2</v>
      </c>
      <c r="K202" s="105">
        <v>5210</v>
      </c>
      <c r="L202" s="39" t="str">
        <f>IFERROR(VLOOKUP(Table6[[#This Row],[Error Code]],'Basic Data'!$T:$U,2,0),"")</f>
        <v>Failure Of The Contactor's Rotor Power</v>
      </c>
      <c r="M202" s="346" t="s">
        <v>462</v>
      </c>
      <c r="N202" s="39" t="s">
        <v>1270</v>
      </c>
      <c r="O202" s="347">
        <v>0.56388888888888888</v>
      </c>
      <c r="P202" s="347">
        <v>0.5708333333333333</v>
      </c>
      <c r="Q202" s="347">
        <v>0.5708333333333333</v>
      </c>
      <c r="R202" s="348">
        <f>IF(Table6[[#This Row],[Work Start TimeStamp]]="","",(Table6[[#This Row],[Work Start TimeStamp]]-Table6[[#This Row],[Fault Start TimeStamp]])*24)</f>
        <v>0.16666666666666607</v>
      </c>
      <c r="S202" s="349">
        <f>(Table6[[#This Row],[Fault Clearance time]]-Table6[[#This Row],[Work Start TimeStamp]])*24</f>
        <v>0</v>
      </c>
      <c r="T202" s="350">
        <f>(Table6[[#This Row],[Fault Clearance time]]-Table6[[#This Row],[Fault Start TimeStamp]])*24</f>
        <v>0.16666666666666607</v>
      </c>
      <c r="U202" s="346" t="s">
        <v>493</v>
      </c>
      <c r="V202" s="351" t="s">
        <v>463</v>
      </c>
      <c r="W202" s="338">
        <f>Table6[[#This Row],[Breakdown Time]]*(1/39)</f>
        <v>4.2735042735042583E-3</v>
      </c>
      <c r="X202" s="336" t="s">
        <v>465</v>
      </c>
      <c r="Y202" s="352" t="s">
        <v>123</v>
      </c>
      <c r="Z202" s="105">
        <v>4356</v>
      </c>
      <c r="AA202" s="107">
        <v>30.249999999999893</v>
      </c>
      <c r="AB202" s="105" t="s">
        <v>478</v>
      </c>
    </row>
    <row r="203" spans="1:28">
      <c r="A203" s="105">
        <f t="shared" si="3"/>
        <v>202</v>
      </c>
      <c r="B203" s="107">
        <f>YEAR(Table6[[#This Row],[Date]])+IF(MONTH(Table6[[#This Row],[Date]])&gt;=4,1,0)</f>
        <v>2026</v>
      </c>
      <c r="C203" s="105">
        <f>YEAR(Table6[[#This Row],[Date]])</f>
        <v>2025</v>
      </c>
      <c r="D203" s="105" t="s">
        <v>490</v>
      </c>
      <c r="E203" s="119">
        <f>Table6[[#This Row],[Date]]-DAY(Table6[[#This Row],[Date]])+1</f>
        <v>45748</v>
      </c>
      <c r="F203" s="118">
        <v>45751</v>
      </c>
      <c r="G203" s="105" t="s">
        <v>127</v>
      </c>
      <c r="H203" s="39" t="str">
        <f>_xlfn.XLOOKUP(Table6[[#This Row],[Affected WTG]],'Basic Data'!$A:$A,'Basic Data'!$B:$B)</f>
        <v>PWEGPL</v>
      </c>
      <c r="I203" s="39" t="str">
        <f>_xlfn.XLOOKUP(Table6[[#This Row],[Affected WTG]],'Basic Data'!$A:$A,'Basic Data'!$C:$C)</f>
        <v>MSEDCL</v>
      </c>
      <c r="J203" s="345">
        <f>IFERROR(VLOOKUP(Table6[[#This Row],[Affected WTG]],'Basic Data'!$A$3:$E$56,5,0),"")</f>
        <v>2.564102564102564E-2</v>
      </c>
      <c r="K203" s="105">
        <v>500</v>
      </c>
      <c r="L203" s="39" t="str">
        <f>IFERROR(VLOOKUP(Table6[[#This Row],[Error Code]],'Basic Data'!$T:$U,2,0),"")</f>
        <v>High Generator Winding Temperature</v>
      </c>
      <c r="M203" s="346" t="s">
        <v>462</v>
      </c>
      <c r="N203" s="39" t="s">
        <v>1270</v>
      </c>
      <c r="O203" s="347">
        <v>6.2500000000000003E-3</v>
      </c>
      <c r="P203" s="347">
        <v>6.2500000000000003E-3</v>
      </c>
      <c r="Q203" s="347">
        <v>9.7222222222222224E-3</v>
      </c>
      <c r="R203" s="348">
        <f>IF(Table6[[#This Row],[Work Start TimeStamp]]="","",(Table6[[#This Row],[Work Start TimeStamp]]-Table6[[#This Row],[Fault Start TimeStamp]])*24)</f>
        <v>0</v>
      </c>
      <c r="S203" s="349">
        <f>(Table6[[#This Row],[Fault Clearance time]]-Table6[[#This Row],[Work Start TimeStamp]])*24</f>
        <v>8.3333333333333329E-2</v>
      </c>
      <c r="T203" s="350">
        <f>(Table6[[#This Row],[Fault Clearance time]]-Table6[[#This Row],[Fault Start TimeStamp]])*24</f>
        <v>8.3333333333333329E-2</v>
      </c>
      <c r="U203" s="346" t="s">
        <v>480</v>
      </c>
      <c r="V203" s="351" t="s">
        <v>463</v>
      </c>
      <c r="W203" s="338">
        <f>Table6[[#This Row],[Breakdown Time]]*(1/39)</f>
        <v>2.1367521367521365E-3</v>
      </c>
      <c r="X203" s="336" t="s">
        <v>465</v>
      </c>
      <c r="Y203" s="352" t="s">
        <v>126</v>
      </c>
      <c r="Z203" s="105">
        <v>4980</v>
      </c>
      <c r="AA203" s="107">
        <v>17.291666666666664</v>
      </c>
      <c r="AB203" s="105" t="s">
        <v>478</v>
      </c>
    </row>
    <row r="204" spans="1:28">
      <c r="A204" s="105">
        <f t="shared" si="3"/>
        <v>203</v>
      </c>
      <c r="B204" s="107">
        <f>YEAR(Table6[[#This Row],[Date]])+IF(MONTH(Table6[[#This Row],[Date]])&gt;=4,1,0)</f>
        <v>2026</v>
      </c>
      <c r="C204" s="105">
        <f>YEAR(Table6[[#This Row],[Date]])</f>
        <v>2025</v>
      </c>
      <c r="D204" s="105" t="s">
        <v>490</v>
      </c>
      <c r="E204" s="119">
        <f>Table6[[#This Row],[Date]]-DAY(Table6[[#This Row],[Date]])+1</f>
        <v>45748</v>
      </c>
      <c r="F204" s="118">
        <v>45751</v>
      </c>
      <c r="G204" s="105" t="s">
        <v>128</v>
      </c>
      <c r="H204" s="39" t="str">
        <f>_xlfn.XLOOKUP(Table6[[#This Row],[Affected WTG]],'Basic Data'!$A:$A,'Basic Data'!$B:$B)</f>
        <v>PWEGPL</v>
      </c>
      <c r="I204" s="39" t="str">
        <f>_xlfn.XLOOKUP(Table6[[#This Row],[Affected WTG]],'Basic Data'!$A:$A,'Basic Data'!$C:$C)</f>
        <v>MSEDCL</v>
      </c>
      <c r="J204" s="345">
        <f>IFERROR(VLOOKUP(Table6[[#This Row],[Affected WTG]],'Basic Data'!$A$3:$E$56,5,0),"")</f>
        <v>2.564102564102564E-2</v>
      </c>
      <c r="K204" s="105">
        <v>222</v>
      </c>
      <c r="L204" s="39" t="str">
        <f>IFERROR(VLOOKUP(Table6[[#This Row],[Error Code]],'Basic Data'!$T:$U,2,0),"")</f>
        <v>Very Low Pressure On Hydraulic Unit</v>
      </c>
      <c r="M204" s="346" t="s">
        <v>462</v>
      </c>
      <c r="N204" s="39" t="s">
        <v>1270</v>
      </c>
      <c r="O204" s="347">
        <v>0.65416666666666667</v>
      </c>
      <c r="P204" s="347">
        <v>0.65416666666666667</v>
      </c>
      <c r="Q204" s="347">
        <v>0.66388888888888886</v>
      </c>
      <c r="R204" s="348">
        <f>IF(Table6[[#This Row],[Work Start TimeStamp]]="","",(Table6[[#This Row],[Work Start TimeStamp]]-Table6[[#This Row],[Fault Start TimeStamp]])*24)</f>
        <v>0</v>
      </c>
      <c r="S204" s="349">
        <f>(Table6[[#This Row],[Fault Clearance time]]-Table6[[#This Row],[Work Start TimeStamp]])*24</f>
        <v>0.2333333333333325</v>
      </c>
      <c r="T204" s="350">
        <f>(Table6[[#This Row],[Fault Clearance time]]-Table6[[#This Row],[Fault Start TimeStamp]])*24</f>
        <v>0.2333333333333325</v>
      </c>
      <c r="U204" s="346" t="s">
        <v>493</v>
      </c>
      <c r="V204" s="351" t="s">
        <v>463</v>
      </c>
      <c r="W204" s="338">
        <f>Table6[[#This Row],[Breakdown Time]]*(1/39)</f>
        <v>5.9829059829059617E-3</v>
      </c>
      <c r="X204" s="336" t="s">
        <v>465</v>
      </c>
      <c r="Y204" s="352" t="s">
        <v>127</v>
      </c>
      <c r="Z204" s="105">
        <v>4190</v>
      </c>
      <c r="AA204" s="107">
        <v>40.736111111110965</v>
      </c>
      <c r="AB204" s="105" t="s">
        <v>478</v>
      </c>
    </row>
    <row r="205" spans="1:28">
      <c r="A205" s="105">
        <f t="shared" si="3"/>
        <v>204</v>
      </c>
      <c r="B205" s="107">
        <f>YEAR(Table6[[#This Row],[Date]])+IF(MONTH(Table6[[#This Row],[Date]])&gt;=4,1,0)</f>
        <v>2026</v>
      </c>
      <c r="C205" s="105">
        <f>YEAR(Table6[[#This Row],[Date]])</f>
        <v>2025</v>
      </c>
      <c r="D205" s="105" t="s">
        <v>490</v>
      </c>
      <c r="E205" s="119">
        <f>Table6[[#This Row],[Date]]-DAY(Table6[[#This Row],[Date]])+1</f>
        <v>45748</v>
      </c>
      <c r="F205" s="118">
        <v>45751</v>
      </c>
      <c r="G205" s="105" t="s">
        <v>130</v>
      </c>
      <c r="H205" s="39" t="str">
        <f>_xlfn.XLOOKUP(Table6[[#This Row],[Affected WTG]],'Basic Data'!$A:$A,'Basic Data'!$B:$B)</f>
        <v>PWEGPL</v>
      </c>
      <c r="I205" s="39" t="str">
        <f>_xlfn.XLOOKUP(Table6[[#This Row],[Affected WTG]],'Basic Data'!$A:$A,'Basic Data'!$C:$C)</f>
        <v>MSEDCL</v>
      </c>
      <c r="J205" s="345">
        <f>IFERROR(VLOOKUP(Table6[[#This Row],[Affected WTG]],'Basic Data'!$A$3:$E$56,5,0),"")</f>
        <v>2.564102564102564E-2</v>
      </c>
      <c r="K205" s="105">
        <v>5248</v>
      </c>
      <c r="L205" s="39" t="str">
        <f>IFERROR(VLOOKUP(Table6[[#This Row],[Error Code]],'Basic Data'!$T:$U,2,0),"")</f>
        <v>Active Crowbar IGBT Errors</v>
      </c>
      <c r="M205" s="346" t="s">
        <v>462</v>
      </c>
      <c r="N205" s="39" t="s">
        <v>1270</v>
      </c>
      <c r="O205" s="347">
        <v>0</v>
      </c>
      <c r="P205" s="347">
        <v>0</v>
      </c>
      <c r="Q205" s="347">
        <v>0.40972222222222221</v>
      </c>
      <c r="R205" s="348">
        <f>IF(Table6[[#This Row],[Work Start TimeStamp]]="","",(Table6[[#This Row],[Work Start TimeStamp]]-Table6[[#This Row],[Fault Start TimeStamp]])*24)</f>
        <v>0</v>
      </c>
      <c r="S205" s="349">
        <f>(Table6[[#This Row],[Fault Clearance time]]-Table6[[#This Row],[Work Start TimeStamp]])*24</f>
        <v>9.8333333333333321</v>
      </c>
      <c r="T205" s="350">
        <f>(Table6[[#This Row],[Fault Clearance time]]-Table6[[#This Row],[Fault Start TimeStamp]])*24</f>
        <v>9.8333333333333321</v>
      </c>
      <c r="U205" s="346" t="s">
        <v>500</v>
      </c>
      <c r="V205" s="351" t="s">
        <v>473</v>
      </c>
      <c r="W205" s="338">
        <f>Table6[[#This Row],[Breakdown Time]]*(1/39)</f>
        <v>0.25213675213675207</v>
      </c>
      <c r="X205" s="336" t="s">
        <v>465</v>
      </c>
      <c r="Y205" s="352" t="s">
        <v>131</v>
      </c>
      <c r="Z205" s="105">
        <v>5176</v>
      </c>
      <c r="AA205" s="107">
        <v>2120.7222222222217</v>
      </c>
      <c r="AB205" s="105" t="s">
        <v>478</v>
      </c>
    </row>
    <row r="206" spans="1:28">
      <c r="A206" s="105">
        <f t="shared" si="3"/>
        <v>205</v>
      </c>
      <c r="B206" s="107">
        <f>YEAR(Table6[[#This Row],[Date]])+IF(MONTH(Table6[[#This Row],[Date]])&gt;=4,1,0)</f>
        <v>2026</v>
      </c>
      <c r="C206" s="105">
        <f>YEAR(Table6[[#This Row],[Date]])</f>
        <v>2025</v>
      </c>
      <c r="D206" s="105" t="s">
        <v>490</v>
      </c>
      <c r="E206" s="119">
        <f>Table6[[#This Row],[Date]]-DAY(Table6[[#This Row],[Date]])+1</f>
        <v>45748</v>
      </c>
      <c r="F206" s="118">
        <v>45751</v>
      </c>
      <c r="G206" s="105" t="s">
        <v>130</v>
      </c>
      <c r="H206" s="39" t="str">
        <f>_xlfn.XLOOKUP(Table6[[#This Row],[Affected WTG]],'Basic Data'!$A:$A,'Basic Data'!$B:$B)</f>
        <v>PWEGPL</v>
      </c>
      <c r="I206" s="39" t="str">
        <f>_xlfn.XLOOKUP(Table6[[#This Row],[Affected WTG]],'Basic Data'!$A:$A,'Basic Data'!$C:$C)</f>
        <v>MSEDCL</v>
      </c>
      <c r="J206" s="345">
        <f>IFERROR(VLOOKUP(Table6[[#This Row],[Affected WTG]],'Basic Data'!$A$3:$E$56,5,0),"")</f>
        <v>2.564102564102564E-2</v>
      </c>
      <c r="K206" s="105" t="s">
        <v>492</v>
      </c>
      <c r="L206" s="39" t="str">
        <f>IFERROR(VLOOKUP(Table6[[#This Row],[Error Code]],'Basic Data'!$T:$U,2,0),"")</f>
        <v>Manual Stop - Safety Related</v>
      </c>
      <c r="M206" s="346" t="s">
        <v>481</v>
      </c>
      <c r="N206" s="39" t="s">
        <v>230</v>
      </c>
      <c r="O206" s="347">
        <v>0.40972222222222221</v>
      </c>
      <c r="P206" s="347">
        <v>0.40972222222222221</v>
      </c>
      <c r="Q206" s="347">
        <v>0.59027777777777779</v>
      </c>
      <c r="R206" s="348">
        <f>IF(Table6[[#This Row],[Work Start TimeStamp]]="","",(Table6[[#This Row],[Work Start TimeStamp]]-Table6[[#This Row],[Fault Start TimeStamp]])*24)</f>
        <v>0</v>
      </c>
      <c r="S206" s="349">
        <f>(Table6[[#This Row],[Fault Clearance time]]-Table6[[#This Row],[Work Start TimeStamp]])*24</f>
        <v>4.3333333333333339</v>
      </c>
      <c r="T206" s="350">
        <f>(Table6[[#This Row],[Fault Clearance time]]-Table6[[#This Row],[Fault Start TimeStamp]])*24</f>
        <v>4.3333333333333339</v>
      </c>
      <c r="U206" s="346" t="s">
        <v>534</v>
      </c>
      <c r="V206" s="351" t="s">
        <v>463</v>
      </c>
      <c r="W206" s="338">
        <f>Table6[[#This Row],[Breakdown Time]]*(1/39)</f>
        <v>0.11111111111111112</v>
      </c>
      <c r="X206" s="336" t="s">
        <v>468</v>
      </c>
      <c r="Y206" s="352" t="s">
        <v>131</v>
      </c>
      <c r="Z206" s="105">
        <v>5176</v>
      </c>
      <c r="AA206" s="107">
        <v>934.55555555555566</v>
      </c>
      <c r="AB206" s="105" t="s">
        <v>478</v>
      </c>
    </row>
    <row r="207" spans="1:28">
      <c r="A207" s="105">
        <f t="shared" si="3"/>
        <v>206</v>
      </c>
      <c r="B207" s="107">
        <f>YEAR(Table6[[#This Row],[Date]])+IF(MONTH(Table6[[#This Row],[Date]])&gt;=4,1,0)</f>
        <v>2026</v>
      </c>
      <c r="C207" s="105">
        <f>YEAR(Table6[[#This Row],[Date]])</f>
        <v>2025</v>
      </c>
      <c r="D207" s="105" t="s">
        <v>490</v>
      </c>
      <c r="E207" s="119">
        <f>Table6[[#This Row],[Date]]-DAY(Table6[[#This Row],[Date]])+1</f>
        <v>45748</v>
      </c>
      <c r="F207" s="118">
        <v>45751</v>
      </c>
      <c r="G207" s="105" t="s">
        <v>130</v>
      </c>
      <c r="H207" s="39" t="str">
        <f>_xlfn.XLOOKUP(Table6[[#This Row],[Affected WTG]],'Basic Data'!$A:$A,'Basic Data'!$B:$B)</f>
        <v>PWEGPL</v>
      </c>
      <c r="I207" s="39" t="str">
        <f>_xlfn.XLOOKUP(Table6[[#This Row],[Affected WTG]],'Basic Data'!$A:$A,'Basic Data'!$C:$C)</f>
        <v>MSEDCL</v>
      </c>
      <c r="J207" s="345">
        <f>IFERROR(VLOOKUP(Table6[[#This Row],[Affected WTG]],'Basic Data'!$A$3:$E$56,5,0),"")</f>
        <v>2.564102564102564E-2</v>
      </c>
      <c r="K207" s="105">
        <v>5248</v>
      </c>
      <c r="L207" s="39" t="str">
        <f>IFERROR(VLOOKUP(Table6[[#This Row],[Error Code]],'Basic Data'!$T:$U,2,0),"")</f>
        <v>Active Crowbar IGBT Errors</v>
      </c>
      <c r="M207" s="346" t="s">
        <v>462</v>
      </c>
      <c r="N207" s="39" t="s">
        <v>1270</v>
      </c>
      <c r="O207" s="347">
        <v>0.59027777777777779</v>
      </c>
      <c r="P207" s="347">
        <v>0.59027777777777779</v>
      </c>
      <c r="Q207" s="347">
        <v>0.99930555555555556</v>
      </c>
      <c r="R207" s="348">
        <f>IF(Table6[[#This Row],[Work Start TimeStamp]]="","",(Table6[[#This Row],[Work Start TimeStamp]]-Table6[[#This Row],[Fault Start TimeStamp]])*24)</f>
        <v>0</v>
      </c>
      <c r="S207" s="349">
        <f>(Table6[[#This Row],[Fault Clearance time]]-Table6[[#This Row],[Work Start TimeStamp]])*24</f>
        <v>9.8166666666666664</v>
      </c>
      <c r="T207" s="350">
        <f>(Table6[[#This Row],[Fault Clearance time]]-Table6[[#This Row],[Fault Start TimeStamp]])*24</f>
        <v>9.8166666666666664</v>
      </c>
      <c r="U207" s="346" t="s">
        <v>500</v>
      </c>
      <c r="V207" s="351" t="s">
        <v>473</v>
      </c>
      <c r="W207" s="338">
        <f>Table6[[#This Row],[Breakdown Time]]*(1/39)</f>
        <v>0.2517094017094017</v>
      </c>
      <c r="X207" s="336" t="s">
        <v>465</v>
      </c>
      <c r="Y207" s="352" t="s">
        <v>131</v>
      </c>
      <c r="Z207" s="105">
        <v>5176</v>
      </c>
      <c r="AA207" s="107">
        <v>2117.1277777777777</v>
      </c>
      <c r="AB207" s="105" t="s">
        <v>478</v>
      </c>
    </row>
    <row r="208" spans="1:28">
      <c r="A208" s="105">
        <f t="shared" si="3"/>
        <v>207</v>
      </c>
      <c r="B208" s="107">
        <f>YEAR(Table6[[#This Row],[Date]])+IF(MONTH(Table6[[#This Row],[Date]])&gt;=4,1,0)</f>
        <v>2026</v>
      </c>
      <c r="C208" s="105">
        <f>YEAR(Table6[[#This Row],[Date]])</f>
        <v>2025</v>
      </c>
      <c r="D208" s="105" t="s">
        <v>490</v>
      </c>
      <c r="E208" s="119">
        <f>Table6[[#This Row],[Date]]-DAY(Table6[[#This Row],[Date]])+1</f>
        <v>45748</v>
      </c>
      <c r="F208" s="118">
        <v>45751</v>
      </c>
      <c r="G208" s="105" t="s">
        <v>137</v>
      </c>
      <c r="H208" s="39" t="str">
        <f>_xlfn.XLOOKUP(Table6[[#This Row],[Affected WTG]],'Basic Data'!$A:$A,'Basic Data'!$B:$B)</f>
        <v>PWEGPL</v>
      </c>
      <c r="I208" s="39" t="str">
        <f>_xlfn.XLOOKUP(Table6[[#This Row],[Affected WTG]],'Basic Data'!$A:$A,'Basic Data'!$C:$C)</f>
        <v>MSEDCL</v>
      </c>
      <c r="J208" s="345">
        <f>IFERROR(VLOOKUP(Table6[[#This Row],[Affected WTG]],'Basic Data'!$A$3:$E$56,5,0),"")</f>
        <v>2.564102564102564E-2</v>
      </c>
      <c r="K208" s="105">
        <v>2118</v>
      </c>
      <c r="L208" s="39" t="str">
        <f>IFERROR(VLOOKUP(Table6[[#This Row],[Error Code]],'Basic Data'!$T:$U,2,0),"")</f>
        <v>Bus Error - Interbus Failure</v>
      </c>
      <c r="M208" s="346" t="s">
        <v>462</v>
      </c>
      <c r="N208" s="39" t="s">
        <v>1270</v>
      </c>
      <c r="O208" s="347">
        <v>2.9861111111111113E-2</v>
      </c>
      <c r="P208" s="347">
        <v>2.9861111111111113E-2</v>
      </c>
      <c r="Q208" s="347">
        <v>4.5138888888888888E-2</v>
      </c>
      <c r="R208" s="348">
        <f>IF(Table6[[#This Row],[Work Start TimeStamp]]="","",(Table6[[#This Row],[Work Start TimeStamp]]-Table6[[#This Row],[Fault Start TimeStamp]])*24)</f>
        <v>0</v>
      </c>
      <c r="S208" s="349">
        <f>(Table6[[#This Row],[Fault Clearance time]]-Table6[[#This Row],[Work Start TimeStamp]])*24</f>
        <v>0.36666666666666659</v>
      </c>
      <c r="T208" s="350">
        <f>(Table6[[#This Row],[Fault Clearance time]]-Table6[[#This Row],[Fault Start TimeStamp]])*24</f>
        <v>0.36666666666666659</v>
      </c>
      <c r="U208" s="346" t="s">
        <v>493</v>
      </c>
      <c r="V208" s="351" t="s">
        <v>463</v>
      </c>
      <c r="W208" s="338">
        <f>Table6[[#This Row],[Breakdown Time]]*(1/39)</f>
        <v>9.4017094017093995E-3</v>
      </c>
      <c r="X208" s="336" t="s">
        <v>465</v>
      </c>
      <c r="Y208" s="352" t="s">
        <v>119</v>
      </c>
      <c r="Z208" s="105">
        <v>4908</v>
      </c>
      <c r="AA208" s="107">
        <v>74.98333333333332</v>
      </c>
      <c r="AB208" s="105" t="s">
        <v>478</v>
      </c>
    </row>
    <row r="209" spans="1:28">
      <c r="A209" s="105">
        <f t="shared" si="3"/>
        <v>208</v>
      </c>
      <c r="B209" s="107">
        <f>YEAR(Table6[[#This Row],[Date]])+IF(MONTH(Table6[[#This Row],[Date]])&gt;=4,1,0)</f>
        <v>2026</v>
      </c>
      <c r="C209" s="105">
        <f>YEAR(Table6[[#This Row],[Date]])</f>
        <v>2025</v>
      </c>
      <c r="D209" s="105" t="s">
        <v>490</v>
      </c>
      <c r="E209" s="119">
        <f>Table6[[#This Row],[Date]]-DAY(Table6[[#This Row],[Date]])+1</f>
        <v>45748</v>
      </c>
      <c r="F209" s="118">
        <v>45751</v>
      </c>
      <c r="G209" s="105" t="s">
        <v>138</v>
      </c>
      <c r="H209" s="39" t="str">
        <f>_xlfn.XLOOKUP(Table6[[#This Row],[Affected WTG]],'Basic Data'!$A:$A,'Basic Data'!$B:$B)</f>
        <v>PWEGPL</v>
      </c>
      <c r="I209" s="39" t="str">
        <f>_xlfn.XLOOKUP(Table6[[#This Row],[Affected WTG]],'Basic Data'!$A:$A,'Basic Data'!$C:$C)</f>
        <v>MSEDCL</v>
      </c>
      <c r="J209" s="345">
        <f>IFERROR(VLOOKUP(Table6[[#This Row],[Affected WTG]],'Basic Data'!$A$3:$E$56,5,0),"")</f>
        <v>2.564102564102564E-2</v>
      </c>
      <c r="K209" s="105">
        <v>205</v>
      </c>
      <c r="L209" s="39" t="str">
        <f>IFERROR(VLOOKUP(Table6[[#This Row],[Error Code]],'Basic Data'!$T:$U,2,0),"")</f>
        <v>Low Level Hydraulic Group Refrigeration Oil</v>
      </c>
      <c r="M209" s="346" t="s">
        <v>462</v>
      </c>
      <c r="N209" s="39" t="s">
        <v>1270</v>
      </c>
      <c r="O209" s="347">
        <v>0.41875000000000001</v>
      </c>
      <c r="P209" s="347">
        <v>0.41875000000000001</v>
      </c>
      <c r="Q209" s="347">
        <v>0.4513888888888889</v>
      </c>
      <c r="R209" s="348">
        <f>IF(Table6[[#This Row],[Work Start TimeStamp]]="","",(Table6[[#This Row],[Work Start TimeStamp]]-Table6[[#This Row],[Fault Start TimeStamp]])*24)</f>
        <v>0</v>
      </c>
      <c r="S209" s="349">
        <f>(Table6[[#This Row],[Fault Clearance time]]-Table6[[#This Row],[Work Start TimeStamp]])*24</f>
        <v>0.78333333333333321</v>
      </c>
      <c r="T209" s="350">
        <f>(Table6[[#This Row],[Fault Clearance time]]-Table6[[#This Row],[Fault Start TimeStamp]])*24</f>
        <v>0.78333333333333321</v>
      </c>
      <c r="U209" s="346" t="s">
        <v>493</v>
      </c>
      <c r="V209" s="351" t="s">
        <v>463</v>
      </c>
      <c r="W209" s="338">
        <f>Table6[[#This Row],[Breakdown Time]]*(1/39)</f>
        <v>2.008547008547008E-2</v>
      </c>
      <c r="X209" s="336" t="s">
        <v>465</v>
      </c>
      <c r="Y209" s="352" t="s">
        <v>140</v>
      </c>
      <c r="Z209" s="105">
        <v>4378</v>
      </c>
      <c r="AA209" s="107">
        <v>142.89305555555552</v>
      </c>
      <c r="AB209" s="105" t="s">
        <v>478</v>
      </c>
    </row>
    <row r="210" spans="1:28">
      <c r="A210" s="105">
        <f t="shared" si="3"/>
        <v>209</v>
      </c>
      <c r="B210" s="107">
        <f>YEAR(Table6[[#This Row],[Date]])+IF(MONTH(Table6[[#This Row],[Date]])&gt;=4,1,0)</f>
        <v>2026</v>
      </c>
      <c r="C210" s="105">
        <f>YEAR(Table6[[#This Row],[Date]])</f>
        <v>2025</v>
      </c>
      <c r="D210" s="105" t="s">
        <v>490</v>
      </c>
      <c r="E210" s="119">
        <f>Table6[[#This Row],[Date]]-DAY(Table6[[#This Row],[Date]])+1</f>
        <v>45748</v>
      </c>
      <c r="F210" s="118">
        <v>45751</v>
      </c>
      <c r="G210" s="105" t="s">
        <v>147</v>
      </c>
      <c r="H210" s="39" t="str">
        <f>_xlfn.XLOOKUP(Table6[[#This Row],[Affected WTG]],'Basic Data'!$A:$A,'Basic Data'!$B:$B)</f>
        <v>PWEGPL</v>
      </c>
      <c r="I210" s="39" t="str">
        <f>_xlfn.XLOOKUP(Table6[[#This Row],[Affected WTG]],'Basic Data'!$A:$A,'Basic Data'!$C:$C)</f>
        <v>MSEDCL</v>
      </c>
      <c r="J210" s="345">
        <f>IFERROR(VLOOKUP(Table6[[#This Row],[Affected WTG]],'Basic Data'!$A$3:$E$56,5,0),"")</f>
        <v>2.564102564102564E-2</v>
      </c>
      <c r="K210" s="105">
        <v>5201</v>
      </c>
      <c r="L210" s="39" t="str">
        <f>IFERROR(VLOOKUP(Table6[[#This Row],[Error Code]],'Basic Data'!$T:$U,2,0),"")</f>
        <v>Magnetothermic Trigger Of The Stator Protection</v>
      </c>
      <c r="M210" s="346" t="s">
        <v>462</v>
      </c>
      <c r="N210" s="39" t="s">
        <v>1270</v>
      </c>
      <c r="O210" s="347">
        <v>0</v>
      </c>
      <c r="P210" s="347">
        <v>0.25277777777777777</v>
      </c>
      <c r="Q210" s="347">
        <v>0.25277777777777777</v>
      </c>
      <c r="R210" s="348">
        <f>IF(Table6[[#This Row],[Work Start TimeStamp]]="","",(Table6[[#This Row],[Work Start TimeStamp]]-Table6[[#This Row],[Fault Start TimeStamp]])*24)</f>
        <v>6.0666666666666664</v>
      </c>
      <c r="S210" s="349">
        <f>(Table6[[#This Row],[Fault Clearance time]]-Table6[[#This Row],[Work Start TimeStamp]])*24</f>
        <v>0</v>
      </c>
      <c r="T210" s="350">
        <f>(Table6[[#This Row],[Fault Clearance time]]-Table6[[#This Row],[Fault Start TimeStamp]])*24</f>
        <v>6.0666666666666664</v>
      </c>
      <c r="U210" s="346" t="s">
        <v>493</v>
      </c>
      <c r="V210" s="351" t="s">
        <v>463</v>
      </c>
      <c r="W210" s="338">
        <f>Table6[[#This Row],[Breakdown Time]]*(1/39)</f>
        <v>0.15555555555555553</v>
      </c>
      <c r="X210" s="336" t="s">
        <v>465</v>
      </c>
      <c r="Y210" s="352" t="s">
        <v>146</v>
      </c>
      <c r="Z210" s="105">
        <v>4113</v>
      </c>
      <c r="AA210" s="107">
        <v>1039.675</v>
      </c>
      <c r="AB210" s="105" t="s">
        <v>478</v>
      </c>
    </row>
    <row r="211" spans="1:28">
      <c r="A211" s="105">
        <f t="shared" si="3"/>
        <v>210</v>
      </c>
      <c r="B211" s="107">
        <f>YEAR(Table6[[#This Row],[Date]])+IF(MONTH(Table6[[#This Row],[Date]])&gt;=4,1,0)</f>
        <v>2026</v>
      </c>
      <c r="C211" s="105">
        <f>YEAR(Table6[[#This Row],[Date]])</f>
        <v>2025</v>
      </c>
      <c r="D211" s="105" t="s">
        <v>490</v>
      </c>
      <c r="E211" s="119">
        <f>Table6[[#This Row],[Date]]-DAY(Table6[[#This Row],[Date]])+1</f>
        <v>45748</v>
      </c>
      <c r="F211" s="118">
        <v>45752</v>
      </c>
      <c r="G211" s="105" t="s">
        <v>144</v>
      </c>
      <c r="H211" s="39" t="str">
        <f>_xlfn.XLOOKUP(Table6[[#This Row],[Affected WTG]],'Basic Data'!$A:$A,'Basic Data'!$B:$B)</f>
        <v>PWEGPL</v>
      </c>
      <c r="I211" s="39" t="str">
        <f>_xlfn.XLOOKUP(Table6[[#This Row],[Affected WTG]],'Basic Data'!$A:$A,'Basic Data'!$C:$C)</f>
        <v>MSEDCL</v>
      </c>
      <c r="J211" s="345">
        <f>IFERROR(VLOOKUP(Table6[[#This Row],[Affected WTG]],'Basic Data'!$A$3:$E$56,5,0),"")</f>
        <v>2.564102564102564E-2</v>
      </c>
      <c r="K211" s="105" t="s">
        <v>492</v>
      </c>
      <c r="L211" s="39" t="str">
        <f>IFERROR(VLOOKUP(Table6[[#This Row],[Error Code]],'Basic Data'!$T:$U,2,0),"")</f>
        <v>Manual Stop - Safety Related</v>
      </c>
      <c r="M211" s="346" t="s">
        <v>481</v>
      </c>
      <c r="N211" s="39" t="s">
        <v>1269</v>
      </c>
      <c r="O211" s="347">
        <v>0</v>
      </c>
      <c r="P211" s="347">
        <v>0.99930555555555556</v>
      </c>
      <c r="Q211" s="347">
        <v>0.99930555555555556</v>
      </c>
      <c r="R211" s="348">
        <f>IF(Table6[[#This Row],[Work Start TimeStamp]]="","",(Table6[[#This Row],[Work Start TimeStamp]]-Table6[[#This Row],[Fault Start TimeStamp]])*24)</f>
        <v>23.983333333333334</v>
      </c>
      <c r="S211" s="349">
        <f>(Table6[[#This Row],[Fault Clearance time]]-Table6[[#This Row],[Work Start TimeStamp]])*24</f>
        <v>0</v>
      </c>
      <c r="T211" s="350">
        <f>(Table6[[#This Row],[Fault Clearance time]]-Table6[[#This Row],[Fault Start TimeStamp]])*24</f>
        <v>23.983333333333334</v>
      </c>
      <c r="U211" s="346" t="s">
        <v>498</v>
      </c>
      <c r="V211" s="351" t="s">
        <v>473</v>
      </c>
      <c r="W211" s="338">
        <f>Table6[[#This Row],[Breakdown Time]]*(1/39)</f>
        <v>0.61495726495726499</v>
      </c>
      <c r="X211" s="336" t="s">
        <v>468</v>
      </c>
      <c r="Y211" s="352" t="s">
        <v>141</v>
      </c>
      <c r="Z211" s="105">
        <v>2572</v>
      </c>
      <c r="AA211" s="107">
        <v>2570.213888888889</v>
      </c>
      <c r="AB211" s="105" t="s">
        <v>478</v>
      </c>
    </row>
    <row r="212" spans="1:28">
      <c r="A212" s="105">
        <f t="shared" si="3"/>
        <v>211</v>
      </c>
      <c r="B212" s="107">
        <f>YEAR(Table6[[#This Row],[Date]])+IF(MONTH(Table6[[#This Row],[Date]])&gt;=4,1,0)</f>
        <v>2026</v>
      </c>
      <c r="C212" s="105">
        <f>YEAR(Table6[[#This Row],[Date]])</f>
        <v>2025</v>
      </c>
      <c r="D212" s="105" t="s">
        <v>490</v>
      </c>
      <c r="E212" s="119">
        <f>Table6[[#This Row],[Date]]-DAY(Table6[[#This Row],[Date]])+1</f>
        <v>45748</v>
      </c>
      <c r="F212" s="118">
        <v>45752</v>
      </c>
      <c r="G212" s="105" t="s">
        <v>142</v>
      </c>
      <c r="H212" s="39" t="str">
        <f>_xlfn.XLOOKUP(Table6[[#This Row],[Affected WTG]],'Basic Data'!$A:$A,'Basic Data'!$B:$B)</f>
        <v>PWEGPL</v>
      </c>
      <c r="I212" s="39" t="str">
        <f>_xlfn.XLOOKUP(Table6[[#This Row],[Affected WTG]],'Basic Data'!$A:$A,'Basic Data'!$C:$C)</f>
        <v>MSEDCL</v>
      </c>
      <c r="J212" s="345">
        <f>IFERROR(VLOOKUP(Table6[[#This Row],[Affected WTG]],'Basic Data'!$A$3:$E$56,5,0),"")</f>
        <v>2.564102564102564E-2</v>
      </c>
      <c r="K212" s="105" t="s">
        <v>492</v>
      </c>
      <c r="L212" s="39" t="str">
        <f>IFERROR(VLOOKUP(Table6[[#This Row],[Error Code]],'Basic Data'!$T:$U,2,0),"")</f>
        <v>Manual Stop - Safety Related</v>
      </c>
      <c r="M212" s="346" t="s">
        <v>481</v>
      </c>
      <c r="N212" s="39" t="s">
        <v>1269</v>
      </c>
      <c r="O212" s="347">
        <v>0</v>
      </c>
      <c r="P212" s="347">
        <v>0.99930555555555556</v>
      </c>
      <c r="Q212" s="347">
        <v>0.99930555555555556</v>
      </c>
      <c r="R212" s="348">
        <f>IF(Table6[[#This Row],[Work Start TimeStamp]]="","",(Table6[[#This Row],[Work Start TimeStamp]]-Table6[[#This Row],[Fault Start TimeStamp]])*24)</f>
        <v>23.983333333333334</v>
      </c>
      <c r="S212" s="349">
        <f>(Table6[[#This Row],[Fault Clearance time]]-Table6[[#This Row],[Work Start TimeStamp]])*24</f>
        <v>0</v>
      </c>
      <c r="T212" s="350">
        <f>(Table6[[#This Row],[Fault Clearance time]]-Table6[[#This Row],[Fault Start TimeStamp]])*24</f>
        <v>23.983333333333334</v>
      </c>
      <c r="U212" s="346" t="s">
        <v>498</v>
      </c>
      <c r="V212" s="351" t="s">
        <v>473</v>
      </c>
      <c r="W212" s="338">
        <f>Table6[[#This Row],[Breakdown Time]]*(1/39)</f>
        <v>0.61495726495726499</v>
      </c>
      <c r="X212" s="336" t="s">
        <v>468</v>
      </c>
      <c r="Y212" s="352" t="s">
        <v>141</v>
      </c>
      <c r="Z212" s="105">
        <v>2572</v>
      </c>
      <c r="AA212" s="107">
        <v>2570.213888888889</v>
      </c>
      <c r="AB212" s="105" t="s">
        <v>478</v>
      </c>
    </row>
    <row r="213" spans="1:28">
      <c r="A213" s="105">
        <f t="shared" si="3"/>
        <v>212</v>
      </c>
      <c r="B213" s="107">
        <f>YEAR(Table6[[#This Row],[Date]])+IF(MONTH(Table6[[#This Row],[Date]])&gt;=4,1,0)</f>
        <v>2026</v>
      </c>
      <c r="C213" s="105">
        <f>YEAR(Table6[[#This Row],[Date]])</f>
        <v>2025</v>
      </c>
      <c r="D213" s="105" t="s">
        <v>490</v>
      </c>
      <c r="E213" s="119">
        <f>Table6[[#This Row],[Date]]-DAY(Table6[[#This Row],[Date]])+1</f>
        <v>45748</v>
      </c>
      <c r="F213" s="118">
        <v>45752</v>
      </c>
      <c r="G213" s="105" t="s">
        <v>118</v>
      </c>
      <c r="H213" s="39" t="str">
        <f>_xlfn.XLOOKUP(Table6[[#This Row],[Affected WTG]],'Basic Data'!$A:$A,'Basic Data'!$B:$B)</f>
        <v>PWEGPL</v>
      </c>
      <c r="I213" s="39" t="str">
        <f>_xlfn.XLOOKUP(Table6[[#This Row],[Affected WTG]],'Basic Data'!$A:$A,'Basic Data'!$C:$C)</f>
        <v>MSEDCL</v>
      </c>
      <c r="J213" s="345">
        <f>IFERROR(VLOOKUP(Table6[[#This Row],[Affected WTG]],'Basic Data'!$A$3:$E$56,5,0),"")</f>
        <v>2.564102564102564E-2</v>
      </c>
      <c r="K213" s="105">
        <v>5200</v>
      </c>
      <c r="L213" s="39" t="str">
        <f>IFERROR(VLOOKUP(Table6[[#This Row],[Error Code]],'Basic Data'!$T:$U,2,0),"")</f>
        <v>Magnetothermic Trigger Of The Line Protection</v>
      </c>
      <c r="M213" s="346" t="s">
        <v>462</v>
      </c>
      <c r="N213" s="39" t="s">
        <v>1270</v>
      </c>
      <c r="O213" s="347">
        <v>0.47361111111111109</v>
      </c>
      <c r="P213" s="347">
        <v>0.47361111111111109</v>
      </c>
      <c r="Q213" s="347">
        <v>0.48472222222222222</v>
      </c>
      <c r="R213" s="348">
        <f>IF(Table6[[#This Row],[Work Start TimeStamp]]="","",(Table6[[#This Row],[Work Start TimeStamp]]-Table6[[#This Row],[Fault Start TimeStamp]])*24)</f>
        <v>0</v>
      </c>
      <c r="S213" s="349">
        <f>(Table6[[#This Row],[Fault Clearance time]]-Table6[[#This Row],[Work Start TimeStamp]])*24</f>
        <v>0.26666666666666705</v>
      </c>
      <c r="T213" s="350">
        <f>(Table6[[#This Row],[Fault Clearance time]]-Table6[[#This Row],[Fault Start TimeStamp]])*24</f>
        <v>0.26666666666666705</v>
      </c>
      <c r="U213" s="346" t="s">
        <v>493</v>
      </c>
      <c r="V213" s="351" t="s">
        <v>463</v>
      </c>
      <c r="W213" s="338">
        <f>Table6[[#This Row],[Breakdown Time]]*(1/39)</f>
        <v>6.8376068376068471E-3</v>
      </c>
      <c r="X213" s="336" t="s">
        <v>465</v>
      </c>
      <c r="Y213" s="352" t="s">
        <v>117</v>
      </c>
      <c r="Z213" s="105">
        <v>1912</v>
      </c>
      <c r="AA213" s="107">
        <v>21.244444444444476</v>
      </c>
      <c r="AB213" s="105" t="s">
        <v>478</v>
      </c>
    </row>
    <row r="214" spans="1:28">
      <c r="A214" s="105">
        <f t="shared" si="3"/>
        <v>213</v>
      </c>
      <c r="B214" s="107">
        <f>YEAR(Table6[[#This Row],[Date]])+IF(MONTH(Table6[[#This Row],[Date]])&gt;=4,1,0)</f>
        <v>2026</v>
      </c>
      <c r="C214" s="105">
        <f>YEAR(Table6[[#This Row],[Date]])</f>
        <v>2025</v>
      </c>
      <c r="D214" s="105" t="s">
        <v>490</v>
      </c>
      <c r="E214" s="119">
        <f>Table6[[#This Row],[Date]]-DAY(Table6[[#This Row],[Date]])+1</f>
        <v>45748</v>
      </c>
      <c r="F214" s="118">
        <v>45752</v>
      </c>
      <c r="G214" s="105" t="s">
        <v>118</v>
      </c>
      <c r="H214" s="39" t="str">
        <f>_xlfn.XLOOKUP(Table6[[#This Row],[Affected WTG]],'Basic Data'!$A:$A,'Basic Data'!$B:$B)</f>
        <v>PWEGPL</v>
      </c>
      <c r="I214" s="39" t="str">
        <f>_xlfn.XLOOKUP(Table6[[#This Row],[Affected WTG]],'Basic Data'!$A:$A,'Basic Data'!$C:$C)</f>
        <v>MSEDCL</v>
      </c>
      <c r="J214" s="345">
        <f>IFERROR(VLOOKUP(Table6[[#This Row],[Affected WTG]],'Basic Data'!$A$3:$E$56,5,0),"")</f>
        <v>2.564102564102564E-2</v>
      </c>
      <c r="K214" s="105">
        <v>5200</v>
      </c>
      <c r="L214" s="39" t="str">
        <f>IFERROR(VLOOKUP(Table6[[#This Row],[Error Code]],'Basic Data'!$T:$U,2,0),"")</f>
        <v>Magnetothermic Trigger Of The Line Protection</v>
      </c>
      <c r="M214" s="346" t="s">
        <v>462</v>
      </c>
      <c r="N214" s="39" t="s">
        <v>1270</v>
      </c>
      <c r="O214" s="347">
        <v>0.99513888888888891</v>
      </c>
      <c r="P214" s="347">
        <v>0.99513888888888891</v>
      </c>
      <c r="Q214" s="347">
        <v>0.99791666666666667</v>
      </c>
      <c r="R214" s="348">
        <f>IF(Table6[[#This Row],[Work Start TimeStamp]]="","",(Table6[[#This Row],[Work Start TimeStamp]]-Table6[[#This Row],[Fault Start TimeStamp]])*24)</f>
        <v>0</v>
      </c>
      <c r="S214" s="349">
        <f>(Table6[[#This Row],[Fault Clearance time]]-Table6[[#This Row],[Work Start TimeStamp]])*24</f>
        <v>6.666666666666643E-2</v>
      </c>
      <c r="T214" s="350">
        <f>(Table6[[#This Row],[Fault Clearance time]]-Table6[[#This Row],[Fault Start TimeStamp]])*24</f>
        <v>6.666666666666643E-2</v>
      </c>
      <c r="U214" s="346" t="s">
        <v>480</v>
      </c>
      <c r="V214" s="351" t="s">
        <v>463</v>
      </c>
      <c r="W214" s="338">
        <f>Table6[[#This Row],[Breakdown Time]]*(1/39)</f>
        <v>1.7094017094017033E-3</v>
      </c>
      <c r="X214" s="336" t="s">
        <v>465</v>
      </c>
      <c r="Y214" s="352" t="s">
        <v>117</v>
      </c>
      <c r="Z214" s="105">
        <v>1912</v>
      </c>
      <c r="AA214" s="107">
        <v>5.3111111111110922</v>
      </c>
      <c r="AB214" s="105" t="s">
        <v>478</v>
      </c>
    </row>
    <row r="215" spans="1:28">
      <c r="A215" s="105">
        <f t="shared" si="3"/>
        <v>214</v>
      </c>
      <c r="B215" s="107">
        <f>YEAR(Table6[[#This Row],[Date]])+IF(MONTH(Table6[[#This Row],[Date]])&gt;=4,1,0)</f>
        <v>2026</v>
      </c>
      <c r="C215" s="105">
        <f>YEAR(Table6[[#This Row],[Date]])</f>
        <v>2025</v>
      </c>
      <c r="D215" s="105" t="s">
        <v>490</v>
      </c>
      <c r="E215" s="119">
        <f>Table6[[#This Row],[Date]]-DAY(Table6[[#This Row],[Date]])+1</f>
        <v>45748</v>
      </c>
      <c r="F215" s="118">
        <v>45752</v>
      </c>
      <c r="G215" s="105" t="s">
        <v>125</v>
      </c>
      <c r="H215" s="39" t="str">
        <f>_xlfn.XLOOKUP(Table6[[#This Row],[Affected WTG]],'Basic Data'!$A:$A,'Basic Data'!$B:$B)</f>
        <v>PWEGPL</v>
      </c>
      <c r="I215" s="39" t="str">
        <f>_xlfn.XLOOKUP(Table6[[#This Row],[Affected WTG]],'Basic Data'!$A:$A,'Basic Data'!$C:$C)</f>
        <v>MSEDCL</v>
      </c>
      <c r="J215" s="345">
        <f>IFERROR(VLOOKUP(Table6[[#This Row],[Affected WTG]],'Basic Data'!$A$3:$E$56,5,0),"")</f>
        <v>2.564102564102564E-2</v>
      </c>
      <c r="K215" s="105">
        <v>116</v>
      </c>
      <c r="L215" s="39" t="str">
        <f>IFERROR(VLOOKUP(Table6[[#This Row],[Error Code]],'Basic Data'!$T:$U,2,0),"")</f>
        <v>Orienting and High Yaw Brake Pressure</v>
      </c>
      <c r="M215" s="346" t="s">
        <v>462</v>
      </c>
      <c r="N215" s="39" t="s">
        <v>1270</v>
      </c>
      <c r="O215" s="347">
        <v>0.15694444444444444</v>
      </c>
      <c r="P215" s="347">
        <v>0.15694444444444444</v>
      </c>
      <c r="Q215" s="347">
        <v>0.16041666666666668</v>
      </c>
      <c r="R215" s="348">
        <f>IF(Table6[[#This Row],[Work Start TimeStamp]]="","",(Table6[[#This Row],[Work Start TimeStamp]]-Table6[[#This Row],[Fault Start TimeStamp]])*24)</f>
        <v>0</v>
      </c>
      <c r="S215" s="349">
        <f>(Table6[[#This Row],[Fault Clearance time]]-Table6[[#This Row],[Work Start TimeStamp]])*24</f>
        <v>8.3333333333333703E-2</v>
      </c>
      <c r="T215" s="350">
        <f>(Table6[[#This Row],[Fault Clearance time]]-Table6[[#This Row],[Fault Start TimeStamp]])*24</f>
        <v>8.3333333333333703E-2</v>
      </c>
      <c r="U215" s="346" t="s">
        <v>480</v>
      </c>
      <c r="V215" s="351" t="s">
        <v>463</v>
      </c>
      <c r="W215" s="338">
        <f>Table6[[#This Row],[Breakdown Time]]*(1/39)</f>
        <v>2.1367521367521461E-3</v>
      </c>
      <c r="X215" s="336" t="s">
        <v>465</v>
      </c>
      <c r="Y215" s="352" t="s">
        <v>124</v>
      </c>
      <c r="Z215" s="105">
        <v>1448</v>
      </c>
      <c r="AA215" s="107">
        <v>5.0277777777777999</v>
      </c>
      <c r="AB215" s="105" t="s">
        <v>478</v>
      </c>
    </row>
    <row r="216" spans="1:28">
      <c r="A216" s="105">
        <f t="shared" si="3"/>
        <v>215</v>
      </c>
      <c r="B216" s="107">
        <f>YEAR(Table6[[#This Row],[Date]])+IF(MONTH(Table6[[#This Row],[Date]])&gt;=4,1,0)</f>
        <v>2026</v>
      </c>
      <c r="C216" s="105">
        <f>YEAR(Table6[[#This Row],[Date]])</f>
        <v>2025</v>
      </c>
      <c r="D216" s="105" t="s">
        <v>490</v>
      </c>
      <c r="E216" s="119">
        <f>Table6[[#This Row],[Date]]-DAY(Table6[[#This Row],[Date]])+1</f>
        <v>45748</v>
      </c>
      <c r="F216" s="118">
        <v>45752</v>
      </c>
      <c r="G216" s="105" t="s">
        <v>125</v>
      </c>
      <c r="H216" s="39" t="str">
        <f>_xlfn.XLOOKUP(Table6[[#This Row],[Affected WTG]],'Basic Data'!$A:$A,'Basic Data'!$B:$B)</f>
        <v>PWEGPL</v>
      </c>
      <c r="I216" s="39" t="str">
        <f>_xlfn.XLOOKUP(Table6[[#This Row],[Affected WTG]],'Basic Data'!$A:$A,'Basic Data'!$C:$C)</f>
        <v>MSEDCL</v>
      </c>
      <c r="J216" s="345">
        <f>IFERROR(VLOOKUP(Table6[[#This Row],[Affected WTG]],'Basic Data'!$A$3:$E$56,5,0),"")</f>
        <v>2.564102564102564E-2</v>
      </c>
      <c r="K216" s="105">
        <v>116</v>
      </c>
      <c r="L216" s="39" t="str">
        <f>IFERROR(VLOOKUP(Table6[[#This Row],[Error Code]],'Basic Data'!$T:$U,2,0),"")</f>
        <v>Orienting and High Yaw Brake Pressure</v>
      </c>
      <c r="M216" s="346" t="s">
        <v>462</v>
      </c>
      <c r="N216" s="39" t="s">
        <v>1270</v>
      </c>
      <c r="O216" s="347">
        <v>0.52569444444444446</v>
      </c>
      <c r="P216" s="347">
        <v>0.52569444444444446</v>
      </c>
      <c r="Q216" s="347">
        <v>0.52916666666666667</v>
      </c>
      <c r="R216" s="348">
        <f>IF(Table6[[#This Row],[Work Start TimeStamp]]="","",(Table6[[#This Row],[Work Start TimeStamp]]-Table6[[#This Row],[Fault Start TimeStamp]])*24)</f>
        <v>0</v>
      </c>
      <c r="S216" s="349">
        <f>(Table6[[#This Row],[Fault Clearance time]]-Table6[[#This Row],[Work Start TimeStamp]])*24</f>
        <v>8.3333333333333037E-2</v>
      </c>
      <c r="T216" s="350">
        <f>(Table6[[#This Row],[Fault Clearance time]]-Table6[[#This Row],[Fault Start TimeStamp]])*24</f>
        <v>8.3333333333333037E-2</v>
      </c>
      <c r="U216" s="346" t="s">
        <v>480</v>
      </c>
      <c r="V216" s="351" t="s">
        <v>463</v>
      </c>
      <c r="W216" s="338">
        <f>Table6[[#This Row],[Breakdown Time]]*(1/39)</f>
        <v>2.1367521367521292E-3</v>
      </c>
      <c r="X216" s="336" t="s">
        <v>465</v>
      </c>
      <c r="Y216" s="352" t="s">
        <v>124</v>
      </c>
      <c r="Z216" s="105">
        <v>1448</v>
      </c>
      <c r="AA216" s="107">
        <v>5.0277777777777599</v>
      </c>
      <c r="AB216" s="105" t="s">
        <v>478</v>
      </c>
    </row>
    <row r="217" spans="1:28">
      <c r="A217" s="105">
        <f t="shared" si="3"/>
        <v>216</v>
      </c>
      <c r="B217" s="107">
        <f>YEAR(Table6[[#This Row],[Date]])+IF(MONTH(Table6[[#This Row],[Date]])&gt;=4,1,0)</f>
        <v>2026</v>
      </c>
      <c r="C217" s="105">
        <f>YEAR(Table6[[#This Row],[Date]])</f>
        <v>2025</v>
      </c>
      <c r="D217" s="105" t="s">
        <v>490</v>
      </c>
      <c r="E217" s="119">
        <f>Table6[[#This Row],[Date]]-DAY(Table6[[#This Row],[Date]])+1</f>
        <v>45748</v>
      </c>
      <c r="F217" s="118">
        <v>45752</v>
      </c>
      <c r="G217" s="105" t="s">
        <v>127</v>
      </c>
      <c r="H217" s="39" t="str">
        <f>_xlfn.XLOOKUP(Table6[[#This Row],[Affected WTG]],'Basic Data'!$A:$A,'Basic Data'!$B:$B)</f>
        <v>PWEGPL</v>
      </c>
      <c r="I217" s="39" t="str">
        <f>_xlfn.XLOOKUP(Table6[[#This Row],[Affected WTG]],'Basic Data'!$A:$A,'Basic Data'!$C:$C)</f>
        <v>MSEDCL</v>
      </c>
      <c r="J217" s="345">
        <f>IFERROR(VLOOKUP(Table6[[#This Row],[Affected WTG]],'Basic Data'!$A$3:$E$56,5,0),"")</f>
        <v>2.564102564102564E-2</v>
      </c>
      <c r="K217" s="105">
        <v>550</v>
      </c>
      <c r="L217" s="39" t="str">
        <f>IFERROR(VLOOKUP(Table6[[#This Row],[Error Code]],'Basic Data'!$T:$U,2,0),"")</f>
        <v>Generator Fans Thermal Relay Triggered Too Long</v>
      </c>
      <c r="M217" s="346" t="s">
        <v>462</v>
      </c>
      <c r="N217" s="39" t="s">
        <v>1270</v>
      </c>
      <c r="O217" s="347">
        <v>0.74097222222222225</v>
      </c>
      <c r="P217" s="347">
        <v>0.75763888888888886</v>
      </c>
      <c r="Q217" s="347">
        <v>0.76111111111111107</v>
      </c>
      <c r="R217" s="348">
        <f>IF(Table6[[#This Row],[Work Start TimeStamp]]="","",(Table6[[#This Row],[Work Start TimeStamp]]-Table6[[#This Row],[Fault Start TimeStamp]])*24)</f>
        <v>0.39999999999999858</v>
      </c>
      <c r="S217" s="349">
        <f>(Table6[[#This Row],[Fault Clearance time]]-Table6[[#This Row],[Work Start TimeStamp]])*24</f>
        <v>8.3333333333333037E-2</v>
      </c>
      <c r="T217" s="350">
        <f>(Table6[[#This Row],[Fault Clearance time]]-Table6[[#This Row],[Fault Start TimeStamp]])*24</f>
        <v>0.48333333333333162</v>
      </c>
      <c r="U217" s="346" t="s">
        <v>491</v>
      </c>
      <c r="V217" s="351" t="s">
        <v>463</v>
      </c>
      <c r="W217" s="338">
        <f>Table6[[#This Row],[Breakdown Time]]*(1/39)</f>
        <v>1.2393162393162349E-2</v>
      </c>
      <c r="X217" s="336" t="s">
        <v>465</v>
      </c>
      <c r="Y217" s="352" t="s">
        <v>128</v>
      </c>
      <c r="Z217" s="105">
        <v>1700</v>
      </c>
      <c r="AA217" s="107">
        <v>34.236111111110986</v>
      </c>
      <c r="AB217" s="105" t="s">
        <v>478</v>
      </c>
    </row>
    <row r="218" spans="1:28">
      <c r="A218" s="105">
        <f t="shared" si="3"/>
        <v>217</v>
      </c>
      <c r="B218" s="107">
        <f>YEAR(Table6[[#This Row],[Date]])+IF(MONTH(Table6[[#This Row],[Date]])&gt;=4,1,0)</f>
        <v>2026</v>
      </c>
      <c r="C218" s="105">
        <f>YEAR(Table6[[#This Row],[Date]])</f>
        <v>2025</v>
      </c>
      <c r="D218" s="105" t="s">
        <v>490</v>
      </c>
      <c r="E218" s="119">
        <f>Table6[[#This Row],[Date]]-DAY(Table6[[#This Row],[Date]])+1</f>
        <v>45748</v>
      </c>
      <c r="F218" s="118">
        <v>45752</v>
      </c>
      <c r="G218" s="105" t="s">
        <v>136</v>
      </c>
      <c r="H218" s="39" t="str">
        <f>_xlfn.XLOOKUP(Table6[[#This Row],[Affected WTG]],'Basic Data'!$A:$A,'Basic Data'!$B:$B)</f>
        <v>PWEGPL</v>
      </c>
      <c r="I218" s="39" t="str">
        <f>_xlfn.XLOOKUP(Table6[[#This Row],[Affected WTG]],'Basic Data'!$A:$A,'Basic Data'!$C:$C)</f>
        <v>MSEDCL</v>
      </c>
      <c r="J218" s="345">
        <f>IFERROR(VLOOKUP(Table6[[#This Row],[Affected WTG]],'Basic Data'!$A$3:$E$56,5,0),"")</f>
        <v>2.564102564102564E-2</v>
      </c>
      <c r="K218" s="105">
        <v>800</v>
      </c>
      <c r="L218" s="39" t="str">
        <f>IFERROR(VLOOKUP(Table6[[#This Row],[Error Code]],'Basic Data'!$T:$U,2,0),"")</f>
        <v>Pitch Drive Error</v>
      </c>
      <c r="M218" s="346" t="s">
        <v>462</v>
      </c>
      <c r="N218" s="39" t="s">
        <v>1270</v>
      </c>
      <c r="O218" s="347">
        <v>0.68263888888888891</v>
      </c>
      <c r="P218" s="347">
        <v>0.68263888888888891</v>
      </c>
      <c r="Q218" s="347">
        <v>0.68611111111111112</v>
      </c>
      <c r="R218" s="348">
        <f>IF(Table6[[#This Row],[Work Start TimeStamp]]="","",(Table6[[#This Row],[Work Start TimeStamp]]-Table6[[#This Row],[Fault Start TimeStamp]])*24)</f>
        <v>0</v>
      </c>
      <c r="S218" s="349">
        <f>(Table6[[#This Row],[Fault Clearance time]]-Table6[[#This Row],[Work Start TimeStamp]])*24</f>
        <v>8.3333333333333037E-2</v>
      </c>
      <c r="T218" s="350">
        <f>(Table6[[#This Row],[Fault Clearance time]]-Table6[[#This Row],[Fault Start TimeStamp]])*24</f>
        <v>8.3333333333333037E-2</v>
      </c>
      <c r="U218" s="346" t="s">
        <v>480</v>
      </c>
      <c r="V218" s="351" t="s">
        <v>463</v>
      </c>
      <c r="W218" s="338">
        <f>Table6[[#This Row],[Breakdown Time]]*(1/39)</f>
        <v>2.1367521367521292E-3</v>
      </c>
      <c r="X218" s="336" t="s">
        <v>465</v>
      </c>
      <c r="Y218" s="352" t="s">
        <v>135</v>
      </c>
      <c r="Z218" s="105">
        <v>2750</v>
      </c>
      <c r="AA218" s="107">
        <v>9.548611111111077</v>
      </c>
      <c r="AB218" s="105" t="s">
        <v>478</v>
      </c>
    </row>
    <row r="219" spans="1:28">
      <c r="A219" s="105">
        <f t="shared" si="3"/>
        <v>218</v>
      </c>
      <c r="B219" s="107">
        <f>YEAR(Table6[[#This Row],[Date]])+IF(MONTH(Table6[[#This Row],[Date]])&gt;=4,1,0)</f>
        <v>2026</v>
      </c>
      <c r="C219" s="105">
        <f>YEAR(Table6[[#This Row],[Date]])</f>
        <v>2025</v>
      </c>
      <c r="D219" s="105" t="s">
        <v>490</v>
      </c>
      <c r="E219" s="119">
        <f>Table6[[#This Row],[Date]]-DAY(Table6[[#This Row],[Date]])+1</f>
        <v>45748</v>
      </c>
      <c r="F219" s="118">
        <v>45752</v>
      </c>
      <c r="G219" s="105" t="s">
        <v>146</v>
      </c>
      <c r="H219" s="39" t="str">
        <f>_xlfn.XLOOKUP(Table6[[#This Row],[Affected WTG]],'Basic Data'!$A:$A,'Basic Data'!$B:$B)</f>
        <v>PWEGPL</v>
      </c>
      <c r="I219" s="39" t="str">
        <f>_xlfn.XLOOKUP(Table6[[#This Row],[Affected WTG]],'Basic Data'!$A:$A,'Basic Data'!$C:$C)</f>
        <v>MSEDCL</v>
      </c>
      <c r="J219" s="345">
        <f>IFERROR(VLOOKUP(Table6[[#This Row],[Affected WTG]],'Basic Data'!$A$3:$E$56,5,0),"")</f>
        <v>2.564102564102564E-2</v>
      </c>
      <c r="K219" s="105" t="s">
        <v>492</v>
      </c>
      <c r="L219" s="39" t="str">
        <f>IFERROR(VLOOKUP(Table6[[#This Row],[Error Code]],'Basic Data'!$T:$U,2,0),"")</f>
        <v>Manual Stop - Safety Related</v>
      </c>
      <c r="M219" s="346" t="s">
        <v>481</v>
      </c>
      <c r="N219" s="39" t="s">
        <v>230</v>
      </c>
      <c r="O219" s="347">
        <v>0.4861111111111111</v>
      </c>
      <c r="P219" s="347">
        <v>0.4861111111111111</v>
      </c>
      <c r="Q219" s="347">
        <v>0.69305555555555554</v>
      </c>
      <c r="R219" s="348">
        <f>IF(Table6[[#This Row],[Work Start TimeStamp]]="","",(Table6[[#This Row],[Work Start TimeStamp]]-Table6[[#This Row],[Fault Start TimeStamp]])*24)</f>
        <v>0</v>
      </c>
      <c r="S219" s="349">
        <f>(Table6[[#This Row],[Fault Clearance time]]-Table6[[#This Row],[Work Start TimeStamp]])*24</f>
        <v>4.9666666666666668</v>
      </c>
      <c r="T219" s="350">
        <f>(Table6[[#This Row],[Fault Clearance time]]-Table6[[#This Row],[Fault Start TimeStamp]])*24</f>
        <v>4.9666666666666668</v>
      </c>
      <c r="U219" s="346" t="s">
        <v>534</v>
      </c>
      <c r="V219" s="351" t="s">
        <v>463</v>
      </c>
      <c r="W219" s="338">
        <f>Table6[[#This Row],[Breakdown Time]]*(1/39)</f>
        <v>0.12735042735042734</v>
      </c>
      <c r="X219" s="336" t="s">
        <v>465</v>
      </c>
      <c r="Y219" s="352" t="s">
        <v>147</v>
      </c>
      <c r="Z219" s="105">
        <v>2528</v>
      </c>
      <c r="AA219" s="107">
        <v>523.15555555555557</v>
      </c>
      <c r="AB219" s="105" t="s">
        <v>478</v>
      </c>
    </row>
    <row r="220" spans="1:28">
      <c r="A220" s="105">
        <f t="shared" si="3"/>
        <v>219</v>
      </c>
      <c r="B220" s="107">
        <f>YEAR(Table6[[#This Row],[Date]])+IF(MONTH(Table6[[#This Row],[Date]])&gt;=4,1,0)</f>
        <v>2026</v>
      </c>
      <c r="C220" s="105">
        <f>YEAR(Table6[[#This Row],[Date]])</f>
        <v>2025</v>
      </c>
      <c r="D220" s="105" t="s">
        <v>490</v>
      </c>
      <c r="E220" s="119">
        <f>Table6[[#This Row],[Date]]-DAY(Table6[[#This Row],[Date]])+1</f>
        <v>45748</v>
      </c>
      <c r="F220" s="118">
        <v>45753</v>
      </c>
      <c r="G220" s="105" t="s">
        <v>144</v>
      </c>
      <c r="H220" s="39" t="str">
        <f>_xlfn.XLOOKUP(Table6[[#This Row],[Affected WTG]],'Basic Data'!$A:$A,'Basic Data'!$B:$B)</f>
        <v>PWEGPL</v>
      </c>
      <c r="I220" s="39" t="str">
        <f>_xlfn.XLOOKUP(Table6[[#This Row],[Affected WTG]],'Basic Data'!$A:$A,'Basic Data'!$C:$C)</f>
        <v>MSEDCL</v>
      </c>
      <c r="J220" s="345">
        <f>IFERROR(VLOOKUP(Table6[[#This Row],[Affected WTG]],'Basic Data'!$A$3:$E$56,5,0),"")</f>
        <v>2.564102564102564E-2</v>
      </c>
      <c r="K220" s="105" t="s">
        <v>492</v>
      </c>
      <c r="L220" s="39" t="str">
        <f>IFERROR(VLOOKUP(Table6[[#This Row],[Error Code]],'Basic Data'!$T:$U,2,0),"")</f>
        <v>Manual Stop - Safety Related</v>
      </c>
      <c r="M220" s="346" t="s">
        <v>481</v>
      </c>
      <c r="N220" s="39" t="s">
        <v>1269</v>
      </c>
      <c r="O220" s="347">
        <v>0</v>
      </c>
      <c r="P220" s="347">
        <v>0.99930555555555556</v>
      </c>
      <c r="Q220" s="347">
        <v>0.99930555555555556</v>
      </c>
      <c r="R220" s="348">
        <f>IF(Table6[[#This Row],[Work Start TimeStamp]]="","",(Table6[[#This Row],[Work Start TimeStamp]]-Table6[[#This Row],[Fault Start TimeStamp]])*24)</f>
        <v>23.983333333333334</v>
      </c>
      <c r="S220" s="349">
        <f>(Table6[[#This Row],[Fault Clearance time]]-Table6[[#This Row],[Work Start TimeStamp]])*24</f>
        <v>0</v>
      </c>
      <c r="T220" s="350">
        <f>(Table6[[#This Row],[Fault Clearance time]]-Table6[[#This Row],[Fault Start TimeStamp]])*24</f>
        <v>23.983333333333334</v>
      </c>
      <c r="U220" s="346" t="s">
        <v>498</v>
      </c>
      <c r="V220" s="351" t="s">
        <v>473</v>
      </c>
      <c r="W220" s="338">
        <f>Table6[[#This Row],[Breakdown Time]]*(1/39)</f>
        <v>0.61495726495726499</v>
      </c>
      <c r="X220" s="336" t="s">
        <v>468</v>
      </c>
      <c r="Y220" s="352" t="s">
        <v>141</v>
      </c>
      <c r="Z220" s="105">
        <v>2824</v>
      </c>
      <c r="AA220" s="107">
        <v>2822.0388888888892</v>
      </c>
      <c r="AB220" s="105" t="s">
        <v>478</v>
      </c>
    </row>
    <row r="221" spans="1:28">
      <c r="A221" s="105">
        <f t="shared" si="3"/>
        <v>220</v>
      </c>
      <c r="B221" s="107">
        <f>YEAR(Table6[[#This Row],[Date]])+IF(MONTH(Table6[[#This Row],[Date]])&gt;=4,1,0)</f>
        <v>2026</v>
      </c>
      <c r="C221" s="105">
        <f>YEAR(Table6[[#This Row],[Date]])</f>
        <v>2025</v>
      </c>
      <c r="D221" s="105" t="s">
        <v>490</v>
      </c>
      <c r="E221" s="119">
        <f>Table6[[#This Row],[Date]]-DAY(Table6[[#This Row],[Date]])+1</f>
        <v>45748</v>
      </c>
      <c r="F221" s="118">
        <v>45753</v>
      </c>
      <c r="G221" s="105" t="s">
        <v>142</v>
      </c>
      <c r="H221" s="39" t="str">
        <f>_xlfn.XLOOKUP(Table6[[#This Row],[Affected WTG]],'Basic Data'!$A:$A,'Basic Data'!$B:$B)</f>
        <v>PWEGPL</v>
      </c>
      <c r="I221" s="39" t="str">
        <f>_xlfn.XLOOKUP(Table6[[#This Row],[Affected WTG]],'Basic Data'!$A:$A,'Basic Data'!$C:$C)</f>
        <v>MSEDCL</v>
      </c>
      <c r="J221" s="345">
        <f>IFERROR(VLOOKUP(Table6[[#This Row],[Affected WTG]],'Basic Data'!$A$3:$E$56,5,0),"")</f>
        <v>2.564102564102564E-2</v>
      </c>
      <c r="K221" s="105" t="s">
        <v>492</v>
      </c>
      <c r="L221" s="39" t="str">
        <f>IFERROR(VLOOKUP(Table6[[#This Row],[Error Code]],'Basic Data'!$T:$U,2,0),"")</f>
        <v>Manual Stop - Safety Related</v>
      </c>
      <c r="M221" s="346" t="s">
        <v>481</v>
      </c>
      <c r="N221" s="39" t="s">
        <v>1269</v>
      </c>
      <c r="O221" s="347">
        <v>0</v>
      </c>
      <c r="P221" s="347">
        <v>0.99930555555555556</v>
      </c>
      <c r="Q221" s="347">
        <v>0.99930555555555556</v>
      </c>
      <c r="R221" s="348">
        <f>IF(Table6[[#This Row],[Work Start TimeStamp]]="","",(Table6[[#This Row],[Work Start TimeStamp]]-Table6[[#This Row],[Fault Start TimeStamp]])*24)</f>
        <v>23.983333333333334</v>
      </c>
      <c r="S221" s="349">
        <f>(Table6[[#This Row],[Fault Clearance time]]-Table6[[#This Row],[Work Start TimeStamp]])*24</f>
        <v>0</v>
      </c>
      <c r="T221" s="350">
        <f>(Table6[[#This Row],[Fault Clearance time]]-Table6[[#This Row],[Fault Start TimeStamp]])*24</f>
        <v>23.983333333333334</v>
      </c>
      <c r="U221" s="346" t="s">
        <v>498</v>
      </c>
      <c r="V221" s="351" t="s">
        <v>473</v>
      </c>
      <c r="W221" s="338">
        <f>Table6[[#This Row],[Breakdown Time]]*(1/39)</f>
        <v>0.61495726495726499</v>
      </c>
      <c r="X221" s="336" t="s">
        <v>468</v>
      </c>
      <c r="Y221" s="352" t="s">
        <v>141</v>
      </c>
      <c r="Z221" s="105">
        <v>2824</v>
      </c>
      <c r="AA221" s="107">
        <v>2822.0388888888892</v>
      </c>
      <c r="AB221" s="105" t="s">
        <v>478</v>
      </c>
    </row>
    <row r="222" spans="1:28">
      <c r="A222" s="105">
        <f t="shared" si="3"/>
        <v>221</v>
      </c>
      <c r="B222" s="107">
        <f>YEAR(Table6[[#This Row],[Date]])+IF(MONTH(Table6[[#This Row],[Date]])&gt;=4,1,0)</f>
        <v>2026</v>
      </c>
      <c r="C222" s="105">
        <f>YEAR(Table6[[#This Row],[Date]])</f>
        <v>2025</v>
      </c>
      <c r="D222" s="105" t="s">
        <v>490</v>
      </c>
      <c r="E222" s="119">
        <f>Table6[[#This Row],[Date]]-DAY(Table6[[#This Row],[Date]])+1</f>
        <v>45748</v>
      </c>
      <c r="F222" s="118">
        <v>45753</v>
      </c>
      <c r="G222" s="105" t="s">
        <v>115</v>
      </c>
      <c r="H222" s="39" t="str">
        <f>_xlfn.XLOOKUP(Table6[[#This Row],[Affected WTG]],'Basic Data'!$A:$A,'Basic Data'!$B:$B)</f>
        <v>PWEGPL</v>
      </c>
      <c r="I222" s="39" t="str">
        <f>_xlfn.XLOOKUP(Table6[[#This Row],[Affected WTG]],'Basic Data'!$A:$A,'Basic Data'!$C:$C)</f>
        <v>MSEDCL</v>
      </c>
      <c r="J222" s="345">
        <f>IFERROR(VLOOKUP(Table6[[#This Row],[Affected WTG]],'Basic Data'!$A$3:$E$56,5,0),"")</f>
        <v>2.564102564102564E-2</v>
      </c>
      <c r="K222" s="105">
        <v>203</v>
      </c>
      <c r="L222" s="39" t="str">
        <f>IFERROR(VLOOKUP(Table6[[#This Row],[Error Code]],'Basic Data'!$T:$U,2,0),"")</f>
        <v>Low Pressure On Hydraulic Group</v>
      </c>
      <c r="M222" s="346" t="s">
        <v>462</v>
      </c>
      <c r="N222" s="39" t="s">
        <v>1270</v>
      </c>
      <c r="O222" s="347">
        <v>0.60763888888888884</v>
      </c>
      <c r="P222" s="347">
        <v>0.60763888888888884</v>
      </c>
      <c r="Q222" s="347">
        <v>0.61111111111111116</v>
      </c>
      <c r="R222" s="348">
        <f>IF(Table6[[#This Row],[Work Start TimeStamp]]="","",(Table6[[#This Row],[Work Start TimeStamp]]-Table6[[#This Row],[Fault Start TimeStamp]])*24)</f>
        <v>0</v>
      </c>
      <c r="S222" s="349">
        <f>(Table6[[#This Row],[Fault Clearance time]]-Table6[[#This Row],[Work Start TimeStamp]])*24</f>
        <v>8.3333333333335702E-2</v>
      </c>
      <c r="T222" s="350">
        <f>(Table6[[#This Row],[Fault Clearance time]]-Table6[[#This Row],[Fault Start TimeStamp]])*24</f>
        <v>8.3333333333335702E-2</v>
      </c>
      <c r="U222" s="346" t="s">
        <v>480</v>
      </c>
      <c r="V222" s="351" t="s">
        <v>463</v>
      </c>
      <c r="W222" s="338">
        <f>Table6[[#This Row],[Breakdown Time]]*(1/39)</f>
        <v>2.1367521367521972E-3</v>
      </c>
      <c r="X222" s="336" t="s">
        <v>465</v>
      </c>
      <c r="Y222" s="352" t="s">
        <v>121</v>
      </c>
      <c r="Z222" s="105">
        <v>3428</v>
      </c>
      <c r="AA222" s="107">
        <v>11.902777777778116</v>
      </c>
      <c r="AB222" s="105" t="s">
        <v>478</v>
      </c>
    </row>
    <row r="223" spans="1:28">
      <c r="A223" s="105">
        <f t="shared" si="3"/>
        <v>222</v>
      </c>
      <c r="B223" s="107">
        <f>YEAR(Table6[[#This Row],[Date]])+IF(MONTH(Table6[[#This Row],[Date]])&gt;=4,1,0)</f>
        <v>2026</v>
      </c>
      <c r="C223" s="105">
        <f>YEAR(Table6[[#This Row],[Date]])</f>
        <v>2025</v>
      </c>
      <c r="D223" s="105" t="s">
        <v>490</v>
      </c>
      <c r="E223" s="119">
        <f>Table6[[#This Row],[Date]]-DAY(Table6[[#This Row],[Date]])+1</f>
        <v>45748</v>
      </c>
      <c r="F223" s="118">
        <v>45753</v>
      </c>
      <c r="G223" s="105" t="s">
        <v>129</v>
      </c>
      <c r="H223" s="39" t="str">
        <f>_xlfn.XLOOKUP(Table6[[#This Row],[Affected WTG]],'Basic Data'!$A:$A,'Basic Data'!$B:$B)</f>
        <v>PWEGPL</v>
      </c>
      <c r="I223" s="39" t="str">
        <f>_xlfn.XLOOKUP(Table6[[#This Row],[Affected WTG]],'Basic Data'!$A:$A,'Basic Data'!$C:$C)</f>
        <v>MSEDCL</v>
      </c>
      <c r="J223" s="345">
        <f>IFERROR(VLOOKUP(Table6[[#This Row],[Affected WTG]],'Basic Data'!$A$3:$E$56,5,0),"")</f>
        <v>2.564102564102564E-2</v>
      </c>
      <c r="K223" s="105" t="s">
        <v>492</v>
      </c>
      <c r="L223" s="39" t="str">
        <f>IFERROR(VLOOKUP(Table6[[#This Row],[Error Code]],'Basic Data'!$T:$U,2,0),"")</f>
        <v>Manual Stop - Safety Related</v>
      </c>
      <c r="M223" s="346" t="s">
        <v>481</v>
      </c>
      <c r="N223" s="39" t="s">
        <v>230</v>
      </c>
      <c r="O223" s="347">
        <v>0.44791666666666669</v>
      </c>
      <c r="P223" s="347">
        <v>0.44791666666666669</v>
      </c>
      <c r="Q223" s="347">
        <v>0.57222222222222219</v>
      </c>
      <c r="R223" s="348">
        <f>IF(Table6[[#This Row],[Work Start TimeStamp]]="","",(Table6[[#This Row],[Work Start TimeStamp]]-Table6[[#This Row],[Fault Start TimeStamp]])*24)</f>
        <v>0</v>
      </c>
      <c r="S223" s="349">
        <f>(Table6[[#This Row],[Fault Clearance time]]-Table6[[#This Row],[Work Start TimeStamp]])*24</f>
        <v>2.9833333333333321</v>
      </c>
      <c r="T223" s="350">
        <f>(Table6[[#This Row],[Fault Clearance time]]-Table6[[#This Row],[Fault Start TimeStamp]])*24</f>
        <v>2.9833333333333321</v>
      </c>
      <c r="U223" s="346" t="s">
        <v>505</v>
      </c>
      <c r="V223" s="351" t="s">
        <v>463</v>
      </c>
      <c r="W223" s="338">
        <f>Table6[[#This Row],[Breakdown Time]]*(1/39)</f>
        <v>7.649572649572646E-2</v>
      </c>
      <c r="X223" s="336" t="s">
        <v>468</v>
      </c>
      <c r="Y223" s="352" t="s">
        <v>128</v>
      </c>
      <c r="Z223" s="105">
        <v>3212</v>
      </c>
      <c r="AA223" s="107">
        <v>399.26944444444428</v>
      </c>
      <c r="AB223" s="105" t="s">
        <v>478</v>
      </c>
    </row>
    <row r="224" spans="1:28">
      <c r="A224" s="105">
        <f t="shared" si="3"/>
        <v>223</v>
      </c>
      <c r="B224" s="107">
        <f>YEAR(Table6[[#This Row],[Date]])+IF(MONTH(Table6[[#This Row],[Date]])&gt;=4,1,0)</f>
        <v>2026</v>
      </c>
      <c r="C224" s="105">
        <f>YEAR(Table6[[#This Row],[Date]])</f>
        <v>2025</v>
      </c>
      <c r="D224" s="105" t="s">
        <v>490</v>
      </c>
      <c r="E224" s="119">
        <f>Table6[[#This Row],[Date]]-DAY(Table6[[#This Row],[Date]])+1</f>
        <v>45748</v>
      </c>
      <c r="F224" s="118">
        <v>45753</v>
      </c>
      <c r="G224" s="105" t="s">
        <v>130</v>
      </c>
      <c r="H224" s="39" t="str">
        <f>_xlfn.XLOOKUP(Table6[[#This Row],[Affected WTG]],'Basic Data'!$A:$A,'Basic Data'!$B:$B)</f>
        <v>PWEGPL</v>
      </c>
      <c r="I224" s="39" t="str">
        <f>_xlfn.XLOOKUP(Table6[[#This Row],[Affected WTG]],'Basic Data'!$A:$A,'Basic Data'!$C:$C)</f>
        <v>MSEDCL</v>
      </c>
      <c r="J224" s="345">
        <f>IFERROR(VLOOKUP(Table6[[#This Row],[Affected WTG]],'Basic Data'!$A$3:$E$56,5,0),"")</f>
        <v>2.564102564102564E-2</v>
      </c>
      <c r="K224" s="105">
        <v>5248</v>
      </c>
      <c r="L224" s="39" t="str">
        <f>IFERROR(VLOOKUP(Table6[[#This Row],[Error Code]],'Basic Data'!$T:$U,2,0),"")</f>
        <v>Active Crowbar IGBT Errors</v>
      </c>
      <c r="M224" s="346" t="s">
        <v>462</v>
      </c>
      <c r="N224" s="39" t="s">
        <v>1270</v>
      </c>
      <c r="O224" s="347">
        <v>0</v>
      </c>
      <c r="P224" s="347">
        <v>0</v>
      </c>
      <c r="Q224" s="347">
        <v>0.99930555555555556</v>
      </c>
      <c r="R224" s="348">
        <f>IF(Table6[[#This Row],[Work Start TimeStamp]]="","",(Table6[[#This Row],[Work Start TimeStamp]]-Table6[[#This Row],[Fault Start TimeStamp]])*24)</f>
        <v>0</v>
      </c>
      <c r="S224" s="349">
        <f>(Table6[[#This Row],[Fault Clearance time]]-Table6[[#This Row],[Work Start TimeStamp]])*24</f>
        <v>23.983333333333334</v>
      </c>
      <c r="T224" s="350">
        <f>(Table6[[#This Row],[Fault Clearance time]]-Table6[[#This Row],[Fault Start TimeStamp]])*24</f>
        <v>23.983333333333334</v>
      </c>
      <c r="U224" s="346" t="s">
        <v>500</v>
      </c>
      <c r="V224" s="351" t="s">
        <v>473</v>
      </c>
      <c r="W224" s="338">
        <f>Table6[[#This Row],[Breakdown Time]]*(1/39)</f>
        <v>0.61495726495726499</v>
      </c>
      <c r="X224" s="336" t="s">
        <v>465</v>
      </c>
      <c r="Y224" s="352" t="s">
        <v>131</v>
      </c>
      <c r="Z224" s="105">
        <v>3500</v>
      </c>
      <c r="AA224" s="107">
        <v>3497.5694444444448</v>
      </c>
      <c r="AB224" s="105" t="s">
        <v>478</v>
      </c>
    </row>
    <row r="225" spans="1:28">
      <c r="A225" s="105">
        <f t="shared" si="3"/>
        <v>224</v>
      </c>
      <c r="B225" s="107">
        <f>YEAR(Table6[[#This Row],[Date]])+IF(MONTH(Table6[[#This Row],[Date]])&gt;=4,1,0)</f>
        <v>2026</v>
      </c>
      <c r="C225" s="105">
        <f>YEAR(Table6[[#This Row],[Date]])</f>
        <v>2025</v>
      </c>
      <c r="D225" s="105" t="s">
        <v>490</v>
      </c>
      <c r="E225" s="119">
        <f>Table6[[#This Row],[Date]]-DAY(Table6[[#This Row],[Date]])+1</f>
        <v>45748</v>
      </c>
      <c r="F225" s="118">
        <v>45754</v>
      </c>
      <c r="G225" s="105" t="s">
        <v>144</v>
      </c>
      <c r="H225" s="39" t="str">
        <f>_xlfn.XLOOKUP(Table6[[#This Row],[Affected WTG]],'Basic Data'!$A:$A,'Basic Data'!$B:$B)</f>
        <v>PWEGPL</v>
      </c>
      <c r="I225" s="39" t="str">
        <f>_xlfn.XLOOKUP(Table6[[#This Row],[Affected WTG]],'Basic Data'!$A:$A,'Basic Data'!$C:$C)</f>
        <v>MSEDCL</v>
      </c>
      <c r="J225" s="345">
        <f>IFERROR(VLOOKUP(Table6[[#This Row],[Affected WTG]],'Basic Data'!$A$3:$E$56,5,0),"")</f>
        <v>2.564102564102564E-2</v>
      </c>
      <c r="K225" s="105" t="s">
        <v>492</v>
      </c>
      <c r="L225" s="39" t="str">
        <f>IFERROR(VLOOKUP(Table6[[#This Row],[Error Code]],'Basic Data'!$T:$U,2,0),"")</f>
        <v>Manual Stop - Safety Related</v>
      </c>
      <c r="M225" s="346" t="s">
        <v>481</v>
      </c>
      <c r="N225" s="39" t="s">
        <v>1269</v>
      </c>
      <c r="O225" s="347">
        <v>0</v>
      </c>
      <c r="P225" s="347">
        <v>0.99930555555555556</v>
      </c>
      <c r="Q225" s="347">
        <v>0.99930555555555556</v>
      </c>
      <c r="R225" s="348">
        <f>IF(Table6[[#This Row],[Work Start TimeStamp]]="","",(Table6[[#This Row],[Work Start TimeStamp]]-Table6[[#This Row],[Fault Start TimeStamp]])*24)</f>
        <v>23.983333333333334</v>
      </c>
      <c r="S225" s="349">
        <f>(Table6[[#This Row],[Fault Clearance time]]-Table6[[#This Row],[Work Start TimeStamp]])*24</f>
        <v>0</v>
      </c>
      <c r="T225" s="350">
        <f>(Table6[[#This Row],[Fault Clearance time]]-Table6[[#This Row],[Fault Start TimeStamp]])*24</f>
        <v>23.983333333333334</v>
      </c>
      <c r="U225" s="346" t="s">
        <v>498</v>
      </c>
      <c r="V225" s="351" t="s">
        <v>473</v>
      </c>
      <c r="W225" s="338">
        <f>Table6[[#This Row],[Breakdown Time]]*(1/39)</f>
        <v>0.61495726495726499</v>
      </c>
      <c r="X225" s="336" t="s">
        <v>468</v>
      </c>
      <c r="Y225" s="352" t="s">
        <v>141</v>
      </c>
      <c r="Z225" s="105">
        <v>7807</v>
      </c>
      <c r="AA225" s="107">
        <v>7801.5784722222234</v>
      </c>
      <c r="AB225" s="105" t="s">
        <v>478</v>
      </c>
    </row>
    <row r="226" spans="1:28">
      <c r="A226" s="105">
        <f t="shared" si="3"/>
        <v>225</v>
      </c>
      <c r="B226" s="107">
        <f>YEAR(Table6[[#This Row],[Date]])+IF(MONTH(Table6[[#This Row],[Date]])&gt;=4,1,0)</f>
        <v>2026</v>
      </c>
      <c r="C226" s="105">
        <f>YEAR(Table6[[#This Row],[Date]])</f>
        <v>2025</v>
      </c>
      <c r="D226" s="105" t="s">
        <v>490</v>
      </c>
      <c r="E226" s="119">
        <f>Table6[[#This Row],[Date]]-DAY(Table6[[#This Row],[Date]])+1</f>
        <v>45748</v>
      </c>
      <c r="F226" s="118">
        <v>45754</v>
      </c>
      <c r="G226" s="105" t="s">
        <v>142</v>
      </c>
      <c r="H226" s="39" t="str">
        <f>_xlfn.XLOOKUP(Table6[[#This Row],[Affected WTG]],'Basic Data'!$A:$A,'Basic Data'!$B:$B)</f>
        <v>PWEGPL</v>
      </c>
      <c r="I226" s="39" t="str">
        <f>_xlfn.XLOOKUP(Table6[[#This Row],[Affected WTG]],'Basic Data'!$A:$A,'Basic Data'!$C:$C)</f>
        <v>MSEDCL</v>
      </c>
      <c r="J226" s="345">
        <f>IFERROR(VLOOKUP(Table6[[#This Row],[Affected WTG]],'Basic Data'!$A$3:$E$56,5,0),"")</f>
        <v>2.564102564102564E-2</v>
      </c>
      <c r="K226" s="105" t="s">
        <v>492</v>
      </c>
      <c r="L226" s="39" t="str">
        <f>IFERROR(VLOOKUP(Table6[[#This Row],[Error Code]],'Basic Data'!$T:$U,2,0),"")</f>
        <v>Manual Stop - Safety Related</v>
      </c>
      <c r="M226" s="346" t="s">
        <v>481</v>
      </c>
      <c r="N226" s="39" t="s">
        <v>1269</v>
      </c>
      <c r="O226" s="347">
        <v>0</v>
      </c>
      <c r="P226" s="347">
        <v>0.99930555555555556</v>
      </c>
      <c r="Q226" s="347">
        <v>0.99930555555555556</v>
      </c>
      <c r="R226" s="348">
        <f>IF(Table6[[#This Row],[Work Start TimeStamp]]="","",(Table6[[#This Row],[Work Start TimeStamp]]-Table6[[#This Row],[Fault Start TimeStamp]])*24)</f>
        <v>23.983333333333334</v>
      </c>
      <c r="S226" s="349">
        <f>(Table6[[#This Row],[Fault Clearance time]]-Table6[[#This Row],[Work Start TimeStamp]])*24</f>
        <v>0</v>
      </c>
      <c r="T226" s="350">
        <f>(Table6[[#This Row],[Fault Clearance time]]-Table6[[#This Row],[Fault Start TimeStamp]])*24</f>
        <v>23.983333333333334</v>
      </c>
      <c r="U226" s="346" t="s">
        <v>498</v>
      </c>
      <c r="V226" s="351" t="s">
        <v>473</v>
      </c>
      <c r="W226" s="338">
        <f>Table6[[#This Row],[Breakdown Time]]*(1/39)</f>
        <v>0.61495726495726499</v>
      </c>
      <c r="X226" s="336" t="s">
        <v>468</v>
      </c>
      <c r="Y226" s="352" t="s">
        <v>141</v>
      </c>
      <c r="Z226" s="105">
        <v>7807</v>
      </c>
      <c r="AA226" s="107">
        <v>7801.5784722222234</v>
      </c>
      <c r="AB226" s="105" t="s">
        <v>478</v>
      </c>
    </row>
    <row r="227" spans="1:28">
      <c r="A227" s="105">
        <f t="shared" si="3"/>
        <v>226</v>
      </c>
      <c r="B227" s="107">
        <f>YEAR(Table6[[#This Row],[Date]])+IF(MONTH(Table6[[#This Row],[Date]])&gt;=4,1,0)</f>
        <v>2026</v>
      </c>
      <c r="C227" s="105">
        <f>YEAR(Table6[[#This Row],[Date]])</f>
        <v>2025</v>
      </c>
      <c r="D227" s="105" t="s">
        <v>490</v>
      </c>
      <c r="E227" s="119">
        <f>Table6[[#This Row],[Date]]-DAY(Table6[[#This Row],[Date]])+1</f>
        <v>45748</v>
      </c>
      <c r="F227" s="118">
        <v>45754</v>
      </c>
      <c r="G227" s="105" t="s">
        <v>115</v>
      </c>
      <c r="H227" s="39" t="str">
        <f>_xlfn.XLOOKUP(Table6[[#This Row],[Affected WTG]],'Basic Data'!$A:$A,'Basic Data'!$B:$B)</f>
        <v>PWEGPL</v>
      </c>
      <c r="I227" s="39" t="str">
        <f>_xlfn.XLOOKUP(Table6[[#This Row],[Affected WTG]],'Basic Data'!$A:$A,'Basic Data'!$C:$C)</f>
        <v>MSEDCL</v>
      </c>
      <c r="J227" s="345">
        <f>IFERROR(VLOOKUP(Table6[[#This Row],[Affected WTG]],'Basic Data'!$A$3:$E$56,5,0),"")</f>
        <v>2.564102564102564E-2</v>
      </c>
      <c r="K227" s="105">
        <v>203</v>
      </c>
      <c r="L227" s="39" t="str">
        <f>IFERROR(VLOOKUP(Table6[[#This Row],[Error Code]],'Basic Data'!$T:$U,2,0),"")</f>
        <v>Low Pressure On Hydraulic Group</v>
      </c>
      <c r="M227" s="346" t="s">
        <v>462</v>
      </c>
      <c r="N227" s="39" t="s">
        <v>1270</v>
      </c>
      <c r="O227" s="347">
        <v>0.10069444444444445</v>
      </c>
      <c r="P227" s="347">
        <v>0.10069444444444445</v>
      </c>
      <c r="Q227" s="347">
        <v>0.10416666666666667</v>
      </c>
      <c r="R227" s="348">
        <f>IF(Table6[[#This Row],[Work Start TimeStamp]]="","",(Table6[[#This Row],[Work Start TimeStamp]]-Table6[[#This Row],[Fault Start TimeStamp]])*24)</f>
        <v>0</v>
      </c>
      <c r="S227" s="349">
        <f>(Table6[[#This Row],[Fault Clearance time]]-Table6[[#This Row],[Work Start TimeStamp]])*24</f>
        <v>8.333333333333337E-2</v>
      </c>
      <c r="T227" s="350">
        <f>(Table6[[#This Row],[Fault Clearance time]]-Table6[[#This Row],[Fault Start TimeStamp]])*24</f>
        <v>8.333333333333337E-2</v>
      </c>
      <c r="U227" s="346" t="s">
        <v>480</v>
      </c>
      <c r="V227" s="351" t="s">
        <v>463</v>
      </c>
      <c r="W227" s="338">
        <f>Table6[[#This Row],[Breakdown Time]]*(1/39)</f>
        <v>2.1367521367521378E-3</v>
      </c>
      <c r="X227" s="336" t="s">
        <v>465</v>
      </c>
      <c r="Y227" s="352" t="s">
        <v>121</v>
      </c>
      <c r="Z227" s="105">
        <v>4061</v>
      </c>
      <c r="AA227" s="107">
        <v>14.100694444444452</v>
      </c>
      <c r="AB227" s="105" t="s">
        <v>478</v>
      </c>
    </row>
    <row r="228" spans="1:28">
      <c r="A228" s="105">
        <f t="shared" si="3"/>
        <v>227</v>
      </c>
      <c r="B228" s="107">
        <f>YEAR(Table6[[#This Row],[Date]])+IF(MONTH(Table6[[#This Row],[Date]])&gt;=4,1,0)</f>
        <v>2026</v>
      </c>
      <c r="C228" s="105">
        <f>YEAR(Table6[[#This Row],[Date]])</f>
        <v>2025</v>
      </c>
      <c r="D228" s="105" t="s">
        <v>490</v>
      </c>
      <c r="E228" s="119">
        <f>Table6[[#This Row],[Date]]-DAY(Table6[[#This Row],[Date]])+1</f>
        <v>45748</v>
      </c>
      <c r="F228" s="118">
        <v>45754</v>
      </c>
      <c r="G228" s="105" t="s">
        <v>115</v>
      </c>
      <c r="H228" s="39" t="str">
        <f>_xlfn.XLOOKUP(Table6[[#This Row],[Affected WTG]],'Basic Data'!$A:$A,'Basic Data'!$B:$B)</f>
        <v>PWEGPL</v>
      </c>
      <c r="I228" s="39" t="str">
        <f>_xlfn.XLOOKUP(Table6[[#This Row],[Affected WTG]],'Basic Data'!$A:$A,'Basic Data'!$C:$C)</f>
        <v>MSEDCL</v>
      </c>
      <c r="J228" s="345">
        <f>IFERROR(VLOOKUP(Table6[[#This Row],[Affected WTG]],'Basic Data'!$A$3:$E$56,5,0),"")</f>
        <v>2.564102564102564E-2</v>
      </c>
      <c r="K228" s="105">
        <v>800</v>
      </c>
      <c r="L228" s="39" t="str">
        <f>IFERROR(VLOOKUP(Table6[[#This Row],[Error Code]],'Basic Data'!$T:$U,2,0),"")</f>
        <v>Pitch Drive Error</v>
      </c>
      <c r="M228" s="346" t="s">
        <v>462</v>
      </c>
      <c r="N228" s="39" t="s">
        <v>1270</v>
      </c>
      <c r="O228" s="347">
        <v>0.73819444444444449</v>
      </c>
      <c r="P228" s="347">
        <v>0.73819444444444449</v>
      </c>
      <c r="Q228" s="347">
        <v>0.7416666666666667</v>
      </c>
      <c r="R228" s="348">
        <f>IF(Table6[[#This Row],[Work Start TimeStamp]]="","",(Table6[[#This Row],[Work Start TimeStamp]]-Table6[[#This Row],[Fault Start TimeStamp]])*24)</f>
        <v>0</v>
      </c>
      <c r="S228" s="349">
        <f>(Table6[[#This Row],[Fault Clearance time]]-Table6[[#This Row],[Work Start TimeStamp]])*24</f>
        <v>8.3333333333333037E-2</v>
      </c>
      <c r="T228" s="350">
        <f>(Table6[[#This Row],[Fault Clearance time]]-Table6[[#This Row],[Fault Start TimeStamp]])*24</f>
        <v>8.3333333333333037E-2</v>
      </c>
      <c r="U228" s="346" t="s">
        <v>480</v>
      </c>
      <c r="V228" s="351" t="s">
        <v>463</v>
      </c>
      <c r="W228" s="338">
        <f>Table6[[#This Row],[Breakdown Time]]*(1/39)</f>
        <v>2.1367521367521292E-3</v>
      </c>
      <c r="X228" s="336" t="s">
        <v>465</v>
      </c>
      <c r="Y228" s="352" t="s">
        <v>121</v>
      </c>
      <c r="Z228" s="105">
        <v>4061</v>
      </c>
      <c r="AA228" s="107">
        <v>14.100694444444395</v>
      </c>
      <c r="AB228" s="105" t="s">
        <v>478</v>
      </c>
    </row>
    <row r="229" spans="1:28">
      <c r="A229" s="105">
        <f t="shared" si="3"/>
        <v>228</v>
      </c>
      <c r="B229" s="107">
        <f>YEAR(Table6[[#This Row],[Date]])+IF(MONTH(Table6[[#This Row],[Date]])&gt;=4,1,0)</f>
        <v>2026</v>
      </c>
      <c r="C229" s="105">
        <f>YEAR(Table6[[#This Row],[Date]])</f>
        <v>2025</v>
      </c>
      <c r="D229" s="105" t="s">
        <v>490</v>
      </c>
      <c r="E229" s="119">
        <f>Table6[[#This Row],[Date]]-DAY(Table6[[#This Row],[Date]])+1</f>
        <v>45748</v>
      </c>
      <c r="F229" s="118">
        <v>45754</v>
      </c>
      <c r="G229" s="105" t="s">
        <v>118</v>
      </c>
      <c r="H229" s="39" t="str">
        <f>_xlfn.XLOOKUP(Table6[[#This Row],[Affected WTG]],'Basic Data'!$A:$A,'Basic Data'!$B:$B)</f>
        <v>PWEGPL</v>
      </c>
      <c r="I229" s="39" t="str">
        <f>_xlfn.XLOOKUP(Table6[[#This Row],[Affected WTG]],'Basic Data'!$A:$A,'Basic Data'!$C:$C)</f>
        <v>MSEDCL</v>
      </c>
      <c r="J229" s="345">
        <f>IFERROR(VLOOKUP(Table6[[#This Row],[Affected WTG]],'Basic Data'!$A$3:$E$56,5,0),"")</f>
        <v>2.564102564102564E-2</v>
      </c>
      <c r="K229" s="105">
        <v>5200</v>
      </c>
      <c r="L229" s="39" t="str">
        <f>IFERROR(VLOOKUP(Table6[[#This Row],[Error Code]],'Basic Data'!$T:$U,2,0),"")</f>
        <v>Magnetothermic Trigger Of The Line Protection</v>
      </c>
      <c r="M229" s="346" t="s">
        <v>462</v>
      </c>
      <c r="N229" s="39" t="s">
        <v>1270</v>
      </c>
      <c r="O229" s="347">
        <v>0.68680555555555556</v>
      </c>
      <c r="P229" s="347">
        <v>0.68680555555555556</v>
      </c>
      <c r="Q229" s="347">
        <v>0.68819444444444444</v>
      </c>
      <c r="R229" s="348">
        <f>IF(Table6[[#This Row],[Work Start TimeStamp]]="","",(Table6[[#This Row],[Work Start TimeStamp]]-Table6[[#This Row],[Fault Start TimeStamp]])*24)</f>
        <v>0</v>
      </c>
      <c r="S229" s="349">
        <f>(Table6[[#This Row],[Fault Clearance time]]-Table6[[#This Row],[Work Start TimeStamp]])*24</f>
        <v>3.3333333333333215E-2</v>
      </c>
      <c r="T229" s="350">
        <f>(Table6[[#This Row],[Fault Clearance time]]-Table6[[#This Row],[Fault Start TimeStamp]])*24</f>
        <v>3.3333333333333215E-2</v>
      </c>
      <c r="U229" s="346" t="s">
        <v>480</v>
      </c>
      <c r="V229" s="351" t="s">
        <v>463</v>
      </c>
      <c r="W229" s="338">
        <f>Table6[[#This Row],[Breakdown Time]]*(1/39)</f>
        <v>8.5470085470085166E-4</v>
      </c>
      <c r="X229" s="336" t="s">
        <v>465</v>
      </c>
      <c r="Y229" s="352" t="s">
        <v>117</v>
      </c>
      <c r="Z229" s="105">
        <v>5516</v>
      </c>
      <c r="AA229" s="107">
        <v>7.6611111111110839</v>
      </c>
      <c r="AB229" s="105" t="s">
        <v>478</v>
      </c>
    </row>
    <row r="230" spans="1:28">
      <c r="A230" s="105">
        <f t="shared" si="3"/>
        <v>229</v>
      </c>
      <c r="B230" s="107">
        <f>YEAR(Table6[[#This Row],[Date]])+IF(MONTH(Table6[[#This Row],[Date]])&gt;=4,1,0)</f>
        <v>2026</v>
      </c>
      <c r="C230" s="105">
        <f>YEAR(Table6[[#This Row],[Date]])</f>
        <v>2025</v>
      </c>
      <c r="D230" s="105" t="s">
        <v>490</v>
      </c>
      <c r="E230" s="119">
        <f>Table6[[#This Row],[Date]]-DAY(Table6[[#This Row],[Date]])+1</f>
        <v>45748</v>
      </c>
      <c r="F230" s="118">
        <v>45754</v>
      </c>
      <c r="G230" s="105" t="s">
        <v>120</v>
      </c>
      <c r="H230" s="39" t="str">
        <f>_xlfn.XLOOKUP(Table6[[#This Row],[Affected WTG]],'Basic Data'!$A:$A,'Basic Data'!$B:$B)</f>
        <v>PWEGPL</v>
      </c>
      <c r="I230" s="39" t="str">
        <f>_xlfn.XLOOKUP(Table6[[#This Row],[Affected WTG]],'Basic Data'!$A:$A,'Basic Data'!$C:$C)</f>
        <v>MSEDCL</v>
      </c>
      <c r="J230" s="345">
        <f>IFERROR(VLOOKUP(Table6[[#This Row],[Affected WTG]],'Basic Data'!$A$3:$E$56,5,0),"")</f>
        <v>2.564102564102564E-2</v>
      </c>
      <c r="K230" s="105">
        <v>5216</v>
      </c>
      <c r="L230" s="39" t="str">
        <f>IFERROR(VLOOKUP(Table6[[#This Row],[Error Code]],'Basic Data'!$T:$U,2,0),"")</f>
        <v>Grid Voltage Failure</v>
      </c>
      <c r="M230" s="346" t="s">
        <v>462</v>
      </c>
      <c r="N230" s="39" t="s">
        <v>1270</v>
      </c>
      <c r="O230" s="347">
        <v>5.8333333333333334E-2</v>
      </c>
      <c r="P230" s="347">
        <v>6.1805555555555558E-2</v>
      </c>
      <c r="Q230" s="347">
        <v>0.1076388888888889</v>
      </c>
      <c r="R230" s="348">
        <f>IF(Table6[[#This Row],[Work Start TimeStamp]]="","",(Table6[[#This Row],[Work Start TimeStamp]]-Table6[[#This Row],[Fault Start TimeStamp]])*24)</f>
        <v>8.333333333333337E-2</v>
      </c>
      <c r="S230" s="349">
        <f>(Table6[[#This Row],[Fault Clearance time]]-Table6[[#This Row],[Work Start TimeStamp]])*24</f>
        <v>1.1000000000000001</v>
      </c>
      <c r="T230" s="350">
        <f>(Table6[[#This Row],[Fault Clearance time]]-Table6[[#This Row],[Fault Start TimeStamp]])*24</f>
        <v>1.1833333333333336</v>
      </c>
      <c r="U230" s="346" t="s">
        <v>535</v>
      </c>
      <c r="V230" s="351" t="s">
        <v>463</v>
      </c>
      <c r="W230" s="338">
        <f>Table6[[#This Row],[Breakdown Time]]*(1/39)</f>
        <v>3.0341880341880349E-2</v>
      </c>
      <c r="X230" s="336" t="s">
        <v>465</v>
      </c>
      <c r="Y230" s="352" t="s">
        <v>117</v>
      </c>
      <c r="Z230" s="105">
        <v>5516</v>
      </c>
      <c r="AA230" s="107">
        <v>271.96944444444449</v>
      </c>
      <c r="AB230" s="105" t="s">
        <v>478</v>
      </c>
    </row>
    <row r="231" spans="1:28">
      <c r="A231" s="105">
        <f t="shared" si="3"/>
        <v>230</v>
      </c>
      <c r="B231" s="107">
        <f>YEAR(Table6[[#This Row],[Date]])+IF(MONTH(Table6[[#This Row],[Date]])&gt;=4,1,0)</f>
        <v>2026</v>
      </c>
      <c r="C231" s="105">
        <f>YEAR(Table6[[#This Row],[Date]])</f>
        <v>2025</v>
      </c>
      <c r="D231" s="105" t="s">
        <v>490</v>
      </c>
      <c r="E231" s="119">
        <f>Table6[[#This Row],[Date]]-DAY(Table6[[#This Row],[Date]])+1</f>
        <v>45748</v>
      </c>
      <c r="F231" s="118">
        <v>45754</v>
      </c>
      <c r="G231" s="105" t="s">
        <v>121</v>
      </c>
      <c r="H231" s="39" t="str">
        <f>_xlfn.XLOOKUP(Table6[[#This Row],[Affected WTG]],'Basic Data'!$A:$A,'Basic Data'!$B:$B)</f>
        <v>PWEGPL</v>
      </c>
      <c r="I231" s="39" t="str">
        <f>_xlfn.XLOOKUP(Table6[[#This Row],[Affected WTG]],'Basic Data'!$A:$A,'Basic Data'!$C:$C)</f>
        <v>MSEDCL</v>
      </c>
      <c r="J231" s="345">
        <f>IFERROR(VLOOKUP(Table6[[#This Row],[Affected WTG]],'Basic Data'!$A$3:$E$56,5,0),"")</f>
        <v>2.564102564102564E-2</v>
      </c>
      <c r="K231" s="105">
        <v>227</v>
      </c>
      <c r="L231" s="39" t="str">
        <f>IFERROR(VLOOKUP(Table6[[#This Row],[Error Code]],'Basic Data'!$T:$U,2,0),"")</f>
        <v>Hydraulic HUB Filter Dirty Too Long</v>
      </c>
      <c r="M231" s="346" t="s">
        <v>462</v>
      </c>
      <c r="N231" s="39" t="s">
        <v>1270</v>
      </c>
      <c r="O231" s="347">
        <v>0.19236111111111112</v>
      </c>
      <c r="P231" s="347">
        <v>0.31041666666666667</v>
      </c>
      <c r="Q231" s="347">
        <v>0.31041666666666667</v>
      </c>
      <c r="R231" s="348">
        <f>IF(Table6[[#This Row],[Work Start TimeStamp]]="","",(Table6[[#This Row],[Work Start TimeStamp]]-Table6[[#This Row],[Fault Start TimeStamp]])*24)</f>
        <v>2.833333333333333</v>
      </c>
      <c r="S231" s="349">
        <f>(Table6[[#This Row],[Fault Clearance time]]-Table6[[#This Row],[Work Start TimeStamp]])*24</f>
        <v>0</v>
      </c>
      <c r="T231" s="350">
        <f>(Table6[[#This Row],[Fault Clearance time]]-Table6[[#This Row],[Fault Start TimeStamp]])*24</f>
        <v>2.833333333333333</v>
      </c>
      <c r="U231" s="346" t="s">
        <v>493</v>
      </c>
      <c r="V231" s="351" t="s">
        <v>463</v>
      </c>
      <c r="W231" s="338">
        <f>Table6[[#This Row],[Breakdown Time]]*(1/39)</f>
        <v>7.2649572649572641E-2</v>
      </c>
      <c r="X231" s="336" t="s">
        <v>465</v>
      </c>
      <c r="Y231" s="352" t="s">
        <v>115</v>
      </c>
      <c r="Z231" s="105">
        <v>5128</v>
      </c>
      <c r="AA231" s="107">
        <v>605.3888888888888</v>
      </c>
      <c r="AB231" s="105" t="s">
        <v>478</v>
      </c>
    </row>
    <row r="232" spans="1:28">
      <c r="A232" s="105">
        <f t="shared" si="3"/>
        <v>231</v>
      </c>
      <c r="B232" s="107">
        <f>YEAR(Table6[[#This Row],[Date]])+IF(MONTH(Table6[[#This Row],[Date]])&gt;=4,1,0)</f>
        <v>2026</v>
      </c>
      <c r="C232" s="105">
        <f>YEAR(Table6[[#This Row],[Date]])</f>
        <v>2025</v>
      </c>
      <c r="D232" s="105" t="s">
        <v>490</v>
      </c>
      <c r="E232" s="119">
        <f>Table6[[#This Row],[Date]]-DAY(Table6[[#This Row],[Date]])+1</f>
        <v>45748</v>
      </c>
      <c r="F232" s="118">
        <v>45754</v>
      </c>
      <c r="G232" s="105" t="s">
        <v>130</v>
      </c>
      <c r="H232" s="39" t="str">
        <f>_xlfn.XLOOKUP(Table6[[#This Row],[Affected WTG]],'Basic Data'!$A:$A,'Basic Data'!$B:$B)</f>
        <v>PWEGPL</v>
      </c>
      <c r="I232" s="39" t="str">
        <f>_xlfn.XLOOKUP(Table6[[#This Row],[Affected WTG]],'Basic Data'!$A:$A,'Basic Data'!$C:$C)</f>
        <v>MSEDCL</v>
      </c>
      <c r="J232" s="345">
        <f>IFERROR(VLOOKUP(Table6[[#This Row],[Affected WTG]],'Basic Data'!$A$3:$E$56,5,0),"")</f>
        <v>2.564102564102564E-2</v>
      </c>
      <c r="K232" s="105">
        <v>5248</v>
      </c>
      <c r="L232" s="39" t="str">
        <f>IFERROR(VLOOKUP(Table6[[#This Row],[Error Code]],'Basic Data'!$T:$U,2,0),"")</f>
        <v>Active Crowbar IGBT Errors</v>
      </c>
      <c r="M232" s="346" t="s">
        <v>462</v>
      </c>
      <c r="N232" s="39" t="s">
        <v>1270</v>
      </c>
      <c r="O232" s="347">
        <v>0</v>
      </c>
      <c r="P232" s="347">
        <v>0</v>
      </c>
      <c r="Q232" s="347">
        <v>0.99930555555555556</v>
      </c>
      <c r="R232" s="348">
        <f>IF(Table6[[#This Row],[Work Start TimeStamp]]="","",(Table6[[#This Row],[Work Start TimeStamp]]-Table6[[#This Row],[Fault Start TimeStamp]])*24)</f>
        <v>0</v>
      </c>
      <c r="S232" s="349">
        <f>(Table6[[#This Row],[Fault Clearance time]]-Table6[[#This Row],[Work Start TimeStamp]])*24</f>
        <v>23.983333333333334</v>
      </c>
      <c r="T232" s="350">
        <f>(Table6[[#This Row],[Fault Clearance time]]-Table6[[#This Row],[Fault Start TimeStamp]])*24</f>
        <v>23.983333333333334</v>
      </c>
      <c r="U232" s="346" t="s">
        <v>500</v>
      </c>
      <c r="V232" s="351" t="s">
        <v>463</v>
      </c>
      <c r="W232" s="338">
        <f>Table6[[#This Row],[Breakdown Time]]*(1/39)</f>
        <v>0.61495726495726499</v>
      </c>
      <c r="X232" s="336" t="s">
        <v>465</v>
      </c>
      <c r="Y232" s="352" t="s">
        <v>131</v>
      </c>
      <c r="Z232" s="105">
        <v>5120</v>
      </c>
      <c r="AA232" s="107">
        <v>5116.4444444444453</v>
      </c>
      <c r="AB232" s="105" t="s">
        <v>478</v>
      </c>
    </row>
    <row r="233" spans="1:28">
      <c r="A233" s="105">
        <f t="shared" si="3"/>
        <v>232</v>
      </c>
      <c r="B233" s="107">
        <f>YEAR(Table6[[#This Row],[Date]])+IF(MONTH(Table6[[#This Row],[Date]])&gt;=4,1,0)</f>
        <v>2026</v>
      </c>
      <c r="C233" s="105">
        <f>YEAR(Table6[[#This Row],[Date]])</f>
        <v>2025</v>
      </c>
      <c r="D233" s="105" t="s">
        <v>490</v>
      </c>
      <c r="E233" s="119">
        <f>Table6[[#This Row],[Date]]-DAY(Table6[[#This Row],[Date]])+1</f>
        <v>45748</v>
      </c>
      <c r="F233" s="118">
        <v>45754</v>
      </c>
      <c r="G233" s="105" t="s">
        <v>141</v>
      </c>
      <c r="H233" s="39" t="str">
        <f>_xlfn.XLOOKUP(Table6[[#This Row],[Affected WTG]],'Basic Data'!$A:$A,'Basic Data'!$B:$B)</f>
        <v>PWEGPL</v>
      </c>
      <c r="I233" s="39" t="str">
        <f>_xlfn.XLOOKUP(Table6[[#This Row],[Affected WTG]],'Basic Data'!$A:$A,'Basic Data'!$C:$C)</f>
        <v>MSEDCL</v>
      </c>
      <c r="J233" s="345">
        <f>IFERROR(VLOOKUP(Table6[[#This Row],[Affected WTG]],'Basic Data'!$A$3:$E$56,5,0),"")</f>
        <v>2.564102564102564E-2</v>
      </c>
      <c r="K233" s="105">
        <v>523</v>
      </c>
      <c r="L233" s="39" t="str">
        <f>IFERROR(VLOOKUP(Table6[[#This Row],[Error Code]],'Basic Data'!$T:$U,2,0),"")</f>
        <v>High Temperature Of Coolant In The Input Of The Cooling Circuit</v>
      </c>
      <c r="M233" s="346" t="s">
        <v>462</v>
      </c>
      <c r="N233" s="39" t="s">
        <v>1270</v>
      </c>
      <c r="O233" s="347">
        <v>0.59583333333333333</v>
      </c>
      <c r="P233" s="347">
        <v>0.59583333333333333</v>
      </c>
      <c r="Q233" s="347">
        <v>0.59930555555555554</v>
      </c>
      <c r="R233" s="348">
        <f>IF(Table6[[#This Row],[Work Start TimeStamp]]="","",(Table6[[#This Row],[Work Start TimeStamp]]-Table6[[#This Row],[Fault Start TimeStamp]])*24)</f>
        <v>0</v>
      </c>
      <c r="S233" s="349">
        <f>(Table6[[#This Row],[Fault Clearance time]]-Table6[[#This Row],[Work Start TimeStamp]])*24</f>
        <v>8.3333333333333037E-2</v>
      </c>
      <c r="T233" s="350">
        <f>(Table6[[#This Row],[Fault Clearance time]]-Table6[[#This Row],[Fault Start TimeStamp]])*24</f>
        <v>8.3333333333333037E-2</v>
      </c>
      <c r="U233" s="346" t="s">
        <v>480</v>
      </c>
      <c r="V233" s="351" t="s">
        <v>463</v>
      </c>
      <c r="W233" s="338">
        <f>Table6[[#This Row],[Breakdown Time]]*(1/39)</f>
        <v>2.1367521367521292E-3</v>
      </c>
      <c r="X233" s="336" t="s">
        <v>465</v>
      </c>
      <c r="Y233" s="352" t="s">
        <v>143</v>
      </c>
      <c r="Z233" s="105">
        <v>7195</v>
      </c>
      <c r="AA233" s="107">
        <v>24.9826388888888</v>
      </c>
      <c r="AB233" s="105" t="s">
        <v>478</v>
      </c>
    </row>
    <row r="234" spans="1:28">
      <c r="A234" s="105">
        <f t="shared" si="3"/>
        <v>233</v>
      </c>
      <c r="B234" s="107">
        <f>YEAR(Table6[[#This Row],[Date]])+IF(MONTH(Table6[[#This Row],[Date]])&gt;=4,1,0)</f>
        <v>2026</v>
      </c>
      <c r="C234" s="105">
        <f>YEAR(Table6[[#This Row],[Date]])</f>
        <v>2025</v>
      </c>
      <c r="D234" s="105" t="s">
        <v>490</v>
      </c>
      <c r="E234" s="119">
        <f>Table6[[#This Row],[Date]]-DAY(Table6[[#This Row],[Date]])+1</f>
        <v>45748</v>
      </c>
      <c r="F234" s="118">
        <v>45754</v>
      </c>
      <c r="G234" s="105" t="s">
        <v>141</v>
      </c>
      <c r="H234" s="39" t="str">
        <f>_xlfn.XLOOKUP(Table6[[#This Row],[Affected WTG]],'Basic Data'!$A:$A,'Basic Data'!$B:$B)</f>
        <v>PWEGPL</v>
      </c>
      <c r="I234" s="39" t="str">
        <f>_xlfn.XLOOKUP(Table6[[#This Row],[Affected WTG]],'Basic Data'!$A:$A,'Basic Data'!$C:$C)</f>
        <v>MSEDCL</v>
      </c>
      <c r="J234" s="345">
        <f>IFERROR(VLOOKUP(Table6[[#This Row],[Affected WTG]],'Basic Data'!$A$3:$E$56,5,0),"")</f>
        <v>2.564102564102564E-2</v>
      </c>
      <c r="K234" s="105">
        <v>523</v>
      </c>
      <c r="L234" s="39" t="str">
        <f>IFERROR(VLOOKUP(Table6[[#This Row],[Error Code]],'Basic Data'!$T:$U,2,0),"")</f>
        <v>High Temperature Of Coolant In The Input Of The Cooling Circuit</v>
      </c>
      <c r="M234" s="346" t="s">
        <v>462</v>
      </c>
      <c r="N234" s="39" t="s">
        <v>1270</v>
      </c>
      <c r="O234" s="347">
        <v>0.67083333333333328</v>
      </c>
      <c r="P234" s="347">
        <v>0.67083333333333328</v>
      </c>
      <c r="Q234" s="347">
        <v>0.67847222222222225</v>
      </c>
      <c r="R234" s="348">
        <f>IF(Table6[[#This Row],[Work Start TimeStamp]]="","",(Table6[[#This Row],[Work Start TimeStamp]]-Table6[[#This Row],[Fault Start TimeStamp]])*24)</f>
        <v>0</v>
      </c>
      <c r="S234" s="349">
        <f>(Table6[[#This Row],[Fault Clearance time]]-Table6[[#This Row],[Work Start TimeStamp]])*24</f>
        <v>0.18333333333333535</v>
      </c>
      <c r="T234" s="350">
        <f>(Table6[[#This Row],[Fault Clearance time]]-Table6[[#This Row],[Fault Start TimeStamp]])*24</f>
        <v>0.18333333333333535</v>
      </c>
      <c r="U234" s="346" t="s">
        <v>480</v>
      </c>
      <c r="V234" s="351" t="s">
        <v>463</v>
      </c>
      <c r="W234" s="338">
        <f>Table6[[#This Row],[Breakdown Time]]*(1/39)</f>
        <v>4.7008547008547527E-3</v>
      </c>
      <c r="X234" s="336" t="s">
        <v>465</v>
      </c>
      <c r="Y234" s="352" t="s">
        <v>143</v>
      </c>
      <c r="Z234" s="105">
        <v>7195</v>
      </c>
      <c r="AA234" s="107">
        <v>54.961805555556161</v>
      </c>
      <c r="AB234" s="105" t="s">
        <v>478</v>
      </c>
    </row>
    <row r="235" spans="1:28">
      <c r="A235" s="105">
        <f t="shared" si="3"/>
        <v>234</v>
      </c>
      <c r="B235" s="107">
        <f>YEAR(Table6[[#This Row],[Date]])+IF(MONTH(Table6[[#This Row],[Date]])&gt;=4,1,0)</f>
        <v>2026</v>
      </c>
      <c r="C235" s="105">
        <f>YEAR(Table6[[#This Row],[Date]])</f>
        <v>2025</v>
      </c>
      <c r="D235" s="105" t="s">
        <v>490</v>
      </c>
      <c r="E235" s="119">
        <f>Table6[[#This Row],[Date]]-DAY(Table6[[#This Row],[Date]])+1</f>
        <v>45748</v>
      </c>
      <c r="F235" s="118">
        <v>45754</v>
      </c>
      <c r="G235" s="105" t="s">
        <v>141</v>
      </c>
      <c r="H235" s="39" t="str">
        <f>_xlfn.XLOOKUP(Table6[[#This Row],[Affected WTG]],'Basic Data'!$A:$A,'Basic Data'!$B:$B)</f>
        <v>PWEGPL</v>
      </c>
      <c r="I235" s="39" t="str">
        <f>_xlfn.XLOOKUP(Table6[[#This Row],[Affected WTG]],'Basic Data'!$A:$A,'Basic Data'!$C:$C)</f>
        <v>MSEDCL</v>
      </c>
      <c r="J235" s="345">
        <f>IFERROR(VLOOKUP(Table6[[#This Row],[Affected WTG]],'Basic Data'!$A$3:$E$56,5,0),"")</f>
        <v>2.564102564102564E-2</v>
      </c>
      <c r="K235" s="105">
        <v>523</v>
      </c>
      <c r="L235" s="39" t="str">
        <f>IFERROR(VLOOKUP(Table6[[#This Row],[Error Code]],'Basic Data'!$T:$U,2,0),"")</f>
        <v>High Temperature Of Coolant In The Input Of The Cooling Circuit</v>
      </c>
      <c r="M235" s="346" t="s">
        <v>462</v>
      </c>
      <c r="N235" s="39" t="s">
        <v>1270</v>
      </c>
      <c r="O235" s="347">
        <v>0.69305555555555554</v>
      </c>
      <c r="P235" s="347">
        <v>0.69305555555555554</v>
      </c>
      <c r="Q235" s="347">
        <v>0.7</v>
      </c>
      <c r="R235" s="348">
        <f>IF(Table6[[#This Row],[Work Start TimeStamp]]="","",(Table6[[#This Row],[Work Start TimeStamp]]-Table6[[#This Row],[Fault Start TimeStamp]])*24)</f>
        <v>0</v>
      </c>
      <c r="S235" s="349">
        <f>(Table6[[#This Row],[Fault Clearance time]]-Table6[[#This Row],[Work Start TimeStamp]])*24</f>
        <v>0.16666666666666607</v>
      </c>
      <c r="T235" s="350">
        <f>(Table6[[#This Row],[Fault Clearance time]]-Table6[[#This Row],[Fault Start TimeStamp]])*24</f>
        <v>0.16666666666666607</v>
      </c>
      <c r="U235" s="346" t="s">
        <v>480</v>
      </c>
      <c r="V235" s="351" t="s">
        <v>463</v>
      </c>
      <c r="W235" s="338">
        <f>Table6[[#This Row],[Breakdown Time]]*(1/39)</f>
        <v>4.2735042735042583E-3</v>
      </c>
      <c r="X235" s="336" t="s">
        <v>465</v>
      </c>
      <c r="Y235" s="352" t="s">
        <v>143</v>
      </c>
      <c r="Z235" s="105">
        <v>7195</v>
      </c>
      <c r="AA235" s="107">
        <v>49.965277777777601</v>
      </c>
      <c r="AB235" s="105" t="s">
        <v>478</v>
      </c>
    </row>
    <row r="236" spans="1:28">
      <c r="A236" s="105">
        <f t="shared" si="3"/>
        <v>235</v>
      </c>
      <c r="B236" s="107">
        <f>YEAR(Table6[[#This Row],[Date]])+IF(MONTH(Table6[[#This Row],[Date]])&gt;=4,1,0)</f>
        <v>2026</v>
      </c>
      <c r="C236" s="105">
        <f>YEAR(Table6[[#This Row],[Date]])</f>
        <v>2025</v>
      </c>
      <c r="D236" s="105" t="s">
        <v>490</v>
      </c>
      <c r="E236" s="119">
        <f>Table6[[#This Row],[Date]]-DAY(Table6[[#This Row],[Date]])+1</f>
        <v>45748</v>
      </c>
      <c r="F236" s="118">
        <v>45754</v>
      </c>
      <c r="G236" s="105" t="s">
        <v>141</v>
      </c>
      <c r="H236" s="39" t="str">
        <f>_xlfn.XLOOKUP(Table6[[#This Row],[Affected WTG]],'Basic Data'!$A:$A,'Basic Data'!$B:$B)</f>
        <v>PWEGPL</v>
      </c>
      <c r="I236" s="39" t="str">
        <f>_xlfn.XLOOKUP(Table6[[#This Row],[Affected WTG]],'Basic Data'!$A:$A,'Basic Data'!$C:$C)</f>
        <v>MSEDCL</v>
      </c>
      <c r="J236" s="345">
        <f>IFERROR(VLOOKUP(Table6[[#This Row],[Affected WTG]],'Basic Data'!$A$3:$E$56,5,0),"")</f>
        <v>2.564102564102564E-2</v>
      </c>
      <c r="K236" s="105">
        <v>523</v>
      </c>
      <c r="L236" s="39" t="str">
        <f>IFERROR(VLOOKUP(Table6[[#This Row],[Error Code]],'Basic Data'!$T:$U,2,0),"")</f>
        <v>High Temperature Of Coolant In The Input Of The Cooling Circuit</v>
      </c>
      <c r="M236" s="346" t="s">
        <v>462</v>
      </c>
      <c r="N236" s="39" t="s">
        <v>1270</v>
      </c>
      <c r="O236" s="347">
        <v>0.82222222222222219</v>
      </c>
      <c r="P236" s="347">
        <v>0.82222222222222219</v>
      </c>
      <c r="Q236" s="347">
        <v>0.8256944444444444</v>
      </c>
      <c r="R236" s="348">
        <f>IF(Table6[[#This Row],[Work Start TimeStamp]]="","",(Table6[[#This Row],[Work Start TimeStamp]]-Table6[[#This Row],[Fault Start TimeStamp]])*24)</f>
        <v>0</v>
      </c>
      <c r="S236" s="349">
        <f>(Table6[[#This Row],[Fault Clearance time]]-Table6[[#This Row],[Work Start TimeStamp]])*24</f>
        <v>8.3333333333333037E-2</v>
      </c>
      <c r="T236" s="350">
        <f>(Table6[[#This Row],[Fault Clearance time]]-Table6[[#This Row],[Fault Start TimeStamp]])*24</f>
        <v>8.3333333333333037E-2</v>
      </c>
      <c r="U236" s="346" t="s">
        <v>480</v>
      </c>
      <c r="V236" s="351" t="s">
        <v>463</v>
      </c>
      <c r="W236" s="338">
        <f>Table6[[#This Row],[Breakdown Time]]*(1/39)</f>
        <v>2.1367521367521292E-3</v>
      </c>
      <c r="X236" s="336" t="s">
        <v>465</v>
      </c>
      <c r="Y236" s="352" t="s">
        <v>143</v>
      </c>
      <c r="Z236" s="105">
        <v>7195</v>
      </c>
      <c r="AA236" s="107">
        <v>24.9826388888888</v>
      </c>
      <c r="AB236" s="105" t="s">
        <v>478</v>
      </c>
    </row>
    <row r="237" spans="1:28">
      <c r="A237" s="105">
        <f t="shared" si="3"/>
        <v>236</v>
      </c>
      <c r="B237" s="107">
        <f>YEAR(Table6[[#This Row],[Date]])+IF(MONTH(Table6[[#This Row],[Date]])&gt;=4,1,0)</f>
        <v>2026</v>
      </c>
      <c r="C237" s="105">
        <f>YEAR(Table6[[#This Row],[Date]])</f>
        <v>2025</v>
      </c>
      <c r="D237" s="105" t="s">
        <v>490</v>
      </c>
      <c r="E237" s="119">
        <f>Table6[[#This Row],[Date]]-DAY(Table6[[#This Row],[Date]])+1</f>
        <v>45748</v>
      </c>
      <c r="F237" s="118">
        <v>45754</v>
      </c>
      <c r="G237" s="105" t="s">
        <v>141</v>
      </c>
      <c r="H237" s="39" t="str">
        <f>_xlfn.XLOOKUP(Table6[[#This Row],[Affected WTG]],'Basic Data'!$A:$A,'Basic Data'!$B:$B)</f>
        <v>PWEGPL</v>
      </c>
      <c r="I237" s="39" t="str">
        <f>_xlfn.XLOOKUP(Table6[[#This Row],[Affected WTG]],'Basic Data'!$A:$A,'Basic Data'!$C:$C)</f>
        <v>MSEDCL</v>
      </c>
      <c r="J237" s="345">
        <f>IFERROR(VLOOKUP(Table6[[#This Row],[Affected WTG]],'Basic Data'!$A$3:$E$56,5,0),"")</f>
        <v>2.564102564102564E-2</v>
      </c>
      <c r="K237" s="105">
        <v>523</v>
      </c>
      <c r="L237" s="39" t="str">
        <f>IFERROR(VLOOKUP(Table6[[#This Row],[Error Code]],'Basic Data'!$T:$U,2,0),"")</f>
        <v>High Temperature Of Coolant In The Input Of The Cooling Circuit</v>
      </c>
      <c r="M237" s="346" t="s">
        <v>462</v>
      </c>
      <c r="N237" s="39" t="s">
        <v>1270</v>
      </c>
      <c r="O237" s="347">
        <v>0.83819444444444446</v>
      </c>
      <c r="P237" s="347">
        <v>0.83819444444444446</v>
      </c>
      <c r="Q237" s="347">
        <v>0.84166666666666667</v>
      </c>
      <c r="R237" s="348">
        <f>IF(Table6[[#This Row],[Work Start TimeStamp]]="","",(Table6[[#This Row],[Work Start TimeStamp]]-Table6[[#This Row],[Fault Start TimeStamp]])*24)</f>
        <v>0</v>
      </c>
      <c r="S237" s="349">
        <f>(Table6[[#This Row],[Fault Clearance time]]-Table6[[#This Row],[Work Start TimeStamp]])*24</f>
        <v>8.3333333333333037E-2</v>
      </c>
      <c r="T237" s="350">
        <f>(Table6[[#This Row],[Fault Clearance time]]-Table6[[#This Row],[Fault Start TimeStamp]])*24</f>
        <v>8.3333333333333037E-2</v>
      </c>
      <c r="U237" s="346" t="s">
        <v>480</v>
      </c>
      <c r="V237" s="351" t="s">
        <v>463</v>
      </c>
      <c r="W237" s="338">
        <f>Table6[[#This Row],[Breakdown Time]]*(1/39)</f>
        <v>2.1367521367521292E-3</v>
      </c>
      <c r="X237" s="336" t="s">
        <v>465</v>
      </c>
      <c r="Y237" s="352" t="s">
        <v>143</v>
      </c>
      <c r="Z237" s="105">
        <v>7195</v>
      </c>
      <c r="AA237" s="107">
        <v>24.9826388888888</v>
      </c>
      <c r="AB237" s="105" t="s">
        <v>478</v>
      </c>
    </row>
    <row r="238" spans="1:28">
      <c r="A238" s="105">
        <f t="shared" si="3"/>
        <v>237</v>
      </c>
      <c r="B238" s="107">
        <f>YEAR(Table6[[#This Row],[Date]])+IF(MONTH(Table6[[#This Row],[Date]])&gt;=4,1,0)</f>
        <v>2026</v>
      </c>
      <c r="C238" s="105">
        <f>YEAR(Table6[[#This Row],[Date]])</f>
        <v>2025</v>
      </c>
      <c r="D238" s="105" t="s">
        <v>490</v>
      </c>
      <c r="E238" s="119">
        <f>Table6[[#This Row],[Date]]-DAY(Table6[[#This Row],[Date]])+1</f>
        <v>45748</v>
      </c>
      <c r="F238" s="118">
        <v>45754</v>
      </c>
      <c r="G238" s="105" t="s">
        <v>146</v>
      </c>
      <c r="H238" s="39" t="str">
        <f>_xlfn.XLOOKUP(Table6[[#This Row],[Affected WTG]],'Basic Data'!$A:$A,'Basic Data'!$B:$B)</f>
        <v>PWEGPL</v>
      </c>
      <c r="I238" s="39" t="str">
        <f>_xlfn.XLOOKUP(Table6[[#This Row],[Affected WTG]],'Basic Data'!$A:$A,'Basic Data'!$C:$C)</f>
        <v>MSEDCL</v>
      </c>
      <c r="J238" s="345">
        <f>IFERROR(VLOOKUP(Table6[[#This Row],[Affected WTG]],'Basic Data'!$A$3:$E$56,5,0),"")</f>
        <v>2.564102564102564E-2</v>
      </c>
      <c r="K238" s="105" t="s">
        <v>487</v>
      </c>
      <c r="L238" s="39" t="str">
        <f>IFERROR(VLOOKUP(Table6[[#This Row],[Error Code]],'Basic Data'!$T:$U,2,0),"")</f>
        <v>General Work Stoppage</v>
      </c>
      <c r="M238" s="346" t="s">
        <v>462</v>
      </c>
      <c r="N238" s="39" t="s">
        <v>1270</v>
      </c>
      <c r="O238" s="347">
        <v>0.50694444444444442</v>
      </c>
      <c r="P238" s="347">
        <v>0.50694444444444442</v>
      </c>
      <c r="Q238" s="347">
        <v>0.71944444444444444</v>
      </c>
      <c r="R238" s="348">
        <f>IF(Table6[[#This Row],[Work Start TimeStamp]]="","",(Table6[[#This Row],[Work Start TimeStamp]]-Table6[[#This Row],[Fault Start TimeStamp]])*24)</f>
        <v>0</v>
      </c>
      <c r="S238" s="349">
        <f>(Table6[[#This Row],[Fault Clearance time]]-Table6[[#This Row],[Work Start TimeStamp]])*24</f>
        <v>5.1000000000000005</v>
      </c>
      <c r="T238" s="350">
        <f>(Table6[[#This Row],[Fault Clearance time]]-Table6[[#This Row],[Fault Start TimeStamp]])*24</f>
        <v>5.1000000000000005</v>
      </c>
      <c r="U238" s="346" t="s">
        <v>496</v>
      </c>
      <c r="V238" s="351" t="s">
        <v>463</v>
      </c>
      <c r="W238" s="338">
        <f>Table6[[#This Row],[Breakdown Time]]*(1/39)</f>
        <v>0.13076923076923078</v>
      </c>
      <c r="X238" s="336" t="s">
        <v>464</v>
      </c>
      <c r="Y238" s="352" t="s">
        <v>147</v>
      </c>
      <c r="Z238" s="105">
        <v>6153</v>
      </c>
      <c r="AA238" s="107">
        <v>1307.5125</v>
      </c>
      <c r="AB238" s="105" t="s">
        <v>478</v>
      </c>
    </row>
    <row r="239" spans="1:28">
      <c r="A239" s="105">
        <f t="shared" si="3"/>
        <v>238</v>
      </c>
      <c r="B239" s="107">
        <f>YEAR(Table6[[#This Row],[Date]])+IF(MONTH(Table6[[#This Row],[Date]])&gt;=4,1,0)</f>
        <v>2026</v>
      </c>
      <c r="C239" s="105">
        <f>YEAR(Table6[[#This Row],[Date]])</f>
        <v>2025</v>
      </c>
      <c r="D239" s="105" t="s">
        <v>490</v>
      </c>
      <c r="E239" s="119">
        <f>Table6[[#This Row],[Date]]-DAY(Table6[[#This Row],[Date]])+1</f>
        <v>45748</v>
      </c>
      <c r="F239" s="118">
        <v>45754</v>
      </c>
      <c r="G239" s="105" t="s">
        <v>151</v>
      </c>
      <c r="H239" s="39" t="str">
        <f>_xlfn.XLOOKUP(Table6[[#This Row],[Affected WTG]],'Basic Data'!$A:$A,'Basic Data'!$B:$B)</f>
        <v>PWEGPL</v>
      </c>
      <c r="I239" s="39" t="str">
        <f>_xlfn.XLOOKUP(Table6[[#This Row],[Affected WTG]],'Basic Data'!$A:$A,'Basic Data'!$C:$C)</f>
        <v>MSEDCL</v>
      </c>
      <c r="J239" s="345">
        <f>IFERROR(VLOOKUP(Table6[[#This Row],[Affected WTG]],'Basic Data'!$A$3:$E$56,5,0),"")</f>
        <v>2.564102564102564E-2</v>
      </c>
      <c r="K239" s="105">
        <v>203</v>
      </c>
      <c r="L239" s="39" t="str">
        <f>IFERROR(VLOOKUP(Table6[[#This Row],[Error Code]],'Basic Data'!$T:$U,2,0),"")</f>
        <v>Low Pressure On Hydraulic Group</v>
      </c>
      <c r="M239" s="346" t="s">
        <v>462</v>
      </c>
      <c r="N239" s="39" t="s">
        <v>1270</v>
      </c>
      <c r="O239" s="347">
        <v>0.6</v>
      </c>
      <c r="P239" s="347">
        <v>0.6</v>
      </c>
      <c r="Q239" s="347">
        <v>0.60347222222222219</v>
      </c>
      <c r="R239" s="348">
        <f>IF(Table6[[#This Row],[Work Start TimeStamp]]="","",(Table6[[#This Row],[Work Start TimeStamp]]-Table6[[#This Row],[Fault Start TimeStamp]])*24)</f>
        <v>0</v>
      </c>
      <c r="S239" s="349">
        <f>(Table6[[#This Row],[Fault Clearance time]]-Table6[[#This Row],[Work Start TimeStamp]])*24</f>
        <v>8.3333333333333037E-2</v>
      </c>
      <c r="T239" s="350">
        <f>(Table6[[#This Row],[Fault Clearance time]]-Table6[[#This Row],[Fault Start TimeStamp]])*24</f>
        <v>8.3333333333333037E-2</v>
      </c>
      <c r="U239" s="346" t="s">
        <v>480</v>
      </c>
      <c r="V239" s="351" t="s">
        <v>463</v>
      </c>
      <c r="W239" s="338">
        <f>Table6[[#This Row],[Breakdown Time]]*(1/39)</f>
        <v>2.1367521367521292E-3</v>
      </c>
      <c r="X239" s="336" t="s">
        <v>465</v>
      </c>
      <c r="Y239" s="352" t="s">
        <v>153</v>
      </c>
      <c r="Z239" s="105">
        <v>6822</v>
      </c>
      <c r="AA239" s="107">
        <v>23.687499999999915</v>
      </c>
      <c r="AB239" s="105" t="s">
        <v>478</v>
      </c>
    </row>
    <row r="240" spans="1:28">
      <c r="A240" s="105">
        <f t="shared" si="3"/>
        <v>239</v>
      </c>
      <c r="B240" s="107">
        <f>YEAR(Table6[[#This Row],[Date]])+IF(MONTH(Table6[[#This Row],[Date]])&gt;=4,1,0)</f>
        <v>2026</v>
      </c>
      <c r="C240" s="105">
        <f>YEAR(Table6[[#This Row],[Date]])</f>
        <v>2025</v>
      </c>
      <c r="D240" s="105" t="s">
        <v>490</v>
      </c>
      <c r="E240" s="119">
        <f>Table6[[#This Row],[Date]]-DAY(Table6[[#This Row],[Date]])+1</f>
        <v>45748</v>
      </c>
      <c r="F240" s="118">
        <v>45755</v>
      </c>
      <c r="G240" s="105" t="s">
        <v>144</v>
      </c>
      <c r="H240" s="39" t="str">
        <f>_xlfn.XLOOKUP(Table6[[#This Row],[Affected WTG]],'Basic Data'!$A:$A,'Basic Data'!$B:$B)</f>
        <v>PWEGPL</v>
      </c>
      <c r="I240" s="39" t="str">
        <f>_xlfn.XLOOKUP(Table6[[#This Row],[Affected WTG]],'Basic Data'!$A:$A,'Basic Data'!$C:$C)</f>
        <v>MSEDCL</v>
      </c>
      <c r="J240" s="345">
        <f>IFERROR(VLOOKUP(Table6[[#This Row],[Affected WTG]],'Basic Data'!$A$3:$E$56,5,0),"")</f>
        <v>2.564102564102564E-2</v>
      </c>
      <c r="K240" s="105" t="s">
        <v>492</v>
      </c>
      <c r="L240" s="39" t="str">
        <f>IFERROR(VLOOKUP(Table6[[#This Row],[Error Code]],'Basic Data'!$T:$U,2,0),"")</f>
        <v>Manual Stop - Safety Related</v>
      </c>
      <c r="M240" s="346" t="s">
        <v>481</v>
      </c>
      <c r="N240" s="39" t="s">
        <v>1269</v>
      </c>
      <c r="O240" s="347">
        <v>0</v>
      </c>
      <c r="P240" s="347">
        <v>0.99930555555555556</v>
      </c>
      <c r="Q240" s="347">
        <v>0.99930555555555556</v>
      </c>
      <c r="R240" s="348">
        <f>IF(Table6[[#This Row],[Work Start TimeStamp]]="","",(Table6[[#This Row],[Work Start TimeStamp]]-Table6[[#This Row],[Fault Start TimeStamp]])*24)</f>
        <v>23.983333333333334</v>
      </c>
      <c r="S240" s="349">
        <f>(Table6[[#This Row],[Fault Clearance time]]-Table6[[#This Row],[Work Start TimeStamp]])*24</f>
        <v>0</v>
      </c>
      <c r="T240" s="350">
        <f>(Table6[[#This Row],[Fault Clearance time]]-Table6[[#This Row],[Fault Start TimeStamp]])*24</f>
        <v>23.983333333333334</v>
      </c>
      <c r="U240" s="346" t="s">
        <v>498</v>
      </c>
      <c r="V240" s="351" t="s">
        <v>473</v>
      </c>
      <c r="W240" s="338">
        <f>Table6[[#This Row],[Breakdown Time]]*(1/39)</f>
        <v>0.61495726495726499</v>
      </c>
      <c r="X240" s="336" t="s">
        <v>468</v>
      </c>
      <c r="Y240" s="352" t="s">
        <v>141</v>
      </c>
      <c r="Z240" s="105">
        <v>3910</v>
      </c>
      <c r="AA240" s="107">
        <v>3907.2847222222222</v>
      </c>
      <c r="AB240" s="105" t="s">
        <v>478</v>
      </c>
    </row>
    <row r="241" spans="1:28">
      <c r="A241" s="105">
        <f t="shared" si="3"/>
        <v>240</v>
      </c>
      <c r="B241" s="107">
        <f>YEAR(Table6[[#This Row],[Date]])+IF(MONTH(Table6[[#This Row],[Date]])&gt;=4,1,0)</f>
        <v>2026</v>
      </c>
      <c r="C241" s="105">
        <f>YEAR(Table6[[#This Row],[Date]])</f>
        <v>2025</v>
      </c>
      <c r="D241" s="105" t="s">
        <v>490</v>
      </c>
      <c r="E241" s="119">
        <f>Table6[[#This Row],[Date]]-DAY(Table6[[#This Row],[Date]])+1</f>
        <v>45748</v>
      </c>
      <c r="F241" s="118">
        <v>45755</v>
      </c>
      <c r="G241" s="105" t="s">
        <v>142</v>
      </c>
      <c r="H241" s="39" t="str">
        <f>_xlfn.XLOOKUP(Table6[[#This Row],[Affected WTG]],'Basic Data'!$A:$A,'Basic Data'!$B:$B)</f>
        <v>PWEGPL</v>
      </c>
      <c r="I241" s="39" t="str">
        <f>_xlfn.XLOOKUP(Table6[[#This Row],[Affected WTG]],'Basic Data'!$A:$A,'Basic Data'!$C:$C)</f>
        <v>MSEDCL</v>
      </c>
      <c r="J241" s="345">
        <f>IFERROR(VLOOKUP(Table6[[#This Row],[Affected WTG]],'Basic Data'!$A$3:$E$56,5,0),"")</f>
        <v>2.564102564102564E-2</v>
      </c>
      <c r="K241" s="105" t="s">
        <v>492</v>
      </c>
      <c r="L241" s="39" t="str">
        <f>IFERROR(VLOOKUP(Table6[[#This Row],[Error Code]],'Basic Data'!$T:$U,2,0),"")</f>
        <v>Manual Stop - Safety Related</v>
      </c>
      <c r="M241" s="346" t="s">
        <v>481</v>
      </c>
      <c r="N241" s="39" t="s">
        <v>1269</v>
      </c>
      <c r="O241" s="347">
        <v>0</v>
      </c>
      <c r="P241" s="347">
        <v>0.99930555555555556</v>
      </c>
      <c r="Q241" s="347">
        <v>0.99930555555555556</v>
      </c>
      <c r="R241" s="348">
        <f>IF(Table6[[#This Row],[Work Start TimeStamp]]="","",(Table6[[#This Row],[Work Start TimeStamp]]-Table6[[#This Row],[Fault Start TimeStamp]])*24)</f>
        <v>23.983333333333334</v>
      </c>
      <c r="S241" s="349">
        <f>(Table6[[#This Row],[Fault Clearance time]]-Table6[[#This Row],[Work Start TimeStamp]])*24</f>
        <v>0</v>
      </c>
      <c r="T241" s="350">
        <f>(Table6[[#This Row],[Fault Clearance time]]-Table6[[#This Row],[Fault Start TimeStamp]])*24</f>
        <v>23.983333333333334</v>
      </c>
      <c r="U241" s="346" t="s">
        <v>498</v>
      </c>
      <c r="V241" s="351" t="s">
        <v>473</v>
      </c>
      <c r="W241" s="338">
        <f>Table6[[#This Row],[Breakdown Time]]*(1/39)</f>
        <v>0.61495726495726499</v>
      </c>
      <c r="X241" s="336" t="s">
        <v>468</v>
      </c>
      <c r="Y241" s="352" t="s">
        <v>141</v>
      </c>
      <c r="Z241" s="105">
        <v>3910</v>
      </c>
      <c r="AA241" s="107">
        <v>3907.2847222222222</v>
      </c>
      <c r="AB241" s="105" t="s">
        <v>478</v>
      </c>
    </row>
    <row r="242" spans="1:28">
      <c r="A242" s="105">
        <f t="shared" si="3"/>
        <v>241</v>
      </c>
      <c r="B242" s="107">
        <f>YEAR(Table6[[#This Row],[Date]])+IF(MONTH(Table6[[#This Row],[Date]])&gt;=4,1,0)</f>
        <v>2026</v>
      </c>
      <c r="C242" s="105">
        <f>YEAR(Table6[[#This Row],[Date]])</f>
        <v>2025</v>
      </c>
      <c r="D242" s="105" t="s">
        <v>490</v>
      </c>
      <c r="E242" s="119">
        <f>Table6[[#This Row],[Date]]-DAY(Table6[[#This Row],[Date]])+1</f>
        <v>45748</v>
      </c>
      <c r="F242" s="118">
        <v>45755</v>
      </c>
      <c r="G242" s="105" t="s">
        <v>115</v>
      </c>
      <c r="H242" s="39" t="str">
        <f>_xlfn.XLOOKUP(Table6[[#This Row],[Affected WTG]],'Basic Data'!$A:$A,'Basic Data'!$B:$B)</f>
        <v>PWEGPL</v>
      </c>
      <c r="I242" s="39" t="str">
        <f>_xlfn.XLOOKUP(Table6[[#This Row],[Affected WTG]],'Basic Data'!$A:$A,'Basic Data'!$C:$C)</f>
        <v>MSEDCL</v>
      </c>
      <c r="J242" s="345">
        <f>IFERROR(VLOOKUP(Table6[[#This Row],[Affected WTG]],'Basic Data'!$A$3:$E$56,5,0),"")</f>
        <v>2.564102564102564E-2</v>
      </c>
      <c r="K242" s="105">
        <v>203</v>
      </c>
      <c r="L242" s="39" t="str">
        <f>IFERROR(VLOOKUP(Table6[[#This Row],[Error Code]],'Basic Data'!$T:$U,2,0),"")</f>
        <v>Low Pressure On Hydraulic Group</v>
      </c>
      <c r="M242" s="346" t="s">
        <v>462</v>
      </c>
      <c r="N242" s="39" t="s">
        <v>1270</v>
      </c>
      <c r="O242" s="347">
        <v>0.54097222222222219</v>
      </c>
      <c r="P242" s="347">
        <v>0.54097222222222219</v>
      </c>
      <c r="Q242" s="347">
        <v>0.5444444444444444</v>
      </c>
      <c r="R242" s="348">
        <f>IF(Table6[[#This Row],[Work Start TimeStamp]]="","",(Table6[[#This Row],[Work Start TimeStamp]]-Table6[[#This Row],[Fault Start TimeStamp]])*24)</f>
        <v>0</v>
      </c>
      <c r="S242" s="349">
        <f>(Table6[[#This Row],[Fault Clearance time]]-Table6[[#This Row],[Work Start TimeStamp]])*24</f>
        <v>8.3333333333333037E-2</v>
      </c>
      <c r="T242" s="350">
        <f>(Table6[[#This Row],[Fault Clearance time]]-Table6[[#This Row],[Fault Start TimeStamp]])*24</f>
        <v>8.3333333333333037E-2</v>
      </c>
      <c r="U242" s="346" t="s">
        <v>480</v>
      </c>
      <c r="V242" s="351" t="s">
        <v>463</v>
      </c>
      <c r="W242" s="338">
        <f>Table6[[#This Row],[Breakdown Time]]*(1/39)</f>
        <v>2.1367521367521292E-3</v>
      </c>
      <c r="X242" s="336" t="s">
        <v>465</v>
      </c>
      <c r="Y242" s="352" t="s">
        <v>121</v>
      </c>
      <c r="Z242" s="105">
        <v>4140</v>
      </c>
      <c r="AA242" s="107">
        <v>14.374999999999948</v>
      </c>
      <c r="AB242" s="105" t="s">
        <v>478</v>
      </c>
    </row>
    <row r="243" spans="1:28">
      <c r="A243" s="105">
        <f t="shared" si="3"/>
        <v>242</v>
      </c>
      <c r="B243" s="107">
        <f>YEAR(Table6[[#This Row],[Date]])+IF(MONTH(Table6[[#This Row],[Date]])&gt;=4,1,0)</f>
        <v>2026</v>
      </c>
      <c r="C243" s="105">
        <f>YEAR(Table6[[#This Row],[Date]])</f>
        <v>2025</v>
      </c>
      <c r="D243" s="105" t="s">
        <v>490</v>
      </c>
      <c r="E243" s="119">
        <f>Table6[[#This Row],[Date]]-DAY(Table6[[#This Row],[Date]])+1</f>
        <v>45748</v>
      </c>
      <c r="F243" s="118">
        <v>45755</v>
      </c>
      <c r="G243" s="105" t="s">
        <v>117</v>
      </c>
      <c r="H243" s="39" t="str">
        <f>_xlfn.XLOOKUP(Table6[[#This Row],[Affected WTG]],'Basic Data'!$A:$A,'Basic Data'!$B:$B)</f>
        <v>PWEGPL</v>
      </c>
      <c r="I243" s="39" t="str">
        <f>_xlfn.XLOOKUP(Table6[[#This Row],[Affected WTG]],'Basic Data'!$A:$A,'Basic Data'!$C:$C)</f>
        <v>MSEDCL</v>
      </c>
      <c r="J243" s="345">
        <f>IFERROR(VLOOKUP(Table6[[#This Row],[Affected WTG]],'Basic Data'!$A$3:$E$56,5,0),"")</f>
        <v>2.564102564102564E-2</v>
      </c>
      <c r="K243" s="105">
        <v>426</v>
      </c>
      <c r="L243" s="39" t="str">
        <f>IFERROR(VLOOKUP(Table6[[#This Row],[Error Code]],'Basic Data'!$T:$U,2,0),"")</f>
        <v>Rotor Speed Reading Failure</v>
      </c>
      <c r="M243" s="346" t="s">
        <v>462</v>
      </c>
      <c r="N243" s="39" t="s">
        <v>1270</v>
      </c>
      <c r="O243" s="347">
        <v>0.18958333333333333</v>
      </c>
      <c r="P243" s="347">
        <v>0.18958333333333333</v>
      </c>
      <c r="Q243" s="347">
        <v>0.19305555555555556</v>
      </c>
      <c r="R243" s="348">
        <f>IF(Table6[[#This Row],[Work Start TimeStamp]]="","",(Table6[[#This Row],[Work Start TimeStamp]]-Table6[[#This Row],[Fault Start TimeStamp]])*24)</f>
        <v>0</v>
      </c>
      <c r="S243" s="349">
        <f>(Table6[[#This Row],[Fault Clearance time]]-Table6[[#This Row],[Work Start TimeStamp]])*24</f>
        <v>8.3333333333333703E-2</v>
      </c>
      <c r="T243" s="350">
        <f>(Table6[[#This Row],[Fault Clearance time]]-Table6[[#This Row],[Fault Start TimeStamp]])*24</f>
        <v>8.3333333333333703E-2</v>
      </c>
      <c r="U243" s="346" t="s">
        <v>480</v>
      </c>
      <c r="V243" s="351" t="s">
        <v>463</v>
      </c>
      <c r="W243" s="338">
        <f>Table6[[#This Row],[Breakdown Time]]*(1/39)</f>
        <v>2.1367521367521461E-3</v>
      </c>
      <c r="X243" s="336" t="s">
        <v>465</v>
      </c>
      <c r="Y243" s="352" t="s">
        <v>118</v>
      </c>
      <c r="Z243" s="105">
        <v>2420</v>
      </c>
      <c r="AA243" s="107">
        <v>8.4027777777778141</v>
      </c>
      <c r="AB243" s="105" t="s">
        <v>478</v>
      </c>
    </row>
    <row r="244" spans="1:28">
      <c r="A244" s="105">
        <f t="shared" si="3"/>
        <v>243</v>
      </c>
      <c r="B244" s="107">
        <f>YEAR(Table6[[#This Row],[Date]])+IF(MONTH(Table6[[#This Row],[Date]])&gt;=4,1,0)</f>
        <v>2026</v>
      </c>
      <c r="C244" s="105">
        <f>YEAR(Table6[[#This Row],[Date]])</f>
        <v>2025</v>
      </c>
      <c r="D244" s="105" t="s">
        <v>490</v>
      </c>
      <c r="E244" s="119">
        <f>Table6[[#This Row],[Date]]-DAY(Table6[[#This Row],[Date]])+1</f>
        <v>45748</v>
      </c>
      <c r="F244" s="118">
        <v>45755</v>
      </c>
      <c r="G244" s="105" t="s">
        <v>118</v>
      </c>
      <c r="H244" s="39" t="str">
        <f>_xlfn.XLOOKUP(Table6[[#This Row],[Affected WTG]],'Basic Data'!$A:$A,'Basic Data'!$B:$B)</f>
        <v>PWEGPL</v>
      </c>
      <c r="I244" s="39" t="str">
        <f>_xlfn.XLOOKUP(Table6[[#This Row],[Affected WTG]],'Basic Data'!$A:$A,'Basic Data'!$C:$C)</f>
        <v>MSEDCL</v>
      </c>
      <c r="J244" s="345">
        <f>IFERROR(VLOOKUP(Table6[[#This Row],[Affected WTG]],'Basic Data'!$A$3:$E$56,5,0),"")</f>
        <v>2.564102564102564E-2</v>
      </c>
      <c r="K244" s="105">
        <v>5200</v>
      </c>
      <c r="L244" s="39" t="str">
        <f>IFERROR(VLOOKUP(Table6[[#This Row],[Error Code]],'Basic Data'!$T:$U,2,0),"")</f>
        <v>Magnetothermic Trigger Of The Line Protection</v>
      </c>
      <c r="M244" s="346" t="s">
        <v>462</v>
      </c>
      <c r="N244" s="39" t="s">
        <v>1270</v>
      </c>
      <c r="O244" s="347">
        <v>0.5708333333333333</v>
      </c>
      <c r="P244" s="347">
        <v>0.5708333333333333</v>
      </c>
      <c r="Q244" s="347">
        <v>0.57430555555555551</v>
      </c>
      <c r="R244" s="348">
        <f>IF(Table6[[#This Row],[Work Start TimeStamp]]="","",(Table6[[#This Row],[Work Start TimeStamp]]-Table6[[#This Row],[Fault Start TimeStamp]])*24)</f>
        <v>0</v>
      </c>
      <c r="S244" s="349">
        <f>(Table6[[#This Row],[Fault Clearance time]]-Table6[[#This Row],[Work Start TimeStamp]])*24</f>
        <v>8.3333333333333037E-2</v>
      </c>
      <c r="T244" s="350">
        <f>(Table6[[#This Row],[Fault Clearance time]]-Table6[[#This Row],[Fault Start TimeStamp]])*24</f>
        <v>8.3333333333333037E-2</v>
      </c>
      <c r="U244" s="346" t="s">
        <v>480</v>
      </c>
      <c r="V244" s="351" t="s">
        <v>463</v>
      </c>
      <c r="W244" s="338">
        <f>Table6[[#This Row],[Breakdown Time]]*(1/39)</f>
        <v>2.1367521367521292E-3</v>
      </c>
      <c r="X244" s="336" t="s">
        <v>465</v>
      </c>
      <c r="Y244" s="352" t="s">
        <v>117</v>
      </c>
      <c r="Z244" s="105">
        <v>3986</v>
      </c>
      <c r="AA244" s="107">
        <v>13.840277777777729</v>
      </c>
      <c r="AB244" s="105" t="s">
        <v>478</v>
      </c>
    </row>
    <row r="245" spans="1:28">
      <c r="A245" s="105">
        <f t="shared" si="3"/>
        <v>244</v>
      </c>
      <c r="B245" s="107">
        <f>YEAR(Table6[[#This Row],[Date]])+IF(MONTH(Table6[[#This Row],[Date]])&gt;=4,1,0)</f>
        <v>2026</v>
      </c>
      <c r="C245" s="105">
        <f>YEAR(Table6[[#This Row],[Date]])</f>
        <v>2025</v>
      </c>
      <c r="D245" s="105" t="s">
        <v>490</v>
      </c>
      <c r="E245" s="119">
        <f>Table6[[#This Row],[Date]]-DAY(Table6[[#This Row],[Date]])+1</f>
        <v>45748</v>
      </c>
      <c r="F245" s="118">
        <v>45755</v>
      </c>
      <c r="G245" s="105" t="s">
        <v>118</v>
      </c>
      <c r="H245" s="39" t="str">
        <f>_xlfn.XLOOKUP(Table6[[#This Row],[Affected WTG]],'Basic Data'!$A:$A,'Basic Data'!$B:$B)</f>
        <v>PWEGPL</v>
      </c>
      <c r="I245" s="39" t="str">
        <f>_xlfn.XLOOKUP(Table6[[#This Row],[Affected WTG]],'Basic Data'!$A:$A,'Basic Data'!$C:$C)</f>
        <v>MSEDCL</v>
      </c>
      <c r="J245" s="345">
        <f>IFERROR(VLOOKUP(Table6[[#This Row],[Affected WTG]],'Basic Data'!$A$3:$E$56,5,0),"")</f>
        <v>2.564102564102564E-2</v>
      </c>
      <c r="K245" s="105">
        <v>523</v>
      </c>
      <c r="L245" s="39" t="str">
        <f>IFERROR(VLOOKUP(Table6[[#This Row],[Error Code]],'Basic Data'!$T:$U,2,0),"")</f>
        <v>High Temperature Of Coolant In The Input Of The Cooling Circuit</v>
      </c>
      <c r="M245" s="346" t="s">
        <v>462</v>
      </c>
      <c r="N245" s="39" t="s">
        <v>1270</v>
      </c>
      <c r="O245" s="347">
        <v>0.58263888888888893</v>
      </c>
      <c r="P245" s="347">
        <v>0.58263888888888893</v>
      </c>
      <c r="Q245" s="347">
        <v>0.58611111111111114</v>
      </c>
      <c r="R245" s="348">
        <f>IF(Table6[[#This Row],[Work Start TimeStamp]]="","",(Table6[[#This Row],[Work Start TimeStamp]]-Table6[[#This Row],[Fault Start TimeStamp]])*24)</f>
        <v>0</v>
      </c>
      <c r="S245" s="349">
        <f>(Table6[[#This Row],[Fault Clearance time]]-Table6[[#This Row],[Work Start TimeStamp]])*24</f>
        <v>8.3333333333333037E-2</v>
      </c>
      <c r="T245" s="350">
        <f>(Table6[[#This Row],[Fault Clearance time]]-Table6[[#This Row],[Fault Start TimeStamp]])*24</f>
        <v>8.3333333333333037E-2</v>
      </c>
      <c r="U245" s="346" t="s">
        <v>480</v>
      </c>
      <c r="V245" s="351" t="s">
        <v>463</v>
      </c>
      <c r="W245" s="338">
        <f>Table6[[#This Row],[Breakdown Time]]*(1/39)</f>
        <v>2.1367521367521292E-3</v>
      </c>
      <c r="X245" s="336" t="s">
        <v>465</v>
      </c>
      <c r="Y245" s="352" t="s">
        <v>117</v>
      </c>
      <c r="Z245" s="105">
        <v>3986</v>
      </c>
      <c r="AA245" s="107">
        <v>13.840277777777729</v>
      </c>
      <c r="AB245" s="105" t="s">
        <v>478</v>
      </c>
    </row>
    <row r="246" spans="1:28">
      <c r="A246" s="105">
        <f t="shared" si="3"/>
        <v>245</v>
      </c>
      <c r="B246" s="107">
        <f>YEAR(Table6[[#This Row],[Date]])+IF(MONTH(Table6[[#This Row],[Date]])&gt;=4,1,0)</f>
        <v>2026</v>
      </c>
      <c r="C246" s="105">
        <f>YEAR(Table6[[#This Row],[Date]])</f>
        <v>2025</v>
      </c>
      <c r="D246" s="105" t="s">
        <v>490</v>
      </c>
      <c r="E246" s="119">
        <f>Table6[[#This Row],[Date]]-DAY(Table6[[#This Row],[Date]])+1</f>
        <v>45748</v>
      </c>
      <c r="F246" s="118">
        <v>45755</v>
      </c>
      <c r="G246" s="105" t="s">
        <v>118</v>
      </c>
      <c r="H246" s="39" t="str">
        <f>_xlfn.XLOOKUP(Table6[[#This Row],[Affected WTG]],'Basic Data'!$A:$A,'Basic Data'!$B:$B)</f>
        <v>PWEGPL</v>
      </c>
      <c r="I246" s="39" t="str">
        <f>_xlfn.XLOOKUP(Table6[[#This Row],[Affected WTG]],'Basic Data'!$A:$A,'Basic Data'!$C:$C)</f>
        <v>MSEDCL</v>
      </c>
      <c r="J246" s="345">
        <f>IFERROR(VLOOKUP(Table6[[#This Row],[Affected WTG]],'Basic Data'!$A$3:$E$56,5,0),"")</f>
        <v>2.564102564102564E-2</v>
      </c>
      <c r="K246" s="105">
        <v>5200</v>
      </c>
      <c r="L246" s="39" t="str">
        <f>IFERROR(VLOOKUP(Table6[[#This Row],[Error Code]],'Basic Data'!$T:$U,2,0),"")</f>
        <v>Magnetothermic Trigger Of The Line Protection</v>
      </c>
      <c r="M246" s="346" t="s">
        <v>462</v>
      </c>
      <c r="N246" s="39" t="s">
        <v>1270</v>
      </c>
      <c r="O246" s="347">
        <v>0.9506944444444444</v>
      </c>
      <c r="P246" s="347">
        <v>0.99930555555555556</v>
      </c>
      <c r="Q246" s="347">
        <v>0.99930555555555556</v>
      </c>
      <c r="R246" s="348">
        <f>IF(Table6[[#This Row],[Work Start TimeStamp]]="","",(Table6[[#This Row],[Work Start TimeStamp]]-Table6[[#This Row],[Fault Start TimeStamp]])*24)</f>
        <v>1.1666666666666679</v>
      </c>
      <c r="S246" s="349">
        <f>(Table6[[#This Row],[Fault Clearance time]]-Table6[[#This Row],[Work Start TimeStamp]])*24</f>
        <v>0</v>
      </c>
      <c r="T246" s="350">
        <f>(Table6[[#This Row],[Fault Clearance time]]-Table6[[#This Row],[Fault Start TimeStamp]])*24</f>
        <v>1.1666666666666679</v>
      </c>
      <c r="U246" s="346" t="s">
        <v>500</v>
      </c>
      <c r="V246" s="351" t="s">
        <v>473</v>
      </c>
      <c r="W246" s="338">
        <f>Table6[[#This Row],[Breakdown Time]]*(1/39)</f>
        <v>2.9914529914529944E-2</v>
      </c>
      <c r="X246" s="336" t="s">
        <v>465</v>
      </c>
      <c r="Y246" s="352" t="s">
        <v>117</v>
      </c>
      <c r="Z246" s="105">
        <v>3986</v>
      </c>
      <c r="AA246" s="107">
        <v>193.76388888888908</v>
      </c>
      <c r="AB246" s="105" t="s">
        <v>478</v>
      </c>
    </row>
    <row r="247" spans="1:28">
      <c r="A247" s="105">
        <f t="shared" si="3"/>
        <v>246</v>
      </c>
      <c r="B247" s="107">
        <f>YEAR(Table6[[#This Row],[Date]])+IF(MONTH(Table6[[#This Row],[Date]])&gt;=4,1,0)</f>
        <v>2026</v>
      </c>
      <c r="C247" s="105">
        <f>YEAR(Table6[[#This Row],[Date]])</f>
        <v>2025</v>
      </c>
      <c r="D247" s="105" t="s">
        <v>490</v>
      </c>
      <c r="E247" s="119">
        <f>Table6[[#This Row],[Date]]-DAY(Table6[[#This Row],[Date]])+1</f>
        <v>45748</v>
      </c>
      <c r="F247" s="118">
        <v>45755</v>
      </c>
      <c r="G247" s="105" t="s">
        <v>123</v>
      </c>
      <c r="H247" s="39" t="str">
        <f>_xlfn.XLOOKUP(Table6[[#This Row],[Affected WTG]],'Basic Data'!$A:$A,'Basic Data'!$B:$B)</f>
        <v>PWEGPL</v>
      </c>
      <c r="I247" s="39" t="str">
        <f>_xlfn.XLOOKUP(Table6[[#This Row],[Affected WTG]],'Basic Data'!$A:$A,'Basic Data'!$C:$C)</f>
        <v>MSEDCL</v>
      </c>
      <c r="J247" s="345">
        <f>IFERROR(VLOOKUP(Table6[[#This Row],[Affected WTG]],'Basic Data'!$A$3:$E$56,5,0),"")</f>
        <v>2.564102564102564E-2</v>
      </c>
      <c r="K247" s="105">
        <v>5203</v>
      </c>
      <c r="L247" s="39" t="str">
        <f>IFERROR(VLOOKUP(Table6[[#This Row],[Error Code]],'Basic Data'!$T:$U,2,0),"")</f>
        <v>Heating/Coolant Thermal Magnetic Failure</v>
      </c>
      <c r="M247" s="346" t="s">
        <v>462</v>
      </c>
      <c r="N247" s="39" t="s">
        <v>1270</v>
      </c>
      <c r="O247" s="347">
        <v>0.80486111111111114</v>
      </c>
      <c r="P247" s="347">
        <v>0.96458333333333335</v>
      </c>
      <c r="Q247" s="347">
        <v>0.99930555555555556</v>
      </c>
      <c r="R247" s="348">
        <f>IF(Table6[[#This Row],[Work Start TimeStamp]]="","",(Table6[[#This Row],[Work Start TimeStamp]]-Table6[[#This Row],[Fault Start TimeStamp]])*24)</f>
        <v>3.833333333333333</v>
      </c>
      <c r="S247" s="349">
        <f>(Table6[[#This Row],[Fault Clearance time]]-Table6[[#This Row],[Work Start TimeStamp]])*24</f>
        <v>0.83333333333333304</v>
      </c>
      <c r="T247" s="350">
        <f>(Table6[[#This Row],[Fault Clearance time]]-Table6[[#This Row],[Fault Start TimeStamp]])*24</f>
        <v>4.6666666666666661</v>
      </c>
      <c r="U247" s="346" t="s">
        <v>500</v>
      </c>
      <c r="V247" s="351" t="s">
        <v>473</v>
      </c>
      <c r="W247" s="338">
        <f>Table6[[#This Row],[Breakdown Time]]*(1/39)</f>
        <v>0.11965811965811964</v>
      </c>
      <c r="X247" s="336" t="s">
        <v>465</v>
      </c>
      <c r="Y247" s="352" t="s">
        <v>126</v>
      </c>
      <c r="Z247" s="105">
        <v>4310</v>
      </c>
      <c r="AA247" s="107">
        <v>838.05555555555554</v>
      </c>
      <c r="AB247" s="105" t="s">
        <v>478</v>
      </c>
    </row>
    <row r="248" spans="1:28">
      <c r="A248" s="105">
        <f t="shared" si="3"/>
        <v>247</v>
      </c>
      <c r="B248" s="107">
        <f>YEAR(Table6[[#This Row],[Date]])+IF(MONTH(Table6[[#This Row],[Date]])&gt;=4,1,0)</f>
        <v>2026</v>
      </c>
      <c r="C248" s="105">
        <f>YEAR(Table6[[#This Row],[Date]])</f>
        <v>2025</v>
      </c>
      <c r="D248" s="105" t="s">
        <v>490</v>
      </c>
      <c r="E248" s="119">
        <f>Table6[[#This Row],[Date]]-DAY(Table6[[#This Row],[Date]])+1</f>
        <v>45748</v>
      </c>
      <c r="F248" s="118">
        <v>45755</v>
      </c>
      <c r="G248" s="105" t="s">
        <v>124</v>
      </c>
      <c r="H248" s="39" t="str">
        <f>_xlfn.XLOOKUP(Table6[[#This Row],[Affected WTG]],'Basic Data'!$A:$A,'Basic Data'!$B:$B)</f>
        <v>PWEGPL</v>
      </c>
      <c r="I248" s="39" t="str">
        <f>_xlfn.XLOOKUP(Table6[[#This Row],[Affected WTG]],'Basic Data'!$A:$A,'Basic Data'!$C:$C)</f>
        <v>MSEDCL</v>
      </c>
      <c r="J248" s="345">
        <f>IFERROR(VLOOKUP(Table6[[#This Row],[Affected WTG]],'Basic Data'!$A$3:$E$56,5,0),"")</f>
        <v>2.564102564102564E-2</v>
      </c>
      <c r="K248" s="105">
        <v>527</v>
      </c>
      <c r="L248" s="39" t="str">
        <f>IFERROR(VLOOKUP(Table6[[#This Row],[Error Code]],'Basic Data'!$T:$U,2,0),"")</f>
        <v>High Temperature Of Upper Radiator</v>
      </c>
      <c r="M248" s="346" t="s">
        <v>462</v>
      </c>
      <c r="N248" s="39" t="s">
        <v>1270</v>
      </c>
      <c r="O248" s="347">
        <v>0.98958333333333337</v>
      </c>
      <c r="P248" s="347">
        <v>0.98958333333333337</v>
      </c>
      <c r="Q248" s="347">
        <v>0.99305555555555558</v>
      </c>
      <c r="R248" s="348">
        <f>IF(Table6[[#This Row],[Work Start TimeStamp]]="","",(Table6[[#This Row],[Work Start TimeStamp]]-Table6[[#This Row],[Fault Start TimeStamp]])*24)</f>
        <v>0</v>
      </c>
      <c r="S248" s="349">
        <f>(Table6[[#This Row],[Fault Clearance time]]-Table6[[#This Row],[Work Start TimeStamp]])*24</f>
        <v>8.3333333333333037E-2</v>
      </c>
      <c r="T248" s="350">
        <f>(Table6[[#This Row],[Fault Clearance time]]-Table6[[#This Row],[Fault Start TimeStamp]])*24</f>
        <v>8.3333333333333037E-2</v>
      </c>
      <c r="U248" s="346" t="s">
        <v>480</v>
      </c>
      <c r="V248" s="351" t="s">
        <v>463</v>
      </c>
      <c r="W248" s="338">
        <f>Table6[[#This Row],[Breakdown Time]]*(1/39)</f>
        <v>2.1367521367521292E-3</v>
      </c>
      <c r="X248" s="336" t="s">
        <v>465</v>
      </c>
      <c r="Y248" s="352" t="s">
        <v>125</v>
      </c>
      <c r="Z248" s="105">
        <v>4460</v>
      </c>
      <c r="AA248" s="107">
        <v>15.486111111111057</v>
      </c>
      <c r="AB248" s="105" t="s">
        <v>478</v>
      </c>
    </row>
    <row r="249" spans="1:28">
      <c r="A249" s="105">
        <f t="shared" si="3"/>
        <v>248</v>
      </c>
      <c r="B249" s="107">
        <f>YEAR(Table6[[#This Row],[Date]])+IF(MONTH(Table6[[#This Row],[Date]])&gt;=4,1,0)</f>
        <v>2026</v>
      </c>
      <c r="C249" s="105">
        <f>YEAR(Table6[[#This Row],[Date]])</f>
        <v>2025</v>
      </c>
      <c r="D249" s="105" t="s">
        <v>490</v>
      </c>
      <c r="E249" s="119">
        <f>Table6[[#This Row],[Date]]-DAY(Table6[[#This Row],[Date]])+1</f>
        <v>45748</v>
      </c>
      <c r="F249" s="118">
        <v>45755</v>
      </c>
      <c r="G249" s="105" t="s">
        <v>125</v>
      </c>
      <c r="H249" s="39" t="str">
        <f>_xlfn.XLOOKUP(Table6[[#This Row],[Affected WTG]],'Basic Data'!$A:$A,'Basic Data'!$B:$B)</f>
        <v>PWEGPL</v>
      </c>
      <c r="I249" s="39" t="str">
        <f>_xlfn.XLOOKUP(Table6[[#This Row],[Affected WTG]],'Basic Data'!$A:$A,'Basic Data'!$C:$C)</f>
        <v>MSEDCL</v>
      </c>
      <c r="J249" s="345">
        <f>IFERROR(VLOOKUP(Table6[[#This Row],[Affected WTG]],'Basic Data'!$A$3:$E$56,5,0),"")</f>
        <v>2.564102564102564E-2</v>
      </c>
      <c r="K249" s="105">
        <v>577</v>
      </c>
      <c r="L249" s="39" t="str">
        <f>IFERROR(VLOOKUP(Table6[[#This Row],[Error Code]],'Basic Data'!$T:$U,2,0),"")</f>
        <v>Slipping Rings Fan Or Heating Resistor Failure</v>
      </c>
      <c r="M249" s="346" t="s">
        <v>462</v>
      </c>
      <c r="N249" s="39" t="s">
        <v>1270</v>
      </c>
      <c r="O249" s="347">
        <v>0.38472222222222224</v>
      </c>
      <c r="P249" s="347">
        <v>0.47499999999999998</v>
      </c>
      <c r="Q249" s="347">
        <v>0.55972222222222223</v>
      </c>
      <c r="R249" s="348">
        <f>IF(Table6[[#This Row],[Work Start TimeStamp]]="","",(Table6[[#This Row],[Work Start TimeStamp]]-Table6[[#This Row],[Fault Start TimeStamp]])*24)</f>
        <v>2.1666666666666656</v>
      </c>
      <c r="S249" s="349">
        <f>(Table6[[#This Row],[Fault Clearance time]]-Table6[[#This Row],[Work Start TimeStamp]])*24</f>
        <v>2.0333333333333341</v>
      </c>
      <c r="T249" s="350">
        <f>(Table6[[#This Row],[Fault Clearance time]]-Table6[[#This Row],[Fault Start TimeStamp]])*24</f>
        <v>4.1999999999999993</v>
      </c>
      <c r="U249" s="346" t="s">
        <v>536</v>
      </c>
      <c r="V249" s="351" t="s">
        <v>463</v>
      </c>
      <c r="W249" s="338">
        <f>Table6[[#This Row],[Breakdown Time]]*(1/39)</f>
        <v>0.10769230769230767</v>
      </c>
      <c r="X249" s="336" t="s">
        <v>465</v>
      </c>
      <c r="Y249" s="352" t="s">
        <v>124</v>
      </c>
      <c r="Z249" s="105">
        <v>4112</v>
      </c>
      <c r="AA249" s="107">
        <v>719.59999999999991</v>
      </c>
      <c r="AB249" s="105" t="s">
        <v>478</v>
      </c>
    </row>
    <row r="250" spans="1:28">
      <c r="A250" s="105">
        <f t="shared" si="3"/>
        <v>249</v>
      </c>
      <c r="B250" s="107">
        <f>YEAR(Table6[[#This Row],[Date]])+IF(MONTH(Table6[[#This Row],[Date]])&gt;=4,1,0)</f>
        <v>2026</v>
      </c>
      <c r="C250" s="105">
        <f>YEAR(Table6[[#This Row],[Date]])</f>
        <v>2025</v>
      </c>
      <c r="D250" s="105" t="s">
        <v>490</v>
      </c>
      <c r="E250" s="119">
        <f>Table6[[#This Row],[Date]]-DAY(Table6[[#This Row],[Date]])+1</f>
        <v>45748</v>
      </c>
      <c r="F250" s="118">
        <v>45755</v>
      </c>
      <c r="G250" s="105" t="s">
        <v>127</v>
      </c>
      <c r="H250" s="39" t="str">
        <f>_xlfn.XLOOKUP(Table6[[#This Row],[Affected WTG]],'Basic Data'!$A:$A,'Basic Data'!$B:$B)</f>
        <v>PWEGPL</v>
      </c>
      <c r="I250" s="39" t="str">
        <f>_xlfn.XLOOKUP(Table6[[#This Row],[Affected WTG]],'Basic Data'!$A:$A,'Basic Data'!$C:$C)</f>
        <v>MSEDCL</v>
      </c>
      <c r="J250" s="345">
        <f>IFERROR(VLOOKUP(Table6[[#This Row],[Affected WTG]],'Basic Data'!$A$3:$E$56,5,0),"")</f>
        <v>2.564102564102564E-2</v>
      </c>
      <c r="K250" s="105">
        <v>500</v>
      </c>
      <c r="L250" s="39" t="str">
        <f>IFERROR(VLOOKUP(Table6[[#This Row],[Error Code]],'Basic Data'!$T:$U,2,0),"")</f>
        <v>High Generator Winding Temperature</v>
      </c>
      <c r="M250" s="346" t="s">
        <v>462</v>
      </c>
      <c r="N250" s="39" t="s">
        <v>1270</v>
      </c>
      <c r="O250" s="347">
        <v>0.99513888888888891</v>
      </c>
      <c r="P250" s="347">
        <v>0.99513888888888891</v>
      </c>
      <c r="Q250" s="347">
        <v>0.99861111111111112</v>
      </c>
      <c r="R250" s="348">
        <f>IF(Table6[[#This Row],[Work Start TimeStamp]]="","",(Table6[[#This Row],[Work Start TimeStamp]]-Table6[[#This Row],[Fault Start TimeStamp]])*24)</f>
        <v>0</v>
      </c>
      <c r="S250" s="349">
        <f>(Table6[[#This Row],[Fault Clearance time]]-Table6[[#This Row],[Work Start TimeStamp]])*24</f>
        <v>8.3333333333333037E-2</v>
      </c>
      <c r="T250" s="350">
        <f>(Table6[[#This Row],[Fault Clearance time]]-Table6[[#This Row],[Fault Start TimeStamp]])*24</f>
        <v>8.3333333333333037E-2</v>
      </c>
      <c r="U250" s="346" t="s">
        <v>480</v>
      </c>
      <c r="V250" s="351" t="s">
        <v>463</v>
      </c>
      <c r="W250" s="338">
        <f>Table6[[#This Row],[Breakdown Time]]*(1/39)</f>
        <v>2.1367521367521292E-3</v>
      </c>
      <c r="X250" s="336" t="s">
        <v>465</v>
      </c>
      <c r="Y250" s="352" t="s">
        <v>126</v>
      </c>
      <c r="Z250" s="105">
        <v>4310</v>
      </c>
      <c r="AA250" s="107">
        <v>14.965277777777725</v>
      </c>
      <c r="AB250" s="105" t="s">
        <v>478</v>
      </c>
    </row>
    <row r="251" spans="1:28">
      <c r="A251" s="105">
        <f t="shared" si="3"/>
        <v>250</v>
      </c>
      <c r="B251" s="107">
        <f>YEAR(Table6[[#This Row],[Date]])+IF(MONTH(Table6[[#This Row],[Date]])&gt;=4,1,0)</f>
        <v>2026</v>
      </c>
      <c r="C251" s="105">
        <f>YEAR(Table6[[#This Row],[Date]])</f>
        <v>2025</v>
      </c>
      <c r="D251" s="105" t="s">
        <v>490</v>
      </c>
      <c r="E251" s="119">
        <f>Table6[[#This Row],[Date]]-DAY(Table6[[#This Row],[Date]])+1</f>
        <v>45748</v>
      </c>
      <c r="F251" s="118">
        <v>45755</v>
      </c>
      <c r="G251" s="105" t="s">
        <v>128</v>
      </c>
      <c r="H251" s="39" t="str">
        <f>_xlfn.XLOOKUP(Table6[[#This Row],[Affected WTG]],'Basic Data'!$A:$A,'Basic Data'!$B:$B)</f>
        <v>PWEGPL</v>
      </c>
      <c r="I251" s="39" t="str">
        <f>_xlfn.XLOOKUP(Table6[[#This Row],[Affected WTG]],'Basic Data'!$A:$A,'Basic Data'!$C:$C)</f>
        <v>MSEDCL</v>
      </c>
      <c r="J251" s="345">
        <f>IFERROR(VLOOKUP(Table6[[#This Row],[Affected WTG]],'Basic Data'!$A$3:$E$56,5,0),"")</f>
        <v>2.564102564102564E-2</v>
      </c>
      <c r="K251" s="105">
        <v>203</v>
      </c>
      <c r="L251" s="39" t="str">
        <f>IFERROR(VLOOKUP(Table6[[#This Row],[Error Code]],'Basic Data'!$T:$U,2,0),"")</f>
        <v>Low Pressure On Hydraulic Group</v>
      </c>
      <c r="M251" s="346" t="s">
        <v>462</v>
      </c>
      <c r="N251" s="39" t="s">
        <v>1270</v>
      </c>
      <c r="O251" s="347">
        <v>0.54722222222222228</v>
      </c>
      <c r="P251" s="347">
        <v>0.54722222222222228</v>
      </c>
      <c r="Q251" s="347">
        <v>0.55486111111111114</v>
      </c>
      <c r="R251" s="348">
        <f>IF(Table6[[#This Row],[Work Start TimeStamp]]="","",(Table6[[#This Row],[Work Start TimeStamp]]-Table6[[#This Row],[Fault Start TimeStamp]])*24)</f>
        <v>0</v>
      </c>
      <c r="S251" s="349">
        <f>(Table6[[#This Row],[Fault Clearance time]]-Table6[[#This Row],[Work Start TimeStamp]])*24</f>
        <v>0.18333333333333268</v>
      </c>
      <c r="T251" s="350">
        <f>(Table6[[#This Row],[Fault Clearance time]]-Table6[[#This Row],[Fault Start TimeStamp]])*24</f>
        <v>0.18333333333333268</v>
      </c>
      <c r="U251" s="346" t="s">
        <v>480</v>
      </c>
      <c r="V251" s="351" t="s">
        <v>463</v>
      </c>
      <c r="W251" s="338">
        <f>Table6[[#This Row],[Breakdown Time]]*(1/39)</f>
        <v>4.7008547008546842E-3</v>
      </c>
      <c r="X251" s="336" t="s">
        <v>465</v>
      </c>
      <c r="Y251" s="352" t="s">
        <v>129</v>
      </c>
      <c r="Z251" s="105">
        <v>1155</v>
      </c>
      <c r="AA251" s="107">
        <v>8.8229166666666359</v>
      </c>
      <c r="AB251" s="105" t="s">
        <v>478</v>
      </c>
    </row>
    <row r="252" spans="1:28">
      <c r="A252" s="105">
        <f t="shared" si="3"/>
        <v>251</v>
      </c>
      <c r="B252" s="107">
        <f>YEAR(Table6[[#This Row],[Date]])+IF(MONTH(Table6[[#This Row],[Date]])&gt;=4,1,0)</f>
        <v>2026</v>
      </c>
      <c r="C252" s="105">
        <f>YEAR(Table6[[#This Row],[Date]])</f>
        <v>2025</v>
      </c>
      <c r="D252" s="105" t="s">
        <v>490</v>
      </c>
      <c r="E252" s="119">
        <f>Table6[[#This Row],[Date]]-DAY(Table6[[#This Row],[Date]])+1</f>
        <v>45748</v>
      </c>
      <c r="F252" s="118">
        <v>45755</v>
      </c>
      <c r="G252" s="105" t="s">
        <v>130</v>
      </c>
      <c r="H252" s="39" t="str">
        <f>_xlfn.XLOOKUP(Table6[[#This Row],[Affected WTG]],'Basic Data'!$A:$A,'Basic Data'!$B:$B)</f>
        <v>PWEGPL</v>
      </c>
      <c r="I252" s="39" t="str">
        <f>_xlfn.XLOOKUP(Table6[[#This Row],[Affected WTG]],'Basic Data'!$A:$A,'Basic Data'!$C:$C)</f>
        <v>MSEDCL</v>
      </c>
      <c r="J252" s="345">
        <f>IFERROR(VLOOKUP(Table6[[#This Row],[Affected WTG]],'Basic Data'!$A$3:$E$56,5,0),"")</f>
        <v>2.564102564102564E-2</v>
      </c>
      <c r="K252" s="105">
        <v>5248</v>
      </c>
      <c r="L252" s="39" t="str">
        <f>IFERROR(VLOOKUP(Table6[[#This Row],[Error Code]],'Basic Data'!$T:$U,2,0),"")</f>
        <v>Active Crowbar IGBT Errors</v>
      </c>
      <c r="M252" s="346" t="s">
        <v>462</v>
      </c>
      <c r="N252" s="39" t="s">
        <v>1270</v>
      </c>
      <c r="O252" s="347">
        <v>0</v>
      </c>
      <c r="P252" s="347">
        <v>0</v>
      </c>
      <c r="Q252" s="347">
        <v>0.99930555555555556</v>
      </c>
      <c r="R252" s="348">
        <f>IF(Table6[[#This Row],[Work Start TimeStamp]]="","",(Table6[[#This Row],[Work Start TimeStamp]]-Table6[[#This Row],[Fault Start TimeStamp]])*24)</f>
        <v>0</v>
      </c>
      <c r="S252" s="349">
        <f>(Table6[[#This Row],[Fault Clearance time]]-Table6[[#This Row],[Work Start TimeStamp]])*24</f>
        <v>23.983333333333334</v>
      </c>
      <c r="T252" s="350">
        <f>(Table6[[#This Row],[Fault Clearance time]]-Table6[[#This Row],[Fault Start TimeStamp]])*24</f>
        <v>23.983333333333334</v>
      </c>
      <c r="U252" s="346" t="s">
        <v>500</v>
      </c>
      <c r="V252" s="351" t="s">
        <v>473</v>
      </c>
      <c r="W252" s="338">
        <f>Table6[[#This Row],[Breakdown Time]]*(1/39)</f>
        <v>0.61495726495726499</v>
      </c>
      <c r="X252" s="336" t="s">
        <v>465</v>
      </c>
      <c r="Y252" s="352" t="s">
        <v>129</v>
      </c>
      <c r="Z252" s="105">
        <v>1155</v>
      </c>
      <c r="AA252" s="107">
        <v>1154.1979166666667</v>
      </c>
      <c r="AB252" s="105" t="s">
        <v>478</v>
      </c>
    </row>
    <row r="253" spans="1:28">
      <c r="A253" s="105">
        <f t="shared" si="3"/>
        <v>252</v>
      </c>
      <c r="B253" s="107">
        <f>YEAR(Table6[[#This Row],[Date]])+IF(MONTH(Table6[[#This Row],[Date]])&gt;=4,1,0)</f>
        <v>2026</v>
      </c>
      <c r="C253" s="105">
        <f>YEAR(Table6[[#This Row],[Date]])</f>
        <v>2025</v>
      </c>
      <c r="D253" s="105" t="s">
        <v>490</v>
      </c>
      <c r="E253" s="119">
        <f>Table6[[#This Row],[Date]]-DAY(Table6[[#This Row],[Date]])+1</f>
        <v>45748</v>
      </c>
      <c r="F253" s="118">
        <v>45755</v>
      </c>
      <c r="G253" s="105" t="s">
        <v>137</v>
      </c>
      <c r="H253" s="39" t="str">
        <f>_xlfn.XLOOKUP(Table6[[#This Row],[Affected WTG]],'Basic Data'!$A:$A,'Basic Data'!$B:$B)</f>
        <v>PWEGPL</v>
      </c>
      <c r="I253" s="39" t="str">
        <f>_xlfn.XLOOKUP(Table6[[#This Row],[Affected WTG]],'Basic Data'!$A:$A,'Basic Data'!$C:$C)</f>
        <v>MSEDCL</v>
      </c>
      <c r="J253" s="345">
        <f>IFERROR(VLOOKUP(Table6[[#This Row],[Affected WTG]],'Basic Data'!$A$3:$E$56,5,0),"")</f>
        <v>2.564102564102564E-2</v>
      </c>
      <c r="K253" s="105">
        <v>2106</v>
      </c>
      <c r="L253" s="39" t="str">
        <f>IFERROR(VLOOKUP(Table6[[#This Row],[Error Code]],'Basic Data'!$T:$U,2,0),"")</f>
        <v>Temp. Measurement Module Failure</v>
      </c>
      <c r="M253" s="346" t="s">
        <v>462</v>
      </c>
      <c r="N253" s="39" t="s">
        <v>1270</v>
      </c>
      <c r="O253" s="347">
        <v>0.17986111111111111</v>
      </c>
      <c r="P253" s="347">
        <v>0.17986111111111111</v>
      </c>
      <c r="Q253" s="347">
        <v>0.18333333333333332</v>
      </c>
      <c r="R253" s="348">
        <f>IF(Table6[[#This Row],[Work Start TimeStamp]]="","",(Table6[[#This Row],[Work Start TimeStamp]]-Table6[[#This Row],[Fault Start TimeStamp]])*24)</f>
        <v>0</v>
      </c>
      <c r="S253" s="349">
        <f>(Table6[[#This Row],[Fault Clearance time]]-Table6[[#This Row],[Work Start TimeStamp]])*24</f>
        <v>8.3333333333333037E-2</v>
      </c>
      <c r="T253" s="350">
        <f>(Table6[[#This Row],[Fault Clearance time]]-Table6[[#This Row],[Fault Start TimeStamp]])*24</f>
        <v>8.3333333333333037E-2</v>
      </c>
      <c r="U253" s="346" t="s">
        <v>480</v>
      </c>
      <c r="V253" s="351" t="s">
        <v>463</v>
      </c>
      <c r="W253" s="338">
        <f>Table6[[#This Row],[Breakdown Time]]*(1/39)</f>
        <v>2.1367521367521292E-3</v>
      </c>
      <c r="X253" s="336" t="s">
        <v>465</v>
      </c>
      <c r="Y253" s="352" t="s">
        <v>119</v>
      </c>
      <c r="Z253" s="105">
        <v>4046</v>
      </c>
      <c r="AA253" s="107">
        <v>14.048611111111063</v>
      </c>
      <c r="AB253" s="105" t="s">
        <v>478</v>
      </c>
    </row>
    <row r="254" spans="1:28">
      <c r="A254" s="105">
        <f t="shared" si="3"/>
        <v>253</v>
      </c>
      <c r="B254" s="107">
        <f>YEAR(Table6[[#This Row],[Date]])+IF(MONTH(Table6[[#This Row],[Date]])&gt;=4,1,0)</f>
        <v>2026</v>
      </c>
      <c r="C254" s="105">
        <f>YEAR(Table6[[#This Row],[Date]])</f>
        <v>2025</v>
      </c>
      <c r="D254" s="105" t="s">
        <v>490</v>
      </c>
      <c r="E254" s="119">
        <f>Table6[[#This Row],[Date]]-DAY(Table6[[#This Row],[Date]])+1</f>
        <v>45748</v>
      </c>
      <c r="F254" s="118">
        <v>45755</v>
      </c>
      <c r="G254" s="105" t="s">
        <v>137</v>
      </c>
      <c r="H254" s="39" t="str">
        <f>_xlfn.XLOOKUP(Table6[[#This Row],[Affected WTG]],'Basic Data'!$A:$A,'Basic Data'!$B:$B)</f>
        <v>PWEGPL</v>
      </c>
      <c r="I254" s="39" t="str">
        <f>_xlfn.XLOOKUP(Table6[[#This Row],[Affected WTG]],'Basic Data'!$A:$A,'Basic Data'!$C:$C)</f>
        <v>MSEDCL</v>
      </c>
      <c r="J254" s="345">
        <f>IFERROR(VLOOKUP(Table6[[#This Row],[Affected WTG]],'Basic Data'!$A$3:$E$56,5,0),"")</f>
        <v>2.564102564102564E-2</v>
      </c>
      <c r="K254" s="105">
        <v>501</v>
      </c>
      <c r="L254" s="39" t="str">
        <f>IFERROR(VLOOKUP(Table6[[#This Row],[Error Code]],'Basic Data'!$T:$U,2,0),"")</f>
        <v>Generator DE Bearing High Temperature Alarm</v>
      </c>
      <c r="M254" s="346" t="s">
        <v>462</v>
      </c>
      <c r="N254" s="39" t="s">
        <v>1270</v>
      </c>
      <c r="O254" s="347">
        <v>0.1875</v>
      </c>
      <c r="P254" s="347">
        <v>0.1875</v>
      </c>
      <c r="Q254" s="347">
        <v>0.19097222222222221</v>
      </c>
      <c r="R254" s="348">
        <f>IF(Table6[[#This Row],[Work Start TimeStamp]]="","",(Table6[[#This Row],[Work Start TimeStamp]]-Table6[[#This Row],[Fault Start TimeStamp]])*24)</f>
        <v>0</v>
      </c>
      <c r="S254" s="349">
        <f>(Table6[[#This Row],[Fault Clearance time]]-Table6[[#This Row],[Work Start TimeStamp]])*24</f>
        <v>8.3333333333333037E-2</v>
      </c>
      <c r="T254" s="350">
        <f>(Table6[[#This Row],[Fault Clearance time]]-Table6[[#This Row],[Fault Start TimeStamp]])*24</f>
        <v>8.3333333333333037E-2</v>
      </c>
      <c r="U254" s="346" t="s">
        <v>480</v>
      </c>
      <c r="V254" s="351" t="s">
        <v>463</v>
      </c>
      <c r="W254" s="338">
        <f>Table6[[#This Row],[Breakdown Time]]*(1/39)</f>
        <v>2.1367521367521292E-3</v>
      </c>
      <c r="X254" s="336" t="s">
        <v>465</v>
      </c>
      <c r="Y254" s="352" t="s">
        <v>119</v>
      </c>
      <c r="Z254" s="105">
        <v>4046</v>
      </c>
      <c r="AA254" s="107">
        <v>14.048611111111063</v>
      </c>
      <c r="AB254" s="105" t="s">
        <v>478</v>
      </c>
    </row>
    <row r="255" spans="1:28">
      <c r="A255" s="105">
        <f t="shared" si="3"/>
        <v>254</v>
      </c>
      <c r="B255" s="107">
        <f>YEAR(Table6[[#This Row],[Date]])+IF(MONTH(Table6[[#This Row],[Date]])&gt;=4,1,0)</f>
        <v>2026</v>
      </c>
      <c r="C255" s="105">
        <f>YEAR(Table6[[#This Row],[Date]])</f>
        <v>2025</v>
      </c>
      <c r="D255" s="105" t="s">
        <v>490</v>
      </c>
      <c r="E255" s="119">
        <f>Table6[[#This Row],[Date]]-DAY(Table6[[#This Row],[Date]])+1</f>
        <v>45748</v>
      </c>
      <c r="F255" s="118">
        <v>45755</v>
      </c>
      <c r="G255" s="105" t="s">
        <v>137</v>
      </c>
      <c r="H255" s="39" t="str">
        <f>_xlfn.XLOOKUP(Table6[[#This Row],[Affected WTG]],'Basic Data'!$A:$A,'Basic Data'!$B:$B)</f>
        <v>PWEGPL</v>
      </c>
      <c r="I255" s="39" t="str">
        <f>_xlfn.XLOOKUP(Table6[[#This Row],[Affected WTG]],'Basic Data'!$A:$A,'Basic Data'!$C:$C)</f>
        <v>MSEDCL</v>
      </c>
      <c r="J255" s="345">
        <f>IFERROR(VLOOKUP(Table6[[#This Row],[Affected WTG]],'Basic Data'!$A$3:$E$56,5,0),"")</f>
        <v>2.564102564102564E-2</v>
      </c>
      <c r="K255" s="105">
        <v>2106</v>
      </c>
      <c r="L255" s="39" t="str">
        <f>IFERROR(VLOOKUP(Table6[[#This Row],[Error Code]],'Basic Data'!$T:$U,2,0),"")</f>
        <v>Temp. Measurement Module Failure</v>
      </c>
      <c r="M255" s="346" t="s">
        <v>462</v>
      </c>
      <c r="N255" s="39" t="s">
        <v>1270</v>
      </c>
      <c r="O255" s="347">
        <v>0.25972222222222224</v>
      </c>
      <c r="P255" s="347">
        <v>0.25972222222222224</v>
      </c>
      <c r="Q255" s="347">
        <v>0.27361111111111114</v>
      </c>
      <c r="R255" s="348">
        <f>IF(Table6[[#This Row],[Work Start TimeStamp]]="","",(Table6[[#This Row],[Work Start TimeStamp]]-Table6[[#This Row],[Fault Start TimeStamp]])*24)</f>
        <v>0</v>
      </c>
      <c r="S255" s="349">
        <f>(Table6[[#This Row],[Fault Clearance time]]-Table6[[#This Row],[Work Start TimeStamp]])*24</f>
        <v>0.33333333333333348</v>
      </c>
      <c r="T255" s="350">
        <f>(Table6[[#This Row],[Fault Clearance time]]-Table6[[#This Row],[Fault Start TimeStamp]])*24</f>
        <v>0.33333333333333348</v>
      </c>
      <c r="U255" s="346" t="s">
        <v>480</v>
      </c>
      <c r="V255" s="351" t="s">
        <v>463</v>
      </c>
      <c r="W255" s="338">
        <f>Table6[[#This Row],[Breakdown Time]]*(1/39)</f>
        <v>8.5470085470085513E-3</v>
      </c>
      <c r="X255" s="336" t="s">
        <v>465</v>
      </c>
      <c r="Y255" s="352" t="s">
        <v>119</v>
      </c>
      <c r="Z255" s="105">
        <v>4046</v>
      </c>
      <c r="AA255" s="107">
        <v>56.194444444444471</v>
      </c>
      <c r="AB255" s="105" t="s">
        <v>478</v>
      </c>
    </row>
    <row r="256" spans="1:28">
      <c r="A256" s="105">
        <f t="shared" si="3"/>
        <v>255</v>
      </c>
      <c r="B256" s="107">
        <f>YEAR(Table6[[#This Row],[Date]])+IF(MONTH(Table6[[#This Row],[Date]])&gt;=4,1,0)</f>
        <v>2026</v>
      </c>
      <c r="C256" s="105">
        <f>YEAR(Table6[[#This Row],[Date]])</f>
        <v>2025</v>
      </c>
      <c r="D256" s="105" t="s">
        <v>490</v>
      </c>
      <c r="E256" s="119">
        <f>Table6[[#This Row],[Date]]-DAY(Table6[[#This Row],[Date]])+1</f>
        <v>45748</v>
      </c>
      <c r="F256" s="118">
        <v>45755</v>
      </c>
      <c r="G256" s="105" t="s">
        <v>137</v>
      </c>
      <c r="H256" s="39" t="str">
        <f>_xlfn.XLOOKUP(Table6[[#This Row],[Affected WTG]],'Basic Data'!$A:$A,'Basic Data'!$B:$B)</f>
        <v>PWEGPL</v>
      </c>
      <c r="I256" s="39" t="str">
        <f>_xlfn.XLOOKUP(Table6[[#This Row],[Affected WTG]],'Basic Data'!$A:$A,'Basic Data'!$C:$C)</f>
        <v>MSEDCL</v>
      </c>
      <c r="J256" s="345">
        <f>IFERROR(VLOOKUP(Table6[[#This Row],[Affected WTG]],'Basic Data'!$A$3:$E$56,5,0),"")</f>
        <v>2.564102564102564E-2</v>
      </c>
      <c r="K256" s="105">
        <v>2106</v>
      </c>
      <c r="L256" s="39" t="str">
        <f>IFERROR(VLOOKUP(Table6[[#This Row],[Error Code]],'Basic Data'!$T:$U,2,0),"")</f>
        <v>Temp. Measurement Module Failure</v>
      </c>
      <c r="M256" s="346" t="s">
        <v>462</v>
      </c>
      <c r="N256" s="39" t="s">
        <v>1270</v>
      </c>
      <c r="O256" s="347">
        <v>0.38194444444444442</v>
      </c>
      <c r="P256" s="347">
        <v>0.38194444444444442</v>
      </c>
      <c r="Q256" s="347">
        <v>0.38750000000000001</v>
      </c>
      <c r="R256" s="348">
        <f>IF(Table6[[#This Row],[Work Start TimeStamp]]="","",(Table6[[#This Row],[Work Start TimeStamp]]-Table6[[#This Row],[Fault Start TimeStamp]])*24)</f>
        <v>0</v>
      </c>
      <c r="S256" s="349">
        <f>(Table6[[#This Row],[Fault Clearance time]]-Table6[[#This Row],[Work Start TimeStamp]])*24</f>
        <v>0.13333333333333419</v>
      </c>
      <c r="T256" s="350">
        <f>(Table6[[#This Row],[Fault Clearance time]]-Table6[[#This Row],[Fault Start TimeStamp]])*24</f>
        <v>0.13333333333333419</v>
      </c>
      <c r="U256" s="346" t="s">
        <v>480</v>
      </c>
      <c r="V256" s="351" t="s">
        <v>463</v>
      </c>
      <c r="W256" s="338">
        <f>Table6[[#This Row],[Breakdown Time]]*(1/39)</f>
        <v>3.4188034188034405E-3</v>
      </c>
      <c r="X256" s="336" t="s">
        <v>465</v>
      </c>
      <c r="Y256" s="352" t="s">
        <v>119</v>
      </c>
      <c r="Z256" s="105">
        <v>4046</v>
      </c>
      <c r="AA256" s="107">
        <v>22.477777777777924</v>
      </c>
      <c r="AB256" s="105" t="s">
        <v>478</v>
      </c>
    </row>
    <row r="257" spans="1:28">
      <c r="A257" s="105">
        <f t="shared" si="3"/>
        <v>256</v>
      </c>
      <c r="B257" s="107">
        <f>YEAR(Table6[[#This Row],[Date]])+IF(MONTH(Table6[[#This Row],[Date]])&gt;=4,1,0)</f>
        <v>2026</v>
      </c>
      <c r="C257" s="105">
        <f>YEAR(Table6[[#This Row],[Date]])</f>
        <v>2025</v>
      </c>
      <c r="D257" s="105" t="s">
        <v>490</v>
      </c>
      <c r="E257" s="119">
        <f>Table6[[#This Row],[Date]]-DAY(Table6[[#This Row],[Date]])+1</f>
        <v>45748</v>
      </c>
      <c r="F257" s="118">
        <v>45755</v>
      </c>
      <c r="G257" s="105" t="s">
        <v>139</v>
      </c>
      <c r="H257" s="39" t="str">
        <f>_xlfn.XLOOKUP(Table6[[#This Row],[Affected WTG]],'Basic Data'!$A:$A,'Basic Data'!$B:$B)</f>
        <v>PWEGPL</v>
      </c>
      <c r="I257" s="39" t="str">
        <f>_xlfn.XLOOKUP(Table6[[#This Row],[Affected WTG]],'Basic Data'!$A:$A,'Basic Data'!$C:$C)</f>
        <v>MSEDCL</v>
      </c>
      <c r="J257" s="345">
        <f>IFERROR(VLOOKUP(Table6[[#This Row],[Affected WTG]],'Basic Data'!$A$3:$E$56,5,0),"")</f>
        <v>2.564102564102564E-2</v>
      </c>
      <c r="K257" s="105">
        <v>527</v>
      </c>
      <c r="L257" s="39" t="str">
        <f>IFERROR(VLOOKUP(Table6[[#This Row],[Error Code]],'Basic Data'!$T:$U,2,0),"")</f>
        <v>High Temperature Of Upper Radiator</v>
      </c>
      <c r="M257" s="346" t="s">
        <v>462</v>
      </c>
      <c r="N257" s="39" t="s">
        <v>1270</v>
      </c>
      <c r="O257" s="347">
        <v>0.99791666666666667</v>
      </c>
      <c r="P257" s="347">
        <v>0.99791666666666667</v>
      </c>
      <c r="Q257" s="347">
        <v>0.99930555555555556</v>
      </c>
      <c r="R257" s="348">
        <f>IF(Table6[[#This Row],[Work Start TimeStamp]]="","",(Table6[[#This Row],[Work Start TimeStamp]]-Table6[[#This Row],[Fault Start TimeStamp]])*24)</f>
        <v>0</v>
      </c>
      <c r="S257" s="349">
        <f>(Table6[[#This Row],[Fault Clearance time]]-Table6[[#This Row],[Work Start TimeStamp]])*24</f>
        <v>3.3333333333333215E-2</v>
      </c>
      <c r="T257" s="350">
        <f>(Table6[[#This Row],[Fault Clearance time]]-Table6[[#This Row],[Fault Start TimeStamp]])*24</f>
        <v>3.3333333333333215E-2</v>
      </c>
      <c r="U257" s="346" t="s">
        <v>480</v>
      </c>
      <c r="V257" s="351" t="s">
        <v>463</v>
      </c>
      <c r="W257" s="338">
        <f>Table6[[#This Row],[Breakdown Time]]*(1/39)</f>
        <v>8.5470085470085166E-4</v>
      </c>
      <c r="X257" s="336" t="s">
        <v>465</v>
      </c>
      <c r="Y257" s="352" t="s">
        <v>145</v>
      </c>
      <c r="Z257" s="105">
        <v>3788</v>
      </c>
      <c r="AA257" s="107">
        <v>5.2611111111110924</v>
      </c>
      <c r="AB257" s="105" t="s">
        <v>478</v>
      </c>
    </row>
    <row r="258" spans="1:28">
      <c r="A258" s="105">
        <f t="shared" si="3"/>
        <v>257</v>
      </c>
      <c r="B258" s="107">
        <f>YEAR(Table6[[#This Row],[Date]])+IF(MONTH(Table6[[#This Row],[Date]])&gt;=4,1,0)</f>
        <v>2026</v>
      </c>
      <c r="C258" s="105">
        <f>YEAR(Table6[[#This Row],[Date]])</f>
        <v>2025</v>
      </c>
      <c r="D258" s="105" t="s">
        <v>490</v>
      </c>
      <c r="E258" s="119">
        <f>Table6[[#This Row],[Date]]-DAY(Table6[[#This Row],[Date]])+1</f>
        <v>45748</v>
      </c>
      <c r="F258" s="118">
        <v>45755</v>
      </c>
      <c r="G258" s="105" t="s">
        <v>141</v>
      </c>
      <c r="H258" s="39" t="str">
        <f>_xlfn.XLOOKUP(Table6[[#This Row],[Affected WTG]],'Basic Data'!$A:$A,'Basic Data'!$B:$B)</f>
        <v>PWEGPL</v>
      </c>
      <c r="I258" s="39" t="str">
        <f>_xlfn.XLOOKUP(Table6[[#This Row],[Affected WTG]],'Basic Data'!$A:$A,'Basic Data'!$C:$C)</f>
        <v>MSEDCL</v>
      </c>
      <c r="J258" s="345">
        <f>IFERROR(VLOOKUP(Table6[[#This Row],[Affected WTG]],'Basic Data'!$A$3:$E$56,5,0),"")</f>
        <v>2.564102564102564E-2</v>
      </c>
      <c r="K258" s="105">
        <v>523</v>
      </c>
      <c r="L258" s="39" t="str">
        <f>IFERROR(VLOOKUP(Table6[[#This Row],[Error Code]],'Basic Data'!$T:$U,2,0),"")</f>
        <v>High Temperature Of Coolant In The Input Of The Cooling Circuit</v>
      </c>
      <c r="M258" s="346" t="s">
        <v>479</v>
      </c>
      <c r="N258" s="39" t="s">
        <v>230</v>
      </c>
      <c r="O258" s="347">
        <v>0.47083333333333333</v>
      </c>
      <c r="P258" s="347">
        <v>0.47083333333333333</v>
      </c>
      <c r="Q258" s="347">
        <v>0.5180555555555556</v>
      </c>
      <c r="R258" s="348">
        <f>IF(Table6[[#This Row],[Work Start TimeStamp]]="","",(Table6[[#This Row],[Work Start TimeStamp]]-Table6[[#This Row],[Fault Start TimeStamp]])*24)</f>
        <v>0</v>
      </c>
      <c r="S258" s="349">
        <f>(Table6[[#This Row],[Fault Clearance time]]-Table6[[#This Row],[Work Start TimeStamp]])*24</f>
        <v>1.1333333333333346</v>
      </c>
      <c r="T258" s="350">
        <f>(Table6[[#This Row],[Fault Clearance time]]-Table6[[#This Row],[Fault Start TimeStamp]])*24</f>
        <v>1.1333333333333346</v>
      </c>
      <c r="U258" s="346" t="s">
        <v>537</v>
      </c>
      <c r="V258" s="351" t="s">
        <v>463</v>
      </c>
      <c r="W258" s="338">
        <f>Table6[[#This Row],[Breakdown Time]]*(1/39)</f>
        <v>2.9059829059829092E-2</v>
      </c>
      <c r="X258" s="336" t="s">
        <v>464</v>
      </c>
      <c r="Y258" s="352" t="s">
        <v>143</v>
      </c>
      <c r="Z258" s="105">
        <v>5106</v>
      </c>
      <c r="AA258" s="107">
        <v>241.11666666666693</v>
      </c>
      <c r="AB258" s="105" t="s">
        <v>478</v>
      </c>
    </row>
    <row r="259" spans="1:28">
      <c r="A259" s="105">
        <f t="shared" si="3"/>
        <v>258</v>
      </c>
      <c r="B259" s="107">
        <f>YEAR(Table6[[#This Row],[Date]])+IF(MONTH(Table6[[#This Row],[Date]])&gt;=4,1,0)</f>
        <v>2026</v>
      </c>
      <c r="C259" s="105">
        <f>YEAR(Table6[[#This Row],[Date]])</f>
        <v>2025</v>
      </c>
      <c r="D259" s="105" t="s">
        <v>490</v>
      </c>
      <c r="E259" s="119">
        <f>Table6[[#This Row],[Date]]-DAY(Table6[[#This Row],[Date]])+1</f>
        <v>45748</v>
      </c>
      <c r="F259" s="118">
        <v>45755</v>
      </c>
      <c r="G259" s="105" t="s">
        <v>143</v>
      </c>
      <c r="H259" s="39" t="str">
        <f>_xlfn.XLOOKUP(Table6[[#This Row],[Affected WTG]],'Basic Data'!$A:$A,'Basic Data'!$B:$B)</f>
        <v>PWEGPL</v>
      </c>
      <c r="I259" s="39" t="str">
        <f>_xlfn.XLOOKUP(Table6[[#This Row],[Affected WTG]],'Basic Data'!$A:$A,'Basic Data'!$C:$C)</f>
        <v>MSEDCL</v>
      </c>
      <c r="J259" s="345">
        <f>IFERROR(VLOOKUP(Table6[[#This Row],[Affected WTG]],'Basic Data'!$A$3:$E$56,5,0),"")</f>
        <v>2.564102564102564E-2</v>
      </c>
      <c r="K259" s="105">
        <v>426</v>
      </c>
      <c r="L259" s="39" t="str">
        <f>IFERROR(VLOOKUP(Table6[[#This Row],[Error Code]],'Basic Data'!$T:$U,2,0),"")</f>
        <v>Rotor Speed Reading Failure</v>
      </c>
      <c r="M259" s="346" t="s">
        <v>462</v>
      </c>
      <c r="N259" s="39" t="s">
        <v>1270</v>
      </c>
      <c r="O259" s="347">
        <v>0.33819444444444446</v>
      </c>
      <c r="P259" s="347">
        <v>0.33819444444444446</v>
      </c>
      <c r="Q259" s="347">
        <v>0.34166666666666667</v>
      </c>
      <c r="R259" s="348">
        <f>IF(Table6[[#This Row],[Work Start TimeStamp]]="","",(Table6[[#This Row],[Work Start TimeStamp]]-Table6[[#This Row],[Fault Start TimeStamp]])*24)</f>
        <v>0</v>
      </c>
      <c r="S259" s="349">
        <f>(Table6[[#This Row],[Fault Clearance time]]-Table6[[#This Row],[Work Start TimeStamp]])*24</f>
        <v>8.3333333333333037E-2</v>
      </c>
      <c r="T259" s="350">
        <f>(Table6[[#This Row],[Fault Clearance time]]-Table6[[#This Row],[Fault Start TimeStamp]])*24</f>
        <v>8.3333333333333037E-2</v>
      </c>
      <c r="U259" s="346" t="s">
        <v>480</v>
      </c>
      <c r="V259" s="351" t="s">
        <v>463</v>
      </c>
      <c r="W259" s="338">
        <f>Table6[[#This Row],[Breakdown Time]]*(1/39)</f>
        <v>2.1367521367521292E-3</v>
      </c>
      <c r="X259" s="336" t="s">
        <v>465</v>
      </c>
      <c r="Y259" s="352" t="s">
        <v>141</v>
      </c>
      <c r="Z259" s="105">
        <v>3910</v>
      </c>
      <c r="AA259" s="107">
        <v>13.57638888888884</v>
      </c>
      <c r="AB259" s="105" t="s">
        <v>478</v>
      </c>
    </row>
    <row r="260" spans="1:28">
      <c r="A260" s="105">
        <f t="shared" ref="A260:A323" si="4">A259+1</f>
        <v>259</v>
      </c>
      <c r="B260" s="107">
        <f>YEAR(Table6[[#This Row],[Date]])+IF(MONTH(Table6[[#This Row],[Date]])&gt;=4,1,0)</f>
        <v>2026</v>
      </c>
      <c r="C260" s="105">
        <f>YEAR(Table6[[#This Row],[Date]])</f>
        <v>2025</v>
      </c>
      <c r="D260" s="105" t="s">
        <v>490</v>
      </c>
      <c r="E260" s="119">
        <f>Table6[[#This Row],[Date]]-DAY(Table6[[#This Row],[Date]])+1</f>
        <v>45748</v>
      </c>
      <c r="F260" s="118">
        <v>45755</v>
      </c>
      <c r="G260" s="105" t="s">
        <v>143</v>
      </c>
      <c r="H260" s="39" t="str">
        <f>_xlfn.XLOOKUP(Table6[[#This Row],[Affected WTG]],'Basic Data'!$A:$A,'Basic Data'!$B:$B)</f>
        <v>PWEGPL</v>
      </c>
      <c r="I260" s="39" t="str">
        <f>_xlfn.XLOOKUP(Table6[[#This Row],[Affected WTG]],'Basic Data'!$A:$A,'Basic Data'!$C:$C)</f>
        <v>MSEDCL</v>
      </c>
      <c r="J260" s="345">
        <f>IFERROR(VLOOKUP(Table6[[#This Row],[Affected WTG]],'Basic Data'!$A$3:$E$56,5,0),"")</f>
        <v>2.564102564102564E-2</v>
      </c>
      <c r="K260" s="105">
        <v>426</v>
      </c>
      <c r="L260" s="39" t="str">
        <f>IFERROR(VLOOKUP(Table6[[#This Row],[Error Code]],'Basic Data'!$T:$U,2,0),"")</f>
        <v>Rotor Speed Reading Failure</v>
      </c>
      <c r="M260" s="346" t="s">
        <v>462</v>
      </c>
      <c r="N260" s="39" t="s">
        <v>1270</v>
      </c>
      <c r="O260" s="347">
        <v>0.37638888888888888</v>
      </c>
      <c r="P260" s="347">
        <v>0.37638888888888888</v>
      </c>
      <c r="Q260" s="347">
        <v>0.37986111111111109</v>
      </c>
      <c r="R260" s="348">
        <f>IF(Table6[[#This Row],[Work Start TimeStamp]]="","",(Table6[[#This Row],[Work Start TimeStamp]]-Table6[[#This Row],[Fault Start TimeStamp]])*24)</f>
        <v>0</v>
      </c>
      <c r="S260" s="349">
        <f>(Table6[[#This Row],[Fault Clearance time]]-Table6[[#This Row],[Work Start TimeStamp]])*24</f>
        <v>8.3333333333333037E-2</v>
      </c>
      <c r="T260" s="350">
        <f>(Table6[[#This Row],[Fault Clearance time]]-Table6[[#This Row],[Fault Start TimeStamp]])*24</f>
        <v>8.3333333333333037E-2</v>
      </c>
      <c r="U260" s="346" t="s">
        <v>480</v>
      </c>
      <c r="V260" s="351" t="s">
        <v>463</v>
      </c>
      <c r="W260" s="338">
        <f>Table6[[#This Row],[Breakdown Time]]*(1/39)</f>
        <v>2.1367521367521292E-3</v>
      </c>
      <c r="X260" s="336" t="s">
        <v>465</v>
      </c>
      <c r="Y260" s="352" t="s">
        <v>141</v>
      </c>
      <c r="Z260" s="105">
        <v>3910</v>
      </c>
      <c r="AA260" s="107">
        <v>13.57638888888884</v>
      </c>
      <c r="AB260" s="105" t="s">
        <v>478</v>
      </c>
    </row>
    <row r="261" spans="1:28">
      <c r="A261" s="105">
        <f t="shared" si="4"/>
        <v>260</v>
      </c>
      <c r="B261" s="107">
        <f>YEAR(Table6[[#This Row],[Date]])+IF(MONTH(Table6[[#This Row],[Date]])&gt;=4,1,0)</f>
        <v>2026</v>
      </c>
      <c r="C261" s="105">
        <f>YEAR(Table6[[#This Row],[Date]])</f>
        <v>2025</v>
      </c>
      <c r="D261" s="105" t="s">
        <v>490</v>
      </c>
      <c r="E261" s="119">
        <f>Table6[[#This Row],[Date]]-DAY(Table6[[#This Row],[Date]])+1</f>
        <v>45748</v>
      </c>
      <c r="F261" s="118">
        <v>45755</v>
      </c>
      <c r="G261" s="105" t="s">
        <v>143</v>
      </c>
      <c r="H261" s="39" t="str">
        <f>_xlfn.XLOOKUP(Table6[[#This Row],[Affected WTG]],'Basic Data'!$A:$A,'Basic Data'!$B:$B)</f>
        <v>PWEGPL</v>
      </c>
      <c r="I261" s="39" t="str">
        <f>_xlfn.XLOOKUP(Table6[[#This Row],[Affected WTG]],'Basic Data'!$A:$A,'Basic Data'!$C:$C)</f>
        <v>MSEDCL</v>
      </c>
      <c r="J261" s="345">
        <f>IFERROR(VLOOKUP(Table6[[#This Row],[Affected WTG]],'Basic Data'!$A$3:$E$56,5,0),"")</f>
        <v>2.564102564102564E-2</v>
      </c>
      <c r="K261" s="105">
        <v>426</v>
      </c>
      <c r="L261" s="39" t="str">
        <f>IFERROR(VLOOKUP(Table6[[#This Row],[Error Code]],'Basic Data'!$T:$U,2,0),"")</f>
        <v>Rotor Speed Reading Failure</v>
      </c>
      <c r="M261" s="346" t="s">
        <v>462</v>
      </c>
      <c r="N261" s="39" t="s">
        <v>1270</v>
      </c>
      <c r="O261" s="347">
        <v>0.39166666666666666</v>
      </c>
      <c r="P261" s="347">
        <v>0.39166666666666666</v>
      </c>
      <c r="Q261" s="347">
        <v>0.39513888888888887</v>
      </c>
      <c r="R261" s="348">
        <f>IF(Table6[[#This Row],[Work Start TimeStamp]]="","",(Table6[[#This Row],[Work Start TimeStamp]]-Table6[[#This Row],[Fault Start TimeStamp]])*24)</f>
        <v>0</v>
      </c>
      <c r="S261" s="349">
        <f>(Table6[[#This Row],[Fault Clearance time]]-Table6[[#This Row],[Work Start TimeStamp]])*24</f>
        <v>8.3333333333333037E-2</v>
      </c>
      <c r="T261" s="350">
        <f>(Table6[[#This Row],[Fault Clearance time]]-Table6[[#This Row],[Fault Start TimeStamp]])*24</f>
        <v>8.3333333333333037E-2</v>
      </c>
      <c r="U261" s="346" t="s">
        <v>480</v>
      </c>
      <c r="V261" s="351" t="s">
        <v>463</v>
      </c>
      <c r="W261" s="338">
        <f>Table6[[#This Row],[Breakdown Time]]*(1/39)</f>
        <v>2.1367521367521292E-3</v>
      </c>
      <c r="X261" s="336" t="s">
        <v>465</v>
      </c>
      <c r="Y261" s="352" t="s">
        <v>141</v>
      </c>
      <c r="Z261" s="105">
        <v>3910</v>
      </c>
      <c r="AA261" s="107">
        <v>13.57638888888884</v>
      </c>
      <c r="AB261" s="105" t="s">
        <v>478</v>
      </c>
    </row>
    <row r="262" spans="1:28">
      <c r="A262" s="105">
        <f t="shared" si="4"/>
        <v>261</v>
      </c>
      <c r="B262" s="107">
        <f>YEAR(Table6[[#This Row],[Date]])+IF(MONTH(Table6[[#This Row],[Date]])&gt;=4,1,0)</f>
        <v>2026</v>
      </c>
      <c r="C262" s="105">
        <f>YEAR(Table6[[#This Row],[Date]])</f>
        <v>2025</v>
      </c>
      <c r="D262" s="105" t="s">
        <v>490</v>
      </c>
      <c r="E262" s="119">
        <f>Table6[[#This Row],[Date]]-DAY(Table6[[#This Row],[Date]])+1</f>
        <v>45748</v>
      </c>
      <c r="F262" s="118">
        <v>45755</v>
      </c>
      <c r="G262" s="105" t="s">
        <v>146</v>
      </c>
      <c r="H262" s="39" t="str">
        <f>_xlfn.XLOOKUP(Table6[[#This Row],[Affected WTG]],'Basic Data'!$A:$A,'Basic Data'!$B:$B)</f>
        <v>PWEGPL</v>
      </c>
      <c r="I262" s="39" t="str">
        <f>_xlfn.XLOOKUP(Table6[[#This Row],[Affected WTG]],'Basic Data'!$A:$A,'Basic Data'!$C:$C)</f>
        <v>MSEDCL</v>
      </c>
      <c r="J262" s="345">
        <f>IFERROR(VLOOKUP(Table6[[#This Row],[Affected WTG]],'Basic Data'!$A$3:$E$56,5,0),"")</f>
        <v>2.564102564102564E-2</v>
      </c>
      <c r="K262" s="105" t="s">
        <v>487</v>
      </c>
      <c r="L262" s="39" t="str">
        <f>IFERROR(VLOOKUP(Table6[[#This Row],[Error Code]],'Basic Data'!$T:$U,2,0),"")</f>
        <v>General Work Stoppage</v>
      </c>
      <c r="M262" s="346" t="s">
        <v>479</v>
      </c>
      <c r="N262" s="39" t="s">
        <v>230</v>
      </c>
      <c r="O262" s="347">
        <v>0.64861111111111114</v>
      </c>
      <c r="P262" s="347">
        <v>0.64861111111111114</v>
      </c>
      <c r="Q262" s="347">
        <v>0.7006944444444444</v>
      </c>
      <c r="R262" s="348">
        <f>IF(Table6[[#This Row],[Work Start TimeStamp]]="","",(Table6[[#This Row],[Work Start TimeStamp]]-Table6[[#This Row],[Fault Start TimeStamp]])*24)</f>
        <v>0</v>
      </c>
      <c r="S262" s="349">
        <f>(Table6[[#This Row],[Fault Clearance time]]-Table6[[#This Row],[Work Start TimeStamp]])*24</f>
        <v>1.2499999999999982</v>
      </c>
      <c r="T262" s="350">
        <f>(Table6[[#This Row],[Fault Clearance time]]-Table6[[#This Row],[Fault Start TimeStamp]])*24</f>
        <v>1.2499999999999982</v>
      </c>
      <c r="U262" s="346" t="s">
        <v>538</v>
      </c>
      <c r="V262" s="351" t="s">
        <v>463</v>
      </c>
      <c r="W262" s="338">
        <f>Table6[[#This Row],[Breakdown Time]]*(1/39)</f>
        <v>3.2051282051282007E-2</v>
      </c>
      <c r="X262" s="336" t="s">
        <v>464</v>
      </c>
      <c r="Y262" s="352" t="s">
        <v>147</v>
      </c>
      <c r="Z262" s="105">
        <v>3696</v>
      </c>
      <c r="AA262" s="107">
        <v>192.49999999999972</v>
      </c>
      <c r="AB262" s="105" t="s">
        <v>478</v>
      </c>
    </row>
    <row r="263" spans="1:28">
      <c r="A263" s="105">
        <f t="shared" si="4"/>
        <v>262</v>
      </c>
      <c r="B263" s="107">
        <f>YEAR(Table6[[#This Row],[Date]])+IF(MONTH(Table6[[#This Row],[Date]])&gt;=4,1,0)</f>
        <v>2026</v>
      </c>
      <c r="C263" s="105">
        <f>YEAR(Table6[[#This Row],[Date]])</f>
        <v>2025</v>
      </c>
      <c r="D263" s="105" t="s">
        <v>490</v>
      </c>
      <c r="E263" s="119">
        <f>Table6[[#This Row],[Date]]-DAY(Table6[[#This Row],[Date]])+1</f>
        <v>45748</v>
      </c>
      <c r="F263" s="118">
        <v>45755</v>
      </c>
      <c r="G263" s="105" t="s">
        <v>150</v>
      </c>
      <c r="H263" s="39" t="str">
        <f>_xlfn.XLOOKUP(Table6[[#This Row],[Affected WTG]],'Basic Data'!$A:$A,'Basic Data'!$B:$B)</f>
        <v>PWEGPL</v>
      </c>
      <c r="I263" s="39" t="str">
        <f>_xlfn.XLOOKUP(Table6[[#This Row],[Affected WTG]],'Basic Data'!$A:$A,'Basic Data'!$C:$C)</f>
        <v>MSEDCL</v>
      </c>
      <c r="J263" s="345">
        <f>IFERROR(VLOOKUP(Table6[[#This Row],[Affected WTG]],'Basic Data'!$A$3:$E$56,5,0),"")</f>
        <v>2.564102564102564E-2</v>
      </c>
      <c r="K263" s="105">
        <v>402</v>
      </c>
      <c r="L263" s="39" t="str">
        <f>IFERROR(VLOOKUP(Table6[[#This Row],[Error Code]],'Basic Data'!$T:$U,2,0),"")</f>
        <v>Gearbox Oil Level Low</v>
      </c>
      <c r="M263" s="346" t="s">
        <v>462</v>
      </c>
      <c r="N263" s="39" t="s">
        <v>1270</v>
      </c>
      <c r="O263" s="347">
        <v>0.2361111111111111</v>
      </c>
      <c r="P263" s="347">
        <v>0.2361111111111111</v>
      </c>
      <c r="Q263" s="347">
        <v>0.3888888888888889</v>
      </c>
      <c r="R263" s="348">
        <f>IF(Table6[[#This Row],[Work Start TimeStamp]]="","",(Table6[[#This Row],[Work Start TimeStamp]]-Table6[[#This Row],[Fault Start TimeStamp]])*24)</f>
        <v>0</v>
      </c>
      <c r="S263" s="349">
        <f>(Table6[[#This Row],[Fault Clearance time]]-Table6[[#This Row],[Work Start TimeStamp]])*24</f>
        <v>3.666666666666667</v>
      </c>
      <c r="T263" s="350">
        <f>(Table6[[#This Row],[Fault Clearance time]]-Table6[[#This Row],[Fault Start TimeStamp]])*24</f>
        <v>3.666666666666667</v>
      </c>
      <c r="U263" s="346" t="s">
        <v>493</v>
      </c>
      <c r="V263" s="351" t="s">
        <v>463</v>
      </c>
      <c r="W263" s="338">
        <f>Table6[[#This Row],[Breakdown Time]]*(1/39)</f>
        <v>9.4017094017094016E-2</v>
      </c>
      <c r="X263" s="336" t="s">
        <v>465</v>
      </c>
      <c r="Y263" s="352" t="s">
        <v>149</v>
      </c>
      <c r="Z263" s="105">
        <v>5094</v>
      </c>
      <c r="AA263" s="107">
        <v>778.25000000000011</v>
      </c>
      <c r="AB263" s="105" t="s">
        <v>478</v>
      </c>
    </row>
    <row r="264" spans="1:28">
      <c r="A264" s="105">
        <f t="shared" si="4"/>
        <v>263</v>
      </c>
      <c r="B264" s="107">
        <f>YEAR(Table6[[#This Row],[Date]])+IF(MONTH(Table6[[#This Row],[Date]])&gt;=4,1,0)</f>
        <v>2026</v>
      </c>
      <c r="C264" s="105">
        <f>YEAR(Table6[[#This Row],[Date]])</f>
        <v>2025</v>
      </c>
      <c r="D264" s="105" t="s">
        <v>490</v>
      </c>
      <c r="E264" s="119">
        <f>Table6[[#This Row],[Date]]-DAY(Table6[[#This Row],[Date]])+1</f>
        <v>45748</v>
      </c>
      <c r="F264" s="118">
        <v>45756</v>
      </c>
      <c r="G264" s="105" t="s">
        <v>144</v>
      </c>
      <c r="H264" s="39" t="str">
        <f>_xlfn.XLOOKUP(Table6[[#This Row],[Affected WTG]],'Basic Data'!$A:$A,'Basic Data'!$B:$B)</f>
        <v>PWEGPL</v>
      </c>
      <c r="I264" s="39" t="str">
        <f>_xlfn.XLOOKUP(Table6[[#This Row],[Affected WTG]],'Basic Data'!$A:$A,'Basic Data'!$C:$C)</f>
        <v>MSEDCL</v>
      </c>
      <c r="J264" s="345">
        <f>IFERROR(VLOOKUP(Table6[[#This Row],[Affected WTG]],'Basic Data'!$A$3:$E$56,5,0),"")</f>
        <v>2.564102564102564E-2</v>
      </c>
      <c r="K264" s="105" t="s">
        <v>492</v>
      </c>
      <c r="L264" s="39" t="str">
        <f>IFERROR(VLOOKUP(Table6[[#This Row],[Error Code]],'Basic Data'!$T:$U,2,0),"")</f>
        <v>Manual Stop - Safety Related</v>
      </c>
      <c r="M264" s="346" t="s">
        <v>481</v>
      </c>
      <c r="N264" s="39" t="s">
        <v>1269</v>
      </c>
      <c r="O264" s="347">
        <v>0</v>
      </c>
      <c r="P264" s="347">
        <v>0.99930555555555556</v>
      </c>
      <c r="Q264" s="347">
        <v>0.99930555555555556</v>
      </c>
      <c r="R264" s="348">
        <f>IF(Table6[[#This Row],[Work Start TimeStamp]]="","",(Table6[[#This Row],[Work Start TimeStamp]]-Table6[[#This Row],[Fault Start TimeStamp]])*24)</f>
        <v>23.983333333333334</v>
      </c>
      <c r="S264" s="349">
        <f>(Table6[[#This Row],[Fault Clearance time]]-Table6[[#This Row],[Work Start TimeStamp]])*24</f>
        <v>0</v>
      </c>
      <c r="T264" s="350">
        <f>(Table6[[#This Row],[Fault Clearance time]]-Table6[[#This Row],[Fault Start TimeStamp]])*24</f>
        <v>23.983333333333334</v>
      </c>
      <c r="U264" s="346" t="s">
        <v>498</v>
      </c>
      <c r="V264" s="351" t="s">
        <v>473</v>
      </c>
      <c r="W264" s="338">
        <f>Table6[[#This Row],[Breakdown Time]]*(1/39)</f>
        <v>0.61495726495726499</v>
      </c>
      <c r="X264" s="336" t="s">
        <v>468</v>
      </c>
      <c r="Y264" s="352" t="s">
        <v>141</v>
      </c>
      <c r="Z264" s="105">
        <v>8908</v>
      </c>
      <c r="AA264" s="107">
        <v>8901.8138888888898</v>
      </c>
      <c r="AB264" s="105" t="s">
        <v>478</v>
      </c>
    </row>
    <row r="265" spans="1:28">
      <c r="A265" s="105">
        <f t="shared" si="4"/>
        <v>264</v>
      </c>
      <c r="B265" s="107">
        <f>YEAR(Table6[[#This Row],[Date]])+IF(MONTH(Table6[[#This Row],[Date]])&gt;=4,1,0)</f>
        <v>2026</v>
      </c>
      <c r="C265" s="105">
        <f>YEAR(Table6[[#This Row],[Date]])</f>
        <v>2025</v>
      </c>
      <c r="D265" s="105" t="s">
        <v>490</v>
      </c>
      <c r="E265" s="119">
        <f>Table6[[#This Row],[Date]]-DAY(Table6[[#This Row],[Date]])+1</f>
        <v>45748</v>
      </c>
      <c r="F265" s="118">
        <v>45756</v>
      </c>
      <c r="G265" s="105" t="s">
        <v>142</v>
      </c>
      <c r="H265" s="39" t="str">
        <f>_xlfn.XLOOKUP(Table6[[#This Row],[Affected WTG]],'Basic Data'!$A:$A,'Basic Data'!$B:$B)</f>
        <v>PWEGPL</v>
      </c>
      <c r="I265" s="39" t="str">
        <f>_xlfn.XLOOKUP(Table6[[#This Row],[Affected WTG]],'Basic Data'!$A:$A,'Basic Data'!$C:$C)</f>
        <v>MSEDCL</v>
      </c>
      <c r="J265" s="345">
        <f>IFERROR(VLOOKUP(Table6[[#This Row],[Affected WTG]],'Basic Data'!$A$3:$E$56,5,0),"")</f>
        <v>2.564102564102564E-2</v>
      </c>
      <c r="K265" s="105" t="s">
        <v>492</v>
      </c>
      <c r="L265" s="39" t="str">
        <f>IFERROR(VLOOKUP(Table6[[#This Row],[Error Code]],'Basic Data'!$T:$U,2,0),"")</f>
        <v>Manual Stop - Safety Related</v>
      </c>
      <c r="M265" s="346" t="s">
        <v>481</v>
      </c>
      <c r="N265" s="39" t="s">
        <v>1269</v>
      </c>
      <c r="O265" s="347">
        <v>0</v>
      </c>
      <c r="P265" s="347">
        <v>0.99930555555555556</v>
      </c>
      <c r="Q265" s="347">
        <v>0.99930555555555556</v>
      </c>
      <c r="R265" s="348">
        <f>IF(Table6[[#This Row],[Work Start TimeStamp]]="","",(Table6[[#This Row],[Work Start TimeStamp]]-Table6[[#This Row],[Fault Start TimeStamp]])*24)</f>
        <v>23.983333333333334</v>
      </c>
      <c r="S265" s="349">
        <f>(Table6[[#This Row],[Fault Clearance time]]-Table6[[#This Row],[Work Start TimeStamp]])*24</f>
        <v>0</v>
      </c>
      <c r="T265" s="350">
        <f>(Table6[[#This Row],[Fault Clearance time]]-Table6[[#This Row],[Fault Start TimeStamp]])*24</f>
        <v>23.983333333333334</v>
      </c>
      <c r="U265" s="346" t="s">
        <v>498</v>
      </c>
      <c r="V265" s="351" t="s">
        <v>473</v>
      </c>
      <c r="W265" s="338">
        <f>Table6[[#This Row],[Breakdown Time]]*(1/39)</f>
        <v>0.61495726495726499</v>
      </c>
      <c r="X265" s="336" t="s">
        <v>468</v>
      </c>
      <c r="Y265" s="352" t="s">
        <v>141</v>
      </c>
      <c r="Z265" s="105">
        <v>8908</v>
      </c>
      <c r="AA265" s="107">
        <v>8901.8138888888898</v>
      </c>
      <c r="AB265" s="105" t="s">
        <v>478</v>
      </c>
    </row>
    <row r="266" spans="1:28">
      <c r="A266" s="105">
        <f t="shared" si="4"/>
        <v>265</v>
      </c>
      <c r="B266" s="107">
        <f>YEAR(Table6[[#This Row],[Date]])+IF(MONTH(Table6[[#This Row],[Date]])&gt;=4,1,0)</f>
        <v>2026</v>
      </c>
      <c r="C266" s="105">
        <f>YEAR(Table6[[#This Row],[Date]])</f>
        <v>2025</v>
      </c>
      <c r="D266" s="105" t="s">
        <v>490</v>
      </c>
      <c r="E266" s="119">
        <f>Table6[[#This Row],[Date]]-DAY(Table6[[#This Row],[Date]])+1</f>
        <v>45748</v>
      </c>
      <c r="F266" s="118">
        <v>45756</v>
      </c>
      <c r="G266" s="105" t="s">
        <v>115</v>
      </c>
      <c r="H266" s="39" t="str">
        <f>_xlfn.XLOOKUP(Table6[[#This Row],[Affected WTG]],'Basic Data'!$A:$A,'Basic Data'!$B:$B)</f>
        <v>PWEGPL</v>
      </c>
      <c r="I266" s="39" t="str">
        <f>_xlfn.XLOOKUP(Table6[[#This Row],[Affected WTG]],'Basic Data'!$A:$A,'Basic Data'!$C:$C)</f>
        <v>MSEDCL</v>
      </c>
      <c r="J266" s="345">
        <f>IFERROR(VLOOKUP(Table6[[#This Row],[Affected WTG]],'Basic Data'!$A$3:$E$56,5,0),"")</f>
        <v>2.564102564102564E-2</v>
      </c>
      <c r="K266" s="105">
        <v>203</v>
      </c>
      <c r="L266" s="39" t="str">
        <f>IFERROR(VLOOKUP(Table6[[#This Row],[Error Code]],'Basic Data'!$T:$U,2,0),"")</f>
        <v>Low Pressure On Hydraulic Group</v>
      </c>
      <c r="M266" s="346" t="s">
        <v>462</v>
      </c>
      <c r="N266" s="39" t="s">
        <v>1270</v>
      </c>
      <c r="O266" s="347">
        <v>0.43402777777777779</v>
      </c>
      <c r="P266" s="347">
        <v>0.43402777777777779</v>
      </c>
      <c r="Q266" s="347">
        <v>0.4375</v>
      </c>
      <c r="R266" s="348">
        <f>IF(Table6[[#This Row],[Work Start TimeStamp]]="","",(Table6[[#This Row],[Work Start TimeStamp]]-Table6[[#This Row],[Fault Start TimeStamp]])*24)</f>
        <v>0</v>
      </c>
      <c r="S266" s="349">
        <f>(Table6[[#This Row],[Fault Clearance time]]-Table6[[#This Row],[Work Start TimeStamp]])*24</f>
        <v>8.3333333333333037E-2</v>
      </c>
      <c r="T266" s="350">
        <f>(Table6[[#This Row],[Fault Clearance time]]-Table6[[#This Row],[Fault Start TimeStamp]])*24</f>
        <v>8.3333333333333037E-2</v>
      </c>
      <c r="U266" s="346" t="s">
        <v>480</v>
      </c>
      <c r="V266" s="351" t="s">
        <v>463</v>
      </c>
      <c r="W266" s="338">
        <f>Table6[[#This Row],[Breakdown Time]]*(1/39)</f>
        <v>2.1367521367521292E-3</v>
      </c>
      <c r="X266" s="336" t="s">
        <v>465</v>
      </c>
      <c r="Y266" s="352" t="s">
        <v>121</v>
      </c>
      <c r="Z266" s="105">
        <v>9460</v>
      </c>
      <c r="AA266" s="107">
        <v>32.847222222222108</v>
      </c>
      <c r="AB266" s="105" t="s">
        <v>478</v>
      </c>
    </row>
    <row r="267" spans="1:28">
      <c r="A267" s="105">
        <f t="shared" si="4"/>
        <v>266</v>
      </c>
      <c r="B267" s="107">
        <f>YEAR(Table6[[#This Row],[Date]])+IF(MONTH(Table6[[#This Row],[Date]])&gt;=4,1,0)</f>
        <v>2026</v>
      </c>
      <c r="C267" s="105">
        <f>YEAR(Table6[[#This Row],[Date]])</f>
        <v>2025</v>
      </c>
      <c r="D267" s="105" t="s">
        <v>490</v>
      </c>
      <c r="E267" s="119">
        <f>Table6[[#This Row],[Date]]-DAY(Table6[[#This Row],[Date]])+1</f>
        <v>45748</v>
      </c>
      <c r="F267" s="118">
        <v>45756</v>
      </c>
      <c r="G267" s="105" t="s">
        <v>118</v>
      </c>
      <c r="H267" s="39" t="str">
        <f>_xlfn.XLOOKUP(Table6[[#This Row],[Affected WTG]],'Basic Data'!$A:$A,'Basic Data'!$B:$B)</f>
        <v>PWEGPL</v>
      </c>
      <c r="I267" s="39" t="str">
        <f>_xlfn.XLOOKUP(Table6[[#This Row],[Affected WTG]],'Basic Data'!$A:$A,'Basic Data'!$C:$C)</f>
        <v>MSEDCL</v>
      </c>
      <c r="J267" s="345">
        <f>IFERROR(VLOOKUP(Table6[[#This Row],[Affected WTG]],'Basic Data'!$A$3:$E$56,5,0),"")</f>
        <v>2.564102564102564E-2</v>
      </c>
      <c r="K267" s="105">
        <v>5200</v>
      </c>
      <c r="L267" s="39" t="str">
        <f>IFERROR(VLOOKUP(Table6[[#This Row],[Error Code]],'Basic Data'!$T:$U,2,0),"")</f>
        <v>Magnetothermic Trigger Of The Line Protection</v>
      </c>
      <c r="M267" s="346" t="s">
        <v>462</v>
      </c>
      <c r="N267" s="39" t="s">
        <v>1270</v>
      </c>
      <c r="O267" s="347">
        <v>0</v>
      </c>
      <c r="P267" s="347">
        <v>0</v>
      </c>
      <c r="Q267" s="347">
        <v>2.9166666666666667E-2</v>
      </c>
      <c r="R267" s="348">
        <f>IF(Table6[[#This Row],[Work Start TimeStamp]]="","",(Table6[[#This Row],[Work Start TimeStamp]]-Table6[[#This Row],[Fault Start TimeStamp]])*24)</f>
        <v>0</v>
      </c>
      <c r="S267" s="349">
        <f>(Table6[[#This Row],[Fault Clearance time]]-Table6[[#This Row],[Work Start TimeStamp]])*24</f>
        <v>0.7</v>
      </c>
      <c r="T267" s="350">
        <f>(Table6[[#This Row],[Fault Clearance time]]-Table6[[#This Row],[Fault Start TimeStamp]])*24</f>
        <v>0.7</v>
      </c>
      <c r="U267" s="346" t="s">
        <v>493</v>
      </c>
      <c r="V267" s="351" t="s">
        <v>463</v>
      </c>
      <c r="W267" s="338">
        <f>Table6[[#This Row],[Breakdown Time]]*(1/39)</f>
        <v>1.7948717948717947E-2</v>
      </c>
      <c r="X267" s="336" t="s">
        <v>465</v>
      </c>
      <c r="Y267" s="352" t="s">
        <v>117</v>
      </c>
      <c r="Z267" s="105">
        <v>9628</v>
      </c>
      <c r="AA267" s="107">
        <v>280.81666666666666</v>
      </c>
      <c r="AB267" s="105" t="s">
        <v>478</v>
      </c>
    </row>
    <row r="268" spans="1:28">
      <c r="A268" s="105">
        <f t="shared" si="4"/>
        <v>267</v>
      </c>
      <c r="B268" s="107">
        <f>YEAR(Table6[[#This Row],[Date]])+IF(MONTH(Table6[[#This Row],[Date]])&gt;=4,1,0)</f>
        <v>2026</v>
      </c>
      <c r="C268" s="105">
        <f>YEAR(Table6[[#This Row],[Date]])</f>
        <v>2025</v>
      </c>
      <c r="D268" s="105" t="s">
        <v>490</v>
      </c>
      <c r="E268" s="119">
        <f>Table6[[#This Row],[Date]]-DAY(Table6[[#This Row],[Date]])+1</f>
        <v>45748</v>
      </c>
      <c r="F268" s="118">
        <v>45756</v>
      </c>
      <c r="G268" s="105" t="s">
        <v>118</v>
      </c>
      <c r="H268" s="39" t="str">
        <f>_xlfn.XLOOKUP(Table6[[#This Row],[Affected WTG]],'Basic Data'!$A:$A,'Basic Data'!$B:$B)</f>
        <v>PWEGPL</v>
      </c>
      <c r="I268" s="39" t="str">
        <f>_xlfn.XLOOKUP(Table6[[#This Row],[Affected WTG]],'Basic Data'!$A:$A,'Basic Data'!$C:$C)</f>
        <v>MSEDCL</v>
      </c>
      <c r="J268" s="345">
        <f>IFERROR(VLOOKUP(Table6[[#This Row],[Affected WTG]],'Basic Data'!$A$3:$E$56,5,0),"")</f>
        <v>2.564102564102564E-2</v>
      </c>
      <c r="K268" s="105">
        <v>208</v>
      </c>
      <c r="L268" s="39" t="str">
        <f>IFERROR(VLOOKUP(Table6[[#This Row],[Error Code]],'Basic Data'!$T:$U,2,0),"")</f>
        <v>HU Pump Drive Failure</v>
      </c>
      <c r="M268" s="346" t="s">
        <v>462</v>
      </c>
      <c r="N268" s="39" t="s">
        <v>1270</v>
      </c>
      <c r="O268" s="347">
        <v>0.31944444444444442</v>
      </c>
      <c r="P268" s="347">
        <v>0.47152777777777777</v>
      </c>
      <c r="Q268" s="347">
        <v>0.4826388888888889</v>
      </c>
      <c r="R268" s="348">
        <f>IF(Table6[[#This Row],[Work Start TimeStamp]]="","",(Table6[[#This Row],[Work Start TimeStamp]]-Table6[[#This Row],[Fault Start TimeStamp]])*24)</f>
        <v>3.6500000000000004</v>
      </c>
      <c r="S268" s="349">
        <f>(Table6[[#This Row],[Fault Clearance time]]-Table6[[#This Row],[Work Start TimeStamp]])*24</f>
        <v>0.26666666666666705</v>
      </c>
      <c r="T268" s="350">
        <f>(Table6[[#This Row],[Fault Clearance time]]-Table6[[#This Row],[Fault Start TimeStamp]])*24</f>
        <v>3.9166666666666674</v>
      </c>
      <c r="U268" s="346" t="s">
        <v>539</v>
      </c>
      <c r="V268" s="351" t="s">
        <v>463</v>
      </c>
      <c r="W268" s="338">
        <f>Table6[[#This Row],[Breakdown Time]]*(1/39)</f>
        <v>0.10042735042735045</v>
      </c>
      <c r="X268" s="336" t="s">
        <v>465</v>
      </c>
      <c r="Y268" s="352" t="s">
        <v>117</v>
      </c>
      <c r="Z268" s="105">
        <v>9628</v>
      </c>
      <c r="AA268" s="107">
        <v>1571.2361111111115</v>
      </c>
      <c r="AB268" s="105" t="s">
        <v>478</v>
      </c>
    </row>
    <row r="269" spans="1:28">
      <c r="A269" s="105">
        <f t="shared" si="4"/>
        <v>268</v>
      </c>
      <c r="B269" s="107">
        <f>YEAR(Table6[[#This Row],[Date]])+IF(MONTH(Table6[[#This Row],[Date]])&gt;=4,1,0)</f>
        <v>2026</v>
      </c>
      <c r="C269" s="105">
        <f>YEAR(Table6[[#This Row],[Date]])</f>
        <v>2025</v>
      </c>
      <c r="D269" s="105" t="s">
        <v>490</v>
      </c>
      <c r="E269" s="119">
        <f>Table6[[#This Row],[Date]]-DAY(Table6[[#This Row],[Date]])+1</f>
        <v>45748</v>
      </c>
      <c r="F269" s="118">
        <v>45756</v>
      </c>
      <c r="G269" s="105" t="s">
        <v>123</v>
      </c>
      <c r="H269" s="39" t="str">
        <f>_xlfn.XLOOKUP(Table6[[#This Row],[Affected WTG]],'Basic Data'!$A:$A,'Basic Data'!$B:$B)</f>
        <v>PWEGPL</v>
      </c>
      <c r="I269" s="39" t="str">
        <f>_xlfn.XLOOKUP(Table6[[#This Row],[Affected WTG]],'Basic Data'!$A:$A,'Basic Data'!$C:$C)</f>
        <v>MSEDCL</v>
      </c>
      <c r="J269" s="345">
        <f>IFERROR(VLOOKUP(Table6[[#This Row],[Affected WTG]],'Basic Data'!$A$3:$E$56,5,0),"")</f>
        <v>2.564102564102564E-2</v>
      </c>
      <c r="K269" s="105">
        <v>5203</v>
      </c>
      <c r="L269" s="39" t="str">
        <f>IFERROR(VLOOKUP(Table6[[#This Row],[Error Code]],'Basic Data'!$T:$U,2,0),"")</f>
        <v>Heating/Coolant Thermal Magnetic Failure</v>
      </c>
      <c r="M269" s="346" t="s">
        <v>462</v>
      </c>
      <c r="N269" s="39" t="s">
        <v>1270</v>
      </c>
      <c r="O269" s="347">
        <v>0</v>
      </c>
      <c r="P269" s="347">
        <v>0</v>
      </c>
      <c r="Q269" s="347">
        <v>9.3055555555555558E-2</v>
      </c>
      <c r="R269" s="348">
        <f>IF(Table6[[#This Row],[Work Start TimeStamp]]="","",(Table6[[#This Row],[Work Start TimeStamp]]-Table6[[#This Row],[Fault Start TimeStamp]])*24)</f>
        <v>0</v>
      </c>
      <c r="S269" s="349">
        <f>(Table6[[#This Row],[Fault Clearance time]]-Table6[[#This Row],[Work Start TimeStamp]])*24</f>
        <v>2.2333333333333334</v>
      </c>
      <c r="T269" s="350">
        <f>(Table6[[#This Row],[Fault Clearance time]]-Table6[[#This Row],[Fault Start TimeStamp]])*24</f>
        <v>2.2333333333333334</v>
      </c>
      <c r="U269" s="346" t="s">
        <v>540</v>
      </c>
      <c r="V269" s="351" t="s">
        <v>463</v>
      </c>
      <c r="W269" s="338">
        <f>Table6[[#This Row],[Breakdown Time]]*(1/39)</f>
        <v>5.7264957264957263E-2</v>
      </c>
      <c r="X269" s="336" t="s">
        <v>465</v>
      </c>
      <c r="Y269" s="352" t="s">
        <v>126</v>
      </c>
      <c r="Z269" s="105">
        <v>9350</v>
      </c>
      <c r="AA269" s="107">
        <v>870.06944444444446</v>
      </c>
      <c r="AB269" s="105" t="s">
        <v>478</v>
      </c>
    </row>
    <row r="270" spans="1:28">
      <c r="A270" s="105">
        <f t="shared" si="4"/>
        <v>269</v>
      </c>
      <c r="B270" s="107">
        <f>YEAR(Table6[[#This Row],[Date]])+IF(MONTH(Table6[[#This Row],[Date]])&gt;=4,1,0)</f>
        <v>2026</v>
      </c>
      <c r="C270" s="105">
        <f>YEAR(Table6[[#This Row],[Date]])</f>
        <v>2025</v>
      </c>
      <c r="D270" s="105" t="s">
        <v>490</v>
      </c>
      <c r="E270" s="119">
        <f>Table6[[#This Row],[Date]]-DAY(Table6[[#This Row],[Date]])+1</f>
        <v>45748</v>
      </c>
      <c r="F270" s="118">
        <v>45756</v>
      </c>
      <c r="G270" s="105" t="s">
        <v>124</v>
      </c>
      <c r="H270" s="39" t="str">
        <f>_xlfn.XLOOKUP(Table6[[#This Row],[Affected WTG]],'Basic Data'!$A:$A,'Basic Data'!$B:$B)</f>
        <v>PWEGPL</v>
      </c>
      <c r="I270" s="39" t="str">
        <f>_xlfn.XLOOKUP(Table6[[#This Row],[Affected WTG]],'Basic Data'!$A:$A,'Basic Data'!$C:$C)</f>
        <v>MSEDCL</v>
      </c>
      <c r="J270" s="345">
        <f>IFERROR(VLOOKUP(Table6[[#This Row],[Affected WTG]],'Basic Data'!$A$3:$E$56,5,0),"")</f>
        <v>2.564102564102564E-2</v>
      </c>
      <c r="K270" s="105">
        <v>527</v>
      </c>
      <c r="L270" s="39" t="str">
        <f>IFERROR(VLOOKUP(Table6[[#This Row],[Error Code]],'Basic Data'!$T:$U,2,0),"")</f>
        <v>High Temperature Of Upper Radiator</v>
      </c>
      <c r="M270" s="346" t="s">
        <v>462</v>
      </c>
      <c r="N270" s="39" t="s">
        <v>1270</v>
      </c>
      <c r="O270" s="347">
        <v>2.6388888888888889E-2</v>
      </c>
      <c r="P270" s="347">
        <v>2.6388888888888889E-2</v>
      </c>
      <c r="Q270" s="347">
        <v>2.9861111111111113E-2</v>
      </c>
      <c r="R270" s="348">
        <f>IF(Table6[[#This Row],[Work Start TimeStamp]]="","",(Table6[[#This Row],[Work Start TimeStamp]]-Table6[[#This Row],[Fault Start TimeStamp]])*24)</f>
        <v>0</v>
      </c>
      <c r="S270" s="349">
        <f>(Table6[[#This Row],[Fault Clearance time]]-Table6[[#This Row],[Work Start TimeStamp]])*24</f>
        <v>8.333333333333337E-2</v>
      </c>
      <c r="T270" s="350">
        <f>(Table6[[#This Row],[Fault Clearance time]]-Table6[[#This Row],[Fault Start TimeStamp]])*24</f>
        <v>8.333333333333337E-2</v>
      </c>
      <c r="U270" s="346" t="s">
        <v>480</v>
      </c>
      <c r="V270" s="351" t="s">
        <v>463</v>
      </c>
      <c r="W270" s="338">
        <f>Table6[[#This Row],[Breakdown Time]]*(1/39)</f>
        <v>2.1367521367521378E-3</v>
      </c>
      <c r="X270" s="336" t="s">
        <v>465</v>
      </c>
      <c r="Y270" s="352" t="s">
        <v>125</v>
      </c>
      <c r="Z270" s="105">
        <v>12444</v>
      </c>
      <c r="AA270" s="107">
        <v>43.20833333333335</v>
      </c>
      <c r="AB270" s="105" t="s">
        <v>478</v>
      </c>
    </row>
    <row r="271" spans="1:28">
      <c r="A271" s="105">
        <f t="shared" si="4"/>
        <v>270</v>
      </c>
      <c r="B271" s="107">
        <f>YEAR(Table6[[#This Row],[Date]])+IF(MONTH(Table6[[#This Row],[Date]])&gt;=4,1,0)</f>
        <v>2026</v>
      </c>
      <c r="C271" s="105">
        <f>YEAR(Table6[[#This Row],[Date]])</f>
        <v>2025</v>
      </c>
      <c r="D271" s="105" t="s">
        <v>490</v>
      </c>
      <c r="E271" s="119">
        <f>Table6[[#This Row],[Date]]-DAY(Table6[[#This Row],[Date]])+1</f>
        <v>45748</v>
      </c>
      <c r="F271" s="118">
        <v>45756</v>
      </c>
      <c r="G271" s="105" t="s">
        <v>124</v>
      </c>
      <c r="H271" s="39" t="str">
        <f>_xlfn.XLOOKUP(Table6[[#This Row],[Affected WTG]],'Basic Data'!$A:$A,'Basic Data'!$B:$B)</f>
        <v>PWEGPL</v>
      </c>
      <c r="I271" s="39" t="str">
        <f>_xlfn.XLOOKUP(Table6[[#This Row],[Affected WTG]],'Basic Data'!$A:$A,'Basic Data'!$C:$C)</f>
        <v>MSEDCL</v>
      </c>
      <c r="J271" s="345">
        <f>IFERROR(VLOOKUP(Table6[[#This Row],[Affected WTG]],'Basic Data'!$A$3:$E$56,5,0),"")</f>
        <v>2.564102564102564E-2</v>
      </c>
      <c r="K271" s="105">
        <v>205</v>
      </c>
      <c r="L271" s="39" t="str">
        <f>IFERROR(VLOOKUP(Table6[[#This Row],[Error Code]],'Basic Data'!$T:$U,2,0),"")</f>
        <v>Low Level Hydraulic Group Refrigeration Oil</v>
      </c>
      <c r="M271" s="346" t="s">
        <v>462</v>
      </c>
      <c r="N271" s="39" t="s">
        <v>1270</v>
      </c>
      <c r="O271" s="347">
        <v>0.31944444444444442</v>
      </c>
      <c r="P271" s="347">
        <v>0.47152777777777777</v>
      </c>
      <c r="Q271" s="347">
        <v>0.47361111111111109</v>
      </c>
      <c r="R271" s="348">
        <f>IF(Table6[[#This Row],[Work Start TimeStamp]]="","",(Table6[[#This Row],[Work Start TimeStamp]]-Table6[[#This Row],[Fault Start TimeStamp]])*24)</f>
        <v>3.6500000000000004</v>
      </c>
      <c r="S271" s="349">
        <f>(Table6[[#This Row],[Fault Clearance time]]-Table6[[#This Row],[Work Start TimeStamp]])*24</f>
        <v>4.9999999999999822E-2</v>
      </c>
      <c r="T271" s="350">
        <f>(Table6[[#This Row],[Fault Clearance time]]-Table6[[#This Row],[Fault Start TimeStamp]])*24</f>
        <v>3.7</v>
      </c>
      <c r="U271" s="346" t="s">
        <v>493</v>
      </c>
      <c r="V271" s="351" t="s">
        <v>463</v>
      </c>
      <c r="W271" s="338">
        <f>Table6[[#This Row],[Breakdown Time]]*(1/39)</f>
        <v>9.4871794871794868E-2</v>
      </c>
      <c r="X271" s="336" t="s">
        <v>465</v>
      </c>
      <c r="Y271" s="352" t="s">
        <v>125</v>
      </c>
      <c r="Z271" s="105">
        <v>12444</v>
      </c>
      <c r="AA271" s="107">
        <v>1918.45</v>
      </c>
      <c r="AB271" s="105" t="s">
        <v>478</v>
      </c>
    </row>
    <row r="272" spans="1:28">
      <c r="A272" s="105">
        <f t="shared" si="4"/>
        <v>271</v>
      </c>
      <c r="B272" s="107">
        <f>YEAR(Table6[[#This Row],[Date]])+IF(MONTH(Table6[[#This Row],[Date]])&gt;=4,1,0)</f>
        <v>2026</v>
      </c>
      <c r="C272" s="105">
        <f>YEAR(Table6[[#This Row],[Date]])</f>
        <v>2025</v>
      </c>
      <c r="D272" s="105" t="s">
        <v>490</v>
      </c>
      <c r="E272" s="119">
        <f>Table6[[#This Row],[Date]]-DAY(Table6[[#This Row],[Date]])+1</f>
        <v>45748</v>
      </c>
      <c r="F272" s="118">
        <v>45756</v>
      </c>
      <c r="G272" s="105" t="s">
        <v>126</v>
      </c>
      <c r="H272" s="39" t="str">
        <f>_xlfn.XLOOKUP(Table6[[#This Row],[Affected WTG]],'Basic Data'!$A:$A,'Basic Data'!$B:$B)</f>
        <v>PWEGPL</v>
      </c>
      <c r="I272" s="39" t="str">
        <f>_xlfn.XLOOKUP(Table6[[#This Row],[Affected WTG]],'Basic Data'!$A:$A,'Basic Data'!$C:$C)</f>
        <v>MSEDCL</v>
      </c>
      <c r="J272" s="345">
        <f>IFERROR(VLOOKUP(Table6[[#This Row],[Affected WTG]],'Basic Data'!$A$3:$E$56,5,0),"")</f>
        <v>2.564102564102564E-2</v>
      </c>
      <c r="K272" s="105">
        <v>203</v>
      </c>
      <c r="L272" s="39" t="str">
        <f>IFERROR(VLOOKUP(Table6[[#This Row],[Error Code]],'Basic Data'!$T:$U,2,0),"")</f>
        <v>Low Pressure On Hydraulic Group</v>
      </c>
      <c r="M272" s="346" t="s">
        <v>462</v>
      </c>
      <c r="N272" s="39" t="s">
        <v>1270</v>
      </c>
      <c r="O272" s="347">
        <v>0.57847222222222228</v>
      </c>
      <c r="P272" s="347">
        <v>0.57847222222222228</v>
      </c>
      <c r="Q272" s="347">
        <v>0.5854166666666667</v>
      </c>
      <c r="R272" s="348">
        <f>IF(Table6[[#This Row],[Work Start TimeStamp]]="","",(Table6[[#This Row],[Work Start TimeStamp]]-Table6[[#This Row],[Fault Start TimeStamp]])*24)</f>
        <v>0</v>
      </c>
      <c r="S272" s="349">
        <f>(Table6[[#This Row],[Fault Clearance time]]-Table6[[#This Row],[Work Start TimeStamp]])*24</f>
        <v>0.16666666666666607</v>
      </c>
      <c r="T272" s="350">
        <f>(Table6[[#This Row],[Fault Clearance time]]-Table6[[#This Row],[Fault Start TimeStamp]])*24</f>
        <v>0.16666666666666607</v>
      </c>
      <c r="U272" s="346" t="s">
        <v>480</v>
      </c>
      <c r="V272" s="351" t="s">
        <v>463</v>
      </c>
      <c r="W272" s="338">
        <f>Table6[[#This Row],[Breakdown Time]]*(1/39)</f>
        <v>4.2735042735042583E-3</v>
      </c>
      <c r="X272" s="336" t="s">
        <v>465</v>
      </c>
      <c r="Y272" s="352" t="s">
        <v>127</v>
      </c>
      <c r="Z272" s="105">
        <v>8102</v>
      </c>
      <c r="AA272" s="107">
        <v>56.263888888888687</v>
      </c>
      <c r="AB272" s="105" t="s">
        <v>478</v>
      </c>
    </row>
    <row r="273" spans="1:28">
      <c r="A273" s="105">
        <f t="shared" si="4"/>
        <v>272</v>
      </c>
      <c r="B273" s="107">
        <f>YEAR(Table6[[#This Row],[Date]])+IF(MONTH(Table6[[#This Row],[Date]])&gt;=4,1,0)</f>
        <v>2026</v>
      </c>
      <c r="C273" s="105">
        <f>YEAR(Table6[[#This Row],[Date]])</f>
        <v>2025</v>
      </c>
      <c r="D273" s="105" t="s">
        <v>490</v>
      </c>
      <c r="E273" s="119">
        <f>Table6[[#This Row],[Date]]-DAY(Table6[[#This Row],[Date]])+1</f>
        <v>45748</v>
      </c>
      <c r="F273" s="118">
        <v>45756</v>
      </c>
      <c r="G273" s="105" t="s">
        <v>129</v>
      </c>
      <c r="H273" s="39" t="str">
        <f>_xlfn.XLOOKUP(Table6[[#This Row],[Affected WTG]],'Basic Data'!$A:$A,'Basic Data'!$B:$B)</f>
        <v>PWEGPL</v>
      </c>
      <c r="I273" s="39" t="str">
        <f>_xlfn.XLOOKUP(Table6[[#This Row],[Affected WTG]],'Basic Data'!$A:$A,'Basic Data'!$C:$C)</f>
        <v>MSEDCL</v>
      </c>
      <c r="J273" s="345">
        <f>IFERROR(VLOOKUP(Table6[[#This Row],[Affected WTG]],'Basic Data'!$A$3:$E$56,5,0),"")</f>
        <v>2.564102564102564E-2</v>
      </c>
      <c r="K273" s="105">
        <v>502</v>
      </c>
      <c r="L273" s="39" t="str">
        <f>IFERROR(VLOOKUP(Table6[[#This Row],[Error Code]],'Basic Data'!$T:$U,2,0),"")</f>
        <v>Generator NDE Bearing High Temperature Alarm</v>
      </c>
      <c r="M273" s="346" t="s">
        <v>462</v>
      </c>
      <c r="N273" s="39" t="s">
        <v>1270</v>
      </c>
      <c r="O273" s="347">
        <v>0.20972222222222223</v>
      </c>
      <c r="P273" s="347">
        <v>0.20972222222222223</v>
      </c>
      <c r="Q273" s="347">
        <v>0.21319444444444444</v>
      </c>
      <c r="R273" s="348">
        <f>IF(Table6[[#This Row],[Work Start TimeStamp]]="","",(Table6[[#This Row],[Work Start TimeStamp]]-Table6[[#This Row],[Fault Start TimeStamp]])*24)</f>
        <v>0</v>
      </c>
      <c r="S273" s="349">
        <f>(Table6[[#This Row],[Fault Clearance time]]-Table6[[#This Row],[Work Start TimeStamp]])*24</f>
        <v>8.3333333333333037E-2</v>
      </c>
      <c r="T273" s="350">
        <f>(Table6[[#This Row],[Fault Clearance time]]-Table6[[#This Row],[Fault Start TimeStamp]])*24</f>
        <v>8.3333333333333037E-2</v>
      </c>
      <c r="U273" s="346" t="s">
        <v>480</v>
      </c>
      <c r="V273" s="351" t="s">
        <v>463</v>
      </c>
      <c r="W273" s="338">
        <f>Table6[[#This Row],[Breakdown Time]]*(1/39)</f>
        <v>2.1367521367521292E-3</v>
      </c>
      <c r="X273" s="336" t="s">
        <v>465</v>
      </c>
      <c r="Y273" s="352" t="s">
        <v>128</v>
      </c>
      <c r="Z273" s="105">
        <v>10392</v>
      </c>
      <c r="AA273" s="107">
        <v>36.083333333333208</v>
      </c>
      <c r="AB273" s="105" t="s">
        <v>478</v>
      </c>
    </row>
    <row r="274" spans="1:28">
      <c r="A274" s="105">
        <f t="shared" si="4"/>
        <v>273</v>
      </c>
      <c r="B274" s="107">
        <f>YEAR(Table6[[#This Row],[Date]])+IF(MONTH(Table6[[#This Row],[Date]])&gt;=4,1,0)</f>
        <v>2026</v>
      </c>
      <c r="C274" s="105">
        <f>YEAR(Table6[[#This Row],[Date]])</f>
        <v>2025</v>
      </c>
      <c r="D274" s="105" t="s">
        <v>490</v>
      </c>
      <c r="E274" s="119">
        <f>Table6[[#This Row],[Date]]-DAY(Table6[[#This Row],[Date]])+1</f>
        <v>45748</v>
      </c>
      <c r="F274" s="118">
        <v>45756</v>
      </c>
      <c r="G274" s="105" t="s">
        <v>130</v>
      </c>
      <c r="H274" s="39" t="str">
        <f>_xlfn.XLOOKUP(Table6[[#This Row],[Affected WTG]],'Basic Data'!$A:$A,'Basic Data'!$B:$B)</f>
        <v>PWEGPL</v>
      </c>
      <c r="I274" s="39" t="str">
        <f>_xlfn.XLOOKUP(Table6[[#This Row],[Affected WTG]],'Basic Data'!$A:$A,'Basic Data'!$C:$C)</f>
        <v>MSEDCL</v>
      </c>
      <c r="J274" s="345">
        <f>IFERROR(VLOOKUP(Table6[[#This Row],[Affected WTG]],'Basic Data'!$A$3:$E$56,5,0),"")</f>
        <v>2.564102564102564E-2</v>
      </c>
      <c r="K274" s="105">
        <v>5248</v>
      </c>
      <c r="L274" s="39" t="str">
        <f>IFERROR(VLOOKUP(Table6[[#This Row],[Error Code]],'Basic Data'!$T:$U,2,0),"")</f>
        <v>Active Crowbar IGBT Errors</v>
      </c>
      <c r="M274" s="346" t="s">
        <v>462</v>
      </c>
      <c r="N274" s="39" t="s">
        <v>1270</v>
      </c>
      <c r="O274" s="347">
        <v>0</v>
      </c>
      <c r="P274" s="347">
        <v>0</v>
      </c>
      <c r="Q274" s="347">
        <v>0.78749999999999998</v>
      </c>
      <c r="R274" s="348">
        <f>IF(Table6[[#This Row],[Work Start TimeStamp]]="","",(Table6[[#This Row],[Work Start TimeStamp]]-Table6[[#This Row],[Fault Start TimeStamp]])*24)</f>
        <v>0</v>
      </c>
      <c r="S274" s="349">
        <f>(Table6[[#This Row],[Fault Clearance time]]-Table6[[#This Row],[Work Start TimeStamp]])*24</f>
        <v>18.899999999999999</v>
      </c>
      <c r="T274" s="350">
        <f>(Table6[[#This Row],[Fault Clearance time]]-Table6[[#This Row],[Fault Start TimeStamp]])*24</f>
        <v>18.899999999999999</v>
      </c>
      <c r="U274" s="346" t="s">
        <v>541</v>
      </c>
      <c r="V274" s="351" t="s">
        <v>463</v>
      </c>
      <c r="W274" s="338">
        <f>Table6[[#This Row],[Breakdown Time]]*(1/39)</f>
        <v>0.48461538461538456</v>
      </c>
      <c r="X274" s="336" t="s">
        <v>465</v>
      </c>
      <c r="Y274" s="352" t="s">
        <v>131</v>
      </c>
      <c r="Z274" s="105">
        <v>12986</v>
      </c>
      <c r="AA274" s="107">
        <v>10226.475</v>
      </c>
      <c r="AB274" s="105" t="s">
        <v>542</v>
      </c>
    </row>
    <row r="275" spans="1:28">
      <c r="A275" s="105">
        <f t="shared" si="4"/>
        <v>274</v>
      </c>
      <c r="B275" s="107">
        <f>YEAR(Table6[[#This Row],[Date]])+IF(MONTH(Table6[[#This Row],[Date]])&gt;=4,1,0)</f>
        <v>2026</v>
      </c>
      <c r="C275" s="105">
        <f>YEAR(Table6[[#This Row],[Date]])</f>
        <v>2025</v>
      </c>
      <c r="D275" s="105" t="s">
        <v>490</v>
      </c>
      <c r="E275" s="119">
        <f>Table6[[#This Row],[Date]]-DAY(Table6[[#This Row],[Date]])+1</f>
        <v>45748</v>
      </c>
      <c r="F275" s="118">
        <v>45756</v>
      </c>
      <c r="G275" s="105" t="s">
        <v>132</v>
      </c>
      <c r="H275" s="39" t="str">
        <f>_xlfn.XLOOKUP(Table6[[#This Row],[Affected WTG]],'Basic Data'!$A:$A,'Basic Data'!$B:$B)</f>
        <v>PWEGPL</v>
      </c>
      <c r="I275" s="39" t="str">
        <f>_xlfn.XLOOKUP(Table6[[#This Row],[Affected WTG]],'Basic Data'!$A:$A,'Basic Data'!$C:$C)</f>
        <v>MSEDCL</v>
      </c>
      <c r="J275" s="345">
        <f>IFERROR(VLOOKUP(Table6[[#This Row],[Affected WTG]],'Basic Data'!$A$3:$E$56,5,0),"")</f>
        <v>2.564102564102564E-2</v>
      </c>
      <c r="K275" s="105">
        <v>502</v>
      </c>
      <c r="L275" s="39" t="str">
        <f>IFERROR(VLOOKUP(Table6[[#This Row],[Error Code]],'Basic Data'!$T:$U,2,0),"")</f>
        <v>Generator NDE Bearing High Temperature Alarm</v>
      </c>
      <c r="M275" s="346" t="s">
        <v>462</v>
      </c>
      <c r="N275" s="39" t="s">
        <v>1270</v>
      </c>
      <c r="O275" s="347">
        <v>6.9444444444444448E-2</v>
      </c>
      <c r="P275" s="347">
        <v>6.9444444444444448E-2</v>
      </c>
      <c r="Q275" s="347">
        <v>7.2916666666666671E-2</v>
      </c>
      <c r="R275" s="348">
        <f>IF(Table6[[#This Row],[Work Start TimeStamp]]="","",(Table6[[#This Row],[Work Start TimeStamp]]-Table6[[#This Row],[Fault Start TimeStamp]])*24)</f>
        <v>0</v>
      </c>
      <c r="S275" s="349">
        <f>(Table6[[#This Row],[Fault Clearance time]]-Table6[[#This Row],[Work Start TimeStamp]])*24</f>
        <v>8.333333333333337E-2</v>
      </c>
      <c r="T275" s="350">
        <f>(Table6[[#This Row],[Fault Clearance time]]-Table6[[#This Row],[Fault Start TimeStamp]])*24</f>
        <v>8.333333333333337E-2</v>
      </c>
      <c r="U275" s="346" t="s">
        <v>480</v>
      </c>
      <c r="V275" s="351" t="s">
        <v>463</v>
      </c>
      <c r="W275" s="338">
        <f>Table6[[#This Row],[Breakdown Time]]*(1/39)</f>
        <v>2.1367521367521378E-3</v>
      </c>
      <c r="X275" s="336" t="s">
        <v>465</v>
      </c>
      <c r="Y275" s="352" t="s">
        <v>133</v>
      </c>
      <c r="Z275" s="105">
        <v>11728</v>
      </c>
      <c r="AA275" s="107">
        <v>40.722222222222243</v>
      </c>
      <c r="AB275" s="105" t="s">
        <v>478</v>
      </c>
    </row>
    <row r="276" spans="1:28">
      <c r="A276" s="105">
        <f t="shared" si="4"/>
        <v>275</v>
      </c>
      <c r="B276" s="107">
        <f>YEAR(Table6[[#This Row],[Date]])+IF(MONTH(Table6[[#This Row],[Date]])&gt;=4,1,0)</f>
        <v>2026</v>
      </c>
      <c r="C276" s="105">
        <f>YEAR(Table6[[#This Row],[Date]])</f>
        <v>2025</v>
      </c>
      <c r="D276" s="105" t="s">
        <v>490</v>
      </c>
      <c r="E276" s="119">
        <f>Table6[[#This Row],[Date]]-DAY(Table6[[#This Row],[Date]])+1</f>
        <v>45748</v>
      </c>
      <c r="F276" s="118">
        <v>45756</v>
      </c>
      <c r="G276" s="105" t="s">
        <v>132</v>
      </c>
      <c r="H276" s="39" t="str">
        <f>_xlfn.XLOOKUP(Table6[[#This Row],[Affected WTG]],'Basic Data'!$A:$A,'Basic Data'!$B:$B)</f>
        <v>PWEGPL</v>
      </c>
      <c r="I276" s="39" t="str">
        <f>_xlfn.XLOOKUP(Table6[[#This Row],[Affected WTG]],'Basic Data'!$A:$A,'Basic Data'!$C:$C)</f>
        <v>MSEDCL</v>
      </c>
      <c r="J276" s="345">
        <f>IFERROR(VLOOKUP(Table6[[#This Row],[Affected WTG]],'Basic Data'!$A$3:$E$56,5,0),"")</f>
        <v>2.564102564102564E-2</v>
      </c>
      <c r="K276" s="105">
        <v>502</v>
      </c>
      <c r="L276" s="39" t="str">
        <f>IFERROR(VLOOKUP(Table6[[#This Row],[Error Code]],'Basic Data'!$T:$U,2,0),"")</f>
        <v>Generator NDE Bearing High Temperature Alarm</v>
      </c>
      <c r="M276" s="346" t="s">
        <v>462</v>
      </c>
      <c r="N276" s="39" t="s">
        <v>1270</v>
      </c>
      <c r="O276" s="347">
        <v>0.22222222222222221</v>
      </c>
      <c r="P276" s="347">
        <v>0.22222222222222221</v>
      </c>
      <c r="Q276" s="347">
        <v>0.22569444444444445</v>
      </c>
      <c r="R276" s="348">
        <f>IF(Table6[[#This Row],[Work Start TimeStamp]]="","",(Table6[[#This Row],[Work Start TimeStamp]]-Table6[[#This Row],[Fault Start TimeStamp]])*24)</f>
        <v>0</v>
      </c>
      <c r="S276" s="349">
        <f>(Table6[[#This Row],[Fault Clearance time]]-Table6[[#This Row],[Work Start TimeStamp]])*24</f>
        <v>8.3333333333333703E-2</v>
      </c>
      <c r="T276" s="350">
        <f>(Table6[[#This Row],[Fault Clearance time]]-Table6[[#This Row],[Fault Start TimeStamp]])*24</f>
        <v>8.3333333333333703E-2</v>
      </c>
      <c r="U276" s="346" t="s">
        <v>480</v>
      </c>
      <c r="V276" s="351" t="s">
        <v>463</v>
      </c>
      <c r="W276" s="338">
        <f>Table6[[#This Row],[Breakdown Time]]*(1/39)</f>
        <v>2.1367521367521461E-3</v>
      </c>
      <c r="X276" s="336" t="s">
        <v>465</v>
      </c>
      <c r="Y276" s="352" t="s">
        <v>133</v>
      </c>
      <c r="Z276" s="105">
        <v>11728</v>
      </c>
      <c r="AA276" s="107">
        <v>40.722222222222406</v>
      </c>
      <c r="AB276" s="105" t="s">
        <v>478</v>
      </c>
    </row>
    <row r="277" spans="1:28">
      <c r="A277" s="105">
        <f t="shared" si="4"/>
        <v>276</v>
      </c>
      <c r="B277" s="107">
        <f>YEAR(Table6[[#This Row],[Date]])+IF(MONTH(Table6[[#This Row],[Date]])&gt;=4,1,0)</f>
        <v>2026</v>
      </c>
      <c r="C277" s="105">
        <f>YEAR(Table6[[#This Row],[Date]])</f>
        <v>2025</v>
      </c>
      <c r="D277" s="105" t="s">
        <v>490</v>
      </c>
      <c r="E277" s="119">
        <f>Table6[[#This Row],[Date]]-DAY(Table6[[#This Row],[Date]])+1</f>
        <v>45748</v>
      </c>
      <c r="F277" s="118">
        <v>45756</v>
      </c>
      <c r="G277" s="105" t="s">
        <v>133</v>
      </c>
      <c r="H277" s="39" t="str">
        <f>_xlfn.XLOOKUP(Table6[[#This Row],[Affected WTG]],'Basic Data'!$A:$A,'Basic Data'!$B:$B)</f>
        <v>PWEGPL</v>
      </c>
      <c r="I277" s="39" t="str">
        <f>_xlfn.XLOOKUP(Table6[[#This Row],[Affected WTG]],'Basic Data'!$A:$A,'Basic Data'!$C:$C)</f>
        <v>MSEDCL</v>
      </c>
      <c r="J277" s="345">
        <f>IFERROR(VLOOKUP(Table6[[#This Row],[Affected WTG]],'Basic Data'!$A$3:$E$56,5,0),"")</f>
        <v>2.564102564102564E-2</v>
      </c>
      <c r="K277" s="105">
        <v>205</v>
      </c>
      <c r="L277" s="39" t="str">
        <f>IFERROR(VLOOKUP(Table6[[#This Row],[Error Code]],'Basic Data'!$T:$U,2,0),"")</f>
        <v>Low Level Hydraulic Group Refrigeration Oil</v>
      </c>
      <c r="M277" s="346" t="s">
        <v>462</v>
      </c>
      <c r="N277" s="39" t="s">
        <v>1270</v>
      </c>
      <c r="O277" s="347">
        <v>0.39652777777777776</v>
      </c>
      <c r="P277" s="347">
        <v>0.57777777777777772</v>
      </c>
      <c r="Q277" s="347">
        <v>0.57777777777777772</v>
      </c>
      <c r="R277" s="348">
        <f>IF(Table6[[#This Row],[Work Start TimeStamp]]="","",(Table6[[#This Row],[Work Start TimeStamp]]-Table6[[#This Row],[Fault Start TimeStamp]])*24)</f>
        <v>4.3499999999999996</v>
      </c>
      <c r="S277" s="349">
        <f>(Table6[[#This Row],[Fault Clearance time]]-Table6[[#This Row],[Work Start TimeStamp]])*24</f>
        <v>0</v>
      </c>
      <c r="T277" s="350">
        <f>(Table6[[#This Row],[Fault Clearance time]]-Table6[[#This Row],[Fault Start TimeStamp]])*24</f>
        <v>4.3499999999999996</v>
      </c>
      <c r="U277" s="346" t="s">
        <v>493</v>
      </c>
      <c r="V277" s="351" t="s">
        <v>463</v>
      </c>
      <c r="W277" s="338">
        <f>Table6[[#This Row],[Breakdown Time]]*(1/39)</f>
        <v>0.11153846153846153</v>
      </c>
      <c r="X277" s="336" t="s">
        <v>465</v>
      </c>
      <c r="Y277" s="352" t="s">
        <v>134</v>
      </c>
      <c r="Z277" s="105">
        <v>12297</v>
      </c>
      <c r="AA277" s="107">
        <v>2228.8312499999997</v>
      </c>
      <c r="AB277" s="105" t="s">
        <v>478</v>
      </c>
    </row>
    <row r="278" spans="1:28">
      <c r="A278" s="105">
        <f t="shared" si="4"/>
        <v>277</v>
      </c>
      <c r="B278" s="107">
        <f>YEAR(Table6[[#This Row],[Date]])+IF(MONTH(Table6[[#This Row],[Date]])&gt;=4,1,0)</f>
        <v>2026</v>
      </c>
      <c r="C278" s="105">
        <f>YEAR(Table6[[#This Row],[Date]])</f>
        <v>2025</v>
      </c>
      <c r="D278" s="105" t="s">
        <v>490</v>
      </c>
      <c r="E278" s="119">
        <f>Table6[[#This Row],[Date]]-DAY(Table6[[#This Row],[Date]])+1</f>
        <v>45748</v>
      </c>
      <c r="F278" s="118">
        <v>45756</v>
      </c>
      <c r="G278" s="105" t="s">
        <v>136</v>
      </c>
      <c r="H278" s="39" t="str">
        <f>_xlfn.XLOOKUP(Table6[[#This Row],[Affected WTG]],'Basic Data'!$A:$A,'Basic Data'!$B:$B)</f>
        <v>PWEGPL</v>
      </c>
      <c r="I278" s="39" t="str">
        <f>_xlfn.XLOOKUP(Table6[[#This Row],[Affected WTG]],'Basic Data'!$A:$A,'Basic Data'!$C:$C)</f>
        <v>MSEDCL</v>
      </c>
      <c r="J278" s="345">
        <f>IFERROR(VLOOKUP(Table6[[#This Row],[Affected WTG]],'Basic Data'!$A$3:$E$56,5,0),"")</f>
        <v>2.564102564102564E-2</v>
      </c>
      <c r="K278" s="105">
        <v>402</v>
      </c>
      <c r="L278" s="39" t="str">
        <f>IFERROR(VLOOKUP(Table6[[#This Row],[Error Code]],'Basic Data'!$T:$U,2,0),"")</f>
        <v>Gearbox Oil Level Low</v>
      </c>
      <c r="M278" s="346" t="s">
        <v>462</v>
      </c>
      <c r="N278" s="39" t="s">
        <v>1270</v>
      </c>
      <c r="O278" s="347">
        <v>0.2361111111111111</v>
      </c>
      <c r="P278" s="347">
        <v>0.2361111111111111</v>
      </c>
      <c r="Q278" s="347">
        <v>0.35416666666666669</v>
      </c>
      <c r="R278" s="348">
        <f>IF(Table6[[#This Row],[Work Start TimeStamp]]="","",(Table6[[#This Row],[Work Start TimeStamp]]-Table6[[#This Row],[Fault Start TimeStamp]])*24)</f>
        <v>0</v>
      </c>
      <c r="S278" s="349">
        <f>(Table6[[#This Row],[Fault Clearance time]]-Table6[[#This Row],[Work Start TimeStamp]])*24</f>
        <v>2.8333333333333339</v>
      </c>
      <c r="T278" s="350">
        <f>(Table6[[#This Row],[Fault Clearance time]]-Table6[[#This Row],[Fault Start TimeStamp]])*24</f>
        <v>2.8333333333333339</v>
      </c>
      <c r="U278" s="346" t="s">
        <v>493</v>
      </c>
      <c r="V278" s="351" t="s">
        <v>463</v>
      </c>
      <c r="W278" s="338">
        <f>Table6[[#This Row],[Breakdown Time]]*(1/39)</f>
        <v>7.2649572649572669E-2</v>
      </c>
      <c r="X278" s="336" t="s">
        <v>465</v>
      </c>
      <c r="Y278" s="352" t="s">
        <v>135</v>
      </c>
      <c r="Z278" s="105">
        <v>8994</v>
      </c>
      <c r="AA278" s="107">
        <v>1061.791666666667</v>
      </c>
      <c r="AB278" s="105" t="s">
        <v>478</v>
      </c>
    </row>
    <row r="279" spans="1:28">
      <c r="A279" s="105">
        <f t="shared" si="4"/>
        <v>278</v>
      </c>
      <c r="B279" s="107">
        <f>YEAR(Table6[[#This Row],[Date]])+IF(MONTH(Table6[[#This Row],[Date]])&gt;=4,1,0)</f>
        <v>2026</v>
      </c>
      <c r="C279" s="105">
        <f>YEAR(Table6[[#This Row],[Date]])</f>
        <v>2025</v>
      </c>
      <c r="D279" s="105" t="s">
        <v>490</v>
      </c>
      <c r="E279" s="119">
        <f>Table6[[#This Row],[Date]]-DAY(Table6[[#This Row],[Date]])+1</f>
        <v>45748</v>
      </c>
      <c r="F279" s="118">
        <v>45756</v>
      </c>
      <c r="G279" s="105" t="s">
        <v>139</v>
      </c>
      <c r="H279" s="39" t="str">
        <f>_xlfn.XLOOKUP(Table6[[#This Row],[Affected WTG]],'Basic Data'!$A:$A,'Basic Data'!$B:$B)</f>
        <v>PWEGPL</v>
      </c>
      <c r="I279" s="39" t="str">
        <f>_xlfn.XLOOKUP(Table6[[#This Row],[Affected WTG]],'Basic Data'!$A:$A,'Basic Data'!$C:$C)</f>
        <v>MSEDCL</v>
      </c>
      <c r="J279" s="345">
        <f>IFERROR(VLOOKUP(Table6[[#This Row],[Affected WTG]],'Basic Data'!$A$3:$E$56,5,0),"")</f>
        <v>2.564102564102564E-2</v>
      </c>
      <c r="K279" s="105">
        <v>527</v>
      </c>
      <c r="L279" s="39" t="str">
        <f>IFERROR(VLOOKUP(Table6[[#This Row],[Error Code]],'Basic Data'!$T:$U,2,0),"")</f>
        <v>High Temperature Of Upper Radiator</v>
      </c>
      <c r="M279" s="346" t="s">
        <v>462</v>
      </c>
      <c r="N279" s="39" t="s">
        <v>1270</v>
      </c>
      <c r="O279" s="347">
        <v>0.12638888888888888</v>
      </c>
      <c r="P279" s="347">
        <v>0.12638888888888888</v>
      </c>
      <c r="Q279" s="347">
        <v>0.12986111111111112</v>
      </c>
      <c r="R279" s="348">
        <f>IF(Table6[[#This Row],[Work Start TimeStamp]]="","",(Table6[[#This Row],[Work Start TimeStamp]]-Table6[[#This Row],[Fault Start TimeStamp]])*24)</f>
        <v>0</v>
      </c>
      <c r="S279" s="349">
        <f>(Table6[[#This Row],[Fault Clearance time]]-Table6[[#This Row],[Work Start TimeStamp]])*24</f>
        <v>8.3333333333333703E-2</v>
      </c>
      <c r="T279" s="350">
        <f>(Table6[[#This Row],[Fault Clearance time]]-Table6[[#This Row],[Fault Start TimeStamp]])*24</f>
        <v>8.3333333333333703E-2</v>
      </c>
      <c r="U279" s="346" t="s">
        <v>480</v>
      </c>
      <c r="V279" s="351" t="s">
        <v>463</v>
      </c>
      <c r="W279" s="338">
        <f>Table6[[#This Row],[Breakdown Time]]*(1/39)</f>
        <v>2.1367521367521461E-3</v>
      </c>
      <c r="X279" s="336" t="s">
        <v>465</v>
      </c>
      <c r="Y279" s="352" t="s">
        <v>145</v>
      </c>
      <c r="Z279" s="105">
        <v>7086</v>
      </c>
      <c r="AA279" s="107">
        <v>24.604166666666774</v>
      </c>
      <c r="AB279" s="105" t="s">
        <v>478</v>
      </c>
    </row>
    <row r="280" spans="1:28">
      <c r="A280" s="105">
        <f t="shared" si="4"/>
        <v>279</v>
      </c>
      <c r="B280" s="107">
        <f>YEAR(Table6[[#This Row],[Date]])+IF(MONTH(Table6[[#This Row],[Date]])&gt;=4,1,0)</f>
        <v>2026</v>
      </c>
      <c r="C280" s="105">
        <f>YEAR(Table6[[#This Row],[Date]])</f>
        <v>2025</v>
      </c>
      <c r="D280" s="105" t="s">
        <v>490</v>
      </c>
      <c r="E280" s="119">
        <f>Table6[[#This Row],[Date]]-DAY(Table6[[#This Row],[Date]])+1</f>
        <v>45748</v>
      </c>
      <c r="F280" s="118">
        <v>45756</v>
      </c>
      <c r="G280" s="105" t="s">
        <v>139</v>
      </c>
      <c r="H280" s="39" t="str">
        <f>_xlfn.XLOOKUP(Table6[[#This Row],[Affected WTG]],'Basic Data'!$A:$A,'Basic Data'!$B:$B)</f>
        <v>PWEGPL</v>
      </c>
      <c r="I280" s="39" t="str">
        <f>_xlfn.XLOOKUP(Table6[[#This Row],[Affected WTG]],'Basic Data'!$A:$A,'Basic Data'!$C:$C)</f>
        <v>MSEDCL</v>
      </c>
      <c r="J280" s="345">
        <f>IFERROR(VLOOKUP(Table6[[#This Row],[Affected WTG]],'Basic Data'!$A$3:$E$56,5,0),"")</f>
        <v>2.564102564102564E-2</v>
      </c>
      <c r="K280" s="105">
        <v>203</v>
      </c>
      <c r="L280" s="39" t="str">
        <f>IFERROR(VLOOKUP(Table6[[#This Row],[Error Code]],'Basic Data'!$T:$U,2,0),"")</f>
        <v>Low Pressure On Hydraulic Group</v>
      </c>
      <c r="M280" s="346" t="s">
        <v>462</v>
      </c>
      <c r="N280" s="39" t="s">
        <v>1270</v>
      </c>
      <c r="O280" s="347">
        <v>0.55347222222222225</v>
      </c>
      <c r="P280" s="347">
        <v>0.55347222222222225</v>
      </c>
      <c r="Q280" s="347">
        <v>0.55694444444444446</v>
      </c>
      <c r="R280" s="348">
        <f>IF(Table6[[#This Row],[Work Start TimeStamp]]="","",(Table6[[#This Row],[Work Start TimeStamp]]-Table6[[#This Row],[Fault Start TimeStamp]])*24)</f>
        <v>0</v>
      </c>
      <c r="S280" s="349">
        <f>(Table6[[#This Row],[Fault Clearance time]]-Table6[[#This Row],[Work Start TimeStamp]])*24</f>
        <v>8.3333333333333037E-2</v>
      </c>
      <c r="T280" s="350">
        <f>(Table6[[#This Row],[Fault Clearance time]]-Table6[[#This Row],[Fault Start TimeStamp]])*24</f>
        <v>8.3333333333333037E-2</v>
      </c>
      <c r="U280" s="346" t="s">
        <v>480</v>
      </c>
      <c r="V280" s="351" t="s">
        <v>463</v>
      </c>
      <c r="W280" s="338">
        <f>Table6[[#This Row],[Breakdown Time]]*(1/39)</f>
        <v>2.1367521367521292E-3</v>
      </c>
      <c r="X280" s="336" t="s">
        <v>465</v>
      </c>
      <c r="Y280" s="352" t="s">
        <v>145</v>
      </c>
      <c r="Z280" s="105">
        <v>7086</v>
      </c>
      <c r="AA280" s="107">
        <v>24.604166666666579</v>
      </c>
      <c r="AB280" s="105" t="s">
        <v>478</v>
      </c>
    </row>
    <row r="281" spans="1:28">
      <c r="A281" s="105">
        <f t="shared" si="4"/>
        <v>280</v>
      </c>
      <c r="B281" s="107">
        <f>YEAR(Table6[[#This Row],[Date]])+IF(MONTH(Table6[[#This Row],[Date]])&gt;=4,1,0)</f>
        <v>2026</v>
      </c>
      <c r="C281" s="105">
        <f>YEAR(Table6[[#This Row],[Date]])</f>
        <v>2025</v>
      </c>
      <c r="D281" s="105" t="s">
        <v>490</v>
      </c>
      <c r="E281" s="119">
        <f>Table6[[#This Row],[Date]]-DAY(Table6[[#This Row],[Date]])+1</f>
        <v>45748</v>
      </c>
      <c r="F281" s="118">
        <v>45756</v>
      </c>
      <c r="G281" s="105" t="s">
        <v>150</v>
      </c>
      <c r="H281" s="39" t="str">
        <f>_xlfn.XLOOKUP(Table6[[#This Row],[Affected WTG]],'Basic Data'!$A:$A,'Basic Data'!$B:$B)</f>
        <v>PWEGPL</v>
      </c>
      <c r="I281" s="39" t="str">
        <f>_xlfn.XLOOKUP(Table6[[#This Row],[Affected WTG]],'Basic Data'!$A:$A,'Basic Data'!$C:$C)</f>
        <v>MSEDCL</v>
      </c>
      <c r="J281" s="345">
        <f>IFERROR(VLOOKUP(Table6[[#This Row],[Affected WTG]],'Basic Data'!$A$3:$E$56,5,0),"")</f>
        <v>2.564102564102564E-2</v>
      </c>
      <c r="K281" s="105">
        <v>5219</v>
      </c>
      <c r="L281" s="39" t="str">
        <f>IFERROR(VLOOKUP(Table6[[#This Row],[Error Code]],'Basic Data'!$T:$U,2,0),"")</f>
        <v>Coolant Of The Coolant Circuit Failure</v>
      </c>
      <c r="M281" s="346" t="s">
        <v>462</v>
      </c>
      <c r="N281" s="39" t="s">
        <v>1270</v>
      </c>
      <c r="O281" s="347">
        <v>0.6</v>
      </c>
      <c r="P281" s="347">
        <v>0.61944444444444446</v>
      </c>
      <c r="Q281" s="347">
        <v>0.62083333333333335</v>
      </c>
      <c r="R281" s="348">
        <f>IF(Table6[[#This Row],[Work Start TimeStamp]]="","",(Table6[[#This Row],[Work Start TimeStamp]]-Table6[[#This Row],[Fault Start TimeStamp]])*24)</f>
        <v>0.46666666666666767</v>
      </c>
      <c r="S281" s="349">
        <f>(Table6[[#This Row],[Fault Clearance time]]-Table6[[#This Row],[Work Start TimeStamp]])*24</f>
        <v>3.3333333333333215E-2</v>
      </c>
      <c r="T281" s="350">
        <f>(Table6[[#This Row],[Fault Clearance time]]-Table6[[#This Row],[Fault Start TimeStamp]])*24</f>
        <v>0.50000000000000089</v>
      </c>
      <c r="U281" s="346" t="s">
        <v>493</v>
      </c>
      <c r="V281" s="351" t="s">
        <v>463</v>
      </c>
      <c r="W281" s="338">
        <f>Table6[[#This Row],[Breakdown Time]]*(1/39)</f>
        <v>1.2820512820512843E-2</v>
      </c>
      <c r="X281" s="336" t="s">
        <v>465</v>
      </c>
      <c r="Y281" s="352" t="s">
        <v>149</v>
      </c>
      <c r="Z281" s="105">
        <v>9864</v>
      </c>
      <c r="AA281" s="107">
        <v>205.50000000000037</v>
      </c>
      <c r="AB281" s="105" t="s">
        <v>478</v>
      </c>
    </row>
    <row r="282" spans="1:28">
      <c r="A282" s="105">
        <f t="shared" si="4"/>
        <v>281</v>
      </c>
      <c r="B282" s="107">
        <f>YEAR(Table6[[#This Row],[Date]])+IF(MONTH(Table6[[#This Row],[Date]])&gt;=4,1,0)</f>
        <v>2026</v>
      </c>
      <c r="C282" s="105">
        <f>YEAR(Table6[[#This Row],[Date]])</f>
        <v>2025</v>
      </c>
      <c r="D282" s="105" t="s">
        <v>490</v>
      </c>
      <c r="E282" s="119">
        <f>Table6[[#This Row],[Date]]-DAY(Table6[[#This Row],[Date]])+1</f>
        <v>45748</v>
      </c>
      <c r="F282" s="118">
        <v>45757</v>
      </c>
      <c r="G282" s="105" t="s">
        <v>144</v>
      </c>
      <c r="H282" s="39" t="str">
        <f>_xlfn.XLOOKUP(Table6[[#This Row],[Affected WTG]],'Basic Data'!$A:$A,'Basic Data'!$B:$B)</f>
        <v>PWEGPL</v>
      </c>
      <c r="I282" s="39" t="str">
        <f>_xlfn.XLOOKUP(Table6[[#This Row],[Affected WTG]],'Basic Data'!$A:$A,'Basic Data'!$C:$C)</f>
        <v>MSEDCL</v>
      </c>
      <c r="J282" s="345">
        <f>IFERROR(VLOOKUP(Table6[[#This Row],[Affected WTG]],'Basic Data'!$A$3:$E$56,5,0),"")</f>
        <v>2.564102564102564E-2</v>
      </c>
      <c r="K282" s="105" t="s">
        <v>492</v>
      </c>
      <c r="L282" s="39" t="str">
        <f>IFERROR(VLOOKUP(Table6[[#This Row],[Error Code]],'Basic Data'!$T:$U,2,0),"")</f>
        <v>Manual Stop - Safety Related</v>
      </c>
      <c r="M282" s="346" t="s">
        <v>481</v>
      </c>
      <c r="N282" s="39" t="s">
        <v>1269</v>
      </c>
      <c r="O282" s="347">
        <v>0</v>
      </c>
      <c r="P282" s="347">
        <v>0.99930555555555556</v>
      </c>
      <c r="Q282" s="347">
        <v>0.99930555555555556</v>
      </c>
      <c r="R282" s="348">
        <f>IF(Table6[[#This Row],[Work Start TimeStamp]]="","",(Table6[[#This Row],[Work Start TimeStamp]]-Table6[[#This Row],[Fault Start TimeStamp]])*24)</f>
        <v>23.983333333333334</v>
      </c>
      <c r="S282" s="349">
        <f>(Table6[[#This Row],[Fault Clearance time]]-Table6[[#This Row],[Work Start TimeStamp]])*24</f>
        <v>0</v>
      </c>
      <c r="T282" s="350">
        <f>(Table6[[#This Row],[Fault Clearance time]]-Table6[[#This Row],[Fault Start TimeStamp]])*24</f>
        <v>23.983333333333334</v>
      </c>
      <c r="U282" s="346" t="s">
        <v>498</v>
      </c>
      <c r="V282" s="351" t="s">
        <v>473</v>
      </c>
      <c r="W282" s="338">
        <f>Table6[[#This Row],[Breakdown Time]]*(1/39)</f>
        <v>0.61495726495726499</v>
      </c>
      <c r="X282" s="336" t="s">
        <v>468</v>
      </c>
      <c r="Y282" s="352" t="s">
        <v>141</v>
      </c>
      <c r="Z282" s="105">
        <v>12542</v>
      </c>
      <c r="AA282" s="107">
        <v>12533.29027777778</v>
      </c>
      <c r="AB282" s="105" t="s">
        <v>478</v>
      </c>
    </row>
    <row r="283" spans="1:28">
      <c r="A283" s="105">
        <f t="shared" si="4"/>
        <v>282</v>
      </c>
      <c r="B283" s="107">
        <f>YEAR(Table6[[#This Row],[Date]])+IF(MONTH(Table6[[#This Row],[Date]])&gt;=4,1,0)</f>
        <v>2026</v>
      </c>
      <c r="C283" s="105">
        <f>YEAR(Table6[[#This Row],[Date]])</f>
        <v>2025</v>
      </c>
      <c r="D283" s="105" t="s">
        <v>490</v>
      </c>
      <c r="E283" s="119">
        <f>Table6[[#This Row],[Date]]-DAY(Table6[[#This Row],[Date]])+1</f>
        <v>45748</v>
      </c>
      <c r="F283" s="118">
        <v>45757</v>
      </c>
      <c r="G283" s="105" t="s">
        <v>142</v>
      </c>
      <c r="H283" s="39" t="str">
        <f>_xlfn.XLOOKUP(Table6[[#This Row],[Affected WTG]],'Basic Data'!$A:$A,'Basic Data'!$B:$B)</f>
        <v>PWEGPL</v>
      </c>
      <c r="I283" s="39" t="str">
        <f>_xlfn.XLOOKUP(Table6[[#This Row],[Affected WTG]],'Basic Data'!$A:$A,'Basic Data'!$C:$C)</f>
        <v>MSEDCL</v>
      </c>
      <c r="J283" s="345">
        <f>IFERROR(VLOOKUP(Table6[[#This Row],[Affected WTG]],'Basic Data'!$A$3:$E$56,5,0),"")</f>
        <v>2.564102564102564E-2</v>
      </c>
      <c r="K283" s="105" t="s">
        <v>492</v>
      </c>
      <c r="L283" s="39" t="str">
        <f>IFERROR(VLOOKUP(Table6[[#This Row],[Error Code]],'Basic Data'!$T:$U,2,0),"")</f>
        <v>Manual Stop - Safety Related</v>
      </c>
      <c r="M283" s="346" t="s">
        <v>481</v>
      </c>
      <c r="N283" s="39" t="s">
        <v>1269</v>
      </c>
      <c r="O283" s="347">
        <v>0</v>
      </c>
      <c r="P283" s="347">
        <v>0.99930555555555556</v>
      </c>
      <c r="Q283" s="347">
        <v>0.99930555555555556</v>
      </c>
      <c r="R283" s="348">
        <f>IF(Table6[[#This Row],[Work Start TimeStamp]]="","",(Table6[[#This Row],[Work Start TimeStamp]]-Table6[[#This Row],[Fault Start TimeStamp]])*24)</f>
        <v>23.983333333333334</v>
      </c>
      <c r="S283" s="349">
        <f>(Table6[[#This Row],[Fault Clearance time]]-Table6[[#This Row],[Work Start TimeStamp]])*24</f>
        <v>0</v>
      </c>
      <c r="T283" s="350">
        <f>(Table6[[#This Row],[Fault Clearance time]]-Table6[[#This Row],[Fault Start TimeStamp]])*24</f>
        <v>23.983333333333334</v>
      </c>
      <c r="U283" s="346" t="s">
        <v>498</v>
      </c>
      <c r="V283" s="351" t="s">
        <v>473</v>
      </c>
      <c r="W283" s="338">
        <f>Table6[[#This Row],[Breakdown Time]]*(1/39)</f>
        <v>0.61495726495726499</v>
      </c>
      <c r="X283" s="336" t="s">
        <v>468</v>
      </c>
      <c r="Y283" s="352" t="s">
        <v>141</v>
      </c>
      <c r="Z283" s="105">
        <v>12542</v>
      </c>
      <c r="AA283" s="107">
        <v>12533.29027777778</v>
      </c>
      <c r="AB283" s="105" t="s">
        <v>478</v>
      </c>
    </row>
    <row r="284" spans="1:28">
      <c r="A284" s="105">
        <f t="shared" si="4"/>
        <v>283</v>
      </c>
      <c r="B284" s="107">
        <f>YEAR(Table6[[#This Row],[Date]])+IF(MONTH(Table6[[#This Row],[Date]])&gt;=4,1,0)</f>
        <v>2026</v>
      </c>
      <c r="C284" s="105">
        <f>YEAR(Table6[[#This Row],[Date]])</f>
        <v>2025</v>
      </c>
      <c r="D284" s="105" t="s">
        <v>490</v>
      </c>
      <c r="E284" s="119">
        <f>Table6[[#This Row],[Date]]-DAY(Table6[[#This Row],[Date]])+1</f>
        <v>45748</v>
      </c>
      <c r="F284" s="118">
        <v>45757</v>
      </c>
      <c r="G284" s="105" t="s">
        <v>118</v>
      </c>
      <c r="H284" s="39" t="str">
        <f>_xlfn.XLOOKUP(Table6[[#This Row],[Affected WTG]],'Basic Data'!$A:$A,'Basic Data'!$B:$B)</f>
        <v>PWEGPL</v>
      </c>
      <c r="I284" s="39" t="str">
        <f>_xlfn.XLOOKUP(Table6[[#This Row],[Affected WTG]],'Basic Data'!$A:$A,'Basic Data'!$C:$C)</f>
        <v>MSEDCL</v>
      </c>
      <c r="J284" s="345">
        <f>IFERROR(VLOOKUP(Table6[[#This Row],[Affected WTG]],'Basic Data'!$A$3:$E$56,5,0),"")</f>
        <v>2.564102564102564E-2</v>
      </c>
      <c r="K284" s="105">
        <v>5200</v>
      </c>
      <c r="L284" s="39" t="str">
        <f>IFERROR(VLOOKUP(Table6[[#This Row],[Error Code]],'Basic Data'!$T:$U,2,0),"")</f>
        <v>Magnetothermic Trigger Of The Line Protection</v>
      </c>
      <c r="M284" s="346" t="s">
        <v>462</v>
      </c>
      <c r="N284" s="39" t="s">
        <v>1270</v>
      </c>
      <c r="O284" s="347">
        <v>0.60763888888888884</v>
      </c>
      <c r="P284" s="347">
        <v>0.64722222222222225</v>
      </c>
      <c r="Q284" s="347">
        <v>0.65</v>
      </c>
      <c r="R284" s="348">
        <f>IF(Table6[[#This Row],[Work Start TimeStamp]]="","",(Table6[[#This Row],[Work Start TimeStamp]]-Table6[[#This Row],[Fault Start TimeStamp]])*24)</f>
        <v>0.95000000000000195</v>
      </c>
      <c r="S284" s="349">
        <f>(Table6[[#This Row],[Fault Clearance time]]-Table6[[#This Row],[Work Start TimeStamp]])*24</f>
        <v>6.666666666666643E-2</v>
      </c>
      <c r="T284" s="350">
        <f>(Table6[[#This Row],[Fault Clearance time]]-Table6[[#This Row],[Fault Start TimeStamp]])*24</f>
        <v>1.0166666666666684</v>
      </c>
      <c r="U284" s="346" t="s">
        <v>491</v>
      </c>
      <c r="V284" s="351" t="s">
        <v>463</v>
      </c>
      <c r="W284" s="338">
        <f>Table6[[#This Row],[Breakdown Time]]*(1/39)</f>
        <v>2.6068376068376111E-2</v>
      </c>
      <c r="X284" s="336" t="s">
        <v>465</v>
      </c>
      <c r="Y284" s="352" t="s">
        <v>117</v>
      </c>
      <c r="Z284" s="105">
        <v>13120</v>
      </c>
      <c r="AA284" s="107">
        <v>555.77777777777862</v>
      </c>
      <c r="AB284" s="105" t="s">
        <v>478</v>
      </c>
    </row>
    <row r="285" spans="1:28">
      <c r="A285" s="105">
        <f t="shared" si="4"/>
        <v>284</v>
      </c>
      <c r="B285" s="107">
        <f>YEAR(Table6[[#This Row],[Date]])+IF(MONTH(Table6[[#This Row],[Date]])&gt;=4,1,0)</f>
        <v>2026</v>
      </c>
      <c r="C285" s="105">
        <f>YEAR(Table6[[#This Row],[Date]])</f>
        <v>2025</v>
      </c>
      <c r="D285" s="105" t="s">
        <v>490</v>
      </c>
      <c r="E285" s="119">
        <f>Table6[[#This Row],[Date]]-DAY(Table6[[#This Row],[Date]])+1</f>
        <v>45748</v>
      </c>
      <c r="F285" s="118">
        <v>45757</v>
      </c>
      <c r="G285" s="105" t="s">
        <v>121</v>
      </c>
      <c r="H285" s="39" t="str">
        <f>_xlfn.XLOOKUP(Table6[[#This Row],[Affected WTG]],'Basic Data'!$A:$A,'Basic Data'!$B:$B)</f>
        <v>PWEGPL</v>
      </c>
      <c r="I285" s="39" t="str">
        <f>_xlfn.XLOOKUP(Table6[[#This Row],[Affected WTG]],'Basic Data'!$A:$A,'Basic Data'!$C:$C)</f>
        <v>MSEDCL</v>
      </c>
      <c r="J285" s="345">
        <f>IFERROR(VLOOKUP(Table6[[#This Row],[Affected WTG]],'Basic Data'!$A$3:$E$56,5,0),"")</f>
        <v>2.564102564102564E-2</v>
      </c>
      <c r="K285" s="105">
        <v>211</v>
      </c>
      <c r="L285" s="39" t="str">
        <f>IFERROR(VLOOKUP(Table6[[#This Row],[Error Code]],'Basic Data'!$T:$U,2,0),"")</f>
        <v>Hydraulic HUB Filter Dirty</v>
      </c>
      <c r="M285" s="346" t="s">
        <v>462</v>
      </c>
      <c r="N285" s="39" t="s">
        <v>1270</v>
      </c>
      <c r="O285" s="347">
        <v>0.61458333333333337</v>
      </c>
      <c r="P285" s="347">
        <v>0.66874999999999996</v>
      </c>
      <c r="Q285" s="347">
        <v>0.67013888888888884</v>
      </c>
      <c r="R285" s="348">
        <f>IF(Table6[[#This Row],[Work Start TimeStamp]]="","",(Table6[[#This Row],[Work Start TimeStamp]]-Table6[[#This Row],[Fault Start TimeStamp]])*24)</f>
        <v>1.299999999999998</v>
      </c>
      <c r="S285" s="349">
        <f>(Table6[[#This Row],[Fault Clearance time]]-Table6[[#This Row],[Work Start TimeStamp]])*24</f>
        <v>3.3333333333333215E-2</v>
      </c>
      <c r="T285" s="350">
        <f>(Table6[[#This Row],[Fault Clearance time]]-Table6[[#This Row],[Fault Start TimeStamp]])*24</f>
        <v>1.3333333333333313</v>
      </c>
      <c r="U285" s="346" t="s">
        <v>493</v>
      </c>
      <c r="V285" s="351" t="s">
        <v>463</v>
      </c>
      <c r="W285" s="338">
        <f>Table6[[#This Row],[Breakdown Time]]*(1/39)</f>
        <v>3.4188034188034136E-2</v>
      </c>
      <c r="X285" s="336" t="s">
        <v>465</v>
      </c>
      <c r="Y285" s="352" t="s">
        <v>115</v>
      </c>
      <c r="Z285" s="105">
        <v>14750</v>
      </c>
      <c r="AA285" s="107">
        <v>819.44444444444321</v>
      </c>
      <c r="AB285" s="105" t="s">
        <v>478</v>
      </c>
    </row>
    <row r="286" spans="1:28">
      <c r="A286" s="105">
        <f t="shared" si="4"/>
        <v>285</v>
      </c>
      <c r="B286" s="107">
        <f>YEAR(Table6[[#This Row],[Date]])+IF(MONTH(Table6[[#This Row],[Date]])&gt;=4,1,0)</f>
        <v>2026</v>
      </c>
      <c r="C286" s="105">
        <f>YEAR(Table6[[#This Row],[Date]])</f>
        <v>2025</v>
      </c>
      <c r="D286" s="105" t="s">
        <v>490</v>
      </c>
      <c r="E286" s="119">
        <f>Table6[[#This Row],[Date]]-DAY(Table6[[#This Row],[Date]])+1</f>
        <v>45748</v>
      </c>
      <c r="F286" s="118">
        <v>45757</v>
      </c>
      <c r="G286" s="105" t="s">
        <v>126</v>
      </c>
      <c r="H286" s="39" t="str">
        <f>_xlfn.XLOOKUP(Table6[[#This Row],[Affected WTG]],'Basic Data'!$A:$A,'Basic Data'!$B:$B)</f>
        <v>PWEGPL</v>
      </c>
      <c r="I286" s="39" t="str">
        <f>_xlfn.XLOOKUP(Table6[[#This Row],[Affected WTG]],'Basic Data'!$A:$A,'Basic Data'!$C:$C)</f>
        <v>MSEDCL</v>
      </c>
      <c r="J286" s="345">
        <f>IFERROR(VLOOKUP(Table6[[#This Row],[Affected WTG]],'Basic Data'!$A$3:$E$56,5,0),"")</f>
        <v>2.564102564102564E-2</v>
      </c>
      <c r="K286" s="105">
        <v>203</v>
      </c>
      <c r="L286" s="39" t="str">
        <f>IFERROR(VLOOKUP(Table6[[#This Row],[Error Code]],'Basic Data'!$T:$U,2,0),"")</f>
        <v>Low Pressure On Hydraulic Group</v>
      </c>
      <c r="M286" s="346" t="s">
        <v>462</v>
      </c>
      <c r="N286" s="39" t="s">
        <v>1270</v>
      </c>
      <c r="O286" s="347">
        <v>0.58472222222222225</v>
      </c>
      <c r="P286" s="347">
        <v>0.60763888888888884</v>
      </c>
      <c r="Q286" s="347">
        <v>0.61458333333333337</v>
      </c>
      <c r="R286" s="348">
        <f>IF(Table6[[#This Row],[Work Start TimeStamp]]="","",(Table6[[#This Row],[Work Start TimeStamp]]-Table6[[#This Row],[Fault Start TimeStamp]])*24)</f>
        <v>0.54999999999999805</v>
      </c>
      <c r="S286" s="349">
        <f>(Table6[[#This Row],[Fault Clearance time]]-Table6[[#This Row],[Work Start TimeStamp]])*24</f>
        <v>0.16666666666666874</v>
      </c>
      <c r="T286" s="350">
        <f>(Table6[[#This Row],[Fault Clearance time]]-Table6[[#This Row],[Fault Start TimeStamp]])*24</f>
        <v>0.71666666666666679</v>
      </c>
      <c r="U286" s="346" t="s">
        <v>491</v>
      </c>
      <c r="V286" s="351" t="s">
        <v>463</v>
      </c>
      <c r="W286" s="338">
        <f>Table6[[#This Row],[Breakdown Time]]*(1/39)</f>
        <v>1.837606837606838E-2</v>
      </c>
      <c r="X286" s="336" t="s">
        <v>465</v>
      </c>
      <c r="Y286" s="352" t="s">
        <v>127</v>
      </c>
      <c r="Z286" s="105">
        <v>11088</v>
      </c>
      <c r="AA286" s="107">
        <v>331.10000000000008</v>
      </c>
      <c r="AB286" s="105" t="s">
        <v>478</v>
      </c>
    </row>
    <row r="287" spans="1:28">
      <c r="A287" s="105">
        <f t="shared" si="4"/>
        <v>286</v>
      </c>
      <c r="B287" s="107">
        <f>YEAR(Table6[[#This Row],[Date]])+IF(MONTH(Table6[[#This Row],[Date]])&gt;=4,1,0)</f>
        <v>2026</v>
      </c>
      <c r="C287" s="105">
        <f>YEAR(Table6[[#This Row],[Date]])</f>
        <v>2025</v>
      </c>
      <c r="D287" s="105" t="s">
        <v>490</v>
      </c>
      <c r="E287" s="119">
        <f>Table6[[#This Row],[Date]]-DAY(Table6[[#This Row],[Date]])+1</f>
        <v>45748</v>
      </c>
      <c r="F287" s="118">
        <v>45757</v>
      </c>
      <c r="G287" s="105" t="s">
        <v>128</v>
      </c>
      <c r="H287" s="39" t="str">
        <f>_xlfn.XLOOKUP(Table6[[#This Row],[Affected WTG]],'Basic Data'!$A:$A,'Basic Data'!$B:$B)</f>
        <v>PWEGPL</v>
      </c>
      <c r="I287" s="39" t="str">
        <f>_xlfn.XLOOKUP(Table6[[#This Row],[Affected WTG]],'Basic Data'!$A:$A,'Basic Data'!$C:$C)</f>
        <v>MSEDCL</v>
      </c>
      <c r="J287" s="345">
        <f>IFERROR(VLOOKUP(Table6[[#This Row],[Affected WTG]],'Basic Data'!$A$3:$E$56,5,0),"")</f>
        <v>2.564102564102564E-2</v>
      </c>
      <c r="K287" s="105" t="s">
        <v>466</v>
      </c>
      <c r="L287" s="39" t="str">
        <f>IFERROR(VLOOKUP(Table6[[#This Row],[Error Code]],'Basic Data'!$T:$U,2,0),"")</f>
        <v>Manual Stop</v>
      </c>
      <c r="M287" s="346" t="s">
        <v>479</v>
      </c>
      <c r="N287" s="39" t="s">
        <v>230</v>
      </c>
      <c r="O287" s="347">
        <v>0.51527777777777772</v>
      </c>
      <c r="P287" s="347">
        <v>0.51527777777777772</v>
      </c>
      <c r="Q287" s="347">
        <v>0.71180555555555558</v>
      </c>
      <c r="R287" s="348">
        <f>IF(Table6[[#This Row],[Work Start TimeStamp]]="","",(Table6[[#This Row],[Work Start TimeStamp]]-Table6[[#This Row],[Fault Start TimeStamp]])*24)</f>
        <v>0</v>
      </c>
      <c r="S287" s="349">
        <f>(Table6[[#This Row],[Fault Clearance time]]-Table6[[#This Row],[Work Start TimeStamp]])*24</f>
        <v>4.7166666666666686</v>
      </c>
      <c r="T287" s="350">
        <f>(Table6[[#This Row],[Fault Clearance time]]-Table6[[#This Row],[Fault Start TimeStamp]])*24</f>
        <v>4.7166666666666686</v>
      </c>
      <c r="U287" s="346" t="s">
        <v>496</v>
      </c>
      <c r="V287" s="351" t="s">
        <v>463</v>
      </c>
      <c r="W287" s="338">
        <f>Table6[[#This Row],[Breakdown Time]]*(1/39)</f>
        <v>0.12094017094017098</v>
      </c>
      <c r="X287" s="336" t="s">
        <v>464</v>
      </c>
      <c r="Y287" s="352" t="s">
        <v>129</v>
      </c>
      <c r="Z287" s="105">
        <v>14296</v>
      </c>
      <c r="AA287" s="107">
        <v>2809.561111111112</v>
      </c>
      <c r="AB287" s="105" t="s">
        <v>478</v>
      </c>
    </row>
    <row r="288" spans="1:28">
      <c r="A288" s="105">
        <f t="shared" si="4"/>
        <v>287</v>
      </c>
      <c r="B288" s="107">
        <f>YEAR(Table6[[#This Row],[Date]])+IF(MONTH(Table6[[#This Row],[Date]])&gt;=4,1,0)</f>
        <v>2026</v>
      </c>
      <c r="C288" s="105">
        <f>YEAR(Table6[[#This Row],[Date]])</f>
        <v>2025</v>
      </c>
      <c r="D288" s="105" t="s">
        <v>490</v>
      </c>
      <c r="E288" s="119">
        <f>Table6[[#This Row],[Date]]-DAY(Table6[[#This Row],[Date]])+1</f>
        <v>45748</v>
      </c>
      <c r="F288" s="118">
        <v>45758</v>
      </c>
      <c r="G288" s="105" t="s">
        <v>144</v>
      </c>
      <c r="H288" s="39" t="str">
        <f>_xlfn.XLOOKUP(Table6[[#This Row],[Affected WTG]],'Basic Data'!$A:$A,'Basic Data'!$B:$B)</f>
        <v>PWEGPL</v>
      </c>
      <c r="I288" s="39" t="str">
        <f>_xlfn.XLOOKUP(Table6[[#This Row],[Affected WTG]],'Basic Data'!$A:$A,'Basic Data'!$C:$C)</f>
        <v>MSEDCL</v>
      </c>
      <c r="J288" s="345">
        <f>IFERROR(VLOOKUP(Table6[[#This Row],[Affected WTG]],'Basic Data'!$A$3:$E$56,5,0),"")</f>
        <v>2.564102564102564E-2</v>
      </c>
      <c r="K288" s="105" t="s">
        <v>492</v>
      </c>
      <c r="L288" s="39" t="str">
        <f>IFERROR(VLOOKUP(Table6[[#This Row],[Error Code]],'Basic Data'!$T:$U,2,0),"")</f>
        <v>Manual Stop - Safety Related</v>
      </c>
      <c r="M288" s="346" t="s">
        <v>481</v>
      </c>
      <c r="N288" s="39" t="s">
        <v>1269</v>
      </c>
      <c r="O288" s="347">
        <v>0</v>
      </c>
      <c r="P288" s="347">
        <v>0.99930555555555556</v>
      </c>
      <c r="Q288" s="347">
        <v>0.99930555555555556</v>
      </c>
      <c r="R288" s="348">
        <f>IF(Table6[[#This Row],[Work Start TimeStamp]]="","",(Table6[[#This Row],[Work Start TimeStamp]]-Table6[[#This Row],[Fault Start TimeStamp]])*24)</f>
        <v>23.983333333333334</v>
      </c>
      <c r="S288" s="349">
        <f>(Table6[[#This Row],[Fault Clearance time]]-Table6[[#This Row],[Work Start TimeStamp]])*24</f>
        <v>0</v>
      </c>
      <c r="T288" s="350">
        <f>(Table6[[#This Row],[Fault Clearance time]]-Table6[[#This Row],[Fault Start TimeStamp]])*24</f>
        <v>23.983333333333334</v>
      </c>
      <c r="U288" s="346" t="s">
        <v>498</v>
      </c>
      <c r="V288" s="351" t="s">
        <v>473</v>
      </c>
      <c r="W288" s="338">
        <f>Table6[[#This Row],[Breakdown Time]]*(1/39)</f>
        <v>0.61495726495726499</v>
      </c>
      <c r="X288" s="336" t="s">
        <v>468</v>
      </c>
      <c r="Y288" s="352" t="s">
        <v>141</v>
      </c>
      <c r="Z288" s="105">
        <v>14802</v>
      </c>
      <c r="AA288" s="107">
        <v>14791.720833333335</v>
      </c>
      <c r="AB288" s="105" t="s">
        <v>478</v>
      </c>
    </row>
    <row r="289" spans="1:28">
      <c r="A289" s="105">
        <f t="shared" si="4"/>
        <v>288</v>
      </c>
      <c r="B289" s="107">
        <f>YEAR(Table6[[#This Row],[Date]])+IF(MONTH(Table6[[#This Row],[Date]])&gt;=4,1,0)</f>
        <v>2026</v>
      </c>
      <c r="C289" s="105">
        <f>YEAR(Table6[[#This Row],[Date]])</f>
        <v>2025</v>
      </c>
      <c r="D289" s="105" t="s">
        <v>490</v>
      </c>
      <c r="E289" s="119">
        <f>Table6[[#This Row],[Date]]-DAY(Table6[[#This Row],[Date]])+1</f>
        <v>45748</v>
      </c>
      <c r="F289" s="118">
        <v>45758</v>
      </c>
      <c r="G289" s="105" t="s">
        <v>142</v>
      </c>
      <c r="H289" s="39" t="str">
        <f>_xlfn.XLOOKUP(Table6[[#This Row],[Affected WTG]],'Basic Data'!$A:$A,'Basic Data'!$B:$B)</f>
        <v>PWEGPL</v>
      </c>
      <c r="I289" s="39" t="str">
        <f>_xlfn.XLOOKUP(Table6[[#This Row],[Affected WTG]],'Basic Data'!$A:$A,'Basic Data'!$C:$C)</f>
        <v>MSEDCL</v>
      </c>
      <c r="J289" s="345">
        <f>IFERROR(VLOOKUP(Table6[[#This Row],[Affected WTG]],'Basic Data'!$A$3:$E$56,5,0),"")</f>
        <v>2.564102564102564E-2</v>
      </c>
      <c r="K289" s="105" t="s">
        <v>492</v>
      </c>
      <c r="L289" s="39" t="str">
        <f>IFERROR(VLOOKUP(Table6[[#This Row],[Error Code]],'Basic Data'!$T:$U,2,0),"")</f>
        <v>Manual Stop - Safety Related</v>
      </c>
      <c r="M289" s="346" t="s">
        <v>481</v>
      </c>
      <c r="N289" s="39" t="s">
        <v>1269</v>
      </c>
      <c r="O289" s="347">
        <v>0</v>
      </c>
      <c r="P289" s="347">
        <v>0.99930555555555556</v>
      </c>
      <c r="Q289" s="347">
        <v>0.99930555555555556</v>
      </c>
      <c r="R289" s="348">
        <f>IF(Table6[[#This Row],[Work Start TimeStamp]]="","",(Table6[[#This Row],[Work Start TimeStamp]]-Table6[[#This Row],[Fault Start TimeStamp]])*24)</f>
        <v>23.983333333333334</v>
      </c>
      <c r="S289" s="349">
        <f>(Table6[[#This Row],[Fault Clearance time]]-Table6[[#This Row],[Work Start TimeStamp]])*24</f>
        <v>0</v>
      </c>
      <c r="T289" s="350">
        <f>(Table6[[#This Row],[Fault Clearance time]]-Table6[[#This Row],[Fault Start TimeStamp]])*24</f>
        <v>23.983333333333334</v>
      </c>
      <c r="U289" s="346" t="s">
        <v>498</v>
      </c>
      <c r="V289" s="351" t="s">
        <v>473</v>
      </c>
      <c r="W289" s="338">
        <f>Table6[[#This Row],[Breakdown Time]]*(1/39)</f>
        <v>0.61495726495726499</v>
      </c>
      <c r="X289" s="336" t="s">
        <v>468</v>
      </c>
      <c r="Y289" s="352" t="s">
        <v>141</v>
      </c>
      <c r="Z289" s="105">
        <v>14802</v>
      </c>
      <c r="AA289" s="107">
        <v>14791.720833333335</v>
      </c>
      <c r="AB289" s="105" t="s">
        <v>478</v>
      </c>
    </row>
    <row r="290" spans="1:28">
      <c r="A290" s="105">
        <f t="shared" si="4"/>
        <v>289</v>
      </c>
      <c r="B290" s="107">
        <f>YEAR(Table6[[#This Row],[Date]])+IF(MONTH(Table6[[#This Row],[Date]])&gt;=4,1,0)</f>
        <v>2026</v>
      </c>
      <c r="C290" s="105">
        <f>YEAR(Table6[[#This Row],[Date]])</f>
        <v>2025</v>
      </c>
      <c r="D290" s="105" t="s">
        <v>490</v>
      </c>
      <c r="E290" s="119">
        <f>Table6[[#This Row],[Date]]-DAY(Table6[[#This Row],[Date]])+1</f>
        <v>45748</v>
      </c>
      <c r="F290" s="118">
        <v>45758</v>
      </c>
      <c r="G290" s="105" t="s">
        <v>117</v>
      </c>
      <c r="H290" s="39" t="str">
        <f>_xlfn.XLOOKUP(Table6[[#This Row],[Affected WTG]],'Basic Data'!$A:$A,'Basic Data'!$B:$B)</f>
        <v>PWEGPL</v>
      </c>
      <c r="I290" s="39" t="str">
        <f>_xlfn.XLOOKUP(Table6[[#This Row],[Affected WTG]],'Basic Data'!$A:$A,'Basic Data'!$C:$C)</f>
        <v>MSEDCL</v>
      </c>
      <c r="J290" s="345">
        <f>IFERROR(VLOOKUP(Table6[[#This Row],[Affected WTG]],'Basic Data'!$A$3:$E$56,5,0),"")</f>
        <v>2.564102564102564E-2</v>
      </c>
      <c r="K290" s="105" t="s">
        <v>487</v>
      </c>
      <c r="L290" s="39" t="str">
        <f>IFERROR(VLOOKUP(Table6[[#This Row],[Error Code]],'Basic Data'!$T:$U,2,0),"")</f>
        <v>General Work Stoppage</v>
      </c>
      <c r="M290" s="346" t="s">
        <v>479</v>
      </c>
      <c r="N290" s="39" t="s">
        <v>230</v>
      </c>
      <c r="O290" s="347">
        <v>0.49305555555555558</v>
      </c>
      <c r="P290" s="347">
        <v>0.49305555555555558</v>
      </c>
      <c r="Q290" s="347">
        <v>0.55208333333333337</v>
      </c>
      <c r="R290" s="348">
        <f>IF(Table6[[#This Row],[Work Start TimeStamp]]="","",(Table6[[#This Row],[Work Start TimeStamp]]-Table6[[#This Row],[Fault Start TimeStamp]])*24)</f>
        <v>0</v>
      </c>
      <c r="S290" s="349">
        <f>(Table6[[#This Row],[Fault Clearance time]]-Table6[[#This Row],[Work Start TimeStamp]])*24</f>
        <v>1.416666666666667</v>
      </c>
      <c r="T290" s="350">
        <f>(Table6[[#This Row],[Fault Clearance time]]-Table6[[#This Row],[Fault Start TimeStamp]])*24</f>
        <v>1.416666666666667</v>
      </c>
      <c r="U290" s="346" t="s">
        <v>543</v>
      </c>
      <c r="V290" s="351" t="s">
        <v>463</v>
      </c>
      <c r="W290" s="338">
        <f>Table6[[#This Row],[Breakdown Time]]*(1/39)</f>
        <v>3.6324786324786335E-2</v>
      </c>
      <c r="X290" s="336" t="s">
        <v>464</v>
      </c>
      <c r="Y290" s="352" t="s">
        <v>118</v>
      </c>
      <c r="Z290" s="105">
        <v>14379</v>
      </c>
      <c r="AA290" s="107">
        <v>848.76041666666686</v>
      </c>
      <c r="AB290" s="105" t="s">
        <v>478</v>
      </c>
    </row>
    <row r="291" spans="1:28">
      <c r="A291" s="105">
        <f t="shared" si="4"/>
        <v>290</v>
      </c>
      <c r="B291" s="107">
        <f>YEAR(Table6[[#This Row],[Date]])+IF(MONTH(Table6[[#This Row],[Date]])&gt;=4,1,0)</f>
        <v>2026</v>
      </c>
      <c r="C291" s="105">
        <f>YEAR(Table6[[#This Row],[Date]])</f>
        <v>2025</v>
      </c>
      <c r="D291" s="105" t="s">
        <v>490</v>
      </c>
      <c r="E291" s="119">
        <f>Table6[[#This Row],[Date]]-DAY(Table6[[#This Row],[Date]])+1</f>
        <v>45748</v>
      </c>
      <c r="F291" s="118">
        <v>45758</v>
      </c>
      <c r="G291" s="105" t="s">
        <v>118</v>
      </c>
      <c r="H291" s="39" t="str">
        <f>_xlfn.XLOOKUP(Table6[[#This Row],[Affected WTG]],'Basic Data'!$A:$A,'Basic Data'!$B:$B)</f>
        <v>PWEGPL</v>
      </c>
      <c r="I291" s="39" t="str">
        <f>_xlfn.XLOOKUP(Table6[[#This Row],[Affected WTG]],'Basic Data'!$A:$A,'Basic Data'!$C:$C)</f>
        <v>MSEDCL</v>
      </c>
      <c r="J291" s="345">
        <f>IFERROR(VLOOKUP(Table6[[#This Row],[Affected WTG]],'Basic Data'!$A$3:$E$56,5,0),"")</f>
        <v>2.564102564102564E-2</v>
      </c>
      <c r="K291" s="105" t="s">
        <v>487</v>
      </c>
      <c r="L291" s="39" t="str">
        <f>IFERROR(VLOOKUP(Table6[[#This Row],[Error Code]],'Basic Data'!$T:$U,2,0),"")</f>
        <v>General Work Stoppage</v>
      </c>
      <c r="M291" s="346" t="s">
        <v>479</v>
      </c>
      <c r="N291" s="39" t="s">
        <v>230</v>
      </c>
      <c r="O291" s="347">
        <v>0.5625</v>
      </c>
      <c r="P291" s="347">
        <v>0.5625</v>
      </c>
      <c r="Q291" s="347">
        <v>0.59375</v>
      </c>
      <c r="R291" s="348">
        <f>IF(Table6[[#This Row],[Work Start TimeStamp]]="","",(Table6[[#This Row],[Work Start TimeStamp]]-Table6[[#This Row],[Fault Start TimeStamp]])*24)</f>
        <v>0</v>
      </c>
      <c r="S291" s="349">
        <f>(Table6[[#This Row],[Fault Clearance time]]-Table6[[#This Row],[Work Start TimeStamp]])*24</f>
        <v>0.75</v>
      </c>
      <c r="T291" s="350">
        <f>(Table6[[#This Row],[Fault Clearance time]]-Table6[[#This Row],[Fault Start TimeStamp]])*24</f>
        <v>0.75</v>
      </c>
      <c r="U291" s="346" t="s">
        <v>544</v>
      </c>
      <c r="V291" s="351" t="s">
        <v>463</v>
      </c>
      <c r="W291" s="338">
        <f>Table6[[#This Row],[Breakdown Time]]*(1/39)</f>
        <v>1.9230769230769232E-2</v>
      </c>
      <c r="X291" s="336" t="s">
        <v>464</v>
      </c>
      <c r="Y291" s="352" t="s">
        <v>117</v>
      </c>
      <c r="Z291" s="105">
        <v>14285</v>
      </c>
      <c r="AA291" s="107">
        <v>446.40625</v>
      </c>
      <c r="AB291" s="105" t="s">
        <v>478</v>
      </c>
    </row>
    <row r="292" spans="1:28">
      <c r="A292" s="105">
        <f t="shared" si="4"/>
        <v>291</v>
      </c>
      <c r="B292" s="107">
        <f>YEAR(Table6[[#This Row],[Date]])+IF(MONTH(Table6[[#This Row],[Date]])&gt;=4,1,0)</f>
        <v>2026</v>
      </c>
      <c r="C292" s="105">
        <f>YEAR(Table6[[#This Row],[Date]])</f>
        <v>2025</v>
      </c>
      <c r="D292" s="105" t="s">
        <v>490</v>
      </c>
      <c r="E292" s="119">
        <f>Table6[[#This Row],[Date]]-DAY(Table6[[#This Row],[Date]])+1</f>
        <v>45748</v>
      </c>
      <c r="F292" s="118">
        <v>45758</v>
      </c>
      <c r="G292" s="105" t="s">
        <v>121</v>
      </c>
      <c r="H292" s="39" t="str">
        <f>_xlfn.XLOOKUP(Table6[[#This Row],[Affected WTG]],'Basic Data'!$A:$A,'Basic Data'!$B:$B)</f>
        <v>PWEGPL</v>
      </c>
      <c r="I292" s="39" t="str">
        <f>_xlfn.XLOOKUP(Table6[[#This Row],[Affected WTG]],'Basic Data'!$A:$A,'Basic Data'!$C:$C)</f>
        <v>MSEDCL</v>
      </c>
      <c r="J292" s="345">
        <f>IFERROR(VLOOKUP(Table6[[#This Row],[Affected WTG]],'Basic Data'!$A$3:$E$56,5,0),"")</f>
        <v>2.564102564102564E-2</v>
      </c>
      <c r="K292" s="105" t="s">
        <v>487</v>
      </c>
      <c r="L292" s="39" t="str">
        <f>IFERROR(VLOOKUP(Table6[[#This Row],[Error Code]],'Basic Data'!$T:$U,2,0),"")</f>
        <v>General Work Stoppage</v>
      </c>
      <c r="M292" s="346" t="s">
        <v>479</v>
      </c>
      <c r="N292" s="39" t="s">
        <v>230</v>
      </c>
      <c r="O292" s="347">
        <v>0.63749999999999996</v>
      </c>
      <c r="P292" s="347">
        <v>0.63749999999999996</v>
      </c>
      <c r="Q292" s="347">
        <v>0.66805555555555551</v>
      </c>
      <c r="R292" s="348">
        <f>IF(Table6[[#This Row],[Work Start TimeStamp]]="","",(Table6[[#This Row],[Work Start TimeStamp]]-Table6[[#This Row],[Fault Start TimeStamp]])*24)</f>
        <v>0</v>
      </c>
      <c r="S292" s="349">
        <f>(Table6[[#This Row],[Fault Clearance time]]-Table6[[#This Row],[Work Start TimeStamp]])*24</f>
        <v>0.73333333333333339</v>
      </c>
      <c r="T292" s="350">
        <f>(Table6[[#This Row],[Fault Clearance time]]-Table6[[#This Row],[Fault Start TimeStamp]])*24</f>
        <v>0.73333333333333339</v>
      </c>
      <c r="U292" s="346" t="s">
        <v>544</v>
      </c>
      <c r="V292" s="351" t="s">
        <v>463</v>
      </c>
      <c r="W292" s="338">
        <f>Table6[[#This Row],[Breakdown Time]]*(1/39)</f>
        <v>1.8803418803418806E-2</v>
      </c>
      <c r="X292" s="336" t="s">
        <v>464</v>
      </c>
      <c r="Y292" s="352" t="s">
        <v>115</v>
      </c>
      <c r="Z292" s="105">
        <v>14293</v>
      </c>
      <c r="AA292" s="107">
        <v>436.73055555555555</v>
      </c>
      <c r="AB292" s="105" t="s">
        <v>478</v>
      </c>
    </row>
    <row r="293" spans="1:28">
      <c r="A293" s="105">
        <f t="shared" si="4"/>
        <v>292</v>
      </c>
      <c r="B293" s="107">
        <f>YEAR(Table6[[#This Row],[Date]])+IF(MONTH(Table6[[#This Row],[Date]])&gt;=4,1,0)</f>
        <v>2026</v>
      </c>
      <c r="C293" s="105">
        <f>YEAR(Table6[[#This Row],[Date]])</f>
        <v>2025</v>
      </c>
      <c r="D293" s="105" t="s">
        <v>490</v>
      </c>
      <c r="E293" s="119">
        <f>Table6[[#This Row],[Date]]-DAY(Table6[[#This Row],[Date]])+1</f>
        <v>45748</v>
      </c>
      <c r="F293" s="118">
        <v>45759</v>
      </c>
      <c r="G293" s="105" t="s">
        <v>144</v>
      </c>
      <c r="H293" s="39" t="str">
        <f>_xlfn.XLOOKUP(Table6[[#This Row],[Affected WTG]],'Basic Data'!$A:$A,'Basic Data'!$B:$B)</f>
        <v>PWEGPL</v>
      </c>
      <c r="I293" s="39" t="str">
        <f>_xlfn.XLOOKUP(Table6[[#This Row],[Affected WTG]],'Basic Data'!$A:$A,'Basic Data'!$C:$C)</f>
        <v>MSEDCL</v>
      </c>
      <c r="J293" s="345">
        <f>IFERROR(VLOOKUP(Table6[[#This Row],[Affected WTG]],'Basic Data'!$A$3:$E$56,5,0),"")</f>
        <v>2.564102564102564E-2</v>
      </c>
      <c r="K293" s="105" t="s">
        <v>492</v>
      </c>
      <c r="L293" s="39" t="str">
        <f>IFERROR(VLOOKUP(Table6[[#This Row],[Error Code]],'Basic Data'!$T:$U,2,0),"")</f>
        <v>Manual Stop - Safety Related</v>
      </c>
      <c r="M293" s="346" t="s">
        <v>481</v>
      </c>
      <c r="N293" s="39" t="s">
        <v>1269</v>
      </c>
      <c r="O293" s="347">
        <v>0</v>
      </c>
      <c r="P293" s="347">
        <v>0.99930555555555556</v>
      </c>
      <c r="Q293" s="347">
        <v>0.99930555555555556</v>
      </c>
      <c r="R293" s="348">
        <f>IF(Table6[[#This Row],[Work Start TimeStamp]]="","",(Table6[[#This Row],[Work Start TimeStamp]]-Table6[[#This Row],[Fault Start TimeStamp]])*24)</f>
        <v>23.983333333333334</v>
      </c>
      <c r="S293" s="349">
        <f>(Table6[[#This Row],[Fault Clearance time]]-Table6[[#This Row],[Work Start TimeStamp]])*24</f>
        <v>0</v>
      </c>
      <c r="T293" s="350">
        <f>(Table6[[#This Row],[Fault Clearance time]]-Table6[[#This Row],[Fault Start TimeStamp]])*24</f>
        <v>23.983333333333334</v>
      </c>
      <c r="U293" s="346" t="s">
        <v>498</v>
      </c>
      <c r="V293" s="351" t="s">
        <v>473</v>
      </c>
      <c r="W293" s="338">
        <f>Table6[[#This Row],[Breakdown Time]]*(1/39)</f>
        <v>0.61495726495726499</v>
      </c>
      <c r="X293" s="336" t="s">
        <v>468</v>
      </c>
      <c r="Y293" s="352" t="s">
        <v>141</v>
      </c>
      <c r="Z293" s="105">
        <v>12852</v>
      </c>
      <c r="AA293" s="107">
        <v>12843.075000000001</v>
      </c>
      <c r="AB293" s="105" t="s">
        <v>478</v>
      </c>
    </row>
    <row r="294" spans="1:28">
      <c r="A294" s="105">
        <f t="shared" si="4"/>
        <v>293</v>
      </c>
      <c r="B294" s="107">
        <f>YEAR(Table6[[#This Row],[Date]])+IF(MONTH(Table6[[#This Row],[Date]])&gt;=4,1,0)</f>
        <v>2026</v>
      </c>
      <c r="C294" s="105">
        <f>YEAR(Table6[[#This Row],[Date]])</f>
        <v>2025</v>
      </c>
      <c r="D294" s="105" t="s">
        <v>490</v>
      </c>
      <c r="E294" s="119">
        <f>Table6[[#This Row],[Date]]-DAY(Table6[[#This Row],[Date]])+1</f>
        <v>45748</v>
      </c>
      <c r="F294" s="118">
        <v>45759</v>
      </c>
      <c r="G294" s="105" t="s">
        <v>142</v>
      </c>
      <c r="H294" s="39" t="str">
        <f>_xlfn.XLOOKUP(Table6[[#This Row],[Affected WTG]],'Basic Data'!$A:$A,'Basic Data'!$B:$B)</f>
        <v>PWEGPL</v>
      </c>
      <c r="I294" s="39" t="str">
        <f>_xlfn.XLOOKUP(Table6[[#This Row],[Affected WTG]],'Basic Data'!$A:$A,'Basic Data'!$C:$C)</f>
        <v>MSEDCL</v>
      </c>
      <c r="J294" s="345">
        <f>IFERROR(VLOOKUP(Table6[[#This Row],[Affected WTG]],'Basic Data'!$A$3:$E$56,5,0),"")</f>
        <v>2.564102564102564E-2</v>
      </c>
      <c r="K294" s="105" t="s">
        <v>492</v>
      </c>
      <c r="L294" s="39" t="str">
        <f>IFERROR(VLOOKUP(Table6[[#This Row],[Error Code]],'Basic Data'!$T:$U,2,0),"")</f>
        <v>Manual Stop - Safety Related</v>
      </c>
      <c r="M294" s="346" t="s">
        <v>481</v>
      </c>
      <c r="N294" s="39" t="s">
        <v>1269</v>
      </c>
      <c r="O294" s="347">
        <v>0</v>
      </c>
      <c r="P294" s="347">
        <v>0.99930555555555556</v>
      </c>
      <c r="Q294" s="347">
        <v>0.99930555555555556</v>
      </c>
      <c r="R294" s="348">
        <f>IF(Table6[[#This Row],[Work Start TimeStamp]]="","",(Table6[[#This Row],[Work Start TimeStamp]]-Table6[[#This Row],[Fault Start TimeStamp]])*24)</f>
        <v>23.983333333333334</v>
      </c>
      <c r="S294" s="349">
        <f>(Table6[[#This Row],[Fault Clearance time]]-Table6[[#This Row],[Work Start TimeStamp]])*24</f>
        <v>0</v>
      </c>
      <c r="T294" s="350">
        <f>(Table6[[#This Row],[Fault Clearance time]]-Table6[[#This Row],[Fault Start TimeStamp]])*24</f>
        <v>23.983333333333334</v>
      </c>
      <c r="U294" s="346" t="s">
        <v>498</v>
      </c>
      <c r="V294" s="351" t="s">
        <v>473</v>
      </c>
      <c r="W294" s="338">
        <f>Table6[[#This Row],[Breakdown Time]]*(1/39)</f>
        <v>0.61495726495726499</v>
      </c>
      <c r="X294" s="336" t="s">
        <v>468</v>
      </c>
      <c r="Y294" s="352" t="s">
        <v>141</v>
      </c>
      <c r="Z294" s="105">
        <v>12852</v>
      </c>
      <c r="AA294" s="107">
        <v>12843.075000000001</v>
      </c>
      <c r="AB294" s="105" t="s">
        <v>478</v>
      </c>
    </row>
    <row r="295" spans="1:28">
      <c r="A295" s="105">
        <f t="shared" si="4"/>
        <v>294</v>
      </c>
      <c r="B295" s="107">
        <f>YEAR(Table6[[#This Row],[Date]])+IF(MONTH(Table6[[#This Row],[Date]])&gt;=4,1,0)</f>
        <v>2026</v>
      </c>
      <c r="C295" s="105">
        <f>YEAR(Table6[[#This Row],[Date]])</f>
        <v>2025</v>
      </c>
      <c r="D295" s="105" t="s">
        <v>490</v>
      </c>
      <c r="E295" s="119">
        <f>Table6[[#This Row],[Date]]-DAY(Table6[[#This Row],[Date]])+1</f>
        <v>45748</v>
      </c>
      <c r="F295" s="118">
        <v>45759</v>
      </c>
      <c r="G295" s="105" t="s">
        <v>115</v>
      </c>
      <c r="H295" s="39" t="str">
        <f>_xlfn.XLOOKUP(Table6[[#This Row],[Affected WTG]],'Basic Data'!$A:$A,'Basic Data'!$B:$B)</f>
        <v>PWEGPL</v>
      </c>
      <c r="I295" s="39" t="str">
        <f>_xlfn.XLOOKUP(Table6[[#This Row],[Affected WTG]],'Basic Data'!$A:$A,'Basic Data'!$C:$C)</f>
        <v>MSEDCL</v>
      </c>
      <c r="J295" s="345">
        <f>IFERROR(VLOOKUP(Table6[[#This Row],[Affected WTG]],'Basic Data'!$A$3:$E$56,5,0),"")</f>
        <v>2.564102564102564E-2</v>
      </c>
      <c r="K295" s="105">
        <v>203</v>
      </c>
      <c r="L295" s="39" t="str">
        <f>IFERROR(VLOOKUP(Table6[[#This Row],[Error Code]],'Basic Data'!$T:$U,2,0),"")</f>
        <v>Low Pressure On Hydraulic Group</v>
      </c>
      <c r="M295" s="346" t="s">
        <v>462</v>
      </c>
      <c r="N295" s="39" t="s">
        <v>1270</v>
      </c>
      <c r="O295" s="347">
        <v>0.46597222222222223</v>
      </c>
      <c r="P295" s="347">
        <v>0.5131944444444444</v>
      </c>
      <c r="Q295" s="347">
        <v>0.51388888888888884</v>
      </c>
      <c r="R295" s="348">
        <f>IF(Table6[[#This Row],[Work Start TimeStamp]]="","",(Table6[[#This Row],[Work Start TimeStamp]]-Table6[[#This Row],[Fault Start TimeStamp]])*24)</f>
        <v>1.133333333333332</v>
      </c>
      <c r="S295" s="349">
        <f>(Table6[[#This Row],[Fault Clearance time]]-Table6[[#This Row],[Work Start TimeStamp]])*24</f>
        <v>1.6666666666666607E-2</v>
      </c>
      <c r="T295" s="350">
        <f>(Table6[[#This Row],[Fault Clearance time]]-Table6[[#This Row],[Fault Start TimeStamp]])*24</f>
        <v>1.1499999999999986</v>
      </c>
      <c r="U295" s="346" t="s">
        <v>493</v>
      </c>
      <c r="V295" s="351" t="s">
        <v>463</v>
      </c>
      <c r="W295" s="338">
        <f>Table6[[#This Row],[Breakdown Time]]*(1/39)</f>
        <v>2.9487179487179448E-2</v>
      </c>
      <c r="X295" s="336" t="s">
        <v>465</v>
      </c>
      <c r="Y295" s="352" t="s">
        <v>121</v>
      </c>
      <c r="Z295" s="105">
        <v>15693</v>
      </c>
      <c r="AA295" s="107">
        <v>751.95624999999905</v>
      </c>
      <c r="AB295" s="105" t="s">
        <v>478</v>
      </c>
    </row>
    <row r="296" spans="1:28">
      <c r="A296" s="105">
        <f t="shared" si="4"/>
        <v>295</v>
      </c>
      <c r="B296" s="107">
        <f>YEAR(Table6[[#This Row],[Date]])+IF(MONTH(Table6[[#This Row],[Date]])&gt;=4,1,0)</f>
        <v>2026</v>
      </c>
      <c r="C296" s="105">
        <f>YEAR(Table6[[#This Row],[Date]])</f>
        <v>2025</v>
      </c>
      <c r="D296" s="105" t="s">
        <v>490</v>
      </c>
      <c r="E296" s="119">
        <f>Table6[[#This Row],[Date]]-DAY(Table6[[#This Row],[Date]])+1</f>
        <v>45748</v>
      </c>
      <c r="F296" s="118">
        <v>45759</v>
      </c>
      <c r="G296" s="105" t="s">
        <v>132</v>
      </c>
      <c r="H296" s="39" t="str">
        <f>_xlfn.XLOOKUP(Table6[[#This Row],[Affected WTG]],'Basic Data'!$A:$A,'Basic Data'!$B:$B)</f>
        <v>PWEGPL</v>
      </c>
      <c r="I296" s="39" t="str">
        <f>_xlfn.XLOOKUP(Table6[[#This Row],[Affected WTG]],'Basic Data'!$A:$A,'Basic Data'!$C:$C)</f>
        <v>MSEDCL</v>
      </c>
      <c r="J296" s="345">
        <f>IFERROR(VLOOKUP(Table6[[#This Row],[Affected WTG]],'Basic Data'!$A$3:$E$56,5,0),"")</f>
        <v>2.564102564102564E-2</v>
      </c>
      <c r="K296" s="105">
        <v>5205</v>
      </c>
      <c r="L296" s="39" t="str">
        <f>IFERROR(VLOOKUP(Table6[[#This Row],[Error Code]],'Basic Data'!$T:$U,2,0),"")</f>
        <v>Magnetothermic Of The Stator Protection Failure Or Door Open</v>
      </c>
      <c r="M296" s="346" t="s">
        <v>462</v>
      </c>
      <c r="N296" s="39" t="s">
        <v>1270</v>
      </c>
      <c r="O296" s="347">
        <v>0.4236111111111111</v>
      </c>
      <c r="P296" s="347">
        <v>0.44097222222222221</v>
      </c>
      <c r="Q296" s="347">
        <v>0.5180555555555556</v>
      </c>
      <c r="R296" s="348">
        <f>IF(Table6[[#This Row],[Work Start TimeStamp]]="","",(Table6[[#This Row],[Work Start TimeStamp]]-Table6[[#This Row],[Fault Start TimeStamp]])*24)</f>
        <v>0.41666666666666652</v>
      </c>
      <c r="S296" s="349">
        <f>(Table6[[#This Row],[Fault Clearance time]]-Table6[[#This Row],[Work Start TimeStamp]])*24</f>
        <v>1.8500000000000014</v>
      </c>
      <c r="T296" s="350">
        <f>(Table6[[#This Row],[Fault Clearance time]]-Table6[[#This Row],[Fault Start TimeStamp]])*24</f>
        <v>2.2666666666666679</v>
      </c>
      <c r="U296" s="346" t="s">
        <v>545</v>
      </c>
      <c r="V296" s="351" t="s">
        <v>463</v>
      </c>
      <c r="W296" s="338">
        <f>Table6[[#This Row],[Breakdown Time]]*(1/39)</f>
        <v>5.8119658119658149E-2</v>
      </c>
      <c r="X296" s="336" t="s">
        <v>465</v>
      </c>
      <c r="Y296" s="352" t="s">
        <v>133</v>
      </c>
      <c r="Z296" s="105">
        <v>12949</v>
      </c>
      <c r="AA296" s="107">
        <v>1222.9611111111117</v>
      </c>
      <c r="AB296" s="105" t="s">
        <v>478</v>
      </c>
    </row>
    <row r="297" spans="1:28">
      <c r="A297" s="105">
        <f t="shared" si="4"/>
        <v>296</v>
      </c>
      <c r="B297" s="107">
        <f>YEAR(Table6[[#This Row],[Date]])+IF(MONTH(Table6[[#This Row],[Date]])&gt;=4,1,0)</f>
        <v>2026</v>
      </c>
      <c r="C297" s="105">
        <f>YEAR(Table6[[#This Row],[Date]])</f>
        <v>2025</v>
      </c>
      <c r="D297" s="105" t="s">
        <v>490</v>
      </c>
      <c r="E297" s="119">
        <f>Table6[[#This Row],[Date]]-DAY(Table6[[#This Row],[Date]])+1</f>
        <v>45748</v>
      </c>
      <c r="F297" s="118">
        <v>45759</v>
      </c>
      <c r="G297" s="105" t="s">
        <v>137</v>
      </c>
      <c r="H297" s="39" t="str">
        <f>_xlfn.XLOOKUP(Table6[[#This Row],[Affected WTG]],'Basic Data'!$A:$A,'Basic Data'!$B:$B)</f>
        <v>PWEGPL</v>
      </c>
      <c r="I297" s="39" t="str">
        <f>_xlfn.XLOOKUP(Table6[[#This Row],[Affected WTG]],'Basic Data'!$A:$A,'Basic Data'!$C:$C)</f>
        <v>MSEDCL</v>
      </c>
      <c r="J297" s="345">
        <f>IFERROR(VLOOKUP(Table6[[#This Row],[Affected WTG]],'Basic Data'!$A$3:$E$56,5,0),"")</f>
        <v>2.564102564102564E-2</v>
      </c>
      <c r="K297" s="105">
        <v>205</v>
      </c>
      <c r="L297" s="39" t="str">
        <f>IFERROR(VLOOKUP(Table6[[#This Row],[Error Code]],'Basic Data'!$T:$U,2,0),"")</f>
        <v>Low Level Hydraulic Group Refrigeration Oil</v>
      </c>
      <c r="M297" s="346" t="s">
        <v>462</v>
      </c>
      <c r="N297" s="39" t="s">
        <v>1270</v>
      </c>
      <c r="O297" s="347">
        <v>0.3888888888888889</v>
      </c>
      <c r="P297" s="347">
        <v>0.41805555555555557</v>
      </c>
      <c r="Q297" s="347">
        <v>0.46875</v>
      </c>
      <c r="R297" s="348">
        <f>IF(Table6[[#This Row],[Work Start TimeStamp]]="","",(Table6[[#This Row],[Work Start TimeStamp]]-Table6[[#This Row],[Fault Start TimeStamp]])*24)</f>
        <v>0.70000000000000018</v>
      </c>
      <c r="S297" s="349">
        <f>(Table6[[#This Row],[Fault Clearance time]]-Table6[[#This Row],[Work Start TimeStamp]])*24</f>
        <v>1.2166666666666663</v>
      </c>
      <c r="T297" s="350">
        <f>(Table6[[#This Row],[Fault Clearance time]]-Table6[[#This Row],[Fault Start TimeStamp]])*24</f>
        <v>1.9166666666666665</v>
      </c>
      <c r="U297" s="346" t="s">
        <v>546</v>
      </c>
      <c r="V297" s="351" t="s">
        <v>463</v>
      </c>
      <c r="W297" s="338">
        <f>Table6[[#This Row],[Breakdown Time]]*(1/39)</f>
        <v>4.9145299145299137E-2</v>
      </c>
      <c r="X297" s="336" t="s">
        <v>465</v>
      </c>
      <c r="Y297" s="352" t="s">
        <v>136</v>
      </c>
      <c r="Z297" s="105">
        <v>12639</v>
      </c>
      <c r="AA297" s="107">
        <v>1009.3645833333333</v>
      </c>
      <c r="AB297" s="105" t="s">
        <v>478</v>
      </c>
    </row>
    <row r="298" spans="1:28">
      <c r="A298" s="105">
        <f t="shared" si="4"/>
        <v>297</v>
      </c>
      <c r="B298" s="107">
        <f>YEAR(Table6[[#This Row],[Date]])+IF(MONTH(Table6[[#This Row],[Date]])&gt;=4,1,0)</f>
        <v>2026</v>
      </c>
      <c r="C298" s="105">
        <f>YEAR(Table6[[#This Row],[Date]])</f>
        <v>2025</v>
      </c>
      <c r="D298" s="105" t="s">
        <v>490</v>
      </c>
      <c r="E298" s="119">
        <f>Table6[[#This Row],[Date]]-DAY(Table6[[#This Row],[Date]])+1</f>
        <v>45748</v>
      </c>
      <c r="F298" s="118">
        <v>45759</v>
      </c>
      <c r="G298" s="105" t="s">
        <v>146</v>
      </c>
      <c r="H298" s="39" t="str">
        <f>_xlfn.XLOOKUP(Table6[[#This Row],[Affected WTG]],'Basic Data'!$A:$A,'Basic Data'!$B:$B)</f>
        <v>PWEGPL</v>
      </c>
      <c r="I298" s="39" t="str">
        <f>_xlfn.XLOOKUP(Table6[[#This Row],[Affected WTG]],'Basic Data'!$A:$A,'Basic Data'!$C:$C)</f>
        <v>MSEDCL</v>
      </c>
      <c r="J298" s="345">
        <f>IFERROR(VLOOKUP(Table6[[#This Row],[Affected WTG]],'Basic Data'!$A$3:$E$56,5,0),"")</f>
        <v>2.564102564102564E-2</v>
      </c>
      <c r="K298" s="105">
        <v>907</v>
      </c>
      <c r="L298" s="39" t="str">
        <f>IFERROR(VLOOKUP(Table6[[#This Row],[Error Code]],'Basic Data'!$T:$U,2,0),"")</f>
        <v>Emergency Series HUB Trigger</v>
      </c>
      <c r="M298" s="346" t="s">
        <v>462</v>
      </c>
      <c r="N298" s="39" t="s">
        <v>1270</v>
      </c>
      <c r="O298" s="347">
        <v>0.59027777777777779</v>
      </c>
      <c r="P298" s="347">
        <v>0.62638888888888888</v>
      </c>
      <c r="Q298" s="347">
        <v>0.62847222222222221</v>
      </c>
      <c r="R298" s="348">
        <f>IF(Table6[[#This Row],[Work Start TimeStamp]]="","",(Table6[[#This Row],[Work Start TimeStamp]]-Table6[[#This Row],[Fault Start TimeStamp]])*24)</f>
        <v>0.86666666666666625</v>
      </c>
      <c r="S298" s="349">
        <f>(Table6[[#This Row],[Fault Clearance time]]-Table6[[#This Row],[Work Start TimeStamp]])*24</f>
        <v>4.9999999999999822E-2</v>
      </c>
      <c r="T298" s="350">
        <f>(Table6[[#This Row],[Fault Clearance time]]-Table6[[#This Row],[Fault Start TimeStamp]])*24</f>
        <v>0.91666666666666607</v>
      </c>
      <c r="U298" s="346" t="s">
        <v>493</v>
      </c>
      <c r="V298" s="351" t="s">
        <v>463</v>
      </c>
      <c r="W298" s="338">
        <f>Table6[[#This Row],[Breakdown Time]]*(1/39)</f>
        <v>2.3504273504273487E-2</v>
      </c>
      <c r="X298" s="336" t="s">
        <v>465</v>
      </c>
      <c r="Y298" s="352" t="s">
        <v>147</v>
      </c>
      <c r="Z298" s="105">
        <v>10962</v>
      </c>
      <c r="AA298" s="107">
        <v>418.68749999999972</v>
      </c>
      <c r="AB298" s="105" t="s">
        <v>478</v>
      </c>
    </row>
    <row r="299" spans="1:28">
      <c r="A299" s="105">
        <f t="shared" si="4"/>
        <v>298</v>
      </c>
      <c r="B299" s="107">
        <f>YEAR(Table6[[#This Row],[Date]])+IF(MONTH(Table6[[#This Row],[Date]])&gt;=4,1,0)</f>
        <v>2026</v>
      </c>
      <c r="C299" s="105">
        <f>YEAR(Table6[[#This Row],[Date]])</f>
        <v>2025</v>
      </c>
      <c r="D299" s="105" t="s">
        <v>490</v>
      </c>
      <c r="E299" s="119">
        <f>Table6[[#This Row],[Date]]-DAY(Table6[[#This Row],[Date]])+1</f>
        <v>45748</v>
      </c>
      <c r="F299" s="118">
        <v>45759</v>
      </c>
      <c r="G299" s="105" t="s">
        <v>152</v>
      </c>
      <c r="H299" s="39" t="str">
        <f>_xlfn.XLOOKUP(Table6[[#This Row],[Affected WTG]],'Basic Data'!$A:$A,'Basic Data'!$B:$B)</f>
        <v>PWEGPL</v>
      </c>
      <c r="I299" s="39" t="str">
        <f>_xlfn.XLOOKUP(Table6[[#This Row],[Affected WTG]],'Basic Data'!$A:$A,'Basic Data'!$C:$C)</f>
        <v>MSEDCL</v>
      </c>
      <c r="J299" s="345">
        <f>IFERROR(VLOOKUP(Table6[[#This Row],[Affected WTG]],'Basic Data'!$A$3:$E$56,5,0),"")</f>
        <v>2.564102564102564E-2</v>
      </c>
      <c r="K299" s="105">
        <v>5201</v>
      </c>
      <c r="L299" s="39" t="str">
        <f>IFERROR(VLOOKUP(Table6[[#This Row],[Error Code]],'Basic Data'!$T:$U,2,0),"")</f>
        <v>Magnetothermic Trigger Of The Stator Protection</v>
      </c>
      <c r="M299" s="346" t="s">
        <v>462</v>
      </c>
      <c r="N299" s="39" t="s">
        <v>1270</v>
      </c>
      <c r="O299" s="347">
        <v>0.61458333333333337</v>
      </c>
      <c r="P299" s="347">
        <v>0.65138888888888891</v>
      </c>
      <c r="Q299" s="347">
        <v>0.65277777777777779</v>
      </c>
      <c r="R299" s="348">
        <f>IF(Table6[[#This Row],[Work Start TimeStamp]]="","",(Table6[[#This Row],[Work Start TimeStamp]]-Table6[[#This Row],[Fault Start TimeStamp]])*24)</f>
        <v>0.88333333333333286</v>
      </c>
      <c r="S299" s="349">
        <f>(Table6[[#This Row],[Fault Clearance time]]-Table6[[#This Row],[Work Start TimeStamp]])*24</f>
        <v>3.3333333333333215E-2</v>
      </c>
      <c r="T299" s="350">
        <f>(Table6[[#This Row],[Fault Clearance time]]-Table6[[#This Row],[Fault Start TimeStamp]])*24</f>
        <v>0.91666666666666607</v>
      </c>
      <c r="U299" s="346" t="s">
        <v>491</v>
      </c>
      <c r="V299" s="351" t="s">
        <v>463</v>
      </c>
      <c r="W299" s="338">
        <f>Table6[[#This Row],[Breakdown Time]]*(1/39)</f>
        <v>2.3504273504273487E-2</v>
      </c>
      <c r="X299" s="336" t="s">
        <v>465</v>
      </c>
      <c r="Y299" s="352" t="s">
        <v>153</v>
      </c>
      <c r="Z299" s="105">
        <v>10928</v>
      </c>
      <c r="AA299" s="107">
        <v>417.38888888888863</v>
      </c>
      <c r="AB299" s="105" t="s">
        <v>478</v>
      </c>
    </row>
    <row r="300" spans="1:28">
      <c r="A300" s="105">
        <f t="shared" si="4"/>
        <v>299</v>
      </c>
      <c r="B300" s="107">
        <f>YEAR(Table6[[#This Row],[Date]])+IF(MONTH(Table6[[#This Row],[Date]])&gt;=4,1,0)</f>
        <v>2026</v>
      </c>
      <c r="C300" s="105">
        <f>YEAR(Table6[[#This Row],[Date]])</f>
        <v>2025</v>
      </c>
      <c r="D300" s="105" t="s">
        <v>490</v>
      </c>
      <c r="E300" s="119">
        <f>Table6[[#This Row],[Date]]-DAY(Table6[[#This Row],[Date]])+1</f>
        <v>45748</v>
      </c>
      <c r="F300" s="118">
        <v>45760</v>
      </c>
      <c r="G300" s="105" t="s">
        <v>144</v>
      </c>
      <c r="H300" s="39" t="str">
        <f>_xlfn.XLOOKUP(Table6[[#This Row],[Affected WTG]],'Basic Data'!$A:$A,'Basic Data'!$B:$B)</f>
        <v>PWEGPL</v>
      </c>
      <c r="I300" s="39" t="str">
        <f>_xlfn.XLOOKUP(Table6[[#This Row],[Affected WTG]],'Basic Data'!$A:$A,'Basic Data'!$C:$C)</f>
        <v>MSEDCL</v>
      </c>
      <c r="J300" s="345">
        <f>IFERROR(VLOOKUP(Table6[[#This Row],[Affected WTG]],'Basic Data'!$A$3:$E$56,5,0),"")</f>
        <v>2.564102564102564E-2</v>
      </c>
      <c r="K300" s="105" t="s">
        <v>492</v>
      </c>
      <c r="L300" s="39" t="str">
        <f>IFERROR(VLOOKUP(Table6[[#This Row],[Error Code]],'Basic Data'!$T:$U,2,0),"")</f>
        <v>Manual Stop - Safety Related</v>
      </c>
      <c r="M300" s="346" t="s">
        <v>481</v>
      </c>
      <c r="N300" s="39" t="s">
        <v>1269</v>
      </c>
      <c r="O300" s="347">
        <v>0</v>
      </c>
      <c r="P300" s="347">
        <v>0.99930555555555556</v>
      </c>
      <c r="Q300" s="347">
        <v>0.99930555555555556</v>
      </c>
      <c r="R300" s="348">
        <f>IF(Table6[[#This Row],[Work Start TimeStamp]]="","",(Table6[[#This Row],[Work Start TimeStamp]]-Table6[[#This Row],[Fault Start TimeStamp]])*24)</f>
        <v>23.983333333333334</v>
      </c>
      <c r="S300" s="349">
        <f>(Table6[[#This Row],[Fault Clearance time]]-Table6[[#This Row],[Work Start TimeStamp]])*24</f>
        <v>0</v>
      </c>
      <c r="T300" s="350">
        <f>(Table6[[#This Row],[Fault Clearance time]]-Table6[[#This Row],[Fault Start TimeStamp]])*24</f>
        <v>23.983333333333334</v>
      </c>
      <c r="U300" s="346" t="s">
        <v>498</v>
      </c>
      <c r="V300" s="351" t="s">
        <v>473</v>
      </c>
      <c r="W300" s="338">
        <f>Table6[[#This Row],[Breakdown Time]]*(1/39)</f>
        <v>0.61495726495726499</v>
      </c>
      <c r="X300" s="336" t="s">
        <v>468</v>
      </c>
      <c r="Y300" s="352" t="s">
        <v>141</v>
      </c>
      <c r="Z300" s="105">
        <v>8264</v>
      </c>
      <c r="AA300" s="107">
        <v>8258.2611111111109</v>
      </c>
      <c r="AB300" s="105" t="s">
        <v>478</v>
      </c>
    </row>
    <row r="301" spans="1:28">
      <c r="A301" s="105">
        <f t="shared" si="4"/>
        <v>300</v>
      </c>
      <c r="B301" s="107">
        <f>YEAR(Table6[[#This Row],[Date]])+IF(MONTH(Table6[[#This Row],[Date]])&gt;=4,1,0)</f>
        <v>2026</v>
      </c>
      <c r="C301" s="105">
        <f>YEAR(Table6[[#This Row],[Date]])</f>
        <v>2025</v>
      </c>
      <c r="D301" s="105" t="s">
        <v>490</v>
      </c>
      <c r="E301" s="119">
        <f>Table6[[#This Row],[Date]]-DAY(Table6[[#This Row],[Date]])+1</f>
        <v>45748</v>
      </c>
      <c r="F301" s="118">
        <v>45760</v>
      </c>
      <c r="G301" s="105" t="s">
        <v>142</v>
      </c>
      <c r="H301" s="39" t="str">
        <f>_xlfn.XLOOKUP(Table6[[#This Row],[Affected WTG]],'Basic Data'!$A:$A,'Basic Data'!$B:$B)</f>
        <v>PWEGPL</v>
      </c>
      <c r="I301" s="39" t="str">
        <f>_xlfn.XLOOKUP(Table6[[#This Row],[Affected WTG]],'Basic Data'!$A:$A,'Basic Data'!$C:$C)</f>
        <v>MSEDCL</v>
      </c>
      <c r="J301" s="345">
        <f>IFERROR(VLOOKUP(Table6[[#This Row],[Affected WTG]],'Basic Data'!$A$3:$E$56,5,0),"")</f>
        <v>2.564102564102564E-2</v>
      </c>
      <c r="K301" s="105" t="s">
        <v>492</v>
      </c>
      <c r="L301" s="39" t="str">
        <f>IFERROR(VLOOKUP(Table6[[#This Row],[Error Code]],'Basic Data'!$T:$U,2,0),"")</f>
        <v>Manual Stop - Safety Related</v>
      </c>
      <c r="M301" s="346" t="s">
        <v>481</v>
      </c>
      <c r="N301" s="39" t="s">
        <v>1269</v>
      </c>
      <c r="O301" s="347">
        <v>0</v>
      </c>
      <c r="P301" s="347">
        <v>0.99930555555555556</v>
      </c>
      <c r="Q301" s="347">
        <v>0.99930555555555556</v>
      </c>
      <c r="R301" s="348">
        <f>IF(Table6[[#This Row],[Work Start TimeStamp]]="","",(Table6[[#This Row],[Work Start TimeStamp]]-Table6[[#This Row],[Fault Start TimeStamp]])*24)</f>
        <v>23.983333333333334</v>
      </c>
      <c r="S301" s="349">
        <f>(Table6[[#This Row],[Fault Clearance time]]-Table6[[#This Row],[Work Start TimeStamp]])*24</f>
        <v>0</v>
      </c>
      <c r="T301" s="350">
        <f>(Table6[[#This Row],[Fault Clearance time]]-Table6[[#This Row],[Fault Start TimeStamp]])*24</f>
        <v>23.983333333333334</v>
      </c>
      <c r="U301" s="346" t="s">
        <v>498</v>
      </c>
      <c r="V301" s="351" t="s">
        <v>473</v>
      </c>
      <c r="W301" s="338">
        <f>Table6[[#This Row],[Breakdown Time]]*(1/39)</f>
        <v>0.61495726495726499</v>
      </c>
      <c r="X301" s="336" t="s">
        <v>468</v>
      </c>
      <c r="Y301" s="352" t="s">
        <v>141</v>
      </c>
      <c r="Z301" s="105">
        <v>8264</v>
      </c>
      <c r="AA301" s="107">
        <v>8258.2611111111109</v>
      </c>
      <c r="AB301" s="105" t="s">
        <v>478</v>
      </c>
    </row>
    <row r="302" spans="1:28">
      <c r="A302" s="105">
        <f t="shared" si="4"/>
        <v>301</v>
      </c>
      <c r="B302" s="107">
        <f>YEAR(Table6[[#This Row],[Date]])+IF(MONTH(Table6[[#This Row],[Date]])&gt;=4,1,0)</f>
        <v>2026</v>
      </c>
      <c r="C302" s="105">
        <f>YEAR(Table6[[#This Row],[Date]])</f>
        <v>2025</v>
      </c>
      <c r="D302" s="105" t="s">
        <v>490</v>
      </c>
      <c r="E302" s="119">
        <f>Table6[[#This Row],[Date]]-DAY(Table6[[#This Row],[Date]])+1</f>
        <v>45748</v>
      </c>
      <c r="F302" s="118">
        <v>45760</v>
      </c>
      <c r="G302" s="105" t="s">
        <v>115</v>
      </c>
      <c r="H302" s="39" t="str">
        <f>_xlfn.XLOOKUP(Table6[[#This Row],[Affected WTG]],'Basic Data'!$A:$A,'Basic Data'!$B:$B)</f>
        <v>PWEGPL</v>
      </c>
      <c r="I302" s="39" t="str">
        <f>_xlfn.XLOOKUP(Table6[[#This Row],[Affected WTG]],'Basic Data'!$A:$A,'Basic Data'!$C:$C)</f>
        <v>MSEDCL</v>
      </c>
      <c r="J302" s="345">
        <f>IFERROR(VLOOKUP(Table6[[#This Row],[Affected WTG]],'Basic Data'!$A$3:$E$56,5,0),"")</f>
        <v>2.564102564102564E-2</v>
      </c>
      <c r="K302" s="105">
        <v>5210</v>
      </c>
      <c r="L302" s="39" t="str">
        <f>IFERROR(VLOOKUP(Table6[[#This Row],[Error Code]],'Basic Data'!$T:$U,2,0),"")</f>
        <v>Failure Of The Contactor's Rotor Power</v>
      </c>
      <c r="M302" s="346" t="s">
        <v>462</v>
      </c>
      <c r="N302" s="39" t="s">
        <v>1270</v>
      </c>
      <c r="O302" s="347">
        <v>0.54236111111111107</v>
      </c>
      <c r="P302" s="347">
        <v>0.58680555555555558</v>
      </c>
      <c r="Q302" s="347">
        <v>0.58819444444444446</v>
      </c>
      <c r="R302" s="348">
        <f>IF(Table6[[#This Row],[Work Start TimeStamp]]="","",(Table6[[#This Row],[Work Start TimeStamp]]-Table6[[#This Row],[Fault Start TimeStamp]])*24)</f>
        <v>1.0666666666666682</v>
      </c>
      <c r="S302" s="349">
        <f>(Table6[[#This Row],[Fault Clearance time]]-Table6[[#This Row],[Work Start TimeStamp]])*24</f>
        <v>3.3333333333333215E-2</v>
      </c>
      <c r="T302" s="350">
        <f>(Table6[[#This Row],[Fault Clearance time]]-Table6[[#This Row],[Fault Start TimeStamp]])*24</f>
        <v>1.1000000000000014</v>
      </c>
      <c r="U302" s="346" t="s">
        <v>491</v>
      </c>
      <c r="V302" s="351" t="s">
        <v>463</v>
      </c>
      <c r="W302" s="338">
        <f>Table6[[#This Row],[Breakdown Time]]*(1/39)</f>
        <v>2.820512820512824E-2</v>
      </c>
      <c r="X302" s="336" t="s">
        <v>465</v>
      </c>
      <c r="Y302" s="352" t="s">
        <v>121</v>
      </c>
      <c r="Z302" s="105">
        <v>9768</v>
      </c>
      <c r="AA302" s="107">
        <v>447.70000000000056</v>
      </c>
      <c r="AB302" s="105" t="s">
        <v>478</v>
      </c>
    </row>
    <row r="303" spans="1:28">
      <c r="A303" s="105">
        <f t="shared" si="4"/>
        <v>302</v>
      </c>
      <c r="B303" s="107">
        <f>YEAR(Table6[[#This Row],[Date]])+IF(MONTH(Table6[[#This Row],[Date]])&gt;=4,1,0)</f>
        <v>2026</v>
      </c>
      <c r="C303" s="105">
        <f>YEAR(Table6[[#This Row],[Date]])</f>
        <v>2025</v>
      </c>
      <c r="D303" s="105" t="s">
        <v>490</v>
      </c>
      <c r="E303" s="119">
        <f>Table6[[#This Row],[Date]]-DAY(Table6[[#This Row],[Date]])+1</f>
        <v>45748</v>
      </c>
      <c r="F303" s="118">
        <v>45760</v>
      </c>
      <c r="G303" s="105" t="s">
        <v>119</v>
      </c>
      <c r="H303" s="39" t="str">
        <f>_xlfn.XLOOKUP(Table6[[#This Row],[Affected WTG]],'Basic Data'!$A:$A,'Basic Data'!$B:$B)</f>
        <v>PWEGPL</v>
      </c>
      <c r="I303" s="39" t="str">
        <f>_xlfn.XLOOKUP(Table6[[#This Row],[Affected WTG]],'Basic Data'!$A:$A,'Basic Data'!$C:$C)</f>
        <v>MSEDCL</v>
      </c>
      <c r="J303" s="345">
        <f>IFERROR(VLOOKUP(Table6[[#This Row],[Affected WTG]],'Basic Data'!$A$3:$E$56,5,0),"")</f>
        <v>2.564102564102564E-2</v>
      </c>
      <c r="K303" s="105">
        <v>5201</v>
      </c>
      <c r="L303" s="39" t="str">
        <f>IFERROR(VLOOKUP(Table6[[#This Row],[Error Code]],'Basic Data'!$T:$U,2,0),"")</f>
        <v>Magnetothermic Trigger Of The Stator Protection</v>
      </c>
      <c r="M303" s="346" t="s">
        <v>462</v>
      </c>
      <c r="N303" s="39" t="s">
        <v>1270</v>
      </c>
      <c r="O303" s="347">
        <v>0.62847222222222221</v>
      </c>
      <c r="P303" s="347">
        <v>0.64583333333333337</v>
      </c>
      <c r="Q303" s="347">
        <v>0.64722222222222225</v>
      </c>
      <c r="R303" s="348">
        <f>IF(Table6[[#This Row],[Work Start TimeStamp]]="","",(Table6[[#This Row],[Work Start TimeStamp]]-Table6[[#This Row],[Fault Start TimeStamp]])*24)</f>
        <v>0.41666666666666785</v>
      </c>
      <c r="S303" s="349">
        <f>(Table6[[#This Row],[Fault Clearance time]]-Table6[[#This Row],[Work Start TimeStamp]])*24</f>
        <v>3.3333333333333215E-2</v>
      </c>
      <c r="T303" s="350">
        <f>(Table6[[#This Row],[Fault Clearance time]]-Table6[[#This Row],[Fault Start TimeStamp]])*24</f>
        <v>0.45000000000000107</v>
      </c>
      <c r="U303" s="346" t="s">
        <v>491</v>
      </c>
      <c r="V303" s="351" t="s">
        <v>463</v>
      </c>
      <c r="W303" s="338">
        <f>Table6[[#This Row],[Breakdown Time]]*(1/39)</f>
        <v>1.1538461538461565E-2</v>
      </c>
      <c r="X303" s="336" t="s">
        <v>465</v>
      </c>
      <c r="Y303" s="352" t="s">
        <v>136</v>
      </c>
      <c r="Z303" s="105">
        <v>8268</v>
      </c>
      <c r="AA303" s="107">
        <v>155.02500000000038</v>
      </c>
      <c r="AB303" s="105" t="s">
        <v>478</v>
      </c>
    </row>
    <row r="304" spans="1:28">
      <c r="A304" s="105">
        <f t="shared" si="4"/>
        <v>303</v>
      </c>
      <c r="B304" s="107">
        <f>YEAR(Table6[[#This Row],[Date]])+IF(MONTH(Table6[[#This Row],[Date]])&gt;=4,1,0)</f>
        <v>2026</v>
      </c>
      <c r="C304" s="105">
        <f>YEAR(Table6[[#This Row],[Date]])</f>
        <v>2025</v>
      </c>
      <c r="D304" s="105" t="s">
        <v>490</v>
      </c>
      <c r="E304" s="119">
        <f>Table6[[#This Row],[Date]]-DAY(Table6[[#This Row],[Date]])+1</f>
        <v>45748</v>
      </c>
      <c r="F304" s="118">
        <v>45760</v>
      </c>
      <c r="G304" s="105" t="s">
        <v>135</v>
      </c>
      <c r="H304" s="39" t="str">
        <f>_xlfn.XLOOKUP(Table6[[#This Row],[Affected WTG]],'Basic Data'!$A:$A,'Basic Data'!$B:$B)</f>
        <v>PWEGPL</v>
      </c>
      <c r="I304" s="39" t="str">
        <f>_xlfn.XLOOKUP(Table6[[#This Row],[Affected WTG]],'Basic Data'!$A:$A,'Basic Data'!$C:$C)</f>
        <v>MSEDCL</v>
      </c>
      <c r="J304" s="345">
        <f>IFERROR(VLOOKUP(Table6[[#This Row],[Affected WTG]],'Basic Data'!$A$3:$E$56,5,0),"")</f>
        <v>2.564102564102564E-2</v>
      </c>
      <c r="K304" s="105">
        <v>5201</v>
      </c>
      <c r="L304" s="39" t="str">
        <f>IFERROR(VLOOKUP(Table6[[#This Row],[Error Code]],'Basic Data'!$T:$U,2,0),"")</f>
        <v>Magnetothermic Trigger Of The Stator Protection</v>
      </c>
      <c r="M304" s="346" t="s">
        <v>462</v>
      </c>
      <c r="N304" s="39" t="s">
        <v>1270</v>
      </c>
      <c r="O304" s="347">
        <v>0.62847222222222221</v>
      </c>
      <c r="P304" s="347">
        <v>0.65625</v>
      </c>
      <c r="Q304" s="347">
        <v>0.65763888888888888</v>
      </c>
      <c r="R304" s="348">
        <f>IF(Table6[[#This Row],[Work Start TimeStamp]]="","",(Table6[[#This Row],[Work Start TimeStamp]]-Table6[[#This Row],[Fault Start TimeStamp]])*24)</f>
        <v>0.66666666666666696</v>
      </c>
      <c r="S304" s="349">
        <f>(Table6[[#This Row],[Fault Clearance time]]-Table6[[#This Row],[Work Start TimeStamp]])*24</f>
        <v>3.3333333333333215E-2</v>
      </c>
      <c r="T304" s="350">
        <f>(Table6[[#This Row],[Fault Clearance time]]-Table6[[#This Row],[Fault Start TimeStamp]])*24</f>
        <v>0.70000000000000018</v>
      </c>
      <c r="U304" s="346" t="s">
        <v>491</v>
      </c>
      <c r="V304" s="351" t="s">
        <v>463</v>
      </c>
      <c r="W304" s="338">
        <f>Table6[[#This Row],[Breakdown Time]]*(1/39)</f>
        <v>1.7948717948717954E-2</v>
      </c>
      <c r="X304" s="336" t="s">
        <v>465</v>
      </c>
      <c r="Y304" s="352" t="s">
        <v>136</v>
      </c>
      <c r="Z304" s="105">
        <v>8268</v>
      </c>
      <c r="AA304" s="107">
        <v>241.15000000000006</v>
      </c>
      <c r="AB304" s="105" t="s">
        <v>478</v>
      </c>
    </row>
    <row r="305" spans="1:28">
      <c r="A305" s="105">
        <f t="shared" si="4"/>
        <v>304</v>
      </c>
      <c r="B305" s="107">
        <f>YEAR(Table6[[#This Row],[Date]])+IF(MONTH(Table6[[#This Row],[Date]])&gt;=4,1,0)</f>
        <v>2026</v>
      </c>
      <c r="C305" s="105">
        <f>YEAR(Table6[[#This Row],[Date]])</f>
        <v>2025</v>
      </c>
      <c r="D305" s="105" t="s">
        <v>490</v>
      </c>
      <c r="E305" s="119">
        <f>Table6[[#This Row],[Date]]-DAY(Table6[[#This Row],[Date]])+1</f>
        <v>45748</v>
      </c>
      <c r="F305" s="118">
        <v>45760</v>
      </c>
      <c r="G305" s="105" t="s">
        <v>139</v>
      </c>
      <c r="H305" s="39" t="str">
        <f>_xlfn.XLOOKUP(Table6[[#This Row],[Affected WTG]],'Basic Data'!$A:$A,'Basic Data'!$B:$B)</f>
        <v>PWEGPL</v>
      </c>
      <c r="I305" s="39" t="str">
        <f>_xlfn.XLOOKUP(Table6[[#This Row],[Affected WTG]],'Basic Data'!$A:$A,'Basic Data'!$C:$C)</f>
        <v>MSEDCL</v>
      </c>
      <c r="J305" s="345">
        <f>IFERROR(VLOOKUP(Table6[[#This Row],[Affected WTG]],'Basic Data'!$A$3:$E$56,5,0),"")</f>
        <v>2.564102564102564E-2</v>
      </c>
      <c r="K305" s="105" t="s">
        <v>487</v>
      </c>
      <c r="L305" s="39" t="str">
        <f>IFERROR(VLOOKUP(Table6[[#This Row],[Error Code]],'Basic Data'!$T:$U,2,0),"")</f>
        <v>General Work Stoppage</v>
      </c>
      <c r="M305" s="346" t="s">
        <v>479</v>
      </c>
      <c r="N305" s="39" t="s">
        <v>230</v>
      </c>
      <c r="O305" s="347">
        <v>0.49722222222222223</v>
      </c>
      <c r="P305" s="347">
        <v>0.49722222222222223</v>
      </c>
      <c r="Q305" s="347">
        <v>0.56736111111111109</v>
      </c>
      <c r="R305" s="348">
        <f>IF(Table6[[#This Row],[Work Start TimeStamp]]="","",(Table6[[#This Row],[Work Start TimeStamp]]-Table6[[#This Row],[Fault Start TimeStamp]])*24)</f>
        <v>0</v>
      </c>
      <c r="S305" s="349">
        <f>(Table6[[#This Row],[Fault Clearance time]]-Table6[[#This Row],[Work Start TimeStamp]])*24</f>
        <v>1.6833333333333327</v>
      </c>
      <c r="T305" s="350">
        <f>(Table6[[#This Row],[Fault Clearance time]]-Table6[[#This Row],[Fault Start TimeStamp]])*24</f>
        <v>1.6833333333333327</v>
      </c>
      <c r="U305" s="346" t="s">
        <v>543</v>
      </c>
      <c r="V305" s="351" t="s">
        <v>463</v>
      </c>
      <c r="W305" s="338">
        <f>Table6[[#This Row],[Breakdown Time]]*(1/39)</f>
        <v>4.3162393162393141E-2</v>
      </c>
      <c r="X305" s="336" t="s">
        <v>464</v>
      </c>
      <c r="Y305" s="352" t="s">
        <v>145</v>
      </c>
      <c r="Z305" s="105">
        <v>9627</v>
      </c>
      <c r="AA305" s="107">
        <v>675.2270833333331</v>
      </c>
      <c r="AB305" s="105" t="s">
        <v>478</v>
      </c>
    </row>
    <row r="306" spans="1:28">
      <c r="A306" s="105">
        <f t="shared" si="4"/>
        <v>305</v>
      </c>
      <c r="B306" s="107">
        <f>YEAR(Table6[[#This Row],[Date]])+IF(MONTH(Table6[[#This Row],[Date]])&gt;=4,1,0)</f>
        <v>2026</v>
      </c>
      <c r="C306" s="105">
        <f>YEAR(Table6[[#This Row],[Date]])</f>
        <v>2025</v>
      </c>
      <c r="D306" s="105" t="s">
        <v>490</v>
      </c>
      <c r="E306" s="119">
        <f>Table6[[#This Row],[Date]]-DAY(Table6[[#This Row],[Date]])+1</f>
        <v>45748</v>
      </c>
      <c r="F306" s="118">
        <v>45760</v>
      </c>
      <c r="G306" s="105" t="s">
        <v>152</v>
      </c>
      <c r="H306" s="39" t="str">
        <f>_xlfn.XLOOKUP(Table6[[#This Row],[Affected WTG]],'Basic Data'!$A:$A,'Basic Data'!$B:$B)</f>
        <v>PWEGPL</v>
      </c>
      <c r="I306" s="39" t="str">
        <f>_xlfn.XLOOKUP(Table6[[#This Row],[Affected WTG]],'Basic Data'!$A:$A,'Basic Data'!$C:$C)</f>
        <v>MSEDCL</v>
      </c>
      <c r="J306" s="345">
        <f>IFERROR(VLOOKUP(Table6[[#This Row],[Affected WTG]],'Basic Data'!$A$3:$E$56,5,0),"")</f>
        <v>2.564102564102564E-2</v>
      </c>
      <c r="K306" s="105">
        <v>5201</v>
      </c>
      <c r="L306" s="39" t="str">
        <f>IFERROR(VLOOKUP(Table6[[#This Row],[Error Code]],'Basic Data'!$T:$U,2,0),"")</f>
        <v>Magnetothermic Trigger Of The Stator Protection</v>
      </c>
      <c r="M306" s="346" t="s">
        <v>462</v>
      </c>
      <c r="N306" s="39" t="s">
        <v>1270</v>
      </c>
      <c r="O306" s="347">
        <v>0.44583333333333336</v>
      </c>
      <c r="P306" s="347">
        <v>0.47916666666666669</v>
      </c>
      <c r="Q306" s="347">
        <v>0.48055555555555557</v>
      </c>
      <c r="R306" s="348">
        <f>IF(Table6[[#This Row],[Work Start TimeStamp]]="","",(Table6[[#This Row],[Work Start TimeStamp]]-Table6[[#This Row],[Fault Start TimeStamp]])*24)</f>
        <v>0.79999999999999982</v>
      </c>
      <c r="S306" s="349">
        <f>(Table6[[#This Row],[Fault Clearance time]]-Table6[[#This Row],[Work Start TimeStamp]])*24</f>
        <v>3.3333333333333215E-2</v>
      </c>
      <c r="T306" s="350">
        <f>(Table6[[#This Row],[Fault Clearance time]]-Table6[[#This Row],[Fault Start TimeStamp]])*24</f>
        <v>0.83333333333333304</v>
      </c>
      <c r="U306" s="346" t="s">
        <v>491</v>
      </c>
      <c r="V306" s="351" t="s">
        <v>463</v>
      </c>
      <c r="W306" s="338">
        <f>Table6[[#This Row],[Breakdown Time]]*(1/39)</f>
        <v>2.1367521367521358E-2</v>
      </c>
      <c r="X306" s="336" t="s">
        <v>465</v>
      </c>
      <c r="Y306" s="352" t="s">
        <v>153</v>
      </c>
      <c r="Z306" s="105">
        <v>9687</v>
      </c>
      <c r="AA306" s="107">
        <v>336.35416666666657</v>
      </c>
      <c r="AB306" s="105" t="s">
        <v>478</v>
      </c>
    </row>
    <row r="307" spans="1:28">
      <c r="A307" s="105">
        <f t="shared" si="4"/>
        <v>306</v>
      </c>
      <c r="B307" s="107">
        <f>YEAR(Table6[[#This Row],[Date]])+IF(MONTH(Table6[[#This Row],[Date]])&gt;=4,1,0)</f>
        <v>2026</v>
      </c>
      <c r="C307" s="105">
        <f>YEAR(Table6[[#This Row],[Date]])</f>
        <v>2025</v>
      </c>
      <c r="D307" s="105" t="s">
        <v>490</v>
      </c>
      <c r="E307" s="119">
        <f>Table6[[#This Row],[Date]]-DAY(Table6[[#This Row],[Date]])+1</f>
        <v>45748</v>
      </c>
      <c r="F307" s="118">
        <v>45761</v>
      </c>
      <c r="G307" s="105" t="s">
        <v>144</v>
      </c>
      <c r="H307" s="39" t="str">
        <f>_xlfn.XLOOKUP(Table6[[#This Row],[Affected WTG]],'Basic Data'!$A:$A,'Basic Data'!$B:$B)</f>
        <v>PWEGPL</v>
      </c>
      <c r="I307" s="39" t="str">
        <f>_xlfn.XLOOKUP(Table6[[#This Row],[Affected WTG]],'Basic Data'!$A:$A,'Basic Data'!$C:$C)</f>
        <v>MSEDCL</v>
      </c>
      <c r="J307" s="345">
        <f>IFERROR(VLOOKUP(Table6[[#This Row],[Affected WTG]],'Basic Data'!$A$3:$E$56,5,0),"")</f>
        <v>2.564102564102564E-2</v>
      </c>
      <c r="K307" s="105" t="s">
        <v>492</v>
      </c>
      <c r="L307" s="39" t="str">
        <f>IFERROR(VLOOKUP(Table6[[#This Row],[Error Code]],'Basic Data'!$T:$U,2,0),"")</f>
        <v>Manual Stop - Safety Related</v>
      </c>
      <c r="M307" s="346" t="s">
        <v>481</v>
      </c>
      <c r="N307" s="39" t="s">
        <v>1269</v>
      </c>
      <c r="O307" s="347">
        <v>0</v>
      </c>
      <c r="P307" s="347">
        <v>0.99930555555555556</v>
      </c>
      <c r="Q307" s="347">
        <v>0.99930555555555556</v>
      </c>
      <c r="R307" s="348">
        <f>IF(Table6[[#This Row],[Work Start TimeStamp]]="","",(Table6[[#This Row],[Work Start TimeStamp]]-Table6[[#This Row],[Fault Start TimeStamp]])*24)</f>
        <v>23.983333333333334</v>
      </c>
      <c r="S307" s="349">
        <f>(Table6[[#This Row],[Fault Clearance time]]-Table6[[#This Row],[Work Start TimeStamp]])*24</f>
        <v>0</v>
      </c>
      <c r="T307" s="350">
        <f>(Table6[[#This Row],[Fault Clearance time]]-Table6[[#This Row],[Fault Start TimeStamp]])*24</f>
        <v>23.983333333333334</v>
      </c>
      <c r="U307" s="346" t="s">
        <v>498</v>
      </c>
      <c r="V307" s="351" t="s">
        <v>473</v>
      </c>
      <c r="W307" s="338">
        <f>Table6[[#This Row],[Breakdown Time]]*(1/39)</f>
        <v>0.61495726495726499</v>
      </c>
      <c r="X307" s="336" t="s">
        <v>468</v>
      </c>
      <c r="Y307" s="352" t="s">
        <v>141</v>
      </c>
      <c r="Z307" s="105">
        <v>14824</v>
      </c>
      <c r="AA307" s="107">
        <v>14813.705555555554</v>
      </c>
      <c r="AB307" s="105" t="s">
        <v>478</v>
      </c>
    </row>
    <row r="308" spans="1:28">
      <c r="A308" s="105">
        <f t="shared" si="4"/>
        <v>307</v>
      </c>
      <c r="B308" s="107">
        <f>YEAR(Table6[[#This Row],[Date]])+IF(MONTH(Table6[[#This Row],[Date]])&gt;=4,1,0)</f>
        <v>2026</v>
      </c>
      <c r="C308" s="105">
        <f>YEAR(Table6[[#This Row],[Date]])</f>
        <v>2025</v>
      </c>
      <c r="D308" s="105" t="s">
        <v>490</v>
      </c>
      <c r="E308" s="119">
        <f>Table6[[#This Row],[Date]]-DAY(Table6[[#This Row],[Date]])+1</f>
        <v>45748</v>
      </c>
      <c r="F308" s="118">
        <v>45761</v>
      </c>
      <c r="G308" s="105" t="s">
        <v>142</v>
      </c>
      <c r="H308" s="39" t="str">
        <f>_xlfn.XLOOKUP(Table6[[#This Row],[Affected WTG]],'Basic Data'!$A:$A,'Basic Data'!$B:$B)</f>
        <v>PWEGPL</v>
      </c>
      <c r="I308" s="39" t="str">
        <f>_xlfn.XLOOKUP(Table6[[#This Row],[Affected WTG]],'Basic Data'!$A:$A,'Basic Data'!$C:$C)</f>
        <v>MSEDCL</v>
      </c>
      <c r="J308" s="345">
        <f>IFERROR(VLOOKUP(Table6[[#This Row],[Affected WTG]],'Basic Data'!$A$3:$E$56,5,0),"")</f>
        <v>2.564102564102564E-2</v>
      </c>
      <c r="K308" s="105" t="s">
        <v>492</v>
      </c>
      <c r="L308" s="39" t="str">
        <f>IFERROR(VLOOKUP(Table6[[#This Row],[Error Code]],'Basic Data'!$T:$U,2,0),"")</f>
        <v>Manual Stop - Safety Related</v>
      </c>
      <c r="M308" s="346" t="s">
        <v>481</v>
      </c>
      <c r="N308" s="39" t="s">
        <v>1269</v>
      </c>
      <c r="O308" s="347">
        <v>0</v>
      </c>
      <c r="P308" s="347">
        <v>0.99930555555555556</v>
      </c>
      <c r="Q308" s="347">
        <v>0.99930555555555556</v>
      </c>
      <c r="R308" s="348">
        <f>IF(Table6[[#This Row],[Work Start TimeStamp]]="","",(Table6[[#This Row],[Work Start TimeStamp]]-Table6[[#This Row],[Fault Start TimeStamp]])*24)</f>
        <v>23.983333333333334</v>
      </c>
      <c r="S308" s="349">
        <f>(Table6[[#This Row],[Fault Clearance time]]-Table6[[#This Row],[Work Start TimeStamp]])*24</f>
        <v>0</v>
      </c>
      <c r="T308" s="350">
        <f>(Table6[[#This Row],[Fault Clearance time]]-Table6[[#This Row],[Fault Start TimeStamp]])*24</f>
        <v>23.983333333333334</v>
      </c>
      <c r="U308" s="346" t="s">
        <v>498</v>
      </c>
      <c r="V308" s="351" t="s">
        <v>473</v>
      </c>
      <c r="W308" s="338">
        <f>Table6[[#This Row],[Breakdown Time]]*(1/39)</f>
        <v>0.61495726495726499</v>
      </c>
      <c r="X308" s="336" t="s">
        <v>468</v>
      </c>
      <c r="Y308" s="352" t="s">
        <v>141</v>
      </c>
      <c r="Z308" s="105">
        <v>14824</v>
      </c>
      <c r="AA308" s="107">
        <v>14813.705555555554</v>
      </c>
      <c r="AB308" s="105" t="s">
        <v>478</v>
      </c>
    </row>
    <row r="309" spans="1:28">
      <c r="A309" s="105">
        <f t="shared" si="4"/>
        <v>308</v>
      </c>
      <c r="B309" s="107">
        <f>YEAR(Table6[[#This Row],[Date]])+IF(MONTH(Table6[[#This Row],[Date]])&gt;=4,1,0)</f>
        <v>2026</v>
      </c>
      <c r="C309" s="105">
        <f>YEAR(Table6[[#This Row],[Date]])</f>
        <v>2025</v>
      </c>
      <c r="D309" s="105" t="s">
        <v>490</v>
      </c>
      <c r="E309" s="119">
        <f>Table6[[#This Row],[Date]]-DAY(Table6[[#This Row],[Date]])+1</f>
        <v>45748</v>
      </c>
      <c r="F309" s="118">
        <v>45761</v>
      </c>
      <c r="G309" s="105" t="s">
        <v>124</v>
      </c>
      <c r="H309" s="39" t="str">
        <f>_xlfn.XLOOKUP(Table6[[#This Row],[Affected WTG]],'Basic Data'!$A:$A,'Basic Data'!$B:$B)</f>
        <v>PWEGPL</v>
      </c>
      <c r="I309" s="39" t="str">
        <f>_xlfn.XLOOKUP(Table6[[#This Row],[Affected WTG]],'Basic Data'!$A:$A,'Basic Data'!$C:$C)</f>
        <v>MSEDCL</v>
      </c>
      <c r="J309" s="345">
        <f>IFERROR(VLOOKUP(Table6[[#This Row],[Affected WTG]],'Basic Data'!$A$3:$E$56,5,0),"")</f>
        <v>2.564102564102564E-2</v>
      </c>
      <c r="K309" s="105" t="s">
        <v>466</v>
      </c>
      <c r="L309" s="39" t="str">
        <f>IFERROR(VLOOKUP(Table6[[#This Row],[Error Code]],'Basic Data'!$T:$U,2,0),"")</f>
        <v>Manual Stop</v>
      </c>
      <c r="M309" s="346" t="s">
        <v>479</v>
      </c>
      <c r="N309" s="39" t="s">
        <v>230</v>
      </c>
      <c r="O309" s="347">
        <v>0.50694444444444442</v>
      </c>
      <c r="P309" s="347">
        <v>0.50694444444444442</v>
      </c>
      <c r="Q309" s="347">
        <v>0.64583333333333337</v>
      </c>
      <c r="R309" s="348">
        <f>IF(Table6[[#This Row],[Work Start TimeStamp]]="","",(Table6[[#This Row],[Work Start TimeStamp]]-Table6[[#This Row],[Fault Start TimeStamp]])*24)</f>
        <v>0</v>
      </c>
      <c r="S309" s="349">
        <f>(Table6[[#This Row],[Fault Clearance time]]-Table6[[#This Row],[Work Start TimeStamp]])*24</f>
        <v>3.3333333333333348</v>
      </c>
      <c r="T309" s="350">
        <f>(Table6[[#This Row],[Fault Clearance time]]-Table6[[#This Row],[Fault Start TimeStamp]])*24</f>
        <v>3.3333333333333348</v>
      </c>
      <c r="U309" s="346" t="s">
        <v>547</v>
      </c>
      <c r="V309" s="351" t="s">
        <v>463</v>
      </c>
      <c r="W309" s="338">
        <f>Table6[[#This Row],[Breakdown Time]]*(1/39)</f>
        <v>8.54700854700855E-2</v>
      </c>
      <c r="X309" s="336" t="s">
        <v>465</v>
      </c>
      <c r="Y309" s="352" t="s">
        <v>125</v>
      </c>
      <c r="Z309" s="105">
        <v>16100</v>
      </c>
      <c r="AA309" s="107">
        <v>2236.1111111111122</v>
      </c>
      <c r="AB309" s="105" t="s">
        <v>478</v>
      </c>
    </row>
    <row r="310" spans="1:28">
      <c r="A310" s="105">
        <f t="shared" si="4"/>
        <v>309</v>
      </c>
      <c r="B310" s="107">
        <f>YEAR(Table6[[#This Row],[Date]])+IF(MONTH(Table6[[#This Row],[Date]])&gt;=4,1,0)</f>
        <v>2026</v>
      </c>
      <c r="C310" s="105">
        <f>YEAR(Table6[[#This Row],[Date]])</f>
        <v>2025</v>
      </c>
      <c r="D310" s="105" t="s">
        <v>490</v>
      </c>
      <c r="E310" s="119">
        <f>Table6[[#This Row],[Date]]-DAY(Table6[[#This Row],[Date]])+1</f>
        <v>45748</v>
      </c>
      <c r="F310" s="118">
        <v>45761</v>
      </c>
      <c r="G310" s="105" t="s">
        <v>125</v>
      </c>
      <c r="H310" s="39" t="str">
        <f>_xlfn.XLOOKUP(Table6[[#This Row],[Affected WTG]],'Basic Data'!$A:$A,'Basic Data'!$B:$B)</f>
        <v>PWEGPL</v>
      </c>
      <c r="I310" s="39" t="str">
        <f>_xlfn.XLOOKUP(Table6[[#This Row],[Affected WTG]],'Basic Data'!$A:$A,'Basic Data'!$C:$C)</f>
        <v>MSEDCL</v>
      </c>
      <c r="J310" s="345">
        <f>IFERROR(VLOOKUP(Table6[[#This Row],[Affected WTG]],'Basic Data'!$A$3:$E$56,5,0),"")</f>
        <v>2.564102564102564E-2</v>
      </c>
      <c r="K310" s="105" t="s">
        <v>466</v>
      </c>
      <c r="L310" s="39" t="str">
        <f>IFERROR(VLOOKUP(Table6[[#This Row],[Error Code]],'Basic Data'!$T:$U,2,0),"")</f>
        <v>Manual Stop</v>
      </c>
      <c r="M310" s="346" t="s">
        <v>479</v>
      </c>
      <c r="N310" s="39" t="s">
        <v>230</v>
      </c>
      <c r="O310" s="347">
        <v>0.67708333333333337</v>
      </c>
      <c r="P310" s="347">
        <v>0.67708333333333337</v>
      </c>
      <c r="Q310" s="347">
        <v>0.72222222222222221</v>
      </c>
      <c r="R310" s="348">
        <f>IF(Table6[[#This Row],[Work Start TimeStamp]]="","",(Table6[[#This Row],[Work Start TimeStamp]]-Table6[[#This Row],[Fault Start TimeStamp]])*24)</f>
        <v>0</v>
      </c>
      <c r="S310" s="349">
        <f>(Table6[[#This Row],[Fault Clearance time]]-Table6[[#This Row],[Work Start TimeStamp]])*24</f>
        <v>1.0833333333333321</v>
      </c>
      <c r="T310" s="350">
        <f>(Table6[[#This Row],[Fault Clearance time]]-Table6[[#This Row],[Fault Start TimeStamp]])*24</f>
        <v>1.0833333333333321</v>
      </c>
      <c r="U310" s="346" t="s">
        <v>544</v>
      </c>
      <c r="V310" s="351" t="s">
        <v>463</v>
      </c>
      <c r="W310" s="338">
        <f>Table6[[#This Row],[Breakdown Time]]*(1/39)</f>
        <v>2.7777777777777745E-2</v>
      </c>
      <c r="X310" s="336" t="s">
        <v>465</v>
      </c>
      <c r="Y310" s="352" t="s">
        <v>124</v>
      </c>
      <c r="Z310" s="105">
        <v>16001</v>
      </c>
      <c r="AA310" s="107">
        <v>722.2673611111104</v>
      </c>
      <c r="AB310" s="105" t="s">
        <v>478</v>
      </c>
    </row>
    <row r="311" spans="1:28">
      <c r="A311" s="105">
        <f t="shared" si="4"/>
        <v>310</v>
      </c>
      <c r="B311" s="107">
        <f>YEAR(Table6[[#This Row],[Date]])+IF(MONTH(Table6[[#This Row],[Date]])&gt;=4,1,0)</f>
        <v>2026</v>
      </c>
      <c r="C311" s="105">
        <f>YEAR(Table6[[#This Row],[Date]])</f>
        <v>2025</v>
      </c>
      <c r="D311" s="105" t="s">
        <v>490</v>
      </c>
      <c r="E311" s="119">
        <f>Table6[[#This Row],[Date]]-DAY(Table6[[#This Row],[Date]])+1</f>
        <v>45748</v>
      </c>
      <c r="F311" s="118">
        <v>45761</v>
      </c>
      <c r="G311" s="105" t="s">
        <v>115</v>
      </c>
      <c r="H311" s="39" t="str">
        <f>_xlfn.XLOOKUP(Table6[[#This Row],[Affected WTG]],'Basic Data'!$A:$A,'Basic Data'!$B:$B)</f>
        <v>PWEGPL</v>
      </c>
      <c r="I311" s="39" t="str">
        <f>_xlfn.XLOOKUP(Table6[[#This Row],[Affected WTG]],'Basic Data'!$A:$A,'Basic Data'!$C:$C)</f>
        <v>MSEDCL</v>
      </c>
      <c r="J311" s="345">
        <f>IFERROR(VLOOKUP(Table6[[#This Row],[Affected WTG]],'Basic Data'!$A$3:$E$56,5,0),"")</f>
        <v>2.564102564102564E-2</v>
      </c>
      <c r="K311" s="105">
        <v>5210</v>
      </c>
      <c r="L311" s="39" t="str">
        <f>IFERROR(VLOOKUP(Table6[[#This Row],[Error Code]],'Basic Data'!$T:$U,2,0),"")</f>
        <v>Failure Of The Contactor's Rotor Power</v>
      </c>
      <c r="M311" s="346" t="s">
        <v>462</v>
      </c>
      <c r="N311" s="39" t="s">
        <v>1270</v>
      </c>
      <c r="O311" s="347">
        <v>0.58958333333333335</v>
      </c>
      <c r="P311" s="347">
        <v>0.61041666666666672</v>
      </c>
      <c r="Q311" s="347">
        <v>0.64583333333333337</v>
      </c>
      <c r="R311" s="348">
        <f>IF(Table6[[#This Row],[Work Start TimeStamp]]="","",(Table6[[#This Row],[Work Start TimeStamp]]-Table6[[#This Row],[Fault Start TimeStamp]])*24)</f>
        <v>0.50000000000000089</v>
      </c>
      <c r="S311" s="349">
        <f>(Table6[[#This Row],[Fault Clearance time]]-Table6[[#This Row],[Work Start TimeStamp]])*24</f>
        <v>0.84999999999999964</v>
      </c>
      <c r="T311" s="350">
        <f>(Table6[[#This Row],[Fault Clearance time]]-Table6[[#This Row],[Fault Start TimeStamp]])*24</f>
        <v>1.3500000000000005</v>
      </c>
      <c r="U311" s="346" t="s">
        <v>548</v>
      </c>
      <c r="V311" s="351" t="s">
        <v>463</v>
      </c>
      <c r="W311" s="338">
        <f>Table6[[#This Row],[Breakdown Time]]*(1/39)</f>
        <v>3.4615384615384631E-2</v>
      </c>
      <c r="X311" s="336" t="s">
        <v>465</v>
      </c>
      <c r="Y311" s="352" t="s">
        <v>121</v>
      </c>
      <c r="Z311" s="105">
        <v>18132</v>
      </c>
      <c r="AA311" s="107">
        <v>1019.9250000000004</v>
      </c>
      <c r="AB311" s="105" t="s">
        <v>478</v>
      </c>
    </row>
    <row r="312" spans="1:28">
      <c r="A312" s="105">
        <f t="shared" si="4"/>
        <v>311</v>
      </c>
      <c r="B312" s="107">
        <f>YEAR(Table6[[#This Row],[Date]])+IF(MONTH(Table6[[#This Row],[Date]])&gt;=4,1,0)</f>
        <v>2026</v>
      </c>
      <c r="C312" s="105">
        <f>YEAR(Table6[[#This Row],[Date]])</f>
        <v>2025</v>
      </c>
      <c r="D312" s="105" t="s">
        <v>490</v>
      </c>
      <c r="E312" s="119">
        <f>Table6[[#This Row],[Date]]-DAY(Table6[[#This Row],[Date]])+1</f>
        <v>45748</v>
      </c>
      <c r="F312" s="118">
        <v>45762</v>
      </c>
      <c r="G312" s="105" t="s">
        <v>144</v>
      </c>
      <c r="H312" s="39" t="str">
        <f>_xlfn.XLOOKUP(Table6[[#This Row],[Affected WTG]],'Basic Data'!$A:$A,'Basic Data'!$B:$B)</f>
        <v>PWEGPL</v>
      </c>
      <c r="I312" s="39" t="str">
        <f>_xlfn.XLOOKUP(Table6[[#This Row],[Affected WTG]],'Basic Data'!$A:$A,'Basic Data'!$C:$C)</f>
        <v>MSEDCL</v>
      </c>
      <c r="J312" s="345">
        <f>IFERROR(VLOOKUP(Table6[[#This Row],[Affected WTG]],'Basic Data'!$A$3:$E$56,5,0),"")</f>
        <v>2.564102564102564E-2</v>
      </c>
      <c r="K312" s="105" t="s">
        <v>492</v>
      </c>
      <c r="L312" s="39" t="str">
        <f>IFERROR(VLOOKUP(Table6[[#This Row],[Error Code]],'Basic Data'!$T:$U,2,0),"")</f>
        <v>Manual Stop - Safety Related</v>
      </c>
      <c r="M312" s="346" t="s">
        <v>481</v>
      </c>
      <c r="N312" s="39" t="s">
        <v>1269</v>
      </c>
      <c r="O312" s="347">
        <v>0</v>
      </c>
      <c r="P312" s="347">
        <v>0.99930555555555556</v>
      </c>
      <c r="Q312" s="347">
        <v>0.99930555555555556</v>
      </c>
      <c r="R312" s="348">
        <f>IF(Table6[[#This Row],[Work Start TimeStamp]]="","",(Table6[[#This Row],[Work Start TimeStamp]]-Table6[[#This Row],[Fault Start TimeStamp]])*24)</f>
        <v>23.983333333333334</v>
      </c>
      <c r="S312" s="349">
        <f>(Table6[[#This Row],[Fault Clearance time]]-Table6[[#This Row],[Work Start TimeStamp]])*24</f>
        <v>0</v>
      </c>
      <c r="T312" s="350">
        <f>(Table6[[#This Row],[Fault Clearance time]]-Table6[[#This Row],[Fault Start TimeStamp]])*24</f>
        <v>23.983333333333334</v>
      </c>
      <c r="U312" s="346" t="s">
        <v>498</v>
      </c>
      <c r="V312" s="351" t="s">
        <v>473</v>
      </c>
      <c r="W312" s="338">
        <f>Table6[[#This Row],[Breakdown Time]]*(1/39)</f>
        <v>0.61495726495726499</v>
      </c>
      <c r="X312" s="336" t="s">
        <v>468</v>
      </c>
      <c r="Y312" s="352" t="s">
        <v>141</v>
      </c>
      <c r="Z312" s="105">
        <v>15896</v>
      </c>
      <c r="AA312" s="107">
        <v>15884.961111111113</v>
      </c>
      <c r="AB312" s="105" t="s">
        <v>478</v>
      </c>
    </row>
    <row r="313" spans="1:28">
      <c r="A313" s="105">
        <f t="shared" si="4"/>
        <v>312</v>
      </c>
      <c r="B313" s="107">
        <f>YEAR(Table6[[#This Row],[Date]])+IF(MONTH(Table6[[#This Row],[Date]])&gt;=4,1,0)</f>
        <v>2026</v>
      </c>
      <c r="C313" s="105">
        <f>YEAR(Table6[[#This Row],[Date]])</f>
        <v>2025</v>
      </c>
      <c r="D313" s="105" t="s">
        <v>490</v>
      </c>
      <c r="E313" s="119">
        <f>Table6[[#This Row],[Date]]-DAY(Table6[[#This Row],[Date]])+1</f>
        <v>45748</v>
      </c>
      <c r="F313" s="118">
        <v>45762</v>
      </c>
      <c r="G313" s="105" t="s">
        <v>142</v>
      </c>
      <c r="H313" s="39" t="str">
        <f>_xlfn.XLOOKUP(Table6[[#This Row],[Affected WTG]],'Basic Data'!$A:$A,'Basic Data'!$B:$B)</f>
        <v>PWEGPL</v>
      </c>
      <c r="I313" s="39" t="str">
        <f>_xlfn.XLOOKUP(Table6[[#This Row],[Affected WTG]],'Basic Data'!$A:$A,'Basic Data'!$C:$C)</f>
        <v>MSEDCL</v>
      </c>
      <c r="J313" s="345">
        <f>IFERROR(VLOOKUP(Table6[[#This Row],[Affected WTG]],'Basic Data'!$A$3:$E$56,5,0),"")</f>
        <v>2.564102564102564E-2</v>
      </c>
      <c r="K313" s="105" t="s">
        <v>492</v>
      </c>
      <c r="L313" s="39" t="str">
        <f>IFERROR(VLOOKUP(Table6[[#This Row],[Error Code]],'Basic Data'!$T:$U,2,0),"")</f>
        <v>Manual Stop - Safety Related</v>
      </c>
      <c r="M313" s="346" t="s">
        <v>481</v>
      </c>
      <c r="N313" s="39" t="s">
        <v>1269</v>
      </c>
      <c r="O313" s="347">
        <v>0</v>
      </c>
      <c r="P313" s="347">
        <v>0.99930555555555556</v>
      </c>
      <c r="Q313" s="347">
        <v>0.99930555555555556</v>
      </c>
      <c r="R313" s="348">
        <f>IF(Table6[[#This Row],[Work Start TimeStamp]]="","",(Table6[[#This Row],[Work Start TimeStamp]]-Table6[[#This Row],[Fault Start TimeStamp]])*24)</f>
        <v>23.983333333333334</v>
      </c>
      <c r="S313" s="349">
        <f>(Table6[[#This Row],[Fault Clearance time]]-Table6[[#This Row],[Work Start TimeStamp]])*24</f>
        <v>0</v>
      </c>
      <c r="T313" s="350">
        <f>(Table6[[#This Row],[Fault Clearance time]]-Table6[[#This Row],[Fault Start TimeStamp]])*24</f>
        <v>23.983333333333334</v>
      </c>
      <c r="U313" s="346" t="s">
        <v>498</v>
      </c>
      <c r="V313" s="351" t="s">
        <v>473</v>
      </c>
      <c r="W313" s="338">
        <f>Table6[[#This Row],[Breakdown Time]]*(1/39)</f>
        <v>0.61495726495726499</v>
      </c>
      <c r="X313" s="336" t="s">
        <v>468</v>
      </c>
      <c r="Y313" s="352" t="s">
        <v>141</v>
      </c>
      <c r="Z313" s="105">
        <v>15896</v>
      </c>
      <c r="AA313" s="107">
        <v>15884.961111111113</v>
      </c>
      <c r="AB313" s="105" t="s">
        <v>478</v>
      </c>
    </row>
    <row r="314" spans="1:28">
      <c r="A314" s="105">
        <f t="shared" si="4"/>
        <v>313</v>
      </c>
      <c r="B314" s="107">
        <f>YEAR(Table6[[#This Row],[Date]])+IF(MONTH(Table6[[#This Row],[Date]])&gt;=4,1,0)</f>
        <v>2026</v>
      </c>
      <c r="C314" s="105">
        <f>YEAR(Table6[[#This Row],[Date]])</f>
        <v>2025</v>
      </c>
      <c r="D314" s="105" t="s">
        <v>490</v>
      </c>
      <c r="E314" s="119">
        <f>Table6[[#This Row],[Date]]-DAY(Table6[[#This Row],[Date]])+1</f>
        <v>45748</v>
      </c>
      <c r="F314" s="118">
        <v>45762</v>
      </c>
      <c r="G314" s="105" t="s">
        <v>115</v>
      </c>
      <c r="H314" s="39" t="str">
        <f>_xlfn.XLOOKUP(Table6[[#This Row],[Affected WTG]],'Basic Data'!$A:$A,'Basic Data'!$B:$B)</f>
        <v>PWEGPL</v>
      </c>
      <c r="I314" s="39" t="str">
        <f>_xlfn.XLOOKUP(Table6[[#This Row],[Affected WTG]],'Basic Data'!$A:$A,'Basic Data'!$C:$C)</f>
        <v>MSEDCL</v>
      </c>
      <c r="J314" s="345">
        <f>IFERROR(VLOOKUP(Table6[[#This Row],[Affected WTG]],'Basic Data'!$A$3:$E$56,5,0),"")</f>
        <v>2.564102564102564E-2</v>
      </c>
      <c r="K314" s="105">
        <v>5210</v>
      </c>
      <c r="L314" s="39" t="str">
        <f>IFERROR(VLOOKUP(Table6[[#This Row],[Error Code]],'Basic Data'!$T:$U,2,0),"")</f>
        <v>Failure Of The Contactor's Rotor Power</v>
      </c>
      <c r="M314" s="346" t="s">
        <v>462</v>
      </c>
      <c r="N314" s="39" t="s">
        <v>1270</v>
      </c>
      <c r="O314" s="347">
        <v>0.44930555555555557</v>
      </c>
      <c r="P314" s="347">
        <v>0.48055555555555557</v>
      </c>
      <c r="Q314" s="347">
        <v>0.48194444444444445</v>
      </c>
      <c r="R314" s="348">
        <f>IF(Table6[[#This Row],[Work Start TimeStamp]]="","",(Table6[[#This Row],[Work Start TimeStamp]]-Table6[[#This Row],[Fault Start TimeStamp]])*24)</f>
        <v>0.75</v>
      </c>
      <c r="S314" s="349">
        <f>(Table6[[#This Row],[Fault Clearance time]]-Table6[[#This Row],[Work Start TimeStamp]])*24</f>
        <v>3.3333333333333215E-2</v>
      </c>
      <c r="T314" s="350">
        <f>(Table6[[#This Row],[Fault Clearance time]]-Table6[[#This Row],[Fault Start TimeStamp]])*24</f>
        <v>0.78333333333333321</v>
      </c>
      <c r="U314" s="346" t="s">
        <v>493</v>
      </c>
      <c r="V314" s="351" t="s">
        <v>463</v>
      </c>
      <c r="W314" s="338">
        <f>Table6[[#This Row],[Breakdown Time]]*(1/39)</f>
        <v>2.008547008547008E-2</v>
      </c>
      <c r="X314" s="336" t="s">
        <v>465</v>
      </c>
      <c r="Y314" s="352" t="s">
        <v>121</v>
      </c>
      <c r="Z314" s="105">
        <v>14853</v>
      </c>
      <c r="AA314" s="107">
        <v>484.78541666666661</v>
      </c>
      <c r="AB314" s="105" t="s">
        <v>478</v>
      </c>
    </row>
    <row r="315" spans="1:28">
      <c r="A315" s="105">
        <f t="shared" si="4"/>
        <v>314</v>
      </c>
      <c r="B315" s="107">
        <f>YEAR(Table6[[#This Row],[Date]])+IF(MONTH(Table6[[#This Row],[Date]])&gt;=4,1,0)</f>
        <v>2026</v>
      </c>
      <c r="C315" s="105">
        <f>YEAR(Table6[[#This Row],[Date]])</f>
        <v>2025</v>
      </c>
      <c r="D315" s="105" t="s">
        <v>490</v>
      </c>
      <c r="E315" s="119">
        <f>Table6[[#This Row],[Date]]-DAY(Table6[[#This Row],[Date]])+1</f>
        <v>45748</v>
      </c>
      <c r="F315" s="118">
        <v>45762</v>
      </c>
      <c r="G315" s="105" t="s">
        <v>118</v>
      </c>
      <c r="H315" s="39" t="str">
        <f>_xlfn.XLOOKUP(Table6[[#This Row],[Affected WTG]],'Basic Data'!$A:$A,'Basic Data'!$B:$B)</f>
        <v>PWEGPL</v>
      </c>
      <c r="I315" s="39" t="str">
        <f>_xlfn.XLOOKUP(Table6[[#This Row],[Affected WTG]],'Basic Data'!$A:$A,'Basic Data'!$C:$C)</f>
        <v>MSEDCL</v>
      </c>
      <c r="J315" s="345">
        <f>IFERROR(VLOOKUP(Table6[[#This Row],[Affected WTG]],'Basic Data'!$A$3:$E$56,5,0),"")</f>
        <v>2.564102564102564E-2</v>
      </c>
      <c r="K315" s="105">
        <v>2118</v>
      </c>
      <c r="L315" s="39" t="str">
        <f>IFERROR(VLOOKUP(Table6[[#This Row],[Error Code]],'Basic Data'!$T:$U,2,0),"")</f>
        <v>Bus Error - Interbus Failure</v>
      </c>
      <c r="M315" s="346" t="s">
        <v>462</v>
      </c>
      <c r="N315" s="39" t="s">
        <v>1270</v>
      </c>
      <c r="O315" s="347">
        <v>0.64930555555555558</v>
      </c>
      <c r="P315" s="347">
        <v>0.67361111111111116</v>
      </c>
      <c r="Q315" s="347">
        <v>0.67500000000000004</v>
      </c>
      <c r="R315" s="348">
        <f>IF(Table6[[#This Row],[Work Start TimeStamp]]="","",(Table6[[#This Row],[Work Start TimeStamp]]-Table6[[#This Row],[Fault Start TimeStamp]])*24)</f>
        <v>0.58333333333333393</v>
      </c>
      <c r="S315" s="349">
        <f>(Table6[[#This Row],[Fault Clearance time]]-Table6[[#This Row],[Work Start TimeStamp]])*24</f>
        <v>3.3333333333333215E-2</v>
      </c>
      <c r="T315" s="350">
        <f>(Table6[[#This Row],[Fault Clearance time]]-Table6[[#This Row],[Fault Start TimeStamp]])*24</f>
        <v>0.61666666666666714</v>
      </c>
      <c r="U315" s="346" t="s">
        <v>491</v>
      </c>
      <c r="V315" s="351" t="s">
        <v>463</v>
      </c>
      <c r="W315" s="338">
        <f>Table6[[#This Row],[Breakdown Time]]*(1/39)</f>
        <v>1.5811965811965825E-2</v>
      </c>
      <c r="X315" s="336" t="s">
        <v>465</v>
      </c>
      <c r="Y315" s="352" t="s">
        <v>117</v>
      </c>
      <c r="Z315" s="105">
        <v>14963</v>
      </c>
      <c r="AA315" s="107">
        <v>384.46597222222255</v>
      </c>
      <c r="AB315" s="105" t="s">
        <v>478</v>
      </c>
    </row>
    <row r="316" spans="1:28">
      <c r="A316" s="105">
        <f t="shared" si="4"/>
        <v>315</v>
      </c>
      <c r="B316" s="107">
        <f>YEAR(Table6[[#This Row],[Date]])+IF(MONTH(Table6[[#This Row],[Date]])&gt;=4,1,0)</f>
        <v>2026</v>
      </c>
      <c r="C316" s="105">
        <f>YEAR(Table6[[#This Row],[Date]])</f>
        <v>2025</v>
      </c>
      <c r="D316" s="105" t="s">
        <v>490</v>
      </c>
      <c r="E316" s="119">
        <f>Table6[[#This Row],[Date]]-DAY(Table6[[#This Row],[Date]])+1</f>
        <v>45748</v>
      </c>
      <c r="F316" s="118">
        <v>45762</v>
      </c>
      <c r="G316" s="105" t="s">
        <v>152</v>
      </c>
      <c r="H316" s="39" t="str">
        <f>_xlfn.XLOOKUP(Table6[[#This Row],[Affected WTG]],'Basic Data'!$A:$A,'Basic Data'!$B:$B)</f>
        <v>PWEGPL</v>
      </c>
      <c r="I316" s="39" t="str">
        <f>_xlfn.XLOOKUP(Table6[[#This Row],[Affected WTG]],'Basic Data'!$A:$A,'Basic Data'!$C:$C)</f>
        <v>MSEDCL</v>
      </c>
      <c r="J316" s="345">
        <f>IFERROR(VLOOKUP(Table6[[#This Row],[Affected WTG]],'Basic Data'!$A$3:$E$56,5,0),"")</f>
        <v>2.564102564102564E-2</v>
      </c>
      <c r="K316" s="105" t="s">
        <v>466</v>
      </c>
      <c r="L316" s="39" t="str">
        <f>IFERROR(VLOOKUP(Table6[[#This Row],[Error Code]],'Basic Data'!$T:$U,2,0),"")</f>
        <v>Manual Stop</v>
      </c>
      <c r="M316" s="346" t="s">
        <v>479</v>
      </c>
      <c r="N316" s="39" t="s">
        <v>230</v>
      </c>
      <c r="O316" s="347">
        <v>0.47916666666666669</v>
      </c>
      <c r="P316" s="347">
        <v>0.47916666666666669</v>
      </c>
      <c r="Q316" s="347">
        <v>0.65625</v>
      </c>
      <c r="R316" s="348">
        <f>IF(Table6[[#This Row],[Work Start TimeStamp]]="","",(Table6[[#This Row],[Work Start TimeStamp]]-Table6[[#This Row],[Fault Start TimeStamp]])*24)</f>
        <v>0</v>
      </c>
      <c r="S316" s="349">
        <f>(Table6[[#This Row],[Fault Clearance time]]-Table6[[#This Row],[Work Start TimeStamp]])*24</f>
        <v>4.25</v>
      </c>
      <c r="T316" s="350">
        <f>(Table6[[#This Row],[Fault Clearance time]]-Table6[[#This Row],[Fault Start TimeStamp]])*24</f>
        <v>4.25</v>
      </c>
      <c r="U316" s="346" t="s">
        <v>549</v>
      </c>
      <c r="V316" s="351" t="s">
        <v>463</v>
      </c>
      <c r="W316" s="338">
        <f>Table6[[#This Row],[Breakdown Time]]*(1/39)</f>
        <v>0.10897435897435898</v>
      </c>
      <c r="X316" s="336" t="s">
        <v>464</v>
      </c>
      <c r="Y316" s="352" t="s">
        <v>153</v>
      </c>
      <c r="Z316" s="105">
        <v>12705</v>
      </c>
      <c r="AA316" s="107">
        <v>2249.84375</v>
      </c>
      <c r="AB316" s="105" t="s">
        <v>478</v>
      </c>
    </row>
    <row r="317" spans="1:28">
      <c r="A317" s="105">
        <f t="shared" si="4"/>
        <v>316</v>
      </c>
      <c r="B317" s="107">
        <f>YEAR(Table6[[#This Row],[Date]])+IF(MONTH(Table6[[#This Row],[Date]])&gt;=4,1,0)</f>
        <v>2026</v>
      </c>
      <c r="C317" s="105">
        <f>YEAR(Table6[[#This Row],[Date]])</f>
        <v>2025</v>
      </c>
      <c r="D317" s="105" t="s">
        <v>490</v>
      </c>
      <c r="E317" s="119">
        <f>Table6[[#This Row],[Date]]-DAY(Table6[[#This Row],[Date]])+1</f>
        <v>45748</v>
      </c>
      <c r="F317" s="118">
        <v>45763</v>
      </c>
      <c r="G317" s="105" t="s">
        <v>144</v>
      </c>
      <c r="H317" s="39" t="str">
        <f>_xlfn.XLOOKUP(Table6[[#This Row],[Affected WTG]],'Basic Data'!$A:$A,'Basic Data'!$B:$B)</f>
        <v>PWEGPL</v>
      </c>
      <c r="I317" s="39" t="str">
        <f>_xlfn.XLOOKUP(Table6[[#This Row],[Affected WTG]],'Basic Data'!$A:$A,'Basic Data'!$C:$C)</f>
        <v>MSEDCL</v>
      </c>
      <c r="J317" s="345">
        <f>IFERROR(VLOOKUP(Table6[[#This Row],[Affected WTG]],'Basic Data'!$A$3:$E$56,5,0),"")</f>
        <v>2.564102564102564E-2</v>
      </c>
      <c r="K317" s="105" t="s">
        <v>492</v>
      </c>
      <c r="L317" s="39" t="str">
        <f>IFERROR(VLOOKUP(Table6[[#This Row],[Error Code]],'Basic Data'!$T:$U,2,0),"")</f>
        <v>Manual Stop - Safety Related</v>
      </c>
      <c r="M317" s="346" t="s">
        <v>481</v>
      </c>
      <c r="N317" s="39" t="s">
        <v>1269</v>
      </c>
      <c r="O317" s="347">
        <v>0</v>
      </c>
      <c r="P317" s="347">
        <v>0.99930555555555556</v>
      </c>
      <c r="Q317" s="347">
        <v>0.99930555555555556</v>
      </c>
      <c r="R317" s="348">
        <f>IF(Table6[[#This Row],[Work Start TimeStamp]]="","",(Table6[[#This Row],[Work Start TimeStamp]]-Table6[[#This Row],[Fault Start TimeStamp]])*24)</f>
        <v>23.983333333333334</v>
      </c>
      <c r="S317" s="349">
        <f>(Table6[[#This Row],[Fault Clearance time]]-Table6[[#This Row],[Work Start TimeStamp]])*24</f>
        <v>0</v>
      </c>
      <c r="T317" s="350">
        <f>(Table6[[#This Row],[Fault Clearance time]]-Table6[[#This Row],[Fault Start TimeStamp]])*24</f>
        <v>23.983333333333334</v>
      </c>
      <c r="U317" s="346" t="s">
        <v>498</v>
      </c>
      <c r="V317" s="351" t="s">
        <v>473</v>
      </c>
      <c r="W317" s="338">
        <f>Table6[[#This Row],[Breakdown Time]]*(1/39)</f>
        <v>0.61495726495726499</v>
      </c>
      <c r="X317" s="336" t="s">
        <v>468</v>
      </c>
      <c r="Y317" s="352" t="s">
        <v>141</v>
      </c>
      <c r="Z317" s="105">
        <v>15884.961111111113</v>
      </c>
      <c r="AA317" s="107">
        <v>15873.929888117287</v>
      </c>
      <c r="AB317" s="105" t="s">
        <v>478</v>
      </c>
    </row>
    <row r="318" spans="1:28">
      <c r="A318" s="105">
        <f t="shared" si="4"/>
        <v>317</v>
      </c>
      <c r="B318" s="107">
        <f>YEAR(Table6[[#This Row],[Date]])+IF(MONTH(Table6[[#This Row],[Date]])&gt;=4,1,0)</f>
        <v>2026</v>
      </c>
      <c r="C318" s="105">
        <f>YEAR(Table6[[#This Row],[Date]])</f>
        <v>2025</v>
      </c>
      <c r="D318" s="105" t="s">
        <v>490</v>
      </c>
      <c r="E318" s="119">
        <f>Table6[[#This Row],[Date]]-DAY(Table6[[#This Row],[Date]])+1</f>
        <v>45748</v>
      </c>
      <c r="F318" s="118">
        <v>45763</v>
      </c>
      <c r="G318" s="105" t="s">
        <v>142</v>
      </c>
      <c r="H318" s="39" t="str">
        <f>_xlfn.XLOOKUP(Table6[[#This Row],[Affected WTG]],'Basic Data'!$A:$A,'Basic Data'!$B:$B)</f>
        <v>PWEGPL</v>
      </c>
      <c r="I318" s="39" t="str">
        <f>_xlfn.XLOOKUP(Table6[[#This Row],[Affected WTG]],'Basic Data'!$A:$A,'Basic Data'!$C:$C)</f>
        <v>MSEDCL</v>
      </c>
      <c r="J318" s="345">
        <f>IFERROR(VLOOKUP(Table6[[#This Row],[Affected WTG]],'Basic Data'!$A$3:$E$56,5,0),"")</f>
        <v>2.564102564102564E-2</v>
      </c>
      <c r="K318" s="105" t="s">
        <v>492</v>
      </c>
      <c r="L318" s="39" t="str">
        <f>IFERROR(VLOOKUP(Table6[[#This Row],[Error Code]],'Basic Data'!$T:$U,2,0),"")</f>
        <v>Manual Stop - Safety Related</v>
      </c>
      <c r="M318" s="346" t="s">
        <v>481</v>
      </c>
      <c r="N318" s="39" t="s">
        <v>1269</v>
      </c>
      <c r="O318" s="347">
        <v>0</v>
      </c>
      <c r="P318" s="347">
        <v>0.99930555555555556</v>
      </c>
      <c r="Q318" s="347">
        <v>0.99930555555555556</v>
      </c>
      <c r="R318" s="348">
        <f>IF(Table6[[#This Row],[Work Start TimeStamp]]="","",(Table6[[#This Row],[Work Start TimeStamp]]-Table6[[#This Row],[Fault Start TimeStamp]])*24)</f>
        <v>23.983333333333334</v>
      </c>
      <c r="S318" s="349">
        <f>(Table6[[#This Row],[Fault Clearance time]]-Table6[[#This Row],[Work Start TimeStamp]])*24</f>
        <v>0</v>
      </c>
      <c r="T318" s="350">
        <f>(Table6[[#This Row],[Fault Clearance time]]-Table6[[#This Row],[Fault Start TimeStamp]])*24</f>
        <v>23.983333333333334</v>
      </c>
      <c r="U318" s="346" t="s">
        <v>498</v>
      </c>
      <c r="V318" s="351" t="s">
        <v>473</v>
      </c>
      <c r="W318" s="338">
        <f>Table6[[#This Row],[Breakdown Time]]*(1/39)</f>
        <v>0.61495726495726499</v>
      </c>
      <c r="X318" s="336" t="s">
        <v>468</v>
      </c>
      <c r="Y318" s="352" t="s">
        <v>141</v>
      </c>
      <c r="Z318" s="105">
        <v>15884.961111111113</v>
      </c>
      <c r="AA318" s="107">
        <v>15873.929888117287</v>
      </c>
      <c r="AB318" s="105" t="s">
        <v>478</v>
      </c>
    </row>
    <row r="319" spans="1:28">
      <c r="A319" s="105">
        <f t="shared" si="4"/>
        <v>318</v>
      </c>
      <c r="B319" s="107">
        <f>YEAR(Table6[[#This Row],[Date]])+IF(MONTH(Table6[[#This Row],[Date]])&gt;=4,1,0)</f>
        <v>2026</v>
      </c>
      <c r="C319" s="105">
        <f>YEAR(Table6[[#This Row],[Date]])</f>
        <v>2025</v>
      </c>
      <c r="D319" s="105" t="s">
        <v>490</v>
      </c>
      <c r="E319" s="119">
        <f>Table6[[#This Row],[Date]]-DAY(Table6[[#This Row],[Date]])+1</f>
        <v>45748</v>
      </c>
      <c r="F319" s="118">
        <v>45763</v>
      </c>
      <c r="G319" s="105" t="s">
        <v>135</v>
      </c>
      <c r="H319" s="39" t="str">
        <f>_xlfn.XLOOKUP(Table6[[#This Row],[Affected WTG]],'Basic Data'!$A:$A,'Basic Data'!$B:$B)</f>
        <v>PWEGPL</v>
      </c>
      <c r="I319" s="39" t="str">
        <f>_xlfn.XLOOKUP(Table6[[#This Row],[Affected WTG]],'Basic Data'!$A:$A,'Basic Data'!$C:$C)</f>
        <v>MSEDCL</v>
      </c>
      <c r="J319" s="345">
        <f>IFERROR(VLOOKUP(Table6[[#This Row],[Affected WTG]],'Basic Data'!$A$3:$E$56,5,0),"")</f>
        <v>2.564102564102564E-2</v>
      </c>
      <c r="K319" s="105">
        <v>5228</v>
      </c>
      <c r="L319" s="39" t="str">
        <f>IFERROR(VLOOKUP(Table6[[#This Row],[Error Code]],'Basic Data'!$T:$U,2,0),"")</f>
        <v>Preload Failure</v>
      </c>
      <c r="M319" s="346" t="s">
        <v>462</v>
      </c>
      <c r="N319" s="39" t="s">
        <v>1270</v>
      </c>
      <c r="O319" s="347">
        <v>0.6333333333333333</v>
      </c>
      <c r="P319" s="347">
        <v>0.65347222222222223</v>
      </c>
      <c r="Q319" s="347">
        <v>0.66527777777777775</v>
      </c>
      <c r="R319" s="348">
        <f>IF(Table6[[#This Row],[Work Start TimeStamp]]="","",(Table6[[#This Row],[Work Start TimeStamp]]-Table6[[#This Row],[Fault Start TimeStamp]])*24)</f>
        <v>0.48333333333333428</v>
      </c>
      <c r="S319" s="349">
        <f>(Table6[[#This Row],[Fault Clearance time]]-Table6[[#This Row],[Work Start TimeStamp]])*24</f>
        <v>0.28333333333333233</v>
      </c>
      <c r="T319" s="350">
        <f>(Table6[[#This Row],[Fault Clearance time]]-Table6[[#This Row],[Fault Start TimeStamp]])*24</f>
        <v>0.76666666666666661</v>
      </c>
      <c r="U319" s="346" t="s">
        <v>550</v>
      </c>
      <c r="V319" s="351" t="s">
        <v>463</v>
      </c>
      <c r="W319" s="338">
        <f>Table6[[#This Row],[Breakdown Time]]*(1/39)</f>
        <v>1.9658119658119654E-2</v>
      </c>
      <c r="X319" s="336" t="s">
        <v>465</v>
      </c>
      <c r="Y319" s="352" t="s">
        <v>136</v>
      </c>
      <c r="Z319" s="105">
        <v>12169</v>
      </c>
      <c r="AA319" s="107">
        <v>388.73194444444442</v>
      </c>
      <c r="AB319" s="105" t="s">
        <v>478</v>
      </c>
    </row>
    <row r="320" spans="1:28">
      <c r="A320" s="105">
        <f t="shared" si="4"/>
        <v>319</v>
      </c>
      <c r="B320" s="107">
        <f>YEAR(Table6[[#This Row],[Date]])+IF(MONTH(Table6[[#This Row],[Date]])&gt;=4,1,0)</f>
        <v>2026</v>
      </c>
      <c r="C320" s="105">
        <f>YEAR(Table6[[#This Row],[Date]])</f>
        <v>2025</v>
      </c>
      <c r="D320" s="105" t="s">
        <v>490</v>
      </c>
      <c r="E320" s="119">
        <f>Table6[[#This Row],[Date]]-DAY(Table6[[#This Row],[Date]])+1</f>
        <v>45748</v>
      </c>
      <c r="F320" s="118">
        <v>45763</v>
      </c>
      <c r="G320" s="105" t="s">
        <v>138</v>
      </c>
      <c r="H320" s="39" t="str">
        <f>_xlfn.XLOOKUP(Table6[[#This Row],[Affected WTG]],'Basic Data'!$A:$A,'Basic Data'!$B:$B)</f>
        <v>PWEGPL</v>
      </c>
      <c r="I320" s="39" t="str">
        <f>_xlfn.XLOOKUP(Table6[[#This Row],[Affected WTG]],'Basic Data'!$A:$A,'Basic Data'!$C:$C)</f>
        <v>MSEDCL</v>
      </c>
      <c r="J320" s="345">
        <f>IFERROR(VLOOKUP(Table6[[#This Row],[Affected WTG]],'Basic Data'!$A$3:$E$56,5,0),"")</f>
        <v>2.564102564102564E-2</v>
      </c>
      <c r="K320" s="105">
        <v>5201</v>
      </c>
      <c r="L320" s="39" t="str">
        <f>IFERROR(VLOOKUP(Table6[[#This Row],[Error Code]],'Basic Data'!$T:$U,2,0),"")</f>
        <v>Magnetothermic Trigger Of The Stator Protection</v>
      </c>
      <c r="M320" s="346" t="s">
        <v>462</v>
      </c>
      <c r="N320" s="39" t="s">
        <v>1270</v>
      </c>
      <c r="O320" s="347">
        <v>0.6333333333333333</v>
      </c>
      <c r="P320" s="347">
        <v>0.67013888888888884</v>
      </c>
      <c r="Q320" s="347">
        <v>0.67152777777777772</v>
      </c>
      <c r="R320" s="348">
        <f>IF(Table6[[#This Row],[Work Start TimeStamp]]="","",(Table6[[#This Row],[Work Start TimeStamp]]-Table6[[#This Row],[Fault Start TimeStamp]])*24)</f>
        <v>0.88333333333333286</v>
      </c>
      <c r="S320" s="349">
        <f>(Table6[[#This Row],[Fault Clearance time]]-Table6[[#This Row],[Work Start TimeStamp]])*24</f>
        <v>3.3333333333333215E-2</v>
      </c>
      <c r="T320" s="350">
        <f>(Table6[[#This Row],[Fault Clearance time]]-Table6[[#This Row],[Fault Start TimeStamp]])*24</f>
        <v>0.91666666666666607</v>
      </c>
      <c r="U320" s="346" t="s">
        <v>493</v>
      </c>
      <c r="V320" s="351" t="s">
        <v>463</v>
      </c>
      <c r="W320" s="338">
        <f>Table6[[#This Row],[Breakdown Time]]*(1/39)</f>
        <v>2.3504273504273487E-2</v>
      </c>
      <c r="X320" s="336" t="s">
        <v>465</v>
      </c>
      <c r="Y320" s="352" t="s">
        <v>140</v>
      </c>
      <c r="Z320" s="105">
        <v>12185</v>
      </c>
      <c r="AA320" s="107">
        <v>465.39930555555526</v>
      </c>
      <c r="AB320" s="105" t="s">
        <v>478</v>
      </c>
    </row>
    <row r="321" spans="1:28">
      <c r="A321" s="105">
        <f t="shared" si="4"/>
        <v>320</v>
      </c>
      <c r="B321" s="107">
        <f>YEAR(Table6[[#This Row],[Date]])+IF(MONTH(Table6[[#This Row],[Date]])&gt;=4,1,0)</f>
        <v>2026</v>
      </c>
      <c r="C321" s="105">
        <f>YEAR(Table6[[#This Row],[Date]])</f>
        <v>2025</v>
      </c>
      <c r="D321" s="105" t="s">
        <v>490</v>
      </c>
      <c r="E321" s="119">
        <f>Table6[[#This Row],[Date]]-DAY(Table6[[#This Row],[Date]])+1</f>
        <v>45748</v>
      </c>
      <c r="F321" s="118">
        <v>45763</v>
      </c>
      <c r="G321" s="105" t="s">
        <v>151</v>
      </c>
      <c r="H321" s="39" t="str">
        <f>_xlfn.XLOOKUP(Table6[[#This Row],[Affected WTG]],'Basic Data'!$A:$A,'Basic Data'!$B:$B)</f>
        <v>PWEGPL</v>
      </c>
      <c r="I321" s="39" t="str">
        <f>_xlfn.XLOOKUP(Table6[[#This Row],[Affected WTG]],'Basic Data'!$A:$A,'Basic Data'!$C:$C)</f>
        <v>MSEDCL</v>
      </c>
      <c r="J321" s="345">
        <f>IFERROR(VLOOKUP(Table6[[#This Row],[Affected WTG]],'Basic Data'!$A$3:$E$56,5,0),"")</f>
        <v>2.564102564102564E-2</v>
      </c>
      <c r="K321" s="105">
        <v>5201</v>
      </c>
      <c r="L321" s="39" t="str">
        <f>IFERROR(VLOOKUP(Table6[[#This Row],[Error Code]],'Basic Data'!$T:$U,2,0),"")</f>
        <v>Magnetothermic Trigger Of The Stator Protection</v>
      </c>
      <c r="M321" s="346" t="s">
        <v>462</v>
      </c>
      <c r="N321" s="39" t="s">
        <v>1270</v>
      </c>
      <c r="O321" s="347">
        <v>0.6333333333333333</v>
      </c>
      <c r="P321" s="347">
        <v>0.67708333333333337</v>
      </c>
      <c r="Q321" s="347">
        <v>0.6791666666666667</v>
      </c>
      <c r="R321" s="348">
        <f>IF(Table6[[#This Row],[Work Start TimeStamp]]="","",(Table6[[#This Row],[Work Start TimeStamp]]-Table6[[#This Row],[Fault Start TimeStamp]])*24)</f>
        <v>1.0500000000000016</v>
      </c>
      <c r="S321" s="349">
        <f>(Table6[[#This Row],[Fault Clearance time]]-Table6[[#This Row],[Work Start TimeStamp]])*24</f>
        <v>4.9999999999999822E-2</v>
      </c>
      <c r="T321" s="350">
        <f>(Table6[[#This Row],[Fault Clearance time]]-Table6[[#This Row],[Fault Start TimeStamp]])*24</f>
        <v>1.1000000000000014</v>
      </c>
      <c r="U321" s="346" t="s">
        <v>493</v>
      </c>
      <c r="V321" s="351" t="s">
        <v>463</v>
      </c>
      <c r="W321" s="338">
        <f>Table6[[#This Row],[Breakdown Time]]*(1/39)</f>
        <v>2.820512820512824E-2</v>
      </c>
      <c r="X321" s="336" t="s">
        <v>465</v>
      </c>
      <c r="Y321" s="352" t="s">
        <v>153</v>
      </c>
      <c r="Z321" s="105">
        <v>14952</v>
      </c>
      <c r="AA321" s="107">
        <v>685.30000000000086</v>
      </c>
      <c r="AB321" s="105" t="s">
        <v>478</v>
      </c>
    </row>
    <row r="322" spans="1:28">
      <c r="A322" s="105">
        <f t="shared" si="4"/>
        <v>321</v>
      </c>
      <c r="B322" s="107">
        <f>YEAR(Table6[[#This Row],[Date]])+IF(MONTH(Table6[[#This Row],[Date]])&gt;=4,1,0)</f>
        <v>2026</v>
      </c>
      <c r="C322" s="105">
        <f>YEAR(Table6[[#This Row],[Date]])</f>
        <v>2025</v>
      </c>
      <c r="D322" s="105" t="s">
        <v>490</v>
      </c>
      <c r="E322" s="119">
        <f>Table6[[#This Row],[Date]]-DAY(Table6[[#This Row],[Date]])+1</f>
        <v>45748</v>
      </c>
      <c r="F322" s="118">
        <v>45764</v>
      </c>
      <c r="G322" s="105" t="s">
        <v>144</v>
      </c>
      <c r="H322" s="39" t="str">
        <f>_xlfn.XLOOKUP(Table6[[#This Row],[Affected WTG]],'Basic Data'!$A:$A,'Basic Data'!$B:$B)</f>
        <v>PWEGPL</v>
      </c>
      <c r="I322" s="39" t="str">
        <f>_xlfn.XLOOKUP(Table6[[#This Row],[Affected WTG]],'Basic Data'!$A:$A,'Basic Data'!$C:$C)</f>
        <v>MSEDCL</v>
      </c>
      <c r="J322" s="345">
        <f>IFERROR(VLOOKUP(Table6[[#This Row],[Affected WTG]],'Basic Data'!$A$3:$E$56,5,0),"")</f>
        <v>2.564102564102564E-2</v>
      </c>
      <c r="K322" s="105" t="s">
        <v>492</v>
      </c>
      <c r="L322" s="39" t="str">
        <f>IFERROR(VLOOKUP(Table6[[#This Row],[Error Code]],'Basic Data'!$T:$U,2,0),"")</f>
        <v>Manual Stop - Safety Related</v>
      </c>
      <c r="M322" s="346" t="s">
        <v>481</v>
      </c>
      <c r="N322" s="39" t="s">
        <v>1269</v>
      </c>
      <c r="O322" s="347">
        <v>0</v>
      </c>
      <c r="P322" s="347">
        <v>0.99930555555555556</v>
      </c>
      <c r="Q322" s="347">
        <v>0.99930555555555556</v>
      </c>
      <c r="R322" s="348">
        <f>IF(Table6[[#This Row],[Work Start TimeStamp]]="","",(Table6[[#This Row],[Work Start TimeStamp]]-Table6[[#This Row],[Fault Start TimeStamp]])*24)</f>
        <v>23.983333333333334</v>
      </c>
      <c r="S322" s="349">
        <f>(Table6[[#This Row],[Fault Clearance time]]-Table6[[#This Row],[Work Start TimeStamp]])*24</f>
        <v>0</v>
      </c>
      <c r="T322" s="350">
        <f>(Table6[[#This Row],[Fault Clearance time]]-Table6[[#This Row],[Fault Start TimeStamp]])*24</f>
        <v>23.983333333333334</v>
      </c>
      <c r="U322" s="346" t="s">
        <v>498</v>
      </c>
      <c r="V322" s="351" t="s">
        <v>473</v>
      </c>
      <c r="W322" s="338">
        <f>Table6[[#This Row],[Breakdown Time]]*(1/39)</f>
        <v>0.61495726495726499</v>
      </c>
      <c r="X322" s="336" t="s">
        <v>468</v>
      </c>
      <c r="Y322" s="352" t="s">
        <v>141</v>
      </c>
      <c r="Z322" s="105">
        <v>12176.538194444445</v>
      </c>
      <c r="AA322" s="107">
        <v>12168.082265142748</v>
      </c>
      <c r="AB322" s="105" t="s">
        <v>478</v>
      </c>
    </row>
    <row r="323" spans="1:28">
      <c r="A323" s="105">
        <f t="shared" si="4"/>
        <v>322</v>
      </c>
      <c r="B323" s="107">
        <f>YEAR(Table6[[#This Row],[Date]])+IF(MONTH(Table6[[#This Row],[Date]])&gt;=4,1,0)</f>
        <v>2026</v>
      </c>
      <c r="C323" s="105">
        <f>YEAR(Table6[[#This Row],[Date]])</f>
        <v>2025</v>
      </c>
      <c r="D323" s="105" t="s">
        <v>490</v>
      </c>
      <c r="E323" s="119">
        <f>Table6[[#This Row],[Date]]-DAY(Table6[[#This Row],[Date]])+1</f>
        <v>45748</v>
      </c>
      <c r="F323" s="118">
        <v>45764</v>
      </c>
      <c r="G323" s="105" t="s">
        <v>142</v>
      </c>
      <c r="H323" s="39" t="str">
        <f>_xlfn.XLOOKUP(Table6[[#This Row],[Affected WTG]],'Basic Data'!$A:$A,'Basic Data'!$B:$B)</f>
        <v>PWEGPL</v>
      </c>
      <c r="I323" s="39" t="str">
        <f>_xlfn.XLOOKUP(Table6[[#This Row],[Affected WTG]],'Basic Data'!$A:$A,'Basic Data'!$C:$C)</f>
        <v>MSEDCL</v>
      </c>
      <c r="J323" s="345">
        <f>IFERROR(VLOOKUP(Table6[[#This Row],[Affected WTG]],'Basic Data'!$A$3:$E$56,5,0),"")</f>
        <v>2.564102564102564E-2</v>
      </c>
      <c r="K323" s="105" t="s">
        <v>492</v>
      </c>
      <c r="L323" s="39" t="str">
        <f>IFERROR(VLOOKUP(Table6[[#This Row],[Error Code]],'Basic Data'!$T:$U,2,0),"")</f>
        <v>Manual Stop - Safety Related</v>
      </c>
      <c r="M323" s="346" t="s">
        <v>481</v>
      </c>
      <c r="N323" s="39" t="s">
        <v>1269</v>
      </c>
      <c r="O323" s="347">
        <v>0</v>
      </c>
      <c r="P323" s="347">
        <v>0.99930555555555556</v>
      </c>
      <c r="Q323" s="347">
        <v>0.99930555555555556</v>
      </c>
      <c r="R323" s="348">
        <f>IF(Table6[[#This Row],[Work Start TimeStamp]]="","",(Table6[[#This Row],[Work Start TimeStamp]]-Table6[[#This Row],[Fault Start TimeStamp]])*24)</f>
        <v>23.983333333333334</v>
      </c>
      <c r="S323" s="349">
        <f>(Table6[[#This Row],[Fault Clearance time]]-Table6[[#This Row],[Work Start TimeStamp]])*24</f>
        <v>0</v>
      </c>
      <c r="T323" s="350">
        <f>(Table6[[#This Row],[Fault Clearance time]]-Table6[[#This Row],[Fault Start TimeStamp]])*24</f>
        <v>23.983333333333334</v>
      </c>
      <c r="U323" s="346" t="s">
        <v>498</v>
      </c>
      <c r="V323" s="351" t="s">
        <v>473</v>
      </c>
      <c r="W323" s="338">
        <f>Table6[[#This Row],[Breakdown Time]]*(1/39)</f>
        <v>0.61495726495726499</v>
      </c>
      <c r="X323" s="336" t="s">
        <v>468</v>
      </c>
      <c r="Y323" s="352" t="s">
        <v>141</v>
      </c>
      <c r="Z323" s="105">
        <v>12176.538194444445</v>
      </c>
      <c r="AA323" s="107">
        <v>12168.082265142748</v>
      </c>
      <c r="AB323" s="105" t="s">
        <v>478</v>
      </c>
    </row>
    <row r="324" spans="1:28">
      <c r="A324" s="105">
        <f t="shared" ref="A324:A387" si="5">A323+1</f>
        <v>323</v>
      </c>
      <c r="B324" s="107">
        <f>YEAR(Table6[[#This Row],[Date]])+IF(MONTH(Table6[[#This Row],[Date]])&gt;=4,1,0)</f>
        <v>2026</v>
      </c>
      <c r="C324" s="105">
        <f>YEAR(Table6[[#This Row],[Date]])</f>
        <v>2025</v>
      </c>
      <c r="D324" s="105" t="s">
        <v>490</v>
      </c>
      <c r="E324" s="119">
        <f>Table6[[#This Row],[Date]]-DAY(Table6[[#This Row],[Date]])+1</f>
        <v>45748</v>
      </c>
      <c r="F324" s="118">
        <v>45764</v>
      </c>
      <c r="G324" s="105" t="s">
        <v>115</v>
      </c>
      <c r="H324" s="39" t="str">
        <f>_xlfn.XLOOKUP(Table6[[#This Row],[Affected WTG]],'Basic Data'!$A:$A,'Basic Data'!$B:$B)</f>
        <v>PWEGPL</v>
      </c>
      <c r="I324" s="39" t="str">
        <f>_xlfn.XLOOKUP(Table6[[#This Row],[Affected WTG]],'Basic Data'!$A:$A,'Basic Data'!$C:$C)</f>
        <v>MSEDCL</v>
      </c>
      <c r="J324" s="345">
        <f>IFERROR(VLOOKUP(Table6[[#This Row],[Affected WTG]],'Basic Data'!$A$3:$E$56,5,0),"")</f>
        <v>2.564102564102564E-2</v>
      </c>
      <c r="K324" s="105">
        <v>207</v>
      </c>
      <c r="L324" s="39" t="str">
        <f>IFERROR(VLOOKUP(Table6[[#This Row],[Error Code]],'Basic Data'!$T:$U,2,0),"")</f>
        <v>Hydraulic Oil High Temperature</v>
      </c>
      <c r="M324" s="346" t="s">
        <v>462</v>
      </c>
      <c r="N324" s="39" t="s">
        <v>1270</v>
      </c>
      <c r="O324" s="347">
        <v>0.16805555555555557</v>
      </c>
      <c r="P324" s="347">
        <v>0.2013888888888889</v>
      </c>
      <c r="Q324" s="347">
        <v>0.20277777777777778</v>
      </c>
      <c r="R324" s="348">
        <f>IF(Table6[[#This Row],[Work Start TimeStamp]]="","",(Table6[[#This Row],[Work Start TimeStamp]]-Table6[[#This Row],[Fault Start TimeStamp]])*24)</f>
        <v>0.79999999999999982</v>
      </c>
      <c r="S324" s="349">
        <f>(Table6[[#This Row],[Fault Clearance time]]-Table6[[#This Row],[Work Start TimeStamp]])*24</f>
        <v>3.3333333333333215E-2</v>
      </c>
      <c r="T324" s="350">
        <f>(Table6[[#This Row],[Fault Clearance time]]-Table6[[#This Row],[Fault Start TimeStamp]])*24</f>
        <v>0.83333333333333304</v>
      </c>
      <c r="U324" s="346" t="s">
        <v>491</v>
      </c>
      <c r="V324" s="351" t="s">
        <v>463</v>
      </c>
      <c r="W324" s="338">
        <f>Table6[[#This Row],[Breakdown Time]]*(1/39)</f>
        <v>2.1367521367521358E-2</v>
      </c>
      <c r="X324" s="336" t="s">
        <v>465</v>
      </c>
      <c r="Y324" s="352" t="s">
        <v>121</v>
      </c>
      <c r="Z324" s="105">
        <v>15190</v>
      </c>
      <c r="AA324" s="107">
        <v>527.43055555555532</v>
      </c>
      <c r="AB324" s="105" t="s">
        <v>478</v>
      </c>
    </row>
    <row r="325" spans="1:28">
      <c r="A325" s="105">
        <f t="shared" si="5"/>
        <v>324</v>
      </c>
      <c r="B325" s="107">
        <f>YEAR(Table6[[#This Row],[Date]])+IF(MONTH(Table6[[#This Row],[Date]])&gt;=4,1,0)</f>
        <v>2026</v>
      </c>
      <c r="C325" s="105">
        <f>YEAR(Table6[[#This Row],[Date]])</f>
        <v>2025</v>
      </c>
      <c r="D325" s="105" t="s">
        <v>490</v>
      </c>
      <c r="E325" s="119">
        <f>Table6[[#This Row],[Date]]-DAY(Table6[[#This Row],[Date]])+1</f>
        <v>45748</v>
      </c>
      <c r="F325" s="118">
        <v>45764</v>
      </c>
      <c r="G325" s="105" t="s">
        <v>115</v>
      </c>
      <c r="H325" s="39" t="str">
        <f>_xlfn.XLOOKUP(Table6[[#This Row],[Affected WTG]],'Basic Data'!$A:$A,'Basic Data'!$B:$B)</f>
        <v>PWEGPL</v>
      </c>
      <c r="I325" s="39" t="str">
        <f>_xlfn.XLOOKUP(Table6[[#This Row],[Affected WTG]],'Basic Data'!$A:$A,'Basic Data'!$C:$C)</f>
        <v>MSEDCL</v>
      </c>
      <c r="J325" s="345">
        <f>IFERROR(VLOOKUP(Table6[[#This Row],[Affected WTG]],'Basic Data'!$A$3:$E$56,5,0),"")</f>
        <v>2.564102564102564E-2</v>
      </c>
      <c r="K325" s="105" t="s">
        <v>466</v>
      </c>
      <c r="L325" s="39" t="str">
        <f>IFERROR(VLOOKUP(Table6[[#This Row],[Error Code]],'Basic Data'!$T:$U,2,0),"")</f>
        <v>Manual Stop</v>
      </c>
      <c r="M325" s="346" t="s">
        <v>479</v>
      </c>
      <c r="N325" s="39" t="s">
        <v>230</v>
      </c>
      <c r="O325" s="347">
        <v>0.47222222222222221</v>
      </c>
      <c r="P325" s="347">
        <v>0.47222222222222221</v>
      </c>
      <c r="Q325" s="347">
        <v>0.54861111111111116</v>
      </c>
      <c r="R325" s="348">
        <f>IF(Table6[[#This Row],[Work Start TimeStamp]]="","",(Table6[[#This Row],[Work Start TimeStamp]]-Table6[[#This Row],[Fault Start TimeStamp]])*24)</f>
        <v>0</v>
      </c>
      <c r="S325" s="349">
        <f>(Table6[[#This Row],[Fault Clearance time]]-Table6[[#This Row],[Work Start TimeStamp]])*24</f>
        <v>1.8333333333333348</v>
      </c>
      <c r="T325" s="350">
        <f>(Table6[[#This Row],[Fault Clearance time]]-Table6[[#This Row],[Fault Start TimeStamp]])*24</f>
        <v>1.8333333333333348</v>
      </c>
      <c r="U325" s="346" t="s">
        <v>551</v>
      </c>
      <c r="V325" s="351" t="s">
        <v>463</v>
      </c>
      <c r="W325" s="338">
        <f>Table6[[#This Row],[Breakdown Time]]*(1/39)</f>
        <v>4.7008547008547043E-2</v>
      </c>
      <c r="X325" s="336" t="s">
        <v>464</v>
      </c>
      <c r="Y325" s="352" t="s">
        <v>121</v>
      </c>
      <c r="Z325" s="105">
        <v>15190</v>
      </c>
      <c r="AA325" s="107">
        <v>1160.3472222222231</v>
      </c>
      <c r="AB325" s="105" t="s">
        <v>478</v>
      </c>
    </row>
    <row r="326" spans="1:28">
      <c r="A326" s="105">
        <f t="shared" si="5"/>
        <v>325</v>
      </c>
      <c r="B326" s="107">
        <f>YEAR(Table6[[#This Row],[Date]])+IF(MONTH(Table6[[#This Row],[Date]])&gt;=4,1,0)</f>
        <v>2026</v>
      </c>
      <c r="C326" s="105">
        <f>YEAR(Table6[[#This Row],[Date]])</f>
        <v>2025</v>
      </c>
      <c r="D326" s="105" t="s">
        <v>490</v>
      </c>
      <c r="E326" s="119">
        <f>Table6[[#This Row],[Date]]-DAY(Table6[[#This Row],[Date]])+1</f>
        <v>45748</v>
      </c>
      <c r="F326" s="118">
        <v>45764</v>
      </c>
      <c r="G326" s="105" t="s">
        <v>116</v>
      </c>
      <c r="H326" s="39" t="str">
        <f>_xlfn.XLOOKUP(Table6[[#This Row],[Affected WTG]],'Basic Data'!$A:$A,'Basic Data'!$B:$B)</f>
        <v>PWEGPL</v>
      </c>
      <c r="I326" s="39" t="str">
        <f>_xlfn.XLOOKUP(Table6[[#This Row],[Affected WTG]],'Basic Data'!$A:$A,'Basic Data'!$C:$C)</f>
        <v>MSEDCL</v>
      </c>
      <c r="J326" s="345">
        <f>IFERROR(VLOOKUP(Table6[[#This Row],[Affected WTG]],'Basic Data'!$A$3:$E$56,5,0),"")</f>
        <v>2.564102564102564E-2</v>
      </c>
      <c r="K326" s="105">
        <v>502</v>
      </c>
      <c r="L326" s="39" t="str">
        <f>IFERROR(VLOOKUP(Table6[[#This Row],[Error Code]],'Basic Data'!$T:$U,2,0),"")</f>
        <v>Generator NDE Bearing High Temperature Alarm</v>
      </c>
      <c r="M326" s="346" t="s">
        <v>462</v>
      </c>
      <c r="N326" s="39" t="s">
        <v>1270</v>
      </c>
      <c r="O326" s="347">
        <v>0.17777777777777778</v>
      </c>
      <c r="P326" s="347">
        <v>0.21527777777777779</v>
      </c>
      <c r="Q326" s="347">
        <v>0.21666666666666667</v>
      </c>
      <c r="R326" s="348">
        <f>IF(Table6[[#This Row],[Work Start TimeStamp]]="","",(Table6[[#This Row],[Work Start TimeStamp]]-Table6[[#This Row],[Fault Start TimeStamp]])*24)</f>
        <v>0.90000000000000013</v>
      </c>
      <c r="S326" s="349">
        <f>(Table6[[#This Row],[Fault Clearance time]]-Table6[[#This Row],[Work Start TimeStamp]])*24</f>
        <v>3.3333333333333215E-2</v>
      </c>
      <c r="T326" s="350">
        <f>(Table6[[#This Row],[Fault Clearance time]]-Table6[[#This Row],[Fault Start TimeStamp]])*24</f>
        <v>0.93333333333333335</v>
      </c>
      <c r="U326" s="346" t="s">
        <v>491</v>
      </c>
      <c r="V326" s="351" t="s">
        <v>463</v>
      </c>
      <c r="W326" s="338">
        <f>Table6[[#This Row],[Breakdown Time]]*(1/39)</f>
        <v>2.393162393162393E-2</v>
      </c>
      <c r="X326" s="336" t="s">
        <v>465</v>
      </c>
      <c r="Y326" s="352" t="s">
        <v>118</v>
      </c>
      <c r="Z326" s="105">
        <v>16584</v>
      </c>
      <c r="AA326" s="107">
        <v>644.93333333333339</v>
      </c>
      <c r="AB326" s="105" t="s">
        <v>478</v>
      </c>
    </row>
    <row r="327" spans="1:28">
      <c r="A327" s="105">
        <f t="shared" si="5"/>
        <v>326</v>
      </c>
      <c r="B327" s="107">
        <f>YEAR(Table6[[#This Row],[Date]])+IF(MONTH(Table6[[#This Row],[Date]])&gt;=4,1,0)</f>
        <v>2026</v>
      </c>
      <c r="C327" s="105">
        <f>YEAR(Table6[[#This Row],[Date]])</f>
        <v>2025</v>
      </c>
      <c r="D327" s="105" t="s">
        <v>490</v>
      </c>
      <c r="E327" s="119">
        <f>Table6[[#This Row],[Date]]-DAY(Table6[[#This Row],[Date]])+1</f>
        <v>45748</v>
      </c>
      <c r="F327" s="118">
        <v>45764</v>
      </c>
      <c r="G327" s="105" t="s">
        <v>116</v>
      </c>
      <c r="H327" s="39" t="str">
        <f>_xlfn.XLOOKUP(Table6[[#This Row],[Affected WTG]],'Basic Data'!$A:$A,'Basic Data'!$B:$B)</f>
        <v>PWEGPL</v>
      </c>
      <c r="I327" s="39" t="str">
        <f>_xlfn.XLOOKUP(Table6[[#This Row],[Affected WTG]],'Basic Data'!$A:$A,'Basic Data'!$C:$C)</f>
        <v>MSEDCL</v>
      </c>
      <c r="J327" s="345">
        <f>IFERROR(VLOOKUP(Table6[[#This Row],[Affected WTG]],'Basic Data'!$A$3:$E$56,5,0),"")</f>
        <v>2.564102564102564E-2</v>
      </c>
      <c r="K327" s="105" t="s">
        <v>466</v>
      </c>
      <c r="L327" s="39" t="str">
        <f>IFERROR(VLOOKUP(Table6[[#This Row],[Error Code]],'Basic Data'!$T:$U,2,0),"")</f>
        <v>Manual Stop</v>
      </c>
      <c r="M327" s="346" t="s">
        <v>479</v>
      </c>
      <c r="N327" s="39" t="s">
        <v>230</v>
      </c>
      <c r="O327" s="347">
        <v>0.55694444444444446</v>
      </c>
      <c r="P327" s="347">
        <v>0.55694444444444446</v>
      </c>
      <c r="Q327" s="347">
        <v>0.60763888888888884</v>
      </c>
      <c r="R327" s="348">
        <f>IF(Table6[[#This Row],[Work Start TimeStamp]]="","",(Table6[[#This Row],[Work Start TimeStamp]]-Table6[[#This Row],[Fault Start TimeStamp]])*24)</f>
        <v>0</v>
      </c>
      <c r="S327" s="349">
        <f>(Table6[[#This Row],[Fault Clearance time]]-Table6[[#This Row],[Work Start TimeStamp]])*24</f>
        <v>1.216666666666665</v>
      </c>
      <c r="T327" s="350">
        <f>(Table6[[#This Row],[Fault Clearance time]]-Table6[[#This Row],[Fault Start TimeStamp]])*24</f>
        <v>1.216666666666665</v>
      </c>
      <c r="U327" s="346" t="s">
        <v>552</v>
      </c>
      <c r="V327" s="351" t="s">
        <v>463</v>
      </c>
      <c r="W327" s="338">
        <f>Table6[[#This Row],[Breakdown Time]]*(1/39)</f>
        <v>3.1196581196581152E-2</v>
      </c>
      <c r="X327" s="336" t="s">
        <v>464</v>
      </c>
      <c r="Y327" s="352" t="s">
        <v>118</v>
      </c>
      <c r="Z327" s="105">
        <v>16584</v>
      </c>
      <c r="AA327" s="107">
        <v>840.71666666666556</v>
      </c>
      <c r="AB327" s="105" t="s">
        <v>478</v>
      </c>
    </row>
    <row r="328" spans="1:28">
      <c r="A328" s="105">
        <f t="shared" si="5"/>
        <v>327</v>
      </c>
      <c r="B328" s="107">
        <f>YEAR(Table6[[#This Row],[Date]])+IF(MONTH(Table6[[#This Row],[Date]])&gt;=4,1,0)</f>
        <v>2026</v>
      </c>
      <c r="C328" s="105">
        <f>YEAR(Table6[[#This Row],[Date]])</f>
        <v>2025</v>
      </c>
      <c r="D328" s="105" t="s">
        <v>490</v>
      </c>
      <c r="E328" s="119">
        <f>Table6[[#This Row],[Date]]-DAY(Table6[[#This Row],[Date]])+1</f>
        <v>45748</v>
      </c>
      <c r="F328" s="118">
        <v>45764</v>
      </c>
      <c r="G328" s="105" t="s">
        <v>121</v>
      </c>
      <c r="H328" s="39" t="str">
        <f>_xlfn.XLOOKUP(Table6[[#This Row],[Affected WTG]],'Basic Data'!$A:$A,'Basic Data'!$B:$B)</f>
        <v>PWEGPL</v>
      </c>
      <c r="I328" s="39" t="str">
        <f>_xlfn.XLOOKUP(Table6[[#This Row],[Affected WTG]],'Basic Data'!$A:$A,'Basic Data'!$C:$C)</f>
        <v>MSEDCL</v>
      </c>
      <c r="J328" s="345">
        <f>IFERROR(VLOOKUP(Table6[[#This Row],[Affected WTG]],'Basic Data'!$A$3:$E$56,5,0),"")</f>
        <v>2.564102564102564E-2</v>
      </c>
      <c r="K328" s="105">
        <v>403</v>
      </c>
      <c r="L328" s="39" t="str">
        <f>IFERROR(VLOOKUP(Table6[[#This Row],[Error Code]],'Basic Data'!$T:$U,2,0),"")</f>
        <v>High Gearbox Oil Temperature</v>
      </c>
      <c r="M328" s="346" t="s">
        <v>462</v>
      </c>
      <c r="N328" s="39" t="s">
        <v>1270</v>
      </c>
      <c r="O328" s="347">
        <v>0.1423611111111111</v>
      </c>
      <c r="P328" s="347">
        <v>0.16805555555555557</v>
      </c>
      <c r="Q328" s="347">
        <v>0.1701388888888889</v>
      </c>
      <c r="R328" s="348">
        <f>IF(Table6[[#This Row],[Work Start TimeStamp]]="","",(Table6[[#This Row],[Work Start TimeStamp]]-Table6[[#This Row],[Fault Start TimeStamp]])*24)</f>
        <v>0.61666666666666714</v>
      </c>
      <c r="S328" s="349">
        <f>(Table6[[#This Row],[Fault Clearance time]]-Table6[[#This Row],[Work Start TimeStamp]])*24</f>
        <v>4.9999999999999822E-2</v>
      </c>
      <c r="T328" s="350">
        <f>(Table6[[#This Row],[Fault Clearance time]]-Table6[[#This Row],[Fault Start TimeStamp]])*24</f>
        <v>0.66666666666666696</v>
      </c>
      <c r="U328" s="346" t="s">
        <v>491</v>
      </c>
      <c r="V328" s="351" t="s">
        <v>463</v>
      </c>
      <c r="W328" s="338">
        <f>Table6[[#This Row],[Breakdown Time]]*(1/39)</f>
        <v>1.7094017094017103E-2</v>
      </c>
      <c r="X328" s="336" t="s">
        <v>465</v>
      </c>
      <c r="Y328" s="352" t="s">
        <v>115</v>
      </c>
      <c r="Z328" s="105">
        <v>15153</v>
      </c>
      <c r="AA328" s="107">
        <v>420.91666666666686</v>
      </c>
      <c r="AB328" s="105" t="s">
        <v>478</v>
      </c>
    </row>
    <row r="329" spans="1:28">
      <c r="A329" s="105">
        <f t="shared" si="5"/>
        <v>328</v>
      </c>
      <c r="B329" s="107">
        <f>YEAR(Table6[[#This Row],[Date]])+IF(MONTH(Table6[[#This Row],[Date]])&gt;=4,1,0)</f>
        <v>2026</v>
      </c>
      <c r="C329" s="105">
        <f>YEAR(Table6[[#This Row],[Date]])</f>
        <v>2025</v>
      </c>
      <c r="D329" s="105" t="s">
        <v>490</v>
      </c>
      <c r="E329" s="119">
        <f>Table6[[#This Row],[Date]]-DAY(Table6[[#This Row],[Date]])+1</f>
        <v>45748</v>
      </c>
      <c r="F329" s="118">
        <v>45764</v>
      </c>
      <c r="G329" s="105" t="s">
        <v>121</v>
      </c>
      <c r="H329" s="39" t="str">
        <f>_xlfn.XLOOKUP(Table6[[#This Row],[Affected WTG]],'Basic Data'!$A:$A,'Basic Data'!$B:$B)</f>
        <v>PWEGPL</v>
      </c>
      <c r="I329" s="39" t="str">
        <f>_xlfn.XLOOKUP(Table6[[#This Row],[Affected WTG]],'Basic Data'!$A:$A,'Basic Data'!$C:$C)</f>
        <v>MSEDCL</v>
      </c>
      <c r="J329" s="345">
        <f>IFERROR(VLOOKUP(Table6[[#This Row],[Affected WTG]],'Basic Data'!$A$3:$E$56,5,0),"")</f>
        <v>2.564102564102564E-2</v>
      </c>
      <c r="K329" s="105" t="s">
        <v>466</v>
      </c>
      <c r="L329" s="39" t="str">
        <f>IFERROR(VLOOKUP(Table6[[#This Row],[Error Code]],'Basic Data'!$T:$U,2,0),"")</f>
        <v>Manual Stop</v>
      </c>
      <c r="M329" s="346" t="s">
        <v>479</v>
      </c>
      <c r="N329" s="39" t="s">
        <v>230</v>
      </c>
      <c r="O329" s="347">
        <v>0.47152777777777777</v>
      </c>
      <c r="P329" s="347">
        <v>0.47152777777777777</v>
      </c>
      <c r="Q329" s="347">
        <v>0.54583333333333328</v>
      </c>
      <c r="R329" s="348">
        <f>IF(Table6[[#This Row],[Work Start TimeStamp]]="","",(Table6[[#This Row],[Work Start TimeStamp]]-Table6[[#This Row],[Fault Start TimeStamp]])*24)</f>
        <v>0</v>
      </c>
      <c r="S329" s="349">
        <f>(Table6[[#This Row],[Fault Clearance time]]-Table6[[#This Row],[Work Start TimeStamp]])*24</f>
        <v>1.7833333333333323</v>
      </c>
      <c r="T329" s="350">
        <f>(Table6[[#This Row],[Fault Clearance time]]-Table6[[#This Row],[Fault Start TimeStamp]])*24</f>
        <v>1.7833333333333323</v>
      </c>
      <c r="U329" s="346" t="s">
        <v>553</v>
      </c>
      <c r="V329" s="351" t="s">
        <v>463</v>
      </c>
      <c r="W329" s="338">
        <f>Table6[[#This Row],[Breakdown Time]]*(1/39)</f>
        <v>4.5726495726495696E-2</v>
      </c>
      <c r="X329" s="336" t="s">
        <v>464</v>
      </c>
      <c r="Y329" s="352" t="s">
        <v>115</v>
      </c>
      <c r="Z329" s="105">
        <v>15153</v>
      </c>
      <c r="AA329" s="107">
        <v>1125.9520833333327</v>
      </c>
      <c r="AB329" s="105" t="s">
        <v>478</v>
      </c>
    </row>
    <row r="330" spans="1:28">
      <c r="A330" s="105">
        <f t="shared" si="5"/>
        <v>329</v>
      </c>
      <c r="B330" s="107">
        <f>YEAR(Table6[[#This Row],[Date]])+IF(MONTH(Table6[[#This Row],[Date]])&gt;=4,1,0)</f>
        <v>2026</v>
      </c>
      <c r="C330" s="105">
        <f>YEAR(Table6[[#This Row],[Date]])</f>
        <v>2025</v>
      </c>
      <c r="D330" s="105" t="s">
        <v>490</v>
      </c>
      <c r="E330" s="119">
        <f>Table6[[#This Row],[Date]]-DAY(Table6[[#This Row],[Date]])+1</f>
        <v>45748</v>
      </c>
      <c r="F330" s="118">
        <v>45764</v>
      </c>
      <c r="G330" s="105" t="s">
        <v>123</v>
      </c>
      <c r="H330" s="39" t="str">
        <f>_xlfn.XLOOKUP(Table6[[#This Row],[Affected WTG]],'Basic Data'!$A:$A,'Basic Data'!$B:$B)</f>
        <v>PWEGPL</v>
      </c>
      <c r="I330" s="39" t="str">
        <f>_xlfn.XLOOKUP(Table6[[#This Row],[Affected WTG]],'Basic Data'!$A:$A,'Basic Data'!$C:$C)</f>
        <v>MSEDCL</v>
      </c>
      <c r="J330" s="345">
        <f>IFERROR(VLOOKUP(Table6[[#This Row],[Affected WTG]],'Basic Data'!$A$3:$E$56,5,0),"")</f>
        <v>2.564102564102564E-2</v>
      </c>
      <c r="K330" s="105">
        <v>416</v>
      </c>
      <c r="L330" s="39" t="str">
        <f>IFERROR(VLOOKUP(Table6[[#This Row],[Error Code]],'Basic Data'!$T:$U,2,0),"")</f>
        <v>Vibration Sensor</v>
      </c>
      <c r="M330" s="346" t="s">
        <v>462</v>
      </c>
      <c r="N330" s="39" t="s">
        <v>1270</v>
      </c>
      <c r="O330" s="347">
        <v>0.32291666666666669</v>
      </c>
      <c r="P330" s="347">
        <v>0.3923611111111111</v>
      </c>
      <c r="Q330" s="347">
        <v>0.39305555555555555</v>
      </c>
      <c r="R330" s="348">
        <f>IF(Table6[[#This Row],[Work Start TimeStamp]]="","",(Table6[[#This Row],[Work Start TimeStamp]]-Table6[[#This Row],[Fault Start TimeStamp]])*24)</f>
        <v>1.6666666666666661</v>
      </c>
      <c r="S330" s="349">
        <f>(Table6[[#This Row],[Fault Clearance time]]-Table6[[#This Row],[Work Start TimeStamp]])*24</f>
        <v>1.6666666666666607E-2</v>
      </c>
      <c r="T330" s="350">
        <f>(Table6[[#This Row],[Fault Clearance time]]-Table6[[#This Row],[Fault Start TimeStamp]])*24</f>
        <v>1.6833333333333327</v>
      </c>
      <c r="U330" s="346" t="s">
        <v>493</v>
      </c>
      <c r="V330" s="351" t="s">
        <v>463</v>
      </c>
      <c r="W330" s="338">
        <f>Table6[[#This Row],[Breakdown Time]]*(1/39)</f>
        <v>4.3162393162393141E-2</v>
      </c>
      <c r="X330" s="336" t="s">
        <v>465</v>
      </c>
      <c r="Y330" s="352" t="s">
        <v>126</v>
      </c>
      <c r="Z330" s="105">
        <v>14923</v>
      </c>
      <c r="AA330" s="107">
        <v>1046.6826388888885</v>
      </c>
      <c r="AB330" s="105" t="s">
        <v>478</v>
      </c>
    </row>
    <row r="331" spans="1:28">
      <c r="A331" s="105">
        <f t="shared" si="5"/>
        <v>330</v>
      </c>
      <c r="B331" s="107">
        <f>YEAR(Table6[[#This Row],[Date]])+IF(MONTH(Table6[[#This Row],[Date]])&gt;=4,1,0)</f>
        <v>2026</v>
      </c>
      <c r="C331" s="105">
        <f>YEAR(Table6[[#This Row],[Date]])</f>
        <v>2025</v>
      </c>
      <c r="D331" s="105" t="s">
        <v>490</v>
      </c>
      <c r="E331" s="119">
        <f>Table6[[#This Row],[Date]]-DAY(Table6[[#This Row],[Date]])+1</f>
        <v>45748</v>
      </c>
      <c r="F331" s="118">
        <v>45764</v>
      </c>
      <c r="G331" s="105" t="s">
        <v>152</v>
      </c>
      <c r="H331" s="39" t="str">
        <f>_xlfn.XLOOKUP(Table6[[#This Row],[Affected WTG]],'Basic Data'!$A:$A,'Basic Data'!$B:$B)</f>
        <v>PWEGPL</v>
      </c>
      <c r="I331" s="39" t="str">
        <f>_xlfn.XLOOKUP(Table6[[#This Row],[Affected WTG]],'Basic Data'!$A:$A,'Basic Data'!$C:$C)</f>
        <v>MSEDCL</v>
      </c>
      <c r="J331" s="345">
        <f>IFERROR(VLOOKUP(Table6[[#This Row],[Affected WTG]],'Basic Data'!$A$3:$E$56,5,0),"")</f>
        <v>2.564102564102564E-2</v>
      </c>
      <c r="K331" s="105">
        <v>5200</v>
      </c>
      <c r="L331" s="39" t="str">
        <f>IFERROR(VLOOKUP(Table6[[#This Row],[Error Code]],'Basic Data'!$T:$U,2,0),"")</f>
        <v>Magnetothermic Trigger Of The Line Protection</v>
      </c>
      <c r="M331" s="346" t="s">
        <v>462</v>
      </c>
      <c r="N331" s="39" t="s">
        <v>1270</v>
      </c>
      <c r="O331" s="347">
        <v>0.36458333333333331</v>
      </c>
      <c r="P331" s="347">
        <v>0.40833333333333333</v>
      </c>
      <c r="Q331" s="347">
        <v>0.40972222222222221</v>
      </c>
      <c r="R331" s="348">
        <f>IF(Table6[[#This Row],[Work Start TimeStamp]]="","",(Table6[[#This Row],[Work Start TimeStamp]]-Table6[[#This Row],[Fault Start TimeStamp]])*24)</f>
        <v>1.0500000000000003</v>
      </c>
      <c r="S331" s="349">
        <f>(Table6[[#This Row],[Fault Clearance time]]-Table6[[#This Row],[Work Start TimeStamp]])*24</f>
        <v>3.3333333333333215E-2</v>
      </c>
      <c r="T331" s="350">
        <f>(Table6[[#This Row],[Fault Clearance time]]-Table6[[#This Row],[Fault Start TimeStamp]])*24</f>
        <v>1.0833333333333335</v>
      </c>
      <c r="U331" s="346" t="s">
        <v>491</v>
      </c>
      <c r="V331" s="351" t="s">
        <v>463</v>
      </c>
      <c r="W331" s="338">
        <f>Table6[[#This Row],[Breakdown Time]]*(1/39)</f>
        <v>2.777777777777778E-2</v>
      </c>
      <c r="X331" s="336" t="s">
        <v>465</v>
      </c>
      <c r="Y331" s="352" t="s">
        <v>153</v>
      </c>
      <c r="Z331" s="105">
        <v>12574</v>
      </c>
      <c r="AA331" s="107">
        <v>567.57638888888891</v>
      </c>
      <c r="AB331" s="105" t="s">
        <v>478</v>
      </c>
    </row>
    <row r="332" spans="1:28">
      <c r="A332" s="105">
        <f t="shared" si="5"/>
        <v>331</v>
      </c>
      <c r="B332" s="107">
        <f>YEAR(Table6[[#This Row],[Date]])+IF(MONTH(Table6[[#This Row],[Date]])&gt;=4,1,0)</f>
        <v>2026</v>
      </c>
      <c r="C332" s="105">
        <f>YEAR(Table6[[#This Row],[Date]])</f>
        <v>2025</v>
      </c>
      <c r="D332" s="105" t="s">
        <v>490</v>
      </c>
      <c r="E332" s="119">
        <f>Table6[[#This Row],[Date]]-DAY(Table6[[#This Row],[Date]])+1</f>
        <v>45748</v>
      </c>
      <c r="F332" s="118">
        <v>45765</v>
      </c>
      <c r="G332" s="105" t="s">
        <v>144</v>
      </c>
      <c r="H332" s="39" t="str">
        <f>_xlfn.XLOOKUP(Table6[[#This Row],[Affected WTG]],'Basic Data'!$A:$A,'Basic Data'!$B:$B)</f>
        <v>PWEGPL</v>
      </c>
      <c r="I332" s="39" t="str">
        <f>_xlfn.XLOOKUP(Table6[[#This Row],[Affected WTG]],'Basic Data'!$A:$A,'Basic Data'!$C:$C)</f>
        <v>MSEDCL</v>
      </c>
      <c r="J332" s="345">
        <f>IFERROR(VLOOKUP(Table6[[#This Row],[Affected WTG]],'Basic Data'!$A$3:$E$56,5,0),"")</f>
        <v>2.564102564102564E-2</v>
      </c>
      <c r="K332" s="105" t="s">
        <v>492</v>
      </c>
      <c r="L332" s="39" t="str">
        <f>IFERROR(VLOOKUP(Table6[[#This Row],[Error Code]],'Basic Data'!$T:$U,2,0),"")</f>
        <v>Manual Stop - Safety Related</v>
      </c>
      <c r="M332" s="346" t="s">
        <v>481</v>
      </c>
      <c r="N332" s="39" t="s">
        <v>1269</v>
      </c>
      <c r="O332" s="347">
        <v>0</v>
      </c>
      <c r="P332" s="347">
        <v>0.99930555555555556</v>
      </c>
      <c r="Q332" s="347">
        <v>0.99930555555555556</v>
      </c>
      <c r="R332" s="348">
        <f>IF(Table6[[#This Row],[Work Start TimeStamp]]="","",(Table6[[#This Row],[Work Start TimeStamp]]-Table6[[#This Row],[Fault Start TimeStamp]])*24)</f>
        <v>23.983333333333334</v>
      </c>
      <c r="S332" s="349">
        <f>(Table6[[#This Row],[Fault Clearance time]]-Table6[[#This Row],[Work Start TimeStamp]])*24</f>
        <v>0</v>
      </c>
      <c r="T332" s="350">
        <f>(Table6[[#This Row],[Fault Clearance time]]-Table6[[#This Row],[Fault Start TimeStamp]])*24</f>
        <v>23.983333333333334</v>
      </c>
      <c r="U332" s="346" t="s">
        <v>498</v>
      </c>
      <c r="V332" s="351" t="s">
        <v>473</v>
      </c>
      <c r="W332" s="338">
        <f>Table6[[#This Row],[Breakdown Time]]*(1/39)</f>
        <v>0.61495726495726499</v>
      </c>
      <c r="X332" s="336" t="s">
        <v>468</v>
      </c>
      <c r="Y332" s="352" t="s">
        <v>141</v>
      </c>
      <c r="Z332" s="105">
        <v>8824</v>
      </c>
      <c r="AA332" s="107">
        <v>8817.8722222222223</v>
      </c>
      <c r="AB332" s="105" t="s">
        <v>478</v>
      </c>
    </row>
    <row r="333" spans="1:28">
      <c r="A333" s="105">
        <f t="shared" si="5"/>
        <v>332</v>
      </c>
      <c r="B333" s="107">
        <f>YEAR(Table6[[#This Row],[Date]])+IF(MONTH(Table6[[#This Row],[Date]])&gt;=4,1,0)</f>
        <v>2026</v>
      </c>
      <c r="C333" s="105">
        <f>YEAR(Table6[[#This Row],[Date]])</f>
        <v>2025</v>
      </c>
      <c r="D333" s="105" t="s">
        <v>490</v>
      </c>
      <c r="E333" s="119">
        <f>Table6[[#This Row],[Date]]-DAY(Table6[[#This Row],[Date]])+1</f>
        <v>45748</v>
      </c>
      <c r="F333" s="118">
        <v>45765</v>
      </c>
      <c r="G333" s="105" t="s">
        <v>142</v>
      </c>
      <c r="H333" s="39" t="str">
        <f>_xlfn.XLOOKUP(Table6[[#This Row],[Affected WTG]],'Basic Data'!$A:$A,'Basic Data'!$B:$B)</f>
        <v>PWEGPL</v>
      </c>
      <c r="I333" s="39" t="str">
        <f>_xlfn.XLOOKUP(Table6[[#This Row],[Affected WTG]],'Basic Data'!$A:$A,'Basic Data'!$C:$C)</f>
        <v>MSEDCL</v>
      </c>
      <c r="J333" s="345">
        <f>IFERROR(VLOOKUP(Table6[[#This Row],[Affected WTG]],'Basic Data'!$A$3:$E$56,5,0),"")</f>
        <v>2.564102564102564E-2</v>
      </c>
      <c r="K333" s="105" t="s">
        <v>492</v>
      </c>
      <c r="L333" s="39" t="str">
        <f>IFERROR(VLOOKUP(Table6[[#This Row],[Error Code]],'Basic Data'!$T:$U,2,0),"")</f>
        <v>Manual Stop - Safety Related</v>
      </c>
      <c r="M333" s="346" t="s">
        <v>481</v>
      </c>
      <c r="N333" s="39" t="s">
        <v>1269</v>
      </c>
      <c r="O333" s="347">
        <v>0</v>
      </c>
      <c r="P333" s="347">
        <v>0.99930555555555556</v>
      </c>
      <c r="Q333" s="347">
        <v>0.99930555555555556</v>
      </c>
      <c r="R333" s="348">
        <f>IF(Table6[[#This Row],[Work Start TimeStamp]]="","",(Table6[[#This Row],[Work Start TimeStamp]]-Table6[[#This Row],[Fault Start TimeStamp]])*24)</f>
        <v>23.983333333333334</v>
      </c>
      <c r="S333" s="349">
        <f>(Table6[[#This Row],[Fault Clearance time]]-Table6[[#This Row],[Work Start TimeStamp]])*24</f>
        <v>0</v>
      </c>
      <c r="T333" s="350">
        <f>(Table6[[#This Row],[Fault Clearance time]]-Table6[[#This Row],[Fault Start TimeStamp]])*24</f>
        <v>23.983333333333334</v>
      </c>
      <c r="U333" s="346" t="s">
        <v>498</v>
      </c>
      <c r="V333" s="351" t="s">
        <v>473</v>
      </c>
      <c r="W333" s="338">
        <f>Table6[[#This Row],[Breakdown Time]]*(1/39)</f>
        <v>0.61495726495726499</v>
      </c>
      <c r="X333" s="336" t="s">
        <v>468</v>
      </c>
      <c r="Y333" s="352" t="s">
        <v>141</v>
      </c>
      <c r="Z333" s="105">
        <v>8824</v>
      </c>
      <c r="AA333" s="107">
        <v>8817.8722222222223</v>
      </c>
      <c r="AB333" s="105" t="s">
        <v>478</v>
      </c>
    </row>
    <row r="334" spans="1:28">
      <c r="A334" s="105">
        <f t="shared" si="5"/>
        <v>333</v>
      </c>
      <c r="B334" s="107">
        <f>YEAR(Table6[[#This Row],[Date]])+IF(MONTH(Table6[[#This Row],[Date]])&gt;=4,1,0)</f>
        <v>2026</v>
      </c>
      <c r="C334" s="105">
        <f>YEAR(Table6[[#This Row],[Date]])</f>
        <v>2025</v>
      </c>
      <c r="D334" s="105" t="s">
        <v>490</v>
      </c>
      <c r="E334" s="119">
        <f>Table6[[#This Row],[Date]]-DAY(Table6[[#This Row],[Date]])+1</f>
        <v>45748</v>
      </c>
      <c r="F334" s="118">
        <v>45765</v>
      </c>
      <c r="G334" s="105" t="s">
        <v>137</v>
      </c>
      <c r="H334" s="39" t="str">
        <f>_xlfn.XLOOKUP(Table6[[#This Row],[Affected WTG]],'Basic Data'!$A:$A,'Basic Data'!$B:$B)</f>
        <v>PWEGPL</v>
      </c>
      <c r="I334" s="39" t="str">
        <f>_xlfn.XLOOKUP(Table6[[#This Row],[Affected WTG]],'Basic Data'!$A:$A,'Basic Data'!$C:$C)</f>
        <v>MSEDCL</v>
      </c>
      <c r="J334" s="345">
        <f>IFERROR(VLOOKUP(Table6[[#This Row],[Affected WTG]],'Basic Data'!$A$3:$E$56,5,0),"")</f>
        <v>2.564102564102564E-2</v>
      </c>
      <c r="K334" s="105">
        <v>2106</v>
      </c>
      <c r="L334" s="39" t="str">
        <f>IFERROR(VLOOKUP(Table6[[#This Row],[Error Code]],'Basic Data'!$T:$U,2,0),"")</f>
        <v>Temp. Measurement Module Failure</v>
      </c>
      <c r="M334" s="346" t="s">
        <v>462</v>
      </c>
      <c r="N334" s="39" t="s">
        <v>1270</v>
      </c>
      <c r="O334" s="347">
        <v>0.39930555555555558</v>
      </c>
      <c r="P334" s="347">
        <v>0.39930555555555558</v>
      </c>
      <c r="Q334" s="347">
        <v>0.40277777777777779</v>
      </c>
      <c r="R334" s="348">
        <f>IF(Table6[[#This Row],[Work Start TimeStamp]]="","",(Table6[[#This Row],[Work Start TimeStamp]]-Table6[[#This Row],[Fault Start TimeStamp]])*24)</f>
        <v>0</v>
      </c>
      <c r="S334" s="349">
        <f>(Table6[[#This Row],[Fault Clearance time]]-Table6[[#This Row],[Work Start TimeStamp]])*24</f>
        <v>8.3333333333333037E-2</v>
      </c>
      <c r="T334" s="350">
        <f>(Table6[[#This Row],[Fault Clearance time]]-Table6[[#This Row],[Fault Start TimeStamp]])*24</f>
        <v>8.3333333333333037E-2</v>
      </c>
      <c r="U334" s="346" t="s">
        <v>480</v>
      </c>
      <c r="V334" s="351" t="s">
        <v>463</v>
      </c>
      <c r="W334" s="338">
        <f>Table6[[#This Row],[Breakdown Time]]*(1/39)</f>
        <v>2.1367521367521292E-3</v>
      </c>
      <c r="X334" s="336" t="s">
        <v>465</v>
      </c>
      <c r="Y334" s="352" t="s">
        <v>136</v>
      </c>
      <c r="Z334" s="105">
        <v>8858</v>
      </c>
      <c r="AA334" s="107">
        <v>30.756944444444333</v>
      </c>
      <c r="AB334" s="105" t="s">
        <v>478</v>
      </c>
    </row>
    <row r="335" spans="1:28">
      <c r="A335" s="105">
        <f t="shared" si="5"/>
        <v>334</v>
      </c>
      <c r="B335" s="107">
        <f>YEAR(Table6[[#This Row],[Date]])+IF(MONTH(Table6[[#This Row],[Date]])&gt;=4,1,0)</f>
        <v>2026</v>
      </c>
      <c r="C335" s="105">
        <f>YEAR(Table6[[#This Row],[Date]])</f>
        <v>2025</v>
      </c>
      <c r="D335" s="105" t="s">
        <v>490</v>
      </c>
      <c r="E335" s="119">
        <f>Table6[[#This Row],[Date]]-DAY(Table6[[#This Row],[Date]])+1</f>
        <v>45748</v>
      </c>
      <c r="F335" s="118">
        <v>45765</v>
      </c>
      <c r="G335" s="105" t="s">
        <v>137</v>
      </c>
      <c r="H335" s="39" t="str">
        <f>_xlfn.XLOOKUP(Table6[[#This Row],[Affected WTG]],'Basic Data'!$A:$A,'Basic Data'!$B:$B)</f>
        <v>PWEGPL</v>
      </c>
      <c r="I335" s="39" t="str">
        <f>_xlfn.XLOOKUP(Table6[[#This Row],[Affected WTG]],'Basic Data'!$A:$A,'Basic Data'!$C:$C)</f>
        <v>MSEDCL</v>
      </c>
      <c r="J335" s="345">
        <f>IFERROR(VLOOKUP(Table6[[#This Row],[Affected WTG]],'Basic Data'!$A$3:$E$56,5,0),"")</f>
        <v>2.564102564102564E-2</v>
      </c>
      <c r="K335" s="105">
        <v>2106</v>
      </c>
      <c r="L335" s="39" t="str">
        <f>IFERROR(VLOOKUP(Table6[[#This Row],[Error Code]],'Basic Data'!$T:$U,2,0),"")</f>
        <v>Temp. Measurement Module Failure</v>
      </c>
      <c r="M335" s="346" t="s">
        <v>462</v>
      </c>
      <c r="N335" s="39" t="s">
        <v>1270</v>
      </c>
      <c r="O335" s="347">
        <v>0.42499999999999999</v>
      </c>
      <c r="P335" s="347">
        <v>0.42499999999999999</v>
      </c>
      <c r="Q335" s="347">
        <v>0.4284722222222222</v>
      </c>
      <c r="R335" s="348">
        <f>IF(Table6[[#This Row],[Work Start TimeStamp]]="","",(Table6[[#This Row],[Work Start TimeStamp]]-Table6[[#This Row],[Fault Start TimeStamp]])*24)</f>
        <v>0</v>
      </c>
      <c r="S335" s="349">
        <f>(Table6[[#This Row],[Fault Clearance time]]-Table6[[#This Row],[Work Start TimeStamp]])*24</f>
        <v>8.3333333333333037E-2</v>
      </c>
      <c r="T335" s="350">
        <f>(Table6[[#This Row],[Fault Clearance time]]-Table6[[#This Row],[Fault Start TimeStamp]])*24</f>
        <v>8.3333333333333037E-2</v>
      </c>
      <c r="U335" s="346" t="s">
        <v>480</v>
      </c>
      <c r="V335" s="351" t="s">
        <v>463</v>
      </c>
      <c r="W335" s="338">
        <f>Table6[[#This Row],[Breakdown Time]]*(1/39)</f>
        <v>2.1367521367521292E-3</v>
      </c>
      <c r="X335" s="336" t="s">
        <v>465</v>
      </c>
      <c r="Y335" s="352" t="s">
        <v>136</v>
      </c>
      <c r="Z335" s="105">
        <v>8858</v>
      </c>
      <c r="AA335" s="107">
        <v>30.756944444444333</v>
      </c>
      <c r="AB335" s="105" t="s">
        <v>478</v>
      </c>
    </row>
    <row r="336" spans="1:28">
      <c r="A336" s="105">
        <f t="shared" si="5"/>
        <v>335</v>
      </c>
      <c r="B336" s="107">
        <f>YEAR(Table6[[#This Row],[Date]])+IF(MONTH(Table6[[#This Row],[Date]])&gt;=4,1,0)</f>
        <v>2026</v>
      </c>
      <c r="C336" s="105">
        <f>YEAR(Table6[[#This Row],[Date]])</f>
        <v>2025</v>
      </c>
      <c r="D336" s="105" t="s">
        <v>490</v>
      </c>
      <c r="E336" s="119">
        <f>Table6[[#This Row],[Date]]-DAY(Table6[[#This Row],[Date]])+1</f>
        <v>45748</v>
      </c>
      <c r="F336" s="118">
        <v>45765</v>
      </c>
      <c r="G336" s="105" t="s">
        <v>137</v>
      </c>
      <c r="H336" s="39" t="str">
        <f>_xlfn.XLOOKUP(Table6[[#This Row],[Affected WTG]],'Basic Data'!$A:$A,'Basic Data'!$B:$B)</f>
        <v>PWEGPL</v>
      </c>
      <c r="I336" s="39" t="str">
        <f>_xlfn.XLOOKUP(Table6[[#This Row],[Affected WTG]],'Basic Data'!$A:$A,'Basic Data'!$C:$C)</f>
        <v>MSEDCL</v>
      </c>
      <c r="J336" s="345">
        <f>IFERROR(VLOOKUP(Table6[[#This Row],[Affected WTG]],'Basic Data'!$A$3:$E$56,5,0),"")</f>
        <v>2.564102564102564E-2</v>
      </c>
      <c r="K336" s="105">
        <v>2106</v>
      </c>
      <c r="L336" s="39" t="str">
        <f>IFERROR(VLOOKUP(Table6[[#This Row],[Error Code]],'Basic Data'!$T:$U,2,0),"")</f>
        <v>Temp. Measurement Module Failure</v>
      </c>
      <c r="M336" s="346" t="s">
        <v>462</v>
      </c>
      <c r="N336" s="39" t="s">
        <v>1270</v>
      </c>
      <c r="O336" s="347">
        <v>0.51041666666666663</v>
      </c>
      <c r="P336" s="347">
        <v>0.52222222222222225</v>
      </c>
      <c r="Q336" s="347">
        <v>0.52430555555555558</v>
      </c>
      <c r="R336" s="348">
        <f>IF(Table6[[#This Row],[Work Start TimeStamp]]="","",(Table6[[#This Row],[Work Start TimeStamp]]-Table6[[#This Row],[Fault Start TimeStamp]])*24)</f>
        <v>0.28333333333333499</v>
      </c>
      <c r="S336" s="349">
        <f>(Table6[[#This Row],[Fault Clearance time]]-Table6[[#This Row],[Work Start TimeStamp]])*24</f>
        <v>4.9999999999999822E-2</v>
      </c>
      <c r="T336" s="350">
        <f>(Table6[[#This Row],[Fault Clearance time]]-Table6[[#This Row],[Fault Start TimeStamp]])*24</f>
        <v>0.33333333333333481</v>
      </c>
      <c r="U336" s="346" t="s">
        <v>491</v>
      </c>
      <c r="V336" s="351" t="s">
        <v>463</v>
      </c>
      <c r="W336" s="338">
        <f>Table6[[#This Row],[Breakdown Time]]*(1/39)</f>
        <v>8.5470085470085843E-3</v>
      </c>
      <c r="X336" s="336" t="s">
        <v>465</v>
      </c>
      <c r="Y336" s="352" t="s">
        <v>136</v>
      </c>
      <c r="Z336" s="105">
        <v>8858</v>
      </c>
      <c r="AA336" s="107">
        <v>123.02777777777831</v>
      </c>
      <c r="AB336" s="105" t="s">
        <v>478</v>
      </c>
    </row>
    <row r="337" spans="1:28">
      <c r="A337" s="105">
        <f t="shared" si="5"/>
        <v>336</v>
      </c>
      <c r="B337" s="107">
        <f>YEAR(Table6[[#This Row],[Date]])+IF(MONTH(Table6[[#This Row],[Date]])&gt;=4,1,0)</f>
        <v>2026</v>
      </c>
      <c r="C337" s="105">
        <f>YEAR(Table6[[#This Row],[Date]])</f>
        <v>2025</v>
      </c>
      <c r="D337" s="105" t="s">
        <v>490</v>
      </c>
      <c r="E337" s="119">
        <f>Table6[[#This Row],[Date]]-DAY(Table6[[#This Row],[Date]])+1</f>
        <v>45748</v>
      </c>
      <c r="F337" s="118">
        <v>45765</v>
      </c>
      <c r="G337" s="105" t="s">
        <v>143</v>
      </c>
      <c r="H337" s="39" t="str">
        <f>_xlfn.XLOOKUP(Table6[[#This Row],[Affected WTG]],'Basic Data'!$A:$A,'Basic Data'!$B:$B)</f>
        <v>PWEGPL</v>
      </c>
      <c r="I337" s="39" t="str">
        <f>_xlfn.XLOOKUP(Table6[[#This Row],[Affected WTG]],'Basic Data'!$A:$A,'Basic Data'!$C:$C)</f>
        <v>MSEDCL</v>
      </c>
      <c r="J337" s="345">
        <f>IFERROR(VLOOKUP(Table6[[#This Row],[Affected WTG]],'Basic Data'!$A$3:$E$56,5,0),"")</f>
        <v>2.564102564102564E-2</v>
      </c>
      <c r="K337" s="105">
        <v>426</v>
      </c>
      <c r="L337" s="39" t="str">
        <f>IFERROR(VLOOKUP(Table6[[#This Row],[Error Code]],'Basic Data'!$T:$U,2,0),"")</f>
        <v>Rotor Speed Reading Failure</v>
      </c>
      <c r="M337" s="346" t="s">
        <v>462</v>
      </c>
      <c r="N337" s="39" t="s">
        <v>1270</v>
      </c>
      <c r="O337" s="347">
        <v>0.46180555555555558</v>
      </c>
      <c r="P337" s="347">
        <v>0.46180555555555558</v>
      </c>
      <c r="Q337" s="347">
        <v>0.49583333333333335</v>
      </c>
      <c r="R337" s="348">
        <f>IF(Table6[[#This Row],[Work Start TimeStamp]]="","",(Table6[[#This Row],[Work Start TimeStamp]]-Table6[[#This Row],[Fault Start TimeStamp]])*24)</f>
        <v>0</v>
      </c>
      <c r="S337" s="349">
        <f>(Table6[[#This Row],[Fault Clearance time]]-Table6[[#This Row],[Work Start TimeStamp]])*24</f>
        <v>0.81666666666666643</v>
      </c>
      <c r="T337" s="350">
        <f>(Table6[[#This Row],[Fault Clearance time]]-Table6[[#This Row],[Fault Start TimeStamp]])*24</f>
        <v>0.81666666666666643</v>
      </c>
      <c r="U337" s="346" t="s">
        <v>554</v>
      </c>
      <c r="V337" s="351" t="s">
        <v>463</v>
      </c>
      <c r="W337" s="338">
        <f>Table6[[#This Row],[Breakdown Time]]*(1/39)</f>
        <v>2.0940170940170932E-2</v>
      </c>
      <c r="X337" s="336" t="s">
        <v>465</v>
      </c>
      <c r="Y337" s="352" t="s">
        <v>141</v>
      </c>
      <c r="Z337" s="105">
        <v>8824</v>
      </c>
      <c r="AA337" s="107">
        <v>300.26111111111106</v>
      </c>
      <c r="AB337" s="105" t="s">
        <v>478</v>
      </c>
    </row>
    <row r="338" spans="1:28">
      <c r="A338" s="105">
        <f t="shared" si="5"/>
        <v>337</v>
      </c>
      <c r="B338" s="107">
        <f>YEAR(Table6[[#This Row],[Date]])+IF(MONTH(Table6[[#This Row],[Date]])&gt;=4,1,0)</f>
        <v>2026</v>
      </c>
      <c r="C338" s="105">
        <f>YEAR(Table6[[#This Row],[Date]])</f>
        <v>2025</v>
      </c>
      <c r="D338" s="105" t="s">
        <v>490</v>
      </c>
      <c r="E338" s="119">
        <f>Table6[[#This Row],[Date]]-DAY(Table6[[#This Row],[Date]])+1</f>
        <v>45748</v>
      </c>
      <c r="F338" s="118">
        <v>45765</v>
      </c>
      <c r="G338" s="105" t="s">
        <v>149</v>
      </c>
      <c r="H338" s="39" t="str">
        <f>_xlfn.XLOOKUP(Table6[[#This Row],[Affected WTG]],'Basic Data'!$A:$A,'Basic Data'!$B:$B)</f>
        <v>PWEGPL</v>
      </c>
      <c r="I338" s="39" t="str">
        <f>_xlfn.XLOOKUP(Table6[[#This Row],[Affected WTG]],'Basic Data'!$A:$A,'Basic Data'!$C:$C)</f>
        <v>MSEDCL</v>
      </c>
      <c r="J338" s="345">
        <f>IFERROR(VLOOKUP(Table6[[#This Row],[Affected WTG]],'Basic Data'!$A$3:$E$56,5,0),"")</f>
        <v>2.564102564102564E-2</v>
      </c>
      <c r="K338" s="105">
        <v>800</v>
      </c>
      <c r="L338" s="39" t="str">
        <f>IFERROR(VLOOKUP(Table6[[#This Row],[Error Code]],'Basic Data'!$T:$U,2,0),"")</f>
        <v>Pitch Drive Error</v>
      </c>
      <c r="M338" s="346" t="s">
        <v>462</v>
      </c>
      <c r="N338" s="39" t="s">
        <v>1270</v>
      </c>
      <c r="O338" s="347">
        <v>0.40625</v>
      </c>
      <c r="P338" s="347">
        <v>0.49652777777777779</v>
      </c>
      <c r="Q338" s="347">
        <v>0.62847222222222221</v>
      </c>
      <c r="R338" s="348">
        <f>IF(Table6[[#This Row],[Work Start TimeStamp]]="","",(Table6[[#This Row],[Work Start TimeStamp]]-Table6[[#This Row],[Fault Start TimeStamp]])*24)</f>
        <v>2.166666666666667</v>
      </c>
      <c r="S338" s="349">
        <f>(Table6[[#This Row],[Fault Clearance time]]-Table6[[#This Row],[Work Start TimeStamp]])*24</f>
        <v>3.1666666666666661</v>
      </c>
      <c r="T338" s="350">
        <f>(Table6[[#This Row],[Fault Clearance time]]-Table6[[#This Row],[Fault Start TimeStamp]])*24</f>
        <v>5.333333333333333</v>
      </c>
      <c r="U338" s="346" t="s">
        <v>555</v>
      </c>
      <c r="V338" s="351" t="s">
        <v>463</v>
      </c>
      <c r="W338" s="338">
        <f>Table6[[#This Row],[Breakdown Time]]*(1/39)</f>
        <v>0.13675213675213674</v>
      </c>
      <c r="X338" s="336" t="s">
        <v>465</v>
      </c>
      <c r="Y338" s="352" t="s">
        <v>148</v>
      </c>
      <c r="Z338" s="105">
        <v>7963</v>
      </c>
      <c r="AA338" s="107">
        <v>1769.5555555555557</v>
      </c>
      <c r="AB338" s="105" t="s">
        <v>478</v>
      </c>
    </row>
    <row r="339" spans="1:28">
      <c r="A339" s="105">
        <f t="shared" si="5"/>
        <v>338</v>
      </c>
      <c r="B339" s="107">
        <f>YEAR(Table6[[#This Row],[Date]])+IF(MONTH(Table6[[#This Row],[Date]])&gt;=4,1,0)</f>
        <v>2026</v>
      </c>
      <c r="C339" s="105">
        <f>YEAR(Table6[[#This Row],[Date]])</f>
        <v>2025</v>
      </c>
      <c r="D339" s="105" t="s">
        <v>490</v>
      </c>
      <c r="E339" s="119">
        <f>Table6[[#This Row],[Date]]-DAY(Table6[[#This Row],[Date]])+1</f>
        <v>45748</v>
      </c>
      <c r="F339" s="118">
        <v>45765</v>
      </c>
      <c r="G339" s="105" t="s">
        <v>148</v>
      </c>
      <c r="H339" s="39" t="str">
        <f>_xlfn.XLOOKUP(Table6[[#This Row],[Affected WTG]],'Basic Data'!$A:$A,'Basic Data'!$B:$B)</f>
        <v>PWEGPL</v>
      </c>
      <c r="I339" s="39" t="str">
        <f>_xlfn.XLOOKUP(Table6[[#This Row],[Affected WTG]],'Basic Data'!$A:$A,'Basic Data'!$C:$C)</f>
        <v>MSEDCL</v>
      </c>
      <c r="J339" s="345">
        <f>IFERROR(VLOOKUP(Table6[[#This Row],[Affected WTG]],'Basic Data'!$A$3:$E$56,5,0),"")</f>
        <v>2.564102564102564E-2</v>
      </c>
      <c r="K339" s="105">
        <v>5201</v>
      </c>
      <c r="L339" s="39" t="str">
        <f>IFERROR(VLOOKUP(Table6[[#This Row],[Error Code]],'Basic Data'!$T:$U,2,0),"")</f>
        <v>Magnetothermic Trigger Of The Stator Protection</v>
      </c>
      <c r="M339" s="346" t="s">
        <v>462</v>
      </c>
      <c r="N339" s="39" t="s">
        <v>1270</v>
      </c>
      <c r="O339" s="347">
        <v>0.7</v>
      </c>
      <c r="P339" s="347">
        <v>0.73263888888888884</v>
      </c>
      <c r="Q339" s="347">
        <v>0.73472222222222228</v>
      </c>
      <c r="R339" s="348">
        <f>IF(Table6[[#This Row],[Work Start TimeStamp]]="","",(Table6[[#This Row],[Work Start TimeStamp]]-Table6[[#This Row],[Fault Start TimeStamp]])*24)</f>
        <v>0.78333333333333321</v>
      </c>
      <c r="S339" s="349">
        <f>(Table6[[#This Row],[Fault Clearance time]]-Table6[[#This Row],[Work Start TimeStamp]])*24</f>
        <v>5.0000000000002487E-2</v>
      </c>
      <c r="T339" s="350">
        <f>(Table6[[#This Row],[Fault Clearance time]]-Table6[[#This Row],[Fault Start TimeStamp]])*24</f>
        <v>0.8333333333333357</v>
      </c>
      <c r="U339" s="346" t="s">
        <v>493</v>
      </c>
      <c r="V339" s="351" t="s">
        <v>463</v>
      </c>
      <c r="W339" s="338">
        <f>Table6[[#This Row],[Breakdown Time]]*(1/39)</f>
        <v>2.1367521367521427E-2</v>
      </c>
      <c r="X339" s="336" t="s">
        <v>465</v>
      </c>
      <c r="Y339" s="352" t="s">
        <v>146</v>
      </c>
      <c r="Z339" s="105">
        <v>8169</v>
      </c>
      <c r="AA339" s="107">
        <v>283.64583333333417</v>
      </c>
      <c r="AB339" s="105" t="s">
        <v>478</v>
      </c>
    </row>
    <row r="340" spans="1:28">
      <c r="A340" s="105">
        <f t="shared" si="5"/>
        <v>339</v>
      </c>
      <c r="B340" s="107">
        <f>YEAR(Table6[[#This Row],[Date]])+IF(MONTH(Table6[[#This Row],[Date]])&gt;=4,1,0)</f>
        <v>2026</v>
      </c>
      <c r="C340" s="105">
        <f>YEAR(Table6[[#This Row],[Date]])</f>
        <v>2025</v>
      </c>
      <c r="D340" s="105" t="s">
        <v>490</v>
      </c>
      <c r="E340" s="119">
        <f>Table6[[#This Row],[Date]]-DAY(Table6[[#This Row],[Date]])+1</f>
        <v>45748</v>
      </c>
      <c r="F340" s="118">
        <v>45765</v>
      </c>
      <c r="G340" s="105" t="s">
        <v>137</v>
      </c>
      <c r="H340" s="39" t="str">
        <f>_xlfn.XLOOKUP(Table6[[#This Row],[Affected WTG]],'Basic Data'!$A:$A,'Basic Data'!$B:$B)</f>
        <v>PWEGPL</v>
      </c>
      <c r="I340" s="39" t="str">
        <f>_xlfn.XLOOKUP(Table6[[#This Row],[Affected WTG]],'Basic Data'!$A:$A,'Basic Data'!$C:$C)</f>
        <v>MSEDCL</v>
      </c>
      <c r="J340" s="345">
        <f>IFERROR(VLOOKUP(Table6[[#This Row],[Affected WTG]],'Basic Data'!$A$3:$E$56,5,0),"")</f>
        <v>2.564102564102564E-2</v>
      </c>
      <c r="K340" s="105">
        <v>2106</v>
      </c>
      <c r="L340" s="39" t="str">
        <f>IFERROR(VLOOKUP(Table6[[#This Row],[Error Code]],'Basic Data'!$T:$U,2,0),"")</f>
        <v>Temp. Measurement Module Failure</v>
      </c>
      <c r="M340" s="346" t="s">
        <v>462</v>
      </c>
      <c r="N340" s="39" t="s">
        <v>1270</v>
      </c>
      <c r="O340" s="347">
        <v>0.68055555555555558</v>
      </c>
      <c r="P340" s="347">
        <v>0.69791666666666663</v>
      </c>
      <c r="Q340" s="347">
        <v>0.74097222222222225</v>
      </c>
      <c r="R340" s="348">
        <f>IF(Table6[[#This Row],[Work Start TimeStamp]]="","",(Table6[[#This Row],[Work Start TimeStamp]]-Table6[[#This Row],[Fault Start TimeStamp]])*24)</f>
        <v>0.41666666666666519</v>
      </c>
      <c r="S340" s="349">
        <f>(Table6[[#This Row],[Fault Clearance time]]-Table6[[#This Row],[Work Start TimeStamp]])*24</f>
        <v>1.033333333333335</v>
      </c>
      <c r="T340" s="350">
        <f>(Table6[[#This Row],[Fault Clearance time]]-Table6[[#This Row],[Fault Start TimeStamp]])*24</f>
        <v>1.4500000000000002</v>
      </c>
      <c r="U340" s="346" t="s">
        <v>556</v>
      </c>
      <c r="V340" s="351" t="s">
        <v>463</v>
      </c>
      <c r="W340" s="338">
        <f>Table6[[#This Row],[Breakdown Time]]*(1/39)</f>
        <v>3.7179487179487186E-2</v>
      </c>
      <c r="X340" s="336" t="s">
        <v>465</v>
      </c>
      <c r="Y340" s="352" t="s">
        <v>136</v>
      </c>
      <c r="Z340" s="105">
        <v>8824</v>
      </c>
      <c r="AA340" s="107">
        <v>533.11666666666679</v>
      </c>
      <c r="AB340" s="105" t="s">
        <v>478</v>
      </c>
    </row>
    <row r="341" spans="1:28">
      <c r="A341" s="105">
        <f t="shared" si="5"/>
        <v>340</v>
      </c>
      <c r="B341" s="107">
        <f>YEAR(Table6[[#This Row],[Date]])+IF(MONTH(Table6[[#This Row],[Date]])&gt;=4,1,0)</f>
        <v>2026</v>
      </c>
      <c r="C341" s="105">
        <f>YEAR(Table6[[#This Row],[Date]])</f>
        <v>2025</v>
      </c>
      <c r="D341" s="105" t="s">
        <v>490</v>
      </c>
      <c r="E341" s="119">
        <f>Table6[[#This Row],[Date]]-DAY(Table6[[#This Row],[Date]])+1</f>
        <v>45748</v>
      </c>
      <c r="F341" s="118">
        <v>45766</v>
      </c>
      <c r="G341" s="105" t="s">
        <v>144</v>
      </c>
      <c r="H341" s="39" t="str">
        <f>_xlfn.XLOOKUP(Table6[[#This Row],[Affected WTG]],'Basic Data'!$A:$A,'Basic Data'!$B:$B)</f>
        <v>PWEGPL</v>
      </c>
      <c r="I341" s="39" t="str">
        <f>_xlfn.XLOOKUP(Table6[[#This Row],[Affected WTG]],'Basic Data'!$A:$A,'Basic Data'!$C:$C)</f>
        <v>MSEDCL</v>
      </c>
      <c r="J341" s="345">
        <f>IFERROR(VLOOKUP(Table6[[#This Row],[Affected WTG]],'Basic Data'!$A$3:$E$56,5,0),"")</f>
        <v>2.564102564102564E-2</v>
      </c>
      <c r="K341" s="105" t="s">
        <v>492</v>
      </c>
      <c r="L341" s="39" t="str">
        <f>IFERROR(VLOOKUP(Table6[[#This Row],[Error Code]],'Basic Data'!$T:$U,2,0),"")</f>
        <v>Manual Stop - Safety Related</v>
      </c>
      <c r="M341" s="346" t="s">
        <v>481</v>
      </c>
      <c r="N341" s="39" t="s">
        <v>1269</v>
      </c>
      <c r="O341" s="347">
        <v>0</v>
      </c>
      <c r="P341" s="347">
        <v>0.99930555555555556</v>
      </c>
      <c r="Q341" s="347">
        <v>0.99930555555555556</v>
      </c>
      <c r="R341" s="348">
        <f>IF(Table6[[#This Row],[Work Start TimeStamp]]="","",(Table6[[#This Row],[Work Start TimeStamp]]-Table6[[#This Row],[Fault Start TimeStamp]])*24)</f>
        <v>23.983333333333334</v>
      </c>
      <c r="S341" s="349">
        <f>(Table6[[#This Row],[Fault Clearance time]]-Table6[[#This Row],[Work Start TimeStamp]])*24</f>
        <v>0</v>
      </c>
      <c r="T341" s="350">
        <f>(Table6[[#This Row],[Fault Clearance time]]-Table6[[#This Row],[Fault Start TimeStamp]])*24</f>
        <v>23.983333333333334</v>
      </c>
      <c r="U341" s="346" t="s">
        <v>498</v>
      </c>
      <c r="V341" s="351" t="s">
        <v>473</v>
      </c>
      <c r="W341" s="338">
        <f>Table6[[#This Row],[Breakdown Time]]*(1/39)</f>
        <v>0.61495726495726499</v>
      </c>
      <c r="X341" s="336" t="s">
        <v>468</v>
      </c>
      <c r="Y341" s="352" t="s">
        <v>141</v>
      </c>
      <c r="Z341" s="105">
        <v>10567</v>
      </c>
      <c r="AA341" s="107">
        <v>10559.661805555557</v>
      </c>
      <c r="AB341" s="105" t="s">
        <v>478</v>
      </c>
    </row>
    <row r="342" spans="1:28">
      <c r="A342" s="105">
        <f t="shared" si="5"/>
        <v>341</v>
      </c>
      <c r="B342" s="107">
        <f>YEAR(Table6[[#This Row],[Date]])+IF(MONTH(Table6[[#This Row],[Date]])&gt;=4,1,0)</f>
        <v>2026</v>
      </c>
      <c r="C342" s="105">
        <f>YEAR(Table6[[#This Row],[Date]])</f>
        <v>2025</v>
      </c>
      <c r="D342" s="105" t="s">
        <v>490</v>
      </c>
      <c r="E342" s="119">
        <f>Table6[[#This Row],[Date]]-DAY(Table6[[#This Row],[Date]])+1</f>
        <v>45748</v>
      </c>
      <c r="F342" s="118">
        <v>45766</v>
      </c>
      <c r="G342" s="105" t="s">
        <v>142</v>
      </c>
      <c r="H342" s="39" t="str">
        <f>_xlfn.XLOOKUP(Table6[[#This Row],[Affected WTG]],'Basic Data'!$A:$A,'Basic Data'!$B:$B)</f>
        <v>PWEGPL</v>
      </c>
      <c r="I342" s="39" t="str">
        <f>_xlfn.XLOOKUP(Table6[[#This Row],[Affected WTG]],'Basic Data'!$A:$A,'Basic Data'!$C:$C)</f>
        <v>MSEDCL</v>
      </c>
      <c r="J342" s="345">
        <f>IFERROR(VLOOKUP(Table6[[#This Row],[Affected WTG]],'Basic Data'!$A$3:$E$56,5,0),"")</f>
        <v>2.564102564102564E-2</v>
      </c>
      <c r="K342" s="105" t="s">
        <v>492</v>
      </c>
      <c r="L342" s="39" t="str">
        <f>IFERROR(VLOOKUP(Table6[[#This Row],[Error Code]],'Basic Data'!$T:$U,2,0),"")</f>
        <v>Manual Stop - Safety Related</v>
      </c>
      <c r="M342" s="346" t="s">
        <v>481</v>
      </c>
      <c r="N342" s="39" t="s">
        <v>1269</v>
      </c>
      <c r="O342" s="347">
        <v>0</v>
      </c>
      <c r="P342" s="347">
        <v>0.99930555555555556</v>
      </c>
      <c r="Q342" s="347">
        <v>0.99930555555555556</v>
      </c>
      <c r="R342" s="348">
        <f>IF(Table6[[#This Row],[Work Start TimeStamp]]="","",(Table6[[#This Row],[Work Start TimeStamp]]-Table6[[#This Row],[Fault Start TimeStamp]])*24)</f>
        <v>23.983333333333334</v>
      </c>
      <c r="S342" s="349">
        <f>(Table6[[#This Row],[Fault Clearance time]]-Table6[[#This Row],[Work Start TimeStamp]])*24</f>
        <v>0</v>
      </c>
      <c r="T342" s="350">
        <f>(Table6[[#This Row],[Fault Clearance time]]-Table6[[#This Row],[Fault Start TimeStamp]])*24</f>
        <v>23.983333333333334</v>
      </c>
      <c r="U342" s="346" t="s">
        <v>498</v>
      </c>
      <c r="V342" s="351" t="s">
        <v>473</v>
      </c>
      <c r="W342" s="338">
        <f>Table6[[#This Row],[Breakdown Time]]*(1/39)</f>
        <v>0.61495726495726499</v>
      </c>
      <c r="X342" s="336" t="s">
        <v>468</v>
      </c>
      <c r="Y342" s="352" t="s">
        <v>141</v>
      </c>
      <c r="Z342" s="105">
        <v>10567</v>
      </c>
      <c r="AA342" s="107">
        <v>10559.661805555557</v>
      </c>
      <c r="AB342" s="105" t="s">
        <v>478</v>
      </c>
    </row>
    <row r="343" spans="1:28">
      <c r="A343" s="105">
        <f t="shared" si="5"/>
        <v>342</v>
      </c>
      <c r="B343" s="107">
        <f>YEAR(Table6[[#This Row],[Date]])+IF(MONTH(Table6[[#This Row],[Date]])&gt;=4,1,0)</f>
        <v>2026</v>
      </c>
      <c r="C343" s="105">
        <f>YEAR(Table6[[#This Row],[Date]])</f>
        <v>2025</v>
      </c>
      <c r="D343" s="105" t="s">
        <v>490</v>
      </c>
      <c r="E343" s="119">
        <f>Table6[[#This Row],[Date]]-DAY(Table6[[#This Row],[Date]])+1</f>
        <v>45748</v>
      </c>
      <c r="F343" s="118">
        <v>45766</v>
      </c>
      <c r="G343" s="105" t="s">
        <v>127</v>
      </c>
      <c r="H343" s="39" t="str">
        <f>_xlfn.XLOOKUP(Table6[[#This Row],[Affected WTG]],'Basic Data'!$A:$A,'Basic Data'!$B:$B)</f>
        <v>PWEGPL</v>
      </c>
      <c r="I343" s="39" t="str">
        <f>_xlfn.XLOOKUP(Table6[[#This Row],[Affected WTG]],'Basic Data'!$A:$A,'Basic Data'!$C:$C)</f>
        <v>MSEDCL</v>
      </c>
      <c r="J343" s="345">
        <f>IFERROR(VLOOKUP(Table6[[#This Row],[Affected WTG]],'Basic Data'!$A$3:$E$56,5,0),"")</f>
        <v>2.564102564102564E-2</v>
      </c>
      <c r="K343" s="105">
        <v>5210</v>
      </c>
      <c r="L343" s="39" t="str">
        <f>IFERROR(VLOOKUP(Table6[[#This Row],[Error Code]],'Basic Data'!$T:$U,2,0),"")</f>
        <v>Failure Of The Contactor's Rotor Power</v>
      </c>
      <c r="M343" s="346" t="s">
        <v>462</v>
      </c>
      <c r="N343" s="39" t="s">
        <v>1270</v>
      </c>
      <c r="O343" s="347">
        <v>0.62361111111111112</v>
      </c>
      <c r="P343" s="347">
        <v>0.63541666666666663</v>
      </c>
      <c r="Q343" s="347">
        <v>0.63749999999999996</v>
      </c>
      <c r="R343" s="348">
        <f>IF(Table6[[#This Row],[Work Start TimeStamp]]="","",(Table6[[#This Row],[Work Start TimeStamp]]-Table6[[#This Row],[Fault Start TimeStamp]])*24)</f>
        <v>0.28333333333333233</v>
      </c>
      <c r="S343" s="349">
        <f>(Table6[[#This Row],[Fault Clearance time]]-Table6[[#This Row],[Work Start TimeStamp]])*24</f>
        <v>4.9999999999999822E-2</v>
      </c>
      <c r="T343" s="350">
        <f>(Table6[[#This Row],[Fault Clearance time]]-Table6[[#This Row],[Fault Start TimeStamp]])*24</f>
        <v>0.33333333333333215</v>
      </c>
      <c r="U343" s="346" t="s">
        <v>491</v>
      </c>
      <c r="V343" s="351" t="s">
        <v>463</v>
      </c>
      <c r="W343" s="338">
        <f>Table6[[#This Row],[Breakdown Time]]*(1/39)</f>
        <v>8.5470085470085166E-3</v>
      </c>
      <c r="X343" s="336" t="s">
        <v>465</v>
      </c>
      <c r="Y343" s="352" t="s">
        <v>128</v>
      </c>
      <c r="Z343" s="105">
        <v>11378</v>
      </c>
      <c r="AA343" s="107">
        <v>158.0277777777772</v>
      </c>
      <c r="AB343" s="105" t="s">
        <v>478</v>
      </c>
    </row>
    <row r="344" spans="1:28">
      <c r="A344" s="105">
        <f t="shared" si="5"/>
        <v>343</v>
      </c>
      <c r="B344" s="107">
        <f>YEAR(Table6[[#This Row],[Date]])+IF(MONTH(Table6[[#This Row],[Date]])&gt;=4,1,0)</f>
        <v>2026</v>
      </c>
      <c r="C344" s="105">
        <f>YEAR(Table6[[#This Row],[Date]])</f>
        <v>2025</v>
      </c>
      <c r="D344" s="105" t="s">
        <v>490</v>
      </c>
      <c r="E344" s="119">
        <f>Table6[[#This Row],[Date]]-DAY(Table6[[#This Row],[Date]])+1</f>
        <v>45748</v>
      </c>
      <c r="F344" s="118">
        <v>45766</v>
      </c>
      <c r="G344" s="105" t="s">
        <v>137</v>
      </c>
      <c r="H344" s="39" t="str">
        <f>_xlfn.XLOOKUP(Table6[[#This Row],[Affected WTG]],'Basic Data'!$A:$A,'Basic Data'!$B:$B)</f>
        <v>PWEGPL</v>
      </c>
      <c r="I344" s="39" t="str">
        <f>_xlfn.XLOOKUP(Table6[[#This Row],[Affected WTG]],'Basic Data'!$A:$A,'Basic Data'!$C:$C)</f>
        <v>MSEDCL</v>
      </c>
      <c r="J344" s="345">
        <f>IFERROR(VLOOKUP(Table6[[#This Row],[Affected WTG]],'Basic Data'!$A$3:$E$56,5,0),"")</f>
        <v>2.564102564102564E-2</v>
      </c>
      <c r="K344" s="105" t="s">
        <v>487</v>
      </c>
      <c r="L344" s="39" t="str">
        <f>IFERROR(VLOOKUP(Table6[[#This Row],[Error Code]],'Basic Data'!$T:$U,2,0),"")</f>
        <v>General Work Stoppage</v>
      </c>
      <c r="M344" s="346" t="s">
        <v>479</v>
      </c>
      <c r="N344" s="39" t="s">
        <v>230</v>
      </c>
      <c r="O344" s="347">
        <v>0.46875</v>
      </c>
      <c r="P344" s="347">
        <v>0.46875</v>
      </c>
      <c r="Q344" s="347">
        <v>0.75208333333333333</v>
      </c>
      <c r="R344" s="348">
        <f>IF(Table6[[#This Row],[Work Start TimeStamp]]="","",(Table6[[#This Row],[Work Start TimeStamp]]-Table6[[#This Row],[Fault Start TimeStamp]])*24)</f>
        <v>0</v>
      </c>
      <c r="S344" s="349">
        <f>(Table6[[#This Row],[Fault Clearance time]]-Table6[[#This Row],[Work Start TimeStamp]])*24</f>
        <v>6.8</v>
      </c>
      <c r="T344" s="350">
        <f>(Table6[[#This Row],[Fault Clearance time]]-Table6[[#This Row],[Fault Start TimeStamp]])*24</f>
        <v>6.8</v>
      </c>
      <c r="U344" s="346" t="s">
        <v>496</v>
      </c>
      <c r="V344" s="351" t="s">
        <v>463</v>
      </c>
      <c r="W344" s="338">
        <f>Table6[[#This Row],[Breakdown Time]]*(1/39)</f>
        <v>0.17435897435897435</v>
      </c>
      <c r="X344" s="336" t="s">
        <v>464</v>
      </c>
      <c r="Y344" s="352" t="s">
        <v>119</v>
      </c>
      <c r="Z344" s="105">
        <v>10590</v>
      </c>
      <c r="AA344" s="107">
        <v>3000.5</v>
      </c>
      <c r="AB344" s="105" t="s">
        <v>478</v>
      </c>
    </row>
    <row r="345" spans="1:28">
      <c r="A345" s="105">
        <f t="shared" si="5"/>
        <v>344</v>
      </c>
      <c r="B345" s="107">
        <f>YEAR(Table6[[#This Row],[Date]])+IF(MONTH(Table6[[#This Row],[Date]])&gt;=4,1,0)</f>
        <v>2026</v>
      </c>
      <c r="C345" s="105">
        <f>YEAR(Table6[[#This Row],[Date]])</f>
        <v>2025</v>
      </c>
      <c r="D345" s="105" t="s">
        <v>490</v>
      </c>
      <c r="E345" s="119">
        <f>Table6[[#This Row],[Date]]-DAY(Table6[[#This Row],[Date]])+1</f>
        <v>45748</v>
      </c>
      <c r="F345" s="118">
        <v>45766</v>
      </c>
      <c r="G345" s="105" t="s">
        <v>146</v>
      </c>
      <c r="H345" s="39" t="str">
        <f>_xlfn.XLOOKUP(Table6[[#This Row],[Affected WTG]],'Basic Data'!$A:$A,'Basic Data'!$B:$B)</f>
        <v>PWEGPL</v>
      </c>
      <c r="I345" s="39" t="str">
        <f>_xlfn.XLOOKUP(Table6[[#This Row],[Affected WTG]],'Basic Data'!$A:$A,'Basic Data'!$C:$C)</f>
        <v>MSEDCL</v>
      </c>
      <c r="J345" s="345">
        <f>IFERROR(VLOOKUP(Table6[[#This Row],[Affected WTG]],'Basic Data'!$A$3:$E$56,5,0),"")</f>
        <v>2.564102564102564E-2</v>
      </c>
      <c r="K345" s="105">
        <v>2118</v>
      </c>
      <c r="L345" s="39" t="str">
        <f>IFERROR(VLOOKUP(Table6[[#This Row],[Error Code]],'Basic Data'!$T:$U,2,0),"")</f>
        <v>Bus Error - Interbus Failure</v>
      </c>
      <c r="M345" s="346" t="s">
        <v>462</v>
      </c>
      <c r="N345" s="39" t="s">
        <v>1270</v>
      </c>
      <c r="O345" s="347">
        <v>0.60902777777777772</v>
      </c>
      <c r="P345" s="347">
        <v>0.63402777777777775</v>
      </c>
      <c r="Q345" s="347">
        <v>0.67361111111111116</v>
      </c>
      <c r="R345" s="348">
        <f>IF(Table6[[#This Row],[Work Start TimeStamp]]="","",(Table6[[#This Row],[Work Start TimeStamp]]-Table6[[#This Row],[Fault Start TimeStamp]])*24)</f>
        <v>0.60000000000000053</v>
      </c>
      <c r="S345" s="349">
        <f>(Table6[[#This Row],[Fault Clearance time]]-Table6[[#This Row],[Work Start TimeStamp]])*24</f>
        <v>0.95000000000000195</v>
      </c>
      <c r="T345" s="350">
        <f>(Table6[[#This Row],[Fault Clearance time]]-Table6[[#This Row],[Fault Start TimeStamp]])*24</f>
        <v>1.5500000000000025</v>
      </c>
      <c r="U345" s="346" t="s">
        <v>514</v>
      </c>
      <c r="V345" s="351" t="s">
        <v>463</v>
      </c>
      <c r="W345" s="338">
        <f>Table6[[#This Row],[Breakdown Time]]*(1/39)</f>
        <v>3.9743589743589804E-2</v>
      </c>
      <c r="X345" s="336" t="s">
        <v>465</v>
      </c>
      <c r="Y345" s="352" t="s">
        <v>147</v>
      </c>
      <c r="Z345" s="105">
        <v>10290</v>
      </c>
      <c r="AA345" s="107">
        <v>664.56250000000102</v>
      </c>
      <c r="AB345" s="105" t="s">
        <v>478</v>
      </c>
    </row>
    <row r="346" spans="1:28">
      <c r="A346" s="105">
        <f t="shared" si="5"/>
        <v>345</v>
      </c>
      <c r="B346" s="107">
        <f>YEAR(Table6[[#This Row],[Date]])+IF(MONTH(Table6[[#This Row],[Date]])&gt;=4,1,0)</f>
        <v>2026</v>
      </c>
      <c r="C346" s="105">
        <f>YEAR(Table6[[#This Row],[Date]])</f>
        <v>2025</v>
      </c>
      <c r="D346" s="105" t="s">
        <v>490</v>
      </c>
      <c r="E346" s="119">
        <f>Table6[[#This Row],[Date]]-DAY(Table6[[#This Row],[Date]])+1</f>
        <v>45748</v>
      </c>
      <c r="F346" s="118">
        <v>45767</v>
      </c>
      <c r="G346" s="105" t="s">
        <v>144</v>
      </c>
      <c r="H346" s="39" t="str">
        <f>_xlfn.XLOOKUP(Table6[[#This Row],[Affected WTG]],'Basic Data'!$A:$A,'Basic Data'!$B:$B)</f>
        <v>PWEGPL</v>
      </c>
      <c r="I346" s="39" t="str">
        <f>_xlfn.XLOOKUP(Table6[[#This Row],[Affected WTG]],'Basic Data'!$A:$A,'Basic Data'!$C:$C)</f>
        <v>MSEDCL</v>
      </c>
      <c r="J346" s="345">
        <f>IFERROR(VLOOKUP(Table6[[#This Row],[Affected WTG]],'Basic Data'!$A$3:$E$56,5,0),"")</f>
        <v>2.564102564102564E-2</v>
      </c>
      <c r="K346" s="105" t="s">
        <v>492</v>
      </c>
      <c r="L346" s="39" t="str">
        <f>IFERROR(VLOOKUP(Table6[[#This Row],[Error Code]],'Basic Data'!$T:$U,2,0),"")</f>
        <v>Manual Stop - Safety Related</v>
      </c>
      <c r="M346" s="346" t="s">
        <v>481</v>
      </c>
      <c r="N346" s="39" t="s">
        <v>1269</v>
      </c>
      <c r="O346" s="347">
        <v>0</v>
      </c>
      <c r="P346" s="347">
        <v>0.99930555555555556</v>
      </c>
      <c r="Q346" s="347">
        <v>0.99930555555555556</v>
      </c>
      <c r="R346" s="348">
        <f>IF(Table6[[#This Row],[Work Start TimeStamp]]="","",(Table6[[#This Row],[Work Start TimeStamp]]-Table6[[#This Row],[Fault Start TimeStamp]])*24)</f>
        <v>23.983333333333334</v>
      </c>
      <c r="S346" s="349">
        <f>(Table6[[#This Row],[Fault Clearance time]]-Table6[[#This Row],[Work Start TimeStamp]])*24</f>
        <v>0</v>
      </c>
      <c r="T346" s="350">
        <f>(Table6[[#This Row],[Fault Clearance time]]-Table6[[#This Row],[Fault Start TimeStamp]])*24</f>
        <v>23.983333333333334</v>
      </c>
      <c r="U346" s="346" t="s">
        <v>498</v>
      </c>
      <c r="V346" s="351" t="s">
        <v>473</v>
      </c>
      <c r="W346" s="338">
        <f>Table6[[#This Row],[Breakdown Time]]*(1/39)</f>
        <v>0.61495726495726499</v>
      </c>
      <c r="X346" s="336" t="s">
        <v>468</v>
      </c>
      <c r="Y346" s="352" t="s">
        <v>141</v>
      </c>
      <c r="Z346" s="105">
        <v>20863</v>
      </c>
      <c r="AA346" s="107">
        <v>20848.511805555554</v>
      </c>
      <c r="AB346" s="105" t="s">
        <v>478</v>
      </c>
    </row>
    <row r="347" spans="1:28">
      <c r="A347" s="105">
        <f t="shared" si="5"/>
        <v>346</v>
      </c>
      <c r="B347" s="107">
        <f>YEAR(Table6[[#This Row],[Date]])+IF(MONTH(Table6[[#This Row],[Date]])&gt;=4,1,0)</f>
        <v>2026</v>
      </c>
      <c r="C347" s="105">
        <f>YEAR(Table6[[#This Row],[Date]])</f>
        <v>2025</v>
      </c>
      <c r="D347" s="105" t="s">
        <v>490</v>
      </c>
      <c r="E347" s="119">
        <f>Table6[[#This Row],[Date]]-DAY(Table6[[#This Row],[Date]])+1</f>
        <v>45748</v>
      </c>
      <c r="F347" s="118">
        <v>45767</v>
      </c>
      <c r="G347" s="105" t="s">
        <v>142</v>
      </c>
      <c r="H347" s="39" t="str">
        <f>_xlfn.XLOOKUP(Table6[[#This Row],[Affected WTG]],'Basic Data'!$A:$A,'Basic Data'!$B:$B)</f>
        <v>PWEGPL</v>
      </c>
      <c r="I347" s="39" t="str">
        <f>_xlfn.XLOOKUP(Table6[[#This Row],[Affected WTG]],'Basic Data'!$A:$A,'Basic Data'!$C:$C)</f>
        <v>MSEDCL</v>
      </c>
      <c r="J347" s="345">
        <f>IFERROR(VLOOKUP(Table6[[#This Row],[Affected WTG]],'Basic Data'!$A$3:$E$56,5,0),"")</f>
        <v>2.564102564102564E-2</v>
      </c>
      <c r="K347" s="105" t="s">
        <v>492</v>
      </c>
      <c r="L347" s="39" t="str">
        <f>IFERROR(VLOOKUP(Table6[[#This Row],[Error Code]],'Basic Data'!$T:$U,2,0),"")</f>
        <v>Manual Stop - Safety Related</v>
      </c>
      <c r="M347" s="346" t="s">
        <v>481</v>
      </c>
      <c r="N347" s="39" t="s">
        <v>1269</v>
      </c>
      <c r="O347" s="347">
        <v>0</v>
      </c>
      <c r="P347" s="347">
        <v>0.99930555555555556</v>
      </c>
      <c r="Q347" s="347">
        <v>0.99930555555555556</v>
      </c>
      <c r="R347" s="348">
        <f>IF(Table6[[#This Row],[Work Start TimeStamp]]="","",(Table6[[#This Row],[Work Start TimeStamp]]-Table6[[#This Row],[Fault Start TimeStamp]])*24)</f>
        <v>23.983333333333334</v>
      </c>
      <c r="S347" s="349">
        <f>(Table6[[#This Row],[Fault Clearance time]]-Table6[[#This Row],[Work Start TimeStamp]])*24</f>
        <v>0</v>
      </c>
      <c r="T347" s="350">
        <f>(Table6[[#This Row],[Fault Clearance time]]-Table6[[#This Row],[Fault Start TimeStamp]])*24</f>
        <v>23.983333333333334</v>
      </c>
      <c r="U347" s="346" t="s">
        <v>498</v>
      </c>
      <c r="V347" s="351" t="s">
        <v>473</v>
      </c>
      <c r="W347" s="338">
        <f>Table6[[#This Row],[Breakdown Time]]*(1/39)</f>
        <v>0.61495726495726499</v>
      </c>
      <c r="X347" s="336" t="s">
        <v>468</v>
      </c>
      <c r="Y347" s="352" t="s">
        <v>141</v>
      </c>
      <c r="Z347" s="105">
        <v>20863</v>
      </c>
      <c r="AA347" s="107">
        <v>20848.511805555554</v>
      </c>
      <c r="AB347" s="105" t="s">
        <v>478</v>
      </c>
    </row>
    <row r="348" spans="1:28">
      <c r="A348" s="105">
        <f t="shared" si="5"/>
        <v>347</v>
      </c>
      <c r="B348" s="107">
        <f>YEAR(Table6[[#This Row],[Date]])+IF(MONTH(Table6[[#This Row],[Date]])&gt;=4,1,0)</f>
        <v>2026</v>
      </c>
      <c r="C348" s="105">
        <f>YEAR(Table6[[#This Row],[Date]])</f>
        <v>2025</v>
      </c>
      <c r="D348" s="105" t="s">
        <v>490</v>
      </c>
      <c r="E348" s="119">
        <f>Table6[[#This Row],[Date]]-DAY(Table6[[#This Row],[Date]])+1</f>
        <v>45748</v>
      </c>
      <c r="F348" s="118">
        <v>45767</v>
      </c>
      <c r="G348" s="105" t="s">
        <v>118</v>
      </c>
      <c r="H348" s="39" t="str">
        <f>_xlfn.XLOOKUP(Table6[[#This Row],[Affected WTG]],'Basic Data'!$A:$A,'Basic Data'!$B:$B)</f>
        <v>PWEGPL</v>
      </c>
      <c r="I348" s="39" t="str">
        <f>_xlfn.XLOOKUP(Table6[[#This Row],[Affected WTG]],'Basic Data'!$A:$A,'Basic Data'!$C:$C)</f>
        <v>MSEDCL</v>
      </c>
      <c r="J348" s="345">
        <f>IFERROR(VLOOKUP(Table6[[#This Row],[Affected WTG]],'Basic Data'!$A$3:$E$56,5,0),"")</f>
        <v>2.564102564102564E-2</v>
      </c>
      <c r="K348" s="105">
        <v>719</v>
      </c>
      <c r="L348" s="39" t="str">
        <f>IFERROR(VLOOKUP(Table6[[#This Row],[Error Code]],'Basic Data'!$T:$U,2,0),"")</f>
        <v>Cup Anemometer Failure Warning</v>
      </c>
      <c r="M348" s="346" t="s">
        <v>462</v>
      </c>
      <c r="N348" s="39" t="s">
        <v>1270</v>
      </c>
      <c r="O348" s="347">
        <v>0.47916666666666669</v>
      </c>
      <c r="P348" s="347">
        <v>0.5083333333333333</v>
      </c>
      <c r="Q348" s="347">
        <v>0.50902777777777775</v>
      </c>
      <c r="R348" s="348">
        <f>IF(Table6[[#This Row],[Work Start TimeStamp]]="","",(Table6[[#This Row],[Work Start TimeStamp]]-Table6[[#This Row],[Fault Start TimeStamp]])*24)</f>
        <v>0.69999999999999885</v>
      </c>
      <c r="S348" s="349">
        <f>(Table6[[#This Row],[Fault Clearance time]]-Table6[[#This Row],[Work Start TimeStamp]])*24</f>
        <v>1.6666666666666607E-2</v>
      </c>
      <c r="T348" s="350">
        <f>(Table6[[#This Row],[Fault Clearance time]]-Table6[[#This Row],[Fault Start TimeStamp]])*24</f>
        <v>0.71666666666666545</v>
      </c>
      <c r="U348" s="346" t="s">
        <v>493</v>
      </c>
      <c r="V348" s="351" t="s">
        <v>463</v>
      </c>
      <c r="W348" s="338">
        <f>Table6[[#This Row],[Breakdown Time]]*(1/39)</f>
        <v>1.8376068376068345E-2</v>
      </c>
      <c r="X348" s="336" t="s">
        <v>465</v>
      </c>
      <c r="Y348" s="352" t="s">
        <v>117</v>
      </c>
      <c r="Z348" s="105">
        <v>20321</v>
      </c>
      <c r="AA348" s="107">
        <v>606.80763888888794</v>
      </c>
      <c r="AB348" s="105" t="s">
        <v>478</v>
      </c>
    </row>
    <row r="349" spans="1:28">
      <c r="A349" s="105">
        <f t="shared" si="5"/>
        <v>348</v>
      </c>
      <c r="B349" s="107">
        <f>YEAR(Table6[[#This Row],[Date]])+IF(MONTH(Table6[[#This Row],[Date]])&gt;=4,1,0)</f>
        <v>2026</v>
      </c>
      <c r="C349" s="105">
        <f>YEAR(Table6[[#This Row],[Date]])</f>
        <v>2025</v>
      </c>
      <c r="D349" s="105" t="s">
        <v>490</v>
      </c>
      <c r="E349" s="119">
        <f>Table6[[#This Row],[Date]]-DAY(Table6[[#This Row],[Date]])+1</f>
        <v>45748</v>
      </c>
      <c r="F349" s="118">
        <v>45767</v>
      </c>
      <c r="G349" s="105" t="s">
        <v>127</v>
      </c>
      <c r="H349" s="39" t="str">
        <f>_xlfn.XLOOKUP(Table6[[#This Row],[Affected WTG]],'Basic Data'!$A:$A,'Basic Data'!$B:$B)</f>
        <v>PWEGPL</v>
      </c>
      <c r="I349" s="39" t="str">
        <f>_xlfn.XLOOKUP(Table6[[#This Row],[Affected WTG]],'Basic Data'!$A:$A,'Basic Data'!$C:$C)</f>
        <v>MSEDCL</v>
      </c>
      <c r="J349" s="345">
        <f>IFERROR(VLOOKUP(Table6[[#This Row],[Affected WTG]],'Basic Data'!$A$3:$E$56,5,0),"")</f>
        <v>2.564102564102564E-2</v>
      </c>
      <c r="K349" s="105">
        <v>500</v>
      </c>
      <c r="L349" s="39" t="str">
        <f>IFERROR(VLOOKUP(Table6[[#This Row],[Error Code]],'Basic Data'!$T:$U,2,0),"")</f>
        <v>High Generator Winding Temperature</v>
      </c>
      <c r="M349" s="346" t="s">
        <v>462</v>
      </c>
      <c r="N349" s="39" t="s">
        <v>1270</v>
      </c>
      <c r="O349" s="347">
        <v>0.1701388888888889</v>
      </c>
      <c r="P349" s="347">
        <v>0.1701388888888889</v>
      </c>
      <c r="Q349" s="347">
        <v>0.1736111111111111</v>
      </c>
      <c r="R349" s="348">
        <f>IF(Table6[[#This Row],[Work Start TimeStamp]]="","",(Table6[[#This Row],[Work Start TimeStamp]]-Table6[[#This Row],[Fault Start TimeStamp]])*24)</f>
        <v>0</v>
      </c>
      <c r="S349" s="349">
        <f>(Table6[[#This Row],[Fault Clearance time]]-Table6[[#This Row],[Work Start TimeStamp]])*24</f>
        <v>8.3333333333333037E-2</v>
      </c>
      <c r="T349" s="350">
        <f>(Table6[[#This Row],[Fault Clearance time]]-Table6[[#This Row],[Fault Start TimeStamp]])*24</f>
        <v>8.3333333333333037E-2</v>
      </c>
      <c r="U349" s="346" t="s">
        <v>480</v>
      </c>
      <c r="V349" s="351" t="s">
        <v>463</v>
      </c>
      <c r="W349" s="338">
        <f>Table6[[#This Row],[Breakdown Time]]*(1/39)</f>
        <v>2.1367521367521292E-3</v>
      </c>
      <c r="X349" s="336" t="s">
        <v>465</v>
      </c>
      <c r="Y349" s="352" t="s">
        <v>128</v>
      </c>
      <c r="Z349" s="105">
        <v>21178</v>
      </c>
      <c r="AA349" s="107">
        <v>73.534722222221959</v>
      </c>
      <c r="AB349" s="105" t="s">
        <v>478</v>
      </c>
    </row>
    <row r="350" spans="1:28">
      <c r="A350" s="105">
        <f t="shared" si="5"/>
        <v>349</v>
      </c>
      <c r="B350" s="107">
        <f>YEAR(Table6[[#This Row],[Date]])+IF(MONTH(Table6[[#This Row],[Date]])&gt;=4,1,0)</f>
        <v>2026</v>
      </c>
      <c r="C350" s="105">
        <f>YEAR(Table6[[#This Row],[Date]])</f>
        <v>2025</v>
      </c>
      <c r="D350" s="105" t="s">
        <v>490</v>
      </c>
      <c r="E350" s="119">
        <f>Table6[[#This Row],[Date]]-DAY(Table6[[#This Row],[Date]])+1</f>
        <v>45748</v>
      </c>
      <c r="F350" s="118">
        <v>45767</v>
      </c>
      <c r="G350" s="105" t="s">
        <v>127</v>
      </c>
      <c r="H350" s="39" t="str">
        <f>_xlfn.XLOOKUP(Table6[[#This Row],[Affected WTG]],'Basic Data'!$A:$A,'Basic Data'!$B:$B)</f>
        <v>PWEGPL</v>
      </c>
      <c r="I350" s="39" t="str">
        <f>_xlfn.XLOOKUP(Table6[[#This Row],[Affected WTG]],'Basic Data'!$A:$A,'Basic Data'!$C:$C)</f>
        <v>MSEDCL</v>
      </c>
      <c r="J350" s="345">
        <f>IFERROR(VLOOKUP(Table6[[#This Row],[Affected WTG]],'Basic Data'!$A$3:$E$56,5,0),"")</f>
        <v>2.564102564102564E-2</v>
      </c>
      <c r="K350" s="105">
        <v>500</v>
      </c>
      <c r="L350" s="39" t="str">
        <f>IFERROR(VLOOKUP(Table6[[#This Row],[Error Code]],'Basic Data'!$T:$U,2,0),"")</f>
        <v>High Generator Winding Temperature</v>
      </c>
      <c r="M350" s="346" t="s">
        <v>462</v>
      </c>
      <c r="N350" s="39" t="s">
        <v>1270</v>
      </c>
      <c r="O350" s="347">
        <v>0.23194444444444445</v>
      </c>
      <c r="P350" s="347">
        <v>0.23194444444444445</v>
      </c>
      <c r="Q350" s="347">
        <v>0.23541666666666666</v>
      </c>
      <c r="R350" s="348">
        <f>IF(Table6[[#This Row],[Work Start TimeStamp]]="","",(Table6[[#This Row],[Work Start TimeStamp]]-Table6[[#This Row],[Fault Start TimeStamp]])*24)</f>
        <v>0</v>
      </c>
      <c r="S350" s="349">
        <f>(Table6[[#This Row],[Fault Clearance time]]-Table6[[#This Row],[Work Start TimeStamp]])*24</f>
        <v>8.3333333333333037E-2</v>
      </c>
      <c r="T350" s="350">
        <f>(Table6[[#This Row],[Fault Clearance time]]-Table6[[#This Row],[Fault Start TimeStamp]])*24</f>
        <v>8.3333333333333037E-2</v>
      </c>
      <c r="U350" s="346" t="s">
        <v>480</v>
      </c>
      <c r="V350" s="351" t="s">
        <v>463</v>
      </c>
      <c r="W350" s="338">
        <f>Table6[[#This Row],[Breakdown Time]]*(1/39)</f>
        <v>2.1367521367521292E-3</v>
      </c>
      <c r="X350" s="336" t="s">
        <v>465</v>
      </c>
      <c r="Y350" s="352" t="s">
        <v>128</v>
      </c>
      <c r="Z350" s="105">
        <v>21178</v>
      </c>
      <c r="AA350" s="107">
        <v>73.534722222221959</v>
      </c>
      <c r="AB350" s="105" t="s">
        <v>478</v>
      </c>
    </row>
    <row r="351" spans="1:28">
      <c r="A351" s="105">
        <f t="shared" si="5"/>
        <v>350</v>
      </c>
      <c r="B351" s="107">
        <f>YEAR(Table6[[#This Row],[Date]])+IF(MONTH(Table6[[#This Row],[Date]])&gt;=4,1,0)</f>
        <v>2026</v>
      </c>
      <c r="C351" s="105">
        <f>YEAR(Table6[[#This Row],[Date]])</f>
        <v>2025</v>
      </c>
      <c r="D351" s="105" t="s">
        <v>490</v>
      </c>
      <c r="E351" s="119">
        <f>Table6[[#This Row],[Date]]-DAY(Table6[[#This Row],[Date]])+1</f>
        <v>45748</v>
      </c>
      <c r="F351" s="118">
        <v>45767</v>
      </c>
      <c r="G351" s="105" t="s">
        <v>127</v>
      </c>
      <c r="H351" s="39" t="str">
        <f>_xlfn.XLOOKUP(Table6[[#This Row],[Affected WTG]],'Basic Data'!$A:$A,'Basic Data'!$B:$B)</f>
        <v>PWEGPL</v>
      </c>
      <c r="I351" s="39" t="str">
        <f>_xlfn.XLOOKUP(Table6[[#This Row],[Affected WTG]],'Basic Data'!$A:$A,'Basic Data'!$C:$C)</f>
        <v>MSEDCL</v>
      </c>
      <c r="J351" s="345">
        <f>IFERROR(VLOOKUP(Table6[[#This Row],[Affected WTG]],'Basic Data'!$A$3:$E$56,5,0),"")</f>
        <v>2.564102564102564E-2</v>
      </c>
      <c r="K351" s="105">
        <v>500</v>
      </c>
      <c r="L351" s="39" t="str">
        <f>IFERROR(VLOOKUP(Table6[[#This Row],[Error Code]],'Basic Data'!$T:$U,2,0),"")</f>
        <v>High Generator Winding Temperature</v>
      </c>
      <c r="M351" s="346" t="s">
        <v>462</v>
      </c>
      <c r="N351" s="39" t="s">
        <v>1270</v>
      </c>
      <c r="O351" s="347">
        <v>0.28125</v>
      </c>
      <c r="P351" s="347">
        <v>0.28125</v>
      </c>
      <c r="Q351" s="347">
        <v>0.28472222222222221</v>
      </c>
      <c r="R351" s="348">
        <f>IF(Table6[[#This Row],[Work Start TimeStamp]]="","",(Table6[[#This Row],[Work Start TimeStamp]]-Table6[[#This Row],[Fault Start TimeStamp]])*24)</f>
        <v>0</v>
      </c>
      <c r="S351" s="349">
        <f>(Table6[[#This Row],[Fault Clearance time]]-Table6[[#This Row],[Work Start TimeStamp]])*24</f>
        <v>8.3333333333333037E-2</v>
      </c>
      <c r="T351" s="350">
        <f>(Table6[[#This Row],[Fault Clearance time]]-Table6[[#This Row],[Fault Start TimeStamp]])*24</f>
        <v>8.3333333333333037E-2</v>
      </c>
      <c r="U351" s="346" t="s">
        <v>480</v>
      </c>
      <c r="V351" s="351" t="s">
        <v>463</v>
      </c>
      <c r="W351" s="338">
        <f>Table6[[#This Row],[Breakdown Time]]*(1/39)</f>
        <v>2.1367521367521292E-3</v>
      </c>
      <c r="X351" s="336" t="s">
        <v>465</v>
      </c>
      <c r="Y351" s="352" t="s">
        <v>128</v>
      </c>
      <c r="Z351" s="105">
        <v>21178</v>
      </c>
      <c r="AA351" s="107">
        <v>73.534722222221959</v>
      </c>
      <c r="AB351" s="105" t="s">
        <v>478</v>
      </c>
    </row>
    <row r="352" spans="1:28">
      <c r="A352" s="105">
        <f t="shared" si="5"/>
        <v>351</v>
      </c>
      <c r="B352" s="107">
        <f>YEAR(Table6[[#This Row],[Date]])+IF(MONTH(Table6[[#This Row],[Date]])&gt;=4,1,0)</f>
        <v>2026</v>
      </c>
      <c r="C352" s="105">
        <f>YEAR(Table6[[#This Row],[Date]])</f>
        <v>2025</v>
      </c>
      <c r="D352" s="105" t="s">
        <v>490</v>
      </c>
      <c r="E352" s="119">
        <f>Table6[[#This Row],[Date]]-DAY(Table6[[#This Row],[Date]])+1</f>
        <v>45748</v>
      </c>
      <c r="F352" s="118">
        <v>45767</v>
      </c>
      <c r="G352" s="105" t="s">
        <v>127</v>
      </c>
      <c r="H352" s="39" t="str">
        <f>_xlfn.XLOOKUP(Table6[[#This Row],[Affected WTG]],'Basic Data'!$A:$A,'Basic Data'!$B:$B)</f>
        <v>PWEGPL</v>
      </c>
      <c r="I352" s="39" t="str">
        <f>_xlfn.XLOOKUP(Table6[[#This Row],[Affected WTG]],'Basic Data'!$A:$A,'Basic Data'!$C:$C)</f>
        <v>MSEDCL</v>
      </c>
      <c r="J352" s="345">
        <f>IFERROR(VLOOKUP(Table6[[#This Row],[Affected WTG]],'Basic Data'!$A$3:$E$56,5,0),"")</f>
        <v>2.564102564102564E-2</v>
      </c>
      <c r="K352" s="105" t="s">
        <v>466</v>
      </c>
      <c r="L352" s="39" t="str">
        <f>IFERROR(VLOOKUP(Table6[[#This Row],[Error Code]],'Basic Data'!$T:$U,2,0),"")</f>
        <v>Manual Stop</v>
      </c>
      <c r="M352" s="346" t="s">
        <v>479</v>
      </c>
      <c r="N352" s="39" t="s">
        <v>230</v>
      </c>
      <c r="O352" s="347">
        <v>0.47569444444444442</v>
      </c>
      <c r="P352" s="347">
        <v>0.47569444444444442</v>
      </c>
      <c r="Q352" s="347">
        <v>0.64097222222222228</v>
      </c>
      <c r="R352" s="348">
        <f>IF(Table6[[#This Row],[Work Start TimeStamp]]="","",(Table6[[#This Row],[Work Start TimeStamp]]-Table6[[#This Row],[Fault Start TimeStamp]])*24)</f>
        <v>0</v>
      </c>
      <c r="S352" s="349">
        <f>(Table6[[#This Row],[Fault Clearance time]]-Table6[[#This Row],[Work Start TimeStamp]])*24</f>
        <v>3.9666666666666686</v>
      </c>
      <c r="T352" s="350">
        <f>(Table6[[#This Row],[Fault Clearance time]]-Table6[[#This Row],[Fault Start TimeStamp]])*24</f>
        <v>3.9666666666666686</v>
      </c>
      <c r="U352" s="346" t="s">
        <v>557</v>
      </c>
      <c r="V352" s="351" t="s">
        <v>463</v>
      </c>
      <c r="W352" s="338">
        <f>Table6[[#This Row],[Breakdown Time]]*(1/39)</f>
        <v>0.10170940170940175</v>
      </c>
      <c r="X352" s="336" t="s">
        <v>464</v>
      </c>
      <c r="Y352" s="352" t="s">
        <v>128</v>
      </c>
      <c r="Z352" s="105">
        <v>21178</v>
      </c>
      <c r="AA352" s="107">
        <v>3500.2527777777791</v>
      </c>
      <c r="AB352" s="105" t="s">
        <v>478</v>
      </c>
    </row>
    <row r="353" spans="1:28">
      <c r="A353" s="105">
        <f t="shared" si="5"/>
        <v>352</v>
      </c>
      <c r="B353" s="107">
        <f>YEAR(Table6[[#This Row],[Date]])+IF(MONTH(Table6[[#This Row],[Date]])&gt;=4,1,0)</f>
        <v>2026</v>
      </c>
      <c r="C353" s="105">
        <f>YEAR(Table6[[#This Row],[Date]])</f>
        <v>2025</v>
      </c>
      <c r="D353" s="105" t="s">
        <v>490</v>
      </c>
      <c r="E353" s="119">
        <f>Table6[[#This Row],[Date]]-DAY(Table6[[#This Row],[Date]])+1</f>
        <v>45748</v>
      </c>
      <c r="F353" s="118">
        <v>45767</v>
      </c>
      <c r="G353" s="105" t="s">
        <v>136</v>
      </c>
      <c r="H353" s="39" t="str">
        <f>_xlfn.XLOOKUP(Table6[[#This Row],[Affected WTG]],'Basic Data'!$A:$A,'Basic Data'!$B:$B)</f>
        <v>PWEGPL</v>
      </c>
      <c r="I353" s="39" t="str">
        <f>_xlfn.XLOOKUP(Table6[[#This Row],[Affected WTG]],'Basic Data'!$A:$A,'Basic Data'!$C:$C)</f>
        <v>MSEDCL</v>
      </c>
      <c r="J353" s="345">
        <f>IFERROR(VLOOKUP(Table6[[#This Row],[Affected WTG]],'Basic Data'!$A$3:$E$56,5,0),"")</f>
        <v>2.564102564102564E-2</v>
      </c>
      <c r="K353" s="105">
        <v>813</v>
      </c>
      <c r="L353" s="39" t="str">
        <f>IFERROR(VLOOKUP(Table6[[#This Row],[Error Code]],'Basic Data'!$T:$U,2,0),"")</f>
        <v>Low Pressure Of Emergency Accumulators</v>
      </c>
      <c r="M353" s="346" t="s">
        <v>462</v>
      </c>
      <c r="N353" s="39" t="s">
        <v>1270</v>
      </c>
      <c r="O353" s="347">
        <v>0.68333333333333335</v>
      </c>
      <c r="P353" s="347">
        <v>0.70277777777777772</v>
      </c>
      <c r="Q353" s="347">
        <v>0.70416666666666672</v>
      </c>
      <c r="R353" s="348">
        <f>IF(Table6[[#This Row],[Work Start TimeStamp]]="","",(Table6[[#This Row],[Work Start TimeStamp]]-Table6[[#This Row],[Fault Start TimeStamp]])*24)</f>
        <v>0.46666666666666501</v>
      </c>
      <c r="S353" s="349">
        <f>(Table6[[#This Row],[Fault Clearance time]]-Table6[[#This Row],[Work Start TimeStamp]])*24</f>
        <v>3.3333333333335879E-2</v>
      </c>
      <c r="T353" s="350">
        <f>(Table6[[#This Row],[Fault Clearance time]]-Table6[[#This Row],[Fault Start TimeStamp]])*24</f>
        <v>0.50000000000000089</v>
      </c>
      <c r="U353" s="346" t="s">
        <v>493</v>
      </c>
      <c r="V353" s="351" t="s">
        <v>463</v>
      </c>
      <c r="W353" s="338">
        <f>Table6[[#This Row],[Breakdown Time]]*(1/39)</f>
        <v>1.2820512820512843E-2</v>
      </c>
      <c r="X353" s="336" t="s">
        <v>465</v>
      </c>
      <c r="Y353" s="352" t="s">
        <v>119</v>
      </c>
      <c r="Z353" s="105">
        <v>20876</v>
      </c>
      <c r="AA353" s="107">
        <v>434.91666666666748</v>
      </c>
      <c r="AB353" s="105" t="s">
        <v>478</v>
      </c>
    </row>
    <row r="354" spans="1:28">
      <c r="A354" s="105">
        <f t="shared" si="5"/>
        <v>353</v>
      </c>
      <c r="B354" s="107">
        <f>YEAR(Table6[[#This Row],[Date]])+IF(MONTH(Table6[[#This Row],[Date]])&gt;=4,1,0)</f>
        <v>2026</v>
      </c>
      <c r="C354" s="105">
        <f>YEAR(Table6[[#This Row],[Date]])</f>
        <v>2025</v>
      </c>
      <c r="D354" s="105" t="s">
        <v>490</v>
      </c>
      <c r="E354" s="119">
        <f>Table6[[#This Row],[Date]]-DAY(Table6[[#This Row],[Date]])+1</f>
        <v>45748</v>
      </c>
      <c r="F354" s="118">
        <v>45768</v>
      </c>
      <c r="G354" s="105" t="s">
        <v>144</v>
      </c>
      <c r="H354" s="39" t="str">
        <f>_xlfn.XLOOKUP(Table6[[#This Row],[Affected WTG]],'Basic Data'!$A:$A,'Basic Data'!$B:$B)</f>
        <v>PWEGPL</v>
      </c>
      <c r="I354" s="39" t="str">
        <f>_xlfn.XLOOKUP(Table6[[#This Row],[Affected WTG]],'Basic Data'!$A:$A,'Basic Data'!$C:$C)</f>
        <v>MSEDCL</v>
      </c>
      <c r="J354" s="345">
        <f>IFERROR(VLOOKUP(Table6[[#This Row],[Affected WTG]],'Basic Data'!$A$3:$E$56,5,0),"")</f>
        <v>2.564102564102564E-2</v>
      </c>
      <c r="K354" s="105" t="s">
        <v>492</v>
      </c>
      <c r="L354" s="39" t="str">
        <f>IFERROR(VLOOKUP(Table6[[#This Row],[Error Code]],'Basic Data'!$T:$U,2,0),"")</f>
        <v>Manual Stop - Safety Related</v>
      </c>
      <c r="M354" s="346" t="s">
        <v>481</v>
      </c>
      <c r="N354" s="39" t="s">
        <v>1269</v>
      </c>
      <c r="O354" s="347">
        <v>0</v>
      </c>
      <c r="P354" s="347">
        <v>0.99930555555555556</v>
      </c>
      <c r="Q354" s="347">
        <v>0.99930555555555556</v>
      </c>
      <c r="R354" s="348">
        <f>IF(Table6[[#This Row],[Work Start TimeStamp]]="","",(Table6[[#This Row],[Work Start TimeStamp]]-Table6[[#This Row],[Fault Start TimeStamp]])*24)</f>
        <v>23.983333333333334</v>
      </c>
      <c r="S354" s="349">
        <f>(Table6[[#This Row],[Fault Clearance time]]-Table6[[#This Row],[Work Start TimeStamp]])*24</f>
        <v>0</v>
      </c>
      <c r="T354" s="350">
        <f>(Table6[[#This Row],[Fault Clearance time]]-Table6[[#This Row],[Fault Start TimeStamp]])*24</f>
        <v>23.983333333333334</v>
      </c>
      <c r="U354" s="346" t="s">
        <v>498</v>
      </c>
      <c r="V354" s="351" t="s">
        <v>473</v>
      </c>
      <c r="W354" s="338">
        <f>Table6[[#This Row],[Breakdown Time]]*(1/39)</f>
        <v>0.61495726495726499</v>
      </c>
      <c r="X354" s="336" t="s">
        <v>468</v>
      </c>
      <c r="Y354" s="352" t="s">
        <v>141</v>
      </c>
      <c r="Z354" s="105">
        <v>8034</v>
      </c>
      <c r="AA354" s="107">
        <v>8028.4208333333336</v>
      </c>
      <c r="AB354" s="105" t="s">
        <v>478</v>
      </c>
    </row>
    <row r="355" spans="1:28">
      <c r="A355" s="105">
        <f t="shared" si="5"/>
        <v>354</v>
      </c>
      <c r="B355" s="107">
        <f>YEAR(Table6[[#This Row],[Date]])+IF(MONTH(Table6[[#This Row],[Date]])&gt;=4,1,0)</f>
        <v>2026</v>
      </c>
      <c r="C355" s="105">
        <f>YEAR(Table6[[#This Row],[Date]])</f>
        <v>2025</v>
      </c>
      <c r="D355" s="105" t="s">
        <v>490</v>
      </c>
      <c r="E355" s="119">
        <f>Table6[[#This Row],[Date]]-DAY(Table6[[#This Row],[Date]])+1</f>
        <v>45748</v>
      </c>
      <c r="F355" s="118">
        <v>45768</v>
      </c>
      <c r="G355" s="105" t="s">
        <v>142</v>
      </c>
      <c r="H355" s="39" t="str">
        <f>_xlfn.XLOOKUP(Table6[[#This Row],[Affected WTG]],'Basic Data'!$A:$A,'Basic Data'!$B:$B)</f>
        <v>PWEGPL</v>
      </c>
      <c r="I355" s="39" t="str">
        <f>_xlfn.XLOOKUP(Table6[[#This Row],[Affected WTG]],'Basic Data'!$A:$A,'Basic Data'!$C:$C)</f>
        <v>MSEDCL</v>
      </c>
      <c r="J355" s="345">
        <f>IFERROR(VLOOKUP(Table6[[#This Row],[Affected WTG]],'Basic Data'!$A$3:$E$56,5,0),"")</f>
        <v>2.564102564102564E-2</v>
      </c>
      <c r="K355" s="105" t="s">
        <v>492</v>
      </c>
      <c r="L355" s="39" t="str">
        <f>IFERROR(VLOOKUP(Table6[[#This Row],[Error Code]],'Basic Data'!$T:$U,2,0),"")</f>
        <v>Manual Stop - Safety Related</v>
      </c>
      <c r="M355" s="346" t="s">
        <v>481</v>
      </c>
      <c r="N355" s="39" t="s">
        <v>1269</v>
      </c>
      <c r="O355" s="347">
        <v>0</v>
      </c>
      <c r="P355" s="347">
        <v>0.99930555555555556</v>
      </c>
      <c r="Q355" s="347">
        <v>0.99930555555555556</v>
      </c>
      <c r="R355" s="348">
        <f>IF(Table6[[#This Row],[Work Start TimeStamp]]="","",(Table6[[#This Row],[Work Start TimeStamp]]-Table6[[#This Row],[Fault Start TimeStamp]])*24)</f>
        <v>23.983333333333334</v>
      </c>
      <c r="S355" s="349">
        <f>(Table6[[#This Row],[Fault Clearance time]]-Table6[[#This Row],[Work Start TimeStamp]])*24</f>
        <v>0</v>
      </c>
      <c r="T355" s="350">
        <f>(Table6[[#This Row],[Fault Clearance time]]-Table6[[#This Row],[Fault Start TimeStamp]])*24</f>
        <v>23.983333333333334</v>
      </c>
      <c r="U355" s="346" t="s">
        <v>498</v>
      </c>
      <c r="V355" s="351" t="s">
        <v>473</v>
      </c>
      <c r="W355" s="338">
        <f>Table6[[#This Row],[Breakdown Time]]*(1/39)</f>
        <v>0.61495726495726499</v>
      </c>
      <c r="X355" s="336" t="s">
        <v>468</v>
      </c>
      <c r="Y355" s="352" t="s">
        <v>141</v>
      </c>
      <c r="Z355" s="105">
        <v>8034</v>
      </c>
      <c r="AA355" s="107">
        <v>8028.4208333333336</v>
      </c>
      <c r="AB355" s="105" t="s">
        <v>478</v>
      </c>
    </row>
    <row r="356" spans="1:28">
      <c r="A356" s="105">
        <f t="shared" si="5"/>
        <v>355</v>
      </c>
      <c r="B356" s="107">
        <f>YEAR(Table6[[#This Row],[Date]])+IF(MONTH(Table6[[#This Row],[Date]])&gt;=4,1,0)</f>
        <v>2026</v>
      </c>
      <c r="C356" s="105">
        <f>YEAR(Table6[[#This Row],[Date]])</f>
        <v>2025</v>
      </c>
      <c r="D356" s="105" t="s">
        <v>490</v>
      </c>
      <c r="E356" s="119">
        <f>Table6[[#This Row],[Date]]-DAY(Table6[[#This Row],[Date]])+1</f>
        <v>45748</v>
      </c>
      <c r="F356" s="118">
        <v>45768</v>
      </c>
      <c r="G356" s="105" t="s">
        <v>130</v>
      </c>
      <c r="H356" s="39" t="str">
        <f>_xlfn.XLOOKUP(Table6[[#This Row],[Affected WTG]],'Basic Data'!$A:$A,'Basic Data'!$B:$B)</f>
        <v>PWEGPL</v>
      </c>
      <c r="I356" s="39" t="str">
        <f>_xlfn.XLOOKUP(Table6[[#This Row],[Affected WTG]],'Basic Data'!$A:$A,'Basic Data'!$C:$C)</f>
        <v>MSEDCL</v>
      </c>
      <c r="J356" s="345">
        <f>IFERROR(VLOOKUP(Table6[[#This Row],[Affected WTG]],'Basic Data'!$A$3:$E$56,5,0),"")</f>
        <v>2.564102564102564E-2</v>
      </c>
      <c r="K356" s="105" t="s">
        <v>487</v>
      </c>
      <c r="L356" s="39" t="str">
        <f>IFERROR(VLOOKUP(Table6[[#This Row],[Error Code]],'Basic Data'!$T:$U,2,0),"")</f>
        <v>General Work Stoppage</v>
      </c>
      <c r="M356" s="346" t="s">
        <v>479</v>
      </c>
      <c r="N356" s="39" t="s">
        <v>230</v>
      </c>
      <c r="O356" s="347">
        <v>0.66111111111111109</v>
      </c>
      <c r="P356" s="347">
        <v>0.66111111111111109</v>
      </c>
      <c r="Q356" s="347">
        <v>0.72916666666666663</v>
      </c>
      <c r="R356" s="348">
        <f>IF(Table6[[#This Row],[Work Start TimeStamp]]="","",(Table6[[#This Row],[Work Start TimeStamp]]-Table6[[#This Row],[Fault Start TimeStamp]])*24)</f>
        <v>0</v>
      </c>
      <c r="S356" s="349">
        <f>(Table6[[#This Row],[Fault Clearance time]]-Table6[[#This Row],[Work Start TimeStamp]])*24</f>
        <v>1.6333333333333329</v>
      </c>
      <c r="T356" s="350">
        <f>(Table6[[#This Row],[Fault Clearance time]]-Table6[[#This Row],[Fault Start TimeStamp]])*24</f>
        <v>1.6333333333333329</v>
      </c>
      <c r="U356" s="346" t="s">
        <v>558</v>
      </c>
      <c r="V356" s="351" t="s">
        <v>463</v>
      </c>
      <c r="W356" s="338">
        <f>Table6[[#This Row],[Breakdown Time]]*(1/39)</f>
        <v>4.1880341880341863E-2</v>
      </c>
      <c r="X356" s="336" t="s">
        <v>464</v>
      </c>
      <c r="Y356" s="352" t="s">
        <v>131</v>
      </c>
      <c r="Z356" s="105">
        <v>7749</v>
      </c>
      <c r="AA356" s="107">
        <v>527.36249999999984</v>
      </c>
      <c r="AB356" s="105" t="s">
        <v>478</v>
      </c>
    </row>
    <row r="357" spans="1:28">
      <c r="A357" s="105">
        <f t="shared" si="5"/>
        <v>356</v>
      </c>
      <c r="B357" s="107">
        <f>YEAR(Table6[[#This Row],[Date]])+IF(MONTH(Table6[[#This Row],[Date]])&gt;=4,1,0)</f>
        <v>2026</v>
      </c>
      <c r="C357" s="105">
        <f>YEAR(Table6[[#This Row],[Date]])</f>
        <v>2025</v>
      </c>
      <c r="D357" s="105" t="s">
        <v>490</v>
      </c>
      <c r="E357" s="119">
        <f>Table6[[#This Row],[Date]]-DAY(Table6[[#This Row],[Date]])+1</f>
        <v>45748</v>
      </c>
      <c r="F357" s="118">
        <v>45768</v>
      </c>
      <c r="G357" s="105" t="s">
        <v>145</v>
      </c>
      <c r="H357" s="39" t="str">
        <f>_xlfn.XLOOKUP(Table6[[#This Row],[Affected WTG]],'Basic Data'!$A:$A,'Basic Data'!$B:$B)</f>
        <v>PWEGPL</v>
      </c>
      <c r="I357" s="39" t="str">
        <f>_xlfn.XLOOKUP(Table6[[#This Row],[Affected WTG]],'Basic Data'!$A:$A,'Basic Data'!$C:$C)</f>
        <v>MSEDCL</v>
      </c>
      <c r="J357" s="345">
        <f>IFERROR(VLOOKUP(Table6[[#This Row],[Affected WTG]],'Basic Data'!$A$3:$E$56,5,0),"")</f>
        <v>2.564102564102564E-2</v>
      </c>
      <c r="K357" s="105">
        <v>1824</v>
      </c>
      <c r="L357" s="39" t="str">
        <f>IFERROR(VLOOKUP(Table6[[#This Row],[Error Code]],'Basic Data'!$T:$U,2,0),"")</f>
        <v>Trafo Fan Thermal Relay</v>
      </c>
      <c r="M357" s="346" t="s">
        <v>462</v>
      </c>
      <c r="N357" s="39" t="s">
        <v>1270</v>
      </c>
      <c r="O357" s="347">
        <v>0.57847222222222228</v>
      </c>
      <c r="P357" s="347">
        <v>0.60763888888888884</v>
      </c>
      <c r="Q357" s="347">
        <v>0.60833333333333328</v>
      </c>
      <c r="R357" s="348">
        <f>IF(Table6[[#This Row],[Work Start TimeStamp]]="","",(Table6[[#This Row],[Work Start TimeStamp]]-Table6[[#This Row],[Fault Start TimeStamp]])*24)</f>
        <v>0.69999999999999751</v>
      </c>
      <c r="S357" s="349">
        <f>(Table6[[#This Row],[Fault Clearance time]]-Table6[[#This Row],[Work Start TimeStamp]])*24</f>
        <v>1.6666666666666607E-2</v>
      </c>
      <c r="T357" s="350">
        <f>(Table6[[#This Row],[Fault Clearance time]]-Table6[[#This Row],[Fault Start TimeStamp]])*24</f>
        <v>0.71666666666666412</v>
      </c>
      <c r="U357" s="346" t="s">
        <v>493</v>
      </c>
      <c r="V357" s="351" t="s">
        <v>463</v>
      </c>
      <c r="W357" s="338">
        <f>Table6[[#This Row],[Breakdown Time]]*(1/39)</f>
        <v>1.8376068376068311E-2</v>
      </c>
      <c r="X357" s="336" t="s">
        <v>465</v>
      </c>
      <c r="Y357" s="352" t="s">
        <v>139</v>
      </c>
      <c r="Z357" s="105">
        <v>8284</v>
      </c>
      <c r="AA357" s="107">
        <v>247.36944444444359</v>
      </c>
      <c r="AB357" s="105" t="s">
        <v>478</v>
      </c>
    </row>
    <row r="358" spans="1:28">
      <c r="A358" s="105">
        <f t="shared" si="5"/>
        <v>357</v>
      </c>
      <c r="B358" s="107">
        <f>YEAR(Table6[[#This Row],[Date]])+IF(MONTH(Table6[[#This Row],[Date]])&gt;=4,1,0)</f>
        <v>2026</v>
      </c>
      <c r="C358" s="105">
        <f>YEAR(Table6[[#This Row],[Date]])</f>
        <v>2025</v>
      </c>
      <c r="D358" s="105" t="s">
        <v>490</v>
      </c>
      <c r="E358" s="119">
        <f>Table6[[#This Row],[Date]]-DAY(Table6[[#This Row],[Date]])+1</f>
        <v>45748</v>
      </c>
      <c r="F358" s="118">
        <v>45768</v>
      </c>
      <c r="G358" s="105" t="s">
        <v>139</v>
      </c>
      <c r="H358" s="39" t="str">
        <f>_xlfn.XLOOKUP(Table6[[#This Row],[Affected WTG]],'Basic Data'!$A:$A,'Basic Data'!$B:$B)</f>
        <v>PWEGPL</v>
      </c>
      <c r="I358" s="39" t="str">
        <f>_xlfn.XLOOKUP(Table6[[#This Row],[Affected WTG]],'Basic Data'!$A:$A,'Basic Data'!$C:$C)</f>
        <v>MSEDCL</v>
      </c>
      <c r="J358" s="345">
        <f>IFERROR(VLOOKUP(Table6[[#This Row],[Affected WTG]],'Basic Data'!$A$3:$E$56,5,0),"")</f>
        <v>2.564102564102564E-2</v>
      </c>
      <c r="K358" s="105">
        <v>1824</v>
      </c>
      <c r="L358" s="39" t="str">
        <f>IFERROR(VLOOKUP(Table6[[#This Row],[Error Code]],'Basic Data'!$T:$U,2,0),"")</f>
        <v>Trafo Fan Thermal Relay</v>
      </c>
      <c r="M358" s="346" t="s">
        <v>462</v>
      </c>
      <c r="N358" s="39" t="s">
        <v>1270</v>
      </c>
      <c r="O358" s="347">
        <v>0.56388888888888888</v>
      </c>
      <c r="P358" s="347">
        <v>0.61250000000000004</v>
      </c>
      <c r="Q358" s="347">
        <v>0.61319444444444449</v>
      </c>
      <c r="R358" s="348">
        <f>IF(Table6[[#This Row],[Work Start TimeStamp]]="","",(Table6[[#This Row],[Work Start TimeStamp]]-Table6[[#This Row],[Fault Start TimeStamp]])*24)</f>
        <v>1.1666666666666679</v>
      </c>
      <c r="S358" s="349">
        <f>(Table6[[#This Row],[Fault Clearance time]]-Table6[[#This Row],[Work Start TimeStamp]])*24</f>
        <v>1.6666666666666607E-2</v>
      </c>
      <c r="T358" s="350">
        <f>(Table6[[#This Row],[Fault Clearance time]]-Table6[[#This Row],[Fault Start TimeStamp]])*24</f>
        <v>1.1833333333333345</v>
      </c>
      <c r="U358" s="346" t="s">
        <v>493</v>
      </c>
      <c r="V358" s="351" t="s">
        <v>463</v>
      </c>
      <c r="W358" s="338">
        <f>Table6[[#This Row],[Breakdown Time]]*(1/39)</f>
        <v>3.0341880341880369E-2</v>
      </c>
      <c r="X358" s="336" t="s">
        <v>465</v>
      </c>
      <c r="Y358" s="352" t="s">
        <v>153</v>
      </c>
      <c r="Z358" s="105">
        <v>8257</v>
      </c>
      <c r="AA358" s="107">
        <v>407.11597222222264</v>
      </c>
      <c r="AB358" s="105" t="s">
        <v>478</v>
      </c>
    </row>
    <row r="359" spans="1:28">
      <c r="A359" s="105">
        <f t="shared" si="5"/>
        <v>358</v>
      </c>
      <c r="B359" s="107">
        <f>YEAR(Table6[[#This Row],[Date]])+IF(MONTH(Table6[[#This Row],[Date]])&gt;=4,1,0)</f>
        <v>2026</v>
      </c>
      <c r="C359" s="105">
        <f>YEAR(Table6[[#This Row],[Date]])</f>
        <v>2025</v>
      </c>
      <c r="D359" s="105" t="s">
        <v>490</v>
      </c>
      <c r="E359" s="119">
        <f>Table6[[#This Row],[Date]]-DAY(Table6[[#This Row],[Date]])+1</f>
        <v>45748</v>
      </c>
      <c r="F359" s="118">
        <v>45768</v>
      </c>
      <c r="G359" s="105" t="s">
        <v>153</v>
      </c>
      <c r="H359" s="39" t="str">
        <f>_xlfn.XLOOKUP(Table6[[#This Row],[Affected WTG]],'Basic Data'!$A:$A,'Basic Data'!$B:$B)</f>
        <v>PWEGPL</v>
      </c>
      <c r="I359" s="39" t="str">
        <f>_xlfn.XLOOKUP(Table6[[#This Row],[Affected WTG]],'Basic Data'!$A:$A,'Basic Data'!$C:$C)</f>
        <v>MSEDCL</v>
      </c>
      <c r="J359" s="345">
        <f>IFERROR(VLOOKUP(Table6[[#This Row],[Affected WTG]],'Basic Data'!$A$3:$E$56,5,0),"")</f>
        <v>2.564102564102564E-2</v>
      </c>
      <c r="K359" s="105">
        <v>1824</v>
      </c>
      <c r="L359" s="39" t="str">
        <f>IFERROR(VLOOKUP(Table6[[#This Row],[Error Code]],'Basic Data'!$T:$U,2,0),"")</f>
        <v>Trafo Fan Thermal Relay</v>
      </c>
      <c r="M359" s="346" t="s">
        <v>462</v>
      </c>
      <c r="N359" s="39" t="s">
        <v>1270</v>
      </c>
      <c r="O359" s="347">
        <v>0.58680555555555558</v>
      </c>
      <c r="P359" s="347">
        <v>0.61875000000000002</v>
      </c>
      <c r="Q359" s="347">
        <v>0.61944444444444446</v>
      </c>
      <c r="R359" s="348">
        <f>IF(Table6[[#This Row],[Work Start TimeStamp]]="","",(Table6[[#This Row],[Work Start TimeStamp]]-Table6[[#This Row],[Fault Start TimeStamp]])*24)</f>
        <v>0.76666666666666661</v>
      </c>
      <c r="S359" s="349">
        <f>(Table6[[#This Row],[Fault Clearance time]]-Table6[[#This Row],[Work Start TimeStamp]])*24</f>
        <v>1.6666666666666607E-2</v>
      </c>
      <c r="T359" s="350">
        <f>(Table6[[#This Row],[Fault Clearance time]]-Table6[[#This Row],[Fault Start TimeStamp]])*24</f>
        <v>0.78333333333333321</v>
      </c>
      <c r="U359" s="346" t="s">
        <v>493</v>
      </c>
      <c r="V359" s="351" t="s">
        <v>463</v>
      </c>
      <c r="W359" s="338">
        <f>Table6[[#This Row],[Breakdown Time]]*(1/39)</f>
        <v>2.008547008547008E-2</v>
      </c>
      <c r="X359" s="336" t="s">
        <v>465</v>
      </c>
      <c r="Y359" s="352" t="s">
        <v>152</v>
      </c>
      <c r="Z359" s="105">
        <v>8463</v>
      </c>
      <c r="AA359" s="107">
        <v>276.22291666666661</v>
      </c>
      <c r="AB359" s="105" t="s">
        <v>478</v>
      </c>
    </row>
    <row r="360" spans="1:28">
      <c r="A360" s="105">
        <f t="shared" si="5"/>
        <v>359</v>
      </c>
      <c r="B360" s="107">
        <f>YEAR(Table6[[#This Row],[Date]])+IF(MONTH(Table6[[#This Row],[Date]])&gt;=4,1,0)</f>
        <v>2026</v>
      </c>
      <c r="C360" s="105">
        <f>YEAR(Table6[[#This Row],[Date]])</f>
        <v>2025</v>
      </c>
      <c r="D360" s="105" t="s">
        <v>490</v>
      </c>
      <c r="E360" s="119">
        <f>Table6[[#This Row],[Date]]-DAY(Table6[[#This Row],[Date]])+1</f>
        <v>45748</v>
      </c>
      <c r="F360" s="118">
        <v>45769</v>
      </c>
      <c r="G360" s="105" t="s">
        <v>144</v>
      </c>
      <c r="H360" s="39" t="str">
        <f>_xlfn.XLOOKUP(Table6[[#This Row],[Affected WTG]],'Basic Data'!$A:$A,'Basic Data'!$B:$B)</f>
        <v>PWEGPL</v>
      </c>
      <c r="I360" s="39" t="str">
        <f>_xlfn.XLOOKUP(Table6[[#This Row],[Affected WTG]],'Basic Data'!$A:$A,'Basic Data'!$C:$C)</f>
        <v>MSEDCL</v>
      </c>
      <c r="J360" s="345">
        <f>IFERROR(VLOOKUP(Table6[[#This Row],[Affected WTG]],'Basic Data'!$A$3:$E$56,5,0),"")</f>
        <v>2.564102564102564E-2</v>
      </c>
      <c r="K360" s="105" t="s">
        <v>492</v>
      </c>
      <c r="L360" s="39" t="str">
        <f>IFERROR(VLOOKUP(Table6[[#This Row],[Error Code]],'Basic Data'!$T:$U,2,0),"")</f>
        <v>Manual Stop - Safety Related</v>
      </c>
      <c r="M360" s="346" t="s">
        <v>481</v>
      </c>
      <c r="N360" s="39" t="s">
        <v>1269</v>
      </c>
      <c r="O360" s="347">
        <v>0</v>
      </c>
      <c r="P360" s="347">
        <v>0.99930555555555556</v>
      </c>
      <c r="Q360" s="347">
        <v>0.99930555555555556</v>
      </c>
      <c r="R360" s="348">
        <f>IF(Table6[[#This Row],[Work Start TimeStamp]]="","",(Table6[[#This Row],[Work Start TimeStamp]]-Table6[[#This Row],[Fault Start TimeStamp]])*24)</f>
        <v>23.983333333333334</v>
      </c>
      <c r="S360" s="349">
        <f>(Table6[[#This Row],[Fault Clearance time]]-Table6[[#This Row],[Work Start TimeStamp]])*24</f>
        <v>0</v>
      </c>
      <c r="T360" s="350">
        <f>(Table6[[#This Row],[Fault Clearance time]]-Table6[[#This Row],[Fault Start TimeStamp]])*24</f>
        <v>23.983333333333334</v>
      </c>
      <c r="U360" s="346" t="s">
        <v>498</v>
      </c>
      <c r="V360" s="351" t="s">
        <v>473</v>
      </c>
      <c r="W360" s="338">
        <f>Table6[[#This Row],[Breakdown Time]]*(1/39)</f>
        <v>0.61495726495726499</v>
      </c>
      <c r="X360" s="336" t="s">
        <v>468</v>
      </c>
      <c r="Y360" s="352" t="s">
        <v>141</v>
      </c>
      <c r="Z360" s="105">
        <v>6332</v>
      </c>
      <c r="AA360" s="107">
        <v>6327.6027777777772</v>
      </c>
      <c r="AB360" s="105" t="s">
        <v>478</v>
      </c>
    </row>
    <row r="361" spans="1:28">
      <c r="A361" s="105">
        <f t="shared" si="5"/>
        <v>360</v>
      </c>
      <c r="B361" s="107">
        <f>YEAR(Table6[[#This Row],[Date]])+IF(MONTH(Table6[[#This Row],[Date]])&gt;=4,1,0)</f>
        <v>2026</v>
      </c>
      <c r="C361" s="105">
        <f>YEAR(Table6[[#This Row],[Date]])</f>
        <v>2025</v>
      </c>
      <c r="D361" s="105" t="s">
        <v>490</v>
      </c>
      <c r="E361" s="119">
        <f>Table6[[#This Row],[Date]]-DAY(Table6[[#This Row],[Date]])+1</f>
        <v>45748</v>
      </c>
      <c r="F361" s="118">
        <v>45769</v>
      </c>
      <c r="G361" s="105" t="s">
        <v>142</v>
      </c>
      <c r="H361" s="39" t="str">
        <f>_xlfn.XLOOKUP(Table6[[#This Row],[Affected WTG]],'Basic Data'!$A:$A,'Basic Data'!$B:$B)</f>
        <v>PWEGPL</v>
      </c>
      <c r="I361" s="39" t="str">
        <f>_xlfn.XLOOKUP(Table6[[#This Row],[Affected WTG]],'Basic Data'!$A:$A,'Basic Data'!$C:$C)</f>
        <v>MSEDCL</v>
      </c>
      <c r="J361" s="345">
        <f>IFERROR(VLOOKUP(Table6[[#This Row],[Affected WTG]],'Basic Data'!$A$3:$E$56,5,0),"")</f>
        <v>2.564102564102564E-2</v>
      </c>
      <c r="K361" s="105" t="s">
        <v>492</v>
      </c>
      <c r="L361" s="39" t="str">
        <f>IFERROR(VLOOKUP(Table6[[#This Row],[Error Code]],'Basic Data'!$T:$U,2,0),"")</f>
        <v>Manual Stop - Safety Related</v>
      </c>
      <c r="M361" s="346" t="s">
        <v>481</v>
      </c>
      <c r="N361" s="39" t="s">
        <v>1269</v>
      </c>
      <c r="O361" s="347">
        <v>0</v>
      </c>
      <c r="P361" s="347">
        <v>0.99930555555555556</v>
      </c>
      <c r="Q361" s="347">
        <v>0.99930555555555556</v>
      </c>
      <c r="R361" s="348">
        <f>IF(Table6[[#This Row],[Work Start TimeStamp]]="","",(Table6[[#This Row],[Work Start TimeStamp]]-Table6[[#This Row],[Fault Start TimeStamp]])*24)</f>
        <v>23.983333333333334</v>
      </c>
      <c r="S361" s="349">
        <f>(Table6[[#This Row],[Fault Clearance time]]-Table6[[#This Row],[Work Start TimeStamp]])*24</f>
        <v>0</v>
      </c>
      <c r="T361" s="350">
        <f>(Table6[[#This Row],[Fault Clearance time]]-Table6[[#This Row],[Fault Start TimeStamp]])*24</f>
        <v>23.983333333333334</v>
      </c>
      <c r="U361" s="346" t="s">
        <v>498</v>
      </c>
      <c r="V361" s="351" t="s">
        <v>473</v>
      </c>
      <c r="W361" s="338">
        <f>Table6[[#This Row],[Breakdown Time]]*(1/39)</f>
        <v>0.61495726495726499</v>
      </c>
      <c r="X361" s="336" t="s">
        <v>468</v>
      </c>
      <c r="Y361" s="352" t="s">
        <v>141</v>
      </c>
      <c r="Z361" s="105">
        <v>6332</v>
      </c>
      <c r="AA361" s="107">
        <v>6327.6027777777772</v>
      </c>
      <c r="AB361" s="105" t="s">
        <v>478</v>
      </c>
    </row>
    <row r="362" spans="1:28">
      <c r="A362" s="105">
        <f t="shared" si="5"/>
        <v>361</v>
      </c>
      <c r="B362" s="107">
        <f>YEAR(Table6[[#This Row],[Date]])+IF(MONTH(Table6[[#This Row],[Date]])&gt;=4,1,0)</f>
        <v>2026</v>
      </c>
      <c r="C362" s="105">
        <f>YEAR(Table6[[#This Row],[Date]])</f>
        <v>2025</v>
      </c>
      <c r="D362" s="105" t="s">
        <v>490</v>
      </c>
      <c r="E362" s="119">
        <f>Table6[[#This Row],[Date]]-DAY(Table6[[#This Row],[Date]])+1</f>
        <v>45748</v>
      </c>
      <c r="F362" s="118">
        <v>45769</v>
      </c>
      <c r="G362" s="105" t="s">
        <v>120</v>
      </c>
      <c r="H362" s="39" t="str">
        <f>_xlfn.XLOOKUP(Table6[[#This Row],[Affected WTG]],'Basic Data'!$A:$A,'Basic Data'!$B:$B)</f>
        <v>PWEGPL</v>
      </c>
      <c r="I362" s="39" t="str">
        <f>_xlfn.XLOOKUP(Table6[[#This Row],[Affected WTG]],'Basic Data'!$A:$A,'Basic Data'!$C:$C)</f>
        <v>MSEDCL</v>
      </c>
      <c r="J362" s="345">
        <f>IFERROR(VLOOKUP(Table6[[#This Row],[Affected WTG]],'Basic Data'!$A$3:$E$56,5,0),"")</f>
        <v>2.564102564102564E-2</v>
      </c>
      <c r="K362" s="105">
        <v>2118</v>
      </c>
      <c r="L362" s="39" t="str">
        <f>IFERROR(VLOOKUP(Table6[[#This Row],[Error Code]],'Basic Data'!$T:$U,2,0),"")</f>
        <v>Bus Error - Interbus Failure</v>
      </c>
      <c r="M362" s="346" t="s">
        <v>462</v>
      </c>
      <c r="N362" s="39" t="s">
        <v>1270</v>
      </c>
      <c r="O362" s="347">
        <v>0.30138888888888887</v>
      </c>
      <c r="P362" s="347">
        <v>0.33402777777777776</v>
      </c>
      <c r="Q362" s="347">
        <v>0.33541666666666664</v>
      </c>
      <c r="R362" s="348">
        <f>IF(Table6[[#This Row],[Work Start TimeStamp]]="","",(Table6[[#This Row],[Work Start TimeStamp]]-Table6[[#This Row],[Fault Start TimeStamp]])*24)</f>
        <v>0.78333333333333321</v>
      </c>
      <c r="S362" s="349">
        <f>(Table6[[#This Row],[Fault Clearance time]]-Table6[[#This Row],[Work Start TimeStamp]])*24</f>
        <v>3.3333333333333215E-2</v>
      </c>
      <c r="T362" s="350">
        <f>(Table6[[#This Row],[Fault Clearance time]]-Table6[[#This Row],[Fault Start TimeStamp]])*24</f>
        <v>0.81666666666666643</v>
      </c>
      <c r="U362" s="346" t="s">
        <v>491</v>
      </c>
      <c r="V362" s="351" t="s">
        <v>463</v>
      </c>
      <c r="W362" s="338">
        <f>Table6[[#This Row],[Breakdown Time]]*(1/39)</f>
        <v>2.0940170940170932E-2</v>
      </c>
      <c r="X362" s="336" t="s">
        <v>465</v>
      </c>
      <c r="Y362" s="352" t="s">
        <v>117</v>
      </c>
      <c r="Z362" s="105">
        <v>4367</v>
      </c>
      <c r="AA362" s="107">
        <v>148.59930555555553</v>
      </c>
      <c r="AB362" s="105" t="s">
        <v>478</v>
      </c>
    </row>
    <row r="363" spans="1:28">
      <c r="A363" s="105">
        <f t="shared" si="5"/>
        <v>362</v>
      </c>
      <c r="B363" s="107">
        <f>YEAR(Table6[[#This Row],[Date]])+IF(MONTH(Table6[[#This Row],[Date]])&gt;=4,1,0)</f>
        <v>2026</v>
      </c>
      <c r="C363" s="105">
        <f>YEAR(Table6[[#This Row],[Date]])</f>
        <v>2025</v>
      </c>
      <c r="D363" s="105" t="s">
        <v>490</v>
      </c>
      <c r="E363" s="119">
        <f>Table6[[#This Row],[Date]]-DAY(Table6[[#This Row],[Date]])+1</f>
        <v>45748</v>
      </c>
      <c r="F363" s="118">
        <v>45769</v>
      </c>
      <c r="G363" s="105" t="s">
        <v>120</v>
      </c>
      <c r="H363" s="39" t="str">
        <f>_xlfn.XLOOKUP(Table6[[#This Row],[Affected WTG]],'Basic Data'!$A:$A,'Basic Data'!$B:$B)</f>
        <v>PWEGPL</v>
      </c>
      <c r="I363" s="39" t="str">
        <f>_xlfn.XLOOKUP(Table6[[#This Row],[Affected WTG]],'Basic Data'!$A:$A,'Basic Data'!$C:$C)</f>
        <v>MSEDCL</v>
      </c>
      <c r="J363" s="345">
        <f>IFERROR(VLOOKUP(Table6[[#This Row],[Affected WTG]],'Basic Data'!$A$3:$E$56,5,0),"")</f>
        <v>2.564102564102564E-2</v>
      </c>
      <c r="K363" s="105">
        <v>2118</v>
      </c>
      <c r="L363" s="39" t="str">
        <f>IFERROR(VLOOKUP(Table6[[#This Row],[Error Code]],'Basic Data'!$T:$U,2,0),"")</f>
        <v>Bus Error - Interbus Failure</v>
      </c>
      <c r="M363" s="346" t="s">
        <v>462</v>
      </c>
      <c r="N363" s="39" t="s">
        <v>1270</v>
      </c>
      <c r="O363" s="347">
        <v>0.59027777777777779</v>
      </c>
      <c r="P363" s="347">
        <v>0.61319444444444449</v>
      </c>
      <c r="Q363" s="347">
        <v>0.61458333333333337</v>
      </c>
      <c r="R363" s="348">
        <f>IF(Table6[[#This Row],[Work Start TimeStamp]]="","",(Table6[[#This Row],[Work Start TimeStamp]]-Table6[[#This Row],[Fault Start TimeStamp]])*24)</f>
        <v>0.55000000000000071</v>
      </c>
      <c r="S363" s="349">
        <f>(Table6[[#This Row],[Fault Clearance time]]-Table6[[#This Row],[Work Start TimeStamp]])*24</f>
        <v>3.3333333333333215E-2</v>
      </c>
      <c r="T363" s="350">
        <f>(Table6[[#This Row],[Fault Clearance time]]-Table6[[#This Row],[Fault Start TimeStamp]])*24</f>
        <v>0.58333333333333393</v>
      </c>
      <c r="U363" s="346" t="s">
        <v>491</v>
      </c>
      <c r="V363" s="351" t="s">
        <v>463</v>
      </c>
      <c r="W363" s="338">
        <f>Table6[[#This Row],[Breakdown Time]]*(1/39)</f>
        <v>1.4957264957264972E-2</v>
      </c>
      <c r="X363" s="336" t="s">
        <v>465</v>
      </c>
      <c r="Y363" s="352" t="s">
        <v>117</v>
      </c>
      <c r="Z363" s="105">
        <v>4367</v>
      </c>
      <c r="AA363" s="107">
        <v>106.14236111111123</v>
      </c>
      <c r="AB363" s="105" t="s">
        <v>478</v>
      </c>
    </row>
    <row r="364" spans="1:28">
      <c r="A364" s="105">
        <f t="shared" si="5"/>
        <v>363</v>
      </c>
      <c r="B364" s="107">
        <f>YEAR(Table6[[#This Row],[Date]])+IF(MONTH(Table6[[#This Row],[Date]])&gt;=4,1,0)</f>
        <v>2026</v>
      </c>
      <c r="C364" s="105">
        <f>YEAR(Table6[[#This Row],[Date]])</f>
        <v>2025</v>
      </c>
      <c r="D364" s="105" t="s">
        <v>490</v>
      </c>
      <c r="E364" s="119">
        <f>Table6[[#This Row],[Date]]-DAY(Table6[[#This Row],[Date]])+1</f>
        <v>45748</v>
      </c>
      <c r="F364" s="118">
        <v>45769</v>
      </c>
      <c r="G364" s="105" t="s">
        <v>127</v>
      </c>
      <c r="H364" s="39" t="str">
        <f>_xlfn.XLOOKUP(Table6[[#This Row],[Affected WTG]],'Basic Data'!$A:$A,'Basic Data'!$B:$B)</f>
        <v>PWEGPL</v>
      </c>
      <c r="I364" s="39" t="str">
        <f>_xlfn.XLOOKUP(Table6[[#This Row],[Affected WTG]],'Basic Data'!$A:$A,'Basic Data'!$C:$C)</f>
        <v>MSEDCL</v>
      </c>
      <c r="J364" s="345">
        <f>IFERROR(VLOOKUP(Table6[[#This Row],[Affected WTG]],'Basic Data'!$A$3:$E$56,5,0),"")</f>
        <v>2.564102564102564E-2</v>
      </c>
      <c r="K364" s="105" t="s">
        <v>466</v>
      </c>
      <c r="L364" s="39" t="str">
        <f>IFERROR(VLOOKUP(Table6[[#This Row],[Error Code]],'Basic Data'!$T:$U,2,0),"")</f>
        <v>Manual Stop</v>
      </c>
      <c r="M364" s="346" t="s">
        <v>479</v>
      </c>
      <c r="N364" s="39" t="s">
        <v>230</v>
      </c>
      <c r="O364" s="347">
        <v>0.44305555555555554</v>
      </c>
      <c r="P364" s="347">
        <v>0.44305555555555554</v>
      </c>
      <c r="Q364" s="347">
        <v>0.51527777777777772</v>
      </c>
      <c r="R364" s="348">
        <f>IF(Table6[[#This Row],[Work Start TimeStamp]]="","",(Table6[[#This Row],[Work Start TimeStamp]]-Table6[[#This Row],[Fault Start TimeStamp]])*24)</f>
        <v>0</v>
      </c>
      <c r="S364" s="349">
        <f>(Table6[[#This Row],[Fault Clearance time]]-Table6[[#This Row],[Work Start TimeStamp]])*24</f>
        <v>1.7333333333333325</v>
      </c>
      <c r="T364" s="350">
        <f>(Table6[[#This Row],[Fault Clearance time]]-Table6[[#This Row],[Fault Start TimeStamp]])*24</f>
        <v>1.7333333333333325</v>
      </c>
      <c r="U364" s="346" t="s">
        <v>559</v>
      </c>
      <c r="V364" s="351" t="s">
        <v>463</v>
      </c>
      <c r="W364" s="338">
        <f>Table6[[#This Row],[Breakdown Time]]*(1/39)</f>
        <v>4.4444444444444418E-2</v>
      </c>
      <c r="X364" s="336" t="s">
        <v>464</v>
      </c>
      <c r="Y364" s="352" t="s">
        <v>128</v>
      </c>
      <c r="Z364" s="105">
        <v>6342</v>
      </c>
      <c r="AA364" s="107">
        <v>458.03333333333313</v>
      </c>
      <c r="AB364" s="105" t="s">
        <v>478</v>
      </c>
    </row>
    <row r="365" spans="1:28">
      <c r="A365" s="105">
        <f t="shared" si="5"/>
        <v>364</v>
      </c>
      <c r="B365" s="107">
        <f>YEAR(Table6[[#This Row],[Date]])+IF(MONTH(Table6[[#This Row],[Date]])&gt;=4,1,0)</f>
        <v>2026</v>
      </c>
      <c r="C365" s="105">
        <f>YEAR(Table6[[#This Row],[Date]])</f>
        <v>2025</v>
      </c>
      <c r="D365" s="105" t="s">
        <v>490</v>
      </c>
      <c r="E365" s="119">
        <f>Table6[[#This Row],[Date]]-DAY(Table6[[#This Row],[Date]])+1</f>
        <v>45748</v>
      </c>
      <c r="F365" s="118">
        <v>45769</v>
      </c>
      <c r="G365" s="105" t="s">
        <v>145</v>
      </c>
      <c r="H365" s="39" t="str">
        <f>_xlfn.XLOOKUP(Table6[[#This Row],[Affected WTG]],'Basic Data'!$A:$A,'Basic Data'!$B:$B)</f>
        <v>PWEGPL</v>
      </c>
      <c r="I365" s="39" t="str">
        <f>_xlfn.XLOOKUP(Table6[[#This Row],[Affected WTG]],'Basic Data'!$A:$A,'Basic Data'!$C:$C)</f>
        <v>MSEDCL</v>
      </c>
      <c r="J365" s="345">
        <f>IFERROR(VLOOKUP(Table6[[#This Row],[Affected WTG]],'Basic Data'!$A$3:$E$56,5,0),"")</f>
        <v>2.564102564102564E-2</v>
      </c>
      <c r="K365" s="105" t="s">
        <v>466</v>
      </c>
      <c r="L365" s="39" t="str">
        <f>IFERROR(VLOOKUP(Table6[[#This Row],[Error Code]],'Basic Data'!$T:$U,2,0),"")</f>
        <v>Manual Stop</v>
      </c>
      <c r="M365" s="346" t="s">
        <v>479</v>
      </c>
      <c r="N365" s="39" t="s">
        <v>230</v>
      </c>
      <c r="O365" s="347">
        <v>0.46250000000000002</v>
      </c>
      <c r="P365" s="347">
        <v>0.46250000000000002</v>
      </c>
      <c r="Q365" s="347">
        <v>0.67638888888888893</v>
      </c>
      <c r="R365" s="348">
        <f>IF(Table6[[#This Row],[Work Start TimeStamp]]="","",(Table6[[#This Row],[Work Start TimeStamp]]-Table6[[#This Row],[Fault Start TimeStamp]])*24)</f>
        <v>0</v>
      </c>
      <c r="S365" s="349">
        <f>(Table6[[#This Row],[Fault Clearance time]]-Table6[[#This Row],[Work Start TimeStamp]])*24</f>
        <v>5.1333333333333337</v>
      </c>
      <c r="T365" s="350">
        <f>(Table6[[#This Row],[Fault Clearance time]]-Table6[[#This Row],[Fault Start TimeStamp]])*24</f>
        <v>5.1333333333333337</v>
      </c>
      <c r="U365" s="346" t="s">
        <v>560</v>
      </c>
      <c r="V365" s="351" t="s">
        <v>463</v>
      </c>
      <c r="W365" s="338">
        <f>Table6[[#This Row],[Breakdown Time]]*(1/39)</f>
        <v>0.13162393162393163</v>
      </c>
      <c r="X365" s="336" t="s">
        <v>464</v>
      </c>
      <c r="Y365" s="352" t="s">
        <v>139</v>
      </c>
      <c r="Z365" s="105">
        <v>6450</v>
      </c>
      <c r="AA365" s="107">
        <v>1379.5833333333335</v>
      </c>
      <c r="AB365" s="105" t="s">
        <v>478</v>
      </c>
    </row>
    <row r="366" spans="1:28">
      <c r="A366" s="105">
        <f t="shared" si="5"/>
        <v>365</v>
      </c>
      <c r="B366" s="107">
        <f>YEAR(Table6[[#This Row],[Date]])+IF(MONTH(Table6[[#This Row],[Date]])&gt;=4,1,0)</f>
        <v>2026</v>
      </c>
      <c r="C366" s="105">
        <f>YEAR(Table6[[#This Row],[Date]])</f>
        <v>2025</v>
      </c>
      <c r="D366" s="105" t="s">
        <v>490</v>
      </c>
      <c r="E366" s="119">
        <f>Table6[[#This Row],[Date]]-DAY(Table6[[#This Row],[Date]])+1</f>
        <v>45748</v>
      </c>
      <c r="F366" s="118">
        <v>45769</v>
      </c>
      <c r="G366" s="105" t="s">
        <v>146</v>
      </c>
      <c r="H366" s="39" t="str">
        <f>_xlfn.XLOOKUP(Table6[[#This Row],[Affected WTG]],'Basic Data'!$A:$A,'Basic Data'!$B:$B)</f>
        <v>PWEGPL</v>
      </c>
      <c r="I366" s="39" t="str">
        <f>_xlfn.XLOOKUP(Table6[[#This Row],[Affected WTG]],'Basic Data'!$A:$A,'Basic Data'!$C:$C)</f>
        <v>MSEDCL</v>
      </c>
      <c r="J366" s="345">
        <f>IFERROR(VLOOKUP(Table6[[#This Row],[Affected WTG]],'Basic Data'!$A$3:$E$56,5,0),"")</f>
        <v>2.564102564102564E-2</v>
      </c>
      <c r="K366" s="105">
        <v>2118</v>
      </c>
      <c r="L366" s="39" t="str">
        <f>IFERROR(VLOOKUP(Table6[[#This Row],[Error Code]],'Basic Data'!$T:$U,2,0),"")</f>
        <v>Bus Error - Interbus Failure</v>
      </c>
      <c r="M366" s="346" t="s">
        <v>462</v>
      </c>
      <c r="N366" s="39" t="s">
        <v>1270</v>
      </c>
      <c r="O366" s="347">
        <v>0.71527777777777779</v>
      </c>
      <c r="P366" s="347">
        <v>0.73958333333333337</v>
      </c>
      <c r="Q366" s="347">
        <v>0.74305555555555558</v>
      </c>
      <c r="R366" s="348">
        <f>IF(Table6[[#This Row],[Work Start TimeStamp]]="","",(Table6[[#This Row],[Work Start TimeStamp]]-Table6[[#This Row],[Fault Start TimeStamp]])*24)</f>
        <v>0.58333333333333393</v>
      </c>
      <c r="S366" s="349">
        <f>(Table6[[#This Row],[Fault Clearance time]]-Table6[[#This Row],[Work Start TimeStamp]])*24</f>
        <v>8.3333333333333037E-2</v>
      </c>
      <c r="T366" s="350">
        <f>(Table6[[#This Row],[Fault Clearance time]]-Table6[[#This Row],[Fault Start TimeStamp]])*24</f>
        <v>0.66666666666666696</v>
      </c>
      <c r="U366" s="346" t="s">
        <v>491</v>
      </c>
      <c r="V366" s="351" t="s">
        <v>463</v>
      </c>
      <c r="W366" s="338">
        <f>Table6[[#This Row],[Breakdown Time]]*(1/39)</f>
        <v>1.7094017094017103E-2</v>
      </c>
      <c r="X366" s="336" t="s">
        <v>465</v>
      </c>
      <c r="Y366" s="352" t="s">
        <v>147</v>
      </c>
      <c r="Z366" s="105">
        <v>6487</v>
      </c>
      <c r="AA366" s="107">
        <v>180.19444444444454</v>
      </c>
      <c r="AB366" s="105" t="s">
        <v>478</v>
      </c>
    </row>
    <row r="367" spans="1:28">
      <c r="A367" s="105">
        <f t="shared" si="5"/>
        <v>366</v>
      </c>
      <c r="B367" s="107">
        <f>YEAR(Table6[[#This Row],[Date]])+IF(MONTH(Table6[[#This Row],[Date]])&gt;=4,1,0)</f>
        <v>2026</v>
      </c>
      <c r="C367" s="105">
        <f>YEAR(Table6[[#This Row],[Date]])</f>
        <v>2025</v>
      </c>
      <c r="D367" s="105" t="s">
        <v>490</v>
      </c>
      <c r="E367" s="119">
        <f>Table6[[#This Row],[Date]]-DAY(Table6[[#This Row],[Date]])+1</f>
        <v>45748</v>
      </c>
      <c r="F367" s="118">
        <v>45770</v>
      </c>
      <c r="G367" s="105" t="s">
        <v>144</v>
      </c>
      <c r="H367" s="39" t="str">
        <f>_xlfn.XLOOKUP(Table6[[#This Row],[Affected WTG]],'Basic Data'!$A:$A,'Basic Data'!$B:$B)</f>
        <v>PWEGPL</v>
      </c>
      <c r="I367" s="39" t="str">
        <f>_xlfn.XLOOKUP(Table6[[#This Row],[Affected WTG]],'Basic Data'!$A:$A,'Basic Data'!$C:$C)</f>
        <v>MSEDCL</v>
      </c>
      <c r="J367" s="345">
        <f>IFERROR(VLOOKUP(Table6[[#This Row],[Affected WTG]],'Basic Data'!$A$3:$E$56,5,0),"")</f>
        <v>2.564102564102564E-2</v>
      </c>
      <c r="K367" s="105" t="s">
        <v>492</v>
      </c>
      <c r="L367" s="39" t="str">
        <f>IFERROR(VLOOKUP(Table6[[#This Row],[Error Code]],'Basic Data'!$T:$U,2,0),"")</f>
        <v>Manual Stop - Safety Related</v>
      </c>
      <c r="M367" s="346" t="s">
        <v>481</v>
      </c>
      <c r="N367" s="39" t="s">
        <v>1269</v>
      </c>
      <c r="O367" s="347">
        <v>0</v>
      </c>
      <c r="P367" s="347">
        <v>0.99930555555555556</v>
      </c>
      <c r="Q367" s="347">
        <v>0.99930555555555556</v>
      </c>
      <c r="R367" s="348">
        <f>IF(Table6[[#This Row],[Work Start TimeStamp]]="","",(Table6[[#This Row],[Work Start TimeStamp]]-Table6[[#This Row],[Fault Start TimeStamp]])*24)</f>
        <v>23.983333333333334</v>
      </c>
      <c r="S367" s="349">
        <f>(Table6[[#This Row],[Fault Clearance time]]-Table6[[#This Row],[Work Start TimeStamp]])*24</f>
        <v>0</v>
      </c>
      <c r="T367" s="350">
        <f>(Table6[[#This Row],[Fault Clearance time]]-Table6[[#This Row],[Fault Start TimeStamp]])*24</f>
        <v>23.983333333333334</v>
      </c>
      <c r="U367" s="346" t="s">
        <v>498</v>
      </c>
      <c r="V367" s="351" t="s">
        <v>473</v>
      </c>
      <c r="W367" s="338">
        <f>Table6[[#This Row],[Breakdown Time]]*(1/39)</f>
        <v>0.61495726495726499</v>
      </c>
      <c r="X367" s="336" t="s">
        <v>468</v>
      </c>
      <c r="Y367" s="352" t="s">
        <v>141</v>
      </c>
      <c r="Z367" s="105">
        <v>3178</v>
      </c>
      <c r="AA367" s="107">
        <v>3175.7930555555554</v>
      </c>
      <c r="AB367" s="105" t="s">
        <v>478</v>
      </c>
    </row>
    <row r="368" spans="1:28">
      <c r="A368" s="105">
        <f t="shared" si="5"/>
        <v>367</v>
      </c>
      <c r="B368" s="107">
        <f>YEAR(Table6[[#This Row],[Date]])+IF(MONTH(Table6[[#This Row],[Date]])&gt;=4,1,0)</f>
        <v>2026</v>
      </c>
      <c r="C368" s="105">
        <f>YEAR(Table6[[#This Row],[Date]])</f>
        <v>2025</v>
      </c>
      <c r="D368" s="105" t="s">
        <v>490</v>
      </c>
      <c r="E368" s="119">
        <f>Table6[[#This Row],[Date]]-DAY(Table6[[#This Row],[Date]])+1</f>
        <v>45748</v>
      </c>
      <c r="F368" s="118">
        <v>45770</v>
      </c>
      <c r="G368" s="105" t="s">
        <v>142</v>
      </c>
      <c r="H368" s="39" t="str">
        <f>_xlfn.XLOOKUP(Table6[[#This Row],[Affected WTG]],'Basic Data'!$A:$A,'Basic Data'!$B:$B)</f>
        <v>PWEGPL</v>
      </c>
      <c r="I368" s="39" t="str">
        <f>_xlfn.XLOOKUP(Table6[[#This Row],[Affected WTG]],'Basic Data'!$A:$A,'Basic Data'!$C:$C)</f>
        <v>MSEDCL</v>
      </c>
      <c r="J368" s="345">
        <f>IFERROR(VLOOKUP(Table6[[#This Row],[Affected WTG]],'Basic Data'!$A$3:$E$56,5,0),"")</f>
        <v>2.564102564102564E-2</v>
      </c>
      <c r="K368" s="105" t="s">
        <v>492</v>
      </c>
      <c r="L368" s="39" t="str">
        <f>IFERROR(VLOOKUP(Table6[[#This Row],[Error Code]],'Basic Data'!$T:$U,2,0),"")</f>
        <v>Manual Stop - Safety Related</v>
      </c>
      <c r="M368" s="346" t="s">
        <v>481</v>
      </c>
      <c r="N368" s="39" t="s">
        <v>1269</v>
      </c>
      <c r="O368" s="347">
        <v>0</v>
      </c>
      <c r="P368" s="347">
        <v>0.99930555555555556</v>
      </c>
      <c r="Q368" s="347">
        <v>0.99930555555555556</v>
      </c>
      <c r="R368" s="348">
        <f>IF(Table6[[#This Row],[Work Start TimeStamp]]="","",(Table6[[#This Row],[Work Start TimeStamp]]-Table6[[#This Row],[Fault Start TimeStamp]])*24)</f>
        <v>23.983333333333334</v>
      </c>
      <c r="S368" s="349">
        <f>(Table6[[#This Row],[Fault Clearance time]]-Table6[[#This Row],[Work Start TimeStamp]])*24</f>
        <v>0</v>
      </c>
      <c r="T368" s="350">
        <f>(Table6[[#This Row],[Fault Clearance time]]-Table6[[#This Row],[Fault Start TimeStamp]])*24</f>
        <v>23.983333333333334</v>
      </c>
      <c r="U368" s="346" t="s">
        <v>498</v>
      </c>
      <c r="V368" s="351" t="s">
        <v>473</v>
      </c>
      <c r="W368" s="338">
        <f>Table6[[#This Row],[Breakdown Time]]*(1/39)</f>
        <v>0.61495726495726499</v>
      </c>
      <c r="X368" s="336" t="s">
        <v>468</v>
      </c>
      <c r="Y368" s="352" t="s">
        <v>141</v>
      </c>
      <c r="Z368" s="105">
        <v>3178</v>
      </c>
      <c r="AA368" s="107">
        <v>3175.7930555555554</v>
      </c>
      <c r="AB368" s="105" t="s">
        <v>478</v>
      </c>
    </row>
    <row r="369" spans="1:28">
      <c r="A369" s="105">
        <f t="shared" si="5"/>
        <v>368</v>
      </c>
      <c r="B369" s="107">
        <f>YEAR(Table6[[#This Row],[Date]])+IF(MONTH(Table6[[#This Row],[Date]])&gt;=4,1,0)</f>
        <v>2026</v>
      </c>
      <c r="C369" s="105">
        <f>YEAR(Table6[[#This Row],[Date]])</f>
        <v>2025</v>
      </c>
      <c r="D369" s="105" t="s">
        <v>490</v>
      </c>
      <c r="E369" s="119">
        <f>Table6[[#This Row],[Date]]-DAY(Table6[[#This Row],[Date]])+1</f>
        <v>45748</v>
      </c>
      <c r="F369" s="118">
        <v>45770</v>
      </c>
      <c r="G369" s="105" t="s">
        <v>133</v>
      </c>
      <c r="H369" s="39" t="str">
        <f>_xlfn.XLOOKUP(Table6[[#This Row],[Affected WTG]],'Basic Data'!$A:$A,'Basic Data'!$B:$B)</f>
        <v>PWEGPL</v>
      </c>
      <c r="I369" s="39" t="str">
        <f>_xlfn.XLOOKUP(Table6[[#This Row],[Affected WTG]],'Basic Data'!$A:$A,'Basic Data'!$C:$C)</f>
        <v>MSEDCL</v>
      </c>
      <c r="J369" s="345">
        <f>IFERROR(VLOOKUP(Table6[[#This Row],[Affected WTG]],'Basic Data'!$A$3:$E$56,5,0),"")</f>
        <v>2.564102564102564E-2</v>
      </c>
      <c r="K369" s="105">
        <v>118</v>
      </c>
      <c r="L369" s="39" t="str">
        <f>IFERROR(VLOOKUP(Table6[[#This Row],[Error Code]],'Basic Data'!$T:$U,2,0),"")</f>
        <v>Yaw Motors Error</v>
      </c>
      <c r="M369" s="346" t="s">
        <v>462</v>
      </c>
      <c r="N369" s="39" t="s">
        <v>1270</v>
      </c>
      <c r="O369" s="347">
        <v>0.76041666666666663</v>
      </c>
      <c r="P369" s="347">
        <v>0.78402777777777777</v>
      </c>
      <c r="Q369" s="347">
        <v>0.78472222222222221</v>
      </c>
      <c r="R369" s="348">
        <f>IF(Table6[[#This Row],[Work Start TimeStamp]]="","",(Table6[[#This Row],[Work Start TimeStamp]]-Table6[[#This Row],[Fault Start TimeStamp]])*24)</f>
        <v>0.56666666666666732</v>
      </c>
      <c r="S369" s="349">
        <f>(Table6[[#This Row],[Fault Clearance time]]-Table6[[#This Row],[Work Start TimeStamp]])*24</f>
        <v>1.6666666666666607E-2</v>
      </c>
      <c r="T369" s="350">
        <f>(Table6[[#This Row],[Fault Clearance time]]-Table6[[#This Row],[Fault Start TimeStamp]])*24</f>
        <v>0.58333333333333393</v>
      </c>
      <c r="U369" s="346" t="s">
        <v>493</v>
      </c>
      <c r="V369" s="351" t="s">
        <v>463</v>
      </c>
      <c r="W369" s="338">
        <f>Table6[[#This Row],[Breakdown Time]]*(1/39)</f>
        <v>1.4957264957264972E-2</v>
      </c>
      <c r="X369" s="336" t="s">
        <v>465</v>
      </c>
      <c r="Y369" s="352" t="s">
        <v>132</v>
      </c>
      <c r="Z369" s="105">
        <v>3957</v>
      </c>
      <c r="AA369" s="107">
        <v>96.177083333333428</v>
      </c>
      <c r="AB369" s="105" t="s">
        <v>478</v>
      </c>
    </row>
    <row r="370" spans="1:28">
      <c r="A370" s="105">
        <f t="shared" si="5"/>
        <v>369</v>
      </c>
      <c r="B370" s="107">
        <f>YEAR(Table6[[#This Row],[Date]])+IF(MONTH(Table6[[#This Row],[Date]])&gt;=4,1,0)</f>
        <v>2026</v>
      </c>
      <c r="C370" s="105">
        <f>YEAR(Table6[[#This Row],[Date]])</f>
        <v>2025</v>
      </c>
      <c r="D370" s="105" t="s">
        <v>490</v>
      </c>
      <c r="E370" s="119">
        <f>Table6[[#This Row],[Date]]-DAY(Table6[[#This Row],[Date]])+1</f>
        <v>45748</v>
      </c>
      <c r="F370" s="118">
        <v>45770</v>
      </c>
      <c r="G370" s="105" t="s">
        <v>136</v>
      </c>
      <c r="H370" s="39" t="str">
        <f>_xlfn.XLOOKUP(Table6[[#This Row],[Affected WTG]],'Basic Data'!$A:$A,'Basic Data'!$B:$B)</f>
        <v>PWEGPL</v>
      </c>
      <c r="I370" s="39" t="str">
        <f>_xlfn.XLOOKUP(Table6[[#This Row],[Affected WTG]],'Basic Data'!$A:$A,'Basic Data'!$C:$C)</f>
        <v>MSEDCL</v>
      </c>
      <c r="J370" s="345">
        <f>IFERROR(VLOOKUP(Table6[[#This Row],[Affected WTG]],'Basic Data'!$A$3:$E$56,5,0),"")</f>
        <v>2.564102564102564E-2</v>
      </c>
      <c r="K370" s="105">
        <v>813</v>
      </c>
      <c r="L370" s="39" t="str">
        <f>IFERROR(VLOOKUP(Table6[[#This Row],[Error Code]],'Basic Data'!$T:$U,2,0),"")</f>
        <v>Low Pressure Of Emergency Accumulators</v>
      </c>
      <c r="M370" s="346" t="s">
        <v>462</v>
      </c>
      <c r="N370" s="39" t="s">
        <v>1270</v>
      </c>
      <c r="O370" s="347">
        <v>0.75138888888888888</v>
      </c>
      <c r="P370" s="347">
        <v>0.78819444444444442</v>
      </c>
      <c r="Q370" s="347">
        <v>0.78888888888888886</v>
      </c>
      <c r="R370" s="348">
        <f>IF(Table6[[#This Row],[Work Start TimeStamp]]="","",(Table6[[#This Row],[Work Start TimeStamp]]-Table6[[#This Row],[Fault Start TimeStamp]])*24)</f>
        <v>0.88333333333333286</v>
      </c>
      <c r="S370" s="349">
        <f>(Table6[[#This Row],[Fault Clearance time]]-Table6[[#This Row],[Work Start TimeStamp]])*24</f>
        <v>1.6666666666666607E-2</v>
      </c>
      <c r="T370" s="350">
        <f>(Table6[[#This Row],[Fault Clearance time]]-Table6[[#This Row],[Fault Start TimeStamp]])*24</f>
        <v>0.89999999999999947</v>
      </c>
      <c r="U370" s="346" t="s">
        <v>493</v>
      </c>
      <c r="V370" s="351" t="s">
        <v>463</v>
      </c>
      <c r="W370" s="338">
        <f>Table6[[#This Row],[Breakdown Time]]*(1/39)</f>
        <v>2.3076923076923061E-2</v>
      </c>
      <c r="X370" s="336" t="s">
        <v>465</v>
      </c>
      <c r="Y370" s="352" t="s">
        <v>119</v>
      </c>
      <c r="Z370" s="105">
        <v>3153</v>
      </c>
      <c r="AA370" s="107">
        <v>118.23749999999993</v>
      </c>
      <c r="AB370" s="105" t="s">
        <v>478</v>
      </c>
    </row>
    <row r="371" spans="1:28">
      <c r="A371" s="105">
        <f t="shared" si="5"/>
        <v>370</v>
      </c>
      <c r="B371" s="107">
        <f>YEAR(Table6[[#This Row],[Date]])+IF(MONTH(Table6[[#This Row],[Date]])&gt;=4,1,0)</f>
        <v>2026</v>
      </c>
      <c r="C371" s="105">
        <f>YEAR(Table6[[#This Row],[Date]])</f>
        <v>2025</v>
      </c>
      <c r="D371" s="105" t="s">
        <v>490</v>
      </c>
      <c r="E371" s="119">
        <f>Table6[[#This Row],[Date]]-DAY(Table6[[#This Row],[Date]])+1</f>
        <v>45748</v>
      </c>
      <c r="F371" s="118">
        <v>45770</v>
      </c>
      <c r="G371" s="105" t="s">
        <v>138</v>
      </c>
      <c r="H371" s="39" t="str">
        <f>_xlfn.XLOOKUP(Table6[[#This Row],[Affected WTG]],'Basic Data'!$A:$A,'Basic Data'!$B:$B)</f>
        <v>PWEGPL</v>
      </c>
      <c r="I371" s="39" t="str">
        <f>_xlfn.XLOOKUP(Table6[[#This Row],[Affected WTG]],'Basic Data'!$A:$A,'Basic Data'!$C:$C)</f>
        <v>MSEDCL</v>
      </c>
      <c r="J371" s="345">
        <f>IFERROR(VLOOKUP(Table6[[#This Row],[Affected WTG]],'Basic Data'!$A$3:$E$56,5,0),"")</f>
        <v>2.564102564102564E-2</v>
      </c>
      <c r="K371" s="105" t="s">
        <v>466</v>
      </c>
      <c r="L371" s="39" t="str">
        <f>IFERROR(VLOOKUP(Table6[[#This Row],[Error Code]],'Basic Data'!$T:$U,2,0),"")</f>
        <v>Manual Stop</v>
      </c>
      <c r="M371" s="346" t="s">
        <v>479</v>
      </c>
      <c r="N371" s="39" t="s">
        <v>230</v>
      </c>
      <c r="O371" s="347">
        <v>0.4548611111111111</v>
      </c>
      <c r="P371" s="347">
        <v>0.4548611111111111</v>
      </c>
      <c r="Q371" s="347">
        <v>0.6875</v>
      </c>
      <c r="R371" s="348">
        <f>IF(Table6[[#This Row],[Work Start TimeStamp]]="","",(Table6[[#This Row],[Work Start TimeStamp]]-Table6[[#This Row],[Fault Start TimeStamp]])*24)</f>
        <v>0</v>
      </c>
      <c r="S371" s="349">
        <f>(Table6[[#This Row],[Fault Clearance time]]-Table6[[#This Row],[Work Start TimeStamp]])*24</f>
        <v>5.5833333333333339</v>
      </c>
      <c r="T371" s="350">
        <f>(Table6[[#This Row],[Fault Clearance time]]-Table6[[#This Row],[Fault Start TimeStamp]])*24</f>
        <v>5.5833333333333339</v>
      </c>
      <c r="U371" s="346" t="s">
        <v>560</v>
      </c>
      <c r="V371" s="351" t="s">
        <v>463</v>
      </c>
      <c r="W371" s="338">
        <f>Table6[[#This Row],[Breakdown Time]]*(1/39)</f>
        <v>0.14316239316239318</v>
      </c>
      <c r="X371" s="336" t="s">
        <v>464</v>
      </c>
      <c r="Y371" s="352" t="s">
        <v>140</v>
      </c>
      <c r="Z371" s="105">
        <v>3157</v>
      </c>
      <c r="AA371" s="107">
        <v>734.44097222222229</v>
      </c>
      <c r="AB371" s="105" t="s">
        <v>478</v>
      </c>
    </row>
    <row r="372" spans="1:28">
      <c r="A372" s="105">
        <f t="shared" si="5"/>
        <v>371</v>
      </c>
      <c r="B372" s="107">
        <f>YEAR(Table6[[#This Row],[Date]])+IF(MONTH(Table6[[#This Row],[Date]])&gt;=4,1,0)</f>
        <v>2026</v>
      </c>
      <c r="C372" s="105">
        <f>YEAR(Table6[[#This Row],[Date]])</f>
        <v>2025</v>
      </c>
      <c r="D372" s="105" t="s">
        <v>490</v>
      </c>
      <c r="E372" s="119">
        <f>Table6[[#This Row],[Date]]-DAY(Table6[[#This Row],[Date]])+1</f>
        <v>45748</v>
      </c>
      <c r="F372" s="118">
        <v>45770</v>
      </c>
      <c r="G372" s="105" t="s">
        <v>145</v>
      </c>
      <c r="H372" s="39" t="str">
        <f>_xlfn.XLOOKUP(Table6[[#This Row],[Affected WTG]],'Basic Data'!$A:$A,'Basic Data'!$B:$B)</f>
        <v>PWEGPL</v>
      </c>
      <c r="I372" s="39" t="str">
        <f>_xlfn.XLOOKUP(Table6[[#This Row],[Affected WTG]],'Basic Data'!$A:$A,'Basic Data'!$C:$C)</f>
        <v>MSEDCL</v>
      </c>
      <c r="J372" s="345">
        <f>IFERROR(VLOOKUP(Table6[[#This Row],[Affected WTG]],'Basic Data'!$A$3:$E$56,5,0),"")</f>
        <v>2.564102564102564E-2</v>
      </c>
      <c r="K372" s="105">
        <v>525</v>
      </c>
      <c r="L372" s="39" t="str">
        <f>IFERROR(VLOOKUP(Table6[[#This Row],[Error Code]],'Basic Data'!$T:$U,2,0),"")</f>
        <v>High Ambient Temperature In The Converter</v>
      </c>
      <c r="M372" s="346" t="s">
        <v>462</v>
      </c>
      <c r="N372" s="39" t="s">
        <v>1270</v>
      </c>
      <c r="O372" s="347">
        <v>0.6791666666666667</v>
      </c>
      <c r="P372" s="347">
        <v>0.70902777777777781</v>
      </c>
      <c r="Q372" s="347">
        <v>0.7104166666666667</v>
      </c>
      <c r="R372" s="348">
        <f>IF(Table6[[#This Row],[Work Start TimeStamp]]="","",(Table6[[#This Row],[Work Start TimeStamp]]-Table6[[#This Row],[Fault Start TimeStamp]])*24)</f>
        <v>0.71666666666666679</v>
      </c>
      <c r="S372" s="349">
        <f>(Table6[[#This Row],[Fault Clearance time]]-Table6[[#This Row],[Work Start TimeStamp]])*24</f>
        <v>3.3333333333333215E-2</v>
      </c>
      <c r="T372" s="350">
        <f>(Table6[[#This Row],[Fault Clearance time]]-Table6[[#This Row],[Fault Start TimeStamp]])*24</f>
        <v>0.75</v>
      </c>
      <c r="U372" s="346" t="s">
        <v>491</v>
      </c>
      <c r="V372" s="351" t="s">
        <v>463</v>
      </c>
      <c r="W372" s="338">
        <f>Table6[[#This Row],[Breakdown Time]]*(1/39)</f>
        <v>1.9230769230769232E-2</v>
      </c>
      <c r="X372" s="336" t="s">
        <v>465</v>
      </c>
      <c r="Y372" s="352" t="s">
        <v>139</v>
      </c>
      <c r="Z372" s="105">
        <v>3102</v>
      </c>
      <c r="AA372" s="107">
        <v>96.9375</v>
      </c>
      <c r="AB372" s="105" t="s">
        <v>478</v>
      </c>
    </row>
    <row r="373" spans="1:28">
      <c r="A373" s="105">
        <f t="shared" si="5"/>
        <v>372</v>
      </c>
      <c r="B373" s="107">
        <f>YEAR(Table6[[#This Row],[Date]])+IF(MONTH(Table6[[#This Row],[Date]])&gt;=4,1,0)</f>
        <v>2026</v>
      </c>
      <c r="C373" s="105">
        <f>YEAR(Table6[[#This Row],[Date]])</f>
        <v>2025</v>
      </c>
      <c r="D373" s="105" t="s">
        <v>490</v>
      </c>
      <c r="E373" s="119">
        <f>Table6[[#This Row],[Date]]-DAY(Table6[[#This Row],[Date]])+1</f>
        <v>45748</v>
      </c>
      <c r="F373" s="118">
        <v>45771</v>
      </c>
      <c r="G373" s="105" t="s">
        <v>144</v>
      </c>
      <c r="H373" s="39" t="str">
        <f>_xlfn.XLOOKUP(Table6[[#This Row],[Affected WTG]],'Basic Data'!$A:$A,'Basic Data'!$B:$B)</f>
        <v>PWEGPL</v>
      </c>
      <c r="I373" s="39" t="str">
        <f>_xlfn.XLOOKUP(Table6[[#This Row],[Affected WTG]],'Basic Data'!$A:$A,'Basic Data'!$C:$C)</f>
        <v>MSEDCL</v>
      </c>
      <c r="J373" s="345">
        <f>IFERROR(VLOOKUP(Table6[[#This Row],[Affected WTG]],'Basic Data'!$A$3:$E$56,5,0),"")</f>
        <v>2.564102564102564E-2</v>
      </c>
      <c r="K373" s="105" t="s">
        <v>492</v>
      </c>
      <c r="L373" s="39" t="str">
        <f>IFERROR(VLOOKUP(Table6[[#This Row],[Error Code]],'Basic Data'!$T:$U,2,0),"")</f>
        <v>Manual Stop - Safety Related</v>
      </c>
      <c r="M373" s="346" t="s">
        <v>481</v>
      </c>
      <c r="N373" s="39" t="s">
        <v>1269</v>
      </c>
      <c r="O373" s="347">
        <v>0</v>
      </c>
      <c r="P373" s="347">
        <v>0.99930555555555556</v>
      </c>
      <c r="Q373" s="347">
        <v>0.99930555555555556</v>
      </c>
      <c r="R373" s="348">
        <f>IF(Table6[[#This Row],[Work Start TimeStamp]]="","",(Table6[[#This Row],[Work Start TimeStamp]]-Table6[[#This Row],[Fault Start TimeStamp]])*24)</f>
        <v>23.983333333333334</v>
      </c>
      <c r="S373" s="349">
        <f>(Table6[[#This Row],[Fault Clearance time]]-Table6[[#This Row],[Work Start TimeStamp]])*24</f>
        <v>0</v>
      </c>
      <c r="T373" s="350">
        <f>(Table6[[#This Row],[Fault Clearance time]]-Table6[[#This Row],[Fault Start TimeStamp]])*24</f>
        <v>23.983333333333334</v>
      </c>
      <c r="U373" s="346" t="s">
        <v>498</v>
      </c>
      <c r="V373" s="351" t="s">
        <v>473</v>
      </c>
      <c r="W373" s="338">
        <f>Table6[[#This Row],[Breakdown Time]]*(1/39)</f>
        <v>0.61495726495726499</v>
      </c>
      <c r="X373" s="336" t="s">
        <v>468</v>
      </c>
      <c r="Y373" s="352" t="s">
        <v>141</v>
      </c>
      <c r="Z373" s="105">
        <v>5484</v>
      </c>
      <c r="AA373" s="107">
        <v>5480.1916666666666</v>
      </c>
      <c r="AB373" s="105" t="s">
        <v>478</v>
      </c>
    </row>
    <row r="374" spans="1:28">
      <c r="A374" s="105">
        <f t="shared" si="5"/>
        <v>373</v>
      </c>
      <c r="B374" s="107">
        <f>YEAR(Table6[[#This Row],[Date]])+IF(MONTH(Table6[[#This Row],[Date]])&gt;=4,1,0)</f>
        <v>2026</v>
      </c>
      <c r="C374" s="105">
        <f>YEAR(Table6[[#This Row],[Date]])</f>
        <v>2025</v>
      </c>
      <c r="D374" s="105" t="s">
        <v>490</v>
      </c>
      <c r="E374" s="119">
        <f>Table6[[#This Row],[Date]]-DAY(Table6[[#This Row],[Date]])+1</f>
        <v>45748</v>
      </c>
      <c r="F374" s="118">
        <v>45771</v>
      </c>
      <c r="G374" s="105" t="s">
        <v>142</v>
      </c>
      <c r="H374" s="39" t="str">
        <f>_xlfn.XLOOKUP(Table6[[#This Row],[Affected WTG]],'Basic Data'!$A:$A,'Basic Data'!$B:$B)</f>
        <v>PWEGPL</v>
      </c>
      <c r="I374" s="39" t="str">
        <f>_xlfn.XLOOKUP(Table6[[#This Row],[Affected WTG]],'Basic Data'!$A:$A,'Basic Data'!$C:$C)</f>
        <v>MSEDCL</v>
      </c>
      <c r="J374" s="345">
        <f>IFERROR(VLOOKUP(Table6[[#This Row],[Affected WTG]],'Basic Data'!$A$3:$E$56,5,0),"")</f>
        <v>2.564102564102564E-2</v>
      </c>
      <c r="K374" s="105" t="s">
        <v>492</v>
      </c>
      <c r="L374" s="39" t="str">
        <f>IFERROR(VLOOKUP(Table6[[#This Row],[Error Code]],'Basic Data'!$T:$U,2,0),"")</f>
        <v>Manual Stop - Safety Related</v>
      </c>
      <c r="M374" s="346" t="s">
        <v>481</v>
      </c>
      <c r="N374" s="39" t="s">
        <v>1269</v>
      </c>
      <c r="O374" s="347">
        <v>0</v>
      </c>
      <c r="P374" s="347">
        <v>0.99930555555555556</v>
      </c>
      <c r="Q374" s="347">
        <v>0.99930555555555556</v>
      </c>
      <c r="R374" s="348">
        <f>IF(Table6[[#This Row],[Work Start TimeStamp]]="","",(Table6[[#This Row],[Work Start TimeStamp]]-Table6[[#This Row],[Fault Start TimeStamp]])*24)</f>
        <v>23.983333333333334</v>
      </c>
      <c r="S374" s="349">
        <f>(Table6[[#This Row],[Fault Clearance time]]-Table6[[#This Row],[Work Start TimeStamp]])*24</f>
        <v>0</v>
      </c>
      <c r="T374" s="350">
        <f>(Table6[[#This Row],[Fault Clearance time]]-Table6[[#This Row],[Fault Start TimeStamp]])*24</f>
        <v>23.983333333333334</v>
      </c>
      <c r="U374" s="346" t="s">
        <v>498</v>
      </c>
      <c r="V374" s="351" t="s">
        <v>473</v>
      </c>
      <c r="W374" s="338">
        <f>Table6[[#This Row],[Breakdown Time]]*(1/39)</f>
        <v>0.61495726495726499</v>
      </c>
      <c r="X374" s="336" t="s">
        <v>468</v>
      </c>
      <c r="Y374" s="352" t="s">
        <v>141</v>
      </c>
      <c r="Z374" s="105">
        <v>5484</v>
      </c>
      <c r="AA374" s="107">
        <v>5480.1916666666666</v>
      </c>
      <c r="AB374" s="105" t="s">
        <v>478</v>
      </c>
    </row>
    <row r="375" spans="1:28">
      <c r="A375" s="105">
        <f t="shared" si="5"/>
        <v>374</v>
      </c>
      <c r="B375" s="107">
        <f>YEAR(Table6[[#This Row],[Date]])+IF(MONTH(Table6[[#This Row],[Date]])&gt;=4,1,0)</f>
        <v>2026</v>
      </c>
      <c r="C375" s="105">
        <f>YEAR(Table6[[#This Row],[Date]])</f>
        <v>2025</v>
      </c>
      <c r="D375" s="105" t="s">
        <v>490</v>
      </c>
      <c r="E375" s="119">
        <f>Table6[[#This Row],[Date]]-DAY(Table6[[#This Row],[Date]])+1</f>
        <v>45748</v>
      </c>
      <c r="F375" s="118">
        <v>45771</v>
      </c>
      <c r="G375" s="105" t="s">
        <v>115</v>
      </c>
      <c r="H375" s="39" t="str">
        <f>_xlfn.XLOOKUP(Table6[[#This Row],[Affected WTG]],'Basic Data'!$A:$A,'Basic Data'!$B:$B)</f>
        <v>PWEGPL</v>
      </c>
      <c r="I375" s="39" t="str">
        <f>_xlfn.XLOOKUP(Table6[[#This Row],[Affected WTG]],'Basic Data'!$A:$A,'Basic Data'!$C:$C)</f>
        <v>MSEDCL</v>
      </c>
      <c r="J375" s="345">
        <f>IFERROR(VLOOKUP(Table6[[#This Row],[Affected WTG]],'Basic Data'!$A$3:$E$56,5,0),"")</f>
        <v>2.564102564102564E-2</v>
      </c>
      <c r="K375" s="105">
        <v>2118</v>
      </c>
      <c r="L375" s="39" t="str">
        <f>IFERROR(VLOOKUP(Table6[[#This Row],[Error Code]],'Basic Data'!$T:$U,2,0),"")</f>
        <v>Bus Error - Interbus Failure</v>
      </c>
      <c r="M375" s="346" t="s">
        <v>462</v>
      </c>
      <c r="N375" s="39" t="s">
        <v>1270</v>
      </c>
      <c r="O375" s="347">
        <v>0.72430555555555554</v>
      </c>
      <c r="P375" s="347">
        <v>0.76736111111111116</v>
      </c>
      <c r="Q375" s="347">
        <v>0.76875000000000004</v>
      </c>
      <c r="R375" s="348">
        <f>IF(Table6[[#This Row],[Work Start TimeStamp]]="","",(Table6[[#This Row],[Work Start TimeStamp]]-Table6[[#This Row],[Fault Start TimeStamp]])*24)</f>
        <v>1.033333333333335</v>
      </c>
      <c r="S375" s="349">
        <f>(Table6[[#This Row],[Fault Clearance time]]-Table6[[#This Row],[Work Start TimeStamp]])*24</f>
        <v>3.3333333333333215E-2</v>
      </c>
      <c r="T375" s="350">
        <f>(Table6[[#This Row],[Fault Clearance time]]-Table6[[#This Row],[Fault Start TimeStamp]])*24</f>
        <v>1.0666666666666682</v>
      </c>
      <c r="U375" s="346" t="s">
        <v>491</v>
      </c>
      <c r="V375" s="351" t="s">
        <v>463</v>
      </c>
      <c r="W375" s="338">
        <f>Table6[[#This Row],[Breakdown Time]]*(1/39)</f>
        <v>2.7350427350427389E-2</v>
      </c>
      <c r="X375" s="336" t="s">
        <v>465</v>
      </c>
      <c r="Y375" s="352" t="s">
        <v>121</v>
      </c>
      <c r="Z375" s="105">
        <v>5267</v>
      </c>
      <c r="AA375" s="107">
        <v>234.08888888888924</v>
      </c>
      <c r="AB375" s="105" t="s">
        <v>478</v>
      </c>
    </row>
    <row r="376" spans="1:28">
      <c r="A376" s="105">
        <f t="shared" si="5"/>
        <v>375</v>
      </c>
      <c r="B376" s="107">
        <f>YEAR(Table6[[#This Row],[Date]])+IF(MONTH(Table6[[#This Row],[Date]])&gt;=4,1,0)</f>
        <v>2026</v>
      </c>
      <c r="C376" s="105">
        <f>YEAR(Table6[[#This Row],[Date]])</f>
        <v>2025</v>
      </c>
      <c r="D376" s="105" t="s">
        <v>490</v>
      </c>
      <c r="E376" s="119">
        <f>Table6[[#This Row],[Date]]-DAY(Table6[[#This Row],[Date]])+1</f>
        <v>45748</v>
      </c>
      <c r="F376" s="118">
        <v>45771</v>
      </c>
      <c r="G376" s="105" t="s">
        <v>136</v>
      </c>
      <c r="H376" s="39" t="str">
        <f>_xlfn.XLOOKUP(Table6[[#This Row],[Affected WTG]],'Basic Data'!$A:$A,'Basic Data'!$B:$B)</f>
        <v>PWEGPL</v>
      </c>
      <c r="I376" s="39" t="str">
        <f>_xlfn.XLOOKUP(Table6[[#This Row],[Affected WTG]],'Basic Data'!$A:$A,'Basic Data'!$C:$C)</f>
        <v>MSEDCL</v>
      </c>
      <c r="J376" s="345">
        <f>IFERROR(VLOOKUP(Table6[[#This Row],[Affected WTG]],'Basic Data'!$A$3:$E$56,5,0),"")</f>
        <v>2.564102564102564E-2</v>
      </c>
      <c r="K376" s="105">
        <v>813</v>
      </c>
      <c r="L376" s="39" t="str">
        <f>IFERROR(VLOOKUP(Table6[[#This Row],[Error Code]],'Basic Data'!$T:$U,2,0),"")</f>
        <v>Low Pressure Of Emergency Accumulators</v>
      </c>
      <c r="M376" s="346" t="s">
        <v>462</v>
      </c>
      <c r="N376" s="39" t="s">
        <v>1270</v>
      </c>
      <c r="O376" s="347">
        <v>0.7416666666666667</v>
      </c>
      <c r="P376" s="347">
        <v>0.76597222222222228</v>
      </c>
      <c r="Q376" s="347">
        <v>0.76736111111111116</v>
      </c>
      <c r="R376" s="348">
        <f>IF(Table6[[#This Row],[Work Start TimeStamp]]="","",(Table6[[#This Row],[Work Start TimeStamp]]-Table6[[#This Row],[Fault Start TimeStamp]])*24)</f>
        <v>0.58333333333333393</v>
      </c>
      <c r="S376" s="349">
        <f>(Table6[[#This Row],[Fault Clearance time]]-Table6[[#This Row],[Work Start TimeStamp]])*24</f>
        <v>3.3333333333333215E-2</v>
      </c>
      <c r="T376" s="350">
        <f>(Table6[[#This Row],[Fault Clearance time]]-Table6[[#This Row],[Fault Start TimeStamp]])*24</f>
        <v>0.61666666666666714</v>
      </c>
      <c r="U376" s="346" t="s">
        <v>493</v>
      </c>
      <c r="V376" s="351" t="s">
        <v>463</v>
      </c>
      <c r="W376" s="338">
        <f>Table6[[#This Row],[Breakdown Time]]*(1/39)</f>
        <v>1.5811965811965825E-2</v>
      </c>
      <c r="X376" s="336" t="s">
        <v>465</v>
      </c>
      <c r="Y376" s="352" t="s">
        <v>119</v>
      </c>
      <c r="Z376" s="105">
        <v>5423</v>
      </c>
      <c r="AA376" s="107">
        <v>139.34097222222235</v>
      </c>
      <c r="AB376" s="105" t="s">
        <v>478</v>
      </c>
    </row>
    <row r="377" spans="1:28">
      <c r="A377" s="105">
        <f t="shared" si="5"/>
        <v>376</v>
      </c>
      <c r="B377" s="107">
        <f>YEAR(Table6[[#This Row],[Date]])+IF(MONTH(Table6[[#This Row],[Date]])&gt;=4,1,0)</f>
        <v>2026</v>
      </c>
      <c r="C377" s="105">
        <f>YEAR(Table6[[#This Row],[Date]])</f>
        <v>2025</v>
      </c>
      <c r="D377" s="105" t="s">
        <v>490</v>
      </c>
      <c r="E377" s="119">
        <f>Table6[[#This Row],[Date]]-DAY(Table6[[#This Row],[Date]])+1</f>
        <v>45748</v>
      </c>
      <c r="F377" s="118">
        <v>45771</v>
      </c>
      <c r="G377" s="105" t="s">
        <v>139</v>
      </c>
      <c r="H377" s="39" t="str">
        <f>_xlfn.XLOOKUP(Table6[[#This Row],[Affected WTG]],'Basic Data'!$A:$A,'Basic Data'!$B:$B)</f>
        <v>PWEGPL</v>
      </c>
      <c r="I377" s="39" t="str">
        <f>_xlfn.XLOOKUP(Table6[[#This Row],[Affected WTG]],'Basic Data'!$A:$A,'Basic Data'!$C:$C)</f>
        <v>MSEDCL</v>
      </c>
      <c r="J377" s="345">
        <f>IFERROR(VLOOKUP(Table6[[#This Row],[Affected WTG]],'Basic Data'!$A$3:$E$56,5,0),"")</f>
        <v>2.564102564102564E-2</v>
      </c>
      <c r="K377" s="105" t="s">
        <v>466</v>
      </c>
      <c r="L377" s="39" t="str">
        <f>IFERROR(VLOOKUP(Table6[[#This Row],[Error Code]],'Basic Data'!$T:$U,2,0),"")</f>
        <v>Manual Stop</v>
      </c>
      <c r="M377" s="346" t="s">
        <v>479</v>
      </c>
      <c r="N377" s="39" t="s">
        <v>230</v>
      </c>
      <c r="O377" s="347">
        <v>0.49305555555555558</v>
      </c>
      <c r="P377" s="347">
        <v>0.49305555555555558</v>
      </c>
      <c r="Q377" s="347">
        <v>0.6791666666666667</v>
      </c>
      <c r="R377" s="348">
        <f>IF(Table6[[#This Row],[Work Start TimeStamp]]="","",(Table6[[#This Row],[Work Start TimeStamp]]-Table6[[#This Row],[Fault Start TimeStamp]])*24)</f>
        <v>0</v>
      </c>
      <c r="S377" s="349">
        <f>(Table6[[#This Row],[Fault Clearance time]]-Table6[[#This Row],[Work Start TimeStamp]])*24</f>
        <v>4.4666666666666668</v>
      </c>
      <c r="T377" s="350">
        <f>(Table6[[#This Row],[Fault Clearance time]]-Table6[[#This Row],[Fault Start TimeStamp]])*24</f>
        <v>4.4666666666666668</v>
      </c>
      <c r="U377" s="346" t="s">
        <v>560</v>
      </c>
      <c r="V377" s="351" t="s">
        <v>463</v>
      </c>
      <c r="W377" s="338">
        <f>Table6[[#This Row],[Breakdown Time]]*(1/39)</f>
        <v>0.11452991452991453</v>
      </c>
      <c r="X377" s="336" t="s">
        <v>464</v>
      </c>
      <c r="Y377" s="352" t="s">
        <v>145</v>
      </c>
      <c r="Z377" s="105">
        <v>7158</v>
      </c>
      <c r="AA377" s="107">
        <v>1332.1833333333334</v>
      </c>
      <c r="AB377" s="105" t="s">
        <v>478</v>
      </c>
    </row>
    <row r="378" spans="1:28">
      <c r="A378" s="105">
        <f t="shared" si="5"/>
        <v>377</v>
      </c>
      <c r="B378" s="107">
        <f>YEAR(Table6[[#This Row],[Date]])+IF(MONTH(Table6[[#This Row],[Date]])&gt;=4,1,0)</f>
        <v>2026</v>
      </c>
      <c r="C378" s="105">
        <f>YEAR(Table6[[#This Row],[Date]])</f>
        <v>2025</v>
      </c>
      <c r="D378" s="105" t="s">
        <v>490</v>
      </c>
      <c r="E378" s="119">
        <f>Table6[[#This Row],[Date]]-DAY(Table6[[#This Row],[Date]])+1</f>
        <v>45748</v>
      </c>
      <c r="F378" s="118">
        <v>45771</v>
      </c>
      <c r="G378" s="105" t="s">
        <v>152</v>
      </c>
      <c r="H378" s="39" t="str">
        <f>_xlfn.XLOOKUP(Table6[[#This Row],[Affected WTG]],'Basic Data'!$A:$A,'Basic Data'!$B:$B)</f>
        <v>PWEGPL</v>
      </c>
      <c r="I378" s="39" t="str">
        <f>_xlfn.XLOOKUP(Table6[[#This Row],[Affected WTG]],'Basic Data'!$A:$A,'Basic Data'!$C:$C)</f>
        <v>MSEDCL</v>
      </c>
      <c r="J378" s="345">
        <f>IFERROR(VLOOKUP(Table6[[#This Row],[Affected WTG]],'Basic Data'!$A$3:$E$56,5,0),"")</f>
        <v>2.564102564102564E-2</v>
      </c>
      <c r="K378" s="105" t="s">
        <v>492</v>
      </c>
      <c r="L378" s="39" t="str">
        <f>IFERROR(VLOOKUP(Table6[[#This Row],[Error Code]],'Basic Data'!$T:$U,2,0),"")</f>
        <v>Manual Stop - Safety Related</v>
      </c>
      <c r="M378" s="346" t="s">
        <v>481</v>
      </c>
      <c r="N378" s="39" t="s">
        <v>230</v>
      </c>
      <c r="O378" s="347">
        <v>0.625</v>
      </c>
      <c r="P378" s="347">
        <v>0.625</v>
      </c>
      <c r="Q378" s="347">
        <v>0.71319444444444446</v>
      </c>
      <c r="R378" s="348">
        <f>IF(Table6[[#This Row],[Work Start TimeStamp]]="","",(Table6[[#This Row],[Work Start TimeStamp]]-Table6[[#This Row],[Fault Start TimeStamp]])*24)</f>
        <v>0</v>
      </c>
      <c r="S378" s="349">
        <f>(Table6[[#This Row],[Fault Clearance time]]-Table6[[#This Row],[Work Start TimeStamp]])*24</f>
        <v>2.1166666666666671</v>
      </c>
      <c r="T378" s="350">
        <f>(Table6[[#This Row],[Fault Clearance time]]-Table6[[#This Row],[Fault Start TimeStamp]])*24</f>
        <v>2.1166666666666671</v>
      </c>
      <c r="U378" s="346" t="s">
        <v>508</v>
      </c>
      <c r="V378" s="351" t="s">
        <v>463</v>
      </c>
      <c r="W378" s="338">
        <f>Table6[[#This Row],[Breakdown Time]]*(1/39)</f>
        <v>5.4273504273504282E-2</v>
      </c>
      <c r="X378" s="336" t="s">
        <v>472</v>
      </c>
      <c r="Y378" s="352" t="s">
        <v>151</v>
      </c>
      <c r="Z378" s="105">
        <v>7156</v>
      </c>
      <c r="AA378" s="107">
        <v>631.11944444444464</v>
      </c>
      <c r="AB378" s="105" t="s">
        <v>478</v>
      </c>
    </row>
    <row r="379" spans="1:28">
      <c r="A379" s="105">
        <f t="shared" si="5"/>
        <v>378</v>
      </c>
      <c r="B379" s="107">
        <f>YEAR(Table6[[#This Row],[Date]])+IF(MONTH(Table6[[#This Row],[Date]])&gt;=4,1,0)</f>
        <v>2026</v>
      </c>
      <c r="C379" s="105">
        <f>YEAR(Table6[[#This Row],[Date]])</f>
        <v>2025</v>
      </c>
      <c r="D379" s="105" t="s">
        <v>490</v>
      </c>
      <c r="E379" s="119">
        <f>Table6[[#This Row],[Date]]-DAY(Table6[[#This Row],[Date]])+1</f>
        <v>45748</v>
      </c>
      <c r="F379" s="118">
        <v>45771</v>
      </c>
      <c r="G379" s="105" t="s">
        <v>153</v>
      </c>
      <c r="H379" s="39" t="str">
        <f>_xlfn.XLOOKUP(Table6[[#This Row],[Affected WTG]],'Basic Data'!$A:$A,'Basic Data'!$B:$B)</f>
        <v>PWEGPL</v>
      </c>
      <c r="I379" s="39" t="str">
        <f>_xlfn.XLOOKUP(Table6[[#This Row],[Affected WTG]],'Basic Data'!$A:$A,'Basic Data'!$C:$C)</f>
        <v>MSEDCL</v>
      </c>
      <c r="J379" s="345">
        <f>IFERROR(VLOOKUP(Table6[[#This Row],[Affected WTG]],'Basic Data'!$A$3:$E$56,5,0),"")</f>
        <v>2.564102564102564E-2</v>
      </c>
      <c r="K379" s="105" t="s">
        <v>466</v>
      </c>
      <c r="L379" s="39" t="str">
        <f>IFERROR(VLOOKUP(Table6[[#This Row],[Error Code]],'Basic Data'!$T:$U,2,0),"")</f>
        <v>Manual Stop</v>
      </c>
      <c r="M379" s="346" t="s">
        <v>479</v>
      </c>
      <c r="N379" s="39" t="s">
        <v>230</v>
      </c>
      <c r="O379" s="347">
        <v>0.4861111111111111</v>
      </c>
      <c r="P379" s="347">
        <v>0.4861111111111111</v>
      </c>
      <c r="Q379" s="347">
        <v>0.68055555555555558</v>
      </c>
      <c r="R379" s="348">
        <f>IF(Table6[[#This Row],[Work Start TimeStamp]]="","",(Table6[[#This Row],[Work Start TimeStamp]]-Table6[[#This Row],[Fault Start TimeStamp]])*24)</f>
        <v>0</v>
      </c>
      <c r="S379" s="349">
        <f>(Table6[[#This Row],[Fault Clearance time]]-Table6[[#This Row],[Work Start TimeStamp]])*24</f>
        <v>4.6666666666666679</v>
      </c>
      <c r="T379" s="350">
        <f>(Table6[[#This Row],[Fault Clearance time]]-Table6[[#This Row],[Fault Start TimeStamp]])*24</f>
        <v>4.6666666666666679</v>
      </c>
      <c r="U379" s="346" t="s">
        <v>560</v>
      </c>
      <c r="V379" s="351" t="s">
        <v>463</v>
      </c>
      <c r="W379" s="338">
        <f>Table6[[#This Row],[Breakdown Time]]*(1/39)</f>
        <v>0.11965811965811969</v>
      </c>
      <c r="X379" s="336" t="s">
        <v>464</v>
      </c>
      <c r="Y379" s="352" t="s">
        <v>151</v>
      </c>
      <c r="Z379" s="105">
        <v>7156</v>
      </c>
      <c r="AA379" s="107">
        <v>1391.4444444444448</v>
      </c>
      <c r="AB379" s="105" t="s">
        <v>478</v>
      </c>
    </row>
    <row r="380" spans="1:28">
      <c r="A380" s="105">
        <f t="shared" si="5"/>
        <v>379</v>
      </c>
      <c r="B380" s="107">
        <f>YEAR(Table6[[#This Row],[Date]])+IF(MONTH(Table6[[#This Row],[Date]])&gt;=4,1,0)</f>
        <v>2026</v>
      </c>
      <c r="C380" s="105">
        <f>YEAR(Table6[[#This Row],[Date]])</f>
        <v>2025</v>
      </c>
      <c r="D380" s="105" t="s">
        <v>490</v>
      </c>
      <c r="E380" s="119">
        <f>Table6[[#This Row],[Date]]-DAY(Table6[[#This Row],[Date]])+1</f>
        <v>45748</v>
      </c>
      <c r="F380" s="118">
        <v>45772</v>
      </c>
      <c r="G380" s="105" t="s">
        <v>144</v>
      </c>
      <c r="H380" s="39" t="str">
        <f>_xlfn.XLOOKUP(Table6[[#This Row],[Affected WTG]],'Basic Data'!$A:$A,'Basic Data'!$B:$B)</f>
        <v>PWEGPL</v>
      </c>
      <c r="I380" s="39" t="str">
        <f>_xlfn.XLOOKUP(Table6[[#This Row],[Affected WTG]],'Basic Data'!$A:$A,'Basic Data'!$C:$C)</f>
        <v>MSEDCL</v>
      </c>
      <c r="J380" s="345">
        <f>IFERROR(VLOOKUP(Table6[[#This Row],[Affected WTG]],'Basic Data'!$A$3:$E$56,5,0),"")</f>
        <v>2.564102564102564E-2</v>
      </c>
      <c r="K380" s="105" t="s">
        <v>492</v>
      </c>
      <c r="L380" s="39" t="str">
        <f>IFERROR(VLOOKUP(Table6[[#This Row],[Error Code]],'Basic Data'!$T:$U,2,0),"")</f>
        <v>Manual Stop - Safety Related</v>
      </c>
      <c r="M380" s="346" t="s">
        <v>481</v>
      </c>
      <c r="N380" s="39" t="s">
        <v>1269</v>
      </c>
      <c r="O380" s="347">
        <v>0</v>
      </c>
      <c r="P380" s="347">
        <v>0.99930555555555556</v>
      </c>
      <c r="Q380" s="347">
        <v>0.99930555555555556</v>
      </c>
      <c r="R380" s="348">
        <f>IF(Table6[[#This Row],[Work Start TimeStamp]]="","",(Table6[[#This Row],[Work Start TimeStamp]]-Table6[[#This Row],[Fault Start TimeStamp]])*24)</f>
        <v>23.983333333333334</v>
      </c>
      <c r="S380" s="349">
        <f>(Table6[[#This Row],[Fault Clearance time]]-Table6[[#This Row],[Work Start TimeStamp]])*24</f>
        <v>0</v>
      </c>
      <c r="T380" s="350">
        <f>(Table6[[#This Row],[Fault Clearance time]]-Table6[[#This Row],[Fault Start TimeStamp]])*24</f>
        <v>23.983333333333334</v>
      </c>
      <c r="U380" s="346" t="s">
        <v>498</v>
      </c>
      <c r="V380" s="351" t="s">
        <v>473</v>
      </c>
      <c r="W380" s="338">
        <f>Table6[[#This Row],[Breakdown Time]]*(1/39)</f>
        <v>0.61495726495726499</v>
      </c>
      <c r="X380" s="336" t="s">
        <v>468</v>
      </c>
      <c r="Y380" s="352" t="s">
        <v>141</v>
      </c>
      <c r="Z380" s="105">
        <v>6544</v>
      </c>
      <c r="AA380" s="107">
        <v>6539.4555555555562</v>
      </c>
      <c r="AB380" s="105" t="s">
        <v>478</v>
      </c>
    </row>
    <row r="381" spans="1:28">
      <c r="A381" s="105">
        <f t="shared" si="5"/>
        <v>380</v>
      </c>
      <c r="B381" s="107">
        <f>YEAR(Table6[[#This Row],[Date]])+IF(MONTH(Table6[[#This Row],[Date]])&gt;=4,1,0)</f>
        <v>2026</v>
      </c>
      <c r="C381" s="105">
        <f>YEAR(Table6[[#This Row],[Date]])</f>
        <v>2025</v>
      </c>
      <c r="D381" s="105" t="s">
        <v>490</v>
      </c>
      <c r="E381" s="119">
        <f>Table6[[#This Row],[Date]]-DAY(Table6[[#This Row],[Date]])+1</f>
        <v>45748</v>
      </c>
      <c r="F381" s="118">
        <v>45772</v>
      </c>
      <c r="G381" s="105" t="s">
        <v>142</v>
      </c>
      <c r="H381" s="39" t="str">
        <f>_xlfn.XLOOKUP(Table6[[#This Row],[Affected WTG]],'Basic Data'!$A:$A,'Basic Data'!$B:$B)</f>
        <v>PWEGPL</v>
      </c>
      <c r="I381" s="39" t="str">
        <f>_xlfn.XLOOKUP(Table6[[#This Row],[Affected WTG]],'Basic Data'!$A:$A,'Basic Data'!$C:$C)</f>
        <v>MSEDCL</v>
      </c>
      <c r="J381" s="345">
        <f>IFERROR(VLOOKUP(Table6[[#This Row],[Affected WTG]],'Basic Data'!$A$3:$E$56,5,0),"")</f>
        <v>2.564102564102564E-2</v>
      </c>
      <c r="K381" s="105" t="s">
        <v>492</v>
      </c>
      <c r="L381" s="39" t="str">
        <f>IFERROR(VLOOKUP(Table6[[#This Row],[Error Code]],'Basic Data'!$T:$U,2,0),"")</f>
        <v>Manual Stop - Safety Related</v>
      </c>
      <c r="M381" s="346" t="s">
        <v>481</v>
      </c>
      <c r="N381" s="39" t="s">
        <v>1269</v>
      </c>
      <c r="O381" s="347">
        <v>0</v>
      </c>
      <c r="P381" s="347">
        <v>0.99930555555555556</v>
      </c>
      <c r="Q381" s="347">
        <v>0.99930555555555556</v>
      </c>
      <c r="R381" s="348">
        <f>IF(Table6[[#This Row],[Work Start TimeStamp]]="","",(Table6[[#This Row],[Work Start TimeStamp]]-Table6[[#This Row],[Fault Start TimeStamp]])*24)</f>
        <v>23.983333333333334</v>
      </c>
      <c r="S381" s="349">
        <f>(Table6[[#This Row],[Fault Clearance time]]-Table6[[#This Row],[Work Start TimeStamp]])*24</f>
        <v>0</v>
      </c>
      <c r="T381" s="350">
        <f>(Table6[[#This Row],[Fault Clearance time]]-Table6[[#This Row],[Fault Start TimeStamp]])*24</f>
        <v>23.983333333333334</v>
      </c>
      <c r="U381" s="346" t="s">
        <v>498</v>
      </c>
      <c r="V381" s="351" t="s">
        <v>473</v>
      </c>
      <c r="W381" s="338">
        <f>Table6[[#This Row],[Breakdown Time]]*(1/39)</f>
        <v>0.61495726495726499</v>
      </c>
      <c r="X381" s="336" t="s">
        <v>468</v>
      </c>
      <c r="Y381" s="352" t="s">
        <v>141</v>
      </c>
      <c r="Z381" s="105">
        <v>6544</v>
      </c>
      <c r="AA381" s="107">
        <v>6539.4555555555562</v>
      </c>
      <c r="AB381" s="105" t="s">
        <v>478</v>
      </c>
    </row>
    <row r="382" spans="1:28">
      <c r="A382" s="105">
        <f t="shared" si="5"/>
        <v>381</v>
      </c>
      <c r="B382" s="107">
        <f>YEAR(Table6[[#This Row],[Date]])+IF(MONTH(Table6[[#This Row],[Date]])&gt;=4,1,0)</f>
        <v>2026</v>
      </c>
      <c r="C382" s="105">
        <f>YEAR(Table6[[#This Row],[Date]])</f>
        <v>2025</v>
      </c>
      <c r="D382" s="105" t="s">
        <v>490</v>
      </c>
      <c r="E382" s="119">
        <f>Table6[[#This Row],[Date]]-DAY(Table6[[#This Row],[Date]])+1</f>
        <v>45748</v>
      </c>
      <c r="F382" s="118">
        <v>45772</v>
      </c>
      <c r="G382" s="105" t="s">
        <v>118</v>
      </c>
      <c r="H382" s="39" t="str">
        <f>_xlfn.XLOOKUP(Table6[[#This Row],[Affected WTG]],'Basic Data'!$A:$A,'Basic Data'!$B:$B)</f>
        <v>PWEGPL</v>
      </c>
      <c r="I382" s="39" t="str">
        <f>_xlfn.XLOOKUP(Table6[[#This Row],[Affected WTG]],'Basic Data'!$A:$A,'Basic Data'!$C:$C)</f>
        <v>MSEDCL</v>
      </c>
      <c r="J382" s="345">
        <f>IFERROR(VLOOKUP(Table6[[#This Row],[Affected WTG]],'Basic Data'!$A$3:$E$56,5,0),"")</f>
        <v>2.564102564102564E-2</v>
      </c>
      <c r="K382" s="105">
        <v>2118</v>
      </c>
      <c r="L382" s="39" t="str">
        <f>IFERROR(VLOOKUP(Table6[[#This Row],[Error Code]],'Basic Data'!$T:$U,2,0),"")</f>
        <v>Bus Error - Interbus Failure</v>
      </c>
      <c r="M382" s="346" t="s">
        <v>462</v>
      </c>
      <c r="N382" s="39" t="s">
        <v>1270</v>
      </c>
      <c r="O382" s="347">
        <v>0.60277777777777775</v>
      </c>
      <c r="P382" s="347">
        <v>0.63194444444444442</v>
      </c>
      <c r="Q382" s="347">
        <v>0.6333333333333333</v>
      </c>
      <c r="R382" s="348">
        <f>IF(Table6[[#This Row],[Work Start TimeStamp]]="","",(Table6[[#This Row],[Work Start TimeStamp]]-Table6[[#This Row],[Fault Start TimeStamp]])*24)</f>
        <v>0.70000000000000018</v>
      </c>
      <c r="S382" s="349">
        <f>(Table6[[#This Row],[Fault Clearance time]]-Table6[[#This Row],[Work Start TimeStamp]])*24</f>
        <v>3.3333333333333215E-2</v>
      </c>
      <c r="T382" s="350">
        <f>(Table6[[#This Row],[Fault Clearance time]]-Table6[[#This Row],[Fault Start TimeStamp]])*24</f>
        <v>0.73333333333333339</v>
      </c>
      <c r="U382" s="346" t="s">
        <v>493</v>
      </c>
      <c r="V382" s="351" t="s">
        <v>463</v>
      </c>
      <c r="W382" s="338">
        <f>Table6[[#This Row],[Breakdown Time]]*(1/39)</f>
        <v>1.8803418803418806E-2</v>
      </c>
      <c r="X382" s="336" t="s">
        <v>465</v>
      </c>
      <c r="Y382" s="352" t="s">
        <v>117</v>
      </c>
      <c r="Z382" s="105">
        <v>7041</v>
      </c>
      <c r="AA382" s="107">
        <v>215.14166666666668</v>
      </c>
      <c r="AB382" s="105" t="s">
        <v>478</v>
      </c>
    </row>
    <row r="383" spans="1:28">
      <c r="A383" s="105">
        <f t="shared" si="5"/>
        <v>382</v>
      </c>
      <c r="B383" s="107">
        <f>YEAR(Table6[[#This Row],[Date]])+IF(MONTH(Table6[[#This Row],[Date]])&gt;=4,1,0)</f>
        <v>2026</v>
      </c>
      <c r="C383" s="105">
        <f>YEAR(Table6[[#This Row],[Date]])</f>
        <v>2025</v>
      </c>
      <c r="D383" s="105" t="s">
        <v>490</v>
      </c>
      <c r="E383" s="119">
        <f>Table6[[#This Row],[Date]]-DAY(Table6[[#This Row],[Date]])+1</f>
        <v>45748</v>
      </c>
      <c r="F383" s="118">
        <v>45772</v>
      </c>
      <c r="G383" s="105" t="s">
        <v>122</v>
      </c>
      <c r="H383" s="39" t="str">
        <f>_xlfn.XLOOKUP(Table6[[#This Row],[Affected WTG]],'Basic Data'!$A:$A,'Basic Data'!$B:$B)</f>
        <v>PWEGPL</v>
      </c>
      <c r="I383" s="39" t="str">
        <f>_xlfn.XLOOKUP(Table6[[#This Row],[Affected WTG]],'Basic Data'!$A:$A,'Basic Data'!$C:$C)</f>
        <v>MSEDCL</v>
      </c>
      <c r="J383" s="345">
        <f>IFERROR(VLOOKUP(Table6[[#This Row],[Affected WTG]],'Basic Data'!$A$3:$E$56,5,0),"")</f>
        <v>2.564102564102564E-2</v>
      </c>
      <c r="K383" s="105" t="s">
        <v>487</v>
      </c>
      <c r="L383" s="39" t="str">
        <f>IFERROR(VLOOKUP(Table6[[#This Row],[Error Code]],'Basic Data'!$T:$U,2,0),"")</f>
        <v>General Work Stoppage</v>
      </c>
      <c r="M383" s="346" t="s">
        <v>479</v>
      </c>
      <c r="N383" s="39" t="s">
        <v>230</v>
      </c>
      <c r="O383" s="347">
        <v>0.77777777777777779</v>
      </c>
      <c r="P383" s="347">
        <v>0.77777777777777779</v>
      </c>
      <c r="Q383" s="347">
        <v>0.8125</v>
      </c>
      <c r="R383" s="348">
        <f>IF(Table6[[#This Row],[Work Start TimeStamp]]="","",(Table6[[#This Row],[Work Start TimeStamp]]-Table6[[#This Row],[Fault Start TimeStamp]])*24)</f>
        <v>0</v>
      </c>
      <c r="S383" s="349">
        <f>(Table6[[#This Row],[Fault Clearance time]]-Table6[[#This Row],[Work Start TimeStamp]])*24</f>
        <v>0.83333333333333304</v>
      </c>
      <c r="T383" s="350">
        <f>(Table6[[#This Row],[Fault Clearance time]]-Table6[[#This Row],[Fault Start TimeStamp]])*24</f>
        <v>0.83333333333333304</v>
      </c>
      <c r="U383" s="346" t="s">
        <v>561</v>
      </c>
      <c r="V383" s="351" t="s">
        <v>463</v>
      </c>
      <c r="W383" s="338">
        <f>Table6[[#This Row],[Breakdown Time]]*(1/39)</f>
        <v>2.1367521367521358E-2</v>
      </c>
      <c r="X383" s="336" t="s">
        <v>464</v>
      </c>
      <c r="Y383" s="352" t="s">
        <v>117</v>
      </c>
      <c r="Z383" s="105">
        <v>7041</v>
      </c>
      <c r="AA383" s="107">
        <v>244.47916666666657</v>
      </c>
      <c r="AB383" s="105" t="s">
        <v>478</v>
      </c>
    </row>
    <row r="384" spans="1:28">
      <c r="A384" s="105">
        <f t="shared" si="5"/>
        <v>383</v>
      </c>
      <c r="B384" s="107">
        <f>YEAR(Table6[[#This Row],[Date]])+IF(MONTH(Table6[[#This Row],[Date]])&gt;=4,1,0)</f>
        <v>2026</v>
      </c>
      <c r="C384" s="105">
        <f>YEAR(Table6[[#This Row],[Date]])</f>
        <v>2025</v>
      </c>
      <c r="D384" s="105" t="s">
        <v>490</v>
      </c>
      <c r="E384" s="119">
        <f>Table6[[#This Row],[Date]]-DAY(Table6[[#This Row],[Date]])+1</f>
        <v>45748</v>
      </c>
      <c r="F384" s="118">
        <v>45772</v>
      </c>
      <c r="G384" s="105" t="s">
        <v>123</v>
      </c>
      <c r="H384" s="39" t="str">
        <f>_xlfn.XLOOKUP(Table6[[#This Row],[Affected WTG]],'Basic Data'!$A:$A,'Basic Data'!$B:$B)</f>
        <v>PWEGPL</v>
      </c>
      <c r="I384" s="39" t="str">
        <f>_xlfn.XLOOKUP(Table6[[#This Row],[Affected WTG]],'Basic Data'!$A:$A,'Basic Data'!$C:$C)</f>
        <v>MSEDCL</v>
      </c>
      <c r="J384" s="345">
        <f>IFERROR(VLOOKUP(Table6[[#This Row],[Affected WTG]],'Basic Data'!$A$3:$E$56,5,0),"")</f>
        <v>2.564102564102564E-2</v>
      </c>
      <c r="K384" s="105">
        <v>222</v>
      </c>
      <c r="L384" s="39" t="str">
        <f>IFERROR(VLOOKUP(Table6[[#This Row],[Error Code]],'Basic Data'!$T:$U,2,0),"")</f>
        <v>Very Low Pressure On Hydraulic Unit</v>
      </c>
      <c r="M384" s="346" t="s">
        <v>462</v>
      </c>
      <c r="N384" s="39" t="s">
        <v>1270</v>
      </c>
      <c r="O384" s="347">
        <v>0.40277777777777779</v>
      </c>
      <c r="P384" s="347">
        <v>0.43888888888888888</v>
      </c>
      <c r="Q384" s="347">
        <v>0.43958333333333333</v>
      </c>
      <c r="R384" s="348">
        <f>IF(Table6[[#This Row],[Work Start TimeStamp]]="","",(Table6[[#This Row],[Work Start TimeStamp]]-Table6[[#This Row],[Fault Start TimeStamp]])*24)</f>
        <v>0.86666666666666625</v>
      </c>
      <c r="S384" s="349">
        <f>(Table6[[#This Row],[Fault Clearance time]]-Table6[[#This Row],[Work Start TimeStamp]])*24</f>
        <v>1.6666666666666607E-2</v>
      </c>
      <c r="T384" s="350">
        <f>(Table6[[#This Row],[Fault Clearance time]]-Table6[[#This Row],[Fault Start TimeStamp]])*24</f>
        <v>0.88333333333333286</v>
      </c>
      <c r="U384" s="346" t="s">
        <v>493</v>
      </c>
      <c r="V384" s="351" t="s">
        <v>463</v>
      </c>
      <c r="W384" s="338">
        <f>Table6[[#This Row],[Breakdown Time]]*(1/39)</f>
        <v>2.2649572649572635E-2</v>
      </c>
      <c r="X384" s="336" t="s">
        <v>465</v>
      </c>
      <c r="Y384" s="352" t="s">
        <v>126</v>
      </c>
      <c r="Z384" s="105">
        <v>6063</v>
      </c>
      <c r="AA384" s="107">
        <v>223.15208333333322</v>
      </c>
      <c r="AB384" s="105" t="s">
        <v>478</v>
      </c>
    </row>
    <row r="385" spans="1:28">
      <c r="A385" s="105">
        <f t="shared" si="5"/>
        <v>384</v>
      </c>
      <c r="B385" s="107">
        <f>YEAR(Table6[[#This Row],[Date]])+IF(MONTH(Table6[[#This Row],[Date]])&gt;=4,1,0)</f>
        <v>2026</v>
      </c>
      <c r="C385" s="105">
        <f>YEAR(Table6[[#This Row],[Date]])</f>
        <v>2025</v>
      </c>
      <c r="D385" s="105" t="s">
        <v>490</v>
      </c>
      <c r="E385" s="119">
        <f>Table6[[#This Row],[Date]]-DAY(Table6[[#This Row],[Date]])+1</f>
        <v>45748</v>
      </c>
      <c r="F385" s="118">
        <v>45772</v>
      </c>
      <c r="G385" s="105" t="s">
        <v>126</v>
      </c>
      <c r="H385" s="39" t="str">
        <f>_xlfn.XLOOKUP(Table6[[#This Row],[Affected WTG]],'Basic Data'!$A:$A,'Basic Data'!$B:$B)</f>
        <v>PWEGPL</v>
      </c>
      <c r="I385" s="39" t="str">
        <f>_xlfn.XLOOKUP(Table6[[#This Row],[Affected WTG]],'Basic Data'!$A:$A,'Basic Data'!$C:$C)</f>
        <v>MSEDCL</v>
      </c>
      <c r="J385" s="345">
        <f>IFERROR(VLOOKUP(Table6[[#This Row],[Affected WTG]],'Basic Data'!$A$3:$E$56,5,0),"")</f>
        <v>2.564102564102564E-2</v>
      </c>
      <c r="K385" s="105">
        <v>2119</v>
      </c>
      <c r="L385" s="39" t="str">
        <f>IFERROR(VLOOKUP(Table6[[#This Row],[Error Code]],'Basic Data'!$T:$U,2,0),"")</f>
        <v>CTRL Error - Processor Stopped</v>
      </c>
      <c r="M385" s="346" t="s">
        <v>462</v>
      </c>
      <c r="N385" s="39" t="s">
        <v>1270</v>
      </c>
      <c r="O385" s="347">
        <v>0.3923611111111111</v>
      </c>
      <c r="P385" s="347">
        <v>0.43888888888888888</v>
      </c>
      <c r="Q385" s="347">
        <v>0.48958333333333331</v>
      </c>
      <c r="R385" s="348">
        <f>IF(Table6[[#This Row],[Work Start TimeStamp]]="","",(Table6[[#This Row],[Work Start TimeStamp]]-Table6[[#This Row],[Fault Start TimeStamp]])*24)</f>
        <v>1.1166666666666667</v>
      </c>
      <c r="S385" s="349">
        <f>(Table6[[#This Row],[Fault Clearance time]]-Table6[[#This Row],[Work Start TimeStamp]])*24</f>
        <v>1.2166666666666663</v>
      </c>
      <c r="T385" s="350">
        <f>(Table6[[#This Row],[Fault Clearance time]]-Table6[[#This Row],[Fault Start TimeStamp]])*24</f>
        <v>2.333333333333333</v>
      </c>
      <c r="U385" s="346" t="s">
        <v>562</v>
      </c>
      <c r="V385" s="351" t="s">
        <v>463</v>
      </c>
      <c r="W385" s="338">
        <f>Table6[[#This Row],[Breakdown Time]]*(1/39)</f>
        <v>5.9829059829059818E-2</v>
      </c>
      <c r="X385" s="336" t="s">
        <v>465</v>
      </c>
      <c r="Y385" s="352" t="s">
        <v>123</v>
      </c>
      <c r="Z385" s="105">
        <v>6032</v>
      </c>
      <c r="AA385" s="107">
        <v>586.44444444444434</v>
      </c>
      <c r="AB385" s="105" t="s">
        <v>478</v>
      </c>
    </row>
    <row r="386" spans="1:28">
      <c r="A386" s="105">
        <f t="shared" si="5"/>
        <v>385</v>
      </c>
      <c r="B386" s="107">
        <f>YEAR(Table6[[#This Row],[Date]])+IF(MONTH(Table6[[#This Row],[Date]])&gt;=4,1,0)</f>
        <v>2026</v>
      </c>
      <c r="C386" s="105">
        <f>YEAR(Table6[[#This Row],[Date]])</f>
        <v>2025</v>
      </c>
      <c r="D386" s="105" t="s">
        <v>490</v>
      </c>
      <c r="E386" s="119">
        <f>Table6[[#This Row],[Date]]-DAY(Table6[[#This Row],[Date]])+1</f>
        <v>45748</v>
      </c>
      <c r="F386" s="118">
        <v>45772</v>
      </c>
      <c r="G386" s="105" t="s">
        <v>136</v>
      </c>
      <c r="H386" s="39" t="str">
        <f>_xlfn.XLOOKUP(Table6[[#This Row],[Affected WTG]],'Basic Data'!$A:$A,'Basic Data'!$B:$B)</f>
        <v>PWEGPL</v>
      </c>
      <c r="I386" s="39" t="str">
        <f>_xlfn.XLOOKUP(Table6[[#This Row],[Affected WTG]],'Basic Data'!$A:$A,'Basic Data'!$C:$C)</f>
        <v>MSEDCL</v>
      </c>
      <c r="J386" s="345">
        <f>IFERROR(VLOOKUP(Table6[[#This Row],[Affected WTG]],'Basic Data'!$A$3:$E$56,5,0),"")</f>
        <v>2.564102564102564E-2</v>
      </c>
      <c r="K386" s="105" t="s">
        <v>466</v>
      </c>
      <c r="L386" s="39" t="str">
        <f>IFERROR(VLOOKUP(Table6[[#This Row],[Error Code]],'Basic Data'!$T:$U,2,0),"")</f>
        <v>Manual Stop</v>
      </c>
      <c r="M386" s="346" t="s">
        <v>479</v>
      </c>
      <c r="N386" s="39" t="s">
        <v>230</v>
      </c>
      <c r="O386" s="347">
        <v>0.56805555555555554</v>
      </c>
      <c r="P386" s="347">
        <v>0.56805555555555554</v>
      </c>
      <c r="Q386" s="347">
        <v>0.62638888888888888</v>
      </c>
      <c r="R386" s="348">
        <f>IF(Table6[[#This Row],[Work Start TimeStamp]]="","",(Table6[[#This Row],[Work Start TimeStamp]]-Table6[[#This Row],[Fault Start TimeStamp]])*24)</f>
        <v>0</v>
      </c>
      <c r="S386" s="349">
        <f>(Table6[[#This Row],[Fault Clearance time]]-Table6[[#This Row],[Work Start TimeStamp]])*24</f>
        <v>1.4000000000000004</v>
      </c>
      <c r="T386" s="350">
        <f>(Table6[[#This Row],[Fault Clearance time]]-Table6[[#This Row],[Fault Start TimeStamp]])*24</f>
        <v>1.4000000000000004</v>
      </c>
      <c r="U386" s="346" t="s">
        <v>563</v>
      </c>
      <c r="V386" s="351" t="s">
        <v>463</v>
      </c>
      <c r="W386" s="338">
        <f>Table6[[#This Row],[Breakdown Time]]*(1/39)</f>
        <v>3.5897435897435909E-2</v>
      </c>
      <c r="X386" s="336" t="s">
        <v>464</v>
      </c>
      <c r="Y386" s="352" t="s">
        <v>119</v>
      </c>
      <c r="Z386" s="105">
        <v>6587</v>
      </c>
      <c r="AA386" s="107">
        <v>384.24166666666673</v>
      </c>
      <c r="AB386" s="105" t="s">
        <v>478</v>
      </c>
    </row>
    <row r="387" spans="1:28">
      <c r="A387" s="105">
        <f t="shared" si="5"/>
        <v>386</v>
      </c>
      <c r="B387" s="107">
        <f>YEAR(Table6[[#This Row],[Date]])+IF(MONTH(Table6[[#This Row],[Date]])&gt;=4,1,0)</f>
        <v>2026</v>
      </c>
      <c r="C387" s="105">
        <f>YEAR(Table6[[#This Row],[Date]])</f>
        <v>2025</v>
      </c>
      <c r="D387" s="105" t="s">
        <v>490</v>
      </c>
      <c r="E387" s="119">
        <f>Table6[[#This Row],[Date]]-DAY(Table6[[#This Row],[Date]])+1</f>
        <v>45748</v>
      </c>
      <c r="F387" s="118">
        <v>45772</v>
      </c>
      <c r="G387" s="105" t="s">
        <v>147</v>
      </c>
      <c r="H387" s="39" t="str">
        <f>_xlfn.XLOOKUP(Table6[[#This Row],[Affected WTG]],'Basic Data'!$A:$A,'Basic Data'!$B:$B)</f>
        <v>PWEGPL</v>
      </c>
      <c r="I387" s="39" t="str">
        <f>_xlfn.XLOOKUP(Table6[[#This Row],[Affected WTG]],'Basic Data'!$A:$A,'Basic Data'!$C:$C)</f>
        <v>MSEDCL</v>
      </c>
      <c r="J387" s="345">
        <f>IFERROR(VLOOKUP(Table6[[#This Row],[Affected WTG]],'Basic Data'!$A$3:$E$56,5,0),"")</f>
        <v>2.564102564102564E-2</v>
      </c>
      <c r="K387" s="105" t="s">
        <v>492</v>
      </c>
      <c r="L387" s="39" t="str">
        <f>IFERROR(VLOOKUP(Table6[[#This Row],[Error Code]],'Basic Data'!$T:$U,2,0),"")</f>
        <v>Manual Stop - Safety Related</v>
      </c>
      <c r="M387" s="346" t="s">
        <v>481</v>
      </c>
      <c r="N387" s="39" t="s">
        <v>230</v>
      </c>
      <c r="O387" s="347">
        <v>0.61805555555555558</v>
      </c>
      <c r="P387" s="347">
        <v>0.61805555555555558</v>
      </c>
      <c r="Q387" s="347">
        <v>0.69791666666666663</v>
      </c>
      <c r="R387" s="348">
        <f>IF(Table6[[#This Row],[Work Start TimeStamp]]="","",(Table6[[#This Row],[Work Start TimeStamp]]-Table6[[#This Row],[Fault Start TimeStamp]])*24)</f>
        <v>0</v>
      </c>
      <c r="S387" s="349">
        <f>(Table6[[#This Row],[Fault Clearance time]]-Table6[[#This Row],[Work Start TimeStamp]])*24</f>
        <v>1.9166666666666652</v>
      </c>
      <c r="T387" s="350">
        <f>(Table6[[#This Row],[Fault Clearance time]]-Table6[[#This Row],[Fault Start TimeStamp]])*24</f>
        <v>1.9166666666666652</v>
      </c>
      <c r="U387" s="346" t="s">
        <v>508</v>
      </c>
      <c r="V387" s="351" t="s">
        <v>463</v>
      </c>
      <c r="W387" s="338">
        <f>Table6[[#This Row],[Breakdown Time]]*(1/39)</f>
        <v>4.9145299145299103E-2</v>
      </c>
      <c r="X387" s="336" t="s">
        <v>472</v>
      </c>
      <c r="Y387" s="352" t="s">
        <v>146</v>
      </c>
      <c r="Z387" s="105">
        <v>6842</v>
      </c>
      <c r="AA387" s="107">
        <v>546.40972222222172</v>
      </c>
      <c r="AB387" s="105" t="s">
        <v>478</v>
      </c>
    </row>
    <row r="388" spans="1:28">
      <c r="A388" s="105">
        <f t="shared" ref="A388:A451" si="6">A387+1</f>
        <v>387</v>
      </c>
      <c r="B388" s="107">
        <f>YEAR(Table6[[#This Row],[Date]])+IF(MONTH(Table6[[#This Row],[Date]])&gt;=4,1,0)</f>
        <v>2026</v>
      </c>
      <c r="C388" s="105">
        <f>YEAR(Table6[[#This Row],[Date]])</f>
        <v>2025</v>
      </c>
      <c r="D388" s="105" t="s">
        <v>490</v>
      </c>
      <c r="E388" s="119">
        <f>Table6[[#This Row],[Date]]-DAY(Table6[[#This Row],[Date]])+1</f>
        <v>45748</v>
      </c>
      <c r="F388" s="118">
        <v>45772</v>
      </c>
      <c r="G388" s="105" t="s">
        <v>152</v>
      </c>
      <c r="H388" s="39" t="str">
        <f>_xlfn.XLOOKUP(Table6[[#This Row],[Affected WTG]],'Basic Data'!$A:$A,'Basic Data'!$B:$B)</f>
        <v>PWEGPL</v>
      </c>
      <c r="I388" s="39" t="str">
        <f>_xlfn.XLOOKUP(Table6[[#This Row],[Affected WTG]],'Basic Data'!$A:$A,'Basic Data'!$C:$C)</f>
        <v>MSEDCL</v>
      </c>
      <c r="J388" s="345">
        <f>IFERROR(VLOOKUP(Table6[[#This Row],[Affected WTG]],'Basic Data'!$A$3:$E$56,5,0),"")</f>
        <v>2.564102564102564E-2</v>
      </c>
      <c r="K388" s="105" t="s">
        <v>466</v>
      </c>
      <c r="L388" s="39" t="str">
        <f>IFERROR(VLOOKUP(Table6[[#This Row],[Error Code]],'Basic Data'!$T:$U,2,0),"")</f>
        <v>Manual Stop</v>
      </c>
      <c r="M388" s="346" t="s">
        <v>479</v>
      </c>
      <c r="N388" s="39" t="s">
        <v>230</v>
      </c>
      <c r="O388" s="347">
        <v>0.48125000000000001</v>
      </c>
      <c r="P388" s="347">
        <v>0.48125000000000001</v>
      </c>
      <c r="Q388" s="347">
        <v>0.77430555555555558</v>
      </c>
      <c r="R388" s="348">
        <f>IF(Table6[[#This Row],[Work Start TimeStamp]]="","",(Table6[[#This Row],[Work Start TimeStamp]]-Table6[[#This Row],[Fault Start TimeStamp]])*24)</f>
        <v>0</v>
      </c>
      <c r="S388" s="349">
        <f>(Table6[[#This Row],[Fault Clearance time]]-Table6[[#This Row],[Work Start TimeStamp]])*24</f>
        <v>7.0333333333333332</v>
      </c>
      <c r="T388" s="350">
        <f>(Table6[[#This Row],[Fault Clearance time]]-Table6[[#This Row],[Fault Start TimeStamp]])*24</f>
        <v>7.0333333333333332</v>
      </c>
      <c r="U388" s="346" t="s">
        <v>497</v>
      </c>
      <c r="V388" s="351" t="s">
        <v>463</v>
      </c>
      <c r="W388" s="338">
        <f>Table6[[#This Row],[Breakdown Time]]*(1/39)</f>
        <v>0.18034188034188034</v>
      </c>
      <c r="X388" s="336" t="s">
        <v>464</v>
      </c>
      <c r="Y388" s="352" t="s">
        <v>153</v>
      </c>
      <c r="Z388" s="105">
        <v>6849</v>
      </c>
      <c r="AA388" s="107">
        <v>2007.1375</v>
      </c>
      <c r="AB388" s="105" t="s">
        <v>478</v>
      </c>
    </row>
    <row r="389" spans="1:28">
      <c r="A389" s="105">
        <f t="shared" si="6"/>
        <v>388</v>
      </c>
      <c r="B389" s="107">
        <f>YEAR(Table6[[#This Row],[Date]])+IF(MONTH(Table6[[#This Row],[Date]])&gt;=4,1,0)</f>
        <v>2026</v>
      </c>
      <c r="C389" s="105">
        <f>YEAR(Table6[[#This Row],[Date]])</f>
        <v>2025</v>
      </c>
      <c r="D389" s="105" t="s">
        <v>490</v>
      </c>
      <c r="E389" s="119">
        <f>Table6[[#This Row],[Date]]-DAY(Table6[[#This Row],[Date]])+1</f>
        <v>45748</v>
      </c>
      <c r="F389" s="118">
        <v>45772</v>
      </c>
      <c r="G389" s="105" t="s">
        <v>133</v>
      </c>
      <c r="H389" s="39" t="str">
        <f>_xlfn.XLOOKUP(Table6[[#This Row],[Affected WTG]],'Basic Data'!$A:$A,'Basic Data'!$B:$B)</f>
        <v>PWEGPL</v>
      </c>
      <c r="I389" s="39" t="str">
        <f>_xlfn.XLOOKUP(Table6[[#This Row],[Affected WTG]],'Basic Data'!$A:$A,'Basic Data'!$C:$C)</f>
        <v>MSEDCL</v>
      </c>
      <c r="J389" s="345">
        <f>IFERROR(VLOOKUP(Table6[[#This Row],[Affected WTG]],'Basic Data'!$A$3:$E$56,5,0),"")</f>
        <v>2.564102564102564E-2</v>
      </c>
      <c r="K389" s="105">
        <v>110</v>
      </c>
      <c r="L389" s="39" t="str">
        <f>IFERROR(VLOOKUP(Table6[[#This Row],[Error Code]],'Basic Data'!$T:$U,2,0),"")</f>
        <v>Yaw Sensor Wiring Error</v>
      </c>
      <c r="M389" s="346" t="s">
        <v>462</v>
      </c>
      <c r="N389" s="39" t="s">
        <v>1270</v>
      </c>
      <c r="O389" s="347">
        <v>0.2638888888888889</v>
      </c>
      <c r="P389" s="347">
        <v>0.28749999999999998</v>
      </c>
      <c r="Q389" s="347">
        <v>0.31597222222222221</v>
      </c>
      <c r="R389" s="348">
        <f>IF(Table6[[#This Row],[Work Start TimeStamp]]="","",(Table6[[#This Row],[Work Start TimeStamp]]-Table6[[#This Row],[Fault Start TimeStamp]])*24)</f>
        <v>0.56666666666666599</v>
      </c>
      <c r="S389" s="349">
        <f>(Table6[[#This Row],[Fault Clearance time]]-Table6[[#This Row],[Work Start TimeStamp]])*24</f>
        <v>0.68333333333333357</v>
      </c>
      <c r="T389" s="350">
        <f>(Table6[[#This Row],[Fault Clearance time]]-Table6[[#This Row],[Fault Start TimeStamp]])*24</f>
        <v>1.2499999999999996</v>
      </c>
      <c r="U389" s="346" t="s">
        <v>564</v>
      </c>
      <c r="V389" s="351" t="s">
        <v>463</v>
      </c>
      <c r="W389" s="338">
        <f>Table6[[#This Row],[Breakdown Time]]*(1/39)</f>
        <v>3.2051282051282041E-2</v>
      </c>
      <c r="X389" s="336" t="s">
        <v>465</v>
      </c>
      <c r="Y389" s="352" t="s">
        <v>132</v>
      </c>
      <c r="Z389" s="105">
        <v>6345</v>
      </c>
      <c r="AA389" s="107">
        <v>330.46874999999989</v>
      </c>
      <c r="AB389" s="105" t="s">
        <v>478</v>
      </c>
    </row>
    <row r="390" spans="1:28">
      <c r="A390" s="105">
        <f t="shared" si="6"/>
        <v>389</v>
      </c>
      <c r="B390" s="107">
        <f>YEAR(Table6[[#This Row],[Date]])+IF(MONTH(Table6[[#This Row],[Date]])&gt;=4,1,0)</f>
        <v>2026</v>
      </c>
      <c r="C390" s="105">
        <f>YEAR(Table6[[#This Row],[Date]])</f>
        <v>2025</v>
      </c>
      <c r="D390" s="105" t="s">
        <v>490</v>
      </c>
      <c r="E390" s="119">
        <f>Table6[[#This Row],[Date]]-DAY(Table6[[#This Row],[Date]])+1</f>
        <v>45748</v>
      </c>
      <c r="F390" s="118">
        <v>45773</v>
      </c>
      <c r="G390" s="105" t="s">
        <v>144</v>
      </c>
      <c r="H390" s="39" t="str">
        <f>_xlfn.XLOOKUP(Table6[[#This Row],[Affected WTG]],'Basic Data'!$A:$A,'Basic Data'!$B:$B)</f>
        <v>PWEGPL</v>
      </c>
      <c r="I390" s="39" t="str">
        <f>_xlfn.XLOOKUP(Table6[[#This Row],[Affected WTG]],'Basic Data'!$A:$A,'Basic Data'!$C:$C)</f>
        <v>MSEDCL</v>
      </c>
      <c r="J390" s="345">
        <f>IFERROR(VLOOKUP(Table6[[#This Row],[Affected WTG]],'Basic Data'!$A$3:$E$56,5,0),"")</f>
        <v>2.564102564102564E-2</v>
      </c>
      <c r="K390" s="105" t="s">
        <v>492</v>
      </c>
      <c r="L390" s="39" t="str">
        <f>IFERROR(VLOOKUP(Table6[[#This Row],[Error Code]],'Basic Data'!$T:$U,2,0),"")</f>
        <v>Manual Stop - Safety Related</v>
      </c>
      <c r="M390" s="346" t="s">
        <v>481</v>
      </c>
      <c r="N390" s="39" t="s">
        <v>1269</v>
      </c>
      <c r="O390" s="347">
        <v>0</v>
      </c>
      <c r="P390" s="347">
        <v>0.99930555555555556</v>
      </c>
      <c r="Q390" s="347">
        <v>0.99930555555555556</v>
      </c>
      <c r="R390" s="348">
        <f>IF(Table6[[#This Row],[Work Start TimeStamp]]="","",(Table6[[#This Row],[Work Start TimeStamp]]-Table6[[#This Row],[Fault Start TimeStamp]])*24)</f>
        <v>23.983333333333334</v>
      </c>
      <c r="S390" s="349">
        <f>(Table6[[#This Row],[Fault Clearance time]]-Table6[[#This Row],[Work Start TimeStamp]])*24</f>
        <v>0</v>
      </c>
      <c r="T390" s="350">
        <f>(Table6[[#This Row],[Fault Clearance time]]-Table6[[#This Row],[Fault Start TimeStamp]])*24</f>
        <v>23.983333333333334</v>
      </c>
      <c r="U390" s="346" t="s">
        <v>498</v>
      </c>
      <c r="V390" s="351" t="s">
        <v>473</v>
      </c>
      <c r="W390" s="338">
        <f>Table6[[#This Row],[Breakdown Time]]*(1/39)</f>
        <v>0.61495726495726499</v>
      </c>
      <c r="X390" s="336" t="s">
        <v>468</v>
      </c>
      <c r="Y390" s="352" t="s">
        <v>141</v>
      </c>
      <c r="Z390" s="105">
        <v>8839</v>
      </c>
      <c r="AA390" s="107">
        <v>8832.8618055555562</v>
      </c>
      <c r="AB390" s="105" t="s">
        <v>478</v>
      </c>
    </row>
    <row r="391" spans="1:28">
      <c r="A391" s="105">
        <f t="shared" si="6"/>
        <v>390</v>
      </c>
      <c r="B391" s="107">
        <f>YEAR(Table6[[#This Row],[Date]])+IF(MONTH(Table6[[#This Row],[Date]])&gt;=4,1,0)</f>
        <v>2026</v>
      </c>
      <c r="C391" s="105">
        <f>YEAR(Table6[[#This Row],[Date]])</f>
        <v>2025</v>
      </c>
      <c r="D391" s="105" t="s">
        <v>490</v>
      </c>
      <c r="E391" s="119">
        <f>Table6[[#This Row],[Date]]-DAY(Table6[[#This Row],[Date]])+1</f>
        <v>45748</v>
      </c>
      <c r="F391" s="118">
        <v>45773</v>
      </c>
      <c r="G391" s="105" t="s">
        <v>142</v>
      </c>
      <c r="H391" s="39" t="str">
        <f>_xlfn.XLOOKUP(Table6[[#This Row],[Affected WTG]],'Basic Data'!$A:$A,'Basic Data'!$B:$B)</f>
        <v>PWEGPL</v>
      </c>
      <c r="I391" s="39" t="str">
        <f>_xlfn.XLOOKUP(Table6[[#This Row],[Affected WTG]],'Basic Data'!$A:$A,'Basic Data'!$C:$C)</f>
        <v>MSEDCL</v>
      </c>
      <c r="J391" s="345">
        <f>IFERROR(VLOOKUP(Table6[[#This Row],[Affected WTG]],'Basic Data'!$A$3:$E$56,5,0),"")</f>
        <v>2.564102564102564E-2</v>
      </c>
      <c r="K391" s="105" t="s">
        <v>492</v>
      </c>
      <c r="L391" s="39" t="str">
        <f>IFERROR(VLOOKUP(Table6[[#This Row],[Error Code]],'Basic Data'!$T:$U,2,0),"")</f>
        <v>Manual Stop - Safety Related</v>
      </c>
      <c r="M391" s="346" t="s">
        <v>481</v>
      </c>
      <c r="N391" s="39" t="s">
        <v>1269</v>
      </c>
      <c r="O391" s="347">
        <v>0</v>
      </c>
      <c r="P391" s="347">
        <v>0.99930555555555556</v>
      </c>
      <c r="Q391" s="347">
        <v>0.99930555555555556</v>
      </c>
      <c r="R391" s="348">
        <f>IF(Table6[[#This Row],[Work Start TimeStamp]]="","",(Table6[[#This Row],[Work Start TimeStamp]]-Table6[[#This Row],[Fault Start TimeStamp]])*24)</f>
        <v>23.983333333333334</v>
      </c>
      <c r="S391" s="349">
        <f>(Table6[[#This Row],[Fault Clearance time]]-Table6[[#This Row],[Work Start TimeStamp]])*24</f>
        <v>0</v>
      </c>
      <c r="T391" s="350">
        <f>(Table6[[#This Row],[Fault Clearance time]]-Table6[[#This Row],[Fault Start TimeStamp]])*24</f>
        <v>23.983333333333334</v>
      </c>
      <c r="U391" s="346" t="s">
        <v>498</v>
      </c>
      <c r="V391" s="351" t="s">
        <v>473</v>
      </c>
      <c r="W391" s="338">
        <f>Table6[[#This Row],[Breakdown Time]]*(1/39)</f>
        <v>0.61495726495726499</v>
      </c>
      <c r="X391" s="336" t="s">
        <v>468</v>
      </c>
      <c r="Y391" s="352" t="s">
        <v>141</v>
      </c>
      <c r="Z391" s="105">
        <v>8839</v>
      </c>
      <c r="AA391" s="107">
        <v>8832.8618055555562</v>
      </c>
      <c r="AB391" s="105" t="s">
        <v>478</v>
      </c>
    </row>
    <row r="392" spans="1:28">
      <c r="A392" s="105">
        <f t="shared" si="6"/>
        <v>391</v>
      </c>
      <c r="B392" s="107">
        <f>YEAR(Table6[[#This Row],[Date]])+IF(MONTH(Table6[[#This Row],[Date]])&gt;=4,1,0)</f>
        <v>2026</v>
      </c>
      <c r="C392" s="105">
        <f>YEAR(Table6[[#This Row],[Date]])</f>
        <v>2025</v>
      </c>
      <c r="D392" s="105" t="s">
        <v>490</v>
      </c>
      <c r="E392" s="119">
        <f>Table6[[#This Row],[Date]]-DAY(Table6[[#This Row],[Date]])+1</f>
        <v>45748</v>
      </c>
      <c r="F392" s="118">
        <v>45773</v>
      </c>
      <c r="G392" s="105" t="s">
        <v>120</v>
      </c>
      <c r="H392" s="39" t="str">
        <f>_xlfn.XLOOKUP(Table6[[#This Row],[Affected WTG]],'Basic Data'!$A:$A,'Basic Data'!$B:$B)</f>
        <v>PWEGPL</v>
      </c>
      <c r="I392" s="39" t="str">
        <f>_xlfn.XLOOKUP(Table6[[#This Row],[Affected WTG]],'Basic Data'!$A:$A,'Basic Data'!$C:$C)</f>
        <v>MSEDCL</v>
      </c>
      <c r="J392" s="345">
        <f>IFERROR(VLOOKUP(Table6[[#This Row],[Affected WTG]],'Basic Data'!$A$3:$E$56,5,0),"")</f>
        <v>2.564102564102564E-2</v>
      </c>
      <c r="K392" s="105" t="s">
        <v>466</v>
      </c>
      <c r="L392" s="39" t="str">
        <f>IFERROR(VLOOKUP(Table6[[#This Row],[Error Code]],'Basic Data'!$T:$U,2,0),"")</f>
        <v>Manual Stop</v>
      </c>
      <c r="M392" s="346" t="s">
        <v>479</v>
      </c>
      <c r="N392" s="39" t="s">
        <v>230</v>
      </c>
      <c r="O392" s="347">
        <v>0.46180555555555558</v>
      </c>
      <c r="P392" s="347">
        <v>0.46180555555555558</v>
      </c>
      <c r="Q392" s="347">
        <v>0.60069444444444442</v>
      </c>
      <c r="R392" s="348">
        <f>IF(Table6[[#This Row],[Work Start TimeStamp]]="","",(Table6[[#This Row],[Work Start TimeStamp]]-Table6[[#This Row],[Fault Start TimeStamp]])*24)</f>
        <v>0</v>
      </c>
      <c r="S392" s="349">
        <f>(Table6[[#This Row],[Fault Clearance time]]-Table6[[#This Row],[Work Start TimeStamp]])*24</f>
        <v>3.3333333333333321</v>
      </c>
      <c r="T392" s="350">
        <f>(Table6[[#This Row],[Fault Clearance time]]-Table6[[#This Row],[Fault Start TimeStamp]])*24</f>
        <v>3.3333333333333321</v>
      </c>
      <c r="U392" s="346" t="s">
        <v>560</v>
      </c>
      <c r="V392" s="351" t="s">
        <v>463</v>
      </c>
      <c r="W392" s="338">
        <f>Table6[[#This Row],[Breakdown Time]]*(1/39)</f>
        <v>8.547008547008543E-2</v>
      </c>
      <c r="X392" s="336" t="s">
        <v>464</v>
      </c>
      <c r="Y392" s="352" t="s">
        <v>117</v>
      </c>
      <c r="Z392" s="105">
        <v>10932</v>
      </c>
      <c r="AA392" s="107">
        <v>1518.3333333333328</v>
      </c>
      <c r="AB392" s="105" t="s">
        <v>478</v>
      </c>
    </row>
    <row r="393" spans="1:28">
      <c r="A393" s="105">
        <f t="shared" si="6"/>
        <v>392</v>
      </c>
      <c r="B393" s="107">
        <f>YEAR(Table6[[#This Row],[Date]])+IF(MONTH(Table6[[#This Row],[Date]])&gt;=4,1,0)</f>
        <v>2026</v>
      </c>
      <c r="C393" s="105">
        <f>YEAR(Table6[[#This Row],[Date]])</f>
        <v>2025</v>
      </c>
      <c r="D393" s="105" t="s">
        <v>490</v>
      </c>
      <c r="E393" s="119">
        <f>Table6[[#This Row],[Date]]-DAY(Table6[[#This Row],[Date]])+1</f>
        <v>45748</v>
      </c>
      <c r="F393" s="118">
        <v>45773</v>
      </c>
      <c r="G393" s="105" t="s">
        <v>135</v>
      </c>
      <c r="H393" s="39" t="str">
        <f>_xlfn.XLOOKUP(Table6[[#This Row],[Affected WTG]],'Basic Data'!$A:$A,'Basic Data'!$B:$B)</f>
        <v>PWEGPL</v>
      </c>
      <c r="I393" s="39" t="str">
        <f>_xlfn.XLOOKUP(Table6[[#This Row],[Affected WTG]],'Basic Data'!$A:$A,'Basic Data'!$C:$C)</f>
        <v>MSEDCL</v>
      </c>
      <c r="J393" s="345">
        <f>IFERROR(VLOOKUP(Table6[[#This Row],[Affected WTG]],'Basic Data'!$A$3:$E$56,5,0),"")</f>
        <v>2.564102564102564E-2</v>
      </c>
      <c r="K393" s="105" t="s">
        <v>492</v>
      </c>
      <c r="L393" s="39" t="str">
        <f>IFERROR(VLOOKUP(Table6[[#This Row],[Error Code]],'Basic Data'!$T:$U,2,0),"")</f>
        <v>Manual Stop - Safety Related</v>
      </c>
      <c r="M393" s="346" t="s">
        <v>481</v>
      </c>
      <c r="N393" s="39" t="s">
        <v>230</v>
      </c>
      <c r="O393" s="347">
        <v>0.46875</v>
      </c>
      <c r="P393" s="347">
        <v>0.46875</v>
      </c>
      <c r="Q393" s="347">
        <v>0.59027777777777779</v>
      </c>
      <c r="R393" s="348">
        <f>IF(Table6[[#This Row],[Work Start TimeStamp]]="","",(Table6[[#This Row],[Work Start TimeStamp]]-Table6[[#This Row],[Fault Start TimeStamp]])*24)</f>
        <v>0</v>
      </c>
      <c r="S393" s="349">
        <f>(Table6[[#This Row],[Fault Clearance time]]-Table6[[#This Row],[Work Start TimeStamp]])*24</f>
        <v>2.916666666666667</v>
      </c>
      <c r="T393" s="350">
        <f>(Table6[[#This Row],[Fault Clearance time]]-Table6[[#This Row],[Fault Start TimeStamp]])*24</f>
        <v>2.916666666666667</v>
      </c>
      <c r="U393" s="346" t="s">
        <v>508</v>
      </c>
      <c r="V393" s="351" t="s">
        <v>463</v>
      </c>
      <c r="W393" s="338">
        <f>Table6[[#This Row],[Breakdown Time]]*(1/39)</f>
        <v>7.4786324786324798E-2</v>
      </c>
      <c r="X393" s="336" t="s">
        <v>468</v>
      </c>
      <c r="Y393" s="352" t="s">
        <v>136</v>
      </c>
      <c r="Z393" s="105">
        <v>8563</v>
      </c>
      <c r="AA393" s="107">
        <v>1040.6423611111113</v>
      </c>
      <c r="AB393" s="105" t="s">
        <v>478</v>
      </c>
    </row>
    <row r="394" spans="1:28">
      <c r="A394" s="105">
        <f t="shared" si="6"/>
        <v>393</v>
      </c>
      <c r="B394" s="107">
        <f>YEAR(Table6[[#This Row],[Date]])+IF(MONTH(Table6[[#This Row],[Date]])&gt;=4,1,0)</f>
        <v>2026</v>
      </c>
      <c r="C394" s="105">
        <f>YEAR(Table6[[#This Row],[Date]])</f>
        <v>2025</v>
      </c>
      <c r="D394" s="105" t="s">
        <v>490</v>
      </c>
      <c r="E394" s="119">
        <f>Table6[[#This Row],[Date]]-DAY(Table6[[#This Row],[Date]])+1</f>
        <v>45748</v>
      </c>
      <c r="F394" s="118">
        <v>45773</v>
      </c>
      <c r="G394" s="105" t="s">
        <v>136</v>
      </c>
      <c r="H394" s="39" t="str">
        <f>_xlfn.XLOOKUP(Table6[[#This Row],[Affected WTG]],'Basic Data'!$A:$A,'Basic Data'!$B:$B)</f>
        <v>PWEGPL</v>
      </c>
      <c r="I394" s="39" t="str">
        <f>_xlfn.XLOOKUP(Table6[[#This Row],[Affected WTG]],'Basic Data'!$A:$A,'Basic Data'!$C:$C)</f>
        <v>MSEDCL</v>
      </c>
      <c r="J394" s="345">
        <f>IFERROR(VLOOKUP(Table6[[#This Row],[Affected WTG]],'Basic Data'!$A$3:$E$56,5,0),"")</f>
        <v>2.564102564102564E-2</v>
      </c>
      <c r="K394" s="105">
        <v>500</v>
      </c>
      <c r="L394" s="39" t="str">
        <f>IFERROR(VLOOKUP(Table6[[#This Row],[Error Code]],'Basic Data'!$T:$U,2,0),"")</f>
        <v>High Generator Winding Temperature</v>
      </c>
      <c r="M394" s="346" t="s">
        <v>462</v>
      </c>
      <c r="N394" s="39" t="s">
        <v>1270</v>
      </c>
      <c r="O394" s="347">
        <v>0.54513888888888884</v>
      </c>
      <c r="P394" s="347">
        <v>0.54513888888888884</v>
      </c>
      <c r="Q394" s="347">
        <v>0.54861111111111116</v>
      </c>
      <c r="R394" s="348">
        <f>IF(Table6[[#This Row],[Work Start TimeStamp]]="","",(Table6[[#This Row],[Work Start TimeStamp]]-Table6[[#This Row],[Fault Start TimeStamp]])*24)</f>
        <v>0</v>
      </c>
      <c r="S394" s="349">
        <f>(Table6[[#This Row],[Fault Clearance time]]-Table6[[#This Row],[Work Start TimeStamp]])*24</f>
        <v>8.3333333333335702E-2</v>
      </c>
      <c r="T394" s="350">
        <f>(Table6[[#This Row],[Fault Clearance time]]-Table6[[#This Row],[Fault Start TimeStamp]])*24</f>
        <v>8.3333333333335702E-2</v>
      </c>
      <c r="U394" s="346" t="s">
        <v>480</v>
      </c>
      <c r="V394" s="351" t="s">
        <v>463</v>
      </c>
      <c r="W394" s="338">
        <f>Table6[[#This Row],[Breakdown Time]]*(1/39)</f>
        <v>2.1367521367521972E-3</v>
      </c>
      <c r="X394" s="336" t="s">
        <v>465</v>
      </c>
      <c r="Y394" s="352" t="s">
        <v>135</v>
      </c>
      <c r="Z394" s="105">
        <v>8363</v>
      </c>
      <c r="AA394" s="107">
        <v>29.038194444445267</v>
      </c>
      <c r="AB394" s="105" t="s">
        <v>478</v>
      </c>
    </row>
    <row r="395" spans="1:28">
      <c r="A395" s="105">
        <f t="shared" si="6"/>
        <v>394</v>
      </c>
      <c r="B395" s="107">
        <f>YEAR(Table6[[#This Row],[Date]])+IF(MONTH(Table6[[#This Row],[Date]])&gt;=4,1,0)</f>
        <v>2026</v>
      </c>
      <c r="C395" s="105">
        <f>YEAR(Table6[[#This Row],[Date]])</f>
        <v>2025</v>
      </c>
      <c r="D395" s="105" t="s">
        <v>490</v>
      </c>
      <c r="E395" s="119">
        <f>Table6[[#This Row],[Date]]-DAY(Table6[[#This Row],[Date]])+1</f>
        <v>45748</v>
      </c>
      <c r="F395" s="118">
        <v>45773</v>
      </c>
      <c r="G395" s="105" t="s">
        <v>136</v>
      </c>
      <c r="H395" s="39" t="str">
        <f>_xlfn.XLOOKUP(Table6[[#This Row],[Affected WTG]],'Basic Data'!$A:$A,'Basic Data'!$B:$B)</f>
        <v>PWEGPL</v>
      </c>
      <c r="I395" s="39" t="str">
        <f>_xlfn.XLOOKUP(Table6[[#This Row],[Affected WTG]],'Basic Data'!$A:$A,'Basic Data'!$C:$C)</f>
        <v>MSEDCL</v>
      </c>
      <c r="J395" s="345">
        <f>IFERROR(VLOOKUP(Table6[[#This Row],[Affected WTG]],'Basic Data'!$A$3:$E$56,5,0),"")</f>
        <v>2.564102564102564E-2</v>
      </c>
      <c r="K395" s="105">
        <v>500</v>
      </c>
      <c r="L395" s="39" t="str">
        <f>IFERROR(VLOOKUP(Table6[[#This Row],[Error Code]],'Basic Data'!$T:$U,2,0),"")</f>
        <v>High Generator Winding Temperature</v>
      </c>
      <c r="M395" s="346" t="s">
        <v>462</v>
      </c>
      <c r="N395" s="39" t="s">
        <v>1270</v>
      </c>
      <c r="O395" s="347">
        <v>0.67361111111111116</v>
      </c>
      <c r="P395" s="347">
        <v>0.67361111111111116</v>
      </c>
      <c r="Q395" s="347">
        <v>0.67708333333333337</v>
      </c>
      <c r="R395" s="348">
        <f>IF(Table6[[#This Row],[Work Start TimeStamp]]="","",(Table6[[#This Row],[Work Start TimeStamp]]-Table6[[#This Row],[Fault Start TimeStamp]])*24)</f>
        <v>0</v>
      </c>
      <c r="S395" s="349">
        <f>(Table6[[#This Row],[Fault Clearance time]]-Table6[[#This Row],[Work Start TimeStamp]])*24</f>
        <v>8.3333333333333037E-2</v>
      </c>
      <c r="T395" s="350">
        <f>(Table6[[#This Row],[Fault Clearance time]]-Table6[[#This Row],[Fault Start TimeStamp]])*24</f>
        <v>8.3333333333333037E-2</v>
      </c>
      <c r="U395" s="346" t="s">
        <v>480</v>
      </c>
      <c r="V395" s="351" t="s">
        <v>463</v>
      </c>
      <c r="W395" s="338">
        <f>Table6[[#This Row],[Breakdown Time]]*(1/39)</f>
        <v>2.1367521367521292E-3</v>
      </c>
      <c r="X395" s="336" t="s">
        <v>465</v>
      </c>
      <c r="Y395" s="352" t="s">
        <v>135</v>
      </c>
      <c r="Z395" s="105">
        <v>8363</v>
      </c>
      <c r="AA395" s="107">
        <v>29.03819444444434</v>
      </c>
      <c r="AB395" s="105" t="s">
        <v>478</v>
      </c>
    </row>
    <row r="396" spans="1:28">
      <c r="A396" s="105">
        <f t="shared" si="6"/>
        <v>395</v>
      </c>
      <c r="B396" s="107">
        <f>YEAR(Table6[[#This Row],[Date]])+IF(MONTH(Table6[[#This Row],[Date]])&gt;=4,1,0)</f>
        <v>2026</v>
      </c>
      <c r="C396" s="105">
        <f>YEAR(Table6[[#This Row],[Date]])</f>
        <v>2025</v>
      </c>
      <c r="D396" s="105" t="s">
        <v>490</v>
      </c>
      <c r="E396" s="119">
        <f>Table6[[#This Row],[Date]]-DAY(Table6[[#This Row],[Date]])+1</f>
        <v>45748</v>
      </c>
      <c r="F396" s="118">
        <v>45773</v>
      </c>
      <c r="G396" s="105" t="s">
        <v>138</v>
      </c>
      <c r="H396" s="39" t="str">
        <f>_xlfn.XLOOKUP(Table6[[#This Row],[Affected WTG]],'Basic Data'!$A:$A,'Basic Data'!$B:$B)</f>
        <v>PWEGPL</v>
      </c>
      <c r="I396" s="39" t="str">
        <f>_xlfn.XLOOKUP(Table6[[#This Row],[Affected WTG]],'Basic Data'!$A:$A,'Basic Data'!$C:$C)</f>
        <v>MSEDCL</v>
      </c>
      <c r="J396" s="345">
        <f>IFERROR(VLOOKUP(Table6[[#This Row],[Affected WTG]],'Basic Data'!$A$3:$E$56,5,0),"")</f>
        <v>2.564102564102564E-2</v>
      </c>
      <c r="K396" s="105" t="s">
        <v>476</v>
      </c>
      <c r="L396" s="39" t="str">
        <f>IFERROR(VLOOKUP(Table6[[#This Row],[Error Code]],'Basic Data'!$T:$U,2,0),"")</f>
        <v>Manual Stop - Preventive Maintenance Activity</v>
      </c>
      <c r="M396" s="346" t="s">
        <v>474</v>
      </c>
      <c r="N396" s="39" t="s">
        <v>230</v>
      </c>
      <c r="O396" s="347">
        <v>0.49652777777777779</v>
      </c>
      <c r="P396" s="347">
        <v>0.49652777777777779</v>
      </c>
      <c r="Q396" s="347">
        <v>0.80555555555555558</v>
      </c>
      <c r="R396" s="348">
        <f>IF(Table6[[#This Row],[Work Start TimeStamp]]="","",(Table6[[#This Row],[Work Start TimeStamp]]-Table6[[#This Row],[Fault Start TimeStamp]])*24)</f>
        <v>0</v>
      </c>
      <c r="S396" s="349">
        <f>(Table6[[#This Row],[Fault Clearance time]]-Table6[[#This Row],[Work Start TimeStamp]])*24</f>
        <v>7.416666666666667</v>
      </c>
      <c r="T396" s="350">
        <f>(Table6[[#This Row],[Fault Clearance time]]-Table6[[#This Row],[Fault Start TimeStamp]])*24</f>
        <v>7.416666666666667</v>
      </c>
      <c r="U396" s="346" t="s">
        <v>565</v>
      </c>
      <c r="V396" s="351" t="s">
        <v>463</v>
      </c>
      <c r="W396" s="338">
        <f>Table6[[#This Row],[Breakdown Time]]*(1/39)</f>
        <v>0.19017094017094016</v>
      </c>
      <c r="X396" s="336" t="s">
        <v>467</v>
      </c>
      <c r="Y396" s="352" t="s">
        <v>140</v>
      </c>
      <c r="Z396" s="105">
        <v>8858</v>
      </c>
      <c r="AA396" s="107">
        <v>2737.3680555555557</v>
      </c>
      <c r="AB396" s="105" t="s">
        <v>478</v>
      </c>
    </row>
    <row r="397" spans="1:28">
      <c r="A397" s="105">
        <f t="shared" si="6"/>
        <v>396</v>
      </c>
      <c r="B397" s="107">
        <f>YEAR(Table6[[#This Row],[Date]])+IF(MONTH(Table6[[#This Row],[Date]])&gt;=4,1,0)</f>
        <v>2026</v>
      </c>
      <c r="C397" s="105">
        <f>YEAR(Table6[[#This Row],[Date]])</f>
        <v>2025</v>
      </c>
      <c r="D397" s="105" t="s">
        <v>490</v>
      </c>
      <c r="E397" s="119">
        <f>Table6[[#This Row],[Date]]-DAY(Table6[[#This Row],[Date]])+1</f>
        <v>45748</v>
      </c>
      <c r="F397" s="118">
        <v>45773</v>
      </c>
      <c r="G397" s="105" t="s">
        <v>149</v>
      </c>
      <c r="H397" s="39" t="str">
        <f>_xlfn.XLOOKUP(Table6[[#This Row],[Affected WTG]],'Basic Data'!$A:$A,'Basic Data'!$B:$B)</f>
        <v>PWEGPL</v>
      </c>
      <c r="I397" s="39" t="str">
        <f>_xlfn.XLOOKUP(Table6[[#This Row],[Affected WTG]],'Basic Data'!$A:$A,'Basic Data'!$C:$C)</f>
        <v>MSEDCL</v>
      </c>
      <c r="J397" s="345">
        <f>IFERROR(VLOOKUP(Table6[[#This Row],[Affected WTG]],'Basic Data'!$A$3:$E$56,5,0),"")</f>
        <v>2.564102564102564E-2</v>
      </c>
      <c r="K397" s="105">
        <v>2118</v>
      </c>
      <c r="L397" s="39" t="str">
        <f>IFERROR(VLOOKUP(Table6[[#This Row],[Error Code]],'Basic Data'!$T:$U,2,0),"")</f>
        <v>Bus Error - Interbus Failure</v>
      </c>
      <c r="M397" s="346" t="s">
        <v>462</v>
      </c>
      <c r="N397" s="39" t="s">
        <v>1270</v>
      </c>
      <c r="O397" s="347">
        <v>0.67361111111111116</v>
      </c>
      <c r="P397" s="347">
        <v>0.69930555555555551</v>
      </c>
      <c r="Q397" s="347">
        <v>0.7006944444444444</v>
      </c>
      <c r="R397" s="348">
        <f>IF(Table6[[#This Row],[Work Start TimeStamp]]="","",(Table6[[#This Row],[Work Start TimeStamp]]-Table6[[#This Row],[Fault Start TimeStamp]])*24)</f>
        <v>0.61666666666666448</v>
      </c>
      <c r="S397" s="349">
        <f>(Table6[[#This Row],[Fault Clearance time]]-Table6[[#This Row],[Work Start TimeStamp]])*24</f>
        <v>3.3333333333333215E-2</v>
      </c>
      <c r="T397" s="350">
        <f>(Table6[[#This Row],[Fault Clearance time]]-Table6[[#This Row],[Fault Start TimeStamp]])*24</f>
        <v>0.64999999999999769</v>
      </c>
      <c r="U397" s="346" t="s">
        <v>491</v>
      </c>
      <c r="V397" s="351" t="s">
        <v>463</v>
      </c>
      <c r="W397" s="338">
        <f>Table6[[#This Row],[Breakdown Time]]*(1/39)</f>
        <v>1.6666666666666607E-2</v>
      </c>
      <c r="X397" s="336" t="s">
        <v>465</v>
      </c>
      <c r="Y397" s="352" t="s">
        <v>148</v>
      </c>
      <c r="Z397" s="105">
        <v>9344</v>
      </c>
      <c r="AA397" s="107">
        <v>253.06666666666575</v>
      </c>
      <c r="AB397" s="105" t="s">
        <v>478</v>
      </c>
    </row>
    <row r="398" spans="1:28">
      <c r="A398" s="105">
        <f t="shared" si="6"/>
        <v>397</v>
      </c>
      <c r="B398" s="107">
        <f>YEAR(Table6[[#This Row],[Date]])+IF(MONTH(Table6[[#This Row],[Date]])&gt;=4,1,0)</f>
        <v>2026</v>
      </c>
      <c r="C398" s="105">
        <f>YEAR(Table6[[#This Row],[Date]])</f>
        <v>2025</v>
      </c>
      <c r="D398" s="105" t="s">
        <v>490</v>
      </c>
      <c r="E398" s="119">
        <f>Table6[[#This Row],[Date]]-DAY(Table6[[#This Row],[Date]])+1</f>
        <v>45748</v>
      </c>
      <c r="F398" s="118">
        <v>45774</v>
      </c>
      <c r="G398" s="105" t="s">
        <v>144</v>
      </c>
      <c r="H398" s="39" t="str">
        <f>_xlfn.XLOOKUP(Table6[[#This Row],[Affected WTG]],'Basic Data'!$A:$A,'Basic Data'!$B:$B)</f>
        <v>PWEGPL</v>
      </c>
      <c r="I398" s="39" t="str">
        <f>_xlfn.XLOOKUP(Table6[[#This Row],[Affected WTG]],'Basic Data'!$A:$A,'Basic Data'!$C:$C)</f>
        <v>MSEDCL</v>
      </c>
      <c r="J398" s="345">
        <f>IFERROR(VLOOKUP(Table6[[#This Row],[Affected WTG]],'Basic Data'!$A$3:$E$56,5,0),"")</f>
        <v>2.564102564102564E-2</v>
      </c>
      <c r="K398" s="105" t="s">
        <v>492</v>
      </c>
      <c r="L398" s="39" t="str">
        <f>IFERROR(VLOOKUP(Table6[[#This Row],[Error Code]],'Basic Data'!$T:$U,2,0),"")</f>
        <v>Manual Stop - Safety Related</v>
      </c>
      <c r="M398" s="346" t="s">
        <v>481</v>
      </c>
      <c r="N398" s="39" t="s">
        <v>1269</v>
      </c>
      <c r="O398" s="347">
        <v>0</v>
      </c>
      <c r="P398" s="347">
        <v>0.99930555555555556</v>
      </c>
      <c r="Q398" s="347">
        <v>0.99930555555555556</v>
      </c>
      <c r="R398" s="348">
        <f>IF(Table6[[#This Row],[Work Start TimeStamp]]="","",(Table6[[#This Row],[Work Start TimeStamp]]-Table6[[#This Row],[Fault Start TimeStamp]])*24)</f>
        <v>23.983333333333334</v>
      </c>
      <c r="S398" s="349">
        <f>(Table6[[#This Row],[Fault Clearance time]]-Table6[[#This Row],[Work Start TimeStamp]])*24</f>
        <v>0</v>
      </c>
      <c r="T398" s="350">
        <f>(Table6[[#This Row],[Fault Clearance time]]-Table6[[#This Row],[Fault Start TimeStamp]])*24</f>
        <v>23.983333333333334</v>
      </c>
      <c r="U398" s="346" t="s">
        <v>498</v>
      </c>
      <c r="V398" s="351" t="s">
        <v>473</v>
      </c>
      <c r="W398" s="338">
        <f>Table6[[#This Row],[Breakdown Time]]*(1/39)</f>
        <v>0.61495726495726499</v>
      </c>
      <c r="X398" s="336" t="s">
        <v>468</v>
      </c>
      <c r="Y398" s="352" t="s">
        <v>141</v>
      </c>
      <c r="Z398" s="105">
        <v>4867</v>
      </c>
      <c r="AA398" s="107">
        <v>4863.6201388888885</v>
      </c>
      <c r="AB398" s="105" t="s">
        <v>478</v>
      </c>
    </row>
    <row r="399" spans="1:28">
      <c r="A399" s="105">
        <f t="shared" si="6"/>
        <v>398</v>
      </c>
      <c r="B399" s="107">
        <f>YEAR(Table6[[#This Row],[Date]])+IF(MONTH(Table6[[#This Row],[Date]])&gt;=4,1,0)</f>
        <v>2026</v>
      </c>
      <c r="C399" s="105">
        <f>YEAR(Table6[[#This Row],[Date]])</f>
        <v>2025</v>
      </c>
      <c r="D399" s="105" t="s">
        <v>490</v>
      </c>
      <c r="E399" s="119">
        <f>Table6[[#This Row],[Date]]-DAY(Table6[[#This Row],[Date]])+1</f>
        <v>45748</v>
      </c>
      <c r="F399" s="118">
        <v>45774</v>
      </c>
      <c r="G399" s="105" t="s">
        <v>142</v>
      </c>
      <c r="H399" s="39" t="str">
        <f>_xlfn.XLOOKUP(Table6[[#This Row],[Affected WTG]],'Basic Data'!$A:$A,'Basic Data'!$B:$B)</f>
        <v>PWEGPL</v>
      </c>
      <c r="I399" s="39" t="str">
        <f>_xlfn.XLOOKUP(Table6[[#This Row],[Affected WTG]],'Basic Data'!$A:$A,'Basic Data'!$C:$C)</f>
        <v>MSEDCL</v>
      </c>
      <c r="J399" s="345">
        <f>IFERROR(VLOOKUP(Table6[[#This Row],[Affected WTG]],'Basic Data'!$A$3:$E$56,5,0),"")</f>
        <v>2.564102564102564E-2</v>
      </c>
      <c r="K399" s="105" t="s">
        <v>492</v>
      </c>
      <c r="L399" s="39" t="str">
        <f>IFERROR(VLOOKUP(Table6[[#This Row],[Error Code]],'Basic Data'!$T:$U,2,0),"")</f>
        <v>Manual Stop - Safety Related</v>
      </c>
      <c r="M399" s="346" t="s">
        <v>481</v>
      </c>
      <c r="N399" s="39" t="s">
        <v>1269</v>
      </c>
      <c r="O399" s="347">
        <v>0</v>
      </c>
      <c r="P399" s="347">
        <v>0.99930555555555556</v>
      </c>
      <c r="Q399" s="347">
        <v>0.99930555555555556</v>
      </c>
      <c r="R399" s="348">
        <f>IF(Table6[[#This Row],[Work Start TimeStamp]]="","",(Table6[[#This Row],[Work Start TimeStamp]]-Table6[[#This Row],[Fault Start TimeStamp]])*24)</f>
        <v>23.983333333333334</v>
      </c>
      <c r="S399" s="349">
        <f>(Table6[[#This Row],[Fault Clearance time]]-Table6[[#This Row],[Work Start TimeStamp]])*24</f>
        <v>0</v>
      </c>
      <c r="T399" s="350">
        <f>(Table6[[#This Row],[Fault Clearance time]]-Table6[[#This Row],[Fault Start TimeStamp]])*24</f>
        <v>23.983333333333334</v>
      </c>
      <c r="U399" s="346" t="s">
        <v>498</v>
      </c>
      <c r="V399" s="351" t="s">
        <v>473</v>
      </c>
      <c r="W399" s="338">
        <f>Table6[[#This Row],[Breakdown Time]]*(1/39)</f>
        <v>0.61495726495726499</v>
      </c>
      <c r="X399" s="336" t="s">
        <v>468</v>
      </c>
      <c r="Y399" s="352" t="s">
        <v>141</v>
      </c>
      <c r="Z399" s="105">
        <v>4867</v>
      </c>
      <c r="AA399" s="107">
        <v>4863.6201388888885</v>
      </c>
      <c r="AB399" s="105" t="s">
        <v>478</v>
      </c>
    </row>
    <row r="400" spans="1:28">
      <c r="A400" s="105">
        <f t="shared" si="6"/>
        <v>399</v>
      </c>
      <c r="B400" s="107">
        <f>YEAR(Table6[[#This Row],[Date]])+IF(MONTH(Table6[[#This Row],[Date]])&gt;=4,1,0)</f>
        <v>2026</v>
      </c>
      <c r="C400" s="105">
        <f>YEAR(Table6[[#This Row],[Date]])</f>
        <v>2025</v>
      </c>
      <c r="D400" s="105" t="s">
        <v>490</v>
      </c>
      <c r="E400" s="119">
        <f>Table6[[#This Row],[Date]]-DAY(Table6[[#This Row],[Date]])+1</f>
        <v>45748</v>
      </c>
      <c r="F400" s="118">
        <v>45774</v>
      </c>
      <c r="G400" s="105" t="s">
        <v>118</v>
      </c>
      <c r="H400" s="39" t="str">
        <f>_xlfn.XLOOKUP(Table6[[#This Row],[Affected WTG]],'Basic Data'!$A:$A,'Basic Data'!$B:$B)</f>
        <v>PWEGPL</v>
      </c>
      <c r="I400" s="39" t="str">
        <f>_xlfn.XLOOKUP(Table6[[#This Row],[Affected WTG]],'Basic Data'!$A:$A,'Basic Data'!$C:$C)</f>
        <v>MSEDCL</v>
      </c>
      <c r="J400" s="345">
        <f>IFERROR(VLOOKUP(Table6[[#This Row],[Affected WTG]],'Basic Data'!$A$3:$E$56,5,0),"")</f>
        <v>2.564102564102564E-2</v>
      </c>
      <c r="K400" s="105">
        <v>5201</v>
      </c>
      <c r="L400" s="39" t="str">
        <f>IFERROR(VLOOKUP(Table6[[#This Row],[Error Code]],'Basic Data'!$T:$U,2,0),"")</f>
        <v>Magnetothermic Trigger Of The Stator Protection</v>
      </c>
      <c r="M400" s="346" t="s">
        <v>462</v>
      </c>
      <c r="N400" s="39" t="s">
        <v>1270</v>
      </c>
      <c r="O400" s="347">
        <v>0.54027777777777775</v>
      </c>
      <c r="P400" s="347">
        <v>0.5625</v>
      </c>
      <c r="Q400" s="347">
        <v>0.56388888888888888</v>
      </c>
      <c r="R400" s="348">
        <f>IF(Table6[[#This Row],[Work Start TimeStamp]]="","",(Table6[[#This Row],[Work Start TimeStamp]]-Table6[[#This Row],[Fault Start TimeStamp]])*24)</f>
        <v>0.5333333333333341</v>
      </c>
      <c r="S400" s="349">
        <f>(Table6[[#This Row],[Fault Clearance time]]-Table6[[#This Row],[Work Start TimeStamp]])*24</f>
        <v>3.3333333333333215E-2</v>
      </c>
      <c r="T400" s="350">
        <f>(Table6[[#This Row],[Fault Clearance time]]-Table6[[#This Row],[Fault Start TimeStamp]])*24</f>
        <v>0.56666666666666732</v>
      </c>
      <c r="U400" s="346" t="s">
        <v>493</v>
      </c>
      <c r="V400" s="351" t="s">
        <v>463</v>
      </c>
      <c r="W400" s="338">
        <f>Table6[[#This Row],[Breakdown Time]]*(1/39)</f>
        <v>1.4529914529914546E-2</v>
      </c>
      <c r="X400" s="336" t="s">
        <v>465</v>
      </c>
      <c r="Y400" s="352" t="s">
        <v>117</v>
      </c>
      <c r="Z400" s="105">
        <v>5812</v>
      </c>
      <c r="AA400" s="107">
        <v>137.22777777777793</v>
      </c>
      <c r="AB400" s="105" t="s">
        <v>478</v>
      </c>
    </row>
    <row r="401" spans="1:28">
      <c r="A401" s="105">
        <f t="shared" si="6"/>
        <v>400</v>
      </c>
      <c r="B401" s="107">
        <f>YEAR(Table6[[#This Row],[Date]])+IF(MONTH(Table6[[#This Row],[Date]])&gt;=4,1,0)</f>
        <v>2026</v>
      </c>
      <c r="C401" s="105">
        <f>YEAR(Table6[[#This Row],[Date]])</f>
        <v>2025</v>
      </c>
      <c r="D401" s="105" t="s">
        <v>490</v>
      </c>
      <c r="E401" s="119">
        <f>Table6[[#This Row],[Date]]-DAY(Table6[[#This Row],[Date]])+1</f>
        <v>45748</v>
      </c>
      <c r="F401" s="118">
        <v>45774</v>
      </c>
      <c r="G401" s="105" t="s">
        <v>121</v>
      </c>
      <c r="H401" s="39" t="str">
        <f>_xlfn.XLOOKUP(Table6[[#This Row],[Affected WTG]],'Basic Data'!$A:$A,'Basic Data'!$B:$B)</f>
        <v>PWEGPL</v>
      </c>
      <c r="I401" s="39" t="str">
        <f>_xlfn.XLOOKUP(Table6[[#This Row],[Affected WTG]],'Basic Data'!$A:$A,'Basic Data'!$C:$C)</f>
        <v>MSEDCL</v>
      </c>
      <c r="J401" s="345">
        <f>IFERROR(VLOOKUP(Table6[[#This Row],[Affected WTG]],'Basic Data'!$A$3:$E$56,5,0),"")</f>
        <v>2.564102564102564E-2</v>
      </c>
      <c r="K401" s="105">
        <v>410</v>
      </c>
      <c r="L401" s="39" t="str">
        <f>IFERROR(VLOOKUP(Table6[[#This Row],[Error Code]],'Basic Data'!$T:$U,2,0),"")</f>
        <v>OGS</v>
      </c>
      <c r="M401" s="346" t="s">
        <v>462</v>
      </c>
      <c r="N401" s="39" t="s">
        <v>1270</v>
      </c>
      <c r="O401" s="347">
        <v>0.70138888888888884</v>
      </c>
      <c r="P401" s="347">
        <v>0.73333333333333328</v>
      </c>
      <c r="Q401" s="347">
        <v>0.73472222222222228</v>
      </c>
      <c r="R401" s="348">
        <f>IF(Table6[[#This Row],[Work Start TimeStamp]]="","",(Table6[[#This Row],[Work Start TimeStamp]]-Table6[[#This Row],[Fault Start TimeStamp]])*24)</f>
        <v>0.76666666666666661</v>
      </c>
      <c r="S401" s="349">
        <f>(Table6[[#This Row],[Fault Clearance time]]-Table6[[#This Row],[Work Start TimeStamp]])*24</f>
        <v>3.3333333333335879E-2</v>
      </c>
      <c r="T401" s="350">
        <f>(Table6[[#This Row],[Fault Clearance time]]-Table6[[#This Row],[Fault Start TimeStamp]])*24</f>
        <v>0.80000000000000249</v>
      </c>
      <c r="U401" s="346" t="s">
        <v>566</v>
      </c>
      <c r="V401" s="351" t="s">
        <v>463</v>
      </c>
      <c r="W401" s="338">
        <f>Table6[[#This Row],[Breakdown Time]]*(1/39)</f>
        <v>2.0512820512820575E-2</v>
      </c>
      <c r="X401" s="336" t="s">
        <v>465</v>
      </c>
      <c r="Y401" s="352" t="s">
        <v>115</v>
      </c>
      <c r="Z401" s="105">
        <v>5801</v>
      </c>
      <c r="AA401" s="107">
        <v>193.36666666666727</v>
      </c>
      <c r="AB401" s="105" t="s">
        <v>478</v>
      </c>
    </row>
    <row r="402" spans="1:28">
      <c r="A402" s="105">
        <f t="shared" si="6"/>
        <v>401</v>
      </c>
      <c r="B402" s="107">
        <f>YEAR(Table6[[#This Row],[Date]])+IF(MONTH(Table6[[#This Row],[Date]])&gt;=4,1,0)</f>
        <v>2026</v>
      </c>
      <c r="C402" s="105">
        <f>YEAR(Table6[[#This Row],[Date]])</f>
        <v>2025</v>
      </c>
      <c r="D402" s="105" t="s">
        <v>490</v>
      </c>
      <c r="E402" s="119">
        <f>Table6[[#This Row],[Date]]-DAY(Table6[[#This Row],[Date]])+1</f>
        <v>45748</v>
      </c>
      <c r="F402" s="118">
        <v>45774</v>
      </c>
      <c r="G402" s="105" t="s">
        <v>128</v>
      </c>
      <c r="H402" s="39" t="str">
        <f>_xlfn.XLOOKUP(Table6[[#This Row],[Affected WTG]],'Basic Data'!$A:$A,'Basic Data'!$B:$B)</f>
        <v>PWEGPL</v>
      </c>
      <c r="I402" s="39" t="str">
        <f>_xlfn.XLOOKUP(Table6[[#This Row],[Affected WTG]],'Basic Data'!$A:$A,'Basic Data'!$C:$C)</f>
        <v>MSEDCL</v>
      </c>
      <c r="J402" s="345">
        <f>IFERROR(VLOOKUP(Table6[[#This Row],[Affected WTG]],'Basic Data'!$A$3:$E$56,5,0),"")</f>
        <v>2.564102564102564E-2</v>
      </c>
      <c r="K402" s="105">
        <v>2118</v>
      </c>
      <c r="L402" s="39" t="str">
        <f>IFERROR(VLOOKUP(Table6[[#This Row],[Error Code]],'Basic Data'!$T:$U,2,0),"")</f>
        <v>Bus Error - Interbus Failure</v>
      </c>
      <c r="M402" s="346" t="s">
        <v>462</v>
      </c>
      <c r="N402" s="39" t="s">
        <v>1270</v>
      </c>
      <c r="O402" s="347">
        <v>0.64722222222222225</v>
      </c>
      <c r="P402" s="347">
        <v>0.67361111111111116</v>
      </c>
      <c r="Q402" s="347">
        <v>0.70972222222222225</v>
      </c>
      <c r="R402" s="348">
        <f>IF(Table6[[#This Row],[Work Start TimeStamp]]="","",(Table6[[#This Row],[Work Start TimeStamp]]-Table6[[#This Row],[Fault Start TimeStamp]])*24)</f>
        <v>0.63333333333333375</v>
      </c>
      <c r="S402" s="349">
        <f>(Table6[[#This Row],[Fault Clearance time]]-Table6[[#This Row],[Work Start TimeStamp]])*24</f>
        <v>0.86666666666666625</v>
      </c>
      <c r="T402" s="350">
        <f>(Table6[[#This Row],[Fault Clearance time]]-Table6[[#This Row],[Fault Start TimeStamp]])*24</f>
        <v>1.5</v>
      </c>
      <c r="U402" s="346" t="s">
        <v>489</v>
      </c>
      <c r="V402" s="351" t="s">
        <v>463</v>
      </c>
      <c r="W402" s="338">
        <f>Table6[[#This Row],[Breakdown Time]]*(1/39)</f>
        <v>3.8461538461538464E-2</v>
      </c>
      <c r="X402" s="336" t="s">
        <v>465</v>
      </c>
      <c r="Y402" s="352" t="s">
        <v>129</v>
      </c>
      <c r="Z402" s="105">
        <v>5642</v>
      </c>
      <c r="AA402" s="107">
        <v>352.625</v>
      </c>
      <c r="AB402" s="105" t="s">
        <v>478</v>
      </c>
    </row>
    <row r="403" spans="1:28">
      <c r="A403" s="105">
        <f t="shared" si="6"/>
        <v>402</v>
      </c>
      <c r="B403" s="107">
        <f>YEAR(Table6[[#This Row],[Date]])+IF(MONTH(Table6[[#This Row],[Date]])&gt;=4,1,0)</f>
        <v>2026</v>
      </c>
      <c r="C403" s="105">
        <f>YEAR(Table6[[#This Row],[Date]])</f>
        <v>2025</v>
      </c>
      <c r="D403" s="105" t="s">
        <v>490</v>
      </c>
      <c r="E403" s="119">
        <f>Table6[[#This Row],[Date]]-DAY(Table6[[#This Row],[Date]])+1</f>
        <v>45748</v>
      </c>
      <c r="F403" s="118">
        <v>45774</v>
      </c>
      <c r="G403" s="105" t="s">
        <v>140</v>
      </c>
      <c r="H403" s="39" t="str">
        <f>_xlfn.XLOOKUP(Table6[[#This Row],[Affected WTG]],'Basic Data'!$A:$A,'Basic Data'!$B:$B)</f>
        <v>PWEGPL</v>
      </c>
      <c r="I403" s="39" t="str">
        <f>_xlfn.XLOOKUP(Table6[[#This Row],[Affected WTG]],'Basic Data'!$A:$A,'Basic Data'!$C:$C)</f>
        <v>MSEDCL</v>
      </c>
      <c r="J403" s="345">
        <f>IFERROR(VLOOKUP(Table6[[#This Row],[Affected WTG]],'Basic Data'!$A$3:$E$56,5,0),"")</f>
        <v>2.564102564102564E-2</v>
      </c>
      <c r="K403" s="105" t="s">
        <v>476</v>
      </c>
      <c r="L403" s="39" t="str">
        <f>IFERROR(VLOOKUP(Table6[[#This Row],[Error Code]],'Basic Data'!$T:$U,2,0),"")</f>
        <v>Manual Stop - Preventive Maintenance Activity</v>
      </c>
      <c r="M403" s="346" t="s">
        <v>474</v>
      </c>
      <c r="N403" s="39" t="s">
        <v>230</v>
      </c>
      <c r="O403" s="347">
        <v>0.46944444444444444</v>
      </c>
      <c r="P403" s="347">
        <v>0.46944444444444444</v>
      </c>
      <c r="Q403" s="347">
        <v>0.74305555555555558</v>
      </c>
      <c r="R403" s="348">
        <f>IF(Table6[[#This Row],[Work Start TimeStamp]]="","",(Table6[[#This Row],[Work Start TimeStamp]]-Table6[[#This Row],[Fault Start TimeStamp]])*24)</f>
        <v>0</v>
      </c>
      <c r="S403" s="349">
        <f>(Table6[[#This Row],[Fault Clearance time]]-Table6[[#This Row],[Work Start TimeStamp]])*24</f>
        <v>6.5666666666666673</v>
      </c>
      <c r="T403" s="350">
        <f>(Table6[[#This Row],[Fault Clearance time]]-Table6[[#This Row],[Fault Start TimeStamp]])*24</f>
        <v>6.5666666666666673</v>
      </c>
      <c r="U403" s="346" t="s">
        <v>567</v>
      </c>
      <c r="V403" s="351" t="s">
        <v>463</v>
      </c>
      <c r="W403" s="338">
        <f>Table6[[#This Row],[Breakdown Time]]*(1/39)</f>
        <v>0.16837606837606839</v>
      </c>
      <c r="X403" s="336" t="s">
        <v>467</v>
      </c>
      <c r="Y403" s="352" t="s">
        <v>138</v>
      </c>
      <c r="Z403" s="105">
        <v>4854</v>
      </c>
      <c r="AA403" s="107">
        <v>1328.1083333333336</v>
      </c>
      <c r="AB403" s="105" t="s">
        <v>478</v>
      </c>
    </row>
    <row r="404" spans="1:28">
      <c r="A404" s="105">
        <f t="shared" si="6"/>
        <v>403</v>
      </c>
      <c r="B404" s="107">
        <f>YEAR(Table6[[#This Row],[Date]])+IF(MONTH(Table6[[#This Row],[Date]])&gt;=4,1,0)</f>
        <v>2026</v>
      </c>
      <c r="C404" s="105">
        <f>YEAR(Table6[[#This Row],[Date]])</f>
        <v>2025</v>
      </c>
      <c r="D404" s="105" t="s">
        <v>490</v>
      </c>
      <c r="E404" s="119">
        <f>Table6[[#This Row],[Date]]-DAY(Table6[[#This Row],[Date]])+1</f>
        <v>45748</v>
      </c>
      <c r="F404" s="118">
        <v>45774</v>
      </c>
      <c r="G404" s="105" t="s">
        <v>149</v>
      </c>
      <c r="H404" s="39" t="str">
        <f>_xlfn.XLOOKUP(Table6[[#This Row],[Affected WTG]],'Basic Data'!$A:$A,'Basic Data'!$B:$B)</f>
        <v>PWEGPL</v>
      </c>
      <c r="I404" s="39" t="str">
        <f>_xlfn.XLOOKUP(Table6[[#This Row],[Affected WTG]],'Basic Data'!$A:$A,'Basic Data'!$C:$C)</f>
        <v>MSEDCL</v>
      </c>
      <c r="J404" s="345">
        <f>IFERROR(VLOOKUP(Table6[[#This Row],[Affected WTG]],'Basic Data'!$A$3:$E$56,5,0),"")</f>
        <v>2.564102564102564E-2</v>
      </c>
      <c r="K404" s="105">
        <v>5210</v>
      </c>
      <c r="L404" s="39" t="str">
        <f>IFERROR(VLOOKUP(Table6[[#This Row],[Error Code]],'Basic Data'!$T:$U,2,0),"")</f>
        <v>Failure Of The Contactor's Rotor Power</v>
      </c>
      <c r="M404" s="346" t="s">
        <v>462</v>
      </c>
      <c r="N404" s="39" t="s">
        <v>1270</v>
      </c>
      <c r="O404" s="347">
        <v>0.2986111111111111</v>
      </c>
      <c r="P404" s="347">
        <v>0.33750000000000002</v>
      </c>
      <c r="Q404" s="347">
        <v>0.33888888888888891</v>
      </c>
      <c r="R404" s="348">
        <f>IF(Table6[[#This Row],[Work Start TimeStamp]]="","",(Table6[[#This Row],[Work Start TimeStamp]]-Table6[[#This Row],[Fault Start TimeStamp]])*24)</f>
        <v>0.93333333333333401</v>
      </c>
      <c r="S404" s="349">
        <f>(Table6[[#This Row],[Fault Clearance time]]-Table6[[#This Row],[Work Start TimeStamp]])*24</f>
        <v>3.3333333333333215E-2</v>
      </c>
      <c r="T404" s="350">
        <f>(Table6[[#This Row],[Fault Clearance time]]-Table6[[#This Row],[Fault Start TimeStamp]])*24</f>
        <v>0.96666666666666723</v>
      </c>
      <c r="U404" s="346" t="s">
        <v>493</v>
      </c>
      <c r="V404" s="351" t="s">
        <v>463</v>
      </c>
      <c r="W404" s="338">
        <f>Table6[[#This Row],[Breakdown Time]]*(1/39)</f>
        <v>2.4786324786324799E-2</v>
      </c>
      <c r="X404" s="336" t="s">
        <v>465</v>
      </c>
      <c r="Y404" s="352" t="s">
        <v>148</v>
      </c>
      <c r="Z404" s="105">
        <v>4556</v>
      </c>
      <c r="AA404" s="107">
        <v>183.50555555555567</v>
      </c>
      <c r="AB404" s="105" t="s">
        <v>478</v>
      </c>
    </row>
    <row r="405" spans="1:28">
      <c r="A405" s="105">
        <f t="shared" si="6"/>
        <v>404</v>
      </c>
      <c r="B405" s="107">
        <f>YEAR(Table6[[#This Row],[Date]])+IF(MONTH(Table6[[#This Row],[Date]])&gt;=4,1,0)</f>
        <v>2026</v>
      </c>
      <c r="C405" s="105">
        <f>YEAR(Table6[[#This Row],[Date]])</f>
        <v>2025</v>
      </c>
      <c r="D405" s="105" t="s">
        <v>490</v>
      </c>
      <c r="E405" s="119">
        <f>Table6[[#This Row],[Date]]-DAY(Table6[[#This Row],[Date]])+1</f>
        <v>45748</v>
      </c>
      <c r="F405" s="118">
        <v>45774</v>
      </c>
      <c r="G405" s="105" t="s">
        <v>153</v>
      </c>
      <c r="H405" s="39" t="str">
        <f>_xlfn.XLOOKUP(Table6[[#This Row],[Affected WTG]],'Basic Data'!$A:$A,'Basic Data'!$B:$B)</f>
        <v>PWEGPL</v>
      </c>
      <c r="I405" s="39" t="str">
        <f>_xlfn.XLOOKUP(Table6[[#This Row],[Affected WTG]],'Basic Data'!$A:$A,'Basic Data'!$C:$C)</f>
        <v>MSEDCL</v>
      </c>
      <c r="J405" s="345">
        <f>IFERROR(VLOOKUP(Table6[[#This Row],[Affected WTG]],'Basic Data'!$A$3:$E$56,5,0),"")</f>
        <v>2.564102564102564E-2</v>
      </c>
      <c r="K405" s="105" t="s">
        <v>492</v>
      </c>
      <c r="L405" s="39" t="str">
        <f>IFERROR(VLOOKUP(Table6[[#This Row],[Error Code]],'Basic Data'!$T:$U,2,0),"")</f>
        <v>Manual Stop - Safety Related</v>
      </c>
      <c r="M405" s="346" t="s">
        <v>481</v>
      </c>
      <c r="N405" s="39" t="s">
        <v>230</v>
      </c>
      <c r="O405" s="347">
        <v>0.4597222222222222</v>
      </c>
      <c r="P405" s="347">
        <v>0.4597222222222222</v>
      </c>
      <c r="Q405" s="347">
        <v>0.59722222222222221</v>
      </c>
      <c r="R405" s="348">
        <f>IF(Table6[[#This Row],[Work Start TimeStamp]]="","",(Table6[[#This Row],[Work Start TimeStamp]]-Table6[[#This Row],[Fault Start TimeStamp]])*24)</f>
        <v>0</v>
      </c>
      <c r="S405" s="349">
        <f>(Table6[[#This Row],[Fault Clearance time]]-Table6[[#This Row],[Work Start TimeStamp]])*24</f>
        <v>3.3000000000000003</v>
      </c>
      <c r="T405" s="350">
        <f>(Table6[[#This Row],[Fault Clearance time]]-Table6[[#This Row],[Fault Start TimeStamp]])*24</f>
        <v>3.3000000000000003</v>
      </c>
      <c r="U405" s="346" t="s">
        <v>508</v>
      </c>
      <c r="V405" s="351" t="s">
        <v>463</v>
      </c>
      <c r="W405" s="338">
        <f>Table6[[#This Row],[Breakdown Time]]*(1/39)</f>
        <v>8.461538461538462E-2</v>
      </c>
      <c r="X405" s="336" t="s">
        <v>468</v>
      </c>
      <c r="Y405" s="352" t="s">
        <v>152</v>
      </c>
      <c r="Z405" s="105">
        <v>4567</v>
      </c>
      <c r="AA405" s="107">
        <v>627.96249999999998</v>
      </c>
      <c r="AB405" s="105" t="s">
        <v>478</v>
      </c>
    </row>
    <row r="406" spans="1:28">
      <c r="A406" s="105">
        <f t="shared" si="6"/>
        <v>405</v>
      </c>
      <c r="B406" s="107">
        <f>YEAR(Table6[[#This Row],[Date]])+IF(MONTH(Table6[[#This Row],[Date]])&gt;=4,1,0)</f>
        <v>2026</v>
      </c>
      <c r="C406" s="105">
        <f>YEAR(Table6[[#This Row],[Date]])</f>
        <v>2025</v>
      </c>
      <c r="D406" s="105" t="s">
        <v>490</v>
      </c>
      <c r="E406" s="119">
        <f>Table6[[#This Row],[Date]]-DAY(Table6[[#This Row],[Date]])+1</f>
        <v>45748</v>
      </c>
      <c r="F406" s="118">
        <v>45774</v>
      </c>
      <c r="G406" s="105" t="s">
        <v>136</v>
      </c>
      <c r="H406" s="39" t="str">
        <f>_xlfn.XLOOKUP(Table6[[#This Row],[Affected WTG]],'Basic Data'!$A:$A,'Basic Data'!$B:$B)</f>
        <v>PWEGPL</v>
      </c>
      <c r="I406" s="39" t="str">
        <f>_xlfn.XLOOKUP(Table6[[#This Row],[Affected WTG]],'Basic Data'!$A:$A,'Basic Data'!$C:$C)</f>
        <v>MSEDCL</v>
      </c>
      <c r="J406" s="345">
        <f>IFERROR(VLOOKUP(Table6[[#This Row],[Affected WTG]],'Basic Data'!$A$3:$E$56,5,0),"")</f>
        <v>2.564102564102564E-2</v>
      </c>
      <c r="K406" s="105">
        <v>800</v>
      </c>
      <c r="L406" s="39" t="str">
        <f>IFERROR(VLOOKUP(Table6[[#This Row],[Error Code]],'Basic Data'!$T:$U,2,0),"")</f>
        <v>Pitch Drive Error</v>
      </c>
      <c r="M406" s="346" t="s">
        <v>462</v>
      </c>
      <c r="N406" s="39" t="s">
        <v>1270</v>
      </c>
      <c r="O406" s="347">
        <v>0.71180555555555558</v>
      </c>
      <c r="P406" s="347">
        <v>0.78125</v>
      </c>
      <c r="Q406" s="347">
        <v>0.78333333333333333</v>
      </c>
      <c r="R406" s="348">
        <f>IF(Table6[[#This Row],[Work Start TimeStamp]]="","",(Table6[[#This Row],[Work Start TimeStamp]]-Table6[[#This Row],[Fault Start TimeStamp]])*24)</f>
        <v>1.6666666666666661</v>
      </c>
      <c r="S406" s="349">
        <f>(Table6[[#This Row],[Fault Clearance time]]-Table6[[#This Row],[Work Start TimeStamp]])*24</f>
        <v>4.9999999999999822E-2</v>
      </c>
      <c r="T406" s="350">
        <f>(Table6[[#This Row],[Fault Clearance time]]-Table6[[#This Row],[Fault Start TimeStamp]])*24</f>
        <v>1.7166666666666659</v>
      </c>
      <c r="U406" s="346" t="s">
        <v>491</v>
      </c>
      <c r="V406" s="351" t="s">
        <v>463</v>
      </c>
      <c r="W406" s="338">
        <f>Table6[[#This Row],[Breakdown Time]]*(1/39)</f>
        <v>4.4017094017093993E-2</v>
      </c>
      <c r="X406" s="336" t="s">
        <v>465</v>
      </c>
      <c r="Y406" s="352" t="s">
        <v>135</v>
      </c>
      <c r="Z406" s="105">
        <v>4845</v>
      </c>
      <c r="AA406" s="107">
        <v>346.5520833333332</v>
      </c>
      <c r="AB406" s="105" t="s">
        <v>478</v>
      </c>
    </row>
    <row r="407" spans="1:28">
      <c r="A407" s="105">
        <f t="shared" si="6"/>
        <v>406</v>
      </c>
      <c r="B407" s="107">
        <f>YEAR(Table6[[#This Row],[Date]])+IF(MONTH(Table6[[#This Row],[Date]])&gt;=4,1,0)</f>
        <v>2026</v>
      </c>
      <c r="C407" s="105">
        <f>YEAR(Table6[[#This Row],[Date]])</f>
        <v>2025</v>
      </c>
      <c r="D407" s="105" t="s">
        <v>490</v>
      </c>
      <c r="E407" s="119">
        <f>Table6[[#This Row],[Date]]-DAY(Table6[[#This Row],[Date]])+1</f>
        <v>45748</v>
      </c>
      <c r="F407" s="118">
        <v>45775</v>
      </c>
      <c r="G407" s="105" t="s">
        <v>144</v>
      </c>
      <c r="H407" s="39" t="str">
        <f>_xlfn.XLOOKUP(Table6[[#This Row],[Affected WTG]],'Basic Data'!$A:$A,'Basic Data'!$B:$B)</f>
        <v>PWEGPL</v>
      </c>
      <c r="I407" s="39" t="str">
        <f>_xlfn.XLOOKUP(Table6[[#This Row],[Affected WTG]],'Basic Data'!$A:$A,'Basic Data'!$C:$C)</f>
        <v>MSEDCL</v>
      </c>
      <c r="J407" s="345">
        <f>IFERROR(VLOOKUP(Table6[[#This Row],[Affected WTG]],'Basic Data'!$A$3:$E$56,5,0),"")</f>
        <v>2.564102564102564E-2</v>
      </c>
      <c r="K407" s="105" t="s">
        <v>492</v>
      </c>
      <c r="L407" s="39" t="str">
        <f>IFERROR(VLOOKUP(Table6[[#This Row],[Error Code]],'Basic Data'!$T:$U,2,0),"")</f>
        <v>Manual Stop - Safety Related</v>
      </c>
      <c r="M407" s="346" t="s">
        <v>481</v>
      </c>
      <c r="N407" s="39" t="s">
        <v>1269</v>
      </c>
      <c r="O407" s="347">
        <v>0</v>
      </c>
      <c r="P407" s="347">
        <v>0.99930555555555556</v>
      </c>
      <c r="Q407" s="347">
        <v>0.99930555555555556</v>
      </c>
      <c r="R407" s="348">
        <f>IF(Table6[[#This Row],[Work Start TimeStamp]]="","",(Table6[[#This Row],[Work Start TimeStamp]]-Table6[[#This Row],[Fault Start TimeStamp]])*24)</f>
        <v>23.983333333333334</v>
      </c>
      <c r="S407" s="349">
        <f>(Table6[[#This Row],[Fault Clearance time]]-Table6[[#This Row],[Work Start TimeStamp]])*24</f>
        <v>0</v>
      </c>
      <c r="T407" s="350">
        <f>(Table6[[#This Row],[Fault Clearance time]]-Table6[[#This Row],[Fault Start TimeStamp]])*24</f>
        <v>23.983333333333334</v>
      </c>
      <c r="U407" s="346" t="s">
        <v>498</v>
      </c>
      <c r="V407" s="351" t="s">
        <v>473</v>
      </c>
      <c r="W407" s="338">
        <f>Table6[[#This Row],[Breakdown Time]]*(1/39)</f>
        <v>0.61495726495726499</v>
      </c>
      <c r="X407" s="336" t="s">
        <v>468</v>
      </c>
      <c r="Y407" s="352" t="s">
        <v>141</v>
      </c>
      <c r="Z407" s="105">
        <v>6654</v>
      </c>
      <c r="AA407" s="107">
        <v>6649.3791666666666</v>
      </c>
      <c r="AB407" s="105" t="s">
        <v>478</v>
      </c>
    </row>
    <row r="408" spans="1:28">
      <c r="A408" s="105">
        <f t="shared" si="6"/>
        <v>407</v>
      </c>
      <c r="B408" s="107">
        <f>YEAR(Table6[[#This Row],[Date]])+IF(MONTH(Table6[[#This Row],[Date]])&gt;=4,1,0)</f>
        <v>2026</v>
      </c>
      <c r="C408" s="105">
        <f>YEAR(Table6[[#This Row],[Date]])</f>
        <v>2025</v>
      </c>
      <c r="D408" s="105" t="s">
        <v>490</v>
      </c>
      <c r="E408" s="119">
        <f>Table6[[#This Row],[Date]]-DAY(Table6[[#This Row],[Date]])+1</f>
        <v>45748</v>
      </c>
      <c r="F408" s="118">
        <v>45775</v>
      </c>
      <c r="G408" s="105" t="s">
        <v>142</v>
      </c>
      <c r="H408" s="39" t="str">
        <f>_xlfn.XLOOKUP(Table6[[#This Row],[Affected WTG]],'Basic Data'!$A:$A,'Basic Data'!$B:$B)</f>
        <v>PWEGPL</v>
      </c>
      <c r="I408" s="39" t="str">
        <f>_xlfn.XLOOKUP(Table6[[#This Row],[Affected WTG]],'Basic Data'!$A:$A,'Basic Data'!$C:$C)</f>
        <v>MSEDCL</v>
      </c>
      <c r="J408" s="345">
        <f>IFERROR(VLOOKUP(Table6[[#This Row],[Affected WTG]],'Basic Data'!$A$3:$E$56,5,0),"")</f>
        <v>2.564102564102564E-2</v>
      </c>
      <c r="K408" s="105" t="s">
        <v>492</v>
      </c>
      <c r="L408" s="39" t="str">
        <f>IFERROR(VLOOKUP(Table6[[#This Row],[Error Code]],'Basic Data'!$T:$U,2,0),"")</f>
        <v>Manual Stop - Safety Related</v>
      </c>
      <c r="M408" s="346" t="s">
        <v>481</v>
      </c>
      <c r="N408" s="39" t="s">
        <v>1269</v>
      </c>
      <c r="O408" s="347">
        <v>0</v>
      </c>
      <c r="P408" s="347">
        <v>0.99930555555555556</v>
      </c>
      <c r="Q408" s="347">
        <v>0.99930555555555556</v>
      </c>
      <c r="R408" s="348">
        <f>IF(Table6[[#This Row],[Work Start TimeStamp]]="","",(Table6[[#This Row],[Work Start TimeStamp]]-Table6[[#This Row],[Fault Start TimeStamp]])*24)</f>
        <v>23.983333333333334</v>
      </c>
      <c r="S408" s="349">
        <f>(Table6[[#This Row],[Fault Clearance time]]-Table6[[#This Row],[Work Start TimeStamp]])*24</f>
        <v>0</v>
      </c>
      <c r="T408" s="350">
        <f>(Table6[[#This Row],[Fault Clearance time]]-Table6[[#This Row],[Fault Start TimeStamp]])*24</f>
        <v>23.983333333333334</v>
      </c>
      <c r="U408" s="346" t="s">
        <v>498</v>
      </c>
      <c r="V408" s="351" t="s">
        <v>473</v>
      </c>
      <c r="W408" s="338">
        <f>Table6[[#This Row],[Breakdown Time]]*(1/39)</f>
        <v>0.61495726495726499</v>
      </c>
      <c r="X408" s="336" t="s">
        <v>468</v>
      </c>
      <c r="Y408" s="352" t="s">
        <v>141</v>
      </c>
      <c r="Z408" s="105">
        <v>6654</v>
      </c>
      <c r="AA408" s="107">
        <v>6649.3791666666666</v>
      </c>
      <c r="AB408" s="105" t="s">
        <v>478</v>
      </c>
    </row>
    <row r="409" spans="1:28">
      <c r="A409" s="105">
        <f t="shared" si="6"/>
        <v>408</v>
      </c>
      <c r="B409" s="107">
        <f>YEAR(Table6[[#This Row],[Date]])+IF(MONTH(Table6[[#This Row],[Date]])&gt;=4,1,0)</f>
        <v>2026</v>
      </c>
      <c r="C409" s="105">
        <f>YEAR(Table6[[#This Row],[Date]])</f>
        <v>2025</v>
      </c>
      <c r="D409" s="105" t="s">
        <v>490</v>
      </c>
      <c r="E409" s="119">
        <f>Table6[[#This Row],[Date]]-DAY(Table6[[#This Row],[Date]])+1</f>
        <v>45748</v>
      </c>
      <c r="F409" s="118">
        <v>45775</v>
      </c>
      <c r="G409" s="105" t="s">
        <v>118</v>
      </c>
      <c r="H409" s="39" t="str">
        <f>_xlfn.XLOOKUP(Table6[[#This Row],[Affected WTG]],'Basic Data'!$A:$A,'Basic Data'!$B:$B)</f>
        <v>PWEGPL</v>
      </c>
      <c r="I409" s="39" t="str">
        <f>_xlfn.XLOOKUP(Table6[[#This Row],[Affected WTG]],'Basic Data'!$A:$A,'Basic Data'!$C:$C)</f>
        <v>MSEDCL</v>
      </c>
      <c r="J409" s="345">
        <f>IFERROR(VLOOKUP(Table6[[#This Row],[Affected WTG]],'Basic Data'!$A$3:$E$56,5,0),"")</f>
        <v>2.564102564102564E-2</v>
      </c>
      <c r="K409" s="105" t="s">
        <v>492</v>
      </c>
      <c r="L409" s="39" t="str">
        <f>IFERROR(VLOOKUP(Table6[[#This Row],[Error Code]],'Basic Data'!$T:$U,2,0),"")</f>
        <v>Manual Stop - Safety Related</v>
      </c>
      <c r="M409" s="346" t="s">
        <v>481</v>
      </c>
      <c r="N409" s="39" t="s">
        <v>230</v>
      </c>
      <c r="O409" s="347">
        <v>0.4597222222222222</v>
      </c>
      <c r="P409" s="347">
        <v>0.4597222222222222</v>
      </c>
      <c r="Q409" s="347">
        <v>0.60069444444444442</v>
      </c>
      <c r="R409" s="348">
        <f>IF(Table6[[#This Row],[Work Start TimeStamp]]="","",(Table6[[#This Row],[Work Start TimeStamp]]-Table6[[#This Row],[Fault Start TimeStamp]])*24)</f>
        <v>0</v>
      </c>
      <c r="S409" s="349">
        <f>(Table6[[#This Row],[Fault Clearance time]]-Table6[[#This Row],[Work Start TimeStamp]])*24</f>
        <v>3.3833333333333333</v>
      </c>
      <c r="T409" s="350">
        <f>(Table6[[#This Row],[Fault Clearance time]]-Table6[[#This Row],[Fault Start TimeStamp]])*24</f>
        <v>3.3833333333333333</v>
      </c>
      <c r="U409" s="346" t="s">
        <v>508</v>
      </c>
      <c r="V409" s="351" t="s">
        <v>463</v>
      </c>
      <c r="W409" s="338">
        <f>Table6[[#This Row],[Breakdown Time]]*(1/39)</f>
        <v>8.6752136752136749E-2</v>
      </c>
      <c r="X409" s="336" t="s">
        <v>468</v>
      </c>
      <c r="Y409" s="352" t="s">
        <v>117</v>
      </c>
      <c r="Z409" s="105">
        <v>8051</v>
      </c>
      <c r="AA409" s="107">
        <v>1134.9673611111111</v>
      </c>
      <c r="AB409" s="105" t="s">
        <v>478</v>
      </c>
    </row>
    <row r="410" spans="1:28">
      <c r="A410" s="105">
        <f t="shared" si="6"/>
        <v>409</v>
      </c>
      <c r="B410" s="107">
        <f>YEAR(Table6[[#This Row],[Date]])+IF(MONTH(Table6[[#This Row],[Date]])&gt;=4,1,0)</f>
        <v>2026</v>
      </c>
      <c r="C410" s="105">
        <f>YEAR(Table6[[#This Row],[Date]])</f>
        <v>2025</v>
      </c>
      <c r="D410" s="105" t="s">
        <v>490</v>
      </c>
      <c r="E410" s="119">
        <f>Table6[[#This Row],[Date]]-DAY(Table6[[#This Row],[Date]])+1</f>
        <v>45748</v>
      </c>
      <c r="F410" s="118">
        <v>45775</v>
      </c>
      <c r="G410" s="105" t="s">
        <v>134</v>
      </c>
      <c r="H410" s="39" t="str">
        <f>_xlfn.XLOOKUP(Table6[[#This Row],[Affected WTG]],'Basic Data'!$A:$A,'Basic Data'!$B:$B)</f>
        <v>PWEGPL</v>
      </c>
      <c r="I410" s="39" t="str">
        <f>_xlfn.XLOOKUP(Table6[[#This Row],[Affected WTG]],'Basic Data'!$A:$A,'Basic Data'!$C:$C)</f>
        <v>MSEDCL</v>
      </c>
      <c r="J410" s="345">
        <f>IFERROR(VLOOKUP(Table6[[#This Row],[Affected WTG]],'Basic Data'!$A$3:$E$56,5,0),"")</f>
        <v>2.564102564102564E-2</v>
      </c>
      <c r="K410" s="105">
        <v>205</v>
      </c>
      <c r="L410" s="39" t="str">
        <f>IFERROR(VLOOKUP(Table6[[#This Row],[Error Code]],'Basic Data'!$T:$U,2,0),"")</f>
        <v>Low Level Hydraulic Group Refrigeration Oil</v>
      </c>
      <c r="M410" s="346" t="s">
        <v>462</v>
      </c>
      <c r="N410" s="39" t="s">
        <v>1270</v>
      </c>
      <c r="O410" s="347">
        <v>0.50277777777777777</v>
      </c>
      <c r="P410" s="347">
        <v>0.52638888888888891</v>
      </c>
      <c r="Q410" s="347">
        <v>0.65208333333333335</v>
      </c>
      <c r="R410" s="348">
        <f>IF(Table6[[#This Row],[Work Start TimeStamp]]="","",(Table6[[#This Row],[Work Start TimeStamp]]-Table6[[#This Row],[Fault Start TimeStamp]])*24)</f>
        <v>0.56666666666666732</v>
      </c>
      <c r="S410" s="349">
        <f>(Table6[[#This Row],[Fault Clearance time]]-Table6[[#This Row],[Work Start TimeStamp]])*24</f>
        <v>3.0166666666666666</v>
      </c>
      <c r="T410" s="350">
        <f>(Table6[[#This Row],[Fault Clearance time]]-Table6[[#This Row],[Fault Start TimeStamp]])*24</f>
        <v>3.5833333333333339</v>
      </c>
      <c r="U410" s="346" t="s">
        <v>568</v>
      </c>
      <c r="V410" s="351" t="s">
        <v>463</v>
      </c>
      <c r="W410" s="338">
        <f>Table6[[#This Row],[Breakdown Time]]*(1/39)</f>
        <v>9.1880341880341887E-2</v>
      </c>
      <c r="X410" s="336" t="s">
        <v>465</v>
      </c>
      <c r="Y410" s="352" t="s">
        <v>133</v>
      </c>
      <c r="Z410" s="105">
        <v>7853</v>
      </c>
      <c r="AA410" s="107">
        <v>1172.4965277777778</v>
      </c>
      <c r="AB410" s="105" t="s">
        <v>478</v>
      </c>
    </row>
    <row r="411" spans="1:28">
      <c r="A411" s="105">
        <f t="shared" si="6"/>
        <v>410</v>
      </c>
      <c r="B411" s="107">
        <f>YEAR(Table6[[#This Row],[Date]])+IF(MONTH(Table6[[#This Row],[Date]])&gt;=4,1,0)</f>
        <v>2026</v>
      </c>
      <c r="C411" s="105">
        <f>YEAR(Table6[[#This Row],[Date]])</f>
        <v>2025</v>
      </c>
      <c r="D411" s="105" t="s">
        <v>490</v>
      </c>
      <c r="E411" s="119">
        <f>Table6[[#This Row],[Date]]-DAY(Table6[[#This Row],[Date]])+1</f>
        <v>45748</v>
      </c>
      <c r="F411" s="118">
        <v>45775</v>
      </c>
      <c r="G411" s="105" t="s">
        <v>143</v>
      </c>
      <c r="H411" s="39" t="str">
        <f>_xlfn.XLOOKUP(Table6[[#This Row],[Affected WTG]],'Basic Data'!$A:$A,'Basic Data'!$B:$B)</f>
        <v>PWEGPL</v>
      </c>
      <c r="I411" s="39" t="str">
        <f>_xlfn.XLOOKUP(Table6[[#This Row],[Affected WTG]],'Basic Data'!$A:$A,'Basic Data'!$C:$C)</f>
        <v>MSEDCL</v>
      </c>
      <c r="J411" s="345">
        <f>IFERROR(VLOOKUP(Table6[[#This Row],[Affected WTG]],'Basic Data'!$A$3:$E$56,5,0),"")</f>
        <v>2.564102564102564E-2</v>
      </c>
      <c r="K411" s="105" t="s">
        <v>476</v>
      </c>
      <c r="L411" s="39" t="str">
        <f>IFERROR(VLOOKUP(Table6[[#This Row],[Error Code]],'Basic Data'!$T:$U,2,0),"")</f>
        <v>Manual Stop - Preventive Maintenance Activity</v>
      </c>
      <c r="M411" s="346" t="s">
        <v>474</v>
      </c>
      <c r="N411" s="39" t="s">
        <v>230</v>
      </c>
      <c r="O411" s="347">
        <v>0.46875</v>
      </c>
      <c r="P411" s="347">
        <v>0.46875</v>
      </c>
      <c r="Q411" s="347">
        <v>0.71180555555555558</v>
      </c>
      <c r="R411" s="348">
        <f>IF(Table6[[#This Row],[Work Start TimeStamp]]="","",(Table6[[#This Row],[Work Start TimeStamp]]-Table6[[#This Row],[Fault Start TimeStamp]])*24)</f>
        <v>0</v>
      </c>
      <c r="S411" s="349">
        <f>(Table6[[#This Row],[Fault Clearance time]]-Table6[[#This Row],[Work Start TimeStamp]])*24</f>
        <v>5.8333333333333339</v>
      </c>
      <c r="T411" s="350">
        <f>(Table6[[#This Row],[Fault Clearance time]]-Table6[[#This Row],[Fault Start TimeStamp]])*24</f>
        <v>5.8333333333333339</v>
      </c>
      <c r="U411" s="346" t="s">
        <v>567</v>
      </c>
      <c r="V411" s="351" t="s">
        <v>463</v>
      </c>
      <c r="W411" s="338">
        <f>Table6[[#This Row],[Breakdown Time]]*(1/39)</f>
        <v>0.1495726495726496</v>
      </c>
      <c r="X411" s="336" t="s">
        <v>467</v>
      </c>
      <c r="Y411" s="352" t="s">
        <v>141</v>
      </c>
      <c r="Z411" s="105">
        <v>6654</v>
      </c>
      <c r="AA411" s="107">
        <v>1617.2916666666667</v>
      </c>
      <c r="AB411" s="105" t="s">
        <v>478</v>
      </c>
    </row>
    <row r="412" spans="1:28">
      <c r="A412" s="105">
        <f t="shared" si="6"/>
        <v>411</v>
      </c>
      <c r="B412" s="107">
        <f>YEAR(Table6[[#This Row],[Date]])+IF(MONTH(Table6[[#This Row],[Date]])&gt;=4,1,0)</f>
        <v>2026</v>
      </c>
      <c r="C412" s="105">
        <f>YEAR(Table6[[#This Row],[Date]])</f>
        <v>2025</v>
      </c>
      <c r="D412" s="105" t="s">
        <v>490</v>
      </c>
      <c r="E412" s="119">
        <f>Table6[[#This Row],[Date]]-DAY(Table6[[#This Row],[Date]])+1</f>
        <v>45748</v>
      </c>
      <c r="F412" s="118">
        <v>45775</v>
      </c>
      <c r="G412" s="105" t="s">
        <v>149</v>
      </c>
      <c r="H412" s="39" t="str">
        <f>_xlfn.XLOOKUP(Table6[[#This Row],[Affected WTG]],'Basic Data'!$A:$A,'Basic Data'!$B:$B)</f>
        <v>PWEGPL</v>
      </c>
      <c r="I412" s="39" t="str">
        <f>_xlfn.XLOOKUP(Table6[[#This Row],[Affected WTG]],'Basic Data'!$A:$A,'Basic Data'!$C:$C)</f>
        <v>MSEDCL</v>
      </c>
      <c r="J412" s="345">
        <f>IFERROR(VLOOKUP(Table6[[#This Row],[Affected WTG]],'Basic Data'!$A$3:$E$56,5,0),"")</f>
        <v>2.564102564102564E-2</v>
      </c>
      <c r="K412" s="105">
        <v>110</v>
      </c>
      <c r="L412" s="39" t="str">
        <f>IFERROR(VLOOKUP(Table6[[#This Row],[Error Code]],'Basic Data'!$T:$U,2,0),"")</f>
        <v>Yaw Sensor Wiring Error</v>
      </c>
      <c r="M412" s="346" t="s">
        <v>462</v>
      </c>
      <c r="N412" s="39" t="s">
        <v>1270</v>
      </c>
      <c r="O412" s="347">
        <v>0.62847222222222221</v>
      </c>
      <c r="P412" s="347">
        <v>0.65416666666666667</v>
      </c>
      <c r="Q412" s="347">
        <v>0.65486111111111112</v>
      </c>
      <c r="R412" s="348">
        <f>IF(Table6[[#This Row],[Work Start TimeStamp]]="","",(Table6[[#This Row],[Work Start TimeStamp]]-Table6[[#This Row],[Fault Start TimeStamp]])*24)</f>
        <v>0.61666666666666714</v>
      </c>
      <c r="S412" s="349">
        <f>(Table6[[#This Row],[Fault Clearance time]]-Table6[[#This Row],[Work Start TimeStamp]])*24</f>
        <v>1.6666666666666607E-2</v>
      </c>
      <c r="T412" s="350">
        <f>(Table6[[#This Row],[Fault Clearance time]]-Table6[[#This Row],[Fault Start TimeStamp]])*24</f>
        <v>0.63333333333333375</v>
      </c>
      <c r="U412" s="346" t="s">
        <v>493</v>
      </c>
      <c r="V412" s="351" t="s">
        <v>463</v>
      </c>
      <c r="W412" s="338">
        <f>Table6[[#This Row],[Breakdown Time]]*(1/39)</f>
        <v>1.6239316239316251E-2</v>
      </c>
      <c r="X412" s="336" t="s">
        <v>465</v>
      </c>
      <c r="Y412" s="352" t="s">
        <v>148</v>
      </c>
      <c r="Z412" s="105">
        <v>7062</v>
      </c>
      <c r="AA412" s="107">
        <v>186.35833333333346</v>
      </c>
      <c r="AB412" s="105" t="s">
        <v>478</v>
      </c>
    </row>
    <row r="413" spans="1:28">
      <c r="A413" s="105">
        <f t="shared" si="6"/>
        <v>412</v>
      </c>
      <c r="B413" s="107">
        <f>YEAR(Table6[[#This Row],[Date]])+IF(MONTH(Table6[[#This Row],[Date]])&gt;=4,1,0)</f>
        <v>2026</v>
      </c>
      <c r="C413" s="105">
        <f>YEAR(Table6[[#This Row],[Date]])</f>
        <v>2025</v>
      </c>
      <c r="D413" s="105" t="s">
        <v>490</v>
      </c>
      <c r="E413" s="119">
        <f>Table6[[#This Row],[Date]]-DAY(Table6[[#This Row],[Date]])+1</f>
        <v>45748</v>
      </c>
      <c r="F413" s="118">
        <v>45776</v>
      </c>
      <c r="G413" s="105" t="s">
        <v>144</v>
      </c>
      <c r="H413" s="39" t="str">
        <f>_xlfn.XLOOKUP(Table6[[#This Row],[Affected WTG]],'Basic Data'!$A:$A,'Basic Data'!$B:$B)</f>
        <v>PWEGPL</v>
      </c>
      <c r="I413" s="39" t="str">
        <f>_xlfn.XLOOKUP(Table6[[#This Row],[Affected WTG]],'Basic Data'!$A:$A,'Basic Data'!$C:$C)</f>
        <v>MSEDCL</v>
      </c>
      <c r="J413" s="345">
        <f>IFERROR(VLOOKUP(Table6[[#This Row],[Affected WTG]],'Basic Data'!$A$3:$E$56,5,0),"")</f>
        <v>2.564102564102564E-2</v>
      </c>
      <c r="K413" s="105" t="s">
        <v>492</v>
      </c>
      <c r="L413" s="39" t="str">
        <f>IFERROR(VLOOKUP(Table6[[#This Row],[Error Code]],'Basic Data'!$T:$U,2,0),"")</f>
        <v>Manual Stop - Safety Related</v>
      </c>
      <c r="M413" s="346" t="s">
        <v>481</v>
      </c>
      <c r="N413" s="39" t="s">
        <v>1269</v>
      </c>
      <c r="O413" s="347">
        <v>0</v>
      </c>
      <c r="P413" s="347">
        <v>0.99930555555555556</v>
      </c>
      <c r="Q413" s="347">
        <v>0.99930555555555556</v>
      </c>
      <c r="R413" s="348">
        <f>IF(Table6[[#This Row],[Work Start TimeStamp]]="","",(Table6[[#This Row],[Work Start TimeStamp]]-Table6[[#This Row],[Fault Start TimeStamp]])*24)</f>
        <v>23.983333333333334</v>
      </c>
      <c r="S413" s="349">
        <f>(Table6[[#This Row],[Fault Clearance time]]-Table6[[#This Row],[Work Start TimeStamp]])*24</f>
        <v>0</v>
      </c>
      <c r="T413" s="350">
        <f>(Table6[[#This Row],[Fault Clearance time]]-Table6[[#This Row],[Fault Start TimeStamp]])*24</f>
        <v>23.983333333333334</v>
      </c>
      <c r="U413" s="346" t="s">
        <v>498</v>
      </c>
      <c r="V413" s="351" t="s">
        <v>473</v>
      </c>
      <c r="W413" s="338">
        <f>Table6[[#This Row],[Breakdown Time]]*(1/39)</f>
        <v>0.61495726495726499</v>
      </c>
      <c r="X413" s="336" t="s">
        <v>468</v>
      </c>
      <c r="Y413" s="352" t="s">
        <v>141</v>
      </c>
      <c r="Z413" s="105">
        <v>5567</v>
      </c>
      <c r="AA413" s="107">
        <v>5563.1340277777781</v>
      </c>
      <c r="AB413" s="105" t="s">
        <v>478</v>
      </c>
    </row>
    <row r="414" spans="1:28">
      <c r="A414" s="105">
        <f t="shared" si="6"/>
        <v>413</v>
      </c>
      <c r="B414" s="107">
        <f>YEAR(Table6[[#This Row],[Date]])+IF(MONTH(Table6[[#This Row],[Date]])&gt;=4,1,0)</f>
        <v>2026</v>
      </c>
      <c r="C414" s="105">
        <f>YEAR(Table6[[#This Row],[Date]])</f>
        <v>2025</v>
      </c>
      <c r="D414" s="105" t="s">
        <v>490</v>
      </c>
      <c r="E414" s="119">
        <f>Table6[[#This Row],[Date]]-DAY(Table6[[#This Row],[Date]])+1</f>
        <v>45748</v>
      </c>
      <c r="F414" s="118">
        <v>45776</v>
      </c>
      <c r="G414" s="105" t="s">
        <v>142</v>
      </c>
      <c r="H414" s="39" t="str">
        <f>_xlfn.XLOOKUP(Table6[[#This Row],[Affected WTG]],'Basic Data'!$A:$A,'Basic Data'!$B:$B)</f>
        <v>PWEGPL</v>
      </c>
      <c r="I414" s="39" t="str">
        <f>_xlfn.XLOOKUP(Table6[[#This Row],[Affected WTG]],'Basic Data'!$A:$A,'Basic Data'!$C:$C)</f>
        <v>MSEDCL</v>
      </c>
      <c r="J414" s="345">
        <f>IFERROR(VLOOKUP(Table6[[#This Row],[Affected WTG]],'Basic Data'!$A$3:$E$56,5,0),"")</f>
        <v>2.564102564102564E-2</v>
      </c>
      <c r="K414" s="105" t="s">
        <v>492</v>
      </c>
      <c r="L414" s="39" t="str">
        <f>IFERROR(VLOOKUP(Table6[[#This Row],[Error Code]],'Basic Data'!$T:$U,2,0),"")</f>
        <v>Manual Stop - Safety Related</v>
      </c>
      <c r="M414" s="346" t="s">
        <v>481</v>
      </c>
      <c r="N414" s="39" t="s">
        <v>1269</v>
      </c>
      <c r="O414" s="347">
        <v>0</v>
      </c>
      <c r="P414" s="347">
        <v>0.99930555555555556</v>
      </c>
      <c r="Q414" s="347">
        <v>0.99930555555555556</v>
      </c>
      <c r="R414" s="348">
        <f>IF(Table6[[#This Row],[Work Start TimeStamp]]="","",(Table6[[#This Row],[Work Start TimeStamp]]-Table6[[#This Row],[Fault Start TimeStamp]])*24)</f>
        <v>23.983333333333334</v>
      </c>
      <c r="S414" s="349">
        <f>(Table6[[#This Row],[Fault Clearance time]]-Table6[[#This Row],[Work Start TimeStamp]])*24</f>
        <v>0</v>
      </c>
      <c r="T414" s="350">
        <f>(Table6[[#This Row],[Fault Clearance time]]-Table6[[#This Row],[Fault Start TimeStamp]])*24</f>
        <v>23.983333333333334</v>
      </c>
      <c r="U414" s="346" t="s">
        <v>498</v>
      </c>
      <c r="V414" s="351" t="s">
        <v>473</v>
      </c>
      <c r="W414" s="338">
        <f>Table6[[#This Row],[Breakdown Time]]*(1/39)</f>
        <v>0.61495726495726499</v>
      </c>
      <c r="X414" s="336" t="s">
        <v>468</v>
      </c>
      <c r="Y414" s="352" t="s">
        <v>141</v>
      </c>
      <c r="Z414" s="105">
        <v>5567</v>
      </c>
      <c r="AA414" s="107">
        <v>5563.1340277777781</v>
      </c>
      <c r="AB414" s="105" t="s">
        <v>478</v>
      </c>
    </row>
    <row r="415" spans="1:28">
      <c r="A415" s="105">
        <f t="shared" si="6"/>
        <v>414</v>
      </c>
      <c r="B415" s="107">
        <f>YEAR(Table6[[#This Row],[Date]])+IF(MONTH(Table6[[#This Row],[Date]])&gt;=4,1,0)</f>
        <v>2026</v>
      </c>
      <c r="C415" s="105">
        <f>YEAR(Table6[[#This Row],[Date]])</f>
        <v>2025</v>
      </c>
      <c r="D415" s="105" t="s">
        <v>490</v>
      </c>
      <c r="E415" s="119">
        <f>Table6[[#This Row],[Date]]-DAY(Table6[[#This Row],[Date]])+1</f>
        <v>45748</v>
      </c>
      <c r="F415" s="118">
        <v>45776</v>
      </c>
      <c r="G415" s="105" t="s">
        <v>121</v>
      </c>
      <c r="H415" s="39" t="str">
        <f>_xlfn.XLOOKUP(Table6[[#This Row],[Affected WTG]],'Basic Data'!$A:$A,'Basic Data'!$B:$B)</f>
        <v>PWEGPL</v>
      </c>
      <c r="I415" s="39" t="str">
        <f>_xlfn.XLOOKUP(Table6[[#This Row],[Affected WTG]],'Basic Data'!$A:$A,'Basic Data'!$C:$C)</f>
        <v>MSEDCL</v>
      </c>
      <c r="J415" s="345">
        <f>IFERROR(VLOOKUP(Table6[[#This Row],[Affected WTG]],'Basic Data'!$A$3:$E$56,5,0),"")</f>
        <v>2.564102564102564E-2</v>
      </c>
      <c r="K415" s="105">
        <v>410</v>
      </c>
      <c r="L415" s="39" t="str">
        <f>IFERROR(VLOOKUP(Table6[[#This Row],[Error Code]],'Basic Data'!$T:$U,2,0),"")</f>
        <v>OGS</v>
      </c>
      <c r="M415" s="346" t="s">
        <v>462</v>
      </c>
      <c r="N415" s="39" t="s">
        <v>1270</v>
      </c>
      <c r="O415" s="347">
        <v>0.63888888888888884</v>
      </c>
      <c r="P415" s="347">
        <v>0.67152777777777772</v>
      </c>
      <c r="Q415" s="347">
        <v>0.6875</v>
      </c>
      <c r="R415" s="348">
        <f>IF(Table6[[#This Row],[Work Start TimeStamp]]="","",(Table6[[#This Row],[Work Start TimeStamp]]-Table6[[#This Row],[Fault Start TimeStamp]])*24)</f>
        <v>0.78333333333333321</v>
      </c>
      <c r="S415" s="349">
        <f>(Table6[[#This Row],[Fault Clearance time]]-Table6[[#This Row],[Work Start TimeStamp]])*24</f>
        <v>0.38333333333333464</v>
      </c>
      <c r="T415" s="350">
        <f>(Table6[[#This Row],[Fault Clearance time]]-Table6[[#This Row],[Fault Start TimeStamp]])*24</f>
        <v>1.1666666666666679</v>
      </c>
      <c r="U415" s="346" t="s">
        <v>569</v>
      </c>
      <c r="V415" s="351" t="s">
        <v>463</v>
      </c>
      <c r="W415" s="338">
        <f>Table6[[#This Row],[Breakdown Time]]*(1/39)</f>
        <v>2.9914529914529944E-2</v>
      </c>
      <c r="X415" s="336" t="s">
        <v>465</v>
      </c>
      <c r="Y415" s="352" t="s">
        <v>115</v>
      </c>
      <c r="Z415" s="105">
        <v>6459</v>
      </c>
      <c r="AA415" s="107">
        <v>313.97916666666697</v>
      </c>
      <c r="AB415" s="105" t="s">
        <v>478</v>
      </c>
    </row>
    <row r="416" spans="1:28">
      <c r="A416" s="105">
        <f t="shared" si="6"/>
        <v>415</v>
      </c>
      <c r="B416" s="107">
        <f>YEAR(Table6[[#This Row],[Date]])+IF(MONTH(Table6[[#This Row],[Date]])&gt;=4,1,0)</f>
        <v>2026</v>
      </c>
      <c r="C416" s="105">
        <f>YEAR(Table6[[#This Row],[Date]])</f>
        <v>2025</v>
      </c>
      <c r="D416" s="105" t="s">
        <v>490</v>
      </c>
      <c r="E416" s="119">
        <f>Table6[[#This Row],[Date]]-DAY(Table6[[#This Row],[Date]])+1</f>
        <v>45748</v>
      </c>
      <c r="F416" s="118">
        <v>45776</v>
      </c>
      <c r="G416" s="105" t="s">
        <v>136</v>
      </c>
      <c r="H416" s="39" t="str">
        <f>_xlfn.XLOOKUP(Table6[[#This Row],[Affected WTG]],'Basic Data'!$A:$A,'Basic Data'!$B:$B)</f>
        <v>PWEGPL</v>
      </c>
      <c r="I416" s="39" t="str">
        <f>_xlfn.XLOOKUP(Table6[[#This Row],[Affected WTG]],'Basic Data'!$A:$A,'Basic Data'!$C:$C)</f>
        <v>MSEDCL</v>
      </c>
      <c r="J416" s="345">
        <f>IFERROR(VLOOKUP(Table6[[#This Row],[Affected WTG]],'Basic Data'!$A$3:$E$56,5,0),"")</f>
        <v>2.564102564102564E-2</v>
      </c>
      <c r="K416" s="105">
        <v>205</v>
      </c>
      <c r="L416" s="39" t="str">
        <f>IFERROR(VLOOKUP(Table6[[#This Row],[Error Code]],'Basic Data'!$T:$U,2,0),"")</f>
        <v>Low Level Hydraulic Group Refrigeration Oil</v>
      </c>
      <c r="M416" s="346" t="s">
        <v>462</v>
      </c>
      <c r="N416" s="39" t="s">
        <v>1270</v>
      </c>
      <c r="O416" s="347">
        <v>0.38194444444444442</v>
      </c>
      <c r="P416" s="347">
        <v>0.42499999999999999</v>
      </c>
      <c r="Q416" s="347">
        <v>0.71458333333333335</v>
      </c>
      <c r="R416" s="348">
        <f>IF(Table6[[#This Row],[Work Start TimeStamp]]="","",(Table6[[#This Row],[Work Start TimeStamp]]-Table6[[#This Row],[Fault Start TimeStamp]])*24)</f>
        <v>1.0333333333333337</v>
      </c>
      <c r="S416" s="349">
        <f>(Table6[[#This Row],[Fault Clearance time]]-Table6[[#This Row],[Work Start TimeStamp]])*24</f>
        <v>6.9500000000000011</v>
      </c>
      <c r="T416" s="350">
        <f>(Table6[[#This Row],[Fault Clearance time]]-Table6[[#This Row],[Fault Start TimeStamp]])*24</f>
        <v>7.9833333333333343</v>
      </c>
      <c r="U416" s="346" t="s">
        <v>570</v>
      </c>
      <c r="V416" s="351" t="s">
        <v>463</v>
      </c>
      <c r="W416" s="338">
        <f>Table6[[#This Row],[Breakdown Time]]*(1/39)</f>
        <v>0.20470085470085472</v>
      </c>
      <c r="X416" s="336" t="s">
        <v>465</v>
      </c>
      <c r="Y416" s="352" t="s">
        <v>119</v>
      </c>
      <c r="Z416" s="105">
        <v>6742</v>
      </c>
      <c r="AA416" s="107">
        <v>2242.6513888888894</v>
      </c>
      <c r="AB416" s="105" t="s">
        <v>478</v>
      </c>
    </row>
    <row r="417" spans="1:28">
      <c r="A417" s="105">
        <f t="shared" si="6"/>
        <v>416</v>
      </c>
      <c r="B417" s="107">
        <f>YEAR(Table6[[#This Row],[Date]])+IF(MONTH(Table6[[#This Row],[Date]])&gt;=4,1,0)</f>
        <v>2026</v>
      </c>
      <c r="C417" s="105">
        <f>YEAR(Table6[[#This Row],[Date]])</f>
        <v>2025</v>
      </c>
      <c r="D417" s="105" t="s">
        <v>490</v>
      </c>
      <c r="E417" s="119">
        <f>Table6[[#This Row],[Date]]-DAY(Table6[[#This Row],[Date]])+1</f>
        <v>45748</v>
      </c>
      <c r="F417" s="118">
        <v>45776</v>
      </c>
      <c r="G417" s="105" t="s">
        <v>141</v>
      </c>
      <c r="H417" s="39" t="str">
        <f>_xlfn.XLOOKUP(Table6[[#This Row],[Affected WTG]],'Basic Data'!$A:$A,'Basic Data'!$B:$B)</f>
        <v>PWEGPL</v>
      </c>
      <c r="I417" s="39" t="str">
        <f>_xlfn.XLOOKUP(Table6[[#This Row],[Affected WTG]],'Basic Data'!$A:$A,'Basic Data'!$C:$C)</f>
        <v>MSEDCL</v>
      </c>
      <c r="J417" s="345">
        <f>IFERROR(VLOOKUP(Table6[[#This Row],[Affected WTG]],'Basic Data'!$A$3:$E$56,5,0),"")</f>
        <v>2.564102564102564E-2</v>
      </c>
      <c r="K417" s="105" t="s">
        <v>476</v>
      </c>
      <c r="L417" s="39" t="str">
        <f>IFERROR(VLOOKUP(Table6[[#This Row],[Error Code]],'Basic Data'!$T:$U,2,0),"")</f>
        <v>Manual Stop - Preventive Maintenance Activity</v>
      </c>
      <c r="M417" s="346" t="s">
        <v>474</v>
      </c>
      <c r="N417" s="39" t="s">
        <v>230</v>
      </c>
      <c r="O417" s="347">
        <v>0.34166666666666667</v>
      </c>
      <c r="P417" s="347">
        <v>0.34166666666666667</v>
      </c>
      <c r="Q417" s="347">
        <v>0.61458333333333337</v>
      </c>
      <c r="R417" s="348">
        <f>IF(Table6[[#This Row],[Work Start TimeStamp]]="","",(Table6[[#This Row],[Work Start TimeStamp]]-Table6[[#This Row],[Fault Start TimeStamp]])*24)</f>
        <v>0</v>
      </c>
      <c r="S417" s="349">
        <f>(Table6[[#This Row],[Fault Clearance time]]-Table6[[#This Row],[Work Start TimeStamp]])*24</f>
        <v>6.5500000000000007</v>
      </c>
      <c r="T417" s="350">
        <f>(Table6[[#This Row],[Fault Clearance time]]-Table6[[#This Row],[Fault Start TimeStamp]])*24</f>
        <v>6.5500000000000007</v>
      </c>
      <c r="U417" s="346" t="s">
        <v>567</v>
      </c>
      <c r="V417" s="351" t="s">
        <v>463</v>
      </c>
      <c r="W417" s="338">
        <f>Table6[[#This Row],[Breakdown Time]]*(1/39)</f>
        <v>0.16794871794871796</v>
      </c>
      <c r="X417" s="336" t="s">
        <v>467</v>
      </c>
      <c r="Y417" s="352" t="s">
        <v>143</v>
      </c>
      <c r="Z417" s="105">
        <v>6792</v>
      </c>
      <c r="AA417" s="107">
        <v>1853.65</v>
      </c>
      <c r="AB417" s="105" t="s">
        <v>478</v>
      </c>
    </row>
    <row r="418" spans="1:28">
      <c r="A418" s="105">
        <f t="shared" si="6"/>
        <v>417</v>
      </c>
      <c r="B418" s="107">
        <f>YEAR(Table6[[#This Row],[Date]])+IF(MONTH(Table6[[#This Row],[Date]])&gt;=4,1,0)</f>
        <v>2026</v>
      </c>
      <c r="C418" s="105">
        <f>YEAR(Table6[[#This Row],[Date]])</f>
        <v>2025</v>
      </c>
      <c r="D418" s="105" t="s">
        <v>490</v>
      </c>
      <c r="E418" s="119">
        <f>Table6[[#This Row],[Date]]-DAY(Table6[[#This Row],[Date]])+1</f>
        <v>45748</v>
      </c>
      <c r="F418" s="118">
        <v>45777</v>
      </c>
      <c r="G418" s="105" t="s">
        <v>144</v>
      </c>
      <c r="H418" s="39" t="str">
        <f>_xlfn.XLOOKUP(Table6[[#This Row],[Affected WTG]],'Basic Data'!$A:$A,'Basic Data'!$B:$B)</f>
        <v>PWEGPL</v>
      </c>
      <c r="I418" s="39" t="str">
        <f>_xlfn.XLOOKUP(Table6[[#This Row],[Affected WTG]],'Basic Data'!$A:$A,'Basic Data'!$C:$C)</f>
        <v>MSEDCL</v>
      </c>
      <c r="J418" s="345">
        <f>IFERROR(VLOOKUP(Table6[[#This Row],[Affected WTG]],'Basic Data'!$A$3:$E$56,5,0),"")</f>
        <v>2.564102564102564E-2</v>
      </c>
      <c r="K418" s="105" t="s">
        <v>492</v>
      </c>
      <c r="L418" s="39" t="str">
        <f>IFERROR(VLOOKUP(Table6[[#This Row],[Error Code]],'Basic Data'!$T:$U,2,0),"")</f>
        <v>Manual Stop - Safety Related</v>
      </c>
      <c r="M418" s="346" t="s">
        <v>481</v>
      </c>
      <c r="N418" s="39" t="s">
        <v>1269</v>
      </c>
      <c r="O418" s="347">
        <v>0</v>
      </c>
      <c r="P418" s="347">
        <v>0.99930555555555556</v>
      </c>
      <c r="Q418" s="347">
        <v>0.99930555555555556</v>
      </c>
      <c r="R418" s="348">
        <f>IF(Table6[[#This Row],[Work Start TimeStamp]]="","",(Table6[[#This Row],[Work Start TimeStamp]]-Table6[[#This Row],[Fault Start TimeStamp]])*24)</f>
        <v>23.983333333333334</v>
      </c>
      <c r="S418" s="349">
        <f>(Table6[[#This Row],[Fault Clearance time]]-Table6[[#This Row],[Work Start TimeStamp]])*24</f>
        <v>0</v>
      </c>
      <c r="T418" s="350">
        <f>(Table6[[#This Row],[Fault Clearance time]]-Table6[[#This Row],[Fault Start TimeStamp]])*24</f>
        <v>23.983333333333334</v>
      </c>
      <c r="U418" s="346" t="s">
        <v>498</v>
      </c>
      <c r="V418" s="351" t="s">
        <v>473</v>
      </c>
      <c r="W418" s="338">
        <f>Table6[[#This Row],[Breakdown Time]]*(1/39)</f>
        <v>0.61495726495726499</v>
      </c>
      <c r="X418" s="336" t="s">
        <v>468</v>
      </c>
      <c r="Y418" s="352" t="s">
        <v>141</v>
      </c>
      <c r="Z418" s="105">
        <v>12782</v>
      </c>
      <c r="AA418" s="107">
        <v>12773.123611111112</v>
      </c>
      <c r="AB418" s="105" t="s">
        <v>478</v>
      </c>
    </row>
    <row r="419" spans="1:28">
      <c r="A419" s="105">
        <f t="shared" si="6"/>
        <v>418</v>
      </c>
      <c r="B419" s="107">
        <f>YEAR(Table6[[#This Row],[Date]])+IF(MONTH(Table6[[#This Row],[Date]])&gt;=4,1,0)</f>
        <v>2026</v>
      </c>
      <c r="C419" s="105">
        <f>YEAR(Table6[[#This Row],[Date]])</f>
        <v>2025</v>
      </c>
      <c r="D419" s="105" t="s">
        <v>490</v>
      </c>
      <c r="E419" s="119">
        <f>Table6[[#This Row],[Date]]-DAY(Table6[[#This Row],[Date]])+1</f>
        <v>45748</v>
      </c>
      <c r="F419" s="118">
        <v>45777</v>
      </c>
      <c r="G419" s="105" t="s">
        <v>142</v>
      </c>
      <c r="H419" s="39" t="str">
        <f>_xlfn.XLOOKUP(Table6[[#This Row],[Affected WTG]],'Basic Data'!$A:$A,'Basic Data'!$B:$B)</f>
        <v>PWEGPL</v>
      </c>
      <c r="I419" s="39" t="str">
        <f>_xlfn.XLOOKUP(Table6[[#This Row],[Affected WTG]],'Basic Data'!$A:$A,'Basic Data'!$C:$C)</f>
        <v>MSEDCL</v>
      </c>
      <c r="J419" s="345">
        <f>IFERROR(VLOOKUP(Table6[[#This Row],[Affected WTG]],'Basic Data'!$A$3:$E$56,5,0),"")</f>
        <v>2.564102564102564E-2</v>
      </c>
      <c r="K419" s="105" t="s">
        <v>492</v>
      </c>
      <c r="L419" s="39" t="str">
        <f>IFERROR(VLOOKUP(Table6[[#This Row],[Error Code]],'Basic Data'!$T:$U,2,0),"")</f>
        <v>Manual Stop - Safety Related</v>
      </c>
      <c r="M419" s="346" t="s">
        <v>481</v>
      </c>
      <c r="N419" s="39" t="s">
        <v>1269</v>
      </c>
      <c r="O419" s="347">
        <v>0</v>
      </c>
      <c r="P419" s="347">
        <v>0.99930555555555556</v>
      </c>
      <c r="Q419" s="347">
        <v>0.99930555555555556</v>
      </c>
      <c r="R419" s="348">
        <f>IF(Table6[[#This Row],[Work Start TimeStamp]]="","",(Table6[[#This Row],[Work Start TimeStamp]]-Table6[[#This Row],[Fault Start TimeStamp]])*24)</f>
        <v>23.983333333333334</v>
      </c>
      <c r="S419" s="349">
        <f>(Table6[[#This Row],[Fault Clearance time]]-Table6[[#This Row],[Work Start TimeStamp]])*24</f>
        <v>0</v>
      </c>
      <c r="T419" s="350">
        <f>(Table6[[#This Row],[Fault Clearance time]]-Table6[[#This Row],[Fault Start TimeStamp]])*24</f>
        <v>23.983333333333334</v>
      </c>
      <c r="U419" s="346" t="s">
        <v>498</v>
      </c>
      <c r="V419" s="351" t="s">
        <v>473</v>
      </c>
      <c r="W419" s="338">
        <f>Table6[[#This Row],[Breakdown Time]]*(1/39)</f>
        <v>0.61495726495726499</v>
      </c>
      <c r="X419" s="336" t="s">
        <v>468</v>
      </c>
      <c r="Y419" s="352" t="s">
        <v>141</v>
      </c>
      <c r="Z419" s="105">
        <v>12782</v>
      </c>
      <c r="AA419" s="107">
        <v>12773.123611111112</v>
      </c>
      <c r="AB419" s="105" t="s">
        <v>478</v>
      </c>
    </row>
    <row r="420" spans="1:28">
      <c r="A420" s="105">
        <f t="shared" si="6"/>
        <v>419</v>
      </c>
      <c r="B420" s="107">
        <f>YEAR(Table6[[#This Row],[Date]])+IF(MONTH(Table6[[#This Row],[Date]])&gt;=4,1,0)</f>
        <v>2026</v>
      </c>
      <c r="C420" s="105">
        <f>YEAR(Table6[[#This Row],[Date]])</f>
        <v>2025</v>
      </c>
      <c r="D420" s="105" t="s">
        <v>490</v>
      </c>
      <c r="E420" s="119">
        <f>Table6[[#This Row],[Date]]-DAY(Table6[[#This Row],[Date]])+1</f>
        <v>45748</v>
      </c>
      <c r="F420" s="118">
        <v>45777</v>
      </c>
      <c r="G420" s="105" t="s">
        <v>118</v>
      </c>
      <c r="H420" s="39" t="str">
        <f>_xlfn.XLOOKUP(Table6[[#This Row],[Affected WTG]],'Basic Data'!$A:$A,'Basic Data'!$B:$B)</f>
        <v>PWEGPL</v>
      </c>
      <c r="I420" s="39" t="str">
        <f>_xlfn.XLOOKUP(Table6[[#This Row],[Affected WTG]],'Basic Data'!$A:$A,'Basic Data'!$C:$C)</f>
        <v>MSEDCL</v>
      </c>
      <c r="J420" s="345">
        <f>IFERROR(VLOOKUP(Table6[[#This Row],[Affected WTG]],'Basic Data'!$A$3:$E$56,5,0),"")</f>
        <v>2.564102564102564E-2</v>
      </c>
      <c r="K420" s="105">
        <v>203</v>
      </c>
      <c r="L420" s="39" t="str">
        <f>IFERROR(VLOOKUP(Table6[[#This Row],[Error Code]],'Basic Data'!$T:$U,2,0),"")</f>
        <v>Low Pressure On Hydraulic Group</v>
      </c>
      <c r="M420" s="346" t="s">
        <v>462</v>
      </c>
      <c r="N420" s="39" t="s">
        <v>1270</v>
      </c>
      <c r="O420" s="347">
        <v>0.26458333333333334</v>
      </c>
      <c r="P420" s="347">
        <v>0.33402777777777776</v>
      </c>
      <c r="Q420" s="347">
        <v>0.64722222222222225</v>
      </c>
      <c r="R420" s="348">
        <f>IF(Table6[[#This Row],[Work Start TimeStamp]]="","",(Table6[[#This Row],[Work Start TimeStamp]]-Table6[[#This Row],[Fault Start TimeStamp]])*24)</f>
        <v>1.6666666666666661</v>
      </c>
      <c r="S420" s="349">
        <f>(Table6[[#This Row],[Fault Clearance time]]-Table6[[#This Row],[Work Start TimeStamp]])*24</f>
        <v>7.5166666666666675</v>
      </c>
      <c r="T420" s="350">
        <f>(Table6[[#This Row],[Fault Clearance time]]-Table6[[#This Row],[Fault Start TimeStamp]])*24</f>
        <v>9.1833333333333336</v>
      </c>
      <c r="U420" s="346" t="s">
        <v>571</v>
      </c>
      <c r="V420" s="351" t="s">
        <v>463</v>
      </c>
      <c r="W420" s="338">
        <f>Table6[[#This Row],[Breakdown Time]]*(1/39)</f>
        <v>0.23547008547008547</v>
      </c>
      <c r="X420" s="336" t="s">
        <v>465</v>
      </c>
      <c r="Y420" s="352" t="s">
        <v>117</v>
      </c>
      <c r="Z420" s="105">
        <v>16042</v>
      </c>
      <c r="AA420" s="107">
        <v>6138.2930555555549</v>
      </c>
      <c r="AB420" s="105" t="s">
        <v>478</v>
      </c>
    </row>
    <row r="421" spans="1:28">
      <c r="A421" s="105">
        <f t="shared" si="6"/>
        <v>420</v>
      </c>
      <c r="B421" s="107">
        <f>YEAR(Table6[[#This Row],[Date]])+IF(MONTH(Table6[[#This Row],[Date]])&gt;=4,1,0)</f>
        <v>2026</v>
      </c>
      <c r="C421" s="105">
        <f>YEAR(Table6[[#This Row],[Date]])</f>
        <v>2025</v>
      </c>
      <c r="D421" s="105" t="s">
        <v>490</v>
      </c>
      <c r="E421" s="119">
        <f>Table6[[#This Row],[Date]]-DAY(Table6[[#This Row],[Date]])+1</f>
        <v>45748</v>
      </c>
      <c r="F421" s="118">
        <v>45777</v>
      </c>
      <c r="G421" s="105" t="s">
        <v>125</v>
      </c>
      <c r="H421" s="39" t="str">
        <f>_xlfn.XLOOKUP(Table6[[#This Row],[Affected WTG]],'Basic Data'!$A:$A,'Basic Data'!$B:$B)</f>
        <v>PWEGPL</v>
      </c>
      <c r="I421" s="39" t="str">
        <f>_xlfn.XLOOKUP(Table6[[#This Row],[Affected WTG]],'Basic Data'!$A:$A,'Basic Data'!$C:$C)</f>
        <v>MSEDCL</v>
      </c>
      <c r="J421" s="345">
        <f>IFERROR(VLOOKUP(Table6[[#This Row],[Affected WTG]],'Basic Data'!$A$3:$E$56,5,0),"")</f>
        <v>2.564102564102564E-2</v>
      </c>
      <c r="K421" s="105">
        <v>2118</v>
      </c>
      <c r="L421" s="39" t="str">
        <f>IFERROR(VLOOKUP(Table6[[#This Row],[Error Code]],'Basic Data'!$T:$U,2,0),"")</f>
        <v>Bus Error - Interbus Failure</v>
      </c>
      <c r="M421" s="346" t="s">
        <v>462</v>
      </c>
      <c r="N421" s="39" t="s">
        <v>1270</v>
      </c>
      <c r="O421" s="347">
        <v>0.29791666666666666</v>
      </c>
      <c r="P421" s="347">
        <v>0.34027777777777779</v>
      </c>
      <c r="Q421" s="347">
        <v>0.34166666666666667</v>
      </c>
      <c r="R421" s="348">
        <f>IF(Table6[[#This Row],[Work Start TimeStamp]]="","",(Table6[[#This Row],[Work Start TimeStamp]]-Table6[[#This Row],[Fault Start TimeStamp]])*24)</f>
        <v>1.0166666666666671</v>
      </c>
      <c r="S421" s="349">
        <f>(Table6[[#This Row],[Fault Clearance time]]-Table6[[#This Row],[Work Start TimeStamp]])*24</f>
        <v>3.3333333333333215E-2</v>
      </c>
      <c r="T421" s="350">
        <f>(Table6[[#This Row],[Fault Clearance time]]-Table6[[#This Row],[Fault Start TimeStamp]])*24</f>
        <v>1.0500000000000003</v>
      </c>
      <c r="U421" s="346" t="s">
        <v>491</v>
      </c>
      <c r="V421" s="351" t="s">
        <v>463</v>
      </c>
      <c r="W421" s="338">
        <f>Table6[[#This Row],[Breakdown Time]]*(1/39)</f>
        <v>2.6923076923076928E-2</v>
      </c>
      <c r="X421" s="336" t="s">
        <v>465</v>
      </c>
      <c r="Y421" s="352" t="s">
        <v>124</v>
      </c>
      <c r="Z421" s="105">
        <v>16079</v>
      </c>
      <c r="AA421" s="107">
        <v>703.45625000000018</v>
      </c>
      <c r="AB421" s="105" t="s">
        <v>478</v>
      </c>
    </row>
    <row r="422" spans="1:28">
      <c r="A422" s="105">
        <f t="shared" si="6"/>
        <v>421</v>
      </c>
      <c r="B422" s="107">
        <f>YEAR(Table6[[#This Row],[Date]])+IF(MONTH(Table6[[#This Row],[Date]])&gt;=4,1,0)</f>
        <v>2026</v>
      </c>
      <c r="C422" s="105">
        <f>YEAR(Table6[[#This Row],[Date]])</f>
        <v>2025</v>
      </c>
      <c r="D422" s="105" t="s">
        <v>490</v>
      </c>
      <c r="E422" s="119">
        <f>Table6[[#This Row],[Date]]-DAY(Table6[[#This Row],[Date]])+1</f>
        <v>45748</v>
      </c>
      <c r="F422" s="118">
        <v>45777</v>
      </c>
      <c r="G422" s="105" t="s">
        <v>136</v>
      </c>
      <c r="H422" s="39" t="str">
        <f>_xlfn.XLOOKUP(Table6[[#This Row],[Affected WTG]],'Basic Data'!$A:$A,'Basic Data'!$B:$B)</f>
        <v>PWEGPL</v>
      </c>
      <c r="I422" s="39" t="str">
        <f>_xlfn.XLOOKUP(Table6[[#This Row],[Affected WTG]],'Basic Data'!$A:$A,'Basic Data'!$C:$C)</f>
        <v>MSEDCL</v>
      </c>
      <c r="J422" s="345">
        <f>IFERROR(VLOOKUP(Table6[[#This Row],[Affected WTG]],'Basic Data'!$A$3:$E$56,5,0),"")</f>
        <v>2.564102564102564E-2</v>
      </c>
      <c r="K422" s="105">
        <v>2118</v>
      </c>
      <c r="L422" s="39" t="str">
        <f>IFERROR(VLOOKUP(Table6[[#This Row],[Error Code]],'Basic Data'!$T:$U,2,0),"")</f>
        <v>Bus Error - Interbus Failure</v>
      </c>
      <c r="M422" s="346" t="s">
        <v>462</v>
      </c>
      <c r="N422" s="39" t="s">
        <v>1270</v>
      </c>
      <c r="O422" s="347">
        <v>0.34722222222222221</v>
      </c>
      <c r="P422" s="347">
        <v>0.50486111111111109</v>
      </c>
      <c r="Q422" s="347">
        <v>0.50694444444444442</v>
      </c>
      <c r="R422" s="348">
        <f>IF(Table6[[#This Row],[Work Start TimeStamp]]="","",(Table6[[#This Row],[Work Start TimeStamp]]-Table6[[#This Row],[Fault Start TimeStamp]])*24)</f>
        <v>3.7833333333333332</v>
      </c>
      <c r="S422" s="349">
        <f>(Table6[[#This Row],[Fault Clearance time]]-Table6[[#This Row],[Work Start TimeStamp]])*24</f>
        <v>4.9999999999999822E-2</v>
      </c>
      <c r="T422" s="350">
        <f>(Table6[[#This Row],[Fault Clearance time]]-Table6[[#This Row],[Fault Start TimeStamp]])*24</f>
        <v>3.833333333333333</v>
      </c>
      <c r="U422" s="346" t="s">
        <v>491</v>
      </c>
      <c r="V422" s="351" t="s">
        <v>463</v>
      </c>
      <c r="W422" s="338">
        <f>Table6[[#This Row],[Breakdown Time]]*(1/39)</f>
        <v>9.8290598290598274E-2</v>
      </c>
      <c r="X422" s="336" t="s">
        <v>465</v>
      </c>
      <c r="Y422" s="352" t="s">
        <v>119</v>
      </c>
      <c r="Z422" s="105">
        <v>15425</v>
      </c>
      <c r="AA422" s="107">
        <v>2463.7152777777778</v>
      </c>
      <c r="AB422" s="105" t="s">
        <v>478</v>
      </c>
    </row>
    <row r="423" spans="1:28">
      <c r="A423" s="105">
        <f t="shared" si="6"/>
        <v>422</v>
      </c>
      <c r="B423" s="107">
        <f>YEAR(Table6[[#This Row],[Date]])+IF(MONTH(Table6[[#This Row],[Date]])&gt;=4,1,0)</f>
        <v>2026</v>
      </c>
      <c r="C423" s="105">
        <f>YEAR(Table6[[#This Row],[Date]])</f>
        <v>2025</v>
      </c>
      <c r="D423" s="105" t="s">
        <v>490</v>
      </c>
      <c r="E423" s="119">
        <f>Table6[[#This Row],[Date]]-DAY(Table6[[#This Row],[Date]])+1</f>
        <v>45748</v>
      </c>
      <c r="F423" s="118">
        <v>45777</v>
      </c>
      <c r="G423" s="105" t="s">
        <v>136</v>
      </c>
      <c r="H423" s="39" t="str">
        <f>_xlfn.XLOOKUP(Table6[[#This Row],[Affected WTG]],'Basic Data'!$A:$A,'Basic Data'!$B:$B)</f>
        <v>PWEGPL</v>
      </c>
      <c r="I423" s="39" t="str">
        <f>_xlfn.XLOOKUP(Table6[[#This Row],[Affected WTG]],'Basic Data'!$A:$A,'Basic Data'!$C:$C)</f>
        <v>MSEDCL</v>
      </c>
      <c r="J423" s="345">
        <f>IFERROR(VLOOKUP(Table6[[#This Row],[Affected WTG]],'Basic Data'!$A$3:$E$56,5,0),"")</f>
        <v>2.564102564102564E-2</v>
      </c>
      <c r="K423" s="105">
        <v>500</v>
      </c>
      <c r="L423" s="39" t="str">
        <f>IFERROR(VLOOKUP(Table6[[#This Row],[Error Code]],'Basic Data'!$T:$U,2,0),"")</f>
        <v>High Generator Winding Temperature</v>
      </c>
      <c r="M423" s="346" t="s">
        <v>462</v>
      </c>
      <c r="N423" s="39" t="s">
        <v>1270</v>
      </c>
      <c r="O423" s="347">
        <v>0.59027777777777779</v>
      </c>
      <c r="P423" s="347">
        <v>0.60763888888888884</v>
      </c>
      <c r="Q423" s="347">
        <v>0.63958333333333328</v>
      </c>
      <c r="R423" s="348">
        <f>IF(Table6[[#This Row],[Work Start TimeStamp]]="","",(Table6[[#This Row],[Work Start TimeStamp]]-Table6[[#This Row],[Fault Start TimeStamp]])*24)</f>
        <v>0.41666666666666519</v>
      </c>
      <c r="S423" s="349">
        <f>(Table6[[#This Row],[Fault Clearance time]]-Table6[[#This Row],[Work Start TimeStamp]])*24</f>
        <v>0.76666666666666661</v>
      </c>
      <c r="T423" s="350">
        <f>(Table6[[#This Row],[Fault Clearance time]]-Table6[[#This Row],[Fault Start TimeStamp]])*24</f>
        <v>1.1833333333333318</v>
      </c>
      <c r="U423" s="346" t="s">
        <v>572</v>
      </c>
      <c r="V423" s="351" t="s">
        <v>463</v>
      </c>
      <c r="W423" s="338">
        <f>Table6[[#This Row],[Breakdown Time]]*(1/39)</f>
        <v>3.03418803418803E-2</v>
      </c>
      <c r="X423" s="336" t="s">
        <v>465</v>
      </c>
      <c r="Y423" s="352" t="s">
        <v>119</v>
      </c>
      <c r="Z423" s="105">
        <v>15425</v>
      </c>
      <c r="AA423" s="107">
        <v>760.53819444444355</v>
      </c>
      <c r="AB423" s="105" t="s">
        <v>478</v>
      </c>
    </row>
    <row r="424" spans="1:28">
      <c r="A424" s="105">
        <f t="shared" si="6"/>
        <v>423</v>
      </c>
      <c r="B424" s="107">
        <f>YEAR(Table6[[#This Row],[Date]])+IF(MONTH(Table6[[#This Row],[Date]])&gt;=4,1,0)</f>
        <v>2026</v>
      </c>
      <c r="C424" s="105">
        <f>YEAR(Table6[[#This Row],[Date]])</f>
        <v>2025</v>
      </c>
      <c r="D424" s="105" t="s">
        <v>490</v>
      </c>
      <c r="E424" s="119">
        <f>Table6[[#This Row],[Date]]-DAY(Table6[[#This Row],[Date]])+1</f>
        <v>45748</v>
      </c>
      <c r="F424" s="118">
        <v>45777</v>
      </c>
      <c r="G424" s="105" t="s">
        <v>137</v>
      </c>
      <c r="H424" s="39" t="str">
        <f>_xlfn.XLOOKUP(Table6[[#This Row],[Affected WTG]],'Basic Data'!$A:$A,'Basic Data'!$B:$B)</f>
        <v>PWEGPL</v>
      </c>
      <c r="I424" s="39" t="str">
        <f>_xlfn.XLOOKUP(Table6[[#This Row],[Affected WTG]],'Basic Data'!$A:$A,'Basic Data'!$C:$C)</f>
        <v>MSEDCL</v>
      </c>
      <c r="J424" s="345">
        <f>IFERROR(VLOOKUP(Table6[[#This Row],[Affected WTG]],'Basic Data'!$A$3:$E$56,5,0),"")</f>
        <v>2.564102564102564E-2</v>
      </c>
      <c r="K424" s="105">
        <v>2118</v>
      </c>
      <c r="L424" s="39" t="str">
        <f>IFERROR(VLOOKUP(Table6[[#This Row],[Error Code]],'Basic Data'!$T:$U,2,0),"")</f>
        <v>Bus Error - Interbus Failure</v>
      </c>
      <c r="M424" s="346" t="s">
        <v>462</v>
      </c>
      <c r="N424" s="39" t="s">
        <v>1270</v>
      </c>
      <c r="O424" s="347">
        <v>0.58819444444444446</v>
      </c>
      <c r="P424" s="347">
        <v>0.65625</v>
      </c>
      <c r="Q424" s="347">
        <v>0.65763888888888888</v>
      </c>
      <c r="R424" s="348">
        <f>IF(Table6[[#This Row],[Work Start TimeStamp]]="","",(Table6[[#This Row],[Work Start TimeStamp]]-Table6[[#This Row],[Fault Start TimeStamp]])*24)</f>
        <v>1.6333333333333329</v>
      </c>
      <c r="S424" s="349">
        <f>(Table6[[#This Row],[Fault Clearance time]]-Table6[[#This Row],[Work Start TimeStamp]])*24</f>
        <v>3.3333333333333215E-2</v>
      </c>
      <c r="T424" s="350">
        <f>(Table6[[#This Row],[Fault Clearance time]]-Table6[[#This Row],[Fault Start TimeStamp]])*24</f>
        <v>1.6666666666666661</v>
      </c>
      <c r="U424" s="346" t="s">
        <v>491</v>
      </c>
      <c r="V424" s="351" t="s">
        <v>463</v>
      </c>
      <c r="W424" s="338">
        <f>Table6[[#This Row],[Breakdown Time]]*(1/39)</f>
        <v>4.2735042735042715E-2</v>
      </c>
      <c r="X424" s="336" t="s">
        <v>465</v>
      </c>
      <c r="Y424" s="352" t="s">
        <v>119</v>
      </c>
      <c r="Z424" s="105">
        <v>15425</v>
      </c>
      <c r="AA424" s="107">
        <v>1071.1805555555552</v>
      </c>
      <c r="AB424" s="105" t="s">
        <v>478</v>
      </c>
    </row>
    <row r="425" spans="1:28">
      <c r="A425" s="105">
        <f t="shared" si="6"/>
        <v>424</v>
      </c>
      <c r="B425" s="107">
        <f>YEAR(Table6[[#This Row],[Date]])+IF(MONTH(Table6[[#This Row],[Date]])&gt;=4,1,0)</f>
        <v>2026</v>
      </c>
      <c r="C425" s="105">
        <f>YEAR(Table6[[#This Row],[Date]])</f>
        <v>2025</v>
      </c>
      <c r="D425" s="105" t="s">
        <v>490</v>
      </c>
      <c r="E425" s="119">
        <f>Table6[[#This Row],[Date]]-DAY(Table6[[#This Row],[Date]])+1</f>
        <v>45748</v>
      </c>
      <c r="F425" s="118">
        <v>45777</v>
      </c>
      <c r="G425" s="105" t="s">
        <v>141</v>
      </c>
      <c r="H425" s="39" t="str">
        <f>_xlfn.XLOOKUP(Table6[[#This Row],[Affected WTG]],'Basic Data'!$A:$A,'Basic Data'!$B:$B)</f>
        <v>PWEGPL</v>
      </c>
      <c r="I425" s="39" t="str">
        <f>_xlfn.XLOOKUP(Table6[[#This Row],[Affected WTG]],'Basic Data'!$A:$A,'Basic Data'!$C:$C)</f>
        <v>MSEDCL</v>
      </c>
      <c r="J425" s="345">
        <f>IFERROR(VLOOKUP(Table6[[#This Row],[Affected WTG]],'Basic Data'!$A$3:$E$56,5,0),"")</f>
        <v>2.564102564102564E-2</v>
      </c>
      <c r="K425" s="105">
        <v>5212</v>
      </c>
      <c r="L425" s="39" t="str">
        <f>IFERROR(VLOOKUP(Table6[[#This Row],[Error Code]],'Basic Data'!$T:$U,2,0),"")</f>
        <v>Bus Preload Protection Thermal Relay Failure</v>
      </c>
      <c r="M425" s="346" t="s">
        <v>462</v>
      </c>
      <c r="N425" s="39" t="s">
        <v>1270</v>
      </c>
      <c r="O425" s="347">
        <v>0.27777777777777779</v>
      </c>
      <c r="P425" s="347">
        <v>0.42499999999999999</v>
      </c>
      <c r="Q425" s="347">
        <v>0.52222222222222225</v>
      </c>
      <c r="R425" s="348">
        <f>IF(Table6[[#This Row],[Work Start TimeStamp]]="","",(Table6[[#This Row],[Work Start TimeStamp]]-Table6[[#This Row],[Fault Start TimeStamp]])*24)</f>
        <v>3.5333333333333328</v>
      </c>
      <c r="S425" s="349">
        <f>(Table6[[#This Row],[Fault Clearance time]]-Table6[[#This Row],[Work Start TimeStamp]])*24</f>
        <v>2.3333333333333344</v>
      </c>
      <c r="T425" s="350">
        <f>(Table6[[#This Row],[Fault Clearance time]]-Table6[[#This Row],[Fault Start TimeStamp]])*24</f>
        <v>5.8666666666666671</v>
      </c>
      <c r="U425" s="346" t="s">
        <v>573</v>
      </c>
      <c r="V425" s="351" t="s">
        <v>463</v>
      </c>
      <c r="W425" s="338">
        <f>Table6[[#This Row],[Breakdown Time]]*(1/39)</f>
        <v>0.15042735042735045</v>
      </c>
      <c r="X425" s="336" t="s">
        <v>465</v>
      </c>
      <c r="Y425" s="352" t="s">
        <v>143</v>
      </c>
      <c r="Z425" s="105">
        <v>15469</v>
      </c>
      <c r="AA425" s="107">
        <v>3781.3111111111111</v>
      </c>
      <c r="AB425" s="105" t="s">
        <v>478</v>
      </c>
    </row>
    <row r="426" spans="1:28">
      <c r="A426" s="105">
        <f t="shared" si="6"/>
        <v>425</v>
      </c>
      <c r="B426" s="107">
        <f>YEAR(Table6[[#This Row],[Date]])+IF(MONTH(Table6[[#This Row],[Date]])&gt;=4,1,0)</f>
        <v>2026</v>
      </c>
      <c r="C426" s="105">
        <f>YEAR(Table6[[#This Row],[Date]])</f>
        <v>2025</v>
      </c>
      <c r="D426" s="105" t="s">
        <v>490</v>
      </c>
      <c r="E426" s="119">
        <f>Table6[[#This Row],[Date]]-DAY(Table6[[#This Row],[Date]])+1</f>
        <v>45748</v>
      </c>
      <c r="F426" s="118">
        <v>45777</v>
      </c>
      <c r="G426" s="105" t="s">
        <v>147</v>
      </c>
      <c r="H426" s="39" t="str">
        <f>_xlfn.XLOOKUP(Table6[[#This Row],[Affected WTG]],'Basic Data'!$A:$A,'Basic Data'!$B:$B)</f>
        <v>PWEGPL</v>
      </c>
      <c r="I426" s="39" t="str">
        <f>_xlfn.XLOOKUP(Table6[[#This Row],[Affected WTG]],'Basic Data'!$A:$A,'Basic Data'!$C:$C)</f>
        <v>MSEDCL</v>
      </c>
      <c r="J426" s="345">
        <f>IFERROR(VLOOKUP(Table6[[#This Row],[Affected WTG]],'Basic Data'!$A$3:$E$56,5,0),"")</f>
        <v>2.564102564102564E-2</v>
      </c>
      <c r="K426" s="105" t="s">
        <v>476</v>
      </c>
      <c r="L426" s="39" t="str">
        <f>IFERROR(VLOOKUP(Table6[[#This Row],[Error Code]],'Basic Data'!$T:$U,2,0),"")</f>
        <v>Manual Stop - Preventive Maintenance Activity</v>
      </c>
      <c r="M426" s="346" t="s">
        <v>474</v>
      </c>
      <c r="N426" s="39" t="s">
        <v>230</v>
      </c>
      <c r="O426" s="347">
        <v>0.52777777777777779</v>
      </c>
      <c r="P426" s="347">
        <v>0.52777777777777779</v>
      </c>
      <c r="Q426" s="347">
        <v>0.77083333333333337</v>
      </c>
      <c r="R426" s="348">
        <f>IF(Table6[[#This Row],[Work Start TimeStamp]]="","",(Table6[[#This Row],[Work Start TimeStamp]]-Table6[[#This Row],[Fault Start TimeStamp]])*24)</f>
        <v>0</v>
      </c>
      <c r="S426" s="349">
        <f>(Table6[[#This Row],[Fault Clearance time]]-Table6[[#This Row],[Work Start TimeStamp]])*24</f>
        <v>5.8333333333333339</v>
      </c>
      <c r="T426" s="350">
        <f>(Table6[[#This Row],[Fault Clearance time]]-Table6[[#This Row],[Fault Start TimeStamp]])*24</f>
        <v>5.8333333333333339</v>
      </c>
      <c r="U426" s="346" t="s">
        <v>567</v>
      </c>
      <c r="V426" s="351" t="s">
        <v>463</v>
      </c>
      <c r="W426" s="338">
        <f>Table6[[#This Row],[Breakdown Time]]*(1/39)</f>
        <v>0.1495726495726496</v>
      </c>
      <c r="X426" s="336" t="s">
        <v>467</v>
      </c>
      <c r="Y426" s="352" t="s">
        <v>146</v>
      </c>
      <c r="Z426" s="105">
        <v>15954</v>
      </c>
      <c r="AA426" s="107">
        <v>3877.7083333333339</v>
      </c>
      <c r="AB426" s="105" t="s">
        <v>478</v>
      </c>
    </row>
    <row r="427" spans="1:28">
      <c r="A427" s="105">
        <f t="shared" si="6"/>
        <v>426</v>
      </c>
      <c r="B427" s="107">
        <f>YEAR(Table6[[#This Row],[Date]])+IF(MONTH(Table6[[#This Row],[Date]])&gt;=4,1,0)</f>
        <v>2026</v>
      </c>
      <c r="C427" s="105">
        <f>YEAR(Table6[[#This Row],[Date]])</f>
        <v>2025</v>
      </c>
      <c r="D427" s="105" t="s">
        <v>490</v>
      </c>
      <c r="E427" s="119">
        <f>Table6[[#This Row],[Date]]-DAY(Table6[[#This Row],[Date]])+1</f>
        <v>45778</v>
      </c>
      <c r="F427" s="118">
        <v>45778</v>
      </c>
      <c r="G427" s="105" t="s">
        <v>144</v>
      </c>
      <c r="H427" s="39" t="str">
        <f>_xlfn.XLOOKUP(Table6[[#This Row],[Affected WTG]],'Basic Data'!$A:$A,'Basic Data'!$B:$B)</f>
        <v>PWEGPL</v>
      </c>
      <c r="I427" s="39" t="str">
        <f>_xlfn.XLOOKUP(Table6[[#This Row],[Affected WTG]],'Basic Data'!$A:$A,'Basic Data'!$C:$C)</f>
        <v>MSEDCL</v>
      </c>
      <c r="J427" s="345">
        <f>IFERROR(VLOOKUP(Table6[[#This Row],[Affected WTG]],'Basic Data'!$A$3:$E$56,5,0),"")</f>
        <v>2.564102564102564E-2</v>
      </c>
      <c r="K427" s="105" t="s">
        <v>492</v>
      </c>
      <c r="L427" s="39" t="str">
        <f>IFERROR(VLOOKUP(Table6[[#This Row],[Error Code]],'Basic Data'!$T:$U,2,0),"")</f>
        <v>Manual Stop - Safety Related</v>
      </c>
      <c r="M427" s="346" t="s">
        <v>481</v>
      </c>
      <c r="N427" s="39" t="s">
        <v>1269</v>
      </c>
      <c r="O427" s="347">
        <v>0</v>
      </c>
      <c r="P427" s="347">
        <v>0.99930555555555556</v>
      </c>
      <c r="Q427" s="347">
        <v>0.99930555555555556</v>
      </c>
      <c r="R427" s="348">
        <f>IF(Table6[[#This Row],[Work Start TimeStamp]]="","",(Table6[[#This Row],[Work Start TimeStamp]]-Table6[[#This Row],[Fault Start TimeStamp]])*24)</f>
        <v>23.983333333333334</v>
      </c>
      <c r="S427" s="349">
        <f>(Table6[[#This Row],[Fault Clearance time]]-Table6[[#This Row],[Work Start TimeStamp]])*24</f>
        <v>0</v>
      </c>
      <c r="T427" s="350">
        <f>(Table6[[#This Row],[Fault Clearance time]]-Table6[[#This Row],[Fault Start TimeStamp]])*24</f>
        <v>23.983333333333334</v>
      </c>
      <c r="U427" s="346" t="s">
        <v>498</v>
      </c>
      <c r="V427" s="351" t="s">
        <v>473</v>
      </c>
      <c r="W427" s="338">
        <f>Table6[[#This Row],[Breakdown Time]]*(1/39)</f>
        <v>0.61495726495726499</v>
      </c>
      <c r="X427" s="336" t="s">
        <v>468</v>
      </c>
      <c r="Y427" s="352" t="s">
        <v>141</v>
      </c>
      <c r="Z427" s="105">
        <v>15526</v>
      </c>
      <c r="AA427" s="107">
        <v>15515.218055555555</v>
      </c>
      <c r="AB427" s="105" t="s">
        <v>478</v>
      </c>
    </row>
    <row r="428" spans="1:28">
      <c r="A428" s="105">
        <f t="shared" si="6"/>
        <v>427</v>
      </c>
      <c r="B428" s="107">
        <f>YEAR(Table6[[#This Row],[Date]])+IF(MONTH(Table6[[#This Row],[Date]])&gt;=4,1,0)</f>
        <v>2026</v>
      </c>
      <c r="C428" s="105">
        <f>YEAR(Table6[[#This Row],[Date]])</f>
        <v>2025</v>
      </c>
      <c r="D428" s="105" t="s">
        <v>490</v>
      </c>
      <c r="E428" s="119">
        <f>Table6[[#This Row],[Date]]-DAY(Table6[[#This Row],[Date]])+1</f>
        <v>45778</v>
      </c>
      <c r="F428" s="118">
        <v>45778</v>
      </c>
      <c r="G428" s="105" t="s">
        <v>142</v>
      </c>
      <c r="H428" s="39" t="str">
        <f>_xlfn.XLOOKUP(Table6[[#This Row],[Affected WTG]],'Basic Data'!$A:$A,'Basic Data'!$B:$B)</f>
        <v>PWEGPL</v>
      </c>
      <c r="I428" s="39" t="str">
        <f>_xlfn.XLOOKUP(Table6[[#This Row],[Affected WTG]],'Basic Data'!$A:$A,'Basic Data'!$C:$C)</f>
        <v>MSEDCL</v>
      </c>
      <c r="J428" s="345">
        <f>IFERROR(VLOOKUP(Table6[[#This Row],[Affected WTG]],'Basic Data'!$A$3:$E$56,5,0),"")</f>
        <v>2.564102564102564E-2</v>
      </c>
      <c r="K428" s="105" t="s">
        <v>492</v>
      </c>
      <c r="L428" s="39" t="str">
        <f>IFERROR(VLOOKUP(Table6[[#This Row],[Error Code]],'Basic Data'!$T:$U,2,0),"")</f>
        <v>Manual Stop - Safety Related</v>
      </c>
      <c r="M428" s="346" t="s">
        <v>481</v>
      </c>
      <c r="N428" s="39" t="s">
        <v>1269</v>
      </c>
      <c r="O428" s="347">
        <v>0</v>
      </c>
      <c r="P428" s="347">
        <v>0.99930555555555556</v>
      </c>
      <c r="Q428" s="347">
        <v>0.99930555555555556</v>
      </c>
      <c r="R428" s="348">
        <f>IF(Table6[[#This Row],[Work Start TimeStamp]]="","",(Table6[[#This Row],[Work Start TimeStamp]]-Table6[[#This Row],[Fault Start TimeStamp]])*24)</f>
        <v>23.983333333333334</v>
      </c>
      <c r="S428" s="349">
        <f>(Table6[[#This Row],[Fault Clearance time]]-Table6[[#This Row],[Work Start TimeStamp]])*24</f>
        <v>0</v>
      </c>
      <c r="T428" s="350">
        <f>(Table6[[#This Row],[Fault Clearance time]]-Table6[[#This Row],[Fault Start TimeStamp]])*24</f>
        <v>23.983333333333334</v>
      </c>
      <c r="U428" s="346" t="s">
        <v>498</v>
      </c>
      <c r="V428" s="351" t="s">
        <v>473</v>
      </c>
      <c r="W428" s="338">
        <f>Table6[[#This Row],[Breakdown Time]]*(1/39)</f>
        <v>0.61495726495726499</v>
      </c>
      <c r="X428" s="336" t="s">
        <v>468</v>
      </c>
      <c r="Y428" s="352" t="s">
        <v>141</v>
      </c>
      <c r="Z428" s="105">
        <v>15526</v>
      </c>
      <c r="AA428" s="107">
        <v>15515.218055555555</v>
      </c>
      <c r="AB428" s="105" t="s">
        <v>478</v>
      </c>
    </row>
    <row r="429" spans="1:28">
      <c r="A429" s="105">
        <f t="shared" si="6"/>
        <v>428</v>
      </c>
      <c r="B429" s="107">
        <f>YEAR(Table6[[#This Row],[Date]])+IF(MONTH(Table6[[#This Row],[Date]])&gt;=4,1,0)</f>
        <v>2026</v>
      </c>
      <c r="C429" s="105">
        <f>YEAR(Table6[[#This Row],[Date]])</f>
        <v>2025</v>
      </c>
      <c r="D429" s="105" t="s">
        <v>490</v>
      </c>
      <c r="E429" s="119">
        <f>Table6[[#This Row],[Date]]-DAY(Table6[[#This Row],[Date]])+1</f>
        <v>45778</v>
      </c>
      <c r="F429" s="118">
        <v>45778</v>
      </c>
      <c r="G429" s="105" t="s">
        <v>130</v>
      </c>
      <c r="H429" s="39" t="str">
        <f>_xlfn.XLOOKUP(Table6[[#This Row],[Affected WTG]],'Basic Data'!$A:$A,'Basic Data'!$B:$B)</f>
        <v>PWEGPL</v>
      </c>
      <c r="I429" s="39" t="str">
        <f>_xlfn.XLOOKUP(Table6[[#This Row],[Affected WTG]],'Basic Data'!$A:$A,'Basic Data'!$C:$C)</f>
        <v>MSEDCL</v>
      </c>
      <c r="J429" s="345">
        <f>IFERROR(VLOOKUP(Table6[[#This Row],[Affected WTG]],'Basic Data'!$A$3:$E$56,5,0),"")</f>
        <v>2.564102564102564E-2</v>
      </c>
      <c r="K429" s="105">
        <v>203</v>
      </c>
      <c r="L429" s="39" t="str">
        <f>IFERROR(VLOOKUP(Table6[[#This Row],[Error Code]],'Basic Data'!$T:$U,2,0),"")</f>
        <v>Low Pressure On Hydraulic Group</v>
      </c>
      <c r="M429" s="346" t="s">
        <v>462</v>
      </c>
      <c r="N429" s="39" t="s">
        <v>1270</v>
      </c>
      <c r="O429" s="347">
        <v>0.34722222222222221</v>
      </c>
      <c r="P429" s="347">
        <v>0.38541666666666669</v>
      </c>
      <c r="Q429" s="347">
        <v>0.38611111111111113</v>
      </c>
      <c r="R429" s="348">
        <f>IF(Table6[[#This Row],[Work Start TimeStamp]]="","",(Table6[[#This Row],[Work Start TimeStamp]]-Table6[[#This Row],[Fault Start TimeStamp]])*24)</f>
        <v>0.91666666666666741</v>
      </c>
      <c r="S429" s="349">
        <f>(Table6[[#This Row],[Fault Clearance time]]-Table6[[#This Row],[Work Start TimeStamp]])*24</f>
        <v>1.6666666666666607E-2</v>
      </c>
      <c r="T429" s="350">
        <f>(Table6[[#This Row],[Fault Clearance time]]-Table6[[#This Row],[Fault Start TimeStamp]])*24</f>
        <v>0.93333333333333401</v>
      </c>
      <c r="U429" s="346" t="s">
        <v>493</v>
      </c>
      <c r="V429" s="351" t="s">
        <v>463</v>
      </c>
      <c r="W429" s="338">
        <f>Table6[[#This Row],[Breakdown Time]]*(1/39)</f>
        <v>2.3931623931623947E-2</v>
      </c>
      <c r="X429" s="336" t="s">
        <v>465</v>
      </c>
      <c r="Y429" s="352" t="s">
        <v>131</v>
      </c>
      <c r="Z429" s="105">
        <v>16529</v>
      </c>
      <c r="AA429" s="107">
        <v>642.79444444444493</v>
      </c>
      <c r="AB429" s="105" t="s">
        <v>478</v>
      </c>
    </row>
    <row r="430" spans="1:28">
      <c r="A430" s="105">
        <f t="shared" si="6"/>
        <v>429</v>
      </c>
      <c r="B430" s="107">
        <f>YEAR(Table6[[#This Row],[Date]])+IF(MONTH(Table6[[#This Row],[Date]])&gt;=4,1,0)</f>
        <v>2026</v>
      </c>
      <c r="C430" s="105">
        <f>YEAR(Table6[[#This Row],[Date]])</f>
        <v>2025</v>
      </c>
      <c r="D430" s="105" t="s">
        <v>490</v>
      </c>
      <c r="E430" s="119">
        <f>Table6[[#This Row],[Date]]-DAY(Table6[[#This Row],[Date]])+1</f>
        <v>45778</v>
      </c>
      <c r="F430" s="118">
        <v>45778</v>
      </c>
      <c r="G430" s="105" t="s">
        <v>136</v>
      </c>
      <c r="H430" s="39" t="str">
        <f>_xlfn.XLOOKUP(Table6[[#This Row],[Affected WTG]],'Basic Data'!$A:$A,'Basic Data'!$B:$B)</f>
        <v>PWEGPL</v>
      </c>
      <c r="I430" s="39" t="str">
        <f>_xlfn.XLOOKUP(Table6[[#This Row],[Affected WTG]],'Basic Data'!$A:$A,'Basic Data'!$C:$C)</f>
        <v>MSEDCL</v>
      </c>
      <c r="J430" s="345">
        <f>IFERROR(VLOOKUP(Table6[[#This Row],[Affected WTG]],'Basic Data'!$A$3:$E$56,5,0),"")</f>
        <v>2.564102564102564E-2</v>
      </c>
      <c r="K430" s="105">
        <v>2118</v>
      </c>
      <c r="L430" s="39" t="str">
        <f>IFERROR(VLOOKUP(Table6[[#This Row],[Error Code]],'Basic Data'!$T:$U,2,0),"")</f>
        <v>Bus Error - Interbus Failure</v>
      </c>
      <c r="M430" s="346" t="s">
        <v>462</v>
      </c>
      <c r="N430" s="39" t="s">
        <v>1270</v>
      </c>
      <c r="O430" s="347">
        <v>0.35555555555555557</v>
      </c>
      <c r="P430" s="347">
        <v>0.40625</v>
      </c>
      <c r="Q430" s="347">
        <v>0.52777777777777779</v>
      </c>
      <c r="R430" s="348">
        <f>IF(Table6[[#This Row],[Work Start TimeStamp]]="","",(Table6[[#This Row],[Work Start TimeStamp]]-Table6[[#This Row],[Fault Start TimeStamp]])*24)</f>
        <v>1.2166666666666663</v>
      </c>
      <c r="S430" s="349">
        <f>(Table6[[#This Row],[Fault Clearance time]]-Table6[[#This Row],[Work Start TimeStamp]])*24</f>
        <v>2.916666666666667</v>
      </c>
      <c r="T430" s="350">
        <f>(Table6[[#This Row],[Fault Clearance time]]-Table6[[#This Row],[Fault Start TimeStamp]])*24</f>
        <v>4.1333333333333329</v>
      </c>
      <c r="U430" s="346" t="s">
        <v>574</v>
      </c>
      <c r="V430" s="351" t="s">
        <v>463</v>
      </c>
      <c r="W430" s="338">
        <f>Table6[[#This Row],[Breakdown Time]]*(1/39)</f>
        <v>0.10598290598290597</v>
      </c>
      <c r="X430" s="336" t="s">
        <v>465</v>
      </c>
      <c r="Y430" s="352" t="s">
        <v>119</v>
      </c>
      <c r="Z430" s="105">
        <v>15121</v>
      </c>
      <c r="AA430" s="107">
        <v>2604.172222222222</v>
      </c>
      <c r="AB430" s="105" t="s">
        <v>478</v>
      </c>
    </row>
    <row r="431" spans="1:28">
      <c r="A431" s="105">
        <f t="shared" si="6"/>
        <v>430</v>
      </c>
      <c r="B431" s="107">
        <f>YEAR(Table6[[#This Row],[Date]])+IF(MONTH(Table6[[#This Row],[Date]])&gt;=4,1,0)</f>
        <v>2026</v>
      </c>
      <c r="C431" s="105">
        <f>YEAR(Table6[[#This Row],[Date]])</f>
        <v>2025</v>
      </c>
      <c r="D431" s="105" t="s">
        <v>490</v>
      </c>
      <c r="E431" s="119">
        <f>Table6[[#This Row],[Date]]-DAY(Table6[[#This Row],[Date]])+1</f>
        <v>45778</v>
      </c>
      <c r="F431" s="118">
        <v>45778</v>
      </c>
      <c r="G431" s="105" t="s">
        <v>136</v>
      </c>
      <c r="H431" s="39" t="str">
        <f>_xlfn.XLOOKUP(Table6[[#This Row],[Affected WTG]],'Basic Data'!$A:$A,'Basic Data'!$B:$B)</f>
        <v>PWEGPL</v>
      </c>
      <c r="I431" s="39" t="str">
        <f>_xlfn.XLOOKUP(Table6[[#This Row],[Affected WTG]],'Basic Data'!$A:$A,'Basic Data'!$C:$C)</f>
        <v>MSEDCL</v>
      </c>
      <c r="J431" s="345">
        <f>IFERROR(VLOOKUP(Table6[[#This Row],[Affected WTG]],'Basic Data'!$A$3:$E$56,5,0),"")</f>
        <v>2.564102564102564E-2</v>
      </c>
      <c r="K431" s="105">
        <v>208</v>
      </c>
      <c r="L431" s="39" t="str">
        <f>IFERROR(VLOOKUP(Table6[[#This Row],[Error Code]],'Basic Data'!$T:$U,2,0),"")</f>
        <v>HU Pump Drive Failure</v>
      </c>
      <c r="M431" s="346" t="s">
        <v>462</v>
      </c>
      <c r="N431" s="39" t="s">
        <v>1270</v>
      </c>
      <c r="O431" s="347">
        <v>0.54861111111111116</v>
      </c>
      <c r="P431" s="347">
        <v>0.5493055555555556</v>
      </c>
      <c r="Q431" s="347">
        <v>0.59722222222222221</v>
      </c>
      <c r="R431" s="348">
        <f>IF(Table6[[#This Row],[Work Start TimeStamp]]="","",(Table6[[#This Row],[Work Start TimeStamp]]-Table6[[#This Row],[Fault Start TimeStamp]])*24)</f>
        <v>1.6666666666666607E-2</v>
      </c>
      <c r="S431" s="349">
        <f>(Table6[[#This Row],[Fault Clearance time]]-Table6[[#This Row],[Work Start TimeStamp]])*24</f>
        <v>1.1499999999999986</v>
      </c>
      <c r="T431" s="350">
        <f>(Table6[[#This Row],[Fault Clearance time]]-Table6[[#This Row],[Fault Start TimeStamp]])*24</f>
        <v>1.1666666666666652</v>
      </c>
      <c r="U431" s="346" t="s">
        <v>506</v>
      </c>
      <c r="V431" s="351" t="s">
        <v>463</v>
      </c>
      <c r="W431" s="338">
        <f>Table6[[#This Row],[Breakdown Time]]*(1/39)</f>
        <v>2.9914529914529874E-2</v>
      </c>
      <c r="X431" s="336" t="s">
        <v>465</v>
      </c>
      <c r="Y431" s="352" t="s">
        <v>119</v>
      </c>
      <c r="Z431" s="105">
        <v>15121</v>
      </c>
      <c r="AA431" s="107">
        <v>735.04861111111018</v>
      </c>
      <c r="AB431" s="105" t="s">
        <v>478</v>
      </c>
    </row>
    <row r="432" spans="1:28">
      <c r="A432" s="105">
        <f t="shared" si="6"/>
        <v>431</v>
      </c>
      <c r="B432" s="107">
        <f>YEAR(Table6[[#This Row],[Date]])+IF(MONTH(Table6[[#This Row],[Date]])&gt;=4,1,0)</f>
        <v>2026</v>
      </c>
      <c r="C432" s="105">
        <f>YEAR(Table6[[#This Row],[Date]])</f>
        <v>2025</v>
      </c>
      <c r="D432" s="105" t="s">
        <v>490</v>
      </c>
      <c r="E432" s="119">
        <f>Table6[[#This Row],[Date]]-DAY(Table6[[#This Row],[Date]])+1</f>
        <v>45778</v>
      </c>
      <c r="F432" s="118">
        <v>45778</v>
      </c>
      <c r="G432" s="105" t="s">
        <v>136</v>
      </c>
      <c r="H432" s="39" t="str">
        <f>_xlfn.XLOOKUP(Table6[[#This Row],[Affected WTG]],'Basic Data'!$A:$A,'Basic Data'!$B:$B)</f>
        <v>PWEGPL</v>
      </c>
      <c r="I432" s="39" t="str">
        <f>_xlfn.XLOOKUP(Table6[[#This Row],[Affected WTG]],'Basic Data'!$A:$A,'Basic Data'!$C:$C)</f>
        <v>MSEDCL</v>
      </c>
      <c r="J432" s="345">
        <f>IFERROR(VLOOKUP(Table6[[#This Row],[Affected WTG]],'Basic Data'!$A$3:$E$56,5,0),"")</f>
        <v>2.564102564102564E-2</v>
      </c>
      <c r="K432" s="105">
        <v>5201</v>
      </c>
      <c r="L432" s="39" t="str">
        <f>IFERROR(VLOOKUP(Table6[[#This Row],[Error Code]],'Basic Data'!$T:$U,2,0),"")</f>
        <v>Magnetothermic Trigger Of The Stator Protection</v>
      </c>
      <c r="M432" s="346" t="s">
        <v>462</v>
      </c>
      <c r="N432" s="39" t="s">
        <v>1270</v>
      </c>
      <c r="O432" s="347">
        <v>0.6333333333333333</v>
      </c>
      <c r="P432" s="347">
        <v>0.63402777777777775</v>
      </c>
      <c r="Q432" s="347">
        <v>0.67013888888888884</v>
      </c>
      <c r="R432" s="348">
        <f>IF(Table6[[#This Row],[Work Start TimeStamp]]="","",(Table6[[#This Row],[Work Start TimeStamp]]-Table6[[#This Row],[Fault Start TimeStamp]])*24)</f>
        <v>1.6666666666666607E-2</v>
      </c>
      <c r="S432" s="349">
        <f>(Table6[[#This Row],[Fault Clearance time]]-Table6[[#This Row],[Work Start TimeStamp]])*24</f>
        <v>0.86666666666666625</v>
      </c>
      <c r="T432" s="350">
        <f>(Table6[[#This Row],[Fault Clearance time]]-Table6[[#This Row],[Fault Start TimeStamp]])*24</f>
        <v>0.88333333333333286</v>
      </c>
      <c r="U432" s="346" t="s">
        <v>575</v>
      </c>
      <c r="V432" s="351" t="s">
        <v>463</v>
      </c>
      <c r="W432" s="338">
        <f>Table6[[#This Row],[Breakdown Time]]*(1/39)</f>
        <v>2.2649572649572635E-2</v>
      </c>
      <c r="X432" s="336" t="s">
        <v>465</v>
      </c>
      <c r="Y432" s="352" t="s">
        <v>119</v>
      </c>
      <c r="Z432" s="105">
        <v>15121</v>
      </c>
      <c r="AA432" s="107">
        <v>556.53680555555525</v>
      </c>
      <c r="AB432" s="105" t="s">
        <v>478</v>
      </c>
    </row>
    <row r="433" spans="1:28">
      <c r="A433" s="105">
        <f t="shared" si="6"/>
        <v>432</v>
      </c>
      <c r="B433" s="107">
        <f>YEAR(Table6[[#This Row],[Date]])+IF(MONTH(Table6[[#This Row],[Date]])&gt;=4,1,0)</f>
        <v>2026</v>
      </c>
      <c r="C433" s="105">
        <f>YEAR(Table6[[#This Row],[Date]])</f>
        <v>2025</v>
      </c>
      <c r="D433" s="105" t="s">
        <v>490</v>
      </c>
      <c r="E433" s="119">
        <f>Table6[[#This Row],[Date]]-DAY(Table6[[#This Row],[Date]])+1</f>
        <v>45778</v>
      </c>
      <c r="F433" s="118">
        <v>45778</v>
      </c>
      <c r="G433" s="105" t="s">
        <v>143</v>
      </c>
      <c r="H433" s="39" t="str">
        <f>_xlfn.XLOOKUP(Table6[[#This Row],[Affected WTG]],'Basic Data'!$A:$A,'Basic Data'!$B:$B)</f>
        <v>PWEGPL</v>
      </c>
      <c r="I433" s="39" t="str">
        <f>_xlfn.XLOOKUP(Table6[[#This Row],[Affected WTG]],'Basic Data'!$A:$A,'Basic Data'!$C:$C)</f>
        <v>MSEDCL</v>
      </c>
      <c r="J433" s="345">
        <f>IFERROR(VLOOKUP(Table6[[#This Row],[Affected WTG]],'Basic Data'!$A$3:$E$56,5,0),"")</f>
        <v>2.564102564102564E-2</v>
      </c>
      <c r="K433" s="105" t="s">
        <v>492</v>
      </c>
      <c r="L433" s="39" t="str">
        <f>IFERROR(VLOOKUP(Table6[[#This Row],[Error Code]],'Basic Data'!$T:$U,2,0),"")</f>
        <v>Manual Stop - Safety Related</v>
      </c>
      <c r="M433" s="346" t="s">
        <v>481</v>
      </c>
      <c r="N433" s="39" t="s">
        <v>230</v>
      </c>
      <c r="O433" s="347">
        <v>0.60069444444444442</v>
      </c>
      <c r="P433" s="347">
        <v>0.60069444444444442</v>
      </c>
      <c r="Q433" s="347">
        <v>0.71319444444444446</v>
      </c>
      <c r="R433" s="348">
        <f>IF(Table6[[#This Row],[Work Start TimeStamp]]="","",(Table6[[#This Row],[Work Start TimeStamp]]-Table6[[#This Row],[Fault Start TimeStamp]])*24)</f>
        <v>0</v>
      </c>
      <c r="S433" s="349">
        <f>(Table6[[#This Row],[Fault Clearance time]]-Table6[[#This Row],[Work Start TimeStamp]])*24</f>
        <v>2.7000000000000011</v>
      </c>
      <c r="T433" s="350">
        <f>(Table6[[#This Row],[Fault Clearance time]]-Table6[[#This Row],[Fault Start TimeStamp]])*24</f>
        <v>2.7000000000000011</v>
      </c>
      <c r="U433" s="346" t="s">
        <v>508</v>
      </c>
      <c r="V433" s="351" t="s">
        <v>463</v>
      </c>
      <c r="W433" s="338">
        <f>Table6[[#This Row],[Breakdown Time]]*(1/39)</f>
        <v>6.9230769230769262E-2</v>
      </c>
      <c r="X433" s="336" t="s">
        <v>468</v>
      </c>
      <c r="Y433" s="352" t="s">
        <v>141</v>
      </c>
      <c r="Z433" s="105">
        <v>15526</v>
      </c>
      <c r="AA433" s="107">
        <v>1746.6750000000006</v>
      </c>
      <c r="AB433" s="105" t="s">
        <v>478</v>
      </c>
    </row>
    <row r="434" spans="1:28">
      <c r="A434" s="105">
        <f t="shared" si="6"/>
        <v>433</v>
      </c>
      <c r="B434" s="107">
        <f>YEAR(Table6[[#This Row],[Date]])+IF(MONTH(Table6[[#This Row],[Date]])&gt;=4,1,0)</f>
        <v>2026</v>
      </c>
      <c r="C434" s="105">
        <f>YEAR(Table6[[#This Row],[Date]])</f>
        <v>2025</v>
      </c>
      <c r="D434" s="105" t="s">
        <v>490</v>
      </c>
      <c r="E434" s="119">
        <f>Table6[[#This Row],[Date]]-DAY(Table6[[#This Row],[Date]])+1</f>
        <v>45778</v>
      </c>
      <c r="F434" s="118">
        <v>45778</v>
      </c>
      <c r="G434" s="105" t="s">
        <v>146</v>
      </c>
      <c r="H434" s="39" t="str">
        <f>_xlfn.XLOOKUP(Table6[[#This Row],[Affected WTG]],'Basic Data'!$A:$A,'Basic Data'!$B:$B)</f>
        <v>PWEGPL</v>
      </c>
      <c r="I434" s="39" t="str">
        <f>_xlfn.XLOOKUP(Table6[[#This Row],[Affected WTG]],'Basic Data'!$A:$A,'Basic Data'!$C:$C)</f>
        <v>MSEDCL</v>
      </c>
      <c r="J434" s="345">
        <f>IFERROR(VLOOKUP(Table6[[#This Row],[Affected WTG]],'Basic Data'!$A$3:$E$56,5,0),"")</f>
        <v>2.564102564102564E-2</v>
      </c>
      <c r="K434" s="105" t="s">
        <v>476</v>
      </c>
      <c r="L434" s="39" t="str">
        <f>IFERROR(VLOOKUP(Table6[[#This Row],[Error Code]],'Basic Data'!$T:$U,2,0),"")</f>
        <v>Manual Stop - Preventive Maintenance Activity</v>
      </c>
      <c r="M434" s="346" t="s">
        <v>474</v>
      </c>
      <c r="N434" s="39" t="s">
        <v>230</v>
      </c>
      <c r="O434" s="347">
        <v>0.47291666666666665</v>
      </c>
      <c r="P434" s="347">
        <v>0.47291666666666665</v>
      </c>
      <c r="Q434" s="347">
        <v>0.72569444444444442</v>
      </c>
      <c r="R434" s="348">
        <f>IF(Table6[[#This Row],[Work Start TimeStamp]]="","",(Table6[[#This Row],[Work Start TimeStamp]]-Table6[[#This Row],[Fault Start TimeStamp]])*24)</f>
        <v>0</v>
      </c>
      <c r="S434" s="349">
        <f>(Table6[[#This Row],[Fault Clearance time]]-Table6[[#This Row],[Work Start TimeStamp]])*24</f>
        <v>6.0666666666666664</v>
      </c>
      <c r="T434" s="350">
        <f>(Table6[[#This Row],[Fault Clearance time]]-Table6[[#This Row],[Fault Start TimeStamp]])*24</f>
        <v>6.0666666666666664</v>
      </c>
      <c r="U434" s="346" t="s">
        <v>567</v>
      </c>
      <c r="V434" s="351" t="s">
        <v>463</v>
      </c>
      <c r="W434" s="338">
        <f>Table6[[#This Row],[Breakdown Time]]*(1/39)</f>
        <v>0.15555555555555553</v>
      </c>
      <c r="X434" s="336" t="s">
        <v>467</v>
      </c>
      <c r="Y434" s="352" t="s">
        <v>147</v>
      </c>
      <c r="Z434" s="105">
        <v>15535</v>
      </c>
      <c r="AA434" s="107">
        <v>3926.9027777777774</v>
      </c>
      <c r="AB434" s="105" t="s">
        <v>478</v>
      </c>
    </row>
    <row r="435" spans="1:28">
      <c r="A435" s="105">
        <f t="shared" si="6"/>
        <v>434</v>
      </c>
      <c r="B435" s="107">
        <f>YEAR(Table6[[#This Row],[Date]])+IF(MONTH(Table6[[#This Row],[Date]])&gt;=4,1,0)</f>
        <v>2026</v>
      </c>
      <c r="C435" s="105">
        <f>YEAR(Table6[[#This Row],[Date]])</f>
        <v>2025</v>
      </c>
      <c r="D435" s="105" t="s">
        <v>490</v>
      </c>
      <c r="E435" s="119">
        <f>Table6[[#This Row],[Date]]-DAY(Table6[[#This Row],[Date]])+1</f>
        <v>45778</v>
      </c>
      <c r="F435" s="118">
        <v>45778</v>
      </c>
      <c r="G435" s="105" t="s">
        <v>121</v>
      </c>
      <c r="H435" s="39" t="str">
        <f>_xlfn.XLOOKUP(Table6[[#This Row],[Affected WTG]],'Basic Data'!$A:$A,'Basic Data'!$B:$B)</f>
        <v>PWEGPL</v>
      </c>
      <c r="I435" s="39" t="str">
        <f>_xlfn.XLOOKUP(Table6[[#This Row],[Affected WTG]],'Basic Data'!$A:$A,'Basic Data'!$C:$C)</f>
        <v>MSEDCL</v>
      </c>
      <c r="J435" s="345">
        <f>IFERROR(VLOOKUP(Table6[[#This Row],[Affected WTG]],'Basic Data'!$A$3:$E$56,5,0),"")</f>
        <v>2.564102564102564E-2</v>
      </c>
      <c r="K435" s="105" t="s">
        <v>487</v>
      </c>
      <c r="L435" s="39" t="str">
        <f>IFERROR(VLOOKUP(Table6[[#This Row],[Error Code]],'Basic Data'!$T:$U,2,0),"")</f>
        <v>General Work Stoppage</v>
      </c>
      <c r="M435" s="346" t="s">
        <v>479</v>
      </c>
      <c r="N435" s="39" t="s">
        <v>230</v>
      </c>
      <c r="O435" s="347">
        <v>0.34791666666666665</v>
      </c>
      <c r="P435" s="347">
        <v>0.34791666666666665</v>
      </c>
      <c r="Q435" s="347">
        <v>0.56388888888888888</v>
      </c>
      <c r="R435" s="348">
        <f>IF(Table6[[#This Row],[Work Start TimeStamp]]="","",(Table6[[#This Row],[Work Start TimeStamp]]-Table6[[#This Row],[Fault Start TimeStamp]])*24)</f>
        <v>0</v>
      </c>
      <c r="S435" s="349">
        <f>(Table6[[#This Row],[Fault Clearance time]]-Table6[[#This Row],[Work Start TimeStamp]])*24</f>
        <v>5.1833333333333336</v>
      </c>
      <c r="T435" s="350">
        <f>(Table6[[#This Row],[Fault Clearance time]]-Table6[[#This Row],[Fault Start TimeStamp]])*24</f>
        <v>5.1833333333333336</v>
      </c>
      <c r="U435" s="346" t="s">
        <v>576</v>
      </c>
      <c r="V435" s="351" t="s">
        <v>463</v>
      </c>
      <c r="W435" s="338">
        <f>Table6[[#This Row],[Breakdown Time]]*(1/39)</f>
        <v>0.13290598290598291</v>
      </c>
      <c r="X435" s="336" t="s">
        <v>464</v>
      </c>
      <c r="Y435" s="352" t="s">
        <v>115</v>
      </c>
      <c r="Z435" s="105">
        <v>16821</v>
      </c>
      <c r="AA435" s="107">
        <v>3632.8687500000001</v>
      </c>
      <c r="AB435" s="105" t="s">
        <v>478</v>
      </c>
    </row>
    <row r="436" spans="1:28">
      <c r="A436" s="105">
        <f t="shared" si="6"/>
        <v>435</v>
      </c>
      <c r="B436" s="107">
        <f>YEAR(Table6[[#This Row],[Date]])+IF(MONTH(Table6[[#This Row],[Date]])&gt;=4,1,0)</f>
        <v>2026</v>
      </c>
      <c r="C436" s="105">
        <f>YEAR(Table6[[#This Row],[Date]])</f>
        <v>2025</v>
      </c>
      <c r="D436" s="105" t="s">
        <v>490</v>
      </c>
      <c r="E436" s="119">
        <f>Table6[[#This Row],[Date]]-DAY(Table6[[#This Row],[Date]])+1</f>
        <v>45778</v>
      </c>
      <c r="F436" s="118">
        <v>45779</v>
      </c>
      <c r="G436" s="105" t="s">
        <v>144</v>
      </c>
      <c r="H436" s="39" t="str">
        <f>_xlfn.XLOOKUP(Table6[[#This Row],[Affected WTG]],'Basic Data'!$A:$A,'Basic Data'!$B:$B)</f>
        <v>PWEGPL</v>
      </c>
      <c r="I436" s="39" t="str">
        <f>_xlfn.XLOOKUP(Table6[[#This Row],[Affected WTG]],'Basic Data'!$A:$A,'Basic Data'!$C:$C)</f>
        <v>MSEDCL</v>
      </c>
      <c r="J436" s="345">
        <f>IFERROR(VLOOKUP(Table6[[#This Row],[Affected WTG]],'Basic Data'!$A$3:$E$56,5,0),"")</f>
        <v>2.564102564102564E-2</v>
      </c>
      <c r="K436" s="105" t="s">
        <v>492</v>
      </c>
      <c r="L436" s="39" t="str">
        <f>IFERROR(VLOOKUP(Table6[[#This Row],[Error Code]],'Basic Data'!$T:$U,2,0),"")</f>
        <v>Manual Stop - Safety Related</v>
      </c>
      <c r="M436" s="346" t="s">
        <v>481</v>
      </c>
      <c r="N436" s="39" t="s">
        <v>1269</v>
      </c>
      <c r="O436" s="347">
        <v>0</v>
      </c>
      <c r="P436" s="347">
        <v>0.99930555555555556</v>
      </c>
      <c r="Q436" s="347">
        <v>0.99930555555555556</v>
      </c>
      <c r="R436" s="348">
        <f>IF(Table6[[#This Row],[Work Start TimeStamp]]="","",(Table6[[#This Row],[Work Start TimeStamp]]-Table6[[#This Row],[Fault Start TimeStamp]])*24)</f>
        <v>23.983333333333334</v>
      </c>
      <c r="S436" s="349">
        <f>(Table6[[#This Row],[Fault Clearance time]]-Table6[[#This Row],[Work Start TimeStamp]])*24</f>
        <v>0</v>
      </c>
      <c r="T436" s="350">
        <f>(Table6[[#This Row],[Fault Clearance time]]-Table6[[#This Row],[Fault Start TimeStamp]])*24</f>
        <v>23.983333333333334</v>
      </c>
      <c r="U436" s="346" t="s">
        <v>498</v>
      </c>
      <c r="V436" s="351" t="s">
        <v>473</v>
      </c>
      <c r="W436" s="338">
        <f>Table6[[#This Row],[Breakdown Time]]*(1/39)</f>
        <v>0.61495726495726499</v>
      </c>
      <c r="X436" s="336" t="s">
        <v>468</v>
      </c>
      <c r="Y436" s="352" t="s">
        <v>141</v>
      </c>
      <c r="Z436" s="105">
        <v>12844</v>
      </c>
      <c r="AA436" s="107">
        <v>12835.080555555554</v>
      </c>
      <c r="AB436" s="105" t="s">
        <v>478</v>
      </c>
    </row>
    <row r="437" spans="1:28">
      <c r="A437" s="105">
        <f t="shared" si="6"/>
        <v>436</v>
      </c>
      <c r="B437" s="107">
        <f>YEAR(Table6[[#This Row],[Date]])+IF(MONTH(Table6[[#This Row],[Date]])&gt;=4,1,0)</f>
        <v>2026</v>
      </c>
      <c r="C437" s="105">
        <f>YEAR(Table6[[#This Row],[Date]])</f>
        <v>2025</v>
      </c>
      <c r="D437" s="105" t="s">
        <v>490</v>
      </c>
      <c r="E437" s="119">
        <f>Table6[[#This Row],[Date]]-DAY(Table6[[#This Row],[Date]])+1</f>
        <v>45778</v>
      </c>
      <c r="F437" s="118">
        <v>45779</v>
      </c>
      <c r="G437" s="105" t="s">
        <v>142</v>
      </c>
      <c r="H437" s="39" t="str">
        <f>_xlfn.XLOOKUP(Table6[[#This Row],[Affected WTG]],'Basic Data'!$A:$A,'Basic Data'!$B:$B)</f>
        <v>PWEGPL</v>
      </c>
      <c r="I437" s="39" t="str">
        <f>_xlfn.XLOOKUP(Table6[[#This Row],[Affected WTG]],'Basic Data'!$A:$A,'Basic Data'!$C:$C)</f>
        <v>MSEDCL</v>
      </c>
      <c r="J437" s="345">
        <f>IFERROR(VLOOKUP(Table6[[#This Row],[Affected WTG]],'Basic Data'!$A$3:$E$56,5,0),"")</f>
        <v>2.564102564102564E-2</v>
      </c>
      <c r="K437" s="105" t="s">
        <v>492</v>
      </c>
      <c r="L437" s="39" t="str">
        <f>IFERROR(VLOOKUP(Table6[[#This Row],[Error Code]],'Basic Data'!$T:$U,2,0),"")</f>
        <v>Manual Stop - Safety Related</v>
      </c>
      <c r="M437" s="346" t="s">
        <v>481</v>
      </c>
      <c r="N437" s="39" t="s">
        <v>1269</v>
      </c>
      <c r="O437" s="347">
        <v>0</v>
      </c>
      <c r="P437" s="347">
        <v>0.99930555555555556</v>
      </c>
      <c r="Q437" s="347">
        <v>0.99930555555555556</v>
      </c>
      <c r="R437" s="348">
        <f>IF(Table6[[#This Row],[Work Start TimeStamp]]="","",(Table6[[#This Row],[Work Start TimeStamp]]-Table6[[#This Row],[Fault Start TimeStamp]])*24)</f>
        <v>23.983333333333334</v>
      </c>
      <c r="S437" s="349">
        <f>(Table6[[#This Row],[Fault Clearance time]]-Table6[[#This Row],[Work Start TimeStamp]])*24</f>
        <v>0</v>
      </c>
      <c r="T437" s="350">
        <f>(Table6[[#This Row],[Fault Clearance time]]-Table6[[#This Row],[Fault Start TimeStamp]])*24</f>
        <v>23.983333333333334</v>
      </c>
      <c r="U437" s="346" t="s">
        <v>498</v>
      </c>
      <c r="V437" s="351" t="s">
        <v>473</v>
      </c>
      <c r="W437" s="338">
        <f>Table6[[#This Row],[Breakdown Time]]*(1/39)</f>
        <v>0.61495726495726499</v>
      </c>
      <c r="X437" s="336" t="s">
        <v>468</v>
      </c>
      <c r="Y437" s="352" t="s">
        <v>141</v>
      </c>
      <c r="Z437" s="105">
        <v>12844</v>
      </c>
      <c r="AA437" s="107">
        <v>12835.080555555554</v>
      </c>
      <c r="AB437" s="105" t="s">
        <v>478</v>
      </c>
    </row>
    <row r="438" spans="1:28">
      <c r="A438" s="105">
        <f t="shared" si="6"/>
        <v>437</v>
      </c>
      <c r="B438" s="107">
        <f>YEAR(Table6[[#This Row],[Date]])+IF(MONTH(Table6[[#This Row],[Date]])&gt;=4,1,0)</f>
        <v>2026</v>
      </c>
      <c r="C438" s="105">
        <f>YEAR(Table6[[#This Row],[Date]])</f>
        <v>2025</v>
      </c>
      <c r="D438" s="105" t="s">
        <v>490</v>
      </c>
      <c r="E438" s="119">
        <f>Table6[[#This Row],[Date]]-DAY(Table6[[#This Row],[Date]])+1</f>
        <v>45778</v>
      </c>
      <c r="F438" s="118">
        <v>45779</v>
      </c>
      <c r="G438" s="105" t="s">
        <v>121</v>
      </c>
      <c r="H438" s="39" t="str">
        <f>_xlfn.XLOOKUP(Table6[[#This Row],[Affected WTG]],'Basic Data'!$A:$A,'Basic Data'!$B:$B)</f>
        <v>PWEGPL</v>
      </c>
      <c r="I438" s="39" t="str">
        <f>_xlfn.XLOOKUP(Table6[[#This Row],[Affected WTG]],'Basic Data'!$A:$A,'Basic Data'!$C:$C)</f>
        <v>MSEDCL</v>
      </c>
      <c r="J438" s="345">
        <f>IFERROR(VLOOKUP(Table6[[#This Row],[Affected WTG]],'Basic Data'!$A$3:$E$56,5,0),"")</f>
        <v>2.564102564102564E-2</v>
      </c>
      <c r="K438" s="105">
        <v>205</v>
      </c>
      <c r="L438" s="39" t="str">
        <f>IFERROR(VLOOKUP(Table6[[#This Row],[Error Code]],'Basic Data'!$T:$U,2,0),"")</f>
        <v>Low Level Hydraulic Group Refrigeration Oil</v>
      </c>
      <c r="M438" s="346" t="s">
        <v>462</v>
      </c>
      <c r="N438" s="39" t="s">
        <v>1270</v>
      </c>
      <c r="O438" s="347">
        <v>0.1875</v>
      </c>
      <c r="P438" s="347">
        <v>0.35069444444444442</v>
      </c>
      <c r="Q438" s="347">
        <v>0.62638888888888888</v>
      </c>
      <c r="R438" s="348">
        <f>IF(Table6[[#This Row],[Work Start TimeStamp]]="","",(Table6[[#This Row],[Work Start TimeStamp]]-Table6[[#This Row],[Fault Start TimeStamp]])*24)</f>
        <v>3.9166666666666661</v>
      </c>
      <c r="S438" s="349">
        <f>(Table6[[#This Row],[Fault Clearance time]]-Table6[[#This Row],[Work Start TimeStamp]])*24</f>
        <v>6.6166666666666671</v>
      </c>
      <c r="T438" s="350">
        <f>(Table6[[#This Row],[Fault Clearance time]]-Table6[[#This Row],[Fault Start TimeStamp]])*24</f>
        <v>10.533333333333333</v>
      </c>
      <c r="U438" s="346" t="s">
        <v>577</v>
      </c>
      <c r="V438" s="351" t="s">
        <v>463</v>
      </c>
      <c r="W438" s="338">
        <f>Table6[[#This Row],[Breakdown Time]]*(1/39)</f>
        <v>0.27008547008547007</v>
      </c>
      <c r="X438" s="336" t="s">
        <v>464</v>
      </c>
      <c r="Y438" s="352" t="s">
        <v>115</v>
      </c>
      <c r="Z438" s="105">
        <v>14789</v>
      </c>
      <c r="AA438" s="107">
        <v>5956.6805555555566</v>
      </c>
      <c r="AB438" s="105" t="s">
        <v>478</v>
      </c>
    </row>
    <row r="439" spans="1:28">
      <c r="A439" s="105">
        <f t="shared" si="6"/>
        <v>438</v>
      </c>
      <c r="B439" s="107">
        <f>YEAR(Table6[[#This Row],[Date]])+IF(MONTH(Table6[[#This Row],[Date]])&gt;=4,1,0)</f>
        <v>2026</v>
      </c>
      <c r="C439" s="105">
        <f>YEAR(Table6[[#This Row],[Date]])</f>
        <v>2025</v>
      </c>
      <c r="D439" s="105" t="s">
        <v>490</v>
      </c>
      <c r="E439" s="119">
        <f>Table6[[#This Row],[Date]]-DAY(Table6[[#This Row],[Date]])+1</f>
        <v>45778</v>
      </c>
      <c r="F439" s="118">
        <v>45779</v>
      </c>
      <c r="G439" s="105" t="s">
        <v>132</v>
      </c>
      <c r="H439" s="39" t="str">
        <f>_xlfn.XLOOKUP(Table6[[#This Row],[Affected WTG]],'Basic Data'!$A:$A,'Basic Data'!$B:$B)</f>
        <v>PWEGPL</v>
      </c>
      <c r="I439" s="39" t="str">
        <f>_xlfn.XLOOKUP(Table6[[#This Row],[Affected WTG]],'Basic Data'!$A:$A,'Basic Data'!$C:$C)</f>
        <v>MSEDCL</v>
      </c>
      <c r="J439" s="345">
        <f>IFERROR(VLOOKUP(Table6[[#This Row],[Affected WTG]],'Basic Data'!$A$3:$E$56,5,0),"")</f>
        <v>2.564102564102564E-2</v>
      </c>
      <c r="K439" s="105">
        <v>5236</v>
      </c>
      <c r="L439" s="39" t="str">
        <f>IFERROR(VLOOKUP(Table6[[#This Row],[Error Code]],'Basic Data'!$T:$U,2,0),"")</f>
        <v>Error In Phase R Of The Inverter</v>
      </c>
      <c r="M439" s="346" t="s">
        <v>462</v>
      </c>
      <c r="N439" s="39" t="s">
        <v>1270</v>
      </c>
      <c r="O439" s="347">
        <v>0.38194444444444442</v>
      </c>
      <c r="P439" s="347">
        <v>0.3972222222222222</v>
      </c>
      <c r="Q439" s="347">
        <v>0.63958333333333328</v>
      </c>
      <c r="R439" s="348">
        <f>IF(Table6[[#This Row],[Work Start TimeStamp]]="","",(Table6[[#This Row],[Work Start TimeStamp]]-Table6[[#This Row],[Fault Start TimeStamp]])*24)</f>
        <v>0.3666666666666667</v>
      </c>
      <c r="S439" s="349">
        <f>(Table6[[#This Row],[Fault Clearance time]]-Table6[[#This Row],[Work Start TimeStamp]])*24</f>
        <v>5.8166666666666664</v>
      </c>
      <c r="T439" s="350">
        <f>(Table6[[#This Row],[Fault Clearance time]]-Table6[[#This Row],[Fault Start TimeStamp]])*24</f>
        <v>6.1833333333333327</v>
      </c>
      <c r="U439" s="346" t="s">
        <v>578</v>
      </c>
      <c r="V439" s="351" t="s">
        <v>463</v>
      </c>
      <c r="W439" s="338">
        <f>Table6[[#This Row],[Breakdown Time]]*(1/39)</f>
        <v>0.15854700854700851</v>
      </c>
      <c r="X439" s="336" t="s">
        <v>465</v>
      </c>
      <c r="Y439" s="352" t="s">
        <v>133</v>
      </c>
      <c r="Z439" s="105">
        <v>14789</v>
      </c>
      <c r="AA439" s="107">
        <v>3810.2215277777777</v>
      </c>
      <c r="AB439" s="105" t="s">
        <v>478</v>
      </c>
    </row>
    <row r="440" spans="1:28">
      <c r="A440" s="105">
        <f t="shared" si="6"/>
        <v>439</v>
      </c>
      <c r="B440" s="107">
        <f>YEAR(Table6[[#This Row],[Date]])+IF(MONTH(Table6[[#This Row],[Date]])&gt;=4,1,0)</f>
        <v>2026</v>
      </c>
      <c r="C440" s="105">
        <f>YEAR(Table6[[#This Row],[Date]])</f>
        <v>2025</v>
      </c>
      <c r="D440" s="105" t="s">
        <v>490</v>
      </c>
      <c r="E440" s="119">
        <f>Table6[[#This Row],[Date]]-DAY(Table6[[#This Row],[Date]])+1</f>
        <v>45778</v>
      </c>
      <c r="F440" s="118">
        <v>45779</v>
      </c>
      <c r="G440" s="105" t="s">
        <v>136</v>
      </c>
      <c r="H440" s="39" t="str">
        <f>_xlfn.XLOOKUP(Table6[[#This Row],[Affected WTG]],'Basic Data'!$A:$A,'Basic Data'!$B:$B)</f>
        <v>PWEGPL</v>
      </c>
      <c r="I440" s="39" t="str">
        <f>_xlfn.XLOOKUP(Table6[[#This Row],[Affected WTG]],'Basic Data'!$A:$A,'Basic Data'!$C:$C)</f>
        <v>MSEDCL</v>
      </c>
      <c r="J440" s="345">
        <f>IFERROR(VLOOKUP(Table6[[#This Row],[Affected WTG]],'Basic Data'!$A$3:$E$56,5,0),"")</f>
        <v>2.564102564102564E-2</v>
      </c>
      <c r="K440" s="105">
        <v>203</v>
      </c>
      <c r="L440" s="39" t="str">
        <f>IFERROR(VLOOKUP(Table6[[#This Row],[Error Code]],'Basic Data'!$T:$U,2,0),"")</f>
        <v>Low Pressure On Hydraulic Group</v>
      </c>
      <c r="M440" s="346" t="s">
        <v>462</v>
      </c>
      <c r="N440" s="39" t="s">
        <v>1270</v>
      </c>
      <c r="O440" s="347">
        <v>0.67013888888888884</v>
      </c>
      <c r="P440" s="347">
        <v>0.67013888888888884</v>
      </c>
      <c r="Q440" s="347">
        <v>0.67361111111111116</v>
      </c>
      <c r="R440" s="348">
        <f>IF(Table6[[#This Row],[Work Start TimeStamp]]="","",(Table6[[#This Row],[Work Start TimeStamp]]-Table6[[#This Row],[Fault Start TimeStamp]])*24)</f>
        <v>0</v>
      </c>
      <c r="S440" s="349">
        <f>(Table6[[#This Row],[Fault Clearance time]]-Table6[[#This Row],[Work Start TimeStamp]])*24</f>
        <v>8.3333333333335702E-2</v>
      </c>
      <c r="T440" s="350">
        <f>(Table6[[#This Row],[Fault Clearance time]]-Table6[[#This Row],[Fault Start TimeStamp]])*24</f>
        <v>8.3333333333335702E-2</v>
      </c>
      <c r="U440" s="346" t="s">
        <v>480</v>
      </c>
      <c r="V440" s="351" t="s">
        <v>463</v>
      </c>
      <c r="W440" s="338">
        <f>Table6[[#This Row],[Breakdown Time]]*(1/39)</f>
        <v>2.1367521367521972E-3</v>
      </c>
      <c r="X440" s="336" t="s">
        <v>465</v>
      </c>
      <c r="Y440" s="352" t="s">
        <v>119</v>
      </c>
      <c r="Z440" s="105">
        <v>14538</v>
      </c>
      <c r="AA440" s="107">
        <v>50.4791666666681</v>
      </c>
      <c r="AB440" s="105" t="s">
        <v>478</v>
      </c>
    </row>
    <row r="441" spans="1:28">
      <c r="A441" s="105">
        <f t="shared" si="6"/>
        <v>440</v>
      </c>
      <c r="B441" s="107">
        <f>YEAR(Table6[[#This Row],[Date]])+IF(MONTH(Table6[[#This Row],[Date]])&gt;=4,1,0)</f>
        <v>2026</v>
      </c>
      <c r="C441" s="105">
        <f>YEAR(Table6[[#This Row],[Date]])</f>
        <v>2025</v>
      </c>
      <c r="D441" s="105" t="s">
        <v>490</v>
      </c>
      <c r="E441" s="119">
        <f>Table6[[#This Row],[Date]]-DAY(Table6[[#This Row],[Date]])+1</f>
        <v>45778</v>
      </c>
      <c r="F441" s="118">
        <v>45779</v>
      </c>
      <c r="G441" s="105" t="s">
        <v>140</v>
      </c>
      <c r="H441" s="39" t="str">
        <f>_xlfn.XLOOKUP(Table6[[#This Row],[Affected WTG]],'Basic Data'!$A:$A,'Basic Data'!$B:$B)</f>
        <v>PWEGPL</v>
      </c>
      <c r="I441" s="39" t="str">
        <f>_xlfn.XLOOKUP(Table6[[#This Row],[Affected WTG]],'Basic Data'!$A:$A,'Basic Data'!$C:$C)</f>
        <v>MSEDCL</v>
      </c>
      <c r="J441" s="345">
        <f>IFERROR(VLOOKUP(Table6[[#This Row],[Affected WTG]],'Basic Data'!$A$3:$E$56,5,0),"")</f>
        <v>2.564102564102564E-2</v>
      </c>
      <c r="K441" s="105" t="s">
        <v>492</v>
      </c>
      <c r="L441" s="39" t="str">
        <f>IFERROR(VLOOKUP(Table6[[#This Row],[Error Code]],'Basic Data'!$T:$U,2,0),"")</f>
        <v>Manual Stop - Safety Related</v>
      </c>
      <c r="M441" s="346" t="s">
        <v>481</v>
      </c>
      <c r="N441" s="39" t="s">
        <v>230</v>
      </c>
      <c r="O441" s="347">
        <v>0.49583333333333335</v>
      </c>
      <c r="P441" s="347">
        <v>0.49583333333333335</v>
      </c>
      <c r="Q441" s="347">
        <v>0.64166666666666672</v>
      </c>
      <c r="R441" s="348">
        <f>IF(Table6[[#This Row],[Work Start TimeStamp]]="","",(Table6[[#This Row],[Work Start TimeStamp]]-Table6[[#This Row],[Fault Start TimeStamp]])*24)</f>
        <v>0</v>
      </c>
      <c r="S441" s="349">
        <f>(Table6[[#This Row],[Fault Clearance time]]-Table6[[#This Row],[Work Start TimeStamp]])*24</f>
        <v>3.5000000000000009</v>
      </c>
      <c r="T441" s="350">
        <f>(Table6[[#This Row],[Fault Clearance time]]-Table6[[#This Row],[Fault Start TimeStamp]])*24</f>
        <v>3.5000000000000009</v>
      </c>
      <c r="U441" s="346" t="s">
        <v>508</v>
      </c>
      <c r="V441" s="351" t="s">
        <v>463</v>
      </c>
      <c r="W441" s="338">
        <f>Table6[[#This Row],[Breakdown Time]]*(1/39)</f>
        <v>8.9743589743589758E-2</v>
      </c>
      <c r="X441" s="336" t="s">
        <v>465</v>
      </c>
      <c r="Y441" s="352" t="s">
        <v>138</v>
      </c>
      <c r="Z441" s="105">
        <v>12889</v>
      </c>
      <c r="AA441" s="107">
        <v>1879.6458333333337</v>
      </c>
      <c r="AB441" s="105" t="s">
        <v>478</v>
      </c>
    </row>
    <row r="442" spans="1:28">
      <c r="A442" s="105">
        <f t="shared" si="6"/>
        <v>441</v>
      </c>
      <c r="B442" s="107">
        <f>YEAR(Table6[[#This Row],[Date]])+IF(MONTH(Table6[[#This Row],[Date]])&gt;=4,1,0)</f>
        <v>2026</v>
      </c>
      <c r="C442" s="105">
        <f>YEAR(Table6[[#This Row],[Date]])</f>
        <v>2025</v>
      </c>
      <c r="D442" s="105" t="s">
        <v>490</v>
      </c>
      <c r="E442" s="119">
        <f>Table6[[#This Row],[Date]]-DAY(Table6[[#This Row],[Date]])+1</f>
        <v>45778</v>
      </c>
      <c r="F442" s="118">
        <v>45779</v>
      </c>
      <c r="G442" s="105" t="s">
        <v>145</v>
      </c>
      <c r="H442" s="39" t="str">
        <f>_xlfn.XLOOKUP(Table6[[#This Row],[Affected WTG]],'Basic Data'!$A:$A,'Basic Data'!$B:$B)</f>
        <v>PWEGPL</v>
      </c>
      <c r="I442" s="39" t="str">
        <f>_xlfn.XLOOKUP(Table6[[#This Row],[Affected WTG]],'Basic Data'!$A:$A,'Basic Data'!$C:$C)</f>
        <v>MSEDCL</v>
      </c>
      <c r="J442" s="345">
        <f>IFERROR(VLOOKUP(Table6[[#This Row],[Affected WTG]],'Basic Data'!$A$3:$E$56,5,0),"")</f>
        <v>2.564102564102564E-2</v>
      </c>
      <c r="K442" s="105">
        <v>119</v>
      </c>
      <c r="L442" s="39" t="str">
        <f>IFERROR(VLOOKUP(Table6[[#This Row],[Error Code]],'Basic Data'!$T:$U,2,0),"")</f>
        <v>Yaw Contactor Active</v>
      </c>
      <c r="M442" s="346" t="s">
        <v>462</v>
      </c>
      <c r="N442" s="39" t="s">
        <v>1270</v>
      </c>
      <c r="O442" s="347">
        <v>0.66388888888888886</v>
      </c>
      <c r="P442" s="347">
        <v>0.69097222222222221</v>
      </c>
      <c r="Q442" s="347">
        <v>0.69236111111111109</v>
      </c>
      <c r="R442" s="348">
        <f>IF(Table6[[#This Row],[Work Start TimeStamp]]="","",(Table6[[#This Row],[Work Start TimeStamp]]-Table6[[#This Row],[Fault Start TimeStamp]])*24)</f>
        <v>0.65000000000000036</v>
      </c>
      <c r="S442" s="349">
        <f>(Table6[[#This Row],[Fault Clearance time]]-Table6[[#This Row],[Work Start TimeStamp]])*24</f>
        <v>3.3333333333333215E-2</v>
      </c>
      <c r="T442" s="350">
        <f>(Table6[[#This Row],[Fault Clearance time]]-Table6[[#This Row],[Fault Start TimeStamp]])*24</f>
        <v>0.68333333333333357</v>
      </c>
      <c r="U442" s="346" t="s">
        <v>491</v>
      </c>
      <c r="V442" s="351" t="s">
        <v>463</v>
      </c>
      <c r="W442" s="338">
        <f>Table6[[#This Row],[Breakdown Time]]*(1/39)</f>
        <v>1.7521367521367529E-2</v>
      </c>
      <c r="X442" s="336" t="s">
        <v>465</v>
      </c>
      <c r="Y442" s="352" t="s">
        <v>139</v>
      </c>
      <c r="Z442" s="105">
        <v>11834</v>
      </c>
      <c r="AA442" s="107">
        <v>336.94027777777791</v>
      </c>
      <c r="AB442" s="105" t="s">
        <v>478</v>
      </c>
    </row>
    <row r="443" spans="1:28">
      <c r="A443" s="105">
        <f t="shared" si="6"/>
        <v>442</v>
      </c>
      <c r="B443" s="107">
        <f>YEAR(Table6[[#This Row],[Date]])+IF(MONTH(Table6[[#This Row],[Date]])&gt;=4,1,0)</f>
        <v>2026</v>
      </c>
      <c r="C443" s="105">
        <f>YEAR(Table6[[#This Row],[Date]])</f>
        <v>2025</v>
      </c>
      <c r="D443" s="105" t="s">
        <v>490</v>
      </c>
      <c r="E443" s="119">
        <f>Table6[[#This Row],[Date]]-DAY(Table6[[#This Row],[Date]])+1</f>
        <v>45778</v>
      </c>
      <c r="F443" s="118">
        <v>45780</v>
      </c>
      <c r="G443" s="105" t="s">
        <v>144</v>
      </c>
      <c r="H443" s="39" t="str">
        <f>_xlfn.XLOOKUP(Table6[[#This Row],[Affected WTG]],'Basic Data'!$A:$A,'Basic Data'!$B:$B)</f>
        <v>PWEGPL</v>
      </c>
      <c r="I443" s="39" t="str">
        <f>_xlfn.XLOOKUP(Table6[[#This Row],[Affected WTG]],'Basic Data'!$A:$A,'Basic Data'!$C:$C)</f>
        <v>MSEDCL</v>
      </c>
      <c r="J443" s="345">
        <f>IFERROR(VLOOKUP(Table6[[#This Row],[Affected WTG]],'Basic Data'!$A$3:$E$56,5,0),"")</f>
        <v>2.564102564102564E-2</v>
      </c>
      <c r="K443" s="105" t="s">
        <v>492</v>
      </c>
      <c r="L443" s="39" t="str">
        <f>IFERROR(VLOOKUP(Table6[[#This Row],[Error Code]],'Basic Data'!$T:$U,2,0),"")</f>
        <v>Manual Stop - Safety Related</v>
      </c>
      <c r="M443" s="346" t="s">
        <v>481</v>
      </c>
      <c r="N443" s="39" t="s">
        <v>1269</v>
      </c>
      <c r="O443" s="347">
        <v>0</v>
      </c>
      <c r="P443" s="347">
        <v>0.99930555555555556</v>
      </c>
      <c r="Q443" s="347">
        <v>0.99930555555555556</v>
      </c>
      <c r="R443" s="348">
        <f>IF(Table6[[#This Row],[Work Start TimeStamp]]="","",(Table6[[#This Row],[Work Start TimeStamp]]-Table6[[#This Row],[Fault Start TimeStamp]])*24)</f>
        <v>23.983333333333334</v>
      </c>
      <c r="S443" s="349">
        <f>(Table6[[#This Row],[Fault Clearance time]]-Table6[[#This Row],[Work Start TimeStamp]])*24</f>
        <v>0</v>
      </c>
      <c r="T443" s="350">
        <f>(Table6[[#This Row],[Fault Clearance time]]-Table6[[#This Row],[Fault Start TimeStamp]])*24</f>
        <v>23.983333333333334</v>
      </c>
      <c r="U443" s="346" t="s">
        <v>498</v>
      </c>
      <c r="V443" s="351" t="s">
        <v>473</v>
      </c>
      <c r="W443" s="338">
        <f>Table6[[#This Row],[Breakdown Time]]*(1/39)</f>
        <v>0.61495726495726499</v>
      </c>
      <c r="X443" s="336" t="s">
        <v>468</v>
      </c>
      <c r="Y443" s="352" t="s">
        <v>141</v>
      </c>
      <c r="Z443" s="105">
        <v>16562</v>
      </c>
      <c r="AA443" s="107">
        <v>16550.498611111114</v>
      </c>
      <c r="AB443" s="105" t="s">
        <v>478</v>
      </c>
    </row>
    <row r="444" spans="1:28">
      <c r="A444" s="105">
        <f t="shared" si="6"/>
        <v>443</v>
      </c>
      <c r="B444" s="107">
        <f>YEAR(Table6[[#This Row],[Date]])+IF(MONTH(Table6[[#This Row],[Date]])&gt;=4,1,0)</f>
        <v>2026</v>
      </c>
      <c r="C444" s="105">
        <f>YEAR(Table6[[#This Row],[Date]])</f>
        <v>2025</v>
      </c>
      <c r="D444" s="105" t="s">
        <v>490</v>
      </c>
      <c r="E444" s="119">
        <f>Table6[[#This Row],[Date]]-DAY(Table6[[#This Row],[Date]])+1</f>
        <v>45778</v>
      </c>
      <c r="F444" s="118">
        <v>45780</v>
      </c>
      <c r="G444" s="105" t="s">
        <v>142</v>
      </c>
      <c r="H444" s="39" t="str">
        <f>_xlfn.XLOOKUP(Table6[[#This Row],[Affected WTG]],'Basic Data'!$A:$A,'Basic Data'!$B:$B)</f>
        <v>PWEGPL</v>
      </c>
      <c r="I444" s="39" t="str">
        <f>_xlfn.XLOOKUP(Table6[[#This Row],[Affected WTG]],'Basic Data'!$A:$A,'Basic Data'!$C:$C)</f>
        <v>MSEDCL</v>
      </c>
      <c r="J444" s="345">
        <f>IFERROR(VLOOKUP(Table6[[#This Row],[Affected WTG]],'Basic Data'!$A$3:$E$56,5,0),"")</f>
        <v>2.564102564102564E-2</v>
      </c>
      <c r="K444" s="105" t="s">
        <v>492</v>
      </c>
      <c r="L444" s="39" t="str">
        <f>IFERROR(VLOOKUP(Table6[[#This Row],[Error Code]],'Basic Data'!$T:$U,2,0),"")</f>
        <v>Manual Stop - Safety Related</v>
      </c>
      <c r="M444" s="346" t="s">
        <v>481</v>
      </c>
      <c r="N444" s="39" t="s">
        <v>1269</v>
      </c>
      <c r="O444" s="347">
        <v>0</v>
      </c>
      <c r="P444" s="347">
        <v>0.99930555555555556</v>
      </c>
      <c r="Q444" s="347">
        <v>0.99930555555555556</v>
      </c>
      <c r="R444" s="348">
        <f>IF(Table6[[#This Row],[Work Start TimeStamp]]="","",(Table6[[#This Row],[Work Start TimeStamp]]-Table6[[#This Row],[Fault Start TimeStamp]])*24)</f>
        <v>23.983333333333334</v>
      </c>
      <c r="S444" s="349">
        <f>(Table6[[#This Row],[Fault Clearance time]]-Table6[[#This Row],[Work Start TimeStamp]])*24</f>
        <v>0</v>
      </c>
      <c r="T444" s="350">
        <f>(Table6[[#This Row],[Fault Clearance time]]-Table6[[#This Row],[Fault Start TimeStamp]])*24</f>
        <v>23.983333333333334</v>
      </c>
      <c r="U444" s="346" t="s">
        <v>498</v>
      </c>
      <c r="V444" s="351" t="s">
        <v>473</v>
      </c>
      <c r="W444" s="338">
        <f>Table6[[#This Row],[Breakdown Time]]*(1/39)</f>
        <v>0.61495726495726499</v>
      </c>
      <c r="X444" s="336" t="s">
        <v>468</v>
      </c>
      <c r="Y444" s="352" t="s">
        <v>141</v>
      </c>
      <c r="Z444" s="105">
        <v>16562</v>
      </c>
      <c r="AA444" s="107">
        <v>16550.498611111114</v>
      </c>
      <c r="AB444" s="105" t="s">
        <v>478</v>
      </c>
    </row>
    <row r="445" spans="1:28">
      <c r="A445" s="105">
        <f t="shared" si="6"/>
        <v>444</v>
      </c>
      <c r="B445" s="107">
        <f>YEAR(Table6[[#This Row],[Date]])+IF(MONTH(Table6[[#This Row],[Date]])&gt;=4,1,0)</f>
        <v>2026</v>
      </c>
      <c r="C445" s="105">
        <f>YEAR(Table6[[#This Row],[Date]])</f>
        <v>2025</v>
      </c>
      <c r="D445" s="105" t="s">
        <v>490</v>
      </c>
      <c r="E445" s="119">
        <f>Table6[[#This Row],[Date]]-DAY(Table6[[#This Row],[Date]])+1</f>
        <v>45778</v>
      </c>
      <c r="F445" s="118">
        <v>45780</v>
      </c>
      <c r="G445" s="105" t="s">
        <v>123</v>
      </c>
      <c r="H445" s="39" t="str">
        <f>_xlfn.XLOOKUP(Table6[[#This Row],[Affected WTG]],'Basic Data'!$A:$A,'Basic Data'!$B:$B)</f>
        <v>PWEGPL</v>
      </c>
      <c r="I445" s="39" t="str">
        <f>_xlfn.XLOOKUP(Table6[[#This Row],[Affected WTG]],'Basic Data'!$A:$A,'Basic Data'!$C:$C)</f>
        <v>MSEDCL</v>
      </c>
      <c r="J445" s="345">
        <f>IFERROR(VLOOKUP(Table6[[#This Row],[Affected WTG]],'Basic Data'!$A$3:$E$56,5,0),"")</f>
        <v>2.564102564102564E-2</v>
      </c>
      <c r="K445" s="105">
        <v>222</v>
      </c>
      <c r="L445" s="39" t="str">
        <f>IFERROR(VLOOKUP(Table6[[#This Row],[Error Code]],'Basic Data'!$T:$U,2,0),"")</f>
        <v>Very Low Pressure On Hydraulic Unit</v>
      </c>
      <c r="M445" s="346" t="s">
        <v>462</v>
      </c>
      <c r="N445" s="39" t="s">
        <v>1270</v>
      </c>
      <c r="O445" s="347">
        <v>0.63194444444444442</v>
      </c>
      <c r="P445" s="347">
        <v>0.64930555555555558</v>
      </c>
      <c r="Q445" s="347">
        <v>0.65</v>
      </c>
      <c r="R445" s="348">
        <f>IF(Table6[[#This Row],[Work Start TimeStamp]]="","",(Table6[[#This Row],[Work Start TimeStamp]]-Table6[[#This Row],[Fault Start TimeStamp]])*24)</f>
        <v>0.41666666666666785</v>
      </c>
      <c r="S445" s="349">
        <f>(Table6[[#This Row],[Fault Clearance time]]-Table6[[#This Row],[Work Start TimeStamp]])*24</f>
        <v>1.6666666666666607E-2</v>
      </c>
      <c r="T445" s="350">
        <f>(Table6[[#This Row],[Fault Clearance time]]-Table6[[#This Row],[Fault Start TimeStamp]])*24</f>
        <v>0.43333333333333446</v>
      </c>
      <c r="U445" s="346" t="s">
        <v>493</v>
      </c>
      <c r="V445" s="351" t="s">
        <v>463</v>
      </c>
      <c r="W445" s="338">
        <f>Table6[[#This Row],[Breakdown Time]]*(1/39)</f>
        <v>1.1111111111111139E-2</v>
      </c>
      <c r="X445" s="336" t="s">
        <v>465</v>
      </c>
      <c r="Y445" s="352" t="s">
        <v>126</v>
      </c>
      <c r="Z445" s="105">
        <v>17727</v>
      </c>
      <c r="AA445" s="107">
        <v>320.07083333333418</v>
      </c>
      <c r="AB445" s="105" t="s">
        <v>478</v>
      </c>
    </row>
    <row r="446" spans="1:28">
      <c r="A446" s="105">
        <f t="shared" si="6"/>
        <v>445</v>
      </c>
      <c r="B446" s="107">
        <f>YEAR(Table6[[#This Row],[Date]])+IF(MONTH(Table6[[#This Row],[Date]])&gt;=4,1,0)</f>
        <v>2026</v>
      </c>
      <c r="C446" s="105">
        <f>YEAR(Table6[[#This Row],[Date]])</f>
        <v>2025</v>
      </c>
      <c r="D446" s="105" t="s">
        <v>490</v>
      </c>
      <c r="E446" s="119">
        <f>Table6[[#This Row],[Date]]-DAY(Table6[[#This Row],[Date]])+1</f>
        <v>45778</v>
      </c>
      <c r="F446" s="118">
        <v>45780</v>
      </c>
      <c r="G446" s="105" t="s">
        <v>126</v>
      </c>
      <c r="H446" s="39" t="str">
        <f>_xlfn.XLOOKUP(Table6[[#This Row],[Affected WTG]],'Basic Data'!$A:$A,'Basic Data'!$B:$B)</f>
        <v>PWEGPL</v>
      </c>
      <c r="I446" s="39" t="str">
        <f>_xlfn.XLOOKUP(Table6[[#This Row],[Affected WTG]],'Basic Data'!$A:$A,'Basic Data'!$C:$C)</f>
        <v>MSEDCL</v>
      </c>
      <c r="J446" s="345">
        <f>IFERROR(VLOOKUP(Table6[[#This Row],[Affected WTG]],'Basic Data'!$A$3:$E$56,5,0),"")</f>
        <v>2.564102564102564E-2</v>
      </c>
      <c r="K446" s="105">
        <v>203</v>
      </c>
      <c r="L446" s="39" t="str">
        <f>IFERROR(VLOOKUP(Table6[[#This Row],[Error Code]],'Basic Data'!$T:$U,2,0),"")</f>
        <v>Low Pressure On Hydraulic Group</v>
      </c>
      <c r="M446" s="346" t="s">
        <v>462</v>
      </c>
      <c r="N446" s="39" t="s">
        <v>1270</v>
      </c>
      <c r="O446" s="347">
        <v>0.61250000000000004</v>
      </c>
      <c r="P446" s="347">
        <v>0.62638888888888888</v>
      </c>
      <c r="Q446" s="347">
        <v>0.62708333333333333</v>
      </c>
      <c r="R446" s="348">
        <f>IF(Table6[[#This Row],[Work Start TimeStamp]]="","",(Table6[[#This Row],[Work Start TimeStamp]]-Table6[[#This Row],[Fault Start TimeStamp]])*24)</f>
        <v>0.33333333333333215</v>
      </c>
      <c r="S446" s="349">
        <f>(Table6[[#This Row],[Fault Clearance time]]-Table6[[#This Row],[Work Start TimeStamp]])*24</f>
        <v>1.6666666666666607E-2</v>
      </c>
      <c r="T446" s="350">
        <f>(Table6[[#This Row],[Fault Clearance time]]-Table6[[#This Row],[Fault Start TimeStamp]])*24</f>
        <v>0.34999999999999876</v>
      </c>
      <c r="U446" s="346" t="s">
        <v>493</v>
      </c>
      <c r="V446" s="351" t="s">
        <v>463</v>
      </c>
      <c r="W446" s="338">
        <f>Table6[[#This Row],[Breakdown Time]]*(1/39)</f>
        <v>8.9743589743589425E-3</v>
      </c>
      <c r="X446" s="336" t="s">
        <v>465</v>
      </c>
      <c r="Y446" s="352" t="s">
        <v>127</v>
      </c>
      <c r="Z446" s="105">
        <v>18239</v>
      </c>
      <c r="AA446" s="107">
        <v>265.98541666666574</v>
      </c>
      <c r="AB446" s="105" t="s">
        <v>478</v>
      </c>
    </row>
    <row r="447" spans="1:28">
      <c r="A447" s="105">
        <f t="shared" si="6"/>
        <v>446</v>
      </c>
      <c r="B447" s="107">
        <f>YEAR(Table6[[#This Row],[Date]])+IF(MONTH(Table6[[#This Row],[Date]])&gt;=4,1,0)</f>
        <v>2026</v>
      </c>
      <c r="C447" s="105">
        <f>YEAR(Table6[[#This Row],[Date]])</f>
        <v>2025</v>
      </c>
      <c r="D447" s="105" t="s">
        <v>490</v>
      </c>
      <c r="E447" s="119">
        <f>Table6[[#This Row],[Date]]-DAY(Table6[[#This Row],[Date]])+1</f>
        <v>45778</v>
      </c>
      <c r="F447" s="118">
        <v>45780</v>
      </c>
      <c r="G447" s="105" t="s">
        <v>133</v>
      </c>
      <c r="H447" s="39" t="str">
        <f>_xlfn.XLOOKUP(Table6[[#This Row],[Affected WTG]],'Basic Data'!$A:$A,'Basic Data'!$B:$B)</f>
        <v>PWEGPL</v>
      </c>
      <c r="I447" s="39" t="str">
        <f>_xlfn.XLOOKUP(Table6[[#This Row],[Affected WTG]],'Basic Data'!$A:$A,'Basic Data'!$C:$C)</f>
        <v>MSEDCL</v>
      </c>
      <c r="J447" s="345">
        <f>IFERROR(VLOOKUP(Table6[[#This Row],[Affected WTG]],'Basic Data'!$A$3:$E$56,5,0),"")</f>
        <v>2.564102564102564E-2</v>
      </c>
      <c r="K447" s="105" t="s">
        <v>466</v>
      </c>
      <c r="L447" s="39" t="str">
        <f>IFERROR(VLOOKUP(Table6[[#This Row],[Error Code]],'Basic Data'!$T:$U,2,0),"")</f>
        <v>Manual Stop</v>
      </c>
      <c r="M447" s="346" t="s">
        <v>479</v>
      </c>
      <c r="N447" s="39" t="s">
        <v>230</v>
      </c>
      <c r="O447" s="347">
        <v>0.35416666666666669</v>
      </c>
      <c r="P447" s="347">
        <v>0.35416666666666669</v>
      </c>
      <c r="Q447" s="347">
        <v>0.55625000000000002</v>
      </c>
      <c r="R447" s="348">
        <f>IF(Table6[[#This Row],[Work Start TimeStamp]]="","",(Table6[[#This Row],[Work Start TimeStamp]]-Table6[[#This Row],[Fault Start TimeStamp]])*24)</f>
        <v>0</v>
      </c>
      <c r="S447" s="349">
        <f>(Table6[[#This Row],[Fault Clearance time]]-Table6[[#This Row],[Work Start TimeStamp]])*24</f>
        <v>4.8499999999999996</v>
      </c>
      <c r="T447" s="350">
        <f>(Table6[[#This Row],[Fault Clearance time]]-Table6[[#This Row],[Fault Start TimeStamp]])*24</f>
        <v>4.8499999999999996</v>
      </c>
      <c r="U447" s="346" t="s">
        <v>579</v>
      </c>
      <c r="V447" s="351" t="s">
        <v>463</v>
      </c>
      <c r="W447" s="338">
        <f>Table6[[#This Row],[Breakdown Time]]*(1/39)</f>
        <v>0.12435897435897435</v>
      </c>
      <c r="X447" s="336" t="s">
        <v>464</v>
      </c>
      <c r="Y447" s="352" t="s">
        <v>132</v>
      </c>
      <c r="Z447" s="105">
        <v>18234</v>
      </c>
      <c r="AA447" s="107">
        <v>3684.7874999999999</v>
      </c>
      <c r="AB447" s="105" t="s">
        <v>478</v>
      </c>
    </row>
    <row r="448" spans="1:28">
      <c r="A448" s="105">
        <f t="shared" si="6"/>
        <v>447</v>
      </c>
      <c r="B448" s="107">
        <f>YEAR(Table6[[#This Row],[Date]])+IF(MONTH(Table6[[#This Row],[Date]])&gt;=4,1,0)</f>
        <v>2026</v>
      </c>
      <c r="C448" s="105">
        <f>YEAR(Table6[[#This Row],[Date]])</f>
        <v>2025</v>
      </c>
      <c r="D448" s="105" t="s">
        <v>490</v>
      </c>
      <c r="E448" s="119">
        <f>Table6[[#This Row],[Date]]-DAY(Table6[[#This Row],[Date]])+1</f>
        <v>45778</v>
      </c>
      <c r="F448" s="118">
        <v>45780</v>
      </c>
      <c r="G448" s="105" t="s">
        <v>145</v>
      </c>
      <c r="H448" s="39" t="str">
        <f>_xlfn.XLOOKUP(Table6[[#This Row],[Affected WTG]],'Basic Data'!$A:$A,'Basic Data'!$B:$B)</f>
        <v>PWEGPL</v>
      </c>
      <c r="I448" s="39" t="str">
        <f>_xlfn.XLOOKUP(Table6[[#This Row],[Affected WTG]],'Basic Data'!$A:$A,'Basic Data'!$C:$C)</f>
        <v>MSEDCL</v>
      </c>
      <c r="J448" s="345">
        <f>IFERROR(VLOOKUP(Table6[[#This Row],[Affected WTG]],'Basic Data'!$A$3:$E$56,5,0),"")</f>
        <v>2.564102564102564E-2</v>
      </c>
      <c r="K448" s="105">
        <v>102</v>
      </c>
      <c r="L448" s="39" t="str">
        <f>IFERROR(VLOOKUP(Table6[[#This Row],[Error Code]],'Basic Data'!$T:$U,2,0),"")</f>
        <v>CW Feedback Failure</v>
      </c>
      <c r="M448" s="346" t="s">
        <v>462</v>
      </c>
      <c r="N448" s="39" t="s">
        <v>1270</v>
      </c>
      <c r="O448" s="347">
        <v>0.40625</v>
      </c>
      <c r="P448" s="347">
        <v>0.43055555555555558</v>
      </c>
      <c r="Q448" s="347">
        <v>0.43125000000000002</v>
      </c>
      <c r="R448" s="348">
        <f>IF(Table6[[#This Row],[Work Start TimeStamp]]="","",(Table6[[#This Row],[Work Start TimeStamp]]-Table6[[#This Row],[Fault Start TimeStamp]])*24)</f>
        <v>0.58333333333333393</v>
      </c>
      <c r="S448" s="349">
        <f>(Table6[[#This Row],[Fault Clearance time]]-Table6[[#This Row],[Work Start TimeStamp]])*24</f>
        <v>1.6666666666666607E-2</v>
      </c>
      <c r="T448" s="350">
        <f>(Table6[[#This Row],[Fault Clearance time]]-Table6[[#This Row],[Fault Start TimeStamp]])*24</f>
        <v>0.60000000000000053</v>
      </c>
      <c r="U448" s="346" t="s">
        <v>493</v>
      </c>
      <c r="V448" s="351" t="s">
        <v>463</v>
      </c>
      <c r="W448" s="338">
        <f>Table6[[#This Row],[Breakdown Time]]*(1/39)</f>
        <v>1.5384615384615398E-2</v>
      </c>
      <c r="X448" s="336" t="s">
        <v>465</v>
      </c>
      <c r="Y448" s="352" t="s">
        <v>139</v>
      </c>
      <c r="Z448" s="105">
        <v>14845</v>
      </c>
      <c r="AA448" s="107">
        <v>371.12500000000028</v>
      </c>
      <c r="AB448" s="105" t="s">
        <v>478</v>
      </c>
    </row>
    <row r="449" spans="1:28">
      <c r="A449" s="105">
        <f t="shared" si="6"/>
        <v>448</v>
      </c>
      <c r="B449" s="107">
        <f>YEAR(Table6[[#This Row],[Date]])+IF(MONTH(Table6[[#This Row],[Date]])&gt;=4,1,0)</f>
        <v>2026</v>
      </c>
      <c r="C449" s="105">
        <f>YEAR(Table6[[#This Row],[Date]])</f>
        <v>2025</v>
      </c>
      <c r="D449" s="105" t="s">
        <v>490</v>
      </c>
      <c r="E449" s="119">
        <f>Table6[[#This Row],[Date]]-DAY(Table6[[#This Row],[Date]])+1</f>
        <v>45778</v>
      </c>
      <c r="F449" s="118">
        <v>45780</v>
      </c>
      <c r="G449" s="105" t="s">
        <v>148</v>
      </c>
      <c r="H449" s="39" t="str">
        <f>_xlfn.XLOOKUP(Table6[[#This Row],[Affected WTG]],'Basic Data'!$A:$A,'Basic Data'!$B:$B)</f>
        <v>PWEGPL</v>
      </c>
      <c r="I449" s="39" t="str">
        <f>_xlfn.XLOOKUP(Table6[[#This Row],[Affected WTG]],'Basic Data'!$A:$A,'Basic Data'!$C:$C)</f>
        <v>MSEDCL</v>
      </c>
      <c r="J449" s="345">
        <f>IFERROR(VLOOKUP(Table6[[#This Row],[Affected WTG]],'Basic Data'!$A$3:$E$56,5,0),"")</f>
        <v>2.564102564102564E-2</v>
      </c>
      <c r="K449" s="105" t="s">
        <v>476</v>
      </c>
      <c r="L449" s="39" t="str">
        <f>IFERROR(VLOOKUP(Table6[[#This Row],[Error Code]],'Basic Data'!$T:$U,2,0),"")</f>
        <v>Manual Stop - Preventive Maintenance Activity</v>
      </c>
      <c r="M449" s="346" t="s">
        <v>474</v>
      </c>
      <c r="N449" s="39" t="s">
        <v>230</v>
      </c>
      <c r="O449" s="347">
        <v>0.47291666666666665</v>
      </c>
      <c r="P449" s="347">
        <v>0.47291666666666665</v>
      </c>
      <c r="Q449" s="347">
        <v>0.72569444444444442</v>
      </c>
      <c r="R449" s="348">
        <f>IF(Table6[[#This Row],[Work Start TimeStamp]]="","",(Table6[[#This Row],[Work Start TimeStamp]]-Table6[[#This Row],[Fault Start TimeStamp]])*24)</f>
        <v>0</v>
      </c>
      <c r="S449" s="349">
        <f>(Table6[[#This Row],[Fault Clearance time]]-Table6[[#This Row],[Work Start TimeStamp]])*24</f>
        <v>6.0666666666666664</v>
      </c>
      <c r="T449" s="350">
        <f>(Table6[[#This Row],[Fault Clearance time]]-Table6[[#This Row],[Fault Start TimeStamp]])*24</f>
        <v>6.0666666666666664</v>
      </c>
      <c r="U449" s="346" t="s">
        <v>580</v>
      </c>
      <c r="V449" s="351" t="s">
        <v>463</v>
      </c>
      <c r="W449" s="338">
        <f>Table6[[#This Row],[Breakdown Time]]*(1/39)</f>
        <v>0.15555555555555553</v>
      </c>
      <c r="X449" s="336" t="s">
        <v>467</v>
      </c>
      <c r="Y449" s="352" t="s">
        <v>149</v>
      </c>
      <c r="Z449" s="105">
        <v>14847</v>
      </c>
      <c r="AA449" s="107">
        <v>3752.9916666666663</v>
      </c>
      <c r="AB449" s="105" t="s">
        <v>478</v>
      </c>
    </row>
    <row r="450" spans="1:28">
      <c r="A450" s="105">
        <f t="shared" si="6"/>
        <v>449</v>
      </c>
      <c r="B450" s="107">
        <f>YEAR(Table6[[#This Row],[Date]])+IF(MONTH(Table6[[#This Row],[Date]])&gt;=4,1,0)</f>
        <v>2026</v>
      </c>
      <c r="C450" s="105">
        <f>YEAR(Table6[[#This Row],[Date]])</f>
        <v>2025</v>
      </c>
      <c r="D450" s="105" t="s">
        <v>490</v>
      </c>
      <c r="E450" s="119">
        <f>Table6[[#This Row],[Date]]-DAY(Table6[[#This Row],[Date]])+1</f>
        <v>45778</v>
      </c>
      <c r="F450" s="118">
        <v>45780</v>
      </c>
      <c r="G450" s="105" t="s">
        <v>150</v>
      </c>
      <c r="H450" s="39" t="str">
        <f>_xlfn.XLOOKUP(Table6[[#This Row],[Affected WTG]],'Basic Data'!$A:$A,'Basic Data'!$B:$B)</f>
        <v>PWEGPL</v>
      </c>
      <c r="I450" s="39" t="str">
        <f>_xlfn.XLOOKUP(Table6[[#This Row],[Affected WTG]],'Basic Data'!$A:$A,'Basic Data'!$C:$C)</f>
        <v>MSEDCL</v>
      </c>
      <c r="J450" s="345">
        <f>IFERROR(VLOOKUP(Table6[[#This Row],[Affected WTG]],'Basic Data'!$A$3:$E$56,5,0),"")</f>
        <v>2.564102564102564E-2</v>
      </c>
      <c r="K450" s="105">
        <v>2118</v>
      </c>
      <c r="L450" s="39" t="str">
        <f>IFERROR(VLOOKUP(Table6[[#This Row],[Error Code]],'Basic Data'!$T:$U,2,0),"")</f>
        <v>Bus Error - Interbus Failure</v>
      </c>
      <c r="M450" s="346" t="s">
        <v>462</v>
      </c>
      <c r="N450" s="39" t="s">
        <v>1270</v>
      </c>
      <c r="O450" s="347">
        <v>0.55625000000000002</v>
      </c>
      <c r="P450" s="347">
        <v>0.60555555555555551</v>
      </c>
      <c r="Q450" s="347">
        <v>0.60763888888888884</v>
      </c>
      <c r="R450" s="348">
        <f>IF(Table6[[#This Row],[Work Start TimeStamp]]="","",(Table6[[#This Row],[Work Start TimeStamp]]-Table6[[#This Row],[Fault Start TimeStamp]])*24)</f>
        <v>1.1833333333333318</v>
      </c>
      <c r="S450" s="349">
        <f>(Table6[[#This Row],[Fault Clearance time]]-Table6[[#This Row],[Work Start TimeStamp]])*24</f>
        <v>4.9999999999999822E-2</v>
      </c>
      <c r="T450" s="350">
        <f>(Table6[[#This Row],[Fault Clearance time]]-Table6[[#This Row],[Fault Start TimeStamp]])*24</f>
        <v>1.2333333333333316</v>
      </c>
      <c r="U450" s="346" t="s">
        <v>491</v>
      </c>
      <c r="V450" s="351" t="s">
        <v>463</v>
      </c>
      <c r="W450" s="338">
        <f>Table6[[#This Row],[Breakdown Time]]*(1/39)</f>
        <v>3.1623931623931581E-2</v>
      </c>
      <c r="X450" s="336" t="s">
        <v>465</v>
      </c>
      <c r="Y450" s="352" t="s">
        <v>149</v>
      </c>
      <c r="Z450" s="105">
        <v>14847</v>
      </c>
      <c r="AA450" s="107">
        <v>762.97083333333228</v>
      </c>
      <c r="AB450" s="105" t="s">
        <v>478</v>
      </c>
    </row>
    <row r="451" spans="1:28">
      <c r="A451" s="105">
        <f t="shared" si="6"/>
        <v>450</v>
      </c>
      <c r="B451" s="107">
        <f>YEAR(Table6[[#This Row],[Date]])+IF(MONTH(Table6[[#This Row],[Date]])&gt;=4,1,0)</f>
        <v>2026</v>
      </c>
      <c r="C451" s="105">
        <f>YEAR(Table6[[#This Row],[Date]])</f>
        <v>2025</v>
      </c>
      <c r="D451" s="105" t="s">
        <v>490</v>
      </c>
      <c r="E451" s="119">
        <f>Table6[[#This Row],[Date]]-DAY(Table6[[#This Row],[Date]])+1</f>
        <v>45778</v>
      </c>
      <c r="F451" s="118">
        <v>45781</v>
      </c>
      <c r="G451" s="105" t="s">
        <v>144</v>
      </c>
      <c r="H451" s="39" t="str">
        <f>_xlfn.XLOOKUP(Table6[[#This Row],[Affected WTG]],'Basic Data'!$A:$A,'Basic Data'!$B:$B)</f>
        <v>PWEGPL</v>
      </c>
      <c r="I451" s="39" t="str">
        <f>_xlfn.XLOOKUP(Table6[[#This Row],[Affected WTG]],'Basic Data'!$A:$A,'Basic Data'!$C:$C)</f>
        <v>MSEDCL</v>
      </c>
      <c r="J451" s="345">
        <f>IFERROR(VLOOKUP(Table6[[#This Row],[Affected WTG]],'Basic Data'!$A$3:$E$56,5,0),"")</f>
        <v>2.564102564102564E-2</v>
      </c>
      <c r="K451" s="105" t="s">
        <v>492</v>
      </c>
      <c r="L451" s="39" t="str">
        <f>IFERROR(VLOOKUP(Table6[[#This Row],[Error Code]],'Basic Data'!$T:$U,2,0),"")</f>
        <v>Manual Stop - Safety Related</v>
      </c>
      <c r="M451" s="346" t="s">
        <v>481</v>
      </c>
      <c r="N451" s="39" t="s">
        <v>1269</v>
      </c>
      <c r="O451" s="347">
        <v>0</v>
      </c>
      <c r="P451" s="347">
        <v>0.99930555555555556</v>
      </c>
      <c r="Q451" s="347">
        <v>0.99930555555555556</v>
      </c>
      <c r="R451" s="348">
        <f>IF(Table6[[#This Row],[Work Start TimeStamp]]="","",(Table6[[#This Row],[Work Start TimeStamp]]-Table6[[#This Row],[Fault Start TimeStamp]])*24)</f>
        <v>23.983333333333334</v>
      </c>
      <c r="S451" s="349">
        <f>(Table6[[#This Row],[Fault Clearance time]]-Table6[[#This Row],[Work Start TimeStamp]])*24</f>
        <v>0</v>
      </c>
      <c r="T451" s="350">
        <f>(Table6[[#This Row],[Fault Clearance time]]-Table6[[#This Row],[Fault Start TimeStamp]])*24</f>
        <v>23.983333333333334</v>
      </c>
      <c r="U451" s="346" t="s">
        <v>498</v>
      </c>
      <c r="V451" s="351" t="s">
        <v>473</v>
      </c>
      <c r="W451" s="338">
        <f>Table6[[#This Row],[Breakdown Time]]*(1/39)</f>
        <v>0.61495726495726499</v>
      </c>
      <c r="X451" s="336" t="s">
        <v>468</v>
      </c>
      <c r="Y451" s="352" t="s">
        <v>141</v>
      </c>
      <c r="Z451" s="105">
        <v>11152</v>
      </c>
      <c r="AA451" s="107">
        <v>11144.255555555557</v>
      </c>
      <c r="AB451" s="105" t="s">
        <v>478</v>
      </c>
    </row>
    <row r="452" spans="1:28">
      <c r="A452" s="105">
        <f t="shared" ref="A452:A515" si="7">A451+1</f>
        <v>451</v>
      </c>
      <c r="B452" s="107">
        <f>YEAR(Table6[[#This Row],[Date]])+IF(MONTH(Table6[[#This Row],[Date]])&gt;=4,1,0)</f>
        <v>2026</v>
      </c>
      <c r="C452" s="105">
        <f>YEAR(Table6[[#This Row],[Date]])</f>
        <v>2025</v>
      </c>
      <c r="D452" s="105" t="s">
        <v>490</v>
      </c>
      <c r="E452" s="119">
        <f>Table6[[#This Row],[Date]]-DAY(Table6[[#This Row],[Date]])+1</f>
        <v>45778</v>
      </c>
      <c r="F452" s="118">
        <v>45781</v>
      </c>
      <c r="G452" s="105" t="s">
        <v>142</v>
      </c>
      <c r="H452" s="39" t="str">
        <f>_xlfn.XLOOKUP(Table6[[#This Row],[Affected WTG]],'Basic Data'!$A:$A,'Basic Data'!$B:$B)</f>
        <v>PWEGPL</v>
      </c>
      <c r="I452" s="39" t="str">
        <f>_xlfn.XLOOKUP(Table6[[#This Row],[Affected WTG]],'Basic Data'!$A:$A,'Basic Data'!$C:$C)</f>
        <v>MSEDCL</v>
      </c>
      <c r="J452" s="345">
        <f>IFERROR(VLOOKUP(Table6[[#This Row],[Affected WTG]],'Basic Data'!$A$3:$E$56,5,0),"")</f>
        <v>2.564102564102564E-2</v>
      </c>
      <c r="K452" s="105" t="s">
        <v>492</v>
      </c>
      <c r="L452" s="39" t="str">
        <f>IFERROR(VLOOKUP(Table6[[#This Row],[Error Code]],'Basic Data'!$T:$U,2,0),"")</f>
        <v>Manual Stop - Safety Related</v>
      </c>
      <c r="M452" s="346" t="s">
        <v>481</v>
      </c>
      <c r="N452" s="39" t="s">
        <v>1269</v>
      </c>
      <c r="O452" s="347">
        <v>0</v>
      </c>
      <c r="P452" s="347">
        <v>0.99930555555555556</v>
      </c>
      <c r="Q452" s="347">
        <v>0.99930555555555556</v>
      </c>
      <c r="R452" s="348">
        <f>IF(Table6[[#This Row],[Work Start TimeStamp]]="","",(Table6[[#This Row],[Work Start TimeStamp]]-Table6[[#This Row],[Fault Start TimeStamp]])*24)</f>
        <v>23.983333333333334</v>
      </c>
      <c r="S452" s="349">
        <f>(Table6[[#This Row],[Fault Clearance time]]-Table6[[#This Row],[Work Start TimeStamp]])*24</f>
        <v>0</v>
      </c>
      <c r="T452" s="350">
        <f>(Table6[[#This Row],[Fault Clearance time]]-Table6[[#This Row],[Fault Start TimeStamp]])*24</f>
        <v>23.983333333333334</v>
      </c>
      <c r="U452" s="346" t="s">
        <v>498</v>
      </c>
      <c r="V452" s="351" t="s">
        <v>473</v>
      </c>
      <c r="W452" s="338">
        <f>Table6[[#This Row],[Breakdown Time]]*(1/39)</f>
        <v>0.61495726495726499</v>
      </c>
      <c r="X452" s="336" t="s">
        <v>468</v>
      </c>
      <c r="Y452" s="352" t="s">
        <v>141</v>
      </c>
      <c r="Z452" s="105">
        <v>11152</v>
      </c>
      <c r="AA452" s="107">
        <v>11144.255555555557</v>
      </c>
      <c r="AB452" s="105" t="s">
        <v>478</v>
      </c>
    </row>
    <row r="453" spans="1:28">
      <c r="A453" s="105">
        <f t="shared" si="7"/>
        <v>452</v>
      </c>
      <c r="B453" s="107">
        <f>YEAR(Table6[[#This Row],[Date]])+IF(MONTH(Table6[[#This Row],[Date]])&gt;=4,1,0)</f>
        <v>2026</v>
      </c>
      <c r="C453" s="105">
        <f>YEAR(Table6[[#This Row],[Date]])</f>
        <v>2025</v>
      </c>
      <c r="D453" s="105" t="s">
        <v>490</v>
      </c>
      <c r="E453" s="119">
        <f>Table6[[#This Row],[Date]]-DAY(Table6[[#This Row],[Date]])+1</f>
        <v>45778</v>
      </c>
      <c r="F453" s="118">
        <v>45781</v>
      </c>
      <c r="G453" s="105" t="s">
        <v>126</v>
      </c>
      <c r="H453" s="39" t="str">
        <f>_xlfn.XLOOKUP(Table6[[#This Row],[Affected WTG]],'Basic Data'!$A:$A,'Basic Data'!$B:$B)</f>
        <v>PWEGPL</v>
      </c>
      <c r="I453" s="39" t="str">
        <f>_xlfn.XLOOKUP(Table6[[#This Row],[Affected WTG]],'Basic Data'!$A:$A,'Basic Data'!$C:$C)</f>
        <v>MSEDCL</v>
      </c>
      <c r="J453" s="345">
        <f>IFERROR(VLOOKUP(Table6[[#This Row],[Affected WTG]],'Basic Data'!$A$3:$E$56,5,0),"")</f>
        <v>2.564102564102564E-2</v>
      </c>
      <c r="K453" s="105">
        <v>203</v>
      </c>
      <c r="L453" s="39" t="str">
        <f>IFERROR(VLOOKUP(Table6[[#This Row],[Error Code]],'Basic Data'!$T:$U,2,0),"")</f>
        <v>Low Pressure On Hydraulic Group</v>
      </c>
      <c r="M453" s="346" t="s">
        <v>462</v>
      </c>
      <c r="N453" s="39" t="s">
        <v>1270</v>
      </c>
      <c r="O453" s="347">
        <v>0.5805555555555556</v>
      </c>
      <c r="P453" s="347">
        <v>0.59722222222222221</v>
      </c>
      <c r="Q453" s="347">
        <v>0.59791666666666665</v>
      </c>
      <c r="R453" s="348">
        <f>IF(Table6[[#This Row],[Work Start TimeStamp]]="","",(Table6[[#This Row],[Work Start TimeStamp]]-Table6[[#This Row],[Fault Start TimeStamp]])*24)</f>
        <v>0.39999999999999858</v>
      </c>
      <c r="S453" s="349">
        <f>(Table6[[#This Row],[Fault Clearance time]]-Table6[[#This Row],[Work Start TimeStamp]])*24</f>
        <v>1.6666666666666607E-2</v>
      </c>
      <c r="T453" s="350">
        <f>(Table6[[#This Row],[Fault Clearance time]]-Table6[[#This Row],[Fault Start TimeStamp]])*24</f>
        <v>0.41666666666666519</v>
      </c>
      <c r="U453" s="346" t="s">
        <v>493</v>
      </c>
      <c r="V453" s="351" t="s">
        <v>463</v>
      </c>
      <c r="W453" s="338">
        <f>Table6[[#This Row],[Breakdown Time]]*(1/39)</f>
        <v>1.0683760683760646E-2</v>
      </c>
      <c r="X453" s="336" t="s">
        <v>465</v>
      </c>
      <c r="Y453" s="352" t="s">
        <v>127</v>
      </c>
      <c r="Z453" s="105">
        <v>13578</v>
      </c>
      <c r="AA453" s="107">
        <v>235.72916666666583</v>
      </c>
      <c r="AB453" s="105" t="s">
        <v>478</v>
      </c>
    </row>
    <row r="454" spans="1:28">
      <c r="A454" s="105">
        <f t="shared" si="7"/>
        <v>453</v>
      </c>
      <c r="B454" s="107">
        <f>YEAR(Table6[[#This Row],[Date]])+IF(MONTH(Table6[[#This Row],[Date]])&gt;=4,1,0)</f>
        <v>2026</v>
      </c>
      <c r="C454" s="105">
        <f>YEAR(Table6[[#This Row],[Date]])</f>
        <v>2025</v>
      </c>
      <c r="D454" s="105" t="s">
        <v>490</v>
      </c>
      <c r="E454" s="119">
        <f>Table6[[#This Row],[Date]]-DAY(Table6[[#This Row],[Date]])+1</f>
        <v>45778</v>
      </c>
      <c r="F454" s="118">
        <v>45781</v>
      </c>
      <c r="G454" s="105" t="s">
        <v>136</v>
      </c>
      <c r="H454" s="39" t="str">
        <f>_xlfn.XLOOKUP(Table6[[#This Row],[Affected WTG]],'Basic Data'!$A:$A,'Basic Data'!$B:$B)</f>
        <v>PWEGPL</v>
      </c>
      <c r="I454" s="39" t="str">
        <f>_xlfn.XLOOKUP(Table6[[#This Row],[Affected WTG]],'Basic Data'!$A:$A,'Basic Data'!$C:$C)</f>
        <v>MSEDCL</v>
      </c>
      <c r="J454" s="345">
        <f>IFERROR(VLOOKUP(Table6[[#This Row],[Affected WTG]],'Basic Data'!$A$3:$E$56,5,0),"")</f>
        <v>2.564102564102564E-2</v>
      </c>
      <c r="K454" s="105">
        <v>813</v>
      </c>
      <c r="L454" s="39" t="str">
        <f>IFERROR(VLOOKUP(Table6[[#This Row],[Error Code]],'Basic Data'!$T:$U,2,0),"")</f>
        <v>Low Pressure Of Emergency Accumulators</v>
      </c>
      <c r="M454" s="346" t="s">
        <v>462</v>
      </c>
      <c r="N454" s="39" t="s">
        <v>1270</v>
      </c>
      <c r="O454" s="347">
        <v>0.75347222222222221</v>
      </c>
      <c r="P454" s="347">
        <v>0.77916666666666667</v>
      </c>
      <c r="Q454" s="347">
        <v>0.77986111111111112</v>
      </c>
      <c r="R454" s="348">
        <f>IF(Table6[[#This Row],[Work Start TimeStamp]]="","",(Table6[[#This Row],[Work Start TimeStamp]]-Table6[[#This Row],[Fault Start TimeStamp]])*24)</f>
        <v>0.61666666666666714</v>
      </c>
      <c r="S454" s="349">
        <f>(Table6[[#This Row],[Fault Clearance time]]-Table6[[#This Row],[Work Start TimeStamp]])*24</f>
        <v>1.6666666666666607E-2</v>
      </c>
      <c r="T454" s="350">
        <f>(Table6[[#This Row],[Fault Clearance time]]-Table6[[#This Row],[Fault Start TimeStamp]])*24</f>
        <v>0.63333333333333375</v>
      </c>
      <c r="U454" s="346" t="s">
        <v>493</v>
      </c>
      <c r="V454" s="351" t="s">
        <v>463</v>
      </c>
      <c r="W454" s="338">
        <f>Table6[[#This Row],[Breakdown Time]]*(1/39)</f>
        <v>1.6239316239316251E-2</v>
      </c>
      <c r="X454" s="336" t="s">
        <v>465</v>
      </c>
      <c r="Y454" s="352" t="s">
        <v>119</v>
      </c>
      <c r="Z454" s="105">
        <v>11167</v>
      </c>
      <c r="AA454" s="107">
        <v>294.68472222222243</v>
      </c>
      <c r="AB454" s="105" t="s">
        <v>478</v>
      </c>
    </row>
    <row r="455" spans="1:28">
      <c r="A455" s="105">
        <f t="shared" si="7"/>
        <v>454</v>
      </c>
      <c r="B455" s="107">
        <f>YEAR(Table6[[#This Row],[Date]])+IF(MONTH(Table6[[#This Row],[Date]])&gt;=4,1,0)</f>
        <v>2026</v>
      </c>
      <c r="C455" s="105">
        <f>YEAR(Table6[[#This Row],[Date]])</f>
        <v>2025</v>
      </c>
      <c r="D455" s="105" t="s">
        <v>490</v>
      </c>
      <c r="E455" s="119">
        <f>Table6[[#This Row],[Date]]-DAY(Table6[[#This Row],[Date]])+1</f>
        <v>45778</v>
      </c>
      <c r="F455" s="118">
        <v>45781</v>
      </c>
      <c r="G455" s="105" t="s">
        <v>139</v>
      </c>
      <c r="H455" s="39" t="str">
        <f>_xlfn.XLOOKUP(Table6[[#This Row],[Affected WTG]],'Basic Data'!$A:$A,'Basic Data'!$B:$B)</f>
        <v>PWEGPL</v>
      </c>
      <c r="I455" s="39" t="str">
        <f>_xlfn.XLOOKUP(Table6[[#This Row],[Affected WTG]],'Basic Data'!$A:$A,'Basic Data'!$C:$C)</f>
        <v>MSEDCL</v>
      </c>
      <c r="J455" s="345">
        <f>IFERROR(VLOOKUP(Table6[[#This Row],[Affected WTG]],'Basic Data'!$A$3:$E$56,5,0),"")</f>
        <v>2.564102564102564E-2</v>
      </c>
      <c r="K455" s="105" t="s">
        <v>466</v>
      </c>
      <c r="L455" s="39" t="str">
        <f>IFERROR(VLOOKUP(Table6[[#This Row],[Error Code]],'Basic Data'!$T:$U,2,0),"")</f>
        <v>Manual Stop</v>
      </c>
      <c r="M455" s="346" t="s">
        <v>479</v>
      </c>
      <c r="N455" s="39" t="s">
        <v>230</v>
      </c>
      <c r="O455" s="347">
        <v>0.44791666666666669</v>
      </c>
      <c r="P455" s="347">
        <v>0.44791666666666669</v>
      </c>
      <c r="Q455" s="347">
        <v>0.99930555555555556</v>
      </c>
      <c r="R455" s="348">
        <f>IF(Table6[[#This Row],[Work Start TimeStamp]]="","",(Table6[[#This Row],[Work Start TimeStamp]]-Table6[[#This Row],[Fault Start TimeStamp]])*24)</f>
        <v>0</v>
      </c>
      <c r="S455" s="349">
        <f>(Table6[[#This Row],[Fault Clearance time]]-Table6[[#This Row],[Work Start TimeStamp]])*24</f>
        <v>13.233333333333334</v>
      </c>
      <c r="T455" s="350">
        <f>(Table6[[#This Row],[Fault Clearance time]]-Table6[[#This Row],[Fault Start TimeStamp]])*24</f>
        <v>13.233333333333334</v>
      </c>
      <c r="U455" s="346" t="s">
        <v>581</v>
      </c>
      <c r="V455" s="351" t="s">
        <v>473</v>
      </c>
      <c r="W455" s="338">
        <f>Table6[[#This Row],[Breakdown Time]]*(1/39)</f>
        <v>0.33931623931623933</v>
      </c>
      <c r="X455" s="336" t="s">
        <v>464</v>
      </c>
      <c r="Y455" s="352" t="s">
        <v>145</v>
      </c>
      <c r="Z455" s="105">
        <v>8752</v>
      </c>
      <c r="AA455" s="107">
        <v>4825.7555555555564</v>
      </c>
      <c r="AB455" s="105" t="s">
        <v>478</v>
      </c>
    </row>
    <row r="456" spans="1:28">
      <c r="A456" s="105">
        <f t="shared" si="7"/>
        <v>455</v>
      </c>
      <c r="B456" s="107">
        <f>YEAR(Table6[[#This Row],[Date]])+IF(MONTH(Table6[[#This Row],[Date]])&gt;=4,1,0)</f>
        <v>2026</v>
      </c>
      <c r="C456" s="105">
        <f>YEAR(Table6[[#This Row],[Date]])</f>
        <v>2025</v>
      </c>
      <c r="D456" s="105" t="s">
        <v>490</v>
      </c>
      <c r="E456" s="119">
        <f>Table6[[#This Row],[Date]]-DAY(Table6[[#This Row],[Date]])+1</f>
        <v>45778</v>
      </c>
      <c r="F456" s="118">
        <v>45781</v>
      </c>
      <c r="G456" s="105" t="s">
        <v>149</v>
      </c>
      <c r="H456" s="39" t="str">
        <f>_xlfn.XLOOKUP(Table6[[#This Row],[Affected WTG]],'Basic Data'!$A:$A,'Basic Data'!$B:$B)</f>
        <v>PWEGPL</v>
      </c>
      <c r="I456" s="39" t="str">
        <f>_xlfn.XLOOKUP(Table6[[#This Row],[Affected WTG]],'Basic Data'!$A:$A,'Basic Data'!$C:$C)</f>
        <v>MSEDCL</v>
      </c>
      <c r="J456" s="345">
        <f>IFERROR(VLOOKUP(Table6[[#This Row],[Affected WTG]],'Basic Data'!$A$3:$E$56,5,0),"")</f>
        <v>2.564102564102564E-2</v>
      </c>
      <c r="K456" s="105" t="s">
        <v>476</v>
      </c>
      <c r="L456" s="39" t="str">
        <f>IFERROR(VLOOKUP(Table6[[#This Row],[Error Code]],'Basic Data'!$T:$U,2,0),"")</f>
        <v>Manual Stop - Preventive Maintenance Activity</v>
      </c>
      <c r="M456" s="346" t="s">
        <v>474</v>
      </c>
      <c r="N456" s="39" t="s">
        <v>230</v>
      </c>
      <c r="O456" s="347">
        <v>0.44097222222222221</v>
      </c>
      <c r="P456" s="347">
        <v>0.44097222222222221</v>
      </c>
      <c r="Q456" s="347">
        <v>0.71527777777777779</v>
      </c>
      <c r="R456" s="348">
        <f>IF(Table6[[#This Row],[Work Start TimeStamp]]="","",(Table6[[#This Row],[Work Start TimeStamp]]-Table6[[#This Row],[Fault Start TimeStamp]])*24)</f>
        <v>0</v>
      </c>
      <c r="S456" s="349">
        <f>(Table6[[#This Row],[Fault Clearance time]]-Table6[[#This Row],[Work Start TimeStamp]])*24</f>
        <v>6.5833333333333339</v>
      </c>
      <c r="T456" s="350">
        <f>(Table6[[#This Row],[Fault Clearance time]]-Table6[[#This Row],[Fault Start TimeStamp]])*24</f>
        <v>6.5833333333333339</v>
      </c>
      <c r="U456" s="346" t="s">
        <v>582</v>
      </c>
      <c r="V456" s="351" t="s">
        <v>463</v>
      </c>
      <c r="W456" s="338">
        <f>Table6[[#This Row],[Breakdown Time]]*(1/39)</f>
        <v>0.16880341880341881</v>
      </c>
      <c r="X456" s="336" t="s">
        <v>467</v>
      </c>
      <c r="Y456" s="352" t="s">
        <v>150</v>
      </c>
      <c r="Z456" s="105">
        <v>8759</v>
      </c>
      <c r="AA456" s="107">
        <v>2402.6423611111113</v>
      </c>
      <c r="AB456" s="105" t="s">
        <v>478</v>
      </c>
    </row>
    <row r="457" spans="1:28">
      <c r="A457" s="105">
        <f t="shared" si="7"/>
        <v>456</v>
      </c>
      <c r="B457" s="107">
        <f>YEAR(Table6[[#This Row],[Date]])+IF(MONTH(Table6[[#This Row],[Date]])&gt;=4,1,0)</f>
        <v>2026</v>
      </c>
      <c r="C457" s="105">
        <f>YEAR(Table6[[#This Row],[Date]])</f>
        <v>2025</v>
      </c>
      <c r="D457" s="105" t="s">
        <v>490</v>
      </c>
      <c r="E457" s="119">
        <f>Table6[[#This Row],[Date]]-DAY(Table6[[#This Row],[Date]])+1</f>
        <v>45778</v>
      </c>
      <c r="F457" s="118">
        <v>45782</v>
      </c>
      <c r="G457" s="105" t="s">
        <v>144</v>
      </c>
      <c r="H457" s="39" t="str">
        <f>_xlfn.XLOOKUP(Table6[[#This Row],[Affected WTG]],'Basic Data'!$A:$A,'Basic Data'!$B:$B)</f>
        <v>PWEGPL</v>
      </c>
      <c r="I457" s="39" t="str">
        <f>_xlfn.XLOOKUP(Table6[[#This Row],[Affected WTG]],'Basic Data'!$A:$A,'Basic Data'!$C:$C)</f>
        <v>MSEDCL</v>
      </c>
      <c r="J457" s="345">
        <f>IFERROR(VLOOKUP(Table6[[#This Row],[Affected WTG]],'Basic Data'!$A$3:$E$56,5,0),"")</f>
        <v>2.564102564102564E-2</v>
      </c>
      <c r="K457" s="105" t="s">
        <v>492</v>
      </c>
      <c r="L457" s="39" t="str">
        <f>IFERROR(VLOOKUP(Table6[[#This Row],[Error Code]],'Basic Data'!$T:$U,2,0),"")</f>
        <v>Manual Stop - Safety Related</v>
      </c>
      <c r="M457" s="346" t="s">
        <v>481</v>
      </c>
      <c r="N457" s="39" t="s">
        <v>1269</v>
      </c>
      <c r="O457" s="347">
        <v>0</v>
      </c>
      <c r="P457" s="347">
        <v>0.99930555555555556</v>
      </c>
      <c r="Q457" s="347">
        <v>0.99930555555555556</v>
      </c>
      <c r="R457" s="348">
        <f>IF(Table6[[#This Row],[Work Start TimeStamp]]="","",(Table6[[#This Row],[Work Start TimeStamp]]-Table6[[#This Row],[Fault Start TimeStamp]])*24)</f>
        <v>23.983333333333334</v>
      </c>
      <c r="S457" s="349">
        <f>(Table6[[#This Row],[Fault Clearance time]]-Table6[[#This Row],[Work Start TimeStamp]])*24</f>
        <v>0</v>
      </c>
      <c r="T457" s="350">
        <f>(Table6[[#This Row],[Fault Clearance time]]-Table6[[#This Row],[Fault Start TimeStamp]])*24</f>
        <v>23.983333333333334</v>
      </c>
      <c r="U457" s="346" t="s">
        <v>498</v>
      </c>
      <c r="V457" s="351" t="s">
        <v>473</v>
      </c>
      <c r="W457" s="338">
        <f>Table6[[#This Row],[Breakdown Time]]*(1/39)</f>
        <v>0.61495726495726499</v>
      </c>
      <c r="X457" s="336" t="s">
        <v>468</v>
      </c>
      <c r="Y457" s="352" t="s">
        <v>141</v>
      </c>
      <c r="Z457" s="105">
        <v>7756</v>
      </c>
      <c r="AA457" s="107">
        <v>7750.61388888889</v>
      </c>
      <c r="AB457" s="105" t="s">
        <v>478</v>
      </c>
    </row>
    <row r="458" spans="1:28">
      <c r="A458" s="105">
        <f t="shared" si="7"/>
        <v>457</v>
      </c>
      <c r="B458" s="107">
        <f>YEAR(Table6[[#This Row],[Date]])+IF(MONTH(Table6[[#This Row],[Date]])&gt;=4,1,0)</f>
        <v>2026</v>
      </c>
      <c r="C458" s="105">
        <f>YEAR(Table6[[#This Row],[Date]])</f>
        <v>2025</v>
      </c>
      <c r="D458" s="105" t="s">
        <v>490</v>
      </c>
      <c r="E458" s="119">
        <f>Table6[[#This Row],[Date]]-DAY(Table6[[#This Row],[Date]])+1</f>
        <v>45778</v>
      </c>
      <c r="F458" s="118">
        <v>45782</v>
      </c>
      <c r="G458" s="105" t="s">
        <v>142</v>
      </c>
      <c r="H458" s="39" t="str">
        <f>_xlfn.XLOOKUP(Table6[[#This Row],[Affected WTG]],'Basic Data'!$A:$A,'Basic Data'!$B:$B)</f>
        <v>PWEGPL</v>
      </c>
      <c r="I458" s="39" t="str">
        <f>_xlfn.XLOOKUP(Table6[[#This Row],[Affected WTG]],'Basic Data'!$A:$A,'Basic Data'!$C:$C)</f>
        <v>MSEDCL</v>
      </c>
      <c r="J458" s="345">
        <f>IFERROR(VLOOKUP(Table6[[#This Row],[Affected WTG]],'Basic Data'!$A$3:$E$56,5,0),"")</f>
        <v>2.564102564102564E-2</v>
      </c>
      <c r="K458" s="105" t="s">
        <v>492</v>
      </c>
      <c r="L458" s="39" t="str">
        <f>IFERROR(VLOOKUP(Table6[[#This Row],[Error Code]],'Basic Data'!$T:$U,2,0),"")</f>
        <v>Manual Stop - Safety Related</v>
      </c>
      <c r="M458" s="346" t="s">
        <v>481</v>
      </c>
      <c r="N458" s="39" t="s">
        <v>1269</v>
      </c>
      <c r="O458" s="347">
        <v>0</v>
      </c>
      <c r="P458" s="347">
        <v>0.99930555555555556</v>
      </c>
      <c r="Q458" s="347">
        <v>0.99930555555555556</v>
      </c>
      <c r="R458" s="348">
        <f>IF(Table6[[#This Row],[Work Start TimeStamp]]="","",(Table6[[#This Row],[Work Start TimeStamp]]-Table6[[#This Row],[Fault Start TimeStamp]])*24)</f>
        <v>23.983333333333334</v>
      </c>
      <c r="S458" s="349">
        <f>(Table6[[#This Row],[Fault Clearance time]]-Table6[[#This Row],[Work Start TimeStamp]])*24</f>
        <v>0</v>
      </c>
      <c r="T458" s="350">
        <f>(Table6[[#This Row],[Fault Clearance time]]-Table6[[#This Row],[Fault Start TimeStamp]])*24</f>
        <v>23.983333333333334</v>
      </c>
      <c r="U458" s="346" t="s">
        <v>498</v>
      </c>
      <c r="V458" s="351" t="s">
        <v>473</v>
      </c>
      <c r="W458" s="338">
        <f>Table6[[#This Row],[Breakdown Time]]*(1/39)</f>
        <v>0.61495726495726499</v>
      </c>
      <c r="X458" s="336" t="s">
        <v>468</v>
      </c>
      <c r="Y458" s="352" t="s">
        <v>141</v>
      </c>
      <c r="Z458" s="105">
        <v>7756</v>
      </c>
      <c r="AA458" s="107">
        <v>7750.61388888889</v>
      </c>
      <c r="AB458" s="105" t="s">
        <v>478</v>
      </c>
    </row>
    <row r="459" spans="1:28">
      <c r="A459" s="105">
        <f t="shared" si="7"/>
        <v>458</v>
      </c>
      <c r="B459" s="107">
        <f>YEAR(Table6[[#This Row],[Date]])+IF(MONTH(Table6[[#This Row],[Date]])&gt;=4,1,0)</f>
        <v>2026</v>
      </c>
      <c r="C459" s="105">
        <f>YEAR(Table6[[#This Row],[Date]])</f>
        <v>2025</v>
      </c>
      <c r="D459" s="105" t="s">
        <v>490</v>
      </c>
      <c r="E459" s="119">
        <f>Table6[[#This Row],[Date]]-DAY(Table6[[#This Row],[Date]])+1</f>
        <v>45778</v>
      </c>
      <c r="F459" s="118">
        <v>45782</v>
      </c>
      <c r="G459" s="105" t="s">
        <v>115</v>
      </c>
      <c r="H459" s="39" t="str">
        <f>_xlfn.XLOOKUP(Table6[[#This Row],[Affected WTG]],'Basic Data'!$A:$A,'Basic Data'!$B:$B)</f>
        <v>PWEGPL</v>
      </c>
      <c r="I459" s="39" t="str">
        <f>_xlfn.XLOOKUP(Table6[[#This Row],[Affected WTG]],'Basic Data'!$A:$A,'Basic Data'!$C:$C)</f>
        <v>MSEDCL</v>
      </c>
      <c r="J459" s="345">
        <f>IFERROR(VLOOKUP(Table6[[#This Row],[Affected WTG]],'Basic Data'!$A$3:$E$56,5,0),"")</f>
        <v>2.564102564102564E-2</v>
      </c>
      <c r="K459" s="105" t="s">
        <v>466</v>
      </c>
      <c r="L459" s="39" t="str">
        <f>IFERROR(VLOOKUP(Table6[[#This Row],[Error Code]],'Basic Data'!$T:$U,2,0),"")</f>
        <v>Manual Stop</v>
      </c>
      <c r="M459" s="346" t="s">
        <v>479</v>
      </c>
      <c r="N459" s="39" t="s">
        <v>230</v>
      </c>
      <c r="O459" s="347">
        <v>0.40416666666666667</v>
      </c>
      <c r="P459" s="347">
        <v>0.40416666666666667</v>
      </c>
      <c r="Q459" s="347">
        <v>0.71458333333333335</v>
      </c>
      <c r="R459" s="348">
        <f>IF(Table6[[#This Row],[Work Start TimeStamp]]="","",(Table6[[#This Row],[Work Start TimeStamp]]-Table6[[#This Row],[Fault Start TimeStamp]])*24)</f>
        <v>0</v>
      </c>
      <c r="S459" s="349">
        <f>(Table6[[#This Row],[Fault Clearance time]]-Table6[[#This Row],[Work Start TimeStamp]])*24</f>
        <v>7.45</v>
      </c>
      <c r="T459" s="350">
        <f>(Table6[[#This Row],[Fault Clearance time]]-Table6[[#This Row],[Fault Start TimeStamp]])*24</f>
        <v>7.45</v>
      </c>
      <c r="U459" s="346" t="s">
        <v>513</v>
      </c>
      <c r="V459" s="351" t="s">
        <v>463</v>
      </c>
      <c r="W459" s="338">
        <f>Table6[[#This Row],[Breakdown Time]]*(1/39)</f>
        <v>0.19102564102564101</v>
      </c>
      <c r="X459" s="336" t="s">
        <v>464</v>
      </c>
      <c r="Y459" s="352" t="s">
        <v>121</v>
      </c>
      <c r="Z459" s="105">
        <v>8346</v>
      </c>
      <c r="AA459" s="107">
        <v>2590.7375000000002</v>
      </c>
      <c r="AB459" s="105" t="s">
        <v>478</v>
      </c>
    </row>
    <row r="460" spans="1:28">
      <c r="A460" s="105">
        <f t="shared" si="7"/>
        <v>459</v>
      </c>
      <c r="B460" s="107">
        <f>YEAR(Table6[[#This Row],[Date]])+IF(MONTH(Table6[[#This Row],[Date]])&gt;=4,1,0)</f>
        <v>2026</v>
      </c>
      <c r="C460" s="105">
        <f>YEAR(Table6[[#This Row],[Date]])</f>
        <v>2025</v>
      </c>
      <c r="D460" s="105" t="s">
        <v>490</v>
      </c>
      <c r="E460" s="119">
        <f>Table6[[#This Row],[Date]]-DAY(Table6[[#This Row],[Date]])+1</f>
        <v>45778</v>
      </c>
      <c r="F460" s="118">
        <v>45782</v>
      </c>
      <c r="G460" s="105" t="s">
        <v>119</v>
      </c>
      <c r="H460" s="39" t="str">
        <f>_xlfn.XLOOKUP(Table6[[#This Row],[Affected WTG]],'Basic Data'!$A:$A,'Basic Data'!$B:$B)</f>
        <v>PWEGPL</v>
      </c>
      <c r="I460" s="39" t="str">
        <f>_xlfn.XLOOKUP(Table6[[#This Row],[Affected WTG]],'Basic Data'!$A:$A,'Basic Data'!$C:$C)</f>
        <v>MSEDCL</v>
      </c>
      <c r="J460" s="345">
        <f>IFERROR(VLOOKUP(Table6[[#This Row],[Affected WTG]],'Basic Data'!$A$3:$E$56,5,0),"")</f>
        <v>2.564102564102564E-2</v>
      </c>
      <c r="K460" s="105" t="s">
        <v>466</v>
      </c>
      <c r="L460" s="39" t="str">
        <f>IFERROR(VLOOKUP(Table6[[#This Row],[Error Code]],'Basic Data'!$T:$U,2,0),"")</f>
        <v>Manual Stop</v>
      </c>
      <c r="M460" s="346" t="s">
        <v>507</v>
      </c>
      <c r="N460" s="39" t="s">
        <v>230</v>
      </c>
      <c r="O460" s="347">
        <v>0.70902777777777781</v>
      </c>
      <c r="P460" s="347">
        <v>0.70902777777777781</v>
      </c>
      <c r="Q460" s="347">
        <v>0.75347222222222221</v>
      </c>
      <c r="R460" s="348">
        <f>IF(Table6[[#This Row],[Work Start TimeStamp]]="","",(Table6[[#This Row],[Work Start TimeStamp]]-Table6[[#This Row],[Fault Start TimeStamp]])*24)</f>
        <v>0</v>
      </c>
      <c r="S460" s="349">
        <f>(Table6[[#This Row],[Fault Clearance time]]-Table6[[#This Row],[Work Start TimeStamp]])*24</f>
        <v>1.0666666666666655</v>
      </c>
      <c r="T460" s="350">
        <f>(Table6[[#This Row],[Fault Clearance time]]-Table6[[#This Row],[Fault Start TimeStamp]])*24</f>
        <v>1.0666666666666655</v>
      </c>
      <c r="U460" s="346" t="s">
        <v>583</v>
      </c>
      <c r="V460" s="351" t="s">
        <v>463</v>
      </c>
      <c r="W460" s="338">
        <f>Table6[[#This Row],[Breakdown Time]]*(1/39)</f>
        <v>2.7350427350427319E-2</v>
      </c>
      <c r="X460" s="336" t="s">
        <v>464</v>
      </c>
      <c r="Y460" s="352" t="s">
        <v>136</v>
      </c>
      <c r="Z460" s="105">
        <v>6524</v>
      </c>
      <c r="AA460" s="107">
        <v>289.95555555555524</v>
      </c>
      <c r="AB460" s="105" t="s">
        <v>478</v>
      </c>
    </row>
    <row r="461" spans="1:28">
      <c r="A461" s="105">
        <f t="shared" si="7"/>
        <v>460</v>
      </c>
      <c r="B461" s="107">
        <f>YEAR(Table6[[#This Row],[Date]])+IF(MONTH(Table6[[#This Row],[Date]])&gt;=4,1,0)</f>
        <v>2026</v>
      </c>
      <c r="C461" s="105">
        <f>YEAR(Table6[[#This Row],[Date]])</f>
        <v>2025</v>
      </c>
      <c r="D461" s="105" t="s">
        <v>490</v>
      </c>
      <c r="E461" s="119">
        <f>Table6[[#This Row],[Date]]-DAY(Table6[[#This Row],[Date]])+1</f>
        <v>45778</v>
      </c>
      <c r="F461" s="118">
        <v>45782</v>
      </c>
      <c r="G461" s="105" t="s">
        <v>126</v>
      </c>
      <c r="H461" s="39" t="str">
        <f>_xlfn.XLOOKUP(Table6[[#This Row],[Affected WTG]],'Basic Data'!$A:$A,'Basic Data'!$B:$B)</f>
        <v>PWEGPL</v>
      </c>
      <c r="I461" s="39" t="str">
        <f>_xlfn.XLOOKUP(Table6[[#This Row],[Affected WTG]],'Basic Data'!$A:$A,'Basic Data'!$C:$C)</f>
        <v>MSEDCL</v>
      </c>
      <c r="J461" s="345">
        <f>IFERROR(VLOOKUP(Table6[[#This Row],[Affected WTG]],'Basic Data'!$A$3:$E$56,5,0),"")</f>
        <v>2.564102564102564E-2</v>
      </c>
      <c r="K461" s="105">
        <v>203</v>
      </c>
      <c r="L461" s="39" t="str">
        <f>IFERROR(VLOOKUP(Table6[[#This Row],[Error Code]],'Basic Data'!$T:$U,2,0),"")</f>
        <v>Low Pressure On Hydraulic Group</v>
      </c>
      <c r="M461" s="346" t="s">
        <v>462</v>
      </c>
      <c r="N461" s="39" t="s">
        <v>1270</v>
      </c>
      <c r="O461" s="347">
        <v>0.71388888888888891</v>
      </c>
      <c r="P461" s="347">
        <v>0.73611111111111116</v>
      </c>
      <c r="Q461" s="347">
        <v>0.7368055555555556</v>
      </c>
      <c r="R461" s="348">
        <f>IF(Table6[[#This Row],[Work Start TimeStamp]]="","",(Table6[[#This Row],[Work Start TimeStamp]]-Table6[[#This Row],[Fault Start TimeStamp]])*24)</f>
        <v>0.5333333333333341</v>
      </c>
      <c r="S461" s="349">
        <f>(Table6[[#This Row],[Fault Clearance time]]-Table6[[#This Row],[Work Start TimeStamp]])*24</f>
        <v>1.6666666666666607E-2</v>
      </c>
      <c r="T461" s="350">
        <f>(Table6[[#This Row],[Fault Clearance time]]-Table6[[#This Row],[Fault Start TimeStamp]])*24</f>
        <v>0.55000000000000071</v>
      </c>
      <c r="U461" s="346" t="s">
        <v>493</v>
      </c>
      <c r="V461" s="351" t="s">
        <v>463</v>
      </c>
      <c r="W461" s="338">
        <f>Table6[[#This Row],[Breakdown Time]]*(1/39)</f>
        <v>1.410256410256412E-2</v>
      </c>
      <c r="X461" s="336" t="s">
        <v>465</v>
      </c>
      <c r="Y461" s="352" t="s">
        <v>123</v>
      </c>
      <c r="Z461" s="105">
        <v>8289</v>
      </c>
      <c r="AA461" s="107">
        <v>189.95625000000024</v>
      </c>
      <c r="AB461" s="105" t="s">
        <v>478</v>
      </c>
    </row>
    <row r="462" spans="1:28">
      <c r="A462" s="105">
        <f t="shared" si="7"/>
        <v>461</v>
      </c>
      <c r="B462" s="107">
        <f>YEAR(Table6[[#This Row],[Date]])+IF(MONTH(Table6[[#This Row],[Date]])&gt;=4,1,0)</f>
        <v>2026</v>
      </c>
      <c r="C462" s="105">
        <f>YEAR(Table6[[#This Row],[Date]])</f>
        <v>2025</v>
      </c>
      <c r="D462" s="105" t="s">
        <v>490</v>
      </c>
      <c r="E462" s="119">
        <f>Table6[[#This Row],[Date]]-DAY(Table6[[#This Row],[Date]])+1</f>
        <v>45778</v>
      </c>
      <c r="F462" s="118">
        <v>45782</v>
      </c>
      <c r="G462" s="105" t="s">
        <v>128</v>
      </c>
      <c r="H462" s="39" t="str">
        <f>_xlfn.XLOOKUP(Table6[[#This Row],[Affected WTG]],'Basic Data'!$A:$A,'Basic Data'!$B:$B)</f>
        <v>PWEGPL</v>
      </c>
      <c r="I462" s="39" t="str">
        <f>_xlfn.XLOOKUP(Table6[[#This Row],[Affected WTG]],'Basic Data'!$A:$A,'Basic Data'!$C:$C)</f>
        <v>MSEDCL</v>
      </c>
      <c r="J462" s="345">
        <f>IFERROR(VLOOKUP(Table6[[#This Row],[Affected WTG]],'Basic Data'!$A$3:$E$56,5,0),"")</f>
        <v>2.564102564102564E-2</v>
      </c>
      <c r="K462" s="105">
        <v>2118</v>
      </c>
      <c r="L462" s="39" t="str">
        <f>IFERROR(VLOOKUP(Table6[[#This Row],[Error Code]],'Basic Data'!$T:$U,2,0),"")</f>
        <v>Bus Error - Interbus Failure</v>
      </c>
      <c r="M462" s="346" t="s">
        <v>462</v>
      </c>
      <c r="N462" s="39" t="s">
        <v>1270</v>
      </c>
      <c r="O462" s="347">
        <v>0.71180555555555558</v>
      </c>
      <c r="P462" s="347">
        <v>0.72916666666666663</v>
      </c>
      <c r="Q462" s="347">
        <v>0.72986111111111107</v>
      </c>
      <c r="R462" s="348">
        <f>IF(Table6[[#This Row],[Work Start TimeStamp]]="","",(Table6[[#This Row],[Work Start TimeStamp]]-Table6[[#This Row],[Fault Start TimeStamp]])*24)</f>
        <v>0.41666666666666519</v>
      </c>
      <c r="S462" s="349">
        <f>(Table6[[#This Row],[Fault Clearance time]]-Table6[[#This Row],[Work Start TimeStamp]])*24</f>
        <v>1.6666666666666607E-2</v>
      </c>
      <c r="T462" s="350">
        <f>(Table6[[#This Row],[Fault Clearance time]]-Table6[[#This Row],[Fault Start TimeStamp]])*24</f>
        <v>0.43333333333333179</v>
      </c>
      <c r="U462" s="346" t="s">
        <v>493</v>
      </c>
      <c r="V462" s="351" t="s">
        <v>463</v>
      </c>
      <c r="W462" s="338">
        <f>Table6[[#This Row],[Breakdown Time]]*(1/39)</f>
        <v>1.1111111111111072E-2</v>
      </c>
      <c r="X462" s="336" t="s">
        <v>465</v>
      </c>
      <c r="Y462" s="352" t="s">
        <v>129</v>
      </c>
      <c r="Z462" s="105">
        <v>8256</v>
      </c>
      <c r="AA462" s="107">
        <v>149.06666666666615</v>
      </c>
      <c r="AB462" s="105" t="s">
        <v>478</v>
      </c>
    </row>
    <row r="463" spans="1:28">
      <c r="A463" s="105">
        <f t="shared" si="7"/>
        <v>462</v>
      </c>
      <c r="B463" s="107">
        <f>YEAR(Table6[[#This Row],[Date]])+IF(MONTH(Table6[[#This Row],[Date]])&gt;=4,1,0)</f>
        <v>2026</v>
      </c>
      <c r="C463" s="105">
        <f>YEAR(Table6[[#This Row],[Date]])</f>
        <v>2025</v>
      </c>
      <c r="D463" s="105" t="s">
        <v>490</v>
      </c>
      <c r="E463" s="119">
        <f>Table6[[#This Row],[Date]]-DAY(Table6[[#This Row],[Date]])+1</f>
        <v>45778</v>
      </c>
      <c r="F463" s="118">
        <v>45782</v>
      </c>
      <c r="G463" s="105" t="s">
        <v>135</v>
      </c>
      <c r="H463" s="39" t="str">
        <f>_xlfn.XLOOKUP(Table6[[#This Row],[Affected WTG]],'Basic Data'!$A:$A,'Basic Data'!$B:$B)</f>
        <v>PWEGPL</v>
      </c>
      <c r="I463" s="39" t="str">
        <f>_xlfn.XLOOKUP(Table6[[#This Row],[Affected WTG]],'Basic Data'!$A:$A,'Basic Data'!$C:$C)</f>
        <v>MSEDCL</v>
      </c>
      <c r="J463" s="345">
        <f>IFERROR(VLOOKUP(Table6[[#This Row],[Affected WTG]],'Basic Data'!$A$3:$E$56,5,0),"")</f>
        <v>2.564102564102564E-2</v>
      </c>
      <c r="K463" s="105" t="s">
        <v>466</v>
      </c>
      <c r="L463" s="39" t="str">
        <f>IFERROR(VLOOKUP(Table6[[#This Row],[Error Code]],'Basic Data'!$T:$U,2,0),"")</f>
        <v>Manual Stop</v>
      </c>
      <c r="M463" s="346" t="s">
        <v>507</v>
      </c>
      <c r="N463" s="39" t="s">
        <v>230</v>
      </c>
      <c r="O463" s="347">
        <v>0.5</v>
      </c>
      <c r="P463" s="347">
        <v>0.5</v>
      </c>
      <c r="Q463" s="347">
        <v>0.51666666666666672</v>
      </c>
      <c r="R463" s="348">
        <f>IF(Table6[[#This Row],[Work Start TimeStamp]]="","",(Table6[[#This Row],[Work Start TimeStamp]]-Table6[[#This Row],[Fault Start TimeStamp]])*24)</f>
        <v>0</v>
      </c>
      <c r="S463" s="349">
        <f>(Table6[[#This Row],[Fault Clearance time]]-Table6[[#This Row],[Work Start TimeStamp]])*24</f>
        <v>0.40000000000000124</v>
      </c>
      <c r="T463" s="350">
        <f>(Table6[[#This Row],[Fault Clearance time]]-Table6[[#This Row],[Fault Start TimeStamp]])*24</f>
        <v>0.40000000000000124</v>
      </c>
      <c r="U463" s="346" t="s">
        <v>583</v>
      </c>
      <c r="V463" s="351" t="s">
        <v>463</v>
      </c>
      <c r="W463" s="338">
        <f>Table6[[#This Row],[Breakdown Time]]*(1/39)</f>
        <v>1.0256410256410288E-2</v>
      </c>
      <c r="X463" s="336" t="s">
        <v>464</v>
      </c>
      <c r="Y463" s="352" t="s">
        <v>136</v>
      </c>
      <c r="Z463" s="105">
        <v>6524</v>
      </c>
      <c r="AA463" s="107">
        <v>108.73333333333366</v>
      </c>
      <c r="AB463" s="105" t="s">
        <v>478</v>
      </c>
    </row>
    <row r="464" spans="1:28">
      <c r="A464" s="105">
        <f t="shared" si="7"/>
        <v>463</v>
      </c>
      <c r="B464" s="107">
        <f>YEAR(Table6[[#This Row],[Date]])+IF(MONTH(Table6[[#This Row],[Date]])&gt;=4,1,0)</f>
        <v>2026</v>
      </c>
      <c r="C464" s="105">
        <f>YEAR(Table6[[#This Row],[Date]])</f>
        <v>2025</v>
      </c>
      <c r="D464" s="105" t="s">
        <v>490</v>
      </c>
      <c r="E464" s="119">
        <f>Table6[[#This Row],[Date]]-DAY(Table6[[#This Row],[Date]])+1</f>
        <v>45778</v>
      </c>
      <c r="F464" s="118">
        <v>45782</v>
      </c>
      <c r="G464" s="105" t="s">
        <v>136</v>
      </c>
      <c r="H464" s="39" t="str">
        <f>_xlfn.XLOOKUP(Table6[[#This Row],[Affected WTG]],'Basic Data'!$A:$A,'Basic Data'!$B:$B)</f>
        <v>PWEGPL</v>
      </c>
      <c r="I464" s="39" t="str">
        <f>_xlfn.XLOOKUP(Table6[[#This Row],[Affected WTG]],'Basic Data'!$A:$A,'Basic Data'!$C:$C)</f>
        <v>MSEDCL</v>
      </c>
      <c r="J464" s="345">
        <f>IFERROR(VLOOKUP(Table6[[#This Row],[Affected WTG]],'Basic Data'!$A$3:$E$56,5,0),"")</f>
        <v>2.564102564102564E-2</v>
      </c>
      <c r="K464" s="105" t="s">
        <v>466</v>
      </c>
      <c r="L464" s="39" t="str">
        <f>IFERROR(VLOOKUP(Table6[[#This Row],[Error Code]],'Basic Data'!$T:$U,2,0),"")</f>
        <v>Manual Stop</v>
      </c>
      <c r="M464" s="346" t="s">
        <v>507</v>
      </c>
      <c r="N464" s="39" t="s">
        <v>230</v>
      </c>
      <c r="O464" s="347">
        <v>0.52569444444444446</v>
      </c>
      <c r="P464" s="347">
        <v>0.52569444444444446</v>
      </c>
      <c r="Q464" s="347">
        <v>0.55555555555555558</v>
      </c>
      <c r="R464" s="348">
        <f>IF(Table6[[#This Row],[Work Start TimeStamp]]="","",(Table6[[#This Row],[Work Start TimeStamp]]-Table6[[#This Row],[Fault Start TimeStamp]])*24)</f>
        <v>0</v>
      </c>
      <c r="S464" s="349">
        <f>(Table6[[#This Row],[Fault Clearance time]]-Table6[[#This Row],[Work Start TimeStamp]])*24</f>
        <v>0.71666666666666679</v>
      </c>
      <c r="T464" s="350">
        <f>(Table6[[#This Row],[Fault Clearance time]]-Table6[[#This Row],[Fault Start TimeStamp]])*24</f>
        <v>0.71666666666666679</v>
      </c>
      <c r="U464" s="346" t="s">
        <v>583</v>
      </c>
      <c r="V464" s="351" t="s">
        <v>463</v>
      </c>
      <c r="W464" s="338">
        <f>Table6[[#This Row],[Breakdown Time]]*(1/39)</f>
        <v>1.837606837606838E-2</v>
      </c>
      <c r="X464" s="336" t="s">
        <v>464</v>
      </c>
      <c r="Y464" s="352" t="s">
        <v>119</v>
      </c>
      <c r="Z464" s="105">
        <v>6500</v>
      </c>
      <c r="AA464" s="107">
        <v>194.09722222222223</v>
      </c>
      <c r="AB464" s="105" t="s">
        <v>478</v>
      </c>
    </row>
    <row r="465" spans="1:28">
      <c r="A465" s="105">
        <f t="shared" si="7"/>
        <v>464</v>
      </c>
      <c r="B465" s="107">
        <f>YEAR(Table6[[#This Row],[Date]])+IF(MONTH(Table6[[#This Row],[Date]])&gt;=4,1,0)</f>
        <v>2026</v>
      </c>
      <c r="C465" s="105">
        <f>YEAR(Table6[[#This Row],[Date]])</f>
        <v>2025</v>
      </c>
      <c r="D465" s="105" t="s">
        <v>490</v>
      </c>
      <c r="E465" s="119">
        <f>Table6[[#This Row],[Date]]-DAY(Table6[[#This Row],[Date]])+1</f>
        <v>45778</v>
      </c>
      <c r="F465" s="118">
        <v>45782</v>
      </c>
      <c r="G465" s="105" t="s">
        <v>139</v>
      </c>
      <c r="H465" s="39" t="str">
        <f>_xlfn.XLOOKUP(Table6[[#This Row],[Affected WTG]],'Basic Data'!$A:$A,'Basic Data'!$B:$B)</f>
        <v>PWEGPL</v>
      </c>
      <c r="I465" s="39" t="str">
        <f>_xlfn.XLOOKUP(Table6[[#This Row],[Affected WTG]],'Basic Data'!$A:$A,'Basic Data'!$C:$C)</f>
        <v>MSEDCL</v>
      </c>
      <c r="J465" s="345">
        <f>IFERROR(VLOOKUP(Table6[[#This Row],[Affected WTG]],'Basic Data'!$A$3:$E$56,5,0),"")</f>
        <v>2.564102564102564E-2</v>
      </c>
      <c r="K465" s="105" t="s">
        <v>466</v>
      </c>
      <c r="L465" s="39" t="str">
        <f>IFERROR(VLOOKUP(Table6[[#This Row],[Error Code]],'Basic Data'!$T:$U,2,0),"")</f>
        <v>Manual Stop</v>
      </c>
      <c r="M465" s="346" t="s">
        <v>479</v>
      </c>
      <c r="N465" s="39" t="s">
        <v>230</v>
      </c>
      <c r="O465" s="347">
        <v>0</v>
      </c>
      <c r="P465" s="347">
        <v>0</v>
      </c>
      <c r="Q465" s="347">
        <v>0.99930555555555556</v>
      </c>
      <c r="R465" s="348">
        <f>IF(Table6[[#This Row],[Work Start TimeStamp]]="","",(Table6[[#This Row],[Work Start TimeStamp]]-Table6[[#This Row],[Fault Start TimeStamp]])*24)</f>
        <v>0</v>
      </c>
      <c r="S465" s="349">
        <f>(Table6[[#This Row],[Fault Clearance time]]-Table6[[#This Row],[Work Start TimeStamp]])*24</f>
        <v>23.983333333333334</v>
      </c>
      <c r="T465" s="350">
        <f>(Table6[[#This Row],[Fault Clearance time]]-Table6[[#This Row],[Fault Start TimeStamp]])*24</f>
        <v>23.983333333333334</v>
      </c>
      <c r="U465" s="346" t="s">
        <v>581</v>
      </c>
      <c r="V465" s="351" t="s">
        <v>473</v>
      </c>
      <c r="W465" s="338">
        <f>Table6[[#This Row],[Breakdown Time]]*(1/39)</f>
        <v>0.61495726495726499</v>
      </c>
      <c r="X465" s="336" t="s">
        <v>465</v>
      </c>
      <c r="Y465" s="352" t="s">
        <v>145</v>
      </c>
      <c r="Z465" s="105">
        <v>5832</v>
      </c>
      <c r="AA465" s="107">
        <v>5827.95</v>
      </c>
      <c r="AB465" s="105" t="s">
        <v>478</v>
      </c>
    </row>
    <row r="466" spans="1:28">
      <c r="A466" s="105">
        <f t="shared" si="7"/>
        <v>465</v>
      </c>
      <c r="B466" s="107">
        <f>YEAR(Table6[[#This Row],[Date]])+IF(MONTH(Table6[[#This Row],[Date]])&gt;=4,1,0)</f>
        <v>2026</v>
      </c>
      <c r="C466" s="105">
        <f>YEAR(Table6[[#This Row],[Date]])</f>
        <v>2025</v>
      </c>
      <c r="D466" s="105" t="s">
        <v>490</v>
      </c>
      <c r="E466" s="119">
        <f>Table6[[#This Row],[Date]]-DAY(Table6[[#This Row],[Date]])+1</f>
        <v>45778</v>
      </c>
      <c r="F466" s="118">
        <v>45782</v>
      </c>
      <c r="G466" s="105" t="s">
        <v>141</v>
      </c>
      <c r="H466" s="39" t="str">
        <f>_xlfn.XLOOKUP(Table6[[#This Row],[Affected WTG]],'Basic Data'!$A:$A,'Basic Data'!$B:$B)</f>
        <v>PWEGPL</v>
      </c>
      <c r="I466" s="39" t="str">
        <f>_xlfn.XLOOKUP(Table6[[#This Row],[Affected WTG]],'Basic Data'!$A:$A,'Basic Data'!$C:$C)</f>
        <v>MSEDCL</v>
      </c>
      <c r="J466" s="345">
        <f>IFERROR(VLOOKUP(Table6[[#This Row],[Affected WTG]],'Basic Data'!$A$3:$E$56,5,0),"")</f>
        <v>2.564102564102564E-2</v>
      </c>
      <c r="K466" s="105" t="s">
        <v>492</v>
      </c>
      <c r="L466" s="39" t="str">
        <f>IFERROR(VLOOKUP(Table6[[#This Row],[Error Code]],'Basic Data'!$T:$U,2,0),"")</f>
        <v>Manual Stop - Safety Related</v>
      </c>
      <c r="M466" s="346" t="s">
        <v>481</v>
      </c>
      <c r="N466" s="39" t="s">
        <v>230</v>
      </c>
      <c r="O466" s="347">
        <v>0.58194444444444449</v>
      </c>
      <c r="P466" s="347">
        <v>0.58194444444444449</v>
      </c>
      <c r="Q466" s="347">
        <v>0.69791666666666663</v>
      </c>
      <c r="R466" s="348">
        <f>IF(Table6[[#This Row],[Work Start TimeStamp]]="","",(Table6[[#This Row],[Work Start TimeStamp]]-Table6[[#This Row],[Fault Start TimeStamp]])*24)</f>
        <v>0</v>
      </c>
      <c r="S466" s="349">
        <f>(Table6[[#This Row],[Fault Clearance time]]-Table6[[#This Row],[Work Start TimeStamp]])*24</f>
        <v>2.7833333333333314</v>
      </c>
      <c r="T466" s="350">
        <f>(Table6[[#This Row],[Fault Clearance time]]-Table6[[#This Row],[Fault Start TimeStamp]])*24</f>
        <v>2.7833333333333314</v>
      </c>
      <c r="U466" s="346" t="s">
        <v>508</v>
      </c>
      <c r="V466" s="351" t="s">
        <v>463</v>
      </c>
      <c r="W466" s="338">
        <f>Table6[[#This Row],[Breakdown Time]]*(1/39)</f>
        <v>7.1367521367521322E-2</v>
      </c>
      <c r="X466" s="336" t="s">
        <v>468</v>
      </c>
      <c r="Y466" s="352" t="s">
        <v>143</v>
      </c>
      <c r="Z466" s="105">
        <v>7741</v>
      </c>
      <c r="AA466" s="107">
        <v>897.74097222222167</v>
      </c>
      <c r="AB466" s="105" t="s">
        <v>478</v>
      </c>
    </row>
    <row r="467" spans="1:28">
      <c r="A467" s="105">
        <f t="shared" si="7"/>
        <v>466</v>
      </c>
      <c r="B467" s="107">
        <f>YEAR(Table6[[#This Row],[Date]])+IF(MONTH(Table6[[#This Row],[Date]])&gt;=4,1,0)</f>
        <v>2026</v>
      </c>
      <c r="C467" s="105">
        <f>YEAR(Table6[[#This Row],[Date]])</f>
        <v>2025</v>
      </c>
      <c r="D467" s="105" t="s">
        <v>490</v>
      </c>
      <c r="E467" s="119">
        <f>Table6[[#This Row],[Date]]-DAY(Table6[[#This Row],[Date]])+1</f>
        <v>45778</v>
      </c>
      <c r="F467" s="118">
        <v>45783</v>
      </c>
      <c r="G467" s="105" t="s">
        <v>144</v>
      </c>
      <c r="H467" s="39" t="str">
        <f>_xlfn.XLOOKUP(Table6[[#This Row],[Affected WTG]],'Basic Data'!$A:$A,'Basic Data'!$B:$B)</f>
        <v>PWEGPL</v>
      </c>
      <c r="I467" s="39" t="str">
        <f>_xlfn.XLOOKUP(Table6[[#This Row],[Affected WTG]],'Basic Data'!$A:$A,'Basic Data'!$C:$C)</f>
        <v>MSEDCL</v>
      </c>
      <c r="J467" s="345">
        <f>IFERROR(VLOOKUP(Table6[[#This Row],[Affected WTG]],'Basic Data'!$A$3:$E$56,5,0),"")</f>
        <v>2.564102564102564E-2</v>
      </c>
      <c r="K467" s="105" t="s">
        <v>492</v>
      </c>
      <c r="L467" s="39" t="str">
        <f>IFERROR(VLOOKUP(Table6[[#This Row],[Error Code]],'Basic Data'!$T:$U,2,0),"")</f>
        <v>Manual Stop - Safety Related</v>
      </c>
      <c r="M467" s="346" t="s">
        <v>481</v>
      </c>
      <c r="N467" s="39" t="s">
        <v>1269</v>
      </c>
      <c r="O467" s="347">
        <v>0</v>
      </c>
      <c r="P467" s="347">
        <v>0.99930555555555556</v>
      </c>
      <c r="Q467" s="347">
        <v>0.99930555555555556</v>
      </c>
      <c r="R467" s="348">
        <f>IF(Table6[[#This Row],[Work Start TimeStamp]]="","",(Table6[[#This Row],[Work Start TimeStamp]]-Table6[[#This Row],[Fault Start TimeStamp]])*24)</f>
        <v>23.983333333333334</v>
      </c>
      <c r="S467" s="349">
        <f>(Table6[[#This Row],[Fault Clearance time]]-Table6[[#This Row],[Work Start TimeStamp]])*24</f>
        <v>0</v>
      </c>
      <c r="T467" s="350">
        <f>(Table6[[#This Row],[Fault Clearance time]]-Table6[[#This Row],[Fault Start TimeStamp]])*24</f>
        <v>23.983333333333334</v>
      </c>
      <c r="U467" s="346" t="s">
        <v>498</v>
      </c>
      <c r="V467" s="351" t="s">
        <v>473</v>
      </c>
      <c r="W467" s="338">
        <f>Table6[[#This Row],[Breakdown Time]]*(1/39)</f>
        <v>0.61495726495726499</v>
      </c>
      <c r="X467" s="336" t="s">
        <v>468</v>
      </c>
      <c r="Y467" s="352" t="s">
        <v>141</v>
      </c>
      <c r="Z467" s="105">
        <v>8376</v>
      </c>
      <c r="AA467" s="107">
        <v>8370.1833333333343</v>
      </c>
      <c r="AB467" s="105" t="s">
        <v>478</v>
      </c>
    </row>
    <row r="468" spans="1:28">
      <c r="A468" s="105">
        <f t="shared" si="7"/>
        <v>467</v>
      </c>
      <c r="B468" s="107">
        <f>YEAR(Table6[[#This Row],[Date]])+IF(MONTH(Table6[[#This Row],[Date]])&gt;=4,1,0)</f>
        <v>2026</v>
      </c>
      <c r="C468" s="105">
        <f>YEAR(Table6[[#This Row],[Date]])</f>
        <v>2025</v>
      </c>
      <c r="D468" s="105" t="s">
        <v>490</v>
      </c>
      <c r="E468" s="119">
        <f>Table6[[#This Row],[Date]]-DAY(Table6[[#This Row],[Date]])+1</f>
        <v>45778</v>
      </c>
      <c r="F468" s="118">
        <v>45783</v>
      </c>
      <c r="G468" s="105" t="s">
        <v>142</v>
      </c>
      <c r="H468" s="39" t="str">
        <f>_xlfn.XLOOKUP(Table6[[#This Row],[Affected WTG]],'Basic Data'!$A:$A,'Basic Data'!$B:$B)</f>
        <v>PWEGPL</v>
      </c>
      <c r="I468" s="39" t="str">
        <f>_xlfn.XLOOKUP(Table6[[#This Row],[Affected WTG]],'Basic Data'!$A:$A,'Basic Data'!$C:$C)</f>
        <v>MSEDCL</v>
      </c>
      <c r="J468" s="345">
        <f>IFERROR(VLOOKUP(Table6[[#This Row],[Affected WTG]],'Basic Data'!$A$3:$E$56,5,0),"")</f>
        <v>2.564102564102564E-2</v>
      </c>
      <c r="K468" s="105" t="s">
        <v>492</v>
      </c>
      <c r="L468" s="39" t="str">
        <f>IFERROR(VLOOKUP(Table6[[#This Row],[Error Code]],'Basic Data'!$T:$U,2,0),"")</f>
        <v>Manual Stop - Safety Related</v>
      </c>
      <c r="M468" s="346" t="s">
        <v>481</v>
      </c>
      <c r="N468" s="39" t="s">
        <v>1269</v>
      </c>
      <c r="O468" s="347">
        <v>0</v>
      </c>
      <c r="P468" s="347">
        <v>0.99930555555555556</v>
      </c>
      <c r="Q468" s="347">
        <v>0.99930555555555556</v>
      </c>
      <c r="R468" s="348">
        <f>IF(Table6[[#This Row],[Work Start TimeStamp]]="","",(Table6[[#This Row],[Work Start TimeStamp]]-Table6[[#This Row],[Fault Start TimeStamp]])*24)</f>
        <v>23.983333333333334</v>
      </c>
      <c r="S468" s="349">
        <f>(Table6[[#This Row],[Fault Clearance time]]-Table6[[#This Row],[Work Start TimeStamp]])*24</f>
        <v>0</v>
      </c>
      <c r="T468" s="350">
        <f>(Table6[[#This Row],[Fault Clearance time]]-Table6[[#This Row],[Fault Start TimeStamp]])*24</f>
        <v>23.983333333333334</v>
      </c>
      <c r="U468" s="346" t="s">
        <v>498</v>
      </c>
      <c r="V468" s="351" t="s">
        <v>473</v>
      </c>
      <c r="W468" s="338">
        <f>Table6[[#This Row],[Breakdown Time]]*(1/39)</f>
        <v>0.61495726495726499</v>
      </c>
      <c r="X468" s="336" t="s">
        <v>468</v>
      </c>
      <c r="Y468" s="352" t="s">
        <v>141</v>
      </c>
      <c r="Z468" s="105">
        <v>8376</v>
      </c>
      <c r="AA468" s="107">
        <v>8370.1833333333343</v>
      </c>
      <c r="AB468" s="105" t="s">
        <v>478</v>
      </c>
    </row>
    <row r="469" spans="1:28">
      <c r="A469" s="105">
        <f t="shared" si="7"/>
        <v>468</v>
      </c>
      <c r="B469" s="107">
        <f>YEAR(Table6[[#This Row],[Date]])+IF(MONTH(Table6[[#This Row],[Date]])&gt;=4,1,0)</f>
        <v>2026</v>
      </c>
      <c r="C469" s="105">
        <f>YEAR(Table6[[#This Row],[Date]])</f>
        <v>2025</v>
      </c>
      <c r="D469" s="105" t="s">
        <v>490</v>
      </c>
      <c r="E469" s="119">
        <f>Table6[[#This Row],[Date]]-DAY(Table6[[#This Row],[Date]])+1</f>
        <v>45778</v>
      </c>
      <c r="F469" s="118">
        <v>45783</v>
      </c>
      <c r="G469" s="105" t="s">
        <v>130</v>
      </c>
      <c r="H469" s="39" t="str">
        <f>_xlfn.XLOOKUP(Table6[[#This Row],[Affected WTG]],'Basic Data'!$A:$A,'Basic Data'!$B:$B)</f>
        <v>PWEGPL</v>
      </c>
      <c r="I469" s="39" t="str">
        <f>_xlfn.XLOOKUP(Table6[[#This Row],[Affected WTG]],'Basic Data'!$A:$A,'Basic Data'!$C:$C)</f>
        <v>MSEDCL</v>
      </c>
      <c r="J469" s="345">
        <f>IFERROR(VLOOKUP(Table6[[#This Row],[Affected WTG]],'Basic Data'!$A$3:$E$56,5,0),"")</f>
        <v>2.564102564102564E-2</v>
      </c>
      <c r="K469" s="105">
        <v>203</v>
      </c>
      <c r="L469" s="39" t="str">
        <f>IFERROR(VLOOKUP(Table6[[#This Row],[Error Code]],'Basic Data'!$T:$U,2,0),"")</f>
        <v>Low Pressure On Hydraulic Group</v>
      </c>
      <c r="M469" s="346" t="s">
        <v>462</v>
      </c>
      <c r="N469" s="39" t="s">
        <v>1270</v>
      </c>
      <c r="O469" s="347">
        <v>0.58472222222222225</v>
      </c>
      <c r="P469" s="347">
        <v>0.60902777777777772</v>
      </c>
      <c r="Q469" s="347">
        <v>0.60972222222222228</v>
      </c>
      <c r="R469" s="348">
        <f>IF(Table6[[#This Row],[Work Start TimeStamp]]="","",(Table6[[#This Row],[Work Start TimeStamp]]-Table6[[#This Row],[Fault Start TimeStamp]])*24)</f>
        <v>0.58333333333333126</v>
      </c>
      <c r="S469" s="349">
        <f>(Table6[[#This Row],[Fault Clearance time]]-Table6[[#This Row],[Work Start TimeStamp]])*24</f>
        <v>1.6666666666669272E-2</v>
      </c>
      <c r="T469" s="350">
        <f>(Table6[[#This Row],[Fault Clearance time]]-Table6[[#This Row],[Fault Start TimeStamp]])*24</f>
        <v>0.60000000000000053</v>
      </c>
      <c r="U469" s="346" t="s">
        <v>493</v>
      </c>
      <c r="V469" s="351" t="s">
        <v>463</v>
      </c>
      <c r="W469" s="338">
        <f>Table6[[#This Row],[Breakdown Time]]*(1/39)</f>
        <v>1.5384615384615398E-2</v>
      </c>
      <c r="X469" s="336" t="s">
        <v>465</v>
      </c>
      <c r="Y469" s="352" t="s">
        <v>131</v>
      </c>
      <c r="Z469" s="105">
        <v>9644</v>
      </c>
      <c r="AA469" s="107">
        <v>241.10000000000019</v>
      </c>
      <c r="AB469" s="105" t="s">
        <v>478</v>
      </c>
    </row>
    <row r="470" spans="1:28">
      <c r="A470" s="105">
        <f t="shared" si="7"/>
        <v>469</v>
      </c>
      <c r="B470" s="107">
        <f>YEAR(Table6[[#This Row],[Date]])+IF(MONTH(Table6[[#This Row],[Date]])&gt;=4,1,0)</f>
        <v>2026</v>
      </c>
      <c r="C470" s="105">
        <f>YEAR(Table6[[#This Row],[Date]])</f>
        <v>2025</v>
      </c>
      <c r="D470" s="105" t="s">
        <v>490</v>
      </c>
      <c r="E470" s="119">
        <f>Table6[[#This Row],[Date]]-DAY(Table6[[#This Row],[Date]])+1</f>
        <v>45778</v>
      </c>
      <c r="F470" s="118">
        <v>45783</v>
      </c>
      <c r="G470" s="105" t="s">
        <v>133</v>
      </c>
      <c r="H470" s="39" t="str">
        <f>_xlfn.XLOOKUP(Table6[[#This Row],[Affected WTG]],'Basic Data'!$A:$A,'Basic Data'!$B:$B)</f>
        <v>PWEGPL</v>
      </c>
      <c r="I470" s="39" t="str">
        <f>_xlfn.XLOOKUP(Table6[[#This Row],[Affected WTG]],'Basic Data'!$A:$A,'Basic Data'!$C:$C)</f>
        <v>MSEDCL</v>
      </c>
      <c r="J470" s="345">
        <f>IFERROR(VLOOKUP(Table6[[#This Row],[Affected WTG]],'Basic Data'!$A$3:$E$56,5,0),"")</f>
        <v>2.564102564102564E-2</v>
      </c>
      <c r="K470" s="105">
        <v>5216</v>
      </c>
      <c r="L470" s="39" t="str">
        <f>IFERROR(VLOOKUP(Table6[[#This Row],[Error Code]],'Basic Data'!$T:$U,2,0),"")</f>
        <v>Grid Voltage Failure</v>
      </c>
      <c r="M470" s="346" t="s">
        <v>462</v>
      </c>
      <c r="N470" s="39" t="s">
        <v>1270</v>
      </c>
      <c r="O470" s="347">
        <v>0.52222222222222225</v>
      </c>
      <c r="P470" s="347">
        <v>0.54861111111111116</v>
      </c>
      <c r="Q470" s="347">
        <v>0.59166666666666667</v>
      </c>
      <c r="R470" s="348">
        <f>IF(Table6[[#This Row],[Work Start TimeStamp]]="","",(Table6[[#This Row],[Work Start TimeStamp]]-Table6[[#This Row],[Fault Start TimeStamp]])*24)</f>
        <v>0.63333333333333375</v>
      </c>
      <c r="S470" s="349">
        <f>(Table6[[#This Row],[Fault Clearance time]]-Table6[[#This Row],[Work Start TimeStamp]])*24</f>
        <v>1.0333333333333323</v>
      </c>
      <c r="T470" s="350">
        <f>(Table6[[#This Row],[Fault Clearance time]]-Table6[[#This Row],[Fault Start TimeStamp]])*24</f>
        <v>1.6666666666666661</v>
      </c>
      <c r="U470" s="346" t="s">
        <v>584</v>
      </c>
      <c r="V470" s="351" t="s">
        <v>463</v>
      </c>
      <c r="W470" s="338">
        <f>Table6[[#This Row],[Breakdown Time]]*(1/39)</f>
        <v>4.2735042735042715E-2</v>
      </c>
      <c r="X470" s="336" t="s">
        <v>465</v>
      </c>
      <c r="Y470" s="352" t="s">
        <v>132</v>
      </c>
      <c r="Z470" s="105">
        <v>9640</v>
      </c>
      <c r="AA470" s="107">
        <v>669.44444444444423</v>
      </c>
      <c r="AB470" s="105" t="s">
        <v>478</v>
      </c>
    </row>
    <row r="471" spans="1:28">
      <c r="A471" s="105">
        <f t="shared" si="7"/>
        <v>470</v>
      </c>
      <c r="B471" s="107">
        <f>YEAR(Table6[[#This Row],[Date]])+IF(MONTH(Table6[[#This Row],[Date]])&gt;=4,1,0)</f>
        <v>2026</v>
      </c>
      <c r="C471" s="105">
        <f>YEAR(Table6[[#This Row],[Date]])</f>
        <v>2025</v>
      </c>
      <c r="D471" s="105" t="s">
        <v>490</v>
      </c>
      <c r="E471" s="119">
        <f>Table6[[#This Row],[Date]]-DAY(Table6[[#This Row],[Date]])+1</f>
        <v>45778</v>
      </c>
      <c r="F471" s="118">
        <v>45783</v>
      </c>
      <c r="G471" s="105" t="s">
        <v>136</v>
      </c>
      <c r="H471" s="39" t="str">
        <f>_xlfn.XLOOKUP(Table6[[#This Row],[Affected WTG]],'Basic Data'!$A:$A,'Basic Data'!$B:$B)</f>
        <v>PWEGPL</v>
      </c>
      <c r="I471" s="39" t="str">
        <f>_xlfn.XLOOKUP(Table6[[#This Row],[Affected WTG]],'Basic Data'!$A:$A,'Basic Data'!$C:$C)</f>
        <v>MSEDCL</v>
      </c>
      <c r="J471" s="345">
        <f>IFERROR(VLOOKUP(Table6[[#This Row],[Affected WTG]],'Basic Data'!$A$3:$E$56,5,0),"")</f>
        <v>2.564102564102564E-2</v>
      </c>
      <c r="K471" s="105">
        <v>813</v>
      </c>
      <c r="L471" s="39" t="str">
        <f>IFERROR(VLOOKUP(Table6[[#This Row],[Error Code]],'Basic Data'!$T:$U,2,0),"")</f>
        <v>Low Pressure Of Emergency Accumulators</v>
      </c>
      <c r="M471" s="346" t="s">
        <v>462</v>
      </c>
      <c r="N471" s="39" t="s">
        <v>1270</v>
      </c>
      <c r="O471" s="347">
        <v>0.54513888888888884</v>
      </c>
      <c r="P471" s="347">
        <v>0.57777777777777772</v>
      </c>
      <c r="Q471" s="347">
        <v>0.57847222222222228</v>
      </c>
      <c r="R471" s="348">
        <f>IF(Table6[[#This Row],[Work Start TimeStamp]]="","",(Table6[[#This Row],[Work Start TimeStamp]]-Table6[[#This Row],[Fault Start TimeStamp]])*24)</f>
        <v>0.78333333333333321</v>
      </c>
      <c r="S471" s="349">
        <f>(Table6[[#This Row],[Fault Clearance time]]-Table6[[#This Row],[Work Start TimeStamp]])*24</f>
        <v>1.6666666666669272E-2</v>
      </c>
      <c r="T471" s="350">
        <f>(Table6[[#This Row],[Fault Clearance time]]-Table6[[#This Row],[Fault Start TimeStamp]])*24</f>
        <v>0.80000000000000249</v>
      </c>
      <c r="U471" s="346" t="s">
        <v>493</v>
      </c>
      <c r="V471" s="351" t="s">
        <v>463</v>
      </c>
      <c r="W471" s="338">
        <f>Table6[[#This Row],[Breakdown Time]]*(1/39)</f>
        <v>2.0512820512820575E-2</v>
      </c>
      <c r="X471" s="336" t="s">
        <v>465</v>
      </c>
      <c r="Y471" s="352" t="s">
        <v>119</v>
      </c>
      <c r="Z471" s="105">
        <v>8301</v>
      </c>
      <c r="AA471" s="107">
        <v>276.70000000000084</v>
      </c>
      <c r="AB471" s="105" t="s">
        <v>478</v>
      </c>
    </row>
    <row r="472" spans="1:28">
      <c r="A472" s="105">
        <f t="shared" si="7"/>
        <v>471</v>
      </c>
      <c r="B472" s="107">
        <f>YEAR(Table6[[#This Row],[Date]])+IF(MONTH(Table6[[#This Row],[Date]])&gt;=4,1,0)</f>
        <v>2026</v>
      </c>
      <c r="C472" s="105">
        <f>YEAR(Table6[[#This Row],[Date]])</f>
        <v>2025</v>
      </c>
      <c r="D472" s="105" t="s">
        <v>490</v>
      </c>
      <c r="E472" s="119">
        <f>Table6[[#This Row],[Date]]-DAY(Table6[[#This Row],[Date]])+1</f>
        <v>45778</v>
      </c>
      <c r="F472" s="118">
        <v>45783</v>
      </c>
      <c r="G472" s="105" t="s">
        <v>137</v>
      </c>
      <c r="H472" s="39" t="str">
        <f>_xlfn.XLOOKUP(Table6[[#This Row],[Affected WTG]],'Basic Data'!$A:$A,'Basic Data'!$B:$B)</f>
        <v>PWEGPL</v>
      </c>
      <c r="I472" s="39" t="str">
        <f>_xlfn.XLOOKUP(Table6[[#This Row],[Affected WTG]],'Basic Data'!$A:$A,'Basic Data'!$C:$C)</f>
        <v>MSEDCL</v>
      </c>
      <c r="J472" s="345">
        <f>IFERROR(VLOOKUP(Table6[[#This Row],[Affected WTG]],'Basic Data'!$A$3:$E$56,5,0),"")</f>
        <v>2.564102564102564E-2</v>
      </c>
      <c r="K472" s="105">
        <v>2118</v>
      </c>
      <c r="L472" s="39" t="str">
        <f>IFERROR(VLOOKUP(Table6[[#This Row],[Error Code]],'Basic Data'!$T:$U,2,0),"")</f>
        <v>Bus Error - Interbus Failure</v>
      </c>
      <c r="M472" s="346" t="s">
        <v>462</v>
      </c>
      <c r="N472" s="39" t="s">
        <v>1270</v>
      </c>
      <c r="O472" s="347">
        <v>0.63888888888888884</v>
      </c>
      <c r="P472" s="347">
        <v>0.66805555555555551</v>
      </c>
      <c r="Q472" s="347">
        <v>0.6694444444444444</v>
      </c>
      <c r="R472" s="348">
        <f>IF(Table6[[#This Row],[Work Start TimeStamp]]="","",(Table6[[#This Row],[Work Start TimeStamp]]-Table6[[#This Row],[Fault Start TimeStamp]])*24)</f>
        <v>0.70000000000000018</v>
      </c>
      <c r="S472" s="349">
        <f>(Table6[[#This Row],[Fault Clearance time]]-Table6[[#This Row],[Work Start TimeStamp]])*24</f>
        <v>3.3333333333333215E-2</v>
      </c>
      <c r="T472" s="350">
        <f>(Table6[[#This Row],[Fault Clearance time]]-Table6[[#This Row],[Fault Start TimeStamp]])*24</f>
        <v>0.73333333333333339</v>
      </c>
      <c r="U472" s="346" t="s">
        <v>491</v>
      </c>
      <c r="V472" s="351" t="s">
        <v>463</v>
      </c>
      <c r="W472" s="338">
        <f>Table6[[#This Row],[Breakdown Time]]*(1/39)</f>
        <v>1.8803418803418806E-2</v>
      </c>
      <c r="X472" s="336" t="s">
        <v>465</v>
      </c>
      <c r="Y472" s="352" t="s">
        <v>119</v>
      </c>
      <c r="Z472" s="105">
        <v>8301</v>
      </c>
      <c r="AA472" s="107">
        <v>253.64166666666668</v>
      </c>
      <c r="AB472" s="105" t="s">
        <v>478</v>
      </c>
    </row>
    <row r="473" spans="1:28">
      <c r="A473" s="105">
        <f t="shared" si="7"/>
        <v>472</v>
      </c>
      <c r="B473" s="107">
        <f>YEAR(Table6[[#This Row],[Date]])+IF(MONTH(Table6[[#This Row],[Date]])&gt;=4,1,0)</f>
        <v>2026</v>
      </c>
      <c r="C473" s="105">
        <f>YEAR(Table6[[#This Row],[Date]])</f>
        <v>2025</v>
      </c>
      <c r="D473" s="105" t="s">
        <v>490</v>
      </c>
      <c r="E473" s="119">
        <f>Table6[[#This Row],[Date]]-DAY(Table6[[#This Row],[Date]])+1</f>
        <v>45778</v>
      </c>
      <c r="F473" s="118">
        <v>45783</v>
      </c>
      <c r="G473" s="105" t="s">
        <v>139</v>
      </c>
      <c r="H473" s="39" t="str">
        <f>_xlfn.XLOOKUP(Table6[[#This Row],[Affected WTG]],'Basic Data'!$A:$A,'Basic Data'!$B:$B)</f>
        <v>PWEGPL</v>
      </c>
      <c r="I473" s="39" t="str">
        <f>_xlfn.XLOOKUP(Table6[[#This Row],[Affected WTG]],'Basic Data'!$A:$A,'Basic Data'!$C:$C)</f>
        <v>MSEDCL</v>
      </c>
      <c r="J473" s="345">
        <f>IFERROR(VLOOKUP(Table6[[#This Row],[Affected WTG]],'Basic Data'!$A$3:$E$56,5,0),"")</f>
        <v>2.564102564102564E-2</v>
      </c>
      <c r="K473" s="105" t="s">
        <v>466</v>
      </c>
      <c r="L473" s="39" t="str">
        <f>IFERROR(VLOOKUP(Table6[[#This Row],[Error Code]],'Basic Data'!$T:$U,2,0),"")</f>
        <v>Manual Stop</v>
      </c>
      <c r="M473" s="346" t="s">
        <v>479</v>
      </c>
      <c r="N473" s="39" t="s">
        <v>230</v>
      </c>
      <c r="O473" s="347">
        <v>0</v>
      </c>
      <c r="P473" s="347">
        <v>0</v>
      </c>
      <c r="Q473" s="347">
        <v>0.65486111111111112</v>
      </c>
      <c r="R473" s="348">
        <f>IF(Table6[[#This Row],[Work Start TimeStamp]]="","",(Table6[[#This Row],[Work Start TimeStamp]]-Table6[[#This Row],[Fault Start TimeStamp]])*24)</f>
        <v>0</v>
      </c>
      <c r="S473" s="349">
        <f>(Table6[[#This Row],[Fault Clearance time]]-Table6[[#This Row],[Work Start TimeStamp]])*24</f>
        <v>15.716666666666667</v>
      </c>
      <c r="T473" s="350">
        <f>(Table6[[#This Row],[Fault Clearance time]]-Table6[[#This Row],[Fault Start TimeStamp]])*24</f>
        <v>15.716666666666667</v>
      </c>
      <c r="U473" s="346" t="s">
        <v>585</v>
      </c>
      <c r="V473" s="351" t="s">
        <v>463</v>
      </c>
      <c r="W473" s="338">
        <f>Table6[[#This Row],[Breakdown Time]]*(1/39)</f>
        <v>0.402991452991453</v>
      </c>
      <c r="X473" s="336" t="s">
        <v>464</v>
      </c>
      <c r="Y473" s="352" t="s">
        <v>145</v>
      </c>
      <c r="Z473" s="105">
        <v>6972</v>
      </c>
      <c r="AA473" s="107">
        <v>4565.6916666666666</v>
      </c>
      <c r="AB473" s="105" t="s">
        <v>478</v>
      </c>
    </row>
    <row r="474" spans="1:28">
      <c r="A474" s="105">
        <f t="shared" si="7"/>
        <v>473</v>
      </c>
      <c r="B474" s="107">
        <f>YEAR(Table6[[#This Row],[Date]])+IF(MONTH(Table6[[#This Row],[Date]])&gt;=4,1,0)</f>
        <v>2026</v>
      </c>
      <c r="C474" s="105">
        <f>YEAR(Table6[[#This Row],[Date]])</f>
        <v>2025</v>
      </c>
      <c r="D474" s="105" t="s">
        <v>490</v>
      </c>
      <c r="E474" s="119">
        <f>Table6[[#This Row],[Date]]-DAY(Table6[[#This Row],[Date]])+1</f>
        <v>45778</v>
      </c>
      <c r="F474" s="118">
        <v>45783</v>
      </c>
      <c r="G474" s="105" t="s">
        <v>150</v>
      </c>
      <c r="H474" s="39" t="str">
        <f>_xlfn.XLOOKUP(Table6[[#This Row],[Affected WTG]],'Basic Data'!$A:$A,'Basic Data'!$B:$B)</f>
        <v>PWEGPL</v>
      </c>
      <c r="I474" s="39" t="str">
        <f>_xlfn.XLOOKUP(Table6[[#This Row],[Affected WTG]],'Basic Data'!$A:$A,'Basic Data'!$C:$C)</f>
        <v>MSEDCL</v>
      </c>
      <c r="J474" s="345">
        <f>IFERROR(VLOOKUP(Table6[[#This Row],[Affected WTG]],'Basic Data'!$A$3:$E$56,5,0),"")</f>
        <v>2.564102564102564E-2</v>
      </c>
      <c r="K474" s="105" t="s">
        <v>476</v>
      </c>
      <c r="L474" s="39" t="str">
        <f>IFERROR(VLOOKUP(Table6[[#This Row],[Error Code]],'Basic Data'!$T:$U,2,0),"")</f>
        <v>Manual Stop - Preventive Maintenance Activity</v>
      </c>
      <c r="M474" s="346" t="s">
        <v>474</v>
      </c>
      <c r="N474" s="39" t="s">
        <v>230</v>
      </c>
      <c r="O474" s="347">
        <v>0.47361111111111109</v>
      </c>
      <c r="P474" s="347">
        <v>0.47361111111111109</v>
      </c>
      <c r="Q474" s="347">
        <v>0.76458333333333328</v>
      </c>
      <c r="R474" s="348">
        <f>IF(Table6[[#This Row],[Work Start TimeStamp]]="","",(Table6[[#This Row],[Work Start TimeStamp]]-Table6[[#This Row],[Fault Start TimeStamp]])*24)</f>
        <v>0</v>
      </c>
      <c r="S474" s="349">
        <f>(Table6[[#This Row],[Fault Clearance time]]-Table6[[#This Row],[Work Start TimeStamp]])*24</f>
        <v>6.9833333333333325</v>
      </c>
      <c r="T474" s="350">
        <f>(Table6[[#This Row],[Fault Clearance time]]-Table6[[#This Row],[Fault Start TimeStamp]])*24</f>
        <v>6.9833333333333325</v>
      </c>
      <c r="U474" s="346" t="s">
        <v>580</v>
      </c>
      <c r="V474" s="351" t="s">
        <v>463</v>
      </c>
      <c r="W474" s="338">
        <f>Table6[[#This Row],[Breakdown Time]]*(1/39)</f>
        <v>0.17905982905982903</v>
      </c>
      <c r="X474" s="336" t="s">
        <v>467</v>
      </c>
      <c r="Y474" s="352" t="s">
        <v>149</v>
      </c>
      <c r="Z474" s="105">
        <v>6953</v>
      </c>
      <c r="AA474" s="107">
        <v>2023.1298611111108</v>
      </c>
      <c r="AB474" s="105" t="s">
        <v>478</v>
      </c>
    </row>
    <row r="475" spans="1:28">
      <c r="A475" s="105">
        <f t="shared" si="7"/>
        <v>474</v>
      </c>
      <c r="B475" s="107">
        <f>YEAR(Table6[[#This Row],[Date]])+IF(MONTH(Table6[[#This Row],[Date]])&gt;=4,1,0)</f>
        <v>2026</v>
      </c>
      <c r="C475" s="105">
        <f>YEAR(Table6[[#This Row],[Date]])</f>
        <v>2025</v>
      </c>
      <c r="D475" s="105" t="s">
        <v>490</v>
      </c>
      <c r="E475" s="119">
        <f>Table6[[#This Row],[Date]]-DAY(Table6[[#This Row],[Date]])+1</f>
        <v>45778</v>
      </c>
      <c r="F475" s="118">
        <v>45784</v>
      </c>
      <c r="G475" s="105" t="s">
        <v>144</v>
      </c>
      <c r="H475" s="39" t="str">
        <f>_xlfn.XLOOKUP(Table6[[#This Row],[Affected WTG]],'Basic Data'!$A:$A,'Basic Data'!$B:$B)</f>
        <v>PWEGPL</v>
      </c>
      <c r="I475" s="39" t="str">
        <f>_xlfn.XLOOKUP(Table6[[#This Row],[Affected WTG]],'Basic Data'!$A:$A,'Basic Data'!$C:$C)</f>
        <v>MSEDCL</v>
      </c>
      <c r="J475" s="345">
        <f>IFERROR(VLOOKUP(Table6[[#This Row],[Affected WTG]],'Basic Data'!$A$3:$E$56,5,0),"")</f>
        <v>2.564102564102564E-2</v>
      </c>
      <c r="K475" s="105" t="s">
        <v>492</v>
      </c>
      <c r="L475" s="39" t="str">
        <f>IFERROR(VLOOKUP(Table6[[#This Row],[Error Code]],'Basic Data'!$T:$U,2,0),"")</f>
        <v>Manual Stop - Safety Related</v>
      </c>
      <c r="M475" s="346" t="s">
        <v>481</v>
      </c>
      <c r="N475" s="39" t="s">
        <v>1269</v>
      </c>
      <c r="O475" s="347">
        <v>0</v>
      </c>
      <c r="P475" s="347">
        <v>0.99930555555555556</v>
      </c>
      <c r="Q475" s="347">
        <v>0.99930555555555556</v>
      </c>
      <c r="R475" s="348">
        <f>IF(Table6[[#This Row],[Work Start TimeStamp]]="","",(Table6[[#This Row],[Work Start TimeStamp]]-Table6[[#This Row],[Fault Start TimeStamp]])*24)</f>
        <v>23.983333333333334</v>
      </c>
      <c r="S475" s="349">
        <f>(Table6[[#This Row],[Fault Clearance time]]-Table6[[#This Row],[Work Start TimeStamp]])*24</f>
        <v>0</v>
      </c>
      <c r="T475" s="350">
        <f>(Table6[[#This Row],[Fault Clearance time]]-Table6[[#This Row],[Fault Start TimeStamp]])*24</f>
        <v>23.983333333333334</v>
      </c>
      <c r="U475" s="346" t="s">
        <v>498</v>
      </c>
      <c r="V475" s="351" t="s">
        <v>473</v>
      </c>
      <c r="W475" s="338">
        <f>Table6[[#This Row],[Breakdown Time]]*(1/39)</f>
        <v>0.61495726495726499</v>
      </c>
      <c r="X475" s="336" t="s">
        <v>468</v>
      </c>
      <c r="Y475" s="352" t="s">
        <v>141</v>
      </c>
      <c r="Z475" s="105">
        <v>9453</v>
      </c>
      <c r="AA475" s="107">
        <v>9446.4354166666672</v>
      </c>
      <c r="AB475" s="105" t="s">
        <v>478</v>
      </c>
    </row>
    <row r="476" spans="1:28">
      <c r="A476" s="105">
        <f t="shared" si="7"/>
        <v>475</v>
      </c>
      <c r="B476" s="107">
        <f>YEAR(Table6[[#This Row],[Date]])+IF(MONTH(Table6[[#This Row],[Date]])&gt;=4,1,0)</f>
        <v>2026</v>
      </c>
      <c r="C476" s="105">
        <f>YEAR(Table6[[#This Row],[Date]])</f>
        <v>2025</v>
      </c>
      <c r="D476" s="105" t="s">
        <v>490</v>
      </c>
      <c r="E476" s="119">
        <f>Table6[[#This Row],[Date]]-DAY(Table6[[#This Row],[Date]])+1</f>
        <v>45778</v>
      </c>
      <c r="F476" s="118">
        <v>45784</v>
      </c>
      <c r="G476" s="105" t="s">
        <v>142</v>
      </c>
      <c r="H476" s="39" t="str">
        <f>_xlfn.XLOOKUP(Table6[[#This Row],[Affected WTG]],'Basic Data'!$A:$A,'Basic Data'!$B:$B)</f>
        <v>PWEGPL</v>
      </c>
      <c r="I476" s="39" t="str">
        <f>_xlfn.XLOOKUP(Table6[[#This Row],[Affected WTG]],'Basic Data'!$A:$A,'Basic Data'!$C:$C)</f>
        <v>MSEDCL</v>
      </c>
      <c r="J476" s="345">
        <f>IFERROR(VLOOKUP(Table6[[#This Row],[Affected WTG]],'Basic Data'!$A$3:$E$56,5,0),"")</f>
        <v>2.564102564102564E-2</v>
      </c>
      <c r="K476" s="105" t="s">
        <v>492</v>
      </c>
      <c r="L476" s="39" t="str">
        <f>IFERROR(VLOOKUP(Table6[[#This Row],[Error Code]],'Basic Data'!$T:$U,2,0),"")</f>
        <v>Manual Stop - Safety Related</v>
      </c>
      <c r="M476" s="346" t="s">
        <v>481</v>
      </c>
      <c r="N476" s="39" t="s">
        <v>1269</v>
      </c>
      <c r="O476" s="347">
        <v>0</v>
      </c>
      <c r="P476" s="347">
        <v>0.99930555555555556</v>
      </c>
      <c r="Q476" s="347">
        <v>0.99930555555555556</v>
      </c>
      <c r="R476" s="348">
        <f>IF(Table6[[#This Row],[Work Start TimeStamp]]="","",(Table6[[#This Row],[Work Start TimeStamp]]-Table6[[#This Row],[Fault Start TimeStamp]])*24)</f>
        <v>23.983333333333334</v>
      </c>
      <c r="S476" s="349">
        <f>(Table6[[#This Row],[Fault Clearance time]]-Table6[[#This Row],[Work Start TimeStamp]])*24</f>
        <v>0</v>
      </c>
      <c r="T476" s="350">
        <f>(Table6[[#This Row],[Fault Clearance time]]-Table6[[#This Row],[Fault Start TimeStamp]])*24</f>
        <v>23.983333333333334</v>
      </c>
      <c r="U476" s="346" t="s">
        <v>498</v>
      </c>
      <c r="V476" s="351" t="s">
        <v>473</v>
      </c>
      <c r="W476" s="338">
        <f>Table6[[#This Row],[Breakdown Time]]*(1/39)</f>
        <v>0.61495726495726499</v>
      </c>
      <c r="X476" s="336" t="s">
        <v>468</v>
      </c>
      <c r="Y476" s="352" t="s">
        <v>141</v>
      </c>
      <c r="Z476" s="105">
        <v>9453</v>
      </c>
      <c r="AA476" s="107">
        <v>9446.4354166666672</v>
      </c>
      <c r="AB476" s="105" t="s">
        <v>478</v>
      </c>
    </row>
    <row r="477" spans="1:28">
      <c r="A477" s="105">
        <f t="shared" si="7"/>
        <v>476</v>
      </c>
      <c r="B477" s="107">
        <f>YEAR(Table6[[#This Row],[Date]])+IF(MONTH(Table6[[#This Row],[Date]])&gt;=4,1,0)</f>
        <v>2026</v>
      </c>
      <c r="C477" s="105">
        <f>YEAR(Table6[[#This Row],[Date]])</f>
        <v>2025</v>
      </c>
      <c r="D477" s="105" t="s">
        <v>490</v>
      </c>
      <c r="E477" s="119">
        <f>Table6[[#This Row],[Date]]-DAY(Table6[[#This Row],[Date]])+1</f>
        <v>45778</v>
      </c>
      <c r="F477" s="118">
        <v>45784</v>
      </c>
      <c r="G477" s="105" t="s">
        <v>115</v>
      </c>
      <c r="H477" s="39" t="str">
        <f>_xlfn.XLOOKUP(Table6[[#This Row],[Affected WTG]],'Basic Data'!$A:$A,'Basic Data'!$B:$B)</f>
        <v>PWEGPL</v>
      </c>
      <c r="I477" s="39" t="str">
        <f>_xlfn.XLOOKUP(Table6[[#This Row],[Affected WTG]],'Basic Data'!$A:$A,'Basic Data'!$C:$C)</f>
        <v>MSEDCL</v>
      </c>
      <c r="J477" s="345">
        <f>IFERROR(VLOOKUP(Table6[[#This Row],[Affected WTG]],'Basic Data'!$A$3:$E$56,5,0),"")</f>
        <v>2.564102564102564E-2</v>
      </c>
      <c r="K477" s="105">
        <v>2118</v>
      </c>
      <c r="L477" s="39" t="str">
        <f>IFERROR(VLOOKUP(Table6[[#This Row],[Error Code]],'Basic Data'!$T:$U,2,0),"")</f>
        <v>Bus Error - Interbus Failure</v>
      </c>
      <c r="M477" s="346" t="s">
        <v>462</v>
      </c>
      <c r="N477" s="39" t="s">
        <v>1270</v>
      </c>
      <c r="O477" s="347">
        <v>0.66180555555555554</v>
      </c>
      <c r="P477" s="347">
        <v>0.69097222222222221</v>
      </c>
      <c r="Q477" s="347">
        <v>0.69236111111111109</v>
      </c>
      <c r="R477" s="348">
        <f>IF(Table6[[#This Row],[Work Start TimeStamp]]="","",(Table6[[#This Row],[Work Start TimeStamp]]-Table6[[#This Row],[Fault Start TimeStamp]])*24)</f>
        <v>0.70000000000000018</v>
      </c>
      <c r="S477" s="349">
        <f>(Table6[[#This Row],[Fault Clearance time]]-Table6[[#This Row],[Work Start TimeStamp]])*24</f>
        <v>3.3333333333333215E-2</v>
      </c>
      <c r="T477" s="350">
        <f>(Table6[[#This Row],[Fault Clearance time]]-Table6[[#This Row],[Fault Start TimeStamp]])*24</f>
        <v>0.73333333333333339</v>
      </c>
      <c r="U477" s="346" t="s">
        <v>491</v>
      </c>
      <c r="V477" s="351" t="s">
        <v>463</v>
      </c>
      <c r="W477" s="338">
        <f>Table6[[#This Row],[Breakdown Time]]*(1/39)</f>
        <v>1.8803418803418806E-2</v>
      </c>
      <c r="X477" s="336" t="s">
        <v>465</v>
      </c>
      <c r="Y477" s="352" t="s">
        <v>121</v>
      </c>
      <c r="Z477" s="105">
        <v>10989</v>
      </c>
      <c r="AA477" s="107">
        <v>335.77500000000003</v>
      </c>
      <c r="AB477" s="105" t="s">
        <v>478</v>
      </c>
    </row>
    <row r="478" spans="1:28">
      <c r="A478" s="105">
        <f t="shared" si="7"/>
        <v>477</v>
      </c>
      <c r="B478" s="107">
        <f>YEAR(Table6[[#This Row],[Date]])+IF(MONTH(Table6[[#This Row],[Date]])&gt;=4,1,0)</f>
        <v>2026</v>
      </c>
      <c r="C478" s="105">
        <f>YEAR(Table6[[#This Row],[Date]])</f>
        <v>2025</v>
      </c>
      <c r="D478" s="105" t="s">
        <v>490</v>
      </c>
      <c r="E478" s="119">
        <f>Table6[[#This Row],[Date]]-DAY(Table6[[#This Row],[Date]])+1</f>
        <v>45778</v>
      </c>
      <c r="F478" s="118">
        <v>45784</v>
      </c>
      <c r="G478" s="105" t="s">
        <v>120</v>
      </c>
      <c r="H478" s="39" t="str">
        <f>_xlfn.XLOOKUP(Table6[[#This Row],[Affected WTG]],'Basic Data'!$A:$A,'Basic Data'!$B:$B)</f>
        <v>PWEGPL</v>
      </c>
      <c r="I478" s="39" t="str">
        <f>_xlfn.XLOOKUP(Table6[[#This Row],[Affected WTG]],'Basic Data'!$A:$A,'Basic Data'!$C:$C)</f>
        <v>MSEDCL</v>
      </c>
      <c r="J478" s="345">
        <f>IFERROR(VLOOKUP(Table6[[#This Row],[Affected WTG]],'Basic Data'!$A$3:$E$56,5,0),"")</f>
        <v>2.564102564102564E-2</v>
      </c>
      <c r="K478" s="105">
        <v>2118</v>
      </c>
      <c r="L478" s="39" t="str">
        <f>IFERROR(VLOOKUP(Table6[[#This Row],[Error Code]],'Basic Data'!$T:$U,2,0),"")</f>
        <v>Bus Error - Interbus Failure</v>
      </c>
      <c r="M478" s="346" t="s">
        <v>462</v>
      </c>
      <c r="N478" s="39" t="s">
        <v>1270</v>
      </c>
      <c r="O478" s="347">
        <v>0.66180555555555554</v>
      </c>
      <c r="P478" s="347">
        <v>0.6875</v>
      </c>
      <c r="Q478" s="347">
        <v>0.68888888888888888</v>
      </c>
      <c r="R478" s="348">
        <f>IF(Table6[[#This Row],[Work Start TimeStamp]]="","",(Table6[[#This Row],[Work Start TimeStamp]]-Table6[[#This Row],[Fault Start TimeStamp]])*24)</f>
        <v>0.61666666666666714</v>
      </c>
      <c r="S478" s="349">
        <f>(Table6[[#This Row],[Fault Clearance time]]-Table6[[#This Row],[Work Start TimeStamp]])*24</f>
        <v>3.3333333333333215E-2</v>
      </c>
      <c r="T478" s="350">
        <f>(Table6[[#This Row],[Fault Clearance time]]-Table6[[#This Row],[Fault Start TimeStamp]])*24</f>
        <v>0.65000000000000036</v>
      </c>
      <c r="U478" s="346" t="s">
        <v>491</v>
      </c>
      <c r="V478" s="351" t="s">
        <v>463</v>
      </c>
      <c r="W478" s="338">
        <f>Table6[[#This Row],[Breakdown Time]]*(1/39)</f>
        <v>1.6666666666666677E-2</v>
      </c>
      <c r="X478" s="336" t="s">
        <v>465</v>
      </c>
      <c r="Y478" s="352" t="s">
        <v>117</v>
      </c>
      <c r="Z478" s="105">
        <v>12694</v>
      </c>
      <c r="AA478" s="107">
        <v>343.79583333333352</v>
      </c>
      <c r="AB478" s="105" t="s">
        <v>478</v>
      </c>
    </row>
    <row r="479" spans="1:28">
      <c r="A479" s="105">
        <f t="shared" si="7"/>
        <v>478</v>
      </c>
      <c r="B479" s="107">
        <f>YEAR(Table6[[#This Row],[Date]])+IF(MONTH(Table6[[#This Row],[Date]])&gt;=4,1,0)</f>
        <v>2026</v>
      </c>
      <c r="C479" s="105">
        <f>YEAR(Table6[[#This Row],[Date]])</f>
        <v>2025</v>
      </c>
      <c r="D479" s="105" t="s">
        <v>490</v>
      </c>
      <c r="E479" s="119">
        <f>Table6[[#This Row],[Date]]-DAY(Table6[[#This Row],[Date]])+1</f>
        <v>45778</v>
      </c>
      <c r="F479" s="118">
        <v>45784</v>
      </c>
      <c r="G479" s="105" t="s">
        <v>121</v>
      </c>
      <c r="H479" s="39" t="str">
        <f>_xlfn.XLOOKUP(Table6[[#This Row],[Affected WTG]],'Basic Data'!$A:$A,'Basic Data'!$B:$B)</f>
        <v>PWEGPL</v>
      </c>
      <c r="I479" s="39" t="str">
        <f>_xlfn.XLOOKUP(Table6[[#This Row],[Affected WTG]],'Basic Data'!$A:$A,'Basic Data'!$C:$C)</f>
        <v>MSEDCL</v>
      </c>
      <c r="J479" s="345">
        <f>IFERROR(VLOOKUP(Table6[[#This Row],[Affected WTG]],'Basic Data'!$A$3:$E$56,5,0),"")</f>
        <v>2.564102564102564E-2</v>
      </c>
      <c r="K479" s="105">
        <v>2118</v>
      </c>
      <c r="L479" s="39" t="str">
        <f>IFERROR(VLOOKUP(Table6[[#This Row],[Error Code]],'Basic Data'!$T:$U,2,0),"")</f>
        <v>Bus Error - Interbus Failure</v>
      </c>
      <c r="M479" s="346" t="s">
        <v>462</v>
      </c>
      <c r="N479" s="39" t="s">
        <v>1270</v>
      </c>
      <c r="O479" s="347">
        <v>0.66249999999999998</v>
      </c>
      <c r="P479" s="347">
        <v>0.69791666666666663</v>
      </c>
      <c r="Q479" s="347">
        <v>0.69930555555555551</v>
      </c>
      <c r="R479" s="348">
        <f>IF(Table6[[#This Row],[Work Start TimeStamp]]="","",(Table6[[#This Row],[Work Start TimeStamp]]-Table6[[#This Row],[Fault Start TimeStamp]])*24)</f>
        <v>0.84999999999999964</v>
      </c>
      <c r="S479" s="349">
        <f>(Table6[[#This Row],[Fault Clearance time]]-Table6[[#This Row],[Work Start TimeStamp]])*24</f>
        <v>3.3333333333333215E-2</v>
      </c>
      <c r="T479" s="350">
        <f>(Table6[[#This Row],[Fault Clearance time]]-Table6[[#This Row],[Fault Start TimeStamp]])*24</f>
        <v>0.88333333333333286</v>
      </c>
      <c r="U479" s="346" t="s">
        <v>491</v>
      </c>
      <c r="V479" s="351" t="s">
        <v>463</v>
      </c>
      <c r="W479" s="338">
        <f>Table6[[#This Row],[Breakdown Time]]*(1/39)</f>
        <v>2.2649572649572635E-2</v>
      </c>
      <c r="X479" s="336" t="s">
        <v>465</v>
      </c>
      <c r="Y479" s="352" t="s">
        <v>115</v>
      </c>
      <c r="Z479" s="105">
        <v>10973</v>
      </c>
      <c r="AA479" s="107">
        <v>403.86736111111088</v>
      </c>
      <c r="AB479" s="105" t="s">
        <v>478</v>
      </c>
    </row>
    <row r="480" spans="1:28">
      <c r="A480" s="105">
        <f t="shared" si="7"/>
        <v>479</v>
      </c>
      <c r="B480" s="107">
        <f>YEAR(Table6[[#This Row],[Date]])+IF(MONTH(Table6[[#This Row],[Date]])&gt;=4,1,0)</f>
        <v>2026</v>
      </c>
      <c r="C480" s="105">
        <f>YEAR(Table6[[#This Row],[Date]])</f>
        <v>2025</v>
      </c>
      <c r="D480" s="105" t="s">
        <v>490</v>
      </c>
      <c r="E480" s="119">
        <f>Table6[[#This Row],[Date]]-DAY(Table6[[#This Row],[Date]])+1</f>
        <v>45778</v>
      </c>
      <c r="F480" s="118">
        <v>45784</v>
      </c>
      <c r="G480" s="105" t="s">
        <v>130</v>
      </c>
      <c r="H480" s="39" t="str">
        <f>_xlfn.XLOOKUP(Table6[[#This Row],[Affected WTG]],'Basic Data'!$A:$A,'Basic Data'!$B:$B)</f>
        <v>PWEGPL</v>
      </c>
      <c r="I480" s="39" t="str">
        <f>_xlfn.XLOOKUP(Table6[[#This Row],[Affected WTG]],'Basic Data'!$A:$A,'Basic Data'!$C:$C)</f>
        <v>MSEDCL</v>
      </c>
      <c r="J480" s="345">
        <f>IFERROR(VLOOKUP(Table6[[#This Row],[Affected WTG]],'Basic Data'!$A$3:$E$56,5,0),"")</f>
        <v>2.564102564102564E-2</v>
      </c>
      <c r="K480" s="105">
        <v>2118</v>
      </c>
      <c r="L480" s="39" t="str">
        <f>IFERROR(VLOOKUP(Table6[[#This Row],[Error Code]],'Basic Data'!$T:$U,2,0),"")</f>
        <v>Bus Error - Interbus Failure</v>
      </c>
      <c r="M480" s="346" t="s">
        <v>462</v>
      </c>
      <c r="N480" s="39" t="s">
        <v>1270</v>
      </c>
      <c r="O480" s="347">
        <v>0.66597222222222219</v>
      </c>
      <c r="P480" s="347">
        <v>0.68055555555555558</v>
      </c>
      <c r="Q480" s="347">
        <v>0.68194444444444446</v>
      </c>
      <c r="R480" s="348">
        <f>IF(Table6[[#This Row],[Work Start TimeStamp]]="","",(Table6[[#This Row],[Work Start TimeStamp]]-Table6[[#This Row],[Fault Start TimeStamp]])*24)</f>
        <v>0.35000000000000142</v>
      </c>
      <c r="S480" s="349">
        <f>(Table6[[#This Row],[Fault Clearance time]]-Table6[[#This Row],[Work Start TimeStamp]])*24</f>
        <v>3.3333333333333215E-2</v>
      </c>
      <c r="T480" s="350">
        <f>(Table6[[#This Row],[Fault Clearance time]]-Table6[[#This Row],[Fault Start TimeStamp]])*24</f>
        <v>0.38333333333333464</v>
      </c>
      <c r="U480" s="346" t="s">
        <v>491</v>
      </c>
      <c r="V480" s="351" t="s">
        <v>463</v>
      </c>
      <c r="W480" s="338">
        <f>Table6[[#This Row],[Breakdown Time]]*(1/39)</f>
        <v>9.8290598290598618E-3</v>
      </c>
      <c r="X480" s="336" t="s">
        <v>465</v>
      </c>
      <c r="Y480" s="352" t="s">
        <v>131</v>
      </c>
      <c r="Z480" s="105">
        <v>14472</v>
      </c>
      <c r="AA480" s="107">
        <v>231.15000000000077</v>
      </c>
      <c r="AB480" s="105" t="s">
        <v>478</v>
      </c>
    </row>
    <row r="481" spans="1:28">
      <c r="A481" s="105">
        <f t="shared" si="7"/>
        <v>480</v>
      </c>
      <c r="B481" s="107">
        <f>YEAR(Table6[[#This Row],[Date]])+IF(MONTH(Table6[[#This Row],[Date]])&gt;=4,1,0)</f>
        <v>2026</v>
      </c>
      <c r="C481" s="105">
        <f>YEAR(Table6[[#This Row],[Date]])</f>
        <v>2025</v>
      </c>
      <c r="D481" s="105" t="s">
        <v>490</v>
      </c>
      <c r="E481" s="119">
        <f>Table6[[#This Row],[Date]]-DAY(Table6[[#This Row],[Date]])+1</f>
        <v>45778</v>
      </c>
      <c r="F481" s="118">
        <v>45784</v>
      </c>
      <c r="G481" s="105" t="s">
        <v>132</v>
      </c>
      <c r="H481" s="39" t="str">
        <f>_xlfn.XLOOKUP(Table6[[#This Row],[Affected WTG]],'Basic Data'!$A:$A,'Basic Data'!$B:$B)</f>
        <v>PWEGPL</v>
      </c>
      <c r="I481" s="39" t="str">
        <f>_xlfn.XLOOKUP(Table6[[#This Row],[Affected WTG]],'Basic Data'!$A:$A,'Basic Data'!$C:$C)</f>
        <v>MSEDCL</v>
      </c>
      <c r="J481" s="345">
        <f>IFERROR(VLOOKUP(Table6[[#This Row],[Affected WTG]],'Basic Data'!$A$3:$E$56,5,0),"")</f>
        <v>2.564102564102564E-2</v>
      </c>
      <c r="K481" s="105">
        <v>5205</v>
      </c>
      <c r="L481" s="39" t="str">
        <f>IFERROR(VLOOKUP(Table6[[#This Row],[Error Code]],'Basic Data'!$T:$U,2,0),"")</f>
        <v>Magnetothermic Of The Stator Protection Failure Or Door Open</v>
      </c>
      <c r="M481" s="346" t="s">
        <v>462</v>
      </c>
      <c r="N481" s="39" t="s">
        <v>1270</v>
      </c>
      <c r="O481" s="347">
        <v>0.66319444444444442</v>
      </c>
      <c r="P481" s="347">
        <v>0.69097222222222221</v>
      </c>
      <c r="Q481" s="347">
        <v>0.69722222222222219</v>
      </c>
      <c r="R481" s="348">
        <f>IF(Table6[[#This Row],[Work Start TimeStamp]]="","",(Table6[[#This Row],[Work Start TimeStamp]]-Table6[[#This Row],[Fault Start TimeStamp]])*24)</f>
        <v>0.66666666666666696</v>
      </c>
      <c r="S481" s="349">
        <f>(Table6[[#This Row],[Fault Clearance time]]-Table6[[#This Row],[Work Start TimeStamp]])*24</f>
        <v>0.14999999999999947</v>
      </c>
      <c r="T481" s="350">
        <f>(Table6[[#This Row],[Fault Clearance time]]-Table6[[#This Row],[Fault Start TimeStamp]])*24</f>
        <v>0.81666666666666643</v>
      </c>
      <c r="U481" s="346" t="s">
        <v>491</v>
      </c>
      <c r="V481" s="351" t="s">
        <v>463</v>
      </c>
      <c r="W481" s="338">
        <f>Table6[[#This Row],[Breakdown Time]]*(1/39)</f>
        <v>2.0940170940170932E-2</v>
      </c>
      <c r="X481" s="336" t="s">
        <v>465</v>
      </c>
      <c r="Y481" s="352" t="s">
        <v>133</v>
      </c>
      <c r="Z481" s="105">
        <v>14535</v>
      </c>
      <c r="AA481" s="107">
        <v>494.59374999999983</v>
      </c>
      <c r="AB481" s="105" t="s">
        <v>478</v>
      </c>
    </row>
    <row r="482" spans="1:28">
      <c r="A482" s="105">
        <f t="shared" si="7"/>
        <v>481</v>
      </c>
      <c r="B482" s="107">
        <f>YEAR(Table6[[#This Row],[Date]])+IF(MONTH(Table6[[#This Row],[Date]])&gt;=4,1,0)</f>
        <v>2026</v>
      </c>
      <c r="C482" s="105">
        <f>YEAR(Table6[[#This Row],[Date]])</f>
        <v>2025</v>
      </c>
      <c r="D482" s="105" t="s">
        <v>490</v>
      </c>
      <c r="E482" s="119">
        <f>Table6[[#This Row],[Date]]-DAY(Table6[[#This Row],[Date]])+1</f>
        <v>45778</v>
      </c>
      <c r="F482" s="118">
        <v>45784</v>
      </c>
      <c r="G482" s="105" t="s">
        <v>135</v>
      </c>
      <c r="H482" s="39" t="str">
        <f>_xlfn.XLOOKUP(Table6[[#This Row],[Affected WTG]],'Basic Data'!$A:$A,'Basic Data'!$B:$B)</f>
        <v>PWEGPL</v>
      </c>
      <c r="I482" s="39" t="str">
        <f>_xlfn.XLOOKUP(Table6[[#This Row],[Affected WTG]],'Basic Data'!$A:$A,'Basic Data'!$C:$C)</f>
        <v>MSEDCL</v>
      </c>
      <c r="J482" s="345">
        <f>IFERROR(VLOOKUP(Table6[[#This Row],[Affected WTG]],'Basic Data'!$A$3:$E$56,5,0),"")</f>
        <v>2.564102564102564E-2</v>
      </c>
      <c r="K482" s="105">
        <v>5219</v>
      </c>
      <c r="L482" s="39" t="str">
        <f>IFERROR(VLOOKUP(Table6[[#This Row],[Error Code]],'Basic Data'!$T:$U,2,0),"")</f>
        <v>Coolant Of The Coolant Circuit Failure</v>
      </c>
      <c r="M482" s="346" t="s">
        <v>462</v>
      </c>
      <c r="N482" s="39" t="s">
        <v>1270</v>
      </c>
      <c r="O482" s="347">
        <v>0.69027777777777777</v>
      </c>
      <c r="P482" s="347">
        <v>0.78472222222222221</v>
      </c>
      <c r="Q482" s="347">
        <v>0.78611111111111109</v>
      </c>
      <c r="R482" s="348">
        <f>IF(Table6[[#This Row],[Work Start TimeStamp]]="","",(Table6[[#This Row],[Work Start TimeStamp]]-Table6[[#This Row],[Fault Start TimeStamp]])*24)</f>
        <v>2.2666666666666666</v>
      </c>
      <c r="S482" s="349">
        <f>(Table6[[#This Row],[Fault Clearance time]]-Table6[[#This Row],[Work Start TimeStamp]])*24</f>
        <v>3.3333333333333215E-2</v>
      </c>
      <c r="T482" s="350">
        <f>(Table6[[#This Row],[Fault Clearance time]]-Table6[[#This Row],[Fault Start TimeStamp]])*24</f>
        <v>2.2999999999999998</v>
      </c>
      <c r="U482" s="346" t="s">
        <v>491</v>
      </c>
      <c r="V482" s="351" t="s">
        <v>463</v>
      </c>
      <c r="W482" s="338">
        <f>Table6[[#This Row],[Breakdown Time]]*(1/39)</f>
        <v>5.8974358974358966E-2</v>
      </c>
      <c r="X482" s="336" t="s">
        <v>465</v>
      </c>
      <c r="Y482" s="352" t="s">
        <v>136</v>
      </c>
      <c r="Z482" s="105">
        <v>4538</v>
      </c>
      <c r="AA482" s="107">
        <v>434.89166666666665</v>
      </c>
      <c r="AB482" s="105" t="s">
        <v>478</v>
      </c>
    </row>
    <row r="483" spans="1:28">
      <c r="A483" s="105">
        <f t="shared" si="7"/>
        <v>482</v>
      </c>
      <c r="B483" s="107">
        <f>YEAR(Table6[[#This Row],[Date]])+IF(MONTH(Table6[[#This Row],[Date]])&gt;=4,1,0)</f>
        <v>2026</v>
      </c>
      <c r="C483" s="105">
        <f>YEAR(Table6[[#This Row],[Date]])</f>
        <v>2025</v>
      </c>
      <c r="D483" s="105" t="s">
        <v>490</v>
      </c>
      <c r="E483" s="119">
        <f>Table6[[#This Row],[Date]]-DAY(Table6[[#This Row],[Date]])+1</f>
        <v>45778</v>
      </c>
      <c r="F483" s="118">
        <v>45784</v>
      </c>
      <c r="G483" s="105" t="s">
        <v>136</v>
      </c>
      <c r="H483" s="39" t="str">
        <f>_xlfn.XLOOKUP(Table6[[#This Row],[Affected WTG]],'Basic Data'!$A:$A,'Basic Data'!$B:$B)</f>
        <v>PWEGPL</v>
      </c>
      <c r="I483" s="39" t="str">
        <f>_xlfn.XLOOKUP(Table6[[#This Row],[Affected WTG]],'Basic Data'!$A:$A,'Basic Data'!$C:$C)</f>
        <v>MSEDCL</v>
      </c>
      <c r="J483" s="345">
        <f>IFERROR(VLOOKUP(Table6[[#This Row],[Affected WTG]],'Basic Data'!$A$3:$E$56,5,0),"")</f>
        <v>2.564102564102564E-2</v>
      </c>
      <c r="K483" s="105">
        <v>5203</v>
      </c>
      <c r="L483" s="39" t="str">
        <f>IFERROR(VLOOKUP(Table6[[#This Row],[Error Code]],'Basic Data'!$T:$U,2,0),"")</f>
        <v>Heating/Coolant Thermal Magnetic Failure</v>
      </c>
      <c r="M483" s="346" t="s">
        <v>462</v>
      </c>
      <c r="N483" s="39" t="s">
        <v>1270</v>
      </c>
      <c r="O483" s="347">
        <v>0.64583333333333337</v>
      </c>
      <c r="P483" s="347">
        <v>0.6958333333333333</v>
      </c>
      <c r="Q483" s="347">
        <v>0.8</v>
      </c>
      <c r="R483" s="348">
        <f>IF(Table6[[#This Row],[Work Start TimeStamp]]="","",(Table6[[#This Row],[Work Start TimeStamp]]-Table6[[#This Row],[Fault Start TimeStamp]])*24)</f>
        <v>1.1999999999999984</v>
      </c>
      <c r="S483" s="349">
        <f>(Table6[[#This Row],[Fault Clearance time]]-Table6[[#This Row],[Work Start TimeStamp]])*24</f>
        <v>2.5000000000000018</v>
      </c>
      <c r="T483" s="350">
        <f>(Table6[[#This Row],[Fault Clearance time]]-Table6[[#This Row],[Fault Start TimeStamp]])*24</f>
        <v>3.7</v>
      </c>
      <c r="U483" s="346" t="s">
        <v>586</v>
      </c>
      <c r="V483" s="351" t="s">
        <v>463</v>
      </c>
      <c r="W483" s="338">
        <f>Table6[[#This Row],[Breakdown Time]]*(1/39)</f>
        <v>9.4871794871794868E-2</v>
      </c>
      <c r="X483" s="336" t="s">
        <v>465</v>
      </c>
      <c r="Y483" s="352" t="s">
        <v>119</v>
      </c>
      <c r="Z483" s="105">
        <v>8461</v>
      </c>
      <c r="AA483" s="107">
        <v>1304.4041666666667</v>
      </c>
      <c r="AB483" s="105" t="s">
        <v>478</v>
      </c>
    </row>
    <row r="484" spans="1:28">
      <c r="A484" s="105">
        <f t="shared" si="7"/>
        <v>483</v>
      </c>
      <c r="B484" s="107">
        <f>YEAR(Table6[[#This Row],[Date]])+IF(MONTH(Table6[[#This Row],[Date]])&gt;=4,1,0)</f>
        <v>2026</v>
      </c>
      <c r="C484" s="105">
        <f>YEAR(Table6[[#This Row],[Date]])</f>
        <v>2025</v>
      </c>
      <c r="D484" s="105" t="s">
        <v>490</v>
      </c>
      <c r="E484" s="119">
        <f>Table6[[#This Row],[Date]]-DAY(Table6[[#This Row],[Date]])+1</f>
        <v>45778</v>
      </c>
      <c r="F484" s="118">
        <v>45784</v>
      </c>
      <c r="G484" s="105" t="s">
        <v>137</v>
      </c>
      <c r="H484" s="39" t="str">
        <f>_xlfn.XLOOKUP(Table6[[#This Row],[Affected WTG]],'Basic Data'!$A:$A,'Basic Data'!$B:$B)</f>
        <v>PWEGPL</v>
      </c>
      <c r="I484" s="39" t="str">
        <f>_xlfn.XLOOKUP(Table6[[#This Row],[Affected WTG]],'Basic Data'!$A:$A,'Basic Data'!$C:$C)</f>
        <v>MSEDCL</v>
      </c>
      <c r="J484" s="345">
        <f>IFERROR(VLOOKUP(Table6[[#This Row],[Affected WTG]],'Basic Data'!$A$3:$E$56,5,0),"")</f>
        <v>2.564102564102564E-2</v>
      </c>
      <c r="K484" s="105">
        <v>2118</v>
      </c>
      <c r="L484" s="39" t="str">
        <f>IFERROR(VLOOKUP(Table6[[#This Row],[Error Code]],'Basic Data'!$T:$U,2,0),"")</f>
        <v>Bus Error - Interbus Failure</v>
      </c>
      <c r="M484" s="346" t="s">
        <v>462</v>
      </c>
      <c r="N484" s="39" t="s">
        <v>1270</v>
      </c>
      <c r="O484" s="347">
        <v>0.65972222222222221</v>
      </c>
      <c r="P484" s="347">
        <v>0.79097222222222219</v>
      </c>
      <c r="Q484" s="347">
        <v>0.79236111111111107</v>
      </c>
      <c r="R484" s="348">
        <f>IF(Table6[[#This Row],[Work Start TimeStamp]]="","",(Table6[[#This Row],[Work Start TimeStamp]]-Table6[[#This Row],[Fault Start TimeStamp]])*24)</f>
        <v>3.1499999999999995</v>
      </c>
      <c r="S484" s="349">
        <f>(Table6[[#This Row],[Fault Clearance time]]-Table6[[#This Row],[Work Start TimeStamp]])*24</f>
        <v>3.3333333333333215E-2</v>
      </c>
      <c r="T484" s="350">
        <f>(Table6[[#This Row],[Fault Clearance time]]-Table6[[#This Row],[Fault Start TimeStamp]])*24</f>
        <v>3.1833333333333327</v>
      </c>
      <c r="U484" s="346" t="s">
        <v>491</v>
      </c>
      <c r="V484" s="351" t="s">
        <v>463</v>
      </c>
      <c r="W484" s="338">
        <f>Table6[[#This Row],[Breakdown Time]]*(1/39)</f>
        <v>8.1623931623931598E-2</v>
      </c>
      <c r="X484" s="336" t="s">
        <v>465</v>
      </c>
      <c r="Y484" s="352" t="s">
        <v>119</v>
      </c>
      <c r="Z484" s="105">
        <v>8461</v>
      </c>
      <c r="AA484" s="107">
        <v>1122.2576388888888</v>
      </c>
      <c r="AB484" s="105" t="s">
        <v>478</v>
      </c>
    </row>
    <row r="485" spans="1:28">
      <c r="A485" s="105">
        <f t="shared" si="7"/>
        <v>484</v>
      </c>
      <c r="B485" s="107">
        <f>YEAR(Table6[[#This Row],[Date]])+IF(MONTH(Table6[[#This Row],[Date]])&gt;=4,1,0)</f>
        <v>2026</v>
      </c>
      <c r="C485" s="105">
        <f>YEAR(Table6[[#This Row],[Date]])</f>
        <v>2025</v>
      </c>
      <c r="D485" s="105" t="s">
        <v>490</v>
      </c>
      <c r="E485" s="119">
        <f>Table6[[#This Row],[Date]]-DAY(Table6[[#This Row],[Date]])+1</f>
        <v>45778</v>
      </c>
      <c r="F485" s="118">
        <v>45784</v>
      </c>
      <c r="G485" s="105" t="s">
        <v>138</v>
      </c>
      <c r="H485" s="39" t="str">
        <f>_xlfn.XLOOKUP(Table6[[#This Row],[Affected WTG]],'Basic Data'!$A:$A,'Basic Data'!$B:$B)</f>
        <v>PWEGPL</v>
      </c>
      <c r="I485" s="39" t="str">
        <f>_xlfn.XLOOKUP(Table6[[#This Row],[Affected WTG]],'Basic Data'!$A:$A,'Basic Data'!$C:$C)</f>
        <v>MSEDCL</v>
      </c>
      <c r="J485" s="345">
        <f>IFERROR(VLOOKUP(Table6[[#This Row],[Affected WTG]],'Basic Data'!$A$3:$E$56,5,0),"")</f>
        <v>2.564102564102564E-2</v>
      </c>
      <c r="K485" s="105" t="s">
        <v>492</v>
      </c>
      <c r="L485" s="39" t="str">
        <f>IFERROR(VLOOKUP(Table6[[#This Row],[Error Code]],'Basic Data'!$T:$U,2,0),"")</f>
        <v>Manual Stop - Safety Related</v>
      </c>
      <c r="M485" s="346" t="s">
        <v>481</v>
      </c>
      <c r="N485" s="39" t="s">
        <v>230</v>
      </c>
      <c r="O485" s="347">
        <v>0.47916666666666669</v>
      </c>
      <c r="P485" s="347">
        <v>0.47916666666666669</v>
      </c>
      <c r="Q485" s="347">
        <v>0.61597222222222225</v>
      </c>
      <c r="R485" s="348">
        <f>IF(Table6[[#This Row],[Work Start TimeStamp]]="","",(Table6[[#This Row],[Work Start TimeStamp]]-Table6[[#This Row],[Fault Start TimeStamp]])*24)</f>
        <v>0</v>
      </c>
      <c r="S485" s="349">
        <f>(Table6[[#This Row],[Fault Clearance time]]-Table6[[#This Row],[Work Start TimeStamp]])*24</f>
        <v>3.2833333333333337</v>
      </c>
      <c r="T485" s="350">
        <f>(Table6[[#This Row],[Fault Clearance time]]-Table6[[#This Row],[Fault Start TimeStamp]])*24</f>
        <v>3.2833333333333337</v>
      </c>
      <c r="U485" s="346" t="s">
        <v>508</v>
      </c>
      <c r="V485" s="351" t="s">
        <v>463</v>
      </c>
      <c r="W485" s="338">
        <f>Table6[[#This Row],[Breakdown Time]]*(1/39)</f>
        <v>8.4188034188034194E-2</v>
      </c>
      <c r="X485" s="336" t="s">
        <v>468</v>
      </c>
      <c r="Y485" s="352" t="s">
        <v>140</v>
      </c>
      <c r="Z485" s="105">
        <v>9472</v>
      </c>
      <c r="AA485" s="107">
        <v>1295.8222222222223</v>
      </c>
      <c r="AB485" s="105" t="s">
        <v>478</v>
      </c>
    </row>
    <row r="486" spans="1:28">
      <c r="A486" s="105">
        <f t="shared" si="7"/>
        <v>485</v>
      </c>
      <c r="B486" s="107">
        <f>YEAR(Table6[[#This Row],[Date]])+IF(MONTH(Table6[[#This Row],[Date]])&gt;=4,1,0)</f>
        <v>2026</v>
      </c>
      <c r="C486" s="105">
        <f>YEAR(Table6[[#This Row],[Date]])</f>
        <v>2025</v>
      </c>
      <c r="D486" s="105" t="s">
        <v>490</v>
      </c>
      <c r="E486" s="119">
        <f>Table6[[#This Row],[Date]]-DAY(Table6[[#This Row],[Date]])+1</f>
        <v>45778</v>
      </c>
      <c r="F486" s="118">
        <v>45784</v>
      </c>
      <c r="G486" s="105" t="s">
        <v>143</v>
      </c>
      <c r="H486" s="39" t="str">
        <f>_xlfn.XLOOKUP(Table6[[#This Row],[Affected WTG]],'Basic Data'!$A:$A,'Basic Data'!$B:$B)</f>
        <v>PWEGPL</v>
      </c>
      <c r="I486" s="39" t="str">
        <f>_xlfn.XLOOKUP(Table6[[#This Row],[Affected WTG]],'Basic Data'!$A:$A,'Basic Data'!$C:$C)</f>
        <v>MSEDCL</v>
      </c>
      <c r="J486" s="345">
        <f>IFERROR(VLOOKUP(Table6[[#This Row],[Affected WTG]],'Basic Data'!$A$3:$E$56,5,0),"")</f>
        <v>2.564102564102564E-2</v>
      </c>
      <c r="K486" s="105">
        <v>2118</v>
      </c>
      <c r="L486" s="39" t="str">
        <f>IFERROR(VLOOKUP(Table6[[#This Row],[Error Code]],'Basic Data'!$T:$U,2,0),"")</f>
        <v>Bus Error - Interbus Failure</v>
      </c>
      <c r="M486" s="346" t="s">
        <v>462</v>
      </c>
      <c r="N486" s="39" t="s">
        <v>1270</v>
      </c>
      <c r="O486" s="347">
        <v>0.70138888888888884</v>
      </c>
      <c r="P486" s="347">
        <v>0.78125</v>
      </c>
      <c r="Q486" s="347">
        <v>0.78263888888888888</v>
      </c>
      <c r="R486" s="348">
        <f>IF(Table6[[#This Row],[Work Start TimeStamp]]="","",(Table6[[#This Row],[Work Start TimeStamp]]-Table6[[#This Row],[Fault Start TimeStamp]])*24)</f>
        <v>1.9166666666666679</v>
      </c>
      <c r="S486" s="349">
        <f>(Table6[[#This Row],[Fault Clearance time]]-Table6[[#This Row],[Work Start TimeStamp]])*24</f>
        <v>3.3333333333333215E-2</v>
      </c>
      <c r="T486" s="350">
        <f>(Table6[[#This Row],[Fault Clearance time]]-Table6[[#This Row],[Fault Start TimeStamp]])*24</f>
        <v>1.9500000000000011</v>
      </c>
      <c r="U486" s="346" t="s">
        <v>491</v>
      </c>
      <c r="V486" s="351" t="s">
        <v>463</v>
      </c>
      <c r="W486" s="338">
        <f>Table6[[#This Row],[Breakdown Time]]*(1/39)</f>
        <v>5.0000000000000024E-2</v>
      </c>
      <c r="X486" s="336" t="s">
        <v>465</v>
      </c>
      <c r="Y486" s="352" t="s">
        <v>141</v>
      </c>
      <c r="Z486" s="105">
        <v>9453</v>
      </c>
      <c r="AA486" s="107">
        <v>768.05625000000043</v>
      </c>
      <c r="AB486" s="105" t="s">
        <v>478</v>
      </c>
    </row>
    <row r="487" spans="1:28">
      <c r="A487" s="105">
        <f t="shared" si="7"/>
        <v>486</v>
      </c>
      <c r="B487" s="107">
        <f>YEAR(Table6[[#This Row],[Date]])+IF(MONTH(Table6[[#This Row],[Date]])&gt;=4,1,0)</f>
        <v>2026</v>
      </c>
      <c r="C487" s="105">
        <f>YEAR(Table6[[#This Row],[Date]])</f>
        <v>2025</v>
      </c>
      <c r="D487" s="105" t="s">
        <v>490</v>
      </c>
      <c r="E487" s="119">
        <f>Table6[[#This Row],[Date]]-DAY(Table6[[#This Row],[Date]])+1</f>
        <v>45778</v>
      </c>
      <c r="F487" s="118">
        <v>45784</v>
      </c>
      <c r="G487" s="105" t="s">
        <v>147</v>
      </c>
      <c r="H487" s="39" t="str">
        <f>_xlfn.XLOOKUP(Table6[[#This Row],[Affected WTG]],'Basic Data'!$A:$A,'Basic Data'!$B:$B)</f>
        <v>PWEGPL</v>
      </c>
      <c r="I487" s="39" t="str">
        <f>_xlfn.XLOOKUP(Table6[[#This Row],[Affected WTG]],'Basic Data'!$A:$A,'Basic Data'!$C:$C)</f>
        <v>MSEDCL</v>
      </c>
      <c r="J487" s="345">
        <f>IFERROR(VLOOKUP(Table6[[#This Row],[Affected WTG]],'Basic Data'!$A$3:$E$56,5,0),"")</f>
        <v>2.564102564102564E-2</v>
      </c>
      <c r="K487" s="105">
        <v>2118</v>
      </c>
      <c r="L487" s="39" t="str">
        <f>IFERROR(VLOOKUP(Table6[[#This Row],[Error Code]],'Basic Data'!$T:$U,2,0),"")</f>
        <v>Bus Error - Interbus Failure</v>
      </c>
      <c r="M487" s="346" t="s">
        <v>462</v>
      </c>
      <c r="N487" s="39" t="s">
        <v>1270</v>
      </c>
      <c r="O487" s="347">
        <v>0.70694444444444449</v>
      </c>
      <c r="P487" s="347">
        <v>0.79166666666666663</v>
      </c>
      <c r="Q487" s="347">
        <v>0.79305555555555551</v>
      </c>
      <c r="R487" s="348">
        <f>IF(Table6[[#This Row],[Work Start TimeStamp]]="","",(Table6[[#This Row],[Work Start TimeStamp]]-Table6[[#This Row],[Fault Start TimeStamp]])*24)</f>
        <v>2.0333333333333314</v>
      </c>
      <c r="S487" s="349">
        <f>(Table6[[#This Row],[Fault Clearance time]]-Table6[[#This Row],[Work Start TimeStamp]])*24</f>
        <v>3.3333333333333215E-2</v>
      </c>
      <c r="T487" s="350">
        <f>(Table6[[#This Row],[Fault Clearance time]]-Table6[[#This Row],[Fault Start TimeStamp]])*24</f>
        <v>2.0666666666666647</v>
      </c>
      <c r="U487" s="346" t="s">
        <v>491</v>
      </c>
      <c r="V487" s="351" t="s">
        <v>463</v>
      </c>
      <c r="W487" s="338">
        <f>Table6[[#This Row],[Breakdown Time]]*(1/39)</f>
        <v>5.2991452991452935E-2</v>
      </c>
      <c r="X487" s="336" t="s">
        <v>465</v>
      </c>
      <c r="Y487" s="352" t="s">
        <v>146</v>
      </c>
      <c r="Z487" s="105">
        <v>4790</v>
      </c>
      <c r="AA487" s="107">
        <v>412.47222222222183</v>
      </c>
      <c r="AB487" s="105" t="s">
        <v>478</v>
      </c>
    </row>
    <row r="488" spans="1:28">
      <c r="A488" s="105">
        <f t="shared" si="7"/>
        <v>487</v>
      </c>
      <c r="B488" s="107">
        <f>YEAR(Table6[[#This Row],[Date]])+IF(MONTH(Table6[[#This Row],[Date]])&gt;=4,1,0)</f>
        <v>2026</v>
      </c>
      <c r="C488" s="105">
        <f>YEAR(Table6[[#This Row],[Date]])</f>
        <v>2025</v>
      </c>
      <c r="D488" s="105" t="s">
        <v>490</v>
      </c>
      <c r="E488" s="119">
        <f>Table6[[#This Row],[Date]]-DAY(Table6[[#This Row],[Date]])+1</f>
        <v>45778</v>
      </c>
      <c r="F488" s="118">
        <v>45784</v>
      </c>
      <c r="G488" s="105" t="s">
        <v>150</v>
      </c>
      <c r="H488" s="39" t="str">
        <f>_xlfn.XLOOKUP(Table6[[#This Row],[Affected WTG]],'Basic Data'!$A:$A,'Basic Data'!$B:$B)</f>
        <v>PWEGPL</v>
      </c>
      <c r="I488" s="39" t="str">
        <f>_xlfn.XLOOKUP(Table6[[#This Row],[Affected WTG]],'Basic Data'!$A:$A,'Basic Data'!$C:$C)</f>
        <v>MSEDCL</v>
      </c>
      <c r="J488" s="345">
        <f>IFERROR(VLOOKUP(Table6[[#This Row],[Affected WTG]],'Basic Data'!$A$3:$E$56,5,0),"")</f>
        <v>2.564102564102564E-2</v>
      </c>
      <c r="K488" s="105">
        <v>205</v>
      </c>
      <c r="L488" s="39" t="str">
        <f>IFERROR(VLOOKUP(Table6[[#This Row],[Error Code]],'Basic Data'!$T:$U,2,0),"")</f>
        <v>Low Level Hydraulic Group Refrigeration Oil</v>
      </c>
      <c r="M488" s="346" t="s">
        <v>462</v>
      </c>
      <c r="N488" s="39" t="s">
        <v>1270</v>
      </c>
      <c r="O488" s="347">
        <v>0.6791666666666667</v>
      </c>
      <c r="P488" s="347">
        <v>0.80208333333333337</v>
      </c>
      <c r="Q488" s="347">
        <v>0.80347222222222225</v>
      </c>
      <c r="R488" s="348">
        <f>IF(Table6[[#This Row],[Work Start TimeStamp]]="","",(Table6[[#This Row],[Work Start TimeStamp]]-Table6[[#This Row],[Fault Start TimeStamp]])*24)</f>
        <v>2.95</v>
      </c>
      <c r="S488" s="349">
        <f>(Table6[[#This Row],[Fault Clearance time]]-Table6[[#This Row],[Work Start TimeStamp]])*24</f>
        <v>3.3333333333333215E-2</v>
      </c>
      <c r="T488" s="350">
        <f>(Table6[[#This Row],[Fault Clearance time]]-Table6[[#This Row],[Fault Start TimeStamp]])*24</f>
        <v>2.9833333333333334</v>
      </c>
      <c r="U488" s="346" t="s">
        <v>493</v>
      </c>
      <c r="V488" s="351" t="s">
        <v>463</v>
      </c>
      <c r="W488" s="338">
        <f>Table6[[#This Row],[Breakdown Time]]*(1/39)</f>
        <v>7.6495726495726502E-2</v>
      </c>
      <c r="X488" s="336" t="s">
        <v>465</v>
      </c>
      <c r="Y488" s="352" t="s">
        <v>149</v>
      </c>
      <c r="Z488" s="105">
        <v>4762</v>
      </c>
      <c r="AA488" s="107">
        <v>591.94305555555559</v>
      </c>
      <c r="AB488" s="105" t="s">
        <v>478</v>
      </c>
    </row>
    <row r="489" spans="1:28">
      <c r="A489" s="105">
        <f t="shared" si="7"/>
        <v>488</v>
      </c>
      <c r="B489" s="107">
        <f>YEAR(Table6[[#This Row],[Date]])+IF(MONTH(Table6[[#This Row],[Date]])&gt;=4,1,0)</f>
        <v>2026</v>
      </c>
      <c r="C489" s="105">
        <f>YEAR(Table6[[#This Row],[Date]])</f>
        <v>2025</v>
      </c>
      <c r="D489" s="105" t="s">
        <v>490</v>
      </c>
      <c r="E489" s="119">
        <f>Table6[[#This Row],[Date]]-DAY(Table6[[#This Row],[Date]])+1</f>
        <v>45778</v>
      </c>
      <c r="F489" s="118">
        <v>45784</v>
      </c>
      <c r="G489" s="105" t="s">
        <v>151</v>
      </c>
      <c r="H489" s="39" t="str">
        <f>_xlfn.XLOOKUP(Table6[[#This Row],[Affected WTG]],'Basic Data'!$A:$A,'Basic Data'!$B:$B)</f>
        <v>PWEGPL</v>
      </c>
      <c r="I489" s="39" t="str">
        <f>_xlfn.XLOOKUP(Table6[[#This Row],[Affected WTG]],'Basic Data'!$A:$A,'Basic Data'!$C:$C)</f>
        <v>MSEDCL</v>
      </c>
      <c r="J489" s="345">
        <f>IFERROR(VLOOKUP(Table6[[#This Row],[Affected WTG]],'Basic Data'!$A$3:$E$56,5,0),"")</f>
        <v>2.564102564102564E-2</v>
      </c>
      <c r="K489" s="105" t="s">
        <v>476</v>
      </c>
      <c r="L489" s="39" t="str">
        <f>IFERROR(VLOOKUP(Table6[[#This Row],[Error Code]],'Basic Data'!$T:$U,2,0),"")</f>
        <v>Manual Stop - Preventive Maintenance Activity</v>
      </c>
      <c r="M489" s="346" t="s">
        <v>474</v>
      </c>
      <c r="N489" s="39" t="s">
        <v>230</v>
      </c>
      <c r="O489" s="347">
        <v>0.47916666666666669</v>
      </c>
      <c r="P489" s="347">
        <v>0.47916666666666669</v>
      </c>
      <c r="Q489" s="347">
        <v>0.7416666666666667</v>
      </c>
      <c r="R489" s="348">
        <f>IF(Table6[[#This Row],[Work Start TimeStamp]]="","",(Table6[[#This Row],[Work Start TimeStamp]]-Table6[[#This Row],[Fault Start TimeStamp]])*24)</f>
        <v>0</v>
      </c>
      <c r="S489" s="349">
        <f>(Table6[[#This Row],[Fault Clearance time]]-Table6[[#This Row],[Work Start TimeStamp]])*24</f>
        <v>6.3000000000000007</v>
      </c>
      <c r="T489" s="350">
        <f>(Table6[[#This Row],[Fault Clearance time]]-Table6[[#This Row],[Fault Start TimeStamp]])*24</f>
        <v>6.3000000000000007</v>
      </c>
      <c r="U489" s="346" t="s">
        <v>567</v>
      </c>
      <c r="V489" s="351" t="s">
        <v>463</v>
      </c>
      <c r="W489" s="338">
        <f>Table6[[#This Row],[Breakdown Time]]*(1/39)</f>
        <v>0.16153846153846155</v>
      </c>
      <c r="X489" s="336" t="s">
        <v>467</v>
      </c>
      <c r="Y489" s="352" t="s">
        <v>152</v>
      </c>
      <c r="Z489" s="105">
        <v>6794</v>
      </c>
      <c r="AA489" s="107">
        <v>1783.4250000000002</v>
      </c>
      <c r="AB489" s="105" t="s">
        <v>478</v>
      </c>
    </row>
    <row r="490" spans="1:28">
      <c r="A490" s="105">
        <f t="shared" si="7"/>
        <v>489</v>
      </c>
      <c r="B490" s="107">
        <f>YEAR(Table6[[#This Row],[Date]])+IF(MONTH(Table6[[#This Row],[Date]])&gt;=4,1,0)</f>
        <v>2026</v>
      </c>
      <c r="C490" s="105">
        <f>YEAR(Table6[[#This Row],[Date]])</f>
        <v>2025</v>
      </c>
      <c r="D490" s="105" t="s">
        <v>490</v>
      </c>
      <c r="E490" s="119">
        <f>Table6[[#This Row],[Date]]-DAY(Table6[[#This Row],[Date]])+1</f>
        <v>45778</v>
      </c>
      <c r="F490" s="118">
        <v>45785</v>
      </c>
      <c r="G490" s="105" t="s">
        <v>144</v>
      </c>
      <c r="H490" s="39" t="str">
        <f>_xlfn.XLOOKUP(Table6[[#This Row],[Affected WTG]],'Basic Data'!$A:$A,'Basic Data'!$B:$B)</f>
        <v>PWEGPL</v>
      </c>
      <c r="I490" s="39" t="str">
        <f>_xlfn.XLOOKUP(Table6[[#This Row],[Affected WTG]],'Basic Data'!$A:$A,'Basic Data'!$C:$C)</f>
        <v>MSEDCL</v>
      </c>
      <c r="J490" s="345">
        <f>IFERROR(VLOOKUP(Table6[[#This Row],[Affected WTG]],'Basic Data'!$A$3:$E$56,5,0),"")</f>
        <v>2.564102564102564E-2</v>
      </c>
      <c r="K490" s="105" t="s">
        <v>492</v>
      </c>
      <c r="L490" s="39" t="str">
        <f>IFERROR(VLOOKUP(Table6[[#This Row],[Error Code]],'Basic Data'!$T:$U,2,0),"")</f>
        <v>Manual Stop - Safety Related</v>
      </c>
      <c r="M490" s="346" t="s">
        <v>481</v>
      </c>
      <c r="N490" s="39" t="s">
        <v>1269</v>
      </c>
      <c r="O490" s="347">
        <v>0</v>
      </c>
      <c r="P490" s="347">
        <v>0.99930555555555556</v>
      </c>
      <c r="Q490" s="347">
        <v>0.99930555555555556</v>
      </c>
      <c r="R490" s="348">
        <f>IF(Table6[[#This Row],[Work Start TimeStamp]]="","",(Table6[[#This Row],[Work Start TimeStamp]]-Table6[[#This Row],[Fault Start TimeStamp]])*24)</f>
        <v>23.983333333333334</v>
      </c>
      <c r="S490" s="349">
        <f>(Table6[[#This Row],[Fault Clearance time]]-Table6[[#This Row],[Work Start TimeStamp]])*24</f>
        <v>0</v>
      </c>
      <c r="T490" s="350">
        <f>(Table6[[#This Row],[Fault Clearance time]]-Table6[[#This Row],[Fault Start TimeStamp]])*24</f>
        <v>23.983333333333334</v>
      </c>
      <c r="U490" s="346" t="s">
        <v>498</v>
      </c>
      <c r="V490" s="351" t="s">
        <v>473</v>
      </c>
      <c r="W490" s="338">
        <f>Table6[[#This Row],[Breakdown Time]]*(1/39)</f>
        <v>0.61495726495726499</v>
      </c>
      <c r="X490" s="336" t="s">
        <v>468</v>
      </c>
      <c r="Y490" s="352" t="s">
        <v>141</v>
      </c>
      <c r="Z490" s="105">
        <v>7369</v>
      </c>
      <c r="AA490" s="107">
        <v>7363.8826388888892</v>
      </c>
      <c r="AB490" s="105" t="s">
        <v>478</v>
      </c>
    </row>
    <row r="491" spans="1:28">
      <c r="A491" s="105">
        <f t="shared" si="7"/>
        <v>490</v>
      </c>
      <c r="B491" s="107">
        <f>YEAR(Table6[[#This Row],[Date]])+IF(MONTH(Table6[[#This Row],[Date]])&gt;=4,1,0)</f>
        <v>2026</v>
      </c>
      <c r="C491" s="105">
        <f>YEAR(Table6[[#This Row],[Date]])</f>
        <v>2025</v>
      </c>
      <c r="D491" s="105" t="s">
        <v>490</v>
      </c>
      <c r="E491" s="119">
        <f>Table6[[#This Row],[Date]]-DAY(Table6[[#This Row],[Date]])+1</f>
        <v>45778</v>
      </c>
      <c r="F491" s="118">
        <v>45785</v>
      </c>
      <c r="G491" s="105" t="s">
        <v>142</v>
      </c>
      <c r="H491" s="39" t="str">
        <f>_xlfn.XLOOKUP(Table6[[#This Row],[Affected WTG]],'Basic Data'!$A:$A,'Basic Data'!$B:$B)</f>
        <v>PWEGPL</v>
      </c>
      <c r="I491" s="39" t="str">
        <f>_xlfn.XLOOKUP(Table6[[#This Row],[Affected WTG]],'Basic Data'!$A:$A,'Basic Data'!$C:$C)</f>
        <v>MSEDCL</v>
      </c>
      <c r="J491" s="345">
        <f>IFERROR(VLOOKUP(Table6[[#This Row],[Affected WTG]],'Basic Data'!$A$3:$E$56,5,0),"")</f>
        <v>2.564102564102564E-2</v>
      </c>
      <c r="K491" s="105" t="s">
        <v>492</v>
      </c>
      <c r="L491" s="39" t="str">
        <f>IFERROR(VLOOKUP(Table6[[#This Row],[Error Code]],'Basic Data'!$T:$U,2,0),"")</f>
        <v>Manual Stop - Safety Related</v>
      </c>
      <c r="M491" s="346" t="s">
        <v>481</v>
      </c>
      <c r="N491" s="39" t="s">
        <v>1269</v>
      </c>
      <c r="O491" s="347">
        <v>0</v>
      </c>
      <c r="P491" s="347">
        <v>0.99930555555555556</v>
      </c>
      <c r="Q491" s="347">
        <v>0.99930555555555556</v>
      </c>
      <c r="R491" s="348">
        <f>IF(Table6[[#This Row],[Work Start TimeStamp]]="","",(Table6[[#This Row],[Work Start TimeStamp]]-Table6[[#This Row],[Fault Start TimeStamp]])*24)</f>
        <v>23.983333333333334</v>
      </c>
      <c r="S491" s="349">
        <f>(Table6[[#This Row],[Fault Clearance time]]-Table6[[#This Row],[Work Start TimeStamp]])*24</f>
        <v>0</v>
      </c>
      <c r="T491" s="350">
        <f>(Table6[[#This Row],[Fault Clearance time]]-Table6[[#This Row],[Fault Start TimeStamp]])*24</f>
        <v>23.983333333333334</v>
      </c>
      <c r="U491" s="346" t="s">
        <v>498</v>
      </c>
      <c r="V491" s="351" t="s">
        <v>473</v>
      </c>
      <c r="W491" s="338">
        <f>Table6[[#This Row],[Breakdown Time]]*(1/39)</f>
        <v>0.61495726495726499</v>
      </c>
      <c r="X491" s="336" t="s">
        <v>468</v>
      </c>
      <c r="Y491" s="352" t="s">
        <v>141</v>
      </c>
      <c r="Z491" s="105">
        <v>7369</v>
      </c>
      <c r="AA491" s="107">
        <v>7363.8826388888892</v>
      </c>
      <c r="AB491" s="105" t="s">
        <v>478</v>
      </c>
    </row>
    <row r="492" spans="1:28">
      <c r="A492" s="105">
        <f t="shared" si="7"/>
        <v>491</v>
      </c>
      <c r="B492" s="107">
        <f>YEAR(Table6[[#This Row],[Date]])+IF(MONTH(Table6[[#This Row],[Date]])&gt;=4,1,0)</f>
        <v>2026</v>
      </c>
      <c r="C492" s="105">
        <f>YEAR(Table6[[#This Row],[Date]])</f>
        <v>2025</v>
      </c>
      <c r="D492" s="105" t="s">
        <v>490</v>
      </c>
      <c r="E492" s="119">
        <f>Table6[[#This Row],[Date]]-DAY(Table6[[#This Row],[Date]])+1</f>
        <v>45778</v>
      </c>
      <c r="F492" s="118">
        <v>45785</v>
      </c>
      <c r="G492" s="105" t="s">
        <v>117</v>
      </c>
      <c r="H492" s="39" t="str">
        <f>_xlfn.XLOOKUP(Table6[[#This Row],[Affected WTG]],'Basic Data'!$A:$A,'Basic Data'!$B:$B)</f>
        <v>PWEGPL</v>
      </c>
      <c r="I492" s="39" t="str">
        <f>_xlfn.XLOOKUP(Table6[[#This Row],[Affected WTG]],'Basic Data'!$A:$A,'Basic Data'!$C:$C)</f>
        <v>MSEDCL</v>
      </c>
      <c r="J492" s="345">
        <f>IFERROR(VLOOKUP(Table6[[#This Row],[Affected WTG]],'Basic Data'!$A$3:$E$56,5,0),"")</f>
        <v>2.564102564102564E-2</v>
      </c>
      <c r="K492" s="105">
        <v>2118</v>
      </c>
      <c r="L492" s="39" t="str">
        <f>IFERROR(VLOOKUP(Table6[[#This Row],[Error Code]],'Basic Data'!$T:$U,2,0),"")</f>
        <v>Bus Error - Interbus Failure</v>
      </c>
      <c r="M492" s="346" t="s">
        <v>462</v>
      </c>
      <c r="N492" s="39" t="s">
        <v>1270</v>
      </c>
      <c r="O492" s="347">
        <v>0.54305555555555551</v>
      </c>
      <c r="P492" s="347">
        <v>0.64583333333333337</v>
      </c>
      <c r="Q492" s="347">
        <v>0.64722222222222225</v>
      </c>
      <c r="R492" s="348">
        <f>IF(Table6[[#This Row],[Work Start TimeStamp]]="","",(Table6[[#This Row],[Work Start TimeStamp]]-Table6[[#This Row],[Fault Start TimeStamp]])*24)</f>
        <v>2.4666666666666686</v>
      </c>
      <c r="S492" s="349">
        <f>(Table6[[#This Row],[Fault Clearance time]]-Table6[[#This Row],[Work Start TimeStamp]])*24</f>
        <v>3.3333333333333215E-2</v>
      </c>
      <c r="T492" s="350">
        <f>(Table6[[#This Row],[Fault Clearance time]]-Table6[[#This Row],[Fault Start TimeStamp]])*24</f>
        <v>2.5000000000000018</v>
      </c>
      <c r="U492" s="346" t="s">
        <v>491</v>
      </c>
      <c r="V492" s="351" t="s">
        <v>463</v>
      </c>
      <c r="W492" s="338">
        <f>Table6[[#This Row],[Breakdown Time]]*(1/39)</f>
        <v>6.4102564102564152E-2</v>
      </c>
      <c r="X492" s="336" t="s">
        <v>465</v>
      </c>
      <c r="Y492" s="352" t="s">
        <v>118</v>
      </c>
      <c r="Z492" s="105">
        <v>8849</v>
      </c>
      <c r="AA492" s="107">
        <v>921.77083333333394</v>
      </c>
      <c r="AB492" s="105" t="s">
        <v>478</v>
      </c>
    </row>
    <row r="493" spans="1:28">
      <c r="A493" s="105">
        <f t="shared" si="7"/>
        <v>492</v>
      </c>
      <c r="B493" s="107">
        <f>YEAR(Table6[[#This Row],[Date]])+IF(MONTH(Table6[[#This Row],[Date]])&gt;=4,1,0)</f>
        <v>2026</v>
      </c>
      <c r="C493" s="105">
        <f>YEAR(Table6[[#This Row],[Date]])</f>
        <v>2025</v>
      </c>
      <c r="D493" s="105" t="s">
        <v>490</v>
      </c>
      <c r="E493" s="119">
        <f>Table6[[#This Row],[Date]]-DAY(Table6[[#This Row],[Date]])+1</f>
        <v>45778</v>
      </c>
      <c r="F493" s="118">
        <v>45785</v>
      </c>
      <c r="G493" s="105" t="s">
        <v>124</v>
      </c>
      <c r="H493" s="39" t="str">
        <f>_xlfn.XLOOKUP(Table6[[#This Row],[Affected WTG]],'Basic Data'!$A:$A,'Basic Data'!$B:$B)</f>
        <v>PWEGPL</v>
      </c>
      <c r="I493" s="39" t="str">
        <f>_xlfn.XLOOKUP(Table6[[#This Row],[Affected WTG]],'Basic Data'!$A:$A,'Basic Data'!$C:$C)</f>
        <v>MSEDCL</v>
      </c>
      <c r="J493" s="345">
        <f>IFERROR(VLOOKUP(Table6[[#This Row],[Affected WTG]],'Basic Data'!$A$3:$E$56,5,0),"")</f>
        <v>2.564102564102564E-2</v>
      </c>
      <c r="K493" s="105">
        <v>1899</v>
      </c>
      <c r="L493" s="39" t="str">
        <f>IFERROR(VLOOKUP(Table6[[#This Row],[Error Code]],'Basic Data'!$T:$U,2,0),"")</f>
        <v>Automatic Secondaries Not OK</v>
      </c>
      <c r="M493" s="346" t="s">
        <v>462</v>
      </c>
      <c r="N493" s="39" t="s">
        <v>1270</v>
      </c>
      <c r="O493" s="347">
        <v>0.55208333333333337</v>
      </c>
      <c r="P493" s="347">
        <v>0.62638888888888888</v>
      </c>
      <c r="Q493" s="347">
        <v>0.62708333333333333</v>
      </c>
      <c r="R493" s="348">
        <f>IF(Table6[[#This Row],[Work Start TimeStamp]]="","",(Table6[[#This Row],[Work Start TimeStamp]]-Table6[[#This Row],[Fault Start TimeStamp]])*24)</f>
        <v>1.7833333333333323</v>
      </c>
      <c r="S493" s="349">
        <f>(Table6[[#This Row],[Fault Clearance time]]-Table6[[#This Row],[Work Start TimeStamp]])*24</f>
        <v>1.6666666666666607E-2</v>
      </c>
      <c r="T493" s="350">
        <f>(Table6[[#This Row],[Fault Clearance time]]-Table6[[#This Row],[Fault Start TimeStamp]])*24</f>
        <v>1.7999999999999989</v>
      </c>
      <c r="U493" s="346" t="s">
        <v>493</v>
      </c>
      <c r="V493" s="351" t="s">
        <v>463</v>
      </c>
      <c r="W493" s="338">
        <f>Table6[[#This Row],[Breakdown Time]]*(1/39)</f>
        <v>4.6153846153846122E-2</v>
      </c>
      <c r="X493" s="336" t="s">
        <v>465</v>
      </c>
      <c r="Y493" s="352" t="s">
        <v>125</v>
      </c>
      <c r="Z493" s="105">
        <v>8890</v>
      </c>
      <c r="AA493" s="107">
        <v>666.74999999999966</v>
      </c>
      <c r="AB493" s="105" t="s">
        <v>478</v>
      </c>
    </row>
    <row r="494" spans="1:28">
      <c r="A494" s="105">
        <f t="shared" si="7"/>
        <v>493</v>
      </c>
      <c r="B494" s="107">
        <f>YEAR(Table6[[#This Row],[Date]])+IF(MONTH(Table6[[#This Row],[Date]])&gt;=4,1,0)</f>
        <v>2026</v>
      </c>
      <c r="C494" s="105">
        <f>YEAR(Table6[[#This Row],[Date]])</f>
        <v>2025</v>
      </c>
      <c r="D494" s="105" t="s">
        <v>490</v>
      </c>
      <c r="E494" s="119">
        <f>Table6[[#This Row],[Date]]-DAY(Table6[[#This Row],[Date]])+1</f>
        <v>45778</v>
      </c>
      <c r="F494" s="118">
        <v>45785</v>
      </c>
      <c r="G494" s="105" t="s">
        <v>136</v>
      </c>
      <c r="H494" s="39" t="str">
        <f>_xlfn.XLOOKUP(Table6[[#This Row],[Affected WTG]],'Basic Data'!$A:$A,'Basic Data'!$B:$B)</f>
        <v>PWEGPL</v>
      </c>
      <c r="I494" s="39" t="str">
        <f>_xlfn.XLOOKUP(Table6[[#This Row],[Affected WTG]],'Basic Data'!$A:$A,'Basic Data'!$C:$C)</f>
        <v>MSEDCL</v>
      </c>
      <c r="J494" s="345">
        <f>IFERROR(VLOOKUP(Table6[[#This Row],[Affected WTG]],'Basic Data'!$A$3:$E$56,5,0),"")</f>
        <v>2.564102564102564E-2</v>
      </c>
      <c r="K494" s="105">
        <v>5203</v>
      </c>
      <c r="L494" s="39" t="str">
        <f>IFERROR(VLOOKUP(Table6[[#This Row],[Error Code]],'Basic Data'!$T:$U,2,0),"")</f>
        <v>Heating/Coolant Thermal Magnetic Failure</v>
      </c>
      <c r="M494" s="346" t="s">
        <v>462</v>
      </c>
      <c r="N494" s="39" t="s">
        <v>1270</v>
      </c>
      <c r="O494" s="347">
        <v>0.38194444444444442</v>
      </c>
      <c r="P494" s="347">
        <v>0.40416666666666667</v>
      </c>
      <c r="Q494" s="347">
        <v>0.5625</v>
      </c>
      <c r="R494" s="348">
        <f>IF(Table6[[#This Row],[Work Start TimeStamp]]="","",(Table6[[#This Row],[Work Start TimeStamp]]-Table6[[#This Row],[Fault Start TimeStamp]])*24)</f>
        <v>0.5333333333333341</v>
      </c>
      <c r="S494" s="349">
        <f>(Table6[[#This Row],[Fault Clearance time]]-Table6[[#This Row],[Work Start TimeStamp]])*24</f>
        <v>3.8</v>
      </c>
      <c r="T494" s="350">
        <f>(Table6[[#This Row],[Fault Clearance time]]-Table6[[#This Row],[Fault Start TimeStamp]])*24</f>
        <v>4.3333333333333339</v>
      </c>
      <c r="U494" s="346" t="s">
        <v>587</v>
      </c>
      <c r="V494" s="351" t="s">
        <v>463</v>
      </c>
      <c r="W494" s="338">
        <f>Table6[[#This Row],[Breakdown Time]]*(1/39)</f>
        <v>0.11111111111111112</v>
      </c>
      <c r="X494" s="336" t="s">
        <v>465</v>
      </c>
      <c r="Y494" s="352" t="s">
        <v>119</v>
      </c>
      <c r="Z494" s="105">
        <v>7901</v>
      </c>
      <c r="AA494" s="107">
        <v>1426.5694444444446</v>
      </c>
      <c r="AB494" s="105" t="s">
        <v>478</v>
      </c>
    </row>
    <row r="495" spans="1:28">
      <c r="A495" s="105">
        <f t="shared" si="7"/>
        <v>494</v>
      </c>
      <c r="B495" s="107">
        <f>YEAR(Table6[[#This Row],[Date]])+IF(MONTH(Table6[[#This Row],[Date]])&gt;=4,1,0)</f>
        <v>2026</v>
      </c>
      <c r="C495" s="105">
        <f>YEAR(Table6[[#This Row],[Date]])</f>
        <v>2025</v>
      </c>
      <c r="D495" s="105" t="s">
        <v>490</v>
      </c>
      <c r="E495" s="119">
        <f>Table6[[#This Row],[Date]]-DAY(Table6[[#This Row],[Date]])+1</f>
        <v>45778</v>
      </c>
      <c r="F495" s="118">
        <v>45785</v>
      </c>
      <c r="G495" s="105" t="s">
        <v>138</v>
      </c>
      <c r="H495" s="39" t="str">
        <f>_xlfn.XLOOKUP(Table6[[#This Row],[Affected WTG]],'Basic Data'!$A:$A,'Basic Data'!$B:$B)</f>
        <v>PWEGPL</v>
      </c>
      <c r="I495" s="39" t="str">
        <f>_xlfn.XLOOKUP(Table6[[#This Row],[Affected WTG]],'Basic Data'!$A:$A,'Basic Data'!$C:$C)</f>
        <v>MSEDCL</v>
      </c>
      <c r="J495" s="345">
        <f>IFERROR(VLOOKUP(Table6[[#This Row],[Affected WTG]],'Basic Data'!$A$3:$E$56,5,0),"")</f>
        <v>2.564102564102564E-2</v>
      </c>
      <c r="K495" s="105" t="s">
        <v>466</v>
      </c>
      <c r="L495" s="39" t="str">
        <f>IFERROR(VLOOKUP(Table6[[#This Row],[Error Code]],'Basic Data'!$T:$U,2,0),"")</f>
        <v>Manual Stop</v>
      </c>
      <c r="M495" s="346" t="s">
        <v>507</v>
      </c>
      <c r="N495" s="39" t="s">
        <v>230</v>
      </c>
      <c r="O495" s="347">
        <v>0.51249999999999996</v>
      </c>
      <c r="P495" s="347">
        <v>0.51249999999999996</v>
      </c>
      <c r="Q495" s="347">
        <v>0.52361111111111114</v>
      </c>
      <c r="R495" s="348">
        <f>IF(Table6[[#This Row],[Work Start TimeStamp]]="","",(Table6[[#This Row],[Work Start TimeStamp]]-Table6[[#This Row],[Fault Start TimeStamp]])*24)</f>
        <v>0</v>
      </c>
      <c r="S495" s="349">
        <f>(Table6[[#This Row],[Fault Clearance time]]-Table6[[#This Row],[Work Start TimeStamp]])*24</f>
        <v>0.26666666666666838</v>
      </c>
      <c r="T495" s="350">
        <f>(Table6[[#This Row],[Fault Clearance time]]-Table6[[#This Row],[Fault Start TimeStamp]])*24</f>
        <v>0.26666666666666838</v>
      </c>
      <c r="U495" s="346" t="s">
        <v>583</v>
      </c>
      <c r="V495" s="351" t="s">
        <v>463</v>
      </c>
      <c r="W495" s="338">
        <f>Table6[[#This Row],[Breakdown Time]]*(1/39)</f>
        <v>6.837606837606881E-3</v>
      </c>
      <c r="X495" s="336" t="s">
        <v>464</v>
      </c>
      <c r="Y495" s="352" t="s">
        <v>140</v>
      </c>
      <c r="Z495" s="105">
        <v>7921</v>
      </c>
      <c r="AA495" s="107">
        <v>88.011111111111688</v>
      </c>
      <c r="AB495" s="105" t="s">
        <v>478</v>
      </c>
    </row>
    <row r="496" spans="1:28">
      <c r="A496" s="105">
        <f t="shared" si="7"/>
        <v>495</v>
      </c>
      <c r="B496" s="107">
        <f>YEAR(Table6[[#This Row],[Date]])+IF(MONTH(Table6[[#This Row],[Date]])&gt;=4,1,0)</f>
        <v>2026</v>
      </c>
      <c r="C496" s="105">
        <f>YEAR(Table6[[#This Row],[Date]])</f>
        <v>2025</v>
      </c>
      <c r="D496" s="105" t="s">
        <v>490</v>
      </c>
      <c r="E496" s="119">
        <f>Table6[[#This Row],[Date]]-DAY(Table6[[#This Row],[Date]])+1</f>
        <v>45778</v>
      </c>
      <c r="F496" s="118">
        <v>45785</v>
      </c>
      <c r="G496" s="105" t="s">
        <v>141</v>
      </c>
      <c r="H496" s="39" t="str">
        <f>_xlfn.XLOOKUP(Table6[[#This Row],[Affected WTG]],'Basic Data'!$A:$A,'Basic Data'!$B:$B)</f>
        <v>PWEGPL</v>
      </c>
      <c r="I496" s="39" t="str">
        <f>_xlfn.XLOOKUP(Table6[[#This Row],[Affected WTG]],'Basic Data'!$A:$A,'Basic Data'!$C:$C)</f>
        <v>MSEDCL</v>
      </c>
      <c r="J496" s="345">
        <f>IFERROR(VLOOKUP(Table6[[#This Row],[Affected WTG]],'Basic Data'!$A$3:$E$56,5,0),"")</f>
        <v>2.564102564102564E-2</v>
      </c>
      <c r="K496" s="105" t="s">
        <v>466</v>
      </c>
      <c r="L496" s="39" t="str">
        <f>IFERROR(VLOOKUP(Table6[[#This Row],[Error Code]],'Basic Data'!$T:$U,2,0),"")</f>
        <v>Manual Stop</v>
      </c>
      <c r="M496" s="346" t="s">
        <v>507</v>
      </c>
      <c r="N496" s="39" t="s">
        <v>230</v>
      </c>
      <c r="O496" s="347">
        <v>0.48749999999999999</v>
      </c>
      <c r="P496" s="347">
        <v>0.48749999999999999</v>
      </c>
      <c r="Q496" s="347">
        <v>0.50069444444444444</v>
      </c>
      <c r="R496" s="348">
        <f>IF(Table6[[#This Row],[Work Start TimeStamp]]="","",(Table6[[#This Row],[Work Start TimeStamp]]-Table6[[#This Row],[Fault Start TimeStamp]])*24)</f>
        <v>0</v>
      </c>
      <c r="S496" s="349">
        <f>(Table6[[#This Row],[Fault Clearance time]]-Table6[[#This Row],[Work Start TimeStamp]])*24</f>
        <v>0.31666666666666687</v>
      </c>
      <c r="T496" s="350">
        <f>(Table6[[#This Row],[Fault Clearance time]]-Table6[[#This Row],[Fault Start TimeStamp]])*24</f>
        <v>0.31666666666666687</v>
      </c>
      <c r="U496" s="346" t="s">
        <v>583</v>
      </c>
      <c r="V496" s="351" t="s">
        <v>463</v>
      </c>
      <c r="W496" s="338">
        <f>Table6[[#This Row],[Breakdown Time]]*(1/39)</f>
        <v>8.1196581196581255E-3</v>
      </c>
      <c r="X496" s="336" t="s">
        <v>464</v>
      </c>
      <c r="Y496" s="352" t="s">
        <v>143</v>
      </c>
      <c r="Z496" s="105">
        <v>7942</v>
      </c>
      <c r="AA496" s="107">
        <v>104.79027777777785</v>
      </c>
      <c r="AB496" s="105" t="s">
        <v>478</v>
      </c>
    </row>
    <row r="497" spans="1:28">
      <c r="A497" s="105">
        <f t="shared" si="7"/>
        <v>496</v>
      </c>
      <c r="B497" s="107">
        <f>YEAR(Table6[[#This Row],[Date]])+IF(MONTH(Table6[[#This Row],[Date]])&gt;=4,1,0)</f>
        <v>2026</v>
      </c>
      <c r="C497" s="105">
        <f>YEAR(Table6[[#This Row],[Date]])</f>
        <v>2025</v>
      </c>
      <c r="D497" s="105" t="s">
        <v>490</v>
      </c>
      <c r="E497" s="119">
        <f>Table6[[#This Row],[Date]]-DAY(Table6[[#This Row],[Date]])+1</f>
        <v>45778</v>
      </c>
      <c r="F497" s="118">
        <v>45785</v>
      </c>
      <c r="G497" s="105" t="s">
        <v>148</v>
      </c>
      <c r="H497" s="39" t="str">
        <f>_xlfn.XLOOKUP(Table6[[#This Row],[Affected WTG]],'Basic Data'!$A:$A,'Basic Data'!$B:$B)</f>
        <v>PWEGPL</v>
      </c>
      <c r="I497" s="39" t="str">
        <f>_xlfn.XLOOKUP(Table6[[#This Row],[Affected WTG]],'Basic Data'!$A:$A,'Basic Data'!$C:$C)</f>
        <v>MSEDCL</v>
      </c>
      <c r="J497" s="345">
        <f>IFERROR(VLOOKUP(Table6[[#This Row],[Affected WTG]],'Basic Data'!$A$3:$E$56,5,0),"")</f>
        <v>2.564102564102564E-2</v>
      </c>
      <c r="K497" s="105">
        <v>5220</v>
      </c>
      <c r="L497" s="39" t="str">
        <f>IFERROR(VLOOKUP(Table6[[#This Row],[Error Code]],'Basic Data'!$T:$U,2,0),"")</f>
        <v>Encoder Not OK</v>
      </c>
      <c r="M497" s="346" t="s">
        <v>462</v>
      </c>
      <c r="N497" s="39" t="s">
        <v>1270</v>
      </c>
      <c r="O497" s="347">
        <v>0.40833333333333333</v>
      </c>
      <c r="P497" s="347">
        <v>0.42152777777777778</v>
      </c>
      <c r="Q497" s="347">
        <v>0.42222222222222222</v>
      </c>
      <c r="R497" s="348">
        <f>IF(Table6[[#This Row],[Work Start TimeStamp]]="","",(Table6[[#This Row],[Work Start TimeStamp]]-Table6[[#This Row],[Fault Start TimeStamp]])*24)</f>
        <v>0.31666666666666687</v>
      </c>
      <c r="S497" s="349">
        <f>(Table6[[#This Row],[Fault Clearance time]]-Table6[[#This Row],[Work Start TimeStamp]])*24</f>
        <v>1.6666666666666607E-2</v>
      </c>
      <c r="T497" s="350">
        <f>(Table6[[#This Row],[Fault Clearance time]]-Table6[[#This Row],[Fault Start TimeStamp]])*24</f>
        <v>0.33333333333333348</v>
      </c>
      <c r="U497" s="346" t="s">
        <v>493</v>
      </c>
      <c r="V497" s="351" t="s">
        <v>463</v>
      </c>
      <c r="W497" s="338">
        <f>Table6[[#This Row],[Breakdown Time]]*(1/39)</f>
        <v>8.5470085470085513E-3</v>
      </c>
      <c r="X497" s="336" t="s">
        <v>465</v>
      </c>
      <c r="Y497" s="352" t="s">
        <v>149</v>
      </c>
      <c r="Z497" s="105">
        <v>6856</v>
      </c>
      <c r="AA497" s="107">
        <v>95.222222222222271</v>
      </c>
      <c r="AB497" s="105" t="s">
        <v>478</v>
      </c>
    </row>
    <row r="498" spans="1:28">
      <c r="A498" s="105">
        <f t="shared" si="7"/>
        <v>497</v>
      </c>
      <c r="B498" s="107">
        <f>YEAR(Table6[[#This Row],[Date]])+IF(MONTH(Table6[[#This Row],[Date]])&gt;=4,1,0)</f>
        <v>2026</v>
      </c>
      <c r="C498" s="105">
        <f>YEAR(Table6[[#This Row],[Date]])</f>
        <v>2025</v>
      </c>
      <c r="D498" s="105" t="s">
        <v>490</v>
      </c>
      <c r="E498" s="119">
        <f>Table6[[#This Row],[Date]]-DAY(Table6[[#This Row],[Date]])+1</f>
        <v>45778</v>
      </c>
      <c r="F498" s="118">
        <v>45785</v>
      </c>
      <c r="G498" s="105" t="s">
        <v>148</v>
      </c>
      <c r="H498" s="39" t="str">
        <f>_xlfn.XLOOKUP(Table6[[#This Row],[Affected WTG]],'Basic Data'!$A:$A,'Basic Data'!$B:$B)</f>
        <v>PWEGPL</v>
      </c>
      <c r="I498" s="39" t="str">
        <f>_xlfn.XLOOKUP(Table6[[#This Row],[Affected WTG]],'Basic Data'!$A:$A,'Basic Data'!$C:$C)</f>
        <v>MSEDCL</v>
      </c>
      <c r="J498" s="345">
        <f>IFERROR(VLOOKUP(Table6[[#This Row],[Affected WTG]],'Basic Data'!$A$3:$E$56,5,0),"")</f>
        <v>2.564102564102564E-2</v>
      </c>
      <c r="K498" s="105">
        <v>5220</v>
      </c>
      <c r="L498" s="39" t="str">
        <f>IFERROR(VLOOKUP(Table6[[#This Row],[Error Code]],'Basic Data'!$T:$U,2,0),"")</f>
        <v>Encoder Not OK</v>
      </c>
      <c r="M498" s="346" t="s">
        <v>462</v>
      </c>
      <c r="N498" s="39" t="s">
        <v>1270</v>
      </c>
      <c r="O498" s="347">
        <v>0.54861111111111116</v>
      </c>
      <c r="P498" s="347">
        <v>0.58888888888888891</v>
      </c>
      <c r="Q498" s="347">
        <v>0.59027777777777779</v>
      </c>
      <c r="R498" s="348">
        <f>IF(Table6[[#This Row],[Work Start TimeStamp]]="","",(Table6[[#This Row],[Work Start TimeStamp]]-Table6[[#This Row],[Fault Start TimeStamp]])*24)</f>
        <v>0.9666666666666659</v>
      </c>
      <c r="S498" s="349">
        <f>(Table6[[#This Row],[Fault Clearance time]]-Table6[[#This Row],[Work Start TimeStamp]])*24</f>
        <v>3.3333333333333215E-2</v>
      </c>
      <c r="T498" s="350">
        <f>(Table6[[#This Row],[Fault Clearance time]]-Table6[[#This Row],[Fault Start TimeStamp]])*24</f>
        <v>0.99999999999999911</v>
      </c>
      <c r="U498" s="346" t="s">
        <v>491</v>
      </c>
      <c r="V498" s="351" t="s">
        <v>463</v>
      </c>
      <c r="W498" s="338">
        <f>Table6[[#This Row],[Breakdown Time]]*(1/39)</f>
        <v>2.5641025641025616E-2</v>
      </c>
      <c r="X498" s="336" t="s">
        <v>465</v>
      </c>
      <c r="Y498" s="352" t="s">
        <v>149</v>
      </c>
      <c r="Z498" s="105">
        <v>6856</v>
      </c>
      <c r="AA498" s="107">
        <v>285.66666666666646</v>
      </c>
      <c r="AB498" s="105" t="s">
        <v>478</v>
      </c>
    </row>
    <row r="499" spans="1:28">
      <c r="A499" s="105">
        <f t="shared" si="7"/>
        <v>498</v>
      </c>
      <c r="B499" s="107">
        <f>YEAR(Table6[[#This Row],[Date]])+IF(MONTH(Table6[[#This Row],[Date]])&gt;=4,1,0)</f>
        <v>2026</v>
      </c>
      <c r="C499" s="105">
        <f>YEAR(Table6[[#This Row],[Date]])</f>
        <v>2025</v>
      </c>
      <c r="D499" s="105" t="s">
        <v>490</v>
      </c>
      <c r="E499" s="119">
        <f>Table6[[#This Row],[Date]]-DAY(Table6[[#This Row],[Date]])+1</f>
        <v>45778</v>
      </c>
      <c r="F499" s="118">
        <v>45785</v>
      </c>
      <c r="G499" s="105" t="s">
        <v>150</v>
      </c>
      <c r="H499" s="39" t="str">
        <f>_xlfn.XLOOKUP(Table6[[#This Row],[Affected WTG]],'Basic Data'!$A:$A,'Basic Data'!$B:$B)</f>
        <v>PWEGPL</v>
      </c>
      <c r="I499" s="39" t="str">
        <f>_xlfn.XLOOKUP(Table6[[#This Row],[Affected WTG]],'Basic Data'!$A:$A,'Basic Data'!$C:$C)</f>
        <v>MSEDCL</v>
      </c>
      <c r="J499" s="345">
        <f>IFERROR(VLOOKUP(Table6[[#This Row],[Affected WTG]],'Basic Data'!$A$3:$E$56,5,0),"")</f>
        <v>2.564102564102564E-2</v>
      </c>
      <c r="K499" s="105">
        <v>205</v>
      </c>
      <c r="L499" s="39" t="str">
        <f>IFERROR(VLOOKUP(Table6[[#This Row],[Error Code]],'Basic Data'!$T:$U,2,0),"")</f>
        <v>Low Level Hydraulic Group Refrigeration Oil</v>
      </c>
      <c r="M499" s="346" t="s">
        <v>462</v>
      </c>
      <c r="N499" s="39" t="s">
        <v>1270</v>
      </c>
      <c r="O499" s="347">
        <v>0.41041666666666665</v>
      </c>
      <c r="P499" s="347">
        <v>0.42708333333333331</v>
      </c>
      <c r="Q499" s="347">
        <v>0.69236111111111109</v>
      </c>
      <c r="R499" s="348">
        <f>IF(Table6[[#This Row],[Work Start TimeStamp]]="","",(Table6[[#This Row],[Work Start TimeStamp]]-Table6[[#This Row],[Fault Start TimeStamp]])*24)</f>
        <v>0.39999999999999991</v>
      </c>
      <c r="S499" s="349">
        <f>(Table6[[#This Row],[Fault Clearance time]]-Table6[[#This Row],[Work Start TimeStamp]])*24</f>
        <v>6.3666666666666671</v>
      </c>
      <c r="T499" s="350">
        <f>(Table6[[#This Row],[Fault Clearance time]]-Table6[[#This Row],[Fault Start TimeStamp]])*24</f>
        <v>6.7666666666666666</v>
      </c>
      <c r="U499" s="346" t="s">
        <v>588</v>
      </c>
      <c r="V499" s="351" t="s">
        <v>463</v>
      </c>
      <c r="W499" s="338">
        <f>Table6[[#This Row],[Breakdown Time]]*(1/39)</f>
        <v>0.1735042735042735</v>
      </c>
      <c r="X499" s="336" t="s">
        <v>465</v>
      </c>
      <c r="Y499" s="352" t="s">
        <v>149</v>
      </c>
      <c r="Z499" s="105">
        <v>6856</v>
      </c>
      <c r="AA499" s="107">
        <v>1933.0111111111112</v>
      </c>
      <c r="AB499" s="105" t="s">
        <v>478</v>
      </c>
    </row>
    <row r="500" spans="1:28">
      <c r="A500" s="105">
        <f t="shared" si="7"/>
        <v>499</v>
      </c>
      <c r="B500" s="107">
        <f>YEAR(Table6[[#This Row],[Date]])+IF(MONTH(Table6[[#This Row],[Date]])&gt;=4,1,0)</f>
        <v>2026</v>
      </c>
      <c r="C500" s="105">
        <f>YEAR(Table6[[#This Row],[Date]])</f>
        <v>2025</v>
      </c>
      <c r="D500" s="105" t="s">
        <v>490</v>
      </c>
      <c r="E500" s="119">
        <f>Table6[[#This Row],[Date]]-DAY(Table6[[#This Row],[Date]])+1</f>
        <v>45778</v>
      </c>
      <c r="F500" s="118">
        <v>45785</v>
      </c>
      <c r="G500" s="105" t="s">
        <v>152</v>
      </c>
      <c r="H500" s="39" t="str">
        <f>_xlfn.XLOOKUP(Table6[[#This Row],[Affected WTG]],'Basic Data'!$A:$A,'Basic Data'!$B:$B)</f>
        <v>PWEGPL</v>
      </c>
      <c r="I500" s="39" t="str">
        <f>_xlfn.XLOOKUP(Table6[[#This Row],[Affected WTG]],'Basic Data'!$A:$A,'Basic Data'!$C:$C)</f>
        <v>MSEDCL</v>
      </c>
      <c r="J500" s="345">
        <f>IFERROR(VLOOKUP(Table6[[#This Row],[Affected WTG]],'Basic Data'!$A$3:$E$56,5,0),"")</f>
        <v>2.564102564102564E-2</v>
      </c>
      <c r="K500" s="105">
        <v>5201</v>
      </c>
      <c r="L500" s="39" t="str">
        <f>IFERROR(VLOOKUP(Table6[[#This Row],[Error Code]],'Basic Data'!$T:$U,2,0),"")</f>
        <v>Magnetothermic Trigger Of The Stator Protection</v>
      </c>
      <c r="M500" s="346" t="s">
        <v>462</v>
      </c>
      <c r="N500" s="39" t="s">
        <v>1270</v>
      </c>
      <c r="O500" s="347">
        <v>0.42499999999999999</v>
      </c>
      <c r="P500" s="347">
        <v>0.44027777777777777</v>
      </c>
      <c r="Q500" s="347">
        <v>0.44166666666666665</v>
      </c>
      <c r="R500" s="348">
        <f>IF(Table6[[#This Row],[Work Start TimeStamp]]="","",(Table6[[#This Row],[Work Start TimeStamp]]-Table6[[#This Row],[Fault Start TimeStamp]])*24)</f>
        <v>0.3666666666666667</v>
      </c>
      <c r="S500" s="349">
        <f>(Table6[[#This Row],[Fault Clearance time]]-Table6[[#This Row],[Work Start TimeStamp]])*24</f>
        <v>3.3333333333333215E-2</v>
      </c>
      <c r="T500" s="350">
        <f>(Table6[[#This Row],[Fault Clearance time]]-Table6[[#This Row],[Fault Start TimeStamp]])*24</f>
        <v>0.39999999999999991</v>
      </c>
      <c r="U500" s="346" t="s">
        <v>493</v>
      </c>
      <c r="V500" s="351" t="s">
        <v>463</v>
      </c>
      <c r="W500" s="338">
        <f>Table6[[#This Row],[Breakdown Time]]*(1/39)</f>
        <v>1.0256410256410253E-2</v>
      </c>
      <c r="X500" s="336" t="s">
        <v>465</v>
      </c>
      <c r="Y500" s="352" t="s">
        <v>153</v>
      </c>
      <c r="Z500" s="105">
        <v>6857</v>
      </c>
      <c r="AA500" s="107">
        <v>114.2833333333333</v>
      </c>
      <c r="AB500" s="105" t="s">
        <v>478</v>
      </c>
    </row>
    <row r="501" spans="1:28">
      <c r="A501" s="105">
        <f t="shared" si="7"/>
        <v>500</v>
      </c>
      <c r="B501" s="107">
        <f>YEAR(Table6[[#This Row],[Date]])+IF(MONTH(Table6[[#This Row],[Date]])&gt;=4,1,0)</f>
        <v>2026</v>
      </c>
      <c r="C501" s="105">
        <f>YEAR(Table6[[#This Row],[Date]])</f>
        <v>2025</v>
      </c>
      <c r="D501" s="105" t="s">
        <v>490</v>
      </c>
      <c r="E501" s="119">
        <f>Table6[[#This Row],[Date]]-DAY(Table6[[#This Row],[Date]])+1</f>
        <v>45778</v>
      </c>
      <c r="F501" s="118">
        <v>45785</v>
      </c>
      <c r="G501" s="105" t="s">
        <v>152</v>
      </c>
      <c r="H501" s="39" t="str">
        <f>_xlfn.XLOOKUP(Table6[[#This Row],[Affected WTG]],'Basic Data'!$A:$A,'Basic Data'!$B:$B)</f>
        <v>PWEGPL</v>
      </c>
      <c r="I501" s="39" t="str">
        <f>_xlfn.XLOOKUP(Table6[[#This Row],[Affected WTG]],'Basic Data'!$A:$A,'Basic Data'!$C:$C)</f>
        <v>MSEDCL</v>
      </c>
      <c r="J501" s="345">
        <f>IFERROR(VLOOKUP(Table6[[#This Row],[Affected WTG]],'Basic Data'!$A$3:$E$56,5,0),"")</f>
        <v>2.564102564102564E-2</v>
      </c>
      <c r="K501" s="105">
        <v>5201</v>
      </c>
      <c r="L501" s="39" t="str">
        <f>IFERROR(VLOOKUP(Table6[[#This Row],[Error Code]],'Basic Data'!$T:$U,2,0),"")</f>
        <v>Magnetothermic Trigger Of The Stator Protection</v>
      </c>
      <c r="M501" s="346" t="s">
        <v>462</v>
      </c>
      <c r="N501" s="39" t="s">
        <v>1270</v>
      </c>
      <c r="O501" s="347">
        <v>0.54305555555555551</v>
      </c>
      <c r="P501" s="347">
        <v>0.57986111111111116</v>
      </c>
      <c r="Q501" s="347">
        <v>0.58125000000000004</v>
      </c>
      <c r="R501" s="348">
        <f>IF(Table6[[#This Row],[Work Start TimeStamp]]="","",(Table6[[#This Row],[Work Start TimeStamp]]-Table6[[#This Row],[Fault Start TimeStamp]])*24)</f>
        <v>0.88333333333333552</v>
      </c>
      <c r="S501" s="349">
        <f>(Table6[[#This Row],[Fault Clearance time]]-Table6[[#This Row],[Work Start TimeStamp]])*24</f>
        <v>3.3333333333333215E-2</v>
      </c>
      <c r="T501" s="350">
        <f>(Table6[[#This Row],[Fault Clearance time]]-Table6[[#This Row],[Fault Start TimeStamp]])*24</f>
        <v>0.91666666666666874</v>
      </c>
      <c r="U501" s="346" t="s">
        <v>491</v>
      </c>
      <c r="V501" s="351" t="s">
        <v>463</v>
      </c>
      <c r="W501" s="338">
        <f>Table6[[#This Row],[Breakdown Time]]*(1/39)</f>
        <v>2.3504273504273556E-2</v>
      </c>
      <c r="X501" s="336" t="s">
        <v>465</v>
      </c>
      <c r="Y501" s="352" t="s">
        <v>153</v>
      </c>
      <c r="Z501" s="105">
        <v>6857</v>
      </c>
      <c r="AA501" s="107">
        <v>261.89930555555611</v>
      </c>
      <c r="AB501" s="105" t="s">
        <v>478</v>
      </c>
    </row>
    <row r="502" spans="1:28">
      <c r="A502" s="105">
        <f t="shared" si="7"/>
        <v>501</v>
      </c>
      <c r="B502" s="107">
        <f>YEAR(Table6[[#This Row],[Date]])+IF(MONTH(Table6[[#This Row],[Date]])&gt;=4,1,0)</f>
        <v>2026</v>
      </c>
      <c r="C502" s="105">
        <f>YEAR(Table6[[#This Row],[Date]])</f>
        <v>2025</v>
      </c>
      <c r="D502" s="105" t="s">
        <v>490</v>
      </c>
      <c r="E502" s="119">
        <f>Table6[[#This Row],[Date]]-DAY(Table6[[#This Row],[Date]])+1</f>
        <v>45778</v>
      </c>
      <c r="F502" s="118">
        <v>45786</v>
      </c>
      <c r="G502" s="105" t="s">
        <v>144</v>
      </c>
      <c r="H502" s="39" t="str">
        <f>_xlfn.XLOOKUP(Table6[[#This Row],[Affected WTG]],'Basic Data'!$A:$A,'Basic Data'!$B:$B)</f>
        <v>PWEGPL</v>
      </c>
      <c r="I502" s="39" t="str">
        <f>_xlfn.XLOOKUP(Table6[[#This Row],[Affected WTG]],'Basic Data'!$A:$A,'Basic Data'!$C:$C)</f>
        <v>MSEDCL</v>
      </c>
      <c r="J502" s="345">
        <f>IFERROR(VLOOKUP(Table6[[#This Row],[Affected WTG]],'Basic Data'!$A$3:$E$56,5,0),"")</f>
        <v>2.564102564102564E-2</v>
      </c>
      <c r="K502" s="105" t="s">
        <v>492</v>
      </c>
      <c r="L502" s="39" t="str">
        <f>IFERROR(VLOOKUP(Table6[[#This Row],[Error Code]],'Basic Data'!$T:$U,2,0),"")</f>
        <v>Manual Stop - Safety Related</v>
      </c>
      <c r="M502" s="346" t="s">
        <v>481</v>
      </c>
      <c r="N502" s="39" t="s">
        <v>1269</v>
      </c>
      <c r="O502" s="347">
        <v>0</v>
      </c>
      <c r="P502" s="347">
        <v>0.99930555555555556</v>
      </c>
      <c r="Q502" s="347">
        <v>0.99930555555555556</v>
      </c>
      <c r="R502" s="348">
        <f>IF(Table6[[#This Row],[Work Start TimeStamp]]="","",(Table6[[#This Row],[Work Start TimeStamp]]-Table6[[#This Row],[Fault Start TimeStamp]])*24)</f>
        <v>23.983333333333334</v>
      </c>
      <c r="S502" s="349">
        <f>(Table6[[#This Row],[Fault Clearance time]]-Table6[[#This Row],[Work Start TimeStamp]])*24</f>
        <v>0</v>
      </c>
      <c r="T502" s="350">
        <f>(Table6[[#This Row],[Fault Clearance time]]-Table6[[#This Row],[Fault Start TimeStamp]])*24</f>
        <v>23.983333333333334</v>
      </c>
      <c r="U502" s="346" t="s">
        <v>498</v>
      </c>
      <c r="V502" s="351" t="s">
        <v>473</v>
      </c>
      <c r="W502" s="338">
        <f>Table6[[#This Row],[Breakdown Time]]*(1/39)</f>
        <v>0.61495726495726499</v>
      </c>
      <c r="X502" s="336" t="s">
        <v>468</v>
      </c>
      <c r="Y502" s="352" t="s">
        <v>141</v>
      </c>
      <c r="Z502" s="105">
        <v>4526</v>
      </c>
      <c r="AA502" s="107">
        <v>4522.8569444444447</v>
      </c>
      <c r="AB502" s="105" t="s">
        <v>478</v>
      </c>
    </row>
    <row r="503" spans="1:28">
      <c r="A503" s="105">
        <f t="shared" si="7"/>
        <v>502</v>
      </c>
      <c r="B503" s="107">
        <f>YEAR(Table6[[#This Row],[Date]])+IF(MONTH(Table6[[#This Row],[Date]])&gt;=4,1,0)</f>
        <v>2026</v>
      </c>
      <c r="C503" s="105">
        <f>YEAR(Table6[[#This Row],[Date]])</f>
        <v>2025</v>
      </c>
      <c r="D503" s="105" t="s">
        <v>490</v>
      </c>
      <c r="E503" s="119">
        <f>Table6[[#This Row],[Date]]-DAY(Table6[[#This Row],[Date]])+1</f>
        <v>45778</v>
      </c>
      <c r="F503" s="118">
        <v>45786</v>
      </c>
      <c r="G503" s="105" t="s">
        <v>142</v>
      </c>
      <c r="H503" s="39" t="str">
        <f>_xlfn.XLOOKUP(Table6[[#This Row],[Affected WTG]],'Basic Data'!$A:$A,'Basic Data'!$B:$B)</f>
        <v>PWEGPL</v>
      </c>
      <c r="I503" s="39" t="str">
        <f>_xlfn.XLOOKUP(Table6[[#This Row],[Affected WTG]],'Basic Data'!$A:$A,'Basic Data'!$C:$C)</f>
        <v>MSEDCL</v>
      </c>
      <c r="J503" s="345">
        <f>IFERROR(VLOOKUP(Table6[[#This Row],[Affected WTG]],'Basic Data'!$A$3:$E$56,5,0),"")</f>
        <v>2.564102564102564E-2</v>
      </c>
      <c r="K503" s="105" t="s">
        <v>492</v>
      </c>
      <c r="L503" s="39" t="str">
        <f>IFERROR(VLOOKUP(Table6[[#This Row],[Error Code]],'Basic Data'!$T:$U,2,0),"")</f>
        <v>Manual Stop - Safety Related</v>
      </c>
      <c r="M503" s="346" t="s">
        <v>481</v>
      </c>
      <c r="N503" s="39" t="s">
        <v>1269</v>
      </c>
      <c r="O503" s="347">
        <v>0</v>
      </c>
      <c r="P503" s="347">
        <v>0.99930555555555556</v>
      </c>
      <c r="Q503" s="347">
        <v>0.99930555555555556</v>
      </c>
      <c r="R503" s="348">
        <f>IF(Table6[[#This Row],[Work Start TimeStamp]]="","",(Table6[[#This Row],[Work Start TimeStamp]]-Table6[[#This Row],[Fault Start TimeStamp]])*24)</f>
        <v>23.983333333333334</v>
      </c>
      <c r="S503" s="349">
        <f>(Table6[[#This Row],[Fault Clearance time]]-Table6[[#This Row],[Work Start TimeStamp]])*24</f>
        <v>0</v>
      </c>
      <c r="T503" s="350">
        <f>(Table6[[#This Row],[Fault Clearance time]]-Table6[[#This Row],[Fault Start TimeStamp]])*24</f>
        <v>23.983333333333334</v>
      </c>
      <c r="U503" s="346" t="s">
        <v>498</v>
      </c>
      <c r="V503" s="351" t="s">
        <v>473</v>
      </c>
      <c r="W503" s="338">
        <f>Table6[[#This Row],[Breakdown Time]]*(1/39)</f>
        <v>0.61495726495726499</v>
      </c>
      <c r="X503" s="336" t="s">
        <v>468</v>
      </c>
      <c r="Y503" s="352" t="s">
        <v>141</v>
      </c>
      <c r="Z503" s="105">
        <v>4526</v>
      </c>
      <c r="AA503" s="107">
        <v>4522.8569444444447</v>
      </c>
      <c r="AB503" s="105" t="s">
        <v>478</v>
      </c>
    </row>
    <row r="504" spans="1:28">
      <c r="A504" s="105">
        <f t="shared" si="7"/>
        <v>503</v>
      </c>
      <c r="B504" s="107">
        <f>YEAR(Table6[[#This Row],[Date]])+IF(MONTH(Table6[[#This Row],[Date]])&gt;=4,1,0)</f>
        <v>2026</v>
      </c>
      <c r="C504" s="105">
        <f>YEAR(Table6[[#This Row],[Date]])</f>
        <v>2025</v>
      </c>
      <c r="D504" s="105" t="s">
        <v>490</v>
      </c>
      <c r="E504" s="119">
        <f>Table6[[#This Row],[Date]]-DAY(Table6[[#This Row],[Date]])+1</f>
        <v>45778</v>
      </c>
      <c r="F504" s="118">
        <v>45786</v>
      </c>
      <c r="G504" s="105" t="s">
        <v>117</v>
      </c>
      <c r="H504" s="39" t="str">
        <f>_xlfn.XLOOKUP(Table6[[#This Row],[Affected WTG]],'Basic Data'!$A:$A,'Basic Data'!$B:$B)</f>
        <v>PWEGPL</v>
      </c>
      <c r="I504" s="39" t="str">
        <f>_xlfn.XLOOKUP(Table6[[#This Row],[Affected WTG]],'Basic Data'!$A:$A,'Basic Data'!$C:$C)</f>
        <v>MSEDCL</v>
      </c>
      <c r="J504" s="345">
        <f>IFERROR(VLOOKUP(Table6[[#This Row],[Affected WTG]],'Basic Data'!$A$3:$E$56,5,0),"")</f>
        <v>2.564102564102564E-2</v>
      </c>
      <c r="K504" s="105" t="s">
        <v>466</v>
      </c>
      <c r="L504" s="39" t="str">
        <f>IFERROR(VLOOKUP(Table6[[#This Row],[Error Code]],'Basic Data'!$T:$U,2,0),"")</f>
        <v>Manual Stop</v>
      </c>
      <c r="M504" s="346" t="s">
        <v>507</v>
      </c>
      <c r="N504" s="39" t="s">
        <v>230</v>
      </c>
      <c r="O504" s="347">
        <v>0.50486111111111109</v>
      </c>
      <c r="P504" s="347">
        <v>0.50486111111111109</v>
      </c>
      <c r="Q504" s="347">
        <v>0.52083333333333337</v>
      </c>
      <c r="R504" s="348">
        <f>IF(Table6[[#This Row],[Work Start TimeStamp]]="","",(Table6[[#This Row],[Work Start TimeStamp]]-Table6[[#This Row],[Fault Start TimeStamp]])*24)</f>
        <v>0</v>
      </c>
      <c r="S504" s="349">
        <f>(Table6[[#This Row],[Fault Clearance time]]-Table6[[#This Row],[Work Start TimeStamp]])*24</f>
        <v>0.38333333333333464</v>
      </c>
      <c r="T504" s="350">
        <f>(Table6[[#This Row],[Fault Clearance time]]-Table6[[#This Row],[Fault Start TimeStamp]])*24</f>
        <v>0.38333333333333464</v>
      </c>
      <c r="U504" s="346" t="s">
        <v>583</v>
      </c>
      <c r="V504" s="351" t="s">
        <v>463</v>
      </c>
      <c r="W504" s="338">
        <f>Table6[[#This Row],[Breakdown Time]]*(1/39)</f>
        <v>9.8290598290598618E-3</v>
      </c>
      <c r="X504" s="336" t="s">
        <v>464</v>
      </c>
      <c r="Y504" s="352" t="s">
        <v>118</v>
      </c>
      <c r="Z504" s="105">
        <v>3583</v>
      </c>
      <c r="AA504" s="107">
        <v>57.228472222222415</v>
      </c>
      <c r="AB504" s="105" t="s">
        <v>478</v>
      </c>
    </row>
    <row r="505" spans="1:28">
      <c r="A505" s="105">
        <f t="shared" si="7"/>
        <v>504</v>
      </c>
      <c r="B505" s="107">
        <f>YEAR(Table6[[#This Row],[Date]])+IF(MONTH(Table6[[#This Row],[Date]])&gt;=4,1,0)</f>
        <v>2026</v>
      </c>
      <c r="C505" s="105">
        <f>YEAR(Table6[[#This Row],[Date]])</f>
        <v>2025</v>
      </c>
      <c r="D505" s="105" t="s">
        <v>490</v>
      </c>
      <c r="E505" s="119">
        <f>Table6[[#This Row],[Date]]-DAY(Table6[[#This Row],[Date]])+1</f>
        <v>45778</v>
      </c>
      <c r="F505" s="118">
        <v>45786</v>
      </c>
      <c r="G505" s="105" t="s">
        <v>118</v>
      </c>
      <c r="H505" s="39" t="str">
        <f>_xlfn.XLOOKUP(Table6[[#This Row],[Affected WTG]],'Basic Data'!$A:$A,'Basic Data'!$B:$B)</f>
        <v>PWEGPL</v>
      </c>
      <c r="I505" s="39" t="str">
        <f>_xlfn.XLOOKUP(Table6[[#This Row],[Affected WTG]],'Basic Data'!$A:$A,'Basic Data'!$C:$C)</f>
        <v>MSEDCL</v>
      </c>
      <c r="J505" s="345">
        <f>IFERROR(VLOOKUP(Table6[[#This Row],[Affected WTG]],'Basic Data'!$A$3:$E$56,5,0),"")</f>
        <v>2.564102564102564E-2</v>
      </c>
      <c r="K505" s="105" t="s">
        <v>466</v>
      </c>
      <c r="L505" s="39" t="str">
        <f>IFERROR(VLOOKUP(Table6[[#This Row],[Error Code]],'Basic Data'!$T:$U,2,0),"")</f>
        <v>Manual Stop</v>
      </c>
      <c r="M505" s="346" t="s">
        <v>507</v>
      </c>
      <c r="N505" s="39" t="s">
        <v>230</v>
      </c>
      <c r="O505" s="347">
        <v>0.5395833333333333</v>
      </c>
      <c r="P505" s="347">
        <v>0.5395833333333333</v>
      </c>
      <c r="Q505" s="347">
        <v>0.55555555555555558</v>
      </c>
      <c r="R505" s="348">
        <f>IF(Table6[[#This Row],[Work Start TimeStamp]]="","",(Table6[[#This Row],[Work Start TimeStamp]]-Table6[[#This Row],[Fault Start TimeStamp]])*24)</f>
        <v>0</v>
      </c>
      <c r="S505" s="349">
        <f>(Table6[[#This Row],[Fault Clearance time]]-Table6[[#This Row],[Work Start TimeStamp]])*24</f>
        <v>0.38333333333333464</v>
      </c>
      <c r="T505" s="350">
        <f>(Table6[[#This Row],[Fault Clearance time]]-Table6[[#This Row],[Fault Start TimeStamp]])*24</f>
        <v>0.38333333333333464</v>
      </c>
      <c r="U505" s="346" t="s">
        <v>583</v>
      </c>
      <c r="V505" s="351" t="s">
        <v>463</v>
      </c>
      <c r="W505" s="338">
        <f>Table6[[#This Row],[Breakdown Time]]*(1/39)</f>
        <v>9.8290598290598618E-3</v>
      </c>
      <c r="X505" s="336" t="s">
        <v>464</v>
      </c>
      <c r="Y505" s="352" t="s">
        <v>117</v>
      </c>
      <c r="Z505" s="105">
        <v>3562</v>
      </c>
      <c r="AA505" s="107">
        <v>56.893055555555748</v>
      </c>
      <c r="AB505" s="105" t="s">
        <v>478</v>
      </c>
    </row>
    <row r="506" spans="1:28">
      <c r="A506" s="105">
        <f t="shared" si="7"/>
        <v>505</v>
      </c>
      <c r="B506" s="107">
        <f>YEAR(Table6[[#This Row],[Date]])+IF(MONTH(Table6[[#This Row],[Date]])&gt;=4,1,0)</f>
        <v>2026</v>
      </c>
      <c r="C506" s="105">
        <f>YEAR(Table6[[#This Row],[Date]])</f>
        <v>2025</v>
      </c>
      <c r="D506" s="105" t="s">
        <v>490</v>
      </c>
      <c r="E506" s="119">
        <f>Table6[[#This Row],[Date]]-DAY(Table6[[#This Row],[Date]])+1</f>
        <v>45778</v>
      </c>
      <c r="F506" s="118">
        <v>45786</v>
      </c>
      <c r="G506" s="105" t="s">
        <v>120</v>
      </c>
      <c r="H506" s="39" t="str">
        <f>_xlfn.XLOOKUP(Table6[[#This Row],[Affected WTG]],'Basic Data'!$A:$A,'Basic Data'!$B:$B)</f>
        <v>PWEGPL</v>
      </c>
      <c r="I506" s="39" t="str">
        <f>_xlfn.XLOOKUP(Table6[[#This Row],[Affected WTG]],'Basic Data'!$A:$A,'Basic Data'!$C:$C)</f>
        <v>MSEDCL</v>
      </c>
      <c r="J506" s="345">
        <f>IFERROR(VLOOKUP(Table6[[#This Row],[Affected WTG]],'Basic Data'!$A$3:$E$56,5,0),"")</f>
        <v>2.564102564102564E-2</v>
      </c>
      <c r="K506" s="105" t="s">
        <v>466</v>
      </c>
      <c r="L506" s="39" t="str">
        <f>IFERROR(VLOOKUP(Table6[[#This Row],[Error Code]],'Basic Data'!$T:$U,2,0),"")</f>
        <v>Manual Stop</v>
      </c>
      <c r="M506" s="346" t="s">
        <v>507</v>
      </c>
      <c r="N506" s="39" t="s">
        <v>230</v>
      </c>
      <c r="O506" s="347">
        <v>0.70625000000000004</v>
      </c>
      <c r="P506" s="347">
        <v>0.70625000000000004</v>
      </c>
      <c r="Q506" s="347">
        <v>0.71944444444444444</v>
      </c>
      <c r="R506" s="348">
        <f>IF(Table6[[#This Row],[Work Start TimeStamp]]="","",(Table6[[#This Row],[Work Start TimeStamp]]-Table6[[#This Row],[Fault Start TimeStamp]])*24)</f>
        <v>0</v>
      </c>
      <c r="S506" s="349">
        <f>(Table6[[#This Row],[Fault Clearance time]]-Table6[[#This Row],[Work Start TimeStamp]])*24</f>
        <v>0.31666666666666554</v>
      </c>
      <c r="T506" s="350">
        <f>(Table6[[#This Row],[Fault Clearance time]]-Table6[[#This Row],[Fault Start TimeStamp]])*24</f>
        <v>0.31666666666666554</v>
      </c>
      <c r="U506" s="346" t="s">
        <v>583</v>
      </c>
      <c r="V506" s="351" t="s">
        <v>463</v>
      </c>
      <c r="W506" s="338">
        <f>Table6[[#This Row],[Breakdown Time]]*(1/39)</f>
        <v>8.1196581196580908E-3</v>
      </c>
      <c r="X506" s="336" t="s">
        <v>464</v>
      </c>
      <c r="Y506" s="352" t="s">
        <v>117</v>
      </c>
      <c r="Z506" s="105">
        <v>3562</v>
      </c>
      <c r="AA506" s="107">
        <v>46.998611111110939</v>
      </c>
      <c r="AB506" s="105" t="s">
        <v>478</v>
      </c>
    </row>
    <row r="507" spans="1:28">
      <c r="A507" s="105">
        <f t="shared" si="7"/>
        <v>506</v>
      </c>
      <c r="B507" s="107">
        <f>YEAR(Table6[[#This Row],[Date]])+IF(MONTH(Table6[[#This Row],[Date]])&gt;=4,1,0)</f>
        <v>2026</v>
      </c>
      <c r="C507" s="105">
        <f>YEAR(Table6[[#This Row],[Date]])</f>
        <v>2025</v>
      </c>
      <c r="D507" s="105" t="s">
        <v>490</v>
      </c>
      <c r="E507" s="119">
        <f>Table6[[#This Row],[Date]]-DAY(Table6[[#This Row],[Date]])+1</f>
        <v>45778</v>
      </c>
      <c r="F507" s="118">
        <v>45786</v>
      </c>
      <c r="G507" s="105" t="s">
        <v>122</v>
      </c>
      <c r="H507" s="39" t="str">
        <f>_xlfn.XLOOKUP(Table6[[#This Row],[Affected WTG]],'Basic Data'!$A:$A,'Basic Data'!$B:$B)</f>
        <v>PWEGPL</v>
      </c>
      <c r="I507" s="39" t="str">
        <f>_xlfn.XLOOKUP(Table6[[#This Row],[Affected WTG]],'Basic Data'!$A:$A,'Basic Data'!$C:$C)</f>
        <v>MSEDCL</v>
      </c>
      <c r="J507" s="345">
        <f>IFERROR(VLOOKUP(Table6[[#This Row],[Affected WTG]],'Basic Data'!$A$3:$E$56,5,0),"")</f>
        <v>2.564102564102564E-2</v>
      </c>
      <c r="K507" s="105" t="s">
        <v>466</v>
      </c>
      <c r="L507" s="39" t="str">
        <f>IFERROR(VLOOKUP(Table6[[#This Row],[Error Code]],'Basic Data'!$T:$U,2,0),"")</f>
        <v>Manual Stop</v>
      </c>
      <c r="M507" s="346" t="s">
        <v>507</v>
      </c>
      <c r="N507" s="39" t="s">
        <v>230</v>
      </c>
      <c r="O507" s="347">
        <v>0.47083333333333333</v>
      </c>
      <c r="P507" s="347">
        <v>0.47083333333333333</v>
      </c>
      <c r="Q507" s="347">
        <v>0.49513888888888891</v>
      </c>
      <c r="R507" s="348">
        <f>IF(Table6[[#This Row],[Work Start TimeStamp]]="","",(Table6[[#This Row],[Work Start TimeStamp]]-Table6[[#This Row],[Fault Start TimeStamp]])*24)</f>
        <v>0</v>
      </c>
      <c r="S507" s="349">
        <f>(Table6[[#This Row],[Fault Clearance time]]-Table6[[#This Row],[Work Start TimeStamp]])*24</f>
        <v>0.58333333333333393</v>
      </c>
      <c r="T507" s="350">
        <f>(Table6[[#This Row],[Fault Clearance time]]-Table6[[#This Row],[Fault Start TimeStamp]])*24</f>
        <v>0.58333333333333393</v>
      </c>
      <c r="U507" s="346" t="s">
        <v>583</v>
      </c>
      <c r="V507" s="351" t="s">
        <v>463</v>
      </c>
      <c r="W507" s="338">
        <f>Table6[[#This Row],[Breakdown Time]]*(1/39)</f>
        <v>1.4957264957264972E-2</v>
      </c>
      <c r="X507" s="336" t="s">
        <v>464</v>
      </c>
      <c r="Y507" s="352" t="s">
        <v>117</v>
      </c>
      <c r="Z507" s="105">
        <v>3562</v>
      </c>
      <c r="AA507" s="107">
        <v>86.576388888888971</v>
      </c>
      <c r="AB507" s="105" t="s">
        <v>478</v>
      </c>
    </row>
    <row r="508" spans="1:28">
      <c r="A508" s="105">
        <f t="shared" si="7"/>
        <v>507</v>
      </c>
      <c r="B508" s="107">
        <f>YEAR(Table6[[#This Row],[Date]])+IF(MONTH(Table6[[#This Row],[Date]])&gt;=4,1,0)</f>
        <v>2026</v>
      </c>
      <c r="C508" s="105">
        <f>YEAR(Table6[[#This Row],[Date]])</f>
        <v>2025</v>
      </c>
      <c r="D508" s="105" t="s">
        <v>490</v>
      </c>
      <c r="E508" s="119">
        <f>Table6[[#This Row],[Date]]-DAY(Table6[[#This Row],[Date]])+1</f>
        <v>45778</v>
      </c>
      <c r="F508" s="118">
        <v>45786</v>
      </c>
      <c r="G508" s="105" t="s">
        <v>123</v>
      </c>
      <c r="H508" s="39" t="str">
        <f>_xlfn.XLOOKUP(Table6[[#This Row],[Affected WTG]],'Basic Data'!$A:$A,'Basic Data'!$B:$B)</f>
        <v>PWEGPL</v>
      </c>
      <c r="I508" s="39" t="str">
        <f>_xlfn.XLOOKUP(Table6[[#This Row],[Affected WTG]],'Basic Data'!$A:$A,'Basic Data'!$C:$C)</f>
        <v>MSEDCL</v>
      </c>
      <c r="J508" s="345">
        <f>IFERROR(VLOOKUP(Table6[[#This Row],[Affected WTG]],'Basic Data'!$A$3:$E$56,5,0),"")</f>
        <v>2.564102564102564E-2</v>
      </c>
      <c r="K508" s="105" t="s">
        <v>466</v>
      </c>
      <c r="L508" s="39" t="str">
        <f>IFERROR(VLOOKUP(Table6[[#This Row],[Error Code]],'Basic Data'!$T:$U,2,0),"")</f>
        <v>Manual Stop</v>
      </c>
      <c r="M508" s="346" t="s">
        <v>507</v>
      </c>
      <c r="N508" s="39" t="s">
        <v>230</v>
      </c>
      <c r="O508" s="347">
        <v>0.64722222222222225</v>
      </c>
      <c r="P508" s="347">
        <v>0.64722222222222225</v>
      </c>
      <c r="Q508" s="347">
        <v>0.66319444444444442</v>
      </c>
      <c r="R508" s="348">
        <f>IF(Table6[[#This Row],[Work Start TimeStamp]]="","",(Table6[[#This Row],[Work Start TimeStamp]]-Table6[[#This Row],[Fault Start TimeStamp]])*24)</f>
        <v>0</v>
      </c>
      <c r="S508" s="349">
        <f>(Table6[[#This Row],[Fault Clearance time]]-Table6[[#This Row],[Work Start TimeStamp]])*24</f>
        <v>0.38333333333333197</v>
      </c>
      <c r="T508" s="350">
        <f>(Table6[[#This Row],[Fault Clearance time]]-Table6[[#This Row],[Fault Start TimeStamp]])*24</f>
        <v>0.38333333333333197</v>
      </c>
      <c r="U508" s="346" t="s">
        <v>583</v>
      </c>
      <c r="V508" s="351" t="s">
        <v>463</v>
      </c>
      <c r="W508" s="338">
        <f>Table6[[#This Row],[Breakdown Time]]*(1/39)</f>
        <v>9.8290598290597941E-3</v>
      </c>
      <c r="X508" s="336" t="s">
        <v>464</v>
      </c>
      <c r="Y508" s="352" t="s">
        <v>126</v>
      </c>
      <c r="Z508" s="105">
        <v>4056</v>
      </c>
      <c r="AA508" s="107">
        <v>64.783333333333104</v>
      </c>
      <c r="AB508" s="105" t="s">
        <v>478</v>
      </c>
    </row>
    <row r="509" spans="1:28">
      <c r="A509" s="105">
        <f t="shared" si="7"/>
        <v>508</v>
      </c>
      <c r="B509" s="107">
        <f>YEAR(Table6[[#This Row],[Date]])+IF(MONTH(Table6[[#This Row],[Date]])&gt;=4,1,0)</f>
        <v>2026</v>
      </c>
      <c r="C509" s="105">
        <f>YEAR(Table6[[#This Row],[Date]])</f>
        <v>2025</v>
      </c>
      <c r="D509" s="105" t="s">
        <v>490</v>
      </c>
      <c r="E509" s="119">
        <f>Table6[[#This Row],[Date]]-DAY(Table6[[#This Row],[Date]])+1</f>
        <v>45778</v>
      </c>
      <c r="F509" s="118">
        <v>45786</v>
      </c>
      <c r="G509" s="105" t="s">
        <v>124</v>
      </c>
      <c r="H509" s="39" t="str">
        <f>_xlfn.XLOOKUP(Table6[[#This Row],[Affected WTG]],'Basic Data'!$A:$A,'Basic Data'!$B:$B)</f>
        <v>PWEGPL</v>
      </c>
      <c r="I509" s="39" t="str">
        <f>_xlfn.XLOOKUP(Table6[[#This Row],[Affected WTG]],'Basic Data'!$A:$A,'Basic Data'!$C:$C)</f>
        <v>MSEDCL</v>
      </c>
      <c r="J509" s="345">
        <f>IFERROR(VLOOKUP(Table6[[#This Row],[Affected WTG]],'Basic Data'!$A$3:$E$56,5,0),"")</f>
        <v>2.564102564102564E-2</v>
      </c>
      <c r="K509" s="105" t="s">
        <v>466</v>
      </c>
      <c r="L509" s="39" t="str">
        <f>IFERROR(VLOOKUP(Table6[[#This Row],[Error Code]],'Basic Data'!$T:$U,2,0),"")</f>
        <v>Manual Stop</v>
      </c>
      <c r="M509" s="346" t="s">
        <v>507</v>
      </c>
      <c r="N509" s="39" t="s">
        <v>230</v>
      </c>
      <c r="O509" s="347">
        <v>0.67777777777777781</v>
      </c>
      <c r="P509" s="347">
        <v>0.67777777777777781</v>
      </c>
      <c r="Q509" s="347">
        <v>0.69166666666666665</v>
      </c>
      <c r="R509" s="348">
        <f>IF(Table6[[#This Row],[Work Start TimeStamp]]="","",(Table6[[#This Row],[Work Start TimeStamp]]-Table6[[#This Row],[Fault Start TimeStamp]])*24)</f>
        <v>0</v>
      </c>
      <c r="S509" s="349">
        <f>(Table6[[#This Row],[Fault Clearance time]]-Table6[[#This Row],[Work Start TimeStamp]])*24</f>
        <v>0.33333333333333215</v>
      </c>
      <c r="T509" s="350">
        <f>(Table6[[#This Row],[Fault Clearance time]]-Table6[[#This Row],[Fault Start TimeStamp]])*24</f>
        <v>0.33333333333333215</v>
      </c>
      <c r="U509" s="346" t="s">
        <v>583</v>
      </c>
      <c r="V509" s="351" t="s">
        <v>463</v>
      </c>
      <c r="W509" s="338">
        <f>Table6[[#This Row],[Breakdown Time]]*(1/39)</f>
        <v>8.5470085470085166E-3</v>
      </c>
      <c r="X509" s="336" t="s">
        <v>464</v>
      </c>
      <c r="Y509" s="352" t="s">
        <v>125</v>
      </c>
      <c r="Z509" s="105">
        <v>4026</v>
      </c>
      <c r="AA509" s="107">
        <v>55.916666666666465</v>
      </c>
      <c r="AB509" s="105" t="s">
        <v>478</v>
      </c>
    </row>
    <row r="510" spans="1:28">
      <c r="A510" s="105">
        <f t="shared" si="7"/>
        <v>509</v>
      </c>
      <c r="B510" s="107">
        <f>YEAR(Table6[[#This Row],[Date]])+IF(MONTH(Table6[[#This Row],[Date]])&gt;=4,1,0)</f>
        <v>2026</v>
      </c>
      <c r="C510" s="105">
        <f>YEAR(Table6[[#This Row],[Date]])</f>
        <v>2025</v>
      </c>
      <c r="D510" s="105" t="s">
        <v>490</v>
      </c>
      <c r="E510" s="119">
        <f>Table6[[#This Row],[Date]]-DAY(Table6[[#This Row],[Date]])+1</f>
        <v>45778</v>
      </c>
      <c r="F510" s="118">
        <v>45786</v>
      </c>
      <c r="G510" s="105" t="s">
        <v>147</v>
      </c>
      <c r="H510" s="39" t="str">
        <f>_xlfn.XLOOKUP(Table6[[#This Row],[Affected WTG]],'Basic Data'!$A:$A,'Basic Data'!$B:$B)</f>
        <v>PWEGPL</v>
      </c>
      <c r="I510" s="39" t="str">
        <f>_xlfn.XLOOKUP(Table6[[#This Row],[Affected WTG]],'Basic Data'!$A:$A,'Basic Data'!$C:$C)</f>
        <v>MSEDCL</v>
      </c>
      <c r="J510" s="345">
        <f>IFERROR(VLOOKUP(Table6[[#This Row],[Affected WTG]],'Basic Data'!$A$3:$E$56,5,0),"")</f>
        <v>2.564102564102564E-2</v>
      </c>
      <c r="K510" s="105" t="s">
        <v>487</v>
      </c>
      <c r="L510" s="39" t="str">
        <f>IFERROR(VLOOKUP(Table6[[#This Row],[Error Code]],'Basic Data'!$T:$U,2,0),"")</f>
        <v>General Work Stoppage</v>
      </c>
      <c r="M510" s="346" t="s">
        <v>479</v>
      </c>
      <c r="N510" s="39" t="s">
        <v>230</v>
      </c>
      <c r="O510" s="347">
        <v>0.46527777777777779</v>
      </c>
      <c r="P510" s="347">
        <v>0.46527777777777779</v>
      </c>
      <c r="Q510" s="347">
        <v>0.52083333333333337</v>
      </c>
      <c r="R510" s="348">
        <f>IF(Table6[[#This Row],[Work Start TimeStamp]]="","",(Table6[[#This Row],[Work Start TimeStamp]]-Table6[[#This Row],[Fault Start TimeStamp]])*24)</f>
        <v>0</v>
      </c>
      <c r="S510" s="349">
        <f>(Table6[[#This Row],[Fault Clearance time]]-Table6[[#This Row],[Work Start TimeStamp]])*24</f>
        <v>1.3333333333333339</v>
      </c>
      <c r="T510" s="350">
        <f>(Table6[[#This Row],[Fault Clearance time]]-Table6[[#This Row],[Fault Start TimeStamp]])*24</f>
        <v>1.3333333333333339</v>
      </c>
      <c r="U510" s="346" t="s">
        <v>589</v>
      </c>
      <c r="V510" s="351" t="s">
        <v>463</v>
      </c>
      <c r="W510" s="338">
        <f>Table6[[#This Row],[Breakdown Time]]*(1/39)</f>
        <v>3.4188034188034205E-2</v>
      </c>
      <c r="X510" s="336" t="s">
        <v>464</v>
      </c>
      <c r="Y510" s="352" t="s">
        <v>146</v>
      </c>
      <c r="Z510" s="105">
        <v>3593</v>
      </c>
      <c r="AA510" s="107">
        <v>199.6111111111112</v>
      </c>
      <c r="AB510" s="105" t="s">
        <v>478</v>
      </c>
    </row>
    <row r="511" spans="1:28">
      <c r="A511" s="105">
        <f t="shared" si="7"/>
        <v>510</v>
      </c>
      <c r="B511" s="107">
        <f>YEAR(Table6[[#This Row],[Date]])+IF(MONTH(Table6[[#This Row],[Date]])&gt;=4,1,0)</f>
        <v>2026</v>
      </c>
      <c r="C511" s="105">
        <f>YEAR(Table6[[#This Row],[Date]])</f>
        <v>2025</v>
      </c>
      <c r="D511" s="105" t="s">
        <v>490</v>
      </c>
      <c r="E511" s="119">
        <f>Table6[[#This Row],[Date]]-DAY(Table6[[#This Row],[Date]])+1</f>
        <v>45778</v>
      </c>
      <c r="F511" s="118">
        <v>45786</v>
      </c>
      <c r="G511" s="105" t="s">
        <v>150</v>
      </c>
      <c r="H511" s="39" t="str">
        <f>_xlfn.XLOOKUP(Table6[[#This Row],[Affected WTG]],'Basic Data'!$A:$A,'Basic Data'!$B:$B)</f>
        <v>PWEGPL</v>
      </c>
      <c r="I511" s="39" t="str">
        <f>_xlfn.XLOOKUP(Table6[[#This Row],[Affected WTG]],'Basic Data'!$A:$A,'Basic Data'!$C:$C)</f>
        <v>MSEDCL</v>
      </c>
      <c r="J511" s="345">
        <f>IFERROR(VLOOKUP(Table6[[#This Row],[Affected WTG]],'Basic Data'!$A$3:$E$56,5,0),"")</f>
        <v>2.564102564102564E-2</v>
      </c>
      <c r="K511" s="105">
        <v>1819</v>
      </c>
      <c r="L511" s="39" t="str">
        <f>IFERROR(VLOOKUP(Table6[[#This Row],[Error Code]],'Basic Data'!$T:$U,2,0),"")</f>
        <v>RC Filter Failure</v>
      </c>
      <c r="M511" s="346" t="s">
        <v>462</v>
      </c>
      <c r="N511" s="39" t="s">
        <v>1270</v>
      </c>
      <c r="O511" s="347">
        <v>0.6020833333333333</v>
      </c>
      <c r="P511" s="347">
        <v>0.62569444444444444</v>
      </c>
      <c r="Q511" s="347">
        <v>0.72916666666666663</v>
      </c>
      <c r="R511" s="348">
        <f>IF(Table6[[#This Row],[Work Start TimeStamp]]="","",(Table6[[#This Row],[Work Start TimeStamp]]-Table6[[#This Row],[Fault Start TimeStamp]])*24)</f>
        <v>0.56666666666666732</v>
      </c>
      <c r="S511" s="349">
        <f>(Table6[[#This Row],[Fault Clearance time]]-Table6[[#This Row],[Work Start TimeStamp]])*24</f>
        <v>2.4833333333333325</v>
      </c>
      <c r="T511" s="350">
        <f>(Table6[[#This Row],[Fault Clearance time]]-Table6[[#This Row],[Fault Start TimeStamp]])*24</f>
        <v>3.05</v>
      </c>
      <c r="U511" s="346" t="s">
        <v>590</v>
      </c>
      <c r="V511" s="351" t="s">
        <v>463</v>
      </c>
      <c r="W511" s="338">
        <f>Table6[[#This Row],[Breakdown Time]]*(1/39)</f>
        <v>7.8205128205128191E-2</v>
      </c>
      <c r="X511" s="336" t="s">
        <v>465</v>
      </c>
      <c r="Y511" s="352" t="s">
        <v>149</v>
      </c>
      <c r="Z511" s="105">
        <v>3578</v>
      </c>
      <c r="AA511" s="107">
        <v>454.70416666666665</v>
      </c>
      <c r="AB511" s="105" t="s">
        <v>478</v>
      </c>
    </row>
    <row r="512" spans="1:28">
      <c r="A512" s="105">
        <f t="shared" si="7"/>
        <v>511</v>
      </c>
      <c r="B512" s="107">
        <f>YEAR(Table6[[#This Row],[Date]])+IF(MONTH(Table6[[#This Row],[Date]])&gt;=4,1,0)</f>
        <v>2026</v>
      </c>
      <c r="C512" s="105">
        <f>YEAR(Table6[[#This Row],[Date]])</f>
        <v>2025</v>
      </c>
      <c r="D512" s="105" t="s">
        <v>490</v>
      </c>
      <c r="E512" s="119">
        <f>Table6[[#This Row],[Date]]-DAY(Table6[[#This Row],[Date]])+1</f>
        <v>45778</v>
      </c>
      <c r="F512" s="118">
        <v>45786</v>
      </c>
      <c r="G512" s="105" t="s">
        <v>152</v>
      </c>
      <c r="H512" s="39" t="str">
        <f>_xlfn.XLOOKUP(Table6[[#This Row],[Affected WTG]],'Basic Data'!$A:$A,'Basic Data'!$B:$B)</f>
        <v>PWEGPL</v>
      </c>
      <c r="I512" s="39" t="str">
        <f>_xlfn.XLOOKUP(Table6[[#This Row],[Affected WTG]],'Basic Data'!$A:$A,'Basic Data'!$C:$C)</f>
        <v>MSEDCL</v>
      </c>
      <c r="J512" s="345">
        <f>IFERROR(VLOOKUP(Table6[[#This Row],[Affected WTG]],'Basic Data'!$A$3:$E$56,5,0),"")</f>
        <v>2.564102564102564E-2</v>
      </c>
      <c r="K512" s="105" t="s">
        <v>487</v>
      </c>
      <c r="L512" s="39" t="str">
        <f>IFERROR(VLOOKUP(Table6[[#This Row],[Error Code]],'Basic Data'!$T:$U,2,0),"")</f>
        <v>General Work Stoppage</v>
      </c>
      <c r="M512" s="346" t="s">
        <v>479</v>
      </c>
      <c r="N512" s="39" t="s">
        <v>230</v>
      </c>
      <c r="O512" s="347">
        <v>0.47222222222222221</v>
      </c>
      <c r="P512" s="347">
        <v>0.47222222222222221</v>
      </c>
      <c r="Q512" s="347">
        <v>0.53125</v>
      </c>
      <c r="R512" s="348">
        <f>IF(Table6[[#This Row],[Work Start TimeStamp]]="","",(Table6[[#This Row],[Work Start TimeStamp]]-Table6[[#This Row],[Fault Start TimeStamp]])*24)</f>
        <v>0</v>
      </c>
      <c r="S512" s="349">
        <f>(Table6[[#This Row],[Fault Clearance time]]-Table6[[#This Row],[Work Start TimeStamp]])*24</f>
        <v>1.416666666666667</v>
      </c>
      <c r="T512" s="350">
        <f>(Table6[[#This Row],[Fault Clearance time]]-Table6[[#This Row],[Fault Start TimeStamp]])*24</f>
        <v>1.416666666666667</v>
      </c>
      <c r="U512" s="346" t="s">
        <v>589</v>
      </c>
      <c r="V512" s="351" t="s">
        <v>463</v>
      </c>
      <c r="W512" s="338">
        <f>Table6[[#This Row],[Breakdown Time]]*(1/39)</f>
        <v>3.6324786324786335E-2</v>
      </c>
      <c r="X512" s="336" t="s">
        <v>464</v>
      </c>
      <c r="Y512" s="352" t="s">
        <v>153</v>
      </c>
      <c r="Z512" s="105">
        <v>3566</v>
      </c>
      <c r="AA512" s="107">
        <v>210.4930555555556</v>
      </c>
      <c r="AB512" s="105" t="s">
        <v>478</v>
      </c>
    </row>
    <row r="513" spans="1:28">
      <c r="A513" s="105">
        <f t="shared" si="7"/>
        <v>512</v>
      </c>
      <c r="B513" s="107">
        <f>YEAR(Table6[[#This Row],[Date]])+IF(MONTH(Table6[[#This Row],[Date]])&gt;=4,1,0)</f>
        <v>2026</v>
      </c>
      <c r="C513" s="105">
        <f>YEAR(Table6[[#This Row],[Date]])</f>
        <v>2025</v>
      </c>
      <c r="D513" s="105" t="s">
        <v>490</v>
      </c>
      <c r="E513" s="119">
        <f>Table6[[#This Row],[Date]]-DAY(Table6[[#This Row],[Date]])+1</f>
        <v>45778</v>
      </c>
      <c r="F513" s="118">
        <v>45787</v>
      </c>
      <c r="G513" s="105" t="s">
        <v>144</v>
      </c>
      <c r="H513" s="39" t="str">
        <f>_xlfn.XLOOKUP(Table6[[#This Row],[Affected WTG]],'Basic Data'!$A:$A,'Basic Data'!$B:$B)</f>
        <v>PWEGPL</v>
      </c>
      <c r="I513" s="39" t="str">
        <f>_xlfn.XLOOKUP(Table6[[#This Row],[Affected WTG]],'Basic Data'!$A:$A,'Basic Data'!$C:$C)</f>
        <v>MSEDCL</v>
      </c>
      <c r="J513" s="345">
        <f>IFERROR(VLOOKUP(Table6[[#This Row],[Affected WTG]],'Basic Data'!$A$3:$E$56,5,0),"")</f>
        <v>2.564102564102564E-2</v>
      </c>
      <c r="K513" s="105" t="s">
        <v>492</v>
      </c>
      <c r="L513" s="39" t="str">
        <f>IFERROR(VLOOKUP(Table6[[#This Row],[Error Code]],'Basic Data'!$T:$U,2,0),"")</f>
        <v>Manual Stop - Safety Related</v>
      </c>
      <c r="M513" s="346" t="s">
        <v>481</v>
      </c>
      <c r="N513" s="39" t="s">
        <v>1269</v>
      </c>
      <c r="O513" s="347">
        <v>0</v>
      </c>
      <c r="P513" s="347">
        <v>0.99930555555555556</v>
      </c>
      <c r="Q513" s="347">
        <v>0.99930555555555556</v>
      </c>
      <c r="R513" s="348">
        <f>IF(Table6[[#This Row],[Work Start TimeStamp]]="","",(Table6[[#This Row],[Work Start TimeStamp]]-Table6[[#This Row],[Fault Start TimeStamp]])*24)</f>
        <v>23.983333333333334</v>
      </c>
      <c r="S513" s="349">
        <f>(Table6[[#This Row],[Fault Clearance time]]-Table6[[#This Row],[Work Start TimeStamp]])*24</f>
        <v>0</v>
      </c>
      <c r="T513" s="350">
        <f>(Table6[[#This Row],[Fault Clearance time]]-Table6[[#This Row],[Fault Start TimeStamp]])*24</f>
        <v>23.983333333333334</v>
      </c>
      <c r="U513" s="346" t="s">
        <v>498</v>
      </c>
      <c r="V513" s="351" t="s">
        <v>473</v>
      </c>
      <c r="W513" s="338">
        <f>Table6[[#This Row],[Breakdown Time]]*(1/39)</f>
        <v>0.61495726495726499</v>
      </c>
      <c r="X513" s="336" t="s">
        <v>468</v>
      </c>
      <c r="Y513" s="352" t="s">
        <v>141</v>
      </c>
      <c r="Z513" s="105">
        <v>4032</v>
      </c>
      <c r="AA513" s="107">
        <v>4029.2000000000003</v>
      </c>
      <c r="AB513" s="105" t="s">
        <v>478</v>
      </c>
    </row>
    <row r="514" spans="1:28">
      <c r="A514" s="105">
        <f t="shared" si="7"/>
        <v>513</v>
      </c>
      <c r="B514" s="107">
        <f>YEAR(Table6[[#This Row],[Date]])+IF(MONTH(Table6[[#This Row],[Date]])&gt;=4,1,0)</f>
        <v>2026</v>
      </c>
      <c r="C514" s="105">
        <f>YEAR(Table6[[#This Row],[Date]])</f>
        <v>2025</v>
      </c>
      <c r="D514" s="105" t="s">
        <v>490</v>
      </c>
      <c r="E514" s="119">
        <f>Table6[[#This Row],[Date]]-DAY(Table6[[#This Row],[Date]])+1</f>
        <v>45778</v>
      </c>
      <c r="F514" s="118">
        <v>45787</v>
      </c>
      <c r="G514" s="105" t="s">
        <v>142</v>
      </c>
      <c r="H514" s="39" t="str">
        <f>_xlfn.XLOOKUP(Table6[[#This Row],[Affected WTG]],'Basic Data'!$A:$A,'Basic Data'!$B:$B)</f>
        <v>PWEGPL</v>
      </c>
      <c r="I514" s="39" t="str">
        <f>_xlfn.XLOOKUP(Table6[[#This Row],[Affected WTG]],'Basic Data'!$A:$A,'Basic Data'!$C:$C)</f>
        <v>MSEDCL</v>
      </c>
      <c r="J514" s="345">
        <f>IFERROR(VLOOKUP(Table6[[#This Row],[Affected WTG]],'Basic Data'!$A$3:$E$56,5,0),"")</f>
        <v>2.564102564102564E-2</v>
      </c>
      <c r="K514" s="105" t="s">
        <v>492</v>
      </c>
      <c r="L514" s="39" t="str">
        <f>IFERROR(VLOOKUP(Table6[[#This Row],[Error Code]],'Basic Data'!$T:$U,2,0),"")</f>
        <v>Manual Stop - Safety Related</v>
      </c>
      <c r="M514" s="346" t="s">
        <v>481</v>
      </c>
      <c r="N514" s="39" t="s">
        <v>1269</v>
      </c>
      <c r="O514" s="347">
        <v>0</v>
      </c>
      <c r="P514" s="347">
        <v>0.99930555555555556</v>
      </c>
      <c r="Q514" s="347">
        <v>0.99930555555555556</v>
      </c>
      <c r="R514" s="348">
        <f>IF(Table6[[#This Row],[Work Start TimeStamp]]="","",(Table6[[#This Row],[Work Start TimeStamp]]-Table6[[#This Row],[Fault Start TimeStamp]])*24)</f>
        <v>23.983333333333334</v>
      </c>
      <c r="S514" s="349">
        <f>(Table6[[#This Row],[Fault Clearance time]]-Table6[[#This Row],[Work Start TimeStamp]])*24</f>
        <v>0</v>
      </c>
      <c r="T514" s="350">
        <f>(Table6[[#This Row],[Fault Clearance time]]-Table6[[#This Row],[Fault Start TimeStamp]])*24</f>
        <v>23.983333333333334</v>
      </c>
      <c r="U514" s="346" t="s">
        <v>498</v>
      </c>
      <c r="V514" s="351" t="s">
        <v>473</v>
      </c>
      <c r="W514" s="338">
        <f>Table6[[#This Row],[Breakdown Time]]*(1/39)</f>
        <v>0.61495726495726499</v>
      </c>
      <c r="X514" s="336" t="s">
        <v>468</v>
      </c>
      <c r="Y514" s="352" t="s">
        <v>141</v>
      </c>
      <c r="Z514" s="105">
        <v>4032</v>
      </c>
      <c r="AA514" s="107">
        <v>4029.2000000000003</v>
      </c>
      <c r="AB514" s="105" t="s">
        <v>478</v>
      </c>
    </row>
    <row r="515" spans="1:28">
      <c r="A515" s="105">
        <f t="shared" si="7"/>
        <v>514</v>
      </c>
      <c r="B515" s="107">
        <f>YEAR(Table6[[#This Row],[Date]])+IF(MONTH(Table6[[#This Row],[Date]])&gt;=4,1,0)</f>
        <v>2026</v>
      </c>
      <c r="C515" s="105">
        <f>YEAR(Table6[[#This Row],[Date]])</f>
        <v>2025</v>
      </c>
      <c r="D515" s="105" t="s">
        <v>490</v>
      </c>
      <c r="E515" s="119">
        <f>Table6[[#This Row],[Date]]-DAY(Table6[[#This Row],[Date]])+1</f>
        <v>45778</v>
      </c>
      <c r="F515" s="118">
        <v>45787</v>
      </c>
      <c r="G515" s="105" t="s">
        <v>118</v>
      </c>
      <c r="H515" s="39" t="str">
        <f>_xlfn.XLOOKUP(Table6[[#This Row],[Affected WTG]],'Basic Data'!$A:$A,'Basic Data'!$B:$B)</f>
        <v>PWEGPL</v>
      </c>
      <c r="I515" s="39" t="str">
        <f>_xlfn.XLOOKUP(Table6[[#This Row],[Affected WTG]],'Basic Data'!$A:$A,'Basic Data'!$C:$C)</f>
        <v>MSEDCL</v>
      </c>
      <c r="J515" s="345">
        <f>IFERROR(VLOOKUP(Table6[[#This Row],[Affected WTG]],'Basic Data'!$A$3:$E$56,5,0),"")</f>
        <v>2.564102564102564E-2</v>
      </c>
      <c r="K515" s="105">
        <v>222</v>
      </c>
      <c r="L515" s="39" t="str">
        <f>IFERROR(VLOOKUP(Table6[[#This Row],[Error Code]],'Basic Data'!$T:$U,2,0),"")</f>
        <v>Very Low Pressure On Hydraulic Unit</v>
      </c>
      <c r="M515" s="346" t="s">
        <v>462</v>
      </c>
      <c r="N515" s="39" t="s">
        <v>1270</v>
      </c>
      <c r="O515" s="347">
        <v>0.45694444444444443</v>
      </c>
      <c r="P515" s="347">
        <v>0.49305555555555558</v>
      </c>
      <c r="Q515" s="347">
        <v>0.99930555555555556</v>
      </c>
      <c r="R515" s="348">
        <f>IF(Table6[[#This Row],[Work Start TimeStamp]]="","",(Table6[[#This Row],[Work Start TimeStamp]]-Table6[[#This Row],[Fault Start TimeStamp]])*24)</f>
        <v>0.86666666666666758</v>
      </c>
      <c r="S515" s="349">
        <f>(Table6[[#This Row],[Fault Clearance time]]-Table6[[#This Row],[Work Start TimeStamp]])*24</f>
        <v>12.149999999999999</v>
      </c>
      <c r="T515" s="350">
        <f>(Table6[[#This Row],[Fault Clearance time]]-Table6[[#This Row],[Fault Start TimeStamp]])*24</f>
        <v>13.016666666666666</v>
      </c>
      <c r="U515" s="346" t="s">
        <v>500</v>
      </c>
      <c r="V515" s="351" t="s">
        <v>473</v>
      </c>
      <c r="W515" s="338">
        <f>Table6[[#This Row],[Breakdown Time]]*(1/39)</f>
        <v>0.33376068376068374</v>
      </c>
      <c r="X515" s="336" t="s">
        <v>465</v>
      </c>
      <c r="Y515" s="352" t="s">
        <v>117</v>
      </c>
      <c r="Z515" s="105">
        <v>6673</v>
      </c>
      <c r="AA515" s="107">
        <v>3619.1756944444446</v>
      </c>
      <c r="AB515" s="105" t="s">
        <v>478</v>
      </c>
    </row>
    <row r="516" spans="1:28">
      <c r="A516" s="105">
        <f t="shared" ref="A516:A579" si="8">A515+1</f>
        <v>515</v>
      </c>
      <c r="B516" s="107">
        <f>YEAR(Table6[[#This Row],[Date]])+IF(MONTH(Table6[[#This Row],[Date]])&gt;=4,1,0)</f>
        <v>2026</v>
      </c>
      <c r="C516" s="105">
        <f>YEAR(Table6[[#This Row],[Date]])</f>
        <v>2025</v>
      </c>
      <c r="D516" s="105" t="s">
        <v>490</v>
      </c>
      <c r="E516" s="119">
        <f>Table6[[#This Row],[Date]]-DAY(Table6[[#This Row],[Date]])+1</f>
        <v>45778</v>
      </c>
      <c r="F516" s="118">
        <v>45787</v>
      </c>
      <c r="G516" s="105" t="s">
        <v>123</v>
      </c>
      <c r="H516" s="39" t="str">
        <f>_xlfn.XLOOKUP(Table6[[#This Row],[Affected WTG]],'Basic Data'!$A:$A,'Basic Data'!$B:$B)</f>
        <v>PWEGPL</v>
      </c>
      <c r="I516" s="39" t="str">
        <f>_xlfn.XLOOKUP(Table6[[#This Row],[Affected WTG]],'Basic Data'!$A:$A,'Basic Data'!$C:$C)</f>
        <v>MSEDCL</v>
      </c>
      <c r="J516" s="345">
        <f>IFERROR(VLOOKUP(Table6[[#This Row],[Affected WTG]],'Basic Data'!$A$3:$E$56,5,0),"")</f>
        <v>2.564102564102564E-2</v>
      </c>
      <c r="K516" s="105">
        <v>800</v>
      </c>
      <c r="L516" s="39" t="str">
        <f>IFERROR(VLOOKUP(Table6[[#This Row],[Error Code]],'Basic Data'!$T:$U,2,0),"")</f>
        <v>Pitch Drive Error</v>
      </c>
      <c r="M516" s="346" t="s">
        <v>462</v>
      </c>
      <c r="N516" s="39" t="s">
        <v>1270</v>
      </c>
      <c r="O516" s="347">
        <v>0.68472222222222223</v>
      </c>
      <c r="P516" s="347">
        <v>0.70486111111111116</v>
      </c>
      <c r="Q516" s="347">
        <v>0.79027777777777775</v>
      </c>
      <c r="R516" s="348">
        <f>IF(Table6[[#This Row],[Work Start TimeStamp]]="","",(Table6[[#This Row],[Work Start TimeStamp]]-Table6[[#This Row],[Fault Start TimeStamp]])*24)</f>
        <v>0.48333333333333428</v>
      </c>
      <c r="S516" s="349">
        <f>(Table6[[#This Row],[Fault Clearance time]]-Table6[[#This Row],[Work Start TimeStamp]])*24</f>
        <v>2.049999999999998</v>
      </c>
      <c r="T516" s="350">
        <f>(Table6[[#This Row],[Fault Clearance time]]-Table6[[#This Row],[Fault Start TimeStamp]])*24</f>
        <v>2.5333333333333323</v>
      </c>
      <c r="U516" s="346" t="s">
        <v>591</v>
      </c>
      <c r="V516" s="351" t="s">
        <v>463</v>
      </c>
      <c r="W516" s="338">
        <f>Table6[[#This Row],[Breakdown Time]]*(1/39)</f>
        <v>6.4957264957264935E-2</v>
      </c>
      <c r="X516" s="336" t="s">
        <v>465</v>
      </c>
      <c r="Y516" s="352" t="s">
        <v>126</v>
      </c>
      <c r="Z516" s="105">
        <v>7043</v>
      </c>
      <c r="AA516" s="107">
        <v>743.42777777777746</v>
      </c>
      <c r="AB516" s="105" t="s">
        <v>478</v>
      </c>
    </row>
    <row r="517" spans="1:28">
      <c r="A517" s="105">
        <f t="shared" si="8"/>
        <v>516</v>
      </c>
      <c r="B517" s="107">
        <f>YEAR(Table6[[#This Row],[Date]])+IF(MONTH(Table6[[#This Row],[Date]])&gt;=4,1,0)</f>
        <v>2026</v>
      </c>
      <c r="C517" s="105">
        <f>YEAR(Table6[[#This Row],[Date]])</f>
        <v>2025</v>
      </c>
      <c r="D517" s="105" t="s">
        <v>490</v>
      </c>
      <c r="E517" s="119">
        <f>Table6[[#This Row],[Date]]-DAY(Table6[[#This Row],[Date]])+1</f>
        <v>45778</v>
      </c>
      <c r="F517" s="118">
        <v>45788</v>
      </c>
      <c r="G517" s="105" t="s">
        <v>144</v>
      </c>
      <c r="H517" s="39" t="str">
        <f>_xlfn.XLOOKUP(Table6[[#This Row],[Affected WTG]],'Basic Data'!$A:$A,'Basic Data'!$B:$B)</f>
        <v>PWEGPL</v>
      </c>
      <c r="I517" s="39" t="str">
        <f>_xlfn.XLOOKUP(Table6[[#This Row],[Affected WTG]],'Basic Data'!$A:$A,'Basic Data'!$C:$C)</f>
        <v>MSEDCL</v>
      </c>
      <c r="J517" s="345">
        <f>IFERROR(VLOOKUP(Table6[[#This Row],[Affected WTG]],'Basic Data'!$A$3:$E$56,5,0),"")</f>
        <v>2.564102564102564E-2</v>
      </c>
      <c r="K517" s="105" t="s">
        <v>492</v>
      </c>
      <c r="L517" s="39" t="str">
        <f>IFERROR(VLOOKUP(Table6[[#This Row],[Error Code]],'Basic Data'!$T:$U,2,0),"")</f>
        <v>Manual Stop - Safety Related</v>
      </c>
      <c r="M517" s="346" t="s">
        <v>481</v>
      </c>
      <c r="N517" s="39" t="s">
        <v>1269</v>
      </c>
      <c r="O517" s="347">
        <v>0</v>
      </c>
      <c r="P517" s="347">
        <v>0.99930555555555556</v>
      </c>
      <c r="Q517" s="347">
        <v>0.99930555555555556</v>
      </c>
      <c r="R517" s="348">
        <f>IF(Table6[[#This Row],[Work Start TimeStamp]]="","",(Table6[[#This Row],[Work Start TimeStamp]]-Table6[[#This Row],[Fault Start TimeStamp]])*24)</f>
        <v>23.983333333333334</v>
      </c>
      <c r="S517" s="349">
        <f>(Table6[[#This Row],[Fault Clearance time]]-Table6[[#This Row],[Work Start TimeStamp]])*24</f>
        <v>0</v>
      </c>
      <c r="T517" s="350">
        <f>(Table6[[#This Row],[Fault Clearance time]]-Table6[[#This Row],[Fault Start TimeStamp]])*24</f>
        <v>23.983333333333334</v>
      </c>
      <c r="U517" s="346" t="s">
        <v>498</v>
      </c>
      <c r="V517" s="351" t="s">
        <v>473</v>
      </c>
      <c r="W517" s="338">
        <f>Table6[[#This Row],[Breakdown Time]]*(1/39)</f>
        <v>0.61495726495726499</v>
      </c>
      <c r="X517" s="336" t="s">
        <v>468</v>
      </c>
      <c r="Y517" s="352" t="s">
        <v>141</v>
      </c>
      <c r="Z517" s="105">
        <v>8517</v>
      </c>
      <c r="AA517" s="107">
        <v>8511.0854166666668</v>
      </c>
      <c r="AB517" s="105" t="s">
        <v>478</v>
      </c>
    </row>
    <row r="518" spans="1:28">
      <c r="A518" s="105">
        <f t="shared" si="8"/>
        <v>517</v>
      </c>
      <c r="B518" s="107">
        <f>YEAR(Table6[[#This Row],[Date]])+IF(MONTH(Table6[[#This Row],[Date]])&gt;=4,1,0)</f>
        <v>2026</v>
      </c>
      <c r="C518" s="105">
        <f>YEAR(Table6[[#This Row],[Date]])</f>
        <v>2025</v>
      </c>
      <c r="D518" s="105" t="s">
        <v>490</v>
      </c>
      <c r="E518" s="119">
        <f>Table6[[#This Row],[Date]]-DAY(Table6[[#This Row],[Date]])+1</f>
        <v>45778</v>
      </c>
      <c r="F518" s="118">
        <v>45788</v>
      </c>
      <c r="G518" s="105" t="s">
        <v>142</v>
      </c>
      <c r="H518" s="39" t="str">
        <f>_xlfn.XLOOKUP(Table6[[#This Row],[Affected WTG]],'Basic Data'!$A:$A,'Basic Data'!$B:$B)</f>
        <v>PWEGPL</v>
      </c>
      <c r="I518" s="39" t="str">
        <f>_xlfn.XLOOKUP(Table6[[#This Row],[Affected WTG]],'Basic Data'!$A:$A,'Basic Data'!$C:$C)</f>
        <v>MSEDCL</v>
      </c>
      <c r="J518" s="345">
        <f>IFERROR(VLOOKUP(Table6[[#This Row],[Affected WTG]],'Basic Data'!$A$3:$E$56,5,0),"")</f>
        <v>2.564102564102564E-2</v>
      </c>
      <c r="K518" s="105" t="s">
        <v>492</v>
      </c>
      <c r="L518" s="39" t="str">
        <f>IFERROR(VLOOKUP(Table6[[#This Row],[Error Code]],'Basic Data'!$T:$U,2,0),"")</f>
        <v>Manual Stop - Safety Related</v>
      </c>
      <c r="M518" s="346" t="s">
        <v>481</v>
      </c>
      <c r="N518" s="39" t="s">
        <v>1269</v>
      </c>
      <c r="O518" s="347">
        <v>0</v>
      </c>
      <c r="P518" s="347">
        <v>0.99930555555555556</v>
      </c>
      <c r="Q518" s="347">
        <v>0.99930555555555556</v>
      </c>
      <c r="R518" s="348">
        <f>IF(Table6[[#This Row],[Work Start TimeStamp]]="","",(Table6[[#This Row],[Work Start TimeStamp]]-Table6[[#This Row],[Fault Start TimeStamp]])*24)</f>
        <v>23.983333333333334</v>
      </c>
      <c r="S518" s="349">
        <f>(Table6[[#This Row],[Fault Clearance time]]-Table6[[#This Row],[Work Start TimeStamp]])*24</f>
        <v>0</v>
      </c>
      <c r="T518" s="350">
        <f>(Table6[[#This Row],[Fault Clearance time]]-Table6[[#This Row],[Fault Start TimeStamp]])*24</f>
        <v>23.983333333333334</v>
      </c>
      <c r="U518" s="346" t="s">
        <v>498</v>
      </c>
      <c r="V518" s="351" t="s">
        <v>473</v>
      </c>
      <c r="W518" s="338">
        <f>Table6[[#This Row],[Breakdown Time]]*(1/39)</f>
        <v>0.61495726495726499</v>
      </c>
      <c r="X518" s="336" t="s">
        <v>468</v>
      </c>
      <c r="Y518" s="352" t="s">
        <v>141</v>
      </c>
      <c r="Z518" s="105">
        <v>8517</v>
      </c>
      <c r="AA518" s="107">
        <v>8511.0854166666668</v>
      </c>
      <c r="AB518" s="105" t="s">
        <v>478</v>
      </c>
    </row>
    <row r="519" spans="1:28">
      <c r="A519" s="105">
        <f t="shared" si="8"/>
        <v>518</v>
      </c>
      <c r="B519" s="107">
        <f>YEAR(Table6[[#This Row],[Date]])+IF(MONTH(Table6[[#This Row],[Date]])&gt;=4,1,0)</f>
        <v>2026</v>
      </c>
      <c r="C519" s="105">
        <f>YEAR(Table6[[#This Row],[Date]])</f>
        <v>2025</v>
      </c>
      <c r="D519" s="105" t="s">
        <v>490</v>
      </c>
      <c r="E519" s="119">
        <f>Table6[[#This Row],[Date]]-DAY(Table6[[#This Row],[Date]])+1</f>
        <v>45778</v>
      </c>
      <c r="F519" s="118">
        <v>45788</v>
      </c>
      <c r="G519" s="105" t="s">
        <v>118</v>
      </c>
      <c r="H519" s="39" t="str">
        <f>_xlfn.XLOOKUP(Table6[[#This Row],[Affected WTG]],'Basic Data'!$A:$A,'Basic Data'!$B:$B)</f>
        <v>PWEGPL</v>
      </c>
      <c r="I519" s="39" t="str">
        <f>_xlfn.XLOOKUP(Table6[[#This Row],[Affected WTG]],'Basic Data'!$A:$A,'Basic Data'!$C:$C)</f>
        <v>MSEDCL</v>
      </c>
      <c r="J519" s="345">
        <f>IFERROR(VLOOKUP(Table6[[#This Row],[Affected WTG]],'Basic Data'!$A$3:$E$56,5,0),"")</f>
        <v>2.564102564102564E-2</v>
      </c>
      <c r="K519" s="105">
        <v>222</v>
      </c>
      <c r="L519" s="39" t="str">
        <f>IFERROR(VLOOKUP(Table6[[#This Row],[Error Code]],'Basic Data'!$T:$U,2,0),"")</f>
        <v>Very Low Pressure On Hydraulic Unit</v>
      </c>
      <c r="M519" s="346" t="s">
        <v>462</v>
      </c>
      <c r="N519" s="39" t="s">
        <v>1270</v>
      </c>
      <c r="O519" s="347">
        <v>0</v>
      </c>
      <c r="P519" s="347">
        <v>0.51249999999999996</v>
      </c>
      <c r="Q519" s="347">
        <v>0.5708333333333333</v>
      </c>
      <c r="R519" s="348">
        <f>IF(Table6[[#This Row],[Work Start TimeStamp]]="","",(Table6[[#This Row],[Work Start TimeStamp]]-Table6[[#This Row],[Fault Start TimeStamp]])*24)</f>
        <v>12.299999999999999</v>
      </c>
      <c r="S519" s="349">
        <f>(Table6[[#This Row],[Fault Clearance time]]-Table6[[#This Row],[Work Start TimeStamp]])*24</f>
        <v>1.4000000000000004</v>
      </c>
      <c r="T519" s="350">
        <f>(Table6[[#This Row],[Fault Clearance time]]-Table6[[#This Row],[Fault Start TimeStamp]])*24</f>
        <v>13.7</v>
      </c>
      <c r="U519" s="346" t="s">
        <v>592</v>
      </c>
      <c r="V519" s="351" t="s">
        <v>463</v>
      </c>
      <c r="W519" s="338">
        <f>Table6[[#This Row],[Breakdown Time]]*(1/39)</f>
        <v>0.35128205128205126</v>
      </c>
      <c r="X519" s="336" t="s">
        <v>465</v>
      </c>
      <c r="Y519" s="352" t="s">
        <v>117</v>
      </c>
      <c r="Z519" s="105">
        <v>12116</v>
      </c>
      <c r="AA519" s="107">
        <v>6916.2166666666662</v>
      </c>
      <c r="AB519" s="105" t="s">
        <v>478</v>
      </c>
    </row>
    <row r="520" spans="1:28">
      <c r="A520" s="105">
        <f t="shared" si="8"/>
        <v>519</v>
      </c>
      <c r="B520" s="107">
        <f>YEAR(Table6[[#This Row],[Date]])+IF(MONTH(Table6[[#This Row],[Date]])&gt;=4,1,0)</f>
        <v>2026</v>
      </c>
      <c r="C520" s="105">
        <f>YEAR(Table6[[#This Row],[Date]])</f>
        <v>2025</v>
      </c>
      <c r="D520" s="105" t="s">
        <v>490</v>
      </c>
      <c r="E520" s="119">
        <f>Table6[[#This Row],[Date]]-DAY(Table6[[#This Row],[Date]])+1</f>
        <v>45778</v>
      </c>
      <c r="F520" s="118">
        <v>45788</v>
      </c>
      <c r="G520" s="105" t="s">
        <v>135</v>
      </c>
      <c r="H520" s="39" t="str">
        <f>_xlfn.XLOOKUP(Table6[[#This Row],[Affected WTG]],'Basic Data'!$A:$A,'Basic Data'!$B:$B)</f>
        <v>PWEGPL</v>
      </c>
      <c r="I520" s="39" t="str">
        <f>_xlfn.XLOOKUP(Table6[[#This Row],[Affected WTG]],'Basic Data'!$A:$A,'Basic Data'!$C:$C)</f>
        <v>MSEDCL</v>
      </c>
      <c r="J520" s="345">
        <f>IFERROR(VLOOKUP(Table6[[#This Row],[Affected WTG]],'Basic Data'!$A$3:$E$56,5,0),"")</f>
        <v>2.564102564102564E-2</v>
      </c>
      <c r="K520" s="105">
        <v>5228</v>
      </c>
      <c r="L520" s="39" t="str">
        <f>IFERROR(VLOOKUP(Table6[[#This Row],[Error Code]],'Basic Data'!$T:$U,2,0),"")</f>
        <v>Preload Failure</v>
      </c>
      <c r="M520" s="346" t="s">
        <v>462</v>
      </c>
      <c r="N520" s="39" t="s">
        <v>1270</v>
      </c>
      <c r="O520" s="347">
        <v>0.35416666666666669</v>
      </c>
      <c r="P520" s="347">
        <v>0.4236111111111111</v>
      </c>
      <c r="Q520" s="347">
        <v>0.99930555555555556</v>
      </c>
      <c r="R520" s="348">
        <f>IF(Table6[[#This Row],[Work Start TimeStamp]]="","",(Table6[[#This Row],[Work Start TimeStamp]]-Table6[[#This Row],[Fault Start TimeStamp]])*24)</f>
        <v>1.6666666666666661</v>
      </c>
      <c r="S520" s="349">
        <f>(Table6[[#This Row],[Fault Clearance time]]-Table6[[#This Row],[Work Start TimeStamp]])*24</f>
        <v>13.816666666666668</v>
      </c>
      <c r="T520" s="350">
        <f>(Table6[[#This Row],[Fault Clearance time]]-Table6[[#This Row],[Fault Start TimeStamp]])*24</f>
        <v>15.483333333333334</v>
      </c>
      <c r="U520" s="346" t="s">
        <v>593</v>
      </c>
      <c r="V520" s="351" t="s">
        <v>473</v>
      </c>
      <c r="W520" s="338">
        <f>Table6[[#This Row],[Breakdown Time]]*(1/39)</f>
        <v>0.39700854700854704</v>
      </c>
      <c r="X520" s="336" t="s">
        <v>465</v>
      </c>
      <c r="Y520" s="352" t="s">
        <v>136</v>
      </c>
      <c r="Z520" s="105">
        <v>8658</v>
      </c>
      <c r="AA520" s="107">
        <v>5585.6125000000002</v>
      </c>
      <c r="AB520" s="105" t="s">
        <v>478</v>
      </c>
    </row>
    <row r="521" spans="1:28">
      <c r="A521" s="105">
        <f t="shared" si="8"/>
        <v>520</v>
      </c>
      <c r="B521" s="107">
        <f>YEAR(Table6[[#This Row],[Date]])+IF(MONTH(Table6[[#This Row],[Date]])&gt;=4,1,0)</f>
        <v>2026</v>
      </c>
      <c r="C521" s="105">
        <f>YEAR(Table6[[#This Row],[Date]])</f>
        <v>2025</v>
      </c>
      <c r="D521" s="105" t="s">
        <v>490</v>
      </c>
      <c r="E521" s="119">
        <f>Table6[[#This Row],[Date]]-DAY(Table6[[#This Row],[Date]])+1</f>
        <v>45778</v>
      </c>
      <c r="F521" s="118">
        <v>45788</v>
      </c>
      <c r="G521" s="105" t="s">
        <v>137</v>
      </c>
      <c r="H521" s="39" t="str">
        <f>_xlfn.XLOOKUP(Table6[[#This Row],[Affected WTG]],'Basic Data'!$A:$A,'Basic Data'!$B:$B)</f>
        <v>PWEGPL</v>
      </c>
      <c r="I521" s="39" t="str">
        <f>_xlfn.XLOOKUP(Table6[[#This Row],[Affected WTG]],'Basic Data'!$A:$A,'Basic Data'!$C:$C)</f>
        <v>MSEDCL</v>
      </c>
      <c r="J521" s="345">
        <f>IFERROR(VLOOKUP(Table6[[#This Row],[Affected WTG]],'Basic Data'!$A$3:$E$56,5,0),"")</f>
        <v>2.564102564102564E-2</v>
      </c>
      <c r="K521" s="105">
        <v>2118</v>
      </c>
      <c r="L521" s="39" t="str">
        <f>IFERROR(VLOOKUP(Table6[[#This Row],[Error Code]],'Basic Data'!$T:$U,2,0),"")</f>
        <v>Bus Error - Interbus Failure</v>
      </c>
      <c r="M521" s="346" t="s">
        <v>462</v>
      </c>
      <c r="N521" s="39" t="s">
        <v>1270</v>
      </c>
      <c r="O521" s="347">
        <v>0.4375</v>
      </c>
      <c r="P521" s="347">
        <v>0.46875</v>
      </c>
      <c r="Q521" s="347">
        <v>0.96111111111111114</v>
      </c>
      <c r="R521" s="348">
        <f>IF(Table6[[#This Row],[Work Start TimeStamp]]="","",(Table6[[#This Row],[Work Start TimeStamp]]-Table6[[#This Row],[Fault Start TimeStamp]])*24)</f>
        <v>0.75</v>
      </c>
      <c r="S521" s="349">
        <f>(Table6[[#This Row],[Fault Clearance time]]-Table6[[#This Row],[Work Start TimeStamp]])*24</f>
        <v>11.816666666666666</v>
      </c>
      <c r="T521" s="350">
        <f>(Table6[[#This Row],[Fault Clearance time]]-Table6[[#This Row],[Fault Start TimeStamp]])*24</f>
        <v>12.566666666666666</v>
      </c>
      <c r="U521" s="346" t="s">
        <v>594</v>
      </c>
      <c r="V521" s="351" t="s">
        <v>463</v>
      </c>
      <c r="W521" s="338">
        <f>Table6[[#This Row],[Breakdown Time]]*(1/39)</f>
        <v>0.32222222222222219</v>
      </c>
      <c r="X521" s="336" t="s">
        <v>465</v>
      </c>
      <c r="Y521" s="352" t="s">
        <v>136</v>
      </c>
      <c r="Z521" s="105">
        <v>8658</v>
      </c>
      <c r="AA521" s="107">
        <v>4533.4250000000002</v>
      </c>
      <c r="AB521" s="105" t="s">
        <v>478</v>
      </c>
    </row>
    <row r="522" spans="1:28">
      <c r="A522" s="105">
        <f t="shared" si="8"/>
        <v>521</v>
      </c>
      <c r="B522" s="107">
        <f>YEAR(Table6[[#This Row],[Date]])+IF(MONTH(Table6[[#This Row],[Date]])&gt;=4,1,0)</f>
        <v>2026</v>
      </c>
      <c r="C522" s="105">
        <f>YEAR(Table6[[#This Row],[Date]])</f>
        <v>2025</v>
      </c>
      <c r="D522" s="105" t="s">
        <v>490</v>
      </c>
      <c r="E522" s="119">
        <f>Table6[[#This Row],[Date]]-DAY(Table6[[#This Row],[Date]])+1</f>
        <v>45778</v>
      </c>
      <c r="F522" s="118">
        <v>45789</v>
      </c>
      <c r="G522" s="105" t="s">
        <v>144</v>
      </c>
      <c r="H522" s="39" t="str">
        <f>_xlfn.XLOOKUP(Table6[[#This Row],[Affected WTG]],'Basic Data'!$A:$A,'Basic Data'!$B:$B)</f>
        <v>PWEGPL</v>
      </c>
      <c r="I522" s="39" t="str">
        <f>_xlfn.XLOOKUP(Table6[[#This Row],[Affected WTG]],'Basic Data'!$A:$A,'Basic Data'!$C:$C)</f>
        <v>MSEDCL</v>
      </c>
      <c r="J522" s="345">
        <f>IFERROR(VLOOKUP(Table6[[#This Row],[Affected WTG]],'Basic Data'!$A$3:$E$56,5,0),"")</f>
        <v>2.564102564102564E-2</v>
      </c>
      <c r="K522" s="105" t="s">
        <v>492</v>
      </c>
      <c r="L522" s="39" t="str">
        <f>IFERROR(VLOOKUP(Table6[[#This Row],[Error Code]],'Basic Data'!$T:$U,2,0),"")</f>
        <v>Manual Stop - Safety Related</v>
      </c>
      <c r="M522" s="346" t="s">
        <v>481</v>
      </c>
      <c r="N522" s="39" t="s">
        <v>1269</v>
      </c>
      <c r="O522" s="347">
        <v>0</v>
      </c>
      <c r="P522" s="347">
        <v>0.99930555555555556</v>
      </c>
      <c r="Q522" s="347">
        <v>0.99930555555555556</v>
      </c>
      <c r="R522" s="348">
        <f>IF(Table6[[#This Row],[Work Start TimeStamp]]="","",(Table6[[#This Row],[Work Start TimeStamp]]-Table6[[#This Row],[Fault Start TimeStamp]])*24)</f>
        <v>23.983333333333334</v>
      </c>
      <c r="S522" s="349">
        <f>(Table6[[#This Row],[Fault Clearance time]]-Table6[[#This Row],[Work Start TimeStamp]])*24</f>
        <v>0</v>
      </c>
      <c r="T522" s="350">
        <f>(Table6[[#This Row],[Fault Clearance time]]-Table6[[#This Row],[Fault Start TimeStamp]])*24</f>
        <v>23.983333333333334</v>
      </c>
      <c r="U522" s="346" t="s">
        <v>498</v>
      </c>
      <c r="V522" s="351" t="s">
        <v>473</v>
      </c>
      <c r="W522" s="338">
        <f>Table6[[#This Row],[Breakdown Time]]*(1/39)</f>
        <v>0.61495726495726499</v>
      </c>
      <c r="X522" s="336" t="s">
        <v>468</v>
      </c>
      <c r="Y522" s="352" t="s">
        <v>141</v>
      </c>
      <c r="Z522" s="105">
        <v>4215</v>
      </c>
      <c r="AA522" s="107">
        <v>4212.072916666667</v>
      </c>
      <c r="AB522" s="105" t="s">
        <v>478</v>
      </c>
    </row>
    <row r="523" spans="1:28">
      <c r="A523" s="105">
        <f t="shared" si="8"/>
        <v>522</v>
      </c>
      <c r="B523" s="107">
        <f>YEAR(Table6[[#This Row],[Date]])+IF(MONTH(Table6[[#This Row],[Date]])&gt;=4,1,0)</f>
        <v>2026</v>
      </c>
      <c r="C523" s="105">
        <f>YEAR(Table6[[#This Row],[Date]])</f>
        <v>2025</v>
      </c>
      <c r="D523" s="105" t="s">
        <v>490</v>
      </c>
      <c r="E523" s="119">
        <f>Table6[[#This Row],[Date]]-DAY(Table6[[#This Row],[Date]])+1</f>
        <v>45778</v>
      </c>
      <c r="F523" s="118">
        <v>45789</v>
      </c>
      <c r="G523" s="105" t="s">
        <v>142</v>
      </c>
      <c r="H523" s="39" t="str">
        <f>_xlfn.XLOOKUP(Table6[[#This Row],[Affected WTG]],'Basic Data'!$A:$A,'Basic Data'!$B:$B)</f>
        <v>PWEGPL</v>
      </c>
      <c r="I523" s="39" t="str">
        <f>_xlfn.XLOOKUP(Table6[[#This Row],[Affected WTG]],'Basic Data'!$A:$A,'Basic Data'!$C:$C)</f>
        <v>MSEDCL</v>
      </c>
      <c r="J523" s="345">
        <f>IFERROR(VLOOKUP(Table6[[#This Row],[Affected WTG]],'Basic Data'!$A$3:$E$56,5,0),"")</f>
        <v>2.564102564102564E-2</v>
      </c>
      <c r="K523" s="105" t="s">
        <v>492</v>
      </c>
      <c r="L523" s="39" t="str">
        <f>IFERROR(VLOOKUP(Table6[[#This Row],[Error Code]],'Basic Data'!$T:$U,2,0),"")</f>
        <v>Manual Stop - Safety Related</v>
      </c>
      <c r="M523" s="346" t="s">
        <v>481</v>
      </c>
      <c r="N523" s="39" t="s">
        <v>1269</v>
      </c>
      <c r="O523" s="347">
        <v>0</v>
      </c>
      <c r="P523" s="347">
        <v>0.99930555555555556</v>
      </c>
      <c r="Q523" s="347">
        <v>0.99930555555555556</v>
      </c>
      <c r="R523" s="348">
        <f>IF(Table6[[#This Row],[Work Start TimeStamp]]="","",(Table6[[#This Row],[Work Start TimeStamp]]-Table6[[#This Row],[Fault Start TimeStamp]])*24)</f>
        <v>23.983333333333334</v>
      </c>
      <c r="S523" s="349">
        <f>(Table6[[#This Row],[Fault Clearance time]]-Table6[[#This Row],[Work Start TimeStamp]])*24</f>
        <v>0</v>
      </c>
      <c r="T523" s="350">
        <f>(Table6[[#This Row],[Fault Clearance time]]-Table6[[#This Row],[Fault Start TimeStamp]])*24</f>
        <v>23.983333333333334</v>
      </c>
      <c r="U523" s="346" t="s">
        <v>498</v>
      </c>
      <c r="V523" s="351" t="s">
        <v>473</v>
      </c>
      <c r="W523" s="338">
        <f>Table6[[#This Row],[Breakdown Time]]*(1/39)</f>
        <v>0.61495726495726499</v>
      </c>
      <c r="X523" s="336" t="s">
        <v>468</v>
      </c>
      <c r="Y523" s="352" t="s">
        <v>141</v>
      </c>
      <c r="Z523" s="105">
        <v>4215</v>
      </c>
      <c r="AA523" s="107">
        <v>4212.072916666667</v>
      </c>
      <c r="AB523" s="105" t="s">
        <v>478</v>
      </c>
    </row>
    <row r="524" spans="1:28">
      <c r="A524" s="105">
        <f t="shared" si="8"/>
        <v>523</v>
      </c>
      <c r="B524" s="107">
        <f>YEAR(Table6[[#This Row],[Date]])+IF(MONTH(Table6[[#This Row],[Date]])&gt;=4,1,0)</f>
        <v>2026</v>
      </c>
      <c r="C524" s="105">
        <f>YEAR(Table6[[#This Row],[Date]])</f>
        <v>2025</v>
      </c>
      <c r="D524" s="105" t="s">
        <v>490</v>
      </c>
      <c r="E524" s="119">
        <f>Table6[[#This Row],[Date]]-DAY(Table6[[#This Row],[Date]])+1</f>
        <v>45778</v>
      </c>
      <c r="F524" s="118">
        <v>45789</v>
      </c>
      <c r="G524" s="105" t="s">
        <v>118</v>
      </c>
      <c r="H524" s="39" t="str">
        <f>_xlfn.XLOOKUP(Table6[[#This Row],[Affected WTG]],'Basic Data'!$A:$A,'Basic Data'!$B:$B)</f>
        <v>PWEGPL</v>
      </c>
      <c r="I524" s="39" t="str">
        <f>_xlfn.XLOOKUP(Table6[[#This Row],[Affected WTG]],'Basic Data'!$A:$A,'Basic Data'!$C:$C)</f>
        <v>MSEDCL</v>
      </c>
      <c r="J524" s="345">
        <f>IFERROR(VLOOKUP(Table6[[#This Row],[Affected WTG]],'Basic Data'!$A$3:$E$56,5,0),"")</f>
        <v>2.564102564102564E-2</v>
      </c>
      <c r="K524" s="105">
        <v>222</v>
      </c>
      <c r="L524" s="39" t="str">
        <f>IFERROR(VLOOKUP(Table6[[#This Row],[Error Code]],'Basic Data'!$T:$U,2,0),"")</f>
        <v>Very Low Pressure On Hydraulic Unit</v>
      </c>
      <c r="M524" s="346" t="s">
        <v>462</v>
      </c>
      <c r="N524" s="39" t="s">
        <v>1270</v>
      </c>
      <c r="O524" s="347">
        <v>0.38611111111111113</v>
      </c>
      <c r="P524" s="347">
        <v>0.49791666666666667</v>
      </c>
      <c r="Q524" s="347">
        <v>0.5708333333333333</v>
      </c>
      <c r="R524" s="348">
        <f>IF(Table6[[#This Row],[Work Start TimeStamp]]="","",(Table6[[#This Row],[Work Start TimeStamp]]-Table6[[#This Row],[Fault Start TimeStamp]])*24)</f>
        <v>2.6833333333333331</v>
      </c>
      <c r="S524" s="349">
        <f>(Table6[[#This Row],[Fault Clearance time]]-Table6[[#This Row],[Work Start TimeStamp]])*24</f>
        <v>1.7499999999999991</v>
      </c>
      <c r="T524" s="350">
        <f>(Table6[[#This Row],[Fault Clearance time]]-Table6[[#This Row],[Fault Start TimeStamp]])*24</f>
        <v>4.4333333333333318</v>
      </c>
      <c r="U524" s="346" t="s">
        <v>595</v>
      </c>
      <c r="V524" s="351" t="s">
        <v>463</v>
      </c>
      <c r="W524" s="338">
        <f>Table6[[#This Row],[Breakdown Time]]*(1/39)</f>
        <v>0.11367521367521363</v>
      </c>
      <c r="X524" s="336" t="s">
        <v>465</v>
      </c>
      <c r="Y524" s="352" t="s">
        <v>121</v>
      </c>
      <c r="Z524" s="105">
        <v>3109</v>
      </c>
      <c r="AA524" s="107">
        <v>574.3013888888886</v>
      </c>
      <c r="AB524" s="105" t="s">
        <v>478</v>
      </c>
    </row>
    <row r="525" spans="1:28">
      <c r="A525" s="105">
        <f t="shared" si="8"/>
        <v>524</v>
      </c>
      <c r="B525" s="107">
        <f>YEAR(Table6[[#This Row],[Date]])+IF(MONTH(Table6[[#This Row],[Date]])&gt;=4,1,0)</f>
        <v>2026</v>
      </c>
      <c r="C525" s="105">
        <f>YEAR(Table6[[#This Row],[Date]])</f>
        <v>2025</v>
      </c>
      <c r="D525" s="105" t="s">
        <v>490</v>
      </c>
      <c r="E525" s="119">
        <f>Table6[[#This Row],[Date]]-DAY(Table6[[#This Row],[Date]])+1</f>
        <v>45778</v>
      </c>
      <c r="F525" s="118">
        <v>45789</v>
      </c>
      <c r="G525" s="105" t="s">
        <v>117</v>
      </c>
      <c r="H525" s="39" t="str">
        <f>_xlfn.XLOOKUP(Table6[[#This Row],[Affected WTG]],'Basic Data'!$A:$A,'Basic Data'!$B:$B)</f>
        <v>PWEGPL</v>
      </c>
      <c r="I525" s="39" t="str">
        <f>_xlfn.XLOOKUP(Table6[[#This Row],[Affected WTG]],'Basic Data'!$A:$A,'Basic Data'!$C:$C)</f>
        <v>MSEDCL</v>
      </c>
      <c r="J525" s="345">
        <f>IFERROR(VLOOKUP(Table6[[#This Row],[Affected WTG]],'Basic Data'!$A$3:$E$56,5,0),"")</f>
        <v>2.564102564102564E-2</v>
      </c>
      <c r="K525" s="105" t="s">
        <v>492</v>
      </c>
      <c r="L525" s="39" t="str">
        <f>IFERROR(VLOOKUP(Table6[[#This Row],[Error Code]],'Basic Data'!$T:$U,2,0),"")</f>
        <v>Manual Stop - Safety Related</v>
      </c>
      <c r="M525" s="346" t="s">
        <v>481</v>
      </c>
      <c r="N525" s="39" t="s">
        <v>230</v>
      </c>
      <c r="O525" s="347">
        <v>0.47222222222222221</v>
      </c>
      <c r="P525" s="347">
        <v>0.47222222222222221</v>
      </c>
      <c r="Q525" s="347">
        <v>0.56597222222222221</v>
      </c>
      <c r="R525" s="348">
        <f>IF(Table6[[#This Row],[Work Start TimeStamp]]="","",(Table6[[#This Row],[Work Start TimeStamp]]-Table6[[#This Row],[Fault Start TimeStamp]])*24)</f>
        <v>0</v>
      </c>
      <c r="S525" s="349">
        <f>(Table6[[#This Row],[Fault Clearance time]]-Table6[[#This Row],[Work Start TimeStamp]])*24</f>
        <v>2.25</v>
      </c>
      <c r="T525" s="350">
        <f>(Table6[[#This Row],[Fault Clearance time]]-Table6[[#This Row],[Fault Start TimeStamp]])*24</f>
        <v>2.25</v>
      </c>
      <c r="U525" s="346" t="s">
        <v>508</v>
      </c>
      <c r="V525" s="351" t="s">
        <v>463</v>
      </c>
      <c r="W525" s="338">
        <f>Table6[[#This Row],[Breakdown Time]]*(1/39)</f>
        <v>5.7692307692307689E-2</v>
      </c>
      <c r="X525" s="336" t="s">
        <v>468</v>
      </c>
      <c r="Y525" s="352" t="s">
        <v>120</v>
      </c>
      <c r="Z525" s="105">
        <v>3086</v>
      </c>
      <c r="AA525" s="107">
        <v>289.3125</v>
      </c>
      <c r="AB525" s="105" t="s">
        <v>478</v>
      </c>
    </row>
    <row r="526" spans="1:28">
      <c r="A526" s="105">
        <f t="shared" si="8"/>
        <v>525</v>
      </c>
      <c r="B526" s="107">
        <f>YEAR(Table6[[#This Row],[Date]])+IF(MONTH(Table6[[#This Row],[Date]])&gt;=4,1,0)</f>
        <v>2026</v>
      </c>
      <c r="C526" s="105">
        <f>YEAR(Table6[[#This Row],[Date]])</f>
        <v>2025</v>
      </c>
      <c r="D526" s="105" t="s">
        <v>490</v>
      </c>
      <c r="E526" s="119">
        <f>Table6[[#This Row],[Date]]-DAY(Table6[[#This Row],[Date]])+1</f>
        <v>45778</v>
      </c>
      <c r="F526" s="118">
        <v>45789</v>
      </c>
      <c r="G526" s="105" t="s">
        <v>137</v>
      </c>
      <c r="H526" s="39" t="str">
        <f>_xlfn.XLOOKUP(Table6[[#This Row],[Affected WTG]],'Basic Data'!$A:$A,'Basic Data'!$B:$B)</f>
        <v>PWEGPL</v>
      </c>
      <c r="I526" s="39" t="str">
        <f>_xlfn.XLOOKUP(Table6[[#This Row],[Affected WTG]],'Basic Data'!$A:$A,'Basic Data'!$C:$C)</f>
        <v>MSEDCL</v>
      </c>
      <c r="J526" s="345">
        <f>IFERROR(VLOOKUP(Table6[[#This Row],[Affected WTG]],'Basic Data'!$A$3:$E$56,5,0),"")</f>
        <v>2.564102564102564E-2</v>
      </c>
      <c r="K526" s="105">
        <v>2118</v>
      </c>
      <c r="L526" s="39" t="str">
        <f>IFERROR(VLOOKUP(Table6[[#This Row],[Error Code]],'Basic Data'!$T:$U,2,0),"")</f>
        <v>Bus Error - Interbus Failure</v>
      </c>
      <c r="M526" s="346" t="s">
        <v>462</v>
      </c>
      <c r="N526" s="39" t="s">
        <v>1270</v>
      </c>
      <c r="O526" s="347">
        <v>0.38541666666666669</v>
      </c>
      <c r="P526" s="347">
        <v>0.47291666666666665</v>
      </c>
      <c r="Q526" s="347">
        <v>0.72291666666666665</v>
      </c>
      <c r="R526" s="348">
        <f>IF(Table6[[#This Row],[Work Start TimeStamp]]="","",(Table6[[#This Row],[Work Start TimeStamp]]-Table6[[#This Row],[Fault Start TimeStamp]])*24)</f>
        <v>2.0999999999999992</v>
      </c>
      <c r="S526" s="349">
        <f>(Table6[[#This Row],[Fault Clearance time]]-Table6[[#This Row],[Work Start TimeStamp]])*24</f>
        <v>6</v>
      </c>
      <c r="T526" s="350">
        <f>(Table6[[#This Row],[Fault Clearance time]]-Table6[[#This Row],[Fault Start TimeStamp]])*24</f>
        <v>8.1</v>
      </c>
      <c r="U526" s="346" t="s">
        <v>596</v>
      </c>
      <c r="V526" s="351" t="s">
        <v>463</v>
      </c>
      <c r="W526" s="338">
        <f>Table6[[#This Row],[Breakdown Time]]*(1/39)</f>
        <v>0.20769230769230768</v>
      </c>
      <c r="X526" s="336" t="s">
        <v>468</v>
      </c>
      <c r="Y526" s="352" t="s">
        <v>119</v>
      </c>
      <c r="Z526" s="105">
        <v>4032</v>
      </c>
      <c r="AA526" s="107">
        <v>1360.8</v>
      </c>
      <c r="AB526" s="105" t="s">
        <v>478</v>
      </c>
    </row>
    <row r="527" spans="1:28">
      <c r="A527" s="105">
        <f t="shared" si="8"/>
        <v>526</v>
      </c>
      <c r="B527" s="107">
        <f>YEAR(Table6[[#This Row],[Date]])+IF(MONTH(Table6[[#This Row],[Date]])&gt;=4,1,0)</f>
        <v>2026</v>
      </c>
      <c r="C527" s="105">
        <f>YEAR(Table6[[#This Row],[Date]])</f>
        <v>2025</v>
      </c>
      <c r="D527" s="105" t="s">
        <v>490</v>
      </c>
      <c r="E527" s="119">
        <f>Table6[[#This Row],[Date]]-DAY(Table6[[#This Row],[Date]])+1</f>
        <v>45778</v>
      </c>
      <c r="F527" s="118">
        <v>45789</v>
      </c>
      <c r="G527" s="105" t="s">
        <v>136</v>
      </c>
      <c r="H527" s="39" t="str">
        <f>_xlfn.XLOOKUP(Table6[[#This Row],[Affected WTG]],'Basic Data'!$A:$A,'Basic Data'!$B:$B)</f>
        <v>PWEGPL</v>
      </c>
      <c r="I527" s="39" t="str">
        <f>_xlfn.XLOOKUP(Table6[[#This Row],[Affected WTG]],'Basic Data'!$A:$A,'Basic Data'!$C:$C)</f>
        <v>MSEDCL</v>
      </c>
      <c r="J527" s="345">
        <f>IFERROR(VLOOKUP(Table6[[#This Row],[Affected WTG]],'Basic Data'!$A$3:$E$56,5,0),"")</f>
        <v>2.564102564102564E-2</v>
      </c>
      <c r="K527" s="105" t="s">
        <v>466</v>
      </c>
      <c r="L527" s="39" t="str">
        <f>IFERROR(VLOOKUP(Table6[[#This Row],[Error Code]],'Basic Data'!$T:$U,2,0),"")</f>
        <v>Manual Stop</v>
      </c>
      <c r="M527" s="346" t="s">
        <v>507</v>
      </c>
      <c r="N527" s="39" t="s">
        <v>230</v>
      </c>
      <c r="O527" s="347">
        <v>0.48055555555555557</v>
      </c>
      <c r="P527" s="347">
        <v>0.48055555555555557</v>
      </c>
      <c r="Q527" s="347">
        <v>0.56597222222222221</v>
      </c>
      <c r="R527" s="348">
        <f>IF(Table6[[#This Row],[Work Start TimeStamp]]="","",(Table6[[#This Row],[Work Start TimeStamp]]-Table6[[#This Row],[Fault Start TimeStamp]])*24)</f>
        <v>0</v>
      </c>
      <c r="S527" s="349">
        <f>(Table6[[#This Row],[Fault Clearance time]]-Table6[[#This Row],[Work Start TimeStamp]])*24</f>
        <v>2.0499999999999994</v>
      </c>
      <c r="T527" s="350">
        <f>(Table6[[#This Row],[Fault Clearance time]]-Table6[[#This Row],[Fault Start TimeStamp]])*24</f>
        <v>2.0499999999999994</v>
      </c>
      <c r="U527" s="346" t="s">
        <v>1223</v>
      </c>
      <c r="V527" s="351" t="s">
        <v>463</v>
      </c>
      <c r="W527" s="338">
        <f>Table6[[#This Row],[Breakdown Time]]*(1/39)</f>
        <v>5.2564102564102544E-2</v>
      </c>
      <c r="X527" s="336" t="s">
        <v>464</v>
      </c>
      <c r="Y527" s="352" t="s">
        <v>119</v>
      </c>
      <c r="Z527" s="105">
        <v>4032</v>
      </c>
      <c r="AA527" s="107">
        <v>344.39999999999992</v>
      </c>
      <c r="AB527" s="105" t="s">
        <v>478</v>
      </c>
    </row>
    <row r="528" spans="1:28">
      <c r="A528" s="105">
        <f t="shared" si="8"/>
        <v>527</v>
      </c>
      <c r="B528" s="107">
        <f>YEAR(Table6[[#This Row],[Date]])+IF(MONTH(Table6[[#This Row],[Date]])&gt;=4,1,0)</f>
        <v>2026</v>
      </c>
      <c r="C528" s="105">
        <f>YEAR(Table6[[#This Row],[Date]])</f>
        <v>2025</v>
      </c>
      <c r="D528" s="105" t="s">
        <v>490</v>
      </c>
      <c r="E528" s="119">
        <f>Table6[[#This Row],[Date]]-DAY(Table6[[#This Row],[Date]])+1</f>
        <v>45778</v>
      </c>
      <c r="F528" s="118">
        <v>45789</v>
      </c>
      <c r="G528" s="105" t="s">
        <v>135</v>
      </c>
      <c r="H528" s="39" t="str">
        <f>_xlfn.XLOOKUP(Table6[[#This Row],[Affected WTG]],'Basic Data'!$A:$A,'Basic Data'!$B:$B)</f>
        <v>PWEGPL</v>
      </c>
      <c r="I528" s="39" t="str">
        <f>_xlfn.XLOOKUP(Table6[[#This Row],[Affected WTG]],'Basic Data'!$A:$A,'Basic Data'!$C:$C)</f>
        <v>MSEDCL</v>
      </c>
      <c r="J528" s="345">
        <f>IFERROR(VLOOKUP(Table6[[#This Row],[Affected WTG]],'Basic Data'!$A$3:$E$56,5,0),"")</f>
        <v>2.564102564102564E-2</v>
      </c>
      <c r="K528" s="105">
        <v>5228</v>
      </c>
      <c r="L528" s="39" t="str">
        <f>IFERROR(VLOOKUP(Table6[[#This Row],[Error Code]],'Basic Data'!$T:$U,2,0),"")</f>
        <v>Preload Failure</v>
      </c>
      <c r="M528" s="346" t="s">
        <v>462</v>
      </c>
      <c r="N528" s="39" t="s">
        <v>1270</v>
      </c>
      <c r="O528" s="347">
        <v>0</v>
      </c>
      <c r="P528" s="347">
        <v>0</v>
      </c>
      <c r="Q528" s="347">
        <v>0.85833333333333328</v>
      </c>
      <c r="R528" s="348">
        <f>IF(Table6[[#This Row],[Work Start TimeStamp]]="","",(Table6[[#This Row],[Work Start TimeStamp]]-Table6[[#This Row],[Fault Start TimeStamp]])*24)</f>
        <v>0</v>
      </c>
      <c r="S528" s="349">
        <f>(Table6[[#This Row],[Fault Clearance time]]-Table6[[#This Row],[Work Start TimeStamp]])*24</f>
        <v>20.599999999999998</v>
      </c>
      <c r="T528" s="350">
        <f>(Table6[[#This Row],[Fault Clearance time]]-Table6[[#This Row],[Fault Start TimeStamp]])*24</f>
        <v>20.599999999999998</v>
      </c>
      <c r="U528" s="346" t="s">
        <v>597</v>
      </c>
      <c r="V528" s="351" t="s">
        <v>463</v>
      </c>
      <c r="W528" s="338">
        <f>Table6[[#This Row],[Breakdown Time]]*(1/39)</f>
        <v>0.5282051282051281</v>
      </c>
      <c r="X528" s="336" t="s">
        <v>465</v>
      </c>
      <c r="Y528" s="352" t="s">
        <v>119</v>
      </c>
      <c r="Z528" s="105">
        <v>4032</v>
      </c>
      <c r="AA528" s="107">
        <v>3460.7999999999997</v>
      </c>
      <c r="AB528" s="105" t="s">
        <v>478</v>
      </c>
    </row>
    <row r="529" spans="1:28">
      <c r="A529" s="105">
        <f t="shared" si="8"/>
        <v>528</v>
      </c>
      <c r="B529" s="107">
        <f>YEAR(Table6[[#This Row],[Date]])+IF(MONTH(Table6[[#This Row],[Date]])&gt;=4,1,0)</f>
        <v>2026</v>
      </c>
      <c r="C529" s="105">
        <f>YEAR(Table6[[#This Row],[Date]])</f>
        <v>2025</v>
      </c>
      <c r="D529" s="105" t="s">
        <v>490</v>
      </c>
      <c r="E529" s="119">
        <f>Table6[[#This Row],[Date]]-DAY(Table6[[#This Row],[Date]])+1</f>
        <v>45778</v>
      </c>
      <c r="F529" s="118">
        <v>45790</v>
      </c>
      <c r="G529" s="105" t="s">
        <v>144</v>
      </c>
      <c r="H529" s="39" t="str">
        <f>_xlfn.XLOOKUP(Table6[[#This Row],[Affected WTG]],'Basic Data'!$A:$A,'Basic Data'!$B:$B)</f>
        <v>PWEGPL</v>
      </c>
      <c r="I529" s="39" t="str">
        <f>_xlfn.XLOOKUP(Table6[[#This Row],[Affected WTG]],'Basic Data'!$A:$A,'Basic Data'!$C:$C)</f>
        <v>MSEDCL</v>
      </c>
      <c r="J529" s="345">
        <f>IFERROR(VLOOKUP(Table6[[#This Row],[Affected WTG]],'Basic Data'!$A$3:$E$56,5,0),"")</f>
        <v>2.564102564102564E-2</v>
      </c>
      <c r="K529" s="105" t="s">
        <v>492</v>
      </c>
      <c r="L529" s="39" t="str">
        <f>IFERROR(VLOOKUP(Table6[[#This Row],[Error Code]],'Basic Data'!$T:$U,2,0),"")</f>
        <v>Manual Stop - Safety Related</v>
      </c>
      <c r="M529" s="346" t="s">
        <v>481</v>
      </c>
      <c r="N529" s="39" t="s">
        <v>1269</v>
      </c>
      <c r="O529" s="347">
        <v>0</v>
      </c>
      <c r="P529" s="347">
        <v>0.99930555555555556</v>
      </c>
      <c r="Q529" s="347">
        <v>0.99930555555555556</v>
      </c>
      <c r="R529" s="348">
        <f>IF(Table6[[#This Row],[Work Start TimeStamp]]="","",(Table6[[#This Row],[Work Start TimeStamp]]-Table6[[#This Row],[Fault Start TimeStamp]])*24)</f>
        <v>23.983333333333334</v>
      </c>
      <c r="S529" s="349">
        <f>(Table6[[#This Row],[Fault Clearance time]]-Table6[[#This Row],[Work Start TimeStamp]])*24</f>
        <v>0</v>
      </c>
      <c r="T529" s="350">
        <f>(Table6[[#This Row],[Fault Clearance time]]-Table6[[#This Row],[Fault Start TimeStamp]])*24</f>
        <v>23.983333333333334</v>
      </c>
      <c r="U529" s="346" t="s">
        <v>498</v>
      </c>
      <c r="V529" s="351" t="s">
        <v>473</v>
      </c>
      <c r="W529" s="338">
        <f>Table6[[#This Row],[Breakdown Time]]*(1/39)</f>
        <v>0.61495726495726499</v>
      </c>
      <c r="X529" s="336" t="s">
        <v>468</v>
      </c>
      <c r="Y529" s="352" t="s">
        <v>143</v>
      </c>
      <c r="Z529" s="105">
        <v>4579</v>
      </c>
      <c r="AA529" s="107">
        <v>4575.8201388888892</v>
      </c>
      <c r="AB529" s="105" t="s">
        <v>478</v>
      </c>
    </row>
    <row r="530" spans="1:28">
      <c r="A530" s="105">
        <f t="shared" si="8"/>
        <v>529</v>
      </c>
      <c r="B530" s="107">
        <f>YEAR(Table6[[#This Row],[Date]])+IF(MONTH(Table6[[#This Row],[Date]])&gt;=4,1,0)</f>
        <v>2026</v>
      </c>
      <c r="C530" s="105">
        <f>YEAR(Table6[[#This Row],[Date]])</f>
        <v>2025</v>
      </c>
      <c r="D530" s="105" t="s">
        <v>490</v>
      </c>
      <c r="E530" s="119">
        <f>Table6[[#This Row],[Date]]-DAY(Table6[[#This Row],[Date]])+1</f>
        <v>45778</v>
      </c>
      <c r="F530" s="118">
        <v>45790</v>
      </c>
      <c r="G530" s="105" t="s">
        <v>142</v>
      </c>
      <c r="H530" s="39" t="str">
        <f>_xlfn.XLOOKUP(Table6[[#This Row],[Affected WTG]],'Basic Data'!$A:$A,'Basic Data'!$B:$B)</f>
        <v>PWEGPL</v>
      </c>
      <c r="I530" s="39" t="str">
        <f>_xlfn.XLOOKUP(Table6[[#This Row],[Affected WTG]],'Basic Data'!$A:$A,'Basic Data'!$C:$C)</f>
        <v>MSEDCL</v>
      </c>
      <c r="J530" s="345">
        <f>IFERROR(VLOOKUP(Table6[[#This Row],[Affected WTG]],'Basic Data'!$A$3:$E$56,5,0),"")</f>
        <v>2.564102564102564E-2</v>
      </c>
      <c r="K530" s="105" t="s">
        <v>492</v>
      </c>
      <c r="L530" s="39" t="str">
        <f>IFERROR(VLOOKUP(Table6[[#This Row],[Error Code]],'Basic Data'!$T:$U,2,0),"")</f>
        <v>Manual Stop - Safety Related</v>
      </c>
      <c r="M530" s="346" t="s">
        <v>481</v>
      </c>
      <c r="N530" s="39" t="s">
        <v>1269</v>
      </c>
      <c r="O530" s="347">
        <v>0</v>
      </c>
      <c r="P530" s="347">
        <v>0.99930555555555556</v>
      </c>
      <c r="Q530" s="347">
        <v>0.99930555555555556</v>
      </c>
      <c r="R530" s="348">
        <f>IF(Table6[[#This Row],[Work Start TimeStamp]]="","",(Table6[[#This Row],[Work Start TimeStamp]]-Table6[[#This Row],[Fault Start TimeStamp]])*24)</f>
        <v>23.983333333333334</v>
      </c>
      <c r="S530" s="349">
        <f>(Table6[[#This Row],[Fault Clearance time]]-Table6[[#This Row],[Work Start TimeStamp]])*24</f>
        <v>0</v>
      </c>
      <c r="T530" s="350">
        <f>(Table6[[#This Row],[Fault Clearance time]]-Table6[[#This Row],[Fault Start TimeStamp]])*24</f>
        <v>23.983333333333334</v>
      </c>
      <c r="U530" s="346" t="s">
        <v>498</v>
      </c>
      <c r="V530" s="351" t="s">
        <v>473</v>
      </c>
      <c r="W530" s="338">
        <f>Table6[[#This Row],[Breakdown Time]]*(1/39)</f>
        <v>0.61495726495726499</v>
      </c>
      <c r="X530" s="336" t="s">
        <v>468</v>
      </c>
      <c r="Y530" s="352" t="s">
        <v>143</v>
      </c>
      <c r="Z530" s="105">
        <v>4579</v>
      </c>
      <c r="AA530" s="107">
        <v>4575.8201388888892</v>
      </c>
      <c r="AB530" s="105" t="s">
        <v>478</v>
      </c>
    </row>
    <row r="531" spans="1:28">
      <c r="A531" s="105">
        <f t="shared" si="8"/>
        <v>530</v>
      </c>
      <c r="B531" s="107">
        <f>YEAR(Table6[[#This Row],[Date]])+IF(MONTH(Table6[[#This Row],[Date]])&gt;=4,1,0)</f>
        <v>2026</v>
      </c>
      <c r="C531" s="105">
        <f>YEAR(Table6[[#This Row],[Date]])</f>
        <v>2025</v>
      </c>
      <c r="D531" s="105" t="s">
        <v>490</v>
      </c>
      <c r="E531" s="119">
        <f>Table6[[#This Row],[Date]]-DAY(Table6[[#This Row],[Date]])+1</f>
        <v>45778</v>
      </c>
      <c r="F531" s="118">
        <v>45790</v>
      </c>
      <c r="G531" s="105" t="s">
        <v>118</v>
      </c>
      <c r="H531" s="39" t="str">
        <f>_xlfn.XLOOKUP(Table6[[#This Row],[Affected WTG]],'Basic Data'!$A:$A,'Basic Data'!$B:$B)</f>
        <v>PWEGPL</v>
      </c>
      <c r="I531" s="39" t="str">
        <f>_xlfn.XLOOKUP(Table6[[#This Row],[Affected WTG]],'Basic Data'!$A:$A,'Basic Data'!$C:$C)</f>
        <v>MSEDCL</v>
      </c>
      <c r="J531" s="345">
        <f>IFERROR(VLOOKUP(Table6[[#This Row],[Affected WTG]],'Basic Data'!$A$3:$E$56,5,0),"")</f>
        <v>2.564102564102564E-2</v>
      </c>
      <c r="K531" s="105">
        <v>205</v>
      </c>
      <c r="L531" s="39" t="str">
        <f>IFERROR(VLOOKUP(Table6[[#This Row],[Error Code]],'Basic Data'!$T:$U,2,0),"")</f>
        <v>Low Level Hydraulic Group Refrigeration Oil</v>
      </c>
      <c r="M531" s="346" t="s">
        <v>462</v>
      </c>
      <c r="N531" s="39" t="s">
        <v>1270</v>
      </c>
      <c r="O531" s="347">
        <v>0.50277777777777777</v>
      </c>
      <c r="P531" s="347">
        <v>0.52638888888888891</v>
      </c>
      <c r="Q531" s="347">
        <v>0.6381944444444444</v>
      </c>
      <c r="R531" s="348">
        <f>IF(Table6[[#This Row],[Work Start TimeStamp]]="","",(Table6[[#This Row],[Work Start TimeStamp]]-Table6[[#This Row],[Fault Start TimeStamp]])*24)</f>
        <v>0.56666666666666732</v>
      </c>
      <c r="S531" s="349">
        <f>(Table6[[#This Row],[Fault Clearance time]]-Table6[[#This Row],[Work Start TimeStamp]])*24</f>
        <v>2.6833333333333318</v>
      </c>
      <c r="T531" s="350">
        <f>(Table6[[#This Row],[Fault Clearance time]]-Table6[[#This Row],[Fault Start TimeStamp]])*24</f>
        <v>3.2499999999999991</v>
      </c>
      <c r="U531" s="346" t="s">
        <v>1005</v>
      </c>
      <c r="V531" s="351" t="s">
        <v>463</v>
      </c>
      <c r="W531" s="338">
        <f>Table6[[#This Row],[Breakdown Time]]*(1/39)</f>
        <v>8.3333333333333301E-2</v>
      </c>
      <c r="X531" s="336" t="s">
        <v>465</v>
      </c>
      <c r="Y531" s="352" t="s">
        <v>116</v>
      </c>
      <c r="Z531" s="105">
        <v>6734</v>
      </c>
      <c r="AA531" s="107">
        <v>911.89583333333303</v>
      </c>
      <c r="AB531" s="105" t="s">
        <v>478</v>
      </c>
    </row>
    <row r="532" spans="1:28">
      <c r="A532" s="105">
        <f t="shared" si="8"/>
        <v>531</v>
      </c>
      <c r="B532" s="107">
        <f>YEAR(Table6[[#This Row],[Date]])+IF(MONTH(Table6[[#This Row],[Date]])&gt;=4,1,0)</f>
        <v>2026</v>
      </c>
      <c r="C532" s="105">
        <f>YEAR(Table6[[#This Row],[Date]])</f>
        <v>2025</v>
      </c>
      <c r="D532" s="105" t="s">
        <v>490</v>
      </c>
      <c r="E532" s="119">
        <f>Table6[[#This Row],[Date]]-DAY(Table6[[#This Row],[Date]])+1</f>
        <v>45778</v>
      </c>
      <c r="F532" s="118">
        <v>45790</v>
      </c>
      <c r="G532" s="105" t="s">
        <v>121</v>
      </c>
      <c r="H532" s="39" t="str">
        <f>_xlfn.XLOOKUP(Table6[[#This Row],[Affected WTG]],'Basic Data'!$A:$A,'Basic Data'!$B:$B)</f>
        <v>PWEGPL</v>
      </c>
      <c r="I532" s="39" t="str">
        <f>_xlfn.XLOOKUP(Table6[[#This Row],[Affected WTG]],'Basic Data'!$A:$A,'Basic Data'!$C:$C)</f>
        <v>MSEDCL</v>
      </c>
      <c r="J532" s="345">
        <f>IFERROR(VLOOKUP(Table6[[#This Row],[Affected WTG]],'Basic Data'!$A$3:$E$56,5,0),"")</f>
        <v>2.564102564102564E-2</v>
      </c>
      <c r="K532" s="105">
        <v>5236</v>
      </c>
      <c r="L532" s="39" t="str">
        <f>IFERROR(VLOOKUP(Table6[[#This Row],[Error Code]],'Basic Data'!$T:$U,2,0),"")</f>
        <v>Error In Phase R Of The Inverter</v>
      </c>
      <c r="M532" s="346" t="s">
        <v>462</v>
      </c>
      <c r="N532" s="39" t="s">
        <v>1270</v>
      </c>
      <c r="O532" s="347">
        <v>0.84305555555555556</v>
      </c>
      <c r="P532" s="347">
        <v>0.86319444444444449</v>
      </c>
      <c r="Q532" s="347">
        <v>0.89722222222222225</v>
      </c>
      <c r="R532" s="348">
        <f>IF(Table6[[#This Row],[Work Start TimeStamp]]="","",(Table6[[#This Row],[Work Start TimeStamp]]-Table6[[#This Row],[Fault Start TimeStamp]])*24)</f>
        <v>0.48333333333333428</v>
      </c>
      <c r="S532" s="349">
        <f>(Table6[[#This Row],[Fault Clearance time]]-Table6[[#This Row],[Work Start TimeStamp]])*24</f>
        <v>0.81666666666666643</v>
      </c>
      <c r="T532" s="350">
        <f>(Table6[[#This Row],[Fault Clearance time]]-Table6[[#This Row],[Fault Start TimeStamp]])*24</f>
        <v>1.3000000000000007</v>
      </c>
      <c r="U532" s="346" t="s">
        <v>598</v>
      </c>
      <c r="V532" s="351" t="s">
        <v>463</v>
      </c>
      <c r="W532" s="338">
        <f>Table6[[#This Row],[Breakdown Time]]*(1/39)</f>
        <v>3.3333333333333354E-2</v>
      </c>
      <c r="X532" s="336" t="s">
        <v>465</v>
      </c>
      <c r="Y532" s="352" t="s">
        <v>115</v>
      </c>
      <c r="Z532" s="105">
        <v>6782</v>
      </c>
      <c r="AA532" s="107">
        <v>367.35833333333352</v>
      </c>
      <c r="AB532" s="105" t="s">
        <v>478</v>
      </c>
    </row>
    <row r="533" spans="1:28">
      <c r="A533" s="105">
        <f t="shared" si="8"/>
        <v>532</v>
      </c>
      <c r="B533" s="107">
        <f>YEAR(Table6[[#This Row],[Date]])+IF(MONTH(Table6[[#This Row],[Date]])&gt;=4,1,0)</f>
        <v>2026</v>
      </c>
      <c r="C533" s="105">
        <f>YEAR(Table6[[#This Row],[Date]])</f>
        <v>2025</v>
      </c>
      <c r="D533" s="105" t="s">
        <v>490</v>
      </c>
      <c r="E533" s="119">
        <f>Table6[[#This Row],[Date]]-DAY(Table6[[#This Row],[Date]])+1</f>
        <v>45778</v>
      </c>
      <c r="F533" s="118">
        <v>45790</v>
      </c>
      <c r="G533" s="105" t="s">
        <v>128</v>
      </c>
      <c r="H533" s="39" t="str">
        <f>_xlfn.XLOOKUP(Table6[[#This Row],[Affected WTG]],'Basic Data'!$A:$A,'Basic Data'!$B:$B)</f>
        <v>PWEGPL</v>
      </c>
      <c r="I533" s="39" t="str">
        <f>_xlfn.XLOOKUP(Table6[[#This Row],[Affected WTG]],'Basic Data'!$A:$A,'Basic Data'!$C:$C)</f>
        <v>MSEDCL</v>
      </c>
      <c r="J533" s="345">
        <f>IFERROR(VLOOKUP(Table6[[#This Row],[Affected WTG]],'Basic Data'!$A$3:$E$56,5,0),"")</f>
        <v>2.564102564102564E-2</v>
      </c>
      <c r="K533" s="105" t="s">
        <v>492</v>
      </c>
      <c r="L533" s="39" t="str">
        <f>IFERROR(VLOOKUP(Table6[[#This Row],[Error Code]],'Basic Data'!$T:$U,2,0),"")</f>
        <v>Manual Stop - Safety Related</v>
      </c>
      <c r="M533" s="346" t="s">
        <v>481</v>
      </c>
      <c r="N533" s="39" t="s">
        <v>230</v>
      </c>
      <c r="O533" s="347">
        <v>0.72916666666666663</v>
      </c>
      <c r="P533" s="347">
        <v>0.72916666666666663</v>
      </c>
      <c r="Q533" s="347">
        <v>0.90833333333333333</v>
      </c>
      <c r="R533" s="348">
        <f>IF(Table6[[#This Row],[Work Start TimeStamp]]="","",(Table6[[#This Row],[Work Start TimeStamp]]-Table6[[#This Row],[Fault Start TimeStamp]])*24)</f>
        <v>0</v>
      </c>
      <c r="S533" s="349">
        <f>(Table6[[#This Row],[Fault Clearance time]]-Table6[[#This Row],[Work Start TimeStamp]])*24</f>
        <v>4.3000000000000007</v>
      </c>
      <c r="T533" s="350">
        <f>(Table6[[#This Row],[Fault Clearance time]]-Table6[[#This Row],[Fault Start TimeStamp]])*24</f>
        <v>4.3000000000000007</v>
      </c>
      <c r="U533" s="346" t="s">
        <v>508</v>
      </c>
      <c r="V533" s="351" t="s">
        <v>463</v>
      </c>
      <c r="W533" s="338">
        <f>Table6[[#This Row],[Breakdown Time]]*(1/39)</f>
        <v>0.11025641025641027</v>
      </c>
      <c r="X533" s="336" t="s">
        <v>468</v>
      </c>
      <c r="Y533" s="352" t="s">
        <v>129</v>
      </c>
      <c r="Z533" s="105">
        <v>7344</v>
      </c>
      <c r="AA533" s="107">
        <v>1315.8000000000002</v>
      </c>
      <c r="AB533" s="105" t="s">
        <v>478</v>
      </c>
    </row>
    <row r="534" spans="1:28">
      <c r="A534" s="105">
        <f t="shared" si="8"/>
        <v>533</v>
      </c>
      <c r="B534" s="107">
        <f>YEAR(Table6[[#This Row],[Date]])+IF(MONTH(Table6[[#This Row],[Date]])&gt;=4,1,0)</f>
        <v>2026</v>
      </c>
      <c r="C534" s="105">
        <f>YEAR(Table6[[#This Row],[Date]])</f>
        <v>2025</v>
      </c>
      <c r="D534" s="105" t="s">
        <v>490</v>
      </c>
      <c r="E534" s="119">
        <f>Table6[[#This Row],[Date]]-DAY(Table6[[#This Row],[Date]])+1</f>
        <v>45778</v>
      </c>
      <c r="F534" s="118">
        <v>45790</v>
      </c>
      <c r="G534" s="105" t="s">
        <v>153</v>
      </c>
      <c r="H534" s="39" t="str">
        <f>_xlfn.XLOOKUP(Table6[[#This Row],[Affected WTG]],'Basic Data'!$A:$A,'Basic Data'!$B:$B)</f>
        <v>PWEGPL</v>
      </c>
      <c r="I534" s="39" t="str">
        <f>_xlfn.XLOOKUP(Table6[[#This Row],[Affected WTG]],'Basic Data'!$A:$A,'Basic Data'!$C:$C)</f>
        <v>MSEDCL</v>
      </c>
      <c r="J534" s="345">
        <f>IFERROR(VLOOKUP(Table6[[#This Row],[Affected WTG]],'Basic Data'!$A$3:$E$56,5,0),"")</f>
        <v>2.564102564102564E-2</v>
      </c>
      <c r="K534" s="105">
        <v>5216</v>
      </c>
      <c r="L534" s="39" t="str">
        <f>IFERROR(VLOOKUP(Table6[[#This Row],[Error Code]],'Basic Data'!$T:$U,2,0),"")</f>
        <v>Grid Voltage Failure</v>
      </c>
      <c r="M534" s="346" t="s">
        <v>462</v>
      </c>
      <c r="N534" s="39" t="s">
        <v>1270</v>
      </c>
      <c r="O534" s="347">
        <v>0.23958333333333334</v>
      </c>
      <c r="P534" s="347">
        <v>0.53125</v>
      </c>
      <c r="Q534" s="347">
        <v>0.99930555555555556</v>
      </c>
      <c r="R534" s="348">
        <f>IF(Table6[[#This Row],[Work Start TimeStamp]]="","",(Table6[[#This Row],[Work Start TimeStamp]]-Table6[[#This Row],[Fault Start TimeStamp]])*24)</f>
        <v>6.9999999999999991</v>
      </c>
      <c r="S534" s="349">
        <f>(Table6[[#This Row],[Fault Clearance time]]-Table6[[#This Row],[Work Start TimeStamp]])*24</f>
        <v>11.233333333333334</v>
      </c>
      <c r="T534" s="350">
        <f>(Table6[[#This Row],[Fault Clearance time]]-Table6[[#This Row],[Fault Start TimeStamp]])*24</f>
        <v>18.233333333333334</v>
      </c>
      <c r="U534" s="346" t="s">
        <v>1224</v>
      </c>
      <c r="V534" s="351" t="s">
        <v>473</v>
      </c>
      <c r="W534" s="338">
        <f>Table6[[#This Row],[Breakdown Time]]*(1/39)</f>
        <v>0.46752136752136753</v>
      </c>
      <c r="X534" s="336" t="s">
        <v>465</v>
      </c>
      <c r="Y534" s="352" t="s">
        <v>152</v>
      </c>
      <c r="Z534" s="105">
        <v>4008</v>
      </c>
      <c r="AA534" s="107">
        <v>3044.9666666666667</v>
      </c>
      <c r="AB534" s="105" t="s">
        <v>599</v>
      </c>
    </row>
    <row r="535" spans="1:28">
      <c r="A535" s="105">
        <f t="shared" si="8"/>
        <v>534</v>
      </c>
      <c r="B535" s="107">
        <f>YEAR(Table6[[#This Row],[Date]])+IF(MONTH(Table6[[#This Row],[Date]])&gt;=4,1,0)</f>
        <v>2026</v>
      </c>
      <c r="C535" s="105">
        <f>YEAR(Table6[[#This Row],[Date]])</f>
        <v>2025</v>
      </c>
      <c r="D535" s="105" t="s">
        <v>490</v>
      </c>
      <c r="E535" s="119">
        <f>Table6[[#This Row],[Date]]-DAY(Table6[[#This Row],[Date]])+1</f>
        <v>45778</v>
      </c>
      <c r="F535" s="118">
        <v>45790</v>
      </c>
      <c r="G535" s="105" t="s">
        <v>141</v>
      </c>
      <c r="H535" s="39" t="str">
        <f>_xlfn.XLOOKUP(Table6[[#This Row],[Affected WTG]],'Basic Data'!$A:$A,'Basic Data'!$B:$B)</f>
        <v>PWEGPL</v>
      </c>
      <c r="I535" s="39" t="str">
        <f>_xlfn.XLOOKUP(Table6[[#This Row],[Affected WTG]],'Basic Data'!$A:$A,'Basic Data'!$C:$C)</f>
        <v>MSEDCL</v>
      </c>
      <c r="J535" s="345">
        <f>IFERROR(VLOOKUP(Table6[[#This Row],[Affected WTG]],'Basic Data'!$A$3:$E$56,5,0),"")</f>
        <v>2.564102564102564E-2</v>
      </c>
      <c r="K535" s="105">
        <v>2114</v>
      </c>
      <c r="L535" s="39" t="str">
        <f>IFERROR(VLOOKUP(Table6[[#This Row],[Error Code]],'Basic Data'!$T:$U,2,0),"")</f>
        <v>Analogue Card Failure</v>
      </c>
      <c r="M535" s="346" t="s">
        <v>462</v>
      </c>
      <c r="N535" s="39" t="s">
        <v>1270</v>
      </c>
      <c r="O535" s="347">
        <v>0.51180555555555551</v>
      </c>
      <c r="P535" s="347">
        <v>0.52638888888888891</v>
      </c>
      <c r="Q535" s="347">
        <v>0.54236111111111107</v>
      </c>
      <c r="R535" s="348">
        <f>IF(Table6[[#This Row],[Work Start TimeStamp]]="","",(Table6[[#This Row],[Work Start TimeStamp]]-Table6[[#This Row],[Fault Start TimeStamp]])*24)</f>
        <v>0.35000000000000142</v>
      </c>
      <c r="S535" s="349">
        <f>(Table6[[#This Row],[Fault Clearance time]]-Table6[[#This Row],[Work Start TimeStamp]])*24</f>
        <v>0.38333333333333197</v>
      </c>
      <c r="T535" s="350">
        <f>(Table6[[#This Row],[Fault Clearance time]]-Table6[[#This Row],[Fault Start TimeStamp]])*24</f>
        <v>0.73333333333333339</v>
      </c>
      <c r="U535" s="346" t="s">
        <v>493</v>
      </c>
      <c r="V535" s="351" t="s">
        <v>463</v>
      </c>
      <c r="W535" s="338">
        <f>Table6[[#This Row],[Breakdown Time]]*(1/39)</f>
        <v>1.8803418803418806E-2</v>
      </c>
      <c r="X535" s="336" t="s">
        <v>465</v>
      </c>
      <c r="Y535" s="352" t="s">
        <v>143</v>
      </c>
      <c r="Z535" s="105">
        <v>4579</v>
      </c>
      <c r="AA535" s="107">
        <v>139.91388888888889</v>
      </c>
      <c r="AB535" s="105" t="s">
        <v>478</v>
      </c>
    </row>
    <row r="536" spans="1:28">
      <c r="A536" s="105">
        <f t="shared" si="8"/>
        <v>535</v>
      </c>
      <c r="B536" s="107">
        <f>YEAR(Table6[[#This Row],[Date]])+IF(MONTH(Table6[[#This Row],[Date]])&gt;=4,1,0)</f>
        <v>2026</v>
      </c>
      <c r="C536" s="105">
        <f>YEAR(Table6[[#This Row],[Date]])</f>
        <v>2025</v>
      </c>
      <c r="D536" s="105" t="s">
        <v>490</v>
      </c>
      <c r="E536" s="119">
        <f>Table6[[#This Row],[Date]]-DAY(Table6[[#This Row],[Date]])+1</f>
        <v>45778</v>
      </c>
      <c r="F536" s="118">
        <v>45790</v>
      </c>
      <c r="G536" s="105" t="s">
        <v>135</v>
      </c>
      <c r="H536" s="39" t="str">
        <f>_xlfn.XLOOKUP(Table6[[#This Row],[Affected WTG]],'Basic Data'!$A:$A,'Basic Data'!$B:$B)</f>
        <v>PWEGPL</v>
      </c>
      <c r="I536" s="39" t="str">
        <f>_xlfn.XLOOKUP(Table6[[#This Row],[Affected WTG]],'Basic Data'!$A:$A,'Basic Data'!$C:$C)</f>
        <v>MSEDCL</v>
      </c>
      <c r="J536" s="345">
        <f>IFERROR(VLOOKUP(Table6[[#This Row],[Affected WTG]],'Basic Data'!$A$3:$E$56,5,0),"")</f>
        <v>2.564102564102564E-2</v>
      </c>
      <c r="K536" s="105">
        <v>5228</v>
      </c>
      <c r="L536" s="39" t="str">
        <f>IFERROR(VLOOKUP(Table6[[#This Row],[Error Code]],'Basic Data'!$T:$U,2,0),"")</f>
        <v>Preload Failure</v>
      </c>
      <c r="M536" s="346" t="s">
        <v>462</v>
      </c>
      <c r="N536" s="39" t="s">
        <v>1270</v>
      </c>
      <c r="O536" s="347">
        <v>0.25972222222222224</v>
      </c>
      <c r="P536" s="347">
        <v>0.42499999999999999</v>
      </c>
      <c r="Q536" s="347">
        <v>0.42916666666666664</v>
      </c>
      <c r="R536" s="348">
        <f>IF(Table6[[#This Row],[Work Start TimeStamp]]="","",(Table6[[#This Row],[Work Start TimeStamp]]-Table6[[#This Row],[Fault Start TimeStamp]])*24)</f>
        <v>3.9666666666666659</v>
      </c>
      <c r="S536" s="349">
        <f>(Table6[[#This Row],[Fault Clearance time]]-Table6[[#This Row],[Work Start TimeStamp]])*24</f>
        <v>9.9999999999999645E-2</v>
      </c>
      <c r="T536" s="350">
        <f>(Table6[[#This Row],[Fault Clearance time]]-Table6[[#This Row],[Fault Start TimeStamp]])*24</f>
        <v>4.0666666666666655</v>
      </c>
      <c r="U536" s="346" t="s">
        <v>493</v>
      </c>
      <c r="V536" s="351" t="s">
        <v>463</v>
      </c>
      <c r="W536" s="338">
        <f>Table6[[#This Row],[Breakdown Time]]*(1/39)</f>
        <v>0.10427350427350424</v>
      </c>
      <c r="X536" s="336" t="s">
        <v>465</v>
      </c>
      <c r="Y536" s="352" t="s">
        <v>136</v>
      </c>
      <c r="Z536" s="105">
        <v>4516</v>
      </c>
      <c r="AA536" s="107">
        <v>765.21111111111088</v>
      </c>
      <c r="AB536" s="105" t="s">
        <v>478</v>
      </c>
    </row>
    <row r="537" spans="1:28">
      <c r="A537" s="105">
        <f t="shared" si="8"/>
        <v>536</v>
      </c>
      <c r="B537" s="107">
        <f>YEAR(Table6[[#This Row],[Date]])+IF(MONTH(Table6[[#This Row],[Date]])&gt;=4,1,0)</f>
        <v>2026</v>
      </c>
      <c r="C537" s="105">
        <f>YEAR(Table6[[#This Row],[Date]])</f>
        <v>2025</v>
      </c>
      <c r="D537" s="105" t="s">
        <v>490</v>
      </c>
      <c r="E537" s="119">
        <f>Table6[[#This Row],[Date]]-DAY(Table6[[#This Row],[Date]])+1</f>
        <v>45778</v>
      </c>
      <c r="F537" s="118">
        <v>45791</v>
      </c>
      <c r="G537" s="105" t="s">
        <v>144</v>
      </c>
      <c r="H537" s="39" t="str">
        <f>_xlfn.XLOOKUP(Table6[[#This Row],[Affected WTG]],'Basic Data'!$A:$A,'Basic Data'!$B:$B)</f>
        <v>PWEGPL</v>
      </c>
      <c r="I537" s="39" t="str">
        <f>_xlfn.XLOOKUP(Table6[[#This Row],[Affected WTG]],'Basic Data'!$A:$A,'Basic Data'!$C:$C)</f>
        <v>MSEDCL</v>
      </c>
      <c r="J537" s="345">
        <f>IFERROR(VLOOKUP(Table6[[#This Row],[Affected WTG]],'Basic Data'!$A$3:$E$56,5,0),"")</f>
        <v>2.564102564102564E-2</v>
      </c>
      <c r="K537" s="105" t="s">
        <v>492</v>
      </c>
      <c r="L537" s="39" t="str">
        <f>IFERROR(VLOOKUP(Table6[[#This Row],[Error Code]],'Basic Data'!$T:$U,2,0),"")</f>
        <v>Manual Stop - Safety Related</v>
      </c>
      <c r="M537" s="346" t="s">
        <v>481</v>
      </c>
      <c r="N537" s="39" t="s">
        <v>1269</v>
      </c>
      <c r="O537" s="347">
        <v>0</v>
      </c>
      <c r="P537" s="347">
        <v>0.99930555555555556</v>
      </c>
      <c r="Q537" s="347">
        <v>0.99930555555555556</v>
      </c>
      <c r="R537" s="348">
        <f>IF(Table6[[#This Row],[Work Start TimeStamp]]="","",(Table6[[#This Row],[Work Start TimeStamp]]-Table6[[#This Row],[Fault Start TimeStamp]])*24)</f>
        <v>23.983333333333334</v>
      </c>
      <c r="S537" s="349">
        <f>(Table6[[#This Row],[Fault Clearance time]]-Table6[[#This Row],[Work Start TimeStamp]])*24</f>
        <v>0</v>
      </c>
      <c r="T537" s="350">
        <f>(Table6[[#This Row],[Fault Clearance time]]-Table6[[#This Row],[Fault Start TimeStamp]])*24</f>
        <v>23.983333333333334</v>
      </c>
      <c r="U537" s="346" t="s">
        <v>498</v>
      </c>
      <c r="V537" s="351" t="s">
        <v>473</v>
      </c>
      <c r="W537" s="338">
        <f>Table6[[#This Row],[Breakdown Time]]*(1/39)</f>
        <v>0.61495726495726499</v>
      </c>
      <c r="X537" s="336" t="s">
        <v>468</v>
      </c>
      <c r="Y537" s="352" t="s">
        <v>143</v>
      </c>
      <c r="Z537" s="105">
        <v>3268</v>
      </c>
      <c r="AA537" s="107">
        <v>3265.7305555555554</v>
      </c>
      <c r="AB537" s="105" t="s">
        <v>478</v>
      </c>
    </row>
    <row r="538" spans="1:28">
      <c r="A538" s="105">
        <f t="shared" si="8"/>
        <v>537</v>
      </c>
      <c r="B538" s="107">
        <f>YEAR(Table6[[#This Row],[Date]])+IF(MONTH(Table6[[#This Row],[Date]])&gt;=4,1,0)</f>
        <v>2026</v>
      </c>
      <c r="C538" s="105">
        <f>YEAR(Table6[[#This Row],[Date]])</f>
        <v>2025</v>
      </c>
      <c r="D538" s="105" t="s">
        <v>490</v>
      </c>
      <c r="E538" s="119">
        <f>Table6[[#This Row],[Date]]-DAY(Table6[[#This Row],[Date]])+1</f>
        <v>45778</v>
      </c>
      <c r="F538" s="118">
        <v>45791</v>
      </c>
      <c r="G538" s="105" t="s">
        <v>142</v>
      </c>
      <c r="H538" s="39" t="str">
        <f>_xlfn.XLOOKUP(Table6[[#This Row],[Affected WTG]],'Basic Data'!$A:$A,'Basic Data'!$B:$B)</f>
        <v>PWEGPL</v>
      </c>
      <c r="I538" s="39" t="str">
        <f>_xlfn.XLOOKUP(Table6[[#This Row],[Affected WTG]],'Basic Data'!$A:$A,'Basic Data'!$C:$C)</f>
        <v>MSEDCL</v>
      </c>
      <c r="J538" s="345">
        <f>IFERROR(VLOOKUP(Table6[[#This Row],[Affected WTG]],'Basic Data'!$A$3:$E$56,5,0),"")</f>
        <v>2.564102564102564E-2</v>
      </c>
      <c r="K538" s="105" t="s">
        <v>492</v>
      </c>
      <c r="L538" s="39" t="str">
        <f>IFERROR(VLOOKUP(Table6[[#This Row],[Error Code]],'Basic Data'!$T:$U,2,0),"")</f>
        <v>Manual Stop - Safety Related</v>
      </c>
      <c r="M538" s="346" t="s">
        <v>481</v>
      </c>
      <c r="N538" s="39" t="s">
        <v>1269</v>
      </c>
      <c r="O538" s="347">
        <v>0</v>
      </c>
      <c r="P538" s="347">
        <v>0.99930555555555556</v>
      </c>
      <c r="Q538" s="347">
        <v>0.99930555555555556</v>
      </c>
      <c r="R538" s="348">
        <f>IF(Table6[[#This Row],[Work Start TimeStamp]]="","",(Table6[[#This Row],[Work Start TimeStamp]]-Table6[[#This Row],[Fault Start TimeStamp]])*24)</f>
        <v>23.983333333333334</v>
      </c>
      <c r="S538" s="349">
        <f>(Table6[[#This Row],[Fault Clearance time]]-Table6[[#This Row],[Work Start TimeStamp]])*24</f>
        <v>0</v>
      </c>
      <c r="T538" s="350">
        <f>(Table6[[#This Row],[Fault Clearance time]]-Table6[[#This Row],[Fault Start TimeStamp]])*24</f>
        <v>23.983333333333334</v>
      </c>
      <c r="U538" s="346" t="s">
        <v>498</v>
      </c>
      <c r="V538" s="351" t="s">
        <v>473</v>
      </c>
      <c r="W538" s="338">
        <f>Table6[[#This Row],[Breakdown Time]]*(1/39)</f>
        <v>0.61495726495726499</v>
      </c>
      <c r="X538" s="336" t="s">
        <v>468</v>
      </c>
      <c r="Y538" s="352" t="s">
        <v>143</v>
      </c>
      <c r="Z538" s="105">
        <v>3268</v>
      </c>
      <c r="AA538" s="107">
        <v>3265.7305555555554</v>
      </c>
      <c r="AB538" s="105" t="s">
        <v>478</v>
      </c>
    </row>
    <row r="539" spans="1:28">
      <c r="A539" s="105">
        <f t="shared" si="8"/>
        <v>538</v>
      </c>
      <c r="B539" s="107">
        <f>YEAR(Table6[[#This Row],[Date]])+IF(MONTH(Table6[[#This Row],[Date]])&gt;=4,1,0)</f>
        <v>2026</v>
      </c>
      <c r="C539" s="105">
        <f>YEAR(Table6[[#This Row],[Date]])</f>
        <v>2025</v>
      </c>
      <c r="D539" s="105" t="s">
        <v>490</v>
      </c>
      <c r="E539" s="119">
        <f>Table6[[#This Row],[Date]]-DAY(Table6[[#This Row],[Date]])+1</f>
        <v>45778</v>
      </c>
      <c r="F539" s="118">
        <v>45791</v>
      </c>
      <c r="G539" s="105" t="s">
        <v>141</v>
      </c>
      <c r="H539" s="39" t="str">
        <f>_xlfn.XLOOKUP(Table6[[#This Row],[Affected WTG]],'Basic Data'!$A:$A,'Basic Data'!$B:$B)</f>
        <v>PWEGPL</v>
      </c>
      <c r="I539" s="39" t="str">
        <f>_xlfn.XLOOKUP(Table6[[#This Row],[Affected WTG]],'Basic Data'!$A:$A,'Basic Data'!$C:$C)</f>
        <v>MSEDCL</v>
      </c>
      <c r="J539" s="345">
        <f>IFERROR(VLOOKUP(Table6[[#This Row],[Affected WTG]],'Basic Data'!$A$3:$E$56,5,0),"")</f>
        <v>2.564102564102564E-2</v>
      </c>
      <c r="K539" s="105">
        <v>803</v>
      </c>
      <c r="L539" s="39" t="str">
        <f>IFERROR(VLOOKUP(Table6[[#This Row],[Error Code]],'Basic Data'!$T:$U,2,0),"")</f>
        <v>Low Pitch Value In Stop Mode (1 Cylinder)</v>
      </c>
      <c r="M539" s="346" t="s">
        <v>462</v>
      </c>
      <c r="N539" s="39" t="s">
        <v>1270</v>
      </c>
      <c r="O539" s="347">
        <v>0.46527777777777779</v>
      </c>
      <c r="P539" s="347">
        <v>0.49652777777777779</v>
      </c>
      <c r="Q539" s="347">
        <v>0.6</v>
      </c>
      <c r="R539" s="348">
        <f>IF(Table6[[#This Row],[Work Start TimeStamp]]="","",(Table6[[#This Row],[Work Start TimeStamp]]-Table6[[#This Row],[Fault Start TimeStamp]])*24)</f>
        <v>0.75</v>
      </c>
      <c r="S539" s="349">
        <f>(Table6[[#This Row],[Fault Clearance time]]-Table6[[#This Row],[Work Start TimeStamp]])*24</f>
        <v>2.4833333333333325</v>
      </c>
      <c r="T539" s="350">
        <f>(Table6[[#This Row],[Fault Clearance time]]-Table6[[#This Row],[Fault Start TimeStamp]])*24</f>
        <v>3.2333333333333325</v>
      </c>
      <c r="U539" s="346" t="s">
        <v>600</v>
      </c>
      <c r="V539" s="351" t="s">
        <v>463</v>
      </c>
      <c r="W539" s="338">
        <f>Table6[[#This Row],[Breakdown Time]]*(1/39)</f>
        <v>8.2905982905982875E-2</v>
      </c>
      <c r="X539" s="336" t="s">
        <v>465</v>
      </c>
      <c r="Y539" s="352" t="s">
        <v>143</v>
      </c>
      <c r="Z539" s="105">
        <v>3268</v>
      </c>
      <c r="AA539" s="107">
        <v>440.27222222222207</v>
      </c>
      <c r="AB539" s="105" t="s">
        <v>478</v>
      </c>
    </row>
    <row r="540" spans="1:28">
      <c r="A540" s="105">
        <f t="shared" si="8"/>
        <v>539</v>
      </c>
      <c r="B540" s="107">
        <f>YEAR(Table6[[#This Row],[Date]])+IF(MONTH(Table6[[#This Row],[Date]])&gt;=4,1,0)</f>
        <v>2026</v>
      </c>
      <c r="C540" s="105">
        <f>YEAR(Table6[[#This Row],[Date]])</f>
        <v>2025</v>
      </c>
      <c r="D540" s="105" t="s">
        <v>490</v>
      </c>
      <c r="E540" s="119">
        <f>Table6[[#This Row],[Date]]-DAY(Table6[[#This Row],[Date]])+1</f>
        <v>45778</v>
      </c>
      <c r="F540" s="118">
        <v>45791</v>
      </c>
      <c r="G540" s="105" t="s">
        <v>153</v>
      </c>
      <c r="H540" s="39" t="str">
        <f>_xlfn.XLOOKUP(Table6[[#This Row],[Affected WTG]],'Basic Data'!$A:$A,'Basic Data'!$B:$B)</f>
        <v>PWEGPL</v>
      </c>
      <c r="I540" s="39" t="str">
        <f>_xlfn.XLOOKUP(Table6[[#This Row],[Affected WTG]],'Basic Data'!$A:$A,'Basic Data'!$C:$C)</f>
        <v>MSEDCL</v>
      </c>
      <c r="J540" s="345">
        <f>IFERROR(VLOOKUP(Table6[[#This Row],[Affected WTG]],'Basic Data'!$A$3:$E$56,5,0),"")</f>
        <v>2.564102564102564E-2</v>
      </c>
      <c r="K540" s="105">
        <v>5216</v>
      </c>
      <c r="L540" s="39" t="str">
        <f>IFERROR(VLOOKUP(Table6[[#This Row],[Error Code]],'Basic Data'!$T:$U,2,0),"")</f>
        <v>Grid Voltage Failure</v>
      </c>
      <c r="M540" s="346" t="s">
        <v>462</v>
      </c>
      <c r="N540" s="39" t="s">
        <v>1270</v>
      </c>
      <c r="O540" s="347">
        <v>0</v>
      </c>
      <c r="P540" s="347">
        <v>0.99930555555555556</v>
      </c>
      <c r="Q540" s="347">
        <v>0.99930555555555556</v>
      </c>
      <c r="R540" s="348">
        <f>IF(Table6[[#This Row],[Work Start TimeStamp]]="","",(Table6[[#This Row],[Work Start TimeStamp]]-Table6[[#This Row],[Fault Start TimeStamp]])*24)</f>
        <v>23.983333333333334</v>
      </c>
      <c r="S540" s="349">
        <f>(Table6[[#This Row],[Fault Clearance time]]-Table6[[#This Row],[Work Start TimeStamp]])*24</f>
        <v>0</v>
      </c>
      <c r="T540" s="350">
        <f>(Table6[[#This Row],[Fault Clearance time]]-Table6[[#This Row],[Fault Start TimeStamp]])*24</f>
        <v>23.983333333333334</v>
      </c>
      <c r="U540" s="346" t="s">
        <v>1224</v>
      </c>
      <c r="V540" s="351" t="s">
        <v>473</v>
      </c>
      <c r="W540" s="338">
        <f>Table6[[#This Row],[Breakdown Time]]*(1/39)</f>
        <v>0.61495726495726499</v>
      </c>
      <c r="X540" s="336" t="s">
        <v>465</v>
      </c>
      <c r="Y540" s="352" t="s">
        <v>152</v>
      </c>
      <c r="Z540" s="105">
        <v>2901</v>
      </c>
      <c r="AA540" s="107">
        <v>2898.9854166666669</v>
      </c>
      <c r="AB540" s="105" t="s">
        <v>599</v>
      </c>
    </row>
    <row r="541" spans="1:28">
      <c r="A541" s="105">
        <f t="shared" si="8"/>
        <v>540</v>
      </c>
      <c r="B541" s="107">
        <f>YEAR(Table6[[#This Row],[Date]])+IF(MONTH(Table6[[#This Row],[Date]])&gt;=4,1,0)</f>
        <v>2026</v>
      </c>
      <c r="C541" s="105">
        <f>YEAR(Table6[[#This Row],[Date]])</f>
        <v>2025</v>
      </c>
      <c r="D541" s="105" t="s">
        <v>490</v>
      </c>
      <c r="E541" s="119">
        <f>Table6[[#This Row],[Date]]-DAY(Table6[[#This Row],[Date]])+1</f>
        <v>45778</v>
      </c>
      <c r="F541" s="118">
        <v>45791</v>
      </c>
      <c r="G541" s="105" t="s">
        <v>128</v>
      </c>
      <c r="H541" s="39" t="str">
        <f>_xlfn.XLOOKUP(Table6[[#This Row],[Affected WTG]],'Basic Data'!$A:$A,'Basic Data'!$B:$B)</f>
        <v>PWEGPL</v>
      </c>
      <c r="I541" s="39" t="str">
        <f>_xlfn.XLOOKUP(Table6[[#This Row],[Affected WTG]],'Basic Data'!$A:$A,'Basic Data'!$C:$C)</f>
        <v>MSEDCL</v>
      </c>
      <c r="J541" s="345">
        <f>IFERROR(VLOOKUP(Table6[[#This Row],[Affected WTG]],'Basic Data'!$A$3:$E$56,5,0),"")</f>
        <v>2.564102564102564E-2</v>
      </c>
      <c r="K541" s="105">
        <v>5232</v>
      </c>
      <c r="L541" s="39" t="str">
        <f>IFERROR(VLOOKUP(Table6[[#This Row],[Error Code]],'Basic Data'!$T:$U,2,0),"")</f>
        <v>Error In Phase R Of The Rectifier</v>
      </c>
      <c r="M541" s="346" t="s">
        <v>462</v>
      </c>
      <c r="N541" s="39" t="s">
        <v>1270</v>
      </c>
      <c r="O541" s="347">
        <v>0.27083333333333331</v>
      </c>
      <c r="P541" s="347">
        <v>0.34097222222222223</v>
      </c>
      <c r="Q541" s="347">
        <v>0.92361111111111116</v>
      </c>
      <c r="R541" s="348">
        <f>IF(Table6[[#This Row],[Work Start TimeStamp]]="","",(Table6[[#This Row],[Work Start TimeStamp]]-Table6[[#This Row],[Fault Start TimeStamp]])*24)</f>
        <v>1.683333333333334</v>
      </c>
      <c r="S541" s="349">
        <f>(Table6[[#This Row],[Fault Clearance time]]-Table6[[#This Row],[Work Start TimeStamp]])*24</f>
        <v>13.983333333333334</v>
      </c>
      <c r="T541" s="350">
        <f>(Table6[[#This Row],[Fault Clearance time]]-Table6[[#This Row],[Fault Start TimeStamp]])*24</f>
        <v>15.66666666666667</v>
      </c>
      <c r="U541" s="346" t="s">
        <v>601</v>
      </c>
      <c r="V541" s="351" t="s">
        <v>463</v>
      </c>
      <c r="W541" s="338">
        <f>Table6[[#This Row],[Breakdown Time]]*(1/39)</f>
        <v>0.40170940170940178</v>
      </c>
      <c r="X541" s="336" t="s">
        <v>465</v>
      </c>
      <c r="Y541" s="352" t="s">
        <v>129</v>
      </c>
      <c r="Z541" s="105">
        <v>5076</v>
      </c>
      <c r="AA541" s="107">
        <v>3313.5000000000005</v>
      </c>
      <c r="AB541" s="105" t="s">
        <v>478</v>
      </c>
    </row>
    <row r="542" spans="1:28">
      <c r="A542" s="105">
        <f t="shared" si="8"/>
        <v>541</v>
      </c>
      <c r="B542" s="107">
        <f>YEAR(Table6[[#This Row],[Date]])+IF(MONTH(Table6[[#This Row],[Date]])&gt;=4,1,0)</f>
        <v>2026</v>
      </c>
      <c r="C542" s="105">
        <f>YEAR(Table6[[#This Row],[Date]])</f>
        <v>2025</v>
      </c>
      <c r="D542" s="105" t="s">
        <v>490</v>
      </c>
      <c r="E542" s="119">
        <f>Table6[[#This Row],[Date]]-DAY(Table6[[#This Row],[Date]])+1</f>
        <v>45778</v>
      </c>
      <c r="F542" s="118">
        <v>45791</v>
      </c>
      <c r="G542" s="105" t="s">
        <v>118</v>
      </c>
      <c r="H542" s="39" t="str">
        <f>_xlfn.XLOOKUP(Table6[[#This Row],[Affected WTG]],'Basic Data'!$A:$A,'Basic Data'!$B:$B)</f>
        <v>PWEGPL</v>
      </c>
      <c r="I542" s="39" t="str">
        <f>_xlfn.XLOOKUP(Table6[[#This Row],[Affected WTG]],'Basic Data'!$A:$A,'Basic Data'!$C:$C)</f>
        <v>MSEDCL</v>
      </c>
      <c r="J542" s="345">
        <f>IFERROR(VLOOKUP(Table6[[#This Row],[Affected WTG]],'Basic Data'!$A$3:$E$56,5,0),"")</f>
        <v>2.564102564102564E-2</v>
      </c>
      <c r="K542" s="105">
        <v>222</v>
      </c>
      <c r="L542" s="39" t="str">
        <f>IFERROR(VLOOKUP(Table6[[#This Row],[Error Code]],'Basic Data'!$T:$U,2,0),"")</f>
        <v>Very Low Pressure On Hydraulic Unit</v>
      </c>
      <c r="M542" s="346" t="s">
        <v>462</v>
      </c>
      <c r="N542" s="39" t="s">
        <v>1270</v>
      </c>
      <c r="O542" s="347">
        <v>0.74652777777777779</v>
      </c>
      <c r="P542" s="347">
        <v>0.79305555555555551</v>
      </c>
      <c r="Q542" s="347">
        <v>0.85347222222222219</v>
      </c>
      <c r="R542" s="348">
        <f>IF(Table6[[#This Row],[Work Start TimeStamp]]="","",(Table6[[#This Row],[Work Start TimeStamp]]-Table6[[#This Row],[Fault Start TimeStamp]])*24)</f>
        <v>1.1166666666666654</v>
      </c>
      <c r="S542" s="349">
        <f>(Table6[[#This Row],[Fault Clearance time]]-Table6[[#This Row],[Work Start TimeStamp]])*24</f>
        <v>1.4500000000000002</v>
      </c>
      <c r="T542" s="350">
        <f>(Table6[[#This Row],[Fault Clearance time]]-Table6[[#This Row],[Fault Start TimeStamp]])*24</f>
        <v>2.5666666666666655</v>
      </c>
      <c r="U542" s="346" t="s">
        <v>602</v>
      </c>
      <c r="V542" s="351" t="s">
        <v>463</v>
      </c>
      <c r="W542" s="338">
        <f>Table6[[#This Row],[Breakdown Time]]*(1/39)</f>
        <v>6.5811965811965786E-2</v>
      </c>
      <c r="X542" s="336" t="s">
        <v>465</v>
      </c>
      <c r="Y542" s="352" t="s">
        <v>116</v>
      </c>
      <c r="Z542" s="105">
        <v>4843</v>
      </c>
      <c r="AA542" s="107">
        <v>517.93194444444418</v>
      </c>
      <c r="AB542" s="105" t="s">
        <v>478</v>
      </c>
    </row>
    <row r="543" spans="1:28">
      <c r="A543" s="105">
        <f t="shared" si="8"/>
        <v>542</v>
      </c>
      <c r="B543" s="107">
        <f>YEAR(Table6[[#This Row],[Date]])+IF(MONTH(Table6[[#This Row],[Date]])&gt;=4,1,0)</f>
        <v>2026</v>
      </c>
      <c r="C543" s="105">
        <f>YEAR(Table6[[#This Row],[Date]])</f>
        <v>2025</v>
      </c>
      <c r="D543" s="105" t="s">
        <v>490</v>
      </c>
      <c r="E543" s="119">
        <f>Table6[[#This Row],[Date]]-DAY(Table6[[#This Row],[Date]])+1</f>
        <v>45778</v>
      </c>
      <c r="F543" s="118">
        <v>45791</v>
      </c>
      <c r="G543" s="105" t="s">
        <v>127</v>
      </c>
      <c r="H543" s="39" t="str">
        <f>_xlfn.XLOOKUP(Table6[[#This Row],[Affected WTG]],'Basic Data'!$A:$A,'Basic Data'!$B:$B)</f>
        <v>PWEGPL</v>
      </c>
      <c r="I543" s="39" t="str">
        <f>_xlfn.XLOOKUP(Table6[[#This Row],[Affected WTG]],'Basic Data'!$A:$A,'Basic Data'!$C:$C)</f>
        <v>MSEDCL</v>
      </c>
      <c r="J543" s="345">
        <f>IFERROR(VLOOKUP(Table6[[#This Row],[Affected WTG]],'Basic Data'!$A$3:$E$56,5,0),"")</f>
        <v>2.564102564102564E-2</v>
      </c>
      <c r="K543" s="105" t="s">
        <v>492</v>
      </c>
      <c r="L543" s="39" t="str">
        <f>IFERROR(VLOOKUP(Table6[[#This Row],[Error Code]],'Basic Data'!$T:$U,2,0),"")</f>
        <v>Manual Stop - Safety Related</v>
      </c>
      <c r="M543" s="346" t="s">
        <v>481</v>
      </c>
      <c r="N543" s="39" t="s">
        <v>230</v>
      </c>
      <c r="O543" s="347">
        <v>0.63541666666666663</v>
      </c>
      <c r="P543" s="347">
        <v>0.63541666666666663</v>
      </c>
      <c r="Q543" s="347">
        <v>0.77083333333333337</v>
      </c>
      <c r="R543" s="348">
        <f>IF(Table6[[#This Row],[Work Start TimeStamp]]="","",(Table6[[#This Row],[Work Start TimeStamp]]-Table6[[#This Row],[Fault Start TimeStamp]])*24)</f>
        <v>0</v>
      </c>
      <c r="S543" s="349">
        <f>(Table6[[#This Row],[Fault Clearance time]]-Table6[[#This Row],[Work Start TimeStamp]])*24</f>
        <v>3.2500000000000018</v>
      </c>
      <c r="T543" s="350">
        <f>(Table6[[#This Row],[Fault Clearance time]]-Table6[[#This Row],[Fault Start TimeStamp]])*24</f>
        <v>3.2500000000000018</v>
      </c>
      <c r="U543" s="346" t="s">
        <v>508</v>
      </c>
      <c r="V543" s="351" t="s">
        <v>463</v>
      </c>
      <c r="W543" s="338">
        <f>Table6[[#This Row],[Breakdown Time]]*(1/39)</f>
        <v>8.333333333333337E-2</v>
      </c>
      <c r="X543" s="336" t="s">
        <v>468</v>
      </c>
      <c r="Y543" s="352" t="s">
        <v>126</v>
      </c>
      <c r="Z543" s="105">
        <v>5012</v>
      </c>
      <c r="AA543" s="107">
        <v>678.70833333333371</v>
      </c>
      <c r="AB543" s="105" t="s">
        <v>478</v>
      </c>
    </row>
    <row r="544" spans="1:28">
      <c r="A544" s="105">
        <f t="shared" si="8"/>
        <v>543</v>
      </c>
      <c r="B544" s="107">
        <f>YEAR(Table6[[#This Row],[Date]])+IF(MONTH(Table6[[#This Row],[Date]])&gt;=4,1,0)</f>
        <v>2026</v>
      </c>
      <c r="C544" s="105">
        <f>YEAR(Table6[[#This Row],[Date]])</f>
        <v>2025</v>
      </c>
      <c r="D544" s="105" t="s">
        <v>490</v>
      </c>
      <c r="E544" s="119">
        <f>Table6[[#This Row],[Date]]-DAY(Table6[[#This Row],[Date]])+1</f>
        <v>45778</v>
      </c>
      <c r="F544" s="118">
        <v>45791</v>
      </c>
      <c r="G544" s="105" t="s">
        <v>135</v>
      </c>
      <c r="H544" s="39" t="str">
        <f>_xlfn.XLOOKUP(Table6[[#This Row],[Affected WTG]],'Basic Data'!$A:$A,'Basic Data'!$B:$B)</f>
        <v>PWEGPL</v>
      </c>
      <c r="I544" s="39" t="str">
        <f>_xlfn.XLOOKUP(Table6[[#This Row],[Affected WTG]],'Basic Data'!$A:$A,'Basic Data'!$C:$C)</f>
        <v>MSEDCL</v>
      </c>
      <c r="J544" s="345">
        <f>IFERROR(VLOOKUP(Table6[[#This Row],[Affected WTG]],'Basic Data'!$A$3:$E$56,5,0),"")</f>
        <v>2.564102564102564E-2</v>
      </c>
      <c r="K544" s="105" t="s">
        <v>492</v>
      </c>
      <c r="L544" s="39" t="str">
        <f>IFERROR(VLOOKUP(Table6[[#This Row],[Error Code]],'Basic Data'!$T:$U,2,0),"")</f>
        <v>Manual Stop - Safety Related</v>
      </c>
      <c r="M544" s="346" t="s">
        <v>481</v>
      </c>
      <c r="N544" s="39" t="s">
        <v>230</v>
      </c>
      <c r="O544" s="347">
        <v>0.31527777777777777</v>
      </c>
      <c r="P544" s="347">
        <v>0.48194444444444445</v>
      </c>
      <c r="Q544" s="347">
        <v>0.5625</v>
      </c>
      <c r="R544" s="348">
        <f>IF(Table6[[#This Row],[Work Start TimeStamp]]="","",(Table6[[#This Row],[Work Start TimeStamp]]-Table6[[#This Row],[Fault Start TimeStamp]])*24)</f>
        <v>4</v>
      </c>
      <c r="S544" s="349">
        <f>(Table6[[#This Row],[Fault Clearance time]]-Table6[[#This Row],[Work Start TimeStamp]])*24</f>
        <v>1.9333333333333331</v>
      </c>
      <c r="T544" s="350">
        <f>(Table6[[#This Row],[Fault Clearance time]]-Table6[[#This Row],[Fault Start TimeStamp]])*24</f>
        <v>5.9333333333333336</v>
      </c>
      <c r="U544" s="346" t="s">
        <v>508</v>
      </c>
      <c r="V544" s="351" t="s">
        <v>463</v>
      </c>
      <c r="W544" s="338">
        <f>Table6[[#This Row],[Breakdown Time]]*(1/39)</f>
        <v>0.15213675213675215</v>
      </c>
      <c r="X544" s="336" t="s">
        <v>468</v>
      </c>
      <c r="Y544" s="352" t="s">
        <v>136</v>
      </c>
      <c r="Z544" s="105">
        <v>3256</v>
      </c>
      <c r="AA544" s="107">
        <v>804.95555555555552</v>
      </c>
      <c r="AB544" s="105" t="s">
        <v>478</v>
      </c>
    </row>
    <row r="545" spans="1:28">
      <c r="A545" s="105">
        <f t="shared" si="8"/>
        <v>544</v>
      </c>
      <c r="B545" s="107">
        <f>YEAR(Table6[[#This Row],[Date]])+IF(MONTH(Table6[[#This Row],[Date]])&gt;=4,1,0)</f>
        <v>2026</v>
      </c>
      <c r="C545" s="105">
        <f>YEAR(Table6[[#This Row],[Date]])</f>
        <v>2025</v>
      </c>
      <c r="D545" s="105" t="s">
        <v>490</v>
      </c>
      <c r="E545" s="119">
        <f>Table6[[#This Row],[Date]]-DAY(Table6[[#This Row],[Date]])+1</f>
        <v>45778</v>
      </c>
      <c r="F545" s="118">
        <v>45791</v>
      </c>
      <c r="G545" s="105" t="s">
        <v>135</v>
      </c>
      <c r="H545" s="39" t="str">
        <f>_xlfn.XLOOKUP(Table6[[#This Row],[Affected WTG]],'Basic Data'!$A:$A,'Basic Data'!$B:$B)</f>
        <v>PWEGPL</v>
      </c>
      <c r="I545" s="39" t="str">
        <f>_xlfn.XLOOKUP(Table6[[#This Row],[Affected WTG]],'Basic Data'!$A:$A,'Basic Data'!$C:$C)</f>
        <v>MSEDCL</v>
      </c>
      <c r="J545" s="345">
        <f>IFERROR(VLOOKUP(Table6[[#This Row],[Affected WTG]],'Basic Data'!$A$3:$E$56,5,0),"")</f>
        <v>2.564102564102564E-2</v>
      </c>
      <c r="K545" s="105" t="s">
        <v>466</v>
      </c>
      <c r="L545" s="39" t="str">
        <f>IFERROR(VLOOKUP(Table6[[#This Row],[Error Code]],'Basic Data'!$T:$U,2,0),"")</f>
        <v>Manual Stop</v>
      </c>
      <c r="M545" s="346" t="s">
        <v>230</v>
      </c>
      <c r="N545" s="39" t="s">
        <v>230</v>
      </c>
      <c r="O545" s="347">
        <v>8.4722222222222227E-2</v>
      </c>
      <c r="P545" s="347">
        <v>8.4722222222222227E-2</v>
      </c>
      <c r="Q545" s="347">
        <v>0.13750000000000001</v>
      </c>
      <c r="R545" s="348">
        <f>IF(Table6[[#This Row],[Work Start TimeStamp]]="","",(Table6[[#This Row],[Work Start TimeStamp]]-Table6[[#This Row],[Fault Start TimeStamp]])*24)</f>
        <v>0</v>
      </c>
      <c r="S545" s="349">
        <f>(Table6[[#This Row],[Fault Clearance time]]-Table6[[#This Row],[Work Start TimeStamp]])*24</f>
        <v>1.2666666666666668</v>
      </c>
      <c r="T545" s="350">
        <f>(Table6[[#This Row],[Fault Clearance time]]-Table6[[#This Row],[Fault Start TimeStamp]])*24</f>
        <v>1.2666666666666668</v>
      </c>
      <c r="U545" s="346" t="s">
        <v>603</v>
      </c>
      <c r="V545" s="351" t="s">
        <v>463</v>
      </c>
      <c r="W545" s="338">
        <f>Table6[[#This Row],[Breakdown Time]]*(1/39)</f>
        <v>3.2478632478632481E-2</v>
      </c>
      <c r="X545" s="336" t="s">
        <v>464</v>
      </c>
      <c r="Y545" s="352" t="s">
        <v>136</v>
      </c>
      <c r="Z545" s="105">
        <v>3256</v>
      </c>
      <c r="AA545" s="107">
        <v>171.84444444444446</v>
      </c>
      <c r="AB545" s="105" t="s">
        <v>478</v>
      </c>
    </row>
    <row r="546" spans="1:28">
      <c r="A546" s="105">
        <f t="shared" si="8"/>
        <v>545</v>
      </c>
      <c r="B546" s="107">
        <f>YEAR(Table6[[#This Row],[Date]])+IF(MONTH(Table6[[#This Row],[Date]])&gt;=4,1,0)</f>
        <v>2026</v>
      </c>
      <c r="C546" s="105">
        <f>YEAR(Table6[[#This Row],[Date]])</f>
        <v>2025</v>
      </c>
      <c r="D546" s="105" t="s">
        <v>490</v>
      </c>
      <c r="E546" s="119">
        <f>Table6[[#This Row],[Date]]-DAY(Table6[[#This Row],[Date]])+1</f>
        <v>45778</v>
      </c>
      <c r="F546" s="118">
        <v>45792</v>
      </c>
      <c r="G546" s="105" t="s">
        <v>144</v>
      </c>
      <c r="H546" s="39" t="str">
        <f>_xlfn.XLOOKUP(Table6[[#This Row],[Affected WTG]],'Basic Data'!$A:$A,'Basic Data'!$B:$B)</f>
        <v>PWEGPL</v>
      </c>
      <c r="I546" s="39" t="str">
        <f>_xlfn.XLOOKUP(Table6[[#This Row],[Affected WTG]],'Basic Data'!$A:$A,'Basic Data'!$C:$C)</f>
        <v>MSEDCL</v>
      </c>
      <c r="J546" s="345">
        <f>IFERROR(VLOOKUP(Table6[[#This Row],[Affected WTG]],'Basic Data'!$A$3:$E$56,5,0),"")</f>
        <v>2.564102564102564E-2</v>
      </c>
      <c r="K546" s="105" t="s">
        <v>492</v>
      </c>
      <c r="L546" s="39" t="str">
        <f>IFERROR(VLOOKUP(Table6[[#This Row],[Error Code]],'Basic Data'!$T:$U,2,0),"")</f>
        <v>Manual Stop - Safety Related</v>
      </c>
      <c r="M546" s="346" t="s">
        <v>481</v>
      </c>
      <c r="N546" s="39" t="s">
        <v>1269</v>
      </c>
      <c r="O546" s="347">
        <v>0</v>
      </c>
      <c r="P546" s="347">
        <v>0.99930555555555556</v>
      </c>
      <c r="Q546" s="347">
        <v>0.99930555555555556</v>
      </c>
      <c r="R546" s="348">
        <f>IF(Table6[[#This Row],[Work Start TimeStamp]]="","",(Table6[[#This Row],[Work Start TimeStamp]]-Table6[[#This Row],[Fault Start TimeStamp]])*24)</f>
        <v>23.983333333333334</v>
      </c>
      <c r="S546" s="349">
        <f>(Table6[[#This Row],[Fault Clearance time]]-Table6[[#This Row],[Work Start TimeStamp]])*24</f>
        <v>0</v>
      </c>
      <c r="T546" s="350">
        <f>(Table6[[#This Row],[Fault Clearance time]]-Table6[[#This Row],[Fault Start TimeStamp]])*24</f>
        <v>23.983333333333334</v>
      </c>
      <c r="U546" s="346" t="s">
        <v>498</v>
      </c>
      <c r="V546" s="351" t="s">
        <v>473</v>
      </c>
      <c r="W546" s="338">
        <f>Table6[[#This Row],[Breakdown Time]]*(1/39)</f>
        <v>0.61495726495726499</v>
      </c>
      <c r="X546" s="336" t="s">
        <v>468</v>
      </c>
      <c r="Y546" s="352" t="s">
        <v>141</v>
      </c>
      <c r="Z546" s="105">
        <v>5042</v>
      </c>
      <c r="AA546" s="107">
        <v>5038.4986111111111</v>
      </c>
      <c r="AB546" s="105" t="s">
        <v>478</v>
      </c>
    </row>
    <row r="547" spans="1:28">
      <c r="A547" s="105">
        <f t="shared" si="8"/>
        <v>546</v>
      </c>
      <c r="B547" s="107">
        <f>YEAR(Table6[[#This Row],[Date]])+IF(MONTH(Table6[[#This Row],[Date]])&gt;=4,1,0)</f>
        <v>2026</v>
      </c>
      <c r="C547" s="105">
        <f>YEAR(Table6[[#This Row],[Date]])</f>
        <v>2025</v>
      </c>
      <c r="D547" s="105" t="s">
        <v>490</v>
      </c>
      <c r="E547" s="119">
        <f>Table6[[#This Row],[Date]]-DAY(Table6[[#This Row],[Date]])+1</f>
        <v>45778</v>
      </c>
      <c r="F547" s="118">
        <v>45792</v>
      </c>
      <c r="G547" s="105" t="s">
        <v>142</v>
      </c>
      <c r="H547" s="39" t="str">
        <f>_xlfn.XLOOKUP(Table6[[#This Row],[Affected WTG]],'Basic Data'!$A:$A,'Basic Data'!$B:$B)</f>
        <v>PWEGPL</v>
      </c>
      <c r="I547" s="39" t="str">
        <f>_xlfn.XLOOKUP(Table6[[#This Row],[Affected WTG]],'Basic Data'!$A:$A,'Basic Data'!$C:$C)</f>
        <v>MSEDCL</v>
      </c>
      <c r="J547" s="345">
        <f>IFERROR(VLOOKUP(Table6[[#This Row],[Affected WTG]],'Basic Data'!$A$3:$E$56,5,0),"")</f>
        <v>2.564102564102564E-2</v>
      </c>
      <c r="K547" s="105" t="s">
        <v>492</v>
      </c>
      <c r="L547" s="39" t="str">
        <f>IFERROR(VLOOKUP(Table6[[#This Row],[Error Code]],'Basic Data'!$T:$U,2,0),"")</f>
        <v>Manual Stop - Safety Related</v>
      </c>
      <c r="M547" s="346" t="s">
        <v>481</v>
      </c>
      <c r="N547" s="39" t="s">
        <v>1269</v>
      </c>
      <c r="O547" s="347">
        <v>0</v>
      </c>
      <c r="P547" s="347">
        <v>0.99930555555555556</v>
      </c>
      <c r="Q547" s="347">
        <v>0.99930555555555556</v>
      </c>
      <c r="R547" s="348">
        <f>IF(Table6[[#This Row],[Work Start TimeStamp]]="","",(Table6[[#This Row],[Work Start TimeStamp]]-Table6[[#This Row],[Fault Start TimeStamp]])*24)</f>
        <v>23.983333333333334</v>
      </c>
      <c r="S547" s="349">
        <f>(Table6[[#This Row],[Fault Clearance time]]-Table6[[#This Row],[Work Start TimeStamp]])*24</f>
        <v>0</v>
      </c>
      <c r="T547" s="350">
        <f>(Table6[[#This Row],[Fault Clearance time]]-Table6[[#This Row],[Fault Start TimeStamp]])*24</f>
        <v>23.983333333333334</v>
      </c>
      <c r="U547" s="346" t="s">
        <v>498</v>
      </c>
      <c r="V547" s="351" t="s">
        <v>473</v>
      </c>
      <c r="W547" s="338">
        <f>Table6[[#This Row],[Breakdown Time]]*(1/39)</f>
        <v>0.61495726495726499</v>
      </c>
      <c r="X547" s="336" t="s">
        <v>468</v>
      </c>
      <c r="Y547" s="352" t="s">
        <v>141</v>
      </c>
      <c r="Z547" s="105">
        <v>5042</v>
      </c>
      <c r="AA547" s="107">
        <v>5038.4986111111111</v>
      </c>
      <c r="AB547" s="105" t="s">
        <v>478</v>
      </c>
    </row>
    <row r="548" spans="1:28">
      <c r="A548" s="105">
        <f t="shared" si="8"/>
        <v>547</v>
      </c>
      <c r="B548" s="107">
        <f>YEAR(Table6[[#This Row],[Date]])+IF(MONTH(Table6[[#This Row],[Date]])&gt;=4,1,0)</f>
        <v>2026</v>
      </c>
      <c r="C548" s="105">
        <f>YEAR(Table6[[#This Row],[Date]])</f>
        <v>2025</v>
      </c>
      <c r="D548" s="105" t="s">
        <v>490</v>
      </c>
      <c r="E548" s="119">
        <f>Table6[[#This Row],[Date]]-DAY(Table6[[#This Row],[Date]])+1</f>
        <v>45778</v>
      </c>
      <c r="F548" s="118">
        <v>45792</v>
      </c>
      <c r="G548" s="105" t="s">
        <v>120</v>
      </c>
      <c r="H548" s="39" t="str">
        <f>_xlfn.XLOOKUP(Table6[[#This Row],[Affected WTG]],'Basic Data'!$A:$A,'Basic Data'!$B:$B)</f>
        <v>PWEGPL</v>
      </c>
      <c r="I548" s="39" t="str">
        <f>_xlfn.XLOOKUP(Table6[[#This Row],[Affected WTG]],'Basic Data'!$A:$A,'Basic Data'!$C:$C)</f>
        <v>MSEDCL</v>
      </c>
      <c r="J548" s="345">
        <f>IFERROR(VLOOKUP(Table6[[#This Row],[Affected WTG]],'Basic Data'!$A$3:$E$56,5,0),"")</f>
        <v>2.564102564102564E-2</v>
      </c>
      <c r="K548" s="105" t="s">
        <v>466</v>
      </c>
      <c r="L548" s="39" t="str">
        <f>IFERROR(VLOOKUP(Table6[[#This Row],[Error Code]],'Basic Data'!$T:$U,2,0),"")</f>
        <v>Manual Stop</v>
      </c>
      <c r="M548" s="346" t="s">
        <v>507</v>
      </c>
      <c r="N548" s="39" t="s">
        <v>230</v>
      </c>
      <c r="O548" s="347">
        <v>0.4777777777777778</v>
      </c>
      <c r="P548" s="347">
        <v>0.4777777777777778</v>
      </c>
      <c r="Q548" s="347">
        <v>0.60138888888888886</v>
      </c>
      <c r="R548" s="348">
        <f>IF(Table6[[#This Row],[Work Start TimeStamp]]="","",(Table6[[#This Row],[Work Start TimeStamp]]-Table6[[#This Row],[Fault Start TimeStamp]])*24)</f>
        <v>0</v>
      </c>
      <c r="S548" s="349">
        <f>(Table6[[#This Row],[Fault Clearance time]]-Table6[[#This Row],[Work Start TimeStamp]])*24</f>
        <v>2.9666666666666655</v>
      </c>
      <c r="T548" s="350">
        <f>(Table6[[#This Row],[Fault Clearance time]]-Table6[[#This Row],[Fault Start TimeStamp]])*24</f>
        <v>2.9666666666666655</v>
      </c>
      <c r="U548" s="346" t="s">
        <v>583</v>
      </c>
      <c r="V548" s="351" t="s">
        <v>463</v>
      </c>
      <c r="W548" s="338">
        <f>Table6[[#This Row],[Breakdown Time]]*(1/39)</f>
        <v>7.6068376068376034E-2</v>
      </c>
      <c r="X548" s="336" t="s">
        <v>464</v>
      </c>
      <c r="Y548" s="352" t="s">
        <v>117</v>
      </c>
      <c r="Z548" s="105">
        <v>6423</v>
      </c>
      <c r="AA548" s="107">
        <v>793.95416666666631</v>
      </c>
      <c r="AB548" s="105" t="s">
        <v>478</v>
      </c>
    </row>
    <row r="549" spans="1:28">
      <c r="A549" s="105">
        <f t="shared" si="8"/>
        <v>548</v>
      </c>
      <c r="B549" s="107">
        <f>YEAR(Table6[[#This Row],[Date]])+IF(MONTH(Table6[[#This Row],[Date]])&gt;=4,1,0)</f>
        <v>2026</v>
      </c>
      <c r="C549" s="105">
        <f>YEAR(Table6[[#This Row],[Date]])</f>
        <v>2025</v>
      </c>
      <c r="D549" s="105" t="s">
        <v>490</v>
      </c>
      <c r="E549" s="119">
        <f>Table6[[#This Row],[Date]]-DAY(Table6[[#This Row],[Date]])+1</f>
        <v>45778</v>
      </c>
      <c r="F549" s="118">
        <v>45792</v>
      </c>
      <c r="G549" s="105" t="s">
        <v>121</v>
      </c>
      <c r="H549" s="39" t="str">
        <f>_xlfn.XLOOKUP(Table6[[#This Row],[Affected WTG]],'Basic Data'!$A:$A,'Basic Data'!$B:$B)</f>
        <v>PWEGPL</v>
      </c>
      <c r="I549" s="39" t="str">
        <f>_xlfn.XLOOKUP(Table6[[#This Row],[Affected WTG]],'Basic Data'!$A:$A,'Basic Data'!$C:$C)</f>
        <v>MSEDCL</v>
      </c>
      <c r="J549" s="345">
        <f>IFERROR(VLOOKUP(Table6[[#This Row],[Affected WTG]],'Basic Data'!$A$3:$E$56,5,0),"")</f>
        <v>2.564102564102564E-2</v>
      </c>
      <c r="K549" s="105" t="s">
        <v>466</v>
      </c>
      <c r="L549" s="39" t="str">
        <f>IFERROR(VLOOKUP(Table6[[#This Row],[Error Code]],'Basic Data'!$T:$U,2,0),"")</f>
        <v>Manual Stop</v>
      </c>
      <c r="M549" s="346" t="s">
        <v>507</v>
      </c>
      <c r="N549" s="39" t="s">
        <v>230</v>
      </c>
      <c r="O549" s="347">
        <v>0.59375</v>
      </c>
      <c r="P549" s="347">
        <v>0.59375</v>
      </c>
      <c r="Q549" s="347">
        <v>0.66666666666666663</v>
      </c>
      <c r="R549" s="348">
        <f>IF(Table6[[#This Row],[Work Start TimeStamp]]="","",(Table6[[#This Row],[Work Start TimeStamp]]-Table6[[#This Row],[Fault Start TimeStamp]])*24)</f>
        <v>0</v>
      </c>
      <c r="S549" s="349">
        <f>(Table6[[#This Row],[Fault Clearance time]]-Table6[[#This Row],[Work Start TimeStamp]])*24</f>
        <v>1.7499999999999991</v>
      </c>
      <c r="T549" s="350">
        <f>(Table6[[#This Row],[Fault Clearance time]]-Table6[[#This Row],[Fault Start TimeStamp]])*24</f>
        <v>1.7499999999999991</v>
      </c>
      <c r="U549" s="346" t="s">
        <v>583</v>
      </c>
      <c r="V549" s="351" t="s">
        <v>463</v>
      </c>
      <c r="W549" s="338">
        <f>Table6[[#This Row],[Breakdown Time]]*(1/39)</f>
        <v>4.4871794871794844E-2</v>
      </c>
      <c r="X549" s="336" t="s">
        <v>464</v>
      </c>
      <c r="Y549" s="352" t="s">
        <v>115</v>
      </c>
      <c r="Z549" s="105">
        <v>6421</v>
      </c>
      <c r="AA549" s="107">
        <v>468.19791666666646</v>
      </c>
      <c r="AB549" s="105" t="s">
        <v>478</v>
      </c>
    </row>
    <row r="550" spans="1:28">
      <c r="A550" s="105">
        <f t="shared" si="8"/>
        <v>549</v>
      </c>
      <c r="B550" s="107">
        <f>YEAR(Table6[[#This Row],[Date]])+IF(MONTH(Table6[[#This Row],[Date]])&gt;=4,1,0)</f>
        <v>2026</v>
      </c>
      <c r="C550" s="105">
        <f>YEAR(Table6[[#This Row],[Date]])</f>
        <v>2025</v>
      </c>
      <c r="D550" s="105" t="s">
        <v>490</v>
      </c>
      <c r="E550" s="119">
        <f>Table6[[#This Row],[Date]]-DAY(Table6[[#This Row],[Date]])+1</f>
        <v>45778</v>
      </c>
      <c r="F550" s="118">
        <v>45792</v>
      </c>
      <c r="G550" s="105" t="s">
        <v>126</v>
      </c>
      <c r="H550" s="39" t="str">
        <f>_xlfn.XLOOKUP(Table6[[#This Row],[Affected WTG]],'Basic Data'!$A:$A,'Basic Data'!$B:$B)</f>
        <v>PWEGPL</v>
      </c>
      <c r="I550" s="39" t="str">
        <f>_xlfn.XLOOKUP(Table6[[#This Row],[Affected WTG]],'Basic Data'!$A:$A,'Basic Data'!$C:$C)</f>
        <v>MSEDCL</v>
      </c>
      <c r="J550" s="345">
        <f>IFERROR(VLOOKUP(Table6[[#This Row],[Affected WTG]],'Basic Data'!$A$3:$E$56,5,0),"")</f>
        <v>2.564102564102564E-2</v>
      </c>
      <c r="K550" s="105" t="s">
        <v>492</v>
      </c>
      <c r="L550" s="39" t="str">
        <f>IFERROR(VLOOKUP(Table6[[#This Row],[Error Code]],'Basic Data'!$T:$U,2,0),"")</f>
        <v>Manual Stop - Safety Related</v>
      </c>
      <c r="M550" s="346" t="s">
        <v>481</v>
      </c>
      <c r="N550" s="39" t="s">
        <v>230</v>
      </c>
      <c r="O550" s="347">
        <v>0.46875</v>
      </c>
      <c r="P550" s="347">
        <v>0.46875</v>
      </c>
      <c r="Q550" s="347">
        <v>0.61111111111111116</v>
      </c>
      <c r="R550" s="348">
        <f>IF(Table6[[#This Row],[Work Start TimeStamp]]="","",(Table6[[#This Row],[Work Start TimeStamp]]-Table6[[#This Row],[Fault Start TimeStamp]])*24)</f>
        <v>0</v>
      </c>
      <c r="S550" s="349">
        <f>(Table6[[#This Row],[Fault Clearance time]]-Table6[[#This Row],[Work Start TimeStamp]])*24</f>
        <v>3.4166666666666679</v>
      </c>
      <c r="T550" s="350">
        <f>(Table6[[#This Row],[Fault Clearance time]]-Table6[[#This Row],[Fault Start TimeStamp]])*24</f>
        <v>3.4166666666666679</v>
      </c>
      <c r="U550" s="346" t="s">
        <v>508</v>
      </c>
      <c r="V550" s="351" t="s">
        <v>463</v>
      </c>
      <c r="W550" s="338">
        <f>Table6[[#This Row],[Breakdown Time]]*(1/39)</f>
        <v>8.7606837606837629E-2</v>
      </c>
      <c r="X550" s="336" t="s">
        <v>468</v>
      </c>
      <c r="Y550" s="352" t="s">
        <v>127</v>
      </c>
      <c r="Z550" s="105">
        <v>5867</v>
      </c>
      <c r="AA550" s="107">
        <v>835.23263888888926</v>
      </c>
      <c r="AB550" s="105" t="s">
        <v>478</v>
      </c>
    </row>
    <row r="551" spans="1:28">
      <c r="A551" s="105">
        <f t="shared" si="8"/>
        <v>550</v>
      </c>
      <c r="B551" s="107">
        <f>YEAR(Table6[[#This Row],[Date]])+IF(MONTH(Table6[[#This Row],[Date]])&gt;=4,1,0)</f>
        <v>2026</v>
      </c>
      <c r="C551" s="105">
        <f>YEAR(Table6[[#This Row],[Date]])</f>
        <v>2025</v>
      </c>
      <c r="D551" s="105" t="s">
        <v>490</v>
      </c>
      <c r="E551" s="119">
        <f>Table6[[#This Row],[Date]]-DAY(Table6[[#This Row],[Date]])+1</f>
        <v>45778</v>
      </c>
      <c r="F551" s="118">
        <v>45792</v>
      </c>
      <c r="G551" s="105" t="s">
        <v>138</v>
      </c>
      <c r="H551" s="39" t="str">
        <f>_xlfn.XLOOKUP(Table6[[#This Row],[Affected WTG]],'Basic Data'!$A:$A,'Basic Data'!$B:$B)</f>
        <v>PWEGPL</v>
      </c>
      <c r="I551" s="39" t="str">
        <f>_xlfn.XLOOKUP(Table6[[#This Row],[Affected WTG]],'Basic Data'!$A:$A,'Basic Data'!$C:$C)</f>
        <v>MSEDCL</v>
      </c>
      <c r="J551" s="345">
        <f>IFERROR(VLOOKUP(Table6[[#This Row],[Affected WTG]],'Basic Data'!$A$3:$E$56,5,0),"")</f>
        <v>2.564102564102564E-2</v>
      </c>
      <c r="K551" s="105">
        <v>205</v>
      </c>
      <c r="L551" s="39" t="str">
        <f>IFERROR(VLOOKUP(Table6[[#This Row],[Error Code]],'Basic Data'!$T:$U,2,0),"")</f>
        <v>Low Level Hydraulic Group Refrigeration Oil</v>
      </c>
      <c r="M551" s="346" t="s">
        <v>462</v>
      </c>
      <c r="N551" s="39" t="s">
        <v>1270</v>
      </c>
      <c r="O551" s="347">
        <v>0.55555555555555558</v>
      </c>
      <c r="P551" s="347">
        <v>0.58472222222222225</v>
      </c>
      <c r="Q551" s="347">
        <v>0.65694444444444444</v>
      </c>
      <c r="R551" s="348">
        <f>IF(Table6[[#This Row],[Work Start TimeStamp]]="","",(Table6[[#This Row],[Work Start TimeStamp]]-Table6[[#This Row],[Fault Start TimeStamp]])*24)</f>
        <v>0.70000000000000018</v>
      </c>
      <c r="S551" s="349">
        <f>(Table6[[#This Row],[Fault Clearance time]]-Table6[[#This Row],[Work Start TimeStamp]])*24</f>
        <v>1.7333333333333325</v>
      </c>
      <c r="T551" s="350">
        <f>(Table6[[#This Row],[Fault Clearance time]]-Table6[[#This Row],[Fault Start TimeStamp]])*24</f>
        <v>2.4333333333333327</v>
      </c>
      <c r="U551" s="346" t="s">
        <v>546</v>
      </c>
      <c r="V551" s="351" t="s">
        <v>463</v>
      </c>
      <c r="W551" s="338">
        <f>Table6[[#This Row],[Breakdown Time]]*(1/39)</f>
        <v>6.2393162393162373E-2</v>
      </c>
      <c r="X551" s="336" t="s">
        <v>465</v>
      </c>
      <c r="Y551" s="352" t="s">
        <v>140</v>
      </c>
      <c r="Z551" s="105">
        <v>5056</v>
      </c>
      <c r="AA551" s="107">
        <v>512.62222222222204</v>
      </c>
      <c r="AB551" s="105" t="s">
        <v>478</v>
      </c>
    </row>
    <row r="552" spans="1:28">
      <c r="A552" s="105">
        <f t="shared" si="8"/>
        <v>551</v>
      </c>
      <c r="B552" s="107">
        <f>YEAR(Table6[[#This Row],[Date]])+IF(MONTH(Table6[[#This Row],[Date]])&gt;=4,1,0)</f>
        <v>2026</v>
      </c>
      <c r="C552" s="105">
        <f>YEAR(Table6[[#This Row],[Date]])</f>
        <v>2025</v>
      </c>
      <c r="D552" s="105" t="s">
        <v>490</v>
      </c>
      <c r="E552" s="119">
        <f>Table6[[#This Row],[Date]]-DAY(Table6[[#This Row],[Date]])+1</f>
        <v>45778</v>
      </c>
      <c r="F552" s="118">
        <v>45792</v>
      </c>
      <c r="G552" s="105" t="s">
        <v>146</v>
      </c>
      <c r="H552" s="39" t="str">
        <f>_xlfn.XLOOKUP(Table6[[#This Row],[Affected WTG]],'Basic Data'!$A:$A,'Basic Data'!$B:$B)</f>
        <v>PWEGPL</v>
      </c>
      <c r="I552" s="39" t="str">
        <f>_xlfn.XLOOKUP(Table6[[#This Row],[Affected WTG]],'Basic Data'!$A:$A,'Basic Data'!$C:$C)</f>
        <v>MSEDCL</v>
      </c>
      <c r="J552" s="345">
        <f>IFERROR(VLOOKUP(Table6[[#This Row],[Affected WTG]],'Basic Data'!$A$3:$E$56,5,0),"")</f>
        <v>2.564102564102564E-2</v>
      </c>
      <c r="K552" s="105" t="s">
        <v>487</v>
      </c>
      <c r="L552" s="39" t="str">
        <f>IFERROR(VLOOKUP(Table6[[#This Row],[Error Code]],'Basic Data'!$T:$U,2,0),"")</f>
        <v>General Work Stoppage</v>
      </c>
      <c r="M552" s="346" t="s">
        <v>479</v>
      </c>
      <c r="N552" s="39" t="s">
        <v>230</v>
      </c>
      <c r="O552" s="347">
        <v>0.51944444444444449</v>
      </c>
      <c r="P552" s="347">
        <v>0.51944444444444449</v>
      </c>
      <c r="Q552" s="347">
        <v>0.68541666666666667</v>
      </c>
      <c r="R552" s="348">
        <f>IF(Table6[[#This Row],[Work Start TimeStamp]]="","",(Table6[[#This Row],[Work Start TimeStamp]]-Table6[[#This Row],[Fault Start TimeStamp]])*24)</f>
        <v>0</v>
      </c>
      <c r="S552" s="349">
        <f>(Table6[[#This Row],[Fault Clearance time]]-Table6[[#This Row],[Work Start TimeStamp]])*24</f>
        <v>3.9833333333333325</v>
      </c>
      <c r="T552" s="350">
        <f>(Table6[[#This Row],[Fault Clearance time]]-Table6[[#This Row],[Fault Start TimeStamp]])*24</f>
        <v>3.9833333333333325</v>
      </c>
      <c r="U552" s="346" t="s">
        <v>604</v>
      </c>
      <c r="V552" s="351" t="s">
        <v>463</v>
      </c>
      <c r="W552" s="338">
        <f>Table6[[#This Row],[Breakdown Time]]*(1/39)</f>
        <v>0.10213675213675211</v>
      </c>
      <c r="X552" s="336" t="s">
        <v>464</v>
      </c>
      <c r="Y552" s="352" t="s">
        <v>147</v>
      </c>
      <c r="Z552" s="105">
        <v>4572</v>
      </c>
      <c r="AA552" s="107">
        <v>758.82499999999982</v>
      </c>
      <c r="AB552" s="105" t="s">
        <v>478</v>
      </c>
    </row>
    <row r="553" spans="1:28">
      <c r="A553" s="105">
        <f t="shared" si="8"/>
        <v>552</v>
      </c>
      <c r="B553" s="107">
        <f>YEAR(Table6[[#This Row],[Date]])+IF(MONTH(Table6[[#This Row],[Date]])&gt;=4,1,0)</f>
        <v>2026</v>
      </c>
      <c r="C553" s="105">
        <f>YEAR(Table6[[#This Row],[Date]])</f>
        <v>2025</v>
      </c>
      <c r="D553" s="105" t="s">
        <v>490</v>
      </c>
      <c r="E553" s="119">
        <f>Table6[[#This Row],[Date]]-DAY(Table6[[#This Row],[Date]])+1</f>
        <v>45778</v>
      </c>
      <c r="F553" s="118">
        <v>45792</v>
      </c>
      <c r="G553" s="105" t="s">
        <v>152</v>
      </c>
      <c r="H553" s="39" t="str">
        <f>_xlfn.XLOOKUP(Table6[[#This Row],[Affected WTG]],'Basic Data'!$A:$A,'Basic Data'!$B:$B)</f>
        <v>PWEGPL</v>
      </c>
      <c r="I553" s="39" t="str">
        <f>_xlfn.XLOOKUP(Table6[[#This Row],[Affected WTG]],'Basic Data'!$A:$A,'Basic Data'!$C:$C)</f>
        <v>MSEDCL</v>
      </c>
      <c r="J553" s="345">
        <f>IFERROR(VLOOKUP(Table6[[#This Row],[Affected WTG]],'Basic Data'!$A$3:$E$56,5,0),"")</f>
        <v>2.564102564102564E-2</v>
      </c>
      <c r="K553" s="105" t="s">
        <v>476</v>
      </c>
      <c r="L553" s="39" t="str">
        <f>IFERROR(VLOOKUP(Table6[[#This Row],[Error Code]],'Basic Data'!$T:$U,2,0),"")</f>
        <v>Manual Stop - Preventive Maintenance Activity</v>
      </c>
      <c r="M553" s="346" t="s">
        <v>474</v>
      </c>
      <c r="N553" s="39" t="s">
        <v>230</v>
      </c>
      <c r="O553" s="347">
        <v>0.50486111111111109</v>
      </c>
      <c r="P553" s="347">
        <v>0.50486111111111109</v>
      </c>
      <c r="Q553" s="347">
        <v>0.79027777777777775</v>
      </c>
      <c r="R553" s="348">
        <f>IF(Table6[[#This Row],[Work Start TimeStamp]]="","",(Table6[[#This Row],[Work Start TimeStamp]]-Table6[[#This Row],[Fault Start TimeStamp]])*24)</f>
        <v>0</v>
      </c>
      <c r="S553" s="349">
        <f>(Table6[[#This Row],[Fault Clearance time]]-Table6[[#This Row],[Work Start TimeStamp]])*24</f>
        <v>6.85</v>
      </c>
      <c r="T553" s="350">
        <f>(Table6[[#This Row],[Fault Clearance time]]-Table6[[#This Row],[Fault Start TimeStamp]])*24</f>
        <v>6.85</v>
      </c>
      <c r="U553" s="346" t="s">
        <v>582</v>
      </c>
      <c r="V553" s="351" t="s">
        <v>463</v>
      </c>
      <c r="W553" s="338">
        <f>Table6[[#This Row],[Breakdown Time]]*(1/39)</f>
        <v>0.17564102564102563</v>
      </c>
      <c r="X553" s="336" t="s">
        <v>467</v>
      </c>
      <c r="Y553" s="352" t="s">
        <v>151</v>
      </c>
      <c r="Z553" s="105">
        <v>4588</v>
      </c>
      <c r="AA553" s="107">
        <v>1309.4916666666666</v>
      </c>
      <c r="AB553" s="105" t="s">
        <v>478</v>
      </c>
    </row>
    <row r="554" spans="1:28">
      <c r="A554" s="105">
        <f t="shared" si="8"/>
        <v>553</v>
      </c>
      <c r="B554" s="107">
        <f>YEAR(Table6[[#This Row],[Date]])+IF(MONTH(Table6[[#This Row],[Date]])&gt;=4,1,0)</f>
        <v>2026</v>
      </c>
      <c r="C554" s="105">
        <f>YEAR(Table6[[#This Row],[Date]])</f>
        <v>2025</v>
      </c>
      <c r="D554" s="105" t="s">
        <v>490</v>
      </c>
      <c r="E554" s="119">
        <f>Table6[[#This Row],[Date]]-DAY(Table6[[#This Row],[Date]])+1</f>
        <v>45778</v>
      </c>
      <c r="F554" s="118">
        <v>45792</v>
      </c>
      <c r="G554" s="105" t="s">
        <v>153</v>
      </c>
      <c r="H554" s="39" t="str">
        <f>_xlfn.XLOOKUP(Table6[[#This Row],[Affected WTG]],'Basic Data'!$A:$A,'Basic Data'!$B:$B)</f>
        <v>PWEGPL</v>
      </c>
      <c r="I554" s="39" t="str">
        <f>_xlfn.XLOOKUP(Table6[[#This Row],[Affected WTG]],'Basic Data'!$A:$A,'Basic Data'!$C:$C)</f>
        <v>MSEDCL</v>
      </c>
      <c r="J554" s="345">
        <f>IFERROR(VLOOKUP(Table6[[#This Row],[Affected WTG]],'Basic Data'!$A$3:$E$56,5,0),"")</f>
        <v>2.564102564102564E-2</v>
      </c>
      <c r="K554" s="105">
        <v>5216</v>
      </c>
      <c r="L554" s="39" t="str">
        <f>IFERROR(VLOOKUP(Table6[[#This Row],[Error Code]],'Basic Data'!$T:$U,2,0),"")</f>
        <v>Grid Voltage Failure</v>
      </c>
      <c r="M554" s="346" t="s">
        <v>462</v>
      </c>
      <c r="N554" s="39" t="s">
        <v>1270</v>
      </c>
      <c r="O554" s="347">
        <v>0</v>
      </c>
      <c r="P554" s="347">
        <v>0.81944444444444442</v>
      </c>
      <c r="Q554" s="347">
        <v>0.85624999999999996</v>
      </c>
      <c r="R554" s="348">
        <f>IF(Table6[[#This Row],[Work Start TimeStamp]]="","",(Table6[[#This Row],[Work Start TimeStamp]]-Table6[[#This Row],[Fault Start TimeStamp]])*24)</f>
        <v>19.666666666666664</v>
      </c>
      <c r="S554" s="349">
        <f>(Table6[[#This Row],[Fault Clearance time]]-Table6[[#This Row],[Work Start TimeStamp]])*24</f>
        <v>0.88333333333333286</v>
      </c>
      <c r="T554" s="350">
        <f>(Table6[[#This Row],[Fault Clearance time]]-Table6[[#This Row],[Fault Start TimeStamp]])*24</f>
        <v>20.549999999999997</v>
      </c>
      <c r="U554" s="346" t="s">
        <v>605</v>
      </c>
      <c r="V554" s="351" t="s">
        <v>463</v>
      </c>
      <c r="W554" s="338">
        <f>Table6[[#This Row],[Breakdown Time]]*(1/39)</f>
        <v>0.52692307692307683</v>
      </c>
      <c r="X554" s="336" t="s">
        <v>465</v>
      </c>
      <c r="Y554" s="352" t="s">
        <v>139</v>
      </c>
      <c r="Z554" s="105">
        <v>4572</v>
      </c>
      <c r="AA554" s="107">
        <v>3914.7749999999996</v>
      </c>
      <c r="AB554" s="105" t="s">
        <v>599</v>
      </c>
    </row>
    <row r="555" spans="1:28">
      <c r="A555" s="105">
        <f t="shared" si="8"/>
        <v>554</v>
      </c>
      <c r="B555" s="107">
        <f>YEAR(Table6[[#This Row],[Date]])+IF(MONTH(Table6[[#This Row],[Date]])&gt;=4,1,0)</f>
        <v>2026</v>
      </c>
      <c r="C555" s="105">
        <f>YEAR(Table6[[#This Row],[Date]])</f>
        <v>2025</v>
      </c>
      <c r="D555" s="105" t="s">
        <v>490</v>
      </c>
      <c r="E555" s="119">
        <f>Table6[[#This Row],[Date]]-DAY(Table6[[#This Row],[Date]])+1</f>
        <v>45778</v>
      </c>
      <c r="F555" s="118">
        <v>45793</v>
      </c>
      <c r="G555" s="105" t="s">
        <v>144</v>
      </c>
      <c r="H555" s="39" t="str">
        <f>_xlfn.XLOOKUP(Table6[[#This Row],[Affected WTG]],'Basic Data'!$A:$A,'Basic Data'!$B:$B)</f>
        <v>PWEGPL</v>
      </c>
      <c r="I555" s="39" t="str">
        <f>_xlfn.XLOOKUP(Table6[[#This Row],[Affected WTG]],'Basic Data'!$A:$A,'Basic Data'!$C:$C)</f>
        <v>MSEDCL</v>
      </c>
      <c r="J555" s="345">
        <f>IFERROR(VLOOKUP(Table6[[#This Row],[Affected WTG]],'Basic Data'!$A$3:$E$56,5,0),"")</f>
        <v>2.564102564102564E-2</v>
      </c>
      <c r="K555" s="105" t="s">
        <v>492</v>
      </c>
      <c r="L555" s="39" t="str">
        <f>IFERROR(VLOOKUP(Table6[[#This Row],[Error Code]],'Basic Data'!$T:$U,2,0),"")</f>
        <v>Manual Stop - Safety Related</v>
      </c>
      <c r="M555" s="346" t="s">
        <v>481</v>
      </c>
      <c r="N555" s="39" t="s">
        <v>1269</v>
      </c>
      <c r="O555" s="347">
        <v>0</v>
      </c>
      <c r="P555" s="347">
        <v>0.99930555555555556</v>
      </c>
      <c r="Q555" s="347">
        <v>0.99930555555555556</v>
      </c>
      <c r="R555" s="348">
        <f>IF(Table6[[#This Row],[Work Start TimeStamp]]="","",(Table6[[#This Row],[Work Start TimeStamp]]-Table6[[#This Row],[Fault Start TimeStamp]])*24)</f>
        <v>23.983333333333334</v>
      </c>
      <c r="S555" s="349">
        <f>(Table6[[#This Row],[Fault Clearance time]]-Table6[[#This Row],[Work Start TimeStamp]])*24</f>
        <v>0</v>
      </c>
      <c r="T555" s="350">
        <f>(Table6[[#This Row],[Fault Clearance time]]-Table6[[#This Row],[Fault Start TimeStamp]])*24</f>
        <v>23.983333333333334</v>
      </c>
      <c r="U555" s="346" t="s">
        <v>498</v>
      </c>
      <c r="V555" s="351" t="s">
        <v>473</v>
      </c>
      <c r="W555" s="338">
        <f>Table6[[#This Row],[Breakdown Time]]*(1/39)</f>
        <v>0.61495726495726499</v>
      </c>
      <c r="X555" s="336" t="s">
        <v>468</v>
      </c>
      <c r="Y555" s="352" t="s">
        <v>141</v>
      </c>
      <c r="Z555" s="105">
        <v>8165</v>
      </c>
      <c r="AA555" s="107">
        <v>8159.3298611111113</v>
      </c>
      <c r="AB555" s="105" t="s">
        <v>478</v>
      </c>
    </row>
    <row r="556" spans="1:28">
      <c r="A556" s="105">
        <f t="shared" si="8"/>
        <v>555</v>
      </c>
      <c r="B556" s="107">
        <f>YEAR(Table6[[#This Row],[Date]])+IF(MONTH(Table6[[#This Row],[Date]])&gt;=4,1,0)</f>
        <v>2026</v>
      </c>
      <c r="C556" s="105">
        <f>YEAR(Table6[[#This Row],[Date]])</f>
        <v>2025</v>
      </c>
      <c r="D556" s="105" t="s">
        <v>490</v>
      </c>
      <c r="E556" s="119">
        <f>Table6[[#This Row],[Date]]-DAY(Table6[[#This Row],[Date]])+1</f>
        <v>45778</v>
      </c>
      <c r="F556" s="118">
        <v>45793</v>
      </c>
      <c r="G556" s="105" t="s">
        <v>142</v>
      </c>
      <c r="H556" s="39" t="str">
        <f>_xlfn.XLOOKUP(Table6[[#This Row],[Affected WTG]],'Basic Data'!$A:$A,'Basic Data'!$B:$B)</f>
        <v>PWEGPL</v>
      </c>
      <c r="I556" s="39" t="str">
        <f>_xlfn.XLOOKUP(Table6[[#This Row],[Affected WTG]],'Basic Data'!$A:$A,'Basic Data'!$C:$C)</f>
        <v>MSEDCL</v>
      </c>
      <c r="J556" s="345">
        <f>IFERROR(VLOOKUP(Table6[[#This Row],[Affected WTG]],'Basic Data'!$A$3:$E$56,5,0),"")</f>
        <v>2.564102564102564E-2</v>
      </c>
      <c r="K556" s="105" t="s">
        <v>492</v>
      </c>
      <c r="L556" s="39" t="str">
        <f>IFERROR(VLOOKUP(Table6[[#This Row],[Error Code]],'Basic Data'!$T:$U,2,0),"")</f>
        <v>Manual Stop - Safety Related</v>
      </c>
      <c r="M556" s="346" t="s">
        <v>481</v>
      </c>
      <c r="N556" s="39" t="s">
        <v>1269</v>
      </c>
      <c r="O556" s="347">
        <v>0</v>
      </c>
      <c r="P556" s="347">
        <v>0.99930555555555556</v>
      </c>
      <c r="Q556" s="347">
        <v>0.99930555555555556</v>
      </c>
      <c r="R556" s="348">
        <f>IF(Table6[[#This Row],[Work Start TimeStamp]]="","",(Table6[[#This Row],[Work Start TimeStamp]]-Table6[[#This Row],[Fault Start TimeStamp]])*24)</f>
        <v>23.983333333333334</v>
      </c>
      <c r="S556" s="349">
        <f>(Table6[[#This Row],[Fault Clearance time]]-Table6[[#This Row],[Work Start TimeStamp]])*24</f>
        <v>0</v>
      </c>
      <c r="T556" s="350">
        <f>(Table6[[#This Row],[Fault Clearance time]]-Table6[[#This Row],[Fault Start TimeStamp]])*24</f>
        <v>23.983333333333334</v>
      </c>
      <c r="U556" s="346" t="s">
        <v>498</v>
      </c>
      <c r="V556" s="351" t="s">
        <v>473</v>
      </c>
      <c r="W556" s="338">
        <f>Table6[[#This Row],[Breakdown Time]]*(1/39)</f>
        <v>0.61495726495726499</v>
      </c>
      <c r="X556" s="336" t="s">
        <v>468</v>
      </c>
      <c r="Y556" s="352" t="s">
        <v>141</v>
      </c>
      <c r="Z556" s="105">
        <v>8165</v>
      </c>
      <c r="AA556" s="107">
        <v>8159.3298611111113</v>
      </c>
      <c r="AB556" s="105" t="s">
        <v>478</v>
      </c>
    </row>
    <row r="557" spans="1:28">
      <c r="A557" s="105">
        <f t="shared" si="8"/>
        <v>556</v>
      </c>
      <c r="B557" s="107">
        <f>YEAR(Table6[[#This Row],[Date]])+IF(MONTH(Table6[[#This Row],[Date]])&gt;=4,1,0)</f>
        <v>2026</v>
      </c>
      <c r="C557" s="105">
        <f>YEAR(Table6[[#This Row],[Date]])</f>
        <v>2025</v>
      </c>
      <c r="D557" s="105" t="s">
        <v>490</v>
      </c>
      <c r="E557" s="119">
        <f>Table6[[#This Row],[Date]]-DAY(Table6[[#This Row],[Date]])+1</f>
        <v>45778</v>
      </c>
      <c r="F557" s="118">
        <v>45793</v>
      </c>
      <c r="G557" s="105" t="s">
        <v>115</v>
      </c>
      <c r="H557" s="39" t="str">
        <f>_xlfn.XLOOKUP(Table6[[#This Row],[Affected WTG]],'Basic Data'!$A:$A,'Basic Data'!$B:$B)</f>
        <v>PWEGPL</v>
      </c>
      <c r="I557" s="39" t="str">
        <f>_xlfn.XLOOKUP(Table6[[#This Row],[Affected WTG]],'Basic Data'!$A:$A,'Basic Data'!$C:$C)</f>
        <v>MSEDCL</v>
      </c>
      <c r="J557" s="345">
        <f>IFERROR(VLOOKUP(Table6[[#This Row],[Affected WTG]],'Basic Data'!$A$3:$E$56,5,0),"")</f>
        <v>2.564102564102564E-2</v>
      </c>
      <c r="K557" s="105">
        <v>800</v>
      </c>
      <c r="L557" s="39" t="str">
        <f>IFERROR(VLOOKUP(Table6[[#This Row],[Error Code]],'Basic Data'!$T:$U,2,0),"")</f>
        <v>Pitch Drive Error</v>
      </c>
      <c r="M557" s="346" t="s">
        <v>462</v>
      </c>
      <c r="N557" s="39" t="s">
        <v>1270</v>
      </c>
      <c r="O557" s="347">
        <v>0.50069444444444444</v>
      </c>
      <c r="P557" s="347">
        <v>0.52430555555555558</v>
      </c>
      <c r="Q557" s="347">
        <v>0.63472222222222219</v>
      </c>
      <c r="R557" s="348">
        <f>IF(Table6[[#This Row],[Work Start TimeStamp]]="","",(Table6[[#This Row],[Work Start TimeStamp]]-Table6[[#This Row],[Fault Start TimeStamp]])*24)</f>
        <v>0.56666666666666732</v>
      </c>
      <c r="S557" s="349">
        <f>(Table6[[#This Row],[Fault Clearance time]]-Table6[[#This Row],[Work Start TimeStamp]])*24</f>
        <v>2.6499999999999986</v>
      </c>
      <c r="T557" s="350">
        <f>(Table6[[#This Row],[Fault Clearance time]]-Table6[[#This Row],[Fault Start TimeStamp]])*24</f>
        <v>3.2166666666666659</v>
      </c>
      <c r="U557" s="346" t="s">
        <v>606</v>
      </c>
      <c r="V557" s="351" t="s">
        <v>463</v>
      </c>
      <c r="W557" s="338">
        <f>Table6[[#This Row],[Breakdown Time]]*(1/39)</f>
        <v>8.2478632478632449E-2</v>
      </c>
      <c r="X557" s="336" t="s">
        <v>464</v>
      </c>
      <c r="Y557" s="352" t="s">
        <v>121</v>
      </c>
      <c r="Z557" s="105">
        <v>10576</v>
      </c>
      <c r="AA557" s="107">
        <v>1417.4777777777774</v>
      </c>
      <c r="AB557" s="105" t="s">
        <v>478</v>
      </c>
    </row>
    <row r="558" spans="1:28">
      <c r="A558" s="105">
        <f t="shared" si="8"/>
        <v>557</v>
      </c>
      <c r="B558" s="107">
        <f>YEAR(Table6[[#This Row],[Date]])+IF(MONTH(Table6[[#This Row],[Date]])&gt;=4,1,0)</f>
        <v>2026</v>
      </c>
      <c r="C558" s="105">
        <f>YEAR(Table6[[#This Row],[Date]])</f>
        <v>2025</v>
      </c>
      <c r="D558" s="105" t="s">
        <v>490</v>
      </c>
      <c r="E558" s="119">
        <f>Table6[[#This Row],[Date]]-DAY(Table6[[#This Row],[Date]])+1</f>
        <v>45778</v>
      </c>
      <c r="F558" s="118">
        <v>45793</v>
      </c>
      <c r="G558" s="105" t="s">
        <v>116</v>
      </c>
      <c r="H558" s="39" t="str">
        <f>_xlfn.XLOOKUP(Table6[[#This Row],[Affected WTG]],'Basic Data'!$A:$A,'Basic Data'!$B:$B)</f>
        <v>PWEGPL</v>
      </c>
      <c r="I558" s="39" t="str">
        <f>_xlfn.XLOOKUP(Table6[[#This Row],[Affected WTG]],'Basic Data'!$A:$A,'Basic Data'!$C:$C)</f>
        <v>MSEDCL</v>
      </c>
      <c r="J558" s="345">
        <f>IFERROR(VLOOKUP(Table6[[#This Row],[Affected WTG]],'Basic Data'!$A$3:$E$56,5,0),"")</f>
        <v>2.564102564102564E-2</v>
      </c>
      <c r="K558" s="105" t="s">
        <v>466</v>
      </c>
      <c r="L558" s="39" t="str">
        <f>IFERROR(VLOOKUP(Table6[[#This Row],[Error Code]],'Basic Data'!$T:$U,2,0),"")</f>
        <v>Manual Stop</v>
      </c>
      <c r="M558" s="346" t="s">
        <v>507</v>
      </c>
      <c r="N558" s="39" t="s">
        <v>230</v>
      </c>
      <c r="O558" s="347">
        <v>0.52083333333333337</v>
      </c>
      <c r="P558" s="347">
        <v>0.52083333333333337</v>
      </c>
      <c r="Q558" s="347">
        <v>0.59027777777777779</v>
      </c>
      <c r="R558" s="348">
        <f>IF(Table6[[#This Row],[Work Start TimeStamp]]="","",(Table6[[#This Row],[Work Start TimeStamp]]-Table6[[#This Row],[Fault Start TimeStamp]])*24)</f>
        <v>0</v>
      </c>
      <c r="S558" s="349">
        <f>(Table6[[#This Row],[Fault Clearance time]]-Table6[[#This Row],[Work Start TimeStamp]])*24</f>
        <v>1.6666666666666661</v>
      </c>
      <c r="T558" s="350">
        <f>(Table6[[#This Row],[Fault Clearance time]]-Table6[[#This Row],[Fault Start TimeStamp]])*24</f>
        <v>1.6666666666666661</v>
      </c>
      <c r="U558" s="346" t="s">
        <v>607</v>
      </c>
      <c r="V558" s="351" t="s">
        <v>463</v>
      </c>
      <c r="W558" s="338">
        <f>Table6[[#This Row],[Breakdown Time]]*(1/39)</f>
        <v>4.2735042735042715E-2</v>
      </c>
      <c r="X558" s="336" t="s">
        <v>464</v>
      </c>
      <c r="Y558" s="352" t="s">
        <v>118</v>
      </c>
      <c r="Z558" s="105">
        <v>9888</v>
      </c>
      <c r="AA558" s="107">
        <v>686.6666666666664</v>
      </c>
      <c r="AB558" s="105" t="s">
        <v>478</v>
      </c>
    </row>
    <row r="559" spans="1:28">
      <c r="A559" s="105">
        <f t="shared" si="8"/>
        <v>558</v>
      </c>
      <c r="B559" s="107">
        <f>YEAR(Table6[[#This Row],[Date]])+IF(MONTH(Table6[[#This Row],[Date]])&gt;=4,1,0)</f>
        <v>2026</v>
      </c>
      <c r="C559" s="105">
        <f>YEAR(Table6[[#This Row],[Date]])</f>
        <v>2025</v>
      </c>
      <c r="D559" s="105" t="s">
        <v>490</v>
      </c>
      <c r="E559" s="119">
        <f>Table6[[#This Row],[Date]]-DAY(Table6[[#This Row],[Date]])+1</f>
        <v>45778</v>
      </c>
      <c r="F559" s="118">
        <v>45793</v>
      </c>
      <c r="G559" s="105" t="s">
        <v>118</v>
      </c>
      <c r="H559" s="39" t="str">
        <f>_xlfn.XLOOKUP(Table6[[#This Row],[Affected WTG]],'Basic Data'!$A:$A,'Basic Data'!$B:$B)</f>
        <v>PWEGPL</v>
      </c>
      <c r="I559" s="39" t="str">
        <f>_xlfn.XLOOKUP(Table6[[#This Row],[Affected WTG]],'Basic Data'!$A:$A,'Basic Data'!$C:$C)</f>
        <v>MSEDCL</v>
      </c>
      <c r="J559" s="345">
        <f>IFERROR(VLOOKUP(Table6[[#This Row],[Affected WTG]],'Basic Data'!$A$3:$E$56,5,0),"")</f>
        <v>2.564102564102564E-2</v>
      </c>
      <c r="K559" s="105">
        <v>222</v>
      </c>
      <c r="L559" s="39" t="str">
        <f>IFERROR(VLOOKUP(Table6[[#This Row],[Error Code]],'Basic Data'!$T:$U,2,0),"")</f>
        <v>Very Low Pressure On Hydraulic Unit</v>
      </c>
      <c r="M559" s="346" t="s">
        <v>462</v>
      </c>
      <c r="N559" s="39" t="s">
        <v>1270</v>
      </c>
      <c r="O559" s="347">
        <v>0.68125000000000002</v>
      </c>
      <c r="P559" s="347">
        <v>0.69513888888888886</v>
      </c>
      <c r="Q559" s="347">
        <v>0.77430555555555558</v>
      </c>
      <c r="R559" s="348">
        <f>IF(Table6[[#This Row],[Work Start TimeStamp]]="","",(Table6[[#This Row],[Work Start TimeStamp]]-Table6[[#This Row],[Fault Start TimeStamp]])*24)</f>
        <v>0.33333333333333215</v>
      </c>
      <c r="S559" s="349">
        <f>(Table6[[#This Row],[Fault Clearance time]]-Table6[[#This Row],[Work Start TimeStamp]])*24</f>
        <v>1.9000000000000012</v>
      </c>
      <c r="T559" s="350">
        <f>(Table6[[#This Row],[Fault Clearance time]]-Table6[[#This Row],[Fault Start TimeStamp]])*24</f>
        <v>2.2333333333333334</v>
      </c>
      <c r="U559" s="346" t="s">
        <v>608</v>
      </c>
      <c r="V559" s="351" t="s">
        <v>463</v>
      </c>
      <c r="W559" s="338">
        <f>Table6[[#This Row],[Breakdown Time]]*(1/39)</f>
        <v>5.7264957264957263E-2</v>
      </c>
      <c r="X559" s="336" t="s">
        <v>464</v>
      </c>
      <c r="Y559" s="352" t="s">
        <v>117</v>
      </c>
      <c r="Z559" s="105">
        <v>10542</v>
      </c>
      <c r="AA559" s="107">
        <v>980.99166666666667</v>
      </c>
      <c r="AB559" s="105" t="s">
        <v>478</v>
      </c>
    </row>
    <row r="560" spans="1:28">
      <c r="A560" s="105">
        <f t="shared" si="8"/>
        <v>559</v>
      </c>
      <c r="B560" s="107">
        <f>YEAR(Table6[[#This Row],[Date]])+IF(MONTH(Table6[[#This Row],[Date]])&gt;=4,1,0)</f>
        <v>2026</v>
      </c>
      <c r="C560" s="105">
        <f>YEAR(Table6[[#This Row],[Date]])</f>
        <v>2025</v>
      </c>
      <c r="D560" s="105" t="s">
        <v>490</v>
      </c>
      <c r="E560" s="119">
        <f>Table6[[#This Row],[Date]]-DAY(Table6[[#This Row],[Date]])+1</f>
        <v>45778</v>
      </c>
      <c r="F560" s="118">
        <v>45793</v>
      </c>
      <c r="G560" s="105" t="s">
        <v>120</v>
      </c>
      <c r="H560" s="39" t="str">
        <f>_xlfn.XLOOKUP(Table6[[#This Row],[Affected WTG]],'Basic Data'!$A:$A,'Basic Data'!$B:$B)</f>
        <v>PWEGPL</v>
      </c>
      <c r="I560" s="39" t="str">
        <f>_xlfn.XLOOKUP(Table6[[#This Row],[Affected WTG]],'Basic Data'!$A:$A,'Basic Data'!$C:$C)</f>
        <v>MSEDCL</v>
      </c>
      <c r="J560" s="345">
        <f>IFERROR(VLOOKUP(Table6[[#This Row],[Affected WTG]],'Basic Data'!$A$3:$E$56,5,0),"")</f>
        <v>2.564102564102564E-2</v>
      </c>
      <c r="K560" s="105">
        <v>2118</v>
      </c>
      <c r="L560" s="39" t="str">
        <f>IFERROR(VLOOKUP(Table6[[#This Row],[Error Code]],'Basic Data'!$T:$U,2,0),"")</f>
        <v>Bus Error - Interbus Failure</v>
      </c>
      <c r="M560" s="346" t="s">
        <v>462</v>
      </c>
      <c r="N560" s="39" t="s">
        <v>1270</v>
      </c>
      <c r="O560" s="347">
        <v>0.6875</v>
      </c>
      <c r="P560" s="347">
        <v>0.73958333333333337</v>
      </c>
      <c r="Q560" s="347">
        <v>0.74305555555555558</v>
      </c>
      <c r="R560" s="348">
        <f>IF(Table6[[#This Row],[Work Start TimeStamp]]="","",(Table6[[#This Row],[Work Start TimeStamp]]-Table6[[#This Row],[Fault Start TimeStamp]])*24)</f>
        <v>1.2500000000000009</v>
      </c>
      <c r="S560" s="349">
        <f>(Table6[[#This Row],[Fault Clearance time]]-Table6[[#This Row],[Work Start TimeStamp]])*24</f>
        <v>8.3333333333333037E-2</v>
      </c>
      <c r="T560" s="350">
        <f>(Table6[[#This Row],[Fault Clearance time]]-Table6[[#This Row],[Fault Start TimeStamp]])*24</f>
        <v>1.3333333333333339</v>
      </c>
      <c r="U560" s="346" t="s">
        <v>493</v>
      </c>
      <c r="V560" s="351" t="s">
        <v>463</v>
      </c>
      <c r="W560" s="338">
        <f>Table6[[#This Row],[Breakdown Time]]*(1/39)</f>
        <v>3.4188034188034205E-2</v>
      </c>
      <c r="X560" s="336" t="s">
        <v>465</v>
      </c>
      <c r="Y560" s="352" t="s">
        <v>117</v>
      </c>
      <c r="Z560" s="105">
        <v>10542</v>
      </c>
      <c r="AA560" s="107">
        <v>585.66666666666697</v>
      </c>
      <c r="AB560" s="105" t="s">
        <v>478</v>
      </c>
    </row>
    <row r="561" spans="1:28">
      <c r="A561" s="105">
        <f t="shared" si="8"/>
        <v>560</v>
      </c>
      <c r="B561" s="107">
        <f>YEAR(Table6[[#This Row],[Date]])+IF(MONTH(Table6[[#This Row],[Date]])&gt;=4,1,0)</f>
        <v>2026</v>
      </c>
      <c r="C561" s="105">
        <f>YEAR(Table6[[#This Row],[Date]])</f>
        <v>2025</v>
      </c>
      <c r="D561" s="105" t="s">
        <v>490</v>
      </c>
      <c r="E561" s="119">
        <f>Table6[[#This Row],[Date]]-DAY(Table6[[#This Row],[Date]])+1</f>
        <v>45778</v>
      </c>
      <c r="F561" s="118">
        <v>45793</v>
      </c>
      <c r="G561" s="105" t="s">
        <v>133</v>
      </c>
      <c r="H561" s="39" t="str">
        <f>_xlfn.XLOOKUP(Table6[[#This Row],[Affected WTG]],'Basic Data'!$A:$A,'Basic Data'!$B:$B)</f>
        <v>PWEGPL</v>
      </c>
      <c r="I561" s="39" t="str">
        <f>_xlfn.XLOOKUP(Table6[[#This Row],[Affected WTG]],'Basic Data'!$A:$A,'Basic Data'!$C:$C)</f>
        <v>MSEDCL</v>
      </c>
      <c r="J561" s="345">
        <f>IFERROR(VLOOKUP(Table6[[#This Row],[Affected WTG]],'Basic Data'!$A$3:$E$56,5,0),"")</f>
        <v>2.564102564102564E-2</v>
      </c>
      <c r="K561" s="105" t="s">
        <v>466</v>
      </c>
      <c r="L561" s="39" t="str">
        <f>IFERROR(VLOOKUP(Table6[[#This Row],[Error Code]],'Basic Data'!$T:$U,2,0),"")</f>
        <v>Manual Stop</v>
      </c>
      <c r="M561" s="346" t="s">
        <v>479</v>
      </c>
      <c r="N561" s="39" t="s">
        <v>230</v>
      </c>
      <c r="O561" s="347">
        <v>0.4861111111111111</v>
      </c>
      <c r="P561" s="347">
        <v>0.4861111111111111</v>
      </c>
      <c r="Q561" s="347">
        <v>0.99930555555555556</v>
      </c>
      <c r="R561" s="348">
        <f>IF(Table6[[#This Row],[Work Start TimeStamp]]="","",(Table6[[#This Row],[Work Start TimeStamp]]-Table6[[#This Row],[Fault Start TimeStamp]])*24)</f>
        <v>0</v>
      </c>
      <c r="S561" s="349">
        <f>(Table6[[#This Row],[Fault Clearance time]]-Table6[[#This Row],[Work Start TimeStamp]])*24</f>
        <v>12.316666666666668</v>
      </c>
      <c r="T561" s="350">
        <f>(Table6[[#This Row],[Fault Clearance time]]-Table6[[#This Row],[Fault Start TimeStamp]])*24</f>
        <v>12.316666666666668</v>
      </c>
      <c r="U561" s="346" t="s">
        <v>609</v>
      </c>
      <c r="V561" s="351" t="s">
        <v>473</v>
      </c>
      <c r="W561" s="338">
        <f>Table6[[#This Row],[Breakdown Time]]*(1/39)</f>
        <v>0.31581196581196586</v>
      </c>
      <c r="X561" s="336" t="s">
        <v>465</v>
      </c>
      <c r="Y561" s="352" t="s">
        <v>132</v>
      </c>
      <c r="Z561" s="105">
        <v>9966</v>
      </c>
      <c r="AA561" s="107">
        <v>5114.4958333333343</v>
      </c>
      <c r="AB561" s="105" t="s">
        <v>478</v>
      </c>
    </row>
    <row r="562" spans="1:28">
      <c r="A562" s="105">
        <f t="shared" si="8"/>
        <v>561</v>
      </c>
      <c r="B562" s="107">
        <f>YEAR(Table6[[#This Row],[Date]])+IF(MONTH(Table6[[#This Row],[Date]])&gt;=4,1,0)</f>
        <v>2026</v>
      </c>
      <c r="C562" s="105">
        <f>YEAR(Table6[[#This Row],[Date]])</f>
        <v>2025</v>
      </c>
      <c r="D562" s="105" t="s">
        <v>490</v>
      </c>
      <c r="E562" s="119">
        <f>Table6[[#This Row],[Date]]-DAY(Table6[[#This Row],[Date]])+1</f>
        <v>45778</v>
      </c>
      <c r="F562" s="118">
        <v>45793</v>
      </c>
      <c r="G562" s="105" t="s">
        <v>153</v>
      </c>
      <c r="H562" s="39" t="str">
        <f>_xlfn.XLOOKUP(Table6[[#This Row],[Affected WTG]],'Basic Data'!$A:$A,'Basic Data'!$B:$B)</f>
        <v>PWEGPL</v>
      </c>
      <c r="I562" s="39" t="str">
        <f>_xlfn.XLOOKUP(Table6[[#This Row],[Affected WTG]],'Basic Data'!$A:$A,'Basic Data'!$C:$C)</f>
        <v>MSEDCL</v>
      </c>
      <c r="J562" s="345">
        <f>IFERROR(VLOOKUP(Table6[[#This Row],[Affected WTG]],'Basic Data'!$A$3:$E$56,5,0),"")</f>
        <v>2.564102564102564E-2</v>
      </c>
      <c r="K562" s="105" t="s">
        <v>476</v>
      </c>
      <c r="L562" s="39" t="str">
        <f>IFERROR(VLOOKUP(Table6[[#This Row],[Error Code]],'Basic Data'!$T:$U,2,0),"")</f>
        <v>Manual Stop - Preventive Maintenance Activity</v>
      </c>
      <c r="M562" s="346" t="s">
        <v>474</v>
      </c>
      <c r="N562" s="39" t="s">
        <v>230</v>
      </c>
      <c r="O562" s="347">
        <v>0.49027777777777776</v>
      </c>
      <c r="P562" s="347">
        <v>0.49027777777777776</v>
      </c>
      <c r="Q562" s="347">
        <v>0.72777777777777775</v>
      </c>
      <c r="R562" s="348">
        <f>IF(Table6[[#This Row],[Work Start TimeStamp]]="","",(Table6[[#This Row],[Work Start TimeStamp]]-Table6[[#This Row],[Fault Start TimeStamp]])*24)</f>
        <v>0</v>
      </c>
      <c r="S562" s="349">
        <f>(Table6[[#This Row],[Fault Clearance time]]-Table6[[#This Row],[Work Start TimeStamp]])*24</f>
        <v>5.6999999999999993</v>
      </c>
      <c r="T562" s="350">
        <f>(Table6[[#This Row],[Fault Clearance time]]-Table6[[#This Row],[Fault Start TimeStamp]])*24</f>
        <v>5.6999999999999993</v>
      </c>
      <c r="U562" s="346" t="s">
        <v>582</v>
      </c>
      <c r="V562" s="351" t="s">
        <v>463</v>
      </c>
      <c r="W562" s="338">
        <f>Table6[[#This Row],[Breakdown Time]]*(1/39)</f>
        <v>0.14615384615384613</v>
      </c>
      <c r="X562" s="336" t="s">
        <v>467</v>
      </c>
      <c r="Y562" s="352" t="s">
        <v>152</v>
      </c>
      <c r="Z562" s="105">
        <v>7388</v>
      </c>
      <c r="AA562" s="107">
        <v>1754.6499999999996</v>
      </c>
      <c r="AB562" s="105" t="s">
        <v>478</v>
      </c>
    </row>
    <row r="563" spans="1:28">
      <c r="A563" s="105">
        <f t="shared" si="8"/>
        <v>562</v>
      </c>
      <c r="B563" s="107">
        <f>YEAR(Table6[[#This Row],[Date]])+IF(MONTH(Table6[[#This Row],[Date]])&gt;=4,1,0)</f>
        <v>2026</v>
      </c>
      <c r="C563" s="105">
        <f>YEAR(Table6[[#This Row],[Date]])</f>
        <v>2025</v>
      </c>
      <c r="D563" s="105" t="s">
        <v>490</v>
      </c>
      <c r="E563" s="119">
        <f>Table6[[#This Row],[Date]]-DAY(Table6[[#This Row],[Date]])+1</f>
        <v>45778</v>
      </c>
      <c r="F563" s="118">
        <v>45794</v>
      </c>
      <c r="G563" s="105" t="s">
        <v>144</v>
      </c>
      <c r="H563" s="39" t="str">
        <f>_xlfn.XLOOKUP(Table6[[#This Row],[Affected WTG]],'Basic Data'!$A:$A,'Basic Data'!$B:$B)</f>
        <v>PWEGPL</v>
      </c>
      <c r="I563" s="39" t="str">
        <f>_xlfn.XLOOKUP(Table6[[#This Row],[Affected WTG]],'Basic Data'!$A:$A,'Basic Data'!$C:$C)</f>
        <v>MSEDCL</v>
      </c>
      <c r="J563" s="345">
        <f>IFERROR(VLOOKUP(Table6[[#This Row],[Affected WTG]],'Basic Data'!$A$3:$E$56,5,0),"")</f>
        <v>2.564102564102564E-2</v>
      </c>
      <c r="K563" s="105" t="s">
        <v>492</v>
      </c>
      <c r="L563" s="39" t="str">
        <f>IFERROR(VLOOKUP(Table6[[#This Row],[Error Code]],'Basic Data'!$T:$U,2,0),"")</f>
        <v>Manual Stop - Safety Related</v>
      </c>
      <c r="M563" s="346" t="s">
        <v>481</v>
      </c>
      <c r="N563" s="39" t="s">
        <v>1269</v>
      </c>
      <c r="O563" s="347">
        <v>0</v>
      </c>
      <c r="P563" s="347">
        <v>0.99930555555555556</v>
      </c>
      <c r="Q563" s="347">
        <v>0.99930555555555556</v>
      </c>
      <c r="R563" s="348">
        <f>IF(Table6[[#This Row],[Work Start TimeStamp]]="","",(Table6[[#This Row],[Work Start TimeStamp]]-Table6[[#This Row],[Fault Start TimeStamp]])*24)</f>
        <v>23.983333333333334</v>
      </c>
      <c r="S563" s="349">
        <f>(Table6[[#This Row],[Fault Clearance time]]-Table6[[#This Row],[Work Start TimeStamp]])*24</f>
        <v>0</v>
      </c>
      <c r="T563" s="350">
        <f>(Table6[[#This Row],[Fault Clearance time]]-Table6[[#This Row],[Fault Start TimeStamp]])*24</f>
        <v>23.983333333333334</v>
      </c>
      <c r="U563" s="346" t="s">
        <v>498</v>
      </c>
      <c r="V563" s="351" t="s">
        <v>473</v>
      </c>
      <c r="W563" s="338">
        <f>Table6[[#This Row],[Breakdown Time]]*(1/39)</f>
        <v>0.61495726495726499</v>
      </c>
      <c r="X563" s="336" t="s">
        <v>468</v>
      </c>
      <c r="Y563" s="352" t="s">
        <v>141</v>
      </c>
      <c r="Z563" s="105">
        <v>4123</v>
      </c>
      <c r="AA563" s="107">
        <v>4120.1368055555558</v>
      </c>
      <c r="AB563" s="105" t="s">
        <v>478</v>
      </c>
    </row>
    <row r="564" spans="1:28">
      <c r="A564" s="105">
        <f t="shared" si="8"/>
        <v>563</v>
      </c>
      <c r="B564" s="107">
        <f>YEAR(Table6[[#This Row],[Date]])+IF(MONTH(Table6[[#This Row],[Date]])&gt;=4,1,0)</f>
        <v>2026</v>
      </c>
      <c r="C564" s="105">
        <f>YEAR(Table6[[#This Row],[Date]])</f>
        <v>2025</v>
      </c>
      <c r="D564" s="105" t="s">
        <v>490</v>
      </c>
      <c r="E564" s="119">
        <f>Table6[[#This Row],[Date]]-DAY(Table6[[#This Row],[Date]])+1</f>
        <v>45778</v>
      </c>
      <c r="F564" s="118">
        <v>45794</v>
      </c>
      <c r="G564" s="105" t="s">
        <v>142</v>
      </c>
      <c r="H564" s="39" t="str">
        <f>_xlfn.XLOOKUP(Table6[[#This Row],[Affected WTG]],'Basic Data'!$A:$A,'Basic Data'!$B:$B)</f>
        <v>PWEGPL</v>
      </c>
      <c r="I564" s="39" t="str">
        <f>_xlfn.XLOOKUP(Table6[[#This Row],[Affected WTG]],'Basic Data'!$A:$A,'Basic Data'!$C:$C)</f>
        <v>MSEDCL</v>
      </c>
      <c r="J564" s="345">
        <f>IFERROR(VLOOKUP(Table6[[#This Row],[Affected WTG]],'Basic Data'!$A$3:$E$56,5,0),"")</f>
        <v>2.564102564102564E-2</v>
      </c>
      <c r="K564" s="105" t="s">
        <v>492</v>
      </c>
      <c r="L564" s="39" t="str">
        <f>IFERROR(VLOOKUP(Table6[[#This Row],[Error Code]],'Basic Data'!$T:$U,2,0),"")</f>
        <v>Manual Stop - Safety Related</v>
      </c>
      <c r="M564" s="346" t="s">
        <v>481</v>
      </c>
      <c r="N564" s="39" t="s">
        <v>1269</v>
      </c>
      <c r="O564" s="347">
        <v>0</v>
      </c>
      <c r="P564" s="347">
        <v>0.99930555555555556</v>
      </c>
      <c r="Q564" s="347">
        <v>0.99930555555555556</v>
      </c>
      <c r="R564" s="348">
        <f>IF(Table6[[#This Row],[Work Start TimeStamp]]="","",(Table6[[#This Row],[Work Start TimeStamp]]-Table6[[#This Row],[Fault Start TimeStamp]])*24)</f>
        <v>23.983333333333334</v>
      </c>
      <c r="S564" s="349">
        <f>(Table6[[#This Row],[Fault Clearance time]]-Table6[[#This Row],[Work Start TimeStamp]])*24</f>
        <v>0</v>
      </c>
      <c r="T564" s="350">
        <f>(Table6[[#This Row],[Fault Clearance time]]-Table6[[#This Row],[Fault Start TimeStamp]])*24</f>
        <v>23.983333333333334</v>
      </c>
      <c r="U564" s="346" t="s">
        <v>498</v>
      </c>
      <c r="V564" s="351" t="s">
        <v>473</v>
      </c>
      <c r="W564" s="338">
        <f>Table6[[#This Row],[Breakdown Time]]*(1/39)</f>
        <v>0.61495726495726499</v>
      </c>
      <c r="X564" s="336" t="s">
        <v>468</v>
      </c>
      <c r="Y564" s="352" t="s">
        <v>141</v>
      </c>
      <c r="Z564" s="105">
        <v>4123</v>
      </c>
      <c r="AA564" s="107">
        <v>4120.1368055555558</v>
      </c>
      <c r="AB564" s="105" t="s">
        <v>478</v>
      </c>
    </row>
    <row r="565" spans="1:28">
      <c r="A565" s="105">
        <f t="shared" si="8"/>
        <v>564</v>
      </c>
      <c r="B565" s="107">
        <f>YEAR(Table6[[#This Row],[Date]])+IF(MONTH(Table6[[#This Row],[Date]])&gt;=4,1,0)</f>
        <v>2026</v>
      </c>
      <c r="C565" s="105">
        <f>YEAR(Table6[[#This Row],[Date]])</f>
        <v>2025</v>
      </c>
      <c r="D565" s="105" t="s">
        <v>490</v>
      </c>
      <c r="E565" s="119">
        <f>Table6[[#This Row],[Date]]-DAY(Table6[[#This Row],[Date]])+1</f>
        <v>45778</v>
      </c>
      <c r="F565" s="118">
        <v>45794</v>
      </c>
      <c r="G565" s="105" t="s">
        <v>120</v>
      </c>
      <c r="H565" s="39" t="str">
        <f>_xlfn.XLOOKUP(Table6[[#This Row],[Affected WTG]],'Basic Data'!$A:$A,'Basic Data'!$B:$B)</f>
        <v>PWEGPL</v>
      </c>
      <c r="I565" s="39" t="str">
        <f>_xlfn.XLOOKUP(Table6[[#This Row],[Affected WTG]],'Basic Data'!$A:$A,'Basic Data'!$C:$C)</f>
        <v>MSEDCL</v>
      </c>
      <c r="J565" s="345">
        <f>IFERROR(VLOOKUP(Table6[[#This Row],[Affected WTG]],'Basic Data'!$A$3:$E$56,5,0),"")</f>
        <v>2.564102564102564E-2</v>
      </c>
      <c r="K565" s="105" t="s">
        <v>487</v>
      </c>
      <c r="L565" s="39" t="str">
        <f>IFERROR(VLOOKUP(Table6[[#This Row],[Error Code]],'Basic Data'!$T:$U,2,0),"")</f>
        <v>General Work Stoppage</v>
      </c>
      <c r="M565" s="346" t="s">
        <v>479</v>
      </c>
      <c r="N565" s="39" t="s">
        <v>230</v>
      </c>
      <c r="O565" s="347">
        <v>0.48125000000000001</v>
      </c>
      <c r="P565" s="347">
        <v>0.48125000000000001</v>
      </c>
      <c r="Q565" s="347">
        <v>0.61111111111111116</v>
      </c>
      <c r="R565" s="348">
        <f>IF(Table6[[#This Row],[Work Start TimeStamp]]="","",(Table6[[#This Row],[Work Start TimeStamp]]-Table6[[#This Row],[Fault Start TimeStamp]])*24)</f>
        <v>0</v>
      </c>
      <c r="S565" s="349">
        <f>(Table6[[#This Row],[Fault Clearance time]]-Table6[[#This Row],[Work Start TimeStamp]])*24</f>
        <v>3.1166666666666676</v>
      </c>
      <c r="T565" s="350">
        <f>(Table6[[#This Row],[Fault Clearance time]]-Table6[[#This Row],[Fault Start TimeStamp]])*24</f>
        <v>3.1166666666666676</v>
      </c>
      <c r="U565" s="346" t="s">
        <v>610</v>
      </c>
      <c r="V565" s="351" t="s">
        <v>463</v>
      </c>
      <c r="W565" s="338">
        <f>Table6[[#This Row],[Breakdown Time]]*(1/39)</f>
        <v>7.9914529914529936E-2</v>
      </c>
      <c r="X565" s="336" t="s">
        <v>464</v>
      </c>
      <c r="Y565" s="352" t="s">
        <v>117</v>
      </c>
      <c r="Z565" s="105">
        <v>5684</v>
      </c>
      <c r="AA565" s="107">
        <v>738.13055555555582</v>
      </c>
      <c r="AB565" s="105" t="s">
        <v>478</v>
      </c>
    </row>
    <row r="566" spans="1:28">
      <c r="A566" s="105">
        <f t="shared" si="8"/>
        <v>565</v>
      </c>
      <c r="B566" s="107">
        <f>YEAR(Table6[[#This Row],[Date]])+IF(MONTH(Table6[[#This Row],[Date]])&gt;=4,1,0)</f>
        <v>2026</v>
      </c>
      <c r="C566" s="105">
        <f>YEAR(Table6[[#This Row],[Date]])</f>
        <v>2025</v>
      </c>
      <c r="D566" s="105" t="s">
        <v>490</v>
      </c>
      <c r="E566" s="119">
        <f>Table6[[#This Row],[Date]]-DAY(Table6[[#This Row],[Date]])+1</f>
        <v>45778</v>
      </c>
      <c r="F566" s="118">
        <v>45794</v>
      </c>
      <c r="G566" s="105" t="s">
        <v>133</v>
      </c>
      <c r="H566" s="39" t="str">
        <f>_xlfn.XLOOKUP(Table6[[#This Row],[Affected WTG]],'Basic Data'!$A:$A,'Basic Data'!$B:$B)</f>
        <v>PWEGPL</v>
      </c>
      <c r="I566" s="39" t="str">
        <f>_xlfn.XLOOKUP(Table6[[#This Row],[Affected WTG]],'Basic Data'!$A:$A,'Basic Data'!$C:$C)</f>
        <v>MSEDCL</v>
      </c>
      <c r="J566" s="345">
        <f>IFERROR(VLOOKUP(Table6[[#This Row],[Affected WTG]],'Basic Data'!$A$3:$E$56,5,0),"")</f>
        <v>2.564102564102564E-2</v>
      </c>
      <c r="K566" s="105" t="s">
        <v>466</v>
      </c>
      <c r="L566" s="39" t="str">
        <f>IFERROR(VLOOKUP(Table6[[#This Row],[Error Code]],'Basic Data'!$T:$U,2,0),"")</f>
        <v>Manual Stop</v>
      </c>
      <c r="M566" s="346" t="s">
        <v>479</v>
      </c>
      <c r="N566" s="39" t="s">
        <v>230</v>
      </c>
      <c r="O566" s="347">
        <v>0</v>
      </c>
      <c r="P566" s="347">
        <v>0</v>
      </c>
      <c r="Q566" s="347">
        <v>0.94791666666666663</v>
      </c>
      <c r="R566" s="348">
        <f>IF(Table6[[#This Row],[Work Start TimeStamp]]="","",(Table6[[#This Row],[Work Start TimeStamp]]-Table6[[#This Row],[Fault Start TimeStamp]])*24)</f>
        <v>0</v>
      </c>
      <c r="S566" s="349">
        <f>(Table6[[#This Row],[Fault Clearance time]]-Table6[[#This Row],[Work Start TimeStamp]])*24</f>
        <v>22.75</v>
      </c>
      <c r="T566" s="350">
        <f>(Table6[[#This Row],[Fault Clearance time]]-Table6[[#This Row],[Fault Start TimeStamp]])*24</f>
        <v>22.75</v>
      </c>
      <c r="U566" s="346" t="s">
        <v>611</v>
      </c>
      <c r="V566" s="351" t="s">
        <v>463</v>
      </c>
      <c r="W566" s="338">
        <f>Table6[[#This Row],[Breakdown Time]]*(1/39)</f>
        <v>0.58333333333333326</v>
      </c>
      <c r="X566" s="336" t="s">
        <v>464</v>
      </c>
      <c r="Y566" s="352" t="s">
        <v>132</v>
      </c>
      <c r="Z566" s="105">
        <v>6475</v>
      </c>
      <c r="AA566" s="107">
        <v>6137.760416666667</v>
      </c>
      <c r="AB566" s="105" t="s">
        <v>478</v>
      </c>
    </row>
    <row r="567" spans="1:28">
      <c r="A567" s="105">
        <f t="shared" si="8"/>
        <v>566</v>
      </c>
      <c r="B567" s="107">
        <f>YEAR(Table6[[#This Row],[Date]])+IF(MONTH(Table6[[#This Row],[Date]])&gt;=4,1,0)</f>
        <v>2026</v>
      </c>
      <c r="C567" s="105">
        <f>YEAR(Table6[[#This Row],[Date]])</f>
        <v>2025</v>
      </c>
      <c r="D567" s="105" t="s">
        <v>490</v>
      </c>
      <c r="E567" s="119">
        <f>Table6[[#This Row],[Date]]-DAY(Table6[[#This Row],[Date]])+1</f>
        <v>45778</v>
      </c>
      <c r="F567" s="118">
        <v>45794</v>
      </c>
      <c r="G567" s="105" t="s">
        <v>139</v>
      </c>
      <c r="H567" s="39" t="str">
        <f>_xlfn.XLOOKUP(Table6[[#This Row],[Affected WTG]],'Basic Data'!$A:$A,'Basic Data'!$B:$B)</f>
        <v>PWEGPL</v>
      </c>
      <c r="I567" s="39" t="str">
        <f>_xlfn.XLOOKUP(Table6[[#This Row],[Affected WTG]],'Basic Data'!$A:$A,'Basic Data'!$C:$C)</f>
        <v>MSEDCL</v>
      </c>
      <c r="J567" s="345">
        <f>IFERROR(VLOOKUP(Table6[[#This Row],[Affected WTG]],'Basic Data'!$A$3:$E$56,5,0),"")</f>
        <v>2.564102564102564E-2</v>
      </c>
      <c r="K567" s="105" t="s">
        <v>476</v>
      </c>
      <c r="L567" s="39" t="str">
        <f>IFERROR(VLOOKUP(Table6[[#This Row],[Error Code]],'Basic Data'!$T:$U,2,0),"")</f>
        <v>Manual Stop - Preventive Maintenance Activity</v>
      </c>
      <c r="M567" s="346" t="s">
        <v>474</v>
      </c>
      <c r="N567" s="39" t="s">
        <v>230</v>
      </c>
      <c r="O567" s="347">
        <v>0.51111111111111107</v>
      </c>
      <c r="P567" s="347">
        <v>0.51111111111111107</v>
      </c>
      <c r="Q567" s="347">
        <v>0.82361111111111107</v>
      </c>
      <c r="R567" s="348">
        <f>IF(Table6[[#This Row],[Work Start TimeStamp]]="","",(Table6[[#This Row],[Work Start TimeStamp]]-Table6[[#This Row],[Fault Start TimeStamp]])*24)</f>
        <v>0</v>
      </c>
      <c r="S567" s="349">
        <f>(Table6[[#This Row],[Fault Clearance time]]-Table6[[#This Row],[Work Start TimeStamp]])*24</f>
        <v>7.5</v>
      </c>
      <c r="T567" s="350">
        <f>(Table6[[#This Row],[Fault Clearance time]]-Table6[[#This Row],[Fault Start TimeStamp]])*24</f>
        <v>7.5</v>
      </c>
      <c r="U567" s="346" t="s">
        <v>582</v>
      </c>
      <c r="V567" s="351" t="s">
        <v>463</v>
      </c>
      <c r="W567" s="338">
        <f>Table6[[#This Row],[Breakdown Time]]*(1/39)</f>
        <v>0.19230769230769229</v>
      </c>
      <c r="X567" s="336" t="s">
        <v>467</v>
      </c>
      <c r="Y567" s="352" t="s">
        <v>145</v>
      </c>
      <c r="Z567" s="105">
        <v>3521</v>
      </c>
      <c r="AA567" s="107">
        <v>1100.3125</v>
      </c>
      <c r="AB567" s="105" t="s">
        <v>478</v>
      </c>
    </row>
    <row r="568" spans="1:28">
      <c r="A568" s="105">
        <f t="shared" si="8"/>
        <v>567</v>
      </c>
      <c r="B568" s="107">
        <f>YEAR(Table6[[#This Row],[Date]])+IF(MONTH(Table6[[#This Row],[Date]])&gt;=4,1,0)</f>
        <v>2026</v>
      </c>
      <c r="C568" s="105">
        <f>YEAR(Table6[[#This Row],[Date]])</f>
        <v>2025</v>
      </c>
      <c r="D568" s="105" t="s">
        <v>490</v>
      </c>
      <c r="E568" s="119">
        <f>Table6[[#This Row],[Date]]-DAY(Table6[[#This Row],[Date]])+1</f>
        <v>45778</v>
      </c>
      <c r="F568" s="118">
        <v>45794</v>
      </c>
      <c r="G568" s="105" t="s">
        <v>116</v>
      </c>
      <c r="H568" s="39" t="str">
        <f>_xlfn.XLOOKUP(Table6[[#This Row],[Affected WTG]],'Basic Data'!$A:$A,'Basic Data'!$B:$B)</f>
        <v>PWEGPL</v>
      </c>
      <c r="I568" s="39" t="str">
        <f>_xlfn.XLOOKUP(Table6[[#This Row],[Affected WTG]],'Basic Data'!$A:$A,'Basic Data'!$C:$C)</f>
        <v>MSEDCL</v>
      </c>
      <c r="J568" s="345">
        <f>IFERROR(VLOOKUP(Table6[[#This Row],[Affected WTG]],'Basic Data'!$A$3:$E$56,5,0),"")</f>
        <v>2.564102564102564E-2</v>
      </c>
      <c r="K568" s="105">
        <v>5225</v>
      </c>
      <c r="L568" s="39" t="str">
        <f>IFERROR(VLOOKUP(Table6[[#This Row],[Error Code]],'Basic Data'!$T:$U,2,0),"")</f>
        <v>Fault In Analog Electronic Power Supply</v>
      </c>
      <c r="M568" s="346" t="s">
        <v>462</v>
      </c>
      <c r="N568" s="39" t="s">
        <v>1270</v>
      </c>
      <c r="O568" s="347">
        <v>0.6166666666666667</v>
      </c>
      <c r="P568" s="347">
        <v>0.63888888888888884</v>
      </c>
      <c r="Q568" s="347">
        <v>0.64027777777777772</v>
      </c>
      <c r="R568" s="348">
        <f>IF(Table6[[#This Row],[Work Start TimeStamp]]="","",(Table6[[#This Row],[Work Start TimeStamp]]-Table6[[#This Row],[Fault Start TimeStamp]])*24)</f>
        <v>0.53333333333333144</v>
      </c>
      <c r="S568" s="349">
        <f>(Table6[[#This Row],[Fault Clearance time]]-Table6[[#This Row],[Work Start TimeStamp]])*24</f>
        <v>3.3333333333333215E-2</v>
      </c>
      <c r="T568" s="350">
        <f>(Table6[[#This Row],[Fault Clearance time]]-Table6[[#This Row],[Fault Start TimeStamp]])*24</f>
        <v>0.56666666666666465</v>
      </c>
      <c r="U568" s="346" t="s">
        <v>493</v>
      </c>
      <c r="V568" s="351" t="s">
        <v>463</v>
      </c>
      <c r="W568" s="338">
        <f>Table6[[#This Row],[Breakdown Time]]*(1/39)</f>
        <v>1.4529914529914478E-2</v>
      </c>
      <c r="X568" s="336" t="s">
        <v>465</v>
      </c>
      <c r="Y568" s="352" t="s">
        <v>118</v>
      </c>
      <c r="Z568" s="105">
        <v>5681</v>
      </c>
      <c r="AA568" s="107">
        <v>134.13472222222174</v>
      </c>
      <c r="AB568" s="105" t="s">
        <v>478</v>
      </c>
    </row>
    <row r="569" spans="1:28">
      <c r="A569" s="105">
        <f t="shared" si="8"/>
        <v>568</v>
      </c>
      <c r="B569" s="107">
        <f>YEAR(Table6[[#This Row],[Date]])+IF(MONTH(Table6[[#This Row],[Date]])&gt;=4,1,0)</f>
        <v>2026</v>
      </c>
      <c r="C569" s="105">
        <f>YEAR(Table6[[#This Row],[Date]])</f>
        <v>2025</v>
      </c>
      <c r="D569" s="105" t="s">
        <v>490</v>
      </c>
      <c r="E569" s="119">
        <f>Table6[[#This Row],[Date]]-DAY(Table6[[#This Row],[Date]])+1</f>
        <v>45778</v>
      </c>
      <c r="F569" s="118">
        <v>45794</v>
      </c>
      <c r="G569" s="105" t="s">
        <v>121</v>
      </c>
      <c r="H569" s="39" t="str">
        <f>_xlfn.XLOOKUP(Table6[[#This Row],[Affected WTG]],'Basic Data'!$A:$A,'Basic Data'!$B:$B)</f>
        <v>PWEGPL</v>
      </c>
      <c r="I569" s="39" t="str">
        <f>_xlfn.XLOOKUP(Table6[[#This Row],[Affected WTG]],'Basic Data'!$A:$A,'Basic Data'!$C:$C)</f>
        <v>MSEDCL</v>
      </c>
      <c r="J569" s="345">
        <f>IFERROR(VLOOKUP(Table6[[#This Row],[Affected WTG]],'Basic Data'!$A$3:$E$56,5,0),"")</f>
        <v>2.564102564102564E-2</v>
      </c>
      <c r="K569" s="105">
        <v>5225</v>
      </c>
      <c r="L569" s="39" t="str">
        <f>IFERROR(VLOOKUP(Table6[[#This Row],[Error Code]],'Basic Data'!$T:$U,2,0),"")</f>
        <v>Fault In Analog Electronic Power Supply</v>
      </c>
      <c r="M569" s="346" t="s">
        <v>462</v>
      </c>
      <c r="N569" s="39" t="s">
        <v>1270</v>
      </c>
      <c r="O569" s="347">
        <v>0.6166666666666667</v>
      </c>
      <c r="P569" s="347">
        <v>0.65069444444444446</v>
      </c>
      <c r="Q569" s="347">
        <v>0.65208333333333335</v>
      </c>
      <c r="R569" s="348">
        <f>IF(Table6[[#This Row],[Work Start TimeStamp]]="","",(Table6[[#This Row],[Work Start TimeStamp]]-Table6[[#This Row],[Fault Start TimeStamp]])*24)</f>
        <v>0.81666666666666643</v>
      </c>
      <c r="S569" s="349">
        <f>(Table6[[#This Row],[Fault Clearance time]]-Table6[[#This Row],[Work Start TimeStamp]])*24</f>
        <v>3.3333333333333215E-2</v>
      </c>
      <c r="T569" s="350">
        <f>(Table6[[#This Row],[Fault Clearance time]]-Table6[[#This Row],[Fault Start TimeStamp]])*24</f>
        <v>0.84999999999999964</v>
      </c>
      <c r="U569" s="346" t="s">
        <v>493</v>
      </c>
      <c r="V569" s="351" t="s">
        <v>463</v>
      </c>
      <c r="W569" s="338">
        <f>Table6[[#This Row],[Breakdown Time]]*(1/39)</f>
        <v>2.1794871794871783E-2</v>
      </c>
      <c r="X569" s="336" t="s">
        <v>465</v>
      </c>
      <c r="Y569" s="352" t="s">
        <v>115</v>
      </c>
      <c r="Z569" s="105">
        <v>5673</v>
      </c>
      <c r="AA569" s="107">
        <v>200.9187499999999</v>
      </c>
      <c r="AB569" s="105" t="s">
        <v>478</v>
      </c>
    </row>
    <row r="570" spans="1:28">
      <c r="A570" s="105">
        <f t="shared" si="8"/>
        <v>569</v>
      </c>
      <c r="B570" s="107">
        <f>YEAR(Table6[[#This Row],[Date]])+IF(MONTH(Table6[[#This Row],[Date]])&gt;=4,1,0)</f>
        <v>2026</v>
      </c>
      <c r="C570" s="105">
        <f>YEAR(Table6[[#This Row],[Date]])</f>
        <v>2025</v>
      </c>
      <c r="D570" s="105" t="s">
        <v>490</v>
      </c>
      <c r="E570" s="119">
        <f>Table6[[#This Row],[Date]]-DAY(Table6[[#This Row],[Date]])+1</f>
        <v>45778</v>
      </c>
      <c r="F570" s="118">
        <v>45795</v>
      </c>
      <c r="G570" s="105" t="s">
        <v>144</v>
      </c>
      <c r="H570" s="39" t="str">
        <f>_xlfn.XLOOKUP(Table6[[#This Row],[Affected WTG]],'Basic Data'!$A:$A,'Basic Data'!$B:$B)</f>
        <v>PWEGPL</v>
      </c>
      <c r="I570" s="39" t="str">
        <f>_xlfn.XLOOKUP(Table6[[#This Row],[Affected WTG]],'Basic Data'!$A:$A,'Basic Data'!$C:$C)</f>
        <v>MSEDCL</v>
      </c>
      <c r="J570" s="345">
        <f>IFERROR(VLOOKUP(Table6[[#This Row],[Affected WTG]],'Basic Data'!$A$3:$E$56,5,0),"")</f>
        <v>2.564102564102564E-2</v>
      </c>
      <c r="K570" s="105" t="s">
        <v>492</v>
      </c>
      <c r="L570" s="39" t="str">
        <f>IFERROR(VLOOKUP(Table6[[#This Row],[Error Code]],'Basic Data'!$T:$U,2,0),"")</f>
        <v>Manual Stop - Safety Related</v>
      </c>
      <c r="M570" s="346" t="s">
        <v>481</v>
      </c>
      <c r="N570" s="39" t="s">
        <v>1269</v>
      </c>
      <c r="O570" s="347">
        <v>0</v>
      </c>
      <c r="P570" s="347">
        <v>0.99930555555555556</v>
      </c>
      <c r="Q570" s="347">
        <v>0.99930555555555556</v>
      </c>
      <c r="R570" s="348">
        <f>IF(Table6[[#This Row],[Work Start TimeStamp]]="","",(Table6[[#This Row],[Work Start TimeStamp]]-Table6[[#This Row],[Fault Start TimeStamp]])*24)</f>
        <v>23.983333333333334</v>
      </c>
      <c r="S570" s="349">
        <f>(Table6[[#This Row],[Fault Clearance time]]-Table6[[#This Row],[Work Start TimeStamp]])*24</f>
        <v>0</v>
      </c>
      <c r="T570" s="350">
        <f>(Table6[[#This Row],[Fault Clearance time]]-Table6[[#This Row],[Fault Start TimeStamp]])*24</f>
        <v>23.983333333333334</v>
      </c>
      <c r="U570" s="346" t="s">
        <v>498</v>
      </c>
      <c r="V570" s="351" t="s">
        <v>473</v>
      </c>
      <c r="W570" s="338">
        <f>Table6[[#This Row],[Breakdown Time]]*(1/39)</f>
        <v>0.61495726495726499</v>
      </c>
      <c r="X570" s="336" t="s">
        <v>468</v>
      </c>
      <c r="Y570" s="352" t="s">
        <v>141</v>
      </c>
      <c r="Z570" s="105">
        <v>3543</v>
      </c>
      <c r="AA570" s="107">
        <v>3540.5395833333337</v>
      </c>
      <c r="AB570" s="105" t="s">
        <v>478</v>
      </c>
    </row>
    <row r="571" spans="1:28">
      <c r="A571" s="105">
        <f t="shared" si="8"/>
        <v>570</v>
      </c>
      <c r="B571" s="107">
        <f>YEAR(Table6[[#This Row],[Date]])+IF(MONTH(Table6[[#This Row],[Date]])&gt;=4,1,0)</f>
        <v>2026</v>
      </c>
      <c r="C571" s="105">
        <f>YEAR(Table6[[#This Row],[Date]])</f>
        <v>2025</v>
      </c>
      <c r="D571" s="105" t="s">
        <v>490</v>
      </c>
      <c r="E571" s="119">
        <f>Table6[[#This Row],[Date]]-DAY(Table6[[#This Row],[Date]])+1</f>
        <v>45778</v>
      </c>
      <c r="F571" s="118">
        <v>45795</v>
      </c>
      <c r="G571" s="105" t="s">
        <v>142</v>
      </c>
      <c r="H571" s="39" t="str">
        <f>_xlfn.XLOOKUP(Table6[[#This Row],[Affected WTG]],'Basic Data'!$A:$A,'Basic Data'!$B:$B)</f>
        <v>PWEGPL</v>
      </c>
      <c r="I571" s="39" t="str">
        <f>_xlfn.XLOOKUP(Table6[[#This Row],[Affected WTG]],'Basic Data'!$A:$A,'Basic Data'!$C:$C)</f>
        <v>MSEDCL</v>
      </c>
      <c r="J571" s="345">
        <f>IFERROR(VLOOKUP(Table6[[#This Row],[Affected WTG]],'Basic Data'!$A$3:$E$56,5,0),"")</f>
        <v>2.564102564102564E-2</v>
      </c>
      <c r="K571" s="105" t="s">
        <v>492</v>
      </c>
      <c r="L571" s="39" t="str">
        <f>IFERROR(VLOOKUP(Table6[[#This Row],[Error Code]],'Basic Data'!$T:$U,2,0),"")</f>
        <v>Manual Stop - Safety Related</v>
      </c>
      <c r="M571" s="346" t="s">
        <v>481</v>
      </c>
      <c r="N571" s="39" t="s">
        <v>1269</v>
      </c>
      <c r="O571" s="347">
        <v>0</v>
      </c>
      <c r="P571" s="347">
        <v>0.99930555555555556</v>
      </c>
      <c r="Q571" s="347">
        <v>0.99930555555555556</v>
      </c>
      <c r="R571" s="348">
        <f>IF(Table6[[#This Row],[Work Start TimeStamp]]="","",(Table6[[#This Row],[Work Start TimeStamp]]-Table6[[#This Row],[Fault Start TimeStamp]])*24)</f>
        <v>23.983333333333334</v>
      </c>
      <c r="S571" s="349">
        <f>(Table6[[#This Row],[Fault Clearance time]]-Table6[[#This Row],[Work Start TimeStamp]])*24</f>
        <v>0</v>
      </c>
      <c r="T571" s="350">
        <f>(Table6[[#This Row],[Fault Clearance time]]-Table6[[#This Row],[Fault Start TimeStamp]])*24</f>
        <v>23.983333333333334</v>
      </c>
      <c r="U571" s="346" t="s">
        <v>498</v>
      </c>
      <c r="V571" s="351" t="s">
        <v>473</v>
      </c>
      <c r="W571" s="338">
        <f>Table6[[#This Row],[Breakdown Time]]*(1/39)</f>
        <v>0.61495726495726499</v>
      </c>
      <c r="X571" s="336" t="s">
        <v>468</v>
      </c>
      <c r="Y571" s="352" t="s">
        <v>141</v>
      </c>
      <c r="Z571" s="105">
        <v>3572</v>
      </c>
      <c r="AA571" s="107">
        <v>3569.5194444444446</v>
      </c>
      <c r="AB571" s="105" t="s">
        <v>478</v>
      </c>
    </row>
    <row r="572" spans="1:28">
      <c r="A572" s="105">
        <f t="shared" si="8"/>
        <v>571</v>
      </c>
      <c r="B572" s="107">
        <f>YEAR(Table6[[#This Row],[Date]])+IF(MONTH(Table6[[#This Row],[Date]])&gt;=4,1,0)</f>
        <v>2026</v>
      </c>
      <c r="C572" s="105">
        <f>YEAR(Table6[[#This Row],[Date]])</f>
        <v>2025</v>
      </c>
      <c r="D572" s="105" t="s">
        <v>490</v>
      </c>
      <c r="E572" s="119">
        <f>Table6[[#This Row],[Date]]-DAY(Table6[[#This Row],[Date]])+1</f>
        <v>45778</v>
      </c>
      <c r="F572" s="118">
        <v>45795</v>
      </c>
      <c r="G572" s="105" t="s">
        <v>115</v>
      </c>
      <c r="H572" s="39" t="str">
        <f>_xlfn.XLOOKUP(Table6[[#This Row],[Affected WTG]],'Basic Data'!$A:$A,'Basic Data'!$B:$B)</f>
        <v>PWEGPL</v>
      </c>
      <c r="I572" s="39" t="str">
        <f>_xlfn.XLOOKUP(Table6[[#This Row],[Affected WTG]],'Basic Data'!$A:$A,'Basic Data'!$C:$C)</f>
        <v>MSEDCL</v>
      </c>
      <c r="J572" s="345">
        <f>IFERROR(VLOOKUP(Table6[[#This Row],[Affected WTG]],'Basic Data'!$A$3:$E$56,5,0),"")</f>
        <v>2.564102564102564E-2</v>
      </c>
      <c r="K572" s="105">
        <v>2118</v>
      </c>
      <c r="L572" s="39" t="str">
        <f>IFERROR(VLOOKUP(Table6[[#This Row],[Error Code]],'Basic Data'!$T:$U,2,0),"")</f>
        <v>Bus Error - Interbus Failure</v>
      </c>
      <c r="M572" s="346" t="s">
        <v>462</v>
      </c>
      <c r="N572" s="39" t="s">
        <v>1270</v>
      </c>
      <c r="O572" s="347">
        <v>0.53819444444444442</v>
      </c>
      <c r="P572" s="347">
        <v>0.55347222222222225</v>
      </c>
      <c r="Q572" s="347">
        <v>0.58680555555555558</v>
      </c>
      <c r="R572" s="348">
        <f>IF(Table6[[#This Row],[Work Start TimeStamp]]="","",(Table6[[#This Row],[Work Start TimeStamp]]-Table6[[#This Row],[Fault Start TimeStamp]])*24)</f>
        <v>0.36666666666666803</v>
      </c>
      <c r="S572" s="349">
        <f>(Table6[[#This Row],[Fault Clearance time]]-Table6[[#This Row],[Work Start TimeStamp]])*24</f>
        <v>0.79999999999999982</v>
      </c>
      <c r="T572" s="350">
        <f>(Table6[[#This Row],[Fault Clearance time]]-Table6[[#This Row],[Fault Start TimeStamp]])*24</f>
        <v>1.1666666666666679</v>
      </c>
      <c r="U572" s="346" t="s">
        <v>612</v>
      </c>
      <c r="V572" s="351" t="s">
        <v>463</v>
      </c>
      <c r="W572" s="338">
        <f>Table6[[#This Row],[Breakdown Time]]*(1/39)</f>
        <v>2.9914529914529944E-2</v>
      </c>
      <c r="X572" s="336" t="s">
        <v>465</v>
      </c>
      <c r="Y572" s="352" t="s">
        <v>121</v>
      </c>
      <c r="Z572" s="105">
        <v>3537</v>
      </c>
      <c r="AA572" s="107">
        <v>171.93750000000017</v>
      </c>
      <c r="AB572" s="105" t="s">
        <v>478</v>
      </c>
    </row>
    <row r="573" spans="1:28">
      <c r="A573" s="105">
        <f t="shared" si="8"/>
        <v>572</v>
      </c>
      <c r="B573" s="107">
        <f>YEAR(Table6[[#This Row],[Date]])+IF(MONTH(Table6[[#This Row],[Date]])&gt;=4,1,0)</f>
        <v>2026</v>
      </c>
      <c r="C573" s="105">
        <f>YEAR(Table6[[#This Row],[Date]])</f>
        <v>2025</v>
      </c>
      <c r="D573" s="105" t="s">
        <v>490</v>
      </c>
      <c r="E573" s="119">
        <f>Table6[[#This Row],[Date]]-DAY(Table6[[#This Row],[Date]])+1</f>
        <v>45778</v>
      </c>
      <c r="F573" s="118">
        <v>45795</v>
      </c>
      <c r="G573" s="105" t="s">
        <v>145</v>
      </c>
      <c r="H573" s="39" t="str">
        <f>_xlfn.XLOOKUP(Table6[[#This Row],[Affected WTG]],'Basic Data'!$A:$A,'Basic Data'!$B:$B)</f>
        <v>PWEGPL</v>
      </c>
      <c r="I573" s="39" t="str">
        <f>_xlfn.XLOOKUP(Table6[[#This Row],[Affected WTG]],'Basic Data'!$A:$A,'Basic Data'!$C:$C)</f>
        <v>MSEDCL</v>
      </c>
      <c r="J573" s="345">
        <f>IFERROR(VLOOKUP(Table6[[#This Row],[Affected WTG]],'Basic Data'!$A$3:$E$56,5,0),"")</f>
        <v>2.564102564102564E-2</v>
      </c>
      <c r="K573" s="105" t="s">
        <v>476</v>
      </c>
      <c r="L573" s="39" t="str">
        <f>IFERROR(VLOOKUP(Table6[[#This Row],[Error Code]],'Basic Data'!$T:$U,2,0),"")</f>
        <v>Manual Stop - Preventive Maintenance Activity</v>
      </c>
      <c r="M573" s="346" t="s">
        <v>474</v>
      </c>
      <c r="N573" s="39" t="s">
        <v>230</v>
      </c>
      <c r="O573" s="347">
        <v>0.5180555555555556</v>
      </c>
      <c r="P573" s="347">
        <v>0.5180555555555556</v>
      </c>
      <c r="Q573" s="347">
        <v>0.75208333333333333</v>
      </c>
      <c r="R573" s="348">
        <f>IF(Table6[[#This Row],[Work Start TimeStamp]]="","",(Table6[[#This Row],[Work Start TimeStamp]]-Table6[[#This Row],[Fault Start TimeStamp]])*24)</f>
        <v>0</v>
      </c>
      <c r="S573" s="349">
        <f>(Table6[[#This Row],[Fault Clearance time]]-Table6[[#This Row],[Work Start TimeStamp]])*24</f>
        <v>5.6166666666666654</v>
      </c>
      <c r="T573" s="350">
        <f>(Table6[[#This Row],[Fault Clearance time]]-Table6[[#This Row],[Fault Start TimeStamp]])*24</f>
        <v>5.6166666666666654</v>
      </c>
      <c r="U573" s="346" t="s">
        <v>582</v>
      </c>
      <c r="V573" s="351" t="s">
        <v>463</v>
      </c>
      <c r="W573" s="338">
        <f>Table6[[#This Row],[Breakdown Time]]*(1/39)</f>
        <v>0.14401709401709398</v>
      </c>
      <c r="X573" s="336" t="s">
        <v>467</v>
      </c>
      <c r="Y573" s="352" t="s">
        <v>139</v>
      </c>
      <c r="Z573" s="105">
        <v>3162</v>
      </c>
      <c r="AA573" s="107">
        <v>739.99583333333317</v>
      </c>
      <c r="AB573" s="105" t="s">
        <v>478</v>
      </c>
    </row>
    <row r="574" spans="1:28">
      <c r="A574" s="105">
        <f t="shared" si="8"/>
        <v>573</v>
      </c>
      <c r="B574" s="107">
        <f>YEAR(Table6[[#This Row],[Date]])+IF(MONTH(Table6[[#This Row],[Date]])&gt;=4,1,0)</f>
        <v>2026</v>
      </c>
      <c r="C574" s="105">
        <f>YEAR(Table6[[#This Row],[Date]])</f>
        <v>2025</v>
      </c>
      <c r="D574" s="105" t="s">
        <v>490</v>
      </c>
      <c r="E574" s="119">
        <f>Table6[[#This Row],[Date]]-DAY(Table6[[#This Row],[Date]])+1</f>
        <v>45778</v>
      </c>
      <c r="F574" s="118">
        <v>45795</v>
      </c>
      <c r="G574" s="105" t="s">
        <v>146</v>
      </c>
      <c r="H574" s="39" t="str">
        <f>_xlfn.XLOOKUP(Table6[[#This Row],[Affected WTG]],'Basic Data'!$A:$A,'Basic Data'!$B:$B)</f>
        <v>PWEGPL</v>
      </c>
      <c r="I574" s="39" t="str">
        <f>_xlfn.XLOOKUP(Table6[[#This Row],[Affected WTG]],'Basic Data'!$A:$A,'Basic Data'!$C:$C)</f>
        <v>MSEDCL</v>
      </c>
      <c r="J574" s="345">
        <f>IFERROR(VLOOKUP(Table6[[#This Row],[Affected WTG]],'Basic Data'!$A$3:$E$56,5,0),"")</f>
        <v>2.564102564102564E-2</v>
      </c>
      <c r="K574" s="105">
        <v>2118</v>
      </c>
      <c r="L574" s="39" t="str">
        <f>IFERROR(VLOOKUP(Table6[[#This Row],[Error Code]],'Basic Data'!$T:$U,2,0),"")</f>
        <v>Bus Error - Interbus Failure</v>
      </c>
      <c r="M574" s="346" t="s">
        <v>462</v>
      </c>
      <c r="N574" s="39" t="s">
        <v>1270</v>
      </c>
      <c r="O574" s="347">
        <v>0.67361111111111116</v>
      </c>
      <c r="P574" s="347">
        <v>0.6958333333333333</v>
      </c>
      <c r="Q574" s="347">
        <v>0.69791666666666663</v>
      </c>
      <c r="R574" s="348">
        <f>IF(Table6[[#This Row],[Work Start TimeStamp]]="","",(Table6[[#This Row],[Work Start TimeStamp]]-Table6[[#This Row],[Fault Start TimeStamp]])*24)</f>
        <v>0.53333333333333144</v>
      </c>
      <c r="S574" s="349">
        <f>(Table6[[#This Row],[Fault Clearance time]]-Table6[[#This Row],[Work Start TimeStamp]])*24</f>
        <v>4.9999999999999822E-2</v>
      </c>
      <c r="T574" s="350">
        <f>(Table6[[#This Row],[Fault Clearance time]]-Table6[[#This Row],[Fault Start TimeStamp]])*24</f>
        <v>0.58333333333333126</v>
      </c>
      <c r="U574" s="346" t="s">
        <v>491</v>
      </c>
      <c r="V574" s="351" t="s">
        <v>463</v>
      </c>
      <c r="W574" s="338">
        <f>Table6[[#This Row],[Breakdown Time]]*(1/39)</f>
        <v>1.4957264957264904E-2</v>
      </c>
      <c r="X574" s="336" t="s">
        <v>465</v>
      </c>
      <c r="Y574" s="352" t="s">
        <v>147</v>
      </c>
      <c r="Z574" s="105">
        <v>3121</v>
      </c>
      <c r="AA574" s="107">
        <v>75.857638888888616</v>
      </c>
      <c r="AB574" s="105" t="s">
        <v>478</v>
      </c>
    </row>
    <row r="575" spans="1:28">
      <c r="A575" s="105">
        <f t="shared" si="8"/>
        <v>574</v>
      </c>
      <c r="B575" s="107">
        <f>YEAR(Table6[[#This Row],[Date]])+IF(MONTH(Table6[[#This Row],[Date]])&gt;=4,1,0)</f>
        <v>2026</v>
      </c>
      <c r="C575" s="105">
        <f>YEAR(Table6[[#This Row],[Date]])</f>
        <v>2025</v>
      </c>
      <c r="D575" s="105" t="s">
        <v>490</v>
      </c>
      <c r="E575" s="119">
        <f>Table6[[#This Row],[Date]]-DAY(Table6[[#This Row],[Date]])+1</f>
        <v>45778</v>
      </c>
      <c r="F575" s="118">
        <v>45796</v>
      </c>
      <c r="G575" s="105" t="s">
        <v>144</v>
      </c>
      <c r="H575" s="39" t="str">
        <f>_xlfn.XLOOKUP(Table6[[#This Row],[Affected WTG]],'Basic Data'!$A:$A,'Basic Data'!$B:$B)</f>
        <v>PWEGPL</v>
      </c>
      <c r="I575" s="39" t="str">
        <f>_xlfn.XLOOKUP(Table6[[#This Row],[Affected WTG]],'Basic Data'!$A:$A,'Basic Data'!$C:$C)</f>
        <v>MSEDCL</v>
      </c>
      <c r="J575" s="345">
        <f>IFERROR(VLOOKUP(Table6[[#This Row],[Affected WTG]],'Basic Data'!$A$3:$E$56,5,0),"")</f>
        <v>2.564102564102564E-2</v>
      </c>
      <c r="K575" s="105" t="s">
        <v>492</v>
      </c>
      <c r="L575" s="39" t="str">
        <f>IFERROR(VLOOKUP(Table6[[#This Row],[Error Code]],'Basic Data'!$T:$U,2,0),"")</f>
        <v>Manual Stop - Safety Related</v>
      </c>
      <c r="M575" s="346" t="s">
        <v>481</v>
      </c>
      <c r="N575" s="39" t="s">
        <v>1269</v>
      </c>
      <c r="O575" s="347">
        <v>0</v>
      </c>
      <c r="P575" s="347">
        <v>0.99930555555555556</v>
      </c>
      <c r="Q575" s="347">
        <v>0.99930555555555556</v>
      </c>
      <c r="R575" s="348">
        <f>IF(Table6[[#This Row],[Work Start TimeStamp]]="","",(Table6[[#This Row],[Work Start TimeStamp]]-Table6[[#This Row],[Fault Start TimeStamp]])*24)</f>
        <v>23.983333333333334</v>
      </c>
      <c r="S575" s="349">
        <f>(Table6[[#This Row],[Fault Clearance time]]-Table6[[#This Row],[Work Start TimeStamp]])*24</f>
        <v>0</v>
      </c>
      <c r="T575" s="350">
        <f>(Table6[[#This Row],[Fault Clearance time]]-Table6[[#This Row],[Fault Start TimeStamp]])*24</f>
        <v>23.983333333333334</v>
      </c>
      <c r="U575" s="346" t="s">
        <v>498</v>
      </c>
      <c r="V575" s="351" t="s">
        <v>473</v>
      </c>
      <c r="W575" s="338">
        <f>Table6[[#This Row],[Breakdown Time]]*(1/39)</f>
        <v>0.61495726495726499</v>
      </c>
      <c r="X575" s="336" t="s">
        <v>468</v>
      </c>
      <c r="Y575" s="352" t="s">
        <v>141</v>
      </c>
      <c r="Z575" s="105">
        <v>4109</v>
      </c>
      <c r="AA575" s="107">
        <v>4106.1465277777779</v>
      </c>
      <c r="AB575" s="105" t="s">
        <v>478</v>
      </c>
    </row>
    <row r="576" spans="1:28">
      <c r="A576" s="105">
        <f t="shared" si="8"/>
        <v>575</v>
      </c>
      <c r="B576" s="107">
        <f>YEAR(Table6[[#This Row],[Date]])+IF(MONTH(Table6[[#This Row],[Date]])&gt;=4,1,0)</f>
        <v>2026</v>
      </c>
      <c r="C576" s="105">
        <f>YEAR(Table6[[#This Row],[Date]])</f>
        <v>2025</v>
      </c>
      <c r="D576" s="105" t="s">
        <v>490</v>
      </c>
      <c r="E576" s="119">
        <f>Table6[[#This Row],[Date]]-DAY(Table6[[#This Row],[Date]])+1</f>
        <v>45778</v>
      </c>
      <c r="F576" s="118">
        <v>45796</v>
      </c>
      <c r="G576" s="105" t="s">
        <v>142</v>
      </c>
      <c r="H576" s="39" t="str">
        <f>_xlfn.XLOOKUP(Table6[[#This Row],[Affected WTG]],'Basic Data'!$A:$A,'Basic Data'!$B:$B)</f>
        <v>PWEGPL</v>
      </c>
      <c r="I576" s="39" t="str">
        <f>_xlfn.XLOOKUP(Table6[[#This Row],[Affected WTG]],'Basic Data'!$A:$A,'Basic Data'!$C:$C)</f>
        <v>MSEDCL</v>
      </c>
      <c r="J576" s="345">
        <f>IFERROR(VLOOKUP(Table6[[#This Row],[Affected WTG]],'Basic Data'!$A$3:$E$56,5,0),"")</f>
        <v>2.564102564102564E-2</v>
      </c>
      <c r="K576" s="105" t="s">
        <v>492</v>
      </c>
      <c r="L576" s="39" t="str">
        <f>IFERROR(VLOOKUP(Table6[[#This Row],[Error Code]],'Basic Data'!$T:$U,2,0),"")</f>
        <v>Manual Stop - Safety Related</v>
      </c>
      <c r="M576" s="346" t="s">
        <v>481</v>
      </c>
      <c r="N576" s="39" t="s">
        <v>1269</v>
      </c>
      <c r="O576" s="347">
        <v>0</v>
      </c>
      <c r="P576" s="347">
        <v>0.99930555555555556</v>
      </c>
      <c r="Q576" s="347">
        <v>0.99930555555555556</v>
      </c>
      <c r="R576" s="348">
        <f>IF(Table6[[#This Row],[Work Start TimeStamp]]="","",(Table6[[#This Row],[Work Start TimeStamp]]-Table6[[#This Row],[Fault Start TimeStamp]])*24)</f>
        <v>23.983333333333334</v>
      </c>
      <c r="S576" s="349">
        <f>(Table6[[#This Row],[Fault Clearance time]]-Table6[[#This Row],[Work Start TimeStamp]])*24</f>
        <v>0</v>
      </c>
      <c r="T576" s="350">
        <f>(Table6[[#This Row],[Fault Clearance time]]-Table6[[#This Row],[Fault Start TimeStamp]])*24</f>
        <v>23.983333333333334</v>
      </c>
      <c r="U576" s="346" t="s">
        <v>498</v>
      </c>
      <c r="V576" s="351" t="s">
        <v>473</v>
      </c>
      <c r="W576" s="338">
        <f>Table6[[#This Row],[Breakdown Time]]*(1/39)</f>
        <v>0.61495726495726499</v>
      </c>
      <c r="X576" s="336" t="s">
        <v>468</v>
      </c>
      <c r="Y576" s="352" t="s">
        <v>141</v>
      </c>
      <c r="Z576" s="105">
        <v>4109</v>
      </c>
      <c r="AA576" s="107">
        <v>4106.1465277777779</v>
      </c>
      <c r="AB576" s="105" t="s">
        <v>478</v>
      </c>
    </row>
    <row r="577" spans="1:28">
      <c r="A577" s="105">
        <f t="shared" si="8"/>
        <v>576</v>
      </c>
      <c r="B577" s="107">
        <f>YEAR(Table6[[#This Row],[Date]])+IF(MONTH(Table6[[#This Row],[Date]])&gt;=4,1,0)</f>
        <v>2026</v>
      </c>
      <c r="C577" s="105">
        <f>YEAR(Table6[[#This Row],[Date]])</f>
        <v>2025</v>
      </c>
      <c r="D577" s="105" t="s">
        <v>490</v>
      </c>
      <c r="E577" s="119">
        <f>Table6[[#This Row],[Date]]-DAY(Table6[[#This Row],[Date]])+1</f>
        <v>45778</v>
      </c>
      <c r="F577" s="118">
        <v>45796</v>
      </c>
      <c r="G577" s="105" t="s">
        <v>119</v>
      </c>
      <c r="H577" s="39" t="str">
        <f>_xlfn.XLOOKUP(Table6[[#This Row],[Affected WTG]],'Basic Data'!$A:$A,'Basic Data'!$B:$B)</f>
        <v>PWEGPL</v>
      </c>
      <c r="I577" s="39" t="str">
        <f>_xlfn.XLOOKUP(Table6[[#This Row],[Affected WTG]],'Basic Data'!$A:$A,'Basic Data'!$C:$C)</f>
        <v>MSEDCL</v>
      </c>
      <c r="J577" s="345">
        <f>IFERROR(VLOOKUP(Table6[[#This Row],[Affected WTG]],'Basic Data'!$A$3:$E$56,5,0),"")</f>
        <v>2.564102564102564E-2</v>
      </c>
      <c r="K577" s="105" t="s">
        <v>466</v>
      </c>
      <c r="L577" s="39" t="str">
        <f>IFERROR(VLOOKUP(Table6[[#This Row],[Error Code]],'Basic Data'!$T:$U,2,0),"")</f>
        <v>Manual Stop</v>
      </c>
      <c r="M577" s="346" t="s">
        <v>507</v>
      </c>
      <c r="N577" s="39" t="s">
        <v>230</v>
      </c>
      <c r="O577" s="347">
        <v>0.46944444444444444</v>
      </c>
      <c r="P577" s="347">
        <v>0.46944444444444444</v>
      </c>
      <c r="Q577" s="347">
        <v>0.51388888888888884</v>
      </c>
      <c r="R577" s="348">
        <f>IF(Table6[[#This Row],[Work Start TimeStamp]]="","",(Table6[[#This Row],[Work Start TimeStamp]]-Table6[[#This Row],[Fault Start TimeStamp]])*24)</f>
        <v>0</v>
      </c>
      <c r="S577" s="349">
        <f>(Table6[[#This Row],[Fault Clearance time]]-Table6[[#This Row],[Work Start TimeStamp]])*24</f>
        <v>1.0666666666666655</v>
      </c>
      <c r="T577" s="350">
        <f>(Table6[[#This Row],[Fault Clearance time]]-Table6[[#This Row],[Fault Start TimeStamp]])*24</f>
        <v>1.0666666666666655</v>
      </c>
      <c r="U577" s="346" t="s">
        <v>607</v>
      </c>
      <c r="V577" s="351" t="s">
        <v>463</v>
      </c>
      <c r="W577" s="338">
        <f>Table6[[#This Row],[Breakdown Time]]*(1/39)</f>
        <v>2.7350427350427319E-2</v>
      </c>
      <c r="X577" s="336" t="s">
        <v>464</v>
      </c>
      <c r="Y577" s="352" t="s">
        <v>137</v>
      </c>
      <c r="Z577" s="105">
        <v>4115</v>
      </c>
      <c r="AA577" s="107">
        <v>868.7222222222224</v>
      </c>
      <c r="AB577" s="105" t="s">
        <v>478</v>
      </c>
    </row>
    <row r="578" spans="1:28">
      <c r="A578" s="105">
        <f t="shared" si="8"/>
        <v>577</v>
      </c>
      <c r="B578" s="107">
        <f>YEAR(Table6[[#This Row],[Date]])+IF(MONTH(Table6[[#This Row],[Date]])&gt;=4,1,0)</f>
        <v>2026</v>
      </c>
      <c r="C578" s="105">
        <f>YEAR(Table6[[#This Row],[Date]])</f>
        <v>2025</v>
      </c>
      <c r="D578" s="105" t="s">
        <v>490</v>
      </c>
      <c r="E578" s="119">
        <f>Table6[[#This Row],[Date]]-DAY(Table6[[#This Row],[Date]])+1</f>
        <v>45778</v>
      </c>
      <c r="F578" s="118">
        <v>45796</v>
      </c>
      <c r="G578" s="105" t="s">
        <v>136</v>
      </c>
      <c r="H578" s="39" t="str">
        <f>_xlfn.XLOOKUP(Table6[[#This Row],[Affected WTG]],'Basic Data'!$A:$A,'Basic Data'!$B:$B)</f>
        <v>PWEGPL</v>
      </c>
      <c r="I578" s="39" t="str">
        <f>_xlfn.XLOOKUP(Table6[[#This Row],[Affected WTG]],'Basic Data'!$A:$A,'Basic Data'!$C:$C)</f>
        <v>MSEDCL</v>
      </c>
      <c r="J578" s="345">
        <f>IFERROR(VLOOKUP(Table6[[#This Row],[Affected WTG]],'Basic Data'!$A$3:$E$56,5,0),"")</f>
        <v>2.564102564102564E-2</v>
      </c>
      <c r="K578" s="105" t="s">
        <v>476</v>
      </c>
      <c r="L578" s="39" t="str">
        <f>IFERROR(VLOOKUP(Table6[[#This Row],[Error Code]],'Basic Data'!$T:$U,2,0),"")</f>
        <v>Manual Stop - Preventive Maintenance Activity</v>
      </c>
      <c r="M578" s="346" t="s">
        <v>474</v>
      </c>
      <c r="N578" s="39" t="s">
        <v>230</v>
      </c>
      <c r="O578" s="347">
        <v>0.46111111111111114</v>
      </c>
      <c r="P578" s="347">
        <v>0.46111111111111114</v>
      </c>
      <c r="Q578" s="347">
        <v>0.72916666666666663</v>
      </c>
      <c r="R578" s="348">
        <f>IF(Table6[[#This Row],[Work Start TimeStamp]]="","",(Table6[[#This Row],[Work Start TimeStamp]]-Table6[[#This Row],[Fault Start TimeStamp]])*24)</f>
        <v>0</v>
      </c>
      <c r="S578" s="349">
        <f>(Table6[[#This Row],[Fault Clearance time]]-Table6[[#This Row],[Work Start TimeStamp]])*24</f>
        <v>6.4333333333333318</v>
      </c>
      <c r="T578" s="350">
        <f>(Table6[[#This Row],[Fault Clearance time]]-Table6[[#This Row],[Fault Start TimeStamp]])*24</f>
        <v>6.4333333333333318</v>
      </c>
      <c r="U578" s="346" t="s">
        <v>582</v>
      </c>
      <c r="V578" s="351" t="s">
        <v>463</v>
      </c>
      <c r="W578" s="338">
        <f>Table6[[#This Row],[Breakdown Time]]*(1/39)</f>
        <v>0.1649572649572649</v>
      </c>
      <c r="X578" s="336" t="s">
        <v>467</v>
      </c>
      <c r="Y578" s="352" t="s">
        <v>135</v>
      </c>
      <c r="Z578" s="105">
        <v>4102</v>
      </c>
      <c r="AA578" s="107">
        <v>1099.5638888888886</v>
      </c>
      <c r="AB578" s="105" t="s">
        <v>478</v>
      </c>
    </row>
    <row r="579" spans="1:28">
      <c r="A579" s="105">
        <f t="shared" si="8"/>
        <v>578</v>
      </c>
      <c r="B579" s="107">
        <f>YEAR(Table6[[#This Row],[Date]])+IF(MONTH(Table6[[#This Row],[Date]])&gt;=4,1,0)</f>
        <v>2026</v>
      </c>
      <c r="C579" s="105">
        <f>YEAR(Table6[[#This Row],[Date]])</f>
        <v>2025</v>
      </c>
      <c r="D579" s="105" t="s">
        <v>490</v>
      </c>
      <c r="E579" s="119">
        <f>Table6[[#This Row],[Date]]-DAY(Table6[[#This Row],[Date]])+1</f>
        <v>45778</v>
      </c>
      <c r="F579" s="118">
        <v>45796</v>
      </c>
      <c r="G579" s="105" t="s">
        <v>141</v>
      </c>
      <c r="H579" s="39" t="str">
        <f>_xlfn.XLOOKUP(Table6[[#This Row],[Affected WTG]],'Basic Data'!$A:$A,'Basic Data'!$B:$B)</f>
        <v>PWEGPL</v>
      </c>
      <c r="I579" s="39" t="str">
        <f>_xlfn.XLOOKUP(Table6[[#This Row],[Affected WTG]],'Basic Data'!$A:$A,'Basic Data'!$C:$C)</f>
        <v>MSEDCL</v>
      </c>
      <c r="J579" s="345">
        <f>IFERROR(VLOOKUP(Table6[[#This Row],[Affected WTG]],'Basic Data'!$A$3:$E$56,5,0),"")</f>
        <v>2.564102564102564E-2</v>
      </c>
      <c r="K579" s="105">
        <v>2102</v>
      </c>
      <c r="L579" s="39" t="str">
        <f>IFERROR(VLOOKUP(Table6[[#This Row],[Error Code]],'Basic Data'!$T:$U,2,0),"")</f>
        <v>PLC Module Failure</v>
      </c>
      <c r="M579" s="346" t="s">
        <v>462</v>
      </c>
      <c r="N579" s="39" t="s">
        <v>1270</v>
      </c>
      <c r="O579" s="347">
        <v>0.68194444444444446</v>
      </c>
      <c r="P579" s="347">
        <v>0.70694444444444449</v>
      </c>
      <c r="Q579" s="347">
        <v>0.70902777777777781</v>
      </c>
      <c r="R579" s="348">
        <f>IF(Table6[[#This Row],[Work Start TimeStamp]]="","",(Table6[[#This Row],[Work Start TimeStamp]]-Table6[[#This Row],[Fault Start TimeStamp]])*24)</f>
        <v>0.60000000000000053</v>
      </c>
      <c r="S579" s="349">
        <f>(Table6[[#This Row],[Fault Clearance time]]-Table6[[#This Row],[Work Start TimeStamp]])*24</f>
        <v>4.9999999999999822E-2</v>
      </c>
      <c r="T579" s="350">
        <f>(Table6[[#This Row],[Fault Clearance time]]-Table6[[#This Row],[Fault Start TimeStamp]])*24</f>
        <v>0.65000000000000036</v>
      </c>
      <c r="U579" s="346" t="s">
        <v>491</v>
      </c>
      <c r="V579" s="351" t="s">
        <v>463</v>
      </c>
      <c r="W579" s="338">
        <f>Table6[[#This Row],[Breakdown Time]]*(1/39)</f>
        <v>1.6666666666666677E-2</v>
      </c>
      <c r="X579" s="336" t="s">
        <v>465</v>
      </c>
      <c r="Y579" s="352" t="s">
        <v>143</v>
      </c>
      <c r="Z579" s="105">
        <v>4121</v>
      </c>
      <c r="AA579" s="107">
        <v>111.61041666666674</v>
      </c>
      <c r="AB579" s="105" t="s">
        <v>478</v>
      </c>
    </row>
    <row r="580" spans="1:28">
      <c r="A580" s="105">
        <f t="shared" ref="A580:A643" si="9">A579+1</f>
        <v>579</v>
      </c>
      <c r="B580" s="107">
        <f>YEAR(Table6[[#This Row],[Date]])+IF(MONTH(Table6[[#This Row],[Date]])&gt;=4,1,0)</f>
        <v>2026</v>
      </c>
      <c r="C580" s="105">
        <f>YEAR(Table6[[#This Row],[Date]])</f>
        <v>2025</v>
      </c>
      <c r="D580" s="105" t="s">
        <v>490</v>
      </c>
      <c r="E580" s="119">
        <f>Table6[[#This Row],[Date]]-DAY(Table6[[#This Row],[Date]])+1</f>
        <v>45778</v>
      </c>
      <c r="F580" s="118">
        <v>45797</v>
      </c>
      <c r="G580" s="105" t="s">
        <v>144</v>
      </c>
      <c r="H580" s="39" t="str">
        <f>_xlfn.XLOOKUP(Table6[[#This Row],[Affected WTG]],'Basic Data'!$A:$A,'Basic Data'!$B:$B)</f>
        <v>PWEGPL</v>
      </c>
      <c r="I580" s="39" t="str">
        <f>_xlfn.XLOOKUP(Table6[[#This Row],[Affected WTG]],'Basic Data'!$A:$A,'Basic Data'!$C:$C)</f>
        <v>MSEDCL</v>
      </c>
      <c r="J580" s="345">
        <f>IFERROR(VLOOKUP(Table6[[#This Row],[Affected WTG]],'Basic Data'!$A$3:$E$56,5,0),"")</f>
        <v>2.564102564102564E-2</v>
      </c>
      <c r="K580" s="105" t="s">
        <v>492</v>
      </c>
      <c r="L580" s="39" t="str">
        <f>IFERROR(VLOOKUP(Table6[[#This Row],[Error Code]],'Basic Data'!$T:$U,2,0),"")</f>
        <v>Manual Stop - Safety Related</v>
      </c>
      <c r="M580" s="346" t="s">
        <v>481</v>
      </c>
      <c r="N580" s="39" t="s">
        <v>1269</v>
      </c>
      <c r="O580" s="347">
        <v>0</v>
      </c>
      <c r="P580" s="347">
        <v>0.99930555555555556</v>
      </c>
      <c r="Q580" s="347">
        <v>0.99930555555555556</v>
      </c>
      <c r="R580" s="348">
        <f>IF(Table6[[#This Row],[Work Start TimeStamp]]="","",(Table6[[#This Row],[Work Start TimeStamp]]-Table6[[#This Row],[Fault Start TimeStamp]])*24)</f>
        <v>23.983333333333334</v>
      </c>
      <c r="S580" s="349">
        <f>(Table6[[#This Row],[Fault Clearance time]]-Table6[[#This Row],[Work Start TimeStamp]])*24</f>
        <v>0</v>
      </c>
      <c r="T580" s="350">
        <f>(Table6[[#This Row],[Fault Clearance time]]-Table6[[#This Row],[Fault Start TimeStamp]])*24</f>
        <v>23.983333333333334</v>
      </c>
      <c r="U580" s="346" t="s">
        <v>498</v>
      </c>
      <c r="V580" s="351" t="s">
        <v>473</v>
      </c>
      <c r="W580" s="338">
        <f>Table6[[#This Row],[Breakdown Time]]*(1/39)</f>
        <v>0.61495726495726499</v>
      </c>
      <c r="X580" s="336" t="s">
        <v>468</v>
      </c>
      <c r="Y580" s="352" t="s">
        <v>141</v>
      </c>
      <c r="Z580" s="105">
        <v>5242</v>
      </c>
      <c r="AA580" s="107">
        <v>5238.3597222222224</v>
      </c>
      <c r="AB580" s="105" t="s">
        <v>478</v>
      </c>
    </row>
    <row r="581" spans="1:28">
      <c r="A581" s="105">
        <f t="shared" si="9"/>
        <v>580</v>
      </c>
      <c r="B581" s="107">
        <f>YEAR(Table6[[#This Row],[Date]])+IF(MONTH(Table6[[#This Row],[Date]])&gt;=4,1,0)</f>
        <v>2026</v>
      </c>
      <c r="C581" s="105">
        <f>YEAR(Table6[[#This Row],[Date]])</f>
        <v>2025</v>
      </c>
      <c r="D581" s="105" t="s">
        <v>490</v>
      </c>
      <c r="E581" s="119">
        <f>Table6[[#This Row],[Date]]-DAY(Table6[[#This Row],[Date]])+1</f>
        <v>45778</v>
      </c>
      <c r="F581" s="118">
        <v>45797</v>
      </c>
      <c r="G581" s="105" t="s">
        <v>142</v>
      </c>
      <c r="H581" s="39" t="str">
        <f>_xlfn.XLOOKUP(Table6[[#This Row],[Affected WTG]],'Basic Data'!$A:$A,'Basic Data'!$B:$B)</f>
        <v>PWEGPL</v>
      </c>
      <c r="I581" s="39" t="str">
        <f>_xlfn.XLOOKUP(Table6[[#This Row],[Affected WTG]],'Basic Data'!$A:$A,'Basic Data'!$C:$C)</f>
        <v>MSEDCL</v>
      </c>
      <c r="J581" s="345">
        <f>IFERROR(VLOOKUP(Table6[[#This Row],[Affected WTG]],'Basic Data'!$A$3:$E$56,5,0),"")</f>
        <v>2.564102564102564E-2</v>
      </c>
      <c r="K581" s="105" t="s">
        <v>492</v>
      </c>
      <c r="L581" s="39" t="str">
        <f>IFERROR(VLOOKUP(Table6[[#This Row],[Error Code]],'Basic Data'!$T:$U,2,0),"")</f>
        <v>Manual Stop - Safety Related</v>
      </c>
      <c r="M581" s="346" t="s">
        <v>481</v>
      </c>
      <c r="N581" s="39" t="s">
        <v>1269</v>
      </c>
      <c r="O581" s="347">
        <v>0</v>
      </c>
      <c r="P581" s="347">
        <v>0.99930555555555556</v>
      </c>
      <c r="Q581" s="347">
        <v>0.99930555555555556</v>
      </c>
      <c r="R581" s="348">
        <f>IF(Table6[[#This Row],[Work Start TimeStamp]]="","",(Table6[[#This Row],[Work Start TimeStamp]]-Table6[[#This Row],[Fault Start TimeStamp]])*24)</f>
        <v>23.983333333333334</v>
      </c>
      <c r="S581" s="349">
        <f>(Table6[[#This Row],[Fault Clearance time]]-Table6[[#This Row],[Work Start TimeStamp]])*24</f>
        <v>0</v>
      </c>
      <c r="T581" s="350">
        <f>(Table6[[#This Row],[Fault Clearance time]]-Table6[[#This Row],[Fault Start TimeStamp]])*24</f>
        <v>23.983333333333334</v>
      </c>
      <c r="U581" s="346" t="s">
        <v>498</v>
      </c>
      <c r="V581" s="351" t="s">
        <v>473</v>
      </c>
      <c r="W581" s="338">
        <f>Table6[[#This Row],[Breakdown Time]]*(1/39)</f>
        <v>0.61495726495726499</v>
      </c>
      <c r="X581" s="336" t="s">
        <v>468</v>
      </c>
      <c r="Y581" s="352" t="s">
        <v>141</v>
      </c>
      <c r="Z581" s="105">
        <v>5242</v>
      </c>
      <c r="AA581" s="107">
        <v>5238.3597222222224</v>
      </c>
      <c r="AB581" s="105" t="s">
        <v>478</v>
      </c>
    </row>
    <row r="582" spans="1:28">
      <c r="A582" s="105">
        <f t="shared" si="9"/>
        <v>581</v>
      </c>
      <c r="B582" s="107">
        <f>YEAR(Table6[[#This Row],[Date]])+IF(MONTH(Table6[[#This Row],[Date]])&gt;=4,1,0)</f>
        <v>2026</v>
      </c>
      <c r="C582" s="105">
        <f>YEAR(Table6[[#This Row],[Date]])</f>
        <v>2025</v>
      </c>
      <c r="D582" s="105" t="s">
        <v>490</v>
      </c>
      <c r="E582" s="119">
        <f>Table6[[#This Row],[Date]]-DAY(Table6[[#This Row],[Date]])+1</f>
        <v>45778</v>
      </c>
      <c r="F582" s="118">
        <v>45797</v>
      </c>
      <c r="G582" s="105" t="s">
        <v>116</v>
      </c>
      <c r="H582" s="39" t="str">
        <f>_xlfn.XLOOKUP(Table6[[#This Row],[Affected WTG]],'Basic Data'!$A:$A,'Basic Data'!$B:$B)</f>
        <v>PWEGPL</v>
      </c>
      <c r="I582" s="39" t="str">
        <f>_xlfn.XLOOKUP(Table6[[#This Row],[Affected WTG]],'Basic Data'!$A:$A,'Basic Data'!$C:$C)</f>
        <v>MSEDCL</v>
      </c>
      <c r="J582" s="345">
        <f>IFERROR(VLOOKUP(Table6[[#This Row],[Affected WTG]],'Basic Data'!$A$3:$E$56,5,0),"")</f>
        <v>2.564102564102564E-2</v>
      </c>
      <c r="K582" s="105">
        <v>203</v>
      </c>
      <c r="L582" s="39" t="str">
        <f>IFERROR(VLOOKUP(Table6[[#This Row],[Error Code]],'Basic Data'!$T:$U,2,0),"")</f>
        <v>Low Pressure On Hydraulic Group</v>
      </c>
      <c r="M582" s="346" t="s">
        <v>462</v>
      </c>
      <c r="N582" s="39" t="s">
        <v>1270</v>
      </c>
      <c r="O582" s="347">
        <v>0.66805555555555551</v>
      </c>
      <c r="P582" s="347">
        <v>0.69097222222222221</v>
      </c>
      <c r="Q582" s="347">
        <v>0.69236111111111109</v>
      </c>
      <c r="R582" s="348">
        <f>IF(Table6[[#This Row],[Work Start TimeStamp]]="","",(Table6[[#This Row],[Work Start TimeStamp]]-Table6[[#This Row],[Fault Start TimeStamp]])*24)</f>
        <v>0.55000000000000071</v>
      </c>
      <c r="S582" s="349">
        <f>(Table6[[#This Row],[Fault Clearance time]]-Table6[[#This Row],[Work Start TimeStamp]])*24</f>
        <v>3.3333333333333215E-2</v>
      </c>
      <c r="T582" s="350">
        <f>(Table6[[#This Row],[Fault Clearance time]]-Table6[[#This Row],[Fault Start TimeStamp]])*24</f>
        <v>0.58333333333333393</v>
      </c>
      <c r="U582" s="346" t="s">
        <v>493</v>
      </c>
      <c r="V582" s="351" t="s">
        <v>463</v>
      </c>
      <c r="W582" s="338">
        <f>Table6[[#This Row],[Breakdown Time]]*(1/39)</f>
        <v>1.4957264957264972E-2</v>
      </c>
      <c r="X582" s="336" t="s">
        <v>465</v>
      </c>
      <c r="Y582" s="352" t="s">
        <v>118</v>
      </c>
      <c r="Z582" s="105">
        <v>5575</v>
      </c>
      <c r="AA582" s="107">
        <v>135.50347222222234</v>
      </c>
      <c r="AB582" s="105" t="s">
        <v>478</v>
      </c>
    </row>
    <row r="583" spans="1:28">
      <c r="A583" s="105">
        <f t="shared" si="9"/>
        <v>582</v>
      </c>
      <c r="B583" s="107">
        <f>YEAR(Table6[[#This Row],[Date]])+IF(MONTH(Table6[[#This Row],[Date]])&gt;=4,1,0)</f>
        <v>2026</v>
      </c>
      <c r="C583" s="105">
        <f>YEAR(Table6[[#This Row],[Date]])</f>
        <v>2025</v>
      </c>
      <c r="D583" s="105" t="s">
        <v>490</v>
      </c>
      <c r="E583" s="119">
        <f>Table6[[#This Row],[Date]]-DAY(Table6[[#This Row],[Date]])+1</f>
        <v>45778</v>
      </c>
      <c r="F583" s="118">
        <v>45797</v>
      </c>
      <c r="G583" s="105" t="s">
        <v>117</v>
      </c>
      <c r="H583" s="39" t="str">
        <f>_xlfn.XLOOKUP(Table6[[#This Row],[Affected WTG]],'Basic Data'!$A:$A,'Basic Data'!$B:$B)</f>
        <v>PWEGPL</v>
      </c>
      <c r="I583" s="39" t="str">
        <f>_xlfn.XLOOKUP(Table6[[#This Row],[Affected WTG]],'Basic Data'!$A:$A,'Basic Data'!$C:$C)</f>
        <v>MSEDCL</v>
      </c>
      <c r="J583" s="345">
        <f>IFERROR(VLOOKUP(Table6[[#This Row],[Affected WTG]],'Basic Data'!$A$3:$E$56,5,0),"")</f>
        <v>2.564102564102564E-2</v>
      </c>
      <c r="K583" s="105">
        <v>222</v>
      </c>
      <c r="L583" s="39" t="str">
        <f>IFERROR(VLOOKUP(Table6[[#This Row],[Error Code]],'Basic Data'!$T:$U,2,0),"")</f>
        <v>Very Low Pressure On Hydraulic Unit</v>
      </c>
      <c r="M583" s="346" t="s">
        <v>462</v>
      </c>
      <c r="N583" s="39" t="s">
        <v>1270</v>
      </c>
      <c r="O583" s="347">
        <v>0.67708333333333337</v>
      </c>
      <c r="P583" s="347">
        <v>0.70277777777777772</v>
      </c>
      <c r="Q583" s="347">
        <v>0.70416666666666672</v>
      </c>
      <c r="R583" s="348">
        <f>IF(Table6[[#This Row],[Work Start TimeStamp]]="","",(Table6[[#This Row],[Work Start TimeStamp]]-Table6[[#This Row],[Fault Start TimeStamp]])*24)</f>
        <v>0.61666666666666448</v>
      </c>
      <c r="S583" s="349">
        <f>(Table6[[#This Row],[Fault Clearance time]]-Table6[[#This Row],[Work Start TimeStamp]])*24</f>
        <v>3.3333333333335879E-2</v>
      </c>
      <c r="T583" s="350">
        <f>(Table6[[#This Row],[Fault Clearance time]]-Table6[[#This Row],[Fault Start TimeStamp]])*24</f>
        <v>0.65000000000000036</v>
      </c>
      <c r="U583" s="346" t="s">
        <v>493</v>
      </c>
      <c r="V583" s="351" t="s">
        <v>463</v>
      </c>
      <c r="W583" s="338">
        <f>Table6[[#This Row],[Breakdown Time]]*(1/39)</f>
        <v>1.6666666666666677E-2</v>
      </c>
      <c r="X583" s="336" t="s">
        <v>465</v>
      </c>
      <c r="Y583" s="352" t="s">
        <v>118</v>
      </c>
      <c r="Z583" s="105">
        <v>5575</v>
      </c>
      <c r="AA583" s="107">
        <v>150.9895833333334</v>
      </c>
      <c r="AB583" s="105" t="s">
        <v>478</v>
      </c>
    </row>
    <row r="584" spans="1:28">
      <c r="A584" s="105">
        <f t="shared" si="9"/>
        <v>583</v>
      </c>
      <c r="B584" s="107">
        <f>YEAR(Table6[[#This Row],[Date]])+IF(MONTH(Table6[[#This Row],[Date]])&gt;=4,1,0)</f>
        <v>2026</v>
      </c>
      <c r="C584" s="105">
        <f>YEAR(Table6[[#This Row],[Date]])</f>
        <v>2025</v>
      </c>
      <c r="D584" s="105" t="s">
        <v>490</v>
      </c>
      <c r="E584" s="119">
        <f>Table6[[#This Row],[Date]]-DAY(Table6[[#This Row],[Date]])+1</f>
        <v>45778</v>
      </c>
      <c r="F584" s="118">
        <v>45797</v>
      </c>
      <c r="G584" s="105" t="s">
        <v>123</v>
      </c>
      <c r="H584" s="39" t="str">
        <f>_xlfn.XLOOKUP(Table6[[#This Row],[Affected WTG]],'Basic Data'!$A:$A,'Basic Data'!$B:$B)</f>
        <v>PWEGPL</v>
      </c>
      <c r="I584" s="39" t="str">
        <f>_xlfn.XLOOKUP(Table6[[#This Row],[Affected WTG]],'Basic Data'!$A:$A,'Basic Data'!$C:$C)</f>
        <v>MSEDCL</v>
      </c>
      <c r="J584" s="345">
        <f>IFERROR(VLOOKUP(Table6[[#This Row],[Affected WTG]],'Basic Data'!$A$3:$E$56,5,0),"")</f>
        <v>2.564102564102564E-2</v>
      </c>
      <c r="K584" s="105">
        <v>222</v>
      </c>
      <c r="L584" s="39" t="str">
        <f>IFERROR(VLOOKUP(Table6[[#This Row],[Error Code]],'Basic Data'!$T:$U,2,0),"")</f>
        <v>Very Low Pressure On Hydraulic Unit</v>
      </c>
      <c r="M584" s="346" t="s">
        <v>462</v>
      </c>
      <c r="N584" s="39" t="s">
        <v>1270</v>
      </c>
      <c r="O584" s="347">
        <v>0.67708333333333337</v>
      </c>
      <c r="P584" s="347">
        <v>0.70972222222222225</v>
      </c>
      <c r="Q584" s="347">
        <v>0.71111111111111114</v>
      </c>
      <c r="R584" s="348">
        <f>IF(Table6[[#This Row],[Work Start TimeStamp]]="","",(Table6[[#This Row],[Work Start TimeStamp]]-Table6[[#This Row],[Fault Start TimeStamp]])*24)</f>
        <v>0.78333333333333321</v>
      </c>
      <c r="S584" s="349">
        <f>(Table6[[#This Row],[Fault Clearance time]]-Table6[[#This Row],[Work Start TimeStamp]])*24</f>
        <v>3.3333333333333215E-2</v>
      </c>
      <c r="T584" s="350">
        <f>(Table6[[#This Row],[Fault Clearance time]]-Table6[[#This Row],[Fault Start TimeStamp]])*24</f>
        <v>0.81666666666666643</v>
      </c>
      <c r="U584" s="346" t="s">
        <v>493</v>
      </c>
      <c r="V584" s="351" t="s">
        <v>463</v>
      </c>
      <c r="W584" s="338">
        <f>Table6[[#This Row],[Breakdown Time]]*(1/39)</f>
        <v>2.0940170940170932E-2</v>
      </c>
      <c r="X584" s="336" t="s">
        <v>465</v>
      </c>
      <c r="Y584" s="352" t="s">
        <v>126</v>
      </c>
      <c r="Z584" s="105">
        <v>5342</v>
      </c>
      <c r="AA584" s="107">
        <v>181.77638888888885</v>
      </c>
      <c r="AB584" s="105" t="s">
        <v>478</v>
      </c>
    </row>
    <row r="585" spans="1:28">
      <c r="A585" s="105">
        <f t="shared" si="9"/>
        <v>584</v>
      </c>
      <c r="B585" s="107">
        <f>YEAR(Table6[[#This Row],[Date]])+IF(MONTH(Table6[[#This Row],[Date]])&gt;=4,1,0)</f>
        <v>2026</v>
      </c>
      <c r="C585" s="105">
        <f>YEAR(Table6[[#This Row],[Date]])</f>
        <v>2025</v>
      </c>
      <c r="D585" s="105" t="s">
        <v>490</v>
      </c>
      <c r="E585" s="119">
        <f>Table6[[#This Row],[Date]]-DAY(Table6[[#This Row],[Date]])+1</f>
        <v>45778</v>
      </c>
      <c r="F585" s="118">
        <v>45797</v>
      </c>
      <c r="G585" s="105" t="s">
        <v>124</v>
      </c>
      <c r="H585" s="39" t="str">
        <f>_xlfn.XLOOKUP(Table6[[#This Row],[Affected WTG]],'Basic Data'!$A:$A,'Basic Data'!$B:$B)</f>
        <v>PWEGPL</v>
      </c>
      <c r="I585" s="39" t="str">
        <f>_xlfn.XLOOKUP(Table6[[#This Row],[Affected WTG]],'Basic Data'!$A:$A,'Basic Data'!$C:$C)</f>
        <v>MSEDCL</v>
      </c>
      <c r="J585" s="345">
        <f>IFERROR(VLOOKUP(Table6[[#This Row],[Affected WTG]],'Basic Data'!$A$3:$E$56,5,0),"")</f>
        <v>2.564102564102564E-2</v>
      </c>
      <c r="K585" s="105" t="s">
        <v>487</v>
      </c>
      <c r="L585" s="39" t="str">
        <f>IFERROR(VLOOKUP(Table6[[#This Row],[Error Code]],'Basic Data'!$T:$U,2,0),"")</f>
        <v>General Work Stoppage</v>
      </c>
      <c r="M585" s="346" t="s">
        <v>479</v>
      </c>
      <c r="N585" s="39" t="s">
        <v>230</v>
      </c>
      <c r="O585" s="347">
        <v>0.47222222222222221</v>
      </c>
      <c r="P585" s="347">
        <v>0.47222222222222221</v>
      </c>
      <c r="Q585" s="347">
        <v>0.67361111111111116</v>
      </c>
      <c r="R585" s="348">
        <f>IF(Table6[[#This Row],[Work Start TimeStamp]]="","",(Table6[[#This Row],[Work Start TimeStamp]]-Table6[[#This Row],[Fault Start TimeStamp]])*24)</f>
        <v>0</v>
      </c>
      <c r="S585" s="349">
        <f>(Table6[[#This Row],[Fault Clearance time]]-Table6[[#This Row],[Work Start TimeStamp]])*24</f>
        <v>4.8333333333333348</v>
      </c>
      <c r="T585" s="350">
        <f>(Table6[[#This Row],[Fault Clearance time]]-Table6[[#This Row],[Fault Start TimeStamp]])*24</f>
        <v>4.8333333333333348</v>
      </c>
      <c r="U585" s="346" t="s">
        <v>999</v>
      </c>
      <c r="V585" s="351" t="s">
        <v>463</v>
      </c>
      <c r="W585" s="338">
        <f>Table6[[#This Row],[Breakdown Time]]*(1/39)</f>
        <v>0.12393162393162396</v>
      </c>
      <c r="X585" s="336" t="s">
        <v>464</v>
      </c>
      <c r="Y585" s="352" t="s">
        <v>125</v>
      </c>
      <c r="Z585" s="105">
        <v>5543</v>
      </c>
      <c r="AA585" s="107">
        <v>1116.2986111111115</v>
      </c>
      <c r="AB585" s="105" t="s">
        <v>478</v>
      </c>
    </row>
    <row r="586" spans="1:28">
      <c r="A586" s="105">
        <f t="shared" si="9"/>
        <v>585</v>
      </c>
      <c r="B586" s="107">
        <f>YEAR(Table6[[#This Row],[Date]])+IF(MONTH(Table6[[#This Row],[Date]])&gt;=4,1,0)</f>
        <v>2026</v>
      </c>
      <c r="C586" s="105">
        <f>YEAR(Table6[[#This Row],[Date]])</f>
        <v>2025</v>
      </c>
      <c r="D586" s="105" t="s">
        <v>490</v>
      </c>
      <c r="E586" s="119">
        <f>Table6[[#This Row],[Date]]-DAY(Table6[[#This Row],[Date]])+1</f>
        <v>45778</v>
      </c>
      <c r="F586" s="118">
        <v>45797</v>
      </c>
      <c r="G586" s="105" t="s">
        <v>135</v>
      </c>
      <c r="H586" s="39" t="str">
        <f>_xlfn.XLOOKUP(Table6[[#This Row],[Affected WTG]],'Basic Data'!$A:$A,'Basic Data'!$B:$B)</f>
        <v>PWEGPL</v>
      </c>
      <c r="I586" s="39" t="str">
        <f>_xlfn.XLOOKUP(Table6[[#This Row],[Affected WTG]],'Basic Data'!$A:$A,'Basic Data'!$C:$C)</f>
        <v>MSEDCL</v>
      </c>
      <c r="J586" s="345">
        <f>IFERROR(VLOOKUP(Table6[[#This Row],[Affected WTG]],'Basic Data'!$A$3:$E$56,5,0),"")</f>
        <v>2.564102564102564E-2</v>
      </c>
      <c r="K586" s="105" t="s">
        <v>476</v>
      </c>
      <c r="L586" s="39" t="str">
        <f>IFERROR(VLOOKUP(Table6[[#This Row],[Error Code]],'Basic Data'!$T:$U,2,0),"")</f>
        <v>Manual Stop - Preventive Maintenance Activity</v>
      </c>
      <c r="M586" s="346" t="s">
        <v>474</v>
      </c>
      <c r="N586" s="39" t="s">
        <v>230</v>
      </c>
      <c r="O586" s="347">
        <v>0.4861111111111111</v>
      </c>
      <c r="P586" s="347">
        <v>0.4861111111111111</v>
      </c>
      <c r="Q586" s="347">
        <v>0.7368055555555556</v>
      </c>
      <c r="R586" s="348">
        <f>IF(Table6[[#This Row],[Work Start TimeStamp]]="","",(Table6[[#This Row],[Work Start TimeStamp]]-Table6[[#This Row],[Fault Start TimeStamp]])*24)</f>
        <v>0</v>
      </c>
      <c r="S586" s="349">
        <f>(Table6[[#This Row],[Fault Clearance time]]-Table6[[#This Row],[Work Start TimeStamp]])*24</f>
        <v>6.0166666666666675</v>
      </c>
      <c r="T586" s="350">
        <f>(Table6[[#This Row],[Fault Clearance time]]-Table6[[#This Row],[Fault Start TimeStamp]])*24</f>
        <v>6.0166666666666675</v>
      </c>
      <c r="U586" s="346" t="s">
        <v>582</v>
      </c>
      <c r="V586" s="351" t="s">
        <v>463</v>
      </c>
      <c r="W586" s="338">
        <f>Table6[[#This Row],[Breakdown Time]]*(1/39)</f>
        <v>0.15427350427350428</v>
      </c>
      <c r="X586" s="336" t="s">
        <v>467</v>
      </c>
      <c r="Y586" s="352" t="s">
        <v>136</v>
      </c>
      <c r="Z586" s="105">
        <v>5200</v>
      </c>
      <c r="AA586" s="107">
        <v>1303.6111111111113</v>
      </c>
      <c r="AB586" s="105" t="s">
        <v>478</v>
      </c>
    </row>
    <row r="587" spans="1:28">
      <c r="A587" s="105">
        <f t="shared" si="9"/>
        <v>586</v>
      </c>
      <c r="B587" s="107">
        <f>YEAR(Table6[[#This Row],[Date]])+IF(MONTH(Table6[[#This Row],[Date]])&gt;=4,1,0)</f>
        <v>2026</v>
      </c>
      <c r="C587" s="105">
        <f>YEAR(Table6[[#This Row],[Date]])</f>
        <v>2025</v>
      </c>
      <c r="D587" s="105" t="s">
        <v>490</v>
      </c>
      <c r="E587" s="119">
        <f>Table6[[#This Row],[Date]]-DAY(Table6[[#This Row],[Date]])+1</f>
        <v>45778</v>
      </c>
      <c r="F587" s="118">
        <v>45797</v>
      </c>
      <c r="G587" s="105" t="s">
        <v>145</v>
      </c>
      <c r="H587" s="39" t="str">
        <f>_xlfn.XLOOKUP(Table6[[#This Row],[Affected WTG]],'Basic Data'!$A:$A,'Basic Data'!$B:$B)</f>
        <v>PWEGPL</v>
      </c>
      <c r="I587" s="39" t="str">
        <f>_xlfn.XLOOKUP(Table6[[#This Row],[Affected WTG]],'Basic Data'!$A:$A,'Basic Data'!$C:$C)</f>
        <v>MSEDCL</v>
      </c>
      <c r="J587" s="345">
        <f>IFERROR(VLOOKUP(Table6[[#This Row],[Affected WTG]],'Basic Data'!$A$3:$E$56,5,0),"")</f>
        <v>2.564102564102564E-2</v>
      </c>
      <c r="K587" s="105">
        <v>5201</v>
      </c>
      <c r="L587" s="39" t="str">
        <f>IFERROR(VLOOKUP(Table6[[#This Row],[Error Code]],'Basic Data'!$T:$U,2,0),"")</f>
        <v>Magnetothermic Trigger Of The Stator Protection</v>
      </c>
      <c r="M587" s="346" t="s">
        <v>462</v>
      </c>
      <c r="N587" s="39" t="s">
        <v>1270</v>
      </c>
      <c r="O587" s="347">
        <v>0.60069444444444442</v>
      </c>
      <c r="P587" s="347">
        <v>0.63194444444444442</v>
      </c>
      <c r="Q587" s="347">
        <v>0.6333333333333333</v>
      </c>
      <c r="R587" s="348">
        <f>IF(Table6[[#This Row],[Work Start TimeStamp]]="","",(Table6[[#This Row],[Work Start TimeStamp]]-Table6[[#This Row],[Fault Start TimeStamp]])*24)</f>
        <v>0.75</v>
      </c>
      <c r="S587" s="349">
        <f>(Table6[[#This Row],[Fault Clearance time]]-Table6[[#This Row],[Work Start TimeStamp]])*24</f>
        <v>3.3333333333333215E-2</v>
      </c>
      <c r="T587" s="350">
        <f>(Table6[[#This Row],[Fault Clearance time]]-Table6[[#This Row],[Fault Start TimeStamp]])*24</f>
        <v>0.78333333333333321</v>
      </c>
      <c r="U587" s="346" t="s">
        <v>493</v>
      </c>
      <c r="V587" s="351" t="s">
        <v>463</v>
      </c>
      <c r="W587" s="338">
        <f>Table6[[#This Row],[Breakdown Time]]*(1/39)</f>
        <v>2.008547008547008E-2</v>
      </c>
      <c r="X587" s="336" t="s">
        <v>465</v>
      </c>
      <c r="Y587" s="352" t="s">
        <v>139</v>
      </c>
      <c r="Z587" s="105">
        <v>3501</v>
      </c>
      <c r="AA587" s="107">
        <v>114.26874999999998</v>
      </c>
      <c r="AB587" s="105" t="s">
        <v>478</v>
      </c>
    </row>
    <row r="588" spans="1:28">
      <c r="A588" s="105">
        <f t="shared" si="9"/>
        <v>587</v>
      </c>
      <c r="B588" s="107">
        <f>YEAR(Table6[[#This Row],[Date]])+IF(MONTH(Table6[[#This Row],[Date]])&gt;=4,1,0)</f>
        <v>2026</v>
      </c>
      <c r="C588" s="105">
        <f>YEAR(Table6[[#This Row],[Date]])</f>
        <v>2025</v>
      </c>
      <c r="D588" s="105" t="s">
        <v>490</v>
      </c>
      <c r="E588" s="119">
        <f>Table6[[#This Row],[Date]]-DAY(Table6[[#This Row],[Date]])+1</f>
        <v>45778</v>
      </c>
      <c r="F588" s="118">
        <v>45797</v>
      </c>
      <c r="G588" s="105" t="s">
        <v>139</v>
      </c>
      <c r="H588" s="39" t="str">
        <f>_xlfn.XLOOKUP(Table6[[#This Row],[Affected WTG]],'Basic Data'!$A:$A,'Basic Data'!$B:$B)</f>
        <v>PWEGPL</v>
      </c>
      <c r="I588" s="39" t="str">
        <f>_xlfn.XLOOKUP(Table6[[#This Row],[Affected WTG]],'Basic Data'!$A:$A,'Basic Data'!$C:$C)</f>
        <v>MSEDCL</v>
      </c>
      <c r="J588" s="345">
        <f>IFERROR(VLOOKUP(Table6[[#This Row],[Affected WTG]],'Basic Data'!$A$3:$E$56,5,0),"")</f>
        <v>2.564102564102564E-2</v>
      </c>
      <c r="K588" s="105">
        <v>5201</v>
      </c>
      <c r="L588" s="39" t="str">
        <f>IFERROR(VLOOKUP(Table6[[#This Row],[Error Code]],'Basic Data'!$T:$U,2,0),"")</f>
        <v>Magnetothermic Trigger Of The Stator Protection</v>
      </c>
      <c r="M588" s="346" t="s">
        <v>462</v>
      </c>
      <c r="N588" s="39" t="s">
        <v>1270</v>
      </c>
      <c r="O588" s="347">
        <v>0.60069444444444442</v>
      </c>
      <c r="P588" s="347">
        <v>0.64236111111111116</v>
      </c>
      <c r="Q588" s="347">
        <v>0.64375000000000004</v>
      </c>
      <c r="R588" s="348">
        <f>IF(Table6[[#This Row],[Work Start TimeStamp]]="","",(Table6[[#This Row],[Work Start TimeStamp]]-Table6[[#This Row],[Fault Start TimeStamp]])*24)</f>
        <v>1.0000000000000018</v>
      </c>
      <c r="S588" s="349">
        <f>(Table6[[#This Row],[Fault Clearance time]]-Table6[[#This Row],[Work Start TimeStamp]])*24</f>
        <v>3.3333333333333215E-2</v>
      </c>
      <c r="T588" s="350">
        <f>(Table6[[#This Row],[Fault Clearance time]]-Table6[[#This Row],[Fault Start TimeStamp]])*24</f>
        <v>1.033333333333335</v>
      </c>
      <c r="U588" s="346" t="s">
        <v>493</v>
      </c>
      <c r="V588" s="351" t="s">
        <v>463</v>
      </c>
      <c r="W588" s="338">
        <f>Table6[[#This Row],[Breakdown Time]]*(1/39)</f>
        <v>2.6495726495726537E-2</v>
      </c>
      <c r="X588" s="336" t="s">
        <v>465</v>
      </c>
      <c r="Y588" s="352" t="s">
        <v>153</v>
      </c>
      <c r="Z588" s="105">
        <v>3696</v>
      </c>
      <c r="AA588" s="107">
        <v>159.13333333333358</v>
      </c>
      <c r="AB588" s="105" t="s">
        <v>478</v>
      </c>
    </row>
    <row r="589" spans="1:28">
      <c r="A589" s="105">
        <f t="shared" si="9"/>
        <v>588</v>
      </c>
      <c r="B589" s="107">
        <f>YEAR(Table6[[#This Row],[Date]])+IF(MONTH(Table6[[#This Row],[Date]])&gt;=4,1,0)</f>
        <v>2026</v>
      </c>
      <c r="C589" s="105">
        <f>YEAR(Table6[[#This Row],[Date]])</f>
        <v>2025</v>
      </c>
      <c r="D589" s="105" t="s">
        <v>490</v>
      </c>
      <c r="E589" s="119">
        <f>Table6[[#This Row],[Date]]-DAY(Table6[[#This Row],[Date]])+1</f>
        <v>45778</v>
      </c>
      <c r="F589" s="118">
        <v>45797</v>
      </c>
      <c r="G589" s="105" t="s">
        <v>152</v>
      </c>
      <c r="H589" s="39" t="str">
        <f>_xlfn.XLOOKUP(Table6[[#This Row],[Affected WTG]],'Basic Data'!$A:$A,'Basic Data'!$B:$B)</f>
        <v>PWEGPL</v>
      </c>
      <c r="I589" s="39" t="str">
        <f>_xlfn.XLOOKUP(Table6[[#This Row],[Affected WTG]],'Basic Data'!$A:$A,'Basic Data'!$C:$C)</f>
        <v>MSEDCL</v>
      </c>
      <c r="J589" s="345">
        <f>IFERROR(VLOOKUP(Table6[[#This Row],[Affected WTG]],'Basic Data'!$A$3:$E$56,5,0),"")</f>
        <v>2.564102564102564E-2</v>
      </c>
      <c r="K589" s="105">
        <v>5201</v>
      </c>
      <c r="L589" s="39" t="str">
        <f>IFERROR(VLOOKUP(Table6[[#This Row],[Error Code]],'Basic Data'!$T:$U,2,0),"")</f>
        <v>Magnetothermic Trigger Of The Stator Protection</v>
      </c>
      <c r="M589" s="346" t="s">
        <v>462</v>
      </c>
      <c r="N589" s="39" t="s">
        <v>1270</v>
      </c>
      <c r="O589" s="347">
        <v>0.60069444444444442</v>
      </c>
      <c r="P589" s="347">
        <v>0.65555555555555556</v>
      </c>
      <c r="Q589" s="347">
        <v>0.65694444444444444</v>
      </c>
      <c r="R589" s="348">
        <f>IF(Table6[[#This Row],[Work Start TimeStamp]]="","",(Table6[[#This Row],[Work Start TimeStamp]]-Table6[[#This Row],[Fault Start TimeStamp]])*24)</f>
        <v>1.3166666666666673</v>
      </c>
      <c r="S589" s="349">
        <f>(Table6[[#This Row],[Fault Clearance time]]-Table6[[#This Row],[Work Start TimeStamp]])*24</f>
        <v>3.3333333333333215E-2</v>
      </c>
      <c r="T589" s="350">
        <f>(Table6[[#This Row],[Fault Clearance time]]-Table6[[#This Row],[Fault Start TimeStamp]])*24</f>
        <v>1.3500000000000005</v>
      </c>
      <c r="U589" s="346" t="s">
        <v>493</v>
      </c>
      <c r="V589" s="351" t="s">
        <v>463</v>
      </c>
      <c r="W589" s="338">
        <f>Table6[[#This Row],[Breakdown Time]]*(1/39)</f>
        <v>3.4615384615384631E-2</v>
      </c>
      <c r="X589" s="336" t="s">
        <v>465</v>
      </c>
      <c r="Y589" s="352" t="s">
        <v>153</v>
      </c>
      <c r="Z589" s="105">
        <v>3696</v>
      </c>
      <c r="AA589" s="107">
        <v>207.90000000000009</v>
      </c>
      <c r="AB589" s="105" t="s">
        <v>478</v>
      </c>
    </row>
    <row r="590" spans="1:28">
      <c r="A590" s="105">
        <f t="shared" si="9"/>
        <v>589</v>
      </c>
      <c r="B590" s="107">
        <f>YEAR(Table6[[#This Row],[Date]])+IF(MONTH(Table6[[#This Row],[Date]])&gt;=4,1,0)</f>
        <v>2026</v>
      </c>
      <c r="C590" s="105">
        <f>YEAR(Table6[[#This Row],[Date]])</f>
        <v>2025</v>
      </c>
      <c r="D590" s="105" t="s">
        <v>490</v>
      </c>
      <c r="E590" s="119">
        <f>Table6[[#This Row],[Date]]-DAY(Table6[[#This Row],[Date]])+1</f>
        <v>45778</v>
      </c>
      <c r="F590" s="118">
        <v>45798</v>
      </c>
      <c r="G590" s="105" t="s">
        <v>144</v>
      </c>
      <c r="H590" s="39" t="str">
        <f>_xlfn.XLOOKUP(Table6[[#This Row],[Affected WTG]],'Basic Data'!$A:$A,'Basic Data'!$B:$B)</f>
        <v>PWEGPL</v>
      </c>
      <c r="I590" s="39" t="str">
        <f>_xlfn.XLOOKUP(Table6[[#This Row],[Affected WTG]],'Basic Data'!$A:$A,'Basic Data'!$C:$C)</f>
        <v>MSEDCL</v>
      </c>
      <c r="J590" s="345">
        <f>IFERROR(VLOOKUP(Table6[[#This Row],[Affected WTG]],'Basic Data'!$A$3:$E$56,5,0),"")</f>
        <v>2.564102564102564E-2</v>
      </c>
      <c r="K590" s="105" t="s">
        <v>492</v>
      </c>
      <c r="L590" s="39" t="str">
        <f>IFERROR(VLOOKUP(Table6[[#This Row],[Error Code]],'Basic Data'!$T:$U,2,0),"")</f>
        <v>Manual Stop - Safety Related</v>
      </c>
      <c r="M590" s="346" t="s">
        <v>481</v>
      </c>
      <c r="N590" s="39" t="s">
        <v>1269</v>
      </c>
      <c r="O590" s="347">
        <v>0</v>
      </c>
      <c r="P590" s="347">
        <v>0.99930555555555556</v>
      </c>
      <c r="Q590" s="347">
        <v>0.99930555555555556</v>
      </c>
      <c r="R590" s="348">
        <f>IF(Table6[[#This Row],[Work Start TimeStamp]]="","",(Table6[[#This Row],[Work Start TimeStamp]]-Table6[[#This Row],[Fault Start TimeStamp]])*24)</f>
        <v>23.983333333333334</v>
      </c>
      <c r="S590" s="349">
        <f>(Table6[[#This Row],[Fault Clearance time]]-Table6[[#This Row],[Work Start TimeStamp]])*24</f>
        <v>0</v>
      </c>
      <c r="T590" s="350">
        <f>(Table6[[#This Row],[Fault Clearance time]]-Table6[[#This Row],[Fault Start TimeStamp]])*24</f>
        <v>23.983333333333334</v>
      </c>
      <c r="U590" s="346" t="s">
        <v>498</v>
      </c>
      <c r="V590" s="351" t="s">
        <v>473</v>
      </c>
      <c r="W590" s="338">
        <f>Table6[[#This Row],[Breakdown Time]]*(1/39)</f>
        <v>0.61495726495726499</v>
      </c>
      <c r="X590" s="336" t="s">
        <v>468</v>
      </c>
      <c r="Y590" s="352" t="s">
        <v>141</v>
      </c>
      <c r="Z590" s="105">
        <v>5644</v>
      </c>
      <c r="AA590" s="107">
        <v>5640.0805555555553</v>
      </c>
      <c r="AB590" s="105" t="s">
        <v>478</v>
      </c>
    </row>
    <row r="591" spans="1:28">
      <c r="A591" s="105">
        <f t="shared" si="9"/>
        <v>590</v>
      </c>
      <c r="B591" s="107">
        <f>YEAR(Table6[[#This Row],[Date]])+IF(MONTH(Table6[[#This Row],[Date]])&gt;=4,1,0)</f>
        <v>2026</v>
      </c>
      <c r="C591" s="105">
        <f>YEAR(Table6[[#This Row],[Date]])</f>
        <v>2025</v>
      </c>
      <c r="D591" s="105" t="s">
        <v>490</v>
      </c>
      <c r="E591" s="119">
        <f>Table6[[#This Row],[Date]]-DAY(Table6[[#This Row],[Date]])+1</f>
        <v>45778</v>
      </c>
      <c r="F591" s="118">
        <v>45798</v>
      </c>
      <c r="G591" s="105" t="s">
        <v>142</v>
      </c>
      <c r="H591" s="39" t="str">
        <f>_xlfn.XLOOKUP(Table6[[#This Row],[Affected WTG]],'Basic Data'!$A:$A,'Basic Data'!$B:$B)</f>
        <v>PWEGPL</v>
      </c>
      <c r="I591" s="39" t="str">
        <f>_xlfn.XLOOKUP(Table6[[#This Row],[Affected WTG]],'Basic Data'!$A:$A,'Basic Data'!$C:$C)</f>
        <v>MSEDCL</v>
      </c>
      <c r="J591" s="345">
        <f>IFERROR(VLOOKUP(Table6[[#This Row],[Affected WTG]],'Basic Data'!$A$3:$E$56,5,0),"")</f>
        <v>2.564102564102564E-2</v>
      </c>
      <c r="K591" s="105" t="s">
        <v>492</v>
      </c>
      <c r="L591" s="39" t="str">
        <f>IFERROR(VLOOKUP(Table6[[#This Row],[Error Code]],'Basic Data'!$T:$U,2,0),"")</f>
        <v>Manual Stop - Safety Related</v>
      </c>
      <c r="M591" s="346" t="s">
        <v>481</v>
      </c>
      <c r="N591" s="39" t="s">
        <v>1269</v>
      </c>
      <c r="O591" s="347">
        <v>0</v>
      </c>
      <c r="P591" s="347">
        <v>0.99930555555555556</v>
      </c>
      <c r="Q591" s="347">
        <v>0.99930555555555556</v>
      </c>
      <c r="R591" s="348">
        <f>IF(Table6[[#This Row],[Work Start TimeStamp]]="","",(Table6[[#This Row],[Work Start TimeStamp]]-Table6[[#This Row],[Fault Start TimeStamp]])*24)</f>
        <v>23.983333333333334</v>
      </c>
      <c r="S591" s="349">
        <f>(Table6[[#This Row],[Fault Clearance time]]-Table6[[#This Row],[Work Start TimeStamp]])*24</f>
        <v>0</v>
      </c>
      <c r="T591" s="350">
        <f>(Table6[[#This Row],[Fault Clearance time]]-Table6[[#This Row],[Fault Start TimeStamp]])*24</f>
        <v>23.983333333333334</v>
      </c>
      <c r="U591" s="346" t="s">
        <v>498</v>
      </c>
      <c r="V591" s="351" t="s">
        <v>473</v>
      </c>
      <c r="W591" s="338">
        <f>Table6[[#This Row],[Breakdown Time]]*(1/39)</f>
        <v>0.61495726495726499</v>
      </c>
      <c r="X591" s="336" t="s">
        <v>468</v>
      </c>
      <c r="Y591" s="352" t="s">
        <v>141</v>
      </c>
      <c r="Z591" s="105">
        <v>5644</v>
      </c>
      <c r="AA591" s="107">
        <v>5640.0805555555553</v>
      </c>
      <c r="AB591" s="105" t="s">
        <v>478</v>
      </c>
    </row>
    <row r="592" spans="1:28">
      <c r="A592" s="105">
        <f t="shared" si="9"/>
        <v>591</v>
      </c>
      <c r="B592" s="107">
        <f>YEAR(Table6[[#This Row],[Date]])+IF(MONTH(Table6[[#This Row],[Date]])&gt;=4,1,0)</f>
        <v>2026</v>
      </c>
      <c r="C592" s="105">
        <f>YEAR(Table6[[#This Row],[Date]])</f>
        <v>2025</v>
      </c>
      <c r="D592" s="105" t="s">
        <v>490</v>
      </c>
      <c r="E592" s="119">
        <f>Table6[[#This Row],[Date]]-DAY(Table6[[#This Row],[Date]])+1</f>
        <v>45778</v>
      </c>
      <c r="F592" s="118">
        <v>45798</v>
      </c>
      <c r="G592" s="105" t="s">
        <v>115</v>
      </c>
      <c r="H592" s="39" t="str">
        <f>_xlfn.XLOOKUP(Table6[[#This Row],[Affected WTG]],'Basic Data'!$A:$A,'Basic Data'!$B:$B)</f>
        <v>PWEGPL</v>
      </c>
      <c r="I592" s="39" t="str">
        <f>_xlfn.XLOOKUP(Table6[[#This Row],[Affected WTG]],'Basic Data'!$A:$A,'Basic Data'!$C:$C)</f>
        <v>MSEDCL</v>
      </c>
      <c r="J592" s="345">
        <f>IFERROR(VLOOKUP(Table6[[#This Row],[Affected WTG]],'Basic Data'!$A$3:$E$56,5,0),"")</f>
        <v>2.564102564102564E-2</v>
      </c>
      <c r="K592" s="105" t="s">
        <v>466</v>
      </c>
      <c r="L592" s="39" t="str">
        <f>IFERROR(VLOOKUP(Table6[[#This Row],[Error Code]],'Basic Data'!$T:$U,2,0),"")</f>
        <v>Manual Stop</v>
      </c>
      <c r="M592" s="346" t="s">
        <v>507</v>
      </c>
      <c r="N592" s="39" t="s">
        <v>230</v>
      </c>
      <c r="O592" s="347">
        <v>0.49513888888888891</v>
      </c>
      <c r="P592" s="347">
        <v>0.49513888888888891</v>
      </c>
      <c r="Q592" s="347">
        <v>0.53125</v>
      </c>
      <c r="R592" s="348">
        <f>IF(Table6[[#This Row],[Work Start TimeStamp]]="","",(Table6[[#This Row],[Work Start TimeStamp]]-Table6[[#This Row],[Fault Start TimeStamp]])*24)</f>
        <v>0</v>
      </c>
      <c r="S592" s="349">
        <f>(Table6[[#This Row],[Fault Clearance time]]-Table6[[#This Row],[Work Start TimeStamp]])*24</f>
        <v>0.86666666666666625</v>
      </c>
      <c r="T592" s="350">
        <f>(Table6[[#This Row],[Fault Clearance time]]-Table6[[#This Row],[Fault Start TimeStamp]])*24</f>
        <v>0.86666666666666625</v>
      </c>
      <c r="U592" s="346" t="s">
        <v>607</v>
      </c>
      <c r="V592" s="351" t="s">
        <v>463</v>
      </c>
      <c r="W592" s="338">
        <f>Table6[[#This Row],[Breakdown Time]]*(1/39)</f>
        <v>2.2222222222222209E-2</v>
      </c>
      <c r="X592" s="336" t="s">
        <v>464</v>
      </c>
      <c r="Y592" s="352" t="s">
        <v>121</v>
      </c>
      <c r="Z592" s="105">
        <v>5633</v>
      </c>
      <c r="AA592" s="107">
        <v>203.41388888888881</v>
      </c>
      <c r="AB592" s="105" t="s">
        <v>478</v>
      </c>
    </row>
    <row r="593" spans="1:28">
      <c r="A593" s="105">
        <f t="shared" si="9"/>
        <v>592</v>
      </c>
      <c r="B593" s="107">
        <f>YEAR(Table6[[#This Row],[Date]])+IF(MONTH(Table6[[#This Row],[Date]])&gt;=4,1,0)</f>
        <v>2026</v>
      </c>
      <c r="C593" s="105">
        <f>YEAR(Table6[[#This Row],[Date]])</f>
        <v>2025</v>
      </c>
      <c r="D593" s="105" t="s">
        <v>490</v>
      </c>
      <c r="E593" s="119">
        <f>Table6[[#This Row],[Date]]-DAY(Table6[[#This Row],[Date]])+1</f>
        <v>45778</v>
      </c>
      <c r="F593" s="118">
        <v>45798</v>
      </c>
      <c r="G593" s="105" t="s">
        <v>120</v>
      </c>
      <c r="H593" s="39" t="str">
        <f>_xlfn.XLOOKUP(Table6[[#This Row],[Affected WTG]],'Basic Data'!$A:$A,'Basic Data'!$B:$B)</f>
        <v>PWEGPL</v>
      </c>
      <c r="I593" s="39" t="str">
        <f>_xlfn.XLOOKUP(Table6[[#This Row],[Affected WTG]],'Basic Data'!$A:$A,'Basic Data'!$C:$C)</f>
        <v>MSEDCL</v>
      </c>
      <c r="J593" s="345">
        <f>IFERROR(VLOOKUP(Table6[[#This Row],[Affected WTG]],'Basic Data'!$A$3:$E$56,5,0),"")</f>
        <v>2.564102564102564E-2</v>
      </c>
      <c r="K593" s="105">
        <v>5216</v>
      </c>
      <c r="L593" s="39" t="str">
        <f>IFERROR(VLOOKUP(Table6[[#This Row],[Error Code]],'Basic Data'!$T:$U,2,0),"")</f>
        <v>Grid Voltage Failure</v>
      </c>
      <c r="M593" s="346" t="s">
        <v>462</v>
      </c>
      <c r="N593" s="39" t="s">
        <v>1270</v>
      </c>
      <c r="O593" s="347">
        <v>0.58819444444444446</v>
      </c>
      <c r="P593" s="347">
        <v>0.61875000000000002</v>
      </c>
      <c r="Q593" s="347">
        <v>0.66319444444444442</v>
      </c>
      <c r="R593" s="348">
        <f>IF(Table6[[#This Row],[Work Start TimeStamp]]="","",(Table6[[#This Row],[Work Start TimeStamp]]-Table6[[#This Row],[Fault Start TimeStamp]])*24)</f>
        <v>0.73333333333333339</v>
      </c>
      <c r="S593" s="349">
        <f>(Table6[[#This Row],[Fault Clearance time]]-Table6[[#This Row],[Work Start TimeStamp]])*24</f>
        <v>1.0666666666666655</v>
      </c>
      <c r="T593" s="350">
        <f>(Table6[[#This Row],[Fault Clearance time]]-Table6[[#This Row],[Fault Start TimeStamp]])*24</f>
        <v>1.7999999999999989</v>
      </c>
      <c r="U593" s="346" t="s">
        <v>511</v>
      </c>
      <c r="V593" s="351" t="s">
        <v>463</v>
      </c>
      <c r="W593" s="338">
        <f>Table6[[#This Row],[Breakdown Time]]*(1/39)</f>
        <v>4.6153846153846122E-2</v>
      </c>
      <c r="X593" s="336" t="s">
        <v>465</v>
      </c>
      <c r="Y593" s="352" t="s">
        <v>117</v>
      </c>
      <c r="Z593" s="105">
        <v>5632</v>
      </c>
      <c r="AA593" s="107">
        <v>422.39999999999975</v>
      </c>
      <c r="AB593" s="105" t="s">
        <v>478</v>
      </c>
    </row>
    <row r="594" spans="1:28">
      <c r="A594" s="105">
        <f t="shared" si="9"/>
        <v>593</v>
      </c>
      <c r="B594" s="107">
        <f>YEAR(Table6[[#This Row],[Date]])+IF(MONTH(Table6[[#This Row],[Date]])&gt;=4,1,0)</f>
        <v>2026</v>
      </c>
      <c r="C594" s="105">
        <f>YEAR(Table6[[#This Row],[Date]])</f>
        <v>2025</v>
      </c>
      <c r="D594" s="105" t="s">
        <v>490</v>
      </c>
      <c r="E594" s="119">
        <f>Table6[[#This Row],[Date]]-DAY(Table6[[#This Row],[Date]])+1</f>
        <v>45778</v>
      </c>
      <c r="F594" s="118">
        <v>45798</v>
      </c>
      <c r="G594" s="105" t="s">
        <v>137</v>
      </c>
      <c r="H594" s="39" t="str">
        <f>_xlfn.XLOOKUP(Table6[[#This Row],[Affected WTG]],'Basic Data'!$A:$A,'Basic Data'!$B:$B)</f>
        <v>PWEGPL</v>
      </c>
      <c r="I594" s="39" t="str">
        <f>_xlfn.XLOOKUP(Table6[[#This Row],[Affected WTG]],'Basic Data'!$A:$A,'Basic Data'!$C:$C)</f>
        <v>MSEDCL</v>
      </c>
      <c r="J594" s="345">
        <f>IFERROR(VLOOKUP(Table6[[#This Row],[Affected WTG]],'Basic Data'!$A$3:$E$56,5,0),"")</f>
        <v>2.564102564102564E-2</v>
      </c>
      <c r="K594" s="105" t="s">
        <v>476</v>
      </c>
      <c r="L594" s="39" t="str">
        <f>IFERROR(VLOOKUP(Table6[[#This Row],[Error Code]],'Basic Data'!$T:$U,2,0),"")</f>
        <v>Manual Stop - Preventive Maintenance Activity</v>
      </c>
      <c r="M594" s="346" t="s">
        <v>474</v>
      </c>
      <c r="N594" s="39" t="s">
        <v>230</v>
      </c>
      <c r="O594" s="347">
        <v>0.50694444444444442</v>
      </c>
      <c r="P594" s="347">
        <v>0.50694444444444442</v>
      </c>
      <c r="Q594" s="347">
        <v>0.79166666666666663</v>
      </c>
      <c r="R594" s="348">
        <f>IF(Table6[[#This Row],[Work Start TimeStamp]]="","",(Table6[[#This Row],[Work Start TimeStamp]]-Table6[[#This Row],[Fault Start TimeStamp]])*24)</f>
        <v>0</v>
      </c>
      <c r="S594" s="349">
        <f>(Table6[[#This Row],[Fault Clearance time]]-Table6[[#This Row],[Work Start TimeStamp]])*24</f>
        <v>6.833333333333333</v>
      </c>
      <c r="T594" s="350">
        <f>(Table6[[#This Row],[Fault Clearance time]]-Table6[[#This Row],[Fault Start TimeStamp]])*24</f>
        <v>6.833333333333333</v>
      </c>
      <c r="U594" s="346" t="s">
        <v>582</v>
      </c>
      <c r="V594" s="351" t="s">
        <v>463</v>
      </c>
      <c r="W594" s="338">
        <f>Table6[[#This Row],[Breakdown Time]]*(1/39)</f>
        <v>0.1752136752136752</v>
      </c>
      <c r="X594" s="336" t="s">
        <v>467</v>
      </c>
      <c r="Y594" s="352" t="s">
        <v>119</v>
      </c>
      <c r="Z594" s="105">
        <v>5601</v>
      </c>
      <c r="AA594" s="107">
        <v>1594.7291666666665</v>
      </c>
      <c r="AB594" s="105" t="s">
        <v>478</v>
      </c>
    </row>
    <row r="595" spans="1:28">
      <c r="A595" s="105">
        <f t="shared" si="9"/>
        <v>594</v>
      </c>
      <c r="B595" s="107">
        <f>YEAR(Table6[[#This Row],[Date]])+IF(MONTH(Table6[[#This Row],[Date]])&gt;=4,1,0)</f>
        <v>2026</v>
      </c>
      <c r="C595" s="105">
        <f>YEAR(Table6[[#This Row],[Date]])</f>
        <v>2025</v>
      </c>
      <c r="D595" s="105" t="s">
        <v>490</v>
      </c>
      <c r="E595" s="119">
        <f>Table6[[#This Row],[Date]]-DAY(Table6[[#This Row],[Date]])+1</f>
        <v>45778</v>
      </c>
      <c r="F595" s="118">
        <v>45798</v>
      </c>
      <c r="G595" s="105" t="s">
        <v>146</v>
      </c>
      <c r="H595" s="39" t="str">
        <f>_xlfn.XLOOKUP(Table6[[#This Row],[Affected WTG]],'Basic Data'!$A:$A,'Basic Data'!$B:$B)</f>
        <v>PWEGPL</v>
      </c>
      <c r="I595" s="39" t="str">
        <f>_xlfn.XLOOKUP(Table6[[#This Row],[Affected WTG]],'Basic Data'!$A:$A,'Basic Data'!$C:$C)</f>
        <v>MSEDCL</v>
      </c>
      <c r="J595" s="345">
        <f>IFERROR(VLOOKUP(Table6[[#This Row],[Affected WTG]],'Basic Data'!$A$3:$E$56,5,0),"")</f>
        <v>2.564102564102564E-2</v>
      </c>
      <c r="K595" s="105">
        <v>205</v>
      </c>
      <c r="L595" s="39" t="str">
        <f>IFERROR(VLOOKUP(Table6[[#This Row],[Error Code]],'Basic Data'!$T:$U,2,0),"")</f>
        <v>Low Level Hydraulic Group Refrigeration Oil</v>
      </c>
      <c r="M595" s="346" t="s">
        <v>462</v>
      </c>
      <c r="N595" s="39" t="s">
        <v>1270</v>
      </c>
      <c r="O595" s="347">
        <v>0.75486111111111109</v>
      </c>
      <c r="P595" s="347">
        <v>0.77916666666666667</v>
      </c>
      <c r="Q595" s="347">
        <v>0.90208333333333335</v>
      </c>
      <c r="R595" s="348">
        <f>IF(Table6[[#This Row],[Work Start TimeStamp]]="","",(Table6[[#This Row],[Work Start TimeStamp]]-Table6[[#This Row],[Fault Start TimeStamp]])*24)</f>
        <v>0.58333333333333393</v>
      </c>
      <c r="S595" s="349">
        <f>(Table6[[#This Row],[Fault Clearance time]]-Table6[[#This Row],[Work Start TimeStamp]])*24</f>
        <v>2.95</v>
      </c>
      <c r="T595" s="350">
        <f>(Table6[[#This Row],[Fault Clearance time]]-Table6[[#This Row],[Fault Start TimeStamp]])*24</f>
        <v>3.5333333333333341</v>
      </c>
      <c r="U595" s="346" t="s">
        <v>1010</v>
      </c>
      <c r="V595" s="351" t="s">
        <v>463</v>
      </c>
      <c r="W595" s="338">
        <f>Table6[[#This Row],[Breakdown Time]]*(1/39)</f>
        <v>9.0598290598290609E-2</v>
      </c>
      <c r="X595" s="336" t="s">
        <v>465</v>
      </c>
      <c r="Y595" s="352" t="s">
        <v>147</v>
      </c>
      <c r="Z595" s="105">
        <v>4645</v>
      </c>
      <c r="AA595" s="107">
        <v>683.84722222222229</v>
      </c>
      <c r="AB595" s="105" t="s">
        <v>478</v>
      </c>
    </row>
    <row r="596" spans="1:28">
      <c r="A596" s="105">
        <f t="shared" si="9"/>
        <v>595</v>
      </c>
      <c r="B596" s="107">
        <f>YEAR(Table6[[#This Row],[Date]])+IF(MONTH(Table6[[#This Row],[Date]])&gt;=4,1,0)</f>
        <v>2026</v>
      </c>
      <c r="C596" s="105">
        <f>YEAR(Table6[[#This Row],[Date]])</f>
        <v>2025</v>
      </c>
      <c r="D596" s="105" t="s">
        <v>490</v>
      </c>
      <c r="E596" s="119">
        <f>Table6[[#This Row],[Date]]-DAY(Table6[[#This Row],[Date]])+1</f>
        <v>45778</v>
      </c>
      <c r="F596" s="118">
        <v>45799</v>
      </c>
      <c r="G596" s="105" t="s">
        <v>144</v>
      </c>
      <c r="H596" s="39" t="str">
        <f>_xlfn.XLOOKUP(Table6[[#This Row],[Affected WTG]],'Basic Data'!$A:$A,'Basic Data'!$B:$B)</f>
        <v>PWEGPL</v>
      </c>
      <c r="I596" s="39" t="str">
        <f>_xlfn.XLOOKUP(Table6[[#This Row],[Affected WTG]],'Basic Data'!$A:$A,'Basic Data'!$C:$C)</f>
        <v>MSEDCL</v>
      </c>
      <c r="J596" s="345">
        <f>IFERROR(VLOOKUP(Table6[[#This Row],[Affected WTG]],'Basic Data'!$A$3:$E$56,5,0),"")</f>
        <v>2.564102564102564E-2</v>
      </c>
      <c r="K596" s="105" t="s">
        <v>492</v>
      </c>
      <c r="L596" s="39" t="str">
        <f>IFERROR(VLOOKUP(Table6[[#This Row],[Error Code]],'Basic Data'!$T:$U,2,0),"")</f>
        <v>Manual Stop - Safety Related</v>
      </c>
      <c r="M596" s="346" t="s">
        <v>481</v>
      </c>
      <c r="N596" s="39" t="s">
        <v>1269</v>
      </c>
      <c r="O596" s="347">
        <v>0</v>
      </c>
      <c r="P596" s="347">
        <v>0.99930555555555556</v>
      </c>
      <c r="Q596" s="347">
        <v>0.99930555555555556</v>
      </c>
      <c r="R596" s="348">
        <f>IF(Table6[[#This Row],[Work Start TimeStamp]]="","",(Table6[[#This Row],[Work Start TimeStamp]]-Table6[[#This Row],[Fault Start TimeStamp]])*24)</f>
        <v>23.983333333333334</v>
      </c>
      <c r="S596" s="349">
        <f>(Table6[[#This Row],[Fault Clearance time]]-Table6[[#This Row],[Work Start TimeStamp]])*24</f>
        <v>0</v>
      </c>
      <c r="T596" s="350">
        <f>(Table6[[#This Row],[Fault Clearance time]]-Table6[[#This Row],[Fault Start TimeStamp]])*24</f>
        <v>23.983333333333334</v>
      </c>
      <c r="U596" s="346" t="s">
        <v>498</v>
      </c>
      <c r="V596" s="351" t="s">
        <v>473</v>
      </c>
      <c r="W596" s="338">
        <f>Table6[[#This Row],[Breakdown Time]]*(1/39)</f>
        <v>0.61495726495726499</v>
      </c>
      <c r="X596" s="336" t="s">
        <v>468</v>
      </c>
      <c r="Y596" s="352" t="s">
        <v>141</v>
      </c>
      <c r="Z596" s="105">
        <v>8852</v>
      </c>
      <c r="AA596" s="107">
        <v>8845.8527777777781</v>
      </c>
      <c r="AB596" s="105" t="s">
        <v>478</v>
      </c>
    </row>
    <row r="597" spans="1:28">
      <c r="A597" s="105">
        <f t="shared" si="9"/>
        <v>596</v>
      </c>
      <c r="B597" s="107">
        <f>YEAR(Table6[[#This Row],[Date]])+IF(MONTH(Table6[[#This Row],[Date]])&gt;=4,1,0)</f>
        <v>2026</v>
      </c>
      <c r="C597" s="105">
        <f>YEAR(Table6[[#This Row],[Date]])</f>
        <v>2025</v>
      </c>
      <c r="D597" s="105" t="s">
        <v>490</v>
      </c>
      <c r="E597" s="119">
        <f>Table6[[#This Row],[Date]]-DAY(Table6[[#This Row],[Date]])+1</f>
        <v>45778</v>
      </c>
      <c r="F597" s="118">
        <v>45799</v>
      </c>
      <c r="G597" s="105" t="s">
        <v>142</v>
      </c>
      <c r="H597" s="39" t="str">
        <f>_xlfn.XLOOKUP(Table6[[#This Row],[Affected WTG]],'Basic Data'!$A:$A,'Basic Data'!$B:$B)</f>
        <v>PWEGPL</v>
      </c>
      <c r="I597" s="39" t="str">
        <f>_xlfn.XLOOKUP(Table6[[#This Row],[Affected WTG]],'Basic Data'!$A:$A,'Basic Data'!$C:$C)</f>
        <v>MSEDCL</v>
      </c>
      <c r="J597" s="345">
        <f>IFERROR(VLOOKUP(Table6[[#This Row],[Affected WTG]],'Basic Data'!$A$3:$E$56,5,0),"")</f>
        <v>2.564102564102564E-2</v>
      </c>
      <c r="K597" s="105" t="s">
        <v>492</v>
      </c>
      <c r="L597" s="39" t="str">
        <f>IFERROR(VLOOKUP(Table6[[#This Row],[Error Code]],'Basic Data'!$T:$U,2,0),"")</f>
        <v>Manual Stop - Safety Related</v>
      </c>
      <c r="M597" s="346" t="s">
        <v>481</v>
      </c>
      <c r="N597" s="39" t="s">
        <v>1269</v>
      </c>
      <c r="O597" s="347">
        <v>0</v>
      </c>
      <c r="P597" s="347">
        <v>0.99930555555555556</v>
      </c>
      <c r="Q597" s="347">
        <v>0.99930555555555556</v>
      </c>
      <c r="R597" s="348">
        <f>IF(Table6[[#This Row],[Work Start TimeStamp]]="","",(Table6[[#This Row],[Work Start TimeStamp]]-Table6[[#This Row],[Fault Start TimeStamp]])*24)</f>
        <v>23.983333333333334</v>
      </c>
      <c r="S597" s="349">
        <f>(Table6[[#This Row],[Fault Clearance time]]-Table6[[#This Row],[Work Start TimeStamp]])*24</f>
        <v>0</v>
      </c>
      <c r="T597" s="350">
        <f>(Table6[[#This Row],[Fault Clearance time]]-Table6[[#This Row],[Fault Start TimeStamp]])*24</f>
        <v>23.983333333333334</v>
      </c>
      <c r="U597" s="346" t="s">
        <v>498</v>
      </c>
      <c r="V597" s="351" t="s">
        <v>473</v>
      </c>
      <c r="W597" s="338">
        <f>Table6[[#This Row],[Breakdown Time]]*(1/39)</f>
        <v>0.61495726495726499</v>
      </c>
      <c r="X597" s="336" t="s">
        <v>468</v>
      </c>
      <c r="Y597" s="352" t="s">
        <v>141</v>
      </c>
      <c r="Z597" s="105">
        <v>8852</v>
      </c>
      <c r="AA597" s="107">
        <v>8845.8527777777781</v>
      </c>
      <c r="AB597" s="105" t="s">
        <v>478</v>
      </c>
    </row>
    <row r="598" spans="1:28">
      <c r="A598" s="105">
        <f t="shared" si="9"/>
        <v>597</v>
      </c>
      <c r="B598" s="107">
        <f>YEAR(Table6[[#This Row],[Date]])+IF(MONTH(Table6[[#This Row],[Date]])&gt;=4,1,0)</f>
        <v>2026</v>
      </c>
      <c r="C598" s="105">
        <f>YEAR(Table6[[#This Row],[Date]])</f>
        <v>2025</v>
      </c>
      <c r="D598" s="105" t="s">
        <v>490</v>
      </c>
      <c r="E598" s="119">
        <f>Table6[[#This Row],[Date]]-DAY(Table6[[#This Row],[Date]])+1</f>
        <v>45778</v>
      </c>
      <c r="F598" s="118">
        <v>45799</v>
      </c>
      <c r="G598" s="105" t="s">
        <v>117</v>
      </c>
      <c r="H598" s="39" t="str">
        <f>_xlfn.XLOOKUP(Table6[[#This Row],[Affected WTG]],'Basic Data'!$A:$A,'Basic Data'!$B:$B)</f>
        <v>PWEGPL</v>
      </c>
      <c r="I598" s="39" t="str">
        <f>_xlfn.XLOOKUP(Table6[[#This Row],[Affected WTG]],'Basic Data'!$A:$A,'Basic Data'!$C:$C)</f>
        <v>MSEDCL</v>
      </c>
      <c r="J598" s="345">
        <f>IFERROR(VLOOKUP(Table6[[#This Row],[Affected WTG]],'Basic Data'!$A$3:$E$56,5,0),"")</f>
        <v>2.564102564102564E-2</v>
      </c>
      <c r="K598" s="105" t="s">
        <v>466</v>
      </c>
      <c r="L598" s="39" t="str">
        <f>IFERROR(VLOOKUP(Table6[[#This Row],[Error Code]],'Basic Data'!$T:$U,2,0),"")</f>
        <v>Manual Stop</v>
      </c>
      <c r="M598" s="346" t="s">
        <v>507</v>
      </c>
      <c r="N598" s="39" t="s">
        <v>230</v>
      </c>
      <c r="O598" s="347">
        <v>0.65069444444444446</v>
      </c>
      <c r="P598" s="347">
        <v>0.65069444444444446</v>
      </c>
      <c r="Q598" s="347">
        <v>0.71180555555555558</v>
      </c>
      <c r="R598" s="348">
        <f>IF(Table6[[#This Row],[Work Start TimeStamp]]="","",(Table6[[#This Row],[Work Start TimeStamp]]-Table6[[#This Row],[Fault Start TimeStamp]])*24)</f>
        <v>0</v>
      </c>
      <c r="S598" s="349">
        <f>(Table6[[#This Row],[Fault Clearance time]]-Table6[[#This Row],[Work Start TimeStamp]])*24</f>
        <v>1.4666666666666668</v>
      </c>
      <c r="T598" s="350">
        <f>(Table6[[#This Row],[Fault Clearance time]]-Table6[[#This Row],[Fault Start TimeStamp]])*24</f>
        <v>1.4666666666666668</v>
      </c>
      <c r="U598" s="346" t="s">
        <v>607</v>
      </c>
      <c r="V598" s="351" t="s">
        <v>463</v>
      </c>
      <c r="W598" s="338">
        <f>Table6[[#This Row],[Breakdown Time]]*(1/39)</f>
        <v>3.7606837606837612E-2</v>
      </c>
      <c r="X598" s="336" t="s">
        <v>464</v>
      </c>
      <c r="Y598" s="352" t="s">
        <v>118</v>
      </c>
      <c r="Z598" s="105">
        <v>6263</v>
      </c>
      <c r="AA598" s="107">
        <v>382.73888888888888</v>
      </c>
      <c r="AB598" s="105" t="s">
        <v>478</v>
      </c>
    </row>
    <row r="599" spans="1:28">
      <c r="A599" s="105">
        <f t="shared" si="9"/>
        <v>598</v>
      </c>
      <c r="B599" s="107">
        <f>YEAR(Table6[[#This Row],[Date]])+IF(MONTH(Table6[[#This Row],[Date]])&gt;=4,1,0)</f>
        <v>2026</v>
      </c>
      <c r="C599" s="105">
        <f>YEAR(Table6[[#This Row],[Date]])</f>
        <v>2025</v>
      </c>
      <c r="D599" s="105" t="s">
        <v>490</v>
      </c>
      <c r="E599" s="119">
        <f>Table6[[#This Row],[Date]]-DAY(Table6[[#This Row],[Date]])+1</f>
        <v>45778</v>
      </c>
      <c r="F599" s="118">
        <v>45799</v>
      </c>
      <c r="G599" s="105" t="s">
        <v>118</v>
      </c>
      <c r="H599" s="39" t="str">
        <f>_xlfn.XLOOKUP(Table6[[#This Row],[Affected WTG]],'Basic Data'!$A:$A,'Basic Data'!$B:$B)</f>
        <v>PWEGPL</v>
      </c>
      <c r="I599" s="39" t="str">
        <f>_xlfn.XLOOKUP(Table6[[#This Row],[Affected WTG]],'Basic Data'!$A:$A,'Basic Data'!$C:$C)</f>
        <v>MSEDCL</v>
      </c>
      <c r="J599" s="345">
        <f>IFERROR(VLOOKUP(Table6[[#This Row],[Affected WTG]],'Basic Data'!$A$3:$E$56,5,0),"")</f>
        <v>2.564102564102564E-2</v>
      </c>
      <c r="K599" s="105" t="s">
        <v>466</v>
      </c>
      <c r="L599" s="39" t="str">
        <f>IFERROR(VLOOKUP(Table6[[#This Row],[Error Code]],'Basic Data'!$T:$U,2,0),"")</f>
        <v>Manual Stop</v>
      </c>
      <c r="M599" s="346" t="s">
        <v>507</v>
      </c>
      <c r="N599" s="39" t="s">
        <v>230</v>
      </c>
      <c r="O599" s="347">
        <v>0.60763888888888884</v>
      </c>
      <c r="P599" s="347">
        <v>0.60763888888888884</v>
      </c>
      <c r="Q599" s="347">
        <v>0.64236111111111116</v>
      </c>
      <c r="R599" s="348">
        <f>IF(Table6[[#This Row],[Work Start TimeStamp]]="","",(Table6[[#This Row],[Work Start TimeStamp]]-Table6[[#This Row],[Fault Start TimeStamp]])*24)</f>
        <v>0</v>
      </c>
      <c r="S599" s="349">
        <f>(Table6[[#This Row],[Fault Clearance time]]-Table6[[#This Row],[Work Start TimeStamp]])*24</f>
        <v>0.8333333333333357</v>
      </c>
      <c r="T599" s="350">
        <f>(Table6[[#This Row],[Fault Clearance time]]-Table6[[#This Row],[Fault Start TimeStamp]])*24</f>
        <v>0.8333333333333357</v>
      </c>
      <c r="U599" s="346" t="s">
        <v>607</v>
      </c>
      <c r="V599" s="351" t="s">
        <v>463</v>
      </c>
      <c r="W599" s="338">
        <f>Table6[[#This Row],[Breakdown Time]]*(1/39)</f>
        <v>2.1367521367521427E-2</v>
      </c>
      <c r="X599" s="336" t="s">
        <v>464</v>
      </c>
      <c r="Y599" s="352" t="s">
        <v>117</v>
      </c>
      <c r="Z599" s="105">
        <v>6279</v>
      </c>
      <c r="AA599" s="107">
        <v>218.02083333333394</v>
      </c>
      <c r="AB599" s="105" t="s">
        <v>478</v>
      </c>
    </row>
    <row r="600" spans="1:28">
      <c r="A600" s="105">
        <f t="shared" si="9"/>
        <v>599</v>
      </c>
      <c r="B600" s="107">
        <f>YEAR(Table6[[#This Row],[Date]])+IF(MONTH(Table6[[#This Row],[Date]])&gt;=4,1,0)</f>
        <v>2026</v>
      </c>
      <c r="C600" s="105">
        <f>YEAR(Table6[[#This Row],[Date]])</f>
        <v>2025</v>
      </c>
      <c r="D600" s="105" t="s">
        <v>490</v>
      </c>
      <c r="E600" s="119">
        <f>Table6[[#This Row],[Date]]-DAY(Table6[[#This Row],[Date]])+1</f>
        <v>45778</v>
      </c>
      <c r="F600" s="118">
        <v>45799</v>
      </c>
      <c r="G600" s="105" t="s">
        <v>119</v>
      </c>
      <c r="H600" s="39" t="str">
        <f>_xlfn.XLOOKUP(Table6[[#This Row],[Affected WTG]],'Basic Data'!$A:$A,'Basic Data'!$B:$B)</f>
        <v>PWEGPL</v>
      </c>
      <c r="I600" s="39" t="str">
        <f>_xlfn.XLOOKUP(Table6[[#This Row],[Affected WTG]],'Basic Data'!$A:$A,'Basic Data'!$C:$C)</f>
        <v>MSEDCL</v>
      </c>
      <c r="J600" s="345">
        <f>IFERROR(VLOOKUP(Table6[[#This Row],[Affected WTG]],'Basic Data'!$A$3:$E$56,5,0),"")</f>
        <v>2.564102564102564E-2</v>
      </c>
      <c r="K600" s="105" t="s">
        <v>476</v>
      </c>
      <c r="L600" s="39" t="str">
        <f>IFERROR(VLOOKUP(Table6[[#This Row],[Error Code]],'Basic Data'!$T:$U,2,0),"")</f>
        <v>Manual Stop - Preventive Maintenance Activity</v>
      </c>
      <c r="M600" s="346" t="s">
        <v>474</v>
      </c>
      <c r="N600" s="39" t="s">
        <v>230</v>
      </c>
      <c r="O600" s="347">
        <v>0.49375000000000002</v>
      </c>
      <c r="P600" s="347">
        <v>0.49375000000000002</v>
      </c>
      <c r="Q600" s="347">
        <v>0.75763888888888886</v>
      </c>
      <c r="R600" s="348">
        <f>IF(Table6[[#This Row],[Work Start TimeStamp]]="","",(Table6[[#This Row],[Work Start TimeStamp]]-Table6[[#This Row],[Fault Start TimeStamp]])*24)</f>
        <v>0</v>
      </c>
      <c r="S600" s="349">
        <f>(Table6[[#This Row],[Fault Clearance time]]-Table6[[#This Row],[Work Start TimeStamp]])*24</f>
        <v>6.3333333333333321</v>
      </c>
      <c r="T600" s="350">
        <f>(Table6[[#This Row],[Fault Clearance time]]-Table6[[#This Row],[Fault Start TimeStamp]])*24</f>
        <v>6.3333333333333321</v>
      </c>
      <c r="U600" s="346" t="s">
        <v>582</v>
      </c>
      <c r="V600" s="351" t="s">
        <v>463</v>
      </c>
      <c r="W600" s="338">
        <f>Table6[[#This Row],[Breakdown Time]]*(1/39)</f>
        <v>0.16239316239316234</v>
      </c>
      <c r="X600" s="336" t="s">
        <v>467</v>
      </c>
      <c r="Y600" s="352" t="s">
        <v>136</v>
      </c>
      <c r="Z600" s="105">
        <v>8842</v>
      </c>
      <c r="AA600" s="107">
        <v>2333.3055555555552</v>
      </c>
      <c r="AB600" s="105" t="s">
        <v>478</v>
      </c>
    </row>
    <row r="601" spans="1:28">
      <c r="A601" s="105">
        <f t="shared" si="9"/>
        <v>600</v>
      </c>
      <c r="B601" s="107">
        <f>YEAR(Table6[[#This Row],[Date]])+IF(MONTH(Table6[[#This Row],[Date]])&gt;=4,1,0)</f>
        <v>2026</v>
      </c>
      <c r="C601" s="105">
        <f>YEAR(Table6[[#This Row],[Date]])</f>
        <v>2025</v>
      </c>
      <c r="D601" s="105" t="s">
        <v>490</v>
      </c>
      <c r="E601" s="119">
        <f>Table6[[#This Row],[Date]]-DAY(Table6[[#This Row],[Date]])+1</f>
        <v>45778</v>
      </c>
      <c r="F601" s="118">
        <v>45799</v>
      </c>
      <c r="G601" s="105" t="s">
        <v>145</v>
      </c>
      <c r="H601" s="39" t="str">
        <f>_xlfn.XLOOKUP(Table6[[#This Row],[Affected WTG]],'Basic Data'!$A:$A,'Basic Data'!$B:$B)</f>
        <v>PWEGPL</v>
      </c>
      <c r="I601" s="39" t="str">
        <f>_xlfn.XLOOKUP(Table6[[#This Row],[Affected WTG]],'Basic Data'!$A:$A,'Basic Data'!$C:$C)</f>
        <v>MSEDCL</v>
      </c>
      <c r="J601" s="345">
        <f>IFERROR(VLOOKUP(Table6[[#This Row],[Affected WTG]],'Basic Data'!$A$3:$E$56,5,0),"")</f>
        <v>2.564102564102564E-2</v>
      </c>
      <c r="K601" s="105">
        <v>2118</v>
      </c>
      <c r="L601" s="39" t="str">
        <f>IFERROR(VLOOKUP(Table6[[#This Row],[Error Code]],'Basic Data'!$T:$U,2,0),"")</f>
        <v>Bus Error - Interbus Failure</v>
      </c>
      <c r="M601" s="346" t="s">
        <v>462</v>
      </c>
      <c r="N601" s="39" t="s">
        <v>1270</v>
      </c>
      <c r="O601" s="347">
        <v>0.52083333333333337</v>
      </c>
      <c r="P601" s="347">
        <v>0.5625</v>
      </c>
      <c r="Q601" s="347">
        <v>0.56388888888888888</v>
      </c>
      <c r="R601" s="348">
        <f>IF(Table6[[#This Row],[Work Start TimeStamp]]="","",(Table6[[#This Row],[Work Start TimeStamp]]-Table6[[#This Row],[Fault Start TimeStamp]])*24)</f>
        <v>0.99999999999999911</v>
      </c>
      <c r="S601" s="349">
        <f>(Table6[[#This Row],[Fault Clearance time]]-Table6[[#This Row],[Work Start TimeStamp]])*24</f>
        <v>3.3333333333333215E-2</v>
      </c>
      <c r="T601" s="350">
        <f>(Table6[[#This Row],[Fault Clearance time]]-Table6[[#This Row],[Fault Start TimeStamp]])*24</f>
        <v>1.0333333333333323</v>
      </c>
      <c r="U601" s="346" t="s">
        <v>493</v>
      </c>
      <c r="V601" s="351" t="s">
        <v>463</v>
      </c>
      <c r="W601" s="338">
        <f>Table6[[#This Row],[Breakdown Time]]*(1/39)</f>
        <v>2.6495726495726468E-2</v>
      </c>
      <c r="X601" s="336" t="s">
        <v>465</v>
      </c>
      <c r="Y601" s="352" t="s">
        <v>139</v>
      </c>
      <c r="Z601" s="105">
        <v>6041</v>
      </c>
      <c r="AA601" s="107">
        <v>260.09861111111087</v>
      </c>
      <c r="AB601" s="105" t="s">
        <v>478</v>
      </c>
    </row>
    <row r="602" spans="1:28">
      <c r="A602" s="105">
        <f t="shared" si="9"/>
        <v>601</v>
      </c>
      <c r="B602" s="107">
        <f>YEAR(Table6[[#This Row],[Date]])+IF(MONTH(Table6[[#This Row],[Date]])&gt;=4,1,0)</f>
        <v>2026</v>
      </c>
      <c r="C602" s="105">
        <f>YEAR(Table6[[#This Row],[Date]])</f>
        <v>2025</v>
      </c>
      <c r="D602" s="105" t="s">
        <v>490</v>
      </c>
      <c r="E602" s="119">
        <f>Table6[[#This Row],[Date]]-DAY(Table6[[#This Row],[Date]])+1</f>
        <v>45778</v>
      </c>
      <c r="F602" s="118">
        <v>45799</v>
      </c>
      <c r="G602" s="105" t="s">
        <v>151</v>
      </c>
      <c r="H602" s="39" t="str">
        <f>_xlfn.XLOOKUP(Table6[[#This Row],[Affected WTG]],'Basic Data'!$A:$A,'Basic Data'!$B:$B)</f>
        <v>PWEGPL</v>
      </c>
      <c r="I602" s="39" t="str">
        <f>_xlfn.XLOOKUP(Table6[[#This Row],[Affected WTG]],'Basic Data'!$A:$A,'Basic Data'!$C:$C)</f>
        <v>MSEDCL</v>
      </c>
      <c r="J602" s="345">
        <f>IFERROR(VLOOKUP(Table6[[#This Row],[Affected WTG]],'Basic Data'!$A$3:$E$56,5,0),"")</f>
        <v>2.564102564102564E-2</v>
      </c>
      <c r="K602" s="105" t="s">
        <v>466</v>
      </c>
      <c r="L602" s="39" t="str">
        <f>IFERROR(VLOOKUP(Table6[[#This Row],[Error Code]],'Basic Data'!$T:$U,2,0),"")</f>
        <v>Manual Stop</v>
      </c>
      <c r="M602" s="346" t="s">
        <v>479</v>
      </c>
      <c r="N602" s="39" t="s">
        <v>230</v>
      </c>
      <c r="O602" s="347">
        <v>0.46111111111111114</v>
      </c>
      <c r="P602" s="347">
        <v>0.46111111111111114</v>
      </c>
      <c r="Q602" s="347">
        <v>0.55138888888888893</v>
      </c>
      <c r="R602" s="348">
        <f>IF(Table6[[#This Row],[Work Start TimeStamp]]="","",(Table6[[#This Row],[Work Start TimeStamp]]-Table6[[#This Row],[Fault Start TimeStamp]])*24)</f>
        <v>0</v>
      </c>
      <c r="S602" s="349">
        <f>(Table6[[#This Row],[Fault Clearance time]]-Table6[[#This Row],[Work Start TimeStamp]])*24</f>
        <v>2.166666666666667</v>
      </c>
      <c r="T602" s="350">
        <f>(Table6[[#This Row],[Fault Clearance time]]-Table6[[#This Row],[Fault Start TimeStamp]])*24</f>
        <v>2.166666666666667</v>
      </c>
      <c r="U602" s="346" t="s">
        <v>1164</v>
      </c>
      <c r="V602" s="351" t="s">
        <v>463</v>
      </c>
      <c r="W602" s="338">
        <f>Table6[[#This Row],[Breakdown Time]]*(1/39)</f>
        <v>5.5555555555555559E-2</v>
      </c>
      <c r="X602" s="336" t="s">
        <v>464</v>
      </c>
      <c r="Y602" s="352" t="s">
        <v>152</v>
      </c>
      <c r="Z602" s="105">
        <v>6049</v>
      </c>
      <c r="AA602" s="107">
        <v>546.09027777777783</v>
      </c>
      <c r="AB602" s="105" t="s">
        <v>478</v>
      </c>
    </row>
    <row r="603" spans="1:28">
      <c r="A603" s="105">
        <f t="shared" si="9"/>
        <v>602</v>
      </c>
      <c r="B603" s="107">
        <f>YEAR(Table6[[#This Row],[Date]])+IF(MONTH(Table6[[#This Row],[Date]])&gt;=4,1,0)</f>
        <v>2026</v>
      </c>
      <c r="C603" s="105">
        <f>YEAR(Table6[[#This Row],[Date]])</f>
        <v>2025</v>
      </c>
      <c r="D603" s="105" t="s">
        <v>490</v>
      </c>
      <c r="E603" s="119">
        <f>Table6[[#This Row],[Date]]-DAY(Table6[[#This Row],[Date]])+1</f>
        <v>45778</v>
      </c>
      <c r="F603" s="118">
        <v>45800</v>
      </c>
      <c r="G603" s="105" t="s">
        <v>144</v>
      </c>
      <c r="H603" s="39" t="str">
        <f>_xlfn.XLOOKUP(Table6[[#This Row],[Affected WTG]],'Basic Data'!$A:$A,'Basic Data'!$B:$B)</f>
        <v>PWEGPL</v>
      </c>
      <c r="I603" s="39" t="str">
        <f>_xlfn.XLOOKUP(Table6[[#This Row],[Affected WTG]],'Basic Data'!$A:$A,'Basic Data'!$C:$C)</f>
        <v>MSEDCL</v>
      </c>
      <c r="J603" s="345">
        <f>IFERROR(VLOOKUP(Table6[[#This Row],[Affected WTG]],'Basic Data'!$A$3:$E$56,5,0),"")</f>
        <v>2.564102564102564E-2</v>
      </c>
      <c r="K603" s="105" t="s">
        <v>492</v>
      </c>
      <c r="L603" s="39" t="str">
        <f>IFERROR(VLOOKUP(Table6[[#This Row],[Error Code]],'Basic Data'!$T:$U,2,0),"")</f>
        <v>Manual Stop - Safety Related</v>
      </c>
      <c r="M603" s="346" t="s">
        <v>481</v>
      </c>
      <c r="N603" s="39" t="s">
        <v>1269</v>
      </c>
      <c r="O603" s="347">
        <v>0</v>
      </c>
      <c r="P603" s="347">
        <v>0.99930555555555556</v>
      </c>
      <c r="Q603" s="347">
        <v>0.99930555555555556</v>
      </c>
      <c r="R603" s="348">
        <f>IF(Table6[[#This Row],[Work Start TimeStamp]]="","",(Table6[[#This Row],[Work Start TimeStamp]]-Table6[[#This Row],[Fault Start TimeStamp]])*24)</f>
        <v>23.983333333333334</v>
      </c>
      <c r="S603" s="349">
        <f>(Table6[[#This Row],[Fault Clearance time]]-Table6[[#This Row],[Work Start TimeStamp]])*24</f>
        <v>0</v>
      </c>
      <c r="T603" s="350">
        <f>(Table6[[#This Row],[Fault Clearance time]]-Table6[[#This Row],[Fault Start TimeStamp]])*24</f>
        <v>23.983333333333334</v>
      </c>
      <c r="U603" s="346" t="s">
        <v>498</v>
      </c>
      <c r="V603" s="351" t="s">
        <v>473</v>
      </c>
      <c r="W603" s="338">
        <f>Table6[[#This Row],[Breakdown Time]]*(1/39)</f>
        <v>0.61495726495726499</v>
      </c>
      <c r="X603" s="336" t="s">
        <v>468</v>
      </c>
      <c r="Y603" s="352" t="s">
        <v>141</v>
      </c>
      <c r="Z603" s="105">
        <v>2038</v>
      </c>
      <c r="AA603" s="107">
        <v>2036.5847222222224</v>
      </c>
      <c r="AB603" s="105" t="s">
        <v>478</v>
      </c>
    </row>
    <row r="604" spans="1:28">
      <c r="A604" s="105">
        <f t="shared" si="9"/>
        <v>603</v>
      </c>
      <c r="B604" s="107">
        <f>YEAR(Table6[[#This Row],[Date]])+IF(MONTH(Table6[[#This Row],[Date]])&gt;=4,1,0)</f>
        <v>2026</v>
      </c>
      <c r="C604" s="105">
        <f>YEAR(Table6[[#This Row],[Date]])</f>
        <v>2025</v>
      </c>
      <c r="D604" s="105" t="s">
        <v>490</v>
      </c>
      <c r="E604" s="119">
        <f>Table6[[#This Row],[Date]]-DAY(Table6[[#This Row],[Date]])+1</f>
        <v>45778</v>
      </c>
      <c r="F604" s="118">
        <v>45800</v>
      </c>
      <c r="G604" s="105" t="s">
        <v>142</v>
      </c>
      <c r="H604" s="39" t="str">
        <f>_xlfn.XLOOKUP(Table6[[#This Row],[Affected WTG]],'Basic Data'!$A:$A,'Basic Data'!$B:$B)</f>
        <v>PWEGPL</v>
      </c>
      <c r="I604" s="39" t="str">
        <f>_xlfn.XLOOKUP(Table6[[#This Row],[Affected WTG]],'Basic Data'!$A:$A,'Basic Data'!$C:$C)</f>
        <v>MSEDCL</v>
      </c>
      <c r="J604" s="345">
        <f>IFERROR(VLOOKUP(Table6[[#This Row],[Affected WTG]],'Basic Data'!$A$3:$E$56,5,0),"")</f>
        <v>2.564102564102564E-2</v>
      </c>
      <c r="K604" s="105" t="s">
        <v>492</v>
      </c>
      <c r="L604" s="39" t="str">
        <f>IFERROR(VLOOKUP(Table6[[#This Row],[Error Code]],'Basic Data'!$T:$U,2,0),"")</f>
        <v>Manual Stop - Safety Related</v>
      </c>
      <c r="M604" s="346" t="s">
        <v>481</v>
      </c>
      <c r="N604" s="39" t="s">
        <v>1269</v>
      </c>
      <c r="O604" s="347">
        <v>0</v>
      </c>
      <c r="P604" s="347">
        <v>0.99930555555555556</v>
      </c>
      <c r="Q604" s="347">
        <v>0.99930555555555556</v>
      </c>
      <c r="R604" s="348">
        <f>IF(Table6[[#This Row],[Work Start TimeStamp]]="","",(Table6[[#This Row],[Work Start TimeStamp]]-Table6[[#This Row],[Fault Start TimeStamp]])*24)</f>
        <v>23.983333333333334</v>
      </c>
      <c r="S604" s="349">
        <f>(Table6[[#This Row],[Fault Clearance time]]-Table6[[#This Row],[Work Start TimeStamp]])*24</f>
        <v>0</v>
      </c>
      <c r="T604" s="350">
        <f>(Table6[[#This Row],[Fault Clearance time]]-Table6[[#This Row],[Fault Start TimeStamp]])*24</f>
        <v>23.983333333333334</v>
      </c>
      <c r="U604" s="346" t="s">
        <v>498</v>
      </c>
      <c r="V604" s="351" t="s">
        <v>473</v>
      </c>
      <c r="W604" s="338">
        <f>Table6[[#This Row],[Breakdown Time]]*(1/39)</f>
        <v>0.61495726495726499</v>
      </c>
      <c r="X604" s="336" t="s">
        <v>468</v>
      </c>
      <c r="Y604" s="352" t="s">
        <v>141</v>
      </c>
      <c r="Z604" s="105">
        <v>2038</v>
      </c>
      <c r="AA604" s="107">
        <v>2036.5847222222224</v>
      </c>
      <c r="AB604" s="105" t="s">
        <v>478</v>
      </c>
    </row>
    <row r="605" spans="1:28">
      <c r="A605" s="105">
        <f t="shared" si="9"/>
        <v>604</v>
      </c>
      <c r="B605" s="107">
        <f>YEAR(Table6[[#This Row],[Date]])+IF(MONTH(Table6[[#This Row],[Date]])&gt;=4,1,0)</f>
        <v>2026</v>
      </c>
      <c r="C605" s="105">
        <f>YEAR(Table6[[#This Row],[Date]])</f>
        <v>2025</v>
      </c>
      <c r="D605" s="105" t="s">
        <v>490</v>
      </c>
      <c r="E605" s="119">
        <f>Table6[[#This Row],[Date]]-DAY(Table6[[#This Row],[Date]])+1</f>
        <v>45778</v>
      </c>
      <c r="F605" s="118">
        <v>45800</v>
      </c>
      <c r="G605" s="105" t="s">
        <v>125</v>
      </c>
      <c r="H605" s="39" t="str">
        <f>_xlfn.XLOOKUP(Table6[[#This Row],[Affected WTG]],'Basic Data'!$A:$A,'Basic Data'!$B:$B)</f>
        <v>PWEGPL</v>
      </c>
      <c r="I605" s="39" t="str">
        <f>_xlfn.XLOOKUP(Table6[[#This Row],[Affected WTG]],'Basic Data'!$A:$A,'Basic Data'!$C:$C)</f>
        <v>MSEDCL</v>
      </c>
      <c r="J605" s="345">
        <f>IFERROR(VLOOKUP(Table6[[#This Row],[Affected WTG]],'Basic Data'!$A$3:$E$56,5,0),"")</f>
        <v>2.564102564102564E-2</v>
      </c>
      <c r="K605" s="105">
        <v>2118</v>
      </c>
      <c r="L605" s="39" t="str">
        <f>IFERROR(VLOOKUP(Table6[[#This Row],[Error Code]],'Basic Data'!$T:$U,2,0),"")</f>
        <v>Bus Error - Interbus Failure</v>
      </c>
      <c r="M605" s="346" t="s">
        <v>462</v>
      </c>
      <c r="N605" s="39" t="s">
        <v>1270</v>
      </c>
      <c r="O605" s="347">
        <v>0.62291666666666667</v>
      </c>
      <c r="P605" s="347">
        <v>0.65416666666666667</v>
      </c>
      <c r="Q605" s="347">
        <v>0.65625</v>
      </c>
      <c r="R605" s="348">
        <f>IF(Table6[[#This Row],[Work Start TimeStamp]]="","",(Table6[[#This Row],[Work Start TimeStamp]]-Table6[[#This Row],[Fault Start TimeStamp]])*24)</f>
        <v>0.75</v>
      </c>
      <c r="S605" s="349">
        <f>(Table6[[#This Row],[Fault Clearance time]]-Table6[[#This Row],[Work Start TimeStamp]])*24</f>
        <v>4.9999999999999822E-2</v>
      </c>
      <c r="T605" s="350">
        <f>(Table6[[#This Row],[Fault Clearance time]]-Table6[[#This Row],[Fault Start TimeStamp]])*24</f>
        <v>0.79999999999999982</v>
      </c>
      <c r="U605" s="346" t="s">
        <v>493</v>
      </c>
      <c r="V605" s="351" t="s">
        <v>463</v>
      </c>
      <c r="W605" s="338">
        <f>Table6[[#This Row],[Breakdown Time]]*(1/39)</f>
        <v>2.0512820512820506E-2</v>
      </c>
      <c r="X605" s="336" t="s">
        <v>465</v>
      </c>
      <c r="Y605" s="352" t="s">
        <v>124</v>
      </c>
      <c r="Z605" s="105">
        <v>2830</v>
      </c>
      <c r="AA605" s="107">
        <v>94.333333333333314</v>
      </c>
      <c r="AB605" s="105" t="s">
        <v>478</v>
      </c>
    </row>
    <row r="606" spans="1:28">
      <c r="A606" s="105">
        <f t="shared" si="9"/>
        <v>605</v>
      </c>
      <c r="B606" s="107">
        <f>YEAR(Table6[[#This Row],[Date]])+IF(MONTH(Table6[[#This Row],[Date]])&gt;=4,1,0)</f>
        <v>2026</v>
      </c>
      <c r="C606" s="105">
        <f>YEAR(Table6[[#This Row],[Date]])</f>
        <v>2025</v>
      </c>
      <c r="D606" s="105" t="s">
        <v>490</v>
      </c>
      <c r="E606" s="119">
        <f>Table6[[#This Row],[Date]]-DAY(Table6[[#This Row],[Date]])+1</f>
        <v>45778</v>
      </c>
      <c r="F606" s="118">
        <v>45800</v>
      </c>
      <c r="G606" s="105" t="s">
        <v>126</v>
      </c>
      <c r="H606" s="39" t="str">
        <f>_xlfn.XLOOKUP(Table6[[#This Row],[Affected WTG]],'Basic Data'!$A:$A,'Basic Data'!$B:$B)</f>
        <v>PWEGPL</v>
      </c>
      <c r="I606" s="39" t="str">
        <f>_xlfn.XLOOKUP(Table6[[#This Row],[Affected WTG]],'Basic Data'!$A:$A,'Basic Data'!$C:$C)</f>
        <v>MSEDCL</v>
      </c>
      <c r="J606" s="345">
        <f>IFERROR(VLOOKUP(Table6[[#This Row],[Affected WTG]],'Basic Data'!$A$3:$E$56,5,0),"")</f>
        <v>2.564102564102564E-2</v>
      </c>
      <c r="K606" s="105">
        <v>5210</v>
      </c>
      <c r="L606" s="39" t="str">
        <f>IFERROR(VLOOKUP(Table6[[#This Row],[Error Code]],'Basic Data'!$T:$U,2,0),"")</f>
        <v>Failure Of The Contactor's Rotor Power</v>
      </c>
      <c r="M606" s="346" t="s">
        <v>479</v>
      </c>
      <c r="N606" s="39" t="s">
        <v>230</v>
      </c>
      <c r="O606" s="347">
        <v>0.47222222222222221</v>
      </c>
      <c r="P606" s="347">
        <v>0.47222222222222221</v>
      </c>
      <c r="Q606" s="347">
        <v>0.5625</v>
      </c>
      <c r="R606" s="348">
        <f>IF(Table6[[#This Row],[Work Start TimeStamp]]="","",(Table6[[#This Row],[Work Start TimeStamp]]-Table6[[#This Row],[Fault Start TimeStamp]])*24)</f>
        <v>0</v>
      </c>
      <c r="S606" s="349">
        <f>(Table6[[#This Row],[Fault Clearance time]]-Table6[[#This Row],[Work Start TimeStamp]])*24</f>
        <v>2.166666666666667</v>
      </c>
      <c r="T606" s="350">
        <f>(Table6[[#This Row],[Fault Clearance time]]-Table6[[#This Row],[Fault Start TimeStamp]])*24</f>
        <v>2.166666666666667</v>
      </c>
      <c r="U606" s="346" t="s">
        <v>1167</v>
      </c>
      <c r="V606" s="351" t="s">
        <v>463</v>
      </c>
      <c r="W606" s="338">
        <f>Table6[[#This Row],[Breakdown Time]]*(1/39)</f>
        <v>5.5555555555555559E-2</v>
      </c>
      <c r="X606" s="336" t="s">
        <v>464</v>
      </c>
      <c r="Y606" s="352" t="s">
        <v>127</v>
      </c>
      <c r="Z606" s="105">
        <v>3107</v>
      </c>
      <c r="AA606" s="107">
        <v>280.4930555555556</v>
      </c>
      <c r="AB606" s="105" t="s">
        <v>478</v>
      </c>
    </row>
    <row r="607" spans="1:28">
      <c r="A607" s="105">
        <f t="shared" si="9"/>
        <v>606</v>
      </c>
      <c r="B607" s="107">
        <f>YEAR(Table6[[#This Row],[Date]])+IF(MONTH(Table6[[#This Row],[Date]])&gt;=4,1,0)</f>
        <v>2026</v>
      </c>
      <c r="C607" s="105">
        <f>YEAR(Table6[[#This Row],[Date]])</f>
        <v>2025</v>
      </c>
      <c r="D607" s="105" t="s">
        <v>490</v>
      </c>
      <c r="E607" s="119">
        <f>Table6[[#This Row],[Date]]-DAY(Table6[[#This Row],[Date]])+1</f>
        <v>45778</v>
      </c>
      <c r="F607" s="118">
        <v>45800</v>
      </c>
      <c r="G607" s="105" t="s">
        <v>129</v>
      </c>
      <c r="H607" s="39" t="str">
        <f>_xlfn.XLOOKUP(Table6[[#This Row],[Affected WTG]],'Basic Data'!$A:$A,'Basic Data'!$B:$B)</f>
        <v>PWEGPL</v>
      </c>
      <c r="I607" s="39" t="str">
        <f>_xlfn.XLOOKUP(Table6[[#This Row],[Affected WTG]],'Basic Data'!$A:$A,'Basic Data'!$C:$C)</f>
        <v>MSEDCL</v>
      </c>
      <c r="J607" s="345">
        <f>IFERROR(VLOOKUP(Table6[[#This Row],[Affected WTG]],'Basic Data'!$A$3:$E$56,5,0),"")</f>
        <v>2.564102564102564E-2</v>
      </c>
      <c r="K607" s="105" t="s">
        <v>476</v>
      </c>
      <c r="L607" s="39" t="str">
        <f>IFERROR(VLOOKUP(Table6[[#This Row],[Error Code]],'Basic Data'!$T:$U,2,0),"")</f>
        <v>Manual Stop - Preventive Maintenance Activity</v>
      </c>
      <c r="M607" s="346" t="s">
        <v>474</v>
      </c>
      <c r="N607" s="39" t="s">
        <v>230</v>
      </c>
      <c r="O607" s="347">
        <v>0.47013888888888888</v>
      </c>
      <c r="P607" s="347">
        <v>0.47013888888888888</v>
      </c>
      <c r="Q607" s="347">
        <v>0.74791666666666667</v>
      </c>
      <c r="R607" s="348">
        <f>IF(Table6[[#This Row],[Work Start TimeStamp]]="","",(Table6[[#This Row],[Work Start TimeStamp]]-Table6[[#This Row],[Fault Start TimeStamp]])*24)</f>
        <v>0</v>
      </c>
      <c r="S607" s="349">
        <f>(Table6[[#This Row],[Fault Clearance time]]-Table6[[#This Row],[Work Start TimeStamp]])*24</f>
        <v>6.666666666666667</v>
      </c>
      <c r="T607" s="350">
        <f>(Table6[[#This Row],[Fault Clearance time]]-Table6[[#This Row],[Fault Start TimeStamp]])*24</f>
        <v>6.666666666666667</v>
      </c>
      <c r="U607" s="346" t="s">
        <v>582</v>
      </c>
      <c r="V607" s="351" t="s">
        <v>463</v>
      </c>
      <c r="W607" s="338">
        <f>Table6[[#This Row],[Breakdown Time]]*(1/39)</f>
        <v>0.17094017094017094</v>
      </c>
      <c r="X607" s="336" t="s">
        <v>467</v>
      </c>
      <c r="Y607" s="352" t="s">
        <v>130</v>
      </c>
      <c r="Z607" s="105">
        <v>3109</v>
      </c>
      <c r="AA607" s="107">
        <v>863.61111111111109</v>
      </c>
      <c r="AB607" s="105" t="s">
        <v>478</v>
      </c>
    </row>
    <row r="608" spans="1:28">
      <c r="A608" s="105">
        <f t="shared" si="9"/>
        <v>607</v>
      </c>
      <c r="B608" s="107">
        <f>YEAR(Table6[[#This Row],[Date]])+IF(MONTH(Table6[[#This Row],[Date]])&gt;=4,1,0)</f>
        <v>2026</v>
      </c>
      <c r="C608" s="105">
        <f>YEAR(Table6[[#This Row],[Date]])</f>
        <v>2025</v>
      </c>
      <c r="D608" s="105" t="s">
        <v>490</v>
      </c>
      <c r="E608" s="119">
        <f>Table6[[#This Row],[Date]]-DAY(Table6[[#This Row],[Date]])+1</f>
        <v>45778</v>
      </c>
      <c r="F608" s="118">
        <v>45800</v>
      </c>
      <c r="G608" s="105" t="s">
        <v>130</v>
      </c>
      <c r="H608" s="39" t="str">
        <f>_xlfn.XLOOKUP(Table6[[#This Row],[Affected WTG]],'Basic Data'!$A:$A,'Basic Data'!$B:$B)</f>
        <v>PWEGPL</v>
      </c>
      <c r="I608" s="39" t="str">
        <f>_xlfn.XLOOKUP(Table6[[#This Row],[Affected WTG]],'Basic Data'!$A:$A,'Basic Data'!$C:$C)</f>
        <v>MSEDCL</v>
      </c>
      <c r="J608" s="345">
        <f>IFERROR(VLOOKUP(Table6[[#This Row],[Affected WTG]],'Basic Data'!$A$3:$E$56,5,0),"")</f>
        <v>2.564102564102564E-2</v>
      </c>
      <c r="K608" s="105">
        <v>5225</v>
      </c>
      <c r="L608" s="39" t="str">
        <f>IFERROR(VLOOKUP(Table6[[#This Row],[Error Code]],'Basic Data'!$T:$U,2,0),"")</f>
        <v>Fault In Analog Electronic Power Supply</v>
      </c>
      <c r="M608" s="346" t="s">
        <v>462</v>
      </c>
      <c r="N608" s="39" t="s">
        <v>1270</v>
      </c>
      <c r="O608" s="347">
        <v>0.66736111111111107</v>
      </c>
      <c r="P608" s="347">
        <v>0.68402777777777779</v>
      </c>
      <c r="Q608" s="347">
        <v>0.68541666666666667</v>
      </c>
      <c r="R608" s="348">
        <f>IF(Table6[[#This Row],[Work Start TimeStamp]]="","",(Table6[[#This Row],[Work Start TimeStamp]]-Table6[[#This Row],[Fault Start TimeStamp]])*24)</f>
        <v>0.40000000000000124</v>
      </c>
      <c r="S608" s="349">
        <f>(Table6[[#This Row],[Fault Clearance time]]-Table6[[#This Row],[Work Start TimeStamp]])*24</f>
        <v>3.3333333333333215E-2</v>
      </c>
      <c r="T608" s="350">
        <f>(Table6[[#This Row],[Fault Clearance time]]-Table6[[#This Row],[Fault Start TimeStamp]])*24</f>
        <v>0.43333333333333446</v>
      </c>
      <c r="U608" s="346" t="s">
        <v>493</v>
      </c>
      <c r="V608" s="351" t="s">
        <v>463</v>
      </c>
      <c r="W608" s="338">
        <f>Table6[[#This Row],[Breakdown Time]]*(1/39)</f>
        <v>1.1111111111111139E-2</v>
      </c>
      <c r="X608" s="336" t="s">
        <v>465</v>
      </c>
      <c r="Y608" s="352" t="s">
        <v>131</v>
      </c>
      <c r="Z608" s="105">
        <v>3111</v>
      </c>
      <c r="AA608" s="107">
        <v>56.170833333333476</v>
      </c>
      <c r="AB608" s="105" t="s">
        <v>478</v>
      </c>
    </row>
    <row r="609" spans="1:28">
      <c r="A609" s="105">
        <f t="shared" si="9"/>
        <v>608</v>
      </c>
      <c r="B609" s="107">
        <f>YEAR(Table6[[#This Row],[Date]])+IF(MONTH(Table6[[#This Row],[Date]])&gt;=4,1,0)</f>
        <v>2026</v>
      </c>
      <c r="C609" s="105">
        <f>YEAR(Table6[[#This Row],[Date]])</f>
        <v>2025</v>
      </c>
      <c r="D609" s="105" t="s">
        <v>490</v>
      </c>
      <c r="E609" s="119">
        <f>Table6[[#This Row],[Date]]-DAY(Table6[[#This Row],[Date]])+1</f>
        <v>45778</v>
      </c>
      <c r="F609" s="118">
        <v>45800</v>
      </c>
      <c r="G609" s="105" t="s">
        <v>138</v>
      </c>
      <c r="H609" s="39" t="str">
        <f>_xlfn.XLOOKUP(Table6[[#This Row],[Affected WTG]],'Basic Data'!$A:$A,'Basic Data'!$B:$B)</f>
        <v>PWEGPL</v>
      </c>
      <c r="I609" s="39" t="str">
        <f>_xlfn.XLOOKUP(Table6[[#This Row],[Affected WTG]],'Basic Data'!$A:$A,'Basic Data'!$C:$C)</f>
        <v>MSEDCL</v>
      </c>
      <c r="J609" s="345">
        <f>IFERROR(VLOOKUP(Table6[[#This Row],[Affected WTG]],'Basic Data'!$A$3:$E$56,5,0),"")</f>
        <v>2.564102564102564E-2</v>
      </c>
      <c r="K609" s="105" t="s">
        <v>466</v>
      </c>
      <c r="L609" s="39" t="str">
        <f>IFERROR(VLOOKUP(Table6[[#This Row],[Error Code]],'Basic Data'!$T:$U,2,0),"")</f>
        <v>Manual Stop</v>
      </c>
      <c r="M609" s="346" t="s">
        <v>507</v>
      </c>
      <c r="N609" s="39" t="s">
        <v>230</v>
      </c>
      <c r="O609" s="347">
        <v>0.59375</v>
      </c>
      <c r="P609" s="347">
        <v>0.59375</v>
      </c>
      <c r="Q609" s="347">
        <v>0.625</v>
      </c>
      <c r="R609" s="348">
        <f>IF(Table6[[#This Row],[Work Start TimeStamp]]="","",(Table6[[#This Row],[Work Start TimeStamp]]-Table6[[#This Row],[Fault Start TimeStamp]])*24)</f>
        <v>0</v>
      </c>
      <c r="S609" s="349">
        <f>(Table6[[#This Row],[Fault Clearance time]]-Table6[[#This Row],[Work Start TimeStamp]])*24</f>
        <v>0.75</v>
      </c>
      <c r="T609" s="350">
        <f>(Table6[[#This Row],[Fault Clearance time]]-Table6[[#This Row],[Fault Start TimeStamp]])*24</f>
        <v>0.75</v>
      </c>
      <c r="U609" s="346" t="s">
        <v>1175</v>
      </c>
      <c r="V609" s="351" t="s">
        <v>463</v>
      </c>
      <c r="W609" s="338">
        <f>Table6[[#This Row],[Breakdown Time]]*(1/39)</f>
        <v>1.9230769230769232E-2</v>
      </c>
      <c r="X609" s="336" t="s">
        <v>464</v>
      </c>
      <c r="Y609" s="352" t="s">
        <v>140</v>
      </c>
      <c r="Z609" s="105">
        <v>2014</v>
      </c>
      <c r="AA609" s="107">
        <v>62.9375</v>
      </c>
      <c r="AB609" s="105" t="s">
        <v>478</v>
      </c>
    </row>
    <row r="610" spans="1:28">
      <c r="A610" s="105">
        <f t="shared" si="9"/>
        <v>609</v>
      </c>
      <c r="B610" s="107">
        <f>YEAR(Table6[[#This Row],[Date]])+IF(MONTH(Table6[[#This Row],[Date]])&gt;=4,1,0)</f>
        <v>2026</v>
      </c>
      <c r="C610" s="105">
        <f>YEAR(Table6[[#This Row],[Date]])</f>
        <v>2025</v>
      </c>
      <c r="D610" s="105" t="s">
        <v>490</v>
      </c>
      <c r="E610" s="119">
        <f>Table6[[#This Row],[Date]]-DAY(Table6[[#This Row],[Date]])+1</f>
        <v>45778</v>
      </c>
      <c r="F610" s="118">
        <v>45801</v>
      </c>
      <c r="G610" s="105" t="s">
        <v>144</v>
      </c>
      <c r="H610" s="39" t="str">
        <f>_xlfn.XLOOKUP(Table6[[#This Row],[Affected WTG]],'Basic Data'!$A:$A,'Basic Data'!$B:$B)</f>
        <v>PWEGPL</v>
      </c>
      <c r="I610" s="39" t="str">
        <f>_xlfn.XLOOKUP(Table6[[#This Row],[Affected WTG]],'Basic Data'!$A:$A,'Basic Data'!$C:$C)</f>
        <v>MSEDCL</v>
      </c>
      <c r="J610" s="345">
        <f>IFERROR(VLOOKUP(Table6[[#This Row],[Affected WTG]],'Basic Data'!$A$3:$E$56,5,0),"")</f>
        <v>2.564102564102564E-2</v>
      </c>
      <c r="K610" s="105" t="s">
        <v>492</v>
      </c>
      <c r="L610" s="39" t="str">
        <f>IFERROR(VLOOKUP(Table6[[#This Row],[Error Code]],'Basic Data'!$T:$U,2,0),"")</f>
        <v>Manual Stop - Safety Related</v>
      </c>
      <c r="M610" s="346" t="s">
        <v>481</v>
      </c>
      <c r="N610" s="39" t="s">
        <v>1269</v>
      </c>
      <c r="O610" s="347">
        <v>0</v>
      </c>
      <c r="P610" s="347">
        <v>0.99930555555555556</v>
      </c>
      <c r="Q610" s="347">
        <v>0.99930555555555556</v>
      </c>
      <c r="R610" s="348">
        <f>IF(Table6[[#This Row],[Work Start TimeStamp]]="","",(Table6[[#This Row],[Work Start TimeStamp]]-Table6[[#This Row],[Fault Start TimeStamp]])*24)</f>
        <v>23.983333333333334</v>
      </c>
      <c r="S610" s="349">
        <f>(Table6[[#This Row],[Fault Clearance time]]-Table6[[#This Row],[Work Start TimeStamp]])*24</f>
        <v>0</v>
      </c>
      <c r="T610" s="350">
        <f>(Table6[[#This Row],[Fault Clearance time]]-Table6[[#This Row],[Fault Start TimeStamp]])*24</f>
        <v>23.983333333333334</v>
      </c>
      <c r="U610" s="346" t="s">
        <v>498</v>
      </c>
      <c r="V610" s="351" t="s">
        <v>473</v>
      </c>
      <c r="W610" s="338">
        <f>Table6[[#This Row],[Breakdown Time]]*(1/39)</f>
        <v>0.61495726495726499</v>
      </c>
      <c r="X610" s="336" t="s">
        <v>468</v>
      </c>
      <c r="Y610" s="352" t="s">
        <v>141</v>
      </c>
      <c r="Z610" s="105">
        <v>7772</v>
      </c>
      <c r="AA610" s="107">
        <v>7766.6027777777772</v>
      </c>
      <c r="AB610" s="105" t="s">
        <v>478</v>
      </c>
    </row>
    <row r="611" spans="1:28">
      <c r="A611" s="105">
        <f t="shared" si="9"/>
        <v>610</v>
      </c>
      <c r="B611" s="107">
        <f>YEAR(Table6[[#This Row],[Date]])+IF(MONTH(Table6[[#This Row],[Date]])&gt;=4,1,0)</f>
        <v>2026</v>
      </c>
      <c r="C611" s="105">
        <f>YEAR(Table6[[#This Row],[Date]])</f>
        <v>2025</v>
      </c>
      <c r="D611" s="105" t="s">
        <v>490</v>
      </c>
      <c r="E611" s="119">
        <f>Table6[[#This Row],[Date]]-DAY(Table6[[#This Row],[Date]])+1</f>
        <v>45778</v>
      </c>
      <c r="F611" s="118">
        <v>45801</v>
      </c>
      <c r="G611" s="105" t="s">
        <v>142</v>
      </c>
      <c r="H611" s="39" t="str">
        <f>_xlfn.XLOOKUP(Table6[[#This Row],[Affected WTG]],'Basic Data'!$A:$A,'Basic Data'!$B:$B)</f>
        <v>PWEGPL</v>
      </c>
      <c r="I611" s="39" t="str">
        <f>_xlfn.XLOOKUP(Table6[[#This Row],[Affected WTG]],'Basic Data'!$A:$A,'Basic Data'!$C:$C)</f>
        <v>MSEDCL</v>
      </c>
      <c r="J611" s="345">
        <f>IFERROR(VLOOKUP(Table6[[#This Row],[Affected WTG]],'Basic Data'!$A$3:$E$56,5,0),"")</f>
        <v>2.564102564102564E-2</v>
      </c>
      <c r="K611" s="105" t="s">
        <v>492</v>
      </c>
      <c r="L611" s="39" t="str">
        <f>IFERROR(VLOOKUP(Table6[[#This Row],[Error Code]],'Basic Data'!$T:$U,2,0),"")</f>
        <v>Manual Stop - Safety Related</v>
      </c>
      <c r="M611" s="346" t="s">
        <v>481</v>
      </c>
      <c r="N611" s="39" t="s">
        <v>1269</v>
      </c>
      <c r="O611" s="347">
        <v>0</v>
      </c>
      <c r="P611" s="347">
        <v>0.99930555555555556</v>
      </c>
      <c r="Q611" s="347">
        <v>0.99930555555555556</v>
      </c>
      <c r="R611" s="348">
        <f>IF(Table6[[#This Row],[Work Start TimeStamp]]="","",(Table6[[#This Row],[Work Start TimeStamp]]-Table6[[#This Row],[Fault Start TimeStamp]])*24)</f>
        <v>23.983333333333334</v>
      </c>
      <c r="S611" s="349">
        <f>(Table6[[#This Row],[Fault Clearance time]]-Table6[[#This Row],[Work Start TimeStamp]])*24</f>
        <v>0</v>
      </c>
      <c r="T611" s="350">
        <f>(Table6[[#This Row],[Fault Clearance time]]-Table6[[#This Row],[Fault Start TimeStamp]])*24</f>
        <v>23.983333333333334</v>
      </c>
      <c r="U611" s="346" t="s">
        <v>498</v>
      </c>
      <c r="V611" s="351" t="s">
        <v>473</v>
      </c>
      <c r="W611" s="338">
        <f>Table6[[#This Row],[Breakdown Time]]*(1/39)</f>
        <v>0.61495726495726499</v>
      </c>
      <c r="X611" s="336" t="s">
        <v>468</v>
      </c>
      <c r="Y611" s="352" t="s">
        <v>141</v>
      </c>
      <c r="Z611" s="105">
        <v>7772</v>
      </c>
      <c r="AA611" s="107">
        <v>7766.6027777777772</v>
      </c>
      <c r="AB611" s="105" t="s">
        <v>478</v>
      </c>
    </row>
    <row r="612" spans="1:28">
      <c r="A612" s="105">
        <f t="shared" si="9"/>
        <v>611</v>
      </c>
      <c r="B612" s="107">
        <f>YEAR(Table6[[#This Row],[Date]])+IF(MONTH(Table6[[#This Row],[Date]])&gt;=4,1,0)</f>
        <v>2026</v>
      </c>
      <c r="C612" s="105">
        <f>YEAR(Table6[[#This Row],[Date]])</f>
        <v>2025</v>
      </c>
      <c r="D612" s="105" t="s">
        <v>490</v>
      </c>
      <c r="E612" s="119">
        <f>Table6[[#This Row],[Date]]-DAY(Table6[[#This Row],[Date]])+1</f>
        <v>45778</v>
      </c>
      <c r="F612" s="118">
        <v>45801</v>
      </c>
      <c r="G612" s="105" t="s">
        <v>130</v>
      </c>
      <c r="H612" s="39" t="str">
        <f>_xlfn.XLOOKUP(Table6[[#This Row],[Affected WTG]],'Basic Data'!$A:$A,'Basic Data'!$B:$B)</f>
        <v>PWEGPL</v>
      </c>
      <c r="I612" s="39" t="str">
        <f>_xlfn.XLOOKUP(Table6[[#This Row],[Affected WTG]],'Basic Data'!$A:$A,'Basic Data'!$C:$C)</f>
        <v>MSEDCL</v>
      </c>
      <c r="J612" s="345">
        <f>IFERROR(VLOOKUP(Table6[[#This Row],[Affected WTG]],'Basic Data'!$A$3:$E$56,5,0),"")</f>
        <v>2.564102564102564E-2</v>
      </c>
      <c r="K612" s="105" t="s">
        <v>476</v>
      </c>
      <c r="L612" s="39" t="str">
        <f>IFERROR(VLOOKUP(Table6[[#This Row],[Error Code]],'Basic Data'!$T:$U,2,0),"")</f>
        <v>Manual Stop - Preventive Maintenance Activity</v>
      </c>
      <c r="M612" s="346" t="s">
        <v>474</v>
      </c>
      <c r="N612" s="39" t="s">
        <v>230</v>
      </c>
      <c r="O612" s="347">
        <v>0.50694444444444442</v>
      </c>
      <c r="P612" s="347">
        <v>0.50694444444444442</v>
      </c>
      <c r="Q612" s="347">
        <v>0.82986111111111116</v>
      </c>
      <c r="R612" s="348">
        <f>IF(Table6[[#This Row],[Work Start TimeStamp]]="","",(Table6[[#This Row],[Work Start TimeStamp]]-Table6[[#This Row],[Fault Start TimeStamp]])*24)</f>
        <v>0</v>
      </c>
      <c r="S612" s="349">
        <f>(Table6[[#This Row],[Fault Clearance time]]-Table6[[#This Row],[Work Start TimeStamp]])*24</f>
        <v>7.7500000000000018</v>
      </c>
      <c r="T612" s="350">
        <f>(Table6[[#This Row],[Fault Clearance time]]-Table6[[#This Row],[Fault Start TimeStamp]])*24</f>
        <v>7.7500000000000018</v>
      </c>
      <c r="U612" s="346" t="s">
        <v>582</v>
      </c>
      <c r="V612" s="351" t="s">
        <v>463</v>
      </c>
      <c r="W612" s="338">
        <f>Table6[[#This Row],[Breakdown Time]]*(1/39)</f>
        <v>0.19871794871794876</v>
      </c>
      <c r="X612" s="336" t="s">
        <v>467</v>
      </c>
      <c r="Y612" s="352" t="s">
        <v>131</v>
      </c>
      <c r="Z612" s="105">
        <v>7365</v>
      </c>
      <c r="AA612" s="107">
        <v>2378.2812500000005</v>
      </c>
      <c r="AB612" s="105" t="s">
        <v>478</v>
      </c>
    </row>
    <row r="613" spans="1:28">
      <c r="A613" s="105">
        <f t="shared" si="9"/>
        <v>612</v>
      </c>
      <c r="B613" s="107">
        <f>YEAR(Table6[[#This Row],[Date]])+IF(MONTH(Table6[[#This Row],[Date]])&gt;=4,1,0)</f>
        <v>2026</v>
      </c>
      <c r="C613" s="105">
        <f>YEAR(Table6[[#This Row],[Date]])</f>
        <v>2025</v>
      </c>
      <c r="D613" s="105" t="s">
        <v>490</v>
      </c>
      <c r="E613" s="119">
        <f>Table6[[#This Row],[Date]]-DAY(Table6[[#This Row],[Date]])+1</f>
        <v>45778</v>
      </c>
      <c r="F613" s="118">
        <v>45801</v>
      </c>
      <c r="G613" s="105" t="s">
        <v>139</v>
      </c>
      <c r="H613" s="39" t="str">
        <f>_xlfn.XLOOKUP(Table6[[#This Row],[Affected WTG]],'Basic Data'!$A:$A,'Basic Data'!$B:$B)</f>
        <v>PWEGPL</v>
      </c>
      <c r="I613" s="39" t="str">
        <f>_xlfn.XLOOKUP(Table6[[#This Row],[Affected WTG]],'Basic Data'!$A:$A,'Basic Data'!$C:$C)</f>
        <v>MSEDCL</v>
      </c>
      <c r="J613" s="345">
        <f>IFERROR(VLOOKUP(Table6[[#This Row],[Affected WTG]],'Basic Data'!$A$3:$E$56,5,0),"")</f>
        <v>2.564102564102564E-2</v>
      </c>
      <c r="K613" s="105" t="s">
        <v>487</v>
      </c>
      <c r="L613" s="39" t="str">
        <f>IFERROR(VLOOKUP(Table6[[#This Row],[Error Code]],'Basic Data'!$T:$U,2,0),"")</f>
        <v>General Work Stoppage</v>
      </c>
      <c r="M613" s="346" t="s">
        <v>479</v>
      </c>
      <c r="N613" s="39" t="s">
        <v>230</v>
      </c>
      <c r="O613" s="347">
        <v>0.57986111111111116</v>
      </c>
      <c r="P613" s="347">
        <v>0.57986111111111116</v>
      </c>
      <c r="Q613" s="347">
        <v>0.66736111111111107</v>
      </c>
      <c r="R613" s="348">
        <f>IF(Table6[[#This Row],[Work Start TimeStamp]]="","",(Table6[[#This Row],[Work Start TimeStamp]]-Table6[[#This Row],[Fault Start TimeStamp]])*24)</f>
        <v>0</v>
      </c>
      <c r="S613" s="349">
        <f>(Table6[[#This Row],[Fault Clearance time]]-Table6[[#This Row],[Work Start TimeStamp]])*24</f>
        <v>2.0999999999999979</v>
      </c>
      <c r="T613" s="350">
        <f>(Table6[[#This Row],[Fault Clearance time]]-Table6[[#This Row],[Fault Start TimeStamp]])*24</f>
        <v>2.0999999999999979</v>
      </c>
      <c r="U613" s="346" t="s">
        <v>1176</v>
      </c>
      <c r="V613" s="351" t="s">
        <v>463</v>
      </c>
      <c r="W613" s="338">
        <f>Table6[[#This Row],[Breakdown Time]]*(1/39)</f>
        <v>5.3846153846153787E-2</v>
      </c>
      <c r="X613" s="336" t="s">
        <v>464</v>
      </c>
      <c r="Y613" s="352" t="s">
        <v>145</v>
      </c>
      <c r="Z613" s="105">
        <v>6467</v>
      </c>
      <c r="AA613" s="107">
        <v>565.86249999999939</v>
      </c>
      <c r="AB613" s="105" t="s">
        <v>478</v>
      </c>
    </row>
    <row r="614" spans="1:28">
      <c r="A614" s="105">
        <f t="shared" si="9"/>
        <v>613</v>
      </c>
      <c r="B614" s="107">
        <f>YEAR(Table6[[#This Row],[Date]])+IF(MONTH(Table6[[#This Row],[Date]])&gt;=4,1,0)</f>
        <v>2026</v>
      </c>
      <c r="C614" s="105">
        <f>YEAR(Table6[[#This Row],[Date]])</f>
        <v>2025</v>
      </c>
      <c r="D614" s="105" t="s">
        <v>490</v>
      </c>
      <c r="E614" s="119">
        <f>Table6[[#This Row],[Date]]-DAY(Table6[[#This Row],[Date]])+1</f>
        <v>45778</v>
      </c>
      <c r="F614" s="118">
        <v>45801</v>
      </c>
      <c r="G614" s="105" t="s">
        <v>147</v>
      </c>
      <c r="H614" s="39" t="str">
        <f>_xlfn.XLOOKUP(Table6[[#This Row],[Affected WTG]],'Basic Data'!$A:$A,'Basic Data'!$B:$B)</f>
        <v>PWEGPL</v>
      </c>
      <c r="I614" s="39" t="str">
        <f>_xlfn.XLOOKUP(Table6[[#This Row],[Affected WTG]],'Basic Data'!$A:$A,'Basic Data'!$C:$C)</f>
        <v>MSEDCL</v>
      </c>
      <c r="J614" s="345">
        <f>IFERROR(VLOOKUP(Table6[[#This Row],[Affected WTG]],'Basic Data'!$A$3:$E$56,5,0),"")</f>
        <v>2.564102564102564E-2</v>
      </c>
      <c r="K614" s="105">
        <v>205</v>
      </c>
      <c r="L614" s="39" t="str">
        <f>IFERROR(VLOOKUP(Table6[[#This Row],[Error Code]],'Basic Data'!$T:$U,2,0),"")</f>
        <v>Low Level Hydraulic Group Refrigeration Oil</v>
      </c>
      <c r="M614" s="346" t="s">
        <v>462</v>
      </c>
      <c r="N614" s="39" t="s">
        <v>1270</v>
      </c>
      <c r="O614" s="347">
        <v>0.51388888888888884</v>
      </c>
      <c r="P614" s="347">
        <v>0.54027777777777775</v>
      </c>
      <c r="Q614" s="347">
        <v>0.54166666666666663</v>
      </c>
      <c r="R614" s="348">
        <f>IF(Table6[[#This Row],[Work Start TimeStamp]]="","",(Table6[[#This Row],[Work Start TimeStamp]]-Table6[[#This Row],[Fault Start TimeStamp]])*24)</f>
        <v>0.63333333333333375</v>
      </c>
      <c r="S614" s="349">
        <f>(Table6[[#This Row],[Fault Clearance time]]-Table6[[#This Row],[Work Start TimeStamp]])*24</f>
        <v>3.3333333333333215E-2</v>
      </c>
      <c r="T614" s="350">
        <f>(Table6[[#This Row],[Fault Clearance time]]-Table6[[#This Row],[Fault Start TimeStamp]])*24</f>
        <v>0.66666666666666696</v>
      </c>
      <c r="U614" s="346" t="s">
        <v>493</v>
      </c>
      <c r="V614" s="351" t="s">
        <v>463</v>
      </c>
      <c r="W614" s="338">
        <f>Table6[[#This Row],[Breakdown Time]]*(1/39)</f>
        <v>1.7094017094017103E-2</v>
      </c>
      <c r="X614" s="336" t="s">
        <v>465</v>
      </c>
      <c r="Y614" s="352" t="s">
        <v>146</v>
      </c>
      <c r="Z614" s="105">
        <v>6457</v>
      </c>
      <c r="AA614" s="107">
        <v>179.3611111111112</v>
      </c>
      <c r="AB614" s="105" t="s">
        <v>478</v>
      </c>
    </row>
    <row r="615" spans="1:28">
      <c r="A615" s="105">
        <f t="shared" si="9"/>
        <v>614</v>
      </c>
      <c r="B615" s="107">
        <f>YEAR(Table6[[#This Row],[Date]])+IF(MONTH(Table6[[#This Row],[Date]])&gt;=4,1,0)</f>
        <v>2026</v>
      </c>
      <c r="C615" s="105">
        <f>YEAR(Table6[[#This Row],[Date]])</f>
        <v>2025</v>
      </c>
      <c r="D615" s="105" t="s">
        <v>490</v>
      </c>
      <c r="E615" s="119">
        <f>Table6[[#This Row],[Date]]-DAY(Table6[[#This Row],[Date]])+1</f>
        <v>45778</v>
      </c>
      <c r="F615" s="118">
        <v>45802</v>
      </c>
      <c r="G615" s="105" t="s">
        <v>144</v>
      </c>
      <c r="H615" s="39" t="str">
        <f>_xlfn.XLOOKUP(Table6[[#This Row],[Affected WTG]],'Basic Data'!$A:$A,'Basic Data'!$B:$B)</f>
        <v>PWEGPL</v>
      </c>
      <c r="I615" s="39" t="str">
        <f>_xlfn.XLOOKUP(Table6[[#This Row],[Affected WTG]],'Basic Data'!$A:$A,'Basic Data'!$C:$C)</f>
        <v>MSEDCL</v>
      </c>
      <c r="J615" s="345">
        <f>IFERROR(VLOOKUP(Table6[[#This Row],[Affected WTG]],'Basic Data'!$A$3:$E$56,5,0),"")</f>
        <v>2.564102564102564E-2</v>
      </c>
      <c r="K615" s="105" t="s">
        <v>492</v>
      </c>
      <c r="L615" s="39" t="str">
        <f>IFERROR(VLOOKUP(Table6[[#This Row],[Error Code]],'Basic Data'!$T:$U,2,0),"")</f>
        <v>Manual Stop - Safety Related</v>
      </c>
      <c r="M615" s="346" t="s">
        <v>481</v>
      </c>
      <c r="N615" s="39" t="s">
        <v>1269</v>
      </c>
      <c r="O615" s="347">
        <v>0</v>
      </c>
      <c r="P615" s="347">
        <v>0.99930555555555556</v>
      </c>
      <c r="Q615" s="347">
        <v>0.99930555555555556</v>
      </c>
      <c r="R615" s="348">
        <f>IF(Table6[[#This Row],[Work Start TimeStamp]]="","",(Table6[[#This Row],[Work Start TimeStamp]]-Table6[[#This Row],[Fault Start TimeStamp]])*24)</f>
        <v>23.983333333333334</v>
      </c>
      <c r="S615" s="349">
        <f>(Table6[[#This Row],[Fault Clearance time]]-Table6[[#This Row],[Work Start TimeStamp]])*24</f>
        <v>0</v>
      </c>
      <c r="T615" s="350">
        <f>(Table6[[#This Row],[Fault Clearance time]]-Table6[[#This Row],[Fault Start TimeStamp]])*24</f>
        <v>23.983333333333334</v>
      </c>
      <c r="U615" s="346" t="s">
        <v>498</v>
      </c>
      <c r="V615" s="351" t="s">
        <v>473</v>
      </c>
      <c r="W615" s="338">
        <f>Table6[[#This Row],[Breakdown Time]]*(1/39)</f>
        <v>0.61495726495726499</v>
      </c>
      <c r="X615" s="336" t="s">
        <v>468</v>
      </c>
      <c r="Y615" s="352" t="s">
        <v>141</v>
      </c>
      <c r="Z615" s="105">
        <v>5528</v>
      </c>
      <c r="AA615" s="107">
        <v>5524.1611111111115</v>
      </c>
      <c r="AB615" s="105" t="s">
        <v>478</v>
      </c>
    </row>
    <row r="616" spans="1:28">
      <c r="A616" s="105">
        <f t="shared" si="9"/>
        <v>615</v>
      </c>
      <c r="B616" s="107">
        <f>YEAR(Table6[[#This Row],[Date]])+IF(MONTH(Table6[[#This Row],[Date]])&gt;=4,1,0)</f>
        <v>2026</v>
      </c>
      <c r="C616" s="105">
        <f>YEAR(Table6[[#This Row],[Date]])</f>
        <v>2025</v>
      </c>
      <c r="D616" s="105" t="s">
        <v>490</v>
      </c>
      <c r="E616" s="119">
        <f>Table6[[#This Row],[Date]]-DAY(Table6[[#This Row],[Date]])+1</f>
        <v>45778</v>
      </c>
      <c r="F616" s="118">
        <v>45802</v>
      </c>
      <c r="G616" s="105" t="s">
        <v>142</v>
      </c>
      <c r="H616" s="39" t="str">
        <f>_xlfn.XLOOKUP(Table6[[#This Row],[Affected WTG]],'Basic Data'!$A:$A,'Basic Data'!$B:$B)</f>
        <v>PWEGPL</v>
      </c>
      <c r="I616" s="39" t="str">
        <f>_xlfn.XLOOKUP(Table6[[#This Row],[Affected WTG]],'Basic Data'!$A:$A,'Basic Data'!$C:$C)</f>
        <v>MSEDCL</v>
      </c>
      <c r="J616" s="345">
        <f>IFERROR(VLOOKUP(Table6[[#This Row],[Affected WTG]],'Basic Data'!$A$3:$E$56,5,0),"")</f>
        <v>2.564102564102564E-2</v>
      </c>
      <c r="K616" s="105" t="s">
        <v>492</v>
      </c>
      <c r="L616" s="39" t="str">
        <f>IFERROR(VLOOKUP(Table6[[#This Row],[Error Code]],'Basic Data'!$T:$U,2,0),"")</f>
        <v>Manual Stop - Safety Related</v>
      </c>
      <c r="M616" s="346" t="s">
        <v>481</v>
      </c>
      <c r="N616" s="39" t="s">
        <v>1269</v>
      </c>
      <c r="O616" s="347">
        <v>0</v>
      </c>
      <c r="P616" s="347">
        <v>0.99930555555555556</v>
      </c>
      <c r="Q616" s="347">
        <v>0.99930555555555556</v>
      </c>
      <c r="R616" s="348">
        <f>IF(Table6[[#This Row],[Work Start TimeStamp]]="","",(Table6[[#This Row],[Work Start TimeStamp]]-Table6[[#This Row],[Fault Start TimeStamp]])*24)</f>
        <v>23.983333333333334</v>
      </c>
      <c r="S616" s="349">
        <f>(Table6[[#This Row],[Fault Clearance time]]-Table6[[#This Row],[Work Start TimeStamp]])*24</f>
        <v>0</v>
      </c>
      <c r="T616" s="350">
        <f>(Table6[[#This Row],[Fault Clearance time]]-Table6[[#This Row],[Fault Start TimeStamp]])*24</f>
        <v>23.983333333333334</v>
      </c>
      <c r="U616" s="346" t="s">
        <v>498</v>
      </c>
      <c r="V616" s="351" t="s">
        <v>473</v>
      </c>
      <c r="W616" s="338">
        <f>Table6[[#This Row],[Breakdown Time]]*(1/39)</f>
        <v>0.61495726495726499</v>
      </c>
      <c r="X616" s="336" t="s">
        <v>468</v>
      </c>
      <c r="Y616" s="352" t="s">
        <v>141</v>
      </c>
      <c r="Z616" s="105">
        <v>5528</v>
      </c>
      <c r="AA616" s="107">
        <v>5524.1611111111115</v>
      </c>
      <c r="AB616" s="105" t="s">
        <v>478</v>
      </c>
    </row>
    <row r="617" spans="1:28">
      <c r="A617" s="105">
        <f t="shared" si="9"/>
        <v>616</v>
      </c>
      <c r="B617" s="107">
        <f>YEAR(Table6[[#This Row],[Date]])+IF(MONTH(Table6[[#This Row],[Date]])&gt;=4,1,0)</f>
        <v>2026</v>
      </c>
      <c r="C617" s="105">
        <f>YEAR(Table6[[#This Row],[Date]])</f>
        <v>2025</v>
      </c>
      <c r="D617" s="105" t="s">
        <v>490</v>
      </c>
      <c r="E617" s="119">
        <f>Table6[[#This Row],[Date]]-DAY(Table6[[#This Row],[Date]])+1</f>
        <v>45778</v>
      </c>
      <c r="F617" s="118">
        <v>45802</v>
      </c>
      <c r="G617" s="105" t="s">
        <v>124</v>
      </c>
      <c r="H617" s="39" t="str">
        <f>_xlfn.XLOOKUP(Table6[[#This Row],[Affected WTG]],'Basic Data'!$A:$A,'Basic Data'!$B:$B)</f>
        <v>PWEGPL</v>
      </c>
      <c r="I617" s="39" t="str">
        <f>_xlfn.XLOOKUP(Table6[[#This Row],[Affected WTG]],'Basic Data'!$A:$A,'Basic Data'!$C:$C)</f>
        <v>MSEDCL</v>
      </c>
      <c r="J617" s="345">
        <f>IFERROR(VLOOKUP(Table6[[#This Row],[Affected WTG]],'Basic Data'!$A$3:$E$56,5,0),"")</f>
        <v>2.564102564102564E-2</v>
      </c>
      <c r="K617" s="105">
        <v>5201</v>
      </c>
      <c r="L617" s="39" t="str">
        <f>IFERROR(VLOOKUP(Table6[[#This Row],[Error Code]],'Basic Data'!$T:$U,2,0),"")</f>
        <v>Magnetothermic Trigger Of The Stator Protection</v>
      </c>
      <c r="M617" s="346" t="s">
        <v>462</v>
      </c>
      <c r="N617" s="39" t="s">
        <v>1270</v>
      </c>
      <c r="O617" s="347">
        <v>0.45833333333333331</v>
      </c>
      <c r="P617" s="347">
        <v>0.47916666666666669</v>
      </c>
      <c r="Q617" s="347">
        <v>0.47986111111111113</v>
      </c>
      <c r="R617" s="348">
        <f>IF(Table6[[#This Row],[Work Start TimeStamp]]="","",(Table6[[#This Row],[Work Start TimeStamp]]-Table6[[#This Row],[Fault Start TimeStamp]])*24)</f>
        <v>0.50000000000000089</v>
      </c>
      <c r="S617" s="349">
        <f>(Table6[[#This Row],[Fault Clearance time]]-Table6[[#This Row],[Work Start TimeStamp]])*24</f>
        <v>1.6666666666666607E-2</v>
      </c>
      <c r="T617" s="350">
        <f>(Table6[[#This Row],[Fault Clearance time]]-Table6[[#This Row],[Fault Start TimeStamp]])*24</f>
        <v>0.5166666666666675</v>
      </c>
      <c r="U617" s="346" t="s">
        <v>493</v>
      </c>
      <c r="V617" s="351" t="s">
        <v>463</v>
      </c>
      <c r="W617" s="338">
        <f>Table6[[#This Row],[Breakdown Time]]*(1/39)</f>
        <v>1.3247863247863268E-2</v>
      </c>
      <c r="X617" s="336" t="s">
        <v>465</v>
      </c>
      <c r="Y617" s="352" t="s">
        <v>125</v>
      </c>
      <c r="Z617" s="105">
        <v>7164</v>
      </c>
      <c r="AA617" s="107">
        <v>154.22500000000025</v>
      </c>
      <c r="AB617" s="105" t="s">
        <v>478</v>
      </c>
    </row>
    <row r="618" spans="1:28">
      <c r="A618" s="105">
        <f t="shared" si="9"/>
        <v>617</v>
      </c>
      <c r="B618" s="107">
        <f>YEAR(Table6[[#This Row],[Date]])+IF(MONTH(Table6[[#This Row],[Date]])&gt;=4,1,0)</f>
        <v>2026</v>
      </c>
      <c r="C618" s="105">
        <f>YEAR(Table6[[#This Row],[Date]])</f>
        <v>2025</v>
      </c>
      <c r="D618" s="105" t="s">
        <v>490</v>
      </c>
      <c r="E618" s="119">
        <f>Table6[[#This Row],[Date]]-DAY(Table6[[#This Row],[Date]])+1</f>
        <v>45778</v>
      </c>
      <c r="F618" s="118">
        <v>45802</v>
      </c>
      <c r="G618" s="105" t="s">
        <v>130</v>
      </c>
      <c r="H618" s="39" t="str">
        <f>_xlfn.XLOOKUP(Table6[[#This Row],[Affected WTG]],'Basic Data'!$A:$A,'Basic Data'!$B:$B)</f>
        <v>PWEGPL</v>
      </c>
      <c r="I618" s="39" t="str">
        <f>_xlfn.XLOOKUP(Table6[[#This Row],[Affected WTG]],'Basic Data'!$A:$A,'Basic Data'!$C:$C)</f>
        <v>MSEDCL</v>
      </c>
      <c r="J618" s="345">
        <f>IFERROR(VLOOKUP(Table6[[#This Row],[Affected WTG]],'Basic Data'!$A$3:$E$56,5,0),"")</f>
        <v>2.564102564102564E-2</v>
      </c>
      <c r="K618" s="105">
        <v>2118</v>
      </c>
      <c r="L618" s="39" t="str">
        <f>IFERROR(VLOOKUP(Table6[[#This Row],[Error Code]],'Basic Data'!$T:$U,2,0),"")</f>
        <v>Bus Error - Interbus Failure</v>
      </c>
      <c r="M618" s="346" t="s">
        <v>462</v>
      </c>
      <c r="N618" s="39" t="s">
        <v>1270</v>
      </c>
      <c r="O618" s="347">
        <v>0.22430555555555556</v>
      </c>
      <c r="P618" s="347">
        <v>0.27986111111111112</v>
      </c>
      <c r="Q618" s="347">
        <v>0.28125</v>
      </c>
      <c r="R618" s="348">
        <f>IF(Table6[[#This Row],[Work Start TimeStamp]]="","",(Table6[[#This Row],[Work Start TimeStamp]]-Table6[[#This Row],[Fault Start TimeStamp]])*24)</f>
        <v>1.3333333333333333</v>
      </c>
      <c r="S618" s="349">
        <f>(Table6[[#This Row],[Fault Clearance time]]-Table6[[#This Row],[Work Start TimeStamp]])*24</f>
        <v>3.3333333333333215E-2</v>
      </c>
      <c r="T618" s="350">
        <f>(Table6[[#This Row],[Fault Clearance time]]-Table6[[#This Row],[Fault Start TimeStamp]])*24</f>
        <v>1.3666666666666665</v>
      </c>
      <c r="U618" s="346" t="s">
        <v>491</v>
      </c>
      <c r="V618" s="351" t="s">
        <v>463</v>
      </c>
      <c r="W618" s="338">
        <f>Table6[[#This Row],[Breakdown Time]]*(1/39)</f>
        <v>3.5042735042735036E-2</v>
      </c>
      <c r="X618" s="336" t="s">
        <v>465</v>
      </c>
      <c r="Y618" s="352" t="s">
        <v>129</v>
      </c>
      <c r="Z618" s="105">
        <v>7129</v>
      </c>
      <c r="AA618" s="107">
        <v>405.95694444444439</v>
      </c>
      <c r="AB618" s="105" t="s">
        <v>478</v>
      </c>
    </row>
    <row r="619" spans="1:28">
      <c r="A619" s="105">
        <f t="shared" si="9"/>
        <v>618</v>
      </c>
      <c r="B619" s="107">
        <f>YEAR(Table6[[#This Row],[Date]])+IF(MONTH(Table6[[#This Row],[Date]])&gt;=4,1,0)</f>
        <v>2026</v>
      </c>
      <c r="C619" s="105">
        <f>YEAR(Table6[[#This Row],[Date]])</f>
        <v>2025</v>
      </c>
      <c r="D619" s="105" t="s">
        <v>490</v>
      </c>
      <c r="E619" s="119">
        <f>Table6[[#This Row],[Date]]-DAY(Table6[[#This Row],[Date]])+1</f>
        <v>45778</v>
      </c>
      <c r="F619" s="118">
        <v>45802</v>
      </c>
      <c r="G619" s="105" t="s">
        <v>131</v>
      </c>
      <c r="H619" s="39" t="str">
        <f>_xlfn.XLOOKUP(Table6[[#This Row],[Affected WTG]],'Basic Data'!$A:$A,'Basic Data'!$B:$B)</f>
        <v>PWEGPL</v>
      </c>
      <c r="I619" s="39" t="str">
        <f>_xlfn.XLOOKUP(Table6[[#This Row],[Affected WTG]],'Basic Data'!$A:$A,'Basic Data'!$C:$C)</f>
        <v>MSEDCL</v>
      </c>
      <c r="J619" s="345">
        <f>IFERROR(VLOOKUP(Table6[[#This Row],[Affected WTG]],'Basic Data'!$A$3:$E$56,5,0),"")</f>
        <v>2.564102564102564E-2</v>
      </c>
      <c r="K619" s="105" t="s">
        <v>476</v>
      </c>
      <c r="L619" s="39" t="str">
        <f>IFERROR(VLOOKUP(Table6[[#This Row],[Error Code]],'Basic Data'!$T:$U,2,0),"")</f>
        <v>Manual Stop - Preventive Maintenance Activity</v>
      </c>
      <c r="M619" s="346" t="s">
        <v>474</v>
      </c>
      <c r="N619" s="39" t="s">
        <v>230</v>
      </c>
      <c r="O619" s="347">
        <v>0.45694444444444443</v>
      </c>
      <c r="P619" s="347">
        <v>0.45694444444444443</v>
      </c>
      <c r="Q619" s="347">
        <v>0.74930555555555556</v>
      </c>
      <c r="R619" s="348">
        <f>IF(Table6[[#This Row],[Work Start TimeStamp]]="","",(Table6[[#This Row],[Work Start TimeStamp]]-Table6[[#This Row],[Fault Start TimeStamp]])*24)</f>
        <v>0</v>
      </c>
      <c r="S619" s="349">
        <f>(Table6[[#This Row],[Fault Clearance time]]-Table6[[#This Row],[Work Start TimeStamp]])*24</f>
        <v>7.0166666666666675</v>
      </c>
      <c r="T619" s="350">
        <f>(Table6[[#This Row],[Fault Clearance time]]-Table6[[#This Row],[Fault Start TimeStamp]])*24</f>
        <v>7.0166666666666675</v>
      </c>
      <c r="U619" s="346" t="s">
        <v>582</v>
      </c>
      <c r="V619" s="351" t="s">
        <v>463</v>
      </c>
      <c r="W619" s="338">
        <f>Table6[[#This Row],[Breakdown Time]]*(1/39)</f>
        <v>0.17991452991452994</v>
      </c>
      <c r="X619" s="336" t="s">
        <v>467</v>
      </c>
      <c r="Y619" s="352" t="s">
        <v>130</v>
      </c>
      <c r="Z619" s="105">
        <v>6898</v>
      </c>
      <c r="AA619" s="107">
        <v>2016.7069444444448</v>
      </c>
      <c r="AB619" s="105" t="s">
        <v>478</v>
      </c>
    </row>
    <row r="620" spans="1:28" ht="14.1" customHeight="1">
      <c r="A620" s="105">
        <f t="shared" si="9"/>
        <v>619</v>
      </c>
      <c r="B620" s="107">
        <f>YEAR(Table6[[#This Row],[Date]])+IF(MONTH(Table6[[#This Row],[Date]])&gt;=4,1,0)</f>
        <v>2026</v>
      </c>
      <c r="C620" s="105">
        <f>YEAR(Table6[[#This Row],[Date]])</f>
        <v>2025</v>
      </c>
      <c r="D620" s="105" t="s">
        <v>490</v>
      </c>
      <c r="E620" s="119">
        <f>Table6[[#This Row],[Date]]-DAY(Table6[[#This Row],[Date]])+1</f>
        <v>45778</v>
      </c>
      <c r="F620" s="118">
        <v>45802</v>
      </c>
      <c r="G620" s="105" t="s">
        <v>145</v>
      </c>
      <c r="H620" s="39" t="str">
        <f>_xlfn.XLOOKUP(Table6[[#This Row],[Affected WTG]],'Basic Data'!$A:$A,'Basic Data'!$B:$B)</f>
        <v>PWEGPL</v>
      </c>
      <c r="I620" s="39" t="str">
        <f>_xlfn.XLOOKUP(Table6[[#This Row],[Affected WTG]],'Basic Data'!$A:$A,'Basic Data'!$C:$C)</f>
        <v>MSEDCL</v>
      </c>
      <c r="J620" s="345">
        <f>IFERROR(VLOOKUP(Table6[[#This Row],[Affected WTG]],'Basic Data'!$A$3:$E$56,5,0),"")</f>
        <v>2.564102564102564E-2</v>
      </c>
      <c r="K620" s="105" t="s">
        <v>492</v>
      </c>
      <c r="L620" s="39" t="str">
        <f>IFERROR(VLOOKUP(Table6[[#This Row],[Error Code]],'Basic Data'!$T:$U,2,0),"")</f>
        <v>Manual Stop - Safety Related</v>
      </c>
      <c r="M620" s="346" t="s">
        <v>481</v>
      </c>
      <c r="N620" s="39" t="s">
        <v>230</v>
      </c>
      <c r="O620" s="347">
        <v>0.52500000000000002</v>
      </c>
      <c r="P620" s="347">
        <v>0.52500000000000002</v>
      </c>
      <c r="Q620" s="347">
        <v>0.58680555555555558</v>
      </c>
      <c r="R620" s="348">
        <f>IF(Table6[[#This Row],[Work Start TimeStamp]]="","",(Table6[[#This Row],[Work Start TimeStamp]]-Table6[[#This Row],[Fault Start TimeStamp]])*24)</f>
        <v>0</v>
      </c>
      <c r="S620" s="349">
        <f>(Table6[[#This Row],[Fault Clearance time]]-Table6[[#This Row],[Work Start TimeStamp]])*24</f>
        <v>1.4833333333333334</v>
      </c>
      <c r="T620" s="350">
        <f>(Table6[[#This Row],[Fault Clearance time]]-Table6[[#This Row],[Fault Start TimeStamp]])*24</f>
        <v>1.4833333333333334</v>
      </c>
      <c r="U620" s="346" t="s">
        <v>508</v>
      </c>
      <c r="V620" s="351" t="s">
        <v>463</v>
      </c>
      <c r="W620" s="338">
        <f>Table6[[#This Row],[Breakdown Time]]*(1/39)</f>
        <v>3.8034188034188038E-2</v>
      </c>
      <c r="X620" s="336" t="s">
        <v>468</v>
      </c>
      <c r="Y620" s="352" t="s">
        <v>139</v>
      </c>
      <c r="Z620" s="105">
        <v>5842</v>
      </c>
      <c r="AA620" s="107">
        <v>361.06805555555553</v>
      </c>
      <c r="AB620" s="105" t="s">
        <v>478</v>
      </c>
    </row>
    <row r="621" spans="1:28">
      <c r="A621" s="105">
        <f t="shared" si="9"/>
        <v>620</v>
      </c>
      <c r="B621" s="107">
        <f>YEAR(Table6[[#This Row],[Date]])+IF(MONTH(Table6[[#This Row],[Date]])&gt;=4,1,0)</f>
        <v>2026</v>
      </c>
      <c r="C621" s="105">
        <f>YEAR(Table6[[#This Row],[Date]])</f>
        <v>2025</v>
      </c>
      <c r="D621" s="105" t="s">
        <v>490</v>
      </c>
      <c r="E621" s="119">
        <f>Table6[[#This Row],[Date]]-DAY(Table6[[#This Row],[Date]])+1</f>
        <v>45778</v>
      </c>
      <c r="F621" s="118">
        <v>45803</v>
      </c>
      <c r="G621" s="105" t="s">
        <v>144</v>
      </c>
      <c r="H621" s="39" t="str">
        <f>_xlfn.XLOOKUP(Table6[[#This Row],[Affected WTG]],'Basic Data'!$A:$A,'Basic Data'!$B:$B)</f>
        <v>PWEGPL</v>
      </c>
      <c r="I621" s="39" t="str">
        <f>_xlfn.XLOOKUP(Table6[[#This Row],[Affected WTG]],'Basic Data'!$A:$A,'Basic Data'!$C:$C)</f>
        <v>MSEDCL</v>
      </c>
      <c r="J621" s="345">
        <f>IFERROR(VLOOKUP(Table6[[#This Row],[Affected WTG]],'Basic Data'!$A$3:$E$56,5,0),"")</f>
        <v>2.564102564102564E-2</v>
      </c>
      <c r="K621" s="105" t="s">
        <v>492</v>
      </c>
      <c r="L621" s="39" t="str">
        <f>IFERROR(VLOOKUP(Table6[[#This Row],[Error Code]],'Basic Data'!$T:$U,2,0),"")</f>
        <v>Manual Stop - Safety Related</v>
      </c>
      <c r="M621" s="346" t="s">
        <v>481</v>
      </c>
      <c r="N621" s="39" t="s">
        <v>1269</v>
      </c>
      <c r="O621" s="347">
        <v>0</v>
      </c>
      <c r="P621" s="347">
        <v>0.99930555555555556</v>
      </c>
      <c r="Q621" s="347">
        <v>0.99930555555555556</v>
      </c>
      <c r="R621" s="348">
        <f>IF(Table6[[#This Row],[Work Start TimeStamp]]="","",(Table6[[#This Row],[Work Start TimeStamp]]-Table6[[#This Row],[Fault Start TimeStamp]])*24)</f>
        <v>23.983333333333334</v>
      </c>
      <c r="S621" s="349">
        <f>(Table6[[#This Row],[Fault Clearance time]]-Table6[[#This Row],[Work Start TimeStamp]])*24</f>
        <v>0</v>
      </c>
      <c r="T621" s="350">
        <f>(Table6[[#This Row],[Fault Clearance time]]-Table6[[#This Row],[Fault Start TimeStamp]])*24</f>
        <v>23.983333333333334</v>
      </c>
      <c r="U621" s="346" t="s">
        <v>498</v>
      </c>
      <c r="V621" s="351" t="s">
        <v>473</v>
      </c>
      <c r="W621" s="338">
        <f>Table6[[#This Row],[Breakdown Time]]*(1/39)</f>
        <v>0.61495726495726499</v>
      </c>
      <c r="X621" s="336" t="s">
        <v>468</v>
      </c>
      <c r="Y621" s="352" t="s">
        <v>141</v>
      </c>
      <c r="Z621" s="105">
        <v>3649</v>
      </c>
      <c r="AA621" s="107">
        <v>3646.4659722222223</v>
      </c>
      <c r="AB621" s="105" t="s">
        <v>478</v>
      </c>
    </row>
    <row r="622" spans="1:28">
      <c r="A622" s="105">
        <f t="shared" si="9"/>
        <v>621</v>
      </c>
      <c r="B622" s="107">
        <f>YEAR(Table6[[#This Row],[Date]])+IF(MONTH(Table6[[#This Row],[Date]])&gt;=4,1,0)</f>
        <v>2026</v>
      </c>
      <c r="C622" s="105">
        <f>YEAR(Table6[[#This Row],[Date]])</f>
        <v>2025</v>
      </c>
      <c r="D622" s="105" t="s">
        <v>490</v>
      </c>
      <c r="E622" s="119">
        <f>Table6[[#This Row],[Date]]-DAY(Table6[[#This Row],[Date]])+1</f>
        <v>45778</v>
      </c>
      <c r="F622" s="118">
        <v>45803</v>
      </c>
      <c r="G622" s="105" t="s">
        <v>142</v>
      </c>
      <c r="H622" s="39" t="str">
        <f>_xlfn.XLOOKUP(Table6[[#This Row],[Affected WTG]],'Basic Data'!$A:$A,'Basic Data'!$B:$B)</f>
        <v>PWEGPL</v>
      </c>
      <c r="I622" s="39" t="str">
        <f>_xlfn.XLOOKUP(Table6[[#This Row],[Affected WTG]],'Basic Data'!$A:$A,'Basic Data'!$C:$C)</f>
        <v>MSEDCL</v>
      </c>
      <c r="J622" s="345">
        <f>IFERROR(VLOOKUP(Table6[[#This Row],[Affected WTG]],'Basic Data'!$A$3:$E$56,5,0),"")</f>
        <v>2.564102564102564E-2</v>
      </c>
      <c r="K622" s="105" t="s">
        <v>492</v>
      </c>
      <c r="L622" s="39" t="str">
        <f>IFERROR(VLOOKUP(Table6[[#This Row],[Error Code]],'Basic Data'!$T:$U,2,0),"")</f>
        <v>Manual Stop - Safety Related</v>
      </c>
      <c r="M622" s="346" t="s">
        <v>481</v>
      </c>
      <c r="N622" s="39" t="s">
        <v>1269</v>
      </c>
      <c r="O622" s="347">
        <v>0</v>
      </c>
      <c r="P622" s="347">
        <v>0.99930555555555556</v>
      </c>
      <c r="Q622" s="347">
        <v>0.99930555555555556</v>
      </c>
      <c r="R622" s="348">
        <f>IF(Table6[[#This Row],[Work Start TimeStamp]]="","",(Table6[[#This Row],[Work Start TimeStamp]]-Table6[[#This Row],[Fault Start TimeStamp]])*24)</f>
        <v>23.983333333333334</v>
      </c>
      <c r="S622" s="349">
        <f>(Table6[[#This Row],[Fault Clearance time]]-Table6[[#This Row],[Work Start TimeStamp]])*24</f>
        <v>0</v>
      </c>
      <c r="T622" s="350">
        <f>(Table6[[#This Row],[Fault Clearance time]]-Table6[[#This Row],[Fault Start TimeStamp]])*24</f>
        <v>23.983333333333334</v>
      </c>
      <c r="U622" s="346" t="s">
        <v>498</v>
      </c>
      <c r="V622" s="351" t="s">
        <v>473</v>
      </c>
      <c r="W622" s="338">
        <f>Table6[[#This Row],[Breakdown Time]]*(1/39)</f>
        <v>0.61495726495726499</v>
      </c>
      <c r="X622" s="336" t="s">
        <v>468</v>
      </c>
      <c r="Y622" s="352" t="s">
        <v>141</v>
      </c>
      <c r="Z622" s="105">
        <v>3649</v>
      </c>
      <c r="AA622" s="107">
        <v>3646.4659722222223</v>
      </c>
      <c r="AB622" s="105" t="s">
        <v>478</v>
      </c>
    </row>
    <row r="623" spans="1:28">
      <c r="A623" s="105">
        <f t="shared" si="9"/>
        <v>622</v>
      </c>
      <c r="B623" s="107">
        <f>YEAR(Table6[[#This Row],[Date]])+IF(MONTH(Table6[[#This Row],[Date]])&gt;=4,1,0)</f>
        <v>2026</v>
      </c>
      <c r="C623" s="105">
        <f>YEAR(Table6[[#This Row],[Date]])</f>
        <v>2025</v>
      </c>
      <c r="D623" s="105" t="s">
        <v>490</v>
      </c>
      <c r="E623" s="119">
        <f>Table6[[#This Row],[Date]]-DAY(Table6[[#This Row],[Date]])+1</f>
        <v>45778</v>
      </c>
      <c r="F623" s="118">
        <v>45803</v>
      </c>
      <c r="G623" s="105" t="s">
        <v>118</v>
      </c>
      <c r="H623" s="39" t="str">
        <f>_xlfn.XLOOKUP(Table6[[#This Row],[Affected WTG]],'Basic Data'!$A:$A,'Basic Data'!$B:$B)</f>
        <v>PWEGPL</v>
      </c>
      <c r="I623" s="39" t="str">
        <f>_xlfn.XLOOKUP(Table6[[#This Row],[Affected WTG]],'Basic Data'!$A:$A,'Basic Data'!$C:$C)</f>
        <v>MSEDCL</v>
      </c>
      <c r="J623" s="345">
        <f>IFERROR(VLOOKUP(Table6[[#This Row],[Affected WTG]],'Basic Data'!$A$3:$E$56,5,0),"")</f>
        <v>2.564102564102564E-2</v>
      </c>
      <c r="K623" s="105">
        <v>2118</v>
      </c>
      <c r="L623" s="39" t="str">
        <f>IFERROR(VLOOKUP(Table6[[#This Row],[Error Code]],'Basic Data'!$T:$U,2,0),"")</f>
        <v>Bus Error - Interbus Failure</v>
      </c>
      <c r="M623" s="346" t="s">
        <v>462</v>
      </c>
      <c r="N623" s="39" t="s">
        <v>1270</v>
      </c>
      <c r="O623" s="347">
        <v>0.83333333333333337</v>
      </c>
      <c r="P623" s="347">
        <v>0.87361111111111112</v>
      </c>
      <c r="Q623" s="347">
        <v>0.875</v>
      </c>
      <c r="R623" s="348">
        <f>IF(Table6[[#This Row],[Work Start TimeStamp]]="","",(Table6[[#This Row],[Work Start TimeStamp]]-Table6[[#This Row],[Fault Start TimeStamp]])*24)</f>
        <v>0.9666666666666659</v>
      </c>
      <c r="S623" s="349">
        <f>(Table6[[#This Row],[Fault Clearance time]]-Table6[[#This Row],[Work Start TimeStamp]])*24</f>
        <v>3.3333333333333215E-2</v>
      </c>
      <c r="T623" s="350">
        <f>(Table6[[#This Row],[Fault Clearance time]]-Table6[[#This Row],[Fault Start TimeStamp]])*24</f>
        <v>0.99999999999999911</v>
      </c>
      <c r="U623" s="346" t="s">
        <v>493</v>
      </c>
      <c r="V623" s="351" t="s">
        <v>463</v>
      </c>
      <c r="W623" s="338">
        <f>Table6[[#This Row],[Breakdown Time]]*(1/39)</f>
        <v>2.5641025641025616E-2</v>
      </c>
      <c r="X623" s="336" t="s">
        <v>465</v>
      </c>
      <c r="Y623" s="352" t="s">
        <v>117</v>
      </c>
      <c r="Z623" s="105">
        <v>4421</v>
      </c>
      <c r="AA623" s="107">
        <v>184.20833333333317</v>
      </c>
      <c r="AB623" s="105" t="s">
        <v>478</v>
      </c>
    </row>
    <row r="624" spans="1:28">
      <c r="A624" s="105">
        <f t="shared" si="9"/>
        <v>623</v>
      </c>
      <c r="B624" s="107">
        <f>YEAR(Table6[[#This Row],[Date]])+IF(MONTH(Table6[[#This Row],[Date]])&gt;=4,1,0)</f>
        <v>2026</v>
      </c>
      <c r="C624" s="105">
        <f>YEAR(Table6[[#This Row],[Date]])</f>
        <v>2025</v>
      </c>
      <c r="D624" s="105" t="s">
        <v>490</v>
      </c>
      <c r="E624" s="119">
        <f>Table6[[#This Row],[Date]]-DAY(Table6[[#This Row],[Date]])+1</f>
        <v>45778</v>
      </c>
      <c r="F624" s="118">
        <v>45803</v>
      </c>
      <c r="G624" s="105" t="s">
        <v>132</v>
      </c>
      <c r="H624" s="39" t="str">
        <f>_xlfn.XLOOKUP(Table6[[#This Row],[Affected WTG]],'Basic Data'!$A:$A,'Basic Data'!$B:$B)</f>
        <v>PWEGPL</v>
      </c>
      <c r="I624" s="39" t="str">
        <f>_xlfn.XLOOKUP(Table6[[#This Row],[Affected WTG]],'Basic Data'!$A:$A,'Basic Data'!$C:$C)</f>
        <v>MSEDCL</v>
      </c>
      <c r="J624" s="345">
        <f>IFERROR(VLOOKUP(Table6[[#This Row],[Affected WTG]],'Basic Data'!$A$3:$E$56,5,0),"")</f>
        <v>2.564102564102564E-2</v>
      </c>
      <c r="K624" s="105" t="s">
        <v>476</v>
      </c>
      <c r="L624" s="39" t="str">
        <f>IFERROR(VLOOKUP(Table6[[#This Row],[Error Code]],'Basic Data'!$T:$U,2,0),"")</f>
        <v>Manual Stop - Preventive Maintenance Activity</v>
      </c>
      <c r="M624" s="346" t="s">
        <v>474</v>
      </c>
      <c r="N624" s="39" t="s">
        <v>230</v>
      </c>
      <c r="O624" s="347">
        <v>0.54513888888888884</v>
      </c>
      <c r="P624" s="347">
        <v>0.54513888888888884</v>
      </c>
      <c r="Q624" s="347">
        <v>0.82708333333333328</v>
      </c>
      <c r="R624" s="348">
        <f>IF(Table6[[#This Row],[Work Start TimeStamp]]="","",(Table6[[#This Row],[Work Start TimeStamp]]-Table6[[#This Row],[Fault Start TimeStamp]])*24)</f>
        <v>0</v>
      </c>
      <c r="S624" s="349">
        <f>(Table6[[#This Row],[Fault Clearance time]]-Table6[[#This Row],[Work Start TimeStamp]])*24</f>
        <v>6.7666666666666666</v>
      </c>
      <c r="T624" s="350">
        <f>(Table6[[#This Row],[Fault Clearance time]]-Table6[[#This Row],[Fault Start TimeStamp]])*24</f>
        <v>6.7666666666666666</v>
      </c>
      <c r="U624" s="346" t="s">
        <v>582</v>
      </c>
      <c r="V624" s="351" t="s">
        <v>463</v>
      </c>
      <c r="W624" s="338">
        <f>Table6[[#This Row],[Breakdown Time]]*(1/39)</f>
        <v>0.1735042735042735</v>
      </c>
      <c r="X624" s="336" t="s">
        <v>467</v>
      </c>
      <c r="Y624" s="352" t="s">
        <v>131</v>
      </c>
      <c r="Z624" s="105">
        <v>3753</v>
      </c>
      <c r="AA624" s="107">
        <v>1058.1375</v>
      </c>
      <c r="AB624" s="105" t="s">
        <v>478</v>
      </c>
    </row>
    <row r="625" spans="1:28">
      <c r="A625" s="105">
        <f t="shared" si="9"/>
        <v>624</v>
      </c>
      <c r="B625" s="107">
        <f>YEAR(Table6[[#This Row],[Date]])+IF(MONTH(Table6[[#This Row],[Date]])&gt;=4,1,0)</f>
        <v>2026</v>
      </c>
      <c r="C625" s="105">
        <f>YEAR(Table6[[#This Row],[Date]])</f>
        <v>2025</v>
      </c>
      <c r="D625" s="105" t="s">
        <v>490</v>
      </c>
      <c r="E625" s="119">
        <f>Table6[[#This Row],[Date]]-DAY(Table6[[#This Row],[Date]])+1</f>
        <v>45778</v>
      </c>
      <c r="F625" s="118">
        <v>45803</v>
      </c>
      <c r="G625" s="105" t="s">
        <v>133</v>
      </c>
      <c r="H625" s="39" t="str">
        <f>_xlfn.XLOOKUP(Table6[[#This Row],[Affected WTG]],'Basic Data'!$A:$A,'Basic Data'!$B:$B)</f>
        <v>PWEGPL</v>
      </c>
      <c r="I625" s="39" t="str">
        <f>_xlfn.XLOOKUP(Table6[[#This Row],[Affected WTG]],'Basic Data'!$A:$A,'Basic Data'!$C:$C)</f>
        <v>MSEDCL</v>
      </c>
      <c r="J625" s="345">
        <f>IFERROR(VLOOKUP(Table6[[#This Row],[Affected WTG]],'Basic Data'!$A$3:$E$56,5,0),"")</f>
        <v>2.564102564102564E-2</v>
      </c>
      <c r="K625" s="105" t="s">
        <v>476</v>
      </c>
      <c r="L625" s="39" t="str">
        <f>IFERROR(VLOOKUP(Table6[[#This Row],[Error Code]],'Basic Data'!$T:$U,2,0),"")</f>
        <v>Manual Stop - Preventive Maintenance Activity</v>
      </c>
      <c r="M625" s="346" t="s">
        <v>474</v>
      </c>
      <c r="N625" s="39" t="s">
        <v>230</v>
      </c>
      <c r="O625" s="347">
        <v>0.47291666666666665</v>
      </c>
      <c r="P625" s="347">
        <v>0.47291666666666665</v>
      </c>
      <c r="Q625" s="347">
        <v>0.76041666666666663</v>
      </c>
      <c r="R625" s="348">
        <f>IF(Table6[[#This Row],[Work Start TimeStamp]]="","",(Table6[[#This Row],[Work Start TimeStamp]]-Table6[[#This Row],[Fault Start TimeStamp]])*24)</f>
        <v>0</v>
      </c>
      <c r="S625" s="349">
        <f>(Table6[[#This Row],[Fault Clearance time]]-Table6[[#This Row],[Work Start TimeStamp]])*24</f>
        <v>6.8999999999999995</v>
      </c>
      <c r="T625" s="350">
        <f>(Table6[[#This Row],[Fault Clearance time]]-Table6[[#This Row],[Fault Start TimeStamp]])*24</f>
        <v>6.8999999999999995</v>
      </c>
      <c r="U625" s="346" t="s">
        <v>582</v>
      </c>
      <c r="V625" s="351" t="s">
        <v>463</v>
      </c>
      <c r="W625" s="338">
        <f>Table6[[#This Row],[Breakdown Time]]*(1/39)</f>
        <v>0.17692307692307691</v>
      </c>
      <c r="X625" s="336" t="s">
        <v>467</v>
      </c>
      <c r="Y625" s="352" t="s">
        <v>134</v>
      </c>
      <c r="Z625" s="105">
        <v>3758</v>
      </c>
      <c r="AA625" s="107">
        <v>1080.425</v>
      </c>
      <c r="AB625" s="105" t="s">
        <v>478</v>
      </c>
    </row>
    <row r="626" spans="1:28">
      <c r="A626" s="105">
        <f t="shared" si="9"/>
        <v>625</v>
      </c>
      <c r="B626" s="107">
        <f>YEAR(Table6[[#This Row],[Date]])+IF(MONTH(Table6[[#This Row],[Date]])&gt;=4,1,0)</f>
        <v>2026</v>
      </c>
      <c r="C626" s="105">
        <f>YEAR(Table6[[#This Row],[Date]])</f>
        <v>2025</v>
      </c>
      <c r="D626" s="105" t="s">
        <v>490</v>
      </c>
      <c r="E626" s="119">
        <f>Table6[[#This Row],[Date]]-DAY(Table6[[#This Row],[Date]])+1</f>
        <v>45778</v>
      </c>
      <c r="F626" s="118">
        <v>45803</v>
      </c>
      <c r="G626" s="105" t="s">
        <v>138</v>
      </c>
      <c r="H626" s="39" t="str">
        <f>_xlfn.XLOOKUP(Table6[[#This Row],[Affected WTG]],'Basic Data'!$A:$A,'Basic Data'!$B:$B)</f>
        <v>PWEGPL</v>
      </c>
      <c r="I626" s="39" t="str">
        <f>_xlfn.XLOOKUP(Table6[[#This Row],[Affected WTG]],'Basic Data'!$A:$A,'Basic Data'!$C:$C)</f>
        <v>MSEDCL</v>
      </c>
      <c r="J626" s="345">
        <f>IFERROR(VLOOKUP(Table6[[#This Row],[Affected WTG]],'Basic Data'!$A$3:$E$56,5,0),"")</f>
        <v>2.564102564102564E-2</v>
      </c>
      <c r="K626" s="105">
        <v>5203</v>
      </c>
      <c r="L626" s="39" t="str">
        <f>IFERROR(VLOOKUP(Table6[[#This Row],[Error Code]],'Basic Data'!$T:$U,2,0),"")</f>
        <v>Heating/Coolant Thermal Magnetic Failure</v>
      </c>
      <c r="M626" s="346" t="s">
        <v>462</v>
      </c>
      <c r="N626" s="39" t="s">
        <v>1270</v>
      </c>
      <c r="O626" s="347">
        <v>0.54305555555555551</v>
      </c>
      <c r="P626" s="347">
        <v>0.56597222222222221</v>
      </c>
      <c r="Q626" s="347">
        <v>0.63194444444444442</v>
      </c>
      <c r="R626" s="348">
        <f>IF(Table6[[#This Row],[Work Start TimeStamp]]="","",(Table6[[#This Row],[Work Start TimeStamp]]-Table6[[#This Row],[Fault Start TimeStamp]])*24)</f>
        <v>0.55000000000000071</v>
      </c>
      <c r="S626" s="349">
        <f>(Table6[[#This Row],[Fault Clearance time]]-Table6[[#This Row],[Work Start TimeStamp]])*24</f>
        <v>1.583333333333333</v>
      </c>
      <c r="T626" s="350">
        <f>(Table6[[#This Row],[Fault Clearance time]]-Table6[[#This Row],[Fault Start TimeStamp]])*24</f>
        <v>2.1333333333333337</v>
      </c>
      <c r="U626" s="346" t="s">
        <v>1179</v>
      </c>
      <c r="V626" s="351" t="s">
        <v>463</v>
      </c>
      <c r="W626" s="338">
        <f>Table6[[#This Row],[Breakdown Time]]*(1/39)</f>
        <v>5.4700854700854708E-2</v>
      </c>
      <c r="X626" s="336" t="s">
        <v>465</v>
      </c>
      <c r="Y626" s="352" t="s">
        <v>140</v>
      </c>
      <c r="Z626" s="105">
        <v>3652</v>
      </c>
      <c r="AA626" s="107">
        <v>324.62222222222226</v>
      </c>
      <c r="AB626" s="105" t="s">
        <v>478</v>
      </c>
    </row>
    <row r="627" spans="1:28">
      <c r="A627" s="105">
        <f t="shared" si="9"/>
        <v>626</v>
      </c>
      <c r="B627" s="107">
        <f>YEAR(Table6[[#This Row],[Date]])+IF(MONTH(Table6[[#This Row],[Date]])&gt;=4,1,0)</f>
        <v>2026</v>
      </c>
      <c r="C627" s="105">
        <f>YEAR(Table6[[#This Row],[Date]])</f>
        <v>2025</v>
      </c>
      <c r="D627" s="105" t="s">
        <v>490</v>
      </c>
      <c r="E627" s="119">
        <f>Table6[[#This Row],[Date]]-DAY(Table6[[#This Row],[Date]])+1</f>
        <v>45778</v>
      </c>
      <c r="F627" s="118">
        <v>45803</v>
      </c>
      <c r="G627" s="105" t="s">
        <v>138</v>
      </c>
      <c r="H627" s="39" t="str">
        <f>_xlfn.XLOOKUP(Table6[[#This Row],[Affected WTG]],'Basic Data'!$A:$A,'Basic Data'!$B:$B)</f>
        <v>PWEGPL</v>
      </c>
      <c r="I627" s="39" t="str">
        <f>_xlfn.XLOOKUP(Table6[[#This Row],[Affected WTG]],'Basic Data'!$A:$A,'Basic Data'!$C:$C)</f>
        <v>MSEDCL</v>
      </c>
      <c r="J627" s="345">
        <f>IFERROR(VLOOKUP(Table6[[#This Row],[Affected WTG]],'Basic Data'!$A$3:$E$56,5,0),"")</f>
        <v>2.564102564102564E-2</v>
      </c>
      <c r="K627" s="105">
        <v>5203</v>
      </c>
      <c r="L627" s="39" t="str">
        <f>IFERROR(VLOOKUP(Table6[[#This Row],[Error Code]],'Basic Data'!$T:$U,2,0),"")</f>
        <v>Heating/Coolant Thermal Magnetic Failure</v>
      </c>
      <c r="M627" s="346" t="s">
        <v>462</v>
      </c>
      <c r="N627" s="39" t="s">
        <v>1270</v>
      </c>
      <c r="O627" s="347">
        <v>0.96944444444444444</v>
      </c>
      <c r="P627" s="347">
        <v>0.98611111111111116</v>
      </c>
      <c r="Q627" s="347">
        <v>0.99930555555555556</v>
      </c>
      <c r="R627" s="348">
        <f>IF(Table6[[#This Row],[Work Start TimeStamp]]="","",(Table6[[#This Row],[Work Start TimeStamp]]-Table6[[#This Row],[Fault Start TimeStamp]])*24)</f>
        <v>0.40000000000000124</v>
      </c>
      <c r="S627" s="349">
        <f>(Table6[[#This Row],[Fault Clearance time]]-Table6[[#This Row],[Work Start TimeStamp]])*24</f>
        <v>0.31666666666666554</v>
      </c>
      <c r="T627" s="350">
        <f>(Table6[[#This Row],[Fault Clearance time]]-Table6[[#This Row],[Fault Start TimeStamp]])*24</f>
        <v>0.71666666666666679</v>
      </c>
      <c r="U627" s="346" t="s">
        <v>500</v>
      </c>
      <c r="V627" s="351" t="s">
        <v>473</v>
      </c>
      <c r="W627" s="338">
        <f>Table6[[#This Row],[Breakdown Time]]*(1/39)</f>
        <v>1.837606837606838E-2</v>
      </c>
      <c r="X627" s="336" t="s">
        <v>465</v>
      </c>
      <c r="Y627" s="352" t="s">
        <v>140</v>
      </c>
      <c r="Z627" s="105">
        <v>3652</v>
      </c>
      <c r="AA627" s="107">
        <v>109.05277777777779</v>
      </c>
      <c r="AB627" s="105" t="s">
        <v>478</v>
      </c>
    </row>
    <row r="628" spans="1:28">
      <c r="A628" s="105">
        <f t="shared" si="9"/>
        <v>627</v>
      </c>
      <c r="B628" s="107">
        <f>YEAR(Table6[[#This Row],[Date]])+IF(MONTH(Table6[[#This Row],[Date]])&gt;=4,1,0)</f>
        <v>2026</v>
      </c>
      <c r="C628" s="105">
        <f>YEAR(Table6[[#This Row],[Date]])</f>
        <v>2025</v>
      </c>
      <c r="D628" s="105" t="s">
        <v>490</v>
      </c>
      <c r="E628" s="119">
        <f>Table6[[#This Row],[Date]]-DAY(Table6[[#This Row],[Date]])+1</f>
        <v>45778</v>
      </c>
      <c r="F628" s="118">
        <v>45803</v>
      </c>
      <c r="G628" s="105" t="s">
        <v>143</v>
      </c>
      <c r="H628" s="39" t="str">
        <f>_xlfn.XLOOKUP(Table6[[#This Row],[Affected WTG]],'Basic Data'!$A:$A,'Basic Data'!$B:$B)</f>
        <v>PWEGPL</v>
      </c>
      <c r="I628" s="39" t="str">
        <f>_xlfn.XLOOKUP(Table6[[#This Row],[Affected WTG]],'Basic Data'!$A:$A,'Basic Data'!$C:$C)</f>
        <v>MSEDCL</v>
      </c>
      <c r="J628" s="345">
        <f>IFERROR(VLOOKUP(Table6[[#This Row],[Affected WTG]],'Basic Data'!$A$3:$E$56,5,0),"")</f>
        <v>2.564102564102564E-2</v>
      </c>
      <c r="K628" s="105">
        <v>208</v>
      </c>
      <c r="L628" s="39" t="str">
        <f>IFERROR(VLOOKUP(Table6[[#This Row],[Error Code]],'Basic Data'!$T:$U,2,0),"")</f>
        <v>HU Pump Drive Failure</v>
      </c>
      <c r="M628" s="346" t="s">
        <v>462</v>
      </c>
      <c r="N628" s="39" t="s">
        <v>1270</v>
      </c>
      <c r="O628" s="347">
        <v>0.67708333333333337</v>
      </c>
      <c r="P628" s="347">
        <v>0.70347222222222228</v>
      </c>
      <c r="Q628" s="347">
        <v>0.72916666666666663</v>
      </c>
      <c r="R628" s="348">
        <f>IF(Table6[[#This Row],[Work Start TimeStamp]]="","",(Table6[[#This Row],[Work Start TimeStamp]]-Table6[[#This Row],[Fault Start TimeStamp]])*24)</f>
        <v>0.63333333333333375</v>
      </c>
      <c r="S628" s="349">
        <f>(Table6[[#This Row],[Fault Clearance time]]-Table6[[#This Row],[Work Start TimeStamp]])*24</f>
        <v>0.61666666666666448</v>
      </c>
      <c r="T628" s="350">
        <f>(Table6[[#This Row],[Fault Clearance time]]-Table6[[#This Row],[Fault Start TimeStamp]])*24</f>
        <v>1.2499999999999982</v>
      </c>
      <c r="U628" s="346" t="s">
        <v>506</v>
      </c>
      <c r="V628" s="351" t="s">
        <v>463</v>
      </c>
      <c r="W628" s="338">
        <f>Table6[[#This Row],[Breakdown Time]]*(1/39)</f>
        <v>3.2051282051282007E-2</v>
      </c>
      <c r="X628" s="336" t="s">
        <v>465</v>
      </c>
      <c r="Y628" s="352" t="s">
        <v>141</v>
      </c>
      <c r="Z628" s="105">
        <v>3649</v>
      </c>
      <c r="AA628" s="107">
        <v>190.05208333333306</v>
      </c>
      <c r="AB628" s="105" t="s">
        <v>478</v>
      </c>
    </row>
    <row r="629" spans="1:28">
      <c r="A629" s="105">
        <f t="shared" si="9"/>
        <v>628</v>
      </c>
      <c r="B629" s="107">
        <f>YEAR(Table6[[#This Row],[Date]])+IF(MONTH(Table6[[#This Row],[Date]])&gt;=4,1,0)</f>
        <v>2026</v>
      </c>
      <c r="C629" s="105">
        <f>YEAR(Table6[[#This Row],[Date]])</f>
        <v>2025</v>
      </c>
      <c r="D629" s="105" t="s">
        <v>490</v>
      </c>
      <c r="E629" s="119">
        <f>Table6[[#This Row],[Date]]-DAY(Table6[[#This Row],[Date]])+1</f>
        <v>45778</v>
      </c>
      <c r="F629" s="118">
        <v>45803</v>
      </c>
      <c r="G629" s="105" t="s">
        <v>153</v>
      </c>
      <c r="H629" s="39" t="str">
        <f>_xlfn.XLOOKUP(Table6[[#This Row],[Affected WTG]],'Basic Data'!$A:$A,'Basic Data'!$B:$B)</f>
        <v>PWEGPL</v>
      </c>
      <c r="I629" s="39" t="str">
        <f>_xlfn.XLOOKUP(Table6[[#This Row],[Affected WTG]],'Basic Data'!$A:$A,'Basic Data'!$C:$C)</f>
        <v>MSEDCL</v>
      </c>
      <c r="J629" s="345">
        <f>IFERROR(VLOOKUP(Table6[[#This Row],[Affected WTG]],'Basic Data'!$A$3:$E$56,5,0),"")</f>
        <v>2.564102564102564E-2</v>
      </c>
      <c r="K629" s="105">
        <v>2118</v>
      </c>
      <c r="L629" s="39" t="str">
        <f>IFERROR(VLOOKUP(Table6[[#This Row],[Error Code]],'Basic Data'!$T:$U,2,0),"")</f>
        <v>Bus Error - Interbus Failure</v>
      </c>
      <c r="M629" s="346" t="s">
        <v>462</v>
      </c>
      <c r="N629" s="39" t="s">
        <v>1270</v>
      </c>
      <c r="O629" s="347">
        <v>0.70833333333333337</v>
      </c>
      <c r="P629" s="347">
        <v>0.74861111111111112</v>
      </c>
      <c r="Q629" s="347">
        <v>0.75</v>
      </c>
      <c r="R629" s="348">
        <f>IF(Table6[[#This Row],[Work Start TimeStamp]]="","",(Table6[[#This Row],[Work Start TimeStamp]]-Table6[[#This Row],[Fault Start TimeStamp]])*24)</f>
        <v>0.9666666666666659</v>
      </c>
      <c r="S629" s="349">
        <f>(Table6[[#This Row],[Fault Clearance time]]-Table6[[#This Row],[Work Start TimeStamp]])*24</f>
        <v>3.3333333333333215E-2</v>
      </c>
      <c r="T629" s="350">
        <f>(Table6[[#This Row],[Fault Clearance time]]-Table6[[#This Row],[Fault Start TimeStamp]])*24</f>
        <v>0.99999999999999911</v>
      </c>
      <c r="U629" s="346" t="s">
        <v>493</v>
      </c>
      <c r="V629" s="351" t="s">
        <v>463</v>
      </c>
      <c r="W629" s="338">
        <f>Table6[[#This Row],[Breakdown Time]]*(1/39)</f>
        <v>2.5641025641025616E-2</v>
      </c>
      <c r="X629" s="336" t="s">
        <v>465</v>
      </c>
      <c r="Y629" s="352" t="s">
        <v>152</v>
      </c>
      <c r="Z629" s="105">
        <v>3529</v>
      </c>
      <c r="AA629" s="107">
        <v>147.04166666666652</v>
      </c>
      <c r="AB629" s="105" t="s">
        <v>478</v>
      </c>
    </row>
    <row r="630" spans="1:28">
      <c r="A630" s="105">
        <f t="shared" si="9"/>
        <v>629</v>
      </c>
      <c r="B630" s="107">
        <f>YEAR(Table6[[#This Row],[Date]])+IF(MONTH(Table6[[#This Row],[Date]])&gt;=4,1,0)</f>
        <v>2026</v>
      </c>
      <c r="C630" s="105">
        <f>YEAR(Table6[[#This Row],[Date]])</f>
        <v>2025</v>
      </c>
      <c r="D630" s="105" t="s">
        <v>490</v>
      </c>
      <c r="E630" s="119">
        <f>Table6[[#This Row],[Date]]-DAY(Table6[[#This Row],[Date]])+1</f>
        <v>45778</v>
      </c>
      <c r="F630" s="118">
        <v>45804</v>
      </c>
      <c r="G630" s="105" t="s">
        <v>144</v>
      </c>
      <c r="H630" s="39" t="str">
        <f>_xlfn.XLOOKUP(Table6[[#This Row],[Affected WTG]],'Basic Data'!$A:$A,'Basic Data'!$B:$B)</f>
        <v>PWEGPL</v>
      </c>
      <c r="I630" s="39" t="str">
        <f>_xlfn.XLOOKUP(Table6[[#This Row],[Affected WTG]],'Basic Data'!$A:$A,'Basic Data'!$C:$C)</f>
        <v>MSEDCL</v>
      </c>
      <c r="J630" s="345">
        <f>IFERROR(VLOOKUP(Table6[[#This Row],[Affected WTG]],'Basic Data'!$A$3:$E$56,5,0),"")</f>
        <v>2.564102564102564E-2</v>
      </c>
      <c r="K630" s="105" t="s">
        <v>492</v>
      </c>
      <c r="L630" s="39" t="str">
        <f>IFERROR(VLOOKUP(Table6[[#This Row],[Error Code]],'Basic Data'!$T:$U,2,0),"")</f>
        <v>Manual Stop - Safety Related</v>
      </c>
      <c r="M630" s="346" t="s">
        <v>481</v>
      </c>
      <c r="N630" s="39" t="s">
        <v>1269</v>
      </c>
      <c r="O630" s="347">
        <v>0</v>
      </c>
      <c r="P630" s="347">
        <v>0.99930555555555556</v>
      </c>
      <c r="Q630" s="347">
        <v>0.99930555555555556</v>
      </c>
      <c r="R630" s="348">
        <f>IF(Table6[[#This Row],[Work Start TimeStamp]]="","",(Table6[[#This Row],[Work Start TimeStamp]]-Table6[[#This Row],[Fault Start TimeStamp]])*24)</f>
        <v>23.983333333333334</v>
      </c>
      <c r="S630" s="349">
        <f>(Table6[[#This Row],[Fault Clearance time]]-Table6[[#This Row],[Work Start TimeStamp]])*24</f>
        <v>0</v>
      </c>
      <c r="T630" s="350">
        <f>(Table6[[#This Row],[Fault Clearance time]]-Table6[[#This Row],[Fault Start TimeStamp]])*24</f>
        <v>23.983333333333334</v>
      </c>
      <c r="U630" s="346" t="s">
        <v>498</v>
      </c>
      <c r="V630" s="351" t="s">
        <v>473</v>
      </c>
      <c r="W630" s="338">
        <f>Table6[[#This Row],[Breakdown Time]]*(1/39)</f>
        <v>0.61495726495726499</v>
      </c>
      <c r="X630" s="336" t="s">
        <v>468</v>
      </c>
      <c r="Y630" s="352" t="s">
        <v>141</v>
      </c>
      <c r="Z630" s="105">
        <v>11859</v>
      </c>
      <c r="AA630" s="107">
        <v>11850.764583333334</v>
      </c>
      <c r="AB630" s="105" t="s">
        <v>478</v>
      </c>
    </row>
    <row r="631" spans="1:28">
      <c r="A631" s="105">
        <f t="shared" si="9"/>
        <v>630</v>
      </c>
      <c r="B631" s="107">
        <f>YEAR(Table6[[#This Row],[Date]])+IF(MONTH(Table6[[#This Row],[Date]])&gt;=4,1,0)</f>
        <v>2026</v>
      </c>
      <c r="C631" s="105">
        <f>YEAR(Table6[[#This Row],[Date]])</f>
        <v>2025</v>
      </c>
      <c r="D631" s="105" t="s">
        <v>490</v>
      </c>
      <c r="E631" s="119">
        <f>Table6[[#This Row],[Date]]-DAY(Table6[[#This Row],[Date]])+1</f>
        <v>45778</v>
      </c>
      <c r="F631" s="118">
        <v>45804</v>
      </c>
      <c r="G631" s="105" t="s">
        <v>142</v>
      </c>
      <c r="H631" s="39" t="str">
        <f>_xlfn.XLOOKUP(Table6[[#This Row],[Affected WTG]],'Basic Data'!$A:$A,'Basic Data'!$B:$B)</f>
        <v>PWEGPL</v>
      </c>
      <c r="I631" s="39" t="str">
        <f>_xlfn.XLOOKUP(Table6[[#This Row],[Affected WTG]],'Basic Data'!$A:$A,'Basic Data'!$C:$C)</f>
        <v>MSEDCL</v>
      </c>
      <c r="J631" s="345">
        <f>IFERROR(VLOOKUP(Table6[[#This Row],[Affected WTG]],'Basic Data'!$A$3:$E$56,5,0),"")</f>
        <v>2.564102564102564E-2</v>
      </c>
      <c r="K631" s="105" t="s">
        <v>492</v>
      </c>
      <c r="L631" s="39" t="str">
        <f>IFERROR(VLOOKUP(Table6[[#This Row],[Error Code]],'Basic Data'!$T:$U,2,0),"")</f>
        <v>Manual Stop - Safety Related</v>
      </c>
      <c r="M631" s="346" t="s">
        <v>481</v>
      </c>
      <c r="N631" s="39" t="s">
        <v>1269</v>
      </c>
      <c r="O631" s="347">
        <v>0</v>
      </c>
      <c r="P631" s="347">
        <v>0.99930555555555556</v>
      </c>
      <c r="Q631" s="347">
        <v>0.99930555555555556</v>
      </c>
      <c r="R631" s="348">
        <f>IF(Table6[[#This Row],[Work Start TimeStamp]]="","",(Table6[[#This Row],[Work Start TimeStamp]]-Table6[[#This Row],[Fault Start TimeStamp]])*24)</f>
        <v>23.983333333333334</v>
      </c>
      <c r="S631" s="349">
        <f>(Table6[[#This Row],[Fault Clearance time]]-Table6[[#This Row],[Work Start TimeStamp]])*24</f>
        <v>0</v>
      </c>
      <c r="T631" s="350">
        <f>(Table6[[#This Row],[Fault Clearance time]]-Table6[[#This Row],[Fault Start TimeStamp]])*24</f>
        <v>23.983333333333334</v>
      </c>
      <c r="U631" s="346" t="s">
        <v>498</v>
      </c>
      <c r="V631" s="351" t="s">
        <v>473</v>
      </c>
      <c r="W631" s="338">
        <f>Table6[[#This Row],[Breakdown Time]]*(1/39)</f>
        <v>0.61495726495726499</v>
      </c>
      <c r="X631" s="336" t="s">
        <v>468</v>
      </c>
      <c r="Y631" s="352" t="s">
        <v>141</v>
      </c>
      <c r="Z631" s="105">
        <v>11859</v>
      </c>
      <c r="AA631" s="107">
        <v>11850.764583333334</v>
      </c>
      <c r="AB631" s="105" t="s">
        <v>478</v>
      </c>
    </row>
    <row r="632" spans="1:28">
      <c r="A632" s="105">
        <f t="shared" si="9"/>
        <v>631</v>
      </c>
      <c r="B632" s="107">
        <f>YEAR(Table6[[#This Row],[Date]])+IF(MONTH(Table6[[#This Row],[Date]])&gt;=4,1,0)</f>
        <v>2026</v>
      </c>
      <c r="C632" s="105">
        <f>YEAR(Table6[[#This Row],[Date]])</f>
        <v>2025</v>
      </c>
      <c r="D632" s="105" t="s">
        <v>490</v>
      </c>
      <c r="E632" s="119">
        <f>Table6[[#This Row],[Date]]-DAY(Table6[[#This Row],[Date]])+1</f>
        <v>45778</v>
      </c>
      <c r="F632" s="118">
        <v>45804</v>
      </c>
      <c r="G632" s="105" t="s">
        <v>115</v>
      </c>
      <c r="H632" s="39" t="str">
        <f>_xlfn.XLOOKUP(Table6[[#This Row],[Affected WTG]],'Basic Data'!$A:$A,'Basic Data'!$B:$B)</f>
        <v>PWEGPL</v>
      </c>
      <c r="I632" s="39" t="str">
        <f>_xlfn.XLOOKUP(Table6[[#This Row],[Affected WTG]],'Basic Data'!$A:$A,'Basic Data'!$C:$C)</f>
        <v>MSEDCL</v>
      </c>
      <c r="J632" s="345">
        <f>IFERROR(VLOOKUP(Table6[[#This Row],[Affected WTG]],'Basic Data'!$A$3:$E$56,5,0),"")</f>
        <v>2.564102564102564E-2</v>
      </c>
      <c r="K632" s="105">
        <v>5216</v>
      </c>
      <c r="L632" s="39" t="str">
        <f>IFERROR(VLOOKUP(Table6[[#This Row],[Error Code]],'Basic Data'!$T:$U,2,0),"")</f>
        <v>Grid Voltage Failure</v>
      </c>
      <c r="M632" s="346" t="s">
        <v>462</v>
      </c>
      <c r="N632" s="39" t="s">
        <v>1270</v>
      </c>
      <c r="O632" s="347">
        <v>0.82638888888888884</v>
      </c>
      <c r="P632" s="347">
        <v>0.82638888888888884</v>
      </c>
      <c r="Q632" s="347">
        <v>0.99930555555555556</v>
      </c>
      <c r="R632" s="348">
        <f>IF(Table6[[#This Row],[Work Start TimeStamp]]="","",(Table6[[#This Row],[Work Start TimeStamp]]-Table6[[#This Row],[Fault Start TimeStamp]])*24)</f>
        <v>0</v>
      </c>
      <c r="S632" s="349">
        <f>(Table6[[#This Row],[Fault Clearance time]]-Table6[[#This Row],[Work Start TimeStamp]])*24</f>
        <v>4.1500000000000012</v>
      </c>
      <c r="T632" s="350">
        <f>(Table6[[#This Row],[Fault Clearance time]]-Table6[[#This Row],[Fault Start TimeStamp]])*24</f>
        <v>4.1500000000000012</v>
      </c>
      <c r="U632" s="346" t="s">
        <v>1181</v>
      </c>
      <c r="V632" s="351" t="s">
        <v>463</v>
      </c>
      <c r="W632" s="338">
        <f>Table6[[#This Row],[Breakdown Time]]*(1/39)</f>
        <v>0.10641025641025643</v>
      </c>
      <c r="X632" s="336" t="s">
        <v>465</v>
      </c>
      <c r="Y632" s="352" t="s">
        <v>121</v>
      </c>
      <c r="Z632" s="105">
        <v>10615</v>
      </c>
      <c r="AA632" s="107">
        <v>1835.5104166666672</v>
      </c>
      <c r="AB632" s="105" t="s">
        <v>478</v>
      </c>
    </row>
    <row r="633" spans="1:28">
      <c r="A633" s="105">
        <f t="shared" si="9"/>
        <v>632</v>
      </c>
      <c r="B633" s="107">
        <f>YEAR(Table6[[#This Row],[Date]])+IF(MONTH(Table6[[#This Row],[Date]])&gt;=4,1,0)</f>
        <v>2026</v>
      </c>
      <c r="C633" s="105">
        <f>YEAR(Table6[[#This Row],[Date]])</f>
        <v>2025</v>
      </c>
      <c r="D633" s="105" t="s">
        <v>490</v>
      </c>
      <c r="E633" s="119">
        <f>Table6[[#This Row],[Date]]-DAY(Table6[[#This Row],[Date]])+1</f>
        <v>45778</v>
      </c>
      <c r="F633" s="118">
        <v>45804</v>
      </c>
      <c r="G633" s="105" t="s">
        <v>118</v>
      </c>
      <c r="H633" s="39" t="str">
        <f>_xlfn.XLOOKUP(Table6[[#This Row],[Affected WTG]],'Basic Data'!$A:$A,'Basic Data'!$B:$B)</f>
        <v>PWEGPL</v>
      </c>
      <c r="I633" s="39" t="str">
        <f>_xlfn.XLOOKUP(Table6[[#This Row],[Affected WTG]],'Basic Data'!$A:$A,'Basic Data'!$C:$C)</f>
        <v>MSEDCL</v>
      </c>
      <c r="J633" s="345">
        <f>IFERROR(VLOOKUP(Table6[[#This Row],[Affected WTG]],'Basic Data'!$A$3:$E$56,5,0),"")</f>
        <v>2.564102564102564E-2</v>
      </c>
      <c r="K633" s="105" t="s">
        <v>477</v>
      </c>
      <c r="L633" s="39" t="str">
        <f>IFERROR(VLOOKUP(Table6[[#This Row],[Error Code]],'Basic Data'!$T:$U,2,0),"")</f>
        <v>Manual Stop - Audit</v>
      </c>
      <c r="M633" s="346" t="s">
        <v>507</v>
      </c>
      <c r="N633" s="39" t="s">
        <v>230</v>
      </c>
      <c r="O633" s="347">
        <v>0.5625</v>
      </c>
      <c r="P633" s="347">
        <v>0.5625</v>
      </c>
      <c r="Q633" s="347">
        <v>0.625</v>
      </c>
      <c r="R633" s="348">
        <f>IF(Table6[[#This Row],[Work Start TimeStamp]]="","",(Table6[[#This Row],[Work Start TimeStamp]]-Table6[[#This Row],[Fault Start TimeStamp]])*24)</f>
        <v>0</v>
      </c>
      <c r="S633" s="349">
        <f>(Table6[[#This Row],[Fault Clearance time]]-Table6[[#This Row],[Work Start TimeStamp]])*24</f>
        <v>1.5</v>
      </c>
      <c r="T633" s="350">
        <f>(Table6[[#This Row],[Fault Clearance time]]-Table6[[#This Row],[Fault Start TimeStamp]])*24</f>
        <v>1.5</v>
      </c>
      <c r="U633" s="346" t="s">
        <v>1180</v>
      </c>
      <c r="V633" s="351" t="s">
        <v>463</v>
      </c>
      <c r="W633" s="338">
        <f>Table6[[#This Row],[Breakdown Time]]*(1/39)</f>
        <v>3.8461538461538464E-2</v>
      </c>
      <c r="X633" s="336" t="s">
        <v>464</v>
      </c>
      <c r="Y633" s="352" t="s">
        <v>117</v>
      </c>
      <c r="Z633" s="105">
        <v>10623</v>
      </c>
      <c r="AA633" s="107">
        <v>663.9375</v>
      </c>
      <c r="AB633" s="105" t="s">
        <v>478</v>
      </c>
    </row>
    <row r="634" spans="1:28">
      <c r="A634" s="105">
        <f t="shared" si="9"/>
        <v>633</v>
      </c>
      <c r="B634" s="107">
        <f>YEAR(Table6[[#This Row],[Date]])+IF(MONTH(Table6[[#This Row],[Date]])&gt;=4,1,0)</f>
        <v>2026</v>
      </c>
      <c r="C634" s="105">
        <f>YEAR(Table6[[#This Row],[Date]])</f>
        <v>2025</v>
      </c>
      <c r="D634" s="105" t="s">
        <v>490</v>
      </c>
      <c r="E634" s="119">
        <f>Table6[[#This Row],[Date]]-DAY(Table6[[#This Row],[Date]])+1</f>
        <v>45778</v>
      </c>
      <c r="F634" s="118">
        <v>45804</v>
      </c>
      <c r="G634" s="105" t="s">
        <v>120</v>
      </c>
      <c r="H634" s="39" t="str">
        <f>_xlfn.XLOOKUP(Table6[[#This Row],[Affected WTG]],'Basic Data'!$A:$A,'Basic Data'!$B:$B)</f>
        <v>PWEGPL</v>
      </c>
      <c r="I634" s="39" t="str">
        <f>_xlfn.XLOOKUP(Table6[[#This Row],[Affected WTG]],'Basic Data'!$A:$A,'Basic Data'!$C:$C)</f>
        <v>MSEDCL</v>
      </c>
      <c r="J634" s="345">
        <f>IFERROR(VLOOKUP(Table6[[#This Row],[Affected WTG]],'Basic Data'!$A$3:$E$56,5,0),"")</f>
        <v>2.564102564102564E-2</v>
      </c>
      <c r="K634" s="105" t="s">
        <v>477</v>
      </c>
      <c r="L634" s="39" t="str">
        <f>IFERROR(VLOOKUP(Table6[[#This Row],[Error Code]],'Basic Data'!$T:$U,2,0),"")</f>
        <v>Manual Stop - Audit</v>
      </c>
      <c r="M634" s="346" t="s">
        <v>507</v>
      </c>
      <c r="N634" s="39" t="s">
        <v>230</v>
      </c>
      <c r="O634" s="347">
        <v>0.46527777777777779</v>
      </c>
      <c r="P634" s="347">
        <v>0.46527777777777779</v>
      </c>
      <c r="Q634" s="347">
        <v>0.54166666666666663</v>
      </c>
      <c r="R634" s="348">
        <f>IF(Table6[[#This Row],[Work Start TimeStamp]]="","",(Table6[[#This Row],[Work Start TimeStamp]]-Table6[[#This Row],[Fault Start TimeStamp]])*24)</f>
        <v>0</v>
      </c>
      <c r="S634" s="349">
        <f>(Table6[[#This Row],[Fault Clearance time]]-Table6[[#This Row],[Work Start TimeStamp]])*24</f>
        <v>1.8333333333333321</v>
      </c>
      <c r="T634" s="350">
        <f>(Table6[[#This Row],[Fault Clearance time]]-Table6[[#This Row],[Fault Start TimeStamp]])*24</f>
        <v>1.8333333333333321</v>
      </c>
      <c r="U634" s="346" t="s">
        <v>1180</v>
      </c>
      <c r="V634" s="351" t="s">
        <v>463</v>
      </c>
      <c r="W634" s="338">
        <f>Table6[[#This Row],[Breakdown Time]]*(1/39)</f>
        <v>4.7008547008546973E-2</v>
      </c>
      <c r="X634" s="336" t="s">
        <v>464</v>
      </c>
      <c r="Y634" s="352" t="s">
        <v>117</v>
      </c>
      <c r="Z634" s="105">
        <v>10623</v>
      </c>
      <c r="AA634" s="107">
        <v>811.47916666666617</v>
      </c>
      <c r="AB634" s="105" t="s">
        <v>478</v>
      </c>
    </row>
    <row r="635" spans="1:28">
      <c r="A635" s="105">
        <f t="shared" si="9"/>
        <v>634</v>
      </c>
      <c r="B635" s="107">
        <f>YEAR(Table6[[#This Row],[Date]])+IF(MONTH(Table6[[#This Row],[Date]])&gt;=4,1,0)</f>
        <v>2026</v>
      </c>
      <c r="C635" s="105">
        <f>YEAR(Table6[[#This Row],[Date]])</f>
        <v>2025</v>
      </c>
      <c r="D635" s="105" t="s">
        <v>490</v>
      </c>
      <c r="E635" s="119">
        <f>Table6[[#This Row],[Date]]-DAY(Table6[[#This Row],[Date]])+1</f>
        <v>45778</v>
      </c>
      <c r="F635" s="118">
        <v>45804</v>
      </c>
      <c r="G635" s="105" t="s">
        <v>134</v>
      </c>
      <c r="H635" s="39" t="str">
        <f>_xlfn.XLOOKUP(Table6[[#This Row],[Affected WTG]],'Basic Data'!$A:$A,'Basic Data'!$B:$B)</f>
        <v>PWEGPL</v>
      </c>
      <c r="I635" s="39" t="str">
        <f>_xlfn.XLOOKUP(Table6[[#This Row],[Affected WTG]],'Basic Data'!$A:$A,'Basic Data'!$C:$C)</f>
        <v>MSEDCL</v>
      </c>
      <c r="J635" s="345">
        <f>IFERROR(VLOOKUP(Table6[[#This Row],[Affected WTG]],'Basic Data'!$A$3:$E$56,5,0),"")</f>
        <v>2.564102564102564E-2</v>
      </c>
      <c r="K635" s="105" t="s">
        <v>476</v>
      </c>
      <c r="L635" s="39" t="str">
        <f>IFERROR(VLOOKUP(Table6[[#This Row],[Error Code]],'Basic Data'!$T:$U,2,0),"")</f>
        <v>Manual Stop - Preventive Maintenance Activity</v>
      </c>
      <c r="M635" s="346" t="s">
        <v>474</v>
      </c>
      <c r="N635" s="39" t="s">
        <v>230</v>
      </c>
      <c r="O635" s="347">
        <v>0.48541666666666666</v>
      </c>
      <c r="P635" s="347">
        <v>0.48541666666666666</v>
      </c>
      <c r="Q635" s="347">
        <v>0.77500000000000002</v>
      </c>
      <c r="R635" s="348">
        <f>IF(Table6[[#This Row],[Work Start TimeStamp]]="","",(Table6[[#This Row],[Work Start TimeStamp]]-Table6[[#This Row],[Fault Start TimeStamp]])*24)</f>
        <v>0</v>
      </c>
      <c r="S635" s="349">
        <f>(Table6[[#This Row],[Fault Clearance time]]-Table6[[#This Row],[Work Start TimeStamp]])*24</f>
        <v>6.9500000000000011</v>
      </c>
      <c r="T635" s="350">
        <f>(Table6[[#This Row],[Fault Clearance time]]-Table6[[#This Row],[Fault Start TimeStamp]])*24</f>
        <v>6.9500000000000011</v>
      </c>
      <c r="U635" s="346" t="s">
        <v>582</v>
      </c>
      <c r="V635" s="351" t="s">
        <v>463</v>
      </c>
      <c r="W635" s="338">
        <f>Table6[[#This Row],[Breakdown Time]]*(1/39)</f>
        <v>0.17820512820512824</v>
      </c>
      <c r="X635" s="336" t="s">
        <v>467</v>
      </c>
      <c r="Y635" s="352" t="s">
        <v>133</v>
      </c>
      <c r="Z635" s="105">
        <v>14782</v>
      </c>
      <c r="AA635" s="107">
        <v>4280.6208333333334</v>
      </c>
      <c r="AB635" s="105" t="s">
        <v>478</v>
      </c>
    </row>
    <row r="636" spans="1:28">
      <c r="A636" s="105">
        <f t="shared" si="9"/>
        <v>635</v>
      </c>
      <c r="B636" s="107">
        <f>YEAR(Table6[[#This Row],[Date]])+IF(MONTH(Table6[[#This Row],[Date]])&gt;=4,1,0)</f>
        <v>2026</v>
      </c>
      <c r="C636" s="105">
        <f>YEAR(Table6[[#This Row],[Date]])</f>
        <v>2025</v>
      </c>
      <c r="D636" s="105" t="s">
        <v>490</v>
      </c>
      <c r="E636" s="119">
        <f>Table6[[#This Row],[Date]]-DAY(Table6[[#This Row],[Date]])+1</f>
        <v>45778</v>
      </c>
      <c r="F636" s="118">
        <v>45804</v>
      </c>
      <c r="G636" s="105" t="s">
        <v>138</v>
      </c>
      <c r="H636" s="39" t="str">
        <f>_xlfn.XLOOKUP(Table6[[#This Row],[Affected WTG]],'Basic Data'!$A:$A,'Basic Data'!$B:$B)</f>
        <v>PWEGPL</v>
      </c>
      <c r="I636" s="39" t="str">
        <f>_xlfn.XLOOKUP(Table6[[#This Row],[Affected WTG]],'Basic Data'!$A:$A,'Basic Data'!$C:$C)</f>
        <v>MSEDCL</v>
      </c>
      <c r="J636" s="345">
        <f>IFERROR(VLOOKUP(Table6[[#This Row],[Affected WTG]],'Basic Data'!$A$3:$E$56,5,0),"")</f>
        <v>2.564102564102564E-2</v>
      </c>
      <c r="K636" s="105">
        <v>5203</v>
      </c>
      <c r="L636" s="39" t="str">
        <f>IFERROR(VLOOKUP(Table6[[#This Row],[Error Code]],'Basic Data'!$T:$U,2,0),"")</f>
        <v>Heating/Coolant Thermal Magnetic Failure</v>
      </c>
      <c r="M636" s="346" t="s">
        <v>462</v>
      </c>
      <c r="N636" s="39" t="s">
        <v>1270</v>
      </c>
      <c r="O636" s="347">
        <v>0</v>
      </c>
      <c r="P636" s="347">
        <v>0</v>
      </c>
      <c r="Q636" s="347">
        <v>5.4166666666666669E-2</v>
      </c>
      <c r="R636" s="348">
        <f>IF(Table6[[#This Row],[Work Start TimeStamp]]="","",(Table6[[#This Row],[Work Start TimeStamp]]-Table6[[#This Row],[Fault Start TimeStamp]])*24)</f>
        <v>0</v>
      </c>
      <c r="S636" s="349">
        <f>(Table6[[#This Row],[Fault Clearance time]]-Table6[[#This Row],[Work Start TimeStamp]])*24</f>
        <v>1.3</v>
      </c>
      <c r="T636" s="350">
        <f>(Table6[[#This Row],[Fault Clearance time]]-Table6[[#This Row],[Fault Start TimeStamp]])*24</f>
        <v>1.3</v>
      </c>
      <c r="U636" s="346" t="s">
        <v>525</v>
      </c>
      <c r="V636" s="351" t="s">
        <v>463</v>
      </c>
      <c r="W636" s="338">
        <f>Table6[[#This Row],[Breakdown Time]]*(1/39)</f>
        <v>3.3333333333333333E-2</v>
      </c>
      <c r="X636" s="336" t="s">
        <v>465</v>
      </c>
      <c r="Y636" s="352" t="s">
        <v>140</v>
      </c>
      <c r="Z636" s="105">
        <v>11852</v>
      </c>
      <c r="AA636" s="107">
        <v>641.98333333333335</v>
      </c>
      <c r="AB636" s="105" t="s">
        <v>478</v>
      </c>
    </row>
    <row r="637" spans="1:28">
      <c r="A637" s="105">
        <f t="shared" si="9"/>
        <v>636</v>
      </c>
      <c r="B637" s="107">
        <f>YEAR(Table6[[#This Row],[Date]])+IF(MONTH(Table6[[#This Row],[Date]])&gt;=4,1,0)</f>
        <v>2026</v>
      </c>
      <c r="C637" s="105">
        <f>YEAR(Table6[[#This Row],[Date]])</f>
        <v>2025</v>
      </c>
      <c r="D637" s="105" t="s">
        <v>490</v>
      </c>
      <c r="E637" s="119">
        <f>Table6[[#This Row],[Date]]-DAY(Table6[[#This Row],[Date]])+1</f>
        <v>45778</v>
      </c>
      <c r="F637" s="118">
        <v>45804</v>
      </c>
      <c r="G637" s="105" t="s">
        <v>143</v>
      </c>
      <c r="H637" s="39" t="str">
        <f>_xlfn.XLOOKUP(Table6[[#This Row],[Affected WTG]],'Basic Data'!$A:$A,'Basic Data'!$B:$B)</f>
        <v>PWEGPL</v>
      </c>
      <c r="I637" s="39" t="str">
        <f>_xlfn.XLOOKUP(Table6[[#This Row],[Affected WTG]],'Basic Data'!$A:$A,'Basic Data'!$C:$C)</f>
        <v>MSEDCL</v>
      </c>
      <c r="J637" s="345">
        <f>IFERROR(VLOOKUP(Table6[[#This Row],[Affected WTG]],'Basic Data'!$A$3:$E$56,5,0),"")</f>
        <v>2.564102564102564E-2</v>
      </c>
      <c r="K637" s="105" t="s">
        <v>477</v>
      </c>
      <c r="L637" s="39" t="str">
        <f>IFERROR(VLOOKUP(Table6[[#This Row],[Error Code]],'Basic Data'!$T:$U,2,0),"")</f>
        <v>Manual Stop - Audit</v>
      </c>
      <c r="M637" s="346" t="s">
        <v>507</v>
      </c>
      <c r="N637" s="39" t="s">
        <v>230</v>
      </c>
      <c r="O637" s="347">
        <v>0.47222222222222221</v>
      </c>
      <c r="P637" s="347">
        <v>0.47222222222222221</v>
      </c>
      <c r="Q637" s="347">
        <v>0.52777777777777779</v>
      </c>
      <c r="R637" s="348">
        <f>IF(Table6[[#This Row],[Work Start TimeStamp]]="","",(Table6[[#This Row],[Work Start TimeStamp]]-Table6[[#This Row],[Fault Start TimeStamp]])*24)</f>
        <v>0</v>
      </c>
      <c r="S637" s="349">
        <f>(Table6[[#This Row],[Fault Clearance time]]-Table6[[#This Row],[Work Start TimeStamp]])*24</f>
        <v>1.3333333333333339</v>
      </c>
      <c r="T637" s="350">
        <f>(Table6[[#This Row],[Fault Clearance time]]-Table6[[#This Row],[Fault Start TimeStamp]])*24</f>
        <v>1.3333333333333339</v>
      </c>
      <c r="U637" s="346" t="s">
        <v>1180</v>
      </c>
      <c r="V637" s="351" t="s">
        <v>463</v>
      </c>
      <c r="W637" s="338">
        <f>Table6[[#This Row],[Breakdown Time]]*(1/39)</f>
        <v>3.4188034188034205E-2</v>
      </c>
      <c r="X637" s="336" t="s">
        <v>464</v>
      </c>
      <c r="Y637" s="352" t="s">
        <v>141</v>
      </c>
      <c r="Z637" s="105">
        <v>11859</v>
      </c>
      <c r="AA637" s="107">
        <v>658.8333333333336</v>
      </c>
      <c r="AB637" s="105" t="s">
        <v>478</v>
      </c>
    </row>
    <row r="638" spans="1:28">
      <c r="A638" s="105">
        <f t="shared" si="9"/>
        <v>637</v>
      </c>
      <c r="B638" s="107">
        <f>YEAR(Table6[[#This Row],[Date]])+IF(MONTH(Table6[[#This Row],[Date]])&gt;=4,1,0)</f>
        <v>2026</v>
      </c>
      <c r="C638" s="105">
        <f>YEAR(Table6[[#This Row],[Date]])</f>
        <v>2025</v>
      </c>
      <c r="D638" s="105" t="s">
        <v>490</v>
      </c>
      <c r="E638" s="119">
        <f>Table6[[#This Row],[Date]]-DAY(Table6[[#This Row],[Date]])+1</f>
        <v>45778</v>
      </c>
      <c r="F638" s="118">
        <v>45804</v>
      </c>
      <c r="G638" s="105" t="s">
        <v>146</v>
      </c>
      <c r="H638" s="39" t="str">
        <f>_xlfn.XLOOKUP(Table6[[#This Row],[Affected WTG]],'Basic Data'!$A:$A,'Basic Data'!$B:$B)</f>
        <v>PWEGPL</v>
      </c>
      <c r="I638" s="39" t="str">
        <f>_xlfn.XLOOKUP(Table6[[#This Row],[Affected WTG]],'Basic Data'!$A:$A,'Basic Data'!$C:$C)</f>
        <v>MSEDCL</v>
      </c>
      <c r="J638" s="345">
        <f>IFERROR(VLOOKUP(Table6[[#This Row],[Affected WTG]],'Basic Data'!$A$3:$E$56,5,0),"")</f>
        <v>2.564102564102564E-2</v>
      </c>
      <c r="K638" s="105" t="s">
        <v>477</v>
      </c>
      <c r="L638" s="39" t="str">
        <f>IFERROR(VLOOKUP(Table6[[#This Row],[Error Code]],'Basic Data'!$T:$U,2,0),"")</f>
        <v>Manual Stop - Audit</v>
      </c>
      <c r="M638" s="346" t="s">
        <v>507</v>
      </c>
      <c r="N638" s="39" t="s">
        <v>230</v>
      </c>
      <c r="O638" s="347">
        <v>0.54861111111111116</v>
      </c>
      <c r="P638" s="347">
        <v>0.54861111111111116</v>
      </c>
      <c r="Q638" s="347">
        <v>0.59722222222222221</v>
      </c>
      <c r="R638" s="348">
        <f>IF(Table6[[#This Row],[Work Start TimeStamp]]="","",(Table6[[#This Row],[Work Start TimeStamp]]-Table6[[#This Row],[Fault Start TimeStamp]])*24)</f>
        <v>0</v>
      </c>
      <c r="S638" s="349">
        <f>(Table6[[#This Row],[Fault Clearance time]]-Table6[[#This Row],[Work Start TimeStamp]])*24</f>
        <v>1.1666666666666652</v>
      </c>
      <c r="T638" s="350">
        <f>(Table6[[#This Row],[Fault Clearance time]]-Table6[[#This Row],[Fault Start TimeStamp]])*24</f>
        <v>1.1666666666666652</v>
      </c>
      <c r="U638" s="346" t="s">
        <v>1180</v>
      </c>
      <c r="V638" s="351" t="s">
        <v>463</v>
      </c>
      <c r="W638" s="338">
        <f>Table6[[#This Row],[Breakdown Time]]*(1/39)</f>
        <v>2.9914529914529874E-2</v>
      </c>
      <c r="X638" s="336" t="s">
        <v>464</v>
      </c>
      <c r="Y638" s="352" t="s">
        <v>147</v>
      </c>
      <c r="Z638" s="105">
        <v>10421</v>
      </c>
      <c r="AA638" s="107">
        <v>506.57638888888823</v>
      </c>
      <c r="AB638" s="105" t="s">
        <v>478</v>
      </c>
    </row>
    <row r="639" spans="1:28">
      <c r="A639" s="105">
        <f t="shared" si="9"/>
        <v>638</v>
      </c>
      <c r="B639" s="107">
        <f>YEAR(Table6[[#This Row],[Date]])+IF(MONTH(Table6[[#This Row],[Date]])&gt;=4,1,0)</f>
        <v>2026</v>
      </c>
      <c r="C639" s="105">
        <f>YEAR(Table6[[#This Row],[Date]])</f>
        <v>2025</v>
      </c>
      <c r="D639" s="105" t="s">
        <v>490</v>
      </c>
      <c r="E639" s="119">
        <f>Table6[[#This Row],[Date]]-DAY(Table6[[#This Row],[Date]])+1</f>
        <v>45778</v>
      </c>
      <c r="F639" s="118">
        <v>45805</v>
      </c>
      <c r="G639" s="105" t="s">
        <v>144</v>
      </c>
      <c r="H639" s="39" t="str">
        <f>_xlfn.XLOOKUP(Table6[[#This Row],[Affected WTG]],'Basic Data'!$A:$A,'Basic Data'!$B:$B)</f>
        <v>PWEGPL</v>
      </c>
      <c r="I639" s="39" t="str">
        <f>_xlfn.XLOOKUP(Table6[[#This Row],[Affected WTG]],'Basic Data'!$A:$A,'Basic Data'!$C:$C)</f>
        <v>MSEDCL</v>
      </c>
      <c r="J639" s="345">
        <f>IFERROR(VLOOKUP(Table6[[#This Row],[Affected WTG]],'Basic Data'!$A$3:$E$56,5,0),"")</f>
        <v>2.564102564102564E-2</v>
      </c>
      <c r="K639" s="105" t="s">
        <v>492</v>
      </c>
      <c r="L639" s="39" t="str">
        <f>IFERROR(VLOOKUP(Table6[[#This Row],[Error Code]],'Basic Data'!$T:$U,2,0),"")</f>
        <v>Manual Stop - Safety Related</v>
      </c>
      <c r="M639" s="346" t="s">
        <v>481</v>
      </c>
      <c r="N639" s="39" t="s">
        <v>1269</v>
      </c>
      <c r="O639" s="347">
        <v>0</v>
      </c>
      <c r="P639" s="347">
        <v>0.99930555555555556</v>
      </c>
      <c r="Q639" s="347">
        <v>0.99930555555555556</v>
      </c>
      <c r="R639" s="348">
        <f>IF(Table6[[#This Row],[Work Start TimeStamp]]="","",(Table6[[#This Row],[Work Start TimeStamp]]-Table6[[#This Row],[Fault Start TimeStamp]])*24)</f>
        <v>23.983333333333334</v>
      </c>
      <c r="S639" s="349">
        <f>(Table6[[#This Row],[Fault Clearance time]]-Table6[[#This Row],[Work Start TimeStamp]])*24</f>
        <v>0</v>
      </c>
      <c r="T639" s="350">
        <f>(Table6[[#This Row],[Fault Clearance time]]-Table6[[#This Row],[Fault Start TimeStamp]])*24</f>
        <v>23.983333333333334</v>
      </c>
      <c r="U639" s="346" t="s">
        <v>498</v>
      </c>
      <c r="V639" s="351" t="s">
        <v>473</v>
      </c>
      <c r="W639" s="338">
        <f>Table6[[#This Row],[Breakdown Time]]*(1/39)</f>
        <v>0.61495726495726499</v>
      </c>
      <c r="X639" s="336" t="s">
        <v>468</v>
      </c>
      <c r="Y639" s="352" t="s">
        <v>141</v>
      </c>
      <c r="Z639" s="105">
        <v>9969</v>
      </c>
      <c r="AA639" s="107">
        <v>9962.0770833333336</v>
      </c>
      <c r="AB639" s="105" t="s">
        <v>478</v>
      </c>
    </row>
    <row r="640" spans="1:28">
      <c r="A640" s="105">
        <f t="shared" si="9"/>
        <v>639</v>
      </c>
      <c r="B640" s="107">
        <f>YEAR(Table6[[#This Row],[Date]])+IF(MONTH(Table6[[#This Row],[Date]])&gt;=4,1,0)</f>
        <v>2026</v>
      </c>
      <c r="C640" s="105">
        <f>YEAR(Table6[[#This Row],[Date]])</f>
        <v>2025</v>
      </c>
      <c r="D640" s="105" t="s">
        <v>490</v>
      </c>
      <c r="E640" s="119">
        <f>Table6[[#This Row],[Date]]-DAY(Table6[[#This Row],[Date]])+1</f>
        <v>45778</v>
      </c>
      <c r="F640" s="118">
        <v>45805</v>
      </c>
      <c r="G640" s="105" t="s">
        <v>142</v>
      </c>
      <c r="H640" s="39" t="str">
        <f>_xlfn.XLOOKUP(Table6[[#This Row],[Affected WTG]],'Basic Data'!$A:$A,'Basic Data'!$B:$B)</f>
        <v>PWEGPL</v>
      </c>
      <c r="I640" s="39" t="str">
        <f>_xlfn.XLOOKUP(Table6[[#This Row],[Affected WTG]],'Basic Data'!$A:$A,'Basic Data'!$C:$C)</f>
        <v>MSEDCL</v>
      </c>
      <c r="J640" s="345">
        <f>IFERROR(VLOOKUP(Table6[[#This Row],[Affected WTG]],'Basic Data'!$A$3:$E$56,5,0),"")</f>
        <v>2.564102564102564E-2</v>
      </c>
      <c r="K640" s="105" t="s">
        <v>492</v>
      </c>
      <c r="L640" s="39" t="str">
        <f>IFERROR(VLOOKUP(Table6[[#This Row],[Error Code]],'Basic Data'!$T:$U,2,0),"")</f>
        <v>Manual Stop - Safety Related</v>
      </c>
      <c r="M640" s="346" t="s">
        <v>481</v>
      </c>
      <c r="N640" s="39" t="s">
        <v>1269</v>
      </c>
      <c r="O640" s="347">
        <v>0</v>
      </c>
      <c r="P640" s="347">
        <v>0.99930555555555556</v>
      </c>
      <c r="Q640" s="347">
        <v>0.99930555555555556</v>
      </c>
      <c r="R640" s="348">
        <f>IF(Table6[[#This Row],[Work Start TimeStamp]]="","",(Table6[[#This Row],[Work Start TimeStamp]]-Table6[[#This Row],[Fault Start TimeStamp]])*24)</f>
        <v>23.983333333333334</v>
      </c>
      <c r="S640" s="349">
        <f>(Table6[[#This Row],[Fault Clearance time]]-Table6[[#This Row],[Work Start TimeStamp]])*24</f>
        <v>0</v>
      </c>
      <c r="T640" s="350">
        <f>(Table6[[#This Row],[Fault Clearance time]]-Table6[[#This Row],[Fault Start TimeStamp]])*24</f>
        <v>23.983333333333334</v>
      </c>
      <c r="U640" s="346" t="s">
        <v>498</v>
      </c>
      <c r="V640" s="351" t="s">
        <v>473</v>
      </c>
      <c r="W640" s="338">
        <f>Table6[[#This Row],[Breakdown Time]]*(1/39)</f>
        <v>0.61495726495726499</v>
      </c>
      <c r="X640" s="336" t="s">
        <v>468</v>
      </c>
      <c r="Y640" s="352" t="s">
        <v>141</v>
      </c>
      <c r="Z640" s="105">
        <v>9969</v>
      </c>
      <c r="AA640" s="107">
        <v>9962.0770833333336</v>
      </c>
      <c r="AB640" s="105" t="s">
        <v>478</v>
      </c>
    </row>
    <row r="641" spans="1:28">
      <c r="A641" s="105">
        <f t="shared" si="9"/>
        <v>640</v>
      </c>
      <c r="B641" s="107">
        <f>YEAR(Table6[[#This Row],[Date]])+IF(MONTH(Table6[[#This Row],[Date]])&gt;=4,1,0)</f>
        <v>2026</v>
      </c>
      <c r="C641" s="105">
        <f>YEAR(Table6[[#This Row],[Date]])</f>
        <v>2025</v>
      </c>
      <c r="D641" s="105" t="s">
        <v>490</v>
      </c>
      <c r="E641" s="119">
        <f>Table6[[#This Row],[Date]]-DAY(Table6[[#This Row],[Date]])+1</f>
        <v>45778</v>
      </c>
      <c r="F641" s="118">
        <v>45805</v>
      </c>
      <c r="G641" s="105" t="s">
        <v>115</v>
      </c>
      <c r="H641" s="39" t="str">
        <f>_xlfn.XLOOKUP(Table6[[#This Row],[Affected WTG]],'Basic Data'!$A:$A,'Basic Data'!$B:$B)</f>
        <v>PWEGPL</v>
      </c>
      <c r="I641" s="39" t="str">
        <f>_xlfn.XLOOKUP(Table6[[#This Row],[Affected WTG]],'Basic Data'!$A:$A,'Basic Data'!$C:$C)</f>
        <v>MSEDCL</v>
      </c>
      <c r="J641" s="345">
        <f>IFERROR(VLOOKUP(Table6[[#This Row],[Affected WTG]],'Basic Data'!$A$3:$E$56,5,0),"")</f>
        <v>2.564102564102564E-2</v>
      </c>
      <c r="K641" s="105">
        <v>5216</v>
      </c>
      <c r="L641" s="39" t="str">
        <f>IFERROR(VLOOKUP(Table6[[#This Row],[Error Code]],'Basic Data'!$T:$U,2,0),"")</f>
        <v>Grid Voltage Failure</v>
      </c>
      <c r="M641" s="346" t="s">
        <v>462</v>
      </c>
      <c r="N641" s="39" t="s">
        <v>1270</v>
      </c>
      <c r="O641" s="347">
        <v>0</v>
      </c>
      <c r="P641" s="347">
        <v>0</v>
      </c>
      <c r="Q641" s="347">
        <v>0.67361111111111116</v>
      </c>
      <c r="R641" s="348">
        <f>IF(Table6[[#This Row],[Work Start TimeStamp]]="","",(Table6[[#This Row],[Work Start TimeStamp]]-Table6[[#This Row],[Fault Start TimeStamp]])*24)</f>
        <v>0</v>
      </c>
      <c r="S641" s="349">
        <f>(Table6[[#This Row],[Fault Clearance time]]-Table6[[#This Row],[Work Start TimeStamp]])*24</f>
        <v>16.166666666666668</v>
      </c>
      <c r="T641" s="350">
        <f>(Table6[[#This Row],[Fault Clearance time]]-Table6[[#This Row],[Fault Start TimeStamp]])*24</f>
        <v>16.166666666666668</v>
      </c>
      <c r="U641" s="346" t="s">
        <v>1183</v>
      </c>
      <c r="V641" s="351" t="s">
        <v>463</v>
      </c>
      <c r="W641" s="338">
        <f>Table6[[#This Row],[Breakdown Time]]*(1/39)</f>
        <v>0.41452991452991456</v>
      </c>
      <c r="X641" s="336" t="s">
        <v>465</v>
      </c>
      <c r="Y641" s="352" t="s">
        <v>121</v>
      </c>
      <c r="Z641" s="105">
        <v>15953</v>
      </c>
      <c r="AA641" s="107">
        <v>10746.118055555557</v>
      </c>
      <c r="AB641" s="105" t="s">
        <v>478</v>
      </c>
    </row>
    <row r="642" spans="1:28">
      <c r="A642" s="105">
        <f t="shared" si="9"/>
        <v>641</v>
      </c>
      <c r="B642" s="107">
        <f>YEAR(Table6[[#This Row],[Date]])+IF(MONTH(Table6[[#This Row],[Date]])&gt;=4,1,0)</f>
        <v>2026</v>
      </c>
      <c r="C642" s="105">
        <f>YEAR(Table6[[#This Row],[Date]])</f>
        <v>2025</v>
      </c>
      <c r="D642" s="105" t="s">
        <v>490</v>
      </c>
      <c r="E642" s="119">
        <f>Table6[[#This Row],[Date]]-DAY(Table6[[#This Row],[Date]])+1</f>
        <v>45778</v>
      </c>
      <c r="F642" s="118">
        <v>45805</v>
      </c>
      <c r="G642" s="105" t="s">
        <v>121</v>
      </c>
      <c r="H642" s="39" t="str">
        <f>_xlfn.XLOOKUP(Table6[[#This Row],[Affected WTG]],'Basic Data'!$A:$A,'Basic Data'!$B:$B)</f>
        <v>PWEGPL</v>
      </c>
      <c r="I642" s="39" t="str">
        <f>_xlfn.XLOOKUP(Table6[[#This Row],[Affected WTG]],'Basic Data'!$A:$A,'Basic Data'!$C:$C)</f>
        <v>MSEDCL</v>
      </c>
      <c r="J642" s="345">
        <f>IFERROR(VLOOKUP(Table6[[#This Row],[Affected WTG]],'Basic Data'!$A$3:$E$56,5,0),"")</f>
        <v>2.564102564102564E-2</v>
      </c>
      <c r="K642" s="105">
        <v>5225</v>
      </c>
      <c r="L642" s="39" t="str">
        <f>IFERROR(VLOOKUP(Table6[[#This Row],[Error Code]],'Basic Data'!$T:$U,2,0),"")</f>
        <v>Fault In Analog Electronic Power Supply</v>
      </c>
      <c r="M642" s="346" t="s">
        <v>462</v>
      </c>
      <c r="N642" s="39" t="s">
        <v>1270</v>
      </c>
      <c r="O642" s="347">
        <v>5.4166666666666669E-2</v>
      </c>
      <c r="P642" s="347">
        <v>7.4999999999999997E-2</v>
      </c>
      <c r="Q642" s="347">
        <v>7.6388888888888895E-2</v>
      </c>
      <c r="R642" s="348">
        <f>IF(Table6[[#This Row],[Work Start TimeStamp]]="","",(Table6[[#This Row],[Work Start TimeStamp]]-Table6[[#This Row],[Fault Start TimeStamp]])*24)</f>
        <v>0.49999999999999989</v>
      </c>
      <c r="S642" s="349">
        <f>(Table6[[#This Row],[Fault Clearance time]]-Table6[[#This Row],[Work Start TimeStamp]])*24</f>
        <v>3.3333333333333548E-2</v>
      </c>
      <c r="T642" s="350">
        <f>(Table6[[#This Row],[Fault Clearance time]]-Table6[[#This Row],[Fault Start TimeStamp]])*24</f>
        <v>0.53333333333333344</v>
      </c>
      <c r="U642" s="346" t="s">
        <v>493</v>
      </c>
      <c r="V642" s="351" t="s">
        <v>463</v>
      </c>
      <c r="W642" s="338">
        <f>Table6[[#This Row],[Breakdown Time]]*(1/39)</f>
        <v>1.3675213675213677E-2</v>
      </c>
      <c r="X642" s="336" t="s">
        <v>465</v>
      </c>
      <c r="Y642" s="352" t="s">
        <v>117</v>
      </c>
      <c r="Z642" s="105">
        <v>16385</v>
      </c>
      <c r="AA642" s="107">
        <v>364.1111111111112</v>
      </c>
      <c r="AB642" s="105" t="s">
        <v>478</v>
      </c>
    </row>
    <row r="643" spans="1:28">
      <c r="A643" s="105">
        <f t="shared" si="9"/>
        <v>642</v>
      </c>
      <c r="B643" s="107">
        <f>YEAR(Table6[[#This Row],[Date]])+IF(MONTH(Table6[[#This Row],[Date]])&gt;=4,1,0)</f>
        <v>2026</v>
      </c>
      <c r="C643" s="105">
        <f>YEAR(Table6[[#This Row],[Date]])</f>
        <v>2025</v>
      </c>
      <c r="D643" s="105" t="s">
        <v>490</v>
      </c>
      <c r="E643" s="119">
        <f>Table6[[#This Row],[Date]]-DAY(Table6[[#This Row],[Date]])+1</f>
        <v>45778</v>
      </c>
      <c r="F643" s="118">
        <v>45805</v>
      </c>
      <c r="G643" s="105" t="s">
        <v>128</v>
      </c>
      <c r="H643" s="39" t="str">
        <f>_xlfn.XLOOKUP(Table6[[#This Row],[Affected WTG]],'Basic Data'!$A:$A,'Basic Data'!$B:$B)</f>
        <v>PWEGPL</v>
      </c>
      <c r="I643" s="39" t="str">
        <f>_xlfn.XLOOKUP(Table6[[#This Row],[Affected WTG]],'Basic Data'!$A:$A,'Basic Data'!$C:$C)</f>
        <v>MSEDCL</v>
      </c>
      <c r="J643" s="345">
        <f>IFERROR(VLOOKUP(Table6[[#This Row],[Affected WTG]],'Basic Data'!$A$3:$E$56,5,0),"")</f>
        <v>2.564102564102564E-2</v>
      </c>
      <c r="K643" s="105" t="s">
        <v>476</v>
      </c>
      <c r="L643" s="39" t="str">
        <f>IFERROR(VLOOKUP(Table6[[#This Row],[Error Code]],'Basic Data'!$T:$U,2,0),"")</f>
        <v>Manual Stop - Preventive Maintenance Activity</v>
      </c>
      <c r="M643" s="346" t="s">
        <v>474</v>
      </c>
      <c r="N643" s="39" t="s">
        <v>230</v>
      </c>
      <c r="O643" s="347">
        <v>0.42708333333333331</v>
      </c>
      <c r="P643" s="347">
        <v>0.42708333333333331</v>
      </c>
      <c r="Q643" s="347">
        <v>0.73333333333333328</v>
      </c>
      <c r="R643" s="348">
        <f>IF(Table6[[#This Row],[Work Start TimeStamp]]="","",(Table6[[#This Row],[Work Start TimeStamp]]-Table6[[#This Row],[Fault Start TimeStamp]])*24)</f>
        <v>0</v>
      </c>
      <c r="S643" s="349">
        <f>(Table6[[#This Row],[Fault Clearance time]]-Table6[[#This Row],[Work Start TimeStamp]])*24</f>
        <v>7.35</v>
      </c>
      <c r="T643" s="350">
        <f>(Table6[[#This Row],[Fault Clearance time]]-Table6[[#This Row],[Fault Start TimeStamp]])*24</f>
        <v>7.35</v>
      </c>
      <c r="U643" s="346" t="s">
        <v>582</v>
      </c>
      <c r="V643" s="351" t="s">
        <v>463</v>
      </c>
      <c r="W643" s="338">
        <f>Table6[[#This Row],[Breakdown Time]]*(1/39)</f>
        <v>0.18846153846153846</v>
      </c>
      <c r="X643" s="336" t="s">
        <v>467</v>
      </c>
      <c r="Y643" s="352" t="s">
        <v>129</v>
      </c>
      <c r="Z643" s="105">
        <v>13759</v>
      </c>
      <c r="AA643" s="107">
        <v>4213.6937499999995</v>
      </c>
      <c r="AB643" s="105" t="s">
        <v>478</v>
      </c>
    </row>
    <row r="644" spans="1:28">
      <c r="A644" s="105">
        <f t="shared" ref="A644:A707" si="10">A643+1</f>
        <v>643</v>
      </c>
      <c r="B644" s="107">
        <f>YEAR(Table6[[#This Row],[Date]])+IF(MONTH(Table6[[#This Row],[Date]])&gt;=4,1,0)</f>
        <v>2026</v>
      </c>
      <c r="C644" s="105">
        <f>YEAR(Table6[[#This Row],[Date]])</f>
        <v>2025</v>
      </c>
      <c r="D644" s="105" t="s">
        <v>490</v>
      </c>
      <c r="E644" s="119">
        <f>Table6[[#This Row],[Date]]-DAY(Table6[[#This Row],[Date]])+1</f>
        <v>45778</v>
      </c>
      <c r="F644" s="118">
        <v>45805</v>
      </c>
      <c r="G644" s="105" t="s">
        <v>130</v>
      </c>
      <c r="H644" s="39" t="str">
        <f>_xlfn.XLOOKUP(Table6[[#This Row],[Affected WTG]],'Basic Data'!$A:$A,'Basic Data'!$B:$B)</f>
        <v>PWEGPL</v>
      </c>
      <c r="I644" s="39" t="str">
        <f>_xlfn.XLOOKUP(Table6[[#This Row],[Affected WTG]],'Basic Data'!$A:$A,'Basic Data'!$C:$C)</f>
        <v>MSEDCL</v>
      </c>
      <c r="J644" s="345">
        <f>IFERROR(VLOOKUP(Table6[[#This Row],[Affected WTG]],'Basic Data'!$A$3:$E$56,5,0),"")</f>
        <v>2.564102564102564E-2</v>
      </c>
      <c r="K644" s="105">
        <v>5225</v>
      </c>
      <c r="L644" s="39" t="str">
        <f>IFERROR(VLOOKUP(Table6[[#This Row],[Error Code]],'Basic Data'!$T:$U,2,0),"")</f>
        <v>Fault In Analog Electronic Power Supply</v>
      </c>
      <c r="M644" s="346" t="s">
        <v>462</v>
      </c>
      <c r="N644" s="39" t="s">
        <v>1270</v>
      </c>
      <c r="O644" s="347">
        <v>0.46111111111111114</v>
      </c>
      <c r="P644" s="347">
        <v>0.4826388888888889</v>
      </c>
      <c r="Q644" s="347">
        <v>0.48958333333333331</v>
      </c>
      <c r="R644" s="348">
        <f>IF(Table6[[#This Row],[Work Start TimeStamp]]="","",(Table6[[#This Row],[Work Start TimeStamp]]-Table6[[#This Row],[Fault Start TimeStamp]])*24)</f>
        <v>0.51666666666666616</v>
      </c>
      <c r="S644" s="349">
        <f>(Table6[[#This Row],[Fault Clearance time]]-Table6[[#This Row],[Work Start TimeStamp]])*24</f>
        <v>0.16666666666666607</v>
      </c>
      <c r="T644" s="350">
        <f>(Table6[[#This Row],[Fault Clearance time]]-Table6[[#This Row],[Fault Start TimeStamp]])*24</f>
        <v>0.68333333333333224</v>
      </c>
      <c r="U644" s="346" t="s">
        <v>499</v>
      </c>
      <c r="V644" s="351" t="s">
        <v>463</v>
      </c>
      <c r="W644" s="338">
        <f>Table6[[#This Row],[Breakdown Time]]*(1/39)</f>
        <v>1.7521367521367494E-2</v>
      </c>
      <c r="X644" s="336" t="s">
        <v>465</v>
      </c>
      <c r="Y644" s="352" t="s">
        <v>131</v>
      </c>
      <c r="Z644" s="105">
        <v>13752</v>
      </c>
      <c r="AA644" s="107">
        <v>391.54999999999939</v>
      </c>
      <c r="AB644" s="105" t="s">
        <v>478</v>
      </c>
    </row>
    <row r="645" spans="1:28">
      <c r="A645" s="105">
        <f t="shared" si="10"/>
        <v>644</v>
      </c>
      <c r="B645" s="107">
        <f>YEAR(Table6[[#This Row],[Date]])+IF(MONTH(Table6[[#This Row],[Date]])&gt;=4,1,0)</f>
        <v>2026</v>
      </c>
      <c r="C645" s="105">
        <f>YEAR(Table6[[#This Row],[Date]])</f>
        <v>2025</v>
      </c>
      <c r="D645" s="105" t="s">
        <v>490</v>
      </c>
      <c r="E645" s="119">
        <f>Table6[[#This Row],[Date]]-DAY(Table6[[#This Row],[Date]])+1</f>
        <v>45778</v>
      </c>
      <c r="F645" s="118">
        <v>45805</v>
      </c>
      <c r="G645" s="105" t="s">
        <v>146</v>
      </c>
      <c r="H645" s="39" t="str">
        <f>_xlfn.XLOOKUP(Table6[[#This Row],[Affected WTG]],'Basic Data'!$A:$A,'Basic Data'!$B:$B)</f>
        <v>PWEGPL</v>
      </c>
      <c r="I645" s="39" t="str">
        <f>_xlfn.XLOOKUP(Table6[[#This Row],[Affected WTG]],'Basic Data'!$A:$A,'Basic Data'!$C:$C)</f>
        <v>MSEDCL</v>
      </c>
      <c r="J645" s="345">
        <f>IFERROR(VLOOKUP(Table6[[#This Row],[Affected WTG]],'Basic Data'!$A$3:$E$56,5,0),"")</f>
        <v>2.564102564102564E-2</v>
      </c>
      <c r="K645" s="105">
        <v>800</v>
      </c>
      <c r="L645" s="39" t="str">
        <f>IFERROR(VLOOKUP(Table6[[#This Row],[Error Code]],'Basic Data'!$T:$U,2,0),"")</f>
        <v>Pitch Drive Error</v>
      </c>
      <c r="M645" s="346" t="s">
        <v>462</v>
      </c>
      <c r="N645" s="39" t="s">
        <v>1270</v>
      </c>
      <c r="O645" s="347">
        <v>0.6333333333333333</v>
      </c>
      <c r="P645" s="347">
        <v>0.66111111111111109</v>
      </c>
      <c r="Q645" s="347">
        <v>0.81805555555555554</v>
      </c>
      <c r="R645" s="348">
        <f>IF(Table6[[#This Row],[Work Start TimeStamp]]="","",(Table6[[#This Row],[Work Start TimeStamp]]-Table6[[#This Row],[Fault Start TimeStamp]])*24)</f>
        <v>0.66666666666666696</v>
      </c>
      <c r="S645" s="349">
        <f>(Table6[[#This Row],[Fault Clearance time]]-Table6[[#This Row],[Work Start TimeStamp]])*24</f>
        <v>3.7666666666666666</v>
      </c>
      <c r="T645" s="350">
        <f>(Table6[[#This Row],[Fault Clearance time]]-Table6[[#This Row],[Fault Start TimeStamp]])*24</f>
        <v>4.4333333333333336</v>
      </c>
      <c r="U645" s="346" t="s">
        <v>1184</v>
      </c>
      <c r="V645" s="351" t="s">
        <v>463</v>
      </c>
      <c r="W645" s="338">
        <f>Table6[[#This Row],[Breakdown Time]]*(1/39)</f>
        <v>0.11367521367521367</v>
      </c>
      <c r="X645" s="336" t="s">
        <v>465</v>
      </c>
      <c r="Y645" s="352" t="s">
        <v>147</v>
      </c>
      <c r="Z645" s="105">
        <v>7422</v>
      </c>
      <c r="AA645" s="107">
        <v>1371.0083333333334</v>
      </c>
      <c r="AB645" s="105" t="s">
        <v>478</v>
      </c>
    </row>
    <row r="646" spans="1:28">
      <c r="A646" s="105">
        <f t="shared" si="10"/>
        <v>645</v>
      </c>
      <c r="B646" s="107">
        <f>YEAR(Table6[[#This Row],[Date]])+IF(MONTH(Table6[[#This Row],[Date]])&gt;=4,1,0)</f>
        <v>2026</v>
      </c>
      <c r="C646" s="105">
        <f>YEAR(Table6[[#This Row],[Date]])</f>
        <v>2025</v>
      </c>
      <c r="D646" s="105" t="s">
        <v>490</v>
      </c>
      <c r="E646" s="119">
        <f>Table6[[#This Row],[Date]]-DAY(Table6[[#This Row],[Date]])+1</f>
        <v>45778</v>
      </c>
      <c r="F646" s="118">
        <v>45806</v>
      </c>
      <c r="G646" s="105" t="s">
        <v>144</v>
      </c>
      <c r="H646" s="39" t="str">
        <f>_xlfn.XLOOKUP(Table6[[#This Row],[Affected WTG]],'Basic Data'!$A:$A,'Basic Data'!$B:$B)</f>
        <v>PWEGPL</v>
      </c>
      <c r="I646" s="39" t="str">
        <f>_xlfn.XLOOKUP(Table6[[#This Row],[Affected WTG]],'Basic Data'!$A:$A,'Basic Data'!$C:$C)</f>
        <v>MSEDCL</v>
      </c>
      <c r="J646" s="345">
        <f>IFERROR(VLOOKUP(Table6[[#This Row],[Affected WTG]],'Basic Data'!$A$3:$E$56,5,0),"")</f>
        <v>2.564102564102564E-2</v>
      </c>
      <c r="K646" s="105" t="s">
        <v>492</v>
      </c>
      <c r="L646" s="39" t="str">
        <f>IFERROR(VLOOKUP(Table6[[#This Row],[Error Code]],'Basic Data'!$T:$U,2,0),"")</f>
        <v>Manual Stop - Safety Related</v>
      </c>
      <c r="M646" s="346" t="s">
        <v>481</v>
      </c>
      <c r="N646" s="39" t="s">
        <v>1269</v>
      </c>
      <c r="O646" s="347">
        <v>0</v>
      </c>
      <c r="P646" s="347">
        <v>0.99930555555555556</v>
      </c>
      <c r="Q646" s="347">
        <v>0.99930555555555556</v>
      </c>
      <c r="R646" s="348">
        <f>IF(Table6[[#This Row],[Work Start TimeStamp]]="","",(Table6[[#This Row],[Work Start TimeStamp]]-Table6[[#This Row],[Fault Start TimeStamp]])*24)</f>
        <v>23.983333333333334</v>
      </c>
      <c r="S646" s="349">
        <f>(Table6[[#This Row],[Fault Clearance time]]-Table6[[#This Row],[Work Start TimeStamp]])*24</f>
        <v>0</v>
      </c>
      <c r="T646" s="350">
        <f>(Table6[[#This Row],[Fault Clearance time]]-Table6[[#This Row],[Fault Start TimeStamp]])*24</f>
        <v>23.983333333333334</v>
      </c>
      <c r="U646" s="346" t="s">
        <v>498</v>
      </c>
      <c r="V646" s="351" t="s">
        <v>473</v>
      </c>
      <c r="W646" s="338">
        <f>Table6[[#This Row],[Breakdown Time]]*(1/39)</f>
        <v>0.61495726495726499</v>
      </c>
      <c r="X646" s="336" t="s">
        <v>468</v>
      </c>
      <c r="Y646" s="352" t="s">
        <v>141</v>
      </c>
      <c r="Z646" s="105">
        <v>12268</v>
      </c>
      <c r="AA646" s="107">
        <v>12259.480555555556</v>
      </c>
      <c r="AB646" s="105" t="s">
        <v>478</v>
      </c>
    </row>
    <row r="647" spans="1:28">
      <c r="A647" s="105">
        <f t="shared" si="10"/>
        <v>646</v>
      </c>
      <c r="B647" s="107">
        <f>YEAR(Table6[[#This Row],[Date]])+IF(MONTH(Table6[[#This Row],[Date]])&gt;=4,1,0)</f>
        <v>2026</v>
      </c>
      <c r="C647" s="105">
        <f>YEAR(Table6[[#This Row],[Date]])</f>
        <v>2025</v>
      </c>
      <c r="D647" s="105" t="s">
        <v>490</v>
      </c>
      <c r="E647" s="119">
        <f>Table6[[#This Row],[Date]]-DAY(Table6[[#This Row],[Date]])+1</f>
        <v>45778</v>
      </c>
      <c r="F647" s="118">
        <v>45806</v>
      </c>
      <c r="G647" s="105" t="s">
        <v>142</v>
      </c>
      <c r="H647" s="39" t="str">
        <f>_xlfn.XLOOKUP(Table6[[#This Row],[Affected WTG]],'Basic Data'!$A:$A,'Basic Data'!$B:$B)</f>
        <v>PWEGPL</v>
      </c>
      <c r="I647" s="39" t="str">
        <f>_xlfn.XLOOKUP(Table6[[#This Row],[Affected WTG]],'Basic Data'!$A:$A,'Basic Data'!$C:$C)</f>
        <v>MSEDCL</v>
      </c>
      <c r="J647" s="345">
        <f>IFERROR(VLOOKUP(Table6[[#This Row],[Affected WTG]],'Basic Data'!$A$3:$E$56,5,0),"")</f>
        <v>2.564102564102564E-2</v>
      </c>
      <c r="K647" s="105" t="s">
        <v>492</v>
      </c>
      <c r="L647" s="39" t="str">
        <f>IFERROR(VLOOKUP(Table6[[#This Row],[Error Code]],'Basic Data'!$T:$U,2,0),"")</f>
        <v>Manual Stop - Safety Related</v>
      </c>
      <c r="M647" s="346" t="s">
        <v>481</v>
      </c>
      <c r="N647" s="39" t="s">
        <v>1269</v>
      </c>
      <c r="O647" s="347">
        <v>0</v>
      </c>
      <c r="P647" s="347">
        <v>0.99930555555555556</v>
      </c>
      <c r="Q647" s="347">
        <v>0.99930555555555556</v>
      </c>
      <c r="R647" s="348">
        <f>IF(Table6[[#This Row],[Work Start TimeStamp]]="","",(Table6[[#This Row],[Work Start TimeStamp]]-Table6[[#This Row],[Fault Start TimeStamp]])*24)</f>
        <v>23.983333333333334</v>
      </c>
      <c r="S647" s="349">
        <f>(Table6[[#This Row],[Fault Clearance time]]-Table6[[#This Row],[Work Start TimeStamp]])*24</f>
        <v>0</v>
      </c>
      <c r="T647" s="350">
        <f>(Table6[[#This Row],[Fault Clearance time]]-Table6[[#This Row],[Fault Start TimeStamp]])*24</f>
        <v>23.983333333333334</v>
      </c>
      <c r="U647" s="346" t="s">
        <v>498</v>
      </c>
      <c r="V647" s="351" t="s">
        <v>473</v>
      </c>
      <c r="W647" s="338">
        <f>Table6[[#This Row],[Breakdown Time]]*(1/39)</f>
        <v>0.61495726495726499</v>
      </c>
      <c r="X647" s="336" t="s">
        <v>468</v>
      </c>
      <c r="Y647" s="352" t="s">
        <v>141</v>
      </c>
      <c r="Z647" s="105">
        <v>12268</v>
      </c>
      <c r="AA647" s="107">
        <v>12259.480555555556</v>
      </c>
      <c r="AB647" s="105" t="s">
        <v>478</v>
      </c>
    </row>
    <row r="648" spans="1:28">
      <c r="A648" s="105">
        <f t="shared" si="10"/>
        <v>647</v>
      </c>
      <c r="B648" s="107">
        <f>YEAR(Table6[[#This Row],[Date]])+IF(MONTH(Table6[[#This Row],[Date]])&gt;=4,1,0)</f>
        <v>2026</v>
      </c>
      <c r="C648" s="105">
        <f>YEAR(Table6[[#This Row],[Date]])</f>
        <v>2025</v>
      </c>
      <c r="D648" s="105" t="s">
        <v>490</v>
      </c>
      <c r="E648" s="119">
        <f>Table6[[#This Row],[Date]]-DAY(Table6[[#This Row],[Date]])+1</f>
        <v>45778</v>
      </c>
      <c r="F648" s="118">
        <v>45806</v>
      </c>
      <c r="G648" s="105" t="s">
        <v>118</v>
      </c>
      <c r="H648" s="39" t="str">
        <f>_xlfn.XLOOKUP(Table6[[#This Row],[Affected WTG]],'Basic Data'!$A:$A,'Basic Data'!$B:$B)</f>
        <v>PWEGPL</v>
      </c>
      <c r="I648" s="39" t="str">
        <f>_xlfn.XLOOKUP(Table6[[#This Row],[Affected WTG]],'Basic Data'!$A:$A,'Basic Data'!$C:$C)</f>
        <v>MSEDCL</v>
      </c>
      <c r="J648" s="345">
        <f>IFERROR(VLOOKUP(Table6[[#This Row],[Affected WTG]],'Basic Data'!$A$3:$E$56,5,0),"")</f>
        <v>2.564102564102564E-2</v>
      </c>
      <c r="K648" s="105">
        <v>203</v>
      </c>
      <c r="L648" s="39" t="str">
        <f>IFERROR(VLOOKUP(Table6[[#This Row],[Error Code]],'Basic Data'!$T:$U,2,0),"")</f>
        <v>Low Pressure On Hydraulic Group</v>
      </c>
      <c r="M648" s="346" t="s">
        <v>462</v>
      </c>
      <c r="N648" s="39" t="s">
        <v>1270</v>
      </c>
      <c r="O648" s="347">
        <v>0.73263888888888884</v>
      </c>
      <c r="P648" s="347">
        <v>0.76388888888888884</v>
      </c>
      <c r="Q648" s="347">
        <v>0.76527777777777772</v>
      </c>
      <c r="R648" s="348">
        <f>IF(Table6[[#This Row],[Work Start TimeStamp]]="","",(Table6[[#This Row],[Work Start TimeStamp]]-Table6[[#This Row],[Fault Start TimeStamp]])*24)</f>
        <v>0.75</v>
      </c>
      <c r="S648" s="349">
        <f>(Table6[[#This Row],[Fault Clearance time]]-Table6[[#This Row],[Work Start TimeStamp]])*24</f>
        <v>3.3333333333333215E-2</v>
      </c>
      <c r="T648" s="350">
        <f>(Table6[[#This Row],[Fault Clearance time]]-Table6[[#This Row],[Fault Start TimeStamp]])*24</f>
        <v>0.78333333333333321</v>
      </c>
      <c r="U648" s="346" t="s">
        <v>493</v>
      </c>
      <c r="V648" s="351" t="s">
        <v>463</v>
      </c>
      <c r="W648" s="338">
        <f>Table6[[#This Row],[Breakdown Time]]*(1/39)</f>
        <v>2.008547008547008E-2</v>
      </c>
      <c r="X648" s="336" t="s">
        <v>465</v>
      </c>
      <c r="Y648" s="352" t="s">
        <v>117</v>
      </c>
      <c r="Z648" s="105">
        <v>16454</v>
      </c>
      <c r="AA648" s="107">
        <v>537.04027777777776</v>
      </c>
      <c r="AB648" s="105" t="s">
        <v>478</v>
      </c>
    </row>
    <row r="649" spans="1:28">
      <c r="A649" s="105">
        <f t="shared" si="10"/>
        <v>648</v>
      </c>
      <c r="B649" s="107">
        <f>YEAR(Table6[[#This Row],[Date]])+IF(MONTH(Table6[[#This Row],[Date]])&gt;=4,1,0)</f>
        <v>2026</v>
      </c>
      <c r="C649" s="105">
        <f>YEAR(Table6[[#This Row],[Date]])</f>
        <v>2025</v>
      </c>
      <c r="D649" s="105" t="s">
        <v>490</v>
      </c>
      <c r="E649" s="119">
        <f>Table6[[#This Row],[Date]]-DAY(Table6[[#This Row],[Date]])+1</f>
        <v>45778</v>
      </c>
      <c r="F649" s="118">
        <v>45806</v>
      </c>
      <c r="G649" s="105" t="s">
        <v>127</v>
      </c>
      <c r="H649" s="39" t="str">
        <f>_xlfn.XLOOKUP(Table6[[#This Row],[Affected WTG]],'Basic Data'!$A:$A,'Basic Data'!$B:$B)</f>
        <v>PWEGPL</v>
      </c>
      <c r="I649" s="39" t="str">
        <f>_xlfn.XLOOKUP(Table6[[#This Row],[Affected WTG]],'Basic Data'!$A:$A,'Basic Data'!$C:$C)</f>
        <v>MSEDCL</v>
      </c>
      <c r="J649" s="345">
        <f>IFERROR(VLOOKUP(Table6[[#This Row],[Affected WTG]],'Basic Data'!$A$3:$E$56,5,0),"")</f>
        <v>2.564102564102564E-2</v>
      </c>
      <c r="K649" s="105" t="s">
        <v>476</v>
      </c>
      <c r="L649" s="39" t="str">
        <f>IFERROR(VLOOKUP(Table6[[#This Row],[Error Code]],'Basic Data'!$T:$U,2,0),"")</f>
        <v>Manual Stop - Preventive Maintenance Activity</v>
      </c>
      <c r="M649" s="346" t="s">
        <v>474</v>
      </c>
      <c r="N649" s="39" t="s">
        <v>230</v>
      </c>
      <c r="O649" s="347">
        <v>0.47916666666666669</v>
      </c>
      <c r="P649" s="347">
        <v>0.47916666666666669</v>
      </c>
      <c r="Q649" s="347">
        <v>0.78125</v>
      </c>
      <c r="R649" s="348">
        <f>IF(Table6[[#This Row],[Work Start TimeStamp]]="","",(Table6[[#This Row],[Work Start TimeStamp]]-Table6[[#This Row],[Fault Start TimeStamp]])*24)</f>
        <v>0</v>
      </c>
      <c r="S649" s="349">
        <f>(Table6[[#This Row],[Fault Clearance time]]-Table6[[#This Row],[Work Start TimeStamp]])*24</f>
        <v>7.25</v>
      </c>
      <c r="T649" s="350">
        <f>(Table6[[#This Row],[Fault Clearance time]]-Table6[[#This Row],[Fault Start TimeStamp]])*24</f>
        <v>7.25</v>
      </c>
      <c r="U649" s="346" t="s">
        <v>582</v>
      </c>
      <c r="V649" s="351" t="s">
        <v>463</v>
      </c>
      <c r="W649" s="338">
        <f>Table6[[#This Row],[Breakdown Time]]*(1/39)</f>
        <v>0.1858974358974359</v>
      </c>
      <c r="X649" s="336" t="s">
        <v>467</v>
      </c>
      <c r="Y649" s="352" t="s">
        <v>126</v>
      </c>
      <c r="Z649" s="105">
        <v>16467</v>
      </c>
      <c r="AA649" s="107">
        <v>4974.40625</v>
      </c>
      <c r="AB649" s="105" t="s">
        <v>478</v>
      </c>
    </row>
    <row r="650" spans="1:28">
      <c r="A650" s="105">
        <f t="shared" si="10"/>
        <v>649</v>
      </c>
      <c r="B650" s="107">
        <f>YEAR(Table6[[#This Row],[Date]])+IF(MONTH(Table6[[#This Row],[Date]])&gt;=4,1,0)</f>
        <v>2026</v>
      </c>
      <c r="C650" s="105">
        <f>YEAR(Table6[[#This Row],[Date]])</f>
        <v>2025</v>
      </c>
      <c r="D650" s="105" t="s">
        <v>490</v>
      </c>
      <c r="E650" s="119">
        <f>Table6[[#This Row],[Date]]-DAY(Table6[[#This Row],[Date]])+1</f>
        <v>45778</v>
      </c>
      <c r="F650" s="118">
        <v>45806</v>
      </c>
      <c r="G650" s="105" t="s">
        <v>128</v>
      </c>
      <c r="H650" s="39" t="str">
        <f>_xlfn.XLOOKUP(Table6[[#This Row],[Affected WTG]],'Basic Data'!$A:$A,'Basic Data'!$B:$B)</f>
        <v>PWEGPL</v>
      </c>
      <c r="I650" s="39" t="str">
        <f>_xlfn.XLOOKUP(Table6[[#This Row],[Affected WTG]],'Basic Data'!$A:$A,'Basic Data'!$C:$C)</f>
        <v>MSEDCL</v>
      </c>
      <c r="J650" s="345">
        <f>IFERROR(VLOOKUP(Table6[[#This Row],[Affected WTG]],'Basic Data'!$A$3:$E$56,5,0),"")</f>
        <v>2.564102564102564E-2</v>
      </c>
      <c r="K650" s="105">
        <v>5238</v>
      </c>
      <c r="L650" s="39" t="str">
        <f>IFERROR(VLOOKUP(Table6[[#This Row],[Error Code]],'Basic Data'!$T:$U,2,0),"")</f>
        <v>Error In Phase T Of The Inverter</v>
      </c>
      <c r="M650" s="346" t="s">
        <v>462</v>
      </c>
      <c r="N650" s="39" t="s">
        <v>1270</v>
      </c>
      <c r="O650" s="347">
        <v>0.45833333333333331</v>
      </c>
      <c r="P650" s="347">
        <v>0.4826388888888889</v>
      </c>
      <c r="Q650" s="347">
        <v>0.59722222222222221</v>
      </c>
      <c r="R650" s="348">
        <f>IF(Table6[[#This Row],[Work Start TimeStamp]]="","",(Table6[[#This Row],[Work Start TimeStamp]]-Table6[[#This Row],[Fault Start TimeStamp]])*24)</f>
        <v>0.58333333333333393</v>
      </c>
      <c r="S650" s="349">
        <f>(Table6[[#This Row],[Fault Clearance time]]-Table6[[#This Row],[Work Start TimeStamp]])*24</f>
        <v>2.7499999999999996</v>
      </c>
      <c r="T650" s="350">
        <f>(Table6[[#This Row],[Fault Clearance time]]-Table6[[#This Row],[Fault Start TimeStamp]])*24</f>
        <v>3.3333333333333335</v>
      </c>
      <c r="U650" s="346" t="s">
        <v>1186</v>
      </c>
      <c r="V650" s="351" t="s">
        <v>463</v>
      </c>
      <c r="W650" s="338">
        <f>Table6[[#This Row],[Breakdown Time]]*(1/39)</f>
        <v>8.5470085470085472E-2</v>
      </c>
      <c r="X650" s="336" t="s">
        <v>465</v>
      </c>
      <c r="Y650" s="352" t="s">
        <v>129</v>
      </c>
      <c r="Z650" s="105">
        <v>16061</v>
      </c>
      <c r="AA650" s="107">
        <v>2230.6944444444448</v>
      </c>
      <c r="AB650" s="105" t="s">
        <v>478</v>
      </c>
    </row>
    <row r="651" spans="1:28">
      <c r="A651" s="105">
        <f t="shared" si="10"/>
        <v>650</v>
      </c>
      <c r="B651" s="107">
        <f>YEAR(Table6[[#This Row],[Date]])+IF(MONTH(Table6[[#This Row],[Date]])&gt;=4,1,0)</f>
        <v>2026</v>
      </c>
      <c r="C651" s="105">
        <f>YEAR(Table6[[#This Row],[Date]])</f>
        <v>2025</v>
      </c>
      <c r="D651" s="105" t="s">
        <v>490</v>
      </c>
      <c r="E651" s="119">
        <f>Table6[[#This Row],[Date]]-DAY(Table6[[#This Row],[Date]])+1</f>
        <v>45778</v>
      </c>
      <c r="F651" s="118">
        <v>45806</v>
      </c>
      <c r="G651" s="105" t="s">
        <v>138</v>
      </c>
      <c r="H651" s="39" t="str">
        <f>_xlfn.XLOOKUP(Table6[[#This Row],[Affected WTG]],'Basic Data'!$A:$A,'Basic Data'!$B:$B)</f>
        <v>PWEGPL</v>
      </c>
      <c r="I651" s="39" t="str">
        <f>_xlfn.XLOOKUP(Table6[[#This Row],[Affected WTG]],'Basic Data'!$A:$A,'Basic Data'!$C:$C)</f>
        <v>MSEDCL</v>
      </c>
      <c r="J651" s="345">
        <f>IFERROR(VLOOKUP(Table6[[#This Row],[Affected WTG]],'Basic Data'!$A$3:$E$56,5,0),"")</f>
        <v>2.564102564102564E-2</v>
      </c>
      <c r="K651" s="105">
        <v>5203</v>
      </c>
      <c r="L651" s="39" t="str">
        <f>IFERROR(VLOOKUP(Table6[[#This Row],[Error Code]],'Basic Data'!$T:$U,2,0),"")</f>
        <v>Heating/Coolant Thermal Magnetic Failure</v>
      </c>
      <c r="M651" s="346" t="s">
        <v>462</v>
      </c>
      <c r="N651" s="39" t="s">
        <v>1270</v>
      </c>
      <c r="O651" s="347">
        <v>0.63541666666666663</v>
      </c>
      <c r="P651" s="347">
        <v>0.77222222222222225</v>
      </c>
      <c r="Q651" s="347">
        <v>0.77430555555555558</v>
      </c>
      <c r="R651" s="348">
        <f>IF(Table6[[#This Row],[Work Start TimeStamp]]="","",(Table6[[#This Row],[Work Start TimeStamp]]-Table6[[#This Row],[Fault Start TimeStamp]])*24)</f>
        <v>3.283333333333335</v>
      </c>
      <c r="S651" s="349">
        <f>(Table6[[#This Row],[Fault Clearance time]]-Table6[[#This Row],[Work Start TimeStamp]])*24</f>
        <v>4.9999999999999822E-2</v>
      </c>
      <c r="T651" s="350">
        <f>(Table6[[#This Row],[Fault Clearance time]]-Table6[[#This Row],[Fault Start TimeStamp]])*24</f>
        <v>3.3333333333333348</v>
      </c>
      <c r="U651" s="346" t="s">
        <v>493</v>
      </c>
      <c r="V651" s="351" t="s">
        <v>463</v>
      </c>
      <c r="W651" s="338">
        <f>Table6[[#This Row],[Breakdown Time]]*(1/39)</f>
        <v>8.54700854700855E-2</v>
      </c>
      <c r="X651" s="336" t="s">
        <v>465</v>
      </c>
      <c r="Y651" s="352" t="s">
        <v>140</v>
      </c>
      <c r="Z651" s="105">
        <v>12264</v>
      </c>
      <c r="AA651" s="107">
        <v>1703.3333333333342</v>
      </c>
      <c r="AB651" s="105" t="s">
        <v>478</v>
      </c>
    </row>
    <row r="652" spans="1:28">
      <c r="A652" s="105">
        <f t="shared" si="10"/>
        <v>651</v>
      </c>
      <c r="B652" s="107">
        <f>YEAR(Table6[[#This Row],[Date]])+IF(MONTH(Table6[[#This Row],[Date]])&gt;=4,1,0)</f>
        <v>2026</v>
      </c>
      <c r="C652" s="105">
        <f>YEAR(Table6[[#This Row],[Date]])</f>
        <v>2025</v>
      </c>
      <c r="D652" s="105" t="s">
        <v>490</v>
      </c>
      <c r="E652" s="119">
        <f>Table6[[#This Row],[Date]]-DAY(Table6[[#This Row],[Date]])+1</f>
        <v>45778</v>
      </c>
      <c r="F652" s="118">
        <v>45806</v>
      </c>
      <c r="G652" s="105" t="s">
        <v>146</v>
      </c>
      <c r="H652" s="39" t="str">
        <f>_xlfn.XLOOKUP(Table6[[#This Row],[Affected WTG]],'Basic Data'!$A:$A,'Basic Data'!$B:$B)</f>
        <v>PWEGPL</v>
      </c>
      <c r="I652" s="39" t="str">
        <f>_xlfn.XLOOKUP(Table6[[#This Row],[Affected WTG]],'Basic Data'!$A:$A,'Basic Data'!$C:$C)</f>
        <v>MSEDCL</v>
      </c>
      <c r="J652" s="345">
        <f>IFERROR(VLOOKUP(Table6[[#This Row],[Affected WTG]],'Basic Data'!$A$3:$E$56,5,0),"")</f>
        <v>2.564102564102564E-2</v>
      </c>
      <c r="K652" s="105" t="s">
        <v>487</v>
      </c>
      <c r="L652" s="39" t="str">
        <f>IFERROR(VLOOKUP(Table6[[#This Row],[Error Code]],'Basic Data'!$T:$U,2,0),"")</f>
        <v>General Work Stoppage</v>
      </c>
      <c r="M652" s="346" t="s">
        <v>479</v>
      </c>
      <c r="N652" s="39" t="s">
        <v>230</v>
      </c>
      <c r="O652" s="347">
        <v>0.53819444444444442</v>
      </c>
      <c r="P652" s="347">
        <v>0.53819444444444442</v>
      </c>
      <c r="Q652" s="347">
        <v>0.84027777777777779</v>
      </c>
      <c r="R652" s="348">
        <f>IF(Table6[[#This Row],[Work Start TimeStamp]]="","",(Table6[[#This Row],[Work Start TimeStamp]]-Table6[[#This Row],[Fault Start TimeStamp]])*24)</f>
        <v>0</v>
      </c>
      <c r="S652" s="349">
        <f>(Table6[[#This Row],[Fault Clearance time]]-Table6[[#This Row],[Work Start TimeStamp]])*24</f>
        <v>7.2500000000000009</v>
      </c>
      <c r="T652" s="350">
        <f>(Table6[[#This Row],[Fault Clearance time]]-Table6[[#This Row],[Fault Start TimeStamp]])*24</f>
        <v>7.2500000000000009</v>
      </c>
      <c r="U652" s="346" t="s">
        <v>1187</v>
      </c>
      <c r="V652" s="351" t="s">
        <v>463</v>
      </c>
      <c r="W652" s="338">
        <f>Table6[[#This Row],[Breakdown Time]]*(1/39)</f>
        <v>0.1858974358974359</v>
      </c>
      <c r="X652" s="336" t="s">
        <v>464</v>
      </c>
      <c r="Y652" s="352" t="s">
        <v>147</v>
      </c>
      <c r="Z652" s="105">
        <v>13853</v>
      </c>
      <c r="AA652" s="107">
        <v>4184.7604166666679</v>
      </c>
      <c r="AB652" s="105" t="s">
        <v>478</v>
      </c>
    </row>
    <row r="653" spans="1:28">
      <c r="A653" s="105">
        <f t="shared" si="10"/>
        <v>652</v>
      </c>
      <c r="B653" s="107">
        <f>YEAR(Table6[[#This Row],[Date]])+IF(MONTH(Table6[[#This Row],[Date]])&gt;=4,1,0)</f>
        <v>2026</v>
      </c>
      <c r="C653" s="105">
        <f>YEAR(Table6[[#This Row],[Date]])</f>
        <v>2025</v>
      </c>
      <c r="D653" s="105" t="s">
        <v>490</v>
      </c>
      <c r="E653" s="119">
        <f>Table6[[#This Row],[Date]]-DAY(Table6[[#This Row],[Date]])+1</f>
        <v>45778</v>
      </c>
      <c r="F653" s="118">
        <v>45806</v>
      </c>
      <c r="G653" s="105" t="s">
        <v>149</v>
      </c>
      <c r="H653" s="39" t="str">
        <f>_xlfn.XLOOKUP(Table6[[#This Row],[Affected WTG]],'Basic Data'!$A:$A,'Basic Data'!$B:$B)</f>
        <v>PWEGPL</v>
      </c>
      <c r="I653" s="39" t="str">
        <f>_xlfn.XLOOKUP(Table6[[#This Row],[Affected WTG]],'Basic Data'!$A:$A,'Basic Data'!$C:$C)</f>
        <v>MSEDCL</v>
      </c>
      <c r="J653" s="345">
        <f>IFERROR(VLOOKUP(Table6[[#This Row],[Affected WTG]],'Basic Data'!$A$3:$E$56,5,0),"")</f>
        <v>2.564102564102564E-2</v>
      </c>
      <c r="K653" s="105">
        <v>2118</v>
      </c>
      <c r="L653" s="39" t="str">
        <f>IFERROR(VLOOKUP(Table6[[#This Row],[Error Code]],'Basic Data'!$T:$U,2,0),"")</f>
        <v>Bus Error - Interbus Failure</v>
      </c>
      <c r="M653" s="346" t="s">
        <v>462</v>
      </c>
      <c r="N653" s="39" t="s">
        <v>1270</v>
      </c>
      <c r="O653" s="347">
        <v>0.70902777777777781</v>
      </c>
      <c r="P653" s="347">
        <v>0.76041666666666663</v>
      </c>
      <c r="Q653" s="347">
        <v>0.76249999999999996</v>
      </c>
      <c r="R653" s="348">
        <f>IF(Table6[[#This Row],[Work Start TimeStamp]]="","",(Table6[[#This Row],[Work Start TimeStamp]]-Table6[[#This Row],[Fault Start TimeStamp]])*24)</f>
        <v>1.2333333333333316</v>
      </c>
      <c r="S653" s="349">
        <f>(Table6[[#This Row],[Fault Clearance time]]-Table6[[#This Row],[Work Start TimeStamp]])*24</f>
        <v>4.9999999999999822E-2</v>
      </c>
      <c r="T653" s="350">
        <f>(Table6[[#This Row],[Fault Clearance time]]-Table6[[#This Row],[Fault Start TimeStamp]])*24</f>
        <v>1.2833333333333314</v>
      </c>
      <c r="U653" s="346" t="s">
        <v>491</v>
      </c>
      <c r="V653" s="351" t="s">
        <v>463</v>
      </c>
      <c r="W653" s="338">
        <f>Table6[[#This Row],[Breakdown Time]]*(1/39)</f>
        <v>3.2905982905982858E-2</v>
      </c>
      <c r="X653" s="336" t="s">
        <v>465</v>
      </c>
      <c r="Y653" s="352" t="s">
        <v>150</v>
      </c>
      <c r="Z653" s="105">
        <v>13857</v>
      </c>
      <c r="AA653" s="107">
        <v>740.96458333333226</v>
      </c>
      <c r="AB653" s="105" t="s">
        <v>478</v>
      </c>
    </row>
    <row r="654" spans="1:28">
      <c r="A654" s="105">
        <f t="shared" si="10"/>
        <v>653</v>
      </c>
      <c r="B654" s="107">
        <f>YEAR(Table6[[#This Row],[Date]])+IF(MONTH(Table6[[#This Row],[Date]])&gt;=4,1,0)</f>
        <v>2026</v>
      </c>
      <c r="C654" s="105">
        <f>YEAR(Table6[[#This Row],[Date]])</f>
        <v>2025</v>
      </c>
      <c r="D654" s="105" t="s">
        <v>490</v>
      </c>
      <c r="E654" s="119">
        <f>Table6[[#This Row],[Date]]-DAY(Table6[[#This Row],[Date]])+1</f>
        <v>45778</v>
      </c>
      <c r="F654" s="118">
        <v>45807</v>
      </c>
      <c r="G654" s="105" t="s">
        <v>144</v>
      </c>
      <c r="H654" s="39" t="str">
        <f>_xlfn.XLOOKUP(Table6[[#This Row],[Affected WTG]],'Basic Data'!$A:$A,'Basic Data'!$B:$B)</f>
        <v>PWEGPL</v>
      </c>
      <c r="I654" s="39" t="str">
        <f>_xlfn.XLOOKUP(Table6[[#This Row],[Affected WTG]],'Basic Data'!$A:$A,'Basic Data'!$C:$C)</f>
        <v>MSEDCL</v>
      </c>
      <c r="J654" s="345">
        <f>IFERROR(VLOOKUP(Table6[[#This Row],[Affected WTG]],'Basic Data'!$A$3:$E$56,5,0),"")</f>
        <v>2.564102564102564E-2</v>
      </c>
      <c r="K654" s="105" t="s">
        <v>492</v>
      </c>
      <c r="L654" s="39" t="str">
        <f>IFERROR(VLOOKUP(Table6[[#This Row],[Error Code]],'Basic Data'!$T:$U,2,0),"")</f>
        <v>Manual Stop - Safety Related</v>
      </c>
      <c r="M654" s="346" t="s">
        <v>481</v>
      </c>
      <c r="N654" s="39" t="s">
        <v>1269</v>
      </c>
      <c r="O654" s="347">
        <v>0</v>
      </c>
      <c r="P654" s="347">
        <v>0.99930555555555556</v>
      </c>
      <c r="Q654" s="347">
        <v>0.99930555555555556</v>
      </c>
      <c r="R654" s="348">
        <f>IF(Table6[[#This Row],[Work Start TimeStamp]]="","",(Table6[[#This Row],[Work Start TimeStamp]]-Table6[[#This Row],[Fault Start TimeStamp]])*24)</f>
        <v>23.983333333333334</v>
      </c>
      <c r="S654" s="349">
        <f>(Table6[[#This Row],[Fault Clearance time]]-Table6[[#This Row],[Work Start TimeStamp]])*24</f>
        <v>0</v>
      </c>
      <c r="T654" s="350">
        <f>(Table6[[#This Row],[Fault Clearance time]]-Table6[[#This Row],[Fault Start TimeStamp]])*24</f>
        <v>23.983333333333334</v>
      </c>
      <c r="U654" s="346" t="s">
        <v>498</v>
      </c>
      <c r="V654" s="351" t="s">
        <v>473</v>
      </c>
      <c r="W654" s="338">
        <f>Table6[[#This Row],[Breakdown Time]]*(1/39)</f>
        <v>0.61495726495726499</v>
      </c>
      <c r="X654" s="336" t="s">
        <v>468</v>
      </c>
      <c r="Y654" s="352" t="s">
        <v>141</v>
      </c>
      <c r="Z654" s="105">
        <v>10990</v>
      </c>
      <c r="AA654" s="107">
        <v>10982.368055555557</v>
      </c>
      <c r="AB654" s="105" t="s">
        <v>478</v>
      </c>
    </row>
    <row r="655" spans="1:28">
      <c r="A655" s="105">
        <f t="shared" si="10"/>
        <v>654</v>
      </c>
      <c r="B655" s="107">
        <f>YEAR(Table6[[#This Row],[Date]])+IF(MONTH(Table6[[#This Row],[Date]])&gt;=4,1,0)</f>
        <v>2026</v>
      </c>
      <c r="C655" s="105">
        <f>YEAR(Table6[[#This Row],[Date]])</f>
        <v>2025</v>
      </c>
      <c r="D655" s="105" t="s">
        <v>490</v>
      </c>
      <c r="E655" s="119">
        <f>Table6[[#This Row],[Date]]-DAY(Table6[[#This Row],[Date]])+1</f>
        <v>45778</v>
      </c>
      <c r="F655" s="118">
        <v>45807</v>
      </c>
      <c r="G655" s="105" t="s">
        <v>142</v>
      </c>
      <c r="H655" s="39" t="str">
        <f>_xlfn.XLOOKUP(Table6[[#This Row],[Affected WTG]],'Basic Data'!$A:$A,'Basic Data'!$B:$B)</f>
        <v>PWEGPL</v>
      </c>
      <c r="I655" s="39" t="str">
        <f>_xlfn.XLOOKUP(Table6[[#This Row],[Affected WTG]],'Basic Data'!$A:$A,'Basic Data'!$C:$C)</f>
        <v>MSEDCL</v>
      </c>
      <c r="J655" s="345">
        <f>IFERROR(VLOOKUP(Table6[[#This Row],[Affected WTG]],'Basic Data'!$A$3:$E$56,5,0),"")</f>
        <v>2.564102564102564E-2</v>
      </c>
      <c r="K655" s="105" t="s">
        <v>492</v>
      </c>
      <c r="L655" s="39" t="str">
        <f>IFERROR(VLOOKUP(Table6[[#This Row],[Error Code]],'Basic Data'!$T:$U,2,0),"")</f>
        <v>Manual Stop - Safety Related</v>
      </c>
      <c r="M655" s="346" t="s">
        <v>481</v>
      </c>
      <c r="N655" s="39" t="s">
        <v>1269</v>
      </c>
      <c r="O655" s="347">
        <v>0</v>
      </c>
      <c r="P655" s="347">
        <v>0.99930555555555556</v>
      </c>
      <c r="Q655" s="347">
        <v>0.99930555555555556</v>
      </c>
      <c r="R655" s="348">
        <f>IF(Table6[[#This Row],[Work Start TimeStamp]]="","",(Table6[[#This Row],[Work Start TimeStamp]]-Table6[[#This Row],[Fault Start TimeStamp]])*24)</f>
        <v>23.983333333333334</v>
      </c>
      <c r="S655" s="349">
        <f>(Table6[[#This Row],[Fault Clearance time]]-Table6[[#This Row],[Work Start TimeStamp]])*24</f>
        <v>0</v>
      </c>
      <c r="T655" s="350">
        <f>(Table6[[#This Row],[Fault Clearance time]]-Table6[[#This Row],[Fault Start TimeStamp]])*24</f>
        <v>23.983333333333334</v>
      </c>
      <c r="U655" s="346" t="s">
        <v>498</v>
      </c>
      <c r="V655" s="351" t="s">
        <v>473</v>
      </c>
      <c r="W655" s="338">
        <f>Table6[[#This Row],[Breakdown Time]]*(1/39)</f>
        <v>0.61495726495726499</v>
      </c>
      <c r="X655" s="336" t="s">
        <v>468</v>
      </c>
      <c r="Y655" s="352" t="s">
        <v>141</v>
      </c>
      <c r="Z655" s="105">
        <v>10990</v>
      </c>
      <c r="AA655" s="107">
        <v>10982.368055555557</v>
      </c>
      <c r="AB655" s="105" t="s">
        <v>478</v>
      </c>
    </row>
    <row r="656" spans="1:28">
      <c r="A656" s="105">
        <f t="shared" si="10"/>
        <v>655</v>
      </c>
      <c r="B656" s="107">
        <f>YEAR(Table6[[#This Row],[Date]])+IF(MONTH(Table6[[#This Row],[Date]])&gt;=4,1,0)</f>
        <v>2026</v>
      </c>
      <c r="C656" s="105">
        <f>YEAR(Table6[[#This Row],[Date]])</f>
        <v>2025</v>
      </c>
      <c r="D656" s="105" t="s">
        <v>490</v>
      </c>
      <c r="E656" s="119">
        <f>Table6[[#This Row],[Date]]-DAY(Table6[[#This Row],[Date]])+1</f>
        <v>45778</v>
      </c>
      <c r="F656" s="118">
        <v>45807</v>
      </c>
      <c r="G656" s="105" t="s">
        <v>116</v>
      </c>
      <c r="H656" s="39" t="str">
        <f>_xlfn.XLOOKUP(Table6[[#This Row],[Affected WTG]],'Basic Data'!$A:$A,'Basic Data'!$B:$B)</f>
        <v>PWEGPL</v>
      </c>
      <c r="I656" s="39" t="str">
        <f>_xlfn.XLOOKUP(Table6[[#This Row],[Affected WTG]],'Basic Data'!$A:$A,'Basic Data'!$C:$C)</f>
        <v>MSEDCL</v>
      </c>
      <c r="J656" s="345">
        <f>IFERROR(VLOOKUP(Table6[[#This Row],[Affected WTG]],'Basic Data'!$A$3:$E$56,5,0),"")</f>
        <v>2.564102564102564E-2</v>
      </c>
      <c r="K656" s="105" t="s">
        <v>466</v>
      </c>
      <c r="L656" s="39" t="str">
        <f>IFERROR(VLOOKUP(Table6[[#This Row],[Error Code]],'Basic Data'!$T:$U,2,0),"")</f>
        <v>Manual Stop</v>
      </c>
      <c r="M656" s="346" t="s">
        <v>507</v>
      </c>
      <c r="N656" s="39" t="s">
        <v>230</v>
      </c>
      <c r="O656" s="347">
        <v>0.68194444444444446</v>
      </c>
      <c r="P656" s="347">
        <v>0.68194444444444446</v>
      </c>
      <c r="Q656" s="347">
        <v>0.8125</v>
      </c>
      <c r="R656" s="348">
        <f>IF(Table6[[#This Row],[Work Start TimeStamp]]="","",(Table6[[#This Row],[Work Start TimeStamp]]-Table6[[#This Row],[Fault Start TimeStamp]])*24)</f>
        <v>0</v>
      </c>
      <c r="S656" s="349">
        <f>(Table6[[#This Row],[Fault Clearance time]]-Table6[[#This Row],[Work Start TimeStamp]])*24</f>
        <v>3.1333333333333329</v>
      </c>
      <c r="T656" s="350">
        <f>(Table6[[#This Row],[Fault Clearance time]]-Table6[[#This Row],[Fault Start TimeStamp]])*24</f>
        <v>3.1333333333333329</v>
      </c>
      <c r="U656" s="346" t="s">
        <v>1191</v>
      </c>
      <c r="V656" s="351" t="s">
        <v>463</v>
      </c>
      <c r="W656" s="338">
        <f>Table6[[#This Row],[Breakdown Time]]*(1/39)</f>
        <v>8.034188034188032E-2</v>
      </c>
      <c r="X656" s="336" t="s">
        <v>464</v>
      </c>
      <c r="Y656" s="352" t="s">
        <v>118</v>
      </c>
      <c r="Z656" s="105">
        <v>14797</v>
      </c>
      <c r="AA656" s="107">
        <v>1931.8305555555551</v>
      </c>
      <c r="AB656" s="105" t="s">
        <v>478</v>
      </c>
    </row>
    <row r="657" spans="1:28">
      <c r="A657" s="105">
        <f t="shared" si="10"/>
        <v>656</v>
      </c>
      <c r="B657" s="107">
        <f>YEAR(Table6[[#This Row],[Date]])+IF(MONTH(Table6[[#This Row],[Date]])&gt;=4,1,0)</f>
        <v>2026</v>
      </c>
      <c r="C657" s="105">
        <f>YEAR(Table6[[#This Row],[Date]])</f>
        <v>2025</v>
      </c>
      <c r="D657" s="105" t="s">
        <v>490</v>
      </c>
      <c r="E657" s="119">
        <f>Table6[[#This Row],[Date]]-DAY(Table6[[#This Row],[Date]])+1</f>
        <v>45778</v>
      </c>
      <c r="F657" s="118">
        <v>45807</v>
      </c>
      <c r="G657" s="105" t="s">
        <v>118</v>
      </c>
      <c r="H657" s="39" t="str">
        <f>_xlfn.XLOOKUP(Table6[[#This Row],[Affected WTG]],'Basic Data'!$A:$A,'Basic Data'!$B:$B)</f>
        <v>PWEGPL</v>
      </c>
      <c r="I657" s="39" t="str">
        <f>_xlfn.XLOOKUP(Table6[[#This Row],[Affected WTG]],'Basic Data'!$A:$A,'Basic Data'!$C:$C)</f>
        <v>MSEDCL</v>
      </c>
      <c r="J657" s="345">
        <f>IFERROR(VLOOKUP(Table6[[#This Row],[Affected WTG]],'Basic Data'!$A$3:$E$56,5,0),"")</f>
        <v>2.564102564102564E-2</v>
      </c>
      <c r="K657" s="105">
        <v>203</v>
      </c>
      <c r="L657" s="39" t="str">
        <f>IFERROR(VLOOKUP(Table6[[#This Row],[Error Code]],'Basic Data'!$T:$U,2,0),"")</f>
        <v>Low Pressure On Hydraulic Group</v>
      </c>
      <c r="M657" s="346" t="s">
        <v>462</v>
      </c>
      <c r="N657" s="39" t="s">
        <v>1270</v>
      </c>
      <c r="O657" s="347">
        <v>0.57430555555555551</v>
      </c>
      <c r="P657" s="347">
        <v>0.59375</v>
      </c>
      <c r="Q657" s="347">
        <v>0.62152777777777779</v>
      </c>
      <c r="R657" s="348">
        <f>IF(Table6[[#This Row],[Work Start TimeStamp]]="","",(Table6[[#This Row],[Work Start TimeStamp]]-Table6[[#This Row],[Fault Start TimeStamp]])*24)</f>
        <v>0.46666666666666767</v>
      </c>
      <c r="S657" s="349">
        <f>(Table6[[#This Row],[Fault Clearance time]]-Table6[[#This Row],[Work Start TimeStamp]])*24</f>
        <v>0.66666666666666696</v>
      </c>
      <c r="T657" s="350">
        <f>(Table6[[#This Row],[Fault Clearance time]]-Table6[[#This Row],[Fault Start TimeStamp]])*24</f>
        <v>1.1333333333333346</v>
      </c>
      <c r="U657" s="346" t="s">
        <v>1189</v>
      </c>
      <c r="V657" s="351" t="s">
        <v>463</v>
      </c>
      <c r="W657" s="338">
        <f>Table6[[#This Row],[Breakdown Time]]*(1/39)</f>
        <v>2.9059829059829092E-2</v>
      </c>
      <c r="X657" s="336" t="s">
        <v>465</v>
      </c>
      <c r="Y657" s="352" t="s">
        <v>117</v>
      </c>
      <c r="Z657" s="105">
        <v>15869</v>
      </c>
      <c r="AA657" s="107">
        <v>749.36944444444532</v>
      </c>
      <c r="AB657" s="105" t="s">
        <v>478</v>
      </c>
    </row>
    <row r="658" spans="1:28">
      <c r="A658" s="105">
        <f t="shared" si="10"/>
        <v>657</v>
      </c>
      <c r="B658" s="107">
        <f>YEAR(Table6[[#This Row],[Date]])+IF(MONTH(Table6[[#This Row],[Date]])&gt;=4,1,0)</f>
        <v>2026</v>
      </c>
      <c r="C658" s="105">
        <f>YEAR(Table6[[#This Row],[Date]])</f>
        <v>2025</v>
      </c>
      <c r="D658" s="105" t="s">
        <v>490</v>
      </c>
      <c r="E658" s="119">
        <f>Table6[[#This Row],[Date]]-DAY(Table6[[#This Row],[Date]])+1</f>
        <v>45778</v>
      </c>
      <c r="F658" s="118">
        <v>45807</v>
      </c>
      <c r="G658" s="105" t="s">
        <v>130</v>
      </c>
      <c r="H658" s="39" t="str">
        <f>_xlfn.XLOOKUP(Table6[[#This Row],[Affected WTG]],'Basic Data'!$A:$A,'Basic Data'!$B:$B)</f>
        <v>PWEGPL</v>
      </c>
      <c r="I658" s="39" t="str">
        <f>_xlfn.XLOOKUP(Table6[[#This Row],[Affected WTG]],'Basic Data'!$A:$A,'Basic Data'!$C:$C)</f>
        <v>MSEDCL</v>
      </c>
      <c r="J658" s="345">
        <f>IFERROR(VLOOKUP(Table6[[#This Row],[Affected WTG]],'Basic Data'!$A$3:$E$56,5,0),"")</f>
        <v>2.564102564102564E-2</v>
      </c>
      <c r="K658" s="105">
        <v>5202</v>
      </c>
      <c r="L658" s="39" t="str">
        <f>IFERROR(VLOOKUP(Table6[[#This Row],[Error Code]],'Basic Data'!$T:$U,2,0),"")</f>
        <v>Stator Contactor Failure</v>
      </c>
      <c r="M658" s="346" t="s">
        <v>462</v>
      </c>
      <c r="N658" s="39" t="s">
        <v>1270</v>
      </c>
      <c r="O658" s="347">
        <v>0.40625</v>
      </c>
      <c r="P658" s="347">
        <v>0.47986111111111113</v>
      </c>
      <c r="Q658" s="347">
        <v>0.58402777777777781</v>
      </c>
      <c r="R658" s="348">
        <f>IF(Table6[[#This Row],[Work Start TimeStamp]]="","",(Table6[[#This Row],[Work Start TimeStamp]]-Table6[[#This Row],[Fault Start TimeStamp]])*24)</f>
        <v>1.7666666666666671</v>
      </c>
      <c r="S658" s="349">
        <f>(Table6[[#This Row],[Fault Clearance time]]-Table6[[#This Row],[Work Start TimeStamp]])*24</f>
        <v>2.5000000000000004</v>
      </c>
      <c r="T658" s="350">
        <f>(Table6[[#This Row],[Fault Clearance time]]-Table6[[#This Row],[Fault Start TimeStamp]])*24</f>
        <v>4.2666666666666675</v>
      </c>
      <c r="U658" s="346" t="s">
        <v>1190</v>
      </c>
      <c r="V658" s="351" t="s">
        <v>463</v>
      </c>
      <c r="W658" s="338">
        <f>Table6[[#This Row],[Breakdown Time]]*(1/39)</f>
        <v>0.10940170940170942</v>
      </c>
      <c r="X658" s="336" t="s">
        <v>465</v>
      </c>
      <c r="Y658" s="352" t="s">
        <v>131</v>
      </c>
      <c r="Z658" s="105">
        <v>18675</v>
      </c>
      <c r="AA658" s="107">
        <v>3320.0000000000005</v>
      </c>
      <c r="AB658" s="105" t="s">
        <v>478</v>
      </c>
    </row>
    <row r="659" spans="1:28">
      <c r="A659" s="105">
        <f t="shared" si="10"/>
        <v>658</v>
      </c>
      <c r="B659" s="107">
        <f>YEAR(Table6[[#This Row],[Date]])+IF(MONTH(Table6[[#This Row],[Date]])&gt;=4,1,0)</f>
        <v>2026</v>
      </c>
      <c r="C659" s="105">
        <f>YEAR(Table6[[#This Row],[Date]])</f>
        <v>2025</v>
      </c>
      <c r="D659" s="105" t="s">
        <v>490</v>
      </c>
      <c r="E659" s="119">
        <f>Table6[[#This Row],[Date]]-DAY(Table6[[#This Row],[Date]])+1</f>
        <v>45778</v>
      </c>
      <c r="F659" s="118">
        <v>45807</v>
      </c>
      <c r="G659" s="105" t="s">
        <v>138</v>
      </c>
      <c r="H659" s="39" t="str">
        <f>_xlfn.XLOOKUP(Table6[[#This Row],[Affected WTG]],'Basic Data'!$A:$A,'Basic Data'!$B:$B)</f>
        <v>PWEGPL</v>
      </c>
      <c r="I659" s="39" t="str">
        <f>_xlfn.XLOOKUP(Table6[[#This Row],[Affected WTG]],'Basic Data'!$A:$A,'Basic Data'!$C:$C)</f>
        <v>MSEDCL</v>
      </c>
      <c r="J659" s="345">
        <f>IFERROR(VLOOKUP(Table6[[#This Row],[Affected WTG]],'Basic Data'!$A$3:$E$56,5,0),"")</f>
        <v>2.564102564102564E-2</v>
      </c>
      <c r="K659" s="105">
        <v>800</v>
      </c>
      <c r="L659" s="39" t="str">
        <f>IFERROR(VLOOKUP(Table6[[#This Row],[Error Code]],'Basic Data'!$T:$U,2,0),"")</f>
        <v>Pitch Drive Error</v>
      </c>
      <c r="M659" s="346" t="s">
        <v>462</v>
      </c>
      <c r="N659" s="39" t="s">
        <v>1270</v>
      </c>
      <c r="O659" s="347">
        <v>0.4513888888888889</v>
      </c>
      <c r="P659" s="347">
        <v>0.51666666666666672</v>
      </c>
      <c r="Q659" s="347">
        <v>0.86805555555555558</v>
      </c>
      <c r="R659" s="348">
        <f>IF(Table6[[#This Row],[Work Start TimeStamp]]="","",(Table6[[#This Row],[Work Start TimeStamp]]-Table6[[#This Row],[Fault Start TimeStamp]])*24)</f>
        <v>1.5666666666666678</v>
      </c>
      <c r="S659" s="349">
        <f>(Table6[[#This Row],[Fault Clearance time]]-Table6[[#This Row],[Work Start TimeStamp]])*24</f>
        <v>8.4333333333333336</v>
      </c>
      <c r="T659" s="350">
        <f>(Table6[[#This Row],[Fault Clearance time]]-Table6[[#This Row],[Fault Start TimeStamp]])*24</f>
        <v>10</v>
      </c>
      <c r="U659" s="346" t="s">
        <v>1192</v>
      </c>
      <c r="V659" s="351" t="s">
        <v>463</v>
      </c>
      <c r="W659" s="338">
        <f>Table6[[#This Row],[Breakdown Time]]*(1/39)</f>
        <v>0.25641025641025639</v>
      </c>
      <c r="X659" s="336" t="s">
        <v>465</v>
      </c>
      <c r="Y659" s="352" t="s">
        <v>140</v>
      </c>
      <c r="Z659" s="105">
        <v>11795</v>
      </c>
      <c r="AA659" s="107">
        <v>4914.583333333333</v>
      </c>
      <c r="AB659" s="105" t="s">
        <v>478</v>
      </c>
    </row>
    <row r="660" spans="1:28">
      <c r="A660" s="105">
        <f t="shared" si="10"/>
        <v>659</v>
      </c>
      <c r="B660" s="107">
        <f>YEAR(Table6[[#This Row],[Date]])+IF(MONTH(Table6[[#This Row],[Date]])&gt;=4,1,0)</f>
        <v>2026</v>
      </c>
      <c r="C660" s="105">
        <f>YEAR(Table6[[#This Row],[Date]])</f>
        <v>2025</v>
      </c>
      <c r="D660" s="105" t="s">
        <v>490</v>
      </c>
      <c r="E660" s="119">
        <f>Table6[[#This Row],[Date]]-DAY(Table6[[#This Row],[Date]])+1</f>
        <v>45778</v>
      </c>
      <c r="F660" s="118">
        <v>45807</v>
      </c>
      <c r="G660" s="105" t="s">
        <v>141</v>
      </c>
      <c r="H660" s="39" t="str">
        <f>_xlfn.XLOOKUP(Table6[[#This Row],[Affected WTG]],'Basic Data'!$A:$A,'Basic Data'!$B:$B)</f>
        <v>PWEGPL</v>
      </c>
      <c r="I660" s="39" t="str">
        <f>_xlfn.XLOOKUP(Table6[[#This Row],[Affected WTG]],'Basic Data'!$A:$A,'Basic Data'!$C:$C)</f>
        <v>MSEDCL</v>
      </c>
      <c r="J660" s="345">
        <f>IFERROR(VLOOKUP(Table6[[#This Row],[Affected WTG]],'Basic Data'!$A$3:$E$56,5,0),"")</f>
        <v>2.564102564102564E-2</v>
      </c>
      <c r="K660" s="105">
        <v>800</v>
      </c>
      <c r="L660" s="39" t="str">
        <f>IFERROR(VLOOKUP(Table6[[#This Row],[Error Code]],'Basic Data'!$T:$U,2,0),"")</f>
        <v>Pitch Drive Error</v>
      </c>
      <c r="M660" s="346" t="s">
        <v>462</v>
      </c>
      <c r="N660" s="39" t="s">
        <v>1270</v>
      </c>
      <c r="O660" s="347">
        <v>0.42708333333333331</v>
      </c>
      <c r="P660" s="347">
        <v>0.45555555555555555</v>
      </c>
      <c r="Q660" s="347">
        <v>0.50347222222222221</v>
      </c>
      <c r="R660" s="348">
        <f>IF(Table6[[#This Row],[Work Start TimeStamp]]="","",(Table6[[#This Row],[Work Start TimeStamp]]-Table6[[#This Row],[Fault Start TimeStamp]])*24)</f>
        <v>0.68333333333333357</v>
      </c>
      <c r="S660" s="349">
        <f>(Table6[[#This Row],[Fault Clearance time]]-Table6[[#This Row],[Work Start TimeStamp]])*24</f>
        <v>1.1499999999999999</v>
      </c>
      <c r="T660" s="350">
        <f>(Table6[[#This Row],[Fault Clearance time]]-Table6[[#This Row],[Fault Start TimeStamp]])*24</f>
        <v>1.8333333333333335</v>
      </c>
      <c r="U660" s="346" t="s">
        <v>1193</v>
      </c>
      <c r="V660" s="351" t="s">
        <v>463</v>
      </c>
      <c r="W660" s="338">
        <f>Table6[[#This Row],[Breakdown Time]]*(1/39)</f>
        <v>4.7008547008547008E-2</v>
      </c>
      <c r="X660" s="336" t="s">
        <v>465</v>
      </c>
      <c r="Y660" s="352" t="s">
        <v>143</v>
      </c>
      <c r="Z660" s="105">
        <v>11786</v>
      </c>
      <c r="AA660" s="107">
        <v>900.31944444444446</v>
      </c>
      <c r="AB660" s="105" t="s">
        <v>478</v>
      </c>
    </row>
    <row r="661" spans="1:28">
      <c r="A661" s="105">
        <f t="shared" si="10"/>
        <v>660</v>
      </c>
      <c r="B661" s="107">
        <f>YEAR(Table6[[#This Row],[Date]])+IF(MONTH(Table6[[#This Row],[Date]])&gt;=4,1,0)</f>
        <v>2026</v>
      </c>
      <c r="C661" s="105">
        <f>YEAR(Table6[[#This Row],[Date]])</f>
        <v>2025</v>
      </c>
      <c r="D661" s="105" t="s">
        <v>490</v>
      </c>
      <c r="E661" s="119">
        <f>Table6[[#This Row],[Date]]-DAY(Table6[[#This Row],[Date]])+1</f>
        <v>45778</v>
      </c>
      <c r="F661" s="118">
        <v>45808</v>
      </c>
      <c r="G661" s="105" t="s">
        <v>144</v>
      </c>
      <c r="H661" s="39" t="str">
        <f>_xlfn.XLOOKUP(Table6[[#This Row],[Affected WTG]],'Basic Data'!$A:$A,'Basic Data'!$B:$B)</f>
        <v>PWEGPL</v>
      </c>
      <c r="I661" s="39" t="str">
        <f>_xlfn.XLOOKUP(Table6[[#This Row],[Affected WTG]],'Basic Data'!$A:$A,'Basic Data'!$C:$C)</f>
        <v>MSEDCL</v>
      </c>
      <c r="J661" s="345">
        <f>IFERROR(VLOOKUP(Table6[[#This Row],[Affected WTG]],'Basic Data'!$A$3:$E$56,5,0),"")</f>
        <v>2.564102564102564E-2</v>
      </c>
      <c r="K661" s="105" t="s">
        <v>492</v>
      </c>
      <c r="L661" s="39" t="str">
        <f>IFERROR(VLOOKUP(Table6[[#This Row],[Error Code]],'Basic Data'!$T:$U,2,0),"")</f>
        <v>Manual Stop - Safety Related</v>
      </c>
      <c r="M661" s="346" t="s">
        <v>481</v>
      </c>
      <c r="N661" s="39" t="s">
        <v>1269</v>
      </c>
      <c r="O661" s="347">
        <v>0</v>
      </c>
      <c r="P661" s="347">
        <v>0.99930555555555556</v>
      </c>
      <c r="Q661" s="347">
        <v>0.99930555555555556</v>
      </c>
      <c r="R661" s="348">
        <f>IF(Table6[[#This Row],[Work Start TimeStamp]]="","",(Table6[[#This Row],[Work Start TimeStamp]]-Table6[[#This Row],[Fault Start TimeStamp]])*24)</f>
        <v>23.983333333333334</v>
      </c>
      <c r="S661" s="349">
        <f>(Table6[[#This Row],[Fault Clearance time]]-Table6[[#This Row],[Work Start TimeStamp]])*24</f>
        <v>0</v>
      </c>
      <c r="T661" s="350">
        <f>(Table6[[#This Row],[Fault Clearance time]]-Table6[[#This Row],[Fault Start TimeStamp]])*24</f>
        <v>23.983333333333334</v>
      </c>
      <c r="U661" s="346" t="s">
        <v>498</v>
      </c>
      <c r="V661" s="351" t="s">
        <v>473</v>
      </c>
      <c r="W661" s="338">
        <f>Table6[[#This Row],[Breakdown Time]]*(1/39)</f>
        <v>0.61495726495726499</v>
      </c>
      <c r="X661" s="336" t="s">
        <v>468</v>
      </c>
      <c r="Y661" s="352" t="s">
        <v>141</v>
      </c>
      <c r="Z661" s="105">
        <v>17189</v>
      </c>
      <c r="AA661" s="107">
        <v>17177.063194444447</v>
      </c>
      <c r="AB661" s="105" t="s">
        <v>478</v>
      </c>
    </row>
    <row r="662" spans="1:28">
      <c r="A662" s="105">
        <f t="shared" si="10"/>
        <v>661</v>
      </c>
      <c r="B662" s="107">
        <f>YEAR(Table6[[#This Row],[Date]])+IF(MONTH(Table6[[#This Row],[Date]])&gt;=4,1,0)</f>
        <v>2026</v>
      </c>
      <c r="C662" s="105">
        <f>YEAR(Table6[[#This Row],[Date]])</f>
        <v>2025</v>
      </c>
      <c r="D662" s="105" t="s">
        <v>490</v>
      </c>
      <c r="E662" s="119">
        <f>Table6[[#This Row],[Date]]-DAY(Table6[[#This Row],[Date]])+1</f>
        <v>45778</v>
      </c>
      <c r="F662" s="118">
        <v>45808</v>
      </c>
      <c r="G662" s="105" t="s">
        <v>142</v>
      </c>
      <c r="H662" s="39" t="str">
        <f>_xlfn.XLOOKUP(Table6[[#This Row],[Affected WTG]],'Basic Data'!$A:$A,'Basic Data'!$B:$B)</f>
        <v>PWEGPL</v>
      </c>
      <c r="I662" s="39" t="str">
        <f>_xlfn.XLOOKUP(Table6[[#This Row],[Affected WTG]],'Basic Data'!$A:$A,'Basic Data'!$C:$C)</f>
        <v>MSEDCL</v>
      </c>
      <c r="J662" s="345">
        <f>IFERROR(VLOOKUP(Table6[[#This Row],[Affected WTG]],'Basic Data'!$A$3:$E$56,5,0),"")</f>
        <v>2.564102564102564E-2</v>
      </c>
      <c r="K662" s="105" t="s">
        <v>492</v>
      </c>
      <c r="L662" s="39" t="str">
        <f>IFERROR(VLOOKUP(Table6[[#This Row],[Error Code]],'Basic Data'!$T:$U,2,0),"")</f>
        <v>Manual Stop - Safety Related</v>
      </c>
      <c r="M662" s="346" t="s">
        <v>481</v>
      </c>
      <c r="N662" s="39" t="s">
        <v>1269</v>
      </c>
      <c r="O662" s="347">
        <v>0</v>
      </c>
      <c r="P662" s="347">
        <v>0.99930555555555556</v>
      </c>
      <c r="Q662" s="347">
        <v>0.99930555555555556</v>
      </c>
      <c r="R662" s="348">
        <f>IF(Table6[[#This Row],[Work Start TimeStamp]]="","",(Table6[[#This Row],[Work Start TimeStamp]]-Table6[[#This Row],[Fault Start TimeStamp]])*24)</f>
        <v>23.983333333333334</v>
      </c>
      <c r="S662" s="349">
        <f>(Table6[[#This Row],[Fault Clearance time]]-Table6[[#This Row],[Work Start TimeStamp]])*24</f>
        <v>0</v>
      </c>
      <c r="T662" s="350">
        <f>(Table6[[#This Row],[Fault Clearance time]]-Table6[[#This Row],[Fault Start TimeStamp]])*24</f>
        <v>23.983333333333334</v>
      </c>
      <c r="U662" s="346" t="s">
        <v>498</v>
      </c>
      <c r="V662" s="351" t="s">
        <v>473</v>
      </c>
      <c r="W662" s="338">
        <f>Table6[[#This Row],[Breakdown Time]]*(1/39)</f>
        <v>0.61495726495726499</v>
      </c>
      <c r="X662" s="336" t="s">
        <v>468</v>
      </c>
      <c r="Y662" s="352" t="s">
        <v>141</v>
      </c>
      <c r="Z662" s="105">
        <v>17189</v>
      </c>
      <c r="AA662" s="107">
        <v>17177.063194444447</v>
      </c>
      <c r="AB662" s="105" t="s">
        <v>478</v>
      </c>
    </row>
    <row r="663" spans="1:28">
      <c r="A663" s="105">
        <f t="shared" si="10"/>
        <v>662</v>
      </c>
      <c r="B663" s="107">
        <f>YEAR(Table6[[#This Row],[Date]])+IF(MONTH(Table6[[#This Row],[Date]])&gt;=4,1,0)</f>
        <v>2026</v>
      </c>
      <c r="C663" s="105">
        <f>YEAR(Table6[[#This Row],[Date]])</f>
        <v>2025</v>
      </c>
      <c r="D663" s="105" t="s">
        <v>490</v>
      </c>
      <c r="E663" s="119">
        <f>Table6[[#This Row],[Date]]-DAY(Table6[[#This Row],[Date]])+1</f>
        <v>45778</v>
      </c>
      <c r="F663" s="118">
        <v>45808</v>
      </c>
      <c r="G663" s="105" t="s">
        <v>126</v>
      </c>
      <c r="H663" s="39" t="str">
        <f>_xlfn.XLOOKUP(Table6[[#This Row],[Affected WTG]],'Basic Data'!$A:$A,'Basic Data'!$B:$B)</f>
        <v>PWEGPL</v>
      </c>
      <c r="I663" s="39" t="str">
        <f>_xlfn.XLOOKUP(Table6[[#This Row],[Affected WTG]],'Basic Data'!$A:$A,'Basic Data'!$C:$C)</f>
        <v>MSEDCL</v>
      </c>
      <c r="J663" s="345">
        <f>IFERROR(VLOOKUP(Table6[[#This Row],[Affected WTG]],'Basic Data'!$A$3:$E$56,5,0),"")</f>
        <v>2.564102564102564E-2</v>
      </c>
      <c r="K663" s="105" t="s">
        <v>476</v>
      </c>
      <c r="L663" s="39" t="str">
        <f>IFERROR(VLOOKUP(Table6[[#This Row],[Error Code]],'Basic Data'!$T:$U,2,0),"")</f>
        <v>Manual Stop - Preventive Maintenance Activity</v>
      </c>
      <c r="M663" s="346" t="s">
        <v>474</v>
      </c>
      <c r="N663" s="39" t="s">
        <v>230</v>
      </c>
      <c r="O663" s="347">
        <v>0.46527777777777779</v>
      </c>
      <c r="P663" s="347">
        <v>0.46527777777777779</v>
      </c>
      <c r="Q663" s="347">
        <v>0.76111111111111107</v>
      </c>
      <c r="R663" s="348">
        <f>IF(Table6[[#This Row],[Work Start TimeStamp]]="","",(Table6[[#This Row],[Work Start TimeStamp]]-Table6[[#This Row],[Fault Start TimeStamp]])*24)</f>
        <v>0</v>
      </c>
      <c r="S663" s="349">
        <f>(Table6[[#This Row],[Fault Clearance time]]-Table6[[#This Row],[Work Start TimeStamp]])*24</f>
        <v>7.0999999999999988</v>
      </c>
      <c r="T663" s="350">
        <f>(Table6[[#This Row],[Fault Clearance time]]-Table6[[#This Row],[Fault Start TimeStamp]])*24</f>
        <v>7.0999999999999988</v>
      </c>
      <c r="U663" s="346" t="s">
        <v>582</v>
      </c>
      <c r="V663" s="351" t="s">
        <v>463</v>
      </c>
      <c r="W663" s="338">
        <f>Table6[[#This Row],[Breakdown Time]]*(1/39)</f>
        <v>0.18205128205128202</v>
      </c>
      <c r="X663" s="336" t="s">
        <v>467</v>
      </c>
      <c r="Y663" s="352" t="s">
        <v>127</v>
      </c>
      <c r="Z663" s="105">
        <v>26906</v>
      </c>
      <c r="AA663" s="107">
        <v>7959.6916666666648</v>
      </c>
      <c r="AB663" s="105" t="s">
        <v>478</v>
      </c>
    </row>
    <row r="664" spans="1:28">
      <c r="A664" s="105">
        <f t="shared" si="10"/>
        <v>663</v>
      </c>
      <c r="B664" s="107">
        <f>YEAR(Table6[[#This Row],[Date]])+IF(MONTH(Table6[[#This Row],[Date]])&gt;=4,1,0)</f>
        <v>2026</v>
      </c>
      <c r="C664" s="105">
        <f>YEAR(Table6[[#This Row],[Date]])</f>
        <v>2025</v>
      </c>
      <c r="D664" s="105" t="s">
        <v>490</v>
      </c>
      <c r="E664" s="119">
        <f>Table6[[#This Row],[Date]]-DAY(Table6[[#This Row],[Date]])+1</f>
        <v>45778</v>
      </c>
      <c r="F664" s="118">
        <v>45808</v>
      </c>
      <c r="G664" s="105" t="s">
        <v>119</v>
      </c>
      <c r="H664" s="39" t="str">
        <f>_xlfn.XLOOKUP(Table6[[#This Row],[Affected WTG]],'Basic Data'!$A:$A,'Basic Data'!$B:$B)</f>
        <v>PWEGPL</v>
      </c>
      <c r="I664" s="39" t="str">
        <f>_xlfn.XLOOKUP(Table6[[#This Row],[Affected WTG]],'Basic Data'!$A:$A,'Basic Data'!$C:$C)</f>
        <v>MSEDCL</v>
      </c>
      <c r="J664" s="345">
        <f>IFERROR(VLOOKUP(Table6[[#This Row],[Affected WTG]],'Basic Data'!$A$3:$E$56,5,0),"")</f>
        <v>2.564102564102564E-2</v>
      </c>
      <c r="K664" s="105">
        <v>2100</v>
      </c>
      <c r="L664" s="39" t="str">
        <f>IFERROR(VLOOKUP(Table6[[#This Row],[Error Code]],'Basic Data'!$T:$U,2,0),"")</f>
        <v>PLC Voltage Recovery</v>
      </c>
      <c r="M664" s="346" t="s">
        <v>462</v>
      </c>
      <c r="N664" s="39" t="s">
        <v>1270</v>
      </c>
      <c r="O664" s="347">
        <v>0.53125</v>
      </c>
      <c r="P664" s="347">
        <v>0.56944444444444442</v>
      </c>
      <c r="Q664" s="347">
        <v>0.5708333333333333</v>
      </c>
      <c r="R664" s="348">
        <f>IF(Table6[[#This Row],[Work Start TimeStamp]]="","",(Table6[[#This Row],[Work Start TimeStamp]]-Table6[[#This Row],[Fault Start TimeStamp]])*24)</f>
        <v>0.91666666666666607</v>
      </c>
      <c r="S664" s="349">
        <f>(Table6[[#This Row],[Fault Clearance time]]-Table6[[#This Row],[Work Start TimeStamp]])*24</f>
        <v>3.3333333333333215E-2</v>
      </c>
      <c r="T664" s="350">
        <f>(Table6[[#This Row],[Fault Clearance time]]-Table6[[#This Row],[Fault Start TimeStamp]])*24</f>
        <v>0.94999999999999929</v>
      </c>
      <c r="U664" s="346" t="s">
        <v>493</v>
      </c>
      <c r="V664" s="351" t="s">
        <v>463</v>
      </c>
      <c r="W664" s="338">
        <f>Table6[[#This Row],[Breakdown Time]]*(1/39)</f>
        <v>2.4358974358974338E-2</v>
      </c>
      <c r="X664" s="336" t="s">
        <v>465</v>
      </c>
      <c r="Y664" s="352" t="s">
        <v>136</v>
      </c>
      <c r="Z664" s="105">
        <v>17167</v>
      </c>
      <c r="AA664" s="107">
        <v>679.52708333333283</v>
      </c>
      <c r="AB664" s="105" t="s">
        <v>478</v>
      </c>
    </row>
    <row r="665" spans="1:28">
      <c r="A665" s="105">
        <f t="shared" si="10"/>
        <v>664</v>
      </c>
      <c r="B665" s="107">
        <f>YEAR(Table6[[#This Row],[Date]])+IF(MONTH(Table6[[#This Row],[Date]])&gt;=4,1,0)</f>
        <v>2026</v>
      </c>
      <c r="C665" s="105">
        <f>YEAR(Table6[[#This Row],[Date]])</f>
        <v>2025</v>
      </c>
      <c r="D665" s="105" t="s">
        <v>490</v>
      </c>
      <c r="E665" s="119">
        <f>Table6[[#This Row],[Date]]-DAY(Table6[[#This Row],[Date]])+1</f>
        <v>45778</v>
      </c>
      <c r="F665" s="118">
        <v>45808</v>
      </c>
      <c r="G665" s="105" t="s">
        <v>135</v>
      </c>
      <c r="H665" s="39" t="str">
        <f>_xlfn.XLOOKUP(Table6[[#This Row],[Affected WTG]],'Basic Data'!$A:$A,'Basic Data'!$B:$B)</f>
        <v>PWEGPL</v>
      </c>
      <c r="I665" s="39" t="str">
        <f>_xlfn.XLOOKUP(Table6[[#This Row],[Affected WTG]],'Basic Data'!$A:$A,'Basic Data'!$C:$C)</f>
        <v>MSEDCL</v>
      </c>
      <c r="J665" s="345">
        <f>IFERROR(VLOOKUP(Table6[[#This Row],[Affected WTG]],'Basic Data'!$A$3:$E$56,5,0),"")</f>
        <v>2.564102564102564E-2</v>
      </c>
      <c r="K665" s="105">
        <v>5219</v>
      </c>
      <c r="L665" s="39" t="str">
        <f>IFERROR(VLOOKUP(Table6[[#This Row],[Error Code]],'Basic Data'!$T:$U,2,0),"")</f>
        <v>Coolant Of The Coolant Circuit Failure</v>
      </c>
      <c r="M665" s="346" t="s">
        <v>462</v>
      </c>
      <c r="N665" s="39" t="s">
        <v>1270</v>
      </c>
      <c r="O665" s="347">
        <v>0.53125</v>
      </c>
      <c r="P665" s="347">
        <v>0.54166666666666663</v>
      </c>
      <c r="Q665" s="347">
        <v>0.59722222222222221</v>
      </c>
      <c r="R665" s="348">
        <f>IF(Table6[[#This Row],[Work Start TimeStamp]]="","",(Table6[[#This Row],[Work Start TimeStamp]]-Table6[[#This Row],[Fault Start TimeStamp]])*24)</f>
        <v>0.24999999999999911</v>
      </c>
      <c r="S665" s="349">
        <f>(Table6[[#This Row],[Fault Clearance time]]-Table6[[#This Row],[Work Start TimeStamp]])*24</f>
        <v>1.3333333333333339</v>
      </c>
      <c r="T665" s="350">
        <f>(Table6[[#This Row],[Fault Clearance time]]-Table6[[#This Row],[Fault Start TimeStamp]])*24</f>
        <v>1.583333333333333</v>
      </c>
      <c r="U665" s="346" t="s">
        <v>511</v>
      </c>
      <c r="V665" s="351" t="s">
        <v>463</v>
      </c>
      <c r="W665" s="338">
        <f>Table6[[#This Row],[Breakdown Time]]*(1/39)</f>
        <v>4.0598290598290586E-2</v>
      </c>
      <c r="X665" s="336" t="s">
        <v>465</v>
      </c>
      <c r="Y665" s="352" t="s">
        <v>136</v>
      </c>
      <c r="Z665" s="105">
        <v>17167</v>
      </c>
      <c r="AA665" s="107">
        <v>1132.5451388888887</v>
      </c>
      <c r="AB665" s="105" t="s">
        <v>478</v>
      </c>
    </row>
    <row r="666" spans="1:28">
      <c r="A666" s="105">
        <f t="shared" si="10"/>
        <v>665</v>
      </c>
      <c r="B666" s="107">
        <f>YEAR(Table6[[#This Row],[Date]])+IF(MONTH(Table6[[#This Row],[Date]])&gt;=4,1,0)</f>
        <v>2026</v>
      </c>
      <c r="C666" s="105">
        <f>YEAR(Table6[[#This Row],[Date]])</f>
        <v>2025</v>
      </c>
      <c r="D666" s="105" t="s">
        <v>490</v>
      </c>
      <c r="E666" s="119">
        <f>Table6[[#This Row],[Date]]-DAY(Table6[[#This Row],[Date]])+1</f>
        <v>45778</v>
      </c>
      <c r="F666" s="118">
        <v>45808</v>
      </c>
      <c r="G666" s="105" t="s">
        <v>136</v>
      </c>
      <c r="H666" s="39" t="str">
        <f>_xlfn.XLOOKUP(Table6[[#This Row],[Affected WTG]],'Basic Data'!$A:$A,'Basic Data'!$B:$B)</f>
        <v>PWEGPL</v>
      </c>
      <c r="I666" s="39" t="str">
        <f>_xlfn.XLOOKUP(Table6[[#This Row],[Affected WTG]],'Basic Data'!$A:$A,'Basic Data'!$C:$C)</f>
        <v>MSEDCL</v>
      </c>
      <c r="J666" s="345">
        <f>IFERROR(VLOOKUP(Table6[[#This Row],[Affected WTG]],'Basic Data'!$A$3:$E$56,5,0),"")</f>
        <v>2.564102564102564E-2</v>
      </c>
      <c r="K666" s="105">
        <v>2100</v>
      </c>
      <c r="L666" s="39" t="str">
        <f>IFERROR(VLOOKUP(Table6[[#This Row],[Error Code]],'Basic Data'!$T:$U,2,0),"")</f>
        <v>PLC Voltage Recovery</v>
      </c>
      <c r="M666" s="346" t="s">
        <v>462</v>
      </c>
      <c r="N666" s="39" t="s">
        <v>1270</v>
      </c>
      <c r="O666" s="347">
        <v>0.53125</v>
      </c>
      <c r="P666" s="347">
        <v>0.54861111111111116</v>
      </c>
      <c r="Q666" s="347">
        <v>0.55000000000000004</v>
      </c>
      <c r="R666" s="348">
        <f>IF(Table6[[#This Row],[Work Start TimeStamp]]="","",(Table6[[#This Row],[Work Start TimeStamp]]-Table6[[#This Row],[Fault Start TimeStamp]])*24)</f>
        <v>0.41666666666666785</v>
      </c>
      <c r="S666" s="349">
        <f>(Table6[[#This Row],[Fault Clearance time]]-Table6[[#This Row],[Work Start TimeStamp]])*24</f>
        <v>3.3333333333333215E-2</v>
      </c>
      <c r="T666" s="350">
        <f>(Table6[[#This Row],[Fault Clearance time]]-Table6[[#This Row],[Fault Start TimeStamp]])*24</f>
        <v>0.45000000000000107</v>
      </c>
      <c r="U666" s="346" t="s">
        <v>493</v>
      </c>
      <c r="V666" s="351" t="s">
        <v>463</v>
      </c>
      <c r="W666" s="338">
        <f>Table6[[#This Row],[Breakdown Time]]*(1/39)</f>
        <v>1.1538461538461565E-2</v>
      </c>
      <c r="X666" s="336" t="s">
        <v>465</v>
      </c>
      <c r="Y666" s="352" t="s">
        <v>135</v>
      </c>
      <c r="Z666" s="105">
        <v>17115</v>
      </c>
      <c r="AA666" s="107">
        <v>320.90625000000074</v>
      </c>
      <c r="AB666" s="105" t="s">
        <v>478</v>
      </c>
    </row>
    <row r="667" spans="1:28">
      <c r="A667" s="105">
        <f t="shared" si="10"/>
        <v>666</v>
      </c>
      <c r="B667" s="107">
        <f>YEAR(Table6[[#This Row],[Date]])+IF(MONTH(Table6[[#This Row],[Date]])&gt;=4,1,0)</f>
        <v>2026</v>
      </c>
      <c r="C667" s="105">
        <f>YEAR(Table6[[#This Row],[Date]])</f>
        <v>2025</v>
      </c>
      <c r="D667" s="105" t="s">
        <v>490</v>
      </c>
      <c r="E667" s="119">
        <f>Table6[[#This Row],[Date]]-DAY(Table6[[#This Row],[Date]])+1</f>
        <v>45778</v>
      </c>
      <c r="F667" s="118">
        <v>45808</v>
      </c>
      <c r="G667" s="105" t="s">
        <v>137</v>
      </c>
      <c r="H667" s="39" t="str">
        <f>_xlfn.XLOOKUP(Table6[[#This Row],[Affected WTG]],'Basic Data'!$A:$A,'Basic Data'!$B:$B)</f>
        <v>PWEGPL</v>
      </c>
      <c r="I667" s="39" t="str">
        <f>_xlfn.XLOOKUP(Table6[[#This Row],[Affected WTG]],'Basic Data'!$A:$A,'Basic Data'!$C:$C)</f>
        <v>MSEDCL</v>
      </c>
      <c r="J667" s="345">
        <f>IFERROR(VLOOKUP(Table6[[#This Row],[Affected WTG]],'Basic Data'!$A$3:$E$56,5,0),"")</f>
        <v>2.564102564102564E-2</v>
      </c>
      <c r="K667" s="105">
        <v>2100</v>
      </c>
      <c r="L667" s="39" t="str">
        <f>IFERROR(VLOOKUP(Table6[[#This Row],[Error Code]],'Basic Data'!$T:$U,2,0),"")</f>
        <v>PLC Voltage Recovery</v>
      </c>
      <c r="M667" s="346" t="s">
        <v>462</v>
      </c>
      <c r="N667" s="39" t="s">
        <v>1270</v>
      </c>
      <c r="O667" s="347">
        <v>0.53125</v>
      </c>
      <c r="P667" s="347">
        <v>0.5625</v>
      </c>
      <c r="Q667" s="347">
        <v>0.56388888888888888</v>
      </c>
      <c r="R667" s="348">
        <f>IF(Table6[[#This Row],[Work Start TimeStamp]]="","",(Table6[[#This Row],[Work Start TimeStamp]]-Table6[[#This Row],[Fault Start TimeStamp]])*24)</f>
        <v>0.75</v>
      </c>
      <c r="S667" s="349">
        <f>(Table6[[#This Row],[Fault Clearance time]]-Table6[[#This Row],[Work Start TimeStamp]])*24</f>
        <v>3.3333333333333215E-2</v>
      </c>
      <c r="T667" s="350">
        <f>(Table6[[#This Row],[Fault Clearance time]]-Table6[[#This Row],[Fault Start TimeStamp]])*24</f>
        <v>0.78333333333333321</v>
      </c>
      <c r="U667" s="346" t="s">
        <v>493</v>
      </c>
      <c r="V667" s="351" t="s">
        <v>463</v>
      </c>
      <c r="W667" s="338">
        <f>Table6[[#This Row],[Breakdown Time]]*(1/39)</f>
        <v>2.008547008547008E-2</v>
      </c>
      <c r="X667" s="336" t="s">
        <v>465</v>
      </c>
      <c r="Y667" s="352" t="s">
        <v>119</v>
      </c>
      <c r="Z667" s="105">
        <v>17106</v>
      </c>
      <c r="AA667" s="107">
        <v>558.32083333333321</v>
      </c>
      <c r="AB667" s="105" t="s">
        <v>478</v>
      </c>
    </row>
    <row r="668" spans="1:28">
      <c r="A668" s="105">
        <f t="shared" si="10"/>
        <v>667</v>
      </c>
      <c r="B668" s="107">
        <f>YEAR(Table6[[#This Row],[Date]])+IF(MONTH(Table6[[#This Row],[Date]])&gt;=4,1,0)</f>
        <v>2026</v>
      </c>
      <c r="C668" s="105">
        <f>YEAR(Table6[[#This Row],[Date]])</f>
        <v>2025</v>
      </c>
      <c r="D668" s="105" t="s">
        <v>490</v>
      </c>
      <c r="E668" s="119">
        <f>Table6[[#This Row],[Date]]-DAY(Table6[[#This Row],[Date]])+1</f>
        <v>45778</v>
      </c>
      <c r="F668" s="118">
        <v>45808</v>
      </c>
      <c r="G668" s="105" t="s">
        <v>138</v>
      </c>
      <c r="H668" s="39" t="str">
        <f>_xlfn.XLOOKUP(Table6[[#This Row],[Affected WTG]],'Basic Data'!$A:$A,'Basic Data'!$B:$B)</f>
        <v>PWEGPL</v>
      </c>
      <c r="I668" s="39" t="str">
        <f>_xlfn.XLOOKUP(Table6[[#This Row],[Affected WTG]],'Basic Data'!$A:$A,'Basic Data'!$C:$C)</f>
        <v>MSEDCL</v>
      </c>
      <c r="J668" s="345">
        <f>IFERROR(VLOOKUP(Table6[[#This Row],[Affected WTG]],'Basic Data'!$A$3:$E$56,5,0),"")</f>
        <v>2.564102564102564E-2</v>
      </c>
      <c r="K668" s="105">
        <v>5203</v>
      </c>
      <c r="L668" s="39" t="str">
        <f>IFERROR(VLOOKUP(Table6[[#This Row],[Error Code]],'Basic Data'!$T:$U,2,0),"")</f>
        <v>Heating/Coolant Thermal Magnetic Failure</v>
      </c>
      <c r="M668" s="346" t="s">
        <v>462</v>
      </c>
      <c r="N668" s="39" t="s">
        <v>1270</v>
      </c>
      <c r="O668" s="347">
        <v>0.1875</v>
      </c>
      <c r="P668" s="347">
        <v>0.22222222222222221</v>
      </c>
      <c r="Q668" s="347">
        <v>0.22361111111111112</v>
      </c>
      <c r="R668" s="348">
        <f>IF(Table6[[#This Row],[Work Start TimeStamp]]="","",(Table6[[#This Row],[Work Start TimeStamp]]-Table6[[#This Row],[Fault Start TimeStamp]])*24)</f>
        <v>0.83333333333333304</v>
      </c>
      <c r="S668" s="349">
        <f>(Table6[[#This Row],[Fault Clearance time]]-Table6[[#This Row],[Work Start TimeStamp]])*24</f>
        <v>3.3333333333333881E-2</v>
      </c>
      <c r="T668" s="350">
        <f>(Table6[[#This Row],[Fault Clearance time]]-Table6[[#This Row],[Fault Start TimeStamp]])*24</f>
        <v>0.86666666666666692</v>
      </c>
      <c r="U668" s="346" t="s">
        <v>493</v>
      </c>
      <c r="V668" s="351" t="s">
        <v>463</v>
      </c>
      <c r="W668" s="338">
        <f>Table6[[#This Row],[Breakdown Time]]*(1/39)</f>
        <v>2.2222222222222227E-2</v>
      </c>
      <c r="X668" s="336" t="s">
        <v>465</v>
      </c>
      <c r="Y668" s="352" t="s">
        <v>140</v>
      </c>
      <c r="Z668" s="105">
        <v>17190</v>
      </c>
      <c r="AA668" s="107">
        <v>620.75000000000023</v>
      </c>
      <c r="AB668" s="105" t="s">
        <v>478</v>
      </c>
    </row>
    <row r="669" spans="1:28">
      <c r="A669" s="105">
        <f t="shared" si="10"/>
        <v>668</v>
      </c>
      <c r="B669" s="107">
        <f>YEAR(Table6[[#This Row],[Date]])+IF(MONTH(Table6[[#This Row],[Date]])&gt;=4,1,0)</f>
        <v>2026</v>
      </c>
      <c r="C669" s="105">
        <f>YEAR(Table6[[#This Row],[Date]])</f>
        <v>2025</v>
      </c>
      <c r="D669" s="105" t="s">
        <v>490</v>
      </c>
      <c r="E669" s="119">
        <f>Table6[[#This Row],[Date]]-DAY(Table6[[#This Row],[Date]])+1</f>
        <v>45778</v>
      </c>
      <c r="F669" s="118">
        <v>45808</v>
      </c>
      <c r="G669" s="105" t="s">
        <v>138</v>
      </c>
      <c r="H669" s="39" t="str">
        <f>_xlfn.XLOOKUP(Table6[[#This Row],[Affected WTG]],'Basic Data'!$A:$A,'Basic Data'!$B:$B)</f>
        <v>PWEGPL</v>
      </c>
      <c r="I669" s="39" t="str">
        <f>_xlfn.XLOOKUP(Table6[[#This Row],[Affected WTG]],'Basic Data'!$A:$A,'Basic Data'!$C:$C)</f>
        <v>MSEDCL</v>
      </c>
      <c r="J669" s="345">
        <f>IFERROR(VLOOKUP(Table6[[#This Row],[Affected WTG]],'Basic Data'!$A$3:$E$56,5,0),"")</f>
        <v>2.564102564102564E-2</v>
      </c>
      <c r="K669" s="105">
        <v>5203</v>
      </c>
      <c r="L669" s="39" t="str">
        <f>IFERROR(VLOOKUP(Table6[[#This Row],[Error Code]],'Basic Data'!$T:$U,2,0),"")</f>
        <v>Heating/Coolant Thermal Magnetic Failure</v>
      </c>
      <c r="M669" s="346" t="s">
        <v>462</v>
      </c>
      <c r="N669" s="39" t="s">
        <v>1270</v>
      </c>
      <c r="O669" s="347">
        <v>0.40763888888888888</v>
      </c>
      <c r="P669" s="347">
        <v>0.48888888888888887</v>
      </c>
      <c r="Q669" s="347">
        <v>0.61111111111111116</v>
      </c>
      <c r="R669" s="348">
        <f>IF(Table6[[#This Row],[Work Start TimeStamp]]="","",(Table6[[#This Row],[Work Start TimeStamp]]-Table6[[#This Row],[Fault Start TimeStamp]])*24)</f>
        <v>1.9499999999999997</v>
      </c>
      <c r="S669" s="349">
        <f>(Table6[[#This Row],[Fault Clearance time]]-Table6[[#This Row],[Work Start TimeStamp]])*24</f>
        <v>2.9333333333333349</v>
      </c>
      <c r="T669" s="350">
        <f>(Table6[[#This Row],[Fault Clearance time]]-Table6[[#This Row],[Fault Start TimeStamp]])*24</f>
        <v>4.8833333333333346</v>
      </c>
      <c r="U669" s="346" t="s">
        <v>1198</v>
      </c>
      <c r="V669" s="351" t="s">
        <v>463</v>
      </c>
      <c r="W669" s="338">
        <f>Table6[[#This Row],[Breakdown Time]]*(1/39)</f>
        <v>0.12521367521367524</v>
      </c>
      <c r="X669" s="336" t="s">
        <v>465</v>
      </c>
      <c r="Y669" s="352" t="s">
        <v>140</v>
      </c>
      <c r="Z669" s="105">
        <v>17190</v>
      </c>
      <c r="AA669" s="107">
        <v>3497.6875000000009</v>
      </c>
      <c r="AB669" s="105" t="s">
        <v>478</v>
      </c>
    </row>
    <row r="670" spans="1:28">
      <c r="A670" s="105">
        <f t="shared" si="10"/>
        <v>669</v>
      </c>
      <c r="B670" s="107">
        <f>YEAR(Table6[[#This Row],[Date]])+IF(MONTH(Table6[[#This Row],[Date]])&gt;=4,1,0)</f>
        <v>2026</v>
      </c>
      <c r="C670" s="105">
        <f>YEAR(Table6[[#This Row],[Date]])</f>
        <v>2025</v>
      </c>
      <c r="D670" s="105" t="s">
        <v>490</v>
      </c>
      <c r="E670" s="119">
        <f>Table6[[#This Row],[Date]]-DAY(Table6[[#This Row],[Date]])+1</f>
        <v>45778</v>
      </c>
      <c r="F670" s="118">
        <v>45808</v>
      </c>
      <c r="G670" s="105" t="s">
        <v>139</v>
      </c>
      <c r="H670" s="39" t="str">
        <f>_xlfn.XLOOKUP(Table6[[#This Row],[Affected WTG]],'Basic Data'!$A:$A,'Basic Data'!$B:$B)</f>
        <v>PWEGPL</v>
      </c>
      <c r="I670" s="39" t="str">
        <f>_xlfn.XLOOKUP(Table6[[#This Row],[Affected WTG]],'Basic Data'!$A:$A,'Basic Data'!$C:$C)</f>
        <v>MSEDCL</v>
      </c>
      <c r="J670" s="345">
        <f>IFERROR(VLOOKUP(Table6[[#This Row],[Affected WTG]],'Basic Data'!$A$3:$E$56,5,0),"")</f>
        <v>2.564102564102564E-2</v>
      </c>
      <c r="K670" s="105">
        <v>2118</v>
      </c>
      <c r="L670" s="39" t="str">
        <f>IFERROR(VLOOKUP(Table6[[#This Row],[Error Code]],'Basic Data'!$T:$U,2,0),"")</f>
        <v>Bus Error - Interbus Failure</v>
      </c>
      <c r="M670" s="346" t="s">
        <v>462</v>
      </c>
      <c r="N670" s="39" t="s">
        <v>1270</v>
      </c>
      <c r="O670" s="347">
        <v>0.3611111111111111</v>
      </c>
      <c r="P670" s="347">
        <v>0.39027777777777778</v>
      </c>
      <c r="Q670" s="347">
        <v>0.56597222222222221</v>
      </c>
      <c r="R670" s="348">
        <f>IF(Table6[[#This Row],[Work Start TimeStamp]]="","",(Table6[[#This Row],[Work Start TimeStamp]]-Table6[[#This Row],[Fault Start TimeStamp]])*24)</f>
        <v>0.70000000000000018</v>
      </c>
      <c r="S670" s="349">
        <f>(Table6[[#This Row],[Fault Clearance time]]-Table6[[#This Row],[Work Start TimeStamp]])*24</f>
        <v>4.2166666666666668</v>
      </c>
      <c r="T670" s="350">
        <f>(Table6[[#This Row],[Fault Clearance time]]-Table6[[#This Row],[Fault Start TimeStamp]])*24</f>
        <v>4.9166666666666661</v>
      </c>
      <c r="U670" s="346" t="s">
        <v>489</v>
      </c>
      <c r="V670" s="351" t="s">
        <v>463</v>
      </c>
      <c r="W670" s="338">
        <f>Table6[[#This Row],[Breakdown Time]]*(1/39)</f>
        <v>0.12606837606837604</v>
      </c>
      <c r="X670" s="336" t="s">
        <v>465</v>
      </c>
      <c r="Y670" s="352" t="s">
        <v>145</v>
      </c>
      <c r="Z670" s="105">
        <v>17851</v>
      </c>
      <c r="AA670" s="107">
        <v>3656.9756944444439</v>
      </c>
      <c r="AB670" s="105" t="s">
        <v>478</v>
      </c>
    </row>
    <row r="671" spans="1:28">
      <c r="A671" s="105">
        <f t="shared" si="10"/>
        <v>670</v>
      </c>
      <c r="B671" s="107">
        <f>YEAR(Table6[[#This Row],[Date]])+IF(MONTH(Table6[[#This Row],[Date]])&gt;=4,1,0)</f>
        <v>2026</v>
      </c>
      <c r="C671" s="105">
        <f>YEAR(Table6[[#This Row],[Date]])</f>
        <v>2025</v>
      </c>
      <c r="D671" s="105" t="s">
        <v>490</v>
      </c>
      <c r="E671" s="119">
        <f>Table6[[#This Row],[Date]]-DAY(Table6[[#This Row],[Date]])+1</f>
        <v>45778</v>
      </c>
      <c r="F671" s="118">
        <v>45808</v>
      </c>
      <c r="G671" s="105" t="s">
        <v>139</v>
      </c>
      <c r="H671" s="39" t="str">
        <f>_xlfn.XLOOKUP(Table6[[#This Row],[Affected WTG]],'Basic Data'!$A:$A,'Basic Data'!$B:$B)</f>
        <v>PWEGPL</v>
      </c>
      <c r="I671" s="39" t="str">
        <f>_xlfn.XLOOKUP(Table6[[#This Row],[Affected WTG]],'Basic Data'!$A:$A,'Basic Data'!$C:$C)</f>
        <v>MSEDCL</v>
      </c>
      <c r="J671" s="345">
        <f>IFERROR(VLOOKUP(Table6[[#This Row],[Affected WTG]],'Basic Data'!$A$3:$E$56,5,0),"")</f>
        <v>2.564102564102564E-2</v>
      </c>
      <c r="K671" s="105">
        <v>2118</v>
      </c>
      <c r="L671" s="39" t="str">
        <f>IFERROR(VLOOKUP(Table6[[#This Row],[Error Code]],'Basic Data'!$T:$U,2,0),"")</f>
        <v>Bus Error - Interbus Failure</v>
      </c>
      <c r="M671" s="346" t="s">
        <v>462</v>
      </c>
      <c r="N671" s="39" t="s">
        <v>1270</v>
      </c>
      <c r="O671" s="347">
        <v>0.60069444444444442</v>
      </c>
      <c r="P671" s="347">
        <v>0.60763888888888884</v>
      </c>
      <c r="Q671" s="347">
        <v>0.68055555555555558</v>
      </c>
      <c r="R671" s="348">
        <f>IF(Table6[[#This Row],[Work Start TimeStamp]]="","",(Table6[[#This Row],[Work Start TimeStamp]]-Table6[[#This Row],[Fault Start TimeStamp]])*24)</f>
        <v>0.16666666666666607</v>
      </c>
      <c r="S671" s="349">
        <f>(Table6[[#This Row],[Fault Clearance time]]-Table6[[#This Row],[Work Start TimeStamp]])*24</f>
        <v>1.7500000000000018</v>
      </c>
      <c r="T671" s="350">
        <f>(Table6[[#This Row],[Fault Clearance time]]-Table6[[#This Row],[Fault Start TimeStamp]])*24</f>
        <v>1.9166666666666679</v>
      </c>
      <c r="U671" s="346" t="s">
        <v>1199</v>
      </c>
      <c r="V671" s="351" t="s">
        <v>463</v>
      </c>
      <c r="W671" s="338">
        <f>Table6[[#This Row],[Breakdown Time]]*(1/39)</f>
        <v>4.9145299145299172E-2</v>
      </c>
      <c r="X671" s="336" t="s">
        <v>465</v>
      </c>
      <c r="Y671" s="352" t="s">
        <v>145</v>
      </c>
      <c r="Z671" s="105">
        <v>17851</v>
      </c>
      <c r="AA671" s="107">
        <v>1425.6006944444453</v>
      </c>
      <c r="AB671" s="105" t="s">
        <v>478</v>
      </c>
    </row>
    <row r="672" spans="1:28">
      <c r="A672" s="105">
        <f t="shared" si="10"/>
        <v>671</v>
      </c>
      <c r="B672" s="107">
        <f>YEAR(Table6[[#This Row],[Date]])+IF(MONTH(Table6[[#This Row],[Date]])&gt;=4,1,0)</f>
        <v>2026</v>
      </c>
      <c r="C672" s="105">
        <f>YEAR(Table6[[#This Row],[Date]])</f>
        <v>2025</v>
      </c>
      <c r="D672" s="105" t="s">
        <v>490</v>
      </c>
      <c r="E672" s="119">
        <f>Table6[[#This Row],[Date]]-DAY(Table6[[#This Row],[Date]])+1</f>
        <v>45778</v>
      </c>
      <c r="F672" s="118">
        <v>45808</v>
      </c>
      <c r="G672" s="105" t="s">
        <v>139</v>
      </c>
      <c r="H672" s="39" t="str">
        <f>_xlfn.XLOOKUP(Table6[[#This Row],[Affected WTG]],'Basic Data'!$A:$A,'Basic Data'!$B:$B)</f>
        <v>PWEGPL</v>
      </c>
      <c r="I672" s="39" t="str">
        <f>_xlfn.XLOOKUP(Table6[[#This Row],[Affected WTG]],'Basic Data'!$A:$A,'Basic Data'!$C:$C)</f>
        <v>MSEDCL</v>
      </c>
      <c r="J672" s="345">
        <f>IFERROR(VLOOKUP(Table6[[#This Row],[Affected WTG]],'Basic Data'!$A$3:$E$56,5,0),"")</f>
        <v>2.564102564102564E-2</v>
      </c>
      <c r="K672" s="105">
        <v>2118</v>
      </c>
      <c r="L672" s="39" t="str">
        <f>IFERROR(VLOOKUP(Table6[[#This Row],[Error Code]],'Basic Data'!$T:$U,2,0),"")</f>
        <v>Bus Error - Interbus Failure</v>
      </c>
      <c r="M672" s="346" t="s">
        <v>462</v>
      </c>
      <c r="N672" s="39" t="s">
        <v>1270</v>
      </c>
      <c r="O672" s="347">
        <v>0.70902777777777781</v>
      </c>
      <c r="P672" s="347">
        <v>0.70902777777777781</v>
      </c>
      <c r="Q672" s="347">
        <v>0.8125</v>
      </c>
      <c r="R672" s="348">
        <f>IF(Table6[[#This Row],[Work Start TimeStamp]]="","",(Table6[[#This Row],[Work Start TimeStamp]]-Table6[[#This Row],[Fault Start TimeStamp]])*24)</f>
        <v>0</v>
      </c>
      <c r="S672" s="349">
        <f>(Table6[[#This Row],[Fault Clearance time]]-Table6[[#This Row],[Work Start TimeStamp]])*24</f>
        <v>2.4833333333333325</v>
      </c>
      <c r="T672" s="350">
        <f>(Table6[[#This Row],[Fault Clearance time]]-Table6[[#This Row],[Fault Start TimeStamp]])*24</f>
        <v>2.4833333333333325</v>
      </c>
      <c r="U672" s="346" t="s">
        <v>1200</v>
      </c>
      <c r="V672" s="351" t="s">
        <v>463</v>
      </c>
      <c r="W672" s="338">
        <f>Table6[[#This Row],[Breakdown Time]]*(1/39)</f>
        <v>6.3675213675213657E-2</v>
      </c>
      <c r="X672" s="336" t="s">
        <v>465</v>
      </c>
      <c r="Y672" s="352" t="s">
        <v>145</v>
      </c>
      <c r="Z672" s="105">
        <v>17851</v>
      </c>
      <c r="AA672" s="107">
        <v>1847.0826388888881</v>
      </c>
      <c r="AB672" s="105" t="s">
        <v>478</v>
      </c>
    </row>
    <row r="673" spans="1:28">
      <c r="A673" s="105">
        <f t="shared" si="10"/>
        <v>672</v>
      </c>
      <c r="B673" s="107">
        <f>YEAR(Table6[[#This Row],[Date]])+IF(MONTH(Table6[[#This Row],[Date]])&gt;=4,1,0)</f>
        <v>2026</v>
      </c>
      <c r="C673" s="105">
        <f>YEAR(Table6[[#This Row],[Date]])</f>
        <v>2025</v>
      </c>
      <c r="D673" s="105" t="s">
        <v>490</v>
      </c>
      <c r="E673" s="119">
        <f>Table6[[#This Row],[Date]]-DAY(Table6[[#This Row],[Date]])+1</f>
        <v>45778</v>
      </c>
      <c r="F673" s="118">
        <v>45808</v>
      </c>
      <c r="G673" s="105" t="s">
        <v>140</v>
      </c>
      <c r="H673" s="39" t="str">
        <f>_xlfn.XLOOKUP(Table6[[#This Row],[Affected WTG]],'Basic Data'!$A:$A,'Basic Data'!$B:$B)</f>
        <v>PWEGPL</v>
      </c>
      <c r="I673" s="39" t="str">
        <f>_xlfn.XLOOKUP(Table6[[#This Row],[Affected WTG]],'Basic Data'!$A:$A,'Basic Data'!$C:$C)</f>
        <v>MSEDCL</v>
      </c>
      <c r="J673" s="345">
        <f>IFERROR(VLOOKUP(Table6[[#This Row],[Affected WTG]],'Basic Data'!$A$3:$E$56,5,0),"")</f>
        <v>2.564102564102564E-2</v>
      </c>
      <c r="K673" s="105">
        <v>222</v>
      </c>
      <c r="L673" s="39" t="str">
        <f>IFERROR(VLOOKUP(Table6[[#This Row],[Error Code]],'Basic Data'!$T:$U,2,0),"")</f>
        <v>Very Low Pressure On Hydraulic Unit</v>
      </c>
      <c r="M673" s="346" t="s">
        <v>462</v>
      </c>
      <c r="N673" s="39" t="s">
        <v>1270</v>
      </c>
      <c r="O673" s="347">
        <v>0.48472222222222222</v>
      </c>
      <c r="P673" s="347">
        <v>0.50347222222222221</v>
      </c>
      <c r="Q673" s="347">
        <v>0.50416666666666665</v>
      </c>
      <c r="R673" s="348">
        <f>IF(Table6[[#This Row],[Work Start TimeStamp]]="","",(Table6[[#This Row],[Work Start TimeStamp]]-Table6[[#This Row],[Fault Start TimeStamp]])*24)</f>
        <v>0.44999999999999973</v>
      </c>
      <c r="S673" s="349">
        <f>(Table6[[#This Row],[Fault Clearance time]]-Table6[[#This Row],[Work Start TimeStamp]])*24</f>
        <v>1.6666666666666607E-2</v>
      </c>
      <c r="T673" s="350">
        <f>(Table6[[#This Row],[Fault Clearance time]]-Table6[[#This Row],[Fault Start TimeStamp]])*24</f>
        <v>0.46666666666666634</v>
      </c>
      <c r="U673" s="346" t="s">
        <v>493</v>
      </c>
      <c r="V673" s="351" t="s">
        <v>463</v>
      </c>
      <c r="W673" s="338">
        <f>Table6[[#This Row],[Breakdown Time]]*(1/39)</f>
        <v>1.1965811965811956E-2</v>
      </c>
      <c r="X673" s="336" t="s">
        <v>465</v>
      </c>
      <c r="Y673" s="352" t="s">
        <v>138</v>
      </c>
      <c r="Z673" s="105">
        <v>15901</v>
      </c>
      <c r="AA673" s="107">
        <v>309.1861111111109</v>
      </c>
      <c r="AB673" s="105" t="s">
        <v>478</v>
      </c>
    </row>
    <row r="674" spans="1:28">
      <c r="A674" s="105">
        <f t="shared" si="10"/>
        <v>673</v>
      </c>
      <c r="B674" s="107">
        <f>YEAR(Table6[[#This Row],[Date]])+IF(MONTH(Table6[[#This Row],[Date]])&gt;=4,1,0)</f>
        <v>2026</v>
      </c>
      <c r="C674" s="105">
        <f>YEAR(Table6[[#This Row],[Date]])</f>
        <v>2025</v>
      </c>
      <c r="D674" s="105" t="s">
        <v>490</v>
      </c>
      <c r="E674" s="119">
        <f>Table6[[#This Row],[Date]]-DAY(Table6[[#This Row],[Date]])+1</f>
        <v>45778</v>
      </c>
      <c r="F674" s="118">
        <v>45808</v>
      </c>
      <c r="G674" s="105" t="s">
        <v>141</v>
      </c>
      <c r="H674" s="39" t="str">
        <f>_xlfn.XLOOKUP(Table6[[#This Row],[Affected WTG]],'Basic Data'!$A:$A,'Basic Data'!$B:$B)</f>
        <v>PWEGPL</v>
      </c>
      <c r="I674" s="39" t="str">
        <f>_xlfn.XLOOKUP(Table6[[#This Row],[Affected WTG]],'Basic Data'!$A:$A,'Basic Data'!$C:$C)</f>
        <v>MSEDCL</v>
      </c>
      <c r="J674" s="345">
        <f>IFERROR(VLOOKUP(Table6[[#This Row],[Affected WTG]],'Basic Data'!$A$3:$E$56,5,0),"")</f>
        <v>2.564102564102564E-2</v>
      </c>
      <c r="K674" s="105">
        <v>222</v>
      </c>
      <c r="L674" s="39" t="str">
        <f>IFERROR(VLOOKUP(Table6[[#This Row],[Error Code]],'Basic Data'!$T:$U,2,0),"")</f>
        <v>Very Low Pressure On Hydraulic Unit</v>
      </c>
      <c r="M674" s="346" t="s">
        <v>462</v>
      </c>
      <c r="N674" s="39" t="s">
        <v>1270</v>
      </c>
      <c r="O674" s="347">
        <v>0.48472222222222222</v>
      </c>
      <c r="P674" s="347">
        <v>0.52083333333333337</v>
      </c>
      <c r="Q674" s="347">
        <v>0.52152777777777781</v>
      </c>
      <c r="R674" s="348">
        <f>IF(Table6[[#This Row],[Work Start TimeStamp]]="","",(Table6[[#This Row],[Work Start TimeStamp]]-Table6[[#This Row],[Fault Start TimeStamp]])*24)</f>
        <v>0.86666666666666758</v>
      </c>
      <c r="S674" s="349">
        <f>(Table6[[#This Row],[Fault Clearance time]]-Table6[[#This Row],[Work Start TimeStamp]])*24</f>
        <v>1.6666666666666607E-2</v>
      </c>
      <c r="T674" s="350">
        <f>(Table6[[#This Row],[Fault Clearance time]]-Table6[[#This Row],[Fault Start TimeStamp]])*24</f>
        <v>0.88333333333333419</v>
      </c>
      <c r="U674" s="346" t="s">
        <v>493</v>
      </c>
      <c r="V674" s="351" t="s">
        <v>463</v>
      </c>
      <c r="W674" s="338">
        <f>Table6[[#This Row],[Breakdown Time]]*(1/39)</f>
        <v>2.264957264957267E-2</v>
      </c>
      <c r="X674" s="336" t="s">
        <v>465</v>
      </c>
      <c r="Y674" s="352" t="s">
        <v>143</v>
      </c>
      <c r="Z674" s="105">
        <v>17192</v>
      </c>
      <c r="AA674" s="107">
        <v>632.76111111111175</v>
      </c>
      <c r="AB674" s="105" t="s">
        <v>478</v>
      </c>
    </row>
    <row r="675" spans="1:28">
      <c r="A675" s="105">
        <f t="shared" si="10"/>
        <v>674</v>
      </c>
      <c r="B675" s="107">
        <f>YEAR(Table6[[#This Row],[Date]])+IF(MONTH(Table6[[#This Row],[Date]])&gt;=4,1,0)</f>
        <v>2026</v>
      </c>
      <c r="C675" s="105">
        <f>YEAR(Table6[[#This Row],[Date]])</f>
        <v>2025</v>
      </c>
      <c r="D675" s="105" t="s">
        <v>490</v>
      </c>
      <c r="E675" s="119">
        <f>Table6[[#This Row],[Date]]-DAY(Table6[[#This Row],[Date]])+1</f>
        <v>45778</v>
      </c>
      <c r="F675" s="118">
        <v>45808</v>
      </c>
      <c r="G675" s="105" t="s">
        <v>148</v>
      </c>
      <c r="H675" s="39" t="str">
        <f>_xlfn.XLOOKUP(Table6[[#This Row],[Affected WTG]],'Basic Data'!$A:$A,'Basic Data'!$B:$B)</f>
        <v>PWEGPL</v>
      </c>
      <c r="I675" s="39" t="str">
        <f>_xlfn.XLOOKUP(Table6[[#This Row],[Affected WTG]],'Basic Data'!$A:$A,'Basic Data'!$C:$C)</f>
        <v>MSEDCL</v>
      </c>
      <c r="J675" s="345">
        <f>IFERROR(VLOOKUP(Table6[[#This Row],[Affected WTG]],'Basic Data'!$A$3:$E$56,5,0),"")</f>
        <v>2.564102564102564E-2</v>
      </c>
      <c r="K675" s="105">
        <v>222</v>
      </c>
      <c r="L675" s="39" t="str">
        <f>IFERROR(VLOOKUP(Table6[[#This Row],[Error Code]],'Basic Data'!$T:$U,2,0),"")</f>
        <v>Very Low Pressure On Hydraulic Unit</v>
      </c>
      <c r="M675" s="346" t="s">
        <v>462</v>
      </c>
      <c r="N675" s="39" t="s">
        <v>1270</v>
      </c>
      <c r="O675" s="347">
        <v>0.48472222222222222</v>
      </c>
      <c r="P675" s="347">
        <v>0.53125</v>
      </c>
      <c r="Q675" s="347">
        <v>0.53194444444444444</v>
      </c>
      <c r="R675" s="348">
        <f>IF(Table6[[#This Row],[Work Start TimeStamp]]="","",(Table6[[#This Row],[Work Start TimeStamp]]-Table6[[#This Row],[Fault Start TimeStamp]])*24)</f>
        <v>1.1166666666666667</v>
      </c>
      <c r="S675" s="349">
        <f>(Table6[[#This Row],[Fault Clearance time]]-Table6[[#This Row],[Work Start TimeStamp]])*24</f>
        <v>1.6666666666666607E-2</v>
      </c>
      <c r="T675" s="350">
        <f>(Table6[[#This Row],[Fault Clearance time]]-Table6[[#This Row],[Fault Start TimeStamp]])*24</f>
        <v>1.1333333333333333</v>
      </c>
      <c r="U675" s="346" t="s">
        <v>493</v>
      </c>
      <c r="V675" s="351" t="s">
        <v>463</v>
      </c>
      <c r="W675" s="338">
        <f>Table6[[#This Row],[Breakdown Time]]*(1/39)</f>
        <v>2.9059829059829057E-2</v>
      </c>
      <c r="X675" s="336" t="s">
        <v>465</v>
      </c>
      <c r="Y675" s="352" t="s">
        <v>149</v>
      </c>
      <c r="Z675" s="105">
        <v>17300</v>
      </c>
      <c r="AA675" s="107">
        <v>816.94444444444446</v>
      </c>
      <c r="AB675" s="105" t="s">
        <v>478</v>
      </c>
    </row>
    <row r="676" spans="1:28">
      <c r="A676" s="105">
        <f t="shared" si="10"/>
        <v>675</v>
      </c>
      <c r="B676" s="107">
        <f>YEAR(Table6[[#This Row],[Date]])+IF(MONTH(Table6[[#This Row],[Date]])&gt;=4,1,0)</f>
        <v>2026</v>
      </c>
      <c r="C676" s="105">
        <f>YEAR(Table6[[#This Row],[Date]])</f>
        <v>2025</v>
      </c>
      <c r="D676" s="105" t="s">
        <v>490</v>
      </c>
      <c r="E676" s="119">
        <f>Table6[[#This Row],[Date]]-DAY(Table6[[#This Row],[Date]])+1</f>
        <v>45778</v>
      </c>
      <c r="F676" s="118">
        <v>45808</v>
      </c>
      <c r="G676" s="105" t="s">
        <v>148</v>
      </c>
      <c r="H676" s="39" t="str">
        <f>_xlfn.XLOOKUP(Table6[[#This Row],[Affected WTG]],'Basic Data'!$A:$A,'Basic Data'!$B:$B)</f>
        <v>PWEGPL</v>
      </c>
      <c r="I676" s="39" t="str">
        <f>_xlfn.XLOOKUP(Table6[[#This Row],[Affected WTG]],'Basic Data'!$A:$A,'Basic Data'!$C:$C)</f>
        <v>MSEDCL</v>
      </c>
      <c r="J676" s="345">
        <f>IFERROR(VLOOKUP(Table6[[#This Row],[Affected WTG]],'Basic Data'!$A$3:$E$56,5,0),"")</f>
        <v>2.564102564102564E-2</v>
      </c>
      <c r="K676" s="105">
        <v>5210</v>
      </c>
      <c r="L676" s="39" t="str">
        <f>IFERROR(VLOOKUP(Table6[[#This Row],[Error Code]],'Basic Data'!$T:$U,2,0),"")</f>
        <v>Failure Of The Contactor's Rotor Power</v>
      </c>
      <c r="M676" s="346" t="s">
        <v>462</v>
      </c>
      <c r="N676" s="39" t="s">
        <v>1270</v>
      </c>
      <c r="O676" s="347">
        <v>0.63194444444444442</v>
      </c>
      <c r="P676" s="347">
        <v>0.66736111111111107</v>
      </c>
      <c r="Q676" s="347">
        <v>0.66805555555555551</v>
      </c>
      <c r="R676" s="348">
        <f>IF(Table6[[#This Row],[Work Start TimeStamp]]="","",(Table6[[#This Row],[Work Start TimeStamp]]-Table6[[#This Row],[Fault Start TimeStamp]])*24)</f>
        <v>0.84999999999999964</v>
      </c>
      <c r="S676" s="349">
        <f>(Table6[[#This Row],[Fault Clearance time]]-Table6[[#This Row],[Work Start TimeStamp]])*24</f>
        <v>1.6666666666666607E-2</v>
      </c>
      <c r="T676" s="350">
        <f>(Table6[[#This Row],[Fault Clearance time]]-Table6[[#This Row],[Fault Start TimeStamp]])*24</f>
        <v>0.86666666666666625</v>
      </c>
      <c r="U676" s="346" t="s">
        <v>493</v>
      </c>
      <c r="V676" s="351" t="s">
        <v>463</v>
      </c>
      <c r="W676" s="338">
        <f>Table6[[#This Row],[Breakdown Time]]*(1/39)</f>
        <v>2.2222222222222209E-2</v>
      </c>
      <c r="X676" s="336" t="s">
        <v>465</v>
      </c>
      <c r="Y676" s="352" t="s">
        <v>149</v>
      </c>
      <c r="Z676" s="105">
        <v>17300</v>
      </c>
      <c r="AA676" s="107">
        <v>624.72222222222194</v>
      </c>
      <c r="AB676" s="105" t="s">
        <v>478</v>
      </c>
    </row>
    <row r="677" spans="1:28">
      <c r="A677" s="105">
        <f t="shared" si="10"/>
        <v>676</v>
      </c>
      <c r="B677" s="107">
        <f>YEAR(Table6[[#This Row],[Date]])+IF(MONTH(Table6[[#This Row],[Date]])&gt;=4,1,0)</f>
        <v>2026</v>
      </c>
      <c r="C677" s="105">
        <f>YEAR(Table6[[#This Row],[Date]])</f>
        <v>2025</v>
      </c>
      <c r="D677" s="105" t="s">
        <v>490</v>
      </c>
      <c r="E677" s="119">
        <f>Table6[[#This Row],[Date]]-DAY(Table6[[#This Row],[Date]])+1</f>
        <v>45778</v>
      </c>
      <c r="F677" s="118">
        <v>45808</v>
      </c>
      <c r="G677" s="105" t="s">
        <v>149</v>
      </c>
      <c r="H677" s="39" t="str">
        <f>_xlfn.XLOOKUP(Table6[[#This Row],[Affected WTG]],'Basic Data'!$A:$A,'Basic Data'!$B:$B)</f>
        <v>PWEGPL</v>
      </c>
      <c r="I677" s="39" t="str">
        <f>_xlfn.XLOOKUP(Table6[[#This Row],[Affected WTG]],'Basic Data'!$A:$A,'Basic Data'!$C:$C)</f>
        <v>MSEDCL</v>
      </c>
      <c r="J677" s="345">
        <f>IFERROR(VLOOKUP(Table6[[#This Row],[Affected WTG]],'Basic Data'!$A$3:$E$56,5,0),"")</f>
        <v>2.564102564102564E-2</v>
      </c>
      <c r="K677" s="105">
        <v>222</v>
      </c>
      <c r="L677" s="39" t="str">
        <f>IFERROR(VLOOKUP(Table6[[#This Row],[Error Code]],'Basic Data'!$T:$U,2,0),"")</f>
        <v>Very Low Pressure On Hydraulic Unit</v>
      </c>
      <c r="M677" s="346" t="s">
        <v>462</v>
      </c>
      <c r="N677" s="39" t="s">
        <v>1270</v>
      </c>
      <c r="O677" s="347">
        <v>0.48472222222222222</v>
      </c>
      <c r="P677" s="347">
        <v>0.54861111111111116</v>
      </c>
      <c r="Q677" s="347">
        <v>0.5493055555555556</v>
      </c>
      <c r="R677" s="348">
        <f>IF(Table6[[#This Row],[Work Start TimeStamp]]="","",(Table6[[#This Row],[Work Start TimeStamp]]-Table6[[#This Row],[Fault Start TimeStamp]])*24)</f>
        <v>1.5333333333333345</v>
      </c>
      <c r="S677" s="349">
        <f>(Table6[[#This Row],[Fault Clearance time]]-Table6[[#This Row],[Work Start TimeStamp]])*24</f>
        <v>1.6666666666666607E-2</v>
      </c>
      <c r="T677" s="350">
        <f>(Table6[[#This Row],[Fault Clearance time]]-Table6[[#This Row],[Fault Start TimeStamp]])*24</f>
        <v>1.5500000000000012</v>
      </c>
      <c r="U677" s="346" t="s">
        <v>491</v>
      </c>
      <c r="V677" s="351" t="s">
        <v>463</v>
      </c>
      <c r="W677" s="338">
        <f>Table6[[#This Row],[Breakdown Time]]*(1/39)</f>
        <v>3.9743589743589769E-2</v>
      </c>
      <c r="X677" s="336" t="s">
        <v>465</v>
      </c>
      <c r="Y677" s="352" t="s">
        <v>150</v>
      </c>
      <c r="Z677" s="105">
        <v>17839</v>
      </c>
      <c r="AA677" s="107">
        <v>1152.1020833333341</v>
      </c>
      <c r="AB677" s="105" t="s">
        <v>478</v>
      </c>
    </row>
    <row r="678" spans="1:28">
      <c r="A678" s="105">
        <f t="shared" si="10"/>
        <v>677</v>
      </c>
      <c r="B678" s="107">
        <f>YEAR(Table6[[#This Row],[Date]])+IF(MONTH(Table6[[#This Row],[Date]])&gt;=4,1,0)</f>
        <v>2026</v>
      </c>
      <c r="C678" s="105">
        <f>YEAR(Table6[[#This Row],[Date]])</f>
        <v>2025</v>
      </c>
      <c r="D678" s="105" t="s">
        <v>490</v>
      </c>
      <c r="E678" s="119">
        <f>Table6[[#This Row],[Date]]-DAY(Table6[[#This Row],[Date]])+1</f>
        <v>45778</v>
      </c>
      <c r="F678" s="118">
        <v>45808</v>
      </c>
      <c r="G678" s="105" t="s">
        <v>151</v>
      </c>
      <c r="H678" s="39" t="str">
        <f>_xlfn.XLOOKUP(Table6[[#This Row],[Affected WTG]],'Basic Data'!$A:$A,'Basic Data'!$B:$B)</f>
        <v>PWEGPL</v>
      </c>
      <c r="I678" s="39" t="str">
        <f>_xlfn.XLOOKUP(Table6[[#This Row],[Affected WTG]],'Basic Data'!$A:$A,'Basic Data'!$C:$C)</f>
        <v>MSEDCL</v>
      </c>
      <c r="J678" s="345">
        <f>IFERROR(VLOOKUP(Table6[[#This Row],[Affected WTG]],'Basic Data'!$A$3:$E$56,5,0),"")</f>
        <v>2.564102564102564E-2</v>
      </c>
      <c r="K678" s="105">
        <v>222</v>
      </c>
      <c r="L678" s="39" t="str">
        <f>IFERROR(VLOOKUP(Table6[[#This Row],[Error Code]],'Basic Data'!$T:$U,2,0),"")</f>
        <v>Very Low Pressure On Hydraulic Unit</v>
      </c>
      <c r="M678" s="346" t="s">
        <v>462</v>
      </c>
      <c r="N678" s="39" t="s">
        <v>1270</v>
      </c>
      <c r="O678" s="347">
        <v>0.48472222222222222</v>
      </c>
      <c r="P678" s="347">
        <v>0.5625</v>
      </c>
      <c r="Q678" s="347">
        <v>0.56319444444444444</v>
      </c>
      <c r="R678" s="348">
        <f>IF(Table6[[#This Row],[Work Start TimeStamp]]="","",(Table6[[#This Row],[Work Start TimeStamp]]-Table6[[#This Row],[Fault Start TimeStamp]])*24)</f>
        <v>1.8666666666666667</v>
      </c>
      <c r="S678" s="349">
        <f>(Table6[[#This Row],[Fault Clearance time]]-Table6[[#This Row],[Work Start TimeStamp]])*24</f>
        <v>1.6666666666666607E-2</v>
      </c>
      <c r="T678" s="350">
        <f>(Table6[[#This Row],[Fault Clearance time]]-Table6[[#This Row],[Fault Start TimeStamp]])*24</f>
        <v>1.8833333333333333</v>
      </c>
      <c r="U678" s="346" t="s">
        <v>493</v>
      </c>
      <c r="V678" s="351" t="s">
        <v>463</v>
      </c>
      <c r="W678" s="338">
        <f>Table6[[#This Row],[Breakdown Time]]*(1/39)</f>
        <v>4.8290598290598286E-2</v>
      </c>
      <c r="X678" s="336" t="s">
        <v>465</v>
      </c>
      <c r="Y678" s="352" t="s">
        <v>152</v>
      </c>
      <c r="Z678" s="105">
        <v>17852</v>
      </c>
      <c r="AA678" s="107">
        <v>1400.8861111111112</v>
      </c>
      <c r="AB678" s="105" t="s">
        <v>478</v>
      </c>
    </row>
    <row r="679" spans="1:28">
      <c r="A679" s="105">
        <f t="shared" si="10"/>
        <v>678</v>
      </c>
      <c r="B679" s="107">
        <f>YEAR(Table6[[#This Row],[Date]])+IF(MONTH(Table6[[#This Row],[Date]])&gt;=4,1,0)</f>
        <v>2026</v>
      </c>
      <c r="C679" s="105">
        <f>YEAR(Table6[[#This Row],[Date]])</f>
        <v>2025</v>
      </c>
      <c r="D679" s="105" t="s">
        <v>490</v>
      </c>
      <c r="E679" s="119">
        <f>Table6[[#This Row],[Date]]-DAY(Table6[[#This Row],[Date]])+1</f>
        <v>45809</v>
      </c>
      <c r="F679" s="118">
        <v>45809</v>
      </c>
      <c r="G679" s="105" t="s">
        <v>144</v>
      </c>
      <c r="H679" s="39" t="str">
        <f>_xlfn.XLOOKUP(Table6[[#This Row],[Affected WTG]],'Basic Data'!$A:$A,'Basic Data'!$B:$B)</f>
        <v>PWEGPL</v>
      </c>
      <c r="I679" s="39" t="str">
        <f>_xlfn.XLOOKUP(Table6[[#This Row],[Affected WTG]],'Basic Data'!$A:$A,'Basic Data'!$C:$C)</f>
        <v>MSEDCL</v>
      </c>
      <c r="J679" s="345">
        <f>IFERROR(VLOOKUP(Table6[[#This Row],[Affected WTG]],'Basic Data'!$A$3:$E$56,5,0),"")</f>
        <v>2.564102564102564E-2</v>
      </c>
      <c r="K679" s="105" t="s">
        <v>492</v>
      </c>
      <c r="L679" s="39" t="str">
        <f>IFERROR(VLOOKUP(Table6[[#This Row],[Error Code]],'Basic Data'!$T:$U,2,0),"")</f>
        <v>Manual Stop - Safety Related</v>
      </c>
      <c r="M679" s="346" t="s">
        <v>481</v>
      </c>
      <c r="N679" s="39" t="s">
        <v>1269</v>
      </c>
      <c r="O679" s="347">
        <v>0</v>
      </c>
      <c r="P679" s="347">
        <v>0.99930555555555556</v>
      </c>
      <c r="Q679" s="347">
        <v>0.99930555555555556</v>
      </c>
      <c r="R679" s="348">
        <f>IF(Table6[[#This Row],[Work Start TimeStamp]]="","",(Table6[[#This Row],[Work Start TimeStamp]]-Table6[[#This Row],[Fault Start TimeStamp]])*24)</f>
        <v>23.983333333333334</v>
      </c>
      <c r="S679" s="349">
        <f>(Table6[[#This Row],[Fault Clearance time]]-Table6[[#This Row],[Work Start TimeStamp]])*24</f>
        <v>0</v>
      </c>
      <c r="T679" s="350">
        <f>(Table6[[#This Row],[Fault Clearance time]]-Table6[[#This Row],[Fault Start TimeStamp]])*24</f>
        <v>23.983333333333334</v>
      </c>
      <c r="U679" s="346" t="s">
        <v>498</v>
      </c>
      <c r="V679" s="351" t="s">
        <v>473</v>
      </c>
      <c r="W679" s="338">
        <f>Table6[[#This Row],[Breakdown Time]]*(1/39)</f>
        <v>0.61495726495726499</v>
      </c>
      <c r="X679" s="336" t="s">
        <v>468</v>
      </c>
      <c r="Y679" s="352" t="s">
        <v>141</v>
      </c>
      <c r="Z679" s="105">
        <v>19252</v>
      </c>
      <c r="AA679" s="107">
        <v>19238.630555555555</v>
      </c>
      <c r="AB679" s="105" t="s">
        <v>478</v>
      </c>
    </row>
    <row r="680" spans="1:28">
      <c r="A680" s="105">
        <f t="shared" si="10"/>
        <v>679</v>
      </c>
      <c r="B680" s="107">
        <f>YEAR(Table6[[#This Row],[Date]])+IF(MONTH(Table6[[#This Row],[Date]])&gt;=4,1,0)</f>
        <v>2026</v>
      </c>
      <c r="C680" s="105">
        <f>YEAR(Table6[[#This Row],[Date]])</f>
        <v>2025</v>
      </c>
      <c r="D680" s="105" t="s">
        <v>490</v>
      </c>
      <c r="E680" s="119">
        <f>Table6[[#This Row],[Date]]-DAY(Table6[[#This Row],[Date]])+1</f>
        <v>45809</v>
      </c>
      <c r="F680" s="118">
        <v>45809</v>
      </c>
      <c r="G680" s="105" t="s">
        <v>142</v>
      </c>
      <c r="H680" s="39" t="str">
        <f>_xlfn.XLOOKUP(Table6[[#This Row],[Affected WTG]],'Basic Data'!$A:$A,'Basic Data'!$B:$B)</f>
        <v>PWEGPL</v>
      </c>
      <c r="I680" s="39" t="str">
        <f>_xlfn.XLOOKUP(Table6[[#This Row],[Affected WTG]],'Basic Data'!$A:$A,'Basic Data'!$C:$C)</f>
        <v>MSEDCL</v>
      </c>
      <c r="J680" s="345">
        <f>IFERROR(VLOOKUP(Table6[[#This Row],[Affected WTG]],'Basic Data'!$A$3:$E$56,5,0),"")</f>
        <v>2.564102564102564E-2</v>
      </c>
      <c r="K680" s="105" t="s">
        <v>492</v>
      </c>
      <c r="L680" s="39" t="str">
        <f>IFERROR(VLOOKUP(Table6[[#This Row],[Error Code]],'Basic Data'!$T:$U,2,0),"")</f>
        <v>Manual Stop - Safety Related</v>
      </c>
      <c r="M680" s="346" t="s">
        <v>481</v>
      </c>
      <c r="N680" s="39" t="s">
        <v>1269</v>
      </c>
      <c r="O680" s="347">
        <v>0</v>
      </c>
      <c r="P680" s="347">
        <v>0.99930555555555556</v>
      </c>
      <c r="Q680" s="347">
        <v>0.99930555555555556</v>
      </c>
      <c r="R680" s="348">
        <f>IF(Table6[[#This Row],[Work Start TimeStamp]]="","",(Table6[[#This Row],[Work Start TimeStamp]]-Table6[[#This Row],[Fault Start TimeStamp]])*24)</f>
        <v>23.983333333333334</v>
      </c>
      <c r="S680" s="349">
        <f>(Table6[[#This Row],[Fault Clearance time]]-Table6[[#This Row],[Work Start TimeStamp]])*24</f>
        <v>0</v>
      </c>
      <c r="T680" s="350">
        <f>(Table6[[#This Row],[Fault Clearance time]]-Table6[[#This Row],[Fault Start TimeStamp]])*24</f>
        <v>23.983333333333334</v>
      </c>
      <c r="U680" s="346" t="s">
        <v>498</v>
      </c>
      <c r="V680" s="351" t="s">
        <v>473</v>
      </c>
      <c r="W680" s="338">
        <f>Table6[[#This Row],[Breakdown Time]]*(1/39)</f>
        <v>0.61495726495726499</v>
      </c>
      <c r="X680" s="336" t="s">
        <v>468</v>
      </c>
      <c r="Y680" s="352" t="s">
        <v>141</v>
      </c>
      <c r="Z680" s="105">
        <v>19252</v>
      </c>
      <c r="AA680" s="107">
        <v>19238.630555555555</v>
      </c>
      <c r="AB680" s="105" t="s">
        <v>478</v>
      </c>
    </row>
    <row r="681" spans="1:28">
      <c r="A681" s="105">
        <f t="shared" si="10"/>
        <v>680</v>
      </c>
      <c r="B681" s="107">
        <f>YEAR(Table6[[#This Row],[Date]])+IF(MONTH(Table6[[#This Row],[Date]])&gt;=4,1,0)</f>
        <v>2026</v>
      </c>
      <c r="C681" s="105">
        <f>YEAR(Table6[[#This Row],[Date]])</f>
        <v>2025</v>
      </c>
      <c r="D681" s="105" t="s">
        <v>490</v>
      </c>
      <c r="E681" s="119">
        <f>Table6[[#This Row],[Date]]-DAY(Table6[[#This Row],[Date]])+1</f>
        <v>45809</v>
      </c>
      <c r="F681" s="118">
        <v>45809</v>
      </c>
      <c r="G681" s="105" t="s">
        <v>123</v>
      </c>
      <c r="H681" s="39" t="str">
        <f>_xlfn.XLOOKUP(Table6[[#This Row],[Affected WTG]],'Basic Data'!$A:$A,'Basic Data'!$B:$B)</f>
        <v>PWEGPL</v>
      </c>
      <c r="I681" s="39" t="str">
        <f>_xlfn.XLOOKUP(Table6[[#This Row],[Affected WTG]],'Basic Data'!$A:$A,'Basic Data'!$C:$C)</f>
        <v>MSEDCL</v>
      </c>
      <c r="J681" s="345">
        <f>IFERROR(VLOOKUP(Table6[[#This Row],[Affected WTG]],'Basic Data'!$A$3:$E$56,5,0),"")</f>
        <v>2.564102564102564E-2</v>
      </c>
      <c r="K681" s="105" t="s">
        <v>476</v>
      </c>
      <c r="L681" s="39" t="str">
        <f>IFERROR(VLOOKUP(Table6[[#This Row],[Error Code]],'Basic Data'!$T:$U,2,0),"")</f>
        <v>Manual Stop - Preventive Maintenance Activity</v>
      </c>
      <c r="M681" s="346" t="s">
        <v>474</v>
      </c>
      <c r="N681" s="39" t="s">
        <v>230</v>
      </c>
      <c r="O681" s="347">
        <v>0.46875</v>
      </c>
      <c r="P681" s="347">
        <v>0.46875</v>
      </c>
      <c r="Q681" s="347">
        <v>0.75694444444444442</v>
      </c>
      <c r="R681" s="348">
        <f>IF(Table6[[#This Row],[Work Start TimeStamp]]="","",(Table6[[#This Row],[Work Start TimeStamp]]-Table6[[#This Row],[Fault Start TimeStamp]])*24)</f>
        <v>0</v>
      </c>
      <c r="S681" s="349">
        <f>(Table6[[#This Row],[Fault Clearance time]]-Table6[[#This Row],[Work Start TimeStamp]])*24</f>
        <v>6.9166666666666661</v>
      </c>
      <c r="T681" s="350">
        <f>(Table6[[#This Row],[Fault Clearance time]]-Table6[[#This Row],[Fault Start TimeStamp]])*24</f>
        <v>6.9166666666666661</v>
      </c>
      <c r="U681" s="346" t="s">
        <v>582</v>
      </c>
      <c r="V681" s="351" t="s">
        <v>463</v>
      </c>
      <c r="W681" s="338">
        <f>Table6[[#This Row],[Breakdown Time]]*(1/39)</f>
        <v>0.17735042735042733</v>
      </c>
      <c r="X681" s="336" t="s">
        <v>467</v>
      </c>
      <c r="Y681" s="352" t="s">
        <v>126</v>
      </c>
      <c r="Z681" s="105">
        <v>23119</v>
      </c>
      <c r="AA681" s="107">
        <v>6662.7673611111104</v>
      </c>
      <c r="AB681" s="105" t="s">
        <v>478</v>
      </c>
    </row>
    <row r="682" spans="1:28">
      <c r="A682" s="105">
        <f t="shared" si="10"/>
        <v>681</v>
      </c>
      <c r="B682" s="107">
        <f>YEAR(Table6[[#This Row],[Date]])+IF(MONTH(Table6[[#This Row],[Date]])&gt;=4,1,0)</f>
        <v>2026</v>
      </c>
      <c r="C682" s="105">
        <f>YEAR(Table6[[#This Row],[Date]])</f>
        <v>2025</v>
      </c>
      <c r="D682" s="105" t="s">
        <v>490</v>
      </c>
      <c r="E682" s="119">
        <f>Table6[[#This Row],[Date]]-DAY(Table6[[#This Row],[Date]])+1</f>
        <v>45809</v>
      </c>
      <c r="F682" s="118">
        <v>45809</v>
      </c>
      <c r="G682" s="105" t="s">
        <v>136</v>
      </c>
      <c r="H682" s="39" t="str">
        <f>_xlfn.XLOOKUP(Table6[[#This Row],[Affected WTG]],'Basic Data'!$A:$A,'Basic Data'!$B:$B)</f>
        <v>PWEGPL</v>
      </c>
      <c r="I682" s="39" t="str">
        <f>_xlfn.XLOOKUP(Table6[[#This Row],[Affected WTG]],'Basic Data'!$A:$A,'Basic Data'!$C:$C)</f>
        <v>MSEDCL</v>
      </c>
      <c r="J682" s="345">
        <f>IFERROR(VLOOKUP(Table6[[#This Row],[Affected WTG]],'Basic Data'!$A$3:$E$56,5,0),"")</f>
        <v>2.564102564102564E-2</v>
      </c>
      <c r="K682" s="105">
        <v>5210</v>
      </c>
      <c r="L682" s="39" t="str">
        <f>IFERROR(VLOOKUP(Table6[[#This Row],[Error Code]],'Basic Data'!$T:$U,2,0),"")</f>
        <v>Failure Of The Contactor's Rotor Power</v>
      </c>
      <c r="M682" s="346" t="s">
        <v>462</v>
      </c>
      <c r="N682" s="39" t="s">
        <v>1270</v>
      </c>
      <c r="O682" s="347">
        <v>0.5229166666666667</v>
      </c>
      <c r="P682" s="347">
        <v>0.54236111111111107</v>
      </c>
      <c r="Q682" s="347">
        <v>0.54305555555555551</v>
      </c>
      <c r="R682" s="348">
        <f>IF(Table6[[#This Row],[Work Start TimeStamp]]="","",(Table6[[#This Row],[Work Start TimeStamp]]-Table6[[#This Row],[Fault Start TimeStamp]])*24)</f>
        <v>0.46666666666666501</v>
      </c>
      <c r="S682" s="349">
        <f>(Table6[[#This Row],[Fault Clearance time]]-Table6[[#This Row],[Work Start TimeStamp]])*24</f>
        <v>1.6666666666666607E-2</v>
      </c>
      <c r="T682" s="350">
        <f>(Table6[[#This Row],[Fault Clearance time]]-Table6[[#This Row],[Fault Start TimeStamp]])*24</f>
        <v>0.48333333333333162</v>
      </c>
      <c r="U682" s="346" t="s">
        <v>493</v>
      </c>
      <c r="V682" s="351" t="s">
        <v>463</v>
      </c>
      <c r="W682" s="338">
        <f>Table6[[#This Row],[Breakdown Time]]*(1/39)</f>
        <v>1.2393162393162349E-2</v>
      </c>
      <c r="X682" s="336" t="s">
        <v>465</v>
      </c>
      <c r="Y682" s="352" t="s">
        <v>135</v>
      </c>
      <c r="Z682" s="105">
        <v>19243</v>
      </c>
      <c r="AA682" s="107">
        <v>387.5326388888875</v>
      </c>
      <c r="AB682" s="105" t="s">
        <v>478</v>
      </c>
    </row>
    <row r="683" spans="1:28">
      <c r="A683" s="105">
        <f t="shared" si="10"/>
        <v>682</v>
      </c>
      <c r="B683" s="107">
        <f>YEAR(Table6[[#This Row],[Date]])+IF(MONTH(Table6[[#This Row],[Date]])&gt;=4,1,0)</f>
        <v>2026</v>
      </c>
      <c r="C683" s="105">
        <f>YEAR(Table6[[#This Row],[Date]])</f>
        <v>2025</v>
      </c>
      <c r="D683" s="105" t="s">
        <v>490</v>
      </c>
      <c r="E683" s="119">
        <f>Table6[[#This Row],[Date]]-DAY(Table6[[#This Row],[Date]])+1</f>
        <v>45809</v>
      </c>
      <c r="F683" s="118">
        <v>45809</v>
      </c>
      <c r="G683" s="105" t="s">
        <v>137</v>
      </c>
      <c r="H683" s="39" t="str">
        <f>_xlfn.XLOOKUP(Table6[[#This Row],[Affected WTG]],'Basic Data'!$A:$A,'Basic Data'!$B:$B)</f>
        <v>PWEGPL</v>
      </c>
      <c r="I683" s="39" t="str">
        <f>_xlfn.XLOOKUP(Table6[[#This Row],[Affected WTG]],'Basic Data'!$A:$A,'Basic Data'!$C:$C)</f>
        <v>MSEDCL</v>
      </c>
      <c r="J683" s="345">
        <f>IFERROR(VLOOKUP(Table6[[#This Row],[Affected WTG]],'Basic Data'!$A$3:$E$56,5,0),"")</f>
        <v>2.564102564102564E-2</v>
      </c>
      <c r="K683" s="105">
        <v>5210</v>
      </c>
      <c r="L683" s="39" t="str">
        <f>IFERROR(VLOOKUP(Table6[[#This Row],[Error Code]],'Basic Data'!$T:$U,2,0),"")</f>
        <v>Failure Of The Contactor's Rotor Power</v>
      </c>
      <c r="M683" s="346" t="s">
        <v>462</v>
      </c>
      <c r="N683" s="39" t="s">
        <v>1270</v>
      </c>
      <c r="O683" s="347">
        <v>0.5229166666666667</v>
      </c>
      <c r="P683" s="347">
        <v>0.55208333333333337</v>
      </c>
      <c r="Q683" s="347">
        <v>0.55277777777777781</v>
      </c>
      <c r="R683" s="348">
        <f>IF(Table6[[#This Row],[Work Start TimeStamp]]="","",(Table6[[#This Row],[Work Start TimeStamp]]-Table6[[#This Row],[Fault Start TimeStamp]])*24)</f>
        <v>0.70000000000000018</v>
      </c>
      <c r="S683" s="349">
        <f>(Table6[[#This Row],[Fault Clearance time]]-Table6[[#This Row],[Work Start TimeStamp]])*24</f>
        <v>1.6666666666666607E-2</v>
      </c>
      <c r="T683" s="350">
        <f>(Table6[[#This Row],[Fault Clearance time]]-Table6[[#This Row],[Fault Start TimeStamp]])*24</f>
        <v>0.71666666666666679</v>
      </c>
      <c r="U683" s="346" t="s">
        <v>493</v>
      </c>
      <c r="V683" s="351" t="s">
        <v>463</v>
      </c>
      <c r="W683" s="338">
        <f>Table6[[#This Row],[Breakdown Time]]*(1/39)</f>
        <v>1.837606837606838E-2</v>
      </c>
      <c r="X683" s="336" t="s">
        <v>465</v>
      </c>
      <c r="Y683" s="352" t="s">
        <v>119</v>
      </c>
      <c r="Z683" s="105">
        <v>19223</v>
      </c>
      <c r="AA683" s="107">
        <v>574.02013888888905</v>
      </c>
      <c r="AB683" s="105" t="s">
        <v>478</v>
      </c>
    </row>
    <row r="684" spans="1:28">
      <c r="A684" s="105">
        <f t="shared" si="10"/>
        <v>683</v>
      </c>
      <c r="B684" s="107">
        <f>YEAR(Table6[[#This Row],[Date]])+IF(MONTH(Table6[[#This Row],[Date]])&gt;=4,1,0)</f>
        <v>2026</v>
      </c>
      <c r="C684" s="105">
        <f>YEAR(Table6[[#This Row],[Date]])</f>
        <v>2025</v>
      </c>
      <c r="D684" s="105" t="s">
        <v>490</v>
      </c>
      <c r="E684" s="119">
        <f>Table6[[#This Row],[Date]]-DAY(Table6[[#This Row],[Date]])+1</f>
        <v>45809</v>
      </c>
      <c r="F684" s="118">
        <v>45809</v>
      </c>
      <c r="G684" s="105" t="s">
        <v>138</v>
      </c>
      <c r="H684" s="39" t="str">
        <f>_xlfn.XLOOKUP(Table6[[#This Row],[Affected WTG]],'Basic Data'!$A:$A,'Basic Data'!$B:$B)</f>
        <v>PWEGPL</v>
      </c>
      <c r="I684" s="39" t="str">
        <f>_xlfn.XLOOKUP(Table6[[#This Row],[Affected WTG]],'Basic Data'!$A:$A,'Basic Data'!$C:$C)</f>
        <v>MSEDCL</v>
      </c>
      <c r="J684" s="345">
        <f>IFERROR(VLOOKUP(Table6[[#This Row],[Affected WTG]],'Basic Data'!$A$3:$E$56,5,0),"")</f>
        <v>2.564102564102564E-2</v>
      </c>
      <c r="K684" s="105">
        <v>222</v>
      </c>
      <c r="L684" s="39" t="str">
        <f>IFERROR(VLOOKUP(Table6[[#This Row],[Error Code]],'Basic Data'!$T:$U,2,0),"")</f>
        <v>Very Low Pressure On Hydraulic Unit</v>
      </c>
      <c r="M684" s="346" t="s">
        <v>462</v>
      </c>
      <c r="N684" s="39" t="s">
        <v>1270</v>
      </c>
      <c r="O684" s="347">
        <v>0.5229166666666667</v>
      </c>
      <c r="P684" s="347">
        <v>0.54861111111111116</v>
      </c>
      <c r="Q684" s="347">
        <v>0.5493055555555556</v>
      </c>
      <c r="R684" s="348">
        <f>IF(Table6[[#This Row],[Work Start TimeStamp]]="","",(Table6[[#This Row],[Work Start TimeStamp]]-Table6[[#This Row],[Fault Start TimeStamp]])*24)</f>
        <v>0.61666666666666714</v>
      </c>
      <c r="S684" s="349">
        <f>(Table6[[#This Row],[Fault Clearance time]]-Table6[[#This Row],[Work Start TimeStamp]])*24</f>
        <v>1.6666666666666607E-2</v>
      </c>
      <c r="T684" s="350">
        <f>(Table6[[#This Row],[Fault Clearance time]]-Table6[[#This Row],[Fault Start TimeStamp]])*24</f>
        <v>0.63333333333333375</v>
      </c>
      <c r="U684" s="346" t="s">
        <v>493</v>
      </c>
      <c r="V684" s="351" t="s">
        <v>463</v>
      </c>
      <c r="W684" s="338">
        <f>Table6[[#This Row],[Breakdown Time]]*(1/39)</f>
        <v>1.6239316239316251E-2</v>
      </c>
      <c r="X684" s="336" t="s">
        <v>465</v>
      </c>
      <c r="Y684" s="352" t="s">
        <v>140</v>
      </c>
      <c r="Z684" s="105">
        <v>19245</v>
      </c>
      <c r="AA684" s="107">
        <v>507.85416666666703</v>
      </c>
      <c r="AB684" s="105" t="s">
        <v>478</v>
      </c>
    </row>
    <row r="685" spans="1:28">
      <c r="A685" s="105">
        <f t="shared" si="10"/>
        <v>684</v>
      </c>
      <c r="B685" s="107">
        <f>YEAR(Table6[[#This Row],[Date]])+IF(MONTH(Table6[[#This Row],[Date]])&gt;=4,1,0)</f>
        <v>2026</v>
      </c>
      <c r="C685" s="105">
        <f>YEAR(Table6[[#This Row],[Date]])</f>
        <v>2025</v>
      </c>
      <c r="D685" s="105" t="s">
        <v>490</v>
      </c>
      <c r="E685" s="119">
        <f>Table6[[#This Row],[Date]]-DAY(Table6[[#This Row],[Date]])+1</f>
        <v>45809</v>
      </c>
      <c r="F685" s="118">
        <v>45810</v>
      </c>
      <c r="G685" s="105" t="s">
        <v>144</v>
      </c>
      <c r="H685" s="39" t="str">
        <f>_xlfn.XLOOKUP(Table6[[#This Row],[Affected WTG]],'Basic Data'!$A:$A,'Basic Data'!$B:$B)</f>
        <v>PWEGPL</v>
      </c>
      <c r="I685" s="39" t="str">
        <f>_xlfn.XLOOKUP(Table6[[#This Row],[Affected WTG]],'Basic Data'!$A:$A,'Basic Data'!$C:$C)</f>
        <v>MSEDCL</v>
      </c>
      <c r="J685" s="345">
        <f>IFERROR(VLOOKUP(Table6[[#This Row],[Affected WTG]],'Basic Data'!$A$3:$E$56,5,0),"")</f>
        <v>2.564102564102564E-2</v>
      </c>
      <c r="K685" s="105" t="s">
        <v>492</v>
      </c>
      <c r="L685" s="39" t="str">
        <f>IFERROR(VLOOKUP(Table6[[#This Row],[Error Code]],'Basic Data'!$T:$U,2,0),"")</f>
        <v>Manual Stop - Safety Related</v>
      </c>
      <c r="M685" s="346" t="s">
        <v>481</v>
      </c>
      <c r="N685" s="39" t="s">
        <v>1269</v>
      </c>
      <c r="O685" s="347">
        <v>0</v>
      </c>
      <c r="P685" s="347">
        <v>0.99930555555555556</v>
      </c>
      <c r="Q685" s="347">
        <v>0.99930555555555556</v>
      </c>
      <c r="R685" s="348">
        <f>IF(Table6[[#This Row],[Work Start TimeStamp]]="","",(Table6[[#This Row],[Work Start TimeStamp]]-Table6[[#This Row],[Fault Start TimeStamp]])*24)</f>
        <v>23.983333333333334</v>
      </c>
      <c r="S685" s="349">
        <f>(Table6[[#This Row],[Fault Clearance time]]-Table6[[#This Row],[Work Start TimeStamp]])*24</f>
        <v>0</v>
      </c>
      <c r="T685" s="350">
        <f>(Table6[[#This Row],[Fault Clearance time]]-Table6[[#This Row],[Fault Start TimeStamp]])*24</f>
        <v>23.983333333333334</v>
      </c>
      <c r="U685" s="346" t="s">
        <v>498</v>
      </c>
      <c r="V685" s="351" t="s">
        <v>473</v>
      </c>
      <c r="W685" s="338">
        <f>Table6[[#This Row],[Breakdown Time]]*(1/39)</f>
        <v>0.61495726495726499</v>
      </c>
      <c r="X685" s="336" t="s">
        <v>468</v>
      </c>
      <c r="Y685" s="352" t="s">
        <v>141</v>
      </c>
      <c r="Z685" s="105">
        <v>10267</v>
      </c>
      <c r="AA685" s="107">
        <v>10259.870138888889</v>
      </c>
      <c r="AB685" s="105" t="s">
        <v>478</v>
      </c>
    </row>
    <row r="686" spans="1:28">
      <c r="A686" s="105">
        <f t="shared" si="10"/>
        <v>685</v>
      </c>
      <c r="B686" s="107">
        <f>YEAR(Table6[[#This Row],[Date]])+IF(MONTH(Table6[[#This Row],[Date]])&gt;=4,1,0)</f>
        <v>2026</v>
      </c>
      <c r="C686" s="105">
        <f>YEAR(Table6[[#This Row],[Date]])</f>
        <v>2025</v>
      </c>
      <c r="D686" s="105" t="s">
        <v>490</v>
      </c>
      <c r="E686" s="119">
        <f>Table6[[#This Row],[Date]]-DAY(Table6[[#This Row],[Date]])+1</f>
        <v>45809</v>
      </c>
      <c r="F686" s="118">
        <v>45810</v>
      </c>
      <c r="G686" s="105" t="s">
        <v>142</v>
      </c>
      <c r="H686" s="39" t="str">
        <f>_xlfn.XLOOKUP(Table6[[#This Row],[Affected WTG]],'Basic Data'!$A:$A,'Basic Data'!$B:$B)</f>
        <v>PWEGPL</v>
      </c>
      <c r="I686" s="39" t="str">
        <f>_xlfn.XLOOKUP(Table6[[#This Row],[Affected WTG]],'Basic Data'!$A:$A,'Basic Data'!$C:$C)</f>
        <v>MSEDCL</v>
      </c>
      <c r="J686" s="345">
        <f>IFERROR(VLOOKUP(Table6[[#This Row],[Affected WTG]],'Basic Data'!$A$3:$E$56,5,0),"")</f>
        <v>2.564102564102564E-2</v>
      </c>
      <c r="K686" s="105" t="s">
        <v>492</v>
      </c>
      <c r="L686" s="39" t="str">
        <f>IFERROR(VLOOKUP(Table6[[#This Row],[Error Code]],'Basic Data'!$T:$U,2,0),"")</f>
        <v>Manual Stop - Safety Related</v>
      </c>
      <c r="M686" s="346" t="s">
        <v>481</v>
      </c>
      <c r="N686" s="39" t="s">
        <v>1269</v>
      </c>
      <c r="O686" s="347">
        <v>0</v>
      </c>
      <c r="P686" s="347">
        <v>0.99930555555555556</v>
      </c>
      <c r="Q686" s="347">
        <v>0.99930555555555556</v>
      </c>
      <c r="R686" s="348">
        <f>IF(Table6[[#This Row],[Work Start TimeStamp]]="","",(Table6[[#This Row],[Work Start TimeStamp]]-Table6[[#This Row],[Fault Start TimeStamp]])*24)</f>
        <v>23.983333333333334</v>
      </c>
      <c r="S686" s="349">
        <f>(Table6[[#This Row],[Fault Clearance time]]-Table6[[#This Row],[Work Start TimeStamp]])*24</f>
        <v>0</v>
      </c>
      <c r="T686" s="350">
        <f>(Table6[[#This Row],[Fault Clearance time]]-Table6[[#This Row],[Fault Start TimeStamp]])*24</f>
        <v>23.983333333333334</v>
      </c>
      <c r="U686" s="346" t="s">
        <v>498</v>
      </c>
      <c r="V686" s="351" t="s">
        <v>473</v>
      </c>
      <c r="W686" s="338">
        <f>Table6[[#This Row],[Breakdown Time]]*(1/39)</f>
        <v>0.61495726495726499</v>
      </c>
      <c r="X686" s="336" t="s">
        <v>468</v>
      </c>
      <c r="Y686" s="352" t="s">
        <v>141</v>
      </c>
      <c r="Z686" s="105">
        <v>10267</v>
      </c>
      <c r="AA686" s="107">
        <v>10259.870138888889</v>
      </c>
      <c r="AB686" s="105" t="s">
        <v>478</v>
      </c>
    </row>
    <row r="687" spans="1:28">
      <c r="A687" s="105">
        <f t="shared" si="10"/>
        <v>686</v>
      </c>
      <c r="B687" s="107">
        <f>YEAR(Table6[[#This Row],[Date]])+IF(MONTH(Table6[[#This Row],[Date]])&gt;=4,1,0)</f>
        <v>2026</v>
      </c>
      <c r="C687" s="105">
        <f>YEAR(Table6[[#This Row],[Date]])</f>
        <v>2025</v>
      </c>
      <c r="D687" s="105" t="s">
        <v>490</v>
      </c>
      <c r="E687" s="119">
        <f>Table6[[#This Row],[Date]]-DAY(Table6[[#This Row],[Date]])+1</f>
        <v>45809</v>
      </c>
      <c r="F687" s="118">
        <v>45810</v>
      </c>
      <c r="G687" s="105" t="s">
        <v>118</v>
      </c>
      <c r="H687" s="39" t="str">
        <f>_xlfn.XLOOKUP(Table6[[#This Row],[Affected WTG]],'Basic Data'!$A:$A,'Basic Data'!$B:$B)</f>
        <v>PWEGPL</v>
      </c>
      <c r="I687" s="39" t="str">
        <f>_xlfn.XLOOKUP(Table6[[#This Row],[Affected WTG]],'Basic Data'!$A:$A,'Basic Data'!$C:$C)</f>
        <v>MSEDCL</v>
      </c>
      <c r="J687" s="345">
        <f>IFERROR(VLOOKUP(Table6[[#This Row],[Affected WTG]],'Basic Data'!$A$3:$E$56,5,0),"")</f>
        <v>2.564102564102564E-2</v>
      </c>
      <c r="K687" s="105">
        <v>205</v>
      </c>
      <c r="L687" s="39" t="str">
        <f>IFERROR(VLOOKUP(Table6[[#This Row],[Error Code]],'Basic Data'!$T:$U,2,0),"")</f>
        <v>Low Level Hydraulic Group Refrigeration Oil</v>
      </c>
      <c r="M687" s="346" t="s">
        <v>462</v>
      </c>
      <c r="N687" s="39" t="s">
        <v>1270</v>
      </c>
      <c r="O687" s="347">
        <v>0.4375</v>
      </c>
      <c r="P687" s="347">
        <v>0.46111111111111114</v>
      </c>
      <c r="Q687" s="347">
        <v>0.55555555555555558</v>
      </c>
      <c r="R687" s="348">
        <f>IF(Table6[[#This Row],[Work Start TimeStamp]]="","",(Table6[[#This Row],[Work Start TimeStamp]]-Table6[[#This Row],[Fault Start TimeStamp]])*24)</f>
        <v>0.56666666666666732</v>
      </c>
      <c r="S687" s="349">
        <f>(Table6[[#This Row],[Fault Clearance time]]-Table6[[#This Row],[Work Start TimeStamp]])*24</f>
        <v>2.2666666666666666</v>
      </c>
      <c r="T687" s="350">
        <f>(Table6[[#This Row],[Fault Clearance time]]-Table6[[#This Row],[Fault Start TimeStamp]])*24</f>
        <v>2.8333333333333339</v>
      </c>
      <c r="U687" s="346" t="s">
        <v>1202</v>
      </c>
      <c r="V687" s="351" t="s">
        <v>463</v>
      </c>
      <c r="W687" s="338">
        <f>Table6[[#This Row],[Breakdown Time]]*(1/39)</f>
        <v>7.2649572649572669E-2</v>
      </c>
      <c r="X687" s="336" t="s">
        <v>465</v>
      </c>
      <c r="Y687" s="352" t="s">
        <v>117</v>
      </c>
      <c r="Z687" s="105">
        <v>10402</v>
      </c>
      <c r="AA687" s="107">
        <v>1228.0138888888891</v>
      </c>
      <c r="AB687" s="105" t="s">
        <v>478</v>
      </c>
    </row>
    <row r="688" spans="1:28">
      <c r="A688" s="105">
        <f t="shared" si="10"/>
        <v>687</v>
      </c>
      <c r="B688" s="107">
        <f>YEAR(Table6[[#This Row],[Date]])+IF(MONTH(Table6[[#This Row],[Date]])&gt;=4,1,0)</f>
        <v>2026</v>
      </c>
      <c r="C688" s="105">
        <f>YEAR(Table6[[#This Row],[Date]])</f>
        <v>2025</v>
      </c>
      <c r="D688" s="105" t="s">
        <v>490</v>
      </c>
      <c r="E688" s="119">
        <f>Table6[[#This Row],[Date]]-DAY(Table6[[#This Row],[Date]])+1</f>
        <v>45809</v>
      </c>
      <c r="F688" s="118">
        <v>45810</v>
      </c>
      <c r="G688" s="105" t="s">
        <v>122</v>
      </c>
      <c r="H688" s="39" t="str">
        <f>_xlfn.XLOOKUP(Table6[[#This Row],[Affected WTG]],'Basic Data'!$A:$A,'Basic Data'!$B:$B)</f>
        <v>PWEGPL</v>
      </c>
      <c r="I688" s="39" t="str">
        <f>_xlfn.XLOOKUP(Table6[[#This Row],[Affected WTG]],'Basic Data'!$A:$A,'Basic Data'!$C:$C)</f>
        <v>MSEDCL</v>
      </c>
      <c r="J688" s="345">
        <f>IFERROR(VLOOKUP(Table6[[#This Row],[Affected WTG]],'Basic Data'!$A$3:$E$56,5,0),"")</f>
        <v>2.564102564102564E-2</v>
      </c>
      <c r="K688" s="105" t="s">
        <v>476</v>
      </c>
      <c r="L688" s="39" t="str">
        <f>IFERROR(VLOOKUP(Table6[[#This Row],[Error Code]],'Basic Data'!$T:$U,2,0),"")</f>
        <v>Manual Stop - Preventive Maintenance Activity</v>
      </c>
      <c r="M688" s="346" t="s">
        <v>474</v>
      </c>
      <c r="N688" s="39" t="s">
        <v>230</v>
      </c>
      <c r="O688" s="347">
        <v>0.47222222222222221</v>
      </c>
      <c r="P688" s="347">
        <v>0.47222222222222221</v>
      </c>
      <c r="Q688" s="347">
        <v>0.73958333333333337</v>
      </c>
      <c r="R688" s="348">
        <f>IF(Table6[[#This Row],[Work Start TimeStamp]]="","",(Table6[[#This Row],[Work Start TimeStamp]]-Table6[[#This Row],[Fault Start TimeStamp]])*24)</f>
        <v>0</v>
      </c>
      <c r="S688" s="349">
        <f>(Table6[[#This Row],[Fault Clearance time]]-Table6[[#This Row],[Work Start TimeStamp]])*24</f>
        <v>6.4166666666666679</v>
      </c>
      <c r="T688" s="350">
        <f>(Table6[[#This Row],[Fault Clearance time]]-Table6[[#This Row],[Fault Start TimeStamp]])*24</f>
        <v>6.4166666666666679</v>
      </c>
      <c r="U688" s="346" t="s">
        <v>582</v>
      </c>
      <c r="V688" s="351" t="s">
        <v>463</v>
      </c>
      <c r="W688" s="338">
        <f>Table6[[#This Row],[Breakdown Time]]*(1/39)</f>
        <v>0.16452991452991456</v>
      </c>
      <c r="X688" s="336" t="s">
        <v>467</v>
      </c>
      <c r="Y688" s="352" t="s">
        <v>117</v>
      </c>
      <c r="Z688" s="105">
        <v>10402</v>
      </c>
      <c r="AA688" s="107">
        <v>2781.0902777777783</v>
      </c>
      <c r="AB688" s="105" t="s">
        <v>478</v>
      </c>
    </row>
    <row r="689" spans="1:28">
      <c r="A689" s="105">
        <f t="shared" si="10"/>
        <v>688</v>
      </c>
      <c r="B689" s="107">
        <f>YEAR(Table6[[#This Row],[Date]])+IF(MONTH(Table6[[#This Row],[Date]])&gt;=4,1,0)</f>
        <v>2026</v>
      </c>
      <c r="C689" s="105">
        <f>YEAR(Table6[[#This Row],[Date]])</f>
        <v>2025</v>
      </c>
      <c r="D689" s="105" t="s">
        <v>490</v>
      </c>
      <c r="E689" s="119">
        <f>Table6[[#This Row],[Date]]-DAY(Table6[[#This Row],[Date]])+1</f>
        <v>45809</v>
      </c>
      <c r="F689" s="118">
        <v>45810</v>
      </c>
      <c r="G689" s="105" t="s">
        <v>134</v>
      </c>
      <c r="H689" s="39" t="str">
        <f>_xlfn.XLOOKUP(Table6[[#This Row],[Affected WTG]],'Basic Data'!$A:$A,'Basic Data'!$B:$B)</f>
        <v>PWEGPL</v>
      </c>
      <c r="I689" s="39" t="str">
        <f>_xlfn.XLOOKUP(Table6[[#This Row],[Affected WTG]],'Basic Data'!$A:$A,'Basic Data'!$C:$C)</f>
        <v>MSEDCL</v>
      </c>
      <c r="J689" s="345">
        <f>IFERROR(VLOOKUP(Table6[[#This Row],[Affected WTG]],'Basic Data'!$A$3:$E$56,5,0),"")</f>
        <v>2.564102564102564E-2</v>
      </c>
      <c r="K689" s="105">
        <v>5203</v>
      </c>
      <c r="L689" s="39" t="str">
        <f>IFERROR(VLOOKUP(Table6[[#This Row],[Error Code]],'Basic Data'!$T:$U,2,0),"")</f>
        <v>Heating/Coolant Thermal Magnetic Failure</v>
      </c>
      <c r="M689" s="346" t="s">
        <v>462</v>
      </c>
      <c r="N689" s="39" t="s">
        <v>1270</v>
      </c>
      <c r="O689" s="347">
        <v>0.78819444444444442</v>
      </c>
      <c r="P689" s="347">
        <v>0.81805555555555554</v>
      </c>
      <c r="Q689" s="347">
        <v>0.87569444444444444</v>
      </c>
      <c r="R689" s="348">
        <f>IF(Table6[[#This Row],[Work Start TimeStamp]]="","",(Table6[[#This Row],[Work Start TimeStamp]]-Table6[[#This Row],[Fault Start TimeStamp]])*24)</f>
        <v>0.71666666666666679</v>
      </c>
      <c r="S689" s="349">
        <f>(Table6[[#This Row],[Fault Clearance time]]-Table6[[#This Row],[Work Start TimeStamp]])*24</f>
        <v>1.3833333333333337</v>
      </c>
      <c r="T689" s="350">
        <f>(Table6[[#This Row],[Fault Clearance time]]-Table6[[#This Row],[Fault Start TimeStamp]])*24</f>
        <v>2.1000000000000005</v>
      </c>
      <c r="U689" s="346" t="s">
        <v>1203</v>
      </c>
      <c r="V689" s="351" t="s">
        <v>463</v>
      </c>
      <c r="W689" s="338">
        <f>Table6[[#This Row],[Breakdown Time]]*(1/39)</f>
        <v>5.3846153846153856E-2</v>
      </c>
      <c r="X689" s="336" t="s">
        <v>465</v>
      </c>
      <c r="Y689" s="352" t="s">
        <v>133</v>
      </c>
      <c r="Z689" s="105">
        <v>12267</v>
      </c>
      <c r="AA689" s="107">
        <v>1073.3625000000002</v>
      </c>
      <c r="AB689" s="105" t="s">
        <v>478</v>
      </c>
    </row>
    <row r="690" spans="1:28">
      <c r="A690" s="105">
        <f t="shared" si="10"/>
        <v>689</v>
      </c>
      <c r="B690" s="107">
        <f>YEAR(Table6[[#This Row],[Date]])+IF(MONTH(Table6[[#This Row],[Date]])&gt;=4,1,0)</f>
        <v>2026</v>
      </c>
      <c r="C690" s="105">
        <f>YEAR(Table6[[#This Row],[Date]])</f>
        <v>2025</v>
      </c>
      <c r="D690" s="105" t="s">
        <v>490</v>
      </c>
      <c r="E690" s="119">
        <f>Table6[[#This Row],[Date]]-DAY(Table6[[#This Row],[Date]])+1</f>
        <v>45809</v>
      </c>
      <c r="F690" s="118">
        <v>45810</v>
      </c>
      <c r="G690" s="105" t="s">
        <v>146</v>
      </c>
      <c r="H690" s="39" t="str">
        <f>_xlfn.XLOOKUP(Table6[[#This Row],[Affected WTG]],'Basic Data'!$A:$A,'Basic Data'!$B:$B)</f>
        <v>PWEGPL</v>
      </c>
      <c r="I690" s="39" t="str">
        <f>_xlfn.XLOOKUP(Table6[[#This Row],[Affected WTG]],'Basic Data'!$A:$A,'Basic Data'!$C:$C)</f>
        <v>MSEDCL</v>
      </c>
      <c r="J690" s="345">
        <f>IFERROR(VLOOKUP(Table6[[#This Row],[Affected WTG]],'Basic Data'!$A$3:$E$56,5,0),"")</f>
        <v>2.564102564102564E-2</v>
      </c>
      <c r="K690" s="105" t="s">
        <v>487</v>
      </c>
      <c r="L690" s="39" t="str">
        <f>IFERROR(VLOOKUP(Table6[[#This Row],[Error Code]],'Basic Data'!$T:$U,2,0),"")</f>
        <v>General Work Stoppage</v>
      </c>
      <c r="M690" s="346" t="s">
        <v>479</v>
      </c>
      <c r="N690" s="39" t="s">
        <v>230</v>
      </c>
      <c r="O690" s="347">
        <v>0.47708333333333336</v>
      </c>
      <c r="P690" s="347">
        <v>0.47708333333333336</v>
      </c>
      <c r="Q690" s="347">
        <v>0.52083333333333337</v>
      </c>
      <c r="R690" s="348">
        <f>IF(Table6[[#This Row],[Work Start TimeStamp]]="","",(Table6[[#This Row],[Work Start TimeStamp]]-Table6[[#This Row],[Fault Start TimeStamp]])*24)</f>
        <v>0</v>
      </c>
      <c r="S690" s="349">
        <f>(Table6[[#This Row],[Fault Clearance time]]-Table6[[#This Row],[Work Start TimeStamp]])*24</f>
        <v>1.0500000000000003</v>
      </c>
      <c r="T690" s="350">
        <f>(Table6[[#This Row],[Fault Clearance time]]-Table6[[#This Row],[Fault Start TimeStamp]])*24</f>
        <v>1.0500000000000003</v>
      </c>
      <c r="U690" s="346" t="s">
        <v>1222</v>
      </c>
      <c r="V690" s="351" t="s">
        <v>463</v>
      </c>
      <c r="W690" s="338">
        <f>Table6[[#This Row],[Breakdown Time]]*(1/39)</f>
        <v>2.6923076923076928E-2</v>
      </c>
      <c r="X690" s="336" t="s">
        <v>464</v>
      </c>
      <c r="Y690" s="352" t="s">
        <v>147</v>
      </c>
      <c r="Z690" s="105">
        <v>9109</v>
      </c>
      <c r="AA690" s="107">
        <v>398.51875000000013</v>
      </c>
      <c r="AB690" s="105" t="s">
        <v>478</v>
      </c>
    </row>
    <row r="691" spans="1:28">
      <c r="A691" s="105">
        <f t="shared" si="10"/>
        <v>690</v>
      </c>
      <c r="B691" s="107">
        <f>YEAR(Table6[[#This Row],[Date]])+IF(MONTH(Table6[[#This Row],[Date]])&gt;=4,1,0)</f>
        <v>2026</v>
      </c>
      <c r="C691" s="105">
        <f>YEAR(Table6[[#This Row],[Date]])</f>
        <v>2025</v>
      </c>
      <c r="D691" s="105" t="s">
        <v>490</v>
      </c>
      <c r="E691" s="119">
        <f>Table6[[#This Row],[Date]]-DAY(Table6[[#This Row],[Date]])+1</f>
        <v>45809</v>
      </c>
      <c r="F691" s="118">
        <v>45810</v>
      </c>
      <c r="G691" s="105" t="s">
        <v>148</v>
      </c>
      <c r="H691" s="39" t="str">
        <f>_xlfn.XLOOKUP(Table6[[#This Row],[Affected WTG]],'Basic Data'!$A:$A,'Basic Data'!$B:$B)</f>
        <v>PWEGPL</v>
      </c>
      <c r="I691" s="39" t="str">
        <f>_xlfn.XLOOKUP(Table6[[#This Row],[Affected WTG]],'Basic Data'!$A:$A,'Basic Data'!$C:$C)</f>
        <v>MSEDCL</v>
      </c>
      <c r="J691" s="345">
        <f>IFERROR(VLOOKUP(Table6[[#This Row],[Affected WTG]],'Basic Data'!$A$3:$E$56,5,0),"")</f>
        <v>2.564102564102564E-2</v>
      </c>
      <c r="K691" s="105" t="s">
        <v>487</v>
      </c>
      <c r="L691" s="39" t="str">
        <f>IFERROR(VLOOKUP(Table6[[#This Row],[Error Code]],'Basic Data'!$T:$U,2,0),"")</f>
        <v>General Work Stoppage</v>
      </c>
      <c r="M691" s="346" t="s">
        <v>479</v>
      </c>
      <c r="N691" s="39" t="s">
        <v>230</v>
      </c>
      <c r="O691" s="347">
        <v>0.54513888888888884</v>
      </c>
      <c r="P691" s="347">
        <v>0.54513888888888884</v>
      </c>
      <c r="Q691" s="347">
        <v>0.58472222222222225</v>
      </c>
      <c r="R691" s="348">
        <f>IF(Table6[[#This Row],[Work Start TimeStamp]]="","",(Table6[[#This Row],[Work Start TimeStamp]]-Table6[[#This Row],[Fault Start TimeStamp]])*24)</f>
        <v>0</v>
      </c>
      <c r="S691" s="349">
        <f>(Table6[[#This Row],[Fault Clearance time]]-Table6[[#This Row],[Work Start TimeStamp]])*24</f>
        <v>0.95000000000000195</v>
      </c>
      <c r="T691" s="350">
        <f>(Table6[[#This Row],[Fault Clearance time]]-Table6[[#This Row],[Fault Start TimeStamp]])*24</f>
        <v>0.95000000000000195</v>
      </c>
      <c r="U691" s="346" t="s">
        <v>1213</v>
      </c>
      <c r="V691" s="351" t="s">
        <v>463</v>
      </c>
      <c r="W691" s="338">
        <f>Table6[[#This Row],[Breakdown Time]]*(1/39)</f>
        <v>2.4358974358974408E-2</v>
      </c>
      <c r="X691" s="336" t="s">
        <v>464</v>
      </c>
      <c r="Y691" s="352" t="s">
        <v>149</v>
      </c>
      <c r="Z691" s="105">
        <v>9111</v>
      </c>
      <c r="AA691" s="107">
        <v>360.64375000000075</v>
      </c>
      <c r="AB691" s="105" t="s">
        <v>478</v>
      </c>
    </row>
    <row r="692" spans="1:28">
      <c r="A692" s="105">
        <f t="shared" si="10"/>
        <v>691</v>
      </c>
      <c r="B692" s="107">
        <f>YEAR(Table6[[#This Row],[Date]])+IF(MONTH(Table6[[#This Row],[Date]])&gt;=4,1,0)</f>
        <v>2026</v>
      </c>
      <c r="C692" s="105">
        <f>YEAR(Table6[[#This Row],[Date]])</f>
        <v>2025</v>
      </c>
      <c r="D692" s="105" t="s">
        <v>490</v>
      </c>
      <c r="E692" s="119">
        <f>Table6[[#This Row],[Date]]-DAY(Table6[[#This Row],[Date]])+1</f>
        <v>45809</v>
      </c>
      <c r="F692" s="118">
        <v>45810</v>
      </c>
      <c r="G692" s="105" t="s">
        <v>146</v>
      </c>
      <c r="H692" s="39" t="str">
        <f>_xlfn.XLOOKUP(Table6[[#This Row],[Affected WTG]],'Basic Data'!$A:$A,'Basic Data'!$B:$B)</f>
        <v>PWEGPL</v>
      </c>
      <c r="I692" s="39" t="str">
        <f>_xlfn.XLOOKUP(Table6[[#This Row],[Affected WTG]],'Basic Data'!$A:$A,'Basic Data'!$C:$C)</f>
        <v>MSEDCL</v>
      </c>
      <c r="J692" s="345">
        <f>IFERROR(VLOOKUP(Table6[[#This Row],[Affected WTG]],'Basic Data'!$A$3:$E$56,5,0),"")</f>
        <v>2.564102564102564E-2</v>
      </c>
      <c r="K692" s="105">
        <v>509</v>
      </c>
      <c r="L692" s="39" t="str">
        <f>IFERROR(VLOOKUP(Table6[[#This Row],[Error Code]],'Basic Data'!$T:$U,2,0),"")</f>
        <v>Generator Slipping Ring High Temperature</v>
      </c>
      <c r="M692" s="346" t="s">
        <v>462</v>
      </c>
      <c r="N692" s="39" t="s">
        <v>1270</v>
      </c>
      <c r="O692" s="347">
        <v>0.73958333333333337</v>
      </c>
      <c r="P692" s="347">
        <v>0.7583333333333333</v>
      </c>
      <c r="Q692" s="347">
        <v>0.75902777777777775</v>
      </c>
      <c r="R692" s="348">
        <f>IF(Table6[[#This Row],[Work Start TimeStamp]]="","",(Table6[[#This Row],[Work Start TimeStamp]]-Table6[[#This Row],[Fault Start TimeStamp]])*24)</f>
        <v>0.4499999999999984</v>
      </c>
      <c r="S692" s="349">
        <f>(Table6[[#This Row],[Fault Clearance time]]-Table6[[#This Row],[Work Start TimeStamp]])*24</f>
        <v>1.6666666666666607E-2</v>
      </c>
      <c r="T692" s="350">
        <f>(Table6[[#This Row],[Fault Clearance time]]-Table6[[#This Row],[Fault Start TimeStamp]])*24</f>
        <v>0.46666666666666501</v>
      </c>
      <c r="U692" s="346" t="s">
        <v>493</v>
      </c>
      <c r="V692" s="351" t="s">
        <v>463</v>
      </c>
      <c r="W692" s="338">
        <f>Table6[[#This Row],[Breakdown Time]]*(1/39)</f>
        <v>1.1965811965811923E-2</v>
      </c>
      <c r="X692" s="336" t="s">
        <v>465</v>
      </c>
      <c r="Y692" s="352" t="s">
        <v>147</v>
      </c>
      <c r="Z692" s="105">
        <v>9109</v>
      </c>
      <c r="AA692" s="107">
        <v>177.11944444444381</v>
      </c>
      <c r="AB692" s="105" t="s">
        <v>478</v>
      </c>
    </row>
    <row r="693" spans="1:28">
      <c r="A693" s="105">
        <f t="shared" si="10"/>
        <v>692</v>
      </c>
      <c r="B693" s="107">
        <f>YEAR(Table6[[#This Row],[Date]])+IF(MONTH(Table6[[#This Row],[Date]])&gt;=4,1,0)</f>
        <v>2026</v>
      </c>
      <c r="C693" s="105">
        <f>YEAR(Table6[[#This Row],[Date]])</f>
        <v>2025</v>
      </c>
      <c r="D693" s="105" t="s">
        <v>490</v>
      </c>
      <c r="E693" s="119">
        <f>Table6[[#This Row],[Date]]-DAY(Table6[[#This Row],[Date]])+1</f>
        <v>45809</v>
      </c>
      <c r="F693" s="118">
        <v>45811</v>
      </c>
      <c r="G693" s="105" t="s">
        <v>144</v>
      </c>
      <c r="H693" s="39" t="str">
        <f>_xlfn.XLOOKUP(Table6[[#This Row],[Affected WTG]],'Basic Data'!$A:$A,'Basic Data'!$B:$B)</f>
        <v>PWEGPL</v>
      </c>
      <c r="I693" s="39" t="str">
        <f>_xlfn.XLOOKUP(Table6[[#This Row],[Affected WTG]],'Basic Data'!$A:$A,'Basic Data'!$C:$C)</f>
        <v>MSEDCL</v>
      </c>
      <c r="J693" s="345">
        <f>IFERROR(VLOOKUP(Table6[[#This Row],[Affected WTG]],'Basic Data'!$A$3:$E$56,5,0),"")</f>
        <v>2.564102564102564E-2</v>
      </c>
      <c r="K693" s="105" t="s">
        <v>492</v>
      </c>
      <c r="L693" s="39" t="str">
        <f>IFERROR(VLOOKUP(Table6[[#This Row],[Error Code]],'Basic Data'!$T:$U,2,0),"")</f>
        <v>Manual Stop - Safety Related</v>
      </c>
      <c r="M693" s="346" t="s">
        <v>481</v>
      </c>
      <c r="N693" s="39" t="s">
        <v>1269</v>
      </c>
      <c r="O693" s="347">
        <v>0</v>
      </c>
      <c r="P693" s="347">
        <v>0.99930555555555556</v>
      </c>
      <c r="Q693" s="347">
        <v>0.99930555555555556</v>
      </c>
      <c r="R693" s="348">
        <f>IF(Table6[[#This Row],[Work Start TimeStamp]]="","",(Table6[[#This Row],[Work Start TimeStamp]]-Table6[[#This Row],[Fault Start TimeStamp]])*24)</f>
        <v>23.983333333333334</v>
      </c>
      <c r="S693" s="349">
        <f>(Table6[[#This Row],[Fault Clearance time]]-Table6[[#This Row],[Work Start TimeStamp]])*24</f>
        <v>0</v>
      </c>
      <c r="T693" s="350">
        <f>(Table6[[#This Row],[Fault Clearance time]]-Table6[[#This Row],[Fault Start TimeStamp]])*24</f>
        <v>23.983333333333334</v>
      </c>
      <c r="U693" s="346" t="s">
        <v>498</v>
      </c>
      <c r="V693" s="351" t="s">
        <v>473</v>
      </c>
      <c r="W693" s="338">
        <f>Table6[[#This Row],[Breakdown Time]]*(1/39)</f>
        <v>0.61495726495726499</v>
      </c>
      <c r="X693" s="336" t="s">
        <v>468</v>
      </c>
      <c r="Y693" s="352" t="s">
        <v>141</v>
      </c>
      <c r="Z693" s="105">
        <v>18276</v>
      </c>
      <c r="AA693" s="107">
        <v>18263.308333333334</v>
      </c>
      <c r="AB693" s="105" t="s">
        <v>478</v>
      </c>
    </row>
    <row r="694" spans="1:28">
      <c r="A694" s="105">
        <f t="shared" si="10"/>
        <v>693</v>
      </c>
      <c r="B694" s="107">
        <f>YEAR(Table6[[#This Row],[Date]])+IF(MONTH(Table6[[#This Row],[Date]])&gt;=4,1,0)</f>
        <v>2026</v>
      </c>
      <c r="C694" s="105">
        <f>YEAR(Table6[[#This Row],[Date]])</f>
        <v>2025</v>
      </c>
      <c r="D694" s="105" t="s">
        <v>490</v>
      </c>
      <c r="E694" s="119">
        <f>Table6[[#This Row],[Date]]-DAY(Table6[[#This Row],[Date]])+1</f>
        <v>45809</v>
      </c>
      <c r="F694" s="118">
        <v>45811</v>
      </c>
      <c r="G694" s="105" t="s">
        <v>142</v>
      </c>
      <c r="H694" s="39" t="str">
        <f>_xlfn.XLOOKUP(Table6[[#This Row],[Affected WTG]],'Basic Data'!$A:$A,'Basic Data'!$B:$B)</f>
        <v>PWEGPL</v>
      </c>
      <c r="I694" s="39" t="str">
        <f>_xlfn.XLOOKUP(Table6[[#This Row],[Affected WTG]],'Basic Data'!$A:$A,'Basic Data'!$C:$C)</f>
        <v>MSEDCL</v>
      </c>
      <c r="J694" s="345">
        <f>IFERROR(VLOOKUP(Table6[[#This Row],[Affected WTG]],'Basic Data'!$A$3:$E$56,5,0),"")</f>
        <v>2.564102564102564E-2</v>
      </c>
      <c r="K694" s="105" t="s">
        <v>492</v>
      </c>
      <c r="L694" s="39" t="str">
        <f>IFERROR(VLOOKUP(Table6[[#This Row],[Error Code]],'Basic Data'!$T:$U,2,0),"")</f>
        <v>Manual Stop - Safety Related</v>
      </c>
      <c r="M694" s="346" t="s">
        <v>481</v>
      </c>
      <c r="N694" s="39" t="s">
        <v>1269</v>
      </c>
      <c r="O694" s="347">
        <v>0</v>
      </c>
      <c r="P694" s="347">
        <v>0.99930555555555556</v>
      </c>
      <c r="Q694" s="347">
        <v>0.99930555555555556</v>
      </c>
      <c r="R694" s="348">
        <f>IF(Table6[[#This Row],[Work Start TimeStamp]]="","",(Table6[[#This Row],[Work Start TimeStamp]]-Table6[[#This Row],[Fault Start TimeStamp]])*24)</f>
        <v>23.983333333333334</v>
      </c>
      <c r="S694" s="349">
        <f>(Table6[[#This Row],[Fault Clearance time]]-Table6[[#This Row],[Work Start TimeStamp]])*24</f>
        <v>0</v>
      </c>
      <c r="T694" s="350">
        <f>(Table6[[#This Row],[Fault Clearance time]]-Table6[[#This Row],[Fault Start TimeStamp]])*24</f>
        <v>23.983333333333334</v>
      </c>
      <c r="U694" s="346" t="s">
        <v>498</v>
      </c>
      <c r="V694" s="351" t="s">
        <v>473</v>
      </c>
      <c r="W694" s="338">
        <f>Table6[[#This Row],[Breakdown Time]]*(1/39)</f>
        <v>0.61495726495726499</v>
      </c>
      <c r="X694" s="336" t="s">
        <v>468</v>
      </c>
      <c r="Y694" s="352" t="s">
        <v>141</v>
      </c>
      <c r="Z694" s="105">
        <v>18276</v>
      </c>
      <c r="AA694" s="107">
        <v>18263.308333333334</v>
      </c>
      <c r="AB694" s="105" t="s">
        <v>478</v>
      </c>
    </row>
    <row r="695" spans="1:28">
      <c r="A695" s="105">
        <f t="shared" si="10"/>
        <v>694</v>
      </c>
      <c r="B695" s="107">
        <f>YEAR(Table6[[#This Row],[Date]])+IF(MONTH(Table6[[#This Row],[Date]])&gt;=4,1,0)</f>
        <v>2026</v>
      </c>
      <c r="C695" s="105">
        <f>YEAR(Table6[[#This Row],[Date]])</f>
        <v>2025</v>
      </c>
      <c r="D695" s="105" t="s">
        <v>490</v>
      </c>
      <c r="E695" s="119">
        <f>Table6[[#This Row],[Date]]-DAY(Table6[[#This Row],[Date]])+1</f>
        <v>45809</v>
      </c>
      <c r="F695" s="118">
        <v>45811</v>
      </c>
      <c r="G695" s="105" t="s">
        <v>125</v>
      </c>
      <c r="H695" s="39" t="str">
        <f>_xlfn.XLOOKUP(Table6[[#This Row],[Affected WTG]],'Basic Data'!$A:$A,'Basic Data'!$B:$B)</f>
        <v>PWEGPL</v>
      </c>
      <c r="I695" s="39" t="str">
        <f>_xlfn.XLOOKUP(Table6[[#This Row],[Affected WTG]],'Basic Data'!$A:$A,'Basic Data'!$C:$C)</f>
        <v>MSEDCL</v>
      </c>
      <c r="J695" s="345">
        <f>IFERROR(VLOOKUP(Table6[[#This Row],[Affected WTG]],'Basic Data'!$A$3:$E$56,5,0),"")</f>
        <v>2.564102564102564E-2</v>
      </c>
      <c r="K695" s="105">
        <v>203</v>
      </c>
      <c r="L695" s="39" t="str">
        <f>IFERROR(VLOOKUP(Table6[[#This Row],[Error Code]],'Basic Data'!$T:$U,2,0),"")</f>
        <v>Low Pressure On Hydraulic Group</v>
      </c>
      <c r="M695" s="346" t="s">
        <v>462</v>
      </c>
      <c r="N695" s="39" t="s">
        <v>1270</v>
      </c>
      <c r="O695" s="347">
        <v>0.43125000000000002</v>
      </c>
      <c r="P695" s="347">
        <v>0.50763888888888886</v>
      </c>
      <c r="Q695" s="347">
        <v>0.5083333333333333</v>
      </c>
      <c r="R695" s="348">
        <f>IF(Table6[[#This Row],[Work Start TimeStamp]]="","",(Table6[[#This Row],[Work Start TimeStamp]]-Table6[[#This Row],[Fault Start TimeStamp]])*24)</f>
        <v>1.8333333333333321</v>
      </c>
      <c r="S695" s="349">
        <f>(Table6[[#This Row],[Fault Clearance time]]-Table6[[#This Row],[Work Start TimeStamp]])*24</f>
        <v>1.6666666666666607E-2</v>
      </c>
      <c r="T695" s="350">
        <f>(Table6[[#This Row],[Fault Clearance time]]-Table6[[#This Row],[Fault Start TimeStamp]])*24</f>
        <v>1.8499999999999988</v>
      </c>
      <c r="U695" s="346" t="s">
        <v>493</v>
      </c>
      <c r="V695" s="351" t="s">
        <v>463</v>
      </c>
      <c r="W695" s="338">
        <f>Table6[[#This Row],[Breakdown Time]]*(1/39)</f>
        <v>4.7435897435897399E-2</v>
      </c>
      <c r="X695" s="336" t="s">
        <v>465</v>
      </c>
      <c r="Y695" s="352" t="s">
        <v>124</v>
      </c>
      <c r="Z695" s="105">
        <v>21268</v>
      </c>
      <c r="AA695" s="107">
        <v>1639.4083333333322</v>
      </c>
      <c r="AB695" s="105" t="s">
        <v>478</v>
      </c>
    </row>
    <row r="696" spans="1:28">
      <c r="A696" s="105">
        <f t="shared" si="10"/>
        <v>695</v>
      </c>
      <c r="B696" s="107">
        <f>YEAR(Table6[[#This Row],[Date]])+IF(MONTH(Table6[[#This Row],[Date]])&gt;=4,1,0)</f>
        <v>2026</v>
      </c>
      <c r="C696" s="105">
        <f>YEAR(Table6[[#This Row],[Date]])</f>
        <v>2025</v>
      </c>
      <c r="D696" s="105" t="s">
        <v>490</v>
      </c>
      <c r="E696" s="119">
        <f>Table6[[#This Row],[Date]]-DAY(Table6[[#This Row],[Date]])+1</f>
        <v>45809</v>
      </c>
      <c r="F696" s="118">
        <v>45811</v>
      </c>
      <c r="G696" s="105" t="s">
        <v>125</v>
      </c>
      <c r="H696" s="39" t="str">
        <f>_xlfn.XLOOKUP(Table6[[#This Row],[Affected WTG]],'Basic Data'!$A:$A,'Basic Data'!$B:$B)</f>
        <v>PWEGPL</v>
      </c>
      <c r="I696" s="39" t="str">
        <f>_xlfn.XLOOKUP(Table6[[#This Row],[Affected WTG]],'Basic Data'!$A:$A,'Basic Data'!$C:$C)</f>
        <v>MSEDCL</v>
      </c>
      <c r="J696" s="345">
        <f>IFERROR(VLOOKUP(Table6[[#This Row],[Affected WTG]],'Basic Data'!$A$3:$E$56,5,0),"")</f>
        <v>2.564102564102564E-2</v>
      </c>
      <c r="K696" s="105" t="s">
        <v>476</v>
      </c>
      <c r="L696" s="39" t="str">
        <f>IFERROR(VLOOKUP(Table6[[#This Row],[Error Code]],'Basic Data'!$T:$U,2,0),"")</f>
        <v>Manual Stop - Preventive Maintenance Activity</v>
      </c>
      <c r="M696" s="346" t="s">
        <v>474</v>
      </c>
      <c r="N696" s="39" t="s">
        <v>230</v>
      </c>
      <c r="O696" s="347">
        <v>0.5083333333333333</v>
      </c>
      <c r="P696" s="347">
        <v>0.5083333333333333</v>
      </c>
      <c r="Q696" s="347">
        <v>0.77083333333333337</v>
      </c>
      <c r="R696" s="348">
        <f>IF(Table6[[#This Row],[Work Start TimeStamp]]="","",(Table6[[#This Row],[Work Start TimeStamp]]-Table6[[#This Row],[Fault Start TimeStamp]])*24)</f>
        <v>0</v>
      </c>
      <c r="S696" s="349">
        <f>(Table6[[#This Row],[Fault Clearance time]]-Table6[[#This Row],[Work Start TimeStamp]])*24</f>
        <v>6.3000000000000016</v>
      </c>
      <c r="T696" s="350">
        <f>(Table6[[#This Row],[Fault Clearance time]]-Table6[[#This Row],[Fault Start TimeStamp]])*24</f>
        <v>6.3000000000000016</v>
      </c>
      <c r="U696" s="346" t="s">
        <v>582</v>
      </c>
      <c r="V696" s="351" t="s">
        <v>463</v>
      </c>
      <c r="W696" s="338">
        <f>Table6[[#This Row],[Breakdown Time]]*(1/39)</f>
        <v>0.16153846153846158</v>
      </c>
      <c r="X696" s="336" t="s">
        <v>467</v>
      </c>
      <c r="Y696" s="352" t="s">
        <v>124</v>
      </c>
      <c r="Z696" s="105">
        <v>21268</v>
      </c>
      <c r="AA696" s="107">
        <v>5582.8500000000013</v>
      </c>
      <c r="AB696" s="105" t="s">
        <v>478</v>
      </c>
    </row>
    <row r="697" spans="1:28">
      <c r="A697" s="105">
        <f t="shared" si="10"/>
        <v>696</v>
      </c>
      <c r="B697" s="107">
        <f>YEAR(Table6[[#This Row],[Date]])+IF(MONTH(Table6[[#This Row],[Date]])&gt;=4,1,0)</f>
        <v>2026</v>
      </c>
      <c r="C697" s="105">
        <f>YEAR(Table6[[#This Row],[Date]])</f>
        <v>2025</v>
      </c>
      <c r="D697" s="105" t="s">
        <v>490</v>
      </c>
      <c r="E697" s="119">
        <f>Table6[[#This Row],[Date]]-DAY(Table6[[#This Row],[Date]])+1</f>
        <v>45809</v>
      </c>
      <c r="F697" s="118">
        <v>45811</v>
      </c>
      <c r="G697" s="105" t="s">
        <v>133</v>
      </c>
      <c r="H697" s="39" t="str">
        <f>_xlfn.XLOOKUP(Table6[[#This Row],[Affected WTG]],'Basic Data'!$A:$A,'Basic Data'!$B:$B)</f>
        <v>PWEGPL</v>
      </c>
      <c r="I697" s="39" t="str">
        <f>_xlfn.XLOOKUP(Table6[[#This Row],[Affected WTG]],'Basic Data'!$A:$A,'Basic Data'!$C:$C)</f>
        <v>MSEDCL</v>
      </c>
      <c r="J697" s="345">
        <f>IFERROR(VLOOKUP(Table6[[#This Row],[Affected WTG]],'Basic Data'!$A$3:$E$56,5,0),"")</f>
        <v>2.564102564102564E-2</v>
      </c>
      <c r="K697" s="105">
        <v>2118</v>
      </c>
      <c r="L697" s="39" t="str">
        <f>IFERROR(VLOOKUP(Table6[[#This Row],[Error Code]],'Basic Data'!$T:$U,2,0),"")</f>
        <v>Bus Error - Interbus Failure</v>
      </c>
      <c r="M697" s="346" t="s">
        <v>462</v>
      </c>
      <c r="N697" s="39" t="s">
        <v>1270</v>
      </c>
      <c r="O697" s="347">
        <v>0.47222222222222221</v>
      </c>
      <c r="P697" s="347">
        <v>0.48402777777777778</v>
      </c>
      <c r="Q697" s="347">
        <v>0.48541666666666666</v>
      </c>
      <c r="R697" s="348">
        <f>IF(Table6[[#This Row],[Work Start TimeStamp]]="","",(Table6[[#This Row],[Work Start TimeStamp]]-Table6[[#This Row],[Fault Start TimeStamp]])*24)</f>
        <v>0.28333333333333366</v>
      </c>
      <c r="S697" s="349">
        <f>(Table6[[#This Row],[Fault Clearance time]]-Table6[[#This Row],[Work Start TimeStamp]])*24</f>
        <v>3.3333333333333215E-2</v>
      </c>
      <c r="T697" s="350">
        <f>(Table6[[#This Row],[Fault Clearance time]]-Table6[[#This Row],[Fault Start TimeStamp]])*24</f>
        <v>0.31666666666666687</v>
      </c>
      <c r="U697" s="346" t="s">
        <v>491</v>
      </c>
      <c r="V697" s="351" t="s">
        <v>463</v>
      </c>
      <c r="W697" s="338">
        <f>Table6[[#This Row],[Breakdown Time]]*(1/39)</f>
        <v>8.1196581196581255E-3</v>
      </c>
      <c r="X697" s="336" t="s">
        <v>465</v>
      </c>
      <c r="Y697" s="352" t="s">
        <v>132</v>
      </c>
      <c r="Z697" s="105">
        <v>21657</v>
      </c>
      <c r="AA697" s="107">
        <v>285.75208333333353</v>
      </c>
      <c r="AB697" s="105" t="s">
        <v>478</v>
      </c>
    </row>
    <row r="698" spans="1:28">
      <c r="A698" s="105">
        <f t="shared" si="10"/>
        <v>697</v>
      </c>
      <c r="B698" s="107">
        <f>YEAR(Table6[[#This Row],[Date]])+IF(MONTH(Table6[[#This Row],[Date]])&gt;=4,1,0)</f>
        <v>2026</v>
      </c>
      <c r="C698" s="105">
        <f>YEAR(Table6[[#This Row],[Date]])</f>
        <v>2025</v>
      </c>
      <c r="D698" s="105" t="s">
        <v>490</v>
      </c>
      <c r="E698" s="119">
        <f>Table6[[#This Row],[Date]]-DAY(Table6[[#This Row],[Date]])+1</f>
        <v>45809</v>
      </c>
      <c r="F698" s="118">
        <v>45811</v>
      </c>
      <c r="G698" s="105" t="s">
        <v>134</v>
      </c>
      <c r="H698" s="39" t="str">
        <f>_xlfn.XLOOKUP(Table6[[#This Row],[Affected WTG]],'Basic Data'!$A:$A,'Basic Data'!$B:$B)</f>
        <v>PWEGPL</v>
      </c>
      <c r="I698" s="39" t="str">
        <f>_xlfn.XLOOKUP(Table6[[#This Row],[Affected WTG]],'Basic Data'!$A:$A,'Basic Data'!$C:$C)</f>
        <v>MSEDCL</v>
      </c>
      <c r="J698" s="345">
        <f>IFERROR(VLOOKUP(Table6[[#This Row],[Affected WTG]],'Basic Data'!$A$3:$E$56,5,0),"")</f>
        <v>2.564102564102564E-2</v>
      </c>
      <c r="K698" s="105">
        <v>5203</v>
      </c>
      <c r="L698" s="39" t="str">
        <f>IFERROR(VLOOKUP(Table6[[#This Row],[Error Code]],'Basic Data'!$T:$U,2,0),"")</f>
        <v>Heating/Coolant Thermal Magnetic Failure</v>
      </c>
      <c r="M698" s="346" t="s">
        <v>462</v>
      </c>
      <c r="N698" s="39" t="s">
        <v>1270</v>
      </c>
      <c r="O698" s="347">
        <v>0.40625</v>
      </c>
      <c r="P698" s="347">
        <v>0.45902777777777776</v>
      </c>
      <c r="Q698" s="347">
        <v>0.5083333333333333</v>
      </c>
      <c r="R698" s="348">
        <f>IF(Table6[[#This Row],[Work Start TimeStamp]]="","",(Table6[[#This Row],[Work Start TimeStamp]]-Table6[[#This Row],[Fault Start TimeStamp]])*24)</f>
        <v>1.2666666666666662</v>
      </c>
      <c r="S698" s="349">
        <f>(Table6[[#This Row],[Fault Clearance time]]-Table6[[#This Row],[Work Start TimeStamp]])*24</f>
        <v>1.1833333333333331</v>
      </c>
      <c r="T698" s="350">
        <f>(Table6[[#This Row],[Fault Clearance time]]-Table6[[#This Row],[Fault Start TimeStamp]])*24</f>
        <v>2.4499999999999993</v>
      </c>
      <c r="U698" s="346" t="s">
        <v>1208</v>
      </c>
      <c r="V698" s="351" t="s">
        <v>463</v>
      </c>
      <c r="W698" s="338">
        <f>Table6[[#This Row],[Breakdown Time]]*(1/39)</f>
        <v>6.2820512820512805E-2</v>
      </c>
      <c r="X698" s="336" t="s">
        <v>465</v>
      </c>
      <c r="Y698" s="352" t="s">
        <v>132</v>
      </c>
      <c r="Z698" s="105">
        <v>21657</v>
      </c>
      <c r="AA698" s="107">
        <v>2210.8187499999995</v>
      </c>
      <c r="AB698" s="105" t="s">
        <v>478</v>
      </c>
    </row>
    <row r="699" spans="1:28">
      <c r="A699" s="105">
        <f t="shared" si="10"/>
        <v>698</v>
      </c>
      <c r="B699" s="107">
        <f>YEAR(Table6[[#This Row],[Date]])+IF(MONTH(Table6[[#This Row],[Date]])&gt;=4,1,0)</f>
        <v>2026</v>
      </c>
      <c r="C699" s="105">
        <f>YEAR(Table6[[#This Row],[Date]])</f>
        <v>2025</v>
      </c>
      <c r="D699" s="105" t="s">
        <v>490</v>
      </c>
      <c r="E699" s="119">
        <f>Table6[[#This Row],[Date]]-DAY(Table6[[#This Row],[Date]])+1</f>
        <v>45809</v>
      </c>
      <c r="F699" s="118">
        <v>45811</v>
      </c>
      <c r="G699" s="105" t="s">
        <v>148</v>
      </c>
      <c r="H699" s="39" t="str">
        <f>_xlfn.XLOOKUP(Table6[[#This Row],[Affected WTG]],'Basic Data'!$A:$A,'Basic Data'!$B:$B)</f>
        <v>PWEGPL</v>
      </c>
      <c r="I699" s="39" t="str">
        <f>_xlfn.XLOOKUP(Table6[[#This Row],[Affected WTG]],'Basic Data'!$A:$A,'Basic Data'!$C:$C)</f>
        <v>MSEDCL</v>
      </c>
      <c r="J699" s="345">
        <f>IFERROR(VLOOKUP(Table6[[#This Row],[Affected WTG]],'Basic Data'!$A$3:$E$56,5,0),"")</f>
        <v>2.564102564102564E-2</v>
      </c>
      <c r="K699" s="105">
        <v>118</v>
      </c>
      <c r="L699" s="39" t="str">
        <f>IFERROR(VLOOKUP(Table6[[#This Row],[Error Code]],'Basic Data'!$T:$U,2,0),"")</f>
        <v>Yaw Motors Error</v>
      </c>
      <c r="M699" s="346" t="s">
        <v>462</v>
      </c>
      <c r="N699" s="39" t="s">
        <v>1270</v>
      </c>
      <c r="O699" s="347">
        <v>0.61458333333333337</v>
      </c>
      <c r="P699" s="347">
        <v>0.64583333333333337</v>
      </c>
      <c r="Q699" s="347">
        <v>0.67708333333333337</v>
      </c>
      <c r="R699" s="348">
        <f>IF(Table6[[#This Row],[Work Start TimeStamp]]="","",(Table6[[#This Row],[Work Start TimeStamp]]-Table6[[#This Row],[Fault Start TimeStamp]])*24)</f>
        <v>0.75</v>
      </c>
      <c r="S699" s="349">
        <f>(Table6[[#This Row],[Fault Clearance time]]-Table6[[#This Row],[Work Start TimeStamp]])*24</f>
        <v>0.75</v>
      </c>
      <c r="T699" s="350">
        <f>(Table6[[#This Row],[Fault Clearance time]]-Table6[[#This Row],[Fault Start TimeStamp]])*24</f>
        <v>1.5</v>
      </c>
      <c r="U699" s="346" t="s">
        <v>1209</v>
      </c>
      <c r="V699" s="351" t="s">
        <v>463</v>
      </c>
      <c r="W699" s="338">
        <f>Table6[[#This Row],[Breakdown Time]]*(1/39)</f>
        <v>3.8461538461538464E-2</v>
      </c>
      <c r="X699" s="336" t="s">
        <v>465</v>
      </c>
      <c r="Y699" s="352" t="s">
        <v>149</v>
      </c>
      <c r="Z699" s="105">
        <v>18037</v>
      </c>
      <c r="AA699" s="107">
        <v>1127.3125</v>
      </c>
      <c r="AB699" s="105" t="s">
        <v>478</v>
      </c>
    </row>
    <row r="700" spans="1:28">
      <c r="A700" s="105">
        <f t="shared" si="10"/>
        <v>699</v>
      </c>
      <c r="B700" s="107">
        <f>YEAR(Table6[[#This Row],[Date]])+IF(MONTH(Table6[[#This Row],[Date]])&gt;=4,1,0)</f>
        <v>2026</v>
      </c>
      <c r="C700" s="105">
        <f>YEAR(Table6[[#This Row],[Date]])</f>
        <v>2025</v>
      </c>
      <c r="D700" s="105" t="s">
        <v>490</v>
      </c>
      <c r="E700" s="119">
        <f>Table6[[#This Row],[Date]]-DAY(Table6[[#This Row],[Date]])+1</f>
        <v>45809</v>
      </c>
      <c r="F700" s="118">
        <v>45811</v>
      </c>
      <c r="G700" s="105" t="s">
        <v>152</v>
      </c>
      <c r="H700" s="39" t="str">
        <f>_xlfn.XLOOKUP(Table6[[#This Row],[Affected WTG]],'Basic Data'!$A:$A,'Basic Data'!$B:$B)</f>
        <v>PWEGPL</v>
      </c>
      <c r="I700" s="39" t="str">
        <f>_xlfn.XLOOKUP(Table6[[#This Row],[Affected WTG]],'Basic Data'!$A:$A,'Basic Data'!$C:$C)</f>
        <v>MSEDCL</v>
      </c>
      <c r="J700" s="345">
        <f>IFERROR(VLOOKUP(Table6[[#This Row],[Affected WTG]],'Basic Data'!$A$3:$E$56,5,0),"")</f>
        <v>2.564102564102564E-2</v>
      </c>
      <c r="K700" s="105">
        <v>5201</v>
      </c>
      <c r="L700" s="39" t="str">
        <f>IFERROR(VLOOKUP(Table6[[#This Row],[Error Code]],'Basic Data'!$T:$U,2,0),"")</f>
        <v>Magnetothermic Trigger Of The Stator Protection</v>
      </c>
      <c r="M700" s="346" t="s">
        <v>462</v>
      </c>
      <c r="N700" s="39" t="s">
        <v>1270</v>
      </c>
      <c r="O700" s="347">
        <v>0.65625</v>
      </c>
      <c r="P700" s="347">
        <v>0.6875</v>
      </c>
      <c r="Q700" s="347">
        <v>0.68819444444444444</v>
      </c>
      <c r="R700" s="348">
        <f>IF(Table6[[#This Row],[Work Start TimeStamp]]="","",(Table6[[#This Row],[Work Start TimeStamp]]-Table6[[#This Row],[Fault Start TimeStamp]])*24)</f>
        <v>0.75</v>
      </c>
      <c r="S700" s="349">
        <f>(Table6[[#This Row],[Fault Clearance time]]-Table6[[#This Row],[Work Start TimeStamp]])*24</f>
        <v>1.6666666666666607E-2</v>
      </c>
      <c r="T700" s="350">
        <f>(Table6[[#This Row],[Fault Clearance time]]-Table6[[#This Row],[Fault Start TimeStamp]])*24</f>
        <v>0.76666666666666661</v>
      </c>
      <c r="U700" s="346" t="s">
        <v>493</v>
      </c>
      <c r="V700" s="351" t="s">
        <v>463</v>
      </c>
      <c r="W700" s="338">
        <f>Table6[[#This Row],[Breakdown Time]]*(1/39)</f>
        <v>1.9658119658119654E-2</v>
      </c>
      <c r="X700" s="336" t="s">
        <v>465</v>
      </c>
      <c r="Y700" s="352" t="s">
        <v>153</v>
      </c>
      <c r="Z700" s="105">
        <v>18076</v>
      </c>
      <c r="AA700" s="107">
        <v>577.42777777777769</v>
      </c>
      <c r="AB700" s="105" t="s">
        <v>478</v>
      </c>
    </row>
    <row r="701" spans="1:28">
      <c r="A701" s="105">
        <f t="shared" si="10"/>
        <v>700</v>
      </c>
      <c r="B701" s="107">
        <f>YEAR(Table6[[#This Row],[Date]])+IF(MONTH(Table6[[#This Row],[Date]])&gt;=4,1,0)</f>
        <v>2026</v>
      </c>
      <c r="C701" s="105">
        <f>YEAR(Table6[[#This Row],[Date]])</f>
        <v>2025</v>
      </c>
      <c r="D701" s="105" t="s">
        <v>490</v>
      </c>
      <c r="E701" s="119">
        <f>Table6[[#This Row],[Date]]-DAY(Table6[[#This Row],[Date]])+1</f>
        <v>45809</v>
      </c>
      <c r="F701" s="118">
        <v>45812</v>
      </c>
      <c r="G701" s="105" t="s">
        <v>144</v>
      </c>
      <c r="H701" s="39" t="str">
        <f>_xlfn.XLOOKUP(Table6[[#This Row],[Affected WTG]],'Basic Data'!$A:$A,'Basic Data'!$B:$B)</f>
        <v>PWEGPL</v>
      </c>
      <c r="I701" s="39" t="str">
        <f>_xlfn.XLOOKUP(Table6[[#This Row],[Affected WTG]],'Basic Data'!$A:$A,'Basic Data'!$C:$C)</f>
        <v>MSEDCL</v>
      </c>
      <c r="J701" s="345">
        <f>IFERROR(VLOOKUP(Table6[[#This Row],[Affected WTG]],'Basic Data'!$A$3:$E$56,5,0),"")</f>
        <v>2.564102564102564E-2</v>
      </c>
      <c r="K701" s="105" t="s">
        <v>492</v>
      </c>
      <c r="L701" s="39" t="str">
        <f>IFERROR(VLOOKUP(Table6[[#This Row],[Error Code]],'Basic Data'!$T:$U,2,0),"")</f>
        <v>Manual Stop - Safety Related</v>
      </c>
      <c r="M701" s="346" t="s">
        <v>481</v>
      </c>
      <c r="N701" s="39" t="s">
        <v>1269</v>
      </c>
      <c r="O701" s="347">
        <v>0</v>
      </c>
      <c r="P701" s="347">
        <v>0.99998842592592596</v>
      </c>
      <c r="Q701" s="347">
        <v>0.99998842592592596</v>
      </c>
      <c r="R701" s="348">
        <f>IF(Table6[[#This Row],[Work Start TimeStamp]]="","",(Table6[[#This Row],[Work Start TimeStamp]]-Table6[[#This Row],[Fault Start TimeStamp]])*24)</f>
        <v>23.999722222222225</v>
      </c>
      <c r="S701" s="349">
        <f>(Table6[[#This Row],[Fault Clearance time]]-Table6[[#This Row],[Work Start TimeStamp]])*24</f>
        <v>0</v>
      </c>
      <c r="T701" s="350">
        <f>(Table6[[#This Row],[Fault Clearance time]]-Table6[[#This Row],[Fault Start TimeStamp]])*24</f>
        <v>23.999722222222225</v>
      </c>
      <c r="U701" s="346" t="s">
        <v>498</v>
      </c>
      <c r="V701" s="351" t="s">
        <v>473</v>
      </c>
      <c r="W701" s="338">
        <f>Table6[[#This Row],[Breakdown Time]]*(1/39)</f>
        <v>0.61537749287749288</v>
      </c>
      <c r="X701" s="336" t="s">
        <v>468</v>
      </c>
      <c r="Y701" s="352" t="s">
        <v>141</v>
      </c>
      <c r="Z701" s="105">
        <v>2356</v>
      </c>
      <c r="AA701" s="107">
        <v>2355.9727314814818</v>
      </c>
      <c r="AB701" s="105" t="s">
        <v>478</v>
      </c>
    </row>
    <row r="702" spans="1:28">
      <c r="A702" s="105">
        <f t="shared" si="10"/>
        <v>701</v>
      </c>
      <c r="B702" s="107">
        <f>YEAR(Table6[[#This Row],[Date]])+IF(MONTH(Table6[[#This Row],[Date]])&gt;=4,1,0)</f>
        <v>2026</v>
      </c>
      <c r="C702" s="105">
        <f>YEAR(Table6[[#This Row],[Date]])</f>
        <v>2025</v>
      </c>
      <c r="D702" s="105" t="s">
        <v>490</v>
      </c>
      <c r="E702" s="119">
        <f>Table6[[#This Row],[Date]]-DAY(Table6[[#This Row],[Date]])+1</f>
        <v>45809</v>
      </c>
      <c r="F702" s="118">
        <v>45812</v>
      </c>
      <c r="G702" s="105" t="s">
        <v>142</v>
      </c>
      <c r="H702" s="39" t="str">
        <f>_xlfn.XLOOKUP(Table6[[#This Row],[Affected WTG]],'Basic Data'!$A:$A,'Basic Data'!$B:$B)</f>
        <v>PWEGPL</v>
      </c>
      <c r="I702" s="39" t="str">
        <f>_xlfn.XLOOKUP(Table6[[#This Row],[Affected WTG]],'Basic Data'!$A:$A,'Basic Data'!$C:$C)</f>
        <v>MSEDCL</v>
      </c>
      <c r="J702" s="345">
        <f>IFERROR(VLOOKUP(Table6[[#This Row],[Affected WTG]],'Basic Data'!$A$3:$E$56,5,0),"")</f>
        <v>2.564102564102564E-2</v>
      </c>
      <c r="K702" s="105" t="s">
        <v>492</v>
      </c>
      <c r="L702" s="39" t="str">
        <f>IFERROR(VLOOKUP(Table6[[#This Row],[Error Code]],'Basic Data'!$T:$U,2,0),"")</f>
        <v>Manual Stop - Safety Related</v>
      </c>
      <c r="M702" s="346" t="s">
        <v>481</v>
      </c>
      <c r="N702" s="39" t="s">
        <v>1269</v>
      </c>
      <c r="O702" s="347">
        <v>0</v>
      </c>
      <c r="P702" s="347">
        <v>0.99998842592592596</v>
      </c>
      <c r="Q702" s="347">
        <v>0.99998842592592596</v>
      </c>
      <c r="R702" s="348">
        <f>IF(Table6[[#This Row],[Work Start TimeStamp]]="","",(Table6[[#This Row],[Work Start TimeStamp]]-Table6[[#This Row],[Fault Start TimeStamp]])*24)</f>
        <v>23.999722222222225</v>
      </c>
      <c r="S702" s="349">
        <f>(Table6[[#This Row],[Fault Clearance time]]-Table6[[#This Row],[Work Start TimeStamp]])*24</f>
        <v>0</v>
      </c>
      <c r="T702" s="350">
        <f>(Table6[[#This Row],[Fault Clearance time]]-Table6[[#This Row],[Fault Start TimeStamp]])*24</f>
        <v>23.999722222222225</v>
      </c>
      <c r="U702" s="346" t="s">
        <v>498</v>
      </c>
      <c r="V702" s="351" t="s">
        <v>473</v>
      </c>
      <c r="W702" s="338">
        <f>Table6[[#This Row],[Breakdown Time]]*(1/39)</f>
        <v>0.61537749287749288</v>
      </c>
      <c r="X702" s="336" t="s">
        <v>468</v>
      </c>
      <c r="Y702" s="352" t="s">
        <v>141</v>
      </c>
      <c r="Z702" s="105">
        <v>2356</v>
      </c>
      <c r="AA702" s="107">
        <v>2355.9727314814818</v>
      </c>
      <c r="AB702" s="105" t="s">
        <v>478</v>
      </c>
    </row>
    <row r="703" spans="1:28">
      <c r="A703" s="105">
        <f t="shared" si="10"/>
        <v>702</v>
      </c>
      <c r="B703" s="107">
        <f>YEAR(Table6[[#This Row],[Date]])+IF(MONTH(Table6[[#This Row],[Date]])&gt;=4,1,0)</f>
        <v>2026</v>
      </c>
      <c r="C703" s="105">
        <f>YEAR(Table6[[#This Row],[Date]])</f>
        <v>2025</v>
      </c>
      <c r="D703" s="105" t="s">
        <v>490</v>
      </c>
      <c r="E703" s="119">
        <f>Table6[[#This Row],[Date]]-DAY(Table6[[#This Row],[Date]])+1</f>
        <v>45809</v>
      </c>
      <c r="F703" s="118">
        <v>45812</v>
      </c>
      <c r="G703" s="105" t="s">
        <v>140</v>
      </c>
      <c r="H703" s="39" t="str">
        <f>_xlfn.XLOOKUP(Table6[[#This Row],[Affected WTG]],'Basic Data'!$A:$A,'Basic Data'!$B:$B)</f>
        <v>PWEGPL</v>
      </c>
      <c r="I703" s="39" t="str">
        <f>_xlfn.XLOOKUP(Table6[[#This Row],[Affected WTG]],'Basic Data'!$A:$A,'Basic Data'!$C:$C)</f>
        <v>MSEDCL</v>
      </c>
      <c r="J703" s="345">
        <f>IFERROR(VLOOKUP(Table6[[#This Row],[Affected WTG]],'Basic Data'!$A$3:$E$56,5,0),"")</f>
        <v>2.564102564102564E-2</v>
      </c>
      <c r="K703" s="105" t="s">
        <v>466</v>
      </c>
      <c r="L703" s="39" t="str">
        <f>IFERROR(VLOOKUP(Table6[[#This Row],[Error Code]],'Basic Data'!$T:$U,2,0),"")</f>
        <v>Manual Stop</v>
      </c>
      <c r="M703" s="346" t="s">
        <v>479</v>
      </c>
      <c r="N703" s="39" t="s">
        <v>230</v>
      </c>
      <c r="O703" s="347">
        <v>0.46875</v>
      </c>
      <c r="P703" s="347">
        <v>0.46875</v>
      </c>
      <c r="Q703" s="347">
        <v>0.50694444444444442</v>
      </c>
      <c r="R703" s="348">
        <f>IF(Table6[[#This Row],[Work Start TimeStamp]]="","",(Table6[[#This Row],[Work Start TimeStamp]]-Table6[[#This Row],[Fault Start TimeStamp]])*24)</f>
        <v>0</v>
      </c>
      <c r="S703" s="349">
        <f>(Table6[[#This Row],[Fault Clearance time]]-Table6[[#This Row],[Work Start TimeStamp]])*24</f>
        <v>0.91666666666666607</v>
      </c>
      <c r="T703" s="350">
        <f>(Table6[[#This Row],[Fault Clearance time]]-Table6[[#This Row],[Fault Start TimeStamp]])*24</f>
        <v>0.91666666666666607</v>
      </c>
      <c r="U703" s="346" t="s">
        <v>1213</v>
      </c>
      <c r="V703" s="351" t="s">
        <v>463</v>
      </c>
      <c r="W703" s="338">
        <f>Table6[[#This Row],[Breakdown Time]]*(1/39)</f>
        <v>2.3504273504273487E-2</v>
      </c>
      <c r="X703" s="336" t="s">
        <v>464</v>
      </c>
      <c r="Y703" s="352" t="s">
        <v>138</v>
      </c>
      <c r="Z703" s="105">
        <v>2365</v>
      </c>
      <c r="AA703" s="107">
        <v>90.329861111111057</v>
      </c>
      <c r="AB703" s="105" t="s">
        <v>478</v>
      </c>
    </row>
    <row r="704" spans="1:28">
      <c r="A704" s="105">
        <f t="shared" si="10"/>
        <v>703</v>
      </c>
      <c r="B704" s="107">
        <f>YEAR(Table6[[#This Row],[Date]])+IF(MONTH(Table6[[#This Row],[Date]])&gt;=4,1,0)</f>
        <v>2026</v>
      </c>
      <c r="C704" s="105">
        <f>YEAR(Table6[[#This Row],[Date]])</f>
        <v>2025</v>
      </c>
      <c r="D704" s="105" t="s">
        <v>490</v>
      </c>
      <c r="E704" s="119">
        <f>Table6[[#This Row],[Date]]-DAY(Table6[[#This Row],[Date]])+1</f>
        <v>45809</v>
      </c>
      <c r="F704" s="118">
        <v>45812</v>
      </c>
      <c r="G704" s="105" t="s">
        <v>147</v>
      </c>
      <c r="H704" s="39" t="str">
        <f>_xlfn.XLOOKUP(Table6[[#This Row],[Affected WTG]],'Basic Data'!$A:$A,'Basic Data'!$B:$B)</f>
        <v>PWEGPL</v>
      </c>
      <c r="I704" s="39" t="str">
        <f>_xlfn.XLOOKUP(Table6[[#This Row],[Affected WTG]],'Basic Data'!$A:$A,'Basic Data'!$C:$C)</f>
        <v>MSEDCL</v>
      </c>
      <c r="J704" s="345">
        <f>IFERROR(VLOOKUP(Table6[[#This Row],[Affected WTG]],'Basic Data'!$A$3:$E$56,5,0),"")</f>
        <v>2.564102564102564E-2</v>
      </c>
      <c r="K704" s="105" t="s">
        <v>466</v>
      </c>
      <c r="L704" s="39" t="str">
        <f>IFERROR(VLOOKUP(Table6[[#This Row],[Error Code]],'Basic Data'!$T:$U,2,0),"")</f>
        <v>Manual Stop</v>
      </c>
      <c r="M704" s="346" t="s">
        <v>479</v>
      </c>
      <c r="N704" s="39" t="s">
        <v>230</v>
      </c>
      <c r="O704" s="347">
        <v>0.47083333333333333</v>
      </c>
      <c r="P704" s="347">
        <v>0.47083333333333333</v>
      </c>
      <c r="Q704" s="347">
        <v>0.50694444444444442</v>
      </c>
      <c r="R704" s="348">
        <f>IF(Table6[[#This Row],[Work Start TimeStamp]]="","",(Table6[[#This Row],[Work Start TimeStamp]]-Table6[[#This Row],[Fault Start TimeStamp]])*24)</f>
        <v>0</v>
      </c>
      <c r="S704" s="349">
        <f>(Table6[[#This Row],[Fault Clearance time]]-Table6[[#This Row],[Work Start TimeStamp]])*24</f>
        <v>0.86666666666666625</v>
      </c>
      <c r="T704" s="350">
        <f>(Table6[[#This Row],[Fault Clearance time]]-Table6[[#This Row],[Fault Start TimeStamp]])*24</f>
        <v>0.86666666666666625</v>
      </c>
      <c r="U704" s="346" t="s">
        <v>1213</v>
      </c>
      <c r="V704" s="351" t="s">
        <v>463</v>
      </c>
      <c r="W704" s="338">
        <f>Table6[[#This Row],[Breakdown Time]]*(1/39)</f>
        <v>2.2222222222222209E-2</v>
      </c>
      <c r="X704" s="336" t="s">
        <v>464</v>
      </c>
      <c r="Y704" s="352" t="s">
        <v>147</v>
      </c>
      <c r="Z704" s="105">
        <v>3054</v>
      </c>
      <c r="AA704" s="107">
        <v>110.28333333333327</v>
      </c>
      <c r="AB704" s="105" t="s">
        <v>478</v>
      </c>
    </row>
    <row r="705" spans="1:28">
      <c r="A705" s="105">
        <f t="shared" si="10"/>
        <v>704</v>
      </c>
      <c r="B705" s="107">
        <f>YEAR(Table6[[#This Row],[Date]])+IF(MONTH(Table6[[#This Row],[Date]])&gt;=4,1,0)</f>
        <v>2026</v>
      </c>
      <c r="C705" s="105">
        <f>YEAR(Table6[[#This Row],[Date]])</f>
        <v>2025</v>
      </c>
      <c r="D705" s="105" t="s">
        <v>490</v>
      </c>
      <c r="E705" s="119">
        <f>Table6[[#This Row],[Date]]-DAY(Table6[[#This Row],[Date]])+1</f>
        <v>45809</v>
      </c>
      <c r="F705" s="118">
        <v>45812</v>
      </c>
      <c r="G705" s="105" t="s">
        <v>135</v>
      </c>
      <c r="H705" s="39" t="str">
        <f>_xlfn.XLOOKUP(Table6[[#This Row],[Affected WTG]],'Basic Data'!$A:$A,'Basic Data'!$B:$B)</f>
        <v>PWEGPL</v>
      </c>
      <c r="I705" s="39" t="str">
        <f>_xlfn.XLOOKUP(Table6[[#This Row],[Affected WTG]],'Basic Data'!$A:$A,'Basic Data'!$C:$C)</f>
        <v>MSEDCL</v>
      </c>
      <c r="J705" s="345">
        <f>IFERROR(VLOOKUP(Table6[[#This Row],[Affected WTG]],'Basic Data'!$A$3:$E$56,5,0),"")</f>
        <v>2.564102564102564E-2</v>
      </c>
      <c r="K705" s="105">
        <v>2100</v>
      </c>
      <c r="L705" s="39" t="str">
        <f>IFERROR(VLOOKUP(Table6[[#This Row],[Error Code]],'Basic Data'!$T:$U,2,0),"")</f>
        <v>PLC Voltage Recovery</v>
      </c>
      <c r="M705" s="346" t="s">
        <v>462</v>
      </c>
      <c r="N705" s="39" t="s">
        <v>1270</v>
      </c>
      <c r="O705" s="347">
        <v>0.87152777777777779</v>
      </c>
      <c r="P705" s="347">
        <v>0.88541666666666663</v>
      </c>
      <c r="Q705" s="347">
        <v>0.88611111111111107</v>
      </c>
      <c r="R705" s="348">
        <f>IF(Table6[[#This Row],[Work Start TimeStamp]]="","",(Table6[[#This Row],[Work Start TimeStamp]]-Table6[[#This Row],[Fault Start TimeStamp]])*24)</f>
        <v>0.33333333333333215</v>
      </c>
      <c r="S705" s="349">
        <f>(Table6[[#This Row],[Fault Clearance time]]-Table6[[#This Row],[Work Start TimeStamp]])*24</f>
        <v>1.6666666666666607E-2</v>
      </c>
      <c r="T705" s="350">
        <f>(Table6[[#This Row],[Fault Clearance time]]-Table6[[#This Row],[Fault Start TimeStamp]])*24</f>
        <v>0.34999999999999876</v>
      </c>
      <c r="U705" s="346" t="s">
        <v>493</v>
      </c>
      <c r="V705" s="351" t="s">
        <v>463</v>
      </c>
      <c r="W705" s="338">
        <f>Table6[[#This Row],[Breakdown Time]]*(1/39)</f>
        <v>8.9743589743589425E-3</v>
      </c>
      <c r="X705" s="336" t="s">
        <v>465</v>
      </c>
      <c r="Y705" s="352" t="s">
        <v>136</v>
      </c>
      <c r="Z705" s="105">
        <v>2356</v>
      </c>
      <c r="AA705" s="107">
        <v>34.358333333333213</v>
      </c>
      <c r="AB705" s="105" t="s">
        <v>478</v>
      </c>
    </row>
    <row r="706" spans="1:28">
      <c r="A706" s="105">
        <f t="shared" si="10"/>
        <v>705</v>
      </c>
      <c r="B706" s="107">
        <f>YEAR(Table6[[#This Row],[Date]])+IF(MONTH(Table6[[#This Row],[Date]])&gt;=4,1,0)</f>
        <v>2026</v>
      </c>
      <c r="C706" s="105">
        <f>YEAR(Table6[[#This Row],[Date]])</f>
        <v>2025</v>
      </c>
      <c r="D706" s="105" t="s">
        <v>490</v>
      </c>
      <c r="E706" s="119">
        <f>Table6[[#This Row],[Date]]-DAY(Table6[[#This Row],[Date]])+1</f>
        <v>45809</v>
      </c>
      <c r="F706" s="118">
        <v>45812</v>
      </c>
      <c r="G706" s="105" t="s">
        <v>137</v>
      </c>
      <c r="H706" s="39" t="str">
        <f>_xlfn.XLOOKUP(Table6[[#This Row],[Affected WTG]],'Basic Data'!$A:$A,'Basic Data'!$B:$B)</f>
        <v>PWEGPL</v>
      </c>
      <c r="I706" s="39" t="str">
        <f>_xlfn.XLOOKUP(Table6[[#This Row],[Affected WTG]],'Basic Data'!$A:$A,'Basic Data'!$C:$C)</f>
        <v>MSEDCL</v>
      </c>
      <c r="J706" s="345">
        <f>IFERROR(VLOOKUP(Table6[[#This Row],[Affected WTG]],'Basic Data'!$A$3:$E$56,5,0),"")</f>
        <v>2.564102564102564E-2</v>
      </c>
      <c r="K706" s="105">
        <v>2100</v>
      </c>
      <c r="L706" s="39" t="str">
        <f>IFERROR(VLOOKUP(Table6[[#This Row],[Error Code]],'Basic Data'!$T:$U,2,0),"")</f>
        <v>PLC Voltage Recovery</v>
      </c>
      <c r="M706" s="346" t="s">
        <v>462</v>
      </c>
      <c r="N706" s="39" t="s">
        <v>1270</v>
      </c>
      <c r="O706" s="347">
        <v>0.87152777777777779</v>
      </c>
      <c r="P706" s="347">
        <v>0.89583333333333337</v>
      </c>
      <c r="Q706" s="347">
        <v>0.89652777777777781</v>
      </c>
      <c r="R706" s="348">
        <f>IF(Table6[[#This Row],[Work Start TimeStamp]]="","",(Table6[[#This Row],[Work Start TimeStamp]]-Table6[[#This Row],[Fault Start TimeStamp]])*24)</f>
        <v>0.58333333333333393</v>
      </c>
      <c r="S706" s="349">
        <f>(Table6[[#This Row],[Fault Clearance time]]-Table6[[#This Row],[Work Start TimeStamp]])*24</f>
        <v>1.6666666666666607E-2</v>
      </c>
      <c r="T706" s="350">
        <f>(Table6[[#This Row],[Fault Clearance time]]-Table6[[#This Row],[Fault Start TimeStamp]])*24</f>
        <v>0.60000000000000053</v>
      </c>
      <c r="U706" s="346" t="s">
        <v>493</v>
      </c>
      <c r="V706" s="351" t="s">
        <v>463</v>
      </c>
      <c r="W706" s="338">
        <f>Table6[[#This Row],[Breakdown Time]]*(1/39)</f>
        <v>1.5384615384615398E-2</v>
      </c>
      <c r="X706" s="336" t="s">
        <v>465</v>
      </c>
      <c r="Y706" s="352" t="s">
        <v>136</v>
      </c>
      <c r="Z706" s="105">
        <v>2356</v>
      </c>
      <c r="AA706" s="107">
        <v>58.900000000000055</v>
      </c>
      <c r="AB706" s="105" t="s">
        <v>478</v>
      </c>
    </row>
    <row r="707" spans="1:28">
      <c r="A707" s="105">
        <f t="shared" si="10"/>
        <v>706</v>
      </c>
      <c r="B707" s="107">
        <f>YEAR(Table6[[#This Row],[Date]])+IF(MONTH(Table6[[#This Row],[Date]])&gt;=4,1,0)</f>
        <v>2026</v>
      </c>
      <c r="C707" s="105">
        <f>YEAR(Table6[[#This Row],[Date]])</f>
        <v>2025</v>
      </c>
      <c r="D707" s="105" t="s">
        <v>490</v>
      </c>
      <c r="E707" s="119">
        <f>Table6[[#This Row],[Date]]-DAY(Table6[[#This Row],[Date]])+1</f>
        <v>45809</v>
      </c>
      <c r="F707" s="118">
        <v>45812</v>
      </c>
      <c r="G707" s="105" t="s">
        <v>140</v>
      </c>
      <c r="H707" s="39" t="str">
        <f>_xlfn.XLOOKUP(Table6[[#This Row],[Affected WTG]],'Basic Data'!$A:$A,'Basic Data'!$B:$B)</f>
        <v>PWEGPL</v>
      </c>
      <c r="I707" s="39" t="str">
        <f>_xlfn.XLOOKUP(Table6[[#This Row],[Affected WTG]],'Basic Data'!$A:$A,'Basic Data'!$C:$C)</f>
        <v>MSEDCL</v>
      </c>
      <c r="J707" s="345">
        <f>IFERROR(VLOOKUP(Table6[[#This Row],[Affected WTG]],'Basic Data'!$A$3:$E$56,5,0),"")</f>
        <v>2.564102564102564E-2</v>
      </c>
      <c r="K707" s="105">
        <v>2100</v>
      </c>
      <c r="L707" s="39" t="str">
        <f>IFERROR(VLOOKUP(Table6[[#This Row],[Error Code]],'Basic Data'!$T:$U,2,0),"")</f>
        <v>PLC Voltage Recovery</v>
      </c>
      <c r="M707" s="346" t="s">
        <v>462</v>
      </c>
      <c r="N707" s="39" t="s">
        <v>1270</v>
      </c>
      <c r="O707" s="347">
        <v>0.87152777777777779</v>
      </c>
      <c r="P707" s="347">
        <v>0.90625</v>
      </c>
      <c r="Q707" s="347">
        <v>0.90694444444444444</v>
      </c>
      <c r="R707" s="348">
        <f>IF(Table6[[#This Row],[Work Start TimeStamp]]="","",(Table6[[#This Row],[Work Start TimeStamp]]-Table6[[#This Row],[Fault Start TimeStamp]])*24)</f>
        <v>0.83333333333333304</v>
      </c>
      <c r="S707" s="349">
        <f>(Table6[[#This Row],[Fault Clearance time]]-Table6[[#This Row],[Work Start TimeStamp]])*24</f>
        <v>1.6666666666666607E-2</v>
      </c>
      <c r="T707" s="350">
        <f>(Table6[[#This Row],[Fault Clearance time]]-Table6[[#This Row],[Fault Start TimeStamp]])*24</f>
        <v>0.84999999999999964</v>
      </c>
      <c r="U707" s="346" t="s">
        <v>493</v>
      </c>
      <c r="V707" s="351" t="s">
        <v>463</v>
      </c>
      <c r="W707" s="338">
        <f>Table6[[#This Row],[Breakdown Time]]*(1/39)</f>
        <v>2.1794871794871783E-2</v>
      </c>
      <c r="X707" s="336" t="s">
        <v>465</v>
      </c>
      <c r="Y707" s="352" t="s">
        <v>138</v>
      </c>
      <c r="Z707" s="105">
        <v>2365</v>
      </c>
      <c r="AA707" s="107">
        <v>83.760416666666629</v>
      </c>
      <c r="AB707" s="105" t="s">
        <v>478</v>
      </c>
    </row>
    <row r="708" spans="1:28">
      <c r="A708" s="105">
        <f t="shared" ref="A708:A771" si="11">A707+1</f>
        <v>707</v>
      </c>
      <c r="B708" s="107">
        <f>YEAR(Table6[[#This Row],[Date]])+IF(MONTH(Table6[[#This Row],[Date]])&gt;=4,1,0)</f>
        <v>2026</v>
      </c>
      <c r="C708" s="105">
        <f>YEAR(Table6[[#This Row],[Date]])</f>
        <v>2025</v>
      </c>
      <c r="D708" s="105" t="s">
        <v>490</v>
      </c>
      <c r="E708" s="119">
        <f>Table6[[#This Row],[Date]]-DAY(Table6[[#This Row],[Date]])+1</f>
        <v>45809</v>
      </c>
      <c r="F708" s="118">
        <v>45812</v>
      </c>
      <c r="G708" s="105" t="s">
        <v>138</v>
      </c>
      <c r="H708" s="39" t="str">
        <f>_xlfn.XLOOKUP(Table6[[#This Row],[Affected WTG]],'Basic Data'!$A:$A,'Basic Data'!$B:$B)</f>
        <v>PWEGPL</v>
      </c>
      <c r="I708" s="39" t="str">
        <f>_xlfn.XLOOKUP(Table6[[#This Row],[Affected WTG]],'Basic Data'!$A:$A,'Basic Data'!$C:$C)</f>
        <v>MSEDCL</v>
      </c>
      <c r="J708" s="345">
        <f>IFERROR(VLOOKUP(Table6[[#This Row],[Affected WTG]],'Basic Data'!$A$3:$E$56,5,0),"")</f>
        <v>2.564102564102564E-2</v>
      </c>
      <c r="K708" s="105">
        <v>2100</v>
      </c>
      <c r="L708" s="39" t="str">
        <f>IFERROR(VLOOKUP(Table6[[#This Row],[Error Code]],'Basic Data'!$T:$U,2,0),"")</f>
        <v>PLC Voltage Recovery</v>
      </c>
      <c r="M708" s="346" t="s">
        <v>462</v>
      </c>
      <c r="N708" s="39" t="s">
        <v>1270</v>
      </c>
      <c r="O708" s="347">
        <v>0.87152777777777779</v>
      </c>
      <c r="P708" s="347">
        <v>0.90972222222222221</v>
      </c>
      <c r="Q708" s="347">
        <v>0.91041666666666665</v>
      </c>
      <c r="R708" s="348">
        <f>IF(Table6[[#This Row],[Work Start TimeStamp]]="","",(Table6[[#This Row],[Work Start TimeStamp]]-Table6[[#This Row],[Fault Start TimeStamp]])*24)</f>
        <v>0.91666666666666607</v>
      </c>
      <c r="S708" s="349">
        <f>(Table6[[#This Row],[Fault Clearance time]]-Table6[[#This Row],[Work Start TimeStamp]])*24</f>
        <v>1.6666666666666607E-2</v>
      </c>
      <c r="T708" s="350">
        <f>(Table6[[#This Row],[Fault Clearance time]]-Table6[[#This Row],[Fault Start TimeStamp]])*24</f>
        <v>0.93333333333333268</v>
      </c>
      <c r="U708" s="346" t="s">
        <v>493</v>
      </c>
      <c r="V708" s="351" t="s">
        <v>463</v>
      </c>
      <c r="W708" s="338">
        <f>Table6[[#This Row],[Breakdown Time]]*(1/39)</f>
        <v>2.3931623931623913E-2</v>
      </c>
      <c r="X708" s="336" t="s">
        <v>465</v>
      </c>
      <c r="Y708" s="352" t="s">
        <v>140</v>
      </c>
      <c r="Z708" s="105">
        <v>2362</v>
      </c>
      <c r="AA708" s="107">
        <v>91.855555555555497</v>
      </c>
      <c r="AB708" s="105" t="s">
        <v>478</v>
      </c>
    </row>
    <row r="709" spans="1:28">
      <c r="A709" s="105">
        <f t="shared" si="11"/>
        <v>708</v>
      </c>
      <c r="B709" s="107">
        <f>YEAR(Table6[[#This Row],[Date]])+IF(MONTH(Table6[[#This Row],[Date]])&gt;=4,1,0)</f>
        <v>2026</v>
      </c>
      <c r="C709" s="105">
        <f>YEAR(Table6[[#This Row],[Date]])</f>
        <v>2025</v>
      </c>
      <c r="D709" s="105" t="s">
        <v>490</v>
      </c>
      <c r="E709" s="119">
        <f>Table6[[#This Row],[Date]]-DAY(Table6[[#This Row],[Date]])+1</f>
        <v>45809</v>
      </c>
      <c r="F709" s="118">
        <v>45812</v>
      </c>
      <c r="G709" s="105" t="s">
        <v>141</v>
      </c>
      <c r="H709" s="39" t="str">
        <f>_xlfn.XLOOKUP(Table6[[#This Row],[Affected WTG]],'Basic Data'!$A:$A,'Basic Data'!$B:$B)</f>
        <v>PWEGPL</v>
      </c>
      <c r="I709" s="39" t="str">
        <f>_xlfn.XLOOKUP(Table6[[#This Row],[Affected WTG]],'Basic Data'!$A:$A,'Basic Data'!$C:$C)</f>
        <v>MSEDCL</v>
      </c>
      <c r="J709" s="345">
        <f>IFERROR(VLOOKUP(Table6[[#This Row],[Affected WTG]],'Basic Data'!$A$3:$E$56,5,0),"")</f>
        <v>2.564102564102564E-2</v>
      </c>
      <c r="K709" s="105">
        <v>2100</v>
      </c>
      <c r="L709" s="39" t="str">
        <f>IFERROR(VLOOKUP(Table6[[#This Row],[Error Code]],'Basic Data'!$T:$U,2,0),"")</f>
        <v>PLC Voltage Recovery</v>
      </c>
      <c r="M709" s="346" t="s">
        <v>462</v>
      </c>
      <c r="N709" s="39" t="s">
        <v>1270</v>
      </c>
      <c r="O709" s="347">
        <v>0.87152777777777779</v>
      </c>
      <c r="P709" s="347">
        <v>0.91666666666666663</v>
      </c>
      <c r="Q709" s="347">
        <v>0.91736111111111107</v>
      </c>
      <c r="R709" s="348">
        <f>IF(Table6[[#This Row],[Work Start TimeStamp]]="","",(Table6[[#This Row],[Work Start TimeStamp]]-Table6[[#This Row],[Fault Start TimeStamp]])*24)</f>
        <v>1.0833333333333321</v>
      </c>
      <c r="S709" s="349">
        <f>(Table6[[#This Row],[Fault Clearance time]]-Table6[[#This Row],[Work Start TimeStamp]])*24</f>
        <v>1.6666666666666607E-2</v>
      </c>
      <c r="T709" s="350">
        <f>(Table6[[#This Row],[Fault Clearance time]]-Table6[[#This Row],[Fault Start TimeStamp]])*24</f>
        <v>1.0999999999999988</v>
      </c>
      <c r="U709" s="346" t="s">
        <v>493</v>
      </c>
      <c r="V709" s="351" t="s">
        <v>463</v>
      </c>
      <c r="W709" s="338">
        <f>Table6[[#This Row],[Breakdown Time]]*(1/39)</f>
        <v>2.8205128205128171E-2</v>
      </c>
      <c r="X709" s="336" t="s">
        <v>465</v>
      </c>
      <c r="Y709" s="352" t="s">
        <v>143</v>
      </c>
      <c r="Z709" s="105">
        <v>2372</v>
      </c>
      <c r="AA709" s="107">
        <v>108.71666666666654</v>
      </c>
      <c r="AB709" s="105" t="s">
        <v>478</v>
      </c>
    </row>
    <row r="710" spans="1:28">
      <c r="A710" s="105">
        <f t="shared" si="11"/>
        <v>709</v>
      </c>
      <c r="B710" s="107">
        <f>YEAR(Table6[[#This Row],[Date]])+IF(MONTH(Table6[[#This Row],[Date]])&gt;=4,1,0)</f>
        <v>2026</v>
      </c>
      <c r="C710" s="105">
        <f>YEAR(Table6[[#This Row],[Date]])</f>
        <v>2025</v>
      </c>
      <c r="D710" s="105" t="s">
        <v>490</v>
      </c>
      <c r="E710" s="119">
        <f>Table6[[#This Row],[Date]]-DAY(Table6[[#This Row],[Date]])+1</f>
        <v>45809</v>
      </c>
      <c r="F710" s="118">
        <v>45813</v>
      </c>
      <c r="G710" s="105" t="s">
        <v>144</v>
      </c>
      <c r="H710" s="39" t="str">
        <f>_xlfn.XLOOKUP(Table6[[#This Row],[Affected WTG]],'Basic Data'!$A:$A,'Basic Data'!$B:$B)</f>
        <v>PWEGPL</v>
      </c>
      <c r="I710" s="39" t="str">
        <f>_xlfn.XLOOKUP(Table6[[#This Row],[Affected WTG]],'Basic Data'!$A:$A,'Basic Data'!$C:$C)</f>
        <v>MSEDCL</v>
      </c>
      <c r="J710" s="345">
        <f>IFERROR(VLOOKUP(Table6[[#This Row],[Affected WTG]],'Basic Data'!$A$3:$E$56,5,0),"")</f>
        <v>2.564102564102564E-2</v>
      </c>
      <c r="K710" s="105" t="s">
        <v>492</v>
      </c>
      <c r="L710" s="39" t="str">
        <f>IFERROR(VLOOKUP(Table6[[#This Row],[Error Code]],'Basic Data'!$T:$U,2,0),"")</f>
        <v>Manual Stop - Safety Related</v>
      </c>
      <c r="M710" s="346" t="s">
        <v>481</v>
      </c>
      <c r="N710" s="39" t="s">
        <v>1269</v>
      </c>
      <c r="O710" s="347">
        <v>0</v>
      </c>
      <c r="P710" s="347">
        <v>0.99998842592592596</v>
      </c>
      <c r="Q710" s="347">
        <v>0.99998842592592596</v>
      </c>
      <c r="R710" s="348">
        <f>IF(Table6[[#This Row],[Work Start TimeStamp]]="","",(Table6[[#This Row],[Work Start TimeStamp]]-Table6[[#This Row],[Fault Start TimeStamp]])*24)</f>
        <v>23.999722222222225</v>
      </c>
      <c r="S710" s="349">
        <f>(Table6[[#This Row],[Fault Clearance time]]-Table6[[#This Row],[Work Start TimeStamp]])*24</f>
        <v>0</v>
      </c>
      <c r="T710" s="350">
        <f>(Table6[[#This Row],[Fault Clearance time]]-Table6[[#This Row],[Fault Start TimeStamp]])*24</f>
        <v>23.999722222222225</v>
      </c>
      <c r="U710" s="346" t="s">
        <v>498</v>
      </c>
      <c r="V710" s="351" t="s">
        <v>473</v>
      </c>
      <c r="W710" s="338">
        <f>Table6[[#This Row],[Breakdown Time]]*(1/39)</f>
        <v>0.61537749287749288</v>
      </c>
      <c r="X710" s="336" t="s">
        <v>468</v>
      </c>
      <c r="Y710" s="352" t="s">
        <v>141</v>
      </c>
      <c r="Z710" s="105">
        <v>6856</v>
      </c>
      <c r="AA710" s="107">
        <v>6855.9206481481497</v>
      </c>
      <c r="AB710" s="105" t="s">
        <v>478</v>
      </c>
    </row>
    <row r="711" spans="1:28">
      <c r="A711" s="105">
        <f t="shared" si="11"/>
        <v>710</v>
      </c>
      <c r="B711" s="107">
        <f>YEAR(Table6[[#This Row],[Date]])+IF(MONTH(Table6[[#This Row],[Date]])&gt;=4,1,0)</f>
        <v>2026</v>
      </c>
      <c r="C711" s="105">
        <f>YEAR(Table6[[#This Row],[Date]])</f>
        <v>2025</v>
      </c>
      <c r="D711" s="105" t="s">
        <v>490</v>
      </c>
      <c r="E711" s="119">
        <f>Table6[[#This Row],[Date]]-DAY(Table6[[#This Row],[Date]])+1</f>
        <v>45809</v>
      </c>
      <c r="F711" s="118">
        <v>45813</v>
      </c>
      <c r="G711" s="105" t="s">
        <v>142</v>
      </c>
      <c r="H711" s="39" t="str">
        <f>_xlfn.XLOOKUP(Table6[[#This Row],[Affected WTG]],'Basic Data'!$A:$A,'Basic Data'!$B:$B)</f>
        <v>PWEGPL</v>
      </c>
      <c r="I711" s="39" t="str">
        <f>_xlfn.XLOOKUP(Table6[[#This Row],[Affected WTG]],'Basic Data'!$A:$A,'Basic Data'!$C:$C)</f>
        <v>MSEDCL</v>
      </c>
      <c r="J711" s="345">
        <f>IFERROR(VLOOKUP(Table6[[#This Row],[Affected WTG]],'Basic Data'!$A$3:$E$56,5,0),"")</f>
        <v>2.564102564102564E-2</v>
      </c>
      <c r="K711" s="105" t="s">
        <v>492</v>
      </c>
      <c r="L711" s="39" t="str">
        <f>IFERROR(VLOOKUP(Table6[[#This Row],[Error Code]],'Basic Data'!$T:$U,2,0),"")</f>
        <v>Manual Stop - Safety Related</v>
      </c>
      <c r="M711" s="346" t="s">
        <v>481</v>
      </c>
      <c r="N711" s="39" t="s">
        <v>1269</v>
      </c>
      <c r="O711" s="347">
        <v>0</v>
      </c>
      <c r="P711" s="347">
        <v>0.99998842592592596</v>
      </c>
      <c r="Q711" s="347">
        <v>0.99998842592592596</v>
      </c>
      <c r="R711" s="348">
        <f>IF(Table6[[#This Row],[Work Start TimeStamp]]="","",(Table6[[#This Row],[Work Start TimeStamp]]-Table6[[#This Row],[Fault Start TimeStamp]])*24)</f>
        <v>23.999722222222225</v>
      </c>
      <c r="S711" s="349">
        <f>(Table6[[#This Row],[Fault Clearance time]]-Table6[[#This Row],[Work Start TimeStamp]])*24</f>
        <v>0</v>
      </c>
      <c r="T711" s="350">
        <f>(Table6[[#This Row],[Fault Clearance time]]-Table6[[#This Row],[Fault Start TimeStamp]])*24</f>
        <v>23.999722222222225</v>
      </c>
      <c r="U711" s="346" t="s">
        <v>498</v>
      </c>
      <c r="V711" s="351" t="s">
        <v>473</v>
      </c>
      <c r="W711" s="338">
        <f>Table6[[#This Row],[Breakdown Time]]*(1/39)</f>
        <v>0.61537749287749288</v>
      </c>
      <c r="X711" s="336" t="s">
        <v>468</v>
      </c>
      <c r="Y711" s="352" t="s">
        <v>141</v>
      </c>
      <c r="Z711" s="105">
        <v>6856</v>
      </c>
      <c r="AA711" s="107">
        <v>6855.9206481481497</v>
      </c>
      <c r="AB711" s="105" t="s">
        <v>478</v>
      </c>
    </row>
    <row r="712" spans="1:28">
      <c r="A712" s="105">
        <f t="shared" si="11"/>
        <v>711</v>
      </c>
      <c r="B712" s="107">
        <f>YEAR(Table6[[#This Row],[Date]])+IF(MONTH(Table6[[#This Row],[Date]])&gt;=4,1,0)</f>
        <v>2026</v>
      </c>
      <c r="C712" s="105">
        <f>YEAR(Table6[[#This Row],[Date]])</f>
        <v>2025</v>
      </c>
      <c r="D712" s="105" t="s">
        <v>490</v>
      </c>
      <c r="E712" s="119">
        <f>Table6[[#This Row],[Date]]-DAY(Table6[[#This Row],[Date]])+1</f>
        <v>45809</v>
      </c>
      <c r="F712" s="118">
        <v>45813</v>
      </c>
      <c r="G712" s="105" t="s">
        <v>118</v>
      </c>
      <c r="H712" s="39" t="str">
        <f>_xlfn.XLOOKUP(Table6[[#This Row],[Affected WTG]],'Basic Data'!$A:$A,'Basic Data'!$B:$B)</f>
        <v>PWEGPL</v>
      </c>
      <c r="I712" s="39" t="str">
        <f>_xlfn.XLOOKUP(Table6[[#This Row],[Affected WTG]],'Basic Data'!$A:$A,'Basic Data'!$C:$C)</f>
        <v>MSEDCL</v>
      </c>
      <c r="J712" s="345">
        <f>IFERROR(VLOOKUP(Table6[[#This Row],[Affected WTG]],'Basic Data'!$A$3:$E$56,5,0),"")</f>
        <v>2.564102564102564E-2</v>
      </c>
      <c r="K712" s="105">
        <v>2118</v>
      </c>
      <c r="L712" s="39" t="str">
        <f>IFERROR(VLOOKUP(Table6[[#This Row],[Error Code]],'Basic Data'!$T:$U,2,0),"")</f>
        <v>Bus Error - Interbus Failure</v>
      </c>
      <c r="M712" s="346" t="s">
        <v>462</v>
      </c>
      <c r="N712" s="39" t="s">
        <v>1270</v>
      </c>
      <c r="O712" s="347">
        <v>0.45902777777777776</v>
      </c>
      <c r="P712" s="347">
        <v>0.48472222222222222</v>
      </c>
      <c r="Q712" s="347">
        <v>0.50486111111111109</v>
      </c>
      <c r="R712" s="348">
        <f>IF(Table6[[#This Row],[Work Start TimeStamp]]="","",(Table6[[#This Row],[Work Start TimeStamp]]-Table6[[#This Row],[Fault Start TimeStamp]])*24)</f>
        <v>0.61666666666666714</v>
      </c>
      <c r="S712" s="349">
        <f>(Table6[[#This Row],[Fault Clearance time]]-Table6[[#This Row],[Work Start TimeStamp]])*24</f>
        <v>0.48333333333333295</v>
      </c>
      <c r="T712" s="350">
        <f>(Table6[[#This Row],[Fault Clearance time]]-Table6[[#This Row],[Fault Start TimeStamp]])*24</f>
        <v>1.1000000000000001</v>
      </c>
      <c r="U712" s="346" t="s">
        <v>489</v>
      </c>
      <c r="V712" s="351" t="s">
        <v>463</v>
      </c>
      <c r="W712" s="338">
        <f>Table6[[#This Row],[Breakdown Time]]*(1/39)</f>
        <v>2.8205128205128206E-2</v>
      </c>
      <c r="X712" s="336" t="s">
        <v>465</v>
      </c>
      <c r="Y712" s="352" t="s">
        <v>117</v>
      </c>
      <c r="Z712" s="105">
        <v>9015</v>
      </c>
      <c r="AA712" s="107">
        <v>413.18750000000006</v>
      </c>
      <c r="AB712" s="105" t="s">
        <v>478</v>
      </c>
    </row>
    <row r="713" spans="1:28">
      <c r="A713" s="105">
        <f t="shared" si="11"/>
        <v>712</v>
      </c>
      <c r="B713" s="107">
        <f>YEAR(Table6[[#This Row],[Date]])+IF(MONTH(Table6[[#This Row],[Date]])&gt;=4,1,0)</f>
        <v>2026</v>
      </c>
      <c r="C713" s="105">
        <f>YEAR(Table6[[#This Row],[Date]])</f>
        <v>2025</v>
      </c>
      <c r="D713" s="105" t="s">
        <v>490</v>
      </c>
      <c r="E713" s="119">
        <f>Table6[[#This Row],[Date]]-DAY(Table6[[#This Row],[Date]])+1</f>
        <v>45809</v>
      </c>
      <c r="F713" s="118">
        <v>45813</v>
      </c>
      <c r="G713" s="105" t="s">
        <v>120</v>
      </c>
      <c r="H713" s="39" t="str">
        <f>_xlfn.XLOOKUP(Table6[[#This Row],[Affected WTG]],'Basic Data'!$A:$A,'Basic Data'!$B:$B)</f>
        <v>PWEGPL</v>
      </c>
      <c r="I713" s="39" t="str">
        <f>_xlfn.XLOOKUP(Table6[[#This Row],[Affected WTG]],'Basic Data'!$A:$A,'Basic Data'!$C:$C)</f>
        <v>MSEDCL</v>
      </c>
      <c r="J713" s="345">
        <f>IFERROR(VLOOKUP(Table6[[#This Row],[Affected WTG]],'Basic Data'!$A$3:$E$56,5,0),"")</f>
        <v>2.564102564102564E-2</v>
      </c>
      <c r="K713" s="105" t="s">
        <v>476</v>
      </c>
      <c r="L713" s="39" t="str">
        <f>IFERROR(VLOOKUP(Table6[[#This Row],[Error Code]],'Basic Data'!$T:$U,2,0),"")</f>
        <v>Manual Stop - Preventive Maintenance Activity</v>
      </c>
      <c r="M713" s="346" t="s">
        <v>474</v>
      </c>
      <c r="N713" s="39" t="s">
        <v>230</v>
      </c>
      <c r="O713" s="347">
        <v>0.47708333333333336</v>
      </c>
      <c r="P713" s="347">
        <v>0.47708333333333336</v>
      </c>
      <c r="Q713" s="347">
        <v>0.76388888888888884</v>
      </c>
      <c r="R713" s="348">
        <f>IF(Table6[[#This Row],[Work Start TimeStamp]]="","",(Table6[[#This Row],[Work Start TimeStamp]]-Table6[[#This Row],[Fault Start TimeStamp]])*24)</f>
        <v>0</v>
      </c>
      <c r="S713" s="349">
        <f>(Table6[[#This Row],[Fault Clearance time]]-Table6[[#This Row],[Work Start TimeStamp]])*24</f>
        <v>6.8833333333333311</v>
      </c>
      <c r="T713" s="350">
        <f>(Table6[[#This Row],[Fault Clearance time]]-Table6[[#This Row],[Fault Start TimeStamp]])*24</f>
        <v>6.8833333333333311</v>
      </c>
      <c r="U713" s="346" t="s">
        <v>582</v>
      </c>
      <c r="V713" s="351" t="s">
        <v>463</v>
      </c>
      <c r="W713" s="338">
        <f>Table6[[#This Row],[Breakdown Time]]*(1/39)</f>
        <v>0.17649572649572642</v>
      </c>
      <c r="X713" s="336" t="s">
        <v>467</v>
      </c>
      <c r="Y713" s="352" t="s">
        <v>117</v>
      </c>
      <c r="Z713" s="105">
        <v>9015</v>
      </c>
      <c r="AA713" s="107">
        <v>2585.5520833333326</v>
      </c>
      <c r="AB713" s="105" t="s">
        <v>478</v>
      </c>
    </row>
    <row r="714" spans="1:28">
      <c r="A714" s="105">
        <f t="shared" si="11"/>
        <v>713</v>
      </c>
      <c r="B714" s="107">
        <f>YEAR(Table6[[#This Row],[Date]])+IF(MONTH(Table6[[#This Row],[Date]])&gt;=4,1,0)</f>
        <v>2026</v>
      </c>
      <c r="C714" s="105">
        <f>YEAR(Table6[[#This Row],[Date]])</f>
        <v>2025</v>
      </c>
      <c r="D714" s="105" t="s">
        <v>490</v>
      </c>
      <c r="E714" s="119">
        <f>Table6[[#This Row],[Date]]-DAY(Table6[[#This Row],[Date]])+1</f>
        <v>45809</v>
      </c>
      <c r="F714" s="118">
        <v>45813</v>
      </c>
      <c r="G714" s="105" t="s">
        <v>125</v>
      </c>
      <c r="H714" s="39" t="str">
        <f>_xlfn.XLOOKUP(Table6[[#This Row],[Affected WTG]],'Basic Data'!$A:$A,'Basic Data'!$B:$B)</f>
        <v>PWEGPL</v>
      </c>
      <c r="I714" s="39" t="str">
        <f>_xlfn.XLOOKUP(Table6[[#This Row],[Affected WTG]],'Basic Data'!$A:$A,'Basic Data'!$C:$C)</f>
        <v>MSEDCL</v>
      </c>
      <c r="J714" s="345">
        <f>IFERROR(VLOOKUP(Table6[[#This Row],[Affected WTG]],'Basic Data'!$A$3:$E$56,5,0),"")</f>
        <v>2.564102564102564E-2</v>
      </c>
      <c r="K714" s="105">
        <v>116</v>
      </c>
      <c r="L714" s="39" t="str">
        <f>IFERROR(VLOOKUP(Table6[[#This Row],[Error Code]],'Basic Data'!$T:$U,2,0),"")</f>
        <v>Orienting and High Yaw Brake Pressure</v>
      </c>
      <c r="M714" s="346" t="s">
        <v>462</v>
      </c>
      <c r="N714" s="39" t="s">
        <v>1270</v>
      </c>
      <c r="O714" s="347">
        <v>0.70694444444444449</v>
      </c>
      <c r="P714" s="347">
        <v>0.72847222222222219</v>
      </c>
      <c r="Q714" s="347">
        <v>0.72916666666666663</v>
      </c>
      <c r="R714" s="348">
        <f>IF(Table6[[#This Row],[Work Start TimeStamp]]="","",(Table6[[#This Row],[Work Start TimeStamp]]-Table6[[#This Row],[Fault Start TimeStamp]])*24)</f>
        <v>0.51666666666666483</v>
      </c>
      <c r="S714" s="349">
        <f>(Table6[[#This Row],[Fault Clearance time]]-Table6[[#This Row],[Work Start TimeStamp]])*24</f>
        <v>1.6666666666666607E-2</v>
      </c>
      <c r="T714" s="350">
        <f>(Table6[[#This Row],[Fault Clearance time]]-Table6[[#This Row],[Fault Start TimeStamp]])*24</f>
        <v>0.53333333333333144</v>
      </c>
      <c r="U714" s="346" t="s">
        <v>493</v>
      </c>
      <c r="V714" s="351" t="s">
        <v>463</v>
      </c>
      <c r="W714" s="338">
        <f>Table6[[#This Row],[Breakdown Time]]*(1/39)</f>
        <v>1.3675213675213627E-2</v>
      </c>
      <c r="X714" s="336" t="s">
        <v>465</v>
      </c>
      <c r="Y714" s="352" t="s">
        <v>124</v>
      </c>
      <c r="Z714" s="105">
        <v>9019</v>
      </c>
      <c r="AA714" s="107">
        <v>200.42222222222151</v>
      </c>
      <c r="AB714" s="105" t="s">
        <v>478</v>
      </c>
    </row>
    <row r="715" spans="1:28">
      <c r="A715" s="105">
        <f t="shared" si="11"/>
        <v>714</v>
      </c>
      <c r="B715" s="107">
        <f>YEAR(Table6[[#This Row],[Date]])+IF(MONTH(Table6[[#This Row],[Date]])&gt;=4,1,0)</f>
        <v>2026</v>
      </c>
      <c r="C715" s="105">
        <f>YEAR(Table6[[#This Row],[Date]])</f>
        <v>2025</v>
      </c>
      <c r="D715" s="105" t="s">
        <v>490</v>
      </c>
      <c r="E715" s="119">
        <f>Table6[[#This Row],[Date]]-DAY(Table6[[#This Row],[Date]])+1</f>
        <v>45809</v>
      </c>
      <c r="F715" s="118">
        <v>45813</v>
      </c>
      <c r="G715" s="105" t="s">
        <v>128</v>
      </c>
      <c r="H715" s="39" t="str">
        <f>_xlfn.XLOOKUP(Table6[[#This Row],[Affected WTG]],'Basic Data'!$A:$A,'Basic Data'!$B:$B)</f>
        <v>PWEGPL</v>
      </c>
      <c r="I715" s="39" t="str">
        <f>_xlfn.XLOOKUP(Table6[[#This Row],[Affected WTG]],'Basic Data'!$A:$A,'Basic Data'!$C:$C)</f>
        <v>MSEDCL</v>
      </c>
      <c r="J715" s="345">
        <f>IFERROR(VLOOKUP(Table6[[#This Row],[Affected WTG]],'Basic Data'!$A$3:$E$56,5,0),"")</f>
        <v>2.564102564102564E-2</v>
      </c>
      <c r="K715" s="105">
        <v>116</v>
      </c>
      <c r="L715" s="39" t="str">
        <f>IFERROR(VLOOKUP(Table6[[#This Row],[Error Code]],'Basic Data'!$T:$U,2,0),"")</f>
        <v>Orienting and High Yaw Brake Pressure</v>
      </c>
      <c r="M715" s="346" t="s">
        <v>462</v>
      </c>
      <c r="N715" s="39" t="s">
        <v>1270</v>
      </c>
      <c r="O715" s="347">
        <v>0.46875</v>
      </c>
      <c r="P715" s="347">
        <v>0.48055555555555557</v>
      </c>
      <c r="Q715" s="347">
        <v>0.48125000000000001</v>
      </c>
      <c r="R715" s="348">
        <f>IF(Table6[[#This Row],[Work Start TimeStamp]]="","",(Table6[[#This Row],[Work Start TimeStamp]]-Table6[[#This Row],[Fault Start TimeStamp]])*24)</f>
        <v>0.28333333333333366</v>
      </c>
      <c r="S715" s="349">
        <f>(Table6[[#This Row],[Fault Clearance time]]-Table6[[#This Row],[Work Start TimeStamp]])*24</f>
        <v>1.6666666666666607E-2</v>
      </c>
      <c r="T715" s="350">
        <f>(Table6[[#This Row],[Fault Clearance time]]-Table6[[#This Row],[Fault Start TimeStamp]])*24</f>
        <v>0.30000000000000027</v>
      </c>
      <c r="U715" s="346" t="s">
        <v>493</v>
      </c>
      <c r="V715" s="351" t="s">
        <v>463</v>
      </c>
      <c r="W715" s="338">
        <f>Table6[[#This Row],[Breakdown Time]]*(1/39)</f>
        <v>7.6923076923076988E-3</v>
      </c>
      <c r="X715" s="336" t="s">
        <v>465</v>
      </c>
      <c r="Y715" s="352" t="s">
        <v>129</v>
      </c>
      <c r="Z715" s="105">
        <v>8021</v>
      </c>
      <c r="AA715" s="107">
        <v>100.26250000000009</v>
      </c>
      <c r="AB715" s="105" t="s">
        <v>478</v>
      </c>
    </row>
    <row r="716" spans="1:28">
      <c r="A716" s="105">
        <f t="shared" si="11"/>
        <v>715</v>
      </c>
      <c r="B716" s="107">
        <f>YEAR(Table6[[#This Row],[Date]])+IF(MONTH(Table6[[#This Row],[Date]])&gt;=4,1,0)</f>
        <v>2026</v>
      </c>
      <c r="C716" s="105">
        <f>YEAR(Table6[[#This Row],[Date]])</f>
        <v>2025</v>
      </c>
      <c r="D716" s="105" t="s">
        <v>490</v>
      </c>
      <c r="E716" s="119">
        <f>Table6[[#This Row],[Date]]-DAY(Table6[[#This Row],[Date]])+1</f>
        <v>45809</v>
      </c>
      <c r="F716" s="118">
        <v>45813</v>
      </c>
      <c r="G716" s="105" t="s">
        <v>133</v>
      </c>
      <c r="H716" s="39" t="str">
        <f>_xlfn.XLOOKUP(Table6[[#This Row],[Affected WTG]],'Basic Data'!$A:$A,'Basic Data'!$B:$B)</f>
        <v>PWEGPL</v>
      </c>
      <c r="I716" s="39" t="str">
        <f>_xlfn.XLOOKUP(Table6[[#This Row],[Affected WTG]],'Basic Data'!$A:$A,'Basic Data'!$C:$C)</f>
        <v>MSEDCL</v>
      </c>
      <c r="J716" s="345">
        <f>IFERROR(VLOOKUP(Table6[[#This Row],[Affected WTG]],'Basic Data'!$A$3:$E$56,5,0),"")</f>
        <v>2.564102564102564E-2</v>
      </c>
      <c r="K716" s="105">
        <v>2118</v>
      </c>
      <c r="L716" s="39" t="str">
        <f>IFERROR(VLOOKUP(Table6[[#This Row],[Error Code]],'Basic Data'!$T:$U,2,0),"")</f>
        <v>Bus Error - Interbus Failure</v>
      </c>
      <c r="M716" s="346" t="s">
        <v>462</v>
      </c>
      <c r="N716" s="39" t="s">
        <v>1270</v>
      </c>
      <c r="O716" s="347">
        <v>0.64583333333333337</v>
      </c>
      <c r="P716" s="347">
        <v>0.65972222222222221</v>
      </c>
      <c r="Q716" s="347">
        <v>0.68055555555555558</v>
      </c>
      <c r="R716" s="348">
        <f>IF(Table6[[#This Row],[Work Start TimeStamp]]="","",(Table6[[#This Row],[Work Start TimeStamp]]-Table6[[#This Row],[Fault Start TimeStamp]])*24)</f>
        <v>0.33333333333333215</v>
      </c>
      <c r="S716" s="349">
        <f>(Table6[[#This Row],[Fault Clearance time]]-Table6[[#This Row],[Work Start TimeStamp]])*24</f>
        <v>0.50000000000000089</v>
      </c>
      <c r="T716" s="350">
        <f>(Table6[[#This Row],[Fault Clearance time]]-Table6[[#This Row],[Fault Start TimeStamp]])*24</f>
        <v>0.83333333333333304</v>
      </c>
      <c r="U716" s="346" t="s">
        <v>489</v>
      </c>
      <c r="V716" s="351" t="s">
        <v>463</v>
      </c>
      <c r="W716" s="338">
        <f>Table6[[#This Row],[Breakdown Time]]*(1/39)</f>
        <v>2.1367521367521358E-2</v>
      </c>
      <c r="X716" s="336" t="s">
        <v>465</v>
      </c>
      <c r="Y716" s="352" t="s">
        <v>132</v>
      </c>
      <c r="Z716" s="105">
        <v>8019</v>
      </c>
      <c r="AA716" s="107">
        <v>278.43749999999989</v>
      </c>
      <c r="AB716" s="105" t="s">
        <v>478</v>
      </c>
    </row>
    <row r="717" spans="1:28">
      <c r="A717" s="105">
        <f t="shared" si="11"/>
        <v>716</v>
      </c>
      <c r="B717" s="107">
        <f>YEAR(Table6[[#This Row],[Date]])+IF(MONTH(Table6[[#This Row],[Date]])&gt;=4,1,0)</f>
        <v>2026</v>
      </c>
      <c r="C717" s="105">
        <f>YEAR(Table6[[#This Row],[Date]])</f>
        <v>2025</v>
      </c>
      <c r="D717" s="105" t="s">
        <v>490</v>
      </c>
      <c r="E717" s="119">
        <f>Table6[[#This Row],[Date]]-DAY(Table6[[#This Row],[Date]])+1</f>
        <v>45809</v>
      </c>
      <c r="F717" s="118">
        <v>45813</v>
      </c>
      <c r="G717" s="105" t="s">
        <v>149</v>
      </c>
      <c r="H717" s="39" t="str">
        <f>_xlfn.XLOOKUP(Table6[[#This Row],[Affected WTG]],'Basic Data'!$A:$A,'Basic Data'!$B:$B)</f>
        <v>PWEGPL</v>
      </c>
      <c r="I717" s="39" t="str">
        <f>_xlfn.XLOOKUP(Table6[[#This Row],[Affected WTG]],'Basic Data'!$A:$A,'Basic Data'!$C:$C)</f>
        <v>MSEDCL</v>
      </c>
      <c r="J717" s="345">
        <f>IFERROR(VLOOKUP(Table6[[#This Row],[Affected WTG]],'Basic Data'!$A$3:$E$56,5,0),"")</f>
        <v>2.564102564102564E-2</v>
      </c>
      <c r="K717" s="105" t="s">
        <v>487</v>
      </c>
      <c r="L717" s="39" t="str">
        <f>IFERROR(VLOOKUP(Table6[[#This Row],[Error Code]],'Basic Data'!$T:$U,2,0),"")</f>
        <v>General Work Stoppage</v>
      </c>
      <c r="M717" s="346" t="s">
        <v>479</v>
      </c>
      <c r="N717" s="39" t="s">
        <v>230</v>
      </c>
      <c r="O717" s="347">
        <v>0.51041666666666663</v>
      </c>
      <c r="P717" s="347">
        <v>0.51041666666666663</v>
      </c>
      <c r="Q717" s="347">
        <v>0.57291666666666663</v>
      </c>
      <c r="R717" s="348">
        <f>IF(Table6[[#This Row],[Work Start TimeStamp]]="","",(Table6[[#This Row],[Work Start TimeStamp]]-Table6[[#This Row],[Fault Start TimeStamp]])*24)</f>
        <v>0</v>
      </c>
      <c r="S717" s="349">
        <f>(Table6[[#This Row],[Fault Clearance time]]-Table6[[#This Row],[Work Start TimeStamp]])*24</f>
        <v>1.5</v>
      </c>
      <c r="T717" s="350">
        <f>(Table6[[#This Row],[Fault Clearance time]]-Table6[[#This Row],[Fault Start TimeStamp]])*24</f>
        <v>1.5</v>
      </c>
      <c r="U717" s="346" t="s">
        <v>1213</v>
      </c>
      <c r="V717" s="351" t="s">
        <v>463</v>
      </c>
      <c r="W717" s="338">
        <f>Table6[[#This Row],[Breakdown Time]]*(1/39)</f>
        <v>3.8461538461538464E-2</v>
      </c>
      <c r="X717" s="336" t="s">
        <v>464</v>
      </c>
      <c r="Y717" s="352" t="s">
        <v>148</v>
      </c>
      <c r="Z717" s="105">
        <v>6232</v>
      </c>
      <c r="AA717" s="107">
        <v>389.5</v>
      </c>
      <c r="AB717" s="105" t="s">
        <v>478</v>
      </c>
    </row>
    <row r="718" spans="1:28">
      <c r="A718" s="105">
        <f t="shared" si="11"/>
        <v>717</v>
      </c>
      <c r="B718" s="107">
        <f>YEAR(Table6[[#This Row],[Date]])+IF(MONTH(Table6[[#This Row],[Date]])&gt;=4,1,0)</f>
        <v>2026</v>
      </c>
      <c r="C718" s="105">
        <f>YEAR(Table6[[#This Row],[Date]])</f>
        <v>2025</v>
      </c>
      <c r="D718" s="105" t="s">
        <v>490</v>
      </c>
      <c r="E718" s="119">
        <f>Table6[[#This Row],[Date]]-DAY(Table6[[#This Row],[Date]])+1</f>
        <v>45809</v>
      </c>
      <c r="F718" s="118">
        <v>45813</v>
      </c>
      <c r="G718" s="105" t="s">
        <v>150</v>
      </c>
      <c r="H718" s="39" t="str">
        <f>_xlfn.XLOOKUP(Table6[[#This Row],[Affected WTG]],'Basic Data'!$A:$A,'Basic Data'!$B:$B)</f>
        <v>PWEGPL</v>
      </c>
      <c r="I718" s="39" t="str">
        <f>_xlfn.XLOOKUP(Table6[[#This Row],[Affected WTG]],'Basic Data'!$A:$A,'Basic Data'!$C:$C)</f>
        <v>MSEDCL</v>
      </c>
      <c r="J718" s="345">
        <f>IFERROR(VLOOKUP(Table6[[#This Row],[Affected WTG]],'Basic Data'!$A$3:$E$56,5,0),"")</f>
        <v>2.564102564102564E-2</v>
      </c>
      <c r="K718" s="105">
        <v>2118</v>
      </c>
      <c r="L718" s="39" t="str">
        <f>IFERROR(VLOOKUP(Table6[[#This Row],[Error Code]],'Basic Data'!$T:$U,2,0),"")</f>
        <v>Bus Error - Interbus Failure</v>
      </c>
      <c r="M718" s="346" t="s">
        <v>462</v>
      </c>
      <c r="N718" s="39" t="s">
        <v>1270</v>
      </c>
      <c r="O718" s="347">
        <v>0.45833333333333331</v>
      </c>
      <c r="P718" s="347">
        <v>0.47708333333333336</v>
      </c>
      <c r="Q718" s="347">
        <v>0.50347222222222221</v>
      </c>
      <c r="R718" s="348">
        <f>IF(Table6[[#This Row],[Work Start TimeStamp]]="","",(Table6[[#This Row],[Work Start TimeStamp]]-Table6[[#This Row],[Fault Start TimeStamp]])*24)</f>
        <v>0.45000000000000107</v>
      </c>
      <c r="S718" s="349">
        <f>(Table6[[#This Row],[Fault Clearance time]]-Table6[[#This Row],[Work Start TimeStamp]])*24</f>
        <v>0.63333333333333242</v>
      </c>
      <c r="T718" s="350">
        <f>(Table6[[#This Row],[Fault Clearance time]]-Table6[[#This Row],[Fault Start TimeStamp]])*24</f>
        <v>1.0833333333333335</v>
      </c>
      <c r="U718" s="346" t="s">
        <v>489</v>
      </c>
      <c r="V718" s="351" t="s">
        <v>463</v>
      </c>
      <c r="W718" s="338">
        <f>Table6[[#This Row],[Breakdown Time]]*(1/39)</f>
        <v>2.777777777777778E-2</v>
      </c>
      <c r="X718" s="336" t="s">
        <v>465</v>
      </c>
      <c r="Y718" s="352" t="s">
        <v>149</v>
      </c>
      <c r="Z718" s="105">
        <v>5589</v>
      </c>
      <c r="AA718" s="107">
        <v>252.28125000000003</v>
      </c>
      <c r="AB718" s="105" t="s">
        <v>478</v>
      </c>
    </row>
    <row r="719" spans="1:28">
      <c r="A719" s="105">
        <f t="shared" si="11"/>
        <v>718</v>
      </c>
      <c r="B719" s="107">
        <f>YEAR(Table6[[#This Row],[Date]])+IF(MONTH(Table6[[#This Row],[Date]])&gt;=4,1,0)</f>
        <v>2026</v>
      </c>
      <c r="C719" s="105">
        <f>YEAR(Table6[[#This Row],[Date]])</f>
        <v>2025</v>
      </c>
      <c r="D719" s="105" t="s">
        <v>490</v>
      </c>
      <c r="E719" s="119">
        <f>Table6[[#This Row],[Date]]-DAY(Table6[[#This Row],[Date]])+1</f>
        <v>45809</v>
      </c>
      <c r="F719" s="118">
        <v>45814</v>
      </c>
      <c r="G719" s="105" t="s">
        <v>144</v>
      </c>
      <c r="H719" s="39" t="str">
        <f>_xlfn.XLOOKUP(Table6[[#This Row],[Affected WTG]],'Basic Data'!$A:$A,'Basic Data'!$B:$B)</f>
        <v>PWEGPL</v>
      </c>
      <c r="I719" s="39" t="str">
        <f>_xlfn.XLOOKUP(Table6[[#This Row],[Affected WTG]],'Basic Data'!$A:$A,'Basic Data'!$C:$C)</f>
        <v>MSEDCL</v>
      </c>
      <c r="J719" s="345">
        <f>IFERROR(VLOOKUP(Table6[[#This Row],[Affected WTG]],'Basic Data'!$A$3:$E$56,5,0),"")</f>
        <v>2.564102564102564E-2</v>
      </c>
      <c r="K719" s="105" t="s">
        <v>492</v>
      </c>
      <c r="L719" s="39" t="str">
        <f>IFERROR(VLOOKUP(Table6[[#This Row],[Error Code]],'Basic Data'!$T:$U,2,0),"")</f>
        <v>Manual Stop - Safety Related</v>
      </c>
      <c r="M719" s="346" t="s">
        <v>481</v>
      </c>
      <c r="N719" s="39" t="s">
        <v>1269</v>
      </c>
      <c r="O719" s="347">
        <v>0</v>
      </c>
      <c r="P719" s="347">
        <v>0.99998842592592596</v>
      </c>
      <c r="Q719" s="347">
        <v>0.99998842592592596</v>
      </c>
      <c r="R719" s="348">
        <f>IF(Table6[[#This Row],[Work Start TimeStamp]]="","",(Table6[[#This Row],[Work Start TimeStamp]]-Table6[[#This Row],[Fault Start TimeStamp]])*24)</f>
        <v>23.999722222222225</v>
      </c>
      <c r="S719" s="349">
        <f>(Table6[[#This Row],[Fault Clearance time]]-Table6[[#This Row],[Work Start TimeStamp]])*24</f>
        <v>0</v>
      </c>
      <c r="T719" s="350">
        <f>(Table6[[#This Row],[Fault Clearance time]]-Table6[[#This Row],[Fault Start TimeStamp]])*24</f>
        <v>23.999722222222225</v>
      </c>
      <c r="U719" s="346" t="s">
        <v>498</v>
      </c>
      <c r="V719" s="351" t="s">
        <v>473</v>
      </c>
      <c r="W719" s="338">
        <f>Table6[[#This Row],[Breakdown Time]]*(1/39)</f>
        <v>0.61537749287749288</v>
      </c>
      <c r="X719" s="336" t="s">
        <v>468</v>
      </c>
      <c r="Y719" s="352" t="s">
        <v>141</v>
      </c>
      <c r="Z719" s="105">
        <v>9362</v>
      </c>
      <c r="AA719" s="107">
        <v>9361.8916435185183</v>
      </c>
      <c r="AB719" s="105" t="s">
        <v>478</v>
      </c>
    </row>
    <row r="720" spans="1:28">
      <c r="A720" s="105">
        <f t="shared" si="11"/>
        <v>719</v>
      </c>
      <c r="B720" s="107">
        <f>YEAR(Table6[[#This Row],[Date]])+IF(MONTH(Table6[[#This Row],[Date]])&gt;=4,1,0)</f>
        <v>2026</v>
      </c>
      <c r="C720" s="105">
        <f>YEAR(Table6[[#This Row],[Date]])</f>
        <v>2025</v>
      </c>
      <c r="D720" s="105" t="s">
        <v>490</v>
      </c>
      <c r="E720" s="119">
        <f>Table6[[#This Row],[Date]]-DAY(Table6[[#This Row],[Date]])+1</f>
        <v>45809</v>
      </c>
      <c r="F720" s="118">
        <v>45814</v>
      </c>
      <c r="G720" s="105" t="s">
        <v>142</v>
      </c>
      <c r="H720" s="39" t="str">
        <f>_xlfn.XLOOKUP(Table6[[#This Row],[Affected WTG]],'Basic Data'!$A:$A,'Basic Data'!$B:$B)</f>
        <v>PWEGPL</v>
      </c>
      <c r="I720" s="39" t="str">
        <f>_xlfn.XLOOKUP(Table6[[#This Row],[Affected WTG]],'Basic Data'!$A:$A,'Basic Data'!$C:$C)</f>
        <v>MSEDCL</v>
      </c>
      <c r="J720" s="345">
        <f>IFERROR(VLOOKUP(Table6[[#This Row],[Affected WTG]],'Basic Data'!$A$3:$E$56,5,0),"")</f>
        <v>2.564102564102564E-2</v>
      </c>
      <c r="K720" s="105" t="s">
        <v>492</v>
      </c>
      <c r="L720" s="39" t="str">
        <f>IFERROR(VLOOKUP(Table6[[#This Row],[Error Code]],'Basic Data'!$T:$U,2,0),"")</f>
        <v>Manual Stop - Safety Related</v>
      </c>
      <c r="M720" s="346" t="s">
        <v>481</v>
      </c>
      <c r="N720" s="39" t="s">
        <v>1269</v>
      </c>
      <c r="O720" s="347">
        <v>0</v>
      </c>
      <c r="P720" s="347">
        <v>0.99998842592592596</v>
      </c>
      <c r="Q720" s="347">
        <v>0.99998842592592596</v>
      </c>
      <c r="R720" s="348">
        <f>IF(Table6[[#This Row],[Work Start TimeStamp]]="","",(Table6[[#This Row],[Work Start TimeStamp]]-Table6[[#This Row],[Fault Start TimeStamp]])*24)</f>
        <v>23.999722222222225</v>
      </c>
      <c r="S720" s="349">
        <f>(Table6[[#This Row],[Fault Clearance time]]-Table6[[#This Row],[Work Start TimeStamp]])*24</f>
        <v>0</v>
      </c>
      <c r="T720" s="350">
        <f>(Table6[[#This Row],[Fault Clearance time]]-Table6[[#This Row],[Fault Start TimeStamp]])*24</f>
        <v>23.999722222222225</v>
      </c>
      <c r="U720" s="346" t="s">
        <v>498</v>
      </c>
      <c r="V720" s="351" t="s">
        <v>473</v>
      </c>
      <c r="W720" s="338">
        <f>Table6[[#This Row],[Breakdown Time]]*(1/39)</f>
        <v>0.61537749287749288</v>
      </c>
      <c r="X720" s="336" t="s">
        <v>468</v>
      </c>
      <c r="Y720" s="352" t="s">
        <v>141</v>
      </c>
      <c r="Z720" s="105">
        <v>9362</v>
      </c>
      <c r="AA720" s="107">
        <v>9361.8916435185183</v>
      </c>
      <c r="AB720" s="105" t="s">
        <v>478</v>
      </c>
    </row>
    <row r="721" spans="1:28">
      <c r="A721" s="105">
        <f t="shared" si="11"/>
        <v>720</v>
      </c>
      <c r="B721" s="107">
        <f>YEAR(Table6[[#This Row],[Date]])+IF(MONTH(Table6[[#This Row],[Date]])&gt;=4,1,0)</f>
        <v>2026</v>
      </c>
      <c r="C721" s="105">
        <f>YEAR(Table6[[#This Row],[Date]])</f>
        <v>2025</v>
      </c>
      <c r="D721" s="105" t="s">
        <v>490</v>
      </c>
      <c r="E721" s="119">
        <f>Table6[[#This Row],[Date]]-DAY(Table6[[#This Row],[Date]])+1</f>
        <v>45809</v>
      </c>
      <c r="F721" s="118">
        <v>45814</v>
      </c>
      <c r="G721" s="105" t="s">
        <v>117</v>
      </c>
      <c r="H721" s="39" t="str">
        <f>_xlfn.XLOOKUP(Table6[[#This Row],[Affected WTG]],'Basic Data'!$A:$A,'Basic Data'!$B:$B)</f>
        <v>PWEGPL</v>
      </c>
      <c r="I721" s="39" t="str">
        <f>_xlfn.XLOOKUP(Table6[[#This Row],[Affected WTG]],'Basic Data'!$A:$A,'Basic Data'!$C:$C)</f>
        <v>MSEDCL</v>
      </c>
      <c r="J721" s="345">
        <f>IFERROR(VLOOKUP(Table6[[#This Row],[Affected WTG]],'Basic Data'!$A$3:$E$56,5,0),"")</f>
        <v>2.564102564102564E-2</v>
      </c>
      <c r="K721" s="105" t="s">
        <v>476</v>
      </c>
      <c r="L721" s="39" t="str">
        <f>IFERROR(VLOOKUP(Table6[[#This Row],[Error Code]],'Basic Data'!$T:$U,2,0),"")</f>
        <v>Manual Stop - Preventive Maintenance Activity</v>
      </c>
      <c r="M721" s="346" t="s">
        <v>474</v>
      </c>
      <c r="N721" s="39" t="s">
        <v>230</v>
      </c>
      <c r="O721" s="347">
        <v>0.48333333333333334</v>
      </c>
      <c r="P721" s="347">
        <v>0.48333333333333334</v>
      </c>
      <c r="Q721" s="347">
        <v>0.7583333333333333</v>
      </c>
      <c r="R721" s="348">
        <f>IF(Table6[[#This Row],[Work Start TimeStamp]]="","",(Table6[[#This Row],[Work Start TimeStamp]]-Table6[[#This Row],[Fault Start TimeStamp]])*24)</f>
        <v>0</v>
      </c>
      <c r="S721" s="349">
        <f>(Table6[[#This Row],[Fault Clearance time]]-Table6[[#This Row],[Work Start TimeStamp]])*24</f>
        <v>6.6</v>
      </c>
      <c r="T721" s="350">
        <f>(Table6[[#This Row],[Fault Clearance time]]-Table6[[#This Row],[Fault Start TimeStamp]])*24</f>
        <v>6.6</v>
      </c>
      <c r="U721" s="346" t="s">
        <v>582</v>
      </c>
      <c r="V721" s="351" t="s">
        <v>463</v>
      </c>
      <c r="W721" s="338">
        <f>Table6[[#This Row],[Breakdown Time]]*(1/39)</f>
        <v>0.16923076923076921</v>
      </c>
      <c r="X721" s="336" t="s">
        <v>467</v>
      </c>
      <c r="Y721" s="352" t="s">
        <v>118</v>
      </c>
      <c r="Z721" s="105">
        <v>14606</v>
      </c>
      <c r="AA721" s="107">
        <v>4016.65</v>
      </c>
      <c r="AB721" s="105" t="s">
        <v>478</v>
      </c>
    </row>
    <row r="722" spans="1:28">
      <c r="A722" s="105">
        <f t="shared" si="11"/>
        <v>721</v>
      </c>
      <c r="B722" s="107">
        <f>YEAR(Table6[[#This Row],[Date]])+IF(MONTH(Table6[[#This Row],[Date]])&gt;=4,1,0)</f>
        <v>2026</v>
      </c>
      <c r="C722" s="105">
        <f>YEAR(Table6[[#This Row],[Date]])</f>
        <v>2025</v>
      </c>
      <c r="D722" s="105" t="s">
        <v>490</v>
      </c>
      <c r="E722" s="119">
        <f>Table6[[#This Row],[Date]]-DAY(Table6[[#This Row],[Date]])+1</f>
        <v>45809</v>
      </c>
      <c r="F722" s="118">
        <v>45814</v>
      </c>
      <c r="G722" s="105" t="s">
        <v>128</v>
      </c>
      <c r="H722" s="39" t="str">
        <f>_xlfn.XLOOKUP(Table6[[#This Row],[Affected WTG]],'Basic Data'!$A:$A,'Basic Data'!$B:$B)</f>
        <v>PWEGPL</v>
      </c>
      <c r="I722" s="39" t="str">
        <f>_xlfn.XLOOKUP(Table6[[#This Row],[Affected WTG]],'Basic Data'!$A:$A,'Basic Data'!$C:$C)</f>
        <v>MSEDCL</v>
      </c>
      <c r="J722" s="345">
        <f>IFERROR(VLOOKUP(Table6[[#This Row],[Affected WTG]],'Basic Data'!$A$3:$E$56,5,0),"")</f>
        <v>2.564102564102564E-2</v>
      </c>
      <c r="K722" s="105" t="s">
        <v>466</v>
      </c>
      <c r="L722" s="39" t="str">
        <f>IFERROR(VLOOKUP(Table6[[#This Row],[Error Code]],'Basic Data'!$T:$U,2,0),"")</f>
        <v>Manual Stop</v>
      </c>
      <c r="M722" s="346" t="s">
        <v>479</v>
      </c>
      <c r="N722" s="39" t="s">
        <v>230</v>
      </c>
      <c r="O722" s="347">
        <v>0.4513888888888889</v>
      </c>
      <c r="P722" s="347">
        <v>0.4513888888888889</v>
      </c>
      <c r="Q722" s="347">
        <v>0.48958333333333331</v>
      </c>
      <c r="R722" s="348">
        <f>IF(Table6[[#This Row],[Work Start TimeStamp]]="","",(Table6[[#This Row],[Work Start TimeStamp]]-Table6[[#This Row],[Fault Start TimeStamp]])*24)</f>
        <v>0</v>
      </c>
      <c r="S722" s="349">
        <f>(Table6[[#This Row],[Fault Clearance time]]-Table6[[#This Row],[Work Start TimeStamp]])*24</f>
        <v>0.91666666666666607</v>
      </c>
      <c r="T722" s="350">
        <f>(Table6[[#This Row],[Fault Clearance time]]-Table6[[#This Row],[Fault Start TimeStamp]])*24</f>
        <v>0.91666666666666607</v>
      </c>
      <c r="U722" s="346" t="s">
        <v>1219</v>
      </c>
      <c r="V722" s="351" t="s">
        <v>463</v>
      </c>
      <c r="W722" s="338">
        <f>Table6[[#This Row],[Breakdown Time]]*(1/39)</f>
        <v>2.3504273504273487E-2</v>
      </c>
      <c r="X722" s="336" t="s">
        <v>465</v>
      </c>
      <c r="Y722" s="352" t="s">
        <v>129</v>
      </c>
      <c r="Z722" s="105">
        <v>12845</v>
      </c>
      <c r="AA722" s="107">
        <v>490.60763888888863</v>
      </c>
      <c r="AB722" s="105" t="s">
        <v>478</v>
      </c>
    </row>
    <row r="723" spans="1:28">
      <c r="A723" s="105">
        <f t="shared" si="11"/>
        <v>722</v>
      </c>
      <c r="B723" s="107">
        <f>YEAR(Table6[[#This Row],[Date]])+IF(MONTH(Table6[[#This Row],[Date]])&gt;=4,1,0)</f>
        <v>2026</v>
      </c>
      <c r="C723" s="105">
        <f>YEAR(Table6[[#This Row],[Date]])</f>
        <v>2025</v>
      </c>
      <c r="D723" s="105" t="s">
        <v>490</v>
      </c>
      <c r="E723" s="119">
        <f>Table6[[#This Row],[Date]]-DAY(Table6[[#This Row],[Date]])+1</f>
        <v>45809</v>
      </c>
      <c r="F723" s="118">
        <v>45814</v>
      </c>
      <c r="G723" s="105" t="s">
        <v>150</v>
      </c>
      <c r="H723" s="39" t="str">
        <f>_xlfn.XLOOKUP(Table6[[#This Row],[Affected WTG]],'Basic Data'!$A:$A,'Basic Data'!$B:$B)</f>
        <v>PWEGPL</v>
      </c>
      <c r="I723" s="39" t="str">
        <f>_xlfn.XLOOKUP(Table6[[#This Row],[Affected WTG]],'Basic Data'!$A:$A,'Basic Data'!$C:$C)</f>
        <v>MSEDCL</v>
      </c>
      <c r="J723" s="345">
        <f>IFERROR(VLOOKUP(Table6[[#This Row],[Affected WTG]],'Basic Data'!$A$3:$E$56,5,0),"")</f>
        <v>2.564102564102564E-2</v>
      </c>
      <c r="K723" s="105">
        <v>205</v>
      </c>
      <c r="L723" s="39" t="str">
        <f>IFERROR(VLOOKUP(Table6[[#This Row],[Error Code]],'Basic Data'!$T:$U,2,0),"")</f>
        <v>Low Level Hydraulic Group Refrigeration Oil</v>
      </c>
      <c r="M723" s="346" t="s">
        <v>462</v>
      </c>
      <c r="N723" s="39" t="s">
        <v>1270</v>
      </c>
      <c r="O723" s="347">
        <v>0.72916666666666663</v>
      </c>
      <c r="P723" s="347">
        <v>0.75069444444444444</v>
      </c>
      <c r="Q723" s="347">
        <v>0.89513888888888893</v>
      </c>
      <c r="R723" s="348">
        <f>IF(Table6[[#This Row],[Work Start TimeStamp]]="","",(Table6[[#This Row],[Work Start TimeStamp]]-Table6[[#This Row],[Fault Start TimeStamp]])*24)</f>
        <v>0.5166666666666675</v>
      </c>
      <c r="S723" s="349">
        <f>(Table6[[#This Row],[Fault Clearance time]]-Table6[[#This Row],[Work Start TimeStamp]])*24</f>
        <v>3.4666666666666677</v>
      </c>
      <c r="T723" s="350">
        <f>(Table6[[#This Row],[Fault Clearance time]]-Table6[[#This Row],[Fault Start TimeStamp]])*24</f>
        <v>3.9833333333333352</v>
      </c>
      <c r="U723" s="346" t="s">
        <v>1221</v>
      </c>
      <c r="V723" s="351" t="s">
        <v>463</v>
      </c>
      <c r="W723" s="338">
        <f>Table6[[#This Row],[Breakdown Time]]*(1/39)</f>
        <v>0.10213675213675218</v>
      </c>
      <c r="X723" s="336" t="s">
        <v>464</v>
      </c>
      <c r="Y723" s="352" t="s">
        <v>149</v>
      </c>
      <c r="Z723" s="105">
        <v>7780</v>
      </c>
      <c r="AA723" s="107">
        <v>1291.2638888888896</v>
      </c>
      <c r="AB723" s="105" t="s">
        <v>478</v>
      </c>
    </row>
    <row r="724" spans="1:28">
      <c r="A724" s="105">
        <f t="shared" si="11"/>
        <v>723</v>
      </c>
      <c r="B724" s="107">
        <f>YEAR(Table6[[#This Row],[Date]])+IF(MONTH(Table6[[#This Row],[Date]])&gt;=4,1,0)</f>
        <v>2026</v>
      </c>
      <c r="C724" s="105">
        <f>YEAR(Table6[[#This Row],[Date]])</f>
        <v>2025</v>
      </c>
      <c r="D724" s="105" t="s">
        <v>490</v>
      </c>
      <c r="E724" s="119">
        <f>Table6[[#This Row],[Date]]-DAY(Table6[[#This Row],[Date]])+1</f>
        <v>45809</v>
      </c>
      <c r="F724" s="118">
        <v>45815</v>
      </c>
      <c r="G724" s="105" t="s">
        <v>144</v>
      </c>
      <c r="H724" s="39" t="str">
        <f>_xlfn.XLOOKUP(Table6[[#This Row],[Affected WTG]],'Basic Data'!$A:$A,'Basic Data'!$B:$B)</f>
        <v>PWEGPL</v>
      </c>
      <c r="I724" s="39" t="str">
        <f>_xlfn.XLOOKUP(Table6[[#This Row],[Affected WTG]],'Basic Data'!$A:$A,'Basic Data'!$C:$C)</f>
        <v>MSEDCL</v>
      </c>
      <c r="J724" s="345">
        <f>IFERROR(VLOOKUP(Table6[[#This Row],[Affected WTG]],'Basic Data'!$A$3:$E$56,5,0),"")</f>
        <v>2.564102564102564E-2</v>
      </c>
      <c r="K724" s="105" t="s">
        <v>492</v>
      </c>
      <c r="L724" s="39" t="str">
        <f>IFERROR(VLOOKUP(Table6[[#This Row],[Error Code]],'Basic Data'!$T:$U,2,0),"")</f>
        <v>Manual Stop - Safety Related</v>
      </c>
      <c r="M724" s="346" t="s">
        <v>481</v>
      </c>
      <c r="N724" s="39" t="s">
        <v>1269</v>
      </c>
      <c r="O724" s="347">
        <v>0</v>
      </c>
      <c r="P724" s="347">
        <v>0.99998842592592596</v>
      </c>
      <c r="Q724" s="347">
        <v>0.99998842592592596</v>
      </c>
      <c r="R724" s="348">
        <f>IF(Table6[[#This Row],[Work Start TimeStamp]]="","",(Table6[[#This Row],[Work Start TimeStamp]]-Table6[[#This Row],[Fault Start TimeStamp]])*24)</f>
        <v>23.999722222222225</v>
      </c>
      <c r="S724" s="349">
        <f>(Table6[[#This Row],[Fault Clearance time]]-Table6[[#This Row],[Work Start TimeStamp]])*24</f>
        <v>0</v>
      </c>
      <c r="T724" s="350">
        <f>(Table6[[#This Row],[Fault Clearance time]]-Table6[[#This Row],[Fault Start TimeStamp]])*24</f>
        <v>23.999722222222225</v>
      </c>
      <c r="U724" s="346" t="s">
        <v>498</v>
      </c>
      <c r="V724" s="351" t="s">
        <v>473</v>
      </c>
      <c r="W724" s="338">
        <f>Table6[[#This Row],[Breakdown Time]]*(1/39)</f>
        <v>0.61537749287749288</v>
      </c>
      <c r="X724" s="336" t="s">
        <v>468</v>
      </c>
      <c r="Y724" s="352" t="s">
        <v>141</v>
      </c>
      <c r="Z724" s="105">
        <v>12590</v>
      </c>
      <c r="AA724" s="107">
        <v>12589.85428240741</v>
      </c>
      <c r="AB724" s="105" t="s">
        <v>478</v>
      </c>
    </row>
    <row r="725" spans="1:28">
      <c r="A725" s="105">
        <f t="shared" si="11"/>
        <v>724</v>
      </c>
      <c r="B725" s="107">
        <f>YEAR(Table6[[#This Row],[Date]])+IF(MONTH(Table6[[#This Row],[Date]])&gt;=4,1,0)</f>
        <v>2026</v>
      </c>
      <c r="C725" s="105">
        <f>YEAR(Table6[[#This Row],[Date]])</f>
        <v>2025</v>
      </c>
      <c r="D725" s="105" t="s">
        <v>490</v>
      </c>
      <c r="E725" s="119">
        <f>Table6[[#This Row],[Date]]-DAY(Table6[[#This Row],[Date]])+1</f>
        <v>45809</v>
      </c>
      <c r="F725" s="118">
        <v>45815</v>
      </c>
      <c r="G725" s="105" t="s">
        <v>142</v>
      </c>
      <c r="H725" s="39" t="str">
        <f>_xlfn.XLOOKUP(Table6[[#This Row],[Affected WTG]],'Basic Data'!$A:$A,'Basic Data'!$B:$B)</f>
        <v>PWEGPL</v>
      </c>
      <c r="I725" s="39" t="str">
        <f>_xlfn.XLOOKUP(Table6[[#This Row],[Affected WTG]],'Basic Data'!$A:$A,'Basic Data'!$C:$C)</f>
        <v>MSEDCL</v>
      </c>
      <c r="J725" s="345">
        <f>IFERROR(VLOOKUP(Table6[[#This Row],[Affected WTG]],'Basic Data'!$A$3:$E$56,5,0),"")</f>
        <v>2.564102564102564E-2</v>
      </c>
      <c r="K725" s="105" t="s">
        <v>492</v>
      </c>
      <c r="L725" s="39" t="str">
        <f>IFERROR(VLOOKUP(Table6[[#This Row],[Error Code]],'Basic Data'!$T:$U,2,0),"")</f>
        <v>Manual Stop - Safety Related</v>
      </c>
      <c r="M725" s="346" t="s">
        <v>481</v>
      </c>
      <c r="N725" s="39" t="s">
        <v>1269</v>
      </c>
      <c r="O725" s="347">
        <v>0</v>
      </c>
      <c r="P725" s="347">
        <v>0.99998842592592596</v>
      </c>
      <c r="Q725" s="347">
        <v>0.99998842592592596</v>
      </c>
      <c r="R725" s="348">
        <f>IF(Table6[[#This Row],[Work Start TimeStamp]]="","",(Table6[[#This Row],[Work Start TimeStamp]]-Table6[[#This Row],[Fault Start TimeStamp]])*24)</f>
        <v>23.999722222222225</v>
      </c>
      <c r="S725" s="349">
        <f>(Table6[[#This Row],[Fault Clearance time]]-Table6[[#This Row],[Work Start TimeStamp]])*24</f>
        <v>0</v>
      </c>
      <c r="T725" s="350">
        <f>(Table6[[#This Row],[Fault Clearance time]]-Table6[[#This Row],[Fault Start TimeStamp]])*24</f>
        <v>23.999722222222225</v>
      </c>
      <c r="U725" s="346" t="s">
        <v>498</v>
      </c>
      <c r="V725" s="351" t="s">
        <v>473</v>
      </c>
      <c r="W725" s="338">
        <f>Table6[[#This Row],[Breakdown Time]]*(1/39)</f>
        <v>0.61537749287749288</v>
      </c>
      <c r="X725" s="336" t="s">
        <v>468</v>
      </c>
      <c r="Y725" s="352" t="s">
        <v>141</v>
      </c>
      <c r="Z725" s="105">
        <v>12590</v>
      </c>
      <c r="AA725" s="107">
        <v>12589.85428240741</v>
      </c>
      <c r="AB725" s="105" t="s">
        <v>478</v>
      </c>
    </row>
    <row r="726" spans="1:28">
      <c r="A726" s="105">
        <f t="shared" si="11"/>
        <v>725</v>
      </c>
      <c r="B726" s="107">
        <f>YEAR(Table6[[#This Row],[Date]])+IF(MONTH(Table6[[#This Row],[Date]])&gt;=4,1,0)</f>
        <v>2026</v>
      </c>
      <c r="C726" s="105">
        <f>YEAR(Table6[[#This Row],[Date]])</f>
        <v>2025</v>
      </c>
      <c r="D726" s="105" t="s">
        <v>490</v>
      </c>
      <c r="E726" s="119">
        <f>Table6[[#This Row],[Date]]-DAY(Table6[[#This Row],[Date]])+1</f>
        <v>45809</v>
      </c>
      <c r="F726" s="118">
        <v>45815</v>
      </c>
      <c r="G726" s="105" t="s">
        <v>118</v>
      </c>
      <c r="H726" s="39" t="str">
        <f>_xlfn.XLOOKUP(Table6[[#This Row],[Affected WTG]],'Basic Data'!$A:$A,'Basic Data'!$B:$B)</f>
        <v>PWEGPL</v>
      </c>
      <c r="I726" s="39" t="str">
        <f>_xlfn.XLOOKUP(Table6[[#This Row],[Affected WTG]],'Basic Data'!$A:$A,'Basic Data'!$C:$C)</f>
        <v>MSEDCL</v>
      </c>
      <c r="J726" s="345">
        <f>IFERROR(VLOOKUP(Table6[[#This Row],[Affected WTG]],'Basic Data'!$A$3:$E$56,5,0),"")</f>
        <v>2.564102564102564E-2</v>
      </c>
      <c r="K726" s="105" t="s">
        <v>476</v>
      </c>
      <c r="L726" s="39" t="str">
        <f>IFERROR(VLOOKUP(Table6[[#This Row],[Error Code]],'Basic Data'!$T:$U,2,0),"")</f>
        <v>Manual Stop - Preventive Maintenance Activity</v>
      </c>
      <c r="M726" s="346" t="s">
        <v>474</v>
      </c>
      <c r="N726" s="39" t="s">
        <v>230</v>
      </c>
      <c r="O726" s="347">
        <v>0.46527777777777779</v>
      </c>
      <c r="P726" s="347">
        <v>0.46527777777777779</v>
      </c>
      <c r="Q726" s="347">
        <v>0.75347222222222221</v>
      </c>
      <c r="R726" s="348">
        <f>IF(Table6[[#This Row],[Work Start TimeStamp]]="","",(Table6[[#This Row],[Work Start TimeStamp]]-Table6[[#This Row],[Fault Start TimeStamp]])*24)</f>
        <v>0</v>
      </c>
      <c r="S726" s="349">
        <f>(Table6[[#This Row],[Fault Clearance time]]-Table6[[#This Row],[Work Start TimeStamp]])*24</f>
        <v>6.9166666666666661</v>
      </c>
      <c r="T726" s="350">
        <f>(Table6[[#This Row],[Fault Clearance time]]-Table6[[#This Row],[Fault Start TimeStamp]])*24</f>
        <v>6.9166666666666661</v>
      </c>
      <c r="U726" s="346" t="s">
        <v>582</v>
      </c>
      <c r="V726" s="351" t="s">
        <v>463</v>
      </c>
      <c r="W726" s="338">
        <f>Table6[[#This Row],[Breakdown Time]]*(1/39)</f>
        <v>0.17735042735042733</v>
      </c>
      <c r="X726" s="336" t="s">
        <v>467</v>
      </c>
      <c r="Y726" s="352" t="s">
        <v>117</v>
      </c>
      <c r="Z726" s="105">
        <v>19809</v>
      </c>
      <c r="AA726" s="107">
        <v>5708.8437499999991</v>
      </c>
      <c r="AB726" s="105" t="s">
        <v>478</v>
      </c>
    </row>
    <row r="727" spans="1:28">
      <c r="A727" s="105">
        <f t="shared" si="11"/>
        <v>726</v>
      </c>
      <c r="B727" s="107">
        <f>YEAR(Table6[[#This Row],[Date]])+IF(MONTH(Table6[[#This Row],[Date]])&gt;=4,1,0)</f>
        <v>2026</v>
      </c>
      <c r="C727" s="105">
        <f>YEAR(Table6[[#This Row],[Date]])</f>
        <v>2025</v>
      </c>
      <c r="D727" s="105" t="s">
        <v>490</v>
      </c>
      <c r="E727" s="119">
        <f>Table6[[#This Row],[Date]]-DAY(Table6[[#This Row],[Date]])+1</f>
        <v>45809</v>
      </c>
      <c r="F727" s="118">
        <v>45815</v>
      </c>
      <c r="G727" s="105" t="s">
        <v>141</v>
      </c>
      <c r="H727" s="39" t="str">
        <f>_xlfn.XLOOKUP(Table6[[#This Row],[Affected WTG]],'Basic Data'!$A:$A,'Basic Data'!$B:$B)</f>
        <v>PWEGPL</v>
      </c>
      <c r="I727" s="39" t="str">
        <f>_xlfn.XLOOKUP(Table6[[#This Row],[Affected WTG]],'Basic Data'!$A:$A,'Basic Data'!$C:$C)</f>
        <v>MSEDCL</v>
      </c>
      <c r="J727" s="345">
        <f>IFERROR(VLOOKUP(Table6[[#This Row],[Affected WTG]],'Basic Data'!$A$3:$E$56,5,0),"")</f>
        <v>2.564102564102564E-2</v>
      </c>
      <c r="K727" s="105" t="s">
        <v>466</v>
      </c>
      <c r="L727" s="39" t="str">
        <f>IFERROR(VLOOKUP(Table6[[#This Row],[Error Code]],'Basic Data'!$T:$U,2,0),"")</f>
        <v>Manual Stop</v>
      </c>
      <c r="M727" s="346" t="s">
        <v>479</v>
      </c>
      <c r="N727" s="39" t="s">
        <v>230</v>
      </c>
      <c r="O727" s="347">
        <v>0.46458333333333335</v>
      </c>
      <c r="P727" s="347">
        <v>0.46458333333333335</v>
      </c>
      <c r="Q727" s="347">
        <v>0.56597222222222221</v>
      </c>
      <c r="R727" s="348">
        <f>IF(Table6[[#This Row],[Work Start TimeStamp]]="","",(Table6[[#This Row],[Work Start TimeStamp]]-Table6[[#This Row],[Fault Start TimeStamp]])*24)</f>
        <v>0</v>
      </c>
      <c r="S727" s="349">
        <f>(Table6[[#This Row],[Fault Clearance time]]-Table6[[#This Row],[Work Start TimeStamp]])*24</f>
        <v>2.4333333333333327</v>
      </c>
      <c r="T727" s="350">
        <f>(Table6[[#This Row],[Fault Clearance time]]-Table6[[#This Row],[Fault Start TimeStamp]])*24</f>
        <v>2.4333333333333327</v>
      </c>
      <c r="U727" s="346" t="s">
        <v>1213</v>
      </c>
      <c r="V727" s="351" t="s">
        <v>463</v>
      </c>
      <c r="W727" s="338">
        <f>Table6[[#This Row],[Breakdown Time]]*(1/39)</f>
        <v>6.2393162393162373E-2</v>
      </c>
      <c r="X727" s="336" t="s">
        <v>464</v>
      </c>
      <c r="Y727" s="352" t="s">
        <v>143</v>
      </c>
      <c r="Z727" s="105">
        <v>12542</v>
      </c>
      <c r="AA727" s="107">
        <v>1271.6194444444443</v>
      </c>
      <c r="AB727" s="105" t="s">
        <v>478</v>
      </c>
    </row>
    <row r="728" spans="1:28">
      <c r="A728" s="105">
        <f t="shared" si="11"/>
        <v>727</v>
      </c>
      <c r="B728" s="107">
        <f>YEAR(Table6[[#This Row],[Date]])+IF(MONTH(Table6[[#This Row],[Date]])&gt;=4,1,0)</f>
        <v>2026</v>
      </c>
      <c r="C728" s="105">
        <f>YEAR(Table6[[#This Row],[Date]])</f>
        <v>2025</v>
      </c>
      <c r="D728" s="105" t="s">
        <v>490</v>
      </c>
      <c r="E728" s="119">
        <f>Table6[[#This Row],[Date]]-DAY(Table6[[#This Row],[Date]])+1</f>
        <v>45809</v>
      </c>
      <c r="F728" s="118">
        <v>45815</v>
      </c>
      <c r="G728" s="105" t="s">
        <v>143</v>
      </c>
      <c r="H728" s="39" t="str">
        <f>_xlfn.XLOOKUP(Table6[[#This Row],[Affected WTG]],'Basic Data'!$A:$A,'Basic Data'!$B:$B)</f>
        <v>PWEGPL</v>
      </c>
      <c r="I728" s="39" t="str">
        <f>_xlfn.XLOOKUP(Table6[[#This Row],[Affected WTG]],'Basic Data'!$A:$A,'Basic Data'!$C:$C)</f>
        <v>MSEDCL</v>
      </c>
      <c r="J728" s="345">
        <f>IFERROR(VLOOKUP(Table6[[#This Row],[Affected WTG]],'Basic Data'!$A$3:$E$56,5,0),"")</f>
        <v>2.564102564102564E-2</v>
      </c>
      <c r="K728" s="105" t="s">
        <v>466</v>
      </c>
      <c r="L728" s="39" t="str">
        <f>IFERROR(VLOOKUP(Table6[[#This Row],[Error Code]],'Basic Data'!$T:$U,2,0),"")</f>
        <v>Manual Stop</v>
      </c>
      <c r="M728" s="346" t="s">
        <v>479</v>
      </c>
      <c r="N728" s="39" t="s">
        <v>230</v>
      </c>
      <c r="O728" s="347">
        <v>0.6</v>
      </c>
      <c r="P728" s="347">
        <v>0.6</v>
      </c>
      <c r="Q728" s="347">
        <v>0.68055555555555558</v>
      </c>
      <c r="R728" s="348">
        <f>IF(Table6[[#This Row],[Work Start TimeStamp]]="","",(Table6[[#This Row],[Work Start TimeStamp]]-Table6[[#This Row],[Fault Start TimeStamp]])*24)</f>
        <v>0</v>
      </c>
      <c r="S728" s="349">
        <f>(Table6[[#This Row],[Fault Clearance time]]-Table6[[#This Row],[Work Start TimeStamp]])*24</f>
        <v>1.9333333333333345</v>
      </c>
      <c r="T728" s="350">
        <f>(Table6[[#This Row],[Fault Clearance time]]-Table6[[#This Row],[Fault Start TimeStamp]])*24</f>
        <v>1.9333333333333345</v>
      </c>
      <c r="U728" s="346" t="s">
        <v>1213</v>
      </c>
      <c r="V728" s="351" t="s">
        <v>463</v>
      </c>
      <c r="W728" s="338">
        <f>Table6[[#This Row],[Breakdown Time]]*(1/39)</f>
        <v>4.9572649572649598E-2</v>
      </c>
      <c r="X728" s="336" t="s">
        <v>464</v>
      </c>
      <c r="Y728" s="352" t="s">
        <v>141</v>
      </c>
      <c r="Z728" s="105">
        <v>12590</v>
      </c>
      <c r="AA728" s="107">
        <v>1014.1944444444451</v>
      </c>
      <c r="AB728" s="105" t="s">
        <v>478</v>
      </c>
    </row>
    <row r="729" spans="1:28">
      <c r="A729" s="105">
        <f t="shared" si="11"/>
        <v>728</v>
      </c>
      <c r="B729" s="107">
        <f>YEAR(Table6[[#This Row],[Date]])+IF(MONTH(Table6[[#This Row],[Date]])&gt;=4,1,0)</f>
        <v>2026</v>
      </c>
      <c r="C729" s="105">
        <f>YEAR(Table6[[#This Row],[Date]])</f>
        <v>2025</v>
      </c>
      <c r="D729" s="105" t="s">
        <v>490</v>
      </c>
      <c r="E729" s="119">
        <f>Table6[[#This Row],[Date]]-DAY(Table6[[#This Row],[Date]])+1</f>
        <v>45809</v>
      </c>
      <c r="F729" s="118">
        <v>45816</v>
      </c>
      <c r="G729" s="105" t="s">
        <v>144</v>
      </c>
      <c r="H729" s="39" t="str">
        <f>_xlfn.XLOOKUP(Table6[[#This Row],[Affected WTG]],'Basic Data'!$A:$A,'Basic Data'!$B:$B)</f>
        <v>PWEGPL</v>
      </c>
      <c r="I729" s="39" t="str">
        <f>_xlfn.XLOOKUP(Table6[[#This Row],[Affected WTG]],'Basic Data'!$A:$A,'Basic Data'!$C:$C)</f>
        <v>MSEDCL</v>
      </c>
      <c r="J729" s="345">
        <f>IFERROR(VLOOKUP(Table6[[#This Row],[Affected WTG]],'Basic Data'!$A$3:$E$56,5,0),"")</f>
        <v>2.564102564102564E-2</v>
      </c>
      <c r="K729" s="105" t="s">
        <v>492</v>
      </c>
      <c r="L729" s="39" t="str">
        <f>IFERROR(VLOOKUP(Table6[[#This Row],[Error Code]],'Basic Data'!$T:$U,2,0),"")</f>
        <v>Manual Stop - Safety Related</v>
      </c>
      <c r="M729" s="346" t="s">
        <v>481</v>
      </c>
      <c r="N729" s="39" t="s">
        <v>1269</v>
      </c>
      <c r="O729" s="347">
        <v>0</v>
      </c>
      <c r="P729" s="347">
        <v>0.99998842592592596</v>
      </c>
      <c r="Q729" s="347">
        <v>0.99998842592592596</v>
      </c>
      <c r="R729" s="348">
        <f>IF(Table6[[#This Row],[Work Start TimeStamp]]="","",(Table6[[#This Row],[Work Start TimeStamp]]-Table6[[#This Row],[Fault Start TimeStamp]])*24)</f>
        <v>23.999722222222225</v>
      </c>
      <c r="S729" s="349">
        <f>(Table6[[#This Row],[Fault Clearance time]]-Table6[[#This Row],[Work Start TimeStamp]])*24</f>
        <v>0</v>
      </c>
      <c r="T729" s="350">
        <f>(Table6[[#This Row],[Fault Clearance time]]-Table6[[#This Row],[Fault Start TimeStamp]])*24</f>
        <v>23.999722222222225</v>
      </c>
      <c r="U729" s="346" t="s">
        <v>498</v>
      </c>
      <c r="V729" s="351" t="s">
        <v>473</v>
      </c>
      <c r="W729" s="338">
        <f>Table6[[#This Row],[Breakdown Time]]*(1/39)</f>
        <v>0.61537749287749288</v>
      </c>
      <c r="X729" s="336" t="s">
        <v>468</v>
      </c>
      <c r="Y729" s="352" t="s">
        <v>141</v>
      </c>
      <c r="Z729" s="105">
        <v>12125</v>
      </c>
      <c r="AA729" s="107">
        <v>12124.859664351852</v>
      </c>
      <c r="AB729" s="105" t="s">
        <v>478</v>
      </c>
    </row>
    <row r="730" spans="1:28">
      <c r="A730" s="105">
        <f t="shared" si="11"/>
        <v>729</v>
      </c>
      <c r="B730" s="107">
        <f>YEAR(Table6[[#This Row],[Date]])+IF(MONTH(Table6[[#This Row],[Date]])&gt;=4,1,0)</f>
        <v>2026</v>
      </c>
      <c r="C730" s="105">
        <f>YEAR(Table6[[#This Row],[Date]])</f>
        <v>2025</v>
      </c>
      <c r="D730" s="105" t="s">
        <v>490</v>
      </c>
      <c r="E730" s="119">
        <f>Table6[[#This Row],[Date]]-DAY(Table6[[#This Row],[Date]])+1</f>
        <v>45809</v>
      </c>
      <c r="F730" s="118">
        <v>45816</v>
      </c>
      <c r="G730" s="105" t="s">
        <v>142</v>
      </c>
      <c r="H730" s="39" t="str">
        <f>_xlfn.XLOOKUP(Table6[[#This Row],[Affected WTG]],'Basic Data'!$A:$A,'Basic Data'!$B:$B)</f>
        <v>PWEGPL</v>
      </c>
      <c r="I730" s="39" t="str">
        <f>_xlfn.XLOOKUP(Table6[[#This Row],[Affected WTG]],'Basic Data'!$A:$A,'Basic Data'!$C:$C)</f>
        <v>MSEDCL</v>
      </c>
      <c r="J730" s="345">
        <f>IFERROR(VLOOKUP(Table6[[#This Row],[Affected WTG]],'Basic Data'!$A$3:$E$56,5,0),"")</f>
        <v>2.564102564102564E-2</v>
      </c>
      <c r="K730" s="105" t="s">
        <v>492</v>
      </c>
      <c r="L730" s="39" t="str">
        <f>IFERROR(VLOOKUP(Table6[[#This Row],[Error Code]],'Basic Data'!$T:$U,2,0),"")</f>
        <v>Manual Stop - Safety Related</v>
      </c>
      <c r="M730" s="346" t="s">
        <v>481</v>
      </c>
      <c r="N730" s="39" t="s">
        <v>1269</v>
      </c>
      <c r="O730" s="347">
        <v>0</v>
      </c>
      <c r="P730" s="347">
        <v>0.99998842592592596</v>
      </c>
      <c r="Q730" s="347">
        <v>0.99998842592592596</v>
      </c>
      <c r="R730" s="348">
        <f>IF(Table6[[#This Row],[Work Start TimeStamp]]="","",(Table6[[#This Row],[Work Start TimeStamp]]-Table6[[#This Row],[Fault Start TimeStamp]])*24)</f>
        <v>23.999722222222225</v>
      </c>
      <c r="S730" s="349">
        <f>(Table6[[#This Row],[Fault Clearance time]]-Table6[[#This Row],[Work Start TimeStamp]])*24</f>
        <v>0</v>
      </c>
      <c r="T730" s="350">
        <f>(Table6[[#This Row],[Fault Clearance time]]-Table6[[#This Row],[Fault Start TimeStamp]])*24</f>
        <v>23.999722222222225</v>
      </c>
      <c r="U730" s="346" t="s">
        <v>498</v>
      </c>
      <c r="V730" s="351" t="s">
        <v>473</v>
      </c>
      <c r="W730" s="338">
        <f>Table6[[#This Row],[Breakdown Time]]*(1/39)</f>
        <v>0.61537749287749288</v>
      </c>
      <c r="X730" s="336" t="s">
        <v>468</v>
      </c>
      <c r="Y730" s="352" t="s">
        <v>141</v>
      </c>
      <c r="Z730" s="105">
        <v>12125</v>
      </c>
      <c r="AA730" s="107">
        <v>12124.859664351852</v>
      </c>
      <c r="AB730" s="105" t="s">
        <v>478</v>
      </c>
    </row>
    <row r="731" spans="1:28">
      <c r="A731" s="105">
        <f t="shared" si="11"/>
        <v>730</v>
      </c>
      <c r="B731" s="107">
        <f>YEAR(Table6[[#This Row],[Date]])+IF(MONTH(Table6[[#This Row],[Date]])&gt;=4,1,0)</f>
        <v>2026</v>
      </c>
      <c r="C731" s="105">
        <f>YEAR(Table6[[#This Row],[Date]])</f>
        <v>2025</v>
      </c>
      <c r="D731" s="105" t="s">
        <v>490</v>
      </c>
      <c r="E731" s="119">
        <f>Table6[[#This Row],[Date]]-DAY(Table6[[#This Row],[Date]])+1</f>
        <v>45809</v>
      </c>
      <c r="F731" s="118">
        <v>45816</v>
      </c>
      <c r="G731" s="105" t="s">
        <v>135</v>
      </c>
      <c r="H731" s="39" t="str">
        <f>_xlfn.XLOOKUP(Table6[[#This Row],[Affected WTG]],'Basic Data'!$A:$A,'Basic Data'!$B:$B)</f>
        <v>PWEGPL</v>
      </c>
      <c r="I731" s="39" t="str">
        <f>_xlfn.XLOOKUP(Table6[[#This Row],[Affected WTG]],'Basic Data'!$A:$A,'Basic Data'!$C:$C)</f>
        <v>MSEDCL</v>
      </c>
      <c r="J731" s="345">
        <f>IFERROR(VLOOKUP(Table6[[#This Row],[Affected WTG]],'Basic Data'!$A$3:$E$56,5,0),"")</f>
        <v>2.564102564102564E-2</v>
      </c>
      <c r="K731" s="105">
        <v>2100</v>
      </c>
      <c r="L731" s="39" t="str">
        <f>IFERROR(VLOOKUP(Table6[[#This Row],[Error Code]],'Basic Data'!$T:$U,2,0),"")</f>
        <v>PLC Voltage Recovery</v>
      </c>
      <c r="M731" s="346" t="s">
        <v>462</v>
      </c>
      <c r="N731" s="39" t="s">
        <v>1270</v>
      </c>
      <c r="O731" s="347">
        <v>0.87847222222222221</v>
      </c>
      <c r="P731" s="347">
        <v>0.88749999999999996</v>
      </c>
      <c r="Q731" s="347">
        <v>0.8881944444444444</v>
      </c>
      <c r="R731" s="348">
        <f>IF(Table6[[#This Row],[Work Start TimeStamp]]="","",(Table6[[#This Row],[Work Start TimeStamp]]-Table6[[#This Row],[Fault Start TimeStamp]])*24)</f>
        <v>0.2166666666666659</v>
      </c>
      <c r="S731" s="349">
        <f>(Table6[[#This Row],[Fault Clearance time]]-Table6[[#This Row],[Work Start TimeStamp]])*24</f>
        <v>1.6666666666666607E-2</v>
      </c>
      <c r="T731" s="350">
        <f>(Table6[[#This Row],[Fault Clearance time]]-Table6[[#This Row],[Fault Start TimeStamp]])*24</f>
        <v>0.2333333333333325</v>
      </c>
      <c r="U731" s="346" t="s">
        <v>493</v>
      </c>
      <c r="V731" s="351" t="s">
        <v>463</v>
      </c>
      <c r="W731" s="338">
        <f>Table6[[#This Row],[Breakdown Time]]*(1/39)</f>
        <v>5.9829059829059617E-3</v>
      </c>
      <c r="X731" s="336" t="s">
        <v>465</v>
      </c>
      <c r="Y731" s="352" t="s">
        <v>136</v>
      </c>
      <c r="Z731" s="105">
        <v>12015</v>
      </c>
      <c r="AA731" s="107">
        <v>116.81249999999959</v>
      </c>
      <c r="AB731" s="105" t="s">
        <v>478</v>
      </c>
    </row>
    <row r="732" spans="1:28">
      <c r="A732" s="105">
        <f t="shared" si="11"/>
        <v>731</v>
      </c>
      <c r="B732" s="107">
        <f>YEAR(Table6[[#This Row],[Date]])+IF(MONTH(Table6[[#This Row],[Date]])&gt;=4,1,0)</f>
        <v>2026</v>
      </c>
      <c r="C732" s="105">
        <f>YEAR(Table6[[#This Row],[Date]])</f>
        <v>2025</v>
      </c>
      <c r="D732" s="105" t="s">
        <v>490</v>
      </c>
      <c r="E732" s="119">
        <f>Table6[[#This Row],[Date]]-DAY(Table6[[#This Row],[Date]])+1</f>
        <v>45809</v>
      </c>
      <c r="F732" s="118">
        <v>45816</v>
      </c>
      <c r="G732" s="105" t="s">
        <v>136</v>
      </c>
      <c r="H732" s="39" t="str">
        <f>_xlfn.XLOOKUP(Table6[[#This Row],[Affected WTG]],'Basic Data'!$A:$A,'Basic Data'!$B:$B)</f>
        <v>PWEGPL</v>
      </c>
      <c r="I732" s="39" t="str">
        <f>_xlfn.XLOOKUP(Table6[[#This Row],[Affected WTG]],'Basic Data'!$A:$A,'Basic Data'!$C:$C)</f>
        <v>MSEDCL</v>
      </c>
      <c r="J732" s="345">
        <f>IFERROR(VLOOKUP(Table6[[#This Row],[Affected WTG]],'Basic Data'!$A$3:$E$56,5,0),"")</f>
        <v>2.564102564102564E-2</v>
      </c>
      <c r="K732" s="105">
        <v>2100</v>
      </c>
      <c r="L732" s="39" t="str">
        <f>IFERROR(VLOOKUP(Table6[[#This Row],[Error Code]],'Basic Data'!$T:$U,2,0),"")</f>
        <v>PLC Voltage Recovery</v>
      </c>
      <c r="M732" s="346" t="s">
        <v>462</v>
      </c>
      <c r="N732" s="39" t="s">
        <v>1270</v>
      </c>
      <c r="O732" s="347">
        <v>0.87847222222222221</v>
      </c>
      <c r="P732" s="347">
        <v>0.88541666666666663</v>
      </c>
      <c r="Q732" s="347">
        <v>0.88611111111111107</v>
      </c>
      <c r="R732" s="348">
        <f>IF(Table6[[#This Row],[Work Start TimeStamp]]="","",(Table6[[#This Row],[Work Start TimeStamp]]-Table6[[#This Row],[Fault Start TimeStamp]])*24)</f>
        <v>0.16666666666666607</v>
      </c>
      <c r="S732" s="349">
        <f>(Table6[[#This Row],[Fault Clearance time]]-Table6[[#This Row],[Work Start TimeStamp]])*24</f>
        <v>1.6666666666666607E-2</v>
      </c>
      <c r="T732" s="350">
        <f>(Table6[[#This Row],[Fault Clearance time]]-Table6[[#This Row],[Fault Start TimeStamp]])*24</f>
        <v>0.18333333333333268</v>
      </c>
      <c r="U732" s="346" t="s">
        <v>493</v>
      </c>
      <c r="V732" s="351" t="s">
        <v>463</v>
      </c>
      <c r="W732" s="338">
        <f>Table6[[#This Row],[Breakdown Time]]*(1/39)</f>
        <v>4.7008547008546842E-3</v>
      </c>
      <c r="X732" s="336" t="s">
        <v>465</v>
      </c>
      <c r="Y732" s="352" t="s">
        <v>137</v>
      </c>
      <c r="Z732" s="105">
        <v>12001</v>
      </c>
      <c r="AA732" s="107">
        <v>91.674305555555236</v>
      </c>
      <c r="AB732" s="105" t="s">
        <v>478</v>
      </c>
    </row>
    <row r="733" spans="1:28">
      <c r="A733" s="105">
        <f t="shared" si="11"/>
        <v>732</v>
      </c>
      <c r="B733" s="107">
        <f>YEAR(Table6[[#This Row],[Date]])+IF(MONTH(Table6[[#This Row],[Date]])&gt;=4,1,0)</f>
        <v>2026</v>
      </c>
      <c r="C733" s="105">
        <f>YEAR(Table6[[#This Row],[Date]])</f>
        <v>2025</v>
      </c>
      <c r="D733" s="105" t="s">
        <v>490</v>
      </c>
      <c r="E733" s="119">
        <f>Table6[[#This Row],[Date]]-DAY(Table6[[#This Row],[Date]])+1</f>
        <v>45809</v>
      </c>
      <c r="F733" s="118">
        <v>45816</v>
      </c>
      <c r="G733" s="105" t="s">
        <v>138</v>
      </c>
      <c r="H733" s="39" t="str">
        <f>_xlfn.XLOOKUP(Table6[[#This Row],[Affected WTG]],'Basic Data'!$A:$A,'Basic Data'!$B:$B)</f>
        <v>PWEGPL</v>
      </c>
      <c r="I733" s="39" t="str">
        <f>_xlfn.XLOOKUP(Table6[[#This Row],[Affected WTG]],'Basic Data'!$A:$A,'Basic Data'!$C:$C)</f>
        <v>MSEDCL</v>
      </c>
      <c r="J733" s="345">
        <f>IFERROR(VLOOKUP(Table6[[#This Row],[Affected WTG]],'Basic Data'!$A$3:$E$56,5,0),"")</f>
        <v>2.564102564102564E-2</v>
      </c>
      <c r="K733" s="105">
        <v>2100</v>
      </c>
      <c r="L733" s="39" t="str">
        <f>IFERROR(VLOOKUP(Table6[[#This Row],[Error Code]],'Basic Data'!$T:$U,2,0),"")</f>
        <v>PLC Voltage Recovery</v>
      </c>
      <c r="M733" s="346" t="s">
        <v>462</v>
      </c>
      <c r="N733" s="39" t="s">
        <v>1270</v>
      </c>
      <c r="O733" s="347">
        <v>0.87847222222222221</v>
      </c>
      <c r="P733" s="347">
        <v>0.89930555555555558</v>
      </c>
      <c r="Q733" s="347">
        <v>0.9</v>
      </c>
      <c r="R733" s="348">
        <f>IF(Table6[[#This Row],[Work Start TimeStamp]]="","",(Table6[[#This Row],[Work Start TimeStamp]]-Table6[[#This Row],[Fault Start TimeStamp]])*24)</f>
        <v>0.50000000000000089</v>
      </c>
      <c r="S733" s="349">
        <f>(Table6[[#This Row],[Fault Clearance time]]-Table6[[#This Row],[Work Start TimeStamp]])*24</f>
        <v>1.6666666666666607E-2</v>
      </c>
      <c r="T733" s="350">
        <f>(Table6[[#This Row],[Fault Clearance time]]-Table6[[#This Row],[Fault Start TimeStamp]])*24</f>
        <v>0.5166666666666675</v>
      </c>
      <c r="U733" s="346" t="s">
        <v>493</v>
      </c>
      <c r="V733" s="351" t="s">
        <v>463</v>
      </c>
      <c r="W733" s="338">
        <f>Table6[[#This Row],[Breakdown Time]]*(1/39)</f>
        <v>1.3247863247863268E-2</v>
      </c>
      <c r="X733" s="336" t="s">
        <v>465</v>
      </c>
      <c r="Y733" s="352" t="s">
        <v>140</v>
      </c>
      <c r="Z733" s="105">
        <v>12121</v>
      </c>
      <c r="AA733" s="107">
        <v>260.93819444444489</v>
      </c>
      <c r="AB733" s="105" t="s">
        <v>478</v>
      </c>
    </row>
    <row r="734" spans="1:28">
      <c r="A734" s="105">
        <f t="shared" si="11"/>
        <v>733</v>
      </c>
      <c r="B734" s="107">
        <f>YEAR(Table6[[#This Row],[Date]])+IF(MONTH(Table6[[#This Row],[Date]])&gt;=4,1,0)</f>
        <v>2026</v>
      </c>
      <c r="C734" s="105">
        <f>YEAR(Table6[[#This Row],[Date]])</f>
        <v>2025</v>
      </c>
      <c r="D734" s="105" t="s">
        <v>490</v>
      </c>
      <c r="E734" s="119">
        <f>Table6[[#This Row],[Date]]-DAY(Table6[[#This Row],[Date]])+1</f>
        <v>45809</v>
      </c>
      <c r="F734" s="118">
        <v>45816</v>
      </c>
      <c r="G734" s="105" t="s">
        <v>141</v>
      </c>
      <c r="H734" s="39" t="str">
        <f>_xlfn.XLOOKUP(Table6[[#This Row],[Affected WTG]],'Basic Data'!$A:$A,'Basic Data'!$B:$B)</f>
        <v>PWEGPL</v>
      </c>
      <c r="I734" s="39" t="str">
        <f>_xlfn.XLOOKUP(Table6[[#This Row],[Affected WTG]],'Basic Data'!$A:$A,'Basic Data'!$C:$C)</f>
        <v>MSEDCL</v>
      </c>
      <c r="J734" s="345">
        <f>IFERROR(VLOOKUP(Table6[[#This Row],[Affected WTG]],'Basic Data'!$A$3:$E$56,5,0),"")</f>
        <v>2.564102564102564E-2</v>
      </c>
      <c r="K734" s="105">
        <v>2100</v>
      </c>
      <c r="L734" s="39" t="str">
        <f>IFERROR(VLOOKUP(Table6[[#This Row],[Error Code]],'Basic Data'!$T:$U,2,0),"")</f>
        <v>PLC Voltage Recovery</v>
      </c>
      <c r="M734" s="346" t="s">
        <v>462</v>
      </c>
      <c r="N734" s="39" t="s">
        <v>1270</v>
      </c>
      <c r="O734" s="347">
        <v>0.87847222222222221</v>
      </c>
      <c r="P734" s="347">
        <v>0.90833333333333333</v>
      </c>
      <c r="Q734" s="347">
        <v>0.90902777777777777</v>
      </c>
      <c r="R734" s="348">
        <f>IF(Table6[[#This Row],[Work Start TimeStamp]]="","",(Table6[[#This Row],[Work Start TimeStamp]]-Table6[[#This Row],[Fault Start TimeStamp]])*24)</f>
        <v>0.71666666666666679</v>
      </c>
      <c r="S734" s="349">
        <f>(Table6[[#This Row],[Fault Clearance time]]-Table6[[#This Row],[Work Start TimeStamp]])*24</f>
        <v>1.6666666666666607E-2</v>
      </c>
      <c r="T734" s="350">
        <f>(Table6[[#This Row],[Fault Clearance time]]-Table6[[#This Row],[Fault Start TimeStamp]])*24</f>
        <v>0.73333333333333339</v>
      </c>
      <c r="U734" s="346" t="s">
        <v>493</v>
      </c>
      <c r="V734" s="351" t="s">
        <v>463</v>
      </c>
      <c r="W734" s="338">
        <f>Table6[[#This Row],[Breakdown Time]]*(1/39)</f>
        <v>1.8803418803418806E-2</v>
      </c>
      <c r="X734" s="336" t="s">
        <v>465</v>
      </c>
      <c r="Y734" s="352" t="s">
        <v>143</v>
      </c>
      <c r="Z734" s="105">
        <v>12132</v>
      </c>
      <c r="AA734" s="107">
        <v>370.70000000000005</v>
      </c>
      <c r="AB734" s="105" t="s">
        <v>478</v>
      </c>
    </row>
    <row r="735" spans="1:28">
      <c r="A735" s="105">
        <f t="shared" si="11"/>
        <v>734</v>
      </c>
      <c r="B735" s="107">
        <f>YEAR(Table6[[#This Row],[Date]])+IF(MONTH(Table6[[#This Row],[Date]])&gt;=4,1,0)</f>
        <v>2026</v>
      </c>
      <c r="C735" s="105">
        <f>YEAR(Table6[[#This Row],[Date]])</f>
        <v>2025</v>
      </c>
      <c r="D735" s="105" t="s">
        <v>490</v>
      </c>
      <c r="E735" s="119">
        <f>Table6[[#This Row],[Date]]-DAY(Table6[[#This Row],[Date]])+1</f>
        <v>45809</v>
      </c>
      <c r="F735" s="118">
        <v>45816</v>
      </c>
      <c r="G735" s="105" t="s">
        <v>143</v>
      </c>
      <c r="H735" s="39" t="str">
        <f>_xlfn.XLOOKUP(Table6[[#This Row],[Affected WTG]],'Basic Data'!$A:$A,'Basic Data'!$B:$B)</f>
        <v>PWEGPL</v>
      </c>
      <c r="I735" s="39" t="str">
        <f>_xlfn.XLOOKUP(Table6[[#This Row],[Affected WTG]],'Basic Data'!$A:$A,'Basic Data'!$C:$C)</f>
        <v>MSEDCL</v>
      </c>
      <c r="J735" s="345">
        <f>IFERROR(VLOOKUP(Table6[[#This Row],[Affected WTG]],'Basic Data'!$A$3:$E$56,5,0),"")</f>
        <v>2.564102564102564E-2</v>
      </c>
      <c r="K735" s="105">
        <v>2100</v>
      </c>
      <c r="L735" s="39" t="str">
        <f>IFERROR(VLOOKUP(Table6[[#This Row],[Error Code]],'Basic Data'!$T:$U,2,0),"")</f>
        <v>PLC Voltage Recovery</v>
      </c>
      <c r="M735" s="346" t="s">
        <v>462</v>
      </c>
      <c r="N735" s="39" t="s">
        <v>1270</v>
      </c>
      <c r="O735" s="347">
        <v>0.87847222222222221</v>
      </c>
      <c r="P735" s="347">
        <v>0.91319444444444442</v>
      </c>
      <c r="Q735" s="347">
        <v>0.91388888888888886</v>
      </c>
      <c r="R735" s="348">
        <f>IF(Table6[[#This Row],[Work Start TimeStamp]]="","",(Table6[[#This Row],[Work Start TimeStamp]]-Table6[[#This Row],[Fault Start TimeStamp]])*24)</f>
        <v>0.83333333333333304</v>
      </c>
      <c r="S735" s="349">
        <f>(Table6[[#This Row],[Fault Clearance time]]-Table6[[#This Row],[Work Start TimeStamp]])*24</f>
        <v>1.6666666666666607E-2</v>
      </c>
      <c r="T735" s="350">
        <f>(Table6[[#This Row],[Fault Clearance time]]-Table6[[#This Row],[Fault Start TimeStamp]])*24</f>
        <v>0.84999999999999964</v>
      </c>
      <c r="U735" s="346" t="s">
        <v>493</v>
      </c>
      <c r="V735" s="351" t="s">
        <v>463</v>
      </c>
      <c r="W735" s="338">
        <f>Table6[[#This Row],[Breakdown Time]]*(1/39)</f>
        <v>2.1794871794871783E-2</v>
      </c>
      <c r="X735" s="336" t="s">
        <v>465</v>
      </c>
      <c r="Y735" s="352" t="s">
        <v>141</v>
      </c>
      <c r="Z735" s="105">
        <v>12125</v>
      </c>
      <c r="AA735" s="107">
        <v>429.42708333333314</v>
      </c>
      <c r="AB735" s="105" t="s">
        <v>478</v>
      </c>
    </row>
    <row r="736" spans="1:28">
      <c r="A736" s="105">
        <f t="shared" si="11"/>
        <v>735</v>
      </c>
      <c r="B736" s="107">
        <f>YEAR(Table6[[#This Row],[Date]])+IF(MONTH(Table6[[#This Row],[Date]])&gt;=4,1,0)</f>
        <v>2026</v>
      </c>
      <c r="C736" s="105">
        <f>YEAR(Table6[[#This Row],[Date]])</f>
        <v>2025</v>
      </c>
      <c r="D736" s="105" t="s">
        <v>490</v>
      </c>
      <c r="E736" s="119">
        <f>Table6[[#This Row],[Date]]-DAY(Table6[[#This Row],[Date]])+1</f>
        <v>45809</v>
      </c>
      <c r="F736" s="118">
        <v>45817</v>
      </c>
      <c r="G736" s="105" t="s">
        <v>144</v>
      </c>
      <c r="H736" s="39" t="str">
        <f>_xlfn.XLOOKUP(Table6[[#This Row],[Affected WTG]],'Basic Data'!$A:$A,'Basic Data'!$B:$B)</f>
        <v>PWEGPL</v>
      </c>
      <c r="I736" s="39" t="str">
        <f>_xlfn.XLOOKUP(Table6[[#This Row],[Affected WTG]],'Basic Data'!$A:$A,'Basic Data'!$C:$C)</f>
        <v>MSEDCL</v>
      </c>
      <c r="J736" s="345">
        <f>IFERROR(VLOOKUP(Table6[[#This Row],[Affected WTG]],'Basic Data'!$A$3:$E$56,5,0),"")</f>
        <v>2.564102564102564E-2</v>
      </c>
      <c r="K736" s="105" t="s">
        <v>492</v>
      </c>
      <c r="L736" s="39" t="str">
        <f>IFERROR(VLOOKUP(Table6[[#This Row],[Error Code]],'Basic Data'!$T:$U,2,0),"")</f>
        <v>Manual Stop - Safety Related</v>
      </c>
      <c r="M736" s="346" t="s">
        <v>481</v>
      </c>
      <c r="N736" s="39" t="s">
        <v>1269</v>
      </c>
      <c r="O736" s="347">
        <v>0</v>
      </c>
      <c r="P736" s="347">
        <v>0.99998842592592596</v>
      </c>
      <c r="Q736" s="347">
        <v>0.99998842592592596</v>
      </c>
      <c r="R736" s="348">
        <f>IF(Table6[[#This Row],[Work Start TimeStamp]]="","",(Table6[[#This Row],[Work Start TimeStamp]]-Table6[[#This Row],[Fault Start TimeStamp]])*24)</f>
        <v>23.999722222222225</v>
      </c>
      <c r="S736" s="349">
        <f>(Table6[[#This Row],[Fault Clearance time]]-Table6[[#This Row],[Work Start TimeStamp]])*24</f>
        <v>0</v>
      </c>
      <c r="T736" s="350">
        <f>(Table6[[#This Row],[Fault Clearance time]]-Table6[[#This Row],[Fault Start TimeStamp]])*24</f>
        <v>23.999722222222225</v>
      </c>
      <c r="U736" s="346" t="s">
        <v>498</v>
      </c>
      <c r="V736" s="351" t="s">
        <v>473</v>
      </c>
      <c r="W736" s="338">
        <f>Table6[[#This Row],[Breakdown Time]]*(1/39)</f>
        <v>0.61537749287749288</v>
      </c>
      <c r="X736" s="336" t="s">
        <v>468</v>
      </c>
      <c r="Y736" s="352" t="s">
        <v>141</v>
      </c>
      <c r="Z736" s="105">
        <v>23434</v>
      </c>
      <c r="AA736" s="107">
        <v>23433.728773148148</v>
      </c>
      <c r="AB736" s="105" t="s">
        <v>478</v>
      </c>
    </row>
    <row r="737" spans="1:28">
      <c r="A737" s="105">
        <f t="shared" si="11"/>
        <v>736</v>
      </c>
      <c r="B737" s="107">
        <f>YEAR(Table6[[#This Row],[Date]])+IF(MONTH(Table6[[#This Row],[Date]])&gt;=4,1,0)</f>
        <v>2026</v>
      </c>
      <c r="C737" s="105">
        <f>YEAR(Table6[[#This Row],[Date]])</f>
        <v>2025</v>
      </c>
      <c r="D737" s="105" t="s">
        <v>490</v>
      </c>
      <c r="E737" s="119">
        <f>Table6[[#This Row],[Date]]-DAY(Table6[[#This Row],[Date]])+1</f>
        <v>45809</v>
      </c>
      <c r="F737" s="118">
        <v>45817</v>
      </c>
      <c r="G737" s="105" t="s">
        <v>142</v>
      </c>
      <c r="H737" s="39" t="str">
        <f>_xlfn.XLOOKUP(Table6[[#This Row],[Affected WTG]],'Basic Data'!$A:$A,'Basic Data'!$B:$B)</f>
        <v>PWEGPL</v>
      </c>
      <c r="I737" s="39" t="str">
        <f>_xlfn.XLOOKUP(Table6[[#This Row],[Affected WTG]],'Basic Data'!$A:$A,'Basic Data'!$C:$C)</f>
        <v>MSEDCL</v>
      </c>
      <c r="J737" s="345">
        <f>IFERROR(VLOOKUP(Table6[[#This Row],[Affected WTG]],'Basic Data'!$A$3:$E$56,5,0),"")</f>
        <v>2.564102564102564E-2</v>
      </c>
      <c r="K737" s="105" t="s">
        <v>492</v>
      </c>
      <c r="L737" s="39" t="str">
        <f>IFERROR(VLOOKUP(Table6[[#This Row],[Error Code]],'Basic Data'!$T:$U,2,0),"")</f>
        <v>Manual Stop - Safety Related</v>
      </c>
      <c r="M737" s="346" t="s">
        <v>481</v>
      </c>
      <c r="N737" s="39" t="s">
        <v>1269</v>
      </c>
      <c r="O737" s="347">
        <v>0</v>
      </c>
      <c r="P737" s="347">
        <v>0.99998842592592596</v>
      </c>
      <c r="Q737" s="347">
        <v>0.99998842592592596</v>
      </c>
      <c r="R737" s="348">
        <f>IF(Table6[[#This Row],[Work Start TimeStamp]]="","",(Table6[[#This Row],[Work Start TimeStamp]]-Table6[[#This Row],[Fault Start TimeStamp]])*24)</f>
        <v>23.999722222222225</v>
      </c>
      <c r="S737" s="349">
        <f>(Table6[[#This Row],[Fault Clearance time]]-Table6[[#This Row],[Work Start TimeStamp]])*24</f>
        <v>0</v>
      </c>
      <c r="T737" s="350">
        <f>(Table6[[#This Row],[Fault Clearance time]]-Table6[[#This Row],[Fault Start TimeStamp]])*24</f>
        <v>23.999722222222225</v>
      </c>
      <c r="U737" s="346" t="s">
        <v>498</v>
      </c>
      <c r="V737" s="351" t="s">
        <v>473</v>
      </c>
      <c r="W737" s="338">
        <f>Table6[[#This Row],[Breakdown Time]]*(1/39)</f>
        <v>0.61537749287749288</v>
      </c>
      <c r="X737" s="336" t="s">
        <v>468</v>
      </c>
      <c r="Y737" s="352" t="s">
        <v>141</v>
      </c>
      <c r="Z737" s="105">
        <v>23434</v>
      </c>
      <c r="AA737" s="107">
        <v>23433.728773148148</v>
      </c>
      <c r="AB737" s="105" t="s">
        <v>478</v>
      </c>
    </row>
    <row r="738" spans="1:28">
      <c r="A738" s="105">
        <f t="shared" si="11"/>
        <v>737</v>
      </c>
      <c r="B738" s="107">
        <f>YEAR(Table6[[#This Row],[Date]])+IF(MONTH(Table6[[#This Row],[Date]])&gt;=4,1,0)</f>
        <v>2026</v>
      </c>
      <c r="C738" s="105">
        <f>YEAR(Table6[[#This Row],[Date]])</f>
        <v>2025</v>
      </c>
      <c r="D738" s="105" t="s">
        <v>490</v>
      </c>
      <c r="E738" s="119">
        <f>Table6[[#This Row],[Date]]-DAY(Table6[[#This Row],[Date]])+1</f>
        <v>45809</v>
      </c>
      <c r="F738" s="118">
        <v>45817</v>
      </c>
      <c r="G738" s="105" t="s">
        <v>118</v>
      </c>
      <c r="H738" s="39" t="str">
        <f>_xlfn.XLOOKUP(Table6[[#This Row],[Affected WTG]],'Basic Data'!$A:$A,'Basic Data'!$B:$B)</f>
        <v>PWEGPL</v>
      </c>
      <c r="I738" s="39" t="str">
        <f>_xlfn.XLOOKUP(Table6[[#This Row],[Affected WTG]],'Basic Data'!$A:$A,'Basic Data'!$C:$C)</f>
        <v>MSEDCL</v>
      </c>
      <c r="J738" s="345">
        <f>IFERROR(VLOOKUP(Table6[[#This Row],[Affected WTG]],'Basic Data'!$A$3:$E$56,5,0),"")</f>
        <v>2.564102564102564E-2</v>
      </c>
      <c r="K738" s="105">
        <v>2118</v>
      </c>
      <c r="L738" s="39" t="str">
        <f>IFERROR(VLOOKUP(Table6[[#This Row],[Error Code]],'Basic Data'!$T:$U,2,0),"")</f>
        <v>Bus Error - Interbus Failure</v>
      </c>
      <c r="M738" s="346" t="s">
        <v>462</v>
      </c>
      <c r="N738" s="39" t="s">
        <v>1270</v>
      </c>
      <c r="O738" s="347">
        <v>0.73958333333333337</v>
      </c>
      <c r="P738" s="347">
        <v>0.75694444444444442</v>
      </c>
      <c r="Q738" s="347">
        <v>0.7583333333333333</v>
      </c>
      <c r="R738" s="348">
        <f>IF(Table6[[#This Row],[Work Start TimeStamp]]="","",(Table6[[#This Row],[Work Start TimeStamp]]-Table6[[#This Row],[Fault Start TimeStamp]])*24)</f>
        <v>0.41666666666666519</v>
      </c>
      <c r="S738" s="349">
        <f>(Table6[[#This Row],[Fault Clearance time]]-Table6[[#This Row],[Work Start TimeStamp]])*24</f>
        <v>3.3333333333333215E-2</v>
      </c>
      <c r="T738" s="350">
        <f>(Table6[[#This Row],[Fault Clearance time]]-Table6[[#This Row],[Fault Start TimeStamp]])*24</f>
        <v>0.4499999999999984</v>
      </c>
      <c r="U738" s="346" t="s">
        <v>491</v>
      </c>
      <c r="V738" s="351" t="s">
        <v>463</v>
      </c>
      <c r="W738" s="338">
        <f>Table6[[#This Row],[Breakdown Time]]*(1/39)</f>
        <v>1.1538461538461497E-2</v>
      </c>
      <c r="X738" s="336" t="s">
        <v>465</v>
      </c>
      <c r="Y738" s="352" t="s">
        <v>117</v>
      </c>
      <c r="Z738" s="105">
        <v>24743</v>
      </c>
      <c r="AA738" s="107">
        <v>463.93124999999833</v>
      </c>
      <c r="AB738" s="105" t="s">
        <v>478</v>
      </c>
    </row>
    <row r="739" spans="1:28">
      <c r="A739" s="105">
        <f t="shared" si="11"/>
        <v>738</v>
      </c>
      <c r="B739" s="107">
        <f>YEAR(Table6[[#This Row],[Date]])+IF(MONTH(Table6[[#This Row],[Date]])&gt;=4,1,0)</f>
        <v>2026</v>
      </c>
      <c r="C739" s="105">
        <f>YEAR(Table6[[#This Row],[Date]])</f>
        <v>2025</v>
      </c>
      <c r="D739" s="105" t="s">
        <v>490</v>
      </c>
      <c r="E739" s="119">
        <f>Table6[[#This Row],[Date]]-DAY(Table6[[#This Row],[Date]])+1</f>
        <v>45809</v>
      </c>
      <c r="F739" s="118">
        <v>45817</v>
      </c>
      <c r="G739" s="105" t="s">
        <v>126</v>
      </c>
      <c r="H739" s="39" t="str">
        <f>_xlfn.XLOOKUP(Table6[[#This Row],[Affected WTG]],'Basic Data'!$A:$A,'Basic Data'!$B:$B)</f>
        <v>PWEGPL</v>
      </c>
      <c r="I739" s="39" t="str">
        <f>_xlfn.XLOOKUP(Table6[[#This Row],[Affected WTG]],'Basic Data'!$A:$A,'Basic Data'!$C:$C)</f>
        <v>MSEDCL</v>
      </c>
      <c r="J739" s="345">
        <f>IFERROR(VLOOKUP(Table6[[#This Row],[Affected WTG]],'Basic Data'!$A$3:$E$56,5,0),"")</f>
        <v>2.564102564102564E-2</v>
      </c>
      <c r="K739" s="105">
        <v>203</v>
      </c>
      <c r="L739" s="39" t="str">
        <f>IFERROR(VLOOKUP(Table6[[#This Row],[Error Code]],'Basic Data'!$T:$U,2,0),"")</f>
        <v>Low Pressure On Hydraulic Group</v>
      </c>
      <c r="M739" s="346" t="s">
        <v>462</v>
      </c>
      <c r="N739" s="39" t="s">
        <v>1270</v>
      </c>
      <c r="O739" s="347">
        <v>0.47916666666666669</v>
      </c>
      <c r="P739" s="347">
        <v>0.49652777777777779</v>
      </c>
      <c r="Q739" s="347">
        <v>0.54861111111111116</v>
      </c>
      <c r="R739" s="348">
        <f>IF(Table6[[#This Row],[Work Start TimeStamp]]="","",(Table6[[#This Row],[Work Start TimeStamp]]-Table6[[#This Row],[Fault Start TimeStamp]])*24)</f>
        <v>0.41666666666666652</v>
      </c>
      <c r="S739" s="349">
        <f>(Table6[[#This Row],[Fault Clearance time]]-Table6[[#This Row],[Work Start TimeStamp]])*24</f>
        <v>1.2500000000000009</v>
      </c>
      <c r="T739" s="350">
        <f>(Table6[[#This Row],[Fault Clearance time]]-Table6[[#This Row],[Fault Start TimeStamp]])*24</f>
        <v>1.6666666666666674</v>
      </c>
      <c r="U739" s="346" t="s">
        <v>1227</v>
      </c>
      <c r="V739" s="351" t="s">
        <v>463</v>
      </c>
      <c r="W739" s="338">
        <f>Table6[[#This Row],[Breakdown Time]]*(1/39)</f>
        <v>4.273504273504275E-2</v>
      </c>
      <c r="X739" s="336" t="s">
        <v>465</v>
      </c>
      <c r="Y739" s="352" t="s">
        <v>127</v>
      </c>
      <c r="Z739" s="105">
        <v>21856</v>
      </c>
      <c r="AA739" s="107">
        <v>1517.7777777777783</v>
      </c>
      <c r="AB739" s="105" t="s">
        <v>478</v>
      </c>
    </row>
    <row r="740" spans="1:28">
      <c r="A740" s="105">
        <f t="shared" si="11"/>
        <v>739</v>
      </c>
      <c r="B740" s="107">
        <f>YEAR(Table6[[#This Row],[Date]])+IF(MONTH(Table6[[#This Row],[Date]])&gt;=4,1,0)</f>
        <v>2026</v>
      </c>
      <c r="C740" s="105">
        <f>YEAR(Table6[[#This Row],[Date]])</f>
        <v>2025</v>
      </c>
      <c r="D740" s="105" t="s">
        <v>490</v>
      </c>
      <c r="E740" s="119">
        <f>Table6[[#This Row],[Date]]-DAY(Table6[[#This Row],[Date]])+1</f>
        <v>45809</v>
      </c>
      <c r="F740" s="118">
        <v>45817</v>
      </c>
      <c r="G740" s="105" t="s">
        <v>128</v>
      </c>
      <c r="H740" s="39" t="str">
        <f>_xlfn.XLOOKUP(Table6[[#This Row],[Affected WTG]],'Basic Data'!$A:$A,'Basic Data'!$B:$B)</f>
        <v>PWEGPL</v>
      </c>
      <c r="I740" s="39" t="str">
        <f>_xlfn.XLOOKUP(Table6[[#This Row],[Affected WTG]],'Basic Data'!$A:$A,'Basic Data'!$C:$C)</f>
        <v>MSEDCL</v>
      </c>
      <c r="J740" s="345">
        <f>IFERROR(VLOOKUP(Table6[[#This Row],[Affected WTG]],'Basic Data'!$A$3:$E$56,5,0),"")</f>
        <v>2.564102564102564E-2</v>
      </c>
      <c r="K740" s="105">
        <v>2118</v>
      </c>
      <c r="L740" s="39" t="str">
        <f>IFERROR(VLOOKUP(Table6[[#This Row],[Error Code]],'Basic Data'!$T:$U,2,0),"")</f>
        <v>Bus Error - Interbus Failure</v>
      </c>
      <c r="M740" s="346" t="s">
        <v>462</v>
      </c>
      <c r="N740" s="39" t="s">
        <v>1270</v>
      </c>
      <c r="O740" s="347">
        <v>0.67013888888888884</v>
      </c>
      <c r="P740" s="347">
        <v>0.6875</v>
      </c>
      <c r="Q740" s="347">
        <v>0.68888888888888888</v>
      </c>
      <c r="R740" s="348">
        <f>IF(Table6[[#This Row],[Work Start TimeStamp]]="","",(Table6[[#This Row],[Work Start TimeStamp]]-Table6[[#This Row],[Fault Start TimeStamp]])*24)</f>
        <v>0.41666666666666785</v>
      </c>
      <c r="S740" s="349">
        <f>(Table6[[#This Row],[Fault Clearance time]]-Table6[[#This Row],[Work Start TimeStamp]])*24</f>
        <v>3.3333333333333215E-2</v>
      </c>
      <c r="T740" s="350">
        <f>(Table6[[#This Row],[Fault Clearance time]]-Table6[[#This Row],[Fault Start TimeStamp]])*24</f>
        <v>0.45000000000000107</v>
      </c>
      <c r="U740" s="346" t="s">
        <v>491</v>
      </c>
      <c r="V740" s="351" t="s">
        <v>463</v>
      </c>
      <c r="W740" s="338">
        <f>Table6[[#This Row],[Breakdown Time]]*(1/39)</f>
        <v>1.1538461538461565E-2</v>
      </c>
      <c r="X740" s="336" t="s">
        <v>465</v>
      </c>
      <c r="Y740" s="352" t="s">
        <v>127</v>
      </c>
      <c r="Z740" s="105">
        <v>21856</v>
      </c>
      <c r="AA740" s="107">
        <v>409.80000000000098</v>
      </c>
      <c r="AB740" s="105" t="s">
        <v>478</v>
      </c>
    </row>
    <row r="741" spans="1:28">
      <c r="A741" s="105">
        <f t="shared" si="11"/>
        <v>740</v>
      </c>
      <c r="B741" s="107">
        <f>YEAR(Table6[[#This Row],[Date]])+IF(MONTH(Table6[[#This Row],[Date]])&gt;=4,1,0)</f>
        <v>2026</v>
      </c>
      <c r="C741" s="105">
        <f>YEAR(Table6[[#This Row],[Date]])</f>
        <v>2025</v>
      </c>
      <c r="D741" s="105" t="s">
        <v>490</v>
      </c>
      <c r="E741" s="119">
        <f>Table6[[#This Row],[Date]]-DAY(Table6[[#This Row],[Date]])+1</f>
        <v>45809</v>
      </c>
      <c r="F741" s="118">
        <v>45817</v>
      </c>
      <c r="G741" s="105" t="s">
        <v>134</v>
      </c>
      <c r="H741" s="39" t="str">
        <f>_xlfn.XLOOKUP(Table6[[#This Row],[Affected WTG]],'Basic Data'!$A:$A,'Basic Data'!$B:$B)</f>
        <v>PWEGPL</v>
      </c>
      <c r="I741" s="39" t="str">
        <f>_xlfn.XLOOKUP(Table6[[#This Row],[Affected WTG]],'Basic Data'!$A:$A,'Basic Data'!$C:$C)</f>
        <v>MSEDCL</v>
      </c>
      <c r="J741" s="345">
        <f>IFERROR(VLOOKUP(Table6[[#This Row],[Affected WTG]],'Basic Data'!$A$3:$E$56,5,0),"")</f>
        <v>2.564102564102564E-2</v>
      </c>
      <c r="K741" s="105">
        <v>2118</v>
      </c>
      <c r="L741" s="39" t="str">
        <f>IFERROR(VLOOKUP(Table6[[#This Row],[Error Code]],'Basic Data'!$T:$U,2,0),"")</f>
        <v>Bus Error - Interbus Failure</v>
      </c>
      <c r="M741" s="346" t="s">
        <v>462</v>
      </c>
      <c r="N741" s="39" t="s">
        <v>1270</v>
      </c>
      <c r="O741" s="347">
        <v>0.44791666666666669</v>
      </c>
      <c r="P741" s="347">
        <v>0.46597222222222223</v>
      </c>
      <c r="Q741" s="347">
        <v>0.50347222222222221</v>
      </c>
      <c r="R741" s="348">
        <f>IF(Table6[[#This Row],[Work Start TimeStamp]]="","",(Table6[[#This Row],[Work Start TimeStamp]]-Table6[[#This Row],[Fault Start TimeStamp]])*24)</f>
        <v>0.43333333333333313</v>
      </c>
      <c r="S741" s="349">
        <f>(Table6[[#This Row],[Fault Clearance time]]-Table6[[#This Row],[Work Start TimeStamp]])*24</f>
        <v>0.89999999999999947</v>
      </c>
      <c r="T741" s="350">
        <f>(Table6[[#This Row],[Fault Clearance time]]-Table6[[#This Row],[Fault Start TimeStamp]])*24</f>
        <v>1.3333333333333326</v>
      </c>
      <c r="U741" s="346" t="s">
        <v>489</v>
      </c>
      <c r="V741" s="351" t="s">
        <v>463</v>
      </c>
      <c r="W741" s="338">
        <f>Table6[[#This Row],[Breakdown Time]]*(1/39)</f>
        <v>3.4188034188034171E-2</v>
      </c>
      <c r="X741" s="336" t="s">
        <v>465</v>
      </c>
      <c r="Y741" s="352" t="s">
        <v>133</v>
      </c>
      <c r="Z741" s="105">
        <v>21878</v>
      </c>
      <c r="AA741" s="107">
        <v>1215.4444444444439</v>
      </c>
      <c r="AB741" s="105" t="s">
        <v>478</v>
      </c>
    </row>
    <row r="742" spans="1:28">
      <c r="A742" s="105">
        <f t="shared" si="11"/>
        <v>741</v>
      </c>
      <c r="B742" s="107">
        <f>YEAR(Table6[[#This Row],[Date]])+IF(MONTH(Table6[[#This Row],[Date]])&gt;=4,1,0)</f>
        <v>2026</v>
      </c>
      <c r="C742" s="105">
        <f>YEAR(Table6[[#This Row],[Date]])</f>
        <v>2025</v>
      </c>
      <c r="D742" s="105" t="s">
        <v>490</v>
      </c>
      <c r="E742" s="119">
        <f>Table6[[#This Row],[Date]]-DAY(Table6[[#This Row],[Date]])+1</f>
        <v>45809</v>
      </c>
      <c r="F742" s="118">
        <v>45817</v>
      </c>
      <c r="G742" s="105" t="s">
        <v>143</v>
      </c>
      <c r="H742" s="39" t="str">
        <f>_xlfn.XLOOKUP(Table6[[#This Row],[Affected WTG]],'Basic Data'!$A:$A,'Basic Data'!$B:$B)</f>
        <v>PWEGPL</v>
      </c>
      <c r="I742" s="39" t="str">
        <f>_xlfn.XLOOKUP(Table6[[#This Row],[Affected WTG]],'Basic Data'!$A:$A,'Basic Data'!$C:$C)</f>
        <v>MSEDCL</v>
      </c>
      <c r="J742" s="345">
        <f>IFERROR(VLOOKUP(Table6[[#This Row],[Affected WTG]],'Basic Data'!$A$3:$E$56,5,0),"")</f>
        <v>2.564102564102564E-2</v>
      </c>
      <c r="K742" s="105">
        <v>205</v>
      </c>
      <c r="L742" s="39" t="str">
        <f>IFERROR(VLOOKUP(Table6[[#This Row],[Error Code]],'Basic Data'!$T:$U,2,0),"")</f>
        <v>Low Level Hydraulic Group Refrigeration Oil</v>
      </c>
      <c r="M742" s="346" t="s">
        <v>462</v>
      </c>
      <c r="N742" s="39" t="s">
        <v>1270</v>
      </c>
      <c r="O742" s="347">
        <v>0.70833333333333337</v>
      </c>
      <c r="P742" s="347">
        <v>0.72569444444444442</v>
      </c>
      <c r="Q742" s="347">
        <v>0.76388888888888884</v>
      </c>
      <c r="R742" s="348">
        <f>IF(Table6[[#This Row],[Work Start TimeStamp]]="","",(Table6[[#This Row],[Work Start TimeStamp]]-Table6[[#This Row],[Fault Start TimeStamp]])*24)</f>
        <v>0.41666666666666519</v>
      </c>
      <c r="S742" s="349">
        <f>(Table6[[#This Row],[Fault Clearance time]]-Table6[[#This Row],[Work Start TimeStamp]])*24</f>
        <v>0.91666666666666607</v>
      </c>
      <c r="T742" s="350">
        <f>(Table6[[#This Row],[Fault Clearance time]]-Table6[[#This Row],[Fault Start TimeStamp]])*24</f>
        <v>1.3333333333333313</v>
      </c>
      <c r="U742" s="346" t="s">
        <v>1228</v>
      </c>
      <c r="V742" s="351" t="s">
        <v>463</v>
      </c>
      <c r="W742" s="338">
        <f>Table6[[#This Row],[Breakdown Time]]*(1/39)</f>
        <v>3.4188034188034136E-2</v>
      </c>
      <c r="X742" s="336" t="s">
        <v>465</v>
      </c>
      <c r="Y742" s="352" t="s">
        <v>141</v>
      </c>
      <c r="Z742" s="105">
        <v>23434</v>
      </c>
      <c r="AA742" s="107">
        <v>1301.8888888888869</v>
      </c>
      <c r="AB742" s="105" t="s">
        <v>478</v>
      </c>
    </row>
    <row r="743" spans="1:28">
      <c r="A743" s="105">
        <f t="shared" si="11"/>
        <v>742</v>
      </c>
      <c r="B743" s="107">
        <f>YEAR(Table6[[#This Row],[Date]])+IF(MONTH(Table6[[#This Row],[Date]])&gt;=4,1,0)</f>
        <v>2026</v>
      </c>
      <c r="C743" s="105">
        <f>YEAR(Table6[[#This Row],[Date]])</f>
        <v>2025</v>
      </c>
      <c r="D743" s="105" t="s">
        <v>490</v>
      </c>
      <c r="E743" s="119">
        <f>Table6[[#This Row],[Date]]-DAY(Table6[[#This Row],[Date]])+1</f>
        <v>45809</v>
      </c>
      <c r="F743" s="118">
        <v>45817</v>
      </c>
      <c r="G743" s="105" t="s">
        <v>152</v>
      </c>
      <c r="H743" s="39" t="str">
        <f>_xlfn.XLOOKUP(Table6[[#This Row],[Affected WTG]],'Basic Data'!$A:$A,'Basic Data'!$B:$B)</f>
        <v>PWEGPL</v>
      </c>
      <c r="I743" s="39" t="str">
        <f>_xlfn.XLOOKUP(Table6[[#This Row],[Affected WTG]],'Basic Data'!$A:$A,'Basic Data'!$C:$C)</f>
        <v>MSEDCL</v>
      </c>
      <c r="J743" s="345">
        <f>IFERROR(VLOOKUP(Table6[[#This Row],[Affected WTG]],'Basic Data'!$A$3:$E$56,5,0),"")</f>
        <v>2.564102564102564E-2</v>
      </c>
      <c r="K743" s="105">
        <v>5201</v>
      </c>
      <c r="L743" s="39" t="str">
        <f>IFERROR(VLOOKUP(Table6[[#This Row],[Error Code]],'Basic Data'!$T:$U,2,0),"")</f>
        <v>Magnetothermic Trigger Of The Stator Protection</v>
      </c>
      <c r="M743" s="346" t="s">
        <v>462</v>
      </c>
      <c r="N743" s="39" t="s">
        <v>1270</v>
      </c>
      <c r="O743" s="347">
        <v>0.44583333333333336</v>
      </c>
      <c r="P743" s="347">
        <v>0.47499999999999998</v>
      </c>
      <c r="Q743" s="347">
        <v>0.52083333333333337</v>
      </c>
      <c r="R743" s="348">
        <f>IF(Table6[[#This Row],[Work Start TimeStamp]]="","",(Table6[[#This Row],[Work Start TimeStamp]]-Table6[[#This Row],[Fault Start TimeStamp]])*24)</f>
        <v>0.69999999999999885</v>
      </c>
      <c r="S743" s="349">
        <f>(Table6[[#This Row],[Fault Clearance time]]-Table6[[#This Row],[Work Start TimeStamp]])*24</f>
        <v>1.1000000000000014</v>
      </c>
      <c r="T743" s="350">
        <f>(Table6[[#This Row],[Fault Clearance time]]-Table6[[#This Row],[Fault Start TimeStamp]])*24</f>
        <v>1.8000000000000003</v>
      </c>
      <c r="U743" s="346" t="s">
        <v>1229</v>
      </c>
      <c r="V743" s="351" t="s">
        <v>463</v>
      </c>
      <c r="W743" s="338">
        <f>Table6[[#This Row],[Breakdown Time]]*(1/39)</f>
        <v>4.6153846153846156E-2</v>
      </c>
      <c r="X743" s="336" t="s">
        <v>465</v>
      </c>
      <c r="Y743" s="352" t="s">
        <v>153</v>
      </c>
      <c r="Z743" s="105">
        <v>20145</v>
      </c>
      <c r="AA743" s="107">
        <v>1510.8750000000002</v>
      </c>
      <c r="AB743" s="105" t="s">
        <v>478</v>
      </c>
    </row>
    <row r="744" spans="1:28">
      <c r="A744" s="105">
        <f t="shared" si="11"/>
        <v>743</v>
      </c>
      <c r="B744" s="107">
        <f>YEAR(Table6[[#This Row],[Date]])+IF(MONTH(Table6[[#This Row],[Date]])&gt;=4,1,0)</f>
        <v>2026</v>
      </c>
      <c r="C744" s="105">
        <f>YEAR(Table6[[#This Row],[Date]])</f>
        <v>2025</v>
      </c>
      <c r="D744" s="105" t="s">
        <v>490</v>
      </c>
      <c r="E744" s="119">
        <f>Table6[[#This Row],[Date]]-DAY(Table6[[#This Row],[Date]])+1</f>
        <v>45809</v>
      </c>
      <c r="F744" s="118">
        <v>45817</v>
      </c>
      <c r="G744" s="105" t="s">
        <v>140</v>
      </c>
      <c r="H744" s="39" t="str">
        <f>_xlfn.XLOOKUP(Table6[[#This Row],[Affected WTG]],'Basic Data'!$A:$A,'Basic Data'!$B:$B)</f>
        <v>PWEGPL</v>
      </c>
      <c r="I744" s="39" t="str">
        <f>_xlfn.XLOOKUP(Table6[[#This Row],[Affected WTG]],'Basic Data'!$A:$A,'Basic Data'!$C:$C)</f>
        <v>MSEDCL</v>
      </c>
      <c r="J744" s="345">
        <f>IFERROR(VLOOKUP(Table6[[#This Row],[Affected WTG]],'Basic Data'!$A$3:$E$56,5,0),"")</f>
        <v>2.564102564102564E-2</v>
      </c>
      <c r="K744" s="105" t="s">
        <v>492</v>
      </c>
      <c r="L744" s="39" t="str">
        <f>IFERROR(VLOOKUP(Table6[[#This Row],[Error Code]],'Basic Data'!$T:$U,2,0),"")</f>
        <v>Manual Stop - Safety Related</v>
      </c>
      <c r="M744" s="346" t="s">
        <v>481</v>
      </c>
      <c r="N744" s="39" t="s">
        <v>230</v>
      </c>
      <c r="O744" s="347">
        <v>0.58680555555555558</v>
      </c>
      <c r="P744" s="347">
        <v>0.58680555555555558</v>
      </c>
      <c r="Q744" s="347">
        <v>0.71875</v>
      </c>
      <c r="R744" s="348">
        <f>IF(Table6[[#This Row],[Work Start TimeStamp]]="","",(Table6[[#This Row],[Work Start TimeStamp]]-Table6[[#This Row],[Fault Start TimeStamp]])*24)</f>
        <v>0</v>
      </c>
      <c r="S744" s="349">
        <f>(Table6[[#This Row],[Fault Clearance time]]-Table6[[#This Row],[Work Start TimeStamp]])*24</f>
        <v>3.1666666666666661</v>
      </c>
      <c r="T744" s="350">
        <f>(Table6[[#This Row],[Fault Clearance time]]-Table6[[#This Row],[Fault Start TimeStamp]])*24</f>
        <v>3.1666666666666661</v>
      </c>
      <c r="U744" s="346" t="s">
        <v>508</v>
      </c>
      <c r="V744" s="351" t="s">
        <v>463</v>
      </c>
      <c r="W744" s="338">
        <f>Table6[[#This Row],[Breakdown Time]]*(1/39)</f>
        <v>8.1196581196581172E-2</v>
      </c>
      <c r="X744" s="336" t="s">
        <v>468</v>
      </c>
      <c r="Y744" s="352" t="s">
        <v>138</v>
      </c>
      <c r="Z744" s="105">
        <v>23421</v>
      </c>
      <c r="AA744" s="107">
        <v>3090.2708333333326</v>
      </c>
      <c r="AB744" s="105" t="s">
        <v>478</v>
      </c>
    </row>
    <row r="745" spans="1:28">
      <c r="A745" s="105">
        <f t="shared" si="11"/>
        <v>744</v>
      </c>
      <c r="B745" s="107">
        <f>YEAR(Table6[[#This Row],[Date]])+IF(MONTH(Table6[[#This Row],[Date]])&gt;=4,1,0)</f>
        <v>2026</v>
      </c>
      <c r="C745" s="105">
        <f>YEAR(Table6[[#This Row],[Date]])</f>
        <v>2025</v>
      </c>
      <c r="D745" s="105" t="s">
        <v>490</v>
      </c>
      <c r="E745" s="119">
        <f>Table6[[#This Row],[Date]]-DAY(Table6[[#This Row],[Date]])+1</f>
        <v>45809</v>
      </c>
      <c r="F745" s="118">
        <v>45818</v>
      </c>
      <c r="G745" s="105" t="s">
        <v>144</v>
      </c>
      <c r="H745" s="39" t="str">
        <f>_xlfn.XLOOKUP(Table6[[#This Row],[Affected WTG]],'Basic Data'!$A:$A,'Basic Data'!$B:$B)</f>
        <v>PWEGPL</v>
      </c>
      <c r="I745" s="39" t="str">
        <f>_xlfn.XLOOKUP(Table6[[#This Row],[Affected WTG]],'Basic Data'!$A:$A,'Basic Data'!$C:$C)</f>
        <v>MSEDCL</v>
      </c>
      <c r="J745" s="345">
        <f>IFERROR(VLOOKUP(Table6[[#This Row],[Affected WTG]],'Basic Data'!$A$3:$E$56,5,0),"")</f>
        <v>2.564102564102564E-2</v>
      </c>
      <c r="K745" s="105" t="s">
        <v>492</v>
      </c>
      <c r="L745" s="39" t="str">
        <f>IFERROR(VLOOKUP(Table6[[#This Row],[Error Code]],'Basic Data'!$T:$U,2,0),"")</f>
        <v>Manual Stop - Safety Related</v>
      </c>
      <c r="M745" s="346" t="s">
        <v>481</v>
      </c>
      <c r="N745" s="39" t="s">
        <v>1269</v>
      </c>
      <c r="O745" s="347">
        <v>0</v>
      </c>
      <c r="P745" s="347">
        <v>0.99998842592592596</v>
      </c>
      <c r="Q745" s="347">
        <v>0.99998842592592596</v>
      </c>
      <c r="R745" s="348">
        <f>IF(Table6[[#This Row],[Work Start TimeStamp]]="","",(Table6[[#This Row],[Work Start TimeStamp]]-Table6[[#This Row],[Fault Start TimeStamp]])*24)</f>
        <v>23.999722222222225</v>
      </c>
      <c r="S745" s="349">
        <f>(Table6[[#This Row],[Fault Clearance time]]-Table6[[#This Row],[Work Start TimeStamp]])*24</f>
        <v>0</v>
      </c>
      <c r="T745" s="350">
        <f>(Table6[[#This Row],[Fault Clearance time]]-Table6[[#This Row],[Fault Start TimeStamp]])*24</f>
        <v>23.999722222222225</v>
      </c>
      <c r="U745" s="346" t="s">
        <v>498</v>
      </c>
      <c r="V745" s="351" t="s">
        <v>473</v>
      </c>
      <c r="W745" s="338">
        <f>Table6[[#This Row],[Breakdown Time]]*(1/39)</f>
        <v>0.61537749287749288</v>
      </c>
      <c r="X745" s="336" t="s">
        <v>468</v>
      </c>
      <c r="Y745" s="352" t="s">
        <v>141</v>
      </c>
      <c r="Z745" s="105">
        <v>12689</v>
      </c>
      <c r="AA745" s="107">
        <v>12688.853136574076</v>
      </c>
      <c r="AB745" s="105" t="s">
        <v>478</v>
      </c>
    </row>
    <row r="746" spans="1:28">
      <c r="A746" s="105">
        <f t="shared" si="11"/>
        <v>745</v>
      </c>
      <c r="B746" s="107">
        <f>YEAR(Table6[[#This Row],[Date]])+IF(MONTH(Table6[[#This Row],[Date]])&gt;=4,1,0)</f>
        <v>2026</v>
      </c>
      <c r="C746" s="105">
        <f>YEAR(Table6[[#This Row],[Date]])</f>
        <v>2025</v>
      </c>
      <c r="D746" s="105" t="s">
        <v>490</v>
      </c>
      <c r="E746" s="119">
        <f>Table6[[#This Row],[Date]]-DAY(Table6[[#This Row],[Date]])+1</f>
        <v>45809</v>
      </c>
      <c r="F746" s="118">
        <v>45818</v>
      </c>
      <c r="G746" s="105" t="s">
        <v>142</v>
      </c>
      <c r="H746" s="39" t="str">
        <f>_xlfn.XLOOKUP(Table6[[#This Row],[Affected WTG]],'Basic Data'!$A:$A,'Basic Data'!$B:$B)</f>
        <v>PWEGPL</v>
      </c>
      <c r="I746" s="39" t="str">
        <f>_xlfn.XLOOKUP(Table6[[#This Row],[Affected WTG]],'Basic Data'!$A:$A,'Basic Data'!$C:$C)</f>
        <v>MSEDCL</v>
      </c>
      <c r="J746" s="345">
        <f>IFERROR(VLOOKUP(Table6[[#This Row],[Affected WTG]],'Basic Data'!$A$3:$E$56,5,0),"")</f>
        <v>2.564102564102564E-2</v>
      </c>
      <c r="K746" s="105" t="s">
        <v>492</v>
      </c>
      <c r="L746" s="39" t="str">
        <f>IFERROR(VLOOKUP(Table6[[#This Row],[Error Code]],'Basic Data'!$T:$U,2,0),"")</f>
        <v>Manual Stop - Safety Related</v>
      </c>
      <c r="M746" s="346" t="s">
        <v>481</v>
      </c>
      <c r="N746" s="39" t="s">
        <v>1269</v>
      </c>
      <c r="O746" s="347">
        <v>0</v>
      </c>
      <c r="P746" s="347">
        <v>0.99998842592592596</v>
      </c>
      <c r="Q746" s="347">
        <v>0.99998842592592596</v>
      </c>
      <c r="R746" s="348">
        <f>IF(Table6[[#This Row],[Work Start TimeStamp]]="","",(Table6[[#This Row],[Work Start TimeStamp]]-Table6[[#This Row],[Fault Start TimeStamp]])*24)</f>
        <v>23.999722222222225</v>
      </c>
      <c r="S746" s="349">
        <f>(Table6[[#This Row],[Fault Clearance time]]-Table6[[#This Row],[Work Start TimeStamp]])*24</f>
        <v>0</v>
      </c>
      <c r="T746" s="350">
        <f>(Table6[[#This Row],[Fault Clearance time]]-Table6[[#This Row],[Fault Start TimeStamp]])*24</f>
        <v>23.999722222222225</v>
      </c>
      <c r="U746" s="346" t="s">
        <v>498</v>
      </c>
      <c r="V746" s="351" t="s">
        <v>473</v>
      </c>
      <c r="W746" s="338">
        <f>Table6[[#This Row],[Breakdown Time]]*(1/39)</f>
        <v>0.61537749287749288</v>
      </c>
      <c r="X746" s="336" t="s">
        <v>468</v>
      </c>
      <c r="Y746" s="352" t="s">
        <v>141</v>
      </c>
      <c r="Z746" s="105">
        <v>12689</v>
      </c>
      <c r="AA746" s="107">
        <v>12688.853136574076</v>
      </c>
      <c r="AB746" s="105" t="s">
        <v>478</v>
      </c>
    </row>
    <row r="747" spans="1:28">
      <c r="A747" s="105">
        <f t="shared" si="11"/>
        <v>746</v>
      </c>
      <c r="B747" s="107">
        <f>YEAR(Table6[[#This Row],[Date]])+IF(MONTH(Table6[[#This Row],[Date]])&gt;=4,1,0)</f>
        <v>2026</v>
      </c>
      <c r="C747" s="105">
        <f>YEAR(Table6[[#This Row],[Date]])</f>
        <v>2025</v>
      </c>
      <c r="D747" s="105" t="s">
        <v>490</v>
      </c>
      <c r="E747" s="119">
        <f>Table6[[#This Row],[Date]]-DAY(Table6[[#This Row],[Date]])+1</f>
        <v>45809</v>
      </c>
      <c r="F747" s="118">
        <v>45818</v>
      </c>
      <c r="G747" s="105" t="s">
        <v>116</v>
      </c>
      <c r="H747" s="39" t="str">
        <f>_xlfn.XLOOKUP(Table6[[#This Row],[Affected WTG]],'Basic Data'!$A:$A,'Basic Data'!$B:$B)</f>
        <v>PWEGPL</v>
      </c>
      <c r="I747" s="39" t="str">
        <f>_xlfn.XLOOKUP(Table6[[#This Row],[Affected WTG]],'Basic Data'!$A:$A,'Basic Data'!$C:$C)</f>
        <v>MSEDCL</v>
      </c>
      <c r="J747" s="345">
        <f>IFERROR(VLOOKUP(Table6[[#This Row],[Affected WTG]],'Basic Data'!$A$3:$E$56,5,0),"")</f>
        <v>2.564102564102564E-2</v>
      </c>
      <c r="K747" s="105" t="s">
        <v>476</v>
      </c>
      <c r="L747" s="39" t="str">
        <f>IFERROR(VLOOKUP(Table6[[#This Row],[Error Code]],'Basic Data'!$T:$U,2,0),"")</f>
        <v>Manual Stop - Preventive Maintenance Activity</v>
      </c>
      <c r="M747" s="346" t="s">
        <v>474</v>
      </c>
      <c r="N747" s="39" t="s">
        <v>230</v>
      </c>
      <c r="O747" s="347">
        <v>0.49652777777777779</v>
      </c>
      <c r="P747" s="347">
        <v>0.49652777777777779</v>
      </c>
      <c r="Q747" s="347">
        <v>0.78055555555555556</v>
      </c>
      <c r="R747" s="348">
        <f>IF(Table6[[#This Row],[Work Start TimeStamp]]="","",(Table6[[#This Row],[Work Start TimeStamp]]-Table6[[#This Row],[Fault Start TimeStamp]])*24)</f>
        <v>0</v>
      </c>
      <c r="S747" s="349">
        <f>(Table6[[#This Row],[Fault Clearance time]]-Table6[[#This Row],[Work Start TimeStamp]])*24</f>
        <v>6.8166666666666664</v>
      </c>
      <c r="T747" s="350">
        <f>(Table6[[#This Row],[Fault Clearance time]]-Table6[[#This Row],[Fault Start TimeStamp]])*24</f>
        <v>6.8166666666666664</v>
      </c>
      <c r="U747" s="346" t="s">
        <v>582</v>
      </c>
      <c r="V747" s="351" t="s">
        <v>463</v>
      </c>
      <c r="W747" s="338">
        <f>Table6[[#This Row],[Breakdown Time]]*(1/39)</f>
        <v>0.17478632478632478</v>
      </c>
      <c r="X747" s="336" t="s">
        <v>467</v>
      </c>
      <c r="Y747" s="352" t="s">
        <v>118</v>
      </c>
      <c r="Z747" s="105">
        <v>13335</v>
      </c>
      <c r="AA747" s="107">
        <v>3787.5104166666665</v>
      </c>
      <c r="AB747" s="105" t="s">
        <v>478</v>
      </c>
    </row>
    <row r="748" spans="1:28">
      <c r="A748" s="105">
        <f t="shared" si="11"/>
        <v>747</v>
      </c>
      <c r="B748" s="107">
        <f>YEAR(Table6[[#This Row],[Date]])+IF(MONTH(Table6[[#This Row],[Date]])&gt;=4,1,0)</f>
        <v>2026</v>
      </c>
      <c r="C748" s="105">
        <f>YEAR(Table6[[#This Row],[Date]])</f>
        <v>2025</v>
      </c>
      <c r="D748" s="105" t="s">
        <v>490</v>
      </c>
      <c r="E748" s="119">
        <f>Table6[[#This Row],[Date]]-DAY(Table6[[#This Row],[Date]])+1</f>
        <v>45809</v>
      </c>
      <c r="F748" s="118">
        <v>45818</v>
      </c>
      <c r="G748" s="105" t="s">
        <v>128</v>
      </c>
      <c r="H748" s="39" t="str">
        <f>_xlfn.XLOOKUP(Table6[[#This Row],[Affected WTG]],'Basic Data'!$A:$A,'Basic Data'!$B:$B)</f>
        <v>PWEGPL</v>
      </c>
      <c r="I748" s="39" t="str">
        <f>_xlfn.XLOOKUP(Table6[[#This Row],[Affected WTG]],'Basic Data'!$A:$A,'Basic Data'!$C:$C)</f>
        <v>MSEDCL</v>
      </c>
      <c r="J748" s="345">
        <f>IFERROR(VLOOKUP(Table6[[#This Row],[Affected WTG]],'Basic Data'!$A$3:$E$56,5,0),"")</f>
        <v>2.564102564102564E-2</v>
      </c>
      <c r="K748" s="105">
        <v>203</v>
      </c>
      <c r="L748" s="39" t="str">
        <f>IFERROR(VLOOKUP(Table6[[#This Row],[Error Code]],'Basic Data'!$T:$U,2,0),"")</f>
        <v>Low Pressure On Hydraulic Group</v>
      </c>
      <c r="M748" s="346" t="s">
        <v>462</v>
      </c>
      <c r="N748" s="39" t="s">
        <v>1270</v>
      </c>
      <c r="O748" s="347">
        <v>0.64583333333333337</v>
      </c>
      <c r="P748" s="347">
        <v>0.67013888888888884</v>
      </c>
      <c r="Q748" s="347">
        <v>0.82638888888888884</v>
      </c>
      <c r="R748" s="348">
        <f>IF(Table6[[#This Row],[Work Start TimeStamp]]="","",(Table6[[#This Row],[Work Start TimeStamp]]-Table6[[#This Row],[Fault Start TimeStamp]])*24)</f>
        <v>0.58333333333333126</v>
      </c>
      <c r="S748" s="349">
        <f>(Table6[[#This Row],[Fault Clearance time]]-Table6[[#This Row],[Work Start TimeStamp]])*24</f>
        <v>3.75</v>
      </c>
      <c r="T748" s="350">
        <f>(Table6[[#This Row],[Fault Clearance time]]-Table6[[#This Row],[Fault Start TimeStamp]])*24</f>
        <v>4.3333333333333313</v>
      </c>
      <c r="U748" s="346" t="s">
        <v>1230</v>
      </c>
      <c r="V748" s="351" t="s">
        <v>463</v>
      </c>
      <c r="W748" s="338">
        <f>Table6[[#This Row],[Breakdown Time]]*(1/39)</f>
        <v>0.11111111111111105</v>
      </c>
      <c r="X748" s="336" t="s">
        <v>465</v>
      </c>
      <c r="Y748" s="352" t="s">
        <v>127</v>
      </c>
      <c r="Z748" s="105">
        <v>22342</v>
      </c>
      <c r="AA748" s="107">
        <v>4033.9722222222204</v>
      </c>
      <c r="AB748" s="105" t="s">
        <v>478</v>
      </c>
    </row>
    <row r="749" spans="1:28">
      <c r="A749" s="105">
        <f t="shared" si="11"/>
        <v>748</v>
      </c>
      <c r="B749" s="107">
        <f>YEAR(Table6[[#This Row],[Date]])+IF(MONTH(Table6[[#This Row],[Date]])&gt;=4,1,0)</f>
        <v>2026</v>
      </c>
      <c r="C749" s="105">
        <f>YEAR(Table6[[#This Row],[Date]])</f>
        <v>2025</v>
      </c>
      <c r="D749" s="105" t="s">
        <v>490</v>
      </c>
      <c r="E749" s="119">
        <f>Table6[[#This Row],[Date]]-DAY(Table6[[#This Row],[Date]])+1</f>
        <v>45809</v>
      </c>
      <c r="F749" s="118">
        <v>45818</v>
      </c>
      <c r="G749" s="105" t="s">
        <v>129</v>
      </c>
      <c r="H749" s="39" t="str">
        <f>_xlfn.XLOOKUP(Table6[[#This Row],[Affected WTG]],'Basic Data'!$A:$A,'Basic Data'!$B:$B)</f>
        <v>PWEGPL</v>
      </c>
      <c r="I749" s="39" t="str">
        <f>_xlfn.XLOOKUP(Table6[[#This Row],[Affected WTG]],'Basic Data'!$A:$A,'Basic Data'!$C:$C)</f>
        <v>MSEDCL</v>
      </c>
      <c r="J749" s="345">
        <f>IFERROR(VLOOKUP(Table6[[#This Row],[Affected WTG]],'Basic Data'!$A$3:$E$56,5,0),"")</f>
        <v>2.564102564102564E-2</v>
      </c>
      <c r="K749" s="105" t="s">
        <v>466</v>
      </c>
      <c r="L749" s="39" t="str">
        <f>IFERROR(VLOOKUP(Table6[[#This Row],[Error Code]],'Basic Data'!$T:$U,2,0),"")</f>
        <v>Manual Stop</v>
      </c>
      <c r="M749" s="346" t="s">
        <v>479</v>
      </c>
      <c r="N749" s="39" t="s">
        <v>230</v>
      </c>
      <c r="O749" s="347">
        <v>0.67708333333333337</v>
      </c>
      <c r="P749" s="347">
        <v>0.67708333333333337</v>
      </c>
      <c r="Q749" s="347">
        <v>0.74305555555555558</v>
      </c>
      <c r="R749" s="348">
        <f>IF(Table6[[#This Row],[Work Start TimeStamp]]="","",(Table6[[#This Row],[Work Start TimeStamp]]-Table6[[#This Row],[Fault Start TimeStamp]])*24)</f>
        <v>0</v>
      </c>
      <c r="S749" s="349">
        <f>(Table6[[#This Row],[Fault Clearance time]]-Table6[[#This Row],[Work Start TimeStamp]])*24</f>
        <v>1.583333333333333</v>
      </c>
      <c r="T749" s="350">
        <f>(Table6[[#This Row],[Fault Clearance time]]-Table6[[#This Row],[Fault Start TimeStamp]])*24</f>
        <v>1.583333333333333</v>
      </c>
      <c r="U749" s="346" t="s">
        <v>1231</v>
      </c>
      <c r="V749" s="351" t="s">
        <v>463</v>
      </c>
      <c r="W749" s="338">
        <f>Table6[[#This Row],[Breakdown Time]]*(1/39)</f>
        <v>4.0598290598290586E-2</v>
      </c>
      <c r="X749" s="336" t="s">
        <v>464</v>
      </c>
      <c r="Y749" s="352" t="s">
        <v>130</v>
      </c>
      <c r="Z749" s="105">
        <v>21522</v>
      </c>
      <c r="AA749" s="107">
        <v>1419.8541666666663</v>
      </c>
      <c r="AB749" s="105" t="s">
        <v>478</v>
      </c>
    </row>
    <row r="750" spans="1:28">
      <c r="A750" s="105">
        <f t="shared" si="11"/>
        <v>749</v>
      </c>
      <c r="B750" s="107">
        <f>YEAR(Table6[[#This Row],[Date]])+IF(MONTH(Table6[[#This Row],[Date]])&gt;=4,1,0)</f>
        <v>2026</v>
      </c>
      <c r="C750" s="105">
        <f>YEAR(Table6[[#This Row],[Date]])</f>
        <v>2025</v>
      </c>
      <c r="D750" s="105" t="s">
        <v>490</v>
      </c>
      <c r="E750" s="119">
        <f>Table6[[#This Row],[Date]]-DAY(Table6[[#This Row],[Date]])+1</f>
        <v>45809</v>
      </c>
      <c r="F750" s="118">
        <v>45818</v>
      </c>
      <c r="G750" s="105" t="s">
        <v>130</v>
      </c>
      <c r="H750" s="39" t="str">
        <f>_xlfn.XLOOKUP(Table6[[#This Row],[Affected WTG]],'Basic Data'!$A:$A,'Basic Data'!$B:$B)</f>
        <v>PWEGPL</v>
      </c>
      <c r="I750" s="39" t="str">
        <f>_xlfn.XLOOKUP(Table6[[#This Row],[Affected WTG]],'Basic Data'!$A:$A,'Basic Data'!$C:$C)</f>
        <v>MSEDCL</v>
      </c>
      <c r="J750" s="345">
        <f>IFERROR(VLOOKUP(Table6[[#This Row],[Affected WTG]],'Basic Data'!$A$3:$E$56,5,0),"")</f>
        <v>2.564102564102564E-2</v>
      </c>
      <c r="K750" s="105" t="s">
        <v>466</v>
      </c>
      <c r="L750" s="39" t="str">
        <f>IFERROR(VLOOKUP(Table6[[#This Row],[Error Code]],'Basic Data'!$T:$U,2,0),"")</f>
        <v>Manual Stop</v>
      </c>
      <c r="M750" s="346" t="s">
        <v>479</v>
      </c>
      <c r="N750" s="39" t="s">
        <v>230</v>
      </c>
      <c r="O750" s="347">
        <v>0.4777777777777778</v>
      </c>
      <c r="P750" s="347">
        <v>0.4777777777777778</v>
      </c>
      <c r="Q750" s="347">
        <v>0.53472222222222221</v>
      </c>
      <c r="R750" s="348">
        <f>IF(Table6[[#This Row],[Work Start TimeStamp]]="","",(Table6[[#This Row],[Work Start TimeStamp]]-Table6[[#This Row],[Fault Start TimeStamp]])*24)</f>
        <v>0</v>
      </c>
      <c r="S750" s="349">
        <f>(Table6[[#This Row],[Fault Clearance time]]-Table6[[#This Row],[Work Start TimeStamp]])*24</f>
        <v>1.3666666666666658</v>
      </c>
      <c r="T750" s="350">
        <f>(Table6[[#This Row],[Fault Clearance time]]-Table6[[#This Row],[Fault Start TimeStamp]])*24</f>
        <v>1.3666666666666658</v>
      </c>
      <c r="U750" s="346" t="s">
        <v>1231</v>
      </c>
      <c r="V750" s="351" t="s">
        <v>463</v>
      </c>
      <c r="W750" s="338">
        <f>Table6[[#This Row],[Breakdown Time]]*(1/39)</f>
        <v>3.5042735042735022E-2</v>
      </c>
      <c r="X750" s="336" t="s">
        <v>464</v>
      </c>
      <c r="Y750" s="352" t="s">
        <v>131</v>
      </c>
      <c r="Z750" s="105">
        <v>22321</v>
      </c>
      <c r="AA750" s="107">
        <v>1271.0569444444436</v>
      </c>
      <c r="AB750" s="105" t="s">
        <v>478</v>
      </c>
    </row>
    <row r="751" spans="1:28">
      <c r="A751" s="105">
        <f t="shared" si="11"/>
        <v>750</v>
      </c>
      <c r="B751" s="107">
        <f>YEAR(Table6[[#This Row],[Date]])+IF(MONTH(Table6[[#This Row],[Date]])&gt;=4,1,0)</f>
        <v>2026</v>
      </c>
      <c r="C751" s="105">
        <f>YEAR(Table6[[#This Row],[Date]])</f>
        <v>2025</v>
      </c>
      <c r="D751" s="105" t="s">
        <v>490</v>
      </c>
      <c r="E751" s="119">
        <f>Table6[[#This Row],[Date]]-DAY(Table6[[#This Row],[Date]])+1</f>
        <v>45809</v>
      </c>
      <c r="F751" s="118">
        <v>45818</v>
      </c>
      <c r="G751" s="105" t="s">
        <v>134</v>
      </c>
      <c r="H751" s="39" t="str">
        <f>_xlfn.XLOOKUP(Table6[[#This Row],[Affected WTG]],'Basic Data'!$A:$A,'Basic Data'!$B:$B)</f>
        <v>PWEGPL</v>
      </c>
      <c r="I751" s="39" t="str">
        <f>_xlfn.XLOOKUP(Table6[[#This Row],[Affected WTG]],'Basic Data'!$A:$A,'Basic Data'!$C:$C)</f>
        <v>MSEDCL</v>
      </c>
      <c r="J751" s="345">
        <f>IFERROR(VLOOKUP(Table6[[#This Row],[Affected WTG]],'Basic Data'!$A$3:$E$56,5,0),"")</f>
        <v>2.564102564102564E-2</v>
      </c>
      <c r="K751" s="105">
        <v>2118</v>
      </c>
      <c r="L751" s="39" t="str">
        <f>IFERROR(VLOOKUP(Table6[[#This Row],[Error Code]],'Basic Data'!$T:$U,2,0),"")</f>
        <v>Bus Error - Interbus Failure</v>
      </c>
      <c r="M751" s="346" t="s">
        <v>462</v>
      </c>
      <c r="N751" s="39" t="s">
        <v>1270</v>
      </c>
      <c r="O751" s="347">
        <v>0.49305555555555558</v>
      </c>
      <c r="P751" s="347">
        <v>0.51388888888888884</v>
      </c>
      <c r="Q751" s="347">
        <v>0.59930555555555554</v>
      </c>
      <c r="R751" s="348">
        <f>IF(Table6[[#This Row],[Work Start TimeStamp]]="","",(Table6[[#This Row],[Work Start TimeStamp]]-Table6[[#This Row],[Fault Start TimeStamp]])*24)</f>
        <v>0.49999999999999822</v>
      </c>
      <c r="S751" s="349">
        <f>(Table6[[#This Row],[Fault Clearance time]]-Table6[[#This Row],[Work Start TimeStamp]])*24</f>
        <v>2.0500000000000007</v>
      </c>
      <c r="T751" s="350">
        <f>(Table6[[#This Row],[Fault Clearance time]]-Table6[[#This Row],[Fault Start TimeStamp]])*24</f>
        <v>2.5499999999999989</v>
      </c>
      <c r="U751" s="346" t="s">
        <v>1232</v>
      </c>
      <c r="V751" s="351" t="s">
        <v>463</v>
      </c>
      <c r="W751" s="338">
        <f>Table6[[#This Row],[Breakdown Time]]*(1/39)</f>
        <v>6.538461538461536E-2</v>
      </c>
      <c r="X751" s="336" t="s">
        <v>465</v>
      </c>
      <c r="Y751" s="352" t="s">
        <v>133</v>
      </c>
      <c r="Z751" s="105">
        <v>22345</v>
      </c>
      <c r="AA751" s="107">
        <v>2374.1562499999991</v>
      </c>
      <c r="AB751" s="105" t="s">
        <v>478</v>
      </c>
    </row>
    <row r="752" spans="1:28">
      <c r="A752" s="105">
        <f t="shared" si="11"/>
        <v>751</v>
      </c>
      <c r="B752" s="107">
        <f>YEAR(Table6[[#This Row],[Date]])+IF(MONTH(Table6[[#This Row],[Date]])&gt;=4,1,0)</f>
        <v>2026</v>
      </c>
      <c r="C752" s="105">
        <f>YEAR(Table6[[#This Row],[Date]])</f>
        <v>2025</v>
      </c>
      <c r="D752" s="105" t="s">
        <v>490</v>
      </c>
      <c r="E752" s="119">
        <f>Table6[[#This Row],[Date]]-DAY(Table6[[#This Row],[Date]])+1</f>
        <v>45809</v>
      </c>
      <c r="F752" s="118">
        <v>45818</v>
      </c>
      <c r="G752" s="105" t="s">
        <v>137</v>
      </c>
      <c r="H752" s="39" t="str">
        <f>_xlfn.XLOOKUP(Table6[[#This Row],[Affected WTG]],'Basic Data'!$A:$A,'Basic Data'!$B:$B)</f>
        <v>PWEGPL</v>
      </c>
      <c r="I752" s="39" t="str">
        <f>_xlfn.XLOOKUP(Table6[[#This Row],[Affected WTG]],'Basic Data'!$A:$A,'Basic Data'!$C:$C)</f>
        <v>MSEDCL</v>
      </c>
      <c r="J752" s="345">
        <f>IFERROR(VLOOKUP(Table6[[#This Row],[Affected WTG]],'Basic Data'!$A$3:$E$56,5,0),"")</f>
        <v>2.564102564102564E-2</v>
      </c>
      <c r="K752" s="105">
        <v>502</v>
      </c>
      <c r="L752" s="39" t="str">
        <f>IFERROR(VLOOKUP(Table6[[#This Row],[Error Code]],'Basic Data'!$T:$U,2,0),"")</f>
        <v>Generator NDE Bearing High Temperature Alarm</v>
      </c>
      <c r="M752" s="346" t="s">
        <v>462</v>
      </c>
      <c r="N752" s="39" t="s">
        <v>1270</v>
      </c>
      <c r="O752" s="347">
        <v>0.39930555555555558</v>
      </c>
      <c r="P752" s="347">
        <v>0.49166666666666664</v>
      </c>
      <c r="Q752" s="347">
        <v>0.59027777777777779</v>
      </c>
      <c r="R752" s="348">
        <f>IF(Table6[[#This Row],[Work Start TimeStamp]]="","",(Table6[[#This Row],[Work Start TimeStamp]]-Table6[[#This Row],[Fault Start TimeStamp]])*24)</f>
        <v>2.2166666666666655</v>
      </c>
      <c r="S752" s="349">
        <f>(Table6[[#This Row],[Fault Clearance time]]-Table6[[#This Row],[Work Start TimeStamp]])*24</f>
        <v>2.3666666666666676</v>
      </c>
      <c r="T752" s="350">
        <f>(Table6[[#This Row],[Fault Clearance time]]-Table6[[#This Row],[Fault Start TimeStamp]])*24</f>
        <v>4.583333333333333</v>
      </c>
      <c r="U752" s="346" t="s">
        <v>1233</v>
      </c>
      <c r="V752" s="351" t="s">
        <v>463</v>
      </c>
      <c r="W752" s="338">
        <f>Table6[[#This Row],[Breakdown Time]]*(1/39)</f>
        <v>0.11752136752136751</v>
      </c>
      <c r="X752" s="336" t="s">
        <v>465</v>
      </c>
      <c r="Y752" s="352" t="s">
        <v>119</v>
      </c>
      <c r="Z752" s="105">
        <v>12629</v>
      </c>
      <c r="AA752" s="107">
        <v>2411.7881944444443</v>
      </c>
      <c r="AB752" s="105" t="s">
        <v>478</v>
      </c>
    </row>
    <row r="753" spans="1:28">
      <c r="A753" s="105">
        <f t="shared" si="11"/>
        <v>752</v>
      </c>
      <c r="B753" s="107">
        <f>YEAR(Table6[[#This Row],[Date]])+IF(MONTH(Table6[[#This Row],[Date]])&gt;=4,1,0)</f>
        <v>2026</v>
      </c>
      <c r="C753" s="105">
        <f>YEAR(Table6[[#This Row],[Date]])</f>
        <v>2025</v>
      </c>
      <c r="D753" s="105" t="s">
        <v>490</v>
      </c>
      <c r="E753" s="119">
        <f>Table6[[#This Row],[Date]]-DAY(Table6[[#This Row],[Date]])+1</f>
        <v>45809</v>
      </c>
      <c r="F753" s="118">
        <v>45819</v>
      </c>
      <c r="G753" s="105" t="s">
        <v>144</v>
      </c>
      <c r="H753" s="39" t="str">
        <f>_xlfn.XLOOKUP(Table6[[#This Row],[Affected WTG]],'Basic Data'!$A:$A,'Basic Data'!$B:$B)</f>
        <v>PWEGPL</v>
      </c>
      <c r="I753" s="39" t="str">
        <f>_xlfn.XLOOKUP(Table6[[#This Row],[Affected WTG]],'Basic Data'!$A:$A,'Basic Data'!$C:$C)</f>
        <v>MSEDCL</v>
      </c>
      <c r="J753" s="345">
        <f>IFERROR(VLOOKUP(Table6[[#This Row],[Affected WTG]],'Basic Data'!$A$3:$E$56,5,0),"")</f>
        <v>2.564102564102564E-2</v>
      </c>
      <c r="K753" s="105" t="s">
        <v>492</v>
      </c>
      <c r="L753" s="39" t="str">
        <f>IFERROR(VLOOKUP(Table6[[#This Row],[Error Code]],'Basic Data'!$T:$U,2,0),"")</f>
        <v>Manual Stop - Safety Related</v>
      </c>
      <c r="M753" s="346" t="s">
        <v>481</v>
      </c>
      <c r="N753" s="39" t="s">
        <v>1269</v>
      </c>
      <c r="O753" s="347">
        <v>0</v>
      </c>
      <c r="P753" s="347">
        <v>0.99998842592592596</v>
      </c>
      <c r="Q753" s="347">
        <v>0.99998842592592596</v>
      </c>
      <c r="R753" s="348">
        <f>IF(Table6[[#This Row],[Work Start TimeStamp]]="","",(Table6[[#This Row],[Work Start TimeStamp]]-Table6[[#This Row],[Fault Start TimeStamp]])*24)</f>
        <v>23.999722222222225</v>
      </c>
      <c r="S753" s="349">
        <f>(Table6[[#This Row],[Fault Clearance time]]-Table6[[#This Row],[Work Start TimeStamp]])*24</f>
        <v>0</v>
      </c>
      <c r="T753" s="350">
        <f>(Table6[[#This Row],[Fault Clearance time]]-Table6[[#This Row],[Fault Start TimeStamp]])*24</f>
        <v>23.999722222222225</v>
      </c>
      <c r="U753" s="346" t="s">
        <v>498</v>
      </c>
      <c r="V753" s="351" t="s">
        <v>473</v>
      </c>
      <c r="W753" s="338">
        <f>Table6[[#This Row],[Breakdown Time]]*(1/39)</f>
        <v>0.61537749287749288</v>
      </c>
      <c r="X753" s="336" t="s">
        <v>468</v>
      </c>
      <c r="Y753" s="352" t="s">
        <v>141</v>
      </c>
      <c r="Z753" s="105">
        <v>14454</v>
      </c>
      <c r="AA753" s="107">
        <v>14453.832708333335</v>
      </c>
      <c r="AB753" s="105" t="s">
        <v>478</v>
      </c>
    </row>
    <row r="754" spans="1:28">
      <c r="A754" s="105">
        <f t="shared" si="11"/>
        <v>753</v>
      </c>
      <c r="B754" s="107">
        <f>YEAR(Table6[[#This Row],[Date]])+IF(MONTH(Table6[[#This Row],[Date]])&gt;=4,1,0)</f>
        <v>2026</v>
      </c>
      <c r="C754" s="105">
        <f>YEAR(Table6[[#This Row],[Date]])</f>
        <v>2025</v>
      </c>
      <c r="D754" s="105" t="s">
        <v>490</v>
      </c>
      <c r="E754" s="119">
        <f>Table6[[#This Row],[Date]]-DAY(Table6[[#This Row],[Date]])+1</f>
        <v>45809</v>
      </c>
      <c r="F754" s="118">
        <v>45819</v>
      </c>
      <c r="G754" s="105" t="s">
        <v>142</v>
      </c>
      <c r="H754" s="39" t="str">
        <f>_xlfn.XLOOKUP(Table6[[#This Row],[Affected WTG]],'Basic Data'!$A:$A,'Basic Data'!$B:$B)</f>
        <v>PWEGPL</v>
      </c>
      <c r="I754" s="39" t="str">
        <f>_xlfn.XLOOKUP(Table6[[#This Row],[Affected WTG]],'Basic Data'!$A:$A,'Basic Data'!$C:$C)</f>
        <v>MSEDCL</v>
      </c>
      <c r="J754" s="345">
        <f>IFERROR(VLOOKUP(Table6[[#This Row],[Affected WTG]],'Basic Data'!$A$3:$E$56,5,0),"")</f>
        <v>2.564102564102564E-2</v>
      </c>
      <c r="K754" s="105" t="s">
        <v>492</v>
      </c>
      <c r="L754" s="39" t="str">
        <f>IFERROR(VLOOKUP(Table6[[#This Row],[Error Code]],'Basic Data'!$T:$U,2,0),"")</f>
        <v>Manual Stop - Safety Related</v>
      </c>
      <c r="M754" s="346" t="s">
        <v>481</v>
      </c>
      <c r="N754" s="39" t="s">
        <v>1269</v>
      </c>
      <c r="O754" s="347">
        <v>0</v>
      </c>
      <c r="P754" s="347">
        <v>0.99998842592592596</v>
      </c>
      <c r="Q754" s="347">
        <v>0.99998842592592596</v>
      </c>
      <c r="R754" s="348">
        <f>IF(Table6[[#This Row],[Work Start TimeStamp]]="","",(Table6[[#This Row],[Work Start TimeStamp]]-Table6[[#This Row],[Fault Start TimeStamp]])*24)</f>
        <v>23.999722222222225</v>
      </c>
      <c r="S754" s="349">
        <f>(Table6[[#This Row],[Fault Clearance time]]-Table6[[#This Row],[Work Start TimeStamp]])*24</f>
        <v>0</v>
      </c>
      <c r="T754" s="350">
        <f>(Table6[[#This Row],[Fault Clearance time]]-Table6[[#This Row],[Fault Start TimeStamp]])*24</f>
        <v>23.999722222222225</v>
      </c>
      <c r="U754" s="346" t="s">
        <v>498</v>
      </c>
      <c r="V754" s="351" t="s">
        <v>473</v>
      </c>
      <c r="W754" s="338">
        <f>Table6[[#This Row],[Breakdown Time]]*(1/39)</f>
        <v>0.61537749287749288</v>
      </c>
      <c r="X754" s="336" t="s">
        <v>468</v>
      </c>
      <c r="Y754" s="352" t="s">
        <v>141</v>
      </c>
      <c r="Z754" s="105">
        <v>14454</v>
      </c>
      <c r="AA754" s="107">
        <v>14453.832708333335</v>
      </c>
      <c r="AB754" s="105" t="s">
        <v>478</v>
      </c>
    </row>
    <row r="755" spans="1:28">
      <c r="A755" s="105">
        <f t="shared" si="11"/>
        <v>754</v>
      </c>
      <c r="B755" s="107">
        <f>YEAR(Table6[[#This Row],[Date]])+IF(MONTH(Table6[[#This Row],[Date]])&gt;=4,1,0)</f>
        <v>2026</v>
      </c>
      <c r="C755" s="105">
        <f>YEAR(Table6[[#This Row],[Date]])</f>
        <v>2025</v>
      </c>
      <c r="D755" s="105" t="s">
        <v>490</v>
      </c>
      <c r="E755" s="119">
        <f>Table6[[#This Row],[Date]]-DAY(Table6[[#This Row],[Date]])+1</f>
        <v>45809</v>
      </c>
      <c r="F755" s="118">
        <v>45819</v>
      </c>
      <c r="G755" s="105" t="s">
        <v>116</v>
      </c>
      <c r="H755" s="39" t="str">
        <f>_xlfn.XLOOKUP(Table6[[#This Row],[Affected WTG]],'Basic Data'!$A:$A,'Basic Data'!$B:$B)</f>
        <v>PWEGPL</v>
      </c>
      <c r="I755" s="39" t="str">
        <f>_xlfn.XLOOKUP(Table6[[#This Row],[Affected WTG]],'Basic Data'!$A:$A,'Basic Data'!$C:$C)</f>
        <v>MSEDCL</v>
      </c>
      <c r="J755" s="345">
        <f>IFERROR(VLOOKUP(Table6[[#This Row],[Affected WTG]],'Basic Data'!$A$3:$E$56,5,0),"")</f>
        <v>2.564102564102564E-2</v>
      </c>
      <c r="K755" s="105">
        <v>2100</v>
      </c>
      <c r="L755" s="39" t="str">
        <f>IFERROR(VLOOKUP(Table6[[#This Row],[Error Code]],'Basic Data'!$T:$U,2,0),"")</f>
        <v>PLC Voltage Recovery</v>
      </c>
      <c r="M755" s="346" t="s">
        <v>462</v>
      </c>
      <c r="N755" s="39" t="s">
        <v>1270</v>
      </c>
      <c r="O755" s="347">
        <v>0.69791666666666663</v>
      </c>
      <c r="P755" s="347">
        <v>0.7270833333333333</v>
      </c>
      <c r="Q755" s="347">
        <v>0.72777777777777775</v>
      </c>
      <c r="R755" s="348">
        <f>IF(Table6[[#This Row],[Work Start TimeStamp]]="","",(Table6[[#This Row],[Work Start TimeStamp]]-Table6[[#This Row],[Fault Start TimeStamp]])*24)</f>
        <v>0.70000000000000018</v>
      </c>
      <c r="S755" s="349">
        <f>(Table6[[#This Row],[Fault Clearance time]]-Table6[[#This Row],[Work Start TimeStamp]])*24</f>
        <v>1.6666666666666607E-2</v>
      </c>
      <c r="T755" s="350">
        <f>(Table6[[#This Row],[Fault Clearance time]]-Table6[[#This Row],[Fault Start TimeStamp]])*24</f>
        <v>0.71666666666666679</v>
      </c>
      <c r="U755" s="346" t="s">
        <v>493</v>
      </c>
      <c r="V755" s="351" t="s">
        <v>463</v>
      </c>
      <c r="W755" s="338">
        <f>Table6[[#This Row],[Breakdown Time]]*(1/39)</f>
        <v>1.837606837606838E-2</v>
      </c>
      <c r="X755" s="336" t="s">
        <v>465</v>
      </c>
      <c r="Y755" s="352" t="s">
        <v>117</v>
      </c>
      <c r="Z755" s="105">
        <v>17919</v>
      </c>
      <c r="AA755" s="107">
        <v>535.08125000000007</v>
      </c>
      <c r="AB755" s="105" t="s">
        <v>478</v>
      </c>
    </row>
    <row r="756" spans="1:28">
      <c r="A756" s="105">
        <f t="shared" si="11"/>
        <v>755</v>
      </c>
      <c r="B756" s="107">
        <f>YEAR(Table6[[#This Row],[Date]])+IF(MONTH(Table6[[#This Row],[Date]])&gt;=4,1,0)</f>
        <v>2026</v>
      </c>
      <c r="C756" s="105">
        <f>YEAR(Table6[[#This Row],[Date]])</f>
        <v>2025</v>
      </c>
      <c r="D756" s="105" t="s">
        <v>490</v>
      </c>
      <c r="E756" s="119">
        <f>Table6[[#This Row],[Date]]-DAY(Table6[[#This Row],[Date]])+1</f>
        <v>45809</v>
      </c>
      <c r="F756" s="118">
        <v>45819</v>
      </c>
      <c r="G756" s="105" t="s">
        <v>117</v>
      </c>
      <c r="H756" s="39" t="str">
        <f>_xlfn.XLOOKUP(Table6[[#This Row],[Affected WTG]],'Basic Data'!$A:$A,'Basic Data'!$B:$B)</f>
        <v>PWEGPL</v>
      </c>
      <c r="I756" s="39" t="str">
        <f>_xlfn.XLOOKUP(Table6[[#This Row],[Affected WTG]],'Basic Data'!$A:$A,'Basic Data'!$C:$C)</f>
        <v>MSEDCL</v>
      </c>
      <c r="J756" s="345">
        <f>IFERROR(VLOOKUP(Table6[[#This Row],[Affected WTG]],'Basic Data'!$A$3:$E$56,5,0),"")</f>
        <v>2.564102564102564E-2</v>
      </c>
      <c r="K756" s="105">
        <v>2100</v>
      </c>
      <c r="L756" s="39" t="str">
        <f>IFERROR(VLOOKUP(Table6[[#This Row],[Error Code]],'Basic Data'!$T:$U,2,0),"")</f>
        <v>PLC Voltage Recovery</v>
      </c>
      <c r="M756" s="346" t="s">
        <v>462</v>
      </c>
      <c r="N756" s="39" t="s">
        <v>1270</v>
      </c>
      <c r="O756" s="347">
        <v>0.69791666666666663</v>
      </c>
      <c r="P756" s="347">
        <v>0.71319444444444446</v>
      </c>
      <c r="Q756" s="347">
        <v>0.71388888888888891</v>
      </c>
      <c r="R756" s="348">
        <f>IF(Table6[[#This Row],[Work Start TimeStamp]]="","",(Table6[[#This Row],[Work Start TimeStamp]]-Table6[[#This Row],[Fault Start TimeStamp]])*24)</f>
        <v>0.36666666666666803</v>
      </c>
      <c r="S756" s="349">
        <f>(Table6[[#This Row],[Fault Clearance time]]-Table6[[#This Row],[Work Start TimeStamp]])*24</f>
        <v>1.6666666666666607E-2</v>
      </c>
      <c r="T756" s="350">
        <f>(Table6[[#This Row],[Fault Clearance time]]-Table6[[#This Row],[Fault Start TimeStamp]])*24</f>
        <v>0.38333333333333464</v>
      </c>
      <c r="U756" s="346" t="s">
        <v>493</v>
      </c>
      <c r="V756" s="351" t="s">
        <v>463</v>
      </c>
      <c r="W756" s="338">
        <f>Table6[[#This Row],[Breakdown Time]]*(1/39)</f>
        <v>9.8290598290598618E-3</v>
      </c>
      <c r="X756" s="336" t="s">
        <v>465</v>
      </c>
      <c r="Y756" s="352" t="s">
        <v>118</v>
      </c>
      <c r="Z756" s="105">
        <v>17913</v>
      </c>
      <c r="AA756" s="107">
        <v>286.11041666666762</v>
      </c>
      <c r="AB756" s="105" t="s">
        <v>478</v>
      </c>
    </row>
    <row r="757" spans="1:28">
      <c r="A757" s="105">
        <f t="shared" si="11"/>
        <v>756</v>
      </c>
      <c r="B757" s="107">
        <f>YEAR(Table6[[#This Row],[Date]])+IF(MONTH(Table6[[#This Row],[Date]])&gt;=4,1,0)</f>
        <v>2026</v>
      </c>
      <c r="C757" s="105">
        <f>YEAR(Table6[[#This Row],[Date]])</f>
        <v>2025</v>
      </c>
      <c r="D757" s="105" t="s">
        <v>490</v>
      </c>
      <c r="E757" s="119">
        <f>Table6[[#This Row],[Date]]-DAY(Table6[[#This Row],[Date]])+1</f>
        <v>45809</v>
      </c>
      <c r="F757" s="118">
        <v>45819</v>
      </c>
      <c r="G757" s="105" t="s">
        <v>118</v>
      </c>
      <c r="H757" s="39" t="str">
        <f>_xlfn.XLOOKUP(Table6[[#This Row],[Affected WTG]],'Basic Data'!$A:$A,'Basic Data'!$B:$B)</f>
        <v>PWEGPL</v>
      </c>
      <c r="I757" s="39" t="str">
        <f>_xlfn.XLOOKUP(Table6[[#This Row],[Affected WTG]],'Basic Data'!$A:$A,'Basic Data'!$C:$C)</f>
        <v>MSEDCL</v>
      </c>
      <c r="J757" s="345">
        <f>IFERROR(VLOOKUP(Table6[[#This Row],[Affected WTG]],'Basic Data'!$A$3:$E$56,5,0),"")</f>
        <v>2.564102564102564E-2</v>
      </c>
      <c r="K757" s="105">
        <v>2100</v>
      </c>
      <c r="L757" s="39" t="str">
        <f>IFERROR(VLOOKUP(Table6[[#This Row],[Error Code]],'Basic Data'!$T:$U,2,0),"")</f>
        <v>PLC Voltage Recovery</v>
      </c>
      <c r="M757" s="346" t="s">
        <v>462</v>
      </c>
      <c r="N757" s="39" t="s">
        <v>1270</v>
      </c>
      <c r="O757" s="347">
        <v>0.69791666666666663</v>
      </c>
      <c r="P757" s="347">
        <v>0.71805555555555556</v>
      </c>
      <c r="Q757" s="347">
        <v>0.71875</v>
      </c>
      <c r="R757" s="348">
        <f>IF(Table6[[#This Row],[Work Start TimeStamp]]="","",(Table6[[#This Row],[Work Start TimeStamp]]-Table6[[#This Row],[Fault Start TimeStamp]])*24)</f>
        <v>0.48333333333333428</v>
      </c>
      <c r="S757" s="349">
        <f>(Table6[[#This Row],[Fault Clearance time]]-Table6[[#This Row],[Work Start TimeStamp]])*24</f>
        <v>1.6666666666666607E-2</v>
      </c>
      <c r="T757" s="350">
        <f>(Table6[[#This Row],[Fault Clearance time]]-Table6[[#This Row],[Fault Start TimeStamp]])*24</f>
        <v>0.50000000000000089</v>
      </c>
      <c r="U757" s="346" t="s">
        <v>493</v>
      </c>
      <c r="V757" s="351" t="s">
        <v>463</v>
      </c>
      <c r="W757" s="338">
        <f>Table6[[#This Row],[Breakdown Time]]*(1/39)</f>
        <v>1.2820512820512843E-2</v>
      </c>
      <c r="X757" s="336" t="s">
        <v>465</v>
      </c>
      <c r="Y757" s="352" t="s">
        <v>117</v>
      </c>
      <c r="Z757" s="105">
        <v>17919</v>
      </c>
      <c r="AA757" s="107">
        <v>373.31250000000068</v>
      </c>
      <c r="AB757" s="105" t="s">
        <v>478</v>
      </c>
    </row>
    <row r="758" spans="1:28">
      <c r="A758" s="105">
        <f t="shared" si="11"/>
        <v>757</v>
      </c>
      <c r="B758" s="107">
        <f>YEAR(Table6[[#This Row],[Date]])+IF(MONTH(Table6[[#This Row],[Date]])&gt;=4,1,0)</f>
        <v>2026</v>
      </c>
      <c r="C758" s="105">
        <f>YEAR(Table6[[#This Row],[Date]])</f>
        <v>2025</v>
      </c>
      <c r="D758" s="105" t="s">
        <v>490</v>
      </c>
      <c r="E758" s="119">
        <f>Table6[[#This Row],[Date]]-DAY(Table6[[#This Row],[Date]])+1</f>
        <v>45809</v>
      </c>
      <c r="F758" s="118">
        <v>45819</v>
      </c>
      <c r="G758" s="105" t="s">
        <v>120</v>
      </c>
      <c r="H758" s="39" t="str">
        <f>_xlfn.XLOOKUP(Table6[[#This Row],[Affected WTG]],'Basic Data'!$A:$A,'Basic Data'!$B:$B)</f>
        <v>PWEGPL</v>
      </c>
      <c r="I758" s="39" t="str">
        <f>_xlfn.XLOOKUP(Table6[[#This Row],[Affected WTG]],'Basic Data'!$A:$A,'Basic Data'!$C:$C)</f>
        <v>MSEDCL</v>
      </c>
      <c r="J758" s="345">
        <f>IFERROR(VLOOKUP(Table6[[#This Row],[Affected WTG]],'Basic Data'!$A$3:$E$56,5,0),"")</f>
        <v>2.564102564102564E-2</v>
      </c>
      <c r="K758" s="105">
        <v>2100</v>
      </c>
      <c r="L758" s="39" t="str">
        <f>IFERROR(VLOOKUP(Table6[[#This Row],[Error Code]],'Basic Data'!$T:$U,2,0),"")</f>
        <v>PLC Voltage Recovery</v>
      </c>
      <c r="M758" s="346" t="s">
        <v>462</v>
      </c>
      <c r="N758" s="39" t="s">
        <v>1270</v>
      </c>
      <c r="O758" s="347">
        <v>0.69791666666666663</v>
      </c>
      <c r="P758" s="347">
        <v>0.70902777777777781</v>
      </c>
      <c r="Q758" s="347">
        <v>0.70972222222222225</v>
      </c>
      <c r="R758" s="348">
        <f>IF(Table6[[#This Row],[Work Start TimeStamp]]="","",(Table6[[#This Row],[Work Start TimeStamp]]-Table6[[#This Row],[Fault Start TimeStamp]])*24)</f>
        <v>0.26666666666666838</v>
      </c>
      <c r="S758" s="349">
        <f>(Table6[[#This Row],[Fault Clearance time]]-Table6[[#This Row],[Work Start TimeStamp]])*24</f>
        <v>1.6666666666666607E-2</v>
      </c>
      <c r="T758" s="350">
        <f>(Table6[[#This Row],[Fault Clearance time]]-Table6[[#This Row],[Fault Start TimeStamp]])*24</f>
        <v>0.28333333333333499</v>
      </c>
      <c r="U758" s="346" t="s">
        <v>493</v>
      </c>
      <c r="V758" s="351" t="s">
        <v>463</v>
      </c>
      <c r="W758" s="338">
        <f>Table6[[#This Row],[Breakdown Time]]*(1/39)</f>
        <v>7.2649572649573068E-3</v>
      </c>
      <c r="X758" s="336" t="s">
        <v>465</v>
      </c>
      <c r="Y758" s="352" t="s">
        <v>117</v>
      </c>
      <c r="Z758" s="105">
        <v>17919</v>
      </c>
      <c r="AA758" s="107">
        <v>211.54375000000124</v>
      </c>
      <c r="AB758" s="105" t="s">
        <v>478</v>
      </c>
    </row>
    <row r="759" spans="1:28">
      <c r="A759" s="105">
        <f t="shared" si="11"/>
        <v>758</v>
      </c>
      <c r="B759" s="107">
        <f>YEAR(Table6[[#This Row],[Date]])+IF(MONTH(Table6[[#This Row],[Date]])&gt;=4,1,0)</f>
        <v>2026</v>
      </c>
      <c r="C759" s="105">
        <f>YEAR(Table6[[#This Row],[Date]])</f>
        <v>2025</v>
      </c>
      <c r="D759" s="105" t="s">
        <v>490</v>
      </c>
      <c r="E759" s="119">
        <f>Table6[[#This Row],[Date]]-DAY(Table6[[#This Row],[Date]])+1</f>
        <v>45809</v>
      </c>
      <c r="F759" s="118">
        <v>45819</v>
      </c>
      <c r="G759" s="105" t="s">
        <v>121</v>
      </c>
      <c r="H759" s="39" t="str">
        <f>_xlfn.XLOOKUP(Table6[[#This Row],[Affected WTG]],'Basic Data'!$A:$A,'Basic Data'!$B:$B)</f>
        <v>PWEGPL</v>
      </c>
      <c r="I759" s="39" t="str">
        <f>_xlfn.XLOOKUP(Table6[[#This Row],[Affected WTG]],'Basic Data'!$A:$A,'Basic Data'!$C:$C)</f>
        <v>MSEDCL</v>
      </c>
      <c r="J759" s="345">
        <f>IFERROR(VLOOKUP(Table6[[#This Row],[Affected WTG]],'Basic Data'!$A$3:$E$56,5,0),"")</f>
        <v>2.564102564102564E-2</v>
      </c>
      <c r="K759" s="105" t="s">
        <v>476</v>
      </c>
      <c r="L759" s="39" t="str">
        <f>IFERROR(VLOOKUP(Table6[[#This Row],[Error Code]],'Basic Data'!$T:$U,2,0),"")</f>
        <v>Manual Stop - Preventive Maintenance Activity</v>
      </c>
      <c r="M759" s="346" t="s">
        <v>474</v>
      </c>
      <c r="N759" s="39" t="s">
        <v>230</v>
      </c>
      <c r="O759" s="347">
        <v>0.44722222222222224</v>
      </c>
      <c r="P759" s="347">
        <v>0.44722222222222224</v>
      </c>
      <c r="Q759" s="347">
        <v>0.78125</v>
      </c>
      <c r="R759" s="348">
        <f>IF(Table6[[#This Row],[Work Start TimeStamp]]="","",(Table6[[#This Row],[Work Start TimeStamp]]-Table6[[#This Row],[Fault Start TimeStamp]])*24)</f>
        <v>0</v>
      </c>
      <c r="S759" s="349">
        <f>(Table6[[#This Row],[Fault Clearance time]]-Table6[[#This Row],[Work Start TimeStamp]])*24</f>
        <v>8.0166666666666657</v>
      </c>
      <c r="T759" s="350">
        <f>(Table6[[#This Row],[Fault Clearance time]]-Table6[[#This Row],[Fault Start TimeStamp]])*24</f>
        <v>8.0166666666666657</v>
      </c>
      <c r="U759" s="346" t="s">
        <v>582</v>
      </c>
      <c r="V759" s="351" t="s">
        <v>463</v>
      </c>
      <c r="W759" s="338">
        <f>Table6[[#This Row],[Breakdown Time]]*(1/39)</f>
        <v>0.20555555555555552</v>
      </c>
      <c r="X759" s="336" t="s">
        <v>467</v>
      </c>
      <c r="Y759" s="352" t="s">
        <v>115</v>
      </c>
      <c r="Z759" s="105">
        <v>17911</v>
      </c>
      <c r="AA759" s="107">
        <v>5982.771527777777</v>
      </c>
      <c r="AB759" s="105" t="s">
        <v>478</v>
      </c>
    </row>
    <row r="760" spans="1:28">
      <c r="A760" s="105">
        <f t="shared" si="11"/>
        <v>759</v>
      </c>
      <c r="B760" s="107">
        <f>YEAR(Table6[[#This Row],[Date]])+IF(MONTH(Table6[[#This Row],[Date]])&gt;=4,1,0)</f>
        <v>2026</v>
      </c>
      <c r="C760" s="105">
        <f>YEAR(Table6[[#This Row],[Date]])</f>
        <v>2025</v>
      </c>
      <c r="D760" s="105" t="s">
        <v>490</v>
      </c>
      <c r="E760" s="119">
        <f>Table6[[#This Row],[Date]]-DAY(Table6[[#This Row],[Date]])+1</f>
        <v>45809</v>
      </c>
      <c r="F760" s="118">
        <v>45819</v>
      </c>
      <c r="G760" s="105" t="s">
        <v>124</v>
      </c>
      <c r="H760" s="39" t="str">
        <f>_xlfn.XLOOKUP(Table6[[#This Row],[Affected WTG]],'Basic Data'!$A:$A,'Basic Data'!$B:$B)</f>
        <v>PWEGPL</v>
      </c>
      <c r="I760" s="39" t="str">
        <f>_xlfn.XLOOKUP(Table6[[#This Row],[Affected WTG]],'Basic Data'!$A:$A,'Basic Data'!$C:$C)</f>
        <v>MSEDCL</v>
      </c>
      <c r="J760" s="345">
        <f>IFERROR(VLOOKUP(Table6[[#This Row],[Affected WTG]],'Basic Data'!$A$3:$E$56,5,0),"")</f>
        <v>2.564102564102564E-2</v>
      </c>
      <c r="K760" s="105">
        <v>2100</v>
      </c>
      <c r="L760" s="39" t="str">
        <f>IFERROR(VLOOKUP(Table6[[#This Row],[Error Code]],'Basic Data'!$T:$U,2,0),"")</f>
        <v>PLC Voltage Recovery</v>
      </c>
      <c r="M760" s="346" t="s">
        <v>462</v>
      </c>
      <c r="N760" s="39" t="s">
        <v>1270</v>
      </c>
      <c r="O760" s="347">
        <v>0.69791666666666663</v>
      </c>
      <c r="P760" s="347">
        <v>0.75694444444444442</v>
      </c>
      <c r="Q760" s="347">
        <v>0.75763888888888886</v>
      </c>
      <c r="R760" s="348">
        <f>IF(Table6[[#This Row],[Work Start TimeStamp]]="","",(Table6[[#This Row],[Work Start TimeStamp]]-Table6[[#This Row],[Fault Start TimeStamp]])*24)</f>
        <v>1.416666666666667</v>
      </c>
      <c r="S760" s="349">
        <f>(Table6[[#This Row],[Fault Clearance time]]-Table6[[#This Row],[Work Start TimeStamp]])*24</f>
        <v>1.6666666666666607E-2</v>
      </c>
      <c r="T760" s="350">
        <f>(Table6[[#This Row],[Fault Clearance time]]-Table6[[#This Row],[Fault Start TimeStamp]])*24</f>
        <v>1.4333333333333336</v>
      </c>
      <c r="U760" s="346" t="s">
        <v>493</v>
      </c>
      <c r="V760" s="351" t="s">
        <v>463</v>
      </c>
      <c r="W760" s="338">
        <f>Table6[[#This Row],[Breakdown Time]]*(1/39)</f>
        <v>3.675213675213676E-2</v>
      </c>
      <c r="X760" s="336" t="s">
        <v>465</v>
      </c>
      <c r="Y760" s="352" t="s">
        <v>125</v>
      </c>
      <c r="Z760" s="105">
        <v>17938</v>
      </c>
      <c r="AA760" s="107">
        <v>1071.2972222222224</v>
      </c>
      <c r="AB760" s="105" t="s">
        <v>478</v>
      </c>
    </row>
    <row r="761" spans="1:28">
      <c r="A761" s="105">
        <f t="shared" si="11"/>
        <v>760</v>
      </c>
      <c r="B761" s="107">
        <f>YEAR(Table6[[#This Row],[Date]])+IF(MONTH(Table6[[#This Row],[Date]])&gt;=4,1,0)</f>
        <v>2026</v>
      </c>
      <c r="C761" s="105">
        <f>YEAR(Table6[[#This Row],[Date]])</f>
        <v>2025</v>
      </c>
      <c r="D761" s="105" t="s">
        <v>490</v>
      </c>
      <c r="E761" s="119">
        <f>Table6[[#This Row],[Date]]-DAY(Table6[[#This Row],[Date]])+1</f>
        <v>45809</v>
      </c>
      <c r="F761" s="118">
        <v>45819</v>
      </c>
      <c r="G761" s="105" t="s">
        <v>130</v>
      </c>
      <c r="H761" s="39" t="str">
        <f>_xlfn.XLOOKUP(Table6[[#This Row],[Affected WTG]],'Basic Data'!$A:$A,'Basic Data'!$B:$B)</f>
        <v>PWEGPL</v>
      </c>
      <c r="I761" s="39" t="str">
        <f>_xlfn.XLOOKUP(Table6[[#This Row],[Affected WTG]],'Basic Data'!$A:$A,'Basic Data'!$C:$C)</f>
        <v>MSEDCL</v>
      </c>
      <c r="J761" s="345">
        <f>IFERROR(VLOOKUP(Table6[[#This Row],[Affected WTG]],'Basic Data'!$A$3:$E$56,5,0),"")</f>
        <v>2.564102564102564E-2</v>
      </c>
      <c r="K761" s="105">
        <v>116</v>
      </c>
      <c r="L761" s="39" t="str">
        <f>IFERROR(VLOOKUP(Table6[[#This Row],[Error Code]],'Basic Data'!$T:$U,2,0),"")</f>
        <v>Orienting and High Yaw Brake Pressure</v>
      </c>
      <c r="M761" s="346" t="s">
        <v>462</v>
      </c>
      <c r="N761" s="39" t="s">
        <v>1270</v>
      </c>
      <c r="O761" s="347">
        <v>0.6875</v>
      </c>
      <c r="P761" s="347">
        <v>0.71875</v>
      </c>
      <c r="Q761" s="347">
        <v>0.71944444444444444</v>
      </c>
      <c r="R761" s="348">
        <f>IF(Table6[[#This Row],[Work Start TimeStamp]]="","",(Table6[[#This Row],[Work Start TimeStamp]]-Table6[[#This Row],[Fault Start TimeStamp]])*24)</f>
        <v>0.75</v>
      </c>
      <c r="S761" s="349">
        <f>(Table6[[#This Row],[Fault Clearance time]]-Table6[[#This Row],[Work Start TimeStamp]])*24</f>
        <v>1.6666666666666607E-2</v>
      </c>
      <c r="T761" s="350">
        <f>(Table6[[#This Row],[Fault Clearance time]]-Table6[[#This Row],[Fault Start TimeStamp]])*24</f>
        <v>0.76666666666666661</v>
      </c>
      <c r="U761" s="346" t="s">
        <v>493</v>
      </c>
      <c r="V761" s="351" t="s">
        <v>463</v>
      </c>
      <c r="W761" s="338">
        <f>Table6[[#This Row],[Breakdown Time]]*(1/39)</f>
        <v>1.9658119658119654E-2</v>
      </c>
      <c r="X761" s="336" t="s">
        <v>465</v>
      </c>
      <c r="Y761" s="352" t="s">
        <v>131</v>
      </c>
      <c r="Z761" s="105">
        <v>9539</v>
      </c>
      <c r="AA761" s="107">
        <v>304.71805555555551</v>
      </c>
      <c r="AB761" s="105" t="s">
        <v>478</v>
      </c>
    </row>
    <row r="762" spans="1:28">
      <c r="A762" s="105">
        <f t="shared" si="11"/>
        <v>761</v>
      </c>
      <c r="B762" s="107">
        <f>YEAR(Table6[[#This Row],[Date]])+IF(MONTH(Table6[[#This Row],[Date]])&gt;=4,1,0)</f>
        <v>2026</v>
      </c>
      <c r="C762" s="105">
        <f>YEAR(Table6[[#This Row],[Date]])</f>
        <v>2025</v>
      </c>
      <c r="D762" s="105" t="s">
        <v>490</v>
      </c>
      <c r="E762" s="119">
        <f>Table6[[#This Row],[Date]]-DAY(Table6[[#This Row],[Date]])+1</f>
        <v>45809</v>
      </c>
      <c r="F762" s="118">
        <v>45819</v>
      </c>
      <c r="G762" s="105" t="s">
        <v>145</v>
      </c>
      <c r="H762" s="39" t="str">
        <f>_xlfn.XLOOKUP(Table6[[#This Row],[Affected WTG]],'Basic Data'!$A:$A,'Basic Data'!$B:$B)</f>
        <v>PWEGPL</v>
      </c>
      <c r="I762" s="39" t="str">
        <f>_xlfn.XLOOKUP(Table6[[#This Row],[Affected WTG]],'Basic Data'!$A:$A,'Basic Data'!$C:$C)</f>
        <v>MSEDCL</v>
      </c>
      <c r="J762" s="345">
        <f>IFERROR(VLOOKUP(Table6[[#This Row],[Affected WTG]],'Basic Data'!$A$3:$E$56,5,0),"")</f>
        <v>2.564102564102564E-2</v>
      </c>
      <c r="K762" s="105">
        <v>2118</v>
      </c>
      <c r="L762" s="39" t="str">
        <f>IFERROR(VLOOKUP(Table6[[#This Row],[Error Code]],'Basic Data'!$T:$U,2,0),"")</f>
        <v>Bus Error - Interbus Failure</v>
      </c>
      <c r="M762" s="346" t="s">
        <v>462</v>
      </c>
      <c r="N762" s="39" t="s">
        <v>1270</v>
      </c>
      <c r="O762" s="347">
        <v>0.71527777777777779</v>
      </c>
      <c r="P762" s="347">
        <v>0.74930555555555556</v>
      </c>
      <c r="Q762" s="347">
        <v>0.75138888888888888</v>
      </c>
      <c r="R762" s="348">
        <f>IF(Table6[[#This Row],[Work Start TimeStamp]]="","",(Table6[[#This Row],[Work Start TimeStamp]]-Table6[[#This Row],[Fault Start TimeStamp]])*24)</f>
        <v>0.81666666666666643</v>
      </c>
      <c r="S762" s="349">
        <f>(Table6[[#This Row],[Fault Clearance time]]-Table6[[#This Row],[Work Start TimeStamp]])*24</f>
        <v>4.9999999999999822E-2</v>
      </c>
      <c r="T762" s="350">
        <f>(Table6[[#This Row],[Fault Clearance time]]-Table6[[#This Row],[Fault Start TimeStamp]])*24</f>
        <v>0.86666666666666625</v>
      </c>
      <c r="U762" s="346" t="s">
        <v>491</v>
      </c>
      <c r="V762" s="351" t="s">
        <v>463</v>
      </c>
      <c r="W762" s="338">
        <f>Table6[[#This Row],[Breakdown Time]]*(1/39)</f>
        <v>2.2222222222222209E-2</v>
      </c>
      <c r="X762" s="336" t="s">
        <v>465</v>
      </c>
      <c r="Y762" s="352" t="s">
        <v>139</v>
      </c>
      <c r="Z762" s="105">
        <v>12111</v>
      </c>
      <c r="AA762" s="107">
        <v>437.34166666666647</v>
      </c>
      <c r="AB762" s="105" t="s">
        <v>478</v>
      </c>
    </row>
    <row r="763" spans="1:28">
      <c r="A763" s="105">
        <f t="shared" si="11"/>
        <v>762</v>
      </c>
      <c r="B763" s="107">
        <f>YEAR(Table6[[#This Row],[Date]])+IF(MONTH(Table6[[#This Row],[Date]])&gt;=4,1,0)</f>
        <v>2026</v>
      </c>
      <c r="C763" s="105">
        <f>YEAR(Table6[[#This Row],[Date]])</f>
        <v>2025</v>
      </c>
      <c r="D763" s="105" t="s">
        <v>490</v>
      </c>
      <c r="E763" s="119">
        <f>Table6[[#This Row],[Date]]-DAY(Table6[[#This Row],[Date]])+1</f>
        <v>45809</v>
      </c>
      <c r="F763" s="118">
        <v>45820</v>
      </c>
      <c r="G763" s="105" t="s">
        <v>144</v>
      </c>
      <c r="H763" s="39" t="str">
        <f>_xlfn.XLOOKUP(Table6[[#This Row],[Affected WTG]],'Basic Data'!$A:$A,'Basic Data'!$B:$B)</f>
        <v>PWEGPL</v>
      </c>
      <c r="I763" s="39" t="str">
        <f>_xlfn.XLOOKUP(Table6[[#This Row],[Affected WTG]],'Basic Data'!$A:$A,'Basic Data'!$C:$C)</f>
        <v>MSEDCL</v>
      </c>
      <c r="J763" s="345">
        <f>IFERROR(VLOOKUP(Table6[[#This Row],[Affected WTG]],'Basic Data'!$A$3:$E$56,5,0),"")</f>
        <v>2.564102564102564E-2</v>
      </c>
      <c r="K763" s="105" t="s">
        <v>492</v>
      </c>
      <c r="L763" s="39" t="str">
        <f>IFERROR(VLOOKUP(Table6[[#This Row],[Error Code]],'Basic Data'!$T:$U,2,0),"")</f>
        <v>Manual Stop - Safety Related</v>
      </c>
      <c r="M763" s="346" t="s">
        <v>481</v>
      </c>
      <c r="N763" s="39" t="s">
        <v>1269</v>
      </c>
      <c r="O763" s="347">
        <v>0</v>
      </c>
      <c r="P763" s="347">
        <v>0.99998842592592596</v>
      </c>
      <c r="Q763" s="347">
        <v>0.99998842592592596</v>
      </c>
      <c r="R763" s="348">
        <f>IF(Table6[[#This Row],[Work Start TimeStamp]]="","",(Table6[[#This Row],[Work Start TimeStamp]]-Table6[[#This Row],[Fault Start TimeStamp]])*24)</f>
        <v>23.999722222222225</v>
      </c>
      <c r="S763" s="349">
        <f>(Table6[[#This Row],[Fault Clearance time]]-Table6[[#This Row],[Work Start TimeStamp]])*24</f>
        <v>0</v>
      </c>
      <c r="T763" s="350">
        <f>(Table6[[#This Row],[Fault Clearance time]]-Table6[[#This Row],[Fault Start TimeStamp]])*24</f>
        <v>23.999722222222225</v>
      </c>
      <c r="U763" s="346" t="s">
        <v>498</v>
      </c>
      <c r="V763" s="351" t="s">
        <v>473</v>
      </c>
      <c r="W763" s="338">
        <f>Table6[[#This Row],[Breakdown Time]]*(1/39)</f>
        <v>0.61537749287749288</v>
      </c>
      <c r="X763" s="336" t="s">
        <v>468</v>
      </c>
      <c r="Y763" s="352" t="s">
        <v>141</v>
      </c>
      <c r="Z763" s="105">
        <v>9862</v>
      </c>
      <c r="AA763" s="107">
        <v>9861.8858564814836</v>
      </c>
      <c r="AB763" s="105" t="s">
        <v>478</v>
      </c>
    </row>
    <row r="764" spans="1:28">
      <c r="A764" s="105">
        <f t="shared" si="11"/>
        <v>763</v>
      </c>
      <c r="B764" s="107">
        <f>YEAR(Table6[[#This Row],[Date]])+IF(MONTH(Table6[[#This Row],[Date]])&gt;=4,1,0)</f>
        <v>2026</v>
      </c>
      <c r="C764" s="105">
        <f>YEAR(Table6[[#This Row],[Date]])</f>
        <v>2025</v>
      </c>
      <c r="D764" s="105" t="s">
        <v>490</v>
      </c>
      <c r="E764" s="119">
        <f>Table6[[#This Row],[Date]]-DAY(Table6[[#This Row],[Date]])+1</f>
        <v>45809</v>
      </c>
      <c r="F764" s="118">
        <v>45820</v>
      </c>
      <c r="G764" s="105" t="s">
        <v>142</v>
      </c>
      <c r="H764" s="39" t="str">
        <f>_xlfn.XLOOKUP(Table6[[#This Row],[Affected WTG]],'Basic Data'!$A:$A,'Basic Data'!$B:$B)</f>
        <v>PWEGPL</v>
      </c>
      <c r="I764" s="39" t="str">
        <f>_xlfn.XLOOKUP(Table6[[#This Row],[Affected WTG]],'Basic Data'!$A:$A,'Basic Data'!$C:$C)</f>
        <v>MSEDCL</v>
      </c>
      <c r="J764" s="345">
        <f>IFERROR(VLOOKUP(Table6[[#This Row],[Affected WTG]],'Basic Data'!$A$3:$E$56,5,0),"")</f>
        <v>2.564102564102564E-2</v>
      </c>
      <c r="K764" s="105" t="s">
        <v>492</v>
      </c>
      <c r="L764" s="39" t="str">
        <f>IFERROR(VLOOKUP(Table6[[#This Row],[Error Code]],'Basic Data'!$T:$U,2,0),"")</f>
        <v>Manual Stop - Safety Related</v>
      </c>
      <c r="M764" s="346" t="s">
        <v>481</v>
      </c>
      <c r="N764" s="39" t="s">
        <v>1269</v>
      </c>
      <c r="O764" s="347">
        <v>0</v>
      </c>
      <c r="P764" s="347">
        <v>0.99998842592592596</v>
      </c>
      <c r="Q764" s="347">
        <v>0.99998842592592596</v>
      </c>
      <c r="R764" s="348">
        <f>IF(Table6[[#This Row],[Work Start TimeStamp]]="","",(Table6[[#This Row],[Work Start TimeStamp]]-Table6[[#This Row],[Fault Start TimeStamp]])*24)</f>
        <v>23.999722222222225</v>
      </c>
      <c r="S764" s="349">
        <f>(Table6[[#This Row],[Fault Clearance time]]-Table6[[#This Row],[Work Start TimeStamp]])*24</f>
        <v>0</v>
      </c>
      <c r="T764" s="350">
        <f>(Table6[[#This Row],[Fault Clearance time]]-Table6[[#This Row],[Fault Start TimeStamp]])*24</f>
        <v>23.999722222222225</v>
      </c>
      <c r="U764" s="346" t="s">
        <v>498</v>
      </c>
      <c r="V764" s="351" t="s">
        <v>473</v>
      </c>
      <c r="W764" s="338">
        <f>Table6[[#This Row],[Breakdown Time]]*(1/39)</f>
        <v>0.61537749287749288</v>
      </c>
      <c r="X764" s="336" t="s">
        <v>468</v>
      </c>
      <c r="Y764" s="352" t="s">
        <v>141</v>
      </c>
      <c r="Z764" s="105">
        <v>9862</v>
      </c>
      <c r="AA764" s="107">
        <v>9861.8858564814836</v>
      </c>
      <c r="AB764" s="105" t="s">
        <v>478</v>
      </c>
    </row>
    <row r="765" spans="1:28">
      <c r="A765" s="105">
        <f t="shared" si="11"/>
        <v>764</v>
      </c>
      <c r="B765" s="107">
        <f>YEAR(Table6[[#This Row],[Date]])+IF(MONTH(Table6[[#This Row],[Date]])&gt;=4,1,0)</f>
        <v>2026</v>
      </c>
      <c r="C765" s="105">
        <f>YEAR(Table6[[#This Row],[Date]])</f>
        <v>2025</v>
      </c>
      <c r="D765" s="105" t="s">
        <v>490</v>
      </c>
      <c r="E765" s="119">
        <f>Table6[[#This Row],[Date]]-DAY(Table6[[#This Row],[Date]])+1</f>
        <v>45809</v>
      </c>
      <c r="F765" s="118">
        <v>45820</v>
      </c>
      <c r="G765" s="105" t="s">
        <v>115</v>
      </c>
      <c r="H765" s="39" t="str">
        <f>_xlfn.XLOOKUP(Table6[[#This Row],[Affected WTG]],'Basic Data'!$A:$A,'Basic Data'!$B:$B)</f>
        <v>PWEGPL</v>
      </c>
      <c r="I765" s="39" t="str">
        <f>_xlfn.XLOOKUP(Table6[[#This Row],[Affected WTG]],'Basic Data'!$A:$A,'Basic Data'!$C:$C)</f>
        <v>MSEDCL</v>
      </c>
      <c r="J765" s="345">
        <f>IFERROR(VLOOKUP(Table6[[#This Row],[Affected WTG]],'Basic Data'!$A$3:$E$56,5,0),"")</f>
        <v>2.564102564102564E-2</v>
      </c>
      <c r="K765" s="105" t="s">
        <v>476</v>
      </c>
      <c r="L765" s="39" t="str">
        <f>IFERROR(VLOOKUP(Table6[[#This Row],[Error Code]],'Basic Data'!$T:$U,2,0),"")</f>
        <v>Manual Stop - Preventive Maintenance Activity</v>
      </c>
      <c r="M765" s="346" t="s">
        <v>474</v>
      </c>
      <c r="N765" s="39" t="s">
        <v>230</v>
      </c>
      <c r="O765" s="347">
        <v>0.45763888888888887</v>
      </c>
      <c r="P765" s="347">
        <v>0.45763888888888887</v>
      </c>
      <c r="Q765" s="347">
        <v>0.76388888888888884</v>
      </c>
      <c r="R765" s="348">
        <f>IF(Table6[[#This Row],[Work Start TimeStamp]]="","",(Table6[[#This Row],[Work Start TimeStamp]]-Table6[[#This Row],[Fault Start TimeStamp]])*24)</f>
        <v>0</v>
      </c>
      <c r="S765" s="349">
        <f>(Table6[[#This Row],[Fault Clearance time]]-Table6[[#This Row],[Work Start TimeStamp]])*24</f>
        <v>7.35</v>
      </c>
      <c r="T765" s="350">
        <f>(Table6[[#This Row],[Fault Clearance time]]-Table6[[#This Row],[Fault Start TimeStamp]])*24</f>
        <v>7.35</v>
      </c>
      <c r="U765" s="346" t="s">
        <v>582</v>
      </c>
      <c r="V765" s="351" t="s">
        <v>463</v>
      </c>
      <c r="W765" s="338">
        <f>Table6[[#This Row],[Breakdown Time]]*(1/39)</f>
        <v>0.18846153846153846</v>
      </c>
      <c r="X765" s="336" t="s">
        <v>467</v>
      </c>
      <c r="Y765" s="352" t="s">
        <v>121</v>
      </c>
      <c r="Z765" s="105">
        <v>14931</v>
      </c>
      <c r="AA765" s="107">
        <v>4572.6187499999996</v>
      </c>
      <c r="AB765" s="105" t="s">
        <v>478</v>
      </c>
    </row>
    <row r="766" spans="1:28">
      <c r="A766" s="105">
        <f t="shared" si="11"/>
        <v>765</v>
      </c>
      <c r="B766" s="107">
        <f>YEAR(Table6[[#This Row],[Date]])+IF(MONTH(Table6[[#This Row],[Date]])&gt;=4,1,0)</f>
        <v>2026</v>
      </c>
      <c r="C766" s="105">
        <f>YEAR(Table6[[#This Row],[Date]])</f>
        <v>2025</v>
      </c>
      <c r="D766" s="105" t="s">
        <v>490</v>
      </c>
      <c r="E766" s="119">
        <f>Table6[[#This Row],[Date]]-DAY(Table6[[#This Row],[Date]])+1</f>
        <v>45809</v>
      </c>
      <c r="F766" s="118">
        <v>45820</v>
      </c>
      <c r="G766" s="105" t="s">
        <v>153</v>
      </c>
      <c r="H766" s="39" t="str">
        <f>_xlfn.XLOOKUP(Table6[[#This Row],[Affected WTG]],'Basic Data'!$A:$A,'Basic Data'!$B:$B)</f>
        <v>PWEGPL</v>
      </c>
      <c r="I766" s="39" t="str">
        <f>_xlfn.XLOOKUP(Table6[[#This Row],[Affected WTG]],'Basic Data'!$A:$A,'Basic Data'!$C:$C)</f>
        <v>MSEDCL</v>
      </c>
      <c r="J766" s="345">
        <f>IFERROR(VLOOKUP(Table6[[#This Row],[Affected WTG]],'Basic Data'!$A$3:$E$56,5,0),"")</f>
        <v>2.564102564102564E-2</v>
      </c>
      <c r="K766" s="105" t="s">
        <v>466</v>
      </c>
      <c r="L766" s="39" t="str">
        <f>IFERROR(VLOOKUP(Table6[[#This Row],[Error Code]],'Basic Data'!$T:$U,2,0),"")</f>
        <v>Manual Stop</v>
      </c>
      <c r="M766" s="346" t="s">
        <v>479</v>
      </c>
      <c r="N766" s="39" t="s">
        <v>230</v>
      </c>
      <c r="O766" s="347">
        <v>0.48958333333333331</v>
      </c>
      <c r="P766" s="347">
        <v>0.48958333333333331</v>
      </c>
      <c r="Q766" s="347">
        <v>0.52222222222222225</v>
      </c>
      <c r="R766" s="348">
        <f>IF(Table6[[#This Row],[Work Start TimeStamp]]="","",(Table6[[#This Row],[Work Start TimeStamp]]-Table6[[#This Row],[Fault Start TimeStamp]])*24)</f>
        <v>0</v>
      </c>
      <c r="S766" s="349">
        <f>(Table6[[#This Row],[Fault Clearance time]]-Table6[[#This Row],[Work Start TimeStamp]])*24</f>
        <v>0.78333333333333455</v>
      </c>
      <c r="T766" s="350">
        <f>(Table6[[#This Row],[Fault Clearance time]]-Table6[[#This Row],[Fault Start TimeStamp]])*24</f>
        <v>0.78333333333333455</v>
      </c>
      <c r="U766" s="346" t="s">
        <v>1238</v>
      </c>
      <c r="V766" s="351" t="s">
        <v>463</v>
      </c>
      <c r="W766" s="338">
        <f>Table6[[#This Row],[Breakdown Time]]*(1/39)</f>
        <v>2.0085470085470115E-2</v>
      </c>
      <c r="X766" s="336" t="s">
        <v>464</v>
      </c>
      <c r="Y766" s="352" t="s">
        <v>152</v>
      </c>
      <c r="Z766" s="105">
        <v>8964</v>
      </c>
      <c r="AA766" s="107">
        <v>292.57500000000044</v>
      </c>
      <c r="AB766" s="105" t="s">
        <v>478</v>
      </c>
    </row>
    <row r="767" spans="1:28">
      <c r="A767" s="105">
        <f t="shared" si="11"/>
        <v>766</v>
      </c>
      <c r="B767" s="107">
        <f>YEAR(Table6[[#This Row],[Date]])+IF(MONTH(Table6[[#This Row],[Date]])&gt;=4,1,0)</f>
        <v>2026</v>
      </c>
      <c r="C767" s="105">
        <f>YEAR(Table6[[#This Row],[Date]])</f>
        <v>2025</v>
      </c>
      <c r="D767" s="105" t="s">
        <v>490</v>
      </c>
      <c r="E767" s="119">
        <f>Table6[[#This Row],[Date]]-DAY(Table6[[#This Row],[Date]])+1</f>
        <v>45809</v>
      </c>
      <c r="F767" s="118">
        <v>45820</v>
      </c>
      <c r="G767" s="105" t="s">
        <v>126</v>
      </c>
      <c r="H767" s="39" t="str">
        <f>_xlfn.XLOOKUP(Table6[[#This Row],[Affected WTG]],'Basic Data'!$A:$A,'Basic Data'!$B:$B)</f>
        <v>PWEGPL</v>
      </c>
      <c r="I767" s="39" t="str">
        <f>_xlfn.XLOOKUP(Table6[[#This Row],[Affected WTG]],'Basic Data'!$A:$A,'Basic Data'!$C:$C)</f>
        <v>MSEDCL</v>
      </c>
      <c r="J767" s="345">
        <f>IFERROR(VLOOKUP(Table6[[#This Row],[Affected WTG]],'Basic Data'!$A$3:$E$56,5,0),"")</f>
        <v>2.564102564102564E-2</v>
      </c>
      <c r="K767" s="105">
        <v>550</v>
      </c>
      <c r="L767" s="39" t="str">
        <f>IFERROR(VLOOKUP(Table6[[#This Row],[Error Code]],'Basic Data'!$T:$U,2,0),"")</f>
        <v>Generator Fans Thermal Relay Triggered Too Long</v>
      </c>
      <c r="M767" s="346" t="s">
        <v>462</v>
      </c>
      <c r="N767" s="39" t="s">
        <v>1270</v>
      </c>
      <c r="O767" s="347">
        <v>0.94097222222222221</v>
      </c>
      <c r="P767" s="347">
        <v>0.97361111111111109</v>
      </c>
      <c r="Q767" s="347">
        <v>0.99652777777777779</v>
      </c>
      <c r="R767" s="348">
        <f>IF(Table6[[#This Row],[Work Start TimeStamp]]="","",(Table6[[#This Row],[Work Start TimeStamp]]-Table6[[#This Row],[Fault Start TimeStamp]])*24)</f>
        <v>0.78333333333333321</v>
      </c>
      <c r="S767" s="349">
        <f>(Table6[[#This Row],[Fault Clearance time]]-Table6[[#This Row],[Work Start TimeStamp]])*24</f>
        <v>0.55000000000000071</v>
      </c>
      <c r="T767" s="350">
        <f>(Table6[[#This Row],[Fault Clearance time]]-Table6[[#This Row],[Fault Start TimeStamp]])*24</f>
        <v>1.3333333333333339</v>
      </c>
      <c r="U767" s="346" t="s">
        <v>1239</v>
      </c>
      <c r="V767" s="351" t="s">
        <v>463</v>
      </c>
      <c r="W767" s="338">
        <f>Table6[[#This Row],[Breakdown Time]]*(1/39)</f>
        <v>3.4188034188034205E-2</v>
      </c>
      <c r="X767" s="336" t="s">
        <v>465</v>
      </c>
      <c r="Y767" s="352" t="s">
        <v>127</v>
      </c>
      <c r="Z767" s="105">
        <v>12738</v>
      </c>
      <c r="AA767" s="107">
        <v>707.66666666666697</v>
      </c>
      <c r="AB767" s="105" t="s">
        <v>478</v>
      </c>
    </row>
    <row r="768" spans="1:28">
      <c r="A768" s="105">
        <f t="shared" si="11"/>
        <v>767</v>
      </c>
      <c r="B768" s="107">
        <f>YEAR(Table6[[#This Row],[Date]])+IF(MONTH(Table6[[#This Row],[Date]])&gt;=4,1,0)</f>
        <v>2026</v>
      </c>
      <c r="C768" s="105">
        <f>YEAR(Table6[[#This Row],[Date]])</f>
        <v>2025</v>
      </c>
      <c r="D768" s="105" t="s">
        <v>490</v>
      </c>
      <c r="E768" s="119">
        <f>Table6[[#This Row],[Date]]-DAY(Table6[[#This Row],[Date]])+1</f>
        <v>45809</v>
      </c>
      <c r="F768" s="118">
        <v>45821</v>
      </c>
      <c r="G768" s="105" t="s">
        <v>144</v>
      </c>
      <c r="H768" s="39" t="str">
        <f>_xlfn.XLOOKUP(Table6[[#This Row],[Affected WTG]],'Basic Data'!$A:$A,'Basic Data'!$B:$B)</f>
        <v>PWEGPL</v>
      </c>
      <c r="I768" s="39" t="str">
        <f>_xlfn.XLOOKUP(Table6[[#This Row],[Affected WTG]],'Basic Data'!$A:$A,'Basic Data'!$C:$C)</f>
        <v>MSEDCL</v>
      </c>
      <c r="J768" s="345">
        <f>IFERROR(VLOOKUP(Table6[[#This Row],[Affected WTG]],'Basic Data'!$A$3:$E$56,5,0),"")</f>
        <v>2.564102564102564E-2</v>
      </c>
      <c r="K768" s="105" t="s">
        <v>492</v>
      </c>
      <c r="L768" s="39" t="str">
        <f>IFERROR(VLOOKUP(Table6[[#This Row],[Error Code]],'Basic Data'!$T:$U,2,0),"")</f>
        <v>Manual Stop - Safety Related</v>
      </c>
      <c r="M768" s="346" t="s">
        <v>481</v>
      </c>
      <c r="N768" s="39" t="s">
        <v>1269</v>
      </c>
      <c r="O768" s="347">
        <v>0</v>
      </c>
      <c r="P768" s="347">
        <v>0.99998842592592596</v>
      </c>
      <c r="Q768" s="347">
        <v>0.99998842592592596</v>
      </c>
      <c r="R768" s="348">
        <f>IF(Table6[[#This Row],[Work Start TimeStamp]]="","",(Table6[[#This Row],[Work Start TimeStamp]]-Table6[[#This Row],[Fault Start TimeStamp]])*24)</f>
        <v>23.999722222222225</v>
      </c>
      <c r="S768" s="349">
        <f>(Table6[[#This Row],[Fault Clearance time]]-Table6[[#This Row],[Work Start TimeStamp]])*24</f>
        <v>0</v>
      </c>
      <c r="T768" s="350">
        <f>(Table6[[#This Row],[Fault Clearance time]]-Table6[[#This Row],[Fault Start TimeStamp]])*24</f>
        <v>23.999722222222225</v>
      </c>
      <c r="U768" s="346" t="s">
        <v>498</v>
      </c>
      <c r="V768" s="351" t="s">
        <v>473</v>
      </c>
      <c r="W768" s="338">
        <f>Table6[[#This Row],[Breakdown Time]]*(1/39)</f>
        <v>0.61537749287749288</v>
      </c>
      <c r="X768" s="336" t="s">
        <v>468</v>
      </c>
      <c r="Y768" s="352" t="s">
        <v>141</v>
      </c>
      <c r="Z768" s="105">
        <v>2121</v>
      </c>
      <c r="AA768" s="107">
        <v>2120.9754513888893</v>
      </c>
      <c r="AB768" s="105" t="s">
        <v>478</v>
      </c>
    </row>
    <row r="769" spans="1:28">
      <c r="A769" s="105">
        <f t="shared" si="11"/>
        <v>768</v>
      </c>
      <c r="B769" s="107">
        <f>YEAR(Table6[[#This Row],[Date]])+IF(MONTH(Table6[[#This Row],[Date]])&gt;=4,1,0)</f>
        <v>2026</v>
      </c>
      <c r="C769" s="105">
        <f>YEAR(Table6[[#This Row],[Date]])</f>
        <v>2025</v>
      </c>
      <c r="D769" s="105" t="s">
        <v>490</v>
      </c>
      <c r="E769" s="119">
        <f>Table6[[#This Row],[Date]]-DAY(Table6[[#This Row],[Date]])+1</f>
        <v>45809</v>
      </c>
      <c r="F769" s="118">
        <v>45821</v>
      </c>
      <c r="G769" s="105" t="s">
        <v>142</v>
      </c>
      <c r="H769" s="39" t="str">
        <f>_xlfn.XLOOKUP(Table6[[#This Row],[Affected WTG]],'Basic Data'!$A:$A,'Basic Data'!$B:$B)</f>
        <v>PWEGPL</v>
      </c>
      <c r="I769" s="39" t="str">
        <f>_xlfn.XLOOKUP(Table6[[#This Row],[Affected WTG]],'Basic Data'!$A:$A,'Basic Data'!$C:$C)</f>
        <v>MSEDCL</v>
      </c>
      <c r="J769" s="345">
        <f>IFERROR(VLOOKUP(Table6[[#This Row],[Affected WTG]],'Basic Data'!$A$3:$E$56,5,0),"")</f>
        <v>2.564102564102564E-2</v>
      </c>
      <c r="K769" s="105" t="s">
        <v>492</v>
      </c>
      <c r="L769" s="39" t="str">
        <f>IFERROR(VLOOKUP(Table6[[#This Row],[Error Code]],'Basic Data'!$T:$U,2,0),"")</f>
        <v>Manual Stop - Safety Related</v>
      </c>
      <c r="M769" s="346" t="s">
        <v>481</v>
      </c>
      <c r="N769" s="39" t="s">
        <v>1269</v>
      </c>
      <c r="O769" s="347">
        <v>0</v>
      </c>
      <c r="P769" s="347">
        <v>0.99998842592592596</v>
      </c>
      <c r="Q769" s="347">
        <v>0.99998842592592596</v>
      </c>
      <c r="R769" s="348">
        <f>IF(Table6[[#This Row],[Work Start TimeStamp]]="","",(Table6[[#This Row],[Work Start TimeStamp]]-Table6[[#This Row],[Fault Start TimeStamp]])*24)</f>
        <v>23.999722222222225</v>
      </c>
      <c r="S769" s="349">
        <f>(Table6[[#This Row],[Fault Clearance time]]-Table6[[#This Row],[Work Start TimeStamp]])*24</f>
        <v>0</v>
      </c>
      <c r="T769" s="350">
        <f>(Table6[[#This Row],[Fault Clearance time]]-Table6[[#This Row],[Fault Start TimeStamp]])*24</f>
        <v>23.999722222222225</v>
      </c>
      <c r="U769" s="346" t="s">
        <v>498</v>
      </c>
      <c r="V769" s="351" t="s">
        <v>473</v>
      </c>
      <c r="W769" s="338">
        <f>Table6[[#This Row],[Breakdown Time]]*(1/39)</f>
        <v>0.61537749287749288</v>
      </c>
      <c r="X769" s="336" t="s">
        <v>468</v>
      </c>
      <c r="Y769" s="352" t="s">
        <v>141</v>
      </c>
      <c r="Z769" s="105">
        <v>2121</v>
      </c>
      <c r="AA769" s="107">
        <v>2120.9754513888893</v>
      </c>
      <c r="AB769" s="105" t="s">
        <v>478</v>
      </c>
    </row>
    <row r="770" spans="1:28">
      <c r="A770" s="105">
        <f t="shared" si="11"/>
        <v>769</v>
      </c>
      <c r="B770" s="107">
        <f>YEAR(Table6[[#This Row],[Date]])+IF(MONTH(Table6[[#This Row],[Date]])&gt;=4,1,0)</f>
        <v>2026</v>
      </c>
      <c r="C770" s="105">
        <f>YEAR(Table6[[#This Row],[Date]])</f>
        <v>2025</v>
      </c>
      <c r="D770" s="105" t="s">
        <v>490</v>
      </c>
      <c r="E770" s="119">
        <f>Table6[[#This Row],[Date]]-DAY(Table6[[#This Row],[Date]])+1</f>
        <v>45809</v>
      </c>
      <c r="F770" s="118">
        <v>45821</v>
      </c>
      <c r="G770" s="105" t="s">
        <v>124</v>
      </c>
      <c r="H770" s="39" t="str">
        <f>_xlfn.XLOOKUP(Table6[[#This Row],[Affected WTG]],'Basic Data'!$A:$A,'Basic Data'!$B:$B)</f>
        <v>PWEGPL</v>
      </c>
      <c r="I770" s="39" t="str">
        <f>_xlfn.XLOOKUP(Table6[[#This Row],[Affected WTG]],'Basic Data'!$A:$A,'Basic Data'!$C:$C)</f>
        <v>MSEDCL</v>
      </c>
      <c r="J770" s="345">
        <f>IFERROR(VLOOKUP(Table6[[#This Row],[Affected WTG]],'Basic Data'!$A$3:$E$56,5,0),"")</f>
        <v>2.564102564102564E-2</v>
      </c>
      <c r="K770" s="105" t="s">
        <v>476</v>
      </c>
      <c r="L770" s="39" t="str">
        <f>IFERROR(VLOOKUP(Table6[[#This Row],[Error Code]],'Basic Data'!$T:$U,2,0),"")</f>
        <v>Manual Stop - Preventive Maintenance Activity</v>
      </c>
      <c r="M770" s="346" t="s">
        <v>474</v>
      </c>
      <c r="N770" s="39" t="s">
        <v>230</v>
      </c>
      <c r="O770" s="347">
        <v>0.45277777777777778</v>
      </c>
      <c r="P770" s="347">
        <v>0.45277777777777778</v>
      </c>
      <c r="Q770" s="347">
        <v>0.75138888888888888</v>
      </c>
      <c r="R770" s="348">
        <f>IF(Table6[[#This Row],[Work Start TimeStamp]]="","",(Table6[[#This Row],[Work Start TimeStamp]]-Table6[[#This Row],[Fault Start TimeStamp]])*24)</f>
        <v>0</v>
      </c>
      <c r="S770" s="349">
        <f>(Table6[[#This Row],[Fault Clearance time]]-Table6[[#This Row],[Work Start TimeStamp]])*24</f>
        <v>7.1666666666666661</v>
      </c>
      <c r="T770" s="350">
        <f>(Table6[[#This Row],[Fault Clearance time]]-Table6[[#This Row],[Fault Start TimeStamp]])*24</f>
        <v>7.1666666666666661</v>
      </c>
      <c r="U770" s="346" t="s">
        <v>582</v>
      </c>
      <c r="V770" s="351" t="s">
        <v>463</v>
      </c>
      <c r="W770" s="338">
        <f>Table6[[#This Row],[Breakdown Time]]*(1/39)</f>
        <v>0.18376068376068375</v>
      </c>
      <c r="X770" s="336" t="s">
        <v>467</v>
      </c>
      <c r="Y770" s="352" t="s">
        <v>125</v>
      </c>
      <c r="Z770" s="105">
        <v>4167</v>
      </c>
      <c r="AA770" s="107">
        <v>1244.3125</v>
      </c>
      <c r="AB770" s="105" t="s">
        <v>478</v>
      </c>
    </row>
    <row r="771" spans="1:28">
      <c r="A771" s="105">
        <f t="shared" si="11"/>
        <v>770</v>
      </c>
      <c r="B771" s="107">
        <f>YEAR(Table6[[#This Row],[Date]])+IF(MONTH(Table6[[#This Row],[Date]])&gt;=4,1,0)</f>
        <v>2026</v>
      </c>
      <c r="C771" s="105">
        <f>YEAR(Table6[[#This Row],[Date]])</f>
        <v>2025</v>
      </c>
      <c r="D771" s="105" t="s">
        <v>490</v>
      </c>
      <c r="E771" s="119">
        <f>Table6[[#This Row],[Date]]-DAY(Table6[[#This Row],[Date]])+1</f>
        <v>45809</v>
      </c>
      <c r="F771" s="118">
        <v>45821</v>
      </c>
      <c r="G771" s="105" t="s">
        <v>131</v>
      </c>
      <c r="H771" s="39" t="str">
        <f>_xlfn.XLOOKUP(Table6[[#This Row],[Affected WTG]],'Basic Data'!$A:$A,'Basic Data'!$B:$B)</f>
        <v>PWEGPL</v>
      </c>
      <c r="I771" s="39" t="str">
        <f>_xlfn.XLOOKUP(Table6[[#This Row],[Affected WTG]],'Basic Data'!$A:$A,'Basic Data'!$C:$C)</f>
        <v>MSEDCL</v>
      </c>
      <c r="J771" s="345">
        <f>IFERROR(VLOOKUP(Table6[[#This Row],[Affected WTG]],'Basic Data'!$A$3:$E$56,5,0),"")</f>
        <v>2.564102564102564E-2</v>
      </c>
      <c r="K771" s="105">
        <v>5216</v>
      </c>
      <c r="L771" s="39" t="str">
        <f>IFERROR(VLOOKUP(Table6[[#This Row],[Error Code]],'Basic Data'!$T:$U,2,0),"")</f>
        <v>Grid Voltage Failure</v>
      </c>
      <c r="M771" s="346" t="s">
        <v>462</v>
      </c>
      <c r="N771" s="39" t="s">
        <v>1270</v>
      </c>
      <c r="O771" s="347">
        <v>0.50694444444444442</v>
      </c>
      <c r="P771" s="347">
        <v>0.55208333333333337</v>
      </c>
      <c r="Q771" s="347">
        <v>0.99998842592592596</v>
      </c>
      <c r="R771" s="348">
        <f>IF(Table6[[#This Row],[Work Start TimeStamp]]="","",(Table6[[#This Row],[Work Start TimeStamp]]-Table6[[#This Row],[Fault Start TimeStamp]])*24)</f>
        <v>1.0833333333333348</v>
      </c>
      <c r="S771" s="349">
        <f>(Table6[[#This Row],[Fault Clearance time]]-Table6[[#This Row],[Work Start TimeStamp]])*24</f>
        <v>10.749722222222221</v>
      </c>
      <c r="T771" s="350">
        <f>(Table6[[#This Row],[Fault Clearance time]]-Table6[[#This Row],[Fault Start TimeStamp]])*24</f>
        <v>11.833055555555557</v>
      </c>
      <c r="U771" s="346" t="s">
        <v>1240</v>
      </c>
      <c r="V771" s="351" t="s">
        <v>473</v>
      </c>
      <c r="W771" s="338">
        <f>Table6[[#This Row],[Breakdown Time]]*(1/39)</f>
        <v>0.30341168091168091</v>
      </c>
      <c r="X771" s="336" t="s">
        <v>465</v>
      </c>
      <c r="Y771" s="352" t="s">
        <v>130</v>
      </c>
      <c r="Z771" s="105">
        <v>3618</v>
      </c>
      <c r="AA771" s="107">
        <v>1783.8331250000001</v>
      </c>
      <c r="AB771" s="105" t="s">
        <v>478</v>
      </c>
    </row>
    <row r="772" spans="1:28">
      <c r="A772" s="105">
        <f t="shared" ref="A772:A835" si="12">A771+1</f>
        <v>771</v>
      </c>
      <c r="B772" s="107">
        <f>YEAR(Table6[[#This Row],[Date]])+IF(MONTH(Table6[[#This Row],[Date]])&gt;=4,1,0)</f>
        <v>2026</v>
      </c>
      <c r="C772" s="105">
        <f>YEAR(Table6[[#This Row],[Date]])</f>
        <v>2025</v>
      </c>
      <c r="D772" s="105" t="s">
        <v>490</v>
      </c>
      <c r="E772" s="119">
        <f>Table6[[#This Row],[Date]]-DAY(Table6[[#This Row],[Date]])+1</f>
        <v>45809</v>
      </c>
      <c r="F772" s="118">
        <v>45821</v>
      </c>
      <c r="G772" s="105" t="s">
        <v>140</v>
      </c>
      <c r="H772" s="39" t="str">
        <f>_xlfn.XLOOKUP(Table6[[#This Row],[Affected WTG]],'Basic Data'!$A:$A,'Basic Data'!$B:$B)</f>
        <v>PWEGPL</v>
      </c>
      <c r="I772" s="39" t="str">
        <f>_xlfn.XLOOKUP(Table6[[#This Row],[Affected WTG]],'Basic Data'!$A:$A,'Basic Data'!$C:$C)</f>
        <v>MSEDCL</v>
      </c>
      <c r="J772" s="345">
        <f>IFERROR(VLOOKUP(Table6[[#This Row],[Affected WTG]],'Basic Data'!$A$3:$E$56,5,0),"")</f>
        <v>2.564102564102564E-2</v>
      </c>
      <c r="K772" s="105">
        <v>2100</v>
      </c>
      <c r="L772" s="39" t="str">
        <f>IFERROR(VLOOKUP(Table6[[#This Row],[Error Code]],'Basic Data'!$T:$U,2,0),"")</f>
        <v>PLC Voltage Recovery</v>
      </c>
      <c r="M772" s="346" t="s">
        <v>462</v>
      </c>
      <c r="N772" s="39" t="s">
        <v>1270</v>
      </c>
      <c r="O772" s="347">
        <v>0.69791666666666663</v>
      </c>
      <c r="P772" s="347">
        <v>0.71527777777777779</v>
      </c>
      <c r="Q772" s="347">
        <v>0.71597222222222223</v>
      </c>
      <c r="R772" s="348">
        <f>IF(Table6[[#This Row],[Work Start TimeStamp]]="","",(Table6[[#This Row],[Work Start TimeStamp]]-Table6[[#This Row],[Fault Start TimeStamp]])*24)</f>
        <v>0.41666666666666785</v>
      </c>
      <c r="S772" s="349">
        <f>(Table6[[#This Row],[Fault Clearance time]]-Table6[[#This Row],[Work Start TimeStamp]])*24</f>
        <v>1.6666666666666607E-2</v>
      </c>
      <c r="T772" s="350">
        <f>(Table6[[#This Row],[Fault Clearance time]]-Table6[[#This Row],[Fault Start TimeStamp]])*24</f>
        <v>0.43333333333333446</v>
      </c>
      <c r="U772" s="346" t="s">
        <v>493</v>
      </c>
      <c r="V772" s="351" t="s">
        <v>463</v>
      </c>
      <c r="W772" s="338">
        <f>Table6[[#This Row],[Breakdown Time]]*(1/39)</f>
        <v>1.1111111111111139E-2</v>
      </c>
      <c r="X772" s="336" t="s">
        <v>465</v>
      </c>
      <c r="Y772" s="352" t="s">
        <v>138</v>
      </c>
      <c r="Z772" s="105">
        <v>2118</v>
      </c>
      <c r="AA772" s="107">
        <v>38.241666666666767</v>
      </c>
      <c r="AB772" s="105" t="s">
        <v>478</v>
      </c>
    </row>
    <row r="773" spans="1:28">
      <c r="A773" s="105">
        <f t="shared" si="12"/>
        <v>772</v>
      </c>
      <c r="B773" s="107">
        <f>YEAR(Table6[[#This Row],[Date]])+IF(MONTH(Table6[[#This Row],[Date]])&gt;=4,1,0)</f>
        <v>2026</v>
      </c>
      <c r="C773" s="105">
        <f>YEAR(Table6[[#This Row],[Date]])</f>
        <v>2025</v>
      </c>
      <c r="D773" s="105" t="s">
        <v>490</v>
      </c>
      <c r="E773" s="119">
        <f>Table6[[#This Row],[Date]]-DAY(Table6[[#This Row],[Date]])+1</f>
        <v>45809</v>
      </c>
      <c r="F773" s="118">
        <v>45821</v>
      </c>
      <c r="G773" s="105" t="s">
        <v>141</v>
      </c>
      <c r="H773" s="39" t="str">
        <f>_xlfn.XLOOKUP(Table6[[#This Row],[Affected WTG]],'Basic Data'!$A:$A,'Basic Data'!$B:$B)</f>
        <v>PWEGPL</v>
      </c>
      <c r="I773" s="39" t="str">
        <f>_xlfn.XLOOKUP(Table6[[#This Row],[Affected WTG]],'Basic Data'!$A:$A,'Basic Data'!$C:$C)</f>
        <v>MSEDCL</v>
      </c>
      <c r="J773" s="345">
        <f>IFERROR(VLOOKUP(Table6[[#This Row],[Affected WTG]],'Basic Data'!$A$3:$E$56,5,0),"")</f>
        <v>2.564102564102564E-2</v>
      </c>
      <c r="K773" s="105">
        <v>2100</v>
      </c>
      <c r="L773" s="39" t="str">
        <f>IFERROR(VLOOKUP(Table6[[#This Row],[Error Code]],'Basic Data'!$T:$U,2,0),"")</f>
        <v>PLC Voltage Recovery</v>
      </c>
      <c r="M773" s="346" t="s">
        <v>462</v>
      </c>
      <c r="N773" s="39" t="s">
        <v>1270</v>
      </c>
      <c r="O773" s="347">
        <v>0.69791666666666663</v>
      </c>
      <c r="P773" s="347">
        <v>0.72222222222222221</v>
      </c>
      <c r="Q773" s="347">
        <v>0.72291666666666665</v>
      </c>
      <c r="R773" s="348">
        <f>IF(Table6[[#This Row],[Work Start TimeStamp]]="","",(Table6[[#This Row],[Work Start TimeStamp]]-Table6[[#This Row],[Fault Start TimeStamp]])*24)</f>
        <v>0.58333333333333393</v>
      </c>
      <c r="S773" s="349">
        <f>(Table6[[#This Row],[Fault Clearance time]]-Table6[[#This Row],[Work Start TimeStamp]])*24</f>
        <v>1.6666666666666607E-2</v>
      </c>
      <c r="T773" s="350">
        <f>(Table6[[#This Row],[Fault Clearance time]]-Table6[[#This Row],[Fault Start TimeStamp]])*24</f>
        <v>0.60000000000000053</v>
      </c>
      <c r="U773" s="346" t="s">
        <v>493</v>
      </c>
      <c r="V773" s="351" t="s">
        <v>463</v>
      </c>
      <c r="W773" s="338">
        <f>Table6[[#This Row],[Breakdown Time]]*(1/39)</f>
        <v>1.5384615384615398E-2</v>
      </c>
      <c r="X773" s="336" t="s">
        <v>465</v>
      </c>
      <c r="Y773" s="352" t="s">
        <v>143</v>
      </c>
      <c r="Z773" s="105">
        <v>2123</v>
      </c>
      <c r="AA773" s="107">
        <v>53.075000000000045</v>
      </c>
      <c r="AB773" s="105" t="s">
        <v>478</v>
      </c>
    </row>
    <row r="774" spans="1:28">
      <c r="A774" s="105">
        <f t="shared" si="12"/>
        <v>773</v>
      </c>
      <c r="B774" s="107">
        <f>YEAR(Table6[[#This Row],[Date]])+IF(MONTH(Table6[[#This Row],[Date]])&gt;=4,1,0)</f>
        <v>2026</v>
      </c>
      <c r="C774" s="105">
        <f>YEAR(Table6[[#This Row],[Date]])</f>
        <v>2025</v>
      </c>
      <c r="D774" s="105" t="s">
        <v>490</v>
      </c>
      <c r="E774" s="119">
        <f>Table6[[#This Row],[Date]]-DAY(Table6[[#This Row],[Date]])+1</f>
        <v>45809</v>
      </c>
      <c r="F774" s="118">
        <v>45821</v>
      </c>
      <c r="G774" s="105" t="s">
        <v>143</v>
      </c>
      <c r="H774" s="39" t="str">
        <f>_xlfn.XLOOKUP(Table6[[#This Row],[Affected WTG]],'Basic Data'!$A:$A,'Basic Data'!$B:$B)</f>
        <v>PWEGPL</v>
      </c>
      <c r="I774" s="39" t="str">
        <f>_xlfn.XLOOKUP(Table6[[#This Row],[Affected WTG]],'Basic Data'!$A:$A,'Basic Data'!$C:$C)</f>
        <v>MSEDCL</v>
      </c>
      <c r="J774" s="345">
        <f>IFERROR(VLOOKUP(Table6[[#This Row],[Affected WTG]],'Basic Data'!$A$3:$E$56,5,0),"")</f>
        <v>2.564102564102564E-2</v>
      </c>
      <c r="K774" s="105">
        <v>2100</v>
      </c>
      <c r="L774" s="39" t="str">
        <f>IFERROR(VLOOKUP(Table6[[#This Row],[Error Code]],'Basic Data'!$T:$U,2,0),"")</f>
        <v>PLC Voltage Recovery</v>
      </c>
      <c r="M774" s="346" t="s">
        <v>462</v>
      </c>
      <c r="N774" s="39" t="s">
        <v>1270</v>
      </c>
      <c r="O774" s="347">
        <v>0.69791666666666663</v>
      </c>
      <c r="P774" s="347">
        <v>0.72916666666666663</v>
      </c>
      <c r="Q774" s="347">
        <v>0.72986111111111107</v>
      </c>
      <c r="R774" s="348">
        <f>IF(Table6[[#This Row],[Work Start TimeStamp]]="","",(Table6[[#This Row],[Work Start TimeStamp]]-Table6[[#This Row],[Fault Start TimeStamp]])*24)</f>
        <v>0.75</v>
      </c>
      <c r="S774" s="349">
        <f>(Table6[[#This Row],[Fault Clearance time]]-Table6[[#This Row],[Work Start TimeStamp]])*24</f>
        <v>1.6666666666666607E-2</v>
      </c>
      <c r="T774" s="350">
        <f>(Table6[[#This Row],[Fault Clearance time]]-Table6[[#This Row],[Fault Start TimeStamp]])*24</f>
        <v>0.76666666666666661</v>
      </c>
      <c r="U774" s="346" t="s">
        <v>493</v>
      </c>
      <c r="V774" s="351" t="s">
        <v>463</v>
      </c>
      <c r="W774" s="338">
        <f>Table6[[#This Row],[Breakdown Time]]*(1/39)</f>
        <v>1.9658119658119654E-2</v>
      </c>
      <c r="X774" s="336" t="s">
        <v>465</v>
      </c>
      <c r="Y774" s="352" t="s">
        <v>141</v>
      </c>
      <c r="Z774" s="105">
        <v>2121</v>
      </c>
      <c r="AA774" s="107">
        <v>67.754166666666663</v>
      </c>
      <c r="AB774" s="105" t="s">
        <v>478</v>
      </c>
    </row>
    <row r="775" spans="1:28">
      <c r="A775" s="105">
        <f t="shared" si="12"/>
        <v>774</v>
      </c>
      <c r="B775" s="107">
        <f>YEAR(Table6[[#This Row],[Date]])+IF(MONTH(Table6[[#This Row],[Date]])&gt;=4,1,0)</f>
        <v>2026</v>
      </c>
      <c r="C775" s="105">
        <f>YEAR(Table6[[#This Row],[Date]])</f>
        <v>2025</v>
      </c>
      <c r="D775" s="105" t="s">
        <v>490</v>
      </c>
      <c r="E775" s="119">
        <f>Table6[[#This Row],[Date]]-DAY(Table6[[#This Row],[Date]])+1</f>
        <v>45809</v>
      </c>
      <c r="F775" s="118">
        <v>45821</v>
      </c>
      <c r="G775" s="105" t="s">
        <v>151</v>
      </c>
      <c r="H775" s="39" t="str">
        <f>_xlfn.XLOOKUP(Table6[[#This Row],[Affected WTG]],'Basic Data'!$A:$A,'Basic Data'!$B:$B)</f>
        <v>PWEGPL</v>
      </c>
      <c r="I775" s="39" t="str">
        <f>_xlfn.XLOOKUP(Table6[[#This Row],[Affected WTG]],'Basic Data'!$A:$A,'Basic Data'!$C:$C)</f>
        <v>MSEDCL</v>
      </c>
      <c r="J775" s="345">
        <f>IFERROR(VLOOKUP(Table6[[#This Row],[Affected WTG]],'Basic Data'!$A$3:$E$56,5,0),"")</f>
        <v>2.564102564102564E-2</v>
      </c>
      <c r="K775" s="105" t="s">
        <v>466</v>
      </c>
      <c r="L775" s="39" t="str">
        <f>IFERROR(VLOOKUP(Table6[[#This Row],[Error Code]],'Basic Data'!$T:$U,2,0),"")</f>
        <v>Manual Stop</v>
      </c>
      <c r="M775" s="346" t="s">
        <v>479</v>
      </c>
      <c r="N775" s="39" t="s">
        <v>230</v>
      </c>
      <c r="O775" s="347">
        <v>0.53402777777777777</v>
      </c>
      <c r="P775" s="347">
        <v>0.53402777777777777</v>
      </c>
      <c r="Q775" s="347">
        <v>0.58194444444444449</v>
      </c>
      <c r="R775" s="348">
        <f>IF(Table6[[#This Row],[Work Start TimeStamp]]="","",(Table6[[#This Row],[Work Start TimeStamp]]-Table6[[#This Row],[Fault Start TimeStamp]])*24)</f>
        <v>0</v>
      </c>
      <c r="S775" s="349">
        <f>(Table6[[#This Row],[Fault Clearance time]]-Table6[[#This Row],[Work Start TimeStamp]])*24</f>
        <v>1.1500000000000012</v>
      </c>
      <c r="T775" s="350">
        <f>(Table6[[#This Row],[Fault Clearance time]]-Table6[[#This Row],[Fault Start TimeStamp]])*24</f>
        <v>1.1500000000000012</v>
      </c>
      <c r="U775" s="346" t="s">
        <v>1213</v>
      </c>
      <c r="V775" s="351" t="s">
        <v>463</v>
      </c>
      <c r="W775" s="338">
        <f>Table6[[#This Row],[Breakdown Time]]*(1/39)</f>
        <v>2.9487179487179518E-2</v>
      </c>
      <c r="X775" s="336" t="s">
        <v>464</v>
      </c>
      <c r="Y775" s="352" t="s">
        <v>152</v>
      </c>
      <c r="Z775" s="105">
        <v>2762</v>
      </c>
      <c r="AA775" s="107">
        <v>132.34583333333347</v>
      </c>
      <c r="AB775" s="105" t="s">
        <v>478</v>
      </c>
    </row>
    <row r="776" spans="1:28">
      <c r="A776" s="105">
        <f t="shared" si="12"/>
        <v>775</v>
      </c>
      <c r="B776" s="107">
        <f>YEAR(Table6[[#This Row],[Date]])+IF(MONTH(Table6[[#This Row],[Date]])&gt;=4,1,0)</f>
        <v>2026</v>
      </c>
      <c r="C776" s="105">
        <f>YEAR(Table6[[#This Row],[Date]])</f>
        <v>2025</v>
      </c>
      <c r="D776" s="105" t="s">
        <v>490</v>
      </c>
      <c r="E776" s="119">
        <f>Table6[[#This Row],[Date]]-DAY(Table6[[#This Row],[Date]])+1</f>
        <v>45809</v>
      </c>
      <c r="F776" s="118">
        <v>45822</v>
      </c>
      <c r="G776" s="105" t="s">
        <v>144</v>
      </c>
      <c r="H776" s="39" t="str">
        <f>_xlfn.XLOOKUP(Table6[[#This Row],[Affected WTG]],'Basic Data'!$A:$A,'Basic Data'!$B:$B)</f>
        <v>PWEGPL</v>
      </c>
      <c r="I776" s="39" t="str">
        <f>_xlfn.XLOOKUP(Table6[[#This Row],[Affected WTG]],'Basic Data'!$A:$A,'Basic Data'!$C:$C)</f>
        <v>MSEDCL</v>
      </c>
      <c r="J776" s="345">
        <f>IFERROR(VLOOKUP(Table6[[#This Row],[Affected WTG]],'Basic Data'!$A$3:$E$56,5,0),"")</f>
        <v>2.564102564102564E-2</v>
      </c>
      <c r="K776" s="105" t="s">
        <v>492</v>
      </c>
      <c r="L776" s="39" t="str">
        <f>IFERROR(VLOOKUP(Table6[[#This Row],[Error Code]],'Basic Data'!$T:$U,2,0),"")</f>
        <v>Manual Stop - Safety Related</v>
      </c>
      <c r="M776" s="346" t="s">
        <v>481</v>
      </c>
      <c r="N776" s="39" t="s">
        <v>1269</v>
      </c>
      <c r="O776" s="347">
        <v>0</v>
      </c>
      <c r="P776" s="347">
        <v>0.99998842592592596</v>
      </c>
      <c r="Q776" s="347">
        <v>0.99998842592592596</v>
      </c>
      <c r="R776" s="348">
        <f>IF(Table6[[#This Row],[Work Start TimeStamp]]="","",(Table6[[#This Row],[Work Start TimeStamp]]-Table6[[#This Row],[Fault Start TimeStamp]])*24)</f>
        <v>23.999722222222225</v>
      </c>
      <c r="S776" s="349">
        <f>(Table6[[#This Row],[Fault Clearance time]]-Table6[[#This Row],[Work Start TimeStamp]])*24</f>
        <v>0</v>
      </c>
      <c r="T776" s="350">
        <f>(Table6[[#This Row],[Fault Clearance time]]-Table6[[#This Row],[Fault Start TimeStamp]])*24</f>
        <v>23.999722222222225</v>
      </c>
      <c r="U776" s="346" t="s">
        <v>498</v>
      </c>
      <c r="V776" s="351" t="s">
        <v>473</v>
      </c>
      <c r="W776" s="338">
        <f>Table6[[#This Row],[Breakdown Time]]*(1/39)</f>
        <v>0.61537749287749288</v>
      </c>
      <c r="X776" s="336" t="s">
        <v>468</v>
      </c>
      <c r="Y776" s="352" t="s">
        <v>141</v>
      </c>
      <c r="Z776" s="105">
        <v>2153</v>
      </c>
      <c r="AA776" s="107">
        <f>IFERROR((Table6[[#This Row],[Paired WTG Generation for loss calculation]]/24)*Table6[[#This Row],[Breakdown Time]],"")</f>
        <v>2152.9750810185187</v>
      </c>
      <c r="AB776" s="105" t="s">
        <v>478</v>
      </c>
    </row>
    <row r="777" spans="1:28">
      <c r="A777" s="105">
        <f t="shared" si="12"/>
        <v>776</v>
      </c>
      <c r="B777" s="107">
        <f>YEAR(Table6[[#This Row],[Date]])+IF(MONTH(Table6[[#This Row],[Date]])&gt;=4,1,0)</f>
        <v>2026</v>
      </c>
      <c r="C777" s="105">
        <f>YEAR(Table6[[#This Row],[Date]])</f>
        <v>2025</v>
      </c>
      <c r="D777" s="105" t="s">
        <v>490</v>
      </c>
      <c r="E777" s="119">
        <f>Table6[[#This Row],[Date]]-DAY(Table6[[#This Row],[Date]])+1</f>
        <v>45809</v>
      </c>
      <c r="F777" s="118">
        <v>45822</v>
      </c>
      <c r="G777" s="105" t="s">
        <v>142</v>
      </c>
      <c r="H777" s="39" t="str">
        <f>_xlfn.XLOOKUP(Table6[[#This Row],[Affected WTG]],'Basic Data'!$A:$A,'Basic Data'!$B:$B)</f>
        <v>PWEGPL</v>
      </c>
      <c r="I777" s="39" t="str">
        <f>_xlfn.XLOOKUP(Table6[[#This Row],[Affected WTG]],'Basic Data'!$A:$A,'Basic Data'!$C:$C)</f>
        <v>MSEDCL</v>
      </c>
      <c r="J777" s="345">
        <f>IFERROR(VLOOKUP(Table6[[#This Row],[Affected WTG]],'Basic Data'!$A$3:$E$56,5,0),"")</f>
        <v>2.564102564102564E-2</v>
      </c>
      <c r="K777" s="105" t="s">
        <v>492</v>
      </c>
      <c r="L777" s="39" t="str">
        <f>IFERROR(VLOOKUP(Table6[[#This Row],[Error Code]],'Basic Data'!$T:$U,2,0),"")</f>
        <v>Manual Stop - Safety Related</v>
      </c>
      <c r="M777" s="346" t="s">
        <v>481</v>
      </c>
      <c r="N777" s="39" t="s">
        <v>1269</v>
      </c>
      <c r="O777" s="347">
        <v>0</v>
      </c>
      <c r="P777" s="347">
        <v>0.99998842592592596</v>
      </c>
      <c r="Q777" s="347">
        <v>0.99998842592592596</v>
      </c>
      <c r="R777" s="348">
        <f>IF(Table6[[#This Row],[Work Start TimeStamp]]="","",(Table6[[#This Row],[Work Start TimeStamp]]-Table6[[#This Row],[Fault Start TimeStamp]])*24)</f>
        <v>23.999722222222225</v>
      </c>
      <c r="S777" s="349">
        <f>(Table6[[#This Row],[Fault Clearance time]]-Table6[[#This Row],[Work Start TimeStamp]])*24</f>
        <v>0</v>
      </c>
      <c r="T777" s="350">
        <f>(Table6[[#This Row],[Fault Clearance time]]-Table6[[#This Row],[Fault Start TimeStamp]])*24</f>
        <v>23.999722222222225</v>
      </c>
      <c r="U777" s="346" t="s">
        <v>498</v>
      </c>
      <c r="V777" s="351" t="s">
        <v>473</v>
      </c>
      <c r="W777" s="338">
        <f>Table6[[#This Row],[Breakdown Time]]*(1/39)</f>
        <v>0.61537749287749288</v>
      </c>
      <c r="X777" s="336" t="s">
        <v>468</v>
      </c>
      <c r="Y777" s="352" t="s">
        <v>141</v>
      </c>
      <c r="Z777" s="105">
        <v>2153</v>
      </c>
      <c r="AA777" s="107">
        <f>IFERROR((Table6[[#This Row],[Paired WTG Generation for loss calculation]]/24)*Table6[[#This Row],[Breakdown Time]],"")</f>
        <v>2152.9750810185187</v>
      </c>
      <c r="AB777" s="105" t="s">
        <v>478</v>
      </c>
    </row>
    <row r="778" spans="1:28">
      <c r="A778" s="105">
        <f t="shared" si="12"/>
        <v>777</v>
      </c>
      <c r="B778" s="107">
        <f>YEAR(Table6[[#This Row],[Date]])+IF(MONTH(Table6[[#This Row],[Date]])&gt;=4,1,0)</f>
        <v>2026</v>
      </c>
      <c r="C778" s="105">
        <f>YEAR(Table6[[#This Row],[Date]])</f>
        <v>2025</v>
      </c>
      <c r="D778" s="105" t="s">
        <v>490</v>
      </c>
      <c r="E778" s="119">
        <f>Table6[[#This Row],[Date]]-DAY(Table6[[#This Row],[Date]])+1</f>
        <v>45809</v>
      </c>
      <c r="F778" s="118">
        <v>45822</v>
      </c>
      <c r="G778" s="105" t="s">
        <v>131</v>
      </c>
      <c r="H778" s="39" t="str">
        <f>_xlfn.XLOOKUP(Table6[[#This Row],[Affected WTG]],'Basic Data'!$A:$A,'Basic Data'!$B:$B)</f>
        <v>PWEGPL</v>
      </c>
      <c r="I778" s="39" t="str">
        <f>_xlfn.XLOOKUP(Table6[[#This Row],[Affected WTG]],'Basic Data'!$A:$A,'Basic Data'!$C:$C)</f>
        <v>MSEDCL</v>
      </c>
      <c r="J778" s="345">
        <f>IFERROR(VLOOKUP(Table6[[#This Row],[Affected WTG]],'Basic Data'!$A$3:$E$56,5,0),"")</f>
        <v>2.564102564102564E-2</v>
      </c>
      <c r="K778" s="105">
        <v>5216</v>
      </c>
      <c r="L778" s="39" t="str">
        <f>IFERROR(VLOOKUP(Table6[[#This Row],[Error Code]],'Basic Data'!$T:$U,2,0),"")</f>
        <v>Grid Voltage Failure</v>
      </c>
      <c r="M778" s="346" t="s">
        <v>462</v>
      </c>
      <c r="N778" s="39" t="s">
        <v>1270</v>
      </c>
      <c r="O778" s="347">
        <v>0</v>
      </c>
      <c r="P778" s="347">
        <v>0.99998842592592596</v>
      </c>
      <c r="Q778" s="347">
        <v>0.99998842592592596</v>
      </c>
      <c r="R778" s="348">
        <f>IF(Table6[[#This Row],[Work Start TimeStamp]]="","",(Table6[[#This Row],[Work Start TimeStamp]]-Table6[[#This Row],[Fault Start TimeStamp]])*24)</f>
        <v>23.999722222222225</v>
      </c>
      <c r="S778" s="349">
        <f>(Table6[[#This Row],[Fault Clearance time]]-Table6[[#This Row],[Work Start TimeStamp]])*24</f>
        <v>0</v>
      </c>
      <c r="T778" s="350">
        <f>(Table6[[#This Row],[Fault Clearance time]]-Table6[[#This Row],[Fault Start TimeStamp]])*24</f>
        <v>23.999722222222225</v>
      </c>
      <c r="U778" s="346" t="s">
        <v>1247</v>
      </c>
      <c r="V778" s="351" t="s">
        <v>473</v>
      </c>
      <c r="W778" s="338">
        <f>Table6[[#This Row],[Breakdown Time]]*(1/39)</f>
        <v>0.61537749287749288</v>
      </c>
      <c r="X778" s="336" t="s">
        <v>465</v>
      </c>
      <c r="Y778" s="352" t="s">
        <v>132</v>
      </c>
      <c r="Z778" s="105">
        <v>1943</v>
      </c>
      <c r="AA778" s="107">
        <f>IFERROR((Table6[[#This Row],[Paired WTG Generation for loss calculation]]/24)*Table6[[#This Row],[Breakdown Time]],"")</f>
        <v>1942.9775115740742</v>
      </c>
      <c r="AB778" s="105" t="s">
        <v>1246</v>
      </c>
    </row>
    <row r="779" spans="1:28">
      <c r="A779" s="105">
        <f t="shared" si="12"/>
        <v>778</v>
      </c>
      <c r="B779" s="107">
        <f>YEAR(Table6[[#This Row],[Date]])+IF(MONTH(Table6[[#This Row],[Date]])&gt;=4,1,0)</f>
        <v>2026</v>
      </c>
      <c r="C779" s="105">
        <f>YEAR(Table6[[#This Row],[Date]])</f>
        <v>2025</v>
      </c>
      <c r="D779" s="105" t="s">
        <v>490</v>
      </c>
      <c r="E779" s="119">
        <f>Table6[[#This Row],[Date]]-DAY(Table6[[#This Row],[Date]])+1</f>
        <v>45809</v>
      </c>
      <c r="F779" s="118">
        <v>45822</v>
      </c>
      <c r="G779" s="105" t="s">
        <v>130</v>
      </c>
      <c r="H779" s="39" t="str">
        <f>_xlfn.XLOOKUP(Table6[[#This Row],[Affected WTG]],'Basic Data'!$A:$A,'Basic Data'!$B:$B)</f>
        <v>PWEGPL</v>
      </c>
      <c r="I779" s="39" t="str">
        <f>_xlfn.XLOOKUP(Table6[[#This Row],[Affected WTG]],'Basic Data'!$A:$A,'Basic Data'!$C:$C)</f>
        <v>MSEDCL</v>
      </c>
      <c r="J779" s="345">
        <f>IFERROR(VLOOKUP(Table6[[#This Row],[Affected WTG]],'Basic Data'!$A$3:$E$56,5,0),"")</f>
        <v>2.564102564102564E-2</v>
      </c>
      <c r="K779" s="105">
        <v>2118</v>
      </c>
      <c r="L779" s="39" t="str">
        <f>IFERROR(VLOOKUP(Table6[[#This Row],[Error Code]],'Basic Data'!$T:$U,2,0),"")</f>
        <v>Bus Error - Interbus Failure</v>
      </c>
      <c r="M779" s="346" t="s">
        <v>462</v>
      </c>
      <c r="N779" s="39" t="s">
        <v>1270</v>
      </c>
      <c r="O779" s="347">
        <v>0.45555555555555555</v>
      </c>
      <c r="P779" s="347">
        <v>0.4826388888888889</v>
      </c>
      <c r="Q779" s="347">
        <v>0.50416666666666665</v>
      </c>
      <c r="R779" s="348">
        <f>IF(Table6[[#This Row],[Work Start TimeStamp]]="","",(Table6[[#This Row],[Work Start TimeStamp]]-Table6[[#This Row],[Fault Start TimeStamp]])*24)</f>
        <v>0.65000000000000036</v>
      </c>
      <c r="S779" s="349">
        <f>(Table6[[#This Row],[Fault Clearance time]]-Table6[[#This Row],[Work Start TimeStamp]])*24</f>
        <v>0.51666666666666616</v>
      </c>
      <c r="T779" s="350">
        <f>(Table6[[#This Row],[Fault Clearance time]]-Table6[[#This Row],[Fault Start TimeStamp]])*24</f>
        <v>1.1666666666666665</v>
      </c>
      <c r="U779" s="346" t="s">
        <v>1244</v>
      </c>
      <c r="V779" s="351" t="s">
        <v>463</v>
      </c>
      <c r="W779" s="338">
        <f>Table6[[#This Row],[Breakdown Time]]*(1/39)</f>
        <v>2.9914529914529909E-2</v>
      </c>
      <c r="X779" s="336" t="s">
        <v>465</v>
      </c>
      <c r="Y779" s="352" t="s">
        <v>132</v>
      </c>
      <c r="Z779" s="105">
        <v>1943</v>
      </c>
      <c r="AA779" s="107">
        <f>IFERROR((Table6[[#This Row],[Paired WTG Generation for loss calculation]]/24)*Table6[[#This Row],[Breakdown Time]],"")</f>
        <v>94.451388888888872</v>
      </c>
      <c r="AB779" s="105" t="s">
        <v>478</v>
      </c>
    </row>
    <row r="780" spans="1:28">
      <c r="A780" s="105">
        <f t="shared" si="12"/>
        <v>779</v>
      </c>
      <c r="B780" s="107">
        <f>YEAR(Table6[[#This Row],[Date]])+IF(MONTH(Table6[[#This Row],[Date]])&gt;=4,1,0)</f>
        <v>2026</v>
      </c>
      <c r="C780" s="105">
        <f>YEAR(Table6[[#This Row],[Date]])</f>
        <v>2025</v>
      </c>
      <c r="D780" s="105" t="s">
        <v>490</v>
      </c>
      <c r="E780" s="119">
        <f>Table6[[#This Row],[Date]]-DAY(Table6[[#This Row],[Date]])+1</f>
        <v>45809</v>
      </c>
      <c r="F780" s="118">
        <v>45822</v>
      </c>
      <c r="G780" s="105" t="s">
        <v>152</v>
      </c>
      <c r="H780" s="39" t="str">
        <f>_xlfn.XLOOKUP(Table6[[#This Row],[Affected WTG]],'Basic Data'!$A:$A,'Basic Data'!$B:$B)</f>
        <v>PWEGPL</v>
      </c>
      <c r="I780" s="39" t="str">
        <f>_xlfn.XLOOKUP(Table6[[#This Row],[Affected WTG]],'Basic Data'!$A:$A,'Basic Data'!$C:$C)</f>
        <v>MSEDCL</v>
      </c>
      <c r="J780" s="345">
        <f>IFERROR(VLOOKUP(Table6[[#This Row],[Affected WTG]],'Basic Data'!$A$3:$E$56,5,0),"")</f>
        <v>2.564102564102564E-2</v>
      </c>
      <c r="K780" s="105">
        <v>2118</v>
      </c>
      <c r="L780" s="39" t="str">
        <f>IFERROR(VLOOKUP(Table6[[#This Row],[Error Code]],'Basic Data'!$T:$U,2,0),"")</f>
        <v>Bus Error - Interbus Failure</v>
      </c>
      <c r="M780" s="346" t="s">
        <v>462</v>
      </c>
      <c r="N780" s="39" t="s">
        <v>1270</v>
      </c>
      <c r="O780" s="347">
        <v>0.50416666666666665</v>
      </c>
      <c r="P780" s="347">
        <v>0.60416666666666663</v>
      </c>
      <c r="Q780" s="347">
        <v>0.66736111111111107</v>
      </c>
      <c r="R780" s="348">
        <f>IF(Table6[[#This Row],[Work Start TimeStamp]]="","",(Table6[[#This Row],[Work Start TimeStamp]]-Table6[[#This Row],[Fault Start TimeStamp]])*24)</f>
        <v>2.3999999999999995</v>
      </c>
      <c r="S780" s="349">
        <f>(Table6[[#This Row],[Fault Clearance time]]-Table6[[#This Row],[Work Start TimeStamp]])*24</f>
        <v>1.5166666666666666</v>
      </c>
      <c r="T780" s="350">
        <f>(Table6[[#This Row],[Fault Clearance time]]-Table6[[#This Row],[Fault Start TimeStamp]])*24</f>
        <v>3.9166666666666661</v>
      </c>
      <c r="U780" s="346" t="s">
        <v>1245</v>
      </c>
      <c r="V780" s="351" t="s">
        <v>463</v>
      </c>
      <c r="W780" s="338">
        <f>Table6[[#This Row],[Breakdown Time]]*(1/39)</f>
        <v>0.1004273504273504</v>
      </c>
      <c r="X780" s="336" t="s">
        <v>465</v>
      </c>
      <c r="Y780" s="352" t="s">
        <v>153</v>
      </c>
      <c r="Z780" s="105">
        <v>2126</v>
      </c>
      <c r="AA780" s="107">
        <f>IFERROR((Table6[[#This Row],[Paired WTG Generation for loss calculation]]/24)*Table6[[#This Row],[Breakdown Time]],"")</f>
        <v>346.9513888888888</v>
      </c>
      <c r="AB780" s="105" t="s">
        <v>478</v>
      </c>
    </row>
    <row r="781" spans="1:28">
      <c r="A781" s="105">
        <f t="shared" si="12"/>
        <v>780</v>
      </c>
      <c r="B781" s="107">
        <f>YEAR(Table6[[#This Row],[Date]])+IF(MONTH(Table6[[#This Row],[Date]])&gt;=4,1,0)</f>
        <v>2026</v>
      </c>
      <c r="C781" s="105">
        <f>YEAR(Table6[[#This Row],[Date]])</f>
        <v>2025</v>
      </c>
      <c r="D781" s="105" t="s">
        <v>490</v>
      </c>
      <c r="E781" s="119">
        <f>Table6[[#This Row],[Date]]-DAY(Table6[[#This Row],[Date]])+1</f>
        <v>45809</v>
      </c>
      <c r="F781" s="118">
        <v>45822</v>
      </c>
      <c r="G781" s="105" t="s">
        <v>133</v>
      </c>
      <c r="H781" s="39" t="str">
        <f>_xlfn.XLOOKUP(Table6[[#This Row],[Affected WTG]],'Basic Data'!$A:$A,'Basic Data'!$B:$B)</f>
        <v>PWEGPL</v>
      </c>
      <c r="I781" s="39" t="str">
        <f>_xlfn.XLOOKUP(Table6[[#This Row],[Affected WTG]],'Basic Data'!$A:$A,'Basic Data'!$C:$C)</f>
        <v>MSEDCL</v>
      </c>
      <c r="J781" s="345">
        <f>IFERROR(VLOOKUP(Table6[[#This Row],[Affected WTG]],'Basic Data'!$A$3:$E$56,5,0),"")</f>
        <v>2.564102564102564E-2</v>
      </c>
      <c r="K781" s="105" t="s">
        <v>466</v>
      </c>
      <c r="L781" s="39" t="str">
        <f>IFERROR(VLOOKUP(Table6[[#This Row],[Error Code]],'Basic Data'!$T:$U,2,0),"")</f>
        <v>Manual Stop</v>
      </c>
      <c r="M781" s="346" t="s">
        <v>479</v>
      </c>
      <c r="N781" s="39" t="s">
        <v>230</v>
      </c>
      <c r="O781" s="347">
        <v>0.58472222222222225</v>
      </c>
      <c r="P781" s="347">
        <v>0.58472222222222225</v>
      </c>
      <c r="Q781" s="347">
        <v>0.6875</v>
      </c>
      <c r="R781" s="348">
        <f>IF(Table6[[#This Row],[Work Start TimeStamp]]="","",(Table6[[#This Row],[Work Start TimeStamp]]-Table6[[#This Row],[Fault Start TimeStamp]])*24)</f>
        <v>0</v>
      </c>
      <c r="S781" s="349">
        <f>(Table6[[#This Row],[Fault Clearance time]]-Table6[[#This Row],[Work Start TimeStamp]])*24</f>
        <v>2.4666666666666659</v>
      </c>
      <c r="T781" s="350">
        <f>(Table6[[#This Row],[Fault Clearance time]]-Table6[[#This Row],[Fault Start TimeStamp]])*24</f>
        <v>2.4666666666666659</v>
      </c>
      <c r="U781" s="346" t="s">
        <v>1243</v>
      </c>
      <c r="V781" s="351" t="s">
        <v>463</v>
      </c>
      <c r="W781" s="338">
        <f>Table6[[#This Row],[Breakdown Time]]*(1/39)</f>
        <v>6.3247863247863231E-2</v>
      </c>
      <c r="X781" s="336" t="s">
        <v>464</v>
      </c>
      <c r="Y781" s="352" t="s">
        <v>132</v>
      </c>
      <c r="Z781" s="105">
        <v>1943</v>
      </c>
      <c r="AA781" s="107">
        <f>IFERROR((Table6[[#This Row],[Paired WTG Generation for loss calculation]]/24)*Table6[[#This Row],[Breakdown Time]],"")</f>
        <v>199.69722222222214</v>
      </c>
      <c r="AB781" s="105" t="s">
        <v>478</v>
      </c>
    </row>
    <row r="782" spans="1:28">
      <c r="A782" s="105">
        <f t="shared" si="12"/>
        <v>781</v>
      </c>
      <c r="B782" s="107">
        <f>YEAR(Table6[[#This Row],[Date]])+IF(MONTH(Table6[[#This Row],[Date]])&gt;=4,1,0)</f>
        <v>2026</v>
      </c>
      <c r="C782" s="105">
        <f>YEAR(Table6[[#This Row],[Date]])</f>
        <v>2025</v>
      </c>
      <c r="D782" s="105" t="s">
        <v>490</v>
      </c>
      <c r="E782" s="119">
        <f>Table6[[#This Row],[Date]]-DAY(Table6[[#This Row],[Date]])+1</f>
        <v>45809</v>
      </c>
      <c r="F782" s="118">
        <v>45822</v>
      </c>
      <c r="G782" s="105" t="s">
        <v>118</v>
      </c>
      <c r="H782" s="39" t="str">
        <f>_xlfn.XLOOKUP(Table6[[#This Row],[Affected WTG]],'Basic Data'!$A:$A,'Basic Data'!$B:$B)</f>
        <v>PWEGPL</v>
      </c>
      <c r="I782" s="39" t="str">
        <f>_xlfn.XLOOKUP(Table6[[#This Row],[Affected WTG]],'Basic Data'!$A:$A,'Basic Data'!$C:$C)</f>
        <v>MSEDCL</v>
      </c>
      <c r="J782" s="345">
        <f>IFERROR(VLOOKUP(Table6[[#This Row],[Affected WTG]],'Basic Data'!$A$3:$E$56,5,0),"")</f>
        <v>2.564102564102564E-2</v>
      </c>
      <c r="K782" s="105">
        <v>2118</v>
      </c>
      <c r="L782" s="39" t="str">
        <f>IFERROR(VLOOKUP(Table6[[#This Row],[Error Code]],'Basic Data'!$T:$U,2,0),"")</f>
        <v>Bus Error - Interbus Failure</v>
      </c>
      <c r="M782" s="346" t="s">
        <v>462</v>
      </c>
      <c r="N782" s="39" t="s">
        <v>1270</v>
      </c>
      <c r="O782" s="347">
        <v>0.54861111111111116</v>
      </c>
      <c r="P782" s="347">
        <v>0.5756944444444444</v>
      </c>
      <c r="Q782" s="347">
        <v>0.58194444444444449</v>
      </c>
      <c r="R782" s="348">
        <f>IF(Table6[[#This Row],[Work Start TimeStamp]]="","",(Table6[[#This Row],[Work Start TimeStamp]]-Table6[[#This Row],[Fault Start TimeStamp]])*24)</f>
        <v>0.64999999999999769</v>
      </c>
      <c r="S782" s="349">
        <f>(Table6[[#This Row],[Fault Clearance time]]-Table6[[#This Row],[Work Start TimeStamp]])*24</f>
        <v>0.15000000000000213</v>
      </c>
      <c r="T782" s="350">
        <f>(Table6[[#This Row],[Fault Clearance time]]-Table6[[#This Row],[Fault Start TimeStamp]])*24</f>
        <v>0.79999999999999982</v>
      </c>
      <c r="U782" s="346" t="s">
        <v>493</v>
      </c>
      <c r="V782" s="351" t="s">
        <v>463</v>
      </c>
      <c r="W782" s="338">
        <f>Table6[[#This Row],[Breakdown Time]]*(1/39)</f>
        <v>2.0512820512820506E-2</v>
      </c>
      <c r="X782" s="336" t="s">
        <v>465</v>
      </c>
      <c r="Y782" s="352" t="s">
        <v>117</v>
      </c>
      <c r="Z782" s="105">
        <v>2120</v>
      </c>
      <c r="AA782" s="107">
        <f>IFERROR((Table6[[#This Row],[Paired WTG Generation for loss calculation]]/24)*Table6[[#This Row],[Breakdown Time]],"")</f>
        <v>70.666666666666643</v>
      </c>
      <c r="AB782" s="105" t="s">
        <v>478</v>
      </c>
    </row>
    <row r="783" spans="1:28">
      <c r="A783" s="105">
        <f t="shared" si="12"/>
        <v>782</v>
      </c>
      <c r="B783" s="107">
        <f>YEAR(Table6[[#This Row],[Date]])+IF(MONTH(Table6[[#This Row],[Date]])&gt;=4,1,0)</f>
        <v>2026</v>
      </c>
      <c r="C783" s="105">
        <f>YEAR(Table6[[#This Row],[Date]])</f>
        <v>2025</v>
      </c>
      <c r="D783" s="105" t="s">
        <v>490</v>
      </c>
      <c r="E783" s="119">
        <f>Table6[[#This Row],[Date]]-DAY(Table6[[#This Row],[Date]])+1</f>
        <v>45809</v>
      </c>
      <c r="F783" s="118">
        <v>45823</v>
      </c>
      <c r="G783" s="105" t="s">
        <v>144</v>
      </c>
      <c r="H783" s="39" t="str">
        <f>_xlfn.XLOOKUP(Table6[[#This Row],[Affected WTG]],'Basic Data'!$A:$A,'Basic Data'!$B:$B)</f>
        <v>PWEGPL</v>
      </c>
      <c r="I783" s="39" t="str">
        <f>_xlfn.XLOOKUP(Table6[[#This Row],[Affected WTG]],'Basic Data'!$A:$A,'Basic Data'!$C:$C)</f>
        <v>MSEDCL</v>
      </c>
      <c r="J783" s="345">
        <f>IFERROR(VLOOKUP(Table6[[#This Row],[Affected WTG]],'Basic Data'!$A$3:$E$56,5,0),"")</f>
        <v>2.564102564102564E-2</v>
      </c>
      <c r="K783" s="105" t="s">
        <v>492</v>
      </c>
      <c r="L783" s="39" t="str">
        <f>IFERROR(VLOOKUP(Table6[[#This Row],[Error Code]],'Basic Data'!$T:$U,2,0),"")</f>
        <v>Manual Stop - Safety Related</v>
      </c>
      <c r="M783" s="346" t="s">
        <v>481</v>
      </c>
      <c r="N783" s="39" t="s">
        <v>1269</v>
      </c>
      <c r="O783" s="347">
        <v>0</v>
      </c>
      <c r="P783" s="347">
        <v>0.99998842592592596</v>
      </c>
      <c r="Q783" s="347">
        <v>0.99998842592592596</v>
      </c>
      <c r="R783" s="348">
        <f>IF(Table6[[#This Row],[Work Start TimeStamp]]="","",(Table6[[#This Row],[Work Start TimeStamp]]-Table6[[#This Row],[Fault Start TimeStamp]])*24)</f>
        <v>23.999722222222225</v>
      </c>
      <c r="S783" s="349">
        <f>(Table6[[#This Row],[Fault Clearance time]]-Table6[[#This Row],[Work Start TimeStamp]])*24</f>
        <v>0</v>
      </c>
      <c r="T783" s="350">
        <f>(Table6[[#This Row],[Fault Clearance time]]-Table6[[#This Row],[Fault Start TimeStamp]])*24</f>
        <v>23.999722222222225</v>
      </c>
      <c r="U783" s="346" t="s">
        <v>498</v>
      </c>
      <c r="V783" s="351" t="s">
        <v>473</v>
      </c>
      <c r="W783" s="338">
        <f>Table6[[#This Row],[Breakdown Time]]*(1/39)</f>
        <v>0.61537749287749288</v>
      </c>
      <c r="X783" s="336" t="s">
        <v>468</v>
      </c>
      <c r="Y783" s="352" t="s">
        <v>141</v>
      </c>
      <c r="Z783" s="105">
        <v>7948</v>
      </c>
      <c r="AA783" s="107">
        <f>IFERROR((Table6[[#This Row],[Paired WTG Generation for loss calculation]]/24)*Table6[[#This Row],[Breakdown Time]],"")</f>
        <v>7947.9080092592603</v>
      </c>
      <c r="AB783" s="105" t="s">
        <v>478</v>
      </c>
    </row>
    <row r="784" spans="1:28">
      <c r="A784" s="105">
        <f t="shared" si="12"/>
        <v>783</v>
      </c>
      <c r="B784" s="107">
        <f>YEAR(Table6[[#This Row],[Date]])+IF(MONTH(Table6[[#This Row],[Date]])&gt;=4,1,0)</f>
        <v>2026</v>
      </c>
      <c r="C784" s="105">
        <f>YEAR(Table6[[#This Row],[Date]])</f>
        <v>2025</v>
      </c>
      <c r="D784" s="105" t="s">
        <v>490</v>
      </c>
      <c r="E784" s="119">
        <f>Table6[[#This Row],[Date]]-DAY(Table6[[#This Row],[Date]])+1</f>
        <v>45809</v>
      </c>
      <c r="F784" s="118">
        <v>45823</v>
      </c>
      <c r="G784" s="105" t="s">
        <v>142</v>
      </c>
      <c r="H784" s="39" t="str">
        <f>_xlfn.XLOOKUP(Table6[[#This Row],[Affected WTG]],'Basic Data'!$A:$A,'Basic Data'!$B:$B)</f>
        <v>PWEGPL</v>
      </c>
      <c r="I784" s="39" t="str">
        <f>_xlfn.XLOOKUP(Table6[[#This Row],[Affected WTG]],'Basic Data'!$A:$A,'Basic Data'!$C:$C)</f>
        <v>MSEDCL</v>
      </c>
      <c r="J784" s="345">
        <f>IFERROR(VLOOKUP(Table6[[#This Row],[Affected WTG]],'Basic Data'!$A$3:$E$56,5,0),"")</f>
        <v>2.564102564102564E-2</v>
      </c>
      <c r="K784" s="105" t="s">
        <v>492</v>
      </c>
      <c r="L784" s="39" t="str">
        <f>IFERROR(VLOOKUP(Table6[[#This Row],[Error Code]],'Basic Data'!$T:$U,2,0),"")</f>
        <v>Manual Stop - Safety Related</v>
      </c>
      <c r="M784" s="346" t="s">
        <v>481</v>
      </c>
      <c r="N784" s="39" t="s">
        <v>1269</v>
      </c>
      <c r="O784" s="347">
        <v>0</v>
      </c>
      <c r="P784" s="347">
        <v>0.99998842592592596</v>
      </c>
      <c r="Q784" s="347">
        <v>0.99998842592592596</v>
      </c>
      <c r="R784" s="348">
        <f>IF(Table6[[#This Row],[Work Start TimeStamp]]="","",(Table6[[#This Row],[Work Start TimeStamp]]-Table6[[#This Row],[Fault Start TimeStamp]])*24)</f>
        <v>23.999722222222225</v>
      </c>
      <c r="S784" s="349">
        <f>(Table6[[#This Row],[Fault Clearance time]]-Table6[[#This Row],[Work Start TimeStamp]])*24</f>
        <v>0</v>
      </c>
      <c r="T784" s="350">
        <f>(Table6[[#This Row],[Fault Clearance time]]-Table6[[#This Row],[Fault Start TimeStamp]])*24</f>
        <v>23.999722222222225</v>
      </c>
      <c r="U784" s="346" t="s">
        <v>498</v>
      </c>
      <c r="V784" s="351" t="s">
        <v>473</v>
      </c>
      <c r="W784" s="338">
        <f>Table6[[#This Row],[Breakdown Time]]*(1/39)</f>
        <v>0.61537749287749288</v>
      </c>
      <c r="X784" s="336" t="s">
        <v>468</v>
      </c>
      <c r="Y784" s="352" t="s">
        <v>141</v>
      </c>
      <c r="Z784" s="105">
        <v>7948</v>
      </c>
      <c r="AA784" s="107">
        <f>IFERROR((Table6[[#This Row],[Paired WTG Generation for loss calculation]]/24)*Table6[[#This Row],[Breakdown Time]],"")</f>
        <v>7947.9080092592603</v>
      </c>
      <c r="AB784" s="105" t="s">
        <v>478</v>
      </c>
    </row>
    <row r="785" spans="1:28">
      <c r="A785" s="105">
        <f t="shared" si="12"/>
        <v>784</v>
      </c>
      <c r="B785" s="107">
        <f>YEAR(Table6[[#This Row],[Date]])+IF(MONTH(Table6[[#This Row],[Date]])&gt;=4,1,0)</f>
        <v>2026</v>
      </c>
      <c r="C785" s="105">
        <f>YEAR(Table6[[#This Row],[Date]])</f>
        <v>2025</v>
      </c>
      <c r="D785" s="105" t="s">
        <v>490</v>
      </c>
      <c r="E785" s="119">
        <f>Table6[[#This Row],[Date]]-DAY(Table6[[#This Row],[Date]])+1</f>
        <v>45809</v>
      </c>
      <c r="F785" s="118">
        <v>45823</v>
      </c>
      <c r="G785" s="105" t="s">
        <v>131</v>
      </c>
      <c r="H785" s="39" t="str">
        <f>_xlfn.XLOOKUP(Table6[[#This Row],[Affected WTG]],'Basic Data'!$A:$A,'Basic Data'!$B:$B)</f>
        <v>PWEGPL</v>
      </c>
      <c r="I785" s="39" t="str">
        <f>_xlfn.XLOOKUP(Table6[[#This Row],[Affected WTG]],'Basic Data'!$A:$A,'Basic Data'!$C:$C)</f>
        <v>MSEDCL</v>
      </c>
      <c r="J785" s="345">
        <f>IFERROR(VLOOKUP(Table6[[#This Row],[Affected WTG]],'Basic Data'!$A$3:$E$56,5,0),"")</f>
        <v>2.564102564102564E-2</v>
      </c>
      <c r="K785" s="105">
        <v>5216</v>
      </c>
      <c r="L785" s="39" t="str">
        <f>IFERROR(VLOOKUP(Table6[[#This Row],[Error Code]],'Basic Data'!$T:$U,2,0),"")</f>
        <v>Grid Voltage Failure</v>
      </c>
      <c r="M785" s="346" t="s">
        <v>462</v>
      </c>
      <c r="N785" s="39" t="s">
        <v>1270</v>
      </c>
      <c r="O785" s="347">
        <v>0</v>
      </c>
      <c r="P785" s="347">
        <v>0.99998842592592596</v>
      </c>
      <c r="Q785" s="347">
        <v>0.99998842592592596</v>
      </c>
      <c r="R785" s="348">
        <f>IF(Table6[[#This Row],[Work Start TimeStamp]]="","",(Table6[[#This Row],[Work Start TimeStamp]]-Table6[[#This Row],[Fault Start TimeStamp]])*24)</f>
        <v>23.999722222222225</v>
      </c>
      <c r="S785" s="349">
        <f>(Table6[[#This Row],[Fault Clearance time]]-Table6[[#This Row],[Work Start TimeStamp]])*24</f>
        <v>0</v>
      </c>
      <c r="T785" s="350">
        <f>(Table6[[#This Row],[Fault Clearance time]]-Table6[[#This Row],[Fault Start TimeStamp]])*24</f>
        <v>23.999722222222225</v>
      </c>
      <c r="U785" s="346" t="s">
        <v>1247</v>
      </c>
      <c r="V785" s="351" t="s">
        <v>473</v>
      </c>
      <c r="W785" s="338">
        <f>Table6[[#This Row],[Breakdown Time]]*(1/39)</f>
        <v>0.61537749287749288</v>
      </c>
      <c r="X785" s="336" t="s">
        <v>465</v>
      </c>
      <c r="Y785" s="352" t="s">
        <v>132</v>
      </c>
      <c r="Z785" s="105">
        <v>7856</v>
      </c>
      <c r="AA785" s="107">
        <f>IFERROR((Table6[[#This Row],[Paired WTG Generation for loss calculation]]/24)*Table6[[#This Row],[Breakdown Time]],"")</f>
        <v>7855.9090740740749</v>
      </c>
      <c r="AB785" s="105" t="s">
        <v>1246</v>
      </c>
    </row>
    <row r="786" spans="1:28">
      <c r="A786" s="105">
        <f t="shared" si="12"/>
        <v>785</v>
      </c>
      <c r="B786" s="107">
        <f>YEAR(Table6[[#This Row],[Date]])+IF(MONTH(Table6[[#This Row],[Date]])&gt;=4,1,0)</f>
        <v>2026</v>
      </c>
      <c r="C786" s="105">
        <f>YEAR(Table6[[#This Row],[Date]])</f>
        <v>2025</v>
      </c>
      <c r="D786" s="105" t="s">
        <v>490</v>
      </c>
      <c r="E786" s="119">
        <f>Table6[[#This Row],[Date]]-DAY(Table6[[#This Row],[Date]])+1</f>
        <v>45809</v>
      </c>
      <c r="F786" s="118">
        <v>45823</v>
      </c>
      <c r="G786" s="105" t="s">
        <v>117</v>
      </c>
      <c r="H786" s="39" t="str">
        <f>_xlfn.XLOOKUP(Table6[[#This Row],[Affected WTG]],'Basic Data'!$A:$A,'Basic Data'!$B:$B)</f>
        <v>PWEGPL</v>
      </c>
      <c r="I786" s="39" t="str">
        <f>_xlfn.XLOOKUP(Table6[[#This Row],[Affected WTG]],'Basic Data'!$A:$A,'Basic Data'!$C:$C)</f>
        <v>MSEDCL</v>
      </c>
      <c r="J786" s="345">
        <f>IFERROR(VLOOKUP(Table6[[#This Row],[Affected WTG]],'Basic Data'!$A$3:$E$56,5,0),"")</f>
        <v>2.564102564102564E-2</v>
      </c>
      <c r="K786" s="105">
        <v>813</v>
      </c>
      <c r="L786" s="39" t="str">
        <f>IFERROR(VLOOKUP(Table6[[#This Row],[Error Code]],'Basic Data'!$T:$U,2,0),"")</f>
        <v>Low Pressure Of Emergency Accumulators</v>
      </c>
      <c r="M786" s="346" t="s">
        <v>462</v>
      </c>
      <c r="N786" s="39" t="s">
        <v>1270</v>
      </c>
      <c r="O786" s="347">
        <v>0.43263888888888891</v>
      </c>
      <c r="P786" s="347">
        <v>0.4826388888888889</v>
      </c>
      <c r="Q786" s="347">
        <v>0.55208333333333337</v>
      </c>
      <c r="R786" s="348">
        <f>IF(Table6[[#This Row],[Work Start TimeStamp]]="","",(Table6[[#This Row],[Work Start TimeStamp]]-Table6[[#This Row],[Fault Start TimeStamp]])*24)</f>
        <v>1.1999999999999997</v>
      </c>
      <c r="S786" s="349">
        <f>(Table6[[#This Row],[Fault Clearance time]]-Table6[[#This Row],[Work Start TimeStamp]])*24</f>
        <v>1.6666666666666674</v>
      </c>
      <c r="T786" s="350">
        <f>(Table6[[#This Row],[Fault Clearance time]]-Table6[[#This Row],[Fault Start TimeStamp]])*24</f>
        <v>2.8666666666666671</v>
      </c>
      <c r="U786" s="346" t="s">
        <v>1248</v>
      </c>
      <c r="V786" s="351" t="s">
        <v>463</v>
      </c>
      <c r="W786" s="338">
        <f>Table6[[#This Row],[Breakdown Time]]*(1/39)</f>
        <v>7.3504273504273521E-2</v>
      </c>
      <c r="X786" s="336" t="s">
        <v>465</v>
      </c>
      <c r="Y786" s="352" t="s">
        <v>118</v>
      </c>
      <c r="Z786" s="105">
        <v>8021</v>
      </c>
      <c r="AA786" s="107">
        <f>IFERROR((Table6[[#This Row],[Paired WTG Generation for loss calculation]]/24)*Table6[[#This Row],[Breakdown Time]],"")</f>
        <v>958.06388888888898</v>
      </c>
      <c r="AB786" s="105" t="s">
        <v>478</v>
      </c>
    </row>
    <row r="787" spans="1:28">
      <c r="A787" s="105">
        <f t="shared" si="12"/>
        <v>786</v>
      </c>
      <c r="B787" s="107">
        <f>YEAR(Table6[[#This Row],[Date]])+IF(MONTH(Table6[[#This Row],[Date]])&gt;=4,1,0)</f>
        <v>2026</v>
      </c>
      <c r="C787" s="105">
        <f>YEAR(Table6[[#This Row],[Date]])</f>
        <v>2025</v>
      </c>
      <c r="D787" s="105" t="s">
        <v>490</v>
      </c>
      <c r="E787" s="119">
        <f>Table6[[#This Row],[Date]]-DAY(Table6[[#This Row],[Date]])+1</f>
        <v>45809</v>
      </c>
      <c r="F787" s="118">
        <v>45823</v>
      </c>
      <c r="G787" s="105" t="s">
        <v>125</v>
      </c>
      <c r="H787" s="39" t="str">
        <f>_xlfn.XLOOKUP(Table6[[#This Row],[Affected WTG]],'Basic Data'!$A:$A,'Basic Data'!$B:$B)</f>
        <v>PWEGPL</v>
      </c>
      <c r="I787" s="39" t="str">
        <f>_xlfn.XLOOKUP(Table6[[#This Row],[Affected WTG]],'Basic Data'!$A:$A,'Basic Data'!$C:$C)</f>
        <v>MSEDCL</v>
      </c>
      <c r="J787" s="345">
        <f>IFERROR(VLOOKUP(Table6[[#This Row],[Affected WTG]],'Basic Data'!$A$3:$E$56,5,0),"")</f>
        <v>2.564102564102564E-2</v>
      </c>
      <c r="K787" s="105">
        <v>5228</v>
      </c>
      <c r="L787" s="39" t="str">
        <f>IFERROR(VLOOKUP(Table6[[#This Row],[Error Code]],'Basic Data'!$T:$U,2,0),"")</f>
        <v>Preload Failure</v>
      </c>
      <c r="M787" s="346" t="s">
        <v>462</v>
      </c>
      <c r="N787" s="39" t="s">
        <v>1270</v>
      </c>
      <c r="O787" s="347">
        <v>0.60902777777777772</v>
      </c>
      <c r="P787" s="347">
        <v>0.66666666666666663</v>
      </c>
      <c r="Q787" s="347">
        <v>0.69374999999999998</v>
      </c>
      <c r="R787" s="348">
        <f>IF(Table6[[#This Row],[Work Start TimeStamp]]="","",(Table6[[#This Row],[Work Start TimeStamp]]-Table6[[#This Row],[Fault Start TimeStamp]])*24)</f>
        <v>1.3833333333333337</v>
      </c>
      <c r="S787" s="349">
        <f>(Table6[[#This Row],[Fault Clearance time]]-Table6[[#This Row],[Work Start TimeStamp]])*24</f>
        <v>0.65000000000000036</v>
      </c>
      <c r="T787" s="350">
        <f>(Table6[[#This Row],[Fault Clearance time]]-Table6[[#This Row],[Fault Start TimeStamp]])*24</f>
        <v>2.0333333333333341</v>
      </c>
      <c r="U787" s="346" t="s">
        <v>1249</v>
      </c>
      <c r="V787" s="351" t="s">
        <v>463</v>
      </c>
      <c r="W787" s="338">
        <f>Table6[[#This Row],[Breakdown Time]]*(1/39)</f>
        <v>5.2136752136752153E-2</v>
      </c>
      <c r="X787" s="336" t="s">
        <v>465</v>
      </c>
      <c r="Y787" s="352" t="s">
        <v>124</v>
      </c>
      <c r="Z787" s="105">
        <v>8099</v>
      </c>
      <c r="AA787" s="107">
        <f>IFERROR((Table6[[#This Row],[Paired WTG Generation for loss calculation]]/24)*Table6[[#This Row],[Breakdown Time]],"")</f>
        <v>686.16527777777799</v>
      </c>
      <c r="AB787" s="105" t="s">
        <v>478</v>
      </c>
    </row>
    <row r="788" spans="1:28">
      <c r="A788" s="105">
        <f t="shared" si="12"/>
        <v>787</v>
      </c>
      <c r="B788" s="107">
        <f>YEAR(Table6[[#This Row],[Date]])+IF(MONTH(Table6[[#This Row],[Date]])&gt;=4,1,0)</f>
        <v>2026</v>
      </c>
      <c r="C788" s="105">
        <f>YEAR(Table6[[#This Row],[Date]])</f>
        <v>2025</v>
      </c>
      <c r="D788" s="105" t="s">
        <v>490</v>
      </c>
      <c r="E788" s="119">
        <f>Table6[[#This Row],[Date]]-DAY(Table6[[#This Row],[Date]])+1</f>
        <v>45809</v>
      </c>
      <c r="F788" s="118">
        <v>45823</v>
      </c>
      <c r="G788" s="105" t="s">
        <v>134</v>
      </c>
      <c r="H788" s="39" t="str">
        <f>_xlfn.XLOOKUP(Table6[[#This Row],[Affected WTG]],'Basic Data'!$A:$A,'Basic Data'!$B:$B)</f>
        <v>PWEGPL</v>
      </c>
      <c r="I788" s="39" t="str">
        <f>_xlfn.XLOOKUP(Table6[[#This Row],[Affected WTG]],'Basic Data'!$A:$A,'Basic Data'!$C:$C)</f>
        <v>MSEDCL</v>
      </c>
      <c r="J788" s="345">
        <f>IFERROR(VLOOKUP(Table6[[#This Row],[Affected WTG]],'Basic Data'!$A$3:$E$56,5,0),"")</f>
        <v>2.564102564102564E-2</v>
      </c>
      <c r="K788" s="105">
        <v>905</v>
      </c>
      <c r="L788" s="39" t="str">
        <f>IFERROR(VLOOKUP(Table6[[#This Row],[Error Code]],'Basic Data'!$T:$U,2,0),"")</f>
        <v>Controlled Emergency Series Battery Failure</v>
      </c>
      <c r="M788" s="346" t="s">
        <v>462</v>
      </c>
      <c r="N788" s="39" t="s">
        <v>1270</v>
      </c>
      <c r="O788" s="347">
        <v>0.42430555555555555</v>
      </c>
      <c r="P788" s="347">
        <v>0.45069444444444445</v>
      </c>
      <c r="Q788" s="347">
        <v>0.55694444444444446</v>
      </c>
      <c r="R788" s="348">
        <f>IF(Table6[[#This Row],[Work Start TimeStamp]]="","",(Table6[[#This Row],[Work Start TimeStamp]]-Table6[[#This Row],[Fault Start TimeStamp]])*24)</f>
        <v>0.63333333333333375</v>
      </c>
      <c r="S788" s="349">
        <f>(Table6[[#This Row],[Fault Clearance time]]-Table6[[#This Row],[Work Start TimeStamp]])*24</f>
        <v>2.5500000000000003</v>
      </c>
      <c r="T788" s="350">
        <f>(Table6[[#This Row],[Fault Clearance time]]-Table6[[#This Row],[Fault Start TimeStamp]])*24</f>
        <v>3.183333333333334</v>
      </c>
      <c r="U788" s="346" t="s">
        <v>1250</v>
      </c>
      <c r="V788" s="351" t="s">
        <v>463</v>
      </c>
      <c r="W788" s="338">
        <f>Table6[[#This Row],[Breakdown Time]]*(1/39)</f>
        <v>8.1623931623931639E-2</v>
      </c>
      <c r="X788" s="336" t="s">
        <v>465</v>
      </c>
      <c r="Y788" s="352" t="s">
        <v>133</v>
      </c>
      <c r="Z788" s="105">
        <v>7965</v>
      </c>
      <c r="AA788" s="107">
        <f>IFERROR((Table6[[#This Row],[Paired WTG Generation for loss calculation]]/24)*Table6[[#This Row],[Breakdown Time]],"")</f>
        <v>1056.4687500000002</v>
      </c>
      <c r="AB788" s="105" t="s">
        <v>478</v>
      </c>
    </row>
    <row r="789" spans="1:28">
      <c r="A789" s="105">
        <f t="shared" si="12"/>
        <v>788</v>
      </c>
      <c r="B789" s="107">
        <f>YEAR(Table6[[#This Row],[Date]])+IF(MONTH(Table6[[#This Row],[Date]])&gt;=4,1,0)</f>
        <v>2026</v>
      </c>
      <c r="C789" s="105">
        <f>YEAR(Table6[[#This Row],[Date]])</f>
        <v>2025</v>
      </c>
      <c r="D789" s="105" t="s">
        <v>490</v>
      </c>
      <c r="E789" s="119">
        <f>Table6[[#This Row],[Date]]-DAY(Table6[[#This Row],[Date]])+1</f>
        <v>45809</v>
      </c>
      <c r="F789" s="118">
        <v>45823</v>
      </c>
      <c r="G789" s="105" t="s">
        <v>119</v>
      </c>
      <c r="H789" s="39" t="str">
        <f>_xlfn.XLOOKUP(Table6[[#This Row],[Affected WTG]],'Basic Data'!$A:$A,'Basic Data'!$B:$B)</f>
        <v>PWEGPL</v>
      </c>
      <c r="I789" s="39" t="str">
        <f>_xlfn.XLOOKUP(Table6[[#This Row],[Affected WTG]],'Basic Data'!$A:$A,'Basic Data'!$C:$C)</f>
        <v>MSEDCL</v>
      </c>
      <c r="J789" s="345">
        <f>IFERROR(VLOOKUP(Table6[[#This Row],[Affected WTG]],'Basic Data'!$A$3:$E$56,5,0),"")</f>
        <v>2.564102564102564E-2</v>
      </c>
      <c r="K789" s="105">
        <v>5201</v>
      </c>
      <c r="L789" s="39" t="str">
        <f>IFERROR(VLOOKUP(Table6[[#This Row],[Error Code]],'Basic Data'!$T:$U,2,0),"")</f>
        <v>Magnetothermic Trigger Of The Stator Protection</v>
      </c>
      <c r="M789" s="346" t="s">
        <v>462</v>
      </c>
      <c r="N789" s="39" t="s">
        <v>1270</v>
      </c>
      <c r="O789" s="347">
        <v>0.42291666666666666</v>
      </c>
      <c r="P789" s="347">
        <v>0.43888888888888888</v>
      </c>
      <c r="Q789" s="347">
        <v>0.44097222222222221</v>
      </c>
      <c r="R789" s="348">
        <f>IF(Table6[[#This Row],[Work Start TimeStamp]]="","",(Table6[[#This Row],[Work Start TimeStamp]]-Table6[[#This Row],[Fault Start TimeStamp]])*24)</f>
        <v>0.3833333333333333</v>
      </c>
      <c r="S789" s="349">
        <f>(Table6[[#This Row],[Fault Clearance time]]-Table6[[#This Row],[Work Start TimeStamp]])*24</f>
        <v>4.9999999999999822E-2</v>
      </c>
      <c r="T789" s="350">
        <f>(Table6[[#This Row],[Fault Clearance time]]-Table6[[#This Row],[Fault Start TimeStamp]])*24</f>
        <v>0.43333333333333313</v>
      </c>
      <c r="U789" s="346" t="s">
        <v>493</v>
      </c>
      <c r="V789" s="351" t="s">
        <v>463</v>
      </c>
      <c r="W789" s="338">
        <f>Table6[[#This Row],[Breakdown Time]]*(1/39)</f>
        <v>1.1111111111111105E-2</v>
      </c>
      <c r="X789" s="336" t="s">
        <v>465</v>
      </c>
      <c r="Y789" s="352" t="s">
        <v>136</v>
      </c>
      <c r="Z789" s="105">
        <v>7878</v>
      </c>
      <c r="AA789" s="107">
        <f>IFERROR((Table6[[#This Row],[Paired WTG Generation for loss calculation]]/24)*Table6[[#This Row],[Breakdown Time]],"")</f>
        <v>142.24166666666659</v>
      </c>
      <c r="AB789" s="105" t="s">
        <v>478</v>
      </c>
    </row>
    <row r="790" spans="1:28">
      <c r="A790" s="105">
        <f t="shared" si="12"/>
        <v>789</v>
      </c>
      <c r="B790" s="107">
        <f>YEAR(Table6[[#This Row],[Date]])+IF(MONTH(Table6[[#This Row],[Date]])&gt;=4,1,0)</f>
        <v>2026</v>
      </c>
      <c r="C790" s="105">
        <f>YEAR(Table6[[#This Row],[Date]])</f>
        <v>2025</v>
      </c>
      <c r="D790" s="105" t="s">
        <v>490</v>
      </c>
      <c r="E790" s="119">
        <f>Table6[[#This Row],[Date]]-DAY(Table6[[#This Row],[Date]])+1</f>
        <v>45809</v>
      </c>
      <c r="F790" s="118">
        <v>45823</v>
      </c>
      <c r="G790" s="105" t="s">
        <v>134</v>
      </c>
      <c r="H790" s="39" t="str">
        <f>_xlfn.XLOOKUP(Table6[[#This Row],[Affected WTG]],'Basic Data'!$A:$A,'Basic Data'!$B:$B)</f>
        <v>PWEGPL</v>
      </c>
      <c r="I790" s="39" t="str">
        <f>_xlfn.XLOOKUP(Table6[[#This Row],[Affected WTG]],'Basic Data'!$A:$A,'Basic Data'!$C:$C)</f>
        <v>MSEDCL</v>
      </c>
      <c r="J790" s="345">
        <f>IFERROR(VLOOKUP(Table6[[#This Row],[Affected WTG]],'Basic Data'!$A$3:$E$56,5,0),"")</f>
        <v>2.564102564102564E-2</v>
      </c>
      <c r="K790" s="105">
        <v>5203</v>
      </c>
      <c r="L790" s="39" t="str">
        <f>IFERROR(VLOOKUP(Table6[[#This Row],[Error Code]],'Basic Data'!$T:$U,2,0),"")</f>
        <v>Heating/Coolant Thermal Magnetic Failure</v>
      </c>
      <c r="M790" s="346" t="s">
        <v>462</v>
      </c>
      <c r="N790" s="39" t="s">
        <v>1270</v>
      </c>
      <c r="O790" s="347">
        <v>2.4305555555555556E-2</v>
      </c>
      <c r="P790" s="347">
        <v>4.7222222222222221E-2</v>
      </c>
      <c r="Q790" s="347">
        <v>5.8333333333333334E-2</v>
      </c>
      <c r="R790" s="348">
        <f>IF(Table6[[#This Row],[Work Start TimeStamp]]="","",(Table6[[#This Row],[Work Start TimeStamp]]-Table6[[#This Row],[Fault Start TimeStamp]])*24)</f>
        <v>0.54999999999999993</v>
      </c>
      <c r="S790" s="349">
        <f>(Table6[[#This Row],[Fault Clearance time]]-Table6[[#This Row],[Work Start TimeStamp]])*24</f>
        <v>0.26666666666666672</v>
      </c>
      <c r="T790" s="350">
        <f>(Table6[[#This Row],[Fault Clearance time]]-Table6[[#This Row],[Fault Start TimeStamp]])*24</f>
        <v>0.81666666666666676</v>
      </c>
      <c r="U790" s="346" t="s">
        <v>1251</v>
      </c>
      <c r="V790" s="351" t="s">
        <v>463</v>
      </c>
      <c r="W790" s="338">
        <f>Table6[[#This Row],[Breakdown Time]]*(1/39)</f>
        <v>2.0940170940170942E-2</v>
      </c>
      <c r="X790" s="336" t="s">
        <v>465</v>
      </c>
      <c r="Y790" s="352" t="s">
        <v>133</v>
      </c>
      <c r="Z790" s="105">
        <v>7965</v>
      </c>
      <c r="AA790" s="107">
        <f>IFERROR((Table6[[#This Row],[Paired WTG Generation for loss calculation]]/24)*Table6[[#This Row],[Breakdown Time]],"")</f>
        <v>271.03125000000006</v>
      </c>
      <c r="AB790" s="105" t="s">
        <v>478</v>
      </c>
    </row>
    <row r="791" spans="1:28">
      <c r="A791" s="105">
        <f t="shared" si="12"/>
        <v>790</v>
      </c>
      <c r="B791" s="107">
        <f>YEAR(Table6[[#This Row],[Date]])+IF(MONTH(Table6[[#This Row],[Date]])&gt;=4,1,0)</f>
        <v>2026</v>
      </c>
      <c r="C791" s="105">
        <f>YEAR(Table6[[#This Row],[Date]])</f>
        <v>2025</v>
      </c>
      <c r="D791" s="105" t="s">
        <v>490</v>
      </c>
      <c r="E791" s="119">
        <f>Table6[[#This Row],[Date]]-DAY(Table6[[#This Row],[Date]])+1</f>
        <v>45809</v>
      </c>
      <c r="F791" s="118">
        <v>45824</v>
      </c>
      <c r="G791" s="105" t="s">
        <v>144</v>
      </c>
      <c r="H791" s="39" t="str">
        <f>_xlfn.XLOOKUP(Table6[[#This Row],[Affected WTG]],'Basic Data'!$A:$A,'Basic Data'!$B:$B)</f>
        <v>PWEGPL</v>
      </c>
      <c r="I791" s="39" t="str">
        <f>_xlfn.XLOOKUP(Table6[[#This Row],[Affected WTG]],'Basic Data'!$A:$A,'Basic Data'!$C:$C)</f>
        <v>MSEDCL</v>
      </c>
      <c r="J791" s="345">
        <f>IFERROR(VLOOKUP(Table6[[#This Row],[Affected WTG]],'Basic Data'!$A$3:$E$56,5,0),"")</f>
        <v>2.564102564102564E-2</v>
      </c>
      <c r="K791" s="105" t="s">
        <v>492</v>
      </c>
      <c r="L791" s="39" t="str">
        <f>IFERROR(VLOOKUP(Table6[[#This Row],[Error Code]],'Basic Data'!$T:$U,2,0),"")</f>
        <v>Manual Stop - Safety Related</v>
      </c>
      <c r="M791" s="346" t="s">
        <v>481</v>
      </c>
      <c r="N791" s="39" t="s">
        <v>1269</v>
      </c>
      <c r="O791" s="347">
        <v>0</v>
      </c>
      <c r="P791" s="347">
        <v>0.99998842592592596</v>
      </c>
      <c r="Q791" s="347">
        <v>0.99998842592592596</v>
      </c>
      <c r="R791" s="348">
        <f>IF(Table6[[#This Row],[Work Start TimeStamp]]="","",(Table6[[#This Row],[Work Start TimeStamp]]-Table6[[#This Row],[Fault Start TimeStamp]])*24)</f>
        <v>23.999722222222225</v>
      </c>
      <c r="S791" s="349">
        <f>(Table6[[#This Row],[Fault Clearance time]]-Table6[[#This Row],[Work Start TimeStamp]])*24</f>
        <v>0</v>
      </c>
      <c r="T791" s="350">
        <f>(Table6[[#This Row],[Fault Clearance time]]-Table6[[#This Row],[Fault Start TimeStamp]])*24</f>
        <v>23.999722222222225</v>
      </c>
      <c r="U791" s="346" t="s">
        <v>498</v>
      </c>
      <c r="V791" s="351" t="s">
        <v>473</v>
      </c>
      <c r="W791" s="338">
        <f>Table6[[#This Row],[Breakdown Time]]*(1/39)</f>
        <v>0.61537749287749288</v>
      </c>
      <c r="X791" s="336" t="s">
        <v>468</v>
      </c>
      <c r="Y791" s="352" t="s">
        <v>143</v>
      </c>
      <c r="Z791" s="105">
        <v>20213</v>
      </c>
      <c r="AA791" s="107">
        <f>IFERROR((Table6[[#This Row],[Paired WTG Generation for loss calculation]]/24)*Table6[[#This Row],[Breakdown Time]],"")</f>
        <v>20212.766053240743</v>
      </c>
      <c r="AB791" s="105" t="s">
        <v>478</v>
      </c>
    </row>
    <row r="792" spans="1:28">
      <c r="A792" s="105">
        <f t="shared" si="12"/>
        <v>791</v>
      </c>
      <c r="B792" s="107">
        <f>YEAR(Table6[[#This Row],[Date]])+IF(MONTH(Table6[[#This Row],[Date]])&gt;=4,1,0)</f>
        <v>2026</v>
      </c>
      <c r="C792" s="105">
        <f>YEAR(Table6[[#This Row],[Date]])</f>
        <v>2025</v>
      </c>
      <c r="D792" s="105" t="s">
        <v>490</v>
      </c>
      <c r="E792" s="119">
        <f>Table6[[#This Row],[Date]]-DAY(Table6[[#This Row],[Date]])+1</f>
        <v>45809</v>
      </c>
      <c r="F792" s="118">
        <v>45824</v>
      </c>
      <c r="G792" s="105" t="s">
        <v>142</v>
      </c>
      <c r="H792" s="39" t="str">
        <f>_xlfn.XLOOKUP(Table6[[#This Row],[Affected WTG]],'Basic Data'!$A:$A,'Basic Data'!$B:$B)</f>
        <v>PWEGPL</v>
      </c>
      <c r="I792" s="39" t="str">
        <f>_xlfn.XLOOKUP(Table6[[#This Row],[Affected WTG]],'Basic Data'!$A:$A,'Basic Data'!$C:$C)</f>
        <v>MSEDCL</v>
      </c>
      <c r="J792" s="345">
        <f>IFERROR(VLOOKUP(Table6[[#This Row],[Affected WTG]],'Basic Data'!$A$3:$E$56,5,0),"")</f>
        <v>2.564102564102564E-2</v>
      </c>
      <c r="K792" s="105" t="s">
        <v>492</v>
      </c>
      <c r="L792" s="39" t="str">
        <f>IFERROR(VLOOKUP(Table6[[#This Row],[Error Code]],'Basic Data'!$T:$U,2,0),"")</f>
        <v>Manual Stop - Safety Related</v>
      </c>
      <c r="M792" s="346" t="s">
        <v>481</v>
      </c>
      <c r="N792" s="39" t="s">
        <v>1269</v>
      </c>
      <c r="O792" s="347">
        <v>0</v>
      </c>
      <c r="P792" s="347">
        <v>0.99998842592592596</v>
      </c>
      <c r="Q792" s="347">
        <v>0.99998842592592596</v>
      </c>
      <c r="R792" s="348">
        <f>IF(Table6[[#This Row],[Work Start TimeStamp]]="","",(Table6[[#This Row],[Work Start TimeStamp]]-Table6[[#This Row],[Fault Start TimeStamp]])*24)</f>
        <v>23.999722222222225</v>
      </c>
      <c r="S792" s="349">
        <f>(Table6[[#This Row],[Fault Clearance time]]-Table6[[#This Row],[Work Start TimeStamp]])*24</f>
        <v>0</v>
      </c>
      <c r="T792" s="350">
        <f>(Table6[[#This Row],[Fault Clearance time]]-Table6[[#This Row],[Fault Start TimeStamp]])*24</f>
        <v>23.999722222222225</v>
      </c>
      <c r="U792" s="346" t="s">
        <v>498</v>
      </c>
      <c r="V792" s="351" t="s">
        <v>473</v>
      </c>
      <c r="W792" s="338">
        <f>Table6[[#This Row],[Breakdown Time]]*(1/39)</f>
        <v>0.61537749287749288</v>
      </c>
      <c r="X792" s="336" t="s">
        <v>468</v>
      </c>
      <c r="Y792" s="352" t="s">
        <v>143</v>
      </c>
      <c r="Z792" s="105">
        <v>20213</v>
      </c>
      <c r="AA792" s="107">
        <f>IFERROR((Table6[[#This Row],[Paired WTG Generation for loss calculation]]/24)*Table6[[#This Row],[Breakdown Time]],"")</f>
        <v>20212.766053240743</v>
      </c>
      <c r="AB792" s="105" t="s">
        <v>478</v>
      </c>
    </row>
    <row r="793" spans="1:28">
      <c r="A793" s="105">
        <f t="shared" si="12"/>
        <v>792</v>
      </c>
      <c r="B793" s="107">
        <f>YEAR(Table6[[#This Row],[Date]])+IF(MONTH(Table6[[#This Row],[Date]])&gt;=4,1,0)</f>
        <v>2026</v>
      </c>
      <c r="C793" s="105">
        <f>YEAR(Table6[[#This Row],[Date]])</f>
        <v>2025</v>
      </c>
      <c r="D793" s="105" t="s">
        <v>490</v>
      </c>
      <c r="E793" s="119">
        <f>Table6[[#This Row],[Date]]-DAY(Table6[[#This Row],[Date]])+1</f>
        <v>45809</v>
      </c>
      <c r="F793" s="118">
        <v>45824</v>
      </c>
      <c r="G793" s="105" t="s">
        <v>131</v>
      </c>
      <c r="H793" s="39" t="str">
        <f>_xlfn.XLOOKUP(Table6[[#This Row],[Affected WTG]],'Basic Data'!$A:$A,'Basic Data'!$B:$B)</f>
        <v>PWEGPL</v>
      </c>
      <c r="I793" s="39" t="str">
        <f>_xlfn.XLOOKUP(Table6[[#This Row],[Affected WTG]],'Basic Data'!$A:$A,'Basic Data'!$C:$C)</f>
        <v>MSEDCL</v>
      </c>
      <c r="J793" s="345">
        <f>IFERROR(VLOOKUP(Table6[[#This Row],[Affected WTG]],'Basic Data'!$A$3:$E$56,5,0),"")</f>
        <v>2.564102564102564E-2</v>
      </c>
      <c r="K793" s="105">
        <v>5216</v>
      </c>
      <c r="L793" s="39" t="str">
        <f>IFERROR(VLOOKUP(Table6[[#This Row],[Error Code]],'Basic Data'!$T:$U,2,0),"")</f>
        <v>Grid Voltage Failure</v>
      </c>
      <c r="M793" s="346" t="s">
        <v>462</v>
      </c>
      <c r="N793" s="39" t="s">
        <v>1270</v>
      </c>
      <c r="O793" s="347">
        <v>0</v>
      </c>
      <c r="P793" s="347">
        <v>0.99998842592592596</v>
      </c>
      <c r="Q793" s="347">
        <v>0.99998842592592596</v>
      </c>
      <c r="R793" s="348">
        <f>IF(Table6[[#This Row],[Work Start TimeStamp]]="","",(Table6[[#This Row],[Work Start TimeStamp]]-Table6[[#This Row],[Fault Start TimeStamp]])*24)</f>
        <v>23.999722222222225</v>
      </c>
      <c r="S793" s="349">
        <f>(Table6[[#This Row],[Fault Clearance time]]-Table6[[#This Row],[Work Start TimeStamp]])*24</f>
        <v>0</v>
      </c>
      <c r="T793" s="350">
        <f>(Table6[[#This Row],[Fault Clearance time]]-Table6[[#This Row],[Fault Start TimeStamp]])*24</f>
        <v>23.999722222222225</v>
      </c>
      <c r="U793" s="346" t="s">
        <v>1247</v>
      </c>
      <c r="V793" s="351" t="s">
        <v>473</v>
      </c>
      <c r="W793" s="338">
        <f>Table6[[#This Row],[Breakdown Time]]*(1/39)</f>
        <v>0.61537749287749288</v>
      </c>
      <c r="X793" s="336" t="s">
        <v>465</v>
      </c>
      <c r="Y793" s="352" t="s">
        <v>130</v>
      </c>
      <c r="Z793" s="105">
        <v>21923</v>
      </c>
      <c r="AA793" s="107">
        <f>IFERROR((Table6[[#This Row],[Paired WTG Generation for loss calculation]]/24)*Table6[[#This Row],[Breakdown Time]],"")</f>
        <v>21922.746261574077</v>
      </c>
      <c r="AB793" s="105" t="s">
        <v>1246</v>
      </c>
    </row>
    <row r="794" spans="1:28">
      <c r="A794" s="105">
        <f t="shared" si="12"/>
        <v>793</v>
      </c>
      <c r="B794" s="107">
        <f>YEAR(Table6[[#This Row],[Date]])+IF(MONTH(Table6[[#This Row],[Date]])&gt;=4,1,0)</f>
        <v>2026</v>
      </c>
      <c r="C794" s="105">
        <f>YEAR(Table6[[#This Row],[Date]])</f>
        <v>2025</v>
      </c>
      <c r="D794" s="105" t="s">
        <v>490</v>
      </c>
      <c r="E794" s="119">
        <f>Table6[[#This Row],[Date]]-DAY(Table6[[#This Row],[Date]])+1</f>
        <v>45809</v>
      </c>
      <c r="F794" s="118">
        <v>45824</v>
      </c>
      <c r="G794" s="105" t="s">
        <v>117</v>
      </c>
      <c r="H794" s="39" t="str">
        <f>_xlfn.XLOOKUP(Table6[[#This Row],[Affected WTG]],'Basic Data'!$A:$A,'Basic Data'!$B:$B)</f>
        <v>PWEGPL</v>
      </c>
      <c r="I794" s="39" t="str">
        <f>_xlfn.XLOOKUP(Table6[[#This Row],[Affected WTG]],'Basic Data'!$A:$A,'Basic Data'!$C:$C)</f>
        <v>MSEDCL</v>
      </c>
      <c r="J794" s="345">
        <f>IFERROR(VLOOKUP(Table6[[#This Row],[Affected WTG]],'Basic Data'!$A$3:$E$56,5,0),"")</f>
        <v>2.564102564102564E-2</v>
      </c>
      <c r="K794" s="105">
        <v>2118</v>
      </c>
      <c r="L794" s="39" t="str">
        <f>IFERROR(VLOOKUP(Table6[[#This Row],[Error Code]],'Basic Data'!$T:$U,2,0),"")</f>
        <v>Bus Error - Interbus Failure</v>
      </c>
      <c r="M794" s="346" t="s">
        <v>462</v>
      </c>
      <c r="N794" s="39" t="s">
        <v>1270</v>
      </c>
      <c r="O794" s="347">
        <v>0.125</v>
      </c>
      <c r="P794" s="347">
        <v>0.13333333333333333</v>
      </c>
      <c r="Q794" s="347">
        <v>0.15277777777777779</v>
      </c>
      <c r="R794" s="348">
        <f>IF(Table6[[#This Row],[Work Start TimeStamp]]="","",(Table6[[#This Row],[Work Start TimeStamp]]-Table6[[#This Row],[Fault Start TimeStamp]])*24)</f>
        <v>0.19999999999999996</v>
      </c>
      <c r="S794" s="349">
        <f>(Table6[[#This Row],[Fault Clearance time]]-Table6[[#This Row],[Work Start TimeStamp]])*24</f>
        <v>0.46666666666666701</v>
      </c>
      <c r="T794" s="350">
        <f>(Table6[[#This Row],[Fault Clearance time]]-Table6[[#This Row],[Fault Start TimeStamp]])*24</f>
        <v>0.66666666666666696</v>
      </c>
      <c r="U794" s="346" t="s">
        <v>1252</v>
      </c>
      <c r="V794" s="351" t="s">
        <v>463</v>
      </c>
      <c r="W794" s="338">
        <f>Table6[[#This Row],[Breakdown Time]]*(1/39)</f>
        <v>1.7094017094017103E-2</v>
      </c>
      <c r="X794" s="336" t="s">
        <v>465</v>
      </c>
      <c r="Y794" s="352" t="s">
        <v>120</v>
      </c>
      <c r="Z794" s="105">
        <v>21400</v>
      </c>
      <c r="AA794" s="107">
        <f>IFERROR((Table6[[#This Row],[Paired WTG Generation for loss calculation]]/24)*Table6[[#This Row],[Breakdown Time]],"")</f>
        <v>594.44444444444468</v>
      </c>
      <c r="AB794" s="105" t="s">
        <v>478</v>
      </c>
    </row>
    <row r="795" spans="1:28">
      <c r="A795" s="105">
        <f t="shared" si="12"/>
        <v>794</v>
      </c>
      <c r="B795" s="107">
        <f>YEAR(Table6[[#This Row],[Date]])+IF(MONTH(Table6[[#This Row],[Date]])&gt;=4,1,0)</f>
        <v>2026</v>
      </c>
      <c r="C795" s="105">
        <f>YEAR(Table6[[#This Row],[Date]])</f>
        <v>2025</v>
      </c>
      <c r="D795" s="105" t="s">
        <v>490</v>
      </c>
      <c r="E795" s="119">
        <f>Table6[[#This Row],[Date]]-DAY(Table6[[#This Row],[Date]])+1</f>
        <v>45809</v>
      </c>
      <c r="F795" s="118">
        <v>45824</v>
      </c>
      <c r="G795" s="105" t="s">
        <v>141</v>
      </c>
      <c r="H795" s="39" t="str">
        <f>_xlfn.XLOOKUP(Table6[[#This Row],[Affected WTG]],'Basic Data'!$A:$A,'Basic Data'!$B:$B)</f>
        <v>PWEGPL</v>
      </c>
      <c r="I795" s="39" t="str">
        <f>_xlfn.XLOOKUP(Table6[[#This Row],[Affected WTG]],'Basic Data'!$A:$A,'Basic Data'!$C:$C)</f>
        <v>MSEDCL</v>
      </c>
      <c r="J795" s="345">
        <f>IFERROR(VLOOKUP(Table6[[#This Row],[Affected WTG]],'Basic Data'!$A$3:$E$56,5,0),"")</f>
        <v>2.564102564102564E-2</v>
      </c>
      <c r="K795" s="105">
        <v>523</v>
      </c>
      <c r="L795" s="39" t="str">
        <f>IFERROR(VLOOKUP(Table6[[#This Row],[Error Code]],'Basic Data'!$T:$U,2,0),"")</f>
        <v>High Temperature Of Coolant In The Input Of The Cooling Circuit</v>
      </c>
      <c r="M795" s="346" t="s">
        <v>462</v>
      </c>
      <c r="N795" s="39" t="s">
        <v>1270</v>
      </c>
      <c r="O795" s="347">
        <v>0.46805555555555556</v>
      </c>
      <c r="P795" s="347">
        <v>0.48541666666666666</v>
      </c>
      <c r="Q795" s="347">
        <v>0.53541666666666665</v>
      </c>
      <c r="R795" s="348">
        <f>IF(Table6[[#This Row],[Work Start TimeStamp]]="","",(Table6[[#This Row],[Work Start TimeStamp]]-Table6[[#This Row],[Fault Start TimeStamp]])*24)</f>
        <v>0.41666666666666652</v>
      </c>
      <c r="S795" s="349">
        <f>(Table6[[#This Row],[Fault Clearance time]]-Table6[[#This Row],[Work Start TimeStamp]])*24</f>
        <v>1.1999999999999997</v>
      </c>
      <c r="T795" s="350">
        <f>(Table6[[#This Row],[Fault Clearance time]]-Table6[[#This Row],[Fault Start TimeStamp]])*24</f>
        <v>1.6166666666666663</v>
      </c>
      <c r="U795" s="346" t="s">
        <v>1253</v>
      </c>
      <c r="V795" s="351" t="s">
        <v>463</v>
      </c>
      <c r="W795" s="338">
        <f>Table6[[#This Row],[Breakdown Time]]*(1/39)</f>
        <v>4.1452991452991438E-2</v>
      </c>
      <c r="X795" s="336" t="s">
        <v>465</v>
      </c>
      <c r="Y795" s="352" t="s">
        <v>143</v>
      </c>
      <c r="Z795" s="105">
        <v>20213</v>
      </c>
      <c r="AA795" s="107">
        <f>IFERROR((Table6[[#This Row],[Paired WTG Generation for loss calculation]]/24)*Table6[[#This Row],[Breakdown Time]],"")</f>
        <v>1361.5701388888886</v>
      </c>
      <c r="AB795" s="105" t="s">
        <v>478</v>
      </c>
    </row>
    <row r="796" spans="1:28">
      <c r="A796" s="105">
        <f t="shared" si="12"/>
        <v>795</v>
      </c>
      <c r="B796" s="107">
        <f>YEAR(Table6[[#This Row],[Date]])+IF(MONTH(Table6[[#This Row],[Date]])&gt;=4,1,0)</f>
        <v>2026</v>
      </c>
      <c r="C796" s="105">
        <f>YEAR(Table6[[#This Row],[Date]])</f>
        <v>2025</v>
      </c>
      <c r="D796" s="105" t="s">
        <v>490</v>
      </c>
      <c r="E796" s="119">
        <f>Table6[[#This Row],[Date]]-DAY(Table6[[#This Row],[Date]])+1</f>
        <v>45809</v>
      </c>
      <c r="F796" s="118">
        <v>45824</v>
      </c>
      <c r="G796" s="105" t="s">
        <v>118</v>
      </c>
      <c r="H796" s="39" t="str">
        <f>_xlfn.XLOOKUP(Table6[[#This Row],[Affected WTG]],'Basic Data'!$A:$A,'Basic Data'!$B:$B)</f>
        <v>PWEGPL</v>
      </c>
      <c r="I796" s="39" t="str">
        <f>_xlfn.XLOOKUP(Table6[[#This Row],[Affected WTG]],'Basic Data'!$A:$A,'Basic Data'!$C:$C)</f>
        <v>MSEDCL</v>
      </c>
      <c r="J796" s="345">
        <f>IFERROR(VLOOKUP(Table6[[#This Row],[Affected WTG]],'Basic Data'!$A$3:$E$56,5,0),"")</f>
        <v>2.564102564102564E-2</v>
      </c>
      <c r="K796" s="105">
        <v>2118</v>
      </c>
      <c r="L796" s="39" t="str">
        <f>IFERROR(VLOOKUP(Table6[[#This Row],[Error Code]],'Basic Data'!$T:$U,2,0),"")</f>
        <v>Bus Error - Interbus Failure</v>
      </c>
      <c r="M796" s="346" t="s">
        <v>462</v>
      </c>
      <c r="N796" s="39" t="s">
        <v>1270</v>
      </c>
      <c r="O796" s="347">
        <v>0.44791666666666669</v>
      </c>
      <c r="P796" s="347">
        <v>0.46666666666666667</v>
      </c>
      <c r="Q796" s="347">
        <v>0.50347222222222221</v>
      </c>
      <c r="R796" s="348">
        <f>IF(Table6[[#This Row],[Work Start TimeStamp]]="","",(Table6[[#This Row],[Work Start TimeStamp]]-Table6[[#This Row],[Fault Start TimeStamp]])*24)</f>
        <v>0.44999999999999973</v>
      </c>
      <c r="S796" s="349">
        <f>(Table6[[#This Row],[Fault Clearance time]]-Table6[[#This Row],[Work Start TimeStamp]])*24</f>
        <v>0.88333333333333286</v>
      </c>
      <c r="T796" s="350">
        <f>(Table6[[#This Row],[Fault Clearance time]]-Table6[[#This Row],[Fault Start TimeStamp]])*24</f>
        <v>1.3333333333333326</v>
      </c>
      <c r="U796" s="346" t="s">
        <v>1244</v>
      </c>
      <c r="V796" s="351" t="s">
        <v>463</v>
      </c>
      <c r="W796" s="338">
        <f>Table6[[#This Row],[Breakdown Time]]*(1/39)</f>
        <v>3.4188034188034171E-2</v>
      </c>
      <c r="X796" s="336" t="s">
        <v>465</v>
      </c>
      <c r="Y796" s="352" t="s">
        <v>120</v>
      </c>
      <c r="Z796" s="105">
        <v>21400</v>
      </c>
      <c r="AA796" s="107">
        <f>IFERROR((Table6[[#This Row],[Paired WTG Generation for loss calculation]]/24)*Table6[[#This Row],[Breakdown Time]],"")</f>
        <v>1188.8888888888882</v>
      </c>
      <c r="AB796" s="105" t="s">
        <v>478</v>
      </c>
    </row>
    <row r="797" spans="1:28">
      <c r="A797" s="105">
        <f t="shared" si="12"/>
        <v>796</v>
      </c>
      <c r="B797" s="107">
        <f>YEAR(Table6[[#This Row],[Date]])+IF(MONTH(Table6[[#This Row],[Date]])&gt;=4,1,0)</f>
        <v>2026</v>
      </c>
      <c r="C797" s="105">
        <f>YEAR(Table6[[#This Row],[Date]])</f>
        <v>2025</v>
      </c>
      <c r="D797" s="105" t="s">
        <v>490</v>
      </c>
      <c r="E797" s="119">
        <f>Table6[[#This Row],[Date]]-DAY(Table6[[#This Row],[Date]])+1</f>
        <v>45809</v>
      </c>
      <c r="F797" s="118">
        <v>45824</v>
      </c>
      <c r="G797" s="105" t="s">
        <v>135</v>
      </c>
      <c r="H797" s="39" t="str">
        <f>_xlfn.XLOOKUP(Table6[[#This Row],[Affected WTG]],'Basic Data'!$A:$A,'Basic Data'!$B:$B)</f>
        <v>PWEGPL</v>
      </c>
      <c r="I797" s="39" t="str">
        <f>_xlfn.XLOOKUP(Table6[[#This Row],[Affected WTG]],'Basic Data'!$A:$A,'Basic Data'!$C:$C)</f>
        <v>MSEDCL</v>
      </c>
      <c r="J797" s="345">
        <f>IFERROR(VLOOKUP(Table6[[#This Row],[Affected WTG]],'Basic Data'!$A$3:$E$56,5,0),"")</f>
        <v>2.564102564102564E-2</v>
      </c>
      <c r="K797" s="105">
        <v>2100</v>
      </c>
      <c r="L797" s="39" t="str">
        <f>IFERROR(VLOOKUP(Table6[[#This Row],[Error Code]],'Basic Data'!$T:$U,2,0),"")</f>
        <v>PLC Voltage Recovery</v>
      </c>
      <c r="M797" s="346" t="s">
        <v>462</v>
      </c>
      <c r="N797" s="39" t="s">
        <v>1270</v>
      </c>
      <c r="O797" s="347">
        <v>0.27638888888888891</v>
      </c>
      <c r="P797" s="347">
        <v>0.2902777777777778</v>
      </c>
      <c r="Q797" s="347">
        <v>0.29097222222222224</v>
      </c>
      <c r="R797" s="348">
        <f>IF(Table6[[#This Row],[Work Start TimeStamp]]="","",(Table6[[#This Row],[Work Start TimeStamp]]-Table6[[#This Row],[Fault Start TimeStamp]])*24)</f>
        <v>0.33333333333333348</v>
      </c>
      <c r="S797" s="349">
        <f>(Table6[[#This Row],[Fault Clearance time]]-Table6[[#This Row],[Work Start TimeStamp]])*24</f>
        <v>1.6666666666666607E-2</v>
      </c>
      <c r="T797" s="350">
        <f>(Table6[[#This Row],[Fault Clearance time]]-Table6[[#This Row],[Fault Start TimeStamp]])*24</f>
        <v>0.35000000000000009</v>
      </c>
      <c r="U797" s="346" t="s">
        <v>493</v>
      </c>
      <c r="V797" s="351" t="s">
        <v>463</v>
      </c>
      <c r="W797" s="338">
        <f>Table6[[#This Row],[Breakdown Time]]*(1/39)</f>
        <v>8.9743589743589772E-3</v>
      </c>
      <c r="X797" s="336" t="s">
        <v>465</v>
      </c>
      <c r="Y797" s="352" t="s">
        <v>136</v>
      </c>
      <c r="Z797" s="105">
        <v>22189</v>
      </c>
      <c r="AA797" s="107">
        <f>IFERROR((Table6[[#This Row],[Paired WTG Generation for loss calculation]]/24)*Table6[[#This Row],[Breakdown Time]],"")</f>
        <v>323.58958333333339</v>
      </c>
      <c r="AB797" s="105" t="s">
        <v>478</v>
      </c>
    </row>
    <row r="798" spans="1:28">
      <c r="A798" s="105">
        <f t="shared" si="12"/>
        <v>797</v>
      </c>
      <c r="B798" s="107">
        <f>YEAR(Table6[[#This Row],[Date]])+IF(MONTH(Table6[[#This Row],[Date]])&gt;=4,1,0)</f>
        <v>2026</v>
      </c>
      <c r="C798" s="105">
        <f>YEAR(Table6[[#This Row],[Date]])</f>
        <v>2025</v>
      </c>
      <c r="D798" s="105" t="s">
        <v>490</v>
      </c>
      <c r="E798" s="119">
        <f>Table6[[#This Row],[Date]]-DAY(Table6[[#This Row],[Date]])+1</f>
        <v>45809</v>
      </c>
      <c r="F798" s="118">
        <v>45824</v>
      </c>
      <c r="G798" s="105" t="s">
        <v>137</v>
      </c>
      <c r="H798" s="39" t="str">
        <f>_xlfn.XLOOKUP(Table6[[#This Row],[Affected WTG]],'Basic Data'!$A:$A,'Basic Data'!$B:$B)</f>
        <v>PWEGPL</v>
      </c>
      <c r="I798" s="39" t="str">
        <f>_xlfn.XLOOKUP(Table6[[#This Row],[Affected WTG]],'Basic Data'!$A:$A,'Basic Data'!$C:$C)</f>
        <v>MSEDCL</v>
      </c>
      <c r="J798" s="345">
        <f>IFERROR(VLOOKUP(Table6[[#This Row],[Affected WTG]],'Basic Data'!$A$3:$E$56,5,0),"")</f>
        <v>2.564102564102564E-2</v>
      </c>
      <c r="K798" s="105">
        <v>2100</v>
      </c>
      <c r="L798" s="39" t="str">
        <f>IFERROR(VLOOKUP(Table6[[#This Row],[Error Code]],'Basic Data'!$T:$U,2,0),"")</f>
        <v>PLC Voltage Recovery</v>
      </c>
      <c r="M798" s="346" t="s">
        <v>462</v>
      </c>
      <c r="N798" s="39" t="s">
        <v>1270</v>
      </c>
      <c r="O798" s="347">
        <v>0.27638888888888891</v>
      </c>
      <c r="P798" s="347">
        <v>0.2951388888888889</v>
      </c>
      <c r="Q798" s="347">
        <v>0.29583333333333334</v>
      </c>
      <c r="R798" s="348">
        <f>IF(Table6[[#This Row],[Work Start TimeStamp]]="","",(Table6[[#This Row],[Work Start TimeStamp]]-Table6[[#This Row],[Fault Start TimeStamp]])*24)</f>
        <v>0.44999999999999973</v>
      </c>
      <c r="S798" s="349">
        <f>(Table6[[#This Row],[Fault Clearance time]]-Table6[[#This Row],[Work Start TimeStamp]])*24</f>
        <v>1.6666666666666607E-2</v>
      </c>
      <c r="T798" s="350">
        <f>(Table6[[#This Row],[Fault Clearance time]]-Table6[[#This Row],[Fault Start TimeStamp]])*24</f>
        <v>0.46666666666666634</v>
      </c>
      <c r="U798" s="346" t="s">
        <v>493</v>
      </c>
      <c r="V798" s="351" t="s">
        <v>463</v>
      </c>
      <c r="W798" s="338">
        <f>Table6[[#This Row],[Breakdown Time]]*(1/39)</f>
        <v>1.1965811965811956E-2</v>
      </c>
      <c r="X798" s="336" t="s">
        <v>465</v>
      </c>
      <c r="Y798" s="352" t="s">
        <v>136</v>
      </c>
      <c r="Z798" s="105">
        <v>22189</v>
      </c>
      <c r="AA798" s="107">
        <f>IFERROR((Table6[[#This Row],[Paired WTG Generation for loss calculation]]/24)*Table6[[#This Row],[Breakdown Time]],"")</f>
        <v>431.45277777777744</v>
      </c>
      <c r="AB798" s="105" t="s">
        <v>478</v>
      </c>
    </row>
    <row r="799" spans="1:28">
      <c r="A799" s="105">
        <f t="shared" si="12"/>
        <v>798</v>
      </c>
      <c r="B799" s="107">
        <f>YEAR(Table6[[#This Row],[Date]])+IF(MONTH(Table6[[#This Row],[Date]])&gt;=4,1,0)</f>
        <v>2026</v>
      </c>
      <c r="C799" s="105">
        <f>YEAR(Table6[[#This Row],[Date]])</f>
        <v>2025</v>
      </c>
      <c r="D799" s="105" t="s">
        <v>490</v>
      </c>
      <c r="E799" s="119">
        <f>Table6[[#This Row],[Date]]-DAY(Table6[[#This Row],[Date]])+1</f>
        <v>45809</v>
      </c>
      <c r="F799" s="118">
        <v>45825</v>
      </c>
      <c r="G799" s="105" t="s">
        <v>144</v>
      </c>
      <c r="H799" s="39" t="str">
        <f>_xlfn.XLOOKUP(Table6[[#This Row],[Affected WTG]],'Basic Data'!$A:$A,'Basic Data'!$B:$B)</f>
        <v>PWEGPL</v>
      </c>
      <c r="I799" s="39" t="str">
        <f>_xlfn.XLOOKUP(Table6[[#This Row],[Affected WTG]],'Basic Data'!$A:$A,'Basic Data'!$C:$C)</f>
        <v>MSEDCL</v>
      </c>
      <c r="J799" s="345">
        <f>IFERROR(VLOOKUP(Table6[[#This Row],[Affected WTG]],'Basic Data'!$A$3:$E$56,5,0),"")</f>
        <v>2.564102564102564E-2</v>
      </c>
      <c r="K799" s="105" t="s">
        <v>492</v>
      </c>
      <c r="L799" s="39" t="str">
        <f>IFERROR(VLOOKUP(Table6[[#This Row],[Error Code]],'Basic Data'!$T:$U,2,0),"")</f>
        <v>Manual Stop - Safety Related</v>
      </c>
      <c r="M799" s="346" t="s">
        <v>481</v>
      </c>
      <c r="N799" s="39" t="s">
        <v>1269</v>
      </c>
      <c r="O799" s="347">
        <v>0</v>
      </c>
      <c r="P799" s="347">
        <v>0.99998842592592596</v>
      </c>
      <c r="Q799" s="347">
        <v>0.99998842592592596</v>
      </c>
      <c r="R799" s="348">
        <f>IF(Table6[[#This Row],[Work Start TimeStamp]]="","",(Table6[[#This Row],[Work Start TimeStamp]]-Table6[[#This Row],[Fault Start TimeStamp]])*24)</f>
        <v>23.999722222222225</v>
      </c>
      <c r="S799" s="349">
        <f>(Table6[[#This Row],[Fault Clearance time]]-Table6[[#This Row],[Work Start TimeStamp]])*24</f>
        <v>0</v>
      </c>
      <c r="T799" s="350">
        <f>(Table6[[#This Row],[Fault Clearance time]]-Table6[[#This Row],[Fault Start TimeStamp]])*24</f>
        <v>23.999722222222225</v>
      </c>
      <c r="U799" s="346" t="s">
        <v>498</v>
      </c>
      <c r="V799" s="351" t="s">
        <v>473</v>
      </c>
      <c r="W799" s="338">
        <f>Table6[[#This Row],[Breakdown Time]]*(1/39)</f>
        <v>0.61537749287749288</v>
      </c>
      <c r="X799" s="336" t="s">
        <v>468</v>
      </c>
      <c r="Y799" s="352" t="s">
        <v>143</v>
      </c>
      <c r="Z799" s="105">
        <v>24110</v>
      </c>
      <c r="AA799" s="107">
        <f>IFERROR((Table6[[#This Row],[Paired WTG Generation for loss calculation]]/24)*Table6[[#This Row],[Breakdown Time]],"")</f>
        <v>24109.720949074079</v>
      </c>
      <c r="AB799" s="105" t="s">
        <v>478</v>
      </c>
    </row>
    <row r="800" spans="1:28">
      <c r="A800" s="105">
        <f t="shared" si="12"/>
        <v>799</v>
      </c>
      <c r="B800" s="107">
        <f>YEAR(Table6[[#This Row],[Date]])+IF(MONTH(Table6[[#This Row],[Date]])&gt;=4,1,0)</f>
        <v>2026</v>
      </c>
      <c r="C800" s="105">
        <f>YEAR(Table6[[#This Row],[Date]])</f>
        <v>2025</v>
      </c>
      <c r="D800" s="105" t="s">
        <v>490</v>
      </c>
      <c r="E800" s="119">
        <f>Table6[[#This Row],[Date]]-DAY(Table6[[#This Row],[Date]])+1</f>
        <v>45809</v>
      </c>
      <c r="F800" s="118">
        <v>45825</v>
      </c>
      <c r="G800" s="105" t="s">
        <v>142</v>
      </c>
      <c r="H800" s="39" t="str">
        <f>_xlfn.XLOOKUP(Table6[[#This Row],[Affected WTG]],'Basic Data'!$A:$A,'Basic Data'!$B:$B)</f>
        <v>PWEGPL</v>
      </c>
      <c r="I800" s="39" t="str">
        <f>_xlfn.XLOOKUP(Table6[[#This Row],[Affected WTG]],'Basic Data'!$A:$A,'Basic Data'!$C:$C)</f>
        <v>MSEDCL</v>
      </c>
      <c r="J800" s="345">
        <f>IFERROR(VLOOKUP(Table6[[#This Row],[Affected WTG]],'Basic Data'!$A$3:$E$56,5,0),"")</f>
        <v>2.564102564102564E-2</v>
      </c>
      <c r="K800" s="105" t="s">
        <v>492</v>
      </c>
      <c r="L800" s="39" t="str">
        <f>IFERROR(VLOOKUP(Table6[[#This Row],[Error Code]],'Basic Data'!$T:$U,2,0),"")</f>
        <v>Manual Stop - Safety Related</v>
      </c>
      <c r="M800" s="346" t="s">
        <v>481</v>
      </c>
      <c r="N800" s="39" t="s">
        <v>1269</v>
      </c>
      <c r="O800" s="347">
        <v>0</v>
      </c>
      <c r="P800" s="347">
        <v>0.99998842592592596</v>
      </c>
      <c r="Q800" s="347">
        <v>0.99998842592592596</v>
      </c>
      <c r="R800" s="348">
        <f>IF(Table6[[#This Row],[Work Start TimeStamp]]="","",(Table6[[#This Row],[Work Start TimeStamp]]-Table6[[#This Row],[Fault Start TimeStamp]])*24)</f>
        <v>23.999722222222225</v>
      </c>
      <c r="S800" s="349">
        <f>(Table6[[#This Row],[Fault Clearance time]]-Table6[[#This Row],[Work Start TimeStamp]])*24</f>
        <v>0</v>
      </c>
      <c r="T800" s="350">
        <f>(Table6[[#This Row],[Fault Clearance time]]-Table6[[#This Row],[Fault Start TimeStamp]])*24</f>
        <v>23.999722222222225</v>
      </c>
      <c r="U800" s="346" t="s">
        <v>498</v>
      </c>
      <c r="V800" s="351" t="s">
        <v>473</v>
      </c>
      <c r="W800" s="338">
        <f>Table6[[#This Row],[Breakdown Time]]*(1/39)</f>
        <v>0.61537749287749288</v>
      </c>
      <c r="X800" s="336" t="s">
        <v>468</v>
      </c>
      <c r="Y800" s="352" t="s">
        <v>143</v>
      </c>
      <c r="Z800" s="105">
        <v>24110</v>
      </c>
      <c r="AA800" s="107">
        <f>IFERROR((Table6[[#This Row],[Paired WTG Generation for loss calculation]]/24)*Table6[[#This Row],[Breakdown Time]],"")</f>
        <v>24109.720949074079</v>
      </c>
      <c r="AB800" s="105" t="s">
        <v>478</v>
      </c>
    </row>
    <row r="801" spans="1:28">
      <c r="A801" s="105">
        <f t="shared" si="12"/>
        <v>800</v>
      </c>
      <c r="B801" s="107">
        <f>YEAR(Table6[[#This Row],[Date]])+IF(MONTH(Table6[[#This Row],[Date]])&gt;=4,1,0)</f>
        <v>2026</v>
      </c>
      <c r="C801" s="105">
        <f>YEAR(Table6[[#This Row],[Date]])</f>
        <v>2025</v>
      </c>
      <c r="D801" s="105" t="s">
        <v>490</v>
      </c>
      <c r="E801" s="119">
        <f>Table6[[#This Row],[Date]]-DAY(Table6[[#This Row],[Date]])+1</f>
        <v>45809</v>
      </c>
      <c r="F801" s="118">
        <v>45825</v>
      </c>
      <c r="G801" s="105" t="s">
        <v>131</v>
      </c>
      <c r="H801" s="39" t="str">
        <f>_xlfn.XLOOKUP(Table6[[#This Row],[Affected WTG]],'Basic Data'!$A:$A,'Basic Data'!$B:$B)</f>
        <v>PWEGPL</v>
      </c>
      <c r="I801" s="39" t="str">
        <f>_xlfn.XLOOKUP(Table6[[#This Row],[Affected WTG]],'Basic Data'!$A:$A,'Basic Data'!$C:$C)</f>
        <v>MSEDCL</v>
      </c>
      <c r="J801" s="345">
        <f>IFERROR(VLOOKUP(Table6[[#This Row],[Affected WTG]],'Basic Data'!$A$3:$E$56,5,0),"")</f>
        <v>2.564102564102564E-2</v>
      </c>
      <c r="K801" s="105">
        <v>5216</v>
      </c>
      <c r="L801" s="39" t="str">
        <f>IFERROR(VLOOKUP(Table6[[#This Row],[Error Code]],'Basic Data'!$T:$U,2,0),"")</f>
        <v>Grid Voltage Failure</v>
      </c>
      <c r="M801" s="346" t="s">
        <v>462</v>
      </c>
      <c r="N801" s="39" t="s">
        <v>1270</v>
      </c>
      <c r="O801" s="347">
        <v>0</v>
      </c>
      <c r="P801" s="347">
        <v>0.99998842592592596</v>
      </c>
      <c r="Q801" s="347">
        <v>0.99998842592592596</v>
      </c>
      <c r="R801" s="348">
        <f>IF(Table6[[#This Row],[Work Start TimeStamp]]="","",(Table6[[#This Row],[Work Start TimeStamp]]-Table6[[#This Row],[Fault Start TimeStamp]])*24)</f>
        <v>23.999722222222225</v>
      </c>
      <c r="S801" s="349">
        <f>(Table6[[#This Row],[Fault Clearance time]]-Table6[[#This Row],[Work Start TimeStamp]])*24</f>
        <v>0</v>
      </c>
      <c r="T801" s="350">
        <f>(Table6[[#This Row],[Fault Clearance time]]-Table6[[#This Row],[Fault Start TimeStamp]])*24</f>
        <v>23.999722222222225</v>
      </c>
      <c r="U801" s="346" t="s">
        <v>1247</v>
      </c>
      <c r="V801" s="351" t="s">
        <v>473</v>
      </c>
      <c r="W801" s="338">
        <f>Table6[[#This Row],[Breakdown Time]]*(1/39)</f>
        <v>0.61537749287749288</v>
      </c>
      <c r="X801" s="336" t="s">
        <v>465</v>
      </c>
      <c r="Y801" s="352" t="s">
        <v>132</v>
      </c>
      <c r="Z801" s="105">
        <v>24122</v>
      </c>
      <c r="AA801" s="107">
        <f>IFERROR((Table6[[#This Row],[Paired WTG Generation for loss calculation]]/24)*Table6[[#This Row],[Breakdown Time]],"")</f>
        <v>24121.72081018519</v>
      </c>
      <c r="AB801" s="105" t="s">
        <v>1246</v>
      </c>
    </row>
    <row r="802" spans="1:28">
      <c r="A802" s="105">
        <f t="shared" si="12"/>
        <v>801</v>
      </c>
      <c r="B802" s="107">
        <f>YEAR(Table6[[#This Row],[Date]])+IF(MONTH(Table6[[#This Row],[Date]])&gt;=4,1,0)</f>
        <v>2026</v>
      </c>
      <c r="C802" s="105">
        <f>YEAR(Table6[[#This Row],[Date]])</f>
        <v>2025</v>
      </c>
      <c r="D802" s="105" t="s">
        <v>490</v>
      </c>
      <c r="E802" s="119">
        <f>Table6[[#This Row],[Date]]-DAY(Table6[[#This Row],[Date]])+1</f>
        <v>45809</v>
      </c>
      <c r="F802" s="118">
        <v>45825</v>
      </c>
      <c r="G802" s="105" t="s">
        <v>129</v>
      </c>
      <c r="H802" s="39" t="str">
        <f>_xlfn.XLOOKUP(Table6[[#This Row],[Affected WTG]],'Basic Data'!$A:$A,'Basic Data'!$B:$B)</f>
        <v>PWEGPL</v>
      </c>
      <c r="I802" s="39" t="str">
        <f>_xlfn.XLOOKUP(Table6[[#This Row],[Affected WTG]],'Basic Data'!$A:$A,'Basic Data'!$C:$C)</f>
        <v>MSEDCL</v>
      </c>
      <c r="J802" s="345">
        <f>IFERROR(VLOOKUP(Table6[[#This Row],[Affected WTG]],'Basic Data'!$A$3:$E$56,5,0),"")</f>
        <v>2.564102564102564E-2</v>
      </c>
      <c r="K802" s="105">
        <v>502</v>
      </c>
      <c r="L802" s="39" t="str">
        <f>IFERROR(VLOOKUP(Table6[[#This Row],[Error Code]],'Basic Data'!$T:$U,2,0),"")</f>
        <v>Generator NDE Bearing High Temperature Alarm</v>
      </c>
      <c r="M802" s="346" t="s">
        <v>462</v>
      </c>
      <c r="N802" s="39" t="s">
        <v>1270</v>
      </c>
      <c r="O802" s="347">
        <v>0.57222222222222219</v>
      </c>
      <c r="P802" s="347">
        <v>0.58125000000000004</v>
      </c>
      <c r="Q802" s="347">
        <v>0.62152777777777779</v>
      </c>
      <c r="R802" s="348">
        <f>IF(Table6[[#This Row],[Work Start TimeStamp]]="","",(Table6[[#This Row],[Work Start TimeStamp]]-Table6[[#This Row],[Fault Start TimeStamp]])*24)</f>
        <v>0.21666666666666856</v>
      </c>
      <c r="S802" s="349">
        <f>(Table6[[#This Row],[Fault Clearance time]]-Table6[[#This Row],[Work Start TimeStamp]])*24</f>
        <v>0.9666666666666659</v>
      </c>
      <c r="T802" s="350">
        <f>(Table6[[#This Row],[Fault Clearance time]]-Table6[[#This Row],[Fault Start TimeStamp]])*24</f>
        <v>1.1833333333333345</v>
      </c>
      <c r="U802" s="346" t="s">
        <v>1254</v>
      </c>
      <c r="V802" s="351" t="s">
        <v>463</v>
      </c>
      <c r="W802" s="338">
        <f>Table6[[#This Row],[Breakdown Time]]*(1/39)</f>
        <v>3.0341880341880369E-2</v>
      </c>
      <c r="X802" s="336" t="s">
        <v>465</v>
      </c>
      <c r="Y802" s="352" t="s">
        <v>128</v>
      </c>
      <c r="Z802" s="105">
        <v>25011</v>
      </c>
      <c r="AA802" s="107">
        <f>IFERROR((Table6[[#This Row],[Paired WTG Generation for loss calculation]]/24)*Table6[[#This Row],[Breakdown Time]],"")</f>
        <v>1233.1812500000012</v>
      </c>
      <c r="AB802" s="105" t="s">
        <v>478</v>
      </c>
    </row>
    <row r="803" spans="1:28">
      <c r="A803" s="105">
        <f t="shared" si="12"/>
        <v>802</v>
      </c>
      <c r="B803" s="107">
        <f>YEAR(Table6[[#This Row],[Date]])+IF(MONTH(Table6[[#This Row],[Date]])&gt;=4,1,0)</f>
        <v>2026</v>
      </c>
      <c r="C803" s="105">
        <f>YEAR(Table6[[#This Row],[Date]])</f>
        <v>2025</v>
      </c>
      <c r="D803" s="105" t="s">
        <v>490</v>
      </c>
      <c r="E803" s="119">
        <f>Table6[[#This Row],[Date]]-DAY(Table6[[#This Row],[Date]])+1</f>
        <v>45809</v>
      </c>
      <c r="F803" s="118">
        <v>45825</v>
      </c>
      <c r="G803" s="105" t="s">
        <v>141</v>
      </c>
      <c r="H803" s="39" t="str">
        <f>_xlfn.XLOOKUP(Table6[[#This Row],[Affected WTG]],'Basic Data'!$A:$A,'Basic Data'!$B:$B)</f>
        <v>PWEGPL</v>
      </c>
      <c r="I803" s="39" t="str">
        <f>_xlfn.XLOOKUP(Table6[[#This Row],[Affected WTG]],'Basic Data'!$A:$A,'Basic Data'!$C:$C)</f>
        <v>MSEDCL</v>
      </c>
      <c r="J803" s="345">
        <f>IFERROR(VLOOKUP(Table6[[#This Row],[Affected WTG]],'Basic Data'!$A$3:$E$56,5,0),"")</f>
        <v>2.564102564102564E-2</v>
      </c>
      <c r="K803" s="105">
        <v>813</v>
      </c>
      <c r="L803" s="39" t="str">
        <f>IFERROR(VLOOKUP(Table6[[#This Row],[Error Code]],'Basic Data'!$T:$U,2,0),"")</f>
        <v>Low Pressure Of Emergency Accumulators</v>
      </c>
      <c r="M803" s="346" t="s">
        <v>462</v>
      </c>
      <c r="N803" s="39" t="s">
        <v>1270</v>
      </c>
      <c r="O803" s="347">
        <v>0.44444444444444442</v>
      </c>
      <c r="P803" s="347">
        <v>0.47222222222222221</v>
      </c>
      <c r="Q803" s="347">
        <v>0.99930555555555556</v>
      </c>
      <c r="R803" s="348">
        <f>IF(Table6[[#This Row],[Work Start TimeStamp]]="","",(Table6[[#This Row],[Work Start TimeStamp]]-Table6[[#This Row],[Fault Start TimeStamp]])*24)</f>
        <v>0.66666666666666696</v>
      </c>
      <c r="S803" s="349">
        <f>(Table6[[#This Row],[Fault Clearance time]]-Table6[[#This Row],[Work Start TimeStamp]])*24</f>
        <v>12.65</v>
      </c>
      <c r="T803" s="350">
        <f>(Table6[[#This Row],[Fault Clearance time]]-Table6[[#This Row],[Fault Start TimeStamp]])*24</f>
        <v>13.316666666666666</v>
      </c>
      <c r="U803" s="346" t="s">
        <v>1255</v>
      </c>
      <c r="V803" s="351" t="s">
        <v>473</v>
      </c>
      <c r="W803" s="338">
        <f>Table6[[#This Row],[Breakdown Time]]*(1/39)</f>
        <v>0.34145299145299146</v>
      </c>
      <c r="X803" s="336" t="s">
        <v>465</v>
      </c>
      <c r="Y803" s="352" t="s">
        <v>143</v>
      </c>
      <c r="Z803" s="105">
        <v>24110</v>
      </c>
      <c r="AA803" s="107">
        <f>IFERROR((Table6[[#This Row],[Paired WTG Generation for loss calculation]]/24)*Table6[[#This Row],[Breakdown Time]],"")</f>
        <v>13377.701388888889</v>
      </c>
      <c r="AB803" s="105" t="s">
        <v>478</v>
      </c>
    </row>
    <row r="804" spans="1:28">
      <c r="A804" s="105">
        <f t="shared" si="12"/>
        <v>803</v>
      </c>
      <c r="B804" s="107">
        <f>YEAR(Table6[[#This Row],[Date]])+IF(MONTH(Table6[[#This Row],[Date]])&gt;=4,1,0)</f>
        <v>2026</v>
      </c>
      <c r="C804" s="105">
        <f>YEAR(Table6[[#This Row],[Date]])</f>
        <v>2025</v>
      </c>
      <c r="D804" s="105" t="s">
        <v>490</v>
      </c>
      <c r="E804" s="119">
        <f>Table6[[#This Row],[Date]]-DAY(Table6[[#This Row],[Date]])+1</f>
        <v>45809</v>
      </c>
      <c r="F804" s="118">
        <v>45825</v>
      </c>
      <c r="G804" s="105" t="s">
        <v>146</v>
      </c>
      <c r="H804" s="39" t="str">
        <f>_xlfn.XLOOKUP(Table6[[#This Row],[Affected WTG]],'Basic Data'!$A:$A,'Basic Data'!$B:$B)</f>
        <v>PWEGPL</v>
      </c>
      <c r="I804" s="39" t="str">
        <f>_xlfn.XLOOKUP(Table6[[#This Row],[Affected WTG]],'Basic Data'!$A:$A,'Basic Data'!$C:$C)</f>
        <v>MSEDCL</v>
      </c>
      <c r="J804" s="345">
        <f>IFERROR(VLOOKUP(Table6[[#This Row],[Affected WTG]],'Basic Data'!$A$3:$E$56,5,0),"")</f>
        <v>2.564102564102564E-2</v>
      </c>
      <c r="K804" s="105" t="s">
        <v>492</v>
      </c>
      <c r="L804" s="39" t="str">
        <f>IFERROR(VLOOKUP(Table6[[#This Row],[Error Code]],'Basic Data'!$T:$U,2,0),"")</f>
        <v>Manual Stop - Safety Related</v>
      </c>
      <c r="M804" s="346" t="s">
        <v>481</v>
      </c>
      <c r="N804" s="39" t="s">
        <v>230</v>
      </c>
      <c r="O804" s="347">
        <v>0.46666666666666667</v>
      </c>
      <c r="P804" s="347">
        <v>0.46666666666666667</v>
      </c>
      <c r="Q804" s="347">
        <v>0.59861111111111109</v>
      </c>
      <c r="R804" s="348">
        <f>IF(Table6[[#This Row],[Work Start TimeStamp]]="","",(Table6[[#This Row],[Work Start TimeStamp]]-Table6[[#This Row],[Fault Start TimeStamp]])*24)</f>
        <v>0</v>
      </c>
      <c r="S804" s="349">
        <f>(Table6[[#This Row],[Fault Clearance time]]-Table6[[#This Row],[Work Start TimeStamp]])*24</f>
        <v>3.1666666666666661</v>
      </c>
      <c r="T804" s="350">
        <f>(Table6[[#This Row],[Fault Clearance time]]-Table6[[#This Row],[Fault Start TimeStamp]])*24</f>
        <v>3.1666666666666661</v>
      </c>
      <c r="U804" s="346" t="s">
        <v>508</v>
      </c>
      <c r="V804" s="351" t="s">
        <v>463</v>
      </c>
      <c r="W804" s="338">
        <f>Table6[[#This Row],[Breakdown Time]]*(1/39)</f>
        <v>8.1196581196581172E-2</v>
      </c>
      <c r="X804" s="336" t="s">
        <v>1212</v>
      </c>
      <c r="Y804" s="352" t="s">
        <v>147</v>
      </c>
      <c r="Z804" s="105">
        <v>24521</v>
      </c>
      <c r="AA804" s="107">
        <f>IFERROR((Table6[[#This Row],[Paired WTG Generation for loss calculation]]/24)*Table6[[#This Row],[Breakdown Time]],"")</f>
        <v>3235.4097222222217</v>
      </c>
      <c r="AB804" s="105" t="s">
        <v>478</v>
      </c>
    </row>
    <row r="805" spans="1:28">
      <c r="A805" s="105">
        <f t="shared" si="12"/>
        <v>804</v>
      </c>
      <c r="B805" s="107">
        <f>YEAR(Table6[[#This Row],[Date]])+IF(MONTH(Table6[[#This Row],[Date]])&gt;=4,1,0)</f>
        <v>2026</v>
      </c>
      <c r="C805" s="105">
        <f>YEAR(Table6[[#This Row],[Date]])</f>
        <v>2025</v>
      </c>
      <c r="D805" s="105" t="s">
        <v>490</v>
      </c>
      <c r="E805" s="119">
        <f>Table6[[#This Row],[Date]]-DAY(Table6[[#This Row],[Date]])+1</f>
        <v>45809</v>
      </c>
      <c r="F805" s="118">
        <v>45825</v>
      </c>
      <c r="G805" s="105" t="s">
        <v>129</v>
      </c>
      <c r="H805" s="39" t="str">
        <f>_xlfn.XLOOKUP(Table6[[#This Row],[Affected WTG]],'Basic Data'!$A:$A,'Basic Data'!$B:$B)</f>
        <v>PWEGPL</v>
      </c>
      <c r="I805" s="39" t="str">
        <f>_xlfn.XLOOKUP(Table6[[#This Row],[Affected WTG]],'Basic Data'!$A:$A,'Basic Data'!$C:$C)</f>
        <v>MSEDCL</v>
      </c>
      <c r="J805" s="345">
        <f>IFERROR(VLOOKUP(Table6[[#This Row],[Affected WTG]],'Basic Data'!$A$3:$E$56,5,0),"")</f>
        <v>2.564102564102564E-2</v>
      </c>
      <c r="K805" s="105" t="s">
        <v>492</v>
      </c>
      <c r="L805" s="39" t="str">
        <f>IFERROR(VLOOKUP(Table6[[#This Row],[Error Code]],'Basic Data'!$T:$U,2,0),"")</f>
        <v>Manual Stop - Safety Related</v>
      </c>
      <c r="M805" s="346" t="s">
        <v>481</v>
      </c>
      <c r="N805" s="39" t="s">
        <v>230</v>
      </c>
      <c r="O805" s="347">
        <v>0.62430555555555556</v>
      </c>
      <c r="P805" s="347">
        <v>0.62430555555555556</v>
      </c>
      <c r="Q805" s="347">
        <v>0.69444444444444442</v>
      </c>
      <c r="R805" s="348">
        <f>IF(Table6[[#This Row],[Work Start TimeStamp]]="","",(Table6[[#This Row],[Work Start TimeStamp]]-Table6[[#This Row],[Fault Start TimeStamp]])*24)</f>
        <v>0</v>
      </c>
      <c r="S805" s="349">
        <f>(Table6[[#This Row],[Fault Clearance time]]-Table6[[#This Row],[Work Start TimeStamp]])*24</f>
        <v>1.6833333333333327</v>
      </c>
      <c r="T805" s="350">
        <f>(Table6[[#This Row],[Fault Clearance time]]-Table6[[#This Row],[Fault Start TimeStamp]])*24</f>
        <v>1.6833333333333327</v>
      </c>
      <c r="U805" s="346" t="s">
        <v>508</v>
      </c>
      <c r="V805" s="351" t="s">
        <v>463</v>
      </c>
      <c r="W805" s="338">
        <f>Table6[[#This Row],[Breakdown Time]]*(1/39)</f>
        <v>4.3162393162393141E-2</v>
      </c>
      <c r="X805" s="336" t="s">
        <v>1212</v>
      </c>
      <c r="Y805" s="352" t="s">
        <v>128</v>
      </c>
      <c r="Z805" s="105">
        <v>25011</v>
      </c>
      <c r="AA805" s="107">
        <f>IFERROR((Table6[[#This Row],[Paired WTG Generation for loss calculation]]/24)*Table6[[#This Row],[Breakdown Time]],"")</f>
        <v>1754.2437499999994</v>
      </c>
      <c r="AB805" s="105" t="s">
        <v>478</v>
      </c>
    </row>
    <row r="806" spans="1:28">
      <c r="A806" s="105">
        <f t="shared" si="12"/>
        <v>805</v>
      </c>
      <c r="B806" s="107">
        <f>YEAR(Table6[[#This Row],[Date]])+IF(MONTH(Table6[[#This Row],[Date]])&gt;=4,1,0)</f>
        <v>2026</v>
      </c>
      <c r="C806" s="105">
        <f>YEAR(Table6[[#This Row],[Date]])</f>
        <v>2025</v>
      </c>
      <c r="D806" s="105" t="s">
        <v>490</v>
      </c>
      <c r="E806" s="119">
        <f>Table6[[#This Row],[Date]]-DAY(Table6[[#This Row],[Date]])+1</f>
        <v>45809</v>
      </c>
      <c r="F806" s="118">
        <v>45825</v>
      </c>
      <c r="G806" s="105" t="s">
        <v>117</v>
      </c>
      <c r="H806" s="39" t="str">
        <f>_xlfn.XLOOKUP(Table6[[#This Row],[Affected WTG]],'Basic Data'!$A:$A,'Basic Data'!$B:$B)</f>
        <v>PWEGPL</v>
      </c>
      <c r="I806" s="39" t="str">
        <f>_xlfn.XLOOKUP(Table6[[#This Row],[Affected WTG]],'Basic Data'!$A:$A,'Basic Data'!$C:$C)</f>
        <v>MSEDCL</v>
      </c>
      <c r="J806" s="345">
        <f>IFERROR(VLOOKUP(Table6[[#This Row],[Affected WTG]],'Basic Data'!$A$3:$E$56,5,0),"")</f>
        <v>2.564102564102564E-2</v>
      </c>
      <c r="K806" s="105">
        <v>800</v>
      </c>
      <c r="L806" s="39" t="str">
        <f>IFERROR(VLOOKUP(Table6[[#This Row],[Error Code]],'Basic Data'!$T:$U,2,0),"")</f>
        <v>Pitch Drive Error</v>
      </c>
      <c r="M806" s="346" t="s">
        <v>462</v>
      </c>
      <c r="N806" s="39" t="s">
        <v>1270</v>
      </c>
      <c r="O806" s="347">
        <v>0.47430555555555554</v>
      </c>
      <c r="P806" s="347">
        <v>0.4909722222222222</v>
      </c>
      <c r="Q806" s="347">
        <v>0.49375000000000002</v>
      </c>
      <c r="R806" s="348">
        <f>IF(Table6[[#This Row],[Work Start TimeStamp]]="","",(Table6[[#This Row],[Work Start TimeStamp]]-Table6[[#This Row],[Fault Start TimeStamp]])*24)</f>
        <v>0.39999999999999991</v>
      </c>
      <c r="S806" s="349">
        <f>(Table6[[#This Row],[Fault Clearance time]]-Table6[[#This Row],[Work Start TimeStamp]])*24</f>
        <v>6.6666666666667762E-2</v>
      </c>
      <c r="T806" s="350">
        <f>(Table6[[#This Row],[Fault Clearance time]]-Table6[[#This Row],[Fault Start TimeStamp]])*24</f>
        <v>0.46666666666666767</v>
      </c>
      <c r="U806" s="346" t="s">
        <v>493</v>
      </c>
      <c r="V806" s="351" t="s">
        <v>463</v>
      </c>
      <c r="W806" s="338">
        <f>Table6[[#This Row],[Breakdown Time]]*(1/39)</f>
        <v>1.1965811965811991E-2</v>
      </c>
      <c r="X806" s="336" t="s">
        <v>465</v>
      </c>
      <c r="Y806" s="352" t="s">
        <v>118</v>
      </c>
      <c r="Z806" s="105">
        <v>24900</v>
      </c>
      <c r="AA806" s="107">
        <f>IFERROR((Table6[[#This Row],[Paired WTG Generation for loss calculation]]/24)*Table6[[#This Row],[Breakdown Time]],"")</f>
        <v>484.16666666666771</v>
      </c>
      <c r="AB806" s="105" t="s">
        <v>478</v>
      </c>
    </row>
    <row r="807" spans="1:28">
      <c r="A807" s="105">
        <f t="shared" si="12"/>
        <v>806</v>
      </c>
      <c r="B807" s="107">
        <f>YEAR(Table6[[#This Row],[Date]])+IF(MONTH(Table6[[#This Row],[Date]])&gt;=4,1,0)</f>
        <v>2026</v>
      </c>
      <c r="C807" s="105">
        <f>YEAR(Table6[[#This Row],[Date]])</f>
        <v>2025</v>
      </c>
      <c r="D807" s="105" t="s">
        <v>490</v>
      </c>
      <c r="E807" s="119">
        <f>Table6[[#This Row],[Date]]-DAY(Table6[[#This Row],[Date]])+1</f>
        <v>45809</v>
      </c>
      <c r="F807" s="118">
        <v>45825</v>
      </c>
      <c r="G807" s="105" t="s">
        <v>126</v>
      </c>
      <c r="H807" s="39" t="str">
        <f>_xlfn.XLOOKUP(Table6[[#This Row],[Affected WTG]],'Basic Data'!$A:$A,'Basic Data'!$B:$B)</f>
        <v>PWEGPL</v>
      </c>
      <c r="I807" s="39" t="str">
        <f>_xlfn.XLOOKUP(Table6[[#This Row],[Affected WTG]],'Basic Data'!$A:$A,'Basic Data'!$C:$C)</f>
        <v>MSEDCL</v>
      </c>
      <c r="J807" s="345">
        <f>IFERROR(VLOOKUP(Table6[[#This Row],[Affected WTG]],'Basic Data'!$A$3:$E$56,5,0),"")</f>
        <v>2.564102564102564E-2</v>
      </c>
      <c r="K807" s="105">
        <v>203</v>
      </c>
      <c r="L807" s="39" t="str">
        <f>IFERROR(VLOOKUP(Table6[[#This Row],[Error Code]],'Basic Data'!$T:$U,2,0),"")</f>
        <v>Low Pressure On Hydraulic Group</v>
      </c>
      <c r="M807" s="346" t="s">
        <v>462</v>
      </c>
      <c r="N807" s="39" t="s">
        <v>1270</v>
      </c>
      <c r="O807" s="347">
        <v>0.51736111111111116</v>
      </c>
      <c r="P807" s="347">
        <v>0.52569444444444446</v>
      </c>
      <c r="Q807" s="347">
        <v>0.52708333333333335</v>
      </c>
      <c r="R807" s="348">
        <f>IF(Table6[[#This Row],[Work Start TimeStamp]]="","",(Table6[[#This Row],[Work Start TimeStamp]]-Table6[[#This Row],[Fault Start TimeStamp]])*24)</f>
        <v>0.19999999999999929</v>
      </c>
      <c r="S807" s="349">
        <f>(Table6[[#This Row],[Fault Clearance time]]-Table6[[#This Row],[Work Start TimeStamp]])*24</f>
        <v>3.3333333333333215E-2</v>
      </c>
      <c r="T807" s="350">
        <f>(Table6[[#This Row],[Fault Clearance time]]-Table6[[#This Row],[Fault Start TimeStamp]])*24</f>
        <v>0.2333333333333325</v>
      </c>
      <c r="U807" s="346" t="s">
        <v>493</v>
      </c>
      <c r="V807" s="351" t="s">
        <v>463</v>
      </c>
      <c r="W807" s="338">
        <f>Table6[[#This Row],[Breakdown Time]]*(1/39)</f>
        <v>5.9829059829059617E-3</v>
      </c>
      <c r="X807" s="336" t="s">
        <v>465</v>
      </c>
      <c r="Y807" s="352" t="s">
        <v>127</v>
      </c>
      <c r="Z807" s="105">
        <v>26543</v>
      </c>
      <c r="AA807" s="107">
        <f>IFERROR((Table6[[#This Row],[Paired WTG Generation for loss calculation]]/24)*Table6[[#This Row],[Breakdown Time]],"")</f>
        <v>258.0569444444435</v>
      </c>
      <c r="AB807" s="105" t="s">
        <v>478</v>
      </c>
    </row>
    <row r="808" spans="1:28">
      <c r="A808" s="105">
        <f t="shared" si="12"/>
        <v>807</v>
      </c>
      <c r="B808" s="107">
        <f>YEAR(Table6[[#This Row],[Date]])+IF(MONTH(Table6[[#This Row],[Date]])&gt;=4,1,0)</f>
        <v>2026</v>
      </c>
      <c r="C808" s="105">
        <f>YEAR(Table6[[#This Row],[Date]])</f>
        <v>2025</v>
      </c>
      <c r="D808" s="105" t="s">
        <v>490</v>
      </c>
      <c r="E808" s="119">
        <f>Table6[[#This Row],[Date]]-DAY(Table6[[#This Row],[Date]])+1</f>
        <v>45809</v>
      </c>
      <c r="F808" s="118">
        <v>45826</v>
      </c>
      <c r="G808" s="105" t="s">
        <v>144</v>
      </c>
      <c r="H808" s="39" t="str">
        <f>_xlfn.XLOOKUP(Table6[[#This Row],[Affected WTG]],'Basic Data'!$A:$A,'Basic Data'!$B:$B)</f>
        <v>PWEGPL</v>
      </c>
      <c r="I808" s="39" t="str">
        <f>_xlfn.XLOOKUP(Table6[[#This Row],[Affected WTG]],'Basic Data'!$A:$A,'Basic Data'!$C:$C)</f>
        <v>MSEDCL</v>
      </c>
      <c r="J808" s="345">
        <f>IFERROR(VLOOKUP(Table6[[#This Row],[Affected WTG]],'Basic Data'!$A$3:$E$56,5,0),"")</f>
        <v>2.564102564102564E-2</v>
      </c>
      <c r="K808" s="105" t="s">
        <v>492</v>
      </c>
      <c r="L808" s="39" t="str">
        <f>IFERROR(VLOOKUP(Table6[[#This Row],[Error Code]],'Basic Data'!$T:$U,2,0),"")</f>
        <v>Manual Stop - Safety Related</v>
      </c>
      <c r="M808" s="346" t="s">
        <v>481</v>
      </c>
      <c r="N808" s="39" t="s">
        <v>1269</v>
      </c>
      <c r="O808" s="347">
        <v>0</v>
      </c>
      <c r="P808" s="347">
        <v>0.99998842592592596</v>
      </c>
      <c r="Q808" s="347">
        <v>0.99998842592592596</v>
      </c>
      <c r="R808" s="348">
        <f>IF(Table6[[#This Row],[Work Start TimeStamp]]="","",(Table6[[#This Row],[Work Start TimeStamp]]-Table6[[#This Row],[Fault Start TimeStamp]])*24)</f>
        <v>23.999722222222225</v>
      </c>
      <c r="S808" s="349">
        <f>(Table6[[#This Row],[Fault Clearance time]]-Table6[[#This Row],[Work Start TimeStamp]])*24</f>
        <v>0</v>
      </c>
      <c r="T808" s="350">
        <f>(Table6[[#This Row],[Fault Clearance time]]-Table6[[#This Row],[Fault Start TimeStamp]])*24</f>
        <v>23.999722222222225</v>
      </c>
      <c r="U808" s="346" t="s">
        <v>498</v>
      </c>
      <c r="V808" s="351" t="s">
        <v>473</v>
      </c>
      <c r="W808" s="338">
        <f>Table6[[#This Row],[Breakdown Time]]*(1/39)</f>
        <v>0.61537749287749288</v>
      </c>
      <c r="X808" s="336" t="s">
        <v>468</v>
      </c>
      <c r="Y808" s="352" t="s">
        <v>143</v>
      </c>
      <c r="Z808" s="105">
        <v>27943</v>
      </c>
      <c r="AA808" s="107">
        <f>IFERROR((Table6[[#This Row],[Paired WTG Generation for loss calculation]]/24)*Table6[[#This Row],[Breakdown Time]],"")</f>
        <v>27942.676585648154</v>
      </c>
      <c r="AB808" s="105" t="s">
        <v>478</v>
      </c>
    </row>
    <row r="809" spans="1:28">
      <c r="A809" s="105">
        <f t="shared" si="12"/>
        <v>808</v>
      </c>
      <c r="B809" s="107">
        <f>YEAR(Table6[[#This Row],[Date]])+IF(MONTH(Table6[[#This Row],[Date]])&gt;=4,1,0)</f>
        <v>2026</v>
      </c>
      <c r="C809" s="105">
        <f>YEAR(Table6[[#This Row],[Date]])</f>
        <v>2025</v>
      </c>
      <c r="D809" s="105" t="s">
        <v>490</v>
      </c>
      <c r="E809" s="119">
        <f>Table6[[#This Row],[Date]]-DAY(Table6[[#This Row],[Date]])+1</f>
        <v>45809</v>
      </c>
      <c r="F809" s="118">
        <v>45826</v>
      </c>
      <c r="G809" s="105" t="s">
        <v>142</v>
      </c>
      <c r="H809" s="39" t="str">
        <f>_xlfn.XLOOKUP(Table6[[#This Row],[Affected WTG]],'Basic Data'!$A:$A,'Basic Data'!$B:$B)</f>
        <v>PWEGPL</v>
      </c>
      <c r="I809" s="39" t="str">
        <f>_xlfn.XLOOKUP(Table6[[#This Row],[Affected WTG]],'Basic Data'!$A:$A,'Basic Data'!$C:$C)</f>
        <v>MSEDCL</v>
      </c>
      <c r="J809" s="345">
        <f>IFERROR(VLOOKUP(Table6[[#This Row],[Affected WTG]],'Basic Data'!$A$3:$E$56,5,0),"")</f>
        <v>2.564102564102564E-2</v>
      </c>
      <c r="K809" s="105" t="s">
        <v>492</v>
      </c>
      <c r="L809" s="39" t="str">
        <f>IFERROR(VLOOKUP(Table6[[#This Row],[Error Code]],'Basic Data'!$T:$U,2,0),"")</f>
        <v>Manual Stop - Safety Related</v>
      </c>
      <c r="M809" s="346" t="s">
        <v>481</v>
      </c>
      <c r="N809" s="39" t="s">
        <v>1269</v>
      </c>
      <c r="O809" s="347">
        <v>0</v>
      </c>
      <c r="P809" s="347">
        <v>0.99998842592592596</v>
      </c>
      <c r="Q809" s="347">
        <v>0.99998842592592596</v>
      </c>
      <c r="R809" s="348">
        <f>IF(Table6[[#This Row],[Work Start TimeStamp]]="","",(Table6[[#This Row],[Work Start TimeStamp]]-Table6[[#This Row],[Fault Start TimeStamp]])*24)</f>
        <v>23.999722222222225</v>
      </c>
      <c r="S809" s="349">
        <f>(Table6[[#This Row],[Fault Clearance time]]-Table6[[#This Row],[Work Start TimeStamp]])*24</f>
        <v>0</v>
      </c>
      <c r="T809" s="350">
        <f>(Table6[[#This Row],[Fault Clearance time]]-Table6[[#This Row],[Fault Start TimeStamp]])*24</f>
        <v>23.999722222222225</v>
      </c>
      <c r="U809" s="346" t="s">
        <v>498</v>
      </c>
      <c r="V809" s="351" t="s">
        <v>473</v>
      </c>
      <c r="W809" s="338">
        <f>Table6[[#This Row],[Breakdown Time]]*(1/39)</f>
        <v>0.61537749287749288</v>
      </c>
      <c r="X809" s="336" t="s">
        <v>468</v>
      </c>
      <c r="Y809" s="352" t="s">
        <v>143</v>
      </c>
      <c r="Z809" s="105">
        <v>27943</v>
      </c>
      <c r="AA809" s="107">
        <f>IFERROR((Table6[[#This Row],[Paired WTG Generation for loss calculation]]/24)*Table6[[#This Row],[Breakdown Time]],"")</f>
        <v>27942.676585648154</v>
      </c>
      <c r="AB809" s="105" t="s">
        <v>478</v>
      </c>
    </row>
    <row r="810" spans="1:28">
      <c r="A810" s="105">
        <f t="shared" si="12"/>
        <v>809</v>
      </c>
      <c r="B810" s="107">
        <f>YEAR(Table6[[#This Row],[Date]])+IF(MONTH(Table6[[#This Row],[Date]])&gt;=4,1,0)</f>
        <v>2026</v>
      </c>
      <c r="C810" s="105">
        <f>YEAR(Table6[[#This Row],[Date]])</f>
        <v>2025</v>
      </c>
      <c r="D810" s="105" t="s">
        <v>490</v>
      </c>
      <c r="E810" s="119">
        <f>Table6[[#This Row],[Date]]-DAY(Table6[[#This Row],[Date]])+1</f>
        <v>45809</v>
      </c>
      <c r="F810" s="118">
        <v>45826</v>
      </c>
      <c r="G810" s="105" t="s">
        <v>131</v>
      </c>
      <c r="H810" s="39" t="str">
        <f>_xlfn.XLOOKUP(Table6[[#This Row],[Affected WTG]],'Basic Data'!$A:$A,'Basic Data'!$B:$B)</f>
        <v>PWEGPL</v>
      </c>
      <c r="I810" s="39" t="str">
        <f>_xlfn.XLOOKUP(Table6[[#This Row],[Affected WTG]],'Basic Data'!$A:$A,'Basic Data'!$C:$C)</f>
        <v>MSEDCL</v>
      </c>
      <c r="J810" s="345">
        <f>IFERROR(VLOOKUP(Table6[[#This Row],[Affected WTG]],'Basic Data'!$A$3:$E$56,5,0),"")</f>
        <v>2.564102564102564E-2</v>
      </c>
      <c r="K810" s="105">
        <v>5216</v>
      </c>
      <c r="L810" s="39" t="str">
        <f>IFERROR(VLOOKUP(Table6[[#This Row],[Error Code]],'Basic Data'!$T:$U,2,0),"")</f>
        <v>Grid Voltage Failure</v>
      </c>
      <c r="M810" s="346" t="s">
        <v>462</v>
      </c>
      <c r="N810" s="39" t="s">
        <v>1270</v>
      </c>
      <c r="O810" s="347">
        <v>0</v>
      </c>
      <c r="P810" s="347">
        <v>0.99998842592592596</v>
      </c>
      <c r="Q810" s="347">
        <v>0.99998842592592596</v>
      </c>
      <c r="R810" s="348">
        <f>IF(Table6[[#This Row],[Work Start TimeStamp]]="","",(Table6[[#This Row],[Work Start TimeStamp]]-Table6[[#This Row],[Fault Start TimeStamp]])*24)</f>
        <v>23.999722222222225</v>
      </c>
      <c r="S810" s="349">
        <f>(Table6[[#This Row],[Fault Clearance time]]-Table6[[#This Row],[Work Start TimeStamp]])*24</f>
        <v>0</v>
      </c>
      <c r="T810" s="350">
        <f>(Table6[[#This Row],[Fault Clearance time]]-Table6[[#This Row],[Fault Start TimeStamp]])*24</f>
        <v>23.999722222222225</v>
      </c>
      <c r="U810" s="346" t="s">
        <v>1247</v>
      </c>
      <c r="V810" s="351" t="s">
        <v>473</v>
      </c>
      <c r="W810" s="338">
        <f>Table6[[#This Row],[Breakdown Time]]*(1/39)</f>
        <v>0.61537749287749288</v>
      </c>
      <c r="X810" s="336" t="s">
        <v>465</v>
      </c>
      <c r="Y810" s="352" t="s">
        <v>132</v>
      </c>
      <c r="Z810" s="105">
        <v>28901</v>
      </c>
      <c r="AA810" s="107">
        <f>IFERROR((Table6[[#This Row],[Paired WTG Generation for loss calculation]]/24)*Table6[[#This Row],[Breakdown Time]],"")</f>
        <v>28900.665497685186</v>
      </c>
      <c r="AB810" s="105" t="s">
        <v>1246</v>
      </c>
    </row>
    <row r="811" spans="1:28">
      <c r="A811" s="105">
        <f t="shared" si="12"/>
        <v>810</v>
      </c>
      <c r="B811" s="107">
        <f>YEAR(Table6[[#This Row],[Date]])+IF(MONTH(Table6[[#This Row],[Date]])&gt;=4,1,0)</f>
        <v>2026</v>
      </c>
      <c r="C811" s="105">
        <f>YEAR(Table6[[#This Row],[Date]])</f>
        <v>2025</v>
      </c>
      <c r="D811" s="105" t="s">
        <v>490</v>
      </c>
      <c r="E811" s="119">
        <f>Table6[[#This Row],[Date]]-DAY(Table6[[#This Row],[Date]])+1</f>
        <v>45809</v>
      </c>
      <c r="F811" s="118">
        <v>45826</v>
      </c>
      <c r="G811" s="105" t="s">
        <v>152</v>
      </c>
      <c r="H811" s="39" t="str">
        <f>_xlfn.XLOOKUP(Table6[[#This Row],[Affected WTG]],'Basic Data'!$A:$A,'Basic Data'!$B:$B)</f>
        <v>PWEGPL</v>
      </c>
      <c r="I811" s="39" t="str">
        <f>_xlfn.XLOOKUP(Table6[[#This Row],[Affected WTG]],'Basic Data'!$A:$A,'Basic Data'!$C:$C)</f>
        <v>MSEDCL</v>
      </c>
      <c r="J811" s="345">
        <f>IFERROR(VLOOKUP(Table6[[#This Row],[Affected WTG]],'Basic Data'!$A$3:$E$56,5,0),"")</f>
        <v>2.564102564102564E-2</v>
      </c>
      <c r="K811" s="105">
        <v>813</v>
      </c>
      <c r="L811" s="39" t="str">
        <f>IFERROR(VLOOKUP(Table6[[#This Row],[Error Code]],'Basic Data'!$T:$U,2,0),"")</f>
        <v>Low Pressure Of Emergency Accumulators</v>
      </c>
      <c r="M811" s="346" t="s">
        <v>462</v>
      </c>
      <c r="N811" s="39" t="s">
        <v>1270</v>
      </c>
      <c r="O811" s="347">
        <v>0.59861111111111109</v>
      </c>
      <c r="P811" s="347">
        <v>0.62986111111111109</v>
      </c>
      <c r="Q811" s="347">
        <v>0.70694444444444449</v>
      </c>
      <c r="R811" s="348">
        <f>IF(Table6[[#This Row],[Work Start TimeStamp]]="","",(Table6[[#This Row],[Work Start TimeStamp]]-Table6[[#This Row],[Fault Start TimeStamp]])*24)</f>
        <v>0.75</v>
      </c>
      <c r="S811" s="349">
        <f>(Table6[[#This Row],[Fault Clearance time]]-Table6[[#This Row],[Work Start TimeStamp]])*24</f>
        <v>1.8500000000000014</v>
      </c>
      <c r="T811" s="350">
        <f>(Table6[[#This Row],[Fault Clearance time]]-Table6[[#This Row],[Fault Start TimeStamp]])*24</f>
        <v>2.6000000000000014</v>
      </c>
      <c r="U811" s="346" t="s">
        <v>1256</v>
      </c>
      <c r="V811" s="351" t="s">
        <v>463</v>
      </c>
      <c r="W811" s="338">
        <f>Table6[[#This Row],[Breakdown Time]]*(1/39)</f>
        <v>6.6666666666666707E-2</v>
      </c>
      <c r="X811" s="336" t="s">
        <v>465</v>
      </c>
      <c r="Y811" s="352" t="s">
        <v>153</v>
      </c>
      <c r="Z811" s="105">
        <v>28381</v>
      </c>
      <c r="AA811" s="107">
        <f>IFERROR((Table6[[#This Row],[Paired WTG Generation for loss calculation]]/24)*Table6[[#This Row],[Breakdown Time]],"")</f>
        <v>3074.6083333333354</v>
      </c>
      <c r="AB811" s="105" t="s">
        <v>478</v>
      </c>
    </row>
    <row r="812" spans="1:28">
      <c r="A812" s="105">
        <f t="shared" si="12"/>
        <v>811</v>
      </c>
      <c r="B812" s="107">
        <f>YEAR(Table6[[#This Row],[Date]])+IF(MONTH(Table6[[#This Row],[Date]])&gt;=4,1,0)</f>
        <v>2026</v>
      </c>
      <c r="C812" s="105">
        <f>YEAR(Table6[[#This Row],[Date]])</f>
        <v>2025</v>
      </c>
      <c r="D812" s="105" t="s">
        <v>490</v>
      </c>
      <c r="E812" s="119">
        <f>Table6[[#This Row],[Date]]-DAY(Table6[[#This Row],[Date]])+1</f>
        <v>45809</v>
      </c>
      <c r="F812" s="118">
        <v>45826</v>
      </c>
      <c r="G812" s="105" t="s">
        <v>121</v>
      </c>
      <c r="H812" s="39" t="str">
        <f>_xlfn.XLOOKUP(Table6[[#This Row],[Affected WTG]],'Basic Data'!$A:$A,'Basic Data'!$B:$B)</f>
        <v>PWEGPL</v>
      </c>
      <c r="I812" s="39" t="str">
        <f>_xlfn.XLOOKUP(Table6[[#This Row],[Affected WTG]],'Basic Data'!$A:$A,'Basic Data'!$C:$C)</f>
        <v>MSEDCL</v>
      </c>
      <c r="J812" s="345">
        <f>IFERROR(VLOOKUP(Table6[[#This Row],[Affected WTG]],'Basic Data'!$A$3:$E$56,5,0),"")</f>
        <v>2.564102564102564E-2</v>
      </c>
      <c r="K812" s="105">
        <v>403</v>
      </c>
      <c r="L812" s="39" t="str">
        <f>IFERROR(VLOOKUP(Table6[[#This Row],[Error Code]],'Basic Data'!$T:$U,2,0),"")</f>
        <v>High Gearbox Oil Temperature</v>
      </c>
      <c r="M812" s="346" t="s">
        <v>462</v>
      </c>
      <c r="N812" s="39" t="s">
        <v>1270</v>
      </c>
      <c r="O812" s="347">
        <v>0.70763888888888893</v>
      </c>
      <c r="P812" s="347">
        <v>0.72569444444444442</v>
      </c>
      <c r="Q812" s="347">
        <v>0.81111111111111112</v>
      </c>
      <c r="R812" s="348">
        <f>IF(Table6[[#This Row],[Work Start TimeStamp]]="","",(Table6[[#This Row],[Work Start TimeStamp]]-Table6[[#This Row],[Fault Start TimeStamp]])*24)</f>
        <v>0.43333333333333179</v>
      </c>
      <c r="S812" s="349">
        <f>(Table6[[#This Row],[Fault Clearance time]]-Table6[[#This Row],[Work Start TimeStamp]])*24</f>
        <v>2.0500000000000007</v>
      </c>
      <c r="T812" s="350">
        <f>(Table6[[#This Row],[Fault Clearance time]]-Table6[[#This Row],[Fault Start TimeStamp]])*24</f>
        <v>2.4833333333333325</v>
      </c>
      <c r="U812" s="346" t="s">
        <v>1257</v>
      </c>
      <c r="V812" s="351" t="s">
        <v>463</v>
      </c>
      <c r="W812" s="338">
        <f>Table6[[#This Row],[Breakdown Time]]*(1/39)</f>
        <v>6.3675213675213657E-2</v>
      </c>
      <c r="X812" s="336" t="s">
        <v>465</v>
      </c>
      <c r="Y812" s="352" t="s">
        <v>115</v>
      </c>
      <c r="Z812" s="105">
        <v>28803</v>
      </c>
      <c r="AA812" s="107">
        <f>IFERROR((Table6[[#This Row],[Paired WTG Generation for loss calculation]]/24)*Table6[[#This Row],[Breakdown Time]],"")</f>
        <v>2980.3104166666658</v>
      </c>
      <c r="AB812" s="105" t="s">
        <v>478</v>
      </c>
    </row>
    <row r="813" spans="1:28">
      <c r="A813" s="105">
        <f t="shared" si="12"/>
        <v>812</v>
      </c>
      <c r="B813" s="107">
        <f>YEAR(Table6[[#This Row],[Date]])+IF(MONTH(Table6[[#This Row],[Date]])&gt;=4,1,0)</f>
        <v>2026</v>
      </c>
      <c r="C813" s="105">
        <f>YEAR(Table6[[#This Row],[Date]])</f>
        <v>2025</v>
      </c>
      <c r="D813" s="105" t="s">
        <v>490</v>
      </c>
      <c r="E813" s="119">
        <f>Table6[[#This Row],[Date]]-DAY(Table6[[#This Row],[Date]])+1</f>
        <v>45809</v>
      </c>
      <c r="F813" s="118">
        <v>45826</v>
      </c>
      <c r="G813" s="105" t="s">
        <v>141</v>
      </c>
      <c r="H813" s="39" t="str">
        <f>_xlfn.XLOOKUP(Table6[[#This Row],[Affected WTG]],'Basic Data'!$A:$A,'Basic Data'!$B:$B)</f>
        <v>PWEGPL</v>
      </c>
      <c r="I813" s="39" t="str">
        <f>_xlfn.XLOOKUP(Table6[[#This Row],[Affected WTG]],'Basic Data'!$A:$A,'Basic Data'!$C:$C)</f>
        <v>MSEDCL</v>
      </c>
      <c r="J813" s="345">
        <f>IFERROR(VLOOKUP(Table6[[#This Row],[Affected WTG]],'Basic Data'!$A$3:$E$56,5,0),"")</f>
        <v>2.564102564102564E-2</v>
      </c>
      <c r="K813" s="105">
        <v>404</v>
      </c>
      <c r="L813" s="39" t="str">
        <f>IFERROR(VLOOKUP(Table6[[#This Row],[Error Code]],'Basic Data'!$T:$U,2,0),"")</f>
        <v>High Gearbox Bearing Temperature</v>
      </c>
      <c r="M813" s="346" t="s">
        <v>462</v>
      </c>
      <c r="N813" s="39" t="s">
        <v>1270</v>
      </c>
      <c r="O813" s="347">
        <v>0.72986111111111107</v>
      </c>
      <c r="P813" s="347">
        <v>0.7416666666666667</v>
      </c>
      <c r="Q813" s="347">
        <v>0.77777777777777779</v>
      </c>
      <c r="R813" s="348">
        <f>IF(Table6[[#This Row],[Work Start TimeStamp]]="","",(Table6[[#This Row],[Work Start TimeStamp]]-Table6[[#This Row],[Fault Start TimeStamp]])*24)</f>
        <v>0.28333333333333499</v>
      </c>
      <c r="S813" s="349">
        <f>(Table6[[#This Row],[Fault Clearance time]]-Table6[[#This Row],[Work Start TimeStamp]])*24</f>
        <v>0.86666666666666625</v>
      </c>
      <c r="T813" s="350">
        <f>(Table6[[#This Row],[Fault Clearance time]]-Table6[[#This Row],[Fault Start TimeStamp]])*24</f>
        <v>1.1500000000000012</v>
      </c>
      <c r="U813" s="346" t="s">
        <v>1258</v>
      </c>
      <c r="V813" s="351" t="s">
        <v>463</v>
      </c>
      <c r="W813" s="338">
        <f>Table6[[#This Row],[Breakdown Time]]*(1/39)</f>
        <v>2.9487179487179518E-2</v>
      </c>
      <c r="X813" s="336" t="s">
        <v>465</v>
      </c>
      <c r="Y813" s="352" t="s">
        <v>143</v>
      </c>
      <c r="Z813" s="105">
        <v>27943</v>
      </c>
      <c r="AA813" s="107">
        <f>IFERROR((Table6[[#This Row],[Paired WTG Generation for loss calculation]]/24)*Table6[[#This Row],[Breakdown Time]],"")</f>
        <v>1338.9354166666683</v>
      </c>
      <c r="AB813" s="105" t="s">
        <v>478</v>
      </c>
    </row>
    <row r="814" spans="1:28">
      <c r="A814" s="105">
        <f t="shared" si="12"/>
        <v>813</v>
      </c>
      <c r="B814" s="107">
        <f>YEAR(Table6[[#This Row],[Date]])+IF(MONTH(Table6[[#This Row],[Date]])&gt;=4,1,0)</f>
        <v>2026</v>
      </c>
      <c r="C814" s="105">
        <f>YEAR(Table6[[#This Row],[Date]])</f>
        <v>2025</v>
      </c>
      <c r="D814" s="105" t="s">
        <v>490</v>
      </c>
      <c r="E814" s="119">
        <f>Table6[[#This Row],[Date]]-DAY(Table6[[#This Row],[Date]])+1</f>
        <v>45809</v>
      </c>
      <c r="F814" s="118">
        <v>45826</v>
      </c>
      <c r="G814" s="105" t="s">
        <v>148</v>
      </c>
      <c r="H814" s="39" t="str">
        <f>_xlfn.XLOOKUP(Table6[[#This Row],[Affected WTG]],'Basic Data'!$A:$A,'Basic Data'!$B:$B)</f>
        <v>PWEGPL</v>
      </c>
      <c r="I814" s="39" t="str">
        <f>_xlfn.XLOOKUP(Table6[[#This Row],[Affected WTG]],'Basic Data'!$A:$A,'Basic Data'!$C:$C)</f>
        <v>MSEDCL</v>
      </c>
      <c r="J814" s="345">
        <f>IFERROR(VLOOKUP(Table6[[#This Row],[Affected WTG]],'Basic Data'!$A$3:$E$56,5,0),"")</f>
        <v>2.564102564102564E-2</v>
      </c>
      <c r="K814" s="105">
        <v>2100</v>
      </c>
      <c r="L814" s="39" t="str">
        <f>IFERROR(VLOOKUP(Table6[[#This Row],[Error Code]],'Basic Data'!$T:$U,2,0),"")</f>
        <v>PLC Voltage Recovery</v>
      </c>
      <c r="M814" s="346" t="s">
        <v>462</v>
      </c>
      <c r="N814" s="39" t="s">
        <v>1270</v>
      </c>
      <c r="O814" s="347">
        <v>0.53402777777777777</v>
      </c>
      <c r="P814" s="347">
        <v>0.5395833333333333</v>
      </c>
      <c r="Q814" s="347">
        <v>0.54097222222222219</v>
      </c>
      <c r="R814" s="348">
        <f>IF(Table6[[#This Row],[Work Start TimeStamp]]="","",(Table6[[#This Row],[Work Start TimeStamp]]-Table6[[#This Row],[Fault Start TimeStamp]])*24)</f>
        <v>0.13333333333333286</v>
      </c>
      <c r="S814" s="349">
        <f>(Table6[[#This Row],[Fault Clearance time]]-Table6[[#This Row],[Work Start TimeStamp]])*24</f>
        <v>3.3333333333333215E-2</v>
      </c>
      <c r="T814" s="350">
        <f>(Table6[[#This Row],[Fault Clearance time]]-Table6[[#This Row],[Fault Start TimeStamp]])*24</f>
        <v>0.16666666666666607</v>
      </c>
      <c r="U814" s="346" t="s">
        <v>493</v>
      </c>
      <c r="V814" s="351" t="s">
        <v>463</v>
      </c>
      <c r="W814" s="338">
        <f>Table6[[#This Row],[Breakdown Time]]*(1/39)</f>
        <v>4.2735042735042583E-3</v>
      </c>
      <c r="X814" s="336" t="s">
        <v>465</v>
      </c>
      <c r="Y814" s="352" t="s">
        <v>149</v>
      </c>
      <c r="Z814" s="105">
        <v>28732</v>
      </c>
      <c r="AA814" s="107">
        <f>IFERROR((Table6[[#This Row],[Paired WTG Generation for loss calculation]]/24)*Table6[[#This Row],[Breakdown Time]],"")</f>
        <v>199.52777777777709</v>
      </c>
      <c r="AB814" s="105" t="s">
        <v>478</v>
      </c>
    </row>
    <row r="815" spans="1:28">
      <c r="A815" s="105">
        <f t="shared" si="12"/>
        <v>814</v>
      </c>
      <c r="B815" s="107">
        <f>YEAR(Table6[[#This Row],[Date]])+IF(MONTH(Table6[[#This Row],[Date]])&gt;=4,1,0)</f>
        <v>2026</v>
      </c>
      <c r="C815" s="105">
        <f>YEAR(Table6[[#This Row],[Date]])</f>
        <v>2025</v>
      </c>
      <c r="D815" s="105" t="s">
        <v>490</v>
      </c>
      <c r="E815" s="119">
        <f>Table6[[#This Row],[Date]]-DAY(Table6[[#This Row],[Date]])+1</f>
        <v>45809</v>
      </c>
      <c r="F815" s="118">
        <v>45826</v>
      </c>
      <c r="G815" s="105" t="s">
        <v>150</v>
      </c>
      <c r="H815" s="39" t="str">
        <f>_xlfn.XLOOKUP(Table6[[#This Row],[Affected WTG]],'Basic Data'!$A:$A,'Basic Data'!$B:$B)</f>
        <v>PWEGPL</v>
      </c>
      <c r="I815" s="39" t="str">
        <f>_xlfn.XLOOKUP(Table6[[#This Row],[Affected WTG]],'Basic Data'!$A:$A,'Basic Data'!$C:$C)</f>
        <v>MSEDCL</v>
      </c>
      <c r="J815" s="345">
        <f>IFERROR(VLOOKUP(Table6[[#This Row],[Affected WTG]],'Basic Data'!$A$3:$E$56,5,0),"")</f>
        <v>2.564102564102564E-2</v>
      </c>
      <c r="K815" s="105">
        <v>2100</v>
      </c>
      <c r="L815" s="39" t="str">
        <f>IFERROR(VLOOKUP(Table6[[#This Row],[Error Code]],'Basic Data'!$T:$U,2,0),"")</f>
        <v>PLC Voltage Recovery</v>
      </c>
      <c r="M815" s="346" t="s">
        <v>462</v>
      </c>
      <c r="N815" s="39" t="s">
        <v>1270</v>
      </c>
      <c r="O815" s="347">
        <v>0.53402777777777777</v>
      </c>
      <c r="P815" s="347">
        <v>0.54652777777777772</v>
      </c>
      <c r="Q815" s="347">
        <v>0.54861111111111116</v>
      </c>
      <c r="R815" s="348">
        <f>IF(Table6[[#This Row],[Work Start TimeStamp]]="","",(Table6[[#This Row],[Work Start TimeStamp]]-Table6[[#This Row],[Fault Start TimeStamp]])*24)</f>
        <v>0.29999999999999893</v>
      </c>
      <c r="S815" s="349">
        <f>(Table6[[#This Row],[Fault Clearance time]]-Table6[[#This Row],[Work Start TimeStamp]])*24</f>
        <v>5.0000000000002487E-2</v>
      </c>
      <c r="T815" s="350">
        <f>(Table6[[#This Row],[Fault Clearance time]]-Table6[[#This Row],[Fault Start TimeStamp]])*24</f>
        <v>0.35000000000000142</v>
      </c>
      <c r="U815" s="346" t="s">
        <v>493</v>
      </c>
      <c r="V815" s="351" t="s">
        <v>463</v>
      </c>
      <c r="W815" s="338">
        <f>Table6[[#This Row],[Breakdown Time]]*(1/39)</f>
        <v>8.9743589743590101E-3</v>
      </c>
      <c r="X815" s="336" t="s">
        <v>465</v>
      </c>
      <c r="Y815" s="352" t="s">
        <v>149</v>
      </c>
      <c r="Z815" s="105">
        <v>28732</v>
      </c>
      <c r="AA815" s="107">
        <f>IFERROR((Table6[[#This Row],[Paired WTG Generation for loss calculation]]/24)*Table6[[#This Row],[Breakdown Time]],"")</f>
        <v>419.00833333333509</v>
      </c>
      <c r="AB815" s="105" t="s">
        <v>478</v>
      </c>
    </row>
    <row r="816" spans="1:28">
      <c r="A816" s="105">
        <f t="shared" si="12"/>
        <v>815</v>
      </c>
      <c r="B816" s="107">
        <f>YEAR(Table6[[#This Row],[Date]])+IF(MONTH(Table6[[#This Row],[Date]])&gt;=4,1,0)</f>
        <v>2026</v>
      </c>
      <c r="C816" s="105">
        <f>YEAR(Table6[[#This Row],[Date]])</f>
        <v>2025</v>
      </c>
      <c r="D816" s="105" t="s">
        <v>490</v>
      </c>
      <c r="E816" s="119">
        <f>Table6[[#This Row],[Date]]-DAY(Table6[[#This Row],[Date]])+1</f>
        <v>45809</v>
      </c>
      <c r="F816" s="118">
        <v>45826</v>
      </c>
      <c r="G816" s="105" t="s">
        <v>151</v>
      </c>
      <c r="H816" s="39" t="str">
        <f>_xlfn.XLOOKUP(Table6[[#This Row],[Affected WTG]],'Basic Data'!$A:$A,'Basic Data'!$B:$B)</f>
        <v>PWEGPL</v>
      </c>
      <c r="I816" s="39" t="str">
        <f>_xlfn.XLOOKUP(Table6[[#This Row],[Affected WTG]],'Basic Data'!$A:$A,'Basic Data'!$C:$C)</f>
        <v>MSEDCL</v>
      </c>
      <c r="J816" s="345">
        <f>IFERROR(VLOOKUP(Table6[[#This Row],[Affected WTG]],'Basic Data'!$A$3:$E$56,5,0),"")</f>
        <v>2.564102564102564E-2</v>
      </c>
      <c r="K816" s="105">
        <v>2100</v>
      </c>
      <c r="L816" s="39" t="str">
        <f>IFERROR(VLOOKUP(Table6[[#This Row],[Error Code]],'Basic Data'!$T:$U,2,0),"")</f>
        <v>PLC Voltage Recovery</v>
      </c>
      <c r="M816" s="346" t="s">
        <v>462</v>
      </c>
      <c r="N816" s="39" t="s">
        <v>1270</v>
      </c>
      <c r="O816" s="347">
        <v>0.53402777777777777</v>
      </c>
      <c r="P816" s="347">
        <v>0.55347222222222225</v>
      </c>
      <c r="Q816" s="347">
        <v>0.5541666666666667</v>
      </c>
      <c r="R816" s="348">
        <f>IF(Table6[[#This Row],[Work Start TimeStamp]]="","",(Table6[[#This Row],[Work Start TimeStamp]]-Table6[[#This Row],[Fault Start TimeStamp]])*24)</f>
        <v>0.46666666666666767</v>
      </c>
      <c r="S816" s="349">
        <f>(Table6[[#This Row],[Fault Clearance time]]-Table6[[#This Row],[Work Start TimeStamp]])*24</f>
        <v>1.6666666666666607E-2</v>
      </c>
      <c r="T816" s="350">
        <f>(Table6[[#This Row],[Fault Clearance time]]-Table6[[#This Row],[Fault Start TimeStamp]])*24</f>
        <v>0.48333333333333428</v>
      </c>
      <c r="U816" s="346" t="s">
        <v>493</v>
      </c>
      <c r="V816" s="351" t="s">
        <v>463</v>
      </c>
      <c r="W816" s="338">
        <f>Table6[[#This Row],[Breakdown Time]]*(1/39)</f>
        <v>1.2393162393162417E-2</v>
      </c>
      <c r="X816" s="336" t="s">
        <v>465</v>
      </c>
      <c r="Y816" s="352" t="s">
        <v>153</v>
      </c>
      <c r="Z816" s="105">
        <v>28381</v>
      </c>
      <c r="AA816" s="107">
        <f>IFERROR((Table6[[#This Row],[Paired WTG Generation for loss calculation]]/24)*Table6[[#This Row],[Breakdown Time]],"")</f>
        <v>571.5618055555567</v>
      </c>
      <c r="AB816" s="105" t="s">
        <v>478</v>
      </c>
    </row>
    <row r="817" spans="1:28">
      <c r="A817" s="105">
        <f t="shared" si="12"/>
        <v>816</v>
      </c>
      <c r="B817" s="107">
        <f>YEAR(Table6[[#This Row],[Date]])+IF(MONTH(Table6[[#This Row],[Date]])&gt;=4,1,0)</f>
        <v>2026</v>
      </c>
      <c r="C817" s="105">
        <f>YEAR(Table6[[#This Row],[Date]])</f>
        <v>2025</v>
      </c>
      <c r="D817" s="105" t="s">
        <v>490</v>
      </c>
      <c r="E817" s="119">
        <f>Table6[[#This Row],[Date]]-DAY(Table6[[#This Row],[Date]])+1</f>
        <v>45809</v>
      </c>
      <c r="F817" s="118">
        <v>45826</v>
      </c>
      <c r="G817" s="105" t="s">
        <v>139</v>
      </c>
      <c r="H817" s="39" t="str">
        <f>_xlfn.XLOOKUP(Table6[[#This Row],[Affected WTG]],'Basic Data'!$A:$A,'Basic Data'!$B:$B)</f>
        <v>PWEGPL</v>
      </c>
      <c r="I817" s="39" t="str">
        <f>_xlfn.XLOOKUP(Table6[[#This Row],[Affected WTG]],'Basic Data'!$A:$A,'Basic Data'!$C:$C)</f>
        <v>MSEDCL</v>
      </c>
      <c r="J817" s="345">
        <f>IFERROR(VLOOKUP(Table6[[#This Row],[Affected WTG]],'Basic Data'!$A$3:$E$56,5,0),"")</f>
        <v>2.564102564102564E-2</v>
      </c>
      <c r="K817" s="105">
        <v>2100</v>
      </c>
      <c r="L817" s="39" t="str">
        <f>IFERROR(VLOOKUP(Table6[[#This Row],[Error Code]],'Basic Data'!$T:$U,2,0),"")</f>
        <v>PLC Voltage Recovery</v>
      </c>
      <c r="M817" s="346" t="s">
        <v>462</v>
      </c>
      <c r="N817" s="39" t="s">
        <v>1270</v>
      </c>
      <c r="O817" s="347">
        <v>0.53402777777777777</v>
      </c>
      <c r="P817" s="347">
        <v>0.55902777777777779</v>
      </c>
      <c r="Q817" s="347">
        <v>0.55972222222222223</v>
      </c>
      <c r="R817" s="348">
        <f>IF(Table6[[#This Row],[Work Start TimeStamp]]="","",(Table6[[#This Row],[Work Start TimeStamp]]-Table6[[#This Row],[Fault Start TimeStamp]])*24)</f>
        <v>0.60000000000000053</v>
      </c>
      <c r="S817" s="349">
        <f>(Table6[[#This Row],[Fault Clearance time]]-Table6[[#This Row],[Work Start TimeStamp]])*24</f>
        <v>1.6666666666666607E-2</v>
      </c>
      <c r="T817" s="350">
        <f>(Table6[[#This Row],[Fault Clearance time]]-Table6[[#This Row],[Fault Start TimeStamp]])*24</f>
        <v>0.61666666666666714</v>
      </c>
      <c r="U817" s="346" t="s">
        <v>493</v>
      </c>
      <c r="V817" s="351" t="s">
        <v>463</v>
      </c>
      <c r="W817" s="338">
        <f>Table6[[#This Row],[Breakdown Time]]*(1/39)</f>
        <v>1.5811965811965825E-2</v>
      </c>
      <c r="X817" s="336" t="s">
        <v>465</v>
      </c>
      <c r="Y817" s="352" t="s">
        <v>153</v>
      </c>
      <c r="Z817" s="105">
        <v>28381</v>
      </c>
      <c r="AA817" s="107">
        <f>IFERROR((Table6[[#This Row],[Paired WTG Generation for loss calculation]]/24)*Table6[[#This Row],[Breakdown Time]],"")</f>
        <v>729.23402777777835</v>
      </c>
      <c r="AB817" s="105" t="s">
        <v>478</v>
      </c>
    </row>
    <row r="818" spans="1:28">
      <c r="A818" s="105">
        <f t="shared" si="12"/>
        <v>817</v>
      </c>
      <c r="B818" s="107">
        <f>YEAR(Table6[[#This Row],[Date]])+IF(MONTH(Table6[[#This Row],[Date]])&gt;=4,1,0)</f>
        <v>2026</v>
      </c>
      <c r="C818" s="105">
        <f>YEAR(Table6[[#This Row],[Date]])</f>
        <v>2025</v>
      </c>
      <c r="D818" s="105" t="s">
        <v>490</v>
      </c>
      <c r="E818" s="119">
        <f>Table6[[#This Row],[Date]]-DAY(Table6[[#This Row],[Date]])+1</f>
        <v>45809</v>
      </c>
      <c r="F818" s="118">
        <v>45826</v>
      </c>
      <c r="G818" s="105" t="s">
        <v>141</v>
      </c>
      <c r="H818" s="39" t="str">
        <f>_xlfn.XLOOKUP(Table6[[#This Row],[Affected WTG]],'Basic Data'!$A:$A,'Basic Data'!$B:$B)</f>
        <v>PWEGPL</v>
      </c>
      <c r="I818" s="39" t="str">
        <f>_xlfn.XLOOKUP(Table6[[#This Row],[Affected WTG]],'Basic Data'!$A:$A,'Basic Data'!$C:$C)</f>
        <v>MSEDCL</v>
      </c>
      <c r="J818" s="345">
        <f>IFERROR(VLOOKUP(Table6[[#This Row],[Affected WTG]],'Basic Data'!$A$3:$E$56,5,0),"")</f>
        <v>2.564102564102564E-2</v>
      </c>
      <c r="K818" s="105">
        <v>813</v>
      </c>
      <c r="L818" s="39" t="str">
        <f>IFERROR(VLOOKUP(Table6[[#This Row],[Error Code]],'Basic Data'!$T:$U,2,0),"")</f>
        <v>Low Pressure Of Emergency Accumulators</v>
      </c>
      <c r="M818" s="346" t="s">
        <v>462</v>
      </c>
      <c r="N818" s="39" t="s">
        <v>1270</v>
      </c>
      <c r="O818" s="347">
        <v>0</v>
      </c>
      <c r="P818" s="347">
        <v>0</v>
      </c>
      <c r="Q818" s="347">
        <v>6.9444444444444448E-2</v>
      </c>
      <c r="R818" s="348">
        <f>IF(Table6[[#This Row],[Work Start TimeStamp]]="","",(Table6[[#This Row],[Work Start TimeStamp]]-Table6[[#This Row],[Fault Start TimeStamp]])*24)</f>
        <v>0</v>
      </c>
      <c r="S818" s="349">
        <f>(Table6[[#This Row],[Fault Clearance time]]-Table6[[#This Row],[Work Start TimeStamp]])*24</f>
        <v>1.6666666666666667</v>
      </c>
      <c r="T818" s="350">
        <f>(Table6[[#This Row],[Fault Clearance time]]-Table6[[#This Row],[Fault Start TimeStamp]])*24</f>
        <v>1.6666666666666667</v>
      </c>
      <c r="U818" s="346" t="s">
        <v>1260</v>
      </c>
      <c r="V818" s="351" t="s">
        <v>463</v>
      </c>
      <c r="W818" s="338">
        <f>Table6[[#This Row],[Breakdown Time]]*(1/39)</f>
        <v>4.2735042735042736E-2</v>
      </c>
      <c r="X818" s="336" t="s">
        <v>465</v>
      </c>
      <c r="Y818" s="352" t="s">
        <v>143</v>
      </c>
      <c r="Z818" s="105">
        <v>27943</v>
      </c>
      <c r="AA818" s="107">
        <f>IFERROR((Table6[[#This Row],[Paired WTG Generation for loss calculation]]/24)*Table6[[#This Row],[Breakdown Time]],"")</f>
        <v>1940.4861111111113</v>
      </c>
      <c r="AB818" s="105" t="s">
        <v>478</v>
      </c>
    </row>
    <row r="819" spans="1:28">
      <c r="A819" s="105">
        <f t="shared" si="12"/>
        <v>818</v>
      </c>
      <c r="B819" s="107">
        <f>YEAR(Table6[[#This Row],[Date]])+IF(MONTH(Table6[[#This Row],[Date]])&gt;=4,1,0)</f>
        <v>2026</v>
      </c>
      <c r="C819" s="105">
        <f>YEAR(Table6[[#This Row],[Date]])</f>
        <v>2025</v>
      </c>
      <c r="D819" s="105" t="s">
        <v>490</v>
      </c>
      <c r="E819" s="119">
        <f>Table6[[#This Row],[Date]]-DAY(Table6[[#This Row],[Date]])+1</f>
        <v>45809</v>
      </c>
      <c r="F819" s="118">
        <v>45827</v>
      </c>
      <c r="G819" s="105" t="s">
        <v>144</v>
      </c>
      <c r="H819" s="39" t="str">
        <f>_xlfn.XLOOKUP(Table6[[#This Row],[Affected WTG]],'Basic Data'!$A:$A,'Basic Data'!$B:$B)</f>
        <v>PWEGPL</v>
      </c>
      <c r="I819" s="39" t="str">
        <f>_xlfn.XLOOKUP(Table6[[#This Row],[Affected WTG]],'Basic Data'!$A:$A,'Basic Data'!$C:$C)</f>
        <v>MSEDCL</v>
      </c>
      <c r="J819" s="345">
        <f>IFERROR(VLOOKUP(Table6[[#This Row],[Affected WTG]],'Basic Data'!$A$3:$E$56,5,0),"")</f>
        <v>2.564102564102564E-2</v>
      </c>
      <c r="K819" s="105" t="s">
        <v>492</v>
      </c>
      <c r="L819" s="39" t="str">
        <f>IFERROR(VLOOKUP(Table6[[#This Row],[Error Code]],'Basic Data'!$T:$U,2,0),"")</f>
        <v>Manual Stop - Safety Related</v>
      </c>
      <c r="M819" s="346" t="s">
        <v>481</v>
      </c>
      <c r="N819" s="39" t="s">
        <v>1269</v>
      </c>
      <c r="O819" s="347">
        <v>0</v>
      </c>
      <c r="P819" s="347">
        <v>0.99998842592592596</v>
      </c>
      <c r="Q819" s="347">
        <v>0.99998842592592596</v>
      </c>
      <c r="R819" s="348">
        <f>IF(Table6[[#This Row],[Work Start TimeStamp]]="","",(Table6[[#This Row],[Work Start TimeStamp]]-Table6[[#This Row],[Fault Start TimeStamp]])*24)</f>
        <v>23.999722222222225</v>
      </c>
      <c r="S819" s="349">
        <f>(Table6[[#This Row],[Fault Clearance time]]-Table6[[#This Row],[Work Start TimeStamp]])*24</f>
        <v>0</v>
      </c>
      <c r="T819" s="350">
        <f>(Table6[[#This Row],[Fault Clearance time]]-Table6[[#This Row],[Fault Start TimeStamp]])*24</f>
        <v>23.999722222222225</v>
      </c>
      <c r="U819" s="346" t="s">
        <v>498</v>
      </c>
      <c r="V819" s="351" t="s">
        <v>473</v>
      </c>
      <c r="W819" s="338">
        <f>Table6[[#This Row],[Breakdown Time]]*(1/39)</f>
        <v>0.61537749287749288</v>
      </c>
      <c r="X819" s="336" t="s">
        <v>468</v>
      </c>
      <c r="Y819" s="352" t="s">
        <v>143</v>
      </c>
      <c r="Z819" s="105">
        <v>24823</v>
      </c>
      <c r="AA819" s="107">
        <f>IFERROR((Table6[[#This Row],[Paired WTG Generation for loss calculation]]/24)*Table6[[#This Row],[Breakdown Time]],"")</f>
        <v>24822.712696759263</v>
      </c>
      <c r="AB819" s="105" t="s">
        <v>478</v>
      </c>
    </row>
    <row r="820" spans="1:28">
      <c r="A820" s="105">
        <f t="shared" si="12"/>
        <v>819</v>
      </c>
      <c r="B820" s="107">
        <f>YEAR(Table6[[#This Row],[Date]])+IF(MONTH(Table6[[#This Row],[Date]])&gt;=4,1,0)</f>
        <v>2026</v>
      </c>
      <c r="C820" s="105">
        <f>YEAR(Table6[[#This Row],[Date]])</f>
        <v>2025</v>
      </c>
      <c r="D820" s="105" t="s">
        <v>490</v>
      </c>
      <c r="E820" s="119">
        <f>Table6[[#This Row],[Date]]-DAY(Table6[[#This Row],[Date]])+1</f>
        <v>45809</v>
      </c>
      <c r="F820" s="118">
        <v>45827</v>
      </c>
      <c r="G820" s="105" t="s">
        <v>142</v>
      </c>
      <c r="H820" s="39" t="str">
        <f>_xlfn.XLOOKUP(Table6[[#This Row],[Affected WTG]],'Basic Data'!$A:$A,'Basic Data'!$B:$B)</f>
        <v>PWEGPL</v>
      </c>
      <c r="I820" s="39" t="str">
        <f>_xlfn.XLOOKUP(Table6[[#This Row],[Affected WTG]],'Basic Data'!$A:$A,'Basic Data'!$C:$C)</f>
        <v>MSEDCL</v>
      </c>
      <c r="J820" s="345">
        <f>IFERROR(VLOOKUP(Table6[[#This Row],[Affected WTG]],'Basic Data'!$A$3:$E$56,5,0),"")</f>
        <v>2.564102564102564E-2</v>
      </c>
      <c r="K820" s="105" t="s">
        <v>492</v>
      </c>
      <c r="L820" s="39" t="str">
        <f>IFERROR(VLOOKUP(Table6[[#This Row],[Error Code]],'Basic Data'!$T:$U,2,0),"")</f>
        <v>Manual Stop - Safety Related</v>
      </c>
      <c r="M820" s="346" t="s">
        <v>481</v>
      </c>
      <c r="N820" s="39" t="s">
        <v>1269</v>
      </c>
      <c r="O820" s="347">
        <v>0</v>
      </c>
      <c r="P820" s="347">
        <v>0.99998842592592596</v>
      </c>
      <c r="Q820" s="347">
        <v>0.99998842592592596</v>
      </c>
      <c r="R820" s="348">
        <f>IF(Table6[[#This Row],[Work Start TimeStamp]]="","",(Table6[[#This Row],[Work Start TimeStamp]]-Table6[[#This Row],[Fault Start TimeStamp]])*24)</f>
        <v>23.999722222222225</v>
      </c>
      <c r="S820" s="349">
        <f>(Table6[[#This Row],[Fault Clearance time]]-Table6[[#This Row],[Work Start TimeStamp]])*24</f>
        <v>0</v>
      </c>
      <c r="T820" s="350">
        <f>(Table6[[#This Row],[Fault Clearance time]]-Table6[[#This Row],[Fault Start TimeStamp]])*24</f>
        <v>23.999722222222225</v>
      </c>
      <c r="U820" s="346" t="s">
        <v>498</v>
      </c>
      <c r="V820" s="351" t="s">
        <v>473</v>
      </c>
      <c r="W820" s="338">
        <f>Table6[[#This Row],[Breakdown Time]]*(1/39)</f>
        <v>0.61537749287749288</v>
      </c>
      <c r="X820" s="336" t="s">
        <v>468</v>
      </c>
      <c r="Y820" s="352" t="s">
        <v>143</v>
      </c>
      <c r="Z820" s="105">
        <v>24823</v>
      </c>
      <c r="AA820" s="107">
        <f>IFERROR((Table6[[#This Row],[Paired WTG Generation for loss calculation]]/24)*Table6[[#This Row],[Breakdown Time]],"")</f>
        <v>24822.712696759263</v>
      </c>
      <c r="AB820" s="105" t="s">
        <v>478</v>
      </c>
    </row>
    <row r="821" spans="1:28">
      <c r="A821" s="105">
        <f t="shared" si="12"/>
        <v>820</v>
      </c>
      <c r="B821" s="107">
        <f>YEAR(Table6[[#This Row],[Date]])+IF(MONTH(Table6[[#This Row],[Date]])&gt;=4,1,0)</f>
        <v>2026</v>
      </c>
      <c r="C821" s="105">
        <f>YEAR(Table6[[#This Row],[Date]])</f>
        <v>2025</v>
      </c>
      <c r="D821" s="105" t="s">
        <v>490</v>
      </c>
      <c r="E821" s="119">
        <f>Table6[[#This Row],[Date]]-DAY(Table6[[#This Row],[Date]])+1</f>
        <v>45809</v>
      </c>
      <c r="F821" s="118">
        <v>45827</v>
      </c>
      <c r="G821" s="105" t="s">
        <v>131</v>
      </c>
      <c r="H821" s="39" t="str">
        <f>_xlfn.XLOOKUP(Table6[[#This Row],[Affected WTG]],'Basic Data'!$A:$A,'Basic Data'!$B:$B)</f>
        <v>PWEGPL</v>
      </c>
      <c r="I821" s="39" t="str">
        <f>_xlfn.XLOOKUP(Table6[[#This Row],[Affected WTG]],'Basic Data'!$A:$A,'Basic Data'!$C:$C)</f>
        <v>MSEDCL</v>
      </c>
      <c r="J821" s="345">
        <f>IFERROR(VLOOKUP(Table6[[#This Row],[Affected WTG]],'Basic Data'!$A$3:$E$56,5,0),"")</f>
        <v>2.564102564102564E-2</v>
      </c>
      <c r="K821" s="105">
        <v>5216</v>
      </c>
      <c r="L821" s="39" t="str">
        <f>IFERROR(VLOOKUP(Table6[[#This Row],[Error Code]],'Basic Data'!$T:$U,2,0),"")</f>
        <v>Grid Voltage Failure</v>
      </c>
      <c r="M821" s="346" t="s">
        <v>462</v>
      </c>
      <c r="N821" s="39" t="s">
        <v>1270</v>
      </c>
      <c r="O821" s="347">
        <v>0</v>
      </c>
      <c r="P821" s="347">
        <v>0.99998842592592596</v>
      </c>
      <c r="Q821" s="347">
        <v>0.99998842592592596</v>
      </c>
      <c r="R821" s="348">
        <f>IF(Table6[[#This Row],[Work Start TimeStamp]]="","",(Table6[[#This Row],[Work Start TimeStamp]]-Table6[[#This Row],[Fault Start TimeStamp]])*24)</f>
        <v>23.999722222222225</v>
      </c>
      <c r="S821" s="349">
        <f>(Table6[[#This Row],[Fault Clearance time]]-Table6[[#This Row],[Work Start TimeStamp]])*24</f>
        <v>0</v>
      </c>
      <c r="T821" s="350">
        <f>(Table6[[#This Row],[Fault Clearance time]]-Table6[[#This Row],[Fault Start TimeStamp]])*24</f>
        <v>23.999722222222225</v>
      </c>
      <c r="U821" s="346" t="s">
        <v>1247</v>
      </c>
      <c r="V821" s="351" t="s">
        <v>473</v>
      </c>
      <c r="W821" s="338">
        <f>Table6[[#This Row],[Breakdown Time]]*(1/39)</f>
        <v>0.61537749287749288</v>
      </c>
      <c r="X821" s="336" t="s">
        <v>465</v>
      </c>
      <c r="Y821" s="352" t="s">
        <v>133</v>
      </c>
      <c r="Z821" s="105">
        <v>25458</v>
      </c>
      <c r="AA821" s="107">
        <f>IFERROR((Table6[[#This Row],[Paired WTG Generation for loss calculation]]/24)*Table6[[#This Row],[Breakdown Time]],"")</f>
        <v>25457.705347222225</v>
      </c>
      <c r="AB821" s="105" t="s">
        <v>478</v>
      </c>
    </row>
    <row r="822" spans="1:28">
      <c r="A822" s="105">
        <f t="shared" si="12"/>
        <v>821</v>
      </c>
      <c r="B822" s="107">
        <f>YEAR(Table6[[#This Row],[Date]])+IF(MONTH(Table6[[#This Row],[Date]])&gt;=4,1,0)</f>
        <v>2026</v>
      </c>
      <c r="C822" s="105">
        <f>YEAR(Table6[[#This Row],[Date]])</f>
        <v>2025</v>
      </c>
      <c r="D822" s="105" t="s">
        <v>490</v>
      </c>
      <c r="E822" s="119">
        <f>Table6[[#This Row],[Date]]-DAY(Table6[[#This Row],[Date]])+1</f>
        <v>45809</v>
      </c>
      <c r="F822" s="118">
        <v>45827</v>
      </c>
      <c r="G822" s="105" t="s">
        <v>141</v>
      </c>
      <c r="H822" s="39" t="str">
        <f>_xlfn.XLOOKUP(Table6[[#This Row],[Affected WTG]],'Basic Data'!$A:$A,'Basic Data'!$B:$B)</f>
        <v>PWEGPL</v>
      </c>
      <c r="I822" s="39" t="str">
        <f>_xlfn.XLOOKUP(Table6[[#This Row],[Affected WTG]],'Basic Data'!$A:$A,'Basic Data'!$C:$C)</f>
        <v>MSEDCL</v>
      </c>
      <c r="J822" s="345">
        <f>IFERROR(VLOOKUP(Table6[[#This Row],[Affected WTG]],'Basic Data'!$A$3:$E$56,5,0),"")</f>
        <v>2.564102564102564E-2</v>
      </c>
      <c r="K822" s="105" t="s">
        <v>466</v>
      </c>
      <c r="L822" s="39" t="str">
        <f>IFERROR(VLOOKUP(Table6[[#This Row],[Error Code]],'Basic Data'!$T:$U,2,0),"")</f>
        <v>Manual Stop</v>
      </c>
      <c r="M822" s="346" t="s">
        <v>479</v>
      </c>
      <c r="N822" s="39" t="s">
        <v>230</v>
      </c>
      <c r="O822" s="347">
        <v>4.3749999999999997E-2</v>
      </c>
      <c r="P822" s="347">
        <v>4.3749999999999997E-2</v>
      </c>
      <c r="Q822" s="347">
        <v>0.15</v>
      </c>
      <c r="R822" s="348">
        <f>IF(Table6[[#This Row],[Work Start TimeStamp]]="","",(Table6[[#This Row],[Work Start TimeStamp]]-Table6[[#This Row],[Fault Start TimeStamp]])*24)</f>
        <v>0</v>
      </c>
      <c r="S822" s="349">
        <f>(Table6[[#This Row],[Fault Clearance time]]-Table6[[#This Row],[Work Start TimeStamp]])*24</f>
        <v>2.5499999999999998</v>
      </c>
      <c r="T822" s="350">
        <f>(Table6[[#This Row],[Fault Clearance time]]-Table6[[#This Row],[Fault Start TimeStamp]])*24</f>
        <v>2.5499999999999998</v>
      </c>
      <c r="U822" s="346" t="s">
        <v>1263</v>
      </c>
      <c r="V822" s="351" t="s">
        <v>463</v>
      </c>
      <c r="W822" s="338">
        <f>Table6[[#This Row],[Breakdown Time]]*(1/39)</f>
        <v>6.5384615384615374E-2</v>
      </c>
      <c r="X822" s="336" t="s">
        <v>464</v>
      </c>
      <c r="Y822" s="352" t="s">
        <v>143</v>
      </c>
      <c r="Z822" s="105">
        <v>24823</v>
      </c>
      <c r="AA822" s="107">
        <f>IFERROR((Table6[[#This Row],[Paired WTG Generation for loss calculation]]/24)*Table6[[#This Row],[Breakdown Time]],"")</f>
        <v>2637.4437499999999</v>
      </c>
      <c r="AB822" s="105" t="s">
        <v>478</v>
      </c>
    </row>
    <row r="823" spans="1:28">
      <c r="A823" s="105">
        <f t="shared" si="12"/>
        <v>822</v>
      </c>
      <c r="B823" s="107">
        <f>YEAR(Table6[[#This Row],[Date]])+IF(MONTH(Table6[[#This Row],[Date]])&gt;=4,1,0)</f>
        <v>2026</v>
      </c>
      <c r="C823" s="105">
        <f>YEAR(Table6[[#This Row],[Date]])</f>
        <v>2025</v>
      </c>
      <c r="D823" s="105" t="s">
        <v>490</v>
      </c>
      <c r="E823" s="119">
        <f>Table6[[#This Row],[Date]]-DAY(Table6[[#This Row],[Date]])+1</f>
        <v>45809</v>
      </c>
      <c r="F823" s="118">
        <v>45827</v>
      </c>
      <c r="G823" s="105" t="s">
        <v>145</v>
      </c>
      <c r="H823" s="39" t="str">
        <f>_xlfn.XLOOKUP(Table6[[#This Row],[Affected WTG]],'Basic Data'!$A:$A,'Basic Data'!$B:$B)</f>
        <v>PWEGPL</v>
      </c>
      <c r="I823" s="39" t="str">
        <f>_xlfn.XLOOKUP(Table6[[#This Row],[Affected WTG]],'Basic Data'!$A:$A,'Basic Data'!$C:$C)</f>
        <v>MSEDCL</v>
      </c>
      <c r="J823" s="345">
        <f>IFERROR(VLOOKUP(Table6[[#This Row],[Affected WTG]],'Basic Data'!$A$3:$E$56,5,0),"")</f>
        <v>2.564102564102564E-2</v>
      </c>
      <c r="K823" s="105" t="s">
        <v>466</v>
      </c>
      <c r="L823" s="39" t="str">
        <f>IFERROR(VLOOKUP(Table6[[#This Row],[Error Code]],'Basic Data'!$T:$U,2,0),"")</f>
        <v>Manual Stop</v>
      </c>
      <c r="M823" s="346" t="s">
        <v>479</v>
      </c>
      <c r="N823" s="39" t="s">
        <v>230</v>
      </c>
      <c r="O823" s="347">
        <v>0.52083333333333337</v>
      </c>
      <c r="P823" s="347">
        <v>0.52083333333333337</v>
      </c>
      <c r="Q823" s="347">
        <v>0.55208333333333337</v>
      </c>
      <c r="R823" s="348">
        <f>IF(Table6[[#This Row],[Work Start TimeStamp]]="","",(Table6[[#This Row],[Work Start TimeStamp]]-Table6[[#This Row],[Fault Start TimeStamp]])*24)</f>
        <v>0</v>
      </c>
      <c r="S823" s="349">
        <f>(Table6[[#This Row],[Fault Clearance time]]-Table6[[#This Row],[Work Start TimeStamp]])*24</f>
        <v>0.75</v>
      </c>
      <c r="T823" s="350">
        <f>(Table6[[#This Row],[Fault Clearance time]]-Table6[[#This Row],[Fault Start TimeStamp]])*24</f>
        <v>0.75</v>
      </c>
      <c r="U823" s="346" t="s">
        <v>1264</v>
      </c>
      <c r="V823" s="351" t="s">
        <v>463</v>
      </c>
      <c r="W823" s="338">
        <f>Table6[[#This Row],[Breakdown Time]]*(1/39)</f>
        <v>1.9230769230769232E-2</v>
      </c>
      <c r="X823" s="336" t="s">
        <v>464</v>
      </c>
      <c r="Y823" s="352" t="s">
        <v>139</v>
      </c>
      <c r="Z823" s="105">
        <v>24273</v>
      </c>
      <c r="AA823" s="107">
        <f>IFERROR((Table6[[#This Row],[Paired WTG Generation for loss calculation]]/24)*Table6[[#This Row],[Breakdown Time]],"")</f>
        <v>758.53125</v>
      </c>
      <c r="AB823" s="105" t="s">
        <v>478</v>
      </c>
    </row>
    <row r="824" spans="1:28">
      <c r="A824" s="105">
        <f t="shared" si="12"/>
        <v>823</v>
      </c>
      <c r="B824" s="107">
        <f>YEAR(Table6[[#This Row],[Date]])+IF(MONTH(Table6[[#This Row],[Date]])&gt;=4,1,0)</f>
        <v>2026</v>
      </c>
      <c r="C824" s="105">
        <f>YEAR(Table6[[#This Row],[Date]])</f>
        <v>2025</v>
      </c>
      <c r="D824" s="105" t="s">
        <v>490</v>
      </c>
      <c r="E824" s="119">
        <f>Table6[[#This Row],[Date]]-DAY(Table6[[#This Row],[Date]])+1</f>
        <v>45809</v>
      </c>
      <c r="F824" s="118">
        <v>45827</v>
      </c>
      <c r="G824" s="105" t="s">
        <v>118</v>
      </c>
      <c r="H824" s="39" t="str">
        <f>_xlfn.XLOOKUP(Table6[[#This Row],[Affected WTG]],'Basic Data'!$A:$A,'Basic Data'!$B:$B)</f>
        <v>PWEGPL</v>
      </c>
      <c r="I824" s="39" t="str">
        <f>_xlfn.XLOOKUP(Table6[[#This Row],[Affected WTG]],'Basic Data'!$A:$A,'Basic Data'!$C:$C)</f>
        <v>MSEDCL</v>
      </c>
      <c r="J824" s="345">
        <f>IFERROR(VLOOKUP(Table6[[#This Row],[Affected WTG]],'Basic Data'!$A$3:$E$56,5,0),"")</f>
        <v>2.564102564102564E-2</v>
      </c>
      <c r="K824" s="105">
        <v>2118</v>
      </c>
      <c r="L824" s="39" t="str">
        <f>IFERROR(VLOOKUP(Table6[[#This Row],[Error Code]],'Basic Data'!$T:$U,2,0),"")</f>
        <v>Bus Error - Interbus Failure</v>
      </c>
      <c r="M824" s="346" t="s">
        <v>462</v>
      </c>
      <c r="N824" s="39" t="s">
        <v>1270</v>
      </c>
      <c r="O824" s="347">
        <v>0.47361111111111109</v>
      </c>
      <c r="P824" s="347">
        <v>0.50972222222222219</v>
      </c>
      <c r="Q824" s="347">
        <v>0.54166666666666663</v>
      </c>
      <c r="R824" s="348">
        <f>IF(Table6[[#This Row],[Work Start TimeStamp]]="","",(Table6[[#This Row],[Work Start TimeStamp]]-Table6[[#This Row],[Fault Start TimeStamp]])*24)</f>
        <v>0.86666666666666625</v>
      </c>
      <c r="S824" s="349">
        <f>(Table6[[#This Row],[Fault Clearance time]]-Table6[[#This Row],[Work Start TimeStamp]])*24</f>
        <v>0.76666666666666661</v>
      </c>
      <c r="T824" s="350">
        <f>(Table6[[#This Row],[Fault Clearance time]]-Table6[[#This Row],[Fault Start TimeStamp]])*24</f>
        <v>1.6333333333333329</v>
      </c>
      <c r="U824" s="346" t="s">
        <v>1244</v>
      </c>
      <c r="V824" s="351" t="s">
        <v>463</v>
      </c>
      <c r="W824" s="338">
        <f>Table6[[#This Row],[Breakdown Time]]*(1/39)</f>
        <v>4.1880341880341863E-2</v>
      </c>
      <c r="X824" s="336" t="s">
        <v>465</v>
      </c>
      <c r="Y824" s="352" t="s">
        <v>116</v>
      </c>
      <c r="Z824" s="105">
        <v>25563</v>
      </c>
      <c r="AA824" s="107">
        <f>IFERROR((Table6[[#This Row],[Paired WTG Generation for loss calculation]]/24)*Table6[[#This Row],[Breakdown Time]],"")</f>
        <v>1739.7041666666662</v>
      </c>
      <c r="AB824" s="105" t="s">
        <v>478</v>
      </c>
    </row>
    <row r="825" spans="1:28">
      <c r="A825" s="105">
        <f t="shared" si="12"/>
        <v>824</v>
      </c>
      <c r="B825" s="107">
        <f>YEAR(Table6[[#This Row],[Date]])+IF(MONTH(Table6[[#This Row],[Date]])&gt;=4,1,0)</f>
        <v>2026</v>
      </c>
      <c r="C825" s="105">
        <f>YEAR(Table6[[#This Row],[Date]])</f>
        <v>2025</v>
      </c>
      <c r="D825" s="105" t="s">
        <v>490</v>
      </c>
      <c r="E825" s="119">
        <f>Table6[[#This Row],[Date]]-DAY(Table6[[#This Row],[Date]])+1</f>
        <v>45809</v>
      </c>
      <c r="F825" s="118">
        <v>45827</v>
      </c>
      <c r="G825" s="105" t="s">
        <v>117</v>
      </c>
      <c r="H825" s="39" t="str">
        <f>_xlfn.XLOOKUP(Table6[[#This Row],[Affected WTG]],'Basic Data'!$A:$A,'Basic Data'!$B:$B)</f>
        <v>PWEGPL</v>
      </c>
      <c r="I825" s="39" t="str">
        <f>_xlfn.XLOOKUP(Table6[[#This Row],[Affected WTG]],'Basic Data'!$A:$A,'Basic Data'!$C:$C)</f>
        <v>MSEDCL</v>
      </c>
      <c r="J825" s="345">
        <f>IFERROR(VLOOKUP(Table6[[#This Row],[Affected WTG]],'Basic Data'!$A$3:$E$56,5,0),"")</f>
        <v>2.564102564102564E-2</v>
      </c>
      <c r="K825" s="105">
        <v>804</v>
      </c>
      <c r="L825" s="39" t="str">
        <f>IFERROR(VLOOKUP(Table6[[#This Row],[Error Code]],'Basic Data'!$T:$U,2,0),"")</f>
        <v>Difference Between 2 Blades Too High</v>
      </c>
      <c r="M825" s="346" t="s">
        <v>462</v>
      </c>
      <c r="N825" s="39" t="s">
        <v>1270</v>
      </c>
      <c r="O825" s="347">
        <v>0.55902777777777779</v>
      </c>
      <c r="P825" s="347">
        <v>0.57847222222222228</v>
      </c>
      <c r="Q825" s="347">
        <v>0.62222222222222223</v>
      </c>
      <c r="R825" s="348">
        <f>IF(Table6[[#This Row],[Work Start TimeStamp]]="","",(Table6[[#This Row],[Work Start TimeStamp]]-Table6[[#This Row],[Fault Start TimeStamp]])*24)</f>
        <v>0.46666666666666767</v>
      </c>
      <c r="S825" s="349">
        <f>(Table6[[#This Row],[Fault Clearance time]]-Table6[[#This Row],[Work Start TimeStamp]])*24</f>
        <v>1.0499999999999989</v>
      </c>
      <c r="T825" s="350">
        <f>(Table6[[#This Row],[Fault Clearance time]]-Table6[[#This Row],[Fault Start TimeStamp]])*24</f>
        <v>1.5166666666666666</v>
      </c>
      <c r="U825" s="346" t="s">
        <v>1265</v>
      </c>
      <c r="V825" s="351" t="s">
        <v>463</v>
      </c>
      <c r="W825" s="338">
        <f>Table6[[#This Row],[Breakdown Time]]*(1/39)</f>
        <v>3.8888888888888883E-2</v>
      </c>
      <c r="X825" s="336" t="s">
        <v>465</v>
      </c>
      <c r="Y825" s="352" t="s">
        <v>120</v>
      </c>
      <c r="Z825" s="105">
        <v>25823</v>
      </c>
      <c r="AA825" s="107">
        <f>IFERROR((Table6[[#This Row],[Paired WTG Generation for loss calculation]]/24)*Table6[[#This Row],[Breakdown Time]],"")</f>
        <v>1631.8701388888887</v>
      </c>
      <c r="AB825" s="105" t="s">
        <v>478</v>
      </c>
    </row>
    <row r="826" spans="1:28">
      <c r="A826" s="105">
        <f t="shared" si="12"/>
        <v>825</v>
      </c>
      <c r="B826" s="107">
        <f>YEAR(Table6[[#This Row],[Date]])+IF(MONTH(Table6[[#This Row],[Date]])&gt;=4,1,0)</f>
        <v>2026</v>
      </c>
      <c r="C826" s="105">
        <f>YEAR(Table6[[#This Row],[Date]])</f>
        <v>2025</v>
      </c>
      <c r="D826" s="105" t="s">
        <v>490</v>
      </c>
      <c r="E826" s="119">
        <f>Table6[[#This Row],[Date]]-DAY(Table6[[#This Row],[Date]])+1</f>
        <v>45809</v>
      </c>
      <c r="F826" s="118">
        <v>45827</v>
      </c>
      <c r="G826" s="105" t="s">
        <v>134</v>
      </c>
      <c r="H826" s="39" t="str">
        <f>_xlfn.XLOOKUP(Table6[[#This Row],[Affected WTG]],'Basic Data'!$A:$A,'Basic Data'!$B:$B)</f>
        <v>PWEGPL</v>
      </c>
      <c r="I826" s="39" t="str">
        <f>_xlfn.XLOOKUP(Table6[[#This Row],[Affected WTG]],'Basic Data'!$A:$A,'Basic Data'!$C:$C)</f>
        <v>MSEDCL</v>
      </c>
      <c r="J826" s="345">
        <f>IFERROR(VLOOKUP(Table6[[#This Row],[Affected WTG]],'Basic Data'!$A$3:$E$56,5,0),"")</f>
        <v>2.564102564102564E-2</v>
      </c>
      <c r="K826" s="105">
        <v>2118</v>
      </c>
      <c r="L826" s="39" t="str">
        <f>IFERROR(VLOOKUP(Table6[[#This Row],[Error Code]],'Basic Data'!$T:$U,2,0),"")</f>
        <v>Bus Error - Interbus Failure</v>
      </c>
      <c r="M826" s="346" t="s">
        <v>462</v>
      </c>
      <c r="N826" s="39" t="s">
        <v>1270</v>
      </c>
      <c r="O826" s="347">
        <v>0.58472222222222225</v>
      </c>
      <c r="P826" s="347">
        <v>0.69027777777777777</v>
      </c>
      <c r="Q826" s="347">
        <v>0.72430555555555554</v>
      </c>
      <c r="R826" s="348">
        <f>IF(Table6[[#This Row],[Work Start TimeStamp]]="","",(Table6[[#This Row],[Work Start TimeStamp]]-Table6[[#This Row],[Fault Start TimeStamp]])*24)</f>
        <v>2.5333333333333323</v>
      </c>
      <c r="S826" s="349">
        <f>(Table6[[#This Row],[Fault Clearance time]]-Table6[[#This Row],[Work Start TimeStamp]])*24</f>
        <v>0.81666666666666643</v>
      </c>
      <c r="T826" s="350">
        <f>(Table6[[#This Row],[Fault Clearance time]]-Table6[[#This Row],[Fault Start TimeStamp]])*24</f>
        <v>3.3499999999999988</v>
      </c>
      <c r="U826" s="346" t="s">
        <v>1266</v>
      </c>
      <c r="V826" s="351" t="s">
        <v>463</v>
      </c>
      <c r="W826" s="338">
        <f>Table6[[#This Row],[Breakdown Time]]*(1/39)</f>
        <v>8.5897435897435856E-2</v>
      </c>
      <c r="X826" s="336" t="s">
        <v>465</v>
      </c>
      <c r="Y826" s="352" t="s">
        <v>133</v>
      </c>
      <c r="Z826" s="105">
        <v>25458</v>
      </c>
      <c r="AA826" s="107">
        <f>IFERROR((Table6[[#This Row],[Paired WTG Generation for loss calculation]]/24)*Table6[[#This Row],[Breakdown Time]],"")</f>
        <v>3553.5124999999985</v>
      </c>
      <c r="AB826" s="105" t="s">
        <v>478</v>
      </c>
    </row>
    <row r="827" spans="1:28">
      <c r="A827" s="105">
        <f t="shared" si="12"/>
        <v>826</v>
      </c>
      <c r="B827" s="107">
        <f>YEAR(Table6[[#This Row],[Date]])+IF(MONTH(Table6[[#This Row],[Date]])&gt;=4,1,0)</f>
        <v>2026</v>
      </c>
      <c r="C827" s="105">
        <f>YEAR(Table6[[#This Row],[Date]])</f>
        <v>2025</v>
      </c>
      <c r="D827" s="105" t="s">
        <v>490</v>
      </c>
      <c r="E827" s="119">
        <f>Table6[[#This Row],[Date]]-DAY(Table6[[#This Row],[Date]])+1</f>
        <v>45809</v>
      </c>
      <c r="F827" s="118">
        <v>45827</v>
      </c>
      <c r="G827" s="105" t="s">
        <v>126</v>
      </c>
      <c r="H827" s="39" t="str">
        <f>_xlfn.XLOOKUP(Table6[[#This Row],[Affected WTG]],'Basic Data'!$A:$A,'Basic Data'!$B:$B)</f>
        <v>PWEGPL</v>
      </c>
      <c r="I827" s="39" t="str">
        <f>_xlfn.XLOOKUP(Table6[[#This Row],[Affected WTG]],'Basic Data'!$A:$A,'Basic Data'!$C:$C)</f>
        <v>MSEDCL</v>
      </c>
      <c r="J827" s="345">
        <f>IFERROR(VLOOKUP(Table6[[#This Row],[Affected WTG]],'Basic Data'!$A$3:$E$56,5,0),"")</f>
        <v>2.564102564102564E-2</v>
      </c>
      <c r="K827" s="105">
        <v>203</v>
      </c>
      <c r="L827" s="39" t="str">
        <f>IFERROR(VLOOKUP(Table6[[#This Row],[Error Code]],'Basic Data'!$T:$U,2,0),"")</f>
        <v>Low Pressure On Hydraulic Group</v>
      </c>
      <c r="M827" s="346" t="s">
        <v>462</v>
      </c>
      <c r="N827" s="39" t="s">
        <v>1270</v>
      </c>
      <c r="O827" s="347">
        <v>0.54861111111111116</v>
      </c>
      <c r="P827" s="347">
        <v>0.56388888888888888</v>
      </c>
      <c r="Q827" s="347">
        <v>0.56527777777777777</v>
      </c>
      <c r="R827" s="348">
        <f>IF(Table6[[#This Row],[Work Start TimeStamp]]="","",(Table6[[#This Row],[Work Start TimeStamp]]-Table6[[#This Row],[Fault Start TimeStamp]])*24)</f>
        <v>0.36666666666666536</v>
      </c>
      <c r="S827" s="349">
        <f>(Table6[[#This Row],[Fault Clearance time]]-Table6[[#This Row],[Work Start TimeStamp]])*24</f>
        <v>3.3333333333333215E-2</v>
      </c>
      <c r="T827" s="350">
        <f>(Table6[[#This Row],[Fault Clearance time]]-Table6[[#This Row],[Fault Start TimeStamp]])*24</f>
        <v>0.39999999999999858</v>
      </c>
      <c r="U827" s="346" t="s">
        <v>493</v>
      </c>
      <c r="V827" s="351" t="s">
        <v>463</v>
      </c>
      <c r="W827" s="338">
        <f>Table6[[#This Row],[Breakdown Time]]*(1/39)</f>
        <v>1.025641025641022E-2</v>
      </c>
      <c r="X827" s="336" t="s">
        <v>465</v>
      </c>
      <c r="Y827" s="352" t="s">
        <v>123</v>
      </c>
      <c r="Z827" s="105">
        <v>25623</v>
      </c>
      <c r="AA827" s="107">
        <f>IFERROR((Table6[[#This Row],[Paired WTG Generation for loss calculation]]/24)*Table6[[#This Row],[Breakdown Time]],"")</f>
        <v>427.04999999999848</v>
      </c>
      <c r="AB827" s="105" t="s">
        <v>478</v>
      </c>
    </row>
    <row r="828" spans="1:28">
      <c r="A828" s="105">
        <f t="shared" si="12"/>
        <v>827</v>
      </c>
      <c r="B828" s="107">
        <f>YEAR(Table6[[#This Row],[Date]])+IF(MONTH(Table6[[#This Row],[Date]])&gt;=4,1,0)</f>
        <v>2026</v>
      </c>
      <c r="C828" s="105">
        <f>YEAR(Table6[[#This Row],[Date]])</f>
        <v>2025</v>
      </c>
      <c r="D828" s="105" t="s">
        <v>490</v>
      </c>
      <c r="E828" s="119">
        <f>Table6[[#This Row],[Date]]-DAY(Table6[[#This Row],[Date]])+1</f>
        <v>45809</v>
      </c>
      <c r="F828" s="118">
        <v>45828</v>
      </c>
      <c r="G828" s="105" t="s">
        <v>144</v>
      </c>
      <c r="H828" s="39" t="str">
        <f>_xlfn.XLOOKUP(Table6[[#This Row],[Affected WTG]],'Basic Data'!$A:$A,'Basic Data'!$B:$B)</f>
        <v>PWEGPL</v>
      </c>
      <c r="I828" s="39" t="str">
        <f>_xlfn.XLOOKUP(Table6[[#This Row],[Affected WTG]],'Basic Data'!$A:$A,'Basic Data'!$C:$C)</f>
        <v>MSEDCL</v>
      </c>
      <c r="J828" s="345">
        <f>IFERROR(VLOOKUP(Table6[[#This Row],[Affected WTG]],'Basic Data'!$A$3:$E$56,5,0),"")</f>
        <v>2.564102564102564E-2</v>
      </c>
      <c r="K828" s="105" t="s">
        <v>492</v>
      </c>
      <c r="L828" s="39" t="str">
        <f>IFERROR(VLOOKUP(Table6[[#This Row],[Error Code]],'Basic Data'!$T:$U,2,0),"")</f>
        <v>Manual Stop - Safety Related</v>
      </c>
      <c r="M828" s="346" t="s">
        <v>481</v>
      </c>
      <c r="N828" s="39" t="s">
        <v>1269</v>
      </c>
      <c r="O828" s="347">
        <v>0</v>
      </c>
      <c r="P828" s="347">
        <v>0.99998842592592596</v>
      </c>
      <c r="Q828" s="347">
        <v>0.99998842592592596</v>
      </c>
      <c r="R828" s="348">
        <f>IF(Table6[[#This Row],[Work Start TimeStamp]]="","",(Table6[[#This Row],[Work Start TimeStamp]]-Table6[[#This Row],[Fault Start TimeStamp]])*24)</f>
        <v>23.999722222222225</v>
      </c>
      <c r="S828" s="349">
        <f>(Table6[[#This Row],[Fault Clearance time]]-Table6[[#This Row],[Work Start TimeStamp]])*24</f>
        <v>0</v>
      </c>
      <c r="T828" s="350">
        <f>(Table6[[#This Row],[Fault Clearance time]]-Table6[[#This Row],[Fault Start TimeStamp]])*24</f>
        <v>23.999722222222225</v>
      </c>
      <c r="U828" s="346" t="s">
        <v>498</v>
      </c>
      <c r="V828" s="351" t="s">
        <v>473</v>
      </c>
      <c r="W828" s="338">
        <f>Table6[[#This Row],[Breakdown Time]]*(1/39)</f>
        <v>0.61537749287749288</v>
      </c>
      <c r="X828" s="336" t="s">
        <v>465</v>
      </c>
      <c r="Y828" s="352" t="s">
        <v>143</v>
      </c>
      <c r="Z828" s="105">
        <v>27810</v>
      </c>
      <c r="AA828" s="107">
        <f>IFERROR((Table6[[#This Row],[Paired WTG Generation for loss calculation]]/24)*Table6[[#This Row],[Breakdown Time]],"")</f>
        <v>27809.678125000002</v>
      </c>
      <c r="AB828" s="105" t="s">
        <v>478</v>
      </c>
    </row>
    <row r="829" spans="1:28">
      <c r="A829" s="105">
        <f t="shared" si="12"/>
        <v>828</v>
      </c>
      <c r="B829" s="107">
        <f>YEAR(Table6[[#This Row],[Date]])+IF(MONTH(Table6[[#This Row],[Date]])&gt;=4,1,0)</f>
        <v>2026</v>
      </c>
      <c r="C829" s="105">
        <f>YEAR(Table6[[#This Row],[Date]])</f>
        <v>2025</v>
      </c>
      <c r="D829" s="105" t="s">
        <v>490</v>
      </c>
      <c r="E829" s="119">
        <f>Table6[[#This Row],[Date]]-DAY(Table6[[#This Row],[Date]])+1</f>
        <v>45809</v>
      </c>
      <c r="F829" s="118">
        <v>45828</v>
      </c>
      <c r="G829" s="105" t="s">
        <v>142</v>
      </c>
      <c r="H829" s="39" t="str">
        <f>_xlfn.XLOOKUP(Table6[[#This Row],[Affected WTG]],'Basic Data'!$A:$A,'Basic Data'!$B:$B)</f>
        <v>PWEGPL</v>
      </c>
      <c r="I829" s="39" t="str">
        <f>_xlfn.XLOOKUP(Table6[[#This Row],[Affected WTG]],'Basic Data'!$A:$A,'Basic Data'!$C:$C)</f>
        <v>MSEDCL</v>
      </c>
      <c r="J829" s="345">
        <f>IFERROR(VLOOKUP(Table6[[#This Row],[Affected WTG]],'Basic Data'!$A$3:$E$56,5,0),"")</f>
        <v>2.564102564102564E-2</v>
      </c>
      <c r="K829" s="105" t="s">
        <v>492</v>
      </c>
      <c r="L829" s="39" t="str">
        <f>IFERROR(VLOOKUP(Table6[[#This Row],[Error Code]],'Basic Data'!$T:$U,2,0),"")</f>
        <v>Manual Stop - Safety Related</v>
      </c>
      <c r="M829" s="346" t="s">
        <v>481</v>
      </c>
      <c r="N829" s="39" t="s">
        <v>1269</v>
      </c>
      <c r="O829" s="347">
        <v>0</v>
      </c>
      <c r="P829" s="347">
        <v>0.99998842592592596</v>
      </c>
      <c r="Q829" s="347">
        <v>0.99998842592592596</v>
      </c>
      <c r="R829" s="348">
        <f>IF(Table6[[#This Row],[Work Start TimeStamp]]="","",(Table6[[#This Row],[Work Start TimeStamp]]-Table6[[#This Row],[Fault Start TimeStamp]])*24)</f>
        <v>23.999722222222225</v>
      </c>
      <c r="S829" s="349">
        <f>(Table6[[#This Row],[Fault Clearance time]]-Table6[[#This Row],[Work Start TimeStamp]])*24</f>
        <v>0</v>
      </c>
      <c r="T829" s="350">
        <f>(Table6[[#This Row],[Fault Clearance time]]-Table6[[#This Row],[Fault Start TimeStamp]])*24</f>
        <v>23.999722222222225</v>
      </c>
      <c r="U829" s="346" t="s">
        <v>498</v>
      </c>
      <c r="V829" s="351" t="s">
        <v>473</v>
      </c>
      <c r="W829" s="338">
        <f>Table6[[#This Row],[Breakdown Time]]*(1/39)</f>
        <v>0.61537749287749288</v>
      </c>
      <c r="X829" s="336" t="s">
        <v>465</v>
      </c>
      <c r="Y829" s="352" t="s">
        <v>143</v>
      </c>
      <c r="Z829" s="105">
        <v>27810</v>
      </c>
      <c r="AA829" s="107">
        <f>IFERROR((Table6[[#This Row],[Paired WTG Generation for loss calculation]]/24)*Table6[[#This Row],[Breakdown Time]],"")</f>
        <v>27809.678125000002</v>
      </c>
      <c r="AB829" s="105" t="s">
        <v>478</v>
      </c>
    </row>
    <row r="830" spans="1:28">
      <c r="A830" s="105">
        <f t="shared" si="12"/>
        <v>829</v>
      </c>
      <c r="B830" s="107">
        <f>YEAR(Table6[[#This Row],[Date]])+IF(MONTH(Table6[[#This Row],[Date]])&gt;=4,1,0)</f>
        <v>2026</v>
      </c>
      <c r="C830" s="105">
        <f>YEAR(Table6[[#This Row],[Date]])</f>
        <v>2025</v>
      </c>
      <c r="D830" s="105" t="s">
        <v>490</v>
      </c>
      <c r="E830" s="119">
        <f>Table6[[#This Row],[Date]]-DAY(Table6[[#This Row],[Date]])+1</f>
        <v>45809</v>
      </c>
      <c r="F830" s="118">
        <v>45828</v>
      </c>
      <c r="G830" s="105" t="s">
        <v>131</v>
      </c>
      <c r="H830" s="39" t="str">
        <f>_xlfn.XLOOKUP(Table6[[#This Row],[Affected WTG]],'Basic Data'!$A:$A,'Basic Data'!$B:$B)</f>
        <v>PWEGPL</v>
      </c>
      <c r="I830" s="39" t="str">
        <f>_xlfn.XLOOKUP(Table6[[#This Row],[Affected WTG]],'Basic Data'!$A:$A,'Basic Data'!$C:$C)</f>
        <v>MSEDCL</v>
      </c>
      <c r="J830" s="345">
        <f>IFERROR(VLOOKUP(Table6[[#This Row],[Affected WTG]],'Basic Data'!$A$3:$E$56,5,0),"")</f>
        <v>2.564102564102564E-2</v>
      </c>
      <c r="K830" s="105">
        <v>5216</v>
      </c>
      <c r="L830" s="39" t="str">
        <f>IFERROR(VLOOKUP(Table6[[#This Row],[Error Code]],'Basic Data'!$T:$U,2,0),"")</f>
        <v>Grid Voltage Failure</v>
      </c>
      <c r="M830" s="346" t="s">
        <v>462</v>
      </c>
      <c r="N830" s="39" t="s">
        <v>1270</v>
      </c>
      <c r="O830" s="347">
        <v>0</v>
      </c>
      <c r="P830" s="347">
        <v>0.99998842592592596</v>
      </c>
      <c r="Q830" s="347">
        <v>0.99998842592592596</v>
      </c>
      <c r="R830" s="348">
        <f>IF(Table6[[#This Row],[Work Start TimeStamp]]="","",(Table6[[#This Row],[Work Start TimeStamp]]-Table6[[#This Row],[Fault Start TimeStamp]])*24)</f>
        <v>23.999722222222225</v>
      </c>
      <c r="S830" s="349">
        <f>(Table6[[#This Row],[Fault Clearance time]]-Table6[[#This Row],[Work Start TimeStamp]])*24</f>
        <v>0</v>
      </c>
      <c r="T830" s="350">
        <f>(Table6[[#This Row],[Fault Clearance time]]-Table6[[#This Row],[Fault Start TimeStamp]])*24</f>
        <v>23.999722222222225</v>
      </c>
      <c r="U830" s="346" t="s">
        <v>1247</v>
      </c>
      <c r="V830" s="351" t="s">
        <v>473</v>
      </c>
      <c r="W830" s="338">
        <f>Table6[[#This Row],[Breakdown Time]]*(1/39)</f>
        <v>0.61537749287749288</v>
      </c>
      <c r="X830" s="336" t="s">
        <v>465</v>
      </c>
      <c r="Y830" s="352" t="s">
        <v>130</v>
      </c>
      <c r="Z830" s="105">
        <v>27812</v>
      </c>
      <c r="AA830" s="107">
        <f>IFERROR((Table6[[#This Row],[Paired WTG Generation for loss calculation]]/24)*Table6[[#This Row],[Breakdown Time]],"")</f>
        <v>27811.678101851852</v>
      </c>
      <c r="AB830" s="105" t="s">
        <v>478</v>
      </c>
    </row>
    <row r="831" spans="1:28">
      <c r="A831" s="105">
        <f t="shared" si="12"/>
        <v>830</v>
      </c>
      <c r="B831" s="107">
        <f>YEAR(Table6[[#This Row],[Date]])+IF(MONTH(Table6[[#This Row],[Date]])&gt;=4,1,0)</f>
        <v>2026</v>
      </c>
      <c r="C831" s="105">
        <f>YEAR(Table6[[#This Row],[Date]])</f>
        <v>2025</v>
      </c>
      <c r="D831" s="105" t="s">
        <v>490</v>
      </c>
      <c r="E831" s="119">
        <f>Table6[[#This Row],[Date]]-DAY(Table6[[#This Row],[Date]])+1</f>
        <v>45809</v>
      </c>
      <c r="F831" s="118">
        <v>45828</v>
      </c>
      <c r="G831" s="105" t="s">
        <v>125</v>
      </c>
      <c r="H831" s="39" t="str">
        <f>_xlfn.XLOOKUP(Table6[[#This Row],[Affected WTG]],'Basic Data'!$A:$A,'Basic Data'!$B:$B)</f>
        <v>PWEGPL</v>
      </c>
      <c r="I831" s="39" t="str">
        <f>_xlfn.XLOOKUP(Table6[[#This Row],[Affected WTG]],'Basic Data'!$A:$A,'Basic Data'!$C:$C)</f>
        <v>MSEDCL</v>
      </c>
      <c r="J831" s="345">
        <f>IFERROR(VLOOKUP(Table6[[#This Row],[Affected WTG]],'Basic Data'!$A$3:$E$56,5,0),"")</f>
        <v>2.564102564102564E-2</v>
      </c>
      <c r="K831" s="105">
        <v>2118</v>
      </c>
      <c r="L831" s="39" t="str">
        <f>IFERROR(VLOOKUP(Table6[[#This Row],[Error Code]],'Basic Data'!$T:$U,2,0),"")</f>
        <v>Bus Error - Interbus Failure</v>
      </c>
      <c r="M831" s="346" t="s">
        <v>462</v>
      </c>
      <c r="N831" s="39" t="s">
        <v>1270</v>
      </c>
      <c r="O831" s="347">
        <v>0.41249999999999998</v>
      </c>
      <c r="P831" s="347">
        <v>0.45208333333333334</v>
      </c>
      <c r="Q831" s="347">
        <v>0.51875000000000004</v>
      </c>
      <c r="R831" s="348">
        <f>IF(Table6[[#This Row],[Work Start TimeStamp]]="","",(Table6[[#This Row],[Work Start TimeStamp]]-Table6[[#This Row],[Fault Start TimeStamp]])*24)</f>
        <v>0.95000000000000062</v>
      </c>
      <c r="S831" s="349">
        <f>(Table6[[#This Row],[Fault Clearance time]]-Table6[[#This Row],[Work Start TimeStamp]])*24</f>
        <v>1.600000000000001</v>
      </c>
      <c r="T831" s="350">
        <f>(Table6[[#This Row],[Fault Clearance time]]-Table6[[#This Row],[Fault Start TimeStamp]])*24</f>
        <v>2.5500000000000016</v>
      </c>
      <c r="U831" s="346" t="s">
        <v>1278</v>
      </c>
      <c r="V831" s="351" t="s">
        <v>463</v>
      </c>
      <c r="W831" s="338">
        <f>Table6[[#This Row],[Breakdown Time]]*(1/39)</f>
        <v>6.538461538461543E-2</v>
      </c>
      <c r="X831" s="336" t="s">
        <v>465</v>
      </c>
      <c r="Y831" s="352" t="s">
        <v>124</v>
      </c>
      <c r="Z831" s="105">
        <v>27864</v>
      </c>
      <c r="AA831" s="107">
        <f>IFERROR((Table6[[#This Row],[Paired WTG Generation for loss calculation]]/24)*Table6[[#This Row],[Breakdown Time]],"")</f>
        <v>2960.550000000002</v>
      </c>
      <c r="AB831" s="105" t="s">
        <v>478</v>
      </c>
    </row>
    <row r="832" spans="1:28">
      <c r="A832" s="105">
        <f t="shared" si="12"/>
        <v>831</v>
      </c>
      <c r="B832" s="107">
        <f>YEAR(Table6[[#This Row],[Date]])+IF(MONTH(Table6[[#This Row],[Date]])&gt;=4,1,0)</f>
        <v>2026</v>
      </c>
      <c r="C832" s="105">
        <f>YEAR(Table6[[#This Row],[Date]])</f>
        <v>2025</v>
      </c>
      <c r="D832" s="105" t="s">
        <v>490</v>
      </c>
      <c r="E832" s="119">
        <f>Table6[[#This Row],[Date]]-DAY(Table6[[#This Row],[Date]])+1</f>
        <v>45809</v>
      </c>
      <c r="F832" s="118">
        <v>45828</v>
      </c>
      <c r="G832" s="105" t="s">
        <v>135</v>
      </c>
      <c r="H832" s="39" t="str">
        <f>_xlfn.XLOOKUP(Table6[[#This Row],[Affected WTG]],'Basic Data'!$A:$A,'Basic Data'!$B:$B)</f>
        <v>PWEGPL</v>
      </c>
      <c r="I832" s="39" t="str">
        <f>_xlfn.XLOOKUP(Table6[[#This Row],[Affected WTG]],'Basic Data'!$A:$A,'Basic Data'!$C:$C)</f>
        <v>MSEDCL</v>
      </c>
      <c r="J832" s="345">
        <f>IFERROR(VLOOKUP(Table6[[#This Row],[Affected WTG]],'Basic Data'!$A$3:$E$56,5,0),"")</f>
        <v>2.564102564102564E-2</v>
      </c>
      <c r="K832" s="105">
        <v>403</v>
      </c>
      <c r="L832" s="39" t="str">
        <f>IFERROR(VLOOKUP(Table6[[#This Row],[Error Code]],'Basic Data'!$T:$U,2,0),"")</f>
        <v>High Gearbox Oil Temperature</v>
      </c>
      <c r="M832" s="346" t="s">
        <v>462</v>
      </c>
      <c r="N832" s="39" t="s">
        <v>1270</v>
      </c>
      <c r="O832" s="347">
        <v>0.53819444444444442</v>
      </c>
      <c r="P832" s="347">
        <v>0.56319444444444444</v>
      </c>
      <c r="Q832" s="347">
        <v>0.60138888888888886</v>
      </c>
      <c r="R832" s="348">
        <f>IF(Table6[[#This Row],[Work Start TimeStamp]]="","",(Table6[[#This Row],[Work Start TimeStamp]]-Table6[[#This Row],[Fault Start TimeStamp]])*24)</f>
        <v>0.60000000000000053</v>
      </c>
      <c r="S832" s="349">
        <f>(Table6[[#This Row],[Fault Clearance time]]-Table6[[#This Row],[Work Start TimeStamp]])*24</f>
        <v>0.91666666666666607</v>
      </c>
      <c r="T832" s="350">
        <f>(Table6[[#This Row],[Fault Clearance time]]-Table6[[#This Row],[Fault Start TimeStamp]])*24</f>
        <v>1.5166666666666666</v>
      </c>
      <c r="U832" s="346" t="s">
        <v>1279</v>
      </c>
      <c r="V832" s="351" t="s">
        <v>463</v>
      </c>
      <c r="W832" s="338">
        <f>Table6[[#This Row],[Breakdown Time]]*(1/39)</f>
        <v>3.8888888888888883E-2</v>
      </c>
      <c r="X832" s="336" t="s">
        <v>465</v>
      </c>
      <c r="Y832" s="352" t="s">
        <v>136</v>
      </c>
      <c r="Z832" s="105">
        <v>27345</v>
      </c>
      <c r="AA832" s="107">
        <f>IFERROR((Table6[[#This Row],[Paired WTG Generation for loss calculation]]/24)*Table6[[#This Row],[Breakdown Time]],"")</f>
        <v>1728.0520833333333</v>
      </c>
      <c r="AB832" s="105" t="s">
        <v>478</v>
      </c>
    </row>
    <row r="833" spans="1:28">
      <c r="A833" s="105">
        <f t="shared" si="12"/>
        <v>832</v>
      </c>
      <c r="B833" s="107">
        <f>YEAR(Table6[[#This Row],[Date]])+IF(MONTH(Table6[[#This Row],[Date]])&gt;=4,1,0)</f>
        <v>2026</v>
      </c>
      <c r="C833" s="105">
        <f>YEAR(Table6[[#This Row],[Date]])</f>
        <v>2025</v>
      </c>
      <c r="D833" s="105" t="s">
        <v>490</v>
      </c>
      <c r="E833" s="119">
        <f>Table6[[#This Row],[Date]]-DAY(Table6[[#This Row],[Date]])+1</f>
        <v>45809</v>
      </c>
      <c r="F833" s="118">
        <v>45829</v>
      </c>
      <c r="G833" s="105" t="s">
        <v>144</v>
      </c>
      <c r="H833" s="39" t="str">
        <f>_xlfn.XLOOKUP(Table6[[#This Row],[Affected WTG]],'Basic Data'!$A:$A,'Basic Data'!$B:$B)</f>
        <v>PWEGPL</v>
      </c>
      <c r="I833" s="39" t="str">
        <f>_xlfn.XLOOKUP(Table6[[#This Row],[Affected WTG]],'Basic Data'!$A:$A,'Basic Data'!$C:$C)</f>
        <v>MSEDCL</v>
      </c>
      <c r="J833" s="345">
        <f>IFERROR(VLOOKUP(Table6[[#This Row],[Affected WTG]],'Basic Data'!$A$3:$E$56,5,0),"")</f>
        <v>2.564102564102564E-2</v>
      </c>
      <c r="K833" s="105" t="s">
        <v>492</v>
      </c>
      <c r="L833" s="39" t="str">
        <f>IFERROR(VLOOKUP(Table6[[#This Row],[Error Code]],'Basic Data'!$T:$U,2,0),"")</f>
        <v>Manual Stop - Safety Related</v>
      </c>
      <c r="M833" s="346" t="s">
        <v>481</v>
      </c>
      <c r="N833" s="39" t="s">
        <v>1269</v>
      </c>
      <c r="O833" s="347">
        <v>0</v>
      </c>
      <c r="P833" s="347">
        <v>0.99998842592592596</v>
      </c>
      <c r="Q833" s="347">
        <v>0.99998842592592596</v>
      </c>
      <c r="R833" s="348">
        <f>IF(Table6[[#This Row],[Work Start TimeStamp]]="","",(Table6[[#This Row],[Work Start TimeStamp]]-Table6[[#This Row],[Fault Start TimeStamp]])*24)</f>
        <v>23.999722222222225</v>
      </c>
      <c r="S833" s="349">
        <f>(Table6[[#This Row],[Fault Clearance time]]-Table6[[#This Row],[Work Start TimeStamp]])*24</f>
        <v>0</v>
      </c>
      <c r="T833" s="350">
        <f>(Table6[[#This Row],[Fault Clearance time]]-Table6[[#This Row],[Fault Start TimeStamp]])*24</f>
        <v>23.999722222222225</v>
      </c>
      <c r="U833" s="346" t="s">
        <v>498</v>
      </c>
      <c r="V833" s="351" t="s">
        <v>473</v>
      </c>
      <c r="W833" s="338">
        <f>Table6[[#This Row],[Breakdown Time]]*(1/39)</f>
        <v>0.61537749287749288</v>
      </c>
      <c r="X833" s="336" t="s">
        <v>468</v>
      </c>
      <c r="Y833" s="352" t="s">
        <v>143</v>
      </c>
      <c r="Z833" s="105">
        <v>25110</v>
      </c>
      <c r="AA833" s="107">
        <f>IFERROR((Table6[[#This Row],[Paired WTG Generation for loss calculation]]/24)*Table6[[#This Row],[Breakdown Time]],"")</f>
        <v>25109.709375000002</v>
      </c>
      <c r="AB833" s="105" t="s">
        <v>478</v>
      </c>
    </row>
    <row r="834" spans="1:28">
      <c r="A834" s="105">
        <f t="shared" si="12"/>
        <v>833</v>
      </c>
      <c r="B834" s="107">
        <f>YEAR(Table6[[#This Row],[Date]])+IF(MONTH(Table6[[#This Row],[Date]])&gt;=4,1,0)</f>
        <v>2026</v>
      </c>
      <c r="C834" s="105">
        <f>YEAR(Table6[[#This Row],[Date]])</f>
        <v>2025</v>
      </c>
      <c r="D834" s="105" t="s">
        <v>490</v>
      </c>
      <c r="E834" s="119">
        <f>Table6[[#This Row],[Date]]-DAY(Table6[[#This Row],[Date]])+1</f>
        <v>45809</v>
      </c>
      <c r="F834" s="118">
        <v>45829</v>
      </c>
      <c r="G834" s="105" t="s">
        <v>142</v>
      </c>
      <c r="H834" s="39" t="str">
        <f>_xlfn.XLOOKUP(Table6[[#This Row],[Affected WTG]],'Basic Data'!$A:$A,'Basic Data'!$B:$B)</f>
        <v>PWEGPL</v>
      </c>
      <c r="I834" s="39" t="str">
        <f>_xlfn.XLOOKUP(Table6[[#This Row],[Affected WTG]],'Basic Data'!$A:$A,'Basic Data'!$C:$C)</f>
        <v>MSEDCL</v>
      </c>
      <c r="J834" s="345">
        <f>IFERROR(VLOOKUP(Table6[[#This Row],[Affected WTG]],'Basic Data'!$A$3:$E$56,5,0),"")</f>
        <v>2.564102564102564E-2</v>
      </c>
      <c r="K834" s="105" t="s">
        <v>492</v>
      </c>
      <c r="L834" s="39" t="str">
        <f>IFERROR(VLOOKUP(Table6[[#This Row],[Error Code]],'Basic Data'!$T:$U,2,0),"")</f>
        <v>Manual Stop - Safety Related</v>
      </c>
      <c r="M834" s="346" t="s">
        <v>481</v>
      </c>
      <c r="N834" s="39" t="s">
        <v>1269</v>
      </c>
      <c r="O834" s="347">
        <v>0</v>
      </c>
      <c r="P834" s="347">
        <v>0.99998842592592596</v>
      </c>
      <c r="Q834" s="347">
        <v>0.99998842592592596</v>
      </c>
      <c r="R834" s="348">
        <f>IF(Table6[[#This Row],[Work Start TimeStamp]]="","",(Table6[[#This Row],[Work Start TimeStamp]]-Table6[[#This Row],[Fault Start TimeStamp]])*24)</f>
        <v>23.999722222222225</v>
      </c>
      <c r="S834" s="349">
        <f>(Table6[[#This Row],[Fault Clearance time]]-Table6[[#This Row],[Work Start TimeStamp]])*24</f>
        <v>0</v>
      </c>
      <c r="T834" s="350">
        <f>(Table6[[#This Row],[Fault Clearance time]]-Table6[[#This Row],[Fault Start TimeStamp]])*24</f>
        <v>23.999722222222225</v>
      </c>
      <c r="U834" s="346" t="s">
        <v>498</v>
      </c>
      <c r="V834" s="351" t="s">
        <v>473</v>
      </c>
      <c r="W834" s="338">
        <f>Table6[[#This Row],[Breakdown Time]]*(1/39)</f>
        <v>0.61537749287749288</v>
      </c>
      <c r="X834" s="336" t="s">
        <v>468</v>
      </c>
      <c r="Y834" s="352" t="s">
        <v>143</v>
      </c>
      <c r="Z834" s="105">
        <v>25110</v>
      </c>
      <c r="AA834" s="107">
        <f>IFERROR((Table6[[#This Row],[Paired WTG Generation for loss calculation]]/24)*Table6[[#This Row],[Breakdown Time]],"")</f>
        <v>25109.709375000002</v>
      </c>
      <c r="AB834" s="105" t="s">
        <v>478</v>
      </c>
    </row>
    <row r="835" spans="1:28">
      <c r="A835" s="105">
        <f t="shared" si="12"/>
        <v>834</v>
      </c>
      <c r="B835" s="107">
        <f>YEAR(Table6[[#This Row],[Date]])+IF(MONTH(Table6[[#This Row],[Date]])&gt;=4,1,0)</f>
        <v>2026</v>
      </c>
      <c r="C835" s="105">
        <f>YEAR(Table6[[#This Row],[Date]])</f>
        <v>2025</v>
      </c>
      <c r="D835" s="105" t="s">
        <v>490</v>
      </c>
      <c r="E835" s="119">
        <f>Table6[[#This Row],[Date]]-DAY(Table6[[#This Row],[Date]])+1</f>
        <v>45809</v>
      </c>
      <c r="F835" s="118">
        <v>45829</v>
      </c>
      <c r="G835" s="105" t="s">
        <v>131</v>
      </c>
      <c r="H835" s="39" t="str">
        <f>_xlfn.XLOOKUP(Table6[[#This Row],[Affected WTG]],'Basic Data'!$A:$A,'Basic Data'!$B:$B)</f>
        <v>PWEGPL</v>
      </c>
      <c r="I835" s="39" t="str">
        <f>_xlfn.XLOOKUP(Table6[[#This Row],[Affected WTG]],'Basic Data'!$A:$A,'Basic Data'!$C:$C)</f>
        <v>MSEDCL</v>
      </c>
      <c r="J835" s="345">
        <f>IFERROR(VLOOKUP(Table6[[#This Row],[Affected WTG]],'Basic Data'!$A$3:$E$56,5,0),"")</f>
        <v>2.564102564102564E-2</v>
      </c>
      <c r="K835" s="105">
        <v>5216</v>
      </c>
      <c r="L835" s="39" t="str">
        <f>IFERROR(VLOOKUP(Table6[[#This Row],[Error Code]],'Basic Data'!$T:$U,2,0),"")</f>
        <v>Grid Voltage Failure</v>
      </c>
      <c r="M835" s="346" t="s">
        <v>462</v>
      </c>
      <c r="N835" s="39" t="s">
        <v>1270</v>
      </c>
      <c r="O835" s="347">
        <v>0</v>
      </c>
      <c r="P835" s="347">
        <v>0.99998842592592596</v>
      </c>
      <c r="Q835" s="347">
        <v>0.99998842592592596</v>
      </c>
      <c r="R835" s="348">
        <f>IF(Table6[[#This Row],[Work Start TimeStamp]]="","",(Table6[[#This Row],[Work Start TimeStamp]]-Table6[[#This Row],[Fault Start TimeStamp]])*24)</f>
        <v>23.999722222222225</v>
      </c>
      <c r="S835" s="349">
        <f>(Table6[[#This Row],[Fault Clearance time]]-Table6[[#This Row],[Work Start TimeStamp]])*24</f>
        <v>0</v>
      </c>
      <c r="T835" s="350">
        <f>(Table6[[#This Row],[Fault Clearance time]]-Table6[[#This Row],[Fault Start TimeStamp]])*24</f>
        <v>23.999722222222225</v>
      </c>
      <c r="U835" s="346" t="s">
        <v>1247</v>
      </c>
      <c r="V835" s="351" t="s">
        <v>473</v>
      </c>
      <c r="W835" s="338">
        <f>Table6[[#This Row],[Breakdown Time]]*(1/39)</f>
        <v>0.61537749287749288</v>
      </c>
      <c r="X835" s="336" t="s">
        <v>465</v>
      </c>
      <c r="Y835" s="352" t="s">
        <v>130</v>
      </c>
      <c r="Z835" s="105">
        <v>26511</v>
      </c>
      <c r="AA835" s="107">
        <f>IFERROR((Table6[[#This Row],[Paired WTG Generation for loss calculation]]/24)*Table6[[#This Row],[Breakdown Time]],"")</f>
        <v>26510.693159722225</v>
      </c>
      <c r="AB835" s="105" t="s">
        <v>478</v>
      </c>
    </row>
    <row r="836" spans="1:28">
      <c r="A836" s="105">
        <f t="shared" ref="A836:A900" si="13">A835+1</f>
        <v>835</v>
      </c>
      <c r="B836" s="107">
        <f>YEAR(Table6[[#This Row],[Date]])+IF(MONTH(Table6[[#This Row],[Date]])&gt;=4,1,0)</f>
        <v>2026</v>
      </c>
      <c r="C836" s="105">
        <f>YEAR(Table6[[#This Row],[Date]])</f>
        <v>2025</v>
      </c>
      <c r="D836" s="105" t="s">
        <v>490</v>
      </c>
      <c r="E836" s="119">
        <f>Table6[[#This Row],[Date]]-DAY(Table6[[#This Row],[Date]])+1</f>
        <v>45809</v>
      </c>
      <c r="F836" s="118">
        <v>45829</v>
      </c>
      <c r="G836" s="105" t="s">
        <v>137</v>
      </c>
      <c r="H836" s="39" t="str">
        <f>_xlfn.XLOOKUP(Table6[[#This Row],[Affected WTG]],'Basic Data'!$A:$A,'Basic Data'!$B:$B)</f>
        <v>PWEGPL</v>
      </c>
      <c r="I836" s="39" t="str">
        <f>_xlfn.XLOOKUP(Table6[[#This Row],[Affected WTG]],'Basic Data'!$A:$A,'Basic Data'!$C:$C)</f>
        <v>MSEDCL</v>
      </c>
      <c r="J836" s="345">
        <f>IFERROR(VLOOKUP(Table6[[#This Row],[Affected WTG]],'Basic Data'!$A$3:$E$56,5,0),"")</f>
        <v>2.564102564102564E-2</v>
      </c>
      <c r="K836" s="105">
        <v>222</v>
      </c>
      <c r="L836" s="39" t="str">
        <f>IFERROR(VLOOKUP(Table6[[#This Row],[Error Code]],'Basic Data'!$T:$U,2,0),"")</f>
        <v>Very Low Pressure On Hydraulic Unit</v>
      </c>
      <c r="M836" s="346" t="s">
        <v>462</v>
      </c>
      <c r="N836" s="39" t="s">
        <v>1270</v>
      </c>
      <c r="O836" s="347">
        <v>0.73958333333333337</v>
      </c>
      <c r="P836" s="347">
        <v>0.75416666666666665</v>
      </c>
      <c r="Q836" s="347">
        <v>0.78472222222222221</v>
      </c>
      <c r="R836" s="348">
        <f>IF(Table6[[#This Row],[Work Start TimeStamp]]="","",(Table6[[#This Row],[Work Start TimeStamp]]-Table6[[#This Row],[Fault Start TimeStamp]])*24)</f>
        <v>0.34999999999999876</v>
      </c>
      <c r="S836" s="349">
        <f>(Table6[[#This Row],[Fault Clearance time]]-Table6[[#This Row],[Work Start TimeStamp]])*24</f>
        <v>0.73333333333333339</v>
      </c>
      <c r="T836" s="350">
        <f>(Table6[[#This Row],[Fault Clearance time]]-Table6[[#This Row],[Fault Start TimeStamp]])*24</f>
        <v>1.0833333333333321</v>
      </c>
      <c r="U836" s="346" t="s">
        <v>1280</v>
      </c>
      <c r="V836" s="351" t="s">
        <v>463</v>
      </c>
      <c r="W836" s="338">
        <f>Table6[[#This Row],[Breakdown Time]]*(1/39)</f>
        <v>2.7777777777777745E-2</v>
      </c>
      <c r="X836" s="336" t="s">
        <v>465</v>
      </c>
      <c r="Y836" s="352" t="s">
        <v>136</v>
      </c>
      <c r="Z836" s="105">
        <v>25573</v>
      </c>
      <c r="AA836" s="107">
        <f>IFERROR((Table6[[#This Row],[Paired WTG Generation for loss calculation]]/24)*Table6[[#This Row],[Breakdown Time]],"")</f>
        <v>1154.3368055555543</v>
      </c>
      <c r="AB836" s="105" t="s">
        <v>478</v>
      </c>
    </row>
    <row r="837" spans="1:28">
      <c r="A837" s="105">
        <f t="shared" si="13"/>
        <v>836</v>
      </c>
      <c r="B837" s="107">
        <f>YEAR(Table6[[#This Row],[Date]])+IF(MONTH(Table6[[#This Row],[Date]])&gt;=4,1,0)</f>
        <v>2026</v>
      </c>
      <c r="C837" s="105">
        <f>YEAR(Table6[[#This Row],[Date]])</f>
        <v>2025</v>
      </c>
      <c r="D837" s="105" t="s">
        <v>490</v>
      </c>
      <c r="E837" s="119">
        <f>Table6[[#This Row],[Date]]-DAY(Table6[[#This Row],[Date]])+1</f>
        <v>45809</v>
      </c>
      <c r="F837" s="118">
        <v>45829</v>
      </c>
      <c r="G837" s="105" t="s">
        <v>124</v>
      </c>
      <c r="H837" s="39" t="str">
        <f>_xlfn.XLOOKUP(Table6[[#This Row],[Affected WTG]],'Basic Data'!$A:$A,'Basic Data'!$B:$B)</f>
        <v>PWEGPL</v>
      </c>
      <c r="I837" s="39" t="str">
        <f>_xlfn.XLOOKUP(Table6[[#This Row],[Affected WTG]],'Basic Data'!$A:$A,'Basic Data'!$C:$C)</f>
        <v>MSEDCL</v>
      </c>
      <c r="J837" s="345">
        <f>IFERROR(VLOOKUP(Table6[[#This Row],[Affected WTG]],'Basic Data'!$A$3:$E$56,5,0),"")</f>
        <v>2.564102564102564E-2</v>
      </c>
      <c r="K837" s="105" t="s">
        <v>466</v>
      </c>
      <c r="L837" s="39" t="str">
        <f>IFERROR(VLOOKUP(Table6[[#This Row],[Error Code]],'Basic Data'!$T:$U,2,0),"")</f>
        <v>Manual Stop</v>
      </c>
      <c r="M837" s="346" t="s">
        <v>479</v>
      </c>
      <c r="N837" s="39" t="s">
        <v>230</v>
      </c>
      <c r="O837" s="347">
        <v>0.51388888888888884</v>
      </c>
      <c r="P837" s="347">
        <v>0.51388888888888884</v>
      </c>
      <c r="Q837" s="347">
        <v>0.5625</v>
      </c>
      <c r="R837" s="348">
        <f>IF(Table6[[#This Row],[Work Start TimeStamp]]="","",(Table6[[#This Row],[Work Start TimeStamp]]-Table6[[#This Row],[Fault Start TimeStamp]])*24)</f>
        <v>0</v>
      </c>
      <c r="S837" s="349">
        <f>(Table6[[#This Row],[Fault Clearance time]]-Table6[[#This Row],[Work Start TimeStamp]])*24</f>
        <v>1.1666666666666679</v>
      </c>
      <c r="T837" s="350">
        <f>(Table6[[#This Row],[Fault Clearance time]]-Table6[[#This Row],[Fault Start TimeStamp]])*24</f>
        <v>1.1666666666666679</v>
      </c>
      <c r="U837" s="346" t="s">
        <v>1281</v>
      </c>
      <c r="V837" s="351" t="s">
        <v>463</v>
      </c>
      <c r="W837" s="338">
        <f>Table6[[#This Row],[Breakdown Time]]*(1/39)</f>
        <v>2.9914529914529944E-2</v>
      </c>
      <c r="X837" s="336" t="s">
        <v>464</v>
      </c>
      <c r="Y837" s="352" t="s">
        <v>122</v>
      </c>
      <c r="Z837" s="105">
        <v>25213</v>
      </c>
      <c r="AA837" s="107">
        <f>IFERROR((Table6[[#This Row],[Paired WTG Generation for loss calculation]]/24)*Table6[[#This Row],[Breakdown Time]],"")</f>
        <v>1225.6319444444457</v>
      </c>
      <c r="AB837" s="105" t="s">
        <v>478</v>
      </c>
    </row>
    <row r="838" spans="1:28">
      <c r="A838" s="105">
        <f t="shared" si="13"/>
        <v>837</v>
      </c>
      <c r="B838" s="107">
        <f>YEAR(Table6[[#This Row],[Date]])+IF(MONTH(Table6[[#This Row],[Date]])&gt;=4,1,0)</f>
        <v>2026</v>
      </c>
      <c r="C838" s="105">
        <f>YEAR(Table6[[#This Row],[Date]])</f>
        <v>2025</v>
      </c>
      <c r="D838" s="105" t="s">
        <v>490</v>
      </c>
      <c r="E838" s="119">
        <f>Table6[[#This Row],[Date]]-DAY(Table6[[#This Row],[Date]])+1</f>
        <v>45809</v>
      </c>
      <c r="F838" s="118">
        <v>45829</v>
      </c>
      <c r="G838" s="105" t="s">
        <v>146</v>
      </c>
      <c r="H838" s="39" t="str">
        <f>_xlfn.XLOOKUP(Table6[[#This Row],[Affected WTG]],'Basic Data'!$A:$A,'Basic Data'!$B:$B)</f>
        <v>PWEGPL</v>
      </c>
      <c r="I838" s="39" t="str">
        <f>_xlfn.XLOOKUP(Table6[[#This Row],[Affected WTG]],'Basic Data'!$A:$A,'Basic Data'!$C:$C)</f>
        <v>MSEDCL</v>
      </c>
      <c r="J838" s="345">
        <f>IFERROR(VLOOKUP(Table6[[#This Row],[Affected WTG]],'Basic Data'!$A$3:$E$56,5,0),"")</f>
        <v>2.564102564102564E-2</v>
      </c>
      <c r="K838" s="105">
        <v>804</v>
      </c>
      <c r="L838" s="39" t="str">
        <f>IFERROR(VLOOKUP(Table6[[#This Row],[Error Code]],'Basic Data'!$T:$U,2,0),"")</f>
        <v>Difference Between 2 Blades Too High</v>
      </c>
      <c r="M838" s="346" t="s">
        <v>462</v>
      </c>
      <c r="N838" s="39" t="s">
        <v>1270</v>
      </c>
      <c r="O838" s="347">
        <v>0.57291666666666663</v>
      </c>
      <c r="P838" s="347">
        <v>0.59305555555555556</v>
      </c>
      <c r="Q838" s="347">
        <v>0.67777777777777781</v>
      </c>
      <c r="R838" s="348">
        <f>IF(Table6[[#This Row],[Work Start TimeStamp]]="","",(Table6[[#This Row],[Work Start TimeStamp]]-Table6[[#This Row],[Fault Start TimeStamp]])*24)</f>
        <v>0.48333333333333428</v>
      </c>
      <c r="S838" s="349">
        <f>(Table6[[#This Row],[Fault Clearance time]]-Table6[[#This Row],[Work Start TimeStamp]])*24</f>
        <v>2.0333333333333341</v>
      </c>
      <c r="T838" s="350">
        <f>(Table6[[#This Row],[Fault Clearance time]]-Table6[[#This Row],[Fault Start TimeStamp]])*24</f>
        <v>2.5166666666666684</v>
      </c>
      <c r="U838" s="346" t="s">
        <v>1282</v>
      </c>
      <c r="V838" s="351" t="s">
        <v>463</v>
      </c>
      <c r="W838" s="338">
        <f>Table6[[#This Row],[Breakdown Time]]*(1/39)</f>
        <v>6.4529914529914578E-2</v>
      </c>
      <c r="X838" s="336" t="s">
        <v>465</v>
      </c>
      <c r="Y838" s="352" t="s">
        <v>147</v>
      </c>
      <c r="Z838" s="105">
        <v>24836</v>
      </c>
      <c r="AA838" s="107">
        <f>IFERROR((Table6[[#This Row],[Paired WTG Generation for loss calculation]]/24)*Table6[[#This Row],[Breakdown Time]],"")</f>
        <v>2604.3305555555571</v>
      </c>
      <c r="AB838" s="105" t="s">
        <v>478</v>
      </c>
    </row>
    <row r="839" spans="1:28">
      <c r="A839" s="105">
        <f t="shared" si="13"/>
        <v>838</v>
      </c>
      <c r="B839" s="107">
        <f>YEAR(Table6[[#This Row],[Date]])+IF(MONTH(Table6[[#This Row],[Date]])&gt;=4,1,0)</f>
        <v>2026</v>
      </c>
      <c r="C839" s="105">
        <f>YEAR(Table6[[#This Row],[Date]])</f>
        <v>2025</v>
      </c>
      <c r="D839" s="105" t="s">
        <v>490</v>
      </c>
      <c r="E839" s="119">
        <f>Table6[[#This Row],[Date]]-DAY(Table6[[#This Row],[Date]])+1</f>
        <v>45809</v>
      </c>
      <c r="F839" s="118">
        <v>45829</v>
      </c>
      <c r="G839" s="105" t="s">
        <v>126</v>
      </c>
      <c r="H839" s="39" t="str">
        <f>_xlfn.XLOOKUP(Table6[[#This Row],[Affected WTG]],'Basic Data'!$A:$A,'Basic Data'!$B:$B)</f>
        <v>PWEGPL</v>
      </c>
      <c r="I839" s="39" t="str">
        <f>_xlfn.XLOOKUP(Table6[[#This Row],[Affected WTG]],'Basic Data'!$A:$A,'Basic Data'!$C:$C)</f>
        <v>MSEDCL</v>
      </c>
      <c r="J839" s="345">
        <f>IFERROR(VLOOKUP(Table6[[#This Row],[Affected WTG]],'Basic Data'!$A$3:$E$56,5,0),"")</f>
        <v>2.564102564102564E-2</v>
      </c>
      <c r="K839" s="105">
        <v>203</v>
      </c>
      <c r="L839" s="39" t="str">
        <f>IFERROR(VLOOKUP(Table6[[#This Row],[Error Code]],'Basic Data'!$T:$U,2,0),"")</f>
        <v>Low Pressure On Hydraulic Group</v>
      </c>
      <c r="M839" s="346" t="s">
        <v>462</v>
      </c>
      <c r="N839" s="39" t="s">
        <v>1270</v>
      </c>
      <c r="O839" s="347">
        <v>0.48749999999999999</v>
      </c>
      <c r="P839" s="347">
        <v>0.48749999999999999</v>
      </c>
      <c r="Q839" s="347">
        <v>0.80277777777777781</v>
      </c>
      <c r="R839" s="348">
        <f>IF(Table6[[#This Row],[Work Start TimeStamp]]="","",(Table6[[#This Row],[Work Start TimeStamp]]-Table6[[#This Row],[Fault Start TimeStamp]])*24)</f>
        <v>0</v>
      </c>
      <c r="S839" s="349">
        <f>(Table6[[#This Row],[Fault Clearance time]]-Table6[[#This Row],[Work Start TimeStamp]])*24</f>
        <v>7.5666666666666682</v>
      </c>
      <c r="T839" s="350">
        <f>(Table6[[#This Row],[Fault Clearance time]]-Table6[[#This Row],[Fault Start TimeStamp]])*24</f>
        <v>7.5666666666666682</v>
      </c>
      <c r="U839" s="346" t="s">
        <v>1283</v>
      </c>
      <c r="V839" s="351" t="s">
        <v>463</v>
      </c>
      <c r="W839" s="338">
        <f>Table6[[#This Row],[Breakdown Time]]*(1/39)</f>
        <v>0.19401709401709405</v>
      </c>
      <c r="X839" s="336" t="s">
        <v>464</v>
      </c>
      <c r="Y839" s="352" t="s">
        <v>127</v>
      </c>
      <c r="Z839" s="105">
        <v>24356</v>
      </c>
      <c r="AA839" s="107">
        <f>IFERROR((Table6[[#This Row],[Paired WTG Generation for loss calculation]]/24)*Table6[[#This Row],[Breakdown Time]],"")</f>
        <v>7678.9055555555578</v>
      </c>
      <c r="AB839" s="105" t="s">
        <v>478</v>
      </c>
    </row>
    <row r="840" spans="1:28">
      <c r="A840" s="105">
        <f t="shared" si="13"/>
        <v>839</v>
      </c>
      <c r="B840" s="107">
        <f>YEAR(Table6[[#This Row],[Date]])+IF(MONTH(Table6[[#This Row],[Date]])&gt;=4,1,0)</f>
        <v>2026</v>
      </c>
      <c r="C840" s="105">
        <f>YEAR(Table6[[#This Row],[Date]])</f>
        <v>2025</v>
      </c>
      <c r="D840" s="105" t="s">
        <v>490</v>
      </c>
      <c r="E840" s="119">
        <f>Table6[[#This Row],[Date]]-DAY(Table6[[#This Row],[Date]])+1</f>
        <v>45809</v>
      </c>
      <c r="F840" s="118">
        <v>45829</v>
      </c>
      <c r="G840" s="105" t="s">
        <v>125</v>
      </c>
      <c r="H840" s="39" t="str">
        <f>_xlfn.XLOOKUP(Table6[[#This Row],[Affected WTG]],'Basic Data'!$A:$A,'Basic Data'!$B:$B)</f>
        <v>PWEGPL</v>
      </c>
      <c r="I840" s="39" t="str">
        <f>_xlfn.XLOOKUP(Table6[[#This Row],[Affected WTG]],'Basic Data'!$A:$A,'Basic Data'!$C:$C)</f>
        <v>MSEDCL</v>
      </c>
      <c r="J840" s="345">
        <f>IFERROR(VLOOKUP(Table6[[#This Row],[Affected WTG]],'Basic Data'!$A$3:$E$56,5,0),"")</f>
        <v>2.564102564102564E-2</v>
      </c>
      <c r="K840" s="105" t="s">
        <v>466</v>
      </c>
      <c r="L840" s="39" t="str">
        <f>IFERROR(VLOOKUP(Table6[[#This Row],[Error Code]],'Basic Data'!$T:$U,2,0),"")</f>
        <v>Manual Stop</v>
      </c>
      <c r="M840" s="346" t="s">
        <v>479</v>
      </c>
      <c r="N840" s="39" t="s">
        <v>230</v>
      </c>
      <c r="O840" s="347">
        <v>0.52361111111111114</v>
      </c>
      <c r="P840" s="347">
        <v>0.52361111111111114</v>
      </c>
      <c r="Q840" s="347">
        <v>0.79305555555555551</v>
      </c>
      <c r="R840" s="348">
        <f>IF(Table6[[#This Row],[Work Start TimeStamp]]="","",(Table6[[#This Row],[Work Start TimeStamp]]-Table6[[#This Row],[Fault Start TimeStamp]])*24)</f>
        <v>0</v>
      </c>
      <c r="S840" s="349">
        <f>(Table6[[#This Row],[Fault Clearance time]]-Table6[[#This Row],[Work Start TimeStamp]])*24</f>
        <v>6.466666666666665</v>
      </c>
      <c r="T840" s="350">
        <f>(Table6[[#This Row],[Fault Clearance time]]-Table6[[#This Row],[Fault Start TimeStamp]])*24</f>
        <v>6.466666666666665</v>
      </c>
      <c r="U840" s="346" t="s">
        <v>1284</v>
      </c>
      <c r="V840" s="351" t="s">
        <v>463</v>
      </c>
      <c r="W840" s="338">
        <f>Table6[[#This Row],[Breakdown Time]]*(1/39)</f>
        <v>0.16581196581196575</v>
      </c>
      <c r="X840" s="336" t="s">
        <v>464</v>
      </c>
      <c r="Y840" s="352" t="s">
        <v>127</v>
      </c>
      <c r="Z840" s="105">
        <v>24356</v>
      </c>
      <c r="AA840" s="107">
        <f>IFERROR((Table6[[#This Row],[Paired WTG Generation for loss calculation]]/24)*Table6[[#This Row],[Breakdown Time]],"")</f>
        <v>6562.5888888888876</v>
      </c>
      <c r="AB840" s="105" t="s">
        <v>478</v>
      </c>
    </row>
    <row r="841" spans="1:28">
      <c r="A841" s="105">
        <f t="shared" si="13"/>
        <v>840</v>
      </c>
      <c r="B841" s="107">
        <f>YEAR(Table6[[#This Row],[Date]])+IF(MONTH(Table6[[#This Row],[Date]])&gt;=4,1,0)</f>
        <v>2026</v>
      </c>
      <c r="C841" s="105">
        <f>YEAR(Table6[[#This Row],[Date]])</f>
        <v>2025</v>
      </c>
      <c r="D841" s="105" t="s">
        <v>490</v>
      </c>
      <c r="E841" s="119">
        <f>Table6[[#This Row],[Date]]-DAY(Table6[[#This Row],[Date]])+1</f>
        <v>45809</v>
      </c>
      <c r="F841" s="118">
        <v>45830</v>
      </c>
      <c r="G841" s="105" t="s">
        <v>144</v>
      </c>
      <c r="H841" s="39" t="str">
        <f>_xlfn.XLOOKUP(Table6[[#This Row],[Affected WTG]],'Basic Data'!$A:$A,'Basic Data'!$B:$B)</f>
        <v>PWEGPL</v>
      </c>
      <c r="I841" s="39" t="str">
        <f>_xlfn.XLOOKUP(Table6[[#This Row],[Affected WTG]],'Basic Data'!$A:$A,'Basic Data'!$C:$C)</f>
        <v>MSEDCL</v>
      </c>
      <c r="J841" s="345">
        <f>IFERROR(VLOOKUP(Table6[[#This Row],[Affected WTG]],'Basic Data'!$A$3:$E$56,5,0),"")</f>
        <v>2.564102564102564E-2</v>
      </c>
      <c r="K841" s="105" t="s">
        <v>492</v>
      </c>
      <c r="L841" s="39" t="str">
        <f>IFERROR(VLOOKUP(Table6[[#This Row],[Error Code]],'Basic Data'!$T:$U,2,0),"")</f>
        <v>Manual Stop - Safety Related</v>
      </c>
      <c r="M841" s="346" t="s">
        <v>481</v>
      </c>
      <c r="N841" s="39" t="s">
        <v>1269</v>
      </c>
      <c r="O841" s="347">
        <v>0</v>
      </c>
      <c r="P841" s="347">
        <v>0.99998842592592596</v>
      </c>
      <c r="Q841" s="347">
        <v>0.99998842592592596</v>
      </c>
      <c r="R841" s="348">
        <f>IF(Table6[[#This Row],[Work Start TimeStamp]]="","",(Table6[[#This Row],[Work Start TimeStamp]]-Table6[[#This Row],[Fault Start TimeStamp]])*24)</f>
        <v>23.999722222222225</v>
      </c>
      <c r="S841" s="349">
        <f>(Table6[[#This Row],[Fault Clearance time]]-Table6[[#This Row],[Work Start TimeStamp]])*24</f>
        <v>0</v>
      </c>
      <c r="T841" s="350">
        <f>(Table6[[#This Row],[Fault Clearance time]]-Table6[[#This Row],[Fault Start TimeStamp]])*24</f>
        <v>23.999722222222225</v>
      </c>
      <c r="U841" s="346" t="s">
        <v>498</v>
      </c>
      <c r="V841" s="351" t="s">
        <v>473</v>
      </c>
      <c r="W841" s="338">
        <f>Table6[[#This Row],[Breakdown Time]]*(1/39)</f>
        <v>0.61537749287749288</v>
      </c>
      <c r="X841" s="336" t="s">
        <v>468</v>
      </c>
      <c r="Y841" s="352" t="s">
        <v>143</v>
      </c>
      <c r="Z841" s="105">
        <v>24532</v>
      </c>
      <c r="AA841" s="107">
        <f>IFERROR((Table6[[#This Row],[Paired WTG Generation for loss calculation]]/24)*Table6[[#This Row],[Breakdown Time]],"")</f>
        <v>24531.716064814816</v>
      </c>
      <c r="AB841" s="105" t="s">
        <v>478</v>
      </c>
    </row>
    <row r="842" spans="1:28">
      <c r="A842" s="105">
        <f t="shared" si="13"/>
        <v>841</v>
      </c>
      <c r="B842" s="107">
        <f>YEAR(Table6[[#This Row],[Date]])+IF(MONTH(Table6[[#This Row],[Date]])&gt;=4,1,0)</f>
        <v>2026</v>
      </c>
      <c r="C842" s="105">
        <f>YEAR(Table6[[#This Row],[Date]])</f>
        <v>2025</v>
      </c>
      <c r="D842" s="105" t="s">
        <v>490</v>
      </c>
      <c r="E842" s="119">
        <f>Table6[[#This Row],[Date]]-DAY(Table6[[#This Row],[Date]])+1</f>
        <v>45809</v>
      </c>
      <c r="F842" s="118">
        <v>45830</v>
      </c>
      <c r="G842" s="105" t="s">
        <v>142</v>
      </c>
      <c r="H842" s="39" t="str">
        <f>_xlfn.XLOOKUP(Table6[[#This Row],[Affected WTG]],'Basic Data'!$A:$A,'Basic Data'!$B:$B)</f>
        <v>PWEGPL</v>
      </c>
      <c r="I842" s="39" t="str">
        <f>_xlfn.XLOOKUP(Table6[[#This Row],[Affected WTG]],'Basic Data'!$A:$A,'Basic Data'!$C:$C)</f>
        <v>MSEDCL</v>
      </c>
      <c r="J842" s="345">
        <f>IFERROR(VLOOKUP(Table6[[#This Row],[Affected WTG]],'Basic Data'!$A$3:$E$56,5,0),"")</f>
        <v>2.564102564102564E-2</v>
      </c>
      <c r="K842" s="105" t="s">
        <v>492</v>
      </c>
      <c r="L842" s="39" t="str">
        <f>IFERROR(VLOOKUP(Table6[[#This Row],[Error Code]],'Basic Data'!$T:$U,2,0),"")</f>
        <v>Manual Stop - Safety Related</v>
      </c>
      <c r="M842" s="346" t="s">
        <v>481</v>
      </c>
      <c r="N842" s="39" t="s">
        <v>1269</v>
      </c>
      <c r="O842" s="347">
        <v>0</v>
      </c>
      <c r="P842" s="347">
        <v>0.99998842592592596</v>
      </c>
      <c r="Q842" s="347">
        <v>0.99998842592592596</v>
      </c>
      <c r="R842" s="348">
        <f>IF(Table6[[#This Row],[Work Start TimeStamp]]="","",(Table6[[#This Row],[Work Start TimeStamp]]-Table6[[#This Row],[Fault Start TimeStamp]])*24)</f>
        <v>23.999722222222225</v>
      </c>
      <c r="S842" s="349">
        <f>(Table6[[#This Row],[Fault Clearance time]]-Table6[[#This Row],[Work Start TimeStamp]])*24</f>
        <v>0</v>
      </c>
      <c r="T842" s="350">
        <f>(Table6[[#This Row],[Fault Clearance time]]-Table6[[#This Row],[Fault Start TimeStamp]])*24</f>
        <v>23.999722222222225</v>
      </c>
      <c r="U842" s="346" t="s">
        <v>498</v>
      </c>
      <c r="V842" s="351" t="s">
        <v>473</v>
      </c>
      <c r="W842" s="338">
        <f>Table6[[#This Row],[Breakdown Time]]*(1/39)</f>
        <v>0.61537749287749288</v>
      </c>
      <c r="X842" s="336" t="s">
        <v>468</v>
      </c>
      <c r="Y842" s="352" t="s">
        <v>143</v>
      </c>
      <c r="Z842" s="105">
        <v>24532</v>
      </c>
      <c r="AA842" s="107">
        <f>IFERROR((Table6[[#This Row],[Paired WTG Generation for loss calculation]]/24)*Table6[[#This Row],[Breakdown Time]],"")</f>
        <v>24531.716064814816</v>
      </c>
      <c r="AB842" s="105" t="s">
        <v>478</v>
      </c>
    </row>
    <row r="843" spans="1:28">
      <c r="A843" s="105">
        <f t="shared" si="13"/>
        <v>842</v>
      </c>
      <c r="B843" s="107">
        <f>YEAR(Table6[[#This Row],[Date]])+IF(MONTH(Table6[[#This Row],[Date]])&gt;=4,1,0)</f>
        <v>2026</v>
      </c>
      <c r="C843" s="105">
        <f>YEAR(Table6[[#This Row],[Date]])</f>
        <v>2025</v>
      </c>
      <c r="D843" s="105" t="s">
        <v>490</v>
      </c>
      <c r="E843" s="119">
        <f>Table6[[#This Row],[Date]]-DAY(Table6[[#This Row],[Date]])+1</f>
        <v>45809</v>
      </c>
      <c r="F843" s="118">
        <v>45830</v>
      </c>
      <c r="G843" s="105" t="s">
        <v>131</v>
      </c>
      <c r="H843" s="39" t="str">
        <f>_xlfn.XLOOKUP(Table6[[#This Row],[Affected WTG]],'Basic Data'!$A:$A,'Basic Data'!$B:$B)</f>
        <v>PWEGPL</v>
      </c>
      <c r="I843" s="39" t="str">
        <f>_xlfn.XLOOKUP(Table6[[#This Row],[Affected WTG]],'Basic Data'!$A:$A,'Basic Data'!$C:$C)</f>
        <v>MSEDCL</v>
      </c>
      <c r="J843" s="345">
        <f>IFERROR(VLOOKUP(Table6[[#This Row],[Affected WTG]],'Basic Data'!$A$3:$E$56,5,0),"")</f>
        <v>2.564102564102564E-2</v>
      </c>
      <c r="K843" s="105">
        <v>5216</v>
      </c>
      <c r="L843" s="39" t="str">
        <f>IFERROR(VLOOKUP(Table6[[#This Row],[Error Code]],'Basic Data'!$T:$U,2,0),"")</f>
        <v>Grid Voltage Failure</v>
      </c>
      <c r="M843" s="346" t="s">
        <v>462</v>
      </c>
      <c r="N843" s="39" t="s">
        <v>1270</v>
      </c>
      <c r="O843" s="347">
        <v>0</v>
      </c>
      <c r="P843" s="347">
        <v>0.99998842592592596</v>
      </c>
      <c r="Q843" s="347">
        <v>0.99998842592592596</v>
      </c>
      <c r="R843" s="348">
        <f>IF(Table6[[#This Row],[Work Start TimeStamp]]="","",(Table6[[#This Row],[Work Start TimeStamp]]-Table6[[#This Row],[Fault Start TimeStamp]])*24)</f>
        <v>23.999722222222225</v>
      </c>
      <c r="S843" s="349">
        <f>(Table6[[#This Row],[Fault Clearance time]]-Table6[[#This Row],[Work Start TimeStamp]])*24</f>
        <v>0</v>
      </c>
      <c r="T843" s="350">
        <f>(Table6[[#This Row],[Fault Clearance time]]-Table6[[#This Row],[Fault Start TimeStamp]])*24</f>
        <v>23.999722222222225</v>
      </c>
      <c r="U843" s="346" t="s">
        <v>1247</v>
      </c>
      <c r="V843" s="351" t="s">
        <v>473</v>
      </c>
      <c r="W843" s="338">
        <f>Table6[[#This Row],[Breakdown Time]]*(1/39)</f>
        <v>0.61537749287749288</v>
      </c>
      <c r="X843" s="336" t="s">
        <v>465</v>
      </c>
      <c r="Y843" s="352" t="s">
        <v>130</v>
      </c>
      <c r="Z843" s="105">
        <v>25412</v>
      </c>
      <c r="AA843" s="107">
        <f>IFERROR((Table6[[#This Row],[Paired WTG Generation for loss calculation]]/24)*Table6[[#This Row],[Breakdown Time]],"")</f>
        <v>25411.70587962963</v>
      </c>
      <c r="AB843" s="105" t="s">
        <v>478</v>
      </c>
    </row>
    <row r="844" spans="1:28">
      <c r="A844" s="105">
        <f t="shared" si="13"/>
        <v>843</v>
      </c>
      <c r="B844" s="107">
        <f>YEAR(Table6[[#This Row],[Date]])+IF(MONTH(Table6[[#This Row],[Date]])&gt;=4,1,0)</f>
        <v>2026</v>
      </c>
      <c r="C844" s="105">
        <f>YEAR(Table6[[#This Row],[Date]])</f>
        <v>2025</v>
      </c>
      <c r="D844" s="105" t="s">
        <v>490</v>
      </c>
      <c r="E844" s="119">
        <f>Table6[[#This Row],[Date]]-DAY(Table6[[#This Row],[Date]])+1</f>
        <v>45809</v>
      </c>
      <c r="F844" s="118">
        <v>45830</v>
      </c>
      <c r="G844" s="105" t="s">
        <v>126</v>
      </c>
      <c r="H844" s="39" t="str">
        <f>_xlfn.XLOOKUP(Table6[[#This Row],[Affected WTG]],'Basic Data'!$A:$A,'Basic Data'!$B:$B)</f>
        <v>PWEGPL</v>
      </c>
      <c r="I844" s="39" t="str">
        <f>_xlfn.XLOOKUP(Table6[[#This Row],[Affected WTG]],'Basic Data'!$A:$A,'Basic Data'!$C:$C)</f>
        <v>MSEDCL</v>
      </c>
      <c r="J844" s="345">
        <f>IFERROR(VLOOKUP(Table6[[#This Row],[Affected WTG]],'Basic Data'!$A$3:$E$56,5,0),"")</f>
        <v>2.564102564102564E-2</v>
      </c>
      <c r="K844" s="105">
        <v>203</v>
      </c>
      <c r="L844" s="39" t="str">
        <f>IFERROR(VLOOKUP(Table6[[#This Row],[Error Code]],'Basic Data'!$T:$U,2,0),"")</f>
        <v>Low Pressure On Hydraulic Group</v>
      </c>
      <c r="M844" s="346" t="s">
        <v>462</v>
      </c>
      <c r="N844" s="39" t="s">
        <v>1270</v>
      </c>
      <c r="O844" s="347">
        <v>0.45694444444444443</v>
      </c>
      <c r="P844" s="347">
        <v>0.47569444444444442</v>
      </c>
      <c r="Q844" s="347">
        <v>0.56805555555555554</v>
      </c>
      <c r="R844" s="348">
        <f>IF(Table6[[#This Row],[Work Start TimeStamp]]="","",(Table6[[#This Row],[Work Start TimeStamp]]-Table6[[#This Row],[Fault Start TimeStamp]])*24)</f>
        <v>0.44999999999999973</v>
      </c>
      <c r="S844" s="349">
        <f>(Table6[[#This Row],[Fault Clearance time]]-Table6[[#This Row],[Work Start TimeStamp]])*24</f>
        <v>2.2166666666666668</v>
      </c>
      <c r="T844" s="350">
        <f>(Table6[[#This Row],[Fault Clearance time]]-Table6[[#This Row],[Fault Start TimeStamp]])*24</f>
        <v>2.6666666666666665</v>
      </c>
      <c r="U844" s="346" t="s">
        <v>1285</v>
      </c>
      <c r="V844" s="351" t="s">
        <v>463</v>
      </c>
      <c r="W844" s="338">
        <f>Table6[[#This Row],[Breakdown Time]]*(1/39)</f>
        <v>6.8376068376068369E-2</v>
      </c>
      <c r="X844" s="336" t="s">
        <v>465</v>
      </c>
      <c r="Y844" s="352" t="s">
        <v>127</v>
      </c>
      <c r="Z844" s="105">
        <v>24623</v>
      </c>
      <c r="AA844" s="107">
        <f>IFERROR((Table6[[#This Row],[Paired WTG Generation for loss calculation]]/24)*Table6[[#This Row],[Breakdown Time]],"")</f>
        <v>2735.8888888888887</v>
      </c>
      <c r="AB844" s="105" t="s">
        <v>478</v>
      </c>
    </row>
    <row r="845" spans="1:28">
      <c r="A845" s="105">
        <f t="shared" si="13"/>
        <v>844</v>
      </c>
      <c r="B845" s="107">
        <f>YEAR(Table6[[#This Row],[Date]])+IF(MONTH(Table6[[#This Row],[Date]])&gt;=4,1,0)</f>
        <v>2026</v>
      </c>
      <c r="C845" s="105">
        <f>YEAR(Table6[[#This Row],[Date]])</f>
        <v>2025</v>
      </c>
      <c r="D845" s="105" t="s">
        <v>490</v>
      </c>
      <c r="E845" s="119">
        <f>Table6[[#This Row],[Date]]-DAY(Table6[[#This Row],[Date]])+1</f>
        <v>45809</v>
      </c>
      <c r="F845" s="118">
        <v>45830</v>
      </c>
      <c r="G845" s="105" t="s">
        <v>134</v>
      </c>
      <c r="H845" s="39" t="str">
        <f>_xlfn.XLOOKUP(Table6[[#This Row],[Affected WTG]],'Basic Data'!$A:$A,'Basic Data'!$B:$B)</f>
        <v>PWEGPL</v>
      </c>
      <c r="I845" s="39" t="str">
        <f>_xlfn.XLOOKUP(Table6[[#This Row],[Affected WTG]],'Basic Data'!$A:$A,'Basic Data'!$C:$C)</f>
        <v>MSEDCL</v>
      </c>
      <c r="J845" s="345">
        <f>IFERROR(VLOOKUP(Table6[[#This Row],[Affected WTG]],'Basic Data'!$A$3:$E$56,5,0),"")</f>
        <v>2.564102564102564E-2</v>
      </c>
      <c r="K845" s="105">
        <v>102</v>
      </c>
      <c r="L845" s="39" t="str">
        <f>IFERROR(VLOOKUP(Table6[[#This Row],[Error Code]],'Basic Data'!$T:$U,2,0),"")</f>
        <v>CW Feedback Failure</v>
      </c>
      <c r="M845" s="346" t="s">
        <v>462</v>
      </c>
      <c r="N845" s="39" t="s">
        <v>1270</v>
      </c>
      <c r="O845" s="347">
        <v>0.7270833333333333</v>
      </c>
      <c r="P845" s="347">
        <v>0.74930555555555556</v>
      </c>
      <c r="Q845" s="347">
        <v>0.77430555555555558</v>
      </c>
      <c r="R845" s="348">
        <f>IF(Table6[[#This Row],[Work Start TimeStamp]]="","",(Table6[[#This Row],[Work Start TimeStamp]]-Table6[[#This Row],[Fault Start TimeStamp]])*24)</f>
        <v>0.5333333333333341</v>
      </c>
      <c r="S845" s="349">
        <f>(Table6[[#This Row],[Fault Clearance time]]-Table6[[#This Row],[Work Start TimeStamp]])*24</f>
        <v>0.60000000000000053</v>
      </c>
      <c r="T845" s="350">
        <f>(Table6[[#This Row],[Fault Clearance time]]-Table6[[#This Row],[Fault Start TimeStamp]])*24</f>
        <v>1.1333333333333346</v>
      </c>
      <c r="U845" s="346" t="s">
        <v>1286</v>
      </c>
      <c r="V845" s="351" t="s">
        <v>463</v>
      </c>
      <c r="W845" s="338">
        <f>Table6[[#This Row],[Breakdown Time]]*(1/39)</f>
        <v>2.9059829059829092E-2</v>
      </c>
      <c r="X845" s="336" t="s">
        <v>465</v>
      </c>
      <c r="Y845" s="352" t="s">
        <v>133</v>
      </c>
      <c r="Z845" s="105">
        <v>25612</v>
      </c>
      <c r="AA845" s="107">
        <f>IFERROR((Table6[[#This Row],[Paired WTG Generation for loss calculation]]/24)*Table6[[#This Row],[Breakdown Time]],"")</f>
        <v>1209.4555555555571</v>
      </c>
      <c r="AB845" s="105" t="s">
        <v>478</v>
      </c>
    </row>
    <row r="846" spans="1:28">
      <c r="A846" s="105">
        <f t="shared" si="13"/>
        <v>845</v>
      </c>
      <c r="B846" s="107">
        <f>YEAR(Table6[[#This Row],[Date]])+IF(MONTH(Table6[[#This Row],[Date]])&gt;=4,1,0)</f>
        <v>2026</v>
      </c>
      <c r="C846" s="105">
        <f>YEAR(Table6[[#This Row],[Date]])</f>
        <v>2025</v>
      </c>
      <c r="D846" s="105" t="s">
        <v>490</v>
      </c>
      <c r="E846" s="119">
        <f>Table6[[#This Row],[Date]]-DAY(Table6[[#This Row],[Date]])+1</f>
        <v>45809</v>
      </c>
      <c r="F846" s="118">
        <v>45830</v>
      </c>
      <c r="G846" s="105" t="s">
        <v>116</v>
      </c>
      <c r="H846" s="39" t="str">
        <f>_xlfn.XLOOKUP(Table6[[#This Row],[Affected WTG]],'Basic Data'!$A:$A,'Basic Data'!$B:$B)</f>
        <v>PWEGPL</v>
      </c>
      <c r="I846" s="39" t="str">
        <f>_xlfn.XLOOKUP(Table6[[#This Row],[Affected WTG]],'Basic Data'!$A:$A,'Basic Data'!$C:$C)</f>
        <v>MSEDCL</v>
      </c>
      <c r="J846" s="345">
        <f>IFERROR(VLOOKUP(Table6[[#This Row],[Affected WTG]],'Basic Data'!$A$3:$E$56,5,0),"")</f>
        <v>2.564102564102564E-2</v>
      </c>
      <c r="K846" s="105">
        <v>2118</v>
      </c>
      <c r="L846" s="39" t="str">
        <f>IFERROR(VLOOKUP(Table6[[#This Row],[Error Code]],'Basic Data'!$T:$U,2,0),"")</f>
        <v>Bus Error - Interbus Failure</v>
      </c>
      <c r="M846" s="346" t="s">
        <v>462</v>
      </c>
      <c r="N846" s="39" t="s">
        <v>1270</v>
      </c>
      <c r="O846" s="347">
        <v>0.46041666666666664</v>
      </c>
      <c r="P846" s="347">
        <v>0.48194444444444445</v>
      </c>
      <c r="Q846" s="347">
        <v>0.53402777777777777</v>
      </c>
      <c r="R846" s="348">
        <f>IF(Table6[[#This Row],[Work Start TimeStamp]]="","",(Table6[[#This Row],[Work Start TimeStamp]]-Table6[[#This Row],[Fault Start TimeStamp]])*24)</f>
        <v>0.5166666666666675</v>
      </c>
      <c r="S846" s="349">
        <f>(Table6[[#This Row],[Fault Clearance time]]-Table6[[#This Row],[Work Start TimeStamp]])*24</f>
        <v>1.2499999999999996</v>
      </c>
      <c r="T846" s="350">
        <f>(Table6[[#This Row],[Fault Clearance time]]-Table6[[#This Row],[Fault Start TimeStamp]])*24</f>
        <v>1.7666666666666671</v>
      </c>
      <c r="U846" s="346" t="s">
        <v>1244</v>
      </c>
      <c r="V846" s="351" t="s">
        <v>463</v>
      </c>
      <c r="W846" s="338">
        <f>Table6[[#This Row],[Breakdown Time]]*(1/39)</f>
        <v>4.5299145299145305E-2</v>
      </c>
      <c r="X846" s="336" t="s">
        <v>465</v>
      </c>
      <c r="Y846" s="352" t="s">
        <v>118</v>
      </c>
      <c r="Z846" s="105">
        <v>24987</v>
      </c>
      <c r="AA846" s="107">
        <f>IFERROR((Table6[[#This Row],[Paired WTG Generation for loss calculation]]/24)*Table6[[#This Row],[Breakdown Time]],"")</f>
        <v>1839.3208333333337</v>
      </c>
      <c r="AB846" s="105" t="s">
        <v>478</v>
      </c>
    </row>
    <row r="847" spans="1:28">
      <c r="A847" s="105">
        <f t="shared" si="13"/>
        <v>846</v>
      </c>
      <c r="B847" s="107">
        <f>YEAR(Table6[[#This Row],[Date]])+IF(MONTH(Table6[[#This Row],[Date]])&gt;=4,1,0)</f>
        <v>2026</v>
      </c>
      <c r="C847" s="105">
        <f>YEAR(Table6[[#This Row],[Date]])</f>
        <v>2025</v>
      </c>
      <c r="D847" s="105" t="s">
        <v>490</v>
      </c>
      <c r="E847" s="119">
        <f>Table6[[#This Row],[Date]]-DAY(Table6[[#This Row],[Date]])+1</f>
        <v>45809</v>
      </c>
      <c r="F847" s="118">
        <v>45830</v>
      </c>
      <c r="G847" s="105" t="s">
        <v>151</v>
      </c>
      <c r="H847" s="39" t="str">
        <f>_xlfn.XLOOKUP(Table6[[#This Row],[Affected WTG]],'Basic Data'!$A:$A,'Basic Data'!$B:$B)</f>
        <v>PWEGPL</v>
      </c>
      <c r="I847" s="39" t="str">
        <f>_xlfn.XLOOKUP(Table6[[#This Row],[Affected WTG]],'Basic Data'!$A:$A,'Basic Data'!$C:$C)</f>
        <v>MSEDCL</v>
      </c>
      <c r="J847" s="345">
        <f>IFERROR(VLOOKUP(Table6[[#This Row],[Affected WTG]],'Basic Data'!$A$3:$E$56,5,0),"")</f>
        <v>2.564102564102564E-2</v>
      </c>
      <c r="K847" s="105">
        <v>2118</v>
      </c>
      <c r="L847" s="39" t="str">
        <f>IFERROR(VLOOKUP(Table6[[#This Row],[Error Code]],'Basic Data'!$T:$U,2,0),"")</f>
        <v>Bus Error - Interbus Failure</v>
      </c>
      <c r="M847" s="346" t="s">
        <v>462</v>
      </c>
      <c r="N847" s="39" t="s">
        <v>1270</v>
      </c>
      <c r="O847" s="347">
        <v>0.44097222222222221</v>
      </c>
      <c r="P847" s="347">
        <v>0.45694444444444443</v>
      </c>
      <c r="Q847" s="347">
        <v>0.45902777777777776</v>
      </c>
      <c r="R847" s="348">
        <f>IF(Table6[[#This Row],[Work Start TimeStamp]]="","",(Table6[[#This Row],[Work Start TimeStamp]]-Table6[[#This Row],[Fault Start TimeStamp]])*24)</f>
        <v>0.3833333333333333</v>
      </c>
      <c r="S847" s="349">
        <f>(Table6[[#This Row],[Fault Clearance time]]-Table6[[#This Row],[Work Start TimeStamp]])*24</f>
        <v>4.9999999999999822E-2</v>
      </c>
      <c r="T847" s="350">
        <f>(Table6[[#This Row],[Fault Clearance time]]-Table6[[#This Row],[Fault Start TimeStamp]])*24</f>
        <v>0.43333333333333313</v>
      </c>
      <c r="U847" s="346" t="s">
        <v>493</v>
      </c>
      <c r="V847" s="351" t="s">
        <v>463</v>
      </c>
      <c r="W847" s="338">
        <f>Table6[[#This Row],[Breakdown Time]]*(1/39)</f>
        <v>1.1111111111111105E-2</v>
      </c>
      <c r="X847" s="336" t="s">
        <v>465</v>
      </c>
      <c r="Y847" s="352" t="s">
        <v>152</v>
      </c>
      <c r="Z847" s="105">
        <v>25472</v>
      </c>
      <c r="AA847" s="107">
        <f>IFERROR((Table6[[#This Row],[Paired WTG Generation for loss calculation]]/24)*Table6[[#This Row],[Breakdown Time]],"")</f>
        <v>459.91111111111087</v>
      </c>
      <c r="AB847" s="105" t="s">
        <v>478</v>
      </c>
    </row>
    <row r="848" spans="1:28">
      <c r="A848" s="105">
        <f t="shared" si="13"/>
        <v>847</v>
      </c>
      <c r="B848" s="107">
        <f>YEAR(Table6[[#This Row],[Date]])+IF(MONTH(Table6[[#This Row],[Date]])&gt;=4,1,0)</f>
        <v>2026</v>
      </c>
      <c r="C848" s="105">
        <f>YEAR(Table6[[#This Row],[Date]])</f>
        <v>2025</v>
      </c>
      <c r="D848" s="105" t="s">
        <v>490</v>
      </c>
      <c r="E848" s="119">
        <f>Table6[[#This Row],[Date]]-DAY(Table6[[#This Row],[Date]])+1</f>
        <v>45809</v>
      </c>
      <c r="F848" s="118">
        <v>45830</v>
      </c>
      <c r="G848" s="105" t="s">
        <v>126</v>
      </c>
      <c r="H848" s="39" t="str">
        <f>_xlfn.XLOOKUP(Table6[[#This Row],[Affected WTG]],'Basic Data'!$A:$A,'Basic Data'!$B:$B)</f>
        <v>PWEGPL</v>
      </c>
      <c r="I848" s="39" t="str">
        <f>_xlfn.XLOOKUP(Table6[[#This Row],[Affected WTG]],'Basic Data'!$A:$A,'Basic Data'!$C:$C)</f>
        <v>MSEDCL</v>
      </c>
      <c r="J848" s="345">
        <f>IFERROR(VLOOKUP(Table6[[#This Row],[Affected WTG]],'Basic Data'!$A$3:$E$56,5,0),"")</f>
        <v>2.564102564102564E-2</v>
      </c>
      <c r="K848" s="105">
        <v>203</v>
      </c>
      <c r="L848" s="39" t="str">
        <f>IFERROR(VLOOKUP(Table6[[#This Row],[Error Code]],'Basic Data'!$T:$U,2,0),"")</f>
        <v>Low Pressure On Hydraulic Group</v>
      </c>
      <c r="M848" s="346" t="s">
        <v>462</v>
      </c>
      <c r="N848" s="39" t="s">
        <v>1270</v>
      </c>
      <c r="O848" s="347">
        <v>5.6944444444444443E-2</v>
      </c>
      <c r="P848" s="347">
        <v>7.8472222222222221E-2</v>
      </c>
      <c r="Q848" s="347">
        <v>0.15277777777777779</v>
      </c>
      <c r="R848" s="348">
        <f>IF(Table6[[#This Row],[Work Start TimeStamp]]="","",(Table6[[#This Row],[Work Start TimeStamp]]-Table6[[#This Row],[Fault Start TimeStamp]])*24)</f>
        <v>0.51666666666666661</v>
      </c>
      <c r="S848" s="349">
        <f>(Table6[[#This Row],[Fault Clearance time]]-Table6[[#This Row],[Work Start TimeStamp]])*24</f>
        <v>1.7833333333333337</v>
      </c>
      <c r="T848" s="350">
        <f>(Table6[[#This Row],[Fault Clearance time]]-Table6[[#This Row],[Fault Start TimeStamp]])*24</f>
        <v>2.3000000000000007</v>
      </c>
      <c r="U848" s="346" t="s">
        <v>1287</v>
      </c>
      <c r="V848" s="351" t="s">
        <v>463</v>
      </c>
      <c r="W848" s="338">
        <f>Table6[[#This Row],[Breakdown Time]]*(1/39)</f>
        <v>5.8974358974358994E-2</v>
      </c>
      <c r="X848" s="336" t="s">
        <v>465</v>
      </c>
      <c r="Y848" s="352" t="s">
        <v>127</v>
      </c>
      <c r="Z848" s="105">
        <v>24623</v>
      </c>
      <c r="AA848" s="107">
        <f>IFERROR((Table6[[#This Row],[Paired WTG Generation for loss calculation]]/24)*Table6[[#This Row],[Breakdown Time]],"")</f>
        <v>2359.7041666666673</v>
      </c>
      <c r="AB848" s="105" t="s">
        <v>478</v>
      </c>
    </row>
    <row r="849" spans="1:28">
      <c r="A849" s="105">
        <f t="shared" si="13"/>
        <v>848</v>
      </c>
      <c r="B849" s="107">
        <f>YEAR(Table6[[#This Row],[Date]])+IF(MONTH(Table6[[#This Row],[Date]])&gt;=4,1,0)</f>
        <v>2026</v>
      </c>
      <c r="C849" s="105">
        <f>YEAR(Table6[[#This Row],[Date]])</f>
        <v>2025</v>
      </c>
      <c r="D849" s="105" t="s">
        <v>490</v>
      </c>
      <c r="E849" s="119">
        <f>Table6[[#This Row],[Date]]-DAY(Table6[[#This Row],[Date]])+1</f>
        <v>45809</v>
      </c>
      <c r="F849" s="118">
        <v>45831</v>
      </c>
      <c r="G849" s="105" t="s">
        <v>144</v>
      </c>
      <c r="H849" s="39" t="str">
        <f>_xlfn.XLOOKUP(Table6[[#This Row],[Affected WTG]],'Basic Data'!$A:$A,'Basic Data'!$B:$B)</f>
        <v>PWEGPL</v>
      </c>
      <c r="I849" s="39" t="str">
        <f>_xlfn.XLOOKUP(Table6[[#This Row],[Affected WTG]],'Basic Data'!$A:$A,'Basic Data'!$C:$C)</f>
        <v>MSEDCL</v>
      </c>
      <c r="J849" s="345">
        <f>IFERROR(VLOOKUP(Table6[[#This Row],[Affected WTG]],'Basic Data'!$A$3:$E$56,5,0),"")</f>
        <v>2.564102564102564E-2</v>
      </c>
      <c r="K849" s="105" t="s">
        <v>466</v>
      </c>
      <c r="L849" s="39" t="str">
        <f>IFERROR(VLOOKUP(Table6[[#This Row],[Error Code]],'Basic Data'!$T:$U,2,0),"")</f>
        <v>Manual Stop</v>
      </c>
      <c r="M849" s="346" t="s">
        <v>481</v>
      </c>
      <c r="N849" s="39" t="s">
        <v>1269</v>
      </c>
      <c r="O849" s="347">
        <v>0</v>
      </c>
      <c r="P849" s="347">
        <v>0.99998842592592596</v>
      </c>
      <c r="Q849" s="347">
        <v>0.99998842592592596</v>
      </c>
      <c r="R849" s="348">
        <f>IF(Table6[[#This Row],[Work Start TimeStamp]]="","",(Table6[[#This Row],[Work Start TimeStamp]]-Table6[[#This Row],[Fault Start TimeStamp]])*24)</f>
        <v>23.999722222222225</v>
      </c>
      <c r="S849" s="349">
        <f>(Table6[[#This Row],[Fault Clearance time]]-Table6[[#This Row],[Work Start TimeStamp]])*24</f>
        <v>0</v>
      </c>
      <c r="T849" s="350">
        <f>(Table6[[#This Row],[Fault Clearance time]]-Table6[[#This Row],[Fault Start TimeStamp]])*24</f>
        <v>23.999722222222225</v>
      </c>
      <c r="U849" s="346" t="s">
        <v>498</v>
      </c>
      <c r="V849" s="351" t="s">
        <v>473</v>
      </c>
      <c r="W849" s="338">
        <f>Table6[[#This Row],[Breakdown Time]]*(1/39)</f>
        <v>0.61537749287749288</v>
      </c>
      <c r="X849" s="336" t="s">
        <v>468</v>
      </c>
      <c r="Y849" s="352" t="s">
        <v>143</v>
      </c>
      <c r="Z849" s="105">
        <v>29732</v>
      </c>
      <c r="AA849" s="107">
        <f>IFERROR((Table6[[#This Row],[Paired WTG Generation for loss calculation]]/24)*Table6[[#This Row],[Breakdown Time]],"")</f>
        <v>29731.65587962963</v>
      </c>
      <c r="AB849" s="105" t="s">
        <v>478</v>
      </c>
    </row>
    <row r="850" spans="1:28">
      <c r="A850" s="105">
        <f t="shared" si="13"/>
        <v>849</v>
      </c>
      <c r="B850" s="107">
        <f>YEAR(Table6[[#This Row],[Date]])+IF(MONTH(Table6[[#This Row],[Date]])&gt;=4,1,0)</f>
        <v>2026</v>
      </c>
      <c r="C850" s="105">
        <f>YEAR(Table6[[#This Row],[Date]])</f>
        <v>2025</v>
      </c>
      <c r="D850" s="105" t="s">
        <v>490</v>
      </c>
      <c r="E850" s="119">
        <f>Table6[[#This Row],[Date]]-DAY(Table6[[#This Row],[Date]])+1</f>
        <v>45809</v>
      </c>
      <c r="F850" s="118">
        <v>45831</v>
      </c>
      <c r="G850" s="105" t="s">
        <v>142</v>
      </c>
      <c r="H850" s="39" t="str">
        <f>_xlfn.XLOOKUP(Table6[[#This Row],[Affected WTG]],'Basic Data'!$A:$A,'Basic Data'!$B:$B)</f>
        <v>PWEGPL</v>
      </c>
      <c r="I850" s="39" t="str">
        <f>_xlfn.XLOOKUP(Table6[[#This Row],[Affected WTG]],'Basic Data'!$A:$A,'Basic Data'!$C:$C)</f>
        <v>MSEDCL</v>
      </c>
      <c r="J850" s="345">
        <f>IFERROR(VLOOKUP(Table6[[#This Row],[Affected WTG]],'Basic Data'!$A$3:$E$56,5,0),"")</f>
        <v>2.564102564102564E-2</v>
      </c>
      <c r="K850" s="105" t="s">
        <v>492</v>
      </c>
      <c r="L850" s="39" t="str">
        <f>IFERROR(VLOOKUP(Table6[[#This Row],[Error Code]],'Basic Data'!$T:$U,2,0),"")</f>
        <v>Manual Stop - Safety Related</v>
      </c>
      <c r="M850" s="346" t="s">
        <v>481</v>
      </c>
      <c r="N850" s="39" t="s">
        <v>1269</v>
      </c>
      <c r="O850" s="347">
        <v>0</v>
      </c>
      <c r="P850" s="347">
        <v>0.99998842592592596</v>
      </c>
      <c r="Q850" s="347">
        <v>0.99998842592592596</v>
      </c>
      <c r="R850" s="348">
        <f>IF(Table6[[#This Row],[Work Start TimeStamp]]="","",(Table6[[#This Row],[Work Start TimeStamp]]-Table6[[#This Row],[Fault Start TimeStamp]])*24)</f>
        <v>23.999722222222225</v>
      </c>
      <c r="S850" s="349">
        <f>(Table6[[#This Row],[Fault Clearance time]]-Table6[[#This Row],[Work Start TimeStamp]])*24</f>
        <v>0</v>
      </c>
      <c r="T850" s="350">
        <f>(Table6[[#This Row],[Fault Clearance time]]-Table6[[#This Row],[Fault Start TimeStamp]])*24</f>
        <v>23.999722222222225</v>
      </c>
      <c r="U850" s="346" t="s">
        <v>498</v>
      </c>
      <c r="V850" s="351" t="s">
        <v>473</v>
      </c>
      <c r="W850" s="338">
        <f>Table6[[#This Row],[Breakdown Time]]*(1/39)</f>
        <v>0.61537749287749288</v>
      </c>
      <c r="X850" s="336" t="s">
        <v>468</v>
      </c>
      <c r="Y850" s="352" t="s">
        <v>143</v>
      </c>
      <c r="Z850" s="105">
        <v>29732</v>
      </c>
      <c r="AA850" s="107">
        <f>IFERROR((Table6[[#This Row],[Paired WTG Generation for loss calculation]]/24)*Table6[[#This Row],[Breakdown Time]],"")</f>
        <v>29731.65587962963</v>
      </c>
      <c r="AB850" s="105" t="s">
        <v>478</v>
      </c>
    </row>
    <row r="851" spans="1:28">
      <c r="A851" s="105">
        <f t="shared" si="13"/>
        <v>850</v>
      </c>
      <c r="B851" s="107">
        <f>YEAR(Table6[[#This Row],[Date]])+IF(MONTH(Table6[[#This Row],[Date]])&gt;=4,1,0)</f>
        <v>2026</v>
      </c>
      <c r="C851" s="105">
        <f>YEAR(Table6[[#This Row],[Date]])</f>
        <v>2025</v>
      </c>
      <c r="D851" s="105" t="s">
        <v>490</v>
      </c>
      <c r="E851" s="119">
        <f>Table6[[#This Row],[Date]]-DAY(Table6[[#This Row],[Date]])+1</f>
        <v>45809</v>
      </c>
      <c r="F851" s="118">
        <v>45831</v>
      </c>
      <c r="G851" s="105" t="s">
        <v>131</v>
      </c>
      <c r="H851" s="39" t="str">
        <f>_xlfn.XLOOKUP(Table6[[#This Row],[Affected WTG]],'Basic Data'!$A:$A,'Basic Data'!$B:$B)</f>
        <v>PWEGPL</v>
      </c>
      <c r="I851" s="39" t="str">
        <f>_xlfn.XLOOKUP(Table6[[#This Row],[Affected WTG]],'Basic Data'!$A:$A,'Basic Data'!$C:$C)</f>
        <v>MSEDCL</v>
      </c>
      <c r="J851" s="345">
        <f>IFERROR(VLOOKUP(Table6[[#This Row],[Affected WTG]],'Basic Data'!$A$3:$E$56,5,0),"")</f>
        <v>2.564102564102564E-2</v>
      </c>
      <c r="K851" s="105" t="s">
        <v>492</v>
      </c>
      <c r="L851" s="39" t="str">
        <f>IFERROR(VLOOKUP(Table6[[#This Row],[Error Code]],'Basic Data'!$T:$U,2,0),"")</f>
        <v>Manual Stop - Safety Related</v>
      </c>
      <c r="M851" s="346" t="s">
        <v>462</v>
      </c>
      <c r="N851" s="39" t="s">
        <v>1270</v>
      </c>
      <c r="O851" s="347">
        <v>0</v>
      </c>
      <c r="P851" s="347">
        <v>0.99998842592592596</v>
      </c>
      <c r="Q851" s="347">
        <v>0.99998842592592596</v>
      </c>
      <c r="R851" s="348">
        <f>IF(Table6[[#This Row],[Work Start TimeStamp]]="","",(Table6[[#This Row],[Work Start TimeStamp]]-Table6[[#This Row],[Fault Start TimeStamp]])*24)</f>
        <v>23.999722222222225</v>
      </c>
      <c r="S851" s="349">
        <f>(Table6[[#This Row],[Fault Clearance time]]-Table6[[#This Row],[Work Start TimeStamp]])*24</f>
        <v>0</v>
      </c>
      <c r="T851" s="350">
        <f>(Table6[[#This Row],[Fault Clearance time]]-Table6[[#This Row],[Fault Start TimeStamp]])*24</f>
        <v>23.999722222222225</v>
      </c>
      <c r="U851" s="346" t="s">
        <v>1247</v>
      </c>
      <c r="V851" s="351" t="s">
        <v>473</v>
      </c>
      <c r="W851" s="338">
        <f>Table6[[#This Row],[Breakdown Time]]*(1/39)</f>
        <v>0.61537749287749288</v>
      </c>
      <c r="X851" s="336" t="s">
        <v>465</v>
      </c>
      <c r="Y851" s="352" t="s">
        <v>130</v>
      </c>
      <c r="Z851" s="105">
        <v>30372</v>
      </c>
      <c r="AA851" s="107">
        <f>IFERROR((Table6[[#This Row],[Paired WTG Generation for loss calculation]]/24)*Table6[[#This Row],[Breakdown Time]],"")</f>
        <v>30371.648472222227</v>
      </c>
      <c r="AB851" s="105" t="s">
        <v>478</v>
      </c>
    </row>
    <row r="852" spans="1:28">
      <c r="A852" s="105">
        <f t="shared" si="13"/>
        <v>851</v>
      </c>
      <c r="B852" s="107">
        <f>YEAR(Table6[[#This Row],[Date]])+IF(MONTH(Table6[[#This Row],[Date]])&gt;=4,1,0)</f>
        <v>2026</v>
      </c>
      <c r="C852" s="105">
        <f>YEAR(Table6[[#This Row],[Date]])</f>
        <v>2025</v>
      </c>
      <c r="D852" s="105" t="s">
        <v>490</v>
      </c>
      <c r="E852" s="119">
        <f>Table6[[#This Row],[Date]]-DAY(Table6[[#This Row],[Date]])+1</f>
        <v>45809</v>
      </c>
      <c r="F852" s="118">
        <v>45831</v>
      </c>
      <c r="G852" s="105" t="s">
        <v>134</v>
      </c>
      <c r="H852" s="39" t="str">
        <f>_xlfn.XLOOKUP(Table6[[#This Row],[Affected WTG]],'Basic Data'!$A:$A,'Basic Data'!$B:$B)</f>
        <v>PWEGPL</v>
      </c>
      <c r="I852" s="39" t="str">
        <f>_xlfn.XLOOKUP(Table6[[#This Row],[Affected WTG]],'Basic Data'!$A:$A,'Basic Data'!$C:$C)</f>
        <v>MSEDCL</v>
      </c>
      <c r="J852" s="345">
        <f>IFERROR(VLOOKUP(Table6[[#This Row],[Affected WTG]],'Basic Data'!$A$3:$E$56,5,0),"")</f>
        <v>2.564102564102564E-2</v>
      </c>
      <c r="K852" s="105">
        <v>102</v>
      </c>
      <c r="L852" s="39" t="str">
        <f>IFERROR(VLOOKUP(Table6[[#This Row],[Error Code]],'Basic Data'!$T:$U,2,0),"")</f>
        <v>CW Feedback Failure</v>
      </c>
      <c r="M852" s="346" t="s">
        <v>481</v>
      </c>
      <c r="N852" s="39" t="s">
        <v>1270</v>
      </c>
      <c r="O852" s="347">
        <v>0.50555555555555554</v>
      </c>
      <c r="P852" s="347">
        <v>0.59722222222222221</v>
      </c>
      <c r="Q852" s="347">
        <v>0.59722222222222221</v>
      </c>
      <c r="R852" s="348">
        <f>IF(Table6[[#This Row],[Work Start TimeStamp]]="","",(Table6[[#This Row],[Work Start TimeStamp]]-Table6[[#This Row],[Fault Start TimeStamp]])*24)</f>
        <v>2.2000000000000002</v>
      </c>
      <c r="S852" s="349">
        <f>(Table6[[#This Row],[Fault Clearance time]]-Table6[[#This Row],[Work Start TimeStamp]])*24</f>
        <v>0</v>
      </c>
      <c r="T852" s="350">
        <f>(Table6[[#This Row],[Fault Clearance time]]-Table6[[#This Row],[Fault Start TimeStamp]])*24</f>
        <v>2.2000000000000002</v>
      </c>
      <c r="U852" s="346" t="s">
        <v>1288</v>
      </c>
      <c r="V852" s="351" t="s">
        <v>463</v>
      </c>
      <c r="W852" s="338">
        <f>Table6[[#This Row],[Breakdown Time]]*(1/39)</f>
        <v>5.6410256410256411E-2</v>
      </c>
      <c r="X852" s="336" t="s">
        <v>1212</v>
      </c>
      <c r="Y852" s="352" t="s">
        <v>133</v>
      </c>
      <c r="Z852" s="105">
        <v>29932</v>
      </c>
      <c r="AA852" s="107">
        <f>IFERROR((Table6[[#This Row],[Paired WTG Generation for loss calculation]]/24)*Table6[[#This Row],[Breakdown Time]],"")</f>
        <v>2743.7666666666669</v>
      </c>
      <c r="AB852" s="105" t="s">
        <v>478</v>
      </c>
    </row>
    <row r="853" spans="1:28">
      <c r="A853" s="105">
        <f t="shared" si="13"/>
        <v>852</v>
      </c>
      <c r="B853" s="107">
        <f>YEAR(Table6[[#This Row],[Date]])+IF(MONTH(Table6[[#This Row],[Date]])&gt;=4,1,0)</f>
        <v>2026</v>
      </c>
      <c r="C853" s="105">
        <f>YEAR(Table6[[#This Row],[Date]])</f>
        <v>2025</v>
      </c>
      <c r="D853" s="105" t="s">
        <v>490</v>
      </c>
      <c r="E853" s="119">
        <f>Table6[[#This Row],[Date]]-DAY(Table6[[#This Row],[Date]])+1</f>
        <v>45809</v>
      </c>
      <c r="F853" s="118">
        <v>45831</v>
      </c>
      <c r="G853" s="105" t="s">
        <v>128</v>
      </c>
      <c r="H853" s="39" t="str">
        <f>_xlfn.XLOOKUP(Table6[[#This Row],[Affected WTG]],'Basic Data'!$A:$A,'Basic Data'!$B:$B)</f>
        <v>PWEGPL</v>
      </c>
      <c r="I853" s="39" t="str">
        <f>_xlfn.XLOOKUP(Table6[[#This Row],[Affected WTG]],'Basic Data'!$A:$A,'Basic Data'!$C:$C)</f>
        <v>MSEDCL</v>
      </c>
      <c r="J853" s="345">
        <f>IFERROR(VLOOKUP(Table6[[#This Row],[Affected WTG]],'Basic Data'!$A$3:$E$56,5,0),"")</f>
        <v>2.564102564102564E-2</v>
      </c>
      <c r="K853" s="105">
        <v>2118</v>
      </c>
      <c r="L853" s="39" t="str">
        <f>IFERROR(VLOOKUP(Table6[[#This Row],[Error Code]],'Basic Data'!$T:$U,2,0),"")</f>
        <v>Bus Error - Interbus Failure</v>
      </c>
      <c r="M853" s="346" t="s">
        <v>462</v>
      </c>
      <c r="N853" s="39" t="s">
        <v>1270</v>
      </c>
      <c r="O853" s="347">
        <v>0.60416666666666663</v>
      </c>
      <c r="P853" s="347">
        <v>0.60902777777777772</v>
      </c>
      <c r="Q853" s="347">
        <v>0.61111111111111116</v>
      </c>
      <c r="R853" s="348">
        <f>IF(Table6[[#This Row],[Work Start TimeStamp]]="","",(Table6[[#This Row],[Work Start TimeStamp]]-Table6[[#This Row],[Fault Start TimeStamp]])*24)</f>
        <v>0.11666666666666625</v>
      </c>
      <c r="S853" s="349">
        <f>(Table6[[#This Row],[Fault Clearance time]]-Table6[[#This Row],[Work Start TimeStamp]])*24</f>
        <v>5.0000000000002487E-2</v>
      </c>
      <c r="T853" s="350">
        <f>(Table6[[#This Row],[Fault Clearance time]]-Table6[[#This Row],[Fault Start TimeStamp]])*24</f>
        <v>0.16666666666666874</v>
      </c>
      <c r="U853" s="346" t="s">
        <v>493</v>
      </c>
      <c r="V853" s="351" t="s">
        <v>463</v>
      </c>
      <c r="W853" s="338">
        <f>Table6[[#This Row],[Breakdown Time]]*(1/39)</f>
        <v>4.2735042735043268E-3</v>
      </c>
      <c r="X853" s="336" t="s">
        <v>465</v>
      </c>
      <c r="Y853" s="352" t="s">
        <v>127</v>
      </c>
      <c r="Z853" s="105">
        <v>28151</v>
      </c>
      <c r="AA853" s="107">
        <f>IFERROR((Table6[[#This Row],[Paired WTG Generation for loss calculation]]/24)*Table6[[#This Row],[Breakdown Time]],"")</f>
        <v>195.49305555555799</v>
      </c>
      <c r="AB853" s="105" t="s">
        <v>478</v>
      </c>
    </row>
    <row r="854" spans="1:28">
      <c r="A854" s="105">
        <f t="shared" si="13"/>
        <v>853</v>
      </c>
      <c r="B854" s="107">
        <f>YEAR(Table6[[#This Row],[Date]])+IF(MONTH(Table6[[#This Row],[Date]])&gt;=4,1,0)</f>
        <v>2026</v>
      </c>
      <c r="C854" s="105">
        <f>YEAR(Table6[[#This Row],[Date]])</f>
        <v>2025</v>
      </c>
      <c r="D854" s="105" t="s">
        <v>490</v>
      </c>
      <c r="E854" s="119">
        <f>Table6[[#This Row],[Date]]-DAY(Table6[[#This Row],[Date]])+1</f>
        <v>45809</v>
      </c>
      <c r="F854" s="118">
        <v>45831</v>
      </c>
      <c r="G854" s="105" t="s">
        <v>126</v>
      </c>
      <c r="H854" s="39" t="str">
        <f>_xlfn.XLOOKUP(Table6[[#This Row],[Affected WTG]],'Basic Data'!$A:$A,'Basic Data'!$B:$B)</f>
        <v>PWEGPL</v>
      </c>
      <c r="I854" s="39" t="str">
        <f>_xlfn.XLOOKUP(Table6[[#This Row],[Affected WTG]],'Basic Data'!$A:$A,'Basic Data'!$C:$C)</f>
        <v>MSEDCL</v>
      </c>
      <c r="J854" s="345">
        <f>IFERROR(VLOOKUP(Table6[[#This Row],[Affected WTG]],'Basic Data'!$A$3:$E$56,5,0),"")</f>
        <v>2.564102564102564E-2</v>
      </c>
      <c r="K854" s="105">
        <v>203</v>
      </c>
      <c r="L854" s="39" t="str">
        <f>IFERROR(VLOOKUP(Table6[[#This Row],[Error Code]],'Basic Data'!$T:$U,2,0),"")</f>
        <v>Low Pressure On Hydraulic Group</v>
      </c>
      <c r="M854" s="346" t="s">
        <v>481</v>
      </c>
      <c r="N854" s="39" t="s">
        <v>1270</v>
      </c>
      <c r="O854" s="347">
        <v>0.50555555555555554</v>
      </c>
      <c r="P854" s="347">
        <v>0.59722222222222221</v>
      </c>
      <c r="Q854" s="347">
        <v>0.59722222222222221</v>
      </c>
      <c r="R854" s="348">
        <f>IF(Table6[[#This Row],[Work Start TimeStamp]]="","",(Table6[[#This Row],[Work Start TimeStamp]]-Table6[[#This Row],[Fault Start TimeStamp]])*24)</f>
        <v>2.2000000000000002</v>
      </c>
      <c r="S854" s="349">
        <f>(Table6[[#This Row],[Fault Clearance time]]-Table6[[#This Row],[Work Start TimeStamp]])*24</f>
        <v>0</v>
      </c>
      <c r="T854" s="350">
        <f>(Table6[[#This Row],[Fault Clearance time]]-Table6[[#This Row],[Fault Start TimeStamp]])*24</f>
        <v>2.2000000000000002</v>
      </c>
      <c r="U854" s="346" t="s">
        <v>1288</v>
      </c>
      <c r="V854" s="351" t="s">
        <v>463</v>
      </c>
      <c r="W854" s="338">
        <f>Table6[[#This Row],[Breakdown Time]]*(1/39)</f>
        <v>5.6410256410256411E-2</v>
      </c>
      <c r="X854" s="336" t="s">
        <v>1212</v>
      </c>
      <c r="Y854" s="352" t="s">
        <v>127</v>
      </c>
      <c r="Z854" s="105">
        <v>28151</v>
      </c>
      <c r="AA854" s="107">
        <f>IFERROR((Table6[[#This Row],[Paired WTG Generation for loss calculation]]/24)*Table6[[#This Row],[Breakdown Time]],"")</f>
        <v>2580.5083333333332</v>
      </c>
      <c r="AB854" s="105" t="s">
        <v>478</v>
      </c>
    </row>
    <row r="855" spans="1:28">
      <c r="A855" s="105">
        <f t="shared" si="13"/>
        <v>854</v>
      </c>
      <c r="B855" s="107">
        <f>YEAR(Table6[[#This Row],[Date]])+IF(MONTH(Table6[[#This Row],[Date]])&gt;=4,1,0)</f>
        <v>2026</v>
      </c>
      <c r="C855" s="105">
        <f>YEAR(Table6[[#This Row],[Date]])</f>
        <v>2025</v>
      </c>
      <c r="D855" s="105" t="s">
        <v>490</v>
      </c>
      <c r="E855" s="119">
        <f>Table6[[#This Row],[Date]]-DAY(Table6[[#This Row],[Date]])+1</f>
        <v>45809</v>
      </c>
      <c r="F855" s="118">
        <v>45831</v>
      </c>
      <c r="G855" s="105" t="s">
        <v>134</v>
      </c>
      <c r="H855" s="39" t="str">
        <f>_xlfn.XLOOKUP(Table6[[#This Row],[Affected WTG]],'Basic Data'!$A:$A,'Basic Data'!$B:$B)</f>
        <v>PWEGPL</v>
      </c>
      <c r="I855" s="39" t="str">
        <f>_xlfn.XLOOKUP(Table6[[#This Row],[Affected WTG]],'Basic Data'!$A:$A,'Basic Data'!$C:$C)</f>
        <v>MSEDCL</v>
      </c>
      <c r="J855" s="345">
        <f>IFERROR(VLOOKUP(Table6[[#This Row],[Affected WTG]],'Basic Data'!$A$3:$E$56,5,0),"")</f>
        <v>2.564102564102564E-2</v>
      </c>
      <c r="K855" s="105">
        <v>102</v>
      </c>
      <c r="L855" s="39" t="str">
        <f>IFERROR(VLOOKUP(Table6[[#This Row],[Error Code]],'Basic Data'!$T:$U,2,0),"")</f>
        <v>CW Feedback Failure</v>
      </c>
      <c r="M855" s="346" t="s">
        <v>462</v>
      </c>
      <c r="N855" s="39" t="s">
        <v>1270</v>
      </c>
      <c r="O855" s="347">
        <v>0.74305555555555558</v>
      </c>
      <c r="P855" s="347">
        <v>0.75208333333333333</v>
      </c>
      <c r="Q855" s="347">
        <v>0.79236111111111107</v>
      </c>
      <c r="R855" s="348">
        <f>IF(Table6[[#This Row],[Work Start TimeStamp]]="","",(Table6[[#This Row],[Work Start TimeStamp]]-Table6[[#This Row],[Fault Start TimeStamp]])*24)</f>
        <v>0.2166666666666659</v>
      </c>
      <c r="S855" s="349">
        <f>(Table6[[#This Row],[Fault Clearance time]]-Table6[[#This Row],[Work Start TimeStamp]])*24</f>
        <v>0.9666666666666659</v>
      </c>
      <c r="T855" s="350">
        <f>(Table6[[#This Row],[Fault Clearance time]]-Table6[[#This Row],[Fault Start TimeStamp]])*24</f>
        <v>1.1833333333333318</v>
      </c>
      <c r="U855" s="346" t="s">
        <v>1289</v>
      </c>
      <c r="V855" s="351" t="s">
        <v>463</v>
      </c>
      <c r="W855" s="338">
        <f>Table6[[#This Row],[Breakdown Time]]*(1/39)</f>
        <v>3.03418803418803E-2</v>
      </c>
      <c r="X855" s="336" t="s">
        <v>465</v>
      </c>
      <c r="Y855" s="352" t="s">
        <v>133</v>
      </c>
      <c r="Z855" s="105">
        <v>29932</v>
      </c>
      <c r="AA855" s="107">
        <f>IFERROR((Table6[[#This Row],[Paired WTG Generation for loss calculation]]/24)*Table6[[#This Row],[Breakdown Time]],"")</f>
        <v>1475.813888888887</v>
      </c>
      <c r="AB855" s="105" t="s">
        <v>478</v>
      </c>
    </row>
    <row r="856" spans="1:28">
      <c r="A856" s="105">
        <f t="shared" si="13"/>
        <v>855</v>
      </c>
      <c r="B856" s="107">
        <f>YEAR(Table6[[#This Row],[Date]])+IF(MONTH(Table6[[#This Row],[Date]])&gt;=4,1,0)</f>
        <v>2026</v>
      </c>
      <c r="C856" s="105">
        <f>YEAR(Table6[[#This Row],[Date]])</f>
        <v>2025</v>
      </c>
      <c r="D856" s="105" t="s">
        <v>490</v>
      </c>
      <c r="E856" s="119">
        <f>Table6[[#This Row],[Date]]-DAY(Table6[[#This Row],[Date]])+1</f>
        <v>45809</v>
      </c>
      <c r="F856" s="118">
        <v>45831</v>
      </c>
      <c r="G856" s="105" t="s">
        <v>119</v>
      </c>
      <c r="H856" s="39" t="str">
        <f>_xlfn.XLOOKUP(Table6[[#This Row],[Affected WTG]],'Basic Data'!$A:$A,'Basic Data'!$B:$B)</f>
        <v>PWEGPL</v>
      </c>
      <c r="I856" s="39" t="str">
        <f>_xlfn.XLOOKUP(Table6[[#This Row],[Affected WTG]],'Basic Data'!$A:$A,'Basic Data'!$C:$C)</f>
        <v>MSEDCL</v>
      </c>
      <c r="J856" s="345">
        <f>IFERROR(VLOOKUP(Table6[[#This Row],[Affected WTG]],'Basic Data'!$A$3:$E$56,5,0),"")</f>
        <v>2.564102564102564E-2</v>
      </c>
      <c r="K856" s="105">
        <v>2118</v>
      </c>
      <c r="L856" s="39" t="str">
        <f>IFERROR(VLOOKUP(Table6[[#This Row],[Error Code]],'Basic Data'!$T:$U,2,0),"")</f>
        <v>Bus Error - Interbus Failure</v>
      </c>
      <c r="M856" s="346" t="s">
        <v>462</v>
      </c>
      <c r="N856" s="39" t="s">
        <v>1270</v>
      </c>
      <c r="O856" s="347">
        <v>0.74861111111111112</v>
      </c>
      <c r="P856" s="347">
        <v>0.76736111111111116</v>
      </c>
      <c r="Q856" s="347">
        <v>0.77083333333333337</v>
      </c>
      <c r="R856" s="348">
        <f>IF(Table6[[#This Row],[Work Start TimeStamp]]="","",(Table6[[#This Row],[Work Start TimeStamp]]-Table6[[#This Row],[Fault Start TimeStamp]])*24)</f>
        <v>0.45000000000000107</v>
      </c>
      <c r="S856" s="349">
        <f>(Table6[[#This Row],[Fault Clearance time]]-Table6[[#This Row],[Work Start TimeStamp]])*24</f>
        <v>8.3333333333333037E-2</v>
      </c>
      <c r="T856" s="350">
        <f>(Table6[[#This Row],[Fault Clearance time]]-Table6[[#This Row],[Fault Start TimeStamp]])*24</f>
        <v>0.5333333333333341</v>
      </c>
      <c r="U856" s="346" t="s">
        <v>493</v>
      </c>
      <c r="V856" s="351" t="s">
        <v>463</v>
      </c>
      <c r="W856" s="338">
        <f>Table6[[#This Row],[Breakdown Time]]*(1/39)</f>
        <v>1.3675213675213694E-2</v>
      </c>
      <c r="X856" s="336" t="s">
        <v>465</v>
      </c>
      <c r="Y856" s="352" t="s">
        <v>136</v>
      </c>
      <c r="Z856" s="105">
        <v>30231</v>
      </c>
      <c r="AA856" s="107">
        <f>IFERROR((Table6[[#This Row],[Paired WTG Generation for loss calculation]]/24)*Table6[[#This Row],[Breakdown Time]],"")</f>
        <v>671.80000000000098</v>
      </c>
      <c r="AB856" s="105" t="s">
        <v>478</v>
      </c>
    </row>
    <row r="857" spans="1:28">
      <c r="A857" s="105">
        <f t="shared" si="13"/>
        <v>856</v>
      </c>
      <c r="B857" s="107">
        <f>YEAR(Table6[[#This Row],[Date]])+IF(MONTH(Table6[[#This Row],[Date]])&gt;=4,1,0)</f>
        <v>2026</v>
      </c>
      <c r="C857" s="105">
        <f>YEAR(Table6[[#This Row],[Date]])</f>
        <v>2025</v>
      </c>
      <c r="D857" s="105" t="s">
        <v>490</v>
      </c>
      <c r="E857" s="119">
        <f>Table6[[#This Row],[Date]]-DAY(Table6[[#This Row],[Date]])+1</f>
        <v>45809</v>
      </c>
      <c r="F857" s="118">
        <v>45831</v>
      </c>
      <c r="G857" s="105" t="s">
        <v>134</v>
      </c>
      <c r="H857" s="39" t="str">
        <f>_xlfn.XLOOKUP(Table6[[#This Row],[Affected WTG]],'Basic Data'!$A:$A,'Basic Data'!$B:$B)</f>
        <v>PWEGPL</v>
      </c>
      <c r="I857" s="39" t="str">
        <f>_xlfn.XLOOKUP(Table6[[#This Row],[Affected WTG]],'Basic Data'!$A:$A,'Basic Data'!$C:$C)</f>
        <v>MSEDCL</v>
      </c>
      <c r="J857" s="345">
        <f>IFERROR(VLOOKUP(Table6[[#This Row],[Affected WTG]],'Basic Data'!$A$3:$E$56,5,0),"")</f>
        <v>2.564102564102564E-2</v>
      </c>
      <c r="K857" s="105">
        <v>102</v>
      </c>
      <c r="L857" s="39" t="str">
        <f>IFERROR(VLOOKUP(Table6[[#This Row],[Error Code]],'Basic Data'!$T:$U,2,0),"")</f>
        <v>CW Feedback Failure</v>
      </c>
      <c r="M857" s="346" t="s">
        <v>462</v>
      </c>
      <c r="N857" s="39" t="s">
        <v>1270</v>
      </c>
      <c r="O857" s="347">
        <v>0.59722222222222221</v>
      </c>
      <c r="P857" s="347">
        <v>0.61458333333333337</v>
      </c>
      <c r="Q857" s="347">
        <v>0.61805555555555558</v>
      </c>
      <c r="R857" s="348">
        <f>IF(Table6[[#This Row],[Work Start TimeStamp]]="","",(Table6[[#This Row],[Work Start TimeStamp]]-Table6[[#This Row],[Fault Start TimeStamp]])*24)</f>
        <v>0.41666666666666785</v>
      </c>
      <c r="S857" s="349">
        <f>(Table6[[#This Row],[Fault Clearance time]]-Table6[[#This Row],[Work Start TimeStamp]])*24</f>
        <v>8.3333333333333037E-2</v>
      </c>
      <c r="T857" s="350">
        <f>(Table6[[#This Row],[Fault Clearance time]]-Table6[[#This Row],[Fault Start TimeStamp]])*24</f>
        <v>0.50000000000000089</v>
      </c>
      <c r="U857" s="346" t="s">
        <v>493</v>
      </c>
      <c r="V857" s="351" t="s">
        <v>463</v>
      </c>
      <c r="W857" s="338">
        <f>Table6[[#This Row],[Breakdown Time]]*(1/39)</f>
        <v>1.2820512820512843E-2</v>
      </c>
      <c r="X857" s="336" t="s">
        <v>465</v>
      </c>
      <c r="Y857" s="352" t="s">
        <v>133</v>
      </c>
      <c r="Z857" s="105">
        <v>29932</v>
      </c>
      <c r="AA857" s="107">
        <f>IFERROR((Table6[[#This Row],[Paired WTG Generation for loss calculation]]/24)*Table6[[#This Row],[Breakdown Time]],"")</f>
        <v>623.58333333333451</v>
      </c>
      <c r="AB857" s="105" t="s">
        <v>478</v>
      </c>
    </row>
    <row r="858" spans="1:28">
      <c r="A858" s="105">
        <f t="shared" si="13"/>
        <v>857</v>
      </c>
      <c r="B858" s="107">
        <f>YEAR(Table6[[#This Row],[Date]])+IF(MONTH(Table6[[#This Row],[Date]])&gt;=4,1,0)</f>
        <v>2026</v>
      </c>
      <c r="C858" s="105">
        <f>YEAR(Table6[[#This Row],[Date]])</f>
        <v>2025</v>
      </c>
      <c r="D858" s="105" t="s">
        <v>490</v>
      </c>
      <c r="E858" s="119">
        <f>Table6[[#This Row],[Date]]-DAY(Table6[[#This Row],[Date]])+1</f>
        <v>45809</v>
      </c>
      <c r="F858" s="118">
        <v>45831</v>
      </c>
      <c r="G858" s="105" t="s">
        <v>126</v>
      </c>
      <c r="H858" s="39" t="str">
        <f>_xlfn.XLOOKUP(Table6[[#This Row],[Affected WTG]],'Basic Data'!$A:$A,'Basic Data'!$B:$B)</f>
        <v>PWEGPL</v>
      </c>
      <c r="I858" s="39" t="str">
        <f>_xlfn.XLOOKUP(Table6[[#This Row],[Affected WTG]],'Basic Data'!$A:$A,'Basic Data'!$C:$C)</f>
        <v>MSEDCL</v>
      </c>
      <c r="J858" s="345">
        <f>IFERROR(VLOOKUP(Table6[[#This Row],[Affected WTG]],'Basic Data'!$A$3:$E$56,5,0),"")</f>
        <v>2.564102564102564E-2</v>
      </c>
      <c r="K858" s="105">
        <v>203</v>
      </c>
      <c r="L858" s="39" t="str">
        <f>IFERROR(VLOOKUP(Table6[[#This Row],[Error Code]],'Basic Data'!$T:$U,2,0),"")</f>
        <v>Low Pressure On Hydraulic Group</v>
      </c>
      <c r="M858" s="346" t="s">
        <v>462</v>
      </c>
      <c r="N858" s="39" t="s">
        <v>1270</v>
      </c>
      <c r="O858" s="347">
        <v>0.59722222222222221</v>
      </c>
      <c r="P858" s="347">
        <v>0.61319444444444449</v>
      </c>
      <c r="Q858" s="347">
        <v>0.61458333333333337</v>
      </c>
      <c r="R858" s="348">
        <f>IF(Table6[[#This Row],[Work Start TimeStamp]]="","",(Table6[[#This Row],[Work Start TimeStamp]]-Table6[[#This Row],[Fault Start TimeStamp]])*24)</f>
        <v>0.38333333333333464</v>
      </c>
      <c r="S858" s="349">
        <f>(Table6[[#This Row],[Fault Clearance time]]-Table6[[#This Row],[Work Start TimeStamp]])*24</f>
        <v>3.3333333333333215E-2</v>
      </c>
      <c r="T858" s="350">
        <f>(Table6[[#This Row],[Fault Clearance time]]-Table6[[#This Row],[Fault Start TimeStamp]])*24</f>
        <v>0.41666666666666785</v>
      </c>
      <c r="U858" s="346" t="s">
        <v>493</v>
      </c>
      <c r="V858" s="351" t="s">
        <v>463</v>
      </c>
      <c r="W858" s="338">
        <f>Table6[[#This Row],[Breakdown Time]]*(1/39)</f>
        <v>1.0683760683760713E-2</v>
      </c>
      <c r="X858" s="336" t="s">
        <v>465</v>
      </c>
      <c r="Y858" s="352" t="s">
        <v>127</v>
      </c>
      <c r="Z858" s="105">
        <v>28151</v>
      </c>
      <c r="AA858" s="107">
        <f>IFERROR((Table6[[#This Row],[Paired WTG Generation for loss calculation]]/24)*Table6[[#This Row],[Breakdown Time]],"")</f>
        <v>488.73263888889022</v>
      </c>
      <c r="AB858" s="105" t="s">
        <v>478</v>
      </c>
    </row>
    <row r="859" spans="1:28">
      <c r="A859" s="105">
        <f t="shared" si="13"/>
        <v>858</v>
      </c>
      <c r="B859" s="107">
        <f>YEAR(Table6[[#This Row],[Date]])+IF(MONTH(Table6[[#This Row],[Date]])&gt;=4,1,0)</f>
        <v>2026</v>
      </c>
      <c r="C859" s="105">
        <f>YEAR(Table6[[#This Row],[Date]])</f>
        <v>2025</v>
      </c>
      <c r="D859" s="105" t="s">
        <v>490</v>
      </c>
      <c r="E859" s="119">
        <f>Table6[[#This Row],[Date]]-DAY(Table6[[#This Row],[Date]])+1</f>
        <v>45809</v>
      </c>
      <c r="F859" s="118">
        <v>45832</v>
      </c>
      <c r="G859" s="105" t="s">
        <v>144</v>
      </c>
      <c r="H859" s="39" t="str">
        <f>_xlfn.XLOOKUP(Table6[[#This Row],[Affected WTG]],'Basic Data'!$A:$A,'Basic Data'!$B:$B)</f>
        <v>PWEGPL</v>
      </c>
      <c r="I859" s="39" t="str">
        <f>_xlfn.XLOOKUP(Table6[[#This Row],[Affected WTG]],'Basic Data'!$A:$A,'Basic Data'!$C:$C)</f>
        <v>MSEDCL</v>
      </c>
      <c r="J859" s="345">
        <f>IFERROR(VLOOKUP(Table6[[#This Row],[Affected WTG]],'Basic Data'!$A$3:$E$56,5,0),"")</f>
        <v>2.564102564102564E-2</v>
      </c>
      <c r="K859" s="105" t="s">
        <v>492</v>
      </c>
      <c r="L859" s="39" t="str">
        <f>IFERROR(VLOOKUP(Table6[[#This Row],[Error Code]],'Basic Data'!$T:$U,2,0),"")</f>
        <v>Manual Stop - Safety Related</v>
      </c>
      <c r="M859" s="346" t="s">
        <v>481</v>
      </c>
      <c r="N859" s="39" t="s">
        <v>1269</v>
      </c>
      <c r="O859" s="347">
        <v>0</v>
      </c>
      <c r="P859" s="347">
        <v>0.99998842592592596</v>
      </c>
      <c r="Q859" s="347">
        <v>0.99998842592592596</v>
      </c>
      <c r="R859" s="348">
        <f>IF(Table6[[#This Row],[Work Start TimeStamp]]="","",(Table6[[#This Row],[Work Start TimeStamp]]-Table6[[#This Row],[Fault Start TimeStamp]])*24)</f>
        <v>23.999722222222225</v>
      </c>
      <c r="S859" s="349">
        <f>(Table6[[#This Row],[Fault Clearance time]]-Table6[[#This Row],[Work Start TimeStamp]])*24</f>
        <v>0</v>
      </c>
      <c r="T859" s="350">
        <f>(Table6[[#This Row],[Fault Clearance time]]-Table6[[#This Row],[Fault Start TimeStamp]])*24</f>
        <v>23.999722222222225</v>
      </c>
      <c r="U859" s="346" t="s">
        <v>498</v>
      </c>
      <c r="V859" s="351" t="s">
        <v>473</v>
      </c>
      <c r="W859" s="338">
        <f>Table6[[#This Row],[Breakdown Time]]*(1/39)</f>
        <v>0.61537749287749288</v>
      </c>
      <c r="X859" s="336" t="s">
        <v>1212</v>
      </c>
      <c r="Y859" s="352" t="s">
        <v>143</v>
      </c>
      <c r="Z859" s="105">
        <v>29408</v>
      </c>
      <c r="AA859" s="107">
        <f>IFERROR((Table6[[#This Row],[Paired WTG Generation for loss calculation]]/24)*Table6[[#This Row],[Breakdown Time]],"")</f>
        <v>29407.65962962963</v>
      </c>
      <c r="AB859" s="105" t="s">
        <v>478</v>
      </c>
    </row>
    <row r="860" spans="1:28">
      <c r="A860" s="105">
        <f t="shared" si="13"/>
        <v>859</v>
      </c>
      <c r="B860" s="107">
        <f>YEAR(Table6[[#This Row],[Date]])+IF(MONTH(Table6[[#This Row],[Date]])&gt;=4,1,0)</f>
        <v>2026</v>
      </c>
      <c r="C860" s="105">
        <f>YEAR(Table6[[#This Row],[Date]])</f>
        <v>2025</v>
      </c>
      <c r="D860" s="105" t="s">
        <v>490</v>
      </c>
      <c r="E860" s="119">
        <f>Table6[[#This Row],[Date]]-DAY(Table6[[#This Row],[Date]])+1</f>
        <v>45809</v>
      </c>
      <c r="F860" s="118">
        <v>45832</v>
      </c>
      <c r="G860" s="105" t="s">
        <v>142</v>
      </c>
      <c r="H860" s="39" t="str">
        <f>_xlfn.XLOOKUP(Table6[[#This Row],[Affected WTG]],'Basic Data'!$A:$A,'Basic Data'!$B:$B)</f>
        <v>PWEGPL</v>
      </c>
      <c r="I860" s="39" t="str">
        <f>_xlfn.XLOOKUP(Table6[[#This Row],[Affected WTG]],'Basic Data'!$A:$A,'Basic Data'!$C:$C)</f>
        <v>MSEDCL</v>
      </c>
      <c r="J860" s="345">
        <f>IFERROR(VLOOKUP(Table6[[#This Row],[Affected WTG]],'Basic Data'!$A$3:$E$56,5,0),"")</f>
        <v>2.564102564102564E-2</v>
      </c>
      <c r="K860" s="105" t="s">
        <v>492</v>
      </c>
      <c r="L860" s="39" t="str">
        <f>IFERROR(VLOOKUP(Table6[[#This Row],[Error Code]],'Basic Data'!$T:$U,2,0),"")</f>
        <v>Manual Stop - Safety Related</v>
      </c>
      <c r="M860" s="346" t="s">
        <v>481</v>
      </c>
      <c r="N860" s="39" t="s">
        <v>1269</v>
      </c>
      <c r="O860" s="347">
        <v>0</v>
      </c>
      <c r="P860" s="347">
        <v>0.99998842592592596</v>
      </c>
      <c r="Q860" s="347">
        <v>0.99998842592592596</v>
      </c>
      <c r="R860" s="348">
        <f>IF(Table6[[#This Row],[Work Start TimeStamp]]="","",(Table6[[#This Row],[Work Start TimeStamp]]-Table6[[#This Row],[Fault Start TimeStamp]])*24)</f>
        <v>23.999722222222225</v>
      </c>
      <c r="S860" s="349">
        <f>(Table6[[#This Row],[Fault Clearance time]]-Table6[[#This Row],[Work Start TimeStamp]])*24</f>
        <v>0</v>
      </c>
      <c r="T860" s="350">
        <f>(Table6[[#This Row],[Fault Clearance time]]-Table6[[#This Row],[Fault Start TimeStamp]])*24</f>
        <v>23.999722222222225</v>
      </c>
      <c r="U860" s="346" t="s">
        <v>498</v>
      </c>
      <c r="V860" s="351" t="s">
        <v>473</v>
      </c>
      <c r="W860" s="338">
        <f>Table6[[#This Row],[Breakdown Time]]*(1/39)</f>
        <v>0.61537749287749288</v>
      </c>
      <c r="X860" s="336" t="s">
        <v>1212</v>
      </c>
      <c r="Y860" s="352" t="s">
        <v>143</v>
      </c>
      <c r="Z860" s="105">
        <v>29408</v>
      </c>
      <c r="AA860" s="107">
        <f>IFERROR((Table6[[#This Row],[Paired WTG Generation for loss calculation]]/24)*Table6[[#This Row],[Breakdown Time]],"")</f>
        <v>29407.65962962963</v>
      </c>
      <c r="AB860" s="105" t="s">
        <v>478</v>
      </c>
    </row>
    <row r="861" spans="1:28">
      <c r="A861" s="105">
        <f t="shared" si="13"/>
        <v>860</v>
      </c>
      <c r="B861" s="107">
        <f>YEAR(Table6[[#This Row],[Date]])+IF(MONTH(Table6[[#This Row],[Date]])&gt;=4,1,0)</f>
        <v>2026</v>
      </c>
      <c r="C861" s="105">
        <f>YEAR(Table6[[#This Row],[Date]])</f>
        <v>2025</v>
      </c>
      <c r="D861" s="105" t="s">
        <v>490</v>
      </c>
      <c r="E861" s="119">
        <f>Table6[[#This Row],[Date]]-DAY(Table6[[#This Row],[Date]])+1</f>
        <v>45809</v>
      </c>
      <c r="F861" s="118">
        <v>45832</v>
      </c>
      <c r="G861" s="105" t="s">
        <v>131</v>
      </c>
      <c r="H861" s="39" t="str">
        <f>_xlfn.XLOOKUP(Table6[[#This Row],[Affected WTG]],'Basic Data'!$A:$A,'Basic Data'!$B:$B)</f>
        <v>PWEGPL</v>
      </c>
      <c r="I861" s="39" t="str">
        <f>_xlfn.XLOOKUP(Table6[[#This Row],[Affected WTG]],'Basic Data'!$A:$A,'Basic Data'!$C:$C)</f>
        <v>MSEDCL</v>
      </c>
      <c r="J861" s="345">
        <f>IFERROR(VLOOKUP(Table6[[#This Row],[Affected WTG]],'Basic Data'!$A$3:$E$56,5,0),"")</f>
        <v>2.564102564102564E-2</v>
      </c>
      <c r="K861" s="105" t="s">
        <v>492</v>
      </c>
      <c r="L861" s="39" t="str">
        <f>IFERROR(VLOOKUP(Table6[[#This Row],[Error Code]],'Basic Data'!$T:$U,2,0),"")</f>
        <v>Manual Stop - Safety Related</v>
      </c>
      <c r="M861" s="346" t="s">
        <v>462</v>
      </c>
      <c r="N861" s="39" t="s">
        <v>1270</v>
      </c>
      <c r="O861" s="347">
        <v>0</v>
      </c>
      <c r="P861" s="347">
        <v>0.99998842592592596</v>
      </c>
      <c r="Q861" s="347">
        <v>0.99998842592592596</v>
      </c>
      <c r="R861" s="348">
        <f>IF(Table6[[#This Row],[Work Start TimeStamp]]="","",(Table6[[#This Row],[Work Start TimeStamp]]-Table6[[#This Row],[Fault Start TimeStamp]])*24)</f>
        <v>23.999722222222225</v>
      </c>
      <c r="S861" s="349">
        <f>(Table6[[#This Row],[Fault Clearance time]]-Table6[[#This Row],[Work Start TimeStamp]])*24</f>
        <v>0</v>
      </c>
      <c r="T861" s="350">
        <f>(Table6[[#This Row],[Fault Clearance time]]-Table6[[#This Row],[Fault Start TimeStamp]])*24</f>
        <v>23.999722222222225</v>
      </c>
      <c r="U861" s="346" t="s">
        <v>1247</v>
      </c>
      <c r="V861" s="351" t="s">
        <v>473</v>
      </c>
      <c r="W861" s="338">
        <f>Table6[[#This Row],[Breakdown Time]]*(1/39)</f>
        <v>0.61537749287749288</v>
      </c>
      <c r="X861" s="336" t="s">
        <v>465</v>
      </c>
      <c r="Y861" s="352" t="s">
        <v>130</v>
      </c>
      <c r="Z861" s="105">
        <v>29912</v>
      </c>
      <c r="AA861" s="107">
        <f>IFERROR((Table6[[#This Row],[Paired WTG Generation for loss calculation]]/24)*Table6[[#This Row],[Breakdown Time]],"")</f>
        <v>29911.653796296298</v>
      </c>
      <c r="AB861" s="105" t="s">
        <v>478</v>
      </c>
    </row>
    <row r="862" spans="1:28">
      <c r="A862" s="105">
        <f t="shared" si="13"/>
        <v>861</v>
      </c>
      <c r="B862" s="107">
        <f>YEAR(Table6[[#This Row],[Date]])+IF(MONTH(Table6[[#This Row],[Date]])&gt;=4,1,0)</f>
        <v>2026</v>
      </c>
      <c r="C862" s="105">
        <f>YEAR(Table6[[#This Row],[Date]])</f>
        <v>2025</v>
      </c>
      <c r="D862" s="105" t="s">
        <v>490</v>
      </c>
      <c r="E862" s="119">
        <f>Table6[[#This Row],[Date]]-DAY(Table6[[#This Row],[Date]])+1</f>
        <v>45809</v>
      </c>
      <c r="F862" s="118">
        <v>45832</v>
      </c>
      <c r="G862" s="105" t="s">
        <v>123</v>
      </c>
      <c r="H862" s="39" t="str">
        <f>_xlfn.XLOOKUP(Table6[[#This Row],[Affected WTG]],'Basic Data'!$A:$A,'Basic Data'!$B:$B)</f>
        <v>PWEGPL</v>
      </c>
      <c r="I862" s="39" t="str">
        <f>_xlfn.XLOOKUP(Table6[[#This Row],[Affected WTG]],'Basic Data'!$A:$A,'Basic Data'!$C:$C)</f>
        <v>MSEDCL</v>
      </c>
      <c r="J862" s="345">
        <f>IFERROR(VLOOKUP(Table6[[#This Row],[Affected WTG]],'Basic Data'!$A$3:$E$56,5,0),"")</f>
        <v>2.564102564102564E-2</v>
      </c>
      <c r="K862" s="105">
        <v>804</v>
      </c>
      <c r="L862" s="39" t="str">
        <f>IFERROR(VLOOKUP(Table6[[#This Row],[Error Code]],'Basic Data'!$T:$U,2,0),"")</f>
        <v>Difference Between 2 Blades Too High</v>
      </c>
      <c r="M862" s="346" t="s">
        <v>462</v>
      </c>
      <c r="N862" s="39" t="s">
        <v>1270</v>
      </c>
      <c r="O862" s="347">
        <v>0.50486111111111109</v>
      </c>
      <c r="P862" s="347">
        <v>0.52708333333333335</v>
      </c>
      <c r="Q862" s="347">
        <v>0.64236111111111116</v>
      </c>
      <c r="R862" s="348">
        <f>IF(Table6[[#This Row],[Work Start TimeStamp]]="","",(Table6[[#This Row],[Work Start TimeStamp]]-Table6[[#This Row],[Fault Start TimeStamp]])*24)</f>
        <v>0.5333333333333341</v>
      </c>
      <c r="S862" s="349">
        <f>(Table6[[#This Row],[Fault Clearance time]]-Table6[[#This Row],[Work Start TimeStamp]])*24</f>
        <v>2.7666666666666675</v>
      </c>
      <c r="T862" s="350">
        <f>(Table6[[#This Row],[Fault Clearance time]]-Table6[[#This Row],[Fault Start TimeStamp]])*24</f>
        <v>3.3000000000000016</v>
      </c>
      <c r="U862" s="346" t="s">
        <v>1297</v>
      </c>
      <c r="V862" s="351" t="s">
        <v>463</v>
      </c>
      <c r="W862" s="338">
        <f>Table6[[#This Row],[Breakdown Time]]*(1/39)</f>
        <v>8.4615384615384648E-2</v>
      </c>
      <c r="X862" s="336" t="s">
        <v>465</v>
      </c>
      <c r="Y862" s="352" t="s">
        <v>127</v>
      </c>
      <c r="Z862" s="105">
        <v>29109</v>
      </c>
      <c r="AA862" s="107">
        <f>IFERROR((Table6[[#This Row],[Paired WTG Generation for loss calculation]]/24)*Table6[[#This Row],[Breakdown Time]],"")</f>
        <v>4002.487500000002</v>
      </c>
      <c r="AB862" s="105" t="s">
        <v>478</v>
      </c>
    </row>
    <row r="863" spans="1:28">
      <c r="A863" s="105">
        <f t="shared" si="13"/>
        <v>862</v>
      </c>
      <c r="B863" s="107">
        <f>YEAR(Table6[[#This Row],[Date]])+IF(MONTH(Table6[[#This Row],[Date]])&gt;=4,1,0)</f>
        <v>2026</v>
      </c>
      <c r="C863" s="105">
        <f>YEAR(Table6[[#This Row],[Date]])</f>
        <v>2025</v>
      </c>
      <c r="D863" s="105" t="s">
        <v>490</v>
      </c>
      <c r="E863" s="119">
        <f>Table6[[#This Row],[Date]]-DAY(Table6[[#This Row],[Date]])+1</f>
        <v>45809</v>
      </c>
      <c r="F863" s="118">
        <v>45832</v>
      </c>
      <c r="G863" s="105" t="s">
        <v>126</v>
      </c>
      <c r="H863" s="39" t="str">
        <f>_xlfn.XLOOKUP(Table6[[#This Row],[Affected WTG]],'Basic Data'!$A:$A,'Basic Data'!$B:$B)</f>
        <v>PWEGPL</v>
      </c>
      <c r="I863" s="39" t="str">
        <f>_xlfn.XLOOKUP(Table6[[#This Row],[Affected WTG]],'Basic Data'!$A:$A,'Basic Data'!$C:$C)</f>
        <v>MSEDCL</v>
      </c>
      <c r="J863" s="345">
        <f>IFERROR(VLOOKUP(Table6[[#This Row],[Affected WTG]],'Basic Data'!$A$3:$E$56,5,0),"")</f>
        <v>2.564102564102564E-2</v>
      </c>
      <c r="K863" s="105">
        <v>203</v>
      </c>
      <c r="L863" s="39" t="str">
        <f>IFERROR(VLOOKUP(Table6[[#This Row],[Error Code]],'Basic Data'!$T:$U,2,0),"")</f>
        <v>Low Pressure On Hydraulic Group</v>
      </c>
      <c r="M863" s="346" t="s">
        <v>462</v>
      </c>
      <c r="N863" s="39" t="s">
        <v>1270</v>
      </c>
      <c r="O863" s="347">
        <v>0.6118055555555556</v>
      </c>
      <c r="P863" s="347">
        <v>0.62847222222222221</v>
      </c>
      <c r="Q863" s="347">
        <v>0.65625</v>
      </c>
      <c r="R863" s="348">
        <f>IF(Table6[[#This Row],[Work Start TimeStamp]]="","",(Table6[[#This Row],[Work Start TimeStamp]]-Table6[[#This Row],[Fault Start TimeStamp]])*24)</f>
        <v>0.39999999999999858</v>
      </c>
      <c r="S863" s="349">
        <f>(Table6[[#This Row],[Fault Clearance time]]-Table6[[#This Row],[Work Start TimeStamp]])*24</f>
        <v>0.66666666666666696</v>
      </c>
      <c r="T863" s="350">
        <f>(Table6[[#This Row],[Fault Clearance time]]-Table6[[#This Row],[Fault Start TimeStamp]])*24</f>
        <v>1.0666666666666655</v>
      </c>
      <c r="U863" s="346" t="s">
        <v>1298</v>
      </c>
      <c r="V863" s="351" t="s">
        <v>463</v>
      </c>
      <c r="W863" s="338">
        <f>Table6[[#This Row],[Breakdown Time]]*(1/39)</f>
        <v>2.7350427350427319E-2</v>
      </c>
      <c r="X863" s="336" t="s">
        <v>465</v>
      </c>
      <c r="Y863" s="352" t="s">
        <v>127</v>
      </c>
      <c r="Z863" s="105">
        <v>29109</v>
      </c>
      <c r="AA863" s="107">
        <f>IFERROR((Table6[[#This Row],[Paired WTG Generation for loss calculation]]/24)*Table6[[#This Row],[Breakdown Time]],"")</f>
        <v>1293.733333333332</v>
      </c>
      <c r="AB863" s="105" t="s">
        <v>478</v>
      </c>
    </row>
    <row r="864" spans="1:28">
      <c r="A864" s="105">
        <f t="shared" si="13"/>
        <v>863</v>
      </c>
      <c r="B864" s="107">
        <f>YEAR(Table6[[#This Row],[Date]])+IF(MONTH(Table6[[#This Row],[Date]])&gt;=4,1,0)</f>
        <v>2026</v>
      </c>
      <c r="C864" s="105">
        <f>YEAR(Table6[[#This Row],[Date]])</f>
        <v>2025</v>
      </c>
      <c r="D864" s="105" t="s">
        <v>490</v>
      </c>
      <c r="E864" s="119">
        <f>Table6[[#This Row],[Date]]-DAY(Table6[[#This Row],[Date]])+1</f>
        <v>45809</v>
      </c>
      <c r="F864" s="118">
        <v>45833</v>
      </c>
      <c r="G864" s="105" t="s">
        <v>144</v>
      </c>
      <c r="H864" s="39" t="str">
        <f>_xlfn.XLOOKUP(Table6[[#This Row],[Affected WTG]],'Basic Data'!$A:$A,'Basic Data'!$B:$B)</f>
        <v>PWEGPL</v>
      </c>
      <c r="I864" s="39" t="str">
        <f>_xlfn.XLOOKUP(Table6[[#This Row],[Affected WTG]],'Basic Data'!$A:$A,'Basic Data'!$C:$C)</f>
        <v>MSEDCL</v>
      </c>
      <c r="J864" s="345">
        <f>IFERROR(VLOOKUP(Table6[[#This Row],[Affected WTG]],'Basic Data'!$A$3:$E$56,5,0),"")</f>
        <v>2.564102564102564E-2</v>
      </c>
      <c r="K864" s="105" t="s">
        <v>492</v>
      </c>
      <c r="L864" s="39" t="str">
        <f>IFERROR(VLOOKUP(Table6[[#This Row],[Error Code]],'Basic Data'!$T:$U,2,0),"")</f>
        <v>Manual Stop - Safety Related</v>
      </c>
      <c r="M864" s="346" t="s">
        <v>481</v>
      </c>
      <c r="N864" s="39" t="s">
        <v>1269</v>
      </c>
      <c r="O864" s="347">
        <v>0</v>
      </c>
      <c r="P864" s="347">
        <v>0.99998842592592596</v>
      </c>
      <c r="Q864" s="347">
        <v>0.99998842592592596</v>
      </c>
      <c r="R864" s="348">
        <f>IF(Table6[[#This Row],[Work Start TimeStamp]]="","",(Table6[[#This Row],[Work Start TimeStamp]]-Table6[[#This Row],[Fault Start TimeStamp]])*24)</f>
        <v>23.999722222222225</v>
      </c>
      <c r="S864" s="349">
        <f>(Table6[[#This Row],[Fault Clearance time]]-Table6[[#This Row],[Work Start TimeStamp]])*24</f>
        <v>0</v>
      </c>
      <c r="T864" s="350">
        <f>(Table6[[#This Row],[Fault Clearance time]]-Table6[[#This Row],[Fault Start TimeStamp]])*24</f>
        <v>23.999722222222225</v>
      </c>
      <c r="U864" s="346" t="s">
        <v>498</v>
      </c>
      <c r="V864" s="351" t="s">
        <v>473</v>
      </c>
      <c r="W864" s="338">
        <f>Table6[[#This Row],[Breakdown Time]]*(1/39)</f>
        <v>0.61537749287749288</v>
      </c>
      <c r="X864" s="336" t="s">
        <v>1212</v>
      </c>
      <c r="Y864" s="352" t="s">
        <v>143</v>
      </c>
      <c r="Z864" s="105">
        <v>18453</v>
      </c>
      <c r="AA864" s="107">
        <f>IFERROR((Table6[[#This Row],[Paired WTG Generation for loss calculation]]/24)*Table6[[#This Row],[Breakdown Time]],"")</f>
        <v>18452.786423611113</v>
      </c>
      <c r="AB864" s="105" t="s">
        <v>478</v>
      </c>
    </row>
    <row r="865" spans="1:28">
      <c r="A865" s="105">
        <f t="shared" si="13"/>
        <v>864</v>
      </c>
      <c r="B865" s="107">
        <f>YEAR(Table6[[#This Row],[Date]])+IF(MONTH(Table6[[#This Row],[Date]])&gt;=4,1,0)</f>
        <v>2026</v>
      </c>
      <c r="C865" s="105">
        <f>YEAR(Table6[[#This Row],[Date]])</f>
        <v>2025</v>
      </c>
      <c r="D865" s="105" t="s">
        <v>490</v>
      </c>
      <c r="E865" s="119">
        <f>Table6[[#This Row],[Date]]-DAY(Table6[[#This Row],[Date]])+1</f>
        <v>45809</v>
      </c>
      <c r="F865" s="118">
        <v>45833</v>
      </c>
      <c r="G865" s="105" t="s">
        <v>142</v>
      </c>
      <c r="H865" s="39" t="str">
        <f>_xlfn.XLOOKUP(Table6[[#This Row],[Affected WTG]],'Basic Data'!$A:$A,'Basic Data'!$B:$B)</f>
        <v>PWEGPL</v>
      </c>
      <c r="I865" s="39" t="str">
        <f>_xlfn.XLOOKUP(Table6[[#This Row],[Affected WTG]],'Basic Data'!$A:$A,'Basic Data'!$C:$C)</f>
        <v>MSEDCL</v>
      </c>
      <c r="J865" s="345">
        <f>IFERROR(VLOOKUP(Table6[[#This Row],[Affected WTG]],'Basic Data'!$A$3:$E$56,5,0),"")</f>
        <v>2.564102564102564E-2</v>
      </c>
      <c r="K865" s="105" t="s">
        <v>492</v>
      </c>
      <c r="L865" s="39" t="str">
        <f>IFERROR(VLOOKUP(Table6[[#This Row],[Error Code]],'Basic Data'!$T:$U,2,0),"")</f>
        <v>Manual Stop - Safety Related</v>
      </c>
      <c r="M865" s="346" t="s">
        <v>481</v>
      </c>
      <c r="N865" s="39" t="s">
        <v>1269</v>
      </c>
      <c r="O865" s="347">
        <v>0</v>
      </c>
      <c r="P865" s="347">
        <v>0.99998842592592596</v>
      </c>
      <c r="Q865" s="347">
        <v>0.99998842592592596</v>
      </c>
      <c r="R865" s="348">
        <f>IF(Table6[[#This Row],[Work Start TimeStamp]]="","",(Table6[[#This Row],[Work Start TimeStamp]]-Table6[[#This Row],[Fault Start TimeStamp]])*24)</f>
        <v>23.999722222222225</v>
      </c>
      <c r="S865" s="349">
        <f>(Table6[[#This Row],[Fault Clearance time]]-Table6[[#This Row],[Work Start TimeStamp]])*24</f>
        <v>0</v>
      </c>
      <c r="T865" s="350">
        <f>(Table6[[#This Row],[Fault Clearance time]]-Table6[[#This Row],[Fault Start TimeStamp]])*24</f>
        <v>23.999722222222225</v>
      </c>
      <c r="U865" s="346" t="s">
        <v>498</v>
      </c>
      <c r="V865" s="351" t="s">
        <v>473</v>
      </c>
      <c r="W865" s="338">
        <f>Table6[[#This Row],[Breakdown Time]]*(1/39)</f>
        <v>0.61537749287749288</v>
      </c>
      <c r="X865" s="336" t="s">
        <v>1212</v>
      </c>
      <c r="Y865" s="352" t="s">
        <v>143</v>
      </c>
      <c r="Z865" s="105">
        <v>18453</v>
      </c>
      <c r="AA865" s="107">
        <f>IFERROR((Table6[[#This Row],[Paired WTG Generation for loss calculation]]/24)*Table6[[#This Row],[Breakdown Time]],"")</f>
        <v>18452.786423611113</v>
      </c>
      <c r="AB865" s="105" t="s">
        <v>478</v>
      </c>
    </row>
    <row r="866" spans="1:28">
      <c r="A866" s="105">
        <f t="shared" si="13"/>
        <v>865</v>
      </c>
      <c r="B866" s="107">
        <f>YEAR(Table6[[#This Row],[Date]])+IF(MONTH(Table6[[#This Row],[Date]])&gt;=4,1,0)</f>
        <v>2026</v>
      </c>
      <c r="C866" s="105">
        <f>YEAR(Table6[[#This Row],[Date]])</f>
        <v>2025</v>
      </c>
      <c r="D866" s="105" t="s">
        <v>490</v>
      </c>
      <c r="E866" s="119">
        <f>Table6[[#This Row],[Date]]-DAY(Table6[[#This Row],[Date]])+1</f>
        <v>45809</v>
      </c>
      <c r="F866" s="118">
        <v>45833</v>
      </c>
      <c r="G866" s="105" t="s">
        <v>131</v>
      </c>
      <c r="H866" s="39" t="str">
        <f>_xlfn.XLOOKUP(Table6[[#This Row],[Affected WTG]],'Basic Data'!$A:$A,'Basic Data'!$B:$B)</f>
        <v>PWEGPL</v>
      </c>
      <c r="I866" s="39" t="str">
        <f>_xlfn.XLOOKUP(Table6[[#This Row],[Affected WTG]],'Basic Data'!$A:$A,'Basic Data'!$C:$C)</f>
        <v>MSEDCL</v>
      </c>
      <c r="J866" s="345">
        <f>IFERROR(VLOOKUP(Table6[[#This Row],[Affected WTG]],'Basic Data'!$A$3:$E$56,5,0),"")</f>
        <v>2.564102564102564E-2</v>
      </c>
      <c r="K866" s="105" t="s">
        <v>492</v>
      </c>
      <c r="L866" s="39" t="str">
        <f>IFERROR(VLOOKUP(Table6[[#This Row],[Error Code]],'Basic Data'!$T:$U,2,0),"")</f>
        <v>Manual Stop - Safety Related</v>
      </c>
      <c r="M866" s="346" t="s">
        <v>462</v>
      </c>
      <c r="N866" s="39" t="s">
        <v>1270</v>
      </c>
      <c r="O866" s="347">
        <v>0</v>
      </c>
      <c r="P866" s="347">
        <v>0.99998842592592596</v>
      </c>
      <c r="Q866" s="347">
        <v>0.99998842592592596</v>
      </c>
      <c r="R866" s="348">
        <f>IF(Table6[[#This Row],[Work Start TimeStamp]]="","",(Table6[[#This Row],[Work Start TimeStamp]]-Table6[[#This Row],[Fault Start TimeStamp]])*24)</f>
        <v>23.999722222222225</v>
      </c>
      <c r="S866" s="349">
        <f>(Table6[[#This Row],[Fault Clearance time]]-Table6[[#This Row],[Work Start TimeStamp]])*24</f>
        <v>0</v>
      </c>
      <c r="T866" s="350">
        <f>(Table6[[#This Row],[Fault Clearance time]]-Table6[[#This Row],[Fault Start TimeStamp]])*24</f>
        <v>23.999722222222225</v>
      </c>
      <c r="U866" s="346" t="s">
        <v>1247</v>
      </c>
      <c r="V866" s="351" t="s">
        <v>473</v>
      </c>
      <c r="W866" s="338">
        <f>Table6[[#This Row],[Breakdown Time]]*(1/39)</f>
        <v>0.61537749287749288</v>
      </c>
      <c r="X866" s="336" t="s">
        <v>465</v>
      </c>
      <c r="Y866" s="352" t="s">
        <v>132</v>
      </c>
      <c r="Z866" s="105">
        <v>18881</v>
      </c>
      <c r="AA866" s="107">
        <f>IFERROR((Table6[[#This Row],[Paired WTG Generation for loss calculation]]/24)*Table6[[#This Row],[Breakdown Time]],"")</f>
        <v>18880.781469907412</v>
      </c>
      <c r="AB866" s="105" t="s">
        <v>478</v>
      </c>
    </row>
    <row r="867" spans="1:28">
      <c r="A867" s="105">
        <f t="shared" si="13"/>
        <v>866</v>
      </c>
      <c r="B867" s="107">
        <f>YEAR(Table6[[#This Row],[Date]])+IF(MONTH(Table6[[#This Row],[Date]])&gt;=4,1,0)</f>
        <v>2026</v>
      </c>
      <c r="C867" s="105">
        <f>YEAR(Table6[[#This Row],[Date]])</f>
        <v>2025</v>
      </c>
      <c r="D867" s="105" t="s">
        <v>490</v>
      </c>
      <c r="E867" s="119">
        <f>Table6[[#This Row],[Date]]-DAY(Table6[[#This Row],[Date]])+1</f>
        <v>45809</v>
      </c>
      <c r="F867" s="118">
        <v>45833</v>
      </c>
      <c r="G867" s="105" t="s">
        <v>130</v>
      </c>
      <c r="H867" s="39" t="str">
        <f>_xlfn.XLOOKUP(Table6[[#This Row],[Affected WTG]],'Basic Data'!$A:$A,'Basic Data'!$B:$B)</f>
        <v>PWEGPL</v>
      </c>
      <c r="I867" s="39" t="str">
        <f>_xlfn.XLOOKUP(Table6[[#This Row],[Affected WTG]],'Basic Data'!$A:$A,'Basic Data'!$C:$C)</f>
        <v>MSEDCL</v>
      </c>
      <c r="J867" s="345">
        <f>IFERROR(VLOOKUP(Table6[[#This Row],[Affected WTG]],'Basic Data'!$A$3:$E$56,5,0),"")</f>
        <v>2.564102564102564E-2</v>
      </c>
      <c r="K867" s="105" t="s">
        <v>466</v>
      </c>
      <c r="L867" s="39" t="str">
        <f>IFERROR(VLOOKUP(Table6[[#This Row],[Error Code]],'Basic Data'!$T:$U,2,0),"")</f>
        <v>Manual Stop</v>
      </c>
      <c r="M867" s="346" t="s">
        <v>479</v>
      </c>
      <c r="N867" s="39" t="s">
        <v>230</v>
      </c>
      <c r="O867" s="347">
        <v>0.57638888888888884</v>
      </c>
      <c r="P867" s="347">
        <v>0.57638888888888884</v>
      </c>
      <c r="Q867" s="347">
        <v>0.62777777777777777</v>
      </c>
      <c r="R867" s="348">
        <f>IF(Table6[[#This Row],[Work Start TimeStamp]]="","",(Table6[[#This Row],[Work Start TimeStamp]]-Table6[[#This Row],[Fault Start TimeStamp]])*24)</f>
        <v>0</v>
      </c>
      <c r="S867" s="349">
        <f>(Table6[[#This Row],[Fault Clearance time]]-Table6[[#This Row],[Work Start TimeStamp]])*24</f>
        <v>1.2333333333333343</v>
      </c>
      <c r="T867" s="350">
        <f>(Table6[[#This Row],[Fault Clearance time]]-Table6[[#This Row],[Fault Start TimeStamp]])*24</f>
        <v>1.2333333333333343</v>
      </c>
      <c r="U867" s="346" t="s">
        <v>1299</v>
      </c>
      <c r="V867" s="351" t="s">
        <v>463</v>
      </c>
      <c r="W867" s="338">
        <f>Table6[[#This Row],[Breakdown Time]]*(1/39)</f>
        <v>3.162393162393165E-2</v>
      </c>
      <c r="X867" s="336" t="s">
        <v>464</v>
      </c>
      <c r="Y867" s="352" t="s">
        <v>132</v>
      </c>
      <c r="Z867" s="105">
        <v>18881</v>
      </c>
      <c r="AA867" s="107">
        <f>IFERROR((Table6[[#This Row],[Paired WTG Generation for loss calculation]]/24)*Table6[[#This Row],[Breakdown Time]],"")</f>
        <v>970.2736111111119</v>
      </c>
      <c r="AB867" s="105" t="s">
        <v>478</v>
      </c>
    </row>
    <row r="868" spans="1:28">
      <c r="A868" s="105">
        <f t="shared" si="13"/>
        <v>867</v>
      </c>
      <c r="B868" s="107">
        <f>YEAR(Table6[[#This Row],[Date]])+IF(MONTH(Table6[[#This Row],[Date]])&gt;=4,1,0)</f>
        <v>2026</v>
      </c>
      <c r="C868" s="105">
        <f>YEAR(Table6[[#This Row],[Date]])</f>
        <v>2025</v>
      </c>
      <c r="D868" s="105" t="s">
        <v>490</v>
      </c>
      <c r="E868" s="119">
        <f>Table6[[#This Row],[Date]]-DAY(Table6[[#This Row],[Date]])+1</f>
        <v>45809</v>
      </c>
      <c r="F868" s="118">
        <v>45833</v>
      </c>
      <c r="G868" s="105" t="s">
        <v>151</v>
      </c>
      <c r="H868" s="39" t="str">
        <f>_xlfn.XLOOKUP(Table6[[#This Row],[Affected WTG]],'Basic Data'!$A:$A,'Basic Data'!$B:$B)</f>
        <v>PWEGPL</v>
      </c>
      <c r="I868" s="39" t="str">
        <f>_xlfn.XLOOKUP(Table6[[#This Row],[Affected WTG]],'Basic Data'!$A:$A,'Basic Data'!$C:$C)</f>
        <v>MSEDCL</v>
      </c>
      <c r="J868" s="345">
        <f>IFERROR(VLOOKUP(Table6[[#This Row],[Affected WTG]],'Basic Data'!$A$3:$E$56,5,0),"")</f>
        <v>2.564102564102564E-2</v>
      </c>
      <c r="K868" s="105">
        <v>2118</v>
      </c>
      <c r="L868" s="39" t="str">
        <f>IFERROR(VLOOKUP(Table6[[#This Row],[Error Code]],'Basic Data'!$T:$U,2,0),"")</f>
        <v>Bus Error - Interbus Failure</v>
      </c>
      <c r="M868" s="346" t="s">
        <v>462</v>
      </c>
      <c r="N868" s="39" t="s">
        <v>1270</v>
      </c>
      <c r="O868" s="347">
        <v>0.625</v>
      </c>
      <c r="P868" s="347">
        <v>0.65694444444444444</v>
      </c>
      <c r="Q868" s="347">
        <v>0.70277777777777772</v>
      </c>
      <c r="R868" s="348">
        <f>IF(Table6[[#This Row],[Work Start TimeStamp]]="","",(Table6[[#This Row],[Work Start TimeStamp]]-Table6[[#This Row],[Fault Start TimeStamp]])*24)</f>
        <v>0.76666666666666661</v>
      </c>
      <c r="S868" s="349">
        <f>(Table6[[#This Row],[Fault Clearance time]]-Table6[[#This Row],[Work Start TimeStamp]])*24</f>
        <v>1.0999999999999988</v>
      </c>
      <c r="T868" s="350">
        <f>(Table6[[#This Row],[Fault Clearance time]]-Table6[[#This Row],[Fault Start TimeStamp]])*24</f>
        <v>1.8666666666666654</v>
      </c>
      <c r="U868" s="346" t="s">
        <v>1244</v>
      </c>
      <c r="V868" s="351" t="s">
        <v>463</v>
      </c>
      <c r="W868" s="338">
        <f>Table6[[#This Row],[Breakdown Time]]*(1/39)</f>
        <v>4.7863247863247825E-2</v>
      </c>
      <c r="X868" s="336" t="s">
        <v>465</v>
      </c>
      <c r="Y868" s="352" t="s">
        <v>152</v>
      </c>
      <c r="Z868" s="105">
        <v>18432</v>
      </c>
      <c r="AA868" s="107">
        <f>IFERROR((Table6[[#This Row],[Paired WTG Generation for loss calculation]]/24)*Table6[[#This Row],[Breakdown Time]],"")</f>
        <v>1433.599999999999</v>
      </c>
      <c r="AB868" s="105" t="s">
        <v>478</v>
      </c>
    </row>
    <row r="869" spans="1:28">
      <c r="A869" s="105">
        <f t="shared" si="13"/>
        <v>868</v>
      </c>
      <c r="B869" s="107">
        <f>YEAR(Table6[[#This Row],[Date]])+IF(MONTH(Table6[[#This Row],[Date]])&gt;=4,1,0)</f>
        <v>2026</v>
      </c>
      <c r="C869" s="105">
        <f>YEAR(Table6[[#This Row],[Date]])</f>
        <v>2025</v>
      </c>
      <c r="D869" s="105" t="s">
        <v>490</v>
      </c>
      <c r="E869" s="119">
        <f>Table6[[#This Row],[Date]]-DAY(Table6[[#This Row],[Date]])+1</f>
        <v>45809</v>
      </c>
      <c r="F869" s="118">
        <v>45833</v>
      </c>
      <c r="G869" s="105" t="s">
        <v>116</v>
      </c>
      <c r="H869" s="39" t="str">
        <f>_xlfn.XLOOKUP(Table6[[#This Row],[Affected WTG]],'Basic Data'!$A:$A,'Basic Data'!$B:$B)</f>
        <v>PWEGPL</v>
      </c>
      <c r="I869" s="39" t="str">
        <f>_xlfn.XLOOKUP(Table6[[#This Row],[Affected WTG]],'Basic Data'!$A:$A,'Basic Data'!$C:$C)</f>
        <v>MSEDCL</v>
      </c>
      <c r="J869" s="345">
        <f>IFERROR(VLOOKUP(Table6[[#This Row],[Affected WTG]],'Basic Data'!$A$3:$E$56,5,0),"")</f>
        <v>2.564102564102564E-2</v>
      </c>
      <c r="K869" s="105">
        <v>2118</v>
      </c>
      <c r="L869" s="39" t="str">
        <f>IFERROR(VLOOKUP(Table6[[#This Row],[Error Code]],'Basic Data'!$T:$U,2,0),"")</f>
        <v>Bus Error - Interbus Failure</v>
      </c>
      <c r="M869" s="346" t="s">
        <v>462</v>
      </c>
      <c r="N869" s="39" t="s">
        <v>1270</v>
      </c>
      <c r="O869" s="347">
        <v>0.72569444444444442</v>
      </c>
      <c r="P869" s="347">
        <v>0.74722222222222223</v>
      </c>
      <c r="Q869" s="347">
        <v>0.74930555555555556</v>
      </c>
      <c r="R869" s="348">
        <f>IF(Table6[[#This Row],[Work Start TimeStamp]]="","",(Table6[[#This Row],[Work Start TimeStamp]]-Table6[[#This Row],[Fault Start TimeStamp]])*24)</f>
        <v>0.5166666666666675</v>
      </c>
      <c r="S869" s="349">
        <f>(Table6[[#This Row],[Fault Clearance time]]-Table6[[#This Row],[Work Start TimeStamp]])*24</f>
        <v>4.9999999999999822E-2</v>
      </c>
      <c r="T869" s="350">
        <f>(Table6[[#This Row],[Fault Clearance time]]-Table6[[#This Row],[Fault Start TimeStamp]])*24</f>
        <v>0.56666666666666732</v>
      </c>
      <c r="U869" s="346" t="s">
        <v>493</v>
      </c>
      <c r="V869" s="351" t="s">
        <v>463</v>
      </c>
      <c r="W869" s="338">
        <f>Table6[[#This Row],[Breakdown Time]]*(1/39)</f>
        <v>1.4529914529914546E-2</v>
      </c>
      <c r="X869" s="336" t="s">
        <v>465</v>
      </c>
      <c r="Y869" s="352" t="s">
        <v>118</v>
      </c>
      <c r="Z869" s="105">
        <v>17945</v>
      </c>
      <c r="AA869" s="107">
        <f>IFERROR((Table6[[#This Row],[Paired WTG Generation for loss calculation]]/24)*Table6[[#This Row],[Breakdown Time]],"")</f>
        <v>423.70138888888943</v>
      </c>
      <c r="AB869" s="105" t="s">
        <v>478</v>
      </c>
    </row>
    <row r="870" spans="1:28">
      <c r="A870" s="105">
        <f t="shared" si="13"/>
        <v>869</v>
      </c>
      <c r="B870" s="107">
        <f>YEAR(Table6[[#This Row],[Date]])+IF(MONTH(Table6[[#This Row],[Date]])&gt;=4,1,0)</f>
        <v>2026</v>
      </c>
      <c r="C870" s="105">
        <f>YEAR(Table6[[#This Row],[Date]])</f>
        <v>2025</v>
      </c>
      <c r="D870" s="105" t="s">
        <v>490</v>
      </c>
      <c r="E870" s="119">
        <f>Table6[[#This Row],[Date]]-DAY(Table6[[#This Row],[Date]])+1</f>
        <v>45809</v>
      </c>
      <c r="F870" s="118">
        <v>45834</v>
      </c>
      <c r="G870" s="105" t="s">
        <v>144</v>
      </c>
      <c r="H870" s="39" t="str">
        <f>_xlfn.XLOOKUP(Table6[[#This Row],[Affected WTG]],'Basic Data'!$A:$A,'Basic Data'!$B:$B)</f>
        <v>PWEGPL</v>
      </c>
      <c r="I870" s="39" t="str">
        <f>_xlfn.XLOOKUP(Table6[[#This Row],[Affected WTG]],'Basic Data'!$A:$A,'Basic Data'!$C:$C)</f>
        <v>MSEDCL</v>
      </c>
      <c r="J870" s="345">
        <f>IFERROR(VLOOKUP(Table6[[#This Row],[Affected WTG]],'Basic Data'!$A$3:$E$56,5,0),"")</f>
        <v>2.564102564102564E-2</v>
      </c>
      <c r="K870" s="105" t="s">
        <v>492</v>
      </c>
      <c r="L870" s="39" t="str">
        <f>IFERROR(VLOOKUP(Table6[[#This Row],[Error Code]],'Basic Data'!$T:$U,2,0),"")</f>
        <v>Manual Stop - Safety Related</v>
      </c>
      <c r="M870" s="346" t="s">
        <v>481</v>
      </c>
      <c r="N870" s="39" t="s">
        <v>1269</v>
      </c>
      <c r="O870" s="347">
        <v>0</v>
      </c>
      <c r="P870" s="347">
        <v>0.99998842592592596</v>
      </c>
      <c r="Q870" s="347">
        <v>0.99998842592592596</v>
      </c>
      <c r="R870" s="348">
        <f>IF(Table6[[#This Row],[Work Start TimeStamp]]="","",(Table6[[#This Row],[Work Start TimeStamp]]-Table6[[#This Row],[Fault Start TimeStamp]])*24)</f>
        <v>23.999722222222225</v>
      </c>
      <c r="S870" s="349">
        <f>(Table6[[#This Row],[Fault Clearance time]]-Table6[[#This Row],[Work Start TimeStamp]])*24</f>
        <v>0</v>
      </c>
      <c r="T870" s="350">
        <f>(Table6[[#This Row],[Fault Clearance time]]-Table6[[#This Row],[Fault Start TimeStamp]])*24</f>
        <v>23.999722222222225</v>
      </c>
      <c r="U870" s="346" t="s">
        <v>498</v>
      </c>
      <c r="V870" s="351" t="s">
        <v>473</v>
      </c>
      <c r="W870" s="338">
        <f>Table6[[#This Row],[Breakdown Time]]*(1/39)</f>
        <v>0.61537749287749288</v>
      </c>
      <c r="X870" s="336" t="s">
        <v>1212</v>
      </c>
      <c r="Y870" s="352" t="s">
        <v>143</v>
      </c>
      <c r="Z870" s="105">
        <v>10021</v>
      </c>
      <c r="AA870" s="107">
        <f>IFERROR((Table6[[#This Row],[Paired WTG Generation for loss calculation]]/24)*Table6[[#This Row],[Breakdown Time]],"")</f>
        <v>10020.884016203705</v>
      </c>
      <c r="AB870" s="105" t="s">
        <v>478</v>
      </c>
    </row>
    <row r="871" spans="1:28">
      <c r="A871" s="105">
        <f t="shared" si="13"/>
        <v>870</v>
      </c>
      <c r="B871" s="107">
        <f>YEAR(Table6[[#This Row],[Date]])+IF(MONTH(Table6[[#This Row],[Date]])&gt;=4,1,0)</f>
        <v>2026</v>
      </c>
      <c r="C871" s="105">
        <f>YEAR(Table6[[#This Row],[Date]])</f>
        <v>2025</v>
      </c>
      <c r="D871" s="105" t="s">
        <v>490</v>
      </c>
      <c r="E871" s="119">
        <f>Table6[[#This Row],[Date]]-DAY(Table6[[#This Row],[Date]])+1</f>
        <v>45809</v>
      </c>
      <c r="F871" s="118">
        <v>45834</v>
      </c>
      <c r="G871" s="105" t="s">
        <v>142</v>
      </c>
      <c r="H871" s="39" t="str">
        <f>_xlfn.XLOOKUP(Table6[[#This Row],[Affected WTG]],'Basic Data'!$A:$A,'Basic Data'!$B:$B)</f>
        <v>PWEGPL</v>
      </c>
      <c r="I871" s="39" t="str">
        <f>_xlfn.XLOOKUP(Table6[[#This Row],[Affected WTG]],'Basic Data'!$A:$A,'Basic Data'!$C:$C)</f>
        <v>MSEDCL</v>
      </c>
      <c r="J871" s="345">
        <f>IFERROR(VLOOKUP(Table6[[#This Row],[Affected WTG]],'Basic Data'!$A$3:$E$56,5,0),"")</f>
        <v>2.564102564102564E-2</v>
      </c>
      <c r="K871" s="105" t="s">
        <v>492</v>
      </c>
      <c r="L871" s="39" t="str">
        <f>IFERROR(VLOOKUP(Table6[[#This Row],[Error Code]],'Basic Data'!$T:$U,2,0),"")</f>
        <v>Manual Stop - Safety Related</v>
      </c>
      <c r="M871" s="346" t="s">
        <v>481</v>
      </c>
      <c r="N871" s="39" t="s">
        <v>1269</v>
      </c>
      <c r="O871" s="347">
        <v>0</v>
      </c>
      <c r="P871" s="347">
        <v>0.99998842592592596</v>
      </c>
      <c r="Q871" s="347">
        <v>0.99998842592592596</v>
      </c>
      <c r="R871" s="348">
        <f>IF(Table6[[#This Row],[Work Start TimeStamp]]="","",(Table6[[#This Row],[Work Start TimeStamp]]-Table6[[#This Row],[Fault Start TimeStamp]])*24)</f>
        <v>23.999722222222225</v>
      </c>
      <c r="S871" s="349">
        <f>(Table6[[#This Row],[Fault Clearance time]]-Table6[[#This Row],[Work Start TimeStamp]])*24</f>
        <v>0</v>
      </c>
      <c r="T871" s="350">
        <f>(Table6[[#This Row],[Fault Clearance time]]-Table6[[#This Row],[Fault Start TimeStamp]])*24</f>
        <v>23.999722222222225</v>
      </c>
      <c r="U871" s="346" t="s">
        <v>498</v>
      </c>
      <c r="V871" s="351" t="s">
        <v>473</v>
      </c>
      <c r="W871" s="338">
        <f>Table6[[#This Row],[Breakdown Time]]*(1/39)</f>
        <v>0.61537749287749288</v>
      </c>
      <c r="X871" s="336" t="s">
        <v>1212</v>
      </c>
      <c r="Y871" s="352" t="s">
        <v>143</v>
      </c>
      <c r="Z871" s="105">
        <v>10021</v>
      </c>
      <c r="AA871" s="107">
        <f>IFERROR((Table6[[#This Row],[Paired WTG Generation for loss calculation]]/24)*Table6[[#This Row],[Breakdown Time]],"")</f>
        <v>10020.884016203705</v>
      </c>
      <c r="AB871" s="105" t="s">
        <v>478</v>
      </c>
    </row>
    <row r="872" spans="1:28">
      <c r="A872" s="105">
        <f t="shared" si="13"/>
        <v>871</v>
      </c>
      <c r="B872" s="107">
        <f>YEAR(Table6[[#This Row],[Date]])+IF(MONTH(Table6[[#This Row],[Date]])&gt;=4,1,0)</f>
        <v>2026</v>
      </c>
      <c r="C872" s="105">
        <f>YEAR(Table6[[#This Row],[Date]])</f>
        <v>2025</v>
      </c>
      <c r="D872" s="105" t="s">
        <v>490</v>
      </c>
      <c r="E872" s="119">
        <f>Table6[[#This Row],[Date]]-DAY(Table6[[#This Row],[Date]])+1</f>
        <v>45809</v>
      </c>
      <c r="F872" s="118">
        <v>45834</v>
      </c>
      <c r="G872" s="105" t="s">
        <v>131</v>
      </c>
      <c r="H872" s="39" t="str">
        <f>_xlfn.XLOOKUP(Table6[[#This Row],[Affected WTG]],'Basic Data'!$A:$A,'Basic Data'!$B:$B)</f>
        <v>PWEGPL</v>
      </c>
      <c r="I872" s="39" t="str">
        <f>_xlfn.XLOOKUP(Table6[[#This Row],[Affected WTG]],'Basic Data'!$A:$A,'Basic Data'!$C:$C)</f>
        <v>MSEDCL</v>
      </c>
      <c r="J872" s="345">
        <f>IFERROR(VLOOKUP(Table6[[#This Row],[Affected WTG]],'Basic Data'!$A$3:$E$56,5,0),"")</f>
        <v>2.564102564102564E-2</v>
      </c>
      <c r="K872" s="105" t="s">
        <v>492</v>
      </c>
      <c r="L872" s="39" t="str">
        <f>IFERROR(VLOOKUP(Table6[[#This Row],[Error Code]],'Basic Data'!$T:$U,2,0),"")</f>
        <v>Manual Stop - Safety Related</v>
      </c>
      <c r="M872" s="346" t="s">
        <v>462</v>
      </c>
      <c r="N872" s="39" t="s">
        <v>1270</v>
      </c>
      <c r="O872" s="347">
        <v>0</v>
      </c>
      <c r="P872" s="347">
        <v>0.99998842592592596</v>
      </c>
      <c r="Q872" s="347">
        <v>0.99998842592592596</v>
      </c>
      <c r="R872" s="348">
        <f>IF(Table6[[#This Row],[Work Start TimeStamp]]="","",(Table6[[#This Row],[Work Start TimeStamp]]-Table6[[#This Row],[Fault Start TimeStamp]])*24)</f>
        <v>23.999722222222225</v>
      </c>
      <c r="S872" s="349">
        <f>(Table6[[#This Row],[Fault Clearance time]]-Table6[[#This Row],[Work Start TimeStamp]])*24</f>
        <v>0</v>
      </c>
      <c r="T872" s="350">
        <f>(Table6[[#This Row],[Fault Clearance time]]-Table6[[#This Row],[Fault Start TimeStamp]])*24</f>
        <v>23.999722222222225</v>
      </c>
      <c r="U872" s="346" t="s">
        <v>1247</v>
      </c>
      <c r="V872" s="351" t="s">
        <v>473</v>
      </c>
      <c r="W872" s="338">
        <f>Table6[[#This Row],[Breakdown Time]]*(1/39)</f>
        <v>0.61537749287749288</v>
      </c>
      <c r="X872" s="336" t="s">
        <v>465</v>
      </c>
      <c r="Y872" s="352" t="s">
        <v>132</v>
      </c>
      <c r="Z872" s="105">
        <v>10123</v>
      </c>
      <c r="AA872" s="107">
        <f>IFERROR((Table6[[#This Row],[Paired WTG Generation for loss calculation]]/24)*Table6[[#This Row],[Breakdown Time]],"")</f>
        <v>10122.88283564815</v>
      </c>
      <c r="AB872" s="105" t="s">
        <v>478</v>
      </c>
    </row>
    <row r="873" spans="1:28">
      <c r="A873" s="105">
        <f t="shared" si="13"/>
        <v>872</v>
      </c>
      <c r="B873" s="107">
        <f>YEAR(Table6[[#This Row],[Date]])+IF(MONTH(Table6[[#This Row],[Date]])&gt;=4,1,0)</f>
        <v>2026</v>
      </c>
      <c r="C873" s="105">
        <f>YEAR(Table6[[#This Row],[Date]])</f>
        <v>2025</v>
      </c>
      <c r="D873" s="105" t="s">
        <v>490</v>
      </c>
      <c r="E873" s="119">
        <f>Table6[[#This Row],[Date]]-DAY(Table6[[#This Row],[Date]])+1</f>
        <v>45809</v>
      </c>
      <c r="F873" s="118">
        <v>45834</v>
      </c>
      <c r="G873" s="105" t="s">
        <v>127</v>
      </c>
      <c r="H873" s="39" t="str">
        <f>_xlfn.XLOOKUP(Table6[[#This Row],[Affected WTG]],'Basic Data'!$A:$A,'Basic Data'!$B:$B)</f>
        <v>PWEGPL</v>
      </c>
      <c r="I873" s="39" t="str">
        <f>_xlfn.XLOOKUP(Table6[[#This Row],[Affected WTG]],'Basic Data'!$A:$A,'Basic Data'!$C:$C)</f>
        <v>MSEDCL</v>
      </c>
      <c r="J873" s="345">
        <f>IFERROR(VLOOKUP(Table6[[#This Row],[Affected WTG]],'Basic Data'!$A$3:$E$56,5,0),"")</f>
        <v>2.564102564102564E-2</v>
      </c>
      <c r="K873" s="105" t="s">
        <v>466</v>
      </c>
      <c r="L873" s="39" t="str">
        <f>IFERROR(VLOOKUP(Table6[[#This Row],[Error Code]],'Basic Data'!$T:$U,2,0),"")</f>
        <v>Manual Stop</v>
      </c>
      <c r="M873" s="346" t="s">
        <v>479</v>
      </c>
      <c r="N873" s="39" t="s">
        <v>230</v>
      </c>
      <c r="O873" s="347">
        <v>0.46041666666666664</v>
      </c>
      <c r="P873" s="347">
        <v>0.46041666666666664</v>
      </c>
      <c r="Q873" s="347">
        <v>0.63541666666666663</v>
      </c>
      <c r="R873" s="348">
        <f>IF(Table6[[#This Row],[Work Start TimeStamp]]="","",(Table6[[#This Row],[Work Start TimeStamp]]-Table6[[#This Row],[Fault Start TimeStamp]])*24)</f>
        <v>0</v>
      </c>
      <c r="S873" s="349">
        <f>(Table6[[#This Row],[Fault Clearance time]]-Table6[[#This Row],[Work Start TimeStamp]])*24</f>
        <v>4.1999999999999993</v>
      </c>
      <c r="T873" s="350">
        <f>(Table6[[#This Row],[Fault Clearance time]]-Table6[[#This Row],[Fault Start TimeStamp]])*24</f>
        <v>4.1999999999999993</v>
      </c>
      <c r="U873" s="346" t="s">
        <v>1304</v>
      </c>
      <c r="V873" s="351" t="s">
        <v>463</v>
      </c>
      <c r="W873" s="338">
        <f>Table6[[#This Row],[Breakdown Time]]*(1/39)</f>
        <v>0.10769230769230767</v>
      </c>
      <c r="X873" s="336" t="s">
        <v>464</v>
      </c>
      <c r="Y873" s="352" t="s">
        <v>126</v>
      </c>
      <c r="Z873" s="105">
        <v>10231</v>
      </c>
      <c r="AA873" s="107">
        <f>IFERROR((Table6[[#This Row],[Paired WTG Generation for loss calculation]]/24)*Table6[[#This Row],[Breakdown Time]],"")</f>
        <v>1790.4249999999997</v>
      </c>
      <c r="AB873" s="105" t="s">
        <v>478</v>
      </c>
    </row>
    <row r="874" spans="1:28">
      <c r="A874" s="105">
        <f t="shared" si="13"/>
        <v>873</v>
      </c>
      <c r="B874" s="107">
        <f>YEAR(Table6[[#This Row],[Date]])+IF(MONTH(Table6[[#This Row],[Date]])&gt;=4,1,0)</f>
        <v>2026</v>
      </c>
      <c r="C874" s="105">
        <f>YEAR(Table6[[#This Row],[Date]])</f>
        <v>2025</v>
      </c>
      <c r="D874" s="105" t="s">
        <v>490</v>
      </c>
      <c r="E874" s="119">
        <f>Table6[[#This Row],[Date]]-DAY(Table6[[#This Row],[Date]])+1</f>
        <v>45809</v>
      </c>
      <c r="F874" s="118">
        <v>45834</v>
      </c>
      <c r="G874" s="105" t="s">
        <v>116</v>
      </c>
      <c r="H874" s="39" t="str">
        <f>_xlfn.XLOOKUP(Table6[[#This Row],[Affected WTG]],'Basic Data'!$A:$A,'Basic Data'!$B:$B)</f>
        <v>PWEGPL</v>
      </c>
      <c r="I874" s="39" t="str">
        <f>_xlfn.XLOOKUP(Table6[[#This Row],[Affected WTG]],'Basic Data'!$A:$A,'Basic Data'!$C:$C)</f>
        <v>MSEDCL</v>
      </c>
      <c r="J874" s="345">
        <f>IFERROR(VLOOKUP(Table6[[#This Row],[Affected WTG]],'Basic Data'!$A$3:$E$56,5,0),"")</f>
        <v>2.564102564102564E-2</v>
      </c>
      <c r="K874" s="105">
        <v>700</v>
      </c>
      <c r="L874" s="39" t="str">
        <f>IFERROR(VLOOKUP(Table6[[#This Row],[Error Code]],'Basic Data'!$T:$U,2,0),"")</f>
        <v>PLC-Converter Communication Error</v>
      </c>
      <c r="M874" s="346" t="s">
        <v>462</v>
      </c>
      <c r="N874" s="39" t="s">
        <v>1270</v>
      </c>
      <c r="O874" s="347">
        <v>0.5854166666666667</v>
      </c>
      <c r="P874" s="347">
        <v>0.59513888888888888</v>
      </c>
      <c r="Q874" s="347">
        <v>0.71875</v>
      </c>
      <c r="R874" s="348">
        <f>IF(Table6[[#This Row],[Work Start TimeStamp]]="","",(Table6[[#This Row],[Work Start TimeStamp]]-Table6[[#This Row],[Fault Start TimeStamp]])*24)</f>
        <v>0.2333333333333325</v>
      </c>
      <c r="S874" s="349">
        <f>(Table6[[#This Row],[Fault Clearance time]]-Table6[[#This Row],[Work Start TimeStamp]])*24</f>
        <v>2.9666666666666668</v>
      </c>
      <c r="T874" s="350">
        <f>(Table6[[#This Row],[Fault Clearance time]]-Table6[[#This Row],[Fault Start TimeStamp]])*24</f>
        <v>3.1999999999999993</v>
      </c>
      <c r="U874" s="346" t="s">
        <v>1302</v>
      </c>
      <c r="V874" s="351" t="s">
        <v>463</v>
      </c>
      <c r="W874" s="338">
        <f>Table6[[#This Row],[Breakdown Time]]*(1/39)</f>
        <v>8.2051282051282023E-2</v>
      </c>
      <c r="X874" s="336" t="s">
        <v>465</v>
      </c>
      <c r="Y874" s="352" t="s">
        <v>118</v>
      </c>
      <c r="Z874" s="105">
        <v>10037</v>
      </c>
      <c r="AA874" s="107">
        <f>IFERROR((Table6[[#This Row],[Paired WTG Generation for loss calculation]]/24)*Table6[[#This Row],[Breakdown Time]],"")</f>
        <v>1338.2666666666662</v>
      </c>
      <c r="AB874" s="105" t="s">
        <v>478</v>
      </c>
    </row>
    <row r="875" spans="1:28">
      <c r="A875" s="105">
        <f t="shared" si="13"/>
        <v>874</v>
      </c>
      <c r="B875" s="107">
        <f>YEAR(Table6[[#This Row],[Date]])+IF(MONTH(Table6[[#This Row],[Date]])&gt;=4,1,0)</f>
        <v>2026</v>
      </c>
      <c r="C875" s="105">
        <f>YEAR(Table6[[#This Row],[Date]])</f>
        <v>2025</v>
      </c>
      <c r="D875" s="105" t="s">
        <v>490</v>
      </c>
      <c r="E875" s="119">
        <f>Table6[[#This Row],[Date]]-DAY(Table6[[#This Row],[Date]])+1</f>
        <v>45809</v>
      </c>
      <c r="F875" s="118">
        <v>45834</v>
      </c>
      <c r="G875" s="105" t="s">
        <v>117</v>
      </c>
      <c r="H875" s="39" t="str">
        <f>_xlfn.XLOOKUP(Table6[[#This Row],[Affected WTG]],'Basic Data'!$A:$A,'Basic Data'!$B:$B)</f>
        <v>PWEGPL</v>
      </c>
      <c r="I875" s="39" t="str">
        <f>_xlfn.XLOOKUP(Table6[[#This Row],[Affected WTG]],'Basic Data'!$A:$A,'Basic Data'!$C:$C)</f>
        <v>MSEDCL</v>
      </c>
      <c r="J875" s="345">
        <f>IFERROR(VLOOKUP(Table6[[#This Row],[Affected WTG]],'Basic Data'!$A$3:$E$56,5,0),"")</f>
        <v>2.564102564102564E-2</v>
      </c>
      <c r="K875" s="105" t="s">
        <v>466</v>
      </c>
      <c r="L875" s="39" t="str">
        <f>IFERROR(VLOOKUP(Table6[[#This Row],[Error Code]],'Basic Data'!$T:$U,2,0),"")</f>
        <v>Manual Stop</v>
      </c>
      <c r="M875" s="346" t="s">
        <v>479</v>
      </c>
      <c r="N875" s="39" t="s">
        <v>230</v>
      </c>
      <c r="O875" s="347">
        <v>0.54027777777777775</v>
      </c>
      <c r="P875" s="347">
        <v>0.54027777777777775</v>
      </c>
      <c r="Q875" s="347">
        <v>0.57291666666666663</v>
      </c>
      <c r="R875" s="348">
        <f>IF(Table6[[#This Row],[Work Start TimeStamp]]="","",(Table6[[#This Row],[Work Start TimeStamp]]-Table6[[#This Row],[Fault Start TimeStamp]])*24)</f>
        <v>0</v>
      </c>
      <c r="S875" s="349">
        <f>(Table6[[#This Row],[Fault Clearance time]]-Table6[[#This Row],[Work Start TimeStamp]])*24</f>
        <v>0.78333333333333321</v>
      </c>
      <c r="T875" s="350">
        <f>(Table6[[#This Row],[Fault Clearance time]]-Table6[[#This Row],[Fault Start TimeStamp]])*24</f>
        <v>0.78333333333333321</v>
      </c>
      <c r="U875" s="346" t="s">
        <v>1309</v>
      </c>
      <c r="V875" s="351" t="s">
        <v>463</v>
      </c>
      <c r="W875" s="338">
        <f>Table6[[#This Row],[Breakdown Time]]*(1/39)</f>
        <v>2.008547008547008E-2</v>
      </c>
      <c r="X875" s="336" t="s">
        <v>464</v>
      </c>
      <c r="Y875" s="352" t="s">
        <v>118</v>
      </c>
      <c r="Z875" s="105">
        <v>10037</v>
      </c>
      <c r="AA875" s="107">
        <f>IFERROR((Table6[[#This Row],[Paired WTG Generation for loss calculation]]/24)*Table6[[#This Row],[Breakdown Time]],"")</f>
        <v>327.59652777777774</v>
      </c>
      <c r="AB875" s="105" t="s">
        <v>478</v>
      </c>
    </row>
    <row r="876" spans="1:28">
      <c r="A876" s="105">
        <f t="shared" si="13"/>
        <v>875</v>
      </c>
      <c r="B876" s="107">
        <f>YEAR(Table6[[#This Row],[Date]])+IF(MONTH(Table6[[#This Row],[Date]])&gt;=4,1,0)</f>
        <v>2026</v>
      </c>
      <c r="C876" s="105">
        <f>YEAR(Table6[[#This Row],[Date]])</f>
        <v>2025</v>
      </c>
      <c r="D876" s="105" t="s">
        <v>490</v>
      </c>
      <c r="E876" s="119">
        <f>Table6[[#This Row],[Date]]-DAY(Table6[[#This Row],[Date]])+1</f>
        <v>45809</v>
      </c>
      <c r="F876" s="118">
        <v>45834</v>
      </c>
      <c r="G876" s="105" t="s">
        <v>150</v>
      </c>
      <c r="H876" s="39" t="str">
        <f>_xlfn.XLOOKUP(Table6[[#This Row],[Affected WTG]],'Basic Data'!$A:$A,'Basic Data'!$B:$B)</f>
        <v>PWEGPL</v>
      </c>
      <c r="I876" s="39" t="str">
        <f>_xlfn.XLOOKUP(Table6[[#This Row],[Affected WTG]],'Basic Data'!$A:$A,'Basic Data'!$C:$C)</f>
        <v>MSEDCL</v>
      </c>
      <c r="J876" s="345">
        <f>IFERROR(VLOOKUP(Table6[[#This Row],[Affected WTG]],'Basic Data'!$A$3:$E$56,5,0),"")</f>
        <v>2.564102564102564E-2</v>
      </c>
      <c r="K876" s="105">
        <v>402</v>
      </c>
      <c r="L876" s="39" t="str">
        <f>IFERROR(VLOOKUP(Table6[[#This Row],[Error Code]],'Basic Data'!$T:$U,2,0),"")</f>
        <v>Gearbox Oil Level Low</v>
      </c>
      <c r="M876" s="346" t="s">
        <v>462</v>
      </c>
      <c r="N876" s="39" t="s">
        <v>1270</v>
      </c>
      <c r="O876" s="347">
        <v>0.70694444444444449</v>
      </c>
      <c r="P876" s="347">
        <v>0.72361111111111109</v>
      </c>
      <c r="Q876" s="347">
        <v>0.79166666666666663</v>
      </c>
      <c r="R876" s="348">
        <f>IF(Table6[[#This Row],[Work Start TimeStamp]]="","",(Table6[[#This Row],[Work Start TimeStamp]]-Table6[[#This Row],[Fault Start TimeStamp]])*24)</f>
        <v>0.39999999999999858</v>
      </c>
      <c r="S876" s="349">
        <f>(Table6[[#This Row],[Fault Clearance time]]-Table6[[#This Row],[Work Start TimeStamp]])*24</f>
        <v>1.6333333333333329</v>
      </c>
      <c r="T876" s="350">
        <f>(Table6[[#This Row],[Fault Clearance time]]-Table6[[#This Row],[Fault Start TimeStamp]])*24</f>
        <v>2.0333333333333314</v>
      </c>
      <c r="U876" s="346" t="s">
        <v>1303</v>
      </c>
      <c r="V876" s="351" t="s">
        <v>463</v>
      </c>
      <c r="W876" s="338">
        <f>Table6[[#This Row],[Breakdown Time]]*(1/39)</f>
        <v>5.2136752136752083E-2</v>
      </c>
      <c r="X876" s="336" t="s">
        <v>465</v>
      </c>
      <c r="Y876" s="352" t="s">
        <v>149</v>
      </c>
      <c r="Z876" s="105">
        <v>10493</v>
      </c>
      <c r="AA876" s="107">
        <f>IFERROR((Table6[[#This Row],[Paired WTG Generation for loss calculation]]/24)*Table6[[#This Row],[Breakdown Time]],"")</f>
        <v>888.9902777777769</v>
      </c>
      <c r="AB876" s="105" t="s">
        <v>478</v>
      </c>
    </row>
    <row r="877" spans="1:28">
      <c r="A877" s="105">
        <f t="shared" si="13"/>
        <v>876</v>
      </c>
      <c r="B877" s="107">
        <f>YEAR(Table6[[#This Row],[Date]])+IF(MONTH(Table6[[#This Row],[Date]])&gt;=4,1,0)</f>
        <v>2026</v>
      </c>
      <c r="C877" s="105">
        <f>YEAR(Table6[[#This Row],[Date]])</f>
        <v>2025</v>
      </c>
      <c r="D877" s="105" t="s">
        <v>490</v>
      </c>
      <c r="E877" s="119">
        <f>Table6[[#This Row],[Date]]-DAY(Table6[[#This Row],[Date]])+1</f>
        <v>45809</v>
      </c>
      <c r="F877" s="118">
        <v>45834</v>
      </c>
      <c r="G877" s="105" t="s">
        <v>141</v>
      </c>
      <c r="H877" s="39" t="str">
        <f>_xlfn.XLOOKUP(Table6[[#This Row],[Affected WTG]],'Basic Data'!$A:$A,'Basic Data'!$B:$B)</f>
        <v>PWEGPL</v>
      </c>
      <c r="I877" s="39" t="str">
        <f>_xlfn.XLOOKUP(Table6[[#This Row],[Affected WTG]],'Basic Data'!$A:$A,'Basic Data'!$C:$C)</f>
        <v>MSEDCL</v>
      </c>
      <c r="J877" s="345">
        <f>IFERROR(VLOOKUP(Table6[[#This Row],[Affected WTG]],'Basic Data'!$A$3:$E$56,5,0),"")</f>
        <v>2.564102564102564E-2</v>
      </c>
      <c r="K877" s="105">
        <v>907</v>
      </c>
      <c r="L877" s="39" t="str">
        <f>IFERROR(VLOOKUP(Table6[[#This Row],[Error Code]],'Basic Data'!$T:$U,2,0),"")</f>
        <v>Emergency Series HUB Trigger</v>
      </c>
      <c r="M877" s="346" t="s">
        <v>462</v>
      </c>
      <c r="N877" s="39" t="s">
        <v>1270</v>
      </c>
      <c r="O877" s="347">
        <v>0.69930555555555551</v>
      </c>
      <c r="P877" s="347">
        <v>0.71736111111111112</v>
      </c>
      <c r="Q877" s="347">
        <v>0.85902777777777772</v>
      </c>
      <c r="R877" s="348">
        <f>IF(Table6[[#This Row],[Work Start TimeStamp]]="","",(Table6[[#This Row],[Work Start TimeStamp]]-Table6[[#This Row],[Fault Start TimeStamp]])*24)</f>
        <v>0.43333333333333446</v>
      </c>
      <c r="S877" s="349">
        <f>(Table6[[#This Row],[Fault Clearance time]]-Table6[[#This Row],[Work Start TimeStamp]])*24</f>
        <v>3.3999999999999986</v>
      </c>
      <c r="T877" s="350">
        <f>(Table6[[#This Row],[Fault Clearance time]]-Table6[[#This Row],[Fault Start TimeStamp]])*24</f>
        <v>3.833333333333333</v>
      </c>
      <c r="U877" s="346" t="s">
        <v>1310</v>
      </c>
      <c r="V877" s="351" t="s">
        <v>463</v>
      </c>
      <c r="W877" s="338">
        <f>Table6[[#This Row],[Breakdown Time]]*(1/39)</f>
        <v>9.8290598290598274E-2</v>
      </c>
      <c r="X877" s="336" t="s">
        <v>465</v>
      </c>
      <c r="Y877" s="352" t="s">
        <v>143</v>
      </c>
      <c r="Z877" s="105">
        <v>10021</v>
      </c>
      <c r="AA877" s="107">
        <f>IFERROR((Table6[[#This Row],[Paired WTG Generation for loss calculation]]/24)*Table6[[#This Row],[Breakdown Time]],"")</f>
        <v>1600.5763888888889</v>
      </c>
      <c r="AB877" s="105" t="s">
        <v>478</v>
      </c>
    </row>
    <row r="878" spans="1:28">
      <c r="A878" s="105">
        <f t="shared" si="13"/>
        <v>877</v>
      </c>
      <c r="B878" s="107">
        <f>YEAR(Table6[[#This Row],[Date]])+IF(MONTH(Table6[[#This Row],[Date]])&gt;=4,1,0)</f>
        <v>2026</v>
      </c>
      <c r="C878" s="105">
        <f>YEAR(Table6[[#This Row],[Date]])</f>
        <v>2025</v>
      </c>
      <c r="D878" s="105" t="s">
        <v>490</v>
      </c>
      <c r="E878" s="119">
        <f>Table6[[#This Row],[Date]]-DAY(Table6[[#This Row],[Date]])+1</f>
        <v>45809</v>
      </c>
      <c r="F878" s="118">
        <v>45834</v>
      </c>
      <c r="G878" s="105" t="s">
        <v>117</v>
      </c>
      <c r="H878" s="39" t="str">
        <f>_xlfn.XLOOKUP(Table6[[#This Row],[Affected WTG]],'Basic Data'!$A:$A,'Basic Data'!$B:$B)</f>
        <v>PWEGPL</v>
      </c>
      <c r="I878" s="39" t="str">
        <f>_xlfn.XLOOKUP(Table6[[#This Row],[Affected WTG]],'Basic Data'!$A:$A,'Basic Data'!$C:$C)</f>
        <v>MSEDCL</v>
      </c>
      <c r="J878" s="345">
        <f>IFERROR(VLOOKUP(Table6[[#This Row],[Affected WTG]],'Basic Data'!$A$3:$E$56,5,0),"")</f>
        <v>2.564102564102564E-2</v>
      </c>
      <c r="K878" s="105" t="s">
        <v>477</v>
      </c>
      <c r="L878" s="39" t="str">
        <f>IFERROR(VLOOKUP(Table6[[#This Row],[Error Code]],'Basic Data'!$T:$U,2,0),"")</f>
        <v>Manual Stop - Audit</v>
      </c>
      <c r="M878" s="346" t="s">
        <v>507</v>
      </c>
      <c r="N878" s="39" t="s">
        <v>230</v>
      </c>
      <c r="O878" s="347">
        <v>0.57291666666666663</v>
      </c>
      <c r="P878" s="347">
        <v>0.57291666666666663</v>
      </c>
      <c r="Q878" s="347">
        <v>0.60416666666666663</v>
      </c>
      <c r="R878" s="348">
        <f>IF(Table6[[#This Row],[Work Start TimeStamp]]="","",(Table6[[#This Row],[Work Start TimeStamp]]-Table6[[#This Row],[Fault Start TimeStamp]])*24)</f>
        <v>0</v>
      </c>
      <c r="S878" s="349">
        <f>(Table6[[#This Row],[Fault Clearance time]]-Table6[[#This Row],[Work Start TimeStamp]])*24</f>
        <v>0.75</v>
      </c>
      <c r="T878" s="350">
        <f>(Table6[[#This Row],[Fault Clearance time]]-Table6[[#This Row],[Fault Start TimeStamp]])*24</f>
        <v>0.75</v>
      </c>
      <c r="U878" s="346" t="s">
        <v>1308</v>
      </c>
      <c r="V878" s="351" t="s">
        <v>463</v>
      </c>
      <c r="W878" s="338">
        <f>Table6[[#This Row],[Breakdown Time]]*(1/39)</f>
        <v>1.9230769230769232E-2</v>
      </c>
      <c r="X878" s="336" t="s">
        <v>464</v>
      </c>
      <c r="Y878" s="352" t="s">
        <v>118</v>
      </c>
      <c r="Z878" s="105">
        <v>10037</v>
      </c>
      <c r="AA878" s="107">
        <f>IFERROR((Table6[[#This Row],[Paired WTG Generation for loss calculation]]/24)*Table6[[#This Row],[Breakdown Time]],"")</f>
        <v>313.65625</v>
      </c>
      <c r="AB878" s="105" t="s">
        <v>478</v>
      </c>
    </row>
    <row r="879" spans="1:28">
      <c r="A879" s="105">
        <f t="shared" si="13"/>
        <v>878</v>
      </c>
      <c r="B879" s="107">
        <f>YEAR(Table6[[#This Row],[Date]])+IF(MONTH(Table6[[#This Row],[Date]])&gt;=4,1,0)</f>
        <v>2026</v>
      </c>
      <c r="C879" s="105">
        <f>YEAR(Table6[[#This Row],[Date]])</f>
        <v>2025</v>
      </c>
      <c r="D879" s="105" t="s">
        <v>490</v>
      </c>
      <c r="E879" s="119">
        <f>Table6[[#This Row],[Date]]-DAY(Table6[[#This Row],[Date]])+1</f>
        <v>45809</v>
      </c>
      <c r="F879" s="118">
        <v>45835</v>
      </c>
      <c r="G879" s="105" t="s">
        <v>144</v>
      </c>
      <c r="H879" s="39" t="str">
        <f>_xlfn.XLOOKUP(Table6[[#This Row],[Affected WTG]],'Basic Data'!$A:$A,'Basic Data'!$B:$B)</f>
        <v>PWEGPL</v>
      </c>
      <c r="I879" s="39" t="str">
        <f>_xlfn.XLOOKUP(Table6[[#This Row],[Affected WTG]],'Basic Data'!$A:$A,'Basic Data'!$C:$C)</f>
        <v>MSEDCL</v>
      </c>
      <c r="J879" s="345">
        <f>IFERROR(VLOOKUP(Table6[[#This Row],[Affected WTG]],'Basic Data'!$A$3:$E$56,5,0),"")</f>
        <v>2.564102564102564E-2</v>
      </c>
      <c r="K879" s="105" t="s">
        <v>492</v>
      </c>
      <c r="L879" s="39" t="str">
        <f>IFERROR(VLOOKUP(Table6[[#This Row],[Error Code]],'Basic Data'!$T:$U,2,0),"")</f>
        <v>Manual Stop - Safety Related</v>
      </c>
      <c r="M879" s="346" t="s">
        <v>481</v>
      </c>
      <c r="N879" s="39" t="s">
        <v>1269</v>
      </c>
      <c r="O879" s="347">
        <v>0</v>
      </c>
      <c r="P879" s="347">
        <v>0.99998842592592596</v>
      </c>
      <c r="Q879" s="347">
        <v>0.99998842592592596</v>
      </c>
      <c r="R879" s="348">
        <f>IF(Table6[[#This Row],[Work Start TimeStamp]]="","",(Table6[[#This Row],[Work Start TimeStamp]]-Table6[[#This Row],[Fault Start TimeStamp]])*24)</f>
        <v>23.999722222222225</v>
      </c>
      <c r="S879" s="349">
        <f>(Table6[[#This Row],[Fault Clearance time]]-Table6[[#This Row],[Work Start TimeStamp]])*24</f>
        <v>0</v>
      </c>
      <c r="T879" s="350">
        <f>(Table6[[#This Row],[Fault Clearance time]]-Table6[[#This Row],[Fault Start TimeStamp]])*24</f>
        <v>23.999722222222225</v>
      </c>
      <c r="U879" s="346" t="s">
        <v>498</v>
      </c>
      <c r="V879" s="351" t="s">
        <v>473</v>
      </c>
      <c r="W879" s="338">
        <f>Table6[[#This Row],[Breakdown Time]]*(1/39)</f>
        <v>0.61537749287749288</v>
      </c>
      <c r="X879" s="336" t="s">
        <v>1212</v>
      </c>
      <c r="Y879" s="352" t="s">
        <v>143</v>
      </c>
      <c r="Z879" s="105">
        <v>16041</v>
      </c>
      <c r="AA879" s="107">
        <f>IFERROR((Table6[[#This Row],[Paired WTG Generation for loss calculation]]/24)*Table6[[#This Row],[Breakdown Time]],"")</f>
        <v>16040.814340277779</v>
      </c>
      <c r="AB879" s="105" t="s">
        <v>478</v>
      </c>
    </row>
    <row r="880" spans="1:28">
      <c r="A880" s="105">
        <f t="shared" si="13"/>
        <v>879</v>
      </c>
      <c r="B880" s="107">
        <f>YEAR(Table6[[#This Row],[Date]])+IF(MONTH(Table6[[#This Row],[Date]])&gt;=4,1,0)</f>
        <v>2026</v>
      </c>
      <c r="C880" s="105">
        <f>YEAR(Table6[[#This Row],[Date]])</f>
        <v>2025</v>
      </c>
      <c r="D880" s="105" t="s">
        <v>490</v>
      </c>
      <c r="E880" s="119">
        <f>Table6[[#This Row],[Date]]-DAY(Table6[[#This Row],[Date]])+1</f>
        <v>45809</v>
      </c>
      <c r="F880" s="118">
        <v>45835</v>
      </c>
      <c r="G880" s="105" t="s">
        <v>142</v>
      </c>
      <c r="H880" s="39" t="str">
        <f>_xlfn.XLOOKUP(Table6[[#This Row],[Affected WTG]],'Basic Data'!$A:$A,'Basic Data'!$B:$B)</f>
        <v>PWEGPL</v>
      </c>
      <c r="I880" s="39" t="str">
        <f>_xlfn.XLOOKUP(Table6[[#This Row],[Affected WTG]],'Basic Data'!$A:$A,'Basic Data'!$C:$C)</f>
        <v>MSEDCL</v>
      </c>
      <c r="J880" s="345">
        <f>IFERROR(VLOOKUP(Table6[[#This Row],[Affected WTG]],'Basic Data'!$A$3:$E$56,5,0),"")</f>
        <v>2.564102564102564E-2</v>
      </c>
      <c r="K880" s="105" t="s">
        <v>492</v>
      </c>
      <c r="L880" s="39" t="str">
        <f>IFERROR(VLOOKUP(Table6[[#This Row],[Error Code]],'Basic Data'!$T:$U,2,0),"")</f>
        <v>Manual Stop - Safety Related</v>
      </c>
      <c r="M880" s="346" t="s">
        <v>481</v>
      </c>
      <c r="N880" s="39" t="s">
        <v>1269</v>
      </c>
      <c r="O880" s="347">
        <v>0</v>
      </c>
      <c r="P880" s="347">
        <v>0.99998842592592596</v>
      </c>
      <c r="Q880" s="347">
        <v>0.99998842592592596</v>
      </c>
      <c r="R880" s="348">
        <f>IF(Table6[[#This Row],[Work Start TimeStamp]]="","",(Table6[[#This Row],[Work Start TimeStamp]]-Table6[[#This Row],[Fault Start TimeStamp]])*24)</f>
        <v>23.999722222222225</v>
      </c>
      <c r="S880" s="349">
        <f>(Table6[[#This Row],[Fault Clearance time]]-Table6[[#This Row],[Work Start TimeStamp]])*24</f>
        <v>0</v>
      </c>
      <c r="T880" s="350">
        <f>(Table6[[#This Row],[Fault Clearance time]]-Table6[[#This Row],[Fault Start TimeStamp]])*24</f>
        <v>23.999722222222225</v>
      </c>
      <c r="U880" s="346" t="s">
        <v>498</v>
      </c>
      <c r="V880" s="351" t="s">
        <v>473</v>
      </c>
      <c r="W880" s="338">
        <f>Table6[[#This Row],[Breakdown Time]]*(1/39)</f>
        <v>0.61537749287749288</v>
      </c>
      <c r="X880" s="336" t="s">
        <v>1212</v>
      </c>
      <c r="Y880" s="352" t="s">
        <v>143</v>
      </c>
      <c r="Z880" s="105">
        <v>16041</v>
      </c>
      <c r="AA880" s="107">
        <f>IFERROR((Table6[[#This Row],[Paired WTG Generation for loss calculation]]/24)*Table6[[#This Row],[Breakdown Time]],"")</f>
        <v>16040.814340277779</v>
      </c>
      <c r="AB880" s="105" t="s">
        <v>478</v>
      </c>
    </row>
    <row r="881" spans="1:28">
      <c r="A881" s="105">
        <f t="shared" si="13"/>
        <v>880</v>
      </c>
      <c r="B881" s="107">
        <f>YEAR(Table6[[#This Row],[Date]])+IF(MONTH(Table6[[#This Row],[Date]])&gt;=4,1,0)</f>
        <v>2026</v>
      </c>
      <c r="C881" s="105">
        <f>YEAR(Table6[[#This Row],[Date]])</f>
        <v>2025</v>
      </c>
      <c r="D881" s="105" t="s">
        <v>490</v>
      </c>
      <c r="E881" s="119">
        <f>Table6[[#This Row],[Date]]-DAY(Table6[[#This Row],[Date]])+1</f>
        <v>45809</v>
      </c>
      <c r="F881" s="118">
        <v>45835</v>
      </c>
      <c r="G881" s="105" t="s">
        <v>131</v>
      </c>
      <c r="H881" s="39" t="str">
        <f>_xlfn.XLOOKUP(Table6[[#This Row],[Affected WTG]],'Basic Data'!$A:$A,'Basic Data'!$B:$B)</f>
        <v>PWEGPL</v>
      </c>
      <c r="I881" s="39" t="str">
        <f>_xlfn.XLOOKUP(Table6[[#This Row],[Affected WTG]],'Basic Data'!$A:$A,'Basic Data'!$C:$C)</f>
        <v>MSEDCL</v>
      </c>
      <c r="J881" s="345">
        <f>IFERROR(VLOOKUP(Table6[[#This Row],[Affected WTG]],'Basic Data'!$A$3:$E$56,5,0),"")</f>
        <v>2.564102564102564E-2</v>
      </c>
      <c r="K881" s="105" t="s">
        <v>492</v>
      </c>
      <c r="L881" s="39" t="str">
        <f>IFERROR(VLOOKUP(Table6[[#This Row],[Error Code]],'Basic Data'!$T:$U,2,0),"")</f>
        <v>Manual Stop - Safety Related</v>
      </c>
      <c r="M881" s="346" t="s">
        <v>462</v>
      </c>
      <c r="N881" s="39" t="s">
        <v>1270</v>
      </c>
      <c r="O881" s="347">
        <v>0</v>
      </c>
      <c r="P881" s="347">
        <v>0.99998842592592596</v>
      </c>
      <c r="Q881" s="347">
        <v>0.99998842592592596</v>
      </c>
      <c r="R881" s="348">
        <f>IF(Table6[[#This Row],[Work Start TimeStamp]]="","",(Table6[[#This Row],[Work Start TimeStamp]]-Table6[[#This Row],[Fault Start TimeStamp]])*24)</f>
        <v>23.999722222222225</v>
      </c>
      <c r="S881" s="349">
        <f>(Table6[[#This Row],[Fault Clearance time]]-Table6[[#This Row],[Work Start TimeStamp]])*24</f>
        <v>0</v>
      </c>
      <c r="T881" s="350">
        <f>(Table6[[#This Row],[Fault Clearance time]]-Table6[[#This Row],[Fault Start TimeStamp]])*24</f>
        <v>23.999722222222225</v>
      </c>
      <c r="U881" s="346" t="s">
        <v>1247</v>
      </c>
      <c r="V881" s="351" t="s">
        <v>473</v>
      </c>
      <c r="W881" s="338">
        <f>Table6[[#This Row],[Breakdown Time]]*(1/39)</f>
        <v>0.61537749287749288</v>
      </c>
      <c r="X881" s="336" t="s">
        <v>465</v>
      </c>
      <c r="Y881" s="352" t="s">
        <v>132</v>
      </c>
      <c r="Z881" s="105">
        <v>16043</v>
      </c>
      <c r="AA881" s="107">
        <f>IFERROR((Table6[[#This Row],[Paired WTG Generation for loss calculation]]/24)*Table6[[#This Row],[Breakdown Time]],"")</f>
        <v>16042.814317129632</v>
      </c>
      <c r="AB881" s="105" t="s">
        <v>478</v>
      </c>
    </row>
    <row r="882" spans="1:28">
      <c r="A882" s="105">
        <f t="shared" si="13"/>
        <v>881</v>
      </c>
      <c r="B882" s="107">
        <f>YEAR(Table6[[#This Row],[Date]])+IF(MONTH(Table6[[#This Row],[Date]])&gt;=4,1,0)</f>
        <v>2026</v>
      </c>
      <c r="C882" s="105">
        <f>YEAR(Table6[[#This Row],[Date]])</f>
        <v>2025</v>
      </c>
      <c r="D882" s="105" t="s">
        <v>490</v>
      </c>
      <c r="E882" s="119">
        <f>Table6[[#This Row],[Date]]-DAY(Table6[[#This Row],[Date]])+1</f>
        <v>45809</v>
      </c>
      <c r="F882" s="118">
        <v>45835</v>
      </c>
      <c r="G882" s="105" t="s">
        <v>115</v>
      </c>
      <c r="H882" s="39" t="str">
        <f>_xlfn.XLOOKUP(Table6[[#This Row],[Affected WTG]],'Basic Data'!$A:$A,'Basic Data'!$B:$B)</f>
        <v>PWEGPL</v>
      </c>
      <c r="I882" s="39" t="str">
        <f>_xlfn.XLOOKUP(Table6[[#This Row],[Affected WTG]],'Basic Data'!$A:$A,'Basic Data'!$C:$C)</f>
        <v>MSEDCL</v>
      </c>
      <c r="J882" s="345">
        <f>IFERROR(VLOOKUP(Table6[[#This Row],[Affected WTG]],'Basic Data'!$A$3:$E$56,5,0),"")</f>
        <v>2.564102564102564E-2</v>
      </c>
      <c r="K882" s="105">
        <v>401</v>
      </c>
      <c r="L882" s="39" t="str">
        <f>IFERROR(VLOOKUP(Table6[[#This Row],[Error Code]],'Basic Data'!$T:$U,2,0),"")</f>
        <v>Low Pressure In Gearbox</v>
      </c>
      <c r="M882" s="346" t="s">
        <v>462</v>
      </c>
      <c r="N882" s="39" t="s">
        <v>1270</v>
      </c>
      <c r="O882" s="347">
        <v>0.44791666666666669</v>
      </c>
      <c r="P882" s="347">
        <v>0.46458333333333335</v>
      </c>
      <c r="Q882" s="347">
        <v>0.51111111111111107</v>
      </c>
      <c r="R882" s="348">
        <f>IF(Table6[[#This Row],[Work Start TimeStamp]]="","",(Table6[[#This Row],[Work Start TimeStamp]]-Table6[[#This Row],[Fault Start TimeStamp]])*24)</f>
        <v>0.39999999999999991</v>
      </c>
      <c r="S882" s="349">
        <f>(Table6[[#This Row],[Fault Clearance time]]-Table6[[#This Row],[Work Start TimeStamp]])*24</f>
        <v>1.1166666666666654</v>
      </c>
      <c r="T882" s="350">
        <f>(Table6[[#This Row],[Fault Clearance time]]-Table6[[#This Row],[Fault Start TimeStamp]])*24</f>
        <v>1.5166666666666653</v>
      </c>
      <c r="U882" s="346" t="s">
        <v>1311</v>
      </c>
      <c r="V882" s="351" t="s">
        <v>463</v>
      </c>
      <c r="W882" s="338">
        <f>Table6[[#This Row],[Breakdown Time]]*(1/39)</f>
        <v>3.8888888888888855E-2</v>
      </c>
      <c r="X882" s="336" t="s">
        <v>465</v>
      </c>
      <c r="Y882" s="352" t="s">
        <v>121</v>
      </c>
      <c r="Z882" s="105">
        <v>16015</v>
      </c>
      <c r="AA882" s="107">
        <f>IFERROR((Table6[[#This Row],[Paired WTG Generation for loss calculation]]/24)*Table6[[#This Row],[Breakdown Time]],"")</f>
        <v>1012.0590277777768</v>
      </c>
      <c r="AB882" s="105" t="s">
        <v>478</v>
      </c>
    </row>
    <row r="883" spans="1:28">
      <c r="A883" s="105">
        <f t="shared" si="13"/>
        <v>882</v>
      </c>
      <c r="B883" s="107">
        <f>YEAR(Table6[[#This Row],[Date]])+IF(MONTH(Table6[[#This Row],[Date]])&gt;=4,1,0)</f>
        <v>2026</v>
      </c>
      <c r="C883" s="105">
        <f>YEAR(Table6[[#This Row],[Date]])</f>
        <v>2025</v>
      </c>
      <c r="D883" s="105" t="s">
        <v>490</v>
      </c>
      <c r="E883" s="119">
        <f>Table6[[#This Row],[Date]]-DAY(Table6[[#This Row],[Date]])+1</f>
        <v>45809</v>
      </c>
      <c r="F883" s="118">
        <v>45835</v>
      </c>
      <c r="G883" s="105" t="s">
        <v>141</v>
      </c>
      <c r="H883" s="39" t="str">
        <f>_xlfn.XLOOKUP(Table6[[#This Row],[Affected WTG]],'Basic Data'!$A:$A,'Basic Data'!$B:$B)</f>
        <v>PWEGPL</v>
      </c>
      <c r="I883" s="39" t="str">
        <f>_xlfn.XLOOKUP(Table6[[#This Row],[Affected WTG]],'Basic Data'!$A:$A,'Basic Data'!$C:$C)</f>
        <v>MSEDCL</v>
      </c>
      <c r="J883" s="345">
        <f>IFERROR(VLOOKUP(Table6[[#This Row],[Affected WTG]],'Basic Data'!$A$3:$E$56,5,0),"")</f>
        <v>2.564102564102564E-2</v>
      </c>
      <c r="K883" s="105">
        <v>203</v>
      </c>
      <c r="L883" s="39" t="str">
        <f>IFERROR(VLOOKUP(Table6[[#This Row],[Error Code]],'Basic Data'!$T:$U,2,0),"")</f>
        <v>Low Pressure On Hydraulic Group</v>
      </c>
      <c r="M883" s="346" t="s">
        <v>462</v>
      </c>
      <c r="N883" s="39" t="s">
        <v>1270</v>
      </c>
      <c r="O883" s="347">
        <v>0.38541666666666669</v>
      </c>
      <c r="P883" s="347">
        <v>0.45624999999999999</v>
      </c>
      <c r="Q883" s="347">
        <v>0.875</v>
      </c>
      <c r="R883" s="348">
        <f>IF(Table6[[#This Row],[Work Start TimeStamp]]="","",(Table6[[#This Row],[Work Start TimeStamp]]-Table6[[#This Row],[Fault Start TimeStamp]])*24)</f>
        <v>1.6999999999999993</v>
      </c>
      <c r="S883" s="349">
        <f>(Table6[[#This Row],[Fault Clearance time]]-Table6[[#This Row],[Work Start TimeStamp]])*24</f>
        <v>10.050000000000001</v>
      </c>
      <c r="T883" s="350">
        <f>(Table6[[#This Row],[Fault Clearance time]]-Table6[[#This Row],[Fault Start TimeStamp]])*24</f>
        <v>11.75</v>
      </c>
      <c r="U883" s="346" t="s">
        <v>1312</v>
      </c>
      <c r="V883" s="351" t="s">
        <v>463</v>
      </c>
      <c r="W883" s="338">
        <f>Table6[[#This Row],[Breakdown Time]]*(1/39)</f>
        <v>0.30128205128205127</v>
      </c>
      <c r="X883" s="336" t="s">
        <v>465</v>
      </c>
      <c r="Y883" s="352" t="s">
        <v>143</v>
      </c>
      <c r="Z883" s="105">
        <v>16041</v>
      </c>
      <c r="AA883" s="107">
        <f>IFERROR((Table6[[#This Row],[Paired WTG Generation for loss calculation]]/24)*Table6[[#This Row],[Breakdown Time]],"")</f>
        <v>7853.40625</v>
      </c>
      <c r="AB883" s="105" t="s">
        <v>478</v>
      </c>
    </row>
    <row r="884" spans="1:28">
      <c r="A884" s="105">
        <f t="shared" si="13"/>
        <v>883</v>
      </c>
      <c r="B884" s="107">
        <f>YEAR(Table6[[#This Row],[Date]])+IF(MONTH(Table6[[#This Row],[Date]])&gt;=4,1,0)</f>
        <v>2026</v>
      </c>
      <c r="C884" s="105">
        <f>YEAR(Table6[[#This Row],[Date]])</f>
        <v>2025</v>
      </c>
      <c r="D884" s="105" t="s">
        <v>490</v>
      </c>
      <c r="E884" s="119">
        <f>Table6[[#This Row],[Date]]-DAY(Table6[[#This Row],[Date]])+1</f>
        <v>45809</v>
      </c>
      <c r="F884" s="118">
        <v>45836</v>
      </c>
      <c r="G884" s="105" t="s">
        <v>144</v>
      </c>
      <c r="H884" s="39" t="str">
        <f>_xlfn.XLOOKUP(Table6[[#This Row],[Affected WTG]],'Basic Data'!$A:$A,'Basic Data'!$B:$B)</f>
        <v>PWEGPL</v>
      </c>
      <c r="I884" s="39" t="str">
        <f>_xlfn.XLOOKUP(Table6[[#This Row],[Affected WTG]],'Basic Data'!$A:$A,'Basic Data'!$C:$C)</f>
        <v>MSEDCL</v>
      </c>
      <c r="J884" s="345">
        <f>IFERROR(VLOOKUP(Table6[[#This Row],[Affected WTG]],'Basic Data'!$A$3:$E$56,5,0),"")</f>
        <v>2.564102564102564E-2</v>
      </c>
      <c r="K884" s="105" t="s">
        <v>492</v>
      </c>
      <c r="L884" s="39" t="str">
        <f>IFERROR(VLOOKUP(Table6[[#This Row],[Error Code]],'Basic Data'!$T:$U,2,0),"")</f>
        <v>Manual Stop - Safety Related</v>
      </c>
      <c r="M884" s="346" t="s">
        <v>481</v>
      </c>
      <c r="N884" s="39" t="s">
        <v>1269</v>
      </c>
      <c r="O884" s="347">
        <v>0</v>
      </c>
      <c r="P884" s="347">
        <v>0.99998842592592596</v>
      </c>
      <c r="Q884" s="347">
        <v>0.99998842592592596</v>
      </c>
      <c r="R884" s="348">
        <f>IF(Table6[[#This Row],[Work Start TimeStamp]]="","",(Table6[[#This Row],[Work Start TimeStamp]]-Table6[[#This Row],[Fault Start TimeStamp]])*24)</f>
        <v>23.999722222222225</v>
      </c>
      <c r="S884" s="349">
        <f>(Table6[[#This Row],[Fault Clearance time]]-Table6[[#This Row],[Work Start TimeStamp]])*24</f>
        <v>0</v>
      </c>
      <c r="T884" s="350">
        <f>(Table6[[#This Row],[Fault Clearance time]]-Table6[[#This Row],[Fault Start TimeStamp]])*24</f>
        <v>23.999722222222225</v>
      </c>
      <c r="U884" s="346" t="s">
        <v>498</v>
      </c>
      <c r="V884" s="351" t="s">
        <v>473</v>
      </c>
      <c r="W884" s="338">
        <f>Table6[[#This Row],[Breakdown Time]]*(1/39)</f>
        <v>0.61537749287749288</v>
      </c>
      <c r="X884" s="336" t="s">
        <v>1212</v>
      </c>
      <c r="Y884" s="352" t="s">
        <v>143</v>
      </c>
      <c r="Z884" s="105">
        <v>23418</v>
      </c>
      <c r="AA884" s="107">
        <f>IFERROR((Table6[[#This Row],[Paired WTG Generation for loss calculation]]/24)*Table6[[#This Row],[Breakdown Time]],"")</f>
        <v>23417.728958333337</v>
      </c>
      <c r="AB884" s="105" t="s">
        <v>478</v>
      </c>
    </row>
    <row r="885" spans="1:28">
      <c r="A885" s="105">
        <f t="shared" si="13"/>
        <v>884</v>
      </c>
      <c r="B885" s="107">
        <f>YEAR(Table6[[#This Row],[Date]])+IF(MONTH(Table6[[#This Row],[Date]])&gt;=4,1,0)</f>
        <v>2026</v>
      </c>
      <c r="C885" s="105">
        <f>YEAR(Table6[[#This Row],[Date]])</f>
        <v>2025</v>
      </c>
      <c r="D885" s="105" t="s">
        <v>490</v>
      </c>
      <c r="E885" s="119">
        <f>Table6[[#This Row],[Date]]-DAY(Table6[[#This Row],[Date]])+1</f>
        <v>45809</v>
      </c>
      <c r="F885" s="118">
        <v>45836</v>
      </c>
      <c r="G885" s="105" t="s">
        <v>142</v>
      </c>
      <c r="H885" s="39" t="str">
        <f>_xlfn.XLOOKUP(Table6[[#This Row],[Affected WTG]],'Basic Data'!$A:$A,'Basic Data'!$B:$B)</f>
        <v>PWEGPL</v>
      </c>
      <c r="I885" s="39" t="str">
        <f>_xlfn.XLOOKUP(Table6[[#This Row],[Affected WTG]],'Basic Data'!$A:$A,'Basic Data'!$C:$C)</f>
        <v>MSEDCL</v>
      </c>
      <c r="J885" s="345">
        <f>IFERROR(VLOOKUP(Table6[[#This Row],[Affected WTG]],'Basic Data'!$A$3:$E$56,5,0),"")</f>
        <v>2.564102564102564E-2</v>
      </c>
      <c r="K885" s="105" t="s">
        <v>492</v>
      </c>
      <c r="L885" s="39" t="str">
        <f>IFERROR(VLOOKUP(Table6[[#This Row],[Error Code]],'Basic Data'!$T:$U,2,0),"")</f>
        <v>Manual Stop - Safety Related</v>
      </c>
      <c r="M885" s="346" t="s">
        <v>481</v>
      </c>
      <c r="N885" s="39" t="s">
        <v>1269</v>
      </c>
      <c r="O885" s="347">
        <v>0</v>
      </c>
      <c r="P885" s="347">
        <v>0.99998842592592596</v>
      </c>
      <c r="Q885" s="347">
        <v>0.99998842592592596</v>
      </c>
      <c r="R885" s="348">
        <f>IF(Table6[[#This Row],[Work Start TimeStamp]]="","",(Table6[[#This Row],[Work Start TimeStamp]]-Table6[[#This Row],[Fault Start TimeStamp]])*24)</f>
        <v>23.999722222222225</v>
      </c>
      <c r="S885" s="349">
        <f>(Table6[[#This Row],[Fault Clearance time]]-Table6[[#This Row],[Work Start TimeStamp]])*24</f>
        <v>0</v>
      </c>
      <c r="T885" s="350">
        <f>(Table6[[#This Row],[Fault Clearance time]]-Table6[[#This Row],[Fault Start TimeStamp]])*24</f>
        <v>23.999722222222225</v>
      </c>
      <c r="U885" s="346" t="s">
        <v>498</v>
      </c>
      <c r="V885" s="351" t="s">
        <v>473</v>
      </c>
      <c r="W885" s="338">
        <f>Table6[[#This Row],[Breakdown Time]]*(1/39)</f>
        <v>0.61537749287749288</v>
      </c>
      <c r="X885" s="336" t="s">
        <v>1212</v>
      </c>
      <c r="Y885" s="352" t="s">
        <v>143</v>
      </c>
      <c r="Z885" s="105">
        <v>23418</v>
      </c>
      <c r="AA885" s="107">
        <f>IFERROR((Table6[[#This Row],[Paired WTG Generation for loss calculation]]/24)*Table6[[#This Row],[Breakdown Time]],"")</f>
        <v>23417.728958333337</v>
      </c>
      <c r="AB885" s="105" t="s">
        <v>478</v>
      </c>
    </row>
    <row r="886" spans="1:28">
      <c r="A886" s="105">
        <f t="shared" si="13"/>
        <v>885</v>
      </c>
      <c r="B886" s="107">
        <f>YEAR(Table6[[#This Row],[Date]])+IF(MONTH(Table6[[#This Row],[Date]])&gt;=4,1,0)</f>
        <v>2026</v>
      </c>
      <c r="C886" s="105">
        <f>YEAR(Table6[[#This Row],[Date]])</f>
        <v>2025</v>
      </c>
      <c r="D886" s="105" t="s">
        <v>490</v>
      </c>
      <c r="E886" s="119">
        <f>Table6[[#This Row],[Date]]-DAY(Table6[[#This Row],[Date]])+1</f>
        <v>45809</v>
      </c>
      <c r="F886" s="118">
        <v>45836</v>
      </c>
      <c r="G886" s="105" t="s">
        <v>131</v>
      </c>
      <c r="H886" s="39" t="str">
        <f>_xlfn.XLOOKUP(Table6[[#This Row],[Affected WTG]],'Basic Data'!$A:$A,'Basic Data'!$B:$B)</f>
        <v>PWEGPL</v>
      </c>
      <c r="I886" s="39" t="str">
        <f>_xlfn.XLOOKUP(Table6[[#This Row],[Affected WTG]],'Basic Data'!$A:$A,'Basic Data'!$C:$C)</f>
        <v>MSEDCL</v>
      </c>
      <c r="J886" s="345">
        <f>IFERROR(VLOOKUP(Table6[[#This Row],[Affected WTG]],'Basic Data'!$A$3:$E$56,5,0),"")</f>
        <v>2.564102564102564E-2</v>
      </c>
      <c r="K886" s="105" t="s">
        <v>492</v>
      </c>
      <c r="L886" s="39" t="str">
        <f>IFERROR(VLOOKUP(Table6[[#This Row],[Error Code]],'Basic Data'!$T:$U,2,0),"")</f>
        <v>Manual Stop - Safety Related</v>
      </c>
      <c r="M886" s="346" t="s">
        <v>462</v>
      </c>
      <c r="N886" s="39" t="s">
        <v>1270</v>
      </c>
      <c r="O886" s="347">
        <v>0</v>
      </c>
      <c r="P886" s="347">
        <v>0.99998842592592596</v>
      </c>
      <c r="Q886" s="347">
        <v>0.99998842592592596</v>
      </c>
      <c r="R886" s="348">
        <f>IF(Table6[[#This Row],[Work Start TimeStamp]]="","",(Table6[[#This Row],[Work Start TimeStamp]]-Table6[[#This Row],[Fault Start TimeStamp]])*24)</f>
        <v>23.999722222222225</v>
      </c>
      <c r="S886" s="349">
        <f>(Table6[[#This Row],[Fault Clearance time]]-Table6[[#This Row],[Work Start TimeStamp]])*24</f>
        <v>0</v>
      </c>
      <c r="T886" s="350">
        <f>(Table6[[#This Row],[Fault Clearance time]]-Table6[[#This Row],[Fault Start TimeStamp]])*24</f>
        <v>23.999722222222225</v>
      </c>
      <c r="U886" s="346" t="s">
        <v>1247</v>
      </c>
      <c r="V886" s="351" t="s">
        <v>473</v>
      </c>
      <c r="W886" s="338">
        <f>Table6[[#This Row],[Breakdown Time]]*(1/39)</f>
        <v>0.61537749287749288</v>
      </c>
      <c r="X886" s="336" t="s">
        <v>465</v>
      </c>
      <c r="Y886" s="352" t="s">
        <v>132</v>
      </c>
      <c r="Z886" s="105">
        <v>23109</v>
      </c>
      <c r="AA886" s="107">
        <f>IFERROR((Table6[[#This Row],[Paired WTG Generation for loss calculation]]/24)*Table6[[#This Row],[Breakdown Time]],"")</f>
        <v>23108.732534722225</v>
      </c>
      <c r="AB886" s="105" t="s">
        <v>478</v>
      </c>
    </row>
    <row r="887" spans="1:28">
      <c r="A887" s="105">
        <f t="shared" si="13"/>
        <v>886</v>
      </c>
      <c r="B887" s="107">
        <f>YEAR(Table6[[#This Row],[Date]])+IF(MONTH(Table6[[#This Row],[Date]])&gt;=4,1,0)</f>
        <v>2026</v>
      </c>
      <c r="C887" s="105">
        <f>YEAR(Table6[[#This Row],[Date]])</f>
        <v>2025</v>
      </c>
      <c r="D887" s="105" t="s">
        <v>490</v>
      </c>
      <c r="E887" s="119">
        <f>Table6[[#This Row],[Date]]-DAY(Table6[[#This Row],[Date]])+1</f>
        <v>45809</v>
      </c>
      <c r="F887" s="118">
        <v>45836</v>
      </c>
      <c r="G887" s="105" t="s">
        <v>116</v>
      </c>
      <c r="H887" s="39" t="str">
        <f>_xlfn.XLOOKUP(Table6[[#This Row],[Affected WTG]],'Basic Data'!$A:$A,'Basic Data'!$B:$B)</f>
        <v>PWEGPL</v>
      </c>
      <c r="I887" s="39" t="str">
        <f>_xlfn.XLOOKUP(Table6[[#This Row],[Affected WTG]],'Basic Data'!$A:$A,'Basic Data'!$C:$C)</f>
        <v>MSEDCL</v>
      </c>
      <c r="J887" s="345">
        <f>IFERROR(VLOOKUP(Table6[[#This Row],[Affected WTG]],'Basic Data'!$A$3:$E$56,5,0),"")</f>
        <v>2.564102564102564E-2</v>
      </c>
      <c r="K887" s="105">
        <v>700</v>
      </c>
      <c r="L887" s="39" t="str">
        <f>IFERROR(VLOOKUP(Table6[[#This Row],[Error Code]],'Basic Data'!$T:$U,2,0),"")</f>
        <v>PLC-Converter Communication Error</v>
      </c>
      <c r="M887" s="346" t="s">
        <v>462</v>
      </c>
      <c r="N887" s="39" t="s">
        <v>1270</v>
      </c>
      <c r="O887" s="347">
        <v>0.59027777777777779</v>
      </c>
      <c r="P887" s="347">
        <v>0.61458333333333337</v>
      </c>
      <c r="Q887" s="347">
        <v>0.82291666666666663</v>
      </c>
      <c r="R887" s="348">
        <f>IF(Table6[[#This Row],[Work Start TimeStamp]]="","",(Table6[[#This Row],[Work Start TimeStamp]]-Table6[[#This Row],[Fault Start TimeStamp]])*24)</f>
        <v>0.58333333333333393</v>
      </c>
      <c r="S887" s="349">
        <f>(Table6[[#This Row],[Fault Clearance time]]-Table6[[#This Row],[Work Start TimeStamp]])*24</f>
        <v>4.9999999999999982</v>
      </c>
      <c r="T887" s="350">
        <f>(Table6[[#This Row],[Fault Clearance time]]-Table6[[#This Row],[Fault Start TimeStamp]])*24</f>
        <v>5.5833333333333321</v>
      </c>
      <c r="U887" s="346" t="s">
        <v>1322</v>
      </c>
      <c r="V887" s="351" t="s">
        <v>463</v>
      </c>
      <c r="W887" s="338">
        <f>Table6[[#This Row],[Breakdown Time]]*(1/39)</f>
        <v>0.14316239316239313</v>
      </c>
      <c r="X887" s="336" t="s">
        <v>465</v>
      </c>
      <c r="Y887" s="352" t="s">
        <v>118</v>
      </c>
      <c r="Z887" s="105">
        <v>23335</v>
      </c>
      <c r="AA887" s="107">
        <f>IFERROR((Table6[[#This Row],[Paired WTG Generation for loss calculation]]/24)*Table6[[#This Row],[Breakdown Time]],"")</f>
        <v>5428.6284722222208</v>
      </c>
      <c r="AB887" s="105" t="s">
        <v>478</v>
      </c>
    </row>
    <row r="888" spans="1:28">
      <c r="A888" s="105">
        <f t="shared" si="13"/>
        <v>887</v>
      </c>
      <c r="B888" s="107">
        <f>YEAR(Table6[[#This Row],[Date]])+IF(MONTH(Table6[[#This Row],[Date]])&gt;=4,1,0)</f>
        <v>2026</v>
      </c>
      <c r="C888" s="105">
        <f>YEAR(Table6[[#This Row],[Date]])</f>
        <v>2025</v>
      </c>
      <c r="D888" s="105" t="s">
        <v>490</v>
      </c>
      <c r="E888" s="119">
        <f>Table6[[#This Row],[Date]]-DAY(Table6[[#This Row],[Date]])+1</f>
        <v>45809</v>
      </c>
      <c r="F888" s="118">
        <v>45836</v>
      </c>
      <c r="G888" s="105" t="s">
        <v>126</v>
      </c>
      <c r="H888" s="39" t="str">
        <f>_xlfn.XLOOKUP(Table6[[#This Row],[Affected WTG]],'Basic Data'!$A:$A,'Basic Data'!$B:$B)</f>
        <v>PWEGPL</v>
      </c>
      <c r="I888" s="39" t="str">
        <f>_xlfn.XLOOKUP(Table6[[#This Row],[Affected WTG]],'Basic Data'!$A:$A,'Basic Data'!$C:$C)</f>
        <v>MSEDCL</v>
      </c>
      <c r="J888" s="345">
        <f>IFERROR(VLOOKUP(Table6[[#This Row],[Affected WTG]],'Basic Data'!$A$3:$E$56,5,0),"")</f>
        <v>2.564102564102564E-2</v>
      </c>
      <c r="K888" s="105">
        <v>203</v>
      </c>
      <c r="L888" s="39" t="str">
        <f>IFERROR(VLOOKUP(Table6[[#This Row],[Error Code]],'Basic Data'!$T:$U,2,0),"")</f>
        <v>Low Pressure On Hydraulic Group</v>
      </c>
      <c r="M888" s="346" t="s">
        <v>462</v>
      </c>
      <c r="N888" s="39" t="s">
        <v>1270</v>
      </c>
      <c r="O888" s="347">
        <v>0.63888888888888884</v>
      </c>
      <c r="P888" s="347">
        <v>0.66180555555555554</v>
      </c>
      <c r="Q888" s="347">
        <v>0.79166666666666663</v>
      </c>
      <c r="R888" s="348">
        <f>IF(Table6[[#This Row],[Work Start TimeStamp]]="","",(Table6[[#This Row],[Work Start TimeStamp]]-Table6[[#This Row],[Fault Start TimeStamp]])*24)</f>
        <v>0.55000000000000071</v>
      </c>
      <c r="S888" s="349">
        <f>(Table6[[#This Row],[Fault Clearance time]]-Table6[[#This Row],[Work Start TimeStamp]])*24</f>
        <v>3.1166666666666663</v>
      </c>
      <c r="T888" s="350">
        <f>(Table6[[#This Row],[Fault Clearance time]]-Table6[[#This Row],[Fault Start TimeStamp]])*24</f>
        <v>3.666666666666667</v>
      </c>
      <c r="U888" s="346" t="s">
        <v>1317</v>
      </c>
      <c r="V888" s="351" t="s">
        <v>463</v>
      </c>
      <c r="W888" s="338">
        <f>Table6[[#This Row],[Breakdown Time]]*(1/39)</f>
        <v>9.4017094017094016E-2</v>
      </c>
      <c r="X888" s="336" t="s">
        <v>465</v>
      </c>
      <c r="Y888" s="352" t="s">
        <v>127</v>
      </c>
      <c r="Z888" s="105">
        <v>23421</v>
      </c>
      <c r="AA888" s="107">
        <f>IFERROR((Table6[[#This Row],[Paired WTG Generation for loss calculation]]/24)*Table6[[#This Row],[Breakdown Time]],"")</f>
        <v>3578.2083333333335</v>
      </c>
      <c r="AB888" s="105" t="s">
        <v>478</v>
      </c>
    </row>
    <row r="889" spans="1:28">
      <c r="A889" s="105">
        <f t="shared" si="13"/>
        <v>888</v>
      </c>
      <c r="B889" s="107">
        <f>YEAR(Table6[[#This Row],[Date]])+IF(MONTH(Table6[[#This Row],[Date]])&gt;=4,1,0)</f>
        <v>2026</v>
      </c>
      <c r="C889" s="105">
        <f>YEAR(Table6[[#This Row],[Date]])</f>
        <v>2025</v>
      </c>
      <c r="D889" s="105" t="s">
        <v>490</v>
      </c>
      <c r="E889" s="119">
        <f>Table6[[#This Row],[Date]]-DAY(Table6[[#This Row],[Date]])+1</f>
        <v>45809</v>
      </c>
      <c r="F889" s="118">
        <v>45836</v>
      </c>
      <c r="G889" s="105" t="s">
        <v>123</v>
      </c>
      <c r="H889" s="39" t="str">
        <f>_xlfn.XLOOKUP(Table6[[#This Row],[Affected WTG]],'Basic Data'!$A:$A,'Basic Data'!$B:$B)</f>
        <v>PWEGPL</v>
      </c>
      <c r="I889" s="39" t="str">
        <f>_xlfn.XLOOKUP(Table6[[#This Row],[Affected WTG]],'Basic Data'!$A:$A,'Basic Data'!$C:$C)</f>
        <v>MSEDCL</v>
      </c>
      <c r="J889" s="345">
        <f>IFERROR(VLOOKUP(Table6[[#This Row],[Affected WTG]],'Basic Data'!$A$3:$E$56,5,0),"")</f>
        <v>2.564102564102564E-2</v>
      </c>
      <c r="K889" s="105">
        <v>203</v>
      </c>
      <c r="L889" s="39" t="str">
        <f>IFERROR(VLOOKUP(Table6[[#This Row],[Error Code]],'Basic Data'!$T:$U,2,0),"")</f>
        <v>Low Pressure On Hydraulic Group</v>
      </c>
      <c r="M889" s="346" t="s">
        <v>462</v>
      </c>
      <c r="N889" s="39" t="s">
        <v>1270</v>
      </c>
      <c r="O889" s="347">
        <v>0.65277777777777779</v>
      </c>
      <c r="P889" s="347">
        <v>0.66388888888888886</v>
      </c>
      <c r="Q889" s="347">
        <v>0.77083333333333337</v>
      </c>
      <c r="R889" s="348">
        <f>IF(Table6[[#This Row],[Work Start TimeStamp]]="","",(Table6[[#This Row],[Work Start TimeStamp]]-Table6[[#This Row],[Fault Start TimeStamp]])*24)</f>
        <v>0.26666666666666572</v>
      </c>
      <c r="S889" s="349">
        <f>(Table6[[#This Row],[Fault Clearance time]]-Table6[[#This Row],[Work Start TimeStamp]])*24</f>
        <v>2.5666666666666682</v>
      </c>
      <c r="T889" s="350">
        <f>(Table6[[#This Row],[Fault Clearance time]]-Table6[[#This Row],[Fault Start TimeStamp]])*24</f>
        <v>2.8333333333333339</v>
      </c>
      <c r="U889" s="346" t="s">
        <v>1318</v>
      </c>
      <c r="V889" s="351" t="s">
        <v>463</v>
      </c>
      <c r="W889" s="338">
        <f>Table6[[#This Row],[Breakdown Time]]*(1/39)</f>
        <v>7.2649572649572669E-2</v>
      </c>
      <c r="X889" s="336" t="s">
        <v>465</v>
      </c>
      <c r="Y889" s="352" t="s">
        <v>127</v>
      </c>
      <c r="Z889" s="105">
        <v>23421</v>
      </c>
      <c r="AA889" s="107">
        <f>IFERROR((Table6[[#This Row],[Paired WTG Generation for loss calculation]]/24)*Table6[[#This Row],[Breakdown Time]],"")</f>
        <v>2764.9791666666674</v>
      </c>
      <c r="AB889" s="105" t="s">
        <v>478</v>
      </c>
    </row>
    <row r="890" spans="1:28">
      <c r="A890" s="105">
        <f t="shared" si="13"/>
        <v>889</v>
      </c>
      <c r="B890" s="107">
        <f>YEAR(Table6[[#This Row],[Date]])+IF(MONTH(Table6[[#This Row],[Date]])&gt;=4,1,0)</f>
        <v>2026</v>
      </c>
      <c r="C890" s="105">
        <f>YEAR(Table6[[#This Row],[Date]])</f>
        <v>2025</v>
      </c>
      <c r="D890" s="105" t="s">
        <v>490</v>
      </c>
      <c r="E890" s="119">
        <f>Table6[[#This Row],[Date]]-DAY(Table6[[#This Row],[Date]])+1</f>
        <v>45809</v>
      </c>
      <c r="F890" s="118">
        <v>45836</v>
      </c>
      <c r="G890" s="105" t="s">
        <v>117</v>
      </c>
      <c r="H890" s="39" t="str">
        <f>_xlfn.XLOOKUP(Table6[[#This Row],[Affected WTG]],'Basic Data'!$A:$A,'Basic Data'!$B:$B)</f>
        <v>PWEGPL</v>
      </c>
      <c r="I890" s="39" t="str">
        <f>_xlfn.XLOOKUP(Table6[[#This Row],[Affected WTG]],'Basic Data'!$A:$A,'Basic Data'!$C:$C)</f>
        <v>MSEDCL</v>
      </c>
      <c r="J890" s="345">
        <f>IFERROR(VLOOKUP(Table6[[#This Row],[Affected WTG]],'Basic Data'!$A$3:$E$56,5,0),"")</f>
        <v>2.564102564102564E-2</v>
      </c>
      <c r="K890" s="105">
        <v>2118</v>
      </c>
      <c r="L890" s="39" t="str">
        <f>IFERROR(VLOOKUP(Table6[[#This Row],[Error Code]],'Basic Data'!$T:$U,2,0),"")</f>
        <v>Bus Error - Interbus Failure</v>
      </c>
      <c r="M890" s="346" t="s">
        <v>462</v>
      </c>
      <c r="N890" s="39" t="s">
        <v>1270</v>
      </c>
      <c r="O890" s="347">
        <v>0.51041666666666663</v>
      </c>
      <c r="P890" s="347">
        <v>0.51736111111111116</v>
      </c>
      <c r="Q890" s="347">
        <v>0.5625</v>
      </c>
      <c r="R890" s="348">
        <f>IF(Table6[[#This Row],[Work Start TimeStamp]]="","",(Table6[[#This Row],[Work Start TimeStamp]]-Table6[[#This Row],[Fault Start TimeStamp]])*24)</f>
        <v>0.16666666666666874</v>
      </c>
      <c r="S890" s="349">
        <f>(Table6[[#This Row],[Fault Clearance time]]-Table6[[#This Row],[Work Start TimeStamp]])*24</f>
        <v>1.0833333333333321</v>
      </c>
      <c r="T890" s="350">
        <f>(Table6[[#This Row],[Fault Clearance time]]-Table6[[#This Row],[Fault Start TimeStamp]])*24</f>
        <v>1.2500000000000009</v>
      </c>
      <c r="U890" s="346" t="s">
        <v>1319</v>
      </c>
      <c r="V890" s="351" t="s">
        <v>463</v>
      </c>
      <c r="W890" s="338">
        <f>Table6[[#This Row],[Breakdown Time]]*(1/39)</f>
        <v>3.2051282051282076E-2</v>
      </c>
      <c r="X890" s="336" t="s">
        <v>465</v>
      </c>
      <c r="Y890" s="352" t="s">
        <v>118</v>
      </c>
      <c r="Z890" s="105">
        <v>23335</v>
      </c>
      <c r="AA890" s="107">
        <f>IFERROR((Table6[[#This Row],[Paired WTG Generation for loss calculation]]/24)*Table6[[#This Row],[Breakdown Time]],"")</f>
        <v>1215.3645833333342</v>
      </c>
      <c r="AB890" s="105" t="s">
        <v>478</v>
      </c>
    </row>
    <row r="891" spans="1:28">
      <c r="A891" s="105">
        <f t="shared" si="13"/>
        <v>890</v>
      </c>
      <c r="B891" s="107">
        <f>YEAR(Table6[[#This Row],[Date]])+IF(MONTH(Table6[[#This Row],[Date]])&gt;=4,1,0)</f>
        <v>2026</v>
      </c>
      <c r="C891" s="105">
        <f>YEAR(Table6[[#This Row],[Date]])</f>
        <v>2025</v>
      </c>
      <c r="D891" s="105" t="s">
        <v>490</v>
      </c>
      <c r="E891" s="119">
        <f>Table6[[#This Row],[Date]]-DAY(Table6[[#This Row],[Date]])+1</f>
        <v>45809</v>
      </c>
      <c r="F891" s="118">
        <v>45836</v>
      </c>
      <c r="G891" s="105" t="s">
        <v>137</v>
      </c>
      <c r="H891" s="39" t="str">
        <f>_xlfn.XLOOKUP(Table6[[#This Row],[Affected WTG]],'Basic Data'!$A:$A,'Basic Data'!$B:$B)</f>
        <v>PWEGPL</v>
      </c>
      <c r="I891" s="39" t="str">
        <f>_xlfn.XLOOKUP(Table6[[#This Row],[Affected WTG]],'Basic Data'!$A:$A,'Basic Data'!$C:$C)</f>
        <v>MSEDCL</v>
      </c>
      <c r="J891" s="345">
        <f>IFERROR(VLOOKUP(Table6[[#This Row],[Affected WTG]],'Basic Data'!$A$3:$E$56,5,0),"")</f>
        <v>2.564102564102564E-2</v>
      </c>
      <c r="K891" s="105">
        <v>2118</v>
      </c>
      <c r="L891" s="39" t="str">
        <f>IFERROR(VLOOKUP(Table6[[#This Row],[Error Code]],'Basic Data'!$T:$U,2,0),"")</f>
        <v>Bus Error - Interbus Failure</v>
      </c>
      <c r="M891" s="346" t="s">
        <v>462</v>
      </c>
      <c r="N891" s="39" t="s">
        <v>1270</v>
      </c>
      <c r="O891" s="347">
        <v>0.76388888888888884</v>
      </c>
      <c r="P891" s="347">
        <v>0.80208333333333337</v>
      </c>
      <c r="Q891" s="347">
        <v>0.8041666666666667</v>
      </c>
      <c r="R891" s="348">
        <f>IF(Table6[[#This Row],[Work Start TimeStamp]]="","",(Table6[[#This Row],[Work Start TimeStamp]]-Table6[[#This Row],[Fault Start TimeStamp]])*24)</f>
        <v>0.91666666666666874</v>
      </c>
      <c r="S891" s="349">
        <f>(Table6[[#This Row],[Fault Clearance time]]-Table6[[#This Row],[Work Start TimeStamp]])*24</f>
        <v>4.9999999999999822E-2</v>
      </c>
      <c r="T891" s="350">
        <f>(Table6[[#This Row],[Fault Clearance time]]-Table6[[#This Row],[Fault Start TimeStamp]])*24</f>
        <v>0.96666666666666856</v>
      </c>
      <c r="U891" s="346" t="s">
        <v>493</v>
      </c>
      <c r="V891" s="351" t="s">
        <v>463</v>
      </c>
      <c r="W891" s="338">
        <f>Table6[[#This Row],[Breakdown Time]]*(1/39)</f>
        <v>2.4786324786324834E-2</v>
      </c>
      <c r="X891" s="336" t="s">
        <v>465</v>
      </c>
      <c r="Y891" s="352" t="s">
        <v>136</v>
      </c>
      <c r="Z891" s="105">
        <v>23276</v>
      </c>
      <c r="AA891" s="107">
        <f>IFERROR((Table6[[#This Row],[Paired WTG Generation for loss calculation]]/24)*Table6[[#This Row],[Breakdown Time]],"")</f>
        <v>937.50555555555741</v>
      </c>
      <c r="AB891" s="105" t="s">
        <v>478</v>
      </c>
    </row>
    <row r="892" spans="1:28">
      <c r="A892" s="105">
        <f t="shared" si="13"/>
        <v>891</v>
      </c>
      <c r="B892" s="107">
        <f>YEAR(Table6[[#This Row],[Date]])+IF(MONTH(Table6[[#This Row],[Date]])&gt;=4,1,0)</f>
        <v>2026</v>
      </c>
      <c r="C892" s="105">
        <f>YEAR(Table6[[#This Row],[Date]])</f>
        <v>2025</v>
      </c>
      <c r="D892" s="105" t="s">
        <v>490</v>
      </c>
      <c r="E892" s="119">
        <f>Table6[[#This Row],[Date]]-DAY(Table6[[#This Row],[Date]])+1</f>
        <v>45809</v>
      </c>
      <c r="F892" s="118">
        <v>45837</v>
      </c>
      <c r="G892" s="105" t="s">
        <v>144</v>
      </c>
      <c r="H892" s="39" t="str">
        <f>_xlfn.XLOOKUP(Table6[[#This Row],[Affected WTG]],'Basic Data'!$A:$A,'Basic Data'!$B:$B)</f>
        <v>PWEGPL</v>
      </c>
      <c r="I892" s="39" t="str">
        <f>_xlfn.XLOOKUP(Table6[[#This Row],[Affected WTG]],'Basic Data'!$A:$A,'Basic Data'!$C:$C)</f>
        <v>MSEDCL</v>
      </c>
      <c r="J892" s="345">
        <f>IFERROR(VLOOKUP(Table6[[#This Row],[Affected WTG]],'Basic Data'!$A$3:$E$56,5,0),"")</f>
        <v>2.564102564102564E-2</v>
      </c>
      <c r="K892" s="105" t="s">
        <v>492</v>
      </c>
      <c r="L892" s="39" t="str">
        <f>IFERROR(VLOOKUP(Table6[[#This Row],[Error Code]],'Basic Data'!$T:$U,2,0),"")</f>
        <v>Manual Stop - Safety Related</v>
      </c>
      <c r="M892" s="346" t="s">
        <v>481</v>
      </c>
      <c r="N892" s="39" t="s">
        <v>1269</v>
      </c>
      <c r="O892" s="347">
        <v>0</v>
      </c>
      <c r="P892" s="347">
        <v>0.99998842592592596</v>
      </c>
      <c r="Q892" s="347">
        <v>0.99998842592592596</v>
      </c>
      <c r="R892" s="348">
        <f>IF(Table6[[#This Row],[Work Start TimeStamp]]="","",(Table6[[#This Row],[Work Start TimeStamp]]-Table6[[#This Row],[Fault Start TimeStamp]])*24)</f>
        <v>23.999722222222225</v>
      </c>
      <c r="S892" s="349">
        <f>(Table6[[#This Row],[Fault Clearance time]]-Table6[[#This Row],[Work Start TimeStamp]])*24</f>
        <v>0</v>
      </c>
      <c r="T892" s="350">
        <f>(Table6[[#This Row],[Fault Clearance time]]-Table6[[#This Row],[Fault Start TimeStamp]])*24</f>
        <v>23.999722222222225</v>
      </c>
      <c r="U892" s="346" t="s">
        <v>498</v>
      </c>
      <c r="V892" s="351" t="s">
        <v>473</v>
      </c>
      <c r="W892" s="338">
        <f>Table6[[#This Row],[Breakdown Time]]*(1/39)</f>
        <v>0.61537749287749288</v>
      </c>
      <c r="X892" s="336" t="s">
        <v>1212</v>
      </c>
      <c r="Y892" s="352" t="s">
        <v>143</v>
      </c>
      <c r="Z892" s="105">
        <v>31102</v>
      </c>
      <c r="AA892" s="107">
        <f>IFERROR((Table6[[#This Row],[Paired WTG Generation for loss calculation]]/24)*Table6[[#This Row],[Breakdown Time]],"")</f>
        <v>31101.640023148153</v>
      </c>
      <c r="AB892" s="105" t="s">
        <v>478</v>
      </c>
    </row>
    <row r="893" spans="1:28">
      <c r="A893" s="105">
        <f t="shared" si="13"/>
        <v>892</v>
      </c>
      <c r="B893" s="107">
        <f>YEAR(Table6[[#This Row],[Date]])+IF(MONTH(Table6[[#This Row],[Date]])&gt;=4,1,0)</f>
        <v>2026</v>
      </c>
      <c r="C893" s="105">
        <f>YEAR(Table6[[#This Row],[Date]])</f>
        <v>2025</v>
      </c>
      <c r="D893" s="105" t="s">
        <v>490</v>
      </c>
      <c r="E893" s="119">
        <f>Table6[[#This Row],[Date]]-DAY(Table6[[#This Row],[Date]])+1</f>
        <v>45809</v>
      </c>
      <c r="F893" s="118">
        <v>45837</v>
      </c>
      <c r="G893" s="105" t="s">
        <v>142</v>
      </c>
      <c r="H893" s="39" t="str">
        <f>_xlfn.XLOOKUP(Table6[[#This Row],[Affected WTG]],'Basic Data'!$A:$A,'Basic Data'!$B:$B)</f>
        <v>PWEGPL</v>
      </c>
      <c r="I893" s="39" t="str">
        <f>_xlfn.XLOOKUP(Table6[[#This Row],[Affected WTG]],'Basic Data'!$A:$A,'Basic Data'!$C:$C)</f>
        <v>MSEDCL</v>
      </c>
      <c r="J893" s="345">
        <f>IFERROR(VLOOKUP(Table6[[#This Row],[Affected WTG]],'Basic Data'!$A$3:$E$56,5,0),"")</f>
        <v>2.564102564102564E-2</v>
      </c>
      <c r="K893" s="105" t="s">
        <v>492</v>
      </c>
      <c r="L893" s="39" t="str">
        <f>IFERROR(VLOOKUP(Table6[[#This Row],[Error Code]],'Basic Data'!$T:$U,2,0),"")</f>
        <v>Manual Stop - Safety Related</v>
      </c>
      <c r="M893" s="346" t="s">
        <v>481</v>
      </c>
      <c r="N893" s="39" t="s">
        <v>1269</v>
      </c>
      <c r="O893" s="347">
        <v>0</v>
      </c>
      <c r="P893" s="347">
        <v>0.99998842592592596</v>
      </c>
      <c r="Q893" s="347">
        <v>0.99998842592592596</v>
      </c>
      <c r="R893" s="348">
        <f>IF(Table6[[#This Row],[Work Start TimeStamp]]="","",(Table6[[#This Row],[Work Start TimeStamp]]-Table6[[#This Row],[Fault Start TimeStamp]])*24)</f>
        <v>23.999722222222225</v>
      </c>
      <c r="S893" s="349">
        <f>(Table6[[#This Row],[Fault Clearance time]]-Table6[[#This Row],[Work Start TimeStamp]])*24</f>
        <v>0</v>
      </c>
      <c r="T893" s="350">
        <f>(Table6[[#This Row],[Fault Clearance time]]-Table6[[#This Row],[Fault Start TimeStamp]])*24</f>
        <v>23.999722222222225</v>
      </c>
      <c r="U893" s="346" t="s">
        <v>498</v>
      </c>
      <c r="V893" s="351" t="s">
        <v>473</v>
      </c>
      <c r="W893" s="338">
        <f>Table6[[#This Row],[Breakdown Time]]*(1/39)</f>
        <v>0.61537749287749288</v>
      </c>
      <c r="X893" s="336" t="s">
        <v>1212</v>
      </c>
      <c r="Y893" s="352" t="s">
        <v>143</v>
      </c>
      <c r="Z893" s="105">
        <v>31102</v>
      </c>
      <c r="AA893" s="107">
        <f>IFERROR((Table6[[#This Row],[Paired WTG Generation for loss calculation]]/24)*Table6[[#This Row],[Breakdown Time]],"")</f>
        <v>31101.640023148153</v>
      </c>
      <c r="AB893" s="105" t="s">
        <v>478</v>
      </c>
    </row>
    <row r="894" spans="1:28">
      <c r="A894" s="105">
        <f t="shared" si="13"/>
        <v>893</v>
      </c>
      <c r="B894" s="107">
        <f>YEAR(Table6[[#This Row],[Date]])+IF(MONTH(Table6[[#This Row],[Date]])&gt;=4,1,0)</f>
        <v>2026</v>
      </c>
      <c r="C894" s="105">
        <f>YEAR(Table6[[#This Row],[Date]])</f>
        <v>2025</v>
      </c>
      <c r="D894" s="105" t="s">
        <v>490</v>
      </c>
      <c r="E894" s="119">
        <f>Table6[[#This Row],[Date]]-DAY(Table6[[#This Row],[Date]])+1</f>
        <v>45809</v>
      </c>
      <c r="F894" s="118">
        <v>45837</v>
      </c>
      <c r="G894" s="105" t="s">
        <v>131</v>
      </c>
      <c r="H894" s="39" t="str">
        <f>_xlfn.XLOOKUP(Table6[[#This Row],[Affected WTG]],'Basic Data'!$A:$A,'Basic Data'!$B:$B)</f>
        <v>PWEGPL</v>
      </c>
      <c r="I894" s="39" t="str">
        <f>_xlfn.XLOOKUP(Table6[[#This Row],[Affected WTG]],'Basic Data'!$A:$A,'Basic Data'!$C:$C)</f>
        <v>MSEDCL</v>
      </c>
      <c r="J894" s="345">
        <f>IFERROR(VLOOKUP(Table6[[#This Row],[Affected WTG]],'Basic Data'!$A$3:$E$56,5,0),"")</f>
        <v>2.564102564102564E-2</v>
      </c>
      <c r="K894" s="105" t="s">
        <v>492</v>
      </c>
      <c r="L894" s="39" t="str">
        <f>IFERROR(VLOOKUP(Table6[[#This Row],[Error Code]],'Basic Data'!$T:$U,2,0),"")</f>
        <v>Manual Stop - Safety Related</v>
      </c>
      <c r="M894" s="346" t="s">
        <v>462</v>
      </c>
      <c r="N894" s="39" t="s">
        <v>1270</v>
      </c>
      <c r="O894" s="347">
        <v>0</v>
      </c>
      <c r="P894" s="347">
        <v>0.99998842592592596</v>
      </c>
      <c r="Q894" s="347">
        <v>0.99998842592592596</v>
      </c>
      <c r="R894" s="348">
        <f>IF(Table6[[#This Row],[Work Start TimeStamp]]="","",(Table6[[#This Row],[Work Start TimeStamp]]-Table6[[#This Row],[Fault Start TimeStamp]])*24)</f>
        <v>23.999722222222225</v>
      </c>
      <c r="S894" s="349">
        <f>(Table6[[#This Row],[Fault Clearance time]]-Table6[[#This Row],[Work Start TimeStamp]])*24</f>
        <v>0</v>
      </c>
      <c r="T894" s="350">
        <f>(Table6[[#This Row],[Fault Clearance time]]-Table6[[#This Row],[Fault Start TimeStamp]])*24</f>
        <v>23.999722222222225</v>
      </c>
      <c r="U894" s="346" t="s">
        <v>1247</v>
      </c>
      <c r="V894" s="351" t="s">
        <v>473</v>
      </c>
      <c r="W894" s="338">
        <f>Table6[[#This Row],[Breakdown Time]]*(1/39)</f>
        <v>0.61537749287749288</v>
      </c>
      <c r="X894" s="336" t="s">
        <v>465</v>
      </c>
      <c r="Y894" s="352" t="s">
        <v>132</v>
      </c>
      <c r="Z894" s="105">
        <v>30432</v>
      </c>
      <c r="AA894" s="107">
        <f>IFERROR((Table6[[#This Row],[Paired WTG Generation for loss calculation]]/24)*Table6[[#This Row],[Breakdown Time]],"")</f>
        <v>30431.64777777778</v>
      </c>
      <c r="AB894" s="105" t="s">
        <v>478</v>
      </c>
    </row>
    <row r="895" spans="1:28">
      <c r="A895" s="105">
        <f t="shared" si="13"/>
        <v>894</v>
      </c>
      <c r="B895" s="107">
        <f>YEAR(Table6[[#This Row],[Date]])+IF(MONTH(Table6[[#This Row],[Date]])&gt;=4,1,0)</f>
        <v>2026</v>
      </c>
      <c r="C895" s="105">
        <f>YEAR(Table6[[#This Row],[Date]])</f>
        <v>2025</v>
      </c>
      <c r="D895" s="105" t="s">
        <v>490</v>
      </c>
      <c r="E895" s="119">
        <f>Table6[[#This Row],[Date]]-DAY(Table6[[#This Row],[Date]])+1</f>
        <v>45809</v>
      </c>
      <c r="F895" s="118">
        <v>45837</v>
      </c>
      <c r="G895" s="105" t="s">
        <v>116</v>
      </c>
      <c r="H895" s="39" t="str">
        <f>_xlfn.XLOOKUP(Table6[[#This Row],[Affected WTG]],'Basic Data'!$A:$A,'Basic Data'!$B:$B)</f>
        <v>PWEGPL</v>
      </c>
      <c r="I895" s="39" t="str">
        <f>_xlfn.XLOOKUP(Table6[[#This Row],[Affected WTG]],'Basic Data'!$A:$A,'Basic Data'!$C:$C)</f>
        <v>MSEDCL</v>
      </c>
      <c r="J895" s="345">
        <f>IFERROR(VLOOKUP(Table6[[#This Row],[Affected WTG]],'Basic Data'!$A$3:$E$56,5,0),"")</f>
        <v>2.564102564102564E-2</v>
      </c>
      <c r="K895" s="105">
        <v>5222</v>
      </c>
      <c r="L895" s="39" t="str">
        <f>IFERROR(VLOOKUP(Table6[[#This Row],[Error Code]],'Basic Data'!$T:$U,2,0),"")</f>
        <v>Speed Read Incorrectly</v>
      </c>
      <c r="M895" s="346" t="s">
        <v>462</v>
      </c>
      <c r="N895" s="39" t="s">
        <v>1270</v>
      </c>
      <c r="O895" s="347">
        <v>0.4236111111111111</v>
      </c>
      <c r="P895" s="347">
        <v>0.49027777777777776</v>
      </c>
      <c r="Q895" s="347">
        <v>0.60069444444444442</v>
      </c>
      <c r="R895" s="348">
        <f>IF(Table6[[#This Row],[Work Start TimeStamp]]="","",(Table6[[#This Row],[Work Start TimeStamp]]-Table6[[#This Row],[Fault Start TimeStamp]])*24)</f>
        <v>1.5999999999999996</v>
      </c>
      <c r="S895" s="349">
        <f>(Table6[[#This Row],[Fault Clearance time]]-Table6[[#This Row],[Work Start TimeStamp]])*24</f>
        <v>2.65</v>
      </c>
      <c r="T895" s="350">
        <f>(Table6[[#This Row],[Fault Clearance time]]-Table6[[#This Row],[Fault Start TimeStamp]])*24</f>
        <v>4.25</v>
      </c>
      <c r="U895" s="346" t="s">
        <v>1324</v>
      </c>
      <c r="V895" s="351" t="s">
        <v>463</v>
      </c>
      <c r="W895" s="338">
        <f>Table6[[#This Row],[Breakdown Time]]*(1/39)</f>
        <v>0.10897435897435898</v>
      </c>
      <c r="X895" s="336" t="s">
        <v>465</v>
      </c>
      <c r="Y895" s="352" t="s">
        <v>118</v>
      </c>
      <c r="Z895" s="105">
        <v>30134</v>
      </c>
      <c r="AA895" s="107">
        <f>IFERROR((Table6[[#This Row],[Paired WTG Generation for loss calculation]]/24)*Table6[[#This Row],[Breakdown Time]],"")</f>
        <v>5336.2291666666661</v>
      </c>
      <c r="AB895" s="105" t="s">
        <v>478</v>
      </c>
    </row>
    <row r="896" spans="1:28">
      <c r="A896" s="105">
        <f t="shared" si="13"/>
        <v>895</v>
      </c>
      <c r="B896" s="107">
        <f>YEAR(Table6[[#This Row],[Date]])+IF(MONTH(Table6[[#This Row],[Date]])&gt;=4,1,0)</f>
        <v>2026</v>
      </c>
      <c r="C896" s="105">
        <f>YEAR(Table6[[#This Row],[Date]])</f>
        <v>2025</v>
      </c>
      <c r="D896" s="105" t="s">
        <v>490</v>
      </c>
      <c r="E896" s="119">
        <f>Table6[[#This Row],[Date]]-DAY(Table6[[#This Row],[Date]])+1</f>
        <v>45809</v>
      </c>
      <c r="F896" s="118">
        <v>45837</v>
      </c>
      <c r="G896" s="105" t="s">
        <v>116</v>
      </c>
      <c r="H896" s="39" t="str">
        <f>_xlfn.XLOOKUP(Table6[[#This Row],[Affected WTG]],'Basic Data'!$A:$A,'Basic Data'!$B:$B)</f>
        <v>PWEGPL</v>
      </c>
      <c r="I896" s="39" t="str">
        <f>_xlfn.XLOOKUP(Table6[[#This Row],[Affected WTG]],'Basic Data'!$A:$A,'Basic Data'!$C:$C)</f>
        <v>MSEDCL</v>
      </c>
      <c r="J896" s="345">
        <f>IFERROR(VLOOKUP(Table6[[#This Row],[Affected WTG]],'Basic Data'!$A$3:$E$56,5,0),"")</f>
        <v>2.564102564102564E-2</v>
      </c>
      <c r="K896" s="105">
        <v>2119</v>
      </c>
      <c r="L896" s="39" t="str">
        <f>IFERROR(VLOOKUP(Table6[[#This Row],[Error Code]],'Basic Data'!$T:$U,2,0),"")</f>
        <v>CTRL Error - Processor Stopped</v>
      </c>
      <c r="M896" s="346" t="s">
        <v>462</v>
      </c>
      <c r="N896" s="39" t="s">
        <v>1270</v>
      </c>
      <c r="O896" s="347">
        <v>0.68125000000000002</v>
      </c>
      <c r="P896" s="347">
        <v>0.69930555555555551</v>
      </c>
      <c r="Q896" s="347">
        <v>0.71388888888888891</v>
      </c>
      <c r="R896" s="348">
        <f>IF(Table6[[#This Row],[Work Start TimeStamp]]="","",(Table6[[#This Row],[Work Start TimeStamp]]-Table6[[#This Row],[Fault Start TimeStamp]])*24)</f>
        <v>0.43333333333333179</v>
      </c>
      <c r="S896" s="349">
        <f>(Table6[[#This Row],[Fault Clearance time]]-Table6[[#This Row],[Work Start TimeStamp]])*24</f>
        <v>0.35000000000000142</v>
      </c>
      <c r="T896" s="350">
        <f>(Table6[[#This Row],[Fault Clearance time]]-Table6[[#This Row],[Fault Start TimeStamp]])*24</f>
        <v>0.78333333333333321</v>
      </c>
      <c r="U896" s="346" t="s">
        <v>1323</v>
      </c>
      <c r="V896" s="351" t="s">
        <v>463</v>
      </c>
      <c r="W896" s="338">
        <f>Table6[[#This Row],[Breakdown Time]]*(1/39)</f>
        <v>2.008547008547008E-2</v>
      </c>
      <c r="X896" s="336" t="s">
        <v>465</v>
      </c>
      <c r="Y896" s="352" t="s">
        <v>118</v>
      </c>
      <c r="Z896" s="105">
        <v>30134</v>
      </c>
      <c r="AA896" s="107">
        <f>IFERROR((Table6[[#This Row],[Paired WTG Generation for loss calculation]]/24)*Table6[[#This Row],[Breakdown Time]],"")</f>
        <v>983.54027777777753</v>
      </c>
      <c r="AB896" s="105" t="s">
        <v>478</v>
      </c>
    </row>
    <row r="897" spans="1:28">
      <c r="A897" s="105">
        <f t="shared" si="13"/>
        <v>896</v>
      </c>
      <c r="B897" s="107">
        <f>YEAR(Table6[[#This Row],[Date]])+IF(MONTH(Table6[[#This Row],[Date]])&gt;=4,1,0)</f>
        <v>2026</v>
      </c>
      <c r="C897" s="105">
        <f>YEAR(Table6[[#This Row],[Date]])</f>
        <v>2025</v>
      </c>
      <c r="D897" s="105" t="s">
        <v>490</v>
      </c>
      <c r="E897" s="119">
        <f>Table6[[#This Row],[Date]]-DAY(Table6[[#This Row],[Date]])+1</f>
        <v>45809</v>
      </c>
      <c r="F897" s="118">
        <v>45837</v>
      </c>
      <c r="G897" s="105" t="s">
        <v>123</v>
      </c>
      <c r="H897" s="39" t="str">
        <f>_xlfn.XLOOKUP(Table6[[#This Row],[Affected WTG]],'Basic Data'!$A:$A,'Basic Data'!$B:$B)</f>
        <v>PWEGPL</v>
      </c>
      <c r="I897" s="39" t="str">
        <f>_xlfn.XLOOKUP(Table6[[#This Row],[Affected WTG]],'Basic Data'!$A:$A,'Basic Data'!$C:$C)</f>
        <v>MSEDCL</v>
      </c>
      <c r="J897" s="345">
        <f>IFERROR(VLOOKUP(Table6[[#This Row],[Affected WTG]],'Basic Data'!$A$3:$E$56,5,0),"")</f>
        <v>2.564102564102564E-2</v>
      </c>
      <c r="K897" s="105">
        <v>203</v>
      </c>
      <c r="L897" s="39" t="str">
        <f>IFERROR(VLOOKUP(Table6[[#This Row],[Error Code]],'Basic Data'!$T:$U,2,0),"")</f>
        <v>Low Pressure On Hydraulic Group</v>
      </c>
      <c r="M897" s="346" t="s">
        <v>462</v>
      </c>
      <c r="N897" s="39" t="s">
        <v>1270</v>
      </c>
      <c r="O897" s="347">
        <v>0.6430555555555556</v>
      </c>
      <c r="P897" s="347">
        <v>0.65208333333333335</v>
      </c>
      <c r="Q897" s="347">
        <v>0.65277777777777779</v>
      </c>
      <c r="R897" s="348">
        <f>IF(Table6[[#This Row],[Work Start TimeStamp]]="","",(Table6[[#This Row],[Work Start TimeStamp]]-Table6[[#This Row],[Fault Start TimeStamp]])*24)</f>
        <v>0.2166666666666659</v>
      </c>
      <c r="S897" s="349">
        <f>(Table6[[#This Row],[Fault Clearance time]]-Table6[[#This Row],[Work Start TimeStamp]])*24</f>
        <v>1.6666666666666607E-2</v>
      </c>
      <c r="T897" s="350">
        <f>(Table6[[#This Row],[Fault Clearance time]]-Table6[[#This Row],[Fault Start TimeStamp]])*24</f>
        <v>0.2333333333333325</v>
      </c>
      <c r="U897" s="346" t="s">
        <v>493</v>
      </c>
      <c r="V897" s="351" t="s">
        <v>463</v>
      </c>
      <c r="W897" s="338">
        <f>Table6[[#This Row],[Breakdown Time]]*(1/39)</f>
        <v>5.9829059829059617E-3</v>
      </c>
      <c r="X897" s="336" t="s">
        <v>465</v>
      </c>
      <c r="Y897" s="352" t="s">
        <v>127</v>
      </c>
      <c r="Z897" s="105">
        <v>31564</v>
      </c>
      <c r="AA897" s="107">
        <f>IFERROR((Table6[[#This Row],[Paired WTG Generation for loss calculation]]/24)*Table6[[#This Row],[Breakdown Time]],"")</f>
        <v>306.87222222222113</v>
      </c>
      <c r="AB897" s="105" t="s">
        <v>478</v>
      </c>
    </row>
    <row r="898" spans="1:28">
      <c r="A898" s="105">
        <f t="shared" si="13"/>
        <v>897</v>
      </c>
      <c r="B898" s="107">
        <f>YEAR(Table6[[#This Row],[Date]])+IF(MONTH(Table6[[#This Row],[Date]])&gt;=4,1,0)</f>
        <v>2026</v>
      </c>
      <c r="C898" s="105">
        <f>YEAR(Table6[[#This Row],[Date]])</f>
        <v>2025</v>
      </c>
      <c r="D898" s="105" t="s">
        <v>490</v>
      </c>
      <c r="E898" s="119">
        <f>Table6[[#This Row],[Date]]-DAY(Table6[[#This Row],[Date]])+1</f>
        <v>45809</v>
      </c>
      <c r="F898" s="118">
        <v>45837</v>
      </c>
      <c r="G898" s="105" t="s">
        <v>126</v>
      </c>
      <c r="H898" s="39" t="str">
        <f>_xlfn.XLOOKUP(Table6[[#This Row],[Affected WTG]],'Basic Data'!$A:$A,'Basic Data'!$B:$B)</f>
        <v>PWEGPL</v>
      </c>
      <c r="I898" s="39" t="str">
        <f>_xlfn.XLOOKUP(Table6[[#This Row],[Affected WTG]],'Basic Data'!$A:$A,'Basic Data'!$C:$C)</f>
        <v>MSEDCL</v>
      </c>
      <c r="J898" s="345">
        <f>IFERROR(VLOOKUP(Table6[[#This Row],[Affected WTG]],'Basic Data'!$A$3:$E$56,5,0),"")</f>
        <v>2.564102564102564E-2</v>
      </c>
      <c r="K898" s="105">
        <v>203</v>
      </c>
      <c r="L898" s="39" t="str">
        <f>IFERROR(VLOOKUP(Table6[[#This Row],[Error Code]],'Basic Data'!$T:$U,2,0),"")</f>
        <v>Low Pressure On Hydraulic Group</v>
      </c>
      <c r="M898" s="346" t="s">
        <v>462</v>
      </c>
      <c r="N898" s="39" t="s">
        <v>1270</v>
      </c>
      <c r="O898" s="347">
        <v>0.63888888888888884</v>
      </c>
      <c r="P898" s="347">
        <v>0.64722222222222225</v>
      </c>
      <c r="Q898" s="347">
        <v>0.6479166666666667</v>
      </c>
      <c r="R898" s="348">
        <f>IF(Table6[[#This Row],[Work Start TimeStamp]]="","",(Table6[[#This Row],[Work Start TimeStamp]]-Table6[[#This Row],[Fault Start TimeStamp]])*24)</f>
        <v>0.20000000000000195</v>
      </c>
      <c r="S898" s="349">
        <f>(Table6[[#This Row],[Fault Clearance time]]-Table6[[#This Row],[Work Start TimeStamp]])*24</f>
        <v>1.6666666666666607E-2</v>
      </c>
      <c r="T898" s="350">
        <f>(Table6[[#This Row],[Fault Clearance time]]-Table6[[#This Row],[Fault Start TimeStamp]])*24</f>
        <v>0.21666666666666856</v>
      </c>
      <c r="U898" s="346" t="s">
        <v>493</v>
      </c>
      <c r="V898" s="351" t="s">
        <v>463</v>
      </c>
      <c r="W898" s="338">
        <f>Table6[[#This Row],[Breakdown Time]]*(1/39)</f>
        <v>5.5555555555556043E-3</v>
      </c>
      <c r="X898" s="336" t="s">
        <v>465</v>
      </c>
      <c r="Y898" s="352" t="s">
        <v>127</v>
      </c>
      <c r="Z898" s="105">
        <v>31564</v>
      </c>
      <c r="AA898" s="107">
        <f>IFERROR((Table6[[#This Row],[Paired WTG Generation for loss calculation]]/24)*Table6[[#This Row],[Breakdown Time]],"")</f>
        <v>284.95277777778028</v>
      </c>
      <c r="AB898" s="105" t="s">
        <v>478</v>
      </c>
    </row>
    <row r="899" spans="1:28">
      <c r="A899" s="105">
        <f t="shared" si="13"/>
        <v>898</v>
      </c>
      <c r="B899" s="107">
        <f>YEAR(Table6[[#This Row],[Date]])+IF(MONTH(Table6[[#This Row],[Date]])&gt;=4,1,0)</f>
        <v>2026</v>
      </c>
      <c r="C899" s="105">
        <f>YEAR(Table6[[#This Row],[Date]])</f>
        <v>2025</v>
      </c>
      <c r="D899" s="105" t="s">
        <v>490</v>
      </c>
      <c r="E899" s="119">
        <f>Table6[[#This Row],[Date]]-DAY(Table6[[#This Row],[Date]])+1</f>
        <v>45809</v>
      </c>
      <c r="F899" s="118">
        <v>45837</v>
      </c>
      <c r="G899" s="105" t="s">
        <v>152</v>
      </c>
      <c r="H899" s="39" t="str">
        <f>_xlfn.XLOOKUP(Table6[[#This Row],[Affected WTG]],'Basic Data'!$A:$A,'Basic Data'!$B:$B)</f>
        <v>PWEGPL</v>
      </c>
      <c r="I899" s="39" t="str">
        <f>_xlfn.XLOOKUP(Table6[[#This Row],[Affected WTG]],'Basic Data'!$A:$A,'Basic Data'!$C:$C)</f>
        <v>MSEDCL</v>
      </c>
      <c r="J899" s="345">
        <f>IFERROR(VLOOKUP(Table6[[#This Row],[Affected WTG]],'Basic Data'!$A$3:$E$56,5,0),"")</f>
        <v>2.564102564102564E-2</v>
      </c>
      <c r="K899" s="105">
        <v>117</v>
      </c>
      <c r="L899" s="39" t="str">
        <f>IFERROR(VLOOKUP(Table6[[#This Row],[Error Code]],'Basic Data'!$T:$U,2,0),"")</f>
        <v>Orienting and Low Yaw Brake Pressure</v>
      </c>
      <c r="M899" s="346" t="s">
        <v>462</v>
      </c>
      <c r="N899" s="39" t="s">
        <v>1270</v>
      </c>
      <c r="O899" s="347">
        <v>0.63888888888888884</v>
      </c>
      <c r="P899" s="347">
        <v>0.65555555555555556</v>
      </c>
      <c r="Q899" s="347">
        <v>0.65694444444444444</v>
      </c>
      <c r="R899" s="348">
        <f>IF(Table6[[#This Row],[Work Start TimeStamp]]="","",(Table6[[#This Row],[Work Start TimeStamp]]-Table6[[#This Row],[Fault Start TimeStamp]])*24)</f>
        <v>0.40000000000000124</v>
      </c>
      <c r="S899" s="349">
        <f>(Table6[[#This Row],[Fault Clearance time]]-Table6[[#This Row],[Work Start TimeStamp]])*24</f>
        <v>3.3333333333333215E-2</v>
      </c>
      <c r="T899" s="350">
        <f>(Table6[[#This Row],[Fault Clearance time]]-Table6[[#This Row],[Fault Start TimeStamp]])*24</f>
        <v>0.43333333333333446</v>
      </c>
      <c r="U899" s="346" t="s">
        <v>493</v>
      </c>
      <c r="V899" s="351" t="s">
        <v>463</v>
      </c>
      <c r="W899" s="338">
        <f>Table6[[#This Row],[Breakdown Time]]*(1/39)</f>
        <v>1.1111111111111139E-2</v>
      </c>
      <c r="X899" s="336" t="s">
        <v>465</v>
      </c>
      <c r="Y899" s="352" t="s">
        <v>153</v>
      </c>
      <c r="Z899" s="105">
        <v>31260</v>
      </c>
      <c r="AA899" s="107">
        <f>IFERROR((Table6[[#This Row],[Paired WTG Generation for loss calculation]]/24)*Table6[[#This Row],[Breakdown Time]],"")</f>
        <v>564.41666666666811</v>
      </c>
      <c r="AB899" s="105" t="s">
        <v>478</v>
      </c>
    </row>
    <row r="900" spans="1:28">
      <c r="A900" s="105">
        <f t="shared" si="13"/>
        <v>899</v>
      </c>
      <c r="B900" s="107">
        <f>YEAR(Table6[[#This Row],[Date]])+IF(MONTH(Table6[[#This Row],[Date]])&gt;=4,1,0)</f>
        <v>2026</v>
      </c>
      <c r="C900" s="105">
        <f>YEAR(Table6[[#This Row],[Date]])</f>
        <v>2025</v>
      </c>
      <c r="D900" s="105" t="s">
        <v>490</v>
      </c>
      <c r="E900" s="119">
        <f>Table6[[#This Row],[Date]]-DAY(Table6[[#This Row],[Date]])+1</f>
        <v>45809</v>
      </c>
      <c r="F900" s="118">
        <v>45838</v>
      </c>
      <c r="G900" s="105" t="s">
        <v>144</v>
      </c>
      <c r="H900" s="39" t="str">
        <f>_xlfn.XLOOKUP(Table6[[#This Row],[Affected WTG]],'Basic Data'!$A:$A,'Basic Data'!$B:$B)</f>
        <v>PWEGPL</v>
      </c>
      <c r="I900" s="39" t="str">
        <f>_xlfn.XLOOKUP(Table6[[#This Row],[Affected WTG]],'Basic Data'!$A:$A,'Basic Data'!$C:$C)</f>
        <v>MSEDCL</v>
      </c>
      <c r="J900" s="345">
        <f>IFERROR(VLOOKUP(Table6[[#This Row],[Affected WTG]],'Basic Data'!$A$3:$E$56,5,0),"")</f>
        <v>2.564102564102564E-2</v>
      </c>
      <c r="K900" s="105" t="s">
        <v>492</v>
      </c>
      <c r="L900" s="39" t="str">
        <f>IFERROR(VLOOKUP(Table6[[#This Row],[Error Code]],'Basic Data'!$T:$U,2,0),"")</f>
        <v>Manual Stop - Safety Related</v>
      </c>
      <c r="M900" s="346" t="s">
        <v>481</v>
      </c>
      <c r="N900" s="39" t="s">
        <v>1269</v>
      </c>
      <c r="O900" s="347">
        <v>0</v>
      </c>
      <c r="P900" s="347">
        <v>0.99998842592592596</v>
      </c>
      <c r="Q900" s="347">
        <v>0.99998842592592596</v>
      </c>
      <c r="R900" s="348">
        <f>IF(Table6[[#This Row],[Work Start TimeStamp]]="","",(Table6[[#This Row],[Work Start TimeStamp]]-Table6[[#This Row],[Fault Start TimeStamp]])*24)</f>
        <v>23.999722222222225</v>
      </c>
      <c r="S900" s="349">
        <f>(Table6[[#This Row],[Fault Clearance time]]-Table6[[#This Row],[Work Start TimeStamp]])*24</f>
        <v>0</v>
      </c>
      <c r="T900" s="350">
        <f>(Table6[[#This Row],[Fault Clearance time]]-Table6[[#This Row],[Fault Start TimeStamp]])*24</f>
        <v>23.999722222222225</v>
      </c>
      <c r="U900" s="346" t="s">
        <v>498</v>
      </c>
      <c r="V900" s="351" t="s">
        <v>473</v>
      </c>
      <c r="W900" s="338">
        <f>Table6[[#This Row],[Breakdown Time]]*(1/39)</f>
        <v>0.61537749287749288</v>
      </c>
      <c r="X900" s="336" t="s">
        <v>1212</v>
      </c>
      <c r="Y900" s="352" t="s">
        <v>143</v>
      </c>
      <c r="Z900" s="105">
        <v>22127</v>
      </c>
      <c r="AA900" s="107">
        <f>IFERROR((Table6[[#This Row],[Paired WTG Generation for loss calculation]]/24)*Table6[[#This Row],[Breakdown Time]],"")</f>
        <v>22126.743900462967</v>
      </c>
      <c r="AB900" s="105" t="s">
        <v>478</v>
      </c>
    </row>
    <row r="901" spans="1:28">
      <c r="A901" s="105">
        <f t="shared" ref="A901:A964" si="14">A900+1</f>
        <v>900</v>
      </c>
      <c r="B901" s="107">
        <f>YEAR(Table6[[#This Row],[Date]])+IF(MONTH(Table6[[#This Row],[Date]])&gt;=4,1,0)</f>
        <v>2026</v>
      </c>
      <c r="C901" s="105">
        <f>YEAR(Table6[[#This Row],[Date]])</f>
        <v>2025</v>
      </c>
      <c r="D901" s="105" t="s">
        <v>490</v>
      </c>
      <c r="E901" s="119">
        <f>Table6[[#This Row],[Date]]-DAY(Table6[[#This Row],[Date]])+1</f>
        <v>45809</v>
      </c>
      <c r="F901" s="118">
        <v>45838</v>
      </c>
      <c r="G901" s="105" t="s">
        <v>142</v>
      </c>
      <c r="H901" s="39" t="str">
        <f>_xlfn.XLOOKUP(Table6[[#This Row],[Affected WTG]],'Basic Data'!$A:$A,'Basic Data'!$B:$B)</f>
        <v>PWEGPL</v>
      </c>
      <c r="I901" s="39" t="str">
        <f>_xlfn.XLOOKUP(Table6[[#This Row],[Affected WTG]],'Basic Data'!$A:$A,'Basic Data'!$C:$C)</f>
        <v>MSEDCL</v>
      </c>
      <c r="J901" s="345">
        <f>IFERROR(VLOOKUP(Table6[[#This Row],[Affected WTG]],'Basic Data'!$A$3:$E$56,5,0),"")</f>
        <v>2.564102564102564E-2</v>
      </c>
      <c r="K901" s="105" t="s">
        <v>492</v>
      </c>
      <c r="L901" s="39" t="str">
        <f>IFERROR(VLOOKUP(Table6[[#This Row],[Error Code]],'Basic Data'!$T:$U,2,0),"")</f>
        <v>Manual Stop - Safety Related</v>
      </c>
      <c r="M901" s="346" t="s">
        <v>481</v>
      </c>
      <c r="N901" s="39" t="s">
        <v>1269</v>
      </c>
      <c r="O901" s="347">
        <v>0</v>
      </c>
      <c r="P901" s="347">
        <v>0.99998842592592596</v>
      </c>
      <c r="Q901" s="347">
        <v>0.99998842592592596</v>
      </c>
      <c r="R901" s="348">
        <f>IF(Table6[[#This Row],[Work Start TimeStamp]]="","",(Table6[[#This Row],[Work Start TimeStamp]]-Table6[[#This Row],[Fault Start TimeStamp]])*24)</f>
        <v>23.999722222222225</v>
      </c>
      <c r="S901" s="349">
        <f>(Table6[[#This Row],[Fault Clearance time]]-Table6[[#This Row],[Work Start TimeStamp]])*24</f>
        <v>0</v>
      </c>
      <c r="T901" s="350">
        <f>(Table6[[#This Row],[Fault Clearance time]]-Table6[[#This Row],[Fault Start TimeStamp]])*24</f>
        <v>23.999722222222225</v>
      </c>
      <c r="U901" s="346" t="s">
        <v>498</v>
      </c>
      <c r="V901" s="351" t="s">
        <v>473</v>
      </c>
      <c r="W901" s="338">
        <f>Table6[[#This Row],[Breakdown Time]]*(1/39)</f>
        <v>0.61537749287749288</v>
      </c>
      <c r="X901" s="336" t="s">
        <v>1212</v>
      </c>
      <c r="Y901" s="352" t="s">
        <v>143</v>
      </c>
      <c r="Z901" s="105">
        <v>22127</v>
      </c>
      <c r="AA901" s="107">
        <f>IFERROR((Table6[[#This Row],[Paired WTG Generation for loss calculation]]/24)*Table6[[#This Row],[Breakdown Time]],"")</f>
        <v>22126.743900462967</v>
      </c>
      <c r="AB901" s="105" t="s">
        <v>478</v>
      </c>
    </row>
    <row r="902" spans="1:28">
      <c r="A902" s="105">
        <f t="shared" si="14"/>
        <v>901</v>
      </c>
      <c r="B902" s="107">
        <f>YEAR(Table6[[#This Row],[Date]])+IF(MONTH(Table6[[#This Row],[Date]])&gt;=4,1,0)</f>
        <v>2026</v>
      </c>
      <c r="C902" s="105">
        <f>YEAR(Table6[[#This Row],[Date]])</f>
        <v>2025</v>
      </c>
      <c r="D902" s="105" t="s">
        <v>490</v>
      </c>
      <c r="E902" s="119">
        <f>Table6[[#This Row],[Date]]-DAY(Table6[[#This Row],[Date]])+1</f>
        <v>45809</v>
      </c>
      <c r="F902" s="118">
        <v>45838</v>
      </c>
      <c r="G902" s="105" t="s">
        <v>131</v>
      </c>
      <c r="H902" s="39" t="str">
        <f>_xlfn.XLOOKUP(Table6[[#This Row],[Affected WTG]],'Basic Data'!$A:$A,'Basic Data'!$B:$B)</f>
        <v>PWEGPL</v>
      </c>
      <c r="I902" s="39" t="str">
        <f>_xlfn.XLOOKUP(Table6[[#This Row],[Affected WTG]],'Basic Data'!$A:$A,'Basic Data'!$C:$C)</f>
        <v>MSEDCL</v>
      </c>
      <c r="J902" s="345">
        <f>IFERROR(VLOOKUP(Table6[[#This Row],[Affected WTG]],'Basic Data'!$A$3:$E$56,5,0),"")</f>
        <v>2.564102564102564E-2</v>
      </c>
      <c r="K902" s="105" t="s">
        <v>492</v>
      </c>
      <c r="L902" s="39" t="str">
        <f>IFERROR(VLOOKUP(Table6[[#This Row],[Error Code]],'Basic Data'!$T:$U,2,0),"")</f>
        <v>Manual Stop - Safety Related</v>
      </c>
      <c r="M902" s="346" t="s">
        <v>462</v>
      </c>
      <c r="N902" s="39" t="s">
        <v>1270</v>
      </c>
      <c r="O902" s="347">
        <v>0</v>
      </c>
      <c r="P902" s="347">
        <v>0.99998842592592596</v>
      </c>
      <c r="Q902" s="347">
        <v>0.99998842592592596</v>
      </c>
      <c r="R902" s="348">
        <f>IF(Table6[[#This Row],[Work Start TimeStamp]]="","",(Table6[[#This Row],[Work Start TimeStamp]]-Table6[[#This Row],[Fault Start TimeStamp]])*24)</f>
        <v>23.999722222222225</v>
      </c>
      <c r="S902" s="349">
        <f>(Table6[[#This Row],[Fault Clearance time]]-Table6[[#This Row],[Work Start TimeStamp]])*24</f>
        <v>0</v>
      </c>
      <c r="T902" s="350">
        <f>(Table6[[#This Row],[Fault Clearance time]]-Table6[[#This Row],[Fault Start TimeStamp]])*24</f>
        <v>23.999722222222225</v>
      </c>
      <c r="U902" s="346" t="s">
        <v>1247</v>
      </c>
      <c r="V902" s="351" t="s">
        <v>473</v>
      </c>
      <c r="W902" s="338">
        <f>Table6[[#This Row],[Breakdown Time]]*(1/39)</f>
        <v>0.61537749287749288</v>
      </c>
      <c r="X902" s="336" t="s">
        <v>465</v>
      </c>
      <c r="Y902" s="352" t="s">
        <v>132</v>
      </c>
      <c r="Z902" s="105">
        <v>22013</v>
      </c>
      <c r="AA902" s="107">
        <f>IFERROR((Table6[[#This Row],[Paired WTG Generation for loss calculation]]/24)*Table6[[#This Row],[Breakdown Time]],"")</f>
        <v>22012.745219907411</v>
      </c>
      <c r="AB902" s="105" t="s">
        <v>478</v>
      </c>
    </row>
    <row r="903" spans="1:28">
      <c r="A903" s="105">
        <f t="shared" si="14"/>
        <v>902</v>
      </c>
      <c r="B903" s="107">
        <f>YEAR(Table6[[#This Row],[Date]])+IF(MONTH(Table6[[#This Row],[Date]])&gt;=4,1,0)</f>
        <v>2026</v>
      </c>
      <c r="C903" s="105">
        <f>YEAR(Table6[[#This Row],[Date]])</f>
        <v>2025</v>
      </c>
      <c r="D903" s="105" t="s">
        <v>490</v>
      </c>
      <c r="E903" s="119">
        <f>Table6[[#This Row],[Date]]-DAY(Table6[[#This Row],[Date]])+1</f>
        <v>45809</v>
      </c>
      <c r="F903" s="118">
        <v>45838</v>
      </c>
      <c r="G903" s="105" t="s">
        <v>151</v>
      </c>
      <c r="H903" s="39" t="str">
        <f>_xlfn.XLOOKUP(Table6[[#This Row],[Affected WTG]],'Basic Data'!$A:$A,'Basic Data'!$B:$B)</f>
        <v>PWEGPL</v>
      </c>
      <c r="I903" s="39" t="str">
        <f>_xlfn.XLOOKUP(Table6[[#This Row],[Affected WTG]],'Basic Data'!$A:$A,'Basic Data'!$C:$C)</f>
        <v>MSEDCL</v>
      </c>
      <c r="J903" s="345">
        <f>IFERROR(VLOOKUP(Table6[[#This Row],[Affected WTG]],'Basic Data'!$A$3:$E$56,5,0),"")</f>
        <v>2.564102564102564E-2</v>
      </c>
      <c r="K903" s="105" t="s">
        <v>466</v>
      </c>
      <c r="L903" s="39" t="str">
        <f>IFERROR(VLOOKUP(Table6[[#This Row],[Error Code]],'Basic Data'!$T:$U,2,0),"")</f>
        <v>Manual Stop</v>
      </c>
      <c r="M903" s="346" t="s">
        <v>481</v>
      </c>
      <c r="N903" s="39" t="s">
        <v>230</v>
      </c>
      <c r="O903" s="347">
        <v>0.53472222222222221</v>
      </c>
      <c r="P903" s="347">
        <v>0.53472222222222221</v>
      </c>
      <c r="Q903" s="347">
        <v>0.62847222222222221</v>
      </c>
      <c r="R903" s="348">
        <f>IF(Table6[[#This Row],[Work Start TimeStamp]]="","",(Table6[[#This Row],[Work Start TimeStamp]]-Table6[[#This Row],[Fault Start TimeStamp]])*24)</f>
        <v>0</v>
      </c>
      <c r="S903" s="349">
        <f>(Table6[[#This Row],[Fault Clearance time]]-Table6[[#This Row],[Work Start TimeStamp]])*24</f>
        <v>2.25</v>
      </c>
      <c r="T903" s="350">
        <f>(Table6[[#This Row],[Fault Clearance time]]-Table6[[#This Row],[Fault Start TimeStamp]])*24</f>
        <v>2.25</v>
      </c>
      <c r="U903" s="346" t="s">
        <v>1325</v>
      </c>
      <c r="V903" s="351" t="s">
        <v>463</v>
      </c>
      <c r="W903" s="338">
        <f>Table6[[#This Row],[Breakdown Time]]*(1/39)</f>
        <v>5.7692307692307689E-2</v>
      </c>
      <c r="X903" s="336" t="s">
        <v>1212</v>
      </c>
      <c r="Y903" s="352" t="s">
        <v>152</v>
      </c>
      <c r="Z903" s="105">
        <v>22234</v>
      </c>
      <c r="AA903" s="107">
        <f>IFERROR((Table6[[#This Row],[Paired WTG Generation for loss calculation]]/24)*Table6[[#This Row],[Breakdown Time]],"")</f>
        <v>2084.4375</v>
      </c>
      <c r="AB903" s="105" t="s">
        <v>478</v>
      </c>
    </row>
    <row r="904" spans="1:28">
      <c r="A904" s="105">
        <f t="shared" si="14"/>
        <v>903</v>
      </c>
      <c r="B904" s="107">
        <f>YEAR(Table6[[#This Row],[Date]])+IF(MONTH(Table6[[#This Row],[Date]])&gt;=4,1,0)</f>
        <v>2026</v>
      </c>
      <c r="C904" s="105">
        <f>YEAR(Table6[[#This Row],[Date]])</f>
        <v>2025</v>
      </c>
      <c r="D904" s="105" t="s">
        <v>490</v>
      </c>
      <c r="E904" s="119">
        <f>Table6[[#This Row],[Date]]-DAY(Table6[[#This Row],[Date]])+1</f>
        <v>45809</v>
      </c>
      <c r="F904" s="118">
        <v>45838</v>
      </c>
      <c r="G904" s="105" t="s">
        <v>151</v>
      </c>
      <c r="H904" s="39" t="str">
        <f>_xlfn.XLOOKUP(Table6[[#This Row],[Affected WTG]],'Basic Data'!$A:$A,'Basic Data'!$B:$B)</f>
        <v>PWEGPL</v>
      </c>
      <c r="I904" s="39" t="str">
        <f>_xlfn.XLOOKUP(Table6[[#This Row],[Affected WTG]],'Basic Data'!$A:$A,'Basic Data'!$C:$C)</f>
        <v>MSEDCL</v>
      </c>
      <c r="J904" s="345">
        <f>IFERROR(VLOOKUP(Table6[[#This Row],[Affected WTG]],'Basic Data'!$A$3:$E$56,5,0),"")</f>
        <v>2.564102564102564E-2</v>
      </c>
      <c r="K904" s="105" t="s">
        <v>492</v>
      </c>
      <c r="L904" s="39" t="str">
        <f>IFERROR(VLOOKUP(Table6[[#This Row],[Error Code]],'Basic Data'!$T:$U,2,0),"")</f>
        <v>Manual Stop - Safety Related</v>
      </c>
      <c r="M904" s="346" t="s">
        <v>507</v>
      </c>
      <c r="N904" s="39" t="s">
        <v>230</v>
      </c>
      <c r="O904" s="347">
        <v>0.62847222222222221</v>
      </c>
      <c r="P904" s="347">
        <v>0.62847222222222221</v>
      </c>
      <c r="Q904" s="347">
        <v>0.66319444444444442</v>
      </c>
      <c r="R904" s="348">
        <f>IF(Table6[[#This Row],[Work Start TimeStamp]]="","",(Table6[[#This Row],[Work Start TimeStamp]]-Table6[[#This Row],[Fault Start TimeStamp]])*24)</f>
        <v>0</v>
      </c>
      <c r="S904" s="349">
        <f>(Table6[[#This Row],[Fault Clearance time]]-Table6[[#This Row],[Work Start TimeStamp]])*24</f>
        <v>0.83333333333333304</v>
      </c>
      <c r="T904" s="350">
        <f>(Table6[[#This Row],[Fault Clearance time]]-Table6[[#This Row],[Fault Start TimeStamp]])*24</f>
        <v>0.83333333333333304</v>
      </c>
      <c r="U904" s="346" t="s">
        <v>1308</v>
      </c>
      <c r="V904" s="351" t="s">
        <v>463</v>
      </c>
      <c r="W904" s="338">
        <f>Table6[[#This Row],[Breakdown Time]]*(1/39)</f>
        <v>2.1367521367521358E-2</v>
      </c>
      <c r="X904" s="336" t="s">
        <v>1212</v>
      </c>
      <c r="Y904" s="352" t="s">
        <v>152</v>
      </c>
      <c r="Z904" s="105">
        <v>22234</v>
      </c>
      <c r="AA904" s="107">
        <f>IFERROR((Table6[[#This Row],[Paired WTG Generation for loss calculation]]/24)*Table6[[#This Row],[Breakdown Time]],"")</f>
        <v>772.01388888888857</v>
      </c>
      <c r="AB904" s="105" t="s">
        <v>478</v>
      </c>
    </row>
    <row r="905" spans="1:28">
      <c r="A905" s="105">
        <f t="shared" si="14"/>
        <v>904</v>
      </c>
      <c r="B905" s="107">
        <f>YEAR(Table6[[#This Row],[Date]])+IF(MONTH(Table6[[#This Row],[Date]])&gt;=4,1,0)</f>
        <v>2026</v>
      </c>
      <c r="C905" s="105">
        <f>YEAR(Table6[[#This Row],[Date]])</f>
        <v>2025</v>
      </c>
      <c r="D905" s="105" t="s">
        <v>490</v>
      </c>
      <c r="E905" s="119">
        <f>Table6[[#This Row],[Date]]-DAY(Table6[[#This Row],[Date]])+1</f>
        <v>45839</v>
      </c>
      <c r="F905" s="118">
        <v>45839</v>
      </c>
      <c r="G905" s="105" t="s">
        <v>144</v>
      </c>
      <c r="H905" s="39" t="str">
        <f>_xlfn.XLOOKUP(Table6[[#This Row],[Affected WTG]],'Basic Data'!$A:$A,'Basic Data'!$B:$B)</f>
        <v>PWEGPL</v>
      </c>
      <c r="I905" s="39" t="str">
        <f>_xlfn.XLOOKUP(Table6[[#This Row],[Affected WTG]],'Basic Data'!$A:$A,'Basic Data'!$C:$C)</f>
        <v>MSEDCL</v>
      </c>
      <c r="J905" s="345">
        <f>IFERROR(VLOOKUP(Table6[[#This Row],[Affected WTG]],'Basic Data'!$A$3:$E$56,5,0),"")</f>
        <v>2.564102564102564E-2</v>
      </c>
      <c r="K905" s="105" t="s">
        <v>492</v>
      </c>
      <c r="L905" s="39" t="str">
        <f>IFERROR(VLOOKUP(Table6[[#This Row],[Error Code]],'Basic Data'!$T:$U,2,0),"")</f>
        <v>Manual Stop - Safety Related</v>
      </c>
      <c r="M905" s="346" t="s">
        <v>481</v>
      </c>
      <c r="N905" s="39" t="s">
        <v>1269</v>
      </c>
      <c r="O905" s="347">
        <v>0</v>
      </c>
      <c r="P905" s="347">
        <v>0.99998842592592596</v>
      </c>
      <c r="Q905" s="347">
        <v>0.99998842592592596</v>
      </c>
      <c r="R905" s="348">
        <f>IF(Table6[[#This Row],[Work Start TimeStamp]]="","",(Table6[[#This Row],[Work Start TimeStamp]]-Table6[[#This Row],[Fault Start TimeStamp]])*24)</f>
        <v>23.999722222222225</v>
      </c>
      <c r="S905" s="349">
        <f>(Table6[[#This Row],[Fault Clearance time]]-Table6[[#This Row],[Work Start TimeStamp]])*24</f>
        <v>0</v>
      </c>
      <c r="T905" s="350">
        <f>(Table6[[#This Row],[Fault Clearance time]]-Table6[[#This Row],[Fault Start TimeStamp]])*24</f>
        <v>23.999722222222225</v>
      </c>
      <c r="U905" s="346" t="s">
        <v>498</v>
      </c>
      <c r="V905" s="351" t="s">
        <v>473</v>
      </c>
      <c r="W905" s="338">
        <f>Table6[[#This Row],[Breakdown Time]]*(1/39)</f>
        <v>0.61537749287749288</v>
      </c>
      <c r="X905" s="336" t="s">
        <v>1212</v>
      </c>
      <c r="Y905" s="352" t="s">
        <v>143</v>
      </c>
      <c r="Z905" s="105">
        <v>21100</v>
      </c>
      <c r="AA905" s="107">
        <f>IFERROR((Table6[[#This Row],[Paired WTG Generation for loss calculation]]/24)*Table6[[#This Row],[Breakdown Time]],"")</f>
        <v>21099.75578703704</v>
      </c>
      <c r="AB905" s="105" t="s">
        <v>478</v>
      </c>
    </row>
    <row r="906" spans="1:28">
      <c r="A906" s="105">
        <f t="shared" si="14"/>
        <v>905</v>
      </c>
      <c r="B906" s="107">
        <f>YEAR(Table6[[#This Row],[Date]])+IF(MONTH(Table6[[#This Row],[Date]])&gt;=4,1,0)</f>
        <v>2026</v>
      </c>
      <c r="C906" s="105">
        <f>YEAR(Table6[[#This Row],[Date]])</f>
        <v>2025</v>
      </c>
      <c r="D906" s="105" t="s">
        <v>490</v>
      </c>
      <c r="E906" s="119">
        <f>Table6[[#This Row],[Date]]-DAY(Table6[[#This Row],[Date]])+1</f>
        <v>45839</v>
      </c>
      <c r="F906" s="118">
        <v>45839</v>
      </c>
      <c r="G906" s="105" t="s">
        <v>142</v>
      </c>
      <c r="H906" s="39" t="str">
        <f>_xlfn.XLOOKUP(Table6[[#This Row],[Affected WTG]],'Basic Data'!$A:$A,'Basic Data'!$B:$B)</f>
        <v>PWEGPL</v>
      </c>
      <c r="I906" s="39" t="str">
        <f>_xlfn.XLOOKUP(Table6[[#This Row],[Affected WTG]],'Basic Data'!$A:$A,'Basic Data'!$C:$C)</f>
        <v>MSEDCL</v>
      </c>
      <c r="J906" s="345">
        <f>IFERROR(VLOOKUP(Table6[[#This Row],[Affected WTG]],'Basic Data'!$A$3:$E$56,5,0),"")</f>
        <v>2.564102564102564E-2</v>
      </c>
      <c r="K906" s="105" t="s">
        <v>492</v>
      </c>
      <c r="L906" s="39" t="str">
        <f>IFERROR(VLOOKUP(Table6[[#This Row],[Error Code]],'Basic Data'!$T:$U,2,0),"")</f>
        <v>Manual Stop - Safety Related</v>
      </c>
      <c r="M906" s="346" t="s">
        <v>481</v>
      </c>
      <c r="N906" s="39" t="s">
        <v>1269</v>
      </c>
      <c r="O906" s="347">
        <v>0</v>
      </c>
      <c r="P906" s="347">
        <v>0.99998842592592596</v>
      </c>
      <c r="Q906" s="347">
        <v>0.99998842592592596</v>
      </c>
      <c r="R906" s="348">
        <f>IF(Table6[[#This Row],[Work Start TimeStamp]]="","",(Table6[[#This Row],[Work Start TimeStamp]]-Table6[[#This Row],[Fault Start TimeStamp]])*24)</f>
        <v>23.999722222222225</v>
      </c>
      <c r="S906" s="349">
        <f>(Table6[[#This Row],[Fault Clearance time]]-Table6[[#This Row],[Work Start TimeStamp]])*24</f>
        <v>0</v>
      </c>
      <c r="T906" s="350">
        <f>(Table6[[#This Row],[Fault Clearance time]]-Table6[[#This Row],[Fault Start TimeStamp]])*24</f>
        <v>23.999722222222225</v>
      </c>
      <c r="U906" s="346" t="s">
        <v>498</v>
      </c>
      <c r="V906" s="351" t="s">
        <v>473</v>
      </c>
      <c r="W906" s="338">
        <f>Table6[[#This Row],[Breakdown Time]]*(1/39)</f>
        <v>0.61537749287749288</v>
      </c>
      <c r="X906" s="336" t="s">
        <v>1212</v>
      </c>
      <c r="Y906" s="352" t="s">
        <v>143</v>
      </c>
      <c r="Z906" s="105">
        <v>21100</v>
      </c>
      <c r="AA906" s="107">
        <f>IFERROR((Table6[[#This Row],[Paired WTG Generation for loss calculation]]/24)*Table6[[#This Row],[Breakdown Time]],"")</f>
        <v>21099.75578703704</v>
      </c>
      <c r="AB906" s="105" t="s">
        <v>478</v>
      </c>
    </row>
    <row r="907" spans="1:28">
      <c r="A907" s="105">
        <f t="shared" si="14"/>
        <v>906</v>
      </c>
      <c r="B907" s="107">
        <f>YEAR(Table6[[#This Row],[Date]])+IF(MONTH(Table6[[#This Row],[Date]])&gt;=4,1,0)</f>
        <v>2026</v>
      </c>
      <c r="C907" s="105">
        <f>YEAR(Table6[[#This Row],[Date]])</f>
        <v>2025</v>
      </c>
      <c r="D907" s="105" t="s">
        <v>490</v>
      </c>
      <c r="E907" s="119">
        <f>Table6[[#This Row],[Date]]-DAY(Table6[[#This Row],[Date]])+1</f>
        <v>45839</v>
      </c>
      <c r="F907" s="118">
        <v>45839</v>
      </c>
      <c r="G907" s="105" t="s">
        <v>131</v>
      </c>
      <c r="H907" s="39" t="str">
        <f>_xlfn.XLOOKUP(Table6[[#This Row],[Affected WTG]],'Basic Data'!$A:$A,'Basic Data'!$B:$B)</f>
        <v>PWEGPL</v>
      </c>
      <c r="I907" s="39" t="str">
        <f>_xlfn.XLOOKUP(Table6[[#This Row],[Affected WTG]],'Basic Data'!$A:$A,'Basic Data'!$C:$C)</f>
        <v>MSEDCL</v>
      </c>
      <c r="J907" s="345">
        <f>IFERROR(VLOOKUP(Table6[[#This Row],[Affected WTG]],'Basic Data'!$A$3:$E$56,5,0),"")</f>
        <v>2.564102564102564E-2</v>
      </c>
      <c r="K907" s="105" t="s">
        <v>492</v>
      </c>
      <c r="L907" s="39" t="str">
        <f>IFERROR(VLOOKUP(Table6[[#This Row],[Error Code]],'Basic Data'!$T:$U,2,0),"")</f>
        <v>Manual Stop - Safety Related</v>
      </c>
      <c r="M907" s="346" t="s">
        <v>462</v>
      </c>
      <c r="N907" s="39" t="s">
        <v>1270</v>
      </c>
      <c r="O907" s="347">
        <v>0</v>
      </c>
      <c r="P907" s="347">
        <v>0.99998842592592596</v>
      </c>
      <c r="Q907" s="347">
        <v>0.99998842592592596</v>
      </c>
      <c r="R907" s="348">
        <f>IF(Table6[[#This Row],[Work Start TimeStamp]]="","",(Table6[[#This Row],[Work Start TimeStamp]]-Table6[[#This Row],[Fault Start TimeStamp]])*24)</f>
        <v>23.999722222222225</v>
      </c>
      <c r="S907" s="349">
        <f>(Table6[[#This Row],[Fault Clearance time]]-Table6[[#This Row],[Work Start TimeStamp]])*24</f>
        <v>0</v>
      </c>
      <c r="T907" s="350">
        <f>(Table6[[#This Row],[Fault Clearance time]]-Table6[[#This Row],[Fault Start TimeStamp]])*24</f>
        <v>23.999722222222225</v>
      </c>
      <c r="U907" s="346" t="s">
        <v>1247</v>
      </c>
      <c r="V907" s="351" t="s">
        <v>473</v>
      </c>
      <c r="W907" s="338">
        <f>Table6[[#This Row],[Breakdown Time]]*(1/39)</f>
        <v>0.61537749287749288</v>
      </c>
      <c r="X907" s="336" t="s">
        <v>465</v>
      </c>
      <c r="Y907" s="352" t="s">
        <v>132</v>
      </c>
      <c r="Z907" s="105">
        <v>27820</v>
      </c>
      <c r="AA907" s="107">
        <f>IFERROR((Table6[[#This Row],[Paired WTG Generation for loss calculation]]/24)*Table6[[#This Row],[Breakdown Time]],"")</f>
        <v>27819.678009259263</v>
      </c>
      <c r="AB907" s="105" t="s">
        <v>478</v>
      </c>
    </row>
    <row r="908" spans="1:28">
      <c r="A908" s="105">
        <f t="shared" si="14"/>
        <v>907</v>
      </c>
      <c r="B908" s="107">
        <f>YEAR(Table6[[#This Row],[Date]])+IF(MONTH(Table6[[#This Row],[Date]])&gt;=4,1,0)</f>
        <v>2026</v>
      </c>
      <c r="C908" s="105">
        <f>YEAR(Table6[[#This Row],[Date]])</f>
        <v>2025</v>
      </c>
      <c r="D908" s="105" t="s">
        <v>490</v>
      </c>
      <c r="E908" s="119">
        <f>Table6[[#This Row],[Date]]-DAY(Table6[[#This Row],[Date]])+1</f>
        <v>45839</v>
      </c>
      <c r="F908" s="118">
        <v>45839</v>
      </c>
      <c r="G908" s="105" t="s">
        <v>145</v>
      </c>
      <c r="H908" s="39" t="str">
        <f>_xlfn.XLOOKUP(Table6[[#This Row],[Affected WTG]],'Basic Data'!$A:$A,'Basic Data'!$B:$B)</f>
        <v>PWEGPL</v>
      </c>
      <c r="I908" s="39" t="str">
        <f>_xlfn.XLOOKUP(Table6[[#This Row],[Affected WTG]],'Basic Data'!$A:$A,'Basic Data'!$C:$C)</f>
        <v>MSEDCL</v>
      </c>
      <c r="J908" s="345">
        <f>IFERROR(VLOOKUP(Table6[[#This Row],[Affected WTG]],'Basic Data'!$A$3:$E$56,5,0),"")</f>
        <v>2.564102564102564E-2</v>
      </c>
      <c r="K908" s="105">
        <v>552</v>
      </c>
      <c r="L908" s="39" t="str">
        <f>IFERROR(VLOOKUP(Table6[[#This Row],[Error Code]],'Basic Data'!$T:$U,2,0),"")</f>
        <v>Wear Brushes Generator Triggered Too Long</v>
      </c>
      <c r="M908" s="346" t="s">
        <v>462</v>
      </c>
      <c r="N908" s="39" t="s">
        <v>1270</v>
      </c>
      <c r="O908" s="347">
        <v>0.4861111111111111</v>
      </c>
      <c r="P908" s="347">
        <v>0.50694444444444442</v>
      </c>
      <c r="Q908" s="347">
        <v>0.54305555555555551</v>
      </c>
      <c r="R908" s="348">
        <f>IF(Table6[[#This Row],[Work Start TimeStamp]]="","",(Table6[[#This Row],[Work Start TimeStamp]]-Table6[[#This Row],[Fault Start TimeStamp]])*24)</f>
        <v>0.49999999999999956</v>
      </c>
      <c r="S908" s="349">
        <f>(Table6[[#This Row],[Fault Clearance time]]-Table6[[#This Row],[Work Start TimeStamp]])*24</f>
        <v>0.86666666666666625</v>
      </c>
      <c r="T908" s="350">
        <f>(Table6[[#This Row],[Fault Clearance time]]-Table6[[#This Row],[Fault Start TimeStamp]])*24</f>
        <v>1.3666666666666658</v>
      </c>
      <c r="U908" s="346" t="s">
        <v>1326</v>
      </c>
      <c r="V908" s="351" t="s">
        <v>463</v>
      </c>
      <c r="W908" s="338">
        <f>Table6[[#This Row],[Breakdown Time]]*(1/39)</f>
        <v>3.5042735042735022E-2</v>
      </c>
      <c r="X908" s="336" t="s">
        <v>465</v>
      </c>
      <c r="Y908" s="352" t="s">
        <v>139</v>
      </c>
      <c r="Z908" s="105">
        <v>20160</v>
      </c>
      <c r="AA908" s="107">
        <f>IFERROR((Table6[[#This Row],[Paired WTG Generation for loss calculation]]/24)*Table6[[#This Row],[Breakdown Time]],"")</f>
        <v>1147.9999999999993</v>
      </c>
      <c r="AB908" s="105" t="s">
        <v>478</v>
      </c>
    </row>
    <row r="909" spans="1:28">
      <c r="A909" s="105">
        <f t="shared" si="14"/>
        <v>908</v>
      </c>
      <c r="B909" s="107">
        <f>YEAR(Table6[[#This Row],[Date]])+IF(MONTH(Table6[[#This Row],[Date]])&gt;=4,1,0)</f>
        <v>2026</v>
      </c>
      <c r="C909" s="105">
        <f>YEAR(Table6[[#This Row],[Date]])</f>
        <v>2025</v>
      </c>
      <c r="D909" s="105" t="s">
        <v>490</v>
      </c>
      <c r="E909" s="119">
        <f>Table6[[#This Row],[Date]]-DAY(Table6[[#This Row],[Date]])+1</f>
        <v>45839</v>
      </c>
      <c r="F909" s="118">
        <v>45839</v>
      </c>
      <c r="G909" s="105" t="s">
        <v>145</v>
      </c>
      <c r="H909" s="39" t="str">
        <f>_xlfn.XLOOKUP(Table6[[#This Row],[Affected WTG]],'Basic Data'!$A:$A,'Basic Data'!$B:$B)</f>
        <v>PWEGPL</v>
      </c>
      <c r="I909" s="39" t="str">
        <f>_xlfn.XLOOKUP(Table6[[#This Row],[Affected WTG]],'Basic Data'!$A:$A,'Basic Data'!$C:$C)</f>
        <v>MSEDCL</v>
      </c>
      <c r="J909" s="345">
        <f>IFERROR(VLOOKUP(Table6[[#This Row],[Affected WTG]],'Basic Data'!$A$3:$E$56,5,0),"")</f>
        <v>2.564102564102564E-2</v>
      </c>
      <c r="K909" s="105">
        <v>2118</v>
      </c>
      <c r="L909" s="39" t="str">
        <f>IFERROR(VLOOKUP(Table6[[#This Row],[Error Code]],'Basic Data'!$T:$U,2,0),"")</f>
        <v>Bus Error - Interbus Failure</v>
      </c>
      <c r="M909" s="346" t="s">
        <v>462</v>
      </c>
      <c r="N909" s="39" t="s">
        <v>1270</v>
      </c>
      <c r="O909" s="347">
        <v>0.68402777777777779</v>
      </c>
      <c r="P909" s="347">
        <v>0.70972222222222225</v>
      </c>
      <c r="Q909" s="347">
        <v>0.71111111111111114</v>
      </c>
      <c r="R909" s="348">
        <f>IF(Table6[[#This Row],[Work Start TimeStamp]]="","",(Table6[[#This Row],[Work Start TimeStamp]]-Table6[[#This Row],[Fault Start TimeStamp]])*24)</f>
        <v>0.61666666666666714</v>
      </c>
      <c r="S909" s="349">
        <f>(Table6[[#This Row],[Fault Clearance time]]-Table6[[#This Row],[Work Start TimeStamp]])*24</f>
        <v>3.3333333333333215E-2</v>
      </c>
      <c r="T909" s="350">
        <f>(Table6[[#This Row],[Fault Clearance time]]-Table6[[#This Row],[Fault Start TimeStamp]])*24</f>
        <v>0.65000000000000036</v>
      </c>
      <c r="U909" s="346" t="s">
        <v>493</v>
      </c>
      <c r="V909" s="351" t="s">
        <v>463</v>
      </c>
      <c r="W909" s="338">
        <f>Table6[[#This Row],[Breakdown Time]]*(1/39)</f>
        <v>1.6666666666666677E-2</v>
      </c>
      <c r="X909" s="336" t="s">
        <v>465</v>
      </c>
      <c r="Y909" s="352" t="s">
        <v>139</v>
      </c>
      <c r="Z909" s="105">
        <v>20160</v>
      </c>
      <c r="AA909" s="107">
        <f>IFERROR((Table6[[#This Row],[Paired WTG Generation for loss calculation]]/24)*Table6[[#This Row],[Breakdown Time]],"")</f>
        <v>546.00000000000034</v>
      </c>
      <c r="AB909" s="105" t="s">
        <v>478</v>
      </c>
    </row>
    <row r="910" spans="1:28">
      <c r="A910" s="105">
        <f t="shared" si="14"/>
        <v>909</v>
      </c>
      <c r="B910" s="107">
        <f>YEAR(Table6[[#This Row],[Date]])+IF(MONTH(Table6[[#This Row],[Date]])&gt;=4,1,0)</f>
        <v>2026</v>
      </c>
      <c r="C910" s="105">
        <f>YEAR(Table6[[#This Row],[Date]])</f>
        <v>2025</v>
      </c>
      <c r="D910" s="105" t="s">
        <v>490</v>
      </c>
      <c r="E910" s="119">
        <f>Table6[[#This Row],[Date]]-DAY(Table6[[#This Row],[Date]])+1</f>
        <v>45839</v>
      </c>
      <c r="F910" s="118">
        <v>45839</v>
      </c>
      <c r="G910" s="105" t="s">
        <v>136</v>
      </c>
      <c r="H910" s="39" t="str">
        <f>_xlfn.XLOOKUP(Table6[[#This Row],[Affected WTG]],'Basic Data'!$A:$A,'Basic Data'!$B:$B)</f>
        <v>PWEGPL</v>
      </c>
      <c r="I910" s="39" t="str">
        <f>_xlfn.XLOOKUP(Table6[[#This Row],[Affected WTG]],'Basic Data'!$A:$A,'Basic Data'!$C:$C)</f>
        <v>MSEDCL</v>
      </c>
      <c r="J910" s="345">
        <f>IFERROR(VLOOKUP(Table6[[#This Row],[Affected WTG]],'Basic Data'!$A$3:$E$56,5,0),"")</f>
        <v>2.564102564102564E-2</v>
      </c>
      <c r="K910" s="105" t="s">
        <v>492</v>
      </c>
      <c r="L910" s="39" t="str">
        <f>IFERROR(VLOOKUP(Table6[[#This Row],[Error Code]],'Basic Data'!$T:$U,2,0),"")</f>
        <v>Manual Stop - Safety Related</v>
      </c>
      <c r="M910" s="346" t="s">
        <v>481</v>
      </c>
      <c r="N910" s="39" t="s">
        <v>230</v>
      </c>
      <c r="O910" s="347">
        <v>0.55208333333333337</v>
      </c>
      <c r="P910" s="347">
        <v>0.55208333333333337</v>
      </c>
      <c r="Q910" s="347">
        <v>0.69722222222222219</v>
      </c>
      <c r="R910" s="348">
        <f>IF(Table6[[#This Row],[Work Start TimeStamp]]="","",(Table6[[#This Row],[Work Start TimeStamp]]-Table6[[#This Row],[Fault Start TimeStamp]])*24)</f>
        <v>0</v>
      </c>
      <c r="S910" s="349">
        <f>(Table6[[#This Row],[Fault Clearance time]]-Table6[[#This Row],[Work Start TimeStamp]])*24</f>
        <v>3.4833333333333316</v>
      </c>
      <c r="T910" s="350">
        <f>(Table6[[#This Row],[Fault Clearance time]]-Table6[[#This Row],[Fault Start TimeStamp]])*24</f>
        <v>3.4833333333333316</v>
      </c>
      <c r="U910" s="346" t="s">
        <v>501</v>
      </c>
      <c r="V910" s="351" t="s">
        <v>463</v>
      </c>
      <c r="W910" s="338">
        <f>Table6[[#This Row],[Breakdown Time]]*(1/39)</f>
        <v>8.9316239316239263E-2</v>
      </c>
      <c r="X910" s="336" t="s">
        <v>1212</v>
      </c>
      <c r="Y910" s="352" t="s">
        <v>135</v>
      </c>
      <c r="Z910" s="105">
        <v>21150</v>
      </c>
      <c r="AA910" s="107">
        <f>IFERROR((Table6[[#This Row],[Paired WTG Generation for loss calculation]]/24)*Table6[[#This Row],[Breakdown Time]],"")</f>
        <v>3069.6874999999986</v>
      </c>
      <c r="AB910" s="105" t="s">
        <v>478</v>
      </c>
    </row>
    <row r="911" spans="1:28">
      <c r="A911" s="105">
        <f t="shared" si="14"/>
        <v>910</v>
      </c>
      <c r="B911" s="107">
        <f>YEAR(Table6[[#This Row],[Date]])+IF(MONTH(Table6[[#This Row],[Date]])&gt;=4,1,0)</f>
        <v>2026</v>
      </c>
      <c r="C911" s="105">
        <f>YEAR(Table6[[#This Row],[Date]])</f>
        <v>2025</v>
      </c>
      <c r="D911" s="105" t="s">
        <v>490</v>
      </c>
      <c r="E911" s="119">
        <f>Table6[[#This Row],[Date]]-DAY(Table6[[#This Row],[Date]])+1</f>
        <v>45839</v>
      </c>
      <c r="F911" s="118">
        <v>45840</v>
      </c>
      <c r="G911" s="105" t="s">
        <v>144</v>
      </c>
      <c r="H911" s="39" t="str">
        <f>_xlfn.XLOOKUP(Table6[[#This Row],[Affected WTG]],'Basic Data'!$A:$A,'Basic Data'!$B:$B)</f>
        <v>PWEGPL</v>
      </c>
      <c r="I911" s="39" t="str">
        <f>_xlfn.XLOOKUP(Table6[[#This Row],[Affected WTG]],'Basic Data'!$A:$A,'Basic Data'!$C:$C)</f>
        <v>MSEDCL</v>
      </c>
      <c r="J911" s="345">
        <f>IFERROR(VLOOKUP(Table6[[#This Row],[Affected WTG]],'Basic Data'!$A$3:$E$56,5,0),"")</f>
        <v>2.564102564102564E-2</v>
      </c>
      <c r="K911" s="105" t="s">
        <v>492</v>
      </c>
      <c r="L911" s="39" t="str">
        <f>IFERROR(VLOOKUP(Table6[[#This Row],[Error Code]],'Basic Data'!$T:$U,2,0),"")</f>
        <v>Manual Stop - Safety Related</v>
      </c>
      <c r="M911" s="346" t="s">
        <v>481</v>
      </c>
      <c r="N911" s="39" t="s">
        <v>1269</v>
      </c>
      <c r="O911" s="347">
        <v>0</v>
      </c>
      <c r="P911" s="347">
        <v>0.99998842592592596</v>
      </c>
      <c r="Q911" s="347">
        <v>0.99998842592592596</v>
      </c>
      <c r="R911" s="348">
        <f>IF(Table6[[#This Row],[Work Start TimeStamp]]="","",(Table6[[#This Row],[Work Start TimeStamp]]-Table6[[#This Row],[Fault Start TimeStamp]])*24)</f>
        <v>23.999722222222225</v>
      </c>
      <c r="S911" s="349">
        <f>(Table6[[#This Row],[Fault Clearance time]]-Table6[[#This Row],[Work Start TimeStamp]])*24</f>
        <v>0</v>
      </c>
      <c r="T911" s="350">
        <f>(Table6[[#This Row],[Fault Clearance time]]-Table6[[#This Row],[Fault Start TimeStamp]])*24</f>
        <v>23.999722222222225</v>
      </c>
      <c r="U911" s="346" t="s">
        <v>498</v>
      </c>
      <c r="V911" s="351" t="s">
        <v>473</v>
      </c>
      <c r="W911" s="338">
        <f>Table6[[#This Row],[Breakdown Time]]*(1/39)</f>
        <v>0.61537749287749288</v>
      </c>
      <c r="X911" s="336" t="s">
        <v>1212</v>
      </c>
      <c r="Y911" s="352" t="s">
        <v>143</v>
      </c>
      <c r="Z911" s="105">
        <v>24001</v>
      </c>
      <c r="AA911" s="107">
        <f>IFERROR((Table6[[#This Row],[Paired WTG Generation for loss calculation]]/24)*Table6[[#This Row],[Breakdown Time]],"")</f>
        <v>24000.722210648149</v>
      </c>
      <c r="AB911" s="105" t="s">
        <v>478</v>
      </c>
    </row>
    <row r="912" spans="1:28">
      <c r="A912" s="105">
        <f t="shared" si="14"/>
        <v>911</v>
      </c>
      <c r="B912" s="107">
        <f>YEAR(Table6[[#This Row],[Date]])+IF(MONTH(Table6[[#This Row],[Date]])&gt;=4,1,0)</f>
        <v>2026</v>
      </c>
      <c r="C912" s="105">
        <f>YEAR(Table6[[#This Row],[Date]])</f>
        <v>2025</v>
      </c>
      <c r="D912" s="105" t="s">
        <v>490</v>
      </c>
      <c r="E912" s="119">
        <f>Table6[[#This Row],[Date]]-DAY(Table6[[#This Row],[Date]])+1</f>
        <v>45839</v>
      </c>
      <c r="F912" s="118">
        <v>45840</v>
      </c>
      <c r="G912" s="105" t="s">
        <v>142</v>
      </c>
      <c r="H912" s="39" t="str">
        <f>_xlfn.XLOOKUP(Table6[[#This Row],[Affected WTG]],'Basic Data'!$A:$A,'Basic Data'!$B:$B)</f>
        <v>PWEGPL</v>
      </c>
      <c r="I912" s="39" t="str">
        <f>_xlfn.XLOOKUP(Table6[[#This Row],[Affected WTG]],'Basic Data'!$A:$A,'Basic Data'!$C:$C)</f>
        <v>MSEDCL</v>
      </c>
      <c r="J912" s="345">
        <f>IFERROR(VLOOKUP(Table6[[#This Row],[Affected WTG]],'Basic Data'!$A$3:$E$56,5,0),"")</f>
        <v>2.564102564102564E-2</v>
      </c>
      <c r="K912" s="105" t="s">
        <v>492</v>
      </c>
      <c r="L912" s="39" t="str">
        <f>IFERROR(VLOOKUP(Table6[[#This Row],[Error Code]],'Basic Data'!$T:$U,2,0),"")</f>
        <v>Manual Stop - Safety Related</v>
      </c>
      <c r="M912" s="346" t="s">
        <v>481</v>
      </c>
      <c r="N912" s="39" t="s">
        <v>1269</v>
      </c>
      <c r="O912" s="347">
        <v>0</v>
      </c>
      <c r="P912" s="347">
        <v>0.99998842592592596</v>
      </c>
      <c r="Q912" s="347">
        <v>0.99998842592592596</v>
      </c>
      <c r="R912" s="348">
        <f>IF(Table6[[#This Row],[Work Start TimeStamp]]="","",(Table6[[#This Row],[Work Start TimeStamp]]-Table6[[#This Row],[Fault Start TimeStamp]])*24)</f>
        <v>23.999722222222225</v>
      </c>
      <c r="S912" s="349">
        <f>(Table6[[#This Row],[Fault Clearance time]]-Table6[[#This Row],[Work Start TimeStamp]])*24</f>
        <v>0</v>
      </c>
      <c r="T912" s="350">
        <f>(Table6[[#This Row],[Fault Clearance time]]-Table6[[#This Row],[Fault Start TimeStamp]])*24</f>
        <v>23.999722222222225</v>
      </c>
      <c r="U912" s="346" t="s">
        <v>498</v>
      </c>
      <c r="V912" s="351" t="s">
        <v>473</v>
      </c>
      <c r="W912" s="338">
        <f>Table6[[#This Row],[Breakdown Time]]*(1/39)</f>
        <v>0.61537749287749288</v>
      </c>
      <c r="X912" s="336" t="s">
        <v>1212</v>
      </c>
      <c r="Y912" s="352" t="s">
        <v>143</v>
      </c>
      <c r="Z912" s="105">
        <v>24001</v>
      </c>
      <c r="AA912" s="107">
        <f>IFERROR((Table6[[#This Row],[Paired WTG Generation for loss calculation]]/24)*Table6[[#This Row],[Breakdown Time]],"")</f>
        <v>24000.722210648149</v>
      </c>
      <c r="AB912" s="105" t="s">
        <v>478</v>
      </c>
    </row>
    <row r="913" spans="1:28">
      <c r="A913" s="105">
        <f t="shared" si="14"/>
        <v>912</v>
      </c>
      <c r="B913" s="107">
        <f>YEAR(Table6[[#This Row],[Date]])+IF(MONTH(Table6[[#This Row],[Date]])&gt;=4,1,0)</f>
        <v>2026</v>
      </c>
      <c r="C913" s="105">
        <f>YEAR(Table6[[#This Row],[Date]])</f>
        <v>2025</v>
      </c>
      <c r="D913" s="105" t="s">
        <v>490</v>
      </c>
      <c r="E913" s="119">
        <f>Table6[[#This Row],[Date]]-DAY(Table6[[#This Row],[Date]])+1</f>
        <v>45839</v>
      </c>
      <c r="F913" s="118">
        <v>45840</v>
      </c>
      <c r="G913" s="105" t="s">
        <v>131</v>
      </c>
      <c r="H913" s="39" t="str">
        <f>_xlfn.XLOOKUP(Table6[[#This Row],[Affected WTG]],'Basic Data'!$A:$A,'Basic Data'!$B:$B)</f>
        <v>PWEGPL</v>
      </c>
      <c r="I913" s="39" t="str">
        <f>_xlfn.XLOOKUP(Table6[[#This Row],[Affected WTG]],'Basic Data'!$A:$A,'Basic Data'!$C:$C)</f>
        <v>MSEDCL</v>
      </c>
      <c r="J913" s="345">
        <f>IFERROR(VLOOKUP(Table6[[#This Row],[Affected WTG]],'Basic Data'!$A$3:$E$56,5,0),"")</f>
        <v>2.564102564102564E-2</v>
      </c>
      <c r="K913" s="105">
        <v>5216</v>
      </c>
      <c r="L913" s="39" t="str">
        <f>IFERROR(VLOOKUP(Table6[[#This Row],[Error Code]],'Basic Data'!$T:$U,2,0),"")</f>
        <v>Grid Voltage Failure</v>
      </c>
      <c r="M913" s="346" t="s">
        <v>462</v>
      </c>
      <c r="N913" s="39" t="s">
        <v>1270</v>
      </c>
      <c r="O913" s="347">
        <v>0</v>
      </c>
      <c r="P913" s="347">
        <v>0.99998842592592596</v>
      </c>
      <c r="Q913" s="347">
        <v>0.99998842592592596</v>
      </c>
      <c r="R913" s="348">
        <f>IF(Table6[[#This Row],[Work Start TimeStamp]]="","",(Table6[[#This Row],[Work Start TimeStamp]]-Table6[[#This Row],[Fault Start TimeStamp]])*24)</f>
        <v>23.999722222222225</v>
      </c>
      <c r="S913" s="349">
        <f>(Table6[[#This Row],[Fault Clearance time]]-Table6[[#This Row],[Work Start TimeStamp]])*24</f>
        <v>0</v>
      </c>
      <c r="T913" s="350">
        <f>(Table6[[#This Row],[Fault Clearance time]]-Table6[[#This Row],[Fault Start TimeStamp]])*24</f>
        <v>23.999722222222225</v>
      </c>
      <c r="U913" s="346" t="s">
        <v>1247</v>
      </c>
      <c r="V913" s="351" t="s">
        <v>473</v>
      </c>
      <c r="W913" s="338">
        <f>Table6[[#This Row],[Breakdown Time]]*(1/39)</f>
        <v>0.61537749287749288</v>
      </c>
      <c r="X913" s="336" t="s">
        <v>465</v>
      </c>
      <c r="Y913" s="352" t="s">
        <v>132</v>
      </c>
      <c r="Z913" s="105">
        <v>25020</v>
      </c>
      <c r="AA913" s="107">
        <f>IFERROR((Table6[[#This Row],[Paired WTG Generation for loss calculation]]/24)*Table6[[#This Row],[Breakdown Time]],"")</f>
        <v>25019.710416666669</v>
      </c>
      <c r="AB913" s="105" t="s">
        <v>478</v>
      </c>
    </row>
    <row r="914" spans="1:28">
      <c r="A914" s="105">
        <f t="shared" si="14"/>
        <v>913</v>
      </c>
      <c r="B914" s="107">
        <f>YEAR(Table6[[#This Row],[Date]])+IF(MONTH(Table6[[#This Row],[Date]])&gt;=4,1,0)</f>
        <v>2026</v>
      </c>
      <c r="C914" s="105">
        <f>YEAR(Table6[[#This Row],[Date]])</f>
        <v>2025</v>
      </c>
      <c r="D914" s="105" t="s">
        <v>490</v>
      </c>
      <c r="E914" s="119">
        <f>Table6[[#This Row],[Date]]-DAY(Table6[[#This Row],[Date]])+1</f>
        <v>45839</v>
      </c>
      <c r="F914" s="118">
        <v>45840</v>
      </c>
      <c r="G914" s="105" t="s">
        <v>149</v>
      </c>
      <c r="H914" s="39" t="str">
        <f>_xlfn.XLOOKUP(Table6[[#This Row],[Affected WTG]],'Basic Data'!$A:$A,'Basic Data'!$B:$B)</f>
        <v>PWEGPL</v>
      </c>
      <c r="I914" s="39" t="str">
        <f>_xlfn.XLOOKUP(Table6[[#This Row],[Affected WTG]],'Basic Data'!$A:$A,'Basic Data'!$C:$C)</f>
        <v>MSEDCL</v>
      </c>
      <c r="J914" s="345">
        <f>IFERROR(VLOOKUP(Table6[[#This Row],[Affected WTG]],'Basic Data'!$A$3:$E$56,5,0),"")</f>
        <v>2.564102564102564E-2</v>
      </c>
      <c r="K914" s="105" t="s">
        <v>492</v>
      </c>
      <c r="L914" s="39" t="str">
        <f>IFERROR(VLOOKUP(Table6[[#This Row],[Error Code]],'Basic Data'!$T:$U,2,0),"")</f>
        <v>Manual Stop - Safety Related</v>
      </c>
      <c r="M914" s="346" t="s">
        <v>481</v>
      </c>
      <c r="N914" s="39" t="s">
        <v>230</v>
      </c>
      <c r="O914" s="347">
        <v>0.57777777777777772</v>
      </c>
      <c r="P914" s="347">
        <v>0.57777777777777772</v>
      </c>
      <c r="Q914" s="347">
        <v>0.71805555555555556</v>
      </c>
      <c r="R914" s="348">
        <f>IF(Table6[[#This Row],[Work Start TimeStamp]]="","",(Table6[[#This Row],[Work Start TimeStamp]]-Table6[[#This Row],[Fault Start TimeStamp]])*24)</f>
        <v>0</v>
      </c>
      <c r="S914" s="349">
        <f>(Table6[[#This Row],[Fault Clearance time]]-Table6[[#This Row],[Work Start TimeStamp]])*24</f>
        <v>3.366666666666668</v>
      </c>
      <c r="T914" s="350">
        <f>(Table6[[#This Row],[Fault Clearance time]]-Table6[[#This Row],[Fault Start TimeStamp]])*24</f>
        <v>3.366666666666668</v>
      </c>
      <c r="U914" s="346" t="s">
        <v>501</v>
      </c>
      <c r="V914" s="351" t="s">
        <v>463</v>
      </c>
      <c r="W914" s="338">
        <f>Table6[[#This Row],[Breakdown Time]]*(1/39)</f>
        <v>8.6324786324786351E-2</v>
      </c>
      <c r="X914" s="336" t="s">
        <v>1212</v>
      </c>
      <c r="Y914" s="352" t="s">
        <v>148</v>
      </c>
      <c r="Z914" s="105">
        <v>16282</v>
      </c>
      <c r="AA914" s="107">
        <f>IFERROR((Table6[[#This Row],[Paired WTG Generation for loss calculation]]/24)*Table6[[#This Row],[Breakdown Time]],"")</f>
        <v>2284.0027777777786</v>
      </c>
      <c r="AB914" s="105" t="s">
        <v>478</v>
      </c>
    </row>
    <row r="915" spans="1:28">
      <c r="A915" s="105">
        <f t="shared" si="14"/>
        <v>914</v>
      </c>
      <c r="B915" s="107">
        <f>YEAR(Table6[[#This Row],[Date]])+IF(MONTH(Table6[[#This Row],[Date]])&gt;=4,1,0)</f>
        <v>2026</v>
      </c>
      <c r="C915" s="105">
        <f>YEAR(Table6[[#This Row],[Date]])</f>
        <v>2025</v>
      </c>
      <c r="D915" s="105" t="s">
        <v>490</v>
      </c>
      <c r="E915" s="119">
        <f>Table6[[#This Row],[Date]]-DAY(Table6[[#This Row],[Date]])+1</f>
        <v>45839</v>
      </c>
      <c r="F915" s="118">
        <v>45841</v>
      </c>
      <c r="G915" s="105" t="s">
        <v>144</v>
      </c>
      <c r="H915" s="39" t="str">
        <f>_xlfn.XLOOKUP(Table6[[#This Row],[Affected WTG]],'Basic Data'!$A:$A,'Basic Data'!$B:$B)</f>
        <v>PWEGPL</v>
      </c>
      <c r="I915" s="39" t="str">
        <f>_xlfn.XLOOKUP(Table6[[#This Row],[Affected WTG]],'Basic Data'!$A:$A,'Basic Data'!$C:$C)</f>
        <v>MSEDCL</v>
      </c>
      <c r="J915" s="345">
        <f>IFERROR(VLOOKUP(Table6[[#This Row],[Affected WTG]],'Basic Data'!$A$3:$E$56,5,0),"")</f>
        <v>2.564102564102564E-2</v>
      </c>
      <c r="K915" s="105" t="s">
        <v>492</v>
      </c>
      <c r="L915" s="39" t="str">
        <f>IFERROR(VLOOKUP(Table6[[#This Row],[Error Code]],'Basic Data'!$T:$U,2,0),"")</f>
        <v>Manual Stop - Safety Related</v>
      </c>
      <c r="M915" s="346" t="s">
        <v>481</v>
      </c>
      <c r="N915" s="39" t="s">
        <v>1269</v>
      </c>
      <c r="O915" s="347">
        <v>0</v>
      </c>
      <c r="P915" s="347">
        <v>0.99998842592592596</v>
      </c>
      <c r="Q915" s="347">
        <v>0.99998842592592596</v>
      </c>
      <c r="R915" s="348">
        <f>IF(Table6[[#This Row],[Work Start TimeStamp]]="","",(Table6[[#This Row],[Work Start TimeStamp]]-Table6[[#This Row],[Fault Start TimeStamp]])*24)</f>
        <v>23.999722222222225</v>
      </c>
      <c r="S915" s="349">
        <f>(Table6[[#This Row],[Fault Clearance time]]-Table6[[#This Row],[Work Start TimeStamp]])*24</f>
        <v>0</v>
      </c>
      <c r="T915" s="350">
        <f>(Table6[[#This Row],[Fault Clearance time]]-Table6[[#This Row],[Fault Start TimeStamp]])*24</f>
        <v>23.999722222222225</v>
      </c>
      <c r="U915" s="346" t="s">
        <v>498</v>
      </c>
      <c r="V915" s="351" t="s">
        <v>473</v>
      </c>
      <c r="W915" s="338">
        <f>Table6[[#This Row],[Breakdown Time]]*(1/39)</f>
        <v>0.61537749287749288</v>
      </c>
      <c r="X915" s="336" t="s">
        <v>1212</v>
      </c>
      <c r="Y915" s="352" t="s">
        <v>143</v>
      </c>
      <c r="Z915" s="105">
        <v>20400</v>
      </c>
      <c r="AA915" s="107">
        <f>IFERROR((Table6[[#This Row],[Paired WTG Generation for loss calculation]]/24)*Table6[[#This Row],[Breakdown Time]],"")</f>
        <v>20399.763888888891</v>
      </c>
      <c r="AB915" s="105" t="s">
        <v>478</v>
      </c>
    </row>
    <row r="916" spans="1:28">
      <c r="A916" s="105">
        <f t="shared" si="14"/>
        <v>915</v>
      </c>
      <c r="B916" s="107">
        <f>YEAR(Table6[[#This Row],[Date]])+IF(MONTH(Table6[[#This Row],[Date]])&gt;=4,1,0)</f>
        <v>2026</v>
      </c>
      <c r="C916" s="105">
        <f>YEAR(Table6[[#This Row],[Date]])</f>
        <v>2025</v>
      </c>
      <c r="D916" s="105" t="s">
        <v>490</v>
      </c>
      <c r="E916" s="119">
        <f>Table6[[#This Row],[Date]]-DAY(Table6[[#This Row],[Date]])+1</f>
        <v>45839</v>
      </c>
      <c r="F916" s="118">
        <v>45841</v>
      </c>
      <c r="G916" s="105" t="s">
        <v>142</v>
      </c>
      <c r="H916" s="39" t="str">
        <f>_xlfn.XLOOKUP(Table6[[#This Row],[Affected WTG]],'Basic Data'!$A:$A,'Basic Data'!$B:$B)</f>
        <v>PWEGPL</v>
      </c>
      <c r="I916" s="39" t="str">
        <f>_xlfn.XLOOKUP(Table6[[#This Row],[Affected WTG]],'Basic Data'!$A:$A,'Basic Data'!$C:$C)</f>
        <v>MSEDCL</v>
      </c>
      <c r="J916" s="345">
        <f>IFERROR(VLOOKUP(Table6[[#This Row],[Affected WTG]],'Basic Data'!$A$3:$E$56,5,0),"")</f>
        <v>2.564102564102564E-2</v>
      </c>
      <c r="K916" s="105" t="s">
        <v>492</v>
      </c>
      <c r="L916" s="39" t="str">
        <f>IFERROR(VLOOKUP(Table6[[#This Row],[Error Code]],'Basic Data'!$T:$U,2,0),"")</f>
        <v>Manual Stop - Safety Related</v>
      </c>
      <c r="M916" s="346" t="s">
        <v>481</v>
      </c>
      <c r="N916" s="39" t="s">
        <v>1269</v>
      </c>
      <c r="O916" s="347">
        <v>0</v>
      </c>
      <c r="P916" s="347">
        <v>0.99998842592592596</v>
      </c>
      <c r="Q916" s="347">
        <v>0.99998842592592596</v>
      </c>
      <c r="R916" s="348">
        <f>IF(Table6[[#This Row],[Work Start TimeStamp]]="","",(Table6[[#This Row],[Work Start TimeStamp]]-Table6[[#This Row],[Fault Start TimeStamp]])*24)</f>
        <v>23.999722222222225</v>
      </c>
      <c r="S916" s="349">
        <f>(Table6[[#This Row],[Fault Clearance time]]-Table6[[#This Row],[Work Start TimeStamp]])*24</f>
        <v>0</v>
      </c>
      <c r="T916" s="350">
        <f>(Table6[[#This Row],[Fault Clearance time]]-Table6[[#This Row],[Fault Start TimeStamp]])*24</f>
        <v>23.999722222222225</v>
      </c>
      <c r="U916" s="346" t="s">
        <v>498</v>
      </c>
      <c r="V916" s="351" t="s">
        <v>473</v>
      </c>
      <c r="W916" s="338">
        <f>Table6[[#This Row],[Breakdown Time]]*(1/39)</f>
        <v>0.61537749287749288</v>
      </c>
      <c r="X916" s="336" t="s">
        <v>1212</v>
      </c>
      <c r="Y916" s="352" t="s">
        <v>143</v>
      </c>
      <c r="Z916" s="105">
        <v>20400</v>
      </c>
      <c r="AA916" s="107">
        <f>IFERROR((Table6[[#This Row],[Paired WTG Generation for loss calculation]]/24)*Table6[[#This Row],[Breakdown Time]],"")</f>
        <v>20399.763888888891</v>
      </c>
      <c r="AB916" s="105" t="s">
        <v>478</v>
      </c>
    </row>
    <row r="917" spans="1:28">
      <c r="A917" s="105">
        <f t="shared" si="14"/>
        <v>916</v>
      </c>
      <c r="B917" s="107">
        <f>YEAR(Table6[[#This Row],[Date]])+IF(MONTH(Table6[[#This Row],[Date]])&gt;=4,1,0)</f>
        <v>2026</v>
      </c>
      <c r="C917" s="105">
        <f>YEAR(Table6[[#This Row],[Date]])</f>
        <v>2025</v>
      </c>
      <c r="D917" s="105" t="s">
        <v>490</v>
      </c>
      <c r="E917" s="119">
        <f>Table6[[#This Row],[Date]]-DAY(Table6[[#This Row],[Date]])+1</f>
        <v>45839</v>
      </c>
      <c r="F917" s="118">
        <v>45841</v>
      </c>
      <c r="G917" s="105" t="s">
        <v>131</v>
      </c>
      <c r="H917" s="39" t="str">
        <f>_xlfn.XLOOKUP(Table6[[#This Row],[Affected WTG]],'Basic Data'!$A:$A,'Basic Data'!$B:$B)</f>
        <v>PWEGPL</v>
      </c>
      <c r="I917" s="39" t="str">
        <f>_xlfn.XLOOKUP(Table6[[#This Row],[Affected WTG]],'Basic Data'!$A:$A,'Basic Data'!$C:$C)</f>
        <v>MSEDCL</v>
      </c>
      <c r="J917" s="345">
        <f>IFERROR(VLOOKUP(Table6[[#This Row],[Affected WTG]],'Basic Data'!$A$3:$E$56,5,0),"")</f>
        <v>2.564102564102564E-2</v>
      </c>
      <c r="K917" s="105">
        <v>5216</v>
      </c>
      <c r="L917" s="39" t="str">
        <f>IFERROR(VLOOKUP(Table6[[#This Row],[Error Code]],'Basic Data'!$T:$U,2,0),"")</f>
        <v>Grid Voltage Failure</v>
      </c>
      <c r="M917" s="346" t="s">
        <v>462</v>
      </c>
      <c r="N917" s="39" t="s">
        <v>1270</v>
      </c>
      <c r="O917" s="347">
        <v>0</v>
      </c>
      <c r="P917" s="347">
        <v>0.99998842592592596</v>
      </c>
      <c r="Q917" s="347">
        <v>0.99998842592592596</v>
      </c>
      <c r="R917" s="348">
        <f>IF(Table6[[#This Row],[Work Start TimeStamp]]="","",(Table6[[#This Row],[Work Start TimeStamp]]-Table6[[#This Row],[Fault Start TimeStamp]])*24)</f>
        <v>23.999722222222225</v>
      </c>
      <c r="S917" s="349">
        <f>(Table6[[#This Row],[Fault Clearance time]]-Table6[[#This Row],[Work Start TimeStamp]])*24</f>
        <v>0</v>
      </c>
      <c r="T917" s="350">
        <f>(Table6[[#This Row],[Fault Clearance time]]-Table6[[#This Row],[Fault Start TimeStamp]])*24</f>
        <v>23.999722222222225</v>
      </c>
      <c r="U917" s="346" t="s">
        <v>1247</v>
      </c>
      <c r="V917" s="351" t="s">
        <v>473</v>
      </c>
      <c r="W917" s="338">
        <f>Table6[[#This Row],[Breakdown Time]]*(1/39)</f>
        <v>0.61537749287749288</v>
      </c>
      <c r="X917" s="336" t="s">
        <v>465</v>
      </c>
      <c r="Y917" s="352" t="s">
        <v>132</v>
      </c>
      <c r="Z917" s="105">
        <v>28360</v>
      </c>
      <c r="AA917" s="107">
        <f>IFERROR((Table6[[#This Row],[Paired WTG Generation for loss calculation]]/24)*Table6[[#This Row],[Breakdown Time]],"")</f>
        <v>28359.671759259265</v>
      </c>
      <c r="AB917" s="105" t="s">
        <v>478</v>
      </c>
    </row>
    <row r="918" spans="1:28">
      <c r="A918" s="105">
        <f t="shared" si="14"/>
        <v>917</v>
      </c>
      <c r="B918" s="107">
        <f>YEAR(Table6[[#This Row],[Date]])+IF(MONTH(Table6[[#This Row],[Date]])&gt;=4,1,0)</f>
        <v>2026</v>
      </c>
      <c r="C918" s="105">
        <f>YEAR(Table6[[#This Row],[Date]])</f>
        <v>2025</v>
      </c>
      <c r="D918" s="105" t="s">
        <v>490</v>
      </c>
      <c r="E918" s="119">
        <f>Table6[[#This Row],[Date]]-DAY(Table6[[#This Row],[Date]])+1</f>
        <v>45839</v>
      </c>
      <c r="F918" s="118">
        <v>45841</v>
      </c>
      <c r="G918" s="105" t="s">
        <v>140</v>
      </c>
      <c r="H918" s="39" t="str">
        <f>_xlfn.XLOOKUP(Table6[[#This Row],[Affected WTG]],'Basic Data'!$A:$A,'Basic Data'!$B:$B)</f>
        <v>PWEGPL</v>
      </c>
      <c r="I918" s="39" t="str">
        <f>_xlfn.XLOOKUP(Table6[[#This Row],[Affected WTG]],'Basic Data'!$A:$A,'Basic Data'!$C:$C)</f>
        <v>MSEDCL</v>
      </c>
      <c r="J918" s="345">
        <f>IFERROR(VLOOKUP(Table6[[#This Row],[Affected WTG]],'Basic Data'!$A$3:$E$56,5,0),"")</f>
        <v>2.564102564102564E-2</v>
      </c>
      <c r="K918" s="105" t="s">
        <v>492</v>
      </c>
      <c r="L918" s="39" t="str">
        <f>IFERROR(VLOOKUP(Table6[[#This Row],[Error Code]],'Basic Data'!$T:$U,2,0),"")</f>
        <v>Manual Stop - Safety Related</v>
      </c>
      <c r="M918" s="346" t="s">
        <v>481</v>
      </c>
      <c r="N918" s="39" t="s">
        <v>230</v>
      </c>
      <c r="O918" s="347">
        <v>0.48055555555555557</v>
      </c>
      <c r="P918" s="347">
        <v>0.48055555555555557</v>
      </c>
      <c r="Q918" s="347">
        <v>0.6875</v>
      </c>
      <c r="R918" s="348">
        <f>IF(Table6[[#This Row],[Work Start TimeStamp]]="","",(Table6[[#This Row],[Work Start TimeStamp]]-Table6[[#This Row],[Fault Start TimeStamp]])*24)</f>
        <v>0</v>
      </c>
      <c r="S918" s="349">
        <f>(Table6[[#This Row],[Fault Clearance time]]-Table6[[#This Row],[Work Start TimeStamp]])*24</f>
        <v>4.9666666666666668</v>
      </c>
      <c r="T918" s="350">
        <f>(Table6[[#This Row],[Fault Clearance time]]-Table6[[#This Row],[Fault Start TimeStamp]])*24</f>
        <v>4.9666666666666668</v>
      </c>
      <c r="U918" s="346" t="s">
        <v>501</v>
      </c>
      <c r="V918" s="351" t="s">
        <v>463</v>
      </c>
      <c r="W918" s="338">
        <f>Table6[[#This Row],[Breakdown Time]]*(1/39)</f>
        <v>0.12735042735042734</v>
      </c>
      <c r="X918" s="336" t="s">
        <v>1212</v>
      </c>
      <c r="Y918" s="352" t="s">
        <v>138</v>
      </c>
      <c r="Z918" s="105">
        <v>21242</v>
      </c>
      <c r="AA918" s="107">
        <f>IFERROR((Table6[[#This Row],[Paired WTG Generation for loss calculation]]/24)*Table6[[#This Row],[Breakdown Time]],"")</f>
        <v>4395.9138888888892</v>
      </c>
      <c r="AB918" s="105" t="s">
        <v>478</v>
      </c>
    </row>
    <row r="919" spans="1:28">
      <c r="A919" s="105">
        <f t="shared" si="14"/>
        <v>918</v>
      </c>
      <c r="B919" s="107">
        <f>YEAR(Table6[[#This Row],[Date]])+IF(MONTH(Table6[[#This Row],[Date]])&gt;=4,1,0)</f>
        <v>2026</v>
      </c>
      <c r="C919" s="105">
        <f>YEAR(Table6[[#This Row],[Date]])</f>
        <v>2025</v>
      </c>
      <c r="D919" s="105" t="s">
        <v>490</v>
      </c>
      <c r="E919" s="119">
        <f>Table6[[#This Row],[Date]]-DAY(Table6[[#This Row],[Date]])+1</f>
        <v>45839</v>
      </c>
      <c r="F919" s="118">
        <v>45841</v>
      </c>
      <c r="G919" s="105" t="s">
        <v>137</v>
      </c>
      <c r="H919" s="39" t="str">
        <f>_xlfn.XLOOKUP(Table6[[#This Row],[Affected WTG]],'Basic Data'!$A:$A,'Basic Data'!$B:$B)</f>
        <v>PWEGPL</v>
      </c>
      <c r="I919" s="39" t="str">
        <f>_xlfn.XLOOKUP(Table6[[#This Row],[Affected WTG]],'Basic Data'!$A:$A,'Basic Data'!$C:$C)</f>
        <v>MSEDCL</v>
      </c>
      <c r="J919" s="345">
        <f>IFERROR(VLOOKUP(Table6[[#This Row],[Affected WTG]],'Basic Data'!$A$3:$E$56,5,0),"")</f>
        <v>2.564102564102564E-2</v>
      </c>
      <c r="K919" s="105">
        <v>203</v>
      </c>
      <c r="L919" s="39" t="str">
        <f>IFERROR(VLOOKUP(Table6[[#This Row],[Error Code]],'Basic Data'!$T:$U,2,0),"")</f>
        <v>Low Pressure On Hydraulic Group</v>
      </c>
      <c r="M919" s="346" t="s">
        <v>462</v>
      </c>
      <c r="N919" s="39" t="s">
        <v>1270</v>
      </c>
      <c r="O919" s="347">
        <v>0.70416666666666672</v>
      </c>
      <c r="P919" s="347">
        <v>0.72638888888888886</v>
      </c>
      <c r="Q919" s="347">
        <v>0.72777777777777775</v>
      </c>
      <c r="R919" s="348">
        <f>IF(Table6[[#This Row],[Work Start TimeStamp]]="","",(Table6[[#This Row],[Work Start TimeStamp]]-Table6[[#This Row],[Fault Start TimeStamp]])*24)</f>
        <v>0.53333333333333144</v>
      </c>
      <c r="S919" s="349">
        <f>(Table6[[#This Row],[Fault Clearance time]]-Table6[[#This Row],[Work Start TimeStamp]])*24</f>
        <v>3.3333333333333215E-2</v>
      </c>
      <c r="T919" s="350">
        <f>(Table6[[#This Row],[Fault Clearance time]]-Table6[[#This Row],[Fault Start TimeStamp]])*24</f>
        <v>0.56666666666666465</v>
      </c>
      <c r="U919" s="346" t="s">
        <v>493</v>
      </c>
      <c r="V919" s="351" t="s">
        <v>463</v>
      </c>
      <c r="W919" s="338">
        <f>Table6[[#This Row],[Breakdown Time]]*(1/39)</f>
        <v>1.4529914529914478E-2</v>
      </c>
      <c r="X919" s="336" t="s">
        <v>465</v>
      </c>
      <c r="Y919" s="352" t="s">
        <v>136</v>
      </c>
      <c r="Z919" s="105">
        <v>20876</v>
      </c>
      <c r="AA919" s="107">
        <f>IFERROR((Table6[[#This Row],[Paired WTG Generation for loss calculation]]/24)*Table6[[#This Row],[Breakdown Time]],"")</f>
        <v>492.9055555555538</v>
      </c>
      <c r="AB919" s="105" t="s">
        <v>478</v>
      </c>
    </row>
    <row r="920" spans="1:28">
      <c r="A920" s="105">
        <f t="shared" si="14"/>
        <v>919</v>
      </c>
      <c r="B920" s="107">
        <f>YEAR(Table6[[#This Row],[Date]])+IF(MONTH(Table6[[#This Row],[Date]])&gt;=4,1,0)</f>
        <v>2026</v>
      </c>
      <c r="C920" s="105">
        <f>YEAR(Table6[[#This Row],[Date]])</f>
        <v>2025</v>
      </c>
      <c r="D920" s="105" t="s">
        <v>490</v>
      </c>
      <c r="E920" s="119">
        <f>Table6[[#This Row],[Date]]-DAY(Table6[[#This Row],[Date]])+1</f>
        <v>45839</v>
      </c>
      <c r="F920" s="118">
        <v>45841</v>
      </c>
      <c r="G920" s="105" t="s">
        <v>123</v>
      </c>
      <c r="H920" s="39" t="str">
        <f>_xlfn.XLOOKUP(Table6[[#This Row],[Affected WTG]],'Basic Data'!$A:$A,'Basic Data'!$B:$B)</f>
        <v>PWEGPL</v>
      </c>
      <c r="I920" s="39" t="str">
        <f>_xlfn.XLOOKUP(Table6[[#This Row],[Affected WTG]],'Basic Data'!$A:$A,'Basic Data'!$C:$C)</f>
        <v>MSEDCL</v>
      </c>
      <c r="J920" s="345">
        <f>IFERROR(VLOOKUP(Table6[[#This Row],[Affected WTG]],'Basic Data'!$A$3:$E$56,5,0),"")</f>
        <v>2.564102564102564E-2</v>
      </c>
      <c r="K920" s="105">
        <v>813</v>
      </c>
      <c r="L920" s="39" t="str">
        <f>IFERROR(VLOOKUP(Table6[[#This Row],[Error Code]],'Basic Data'!$T:$U,2,0),"")</f>
        <v>Low Pressure Of Emergency Accumulators</v>
      </c>
      <c r="M920" s="346" t="s">
        <v>462</v>
      </c>
      <c r="N920" s="39" t="s">
        <v>1270</v>
      </c>
      <c r="O920" s="347">
        <v>0.70972222222222225</v>
      </c>
      <c r="P920" s="347">
        <v>0.72291666666666665</v>
      </c>
      <c r="Q920" s="347">
        <v>0.72430555555555554</v>
      </c>
      <c r="R920" s="348">
        <f>IF(Table6[[#This Row],[Work Start TimeStamp]]="","",(Table6[[#This Row],[Work Start TimeStamp]]-Table6[[#This Row],[Fault Start TimeStamp]])*24)</f>
        <v>0.31666666666666554</v>
      </c>
      <c r="S920" s="349">
        <f>(Table6[[#This Row],[Fault Clearance time]]-Table6[[#This Row],[Work Start TimeStamp]])*24</f>
        <v>3.3333333333333215E-2</v>
      </c>
      <c r="T920" s="350">
        <f>(Table6[[#This Row],[Fault Clearance time]]-Table6[[#This Row],[Fault Start TimeStamp]])*24</f>
        <v>0.34999999999999876</v>
      </c>
      <c r="U920" s="346" t="s">
        <v>493</v>
      </c>
      <c r="V920" s="351" t="s">
        <v>463</v>
      </c>
      <c r="W920" s="338">
        <f>Table6[[#This Row],[Breakdown Time]]*(1/39)</f>
        <v>8.9743589743589425E-3</v>
      </c>
      <c r="X920" s="336" t="s">
        <v>465</v>
      </c>
      <c r="Y920" s="352" t="s">
        <v>126</v>
      </c>
      <c r="Z920" s="105">
        <v>29855</v>
      </c>
      <c r="AA920" s="107">
        <f>IFERROR((Table6[[#This Row],[Paired WTG Generation for loss calculation]]/24)*Table6[[#This Row],[Breakdown Time]],"")</f>
        <v>435.38541666666509</v>
      </c>
      <c r="AB920" s="105" t="s">
        <v>478</v>
      </c>
    </row>
    <row r="921" spans="1:28">
      <c r="A921" s="105">
        <f t="shared" si="14"/>
        <v>920</v>
      </c>
      <c r="B921" s="107">
        <f>YEAR(Table6[[#This Row],[Date]])+IF(MONTH(Table6[[#This Row],[Date]])&gt;=4,1,0)</f>
        <v>2026</v>
      </c>
      <c r="C921" s="105">
        <f>YEAR(Table6[[#This Row],[Date]])</f>
        <v>2025</v>
      </c>
      <c r="D921" s="105" t="s">
        <v>490</v>
      </c>
      <c r="E921" s="119">
        <f>Table6[[#This Row],[Date]]-DAY(Table6[[#This Row],[Date]])+1</f>
        <v>45839</v>
      </c>
      <c r="F921" s="118">
        <v>45842</v>
      </c>
      <c r="G921" s="105" t="s">
        <v>144</v>
      </c>
      <c r="H921" s="39" t="str">
        <f>_xlfn.XLOOKUP(Table6[[#This Row],[Affected WTG]],'Basic Data'!$A:$A,'Basic Data'!$B:$B)</f>
        <v>PWEGPL</v>
      </c>
      <c r="I921" s="39" t="str">
        <f>_xlfn.XLOOKUP(Table6[[#This Row],[Affected WTG]],'Basic Data'!$A:$A,'Basic Data'!$C:$C)</f>
        <v>MSEDCL</v>
      </c>
      <c r="J921" s="345">
        <f>IFERROR(VLOOKUP(Table6[[#This Row],[Affected WTG]],'Basic Data'!$A$3:$E$56,5,0),"")</f>
        <v>2.564102564102564E-2</v>
      </c>
      <c r="K921" s="105" t="s">
        <v>492</v>
      </c>
      <c r="L921" s="39" t="str">
        <f>IFERROR(VLOOKUP(Table6[[#This Row],[Error Code]],'Basic Data'!$T:$U,2,0),"")</f>
        <v>Manual Stop - Safety Related</v>
      </c>
      <c r="M921" s="346" t="s">
        <v>481</v>
      </c>
      <c r="N921" s="39" t="s">
        <v>1269</v>
      </c>
      <c r="O921" s="347">
        <v>0</v>
      </c>
      <c r="P921" s="347">
        <v>0.99998842592592596</v>
      </c>
      <c r="Q921" s="347">
        <v>0.99998842592592596</v>
      </c>
      <c r="R921" s="348">
        <f>IF(Table6[[#This Row],[Work Start TimeStamp]]="","",(Table6[[#This Row],[Work Start TimeStamp]]-Table6[[#This Row],[Fault Start TimeStamp]])*24)</f>
        <v>23.999722222222225</v>
      </c>
      <c r="S921" s="349">
        <f>(Table6[[#This Row],[Fault Clearance time]]-Table6[[#This Row],[Work Start TimeStamp]])*24</f>
        <v>0</v>
      </c>
      <c r="T921" s="350">
        <f>(Table6[[#This Row],[Fault Clearance time]]-Table6[[#This Row],[Fault Start TimeStamp]])*24</f>
        <v>23.999722222222225</v>
      </c>
      <c r="U921" s="346" t="s">
        <v>498</v>
      </c>
      <c r="V921" s="351" t="s">
        <v>473</v>
      </c>
      <c r="W921" s="338">
        <f>Table6[[#This Row],[Breakdown Time]]*(1/39)</f>
        <v>0.61537749287749288</v>
      </c>
      <c r="X921" s="336" t="s">
        <v>1212</v>
      </c>
      <c r="Y921" s="352" t="s">
        <v>143</v>
      </c>
      <c r="Z921" s="105">
        <v>21550</v>
      </c>
      <c r="AA921" s="107">
        <f>IFERROR((Table6[[#This Row],[Paired WTG Generation for loss calculation]]/24)*Table6[[#This Row],[Breakdown Time]],"")</f>
        <v>21549.750578703704</v>
      </c>
      <c r="AB921" s="105" t="s">
        <v>478</v>
      </c>
    </row>
    <row r="922" spans="1:28">
      <c r="A922" s="105">
        <f t="shared" si="14"/>
        <v>921</v>
      </c>
      <c r="B922" s="107">
        <f>YEAR(Table6[[#This Row],[Date]])+IF(MONTH(Table6[[#This Row],[Date]])&gt;=4,1,0)</f>
        <v>2026</v>
      </c>
      <c r="C922" s="105">
        <f>YEAR(Table6[[#This Row],[Date]])</f>
        <v>2025</v>
      </c>
      <c r="D922" s="105" t="s">
        <v>490</v>
      </c>
      <c r="E922" s="119">
        <f>Table6[[#This Row],[Date]]-DAY(Table6[[#This Row],[Date]])+1</f>
        <v>45839</v>
      </c>
      <c r="F922" s="118">
        <v>45842</v>
      </c>
      <c r="G922" s="105" t="s">
        <v>142</v>
      </c>
      <c r="H922" s="39" t="str">
        <f>_xlfn.XLOOKUP(Table6[[#This Row],[Affected WTG]],'Basic Data'!$A:$A,'Basic Data'!$B:$B)</f>
        <v>PWEGPL</v>
      </c>
      <c r="I922" s="39" t="str">
        <f>_xlfn.XLOOKUP(Table6[[#This Row],[Affected WTG]],'Basic Data'!$A:$A,'Basic Data'!$C:$C)</f>
        <v>MSEDCL</v>
      </c>
      <c r="J922" s="345">
        <f>IFERROR(VLOOKUP(Table6[[#This Row],[Affected WTG]],'Basic Data'!$A$3:$E$56,5,0),"")</f>
        <v>2.564102564102564E-2</v>
      </c>
      <c r="K922" s="105" t="s">
        <v>492</v>
      </c>
      <c r="L922" s="39" t="str">
        <f>IFERROR(VLOOKUP(Table6[[#This Row],[Error Code]],'Basic Data'!$T:$U,2,0),"")</f>
        <v>Manual Stop - Safety Related</v>
      </c>
      <c r="M922" s="346" t="s">
        <v>481</v>
      </c>
      <c r="N922" s="39" t="s">
        <v>1269</v>
      </c>
      <c r="O922" s="347">
        <v>0</v>
      </c>
      <c r="P922" s="347">
        <v>0.99998842592592596</v>
      </c>
      <c r="Q922" s="347">
        <v>0.99998842592592596</v>
      </c>
      <c r="R922" s="348">
        <f>IF(Table6[[#This Row],[Work Start TimeStamp]]="","",(Table6[[#This Row],[Work Start TimeStamp]]-Table6[[#This Row],[Fault Start TimeStamp]])*24)</f>
        <v>23.999722222222225</v>
      </c>
      <c r="S922" s="349">
        <f>(Table6[[#This Row],[Fault Clearance time]]-Table6[[#This Row],[Work Start TimeStamp]])*24</f>
        <v>0</v>
      </c>
      <c r="T922" s="350">
        <f>(Table6[[#This Row],[Fault Clearance time]]-Table6[[#This Row],[Fault Start TimeStamp]])*24</f>
        <v>23.999722222222225</v>
      </c>
      <c r="U922" s="346" t="s">
        <v>498</v>
      </c>
      <c r="V922" s="351" t="s">
        <v>473</v>
      </c>
      <c r="W922" s="338">
        <f>Table6[[#This Row],[Breakdown Time]]*(1/39)</f>
        <v>0.61537749287749288</v>
      </c>
      <c r="X922" s="336" t="s">
        <v>1212</v>
      </c>
      <c r="Y922" s="352" t="s">
        <v>143</v>
      </c>
      <c r="Z922" s="105">
        <v>21550</v>
      </c>
      <c r="AA922" s="107">
        <f>IFERROR((Table6[[#This Row],[Paired WTG Generation for loss calculation]]/24)*Table6[[#This Row],[Breakdown Time]],"")</f>
        <v>21549.750578703704</v>
      </c>
      <c r="AB922" s="105" t="s">
        <v>478</v>
      </c>
    </row>
    <row r="923" spans="1:28">
      <c r="A923" s="105">
        <f t="shared" si="14"/>
        <v>922</v>
      </c>
      <c r="B923" s="107">
        <f>YEAR(Table6[[#This Row],[Date]])+IF(MONTH(Table6[[#This Row],[Date]])&gt;=4,1,0)</f>
        <v>2026</v>
      </c>
      <c r="C923" s="105">
        <f>YEAR(Table6[[#This Row],[Date]])</f>
        <v>2025</v>
      </c>
      <c r="D923" s="105" t="s">
        <v>490</v>
      </c>
      <c r="E923" s="119">
        <f>Table6[[#This Row],[Date]]-DAY(Table6[[#This Row],[Date]])+1</f>
        <v>45839</v>
      </c>
      <c r="F923" s="118">
        <v>45842</v>
      </c>
      <c r="G923" s="105" t="s">
        <v>131</v>
      </c>
      <c r="H923" s="39" t="str">
        <f>_xlfn.XLOOKUP(Table6[[#This Row],[Affected WTG]],'Basic Data'!$A:$A,'Basic Data'!$B:$B)</f>
        <v>PWEGPL</v>
      </c>
      <c r="I923" s="39" t="str">
        <f>_xlfn.XLOOKUP(Table6[[#This Row],[Affected WTG]],'Basic Data'!$A:$A,'Basic Data'!$C:$C)</f>
        <v>MSEDCL</v>
      </c>
      <c r="J923" s="345">
        <f>IFERROR(VLOOKUP(Table6[[#This Row],[Affected WTG]],'Basic Data'!$A$3:$E$56,5,0),"")</f>
        <v>2.564102564102564E-2</v>
      </c>
      <c r="K923" s="105">
        <v>5216</v>
      </c>
      <c r="L923" s="39" t="str">
        <f>IFERROR(VLOOKUP(Table6[[#This Row],[Error Code]],'Basic Data'!$T:$U,2,0),"")</f>
        <v>Grid Voltage Failure</v>
      </c>
      <c r="M923" s="346" t="s">
        <v>462</v>
      </c>
      <c r="N923" s="39" t="s">
        <v>1270</v>
      </c>
      <c r="O923" s="347">
        <v>0</v>
      </c>
      <c r="P923" s="347">
        <v>0.99998842592592596</v>
      </c>
      <c r="Q923" s="347">
        <v>0.99998842592592596</v>
      </c>
      <c r="R923" s="348">
        <f>IF(Table6[[#This Row],[Work Start TimeStamp]]="","",(Table6[[#This Row],[Work Start TimeStamp]]-Table6[[#This Row],[Fault Start TimeStamp]])*24)</f>
        <v>23.999722222222225</v>
      </c>
      <c r="S923" s="349">
        <f>(Table6[[#This Row],[Fault Clearance time]]-Table6[[#This Row],[Work Start TimeStamp]])*24</f>
        <v>0</v>
      </c>
      <c r="T923" s="350">
        <f>(Table6[[#This Row],[Fault Clearance time]]-Table6[[#This Row],[Fault Start TimeStamp]])*24</f>
        <v>23.999722222222225</v>
      </c>
      <c r="U923" s="346" t="s">
        <v>1247</v>
      </c>
      <c r="V923" s="351" t="s">
        <v>473</v>
      </c>
      <c r="W923" s="338">
        <f>Table6[[#This Row],[Breakdown Time]]*(1/39)</f>
        <v>0.61537749287749288</v>
      </c>
      <c r="X923" s="336" t="s">
        <v>465</v>
      </c>
      <c r="Y923" s="352" t="s">
        <v>132</v>
      </c>
      <c r="Z923" s="105">
        <v>24505</v>
      </c>
      <c r="AA923" s="107">
        <f>IFERROR((Table6[[#This Row],[Paired WTG Generation for loss calculation]]/24)*Table6[[#This Row],[Breakdown Time]],"")</f>
        <v>24504.716377314817</v>
      </c>
      <c r="AB923" s="105" t="s">
        <v>478</v>
      </c>
    </row>
    <row r="924" spans="1:28">
      <c r="A924" s="105">
        <f t="shared" si="14"/>
        <v>923</v>
      </c>
      <c r="B924" s="107">
        <f>YEAR(Table6[[#This Row],[Date]])+IF(MONTH(Table6[[#This Row],[Date]])&gt;=4,1,0)</f>
        <v>2026</v>
      </c>
      <c r="C924" s="105">
        <f>YEAR(Table6[[#This Row],[Date]])</f>
        <v>2025</v>
      </c>
      <c r="D924" s="105" t="s">
        <v>490</v>
      </c>
      <c r="E924" s="119">
        <f>Table6[[#This Row],[Date]]-DAY(Table6[[#This Row],[Date]])+1</f>
        <v>45839</v>
      </c>
      <c r="F924" s="118">
        <v>45842</v>
      </c>
      <c r="G924" s="105" t="s">
        <v>130</v>
      </c>
      <c r="H924" s="39" t="str">
        <f>_xlfn.XLOOKUP(Table6[[#This Row],[Affected WTG]],'Basic Data'!$A:$A,'Basic Data'!$B:$B)</f>
        <v>PWEGPL</v>
      </c>
      <c r="I924" s="39" t="str">
        <f>_xlfn.XLOOKUP(Table6[[#This Row],[Affected WTG]],'Basic Data'!$A:$A,'Basic Data'!$C:$C)</f>
        <v>MSEDCL</v>
      </c>
      <c r="J924" s="345">
        <f>IFERROR(VLOOKUP(Table6[[#This Row],[Affected WTG]],'Basic Data'!$A$3:$E$56,5,0),"")</f>
        <v>2.564102564102564E-2</v>
      </c>
      <c r="K924" s="105" t="s">
        <v>492</v>
      </c>
      <c r="L924" s="39" t="str">
        <f>IFERROR(VLOOKUP(Table6[[#This Row],[Error Code]],'Basic Data'!$T:$U,2,0),"")</f>
        <v>Manual Stop - Safety Related</v>
      </c>
      <c r="M924" s="346" t="s">
        <v>481</v>
      </c>
      <c r="N924" s="39" t="s">
        <v>230</v>
      </c>
      <c r="O924" s="347">
        <v>0.47152777777777777</v>
      </c>
      <c r="P924" s="347">
        <v>0.47152777777777777</v>
      </c>
      <c r="Q924" s="347">
        <v>0.57986111111111116</v>
      </c>
      <c r="R924" s="348">
        <f>IF(Table6[[#This Row],[Work Start TimeStamp]]="","",(Table6[[#This Row],[Work Start TimeStamp]]-Table6[[#This Row],[Fault Start TimeStamp]])*24)</f>
        <v>0</v>
      </c>
      <c r="S924" s="349">
        <f>(Table6[[#This Row],[Fault Clearance time]]-Table6[[#This Row],[Work Start TimeStamp]])*24</f>
        <v>2.6000000000000014</v>
      </c>
      <c r="T924" s="350">
        <f>(Table6[[#This Row],[Fault Clearance time]]-Table6[[#This Row],[Fault Start TimeStamp]])*24</f>
        <v>2.6000000000000014</v>
      </c>
      <c r="U924" s="346" t="s">
        <v>501</v>
      </c>
      <c r="V924" s="351" t="s">
        <v>463</v>
      </c>
      <c r="W924" s="338">
        <f>Table6[[#This Row],[Breakdown Time]]*(1/39)</f>
        <v>6.6666666666666707E-2</v>
      </c>
      <c r="X924" s="336" t="s">
        <v>1212</v>
      </c>
      <c r="Y924" s="352" t="s">
        <v>132</v>
      </c>
      <c r="Z924" s="105">
        <v>24505</v>
      </c>
      <c r="AA924" s="107">
        <f>IFERROR((Table6[[#This Row],[Paired WTG Generation for loss calculation]]/24)*Table6[[#This Row],[Breakdown Time]],"")</f>
        <v>2654.7083333333348</v>
      </c>
      <c r="AB924" s="105" t="s">
        <v>478</v>
      </c>
    </row>
    <row r="925" spans="1:28">
      <c r="A925" s="105">
        <f t="shared" si="14"/>
        <v>924</v>
      </c>
      <c r="B925" s="107">
        <f>YEAR(Table6[[#This Row],[Date]])+IF(MONTH(Table6[[#This Row],[Date]])&gt;=4,1,0)</f>
        <v>2026</v>
      </c>
      <c r="C925" s="105">
        <f>YEAR(Table6[[#This Row],[Date]])</f>
        <v>2025</v>
      </c>
      <c r="D925" s="105" t="s">
        <v>490</v>
      </c>
      <c r="E925" s="119">
        <f>Table6[[#This Row],[Date]]-DAY(Table6[[#This Row],[Date]])+1</f>
        <v>45839</v>
      </c>
      <c r="F925" s="118">
        <v>45842</v>
      </c>
      <c r="G925" s="105" t="s">
        <v>123</v>
      </c>
      <c r="H925" s="39" t="str">
        <f>_xlfn.XLOOKUP(Table6[[#This Row],[Affected WTG]],'Basic Data'!$A:$A,'Basic Data'!$B:$B)</f>
        <v>PWEGPL</v>
      </c>
      <c r="I925" s="39" t="str">
        <f>_xlfn.XLOOKUP(Table6[[#This Row],[Affected WTG]],'Basic Data'!$A:$A,'Basic Data'!$C:$C)</f>
        <v>MSEDCL</v>
      </c>
      <c r="J925" s="345">
        <f>IFERROR(VLOOKUP(Table6[[#This Row],[Affected WTG]],'Basic Data'!$A$3:$E$56,5,0),"")</f>
        <v>2.564102564102564E-2</v>
      </c>
      <c r="K925" s="105">
        <v>208</v>
      </c>
      <c r="L925" s="39" t="str">
        <f>IFERROR(VLOOKUP(Table6[[#This Row],[Error Code]],'Basic Data'!$T:$U,2,0),"")</f>
        <v>HU Pump Drive Failure</v>
      </c>
      <c r="M925" s="346" t="s">
        <v>462</v>
      </c>
      <c r="N925" s="39" t="s">
        <v>1270</v>
      </c>
      <c r="O925" s="347">
        <v>0.63055555555555554</v>
      </c>
      <c r="P925" s="347">
        <v>0.64166666666666672</v>
      </c>
      <c r="Q925" s="347">
        <v>0.67708333333333337</v>
      </c>
      <c r="R925" s="348">
        <f>IF(Table6[[#This Row],[Work Start TimeStamp]]="","",(Table6[[#This Row],[Work Start TimeStamp]]-Table6[[#This Row],[Fault Start TimeStamp]])*24)</f>
        <v>0.26666666666666838</v>
      </c>
      <c r="S925" s="349">
        <f>(Table6[[#This Row],[Fault Clearance time]]-Table6[[#This Row],[Work Start TimeStamp]])*24</f>
        <v>0.84999999999999964</v>
      </c>
      <c r="T925" s="350">
        <f>(Table6[[#This Row],[Fault Clearance time]]-Table6[[#This Row],[Fault Start TimeStamp]])*24</f>
        <v>1.116666666666668</v>
      </c>
      <c r="U925" s="346" t="s">
        <v>1328</v>
      </c>
      <c r="V925" s="351" t="s">
        <v>463</v>
      </c>
      <c r="W925" s="338">
        <f>Table6[[#This Row],[Breakdown Time]]*(1/39)</f>
        <v>2.8632478632478666E-2</v>
      </c>
      <c r="X925" s="336" t="s">
        <v>465</v>
      </c>
      <c r="Y925" s="352" t="s">
        <v>126</v>
      </c>
      <c r="Z925" s="105">
        <v>24924</v>
      </c>
      <c r="AA925" s="107">
        <f>IFERROR((Table6[[#This Row],[Paired WTG Generation for loss calculation]]/24)*Table6[[#This Row],[Breakdown Time]],"")</f>
        <v>1159.6583333333347</v>
      </c>
      <c r="AB925" s="105" t="s">
        <v>478</v>
      </c>
    </row>
    <row r="926" spans="1:28">
      <c r="A926" s="105">
        <f t="shared" si="14"/>
        <v>925</v>
      </c>
      <c r="B926" s="107">
        <f>YEAR(Table6[[#This Row],[Date]])+IF(MONTH(Table6[[#This Row],[Date]])&gt;=4,1,0)</f>
        <v>2026</v>
      </c>
      <c r="C926" s="105">
        <f>YEAR(Table6[[#This Row],[Date]])</f>
        <v>2025</v>
      </c>
      <c r="D926" s="105" t="s">
        <v>490</v>
      </c>
      <c r="E926" s="119">
        <f>Table6[[#This Row],[Date]]-DAY(Table6[[#This Row],[Date]])+1</f>
        <v>45839</v>
      </c>
      <c r="F926" s="118">
        <v>45842</v>
      </c>
      <c r="G926" s="105" t="s">
        <v>118</v>
      </c>
      <c r="H926" s="39" t="str">
        <f>_xlfn.XLOOKUP(Table6[[#This Row],[Affected WTG]],'Basic Data'!$A:$A,'Basic Data'!$B:$B)</f>
        <v>PWEGPL</v>
      </c>
      <c r="I926" s="39" t="str">
        <f>_xlfn.XLOOKUP(Table6[[#This Row],[Affected WTG]],'Basic Data'!$A:$A,'Basic Data'!$C:$C)</f>
        <v>MSEDCL</v>
      </c>
      <c r="J926" s="345">
        <f>IFERROR(VLOOKUP(Table6[[#This Row],[Affected WTG]],'Basic Data'!$A$3:$E$56,5,0),"")</f>
        <v>2.564102564102564E-2</v>
      </c>
      <c r="K926" s="105">
        <v>203</v>
      </c>
      <c r="L926" s="39" t="str">
        <f>IFERROR(VLOOKUP(Table6[[#This Row],[Error Code]],'Basic Data'!$T:$U,2,0),"")</f>
        <v>Low Pressure On Hydraulic Group</v>
      </c>
      <c r="M926" s="346" t="s">
        <v>462</v>
      </c>
      <c r="N926" s="39" t="s">
        <v>1270</v>
      </c>
      <c r="O926" s="347">
        <v>0.3972222222222222</v>
      </c>
      <c r="P926" s="347">
        <v>0.44027777777777777</v>
      </c>
      <c r="Q926" s="347">
        <v>0.72222222222222221</v>
      </c>
      <c r="R926" s="348">
        <f>IF(Table6[[#This Row],[Work Start TimeStamp]]="","",(Table6[[#This Row],[Work Start TimeStamp]]-Table6[[#This Row],[Fault Start TimeStamp]])*24)</f>
        <v>1.0333333333333337</v>
      </c>
      <c r="S926" s="349">
        <f>(Table6[[#This Row],[Fault Clearance time]]-Table6[[#This Row],[Work Start TimeStamp]])*24</f>
        <v>6.7666666666666666</v>
      </c>
      <c r="T926" s="350">
        <f>(Table6[[#This Row],[Fault Clearance time]]-Table6[[#This Row],[Fault Start TimeStamp]])*24</f>
        <v>7.8000000000000007</v>
      </c>
      <c r="U926" s="346" t="s">
        <v>1329</v>
      </c>
      <c r="V926" s="351" t="s">
        <v>463</v>
      </c>
      <c r="W926" s="338">
        <f>Table6[[#This Row],[Breakdown Time]]*(1/39)</f>
        <v>0.2</v>
      </c>
      <c r="X926" s="336" t="s">
        <v>465</v>
      </c>
      <c r="Y926" s="352" t="s">
        <v>117</v>
      </c>
      <c r="Z926" s="105">
        <v>23114</v>
      </c>
      <c r="AA926" s="107">
        <f>IFERROR((Table6[[#This Row],[Paired WTG Generation for loss calculation]]/24)*Table6[[#This Row],[Breakdown Time]],"")</f>
        <v>7512.0500000000011</v>
      </c>
      <c r="AB926" s="105" t="s">
        <v>478</v>
      </c>
    </row>
    <row r="927" spans="1:28">
      <c r="A927" s="105">
        <f t="shared" si="14"/>
        <v>926</v>
      </c>
      <c r="B927" s="107">
        <f>YEAR(Table6[[#This Row],[Date]])+IF(MONTH(Table6[[#This Row],[Date]])&gt;=4,1,0)</f>
        <v>2026</v>
      </c>
      <c r="C927" s="105">
        <f>YEAR(Table6[[#This Row],[Date]])</f>
        <v>2025</v>
      </c>
      <c r="D927" s="105" t="s">
        <v>490</v>
      </c>
      <c r="E927" s="119">
        <f>Table6[[#This Row],[Date]]-DAY(Table6[[#This Row],[Date]])+1</f>
        <v>45839</v>
      </c>
      <c r="F927" s="118">
        <v>45843</v>
      </c>
      <c r="G927" s="105" t="s">
        <v>144</v>
      </c>
      <c r="H927" s="39" t="str">
        <f>_xlfn.XLOOKUP(Table6[[#This Row],[Affected WTG]],'Basic Data'!$A:$A,'Basic Data'!$B:$B)</f>
        <v>PWEGPL</v>
      </c>
      <c r="I927" s="39" t="str">
        <f>_xlfn.XLOOKUP(Table6[[#This Row],[Affected WTG]],'Basic Data'!$A:$A,'Basic Data'!$C:$C)</f>
        <v>MSEDCL</v>
      </c>
      <c r="J927" s="345">
        <f>IFERROR(VLOOKUP(Table6[[#This Row],[Affected WTG]],'Basic Data'!$A$3:$E$56,5,0),"")</f>
        <v>2.564102564102564E-2</v>
      </c>
      <c r="K927" s="105" t="s">
        <v>492</v>
      </c>
      <c r="L927" s="39" t="str">
        <f>IFERROR(VLOOKUP(Table6[[#This Row],[Error Code]],'Basic Data'!$T:$U,2,0),"")</f>
        <v>Manual Stop - Safety Related</v>
      </c>
      <c r="M927" s="346" t="s">
        <v>481</v>
      </c>
      <c r="N927" s="39" t="s">
        <v>1269</v>
      </c>
      <c r="O927" s="347">
        <v>0</v>
      </c>
      <c r="P927" s="347">
        <v>0.99998842592592596</v>
      </c>
      <c r="Q927" s="347">
        <v>0.99998842592592596</v>
      </c>
      <c r="R927" s="348">
        <f>IF(Table6[[#This Row],[Work Start TimeStamp]]="","",(Table6[[#This Row],[Work Start TimeStamp]]-Table6[[#This Row],[Fault Start TimeStamp]])*24)</f>
        <v>23.999722222222225</v>
      </c>
      <c r="S927" s="349">
        <f>(Table6[[#This Row],[Fault Clearance time]]-Table6[[#This Row],[Work Start TimeStamp]])*24</f>
        <v>0</v>
      </c>
      <c r="T927" s="350">
        <f>(Table6[[#This Row],[Fault Clearance time]]-Table6[[#This Row],[Fault Start TimeStamp]])*24</f>
        <v>23.999722222222225</v>
      </c>
      <c r="U927" s="346" t="s">
        <v>498</v>
      </c>
      <c r="V927" s="351" t="s">
        <v>473</v>
      </c>
      <c r="W927" s="338">
        <f>Table6[[#This Row],[Breakdown Time]]*(1/39)</f>
        <v>0.61537749287749288</v>
      </c>
      <c r="X927" s="336" t="s">
        <v>1212</v>
      </c>
      <c r="Y927" s="352" t="s">
        <v>143</v>
      </c>
      <c r="Z927" s="105">
        <v>22500</v>
      </c>
      <c r="AA927" s="107">
        <f>IFERROR((Table6[[#This Row],[Paired WTG Generation for loss calculation]]/24)*Table6[[#This Row],[Breakdown Time]],"")</f>
        <v>22499.739583333336</v>
      </c>
      <c r="AB927" s="105" t="s">
        <v>478</v>
      </c>
    </row>
    <row r="928" spans="1:28">
      <c r="A928" s="105">
        <f t="shared" si="14"/>
        <v>927</v>
      </c>
      <c r="B928" s="107">
        <f>YEAR(Table6[[#This Row],[Date]])+IF(MONTH(Table6[[#This Row],[Date]])&gt;=4,1,0)</f>
        <v>2026</v>
      </c>
      <c r="C928" s="105">
        <f>YEAR(Table6[[#This Row],[Date]])</f>
        <v>2025</v>
      </c>
      <c r="D928" s="105" t="s">
        <v>490</v>
      </c>
      <c r="E928" s="119">
        <f>Table6[[#This Row],[Date]]-DAY(Table6[[#This Row],[Date]])+1</f>
        <v>45839</v>
      </c>
      <c r="F928" s="118">
        <v>45843</v>
      </c>
      <c r="G928" s="105" t="s">
        <v>142</v>
      </c>
      <c r="H928" s="39" t="str">
        <f>_xlfn.XLOOKUP(Table6[[#This Row],[Affected WTG]],'Basic Data'!$A:$A,'Basic Data'!$B:$B)</f>
        <v>PWEGPL</v>
      </c>
      <c r="I928" s="39" t="str">
        <f>_xlfn.XLOOKUP(Table6[[#This Row],[Affected WTG]],'Basic Data'!$A:$A,'Basic Data'!$C:$C)</f>
        <v>MSEDCL</v>
      </c>
      <c r="J928" s="345">
        <f>IFERROR(VLOOKUP(Table6[[#This Row],[Affected WTG]],'Basic Data'!$A$3:$E$56,5,0),"")</f>
        <v>2.564102564102564E-2</v>
      </c>
      <c r="K928" s="105" t="s">
        <v>492</v>
      </c>
      <c r="L928" s="39" t="str">
        <f>IFERROR(VLOOKUP(Table6[[#This Row],[Error Code]],'Basic Data'!$T:$U,2,0),"")</f>
        <v>Manual Stop - Safety Related</v>
      </c>
      <c r="M928" s="346" t="s">
        <v>481</v>
      </c>
      <c r="N928" s="39" t="s">
        <v>1269</v>
      </c>
      <c r="O928" s="347">
        <v>0</v>
      </c>
      <c r="P928" s="347">
        <v>0.99998842592592596</v>
      </c>
      <c r="Q928" s="347">
        <v>0.99998842592592596</v>
      </c>
      <c r="R928" s="348">
        <f>IF(Table6[[#This Row],[Work Start TimeStamp]]="","",(Table6[[#This Row],[Work Start TimeStamp]]-Table6[[#This Row],[Fault Start TimeStamp]])*24)</f>
        <v>23.999722222222225</v>
      </c>
      <c r="S928" s="349">
        <f>(Table6[[#This Row],[Fault Clearance time]]-Table6[[#This Row],[Work Start TimeStamp]])*24</f>
        <v>0</v>
      </c>
      <c r="T928" s="350">
        <f>(Table6[[#This Row],[Fault Clearance time]]-Table6[[#This Row],[Fault Start TimeStamp]])*24</f>
        <v>23.999722222222225</v>
      </c>
      <c r="U928" s="346" t="s">
        <v>498</v>
      </c>
      <c r="V928" s="351" t="s">
        <v>473</v>
      </c>
      <c r="W928" s="338">
        <f>Table6[[#This Row],[Breakdown Time]]*(1/39)</f>
        <v>0.61537749287749288</v>
      </c>
      <c r="X928" s="336" t="s">
        <v>1212</v>
      </c>
      <c r="Y928" s="352" t="s">
        <v>143</v>
      </c>
      <c r="Z928" s="105">
        <v>22500</v>
      </c>
      <c r="AA928" s="107">
        <f>IFERROR((Table6[[#This Row],[Paired WTG Generation for loss calculation]]/24)*Table6[[#This Row],[Breakdown Time]],"")</f>
        <v>22499.739583333336</v>
      </c>
      <c r="AB928" s="105" t="s">
        <v>478</v>
      </c>
    </row>
    <row r="929" spans="1:28">
      <c r="A929" s="105">
        <f t="shared" si="14"/>
        <v>928</v>
      </c>
      <c r="B929" s="107">
        <f>YEAR(Table6[[#This Row],[Date]])+IF(MONTH(Table6[[#This Row],[Date]])&gt;=4,1,0)</f>
        <v>2026</v>
      </c>
      <c r="C929" s="105">
        <f>YEAR(Table6[[#This Row],[Date]])</f>
        <v>2025</v>
      </c>
      <c r="D929" s="105" t="s">
        <v>490</v>
      </c>
      <c r="E929" s="119">
        <f>Table6[[#This Row],[Date]]-DAY(Table6[[#This Row],[Date]])+1</f>
        <v>45839</v>
      </c>
      <c r="F929" s="118">
        <v>45843</v>
      </c>
      <c r="G929" s="105" t="s">
        <v>131</v>
      </c>
      <c r="H929" s="39" t="str">
        <f>_xlfn.XLOOKUP(Table6[[#This Row],[Affected WTG]],'Basic Data'!$A:$A,'Basic Data'!$B:$B)</f>
        <v>PWEGPL</v>
      </c>
      <c r="I929" s="39" t="str">
        <f>_xlfn.XLOOKUP(Table6[[#This Row],[Affected WTG]],'Basic Data'!$A:$A,'Basic Data'!$C:$C)</f>
        <v>MSEDCL</v>
      </c>
      <c r="J929" s="345">
        <f>IFERROR(VLOOKUP(Table6[[#This Row],[Affected WTG]],'Basic Data'!$A$3:$E$56,5,0),"")</f>
        <v>2.564102564102564E-2</v>
      </c>
      <c r="K929" s="105">
        <v>5216</v>
      </c>
      <c r="L929" s="39" t="str">
        <f>IFERROR(VLOOKUP(Table6[[#This Row],[Error Code]],'Basic Data'!$T:$U,2,0),"")</f>
        <v>Grid Voltage Failure</v>
      </c>
      <c r="M929" s="346" t="s">
        <v>462</v>
      </c>
      <c r="N929" s="39" t="s">
        <v>1270</v>
      </c>
      <c r="O929" s="347">
        <v>0</v>
      </c>
      <c r="P929" s="347">
        <v>0.99998842592592596</v>
      </c>
      <c r="Q929" s="347">
        <v>0.99998842592592596</v>
      </c>
      <c r="R929" s="348">
        <f>IF(Table6[[#This Row],[Work Start TimeStamp]]="","",(Table6[[#This Row],[Work Start TimeStamp]]-Table6[[#This Row],[Fault Start TimeStamp]])*24)</f>
        <v>23.999722222222225</v>
      </c>
      <c r="S929" s="349">
        <f>(Table6[[#This Row],[Fault Clearance time]]-Table6[[#This Row],[Work Start TimeStamp]])*24</f>
        <v>0</v>
      </c>
      <c r="T929" s="350">
        <f>(Table6[[#This Row],[Fault Clearance time]]-Table6[[#This Row],[Fault Start TimeStamp]])*24</f>
        <v>23.999722222222225</v>
      </c>
      <c r="U929" s="346" t="s">
        <v>1247</v>
      </c>
      <c r="V929" s="351" t="s">
        <v>473</v>
      </c>
      <c r="W929" s="338">
        <f>Table6[[#This Row],[Breakdown Time]]*(1/39)</f>
        <v>0.61537749287749288</v>
      </c>
      <c r="X929" s="336" t="s">
        <v>465</v>
      </c>
      <c r="Y929" s="352" t="s">
        <v>132</v>
      </c>
      <c r="Z929" s="105">
        <v>22499</v>
      </c>
      <c r="AA929" s="107">
        <f>IFERROR((Table6[[#This Row],[Paired WTG Generation for loss calculation]]/24)*Table6[[#This Row],[Breakdown Time]],"")</f>
        <v>22498.739594907413</v>
      </c>
      <c r="AB929" s="105" t="s">
        <v>478</v>
      </c>
    </row>
    <row r="930" spans="1:28">
      <c r="A930" s="105">
        <f t="shared" si="14"/>
        <v>929</v>
      </c>
      <c r="B930" s="107">
        <f>YEAR(Table6[[#This Row],[Date]])+IF(MONTH(Table6[[#This Row],[Date]])&gt;=4,1,0)</f>
        <v>2026</v>
      </c>
      <c r="C930" s="105">
        <f>YEAR(Table6[[#This Row],[Date]])</f>
        <v>2025</v>
      </c>
      <c r="D930" s="105" t="s">
        <v>490</v>
      </c>
      <c r="E930" s="119">
        <f>Table6[[#This Row],[Date]]-DAY(Table6[[#This Row],[Date]])+1</f>
        <v>45839</v>
      </c>
      <c r="F930" s="118">
        <v>45843</v>
      </c>
      <c r="G930" s="105" t="s">
        <v>145</v>
      </c>
      <c r="H930" s="39" t="str">
        <f>_xlfn.XLOOKUP(Table6[[#This Row],[Affected WTG]],'Basic Data'!$A:$A,'Basic Data'!$B:$B)</f>
        <v>PWEGPL</v>
      </c>
      <c r="I930" s="39" t="str">
        <f>_xlfn.XLOOKUP(Table6[[#This Row],[Affected WTG]],'Basic Data'!$A:$A,'Basic Data'!$C:$C)</f>
        <v>MSEDCL</v>
      </c>
      <c r="J930" s="345">
        <f>IFERROR(VLOOKUP(Table6[[#This Row],[Affected WTG]],'Basic Data'!$A$3:$E$56,5,0),"")</f>
        <v>2.564102564102564E-2</v>
      </c>
      <c r="K930" s="105">
        <v>552</v>
      </c>
      <c r="L930" s="39" t="str">
        <f>IFERROR(VLOOKUP(Table6[[#This Row],[Error Code]],'Basic Data'!$T:$U,2,0),"")</f>
        <v>Wear Brushes Generator Triggered Too Long</v>
      </c>
      <c r="M930" s="346" t="s">
        <v>462</v>
      </c>
      <c r="N930" s="39" t="s">
        <v>1270</v>
      </c>
      <c r="O930" s="347">
        <v>0.44791666666666669</v>
      </c>
      <c r="P930" s="347">
        <v>0.47083333333333333</v>
      </c>
      <c r="Q930" s="347">
        <v>0.55277777777777781</v>
      </c>
      <c r="R930" s="348">
        <f>IF(Table6[[#This Row],[Work Start TimeStamp]]="","",(Table6[[#This Row],[Work Start TimeStamp]]-Table6[[#This Row],[Fault Start TimeStamp]])*24)</f>
        <v>0.54999999999999938</v>
      </c>
      <c r="S930" s="349">
        <f>(Table6[[#This Row],[Fault Clearance time]]-Table6[[#This Row],[Work Start TimeStamp]])*24</f>
        <v>1.9666666666666677</v>
      </c>
      <c r="T930" s="350">
        <f>(Table6[[#This Row],[Fault Clearance time]]-Table6[[#This Row],[Fault Start TimeStamp]])*24</f>
        <v>2.5166666666666671</v>
      </c>
      <c r="U930" s="346" t="s">
        <v>1331</v>
      </c>
      <c r="V930" s="351" t="s">
        <v>463</v>
      </c>
      <c r="W930" s="338">
        <f>Table6[[#This Row],[Breakdown Time]]*(1/39)</f>
        <v>6.4529914529914537E-2</v>
      </c>
      <c r="X930" s="336" t="s">
        <v>465</v>
      </c>
      <c r="Y930" s="352" t="s">
        <v>139</v>
      </c>
      <c r="Z930" s="105">
        <v>20625</v>
      </c>
      <c r="AA930" s="107">
        <f>IFERROR((Table6[[#This Row],[Paired WTG Generation for loss calculation]]/24)*Table6[[#This Row],[Breakdown Time]],"")</f>
        <v>2162.760416666667</v>
      </c>
      <c r="AB930" s="105" t="s">
        <v>478</v>
      </c>
    </row>
    <row r="931" spans="1:28">
      <c r="A931" s="105">
        <f t="shared" si="14"/>
        <v>930</v>
      </c>
      <c r="B931" s="107">
        <f>YEAR(Table6[[#This Row],[Date]])+IF(MONTH(Table6[[#This Row],[Date]])&gt;=4,1,0)</f>
        <v>2026</v>
      </c>
      <c r="C931" s="105">
        <f>YEAR(Table6[[#This Row],[Date]])</f>
        <v>2025</v>
      </c>
      <c r="D931" s="105" t="s">
        <v>490</v>
      </c>
      <c r="E931" s="119">
        <f>Table6[[#This Row],[Date]]-DAY(Table6[[#This Row],[Date]])+1</f>
        <v>45839</v>
      </c>
      <c r="F931" s="118">
        <v>45843</v>
      </c>
      <c r="G931" s="105" t="s">
        <v>125</v>
      </c>
      <c r="H931" s="39" t="str">
        <f>_xlfn.XLOOKUP(Table6[[#This Row],[Affected WTG]],'Basic Data'!$A:$A,'Basic Data'!$B:$B)</f>
        <v>PWEGPL</v>
      </c>
      <c r="I931" s="39" t="str">
        <f>_xlfn.XLOOKUP(Table6[[#This Row],[Affected WTG]],'Basic Data'!$A:$A,'Basic Data'!$C:$C)</f>
        <v>MSEDCL</v>
      </c>
      <c r="J931" s="345">
        <f>IFERROR(VLOOKUP(Table6[[#This Row],[Affected WTG]],'Basic Data'!$A$3:$E$56,5,0),"")</f>
        <v>2.564102564102564E-2</v>
      </c>
      <c r="K931" s="105">
        <v>5263</v>
      </c>
      <c r="L931" s="39" t="str">
        <f>IFERROR(VLOOKUP(Table6[[#This Row],[Error Code]],'Basic Data'!$T:$U,2,0),"")</f>
        <v>CAN Communication Failure</v>
      </c>
      <c r="M931" s="346" t="s">
        <v>462</v>
      </c>
      <c r="N931" s="39" t="s">
        <v>1270</v>
      </c>
      <c r="O931" s="347">
        <v>0.5854166666666667</v>
      </c>
      <c r="P931" s="347">
        <v>0.61111111111111116</v>
      </c>
      <c r="Q931" s="347">
        <v>0.61458333333333337</v>
      </c>
      <c r="R931" s="348">
        <f>IF(Table6[[#This Row],[Work Start TimeStamp]]="","",(Table6[[#This Row],[Work Start TimeStamp]]-Table6[[#This Row],[Fault Start TimeStamp]])*24)</f>
        <v>0.61666666666666714</v>
      </c>
      <c r="S931" s="349">
        <f>(Table6[[#This Row],[Fault Clearance time]]-Table6[[#This Row],[Work Start TimeStamp]])*24</f>
        <v>8.3333333333333037E-2</v>
      </c>
      <c r="T931" s="350">
        <f>(Table6[[#This Row],[Fault Clearance time]]-Table6[[#This Row],[Fault Start TimeStamp]])*24</f>
        <v>0.70000000000000018</v>
      </c>
      <c r="U931" s="346" t="s">
        <v>493</v>
      </c>
      <c r="V931" s="351" t="s">
        <v>463</v>
      </c>
      <c r="W931" s="338">
        <f>Table6[[#This Row],[Breakdown Time]]*(1/39)</f>
        <v>1.7948717948717954E-2</v>
      </c>
      <c r="X931" s="336" t="s">
        <v>465</v>
      </c>
      <c r="Y931" s="352" t="s">
        <v>124</v>
      </c>
      <c r="Z931" s="105">
        <v>21814</v>
      </c>
      <c r="AA931" s="107">
        <f>IFERROR((Table6[[#This Row],[Paired WTG Generation for loss calculation]]/24)*Table6[[#This Row],[Breakdown Time]],"")</f>
        <v>636.24166666666679</v>
      </c>
      <c r="AB931" s="105" t="s">
        <v>478</v>
      </c>
    </row>
    <row r="932" spans="1:28">
      <c r="A932" s="105">
        <f t="shared" si="14"/>
        <v>931</v>
      </c>
      <c r="B932" s="107">
        <f>YEAR(Table6[[#This Row],[Date]])+IF(MONTH(Table6[[#This Row],[Date]])&gt;=4,1,0)</f>
        <v>2026</v>
      </c>
      <c r="C932" s="105">
        <f>YEAR(Table6[[#This Row],[Date]])</f>
        <v>2025</v>
      </c>
      <c r="D932" s="105" t="s">
        <v>490</v>
      </c>
      <c r="E932" s="119">
        <f>Table6[[#This Row],[Date]]-DAY(Table6[[#This Row],[Date]])+1</f>
        <v>45839</v>
      </c>
      <c r="F932" s="118">
        <v>45844</v>
      </c>
      <c r="G932" s="105" t="s">
        <v>144</v>
      </c>
      <c r="H932" s="39" t="str">
        <f>_xlfn.XLOOKUP(Table6[[#This Row],[Affected WTG]],'Basic Data'!$A:$A,'Basic Data'!$B:$B)</f>
        <v>PWEGPL</v>
      </c>
      <c r="I932" s="39" t="str">
        <f>_xlfn.XLOOKUP(Table6[[#This Row],[Affected WTG]],'Basic Data'!$A:$A,'Basic Data'!$C:$C)</f>
        <v>MSEDCL</v>
      </c>
      <c r="J932" s="345">
        <f>IFERROR(VLOOKUP(Table6[[#This Row],[Affected WTG]],'Basic Data'!$A$3:$E$56,5,0),"")</f>
        <v>2.564102564102564E-2</v>
      </c>
      <c r="K932" s="105" t="s">
        <v>492</v>
      </c>
      <c r="L932" s="39" t="str">
        <f>IFERROR(VLOOKUP(Table6[[#This Row],[Error Code]],'Basic Data'!$T:$U,2,0),"")</f>
        <v>Manual Stop - Safety Related</v>
      </c>
      <c r="M932" s="346" t="s">
        <v>481</v>
      </c>
      <c r="N932" s="39" t="s">
        <v>1269</v>
      </c>
      <c r="O932" s="347">
        <v>0</v>
      </c>
      <c r="P932" s="347">
        <v>0.99998842592592596</v>
      </c>
      <c r="Q932" s="347">
        <v>0.99998842592592596</v>
      </c>
      <c r="R932" s="348">
        <f>IF(Table6[[#This Row],[Work Start TimeStamp]]="","",(Table6[[#This Row],[Work Start TimeStamp]]-Table6[[#This Row],[Fault Start TimeStamp]])*24)</f>
        <v>23.999722222222225</v>
      </c>
      <c r="S932" s="349">
        <f>(Table6[[#This Row],[Fault Clearance time]]-Table6[[#This Row],[Work Start TimeStamp]])*24</f>
        <v>0</v>
      </c>
      <c r="T932" s="350">
        <f>(Table6[[#This Row],[Fault Clearance time]]-Table6[[#This Row],[Fault Start TimeStamp]])*24</f>
        <v>23.999722222222225</v>
      </c>
      <c r="U932" s="346" t="s">
        <v>498</v>
      </c>
      <c r="V932" s="351" t="s">
        <v>473</v>
      </c>
      <c r="W932" s="338">
        <f>Table6[[#This Row],[Breakdown Time]]*(1/39)</f>
        <v>0.61537749287749288</v>
      </c>
      <c r="X932" s="336" t="s">
        <v>1212</v>
      </c>
      <c r="Y932" s="352" t="s">
        <v>143</v>
      </c>
      <c r="Z932" s="105">
        <v>33225</v>
      </c>
      <c r="AA932" s="107">
        <f>IFERROR((Table6[[#This Row],[Paired WTG Generation for loss calculation]]/24)*Table6[[#This Row],[Breakdown Time]],"")</f>
        <v>33224.615451388891</v>
      </c>
      <c r="AB932" s="105" t="s">
        <v>478</v>
      </c>
    </row>
    <row r="933" spans="1:28">
      <c r="A933" s="105">
        <f t="shared" si="14"/>
        <v>932</v>
      </c>
      <c r="B933" s="107">
        <f>YEAR(Table6[[#This Row],[Date]])+IF(MONTH(Table6[[#This Row],[Date]])&gt;=4,1,0)</f>
        <v>2026</v>
      </c>
      <c r="C933" s="105">
        <f>YEAR(Table6[[#This Row],[Date]])</f>
        <v>2025</v>
      </c>
      <c r="D933" s="105" t="s">
        <v>490</v>
      </c>
      <c r="E933" s="119">
        <f>Table6[[#This Row],[Date]]-DAY(Table6[[#This Row],[Date]])+1</f>
        <v>45839</v>
      </c>
      <c r="F933" s="118">
        <v>45844</v>
      </c>
      <c r="G933" s="105" t="s">
        <v>142</v>
      </c>
      <c r="H933" s="39" t="str">
        <f>_xlfn.XLOOKUP(Table6[[#This Row],[Affected WTG]],'Basic Data'!$A:$A,'Basic Data'!$B:$B)</f>
        <v>PWEGPL</v>
      </c>
      <c r="I933" s="39" t="str">
        <f>_xlfn.XLOOKUP(Table6[[#This Row],[Affected WTG]],'Basic Data'!$A:$A,'Basic Data'!$C:$C)</f>
        <v>MSEDCL</v>
      </c>
      <c r="J933" s="345">
        <f>IFERROR(VLOOKUP(Table6[[#This Row],[Affected WTG]],'Basic Data'!$A$3:$E$56,5,0),"")</f>
        <v>2.564102564102564E-2</v>
      </c>
      <c r="K933" s="105" t="s">
        <v>492</v>
      </c>
      <c r="L933" s="39" t="str">
        <f>IFERROR(VLOOKUP(Table6[[#This Row],[Error Code]],'Basic Data'!$T:$U,2,0),"")</f>
        <v>Manual Stop - Safety Related</v>
      </c>
      <c r="M933" s="346" t="s">
        <v>481</v>
      </c>
      <c r="N933" s="39" t="s">
        <v>1269</v>
      </c>
      <c r="O933" s="347">
        <v>0</v>
      </c>
      <c r="P933" s="347">
        <v>0.99998842592592596</v>
      </c>
      <c r="Q933" s="347">
        <v>0.99998842592592596</v>
      </c>
      <c r="R933" s="348">
        <f>IF(Table6[[#This Row],[Work Start TimeStamp]]="","",(Table6[[#This Row],[Work Start TimeStamp]]-Table6[[#This Row],[Fault Start TimeStamp]])*24)</f>
        <v>23.999722222222225</v>
      </c>
      <c r="S933" s="349">
        <f>(Table6[[#This Row],[Fault Clearance time]]-Table6[[#This Row],[Work Start TimeStamp]])*24</f>
        <v>0</v>
      </c>
      <c r="T933" s="350">
        <f>(Table6[[#This Row],[Fault Clearance time]]-Table6[[#This Row],[Fault Start TimeStamp]])*24</f>
        <v>23.999722222222225</v>
      </c>
      <c r="U933" s="346" t="s">
        <v>498</v>
      </c>
      <c r="V933" s="351" t="s">
        <v>473</v>
      </c>
      <c r="W933" s="338">
        <f>Table6[[#This Row],[Breakdown Time]]*(1/39)</f>
        <v>0.61537749287749288</v>
      </c>
      <c r="X933" s="336" t="s">
        <v>1212</v>
      </c>
      <c r="Y933" s="352" t="s">
        <v>143</v>
      </c>
      <c r="Z933" s="105">
        <v>33225</v>
      </c>
      <c r="AA933" s="107">
        <f>IFERROR((Table6[[#This Row],[Paired WTG Generation for loss calculation]]/24)*Table6[[#This Row],[Breakdown Time]],"")</f>
        <v>33224.615451388891</v>
      </c>
      <c r="AB933" s="105" t="s">
        <v>478</v>
      </c>
    </row>
    <row r="934" spans="1:28">
      <c r="A934" s="105">
        <f t="shared" si="14"/>
        <v>933</v>
      </c>
      <c r="B934" s="107">
        <f>YEAR(Table6[[#This Row],[Date]])+IF(MONTH(Table6[[#This Row],[Date]])&gt;=4,1,0)</f>
        <v>2026</v>
      </c>
      <c r="C934" s="105">
        <f>YEAR(Table6[[#This Row],[Date]])</f>
        <v>2025</v>
      </c>
      <c r="D934" s="105" t="s">
        <v>490</v>
      </c>
      <c r="E934" s="119">
        <f>Table6[[#This Row],[Date]]-DAY(Table6[[#This Row],[Date]])+1</f>
        <v>45839</v>
      </c>
      <c r="F934" s="118">
        <v>45844</v>
      </c>
      <c r="G934" s="105" t="s">
        <v>131</v>
      </c>
      <c r="H934" s="39" t="str">
        <f>_xlfn.XLOOKUP(Table6[[#This Row],[Affected WTG]],'Basic Data'!$A:$A,'Basic Data'!$B:$B)</f>
        <v>PWEGPL</v>
      </c>
      <c r="I934" s="39" t="str">
        <f>_xlfn.XLOOKUP(Table6[[#This Row],[Affected WTG]],'Basic Data'!$A:$A,'Basic Data'!$C:$C)</f>
        <v>MSEDCL</v>
      </c>
      <c r="J934" s="345">
        <f>IFERROR(VLOOKUP(Table6[[#This Row],[Affected WTG]],'Basic Data'!$A$3:$E$56,5,0),"")</f>
        <v>2.564102564102564E-2</v>
      </c>
      <c r="K934" s="105">
        <v>5216</v>
      </c>
      <c r="L934" s="39" t="str">
        <f>IFERROR(VLOOKUP(Table6[[#This Row],[Error Code]],'Basic Data'!$T:$U,2,0),"")</f>
        <v>Grid Voltage Failure</v>
      </c>
      <c r="M934" s="346" t="s">
        <v>462</v>
      </c>
      <c r="N934" s="39" t="s">
        <v>1270</v>
      </c>
      <c r="O934" s="347">
        <v>0</v>
      </c>
      <c r="P934" s="347">
        <v>0.99998842592592596</v>
      </c>
      <c r="Q934" s="347">
        <v>0.99998842592592596</v>
      </c>
      <c r="R934" s="348">
        <f>IF(Table6[[#This Row],[Work Start TimeStamp]]="","",(Table6[[#This Row],[Work Start TimeStamp]]-Table6[[#This Row],[Fault Start TimeStamp]])*24)</f>
        <v>23.999722222222225</v>
      </c>
      <c r="S934" s="349">
        <f>(Table6[[#This Row],[Fault Clearance time]]-Table6[[#This Row],[Work Start TimeStamp]])*24</f>
        <v>0</v>
      </c>
      <c r="T934" s="350">
        <f>(Table6[[#This Row],[Fault Clearance time]]-Table6[[#This Row],[Fault Start TimeStamp]])*24</f>
        <v>23.999722222222225</v>
      </c>
      <c r="U934" s="346" t="s">
        <v>1247</v>
      </c>
      <c r="V934" s="351" t="s">
        <v>473</v>
      </c>
      <c r="W934" s="338">
        <f>Table6[[#This Row],[Breakdown Time]]*(1/39)</f>
        <v>0.61537749287749288</v>
      </c>
      <c r="X934" s="336" t="s">
        <v>465</v>
      </c>
      <c r="Y934" s="352" t="s">
        <v>132</v>
      </c>
      <c r="Z934" s="105">
        <v>32045</v>
      </c>
      <c r="AA934" s="107">
        <f>IFERROR((Table6[[#This Row],[Paired WTG Generation for loss calculation]]/24)*Table6[[#This Row],[Breakdown Time]],"")</f>
        <v>32044.629108796296</v>
      </c>
      <c r="AB934" s="105" t="s">
        <v>478</v>
      </c>
    </row>
    <row r="935" spans="1:28">
      <c r="A935" s="105">
        <f t="shared" si="14"/>
        <v>934</v>
      </c>
      <c r="B935" s="107">
        <f>YEAR(Table6[[#This Row],[Date]])+IF(MONTH(Table6[[#This Row],[Date]])&gt;=4,1,0)</f>
        <v>2026</v>
      </c>
      <c r="C935" s="105">
        <f>YEAR(Table6[[#This Row],[Date]])</f>
        <v>2025</v>
      </c>
      <c r="D935" s="105" t="s">
        <v>490</v>
      </c>
      <c r="E935" s="119">
        <f>Table6[[#This Row],[Date]]-DAY(Table6[[#This Row],[Date]])+1</f>
        <v>45839</v>
      </c>
      <c r="F935" s="118">
        <v>45844</v>
      </c>
      <c r="G935" s="105" t="s">
        <v>148</v>
      </c>
      <c r="H935" s="39" t="str">
        <f>_xlfn.XLOOKUP(Table6[[#This Row],[Affected WTG]],'Basic Data'!$A:$A,'Basic Data'!$B:$B)</f>
        <v>PWEGPL</v>
      </c>
      <c r="I935" s="39" t="str">
        <f>_xlfn.XLOOKUP(Table6[[#This Row],[Affected WTG]],'Basic Data'!$A:$A,'Basic Data'!$C:$C)</f>
        <v>MSEDCL</v>
      </c>
      <c r="J935" s="345">
        <f>IFERROR(VLOOKUP(Table6[[#This Row],[Affected WTG]],'Basic Data'!$A$3:$E$56,5,0),"")</f>
        <v>2.564102564102564E-2</v>
      </c>
      <c r="K935" s="105">
        <v>711</v>
      </c>
      <c r="L935" s="39" t="str">
        <f>IFERROR(VLOOKUP(Table6[[#This Row],[Error Code]],'Basic Data'!$T:$U,2,0),"")</f>
        <v>Sonic Error.NRG Operates</v>
      </c>
      <c r="M935" s="346" t="s">
        <v>462</v>
      </c>
      <c r="N935" s="39" t="s">
        <v>1270</v>
      </c>
      <c r="O935" s="347">
        <v>0.52777777777777779</v>
      </c>
      <c r="P935" s="347">
        <v>0.54236111111111107</v>
      </c>
      <c r="Q935" s="347">
        <v>0.59375</v>
      </c>
      <c r="R935" s="348">
        <f>IF(Table6[[#This Row],[Work Start TimeStamp]]="","",(Table6[[#This Row],[Work Start TimeStamp]]-Table6[[#This Row],[Fault Start TimeStamp]])*24)</f>
        <v>0.34999999999999876</v>
      </c>
      <c r="S935" s="349">
        <f>(Table6[[#This Row],[Fault Clearance time]]-Table6[[#This Row],[Work Start TimeStamp]])*24</f>
        <v>1.2333333333333343</v>
      </c>
      <c r="T935" s="350">
        <f>(Table6[[#This Row],[Fault Clearance time]]-Table6[[#This Row],[Fault Start TimeStamp]])*24</f>
        <v>1.583333333333333</v>
      </c>
      <c r="U935" s="346" t="s">
        <v>1333</v>
      </c>
      <c r="V935" s="351" t="s">
        <v>463</v>
      </c>
      <c r="W935" s="338">
        <f>Table6[[#This Row],[Breakdown Time]]*(1/39)</f>
        <v>4.0598290598290586E-2</v>
      </c>
      <c r="X935" s="336" t="s">
        <v>465</v>
      </c>
      <c r="Y935" s="352" t="s">
        <v>149</v>
      </c>
      <c r="Z935" s="105">
        <v>24441</v>
      </c>
      <c r="AA935" s="107">
        <f>IFERROR((Table6[[#This Row],[Paired WTG Generation for loss calculation]]/24)*Table6[[#This Row],[Breakdown Time]],"")</f>
        <v>1612.427083333333</v>
      </c>
      <c r="AB935" s="105" t="s">
        <v>478</v>
      </c>
    </row>
    <row r="936" spans="1:28">
      <c r="A936" s="105">
        <f t="shared" si="14"/>
        <v>935</v>
      </c>
      <c r="B936" s="107">
        <f>YEAR(Table6[[#This Row],[Date]])+IF(MONTH(Table6[[#This Row],[Date]])&gt;=4,1,0)</f>
        <v>2026</v>
      </c>
      <c r="C936" s="105">
        <f>YEAR(Table6[[#This Row],[Date]])</f>
        <v>2025</v>
      </c>
      <c r="D936" s="105" t="s">
        <v>490</v>
      </c>
      <c r="E936" s="119">
        <f>Table6[[#This Row],[Date]]-DAY(Table6[[#This Row],[Date]])+1</f>
        <v>45839</v>
      </c>
      <c r="F936" s="118">
        <v>45844</v>
      </c>
      <c r="G936" s="105" t="s">
        <v>130</v>
      </c>
      <c r="H936" s="39" t="str">
        <f>_xlfn.XLOOKUP(Table6[[#This Row],[Affected WTG]],'Basic Data'!$A:$A,'Basic Data'!$B:$B)</f>
        <v>PWEGPL</v>
      </c>
      <c r="I936" s="39" t="str">
        <f>_xlfn.XLOOKUP(Table6[[#This Row],[Affected WTG]],'Basic Data'!$A:$A,'Basic Data'!$C:$C)</f>
        <v>MSEDCL</v>
      </c>
      <c r="J936" s="345">
        <f>IFERROR(VLOOKUP(Table6[[#This Row],[Affected WTG]],'Basic Data'!$A$3:$E$56,5,0),"")</f>
        <v>2.564102564102564E-2</v>
      </c>
      <c r="K936" s="105">
        <v>502</v>
      </c>
      <c r="L936" s="39" t="str">
        <f>IFERROR(VLOOKUP(Table6[[#This Row],[Error Code]],'Basic Data'!$T:$U,2,0),"")</f>
        <v>Generator NDE Bearing High Temperature Alarm</v>
      </c>
      <c r="M936" s="346" t="s">
        <v>462</v>
      </c>
      <c r="N936" s="39" t="s">
        <v>1270</v>
      </c>
      <c r="O936" s="347">
        <v>0.71527777777777779</v>
      </c>
      <c r="P936" s="347">
        <v>0.72222222222222221</v>
      </c>
      <c r="Q936" s="347">
        <v>0.75694444444444442</v>
      </c>
      <c r="R936" s="348">
        <f>IF(Table6[[#This Row],[Work Start TimeStamp]]="","",(Table6[[#This Row],[Work Start TimeStamp]]-Table6[[#This Row],[Fault Start TimeStamp]])*24)</f>
        <v>0.16666666666666607</v>
      </c>
      <c r="S936" s="349">
        <f>(Table6[[#This Row],[Fault Clearance time]]-Table6[[#This Row],[Work Start TimeStamp]])*24</f>
        <v>0.83333333333333304</v>
      </c>
      <c r="T936" s="350">
        <f>(Table6[[#This Row],[Fault Clearance time]]-Table6[[#This Row],[Fault Start TimeStamp]])*24</f>
        <v>0.99999999999999911</v>
      </c>
      <c r="U936" s="346" t="s">
        <v>1334</v>
      </c>
      <c r="V936" s="351" t="s">
        <v>463</v>
      </c>
      <c r="W936" s="338">
        <f>Table6[[#This Row],[Breakdown Time]]*(1/39)</f>
        <v>2.5641025641025616E-2</v>
      </c>
      <c r="X936" s="336" t="s">
        <v>465</v>
      </c>
      <c r="Y936" s="352" t="s">
        <v>132</v>
      </c>
      <c r="Z936" s="105">
        <v>32045</v>
      </c>
      <c r="AA936" s="107">
        <f>IFERROR((Table6[[#This Row],[Paired WTG Generation for loss calculation]]/24)*Table6[[#This Row],[Breakdown Time]],"")</f>
        <v>1335.2083333333321</v>
      </c>
      <c r="AB936" s="105" t="s">
        <v>478</v>
      </c>
    </row>
    <row r="937" spans="1:28">
      <c r="A937" s="105">
        <f t="shared" si="14"/>
        <v>936</v>
      </c>
      <c r="B937" s="107">
        <f>YEAR(Table6[[#This Row],[Date]])+IF(MONTH(Table6[[#This Row],[Date]])&gt;=4,1,0)</f>
        <v>2026</v>
      </c>
      <c r="C937" s="105">
        <f>YEAR(Table6[[#This Row],[Date]])</f>
        <v>2025</v>
      </c>
      <c r="D937" s="105" t="s">
        <v>490</v>
      </c>
      <c r="E937" s="119">
        <f>Table6[[#This Row],[Date]]-DAY(Table6[[#This Row],[Date]])+1</f>
        <v>45839</v>
      </c>
      <c r="F937" s="118">
        <v>45845</v>
      </c>
      <c r="G937" s="105" t="s">
        <v>144</v>
      </c>
      <c r="H937" s="39" t="str">
        <f>_xlfn.XLOOKUP(Table6[[#This Row],[Affected WTG]],'Basic Data'!$A:$A,'Basic Data'!$B:$B)</f>
        <v>PWEGPL</v>
      </c>
      <c r="I937" s="39" t="str">
        <f>_xlfn.XLOOKUP(Table6[[#This Row],[Affected WTG]],'Basic Data'!$A:$A,'Basic Data'!$C:$C)</f>
        <v>MSEDCL</v>
      </c>
      <c r="J937" s="345">
        <f>IFERROR(VLOOKUP(Table6[[#This Row],[Affected WTG]],'Basic Data'!$A$3:$E$56,5,0),"")</f>
        <v>2.564102564102564E-2</v>
      </c>
      <c r="K937" s="105" t="s">
        <v>492</v>
      </c>
      <c r="L937" s="39" t="str">
        <f>IFERROR(VLOOKUP(Table6[[#This Row],[Error Code]],'Basic Data'!$T:$U,2,0),"")</f>
        <v>Manual Stop - Safety Related</v>
      </c>
      <c r="M937" s="346" t="s">
        <v>481</v>
      </c>
      <c r="N937" s="39" t="s">
        <v>1269</v>
      </c>
      <c r="O937" s="347">
        <v>0</v>
      </c>
      <c r="P937" s="347">
        <v>0.99998842592592596</v>
      </c>
      <c r="Q937" s="347">
        <v>0.99998842592592596</v>
      </c>
      <c r="R937" s="348">
        <f>IF(Table6[[#This Row],[Work Start TimeStamp]]="","",(Table6[[#This Row],[Work Start TimeStamp]]-Table6[[#This Row],[Fault Start TimeStamp]])*24)</f>
        <v>23.999722222222225</v>
      </c>
      <c r="S937" s="349">
        <f>(Table6[[#This Row],[Fault Clearance time]]-Table6[[#This Row],[Work Start TimeStamp]])*24</f>
        <v>0</v>
      </c>
      <c r="T937" s="350">
        <f>(Table6[[#This Row],[Fault Clearance time]]-Table6[[#This Row],[Fault Start TimeStamp]])*24</f>
        <v>23.999722222222225</v>
      </c>
      <c r="U937" s="346" t="s">
        <v>498</v>
      </c>
      <c r="V937" s="351" t="s">
        <v>473</v>
      </c>
      <c r="W937" s="338">
        <f>Table6[[#This Row],[Breakdown Time]]*(1/39)</f>
        <v>0.61537749287749288</v>
      </c>
      <c r="X937" s="336" t="s">
        <v>1212</v>
      </c>
      <c r="Y937" s="352" t="s">
        <v>143</v>
      </c>
      <c r="Z937" s="105">
        <v>9225</v>
      </c>
      <c r="AA937" s="107">
        <f>IFERROR((Table6[[#This Row],[Paired WTG Generation for loss calculation]]/24)*Table6[[#This Row],[Breakdown Time]],"")</f>
        <v>9224.8932291666679</v>
      </c>
      <c r="AB937" s="105" t="s">
        <v>478</v>
      </c>
    </row>
    <row r="938" spans="1:28">
      <c r="A938" s="105">
        <f t="shared" si="14"/>
        <v>937</v>
      </c>
      <c r="B938" s="107">
        <f>YEAR(Table6[[#This Row],[Date]])+IF(MONTH(Table6[[#This Row],[Date]])&gt;=4,1,0)</f>
        <v>2026</v>
      </c>
      <c r="C938" s="105">
        <f>YEAR(Table6[[#This Row],[Date]])</f>
        <v>2025</v>
      </c>
      <c r="D938" s="105" t="s">
        <v>490</v>
      </c>
      <c r="E938" s="119">
        <f>Table6[[#This Row],[Date]]-DAY(Table6[[#This Row],[Date]])+1</f>
        <v>45839</v>
      </c>
      <c r="F938" s="118">
        <v>45845</v>
      </c>
      <c r="G938" s="105" t="s">
        <v>142</v>
      </c>
      <c r="H938" s="39" t="str">
        <f>_xlfn.XLOOKUP(Table6[[#This Row],[Affected WTG]],'Basic Data'!$A:$A,'Basic Data'!$B:$B)</f>
        <v>PWEGPL</v>
      </c>
      <c r="I938" s="39" t="str">
        <f>_xlfn.XLOOKUP(Table6[[#This Row],[Affected WTG]],'Basic Data'!$A:$A,'Basic Data'!$C:$C)</f>
        <v>MSEDCL</v>
      </c>
      <c r="J938" s="345">
        <f>IFERROR(VLOOKUP(Table6[[#This Row],[Affected WTG]],'Basic Data'!$A$3:$E$56,5,0),"")</f>
        <v>2.564102564102564E-2</v>
      </c>
      <c r="K938" s="105" t="s">
        <v>492</v>
      </c>
      <c r="L938" s="39" t="str">
        <f>IFERROR(VLOOKUP(Table6[[#This Row],[Error Code]],'Basic Data'!$T:$U,2,0),"")</f>
        <v>Manual Stop - Safety Related</v>
      </c>
      <c r="M938" s="346" t="s">
        <v>481</v>
      </c>
      <c r="N938" s="39" t="s">
        <v>1269</v>
      </c>
      <c r="O938" s="347">
        <v>0</v>
      </c>
      <c r="P938" s="347">
        <v>0.99998842592592596</v>
      </c>
      <c r="Q938" s="347">
        <v>0.99998842592592596</v>
      </c>
      <c r="R938" s="348">
        <f>IF(Table6[[#This Row],[Work Start TimeStamp]]="","",(Table6[[#This Row],[Work Start TimeStamp]]-Table6[[#This Row],[Fault Start TimeStamp]])*24)</f>
        <v>23.999722222222225</v>
      </c>
      <c r="S938" s="349">
        <f>(Table6[[#This Row],[Fault Clearance time]]-Table6[[#This Row],[Work Start TimeStamp]])*24</f>
        <v>0</v>
      </c>
      <c r="T938" s="350">
        <f>(Table6[[#This Row],[Fault Clearance time]]-Table6[[#This Row],[Fault Start TimeStamp]])*24</f>
        <v>23.999722222222225</v>
      </c>
      <c r="U938" s="346" t="s">
        <v>498</v>
      </c>
      <c r="V938" s="351" t="s">
        <v>473</v>
      </c>
      <c r="W938" s="338">
        <f>Table6[[#This Row],[Breakdown Time]]*(1/39)</f>
        <v>0.61537749287749288</v>
      </c>
      <c r="X938" s="336" t="s">
        <v>1212</v>
      </c>
      <c r="Y938" s="352" t="s">
        <v>143</v>
      </c>
      <c r="Z938" s="105">
        <v>9225</v>
      </c>
      <c r="AA938" s="107">
        <f>IFERROR((Table6[[#This Row],[Paired WTG Generation for loss calculation]]/24)*Table6[[#This Row],[Breakdown Time]],"")</f>
        <v>9224.8932291666679</v>
      </c>
      <c r="AB938" s="105" t="s">
        <v>478</v>
      </c>
    </row>
    <row r="939" spans="1:28">
      <c r="A939" s="105">
        <f t="shared" si="14"/>
        <v>938</v>
      </c>
      <c r="B939" s="107">
        <f>YEAR(Table6[[#This Row],[Date]])+IF(MONTH(Table6[[#This Row],[Date]])&gt;=4,1,0)</f>
        <v>2026</v>
      </c>
      <c r="C939" s="105">
        <f>YEAR(Table6[[#This Row],[Date]])</f>
        <v>2025</v>
      </c>
      <c r="D939" s="105" t="s">
        <v>490</v>
      </c>
      <c r="E939" s="119">
        <f>Table6[[#This Row],[Date]]-DAY(Table6[[#This Row],[Date]])+1</f>
        <v>45839</v>
      </c>
      <c r="F939" s="118">
        <v>45845</v>
      </c>
      <c r="G939" s="105" t="s">
        <v>131</v>
      </c>
      <c r="H939" s="39" t="str">
        <f>_xlfn.XLOOKUP(Table6[[#This Row],[Affected WTG]],'Basic Data'!$A:$A,'Basic Data'!$B:$B)</f>
        <v>PWEGPL</v>
      </c>
      <c r="I939" s="39" t="str">
        <f>_xlfn.XLOOKUP(Table6[[#This Row],[Affected WTG]],'Basic Data'!$A:$A,'Basic Data'!$C:$C)</f>
        <v>MSEDCL</v>
      </c>
      <c r="J939" s="345">
        <f>IFERROR(VLOOKUP(Table6[[#This Row],[Affected WTG]],'Basic Data'!$A$3:$E$56,5,0),"")</f>
        <v>2.564102564102564E-2</v>
      </c>
      <c r="K939" s="105">
        <v>5216</v>
      </c>
      <c r="L939" s="39" t="str">
        <f>IFERROR(VLOOKUP(Table6[[#This Row],[Error Code]],'Basic Data'!$T:$U,2,0),"")</f>
        <v>Grid Voltage Failure</v>
      </c>
      <c r="M939" s="346" t="s">
        <v>462</v>
      </c>
      <c r="N939" s="39" t="s">
        <v>1270</v>
      </c>
      <c r="O939" s="347">
        <v>0</v>
      </c>
      <c r="P939" s="347">
        <v>0.99998842592592596</v>
      </c>
      <c r="Q939" s="347">
        <v>0.99998842592592596</v>
      </c>
      <c r="R939" s="348">
        <f>IF(Table6[[#This Row],[Work Start TimeStamp]]="","",(Table6[[#This Row],[Work Start TimeStamp]]-Table6[[#This Row],[Fault Start TimeStamp]])*24)</f>
        <v>23.999722222222225</v>
      </c>
      <c r="S939" s="349">
        <f>(Table6[[#This Row],[Fault Clearance time]]-Table6[[#This Row],[Work Start TimeStamp]])*24</f>
        <v>0</v>
      </c>
      <c r="T939" s="350">
        <f>(Table6[[#This Row],[Fault Clearance time]]-Table6[[#This Row],[Fault Start TimeStamp]])*24</f>
        <v>23.999722222222225</v>
      </c>
      <c r="U939" s="346" t="s">
        <v>1247</v>
      </c>
      <c r="V939" s="351" t="s">
        <v>473</v>
      </c>
      <c r="W939" s="338">
        <f>Table6[[#This Row],[Breakdown Time]]*(1/39)</f>
        <v>0.61537749287749288</v>
      </c>
      <c r="X939" s="336" t="s">
        <v>465</v>
      </c>
      <c r="Y939" s="352" t="s">
        <v>132</v>
      </c>
      <c r="Z939" s="105">
        <v>13935</v>
      </c>
      <c r="AA939" s="107">
        <f>IFERROR((Table6[[#This Row],[Paired WTG Generation for loss calculation]]/24)*Table6[[#This Row],[Breakdown Time]],"")</f>
        <v>13934.83871527778</v>
      </c>
      <c r="AB939" s="105" t="s">
        <v>478</v>
      </c>
    </row>
    <row r="940" spans="1:28">
      <c r="A940" s="105">
        <f t="shared" si="14"/>
        <v>939</v>
      </c>
      <c r="B940" s="107">
        <f>YEAR(Table6[[#This Row],[Date]])+IF(MONTH(Table6[[#This Row],[Date]])&gt;=4,1,0)</f>
        <v>2026</v>
      </c>
      <c r="C940" s="105">
        <f>YEAR(Table6[[#This Row],[Date]])</f>
        <v>2025</v>
      </c>
      <c r="D940" s="105" t="s">
        <v>490</v>
      </c>
      <c r="E940" s="119">
        <f>Table6[[#This Row],[Date]]-DAY(Table6[[#This Row],[Date]])+1</f>
        <v>45839</v>
      </c>
      <c r="F940" s="118">
        <v>45845</v>
      </c>
      <c r="G940" s="105" t="s">
        <v>137</v>
      </c>
      <c r="H940" s="39" t="str">
        <f>_xlfn.XLOOKUP(Table6[[#This Row],[Affected WTG]],'Basic Data'!$A:$A,'Basic Data'!$B:$B)</f>
        <v>PWEGPL</v>
      </c>
      <c r="I940" s="39" t="str">
        <f>_xlfn.XLOOKUP(Table6[[#This Row],[Affected WTG]],'Basic Data'!$A:$A,'Basic Data'!$C:$C)</f>
        <v>MSEDCL</v>
      </c>
      <c r="J940" s="345">
        <f>IFERROR(VLOOKUP(Table6[[#This Row],[Affected WTG]],'Basic Data'!$A$3:$E$56,5,0),"")</f>
        <v>2.564102564102564E-2</v>
      </c>
      <c r="K940" s="105">
        <v>205</v>
      </c>
      <c r="L940" s="39" t="str">
        <f>IFERROR(VLOOKUP(Table6[[#This Row],[Error Code]],'Basic Data'!$T:$U,2,0),"")</f>
        <v>Low Level Hydraulic Group Refrigeration Oil</v>
      </c>
      <c r="M940" s="346" t="s">
        <v>462</v>
      </c>
      <c r="N940" s="39" t="s">
        <v>1270</v>
      </c>
      <c r="O940" s="347">
        <v>0.625</v>
      </c>
      <c r="P940" s="347">
        <v>0.65208333333333335</v>
      </c>
      <c r="Q940" s="347">
        <v>0.70833333333333337</v>
      </c>
      <c r="R940" s="348">
        <f>IF(Table6[[#This Row],[Work Start TimeStamp]]="","",(Table6[[#This Row],[Work Start TimeStamp]]-Table6[[#This Row],[Fault Start TimeStamp]])*24)</f>
        <v>0.65000000000000036</v>
      </c>
      <c r="S940" s="349">
        <f>(Table6[[#This Row],[Fault Clearance time]]-Table6[[#This Row],[Work Start TimeStamp]])*24</f>
        <v>1.3500000000000005</v>
      </c>
      <c r="T940" s="350">
        <f>(Table6[[#This Row],[Fault Clearance time]]-Table6[[#This Row],[Fault Start TimeStamp]])*24</f>
        <v>2.0000000000000009</v>
      </c>
      <c r="U940" s="346" t="s">
        <v>1339</v>
      </c>
      <c r="V940" s="351" t="s">
        <v>463</v>
      </c>
      <c r="W940" s="338">
        <f>Table6[[#This Row],[Breakdown Time]]*(1/39)</f>
        <v>5.1282051282051301E-2</v>
      </c>
      <c r="X940" s="336" t="s">
        <v>465</v>
      </c>
      <c r="Y940" s="352" t="s">
        <v>136</v>
      </c>
      <c r="Z940" s="105">
        <v>9289</v>
      </c>
      <c r="AA940" s="107">
        <f>IFERROR((Table6[[#This Row],[Paired WTG Generation for loss calculation]]/24)*Table6[[#This Row],[Breakdown Time]],"")</f>
        <v>774.08333333333371</v>
      </c>
      <c r="AB940" s="105" t="s">
        <v>478</v>
      </c>
    </row>
    <row r="941" spans="1:28">
      <c r="A941" s="105">
        <f t="shared" si="14"/>
        <v>940</v>
      </c>
      <c r="B941" s="107">
        <f>YEAR(Table6[[#This Row],[Date]])+IF(MONTH(Table6[[#This Row],[Date]])&gt;=4,1,0)</f>
        <v>2026</v>
      </c>
      <c r="C941" s="105">
        <f>YEAR(Table6[[#This Row],[Date]])</f>
        <v>2025</v>
      </c>
      <c r="D941" s="105" t="s">
        <v>490</v>
      </c>
      <c r="E941" s="119">
        <f>Table6[[#This Row],[Date]]-DAY(Table6[[#This Row],[Date]])+1</f>
        <v>45839</v>
      </c>
      <c r="F941" s="118">
        <v>45845</v>
      </c>
      <c r="G941" s="105" t="s">
        <v>146</v>
      </c>
      <c r="H941" s="39" t="str">
        <f>_xlfn.XLOOKUP(Table6[[#This Row],[Affected WTG]],'Basic Data'!$A:$A,'Basic Data'!$B:$B)</f>
        <v>PWEGPL</v>
      </c>
      <c r="I941" s="39" t="str">
        <f>_xlfn.XLOOKUP(Table6[[#This Row],[Affected WTG]],'Basic Data'!$A:$A,'Basic Data'!$C:$C)</f>
        <v>MSEDCL</v>
      </c>
      <c r="J941" s="345">
        <f>IFERROR(VLOOKUP(Table6[[#This Row],[Affected WTG]],'Basic Data'!$A$3:$E$56,5,0),"")</f>
        <v>2.564102564102564E-2</v>
      </c>
      <c r="K941" s="105">
        <v>2118</v>
      </c>
      <c r="L941" s="39" t="str">
        <f>IFERROR(VLOOKUP(Table6[[#This Row],[Error Code]],'Basic Data'!$T:$U,2,0),"")</f>
        <v>Bus Error - Interbus Failure</v>
      </c>
      <c r="M941" s="346" t="s">
        <v>462</v>
      </c>
      <c r="N941" s="39" t="s">
        <v>1270</v>
      </c>
      <c r="O941" s="347">
        <v>0.73958333333333337</v>
      </c>
      <c r="P941" s="347">
        <v>0.76388888888888884</v>
      </c>
      <c r="Q941" s="347">
        <v>0.76527777777777772</v>
      </c>
      <c r="R941" s="348">
        <f>IF(Table6[[#This Row],[Work Start TimeStamp]]="","",(Table6[[#This Row],[Work Start TimeStamp]]-Table6[[#This Row],[Fault Start TimeStamp]])*24)</f>
        <v>0.58333333333333126</v>
      </c>
      <c r="S941" s="349">
        <f>(Table6[[#This Row],[Fault Clearance time]]-Table6[[#This Row],[Work Start TimeStamp]])*24</f>
        <v>3.3333333333333215E-2</v>
      </c>
      <c r="T941" s="350">
        <f>(Table6[[#This Row],[Fault Clearance time]]-Table6[[#This Row],[Fault Start TimeStamp]])*24</f>
        <v>0.61666666666666448</v>
      </c>
      <c r="U941" s="346" t="s">
        <v>493</v>
      </c>
      <c r="V941" s="351" t="s">
        <v>463</v>
      </c>
      <c r="W941" s="338">
        <f>Table6[[#This Row],[Breakdown Time]]*(1/39)</f>
        <v>1.5811965811965756E-2</v>
      </c>
      <c r="X941" s="336" t="s">
        <v>465</v>
      </c>
      <c r="Y941" s="352" t="s">
        <v>147</v>
      </c>
      <c r="Z941" s="105">
        <v>8006</v>
      </c>
      <c r="AA941" s="107">
        <f>IFERROR((Table6[[#This Row],[Paired WTG Generation for loss calculation]]/24)*Table6[[#This Row],[Breakdown Time]],"")</f>
        <v>205.70972222222147</v>
      </c>
      <c r="AB941" s="105" t="s">
        <v>478</v>
      </c>
    </row>
    <row r="942" spans="1:28">
      <c r="A942" s="105">
        <f t="shared" si="14"/>
        <v>941</v>
      </c>
      <c r="B942" s="107">
        <f>YEAR(Table6[[#This Row],[Date]])+IF(MONTH(Table6[[#This Row],[Date]])&gt;=4,1,0)</f>
        <v>2026</v>
      </c>
      <c r="C942" s="105">
        <f>YEAR(Table6[[#This Row],[Date]])</f>
        <v>2025</v>
      </c>
      <c r="D942" s="105" t="s">
        <v>490</v>
      </c>
      <c r="E942" s="119">
        <f>Table6[[#This Row],[Date]]-DAY(Table6[[#This Row],[Date]])+1</f>
        <v>45839</v>
      </c>
      <c r="F942" s="118">
        <v>45846</v>
      </c>
      <c r="G942" s="105" t="s">
        <v>144</v>
      </c>
      <c r="H942" s="39" t="str">
        <f>_xlfn.XLOOKUP(Table6[[#This Row],[Affected WTG]],'Basic Data'!$A:$A,'Basic Data'!$B:$B)</f>
        <v>PWEGPL</v>
      </c>
      <c r="I942" s="39" t="str">
        <f>_xlfn.XLOOKUP(Table6[[#This Row],[Affected WTG]],'Basic Data'!$A:$A,'Basic Data'!$C:$C)</f>
        <v>MSEDCL</v>
      </c>
      <c r="J942" s="345">
        <f>IFERROR(VLOOKUP(Table6[[#This Row],[Affected WTG]],'Basic Data'!$A$3:$E$56,5,0),"")</f>
        <v>2.564102564102564E-2</v>
      </c>
      <c r="K942" s="105" t="s">
        <v>492</v>
      </c>
      <c r="L942" s="39" t="str">
        <f>IFERROR(VLOOKUP(Table6[[#This Row],[Error Code]],'Basic Data'!$T:$U,2,0),"")</f>
        <v>Manual Stop - Safety Related</v>
      </c>
      <c r="M942" s="346" t="s">
        <v>481</v>
      </c>
      <c r="N942" s="39" t="s">
        <v>1269</v>
      </c>
      <c r="O942" s="347">
        <v>0</v>
      </c>
      <c r="P942" s="347">
        <v>0.99998842592592596</v>
      </c>
      <c r="Q942" s="347">
        <v>0.99998842592592596</v>
      </c>
      <c r="R942" s="348">
        <f>IF(Table6[[#This Row],[Work Start TimeStamp]]="","",(Table6[[#This Row],[Work Start TimeStamp]]-Table6[[#This Row],[Fault Start TimeStamp]])*24)</f>
        <v>23.999722222222225</v>
      </c>
      <c r="S942" s="349">
        <f>(Table6[[#This Row],[Fault Clearance time]]-Table6[[#This Row],[Work Start TimeStamp]])*24</f>
        <v>0</v>
      </c>
      <c r="T942" s="350">
        <f>(Table6[[#This Row],[Fault Clearance time]]-Table6[[#This Row],[Fault Start TimeStamp]])*24</f>
        <v>23.999722222222225</v>
      </c>
      <c r="U942" s="346" t="s">
        <v>498</v>
      </c>
      <c r="V942" s="351" t="s">
        <v>473</v>
      </c>
      <c r="W942" s="338">
        <f>Table6[[#This Row],[Breakdown Time]]*(1/39)</f>
        <v>0.61537749287749288</v>
      </c>
      <c r="X942" s="336" t="s">
        <v>1212</v>
      </c>
      <c r="Y942" s="352" t="s">
        <v>143</v>
      </c>
      <c r="Z942" s="105">
        <v>13450</v>
      </c>
      <c r="AA942" s="107">
        <f>IFERROR((Table6[[#This Row],[Paired WTG Generation for loss calculation]]/24)*Table6[[#This Row],[Breakdown Time]],"")</f>
        <v>13449.844328703704</v>
      </c>
      <c r="AB942" s="105" t="s">
        <v>478</v>
      </c>
    </row>
    <row r="943" spans="1:28">
      <c r="A943" s="105">
        <f t="shared" si="14"/>
        <v>942</v>
      </c>
      <c r="B943" s="107">
        <f>YEAR(Table6[[#This Row],[Date]])+IF(MONTH(Table6[[#This Row],[Date]])&gt;=4,1,0)</f>
        <v>2026</v>
      </c>
      <c r="C943" s="105">
        <f>YEAR(Table6[[#This Row],[Date]])</f>
        <v>2025</v>
      </c>
      <c r="D943" s="105" t="s">
        <v>490</v>
      </c>
      <c r="E943" s="119">
        <f>Table6[[#This Row],[Date]]-DAY(Table6[[#This Row],[Date]])+1</f>
        <v>45839</v>
      </c>
      <c r="F943" s="118">
        <v>45846</v>
      </c>
      <c r="G943" s="105" t="s">
        <v>142</v>
      </c>
      <c r="H943" s="39" t="str">
        <f>_xlfn.XLOOKUP(Table6[[#This Row],[Affected WTG]],'Basic Data'!$A:$A,'Basic Data'!$B:$B)</f>
        <v>PWEGPL</v>
      </c>
      <c r="I943" s="39" t="str">
        <f>_xlfn.XLOOKUP(Table6[[#This Row],[Affected WTG]],'Basic Data'!$A:$A,'Basic Data'!$C:$C)</f>
        <v>MSEDCL</v>
      </c>
      <c r="J943" s="345">
        <f>IFERROR(VLOOKUP(Table6[[#This Row],[Affected WTG]],'Basic Data'!$A$3:$E$56,5,0),"")</f>
        <v>2.564102564102564E-2</v>
      </c>
      <c r="K943" s="105" t="s">
        <v>492</v>
      </c>
      <c r="L943" s="39" t="str">
        <f>IFERROR(VLOOKUP(Table6[[#This Row],[Error Code]],'Basic Data'!$T:$U,2,0),"")</f>
        <v>Manual Stop - Safety Related</v>
      </c>
      <c r="M943" s="346" t="s">
        <v>481</v>
      </c>
      <c r="N943" s="39" t="s">
        <v>1269</v>
      </c>
      <c r="O943" s="347">
        <v>0</v>
      </c>
      <c r="P943" s="347">
        <v>0.99998842592592596</v>
      </c>
      <c r="Q943" s="347">
        <v>0.99998842592592596</v>
      </c>
      <c r="R943" s="348">
        <f>IF(Table6[[#This Row],[Work Start TimeStamp]]="","",(Table6[[#This Row],[Work Start TimeStamp]]-Table6[[#This Row],[Fault Start TimeStamp]])*24)</f>
        <v>23.999722222222225</v>
      </c>
      <c r="S943" s="349">
        <f>(Table6[[#This Row],[Fault Clearance time]]-Table6[[#This Row],[Work Start TimeStamp]])*24</f>
        <v>0</v>
      </c>
      <c r="T943" s="350">
        <f>(Table6[[#This Row],[Fault Clearance time]]-Table6[[#This Row],[Fault Start TimeStamp]])*24</f>
        <v>23.999722222222225</v>
      </c>
      <c r="U943" s="346" t="s">
        <v>498</v>
      </c>
      <c r="V943" s="351" t="s">
        <v>473</v>
      </c>
      <c r="W943" s="338">
        <f>Table6[[#This Row],[Breakdown Time]]*(1/39)</f>
        <v>0.61537749287749288</v>
      </c>
      <c r="X943" s="336" t="s">
        <v>1212</v>
      </c>
      <c r="Y943" s="352" t="s">
        <v>143</v>
      </c>
      <c r="Z943" s="105">
        <v>13450</v>
      </c>
      <c r="AA943" s="107">
        <f>IFERROR((Table6[[#This Row],[Paired WTG Generation for loss calculation]]/24)*Table6[[#This Row],[Breakdown Time]],"")</f>
        <v>13449.844328703704</v>
      </c>
      <c r="AB943" s="105" t="s">
        <v>478</v>
      </c>
    </row>
    <row r="944" spans="1:28">
      <c r="A944" s="105">
        <f t="shared" si="14"/>
        <v>943</v>
      </c>
      <c r="B944" s="107">
        <f>YEAR(Table6[[#This Row],[Date]])+IF(MONTH(Table6[[#This Row],[Date]])&gt;=4,1,0)</f>
        <v>2026</v>
      </c>
      <c r="C944" s="105">
        <f>YEAR(Table6[[#This Row],[Date]])</f>
        <v>2025</v>
      </c>
      <c r="D944" s="105" t="s">
        <v>490</v>
      </c>
      <c r="E944" s="119">
        <f>Table6[[#This Row],[Date]]-DAY(Table6[[#This Row],[Date]])+1</f>
        <v>45839</v>
      </c>
      <c r="F944" s="118">
        <v>45846</v>
      </c>
      <c r="G944" s="105" t="s">
        <v>131</v>
      </c>
      <c r="H944" s="39" t="str">
        <f>_xlfn.XLOOKUP(Table6[[#This Row],[Affected WTG]],'Basic Data'!$A:$A,'Basic Data'!$B:$B)</f>
        <v>PWEGPL</v>
      </c>
      <c r="I944" s="39" t="str">
        <f>_xlfn.XLOOKUP(Table6[[#This Row],[Affected WTG]],'Basic Data'!$A:$A,'Basic Data'!$C:$C)</f>
        <v>MSEDCL</v>
      </c>
      <c r="J944" s="345">
        <f>IFERROR(VLOOKUP(Table6[[#This Row],[Affected WTG]],'Basic Data'!$A$3:$E$56,5,0),"")</f>
        <v>2.564102564102564E-2</v>
      </c>
      <c r="K944" s="105">
        <v>5216</v>
      </c>
      <c r="L944" s="39" t="str">
        <f>IFERROR(VLOOKUP(Table6[[#This Row],[Error Code]],'Basic Data'!$T:$U,2,0),"")</f>
        <v>Grid Voltage Failure</v>
      </c>
      <c r="M944" s="346" t="s">
        <v>462</v>
      </c>
      <c r="N944" s="39" t="s">
        <v>1270</v>
      </c>
      <c r="O944" s="347">
        <v>0</v>
      </c>
      <c r="P944" s="347">
        <v>0.99998842592592596</v>
      </c>
      <c r="Q944" s="347">
        <v>0.99998842592592596</v>
      </c>
      <c r="R944" s="348">
        <f>IF(Table6[[#This Row],[Work Start TimeStamp]]="","",(Table6[[#This Row],[Work Start TimeStamp]]-Table6[[#This Row],[Fault Start TimeStamp]])*24)</f>
        <v>23.999722222222225</v>
      </c>
      <c r="S944" s="349">
        <f>(Table6[[#This Row],[Fault Clearance time]]-Table6[[#This Row],[Work Start TimeStamp]])*24</f>
        <v>0</v>
      </c>
      <c r="T944" s="350">
        <f>(Table6[[#This Row],[Fault Clearance time]]-Table6[[#This Row],[Fault Start TimeStamp]])*24</f>
        <v>23.999722222222225</v>
      </c>
      <c r="U944" s="346" t="s">
        <v>1350</v>
      </c>
      <c r="V944" s="351" t="s">
        <v>473</v>
      </c>
      <c r="W944" s="338">
        <f>Table6[[#This Row],[Breakdown Time]]*(1/39)</f>
        <v>0.61537749287749288</v>
      </c>
      <c r="X944" s="336" t="s">
        <v>465</v>
      </c>
      <c r="Y944" s="352" t="s">
        <v>132</v>
      </c>
      <c r="Z944" s="105">
        <v>20689</v>
      </c>
      <c r="AA944" s="107">
        <f>IFERROR((Table6[[#This Row],[Paired WTG Generation for loss calculation]]/24)*Table6[[#This Row],[Breakdown Time]],"")</f>
        <v>20688.760543981483</v>
      </c>
      <c r="AB944" s="105" t="s">
        <v>478</v>
      </c>
    </row>
    <row r="945" spans="1:28">
      <c r="A945" s="105">
        <f t="shared" si="14"/>
        <v>944</v>
      </c>
      <c r="B945" s="107">
        <f>YEAR(Table6[[#This Row],[Date]])+IF(MONTH(Table6[[#This Row],[Date]])&gt;=4,1,0)</f>
        <v>2026</v>
      </c>
      <c r="C945" s="105">
        <f>YEAR(Table6[[#This Row],[Date]])</f>
        <v>2025</v>
      </c>
      <c r="D945" s="105" t="s">
        <v>490</v>
      </c>
      <c r="E945" s="119">
        <f>Table6[[#This Row],[Date]]-DAY(Table6[[#This Row],[Date]])+1</f>
        <v>45839</v>
      </c>
      <c r="F945" s="118">
        <v>45846</v>
      </c>
      <c r="G945" s="105" t="s">
        <v>115</v>
      </c>
      <c r="H945" s="39" t="str">
        <f>_xlfn.XLOOKUP(Table6[[#This Row],[Affected WTG]],'Basic Data'!$A:$A,'Basic Data'!$B:$B)</f>
        <v>PWEGPL</v>
      </c>
      <c r="I945" s="39" t="str">
        <f>_xlfn.XLOOKUP(Table6[[#This Row],[Affected WTG]],'Basic Data'!$A:$A,'Basic Data'!$C:$C)</f>
        <v>MSEDCL</v>
      </c>
      <c r="J945" s="345">
        <f>IFERROR(VLOOKUP(Table6[[#This Row],[Affected WTG]],'Basic Data'!$A$3:$E$56,5,0),"")</f>
        <v>2.564102564102564E-2</v>
      </c>
      <c r="K945" s="105">
        <v>800</v>
      </c>
      <c r="L945" s="39" t="str">
        <f>IFERROR(VLOOKUP(Table6[[#This Row],[Error Code]],'Basic Data'!$T:$U,2,0),"")</f>
        <v>Pitch Drive Error</v>
      </c>
      <c r="M945" s="346" t="s">
        <v>462</v>
      </c>
      <c r="N945" s="39" t="s">
        <v>1270</v>
      </c>
      <c r="O945" s="347">
        <v>0.45833333333333331</v>
      </c>
      <c r="P945" s="347">
        <v>0.47361111111111109</v>
      </c>
      <c r="Q945" s="347">
        <v>0.74027777777777781</v>
      </c>
      <c r="R945" s="348">
        <f>IF(Table6[[#This Row],[Work Start TimeStamp]]="","",(Table6[[#This Row],[Work Start TimeStamp]]-Table6[[#This Row],[Fault Start TimeStamp]])*24)</f>
        <v>0.3666666666666667</v>
      </c>
      <c r="S945" s="349">
        <f>(Table6[[#This Row],[Fault Clearance time]]-Table6[[#This Row],[Work Start TimeStamp]])*24</f>
        <v>6.4000000000000012</v>
      </c>
      <c r="T945" s="350">
        <f>(Table6[[#This Row],[Fault Clearance time]]-Table6[[#This Row],[Fault Start TimeStamp]])*24</f>
        <v>6.7666666666666675</v>
      </c>
      <c r="U945" s="346" t="s">
        <v>1340</v>
      </c>
      <c r="V945" s="351" t="s">
        <v>463</v>
      </c>
      <c r="W945" s="338">
        <f>Table6[[#This Row],[Breakdown Time]]*(1/39)</f>
        <v>0.17350427350427353</v>
      </c>
      <c r="X945" s="336" t="s">
        <v>465</v>
      </c>
      <c r="Y945" s="352" t="s">
        <v>121</v>
      </c>
      <c r="Z945" s="105">
        <v>16576</v>
      </c>
      <c r="AA945" s="107">
        <f>IFERROR((Table6[[#This Row],[Paired WTG Generation for loss calculation]]/24)*Table6[[#This Row],[Breakdown Time]],"")</f>
        <v>4673.5111111111119</v>
      </c>
      <c r="AB945" s="105" t="s">
        <v>478</v>
      </c>
    </row>
    <row r="946" spans="1:28">
      <c r="A946" s="105">
        <f t="shared" si="14"/>
        <v>945</v>
      </c>
      <c r="B946" s="107">
        <f>YEAR(Table6[[#This Row],[Date]])+IF(MONTH(Table6[[#This Row],[Date]])&gt;=4,1,0)</f>
        <v>2026</v>
      </c>
      <c r="C946" s="105">
        <f>YEAR(Table6[[#This Row],[Date]])</f>
        <v>2025</v>
      </c>
      <c r="D946" s="105" t="s">
        <v>490</v>
      </c>
      <c r="E946" s="119">
        <f>Table6[[#This Row],[Date]]-DAY(Table6[[#This Row],[Date]])+1</f>
        <v>45839</v>
      </c>
      <c r="F946" s="118">
        <v>45847</v>
      </c>
      <c r="G946" s="105" t="s">
        <v>144</v>
      </c>
      <c r="H946" s="39" t="str">
        <f>_xlfn.XLOOKUP(Table6[[#This Row],[Affected WTG]],'Basic Data'!$A:$A,'Basic Data'!$B:$B)</f>
        <v>PWEGPL</v>
      </c>
      <c r="I946" s="39" t="str">
        <f>_xlfn.XLOOKUP(Table6[[#This Row],[Affected WTG]],'Basic Data'!$A:$A,'Basic Data'!$C:$C)</f>
        <v>MSEDCL</v>
      </c>
      <c r="J946" s="345">
        <f>IFERROR(VLOOKUP(Table6[[#This Row],[Affected WTG]],'Basic Data'!$A$3:$E$56,5,0),"")</f>
        <v>2.564102564102564E-2</v>
      </c>
      <c r="K946" s="105" t="s">
        <v>492</v>
      </c>
      <c r="L946" s="39" t="str">
        <f>IFERROR(VLOOKUP(Table6[[#This Row],[Error Code]],'Basic Data'!$T:$U,2,0),"")</f>
        <v>Manual Stop - Safety Related</v>
      </c>
      <c r="M946" s="346" t="s">
        <v>481</v>
      </c>
      <c r="N946" s="39" t="s">
        <v>1269</v>
      </c>
      <c r="O946" s="347">
        <v>0</v>
      </c>
      <c r="P946" s="347">
        <v>0.99998842592592596</v>
      </c>
      <c r="Q946" s="347">
        <v>0.99998842592592596</v>
      </c>
      <c r="R946" s="348">
        <f>IF(Table6[[#This Row],[Work Start TimeStamp]]="","",(Table6[[#This Row],[Work Start TimeStamp]]-Table6[[#This Row],[Fault Start TimeStamp]])*24)</f>
        <v>23.999722222222225</v>
      </c>
      <c r="S946" s="349">
        <f>(Table6[[#This Row],[Fault Clearance time]]-Table6[[#This Row],[Work Start TimeStamp]])*24</f>
        <v>0</v>
      </c>
      <c r="T946" s="350">
        <f>(Table6[[#This Row],[Fault Clearance time]]-Table6[[#This Row],[Fault Start TimeStamp]])*24</f>
        <v>23.999722222222225</v>
      </c>
      <c r="U946" s="346" t="s">
        <v>498</v>
      </c>
      <c r="V946" s="351" t="s">
        <v>473</v>
      </c>
      <c r="W946" s="338">
        <f>Table6[[#This Row],[Breakdown Time]]*(1/39)</f>
        <v>0.61537749287749288</v>
      </c>
      <c r="X946" s="336" t="s">
        <v>1212</v>
      </c>
      <c r="Y946" s="352" t="s">
        <v>143</v>
      </c>
      <c r="Z946" s="105">
        <v>6877</v>
      </c>
      <c r="AA946" s="107">
        <f>IFERROR((Table6[[#This Row],[Paired WTG Generation for loss calculation]]/24)*Table6[[#This Row],[Breakdown Time]],"")</f>
        <v>6876.9204050925937</v>
      </c>
      <c r="AB946" s="105" t="s">
        <v>478</v>
      </c>
    </row>
    <row r="947" spans="1:28">
      <c r="A947" s="105">
        <f t="shared" si="14"/>
        <v>946</v>
      </c>
      <c r="B947" s="107">
        <f>YEAR(Table6[[#This Row],[Date]])+IF(MONTH(Table6[[#This Row],[Date]])&gt;=4,1,0)</f>
        <v>2026</v>
      </c>
      <c r="C947" s="105">
        <f>YEAR(Table6[[#This Row],[Date]])</f>
        <v>2025</v>
      </c>
      <c r="D947" s="105" t="s">
        <v>490</v>
      </c>
      <c r="E947" s="119">
        <f>Table6[[#This Row],[Date]]-DAY(Table6[[#This Row],[Date]])+1</f>
        <v>45839</v>
      </c>
      <c r="F947" s="118">
        <v>45847</v>
      </c>
      <c r="G947" s="105" t="s">
        <v>142</v>
      </c>
      <c r="H947" s="39" t="str">
        <f>_xlfn.XLOOKUP(Table6[[#This Row],[Affected WTG]],'Basic Data'!$A:$A,'Basic Data'!$B:$B)</f>
        <v>PWEGPL</v>
      </c>
      <c r="I947" s="39" t="str">
        <f>_xlfn.XLOOKUP(Table6[[#This Row],[Affected WTG]],'Basic Data'!$A:$A,'Basic Data'!$C:$C)</f>
        <v>MSEDCL</v>
      </c>
      <c r="J947" s="345">
        <f>IFERROR(VLOOKUP(Table6[[#This Row],[Affected WTG]],'Basic Data'!$A$3:$E$56,5,0),"")</f>
        <v>2.564102564102564E-2</v>
      </c>
      <c r="K947" s="105" t="s">
        <v>492</v>
      </c>
      <c r="L947" s="39" t="str">
        <f>IFERROR(VLOOKUP(Table6[[#This Row],[Error Code]],'Basic Data'!$T:$U,2,0),"")</f>
        <v>Manual Stop - Safety Related</v>
      </c>
      <c r="M947" s="346" t="s">
        <v>481</v>
      </c>
      <c r="N947" s="39" t="s">
        <v>1269</v>
      </c>
      <c r="O947" s="347">
        <v>0</v>
      </c>
      <c r="P947" s="347">
        <v>0.99998842592592596</v>
      </c>
      <c r="Q947" s="347">
        <v>0.99998842592592596</v>
      </c>
      <c r="R947" s="348">
        <f>IF(Table6[[#This Row],[Work Start TimeStamp]]="","",(Table6[[#This Row],[Work Start TimeStamp]]-Table6[[#This Row],[Fault Start TimeStamp]])*24)</f>
        <v>23.999722222222225</v>
      </c>
      <c r="S947" s="349">
        <f>(Table6[[#This Row],[Fault Clearance time]]-Table6[[#This Row],[Work Start TimeStamp]])*24</f>
        <v>0</v>
      </c>
      <c r="T947" s="350">
        <f>(Table6[[#This Row],[Fault Clearance time]]-Table6[[#This Row],[Fault Start TimeStamp]])*24</f>
        <v>23.999722222222225</v>
      </c>
      <c r="U947" s="346" t="s">
        <v>498</v>
      </c>
      <c r="V947" s="351" t="s">
        <v>473</v>
      </c>
      <c r="W947" s="338">
        <f>Table6[[#This Row],[Breakdown Time]]*(1/39)</f>
        <v>0.61537749287749288</v>
      </c>
      <c r="X947" s="336" t="s">
        <v>1212</v>
      </c>
      <c r="Y947" s="352" t="s">
        <v>143</v>
      </c>
      <c r="Z947" s="105">
        <v>6877</v>
      </c>
      <c r="AA947" s="107">
        <f>IFERROR((Table6[[#This Row],[Paired WTG Generation for loss calculation]]/24)*Table6[[#This Row],[Breakdown Time]],"")</f>
        <v>6876.9204050925937</v>
      </c>
      <c r="AB947" s="105" t="s">
        <v>478</v>
      </c>
    </row>
    <row r="948" spans="1:28">
      <c r="A948" s="105">
        <f t="shared" si="14"/>
        <v>947</v>
      </c>
      <c r="B948" s="107">
        <f>YEAR(Table6[[#This Row],[Date]])+IF(MONTH(Table6[[#This Row],[Date]])&gt;=4,1,0)</f>
        <v>2026</v>
      </c>
      <c r="C948" s="105">
        <f>YEAR(Table6[[#This Row],[Date]])</f>
        <v>2025</v>
      </c>
      <c r="D948" s="105" t="s">
        <v>490</v>
      </c>
      <c r="E948" s="119">
        <f>Table6[[#This Row],[Date]]-DAY(Table6[[#This Row],[Date]])+1</f>
        <v>45839</v>
      </c>
      <c r="F948" s="118">
        <v>45847</v>
      </c>
      <c r="G948" s="105" t="s">
        <v>131</v>
      </c>
      <c r="H948" s="39" t="str">
        <f>_xlfn.XLOOKUP(Table6[[#This Row],[Affected WTG]],'Basic Data'!$A:$A,'Basic Data'!$B:$B)</f>
        <v>PWEGPL</v>
      </c>
      <c r="I948" s="39" t="str">
        <f>_xlfn.XLOOKUP(Table6[[#This Row],[Affected WTG]],'Basic Data'!$A:$A,'Basic Data'!$C:$C)</f>
        <v>MSEDCL</v>
      </c>
      <c r="J948" s="345">
        <f>IFERROR(VLOOKUP(Table6[[#This Row],[Affected WTG]],'Basic Data'!$A$3:$E$56,5,0),"")</f>
        <v>2.564102564102564E-2</v>
      </c>
      <c r="K948" s="105">
        <v>5216</v>
      </c>
      <c r="L948" s="39" t="str">
        <f>IFERROR(VLOOKUP(Table6[[#This Row],[Error Code]],'Basic Data'!$T:$U,2,0),"")</f>
        <v>Grid Voltage Failure</v>
      </c>
      <c r="M948" s="346" t="s">
        <v>462</v>
      </c>
      <c r="N948" s="39" t="s">
        <v>1270</v>
      </c>
      <c r="O948" s="347">
        <v>0</v>
      </c>
      <c r="P948" s="347">
        <v>0.99998842592592596</v>
      </c>
      <c r="Q948" s="347">
        <v>0.99998842592592596</v>
      </c>
      <c r="R948" s="348">
        <f>IF(Table6[[#This Row],[Work Start TimeStamp]]="","",(Table6[[#This Row],[Work Start TimeStamp]]-Table6[[#This Row],[Fault Start TimeStamp]])*24)</f>
        <v>23.999722222222225</v>
      </c>
      <c r="S948" s="349">
        <f>(Table6[[#This Row],[Fault Clearance time]]-Table6[[#This Row],[Work Start TimeStamp]])*24</f>
        <v>0</v>
      </c>
      <c r="T948" s="350">
        <f>(Table6[[#This Row],[Fault Clearance time]]-Table6[[#This Row],[Fault Start TimeStamp]])*24</f>
        <v>23.999722222222225</v>
      </c>
      <c r="U948" s="346" t="s">
        <v>1351</v>
      </c>
      <c r="V948" s="351" t="s">
        <v>473</v>
      </c>
      <c r="W948" s="338">
        <f>Table6[[#This Row],[Breakdown Time]]*(1/39)</f>
        <v>0.61537749287749288</v>
      </c>
      <c r="X948" s="336" t="s">
        <v>465</v>
      </c>
      <c r="Y948" s="352" t="s">
        <v>132</v>
      </c>
      <c r="Z948" s="105">
        <v>12355</v>
      </c>
      <c r="AA948" s="107">
        <f>IFERROR((Table6[[#This Row],[Paired WTG Generation for loss calculation]]/24)*Table6[[#This Row],[Breakdown Time]],"")</f>
        <v>12354.857002314815</v>
      </c>
      <c r="AB948" s="105" t="s">
        <v>478</v>
      </c>
    </row>
    <row r="949" spans="1:28">
      <c r="A949" s="105">
        <f t="shared" si="14"/>
        <v>948</v>
      </c>
      <c r="B949" s="107">
        <f>YEAR(Table6[[#This Row],[Date]])+IF(MONTH(Table6[[#This Row],[Date]])&gt;=4,1,0)</f>
        <v>2026</v>
      </c>
      <c r="C949" s="105">
        <f>YEAR(Table6[[#This Row],[Date]])</f>
        <v>2025</v>
      </c>
      <c r="D949" s="105" t="s">
        <v>490</v>
      </c>
      <c r="E949" s="119">
        <f>Table6[[#This Row],[Date]]-DAY(Table6[[#This Row],[Date]])+1</f>
        <v>45839</v>
      </c>
      <c r="F949" s="118">
        <v>45847</v>
      </c>
      <c r="G949" s="105" t="s">
        <v>118</v>
      </c>
      <c r="H949" s="39" t="str">
        <f>_xlfn.XLOOKUP(Table6[[#This Row],[Affected WTG]],'Basic Data'!$A:$A,'Basic Data'!$B:$B)</f>
        <v>PWEGPL</v>
      </c>
      <c r="I949" s="39" t="str">
        <f>_xlfn.XLOOKUP(Table6[[#This Row],[Affected WTG]],'Basic Data'!$A:$A,'Basic Data'!$C:$C)</f>
        <v>MSEDCL</v>
      </c>
      <c r="J949" s="345">
        <f>IFERROR(VLOOKUP(Table6[[#This Row],[Affected WTG]],'Basic Data'!$A$3:$E$56,5,0),"")</f>
        <v>2.564102564102564E-2</v>
      </c>
      <c r="K949" s="105">
        <v>2118</v>
      </c>
      <c r="L949" s="39" t="str">
        <f>IFERROR(VLOOKUP(Table6[[#This Row],[Error Code]],'Basic Data'!$T:$U,2,0),"")</f>
        <v>Bus Error - Interbus Failure</v>
      </c>
      <c r="M949" s="346" t="s">
        <v>462</v>
      </c>
      <c r="N949" s="39" t="s">
        <v>1270</v>
      </c>
      <c r="O949" s="347">
        <v>0.4375</v>
      </c>
      <c r="P949" s="347">
        <v>0.46875</v>
      </c>
      <c r="Q949" s="347">
        <v>0.52083333333333337</v>
      </c>
      <c r="R949" s="348">
        <f>IF(Table6[[#This Row],[Work Start TimeStamp]]="","",(Table6[[#This Row],[Work Start TimeStamp]]-Table6[[#This Row],[Fault Start TimeStamp]])*24)</f>
        <v>0.75</v>
      </c>
      <c r="S949" s="349">
        <f>(Table6[[#This Row],[Fault Clearance time]]-Table6[[#This Row],[Work Start TimeStamp]])*24</f>
        <v>1.2500000000000009</v>
      </c>
      <c r="T949" s="350">
        <f>(Table6[[#This Row],[Fault Clearance time]]-Table6[[#This Row],[Fault Start TimeStamp]])*24</f>
        <v>2.0000000000000009</v>
      </c>
      <c r="U949" s="346" t="s">
        <v>1343</v>
      </c>
      <c r="V949" s="351" t="s">
        <v>463</v>
      </c>
      <c r="W949" s="338">
        <f>Table6[[#This Row],[Breakdown Time]]*(1/39)</f>
        <v>5.1282051282051301E-2</v>
      </c>
      <c r="X949" s="336" t="s">
        <v>465</v>
      </c>
      <c r="Y949" s="352" t="s">
        <v>121</v>
      </c>
      <c r="Z949" s="105">
        <v>11467</v>
      </c>
      <c r="AA949" s="107">
        <f>IFERROR((Table6[[#This Row],[Paired WTG Generation for loss calculation]]/24)*Table6[[#This Row],[Breakdown Time]],"")</f>
        <v>955.58333333333383</v>
      </c>
      <c r="AB949" s="105" t="s">
        <v>478</v>
      </c>
    </row>
    <row r="950" spans="1:28">
      <c r="A950" s="105">
        <f t="shared" si="14"/>
        <v>949</v>
      </c>
      <c r="B950" s="107">
        <f>YEAR(Table6[[#This Row],[Date]])+IF(MONTH(Table6[[#This Row],[Date]])&gt;=4,1,0)</f>
        <v>2026</v>
      </c>
      <c r="C950" s="105">
        <f>YEAR(Table6[[#This Row],[Date]])</f>
        <v>2025</v>
      </c>
      <c r="D950" s="105" t="s">
        <v>490</v>
      </c>
      <c r="E950" s="119">
        <f>Table6[[#This Row],[Date]]-DAY(Table6[[#This Row],[Date]])+1</f>
        <v>45839</v>
      </c>
      <c r="F950" s="118">
        <v>45847</v>
      </c>
      <c r="G950" s="105" t="s">
        <v>145</v>
      </c>
      <c r="H950" s="39" t="str">
        <f>_xlfn.XLOOKUP(Table6[[#This Row],[Affected WTG]],'Basic Data'!$A:$A,'Basic Data'!$B:$B)</f>
        <v>PWEGPL</v>
      </c>
      <c r="I950" s="39" t="str">
        <f>_xlfn.XLOOKUP(Table6[[#This Row],[Affected WTG]],'Basic Data'!$A:$A,'Basic Data'!$C:$C)</f>
        <v>MSEDCL</v>
      </c>
      <c r="J950" s="345">
        <f>IFERROR(VLOOKUP(Table6[[#This Row],[Affected WTG]],'Basic Data'!$A$3:$E$56,5,0),"")</f>
        <v>2.564102564102564E-2</v>
      </c>
      <c r="K950" s="105">
        <v>5203</v>
      </c>
      <c r="L950" s="39" t="str">
        <f>IFERROR(VLOOKUP(Table6[[#This Row],[Error Code]],'Basic Data'!$T:$U,2,0),"")</f>
        <v>Heating/Coolant Thermal Magnetic Failure</v>
      </c>
      <c r="M950" s="346" t="s">
        <v>462</v>
      </c>
      <c r="N950" s="39" t="s">
        <v>1270</v>
      </c>
      <c r="O950" s="347">
        <v>0.49027777777777776</v>
      </c>
      <c r="P950" s="347">
        <v>0.50763888888888886</v>
      </c>
      <c r="Q950" s="347">
        <v>0.6694444444444444</v>
      </c>
      <c r="R950" s="348">
        <f>IF(Table6[[#This Row],[Work Start TimeStamp]]="","",(Table6[[#This Row],[Work Start TimeStamp]]-Table6[[#This Row],[Fault Start TimeStamp]])*24)</f>
        <v>0.41666666666666652</v>
      </c>
      <c r="S950" s="349">
        <f>(Table6[[#This Row],[Fault Clearance time]]-Table6[[#This Row],[Work Start TimeStamp]])*24</f>
        <v>3.8833333333333329</v>
      </c>
      <c r="T950" s="350">
        <f>(Table6[[#This Row],[Fault Clearance time]]-Table6[[#This Row],[Fault Start TimeStamp]])*24</f>
        <v>4.2999999999999989</v>
      </c>
      <c r="U950" s="346" t="s">
        <v>1344</v>
      </c>
      <c r="V950" s="351" t="s">
        <v>463</v>
      </c>
      <c r="W950" s="338">
        <f>Table6[[#This Row],[Breakdown Time]]*(1/39)</f>
        <v>0.11025641025641023</v>
      </c>
      <c r="X950" s="336" t="s">
        <v>465</v>
      </c>
      <c r="Y950" s="352" t="s">
        <v>139</v>
      </c>
      <c r="Z950" s="105">
        <v>7490</v>
      </c>
      <c r="AA950" s="107">
        <f>IFERROR((Table6[[#This Row],[Paired WTG Generation for loss calculation]]/24)*Table6[[#This Row],[Breakdown Time]],"")</f>
        <v>1341.958333333333</v>
      </c>
      <c r="AB950" s="105" t="s">
        <v>478</v>
      </c>
    </row>
    <row r="951" spans="1:28">
      <c r="A951" s="105">
        <f t="shared" si="14"/>
        <v>950</v>
      </c>
      <c r="B951" s="107">
        <f>YEAR(Table6[[#This Row],[Date]])+IF(MONTH(Table6[[#This Row],[Date]])&gt;=4,1,0)</f>
        <v>2026</v>
      </c>
      <c r="C951" s="105">
        <f>YEAR(Table6[[#This Row],[Date]])</f>
        <v>2025</v>
      </c>
      <c r="D951" s="105" t="s">
        <v>490</v>
      </c>
      <c r="E951" s="119">
        <f>Table6[[#This Row],[Date]]-DAY(Table6[[#This Row],[Date]])+1</f>
        <v>45839</v>
      </c>
      <c r="F951" s="118">
        <v>45848</v>
      </c>
      <c r="G951" s="105" t="s">
        <v>144</v>
      </c>
      <c r="H951" s="39" t="str">
        <f>_xlfn.XLOOKUP(Table6[[#This Row],[Affected WTG]],'Basic Data'!$A:$A,'Basic Data'!$B:$B)</f>
        <v>PWEGPL</v>
      </c>
      <c r="I951" s="39" t="str">
        <f>_xlfn.XLOOKUP(Table6[[#This Row],[Affected WTG]],'Basic Data'!$A:$A,'Basic Data'!$C:$C)</f>
        <v>MSEDCL</v>
      </c>
      <c r="J951" s="345">
        <f>IFERROR(VLOOKUP(Table6[[#This Row],[Affected WTG]],'Basic Data'!$A$3:$E$56,5,0),"")</f>
        <v>2.564102564102564E-2</v>
      </c>
      <c r="K951" s="105" t="s">
        <v>492</v>
      </c>
      <c r="L951" s="39" t="str">
        <f>IFERROR(VLOOKUP(Table6[[#This Row],[Error Code]],'Basic Data'!$T:$U,2,0),"")</f>
        <v>Manual Stop - Safety Related</v>
      </c>
      <c r="M951" s="346" t="s">
        <v>481</v>
      </c>
      <c r="N951" s="39" t="s">
        <v>1269</v>
      </c>
      <c r="O951" s="347">
        <v>0</v>
      </c>
      <c r="P951" s="347">
        <v>0.99998842592592596</v>
      </c>
      <c r="Q951" s="347">
        <v>0.99998842592592596</v>
      </c>
      <c r="R951" s="348">
        <f>IF(Table6[[#This Row],[Work Start TimeStamp]]="","",(Table6[[#This Row],[Work Start TimeStamp]]-Table6[[#This Row],[Fault Start TimeStamp]])*24)</f>
        <v>23.999722222222225</v>
      </c>
      <c r="S951" s="349">
        <f>(Table6[[#This Row],[Fault Clearance time]]-Table6[[#This Row],[Work Start TimeStamp]])*24</f>
        <v>0</v>
      </c>
      <c r="T951" s="350">
        <f>(Table6[[#This Row],[Fault Clearance time]]-Table6[[#This Row],[Fault Start TimeStamp]])*24</f>
        <v>23.999722222222225</v>
      </c>
      <c r="U951" s="346" t="s">
        <v>498</v>
      </c>
      <c r="V951" s="351" t="s">
        <v>473</v>
      </c>
      <c r="W951" s="338">
        <f>Table6[[#This Row],[Breakdown Time]]*(1/39)</f>
        <v>0.61537749287749288</v>
      </c>
      <c r="X951" s="336" t="s">
        <v>1212</v>
      </c>
      <c r="Y951" s="352" t="s">
        <v>143</v>
      </c>
      <c r="Z951" s="105">
        <v>4510</v>
      </c>
      <c r="AA951" s="107">
        <f>IFERROR((Table6[[#This Row],[Paired WTG Generation for loss calculation]]/24)*Table6[[#This Row],[Breakdown Time]],"")</f>
        <v>4509.9478009259265</v>
      </c>
      <c r="AB951" s="105" t="s">
        <v>478</v>
      </c>
    </row>
    <row r="952" spans="1:28">
      <c r="A952" s="105">
        <f t="shared" si="14"/>
        <v>951</v>
      </c>
      <c r="B952" s="107">
        <f>YEAR(Table6[[#This Row],[Date]])+IF(MONTH(Table6[[#This Row],[Date]])&gt;=4,1,0)</f>
        <v>2026</v>
      </c>
      <c r="C952" s="105">
        <f>YEAR(Table6[[#This Row],[Date]])</f>
        <v>2025</v>
      </c>
      <c r="D952" s="105" t="s">
        <v>490</v>
      </c>
      <c r="E952" s="119">
        <f>Table6[[#This Row],[Date]]-DAY(Table6[[#This Row],[Date]])+1</f>
        <v>45839</v>
      </c>
      <c r="F952" s="118">
        <v>45848</v>
      </c>
      <c r="G952" s="105" t="s">
        <v>142</v>
      </c>
      <c r="H952" s="39" t="str">
        <f>_xlfn.XLOOKUP(Table6[[#This Row],[Affected WTG]],'Basic Data'!$A:$A,'Basic Data'!$B:$B)</f>
        <v>PWEGPL</v>
      </c>
      <c r="I952" s="39" t="str">
        <f>_xlfn.XLOOKUP(Table6[[#This Row],[Affected WTG]],'Basic Data'!$A:$A,'Basic Data'!$C:$C)</f>
        <v>MSEDCL</v>
      </c>
      <c r="J952" s="345">
        <f>IFERROR(VLOOKUP(Table6[[#This Row],[Affected WTG]],'Basic Data'!$A$3:$E$56,5,0),"")</f>
        <v>2.564102564102564E-2</v>
      </c>
      <c r="K952" s="105" t="s">
        <v>492</v>
      </c>
      <c r="L952" s="39" t="str">
        <f>IFERROR(VLOOKUP(Table6[[#This Row],[Error Code]],'Basic Data'!$T:$U,2,0),"")</f>
        <v>Manual Stop - Safety Related</v>
      </c>
      <c r="M952" s="346" t="s">
        <v>481</v>
      </c>
      <c r="N952" s="39" t="s">
        <v>1269</v>
      </c>
      <c r="O952" s="347">
        <v>0</v>
      </c>
      <c r="P952" s="347">
        <v>0.99998842592592596</v>
      </c>
      <c r="Q952" s="347">
        <v>0.99998842592592596</v>
      </c>
      <c r="R952" s="348">
        <f>IF(Table6[[#This Row],[Work Start TimeStamp]]="","",(Table6[[#This Row],[Work Start TimeStamp]]-Table6[[#This Row],[Fault Start TimeStamp]])*24)</f>
        <v>23.999722222222225</v>
      </c>
      <c r="S952" s="349">
        <f>(Table6[[#This Row],[Fault Clearance time]]-Table6[[#This Row],[Work Start TimeStamp]])*24</f>
        <v>0</v>
      </c>
      <c r="T952" s="350">
        <f>(Table6[[#This Row],[Fault Clearance time]]-Table6[[#This Row],[Fault Start TimeStamp]])*24</f>
        <v>23.999722222222225</v>
      </c>
      <c r="U952" s="346" t="s">
        <v>498</v>
      </c>
      <c r="V952" s="351" t="s">
        <v>473</v>
      </c>
      <c r="W952" s="338">
        <f>Table6[[#This Row],[Breakdown Time]]*(1/39)</f>
        <v>0.61537749287749288</v>
      </c>
      <c r="X952" s="336" t="s">
        <v>1212</v>
      </c>
      <c r="Y952" s="352" t="s">
        <v>143</v>
      </c>
      <c r="Z952" s="105">
        <v>4510</v>
      </c>
      <c r="AA952" s="107">
        <f>IFERROR((Table6[[#This Row],[Paired WTG Generation for loss calculation]]/24)*Table6[[#This Row],[Breakdown Time]],"")</f>
        <v>4509.9478009259265</v>
      </c>
      <c r="AB952" s="105" t="s">
        <v>478</v>
      </c>
    </row>
    <row r="953" spans="1:28">
      <c r="A953" s="105">
        <f t="shared" si="14"/>
        <v>952</v>
      </c>
      <c r="B953" s="107">
        <f>YEAR(Table6[[#This Row],[Date]])+IF(MONTH(Table6[[#This Row],[Date]])&gt;=4,1,0)</f>
        <v>2026</v>
      </c>
      <c r="C953" s="105">
        <f>YEAR(Table6[[#This Row],[Date]])</f>
        <v>2025</v>
      </c>
      <c r="D953" s="105" t="s">
        <v>490</v>
      </c>
      <c r="E953" s="119">
        <f>Table6[[#This Row],[Date]]-DAY(Table6[[#This Row],[Date]])+1</f>
        <v>45839</v>
      </c>
      <c r="F953" s="118">
        <v>45848</v>
      </c>
      <c r="G953" s="105" t="s">
        <v>131</v>
      </c>
      <c r="H953" s="39" t="str">
        <f>_xlfn.XLOOKUP(Table6[[#This Row],[Affected WTG]],'Basic Data'!$A:$A,'Basic Data'!$B:$B)</f>
        <v>PWEGPL</v>
      </c>
      <c r="I953" s="39" t="str">
        <f>_xlfn.XLOOKUP(Table6[[#This Row],[Affected WTG]],'Basic Data'!$A:$A,'Basic Data'!$C:$C)</f>
        <v>MSEDCL</v>
      </c>
      <c r="J953" s="345">
        <f>IFERROR(VLOOKUP(Table6[[#This Row],[Affected WTG]],'Basic Data'!$A$3:$E$56,5,0),"")</f>
        <v>2.564102564102564E-2</v>
      </c>
      <c r="K953" s="105">
        <v>5216</v>
      </c>
      <c r="L953" s="39" t="str">
        <f>IFERROR(VLOOKUP(Table6[[#This Row],[Error Code]],'Basic Data'!$T:$U,2,0),"")</f>
        <v>Grid Voltage Failure</v>
      </c>
      <c r="M953" s="346" t="s">
        <v>462</v>
      </c>
      <c r="N953" s="39" t="s">
        <v>1270</v>
      </c>
      <c r="O953" s="347">
        <v>0</v>
      </c>
      <c r="P953" s="347">
        <v>0.99998842592592596</v>
      </c>
      <c r="Q953" s="347">
        <v>0.99998842592592596</v>
      </c>
      <c r="R953" s="348">
        <f>IF(Table6[[#This Row],[Work Start TimeStamp]]="","",(Table6[[#This Row],[Work Start TimeStamp]]-Table6[[#This Row],[Fault Start TimeStamp]])*24)</f>
        <v>23.999722222222225</v>
      </c>
      <c r="S953" s="349">
        <f>(Table6[[#This Row],[Fault Clearance time]]-Table6[[#This Row],[Work Start TimeStamp]])*24</f>
        <v>0</v>
      </c>
      <c r="T953" s="350">
        <f>(Table6[[#This Row],[Fault Clearance time]]-Table6[[#This Row],[Fault Start TimeStamp]])*24</f>
        <v>23.999722222222225</v>
      </c>
      <c r="U953" s="346" t="s">
        <v>1352</v>
      </c>
      <c r="V953" s="351" t="s">
        <v>473</v>
      </c>
      <c r="W953" s="338">
        <f>Table6[[#This Row],[Breakdown Time]]*(1/39)</f>
        <v>0.61537749287749288</v>
      </c>
      <c r="X953" s="336" t="s">
        <v>465</v>
      </c>
      <c r="Y953" s="352" t="s">
        <v>132</v>
      </c>
      <c r="Z953" s="105">
        <v>6420</v>
      </c>
      <c r="AA953" s="107">
        <f>IFERROR((Table6[[#This Row],[Paired WTG Generation for loss calculation]]/24)*Table6[[#This Row],[Breakdown Time]],"")</f>
        <v>6419.9256944444451</v>
      </c>
      <c r="AB953" s="105" t="s">
        <v>478</v>
      </c>
    </row>
    <row r="954" spans="1:28">
      <c r="A954" s="105">
        <f t="shared" si="14"/>
        <v>953</v>
      </c>
      <c r="B954" s="107">
        <f>YEAR(Table6[[#This Row],[Date]])+IF(MONTH(Table6[[#This Row],[Date]])&gt;=4,1,0)</f>
        <v>2026</v>
      </c>
      <c r="C954" s="105">
        <f>YEAR(Table6[[#This Row],[Date]])</f>
        <v>2025</v>
      </c>
      <c r="D954" s="105" t="s">
        <v>490</v>
      </c>
      <c r="E954" s="119">
        <f>Table6[[#This Row],[Date]]-DAY(Table6[[#This Row],[Date]])+1</f>
        <v>45839</v>
      </c>
      <c r="F954" s="118">
        <v>45848</v>
      </c>
      <c r="G954" s="105" t="s">
        <v>139</v>
      </c>
      <c r="H954" s="39" t="str">
        <f>_xlfn.XLOOKUP(Table6[[#This Row],[Affected WTG]],'Basic Data'!$A:$A,'Basic Data'!$B:$B)</f>
        <v>PWEGPL</v>
      </c>
      <c r="I954" s="39" t="str">
        <f>_xlfn.XLOOKUP(Table6[[#This Row],[Affected WTG]],'Basic Data'!$A:$A,'Basic Data'!$C:$C)</f>
        <v>MSEDCL</v>
      </c>
      <c r="J954" s="345">
        <f>IFERROR(VLOOKUP(Table6[[#This Row],[Affected WTG]],'Basic Data'!$A$3:$E$56,5,0),"")</f>
        <v>2.564102564102564E-2</v>
      </c>
      <c r="K954" s="105">
        <v>213</v>
      </c>
      <c r="L954" s="39" t="str">
        <f>IFERROR(VLOOKUP(Table6[[#This Row],[Error Code]],'Basic Data'!$T:$U,2,0),"")</f>
        <v>Hydraulic Pump Protection</v>
      </c>
      <c r="M954" s="346" t="s">
        <v>462</v>
      </c>
      <c r="N954" s="39" t="s">
        <v>1270</v>
      </c>
      <c r="O954" s="347">
        <v>0.43402777777777779</v>
      </c>
      <c r="P954" s="347">
        <v>0.4513888888888889</v>
      </c>
      <c r="Q954" s="347">
        <v>0.50972222222222219</v>
      </c>
      <c r="R954" s="348">
        <f>IF(Table6[[#This Row],[Work Start TimeStamp]]="","",(Table6[[#This Row],[Work Start TimeStamp]]-Table6[[#This Row],[Fault Start TimeStamp]])*24)</f>
        <v>0.41666666666666652</v>
      </c>
      <c r="S954" s="349">
        <f>(Table6[[#This Row],[Fault Clearance time]]-Table6[[#This Row],[Work Start TimeStamp]])*24</f>
        <v>1.399999999999999</v>
      </c>
      <c r="T954" s="350">
        <f>(Table6[[#This Row],[Fault Clearance time]]-Table6[[#This Row],[Fault Start TimeStamp]])*24</f>
        <v>1.8166666666666655</v>
      </c>
      <c r="U954" s="346" t="s">
        <v>1345</v>
      </c>
      <c r="V954" s="351" t="s">
        <v>463</v>
      </c>
      <c r="W954" s="338">
        <f>Table6[[#This Row],[Breakdown Time]]*(1/39)</f>
        <v>4.6581196581196548E-2</v>
      </c>
      <c r="X954" s="336" t="s">
        <v>465</v>
      </c>
      <c r="Y954" s="352" t="s">
        <v>145</v>
      </c>
      <c r="Z954" s="105">
        <v>3520</v>
      </c>
      <c r="AA954" s="107">
        <f>IFERROR((Table6[[#This Row],[Paired WTG Generation for loss calculation]]/24)*Table6[[#This Row],[Breakdown Time]],"")</f>
        <v>266.44444444444429</v>
      </c>
      <c r="AB954" s="105" t="s">
        <v>478</v>
      </c>
    </row>
    <row r="955" spans="1:28">
      <c r="A955" s="105">
        <f t="shared" si="14"/>
        <v>954</v>
      </c>
      <c r="B955" s="107">
        <f>YEAR(Table6[[#This Row],[Date]])+IF(MONTH(Table6[[#This Row],[Date]])&gt;=4,1,0)</f>
        <v>2026</v>
      </c>
      <c r="C955" s="105">
        <f>YEAR(Table6[[#This Row],[Date]])</f>
        <v>2025</v>
      </c>
      <c r="D955" s="105" t="s">
        <v>490</v>
      </c>
      <c r="E955" s="119">
        <f>Table6[[#This Row],[Date]]-DAY(Table6[[#This Row],[Date]])+1</f>
        <v>45839</v>
      </c>
      <c r="F955" s="118">
        <v>45848</v>
      </c>
      <c r="G955" s="105" t="s">
        <v>141</v>
      </c>
      <c r="H955" s="39" t="str">
        <f>_xlfn.XLOOKUP(Table6[[#This Row],[Affected WTG]],'Basic Data'!$A:$A,'Basic Data'!$B:$B)</f>
        <v>PWEGPL</v>
      </c>
      <c r="I955" s="39" t="str">
        <f>_xlfn.XLOOKUP(Table6[[#This Row],[Affected WTG]],'Basic Data'!$A:$A,'Basic Data'!$C:$C)</f>
        <v>MSEDCL</v>
      </c>
      <c r="J955" s="345">
        <f>IFERROR(VLOOKUP(Table6[[#This Row],[Affected WTG]],'Basic Data'!$A$3:$E$56,5,0),"")</f>
        <v>2.564102564102564E-2</v>
      </c>
      <c r="K955" s="105">
        <v>213</v>
      </c>
      <c r="L955" s="39" t="str">
        <f>IFERROR(VLOOKUP(Table6[[#This Row],[Error Code]],'Basic Data'!$T:$U,2,0),"")</f>
        <v>Hydraulic Pump Protection</v>
      </c>
      <c r="M955" s="346" t="s">
        <v>462</v>
      </c>
      <c r="N955" s="39" t="s">
        <v>1270</v>
      </c>
      <c r="O955" s="347">
        <v>0.52638888888888891</v>
      </c>
      <c r="P955" s="347">
        <v>0.54305555555555551</v>
      </c>
      <c r="Q955" s="347">
        <v>0.75694444444444442</v>
      </c>
      <c r="R955" s="348">
        <f>IF(Table6[[#This Row],[Work Start TimeStamp]]="","",(Table6[[#This Row],[Work Start TimeStamp]]-Table6[[#This Row],[Fault Start TimeStamp]])*24)</f>
        <v>0.39999999999999858</v>
      </c>
      <c r="S955" s="349">
        <f>(Table6[[#This Row],[Fault Clearance time]]-Table6[[#This Row],[Work Start TimeStamp]])*24</f>
        <v>5.1333333333333337</v>
      </c>
      <c r="T955" s="350">
        <f>(Table6[[#This Row],[Fault Clearance time]]-Table6[[#This Row],[Fault Start TimeStamp]])*24</f>
        <v>5.5333333333333323</v>
      </c>
      <c r="U955" s="346" t="s">
        <v>1346</v>
      </c>
      <c r="V955" s="351" t="s">
        <v>463</v>
      </c>
      <c r="W955" s="338">
        <f>Table6[[#This Row],[Breakdown Time]]*(1/39)</f>
        <v>0.14188034188034185</v>
      </c>
      <c r="X955" s="336" t="s">
        <v>465</v>
      </c>
      <c r="Y955" s="352" t="s">
        <v>143</v>
      </c>
      <c r="Z955" s="105">
        <v>4510</v>
      </c>
      <c r="AA955" s="107">
        <f>IFERROR((Table6[[#This Row],[Paired WTG Generation for loss calculation]]/24)*Table6[[#This Row],[Breakdown Time]],"")</f>
        <v>1039.8055555555552</v>
      </c>
      <c r="AB955" s="105" t="s">
        <v>478</v>
      </c>
    </row>
    <row r="956" spans="1:28">
      <c r="A956" s="105">
        <f t="shared" si="14"/>
        <v>955</v>
      </c>
      <c r="B956" s="107">
        <f>YEAR(Table6[[#This Row],[Date]])+IF(MONTH(Table6[[#This Row],[Date]])&gt;=4,1,0)</f>
        <v>2026</v>
      </c>
      <c r="C956" s="105">
        <f>YEAR(Table6[[#This Row],[Date]])</f>
        <v>2025</v>
      </c>
      <c r="D956" s="105" t="s">
        <v>490</v>
      </c>
      <c r="E956" s="119">
        <f>Table6[[#This Row],[Date]]-DAY(Table6[[#This Row],[Date]])+1</f>
        <v>45839</v>
      </c>
      <c r="F956" s="118">
        <v>45849</v>
      </c>
      <c r="G956" s="105" t="s">
        <v>144</v>
      </c>
      <c r="H956" s="39" t="str">
        <f>_xlfn.XLOOKUP(Table6[[#This Row],[Affected WTG]],'Basic Data'!$A:$A,'Basic Data'!$B:$B)</f>
        <v>PWEGPL</v>
      </c>
      <c r="I956" s="39" t="str">
        <f>_xlfn.XLOOKUP(Table6[[#This Row],[Affected WTG]],'Basic Data'!$A:$A,'Basic Data'!$C:$C)</f>
        <v>MSEDCL</v>
      </c>
      <c r="J956" s="345">
        <f>IFERROR(VLOOKUP(Table6[[#This Row],[Affected WTG]],'Basic Data'!$A$3:$E$56,5,0),"")</f>
        <v>2.564102564102564E-2</v>
      </c>
      <c r="K956" s="105">
        <v>700</v>
      </c>
      <c r="L956" s="39" t="str">
        <f>IFERROR(VLOOKUP(Table6[[#This Row],[Error Code]],'Basic Data'!$T:$U,2,0),"")</f>
        <v>PLC-Converter Communication Error</v>
      </c>
      <c r="M956" s="346" t="s">
        <v>462</v>
      </c>
      <c r="N956" s="39" t="s">
        <v>1270</v>
      </c>
      <c r="O956" s="347">
        <v>0</v>
      </c>
      <c r="P956" s="347">
        <v>0.99998842592592596</v>
      </c>
      <c r="Q956" s="347">
        <v>0.99998842592592596</v>
      </c>
      <c r="R956" s="348">
        <f>IF(Table6[[#This Row],[Work Start TimeStamp]]="","",(Table6[[#This Row],[Work Start TimeStamp]]-Table6[[#This Row],[Fault Start TimeStamp]])*24)</f>
        <v>23.999722222222225</v>
      </c>
      <c r="S956" s="349">
        <f>(Table6[[#This Row],[Fault Clearance time]]-Table6[[#This Row],[Work Start TimeStamp]])*24</f>
        <v>0</v>
      </c>
      <c r="T956" s="350">
        <f>(Table6[[#This Row],[Fault Clearance time]]-Table6[[#This Row],[Fault Start TimeStamp]])*24</f>
        <v>23.999722222222225</v>
      </c>
      <c r="U956" s="346" t="s">
        <v>1348</v>
      </c>
      <c r="V956" s="351" t="s">
        <v>473</v>
      </c>
      <c r="W956" s="338">
        <f>Table6[[#This Row],[Breakdown Time]]*(1/39)</f>
        <v>0.61537749287749288</v>
      </c>
      <c r="X956" s="336" t="s">
        <v>465</v>
      </c>
      <c r="Y956" s="352" t="s">
        <v>143</v>
      </c>
      <c r="Z956" s="105">
        <v>7600</v>
      </c>
      <c r="AA956" s="107">
        <f>IFERROR((Table6[[#This Row],[Paired WTG Generation for loss calculation]]/24)*Table6[[#This Row],[Breakdown Time]],"")</f>
        <v>7599.9120370370383</v>
      </c>
      <c r="AB956" s="105" t="s">
        <v>1347</v>
      </c>
    </row>
    <row r="957" spans="1:28">
      <c r="A957" s="105">
        <f t="shared" si="14"/>
        <v>956</v>
      </c>
      <c r="B957" s="107">
        <f>YEAR(Table6[[#This Row],[Date]])+IF(MONTH(Table6[[#This Row],[Date]])&gt;=4,1,0)</f>
        <v>2026</v>
      </c>
      <c r="C957" s="105">
        <f>YEAR(Table6[[#This Row],[Date]])</f>
        <v>2025</v>
      </c>
      <c r="D957" s="105" t="s">
        <v>490</v>
      </c>
      <c r="E957" s="119">
        <f>Table6[[#This Row],[Date]]-DAY(Table6[[#This Row],[Date]])+1</f>
        <v>45839</v>
      </c>
      <c r="F957" s="118">
        <v>45849</v>
      </c>
      <c r="G957" s="105" t="s">
        <v>142</v>
      </c>
      <c r="H957" s="39" t="str">
        <f>_xlfn.XLOOKUP(Table6[[#This Row],[Affected WTG]],'Basic Data'!$A:$A,'Basic Data'!$B:$B)</f>
        <v>PWEGPL</v>
      </c>
      <c r="I957" s="39" t="str">
        <f>_xlfn.XLOOKUP(Table6[[#This Row],[Affected WTG]],'Basic Data'!$A:$A,'Basic Data'!$C:$C)</f>
        <v>MSEDCL</v>
      </c>
      <c r="J957" s="345">
        <f>IFERROR(VLOOKUP(Table6[[#This Row],[Affected WTG]],'Basic Data'!$A$3:$E$56,5,0),"")</f>
        <v>2.564102564102564E-2</v>
      </c>
      <c r="K957" s="105" t="s">
        <v>492</v>
      </c>
      <c r="L957" s="39" t="str">
        <f>IFERROR(VLOOKUP(Table6[[#This Row],[Error Code]],'Basic Data'!$T:$U,2,0),"")</f>
        <v>Manual Stop - Safety Related</v>
      </c>
      <c r="M957" s="346" t="s">
        <v>481</v>
      </c>
      <c r="N957" s="39" t="s">
        <v>1269</v>
      </c>
      <c r="O957" s="347">
        <v>0</v>
      </c>
      <c r="P957" s="347">
        <v>0.99998842592592596</v>
      </c>
      <c r="Q957" s="347">
        <v>0.99998842592592596</v>
      </c>
      <c r="R957" s="348">
        <f>IF(Table6[[#This Row],[Work Start TimeStamp]]="","",(Table6[[#This Row],[Work Start TimeStamp]]-Table6[[#This Row],[Fault Start TimeStamp]])*24)</f>
        <v>23.999722222222225</v>
      </c>
      <c r="S957" s="349">
        <f>(Table6[[#This Row],[Fault Clearance time]]-Table6[[#This Row],[Work Start TimeStamp]])*24</f>
        <v>0</v>
      </c>
      <c r="T957" s="350">
        <f>(Table6[[#This Row],[Fault Clearance time]]-Table6[[#This Row],[Fault Start TimeStamp]])*24</f>
        <v>23.999722222222225</v>
      </c>
      <c r="U957" s="346" t="s">
        <v>498</v>
      </c>
      <c r="V957" s="351" t="s">
        <v>473</v>
      </c>
      <c r="W957" s="338">
        <f>Table6[[#This Row],[Breakdown Time]]*(1/39)</f>
        <v>0.61537749287749288</v>
      </c>
      <c r="X957" s="336" t="s">
        <v>1212</v>
      </c>
      <c r="Y957" s="352" t="s">
        <v>143</v>
      </c>
      <c r="Z957" s="105">
        <v>7600</v>
      </c>
      <c r="AA957" s="107">
        <f>IFERROR((Table6[[#This Row],[Paired WTG Generation for loss calculation]]/24)*Table6[[#This Row],[Breakdown Time]],"")</f>
        <v>7599.9120370370383</v>
      </c>
      <c r="AB957" s="105" t="s">
        <v>478</v>
      </c>
    </row>
    <row r="958" spans="1:28">
      <c r="A958" s="105">
        <f t="shared" si="14"/>
        <v>957</v>
      </c>
      <c r="B958" s="107">
        <f>YEAR(Table6[[#This Row],[Date]])+IF(MONTH(Table6[[#This Row],[Date]])&gt;=4,1,0)</f>
        <v>2026</v>
      </c>
      <c r="C958" s="105">
        <f>YEAR(Table6[[#This Row],[Date]])</f>
        <v>2025</v>
      </c>
      <c r="D958" s="105" t="s">
        <v>490</v>
      </c>
      <c r="E958" s="119">
        <f>Table6[[#This Row],[Date]]-DAY(Table6[[#This Row],[Date]])+1</f>
        <v>45839</v>
      </c>
      <c r="F958" s="118">
        <v>45849</v>
      </c>
      <c r="G958" s="105" t="s">
        <v>131</v>
      </c>
      <c r="H958" s="39" t="str">
        <f>_xlfn.XLOOKUP(Table6[[#This Row],[Affected WTG]],'Basic Data'!$A:$A,'Basic Data'!$B:$B)</f>
        <v>PWEGPL</v>
      </c>
      <c r="I958" s="39" t="str">
        <f>_xlfn.XLOOKUP(Table6[[#This Row],[Affected WTG]],'Basic Data'!$A:$A,'Basic Data'!$C:$C)</f>
        <v>MSEDCL</v>
      </c>
      <c r="J958" s="345">
        <f>IFERROR(VLOOKUP(Table6[[#This Row],[Affected WTG]],'Basic Data'!$A$3:$E$56,5,0),"")</f>
        <v>2.564102564102564E-2</v>
      </c>
      <c r="K958" s="105">
        <v>5216</v>
      </c>
      <c r="L958" s="39" t="str">
        <f>IFERROR(VLOOKUP(Table6[[#This Row],[Error Code]],'Basic Data'!$T:$U,2,0),"")</f>
        <v>Grid Voltage Failure</v>
      </c>
      <c r="M958" s="346" t="s">
        <v>462</v>
      </c>
      <c r="N958" s="39" t="s">
        <v>1270</v>
      </c>
      <c r="O958" s="347">
        <v>0</v>
      </c>
      <c r="P958" s="347">
        <v>0.99998842592592596</v>
      </c>
      <c r="Q958" s="347">
        <v>0.99998842592592596</v>
      </c>
      <c r="R958" s="348">
        <f>IF(Table6[[#This Row],[Work Start TimeStamp]]="","",(Table6[[#This Row],[Work Start TimeStamp]]-Table6[[#This Row],[Fault Start TimeStamp]])*24)</f>
        <v>23.999722222222225</v>
      </c>
      <c r="S958" s="349">
        <f>(Table6[[#This Row],[Fault Clearance time]]-Table6[[#This Row],[Work Start TimeStamp]])*24</f>
        <v>0</v>
      </c>
      <c r="T958" s="350">
        <f>(Table6[[#This Row],[Fault Clearance time]]-Table6[[#This Row],[Fault Start TimeStamp]])*24</f>
        <v>23.999722222222225</v>
      </c>
      <c r="U958" s="346" t="s">
        <v>1349</v>
      </c>
      <c r="V958" s="351" t="s">
        <v>473</v>
      </c>
      <c r="W958" s="338">
        <f>Table6[[#This Row],[Breakdown Time]]*(1/39)</f>
        <v>0.61537749287749288</v>
      </c>
      <c r="X958" s="336" t="s">
        <v>465</v>
      </c>
      <c r="Y958" s="352" t="s">
        <v>132</v>
      </c>
      <c r="Z958" s="105">
        <v>11054</v>
      </c>
      <c r="AA958" s="107">
        <f>IFERROR((Table6[[#This Row],[Paired WTG Generation for loss calculation]]/24)*Table6[[#This Row],[Breakdown Time]],"")</f>
        <v>11053.872060185186</v>
      </c>
      <c r="AB958" s="105" t="s">
        <v>1353</v>
      </c>
    </row>
    <row r="959" spans="1:28">
      <c r="A959" s="105">
        <f t="shared" si="14"/>
        <v>958</v>
      </c>
      <c r="B959" s="107">
        <f>YEAR(Table6[[#This Row],[Date]])+IF(MONTH(Table6[[#This Row],[Date]])&gt;=4,1,0)</f>
        <v>2026</v>
      </c>
      <c r="C959" s="105">
        <f>YEAR(Table6[[#This Row],[Date]])</f>
        <v>2025</v>
      </c>
      <c r="D959" s="105" t="s">
        <v>490</v>
      </c>
      <c r="E959" s="119">
        <f>Table6[[#This Row],[Date]]-DAY(Table6[[#This Row],[Date]])+1</f>
        <v>45839</v>
      </c>
      <c r="F959" s="118">
        <v>45849</v>
      </c>
      <c r="G959" s="105" t="s">
        <v>117</v>
      </c>
      <c r="H959" s="39" t="str">
        <f>_xlfn.XLOOKUP(Table6[[#This Row],[Affected WTG]],'Basic Data'!$A:$A,'Basic Data'!$B:$B)</f>
        <v>PWEGPL</v>
      </c>
      <c r="I959" s="39" t="str">
        <f>_xlfn.XLOOKUP(Table6[[#This Row],[Affected WTG]],'Basic Data'!$A:$A,'Basic Data'!$C:$C)</f>
        <v>MSEDCL</v>
      </c>
      <c r="J959" s="345">
        <f>IFERROR(VLOOKUP(Table6[[#This Row],[Affected WTG]],'Basic Data'!$A$3:$E$56,5,0),"")</f>
        <v>2.564102564102564E-2</v>
      </c>
      <c r="K959" s="105" t="s">
        <v>492</v>
      </c>
      <c r="L959" s="39" t="str">
        <f>IFERROR(VLOOKUP(Table6[[#This Row],[Error Code]],'Basic Data'!$T:$U,2,0),"")</f>
        <v>Manual Stop - Safety Related</v>
      </c>
      <c r="M959" s="346" t="s">
        <v>481</v>
      </c>
      <c r="N959" s="39" t="s">
        <v>230</v>
      </c>
      <c r="O959" s="347">
        <v>0.57986111111111116</v>
      </c>
      <c r="P959" s="347">
        <v>0.57986111111111116</v>
      </c>
      <c r="Q959" s="347">
        <v>0.65277777777777779</v>
      </c>
      <c r="R959" s="348">
        <f>IF(Table6[[#This Row],[Work Start TimeStamp]]="","",(Table6[[#This Row],[Work Start TimeStamp]]-Table6[[#This Row],[Fault Start TimeStamp]])*24)</f>
        <v>0</v>
      </c>
      <c r="S959" s="349">
        <f>(Table6[[#This Row],[Fault Clearance time]]-Table6[[#This Row],[Work Start TimeStamp]])*24</f>
        <v>1.7499999999999991</v>
      </c>
      <c r="T959" s="350">
        <f>(Table6[[#This Row],[Fault Clearance time]]-Table6[[#This Row],[Fault Start TimeStamp]])*24</f>
        <v>1.7499999999999991</v>
      </c>
      <c r="U959" s="346" t="s">
        <v>501</v>
      </c>
      <c r="V959" s="351" t="s">
        <v>463</v>
      </c>
      <c r="W959" s="338">
        <f>Table6[[#This Row],[Breakdown Time]]*(1/39)</f>
        <v>4.4871794871794844E-2</v>
      </c>
      <c r="X959" s="336" t="s">
        <v>1212</v>
      </c>
      <c r="Y959" s="352" t="s">
        <v>118</v>
      </c>
      <c r="Z959" s="105">
        <v>10189</v>
      </c>
      <c r="AA959" s="107">
        <f>IFERROR((Table6[[#This Row],[Paired WTG Generation for loss calculation]]/24)*Table6[[#This Row],[Breakdown Time]],"")</f>
        <v>742.94791666666629</v>
      </c>
      <c r="AB959" s="105" t="s">
        <v>478</v>
      </c>
    </row>
    <row r="960" spans="1:28">
      <c r="A960" s="105">
        <f t="shared" si="14"/>
        <v>959</v>
      </c>
      <c r="B960" s="107">
        <f>YEAR(Table6[[#This Row],[Date]])+IF(MONTH(Table6[[#This Row],[Date]])&gt;=4,1,0)</f>
        <v>2026</v>
      </c>
      <c r="C960" s="105">
        <f>YEAR(Table6[[#This Row],[Date]])</f>
        <v>2025</v>
      </c>
      <c r="D960" s="105" t="s">
        <v>490</v>
      </c>
      <c r="E960" s="119">
        <f>Table6[[#This Row],[Date]]-DAY(Table6[[#This Row],[Date]])+1</f>
        <v>45839</v>
      </c>
      <c r="F960" s="118">
        <v>45849</v>
      </c>
      <c r="G960" s="105" t="s">
        <v>115</v>
      </c>
      <c r="H960" s="39" t="str">
        <f>_xlfn.XLOOKUP(Table6[[#This Row],[Affected WTG]],'Basic Data'!$A:$A,'Basic Data'!$B:$B)</f>
        <v>PWEGPL</v>
      </c>
      <c r="I960" s="39" t="str">
        <f>_xlfn.XLOOKUP(Table6[[#This Row],[Affected WTG]],'Basic Data'!$A:$A,'Basic Data'!$C:$C)</f>
        <v>MSEDCL</v>
      </c>
      <c r="J960" s="345">
        <f>IFERROR(VLOOKUP(Table6[[#This Row],[Affected WTG]],'Basic Data'!$A$3:$E$56,5,0),"")</f>
        <v>2.564102564102564E-2</v>
      </c>
      <c r="K960" s="105">
        <v>223</v>
      </c>
      <c r="L960" s="39" t="str">
        <f>IFERROR(VLOOKUP(Table6[[#This Row],[Error Code]],'Basic Data'!$T:$U,2,0),"")</f>
        <v>Very High Temperature Of Hydraulic Unit Oil</v>
      </c>
      <c r="M960" s="346" t="s">
        <v>462</v>
      </c>
      <c r="N960" s="39" t="s">
        <v>1270</v>
      </c>
      <c r="O960" s="347">
        <v>0.39930555555555558</v>
      </c>
      <c r="P960" s="347">
        <v>0.41875000000000001</v>
      </c>
      <c r="Q960" s="347">
        <v>0.4201388888888889</v>
      </c>
      <c r="R960" s="348">
        <f>IF(Table6[[#This Row],[Work Start TimeStamp]]="","",(Table6[[#This Row],[Work Start TimeStamp]]-Table6[[#This Row],[Fault Start TimeStamp]])*24)</f>
        <v>0.46666666666666634</v>
      </c>
      <c r="S960" s="349">
        <f>(Table6[[#This Row],[Fault Clearance time]]-Table6[[#This Row],[Work Start TimeStamp]])*24</f>
        <v>3.3333333333333215E-2</v>
      </c>
      <c r="T960" s="350">
        <f>(Table6[[#This Row],[Fault Clearance time]]-Table6[[#This Row],[Fault Start TimeStamp]])*24</f>
        <v>0.49999999999999956</v>
      </c>
      <c r="U960" s="346" t="s">
        <v>493</v>
      </c>
      <c r="V960" s="351" t="s">
        <v>463</v>
      </c>
      <c r="W960" s="338">
        <f>Table6[[#This Row],[Breakdown Time]]*(1/39)</f>
        <v>1.2820512820512808E-2</v>
      </c>
      <c r="X960" s="336" t="s">
        <v>465</v>
      </c>
      <c r="Y960" s="352" t="s">
        <v>121</v>
      </c>
      <c r="Z960" s="105">
        <v>10840</v>
      </c>
      <c r="AA960" s="107">
        <f>IFERROR((Table6[[#This Row],[Paired WTG Generation for loss calculation]]/24)*Table6[[#This Row],[Breakdown Time]],"")</f>
        <v>225.83333333333314</v>
      </c>
      <c r="AB960" s="105" t="s">
        <v>478</v>
      </c>
    </row>
    <row r="961" spans="1:30">
      <c r="A961" s="105">
        <f t="shared" si="14"/>
        <v>960</v>
      </c>
      <c r="B961" s="371">
        <f>YEAR(Table6[[#This Row],[Date]])+IF(MONTH(Table6[[#This Row],[Date]])&gt;=4,1,0)</f>
        <v>2026</v>
      </c>
      <c r="C961" s="372">
        <f>YEAR(Table6[[#This Row],[Date]])</f>
        <v>2025</v>
      </c>
      <c r="D961" s="105" t="s">
        <v>490</v>
      </c>
      <c r="E961" s="119">
        <f>Table6[[#This Row],[Date]]-DAY(Table6[[#This Row],[Date]])+1</f>
        <v>45839</v>
      </c>
      <c r="F961" s="373">
        <v>45850</v>
      </c>
      <c r="G961" s="105" t="s">
        <v>144</v>
      </c>
      <c r="H961" s="39" t="str">
        <f>_xlfn.XLOOKUP(Table6[[#This Row],[Affected WTG]],'Basic Data'!$A:$A,'Basic Data'!$B:$B)</f>
        <v>PWEGPL</v>
      </c>
      <c r="I961" s="39" t="str">
        <f>_xlfn.XLOOKUP(Table6[[#This Row],[Affected WTG]],'Basic Data'!$A:$A,'Basic Data'!$C:$C)</f>
        <v>MSEDCL</v>
      </c>
      <c r="J961" s="345">
        <f>IFERROR(VLOOKUP(Table6[[#This Row],[Affected WTG]],'Basic Data'!$A$3:$E$56,5,0),"")</f>
        <v>2.564102564102564E-2</v>
      </c>
      <c r="K961" s="105">
        <v>700</v>
      </c>
      <c r="L961" s="39" t="str">
        <f>IFERROR(VLOOKUP(Table6[[#This Row],[Error Code]],'Basic Data'!$T:$U,2,0),"")</f>
        <v>PLC-Converter Communication Error</v>
      </c>
      <c r="M961" s="346" t="s">
        <v>462</v>
      </c>
      <c r="N961" s="39" t="s">
        <v>1270</v>
      </c>
      <c r="O961" s="347">
        <v>0</v>
      </c>
      <c r="P961" s="347">
        <v>0.99998842592592596</v>
      </c>
      <c r="Q961" s="347">
        <v>0.99998842592592596</v>
      </c>
      <c r="R961" s="348">
        <f>IF(Table6[[#This Row],[Work Start TimeStamp]]="","",(Table6[[#This Row],[Work Start TimeStamp]]-Table6[[#This Row],[Fault Start TimeStamp]])*24)</f>
        <v>23.999722222222225</v>
      </c>
      <c r="S961" s="349">
        <f>(Table6[[#This Row],[Fault Clearance time]]-Table6[[#This Row],[Work Start TimeStamp]])*24</f>
        <v>0</v>
      </c>
      <c r="T961" s="350">
        <f>(Table6[[#This Row],[Fault Clearance time]]-Table6[[#This Row],[Fault Start TimeStamp]])*24</f>
        <v>23.999722222222225</v>
      </c>
      <c r="U961" s="346" t="s">
        <v>1348</v>
      </c>
      <c r="V961" s="351" t="s">
        <v>473</v>
      </c>
      <c r="W961" s="375">
        <f>Table6[[#This Row],[Breakdown Time]]*(1/39)</f>
        <v>0.61537749287749288</v>
      </c>
      <c r="X961" s="336" t="s">
        <v>465</v>
      </c>
      <c r="Y961" s="352" t="s">
        <v>143</v>
      </c>
      <c r="Z961" s="105">
        <v>10001</v>
      </c>
      <c r="AA961" s="107">
        <f>IFERROR((Table6[[#This Row],[Paired WTG Generation for loss calculation]]/24)*Table6[[#This Row],[Breakdown Time]],"")</f>
        <v>10000.884247685186</v>
      </c>
      <c r="AB961" s="105" t="s">
        <v>1347</v>
      </c>
      <c r="AC961" s="105"/>
      <c r="AD961" s="105"/>
    </row>
    <row r="962" spans="1:30">
      <c r="A962" s="105">
        <f t="shared" si="14"/>
        <v>961</v>
      </c>
      <c r="B962" s="371">
        <f>YEAR(Table6[[#This Row],[Date]])+IF(MONTH(Table6[[#This Row],[Date]])&gt;=4,1,0)</f>
        <v>2026</v>
      </c>
      <c r="C962" s="372">
        <f>YEAR(Table6[[#This Row],[Date]])</f>
        <v>2025</v>
      </c>
      <c r="D962" s="105" t="s">
        <v>490</v>
      </c>
      <c r="E962" s="119">
        <f>Table6[[#This Row],[Date]]-DAY(Table6[[#This Row],[Date]])+1</f>
        <v>45839</v>
      </c>
      <c r="F962" s="373">
        <v>45850</v>
      </c>
      <c r="G962" s="105" t="s">
        <v>142</v>
      </c>
      <c r="H962" s="39" t="str">
        <f>_xlfn.XLOOKUP(Table6[[#This Row],[Affected WTG]],'Basic Data'!$A:$A,'Basic Data'!$B:$B)</f>
        <v>PWEGPL</v>
      </c>
      <c r="I962" s="39" t="str">
        <f>_xlfn.XLOOKUP(Table6[[#This Row],[Affected WTG]],'Basic Data'!$A:$A,'Basic Data'!$C:$C)</f>
        <v>MSEDCL</v>
      </c>
      <c r="J962" s="345">
        <f>IFERROR(VLOOKUP(Table6[[#This Row],[Affected WTG]],'Basic Data'!$A$3:$E$56,5,0),"")</f>
        <v>2.564102564102564E-2</v>
      </c>
      <c r="K962" s="105" t="s">
        <v>492</v>
      </c>
      <c r="L962" s="39" t="str">
        <f>IFERROR(VLOOKUP(Table6[[#This Row],[Error Code]],'Basic Data'!$T:$U,2,0),"")</f>
        <v>Manual Stop - Safety Related</v>
      </c>
      <c r="M962" s="346" t="s">
        <v>481</v>
      </c>
      <c r="N962" s="39" t="s">
        <v>1269</v>
      </c>
      <c r="O962" s="347">
        <v>0</v>
      </c>
      <c r="P962" s="347">
        <v>0.99998842592592596</v>
      </c>
      <c r="Q962" s="347">
        <v>0.99998842592592596</v>
      </c>
      <c r="R962" s="348">
        <f>IF(Table6[[#This Row],[Work Start TimeStamp]]="","",(Table6[[#This Row],[Work Start TimeStamp]]-Table6[[#This Row],[Fault Start TimeStamp]])*24)</f>
        <v>23.999722222222225</v>
      </c>
      <c r="S962" s="349">
        <f>(Table6[[#This Row],[Fault Clearance time]]-Table6[[#This Row],[Work Start TimeStamp]])*24</f>
        <v>0</v>
      </c>
      <c r="T962" s="350">
        <f>(Table6[[#This Row],[Fault Clearance time]]-Table6[[#This Row],[Fault Start TimeStamp]])*24</f>
        <v>23.999722222222225</v>
      </c>
      <c r="U962" s="346" t="s">
        <v>498</v>
      </c>
      <c r="V962" s="351" t="s">
        <v>473</v>
      </c>
      <c r="W962" s="375">
        <f>Table6[[#This Row],[Breakdown Time]]*(1/39)</f>
        <v>0.61537749287749288</v>
      </c>
      <c r="X962" s="336" t="s">
        <v>1212</v>
      </c>
      <c r="Y962" s="352" t="s">
        <v>143</v>
      </c>
      <c r="Z962" s="105">
        <v>10001</v>
      </c>
      <c r="AA962" s="107">
        <f>IFERROR((Table6[[#This Row],[Paired WTG Generation for loss calculation]]/24)*Table6[[#This Row],[Breakdown Time]],"")</f>
        <v>10000.884247685186</v>
      </c>
      <c r="AB962" s="105" t="s">
        <v>478</v>
      </c>
      <c r="AC962" s="105"/>
      <c r="AD962" s="105"/>
    </row>
    <row r="963" spans="1:30">
      <c r="A963" s="105">
        <f t="shared" si="14"/>
        <v>962</v>
      </c>
      <c r="B963" s="371">
        <f>YEAR(Table6[[#This Row],[Date]])+IF(MONTH(Table6[[#This Row],[Date]])&gt;=4,1,0)</f>
        <v>2026</v>
      </c>
      <c r="C963" s="372">
        <f>YEAR(Table6[[#This Row],[Date]])</f>
        <v>2025</v>
      </c>
      <c r="D963" s="105" t="s">
        <v>490</v>
      </c>
      <c r="E963" s="119">
        <f>Table6[[#This Row],[Date]]-DAY(Table6[[#This Row],[Date]])+1</f>
        <v>45839</v>
      </c>
      <c r="F963" s="373">
        <v>45850</v>
      </c>
      <c r="G963" s="105" t="s">
        <v>131</v>
      </c>
      <c r="H963" s="39" t="str">
        <f>_xlfn.XLOOKUP(Table6[[#This Row],[Affected WTG]],'Basic Data'!$A:$A,'Basic Data'!$B:$B)</f>
        <v>PWEGPL</v>
      </c>
      <c r="I963" s="39" t="str">
        <f>_xlfn.XLOOKUP(Table6[[#This Row],[Affected WTG]],'Basic Data'!$A:$A,'Basic Data'!$C:$C)</f>
        <v>MSEDCL</v>
      </c>
      <c r="J963" s="345">
        <f>IFERROR(VLOOKUP(Table6[[#This Row],[Affected WTG]],'Basic Data'!$A$3:$E$56,5,0),"")</f>
        <v>2.564102564102564E-2</v>
      </c>
      <c r="K963" s="105">
        <v>5216</v>
      </c>
      <c r="L963" s="39" t="str">
        <f>IFERROR(VLOOKUP(Table6[[#This Row],[Error Code]],'Basic Data'!$T:$U,2,0),"")</f>
        <v>Grid Voltage Failure</v>
      </c>
      <c r="M963" s="346" t="s">
        <v>462</v>
      </c>
      <c r="N963" s="39" t="s">
        <v>1270</v>
      </c>
      <c r="O963" s="347">
        <v>0</v>
      </c>
      <c r="P963" s="347">
        <v>0.99998842592592596</v>
      </c>
      <c r="Q963" s="347">
        <v>0.99998842592592596</v>
      </c>
      <c r="R963" s="348">
        <f>IF(Table6[[#This Row],[Work Start TimeStamp]]="","",(Table6[[#This Row],[Work Start TimeStamp]]-Table6[[#This Row],[Fault Start TimeStamp]])*24)</f>
        <v>23.999722222222225</v>
      </c>
      <c r="S963" s="349">
        <f>(Table6[[#This Row],[Fault Clearance time]]-Table6[[#This Row],[Work Start TimeStamp]])*24</f>
        <v>0</v>
      </c>
      <c r="T963" s="350">
        <f>(Table6[[#This Row],[Fault Clearance time]]-Table6[[#This Row],[Fault Start TimeStamp]])*24</f>
        <v>23.999722222222225</v>
      </c>
      <c r="U963" s="346" t="s">
        <v>1354</v>
      </c>
      <c r="V963" s="351" t="s">
        <v>473</v>
      </c>
      <c r="W963" s="375">
        <f>Table6[[#This Row],[Breakdown Time]]*(1/39)</f>
        <v>0.61537749287749288</v>
      </c>
      <c r="X963" s="336" t="s">
        <v>465</v>
      </c>
      <c r="Y963" s="352" t="s">
        <v>132</v>
      </c>
      <c r="Z963" s="105">
        <v>13102</v>
      </c>
      <c r="AA963" s="107">
        <f>IFERROR((Table6[[#This Row],[Paired WTG Generation for loss calculation]]/24)*Table6[[#This Row],[Breakdown Time]],"")</f>
        <v>13101.848356481481</v>
      </c>
      <c r="AB963" s="105" t="s">
        <v>1353</v>
      </c>
      <c r="AC963" s="105"/>
      <c r="AD963" s="105"/>
    </row>
    <row r="964" spans="1:30">
      <c r="A964" s="105">
        <f t="shared" si="14"/>
        <v>963</v>
      </c>
      <c r="B964" s="371">
        <f>YEAR(Table6[[#This Row],[Date]])+IF(MONTH(Table6[[#This Row],[Date]])&gt;=4,1,0)</f>
        <v>2026</v>
      </c>
      <c r="C964" s="372">
        <f>YEAR(Table6[[#This Row],[Date]])</f>
        <v>2025</v>
      </c>
      <c r="D964" s="105" t="s">
        <v>490</v>
      </c>
      <c r="E964" s="119">
        <f>Table6[[#This Row],[Date]]-DAY(Table6[[#This Row],[Date]])+1</f>
        <v>45839</v>
      </c>
      <c r="F964" s="373">
        <v>45850</v>
      </c>
      <c r="G964" s="374" t="s">
        <v>128</v>
      </c>
      <c r="H964" s="39" t="str">
        <f>_xlfn.XLOOKUP(Table6[[#This Row],[Affected WTG]],'Basic Data'!$A:$A,'Basic Data'!$B:$B)</f>
        <v>PWEGPL</v>
      </c>
      <c r="I964" s="39" t="str">
        <f>_xlfn.XLOOKUP(Table6[[#This Row],[Affected WTG]],'Basic Data'!$A:$A,'Basic Data'!$C:$C)</f>
        <v>MSEDCL</v>
      </c>
      <c r="J964" s="345">
        <f>IFERROR(VLOOKUP(Table6[[#This Row],[Affected WTG]],'Basic Data'!$A$3:$E$56,5,0),"")</f>
        <v>2.564102564102564E-2</v>
      </c>
      <c r="K964" s="105">
        <v>205</v>
      </c>
      <c r="L964" s="39" t="str">
        <f>IFERROR(VLOOKUP(Table6[[#This Row],[Error Code]],'Basic Data'!$T:$U,2,0),"")</f>
        <v>Low Level Hydraulic Group Refrigeration Oil</v>
      </c>
      <c r="M964" s="346" t="s">
        <v>462</v>
      </c>
      <c r="N964" s="39" t="s">
        <v>1270</v>
      </c>
      <c r="O964" s="347">
        <v>0.40138888888888891</v>
      </c>
      <c r="P964" s="347">
        <v>0.4201388888888889</v>
      </c>
      <c r="Q964" s="347">
        <v>0.51180555555555551</v>
      </c>
      <c r="R964" s="348">
        <f>IF(Table6[[#This Row],[Work Start TimeStamp]]="","",(Table6[[#This Row],[Work Start TimeStamp]]-Table6[[#This Row],[Fault Start TimeStamp]])*24)</f>
        <v>0.44999999999999973</v>
      </c>
      <c r="S964" s="349">
        <f>(Table6[[#This Row],[Fault Clearance time]]-Table6[[#This Row],[Work Start TimeStamp]])*24</f>
        <v>2.1999999999999988</v>
      </c>
      <c r="T964" s="350">
        <f>(Table6[[#This Row],[Fault Clearance time]]-Table6[[#This Row],[Fault Start TimeStamp]])*24</f>
        <v>2.6499999999999986</v>
      </c>
      <c r="U964" s="346" t="s">
        <v>1355</v>
      </c>
      <c r="V964" s="351" t="s">
        <v>463</v>
      </c>
      <c r="W964" s="375">
        <f>Table6[[#This Row],[Breakdown Time]]*(1/39)</f>
        <v>6.7948717948717915E-2</v>
      </c>
      <c r="X964" s="336" t="s">
        <v>465</v>
      </c>
      <c r="Y964" s="352" t="s">
        <v>129</v>
      </c>
      <c r="Z964" s="105">
        <v>13125</v>
      </c>
      <c r="AA964" s="107">
        <f>IFERROR((Table6[[#This Row],[Paired WTG Generation for loss calculation]]/24)*Table6[[#This Row],[Breakdown Time]],"")</f>
        <v>1449.2187499999993</v>
      </c>
      <c r="AB964" s="107" t="s">
        <v>478</v>
      </c>
      <c r="AC964" s="105"/>
      <c r="AD964" s="105"/>
    </row>
    <row r="965" spans="1:30">
      <c r="A965" s="105">
        <f t="shared" ref="A965:A1028" si="15">A964+1</f>
        <v>964</v>
      </c>
      <c r="B965" s="371">
        <f>YEAR(Table6[[#This Row],[Date]])+IF(MONTH(Table6[[#This Row],[Date]])&gt;=4,1,0)</f>
        <v>2026</v>
      </c>
      <c r="C965" s="372">
        <f>YEAR(Table6[[#This Row],[Date]])</f>
        <v>2025</v>
      </c>
      <c r="D965" s="105" t="s">
        <v>490</v>
      </c>
      <c r="E965" s="119">
        <f>Table6[[#This Row],[Date]]-DAY(Table6[[#This Row],[Date]])+1</f>
        <v>45839</v>
      </c>
      <c r="F965" s="373">
        <v>45850</v>
      </c>
      <c r="G965" s="374" t="s">
        <v>141</v>
      </c>
      <c r="H965" s="39" t="str">
        <f>_xlfn.XLOOKUP(Table6[[#This Row],[Affected WTG]],'Basic Data'!$A:$A,'Basic Data'!$B:$B)</f>
        <v>PWEGPL</v>
      </c>
      <c r="I965" s="39" t="str">
        <f>_xlfn.XLOOKUP(Table6[[#This Row],[Affected WTG]],'Basic Data'!$A:$A,'Basic Data'!$C:$C)</f>
        <v>MSEDCL</v>
      </c>
      <c r="J965" s="345">
        <f>IFERROR(VLOOKUP(Table6[[#This Row],[Affected WTG]],'Basic Data'!$A$3:$E$56,5,0),"")</f>
        <v>2.564102564102564E-2</v>
      </c>
      <c r="K965" s="105">
        <v>208</v>
      </c>
      <c r="L965" s="39" t="str">
        <f>IFERROR(VLOOKUP(Table6[[#This Row],[Error Code]],'Basic Data'!$T:$U,2,0),"")</f>
        <v>HU Pump Drive Failure</v>
      </c>
      <c r="M965" s="346" t="s">
        <v>462</v>
      </c>
      <c r="N965" s="39" t="s">
        <v>1270</v>
      </c>
      <c r="O965" s="347">
        <v>0.44027777777777777</v>
      </c>
      <c r="P965" s="347">
        <v>0.4777777777777778</v>
      </c>
      <c r="Q965" s="347">
        <v>0.50069444444444444</v>
      </c>
      <c r="R965" s="348">
        <f>IF(Table6[[#This Row],[Work Start TimeStamp]]="","",(Table6[[#This Row],[Work Start TimeStamp]]-Table6[[#This Row],[Fault Start TimeStamp]])*24)</f>
        <v>0.9000000000000008</v>
      </c>
      <c r="S965" s="349">
        <f>(Table6[[#This Row],[Fault Clearance time]]-Table6[[#This Row],[Work Start TimeStamp]])*24</f>
        <v>0.54999999999999938</v>
      </c>
      <c r="T965" s="350">
        <f>(Table6[[#This Row],[Fault Clearance time]]-Table6[[#This Row],[Fault Start TimeStamp]])*24</f>
        <v>1.4500000000000002</v>
      </c>
      <c r="U965" s="346" t="s">
        <v>1356</v>
      </c>
      <c r="V965" s="351" t="s">
        <v>463</v>
      </c>
      <c r="W965" s="375">
        <f>Table6[[#This Row],[Breakdown Time]]*(1/39)</f>
        <v>3.7179487179487186E-2</v>
      </c>
      <c r="X965" s="336" t="s">
        <v>465</v>
      </c>
      <c r="Y965" s="352" t="s">
        <v>143</v>
      </c>
      <c r="Z965" s="105">
        <v>10001</v>
      </c>
      <c r="AA965" s="107">
        <f>IFERROR((Table6[[#This Row],[Paired WTG Generation for loss calculation]]/24)*Table6[[#This Row],[Breakdown Time]],"")</f>
        <v>604.22708333333333</v>
      </c>
      <c r="AB965" s="107" t="s">
        <v>478</v>
      </c>
      <c r="AC965" s="105"/>
      <c r="AD965" s="105"/>
    </row>
    <row r="966" spans="1:30">
      <c r="A966" s="105">
        <f t="shared" si="15"/>
        <v>965</v>
      </c>
      <c r="B966" s="371">
        <f>YEAR(Table6[[#This Row],[Date]])+IF(MONTH(Table6[[#This Row],[Date]])&gt;=4,1,0)</f>
        <v>2026</v>
      </c>
      <c r="C966" s="372">
        <f>YEAR(Table6[[#This Row],[Date]])</f>
        <v>2025</v>
      </c>
      <c r="D966" s="105" t="s">
        <v>490</v>
      </c>
      <c r="E966" s="119">
        <f>Table6[[#This Row],[Date]]-DAY(Table6[[#This Row],[Date]])+1</f>
        <v>45839</v>
      </c>
      <c r="F966" s="373">
        <v>45850</v>
      </c>
      <c r="G966" s="374" t="s">
        <v>145</v>
      </c>
      <c r="H966" s="39" t="str">
        <f>_xlfn.XLOOKUP(Table6[[#This Row],[Affected WTG]],'Basic Data'!$A:$A,'Basic Data'!$B:$B)</f>
        <v>PWEGPL</v>
      </c>
      <c r="I966" s="39" t="str">
        <f>_xlfn.XLOOKUP(Table6[[#This Row],[Affected WTG]],'Basic Data'!$A:$A,'Basic Data'!$C:$C)</f>
        <v>MSEDCL</v>
      </c>
      <c r="J966" s="345">
        <f>IFERROR(VLOOKUP(Table6[[#This Row],[Affected WTG]],'Basic Data'!$A$3:$E$56,5,0),"")</f>
        <v>2.564102564102564E-2</v>
      </c>
      <c r="K966" s="105">
        <v>5203</v>
      </c>
      <c r="L966" s="39" t="str">
        <f>IFERROR(VLOOKUP(Table6[[#This Row],[Error Code]],'Basic Data'!$T:$U,2,0),"")</f>
        <v>Heating/Coolant Thermal Magnetic Failure</v>
      </c>
      <c r="M966" s="346" t="s">
        <v>462</v>
      </c>
      <c r="N966" s="39" t="s">
        <v>1270</v>
      </c>
      <c r="O966" s="347">
        <v>0.39583333333333331</v>
      </c>
      <c r="P966" s="347">
        <v>0.44236111111111109</v>
      </c>
      <c r="Q966" s="347">
        <v>0.50972222222222219</v>
      </c>
      <c r="R966" s="348">
        <f>IF(Table6[[#This Row],[Work Start TimeStamp]]="","",(Table6[[#This Row],[Work Start TimeStamp]]-Table6[[#This Row],[Fault Start TimeStamp]])*24)</f>
        <v>1.1166666666666667</v>
      </c>
      <c r="S966" s="349">
        <f>(Table6[[#This Row],[Fault Clearance time]]-Table6[[#This Row],[Work Start TimeStamp]])*24</f>
        <v>1.6166666666666663</v>
      </c>
      <c r="T966" s="350">
        <f>(Table6[[#This Row],[Fault Clearance time]]-Table6[[#This Row],[Fault Start TimeStamp]])*24</f>
        <v>2.7333333333333329</v>
      </c>
      <c r="U966" s="346" t="s">
        <v>1357</v>
      </c>
      <c r="V966" s="351" t="s">
        <v>463</v>
      </c>
      <c r="W966" s="375">
        <f>Table6[[#This Row],[Breakdown Time]]*(1/39)</f>
        <v>7.0085470085470072E-2</v>
      </c>
      <c r="X966" s="336" t="s">
        <v>465</v>
      </c>
      <c r="Y966" s="352" t="s">
        <v>139</v>
      </c>
      <c r="Z966" s="105">
        <v>8688</v>
      </c>
      <c r="AA966" s="107">
        <f>IFERROR((Table6[[#This Row],[Paired WTG Generation for loss calculation]]/24)*Table6[[#This Row],[Breakdown Time]],"")</f>
        <v>989.46666666666658</v>
      </c>
      <c r="AB966" s="107" t="s">
        <v>478</v>
      </c>
      <c r="AC966" s="105"/>
      <c r="AD966" s="105"/>
    </row>
    <row r="967" spans="1:30">
      <c r="A967" s="105">
        <f t="shared" si="15"/>
        <v>966</v>
      </c>
      <c r="B967" s="371">
        <f>YEAR(Table6[[#This Row],[Date]])+IF(MONTH(Table6[[#This Row],[Date]])&gt;=4,1,0)</f>
        <v>2026</v>
      </c>
      <c r="C967" s="372">
        <f>YEAR(Table6[[#This Row],[Date]])</f>
        <v>2025</v>
      </c>
      <c r="D967" s="105" t="s">
        <v>490</v>
      </c>
      <c r="E967" s="119">
        <f>Table6[[#This Row],[Date]]-DAY(Table6[[#This Row],[Date]])+1</f>
        <v>45839</v>
      </c>
      <c r="F967" s="373">
        <v>45851</v>
      </c>
      <c r="G967" s="105" t="s">
        <v>144</v>
      </c>
      <c r="H967" s="39" t="str">
        <f>_xlfn.XLOOKUP(Table6[[#This Row],[Affected WTG]],'Basic Data'!$A:$A,'Basic Data'!$B:$B)</f>
        <v>PWEGPL</v>
      </c>
      <c r="I967" s="39" t="str">
        <f>_xlfn.XLOOKUP(Table6[[#This Row],[Affected WTG]],'Basic Data'!$A:$A,'Basic Data'!$C:$C)</f>
        <v>MSEDCL</v>
      </c>
      <c r="J967" s="345">
        <f>IFERROR(VLOOKUP(Table6[[#This Row],[Affected WTG]],'Basic Data'!$A$3:$E$56,5,0),"")</f>
        <v>2.564102564102564E-2</v>
      </c>
      <c r="K967" s="105">
        <v>700</v>
      </c>
      <c r="L967" s="39" t="str">
        <f>IFERROR(VLOOKUP(Table6[[#This Row],[Error Code]],'Basic Data'!$T:$U,2,0),"")</f>
        <v>PLC-Converter Communication Error</v>
      </c>
      <c r="M967" s="346" t="s">
        <v>462</v>
      </c>
      <c r="N967" s="39" t="s">
        <v>1270</v>
      </c>
      <c r="O967" s="347">
        <v>0</v>
      </c>
      <c r="P967" s="347">
        <v>0.99998842592592596</v>
      </c>
      <c r="Q967" s="347">
        <v>0.99998842592592596</v>
      </c>
      <c r="R967" s="348">
        <f>IF(Table6[[#This Row],[Work Start TimeStamp]]="","",(Table6[[#This Row],[Work Start TimeStamp]]-Table6[[#This Row],[Fault Start TimeStamp]])*24)</f>
        <v>23.999722222222225</v>
      </c>
      <c r="S967" s="349">
        <f>(Table6[[#This Row],[Fault Clearance time]]-Table6[[#This Row],[Work Start TimeStamp]])*24</f>
        <v>0</v>
      </c>
      <c r="T967" s="350">
        <f>(Table6[[#This Row],[Fault Clearance time]]-Table6[[#This Row],[Fault Start TimeStamp]])*24</f>
        <v>23.999722222222225</v>
      </c>
      <c r="U967" s="346" t="s">
        <v>1348</v>
      </c>
      <c r="V967" s="351" t="s">
        <v>473</v>
      </c>
      <c r="W967" s="375">
        <f>Table6[[#This Row],[Breakdown Time]]*(1/39)</f>
        <v>0.61537749287749288</v>
      </c>
      <c r="X967" s="336" t="s">
        <v>465</v>
      </c>
      <c r="Y967" s="352" t="s">
        <v>143</v>
      </c>
      <c r="Z967" s="105">
        <v>12111</v>
      </c>
      <c r="AA967" s="107">
        <f>IFERROR((Table6[[#This Row],[Paired WTG Generation for loss calculation]]/24)*Table6[[#This Row],[Breakdown Time]],"")</f>
        <v>12110.859826388891</v>
      </c>
      <c r="AB967" s="105" t="s">
        <v>1347</v>
      </c>
      <c r="AC967" s="105"/>
      <c r="AD967" s="105"/>
    </row>
    <row r="968" spans="1:30">
      <c r="A968" s="105">
        <f t="shared" si="15"/>
        <v>967</v>
      </c>
      <c r="B968" s="371">
        <f>YEAR(Table6[[#This Row],[Date]])+IF(MONTH(Table6[[#This Row],[Date]])&gt;=4,1,0)</f>
        <v>2026</v>
      </c>
      <c r="C968" s="372">
        <f>YEAR(Table6[[#This Row],[Date]])</f>
        <v>2025</v>
      </c>
      <c r="D968" s="105" t="s">
        <v>490</v>
      </c>
      <c r="E968" s="119">
        <f>Table6[[#This Row],[Date]]-DAY(Table6[[#This Row],[Date]])+1</f>
        <v>45839</v>
      </c>
      <c r="F968" s="373">
        <v>45851</v>
      </c>
      <c r="G968" s="105" t="s">
        <v>142</v>
      </c>
      <c r="H968" s="39" t="str">
        <f>_xlfn.XLOOKUP(Table6[[#This Row],[Affected WTG]],'Basic Data'!$A:$A,'Basic Data'!$B:$B)</f>
        <v>PWEGPL</v>
      </c>
      <c r="I968" s="39" t="str">
        <f>_xlfn.XLOOKUP(Table6[[#This Row],[Affected WTG]],'Basic Data'!$A:$A,'Basic Data'!$C:$C)</f>
        <v>MSEDCL</v>
      </c>
      <c r="J968" s="345">
        <f>IFERROR(VLOOKUP(Table6[[#This Row],[Affected WTG]],'Basic Data'!$A$3:$E$56,5,0),"")</f>
        <v>2.564102564102564E-2</v>
      </c>
      <c r="K968" s="105" t="s">
        <v>492</v>
      </c>
      <c r="L968" s="39" t="str">
        <f>IFERROR(VLOOKUP(Table6[[#This Row],[Error Code]],'Basic Data'!$T:$U,2,0),"")</f>
        <v>Manual Stop - Safety Related</v>
      </c>
      <c r="M968" s="346" t="s">
        <v>481</v>
      </c>
      <c r="N968" s="39" t="s">
        <v>1269</v>
      </c>
      <c r="O968" s="347">
        <v>0</v>
      </c>
      <c r="P968" s="347">
        <v>0.99998842592592596</v>
      </c>
      <c r="Q968" s="347">
        <v>0.99998842592592596</v>
      </c>
      <c r="R968" s="348">
        <f>IF(Table6[[#This Row],[Work Start TimeStamp]]="","",(Table6[[#This Row],[Work Start TimeStamp]]-Table6[[#This Row],[Fault Start TimeStamp]])*24)</f>
        <v>23.999722222222225</v>
      </c>
      <c r="S968" s="349">
        <f>(Table6[[#This Row],[Fault Clearance time]]-Table6[[#This Row],[Work Start TimeStamp]])*24</f>
        <v>0</v>
      </c>
      <c r="T968" s="350">
        <f>(Table6[[#This Row],[Fault Clearance time]]-Table6[[#This Row],[Fault Start TimeStamp]])*24</f>
        <v>23.999722222222225</v>
      </c>
      <c r="U968" s="346" t="s">
        <v>498</v>
      </c>
      <c r="V968" s="351" t="s">
        <v>473</v>
      </c>
      <c r="W968" s="375">
        <f>Table6[[#This Row],[Breakdown Time]]*(1/39)</f>
        <v>0.61537749287749288</v>
      </c>
      <c r="X968" s="336" t="s">
        <v>1212</v>
      </c>
      <c r="Y968" s="352" t="s">
        <v>143</v>
      </c>
      <c r="Z968" s="105">
        <v>12111</v>
      </c>
      <c r="AA968" s="107">
        <f>IFERROR((Table6[[#This Row],[Paired WTG Generation for loss calculation]]/24)*Table6[[#This Row],[Breakdown Time]],"")</f>
        <v>12110.859826388891</v>
      </c>
      <c r="AB968" s="105" t="s">
        <v>478</v>
      </c>
      <c r="AC968" s="105"/>
      <c r="AD968" s="105"/>
    </row>
    <row r="969" spans="1:30">
      <c r="A969" s="105">
        <f t="shared" si="15"/>
        <v>968</v>
      </c>
      <c r="B969" s="371">
        <f>YEAR(Table6[[#This Row],[Date]])+IF(MONTH(Table6[[#This Row],[Date]])&gt;=4,1,0)</f>
        <v>2026</v>
      </c>
      <c r="C969" s="372">
        <f>YEAR(Table6[[#This Row],[Date]])</f>
        <v>2025</v>
      </c>
      <c r="D969" s="105" t="s">
        <v>490</v>
      </c>
      <c r="E969" s="119">
        <f>Table6[[#This Row],[Date]]-DAY(Table6[[#This Row],[Date]])+1</f>
        <v>45839</v>
      </c>
      <c r="F969" s="373">
        <v>45851</v>
      </c>
      <c r="G969" s="105" t="s">
        <v>131</v>
      </c>
      <c r="H969" s="39" t="str">
        <f>_xlfn.XLOOKUP(Table6[[#This Row],[Affected WTG]],'Basic Data'!$A:$A,'Basic Data'!$B:$B)</f>
        <v>PWEGPL</v>
      </c>
      <c r="I969" s="39" t="str">
        <f>_xlfn.XLOOKUP(Table6[[#This Row],[Affected WTG]],'Basic Data'!$A:$A,'Basic Data'!$C:$C)</f>
        <v>MSEDCL</v>
      </c>
      <c r="J969" s="345">
        <f>IFERROR(VLOOKUP(Table6[[#This Row],[Affected WTG]],'Basic Data'!$A$3:$E$56,5,0),"")</f>
        <v>2.564102564102564E-2</v>
      </c>
      <c r="K969" s="105">
        <v>5216</v>
      </c>
      <c r="L969" s="39" t="str">
        <f>IFERROR(VLOOKUP(Table6[[#This Row],[Error Code]],'Basic Data'!$T:$U,2,0),"")</f>
        <v>Grid Voltage Failure</v>
      </c>
      <c r="M969" s="346" t="s">
        <v>462</v>
      </c>
      <c r="N969" s="39" t="s">
        <v>1270</v>
      </c>
      <c r="O969" s="347">
        <v>0</v>
      </c>
      <c r="P969" s="347">
        <v>0.99998842592592596</v>
      </c>
      <c r="Q969" s="347">
        <v>0.99998842592592596</v>
      </c>
      <c r="R969" s="348">
        <f>IF(Table6[[#This Row],[Work Start TimeStamp]]="","",(Table6[[#This Row],[Work Start TimeStamp]]-Table6[[#This Row],[Fault Start TimeStamp]])*24)</f>
        <v>23.999722222222225</v>
      </c>
      <c r="S969" s="349">
        <f>(Table6[[#This Row],[Fault Clearance time]]-Table6[[#This Row],[Work Start TimeStamp]])*24</f>
        <v>0</v>
      </c>
      <c r="T969" s="350">
        <f>(Table6[[#This Row],[Fault Clearance time]]-Table6[[#This Row],[Fault Start TimeStamp]])*24</f>
        <v>23.999722222222225</v>
      </c>
      <c r="U969" s="346" t="s">
        <v>1354</v>
      </c>
      <c r="V969" s="351" t="s">
        <v>473</v>
      </c>
      <c r="W969" s="375">
        <f>Table6[[#This Row],[Breakdown Time]]*(1/39)</f>
        <v>0.61537749287749288</v>
      </c>
      <c r="X969" s="336" t="s">
        <v>465</v>
      </c>
      <c r="Y969" s="352" t="s">
        <v>132</v>
      </c>
      <c r="Z969" s="105">
        <v>15984</v>
      </c>
      <c r="AA969" s="107">
        <f>IFERROR((Table6[[#This Row],[Paired WTG Generation for loss calculation]]/24)*Table6[[#This Row],[Breakdown Time]],"")</f>
        <v>15983.815000000002</v>
      </c>
      <c r="AB969" s="105" t="s">
        <v>1353</v>
      </c>
      <c r="AC969" s="105"/>
      <c r="AD969" s="105"/>
    </row>
    <row r="970" spans="1:30">
      <c r="A970" s="105">
        <f t="shared" si="15"/>
        <v>969</v>
      </c>
      <c r="B970" s="371">
        <f>YEAR(Table6[[#This Row],[Date]])+IF(MONTH(Table6[[#This Row],[Date]])&gt;=4,1,0)</f>
        <v>2026</v>
      </c>
      <c r="C970" s="372">
        <f>YEAR(Table6[[#This Row],[Date]])</f>
        <v>2025</v>
      </c>
      <c r="D970" s="105" t="s">
        <v>490</v>
      </c>
      <c r="E970" s="119">
        <f>Table6[[#This Row],[Date]]-DAY(Table6[[#This Row],[Date]])+1</f>
        <v>45839</v>
      </c>
      <c r="F970" s="373">
        <v>45851</v>
      </c>
      <c r="G970" s="374" t="s">
        <v>125</v>
      </c>
      <c r="H970" s="39" t="str">
        <f>_xlfn.XLOOKUP(Table6[[#This Row],[Affected WTG]],'Basic Data'!$A:$A,'Basic Data'!$B:$B)</f>
        <v>PWEGPL</v>
      </c>
      <c r="I970" s="39" t="str">
        <f>_xlfn.XLOOKUP(Table6[[#This Row],[Affected WTG]],'Basic Data'!$A:$A,'Basic Data'!$C:$C)</f>
        <v>MSEDCL</v>
      </c>
      <c r="J970" s="345">
        <f>IFERROR(VLOOKUP(Table6[[#This Row],[Affected WTG]],'Basic Data'!$A$3:$E$56,5,0),"")</f>
        <v>2.564102564102564E-2</v>
      </c>
      <c r="K970" s="105">
        <v>2118</v>
      </c>
      <c r="L970" s="39" t="str">
        <f>IFERROR(VLOOKUP(Table6[[#This Row],[Error Code]],'Basic Data'!$T:$U,2,0),"")</f>
        <v>Bus Error - Interbus Failure</v>
      </c>
      <c r="M970" s="346" t="s">
        <v>462</v>
      </c>
      <c r="N970" s="39" t="s">
        <v>1270</v>
      </c>
      <c r="O970" s="347">
        <v>0.5625</v>
      </c>
      <c r="P970" s="347">
        <v>0.57986111111111116</v>
      </c>
      <c r="Q970" s="347">
        <v>0.625</v>
      </c>
      <c r="R970" s="348">
        <f>IF(Table6[[#This Row],[Work Start TimeStamp]]="","",(Table6[[#This Row],[Work Start TimeStamp]]-Table6[[#This Row],[Fault Start TimeStamp]])*24)</f>
        <v>0.41666666666666785</v>
      </c>
      <c r="S970" s="349">
        <f>(Table6[[#This Row],[Fault Clearance time]]-Table6[[#This Row],[Work Start TimeStamp]])*24</f>
        <v>1.0833333333333321</v>
      </c>
      <c r="T970" s="350">
        <f>(Table6[[#This Row],[Fault Clearance time]]-Table6[[#This Row],[Fault Start TimeStamp]])*24</f>
        <v>1.5</v>
      </c>
      <c r="U970" s="346" t="s">
        <v>1343</v>
      </c>
      <c r="V970" s="351" t="s">
        <v>463</v>
      </c>
      <c r="W970" s="375">
        <f>Table6[[#This Row],[Breakdown Time]]*(1/39)</f>
        <v>3.8461538461538464E-2</v>
      </c>
      <c r="X970" s="336" t="s">
        <v>465</v>
      </c>
      <c r="Y970" s="352" t="s">
        <v>124</v>
      </c>
      <c r="Z970" s="105">
        <v>14266</v>
      </c>
      <c r="AA970" s="107">
        <f>IFERROR((Table6[[#This Row],[Paired WTG Generation for loss calculation]]/24)*Table6[[#This Row],[Breakdown Time]],"")</f>
        <v>891.625</v>
      </c>
      <c r="AB970" s="107" t="s">
        <v>478</v>
      </c>
      <c r="AC970" s="105"/>
      <c r="AD970" s="105"/>
    </row>
    <row r="971" spans="1:30">
      <c r="A971" s="105">
        <f t="shared" si="15"/>
        <v>970</v>
      </c>
      <c r="B971" s="371">
        <f>YEAR(Table6[[#This Row],[Date]])+IF(MONTH(Table6[[#This Row],[Date]])&gt;=4,1,0)</f>
        <v>2026</v>
      </c>
      <c r="C971" s="372">
        <f>YEAR(Table6[[#This Row],[Date]])</f>
        <v>2025</v>
      </c>
      <c r="D971" s="105" t="s">
        <v>490</v>
      </c>
      <c r="E971" s="119">
        <f>Table6[[#This Row],[Date]]-DAY(Table6[[#This Row],[Date]])+1</f>
        <v>45839</v>
      </c>
      <c r="F971" s="373">
        <v>45852</v>
      </c>
      <c r="G971" s="105" t="s">
        <v>144</v>
      </c>
      <c r="H971" s="39" t="str">
        <f>_xlfn.XLOOKUP(Table6[[#This Row],[Affected WTG]],'Basic Data'!$A:$A,'Basic Data'!$B:$B)</f>
        <v>PWEGPL</v>
      </c>
      <c r="I971" s="39" t="str">
        <f>_xlfn.XLOOKUP(Table6[[#This Row],[Affected WTG]],'Basic Data'!$A:$A,'Basic Data'!$C:$C)</f>
        <v>MSEDCL</v>
      </c>
      <c r="J971" s="345">
        <f>IFERROR(VLOOKUP(Table6[[#This Row],[Affected WTG]],'Basic Data'!$A$3:$E$56,5,0),"")</f>
        <v>2.564102564102564E-2</v>
      </c>
      <c r="K971" s="105">
        <v>700</v>
      </c>
      <c r="L971" s="39" t="str">
        <f>IFERROR(VLOOKUP(Table6[[#This Row],[Error Code]],'Basic Data'!$T:$U,2,0),"")</f>
        <v>PLC-Converter Communication Error</v>
      </c>
      <c r="M971" s="346" t="s">
        <v>462</v>
      </c>
      <c r="N971" s="39" t="s">
        <v>1270</v>
      </c>
      <c r="O971" s="347">
        <v>0</v>
      </c>
      <c r="P971" s="347">
        <v>0.99998842592592596</v>
      </c>
      <c r="Q971" s="347">
        <v>0.99998842592592596</v>
      </c>
      <c r="R971" s="348">
        <f>IF(Table6[[#This Row],[Work Start TimeStamp]]="","",(Table6[[#This Row],[Work Start TimeStamp]]-Table6[[#This Row],[Fault Start TimeStamp]])*24)</f>
        <v>23.999722222222225</v>
      </c>
      <c r="S971" s="349">
        <f>(Table6[[#This Row],[Fault Clearance time]]-Table6[[#This Row],[Work Start TimeStamp]])*24</f>
        <v>0</v>
      </c>
      <c r="T971" s="350">
        <f>(Table6[[#This Row],[Fault Clearance time]]-Table6[[#This Row],[Fault Start TimeStamp]])*24</f>
        <v>23.999722222222225</v>
      </c>
      <c r="U971" s="346" t="s">
        <v>1348</v>
      </c>
      <c r="V971" s="351" t="s">
        <v>473</v>
      </c>
      <c r="W971" s="375">
        <f>Table6[[#This Row],[Breakdown Time]]*(1/39)</f>
        <v>0.61537749287749288</v>
      </c>
      <c r="X971" s="336" t="s">
        <v>465</v>
      </c>
      <c r="Y971" s="352" t="s">
        <v>143</v>
      </c>
      <c r="Z971" s="105">
        <v>18645</v>
      </c>
      <c r="AA971" s="107">
        <f>IFERROR((Table6[[#This Row],[Paired WTG Generation for loss calculation]]/24)*Table6[[#This Row],[Breakdown Time]],"")</f>
        <v>18644.784201388891</v>
      </c>
      <c r="AB971" s="105" t="s">
        <v>1347</v>
      </c>
      <c r="AC971" s="105"/>
      <c r="AD971" s="105"/>
    </row>
    <row r="972" spans="1:30">
      <c r="A972" s="105">
        <f t="shared" si="15"/>
        <v>971</v>
      </c>
      <c r="B972" s="371">
        <f>YEAR(Table6[[#This Row],[Date]])+IF(MONTH(Table6[[#This Row],[Date]])&gt;=4,1,0)</f>
        <v>2026</v>
      </c>
      <c r="C972" s="372">
        <f>YEAR(Table6[[#This Row],[Date]])</f>
        <v>2025</v>
      </c>
      <c r="D972" s="105" t="s">
        <v>490</v>
      </c>
      <c r="E972" s="119">
        <f>Table6[[#This Row],[Date]]-DAY(Table6[[#This Row],[Date]])+1</f>
        <v>45839</v>
      </c>
      <c r="F972" s="373">
        <v>45852</v>
      </c>
      <c r="G972" s="105" t="s">
        <v>142</v>
      </c>
      <c r="H972" s="39" t="str">
        <f>_xlfn.XLOOKUP(Table6[[#This Row],[Affected WTG]],'Basic Data'!$A:$A,'Basic Data'!$B:$B)</f>
        <v>PWEGPL</v>
      </c>
      <c r="I972" s="39" t="str">
        <f>_xlfn.XLOOKUP(Table6[[#This Row],[Affected WTG]],'Basic Data'!$A:$A,'Basic Data'!$C:$C)</f>
        <v>MSEDCL</v>
      </c>
      <c r="J972" s="345">
        <f>IFERROR(VLOOKUP(Table6[[#This Row],[Affected WTG]],'Basic Data'!$A$3:$E$56,5,0),"")</f>
        <v>2.564102564102564E-2</v>
      </c>
      <c r="K972" s="105" t="s">
        <v>492</v>
      </c>
      <c r="L972" s="39" t="str">
        <f>IFERROR(VLOOKUP(Table6[[#This Row],[Error Code]],'Basic Data'!$T:$U,2,0),"")</f>
        <v>Manual Stop - Safety Related</v>
      </c>
      <c r="M972" s="346" t="s">
        <v>481</v>
      </c>
      <c r="N972" s="39" t="s">
        <v>1269</v>
      </c>
      <c r="O972" s="347">
        <v>0</v>
      </c>
      <c r="P972" s="347">
        <v>0.99998842592592596</v>
      </c>
      <c r="Q972" s="347">
        <v>0.99998842592592596</v>
      </c>
      <c r="R972" s="348">
        <f>IF(Table6[[#This Row],[Work Start TimeStamp]]="","",(Table6[[#This Row],[Work Start TimeStamp]]-Table6[[#This Row],[Fault Start TimeStamp]])*24)</f>
        <v>23.999722222222225</v>
      </c>
      <c r="S972" s="349">
        <f>(Table6[[#This Row],[Fault Clearance time]]-Table6[[#This Row],[Work Start TimeStamp]])*24</f>
        <v>0</v>
      </c>
      <c r="T972" s="350">
        <f>(Table6[[#This Row],[Fault Clearance time]]-Table6[[#This Row],[Fault Start TimeStamp]])*24</f>
        <v>23.999722222222225</v>
      </c>
      <c r="U972" s="346" t="s">
        <v>498</v>
      </c>
      <c r="V972" s="351" t="s">
        <v>473</v>
      </c>
      <c r="W972" s="375">
        <f>Table6[[#This Row],[Breakdown Time]]*(1/39)</f>
        <v>0.61537749287749288</v>
      </c>
      <c r="X972" s="336" t="s">
        <v>1212</v>
      </c>
      <c r="Y972" s="352" t="s">
        <v>143</v>
      </c>
      <c r="Z972" s="105">
        <v>18645</v>
      </c>
      <c r="AA972" s="107">
        <f>IFERROR((Table6[[#This Row],[Paired WTG Generation for loss calculation]]/24)*Table6[[#This Row],[Breakdown Time]],"")</f>
        <v>18644.784201388891</v>
      </c>
      <c r="AB972" s="105" t="s">
        <v>478</v>
      </c>
      <c r="AC972" s="105"/>
      <c r="AD972" s="105"/>
    </row>
    <row r="973" spans="1:30">
      <c r="A973" s="105">
        <f t="shared" si="15"/>
        <v>972</v>
      </c>
      <c r="B973" s="371">
        <f>YEAR(Table6[[#This Row],[Date]])+IF(MONTH(Table6[[#This Row],[Date]])&gt;=4,1,0)</f>
        <v>2026</v>
      </c>
      <c r="C973" s="372">
        <f>YEAR(Table6[[#This Row],[Date]])</f>
        <v>2025</v>
      </c>
      <c r="D973" s="105" t="s">
        <v>490</v>
      </c>
      <c r="E973" s="119">
        <f>Table6[[#This Row],[Date]]-DAY(Table6[[#This Row],[Date]])+1</f>
        <v>45839</v>
      </c>
      <c r="F973" s="373">
        <v>45852</v>
      </c>
      <c r="G973" s="105" t="s">
        <v>131</v>
      </c>
      <c r="H973" s="39" t="str">
        <f>_xlfn.XLOOKUP(Table6[[#This Row],[Affected WTG]],'Basic Data'!$A:$A,'Basic Data'!$B:$B)</f>
        <v>PWEGPL</v>
      </c>
      <c r="I973" s="39" t="str">
        <f>_xlfn.XLOOKUP(Table6[[#This Row],[Affected WTG]],'Basic Data'!$A:$A,'Basic Data'!$C:$C)</f>
        <v>MSEDCL</v>
      </c>
      <c r="J973" s="345">
        <f>IFERROR(VLOOKUP(Table6[[#This Row],[Affected WTG]],'Basic Data'!$A$3:$E$56,5,0),"")</f>
        <v>2.564102564102564E-2</v>
      </c>
      <c r="K973" s="105">
        <v>5216</v>
      </c>
      <c r="L973" s="39" t="str">
        <f>IFERROR(VLOOKUP(Table6[[#This Row],[Error Code]],'Basic Data'!$T:$U,2,0),"")</f>
        <v>Grid Voltage Failure</v>
      </c>
      <c r="M973" s="346" t="s">
        <v>462</v>
      </c>
      <c r="N973" s="39" t="s">
        <v>1270</v>
      </c>
      <c r="O973" s="347">
        <v>0</v>
      </c>
      <c r="P973" s="347">
        <v>0.99998842592592596</v>
      </c>
      <c r="Q973" s="347">
        <v>0.99998842592592596</v>
      </c>
      <c r="R973" s="348">
        <f>IF(Table6[[#This Row],[Work Start TimeStamp]]="","",(Table6[[#This Row],[Work Start TimeStamp]]-Table6[[#This Row],[Fault Start TimeStamp]])*24)</f>
        <v>23.999722222222225</v>
      </c>
      <c r="S973" s="349">
        <f>(Table6[[#This Row],[Fault Clearance time]]-Table6[[#This Row],[Work Start TimeStamp]])*24</f>
        <v>0</v>
      </c>
      <c r="T973" s="350">
        <f>(Table6[[#This Row],[Fault Clearance time]]-Table6[[#This Row],[Fault Start TimeStamp]])*24</f>
        <v>23.999722222222225</v>
      </c>
      <c r="U973" s="346" t="s">
        <v>1354</v>
      </c>
      <c r="V973" s="351" t="s">
        <v>473</v>
      </c>
      <c r="W973" s="375">
        <f>Table6[[#This Row],[Breakdown Time]]*(1/39)</f>
        <v>0.61537749287749288</v>
      </c>
      <c r="X973" s="336" t="s">
        <v>465</v>
      </c>
      <c r="Y973" s="352" t="s">
        <v>130</v>
      </c>
      <c r="Z973" s="105">
        <v>22638</v>
      </c>
      <c r="AA973" s="107">
        <f>IFERROR((Table6[[#This Row],[Paired WTG Generation for loss calculation]]/24)*Table6[[#This Row],[Breakdown Time]],"")</f>
        <v>22637.737986111115</v>
      </c>
      <c r="AB973" s="105" t="s">
        <v>1353</v>
      </c>
      <c r="AC973" s="105"/>
      <c r="AD973" s="105"/>
    </row>
    <row r="974" spans="1:30">
      <c r="A974" s="105">
        <f t="shared" si="15"/>
        <v>973</v>
      </c>
      <c r="B974" s="371">
        <f>YEAR(Table6[[#This Row],[Date]])+IF(MONTH(Table6[[#This Row],[Date]])&gt;=4,1,0)</f>
        <v>2026</v>
      </c>
      <c r="C974" s="372">
        <f>YEAR(Table6[[#This Row],[Date]])</f>
        <v>2025</v>
      </c>
      <c r="D974" s="105" t="s">
        <v>490</v>
      </c>
      <c r="E974" s="119">
        <f>Table6[[#This Row],[Date]]-DAY(Table6[[#This Row],[Date]])+1</f>
        <v>45839</v>
      </c>
      <c r="F974" s="373">
        <v>45852</v>
      </c>
      <c r="G974" s="374" t="s">
        <v>115</v>
      </c>
      <c r="H974" s="39" t="str">
        <f>_xlfn.XLOOKUP(Table6[[#This Row],[Affected WTG]],'Basic Data'!$A:$A,'Basic Data'!$B:$B)</f>
        <v>PWEGPL</v>
      </c>
      <c r="I974" s="39" t="str">
        <f>_xlfn.XLOOKUP(Table6[[#This Row],[Affected WTG]],'Basic Data'!$A:$A,'Basic Data'!$C:$C)</f>
        <v>MSEDCL</v>
      </c>
      <c r="J974" s="345">
        <f>IFERROR(VLOOKUP(Table6[[#This Row],[Affected WTG]],'Basic Data'!$A$3:$E$56,5,0),"")</f>
        <v>2.564102564102564E-2</v>
      </c>
      <c r="K974" s="105">
        <v>700</v>
      </c>
      <c r="L974" s="39" t="str">
        <f>IFERROR(VLOOKUP(Table6[[#This Row],[Error Code]],'Basic Data'!$T:$U,2,0),"")</f>
        <v>PLC-Converter Communication Error</v>
      </c>
      <c r="M974" s="346" t="s">
        <v>462</v>
      </c>
      <c r="N974" s="378" t="s">
        <v>1270</v>
      </c>
      <c r="O974" s="347">
        <v>0.76388888888888884</v>
      </c>
      <c r="P974" s="347">
        <v>0.78611111111111109</v>
      </c>
      <c r="Q974" s="347">
        <v>0.78749999999999998</v>
      </c>
      <c r="R974" s="348">
        <f>IF(Table6[[#This Row],[Work Start TimeStamp]]="","",(Table6[[#This Row],[Work Start TimeStamp]]-Table6[[#This Row],[Fault Start TimeStamp]])*24)</f>
        <v>0.5333333333333341</v>
      </c>
      <c r="S974" s="349">
        <f>(Table6[[#This Row],[Fault Clearance time]]-Table6[[#This Row],[Work Start TimeStamp]])*24</f>
        <v>3.3333333333333215E-2</v>
      </c>
      <c r="T974" s="350">
        <f>(Table6[[#This Row],[Fault Clearance time]]-Table6[[#This Row],[Fault Start TimeStamp]])*24</f>
        <v>0.56666666666666732</v>
      </c>
      <c r="U974" s="346" t="s">
        <v>491</v>
      </c>
      <c r="V974" s="351" t="s">
        <v>463</v>
      </c>
      <c r="W974" s="375">
        <f>Table6[[#This Row],[Breakdown Time]]*(1/39)</f>
        <v>1.4529914529914546E-2</v>
      </c>
      <c r="X974" s="336" t="s">
        <v>465</v>
      </c>
      <c r="Y974" s="352" t="s">
        <v>121</v>
      </c>
      <c r="Z974" s="105">
        <v>20987</v>
      </c>
      <c r="AA974" s="107">
        <f>IFERROR((Table6[[#This Row],[Paired WTG Generation for loss calculation]]/24)*Table6[[#This Row],[Breakdown Time]],"")</f>
        <v>495.52638888888947</v>
      </c>
      <c r="AB974" s="107" t="s">
        <v>478</v>
      </c>
      <c r="AC974" s="105"/>
      <c r="AD974" s="105"/>
    </row>
    <row r="975" spans="1:30">
      <c r="A975" s="105">
        <f t="shared" si="15"/>
        <v>974</v>
      </c>
      <c r="B975" s="371">
        <f>YEAR(Table6[[#This Row],[Date]])+IF(MONTH(Table6[[#This Row],[Date]])&gt;=4,1,0)</f>
        <v>2026</v>
      </c>
      <c r="C975" s="372">
        <f>YEAR(Table6[[#This Row],[Date]])</f>
        <v>2025</v>
      </c>
      <c r="D975" s="105" t="s">
        <v>490</v>
      </c>
      <c r="E975" s="119">
        <f>Table6[[#This Row],[Date]]-DAY(Table6[[#This Row],[Date]])+1</f>
        <v>45839</v>
      </c>
      <c r="F975" s="373">
        <v>45852</v>
      </c>
      <c r="G975" s="374" t="s">
        <v>118</v>
      </c>
      <c r="H975" s="39" t="str">
        <f>_xlfn.XLOOKUP(Table6[[#This Row],[Affected WTG]],'Basic Data'!$A:$A,'Basic Data'!$B:$B)</f>
        <v>PWEGPL</v>
      </c>
      <c r="I975" s="39" t="str">
        <f>_xlfn.XLOOKUP(Table6[[#This Row],[Affected WTG]],'Basic Data'!$A:$A,'Basic Data'!$C:$C)</f>
        <v>MSEDCL</v>
      </c>
      <c r="J975" s="345">
        <f>IFERROR(VLOOKUP(Table6[[#This Row],[Affected WTG]],'Basic Data'!$A$3:$E$56,5,0),"")</f>
        <v>2.564102564102564E-2</v>
      </c>
      <c r="K975" s="105">
        <v>2118</v>
      </c>
      <c r="L975" s="39" t="str">
        <f>IFERROR(VLOOKUP(Table6[[#This Row],[Error Code]],'Basic Data'!$T:$U,2,0),"")</f>
        <v>Bus Error - Interbus Failure</v>
      </c>
      <c r="M975" s="346" t="s">
        <v>462</v>
      </c>
      <c r="N975" s="378" t="s">
        <v>1270</v>
      </c>
      <c r="O975" s="347">
        <v>0.48194444444444445</v>
      </c>
      <c r="P975" s="347">
        <v>0.50138888888888888</v>
      </c>
      <c r="Q975" s="347">
        <v>0.5625</v>
      </c>
      <c r="R975" s="348">
        <f>IF(Table6[[#This Row],[Work Start TimeStamp]]="","",(Table6[[#This Row],[Work Start TimeStamp]]-Table6[[#This Row],[Fault Start TimeStamp]])*24)</f>
        <v>0.46666666666666634</v>
      </c>
      <c r="S975" s="349">
        <f>(Table6[[#This Row],[Fault Clearance time]]-Table6[[#This Row],[Work Start TimeStamp]])*24</f>
        <v>1.4666666666666668</v>
      </c>
      <c r="T975" s="350">
        <f>(Table6[[#This Row],[Fault Clearance time]]-Table6[[#This Row],[Fault Start TimeStamp]])*24</f>
        <v>1.9333333333333331</v>
      </c>
      <c r="U975" s="346" t="s">
        <v>1244</v>
      </c>
      <c r="V975" s="351" t="s">
        <v>463</v>
      </c>
      <c r="W975" s="375">
        <f>Table6[[#This Row],[Breakdown Time]]*(1/39)</f>
        <v>4.9572649572649563E-2</v>
      </c>
      <c r="X975" s="336" t="s">
        <v>465</v>
      </c>
      <c r="Y975" s="352" t="s">
        <v>117</v>
      </c>
      <c r="Z975" s="105">
        <v>20981</v>
      </c>
      <c r="AA975" s="107">
        <f>IFERROR((Table6[[#This Row],[Paired WTG Generation for loss calculation]]/24)*Table6[[#This Row],[Breakdown Time]],"")</f>
        <v>1690.1361111111109</v>
      </c>
      <c r="AB975" s="107" t="s">
        <v>478</v>
      </c>
      <c r="AC975" s="105"/>
      <c r="AD975" s="105"/>
    </row>
    <row r="976" spans="1:30">
      <c r="A976" s="105">
        <f t="shared" si="15"/>
        <v>975</v>
      </c>
      <c r="B976" s="371">
        <f>YEAR(Table6[[#This Row],[Date]])+IF(MONTH(Table6[[#This Row],[Date]])&gt;=4,1,0)</f>
        <v>2026</v>
      </c>
      <c r="C976" s="372">
        <f>YEAR(Table6[[#This Row],[Date]])</f>
        <v>2025</v>
      </c>
      <c r="D976" s="105" t="s">
        <v>490</v>
      </c>
      <c r="E976" s="119">
        <f>Table6[[#This Row],[Date]]-DAY(Table6[[#This Row],[Date]])+1</f>
        <v>45839</v>
      </c>
      <c r="F976" s="373">
        <v>45852</v>
      </c>
      <c r="G976" s="374" t="s">
        <v>120</v>
      </c>
      <c r="H976" s="39" t="str">
        <f>_xlfn.XLOOKUP(Table6[[#This Row],[Affected WTG]],'Basic Data'!$A:$A,'Basic Data'!$B:$B)</f>
        <v>PWEGPL</v>
      </c>
      <c r="I976" s="39" t="str">
        <f>_xlfn.XLOOKUP(Table6[[#This Row],[Affected WTG]],'Basic Data'!$A:$A,'Basic Data'!$C:$C)</f>
        <v>MSEDCL</v>
      </c>
      <c r="J976" s="345">
        <f>IFERROR(VLOOKUP(Table6[[#This Row],[Affected WTG]],'Basic Data'!$A$3:$E$56,5,0),"")</f>
        <v>2.564102564102564E-2</v>
      </c>
      <c r="K976" s="105">
        <v>2118</v>
      </c>
      <c r="L976" s="39" t="str">
        <f>IFERROR(VLOOKUP(Table6[[#This Row],[Error Code]],'Basic Data'!$T:$U,2,0),"")</f>
        <v>Bus Error - Interbus Failure</v>
      </c>
      <c r="M976" s="346" t="s">
        <v>462</v>
      </c>
      <c r="N976" s="378" t="s">
        <v>1270</v>
      </c>
      <c r="O976" s="347">
        <v>0.52083333333333337</v>
      </c>
      <c r="P976" s="347">
        <v>0.53819444444444442</v>
      </c>
      <c r="Q976" s="347">
        <v>0.57291666666666663</v>
      </c>
      <c r="R976" s="348">
        <f>IF(Table6[[#This Row],[Work Start TimeStamp]]="","",(Table6[[#This Row],[Work Start TimeStamp]]-Table6[[#This Row],[Fault Start TimeStamp]])*24)</f>
        <v>0.41666666666666519</v>
      </c>
      <c r="S976" s="349">
        <f>(Table6[[#This Row],[Fault Clearance time]]-Table6[[#This Row],[Work Start TimeStamp]])*24</f>
        <v>0.83333333333333304</v>
      </c>
      <c r="T976" s="350">
        <f>(Table6[[#This Row],[Fault Clearance time]]-Table6[[#This Row],[Fault Start TimeStamp]])*24</f>
        <v>1.2499999999999982</v>
      </c>
      <c r="U976" s="346" t="s">
        <v>1358</v>
      </c>
      <c r="V976" s="351" t="s">
        <v>463</v>
      </c>
      <c r="W976" s="375">
        <f>Table6[[#This Row],[Breakdown Time]]*(1/39)</f>
        <v>3.2051282051282007E-2</v>
      </c>
      <c r="X976" s="336" t="s">
        <v>465</v>
      </c>
      <c r="Y976" s="352" t="s">
        <v>117</v>
      </c>
      <c r="Z976" s="105">
        <v>20981</v>
      </c>
      <c r="AA976" s="107">
        <f>IFERROR((Table6[[#This Row],[Paired WTG Generation for loss calculation]]/24)*Table6[[#This Row],[Breakdown Time]],"")</f>
        <v>1092.7604166666652</v>
      </c>
      <c r="AB976" s="107" t="s">
        <v>478</v>
      </c>
      <c r="AC976" s="105"/>
      <c r="AD976" s="105"/>
    </row>
    <row r="977" spans="1:30">
      <c r="A977" s="105">
        <f t="shared" si="15"/>
        <v>976</v>
      </c>
      <c r="B977" s="371">
        <f>YEAR(Table6[[#This Row],[Date]])+IF(MONTH(Table6[[#This Row],[Date]])&gt;=4,1,0)</f>
        <v>2026</v>
      </c>
      <c r="C977" s="372">
        <f>YEAR(Table6[[#This Row],[Date]])</f>
        <v>2025</v>
      </c>
      <c r="D977" s="105" t="s">
        <v>490</v>
      </c>
      <c r="E977" s="119">
        <f>Table6[[#This Row],[Date]]-DAY(Table6[[#This Row],[Date]])+1</f>
        <v>45839</v>
      </c>
      <c r="F977" s="373">
        <v>45852</v>
      </c>
      <c r="G977" s="374" t="s">
        <v>126</v>
      </c>
      <c r="H977" s="39" t="str">
        <f>_xlfn.XLOOKUP(Table6[[#This Row],[Affected WTG]],'Basic Data'!$A:$A,'Basic Data'!$B:$B)</f>
        <v>PWEGPL</v>
      </c>
      <c r="I977" s="39" t="str">
        <f>_xlfn.XLOOKUP(Table6[[#This Row],[Affected WTG]],'Basic Data'!$A:$A,'Basic Data'!$C:$C)</f>
        <v>MSEDCL</v>
      </c>
      <c r="J977" s="345">
        <f>IFERROR(VLOOKUP(Table6[[#This Row],[Affected WTG]],'Basic Data'!$A$3:$E$56,5,0),"")</f>
        <v>2.564102564102564E-2</v>
      </c>
      <c r="K977" s="105">
        <v>203</v>
      </c>
      <c r="L977" s="39" t="str">
        <f>IFERROR(VLOOKUP(Table6[[#This Row],[Error Code]],'Basic Data'!$T:$U,2,0),"")</f>
        <v>Low Pressure On Hydraulic Group</v>
      </c>
      <c r="M977" s="346" t="s">
        <v>462</v>
      </c>
      <c r="N977" s="378" t="s">
        <v>1270</v>
      </c>
      <c r="O977" s="347">
        <v>0.47569444444444442</v>
      </c>
      <c r="P977" s="347">
        <v>0.48402777777777778</v>
      </c>
      <c r="Q977" s="347">
        <v>0.48541666666666666</v>
      </c>
      <c r="R977" s="348">
        <f>IF(Table6[[#This Row],[Work Start TimeStamp]]="","",(Table6[[#This Row],[Work Start TimeStamp]]-Table6[[#This Row],[Fault Start TimeStamp]])*24)</f>
        <v>0.20000000000000062</v>
      </c>
      <c r="S977" s="349">
        <f>(Table6[[#This Row],[Fault Clearance time]]-Table6[[#This Row],[Work Start TimeStamp]])*24</f>
        <v>3.3333333333333215E-2</v>
      </c>
      <c r="T977" s="350">
        <f>(Table6[[#This Row],[Fault Clearance time]]-Table6[[#This Row],[Fault Start TimeStamp]])*24</f>
        <v>0.23333333333333384</v>
      </c>
      <c r="U977" s="346" t="s">
        <v>493</v>
      </c>
      <c r="V977" s="351" t="s">
        <v>463</v>
      </c>
      <c r="W977" s="375">
        <f>Table6[[#This Row],[Breakdown Time]]*(1/39)</f>
        <v>5.9829059829059955E-3</v>
      </c>
      <c r="X977" s="336" t="s">
        <v>465</v>
      </c>
      <c r="Y977" s="352" t="s">
        <v>123</v>
      </c>
      <c r="Z977" s="105">
        <v>22625</v>
      </c>
      <c r="AA977" s="107">
        <f>IFERROR((Table6[[#This Row],[Paired WTG Generation for loss calculation]]/24)*Table6[[#This Row],[Breakdown Time]],"")</f>
        <v>219.96527777777825</v>
      </c>
      <c r="AB977" s="107" t="s">
        <v>478</v>
      </c>
      <c r="AC977" s="105"/>
      <c r="AD977" s="105"/>
    </row>
    <row r="978" spans="1:30">
      <c r="A978" s="105">
        <f t="shared" si="15"/>
        <v>977</v>
      </c>
      <c r="B978" s="371">
        <f>YEAR(Table6[[#This Row],[Date]])+IF(MONTH(Table6[[#This Row],[Date]])&gt;=4,1,0)</f>
        <v>2026</v>
      </c>
      <c r="C978" s="372">
        <f>YEAR(Table6[[#This Row],[Date]])</f>
        <v>2025</v>
      </c>
      <c r="D978" s="105" t="s">
        <v>490</v>
      </c>
      <c r="E978" s="119">
        <f>Table6[[#This Row],[Date]]-DAY(Table6[[#This Row],[Date]])+1</f>
        <v>45839</v>
      </c>
      <c r="F978" s="373">
        <v>45852</v>
      </c>
      <c r="G978" s="374" t="s">
        <v>126</v>
      </c>
      <c r="H978" s="39" t="str">
        <f>_xlfn.XLOOKUP(Table6[[#This Row],[Affected WTG]],'Basic Data'!$A:$A,'Basic Data'!$B:$B)</f>
        <v>PWEGPL</v>
      </c>
      <c r="I978" s="39" t="str">
        <f>_xlfn.XLOOKUP(Table6[[#This Row],[Affected WTG]],'Basic Data'!$A:$A,'Basic Data'!$C:$C)</f>
        <v>MSEDCL</v>
      </c>
      <c r="J978" s="345">
        <f>IFERROR(VLOOKUP(Table6[[#This Row],[Affected WTG]],'Basic Data'!$A$3:$E$56,5,0),"")</f>
        <v>2.564102564102564E-2</v>
      </c>
      <c r="K978" s="105">
        <v>203</v>
      </c>
      <c r="L978" s="39" t="str">
        <f>IFERROR(VLOOKUP(Table6[[#This Row],[Error Code]],'Basic Data'!$T:$U,2,0),"")</f>
        <v>Low Pressure On Hydraulic Group</v>
      </c>
      <c r="M978" s="346" t="s">
        <v>462</v>
      </c>
      <c r="N978" s="378" t="s">
        <v>1270</v>
      </c>
      <c r="O978" s="330">
        <v>0.76458333333333328</v>
      </c>
      <c r="P978" s="330">
        <v>0.77500000000000002</v>
      </c>
      <c r="Q978" s="330">
        <v>0.77569444444444446</v>
      </c>
      <c r="R978" s="348">
        <f>IF(Table6[[#This Row],[Work Start TimeStamp]]="","",(Table6[[#This Row],[Work Start TimeStamp]]-Table6[[#This Row],[Fault Start TimeStamp]])*24)</f>
        <v>0.25000000000000178</v>
      </c>
      <c r="S978" s="349">
        <f>(Table6[[#This Row],[Fault Clearance time]]-Table6[[#This Row],[Work Start TimeStamp]])*24</f>
        <v>1.6666666666666607E-2</v>
      </c>
      <c r="T978" s="350">
        <f>(Table6[[#This Row],[Fault Clearance time]]-Table6[[#This Row],[Fault Start TimeStamp]])*24</f>
        <v>0.26666666666666838</v>
      </c>
      <c r="U978" s="346" t="s">
        <v>493</v>
      </c>
      <c r="V978" s="346" t="s">
        <v>463</v>
      </c>
      <c r="W978" s="377">
        <f>Table6[[#This Row],[Breakdown Time]]*(1/39)</f>
        <v>6.837606837606881E-3</v>
      </c>
      <c r="X978" s="336" t="s">
        <v>465</v>
      </c>
      <c r="Y978" s="346" t="s">
        <v>123</v>
      </c>
      <c r="Z978" s="105">
        <v>22625</v>
      </c>
      <c r="AA978" s="107">
        <f>IFERROR((Table6[[#This Row],[Paired WTG Generation for loss calculation]]/24)*Table6[[#This Row],[Breakdown Time]],"")</f>
        <v>251.38888888889051</v>
      </c>
      <c r="AB978" s="107" t="s">
        <v>478</v>
      </c>
      <c r="AC978" s="105"/>
      <c r="AD978" s="105"/>
    </row>
    <row r="979" spans="1:30">
      <c r="A979" s="105">
        <f t="shared" si="15"/>
        <v>978</v>
      </c>
      <c r="B979" s="371">
        <f>YEAR(Table6[[#This Row],[Date]])+IF(MONTH(Table6[[#This Row],[Date]])&gt;=4,1,0)</f>
        <v>2026</v>
      </c>
      <c r="C979" s="372">
        <f>YEAR(Table6[[#This Row],[Date]])</f>
        <v>2025</v>
      </c>
      <c r="D979" s="105" t="s">
        <v>490</v>
      </c>
      <c r="E979" s="119">
        <f>Table6[[#This Row],[Date]]-DAY(Table6[[#This Row],[Date]])+1</f>
        <v>45839</v>
      </c>
      <c r="F979" s="373">
        <v>45852</v>
      </c>
      <c r="G979" s="374" t="s">
        <v>134</v>
      </c>
      <c r="H979" s="39" t="str">
        <f>_xlfn.XLOOKUP(Table6[[#This Row],[Affected WTG]],'Basic Data'!$A:$A,'Basic Data'!$B:$B)</f>
        <v>PWEGPL</v>
      </c>
      <c r="I979" s="39" t="str">
        <f>_xlfn.XLOOKUP(Table6[[#This Row],[Affected WTG]],'Basic Data'!$A:$A,'Basic Data'!$C:$C)</f>
        <v>MSEDCL</v>
      </c>
      <c r="J979" s="345">
        <f>IFERROR(VLOOKUP(Table6[[#This Row],[Affected WTG]],'Basic Data'!$A$3:$E$56,5,0),"")</f>
        <v>2.564102564102564E-2</v>
      </c>
      <c r="K979" s="105">
        <v>2118</v>
      </c>
      <c r="L979" s="39" t="str">
        <f>IFERROR(VLOOKUP(Table6[[#This Row],[Error Code]],'Basic Data'!$T:$U,2,0),"")</f>
        <v>Bus Error - Interbus Failure</v>
      </c>
      <c r="M979" s="346" t="s">
        <v>462</v>
      </c>
      <c r="N979" s="378" t="s">
        <v>1270</v>
      </c>
      <c r="O979" s="330">
        <v>0.46527777777777779</v>
      </c>
      <c r="P979" s="330">
        <v>0.47638888888888886</v>
      </c>
      <c r="Q979" s="330">
        <v>0.52569444444444446</v>
      </c>
      <c r="R979" s="348">
        <f>IF(Table6[[#This Row],[Work Start TimeStamp]]="","",(Table6[[#This Row],[Work Start TimeStamp]]-Table6[[#This Row],[Fault Start TimeStamp]])*24)</f>
        <v>0.26666666666666572</v>
      </c>
      <c r="S979" s="349">
        <f>(Table6[[#This Row],[Fault Clearance time]]-Table6[[#This Row],[Work Start TimeStamp]])*24</f>
        <v>1.1833333333333345</v>
      </c>
      <c r="T979" s="350">
        <f>(Table6[[#This Row],[Fault Clearance time]]-Table6[[#This Row],[Fault Start TimeStamp]])*24</f>
        <v>1.4500000000000002</v>
      </c>
      <c r="U979" s="346" t="s">
        <v>1244</v>
      </c>
      <c r="V979" s="346" t="s">
        <v>463</v>
      </c>
      <c r="W979" s="377">
        <f>Table6[[#This Row],[Breakdown Time]]*(1/39)</f>
        <v>3.7179487179487186E-2</v>
      </c>
      <c r="X979" s="336" t="s">
        <v>465</v>
      </c>
      <c r="Y979" s="346" t="s">
        <v>133</v>
      </c>
      <c r="Z979" s="105">
        <v>22647</v>
      </c>
      <c r="AA979" s="107">
        <f>IFERROR((Table6[[#This Row],[Paired WTG Generation for loss calculation]]/24)*Table6[[#This Row],[Breakdown Time]],"")</f>
        <v>1368.2562500000001</v>
      </c>
      <c r="AB979" s="107" t="s">
        <v>478</v>
      </c>
      <c r="AC979" s="105"/>
      <c r="AD979" s="105"/>
    </row>
    <row r="980" spans="1:30">
      <c r="A980" s="105">
        <f t="shared" si="15"/>
        <v>979</v>
      </c>
      <c r="B980" s="371">
        <f>YEAR(Table6[[#This Row],[Date]])+IF(MONTH(Table6[[#This Row],[Date]])&gt;=4,1,0)</f>
        <v>2026</v>
      </c>
      <c r="C980" s="372">
        <f>YEAR(Table6[[#This Row],[Date]])</f>
        <v>2025</v>
      </c>
      <c r="D980" s="105" t="s">
        <v>490</v>
      </c>
      <c r="E980" s="119">
        <f>Table6[[#This Row],[Date]]-DAY(Table6[[#This Row],[Date]])+1</f>
        <v>45839</v>
      </c>
      <c r="F980" s="373">
        <v>45853</v>
      </c>
      <c r="G980" s="105" t="s">
        <v>144</v>
      </c>
      <c r="H980" s="39" t="str">
        <f>_xlfn.XLOOKUP(Table6[[#This Row],[Affected WTG]],'Basic Data'!$A:$A,'Basic Data'!$B:$B)</f>
        <v>PWEGPL</v>
      </c>
      <c r="I980" s="39" t="str">
        <f>_xlfn.XLOOKUP(Table6[[#This Row],[Affected WTG]],'Basic Data'!$A:$A,'Basic Data'!$C:$C)</f>
        <v>MSEDCL</v>
      </c>
      <c r="J980" s="345">
        <f>IFERROR(VLOOKUP(Table6[[#This Row],[Affected WTG]],'Basic Data'!$A$3:$E$56,5,0),"")</f>
        <v>2.564102564102564E-2</v>
      </c>
      <c r="K980" s="105">
        <v>700</v>
      </c>
      <c r="L980" s="39" t="str">
        <f>IFERROR(VLOOKUP(Table6[[#This Row],[Error Code]],'Basic Data'!$T:$U,2,0),"")</f>
        <v>PLC-Converter Communication Error</v>
      </c>
      <c r="M980" s="346" t="s">
        <v>462</v>
      </c>
      <c r="N980" s="39" t="s">
        <v>1270</v>
      </c>
      <c r="O980" s="347">
        <v>0</v>
      </c>
      <c r="P980" s="347">
        <v>0.99998842592592596</v>
      </c>
      <c r="Q980" s="347">
        <v>0.99998842592592596</v>
      </c>
      <c r="R980" s="348">
        <f>IF(Table6[[#This Row],[Work Start TimeStamp]]="","",(Table6[[#This Row],[Work Start TimeStamp]]-Table6[[#This Row],[Fault Start TimeStamp]])*24)</f>
        <v>23.999722222222225</v>
      </c>
      <c r="S980" s="349">
        <f>(Table6[[#This Row],[Fault Clearance time]]-Table6[[#This Row],[Work Start TimeStamp]])*24</f>
        <v>0</v>
      </c>
      <c r="T980" s="350">
        <f>(Table6[[#This Row],[Fault Clearance time]]-Table6[[#This Row],[Fault Start TimeStamp]])*24</f>
        <v>23.999722222222225</v>
      </c>
      <c r="U980" s="346" t="s">
        <v>1348</v>
      </c>
      <c r="V980" s="351" t="s">
        <v>473</v>
      </c>
      <c r="W980" s="377">
        <f>Table6[[#This Row],[Breakdown Time]]*(1/39)</f>
        <v>0.61537749287749288</v>
      </c>
      <c r="X980" s="336" t="s">
        <v>465</v>
      </c>
      <c r="Y980" s="352" t="s">
        <v>143</v>
      </c>
      <c r="Z980" s="15">
        <v>8789</v>
      </c>
      <c r="AA980" s="107">
        <f>IFERROR((Table6[[#This Row],[Paired WTG Generation for loss calculation]]/24)*Table6[[#This Row],[Breakdown Time]],"")</f>
        <v>8788.8982754629633</v>
      </c>
      <c r="AB980" s="105" t="s">
        <v>1347</v>
      </c>
      <c r="AC980" s="105"/>
      <c r="AD980" s="105"/>
    </row>
    <row r="981" spans="1:30">
      <c r="A981" s="105">
        <f t="shared" si="15"/>
        <v>980</v>
      </c>
      <c r="B981" s="371">
        <f>YEAR(Table6[[#This Row],[Date]])+IF(MONTH(Table6[[#This Row],[Date]])&gt;=4,1,0)</f>
        <v>2026</v>
      </c>
      <c r="C981" s="372">
        <f>YEAR(Table6[[#This Row],[Date]])</f>
        <v>2025</v>
      </c>
      <c r="D981" s="105" t="s">
        <v>490</v>
      </c>
      <c r="E981" s="119">
        <f>Table6[[#This Row],[Date]]-DAY(Table6[[#This Row],[Date]])+1</f>
        <v>45839</v>
      </c>
      <c r="F981" s="373">
        <v>45853</v>
      </c>
      <c r="G981" s="105" t="s">
        <v>142</v>
      </c>
      <c r="H981" s="39" t="str">
        <f>_xlfn.XLOOKUP(Table6[[#This Row],[Affected WTG]],'Basic Data'!$A:$A,'Basic Data'!$B:$B)</f>
        <v>PWEGPL</v>
      </c>
      <c r="I981" s="39" t="str">
        <f>_xlfn.XLOOKUP(Table6[[#This Row],[Affected WTG]],'Basic Data'!$A:$A,'Basic Data'!$C:$C)</f>
        <v>MSEDCL</v>
      </c>
      <c r="J981" s="345">
        <f>IFERROR(VLOOKUP(Table6[[#This Row],[Affected WTG]],'Basic Data'!$A$3:$E$56,5,0),"")</f>
        <v>2.564102564102564E-2</v>
      </c>
      <c r="K981" s="105" t="s">
        <v>492</v>
      </c>
      <c r="L981" s="39" t="str">
        <f>IFERROR(VLOOKUP(Table6[[#This Row],[Error Code]],'Basic Data'!$T:$U,2,0),"")</f>
        <v>Manual Stop - Safety Related</v>
      </c>
      <c r="M981" s="346" t="s">
        <v>481</v>
      </c>
      <c r="N981" s="39" t="s">
        <v>1269</v>
      </c>
      <c r="O981" s="347">
        <v>0</v>
      </c>
      <c r="P981" s="347">
        <v>0.99998842592592596</v>
      </c>
      <c r="Q981" s="347">
        <v>0.99998842592592596</v>
      </c>
      <c r="R981" s="348">
        <f>IF(Table6[[#This Row],[Work Start TimeStamp]]="","",(Table6[[#This Row],[Work Start TimeStamp]]-Table6[[#This Row],[Fault Start TimeStamp]])*24)</f>
        <v>23.999722222222225</v>
      </c>
      <c r="S981" s="349">
        <f>(Table6[[#This Row],[Fault Clearance time]]-Table6[[#This Row],[Work Start TimeStamp]])*24</f>
        <v>0</v>
      </c>
      <c r="T981" s="350">
        <f>(Table6[[#This Row],[Fault Clearance time]]-Table6[[#This Row],[Fault Start TimeStamp]])*24</f>
        <v>23.999722222222225</v>
      </c>
      <c r="U981" s="346" t="s">
        <v>498</v>
      </c>
      <c r="V981" s="351" t="s">
        <v>473</v>
      </c>
      <c r="W981" s="377">
        <f>Table6[[#This Row],[Breakdown Time]]*(1/39)</f>
        <v>0.61537749287749288</v>
      </c>
      <c r="X981" s="336" t="s">
        <v>1212</v>
      </c>
      <c r="Y981" s="352" t="s">
        <v>143</v>
      </c>
      <c r="Z981" s="15">
        <v>8789</v>
      </c>
      <c r="AA981" s="107">
        <f>IFERROR((Table6[[#This Row],[Paired WTG Generation for loss calculation]]/24)*Table6[[#This Row],[Breakdown Time]],"")</f>
        <v>8788.8982754629633</v>
      </c>
      <c r="AB981" s="105" t="s">
        <v>478</v>
      </c>
      <c r="AC981" s="105"/>
      <c r="AD981" s="105"/>
    </row>
    <row r="982" spans="1:30">
      <c r="A982" s="105">
        <f t="shared" si="15"/>
        <v>981</v>
      </c>
      <c r="B982" s="371">
        <f>YEAR(Table6[[#This Row],[Date]])+IF(MONTH(Table6[[#This Row],[Date]])&gt;=4,1,0)</f>
        <v>2026</v>
      </c>
      <c r="C982" s="372">
        <f>YEAR(Table6[[#This Row],[Date]])</f>
        <v>2025</v>
      </c>
      <c r="D982" s="105" t="s">
        <v>490</v>
      </c>
      <c r="E982" s="119">
        <f>Table6[[#This Row],[Date]]-DAY(Table6[[#This Row],[Date]])+1</f>
        <v>45839</v>
      </c>
      <c r="F982" s="373">
        <v>45853</v>
      </c>
      <c r="G982" s="105" t="s">
        <v>131</v>
      </c>
      <c r="H982" s="39" t="str">
        <f>_xlfn.XLOOKUP(Table6[[#This Row],[Affected WTG]],'Basic Data'!$A:$A,'Basic Data'!$B:$B)</f>
        <v>PWEGPL</v>
      </c>
      <c r="I982" s="39" t="str">
        <f>_xlfn.XLOOKUP(Table6[[#This Row],[Affected WTG]],'Basic Data'!$A:$A,'Basic Data'!$C:$C)</f>
        <v>MSEDCL</v>
      </c>
      <c r="J982" s="345">
        <f>IFERROR(VLOOKUP(Table6[[#This Row],[Affected WTG]],'Basic Data'!$A$3:$E$56,5,0),"")</f>
        <v>2.564102564102564E-2</v>
      </c>
      <c r="K982" s="105">
        <v>5216</v>
      </c>
      <c r="L982" s="39" t="str">
        <f>IFERROR(VLOOKUP(Table6[[#This Row],[Error Code]],'Basic Data'!$T:$U,2,0),"")</f>
        <v>Grid Voltage Failure</v>
      </c>
      <c r="M982" s="346" t="s">
        <v>462</v>
      </c>
      <c r="N982" s="39" t="s">
        <v>1270</v>
      </c>
      <c r="O982" s="347">
        <v>0</v>
      </c>
      <c r="P982" s="347">
        <v>0.99998842592592596</v>
      </c>
      <c r="Q982" s="347">
        <v>0.99998842592592596</v>
      </c>
      <c r="R982" s="348">
        <f>IF(Table6[[#This Row],[Work Start TimeStamp]]="","",(Table6[[#This Row],[Work Start TimeStamp]]-Table6[[#This Row],[Fault Start TimeStamp]])*24)</f>
        <v>23.999722222222225</v>
      </c>
      <c r="S982" s="349">
        <f>(Table6[[#This Row],[Fault Clearance time]]-Table6[[#This Row],[Work Start TimeStamp]])*24</f>
        <v>0</v>
      </c>
      <c r="T982" s="350">
        <f>(Table6[[#This Row],[Fault Clearance time]]-Table6[[#This Row],[Fault Start TimeStamp]])*24</f>
        <v>23.999722222222225</v>
      </c>
      <c r="U982" s="346" t="s">
        <v>1354</v>
      </c>
      <c r="V982" s="351" t="s">
        <v>473</v>
      </c>
      <c r="W982" s="377">
        <f>Table6[[#This Row],[Breakdown Time]]*(1/39)</f>
        <v>0.61537749287749288</v>
      </c>
      <c r="X982" s="336" t="s">
        <v>465</v>
      </c>
      <c r="Y982" s="352" t="s">
        <v>130</v>
      </c>
      <c r="Z982" s="15">
        <v>12435</v>
      </c>
      <c r="AA982" s="107">
        <f>IFERROR((Table6[[#This Row],[Paired WTG Generation for loss calculation]]/24)*Table6[[#This Row],[Breakdown Time]],"")</f>
        <v>12434.856076388891</v>
      </c>
      <c r="AB982" s="105" t="s">
        <v>1353</v>
      </c>
      <c r="AC982" s="105"/>
      <c r="AD982" s="105"/>
    </row>
    <row r="983" spans="1:30">
      <c r="A983" s="105">
        <f t="shared" si="15"/>
        <v>982</v>
      </c>
      <c r="B983" s="371">
        <f>YEAR(Table6[[#This Row],[Date]])+IF(MONTH(Table6[[#This Row],[Date]])&gt;=4,1,0)</f>
        <v>2026</v>
      </c>
      <c r="C983" s="372">
        <f>YEAR(Table6[[#This Row],[Date]])</f>
        <v>2025</v>
      </c>
      <c r="D983" s="105" t="s">
        <v>490</v>
      </c>
      <c r="E983" s="119">
        <f>Table6[[#This Row],[Date]]-DAY(Table6[[#This Row],[Date]])+1</f>
        <v>45839</v>
      </c>
      <c r="F983" s="373">
        <v>45853</v>
      </c>
      <c r="G983" s="374" t="s">
        <v>146</v>
      </c>
      <c r="H983" s="39" t="str">
        <f>_xlfn.XLOOKUP(Table6[[#This Row],[Affected WTG]],'Basic Data'!$A:$A,'Basic Data'!$B:$B)</f>
        <v>PWEGPL</v>
      </c>
      <c r="I983" s="39" t="str">
        <f>_xlfn.XLOOKUP(Table6[[#This Row],[Affected WTG]],'Basic Data'!$A:$A,'Basic Data'!$C:$C)</f>
        <v>MSEDCL</v>
      </c>
      <c r="J983" s="345">
        <f>IFERROR(VLOOKUP(Table6[[#This Row],[Affected WTG]],'Basic Data'!$A$3:$E$56,5,0),"")</f>
        <v>2.564102564102564E-2</v>
      </c>
      <c r="K983" s="105" t="s">
        <v>492</v>
      </c>
      <c r="L983" s="39" t="str">
        <f>IFERROR(VLOOKUP(Table6[[#This Row],[Error Code]],'Basic Data'!$T:$U,2,0),"")</f>
        <v>Manual Stop - Safety Related</v>
      </c>
      <c r="M983" s="346" t="s">
        <v>481</v>
      </c>
      <c r="N983" s="39" t="s">
        <v>230</v>
      </c>
      <c r="O983" s="330">
        <v>0.51388888888888884</v>
      </c>
      <c r="P983" s="330">
        <v>0.51388888888888884</v>
      </c>
      <c r="Q983" s="330">
        <v>0.66527777777777775</v>
      </c>
      <c r="R983" s="348">
        <f>IF(Table6[[#This Row],[Work Start TimeStamp]]="","",(Table6[[#This Row],[Work Start TimeStamp]]-Table6[[#This Row],[Fault Start TimeStamp]])*24)</f>
        <v>0</v>
      </c>
      <c r="S983" s="349">
        <f>(Table6[[#This Row],[Fault Clearance time]]-Table6[[#This Row],[Work Start TimeStamp]])*24</f>
        <v>3.6333333333333337</v>
      </c>
      <c r="T983" s="350">
        <f>(Table6[[#This Row],[Fault Clearance time]]-Table6[[#This Row],[Fault Start TimeStamp]])*24</f>
        <v>3.6333333333333337</v>
      </c>
      <c r="U983" s="346" t="s">
        <v>501</v>
      </c>
      <c r="V983" s="346" t="s">
        <v>463</v>
      </c>
      <c r="W983" s="377">
        <f>Table6[[#This Row],[Breakdown Time]]*(1/39)</f>
        <v>9.3162393162393164E-2</v>
      </c>
      <c r="X983" s="336" t="s">
        <v>465</v>
      </c>
      <c r="Y983" s="346" t="s">
        <v>147</v>
      </c>
      <c r="Z983" s="15">
        <v>8259</v>
      </c>
      <c r="AA983" s="107">
        <f>IFERROR((Table6[[#This Row],[Paired WTG Generation for loss calculation]]/24)*Table6[[#This Row],[Breakdown Time]],"")</f>
        <v>1250.3208333333334</v>
      </c>
      <c r="AB983" s="107" t="s">
        <v>478</v>
      </c>
      <c r="AC983" s="105"/>
      <c r="AD983" s="105"/>
    </row>
    <row r="984" spans="1:30">
      <c r="A984" s="105">
        <f t="shared" si="15"/>
        <v>983</v>
      </c>
      <c r="B984" s="371">
        <f>YEAR(Table6[[#This Row],[Date]])+IF(MONTH(Table6[[#This Row],[Date]])&gt;=4,1,0)</f>
        <v>2026</v>
      </c>
      <c r="C984" s="372">
        <f>YEAR(Table6[[#This Row],[Date]])</f>
        <v>2025</v>
      </c>
      <c r="D984" s="105" t="s">
        <v>490</v>
      </c>
      <c r="E984" s="119">
        <f>Table6[[#This Row],[Date]]-DAY(Table6[[#This Row],[Date]])+1</f>
        <v>45839</v>
      </c>
      <c r="F984" s="373">
        <v>45853</v>
      </c>
      <c r="G984" s="374" t="s">
        <v>145</v>
      </c>
      <c r="H984" s="39" t="str">
        <f>_xlfn.XLOOKUP(Table6[[#This Row],[Affected WTG]],'Basic Data'!$A:$A,'Basic Data'!$B:$B)</f>
        <v>PWEGPL</v>
      </c>
      <c r="I984" s="39" t="str">
        <f>_xlfn.XLOOKUP(Table6[[#This Row],[Affected WTG]],'Basic Data'!$A:$A,'Basic Data'!$C:$C)</f>
        <v>MSEDCL</v>
      </c>
      <c r="J984" s="345">
        <f>IFERROR(VLOOKUP(Table6[[#This Row],[Affected WTG]],'Basic Data'!$A$3:$E$56,5,0),"")</f>
        <v>2.564102564102564E-2</v>
      </c>
      <c r="K984" s="105">
        <v>5203</v>
      </c>
      <c r="L984" s="39" t="str">
        <f>IFERROR(VLOOKUP(Table6[[#This Row],[Error Code]],'Basic Data'!$T:$U,2,0),"")</f>
        <v>Heating/Coolant Thermal Magnetic Failure</v>
      </c>
      <c r="M984" s="346" t="s">
        <v>462</v>
      </c>
      <c r="N984" s="39" t="s">
        <v>1270</v>
      </c>
      <c r="O984" s="330">
        <v>0.57361111111111107</v>
      </c>
      <c r="P984" s="330">
        <v>0.59097222222222223</v>
      </c>
      <c r="Q984" s="330">
        <v>0.6694444444444444</v>
      </c>
      <c r="R984" s="348">
        <f>IF(Table6[[#This Row],[Work Start TimeStamp]]="","",(Table6[[#This Row],[Work Start TimeStamp]]-Table6[[#This Row],[Fault Start TimeStamp]])*24)</f>
        <v>0.41666666666666785</v>
      </c>
      <c r="S984" s="349">
        <f>(Table6[[#This Row],[Fault Clearance time]]-Table6[[#This Row],[Work Start TimeStamp]])*24</f>
        <v>1.883333333333332</v>
      </c>
      <c r="T984" s="350">
        <f>(Table6[[#This Row],[Fault Clearance time]]-Table6[[#This Row],[Fault Start TimeStamp]])*24</f>
        <v>2.2999999999999998</v>
      </c>
      <c r="U984" s="346" t="s">
        <v>1359</v>
      </c>
      <c r="V984" s="346" t="s">
        <v>463</v>
      </c>
      <c r="W984" s="377">
        <f>Table6[[#This Row],[Breakdown Time]]*(1/39)</f>
        <v>5.8974358974358966E-2</v>
      </c>
      <c r="X984" s="336" t="s">
        <v>465</v>
      </c>
      <c r="Y984" s="346" t="s">
        <v>139</v>
      </c>
      <c r="Z984" s="15">
        <v>8260</v>
      </c>
      <c r="AA984" s="107">
        <f>IFERROR((Table6[[#This Row],[Paired WTG Generation for loss calculation]]/24)*Table6[[#This Row],[Breakdown Time]],"")</f>
        <v>791.58333333333337</v>
      </c>
      <c r="AB984" s="107" t="s">
        <v>478</v>
      </c>
      <c r="AC984" s="105"/>
      <c r="AD984" s="105"/>
    </row>
    <row r="985" spans="1:30">
      <c r="A985" s="105">
        <f t="shared" si="15"/>
        <v>984</v>
      </c>
      <c r="B985" s="371">
        <f>YEAR(Table6[[#This Row],[Date]])+IF(MONTH(Table6[[#This Row],[Date]])&gt;=4,1,0)</f>
        <v>2026</v>
      </c>
      <c r="C985" s="372">
        <f>YEAR(Table6[[#This Row],[Date]])</f>
        <v>2025</v>
      </c>
      <c r="D985" s="105" t="s">
        <v>490</v>
      </c>
      <c r="E985" s="119">
        <f>Table6[[#This Row],[Date]]-DAY(Table6[[#This Row],[Date]])+1</f>
        <v>45839</v>
      </c>
      <c r="F985" s="373">
        <v>45854</v>
      </c>
      <c r="G985" s="105" t="s">
        <v>144</v>
      </c>
      <c r="H985" s="39" t="str">
        <f>_xlfn.XLOOKUP(Table6[[#This Row],[Affected WTG]],'Basic Data'!$A:$A,'Basic Data'!$B:$B)</f>
        <v>PWEGPL</v>
      </c>
      <c r="I985" s="39" t="str">
        <f>_xlfn.XLOOKUP(Table6[[#This Row],[Affected WTG]],'Basic Data'!$A:$A,'Basic Data'!$C:$C)</f>
        <v>MSEDCL</v>
      </c>
      <c r="J985" s="345">
        <f>IFERROR(VLOOKUP(Table6[[#This Row],[Affected WTG]],'Basic Data'!$A$3:$E$56,5,0),"")</f>
        <v>2.564102564102564E-2</v>
      </c>
      <c r="K985" s="105">
        <v>700</v>
      </c>
      <c r="L985" s="39" t="str">
        <f>IFERROR(VLOOKUP(Table6[[#This Row],[Error Code]],'Basic Data'!$T:$U,2,0),"")</f>
        <v>PLC-Converter Communication Error</v>
      </c>
      <c r="M985" s="346" t="s">
        <v>462</v>
      </c>
      <c r="N985" s="105" t="s">
        <v>1270</v>
      </c>
      <c r="O985" s="347">
        <v>0</v>
      </c>
      <c r="P985" s="347">
        <v>0.99998842592592596</v>
      </c>
      <c r="Q985" s="347">
        <v>0.99998842592592596</v>
      </c>
      <c r="R985" s="348">
        <f>IF(Table6[[#This Row],[Work Start TimeStamp]]="","",(Table6[[#This Row],[Work Start TimeStamp]]-Table6[[#This Row],[Fault Start TimeStamp]])*24)</f>
        <v>23.999722222222225</v>
      </c>
      <c r="S985" s="349">
        <f>(Table6[[#This Row],[Fault Clearance time]]-Table6[[#This Row],[Work Start TimeStamp]])*24</f>
        <v>0</v>
      </c>
      <c r="T985" s="350">
        <f>(Table6[[#This Row],[Fault Clearance time]]-Table6[[#This Row],[Fault Start TimeStamp]])*24</f>
        <v>23.999722222222225</v>
      </c>
      <c r="U985" s="346" t="s">
        <v>1348</v>
      </c>
      <c r="V985" s="351" t="s">
        <v>473</v>
      </c>
      <c r="W985" s="377">
        <f>Table6[[#This Row],[Breakdown Time]]*(1/39)</f>
        <v>0.61537749287749288</v>
      </c>
      <c r="X985" s="336" t="s">
        <v>465</v>
      </c>
      <c r="Y985" s="352" t="s">
        <v>143</v>
      </c>
      <c r="Z985" s="380">
        <v>3759</v>
      </c>
      <c r="AA985" s="107">
        <f>IFERROR((Table6[[#This Row],[Paired WTG Generation for loss calculation]]/24)*Table6[[#This Row],[Breakdown Time]],"")</f>
        <v>3758.9564930555562</v>
      </c>
      <c r="AB985" s="105" t="s">
        <v>1381</v>
      </c>
      <c r="AC985" s="105"/>
      <c r="AD985" s="105"/>
    </row>
    <row r="986" spans="1:30">
      <c r="A986" s="105">
        <f t="shared" si="15"/>
        <v>985</v>
      </c>
      <c r="B986" s="371">
        <f>YEAR(Table6[[#This Row],[Date]])+IF(MONTH(Table6[[#This Row],[Date]])&gt;=4,1,0)</f>
        <v>2026</v>
      </c>
      <c r="C986" s="372">
        <f>YEAR(Table6[[#This Row],[Date]])</f>
        <v>2025</v>
      </c>
      <c r="D986" s="105" t="s">
        <v>490</v>
      </c>
      <c r="E986" s="119">
        <f>Table6[[#This Row],[Date]]-DAY(Table6[[#This Row],[Date]])+1</f>
        <v>45839</v>
      </c>
      <c r="F986" s="373">
        <v>45854</v>
      </c>
      <c r="G986" s="105" t="s">
        <v>142</v>
      </c>
      <c r="H986" s="39" t="str">
        <f>_xlfn.XLOOKUP(Table6[[#This Row],[Affected WTG]],'Basic Data'!$A:$A,'Basic Data'!$B:$B)</f>
        <v>PWEGPL</v>
      </c>
      <c r="I986" s="39" t="str">
        <f>_xlfn.XLOOKUP(Table6[[#This Row],[Affected WTG]],'Basic Data'!$A:$A,'Basic Data'!$C:$C)</f>
        <v>MSEDCL</v>
      </c>
      <c r="J986" s="345">
        <f>IFERROR(VLOOKUP(Table6[[#This Row],[Affected WTG]],'Basic Data'!$A$3:$E$56,5,0),"")</f>
        <v>2.564102564102564E-2</v>
      </c>
      <c r="K986" s="105" t="s">
        <v>492</v>
      </c>
      <c r="L986" s="39" t="str">
        <f>IFERROR(VLOOKUP(Table6[[#This Row],[Error Code]],'Basic Data'!$T:$U,2,0),"")</f>
        <v>Manual Stop - Safety Related</v>
      </c>
      <c r="M986" s="346" t="s">
        <v>481</v>
      </c>
      <c r="N986" s="105" t="s">
        <v>1269</v>
      </c>
      <c r="O986" s="347">
        <v>0</v>
      </c>
      <c r="P986" s="347">
        <v>0.99998842592592596</v>
      </c>
      <c r="Q986" s="347">
        <v>0.99998842592592596</v>
      </c>
      <c r="R986" s="348">
        <f>IF(Table6[[#This Row],[Work Start TimeStamp]]="","",(Table6[[#This Row],[Work Start TimeStamp]]-Table6[[#This Row],[Fault Start TimeStamp]])*24)</f>
        <v>23.999722222222225</v>
      </c>
      <c r="S986" s="349">
        <f>(Table6[[#This Row],[Fault Clearance time]]-Table6[[#This Row],[Work Start TimeStamp]])*24</f>
        <v>0</v>
      </c>
      <c r="T986" s="350">
        <f>(Table6[[#This Row],[Fault Clearance time]]-Table6[[#This Row],[Fault Start TimeStamp]])*24</f>
        <v>23.999722222222225</v>
      </c>
      <c r="U986" s="346" t="s">
        <v>498</v>
      </c>
      <c r="V986" s="351" t="s">
        <v>473</v>
      </c>
      <c r="W986" s="377">
        <f>Table6[[#This Row],[Breakdown Time]]*(1/39)</f>
        <v>0.61537749287749288</v>
      </c>
      <c r="X986" s="336" t="s">
        <v>1212</v>
      </c>
      <c r="Y986" s="352" t="s">
        <v>143</v>
      </c>
      <c r="Z986" s="380">
        <v>3759</v>
      </c>
      <c r="AA986" s="107">
        <f>IFERROR((Table6[[#This Row],[Paired WTG Generation for loss calculation]]/24)*Table6[[#This Row],[Breakdown Time]],"")</f>
        <v>3758.9564930555562</v>
      </c>
      <c r="AB986" s="105" t="s">
        <v>478</v>
      </c>
      <c r="AC986" s="105"/>
      <c r="AD986" s="105"/>
    </row>
    <row r="987" spans="1:30">
      <c r="A987" s="105">
        <f t="shared" si="15"/>
        <v>986</v>
      </c>
      <c r="B987" s="371">
        <f>YEAR(Table6[[#This Row],[Date]])+IF(MONTH(Table6[[#This Row],[Date]])&gt;=4,1,0)</f>
        <v>2026</v>
      </c>
      <c r="C987" s="372">
        <f>YEAR(Table6[[#This Row],[Date]])</f>
        <v>2025</v>
      </c>
      <c r="D987" s="105" t="s">
        <v>490</v>
      </c>
      <c r="E987" s="119">
        <f>Table6[[#This Row],[Date]]-DAY(Table6[[#This Row],[Date]])+1</f>
        <v>45839</v>
      </c>
      <c r="F987" s="373">
        <v>45854</v>
      </c>
      <c r="G987" s="105" t="s">
        <v>131</v>
      </c>
      <c r="H987" s="39" t="str">
        <f>_xlfn.XLOOKUP(Table6[[#This Row],[Affected WTG]],'Basic Data'!$A:$A,'Basic Data'!$B:$B)</f>
        <v>PWEGPL</v>
      </c>
      <c r="I987" s="39" t="str">
        <f>_xlfn.XLOOKUP(Table6[[#This Row],[Affected WTG]],'Basic Data'!$A:$A,'Basic Data'!$C:$C)</f>
        <v>MSEDCL</v>
      </c>
      <c r="J987" s="345">
        <f>IFERROR(VLOOKUP(Table6[[#This Row],[Affected WTG]],'Basic Data'!$A$3:$E$56,5,0),"")</f>
        <v>2.564102564102564E-2</v>
      </c>
      <c r="K987" s="105">
        <v>5216</v>
      </c>
      <c r="L987" s="39" t="str">
        <f>IFERROR(VLOOKUP(Table6[[#This Row],[Error Code]],'Basic Data'!$T:$U,2,0),"")</f>
        <v>Grid Voltage Failure</v>
      </c>
      <c r="M987" s="346" t="s">
        <v>462</v>
      </c>
      <c r="N987" s="105" t="s">
        <v>1270</v>
      </c>
      <c r="O987" s="330">
        <v>0</v>
      </c>
      <c r="P987" s="330">
        <v>0.35347222222222224</v>
      </c>
      <c r="Q987" s="330">
        <v>0.8</v>
      </c>
      <c r="R987" s="348">
        <f>IF(Table6[[#This Row],[Work Start TimeStamp]]="","",(Table6[[#This Row],[Work Start TimeStamp]]-Table6[[#This Row],[Fault Start TimeStamp]])*24)</f>
        <v>8.4833333333333343</v>
      </c>
      <c r="S987" s="349">
        <f>(Table6[[#This Row],[Fault Clearance time]]-Table6[[#This Row],[Work Start TimeStamp]])*24</f>
        <v>10.716666666666667</v>
      </c>
      <c r="T987" s="350">
        <f>(Table6[[#This Row],[Fault Clearance time]]-Table6[[#This Row],[Fault Start TimeStamp]])*24</f>
        <v>19.200000000000003</v>
      </c>
      <c r="U987" s="346" t="s">
        <v>1360</v>
      </c>
      <c r="V987" s="346" t="s">
        <v>463</v>
      </c>
      <c r="W987" s="377">
        <f>Table6[[#This Row],[Breakdown Time]]*(1/39)</f>
        <v>0.49230769230769239</v>
      </c>
      <c r="X987" s="336" t="s">
        <v>465</v>
      </c>
      <c r="Y987" s="352" t="s">
        <v>130</v>
      </c>
      <c r="Z987" s="15">
        <v>3456</v>
      </c>
      <c r="AA987" s="107">
        <f>IFERROR((Table6[[#This Row],[Paired WTG Generation for loss calculation]]/24)*Table6[[#This Row],[Breakdown Time]],"")</f>
        <v>2764.8</v>
      </c>
      <c r="AB987" s="107" t="s">
        <v>478</v>
      </c>
      <c r="AC987" s="105"/>
      <c r="AD987" s="105"/>
    </row>
    <row r="988" spans="1:30">
      <c r="A988" s="105">
        <f t="shared" si="15"/>
        <v>987</v>
      </c>
      <c r="B988" s="371">
        <f>YEAR(Table6[[#This Row],[Date]])+IF(MONTH(Table6[[#This Row],[Date]])&gt;=4,1,0)</f>
        <v>2026</v>
      </c>
      <c r="C988" s="372">
        <f>YEAR(Table6[[#This Row],[Date]])</f>
        <v>2025</v>
      </c>
      <c r="D988" s="105" t="s">
        <v>490</v>
      </c>
      <c r="E988" s="119">
        <f>Table6[[#This Row],[Date]]-DAY(Table6[[#This Row],[Date]])+1</f>
        <v>45839</v>
      </c>
      <c r="F988" s="373">
        <v>45854</v>
      </c>
      <c r="G988" s="374" t="s">
        <v>129</v>
      </c>
      <c r="H988" s="39" t="str">
        <f>_xlfn.XLOOKUP(Table6[[#This Row],[Affected WTG]],'Basic Data'!$A:$A,'Basic Data'!$B:$B)</f>
        <v>PWEGPL</v>
      </c>
      <c r="I988" s="39" t="str">
        <f>_xlfn.XLOOKUP(Table6[[#This Row],[Affected WTG]],'Basic Data'!$A:$A,'Basic Data'!$C:$C)</f>
        <v>MSEDCL</v>
      </c>
      <c r="J988" s="345">
        <f>IFERROR(VLOOKUP(Table6[[#This Row],[Affected WTG]],'Basic Data'!$A$3:$E$56,5,0),"")</f>
        <v>2.564102564102564E-2</v>
      </c>
      <c r="K988" s="105" t="s">
        <v>492</v>
      </c>
      <c r="L988" s="39" t="str">
        <f>IFERROR(VLOOKUP(Table6[[#This Row],[Error Code]],'Basic Data'!$T:$U,2,0),"")</f>
        <v>Manual Stop - Safety Related</v>
      </c>
      <c r="M988" s="346" t="s">
        <v>481</v>
      </c>
      <c r="N988" s="105" t="s">
        <v>230</v>
      </c>
      <c r="O988" s="330">
        <v>0.46805555555555556</v>
      </c>
      <c r="P988" s="330">
        <v>0.46805555555555556</v>
      </c>
      <c r="Q988" s="330">
        <v>0.59166666666666667</v>
      </c>
      <c r="R988" s="348">
        <f>IF(Table6[[#This Row],[Work Start TimeStamp]]="","",(Table6[[#This Row],[Work Start TimeStamp]]-Table6[[#This Row],[Fault Start TimeStamp]])*24)</f>
        <v>0</v>
      </c>
      <c r="S988" s="349">
        <f>(Table6[[#This Row],[Fault Clearance time]]-Table6[[#This Row],[Work Start TimeStamp]])*24</f>
        <v>2.9666666666666668</v>
      </c>
      <c r="T988" s="350">
        <f>(Table6[[#This Row],[Fault Clearance time]]-Table6[[#This Row],[Fault Start TimeStamp]])*24</f>
        <v>2.9666666666666668</v>
      </c>
      <c r="U988" s="346" t="s">
        <v>501</v>
      </c>
      <c r="V988" s="346" t="s">
        <v>463</v>
      </c>
      <c r="W988" s="377">
        <f>Table6[[#This Row],[Breakdown Time]]*(1/39)</f>
        <v>7.6068376068376076E-2</v>
      </c>
      <c r="X988" s="336" t="s">
        <v>465</v>
      </c>
      <c r="Y988" s="346" t="s">
        <v>130</v>
      </c>
      <c r="Z988" s="15">
        <v>3456</v>
      </c>
      <c r="AA988" s="107">
        <f>IFERROR((Table6[[#This Row],[Paired WTG Generation for loss calculation]]/24)*Table6[[#This Row],[Breakdown Time]],"")</f>
        <v>427.20000000000005</v>
      </c>
      <c r="AB988" s="107" t="s">
        <v>478</v>
      </c>
      <c r="AC988" s="105"/>
      <c r="AD988" s="105"/>
    </row>
    <row r="989" spans="1:30">
      <c r="A989" s="105">
        <f t="shared" si="15"/>
        <v>988</v>
      </c>
      <c r="B989" s="371">
        <f>YEAR(Table6[[#This Row],[Date]])+IF(MONTH(Table6[[#This Row],[Date]])&gt;=4,1,0)</f>
        <v>2026</v>
      </c>
      <c r="C989" s="372">
        <f>YEAR(Table6[[#This Row],[Date]])</f>
        <v>2025</v>
      </c>
      <c r="D989" s="105" t="s">
        <v>490</v>
      </c>
      <c r="E989" s="119">
        <f>Table6[[#This Row],[Date]]-DAY(Table6[[#This Row],[Date]])+1</f>
        <v>45839</v>
      </c>
      <c r="F989" s="373">
        <v>45854</v>
      </c>
      <c r="G989" s="374" t="s">
        <v>146</v>
      </c>
      <c r="H989" s="39" t="str">
        <f>_xlfn.XLOOKUP(Table6[[#This Row],[Affected WTG]],'Basic Data'!$A:$A,'Basic Data'!$B:$B)</f>
        <v>PWEGPL</v>
      </c>
      <c r="I989" s="39" t="str">
        <f>_xlfn.XLOOKUP(Table6[[#This Row],[Affected WTG]],'Basic Data'!$A:$A,'Basic Data'!$C:$C)</f>
        <v>MSEDCL</v>
      </c>
      <c r="J989" s="345">
        <f>IFERROR(VLOOKUP(Table6[[#This Row],[Affected WTG]],'Basic Data'!$A$3:$E$56,5,0),"")</f>
        <v>2.564102564102564E-2</v>
      </c>
      <c r="K989" s="105" t="s">
        <v>466</v>
      </c>
      <c r="L989" s="39" t="str">
        <f>IFERROR(VLOOKUP(Table6[[#This Row],[Error Code]],'Basic Data'!$T:$U,2,0),"")</f>
        <v>Manual Stop</v>
      </c>
      <c r="M989" s="346" t="s">
        <v>1361</v>
      </c>
      <c r="N989" s="105" t="s">
        <v>230</v>
      </c>
      <c r="O989" s="330">
        <v>0.4826388888888889</v>
      </c>
      <c r="P989" s="330">
        <v>0.4826388888888889</v>
      </c>
      <c r="Q989" s="330">
        <v>0.58611111111111114</v>
      </c>
      <c r="R989" s="348">
        <f>IF(Table6[[#This Row],[Work Start TimeStamp]]="","",(Table6[[#This Row],[Work Start TimeStamp]]-Table6[[#This Row],[Fault Start TimeStamp]])*24)</f>
        <v>0</v>
      </c>
      <c r="S989" s="349">
        <f>(Table6[[#This Row],[Fault Clearance time]]-Table6[[#This Row],[Work Start TimeStamp]])*24</f>
        <v>2.4833333333333338</v>
      </c>
      <c r="T989" s="350">
        <f>(Table6[[#This Row],[Fault Clearance time]]-Table6[[#This Row],[Fault Start TimeStamp]])*24</f>
        <v>2.4833333333333338</v>
      </c>
      <c r="U989" s="346" t="s">
        <v>1362</v>
      </c>
      <c r="V989" s="346" t="s">
        <v>463</v>
      </c>
      <c r="W989" s="377">
        <f>Table6[[#This Row],[Breakdown Time]]*(1/39)</f>
        <v>6.3675213675213685E-2</v>
      </c>
      <c r="X989" s="336" t="s">
        <v>465</v>
      </c>
      <c r="Y989" s="346" t="s">
        <v>147</v>
      </c>
      <c r="Z989" s="380">
        <v>3038</v>
      </c>
      <c r="AA989" s="107">
        <f>IFERROR((Table6[[#This Row],[Paired WTG Generation for loss calculation]]/24)*Table6[[#This Row],[Breakdown Time]],"")</f>
        <v>314.34861111111115</v>
      </c>
      <c r="AB989" s="107" t="s">
        <v>478</v>
      </c>
      <c r="AC989" s="105"/>
      <c r="AD989" s="105"/>
    </row>
    <row r="990" spans="1:30">
      <c r="A990" s="105">
        <f t="shared" si="15"/>
        <v>989</v>
      </c>
      <c r="B990" s="371">
        <f>YEAR(Table6[[#This Row],[Date]])+IF(MONTH(Table6[[#This Row],[Date]])&gt;=4,1,0)</f>
        <v>2026</v>
      </c>
      <c r="C990" s="372">
        <f>YEAR(Table6[[#This Row],[Date]])</f>
        <v>2025</v>
      </c>
      <c r="D990" s="105" t="s">
        <v>490</v>
      </c>
      <c r="E990" s="119">
        <f>Table6[[#This Row],[Date]]-DAY(Table6[[#This Row],[Date]])+1</f>
        <v>45839</v>
      </c>
      <c r="F990" s="373">
        <v>45854</v>
      </c>
      <c r="G990" s="374" t="s">
        <v>126</v>
      </c>
      <c r="H990" s="39" t="str">
        <f>_xlfn.XLOOKUP(Table6[[#This Row],[Affected WTG]],'Basic Data'!$A:$A,'Basic Data'!$B:$B)</f>
        <v>PWEGPL</v>
      </c>
      <c r="I990" s="39" t="str">
        <f>_xlfn.XLOOKUP(Table6[[#This Row],[Affected WTG]],'Basic Data'!$A:$A,'Basic Data'!$C:$C)</f>
        <v>MSEDCL</v>
      </c>
      <c r="J990" s="345">
        <f>IFERROR(VLOOKUP(Table6[[#This Row],[Affected WTG]],'Basic Data'!$A$3:$E$56,5,0),"")</f>
        <v>2.564102564102564E-2</v>
      </c>
      <c r="K990" s="105">
        <v>1822</v>
      </c>
      <c r="L990" s="39" t="str">
        <f>IFERROR(VLOOKUP(Table6[[#This Row],[Error Code]],'Basic Data'!$T:$U,2,0),"")</f>
        <v>Discussion Due To Low Temperature</v>
      </c>
      <c r="M990" s="346" t="s">
        <v>462</v>
      </c>
      <c r="N990" s="105" t="s">
        <v>1270</v>
      </c>
      <c r="O990" s="330">
        <v>0.75138888888888888</v>
      </c>
      <c r="P990" s="330">
        <v>0.76041666666666663</v>
      </c>
      <c r="Q990" s="330">
        <v>0.80277777777777781</v>
      </c>
      <c r="R990" s="348">
        <f>IF(Table6[[#This Row],[Work Start TimeStamp]]="","",(Table6[[#This Row],[Work Start TimeStamp]]-Table6[[#This Row],[Fault Start TimeStamp]])*24)</f>
        <v>0.2166666666666659</v>
      </c>
      <c r="S990" s="349">
        <f>(Table6[[#This Row],[Fault Clearance time]]-Table6[[#This Row],[Work Start TimeStamp]])*24</f>
        <v>1.0166666666666684</v>
      </c>
      <c r="T990" s="350">
        <f>(Table6[[#This Row],[Fault Clearance time]]-Table6[[#This Row],[Fault Start TimeStamp]])*24</f>
        <v>1.2333333333333343</v>
      </c>
      <c r="U990" s="346" t="s">
        <v>1363</v>
      </c>
      <c r="V990" s="346" t="s">
        <v>463</v>
      </c>
      <c r="W990" s="377">
        <f>Table6[[#This Row],[Breakdown Time]]*(1/39)</f>
        <v>3.162393162393165E-2</v>
      </c>
      <c r="X990" s="336" t="s">
        <v>465</v>
      </c>
      <c r="Y990" s="346" t="s">
        <v>127</v>
      </c>
      <c r="Z990" s="15">
        <v>3498</v>
      </c>
      <c r="AA990" s="107">
        <f>IFERROR((Table6[[#This Row],[Paired WTG Generation for loss calculation]]/24)*Table6[[#This Row],[Breakdown Time]],"")</f>
        <v>179.75833333333347</v>
      </c>
      <c r="AB990" s="107" t="s">
        <v>478</v>
      </c>
      <c r="AC990" s="105"/>
      <c r="AD990" s="105"/>
    </row>
    <row r="991" spans="1:30">
      <c r="A991" s="105">
        <f t="shared" si="15"/>
        <v>990</v>
      </c>
      <c r="B991" s="371">
        <f>YEAR(Table6[[#This Row],[Date]])+IF(MONTH(Table6[[#This Row],[Date]])&gt;=4,1,0)</f>
        <v>2026</v>
      </c>
      <c r="C991" s="372">
        <f>YEAR(Table6[[#This Row],[Date]])</f>
        <v>2025</v>
      </c>
      <c r="D991" s="105" t="s">
        <v>490</v>
      </c>
      <c r="E991" s="119">
        <f>Table6[[#This Row],[Date]]-DAY(Table6[[#This Row],[Date]])+1</f>
        <v>45839</v>
      </c>
      <c r="F991" s="373">
        <v>45855</v>
      </c>
      <c r="G991" s="105" t="s">
        <v>144</v>
      </c>
      <c r="H991" s="39" t="str">
        <f>_xlfn.XLOOKUP(Table6[[#This Row],[Affected WTG]],'Basic Data'!$A:$A,'Basic Data'!$B:$B)</f>
        <v>PWEGPL</v>
      </c>
      <c r="I991" s="39" t="str">
        <f>_xlfn.XLOOKUP(Table6[[#This Row],[Affected WTG]],'Basic Data'!$A:$A,'Basic Data'!$C:$C)</f>
        <v>MSEDCL</v>
      </c>
      <c r="J991" s="345">
        <f>IFERROR(VLOOKUP(Table6[[#This Row],[Affected WTG]],'Basic Data'!$A$3:$E$56,5,0),"")</f>
        <v>2.564102564102564E-2</v>
      </c>
      <c r="K991" s="105">
        <v>700</v>
      </c>
      <c r="L991" s="39" t="str">
        <f>IFERROR(VLOOKUP(Table6[[#This Row],[Error Code]],'Basic Data'!$T:$U,2,0),"")</f>
        <v>PLC-Converter Communication Error</v>
      </c>
      <c r="M991" s="346" t="s">
        <v>462</v>
      </c>
      <c r="N991" s="105" t="s">
        <v>1270</v>
      </c>
      <c r="O991" s="347">
        <v>0</v>
      </c>
      <c r="P991" s="347">
        <v>0.99998842592592596</v>
      </c>
      <c r="Q991" s="347">
        <v>0.99998842592592596</v>
      </c>
      <c r="R991" s="348">
        <f>IF(Table6[[#This Row],[Work Start TimeStamp]]="","",(Table6[[#This Row],[Work Start TimeStamp]]-Table6[[#This Row],[Fault Start TimeStamp]])*24)</f>
        <v>23.999722222222225</v>
      </c>
      <c r="S991" s="349">
        <f>(Table6[[#This Row],[Fault Clearance time]]-Table6[[#This Row],[Work Start TimeStamp]])*24</f>
        <v>0</v>
      </c>
      <c r="T991" s="350">
        <f>(Table6[[#This Row],[Fault Clearance time]]-Table6[[#This Row],[Fault Start TimeStamp]])*24</f>
        <v>23.999722222222225</v>
      </c>
      <c r="U991" s="346" t="s">
        <v>1348</v>
      </c>
      <c r="V991" s="351" t="s">
        <v>473</v>
      </c>
      <c r="W991" s="377">
        <f>Table6[[#This Row],[Breakdown Time]]*(1/39)</f>
        <v>0.61537749287749288</v>
      </c>
      <c r="X991" s="336" t="s">
        <v>465</v>
      </c>
      <c r="Y991" s="352" t="s">
        <v>143</v>
      </c>
      <c r="Z991" s="105">
        <v>2198</v>
      </c>
      <c r="AA991" s="107">
        <f>IFERROR((Table6[[#This Row],[Paired WTG Generation for loss calculation]]/24)*Table6[[#This Row],[Breakdown Time]],"")</f>
        <v>2197.9745601851855</v>
      </c>
      <c r="AB991" s="105" t="s">
        <v>1381</v>
      </c>
      <c r="AC991" s="105"/>
      <c r="AD991" s="105"/>
    </row>
    <row r="992" spans="1:30">
      <c r="A992" s="105">
        <f t="shared" si="15"/>
        <v>991</v>
      </c>
      <c r="B992" s="371">
        <f>YEAR(Table6[[#This Row],[Date]])+IF(MONTH(Table6[[#This Row],[Date]])&gt;=4,1,0)</f>
        <v>2026</v>
      </c>
      <c r="C992" s="372">
        <f>YEAR(Table6[[#This Row],[Date]])</f>
        <v>2025</v>
      </c>
      <c r="D992" s="105" t="s">
        <v>490</v>
      </c>
      <c r="E992" s="119">
        <f>Table6[[#This Row],[Date]]-DAY(Table6[[#This Row],[Date]])+1</f>
        <v>45839</v>
      </c>
      <c r="F992" s="373">
        <v>45855</v>
      </c>
      <c r="G992" s="105" t="s">
        <v>142</v>
      </c>
      <c r="H992" s="39" t="str">
        <f>_xlfn.XLOOKUP(Table6[[#This Row],[Affected WTG]],'Basic Data'!$A:$A,'Basic Data'!$B:$B)</f>
        <v>PWEGPL</v>
      </c>
      <c r="I992" s="39" t="str">
        <f>_xlfn.XLOOKUP(Table6[[#This Row],[Affected WTG]],'Basic Data'!$A:$A,'Basic Data'!$C:$C)</f>
        <v>MSEDCL</v>
      </c>
      <c r="J992" s="345">
        <f>IFERROR(VLOOKUP(Table6[[#This Row],[Affected WTG]],'Basic Data'!$A$3:$E$56,5,0),"")</f>
        <v>2.564102564102564E-2</v>
      </c>
      <c r="K992" s="105" t="s">
        <v>492</v>
      </c>
      <c r="L992" s="39" t="str">
        <f>IFERROR(VLOOKUP(Table6[[#This Row],[Error Code]],'Basic Data'!$T:$U,2,0),"")</f>
        <v>Manual Stop - Safety Related</v>
      </c>
      <c r="M992" s="346" t="s">
        <v>481</v>
      </c>
      <c r="N992" s="105" t="s">
        <v>1269</v>
      </c>
      <c r="O992" s="347">
        <v>0</v>
      </c>
      <c r="P992" s="347">
        <v>0.99998842592592596</v>
      </c>
      <c r="Q992" s="347">
        <v>0.99998842592592596</v>
      </c>
      <c r="R992" s="348">
        <f>IF(Table6[[#This Row],[Work Start TimeStamp]]="","",(Table6[[#This Row],[Work Start TimeStamp]]-Table6[[#This Row],[Fault Start TimeStamp]])*24)</f>
        <v>23.999722222222225</v>
      </c>
      <c r="S992" s="349">
        <f>(Table6[[#This Row],[Fault Clearance time]]-Table6[[#This Row],[Work Start TimeStamp]])*24</f>
        <v>0</v>
      </c>
      <c r="T992" s="350">
        <f>(Table6[[#This Row],[Fault Clearance time]]-Table6[[#This Row],[Fault Start TimeStamp]])*24</f>
        <v>23.999722222222225</v>
      </c>
      <c r="U992" s="346" t="s">
        <v>498</v>
      </c>
      <c r="V992" s="351" t="s">
        <v>473</v>
      </c>
      <c r="W992" s="377">
        <f>Table6[[#This Row],[Breakdown Time]]*(1/39)</f>
        <v>0.61537749287749288</v>
      </c>
      <c r="X992" s="336" t="s">
        <v>1212</v>
      </c>
      <c r="Y992" s="352" t="s">
        <v>143</v>
      </c>
      <c r="Z992" s="105">
        <v>2198</v>
      </c>
      <c r="AA992" s="107">
        <f>IFERROR((Table6[[#This Row],[Paired WTG Generation for loss calculation]]/24)*Table6[[#This Row],[Breakdown Time]],"")</f>
        <v>2197.9745601851855</v>
      </c>
      <c r="AB992" s="107" t="s">
        <v>478</v>
      </c>
      <c r="AC992" s="105"/>
      <c r="AD992" s="105"/>
    </row>
    <row r="993" spans="1:30">
      <c r="A993" s="105">
        <f t="shared" si="15"/>
        <v>992</v>
      </c>
      <c r="B993" s="371">
        <f>YEAR(Table6[[#This Row],[Date]])+IF(MONTH(Table6[[#This Row],[Date]])&gt;=4,1,0)</f>
        <v>2026</v>
      </c>
      <c r="C993" s="372">
        <f>YEAR(Table6[[#This Row],[Date]])</f>
        <v>2025</v>
      </c>
      <c r="D993" s="105" t="s">
        <v>490</v>
      </c>
      <c r="E993" s="119">
        <f>Table6[[#This Row],[Date]]-DAY(Table6[[#This Row],[Date]])+1</f>
        <v>45839</v>
      </c>
      <c r="F993" s="373">
        <v>45855</v>
      </c>
      <c r="G993" s="374" t="s">
        <v>115</v>
      </c>
      <c r="H993" s="39" t="str">
        <f>_xlfn.XLOOKUP(Table6[[#This Row],[Affected WTG]],'Basic Data'!$A:$A,'Basic Data'!$B:$B)</f>
        <v>PWEGPL</v>
      </c>
      <c r="I993" s="39" t="str">
        <f>_xlfn.XLOOKUP(Table6[[#This Row],[Affected WTG]],'Basic Data'!$A:$A,'Basic Data'!$C:$C)</f>
        <v>MSEDCL</v>
      </c>
      <c r="J993" s="381">
        <f>IFERROR(VLOOKUP(Table6[[#This Row],[Affected WTG]],'Basic Data'!$A$3:$E$56,5,0),"")</f>
        <v>2.564102564102564E-2</v>
      </c>
      <c r="K993" s="105">
        <v>2118</v>
      </c>
      <c r="L993" s="39" t="str">
        <f>IFERROR(VLOOKUP(Table6[[#This Row],[Error Code]],'Basic Data'!$T:$U,2,0),"")</f>
        <v>Bus Error - Interbus Failure</v>
      </c>
      <c r="M993" s="346" t="s">
        <v>462</v>
      </c>
      <c r="N993" s="105" t="s">
        <v>1270</v>
      </c>
      <c r="O993" s="330">
        <v>0.72222222222222221</v>
      </c>
      <c r="P993" s="330">
        <v>0.76041666666666663</v>
      </c>
      <c r="Q993" s="330">
        <v>0.76111111111111107</v>
      </c>
      <c r="R993" s="348">
        <f>IF(Table6[[#This Row],[Work Start TimeStamp]]="","",(Table6[[#This Row],[Work Start TimeStamp]]-Table6[[#This Row],[Fault Start TimeStamp]])*24)</f>
        <v>0.91666666666666607</v>
      </c>
      <c r="S993" s="349">
        <f>(Table6[[#This Row],[Fault Clearance time]]-Table6[[#This Row],[Work Start TimeStamp]])*24</f>
        <v>1.6666666666666607E-2</v>
      </c>
      <c r="T993" s="350">
        <f>(Table6[[#This Row],[Fault Clearance time]]-Table6[[#This Row],[Fault Start TimeStamp]])*24</f>
        <v>0.93333333333333268</v>
      </c>
      <c r="U993" s="346" t="s">
        <v>493</v>
      </c>
      <c r="V993" s="346" t="s">
        <v>463</v>
      </c>
      <c r="W993" s="377">
        <f>Table6[[#This Row],[Breakdown Time]]*(1/39)</f>
        <v>2.3931623931623913E-2</v>
      </c>
      <c r="X993" s="337" t="s">
        <v>465</v>
      </c>
      <c r="Y993" s="346" t="s">
        <v>121</v>
      </c>
      <c r="Z993" s="105">
        <v>1956</v>
      </c>
      <c r="AA993" s="107">
        <f>IFERROR((Table6[[#This Row],[Paired WTG Generation for loss calculation]]/24)*Table6[[#This Row],[Breakdown Time]],"")</f>
        <v>76.06666666666662</v>
      </c>
      <c r="AB993" s="107" t="s">
        <v>478</v>
      </c>
      <c r="AC993" s="105"/>
      <c r="AD993" s="105"/>
    </row>
    <row r="994" spans="1:30">
      <c r="A994" s="105">
        <f t="shared" si="15"/>
        <v>993</v>
      </c>
      <c r="B994" s="371">
        <f>YEAR(Table6[[#This Row],[Date]])+IF(MONTH(Table6[[#This Row],[Date]])&gt;=4,1,0)</f>
        <v>2026</v>
      </c>
      <c r="C994" s="372">
        <f>YEAR(Table6[[#This Row],[Date]])</f>
        <v>2025</v>
      </c>
      <c r="D994" s="105" t="s">
        <v>490</v>
      </c>
      <c r="E994" s="119">
        <f>Table6[[#This Row],[Date]]-DAY(Table6[[#This Row],[Date]])+1</f>
        <v>45839</v>
      </c>
      <c r="F994" s="373">
        <v>45855</v>
      </c>
      <c r="G994" s="374" t="s">
        <v>116</v>
      </c>
      <c r="H994" s="39" t="str">
        <f>_xlfn.XLOOKUP(Table6[[#This Row],[Affected WTG]],'Basic Data'!$A:$A,'Basic Data'!$B:$B)</f>
        <v>PWEGPL</v>
      </c>
      <c r="I994" s="39" t="str">
        <f>_xlfn.XLOOKUP(Table6[[#This Row],[Affected WTG]],'Basic Data'!$A:$A,'Basic Data'!$C:$C)</f>
        <v>MSEDCL</v>
      </c>
      <c r="J994" s="381">
        <f>IFERROR(VLOOKUP(Table6[[#This Row],[Affected WTG]],'Basic Data'!$A$3:$E$56,5,0),"")</f>
        <v>2.564102564102564E-2</v>
      </c>
      <c r="K994" s="105">
        <v>5225</v>
      </c>
      <c r="L994" s="39" t="str">
        <f>IFERROR(VLOOKUP(Table6[[#This Row],[Error Code]],'Basic Data'!$T:$U,2,0),"")</f>
        <v>Fault In Analog Electronic Power Supply</v>
      </c>
      <c r="M994" s="346" t="s">
        <v>462</v>
      </c>
      <c r="N994" s="105" t="s">
        <v>1270</v>
      </c>
      <c r="O994" s="330">
        <v>0.60972222222222228</v>
      </c>
      <c r="P994" s="330">
        <v>0.64583333333333337</v>
      </c>
      <c r="Q994" s="330">
        <v>0.68194444444444446</v>
      </c>
      <c r="R994" s="348">
        <f>IF(Table6[[#This Row],[Work Start TimeStamp]]="","",(Table6[[#This Row],[Work Start TimeStamp]]-Table6[[#This Row],[Fault Start TimeStamp]])*24)</f>
        <v>0.86666666666666625</v>
      </c>
      <c r="S994" s="349">
        <f>(Table6[[#This Row],[Fault Clearance time]]-Table6[[#This Row],[Work Start TimeStamp]])*24</f>
        <v>0.86666666666666625</v>
      </c>
      <c r="T994" s="350">
        <f>(Table6[[#This Row],[Fault Clearance time]]-Table6[[#This Row],[Fault Start TimeStamp]])*24</f>
        <v>1.7333333333333325</v>
      </c>
      <c r="U994" s="346" t="s">
        <v>1369</v>
      </c>
      <c r="V994" s="346" t="s">
        <v>463</v>
      </c>
      <c r="W994" s="377">
        <f>Table6[[#This Row],[Breakdown Time]]*(1/39)</f>
        <v>4.4444444444444418E-2</v>
      </c>
      <c r="X994" s="337" t="s">
        <v>465</v>
      </c>
      <c r="Y994" s="346" t="s">
        <v>118</v>
      </c>
      <c r="Z994" s="105">
        <v>1948</v>
      </c>
      <c r="AA994" s="107">
        <f>IFERROR((Table6[[#This Row],[Paired WTG Generation for loss calculation]]/24)*Table6[[#This Row],[Breakdown Time]],"")</f>
        <v>140.68888888888884</v>
      </c>
      <c r="AB994" s="107" t="s">
        <v>478</v>
      </c>
      <c r="AC994" s="105"/>
      <c r="AD994" s="105"/>
    </row>
    <row r="995" spans="1:30">
      <c r="A995" s="105">
        <f t="shared" si="15"/>
        <v>994</v>
      </c>
      <c r="B995" s="371">
        <f>YEAR(Table6[[#This Row],[Date]])+IF(MONTH(Table6[[#This Row],[Date]])&gt;=4,1,0)</f>
        <v>2026</v>
      </c>
      <c r="C995" s="372">
        <f>YEAR(Table6[[#This Row],[Date]])</f>
        <v>2025</v>
      </c>
      <c r="D995" s="105" t="s">
        <v>490</v>
      </c>
      <c r="E995" s="119">
        <f>Table6[[#This Row],[Date]]-DAY(Table6[[#This Row],[Date]])+1</f>
        <v>45839</v>
      </c>
      <c r="F995" s="373">
        <v>45855</v>
      </c>
      <c r="G995" s="374" t="s">
        <v>120</v>
      </c>
      <c r="H995" s="39" t="str">
        <f>_xlfn.XLOOKUP(Table6[[#This Row],[Affected WTG]],'Basic Data'!$A:$A,'Basic Data'!$B:$B)</f>
        <v>PWEGPL</v>
      </c>
      <c r="I995" s="39" t="str">
        <f>_xlfn.XLOOKUP(Table6[[#This Row],[Affected WTG]],'Basic Data'!$A:$A,'Basic Data'!$C:$C)</f>
        <v>MSEDCL</v>
      </c>
      <c r="J995" s="381">
        <f>IFERROR(VLOOKUP(Table6[[#This Row],[Affected WTG]],'Basic Data'!$A$3:$E$56,5,0),"")</f>
        <v>2.564102564102564E-2</v>
      </c>
      <c r="K995" s="105">
        <v>5216</v>
      </c>
      <c r="L995" s="39" t="str">
        <f>IFERROR(VLOOKUP(Table6[[#This Row],[Error Code]],'Basic Data'!$T:$U,2,0),"")</f>
        <v>Grid Voltage Failure</v>
      </c>
      <c r="M995" s="346" t="s">
        <v>462</v>
      </c>
      <c r="N995" s="105" t="s">
        <v>1270</v>
      </c>
      <c r="O995" s="330">
        <v>0.47222222222222221</v>
      </c>
      <c r="P995" s="330">
        <v>0.52500000000000002</v>
      </c>
      <c r="Q995" s="330">
        <v>0.57499999999999996</v>
      </c>
      <c r="R995" s="348">
        <f>IF(Table6[[#This Row],[Work Start TimeStamp]]="","",(Table6[[#This Row],[Work Start TimeStamp]]-Table6[[#This Row],[Fault Start TimeStamp]])*24)</f>
        <v>1.2666666666666675</v>
      </c>
      <c r="S995" s="349">
        <f>(Table6[[#This Row],[Fault Clearance time]]-Table6[[#This Row],[Work Start TimeStamp]])*24</f>
        <v>1.1999999999999984</v>
      </c>
      <c r="T995" s="350">
        <f>(Table6[[#This Row],[Fault Clearance time]]-Table6[[#This Row],[Fault Start TimeStamp]])*24</f>
        <v>2.4666666666666659</v>
      </c>
      <c r="U995" s="346" t="s">
        <v>1370</v>
      </c>
      <c r="V995" s="346" t="s">
        <v>463</v>
      </c>
      <c r="W995" s="377">
        <f>Table6[[#This Row],[Breakdown Time]]*(1/39)</f>
        <v>6.3247863247863231E-2</v>
      </c>
      <c r="X995" s="337" t="s">
        <v>465</v>
      </c>
      <c r="Y995" s="346" t="s">
        <v>117</v>
      </c>
      <c r="Z995" s="105">
        <v>1952</v>
      </c>
      <c r="AA995" s="107">
        <f>IFERROR((Table6[[#This Row],[Paired WTG Generation for loss calculation]]/24)*Table6[[#This Row],[Breakdown Time]],"")</f>
        <v>200.62222222222215</v>
      </c>
      <c r="AB995" s="107" t="s">
        <v>478</v>
      </c>
      <c r="AC995" s="105"/>
      <c r="AD995" s="105"/>
    </row>
    <row r="996" spans="1:30">
      <c r="A996" s="105">
        <f t="shared" si="15"/>
        <v>995</v>
      </c>
      <c r="B996" s="371">
        <f>YEAR(Table6[[#This Row],[Date]])+IF(MONTH(Table6[[#This Row],[Date]])&gt;=4,1,0)</f>
        <v>2026</v>
      </c>
      <c r="C996" s="372">
        <f>YEAR(Table6[[#This Row],[Date]])</f>
        <v>2025</v>
      </c>
      <c r="D996" s="105" t="s">
        <v>490</v>
      </c>
      <c r="E996" s="119">
        <f>Table6[[#This Row],[Date]]-DAY(Table6[[#This Row],[Date]])+1</f>
        <v>45839</v>
      </c>
      <c r="F996" s="373">
        <v>45855</v>
      </c>
      <c r="G996" s="374" t="s">
        <v>123</v>
      </c>
      <c r="H996" s="39" t="str">
        <f>_xlfn.XLOOKUP(Table6[[#This Row],[Affected WTG]],'Basic Data'!$A:$A,'Basic Data'!$B:$B)</f>
        <v>PWEGPL</v>
      </c>
      <c r="I996" s="39" t="str">
        <f>_xlfn.XLOOKUP(Table6[[#This Row],[Affected WTG]],'Basic Data'!$A:$A,'Basic Data'!$C:$C)</f>
        <v>MSEDCL</v>
      </c>
      <c r="J996" s="381">
        <f>IFERROR(VLOOKUP(Table6[[#This Row],[Affected WTG]],'Basic Data'!$A$3:$E$56,5,0),"")</f>
        <v>2.564102564102564E-2</v>
      </c>
      <c r="K996" s="105">
        <v>203</v>
      </c>
      <c r="L996" s="39" t="str">
        <f>IFERROR(VLOOKUP(Table6[[#This Row],[Error Code]],'Basic Data'!$T:$U,2,0),"")</f>
        <v>Low Pressure On Hydraulic Group</v>
      </c>
      <c r="M996" s="346" t="s">
        <v>462</v>
      </c>
      <c r="N996" s="105" t="s">
        <v>1270</v>
      </c>
      <c r="O996" s="330">
        <v>0.63888888888888884</v>
      </c>
      <c r="P996" s="330">
        <v>0.66736111111111107</v>
      </c>
      <c r="Q996" s="330">
        <v>0.66805555555555551</v>
      </c>
      <c r="R996" s="348">
        <f>IF(Table6[[#This Row],[Work Start TimeStamp]]="","",(Table6[[#This Row],[Work Start TimeStamp]]-Table6[[#This Row],[Fault Start TimeStamp]])*24)</f>
        <v>0.68333333333333357</v>
      </c>
      <c r="S996" s="349">
        <f>(Table6[[#This Row],[Fault Clearance time]]-Table6[[#This Row],[Work Start TimeStamp]])*24</f>
        <v>1.6666666666666607E-2</v>
      </c>
      <c r="T996" s="350">
        <f>(Table6[[#This Row],[Fault Clearance time]]-Table6[[#This Row],[Fault Start TimeStamp]])*24</f>
        <v>0.70000000000000018</v>
      </c>
      <c r="U996" s="346" t="s">
        <v>493</v>
      </c>
      <c r="V996" s="346" t="s">
        <v>463</v>
      </c>
      <c r="W996" s="377">
        <f>Table6[[#This Row],[Breakdown Time]]*(1/39)</f>
        <v>1.7948717948717954E-2</v>
      </c>
      <c r="X996" s="337" t="s">
        <v>465</v>
      </c>
      <c r="Y996" s="346" t="s">
        <v>126</v>
      </c>
      <c r="Z996" s="105">
        <v>2012</v>
      </c>
      <c r="AA996" s="107">
        <f>IFERROR((Table6[[#This Row],[Paired WTG Generation for loss calculation]]/24)*Table6[[#This Row],[Breakdown Time]],"")</f>
        <v>58.683333333333344</v>
      </c>
      <c r="AB996" s="107" t="s">
        <v>478</v>
      </c>
      <c r="AC996" s="105"/>
      <c r="AD996" s="105"/>
    </row>
    <row r="997" spans="1:30">
      <c r="A997" s="105">
        <f t="shared" si="15"/>
        <v>996</v>
      </c>
      <c r="B997" s="371">
        <f>YEAR(Table6[[#This Row],[Date]])+IF(MONTH(Table6[[#This Row],[Date]])&gt;=4,1,0)</f>
        <v>2026</v>
      </c>
      <c r="C997" s="372">
        <f>YEAR(Table6[[#This Row],[Date]])</f>
        <v>2025</v>
      </c>
      <c r="D997" s="105" t="s">
        <v>490</v>
      </c>
      <c r="E997" s="119">
        <f>Table6[[#This Row],[Date]]-DAY(Table6[[#This Row],[Date]])+1</f>
        <v>45839</v>
      </c>
      <c r="F997" s="373">
        <v>45855</v>
      </c>
      <c r="G997" s="374" t="s">
        <v>126</v>
      </c>
      <c r="H997" s="39" t="str">
        <f>_xlfn.XLOOKUP(Table6[[#This Row],[Affected WTG]],'Basic Data'!$A:$A,'Basic Data'!$B:$B)</f>
        <v>PWEGPL</v>
      </c>
      <c r="I997" s="39" t="str">
        <f>_xlfn.XLOOKUP(Table6[[#This Row],[Affected WTG]],'Basic Data'!$A:$A,'Basic Data'!$C:$C)</f>
        <v>MSEDCL</v>
      </c>
      <c r="J997" s="381">
        <f>IFERROR(VLOOKUP(Table6[[#This Row],[Affected WTG]],'Basic Data'!$A$3:$E$56,5,0),"")</f>
        <v>2.564102564102564E-2</v>
      </c>
      <c r="K997" s="105">
        <v>700</v>
      </c>
      <c r="L997" s="39" t="str">
        <f>IFERROR(VLOOKUP(Table6[[#This Row],[Error Code]],'Basic Data'!$T:$U,2,0),"")</f>
        <v>PLC-Converter Communication Error</v>
      </c>
      <c r="M997" s="346" t="s">
        <v>462</v>
      </c>
      <c r="N997" s="105" t="s">
        <v>1270</v>
      </c>
      <c r="O997" s="330">
        <v>0.50694444444444442</v>
      </c>
      <c r="P997" s="330">
        <v>0.52569444444444446</v>
      </c>
      <c r="Q997" s="330">
        <v>0.52777777777777779</v>
      </c>
      <c r="R997" s="348">
        <f>IF(Table6[[#This Row],[Work Start TimeStamp]]="","",(Table6[[#This Row],[Work Start TimeStamp]]-Table6[[#This Row],[Fault Start TimeStamp]])*24)</f>
        <v>0.45000000000000107</v>
      </c>
      <c r="S997" s="349">
        <f>(Table6[[#This Row],[Fault Clearance time]]-Table6[[#This Row],[Work Start TimeStamp]])*24</f>
        <v>4.9999999999999822E-2</v>
      </c>
      <c r="T997" s="350">
        <f>(Table6[[#This Row],[Fault Clearance time]]-Table6[[#This Row],[Fault Start TimeStamp]])*24</f>
        <v>0.50000000000000089</v>
      </c>
      <c r="U997" s="346" t="s">
        <v>493</v>
      </c>
      <c r="V997" s="346" t="s">
        <v>463</v>
      </c>
      <c r="W997" s="377">
        <f>Table6[[#This Row],[Breakdown Time]]*(1/39)</f>
        <v>1.2820512820512843E-2</v>
      </c>
      <c r="X997" s="337" t="s">
        <v>465</v>
      </c>
      <c r="Y997" s="346" t="s">
        <v>123</v>
      </c>
      <c r="Z997" s="105">
        <v>2001</v>
      </c>
      <c r="AA997" s="107">
        <f>IFERROR((Table6[[#This Row],[Paired WTG Generation for loss calculation]]/24)*Table6[[#This Row],[Breakdown Time]],"")</f>
        <v>41.687500000000071</v>
      </c>
      <c r="AB997" s="107" t="s">
        <v>478</v>
      </c>
      <c r="AC997" s="105"/>
      <c r="AD997" s="105"/>
    </row>
    <row r="998" spans="1:30">
      <c r="A998" s="105">
        <f t="shared" si="15"/>
        <v>997</v>
      </c>
      <c r="B998" s="371">
        <f>YEAR(Table6[[#This Row],[Date]])+IF(MONTH(Table6[[#This Row],[Date]])&gt;=4,1,0)</f>
        <v>2026</v>
      </c>
      <c r="C998" s="372">
        <f>YEAR(Table6[[#This Row],[Date]])</f>
        <v>2025</v>
      </c>
      <c r="D998" s="105" t="s">
        <v>490</v>
      </c>
      <c r="E998" s="119">
        <f>Table6[[#This Row],[Date]]-DAY(Table6[[#This Row],[Date]])+1</f>
        <v>45839</v>
      </c>
      <c r="F998" s="373">
        <v>45855</v>
      </c>
      <c r="G998" s="374" t="s">
        <v>130</v>
      </c>
      <c r="H998" s="39" t="str">
        <f>_xlfn.XLOOKUP(Table6[[#This Row],[Affected WTG]],'Basic Data'!$A:$A,'Basic Data'!$B:$B)</f>
        <v>PWEGPL</v>
      </c>
      <c r="I998" s="39" t="str">
        <f>_xlfn.XLOOKUP(Table6[[#This Row],[Affected WTG]],'Basic Data'!$A:$A,'Basic Data'!$C:$C)</f>
        <v>MSEDCL</v>
      </c>
      <c r="J998" s="381">
        <f>IFERROR(VLOOKUP(Table6[[#This Row],[Affected WTG]],'Basic Data'!$A$3:$E$56,5,0),"")</f>
        <v>2.564102564102564E-2</v>
      </c>
      <c r="K998" s="105">
        <v>5203</v>
      </c>
      <c r="L998" s="39" t="str">
        <f>IFERROR(VLOOKUP(Table6[[#This Row],[Error Code]],'Basic Data'!$T:$U,2,0),"")</f>
        <v>Heating/Coolant Thermal Magnetic Failure</v>
      </c>
      <c r="M998" s="346" t="s">
        <v>462</v>
      </c>
      <c r="N998" s="105" t="s">
        <v>1270</v>
      </c>
      <c r="O998" s="330">
        <v>0.43055555555555558</v>
      </c>
      <c r="P998" s="330">
        <v>0.46041666666666664</v>
      </c>
      <c r="Q998" s="330">
        <v>0.50763888888888886</v>
      </c>
      <c r="R998" s="348">
        <f>IF(Table6[[#This Row],[Work Start TimeStamp]]="","",(Table6[[#This Row],[Work Start TimeStamp]]-Table6[[#This Row],[Fault Start TimeStamp]])*24)</f>
        <v>0.71666666666666545</v>
      </c>
      <c r="S998" s="349">
        <f>(Table6[[#This Row],[Fault Clearance time]]-Table6[[#This Row],[Work Start TimeStamp]])*24</f>
        <v>1.1333333333333333</v>
      </c>
      <c r="T998" s="350">
        <f>(Table6[[#This Row],[Fault Clearance time]]-Table6[[#This Row],[Fault Start TimeStamp]])*24</f>
        <v>1.8499999999999988</v>
      </c>
      <c r="U998" s="346" t="s">
        <v>525</v>
      </c>
      <c r="V998" s="346" t="s">
        <v>463</v>
      </c>
      <c r="W998" s="377">
        <f>Table6[[#This Row],[Breakdown Time]]*(1/39)</f>
        <v>4.7435897435897399E-2</v>
      </c>
      <c r="X998" s="337" t="s">
        <v>465</v>
      </c>
      <c r="Y998" s="346" t="s">
        <v>129</v>
      </c>
      <c r="Z998" s="105">
        <v>2109</v>
      </c>
      <c r="AA998" s="107">
        <f>IFERROR((Table6[[#This Row],[Paired WTG Generation for loss calculation]]/24)*Table6[[#This Row],[Breakdown Time]],"")</f>
        <v>162.56874999999988</v>
      </c>
      <c r="AB998" s="107" t="s">
        <v>478</v>
      </c>
      <c r="AC998" s="105"/>
      <c r="AD998" s="105"/>
    </row>
    <row r="999" spans="1:30">
      <c r="A999" s="105">
        <f t="shared" si="15"/>
        <v>998</v>
      </c>
      <c r="B999" s="371">
        <f>YEAR(Table6[[#This Row],[Date]])+IF(MONTH(Table6[[#This Row],[Date]])&gt;=4,1,0)</f>
        <v>2026</v>
      </c>
      <c r="C999" s="372">
        <f>YEAR(Table6[[#This Row],[Date]])</f>
        <v>2025</v>
      </c>
      <c r="D999" s="105" t="s">
        <v>490</v>
      </c>
      <c r="E999" s="119">
        <f>Table6[[#This Row],[Date]]-DAY(Table6[[#This Row],[Date]])+1</f>
        <v>45839</v>
      </c>
      <c r="F999" s="373">
        <v>45855</v>
      </c>
      <c r="G999" s="374" t="s">
        <v>131</v>
      </c>
      <c r="H999" s="39" t="str">
        <f>_xlfn.XLOOKUP(Table6[[#This Row],[Affected WTG]],'Basic Data'!$A:$A,'Basic Data'!$B:$B)</f>
        <v>PWEGPL</v>
      </c>
      <c r="I999" s="39" t="str">
        <f>_xlfn.XLOOKUP(Table6[[#This Row],[Affected WTG]],'Basic Data'!$A:$A,'Basic Data'!$C:$C)</f>
        <v>MSEDCL</v>
      </c>
      <c r="J999" s="381">
        <f>IFERROR(VLOOKUP(Table6[[#This Row],[Affected WTG]],'Basic Data'!$A$3:$E$56,5,0),"")</f>
        <v>2.564102564102564E-2</v>
      </c>
      <c r="K999" s="105" t="s">
        <v>466</v>
      </c>
      <c r="L999" s="39" t="str">
        <f>IFERROR(VLOOKUP(Table6[[#This Row],[Error Code]],'Basic Data'!$T:$U,2,0),"")</f>
        <v>Manual Stop</v>
      </c>
      <c r="M999" s="346" t="s">
        <v>462</v>
      </c>
      <c r="N999" s="105" t="s">
        <v>230</v>
      </c>
      <c r="O999" s="330">
        <v>0.71875</v>
      </c>
      <c r="P999" s="330">
        <v>0.71875</v>
      </c>
      <c r="Q999" s="330">
        <v>0.8</v>
      </c>
      <c r="R999" s="348">
        <f>IF(Table6[[#This Row],[Work Start TimeStamp]]="","",(Table6[[#This Row],[Work Start TimeStamp]]-Table6[[#This Row],[Fault Start TimeStamp]])*24)</f>
        <v>0</v>
      </c>
      <c r="S999" s="349">
        <f>(Table6[[#This Row],[Fault Clearance time]]-Table6[[#This Row],[Work Start TimeStamp]])*24</f>
        <v>1.9500000000000011</v>
      </c>
      <c r="T999" s="350">
        <f>(Table6[[#This Row],[Fault Clearance time]]-Table6[[#This Row],[Fault Start TimeStamp]])*24</f>
        <v>1.9500000000000011</v>
      </c>
      <c r="U999" s="346" t="s">
        <v>1371</v>
      </c>
      <c r="V999" s="346" t="s">
        <v>463</v>
      </c>
      <c r="W999" s="377">
        <f>Table6[[#This Row],[Breakdown Time]]*(1/39)</f>
        <v>5.0000000000000024E-2</v>
      </c>
      <c r="X999" s="337" t="s">
        <v>465</v>
      </c>
      <c r="Y999" s="346" t="s">
        <v>130</v>
      </c>
      <c r="Z999" s="105">
        <v>2018</v>
      </c>
      <c r="AA999" s="107">
        <f>IFERROR((Table6[[#This Row],[Paired WTG Generation for loss calculation]]/24)*Table6[[#This Row],[Breakdown Time]],"")</f>
        <v>163.96250000000009</v>
      </c>
      <c r="AB999" s="107" t="s">
        <v>478</v>
      </c>
      <c r="AC999" s="105"/>
      <c r="AD999" s="105"/>
    </row>
    <row r="1000" spans="1:30">
      <c r="A1000" s="105">
        <f t="shared" si="15"/>
        <v>999</v>
      </c>
      <c r="B1000" s="371">
        <f>YEAR(Table6[[#This Row],[Date]])+IF(MONTH(Table6[[#This Row],[Date]])&gt;=4,1,0)</f>
        <v>2026</v>
      </c>
      <c r="C1000" s="372">
        <f>YEAR(Table6[[#This Row],[Date]])</f>
        <v>2025</v>
      </c>
      <c r="D1000" s="105" t="s">
        <v>490</v>
      </c>
      <c r="E1000" s="119">
        <f>Table6[[#This Row],[Date]]-DAY(Table6[[#This Row],[Date]])+1</f>
        <v>45839</v>
      </c>
      <c r="F1000" s="373">
        <v>45855</v>
      </c>
      <c r="G1000" s="374" t="s">
        <v>145</v>
      </c>
      <c r="H1000" s="39" t="str">
        <f>_xlfn.XLOOKUP(Table6[[#This Row],[Affected WTG]],'Basic Data'!$A:$A,'Basic Data'!$B:$B)</f>
        <v>PWEGPL</v>
      </c>
      <c r="I1000" s="39" t="str">
        <f>_xlfn.XLOOKUP(Table6[[#This Row],[Affected WTG]],'Basic Data'!$A:$A,'Basic Data'!$C:$C)</f>
        <v>MSEDCL</v>
      </c>
      <c r="J1000" s="381">
        <f>IFERROR(VLOOKUP(Table6[[#This Row],[Affected WTG]],'Basic Data'!$A$3:$E$56,5,0),"")</f>
        <v>2.564102564102564E-2</v>
      </c>
      <c r="K1000" s="105">
        <v>5201</v>
      </c>
      <c r="L1000" s="39" t="str">
        <f>IFERROR(VLOOKUP(Table6[[#This Row],[Error Code]],'Basic Data'!$T:$U,2,0),"")</f>
        <v>Magnetothermic Trigger Of The Stator Protection</v>
      </c>
      <c r="M1000" s="346" t="s">
        <v>462</v>
      </c>
      <c r="N1000" s="105" t="s">
        <v>1270</v>
      </c>
      <c r="O1000" s="330">
        <v>0.46527777777777779</v>
      </c>
      <c r="P1000" s="330">
        <v>0.48958333333333331</v>
      </c>
      <c r="Q1000" s="330">
        <v>0.4909722222222222</v>
      </c>
      <c r="R1000" s="348">
        <f>IF(Table6[[#This Row],[Work Start TimeStamp]]="","",(Table6[[#This Row],[Work Start TimeStamp]]-Table6[[#This Row],[Fault Start TimeStamp]])*24)</f>
        <v>0.58333333333333259</v>
      </c>
      <c r="S1000" s="349">
        <f>(Table6[[#This Row],[Fault Clearance time]]-Table6[[#This Row],[Work Start TimeStamp]])*24</f>
        <v>3.3333333333333215E-2</v>
      </c>
      <c r="T1000" s="350">
        <f>(Table6[[#This Row],[Fault Clearance time]]-Table6[[#This Row],[Fault Start TimeStamp]])*24</f>
        <v>0.61666666666666581</v>
      </c>
      <c r="U1000" s="346" t="s">
        <v>491</v>
      </c>
      <c r="V1000" s="346" t="s">
        <v>463</v>
      </c>
      <c r="W1000" s="377">
        <f>Table6[[#This Row],[Breakdown Time]]*(1/39)</f>
        <v>1.581196581196579E-2</v>
      </c>
      <c r="X1000" s="337" t="s">
        <v>465</v>
      </c>
      <c r="Y1000" s="346" t="s">
        <v>139</v>
      </c>
      <c r="Z1000" s="105">
        <v>1850</v>
      </c>
      <c r="AA1000" s="107">
        <f>IFERROR((Table6[[#This Row],[Paired WTG Generation for loss calculation]]/24)*Table6[[#This Row],[Breakdown Time]],"")</f>
        <v>47.53472222222215</v>
      </c>
      <c r="AB1000" s="107" t="s">
        <v>478</v>
      </c>
      <c r="AC1000" s="105"/>
      <c r="AD1000" s="105"/>
    </row>
    <row r="1001" spans="1:30">
      <c r="A1001" s="105">
        <f t="shared" si="15"/>
        <v>1000</v>
      </c>
      <c r="B1001" s="371">
        <f>YEAR(Table6[[#This Row],[Date]])+IF(MONTH(Table6[[#This Row],[Date]])&gt;=4,1,0)</f>
        <v>2026</v>
      </c>
      <c r="C1001" s="372">
        <f>YEAR(Table6[[#This Row],[Date]])</f>
        <v>2025</v>
      </c>
      <c r="D1001" s="105" t="s">
        <v>490</v>
      </c>
      <c r="E1001" s="119">
        <f>Table6[[#This Row],[Date]]-DAY(Table6[[#This Row],[Date]])+1</f>
        <v>45839</v>
      </c>
      <c r="F1001" s="373">
        <v>45855</v>
      </c>
      <c r="G1001" s="374" t="s">
        <v>148</v>
      </c>
      <c r="H1001" s="39" t="str">
        <f>_xlfn.XLOOKUP(Table6[[#This Row],[Affected WTG]],'Basic Data'!$A:$A,'Basic Data'!$B:$B)</f>
        <v>PWEGPL</v>
      </c>
      <c r="I1001" s="39" t="str">
        <f>_xlfn.XLOOKUP(Table6[[#This Row],[Affected WTG]],'Basic Data'!$A:$A,'Basic Data'!$C:$C)</f>
        <v>MSEDCL</v>
      </c>
      <c r="J1001" s="381">
        <f>IFERROR(VLOOKUP(Table6[[#This Row],[Affected WTG]],'Basic Data'!$A$3:$E$56,5,0),"")</f>
        <v>2.564102564102564E-2</v>
      </c>
      <c r="K1001" s="105">
        <v>5201</v>
      </c>
      <c r="L1001" s="39" t="str">
        <f>IFERROR(VLOOKUP(Table6[[#This Row],[Error Code]],'Basic Data'!$T:$U,2,0),"")</f>
        <v>Magnetothermic Trigger Of The Stator Protection</v>
      </c>
      <c r="M1001" s="346" t="s">
        <v>462</v>
      </c>
      <c r="N1001" s="105" t="s">
        <v>1270</v>
      </c>
      <c r="O1001" s="330">
        <v>0.46527777777777779</v>
      </c>
      <c r="P1001" s="330">
        <v>0.51041666666666663</v>
      </c>
      <c r="Q1001" s="330">
        <v>0.51180555555555551</v>
      </c>
      <c r="R1001" s="348">
        <f>IF(Table6[[#This Row],[Work Start TimeStamp]]="","",(Table6[[#This Row],[Work Start TimeStamp]]-Table6[[#This Row],[Fault Start TimeStamp]])*24)</f>
        <v>1.0833333333333321</v>
      </c>
      <c r="S1001" s="349">
        <f>(Table6[[#This Row],[Fault Clearance time]]-Table6[[#This Row],[Work Start TimeStamp]])*24</f>
        <v>3.3333333333333215E-2</v>
      </c>
      <c r="T1001" s="350">
        <f>(Table6[[#This Row],[Fault Clearance time]]-Table6[[#This Row],[Fault Start TimeStamp]])*24</f>
        <v>1.1166666666666654</v>
      </c>
      <c r="U1001" s="346" t="s">
        <v>491</v>
      </c>
      <c r="V1001" s="346" t="s">
        <v>463</v>
      </c>
      <c r="W1001" s="377">
        <f>Table6[[#This Row],[Breakdown Time]]*(1/39)</f>
        <v>2.8632478632478597E-2</v>
      </c>
      <c r="X1001" s="337" t="s">
        <v>465</v>
      </c>
      <c r="Y1001" s="346" t="s">
        <v>149</v>
      </c>
      <c r="Z1001" s="105">
        <v>1536</v>
      </c>
      <c r="AA1001" s="107">
        <f>IFERROR((Table6[[#This Row],[Paired WTG Generation for loss calculation]]/24)*Table6[[#This Row],[Breakdown Time]],"")</f>
        <v>71.466666666666583</v>
      </c>
      <c r="AB1001" s="107" t="s">
        <v>478</v>
      </c>
      <c r="AC1001" s="105"/>
      <c r="AD1001" s="105"/>
    </row>
    <row r="1002" spans="1:30">
      <c r="A1002" s="105">
        <f t="shared" si="15"/>
        <v>1001</v>
      </c>
      <c r="B1002" s="371">
        <f>YEAR(Table6[[#This Row],[Date]])+IF(MONTH(Table6[[#This Row],[Date]])&gt;=4,1,0)</f>
        <v>2026</v>
      </c>
      <c r="C1002" s="372">
        <f>YEAR(Table6[[#This Row],[Date]])</f>
        <v>2025</v>
      </c>
      <c r="D1002" s="105" t="s">
        <v>490</v>
      </c>
      <c r="E1002" s="119">
        <f>Table6[[#This Row],[Date]]-DAY(Table6[[#This Row],[Date]])+1</f>
        <v>45839</v>
      </c>
      <c r="F1002" s="373">
        <v>45855</v>
      </c>
      <c r="G1002" s="374" t="s">
        <v>149</v>
      </c>
      <c r="H1002" s="39" t="str">
        <f>_xlfn.XLOOKUP(Table6[[#This Row],[Affected WTG]],'Basic Data'!$A:$A,'Basic Data'!$B:$B)</f>
        <v>PWEGPL</v>
      </c>
      <c r="I1002" s="39" t="str">
        <f>_xlfn.XLOOKUP(Table6[[#This Row],[Affected WTG]],'Basic Data'!$A:$A,'Basic Data'!$C:$C)</f>
        <v>MSEDCL</v>
      </c>
      <c r="J1002" s="381">
        <f>IFERROR(VLOOKUP(Table6[[#This Row],[Affected WTG]],'Basic Data'!$A$3:$E$56,5,0),"")</f>
        <v>2.564102564102564E-2</v>
      </c>
      <c r="K1002" s="105">
        <v>5201</v>
      </c>
      <c r="L1002" s="39" t="str">
        <f>IFERROR(VLOOKUP(Table6[[#This Row],[Error Code]],'Basic Data'!$T:$U,2,0),"")</f>
        <v>Magnetothermic Trigger Of The Stator Protection</v>
      </c>
      <c r="M1002" s="346" t="s">
        <v>462</v>
      </c>
      <c r="N1002" s="105" t="s">
        <v>1270</v>
      </c>
      <c r="O1002" s="330">
        <v>0.46527777777777779</v>
      </c>
      <c r="P1002" s="330">
        <v>0.50347222222222221</v>
      </c>
      <c r="Q1002" s="330">
        <v>0.50486111111111109</v>
      </c>
      <c r="R1002" s="348">
        <f>IF(Table6[[#This Row],[Work Start TimeStamp]]="","",(Table6[[#This Row],[Work Start TimeStamp]]-Table6[[#This Row],[Fault Start TimeStamp]])*24)</f>
        <v>0.91666666666666607</v>
      </c>
      <c r="S1002" s="349">
        <f>(Table6[[#This Row],[Fault Clearance time]]-Table6[[#This Row],[Work Start TimeStamp]])*24</f>
        <v>3.3333333333333215E-2</v>
      </c>
      <c r="T1002" s="350">
        <f>(Table6[[#This Row],[Fault Clearance time]]-Table6[[#This Row],[Fault Start TimeStamp]])*24</f>
        <v>0.94999999999999929</v>
      </c>
      <c r="U1002" s="346" t="s">
        <v>491</v>
      </c>
      <c r="V1002" s="346" t="s">
        <v>463</v>
      </c>
      <c r="W1002" s="377">
        <f>Table6[[#This Row],[Breakdown Time]]*(1/39)</f>
        <v>2.4358974358974338E-2</v>
      </c>
      <c r="X1002" s="337" t="s">
        <v>465</v>
      </c>
      <c r="Y1002" s="346" t="s">
        <v>150</v>
      </c>
      <c r="Z1002" s="105">
        <v>1854</v>
      </c>
      <c r="AA1002" s="107">
        <f>IFERROR((Table6[[#This Row],[Paired WTG Generation for loss calculation]]/24)*Table6[[#This Row],[Breakdown Time]],"")</f>
        <v>73.387499999999946</v>
      </c>
      <c r="AB1002" s="107" t="s">
        <v>478</v>
      </c>
      <c r="AC1002" s="105"/>
      <c r="AD1002" s="105"/>
    </row>
    <row r="1003" spans="1:30">
      <c r="A1003" s="105">
        <f t="shared" si="15"/>
        <v>1002</v>
      </c>
      <c r="B1003" s="371">
        <f>YEAR(Table6[[#This Row],[Date]])+IF(MONTH(Table6[[#This Row],[Date]])&gt;=4,1,0)</f>
        <v>2026</v>
      </c>
      <c r="C1003" s="372">
        <f>YEAR(Table6[[#This Row],[Date]])</f>
        <v>2025</v>
      </c>
      <c r="D1003" s="105" t="s">
        <v>490</v>
      </c>
      <c r="E1003" s="119">
        <f>Table6[[#This Row],[Date]]-DAY(Table6[[#This Row],[Date]])+1</f>
        <v>45839</v>
      </c>
      <c r="F1003" s="373">
        <v>45855</v>
      </c>
      <c r="G1003" s="374" t="s">
        <v>153</v>
      </c>
      <c r="H1003" s="39" t="str">
        <f>_xlfn.XLOOKUP(Table6[[#This Row],[Affected WTG]],'Basic Data'!$A:$A,'Basic Data'!$B:$B)</f>
        <v>PWEGPL</v>
      </c>
      <c r="I1003" s="39" t="str">
        <f>_xlfn.XLOOKUP(Table6[[#This Row],[Affected WTG]],'Basic Data'!$A:$A,'Basic Data'!$C:$C)</f>
        <v>MSEDCL</v>
      </c>
      <c r="J1003" s="381">
        <f>IFERROR(VLOOKUP(Table6[[#This Row],[Affected WTG]],'Basic Data'!$A$3:$E$56,5,0),"")</f>
        <v>2.564102564102564E-2</v>
      </c>
      <c r="K1003" s="105">
        <v>2118</v>
      </c>
      <c r="L1003" s="39" t="str">
        <f>IFERROR(VLOOKUP(Table6[[#This Row],[Error Code]],'Basic Data'!$T:$U,2,0),"")</f>
        <v>Bus Error - Interbus Failure</v>
      </c>
      <c r="M1003" s="346" t="s">
        <v>462</v>
      </c>
      <c r="N1003" s="105" t="s">
        <v>1270</v>
      </c>
      <c r="O1003" s="330">
        <v>0.37152777777777779</v>
      </c>
      <c r="P1003" s="330">
        <v>0.40625</v>
      </c>
      <c r="Q1003" s="330">
        <v>0.40763888888888888</v>
      </c>
      <c r="R1003" s="348">
        <f>IF(Table6[[#This Row],[Work Start TimeStamp]]="","",(Table6[[#This Row],[Work Start TimeStamp]]-Table6[[#This Row],[Fault Start TimeStamp]])*24)</f>
        <v>0.83333333333333304</v>
      </c>
      <c r="S1003" s="349">
        <f>(Table6[[#This Row],[Fault Clearance time]]-Table6[[#This Row],[Work Start TimeStamp]])*24</f>
        <v>3.3333333333333215E-2</v>
      </c>
      <c r="T1003" s="350">
        <f>(Table6[[#This Row],[Fault Clearance time]]-Table6[[#This Row],[Fault Start TimeStamp]])*24</f>
        <v>0.86666666666666625</v>
      </c>
      <c r="U1003" s="346" t="s">
        <v>491</v>
      </c>
      <c r="V1003" s="346" t="s">
        <v>463</v>
      </c>
      <c r="W1003" s="377">
        <f>Table6[[#This Row],[Breakdown Time]]*(1/39)</f>
        <v>2.2222222222222209E-2</v>
      </c>
      <c r="X1003" s="337" t="s">
        <v>465</v>
      </c>
      <c r="Y1003" s="346" t="s">
        <v>139</v>
      </c>
      <c r="Z1003" s="105">
        <v>1850</v>
      </c>
      <c r="AA1003" s="107">
        <f>IFERROR((Table6[[#This Row],[Paired WTG Generation for loss calculation]]/24)*Table6[[#This Row],[Breakdown Time]],"")</f>
        <v>66.805555555555515</v>
      </c>
      <c r="AB1003" s="107" t="s">
        <v>478</v>
      </c>
      <c r="AC1003" s="105"/>
      <c r="AD1003" s="105"/>
    </row>
    <row r="1004" spans="1:30">
      <c r="A1004" s="105">
        <f t="shared" si="15"/>
        <v>1003</v>
      </c>
      <c r="B1004" s="371">
        <f>YEAR(Table6[[#This Row],[Date]])+IF(MONTH(Table6[[#This Row],[Date]])&gt;=4,1,0)</f>
        <v>2026</v>
      </c>
      <c r="C1004" s="372">
        <f>YEAR(Table6[[#This Row],[Date]])</f>
        <v>2025</v>
      </c>
      <c r="D1004" s="105" t="s">
        <v>490</v>
      </c>
      <c r="E1004" s="119">
        <f>Table6[[#This Row],[Date]]-DAY(Table6[[#This Row],[Date]])+1</f>
        <v>45839</v>
      </c>
      <c r="F1004" s="373">
        <v>45855</v>
      </c>
      <c r="G1004" s="374" t="s">
        <v>126</v>
      </c>
      <c r="H1004" s="39" t="str">
        <f>_xlfn.XLOOKUP(Table6[[#This Row],[Affected WTG]],'Basic Data'!$A:$A,'Basic Data'!$B:$B)</f>
        <v>PWEGPL</v>
      </c>
      <c r="I1004" s="39" t="str">
        <f>_xlfn.XLOOKUP(Table6[[#This Row],[Affected WTG]],'Basic Data'!$A:$A,'Basic Data'!$C:$C)</f>
        <v>MSEDCL</v>
      </c>
      <c r="J1004" s="381">
        <f>IFERROR(VLOOKUP(Table6[[#This Row],[Affected WTG]],'Basic Data'!$A$3:$E$56,5,0),"")</f>
        <v>2.564102564102564E-2</v>
      </c>
      <c r="K1004" s="105">
        <v>1822</v>
      </c>
      <c r="L1004" s="39" t="str">
        <f>IFERROR(VLOOKUP(Table6[[#This Row],[Error Code]],'Basic Data'!$T:$U,2,0),"")</f>
        <v>Discussion Due To Low Temperature</v>
      </c>
      <c r="M1004" s="346" t="s">
        <v>462</v>
      </c>
      <c r="N1004" s="105" t="s">
        <v>1270</v>
      </c>
      <c r="O1004" s="330">
        <v>0.73263888888888884</v>
      </c>
      <c r="P1004" s="330">
        <v>0.77222222222222225</v>
      </c>
      <c r="Q1004" s="330">
        <v>0.77500000000000002</v>
      </c>
      <c r="R1004" s="348">
        <f>IF(Table6[[#This Row],[Work Start TimeStamp]]="","",(Table6[[#This Row],[Work Start TimeStamp]]-Table6[[#This Row],[Fault Start TimeStamp]])*24)</f>
        <v>0.95000000000000195</v>
      </c>
      <c r="S1004" s="349">
        <f>(Table6[[#This Row],[Fault Clearance time]]-Table6[[#This Row],[Work Start TimeStamp]])*24</f>
        <v>6.666666666666643E-2</v>
      </c>
      <c r="T1004" s="350">
        <f>(Table6[[#This Row],[Fault Clearance time]]-Table6[[#This Row],[Fault Start TimeStamp]])*24</f>
        <v>1.0166666666666684</v>
      </c>
      <c r="U1004" s="346" t="s">
        <v>491</v>
      </c>
      <c r="V1004" s="346" t="s">
        <v>463</v>
      </c>
      <c r="W1004" s="377">
        <f>Table6[[#This Row],[Breakdown Time]]*(1/39)</f>
        <v>2.6068376068376111E-2</v>
      </c>
      <c r="X1004" s="337" t="s">
        <v>465</v>
      </c>
      <c r="Y1004" s="346" t="s">
        <v>123</v>
      </c>
      <c r="Z1004" s="105">
        <v>2001</v>
      </c>
      <c r="AA1004" s="107">
        <f>IFERROR((Table6[[#This Row],[Paired WTG Generation for loss calculation]]/24)*Table6[[#This Row],[Breakdown Time]],"")</f>
        <v>84.764583333333476</v>
      </c>
      <c r="AB1004" s="107" t="s">
        <v>478</v>
      </c>
      <c r="AC1004" s="105"/>
      <c r="AD1004" s="105"/>
    </row>
    <row r="1005" spans="1:30">
      <c r="A1005" s="105">
        <f t="shared" si="15"/>
        <v>1004</v>
      </c>
      <c r="B1005" s="371">
        <f>YEAR(Table6[[#This Row],[Date]])+IF(MONTH(Table6[[#This Row],[Date]])&gt;=4,1,0)</f>
        <v>2026</v>
      </c>
      <c r="C1005" s="372">
        <f>YEAR(Table6[[#This Row],[Date]])</f>
        <v>2025</v>
      </c>
      <c r="D1005" s="105" t="s">
        <v>490</v>
      </c>
      <c r="E1005" s="119">
        <f>Table6[[#This Row],[Date]]-DAY(Table6[[#This Row],[Date]])+1</f>
        <v>45839</v>
      </c>
      <c r="F1005" s="373">
        <v>45855</v>
      </c>
      <c r="G1005" s="374" t="s">
        <v>130</v>
      </c>
      <c r="H1005" s="39" t="str">
        <f>_xlfn.XLOOKUP(Table6[[#This Row],[Affected WTG]],'Basic Data'!$A:$A,'Basic Data'!$B:$B)</f>
        <v>PWEGPL</v>
      </c>
      <c r="I1005" s="39" t="str">
        <f>_xlfn.XLOOKUP(Table6[[#This Row],[Affected WTG]],'Basic Data'!$A:$A,'Basic Data'!$C:$C)</f>
        <v>MSEDCL</v>
      </c>
      <c r="J1005" s="381">
        <f>IFERROR(VLOOKUP(Table6[[#This Row],[Affected WTG]],'Basic Data'!$A$3:$E$56,5,0),"")</f>
        <v>2.564102564102564E-2</v>
      </c>
      <c r="K1005" s="105">
        <v>208</v>
      </c>
      <c r="L1005" s="39" t="str">
        <f>IFERROR(VLOOKUP(Table6[[#This Row],[Error Code]],'Basic Data'!$T:$U,2,0),"")</f>
        <v>HU Pump Drive Failure</v>
      </c>
      <c r="M1005" s="346" t="s">
        <v>462</v>
      </c>
      <c r="N1005" s="105" t="s">
        <v>1270</v>
      </c>
      <c r="O1005" s="330">
        <v>0.75347222222222221</v>
      </c>
      <c r="P1005" s="330">
        <v>0.76041666666666663</v>
      </c>
      <c r="Q1005" s="330">
        <v>0.78888888888888886</v>
      </c>
      <c r="R1005" s="382">
        <f>IF(Table6[[#This Row],[Work Start TimeStamp]]="","",(Table6[[#This Row],[Work Start TimeStamp]]-Table6[[#This Row],[Fault Start TimeStamp]])*24)</f>
        <v>0.16666666666666607</v>
      </c>
      <c r="S1005" s="383">
        <f>(Table6[[#This Row],[Fault Clearance time]]-Table6[[#This Row],[Work Start TimeStamp]])*24</f>
        <v>0.68333333333333357</v>
      </c>
      <c r="T1005" s="384">
        <f>(Table6[[#This Row],[Fault Clearance time]]-Table6[[#This Row],[Fault Start TimeStamp]])*24</f>
        <v>0.84999999999999964</v>
      </c>
      <c r="U1005" s="346" t="s">
        <v>1380</v>
      </c>
      <c r="V1005" s="346" t="s">
        <v>463</v>
      </c>
      <c r="W1005" s="377">
        <f>Table6[[#This Row],[Breakdown Time]]*(1/39)</f>
        <v>2.1794871794871783E-2</v>
      </c>
      <c r="X1005" s="337" t="s">
        <v>465</v>
      </c>
      <c r="Y1005" s="346" t="s">
        <v>129</v>
      </c>
      <c r="Z1005" s="105">
        <v>2109</v>
      </c>
      <c r="AA1005" s="107">
        <f>IFERROR((Table6[[#This Row],[Paired WTG Generation for loss calculation]]/24)*Table6[[#This Row],[Breakdown Time]],"")</f>
        <v>74.693749999999966</v>
      </c>
      <c r="AB1005" s="107" t="s">
        <v>478</v>
      </c>
      <c r="AC1005" s="105"/>
      <c r="AD1005" s="105"/>
    </row>
    <row r="1006" spans="1:30">
      <c r="A1006" s="105">
        <f t="shared" si="15"/>
        <v>1005</v>
      </c>
      <c r="B1006" s="371">
        <f>YEAR(Table6[[#This Row],[Date]])+IF(MONTH(Table6[[#This Row],[Date]])&gt;=4,1,0)</f>
        <v>2026</v>
      </c>
      <c r="C1006" s="372">
        <f>YEAR(Table6[[#This Row],[Date]])</f>
        <v>2025</v>
      </c>
      <c r="D1006" s="105" t="s">
        <v>490</v>
      </c>
      <c r="E1006" s="119">
        <f>Table6[[#This Row],[Date]]-DAY(Table6[[#This Row],[Date]])+1</f>
        <v>45839</v>
      </c>
      <c r="F1006" s="373">
        <v>45856</v>
      </c>
      <c r="G1006" s="105" t="s">
        <v>144</v>
      </c>
      <c r="H1006" s="39" t="str">
        <f>_xlfn.XLOOKUP(Table6[[#This Row],[Affected WTG]],'Basic Data'!$A:$A,'Basic Data'!$B:$B)</f>
        <v>PWEGPL</v>
      </c>
      <c r="I1006" s="39" t="str">
        <f>_xlfn.XLOOKUP(Table6[[#This Row],[Affected WTG]],'Basic Data'!$A:$A,'Basic Data'!$C:$C)</f>
        <v>MSEDCL</v>
      </c>
      <c r="J1006" s="345">
        <f>IFERROR(VLOOKUP(Table6[[#This Row],[Affected WTG]],'Basic Data'!$A$3:$E$56,5,0),"")</f>
        <v>2.564102564102564E-2</v>
      </c>
      <c r="K1006" s="105">
        <v>700</v>
      </c>
      <c r="L1006" s="39" t="str">
        <f>IFERROR(VLOOKUP(Table6[[#This Row],[Error Code]],'Basic Data'!$T:$U,2,0),"")</f>
        <v>PLC-Converter Communication Error</v>
      </c>
      <c r="M1006" s="346" t="s">
        <v>462</v>
      </c>
      <c r="N1006" s="105" t="s">
        <v>1270</v>
      </c>
      <c r="O1006" s="347">
        <v>0</v>
      </c>
      <c r="P1006" s="347">
        <v>0.99998842592592596</v>
      </c>
      <c r="Q1006" s="347">
        <v>0.99998842592592596</v>
      </c>
      <c r="R1006" s="348">
        <f>IF(Table6[[#This Row],[Work Start TimeStamp]]="","",(Table6[[#This Row],[Work Start TimeStamp]]-Table6[[#This Row],[Fault Start TimeStamp]])*24)</f>
        <v>23.999722222222225</v>
      </c>
      <c r="S1006" s="349">
        <f>(Table6[[#This Row],[Fault Clearance time]]-Table6[[#This Row],[Work Start TimeStamp]])*24</f>
        <v>0</v>
      </c>
      <c r="T1006" s="350">
        <f>(Table6[[#This Row],[Fault Clearance time]]-Table6[[#This Row],[Fault Start TimeStamp]])*24</f>
        <v>23.999722222222225</v>
      </c>
      <c r="U1006" s="346" t="s">
        <v>1348</v>
      </c>
      <c r="V1006" s="351" t="s">
        <v>473</v>
      </c>
      <c r="W1006" s="377">
        <f>Table6[[#This Row],[Breakdown Time]]*(1/39)</f>
        <v>0.61537749287749288</v>
      </c>
      <c r="X1006" s="336" t="s">
        <v>465</v>
      </c>
      <c r="Y1006" s="352" t="s">
        <v>143</v>
      </c>
      <c r="Z1006" s="105">
        <v>4892</v>
      </c>
      <c r="AA1006" s="107">
        <f>IFERROR((Table6[[#This Row],[Paired WTG Generation for loss calculation]]/24)*Table6[[#This Row],[Breakdown Time]],"")</f>
        <v>4891.9433796296307</v>
      </c>
      <c r="AB1006" s="105" t="s">
        <v>1381</v>
      </c>
      <c r="AC1006" s="105"/>
      <c r="AD1006" s="105"/>
    </row>
    <row r="1007" spans="1:30">
      <c r="A1007" s="105">
        <f t="shared" si="15"/>
        <v>1006</v>
      </c>
      <c r="B1007" s="371">
        <f>YEAR(Table6[[#This Row],[Date]])+IF(MONTH(Table6[[#This Row],[Date]])&gt;=4,1,0)</f>
        <v>2026</v>
      </c>
      <c r="C1007" s="372">
        <f>YEAR(Table6[[#This Row],[Date]])</f>
        <v>2025</v>
      </c>
      <c r="D1007" s="105" t="s">
        <v>490</v>
      </c>
      <c r="E1007" s="119">
        <f>Table6[[#This Row],[Date]]-DAY(Table6[[#This Row],[Date]])+1</f>
        <v>45839</v>
      </c>
      <c r="F1007" s="373">
        <v>45856</v>
      </c>
      <c r="G1007" s="105" t="s">
        <v>142</v>
      </c>
      <c r="H1007" s="39" t="str">
        <f>_xlfn.XLOOKUP(Table6[[#This Row],[Affected WTG]],'Basic Data'!$A:$A,'Basic Data'!$B:$B)</f>
        <v>PWEGPL</v>
      </c>
      <c r="I1007" s="39" t="str">
        <f>_xlfn.XLOOKUP(Table6[[#This Row],[Affected WTG]],'Basic Data'!$A:$A,'Basic Data'!$C:$C)</f>
        <v>MSEDCL</v>
      </c>
      <c r="J1007" s="345">
        <f>IFERROR(VLOOKUP(Table6[[#This Row],[Affected WTG]],'Basic Data'!$A$3:$E$56,5,0),"")</f>
        <v>2.564102564102564E-2</v>
      </c>
      <c r="K1007" s="105" t="s">
        <v>492</v>
      </c>
      <c r="L1007" s="39" t="str">
        <f>IFERROR(VLOOKUP(Table6[[#This Row],[Error Code]],'Basic Data'!$T:$U,2,0),"")</f>
        <v>Manual Stop - Safety Related</v>
      </c>
      <c r="M1007" s="346" t="s">
        <v>481</v>
      </c>
      <c r="N1007" s="105" t="s">
        <v>1269</v>
      </c>
      <c r="O1007" s="347">
        <v>0</v>
      </c>
      <c r="P1007" s="347">
        <v>0.99998842592592596</v>
      </c>
      <c r="Q1007" s="347">
        <v>0.99998842592592596</v>
      </c>
      <c r="R1007" s="348">
        <f>IF(Table6[[#This Row],[Work Start TimeStamp]]="","",(Table6[[#This Row],[Work Start TimeStamp]]-Table6[[#This Row],[Fault Start TimeStamp]])*24)</f>
        <v>23.999722222222225</v>
      </c>
      <c r="S1007" s="349">
        <f>(Table6[[#This Row],[Fault Clearance time]]-Table6[[#This Row],[Work Start TimeStamp]])*24</f>
        <v>0</v>
      </c>
      <c r="T1007" s="350">
        <f>(Table6[[#This Row],[Fault Clearance time]]-Table6[[#This Row],[Fault Start TimeStamp]])*24</f>
        <v>23.999722222222225</v>
      </c>
      <c r="U1007" s="346" t="s">
        <v>498</v>
      </c>
      <c r="V1007" s="351" t="s">
        <v>473</v>
      </c>
      <c r="W1007" s="377">
        <f>Table6[[#This Row],[Breakdown Time]]*(1/39)</f>
        <v>0.61537749287749288</v>
      </c>
      <c r="X1007" s="336" t="s">
        <v>1212</v>
      </c>
      <c r="Y1007" s="352" t="s">
        <v>143</v>
      </c>
      <c r="Z1007" s="105">
        <v>4892</v>
      </c>
      <c r="AA1007" s="107">
        <f>IFERROR((Table6[[#This Row],[Paired WTG Generation for loss calculation]]/24)*Table6[[#This Row],[Breakdown Time]],"")</f>
        <v>4891.9433796296307</v>
      </c>
      <c r="AB1007" s="107" t="s">
        <v>478</v>
      </c>
      <c r="AC1007" s="105"/>
      <c r="AD1007" s="105"/>
    </row>
    <row r="1008" spans="1:30">
      <c r="A1008" s="105">
        <f t="shared" si="15"/>
        <v>1007</v>
      </c>
      <c r="B1008" s="371">
        <f>YEAR(Table6[[#This Row],[Date]])+IF(MONTH(Table6[[#This Row],[Date]])&gt;=4,1,0)</f>
        <v>2026</v>
      </c>
      <c r="C1008" s="372">
        <f>YEAR(Table6[[#This Row],[Date]])</f>
        <v>2025</v>
      </c>
      <c r="D1008" s="105" t="s">
        <v>490</v>
      </c>
      <c r="E1008" s="119">
        <f>Table6[[#This Row],[Date]]-DAY(Table6[[#This Row],[Date]])+1</f>
        <v>45839</v>
      </c>
      <c r="F1008" s="373">
        <v>45856</v>
      </c>
      <c r="G1008" s="374" t="s">
        <v>126</v>
      </c>
      <c r="H1008" s="39" t="str">
        <f>_xlfn.XLOOKUP(Table6[[#This Row],[Affected WTG]],'Basic Data'!$A:$A,'Basic Data'!$B:$B)</f>
        <v>PWEGPL</v>
      </c>
      <c r="I1008" s="39" t="str">
        <f>_xlfn.XLOOKUP(Table6[[#This Row],[Affected WTG]],'Basic Data'!$A:$A,'Basic Data'!$C:$C)</f>
        <v>MSEDCL</v>
      </c>
      <c r="J1008" s="381">
        <f>IFERROR(VLOOKUP(Table6[[#This Row],[Affected WTG]],'Basic Data'!$A$3:$E$56,5,0),"")</f>
        <v>2.564102564102564E-2</v>
      </c>
      <c r="K1008" s="105">
        <v>1822</v>
      </c>
      <c r="L1008" s="39" t="str">
        <f>IFERROR(VLOOKUP(Table6[[#This Row],[Error Code]],'Basic Data'!$T:$U,2,0),"")</f>
        <v>Discussion Due To Low Temperature</v>
      </c>
      <c r="M1008" s="346" t="s">
        <v>462</v>
      </c>
      <c r="N1008" s="105" t="s">
        <v>1270</v>
      </c>
      <c r="O1008" s="330">
        <v>0.46527777777777779</v>
      </c>
      <c r="P1008" s="330">
        <v>0.47916666666666669</v>
      </c>
      <c r="Q1008" s="330">
        <v>0.59722222222222221</v>
      </c>
      <c r="R1008" s="382">
        <f>IF(Table6[[#This Row],[Work Start TimeStamp]]="","",(Table6[[#This Row],[Work Start TimeStamp]]-Table6[[#This Row],[Fault Start TimeStamp]])*24)</f>
        <v>0.33333333333333348</v>
      </c>
      <c r="S1008" s="382">
        <f>(Table6[[#This Row],[Fault Clearance time]]-Table6[[#This Row],[Work Start TimeStamp]])*24</f>
        <v>2.8333333333333326</v>
      </c>
      <c r="T1008" s="385">
        <f>(Table6[[#This Row],[Fault Clearance time]]-Table6[[#This Row],[Fault Start TimeStamp]])*24</f>
        <v>3.1666666666666661</v>
      </c>
      <c r="U1008" s="346" t="s">
        <v>1382</v>
      </c>
      <c r="V1008" s="346" t="s">
        <v>463</v>
      </c>
      <c r="W1008" s="377">
        <f>Table6[[#This Row],[Breakdown Time]]*(1/39)</f>
        <v>8.1196581196581172E-2</v>
      </c>
      <c r="X1008" s="337" t="s">
        <v>465</v>
      </c>
      <c r="Y1008" s="346" t="s">
        <v>127</v>
      </c>
      <c r="Z1008" s="105">
        <v>4885</v>
      </c>
      <c r="AA1008" s="107">
        <f>IFERROR((Table6[[#This Row],[Paired WTG Generation for loss calculation]]/24)*Table6[[#This Row],[Breakdown Time]],"")</f>
        <v>644.54861111111097</v>
      </c>
      <c r="AB1008" s="107" t="s">
        <v>478</v>
      </c>
      <c r="AC1008" s="105"/>
      <c r="AD1008" s="105"/>
    </row>
    <row r="1009" spans="1:30">
      <c r="A1009" s="105">
        <f t="shared" si="15"/>
        <v>1008</v>
      </c>
      <c r="B1009" s="371">
        <f>YEAR(Table6[[#This Row],[Date]])+IF(MONTH(Table6[[#This Row],[Date]])&gt;=4,1,0)</f>
        <v>2026</v>
      </c>
      <c r="C1009" s="372">
        <f>YEAR(Table6[[#This Row],[Date]])</f>
        <v>2025</v>
      </c>
      <c r="D1009" s="105" t="s">
        <v>490</v>
      </c>
      <c r="E1009" s="119">
        <f>Table6[[#This Row],[Date]]-DAY(Table6[[#This Row],[Date]])+1</f>
        <v>45839</v>
      </c>
      <c r="F1009" s="373">
        <v>45856</v>
      </c>
      <c r="G1009" s="374" t="s">
        <v>130</v>
      </c>
      <c r="H1009" s="39" t="str">
        <f>_xlfn.XLOOKUP(Table6[[#This Row],[Affected WTG]],'Basic Data'!$A:$A,'Basic Data'!$B:$B)</f>
        <v>PWEGPL</v>
      </c>
      <c r="I1009" s="39" t="str">
        <f>_xlfn.XLOOKUP(Table6[[#This Row],[Affected WTG]],'Basic Data'!$A:$A,'Basic Data'!$C:$C)</f>
        <v>MSEDCL</v>
      </c>
      <c r="J1009" s="381">
        <f>IFERROR(VLOOKUP(Table6[[#This Row],[Affected WTG]],'Basic Data'!$A$3:$E$56,5,0),"")</f>
        <v>2.564102564102564E-2</v>
      </c>
      <c r="K1009" s="105">
        <v>700</v>
      </c>
      <c r="L1009" s="39" t="str">
        <f>IFERROR(VLOOKUP(Table6[[#This Row],[Error Code]],'Basic Data'!$T:$U,2,0),"")</f>
        <v>PLC-Converter Communication Error</v>
      </c>
      <c r="M1009" s="346" t="s">
        <v>462</v>
      </c>
      <c r="N1009" s="105" t="s">
        <v>1270</v>
      </c>
      <c r="O1009" s="330">
        <v>0.70833333333333337</v>
      </c>
      <c r="P1009" s="330">
        <v>0.71388888888888891</v>
      </c>
      <c r="Q1009" s="330">
        <v>0.85833333333333328</v>
      </c>
      <c r="R1009" s="382">
        <f>IF(Table6[[#This Row],[Work Start TimeStamp]]="","",(Table6[[#This Row],[Work Start TimeStamp]]-Table6[[#This Row],[Fault Start TimeStamp]])*24)</f>
        <v>0.13333333333333286</v>
      </c>
      <c r="S1009" s="382">
        <f>(Table6[[#This Row],[Fault Clearance time]]-Table6[[#This Row],[Work Start TimeStamp]])*24</f>
        <v>3.466666666666665</v>
      </c>
      <c r="T1009" s="385">
        <f>(Table6[[#This Row],[Fault Clearance time]]-Table6[[#This Row],[Fault Start TimeStamp]])*24</f>
        <v>3.5999999999999979</v>
      </c>
      <c r="U1009" s="346" t="s">
        <v>1383</v>
      </c>
      <c r="V1009" s="346" t="s">
        <v>463</v>
      </c>
      <c r="W1009" s="377">
        <f>Table6[[#This Row],[Breakdown Time]]*(1/39)</f>
        <v>9.2307692307692243E-2</v>
      </c>
      <c r="X1009" s="337" t="s">
        <v>465</v>
      </c>
      <c r="Y1009" s="346" t="s">
        <v>131</v>
      </c>
      <c r="Z1009" s="105">
        <v>4847</v>
      </c>
      <c r="AA1009" s="107">
        <f>IFERROR((Table6[[#This Row],[Paired WTG Generation for loss calculation]]/24)*Table6[[#This Row],[Breakdown Time]],"")</f>
        <v>727.04999999999961</v>
      </c>
      <c r="AB1009" s="107" t="s">
        <v>478</v>
      </c>
      <c r="AC1009" s="105"/>
      <c r="AD1009" s="105"/>
    </row>
    <row r="1010" spans="1:30">
      <c r="A1010" s="105">
        <f t="shared" si="15"/>
        <v>1009</v>
      </c>
      <c r="B1010" s="371">
        <f>YEAR(Table6[[#This Row],[Date]])+IF(MONTH(Table6[[#This Row],[Date]])&gt;=4,1,0)</f>
        <v>2026</v>
      </c>
      <c r="C1010" s="372">
        <f>YEAR(Table6[[#This Row],[Date]])</f>
        <v>2025</v>
      </c>
      <c r="D1010" s="105" t="s">
        <v>490</v>
      </c>
      <c r="E1010" s="119">
        <f>Table6[[#This Row],[Date]]-DAY(Table6[[#This Row],[Date]])+1</f>
        <v>45839</v>
      </c>
      <c r="F1010" s="373">
        <v>45856</v>
      </c>
      <c r="G1010" s="374" t="s">
        <v>139</v>
      </c>
      <c r="H1010" s="39" t="str">
        <f>_xlfn.XLOOKUP(Table6[[#This Row],[Affected WTG]],'Basic Data'!$A:$A,'Basic Data'!$B:$B)</f>
        <v>PWEGPL</v>
      </c>
      <c r="I1010" s="39" t="str">
        <f>_xlfn.XLOOKUP(Table6[[#This Row],[Affected WTG]],'Basic Data'!$A:$A,'Basic Data'!$C:$C)</f>
        <v>MSEDCL</v>
      </c>
      <c r="J1010" s="381">
        <f>IFERROR(VLOOKUP(Table6[[#This Row],[Affected WTG]],'Basic Data'!$A$3:$E$56,5,0),"")</f>
        <v>2.564102564102564E-2</v>
      </c>
      <c r="K1010" s="105">
        <v>5201</v>
      </c>
      <c r="L1010" s="39" t="str">
        <f>IFERROR(VLOOKUP(Table6[[#This Row],[Error Code]],'Basic Data'!$T:$U,2,0),"")</f>
        <v>Magnetothermic Trigger Of The Stator Protection</v>
      </c>
      <c r="M1010" s="346" t="s">
        <v>462</v>
      </c>
      <c r="N1010" s="105" t="s">
        <v>1270</v>
      </c>
      <c r="O1010" s="330">
        <v>0.64583333333333337</v>
      </c>
      <c r="P1010" s="330">
        <v>0.66249999999999998</v>
      </c>
      <c r="Q1010" s="330">
        <v>0.67847222222222225</v>
      </c>
      <c r="R1010" s="382">
        <f>IF(Table6[[#This Row],[Work Start TimeStamp]]="","",(Table6[[#This Row],[Work Start TimeStamp]]-Table6[[#This Row],[Fault Start TimeStamp]])*24)</f>
        <v>0.39999999999999858</v>
      </c>
      <c r="S1010" s="382">
        <f>(Table6[[#This Row],[Fault Clearance time]]-Table6[[#This Row],[Work Start TimeStamp]])*24</f>
        <v>0.38333333333333464</v>
      </c>
      <c r="T1010" s="385">
        <f>(Table6[[#This Row],[Fault Clearance time]]-Table6[[#This Row],[Fault Start TimeStamp]])*24</f>
        <v>0.78333333333333321</v>
      </c>
      <c r="U1010" s="346" t="s">
        <v>1384</v>
      </c>
      <c r="V1010" s="346" t="s">
        <v>463</v>
      </c>
      <c r="W1010" s="377">
        <f>Table6[[#This Row],[Breakdown Time]]*(1/39)</f>
        <v>2.008547008547008E-2</v>
      </c>
      <c r="X1010" s="337" t="s">
        <v>465</v>
      </c>
      <c r="Y1010" s="346" t="s">
        <v>145</v>
      </c>
      <c r="Z1010" s="105">
        <v>2901</v>
      </c>
      <c r="AA1010" s="107">
        <f>IFERROR((Table6[[#This Row],[Paired WTG Generation for loss calculation]]/24)*Table6[[#This Row],[Breakdown Time]],"")</f>
        <v>94.685416666666654</v>
      </c>
      <c r="AB1010" s="107" t="s">
        <v>478</v>
      </c>
      <c r="AC1010" s="105"/>
      <c r="AD1010" s="105"/>
    </row>
    <row r="1011" spans="1:30">
      <c r="A1011" s="105">
        <f t="shared" si="15"/>
        <v>1010</v>
      </c>
      <c r="B1011" s="371">
        <f>YEAR(Table6[[#This Row],[Date]])+IF(MONTH(Table6[[#This Row],[Date]])&gt;=4,1,0)</f>
        <v>2026</v>
      </c>
      <c r="C1011" s="372">
        <f>YEAR(Table6[[#This Row],[Date]])</f>
        <v>2025</v>
      </c>
      <c r="D1011" s="105" t="s">
        <v>490</v>
      </c>
      <c r="E1011" s="119">
        <f>Table6[[#This Row],[Date]]-DAY(Table6[[#This Row],[Date]])+1</f>
        <v>45839</v>
      </c>
      <c r="F1011" s="373">
        <v>45857</v>
      </c>
      <c r="G1011" s="105" t="s">
        <v>144</v>
      </c>
      <c r="H1011" s="39" t="str">
        <f>_xlfn.XLOOKUP(Table6[[#This Row],[Affected WTG]],'Basic Data'!$A:$A,'Basic Data'!$B:$B)</f>
        <v>PWEGPL</v>
      </c>
      <c r="I1011" s="39" t="str">
        <f>_xlfn.XLOOKUP(Table6[[#This Row],[Affected WTG]],'Basic Data'!$A:$A,'Basic Data'!$C:$C)</f>
        <v>MSEDCL</v>
      </c>
      <c r="J1011" s="345">
        <f>IFERROR(VLOOKUP(Table6[[#This Row],[Affected WTG]],'Basic Data'!$A$3:$E$56,5,0),"")</f>
        <v>2.564102564102564E-2</v>
      </c>
      <c r="K1011" s="105">
        <v>700</v>
      </c>
      <c r="L1011" s="39" t="str">
        <f>IFERROR(VLOOKUP(Table6[[#This Row],[Error Code]],'Basic Data'!$T:$U,2,0),"")</f>
        <v>PLC-Converter Communication Error</v>
      </c>
      <c r="M1011" s="346" t="s">
        <v>462</v>
      </c>
      <c r="N1011" s="105" t="s">
        <v>1270</v>
      </c>
      <c r="O1011" s="347">
        <v>0</v>
      </c>
      <c r="P1011" s="347">
        <v>0.99998842592592596</v>
      </c>
      <c r="Q1011" s="347">
        <v>0.99998842592592596</v>
      </c>
      <c r="R1011" s="348">
        <f>IF(Table6[[#This Row],[Work Start TimeStamp]]="","",(Table6[[#This Row],[Work Start TimeStamp]]-Table6[[#This Row],[Fault Start TimeStamp]])*24)</f>
        <v>23.999722222222225</v>
      </c>
      <c r="S1011" s="349">
        <f>(Table6[[#This Row],[Fault Clearance time]]-Table6[[#This Row],[Work Start TimeStamp]])*24</f>
        <v>0</v>
      </c>
      <c r="T1011" s="350">
        <f>(Table6[[#This Row],[Fault Clearance time]]-Table6[[#This Row],[Fault Start TimeStamp]])*24</f>
        <v>23.999722222222225</v>
      </c>
      <c r="U1011" s="346" t="s">
        <v>1348</v>
      </c>
      <c r="V1011" s="351" t="s">
        <v>473</v>
      </c>
      <c r="W1011" s="377">
        <f>Table6[[#This Row],[Breakdown Time]]*(1/39)</f>
        <v>0.61537749287749288</v>
      </c>
      <c r="X1011" s="336" t="s">
        <v>465</v>
      </c>
      <c r="Y1011" s="352" t="s">
        <v>143</v>
      </c>
      <c r="Z1011" s="105">
        <v>4262</v>
      </c>
      <c r="AA1011" s="107">
        <f>IFERROR((Table6[[#This Row],[Paired WTG Generation for loss calculation]]/24)*Table6[[#This Row],[Breakdown Time]],"")</f>
        <v>4261.9506712962966</v>
      </c>
      <c r="AB1011" s="107" t="s">
        <v>478</v>
      </c>
      <c r="AC1011" s="105"/>
      <c r="AD1011" s="105"/>
    </row>
    <row r="1012" spans="1:30">
      <c r="A1012" s="105">
        <f t="shared" si="15"/>
        <v>1011</v>
      </c>
      <c r="B1012" s="371">
        <f>YEAR(Table6[[#This Row],[Date]])+IF(MONTH(Table6[[#This Row],[Date]])&gt;=4,1,0)</f>
        <v>2026</v>
      </c>
      <c r="C1012" s="372">
        <f>YEAR(Table6[[#This Row],[Date]])</f>
        <v>2025</v>
      </c>
      <c r="D1012" s="105" t="s">
        <v>490</v>
      </c>
      <c r="E1012" s="119">
        <f>Table6[[#This Row],[Date]]-DAY(Table6[[#This Row],[Date]])+1</f>
        <v>45839</v>
      </c>
      <c r="F1012" s="373">
        <v>45857</v>
      </c>
      <c r="G1012" s="105" t="s">
        <v>142</v>
      </c>
      <c r="H1012" s="39" t="str">
        <f>_xlfn.XLOOKUP(Table6[[#This Row],[Affected WTG]],'Basic Data'!$A:$A,'Basic Data'!$B:$B)</f>
        <v>PWEGPL</v>
      </c>
      <c r="I1012" s="39" t="str">
        <f>_xlfn.XLOOKUP(Table6[[#This Row],[Affected WTG]],'Basic Data'!$A:$A,'Basic Data'!$C:$C)</f>
        <v>MSEDCL</v>
      </c>
      <c r="J1012" s="345">
        <f>IFERROR(VLOOKUP(Table6[[#This Row],[Affected WTG]],'Basic Data'!$A$3:$E$56,5,0),"")</f>
        <v>2.564102564102564E-2</v>
      </c>
      <c r="K1012" s="105" t="s">
        <v>492</v>
      </c>
      <c r="L1012" s="39" t="str">
        <f>IFERROR(VLOOKUP(Table6[[#This Row],[Error Code]],'Basic Data'!$T:$U,2,0),"")</f>
        <v>Manual Stop - Safety Related</v>
      </c>
      <c r="M1012" s="346" t="s">
        <v>481</v>
      </c>
      <c r="N1012" s="105" t="s">
        <v>1269</v>
      </c>
      <c r="O1012" s="347">
        <v>0</v>
      </c>
      <c r="P1012" s="347">
        <v>0.99998842592592596</v>
      </c>
      <c r="Q1012" s="347">
        <v>0.99998842592592596</v>
      </c>
      <c r="R1012" s="348">
        <f>IF(Table6[[#This Row],[Work Start TimeStamp]]="","",(Table6[[#This Row],[Work Start TimeStamp]]-Table6[[#This Row],[Fault Start TimeStamp]])*24)</f>
        <v>23.999722222222225</v>
      </c>
      <c r="S1012" s="349">
        <f>(Table6[[#This Row],[Fault Clearance time]]-Table6[[#This Row],[Work Start TimeStamp]])*24</f>
        <v>0</v>
      </c>
      <c r="T1012" s="350">
        <f>(Table6[[#This Row],[Fault Clearance time]]-Table6[[#This Row],[Fault Start TimeStamp]])*24</f>
        <v>23.999722222222225</v>
      </c>
      <c r="U1012" s="346" t="s">
        <v>498</v>
      </c>
      <c r="V1012" s="351" t="s">
        <v>473</v>
      </c>
      <c r="W1012" s="377">
        <f>Table6[[#This Row],[Breakdown Time]]*(1/39)</f>
        <v>0.61537749287749288</v>
      </c>
      <c r="X1012" s="336" t="s">
        <v>1212</v>
      </c>
      <c r="Y1012" s="352" t="s">
        <v>143</v>
      </c>
      <c r="Z1012" s="105">
        <v>4262</v>
      </c>
      <c r="AA1012" s="107">
        <f>IFERROR((Table6[[#This Row],[Paired WTG Generation for loss calculation]]/24)*Table6[[#This Row],[Breakdown Time]],"")</f>
        <v>4261.9506712962966</v>
      </c>
      <c r="AB1012" s="107" t="s">
        <v>478</v>
      </c>
      <c r="AC1012" s="105"/>
      <c r="AD1012" s="105"/>
    </row>
    <row r="1013" spans="1:30">
      <c r="A1013" s="105">
        <f t="shared" si="15"/>
        <v>1012</v>
      </c>
      <c r="B1013" s="371">
        <f>YEAR(Table6[[#This Row],[Date]])+IF(MONTH(Table6[[#This Row],[Date]])&gt;=4,1,0)</f>
        <v>2026</v>
      </c>
      <c r="C1013" s="372">
        <f>YEAR(Table6[[#This Row],[Date]])</f>
        <v>2025</v>
      </c>
      <c r="D1013" s="105" t="s">
        <v>490</v>
      </c>
      <c r="E1013" s="119">
        <f>Table6[[#This Row],[Date]]-DAY(Table6[[#This Row],[Date]])+1</f>
        <v>45839</v>
      </c>
      <c r="F1013" s="373">
        <v>45857</v>
      </c>
      <c r="G1013" s="374" t="s">
        <v>115</v>
      </c>
      <c r="H1013" s="39" t="str">
        <f>_xlfn.XLOOKUP(Table6[[#This Row],[Affected WTG]],'Basic Data'!$A:$A,'Basic Data'!$B:$B)</f>
        <v>PWEGPL</v>
      </c>
      <c r="I1013" s="39" t="str">
        <f>_xlfn.XLOOKUP(Table6[[#This Row],[Affected WTG]],'Basic Data'!$A:$A,'Basic Data'!$C:$C)</f>
        <v>MSEDCL</v>
      </c>
      <c r="J1013" s="381">
        <f>IFERROR(VLOOKUP(Table6[[#This Row],[Affected WTG]],'Basic Data'!$A$3:$E$56,5,0),"")</f>
        <v>2.564102564102564E-2</v>
      </c>
      <c r="K1013" s="105">
        <v>207</v>
      </c>
      <c r="L1013" s="39" t="str">
        <f>IFERROR(VLOOKUP(Table6[[#This Row],[Error Code]],'Basic Data'!$T:$U,2,0),"")</f>
        <v>Hydraulic Oil High Temperature</v>
      </c>
      <c r="M1013" s="346" t="s">
        <v>462</v>
      </c>
      <c r="N1013" s="105" t="s">
        <v>1270</v>
      </c>
      <c r="O1013" s="330">
        <v>0.38194444444444442</v>
      </c>
      <c r="P1013" s="330">
        <v>0.40416666666666667</v>
      </c>
      <c r="Q1013" s="330">
        <v>0.40555555555555556</v>
      </c>
      <c r="R1013" s="382">
        <f>IF(Table6[[#This Row],[Work Start TimeStamp]]="","",(Table6[[#This Row],[Work Start TimeStamp]]-Table6[[#This Row],[Fault Start TimeStamp]])*24)</f>
        <v>0.5333333333333341</v>
      </c>
      <c r="S1013" s="382">
        <f>(Table6[[#This Row],[Fault Clearance time]]-Table6[[#This Row],[Work Start TimeStamp]])*24</f>
        <v>3.3333333333333215E-2</v>
      </c>
      <c r="T1013" s="385">
        <f>(Table6[[#This Row],[Fault Clearance time]]-Table6[[#This Row],[Fault Start TimeStamp]])*24</f>
        <v>0.56666666666666732</v>
      </c>
      <c r="U1013" s="346" t="s">
        <v>493</v>
      </c>
      <c r="V1013" s="346" t="s">
        <v>463</v>
      </c>
      <c r="W1013" s="377">
        <f>Table6[[#This Row],[Breakdown Time]]*(1/39)</f>
        <v>1.4529914529914546E-2</v>
      </c>
      <c r="X1013" s="337" t="s">
        <v>465</v>
      </c>
      <c r="Y1013" s="346" t="s">
        <v>121</v>
      </c>
      <c r="Z1013" s="105">
        <v>4412</v>
      </c>
      <c r="AA1013" s="107">
        <f>IFERROR((Table6[[#This Row],[Paired WTG Generation for loss calculation]]/24)*Table6[[#This Row],[Breakdown Time]],"")</f>
        <v>104.17222222222235</v>
      </c>
      <c r="AB1013" s="107" t="s">
        <v>478</v>
      </c>
      <c r="AC1013" s="105"/>
      <c r="AD1013" s="105"/>
    </row>
    <row r="1014" spans="1:30">
      <c r="A1014" s="105">
        <f t="shared" si="15"/>
        <v>1013</v>
      </c>
      <c r="B1014" s="371">
        <f>YEAR(Table6[[#This Row],[Date]])+IF(MONTH(Table6[[#This Row],[Date]])&gt;=4,1,0)</f>
        <v>2026</v>
      </c>
      <c r="C1014" s="372">
        <f>YEAR(Table6[[#This Row],[Date]])</f>
        <v>2025</v>
      </c>
      <c r="D1014" s="105" t="s">
        <v>490</v>
      </c>
      <c r="E1014" s="119">
        <f>Table6[[#This Row],[Date]]-DAY(Table6[[#This Row],[Date]])+1</f>
        <v>45839</v>
      </c>
      <c r="F1014" s="373">
        <v>45857</v>
      </c>
      <c r="G1014" s="374" t="s">
        <v>118</v>
      </c>
      <c r="H1014" s="39" t="str">
        <f>_xlfn.XLOOKUP(Table6[[#This Row],[Affected WTG]],'Basic Data'!$A:$A,'Basic Data'!$B:$B)</f>
        <v>PWEGPL</v>
      </c>
      <c r="I1014" s="39" t="str">
        <f>_xlfn.XLOOKUP(Table6[[#This Row],[Affected WTG]],'Basic Data'!$A:$A,'Basic Data'!$C:$C)</f>
        <v>MSEDCL</v>
      </c>
      <c r="J1014" s="381">
        <f>IFERROR(VLOOKUP(Table6[[#This Row],[Affected WTG]],'Basic Data'!$A$3:$E$56,5,0),"")</f>
        <v>2.564102564102564E-2</v>
      </c>
      <c r="K1014" s="105">
        <v>5263</v>
      </c>
      <c r="L1014" s="39" t="str">
        <f>IFERROR(VLOOKUP(Table6[[#This Row],[Error Code]],'Basic Data'!$T:$U,2,0),"")</f>
        <v>CAN Communication Failure</v>
      </c>
      <c r="M1014" s="346" t="s">
        <v>462</v>
      </c>
      <c r="N1014" s="105" t="s">
        <v>1270</v>
      </c>
      <c r="O1014" s="330">
        <v>0.38819444444444445</v>
      </c>
      <c r="P1014" s="330">
        <v>0.41736111111111113</v>
      </c>
      <c r="Q1014" s="330">
        <v>0.41805555555555557</v>
      </c>
      <c r="R1014" s="382">
        <f>IF(Table6[[#This Row],[Work Start TimeStamp]]="","",(Table6[[#This Row],[Work Start TimeStamp]]-Table6[[#This Row],[Fault Start TimeStamp]])*24)</f>
        <v>0.70000000000000018</v>
      </c>
      <c r="S1014" s="382">
        <f>(Table6[[#This Row],[Fault Clearance time]]-Table6[[#This Row],[Work Start TimeStamp]])*24</f>
        <v>1.6666666666666607E-2</v>
      </c>
      <c r="T1014" s="385">
        <f>(Table6[[#This Row],[Fault Clearance time]]-Table6[[#This Row],[Fault Start TimeStamp]])*24</f>
        <v>0.71666666666666679</v>
      </c>
      <c r="U1014" s="346" t="s">
        <v>493</v>
      </c>
      <c r="V1014" s="346" t="s">
        <v>463</v>
      </c>
      <c r="W1014" s="377">
        <f>Table6[[#This Row],[Breakdown Time]]*(1/39)</f>
        <v>1.837606837606838E-2</v>
      </c>
      <c r="X1014" s="337" t="s">
        <v>465</v>
      </c>
      <c r="Y1014" s="346" t="s">
        <v>117</v>
      </c>
      <c r="Z1014" s="105">
        <v>4407</v>
      </c>
      <c r="AA1014" s="107">
        <f>IFERROR((Table6[[#This Row],[Paired WTG Generation for loss calculation]]/24)*Table6[[#This Row],[Breakdown Time]],"")</f>
        <v>131.59791666666669</v>
      </c>
      <c r="AB1014" s="107" t="s">
        <v>478</v>
      </c>
      <c r="AC1014" s="105"/>
      <c r="AD1014" s="105"/>
    </row>
    <row r="1015" spans="1:30">
      <c r="A1015" s="105">
        <f t="shared" si="15"/>
        <v>1014</v>
      </c>
      <c r="B1015" s="371">
        <f>YEAR(Table6[[#This Row],[Date]])+IF(MONTH(Table6[[#This Row],[Date]])&gt;=4,1,0)</f>
        <v>2026</v>
      </c>
      <c r="C1015" s="372">
        <f>YEAR(Table6[[#This Row],[Date]])</f>
        <v>2025</v>
      </c>
      <c r="D1015" s="105" t="s">
        <v>490</v>
      </c>
      <c r="E1015" s="119">
        <f>Table6[[#This Row],[Date]]-DAY(Table6[[#This Row],[Date]])+1</f>
        <v>45839</v>
      </c>
      <c r="F1015" s="373">
        <v>45857</v>
      </c>
      <c r="G1015" s="374" t="s">
        <v>125</v>
      </c>
      <c r="H1015" s="39" t="str">
        <f>_xlfn.XLOOKUP(Table6[[#This Row],[Affected WTG]],'Basic Data'!$A:$A,'Basic Data'!$B:$B)</f>
        <v>PWEGPL</v>
      </c>
      <c r="I1015" s="39" t="str">
        <f>_xlfn.XLOOKUP(Table6[[#This Row],[Affected WTG]],'Basic Data'!$A:$A,'Basic Data'!$C:$C)</f>
        <v>MSEDCL</v>
      </c>
      <c r="J1015" s="381">
        <f>IFERROR(VLOOKUP(Table6[[#This Row],[Affected WTG]],'Basic Data'!$A$3:$E$56,5,0),"")</f>
        <v>2.564102564102564E-2</v>
      </c>
      <c r="K1015" s="105">
        <v>2118</v>
      </c>
      <c r="L1015" s="39" t="str">
        <f>IFERROR(VLOOKUP(Table6[[#This Row],[Error Code]],'Basic Data'!$T:$U,2,0),"")</f>
        <v>Bus Error - Interbus Failure</v>
      </c>
      <c r="M1015" s="346" t="s">
        <v>462</v>
      </c>
      <c r="N1015" s="105" t="s">
        <v>1270</v>
      </c>
      <c r="O1015" s="330">
        <v>0.38541666666666669</v>
      </c>
      <c r="P1015" s="330">
        <v>0.42708333333333331</v>
      </c>
      <c r="Q1015" s="330">
        <v>0.42777777777777776</v>
      </c>
      <c r="R1015" s="382">
        <f>IF(Table6[[#This Row],[Work Start TimeStamp]]="","",(Table6[[#This Row],[Work Start TimeStamp]]-Table6[[#This Row],[Fault Start TimeStamp]])*24)</f>
        <v>0.99999999999999911</v>
      </c>
      <c r="S1015" s="382">
        <f>(Table6[[#This Row],[Fault Clearance time]]-Table6[[#This Row],[Work Start TimeStamp]])*24</f>
        <v>1.6666666666666607E-2</v>
      </c>
      <c r="T1015" s="385">
        <f>(Table6[[#This Row],[Fault Clearance time]]-Table6[[#This Row],[Fault Start TimeStamp]])*24</f>
        <v>1.0166666666666657</v>
      </c>
      <c r="U1015" s="346" t="s">
        <v>493</v>
      </c>
      <c r="V1015" s="346" t="s">
        <v>463</v>
      </c>
      <c r="W1015" s="377">
        <f>Table6[[#This Row],[Breakdown Time]]*(1/39)</f>
        <v>2.6068376068376042E-2</v>
      </c>
      <c r="X1015" s="337" t="s">
        <v>465</v>
      </c>
      <c r="Y1015" s="346" t="s">
        <v>124</v>
      </c>
      <c r="Z1015" s="105">
        <v>4447</v>
      </c>
      <c r="AA1015" s="107">
        <f>IFERROR((Table6[[#This Row],[Paired WTG Generation for loss calculation]]/24)*Table6[[#This Row],[Breakdown Time]],"")</f>
        <v>188.37986111111093</v>
      </c>
      <c r="AB1015" s="107" t="s">
        <v>478</v>
      </c>
      <c r="AC1015" s="105"/>
      <c r="AD1015" s="105"/>
    </row>
    <row r="1016" spans="1:30">
      <c r="A1016" s="105">
        <f t="shared" si="15"/>
        <v>1015</v>
      </c>
      <c r="B1016" s="371">
        <f>YEAR(Table6[[#This Row],[Date]])+IF(MONTH(Table6[[#This Row],[Date]])&gt;=4,1,0)</f>
        <v>2026</v>
      </c>
      <c r="C1016" s="372">
        <f>YEAR(Table6[[#This Row],[Date]])</f>
        <v>2025</v>
      </c>
      <c r="D1016" s="105" t="s">
        <v>490</v>
      </c>
      <c r="E1016" s="119">
        <f>Table6[[#This Row],[Date]]-DAY(Table6[[#This Row],[Date]])+1</f>
        <v>45839</v>
      </c>
      <c r="F1016" s="373">
        <v>45857</v>
      </c>
      <c r="G1016" s="374" t="s">
        <v>127</v>
      </c>
      <c r="H1016" s="39" t="str">
        <f>_xlfn.XLOOKUP(Table6[[#This Row],[Affected WTG]],'Basic Data'!$A:$A,'Basic Data'!$B:$B)</f>
        <v>PWEGPL</v>
      </c>
      <c r="I1016" s="39" t="str">
        <f>_xlfn.XLOOKUP(Table6[[#This Row],[Affected WTG]],'Basic Data'!$A:$A,'Basic Data'!$C:$C)</f>
        <v>MSEDCL</v>
      </c>
      <c r="J1016" s="381">
        <f>IFERROR(VLOOKUP(Table6[[#This Row],[Affected WTG]],'Basic Data'!$A$3:$E$56,5,0),"")</f>
        <v>2.564102564102564E-2</v>
      </c>
      <c r="K1016" s="105">
        <v>5263</v>
      </c>
      <c r="L1016" s="39" t="str">
        <f>IFERROR(VLOOKUP(Table6[[#This Row],[Error Code]],'Basic Data'!$T:$U,2,0),"")</f>
        <v>CAN Communication Failure</v>
      </c>
      <c r="M1016" s="346" t="s">
        <v>462</v>
      </c>
      <c r="N1016" s="105" t="s">
        <v>1270</v>
      </c>
      <c r="O1016" s="330">
        <v>0.58472222222222225</v>
      </c>
      <c r="P1016" s="330">
        <v>0.59583333333333333</v>
      </c>
      <c r="Q1016" s="330">
        <v>0.64722222222222225</v>
      </c>
      <c r="R1016" s="382">
        <f>IF(Table6[[#This Row],[Work Start TimeStamp]]="","",(Table6[[#This Row],[Work Start TimeStamp]]-Table6[[#This Row],[Fault Start TimeStamp]])*24)</f>
        <v>0.26666666666666572</v>
      </c>
      <c r="S1016" s="382">
        <f>(Table6[[#This Row],[Fault Clearance time]]-Table6[[#This Row],[Work Start TimeStamp]])*24</f>
        <v>1.2333333333333343</v>
      </c>
      <c r="T1016" s="385">
        <f>(Table6[[#This Row],[Fault Clearance time]]-Table6[[#This Row],[Fault Start TimeStamp]])*24</f>
        <v>1.5</v>
      </c>
      <c r="U1016" s="346" t="s">
        <v>612</v>
      </c>
      <c r="V1016" s="346" t="s">
        <v>463</v>
      </c>
      <c r="W1016" s="377">
        <f>Table6[[#This Row],[Breakdown Time]]*(1/39)</f>
        <v>3.8461538461538464E-2</v>
      </c>
      <c r="X1016" s="337" t="s">
        <v>465</v>
      </c>
      <c r="Y1016" s="346" t="s">
        <v>126</v>
      </c>
      <c r="Z1016" s="105">
        <v>5201</v>
      </c>
      <c r="AA1016" s="107">
        <f>IFERROR((Table6[[#This Row],[Paired WTG Generation for loss calculation]]/24)*Table6[[#This Row],[Breakdown Time]],"")</f>
        <v>325.0625</v>
      </c>
      <c r="AB1016" s="107" t="s">
        <v>478</v>
      </c>
      <c r="AC1016" s="105"/>
      <c r="AD1016" s="105"/>
    </row>
    <row r="1017" spans="1:30">
      <c r="A1017" s="105">
        <f t="shared" si="15"/>
        <v>1016</v>
      </c>
      <c r="B1017" s="371">
        <f>YEAR(Table6[[#This Row],[Date]])+IF(MONTH(Table6[[#This Row],[Date]])&gt;=4,1,0)</f>
        <v>2026</v>
      </c>
      <c r="C1017" s="372">
        <f>YEAR(Table6[[#This Row],[Date]])</f>
        <v>2025</v>
      </c>
      <c r="D1017" s="105" t="s">
        <v>490</v>
      </c>
      <c r="E1017" s="119">
        <f>Table6[[#This Row],[Date]]-DAY(Table6[[#This Row],[Date]])+1</f>
        <v>45839</v>
      </c>
      <c r="F1017" s="373">
        <v>45857</v>
      </c>
      <c r="G1017" s="374" t="s">
        <v>139</v>
      </c>
      <c r="H1017" s="39" t="str">
        <f>_xlfn.XLOOKUP(Table6[[#This Row],[Affected WTG]],'Basic Data'!$A:$A,'Basic Data'!$B:$B)</f>
        <v>PWEGPL</v>
      </c>
      <c r="I1017" s="39" t="str">
        <f>_xlfn.XLOOKUP(Table6[[#This Row],[Affected WTG]],'Basic Data'!$A:$A,'Basic Data'!$C:$C)</f>
        <v>MSEDCL</v>
      </c>
      <c r="J1017" s="381">
        <f>IFERROR(VLOOKUP(Table6[[#This Row],[Affected WTG]],'Basic Data'!$A$3:$E$56,5,0),"")</f>
        <v>2.564102564102564E-2</v>
      </c>
      <c r="K1017" s="105">
        <v>2118</v>
      </c>
      <c r="L1017" s="39" t="str">
        <f>IFERROR(VLOOKUP(Table6[[#This Row],[Error Code]],'Basic Data'!$T:$U,2,0),"")</f>
        <v>Bus Error - Interbus Failure</v>
      </c>
      <c r="M1017" s="346" t="s">
        <v>462</v>
      </c>
      <c r="N1017" s="105" t="s">
        <v>1270</v>
      </c>
      <c r="O1017" s="330">
        <v>0.39930555555555558</v>
      </c>
      <c r="P1017" s="330">
        <v>0.42708333333333331</v>
      </c>
      <c r="Q1017" s="330">
        <v>0.42777777777777776</v>
      </c>
      <c r="R1017" s="382">
        <f>IF(Table6[[#This Row],[Work Start TimeStamp]]="","",(Table6[[#This Row],[Work Start TimeStamp]]-Table6[[#This Row],[Fault Start TimeStamp]])*24)</f>
        <v>0.66666666666666563</v>
      </c>
      <c r="S1017" s="382">
        <f>(Table6[[#This Row],[Fault Clearance time]]-Table6[[#This Row],[Work Start TimeStamp]])*24</f>
        <v>1.6666666666666607E-2</v>
      </c>
      <c r="T1017" s="385">
        <f>(Table6[[#This Row],[Fault Clearance time]]-Table6[[#This Row],[Fault Start TimeStamp]])*24</f>
        <v>0.68333333333333224</v>
      </c>
      <c r="U1017" s="346" t="s">
        <v>493</v>
      </c>
      <c r="V1017" s="346" t="s">
        <v>463</v>
      </c>
      <c r="W1017" s="377">
        <f>Table6[[#This Row],[Breakdown Time]]*(1/39)</f>
        <v>1.7521367521367494E-2</v>
      </c>
      <c r="X1017" s="337" t="s">
        <v>465</v>
      </c>
      <c r="Y1017" s="346" t="s">
        <v>145</v>
      </c>
      <c r="Z1017" s="105">
        <v>3412</v>
      </c>
      <c r="AA1017" s="107">
        <f>IFERROR((Table6[[#This Row],[Paired WTG Generation for loss calculation]]/24)*Table6[[#This Row],[Breakdown Time]],"")</f>
        <v>97.147222222222055</v>
      </c>
      <c r="AB1017" s="107" t="s">
        <v>478</v>
      </c>
      <c r="AC1017" s="105"/>
      <c r="AD1017" s="105"/>
    </row>
    <row r="1018" spans="1:30">
      <c r="A1018" s="105">
        <f t="shared" si="15"/>
        <v>1017</v>
      </c>
      <c r="B1018" s="371">
        <f>YEAR(Table6[[#This Row],[Date]])+IF(MONTH(Table6[[#This Row],[Date]])&gt;=4,1,0)</f>
        <v>2026</v>
      </c>
      <c r="C1018" s="372">
        <f>YEAR(Table6[[#This Row],[Date]])</f>
        <v>2025</v>
      </c>
      <c r="D1018" s="105" t="s">
        <v>490</v>
      </c>
      <c r="E1018" s="119">
        <f>Table6[[#This Row],[Date]]-DAY(Table6[[#This Row],[Date]])+1</f>
        <v>45839</v>
      </c>
      <c r="F1018" s="373">
        <v>45858</v>
      </c>
      <c r="G1018" s="105" t="s">
        <v>142</v>
      </c>
      <c r="H1018" s="39" t="str">
        <f>_xlfn.XLOOKUP(Table6[[#This Row],[Affected WTG]],'Basic Data'!$A:$A,'Basic Data'!$B:$B)</f>
        <v>PWEGPL</v>
      </c>
      <c r="I1018" s="39" t="str">
        <f>_xlfn.XLOOKUP(Table6[[#This Row],[Affected WTG]],'Basic Data'!$A:$A,'Basic Data'!$C:$C)</f>
        <v>MSEDCL</v>
      </c>
      <c r="J1018" s="345">
        <f>IFERROR(VLOOKUP(Table6[[#This Row],[Affected WTG]],'Basic Data'!$A$3:$E$56,5,0),"")</f>
        <v>2.564102564102564E-2</v>
      </c>
      <c r="K1018" s="105" t="s">
        <v>492</v>
      </c>
      <c r="L1018" s="39" t="str">
        <f>IFERROR(VLOOKUP(Table6[[#This Row],[Error Code]],'Basic Data'!$T:$U,2,0),"")</f>
        <v>Manual Stop - Safety Related</v>
      </c>
      <c r="M1018" s="346" t="s">
        <v>481</v>
      </c>
      <c r="N1018" s="105" t="s">
        <v>1269</v>
      </c>
      <c r="O1018" s="347">
        <v>0</v>
      </c>
      <c r="P1018" s="347">
        <v>0.99998842592592596</v>
      </c>
      <c r="Q1018" s="347">
        <v>0.99998842592592596</v>
      </c>
      <c r="R1018" s="348">
        <f>IF(Table6[[#This Row],[Work Start TimeStamp]]="","",(Table6[[#This Row],[Work Start TimeStamp]]-Table6[[#This Row],[Fault Start TimeStamp]])*24)</f>
        <v>23.999722222222225</v>
      </c>
      <c r="S1018" s="349">
        <f>(Table6[[#This Row],[Fault Clearance time]]-Table6[[#This Row],[Work Start TimeStamp]])*24</f>
        <v>0</v>
      </c>
      <c r="T1018" s="350">
        <f>(Table6[[#This Row],[Fault Clearance time]]-Table6[[#This Row],[Fault Start TimeStamp]])*24</f>
        <v>23.999722222222225</v>
      </c>
      <c r="U1018" s="346" t="s">
        <v>498</v>
      </c>
      <c r="V1018" s="351" t="s">
        <v>473</v>
      </c>
      <c r="W1018" s="377">
        <f>Table6[[#This Row],[Breakdown Time]]*(1/39)</f>
        <v>0.61537749287749288</v>
      </c>
      <c r="X1018" s="336" t="s">
        <v>1212</v>
      </c>
      <c r="Y1018" s="352" t="s">
        <v>143</v>
      </c>
      <c r="Z1018" s="105">
        <v>4072</v>
      </c>
      <c r="AA1018" s="107">
        <f>IFERROR((Table6[[#This Row],[Paired WTG Generation for loss calculation]]/24)*Table6[[#This Row],[Breakdown Time]],"")</f>
        <v>4071.9528703703704</v>
      </c>
      <c r="AB1018" s="107" t="s">
        <v>478</v>
      </c>
      <c r="AC1018" s="105"/>
      <c r="AD1018" s="105"/>
    </row>
    <row r="1019" spans="1:30">
      <c r="A1019" s="105">
        <f t="shared" si="15"/>
        <v>1018</v>
      </c>
      <c r="B1019" s="371">
        <f>YEAR(Table6[[#This Row],[Date]])+IF(MONTH(Table6[[#This Row],[Date]])&gt;=4,1,0)</f>
        <v>2026</v>
      </c>
      <c r="C1019" s="372">
        <f>YEAR(Table6[[#This Row],[Date]])</f>
        <v>2025</v>
      </c>
      <c r="D1019" s="105" t="s">
        <v>490</v>
      </c>
      <c r="E1019" s="119">
        <f>Table6[[#This Row],[Date]]-DAY(Table6[[#This Row],[Date]])+1</f>
        <v>45839</v>
      </c>
      <c r="F1019" s="373">
        <v>45858</v>
      </c>
      <c r="G1019" s="374" t="s">
        <v>115</v>
      </c>
      <c r="H1019" s="39" t="str">
        <f>_xlfn.XLOOKUP(Table6[[#This Row],[Affected WTG]],'Basic Data'!$A:$A,'Basic Data'!$B:$B)</f>
        <v>PWEGPL</v>
      </c>
      <c r="I1019" s="39" t="str">
        <f>_xlfn.XLOOKUP(Table6[[#This Row],[Affected WTG]],'Basic Data'!$A:$A,'Basic Data'!$C:$C)</f>
        <v>MSEDCL</v>
      </c>
      <c r="J1019" s="381">
        <f>IFERROR(VLOOKUP(Table6[[#This Row],[Affected WTG]],'Basic Data'!$A$3:$E$56,5,0),"")</f>
        <v>2.564102564102564E-2</v>
      </c>
      <c r="K1019" s="105">
        <v>207</v>
      </c>
      <c r="L1019" s="39" t="str">
        <f>IFERROR(VLOOKUP(Table6[[#This Row],[Error Code]],'Basic Data'!$T:$U,2,0),"")</f>
        <v>Hydraulic Oil High Temperature</v>
      </c>
      <c r="M1019" s="346" t="s">
        <v>462</v>
      </c>
      <c r="N1019" s="105" t="s">
        <v>1270</v>
      </c>
      <c r="O1019" s="330">
        <v>0.46319444444444446</v>
      </c>
      <c r="P1019" s="330">
        <v>0.49166666666666664</v>
      </c>
      <c r="Q1019" s="330">
        <v>0.56666666666666665</v>
      </c>
      <c r="R1019" s="382">
        <f>IF(Table6[[#This Row],[Work Start TimeStamp]]="","",(Table6[[#This Row],[Work Start TimeStamp]]-Table6[[#This Row],[Fault Start TimeStamp]])*24)</f>
        <v>0.68333333333333224</v>
      </c>
      <c r="S1019" s="382">
        <f>(Table6[[#This Row],[Fault Clearance time]]-Table6[[#This Row],[Work Start TimeStamp]])*24</f>
        <v>1.8000000000000003</v>
      </c>
      <c r="T1019" s="385">
        <f>(Table6[[#This Row],[Fault Clearance time]]-Table6[[#This Row],[Fault Start TimeStamp]])*24</f>
        <v>2.4833333333333325</v>
      </c>
      <c r="U1019" s="346" t="s">
        <v>1391</v>
      </c>
      <c r="V1019" s="346" t="s">
        <v>463</v>
      </c>
      <c r="W1019" s="377">
        <f>Table6[[#This Row],[Breakdown Time]]*(1/39)</f>
        <v>6.3675213675213657E-2</v>
      </c>
      <c r="X1019" s="337" t="s">
        <v>465</v>
      </c>
      <c r="Y1019" s="346" t="s">
        <v>121</v>
      </c>
      <c r="Z1019" s="105">
        <v>4215</v>
      </c>
      <c r="AA1019" s="107">
        <f>IFERROR((Table6[[#This Row],[Paired WTG Generation for loss calculation]]/24)*Table6[[#This Row],[Breakdown Time]],"")</f>
        <v>436.13541666666652</v>
      </c>
      <c r="AB1019" s="107" t="s">
        <v>478</v>
      </c>
      <c r="AC1019" s="105"/>
      <c r="AD1019" s="105"/>
    </row>
    <row r="1020" spans="1:30">
      <c r="A1020" s="105">
        <f t="shared" si="15"/>
        <v>1019</v>
      </c>
      <c r="B1020" s="371">
        <f>YEAR(Table6[[#This Row],[Date]])+IF(MONTH(Table6[[#This Row],[Date]])&gt;=4,1,0)</f>
        <v>2026</v>
      </c>
      <c r="C1020" s="372">
        <f>YEAR(Table6[[#This Row],[Date]])</f>
        <v>2025</v>
      </c>
      <c r="D1020" s="105" t="s">
        <v>490</v>
      </c>
      <c r="E1020" s="119">
        <f>Table6[[#This Row],[Date]]-DAY(Table6[[#This Row],[Date]])+1</f>
        <v>45839</v>
      </c>
      <c r="F1020" s="373">
        <v>45858</v>
      </c>
      <c r="G1020" s="374" t="s">
        <v>125</v>
      </c>
      <c r="H1020" s="39" t="str">
        <f>_xlfn.XLOOKUP(Table6[[#This Row],[Affected WTG]],'Basic Data'!$A:$A,'Basic Data'!$B:$B)</f>
        <v>PWEGPL</v>
      </c>
      <c r="I1020" s="39" t="str">
        <f>_xlfn.XLOOKUP(Table6[[#This Row],[Affected WTG]],'Basic Data'!$A:$A,'Basic Data'!$C:$C)</f>
        <v>MSEDCL</v>
      </c>
      <c r="J1020" s="381">
        <f>IFERROR(VLOOKUP(Table6[[#This Row],[Affected WTG]],'Basic Data'!$A$3:$E$56,5,0),"")</f>
        <v>2.564102564102564E-2</v>
      </c>
      <c r="K1020" s="105">
        <v>2118</v>
      </c>
      <c r="L1020" s="39" t="str">
        <f>IFERROR(VLOOKUP(Table6[[#This Row],[Error Code]],'Basic Data'!$T:$U,2,0),"")</f>
        <v>Bus Error - Interbus Failure</v>
      </c>
      <c r="M1020" s="346" t="s">
        <v>462</v>
      </c>
      <c r="N1020" s="105" t="s">
        <v>1270</v>
      </c>
      <c r="O1020" s="330">
        <v>0.4513888888888889</v>
      </c>
      <c r="P1020" s="330">
        <v>0.46805555555555556</v>
      </c>
      <c r="Q1020" s="330">
        <v>0.49305555555555558</v>
      </c>
      <c r="R1020" s="382">
        <f>IF(Table6[[#This Row],[Work Start TimeStamp]]="","",(Table6[[#This Row],[Work Start TimeStamp]]-Table6[[#This Row],[Fault Start TimeStamp]])*24)</f>
        <v>0.39999999999999991</v>
      </c>
      <c r="S1020" s="382">
        <f>(Table6[[#This Row],[Fault Clearance time]]-Table6[[#This Row],[Work Start TimeStamp]])*24</f>
        <v>0.60000000000000053</v>
      </c>
      <c r="T1020" s="385">
        <f>(Table6[[#This Row],[Fault Clearance time]]-Table6[[#This Row],[Fault Start TimeStamp]])*24</f>
        <v>1.0000000000000004</v>
      </c>
      <c r="U1020" s="346" t="s">
        <v>612</v>
      </c>
      <c r="V1020" s="346" t="s">
        <v>463</v>
      </c>
      <c r="W1020" s="377">
        <f>Table6[[#This Row],[Breakdown Time]]*(1/39)</f>
        <v>2.5641025641025651E-2</v>
      </c>
      <c r="X1020" s="337" t="s">
        <v>465</v>
      </c>
      <c r="Y1020" s="346" t="s">
        <v>124</v>
      </c>
      <c r="Z1020" s="105">
        <v>4224</v>
      </c>
      <c r="AA1020" s="107">
        <f>IFERROR((Table6[[#This Row],[Paired WTG Generation for loss calculation]]/24)*Table6[[#This Row],[Breakdown Time]],"")</f>
        <v>176.00000000000009</v>
      </c>
      <c r="AB1020" s="107" t="s">
        <v>478</v>
      </c>
      <c r="AC1020" s="105"/>
      <c r="AD1020" s="105"/>
    </row>
    <row r="1021" spans="1:30">
      <c r="A1021" s="105">
        <f t="shared" si="15"/>
        <v>1020</v>
      </c>
      <c r="B1021" s="371">
        <f>YEAR(Table6[[#This Row],[Date]])+IF(MONTH(Table6[[#This Row],[Date]])&gt;=4,1,0)</f>
        <v>2026</v>
      </c>
      <c r="C1021" s="372">
        <f>YEAR(Table6[[#This Row],[Date]])</f>
        <v>2025</v>
      </c>
      <c r="D1021" s="105" t="s">
        <v>490</v>
      </c>
      <c r="E1021" s="119">
        <f>Table6[[#This Row],[Date]]-DAY(Table6[[#This Row],[Date]])+1</f>
        <v>45839</v>
      </c>
      <c r="F1021" s="373">
        <v>45858</v>
      </c>
      <c r="G1021" s="374" t="s">
        <v>144</v>
      </c>
      <c r="H1021" s="39" t="str">
        <f>_xlfn.XLOOKUP(Table6[[#This Row],[Affected WTG]],'Basic Data'!$A:$A,'Basic Data'!$B:$B)</f>
        <v>PWEGPL</v>
      </c>
      <c r="I1021" s="39" t="str">
        <f>_xlfn.XLOOKUP(Table6[[#This Row],[Affected WTG]],'Basic Data'!$A:$A,'Basic Data'!$C:$C)</f>
        <v>MSEDCL</v>
      </c>
      <c r="J1021" s="381">
        <f>IFERROR(VLOOKUP(Table6[[#This Row],[Affected WTG]],'Basic Data'!$A$3:$E$56,5,0),"")</f>
        <v>2.564102564102564E-2</v>
      </c>
      <c r="K1021" s="105">
        <v>5203</v>
      </c>
      <c r="L1021" s="39" t="str">
        <f>IFERROR(VLOOKUP(Table6[[#This Row],[Error Code]],'Basic Data'!$T:$U,2,0),"")</f>
        <v>Heating/Coolant Thermal Magnetic Failure</v>
      </c>
      <c r="M1021" s="346" t="s">
        <v>462</v>
      </c>
      <c r="N1021" s="105" t="s">
        <v>1270</v>
      </c>
      <c r="O1021" s="330">
        <v>0.30694444444444446</v>
      </c>
      <c r="P1021" s="330">
        <v>0.33194444444444443</v>
      </c>
      <c r="Q1021" s="330">
        <v>0.33333333333333331</v>
      </c>
      <c r="R1021" s="382">
        <f>IF(Table6[[#This Row],[Work Start TimeStamp]]="","",(Table6[[#This Row],[Work Start TimeStamp]]-Table6[[#This Row],[Fault Start TimeStamp]])*24)</f>
        <v>0.5999999999999992</v>
      </c>
      <c r="S1021" s="382">
        <f>(Table6[[#This Row],[Fault Clearance time]]-Table6[[#This Row],[Work Start TimeStamp]])*24</f>
        <v>3.3333333333333215E-2</v>
      </c>
      <c r="T1021" s="385">
        <f>(Table6[[#This Row],[Fault Clearance time]]-Table6[[#This Row],[Fault Start TimeStamp]])*24</f>
        <v>0.63333333333333242</v>
      </c>
      <c r="U1021" s="346" t="s">
        <v>493</v>
      </c>
      <c r="V1021" s="346" t="s">
        <v>463</v>
      </c>
      <c r="W1021" s="377">
        <f>Table6[[#This Row],[Breakdown Time]]*(1/39)</f>
        <v>1.6239316239316216E-2</v>
      </c>
      <c r="X1021" s="337" t="s">
        <v>465</v>
      </c>
      <c r="Y1021" s="346" t="s">
        <v>143</v>
      </c>
      <c r="Z1021" s="105">
        <v>4072</v>
      </c>
      <c r="AA1021" s="107">
        <f>IFERROR((Table6[[#This Row],[Paired WTG Generation for loss calculation]]/24)*Table6[[#This Row],[Breakdown Time]],"")</f>
        <v>107.45555555555539</v>
      </c>
      <c r="AB1021" s="107" t="s">
        <v>478</v>
      </c>
      <c r="AC1021" s="105"/>
      <c r="AD1021" s="105"/>
    </row>
    <row r="1022" spans="1:30">
      <c r="A1022" s="105">
        <f t="shared" si="15"/>
        <v>1021</v>
      </c>
      <c r="B1022" s="371">
        <f>YEAR(Table6[[#This Row],[Date]])+IF(MONTH(Table6[[#This Row],[Date]])&gt;=4,1,0)</f>
        <v>2026</v>
      </c>
      <c r="C1022" s="372">
        <f>YEAR(Table6[[#This Row],[Date]])</f>
        <v>2025</v>
      </c>
      <c r="D1022" s="105" t="s">
        <v>490</v>
      </c>
      <c r="E1022" s="119">
        <f>Table6[[#This Row],[Date]]-DAY(Table6[[#This Row],[Date]])+1</f>
        <v>45839</v>
      </c>
      <c r="F1022" s="373">
        <v>45858</v>
      </c>
      <c r="G1022" s="374" t="s">
        <v>144</v>
      </c>
      <c r="H1022" s="39" t="str">
        <f>_xlfn.XLOOKUP(Table6[[#This Row],[Affected WTG]],'Basic Data'!$A:$A,'Basic Data'!$B:$B)</f>
        <v>PWEGPL</v>
      </c>
      <c r="I1022" s="39" t="str">
        <f>_xlfn.XLOOKUP(Table6[[#This Row],[Affected WTG]],'Basic Data'!$A:$A,'Basic Data'!$C:$C)</f>
        <v>MSEDCL</v>
      </c>
      <c r="J1022" s="381">
        <f>IFERROR(VLOOKUP(Table6[[#This Row],[Affected WTG]],'Basic Data'!$A$3:$E$56,5,0),"")</f>
        <v>2.564102564102564E-2</v>
      </c>
      <c r="K1022" s="105">
        <v>5203</v>
      </c>
      <c r="L1022" s="39" t="str">
        <f>IFERROR(VLOOKUP(Table6[[#This Row],[Error Code]],'Basic Data'!$T:$U,2,0),"")</f>
        <v>Heating/Coolant Thermal Magnetic Failure</v>
      </c>
      <c r="M1022" s="346" t="s">
        <v>462</v>
      </c>
      <c r="N1022" s="105" t="s">
        <v>1270</v>
      </c>
      <c r="O1022" s="330">
        <v>0.45277777777777778</v>
      </c>
      <c r="P1022" s="330">
        <v>0.47638888888888886</v>
      </c>
      <c r="Q1022" s="330">
        <v>0.52777777777777779</v>
      </c>
      <c r="R1022" s="382">
        <f>IF(Table6[[#This Row],[Work Start TimeStamp]]="","",(Table6[[#This Row],[Work Start TimeStamp]]-Table6[[#This Row],[Fault Start TimeStamp]])*24)</f>
        <v>0.56666666666666599</v>
      </c>
      <c r="S1022" s="382">
        <f>(Table6[[#This Row],[Fault Clearance time]]-Table6[[#This Row],[Work Start TimeStamp]])*24</f>
        <v>1.2333333333333343</v>
      </c>
      <c r="T1022" s="385">
        <f>(Table6[[#This Row],[Fault Clearance time]]-Table6[[#This Row],[Fault Start TimeStamp]])*24</f>
        <v>1.8000000000000003</v>
      </c>
      <c r="U1022" s="346" t="s">
        <v>1392</v>
      </c>
      <c r="V1022" s="346" t="s">
        <v>463</v>
      </c>
      <c r="W1022" s="377">
        <f>Table6[[#This Row],[Breakdown Time]]*(1/39)</f>
        <v>4.6153846153846156E-2</v>
      </c>
      <c r="X1022" s="337" t="s">
        <v>465</v>
      </c>
      <c r="Y1022" s="346" t="s">
        <v>143</v>
      </c>
      <c r="Z1022" s="105">
        <v>4072</v>
      </c>
      <c r="AA1022" s="107">
        <f>IFERROR((Table6[[#This Row],[Paired WTG Generation for loss calculation]]/24)*Table6[[#This Row],[Breakdown Time]],"")</f>
        <v>305.40000000000003</v>
      </c>
      <c r="AB1022" s="107" t="s">
        <v>478</v>
      </c>
      <c r="AC1022" s="105"/>
      <c r="AD1022" s="105"/>
    </row>
    <row r="1023" spans="1:30">
      <c r="A1023" s="105">
        <f t="shared" si="15"/>
        <v>1022</v>
      </c>
      <c r="B1023" s="371">
        <f>YEAR(Table6[[#This Row],[Date]])+IF(MONTH(Table6[[#This Row],[Date]])&gt;=4,1,0)</f>
        <v>2026</v>
      </c>
      <c r="C1023" s="372">
        <f>YEAR(Table6[[#This Row],[Date]])</f>
        <v>2025</v>
      </c>
      <c r="D1023" s="105" t="s">
        <v>490</v>
      </c>
      <c r="E1023" s="119">
        <f>Table6[[#This Row],[Date]]-DAY(Table6[[#This Row],[Date]])+1</f>
        <v>45839</v>
      </c>
      <c r="F1023" s="373">
        <v>45859</v>
      </c>
      <c r="G1023" s="105" t="s">
        <v>142</v>
      </c>
      <c r="H1023" s="39" t="str">
        <f>_xlfn.XLOOKUP(Table6[[#This Row],[Affected WTG]],'Basic Data'!$A:$A,'Basic Data'!$B:$B)</f>
        <v>PWEGPL</v>
      </c>
      <c r="I1023" s="39" t="str">
        <f>_xlfn.XLOOKUP(Table6[[#This Row],[Affected WTG]],'Basic Data'!$A:$A,'Basic Data'!$C:$C)</f>
        <v>MSEDCL</v>
      </c>
      <c r="J1023" s="345">
        <f>IFERROR(VLOOKUP(Table6[[#This Row],[Affected WTG]],'Basic Data'!$A$3:$E$56,5,0),"")</f>
        <v>2.564102564102564E-2</v>
      </c>
      <c r="K1023" s="105" t="s">
        <v>492</v>
      </c>
      <c r="L1023" s="39" t="str">
        <f>IFERROR(VLOOKUP(Table6[[#This Row],[Error Code]],'Basic Data'!$T:$U,2,0),"")</f>
        <v>Manual Stop - Safety Related</v>
      </c>
      <c r="M1023" s="346" t="s">
        <v>481</v>
      </c>
      <c r="N1023" s="105" t="s">
        <v>1269</v>
      </c>
      <c r="O1023" s="347">
        <v>0</v>
      </c>
      <c r="P1023" s="347">
        <v>0.99998842592592596</v>
      </c>
      <c r="Q1023" s="347">
        <v>0.99998842592592596</v>
      </c>
      <c r="R1023" s="348">
        <f>IF(Table6[[#This Row],[Work Start TimeStamp]]="","",(Table6[[#This Row],[Work Start TimeStamp]]-Table6[[#This Row],[Fault Start TimeStamp]])*24)</f>
        <v>23.999722222222225</v>
      </c>
      <c r="S1023" s="349">
        <f>(Table6[[#This Row],[Fault Clearance time]]-Table6[[#This Row],[Work Start TimeStamp]])*24</f>
        <v>0</v>
      </c>
      <c r="T1023" s="350">
        <f>(Table6[[#This Row],[Fault Clearance time]]-Table6[[#This Row],[Fault Start TimeStamp]])*24</f>
        <v>23.999722222222225</v>
      </c>
      <c r="U1023" s="346" t="s">
        <v>498</v>
      </c>
      <c r="V1023" s="351" t="s">
        <v>473</v>
      </c>
      <c r="W1023" s="377">
        <f>Table6[[#This Row],[Breakdown Time]]*(1/39)</f>
        <v>0.61537749287749288</v>
      </c>
      <c r="X1023" s="336" t="s">
        <v>1212</v>
      </c>
      <c r="Y1023" s="352" t="s">
        <v>143</v>
      </c>
      <c r="Z1023" s="105">
        <v>6102</v>
      </c>
      <c r="AA1023" s="107">
        <f>IFERROR((Table6[[#This Row],[Paired WTG Generation for loss calculation]]/24)*Table6[[#This Row],[Breakdown Time]],"")</f>
        <v>6101.9293750000006</v>
      </c>
      <c r="AB1023" s="107" t="s">
        <v>478</v>
      </c>
      <c r="AC1023" s="105"/>
      <c r="AD1023" s="105"/>
    </row>
    <row r="1024" spans="1:30">
      <c r="A1024" s="105">
        <f t="shared" si="15"/>
        <v>1023</v>
      </c>
      <c r="B1024" s="371">
        <f>YEAR(Table6[[#This Row],[Date]])+IF(MONTH(Table6[[#This Row],[Date]])&gt;=4,1,0)</f>
        <v>2026</v>
      </c>
      <c r="C1024" s="372">
        <f>YEAR(Table6[[#This Row],[Date]])</f>
        <v>2025</v>
      </c>
      <c r="D1024" s="105" t="s">
        <v>490</v>
      </c>
      <c r="E1024" s="119">
        <f>Table6[[#This Row],[Date]]-DAY(Table6[[#This Row],[Date]])+1</f>
        <v>45839</v>
      </c>
      <c r="F1024" s="373">
        <v>45859</v>
      </c>
      <c r="G1024" s="374" t="s">
        <v>119</v>
      </c>
      <c r="H1024" s="39" t="str">
        <f>_xlfn.XLOOKUP(Table6[[#This Row],[Affected WTG]],'Basic Data'!$A:$A,'Basic Data'!$B:$B)</f>
        <v>PWEGPL</v>
      </c>
      <c r="I1024" s="39" t="str">
        <f>_xlfn.XLOOKUP(Table6[[#This Row],[Affected WTG]],'Basic Data'!$A:$A,'Basic Data'!$C:$C)</f>
        <v>MSEDCL</v>
      </c>
      <c r="J1024" s="381">
        <f>IFERROR(VLOOKUP(Table6[[#This Row],[Affected WTG]],'Basic Data'!$A$3:$E$56,5,0),"")</f>
        <v>2.564102564102564E-2</v>
      </c>
      <c r="K1024" s="105">
        <v>5201</v>
      </c>
      <c r="L1024" s="39" t="str">
        <f>IFERROR(VLOOKUP(Table6[[#This Row],[Error Code]],'Basic Data'!$T:$U,2,0),"")</f>
        <v>Magnetothermic Trigger Of The Stator Protection</v>
      </c>
      <c r="M1024" s="346" t="s">
        <v>462</v>
      </c>
      <c r="N1024" s="105" t="s">
        <v>1270</v>
      </c>
      <c r="O1024" s="330">
        <v>0.72916666666666663</v>
      </c>
      <c r="P1024" s="330">
        <v>0.75138888888888888</v>
      </c>
      <c r="Q1024" s="330">
        <v>0.75347222222222221</v>
      </c>
      <c r="R1024" s="382">
        <f>IF(Table6[[#This Row],[Work Start TimeStamp]]="","",(Table6[[#This Row],[Work Start TimeStamp]]-Table6[[#This Row],[Fault Start TimeStamp]])*24)</f>
        <v>0.5333333333333341</v>
      </c>
      <c r="S1024" s="382">
        <f>(Table6[[#This Row],[Fault Clearance time]]-Table6[[#This Row],[Work Start TimeStamp]])*24</f>
        <v>4.9999999999999822E-2</v>
      </c>
      <c r="T1024" s="385">
        <f>(Table6[[#This Row],[Fault Clearance time]]-Table6[[#This Row],[Fault Start TimeStamp]])*24</f>
        <v>0.58333333333333393</v>
      </c>
      <c r="U1024" s="346" t="s">
        <v>491</v>
      </c>
      <c r="V1024" s="346" t="s">
        <v>463</v>
      </c>
      <c r="W1024" s="377">
        <f>Table6[[#This Row],[Breakdown Time]]*(1/39)</f>
        <v>1.4957264957264972E-2</v>
      </c>
      <c r="X1024" s="337" t="s">
        <v>465</v>
      </c>
      <c r="Y1024" s="346" t="s">
        <v>136</v>
      </c>
      <c r="Z1024" s="105">
        <v>5982</v>
      </c>
      <c r="AA1024" s="107">
        <f>IFERROR((Table6[[#This Row],[Paired WTG Generation for loss calculation]]/24)*Table6[[#This Row],[Breakdown Time]],"")</f>
        <v>145.39583333333348</v>
      </c>
      <c r="AB1024" s="107" t="s">
        <v>478</v>
      </c>
      <c r="AC1024" s="105"/>
      <c r="AD1024" s="105"/>
    </row>
    <row r="1025" spans="1:30">
      <c r="A1025" s="105">
        <f t="shared" si="15"/>
        <v>1024</v>
      </c>
      <c r="B1025" s="371">
        <f>YEAR(Table6[[#This Row],[Date]])+IF(MONTH(Table6[[#This Row],[Date]])&gt;=4,1,0)</f>
        <v>2026</v>
      </c>
      <c r="C1025" s="372">
        <f>YEAR(Table6[[#This Row],[Date]])</f>
        <v>2025</v>
      </c>
      <c r="D1025" s="105" t="s">
        <v>490</v>
      </c>
      <c r="E1025" s="119">
        <f>Table6[[#This Row],[Date]]-DAY(Table6[[#This Row],[Date]])+1</f>
        <v>45839</v>
      </c>
      <c r="F1025" s="373">
        <v>45859</v>
      </c>
      <c r="G1025" s="374" t="s">
        <v>130</v>
      </c>
      <c r="H1025" s="39" t="str">
        <f>_xlfn.XLOOKUP(Table6[[#This Row],[Affected WTG]],'Basic Data'!$A:$A,'Basic Data'!$B:$B)</f>
        <v>PWEGPL</v>
      </c>
      <c r="I1025" s="39" t="str">
        <f>_xlfn.XLOOKUP(Table6[[#This Row],[Affected WTG]],'Basic Data'!$A:$A,'Basic Data'!$C:$C)</f>
        <v>MSEDCL</v>
      </c>
      <c r="J1025" s="381">
        <f>IFERROR(VLOOKUP(Table6[[#This Row],[Affected WTG]],'Basic Data'!$A$3:$E$56,5,0),"")</f>
        <v>2.564102564102564E-2</v>
      </c>
      <c r="K1025" s="105">
        <v>700</v>
      </c>
      <c r="L1025" s="39" t="str">
        <f>IFERROR(VLOOKUP(Table6[[#This Row],[Error Code]],'Basic Data'!$T:$U,2,0),"")</f>
        <v>PLC-Converter Communication Error</v>
      </c>
      <c r="M1025" s="346" t="s">
        <v>462</v>
      </c>
      <c r="N1025" s="105" t="s">
        <v>1270</v>
      </c>
      <c r="O1025" s="330">
        <v>0.38541666666666669</v>
      </c>
      <c r="P1025" s="330">
        <v>0.39930555555555558</v>
      </c>
      <c r="Q1025" s="330">
        <v>0.4</v>
      </c>
      <c r="R1025" s="382">
        <f>IF(Table6[[#This Row],[Work Start TimeStamp]]="","",(Table6[[#This Row],[Work Start TimeStamp]]-Table6[[#This Row],[Fault Start TimeStamp]])*24)</f>
        <v>0.33333333333333348</v>
      </c>
      <c r="S1025" s="382">
        <f>(Table6[[#This Row],[Fault Clearance time]]-Table6[[#This Row],[Work Start TimeStamp]])*24</f>
        <v>1.6666666666666607E-2</v>
      </c>
      <c r="T1025" s="385">
        <f>(Table6[[#This Row],[Fault Clearance time]]-Table6[[#This Row],[Fault Start TimeStamp]])*24</f>
        <v>0.35000000000000009</v>
      </c>
      <c r="U1025" s="346" t="s">
        <v>493</v>
      </c>
      <c r="V1025" s="346" t="s">
        <v>463</v>
      </c>
      <c r="W1025" s="377">
        <f>Table6[[#This Row],[Breakdown Time]]*(1/39)</f>
        <v>8.9743589743589772E-3</v>
      </c>
      <c r="X1025" s="337" t="s">
        <v>465</v>
      </c>
      <c r="Y1025" s="346" t="s">
        <v>131</v>
      </c>
      <c r="Z1025" s="105">
        <v>7591</v>
      </c>
      <c r="AA1025" s="107">
        <f>IFERROR((Table6[[#This Row],[Paired WTG Generation for loss calculation]]/24)*Table6[[#This Row],[Breakdown Time]],"")</f>
        <v>110.70208333333336</v>
      </c>
      <c r="AB1025" s="107" t="s">
        <v>478</v>
      </c>
      <c r="AC1025" s="105"/>
      <c r="AD1025" s="105"/>
    </row>
    <row r="1026" spans="1:30">
      <c r="A1026" s="105">
        <f t="shared" si="15"/>
        <v>1025</v>
      </c>
      <c r="B1026" s="371">
        <f>YEAR(Table6[[#This Row],[Date]])+IF(MONTH(Table6[[#This Row],[Date]])&gt;=4,1,0)</f>
        <v>2026</v>
      </c>
      <c r="C1026" s="372">
        <f>YEAR(Table6[[#This Row],[Date]])</f>
        <v>2025</v>
      </c>
      <c r="D1026" s="105" t="s">
        <v>490</v>
      </c>
      <c r="E1026" s="119">
        <f>Table6[[#This Row],[Date]]-DAY(Table6[[#This Row],[Date]])+1</f>
        <v>45839</v>
      </c>
      <c r="F1026" s="373">
        <v>45859</v>
      </c>
      <c r="G1026" s="374" t="s">
        <v>130</v>
      </c>
      <c r="H1026" s="39" t="str">
        <f>_xlfn.XLOOKUP(Table6[[#This Row],[Affected WTG]],'Basic Data'!$A:$A,'Basic Data'!$B:$B)</f>
        <v>PWEGPL</v>
      </c>
      <c r="I1026" s="39" t="str">
        <f>_xlfn.XLOOKUP(Table6[[#This Row],[Affected WTG]],'Basic Data'!$A:$A,'Basic Data'!$C:$C)</f>
        <v>MSEDCL</v>
      </c>
      <c r="J1026" s="381">
        <f>IFERROR(VLOOKUP(Table6[[#This Row],[Affected WTG]],'Basic Data'!$A$3:$E$56,5,0),"")</f>
        <v>2.564102564102564E-2</v>
      </c>
      <c r="K1026" s="105" t="s">
        <v>487</v>
      </c>
      <c r="L1026" s="39" t="str">
        <f>IFERROR(VLOOKUP(Table6[[#This Row],[Error Code]],'Basic Data'!$T:$U,2,0),"")</f>
        <v>General Work Stoppage</v>
      </c>
      <c r="M1026" s="346" t="s">
        <v>462</v>
      </c>
      <c r="N1026" s="105" t="s">
        <v>230</v>
      </c>
      <c r="O1026" s="330">
        <v>0.64930555555555558</v>
      </c>
      <c r="P1026" s="330">
        <v>0.64930555555555558</v>
      </c>
      <c r="Q1026" s="330">
        <v>0.76041666666666663</v>
      </c>
      <c r="R1026" s="382">
        <f>IF(Table6[[#This Row],[Work Start TimeStamp]]="","",(Table6[[#This Row],[Work Start TimeStamp]]-Table6[[#This Row],[Fault Start TimeStamp]])*24)</f>
        <v>0</v>
      </c>
      <c r="S1026" s="382">
        <f>(Table6[[#This Row],[Fault Clearance time]]-Table6[[#This Row],[Work Start TimeStamp]])*24</f>
        <v>2.6666666666666652</v>
      </c>
      <c r="T1026" s="385">
        <f>(Table6[[#This Row],[Fault Clearance time]]-Table6[[#This Row],[Fault Start TimeStamp]])*24</f>
        <v>2.6666666666666652</v>
      </c>
      <c r="U1026" s="346" t="s">
        <v>1393</v>
      </c>
      <c r="V1026" s="346" t="s">
        <v>463</v>
      </c>
      <c r="W1026" s="377">
        <f>Table6[[#This Row],[Breakdown Time]]*(1/39)</f>
        <v>6.8376068376068341E-2</v>
      </c>
      <c r="X1026" s="337" t="s">
        <v>464</v>
      </c>
      <c r="Y1026" s="346" t="s">
        <v>131</v>
      </c>
      <c r="Z1026" s="105">
        <v>7591</v>
      </c>
      <c r="AA1026" s="107">
        <f>IFERROR((Table6[[#This Row],[Paired WTG Generation for loss calculation]]/24)*Table6[[#This Row],[Breakdown Time]],"")</f>
        <v>843.444444444444</v>
      </c>
      <c r="AB1026" s="107" t="s">
        <v>478</v>
      </c>
      <c r="AC1026" s="105"/>
      <c r="AD1026" s="105"/>
    </row>
    <row r="1027" spans="1:30">
      <c r="A1027" s="105">
        <f t="shared" si="15"/>
        <v>1026</v>
      </c>
      <c r="B1027" s="371">
        <f>YEAR(Table6[[#This Row],[Date]])+IF(MONTH(Table6[[#This Row],[Date]])&gt;=4,1,0)</f>
        <v>2026</v>
      </c>
      <c r="C1027" s="372">
        <f>YEAR(Table6[[#This Row],[Date]])</f>
        <v>2025</v>
      </c>
      <c r="D1027" s="105" t="s">
        <v>490</v>
      </c>
      <c r="E1027" s="119">
        <f>Table6[[#This Row],[Date]]-DAY(Table6[[#This Row],[Date]])+1</f>
        <v>45839</v>
      </c>
      <c r="F1027" s="373">
        <v>45859</v>
      </c>
      <c r="G1027" s="374" t="s">
        <v>136</v>
      </c>
      <c r="H1027" s="39" t="str">
        <f>_xlfn.XLOOKUP(Table6[[#This Row],[Affected WTG]],'Basic Data'!$A:$A,'Basic Data'!$B:$B)</f>
        <v>PWEGPL</v>
      </c>
      <c r="I1027" s="39" t="str">
        <f>_xlfn.XLOOKUP(Table6[[#This Row],[Affected WTG]],'Basic Data'!$A:$A,'Basic Data'!$C:$C)</f>
        <v>MSEDCL</v>
      </c>
      <c r="J1027" s="381">
        <f>IFERROR(VLOOKUP(Table6[[#This Row],[Affected WTG]],'Basic Data'!$A$3:$E$56,5,0),"")</f>
        <v>2.564102564102564E-2</v>
      </c>
      <c r="K1027" s="105">
        <v>203</v>
      </c>
      <c r="L1027" s="39" t="str">
        <f>IFERROR(VLOOKUP(Table6[[#This Row],[Error Code]],'Basic Data'!$T:$U,2,0),"")</f>
        <v>Low Pressure On Hydraulic Group</v>
      </c>
      <c r="M1027" s="346" t="s">
        <v>462</v>
      </c>
      <c r="N1027" s="105" t="s">
        <v>1270</v>
      </c>
      <c r="O1027" s="330">
        <v>0.72847222222222219</v>
      </c>
      <c r="P1027" s="330">
        <v>0.7583333333333333</v>
      </c>
      <c r="Q1027" s="330">
        <v>0.75972222222222219</v>
      </c>
      <c r="R1027" s="382">
        <f>IF(Table6[[#This Row],[Work Start TimeStamp]]="","",(Table6[[#This Row],[Work Start TimeStamp]]-Table6[[#This Row],[Fault Start TimeStamp]])*24)</f>
        <v>0.71666666666666679</v>
      </c>
      <c r="S1027" s="382">
        <f>(Table6[[#This Row],[Fault Clearance time]]-Table6[[#This Row],[Work Start TimeStamp]])*24</f>
        <v>3.3333333333333215E-2</v>
      </c>
      <c r="T1027" s="385">
        <f>(Table6[[#This Row],[Fault Clearance time]]-Table6[[#This Row],[Fault Start TimeStamp]])*24</f>
        <v>0.75</v>
      </c>
      <c r="U1027" s="346" t="s">
        <v>493</v>
      </c>
      <c r="V1027" s="346" t="s">
        <v>463</v>
      </c>
      <c r="W1027" s="377">
        <f>Table6[[#This Row],[Breakdown Time]]*(1/39)</f>
        <v>1.9230769230769232E-2</v>
      </c>
      <c r="X1027" s="337" t="s">
        <v>465</v>
      </c>
      <c r="Y1027" s="346" t="s">
        <v>119</v>
      </c>
      <c r="Z1027" s="105">
        <v>5949</v>
      </c>
      <c r="AA1027" s="107">
        <f>IFERROR((Table6[[#This Row],[Paired WTG Generation for loss calculation]]/24)*Table6[[#This Row],[Breakdown Time]],"")</f>
        <v>185.90625</v>
      </c>
      <c r="AB1027" s="107" t="s">
        <v>478</v>
      </c>
      <c r="AC1027" s="105"/>
      <c r="AD1027" s="105"/>
    </row>
    <row r="1028" spans="1:30">
      <c r="A1028" s="105">
        <f t="shared" si="15"/>
        <v>1027</v>
      </c>
      <c r="B1028" s="371">
        <f>YEAR(Table6[[#This Row],[Date]])+IF(MONTH(Table6[[#This Row],[Date]])&gt;=4,1,0)</f>
        <v>2026</v>
      </c>
      <c r="C1028" s="372">
        <f>YEAR(Table6[[#This Row],[Date]])</f>
        <v>2025</v>
      </c>
      <c r="D1028" s="105" t="s">
        <v>490</v>
      </c>
      <c r="E1028" s="119">
        <f>Table6[[#This Row],[Date]]-DAY(Table6[[#This Row],[Date]])+1</f>
        <v>45839</v>
      </c>
      <c r="F1028" s="373">
        <v>45860</v>
      </c>
      <c r="G1028" s="105" t="s">
        <v>142</v>
      </c>
      <c r="H1028" s="39" t="str">
        <f>_xlfn.XLOOKUP(Table6[[#This Row],[Affected WTG]],'Basic Data'!$A:$A,'Basic Data'!$B:$B)</f>
        <v>PWEGPL</v>
      </c>
      <c r="I1028" s="39" t="str">
        <f>_xlfn.XLOOKUP(Table6[[#This Row],[Affected WTG]],'Basic Data'!$A:$A,'Basic Data'!$C:$C)</f>
        <v>MSEDCL</v>
      </c>
      <c r="J1028" s="345">
        <f>IFERROR(VLOOKUP(Table6[[#This Row],[Affected WTG]],'Basic Data'!$A$3:$E$56,5,0),"")</f>
        <v>2.564102564102564E-2</v>
      </c>
      <c r="K1028" s="105" t="s">
        <v>492</v>
      </c>
      <c r="L1028" s="39" t="str">
        <f>IFERROR(VLOOKUP(Table6[[#This Row],[Error Code]],'Basic Data'!$T:$U,2,0),"")</f>
        <v>Manual Stop - Safety Related</v>
      </c>
      <c r="M1028" s="346" t="s">
        <v>481</v>
      </c>
      <c r="N1028" s="105" t="s">
        <v>1269</v>
      </c>
      <c r="O1028" s="347">
        <v>0</v>
      </c>
      <c r="P1028" s="347">
        <v>0.99998842592592596</v>
      </c>
      <c r="Q1028" s="347">
        <v>0.99998842592592596</v>
      </c>
      <c r="R1028" s="348">
        <f>IF(Table6[[#This Row],[Work Start TimeStamp]]="","",(Table6[[#This Row],[Work Start TimeStamp]]-Table6[[#This Row],[Fault Start TimeStamp]])*24)</f>
        <v>23.999722222222225</v>
      </c>
      <c r="S1028" s="349">
        <f>(Table6[[#This Row],[Fault Clearance time]]-Table6[[#This Row],[Work Start TimeStamp]])*24</f>
        <v>0</v>
      </c>
      <c r="T1028" s="350">
        <f>(Table6[[#This Row],[Fault Clearance time]]-Table6[[#This Row],[Fault Start TimeStamp]])*24</f>
        <v>23.999722222222225</v>
      </c>
      <c r="U1028" s="346" t="s">
        <v>498</v>
      </c>
      <c r="V1028" s="351" t="s">
        <v>473</v>
      </c>
      <c r="W1028" s="377">
        <f>Table6[[#This Row],[Breakdown Time]]*(1/39)</f>
        <v>0.61537749287749288</v>
      </c>
      <c r="X1028" s="336" t="s">
        <v>1212</v>
      </c>
      <c r="Y1028" s="352" t="s">
        <v>143</v>
      </c>
      <c r="Z1028" s="105">
        <v>5998</v>
      </c>
      <c r="AA1028" s="107">
        <f>IFERROR((Table6[[#This Row],[Paired WTG Generation for loss calculation]]/24)*Table6[[#This Row],[Breakdown Time]],"")</f>
        <v>5997.9305787037038</v>
      </c>
      <c r="AB1028" s="107" t="s">
        <v>478</v>
      </c>
      <c r="AC1028" s="105"/>
      <c r="AD1028" s="105"/>
    </row>
    <row r="1029" spans="1:30">
      <c r="A1029" s="105">
        <f t="shared" ref="A1029:A1037" si="16">A1028+1</f>
        <v>1028</v>
      </c>
      <c r="B1029" s="371">
        <f>YEAR(Table6[[#This Row],[Date]])+IF(MONTH(Table6[[#This Row],[Date]])&gt;=4,1,0)</f>
        <v>2026</v>
      </c>
      <c r="C1029" s="372">
        <f>YEAR(Table6[[#This Row],[Date]])</f>
        <v>2025</v>
      </c>
      <c r="D1029" s="105" t="s">
        <v>490</v>
      </c>
      <c r="E1029" s="119">
        <f>Table6[[#This Row],[Date]]-DAY(Table6[[#This Row],[Date]])+1</f>
        <v>45839</v>
      </c>
      <c r="F1029" s="373">
        <v>45860</v>
      </c>
      <c r="G1029" s="374" t="s">
        <v>118</v>
      </c>
      <c r="H1029" s="39" t="str">
        <f>_xlfn.XLOOKUP(Table6[[#This Row],[Affected WTG]],'Basic Data'!$A:$A,'Basic Data'!$B:$B)</f>
        <v>PWEGPL</v>
      </c>
      <c r="I1029" s="39" t="str">
        <f>_xlfn.XLOOKUP(Table6[[#This Row],[Affected WTG]],'Basic Data'!$A:$A,'Basic Data'!$C:$C)</f>
        <v>MSEDCL</v>
      </c>
      <c r="J1029" s="381">
        <f>IFERROR(VLOOKUP(Table6[[#This Row],[Affected WTG]],'Basic Data'!$A$3:$E$56,5,0),"")</f>
        <v>2.564102564102564E-2</v>
      </c>
      <c r="K1029" s="105">
        <v>700</v>
      </c>
      <c r="L1029" s="39" t="str">
        <f>IFERROR(VLOOKUP(Table6[[#This Row],[Error Code]],'Basic Data'!$T:$U,2,0),"")</f>
        <v>PLC-Converter Communication Error</v>
      </c>
      <c r="M1029" s="346" t="s">
        <v>462</v>
      </c>
      <c r="N1029" s="105" t="s">
        <v>1270</v>
      </c>
      <c r="O1029" s="330">
        <v>0.58680555555555558</v>
      </c>
      <c r="P1029" s="330">
        <v>0.65972222222222221</v>
      </c>
      <c r="Q1029" s="330">
        <v>0.67083333333333328</v>
      </c>
      <c r="R1029" s="382">
        <f>IF(Table6[[#This Row],[Work Start TimeStamp]]="","",(Table6[[#This Row],[Work Start TimeStamp]]-Table6[[#This Row],[Fault Start TimeStamp]])*24)</f>
        <v>1.7499999999999991</v>
      </c>
      <c r="S1029" s="382">
        <f>(Table6[[#This Row],[Fault Clearance time]]-Table6[[#This Row],[Work Start TimeStamp]])*24</f>
        <v>0.26666666666666572</v>
      </c>
      <c r="T1029" s="385">
        <f>(Table6[[#This Row],[Fault Clearance time]]-Table6[[#This Row],[Fault Start TimeStamp]])*24</f>
        <v>2.0166666666666648</v>
      </c>
      <c r="U1029" s="346" t="s">
        <v>493</v>
      </c>
      <c r="V1029" s="346" t="s">
        <v>463</v>
      </c>
      <c r="W1029" s="377">
        <f>Table6[[#This Row],[Breakdown Time]]*(1/39)</f>
        <v>5.1709401709401658E-2</v>
      </c>
      <c r="X1029" s="337" t="s">
        <v>465</v>
      </c>
      <c r="Y1029" s="346" t="s">
        <v>117</v>
      </c>
      <c r="Z1029" s="105">
        <v>6092</v>
      </c>
      <c r="AA1029" s="107">
        <f>IFERROR((Table6[[#This Row],[Paired WTG Generation for loss calculation]]/24)*Table6[[#This Row],[Breakdown Time]],"")</f>
        <v>511.89722222222179</v>
      </c>
      <c r="AB1029" s="107" t="s">
        <v>478</v>
      </c>
      <c r="AC1029" s="105"/>
      <c r="AD1029" s="105"/>
    </row>
    <row r="1030" spans="1:30">
      <c r="A1030" s="105">
        <f t="shared" si="16"/>
        <v>1029</v>
      </c>
      <c r="B1030" s="371">
        <f>YEAR(Table6[[#This Row],[Date]])+IF(MONTH(Table6[[#This Row],[Date]])&gt;=4,1,0)</f>
        <v>2026</v>
      </c>
      <c r="C1030" s="372">
        <f>YEAR(Table6[[#This Row],[Date]])</f>
        <v>2025</v>
      </c>
      <c r="D1030" s="105" t="s">
        <v>490</v>
      </c>
      <c r="E1030" s="119">
        <f>Table6[[#This Row],[Date]]-DAY(Table6[[#This Row],[Date]])+1</f>
        <v>45839</v>
      </c>
      <c r="F1030" s="373">
        <v>45860</v>
      </c>
      <c r="G1030" s="374" t="s">
        <v>130</v>
      </c>
      <c r="H1030" s="39" t="str">
        <f>_xlfn.XLOOKUP(Table6[[#This Row],[Affected WTG]],'Basic Data'!$A:$A,'Basic Data'!$B:$B)</f>
        <v>PWEGPL</v>
      </c>
      <c r="I1030" s="39" t="str">
        <f>_xlfn.XLOOKUP(Table6[[#This Row],[Affected WTG]],'Basic Data'!$A:$A,'Basic Data'!$C:$C)</f>
        <v>MSEDCL</v>
      </c>
      <c r="J1030" s="381">
        <f>IFERROR(VLOOKUP(Table6[[#This Row],[Affected WTG]],'Basic Data'!$A$3:$E$56,5,0),"")</f>
        <v>2.564102564102564E-2</v>
      </c>
      <c r="K1030" s="105">
        <v>700</v>
      </c>
      <c r="L1030" s="39" t="str">
        <f>IFERROR(VLOOKUP(Table6[[#This Row],[Error Code]],'Basic Data'!$T:$U,2,0),"")</f>
        <v>PLC-Converter Communication Error</v>
      </c>
      <c r="M1030" s="346" t="s">
        <v>462</v>
      </c>
      <c r="N1030" s="105" t="s">
        <v>1270</v>
      </c>
      <c r="O1030" s="330">
        <v>0.46319444444444446</v>
      </c>
      <c r="P1030" s="330">
        <v>0.47916666666666669</v>
      </c>
      <c r="Q1030" s="330">
        <v>0.48055555555555557</v>
      </c>
      <c r="R1030" s="382">
        <f>IF(Table6[[#This Row],[Work Start TimeStamp]]="","",(Table6[[#This Row],[Work Start TimeStamp]]-Table6[[#This Row],[Fault Start TimeStamp]])*24)</f>
        <v>0.3833333333333333</v>
      </c>
      <c r="S1030" s="382">
        <f>(Table6[[#This Row],[Fault Clearance time]]-Table6[[#This Row],[Work Start TimeStamp]])*24</f>
        <v>3.3333333333333215E-2</v>
      </c>
      <c r="T1030" s="385">
        <f>(Table6[[#This Row],[Fault Clearance time]]-Table6[[#This Row],[Fault Start TimeStamp]])*24</f>
        <v>0.41666666666666652</v>
      </c>
      <c r="U1030" s="346" t="s">
        <v>493</v>
      </c>
      <c r="V1030" s="346" t="s">
        <v>463</v>
      </c>
      <c r="W1030" s="377">
        <f>Table6[[#This Row],[Breakdown Time]]*(1/39)</f>
        <v>1.0683760683760679E-2</v>
      </c>
      <c r="X1030" s="337" t="s">
        <v>465</v>
      </c>
      <c r="Y1030" s="346" t="s">
        <v>131</v>
      </c>
      <c r="Z1030" s="105">
        <v>6582</v>
      </c>
      <c r="AA1030" s="107">
        <f>IFERROR((Table6[[#This Row],[Paired WTG Generation for loss calculation]]/24)*Table6[[#This Row],[Breakdown Time]],"")</f>
        <v>114.27083333333329</v>
      </c>
      <c r="AB1030" s="107" t="s">
        <v>478</v>
      </c>
      <c r="AC1030" s="105"/>
      <c r="AD1030" s="105"/>
    </row>
    <row r="1031" spans="1:30">
      <c r="A1031" s="105">
        <f t="shared" si="16"/>
        <v>1030</v>
      </c>
      <c r="B1031" s="371">
        <f>YEAR(Table6[[#This Row],[Date]])+IF(MONTH(Table6[[#This Row],[Date]])&gt;=4,1,0)</f>
        <v>2026</v>
      </c>
      <c r="C1031" s="372">
        <f>YEAR(Table6[[#This Row],[Date]])</f>
        <v>2025</v>
      </c>
      <c r="D1031" s="105" t="s">
        <v>490</v>
      </c>
      <c r="E1031" s="119">
        <f>Table6[[#This Row],[Date]]-DAY(Table6[[#This Row],[Date]])+1</f>
        <v>45839</v>
      </c>
      <c r="F1031" s="373">
        <v>45860</v>
      </c>
      <c r="G1031" s="374" t="s">
        <v>130</v>
      </c>
      <c r="H1031" s="39" t="str">
        <f>_xlfn.XLOOKUP(Table6[[#This Row],[Affected WTG]],'Basic Data'!$A:$A,'Basic Data'!$B:$B)</f>
        <v>PWEGPL</v>
      </c>
      <c r="I1031" s="39" t="str">
        <f>_xlfn.XLOOKUP(Table6[[#This Row],[Affected WTG]],'Basic Data'!$A:$A,'Basic Data'!$C:$C)</f>
        <v>MSEDCL</v>
      </c>
      <c r="J1031" s="381">
        <f>IFERROR(VLOOKUP(Table6[[#This Row],[Affected WTG]],'Basic Data'!$A$3:$E$56,5,0),"")</f>
        <v>2.564102564102564E-2</v>
      </c>
      <c r="K1031" s="105">
        <v>700</v>
      </c>
      <c r="L1031" s="39" t="str">
        <f>IFERROR(VLOOKUP(Table6[[#This Row],[Error Code]],'Basic Data'!$T:$U,2,0),"")</f>
        <v>PLC-Converter Communication Error</v>
      </c>
      <c r="M1031" s="346" t="s">
        <v>462</v>
      </c>
      <c r="N1031" s="105" t="s">
        <v>1270</v>
      </c>
      <c r="O1031" s="330">
        <v>0.60763888888888884</v>
      </c>
      <c r="P1031" s="330">
        <v>0.72916666666666663</v>
      </c>
      <c r="Q1031" s="330">
        <v>0.73055555555555551</v>
      </c>
      <c r="R1031" s="382">
        <f>IF(Table6[[#This Row],[Work Start TimeStamp]]="","",(Table6[[#This Row],[Work Start TimeStamp]]-Table6[[#This Row],[Fault Start TimeStamp]])*24)</f>
        <v>2.916666666666667</v>
      </c>
      <c r="S1031" s="382">
        <f>(Table6[[#This Row],[Fault Clearance time]]-Table6[[#This Row],[Work Start TimeStamp]])*24</f>
        <v>3.3333333333333215E-2</v>
      </c>
      <c r="T1031" s="385">
        <f>(Table6[[#This Row],[Fault Clearance time]]-Table6[[#This Row],[Fault Start TimeStamp]])*24</f>
        <v>2.95</v>
      </c>
      <c r="U1031" s="346" t="s">
        <v>493</v>
      </c>
      <c r="V1031" s="346" t="s">
        <v>463</v>
      </c>
      <c r="W1031" s="377">
        <f>Table6[[#This Row],[Breakdown Time]]*(1/39)</f>
        <v>7.564102564102565E-2</v>
      </c>
      <c r="X1031" s="337" t="s">
        <v>465</v>
      </c>
      <c r="Y1031" s="346" t="s">
        <v>131</v>
      </c>
      <c r="Z1031" s="105">
        <v>6582</v>
      </c>
      <c r="AA1031" s="107">
        <f>IFERROR((Table6[[#This Row],[Paired WTG Generation for loss calculation]]/24)*Table6[[#This Row],[Breakdown Time]],"")</f>
        <v>809.03750000000002</v>
      </c>
      <c r="AB1031" s="107" t="s">
        <v>478</v>
      </c>
      <c r="AC1031" s="105"/>
      <c r="AD1031" s="105"/>
    </row>
    <row r="1032" spans="1:30">
      <c r="A1032" s="105">
        <f t="shared" si="16"/>
        <v>1031</v>
      </c>
      <c r="B1032" s="371">
        <f>YEAR(Table6[[#This Row],[Date]])+IF(MONTH(Table6[[#This Row],[Date]])&gt;=4,1,0)</f>
        <v>2026</v>
      </c>
      <c r="C1032" s="372">
        <f>YEAR(Table6[[#This Row],[Date]])</f>
        <v>2025</v>
      </c>
      <c r="D1032" s="105" t="s">
        <v>490</v>
      </c>
      <c r="E1032" s="119">
        <f>Table6[[#This Row],[Date]]-DAY(Table6[[#This Row],[Date]])+1</f>
        <v>45839</v>
      </c>
      <c r="F1032" s="373">
        <v>45860</v>
      </c>
      <c r="G1032" s="374" t="s">
        <v>136</v>
      </c>
      <c r="H1032" s="39" t="str">
        <f>_xlfn.XLOOKUP(Table6[[#This Row],[Affected WTG]],'Basic Data'!$A:$A,'Basic Data'!$B:$B)</f>
        <v>PWEGPL</v>
      </c>
      <c r="I1032" s="39" t="str">
        <f>_xlfn.XLOOKUP(Table6[[#This Row],[Affected WTG]],'Basic Data'!$A:$A,'Basic Data'!$C:$C)</f>
        <v>MSEDCL</v>
      </c>
      <c r="J1032" s="381">
        <f>IFERROR(VLOOKUP(Table6[[#This Row],[Affected WTG]],'Basic Data'!$A$3:$E$56,5,0),"")</f>
        <v>2.564102564102564E-2</v>
      </c>
      <c r="K1032" s="105">
        <v>509</v>
      </c>
      <c r="L1032" s="39" t="str">
        <f>IFERROR(VLOOKUP(Table6[[#This Row],[Error Code]],'Basic Data'!$T:$U,2,0),"")</f>
        <v>Generator Slipping Ring High Temperature</v>
      </c>
      <c r="M1032" s="346" t="s">
        <v>462</v>
      </c>
      <c r="N1032" s="105" t="s">
        <v>1270</v>
      </c>
      <c r="O1032" s="330">
        <v>0.46875</v>
      </c>
      <c r="P1032" s="330">
        <v>0.49166666666666664</v>
      </c>
      <c r="Q1032" s="330">
        <v>0.78194444444444444</v>
      </c>
      <c r="R1032" s="382">
        <f>IF(Table6[[#This Row],[Work Start TimeStamp]]="","",(Table6[[#This Row],[Work Start TimeStamp]]-Table6[[#This Row],[Fault Start TimeStamp]])*24)</f>
        <v>0.54999999999999938</v>
      </c>
      <c r="S1032" s="382">
        <f>(Table6[[#This Row],[Fault Clearance time]]-Table6[[#This Row],[Work Start TimeStamp]])*24</f>
        <v>6.9666666666666668</v>
      </c>
      <c r="T1032" s="385">
        <f>(Table6[[#This Row],[Fault Clearance time]]-Table6[[#This Row],[Fault Start TimeStamp]])*24</f>
        <v>7.5166666666666666</v>
      </c>
      <c r="U1032" s="346" t="s">
        <v>1394</v>
      </c>
      <c r="V1032" s="346" t="s">
        <v>463</v>
      </c>
      <c r="W1032" s="377">
        <f>Table6[[#This Row],[Breakdown Time]]*(1/39)</f>
        <v>0.19273504273504272</v>
      </c>
      <c r="X1032" s="337" t="s">
        <v>465</v>
      </c>
      <c r="Y1032" s="346" t="s">
        <v>119</v>
      </c>
      <c r="Z1032" s="105">
        <v>5967</v>
      </c>
      <c r="AA1032" s="107">
        <f>IFERROR((Table6[[#This Row],[Paired WTG Generation for loss calculation]]/24)*Table6[[#This Row],[Breakdown Time]],"")</f>
        <v>1868.83125</v>
      </c>
      <c r="AB1032" s="107" t="s">
        <v>478</v>
      </c>
      <c r="AC1032" s="105"/>
      <c r="AD1032" s="105"/>
    </row>
    <row r="1033" spans="1:30">
      <c r="A1033" s="105">
        <f t="shared" si="16"/>
        <v>1032</v>
      </c>
      <c r="B1033" s="371">
        <f>YEAR(Table6[[#This Row],[Date]])+IF(MONTH(Table6[[#This Row],[Date]])&gt;=4,1,0)</f>
        <v>2026</v>
      </c>
      <c r="C1033" s="372">
        <f>YEAR(Table6[[#This Row],[Date]])</f>
        <v>2025</v>
      </c>
      <c r="D1033" s="105" t="s">
        <v>490</v>
      </c>
      <c r="E1033" s="119">
        <f>Table6[[#This Row],[Date]]-DAY(Table6[[#This Row],[Date]])+1</f>
        <v>45839</v>
      </c>
      <c r="F1033" s="373">
        <v>45860</v>
      </c>
      <c r="G1033" s="374" t="s">
        <v>144</v>
      </c>
      <c r="H1033" s="39" t="str">
        <f>_xlfn.XLOOKUP(Table6[[#This Row],[Affected WTG]],'Basic Data'!$A:$A,'Basic Data'!$B:$B)</f>
        <v>PWEGPL</v>
      </c>
      <c r="I1033" s="39" t="str">
        <f>_xlfn.XLOOKUP(Table6[[#This Row],[Affected WTG]],'Basic Data'!$A:$A,'Basic Data'!$C:$C)</f>
        <v>MSEDCL</v>
      </c>
      <c r="J1033" s="381">
        <f>IFERROR(VLOOKUP(Table6[[#This Row],[Affected WTG]],'Basic Data'!$A$3:$E$56,5,0),"")</f>
        <v>2.564102564102564E-2</v>
      </c>
      <c r="K1033" s="105" t="s">
        <v>476</v>
      </c>
      <c r="L1033" s="387" t="str">
        <f>IFERROR(VLOOKUP(Table6[[#This Row],[Error Code]],'Basic Data'!$T:$U,2,0),"")</f>
        <v>Manual Stop - Preventive Maintenance Activity</v>
      </c>
      <c r="M1033" s="346" t="s">
        <v>474</v>
      </c>
      <c r="N1033" s="105" t="s">
        <v>230</v>
      </c>
      <c r="O1033" s="330">
        <v>0.48749999999999999</v>
      </c>
      <c r="P1033" s="330">
        <v>0.48749999999999999</v>
      </c>
      <c r="Q1033" s="330">
        <v>0.77083333333333337</v>
      </c>
      <c r="R1033" s="382">
        <f>IF(Table6[[#This Row],[Work Start TimeStamp]]="","",(Table6[[#This Row],[Work Start TimeStamp]]-Table6[[#This Row],[Fault Start TimeStamp]])*24)</f>
        <v>0</v>
      </c>
      <c r="S1033" s="382">
        <f>(Table6[[#This Row],[Fault Clearance time]]-Table6[[#This Row],[Work Start TimeStamp]])*24</f>
        <v>6.8000000000000007</v>
      </c>
      <c r="T1033" s="385">
        <f>(Table6[[#This Row],[Fault Clearance time]]-Table6[[#This Row],[Fault Start TimeStamp]])*24</f>
        <v>6.8000000000000007</v>
      </c>
      <c r="U1033" s="346" t="s">
        <v>582</v>
      </c>
      <c r="V1033" s="346" t="s">
        <v>463</v>
      </c>
      <c r="W1033" s="377">
        <f>Table6[[#This Row],[Breakdown Time]]*(1/39)</f>
        <v>0.17435897435897438</v>
      </c>
      <c r="X1033" s="337" t="s">
        <v>467</v>
      </c>
      <c r="Y1033" s="346" t="s">
        <v>143</v>
      </c>
      <c r="Z1033" s="105">
        <v>5998</v>
      </c>
      <c r="AA1033" s="107">
        <f>IFERROR((Table6[[#This Row],[Paired WTG Generation for loss calculation]]/24)*Table6[[#This Row],[Breakdown Time]],"")</f>
        <v>1699.4333333333334</v>
      </c>
      <c r="AB1033" s="107" t="s">
        <v>478</v>
      </c>
      <c r="AC1033" s="105"/>
      <c r="AD1033" s="105"/>
    </row>
    <row r="1034" spans="1:30">
      <c r="A1034" s="105">
        <f t="shared" si="16"/>
        <v>1033</v>
      </c>
      <c r="B1034" s="371">
        <f>YEAR(Table6[[#This Row],[Date]])+IF(MONTH(Table6[[#This Row],[Date]])&gt;=4,1,0)</f>
        <v>2026</v>
      </c>
      <c r="C1034" s="372">
        <f>YEAR(Table6[[#This Row],[Date]])</f>
        <v>2025</v>
      </c>
      <c r="D1034" s="105" t="s">
        <v>490</v>
      </c>
      <c r="E1034" s="119">
        <f>Table6[[#This Row],[Date]]-DAY(Table6[[#This Row],[Date]])+1</f>
        <v>45839</v>
      </c>
      <c r="F1034" s="373">
        <v>45861</v>
      </c>
      <c r="G1034" s="105" t="s">
        <v>142</v>
      </c>
      <c r="H1034" s="39" t="str">
        <f>_xlfn.XLOOKUP(Table6[[#This Row],[Affected WTG]],'Basic Data'!$A:$A,'Basic Data'!$B:$B)</f>
        <v>PWEGPL</v>
      </c>
      <c r="I1034" s="39" t="str">
        <f>_xlfn.XLOOKUP(Table6[[#This Row],[Affected WTG]],'Basic Data'!$A:$A,'Basic Data'!$C:$C)</f>
        <v>MSEDCL</v>
      </c>
      <c r="J1034" s="345">
        <f>IFERROR(VLOOKUP(Table6[[#This Row],[Affected WTG]],'Basic Data'!$A$3:$E$56,5,0),"")</f>
        <v>2.564102564102564E-2</v>
      </c>
      <c r="K1034" s="105" t="s">
        <v>492</v>
      </c>
      <c r="L1034" s="39" t="str">
        <f>IFERROR(VLOOKUP(Table6[[#This Row],[Error Code]],'Basic Data'!$T:$U,2,0),"")</f>
        <v>Manual Stop - Safety Related</v>
      </c>
      <c r="M1034" s="346" t="s">
        <v>481</v>
      </c>
      <c r="N1034" s="105" t="s">
        <v>1269</v>
      </c>
      <c r="O1034" s="347">
        <v>0</v>
      </c>
      <c r="P1034" s="347">
        <v>0.99998842592592596</v>
      </c>
      <c r="Q1034" s="347">
        <v>0.99998842592592596</v>
      </c>
      <c r="R1034" s="348">
        <f>IF(Table6[[#This Row],[Work Start TimeStamp]]="","",(Table6[[#This Row],[Work Start TimeStamp]]-Table6[[#This Row],[Fault Start TimeStamp]])*24)</f>
        <v>23.999722222222225</v>
      </c>
      <c r="S1034" s="349">
        <f>(Table6[[#This Row],[Fault Clearance time]]-Table6[[#This Row],[Work Start TimeStamp]])*24</f>
        <v>0</v>
      </c>
      <c r="T1034" s="350">
        <f>(Table6[[#This Row],[Fault Clearance time]]-Table6[[#This Row],[Fault Start TimeStamp]])*24</f>
        <v>23.999722222222225</v>
      </c>
      <c r="U1034" s="346" t="s">
        <v>498</v>
      </c>
      <c r="V1034" s="351" t="s">
        <v>473</v>
      </c>
      <c r="W1034" s="377">
        <f>Table6[[#This Row],[Breakdown Time]]*(1/39)</f>
        <v>0.61537749287749288</v>
      </c>
      <c r="X1034" s="336" t="s">
        <v>1212</v>
      </c>
      <c r="Y1034" s="352" t="s">
        <v>143</v>
      </c>
      <c r="Z1034" s="105">
        <v>9357</v>
      </c>
      <c r="AA1034" s="107">
        <f>IFERROR((Table6[[#This Row],[Paired WTG Generation for loss calculation]]/24)*Table6[[#This Row],[Breakdown Time]],"")</f>
        <v>9356.8917013888895</v>
      </c>
      <c r="AB1034" s="107" t="s">
        <v>478</v>
      </c>
      <c r="AC1034" s="105"/>
      <c r="AD1034" s="105"/>
    </row>
    <row r="1035" spans="1:30">
      <c r="A1035" s="105">
        <f t="shared" si="16"/>
        <v>1034</v>
      </c>
      <c r="B1035" s="371">
        <f>YEAR(Table6[[#This Row],[Date]])+IF(MONTH(Table6[[#This Row],[Date]])&gt;=4,1,0)</f>
        <v>2026</v>
      </c>
      <c r="C1035" s="372">
        <f>YEAR(Table6[[#This Row],[Date]])</f>
        <v>2025</v>
      </c>
      <c r="D1035" s="105" t="s">
        <v>490</v>
      </c>
      <c r="E1035" s="119">
        <f>Table6[[#This Row],[Date]]-DAY(Table6[[#This Row],[Date]])+1</f>
        <v>45839</v>
      </c>
      <c r="F1035" s="373">
        <v>45861</v>
      </c>
      <c r="G1035" s="374" t="s">
        <v>115</v>
      </c>
      <c r="H1035" s="39" t="str">
        <f>_xlfn.XLOOKUP(Table6[[#This Row],[Affected WTG]],'Basic Data'!$A:$A,'Basic Data'!$B:$B)</f>
        <v>PWEGPL</v>
      </c>
      <c r="I1035" s="39" t="str">
        <f>_xlfn.XLOOKUP(Table6[[#This Row],[Affected WTG]],'Basic Data'!$A:$A,'Basic Data'!$C:$C)</f>
        <v>MSEDCL</v>
      </c>
      <c r="J1035" s="381">
        <f>IFERROR(VLOOKUP(Table6[[#This Row],[Affected WTG]],'Basic Data'!$A$3:$E$56,5,0),"")</f>
        <v>2.564102564102564E-2</v>
      </c>
      <c r="K1035" s="105">
        <v>5210</v>
      </c>
      <c r="L1035" s="39" t="str">
        <f>IFERROR(VLOOKUP(Table6[[#This Row],[Error Code]],'Basic Data'!$T:$U,2,0),"")</f>
        <v>Failure Of The Contactor's Rotor Power</v>
      </c>
      <c r="M1035" s="346" t="s">
        <v>462</v>
      </c>
      <c r="N1035" s="105" t="s">
        <v>1270</v>
      </c>
      <c r="O1035" s="330">
        <v>0.58472222222222225</v>
      </c>
      <c r="P1035" s="330">
        <v>0.60763888888888884</v>
      </c>
      <c r="Q1035" s="330">
        <v>0.60902777777777772</v>
      </c>
      <c r="R1035" s="382">
        <f>IF(Table6[[#This Row],[Work Start TimeStamp]]="","",(Table6[[#This Row],[Work Start TimeStamp]]-Table6[[#This Row],[Fault Start TimeStamp]])*24)</f>
        <v>0.54999999999999805</v>
      </c>
      <c r="S1035" s="382">
        <f>(Table6[[#This Row],[Fault Clearance time]]-Table6[[#This Row],[Work Start TimeStamp]])*24</f>
        <v>3.3333333333333215E-2</v>
      </c>
      <c r="T1035" s="385">
        <f>(Table6[[#This Row],[Fault Clearance time]]-Table6[[#This Row],[Fault Start TimeStamp]])*24</f>
        <v>0.58333333333333126</v>
      </c>
      <c r="U1035" s="346" t="s">
        <v>493</v>
      </c>
      <c r="V1035" s="346" t="s">
        <v>463</v>
      </c>
      <c r="W1035" s="377">
        <f>Table6[[#This Row],[Breakdown Time]]*(1/39)</f>
        <v>1.4957264957264904E-2</v>
      </c>
      <c r="X1035" s="337" t="s">
        <v>465</v>
      </c>
      <c r="Y1035" s="346" t="s">
        <v>121</v>
      </c>
      <c r="Z1035" s="105">
        <v>9649</v>
      </c>
      <c r="AA1035" s="107">
        <f>IFERROR((Table6[[#This Row],[Paired WTG Generation for loss calculation]]/24)*Table6[[#This Row],[Breakdown Time]],"")</f>
        <v>234.52430555555475</v>
      </c>
      <c r="AB1035" s="107" t="s">
        <v>478</v>
      </c>
      <c r="AC1035" s="105"/>
      <c r="AD1035" s="105"/>
    </row>
    <row r="1036" spans="1:30">
      <c r="A1036" s="105">
        <f t="shared" si="16"/>
        <v>1035</v>
      </c>
      <c r="B1036" s="371">
        <f>YEAR(Table6[[#This Row],[Date]])+IF(MONTH(Table6[[#This Row],[Date]])&gt;=4,1,0)</f>
        <v>2026</v>
      </c>
      <c r="C1036" s="372">
        <f>YEAR(Table6[[#This Row],[Date]])</f>
        <v>2025</v>
      </c>
      <c r="D1036" s="105" t="s">
        <v>490</v>
      </c>
      <c r="E1036" s="119">
        <f>Table6[[#This Row],[Date]]-DAY(Table6[[#This Row],[Date]])+1</f>
        <v>45839</v>
      </c>
      <c r="F1036" s="373">
        <v>45861</v>
      </c>
      <c r="G1036" s="374" t="s">
        <v>130</v>
      </c>
      <c r="H1036" s="39" t="str">
        <f>_xlfn.XLOOKUP(Table6[[#This Row],[Affected WTG]],'Basic Data'!$A:$A,'Basic Data'!$B:$B)</f>
        <v>PWEGPL</v>
      </c>
      <c r="I1036" s="39" t="str">
        <f>_xlfn.XLOOKUP(Table6[[#This Row],[Affected WTG]],'Basic Data'!$A:$A,'Basic Data'!$C:$C)</f>
        <v>MSEDCL</v>
      </c>
      <c r="J1036" s="381">
        <f>IFERROR(VLOOKUP(Table6[[#This Row],[Affected WTG]],'Basic Data'!$A$3:$E$56,5,0),"")</f>
        <v>2.564102564102564E-2</v>
      </c>
      <c r="K1036" s="105">
        <v>700</v>
      </c>
      <c r="L1036" s="39" t="str">
        <f>IFERROR(VLOOKUP(Table6[[#This Row],[Error Code]],'Basic Data'!$T:$U,2,0),"")</f>
        <v>PLC-Converter Communication Error</v>
      </c>
      <c r="M1036" s="346" t="s">
        <v>462</v>
      </c>
      <c r="N1036" s="105" t="s">
        <v>1270</v>
      </c>
      <c r="O1036" s="330">
        <v>0.46527777777777779</v>
      </c>
      <c r="P1036" s="330">
        <v>0.47569444444444442</v>
      </c>
      <c r="Q1036" s="330">
        <v>0.55625000000000002</v>
      </c>
      <c r="R1036" s="382">
        <f>IF(Table6[[#This Row],[Work Start TimeStamp]]="","",(Table6[[#This Row],[Work Start TimeStamp]]-Table6[[#This Row],[Fault Start TimeStamp]])*24)</f>
        <v>0.24999999999999911</v>
      </c>
      <c r="S1036" s="382">
        <f>(Table6[[#This Row],[Fault Clearance time]]-Table6[[#This Row],[Work Start TimeStamp]])*24</f>
        <v>1.9333333333333345</v>
      </c>
      <c r="T1036" s="385">
        <f>(Table6[[#This Row],[Fault Clearance time]]-Table6[[#This Row],[Fault Start TimeStamp]])*24</f>
        <v>2.1833333333333336</v>
      </c>
      <c r="U1036" s="346" t="s">
        <v>1396</v>
      </c>
      <c r="V1036" s="346" t="s">
        <v>463</v>
      </c>
      <c r="W1036" s="377">
        <f>Table6[[#This Row],[Breakdown Time]]*(1/39)</f>
        <v>5.5982905982905985E-2</v>
      </c>
      <c r="X1036" s="337" t="s">
        <v>465</v>
      </c>
      <c r="Y1036" s="346" t="s">
        <v>131</v>
      </c>
      <c r="Z1036" s="105">
        <v>10015</v>
      </c>
      <c r="AA1036" s="107">
        <f>IFERROR((Table6[[#This Row],[Paired WTG Generation for loss calculation]]/24)*Table6[[#This Row],[Breakdown Time]],"")</f>
        <v>911.08680555555566</v>
      </c>
      <c r="AB1036" s="107" t="s">
        <v>478</v>
      </c>
      <c r="AC1036" s="105"/>
      <c r="AD1036" s="105"/>
    </row>
    <row r="1037" spans="1:30">
      <c r="A1037" s="105">
        <f t="shared" si="16"/>
        <v>1036</v>
      </c>
      <c r="B1037" s="371">
        <f>YEAR(Table6[[#This Row],[Date]])+IF(MONTH(Table6[[#This Row],[Date]])&gt;=4,1,0)</f>
        <v>2026</v>
      </c>
      <c r="C1037" s="372">
        <f>YEAR(Table6[[#This Row],[Date]])</f>
        <v>2025</v>
      </c>
      <c r="D1037" s="105" t="s">
        <v>490</v>
      </c>
      <c r="E1037" s="119">
        <f>Table6[[#This Row],[Date]]-DAY(Table6[[#This Row],[Date]])+1</f>
        <v>45839</v>
      </c>
      <c r="F1037" s="373">
        <v>45861</v>
      </c>
      <c r="G1037" s="374" t="s">
        <v>149</v>
      </c>
      <c r="H1037" s="39" t="str">
        <f>_xlfn.XLOOKUP(Table6[[#This Row],[Affected WTG]],'Basic Data'!$A:$A,'Basic Data'!$B:$B)</f>
        <v>PWEGPL</v>
      </c>
      <c r="I1037" s="39" t="str">
        <f>_xlfn.XLOOKUP(Table6[[#This Row],[Affected WTG]],'Basic Data'!$A:$A,'Basic Data'!$C:$C)</f>
        <v>MSEDCL</v>
      </c>
      <c r="J1037" s="381">
        <f>IFERROR(VLOOKUP(Table6[[#This Row],[Affected WTG]],'Basic Data'!$A$3:$E$56,5,0),"")</f>
        <v>2.564102564102564E-2</v>
      </c>
      <c r="K1037" s="105">
        <v>2118</v>
      </c>
      <c r="L1037" s="39" t="str">
        <f>IFERROR(VLOOKUP(Table6[[#This Row],[Error Code]],'Basic Data'!$T:$U,2,0),"")</f>
        <v>Bus Error - Interbus Failure</v>
      </c>
      <c r="M1037" s="346" t="s">
        <v>462</v>
      </c>
      <c r="N1037" s="105" t="s">
        <v>1270</v>
      </c>
      <c r="O1037" s="330">
        <v>0.54305555555555551</v>
      </c>
      <c r="P1037" s="330">
        <v>0.56319444444444444</v>
      </c>
      <c r="Q1037" s="330">
        <v>0.60555555555555551</v>
      </c>
      <c r="R1037" s="382">
        <f>IF(Table6[[#This Row],[Work Start TimeStamp]]="","",(Table6[[#This Row],[Work Start TimeStamp]]-Table6[[#This Row],[Fault Start TimeStamp]])*24)</f>
        <v>0.48333333333333428</v>
      </c>
      <c r="S1037" s="382">
        <f>(Table6[[#This Row],[Fault Clearance time]]-Table6[[#This Row],[Work Start TimeStamp]])*24</f>
        <v>1.0166666666666657</v>
      </c>
      <c r="T1037" s="385">
        <f>(Table6[[#This Row],[Fault Clearance time]]-Table6[[#This Row],[Fault Start TimeStamp]])*24</f>
        <v>1.5</v>
      </c>
      <c r="U1037" s="346" t="s">
        <v>612</v>
      </c>
      <c r="V1037" s="346" t="s">
        <v>463</v>
      </c>
      <c r="W1037" s="377">
        <f>Table6[[#This Row],[Breakdown Time]]*(1/39)</f>
        <v>3.8461538461538464E-2</v>
      </c>
      <c r="X1037" s="337" t="s">
        <v>465</v>
      </c>
      <c r="Y1037" s="346" t="s">
        <v>148</v>
      </c>
      <c r="Z1037" s="105">
        <v>7850</v>
      </c>
      <c r="AA1037" s="107">
        <f>IFERROR((Table6[[#This Row],[Paired WTG Generation for loss calculation]]/24)*Table6[[#This Row],[Breakdown Time]],"")</f>
        <v>490.625</v>
      </c>
      <c r="AB1037" s="107" t="s">
        <v>478</v>
      </c>
      <c r="AC1037" s="105"/>
      <c r="AD1037" s="105"/>
    </row>
  </sheetData>
  <phoneticPr fontId="9" type="noConversion"/>
  <conditionalFormatting sqref="L1:L1048576">
    <cfRule type="containsText" dxfId="1" priority="1" operator="containsText" text="Incorrect Error Code">
      <formula>NOT(ISERROR(SEARCH("Incorrect Error Code",L1)))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D22AF323-FA4D-4C75-9EB1-6B8466E4ED8A}">
          <x14:formula1>
            <xm:f>'Basic Data'!$T$1:$T$396</xm:f>
          </x14:formula1>
          <xm:sqref>K883 K888:K891 K897:K899 K919 K978:K979 K984 K989:K990 K993:K1005 K1008:K1010 K1013:K1017 K1019:K1022 K1024:K1027 K1029:K1033</xm:sqref>
        </x14:dataValidation>
        <x14:dataValidation type="list" allowBlank="1" showInputMessage="1" showErrorMessage="1" xr:uid="{FBAB9243-FC31-426D-82C5-03EB20C1C0AF}">
          <x14:formula1>
            <xm:f>'Basic Data'!$P$1:$P$4</xm:f>
          </x14:formula1>
          <xm:sqref>N2:N1037</xm:sqref>
        </x14:dataValidation>
        <x14:dataValidation type="list" allowBlank="1" showInputMessage="1" showErrorMessage="1" xr:uid="{9F985FD0-A7AB-4577-A56E-E34E947D4F80}">
          <x14:formula1>
            <xm:f>'Basic Data'!$W$2:$W$14</xm:f>
          </x14:formula1>
          <xm:sqref>X2:X1037</xm:sqref>
        </x14:dataValidation>
        <x14:dataValidation type="list" allowBlank="1" showInputMessage="1" showErrorMessage="1" xr:uid="{40C3F32C-E6CB-4C63-9B10-BDFCA5118DE5}">
          <x14:formula1>
            <xm:f>'Basic Data'!$N$3:$N$4</xm:f>
          </x14:formula1>
          <xm:sqref>V2:V1048576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981E0-339B-4A0D-A6B5-625F3B65B95F}">
  <dimension ref="A1:Y59"/>
  <sheetViews>
    <sheetView workbookViewId="0">
      <pane xSplit="6" ySplit="1" topLeftCell="G46" activePane="bottomRight" state="frozen"/>
      <selection pane="topRight" activeCell="G1" sqref="G1"/>
      <selection pane="bottomLeft" activeCell="A2" sqref="A2"/>
      <selection pane="bottomRight" activeCell="A59" sqref="A59"/>
    </sheetView>
  </sheetViews>
  <sheetFormatPr defaultRowHeight="15"/>
  <cols>
    <col min="2" max="2" width="11.28515625" customWidth="1"/>
    <col min="3" max="3" width="12.42578125" customWidth="1"/>
    <col min="4" max="4" width="13" customWidth="1"/>
    <col min="6" max="6" width="19.85546875" customWidth="1"/>
    <col min="7" max="7" width="14.140625" customWidth="1"/>
    <col min="9" max="9" width="9.85546875" customWidth="1"/>
    <col min="10" max="10" width="21.7109375" customWidth="1"/>
    <col min="11" max="11" width="64" bestFit="1" customWidth="1"/>
    <col min="12" max="12" width="18" customWidth="1"/>
    <col min="13" max="13" width="18.42578125" customWidth="1"/>
    <col min="14" max="14" width="16.7109375" customWidth="1"/>
    <col min="15" max="15" width="13.140625" customWidth="1"/>
    <col min="16" max="16" width="13.85546875" customWidth="1"/>
    <col min="17" max="17" width="14.42578125" customWidth="1"/>
    <col min="18" max="18" width="52.140625" bestFit="1" customWidth="1"/>
    <col min="20" max="20" width="22.140625" customWidth="1"/>
    <col min="21" max="21" width="25.5703125" bestFit="1" customWidth="1"/>
    <col min="22" max="22" width="22.5703125" customWidth="1"/>
  </cols>
  <sheetData>
    <row r="1" spans="1:25" ht="26.1" customHeight="1">
      <c r="A1" s="324" t="s">
        <v>7</v>
      </c>
      <c r="B1" s="324" t="s">
        <v>3</v>
      </c>
      <c r="C1" s="324" t="s">
        <v>74</v>
      </c>
      <c r="D1" s="324" t="s">
        <v>440</v>
      </c>
      <c r="E1" s="324" t="s">
        <v>385</v>
      </c>
      <c r="F1" s="326" t="s">
        <v>73</v>
      </c>
      <c r="G1" s="324" t="s">
        <v>615</v>
      </c>
      <c r="H1" s="324" t="s">
        <v>442</v>
      </c>
      <c r="I1" s="324" t="s">
        <v>718</v>
      </c>
      <c r="J1" s="324" t="s">
        <v>444</v>
      </c>
      <c r="K1" s="324" t="s">
        <v>447</v>
      </c>
      <c r="L1" s="324" t="s">
        <v>448</v>
      </c>
      <c r="M1" s="324" t="s">
        <v>449</v>
      </c>
      <c r="N1" s="324" t="s">
        <v>450</v>
      </c>
      <c r="O1" s="324" t="s">
        <v>451</v>
      </c>
      <c r="P1" s="324" t="s">
        <v>452</v>
      </c>
      <c r="Q1" s="324" t="s">
        <v>453</v>
      </c>
      <c r="R1" s="324" t="s">
        <v>454</v>
      </c>
      <c r="S1" s="324" t="s">
        <v>455</v>
      </c>
      <c r="T1" s="324" t="s">
        <v>456</v>
      </c>
      <c r="U1" s="324" t="s">
        <v>458</v>
      </c>
      <c r="V1" s="328" t="s">
        <v>1273</v>
      </c>
      <c r="W1" s="39" t="s">
        <v>616</v>
      </c>
      <c r="X1" s="324" t="s">
        <v>459</v>
      </c>
      <c r="Y1" s="324" t="s">
        <v>460</v>
      </c>
    </row>
    <row r="2" spans="1:25">
      <c r="A2" s="105">
        <v>1</v>
      </c>
      <c r="B2">
        <f>YEAR(Table8[[#This Row],[Date]])+IF(MONTH(Table8[[#This Row],[Date]])&gt;=4,1,0)</f>
        <v>2025</v>
      </c>
      <c r="C2" s="105">
        <f>YEAR(Table6[[#This Row],[Date]])</f>
        <v>2025</v>
      </c>
      <c r="D2" s="105" t="s">
        <v>461</v>
      </c>
      <c r="E2" s="119">
        <f>Table8[[#This Row],[Date]]-DAY(Table8[[#This Row],[Date]])+1</f>
        <v>45717</v>
      </c>
      <c r="F2" s="118">
        <v>45747</v>
      </c>
      <c r="G2" t="s">
        <v>620</v>
      </c>
      <c r="H2" t="s">
        <v>484</v>
      </c>
      <c r="I2" t="s">
        <v>485</v>
      </c>
      <c r="J2" s="329">
        <f>IFERROR(_xlfn.XLOOKUP(Table8[[#This Row],[Affected Feeder ]],'Basic Data'!$A:$A,'Basic Data'!$E:$E),"")</f>
        <v>0.25641025641025639</v>
      </c>
      <c r="K2" t="s">
        <v>632</v>
      </c>
      <c r="L2" s="330">
        <v>0.80555555555555558</v>
      </c>
      <c r="M2" s="330">
        <v>0.80555555555555558</v>
      </c>
      <c r="N2" s="330">
        <v>0.81736111111111109</v>
      </c>
      <c r="O2" s="97">
        <f>(Table8[[#This Row],[Work Start TimeStamp]]-Table8[[#This Row],[Fault Start TimeStamp]])*24</f>
        <v>0</v>
      </c>
      <c r="P2" s="97">
        <f>IF(Table8[[#This Row],[Work Start TimeStamp]]="","",(Table8[[#This Row],[Fault Clearance time]]-Table8[[#This Row],[Work Start TimeStamp]])*24)</f>
        <v>0.28333333333333233</v>
      </c>
      <c r="Q2" s="97">
        <f>(Table8[[#This Row],[Fault Clearance time]]-Table8[[#This Row],[Fault Start TimeStamp]])*24</f>
        <v>0.28333333333333233</v>
      </c>
      <c r="R2" t="s">
        <v>623</v>
      </c>
      <c r="S2" t="s">
        <v>463</v>
      </c>
      <c r="T2" s="130">
        <f>IFERROR(Table8[[#This Row],[Breakdown Time]]*Table8[[#This Row],[Plant Equivalent Weightage]],"")</f>
        <v>7.2649572649572391E-2</v>
      </c>
      <c r="U2" t="s">
        <v>470</v>
      </c>
      <c r="V2" s="107">
        <v>580</v>
      </c>
      <c r="W2" t="s">
        <v>621</v>
      </c>
    </row>
    <row r="3" spans="1:25">
      <c r="A3" s="105">
        <f>A2+1</f>
        <v>2</v>
      </c>
      <c r="B3">
        <f>YEAR(Table8[[#This Row],[Date]])+IF(MONTH(Table8[[#This Row],[Date]])&gt;=4,1,0)</f>
        <v>2026</v>
      </c>
      <c r="C3" s="105">
        <f>YEAR(Table6[[#This Row],[Date]])</f>
        <v>2025</v>
      </c>
      <c r="D3" s="105" t="s">
        <v>461</v>
      </c>
      <c r="E3" s="119">
        <f>Table8[[#This Row],[Date]]-DAY(Table8[[#This Row],[Date]])+1</f>
        <v>45748</v>
      </c>
      <c r="F3" s="118">
        <v>45748</v>
      </c>
      <c r="G3" t="s">
        <v>618</v>
      </c>
      <c r="H3" t="s">
        <v>484</v>
      </c>
      <c r="I3" t="s">
        <v>485</v>
      </c>
      <c r="J3" s="329">
        <f>IFERROR(_xlfn.XLOOKUP(Table8[[#This Row],[Affected Feeder ]],'Basic Data'!$A:$A,'Basic Data'!$E:$E),"")</f>
        <v>0.23076923076923078</v>
      </c>
      <c r="K3" t="s">
        <v>635</v>
      </c>
      <c r="L3" s="330">
        <v>0.94097222222222221</v>
      </c>
      <c r="M3" s="330">
        <v>0.94097222222222221</v>
      </c>
      <c r="N3" s="330">
        <v>0.99930555555555556</v>
      </c>
      <c r="O3" s="97">
        <f>(Table8[[#This Row],[Work Start TimeStamp]]-Table8[[#This Row],[Fault Start TimeStamp]])*24</f>
        <v>0</v>
      </c>
      <c r="P3" s="97">
        <f>IF(Table8[[#This Row],[Work Start TimeStamp]]="","",(Table8[[#This Row],[Fault Clearance time]]-Table8[[#This Row],[Work Start TimeStamp]])*24)</f>
        <v>1.4000000000000004</v>
      </c>
      <c r="Q3" s="97">
        <f>(Table8[[#This Row],[Fault Clearance time]]-Table8[[#This Row],[Fault Start TimeStamp]])*24</f>
        <v>1.4000000000000004</v>
      </c>
      <c r="R3" t="s">
        <v>623</v>
      </c>
      <c r="S3" t="s">
        <v>473</v>
      </c>
      <c r="T3" s="130">
        <f>IFERROR(Table8[[#This Row],[Breakdown Time]]*Table8[[#This Row],[Plant Equivalent Weightage]],"")</f>
        <v>0.32307692307692315</v>
      </c>
      <c r="U3" t="s">
        <v>470</v>
      </c>
      <c r="V3" s="107">
        <v>2898.0000000000005</v>
      </c>
      <c r="W3" t="s">
        <v>621</v>
      </c>
    </row>
    <row r="4" spans="1:25">
      <c r="A4" s="105">
        <f t="shared" ref="A4:A59" si="0">A3+1</f>
        <v>3</v>
      </c>
      <c r="B4">
        <f>YEAR(Table8[[#This Row],[Date]])+IF(MONTH(Table8[[#This Row],[Date]])&gt;=4,1,0)</f>
        <v>2026</v>
      </c>
      <c r="C4" s="105">
        <f>YEAR(Table6[[#This Row],[Date]])</f>
        <v>2025</v>
      </c>
      <c r="D4" s="105" t="s">
        <v>461</v>
      </c>
      <c r="E4" s="119">
        <f>Table8[[#This Row],[Date]]-DAY(Table8[[#This Row],[Date]])+1</f>
        <v>45748</v>
      </c>
      <c r="F4" s="118">
        <v>45748</v>
      </c>
      <c r="G4" t="s">
        <v>617</v>
      </c>
      <c r="H4" t="s">
        <v>484</v>
      </c>
      <c r="I4" t="s">
        <v>485</v>
      </c>
      <c r="J4" s="329">
        <f>IFERROR(_xlfn.XLOOKUP(Table8[[#This Row],[Affected Feeder ]],'Basic Data'!$A:$A,'Basic Data'!$E:$E),"")</f>
        <v>0.25641025641025639</v>
      </c>
      <c r="K4" t="s">
        <v>636</v>
      </c>
      <c r="L4" s="330">
        <v>0.94305555555555554</v>
      </c>
      <c r="M4" s="330">
        <v>0.94305555555555554</v>
      </c>
      <c r="N4" s="330">
        <v>0.9604166666666667</v>
      </c>
      <c r="O4" s="97">
        <f>(Table8[[#This Row],[Work Start TimeStamp]]-Table8[[#This Row],[Fault Start TimeStamp]])*24</f>
        <v>0</v>
      </c>
      <c r="P4" s="97">
        <f>IF(Table8[[#This Row],[Work Start TimeStamp]]="","",(Table8[[#This Row],[Fault Clearance time]]-Table8[[#This Row],[Work Start TimeStamp]])*24)</f>
        <v>0.41666666666666785</v>
      </c>
      <c r="Q4" s="97">
        <f>(Table8[[#This Row],[Fault Clearance time]]-Table8[[#This Row],[Fault Start TimeStamp]])*24</f>
        <v>0.41666666666666785</v>
      </c>
      <c r="R4" t="s">
        <v>623</v>
      </c>
      <c r="S4" t="s">
        <v>463</v>
      </c>
      <c r="T4" s="130">
        <f>IFERROR(Table8[[#This Row],[Breakdown Time]]*Table8[[#This Row],[Plant Equivalent Weightage]],"")</f>
        <v>0.10683760683760714</v>
      </c>
      <c r="U4" t="s">
        <v>470</v>
      </c>
      <c r="V4" s="107">
        <v>708.33333333333542</v>
      </c>
      <c r="W4" t="s">
        <v>621</v>
      </c>
    </row>
    <row r="5" spans="1:25">
      <c r="A5" s="105">
        <f t="shared" si="0"/>
        <v>4</v>
      </c>
      <c r="B5">
        <f>YEAR(Table8[[#This Row],[Date]])+IF(MONTH(Table8[[#This Row],[Date]])&gt;=4,1,0)</f>
        <v>2026</v>
      </c>
      <c r="C5" s="105">
        <f>YEAR(Table6[[#This Row],[Date]])</f>
        <v>2025</v>
      </c>
      <c r="D5" s="105" t="s">
        <v>461</v>
      </c>
      <c r="E5" s="119">
        <f>Table8[[#This Row],[Date]]-DAY(Table8[[#This Row],[Date]])+1</f>
        <v>45748</v>
      </c>
      <c r="F5" s="118">
        <v>45749</v>
      </c>
      <c r="G5" t="s">
        <v>618</v>
      </c>
      <c r="H5" t="s">
        <v>484</v>
      </c>
      <c r="I5" t="s">
        <v>485</v>
      </c>
      <c r="J5" s="329">
        <f>IFERROR(_xlfn.XLOOKUP(Table8[[#This Row],[Affected Feeder ]],'Basic Data'!$A:$A,'Basic Data'!$E:$E),"")</f>
        <v>0.23076923076923078</v>
      </c>
      <c r="K5" t="s">
        <v>635</v>
      </c>
      <c r="L5" s="330">
        <v>0</v>
      </c>
      <c r="M5" s="330">
        <v>0</v>
      </c>
      <c r="N5" s="330">
        <v>5.6250000000000001E-2</v>
      </c>
      <c r="O5" s="97">
        <f>(Table8[[#This Row],[Work Start TimeStamp]]-Table8[[#This Row],[Fault Start TimeStamp]])*24</f>
        <v>0</v>
      </c>
      <c r="P5" s="97">
        <f>IF(Table8[[#This Row],[Work Start TimeStamp]]="","",(Table8[[#This Row],[Fault Clearance time]]-Table8[[#This Row],[Work Start TimeStamp]])*24)</f>
        <v>1.35</v>
      </c>
      <c r="Q5" s="97">
        <f>(Table8[[#This Row],[Fault Clearance time]]-Table8[[#This Row],[Fault Start TimeStamp]])*24</f>
        <v>1.35</v>
      </c>
      <c r="R5" t="s">
        <v>637</v>
      </c>
      <c r="S5" t="s">
        <v>463</v>
      </c>
      <c r="T5" s="130">
        <f>IFERROR(Table8[[#This Row],[Breakdown Time]]*Table8[[#This Row],[Plant Equivalent Weightage]],"")</f>
        <v>0.3115384615384616</v>
      </c>
      <c r="U5" t="s">
        <v>470</v>
      </c>
      <c r="V5" s="107">
        <v>6986.25</v>
      </c>
      <c r="W5" t="s">
        <v>621</v>
      </c>
    </row>
    <row r="6" spans="1:25">
      <c r="A6" s="105">
        <f t="shared" si="0"/>
        <v>5</v>
      </c>
      <c r="B6">
        <f>YEAR(Table8[[#This Row],[Date]])+IF(MONTH(Table8[[#This Row],[Date]])&gt;=4,1,0)</f>
        <v>2026</v>
      </c>
      <c r="C6" s="105">
        <f>YEAR(Table6[[#This Row],[Date]])</f>
        <v>2025</v>
      </c>
      <c r="D6" s="105" t="s">
        <v>461</v>
      </c>
      <c r="E6" s="119">
        <f>Table8[[#This Row],[Date]]-DAY(Table8[[#This Row],[Date]])+1</f>
        <v>45748</v>
      </c>
      <c r="F6" s="118">
        <v>45750</v>
      </c>
      <c r="G6" t="s">
        <v>620</v>
      </c>
      <c r="H6" t="s">
        <v>484</v>
      </c>
      <c r="I6" t="s">
        <v>485</v>
      </c>
      <c r="J6" s="329">
        <f>IFERROR(_xlfn.XLOOKUP(Table8[[#This Row],[Affected Feeder ]],'Basic Data'!$A:$A,'Basic Data'!$E:$E),"")</f>
        <v>0.25641025641025639</v>
      </c>
      <c r="K6" t="s">
        <v>632</v>
      </c>
      <c r="L6" s="330">
        <v>0.89166666666666672</v>
      </c>
      <c r="M6" s="330">
        <v>0.89166666666666672</v>
      </c>
      <c r="N6" s="330">
        <v>0.90625</v>
      </c>
      <c r="O6" s="97">
        <f>(Table8[[#This Row],[Work Start TimeStamp]]-Table8[[#This Row],[Fault Start TimeStamp]])*24</f>
        <v>0</v>
      </c>
      <c r="P6" s="97">
        <f>IF(Table8[[#This Row],[Work Start TimeStamp]]="","",(Table8[[#This Row],[Fault Clearance time]]-Table8[[#This Row],[Work Start TimeStamp]])*24)</f>
        <v>0.34999999999999876</v>
      </c>
      <c r="Q6" s="97">
        <f>(Table8[[#This Row],[Fault Clearance time]]-Table8[[#This Row],[Fault Start TimeStamp]])*24</f>
        <v>0.34999999999999876</v>
      </c>
      <c r="R6" t="s">
        <v>623</v>
      </c>
      <c r="S6" t="s">
        <v>463</v>
      </c>
      <c r="T6" s="130">
        <f>IFERROR(Table8[[#This Row],[Breakdown Time]]*Table8[[#This Row],[Plant Equivalent Weightage]],"")</f>
        <v>8.9743589743589411E-2</v>
      </c>
      <c r="U6" t="s">
        <v>470</v>
      </c>
      <c r="V6" s="107">
        <v>857.49999999999704</v>
      </c>
      <c r="W6" t="s">
        <v>621</v>
      </c>
    </row>
    <row r="7" spans="1:25">
      <c r="A7" s="105">
        <f t="shared" si="0"/>
        <v>6</v>
      </c>
      <c r="B7">
        <f>YEAR(Table8[[#This Row],[Date]])+IF(MONTH(Table8[[#This Row],[Date]])&gt;=4,1,0)</f>
        <v>2026</v>
      </c>
      <c r="C7" s="105">
        <f>YEAR(Table6[[#This Row],[Date]])</f>
        <v>2025</v>
      </c>
      <c r="D7" s="105" t="s">
        <v>461</v>
      </c>
      <c r="E7" s="119">
        <f>Table8[[#This Row],[Date]]-DAY(Table8[[#This Row],[Date]])+1</f>
        <v>45748</v>
      </c>
      <c r="F7" s="118">
        <v>45754</v>
      </c>
      <c r="G7" t="s">
        <v>618</v>
      </c>
      <c r="H7" t="s">
        <v>484</v>
      </c>
      <c r="I7" t="s">
        <v>485</v>
      </c>
      <c r="J7" s="329">
        <f>IFERROR(_xlfn.XLOOKUP(Table8[[#This Row],[Affected Feeder ]],'Basic Data'!$A:$A,'Basic Data'!$E:$E),"")</f>
        <v>0.23076923076923078</v>
      </c>
      <c r="K7" t="s">
        <v>638</v>
      </c>
      <c r="L7" s="330">
        <v>0.52569444444444446</v>
      </c>
      <c r="M7" s="330">
        <v>0.52569444444444446</v>
      </c>
      <c r="N7" s="330">
        <v>0.60972222222222228</v>
      </c>
      <c r="O7" s="97">
        <f>(Table8[[#This Row],[Work Start TimeStamp]]-Table8[[#This Row],[Fault Start TimeStamp]])*24</f>
        <v>0</v>
      </c>
      <c r="P7" s="97">
        <f>IF(Table8[[#This Row],[Work Start TimeStamp]]="","",(Table8[[#This Row],[Fault Clearance time]]-Table8[[#This Row],[Work Start TimeStamp]])*24)</f>
        <v>2.0166666666666675</v>
      </c>
      <c r="Q7" s="97">
        <f>(Table8[[#This Row],[Fault Clearance time]]-Table8[[#This Row],[Fault Start TimeStamp]])*24</f>
        <v>2.0166666666666675</v>
      </c>
      <c r="R7" t="s">
        <v>639</v>
      </c>
      <c r="S7" t="s">
        <v>463</v>
      </c>
      <c r="T7" s="130">
        <f>IFERROR(Table8[[#This Row],[Breakdown Time]]*Table8[[#This Row],[Plant Equivalent Weightage]],"")</f>
        <v>0.46538461538461562</v>
      </c>
      <c r="U7" t="s">
        <v>469</v>
      </c>
      <c r="V7" s="107">
        <v>4083.7500000000014</v>
      </c>
      <c r="W7" t="s">
        <v>621</v>
      </c>
    </row>
    <row r="8" spans="1:25">
      <c r="A8" s="105">
        <f t="shared" si="0"/>
        <v>7</v>
      </c>
      <c r="B8">
        <f>YEAR(Table8[[#This Row],[Date]])+IF(MONTH(Table8[[#This Row],[Date]])&gt;=4,1,0)</f>
        <v>2026</v>
      </c>
      <c r="C8" s="105">
        <f>YEAR(Table6[[#This Row],[Date]])</f>
        <v>2025</v>
      </c>
      <c r="D8" s="105" t="s">
        <v>461</v>
      </c>
      <c r="E8" s="119">
        <f>Table8[[#This Row],[Date]]-DAY(Table8[[#This Row],[Date]])+1</f>
        <v>45748</v>
      </c>
      <c r="F8" s="118">
        <v>45754</v>
      </c>
      <c r="G8" t="s">
        <v>619</v>
      </c>
      <c r="H8" t="s">
        <v>484</v>
      </c>
      <c r="I8" t="s">
        <v>485</v>
      </c>
      <c r="J8" s="329">
        <f>IFERROR(_xlfn.XLOOKUP(Table8[[#This Row],[Affected Feeder ]],'Basic Data'!$A:$A,'Basic Data'!$E:$E),"")</f>
        <v>0.25641025641025639</v>
      </c>
      <c r="K8" t="s">
        <v>640</v>
      </c>
      <c r="L8" s="330">
        <v>0.52569444444444446</v>
      </c>
      <c r="M8" s="330">
        <v>0.52569444444444446</v>
      </c>
      <c r="N8" s="330">
        <v>0.61041666666666672</v>
      </c>
      <c r="O8" s="97">
        <f>(Table8[[#This Row],[Work Start TimeStamp]]-Table8[[#This Row],[Fault Start TimeStamp]])*24</f>
        <v>0</v>
      </c>
      <c r="P8" s="97">
        <f>IF(Table8[[#This Row],[Work Start TimeStamp]]="","",(Table8[[#This Row],[Fault Clearance time]]-Table8[[#This Row],[Work Start TimeStamp]])*24)</f>
        <v>2.0333333333333341</v>
      </c>
      <c r="Q8" s="97">
        <f>(Table8[[#This Row],[Fault Clearance time]]-Table8[[#This Row],[Fault Start TimeStamp]])*24</f>
        <v>2.0333333333333341</v>
      </c>
      <c r="R8" t="s">
        <v>639</v>
      </c>
      <c r="S8" t="s">
        <v>463</v>
      </c>
      <c r="T8" s="130">
        <f>IFERROR(Table8[[#This Row],[Breakdown Time]]*Table8[[#This Row],[Plant Equivalent Weightage]],"")</f>
        <v>0.52136752136752151</v>
      </c>
      <c r="U8" t="s">
        <v>469</v>
      </c>
      <c r="V8" s="107">
        <v>4631.4814814814836</v>
      </c>
      <c r="W8" t="s">
        <v>621</v>
      </c>
    </row>
    <row r="9" spans="1:25">
      <c r="A9" s="105">
        <f t="shared" si="0"/>
        <v>8</v>
      </c>
      <c r="B9">
        <f>YEAR(Table8[[#This Row],[Date]])+IF(MONTH(Table8[[#This Row],[Date]])&gt;=4,1,0)</f>
        <v>2026</v>
      </c>
      <c r="C9" s="105">
        <f>YEAR(Table6[[#This Row],[Date]])</f>
        <v>2025</v>
      </c>
      <c r="D9" s="105" t="s">
        <v>461</v>
      </c>
      <c r="E9" s="119">
        <f>Table8[[#This Row],[Date]]-DAY(Table8[[#This Row],[Date]])+1</f>
        <v>45778</v>
      </c>
      <c r="F9" s="118">
        <v>45778</v>
      </c>
      <c r="G9" t="s">
        <v>618</v>
      </c>
      <c r="H9" t="s">
        <v>484</v>
      </c>
      <c r="I9" t="s">
        <v>485</v>
      </c>
      <c r="J9" s="329">
        <f>IFERROR(_xlfn.XLOOKUP(Table8[[#This Row],[Affected Feeder ]],'Basic Data'!$A:$A,'Basic Data'!$E:$E),"")</f>
        <v>0.23076923076923078</v>
      </c>
      <c r="K9" t="s">
        <v>641</v>
      </c>
      <c r="L9" s="330">
        <v>0.71180555555555558</v>
      </c>
      <c r="M9" s="330">
        <v>0.71180555555555558</v>
      </c>
      <c r="N9" s="330">
        <v>0.75</v>
      </c>
      <c r="O9" s="97">
        <f>(Table8[[#This Row],[Work Start TimeStamp]]-Table8[[#This Row],[Fault Start TimeStamp]])*24</f>
        <v>0</v>
      </c>
      <c r="P9" s="97">
        <f>IF(Table8[[#This Row],[Work Start TimeStamp]]="","",(Table8[[#This Row],[Fault Clearance time]]-Table8[[#This Row],[Work Start TimeStamp]])*24)</f>
        <v>0.91666666666666607</v>
      </c>
      <c r="Q9" s="97">
        <f>(Table8[[#This Row],[Fault Clearance time]]-Table8[[#This Row],[Fault Start TimeStamp]])*24</f>
        <v>0.91666666666666607</v>
      </c>
      <c r="R9" t="s">
        <v>642</v>
      </c>
      <c r="S9" t="s">
        <v>463</v>
      </c>
      <c r="T9" s="130">
        <f>IFERROR(Table8[[#This Row],[Breakdown Time]]*Table8[[#This Row],[Plant Equivalent Weightage]],"")</f>
        <v>0.21153846153846143</v>
      </c>
      <c r="U9" t="s">
        <v>469</v>
      </c>
      <c r="V9" s="107">
        <v>5651.2499999999964</v>
      </c>
      <c r="W9" t="s">
        <v>621</v>
      </c>
    </row>
    <row r="10" spans="1:25">
      <c r="A10" s="105">
        <f t="shared" si="0"/>
        <v>9</v>
      </c>
      <c r="B10">
        <f>YEAR(Table8[[#This Row],[Date]])+IF(MONTH(Table8[[#This Row],[Date]])&gt;=4,1,0)</f>
        <v>2026</v>
      </c>
      <c r="C10" s="105">
        <f>YEAR(Table6[[#This Row],[Date]])</f>
        <v>2025</v>
      </c>
      <c r="D10" s="105" t="s">
        <v>461</v>
      </c>
      <c r="E10" s="119">
        <f>Table8[[#This Row],[Date]]-DAY(Table8[[#This Row],[Date]])+1</f>
        <v>45778</v>
      </c>
      <c r="F10" s="118">
        <v>45778</v>
      </c>
      <c r="G10" t="s">
        <v>619</v>
      </c>
      <c r="H10" t="s">
        <v>484</v>
      </c>
      <c r="I10" t="s">
        <v>485</v>
      </c>
      <c r="J10" s="329">
        <f>IFERROR(_xlfn.XLOOKUP(Table8[[#This Row],[Affected Feeder ]],'Basic Data'!$A:$A,'Basic Data'!$E:$E),"")</f>
        <v>0.25641025641025639</v>
      </c>
      <c r="K10" t="s">
        <v>643</v>
      </c>
      <c r="L10" s="330">
        <v>0.71180555555555558</v>
      </c>
      <c r="M10" s="330">
        <v>0.71180555555555558</v>
      </c>
      <c r="N10" s="330">
        <v>0.75</v>
      </c>
      <c r="O10" s="97">
        <f>(Table8[[#This Row],[Work Start TimeStamp]]-Table8[[#This Row],[Fault Start TimeStamp]])*24</f>
        <v>0</v>
      </c>
      <c r="P10" s="97">
        <f>IF(Table8[[#This Row],[Work Start TimeStamp]]="","",(Table8[[#This Row],[Fault Clearance time]]-Table8[[#This Row],[Work Start TimeStamp]])*24)</f>
        <v>0.91666666666666607</v>
      </c>
      <c r="Q10" s="97">
        <f>(Table8[[#This Row],[Fault Clearance time]]-Table8[[#This Row],[Fault Start TimeStamp]])*24</f>
        <v>0.91666666666666607</v>
      </c>
      <c r="R10" t="s">
        <v>642</v>
      </c>
      <c r="S10" t="s">
        <v>463</v>
      </c>
      <c r="T10" s="130">
        <f>IFERROR(Table8[[#This Row],[Breakdown Time]]*Table8[[#This Row],[Plant Equivalent Weightage]],"")</f>
        <v>0.23504273504273487</v>
      </c>
      <c r="U10" t="s">
        <v>469</v>
      </c>
      <c r="V10" s="107">
        <v>6416.6666666666624</v>
      </c>
      <c r="W10" t="s">
        <v>621</v>
      </c>
    </row>
    <row r="11" spans="1:25">
      <c r="A11" s="105">
        <f t="shared" si="0"/>
        <v>10</v>
      </c>
      <c r="B11">
        <f>YEAR(Table8[[#This Row],[Date]])+IF(MONTH(Table8[[#This Row],[Date]])&gt;=4,1,0)</f>
        <v>2026</v>
      </c>
      <c r="C11" s="105">
        <f>YEAR(Table6[[#This Row],[Date]])</f>
        <v>2025</v>
      </c>
      <c r="D11" s="105" t="s">
        <v>461</v>
      </c>
      <c r="E11" s="119">
        <f>Table8[[#This Row],[Date]]-DAY(Table8[[#This Row],[Date]])+1</f>
        <v>45778</v>
      </c>
      <c r="F11" s="118">
        <v>45783</v>
      </c>
      <c r="G11" t="s">
        <v>620</v>
      </c>
      <c r="H11" t="s">
        <v>484</v>
      </c>
      <c r="I11" t="s">
        <v>485</v>
      </c>
      <c r="J11" s="329">
        <f>IFERROR(_xlfn.XLOOKUP(Table8[[#This Row],[Affected Feeder ]],'Basic Data'!$A:$A,'Basic Data'!$E:$E),"")</f>
        <v>0.25641025641025639</v>
      </c>
      <c r="K11" t="s">
        <v>632</v>
      </c>
      <c r="L11" s="330">
        <v>0.68472222222222223</v>
      </c>
      <c r="M11" s="330">
        <v>0.68472222222222223</v>
      </c>
      <c r="N11" s="330">
        <v>0.68888888888888888</v>
      </c>
      <c r="O11" s="97">
        <f>(Table8[[#This Row],[Work Start TimeStamp]]-Table8[[#This Row],[Fault Start TimeStamp]])*24</f>
        <v>0</v>
      </c>
      <c r="P11" s="97">
        <f>IF(Table8[[#This Row],[Work Start TimeStamp]]="","",(Table8[[#This Row],[Fault Clearance time]]-Table8[[#This Row],[Work Start TimeStamp]])*24)</f>
        <v>9.9999999999999645E-2</v>
      </c>
      <c r="Q11" s="97">
        <f>(Table8[[#This Row],[Fault Clearance time]]-Table8[[#This Row],[Fault Start TimeStamp]])*24</f>
        <v>9.9999999999999645E-2</v>
      </c>
      <c r="R11" t="s">
        <v>623</v>
      </c>
      <c r="S11" t="s">
        <v>463</v>
      </c>
      <c r="T11" s="130">
        <f>IFERROR(Table8[[#This Row],[Breakdown Time]]*Table8[[#This Row],[Plant Equivalent Weightage]],"")</f>
        <v>2.5641025641025546E-2</v>
      </c>
      <c r="U11" t="s">
        <v>470</v>
      </c>
      <c r="V11" s="107">
        <v>265</v>
      </c>
      <c r="W11" t="s">
        <v>621</v>
      </c>
    </row>
    <row r="12" spans="1:25">
      <c r="A12" s="105">
        <f t="shared" si="0"/>
        <v>11</v>
      </c>
      <c r="B12">
        <f>YEAR(Table8[[#This Row],[Date]])+IF(MONTH(Table8[[#This Row],[Date]])&gt;=4,1,0)</f>
        <v>2026</v>
      </c>
      <c r="C12" s="105">
        <f>YEAR(Table6[[#This Row],[Date]])</f>
        <v>2025</v>
      </c>
      <c r="D12" s="105" t="s">
        <v>461</v>
      </c>
      <c r="E12" s="119">
        <f>Table8[[#This Row],[Date]]-DAY(Table8[[#This Row],[Date]])+1</f>
        <v>45778</v>
      </c>
      <c r="F12" s="118">
        <v>45789</v>
      </c>
      <c r="G12" t="s">
        <v>618</v>
      </c>
      <c r="H12" t="s">
        <v>484</v>
      </c>
      <c r="I12" t="s">
        <v>485</v>
      </c>
      <c r="J12" s="329">
        <f>IFERROR(_xlfn.XLOOKUP(Table8[[#This Row],[Affected Feeder ]],'Basic Data'!$A:$A,'Basic Data'!$E:$E),"")</f>
        <v>0.23076923076923078</v>
      </c>
      <c r="K12" t="s">
        <v>633</v>
      </c>
      <c r="L12" s="330">
        <v>0.62638888888888888</v>
      </c>
      <c r="M12" s="330">
        <v>0.62638888888888888</v>
      </c>
      <c r="N12" s="330">
        <v>0.6333333333333333</v>
      </c>
      <c r="O12" s="97">
        <f>(Table8[[#This Row],[Work Start TimeStamp]]-Table8[[#This Row],[Fault Start TimeStamp]])*24</f>
        <v>0</v>
      </c>
      <c r="P12" s="97">
        <f>IF(Table8[[#This Row],[Work Start TimeStamp]]="","",(Table8[[#This Row],[Fault Clearance time]]-Table8[[#This Row],[Work Start TimeStamp]])*24)</f>
        <v>0.16666666666666607</v>
      </c>
      <c r="Q12" s="97">
        <f>(Table8[[#This Row],[Fault Clearance time]]-Table8[[#This Row],[Fault Start TimeStamp]])*24</f>
        <v>0.16666666666666607</v>
      </c>
      <c r="R12" t="s">
        <v>623</v>
      </c>
      <c r="S12" t="s">
        <v>463</v>
      </c>
      <c r="T12" s="130">
        <f>IFERROR(Table8[[#This Row],[Breakdown Time]]*Table8[[#This Row],[Plant Equivalent Weightage]],"")</f>
        <v>3.8461538461538325E-2</v>
      </c>
      <c r="U12" t="s">
        <v>470</v>
      </c>
      <c r="V12" s="107">
        <v>214</v>
      </c>
      <c r="W12" t="s">
        <v>621</v>
      </c>
    </row>
    <row r="13" spans="1:25">
      <c r="A13" s="105">
        <f t="shared" si="0"/>
        <v>12</v>
      </c>
      <c r="B13">
        <f>YEAR(Table8[[#This Row],[Date]])+IF(MONTH(Table8[[#This Row],[Date]])&gt;=4,1,0)</f>
        <v>2026</v>
      </c>
      <c r="C13" s="105">
        <f>YEAR(Table6[[#This Row],[Date]])</f>
        <v>2025</v>
      </c>
      <c r="D13" s="105" t="s">
        <v>461</v>
      </c>
      <c r="E13" s="119">
        <f>Table8[[#This Row],[Date]]-DAY(Table8[[#This Row],[Date]])+1</f>
        <v>45778</v>
      </c>
      <c r="F13" s="118">
        <v>45789</v>
      </c>
      <c r="G13" t="s">
        <v>617</v>
      </c>
      <c r="H13" t="s">
        <v>484</v>
      </c>
      <c r="I13" t="s">
        <v>485</v>
      </c>
      <c r="J13" s="329">
        <f>IFERROR(_xlfn.XLOOKUP(Table8[[#This Row],[Affected Feeder ]],'Basic Data'!$A:$A,'Basic Data'!$E:$E),"")</f>
        <v>0.25641025641025639</v>
      </c>
      <c r="K13" t="s">
        <v>634</v>
      </c>
      <c r="L13" s="330">
        <v>0.63958333333333328</v>
      </c>
      <c r="M13" s="330">
        <v>0.63958333333333328</v>
      </c>
      <c r="N13" s="330">
        <v>0.64444444444444449</v>
      </c>
      <c r="O13" s="97">
        <f>(Table8[[#This Row],[Work Start TimeStamp]]-Table8[[#This Row],[Fault Start TimeStamp]])*24</f>
        <v>0</v>
      </c>
      <c r="P13" s="97">
        <f>IF(Table8[[#This Row],[Work Start TimeStamp]]="","",(Table8[[#This Row],[Fault Clearance time]]-Table8[[#This Row],[Work Start TimeStamp]])*24)</f>
        <v>0.11666666666666892</v>
      </c>
      <c r="Q13" s="97">
        <f>(Table8[[#This Row],[Fault Clearance time]]-Table8[[#This Row],[Fault Start TimeStamp]])*24</f>
        <v>0.11666666666666892</v>
      </c>
      <c r="R13" t="s">
        <v>623</v>
      </c>
      <c r="S13" t="s">
        <v>463</v>
      </c>
      <c r="T13" s="130">
        <f>IFERROR(Table8[[#This Row],[Breakdown Time]]*Table8[[#This Row],[Plant Equivalent Weightage]],"")</f>
        <v>2.9914529914530488E-2</v>
      </c>
      <c r="U13" t="s">
        <v>470</v>
      </c>
      <c r="V13" s="107">
        <v>126</v>
      </c>
      <c r="W13" t="s">
        <v>621</v>
      </c>
    </row>
    <row r="14" spans="1:25">
      <c r="A14" s="105">
        <f t="shared" si="0"/>
        <v>13</v>
      </c>
      <c r="B14">
        <f>YEAR(Table8[[#This Row],[Date]])+IF(MONTH(Table8[[#This Row],[Date]])&gt;=4,1,0)</f>
        <v>2026</v>
      </c>
      <c r="C14" s="105">
        <f>YEAR(Table6[[#This Row],[Date]])</f>
        <v>2025</v>
      </c>
      <c r="D14" s="105" t="s">
        <v>461</v>
      </c>
      <c r="E14" s="119">
        <f>Table8[[#This Row],[Date]]-DAY(Table8[[#This Row],[Date]])+1</f>
        <v>45778</v>
      </c>
      <c r="F14" s="118">
        <v>45793</v>
      </c>
      <c r="G14" t="s">
        <v>624</v>
      </c>
      <c r="H14" t="s">
        <v>484</v>
      </c>
      <c r="I14" t="s">
        <v>485</v>
      </c>
      <c r="J14" s="329">
        <f>IFERROR(_xlfn.XLOOKUP(Table8[[#This Row],[Affected Feeder ]],'Basic Data'!$A:$A,'Basic Data'!$E:$E),"")</f>
        <v>0.12820512820512819</v>
      </c>
      <c r="K14" t="s">
        <v>644</v>
      </c>
      <c r="L14" s="330">
        <v>0.58333333333333337</v>
      </c>
      <c r="M14" s="330">
        <v>0.58333333333333337</v>
      </c>
      <c r="N14" s="330">
        <v>0.63888888888888884</v>
      </c>
      <c r="O14" s="97">
        <f>(Table8[[#This Row],[Work Start TimeStamp]]-Table8[[#This Row],[Fault Start TimeStamp]])*24</f>
        <v>0</v>
      </c>
      <c r="P14" s="97">
        <f>IF(Table8[[#This Row],[Work Start TimeStamp]]="","",(Table8[[#This Row],[Fault Clearance time]]-Table8[[#This Row],[Work Start TimeStamp]])*24)</f>
        <v>1.3333333333333313</v>
      </c>
      <c r="Q14" s="97">
        <f>(Table8[[#This Row],[Fault Clearance time]]-Table8[[#This Row],[Fault Start TimeStamp]])*24</f>
        <v>1.3333333333333313</v>
      </c>
      <c r="R14" t="s">
        <v>645</v>
      </c>
      <c r="S14" t="s">
        <v>463</v>
      </c>
      <c r="T14" s="130">
        <f>IFERROR(Table8[[#This Row],[Breakdown Time]]*Table8[[#This Row],[Plant Equivalent Weightage]],"")</f>
        <v>0.17094017094017067</v>
      </c>
      <c r="U14" t="s">
        <v>471</v>
      </c>
      <c r="V14" s="107">
        <v>2777.7777777777737</v>
      </c>
      <c r="W14" t="s">
        <v>621</v>
      </c>
    </row>
    <row r="15" spans="1:25">
      <c r="A15" s="105">
        <f t="shared" si="0"/>
        <v>14</v>
      </c>
      <c r="B15">
        <f>YEAR(Table8[[#This Row],[Date]])+IF(MONTH(Table8[[#This Row],[Date]])&gt;=4,1,0)</f>
        <v>2026</v>
      </c>
      <c r="C15" s="105">
        <f>YEAR(Table6[[#This Row],[Date]])</f>
        <v>2025</v>
      </c>
      <c r="D15" s="105" t="s">
        <v>461</v>
      </c>
      <c r="E15" s="119">
        <f>Table8[[#This Row],[Date]]-DAY(Table8[[#This Row],[Date]])+1</f>
        <v>45778</v>
      </c>
      <c r="F15" s="118">
        <v>45794</v>
      </c>
      <c r="G15" t="s">
        <v>618</v>
      </c>
      <c r="H15" t="s">
        <v>484</v>
      </c>
      <c r="I15" t="s">
        <v>485</v>
      </c>
      <c r="J15" s="329">
        <f>IFERROR(_xlfn.XLOOKUP(Table8[[#This Row],[Affected Feeder ]],'Basic Data'!$A:$A,'Basic Data'!$E:$E),"")</f>
        <v>0.23076923076923078</v>
      </c>
      <c r="K15" t="s">
        <v>646</v>
      </c>
      <c r="L15" s="330">
        <v>0.54166666666666663</v>
      </c>
      <c r="M15" s="330">
        <v>0.54166666666666663</v>
      </c>
      <c r="N15" s="330">
        <v>0.6166666666666667</v>
      </c>
      <c r="O15" s="97">
        <f>(Table8[[#This Row],[Work Start TimeStamp]]-Table8[[#This Row],[Fault Start TimeStamp]])*24</f>
        <v>0</v>
      </c>
      <c r="P15" s="97">
        <f>IF(Table8[[#This Row],[Work Start TimeStamp]]="","",(Table8[[#This Row],[Fault Clearance time]]-Table8[[#This Row],[Work Start TimeStamp]])*24)</f>
        <v>1.8000000000000016</v>
      </c>
      <c r="Q15" s="97">
        <f>(Table8[[#This Row],[Fault Clearance time]]-Table8[[#This Row],[Fault Start TimeStamp]])*24</f>
        <v>1.8000000000000016</v>
      </c>
      <c r="R15" t="s">
        <v>647</v>
      </c>
      <c r="S15" t="s">
        <v>463</v>
      </c>
      <c r="T15" s="130">
        <f>IFERROR(Table8[[#This Row],[Breakdown Time]]*Table8[[#This Row],[Plant Equivalent Weightage]],"")</f>
        <v>0.4153846153846158</v>
      </c>
      <c r="U15" t="s">
        <v>471</v>
      </c>
      <c r="V15" s="107">
        <v>3969</v>
      </c>
      <c r="W15" t="s">
        <v>621</v>
      </c>
    </row>
    <row r="16" spans="1:25">
      <c r="A16" s="105">
        <f t="shared" si="0"/>
        <v>15</v>
      </c>
      <c r="B16">
        <f>YEAR(Table8[[#This Row],[Date]])+IF(MONTH(Table8[[#This Row],[Date]])&gt;=4,1,0)</f>
        <v>2026</v>
      </c>
      <c r="C16" s="105">
        <f>YEAR(Table6[[#This Row],[Date]])</f>
        <v>2025</v>
      </c>
      <c r="D16" s="105" t="s">
        <v>461</v>
      </c>
      <c r="E16" s="119">
        <f>Table8[[#This Row],[Date]]-DAY(Table8[[#This Row],[Date]])+1</f>
        <v>45778</v>
      </c>
      <c r="F16" s="118">
        <v>45796</v>
      </c>
      <c r="G16" t="s">
        <v>617</v>
      </c>
      <c r="H16" t="s">
        <v>484</v>
      </c>
      <c r="I16" t="s">
        <v>485</v>
      </c>
      <c r="J16" s="329">
        <f>IFERROR(_xlfn.XLOOKUP(Table8[[#This Row],[Affected Feeder ]],'Basic Data'!$A:$A,'Basic Data'!$E:$E),"")</f>
        <v>0.25641025641025639</v>
      </c>
      <c r="K16" t="s">
        <v>634</v>
      </c>
      <c r="L16" s="330">
        <v>0.86388888888888893</v>
      </c>
      <c r="M16" s="330">
        <v>0.86388888888888893</v>
      </c>
      <c r="N16" s="330">
        <v>0.875</v>
      </c>
      <c r="O16" s="97">
        <f>(Table8[[#This Row],[Work Start TimeStamp]]-Table8[[#This Row],[Fault Start TimeStamp]])*24</f>
        <v>0</v>
      </c>
      <c r="P16" s="97">
        <f>IF(Table8[[#This Row],[Work Start TimeStamp]]="","",(Table8[[#This Row],[Fault Clearance time]]-Table8[[#This Row],[Work Start TimeStamp]])*24)</f>
        <v>0.26666666666666572</v>
      </c>
      <c r="Q16" s="97">
        <f>(Table8[[#This Row],[Fault Clearance time]]-Table8[[#This Row],[Fault Start TimeStamp]])*24</f>
        <v>0.26666666666666572</v>
      </c>
      <c r="R16" t="s">
        <v>623</v>
      </c>
      <c r="S16" t="s">
        <v>463</v>
      </c>
      <c r="T16" s="130">
        <f>IFERROR(Table8[[#This Row],[Breakdown Time]]*Table8[[#This Row],[Plant Equivalent Weightage]],"")</f>
        <v>6.8376068376068133E-2</v>
      </c>
      <c r="U16" t="s">
        <v>470</v>
      </c>
      <c r="V16" s="107">
        <v>333.33333333333212</v>
      </c>
      <c r="W16" t="s">
        <v>621</v>
      </c>
    </row>
    <row r="17" spans="1:23">
      <c r="A17" s="105">
        <f t="shared" si="0"/>
        <v>16</v>
      </c>
      <c r="B17">
        <f>YEAR(Table8[[#This Row],[Date]])+IF(MONTH(Table8[[#This Row],[Date]])&gt;=4,1,0)</f>
        <v>2026</v>
      </c>
      <c r="C17" s="105">
        <f>YEAR(Table6[[#This Row],[Date]])</f>
        <v>2025</v>
      </c>
      <c r="D17" s="105" t="s">
        <v>461</v>
      </c>
      <c r="E17" s="119">
        <f>Table8[[#This Row],[Date]]-DAY(Table8[[#This Row],[Date]])+1</f>
        <v>45778</v>
      </c>
      <c r="F17" s="118">
        <v>45796</v>
      </c>
      <c r="G17" t="s">
        <v>622</v>
      </c>
      <c r="H17" t="s">
        <v>484</v>
      </c>
      <c r="I17" t="s">
        <v>485</v>
      </c>
      <c r="J17" s="329">
        <f>IFERROR(_xlfn.XLOOKUP(Table8[[#This Row],[Affected Feeder ]],'Basic Data'!$A:$A,'Basic Data'!$E:$E),"")</f>
        <v>0.12820512820512819</v>
      </c>
      <c r="K17" t="s">
        <v>997</v>
      </c>
      <c r="L17" s="330">
        <v>0.8833333333333333</v>
      </c>
      <c r="M17" s="330">
        <v>0.8833333333333333</v>
      </c>
      <c r="N17" s="330">
        <v>0.92152777777777772</v>
      </c>
      <c r="O17" s="97">
        <f>(Table8[[#This Row],[Work Start TimeStamp]]-Table8[[#This Row],[Fault Start TimeStamp]])*24</f>
        <v>0</v>
      </c>
      <c r="P17" s="97">
        <f>IF(Table8[[#This Row],[Work Start TimeStamp]]="","",(Table8[[#This Row],[Fault Clearance time]]-Table8[[#This Row],[Work Start TimeStamp]])*24)</f>
        <v>0.91666666666666607</v>
      </c>
      <c r="Q17" s="97">
        <f>(Table8[[#This Row],[Fault Clearance time]]-Table8[[#This Row],[Fault Start TimeStamp]])*24</f>
        <v>0.91666666666666607</v>
      </c>
      <c r="R17" t="s">
        <v>998</v>
      </c>
      <c r="S17" t="s">
        <v>463</v>
      </c>
      <c r="T17" s="130">
        <f>IFERROR(Table8[[#This Row],[Breakdown Time]]*Table8[[#This Row],[Plant Equivalent Weightage]],"")</f>
        <v>0.11752136752136744</v>
      </c>
      <c r="U17" t="s">
        <v>470</v>
      </c>
      <c r="V17" s="107">
        <v>1283.3333333333326</v>
      </c>
      <c r="W17" t="s">
        <v>621</v>
      </c>
    </row>
    <row r="18" spans="1:23">
      <c r="A18" s="105">
        <f t="shared" si="0"/>
        <v>17</v>
      </c>
      <c r="B18">
        <f>YEAR(Table8[[#This Row],[Date]])+IF(MONTH(Table8[[#This Row],[Date]])&gt;=4,1,0)</f>
        <v>2026</v>
      </c>
      <c r="C18" s="105">
        <f>YEAR(Table6[[#This Row],[Date]])</f>
        <v>2025</v>
      </c>
      <c r="D18" s="105" t="s">
        <v>461</v>
      </c>
      <c r="E18" s="119">
        <f>Table8[[#This Row],[Date]]-DAY(Table8[[#This Row],[Date]])+1</f>
        <v>45778</v>
      </c>
      <c r="F18" s="118">
        <v>45796</v>
      </c>
      <c r="G18" t="s">
        <v>624</v>
      </c>
      <c r="H18" t="s">
        <v>484</v>
      </c>
      <c r="I18" t="s">
        <v>485</v>
      </c>
      <c r="J18" s="329">
        <f>IFERROR(_xlfn.XLOOKUP(Table8[[#This Row],[Affected Feeder ]],'Basic Data'!$A:$A,'Basic Data'!$E:$E),"")</f>
        <v>0.12820512820512819</v>
      </c>
      <c r="K18" t="s">
        <v>997</v>
      </c>
      <c r="L18" s="330">
        <v>0.8833333333333333</v>
      </c>
      <c r="M18" s="330">
        <v>0.8833333333333333</v>
      </c>
      <c r="N18" s="330">
        <v>0.99930555555555556</v>
      </c>
      <c r="O18" s="97">
        <f>(Table8[[#This Row],[Work Start TimeStamp]]-Table8[[#This Row],[Fault Start TimeStamp]])*24</f>
        <v>0</v>
      </c>
      <c r="P18" s="97">
        <f>IF(Table8[[#This Row],[Work Start TimeStamp]]="","",(Table8[[#This Row],[Fault Clearance time]]-Table8[[#This Row],[Work Start TimeStamp]])*24)</f>
        <v>2.7833333333333341</v>
      </c>
      <c r="Q18" s="97">
        <f>(Table8[[#This Row],[Fault Clearance time]]-Table8[[#This Row],[Fault Start TimeStamp]])*24</f>
        <v>2.7833333333333341</v>
      </c>
      <c r="R18" t="s">
        <v>500</v>
      </c>
      <c r="S18" t="s">
        <v>473</v>
      </c>
      <c r="T18" s="130">
        <f>IFERROR(Table8[[#This Row],[Breakdown Time]]*Table8[[#This Row],[Plant Equivalent Weightage]],"")</f>
        <v>0.3568376068376069</v>
      </c>
      <c r="U18" t="s">
        <v>470</v>
      </c>
      <c r="V18" s="107">
        <v>4035.8333333333344</v>
      </c>
      <c r="W18" t="s">
        <v>621</v>
      </c>
    </row>
    <row r="19" spans="1:23">
      <c r="A19" s="105">
        <f t="shared" si="0"/>
        <v>18</v>
      </c>
      <c r="B19">
        <f>YEAR(Table8[[#This Row],[Date]])+IF(MONTH(Table8[[#This Row],[Date]])&gt;=4,1,0)</f>
        <v>2026</v>
      </c>
      <c r="C19" s="105">
        <f>YEAR(Table6[[#This Row],[Date]])</f>
        <v>2025</v>
      </c>
      <c r="D19" s="105" t="s">
        <v>461</v>
      </c>
      <c r="E19" s="119">
        <f>Table8[[#This Row],[Date]]-DAY(Table8[[#This Row],[Date]])+1</f>
        <v>45778</v>
      </c>
      <c r="F19" s="118">
        <v>45796</v>
      </c>
      <c r="G19" t="s">
        <v>624</v>
      </c>
      <c r="H19" t="s">
        <v>484</v>
      </c>
      <c r="I19" t="s">
        <v>485</v>
      </c>
      <c r="J19" s="329">
        <f>IFERROR(_xlfn.XLOOKUP(Table8[[#This Row],[Affected Feeder ]],'Basic Data'!$A:$A,'Basic Data'!$E:$E),"")</f>
        <v>0.12820512820512819</v>
      </c>
      <c r="K19" t="s">
        <v>997</v>
      </c>
      <c r="L19" s="330">
        <v>0</v>
      </c>
      <c r="M19" s="330">
        <v>0</v>
      </c>
      <c r="N19" s="330">
        <v>3.0555555555555555E-2</v>
      </c>
      <c r="O19" s="97">
        <f>(Table8[[#This Row],[Work Start TimeStamp]]-Table8[[#This Row],[Fault Start TimeStamp]])*24</f>
        <v>0</v>
      </c>
      <c r="P19" s="97">
        <f>IF(Table8[[#This Row],[Work Start TimeStamp]]="","",(Table8[[#This Row],[Fault Clearance time]]-Table8[[#This Row],[Work Start TimeStamp]])*24)</f>
        <v>0.73333333333333328</v>
      </c>
      <c r="Q19" s="97">
        <f>(Table8[[#This Row],[Fault Clearance time]]-Table8[[#This Row],[Fault Start TimeStamp]])*24</f>
        <v>0.73333333333333328</v>
      </c>
      <c r="R19" t="s">
        <v>1002</v>
      </c>
      <c r="S19" t="s">
        <v>463</v>
      </c>
      <c r="T19" s="130">
        <f>IFERROR(Table8[[#This Row],[Breakdown Time]]*Table8[[#This Row],[Plant Equivalent Weightage]],"")</f>
        <v>9.4017094017094002E-2</v>
      </c>
      <c r="U19" t="s">
        <v>470</v>
      </c>
      <c r="V19" s="107">
        <v>1063.3333333333333</v>
      </c>
      <c r="W19" t="s">
        <v>621</v>
      </c>
    </row>
    <row r="20" spans="1:23">
      <c r="A20" s="105">
        <f t="shared" si="0"/>
        <v>19</v>
      </c>
      <c r="B20">
        <f>YEAR(Table8[[#This Row],[Date]])+IF(MONTH(Table8[[#This Row],[Date]])&gt;=4,1,0)</f>
        <v>2026</v>
      </c>
      <c r="C20" s="105">
        <f>YEAR(Table6[[#This Row],[Date]])</f>
        <v>2025</v>
      </c>
      <c r="D20" s="105" t="s">
        <v>461</v>
      </c>
      <c r="E20" s="119">
        <f>Table8[[#This Row],[Date]]-DAY(Table8[[#This Row],[Date]])+1</f>
        <v>45778</v>
      </c>
      <c r="F20" s="118">
        <v>45797</v>
      </c>
      <c r="G20" t="s">
        <v>622</v>
      </c>
      <c r="H20" t="s">
        <v>484</v>
      </c>
      <c r="I20" t="s">
        <v>485</v>
      </c>
      <c r="J20" s="329">
        <f>IFERROR(_xlfn.XLOOKUP(Table8[[#This Row],[Affected Feeder ]],'Basic Data'!$A:$A,'Basic Data'!$E:$E),"")</f>
        <v>0.12820512820512819</v>
      </c>
      <c r="K20" t="s">
        <v>1000</v>
      </c>
      <c r="L20" s="330">
        <v>0.44097222222222221</v>
      </c>
      <c r="M20" s="330">
        <v>0.44097222222222221</v>
      </c>
      <c r="N20" s="330">
        <v>0.4909722222222222</v>
      </c>
      <c r="O20" s="97">
        <f>(Table8[[#This Row],[Work Start TimeStamp]]-Table8[[#This Row],[Fault Start TimeStamp]])*24</f>
        <v>0</v>
      </c>
      <c r="P20" s="97">
        <f>IF(Table8[[#This Row],[Work Start TimeStamp]]="","",(Table8[[#This Row],[Fault Clearance time]]-Table8[[#This Row],[Work Start TimeStamp]])*24)</f>
        <v>1.1999999999999997</v>
      </c>
      <c r="Q20" s="97">
        <f>(Table8[[#This Row],[Fault Clearance time]]-Table8[[#This Row],[Fault Start TimeStamp]])*24</f>
        <v>1.1999999999999997</v>
      </c>
      <c r="R20" t="s">
        <v>647</v>
      </c>
      <c r="S20" t="s">
        <v>463</v>
      </c>
      <c r="T20" s="130">
        <f>IFERROR(Table8[[#This Row],[Breakdown Time]]*Table8[[#This Row],[Plant Equivalent Weightage]],"")</f>
        <v>0.1538461538461538</v>
      </c>
      <c r="U20" t="s">
        <v>471</v>
      </c>
      <c r="V20" s="107">
        <v>2579.9999999999995</v>
      </c>
      <c r="W20" t="s">
        <v>621</v>
      </c>
    </row>
    <row r="21" spans="1:23">
      <c r="A21" s="105">
        <f t="shared" si="0"/>
        <v>20</v>
      </c>
      <c r="B21">
        <f>YEAR(Table8[[#This Row],[Date]])+IF(MONTH(Table8[[#This Row],[Date]])&gt;=4,1,0)</f>
        <v>2026</v>
      </c>
      <c r="C21" s="105">
        <f>YEAR(Table6[[#This Row],[Date]])</f>
        <v>2025</v>
      </c>
      <c r="D21" s="105" t="s">
        <v>461</v>
      </c>
      <c r="E21" s="119">
        <f>Table8[[#This Row],[Date]]-DAY(Table8[[#This Row],[Date]])+1</f>
        <v>45778</v>
      </c>
      <c r="F21" s="118">
        <v>45797</v>
      </c>
      <c r="G21" t="s">
        <v>617</v>
      </c>
      <c r="H21" t="s">
        <v>484</v>
      </c>
      <c r="I21" t="s">
        <v>485</v>
      </c>
      <c r="J21" s="329">
        <f>IFERROR(_xlfn.XLOOKUP(Table8[[#This Row],[Affected Feeder ]],'Basic Data'!$A:$A,'Basic Data'!$E:$E),"")</f>
        <v>0.25641025641025639</v>
      </c>
      <c r="K21" t="s">
        <v>1001</v>
      </c>
      <c r="L21" s="330">
        <v>0.52083333333333337</v>
      </c>
      <c r="M21" s="330">
        <v>0.52083333333333337</v>
      </c>
      <c r="N21" s="330">
        <v>0.58333333333333337</v>
      </c>
      <c r="O21" s="97">
        <f>(Table8[[#This Row],[Work Start TimeStamp]]-Table8[[#This Row],[Fault Start TimeStamp]])*24</f>
        <v>0</v>
      </c>
      <c r="P21" s="97">
        <f>IF(Table8[[#This Row],[Work Start TimeStamp]]="","",(Table8[[#This Row],[Fault Clearance time]]-Table8[[#This Row],[Work Start TimeStamp]])*24)</f>
        <v>1.5</v>
      </c>
      <c r="Q21" s="97">
        <f>(Table8[[#This Row],[Fault Clearance time]]-Table8[[#This Row],[Fault Start TimeStamp]])*24</f>
        <v>1.5</v>
      </c>
      <c r="R21" t="s">
        <v>647</v>
      </c>
      <c r="S21" t="s">
        <v>463</v>
      </c>
      <c r="T21" s="130">
        <f>IFERROR(Table8[[#This Row],[Breakdown Time]]*Table8[[#This Row],[Plant Equivalent Weightage]],"")</f>
        <v>0.38461538461538458</v>
      </c>
      <c r="U21" t="s">
        <v>471</v>
      </c>
      <c r="V21" s="107">
        <v>2550</v>
      </c>
      <c r="W21" t="s">
        <v>621</v>
      </c>
    </row>
    <row r="22" spans="1:23">
      <c r="A22" s="105">
        <f t="shared" si="0"/>
        <v>21</v>
      </c>
      <c r="B22">
        <f>YEAR(Table8[[#This Row],[Date]])+IF(MONTH(Table8[[#This Row],[Date]])&gt;=4,1,0)</f>
        <v>2026</v>
      </c>
      <c r="C22" s="105">
        <f>YEAR(Table6[[#This Row],[Date]])</f>
        <v>2025</v>
      </c>
      <c r="D22" s="105" t="s">
        <v>461</v>
      </c>
      <c r="E22" s="119">
        <f>Table8[[#This Row],[Date]]-DAY(Table8[[#This Row],[Date]])+1</f>
        <v>45778</v>
      </c>
      <c r="F22" s="118">
        <v>45797</v>
      </c>
      <c r="G22" t="s">
        <v>617</v>
      </c>
      <c r="H22" t="s">
        <v>484</v>
      </c>
      <c r="I22" t="s">
        <v>485</v>
      </c>
      <c r="J22" s="329">
        <f>IFERROR(_xlfn.XLOOKUP(Table8[[#This Row],[Affected Feeder ]],'Basic Data'!$A:$A,'Basic Data'!$E:$E),"")</f>
        <v>0.25641025641025639</v>
      </c>
      <c r="K22" t="s">
        <v>634</v>
      </c>
      <c r="L22" s="330">
        <v>0.76180555555555551</v>
      </c>
      <c r="M22" s="330">
        <v>0.76180555555555551</v>
      </c>
      <c r="N22" s="330">
        <v>0.78333333333333333</v>
      </c>
      <c r="O22" s="97">
        <f>(Table8[[#This Row],[Work Start TimeStamp]]-Table8[[#This Row],[Fault Start TimeStamp]])*24</f>
        <v>0</v>
      </c>
      <c r="P22" s="97">
        <f>IF(Table8[[#This Row],[Work Start TimeStamp]]="","",(Table8[[#This Row],[Fault Clearance time]]-Table8[[#This Row],[Work Start TimeStamp]])*24)</f>
        <v>0.5166666666666675</v>
      </c>
      <c r="Q22" s="97">
        <f>(Table8[[#This Row],[Fault Clearance time]]-Table8[[#This Row],[Fault Start TimeStamp]])*24</f>
        <v>0.5166666666666675</v>
      </c>
      <c r="R22" t="s">
        <v>623</v>
      </c>
      <c r="S22" t="s">
        <v>463</v>
      </c>
      <c r="T22" s="130">
        <f>IFERROR(Table8[[#This Row],[Breakdown Time]]*Table8[[#This Row],[Plant Equivalent Weightage]],"")</f>
        <v>0.13247863247863267</v>
      </c>
      <c r="U22" t="s">
        <v>470</v>
      </c>
      <c r="V22" s="107">
        <v>878.33333333333474</v>
      </c>
      <c r="W22" t="s">
        <v>621</v>
      </c>
    </row>
    <row r="23" spans="1:23">
      <c r="A23" s="105">
        <f t="shared" si="0"/>
        <v>22</v>
      </c>
      <c r="B23">
        <f>YEAR(Table8[[#This Row],[Date]])+IF(MONTH(Table8[[#This Row],[Date]])&gt;=4,1,0)</f>
        <v>2026</v>
      </c>
      <c r="C23" s="105">
        <f>YEAR(Table6[[#This Row],[Date]])</f>
        <v>2025</v>
      </c>
      <c r="D23" s="105" t="s">
        <v>461</v>
      </c>
      <c r="E23" s="119">
        <f>Table8[[#This Row],[Date]]-DAY(Table8[[#This Row],[Date]])+1</f>
        <v>45778</v>
      </c>
      <c r="F23" s="118">
        <v>45798</v>
      </c>
      <c r="G23" t="s">
        <v>630</v>
      </c>
      <c r="H23" t="s">
        <v>484</v>
      </c>
      <c r="I23" t="s">
        <v>485</v>
      </c>
      <c r="J23" s="329">
        <f>IFERROR(_xlfn.XLOOKUP(Table8[[#This Row],[Affected Feeder ]],'Basic Data'!$A:$A,'Basic Data'!$E:$E),"")</f>
        <v>0.15384615384615385</v>
      </c>
      <c r="K23" t="s">
        <v>1011</v>
      </c>
      <c r="L23" s="330">
        <v>0.47222222222222221</v>
      </c>
      <c r="M23" s="330">
        <v>0.47222222222222221</v>
      </c>
      <c r="N23" s="330">
        <v>0.52777777777777779</v>
      </c>
      <c r="O23" s="97">
        <f>(Table8[[#This Row],[Work Start TimeStamp]]-Table8[[#This Row],[Fault Start TimeStamp]])*24</f>
        <v>0</v>
      </c>
      <c r="P23" s="97">
        <f>IF(Table8[[#This Row],[Work Start TimeStamp]]="","",(Table8[[#This Row],[Fault Clearance time]]-Table8[[#This Row],[Work Start TimeStamp]])*24)</f>
        <v>1.3333333333333339</v>
      </c>
      <c r="Q23" s="97">
        <f>(Table8[[#This Row],[Fault Clearance time]]-Table8[[#This Row],[Fault Start TimeStamp]])*24</f>
        <v>1.3333333333333339</v>
      </c>
      <c r="R23" t="s">
        <v>647</v>
      </c>
      <c r="S23" t="s">
        <v>463</v>
      </c>
      <c r="T23" s="130">
        <f>IFERROR(Table8[[#This Row],[Breakdown Time]]*Table8[[#This Row],[Plant Equivalent Weightage]],"")</f>
        <v>0.20512820512820523</v>
      </c>
      <c r="U23" t="s">
        <v>470</v>
      </c>
      <c r="V23" s="107">
        <v>2400.0000000000009</v>
      </c>
      <c r="W23" t="s">
        <v>621</v>
      </c>
    </row>
    <row r="24" spans="1:23">
      <c r="A24" s="105">
        <f t="shared" si="0"/>
        <v>23</v>
      </c>
      <c r="B24">
        <f>YEAR(Table8[[#This Row],[Date]])+IF(MONTH(Table8[[#This Row],[Date]])&gt;=4,1,0)</f>
        <v>2026</v>
      </c>
      <c r="C24" s="105">
        <f>YEAR(Table6[[#This Row],[Date]])</f>
        <v>2025</v>
      </c>
      <c r="D24" s="105" t="s">
        <v>461</v>
      </c>
      <c r="E24" s="119">
        <f>Table8[[#This Row],[Date]]-DAY(Table8[[#This Row],[Date]])+1</f>
        <v>45778</v>
      </c>
      <c r="F24" s="118">
        <v>45800</v>
      </c>
      <c r="G24" t="s">
        <v>617</v>
      </c>
      <c r="H24" t="s">
        <v>484</v>
      </c>
      <c r="I24" t="s">
        <v>485</v>
      </c>
      <c r="J24" s="329">
        <f>IFERROR(_xlfn.XLOOKUP(Table8[[#This Row],[Affected Feeder ]],'Basic Data'!$A:$A,'Basic Data'!$E:$E),"")</f>
        <v>0.25641025641025639</v>
      </c>
      <c r="K24" t="s">
        <v>1168</v>
      </c>
      <c r="L24" s="330">
        <v>0.45277777777777778</v>
      </c>
      <c r="M24" s="330">
        <v>0.45277777777777778</v>
      </c>
      <c r="N24" s="330">
        <v>0.59583333333333333</v>
      </c>
      <c r="O24" s="97">
        <f>(Table8[[#This Row],[Work Start TimeStamp]]-Table8[[#This Row],[Fault Start TimeStamp]])*24</f>
        <v>0</v>
      </c>
      <c r="P24" s="97">
        <f>IF(Table8[[#This Row],[Work Start TimeStamp]]="","",(Table8[[#This Row],[Fault Clearance time]]-Table8[[#This Row],[Work Start TimeStamp]])*24)</f>
        <v>3.4333333333333331</v>
      </c>
      <c r="Q24" s="97">
        <f>(Table8[[#This Row],[Fault Clearance time]]-Table8[[#This Row],[Fault Start TimeStamp]])*24</f>
        <v>3.4333333333333331</v>
      </c>
      <c r="R24" t="s">
        <v>1170</v>
      </c>
      <c r="S24" t="s">
        <v>463</v>
      </c>
      <c r="T24" s="130">
        <f>IFERROR(Table8[[#This Row],[Breakdown Time]]*Table8[[#This Row],[Plant Equivalent Weightage]],"")</f>
        <v>0.88034188034188021</v>
      </c>
      <c r="U24" t="s">
        <v>471</v>
      </c>
      <c r="V24" s="107">
        <v>2231.6666666666665</v>
      </c>
      <c r="W24" t="s">
        <v>621</v>
      </c>
    </row>
    <row r="25" spans="1:23">
      <c r="A25" s="105">
        <f t="shared" si="0"/>
        <v>24</v>
      </c>
      <c r="B25">
        <f>YEAR(Table8[[#This Row],[Date]])+IF(MONTH(Table8[[#This Row],[Date]])&gt;=4,1,0)</f>
        <v>2026</v>
      </c>
      <c r="C25" s="105">
        <f>YEAR(Table6[[#This Row],[Date]])</f>
        <v>2025</v>
      </c>
      <c r="D25" s="105" t="s">
        <v>461</v>
      </c>
      <c r="E25" s="119">
        <f>Table8[[#This Row],[Date]]-DAY(Table8[[#This Row],[Date]])+1</f>
        <v>45778</v>
      </c>
      <c r="F25" s="118">
        <v>45800</v>
      </c>
      <c r="G25" t="s">
        <v>620</v>
      </c>
      <c r="H25" t="s">
        <v>484</v>
      </c>
      <c r="I25" t="s">
        <v>485</v>
      </c>
      <c r="J25" s="329">
        <f>IFERROR(_xlfn.XLOOKUP(Table8[[#This Row],[Affected Feeder ]],'Basic Data'!$A:$A,'Basic Data'!$E:$E),"")</f>
        <v>0.25641025641025639</v>
      </c>
      <c r="K25" t="s">
        <v>1169</v>
      </c>
      <c r="L25" s="330">
        <v>0.45277777777777778</v>
      </c>
      <c r="M25" s="330">
        <v>0.45277777777777778</v>
      </c>
      <c r="N25" s="330">
        <v>0.59583333333333333</v>
      </c>
      <c r="O25" s="97">
        <f>(Table8[[#This Row],[Work Start TimeStamp]]-Table8[[#This Row],[Fault Start TimeStamp]])*24</f>
        <v>0</v>
      </c>
      <c r="P25" s="97">
        <f>IF(Table8[[#This Row],[Work Start TimeStamp]]="","",(Table8[[#This Row],[Fault Clearance time]]-Table8[[#This Row],[Work Start TimeStamp]])*24)</f>
        <v>3.4333333333333331</v>
      </c>
      <c r="Q25" s="97">
        <f>(Table8[[#This Row],[Fault Clearance time]]-Table8[[#This Row],[Fault Start TimeStamp]])*24</f>
        <v>3.4333333333333331</v>
      </c>
      <c r="R25" t="s">
        <v>1170</v>
      </c>
      <c r="S25" t="s">
        <v>463</v>
      </c>
      <c r="T25" s="130">
        <f>IFERROR(Table8[[#This Row],[Breakdown Time]]*Table8[[#This Row],[Plant Equivalent Weightage]],"")</f>
        <v>0.88034188034188021</v>
      </c>
      <c r="U25" t="s">
        <v>471</v>
      </c>
      <c r="V25" s="107">
        <v>2060</v>
      </c>
      <c r="W25" t="s">
        <v>621</v>
      </c>
    </row>
    <row r="26" spans="1:23">
      <c r="A26" s="105">
        <f t="shared" si="0"/>
        <v>25</v>
      </c>
      <c r="B26">
        <f>YEAR(Table8[[#This Row],[Date]])+IF(MONTH(Table8[[#This Row],[Date]])&gt;=4,1,0)</f>
        <v>2026</v>
      </c>
      <c r="C26" s="105">
        <f>YEAR(Table6[[#This Row],[Date]])</f>
        <v>2025</v>
      </c>
      <c r="D26" s="105" t="s">
        <v>461</v>
      </c>
      <c r="E26" s="119">
        <f>Table8[[#This Row],[Date]]-DAY(Table8[[#This Row],[Date]])+1</f>
        <v>45778</v>
      </c>
      <c r="F26" s="118">
        <v>45800</v>
      </c>
      <c r="G26" t="s">
        <v>624</v>
      </c>
      <c r="H26" t="s">
        <v>484</v>
      </c>
      <c r="I26" t="s">
        <v>485</v>
      </c>
      <c r="J26" s="329">
        <f>IFERROR(_xlfn.XLOOKUP(Table8[[#This Row],[Affected Feeder ]],'Basic Data'!$A:$A,'Basic Data'!$E:$E),"")</f>
        <v>0.12820512820512819</v>
      </c>
      <c r="K26" t="s">
        <v>1171</v>
      </c>
      <c r="L26" s="330">
        <v>0.6166666666666667</v>
      </c>
      <c r="M26" s="330">
        <v>0.6166666666666667</v>
      </c>
      <c r="N26" s="330">
        <v>0.66736111111111107</v>
      </c>
      <c r="O26" s="97">
        <f>(Table8[[#This Row],[Work Start TimeStamp]]-Table8[[#This Row],[Fault Start TimeStamp]])*24</f>
        <v>0</v>
      </c>
      <c r="P26" s="97">
        <f>IF(Table8[[#This Row],[Work Start TimeStamp]]="","",(Table8[[#This Row],[Fault Clearance time]]-Table8[[#This Row],[Work Start TimeStamp]])*24)</f>
        <v>1.216666666666665</v>
      </c>
      <c r="Q26" s="97">
        <f>(Table8[[#This Row],[Fault Clearance time]]-Table8[[#This Row],[Fault Start TimeStamp]])*24</f>
        <v>1.216666666666665</v>
      </c>
      <c r="R26" t="s">
        <v>1174</v>
      </c>
      <c r="S26" t="s">
        <v>463</v>
      </c>
      <c r="T26" s="130">
        <f>IFERROR(Table8[[#This Row],[Breakdown Time]]*Table8[[#This Row],[Plant Equivalent Weightage]],"")</f>
        <v>0.15598290598290576</v>
      </c>
      <c r="U26" t="s">
        <v>469</v>
      </c>
      <c r="V26" s="107">
        <v>1216.6666666666649</v>
      </c>
      <c r="W26" t="s">
        <v>625</v>
      </c>
    </row>
    <row r="27" spans="1:23">
      <c r="A27" s="105">
        <f t="shared" si="0"/>
        <v>26</v>
      </c>
      <c r="B27">
        <f>YEAR(Table8[[#This Row],[Date]])+IF(MONTH(Table8[[#This Row],[Date]])&gt;=4,1,0)</f>
        <v>2026</v>
      </c>
      <c r="C27" s="105">
        <f>YEAR(Table6[[#This Row],[Date]])</f>
        <v>2025</v>
      </c>
      <c r="D27" s="105" t="s">
        <v>461</v>
      </c>
      <c r="E27" s="119">
        <f>Table8[[#This Row],[Date]]-DAY(Table8[[#This Row],[Date]])+1</f>
        <v>45778</v>
      </c>
      <c r="F27" s="118">
        <v>45800</v>
      </c>
      <c r="G27" t="s">
        <v>622</v>
      </c>
      <c r="H27" t="s">
        <v>484</v>
      </c>
      <c r="I27" t="s">
        <v>485</v>
      </c>
      <c r="J27" s="329">
        <f>IFERROR(_xlfn.XLOOKUP(Table8[[#This Row],[Affected Feeder ]],'Basic Data'!$A:$A,'Basic Data'!$E:$E),"")</f>
        <v>0.12820512820512819</v>
      </c>
      <c r="K27" t="s">
        <v>1172</v>
      </c>
      <c r="L27" s="330">
        <v>0.65277777777777779</v>
      </c>
      <c r="M27" s="330">
        <v>0.65277777777777779</v>
      </c>
      <c r="N27" s="330">
        <v>0.66736111111111107</v>
      </c>
      <c r="O27" s="97">
        <f>(Table8[[#This Row],[Work Start TimeStamp]]-Table8[[#This Row],[Fault Start TimeStamp]])*24</f>
        <v>0</v>
      </c>
      <c r="P27" s="97">
        <f>IF(Table8[[#This Row],[Work Start TimeStamp]]="","",(Table8[[#This Row],[Fault Clearance time]]-Table8[[#This Row],[Work Start TimeStamp]])*24)</f>
        <v>0.34999999999999876</v>
      </c>
      <c r="Q27" s="97">
        <f>(Table8[[#This Row],[Fault Clearance time]]-Table8[[#This Row],[Fault Start TimeStamp]])*24</f>
        <v>0.34999999999999876</v>
      </c>
      <c r="R27" t="s">
        <v>1173</v>
      </c>
      <c r="S27" t="s">
        <v>463</v>
      </c>
      <c r="T27" s="130">
        <f>IFERROR(Table8[[#This Row],[Breakdown Time]]*Table8[[#This Row],[Plant Equivalent Weightage]],"")</f>
        <v>4.4871794871794705E-2</v>
      </c>
      <c r="U27" t="s">
        <v>469</v>
      </c>
      <c r="V27" s="107">
        <v>349.99999999999875</v>
      </c>
      <c r="W27" t="s">
        <v>621</v>
      </c>
    </row>
    <row r="28" spans="1:23">
      <c r="A28" s="105">
        <f t="shared" si="0"/>
        <v>27</v>
      </c>
      <c r="B28">
        <f>YEAR(Table8[[#This Row],[Date]])+IF(MONTH(Table8[[#This Row],[Date]])&gt;=4,1,0)</f>
        <v>2026</v>
      </c>
      <c r="C28" s="105">
        <f>YEAR(Table6[[#This Row],[Date]])</f>
        <v>2025</v>
      </c>
      <c r="D28" s="105" t="s">
        <v>461</v>
      </c>
      <c r="E28" s="119">
        <f>Table8[[#This Row],[Date]]-DAY(Table8[[#This Row],[Date]])+1</f>
        <v>45778</v>
      </c>
      <c r="F28" s="118">
        <v>45801</v>
      </c>
      <c r="G28" t="s">
        <v>619</v>
      </c>
      <c r="H28" t="s">
        <v>484</v>
      </c>
      <c r="I28" t="s">
        <v>485</v>
      </c>
      <c r="J28" s="329">
        <f>IFERROR(_xlfn.XLOOKUP(Table8[[#This Row],[Affected Feeder ]],'Basic Data'!$A:$A,'Basic Data'!$E:$E),"")</f>
        <v>0.25641025641025639</v>
      </c>
      <c r="K28" t="s">
        <v>1177</v>
      </c>
      <c r="L28" s="330">
        <v>0.6</v>
      </c>
      <c r="M28" s="330">
        <v>0.6</v>
      </c>
      <c r="N28" s="330">
        <v>0.62847222222222221</v>
      </c>
      <c r="O28" s="97">
        <f>(Table8[[#This Row],[Work Start TimeStamp]]-Table8[[#This Row],[Fault Start TimeStamp]])*24</f>
        <v>0</v>
      </c>
      <c r="P28" s="97">
        <f>IF(Table8[[#This Row],[Work Start TimeStamp]]="","",(Table8[[#This Row],[Fault Clearance time]]-Table8[[#This Row],[Work Start TimeStamp]])*24)</f>
        <v>0.68333333333333357</v>
      </c>
      <c r="Q28" s="97">
        <f>(Table8[[#This Row],[Fault Clearance time]]-Table8[[#This Row],[Fault Start TimeStamp]])*24</f>
        <v>0.68333333333333357</v>
      </c>
      <c r="R28" t="s">
        <v>1173</v>
      </c>
      <c r="S28" t="s">
        <v>463</v>
      </c>
      <c r="T28" s="130">
        <f>IFERROR(Table8[[#This Row],[Breakdown Time]]*Table8[[#This Row],[Plant Equivalent Weightage]],"")</f>
        <v>0.17521367521367526</v>
      </c>
      <c r="U28" t="s">
        <v>469</v>
      </c>
      <c r="V28" s="107">
        <v>1777</v>
      </c>
      <c r="W28" t="s">
        <v>621</v>
      </c>
    </row>
    <row r="29" spans="1:23">
      <c r="A29" s="105">
        <f t="shared" si="0"/>
        <v>28</v>
      </c>
      <c r="B29">
        <f>YEAR(Table8[[#This Row],[Date]])+IF(MONTH(Table8[[#This Row],[Date]])&gt;=4,1,0)</f>
        <v>2026</v>
      </c>
      <c r="C29" s="105">
        <f>YEAR(Table6[[#This Row],[Date]])</f>
        <v>2025</v>
      </c>
      <c r="D29" s="105" t="s">
        <v>461</v>
      </c>
      <c r="E29" s="119">
        <f>Table8[[#This Row],[Date]]-DAY(Table8[[#This Row],[Date]])+1</f>
        <v>45778</v>
      </c>
      <c r="F29" s="118">
        <v>45804</v>
      </c>
      <c r="G29" t="s">
        <v>620</v>
      </c>
      <c r="H29" t="s">
        <v>484</v>
      </c>
      <c r="I29" t="s">
        <v>485</v>
      </c>
      <c r="J29" s="329">
        <f>IFERROR(_xlfn.XLOOKUP(Table8[[#This Row],[Affected Feeder ]],'Basic Data'!$A:$A,'Basic Data'!$E:$E),"")</f>
        <v>0.25641025641025639</v>
      </c>
      <c r="K29" t="s">
        <v>632</v>
      </c>
      <c r="L29" s="330">
        <v>0.47916666666666669</v>
      </c>
      <c r="M29" s="330">
        <v>0.47916666666666669</v>
      </c>
      <c r="N29" s="330">
        <v>0.48333333333333334</v>
      </c>
      <c r="O29" s="97">
        <f>(Table8[[#This Row],[Work Start TimeStamp]]-Table8[[#This Row],[Fault Start TimeStamp]])*24</f>
        <v>0</v>
      </c>
      <c r="P29" s="97">
        <f>IF(Table8[[#This Row],[Work Start TimeStamp]]="","",(Table8[[#This Row],[Fault Clearance time]]-Table8[[#This Row],[Work Start TimeStamp]])*24)</f>
        <v>9.9999999999999645E-2</v>
      </c>
      <c r="Q29" s="97">
        <f>(Table8[[#This Row],[Fault Clearance time]]-Table8[[#This Row],[Fault Start TimeStamp]])*24</f>
        <v>9.9999999999999645E-2</v>
      </c>
      <c r="R29" t="s">
        <v>623</v>
      </c>
      <c r="S29" t="s">
        <v>463</v>
      </c>
      <c r="T29" s="130">
        <f>IFERROR(Table8[[#This Row],[Breakdown Time]]*Table8[[#This Row],[Plant Equivalent Weightage]],"")</f>
        <v>2.5641025641025546E-2</v>
      </c>
      <c r="U29" t="s">
        <v>469</v>
      </c>
      <c r="V29" s="107">
        <v>429.99999999999841</v>
      </c>
      <c r="W29" t="s">
        <v>621</v>
      </c>
    </row>
    <row r="30" spans="1:23">
      <c r="A30" s="105">
        <f t="shared" si="0"/>
        <v>29</v>
      </c>
      <c r="B30">
        <f>YEAR(Table8[[#This Row],[Date]])+IF(MONTH(Table8[[#This Row],[Date]])&gt;=4,1,0)</f>
        <v>2026</v>
      </c>
      <c r="C30" s="105">
        <f>YEAR(Table6[[#This Row],[Date]])</f>
        <v>2025</v>
      </c>
      <c r="D30" s="105" t="s">
        <v>461</v>
      </c>
      <c r="E30" s="119">
        <f>Table8[[#This Row],[Date]]-DAY(Table8[[#This Row],[Date]])+1</f>
        <v>45778</v>
      </c>
      <c r="F30" s="118">
        <v>45804</v>
      </c>
      <c r="G30" t="s">
        <v>618</v>
      </c>
      <c r="H30" t="s">
        <v>484</v>
      </c>
      <c r="I30" t="s">
        <v>485</v>
      </c>
      <c r="J30" s="329">
        <f>IFERROR(_xlfn.XLOOKUP(Table8[[#This Row],[Affected Feeder ]],'Basic Data'!$A:$A,'Basic Data'!$E:$E),"")</f>
        <v>0.23076923076923078</v>
      </c>
      <c r="K30" t="s">
        <v>633</v>
      </c>
      <c r="L30" s="330">
        <v>0.65277777777777779</v>
      </c>
      <c r="M30" s="330">
        <v>0.65277777777777779</v>
      </c>
      <c r="N30" s="330">
        <v>0.82638888888888884</v>
      </c>
      <c r="O30" s="97">
        <f>(Table8[[#This Row],[Work Start TimeStamp]]-Table8[[#This Row],[Fault Start TimeStamp]])*24</f>
        <v>0</v>
      </c>
      <c r="P30" s="97">
        <f>IF(Table8[[#This Row],[Work Start TimeStamp]]="","",(Table8[[#This Row],[Fault Clearance time]]-Table8[[#This Row],[Work Start TimeStamp]])*24)</f>
        <v>4.1666666666666652</v>
      </c>
      <c r="Q30" s="97">
        <f>(Table8[[#This Row],[Fault Clearance time]]-Table8[[#This Row],[Fault Start TimeStamp]])*24</f>
        <v>4.1666666666666652</v>
      </c>
      <c r="R30" t="s">
        <v>1182</v>
      </c>
      <c r="S30" t="s">
        <v>463</v>
      </c>
      <c r="T30" s="130">
        <f>IFERROR(Table8[[#This Row],[Breakdown Time]]*Table8[[#This Row],[Plant Equivalent Weightage]],"")</f>
        <v>0.96153846153846123</v>
      </c>
      <c r="U30" t="s">
        <v>469</v>
      </c>
      <c r="V30" s="107">
        <v>22687.499999999993</v>
      </c>
      <c r="W30" t="s">
        <v>621</v>
      </c>
    </row>
    <row r="31" spans="1:23">
      <c r="A31" s="105">
        <f t="shared" si="0"/>
        <v>30</v>
      </c>
      <c r="B31">
        <f>YEAR(Table8[[#This Row],[Date]])+IF(MONTH(Table8[[#This Row],[Date]])&gt;=4,1,0)</f>
        <v>2026</v>
      </c>
      <c r="C31" s="105">
        <f>YEAR(Table6[[#This Row],[Date]])</f>
        <v>2025</v>
      </c>
      <c r="D31" s="105" t="s">
        <v>461</v>
      </c>
      <c r="E31" s="119">
        <f>Table8[[#This Row],[Date]]-DAY(Table8[[#This Row],[Date]])+1</f>
        <v>45778</v>
      </c>
      <c r="F31" s="118">
        <v>45805</v>
      </c>
      <c r="G31" t="s">
        <v>620</v>
      </c>
      <c r="H31" t="s">
        <v>484</v>
      </c>
      <c r="I31" t="s">
        <v>485</v>
      </c>
      <c r="J31" s="329">
        <f>IFERROR(_xlfn.XLOOKUP(Table8[[#This Row],[Affected Feeder ]],'Basic Data'!$A:$A,'Basic Data'!$E:$E),"")</f>
        <v>0.25641025641025639</v>
      </c>
      <c r="K31" t="s">
        <v>632</v>
      </c>
      <c r="L31" s="330">
        <v>0.59791666666666665</v>
      </c>
      <c r="M31" s="330">
        <v>0.59791666666666665</v>
      </c>
      <c r="N31" s="330">
        <v>0.60069444444444442</v>
      </c>
      <c r="O31" s="97">
        <f>(Table8[[#This Row],[Work Start TimeStamp]]-Table8[[#This Row],[Fault Start TimeStamp]])*24</f>
        <v>0</v>
      </c>
      <c r="P31" s="97">
        <f>IF(Table8[[#This Row],[Work Start TimeStamp]]="","",(Table8[[#This Row],[Fault Clearance time]]-Table8[[#This Row],[Work Start TimeStamp]])*24)</f>
        <v>6.666666666666643E-2</v>
      </c>
      <c r="Q31" s="97">
        <f>(Table8[[#This Row],[Fault Clearance time]]-Table8[[#This Row],[Fault Start TimeStamp]])*24</f>
        <v>6.666666666666643E-2</v>
      </c>
      <c r="R31" t="s">
        <v>623</v>
      </c>
      <c r="S31" t="s">
        <v>463</v>
      </c>
      <c r="T31" s="130">
        <f>IFERROR(Table8[[#This Row],[Breakdown Time]]*Table8[[#This Row],[Plant Equivalent Weightage]],"")</f>
        <v>1.7094017094017033E-2</v>
      </c>
      <c r="U31" t="s">
        <v>469</v>
      </c>
      <c r="V31" s="107">
        <v>203</v>
      </c>
      <c r="W31" t="s">
        <v>621</v>
      </c>
    </row>
    <row r="32" spans="1:23">
      <c r="A32" s="105">
        <f t="shared" si="0"/>
        <v>31</v>
      </c>
      <c r="B32">
        <f>YEAR(Table8[[#This Row],[Date]])+IF(MONTH(Table8[[#This Row],[Date]])&gt;=4,1,0)</f>
        <v>2026</v>
      </c>
      <c r="C32" s="105">
        <f>YEAR(Table6[[#This Row],[Date]])</f>
        <v>2025</v>
      </c>
      <c r="D32" s="105" t="s">
        <v>461</v>
      </c>
      <c r="E32" s="119">
        <f>Table8[[#This Row],[Date]]-DAY(Table8[[#This Row],[Date]])+1</f>
        <v>45778</v>
      </c>
      <c r="F32" s="118">
        <v>45806</v>
      </c>
      <c r="G32" t="s">
        <v>620</v>
      </c>
      <c r="H32" t="s">
        <v>484</v>
      </c>
      <c r="I32" t="s">
        <v>485</v>
      </c>
      <c r="J32" s="329">
        <f>IFERROR(_xlfn.XLOOKUP(Table8[[#This Row],[Affected Feeder ]],'Basic Data'!$A:$A,'Basic Data'!$E:$E),"")</f>
        <v>0.25641025641025639</v>
      </c>
      <c r="K32" t="s">
        <v>632</v>
      </c>
      <c r="L32" s="330">
        <v>0.35138888888888886</v>
      </c>
      <c r="M32" s="330">
        <v>0.35138888888888886</v>
      </c>
      <c r="N32" s="330">
        <v>0.35555555555555557</v>
      </c>
      <c r="O32" s="97">
        <f>(Table8[[#This Row],[Work Start TimeStamp]]-Table8[[#This Row],[Fault Start TimeStamp]])*24</f>
        <v>0</v>
      </c>
      <c r="P32" s="97">
        <f>IF(Table8[[#This Row],[Work Start TimeStamp]]="","",(Table8[[#This Row],[Fault Clearance time]]-Table8[[#This Row],[Work Start TimeStamp]])*24)</f>
        <v>0.10000000000000098</v>
      </c>
      <c r="Q32" s="97">
        <f>(Table8[[#This Row],[Fault Clearance time]]-Table8[[#This Row],[Fault Start TimeStamp]])*24</f>
        <v>0.10000000000000098</v>
      </c>
      <c r="R32" t="s">
        <v>623</v>
      </c>
      <c r="S32" t="s">
        <v>463</v>
      </c>
      <c r="T32" s="130">
        <f>IFERROR(Table8[[#This Row],[Breakdown Time]]*Table8[[#This Row],[Plant Equivalent Weightage]],"")</f>
        <v>2.564102564102589E-2</v>
      </c>
      <c r="U32" t="s">
        <v>469</v>
      </c>
      <c r="V32" s="107">
        <v>555.00000000000546</v>
      </c>
      <c r="W32" t="s">
        <v>621</v>
      </c>
    </row>
    <row r="33" spans="1:23">
      <c r="A33" s="105">
        <f t="shared" si="0"/>
        <v>32</v>
      </c>
      <c r="B33">
        <f>YEAR(Table8[[#This Row],[Date]])+IF(MONTH(Table8[[#This Row],[Date]])&gt;=4,1,0)</f>
        <v>2026</v>
      </c>
      <c r="C33" s="105">
        <f>YEAR(Table6[[#This Row],[Date]])</f>
        <v>2025</v>
      </c>
      <c r="D33" s="105" t="s">
        <v>461</v>
      </c>
      <c r="E33" s="119">
        <f>Table8[[#This Row],[Date]]-DAY(Table8[[#This Row],[Date]])+1</f>
        <v>45778</v>
      </c>
      <c r="F33" s="118">
        <v>45806</v>
      </c>
      <c r="G33" t="s">
        <v>620</v>
      </c>
      <c r="H33" t="s">
        <v>484</v>
      </c>
      <c r="I33" t="s">
        <v>485</v>
      </c>
      <c r="J33" s="329">
        <f>IFERROR(_xlfn.XLOOKUP(Table8[[#This Row],[Affected Feeder ]],'Basic Data'!$A:$A,'Basic Data'!$E:$E),"")</f>
        <v>0.25641025641025639</v>
      </c>
      <c r="K33" t="s">
        <v>632</v>
      </c>
      <c r="L33" s="330">
        <v>0.39305555555555555</v>
      </c>
      <c r="M33" s="330">
        <v>0.39305555555555555</v>
      </c>
      <c r="N33" s="330">
        <v>0.39583333333333331</v>
      </c>
      <c r="O33" s="97">
        <f>(Table8[[#This Row],[Work Start TimeStamp]]-Table8[[#This Row],[Fault Start TimeStamp]])*24</f>
        <v>0</v>
      </c>
      <c r="P33" s="97">
        <f>IF(Table8[[#This Row],[Work Start TimeStamp]]="","",(Table8[[#This Row],[Fault Clearance time]]-Table8[[#This Row],[Work Start TimeStamp]])*24)</f>
        <v>6.666666666666643E-2</v>
      </c>
      <c r="Q33" s="97">
        <f>(Table8[[#This Row],[Fault Clearance time]]-Table8[[#This Row],[Fault Start TimeStamp]])*24</f>
        <v>6.666666666666643E-2</v>
      </c>
      <c r="R33" t="s">
        <v>623</v>
      </c>
      <c r="S33" t="s">
        <v>463</v>
      </c>
      <c r="T33" s="130">
        <f>IFERROR(Table8[[#This Row],[Breakdown Time]]*Table8[[#This Row],[Plant Equivalent Weightage]],"")</f>
        <v>1.7094017094017033E-2</v>
      </c>
      <c r="U33" t="s">
        <v>470</v>
      </c>
      <c r="V33" s="107">
        <v>369.99999999999875</v>
      </c>
      <c r="W33" t="s">
        <v>621</v>
      </c>
    </row>
    <row r="34" spans="1:23">
      <c r="A34" s="105">
        <f t="shared" si="0"/>
        <v>33</v>
      </c>
      <c r="B34">
        <f>YEAR(Table8[[#This Row],[Date]])+IF(MONTH(Table8[[#This Row],[Date]])&gt;=4,1,0)</f>
        <v>2026</v>
      </c>
      <c r="C34" s="105">
        <f>YEAR(Table6[[#This Row],[Date]])</f>
        <v>2025</v>
      </c>
      <c r="D34" s="105" t="s">
        <v>461</v>
      </c>
      <c r="E34" s="119">
        <f>Table8[[#This Row],[Date]]-DAY(Table8[[#This Row],[Date]])+1</f>
        <v>45778</v>
      </c>
      <c r="F34" s="118">
        <v>45808</v>
      </c>
      <c r="G34" t="s">
        <v>628</v>
      </c>
      <c r="H34" t="s">
        <v>484</v>
      </c>
      <c r="I34" t="s">
        <v>485</v>
      </c>
      <c r="J34" s="329">
        <f>IFERROR(_xlfn.XLOOKUP(Table8[[#This Row],[Affected Feeder ]],'Basic Data'!$A:$A,'Basic Data'!$E:$E),"")</f>
        <v>0.10256410256410256</v>
      </c>
      <c r="K34" t="s">
        <v>632</v>
      </c>
      <c r="L34" s="330">
        <v>0.4201388888888889</v>
      </c>
      <c r="M34" s="330">
        <v>0.4201388888888889</v>
      </c>
      <c r="N34" s="330">
        <v>0.48472222222222222</v>
      </c>
      <c r="O34" s="97">
        <f>(Table8[[#This Row],[Work Start TimeStamp]]-Table8[[#This Row],[Fault Start TimeStamp]])*24</f>
        <v>0</v>
      </c>
      <c r="P34" s="97">
        <f>IF(Table8[[#This Row],[Work Start TimeStamp]]="","",(Table8[[#This Row],[Fault Clearance time]]-Table8[[#This Row],[Work Start TimeStamp]])*24)</f>
        <v>1.5499999999999998</v>
      </c>
      <c r="Q34" s="97">
        <f>(Table8[[#This Row],[Fault Clearance time]]-Table8[[#This Row],[Fault Start TimeStamp]])*24</f>
        <v>1.5499999999999998</v>
      </c>
      <c r="R34" t="s">
        <v>1197</v>
      </c>
      <c r="S34" t="s">
        <v>463</v>
      </c>
      <c r="T34" s="130">
        <f>IFERROR(Table8[[#This Row],[Breakdown Time]]*Table8[[#This Row],[Plant Equivalent Weightage]],"")</f>
        <v>0.15897435897435894</v>
      </c>
      <c r="U34" t="s">
        <v>469</v>
      </c>
      <c r="V34" s="107">
        <v>11314.999999999998</v>
      </c>
      <c r="W34" t="s">
        <v>621</v>
      </c>
    </row>
    <row r="35" spans="1:23">
      <c r="A35" s="105">
        <f t="shared" si="0"/>
        <v>34</v>
      </c>
      <c r="B35">
        <f>YEAR(Table8[[#This Row],[Date]])+IF(MONTH(Table8[[#This Row],[Date]])&gt;=4,1,0)</f>
        <v>2026</v>
      </c>
      <c r="C35" s="105">
        <f>YEAR(Table6[[#This Row],[Date]])</f>
        <v>2025</v>
      </c>
      <c r="D35" s="105" t="s">
        <v>461</v>
      </c>
      <c r="E35" s="119">
        <f>Table8[[#This Row],[Date]]-DAY(Table8[[#This Row],[Date]])+1</f>
        <v>45778</v>
      </c>
      <c r="F35" s="118">
        <v>45808</v>
      </c>
      <c r="G35" t="s">
        <v>630</v>
      </c>
      <c r="H35" t="s">
        <v>484</v>
      </c>
      <c r="I35" t="s">
        <v>485</v>
      </c>
      <c r="J35" s="329">
        <f>IFERROR(_xlfn.XLOOKUP(Table8[[#This Row],[Affected Feeder ]],'Basic Data'!$A:$A,'Basic Data'!$E:$E),"")</f>
        <v>0.15384615384615385</v>
      </c>
      <c r="K35" t="s">
        <v>632</v>
      </c>
      <c r="L35" s="330">
        <v>0.4201388888888889</v>
      </c>
      <c r="M35" s="330">
        <v>0.4201388888888889</v>
      </c>
      <c r="N35" s="330">
        <v>0.53125</v>
      </c>
      <c r="O35" s="97">
        <f>(Table8[[#This Row],[Work Start TimeStamp]]-Table8[[#This Row],[Fault Start TimeStamp]])*24</f>
        <v>0</v>
      </c>
      <c r="P35" s="97">
        <f>IF(Table8[[#This Row],[Work Start TimeStamp]]="","",(Table8[[#This Row],[Fault Clearance time]]-Table8[[#This Row],[Work Start TimeStamp]])*24)</f>
        <v>2.6666666666666665</v>
      </c>
      <c r="Q35" s="97">
        <f>(Table8[[#This Row],[Fault Clearance time]]-Table8[[#This Row],[Fault Start TimeStamp]])*24</f>
        <v>2.6666666666666665</v>
      </c>
      <c r="R35" t="s">
        <v>1196</v>
      </c>
      <c r="S35" t="s">
        <v>463</v>
      </c>
      <c r="T35" s="130">
        <f>IFERROR(Table8[[#This Row],[Breakdown Time]]*Table8[[#This Row],[Plant Equivalent Weightage]],"")</f>
        <v>0.41025641025641024</v>
      </c>
      <c r="U35" t="s">
        <v>469</v>
      </c>
      <c r="V35" s="107">
        <v>19466.666666666664</v>
      </c>
      <c r="W35" t="s">
        <v>621</v>
      </c>
    </row>
    <row r="36" spans="1:23">
      <c r="A36" s="105">
        <f t="shared" si="0"/>
        <v>35</v>
      </c>
      <c r="B36">
        <f>YEAR(Table8[[#This Row],[Date]])+IF(MONTH(Table8[[#This Row],[Date]])&gt;=4,1,0)</f>
        <v>2026</v>
      </c>
      <c r="C36" s="105">
        <f>YEAR(Table6[[#This Row],[Date]])</f>
        <v>2025</v>
      </c>
      <c r="D36" s="105" t="s">
        <v>461</v>
      </c>
      <c r="E36" s="119">
        <f>Table8[[#This Row],[Date]]-DAY(Table8[[#This Row],[Date]])+1</f>
        <v>45809</v>
      </c>
      <c r="F36" s="118">
        <v>45809</v>
      </c>
      <c r="G36" t="s">
        <v>620</v>
      </c>
      <c r="H36" t="s">
        <v>484</v>
      </c>
      <c r="I36" t="s">
        <v>485</v>
      </c>
      <c r="J36" s="329">
        <f>IFERROR(_xlfn.XLOOKUP(Table8[[#This Row],[Affected Feeder ]],'Basic Data'!$A:$A,'Basic Data'!$E:$E),"")</f>
        <v>0.25641025641025639</v>
      </c>
      <c r="K36" t="s">
        <v>632</v>
      </c>
      <c r="L36" s="330">
        <v>0.52152777777777781</v>
      </c>
      <c r="M36" s="330">
        <v>0.52152777777777781</v>
      </c>
      <c r="N36" s="330">
        <v>0.5229166666666667</v>
      </c>
      <c r="O36" s="97">
        <f>(Table8[[#This Row],[Work Start TimeStamp]]-Table8[[#This Row],[Fault Start TimeStamp]])*24</f>
        <v>0</v>
      </c>
      <c r="P36" s="97">
        <f>IF(Table8[[#This Row],[Work Start TimeStamp]]="","",(Table8[[#This Row],[Fault Clearance time]]-Table8[[#This Row],[Work Start TimeStamp]])*24)</f>
        <v>3.3333333333333215E-2</v>
      </c>
      <c r="Q36" s="97">
        <f>(Table8[[#This Row],[Fault Clearance time]]-Table8[[#This Row],[Fault Start TimeStamp]])*24</f>
        <v>3.3333333333333215E-2</v>
      </c>
      <c r="R36" t="s">
        <v>623</v>
      </c>
      <c r="S36" t="s">
        <v>463</v>
      </c>
      <c r="T36" s="130">
        <f>IFERROR(Table8[[#This Row],[Breakdown Time]]*Table8[[#This Row],[Plant Equivalent Weightage]],"")</f>
        <v>8.5470085470085166E-3</v>
      </c>
      <c r="U36" t="s">
        <v>470</v>
      </c>
      <c r="V36" s="107">
        <v>248.33333333333243</v>
      </c>
      <c r="W36" t="s">
        <v>621</v>
      </c>
    </row>
    <row r="37" spans="1:23">
      <c r="A37" s="105">
        <f t="shared" si="0"/>
        <v>36</v>
      </c>
      <c r="B37">
        <f>YEAR(Table8[[#This Row],[Date]])+IF(MONTH(Table8[[#This Row],[Date]])&gt;=4,1,0)</f>
        <v>2026</v>
      </c>
      <c r="C37" s="105">
        <f>YEAR(Table6[[#This Row],[Date]])</f>
        <v>2025</v>
      </c>
      <c r="D37" s="105" t="s">
        <v>461</v>
      </c>
      <c r="E37" s="119">
        <f>Table8[[#This Row],[Date]]-DAY(Table8[[#This Row],[Date]])+1</f>
        <v>45809</v>
      </c>
      <c r="F37" s="118">
        <v>45809</v>
      </c>
      <c r="G37" t="s">
        <v>617</v>
      </c>
      <c r="H37" t="s">
        <v>484</v>
      </c>
      <c r="I37" t="s">
        <v>485</v>
      </c>
      <c r="J37" s="329">
        <f>IFERROR(_xlfn.XLOOKUP(Table8[[#This Row],[Affected Feeder ]],'Basic Data'!$A:$A,'Basic Data'!$E:$E),"")</f>
        <v>0.25641025641025639</v>
      </c>
      <c r="K37" t="s">
        <v>634</v>
      </c>
      <c r="L37" s="330">
        <v>0.69791666666666663</v>
      </c>
      <c r="M37" s="330">
        <v>0.69791666666666663</v>
      </c>
      <c r="N37" s="330">
        <v>0.7</v>
      </c>
      <c r="O37" s="97">
        <f>(Table8[[#This Row],[Work Start TimeStamp]]-Table8[[#This Row],[Fault Start TimeStamp]])*24</f>
        <v>0</v>
      </c>
      <c r="P37" s="97">
        <f>IF(Table8[[#This Row],[Work Start TimeStamp]]="","",(Table8[[#This Row],[Fault Clearance time]]-Table8[[#This Row],[Work Start TimeStamp]])*24)</f>
        <v>4.9999999999999822E-2</v>
      </c>
      <c r="Q37" s="97">
        <f>(Table8[[#This Row],[Fault Clearance time]]-Table8[[#This Row],[Fault Start TimeStamp]])*24</f>
        <v>4.9999999999999822E-2</v>
      </c>
      <c r="R37" t="s">
        <v>623</v>
      </c>
      <c r="S37" t="s">
        <v>463</v>
      </c>
      <c r="T37" s="130">
        <f>IFERROR(Table8[[#This Row],[Breakdown Time]]*Table8[[#This Row],[Plant Equivalent Weightage]],"")</f>
        <v>1.2820512820512773E-2</v>
      </c>
      <c r="U37" t="s">
        <v>470</v>
      </c>
      <c r="V37" s="107">
        <v>312.49999999999892</v>
      </c>
      <c r="W37" t="s">
        <v>621</v>
      </c>
    </row>
    <row r="38" spans="1:23">
      <c r="A38" s="105">
        <f t="shared" si="0"/>
        <v>37</v>
      </c>
      <c r="B38">
        <f>YEAR(Table8[[#This Row],[Date]])+IF(MONTH(Table8[[#This Row],[Date]])&gt;=4,1,0)</f>
        <v>2026</v>
      </c>
      <c r="C38" s="105">
        <f>YEAR(Table6[[#This Row],[Date]])</f>
        <v>2025</v>
      </c>
      <c r="D38" s="105" t="s">
        <v>461</v>
      </c>
      <c r="E38" s="119">
        <f>Table8[[#This Row],[Date]]-DAY(Table8[[#This Row],[Date]])+1</f>
        <v>45809</v>
      </c>
      <c r="F38" s="118">
        <v>45810</v>
      </c>
      <c r="G38" t="s">
        <v>628</v>
      </c>
      <c r="H38" t="s">
        <v>484</v>
      </c>
      <c r="I38" t="s">
        <v>485</v>
      </c>
      <c r="J38" s="329">
        <f>IFERROR(_xlfn.XLOOKUP(Table8[[#This Row],[Affected Feeder ]],'Basic Data'!$A:$A,'Basic Data'!$E:$E),"")</f>
        <v>0.10256410256410256</v>
      </c>
      <c r="K38" t="s">
        <v>1011</v>
      </c>
      <c r="L38" s="330">
        <v>0.62152777777777779</v>
      </c>
      <c r="M38" s="330">
        <v>0.62152777777777779</v>
      </c>
      <c r="N38" s="330">
        <v>0.66319444444444442</v>
      </c>
      <c r="O38" s="97">
        <f>(Table8[[#This Row],[Work Start TimeStamp]]-Table8[[#This Row],[Fault Start TimeStamp]])*24</f>
        <v>0</v>
      </c>
      <c r="P38" s="97">
        <f>IF(Table8[[#This Row],[Work Start TimeStamp]]="","",(Table8[[#This Row],[Fault Clearance time]]-Table8[[#This Row],[Work Start TimeStamp]])*24)</f>
        <v>0.99999999999999911</v>
      </c>
      <c r="Q38" s="97">
        <f>(Table8[[#This Row],[Fault Clearance time]]-Table8[[#This Row],[Fault Start TimeStamp]])*24</f>
        <v>0.99999999999999911</v>
      </c>
      <c r="R38" t="s">
        <v>645</v>
      </c>
      <c r="S38" t="s">
        <v>463</v>
      </c>
      <c r="T38" s="130">
        <f>IFERROR(Table8[[#This Row],[Breakdown Time]]*Table8[[#This Row],[Plant Equivalent Weightage]],"")</f>
        <v>0.10256410256410246</v>
      </c>
      <c r="U38" t="s">
        <v>471</v>
      </c>
      <c r="V38" s="107">
        <v>3699.9999999999968</v>
      </c>
      <c r="W38" t="s">
        <v>621</v>
      </c>
    </row>
    <row r="39" spans="1:23">
      <c r="A39" s="105">
        <f t="shared" si="0"/>
        <v>38</v>
      </c>
      <c r="B39">
        <f>YEAR(Table8[[#This Row],[Date]])+IF(MONTH(Table8[[#This Row],[Date]])&gt;=4,1,0)</f>
        <v>2026</v>
      </c>
      <c r="C39" s="105">
        <f>YEAR(Table6[[#This Row],[Date]])</f>
        <v>2025</v>
      </c>
      <c r="D39" s="105" t="s">
        <v>461</v>
      </c>
      <c r="E39" s="119">
        <f>Table8[[#This Row],[Date]]-DAY(Table8[[#This Row],[Date]])+1</f>
        <v>45809</v>
      </c>
      <c r="F39" s="118">
        <v>45811</v>
      </c>
      <c r="G39" t="s">
        <v>620</v>
      </c>
      <c r="H39" t="s">
        <v>484</v>
      </c>
      <c r="I39" t="s">
        <v>485</v>
      </c>
      <c r="J39" s="329">
        <f>IFERROR(_xlfn.XLOOKUP(Table8[[#This Row],[Affected Feeder ]],'Basic Data'!$A:$A,'Basic Data'!$E:$E),"")</f>
        <v>0.25641025641025639</v>
      </c>
      <c r="K39" t="s">
        <v>632</v>
      </c>
      <c r="L39" s="330">
        <v>0.19444444444444445</v>
      </c>
      <c r="M39" s="330">
        <v>0.19444444444444445</v>
      </c>
      <c r="N39" s="330">
        <v>0.20416666666666666</v>
      </c>
      <c r="O39" s="97">
        <f>(Table8[[#This Row],[Work Start TimeStamp]]-Table8[[#This Row],[Fault Start TimeStamp]])*24</f>
        <v>0</v>
      </c>
      <c r="P39" s="97">
        <f>IF(Table8[[#This Row],[Work Start TimeStamp]]="","",(Table8[[#This Row],[Fault Clearance time]]-Table8[[#This Row],[Work Start TimeStamp]])*24)</f>
        <v>0.23333333333333317</v>
      </c>
      <c r="Q39" s="97">
        <f>(Table8[[#This Row],[Fault Clearance time]]-Table8[[#This Row],[Fault Start TimeStamp]])*24</f>
        <v>0.23333333333333317</v>
      </c>
      <c r="R39" t="s">
        <v>623</v>
      </c>
      <c r="S39" t="s">
        <v>463</v>
      </c>
      <c r="T39" s="130">
        <f>IFERROR(Table8[[#This Row],[Breakdown Time]]*Table8[[#This Row],[Plant Equivalent Weightage]],"")</f>
        <v>5.9829059829059783E-2</v>
      </c>
      <c r="U39" t="s">
        <v>470</v>
      </c>
      <c r="V39" s="107">
        <v>1702</v>
      </c>
      <c r="W39" t="s">
        <v>621</v>
      </c>
    </row>
    <row r="40" spans="1:23">
      <c r="A40" s="105">
        <f t="shared" si="0"/>
        <v>39</v>
      </c>
      <c r="B40">
        <f>YEAR(Table8[[#This Row],[Date]])+IF(MONTH(Table8[[#This Row],[Date]])&gt;=4,1,0)</f>
        <v>2026</v>
      </c>
      <c r="C40" s="105">
        <f>YEAR(Table6[[#This Row],[Date]])</f>
        <v>2025</v>
      </c>
      <c r="D40" s="105" t="s">
        <v>461</v>
      </c>
      <c r="E40" s="119">
        <f>Table8[[#This Row],[Date]]-DAY(Table8[[#This Row],[Date]])+1</f>
        <v>45809</v>
      </c>
      <c r="F40" s="118">
        <v>45812</v>
      </c>
      <c r="G40" t="s">
        <v>618</v>
      </c>
      <c r="H40" t="s">
        <v>484</v>
      </c>
      <c r="I40" t="s">
        <v>485</v>
      </c>
      <c r="J40" s="329">
        <f>IFERROR(_xlfn.XLOOKUP(Table8[[#This Row],[Affected Feeder ]],'Basic Data'!$A:$A,'Basic Data'!$E:$E),"")</f>
        <v>0.23076923076923078</v>
      </c>
      <c r="K40" t="s">
        <v>1214</v>
      </c>
      <c r="L40" s="330">
        <v>0.4375</v>
      </c>
      <c r="M40" s="330">
        <v>0.4375</v>
      </c>
      <c r="N40" s="330">
        <v>0.59097222222222223</v>
      </c>
      <c r="O40" s="97">
        <f>(Table8[[#This Row],[Work Start TimeStamp]]-Table8[[#This Row],[Fault Start TimeStamp]])*24</f>
        <v>0</v>
      </c>
      <c r="P40" s="97">
        <f>IF(Table8[[#This Row],[Work Start TimeStamp]]="","",(Table8[[#This Row],[Fault Clearance time]]-Table8[[#This Row],[Work Start TimeStamp]])*24)</f>
        <v>3.6833333333333336</v>
      </c>
      <c r="Q40" s="97">
        <f>(Table8[[#This Row],[Fault Clearance time]]-Table8[[#This Row],[Fault Start TimeStamp]])*24</f>
        <v>3.6833333333333336</v>
      </c>
      <c r="R40" t="s">
        <v>1170</v>
      </c>
      <c r="S40" t="s">
        <v>463</v>
      </c>
      <c r="T40" s="130">
        <f>IFERROR(Table8[[#This Row],[Breakdown Time]]*Table8[[#This Row],[Plant Equivalent Weightage]],"")</f>
        <v>0.85000000000000009</v>
      </c>
      <c r="U40" t="s">
        <v>471</v>
      </c>
      <c r="V40" s="107">
        <v>8121.7500000000009</v>
      </c>
      <c r="W40" t="s">
        <v>621</v>
      </c>
    </row>
    <row r="41" spans="1:23">
      <c r="A41" s="105">
        <f t="shared" si="0"/>
        <v>40</v>
      </c>
      <c r="B41">
        <f>YEAR(Table8[[#This Row],[Date]])+IF(MONTH(Table8[[#This Row],[Date]])&gt;=4,1,0)</f>
        <v>2026</v>
      </c>
      <c r="C41" s="105">
        <f>YEAR(Table6[[#This Row],[Date]])</f>
        <v>2025</v>
      </c>
      <c r="D41" s="105" t="s">
        <v>461</v>
      </c>
      <c r="E41" s="119">
        <f>Table8[[#This Row],[Date]]-DAY(Table8[[#This Row],[Date]])+1</f>
        <v>45809</v>
      </c>
      <c r="F41" s="118">
        <v>45812</v>
      </c>
      <c r="G41" t="s">
        <v>619</v>
      </c>
      <c r="H41" t="s">
        <v>484</v>
      </c>
      <c r="I41" t="s">
        <v>485</v>
      </c>
      <c r="J41" s="329">
        <f>IFERROR(_xlfn.XLOOKUP(Table8[[#This Row],[Affected Feeder ]],'Basic Data'!$A:$A,'Basic Data'!$E:$E),"")</f>
        <v>0.25641025641025639</v>
      </c>
      <c r="K41" t="s">
        <v>1215</v>
      </c>
      <c r="L41" s="330">
        <v>0.4375</v>
      </c>
      <c r="M41" s="330">
        <v>0.4375</v>
      </c>
      <c r="N41" s="330">
        <v>0.59097222222222223</v>
      </c>
      <c r="O41" s="97">
        <f>(Table8[[#This Row],[Work Start TimeStamp]]-Table8[[#This Row],[Fault Start TimeStamp]])*24</f>
        <v>0</v>
      </c>
      <c r="P41" s="97">
        <f>IF(Table8[[#This Row],[Work Start TimeStamp]]="","",(Table8[[#This Row],[Fault Clearance time]]-Table8[[#This Row],[Work Start TimeStamp]])*24)</f>
        <v>3.6833333333333336</v>
      </c>
      <c r="Q41" s="97">
        <f>(Table8[[#This Row],[Fault Clearance time]]-Table8[[#This Row],[Fault Start TimeStamp]])*24</f>
        <v>3.6833333333333336</v>
      </c>
      <c r="R41" t="s">
        <v>1170</v>
      </c>
      <c r="S41" t="s">
        <v>463</v>
      </c>
      <c r="T41" s="130">
        <f>IFERROR(Table8[[#This Row],[Breakdown Time]]*Table8[[#This Row],[Plant Equivalent Weightage]],"")</f>
        <v>0.94444444444444442</v>
      </c>
      <c r="U41" t="s">
        <v>471</v>
      </c>
      <c r="V41" s="107">
        <v>8594.4444444444453</v>
      </c>
      <c r="W41" t="s">
        <v>621</v>
      </c>
    </row>
    <row r="42" spans="1:23">
      <c r="A42" s="105">
        <f t="shared" si="0"/>
        <v>41</v>
      </c>
      <c r="B42">
        <f>YEAR(Table8[[#This Row],[Date]])+IF(MONTH(Table8[[#This Row],[Date]])&gt;=4,1,0)</f>
        <v>2026</v>
      </c>
      <c r="C42" s="105">
        <f>YEAR(Table6[[#This Row],[Date]])</f>
        <v>2025</v>
      </c>
      <c r="D42" s="105" t="s">
        <v>461</v>
      </c>
      <c r="E42" s="119">
        <f>Table8[[#This Row],[Date]]-DAY(Table8[[#This Row],[Date]])+1</f>
        <v>45809</v>
      </c>
      <c r="F42" s="118">
        <v>45812</v>
      </c>
      <c r="G42" t="s">
        <v>620</v>
      </c>
      <c r="H42" t="s">
        <v>484</v>
      </c>
      <c r="I42" t="s">
        <v>485</v>
      </c>
      <c r="J42" s="329">
        <f>IFERROR(_xlfn.XLOOKUP(Table8[[#This Row],[Affected Feeder ]],'Basic Data'!$A:$A,'Basic Data'!$E:$E),"")</f>
        <v>0.25641025641025639</v>
      </c>
      <c r="K42" t="s">
        <v>632</v>
      </c>
      <c r="L42" s="330">
        <v>0.60763888888888884</v>
      </c>
      <c r="M42" s="330">
        <v>0.60763888888888884</v>
      </c>
      <c r="N42" s="330">
        <v>0.61805555555555558</v>
      </c>
      <c r="O42" s="97">
        <f>(Table8[[#This Row],[Work Start TimeStamp]]-Table8[[#This Row],[Fault Start TimeStamp]])*24</f>
        <v>0</v>
      </c>
      <c r="P42" s="97">
        <f>IF(Table8[[#This Row],[Work Start TimeStamp]]="","",(Table8[[#This Row],[Fault Clearance time]]-Table8[[#This Row],[Work Start TimeStamp]])*24)</f>
        <v>0.25000000000000178</v>
      </c>
      <c r="Q42" s="97">
        <f>(Table8[[#This Row],[Fault Clearance time]]-Table8[[#This Row],[Fault Start TimeStamp]])*24</f>
        <v>0.25000000000000178</v>
      </c>
      <c r="R42" t="s">
        <v>623</v>
      </c>
      <c r="S42" t="s">
        <v>463</v>
      </c>
      <c r="T42" s="130">
        <f>IFERROR(Table8[[#This Row],[Breakdown Time]]*Table8[[#This Row],[Plant Equivalent Weightage]],"")</f>
        <v>6.4102564102564555E-2</v>
      </c>
      <c r="U42" t="s">
        <v>469</v>
      </c>
      <c r="V42" s="107">
        <v>312.50000000000222</v>
      </c>
      <c r="W42" t="s">
        <v>621</v>
      </c>
    </row>
    <row r="43" spans="1:23">
      <c r="A43" s="105">
        <f t="shared" si="0"/>
        <v>42</v>
      </c>
      <c r="B43">
        <f>YEAR(Table8[[#This Row],[Date]])+IF(MONTH(Table8[[#This Row],[Date]])&gt;=4,1,0)</f>
        <v>2026</v>
      </c>
      <c r="C43" s="105">
        <f>YEAR(Table6[[#This Row],[Date]])</f>
        <v>2025</v>
      </c>
      <c r="D43" s="105" t="s">
        <v>461</v>
      </c>
      <c r="E43" s="119">
        <f>Table8[[#This Row],[Date]]-DAY(Table8[[#This Row],[Date]])+1</f>
        <v>45809</v>
      </c>
      <c r="F43" s="118">
        <v>45812</v>
      </c>
      <c r="G43" t="s">
        <v>620</v>
      </c>
      <c r="H43" t="s">
        <v>484</v>
      </c>
      <c r="I43" t="s">
        <v>485</v>
      </c>
      <c r="J43" s="329">
        <f>IFERROR(_xlfn.XLOOKUP(Table8[[#This Row],[Affected Feeder ]],'Basic Data'!$A:$A,'Basic Data'!$E:$E),"")</f>
        <v>0.25641025641025639</v>
      </c>
      <c r="K43" t="s">
        <v>1216</v>
      </c>
      <c r="L43" s="330">
        <v>0.6875</v>
      </c>
      <c r="M43" s="330">
        <v>0.6875</v>
      </c>
      <c r="N43" s="330">
        <v>0.87152777777777779</v>
      </c>
      <c r="O43" s="97">
        <f>(Table8[[#This Row],[Work Start TimeStamp]]-Table8[[#This Row],[Fault Start TimeStamp]])*24</f>
        <v>0</v>
      </c>
      <c r="P43" s="97">
        <f>IF(Table8[[#This Row],[Work Start TimeStamp]]="","",(Table8[[#This Row],[Fault Clearance time]]-Table8[[#This Row],[Work Start TimeStamp]])*24)</f>
        <v>4.416666666666667</v>
      </c>
      <c r="Q43" s="97">
        <f>(Table8[[#This Row],[Fault Clearance time]]-Table8[[#This Row],[Fault Start TimeStamp]])*24</f>
        <v>4.416666666666667</v>
      </c>
      <c r="R43" t="s">
        <v>1217</v>
      </c>
      <c r="S43" t="s">
        <v>463</v>
      </c>
      <c r="T43" s="130">
        <f>IFERROR(Table8[[#This Row],[Breakdown Time]]*Table8[[#This Row],[Plant Equivalent Weightage]],"")</f>
        <v>1.1324786324786325</v>
      </c>
      <c r="U43" t="s">
        <v>469</v>
      </c>
      <c r="V43" s="107">
        <v>5520.8333333333339</v>
      </c>
      <c r="W43" t="s">
        <v>621</v>
      </c>
    </row>
    <row r="44" spans="1:23">
      <c r="A44" s="105">
        <f t="shared" si="0"/>
        <v>43</v>
      </c>
      <c r="B44">
        <f>YEAR(Table8[[#This Row],[Date]])+IF(MONTH(Table8[[#This Row],[Date]])&gt;=4,1,0)</f>
        <v>2026</v>
      </c>
      <c r="C44" s="105">
        <f>YEAR(Table6[[#This Row],[Date]])</f>
        <v>2025</v>
      </c>
      <c r="D44" s="105" t="s">
        <v>461</v>
      </c>
      <c r="E44" s="119">
        <f>Table8[[#This Row],[Date]]-DAY(Table8[[#This Row],[Date]])+1</f>
        <v>45809</v>
      </c>
      <c r="F44" s="118">
        <v>45816</v>
      </c>
      <c r="G44" t="s">
        <v>620</v>
      </c>
      <c r="H44" t="s">
        <v>484</v>
      </c>
      <c r="I44" t="s">
        <v>485</v>
      </c>
      <c r="J44" s="329">
        <f>IFERROR(_xlfn.XLOOKUP(Table8[[#This Row],[Affected Feeder ]],'Basic Data'!$A:$A,'Basic Data'!$E:$E),"")</f>
        <v>0.25641025641025639</v>
      </c>
      <c r="K44" t="s">
        <v>632</v>
      </c>
      <c r="L44" s="330">
        <v>0.28402777777777777</v>
      </c>
      <c r="M44" s="330">
        <v>0.28402777777777777</v>
      </c>
      <c r="N44" s="330">
        <v>0.28541666666666665</v>
      </c>
      <c r="O44" s="97">
        <f>(Table8[[#This Row],[Work Start TimeStamp]]-Table8[[#This Row],[Fault Start TimeStamp]])*24</f>
        <v>0</v>
      </c>
      <c r="P44" s="97">
        <f>IF(Table8[[#This Row],[Work Start TimeStamp]]="","",(Table8[[#This Row],[Fault Clearance time]]-Table8[[#This Row],[Work Start TimeStamp]])*24)</f>
        <v>3.3333333333333215E-2</v>
      </c>
      <c r="Q44" s="97">
        <f>(Table8[[#This Row],[Fault Clearance time]]-Table8[[#This Row],[Fault Start TimeStamp]])*24</f>
        <v>3.3333333333333215E-2</v>
      </c>
      <c r="R44" t="s">
        <v>623</v>
      </c>
      <c r="S44" t="s">
        <v>463</v>
      </c>
      <c r="T44" s="130">
        <f>IFERROR(Table8[[#This Row],[Breakdown Time]]*Table8[[#This Row],[Plant Equivalent Weightage]],"")</f>
        <v>8.5470085470085166E-3</v>
      </c>
      <c r="U44" t="s">
        <v>470</v>
      </c>
      <c r="V44" s="107">
        <v>179.16666666666603</v>
      </c>
      <c r="W44" t="s">
        <v>621</v>
      </c>
    </row>
    <row r="45" spans="1:23">
      <c r="A45" s="105">
        <f t="shared" si="0"/>
        <v>44</v>
      </c>
      <c r="B45">
        <f>YEAR(Table8[[#This Row],[Date]])+IF(MONTH(Table8[[#This Row],[Date]])&gt;=4,1,0)</f>
        <v>2026</v>
      </c>
      <c r="C45" s="105">
        <f>YEAR(Table6[[#This Row],[Date]])</f>
        <v>2025</v>
      </c>
      <c r="D45" s="105" t="s">
        <v>461</v>
      </c>
      <c r="E45" s="119">
        <f>Table8[[#This Row],[Date]]-DAY(Table8[[#This Row],[Date]])+1</f>
        <v>45809</v>
      </c>
      <c r="F45" s="118">
        <v>45816</v>
      </c>
      <c r="G45" t="s">
        <v>620</v>
      </c>
      <c r="H45" t="s">
        <v>484</v>
      </c>
      <c r="I45" t="s">
        <v>485</v>
      </c>
      <c r="J45" s="329">
        <f>IFERROR(_xlfn.XLOOKUP(Table8[[#This Row],[Affected Feeder ]],'Basic Data'!$A:$A,'Basic Data'!$E:$E),"")</f>
        <v>0.25641025641025639</v>
      </c>
      <c r="K45" t="s">
        <v>1226</v>
      </c>
      <c r="L45" s="330">
        <v>0.79305555555555551</v>
      </c>
      <c r="M45" s="330">
        <v>0.79305555555555551</v>
      </c>
      <c r="N45" s="330">
        <v>0.87847222222222221</v>
      </c>
      <c r="O45" s="97">
        <f>(Table8[[#This Row],[Work Start TimeStamp]]-Table8[[#This Row],[Fault Start TimeStamp]])*24</f>
        <v>0</v>
      </c>
      <c r="P45" s="97">
        <f>IF(Table8[[#This Row],[Work Start TimeStamp]]="","",(Table8[[#This Row],[Fault Clearance time]]-Table8[[#This Row],[Work Start TimeStamp]])*24)</f>
        <v>2.0500000000000007</v>
      </c>
      <c r="Q45" s="97">
        <f>(Table8[[#This Row],[Fault Clearance time]]-Table8[[#This Row],[Fault Start TimeStamp]])*24</f>
        <v>2.0500000000000007</v>
      </c>
      <c r="R45" t="s">
        <v>1225</v>
      </c>
      <c r="S45" t="s">
        <v>463</v>
      </c>
      <c r="T45" s="130">
        <f>IFERROR(Table8[[#This Row],[Breakdown Time]]*Table8[[#This Row],[Plant Equivalent Weightage]],"")</f>
        <v>0.52564102564102577</v>
      </c>
      <c r="U45" t="s">
        <v>470</v>
      </c>
      <c r="V45" s="107">
        <v>11018.750000000004</v>
      </c>
      <c r="W45" t="s">
        <v>621</v>
      </c>
    </row>
    <row r="46" spans="1:23">
      <c r="A46" s="105">
        <f t="shared" si="0"/>
        <v>45</v>
      </c>
      <c r="B46">
        <f>YEAR(Table8[[#This Row],[Date]])+IF(MONTH(Table8[[#This Row],[Date]])&gt;=4,1,0)</f>
        <v>2026</v>
      </c>
      <c r="C46" s="105">
        <f>YEAR(Table6[[#This Row],[Date]])</f>
        <v>2025</v>
      </c>
      <c r="D46" s="105" t="s">
        <v>461</v>
      </c>
      <c r="E46" s="119">
        <f>Table8[[#This Row],[Date]]-DAY(Table8[[#This Row],[Date]])+1</f>
        <v>45809</v>
      </c>
      <c r="F46" s="118">
        <v>45819</v>
      </c>
      <c r="G46" t="s">
        <v>618</v>
      </c>
      <c r="H46" t="s">
        <v>484</v>
      </c>
      <c r="I46" t="s">
        <v>485</v>
      </c>
      <c r="J46" s="329">
        <f>IFERROR(_xlfn.XLOOKUP(Table8[[#This Row],[Affected Feeder ]],'Basic Data'!$A:$A,'Basic Data'!$E:$E),"")</f>
        <v>0.23076923076923078</v>
      </c>
      <c r="K46" t="s">
        <v>1237</v>
      </c>
      <c r="L46" s="330">
        <v>0.69236111111111109</v>
      </c>
      <c r="M46" s="330">
        <v>0.69236111111111109</v>
      </c>
      <c r="N46" s="330">
        <v>0.69791666666666663</v>
      </c>
      <c r="O46" s="97">
        <f>(Table8[[#This Row],[Work Start TimeStamp]]-Table8[[#This Row],[Fault Start TimeStamp]])*24</f>
        <v>0</v>
      </c>
      <c r="P46" s="97">
        <f>IF(Table8[[#This Row],[Work Start TimeStamp]]="","",(Table8[[#This Row],[Fault Clearance time]]-Table8[[#This Row],[Work Start TimeStamp]])*24)</f>
        <v>0.13333333333333286</v>
      </c>
      <c r="Q46" s="97">
        <f>(Table8[[#This Row],[Fault Clearance time]]-Table8[[#This Row],[Fault Start TimeStamp]])*24</f>
        <v>0.13333333333333286</v>
      </c>
      <c r="R46" t="s">
        <v>623</v>
      </c>
      <c r="S46" t="s">
        <v>463</v>
      </c>
      <c r="T46" s="130">
        <f>IFERROR(Table8[[#This Row],[Breakdown Time]]*Table8[[#This Row],[Plant Equivalent Weightage]],"")</f>
        <v>3.076923076923066E-2</v>
      </c>
      <c r="U46" t="s">
        <v>470</v>
      </c>
      <c r="V46" s="107">
        <v>527</v>
      </c>
      <c r="W46" t="s">
        <v>621</v>
      </c>
    </row>
    <row r="47" spans="1:23">
      <c r="A47" s="105">
        <f t="shared" si="0"/>
        <v>46</v>
      </c>
      <c r="B47">
        <f>YEAR(Table8[[#This Row],[Date]])+IF(MONTH(Table8[[#This Row],[Date]])&gt;=4,1,0)</f>
        <v>2026</v>
      </c>
      <c r="C47" s="105">
        <f>YEAR(Table6[[#This Row],[Date]])</f>
        <v>2025</v>
      </c>
      <c r="D47" s="105" t="s">
        <v>461</v>
      </c>
      <c r="E47" s="119">
        <f>Table8[[#This Row],[Date]]-DAY(Table8[[#This Row],[Date]])+1</f>
        <v>45809</v>
      </c>
      <c r="F47" s="118">
        <v>45821</v>
      </c>
      <c r="G47" t="s">
        <v>630</v>
      </c>
      <c r="H47" t="s">
        <v>484</v>
      </c>
      <c r="I47" t="s">
        <v>485</v>
      </c>
      <c r="J47" s="329">
        <f>IFERROR(_xlfn.XLOOKUP(Table8[[#This Row],[Affected Feeder ]],'Basic Data'!$A:$A,'Basic Data'!$E:$E),"")</f>
        <v>0.15384615384615385</v>
      </c>
      <c r="K47" t="s">
        <v>1241</v>
      </c>
      <c r="L47" s="330">
        <v>0.67361111111111116</v>
      </c>
      <c r="M47" s="330">
        <v>0.67361111111111116</v>
      </c>
      <c r="N47" s="330">
        <v>0.69791666666666663</v>
      </c>
      <c r="O47" s="97">
        <f>(Table8[[#This Row],[Work Start TimeStamp]]-Table8[[#This Row],[Fault Start TimeStamp]])*24</f>
        <v>0</v>
      </c>
      <c r="P47" s="97">
        <f>IF(Table8[[#This Row],[Work Start TimeStamp]]="","",(Table8[[#This Row],[Fault Clearance time]]-Table8[[#This Row],[Work Start TimeStamp]])*24)</f>
        <v>0.58333333333333126</v>
      </c>
      <c r="Q47" s="97">
        <f>(Table8[[#This Row],[Fault Clearance time]]-Table8[[#This Row],[Fault Start TimeStamp]])*24</f>
        <v>0.58333333333333126</v>
      </c>
      <c r="R47" t="s">
        <v>1242</v>
      </c>
      <c r="S47" t="s">
        <v>463</v>
      </c>
      <c r="T47" s="130">
        <f>IFERROR(Table8[[#This Row],[Breakdown Time]]*Table8[[#This Row],[Plant Equivalent Weightage]],"")</f>
        <v>8.9743589743589425E-2</v>
      </c>
      <c r="U47" t="s">
        <v>469</v>
      </c>
      <c r="V47" s="107">
        <v>437</v>
      </c>
      <c r="W47" t="s">
        <v>621</v>
      </c>
    </row>
    <row r="48" spans="1:23">
      <c r="A48" s="105">
        <f t="shared" si="0"/>
        <v>47</v>
      </c>
      <c r="B48">
        <f>YEAR(Table8[[#This Row],[Date]])+IF(MONTH(Table8[[#This Row],[Date]])&gt;=4,1,0)</f>
        <v>2026</v>
      </c>
      <c r="C48" s="105">
        <f>YEAR(Table6[[#This Row],[Date]])</f>
        <v>2025</v>
      </c>
      <c r="D48" s="105" t="s">
        <v>461</v>
      </c>
      <c r="E48" s="119">
        <f>Table8[[#This Row],[Date]]-DAY(Table8[[#This Row],[Date]])+1</f>
        <v>45809</v>
      </c>
      <c r="F48" s="118">
        <v>45824</v>
      </c>
      <c r="G48" t="s">
        <v>620</v>
      </c>
      <c r="H48" t="s">
        <v>484</v>
      </c>
      <c r="I48" t="s">
        <v>485</v>
      </c>
      <c r="J48" s="329">
        <f>IFERROR(_xlfn.XLOOKUP(Table8[[#This Row],[Affected Feeder ]],'Basic Data'!$A:$A,'Basic Data'!$E:$E),"")</f>
        <v>0.25641025641025639</v>
      </c>
      <c r="K48" t="s">
        <v>632</v>
      </c>
      <c r="L48" s="330">
        <v>0.27361111111111114</v>
      </c>
      <c r="M48" s="330">
        <v>0.27361111111111114</v>
      </c>
      <c r="N48" s="330">
        <v>0.27638888888888891</v>
      </c>
      <c r="O48" s="97">
        <f>(Table8[[#This Row],[Work Start TimeStamp]]-Table8[[#This Row],[Fault Start TimeStamp]])*24</f>
        <v>0</v>
      </c>
      <c r="P48" s="97">
        <f>IF(Table8[[#This Row],[Work Start TimeStamp]]="","",(Table8[[#This Row],[Fault Clearance time]]-Table8[[#This Row],[Work Start TimeStamp]])*24)</f>
        <v>6.666666666666643E-2</v>
      </c>
      <c r="Q48" s="97">
        <f>(Table8[[#This Row],[Fault Clearance time]]-Table8[[#This Row],[Fault Start TimeStamp]])*24</f>
        <v>6.666666666666643E-2</v>
      </c>
      <c r="R48" t="s">
        <v>623</v>
      </c>
      <c r="S48" t="s">
        <v>463</v>
      </c>
      <c r="T48" s="130">
        <f>IFERROR(Table8[[#This Row],[Breakdown Time]]*Table8[[#This Row],[Plant Equivalent Weightage]],"")</f>
        <v>1.7094017094017033E-2</v>
      </c>
      <c r="U48" t="s">
        <v>470</v>
      </c>
      <c r="V48" s="107">
        <v>539</v>
      </c>
      <c r="W48" t="s">
        <v>621</v>
      </c>
    </row>
    <row r="49" spans="1:23">
      <c r="A49" s="105">
        <f t="shared" si="0"/>
        <v>48</v>
      </c>
      <c r="B49">
        <f>YEAR(Table8[[#This Row],[Date]])+IF(MONTH(Table8[[#This Row],[Date]])&gt;=4,1,0)</f>
        <v>2026</v>
      </c>
      <c r="C49" s="105">
        <f>YEAR(Table6[[#This Row],[Date]])</f>
        <v>2025</v>
      </c>
      <c r="D49" s="105" t="s">
        <v>461</v>
      </c>
      <c r="E49" s="119">
        <f>Table8[[#This Row],[Date]]-DAY(Table8[[#This Row],[Date]])+1</f>
        <v>45809</v>
      </c>
      <c r="F49" s="118">
        <v>45826</v>
      </c>
      <c r="G49" t="s">
        <v>617</v>
      </c>
      <c r="H49" t="s">
        <v>484</v>
      </c>
      <c r="I49" t="s">
        <v>485</v>
      </c>
      <c r="J49" s="329">
        <f>IFERROR(_xlfn.XLOOKUP(Table8[[#This Row],[Affected Feeder ]],'Basic Data'!$A:$A,'Basic Data'!$E:$E),"")</f>
        <v>0.25641025641025639</v>
      </c>
      <c r="K49" t="s">
        <v>1259</v>
      </c>
      <c r="L49" s="330">
        <v>0.53055555555555556</v>
      </c>
      <c r="M49" s="330">
        <v>0.53055555555555556</v>
      </c>
      <c r="N49" s="330">
        <v>0.53402777777777777</v>
      </c>
      <c r="O49" s="97">
        <f>(Table8[[#This Row],[Work Start TimeStamp]]-Table8[[#This Row],[Fault Start TimeStamp]])*24</f>
        <v>0</v>
      </c>
      <c r="P49" s="97">
        <f>IF(Table8[[#This Row],[Work Start TimeStamp]]="","",(Table8[[#This Row],[Fault Clearance time]]-Table8[[#This Row],[Work Start TimeStamp]])*24)</f>
        <v>8.3333333333333037E-2</v>
      </c>
      <c r="Q49" s="97">
        <f>(Table8[[#This Row],[Fault Clearance time]]-Table8[[#This Row],[Fault Start TimeStamp]])*24</f>
        <v>8.3333333333333037E-2</v>
      </c>
      <c r="R49" t="s">
        <v>623</v>
      </c>
      <c r="S49" t="s">
        <v>463</v>
      </c>
      <c r="T49" s="130">
        <f>IFERROR(Table8[[#This Row],[Breakdown Time]]*Table8[[#This Row],[Plant Equivalent Weightage]],"")</f>
        <v>2.1367521367521288E-2</v>
      </c>
      <c r="U49" t="s">
        <v>470</v>
      </c>
      <c r="V49" s="107">
        <v>935</v>
      </c>
      <c r="W49" t="s">
        <v>621</v>
      </c>
    </row>
    <row r="50" spans="1:23">
      <c r="A50" s="105">
        <f t="shared" si="0"/>
        <v>49</v>
      </c>
      <c r="B50">
        <f>YEAR(Table8[[#This Row],[Date]])+IF(MONTH(Table8[[#This Row],[Date]])&gt;=4,1,0)</f>
        <v>2026</v>
      </c>
      <c r="C50" s="105">
        <f>YEAR(Table6[[#This Row],[Date]])</f>
        <v>2025</v>
      </c>
      <c r="D50" s="105" t="s">
        <v>461</v>
      </c>
      <c r="E50" s="119">
        <f>Table8[[#This Row],[Date]]-DAY(Table8[[#This Row],[Date]])+1</f>
        <v>45809</v>
      </c>
      <c r="F50" s="118">
        <v>45833</v>
      </c>
      <c r="G50" t="s">
        <v>619</v>
      </c>
      <c r="H50" t="s">
        <v>484</v>
      </c>
      <c r="I50" t="s">
        <v>485</v>
      </c>
      <c r="J50" s="329">
        <f>IFERROR(_xlfn.XLOOKUP(Table8[[#This Row],[Affected Feeder ]],'Basic Data'!$A:$A,'Basic Data'!$E:$E),"")</f>
        <v>0.25641025641025639</v>
      </c>
      <c r="K50" t="s">
        <v>1300</v>
      </c>
      <c r="L50" s="330">
        <v>0.51736111111111116</v>
      </c>
      <c r="M50" s="330">
        <v>0.51736111111111116</v>
      </c>
      <c r="N50" s="330">
        <v>0.57638888888888884</v>
      </c>
      <c r="O50" s="97">
        <f>(Table8[[#This Row],[Work Start TimeStamp]]-Table8[[#This Row],[Fault Start TimeStamp]])*24</f>
        <v>0</v>
      </c>
      <c r="P50" s="97">
        <f>IF(Table8[[#This Row],[Work Start TimeStamp]]="","",(Table8[[#This Row],[Fault Clearance time]]-Table8[[#This Row],[Work Start TimeStamp]])*24)</f>
        <v>1.4166666666666643</v>
      </c>
      <c r="Q50" s="97">
        <f>(Table8[[#This Row],[Fault Clearance time]]-Table8[[#This Row],[Fault Start TimeStamp]])*24</f>
        <v>1.4166666666666643</v>
      </c>
      <c r="R50" t="s">
        <v>1301</v>
      </c>
      <c r="S50" t="s">
        <v>463</v>
      </c>
      <c r="T50" s="130">
        <f>IFERROR(Table8[[#This Row],[Breakdown Time]]*Table8[[#This Row],[Plant Equivalent Weightage]],"")</f>
        <v>0.36324786324786262</v>
      </c>
      <c r="U50" t="s">
        <v>469</v>
      </c>
      <c r="V50" s="107">
        <v>12070</v>
      </c>
      <c r="W50" t="s">
        <v>625</v>
      </c>
    </row>
    <row r="51" spans="1:23">
      <c r="A51" s="105">
        <f t="shared" si="0"/>
        <v>50</v>
      </c>
      <c r="B51">
        <f>YEAR(Table8[[#This Row],[Date]])+IF(MONTH(Table8[[#This Row],[Date]])&gt;=4,1,0)</f>
        <v>2026</v>
      </c>
      <c r="C51" s="105">
        <f>YEAR(Table6[[#This Row],[Date]])</f>
        <v>2025</v>
      </c>
      <c r="D51" s="105" t="s">
        <v>461</v>
      </c>
      <c r="E51" s="119">
        <f>Table8[[#This Row],[Date]]-DAY(Table8[[#This Row],[Date]])+1</f>
        <v>45809</v>
      </c>
      <c r="F51" s="118">
        <v>45833</v>
      </c>
      <c r="G51" t="s">
        <v>618</v>
      </c>
      <c r="H51" t="s">
        <v>484</v>
      </c>
      <c r="I51" t="s">
        <v>485</v>
      </c>
      <c r="J51" s="329">
        <f>IFERROR(_xlfn.XLOOKUP(Table8[[#This Row],[Affected Feeder ]],'Basic Data'!$A:$A,'Basic Data'!$E:$E),"")</f>
        <v>0.23076923076923078</v>
      </c>
      <c r="K51" t="s">
        <v>1300</v>
      </c>
      <c r="L51" s="330">
        <v>0.51736111111111116</v>
      </c>
      <c r="M51" s="330">
        <v>0.51736111111111116</v>
      </c>
      <c r="N51" s="330">
        <v>0.57638888888888884</v>
      </c>
      <c r="O51" s="97">
        <f>(Table8[[#This Row],[Work Start TimeStamp]]-Table8[[#This Row],[Fault Start TimeStamp]])*24</f>
        <v>0</v>
      </c>
      <c r="P51" s="97">
        <f>IF(Table8[[#This Row],[Work Start TimeStamp]]="","",(Table8[[#This Row],[Fault Clearance time]]-Table8[[#This Row],[Work Start TimeStamp]])*24)</f>
        <v>1.4166666666666643</v>
      </c>
      <c r="Q51" s="97">
        <f>(Table8[[#This Row],[Fault Clearance time]]-Table8[[#This Row],[Fault Start TimeStamp]])*24</f>
        <v>1.4166666666666643</v>
      </c>
      <c r="R51" t="s">
        <v>1301</v>
      </c>
      <c r="S51" t="s">
        <v>463</v>
      </c>
      <c r="T51" s="130">
        <f>IFERROR(Table8[[#This Row],[Breakdown Time]]*Table8[[#This Row],[Plant Equivalent Weightage]],"")</f>
        <v>0.32692307692307637</v>
      </c>
      <c r="U51" t="s">
        <v>469</v>
      </c>
      <c r="V51" s="107">
        <v>10160</v>
      </c>
      <c r="W51" t="s">
        <v>625</v>
      </c>
    </row>
    <row r="52" spans="1:23">
      <c r="A52" s="105">
        <f t="shared" si="0"/>
        <v>51</v>
      </c>
      <c r="B52">
        <f>YEAR(Table8[[#This Row],[Date]])+IF(MONTH(Table8[[#This Row],[Date]])&gt;=4,1,0)</f>
        <v>2026</v>
      </c>
      <c r="C52" s="105">
        <f>YEAR(Table6[[#This Row],[Date]])</f>
        <v>2025</v>
      </c>
      <c r="D52" s="105" t="s">
        <v>461</v>
      </c>
      <c r="E52" s="119">
        <f>Table8[[#This Row],[Date]]-DAY(Table8[[#This Row],[Date]])+1</f>
        <v>45839</v>
      </c>
      <c r="F52" s="118">
        <v>45843</v>
      </c>
      <c r="G52" t="s">
        <v>618</v>
      </c>
      <c r="H52" t="s">
        <v>484</v>
      </c>
      <c r="I52" t="s">
        <v>485</v>
      </c>
      <c r="J52" s="329">
        <f>IFERROR(_xlfn.XLOOKUP(Table8[[#This Row],[Affected Feeder ]],'Basic Data'!$A:$A,'Basic Data'!$E:$E),"")</f>
        <v>0.23076923076923078</v>
      </c>
      <c r="K52" t="s">
        <v>1332</v>
      </c>
      <c r="L52" s="330">
        <v>0.48194444444444445</v>
      </c>
      <c r="M52" s="330">
        <v>0.48194444444444445</v>
      </c>
      <c r="N52" s="330">
        <v>0.53749999999999998</v>
      </c>
      <c r="O52" s="97">
        <f>(Table8[[#This Row],[Work Start TimeStamp]]-Table8[[#This Row],[Fault Start TimeStamp]])*24</f>
        <v>0</v>
      </c>
      <c r="P52" s="97">
        <f>IF(Table8[[#This Row],[Work Start TimeStamp]]="","",(Table8[[#This Row],[Fault Clearance time]]-Table8[[#This Row],[Work Start TimeStamp]])*24)</f>
        <v>1.3333333333333326</v>
      </c>
      <c r="Q52" s="97">
        <f>(Table8[[#This Row],[Fault Clearance time]]-Table8[[#This Row],[Fault Start TimeStamp]])*24</f>
        <v>1.3333333333333326</v>
      </c>
      <c r="R52" t="s">
        <v>639</v>
      </c>
      <c r="S52" t="s">
        <v>463</v>
      </c>
      <c r="T52" s="130">
        <f>IFERROR(Table8[[#This Row],[Breakdown Time]]*Table8[[#This Row],[Plant Equivalent Weightage]],"")</f>
        <v>0.30769230769230754</v>
      </c>
      <c r="U52" t="s">
        <v>469</v>
      </c>
      <c r="V52" s="107">
        <v>9600</v>
      </c>
      <c r="W52" t="s">
        <v>621</v>
      </c>
    </row>
    <row r="53" spans="1:23">
      <c r="A53" s="105">
        <f t="shared" si="0"/>
        <v>52</v>
      </c>
      <c r="B53">
        <f>YEAR(Table8[[#This Row],[Date]])+IF(MONTH(Table8[[#This Row],[Date]])&gt;=4,1,0)</f>
        <v>2026</v>
      </c>
      <c r="C53" s="105">
        <f>YEAR(Table6[[#This Row],[Date]])</f>
        <v>2025</v>
      </c>
      <c r="D53" s="105" t="s">
        <v>461</v>
      </c>
      <c r="E53" s="119">
        <f>Table8[[#This Row],[Date]]-DAY(Table8[[#This Row],[Date]])+1</f>
        <v>45839</v>
      </c>
      <c r="F53" s="118">
        <v>45843</v>
      </c>
      <c r="G53" t="s">
        <v>619</v>
      </c>
      <c r="H53" t="s">
        <v>484</v>
      </c>
      <c r="I53" t="s">
        <v>485</v>
      </c>
      <c r="J53" s="329">
        <f>IFERROR(_xlfn.XLOOKUP(Table8[[#This Row],[Affected Feeder ]],'Basic Data'!$A:$A,'Basic Data'!$E:$E),"")</f>
        <v>0.25641025641025639</v>
      </c>
      <c r="K53" t="s">
        <v>1332</v>
      </c>
      <c r="L53" s="330">
        <v>0.48194444444444445</v>
      </c>
      <c r="M53" s="330">
        <v>0.48194444444444445</v>
      </c>
      <c r="N53" s="330">
        <v>0.53749999999999998</v>
      </c>
      <c r="O53" s="97">
        <f>(Table8[[#This Row],[Work Start TimeStamp]]-Table8[[#This Row],[Fault Start TimeStamp]])*24</f>
        <v>0</v>
      </c>
      <c r="P53" s="97">
        <f>IF(Table8[[#This Row],[Work Start TimeStamp]]="","",(Table8[[#This Row],[Fault Clearance time]]-Table8[[#This Row],[Work Start TimeStamp]])*24)</f>
        <v>1.3333333333333326</v>
      </c>
      <c r="Q53" s="97">
        <f>(Table8[[#This Row],[Fault Clearance time]]-Table8[[#This Row],[Fault Start TimeStamp]])*24</f>
        <v>1.3333333333333326</v>
      </c>
      <c r="R53" t="s">
        <v>639</v>
      </c>
      <c r="S53" t="s">
        <v>463</v>
      </c>
      <c r="T53" s="130">
        <f>IFERROR(Table8[[#This Row],[Breakdown Time]]*Table8[[#This Row],[Plant Equivalent Weightage]],"")</f>
        <v>0.34188034188034166</v>
      </c>
      <c r="U53" t="s">
        <v>469</v>
      </c>
      <c r="V53" s="107">
        <v>10667</v>
      </c>
      <c r="W53" t="s">
        <v>621</v>
      </c>
    </row>
    <row r="54" spans="1:23">
      <c r="A54" s="105">
        <f t="shared" si="0"/>
        <v>53</v>
      </c>
      <c r="B54">
        <f>YEAR(Table8[[#This Row],[Date]])+IF(MONTH(Table8[[#This Row],[Date]])&gt;=4,1,0)</f>
        <v>2026</v>
      </c>
      <c r="C54" s="105">
        <f>YEAR(Table6[[#This Row],[Date]])</f>
        <v>2025</v>
      </c>
      <c r="D54" s="105" t="s">
        <v>461</v>
      </c>
      <c r="E54" s="119">
        <f>Table8[[#This Row],[Date]]-DAY(Table8[[#This Row],[Date]])+1</f>
        <v>45839</v>
      </c>
      <c r="F54" s="118">
        <v>45845</v>
      </c>
      <c r="G54" t="s">
        <v>620</v>
      </c>
      <c r="H54" t="s">
        <v>484</v>
      </c>
      <c r="I54" t="s">
        <v>485</v>
      </c>
      <c r="J54" s="329">
        <f>IFERROR(_xlfn.XLOOKUP(Table8[[#This Row],[Affected Feeder ]],'Basic Data'!$A:$A,'Basic Data'!$E:$E),"")</f>
        <v>0.25641025641025639</v>
      </c>
      <c r="K54" t="s">
        <v>1337</v>
      </c>
      <c r="L54" s="330">
        <v>0.55902777777777779</v>
      </c>
      <c r="M54" s="330">
        <v>0.55902777777777779</v>
      </c>
      <c r="N54" s="330">
        <v>0.56944444444444442</v>
      </c>
      <c r="O54" s="97">
        <f>(Table8[[#This Row],[Work Start TimeStamp]]-Table8[[#This Row],[Fault Start TimeStamp]])*24</f>
        <v>0</v>
      </c>
      <c r="P54" s="97">
        <f>IF(Table8[[#This Row],[Work Start TimeStamp]]="","",(Table8[[#This Row],[Fault Clearance time]]-Table8[[#This Row],[Work Start TimeStamp]])*24)</f>
        <v>0.24999999999999911</v>
      </c>
      <c r="Q54" s="97">
        <f>(Table8[[#This Row],[Fault Clearance time]]-Table8[[#This Row],[Fault Start TimeStamp]])*24</f>
        <v>0.24999999999999911</v>
      </c>
      <c r="R54" t="s">
        <v>1338</v>
      </c>
      <c r="S54" t="s">
        <v>463</v>
      </c>
      <c r="T54" s="130">
        <f>IFERROR(Table8[[#This Row],[Breakdown Time]]*Table8[[#This Row],[Plant Equivalent Weightage]],"")</f>
        <v>6.4102564102563875E-2</v>
      </c>
      <c r="U54" t="s">
        <v>469</v>
      </c>
      <c r="V54" s="107">
        <v>838</v>
      </c>
      <c r="W54" t="s">
        <v>625</v>
      </c>
    </row>
    <row r="55" spans="1:23">
      <c r="A55" s="105">
        <f t="shared" si="0"/>
        <v>54</v>
      </c>
      <c r="B55">
        <f>YEAR(Table8[[#This Row],[Date]])+IF(MONTH(Table8[[#This Row],[Date]])&gt;=4,1,0)</f>
        <v>2026</v>
      </c>
      <c r="C55" s="105">
        <f>YEAR(Table6[[#This Row],[Date]])</f>
        <v>2025</v>
      </c>
      <c r="D55" s="105" t="s">
        <v>461</v>
      </c>
      <c r="E55" s="119">
        <f>Table8[[#This Row],[Date]]-DAY(Table8[[#This Row],[Date]])+1</f>
        <v>45839</v>
      </c>
      <c r="F55" s="118">
        <v>45846</v>
      </c>
      <c r="G55" t="s">
        <v>631</v>
      </c>
      <c r="H55" t="s">
        <v>484</v>
      </c>
      <c r="I55" t="s">
        <v>485</v>
      </c>
      <c r="J55" s="329">
        <f>IFERROR(_xlfn.XLOOKUP(Table8[[#This Row],[Affected Feeder ]],'Basic Data'!$A:$A,'Basic Data'!$E:$E),"")</f>
        <v>0.12820512820512819</v>
      </c>
      <c r="K55" t="s">
        <v>1332</v>
      </c>
      <c r="L55" s="330">
        <v>0.5625</v>
      </c>
      <c r="M55" s="330">
        <v>0.5625</v>
      </c>
      <c r="N55" s="330">
        <v>0.59027777777777779</v>
      </c>
      <c r="O55" s="97">
        <f>(Table8[[#This Row],[Work Start TimeStamp]]-Table8[[#This Row],[Fault Start TimeStamp]])*24</f>
        <v>0</v>
      </c>
      <c r="P55" s="97">
        <f>IF(Table8[[#This Row],[Work Start TimeStamp]]="","",(Table8[[#This Row],[Fault Clearance time]]-Table8[[#This Row],[Work Start TimeStamp]])*24)</f>
        <v>0.66666666666666696</v>
      </c>
      <c r="Q55" s="97">
        <f>(Table8[[#This Row],[Fault Clearance time]]-Table8[[#This Row],[Fault Start TimeStamp]])*24</f>
        <v>0.66666666666666696</v>
      </c>
      <c r="R55" t="s">
        <v>639</v>
      </c>
      <c r="S55" t="s">
        <v>463</v>
      </c>
      <c r="T55" s="130">
        <f>IFERROR(Table8[[#This Row],[Breakdown Time]]*Table8[[#This Row],[Plant Equivalent Weightage]],"")</f>
        <v>8.54700854700855E-2</v>
      </c>
      <c r="U55" t="s">
        <v>469</v>
      </c>
      <c r="V55" s="107">
        <v>5191.6666666666661</v>
      </c>
      <c r="W55" t="s">
        <v>621</v>
      </c>
    </row>
    <row r="56" spans="1:23">
      <c r="A56" s="105">
        <f t="shared" si="0"/>
        <v>55</v>
      </c>
      <c r="B56">
        <f>YEAR(Table8[[#This Row],[Date]])+IF(MONTH(Table8[[#This Row],[Date]])&gt;=4,1,0)</f>
        <v>2026</v>
      </c>
      <c r="C56" s="105">
        <f>YEAR(Table6[[#This Row],[Date]])</f>
        <v>2025</v>
      </c>
      <c r="D56" s="105" t="s">
        <v>461</v>
      </c>
      <c r="E56" s="119">
        <f>Table8[[#This Row],[Date]]-DAY(Table8[[#This Row],[Date]])+1</f>
        <v>45839</v>
      </c>
      <c r="F56" s="118">
        <v>45854</v>
      </c>
      <c r="G56" t="s">
        <v>620</v>
      </c>
      <c r="H56" t="s">
        <v>484</v>
      </c>
      <c r="I56" t="s">
        <v>485</v>
      </c>
      <c r="J56" s="329">
        <f>IFERROR(_xlfn.XLOOKUP(Table8[[#This Row],[Affected Feeder ]],'Basic Data'!$A:$A,'Basic Data'!$E:$E),"")</f>
        <v>0.25641025641025639</v>
      </c>
      <c r="K56" t="s">
        <v>632</v>
      </c>
      <c r="L56" s="330">
        <v>0.85763888888888884</v>
      </c>
      <c r="M56" s="330">
        <v>0.85763888888888884</v>
      </c>
      <c r="N56" s="330">
        <v>0.87361111111111112</v>
      </c>
      <c r="O56" s="97">
        <f>(Table8[[#This Row],[Work Start TimeStamp]]-Table8[[#This Row],[Fault Start TimeStamp]])*24</f>
        <v>0</v>
      </c>
      <c r="P56" s="97">
        <f>IF(Table8[[#This Row],[Work Start TimeStamp]]="","",(Table8[[#This Row],[Fault Clearance time]]-Table8[[#This Row],[Work Start TimeStamp]])*24)</f>
        <v>0.38333333333333464</v>
      </c>
      <c r="Q56" s="97">
        <f>(Table8[[#This Row],[Fault Clearance time]]-Table8[[#This Row],[Fault Start TimeStamp]])*24</f>
        <v>0.38333333333333464</v>
      </c>
      <c r="R56" t="s">
        <v>623</v>
      </c>
      <c r="S56" t="s">
        <v>463</v>
      </c>
      <c r="T56" s="130">
        <f>IFERROR(Table8[[#This Row],[Breakdown Time]]*Table8[[#This Row],[Plant Equivalent Weightage]],"")</f>
        <v>9.8290598290598621E-2</v>
      </c>
      <c r="U56" t="s">
        <v>470</v>
      </c>
      <c r="V56" s="107">
        <v>479</v>
      </c>
      <c r="W56" t="s">
        <v>621</v>
      </c>
    </row>
    <row r="57" spans="1:23">
      <c r="A57" s="105">
        <f t="shared" si="0"/>
        <v>56</v>
      </c>
      <c r="B57">
        <f>YEAR(Table8[[#This Row],[Date]])+IF(MONTH(Table8[[#This Row],[Date]])&gt;=4,1,0)</f>
        <v>2026</v>
      </c>
      <c r="C57" s="105">
        <f>YEAR(Table6[[#This Row],[Date]])</f>
        <v>2025</v>
      </c>
      <c r="D57" s="105" t="s">
        <v>461</v>
      </c>
      <c r="E57" s="119">
        <f>Table8[[#This Row],[Date]]-DAY(Table8[[#This Row],[Date]])+1</f>
        <v>45839</v>
      </c>
      <c r="F57" s="118">
        <v>45855</v>
      </c>
      <c r="G57" t="s">
        <v>618</v>
      </c>
      <c r="H57" t="s">
        <v>484</v>
      </c>
      <c r="I57" t="s">
        <v>485</v>
      </c>
      <c r="J57" s="329">
        <f>IFERROR(_xlfn.XLOOKUP(Table8[[#This Row],[Affected Feeder ]],'Basic Data'!$A:$A,'Basic Data'!$E:$E),"")</f>
        <v>0.23076923076923078</v>
      </c>
      <c r="K57" t="s">
        <v>633</v>
      </c>
      <c r="L57" s="330">
        <v>1.6666666666666666E-2</v>
      </c>
      <c r="M57" s="330">
        <v>1.6666666666666666E-2</v>
      </c>
      <c r="N57" s="330">
        <v>3.7499999999999999E-2</v>
      </c>
      <c r="O57" s="97">
        <f>(Table8[[#This Row],[Work Start TimeStamp]]-Table8[[#This Row],[Fault Start TimeStamp]])*24</f>
        <v>0</v>
      </c>
      <c r="P57" s="97">
        <f>IF(Table8[[#This Row],[Work Start TimeStamp]]="","",(Table8[[#This Row],[Fault Clearance time]]-Table8[[#This Row],[Work Start TimeStamp]])*24)</f>
        <v>0.5</v>
      </c>
      <c r="Q57" s="97">
        <f>(Table8[[#This Row],[Fault Clearance time]]-Table8[[#This Row],[Fault Start TimeStamp]])*24</f>
        <v>0.5</v>
      </c>
      <c r="R57" t="s">
        <v>623</v>
      </c>
      <c r="S57" t="s">
        <v>463</v>
      </c>
      <c r="T57" s="130">
        <f>IFERROR(Table8[[#This Row],[Breakdown Time]]*Table8[[#This Row],[Plant Equivalent Weightage]],"")</f>
        <v>0.11538461538461539</v>
      </c>
      <c r="U57" t="s">
        <v>470</v>
      </c>
      <c r="V57" s="107">
        <v>383</v>
      </c>
      <c r="W57" t="s">
        <v>621</v>
      </c>
    </row>
    <row r="58" spans="1:23">
      <c r="A58" s="105">
        <f t="shared" si="0"/>
        <v>57</v>
      </c>
      <c r="B58">
        <f>YEAR(Table8[[#This Row],[Date]])+IF(MONTH(Table8[[#This Row],[Date]])&gt;=4,1,0)</f>
        <v>2026</v>
      </c>
      <c r="C58" s="105">
        <f>YEAR(Table6[[#This Row],[Date]])</f>
        <v>2025</v>
      </c>
      <c r="D58" s="105" t="s">
        <v>461</v>
      </c>
      <c r="E58" s="119">
        <f>Table8[[#This Row],[Date]]-DAY(Table8[[#This Row],[Date]])+1</f>
        <v>45839</v>
      </c>
      <c r="F58" s="118">
        <v>45856</v>
      </c>
      <c r="G58" t="s">
        <v>620</v>
      </c>
      <c r="H58" t="s">
        <v>484</v>
      </c>
      <c r="I58" t="s">
        <v>485</v>
      </c>
      <c r="J58" s="386">
        <f>IFERROR(_xlfn.XLOOKUP(Table8[[#This Row],[Affected Feeder ]],'Basic Data'!$A:$A,'Basic Data'!$E:$E),"")</f>
        <v>0.25641025641025639</v>
      </c>
      <c r="K58" t="s">
        <v>1226</v>
      </c>
      <c r="L58" s="330">
        <v>0.56527777777777777</v>
      </c>
      <c r="M58" s="330">
        <v>0.56527777777777777</v>
      </c>
      <c r="N58" s="330">
        <v>0.57291666666666663</v>
      </c>
      <c r="O58" s="97">
        <f>(Table8[[#This Row],[Work Start TimeStamp]]-Table8[[#This Row],[Fault Start TimeStamp]])*24</f>
        <v>0</v>
      </c>
      <c r="P58" s="97">
        <f>IF(Table8[[#This Row],[Work Start TimeStamp]]="","",(Table8[[#This Row],[Fault Clearance time]]-Table8[[#This Row],[Work Start TimeStamp]])*24)</f>
        <v>0.18333333333333268</v>
      </c>
      <c r="Q58" s="97">
        <f>(Table8[[#This Row],[Fault Clearance time]]-Table8[[#This Row],[Fault Start TimeStamp]])*24</f>
        <v>0.18333333333333268</v>
      </c>
      <c r="R58" t="s">
        <v>623</v>
      </c>
      <c r="S58" t="s">
        <v>463</v>
      </c>
      <c r="T58" s="130">
        <f>IFERROR(Table8[[#This Row],[Breakdown Time]]*Table8[[#This Row],[Plant Equivalent Weightage]],"")</f>
        <v>4.7008547008546835E-2</v>
      </c>
      <c r="U58" t="s">
        <v>470</v>
      </c>
      <c r="V58" s="107">
        <v>229</v>
      </c>
      <c r="W58" t="s">
        <v>621</v>
      </c>
    </row>
    <row r="59" spans="1:23">
      <c r="A59" s="105">
        <f t="shared" si="0"/>
        <v>58</v>
      </c>
      <c r="B59">
        <f>YEAR(Table8[[#This Row],[Date]])+IF(MONTH(Table8[[#This Row],[Date]])&gt;=4,1,0)</f>
        <v>2026</v>
      </c>
      <c r="C59" s="105">
        <f>YEAR(Table6[[#This Row],[Date]])</f>
        <v>2025</v>
      </c>
      <c r="D59" s="105" t="s">
        <v>461</v>
      </c>
      <c r="E59" s="119">
        <f>Table8[[#This Row],[Date]]-DAY(Table8[[#This Row],[Date]])+1</f>
        <v>45839</v>
      </c>
      <c r="F59" s="118">
        <v>45858</v>
      </c>
      <c r="G59" t="s">
        <v>619</v>
      </c>
      <c r="H59" t="s">
        <v>484</v>
      </c>
      <c r="I59" t="s">
        <v>485</v>
      </c>
      <c r="J59" s="329">
        <f>IFERROR(_xlfn.XLOOKUP(Table8[[#This Row],[Affected Feeder ]],'Basic Data'!$A:$A,'Basic Data'!$E:$E),"")</f>
        <v>0.25641025641025639</v>
      </c>
      <c r="K59" t="s">
        <v>997</v>
      </c>
      <c r="L59" s="330">
        <v>0.94652777777777775</v>
      </c>
      <c r="M59" s="330">
        <v>0.94652777777777775</v>
      </c>
      <c r="N59" s="330">
        <v>0.96805555555555556</v>
      </c>
      <c r="O59" s="97">
        <f>(Table8[[#This Row],[Work Start TimeStamp]]-Table8[[#This Row],[Fault Start TimeStamp]])*24</f>
        <v>0</v>
      </c>
      <c r="P59" s="97">
        <f>IF(Table8[[#This Row],[Work Start TimeStamp]]="","",(Table8[[#This Row],[Fault Clearance time]]-Table8[[#This Row],[Work Start TimeStamp]])*24)</f>
        <v>0.5166666666666675</v>
      </c>
      <c r="Q59" s="97">
        <f>(Table8[[#This Row],[Fault Clearance time]]-Table8[[#This Row],[Fault Start TimeStamp]])*24</f>
        <v>0.5166666666666675</v>
      </c>
      <c r="R59" t="s">
        <v>623</v>
      </c>
      <c r="S59" t="s">
        <v>463</v>
      </c>
      <c r="T59" s="130">
        <f>IFERROR(Table8[[#This Row],[Breakdown Time]]*Table8[[#This Row],[Plant Equivalent Weightage]],"")</f>
        <v>0.13247863247863267</v>
      </c>
      <c r="U59" t="s">
        <v>470</v>
      </c>
      <c r="V59" s="107">
        <v>861</v>
      </c>
      <c r="W59" t="s">
        <v>621</v>
      </c>
    </row>
  </sheetData>
  <phoneticPr fontId="9"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00A1877-3FE7-4023-8693-696BB001B95E}">
          <x14:formula1>
            <xm:f>'Basic Data'!$X$2:$X$5</xm:f>
          </x14:formula1>
          <xm:sqref>U2:U1048576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934F-E993-43FA-902D-78E214BB972C}">
  <dimension ref="A1:AB2"/>
  <sheetViews>
    <sheetView workbookViewId="0">
      <pane xSplit="6" ySplit="1" topLeftCell="G2" activePane="bottomRight" state="frozen"/>
      <selection pane="topRight" activeCell="G1" sqref="G1"/>
      <selection pane="bottomLeft" activeCell="A2" sqref="A2"/>
      <selection pane="bottomRight" activeCell="G3" sqref="G3"/>
    </sheetView>
  </sheetViews>
  <sheetFormatPr defaultRowHeight="15"/>
  <cols>
    <col min="2" max="2" width="11.28515625" customWidth="1"/>
    <col min="3" max="3" width="12.42578125" customWidth="1"/>
    <col min="4" max="4" width="13" customWidth="1"/>
    <col min="6" max="6" width="9.7109375" bestFit="1" customWidth="1"/>
    <col min="7" max="7" width="14.140625" customWidth="1"/>
    <col min="9" max="9" width="10.7109375" customWidth="1"/>
    <col min="10" max="10" width="21.7109375" customWidth="1"/>
    <col min="11" max="11" width="18.7109375" customWidth="1"/>
    <col min="12" max="12" width="14.42578125" customWidth="1"/>
    <col min="13" max="13" width="18" customWidth="1"/>
    <col min="14" max="14" width="18.42578125" customWidth="1"/>
    <col min="15" max="15" width="16.7109375" customWidth="1"/>
    <col min="16" max="16" width="13.140625" customWidth="1"/>
    <col min="17" max="17" width="13.85546875" customWidth="1"/>
    <col min="18" max="18" width="14.42578125" customWidth="1"/>
    <col min="19" max="19" width="11.5703125" customWidth="1"/>
    <col min="21" max="21" width="22.85546875" customWidth="1"/>
    <col min="22" max="23" width="13.42578125" customWidth="1"/>
    <col min="24" max="24" width="22.5703125" customWidth="1"/>
    <col min="25" max="25" width="18.5703125" customWidth="1"/>
    <col min="26" max="26" width="25.5703125" customWidth="1"/>
    <col min="27" max="27" width="8.85546875" customWidth="1"/>
    <col min="28" max="28" width="11.5703125" customWidth="1"/>
  </cols>
  <sheetData>
    <row r="1" spans="1:28" ht="42" customHeight="1">
      <c r="A1" s="324" t="s">
        <v>7</v>
      </c>
      <c r="B1" s="324" t="s">
        <v>3</v>
      </c>
      <c r="C1" s="324" t="s">
        <v>74</v>
      </c>
      <c r="D1" s="324" t="s">
        <v>440</v>
      </c>
      <c r="E1" s="324" t="s">
        <v>385</v>
      </c>
      <c r="F1" s="326" t="s">
        <v>73</v>
      </c>
      <c r="G1" s="324" t="s">
        <v>615</v>
      </c>
      <c r="H1" s="324" t="s">
        <v>442</v>
      </c>
      <c r="I1" s="324" t="s">
        <v>443</v>
      </c>
      <c r="J1" s="324" t="s">
        <v>444</v>
      </c>
      <c r="K1" s="324" t="s">
        <v>447</v>
      </c>
      <c r="L1" s="324" t="s">
        <v>1275</v>
      </c>
      <c r="M1" s="324" t="s">
        <v>448</v>
      </c>
      <c r="N1" s="324" t="s">
        <v>449</v>
      </c>
      <c r="O1" s="324" t="s">
        <v>450</v>
      </c>
      <c r="P1" s="324" t="s">
        <v>451</v>
      </c>
      <c r="Q1" s="324" t="s">
        <v>452</v>
      </c>
      <c r="R1" s="324" t="s">
        <v>453</v>
      </c>
      <c r="S1" s="324" t="s">
        <v>454</v>
      </c>
      <c r="T1" s="324" t="s">
        <v>455</v>
      </c>
      <c r="U1" s="327" t="s">
        <v>456</v>
      </c>
      <c r="V1" s="327" t="s">
        <v>458</v>
      </c>
      <c r="W1" s="24" t="s">
        <v>457</v>
      </c>
      <c r="X1" s="328" t="s">
        <v>1273</v>
      </c>
      <c r="Y1" s="328" t="s">
        <v>1276</v>
      </c>
      <c r="Z1" s="328" t="s">
        <v>1277</v>
      </c>
      <c r="AA1" s="328" t="s">
        <v>459</v>
      </c>
      <c r="AB1" s="328" t="s">
        <v>460</v>
      </c>
    </row>
    <row r="2" spans="1:28">
      <c r="A2" s="105">
        <v>1</v>
      </c>
      <c r="B2" s="105">
        <f>YEAR(Table9[[#This Row],[Date]])+IF(MONTH(Table9[[#This Row],[Date]])&gt;=4,1,0)</f>
        <v>2023</v>
      </c>
      <c r="C2" s="105">
        <v>2025</v>
      </c>
      <c r="D2" s="105" t="s">
        <v>461</v>
      </c>
      <c r="E2" s="119">
        <f>Table9[[#This Row],[Date]]-DAY(Table9[[#This Row],[Date]])+1</f>
        <v>44958</v>
      </c>
      <c r="F2" s="118">
        <v>44958</v>
      </c>
      <c r="G2" t="s">
        <v>648</v>
      </c>
      <c r="H2" t="str">
        <f>IFERROR(_xlfn.XLOOKUP(Table9[[#This Row],[Affected Feeder ]],'Basic Data'!$A:$A,'Basic Data'!$B:$B),"")</f>
        <v>PWEGPL</v>
      </c>
      <c r="I2" t="str">
        <f>IFERROR(_xlfn.XLOOKUP(Table9[[#This Row],[Affected Feeder ]],'Basic Data'!$A:$A,'Basic Data'!$C:$C),"")</f>
        <v>MSEDCL</v>
      </c>
      <c r="J2" s="331">
        <f>IFERROR(_xlfn.XLOOKUP(Table9[[#This Row],[Affected Feeder ]],'Basic Data'!$A:$A,'Basic Data'!$E:$E),"")</f>
        <v>1</v>
      </c>
      <c r="K2" t="s">
        <v>649</v>
      </c>
      <c r="M2" s="332">
        <v>0.73125000000000007</v>
      </c>
      <c r="N2" s="333">
        <v>0.73472222222222217</v>
      </c>
      <c r="O2" s="333">
        <v>0.76527777777777783</v>
      </c>
      <c r="P2" s="25">
        <f>(Table9[[#This Row],[Work Start TimeStamp]]-Table9[[#This Row],[Fault Start TimeStamp]])*24</f>
        <v>8.3333333333330373E-2</v>
      </c>
      <c r="Q2" s="25">
        <f>IF(Table9[[#This Row],[Work Start TimeStamp]]="","",(Table9[[#This Row],[Fault Clearance time]]-Table9[[#This Row],[Work Start TimeStamp]])*24)</f>
        <v>0.73333333333333606</v>
      </c>
      <c r="R2" s="25">
        <f>(Table9[[#This Row],[Fault Clearance time]]-Table9[[#This Row],[Fault Start TimeStamp]])*24</f>
        <v>0.81666666666666643</v>
      </c>
      <c r="S2" s="334" t="s">
        <v>650</v>
      </c>
      <c r="T2" s="1" t="s">
        <v>463</v>
      </c>
      <c r="U2" s="335">
        <f>IFERROR(Table9[[#This Row],[Breakdown Time]]*Table9[[#This Row],[Plant Equivalent Weightage]],"")</f>
        <v>0.81666666666666643</v>
      </c>
      <c r="V2" s="335"/>
      <c r="W2" s="335"/>
      <c r="Z2" s="150">
        <f>IF(Table9[[#This Row],[Breakdown Type]]="Curtailment Order",(((100%*(24-Table9[[#This Row],[Plant Equivalent breakdown]]))+(((Table9[[#This Row],[Curtailment Order imit.]])/50.6)*Table9[[#This Row],[Plant Equivalent breakdown]]))/24),1)</f>
        <v>1</v>
      </c>
    </row>
  </sheetData>
  <dataValidations count="1">
    <dataValidation type="decimal" allowBlank="1" showInputMessage="1" showErrorMessage="1" sqref="Y2" xr:uid="{E2F0BB3A-EA68-41C0-B6E8-1FB3FD2EE3AA}">
      <formula1>0</formula1>
      <formula2>50.6</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ADC7420-B946-4616-946B-5591B64D2179}">
          <x14:formula1>
            <xm:f>'Basic Data'!$Y$2:$Y$5</xm:f>
          </x14:formula1>
          <xm:sqref>V2:W1048576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Y396"/>
  <sheetViews>
    <sheetView topLeftCell="H1" workbookViewId="0">
      <selection activeCell="O14" sqref="O14"/>
    </sheetView>
  </sheetViews>
  <sheetFormatPr defaultColWidth="8.85546875" defaultRowHeight="15"/>
  <cols>
    <col min="1" max="1" width="14.85546875" customWidth="1"/>
    <col min="2" max="2" width="9.42578125" bestFit="1" customWidth="1"/>
    <col min="3" max="3" width="9.7109375" customWidth="1"/>
    <col min="5" max="5" width="24.85546875" bestFit="1" customWidth="1"/>
    <col min="6" max="6" width="9.7109375" customWidth="1"/>
    <col min="10" max="10" width="12.42578125" bestFit="1" customWidth="1"/>
    <col min="11" max="11" width="8.7109375" style="1"/>
    <col min="16" max="16" width="15.85546875" bestFit="1" customWidth="1"/>
    <col min="21" max="21" width="74.140625" bestFit="1" customWidth="1"/>
    <col min="23" max="23" width="27.85546875" bestFit="1" customWidth="1"/>
    <col min="24" max="24" width="26.85546875" bestFit="1" customWidth="1"/>
    <col min="25" max="25" width="26.140625" bestFit="1" customWidth="1"/>
  </cols>
  <sheetData>
    <row r="1" spans="1:25">
      <c r="P1" t="s">
        <v>1269</v>
      </c>
      <c r="T1">
        <v>100</v>
      </c>
      <c r="U1" t="s">
        <v>257</v>
      </c>
      <c r="W1" s="399" t="s">
        <v>458</v>
      </c>
      <c r="X1" s="400"/>
      <c r="Y1" s="400"/>
    </row>
    <row r="2" spans="1:25" ht="15.75" thickBot="1">
      <c r="B2" t="s">
        <v>717</v>
      </c>
      <c r="C2" t="s">
        <v>718</v>
      </c>
      <c r="D2" t="s">
        <v>719</v>
      </c>
      <c r="E2" t="s">
        <v>720</v>
      </c>
      <c r="F2" t="s">
        <v>721</v>
      </c>
      <c r="G2" t="s">
        <v>722</v>
      </c>
      <c r="H2" t="s">
        <v>161</v>
      </c>
      <c r="I2" t="s">
        <v>723</v>
      </c>
      <c r="P2" s="325" t="s">
        <v>1270</v>
      </c>
      <c r="T2">
        <v>101</v>
      </c>
      <c r="U2" t="s">
        <v>724</v>
      </c>
      <c r="W2" s="322" t="s">
        <v>464</v>
      </c>
      <c r="X2" s="322" t="s">
        <v>469</v>
      </c>
      <c r="Y2" s="322" t="s">
        <v>1007</v>
      </c>
    </row>
    <row r="3" spans="1:25" ht="15.75" thickBot="1">
      <c r="A3" t="s">
        <v>115</v>
      </c>
      <c r="B3" s="22" t="s">
        <v>484</v>
      </c>
      <c r="C3" t="s">
        <v>485</v>
      </c>
      <c r="D3" s="1">
        <v>2</v>
      </c>
      <c r="E3" s="23">
        <f>D3/$K$3</f>
        <v>2.564102564102564E-2</v>
      </c>
      <c r="F3" t="s">
        <v>618</v>
      </c>
      <c r="G3" s="83" t="s">
        <v>725</v>
      </c>
      <c r="H3" t="s">
        <v>115</v>
      </c>
      <c r="J3" t="s">
        <v>726</v>
      </c>
      <c r="K3" s="1">
        <v>78</v>
      </c>
      <c r="N3" t="s">
        <v>473</v>
      </c>
      <c r="P3" s="325" t="s">
        <v>230</v>
      </c>
      <c r="T3">
        <v>102</v>
      </c>
      <c r="U3" t="s">
        <v>195</v>
      </c>
      <c r="W3" s="322" t="s">
        <v>465</v>
      </c>
      <c r="X3" s="322" t="s">
        <v>470</v>
      </c>
      <c r="Y3" s="322" t="s">
        <v>1008</v>
      </c>
    </row>
    <row r="4" spans="1:25" ht="15.75" thickBot="1">
      <c r="A4" t="s">
        <v>116</v>
      </c>
      <c r="B4" s="22" t="s">
        <v>484</v>
      </c>
      <c r="C4" t="s">
        <v>485</v>
      </c>
      <c r="D4" s="1">
        <v>2</v>
      </c>
      <c r="E4" s="23">
        <f t="shared" ref="E4:E56" si="0">D4/$K$3</f>
        <v>2.564102564102564E-2</v>
      </c>
      <c r="F4" t="s">
        <v>618</v>
      </c>
      <c r="G4" s="83" t="s">
        <v>725</v>
      </c>
      <c r="H4" t="s">
        <v>116</v>
      </c>
      <c r="N4" t="s">
        <v>463</v>
      </c>
      <c r="P4" s="325" t="s">
        <v>1271</v>
      </c>
      <c r="T4">
        <v>103</v>
      </c>
      <c r="U4" t="s">
        <v>190</v>
      </c>
      <c r="W4" s="322" t="s">
        <v>467</v>
      </c>
      <c r="X4" s="322" t="s">
        <v>471</v>
      </c>
      <c r="Y4" s="322" t="s">
        <v>1009</v>
      </c>
    </row>
    <row r="5" spans="1:25" ht="15.75" thickBot="1">
      <c r="A5" t="s">
        <v>117</v>
      </c>
      <c r="B5" s="22" t="s">
        <v>484</v>
      </c>
      <c r="C5" t="s">
        <v>485</v>
      </c>
      <c r="D5" s="1">
        <v>2</v>
      </c>
      <c r="E5" s="23">
        <f t="shared" si="0"/>
        <v>2.564102564102564E-2</v>
      </c>
      <c r="F5" t="s">
        <v>618</v>
      </c>
      <c r="G5" s="83" t="s">
        <v>725</v>
      </c>
      <c r="H5" t="s">
        <v>117</v>
      </c>
      <c r="P5" s="325"/>
      <c r="T5">
        <v>104</v>
      </c>
      <c r="U5" t="s">
        <v>296</v>
      </c>
      <c r="W5" s="322" t="s">
        <v>1006</v>
      </c>
      <c r="X5" s="322" t="s">
        <v>1210</v>
      </c>
      <c r="Y5" s="322" t="s">
        <v>1211</v>
      </c>
    </row>
    <row r="6" spans="1:25" ht="15.75" thickBot="1">
      <c r="A6" t="s">
        <v>118</v>
      </c>
      <c r="B6" s="22" t="s">
        <v>484</v>
      </c>
      <c r="C6" t="s">
        <v>485</v>
      </c>
      <c r="D6" s="1">
        <v>2</v>
      </c>
      <c r="E6" s="23">
        <f t="shared" si="0"/>
        <v>2.564102564102564E-2</v>
      </c>
      <c r="F6" t="s">
        <v>618</v>
      </c>
      <c r="G6" s="83" t="s">
        <v>725</v>
      </c>
      <c r="H6" t="s">
        <v>118</v>
      </c>
      <c r="T6">
        <v>105</v>
      </c>
      <c r="U6" t="s">
        <v>727</v>
      </c>
      <c r="W6" s="322" t="s">
        <v>1212</v>
      </c>
    </row>
    <row r="7" spans="1:25">
      <c r="A7" t="s">
        <v>119</v>
      </c>
      <c r="B7" s="22" t="s">
        <v>484</v>
      </c>
      <c r="C7" t="s">
        <v>485</v>
      </c>
      <c r="D7" s="1">
        <v>2</v>
      </c>
      <c r="E7" s="23">
        <f t="shared" si="0"/>
        <v>2.564102564102564E-2</v>
      </c>
      <c r="F7" t="s">
        <v>620</v>
      </c>
      <c r="G7" s="83" t="s">
        <v>728</v>
      </c>
      <c r="H7" t="s">
        <v>119</v>
      </c>
      <c r="T7">
        <v>106</v>
      </c>
      <c r="U7" t="s">
        <v>729</v>
      </c>
    </row>
    <row r="8" spans="1:25">
      <c r="A8" t="s">
        <v>120</v>
      </c>
      <c r="B8" s="22" t="s">
        <v>484</v>
      </c>
      <c r="C8" t="s">
        <v>485</v>
      </c>
      <c r="D8" s="1">
        <v>2</v>
      </c>
      <c r="E8" s="23">
        <f t="shared" si="0"/>
        <v>2.564102564102564E-2</v>
      </c>
      <c r="F8" t="s">
        <v>618</v>
      </c>
      <c r="G8" s="83" t="s">
        <v>725</v>
      </c>
      <c r="H8" t="s">
        <v>120</v>
      </c>
      <c r="T8">
        <v>107</v>
      </c>
      <c r="U8" t="s">
        <v>256</v>
      </c>
    </row>
    <row r="9" spans="1:25">
      <c r="A9" t="s">
        <v>121</v>
      </c>
      <c r="B9" s="22" t="s">
        <v>484</v>
      </c>
      <c r="C9" t="s">
        <v>485</v>
      </c>
      <c r="D9" s="1">
        <v>2</v>
      </c>
      <c r="E9" s="23">
        <f t="shared" si="0"/>
        <v>2.564102564102564E-2</v>
      </c>
      <c r="F9" t="s">
        <v>618</v>
      </c>
      <c r="G9" s="83" t="s">
        <v>725</v>
      </c>
      <c r="H9" t="s">
        <v>121</v>
      </c>
      <c r="T9">
        <v>108</v>
      </c>
      <c r="U9" t="s">
        <v>185</v>
      </c>
    </row>
    <row r="10" spans="1:25">
      <c r="A10" t="s">
        <v>122</v>
      </c>
      <c r="B10" s="22" t="s">
        <v>484</v>
      </c>
      <c r="C10" t="s">
        <v>485</v>
      </c>
      <c r="D10" s="1">
        <v>2</v>
      </c>
      <c r="E10" s="23">
        <f t="shared" si="0"/>
        <v>2.564102564102564E-2</v>
      </c>
      <c r="F10" t="s">
        <v>618</v>
      </c>
      <c r="G10" s="83" t="s">
        <v>725</v>
      </c>
      <c r="H10" t="s">
        <v>122</v>
      </c>
      <c r="N10" t="s">
        <v>462</v>
      </c>
      <c r="T10">
        <v>110</v>
      </c>
      <c r="U10" t="s">
        <v>255</v>
      </c>
    </row>
    <row r="11" spans="1:25">
      <c r="A11" t="s">
        <v>123</v>
      </c>
      <c r="B11" s="22" t="s">
        <v>484</v>
      </c>
      <c r="C11" t="s">
        <v>485</v>
      </c>
      <c r="D11" s="1">
        <v>2</v>
      </c>
      <c r="E11" s="23">
        <f t="shared" si="0"/>
        <v>2.564102564102564E-2</v>
      </c>
      <c r="F11" t="s">
        <v>619</v>
      </c>
      <c r="G11" s="83" t="s">
        <v>725</v>
      </c>
      <c r="H11" t="s">
        <v>123</v>
      </c>
      <c r="T11">
        <v>112</v>
      </c>
      <c r="U11" t="s">
        <v>730</v>
      </c>
    </row>
    <row r="12" spans="1:25">
      <c r="A12" t="s">
        <v>124</v>
      </c>
      <c r="B12" s="22" t="s">
        <v>484</v>
      </c>
      <c r="C12" t="s">
        <v>485</v>
      </c>
      <c r="D12" s="1">
        <v>2</v>
      </c>
      <c r="E12" s="23">
        <f t="shared" si="0"/>
        <v>2.564102564102564E-2</v>
      </c>
      <c r="F12" t="s">
        <v>618</v>
      </c>
      <c r="G12" s="83" t="s">
        <v>725</v>
      </c>
      <c r="H12" t="s">
        <v>124</v>
      </c>
      <c r="T12">
        <v>114</v>
      </c>
      <c r="U12" t="s">
        <v>731</v>
      </c>
    </row>
    <row r="13" spans="1:25">
      <c r="A13" t="s">
        <v>125</v>
      </c>
      <c r="B13" s="22" t="s">
        <v>484</v>
      </c>
      <c r="C13" t="s">
        <v>485</v>
      </c>
      <c r="D13" s="1">
        <v>2</v>
      </c>
      <c r="E13" s="23">
        <f t="shared" si="0"/>
        <v>2.564102564102564E-2</v>
      </c>
      <c r="F13" t="s">
        <v>618</v>
      </c>
      <c r="G13" s="83" t="s">
        <v>725</v>
      </c>
      <c r="H13" t="s">
        <v>125</v>
      </c>
      <c r="T13">
        <v>115</v>
      </c>
      <c r="U13" t="s">
        <v>221</v>
      </c>
    </row>
    <row r="14" spans="1:25">
      <c r="A14" t="s">
        <v>126</v>
      </c>
      <c r="B14" s="22" t="s">
        <v>484</v>
      </c>
      <c r="C14" t="s">
        <v>485</v>
      </c>
      <c r="D14" s="1">
        <v>2</v>
      </c>
      <c r="E14" s="23">
        <f t="shared" si="0"/>
        <v>2.564102564102564E-2</v>
      </c>
      <c r="F14" t="s">
        <v>619</v>
      </c>
      <c r="G14" s="83" t="s">
        <v>725</v>
      </c>
      <c r="H14" t="s">
        <v>126</v>
      </c>
      <c r="T14">
        <v>116</v>
      </c>
      <c r="U14" t="s">
        <v>233</v>
      </c>
    </row>
    <row r="15" spans="1:25">
      <c r="A15" t="s">
        <v>127</v>
      </c>
      <c r="B15" s="22" t="s">
        <v>484</v>
      </c>
      <c r="C15" t="s">
        <v>485</v>
      </c>
      <c r="D15" s="1">
        <v>2</v>
      </c>
      <c r="E15" s="23">
        <f t="shared" si="0"/>
        <v>2.564102564102564E-2</v>
      </c>
      <c r="F15" t="s">
        <v>619</v>
      </c>
      <c r="G15" s="83" t="s">
        <v>725</v>
      </c>
      <c r="H15" t="s">
        <v>127</v>
      </c>
      <c r="T15">
        <v>117</v>
      </c>
      <c r="U15" t="s">
        <v>234</v>
      </c>
    </row>
    <row r="16" spans="1:25">
      <c r="A16" t="s">
        <v>128</v>
      </c>
      <c r="B16" s="22" t="s">
        <v>484</v>
      </c>
      <c r="C16" t="s">
        <v>485</v>
      </c>
      <c r="D16" s="1">
        <v>2</v>
      </c>
      <c r="E16" s="23">
        <f t="shared" si="0"/>
        <v>2.564102564102564E-2</v>
      </c>
      <c r="F16" t="s">
        <v>619</v>
      </c>
      <c r="G16" s="83" t="s">
        <v>725</v>
      </c>
      <c r="H16" t="s">
        <v>128</v>
      </c>
      <c r="T16">
        <v>118</v>
      </c>
      <c r="U16" t="s">
        <v>253</v>
      </c>
    </row>
    <row r="17" spans="1:21">
      <c r="A17" t="s">
        <v>129</v>
      </c>
      <c r="B17" s="22" t="s">
        <v>484</v>
      </c>
      <c r="C17" t="s">
        <v>485</v>
      </c>
      <c r="D17" s="1">
        <v>2</v>
      </c>
      <c r="E17" s="23">
        <f t="shared" si="0"/>
        <v>2.564102564102564E-2</v>
      </c>
      <c r="F17" t="s">
        <v>619</v>
      </c>
      <c r="G17" s="83" t="s">
        <v>725</v>
      </c>
      <c r="H17" t="s">
        <v>129</v>
      </c>
      <c r="T17">
        <v>119</v>
      </c>
      <c r="U17" t="s">
        <v>252</v>
      </c>
    </row>
    <row r="18" spans="1:21">
      <c r="A18" t="s">
        <v>130</v>
      </c>
      <c r="B18" s="22" t="s">
        <v>484</v>
      </c>
      <c r="C18" t="s">
        <v>485</v>
      </c>
      <c r="D18" s="1">
        <v>2</v>
      </c>
      <c r="E18" s="23">
        <f t="shared" si="0"/>
        <v>2.564102564102564E-2</v>
      </c>
      <c r="F18" t="s">
        <v>619</v>
      </c>
      <c r="G18" s="83" t="s">
        <v>725</v>
      </c>
      <c r="H18" t="s">
        <v>130</v>
      </c>
      <c r="T18">
        <v>121</v>
      </c>
      <c r="U18" t="s">
        <v>732</v>
      </c>
    </row>
    <row r="19" spans="1:21">
      <c r="A19" t="s">
        <v>131</v>
      </c>
      <c r="B19" s="22" t="s">
        <v>484</v>
      </c>
      <c r="C19" t="s">
        <v>485</v>
      </c>
      <c r="D19" s="1">
        <v>2</v>
      </c>
      <c r="E19" s="23">
        <f t="shared" si="0"/>
        <v>2.564102564102564E-2</v>
      </c>
      <c r="F19" t="s">
        <v>619</v>
      </c>
      <c r="G19" s="83" t="s">
        <v>725</v>
      </c>
      <c r="H19" t="s">
        <v>131</v>
      </c>
      <c r="T19">
        <v>122</v>
      </c>
      <c r="U19" t="s">
        <v>733</v>
      </c>
    </row>
    <row r="20" spans="1:21">
      <c r="A20" t="s">
        <v>132</v>
      </c>
      <c r="B20" s="22" t="s">
        <v>484</v>
      </c>
      <c r="C20" t="s">
        <v>485</v>
      </c>
      <c r="D20" s="1">
        <v>2</v>
      </c>
      <c r="E20" s="23">
        <f t="shared" si="0"/>
        <v>2.564102564102564E-2</v>
      </c>
      <c r="F20" t="s">
        <v>619</v>
      </c>
      <c r="G20" s="83" t="s">
        <v>725</v>
      </c>
      <c r="H20" t="s">
        <v>132</v>
      </c>
      <c r="T20">
        <v>123</v>
      </c>
      <c r="U20" t="s">
        <v>734</v>
      </c>
    </row>
    <row r="21" spans="1:21">
      <c r="A21" t="s">
        <v>133</v>
      </c>
      <c r="B21" s="22" t="s">
        <v>484</v>
      </c>
      <c r="C21" t="s">
        <v>485</v>
      </c>
      <c r="D21" s="1">
        <v>2</v>
      </c>
      <c r="E21" s="23">
        <f t="shared" si="0"/>
        <v>2.564102564102564E-2</v>
      </c>
      <c r="F21" t="s">
        <v>619</v>
      </c>
      <c r="G21" s="83" t="s">
        <v>725</v>
      </c>
      <c r="H21" t="s">
        <v>133</v>
      </c>
      <c r="T21">
        <v>124</v>
      </c>
      <c r="U21" t="s">
        <v>735</v>
      </c>
    </row>
    <row r="22" spans="1:21">
      <c r="A22" t="s">
        <v>134</v>
      </c>
      <c r="B22" s="22" t="s">
        <v>484</v>
      </c>
      <c r="C22" t="s">
        <v>485</v>
      </c>
      <c r="D22" s="1">
        <v>2</v>
      </c>
      <c r="E22" s="23">
        <f t="shared" si="0"/>
        <v>2.564102564102564E-2</v>
      </c>
      <c r="F22" t="s">
        <v>619</v>
      </c>
      <c r="G22" s="83" t="s">
        <v>725</v>
      </c>
      <c r="H22" t="s">
        <v>134</v>
      </c>
      <c r="T22">
        <v>125</v>
      </c>
      <c r="U22" t="s">
        <v>254</v>
      </c>
    </row>
    <row r="23" spans="1:21">
      <c r="A23" t="s">
        <v>135</v>
      </c>
      <c r="B23" s="22" t="s">
        <v>484</v>
      </c>
      <c r="C23" t="s">
        <v>485</v>
      </c>
      <c r="D23" s="1">
        <v>2</v>
      </c>
      <c r="E23" s="23">
        <f t="shared" si="0"/>
        <v>2.564102564102564E-2</v>
      </c>
      <c r="F23" t="s">
        <v>620</v>
      </c>
      <c r="G23" s="83" t="s">
        <v>728</v>
      </c>
      <c r="H23" t="s">
        <v>135</v>
      </c>
      <c r="T23">
        <v>126</v>
      </c>
      <c r="U23" t="s">
        <v>736</v>
      </c>
    </row>
    <row r="24" spans="1:21">
      <c r="A24" t="s">
        <v>136</v>
      </c>
      <c r="B24" s="22" t="s">
        <v>484</v>
      </c>
      <c r="C24" t="s">
        <v>485</v>
      </c>
      <c r="D24" s="1">
        <v>2</v>
      </c>
      <c r="E24" s="23">
        <f t="shared" si="0"/>
        <v>2.564102564102564E-2</v>
      </c>
      <c r="F24" t="s">
        <v>620</v>
      </c>
      <c r="G24" s="83" t="s">
        <v>728</v>
      </c>
      <c r="H24" t="s">
        <v>136</v>
      </c>
      <c r="T24">
        <v>127</v>
      </c>
      <c r="U24" t="s">
        <v>737</v>
      </c>
    </row>
    <row r="25" spans="1:21">
      <c r="A25" t="s">
        <v>137</v>
      </c>
      <c r="B25" s="22" t="s">
        <v>484</v>
      </c>
      <c r="C25" t="s">
        <v>485</v>
      </c>
      <c r="D25" s="1">
        <v>2</v>
      </c>
      <c r="E25" s="23">
        <f t="shared" si="0"/>
        <v>2.564102564102564E-2</v>
      </c>
      <c r="F25" t="s">
        <v>620</v>
      </c>
      <c r="G25" s="83" t="s">
        <v>728</v>
      </c>
      <c r="H25" t="s">
        <v>137</v>
      </c>
      <c r="T25">
        <v>128</v>
      </c>
      <c r="U25" t="s">
        <v>738</v>
      </c>
    </row>
    <row r="26" spans="1:21">
      <c r="A26" t="s">
        <v>138</v>
      </c>
      <c r="B26" s="22" t="s">
        <v>484</v>
      </c>
      <c r="C26" t="s">
        <v>485</v>
      </c>
      <c r="D26" s="1">
        <v>2</v>
      </c>
      <c r="E26" s="23">
        <f t="shared" si="0"/>
        <v>2.564102564102564E-2</v>
      </c>
      <c r="F26" t="s">
        <v>620</v>
      </c>
      <c r="G26" s="83" t="s">
        <v>728</v>
      </c>
      <c r="H26" t="s">
        <v>138</v>
      </c>
      <c r="T26">
        <v>130</v>
      </c>
      <c r="U26" t="s">
        <v>739</v>
      </c>
    </row>
    <row r="27" spans="1:21">
      <c r="A27" t="s">
        <v>139</v>
      </c>
      <c r="B27" s="22" t="s">
        <v>484</v>
      </c>
      <c r="C27" t="s">
        <v>485</v>
      </c>
      <c r="D27" s="1">
        <v>2</v>
      </c>
      <c r="E27" s="23">
        <f t="shared" si="0"/>
        <v>2.564102564102564E-2</v>
      </c>
      <c r="F27" t="s">
        <v>617</v>
      </c>
      <c r="G27" s="83" t="s">
        <v>728</v>
      </c>
      <c r="H27" t="s">
        <v>139</v>
      </c>
      <c r="T27">
        <v>200</v>
      </c>
      <c r="U27" t="s">
        <v>274</v>
      </c>
    </row>
    <row r="28" spans="1:21">
      <c r="A28" t="s">
        <v>140</v>
      </c>
      <c r="B28" s="22" t="s">
        <v>484</v>
      </c>
      <c r="C28" t="s">
        <v>485</v>
      </c>
      <c r="D28" s="1">
        <v>2</v>
      </c>
      <c r="E28" s="23">
        <f t="shared" si="0"/>
        <v>2.564102564102564E-2</v>
      </c>
      <c r="F28" t="s">
        <v>620</v>
      </c>
      <c r="G28" s="83" t="s">
        <v>728</v>
      </c>
      <c r="H28" t="s">
        <v>140</v>
      </c>
      <c r="T28">
        <v>201</v>
      </c>
      <c r="U28" t="s">
        <v>231</v>
      </c>
    </row>
    <row r="29" spans="1:21">
      <c r="A29" t="s">
        <v>141</v>
      </c>
      <c r="B29" s="22" t="s">
        <v>484</v>
      </c>
      <c r="C29" t="s">
        <v>485</v>
      </c>
      <c r="D29" s="1">
        <v>2</v>
      </c>
      <c r="E29" s="23">
        <f t="shared" si="0"/>
        <v>2.564102564102564E-2</v>
      </c>
      <c r="F29" t="s">
        <v>620</v>
      </c>
      <c r="G29" s="83" t="s">
        <v>728</v>
      </c>
      <c r="H29" t="s">
        <v>141</v>
      </c>
      <c r="T29">
        <v>202</v>
      </c>
      <c r="U29" t="s">
        <v>270</v>
      </c>
    </row>
    <row r="30" spans="1:21">
      <c r="A30" t="s">
        <v>142</v>
      </c>
      <c r="B30" s="22" t="s">
        <v>484</v>
      </c>
      <c r="C30" t="s">
        <v>485</v>
      </c>
      <c r="D30" s="1">
        <v>2</v>
      </c>
      <c r="E30" s="23">
        <f t="shared" si="0"/>
        <v>2.564102564102564E-2</v>
      </c>
      <c r="F30" t="s">
        <v>620</v>
      </c>
      <c r="G30" s="83" t="s">
        <v>728</v>
      </c>
      <c r="H30" t="s">
        <v>142</v>
      </c>
      <c r="T30">
        <v>203</v>
      </c>
      <c r="U30" t="s">
        <v>227</v>
      </c>
    </row>
    <row r="31" spans="1:21">
      <c r="A31" t="s">
        <v>143</v>
      </c>
      <c r="B31" s="22" t="s">
        <v>484</v>
      </c>
      <c r="C31" t="s">
        <v>485</v>
      </c>
      <c r="D31" s="1">
        <v>2</v>
      </c>
      <c r="E31" s="23">
        <f t="shared" si="0"/>
        <v>2.564102564102564E-2</v>
      </c>
      <c r="F31" t="s">
        <v>620</v>
      </c>
      <c r="G31" s="83" t="s">
        <v>728</v>
      </c>
      <c r="H31" t="s">
        <v>143</v>
      </c>
      <c r="T31">
        <v>204</v>
      </c>
      <c r="U31" t="s">
        <v>260</v>
      </c>
    </row>
    <row r="32" spans="1:21">
      <c r="A32" t="s">
        <v>144</v>
      </c>
      <c r="B32" s="22" t="s">
        <v>484</v>
      </c>
      <c r="C32" t="s">
        <v>485</v>
      </c>
      <c r="D32" s="1">
        <v>2</v>
      </c>
      <c r="E32" s="23">
        <f t="shared" si="0"/>
        <v>2.564102564102564E-2</v>
      </c>
      <c r="F32" t="s">
        <v>620</v>
      </c>
      <c r="G32" s="83" t="s">
        <v>728</v>
      </c>
      <c r="H32" t="s">
        <v>144</v>
      </c>
      <c r="T32">
        <v>205</v>
      </c>
      <c r="U32" t="s">
        <v>224</v>
      </c>
    </row>
    <row r="33" spans="1:21">
      <c r="A33" t="s">
        <v>145</v>
      </c>
      <c r="B33" s="22" t="s">
        <v>484</v>
      </c>
      <c r="C33" t="s">
        <v>485</v>
      </c>
      <c r="D33" s="1">
        <v>2</v>
      </c>
      <c r="E33" s="23">
        <f t="shared" si="0"/>
        <v>2.564102564102564E-2</v>
      </c>
      <c r="F33" t="s">
        <v>617</v>
      </c>
      <c r="G33" s="83" t="s">
        <v>728</v>
      </c>
      <c r="H33" t="s">
        <v>145</v>
      </c>
      <c r="T33">
        <v>207</v>
      </c>
      <c r="U33" t="s">
        <v>223</v>
      </c>
    </row>
    <row r="34" spans="1:21">
      <c r="A34" t="s">
        <v>146</v>
      </c>
      <c r="B34" s="22" t="s">
        <v>484</v>
      </c>
      <c r="C34" t="s">
        <v>485</v>
      </c>
      <c r="D34" s="1">
        <v>2</v>
      </c>
      <c r="E34" s="23">
        <f t="shared" si="0"/>
        <v>2.564102564102564E-2</v>
      </c>
      <c r="F34" t="s">
        <v>617</v>
      </c>
      <c r="G34" s="83" t="s">
        <v>728</v>
      </c>
      <c r="H34" t="s">
        <v>146</v>
      </c>
      <c r="T34">
        <v>208</v>
      </c>
      <c r="U34" t="s">
        <v>222</v>
      </c>
    </row>
    <row r="35" spans="1:21">
      <c r="A35" t="s">
        <v>147</v>
      </c>
      <c r="B35" s="22" t="s">
        <v>484</v>
      </c>
      <c r="C35" t="s">
        <v>485</v>
      </c>
      <c r="D35" s="1">
        <v>2</v>
      </c>
      <c r="E35" s="23">
        <f t="shared" si="0"/>
        <v>2.564102564102564E-2</v>
      </c>
      <c r="F35" t="s">
        <v>617</v>
      </c>
      <c r="G35" s="83" t="s">
        <v>728</v>
      </c>
      <c r="H35" t="s">
        <v>147</v>
      </c>
      <c r="T35">
        <v>211</v>
      </c>
      <c r="U35" t="s">
        <v>740</v>
      </c>
    </row>
    <row r="36" spans="1:21">
      <c r="A36" t="s">
        <v>148</v>
      </c>
      <c r="B36" s="22" t="s">
        <v>484</v>
      </c>
      <c r="C36" t="s">
        <v>485</v>
      </c>
      <c r="D36" s="1">
        <v>2</v>
      </c>
      <c r="E36" s="23">
        <f t="shared" si="0"/>
        <v>2.564102564102564E-2</v>
      </c>
      <c r="F36" t="s">
        <v>617</v>
      </c>
      <c r="G36" s="83" t="s">
        <v>728</v>
      </c>
      <c r="H36" t="s">
        <v>148</v>
      </c>
      <c r="T36">
        <v>212</v>
      </c>
      <c r="U36" t="s">
        <v>741</v>
      </c>
    </row>
    <row r="37" spans="1:21">
      <c r="A37" t="s">
        <v>149</v>
      </c>
      <c r="B37" s="22" t="s">
        <v>484</v>
      </c>
      <c r="C37" t="s">
        <v>485</v>
      </c>
      <c r="D37" s="1">
        <v>2</v>
      </c>
      <c r="E37" s="23">
        <f t="shared" si="0"/>
        <v>2.564102564102564E-2</v>
      </c>
      <c r="F37" t="s">
        <v>617</v>
      </c>
      <c r="G37" s="83" t="s">
        <v>728</v>
      </c>
      <c r="H37" t="s">
        <v>149</v>
      </c>
      <c r="T37">
        <v>213</v>
      </c>
      <c r="U37" t="s">
        <v>294</v>
      </c>
    </row>
    <row r="38" spans="1:21">
      <c r="A38" t="s">
        <v>150</v>
      </c>
      <c r="B38" s="22" t="s">
        <v>484</v>
      </c>
      <c r="C38" t="s">
        <v>485</v>
      </c>
      <c r="D38" s="1">
        <v>2</v>
      </c>
      <c r="E38" s="23">
        <f t="shared" si="0"/>
        <v>2.564102564102564E-2</v>
      </c>
      <c r="F38" t="s">
        <v>617</v>
      </c>
      <c r="G38" s="83" t="s">
        <v>728</v>
      </c>
      <c r="H38" t="s">
        <v>150</v>
      </c>
      <c r="T38">
        <v>214</v>
      </c>
      <c r="U38" t="s">
        <v>742</v>
      </c>
    </row>
    <row r="39" spans="1:21">
      <c r="A39" t="s">
        <v>151</v>
      </c>
      <c r="B39" s="22" t="s">
        <v>484</v>
      </c>
      <c r="C39" t="s">
        <v>485</v>
      </c>
      <c r="D39" s="1">
        <v>2</v>
      </c>
      <c r="E39" s="23">
        <f t="shared" si="0"/>
        <v>2.564102564102564E-2</v>
      </c>
      <c r="F39" t="s">
        <v>617</v>
      </c>
      <c r="G39" s="83" t="s">
        <v>728</v>
      </c>
      <c r="H39" t="s">
        <v>151</v>
      </c>
      <c r="T39">
        <v>217</v>
      </c>
      <c r="U39" t="s">
        <v>743</v>
      </c>
    </row>
    <row r="40" spans="1:21">
      <c r="A40" t="s">
        <v>152</v>
      </c>
      <c r="B40" s="22" t="s">
        <v>484</v>
      </c>
      <c r="C40" t="s">
        <v>485</v>
      </c>
      <c r="D40" s="1">
        <v>2</v>
      </c>
      <c r="E40" s="23">
        <f t="shared" si="0"/>
        <v>2.564102564102564E-2</v>
      </c>
      <c r="F40" t="s">
        <v>617</v>
      </c>
      <c r="G40" s="83" t="s">
        <v>728</v>
      </c>
      <c r="H40" t="s">
        <v>152</v>
      </c>
      <c r="T40">
        <v>218</v>
      </c>
      <c r="U40" t="s">
        <v>744</v>
      </c>
    </row>
    <row r="41" spans="1:21">
      <c r="A41" t="s">
        <v>153</v>
      </c>
      <c r="B41" s="22" t="s">
        <v>484</v>
      </c>
      <c r="C41" t="s">
        <v>485</v>
      </c>
      <c r="D41" s="1">
        <v>2</v>
      </c>
      <c r="E41" s="23">
        <f t="shared" si="0"/>
        <v>2.564102564102564E-2</v>
      </c>
      <c r="F41" t="s">
        <v>617</v>
      </c>
      <c r="G41" s="83" t="s">
        <v>728</v>
      </c>
      <c r="H41" t="s">
        <v>153</v>
      </c>
      <c r="T41">
        <v>219</v>
      </c>
      <c r="U41" t="s">
        <v>745</v>
      </c>
    </row>
    <row r="42" spans="1:21">
      <c r="A42" t="s">
        <v>617</v>
      </c>
      <c r="B42" s="22" t="s">
        <v>484</v>
      </c>
      <c r="C42" t="s">
        <v>485</v>
      </c>
      <c r="D42" s="1">
        <v>20</v>
      </c>
      <c r="E42" s="23">
        <f t="shared" si="0"/>
        <v>0.25641025641025639</v>
      </c>
      <c r="T42">
        <v>221</v>
      </c>
      <c r="U42" t="s">
        <v>302</v>
      </c>
    </row>
    <row r="43" spans="1:21">
      <c r="A43" t="s">
        <v>629</v>
      </c>
      <c r="B43" s="22" t="s">
        <v>484</v>
      </c>
      <c r="C43" t="s">
        <v>485</v>
      </c>
      <c r="D43" s="1">
        <v>10</v>
      </c>
      <c r="E43" s="23">
        <f t="shared" si="0"/>
        <v>0.12820512820512819</v>
      </c>
    </row>
    <row r="44" spans="1:21">
      <c r="A44" t="s">
        <v>631</v>
      </c>
      <c r="B44" s="22" t="s">
        <v>484</v>
      </c>
      <c r="C44" t="s">
        <v>485</v>
      </c>
      <c r="D44" s="1">
        <v>10</v>
      </c>
      <c r="E44" s="23">
        <f t="shared" si="0"/>
        <v>0.12820512820512819</v>
      </c>
    </row>
    <row r="45" spans="1:21">
      <c r="A45" t="s">
        <v>620</v>
      </c>
      <c r="B45" s="22" t="s">
        <v>484</v>
      </c>
      <c r="C45" t="s">
        <v>485</v>
      </c>
      <c r="D45" s="1">
        <v>20</v>
      </c>
      <c r="E45" s="23">
        <f t="shared" si="0"/>
        <v>0.25641025641025639</v>
      </c>
      <c r="T45">
        <v>222</v>
      </c>
      <c r="U45" t="s">
        <v>248</v>
      </c>
    </row>
    <row r="46" spans="1:21">
      <c r="A46" t="s">
        <v>628</v>
      </c>
      <c r="B46" s="22" t="s">
        <v>484</v>
      </c>
      <c r="C46" t="s">
        <v>485</v>
      </c>
      <c r="D46" s="1">
        <v>8</v>
      </c>
      <c r="E46" s="23">
        <f t="shared" si="0"/>
        <v>0.10256410256410256</v>
      </c>
    </row>
    <row r="47" spans="1:21">
      <c r="A47" t="s">
        <v>630</v>
      </c>
      <c r="B47" s="22" t="s">
        <v>484</v>
      </c>
      <c r="C47" t="s">
        <v>485</v>
      </c>
      <c r="D47" s="1">
        <v>12</v>
      </c>
      <c r="E47" s="23">
        <f t="shared" si="0"/>
        <v>0.15384615384615385</v>
      </c>
    </row>
    <row r="48" spans="1:21">
      <c r="A48" t="s">
        <v>618</v>
      </c>
      <c r="B48" s="22" t="s">
        <v>484</v>
      </c>
      <c r="C48" t="s">
        <v>485</v>
      </c>
      <c r="D48" s="1">
        <v>18</v>
      </c>
      <c r="E48" s="23">
        <f t="shared" si="0"/>
        <v>0.23076923076923078</v>
      </c>
      <c r="T48">
        <v>223</v>
      </c>
      <c r="U48" t="s">
        <v>305</v>
      </c>
    </row>
    <row r="49" spans="1:21">
      <c r="A49" t="s">
        <v>627</v>
      </c>
      <c r="B49" s="22" t="s">
        <v>484</v>
      </c>
      <c r="C49" t="s">
        <v>485</v>
      </c>
      <c r="D49" s="1">
        <v>10</v>
      </c>
      <c r="E49" s="23">
        <f t="shared" si="0"/>
        <v>0.12820512820512819</v>
      </c>
    </row>
    <row r="50" spans="1:21">
      <c r="A50" t="s">
        <v>626</v>
      </c>
      <c r="B50" s="22" t="s">
        <v>484</v>
      </c>
      <c r="C50" t="s">
        <v>485</v>
      </c>
      <c r="D50" s="1">
        <v>8</v>
      </c>
      <c r="E50" s="23">
        <f t="shared" si="0"/>
        <v>0.10256410256410256</v>
      </c>
    </row>
    <row r="51" spans="1:21">
      <c r="A51" t="s">
        <v>619</v>
      </c>
      <c r="B51" s="22" t="s">
        <v>484</v>
      </c>
      <c r="C51" t="s">
        <v>485</v>
      </c>
      <c r="D51" s="1">
        <v>20</v>
      </c>
      <c r="E51" s="23">
        <f t="shared" si="0"/>
        <v>0.25641025641025639</v>
      </c>
      <c r="T51">
        <v>226</v>
      </c>
      <c r="U51" t="s">
        <v>746</v>
      </c>
    </row>
    <row r="52" spans="1:21">
      <c r="A52" t="s">
        <v>622</v>
      </c>
      <c r="B52" s="22" t="s">
        <v>484</v>
      </c>
      <c r="C52" t="s">
        <v>485</v>
      </c>
      <c r="D52" s="1">
        <v>10</v>
      </c>
      <c r="E52" s="23">
        <f t="shared" si="0"/>
        <v>0.12820512820512819</v>
      </c>
    </row>
    <row r="53" spans="1:21">
      <c r="A53" t="s">
        <v>624</v>
      </c>
      <c r="B53" s="22" t="s">
        <v>484</v>
      </c>
      <c r="C53" t="s">
        <v>485</v>
      </c>
      <c r="D53" s="1">
        <v>10</v>
      </c>
      <c r="E53" s="23">
        <f t="shared" si="0"/>
        <v>0.12820512820512819</v>
      </c>
    </row>
    <row r="54" spans="1:21">
      <c r="A54" t="s">
        <v>728</v>
      </c>
      <c r="B54" s="22" t="s">
        <v>484</v>
      </c>
      <c r="C54" t="s">
        <v>485</v>
      </c>
      <c r="D54" s="1">
        <v>40</v>
      </c>
      <c r="E54" s="23">
        <f t="shared" si="0"/>
        <v>0.51282051282051277</v>
      </c>
      <c r="T54">
        <v>227</v>
      </c>
      <c r="U54" t="s">
        <v>747</v>
      </c>
    </row>
    <row r="55" spans="1:21">
      <c r="A55" t="s">
        <v>725</v>
      </c>
      <c r="B55" s="22" t="s">
        <v>484</v>
      </c>
      <c r="C55" t="s">
        <v>485</v>
      </c>
      <c r="D55" s="1">
        <v>38</v>
      </c>
      <c r="E55" s="23">
        <f t="shared" si="0"/>
        <v>0.48717948717948717</v>
      </c>
      <c r="T55">
        <v>228</v>
      </c>
      <c r="U55" t="s">
        <v>748</v>
      </c>
    </row>
    <row r="56" spans="1:21">
      <c r="A56" t="s">
        <v>648</v>
      </c>
      <c r="B56" s="22" t="s">
        <v>484</v>
      </c>
      <c r="C56" t="s">
        <v>485</v>
      </c>
      <c r="D56" s="1">
        <v>78</v>
      </c>
      <c r="E56" s="23">
        <f t="shared" si="0"/>
        <v>1</v>
      </c>
      <c r="T56">
        <v>300</v>
      </c>
      <c r="U56" t="s">
        <v>749</v>
      </c>
    </row>
    <row r="57" spans="1:21">
      <c r="T57">
        <v>302</v>
      </c>
      <c r="U57" t="s">
        <v>750</v>
      </c>
    </row>
    <row r="58" spans="1:21">
      <c r="T58">
        <v>303</v>
      </c>
      <c r="U58" t="s">
        <v>751</v>
      </c>
    </row>
    <row r="59" spans="1:21">
      <c r="T59">
        <v>304</v>
      </c>
      <c r="U59" t="s">
        <v>752</v>
      </c>
    </row>
    <row r="60" spans="1:21">
      <c r="T60">
        <v>305</v>
      </c>
      <c r="U60" t="s">
        <v>753</v>
      </c>
    </row>
    <row r="61" spans="1:21">
      <c r="T61">
        <v>306</v>
      </c>
      <c r="U61" t="s">
        <v>754</v>
      </c>
    </row>
    <row r="62" spans="1:21">
      <c r="T62">
        <v>307</v>
      </c>
      <c r="U62" t="s">
        <v>755</v>
      </c>
    </row>
    <row r="63" spans="1:21">
      <c r="T63">
        <v>309</v>
      </c>
      <c r="U63" t="s">
        <v>756</v>
      </c>
    </row>
    <row r="64" spans="1:21">
      <c r="T64">
        <v>310</v>
      </c>
      <c r="U64" t="s">
        <v>757</v>
      </c>
    </row>
    <row r="65" spans="20:21">
      <c r="T65">
        <v>312</v>
      </c>
      <c r="U65" t="s">
        <v>758</v>
      </c>
    </row>
    <row r="66" spans="20:21">
      <c r="T66">
        <v>313</v>
      </c>
      <c r="U66" t="s">
        <v>247</v>
      </c>
    </row>
    <row r="67" spans="20:21">
      <c r="T67">
        <v>314</v>
      </c>
      <c r="U67" t="s">
        <v>759</v>
      </c>
    </row>
    <row r="68" spans="20:21">
      <c r="T68">
        <v>315</v>
      </c>
      <c r="U68" t="s">
        <v>760</v>
      </c>
    </row>
    <row r="69" spans="20:21">
      <c r="T69">
        <v>317</v>
      </c>
      <c r="U69" t="s">
        <v>761</v>
      </c>
    </row>
    <row r="70" spans="20:21">
      <c r="T70">
        <v>318</v>
      </c>
      <c r="U70" t="s">
        <v>762</v>
      </c>
    </row>
    <row r="71" spans="20:21">
      <c r="T71">
        <v>319</v>
      </c>
      <c r="U71" t="s">
        <v>763</v>
      </c>
    </row>
    <row r="72" spans="20:21">
      <c r="T72">
        <v>320</v>
      </c>
      <c r="U72" t="s">
        <v>764</v>
      </c>
    </row>
    <row r="73" spans="20:21">
      <c r="T73">
        <v>321</v>
      </c>
      <c r="U73" t="s">
        <v>765</v>
      </c>
    </row>
    <row r="74" spans="20:21">
      <c r="T74">
        <v>324</v>
      </c>
      <c r="U74" t="s">
        <v>766</v>
      </c>
    </row>
    <row r="75" spans="20:21">
      <c r="T75">
        <v>325</v>
      </c>
      <c r="U75" t="s">
        <v>767</v>
      </c>
    </row>
    <row r="76" spans="20:21">
      <c r="T76">
        <v>326</v>
      </c>
      <c r="U76" t="s">
        <v>768</v>
      </c>
    </row>
    <row r="77" spans="20:21">
      <c r="T77">
        <v>327</v>
      </c>
      <c r="U77" t="s">
        <v>769</v>
      </c>
    </row>
    <row r="78" spans="20:21">
      <c r="T78">
        <v>341</v>
      </c>
      <c r="U78" t="s">
        <v>770</v>
      </c>
    </row>
    <row r="79" spans="20:21">
      <c r="T79">
        <v>343</v>
      </c>
      <c r="U79" t="s">
        <v>771</v>
      </c>
    </row>
    <row r="80" spans="20:21">
      <c r="T80">
        <v>344</v>
      </c>
      <c r="U80" t="s">
        <v>772</v>
      </c>
    </row>
    <row r="81" spans="20:21">
      <c r="T81">
        <v>345</v>
      </c>
      <c r="U81" t="s">
        <v>773</v>
      </c>
    </row>
    <row r="82" spans="20:21">
      <c r="T82">
        <v>347</v>
      </c>
      <c r="U82" t="s">
        <v>774</v>
      </c>
    </row>
    <row r="83" spans="20:21">
      <c r="T83">
        <v>349</v>
      </c>
      <c r="U83" t="s">
        <v>775</v>
      </c>
    </row>
    <row r="84" spans="20:21">
      <c r="T84">
        <v>352</v>
      </c>
      <c r="U84" t="s">
        <v>776</v>
      </c>
    </row>
    <row r="85" spans="20:21">
      <c r="T85">
        <v>354</v>
      </c>
      <c r="U85" t="s">
        <v>777</v>
      </c>
    </row>
    <row r="86" spans="20:21">
      <c r="T86">
        <v>356</v>
      </c>
      <c r="U86" t="s">
        <v>778</v>
      </c>
    </row>
    <row r="87" spans="20:21">
      <c r="T87">
        <v>357</v>
      </c>
      <c r="U87" t="s">
        <v>779</v>
      </c>
    </row>
    <row r="88" spans="20:21">
      <c r="T88">
        <v>360</v>
      </c>
      <c r="U88" t="s">
        <v>780</v>
      </c>
    </row>
    <row r="89" spans="20:21">
      <c r="T89">
        <v>361</v>
      </c>
      <c r="U89" t="s">
        <v>781</v>
      </c>
    </row>
    <row r="90" spans="20:21">
      <c r="T90">
        <v>362</v>
      </c>
      <c r="U90" t="s">
        <v>782</v>
      </c>
    </row>
    <row r="91" spans="20:21">
      <c r="T91">
        <v>363</v>
      </c>
      <c r="U91" t="s">
        <v>783</v>
      </c>
    </row>
    <row r="92" spans="20:21">
      <c r="T92">
        <v>364</v>
      </c>
      <c r="U92" t="s">
        <v>784</v>
      </c>
    </row>
    <row r="93" spans="20:21">
      <c r="T93">
        <v>365</v>
      </c>
      <c r="U93" t="s">
        <v>785</v>
      </c>
    </row>
    <row r="94" spans="20:21">
      <c r="T94">
        <v>366</v>
      </c>
      <c r="U94" t="s">
        <v>786</v>
      </c>
    </row>
    <row r="95" spans="20:21">
      <c r="T95">
        <v>400</v>
      </c>
      <c r="U95" t="s">
        <v>787</v>
      </c>
    </row>
    <row r="96" spans="20:21">
      <c r="T96" s="92">
        <v>401</v>
      </c>
      <c r="U96" t="s">
        <v>277</v>
      </c>
    </row>
    <row r="97" spans="20:21">
      <c r="T97" s="92">
        <v>402</v>
      </c>
      <c r="U97" t="s">
        <v>268</v>
      </c>
    </row>
    <row r="98" spans="20:21">
      <c r="T98" s="92">
        <v>403</v>
      </c>
      <c r="U98" t="s">
        <v>216</v>
      </c>
    </row>
    <row r="99" spans="20:21">
      <c r="T99" s="92">
        <v>404</v>
      </c>
      <c r="U99" t="s">
        <v>280</v>
      </c>
    </row>
    <row r="100" spans="20:21">
      <c r="T100" s="92">
        <v>405</v>
      </c>
      <c r="U100" t="s">
        <v>240</v>
      </c>
    </row>
    <row r="101" spans="20:21">
      <c r="T101" s="92">
        <v>406</v>
      </c>
      <c r="U101" t="s">
        <v>217</v>
      </c>
    </row>
    <row r="102" spans="20:21">
      <c r="T102" s="92">
        <v>407</v>
      </c>
      <c r="U102" t="s">
        <v>292</v>
      </c>
    </row>
    <row r="103" spans="20:21">
      <c r="T103" s="92">
        <v>408</v>
      </c>
      <c r="U103" t="s">
        <v>788</v>
      </c>
    </row>
    <row r="104" spans="20:21">
      <c r="T104" s="92">
        <v>409</v>
      </c>
      <c r="U104" t="s">
        <v>789</v>
      </c>
    </row>
    <row r="105" spans="20:21">
      <c r="T105" s="92">
        <v>410</v>
      </c>
      <c r="U105" t="s">
        <v>232</v>
      </c>
    </row>
    <row r="106" spans="20:21">
      <c r="T106" s="92">
        <v>411</v>
      </c>
      <c r="U106" t="s">
        <v>790</v>
      </c>
    </row>
    <row r="107" spans="20:21">
      <c r="T107" s="92">
        <v>412</v>
      </c>
      <c r="U107" t="s">
        <v>208</v>
      </c>
    </row>
    <row r="108" spans="20:21">
      <c r="T108" s="92">
        <v>413</v>
      </c>
      <c r="U108" t="s">
        <v>298</v>
      </c>
    </row>
    <row r="109" spans="20:21">
      <c r="T109" s="92">
        <v>414</v>
      </c>
      <c r="U109" t="s">
        <v>791</v>
      </c>
    </row>
    <row r="110" spans="20:21">
      <c r="T110" s="92">
        <v>415</v>
      </c>
      <c r="U110" t="s">
        <v>792</v>
      </c>
    </row>
    <row r="111" spans="20:21">
      <c r="T111">
        <v>416</v>
      </c>
      <c r="U111" t="s">
        <v>249</v>
      </c>
    </row>
    <row r="112" spans="20:21">
      <c r="T112" s="92">
        <v>417</v>
      </c>
      <c r="U112" t="s">
        <v>793</v>
      </c>
    </row>
    <row r="113" spans="20:21">
      <c r="T113" s="92">
        <v>418</v>
      </c>
      <c r="U113" t="s">
        <v>794</v>
      </c>
    </row>
    <row r="114" spans="20:21">
      <c r="T114" s="92">
        <v>419</v>
      </c>
      <c r="U114" t="s">
        <v>795</v>
      </c>
    </row>
    <row r="115" spans="20:21">
      <c r="T115" s="92">
        <v>421</v>
      </c>
      <c r="U115" t="s">
        <v>281</v>
      </c>
    </row>
    <row r="116" spans="20:21">
      <c r="T116" s="92">
        <v>422</v>
      </c>
      <c r="U116" t="s">
        <v>796</v>
      </c>
    </row>
    <row r="117" spans="20:21">
      <c r="T117" s="92">
        <v>423</v>
      </c>
      <c r="U117" t="s">
        <v>797</v>
      </c>
    </row>
    <row r="118" spans="20:21">
      <c r="T118" s="92">
        <v>424</v>
      </c>
      <c r="U118" t="s">
        <v>798</v>
      </c>
    </row>
    <row r="119" spans="20:21">
      <c r="T119" s="92">
        <v>425</v>
      </c>
      <c r="U119" t="s">
        <v>799</v>
      </c>
    </row>
    <row r="120" spans="20:21">
      <c r="T120" s="92">
        <v>426</v>
      </c>
      <c r="U120" t="s">
        <v>242</v>
      </c>
    </row>
    <row r="121" spans="20:21">
      <c r="T121" s="92">
        <v>427</v>
      </c>
      <c r="U121" t="s">
        <v>800</v>
      </c>
    </row>
    <row r="122" spans="20:21">
      <c r="T122" s="92">
        <v>429</v>
      </c>
      <c r="U122" t="s">
        <v>262</v>
      </c>
    </row>
    <row r="123" spans="20:21">
      <c r="T123" s="92">
        <v>430</v>
      </c>
      <c r="U123" t="s">
        <v>295</v>
      </c>
    </row>
    <row r="124" spans="20:21">
      <c r="T124" s="92">
        <v>431</v>
      </c>
      <c r="U124" t="s">
        <v>801</v>
      </c>
    </row>
    <row r="125" spans="20:21">
      <c r="T125" s="92">
        <v>432</v>
      </c>
      <c r="U125" t="s">
        <v>802</v>
      </c>
    </row>
    <row r="126" spans="20:21">
      <c r="T126" s="92">
        <v>433</v>
      </c>
      <c r="U126" t="s">
        <v>284</v>
      </c>
    </row>
    <row r="127" spans="20:21">
      <c r="T127" s="92">
        <v>434</v>
      </c>
      <c r="U127" t="s">
        <v>803</v>
      </c>
    </row>
    <row r="128" spans="20:21">
      <c r="T128" s="92">
        <v>435</v>
      </c>
      <c r="U128" t="s">
        <v>804</v>
      </c>
    </row>
    <row r="129" spans="20:21">
      <c r="T129" s="92">
        <v>441</v>
      </c>
      <c r="U129" t="s">
        <v>300</v>
      </c>
    </row>
    <row r="130" spans="20:21">
      <c r="T130" s="92">
        <v>442</v>
      </c>
      <c r="U130" t="s">
        <v>805</v>
      </c>
    </row>
    <row r="131" spans="20:21">
      <c r="T131" s="92">
        <v>444</v>
      </c>
      <c r="U131" t="s">
        <v>209</v>
      </c>
    </row>
    <row r="132" spans="20:21">
      <c r="T132" s="92">
        <v>445</v>
      </c>
      <c r="U132" t="s">
        <v>806</v>
      </c>
    </row>
    <row r="133" spans="20:21">
      <c r="T133" s="92">
        <v>446</v>
      </c>
      <c r="U133" t="s">
        <v>807</v>
      </c>
    </row>
    <row r="134" spans="20:21">
      <c r="T134" s="92">
        <v>447</v>
      </c>
      <c r="U134" t="s">
        <v>808</v>
      </c>
    </row>
    <row r="135" spans="20:21">
      <c r="T135" s="92">
        <v>448</v>
      </c>
      <c r="U135" t="s">
        <v>809</v>
      </c>
    </row>
    <row r="136" spans="20:21">
      <c r="T136" s="93">
        <v>500</v>
      </c>
      <c r="U136" t="s">
        <v>218</v>
      </c>
    </row>
    <row r="137" spans="20:21">
      <c r="T137" s="93">
        <v>501</v>
      </c>
      <c r="U137" t="s">
        <v>275</v>
      </c>
    </row>
    <row r="138" spans="20:21">
      <c r="T138" s="93">
        <v>502</v>
      </c>
      <c r="U138" t="s">
        <v>211</v>
      </c>
    </row>
    <row r="139" spans="20:21">
      <c r="T139" s="93">
        <v>506</v>
      </c>
      <c r="U139" t="s">
        <v>810</v>
      </c>
    </row>
    <row r="140" spans="20:21">
      <c r="T140" s="93">
        <v>507</v>
      </c>
      <c r="U140" t="s">
        <v>276</v>
      </c>
    </row>
    <row r="141" spans="20:21">
      <c r="T141" s="93">
        <v>509</v>
      </c>
      <c r="U141" t="s">
        <v>212</v>
      </c>
    </row>
    <row r="142" spans="20:21">
      <c r="T142" s="93">
        <v>514</v>
      </c>
      <c r="U142" t="s">
        <v>811</v>
      </c>
    </row>
    <row r="143" spans="20:21">
      <c r="T143" s="93">
        <v>515</v>
      </c>
      <c r="U143" t="s">
        <v>812</v>
      </c>
    </row>
    <row r="144" spans="20:21">
      <c r="T144" s="93">
        <v>516</v>
      </c>
      <c r="U144" t="s">
        <v>813</v>
      </c>
    </row>
    <row r="145" spans="20:21">
      <c r="T145" s="93">
        <v>517</v>
      </c>
      <c r="U145" t="s">
        <v>814</v>
      </c>
    </row>
    <row r="146" spans="20:21">
      <c r="T146" s="93">
        <v>518</v>
      </c>
      <c r="U146" t="s">
        <v>815</v>
      </c>
    </row>
    <row r="147" spans="20:21">
      <c r="T147">
        <v>519</v>
      </c>
      <c r="U147" t="s">
        <v>816</v>
      </c>
    </row>
    <row r="148" spans="20:21">
      <c r="T148">
        <v>523</v>
      </c>
      <c r="U148" t="s">
        <v>220</v>
      </c>
    </row>
    <row r="149" spans="20:21">
      <c r="T149">
        <v>524</v>
      </c>
      <c r="U149" t="s">
        <v>306</v>
      </c>
    </row>
    <row r="150" spans="20:21">
      <c r="T150">
        <v>525</v>
      </c>
      <c r="U150" t="s">
        <v>817</v>
      </c>
    </row>
    <row r="151" spans="20:21">
      <c r="T151">
        <v>526</v>
      </c>
      <c r="U151" t="s">
        <v>818</v>
      </c>
    </row>
    <row r="152" spans="20:21">
      <c r="T152">
        <v>527</v>
      </c>
      <c r="U152" t="s">
        <v>819</v>
      </c>
    </row>
    <row r="153" spans="20:21">
      <c r="T153">
        <v>528</v>
      </c>
      <c r="U153" t="s">
        <v>820</v>
      </c>
    </row>
    <row r="154" spans="20:21">
      <c r="T154">
        <v>530</v>
      </c>
      <c r="U154" t="s">
        <v>821</v>
      </c>
    </row>
    <row r="155" spans="20:21">
      <c r="T155">
        <v>532</v>
      </c>
      <c r="U155" t="s">
        <v>822</v>
      </c>
    </row>
    <row r="156" spans="20:21">
      <c r="T156">
        <v>533</v>
      </c>
      <c r="U156" t="s">
        <v>823</v>
      </c>
    </row>
    <row r="157" spans="20:21">
      <c r="T157">
        <v>534</v>
      </c>
      <c r="U157" t="s">
        <v>824</v>
      </c>
    </row>
    <row r="158" spans="20:21">
      <c r="T158">
        <v>537</v>
      </c>
      <c r="U158" t="s">
        <v>301</v>
      </c>
    </row>
    <row r="159" spans="20:21">
      <c r="T159">
        <v>538</v>
      </c>
      <c r="U159" t="s">
        <v>193</v>
      </c>
    </row>
    <row r="160" spans="20:21">
      <c r="T160">
        <v>539</v>
      </c>
      <c r="U160" t="s">
        <v>825</v>
      </c>
    </row>
    <row r="161" spans="20:21">
      <c r="T161">
        <v>550</v>
      </c>
      <c r="U161" t="s">
        <v>210</v>
      </c>
    </row>
    <row r="162" spans="20:21">
      <c r="T162">
        <v>551</v>
      </c>
      <c r="U162" t="s">
        <v>826</v>
      </c>
    </row>
    <row r="163" spans="20:21">
      <c r="T163">
        <v>552</v>
      </c>
      <c r="U163" t="s">
        <v>250</v>
      </c>
    </row>
    <row r="164" spans="20:21">
      <c r="T164">
        <v>565</v>
      </c>
      <c r="U164" t="s">
        <v>827</v>
      </c>
    </row>
    <row r="165" spans="20:21">
      <c r="T165">
        <v>566</v>
      </c>
      <c r="U165" t="s">
        <v>828</v>
      </c>
    </row>
    <row r="166" spans="20:21">
      <c r="T166">
        <v>567</v>
      </c>
      <c r="U166" t="s">
        <v>829</v>
      </c>
    </row>
    <row r="167" spans="20:21">
      <c r="T167">
        <v>568</v>
      </c>
      <c r="U167" t="s">
        <v>830</v>
      </c>
    </row>
    <row r="168" spans="20:21">
      <c r="T168">
        <v>571</v>
      </c>
      <c r="U168" t="s">
        <v>831</v>
      </c>
    </row>
    <row r="169" spans="20:21">
      <c r="T169">
        <v>572</v>
      </c>
      <c r="U169" t="s">
        <v>832</v>
      </c>
    </row>
    <row r="170" spans="20:21">
      <c r="T170">
        <v>573</v>
      </c>
      <c r="U170" t="s">
        <v>833</v>
      </c>
    </row>
    <row r="171" spans="20:21">
      <c r="T171">
        <v>574</v>
      </c>
      <c r="U171" t="s">
        <v>834</v>
      </c>
    </row>
    <row r="172" spans="20:21">
      <c r="T172">
        <v>575</v>
      </c>
      <c r="U172" t="s">
        <v>835</v>
      </c>
    </row>
    <row r="173" spans="20:21">
      <c r="T173">
        <v>576</v>
      </c>
      <c r="U173" t="s">
        <v>836</v>
      </c>
    </row>
    <row r="174" spans="20:21">
      <c r="T174">
        <v>577</v>
      </c>
      <c r="U174" t="s">
        <v>261</v>
      </c>
    </row>
    <row r="175" spans="20:21">
      <c r="T175">
        <v>600</v>
      </c>
      <c r="U175" t="s">
        <v>837</v>
      </c>
    </row>
    <row r="176" spans="20:21">
      <c r="T176">
        <v>601</v>
      </c>
      <c r="U176" t="s">
        <v>838</v>
      </c>
    </row>
    <row r="177" spans="20:21">
      <c r="T177">
        <v>602</v>
      </c>
      <c r="U177" t="s">
        <v>839</v>
      </c>
    </row>
    <row r="178" spans="20:21">
      <c r="T178">
        <v>603</v>
      </c>
      <c r="U178" t="s">
        <v>291</v>
      </c>
    </row>
    <row r="179" spans="20:21">
      <c r="T179">
        <v>609</v>
      </c>
      <c r="U179" t="s">
        <v>840</v>
      </c>
    </row>
    <row r="180" spans="20:21">
      <c r="T180">
        <v>610</v>
      </c>
      <c r="U180" t="s">
        <v>841</v>
      </c>
    </row>
    <row r="181" spans="20:21">
      <c r="T181">
        <v>611</v>
      </c>
      <c r="U181" t="s">
        <v>842</v>
      </c>
    </row>
    <row r="182" spans="20:21">
      <c r="T182">
        <v>612</v>
      </c>
      <c r="U182" t="s">
        <v>843</v>
      </c>
    </row>
    <row r="183" spans="20:21">
      <c r="T183">
        <v>613</v>
      </c>
      <c r="U183" t="s">
        <v>844</v>
      </c>
    </row>
    <row r="184" spans="20:21">
      <c r="T184">
        <v>615</v>
      </c>
      <c r="U184" t="s">
        <v>845</v>
      </c>
    </row>
    <row r="185" spans="20:21">
      <c r="T185">
        <v>616</v>
      </c>
      <c r="U185" t="s">
        <v>846</v>
      </c>
    </row>
    <row r="186" spans="20:21">
      <c r="T186">
        <v>619</v>
      </c>
      <c r="U186" t="s">
        <v>847</v>
      </c>
    </row>
    <row r="187" spans="20:21">
      <c r="T187">
        <v>621</v>
      </c>
      <c r="U187" t="s">
        <v>287</v>
      </c>
    </row>
    <row r="188" spans="20:21">
      <c r="T188">
        <v>622</v>
      </c>
      <c r="U188" t="s">
        <v>848</v>
      </c>
    </row>
    <row r="189" spans="20:21">
      <c r="T189">
        <v>623</v>
      </c>
      <c r="U189" t="s">
        <v>849</v>
      </c>
    </row>
    <row r="190" spans="20:21">
      <c r="T190">
        <v>624</v>
      </c>
      <c r="U190" t="s">
        <v>850</v>
      </c>
    </row>
    <row r="191" spans="20:21">
      <c r="T191">
        <v>625</v>
      </c>
      <c r="U191" t="s">
        <v>851</v>
      </c>
    </row>
    <row r="192" spans="20:21">
      <c r="T192">
        <v>626</v>
      </c>
      <c r="U192" t="s">
        <v>852</v>
      </c>
    </row>
    <row r="193" spans="20:21">
      <c r="T193">
        <v>627</v>
      </c>
      <c r="U193" t="s">
        <v>853</v>
      </c>
    </row>
    <row r="194" spans="20:21">
      <c r="T194">
        <v>628</v>
      </c>
      <c r="U194" t="s">
        <v>854</v>
      </c>
    </row>
    <row r="195" spans="20:21">
      <c r="T195">
        <v>629</v>
      </c>
      <c r="U195" t="s">
        <v>855</v>
      </c>
    </row>
    <row r="196" spans="20:21">
      <c r="T196">
        <v>700</v>
      </c>
      <c r="U196" t="s">
        <v>238</v>
      </c>
    </row>
    <row r="197" spans="20:21">
      <c r="T197">
        <v>702</v>
      </c>
      <c r="U197" t="s">
        <v>856</v>
      </c>
    </row>
    <row r="198" spans="20:21">
      <c r="T198">
        <v>703</v>
      </c>
      <c r="U198" t="s">
        <v>857</v>
      </c>
    </row>
    <row r="199" spans="20:21">
      <c r="T199">
        <v>707</v>
      </c>
      <c r="U199" t="s">
        <v>858</v>
      </c>
    </row>
    <row r="200" spans="20:21">
      <c r="T200">
        <v>708</v>
      </c>
      <c r="U200" t="s">
        <v>859</v>
      </c>
    </row>
    <row r="201" spans="20:21">
      <c r="T201">
        <v>711</v>
      </c>
      <c r="U201" t="s">
        <v>860</v>
      </c>
    </row>
    <row r="202" spans="20:21">
      <c r="T202">
        <v>715</v>
      </c>
      <c r="U202" t="s">
        <v>861</v>
      </c>
    </row>
    <row r="203" spans="20:21">
      <c r="T203">
        <v>716</v>
      </c>
      <c r="U203" t="s">
        <v>862</v>
      </c>
    </row>
    <row r="204" spans="20:21">
      <c r="T204">
        <v>717</v>
      </c>
      <c r="U204" t="s">
        <v>863</v>
      </c>
    </row>
    <row r="205" spans="20:21">
      <c r="T205">
        <v>718</v>
      </c>
      <c r="U205" t="s">
        <v>864</v>
      </c>
    </row>
    <row r="206" spans="20:21">
      <c r="T206">
        <v>719</v>
      </c>
      <c r="U206" t="s">
        <v>865</v>
      </c>
    </row>
    <row r="207" spans="20:21">
      <c r="T207">
        <v>720</v>
      </c>
      <c r="U207" t="s">
        <v>866</v>
      </c>
    </row>
    <row r="208" spans="20:21">
      <c r="T208">
        <v>721</v>
      </c>
      <c r="U208" t="s">
        <v>867</v>
      </c>
    </row>
    <row r="209" spans="20:21">
      <c r="T209">
        <v>722</v>
      </c>
      <c r="U209" t="s">
        <v>251</v>
      </c>
    </row>
    <row r="210" spans="20:21">
      <c r="T210">
        <v>728</v>
      </c>
      <c r="U210" t="s">
        <v>868</v>
      </c>
    </row>
    <row r="211" spans="20:21">
      <c r="T211">
        <v>800</v>
      </c>
      <c r="U211" t="s">
        <v>236</v>
      </c>
    </row>
    <row r="212" spans="20:21">
      <c r="T212">
        <v>802</v>
      </c>
      <c r="U212" t="s">
        <v>869</v>
      </c>
    </row>
    <row r="213" spans="20:21">
      <c r="T213">
        <v>803</v>
      </c>
      <c r="U213" t="s">
        <v>225</v>
      </c>
    </row>
    <row r="214" spans="20:21">
      <c r="T214">
        <v>804</v>
      </c>
      <c r="U214" t="s">
        <v>263</v>
      </c>
    </row>
    <row r="215" spans="20:21">
      <c r="T215">
        <v>806</v>
      </c>
      <c r="U215" t="s">
        <v>870</v>
      </c>
    </row>
    <row r="216" spans="20:21">
      <c r="T216">
        <v>811</v>
      </c>
      <c r="U216" t="s">
        <v>871</v>
      </c>
    </row>
    <row r="217" spans="20:21">
      <c r="T217">
        <v>812</v>
      </c>
      <c r="U217" t="s">
        <v>186</v>
      </c>
    </row>
    <row r="218" spans="20:21">
      <c r="T218">
        <v>813</v>
      </c>
      <c r="U218" t="s">
        <v>226</v>
      </c>
    </row>
    <row r="219" spans="20:21">
      <c r="T219">
        <v>814</v>
      </c>
      <c r="U219" t="s">
        <v>872</v>
      </c>
    </row>
    <row r="220" spans="20:21">
      <c r="T220">
        <v>816</v>
      </c>
      <c r="U220" t="s">
        <v>873</v>
      </c>
    </row>
    <row r="221" spans="20:21">
      <c r="T221">
        <v>817</v>
      </c>
      <c r="U221" t="s">
        <v>874</v>
      </c>
    </row>
    <row r="222" spans="20:21">
      <c r="T222">
        <v>819</v>
      </c>
      <c r="U222" t="s">
        <v>875</v>
      </c>
    </row>
    <row r="223" spans="20:21">
      <c r="T223">
        <v>820</v>
      </c>
      <c r="U223" t="s">
        <v>876</v>
      </c>
    </row>
    <row r="224" spans="20:21">
      <c r="T224">
        <v>823</v>
      </c>
      <c r="U224" t="s">
        <v>877</v>
      </c>
    </row>
    <row r="225" spans="20:21">
      <c r="T225">
        <v>825</v>
      </c>
      <c r="U225" t="s">
        <v>878</v>
      </c>
    </row>
    <row r="226" spans="20:21">
      <c r="T226">
        <v>828</v>
      </c>
      <c r="U226" t="s">
        <v>879</v>
      </c>
    </row>
    <row r="227" spans="20:21">
      <c r="T227">
        <v>829</v>
      </c>
      <c r="U227" t="s">
        <v>880</v>
      </c>
    </row>
    <row r="228" spans="20:21">
      <c r="T228">
        <v>900</v>
      </c>
      <c r="U228" t="s">
        <v>245</v>
      </c>
    </row>
    <row r="229" spans="20:21">
      <c r="T229">
        <v>901</v>
      </c>
      <c r="U229" t="s">
        <v>881</v>
      </c>
    </row>
    <row r="230" spans="20:21">
      <c r="T230">
        <v>902</v>
      </c>
      <c r="U230" t="s">
        <v>882</v>
      </c>
    </row>
    <row r="231" spans="20:21">
      <c r="T231">
        <v>903</v>
      </c>
      <c r="U231" t="s">
        <v>883</v>
      </c>
    </row>
    <row r="232" spans="20:21">
      <c r="T232">
        <v>904</v>
      </c>
      <c r="U232" t="s">
        <v>884</v>
      </c>
    </row>
    <row r="233" spans="20:21">
      <c r="T233">
        <v>905</v>
      </c>
      <c r="U233" t="s">
        <v>192</v>
      </c>
    </row>
    <row r="234" spans="20:21">
      <c r="T234">
        <v>906</v>
      </c>
      <c r="U234" t="s">
        <v>885</v>
      </c>
    </row>
    <row r="235" spans="20:21">
      <c r="T235">
        <v>907</v>
      </c>
      <c r="U235" t="s">
        <v>197</v>
      </c>
    </row>
    <row r="236" spans="20:21">
      <c r="T236">
        <v>908</v>
      </c>
      <c r="U236" t="s">
        <v>886</v>
      </c>
    </row>
    <row r="237" spans="20:21">
      <c r="T237">
        <v>911</v>
      </c>
      <c r="U237" t="s">
        <v>265</v>
      </c>
    </row>
    <row r="238" spans="20:21">
      <c r="T238">
        <v>912</v>
      </c>
      <c r="U238" t="s">
        <v>887</v>
      </c>
    </row>
    <row r="239" spans="20:21">
      <c r="T239">
        <v>913</v>
      </c>
      <c r="U239" t="s">
        <v>888</v>
      </c>
    </row>
    <row r="240" spans="20:21">
      <c r="T240">
        <v>914</v>
      </c>
      <c r="U240" t="s">
        <v>889</v>
      </c>
    </row>
    <row r="241" spans="20:21">
      <c r="T241">
        <v>915</v>
      </c>
      <c r="U241" t="s">
        <v>890</v>
      </c>
    </row>
    <row r="242" spans="20:21">
      <c r="T242">
        <v>916</v>
      </c>
      <c r="U242" t="s">
        <v>191</v>
      </c>
    </row>
    <row r="243" spans="20:21">
      <c r="T243">
        <v>917</v>
      </c>
      <c r="U243" t="s">
        <v>891</v>
      </c>
    </row>
    <row r="244" spans="20:21">
      <c r="T244">
        <v>932</v>
      </c>
      <c r="U244" t="s">
        <v>892</v>
      </c>
    </row>
    <row r="245" spans="20:21">
      <c r="T245">
        <v>1800</v>
      </c>
      <c r="U245" t="s">
        <v>893</v>
      </c>
    </row>
    <row r="246" spans="20:21">
      <c r="T246">
        <v>1801</v>
      </c>
      <c r="U246" t="s">
        <v>894</v>
      </c>
    </row>
    <row r="247" spans="20:21">
      <c r="T247">
        <v>1812</v>
      </c>
      <c r="U247" t="s">
        <v>895</v>
      </c>
    </row>
    <row r="248" spans="20:21">
      <c r="T248">
        <v>1813</v>
      </c>
      <c r="U248" t="s">
        <v>196</v>
      </c>
    </row>
    <row r="249" spans="20:21">
      <c r="T249">
        <v>1814</v>
      </c>
      <c r="U249" t="s">
        <v>896</v>
      </c>
    </row>
    <row r="250" spans="20:21">
      <c r="T250">
        <v>1816</v>
      </c>
      <c r="U250" t="s">
        <v>897</v>
      </c>
    </row>
    <row r="251" spans="20:21">
      <c r="T251">
        <v>1817</v>
      </c>
      <c r="U251" t="s">
        <v>898</v>
      </c>
    </row>
    <row r="252" spans="20:21">
      <c r="T252">
        <v>1818</v>
      </c>
      <c r="U252" t="s">
        <v>899</v>
      </c>
    </row>
    <row r="253" spans="20:21">
      <c r="T253">
        <v>1819</v>
      </c>
      <c r="U253" t="s">
        <v>900</v>
      </c>
    </row>
    <row r="254" spans="20:21">
      <c r="T254">
        <v>1820</v>
      </c>
      <c r="U254" t="s">
        <v>901</v>
      </c>
    </row>
    <row r="255" spans="20:21">
      <c r="T255">
        <v>1821</v>
      </c>
      <c r="U255" t="s">
        <v>214</v>
      </c>
    </row>
    <row r="256" spans="20:21">
      <c r="T256">
        <v>1822</v>
      </c>
      <c r="U256" t="s">
        <v>902</v>
      </c>
    </row>
    <row r="257" spans="20:21">
      <c r="T257">
        <v>1823</v>
      </c>
      <c r="U257" t="s">
        <v>903</v>
      </c>
    </row>
    <row r="258" spans="20:21">
      <c r="T258">
        <v>1824</v>
      </c>
      <c r="U258" t="s">
        <v>904</v>
      </c>
    </row>
    <row r="259" spans="20:21">
      <c r="T259">
        <v>1825</v>
      </c>
      <c r="U259" t="s">
        <v>299</v>
      </c>
    </row>
    <row r="260" spans="20:21">
      <c r="T260">
        <v>1828</v>
      </c>
      <c r="U260" t="s">
        <v>266</v>
      </c>
    </row>
    <row r="261" spans="20:21">
      <c r="T261">
        <v>1832</v>
      </c>
      <c r="U261" t="s">
        <v>905</v>
      </c>
    </row>
    <row r="262" spans="20:21">
      <c r="T262">
        <v>1833</v>
      </c>
      <c r="U262" t="s">
        <v>289</v>
      </c>
    </row>
    <row r="263" spans="20:21">
      <c r="T263">
        <v>1834</v>
      </c>
      <c r="U263" t="s">
        <v>906</v>
      </c>
    </row>
    <row r="264" spans="20:21">
      <c r="T264">
        <v>1835</v>
      </c>
      <c r="U264" t="s">
        <v>907</v>
      </c>
    </row>
    <row r="265" spans="20:21">
      <c r="T265">
        <v>1836</v>
      </c>
      <c r="U265" t="s">
        <v>908</v>
      </c>
    </row>
    <row r="266" spans="20:21">
      <c r="T266">
        <v>1835</v>
      </c>
      <c r="U266" t="s">
        <v>909</v>
      </c>
    </row>
    <row r="267" spans="20:21">
      <c r="T267">
        <v>1838</v>
      </c>
      <c r="U267" t="s">
        <v>910</v>
      </c>
    </row>
    <row r="268" spans="20:21">
      <c r="T268">
        <v>1840</v>
      </c>
      <c r="U268" t="s">
        <v>911</v>
      </c>
    </row>
    <row r="269" spans="20:21">
      <c r="T269">
        <v>1874</v>
      </c>
      <c r="U269" t="s">
        <v>912</v>
      </c>
    </row>
    <row r="270" spans="20:21">
      <c r="T270">
        <v>1875</v>
      </c>
      <c r="U270" t="s">
        <v>913</v>
      </c>
    </row>
    <row r="271" spans="20:21">
      <c r="T271">
        <v>1876</v>
      </c>
      <c r="U271" t="s">
        <v>914</v>
      </c>
    </row>
    <row r="272" spans="20:21">
      <c r="T272">
        <v>1878</v>
      </c>
      <c r="U272" t="s">
        <v>915</v>
      </c>
    </row>
    <row r="273" spans="20:21">
      <c r="T273">
        <v>1879</v>
      </c>
      <c r="U273" t="s">
        <v>916</v>
      </c>
    </row>
    <row r="274" spans="20:21">
      <c r="T274">
        <v>1880</v>
      </c>
      <c r="U274" t="s">
        <v>917</v>
      </c>
    </row>
    <row r="275" spans="20:21">
      <c r="T275">
        <v>1882</v>
      </c>
      <c r="U275" t="s">
        <v>918</v>
      </c>
    </row>
    <row r="276" spans="20:21">
      <c r="T276">
        <v>1885</v>
      </c>
      <c r="U276" t="s">
        <v>919</v>
      </c>
    </row>
    <row r="277" spans="20:21">
      <c r="T277">
        <v>1893</v>
      </c>
      <c r="U277" t="s">
        <v>246</v>
      </c>
    </row>
    <row r="278" spans="20:21">
      <c r="T278">
        <v>1894</v>
      </c>
      <c r="U278" t="s">
        <v>184</v>
      </c>
    </row>
    <row r="279" spans="20:21">
      <c r="T279">
        <v>1895</v>
      </c>
      <c r="U279" t="s">
        <v>920</v>
      </c>
    </row>
    <row r="280" spans="20:21">
      <c r="T280">
        <v>1896</v>
      </c>
      <c r="U280" t="s">
        <v>921</v>
      </c>
    </row>
    <row r="281" spans="20:21">
      <c r="T281">
        <v>1899</v>
      </c>
      <c r="U281" t="s">
        <v>922</v>
      </c>
    </row>
    <row r="282" spans="20:21">
      <c r="T282">
        <v>1909</v>
      </c>
      <c r="U282" t="s">
        <v>923</v>
      </c>
    </row>
    <row r="283" spans="20:21">
      <c r="T283">
        <v>1910</v>
      </c>
      <c r="U283" t="s">
        <v>924</v>
      </c>
    </row>
    <row r="284" spans="20:21">
      <c r="T284">
        <v>1911</v>
      </c>
      <c r="U284" t="s">
        <v>925</v>
      </c>
    </row>
    <row r="285" spans="20:21">
      <c r="T285">
        <v>1912</v>
      </c>
      <c r="U285" t="s">
        <v>926</v>
      </c>
    </row>
    <row r="286" spans="20:21">
      <c r="T286">
        <v>1913</v>
      </c>
      <c r="U286" t="s">
        <v>927</v>
      </c>
    </row>
    <row r="287" spans="20:21">
      <c r="T287">
        <v>1914</v>
      </c>
      <c r="U287" t="s">
        <v>928</v>
      </c>
    </row>
    <row r="288" spans="20:21">
      <c r="T288">
        <v>1915</v>
      </c>
      <c r="U288" t="s">
        <v>929</v>
      </c>
    </row>
    <row r="289" spans="20:21">
      <c r="T289">
        <v>1917</v>
      </c>
      <c r="U289" t="s">
        <v>930</v>
      </c>
    </row>
    <row r="290" spans="20:21">
      <c r="T290">
        <v>2100</v>
      </c>
      <c r="U290" t="s">
        <v>931</v>
      </c>
    </row>
    <row r="291" spans="20:21">
      <c r="T291">
        <v>2101</v>
      </c>
      <c r="U291" t="s">
        <v>932</v>
      </c>
    </row>
    <row r="292" spans="20:21">
      <c r="T292">
        <v>2102</v>
      </c>
      <c r="U292" t="s">
        <v>237</v>
      </c>
    </row>
    <row r="293" spans="20:21">
      <c r="T293">
        <v>2106</v>
      </c>
      <c r="U293" t="s">
        <v>244</v>
      </c>
    </row>
    <row r="294" spans="20:21">
      <c r="T294">
        <v>2107</v>
      </c>
      <c r="U294" t="s">
        <v>267</v>
      </c>
    </row>
    <row r="295" spans="20:21">
      <c r="T295">
        <v>2113</v>
      </c>
      <c r="U295" t="s">
        <v>933</v>
      </c>
    </row>
    <row r="296" spans="20:21">
      <c r="T296">
        <v>2114</v>
      </c>
      <c r="U296" t="s">
        <v>183</v>
      </c>
    </row>
    <row r="297" spans="20:21">
      <c r="T297">
        <v>2115</v>
      </c>
      <c r="U297" t="s">
        <v>934</v>
      </c>
    </row>
    <row r="298" spans="20:21">
      <c r="T298">
        <v>2116</v>
      </c>
      <c r="U298" t="s">
        <v>935</v>
      </c>
    </row>
    <row r="299" spans="20:21">
      <c r="T299">
        <v>2117</v>
      </c>
      <c r="U299" t="s">
        <v>936</v>
      </c>
    </row>
    <row r="300" spans="20:21">
      <c r="T300">
        <v>2118</v>
      </c>
      <c r="U300" t="s">
        <v>187</v>
      </c>
    </row>
    <row r="301" spans="20:21">
      <c r="T301">
        <v>2119</v>
      </c>
      <c r="U301" t="s">
        <v>937</v>
      </c>
    </row>
    <row r="302" spans="20:21">
      <c r="T302">
        <v>2120</v>
      </c>
      <c r="U302" t="s">
        <v>938</v>
      </c>
    </row>
    <row r="303" spans="20:21">
      <c r="T303">
        <v>2124</v>
      </c>
      <c r="U303" t="s">
        <v>939</v>
      </c>
    </row>
    <row r="304" spans="20:21">
      <c r="T304">
        <v>2125</v>
      </c>
      <c r="U304" t="s">
        <v>940</v>
      </c>
    </row>
    <row r="305" spans="20:21">
      <c r="T305">
        <v>2129</v>
      </c>
      <c r="U305" t="s">
        <v>941</v>
      </c>
    </row>
    <row r="306" spans="20:21">
      <c r="T306">
        <v>2130</v>
      </c>
      <c r="U306" t="s">
        <v>942</v>
      </c>
    </row>
    <row r="307" spans="20:21">
      <c r="T307">
        <v>2131</v>
      </c>
      <c r="U307" t="s">
        <v>943</v>
      </c>
    </row>
    <row r="308" spans="20:21">
      <c r="T308">
        <v>2198</v>
      </c>
      <c r="U308" t="s">
        <v>944</v>
      </c>
    </row>
    <row r="309" spans="20:21">
      <c r="T309">
        <v>5200</v>
      </c>
      <c r="U309" t="s">
        <v>293</v>
      </c>
    </row>
    <row r="310" spans="20:21">
      <c r="T310">
        <v>5201</v>
      </c>
      <c r="U310" t="s">
        <v>229</v>
      </c>
    </row>
    <row r="311" spans="20:21">
      <c r="T311">
        <v>5202</v>
      </c>
      <c r="U311" t="s">
        <v>259</v>
      </c>
    </row>
    <row r="312" spans="20:21">
      <c r="T312">
        <v>5203</v>
      </c>
      <c r="U312" t="s">
        <v>215</v>
      </c>
    </row>
    <row r="313" spans="20:21">
      <c r="T313">
        <v>5204</v>
      </c>
      <c r="U313" t="s">
        <v>198</v>
      </c>
    </row>
    <row r="314" spans="20:21">
      <c r="T314">
        <v>5205</v>
      </c>
      <c r="U314" t="s">
        <v>228</v>
      </c>
    </row>
    <row r="315" spans="20:21">
      <c r="T315">
        <v>5206</v>
      </c>
      <c r="U315" t="s">
        <v>945</v>
      </c>
    </row>
    <row r="316" spans="20:21">
      <c r="T316">
        <v>5207</v>
      </c>
      <c r="U316" t="s">
        <v>204</v>
      </c>
    </row>
    <row r="317" spans="20:21">
      <c r="T317">
        <v>5208</v>
      </c>
      <c r="U317" t="s">
        <v>946</v>
      </c>
    </row>
    <row r="318" spans="20:21">
      <c r="T318">
        <v>5209</v>
      </c>
      <c r="U318" t="s">
        <v>947</v>
      </c>
    </row>
    <row r="319" spans="20:21">
      <c r="T319">
        <v>5210</v>
      </c>
      <c r="U319" t="s">
        <v>206</v>
      </c>
    </row>
    <row r="320" spans="20:21">
      <c r="T320">
        <v>5212</v>
      </c>
      <c r="U320" t="s">
        <v>188</v>
      </c>
    </row>
    <row r="321" spans="20:21">
      <c r="T321">
        <v>5213</v>
      </c>
      <c r="U321" t="s">
        <v>948</v>
      </c>
    </row>
    <row r="322" spans="20:21">
      <c r="T322">
        <v>5213</v>
      </c>
      <c r="U322" t="s">
        <v>949</v>
      </c>
    </row>
    <row r="323" spans="20:21">
      <c r="T323">
        <v>5215</v>
      </c>
      <c r="U323" t="s">
        <v>241</v>
      </c>
    </row>
    <row r="324" spans="20:21">
      <c r="T324">
        <v>5216</v>
      </c>
      <c r="U324" t="s">
        <v>213</v>
      </c>
    </row>
    <row r="325" spans="20:21">
      <c r="T325">
        <v>5217</v>
      </c>
      <c r="U325" t="s">
        <v>207</v>
      </c>
    </row>
    <row r="326" spans="20:21">
      <c r="T326">
        <v>5218</v>
      </c>
      <c r="U326" t="s">
        <v>950</v>
      </c>
    </row>
    <row r="327" spans="20:21">
      <c r="T327">
        <v>5219</v>
      </c>
      <c r="U327" t="s">
        <v>194</v>
      </c>
    </row>
    <row r="328" spans="20:21">
      <c r="T328">
        <v>5220</v>
      </c>
      <c r="U328" t="s">
        <v>290</v>
      </c>
    </row>
    <row r="329" spans="20:21">
      <c r="T329">
        <v>5221</v>
      </c>
      <c r="U329" t="s">
        <v>288</v>
      </c>
    </row>
    <row r="330" spans="20:21">
      <c r="T330">
        <v>5222</v>
      </c>
      <c r="U330" t="s">
        <v>243</v>
      </c>
    </row>
    <row r="331" spans="20:21">
      <c r="T331">
        <v>5223</v>
      </c>
      <c r="U331" t="s">
        <v>951</v>
      </c>
    </row>
    <row r="332" spans="20:21">
      <c r="T332">
        <v>5224</v>
      </c>
      <c r="U332" t="s">
        <v>279</v>
      </c>
    </row>
    <row r="333" spans="20:21">
      <c r="T333">
        <v>5225</v>
      </c>
      <c r="U333" t="s">
        <v>304</v>
      </c>
    </row>
    <row r="334" spans="20:21">
      <c r="T334">
        <v>5227</v>
      </c>
      <c r="U334" t="s">
        <v>278</v>
      </c>
    </row>
    <row r="335" spans="20:21">
      <c r="T335">
        <v>5228</v>
      </c>
      <c r="U335" t="s">
        <v>239</v>
      </c>
    </row>
    <row r="336" spans="20:21">
      <c r="T336">
        <v>5229</v>
      </c>
      <c r="U336" t="s">
        <v>952</v>
      </c>
    </row>
    <row r="337" spans="20:21">
      <c r="T337">
        <v>5230</v>
      </c>
      <c r="U337" t="s">
        <v>953</v>
      </c>
    </row>
    <row r="338" spans="20:21">
      <c r="T338">
        <v>5231</v>
      </c>
      <c r="U338" t="s">
        <v>954</v>
      </c>
    </row>
    <row r="339" spans="20:21">
      <c r="T339">
        <v>5232</v>
      </c>
      <c r="U339" t="s">
        <v>955</v>
      </c>
    </row>
    <row r="340" spans="20:21">
      <c r="T340">
        <v>5233</v>
      </c>
      <c r="U340" t="s">
        <v>956</v>
      </c>
    </row>
    <row r="341" spans="20:21">
      <c r="T341">
        <v>5234</v>
      </c>
      <c r="U341" t="s">
        <v>202</v>
      </c>
    </row>
    <row r="342" spans="20:21">
      <c r="T342">
        <v>5235</v>
      </c>
      <c r="U342" t="s">
        <v>957</v>
      </c>
    </row>
    <row r="343" spans="20:21">
      <c r="T343">
        <v>5236</v>
      </c>
      <c r="U343" t="s">
        <v>199</v>
      </c>
    </row>
    <row r="344" spans="20:21">
      <c r="T344">
        <v>5237</v>
      </c>
      <c r="U344" t="s">
        <v>200</v>
      </c>
    </row>
    <row r="345" spans="20:21">
      <c r="T345">
        <v>5238</v>
      </c>
      <c r="U345" t="s">
        <v>201</v>
      </c>
    </row>
    <row r="346" spans="20:21">
      <c r="T346">
        <v>5239</v>
      </c>
      <c r="U346" t="s">
        <v>958</v>
      </c>
    </row>
    <row r="347" spans="20:21">
      <c r="T347">
        <v>5240</v>
      </c>
      <c r="U347" t="s">
        <v>285</v>
      </c>
    </row>
    <row r="348" spans="20:21">
      <c r="T348">
        <v>5241</v>
      </c>
      <c r="U348" t="s">
        <v>959</v>
      </c>
    </row>
    <row r="349" spans="20:21">
      <c r="T349">
        <v>5242</v>
      </c>
      <c r="U349" t="s">
        <v>960</v>
      </c>
    </row>
    <row r="350" spans="20:21">
      <c r="T350">
        <v>5243</v>
      </c>
      <c r="U350" t="s">
        <v>203</v>
      </c>
    </row>
    <row r="351" spans="20:21">
      <c r="T351">
        <v>5244</v>
      </c>
      <c r="U351" t="s">
        <v>961</v>
      </c>
    </row>
    <row r="352" spans="20:21">
      <c r="T352">
        <v>5245</v>
      </c>
      <c r="U352" t="s">
        <v>962</v>
      </c>
    </row>
    <row r="353" spans="20:21">
      <c r="T353">
        <v>5246</v>
      </c>
      <c r="U353" t="s">
        <v>963</v>
      </c>
    </row>
    <row r="354" spans="20:21">
      <c r="T354">
        <v>5247</v>
      </c>
      <c r="U354" t="s">
        <v>264</v>
      </c>
    </row>
    <row r="355" spans="20:21">
      <c r="T355">
        <v>5248</v>
      </c>
      <c r="U355" t="s">
        <v>182</v>
      </c>
    </row>
    <row r="356" spans="20:21">
      <c r="T356">
        <v>5249</v>
      </c>
      <c r="U356" t="s">
        <v>964</v>
      </c>
    </row>
    <row r="357" spans="20:21">
      <c r="T357">
        <v>5250</v>
      </c>
      <c r="U357" t="s">
        <v>965</v>
      </c>
    </row>
    <row r="358" spans="20:21">
      <c r="T358">
        <v>5251</v>
      </c>
      <c r="U358" t="s">
        <v>181</v>
      </c>
    </row>
    <row r="359" spans="20:21">
      <c r="T359">
        <v>5252</v>
      </c>
      <c r="U359" t="s">
        <v>966</v>
      </c>
    </row>
    <row r="360" spans="20:21">
      <c r="T360">
        <v>5253</v>
      </c>
      <c r="U360" t="s">
        <v>967</v>
      </c>
    </row>
    <row r="361" spans="20:21">
      <c r="T361">
        <v>5254</v>
      </c>
      <c r="U361" t="s">
        <v>205</v>
      </c>
    </row>
    <row r="362" spans="20:21">
      <c r="T362">
        <v>5255</v>
      </c>
      <c r="U362" t="s">
        <v>968</v>
      </c>
    </row>
    <row r="363" spans="20:21">
      <c r="T363">
        <v>5256</v>
      </c>
      <c r="U363" t="s">
        <v>969</v>
      </c>
    </row>
    <row r="364" spans="20:21">
      <c r="T364">
        <v>5257</v>
      </c>
      <c r="U364" t="s">
        <v>970</v>
      </c>
    </row>
    <row r="365" spans="20:21">
      <c r="T365">
        <v>5258</v>
      </c>
      <c r="U365" t="s">
        <v>971</v>
      </c>
    </row>
    <row r="366" spans="20:21">
      <c r="T366">
        <v>5259</v>
      </c>
      <c r="U366" t="s">
        <v>972</v>
      </c>
    </row>
    <row r="367" spans="20:21">
      <c r="T367">
        <v>5260</v>
      </c>
      <c r="U367" t="s">
        <v>235</v>
      </c>
    </row>
    <row r="368" spans="20:21">
      <c r="T368">
        <v>5261</v>
      </c>
      <c r="U368" t="s">
        <v>973</v>
      </c>
    </row>
    <row r="369" spans="20:21">
      <c r="T369">
        <v>5262</v>
      </c>
      <c r="U369" t="s">
        <v>974</v>
      </c>
    </row>
    <row r="370" spans="20:21">
      <c r="T370">
        <v>5263</v>
      </c>
      <c r="U370" t="s">
        <v>189</v>
      </c>
    </row>
    <row r="371" spans="20:21">
      <c r="T371">
        <v>5264</v>
      </c>
      <c r="U371" t="s">
        <v>975</v>
      </c>
    </row>
    <row r="372" spans="20:21">
      <c r="T372">
        <v>5265</v>
      </c>
      <c r="U372" t="s">
        <v>976</v>
      </c>
    </row>
    <row r="373" spans="20:21">
      <c r="T373">
        <v>5266</v>
      </c>
      <c r="U373" t="s">
        <v>977</v>
      </c>
    </row>
    <row r="374" spans="20:21">
      <c r="T374">
        <v>5267</v>
      </c>
      <c r="U374" t="s">
        <v>978</v>
      </c>
    </row>
    <row r="375" spans="20:21">
      <c r="T375">
        <v>5268</v>
      </c>
      <c r="U375" t="s">
        <v>219</v>
      </c>
    </row>
    <row r="376" spans="20:21">
      <c r="T376">
        <v>5269</v>
      </c>
      <c r="U376" t="s">
        <v>979</v>
      </c>
    </row>
    <row r="377" spans="20:21">
      <c r="T377">
        <v>5270</v>
      </c>
      <c r="U377" t="s">
        <v>980</v>
      </c>
    </row>
    <row r="378" spans="20:21">
      <c r="T378">
        <v>2509</v>
      </c>
      <c r="U378" t="s">
        <v>269</v>
      </c>
    </row>
    <row r="379" spans="20:21">
      <c r="T379" t="s">
        <v>466</v>
      </c>
      <c r="U379" t="s">
        <v>230</v>
      </c>
    </row>
    <row r="380" spans="20:21">
      <c r="T380" t="s">
        <v>483</v>
      </c>
      <c r="U380" t="s">
        <v>283</v>
      </c>
    </row>
    <row r="381" spans="20:21">
      <c r="T381" t="s">
        <v>482</v>
      </c>
      <c r="U381" t="s">
        <v>282</v>
      </c>
    </row>
    <row r="382" spans="20:21">
      <c r="T382" t="s">
        <v>981</v>
      </c>
      <c r="U382" t="s">
        <v>982</v>
      </c>
    </row>
    <row r="383" spans="20:21">
      <c r="T383" t="s">
        <v>983</v>
      </c>
      <c r="U383" t="s">
        <v>984</v>
      </c>
    </row>
    <row r="384" spans="20:21">
      <c r="T384" t="s">
        <v>985</v>
      </c>
      <c r="U384" t="s">
        <v>986</v>
      </c>
    </row>
    <row r="385" spans="20:21">
      <c r="T385" t="s">
        <v>475</v>
      </c>
      <c r="U385" t="s">
        <v>271</v>
      </c>
    </row>
    <row r="386" spans="20:21">
      <c r="T386" t="s">
        <v>487</v>
      </c>
      <c r="U386" t="s">
        <v>297</v>
      </c>
    </row>
    <row r="387" spans="20:21">
      <c r="T387" t="s">
        <v>987</v>
      </c>
      <c r="U387" t="s">
        <v>988</v>
      </c>
    </row>
    <row r="388" spans="20:21">
      <c r="T388" t="s">
        <v>989</v>
      </c>
      <c r="U388" t="s">
        <v>990</v>
      </c>
    </row>
    <row r="389" spans="20:21">
      <c r="T389" t="s">
        <v>991</v>
      </c>
      <c r="U389" t="s">
        <v>992</v>
      </c>
    </row>
    <row r="390" spans="20:21">
      <c r="T390" t="s">
        <v>494</v>
      </c>
      <c r="U390" t="s">
        <v>993</v>
      </c>
    </row>
    <row r="391" spans="20:21">
      <c r="T391" t="s">
        <v>476</v>
      </c>
      <c r="U391" t="s">
        <v>272</v>
      </c>
    </row>
    <row r="392" spans="20:21">
      <c r="T392" t="s">
        <v>477</v>
      </c>
      <c r="U392" t="s">
        <v>273</v>
      </c>
    </row>
    <row r="393" spans="20:21">
      <c r="T393" t="s">
        <v>492</v>
      </c>
      <c r="U393" t="s">
        <v>994</v>
      </c>
    </row>
    <row r="394" spans="20:21">
      <c r="T394" s="94" t="s">
        <v>995</v>
      </c>
      <c r="U394" s="95" t="s">
        <v>996</v>
      </c>
    </row>
    <row r="395" spans="20:21">
      <c r="T395" s="103" t="s">
        <v>486</v>
      </c>
      <c r="U395" s="104" t="s">
        <v>286</v>
      </c>
    </row>
    <row r="396" spans="20:21">
      <c r="T396" s="98" t="s">
        <v>488</v>
      </c>
      <c r="U396" s="84" t="s">
        <v>303</v>
      </c>
    </row>
  </sheetData>
  <mergeCells count="1">
    <mergeCell ref="W1:Y1"/>
  </mergeCells>
  <phoneticPr fontId="9" type="noConversion"/>
  <conditionalFormatting sqref="T394:T396">
    <cfRule type="duplicateValues" dxfId="0" priority="1"/>
  </conditionalFormatting>
  <hyperlinks>
    <hyperlink ref="B3" r:id="rId1" display="O@R1" xr:uid="{00000000-0004-0000-0C00-000000000000}"/>
    <hyperlink ref="B4:B41" r:id="rId2" display="O@R1" xr:uid="{00000000-0004-0000-0C00-000001000000}"/>
    <hyperlink ref="B42" r:id="rId3" display="O@R1" xr:uid="{00000000-0004-0000-0C00-000002000000}"/>
    <hyperlink ref="B54" r:id="rId4" display="O@R1" xr:uid="{00000000-0004-0000-0C00-000003000000}"/>
    <hyperlink ref="B55" r:id="rId5" display="O@R1" xr:uid="{00000000-0004-0000-0C00-000004000000}"/>
    <hyperlink ref="B56" r:id="rId6" display="O@R1" xr:uid="{00000000-0004-0000-0C00-000005000000}"/>
    <hyperlink ref="B43:B53" r:id="rId7" display="O@R1" xr:uid="{00000000-0004-0000-0C00-000006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C1A0-ECA4-4143-A4C6-A29AEBA2E099}">
  <dimension ref="A1:AS280"/>
  <sheetViews>
    <sheetView zoomScale="90" workbookViewId="0">
      <pane xSplit="4" ySplit="2" topLeftCell="E112" activePane="bottomRight" state="frozen"/>
      <selection activeCell="AS104" sqref="AS104"/>
      <selection pane="topRight" activeCell="AS104" sqref="AS104"/>
      <selection pane="bottomLeft" activeCell="AS104" sqref="AS104"/>
      <selection pane="bottomRight" activeCell="E119" sqref="E119"/>
    </sheetView>
  </sheetViews>
  <sheetFormatPr defaultColWidth="8.7109375" defaultRowHeight="15"/>
  <cols>
    <col min="1" max="1" width="13" style="141" customWidth="1"/>
    <col min="2" max="2" width="12.140625" style="141" customWidth="1"/>
    <col min="3" max="3" width="12.28515625" style="141" customWidth="1"/>
    <col min="4" max="4" width="10.85546875" style="141" customWidth="1"/>
    <col min="5" max="5" width="11.85546875" style="141" bestFit="1" customWidth="1"/>
    <col min="6" max="6" width="10.85546875" style="141" bestFit="1" customWidth="1"/>
    <col min="7" max="7" width="11.85546875" style="141" bestFit="1" customWidth="1"/>
    <col min="8" max="13" width="10.85546875" style="141" bestFit="1" customWidth="1"/>
    <col min="14" max="14" width="11.85546875" style="141" bestFit="1" customWidth="1"/>
    <col min="15" max="16" width="10.85546875" style="141" bestFit="1" customWidth="1"/>
    <col min="17" max="22" width="11.85546875" style="141" bestFit="1" customWidth="1"/>
    <col min="23" max="24" width="10.85546875" style="141" bestFit="1" customWidth="1"/>
    <col min="25" max="29" width="11.85546875" style="141" bestFit="1" customWidth="1"/>
    <col min="30" max="31" width="10.85546875" style="141" bestFit="1" customWidth="1"/>
    <col min="32" max="32" width="9.42578125" style="141" bestFit="1" customWidth="1"/>
    <col min="33" max="33" width="11.85546875" style="141" bestFit="1" customWidth="1"/>
    <col min="34" max="34" width="9.42578125" style="141" bestFit="1" customWidth="1"/>
    <col min="35" max="35" width="11.85546875" style="141" bestFit="1" customWidth="1"/>
    <col min="36" max="37" width="10.85546875" style="141" bestFit="1" customWidth="1"/>
    <col min="38" max="39" width="11.85546875" style="141" bestFit="1" customWidth="1"/>
    <col min="40" max="40" width="10.5703125" style="141" bestFit="1" customWidth="1"/>
    <col min="41" max="41" width="11.85546875" style="141" bestFit="1" customWidth="1"/>
    <col min="42" max="42" width="10.85546875" style="141" bestFit="1" customWidth="1"/>
    <col min="43" max="43" width="11.85546875" style="141" bestFit="1" customWidth="1"/>
    <col min="44" max="44" width="10.5703125" style="141" bestFit="1" customWidth="1"/>
    <col min="45" max="45" width="58.28515625" style="141" bestFit="1" customWidth="1"/>
    <col min="46" max="16384" width="8.7109375" style="141"/>
  </cols>
  <sheetData>
    <row r="1" spans="1:45">
      <c r="A1" s="141">
        <v>1</v>
      </c>
      <c r="B1" s="141">
        <f>A1+1</f>
        <v>2</v>
      </c>
      <c r="C1" s="141">
        <f t="shared" ref="C1:AR1" si="0">B1+1</f>
        <v>3</v>
      </c>
      <c r="D1" s="141">
        <f t="shared" si="0"/>
        <v>4</v>
      </c>
      <c r="E1" s="141">
        <f t="shared" si="0"/>
        <v>5</v>
      </c>
      <c r="F1" s="141">
        <f t="shared" si="0"/>
        <v>6</v>
      </c>
      <c r="G1" s="141">
        <f t="shared" si="0"/>
        <v>7</v>
      </c>
      <c r="H1" s="141">
        <f t="shared" si="0"/>
        <v>8</v>
      </c>
      <c r="I1" s="141">
        <f t="shared" si="0"/>
        <v>9</v>
      </c>
      <c r="J1" s="141">
        <f t="shared" si="0"/>
        <v>10</v>
      </c>
      <c r="K1" s="141">
        <f t="shared" si="0"/>
        <v>11</v>
      </c>
      <c r="L1" s="141">
        <f t="shared" si="0"/>
        <v>12</v>
      </c>
      <c r="M1" s="141">
        <f t="shared" si="0"/>
        <v>13</v>
      </c>
      <c r="N1" s="141">
        <f t="shared" si="0"/>
        <v>14</v>
      </c>
      <c r="O1" s="141">
        <f t="shared" si="0"/>
        <v>15</v>
      </c>
      <c r="P1" s="141">
        <f t="shared" si="0"/>
        <v>16</v>
      </c>
      <c r="Q1" s="141">
        <f t="shared" si="0"/>
        <v>17</v>
      </c>
      <c r="R1" s="141">
        <f t="shared" si="0"/>
        <v>18</v>
      </c>
      <c r="S1" s="141">
        <f t="shared" si="0"/>
        <v>19</v>
      </c>
      <c r="T1" s="141">
        <f t="shared" si="0"/>
        <v>20</v>
      </c>
      <c r="U1" s="141">
        <f t="shared" si="0"/>
        <v>21</v>
      </c>
      <c r="V1" s="141">
        <f t="shared" si="0"/>
        <v>22</v>
      </c>
      <c r="W1" s="141">
        <f t="shared" si="0"/>
        <v>23</v>
      </c>
      <c r="X1" s="141">
        <f t="shared" si="0"/>
        <v>24</v>
      </c>
      <c r="Y1" s="141">
        <f t="shared" si="0"/>
        <v>25</v>
      </c>
      <c r="Z1" s="141">
        <f t="shared" si="0"/>
        <v>26</v>
      </c>
      <c r="AA1" s="141">
        <f t="shared" si="0"/>
        <v>27</v>
      </c>
      <c r="AB1" s="141">
        <f t="shared" si="0"/>
        <v>28</v>
      </c>
      <c r="AC1" s="141">
        <f t="shared" si="0"/>
        <v>29</v>
      </c>
      <c r="AD1" s="141">
        <f t="shared" si="0"/>
        <v>30</v>
      </c>
      <c r="AE1" s="141">
        <f t="shared" si="0"/>
        <v>31</v>
      </c>
      <c r="AF1" s="141">
        <f t="shared" si="0"/>
        <v>32</v>
      </c>
      <c r="AG1" s="141">
        <f t="shared" si="0"/>
        <v>33</v>
      </c>
      <c r="AH1" s="141">
        <f t="shared" si="0"/>
        <v>34</v>
      </c>
      <c r="AI1" s="141">
        <f t="shared" si="0"/>
        <v>35</v>
      </c>
      <c r="AJ1" s="141">
        <f t="shared" si="0"/>
        <v>36</v>
      </c>
      <c r="AK1" s="141">
        <f t="shared" si="0"/>
        <v>37</v>
      </c>
      <c r="AL1" s="141">
        <f t="shared" si="0"/>
        <v>38</v>
      </c>
      <c r="AM1" s="141">
        <f t="shared" si="0"/>
        <v>39</v>
      </c>
      <c r="AN1" s="141">
        <f t="shared" si="0"/>
        <v>40</v>
      </c>
      <c r="AO1" s="141">
        <f t="shared" si="0"/>
        <v>41</v>
      </c>
      <c r="AP1" s="141">
        <f t="shared" si="0"/>
        <v>42</v>
      </c>
      <c r="AQ1" s="141">
        <f t="shared" si="0"/>
        <v>43</v>
      </c>
      <c r="AR1" s="141">
        <f t="shared" si="0"/>
        <v>44</v>
      </c>
    </row>
    <row r="2" spans="1:45" ht="36.950000000000003" customHeight="1">
      <c r="A2" s="142" t="s">
        <v>73</v>
      </c>
      <c r="B2" s="115" t="s">
        <v>3</v>
      </c>
      <c r="C2" s="115" t="s">
        <v>74</v>
      </c>
      <c r="D2" s="115" t="s">
        <v>75</v>
      </c>
      <c r="E2" s="10" t="s">
        <v>115</v>
      </c>
      <c r="F2" s="10" t="s">
        <v>116</v>
      </c>
      <c r="G2" s="10" t="s">
        <v>117</v>
      </c>
      <c r="H2" s="10" t="s">
        <v>118</v>
      </c>
      <c r="I2" s="10" t="s">
        <v>119</v>
      </c>
      <c r="J2" s="10" t="s">
        <v>120</v>
      </c>
      <c r="K2" s="10" t="s">
        <v>121</v>
      </c>
      <c r="L2" s="10" t="s">
        <v>122</v>
      </c>
      <c r="M2" s="10" t="s">
        <v>123</v>
      </c>
      <c r="N2" s="10" t="s">
        <v>124</v>
      </c>
      <c r="O2" s="10" t="s">
        <v>125</v>
      </c>
      <c r="P2" s="10" t="s">
        <v>126</v>
      </c>
      <c r="Q2" s="10" t="s">
        <v>127</v>
      </c>
      <c r="R2" s="10" t="s">
        <v>128</v>
      </c>
      <c r="S2" s="10" t="s">
        <v>129</v>
      </c>
      <c r="T2" s="10" t="s">
        <v>130</v>
      </c>
      <c r="U2" s="10" t="s">
        <v>131</v>
      </c>
      <c r="V2" s="10" t="s">
        <v>132</v>
      </c>
      <c r="W2" s="10" t="s">
        <v>133</v>
      </c>
      <c r="X2" s="10" t="s">
        <v>134</v>
      </c>
      <c r="Y2" s="10" t="s">
        <v>135</v>
      </c>
      <c r="Z2" s="10" t="s">
        <v>136</v>
      </c>
      <c r="AA2" s="10" t="s">
        <v>137</v>
      </c>
      <c r="AB2" s="10" t="s">
        <v>138</v>
      </c>
      <c r="AC2" s="10" t="s">
        <v>139</v>
      </c>
      <c r="AD2" s="10" t="s">
        <v>140</v>
      </c>
      <c r="AE2" s="10" t="s">
        <v>141</v>
      </c>
      <c r="AF2" s="10" t="s">
        <v>142</v>
      </c>
      <c r="AG2" s="10" t="s">
        <v>143</v>
      </c>
      <c r="AH2" s="10" t="s">
        <v>144</v>
      </c>
      <c r="AI2" s="10" t="s">
        <v>145</v>
      </c>
      <c r="AJ2" s="10" t="s">
        <v>146</v>
      </c>
      <c r="AK2" s="10" t="s">
        <v>147</v>
      </c>
      <c r="AL2" s="10" t="s">
        <v>148</v>
      </c>
      <c r="AM2" s="10" t="s">
        <v>149</v>
      </c>
      <c r="AN2" s="10" t="s">
        <v>150</v>
      </c>
      <c r="AO2" s="10" t="s">
        <v>151</v>
      </c>
      <c r="AP2" s="10" t="s">
        <v>152</v>
      </c>
      <c r="AQ2" s="10" t="s">
        <v>153</v>
      </c>
      <c r="AR2" s="115" t="s">
        <v>613</v>
      </c>
      <c r="AS2" s="115" t="s">
        <v>380</v>
      </c>
    </row>
    <row r="3" spans="1:45">
      <c r="A3" s="144">
        <v>45745</v>
      </c>
      <c r="B3" s="141">
        <f>YEAR(Table7[[#This Row],[Date]])+IF(MONTH(Table7[[#This Row],[Date]])&gt;=4,1,0)</f>
        <v>2025</v>
      </c>
      <c r="C3" s="141">
        <f>YEAR(Table7[[#This Row],[Date]])</f>
        <v>2025</v>
      </c>
      <c r="D3" s="143">
        <f t="shared" ref="D3:D35" si="1">A3-DAY(A3)+1</f>
        <v>45717</v>
      </c>
      <c r="AR3" s="141">
        <f t="shared" ref="AR3:AR66" si="2">SUM(E3:AQ3)</f>
        <v>0</v>
      </c>
    </row>
    <row r="4" spans="1:45">
      <c r="A4" s="144">
        <f t="shared" ref="A4:A37" si="3">A3+1</f>
        <v>45746</v>
      </c>
      <c r="B4" s="141">
        <f>YEAR(Table7[[#This Row],[Date]])+IF(MONTH(Table7[[#This Row],[Date]])&gt;=4,1,0)</f>
        <v>2025</v>
      </c>
      <c r="C4" s="141">
        <f>YEAR(Table7[[#This Row],[Date]])</f>
        <v>2025</v>
      </c>
      <c r="D4" s="143">
        <f t="shared" si="1"/>
        <v>45717</v>
      </c>
      <c r="AR4" s="141">
        <f t="shared" si="2"/>
        <v>0</v>
      </c>
    </row>
    <row r="5" spans="1:45">
      <c r="A5" s="144">
        <f t="shared" si="3"/>
        <v>45747</v>
      </c>
      <c r="B5" s="141">
        <f>YEAR(Table7[[#This Row],[Date]])+IF(MONTH(Table7[[#This Row],[Date]])&gt;=4,1,0)</f>
        <v>2025</v>
      </c>
      <c r="C5" s="141">
        <f>YEAR(Table7[[#This Row],[Date]])</f>
        <v>2025</v>
      </c>
      <c r="D5" s="143">
        <f t="shared" si="1"/>
        <v>45717</v>
      </c>
      <c r="E5" s="146">
        <v>2411.4870499999997</v>
      </c>
      <c r="F5" s="146">
        <v>891.6197333333331</v>
      </c>
      <c r="G5" s="146">
        <v>1879.9699166666667</v>
      </c>
      <c r="H5" s="146">
        <v>874.26264999999989</v>
      </c>
      <c r="I5" s="146">
        <v>880.47126666666634</v>
      </c>
      <c r="J5" s="146">
        <v>636.22654999999975</v>
      </c>
      <c r="K5" s="146">
        <v>372.88330000000008</v>
      </c>
      <c r="L5" s="146">
        <v>641.51903333333337</v>
      </c>
      <c r="M5" s="146">
        <v>906.08874999999966</v>
      </c>
      <c r="N5" s="146">
        <v>2260.3940000000007</v>
      </c>
      <c r="O5" s="146">
        <v>383.09098333333333</v>
      </c>
      <c r="P5" s="146">
        <v>377.68645000000021</v>
      </c>
      <c r="Q5" s="146">
        <v>2175.7977833333325</v>
      </c>
      <c r="R5" s="146">
        <v>1993.9216333333334</v>
      </c>
      <c r="S5" s="146">
        <v>1758.4656500000006</v>
      </c>
      <c r="T5" s="146">
        <v>2234.110716666667</v>
      </c>
      <c r="U5" s="146">
        <v>1964.6706833333335</v>
      </c>
      <c r="V5" s="146">
        <v>2190.6097833333329</v>
      </c>
      <c r="W5" s="146">
        <v>441.97923333333341</v>
      </c>
      <c r="X5" s="146">
        <v>670.5095333333328</v>
      </c>
      <c r="Y5" s="146">
        <v>1570.8375833333334</v>
      </c>
      <c r="Z5" s="146">
        <v>1180.1706999999994</v>
      </c>
      <c r="AA5" s="146">
        <v>1761.4244000000006</v>
      </c>
      <c r="AB5" s="146">
        <v>999.70584999999994</v>
      </c>
      <c r="AC5" s="146">
        <v>1757.0460333333331</v>
      </c>
      <c r="AD5" s="146">
        <v>677.21181666666666</v>
      </c>
      <c r="AE5" s="146">
        <v>333.81999999999994</v>
      </c>
      <c r="AF5" s="146">
        <v>0</v>
      </c>
      <c r="AG5" s="146">
        <v>1635.0767333333333</v>
      </c>
      <c r="AH5" s="146">
        <v>0</v>
      </c>
      <c r="AI5" s="146">
        <v>1909.0220500000016</v>
      </c>
      <c r="AJ5" s="146">
        <v>573.77486666666687</v>
      </c>
      <c r="AK5" s="146">
        <v>742.58261666666658</v>
      </c>
      <c r="AL5" s="146">
        <v>1713.1288333333325</v>
      </c>
      <c r="AM5" s="146">
        <v>1709.3144666666656</v>
      </c>
      <c r="AN5" s="146">
        <v>-8.1558666666666682</v>
      </c>
      <c r="AO5" s="146">
        <v>2496.8773666666675</v>
      </c>
      <c r="AP5" s="146">
        <v>783.47119999999995</v>
      </c>
      <c r="AQ5" s="146">
        <v>2020.9579999999989</v>
      </c>
      <c r="AR5" s="146">
        <f t="shared" si="2"/>
        <v>47802.031349999997</v>
      </c>
    </row>
    <row r="6" spans="1:45">
      <c r="A6" s="144">
        <f t="shared" si="3"/>
        <v>45748</v>
      </c>
      <c r="B6" s="141">
        <f>YEAR(Table7[[#This Row],[Date]])+IF(MONTH(Table7[[#This Row],[Date]])&gt;=4,1,0)</f>
        <v>2026</v>
      </c>
      <c r="C6" s="141">
        <f>YEAR(Table7[[#This Row],[Date]])</f>
        <v>2025</v>
      </c>
      <c r="D6" s="143">
        <f t="shared" si="1"/>
        <v>45748</v>
      </c>
      <c r="E6" s="146">
        <v>2322.1235499999998</v>
      </c>
      <c r="F6" s="146">
        <v>880.10806666666656</v>
      </c>
      <c r="G6" s="146">
        <v>2078.5867166666671</v>
      </c>
      <c r="H6" s="146">
        <v>914.56948333333321</v>
      </c>
      <c r="I6" s="146">
        <v>945.84553333333304</v>
      </c>
      <c r="J6" s="146">
        <v>637.99238333333312</v>
      </c>
      <c r="K6" s="146">
        <v>748.2189666666668</v>
      </c>
      <c r="L6" s="146">
        <v>777.13608333333354</v>
      </c>
      <c r="M6" s="146">
        <v>722.79674999999997</v>
      </c>
      <c r="N6" s="146">
        <v>2126.2865000000006</v>
      </c>
      <c r="O6" s="146">
        <v>729.45748333333324</v>
      </c>
      <c r="P6" s="146">
        <v>657.0716166666665</v>
      </c>
      <c r="Q6" s="146">
        <v>2115.4739999999993</v>
      </c>
      <c r="R6" s="146">
        <v>1806.1051666666663</v>
      </c>
      <c r="S6" s="146">
        <v>1979.2855000000009</v>
      </c>
      <c r="T6" s="146">
        <v>2123.0250500000006</v>
      </c>
      <c r="U6" s="146">
        <v>2192.0195166666672</v>
      </c>
      <c r="V6" s="146">
        <v>2109.1037833333339</v>
      </c>
      <c r="W6" s="146">
        <v>708.92223333333322</v>
      </c>
      <c r="X6" s="146">
        <v>620.74770000000001</v>
      </c>
      <c r="Y6" s="146">
        <v>1738.0668333333324</v>
      </c>
      <c r="Z6" s="146">
        <v>1166.9419333333326</v>
      </c>
      <c r="AA6" s="146">
        <v>1782.3726999999997</v>
      </c>
      <c r="AB6" s="146">
        <v>1210.9576333333332</v>
      </c>
      <c r="AC6" s="146">
        <v>1935.1738833333332</v>
      </c>
      <c r="AD6" s="146">
        <v>703.62876666666671</v>
      </c>
      <c r="AE6" s="146">
        <v>551.59069999999974</v>
      </c>
      <c r="AF6" s="146">
        <v>0</v>
      </c>
      <c r="AG6" s="146">
        <v>1232.2376166666668</v>
      </c>
      <c r="AH6" s="146">
        <v>0</v>
      </c>
      <c r="AI6" s="146">
        <v>1843.6910000000007</v>
      </c>
      <c r="AJ6" s="146">
        <v>697.05603333333363</v>
      </c>
      <c r="AK6" s="146">
        <v>823.11351666666633</v>
      </c>
      <c r="AL6" s="146">
        <v>1362.1450333333332</v>
      </c>
      <c r="AM6" s="146">
        <v>1053.6382666666661</v>
      </c>
      <c r="AN6" s="146">
        <v>-3.8062333333333314</v>
      </c>
      <c r="AO6" s="146">
        <v>2338.373583333333</v>
      </c>
      <c r="AP6" s="146">
        <v>824.4840833333335</v>
      </c>
      <c r="AQ6" s="146">
        <v>1543.8372499999984</v>
      </c>
      <c r="AR6" s="146">
        <f t="shared" si="2"/>
        <v>47998.378683333336</v>
      </c>
    </row>
    <row r="7" spans="1:45">
      <c r="A7" s="144">
        <f t="shared" si="3"/>
        <v>45749</v>
      </c>
      <c r="B7" s="141">
        <f>YEAR(Table7[[#This Row],[Date]])+IF(MONTH(Table7[[#This Row],[Date]])&gt;=4,1,0)</f>
        <v>2026</v>
      </c>
      <c r="C7" s="141">
        <f>YEAR(Table7[[#This Row],[Date]])</f>
        <v>2025</v>
      </c>
      <c r="D7" s="143">
        <f t="shared" si="1"/>
        <v>45748</v>
      </c>
      <c r="E7" s="146">
        <v>2637.2191999999995</v>
      </c>
      <c r="F7" s="146">
        <v>1097.0692166666668</v>
      </c>
      <c r="G7" s="146">
        <v>2227.8404333333347</v>
      </c>
      <c r="H7" s="146">
        <v>923.74158333333287</v>
      </c>
      <c r="I7" s="146">
        <v>938.26825000000008</v>
      </c>
      <c r="J7" s="146">
        <v>1297.9406499999998</v>
      </c>
      <c r="K7" s="146">
        <v>808.49928333333344</v>
      </c>
      <c r="L7" s="146">
        <v>1289.6567333333326</v>
      </c>
      <c r="M7" s="146">
        <v>1427.0630333333338</v>
      </c>
      <c r="N7" s="146">
        <v>2544.8210333333336</v>
      </c>
      <c r="O7" s="146">
        <v>855.78409999999985</v>
      </c>
      <c r="P7" s="146">
        <v>904.24945000000048</v>
      </c>
      <c r="Q7" s="146">
        <v>2402.8841500000003</v>
      </c>
      <c r="R7" s="146">
        <v>2695.9842833333341</v>
      </c>
      <c r="S7" s="146">
        <v>2431.9186666666665</v>
      </c>
      <c r="T7" s="146">
        <v>2122.2456166666657</v>
      </c>
      <c r="U7" s="146">
        <v>2309.701666666665</v>
      </c>
      <c r="V7" s="146">
        <v>3275.5916500000003</v>
      </c>
      <c r="W7" s="146">
        <v>852.78766666666684</v>
      </c>
      <c r="X7" s="146">
        <v>1820.6795833333335</v>
      </c>
      <c r="Y7" s="146">
        <v>2426.1540000000005</v>
      </c>
      <c r="Z7" s="146">
        <v>491.63286666666676</v>
      </c>
      <c r="AA7" s="146">
        <v>2794.5913999999998</v>
      </c>
      <c r="AB7" s="146">
        <v>1860.944666666667</v>
      </c>
      <c r="AC7" s="146">
        <v>2885.903716666664</v>
      </c>
      <c r="AD7" s="146">
        <v>1148.8613833333334</v>
      </c>
      <c r="AE7" s="146">
        <v>1083.9292500000004</v>
      </c>
      <c r="AF7" s="146">
        <v>0</v>
      </c>
      <c r="AG7" s="146">
        <v>2614.3131833333332</v>
      </c>
      <c r="AH7" s="146">
        <v>0</v>
      </c>
      <c r="AI7" s="146">
        <v>823.28438333333304</v>
      </c>
      <c r="AJ7" s="146">
        <v>1097.6119666666666</v>
      </c>
      <c r="AK7" s="146">
        <v>1182.3386833333338</v>
      </c>
      <c r="AL7" s="146">
        <v>2677.0024833333332</v>
      </c>
      <c r="AM7" s="146">
        <v>2930.4442166666659</v>
      </c>
      <c r="AN7" s="146">
        <v>-5.8060333333333292</v>
      </c>
      <c r="AO7" s="146">
        <v>3280.2776833333332</v>
      </c>
      <c r="AP7" s="146">
        <v>1180.1251500000005</v>
      </c>
      <c r="AQ7" s="146">
        <v>2777.1324499999987</v>
      </c>
      <c r="AR7" s="146">
        <f t="shared" si="2"/>
        <v>66112.68769999998</v>
      </c>
    </row>
    <row r="8" spans="1:45">
      <c r="A8" s="144">
        <f t="shared" si="3"/>
        <v>45750</v>
      </c>
      <c r="B8" s="141">
        <f>YEAR(Table7[[#This Row],[Date]])+IF(MONTH(Table7[[#This Row],[Date]])&gt;=4,1,0)</f>
        <v>2026</v>
      </c>
      <c r="C8" s="141">
        <f>YEAR(Table7[[#This Row],[Date]])</f>
        <v>2025</v>
      </c>
      <c r="D8" s="143">
        <f t="shared" si="1"/>
        <v>45748</v>
      </c>
      <c r="E8" s="146">
        <v>2246.2058333333325</v>
      </c>
      <c r="F8" s="146">
        <v>999.87633333333338</v>
      </c>
      <c r="G8" s="146">
        <v>2226.0731666666666</v>
      </c>
      <c r="H8" s="146">
        <v>964.80133333333345</v>
      </c>
      <c r="I8" s="146">
        <v>886.52666666666698</v>
      </c>
      <c r="J8" s="146">
        <v>310.4274999999999</v>
      </c>
      <c r="K8" s="146">
        <v>434.63866666666689</v>
      </c>
      <c r="L8" s="146">
        <v>696.49183333333326</v>
      </c>
      <c r="M8" s="146">
        <v>942.52483333333339</v>
      </c>
      <c r="N8" s="146">
        <v>2164.4180000000001</v>
      </c>
      <c r="O8" s="146">
        <v>725.64800000000002</v>
      </c>
      <c r="P8" s="146">
        <v>756.46233333333282</v>
      </c>
      <c r="Q8" s="146">
        <v>2369.3390000000004</v>
      </c>
      <c r="R8" s="146">
        <v>2369.0811666666673</v>
      </c>
      <c r="S8" s="146">
        <v>2227.3578333333335</v>
      </c>
      <c r="T8" s="146">
        <v>2284.8012833333328</v>
      </c>
      <c r="U8" s="146">
        <v>2242.3959999999993</v>
      </c>
      <c r="V8" s="146">
        <v>2133.467783333334</v>
      </c>
      <c r="W8" s="146">
        <v>722.12803333333352</v>
      </c>
      <c r="X8" s="146">
        <v>931.43303333333336</v>
      </c>
      <c r="Y8" s="146">
        <v>2229.9002000000005</v>
      </c>
      <c r="Z8" s="146">
        <v>1362.7018499999995</v>
      </c>
      <c r="AA8" s="146">
        <v>2262.5321833333333</v>
      </c>
      <c r="AB8" s="146">
        <v>1064.1639833333334</v>
      </c>
      <c r="AC8" s="146">
        <v>2218.1311333333329</v>
      </c>
      <c r="AD8" s="146">
        <v>670.96758333333332</v>
      </c>
      <c r="AE8" s="146">
        <v>487.78051666666653</v>
      </c>
      <c r="AF8" s="146">
        <v>0</v>
      </c>
      <c r="AG8" s="146">
        <v>1891.0716666666667</v>
      </c>
      <c r="AH8" s="146">
        <v>0</v>
      </c>
      <c r="AI8" s="146">
        <v>1266.728983333333</v>
      </c>
      <c r="AJ8" s="146">
        <v>571.09806666666668</v>
      </c>
      <c r="AK8" s="146">
        <v>344.84358333333336</v>
      </c>
      <c r="AL8" s="146">
        <v>2159.9288833333335</v>
      </c>
      <c r="AM8" s="146">
        <v>2167.4362666666666</v>
      </c>
      <c r="AN8" s="146">
        <v>-0.62418333333333365</v>
      </c>
      <c r="AO8" s="146">
        <v>1525.8424000000002</v>
      </c>
      <c r="AP8" s="146">
        <v>613.24250000000018</v>
      </c>
      <c r="AQ8" s="146">
        <v>2334.2306166666667</v>
      </c>
      <c r="AR8" s="146">
        <f t="shared" si="2"/>
        <v>51804.07486666667</v>
      </c>
    </row>
    <row r="9" spans="1:45">
      <c r="A9" s="144">
        <f t="shared" si="3"/>
        <v>45751</v>
      </c>
      <c r="B9" s="141">
        <f>YEAR(Table7[[#This Row],[Date]])+IF(MONTH(Table7[[#This Row],[Date]])&gt;=4,1,0)</f>
        <v>2026</v>
      </c>
      <c r="C9" s="141">
        <f>YEAR(Table7[[#This Row],[Date]])</f>
        <v>2025</v>
      </c>
      <c r="D9" s="143">
        <f t="shared" si="1"/>
        <v>45748</v>
      </c>
      <c r="E9" s="146">
        <v>2041.9637666666672</v>
      </c>
      <c r="F9" s="146">
        <v>388.95508333333333</v>
      </c>
      <c r="G9" s="146">
        <v>2124.0230499999998</v>
      </c>
      <c r="H9" s="146">
        <v>127.74198333333328</v>
      </c>
      <c r="I9" s="146">
        <v>918.12168333333295</v>
      </c>
      <c r="J9" s="146">
        <v>83.673766666666666</v>
      </c>
      <c r="K9" s="146">
        <v>539.66433333333327</v>
      </c>
      <c r="L9" s="146">
        <v>499.35776666666669</v>
      </c>
      <c r="M9" s="146">
        <v>465.22986666666651</v>
      </c>
      <c r="N9" s="146">
        <v>2022.4021666666672</v>
      </c>
      <c r="O9" s="146">
        <v>707.97529999999972</v>
      </c>
      <c r="P9" s="146">
        <v>724.69014999999956</v>
      </c>
      <c r="Q9" s="146">
        <v>1884.7469666666668</v>
      </c>
      <c r="R9" s="146">
        <v>2115.7314333333338</v>
      </c>
      <c r="S9" s="146">
        <v>2050.1539666666672</v>
      </c>
      <c r="T9" s="146">
        <v>111.51305000000001</v>
      </c>
      <c r="U9" s="146">
        <v>2221.5963333333339</v>
      </c>
      <c r="V9" s="146">
        <v>2113.498000000001</v>
      </c>
      <c r="W9" s="146">
        <v>747.05383333333327</v>
      </c>
      <c r="X9" s="146">
        <v>736.91550000000007</v>
      </c>
      <c r="Y9" s="146">
        <v>2084.2164333333344</v>
      </c>
      <c r="Z9" s="146">
        <v>1478.5471666666667</v>
      </c>
      <c r="AA9" s="146">
        <v>1975.435833333333</v>
      </c>
      <c r="AB9" s="146">
        <v>888.96533333333355</v>
      </c>
      <c r="AC9" s="146">
        <v>2010.7748333333336</v>
      </c>
      <c r="AD9" s="146">
        <v>476.84566666666626</v>
      </c>
      <c r="AE9" s="146">
        <v>507.57683333333313</v>
      </c>
      <c r="AF9" s="146">
        <v>0</v>
      </c>
      <c r="AG9" s="146">
        <v>2028.1924999999997</v>
      </c>
      <c r="AH9" s="146">
        <v>0</v>
      </c>
      <c r="AI9" s="146">
        <v>1944.1858333333334</v>
      </c>
      <c r="AJ9" s="146">
        <v>451.6691666666664</v>
      </c>
      <c r="AK9" s="146">
        <v>93.741333333333316</v>
      </c>
      <c r="AL9" s="146">
        <v>1857.9228333333333</v>
      </c>
      <c r="AM9" s="146">
        <v>2067.6373333333327</v>
      </c>
      <c r="AN9" s="146">
        <v>-2.4656666666666665</v>
      </c>
      <c r="AO9" s="146">
        <v>2138.7909166666677</v>
      </c>
      <c r="AP9" s="146">
        <v>441.67098333333314</v>
      </c>
      <c r="AQ9" s="146">
        <v>2200.4018333333338</v>
      </c>
      <c r="AR9" s="146">
        <f t="shared" si="2"/>
        <v>45269.117166666671</v>
      </c>
    </row>
    <row r="10" spans="1:45">
      <c r="A10" s="144">
        <f t="shared" si="3"/>
        <v>45752</v>
      </c>
      <c r="B10" s="141">
        <f>YEAR(Table7[[#This Row],[Date]])+IF(MONTH(Table7[[#This Row],[Date]])&gt;=4,1,0)</f>
        <v>2026</v>
      </c>
      <c r="C10" s="141">
        <f>YEAR(Table7[[#This Row],[Date]])</f>
        <v>2025</v>
      </c>
      <c r="D10" s="143">
        <f t="shared" si="1"/>
        <v>45748</v>
      </c>
      <c r="E10" s="146">
        <v>1876.6225833333326</v>
      </c>
      <c r="F10" s="146">
        <v>2453.1843333333345</v>
      </c>
      <c r="G10" s="146">
        <v>1792.9483333333339</v>
      </c>
      <c r="H10" s="146">
        <v>2211.3510000000019</v>
      </c>
      <c r="I10" s="146">
        <v>1764.4128166666674</v>
      </c>
      <c r="J10" s="146">
        <v>1666.3205000000007</v>
      </c>
      <c r="K10" s="146">
        <v>1910.9348333333332</v>
      </c>
      <c r="L10" s="146">
        <v>2018.7831999999994</v>
      </c>
      <c r="M10" s="146">
        <v>1635.861333333334</v>
      </c>
      <c r="N10" s="146">
        <v>1357.6993333333339</v>
      </c>
      <c r="O10" s="146">
        <v>1716.0804999999998</v>
      </c>
      <c r="P10" s="146">
        <v>1716.4269999999992</v>
      </c>
      <c r="Q10" s="146">
        <v>1822.3371166666673</v>
      </c>
      <c r="R10" s="146">
        <v>1593.3716666666669</v>
      </c>
      <c r="S10" s="146">
        <v>1444.4011666666656</v>
      </c>
      <c r="T10" s="146">
        <v>0</v>
      </c>
      <c r="U10" s="146">
        <v>2021.6524999999995</v>
      </c>
      <c r="V10" s="146">
        <v>2078.9626666666668</v>
      </c>
      <c r="W10" s="146">
        <v>2082.5694999999996</v>
      </c>
      <c r="X10" s="146">
        <v>2121.1534999999999</v>
      </c>
      <c r="Y10" s="146">
        <v>2701.0488333333342</v>
      </c>
      <c r="Z10" s="146">
        <v>2515.4811166666677</v>
      </c>
      <c r="AA10" s="146">
        <v>2220.826716666666</v>
      </c>
      <c r="AB10" s="146">
        <v>1930.8067166666656</v>
      </c>
      <c r="AC10" s="146">
        <v>2949.734966666666</v>
      </c>
      <c r="AD10" s="146">
        <v>1640.4507833333346</v>
      </c>
      <c r="AE10" s="146">
        <v>2557.8495500000008</v>
      </c>
      <c r="AF10" s="146">
        <v>0</v>
      </c>
      <c r="AG10" s="146">
        <v>2950.7668333333331</v>
      </c>
      <c r="AH10" s="146">
        <v>0</v>
      </c>
      <c r="AI10" s="146">
        <v>2629.0588666666667</v>
      </c>
      <c r="AJ10" s="146">
        <v>2369.3688500000012</v>
      </c>
      <c r="AK10" s="146">
        <v>2486.7690833333345</v>
      </c>
      <c r="AL10" s="146">
        <v>3025.3162166666657</v>
      </c>
      <c r="AM10" s="146">
        <v>2939.6088833333301</v>
      </c>
      <c r="AN10" s="146">
        <v>3016.1374499999988</v>
      </c>
      <c r="AO10" s="146">
        <v>2372.7200666666658</v>
      </c>
      <c r="AP10" s="146">
        <v>0</v>
      </c>
      <c r="AQ10" s="146">
        <v>2927.9751833333344</v>
      </c>
      <c r="AR10" s="146">
        <f t="shared" si="2"/>
        <v>76518.993999999977</v>
      </c>
    </row>
    <row r="11" spans="1:45">
      <c r="A11" s="144">
        <f t="shared" si="3"/>
        <v>45753</v>
      </c>
      <c r="B11" s="141">
        <f>YEAR(Table7[[#This Row],[Date]])+IF(MONTH(Table7[[#This Row],[Date]])&gt;=4,1,0)</f>
        <v>2026</v>
      </c>
      <c r="C11" s="141">
        <f>YEAR(Table7[[#This Row],[Date]])</f>
        <v>2025</v>
      </c>
      <c r="D11" s="143">
        <f t="shared" si="1"/>
        <v>45748</v>
      </c>
      <c r="E11" s="146">
        <v>1810.34755</v>
      </c>
      <c r="F11" s="146">
        <v>373.70601666666664</v>
      </c>
      <c r="G11" s="146">
        <v>2124.0685833333337</v>
      </c>
      <c r="H11" s="146">
        <v>120.35206666666654</v>
      </c>
      <c r="I11" s="146">
        <v>0</v>
      </c>
      <c r="J11" s="146">
        <v>372.11098333333342</v>
      </c>
      <c r="K11" s="146">
        <v>634.79501666666658</v>
      </c>
      <c r="L11" s="146">
        <v>349.2979666666667</v>
      </c>
      <c r="M11" s="146">
        <v>288.82096666666661</v>
      </c>
      <c r="N11" s="146">
        <v>1822.0808666666658</v>
      </c>
      <c r="O11" s="146">
        <v>624.64033333333373</v>
      </c>
      <c r="P11" s="146">
        <v>638.45799999999986</v>
      </c>
      <c r="Q11" s="146">
        <v>1762.0523166666662</v>
      </c>
      <c r="R11" s="146">
        <v>1807.9779999999989</v>
      </c>
      <c r="S11" s="146">
        <v>1542.3583999999998</v>
      </c>
      <c r="T11" s="146">
        <v>0</v>
      </c>
      <c r="U11" s="146">
        <v>2143.8435000000004</v>
      </c>
      <c r="V11" s="146">
        <v>1837.324666666666</v>
      </c>
      <c r="W11" s="146">
        <v>647.14899999999989</v>
      </c>
      <c r="X11" s="146">
        <v>444.1511666666666</v>
      </c>
      <c r="Y11" s="146">
        <v>2084.2164333333344</v>
      </c>
      <c r="Z11" s="146">
        <v>1478.5471666666667</v>
      </c>
      <c r="AA11" s="146">
        <v>1975.435833333333</v>
      </c>
      <c r="AB11" s="146">
        <v>888.96533333333355</v>
      </c>
      <c r="AC11" s="146">
        <v>2010.7748333333336</v>
      </c>
      <c r="AD11" s="146">
        <v>476.84566666666626</v>
      </c>
      <c r="AE11" s="146">
        <v>507.57683333333313</v>
      </c>
      <c r="AF11" s="146">
        <v>0</v>
      </c>
      <c r="AG11" s="146">
        <v>2028.1924999999997</v>
      </c>
      <c r="AH11" s="146">
        <v>0</v>
      </c>
      <c r="AI11" s="146">
        <v>1944.1858333333334</v>
      </c>
      <c r="AJ11" s="146">
        <v>451.6691666666664</v>
      </c>
      <c r="AK11" s="146">
        <v>93.741333333333316</v>
      </c>
      <c r="AL11" s="146">
        <v>1857.9228333333333</v>
      </c>
      <c r="AM11" s="146">
        <v>2067.6373333333327</v>
      </c>
      <c r="AN11" s="146">
        <v>2145</v>
      </c>
      <c r="AO11" s="146">
        <v>2138.7909166666677</v>
      </c>
      <c r="AP11" s="146">
        <v>441.67098333333314</v>
      </c>
      <c r="AQ11" s="146">
        <v>2200.4018333333338</v>
      </c>
      <c r="AR11" s="146">
        <f t="shared" si="2"/>
        <v>44135.110233333326</v>
      </c>
    </row>
    <row r="12" spans="1:45">
      <c r="A12" s="144">
        <f t="shared" si="3"/>
        <v>45754</v>
      </c>
      <c r="B12" s="141">
        <f>YEAR(Table7[[#This Row],[Date]])+IF(MONTH(Table7[[#This Row],[Date]])&gt;=4,1,0)</f>
        <v>2026</v>
      </c>
      <c r="C12" s="141">
        <f>YEAR(Table7[[#This Row],[Date]])</f>
        <v>2025</v>
      </c>
      <c r="D12" s="143">
        <f t="shared" si="1"/>
        <v>45748</v>
      </c>
      <c r="E12" s="146">
        <v>1891.7157500000003</v>
      </c>
      <c r="F12" s="146">
        <v>673.00799999999992</v>
      </c>
      <c r="G12" s="146">
        <v>2044.8962499999991</v>
      </c>
      <c r="H12" s="146">
        <v>479.92388333333338</v>
      </c>
      <c r="I12" s="146">
        <v>258.39031666666659</v>
      </c>
      <c r="J12" s="146">
        <v>586.39596666666648</v>
      </c>
      <c r="K12" s="146">
        <v>540.29575</v>
      </c>
      <c r="L12" s="146">
        <v>662.54766666666649</v>
      </c>
      <c r="M12" s="146">
        <v>457.55814999999996</v>
      </c>
      <c r="N12" s="146">
        <v>2060.9708000000005</v>
      </c>
      <c r="O12" s="146">
        <v>700.00543333333292</v>
      </c>
      <c r="P12" s="146">
        <v>762.46244999999999</v>
      </c>
      <c r="Q12" s="146">
        <v>2042.7491833333329</v>
      </c>
      <c r="R12" s="146">
        <v>2029.67965</v>
      </c>
      <c r="S12" s="146">
        <v>1694.1446000000005</v>
      </c>
      <c r="T12" s="146">
        <v>0</v>
      </c>
      <c r="U12" s="146">
        <v>2094.733883333332</v>
      </c>
      <c r="V12" s="146">
        <v>2125.3132833333334</v>
      </c>
      <c r="W12" s="146">
        <v>720.47644999999989</v>
      </c>
      <c r="X12" s="146">
        <v>1004.4538666666668</v>
      </c>
      <c r="Y12" s="146">
        <v>944.46948333333319</v>
      </c>
      <c r="Z12" s="146">
        <v>597.19669999999974</v>
      </c>
      <c r="AA12" s="146">
        <v>720.93865000000005</v>
      </c>
      <c r="AB12" s="146">
        <v>16.865766666666666</v>
      </c>
      <c r="AC12" s="146">
        <v>702.99058333333335</v>
      </c>
      <c r="AD12" s="146">
        <v>165.73039999999995</v>
      </c>
      <c r="AE12" s="146">
        <v>-68.187166666666656</v>
      </c>
      <c r="AF12" s="146">
        <v>0</v>
      </c>
      <c r="AG12" s="146">
        <v>725.90679999999986</v>
      </c>
      <c r="AH12" s="146">
        <v>0</v>
      </c>
      <c r="AI12" s="146">
        <v>702.3263833333333</v>
      </c>
      <c r="AJ12" s="146">
        <v>85.569649999999996</v>
      </c>
      <c r="AK12" s="146">
        <v>155.87611666666669</v>
      </c>
      <c r="AL12" s="146">
        <v>729.04363333333322</v>
      </c>
      <c r="AM12" s="146">
        <v>764.1744166666665</v>
      </c>
      <c r="AN12" s="146">
        <v>-1.6386333333333332</v>
      </c>
      <c r="AO12" s="146">
        <v>720.34506666666664</v>
      </c>
      <c r="AP12" s="146">
        <v>710</v>
      </c>
      <c r="AQ12" s="146">
        <v>759.73231666666675</v>
      </c>
      <c r="AR12" s="146">
        <f t="shared" si="2"/>
        <v>31261.061499999996</v>
      </c>
    </row>
    <row r="13" spans="1:45">
      <c r="A13" s="144">
        <f t="shared" si="3"/>
        <v>45755</v>
      </c>
      <c r="B13" s="141">
        <f>YEAR(Table7[[#This Row],[Date]])+IF(MONTH(Table7[[#This Row],[Date]])&gt;=4,1,0)</f>
        <v>2026</v>
      </c>
      <c r="C13" s="141">
        <f>YEAR(Table7[[#This Row],[Date]])</f>
        <v>2025</v>
      </c>
      <c r="D13" s="143">
        <f t="shared" si="1"/>
        <v>45748</v>
      </c>
      <c r="E13" s="146">
        <v>1910.5436500000003</v>
      </c>
      <c r="F13" s="146">
        <v>389.27631666666656</v>
      </c>
      <c r="G13" s="146">
        <v>2048.9177666666674</v>
      </c>
      <c r="H13" s="146">
        <v>-47.814383333333339</v>
      </c>
      <c r="I13" s="146">
        <v>623.87949999999933</v>
      </c>
      <c r="J13" s="146">
        <v>358.62706666666674</v>
      </c>
      <c r="K13" s="146">
        <v>561.9942166666666</v>
      </c>
      <c r="L13" s="146">
        <v>296.78370000000001</v>
      </c>
      <c r="M13" s="146">
        <v>178.84873333333331</v>
      </c>
      <c r="N13" s="146">
        <v>1892.5289999999995</v>
      </c>
      <c r="O13" s="146">
        <v>266.95285000000001</v>
      </c>
      <c r="P13" s="146">
        <v>603.17849999999976</v>
      </c>
      <c r="Q13" s="146">
        <v>1810.7305000000001</v>
      </c>
      <c r="R13" s="146">
        <v>1934.8088333333342</v>
      </c>
      <c r="S13" s="146">
        <v>1567.0378666666672</v>
      </c>
      <c r="T13" s="146">
        <v>0</v>
      </c>
      <c r="U13" s="146">
        <v>2093.9499999999994</v>
      </c>
      <c r="V13" s="146">
        <v>2007.1696666666671</v>
      </c>
      <c r="W13" s="146">
        <v>428.65283333333338</v>
      </c>
      <c r="X13" s="146">
        <v>384.52568333333329</v>
      </c>
      <c r="Y13" s="146">
        <v>2064.9750000000004</v>
      </c>
      <c r="Z13" s="146">
        <v>1452.7388333333331</v>
      </c>
      <c r="AA13" s="146">
        <v>1940.4756666666676</v>
      </c>
      <c r="AB13" s="146">
        <v>51.51666666666668</v>
      </c>
      <c r="AC13" s="146">
        <v>1888.1640000000009</v>
      </c>
      <c r="AD13" s="146">
        <v>376.71999999999997</v>
      </c>
      <c r="AE13" s="146">
        <v>142.92876666666666</v>
      </c>
      <c r="AF13" s="146">
        <v>0</v>
      </c>
      <c r="AG13" s="146">
        <v>1956.1253333333327</v>
      </c>
      <c r="AH13" s="146">
        <v>0</v>
      </c>
      <c r="AI13" s="146">
        <v>1867.1369999999999</v>
      </c>
      <c r="AJ13" s="146">
        <v>107.25991666666668</v>
      </c>
      <c r="AK13" s="146">
        <v>385.3044999999999</v>
      </c>
      <c r="AL13" s="146">
        <v>1937.8511666666666</v>
      </c>
      <c r="AM13" s="146">
        <v>2011.009499999999</v>
      </c>
      <c r="AN13" s="146">
        <v>-9.7051666666666669</v>
      </c>
      <c r="AO13" s="146">
        <v>2026.7744833333338</v>
      </c>
      <c r="AP13" s="146">
        <v>15.593049999999998</v>
      </c>
      <c r="AQ13" s="146">
        <v>2099.0948333333322</v>
      </c>
      <c r="AR13" s="146">
        <f t="shared" si="2"/>
        <v>39624.555850000004</v>
      </c>
    </row>
    <row r="14" spans="1:45">
      <c r="A14" s="144">
        <f t="shared" si="3"/>
        <v>45756</v>
      </c>
      <c r="B14" s="141">
        <f>YEAR(Table7[[#This Row],[Date]])+IF(MONTH(Table7[[#This Row],[Date]])&gt;=4,1,0)</f>
        <v>2026</v>
      </c>
      <c r="C14" s="141">
        <f>YEAR(Table7[[#This Row],[Date]])</f>
        <v>2025</v>
      </c>
      <c r="D14" s="143">
        <f t="shared" si="1"/>
        <v>45748</v>
      </c>
      <c r="E14" s="146">
        <v>616.53243333333342</v>
      </c>
      <c r="F14" s="146">
        <v>137.04673333333326</v>
      </c>
      <c r="G14" s="146">
        <v>567.34203333333346</v>
      </c>
      <c r="H14" s="146">
        <v>36.052350000000004</v>
      </c>
      <c r="I14" s="146">
        <v>752.84203333333335</v>
      </c>
      <c r="J14" s="146">
        <v>203.43821666666665</v>
      </c>
      <c r="K14" s="146">
        <v>198.48964999999998</v>
      </c>
      <c r="L14" s="146">
        <v>242.91606666666664</v>
      </c>
      <c r="M14" s="146">
        <v>0</v>
      </c>
      <c r="N14" s="146">
        <v>437.33828333333327</v>
      </c>
      <c r="O14" s="146">
        <v>202.86698333333328</v>
      </c>
      <c r="P14" s="146">
        <v>495.00813333333343</v>
      </c>
      <c r="Q14" s="146">
        <v>941.90301666666676</v>
      </c>
      <c r="R14" s="146">
        <v>2566.5919333333322</v>
      </c>
      <c r="S14" s="146">
        <v>1891.3042333333342</v>
      </c>
      <c r="T14" s="146">
        <v>427.4052999999999</v>
      </c>
      <c r="U14" s="146">
        <v>2182.9024333333323</v>
      </c>
      <c r="V14" s="146">
        <v>2428.2553666666659</v>
      </c>
      <c r="W14" s="146">
        <v>393.69996666666663</v>
      </c>
      <c r="X14" s="146">
        <v>582.72155000000043</v>
      </c>
      <c r="Y14" s="146">
        <v>2179.2962666666649</v>
      </c>
      <c r="Z14" s="146">
        <v>1444.5756666666666</v>
      </c>
      <c r="AA14" s="146">
        <v>2370.104499999999</v>
      </c>
      <c r="AB14" s="146">
        <v>687.62523333333297</v>
      </c>
      <c r="AC14" s="146">
        <v>2398.0270166666651</v>
      </c>
      <c r="AD14" s="146">
        <v>874.11031666666656</v>
      </c>
      <c r="AE14" s="146">
        <v>818.99668333333375</v>
      </c>
      <c r="AF14" s="146">
        <v>0</v>
      </c>
      <c r="AG14" s="146">
        <v>2465.840666666666</v>
      </c>
      <c r="AH14" s="146">
        <v>0</v>
      </c>
      <c r="AI14" s="146">
        <v>2208.1021166666665</v>
      </c>
      <c r="AJ14" s="146">
        <v>636.86476666666681</v>
      </c>
      <c r="AK14" s="146">
        <v>906.72396666666634</v>
      </c>
      <c r="AL14" s="146">
        <v>2368.0592833333349</v>
      </c>
      <c r="AM14" s="146">
        <v>2513.1358833333325</v>
      </c>
      <c r="AN14" s="146">
        <v>-4.2375833333333333</v>
      </c>
      <c r="AO14" s="146">
        <v>2640.5092666666669</v>
      </c>
      <c r="AP14" s="146">
        <v>0</v>
      </c>
      <c r="AQ14" s="146">
        <v>2760.1330166666658</v>
      </c>
      <c r="AR14" s="146">
        <f t="shared" si="2"/>
        <v>42572.523783333323</v>
      </c>
    </row>
    <row r="15" spans="1:45">
      <c r="A15" s="144">
        <f t="shared" si="3"/>
        <v>45757</v>
      </c>
      <c r="B15" s="141">
        <f>YEAR(Table7[[#This Row],[Date]])+IF(MONTH(Table7[[#This Row],[Date]])&gt;=4,1,0)</f>
        <v>2026</v>
      </c>
      <c r="C15" s="141">
        <f>YEAR(Table7[[#This Row],[Date]])</f>
        <v>2025</v>
      </c>
      <c r="D15" s="143">
        <f t="shared" si="1"/>
        <v>45748</v>
      </c>
      <c r="E15" s="141">
        <v>129</v>
      </c>
      <c r="F15" s="141">
        <v>129</v>
      </c>
      <c r="G15" s="141">
        <v>129</v>
      </c>
      <c r="H15" s="141">
        <v>129</v>
      </c>
      <c r="I15" s="141">
        <v>129</v>
      </c>
      <c r="J15" s="141">
        <v>129</v>
      </c>
      <c r="K15" s="141">
        <v>129</v>
      </c>
      <c r="L15" s="141">
        <v>129</v>
      </c>
      <c r="M15" s="141">
        <v>129</v>
      </c>
      <c r="N15" s="141">
        <v>129</v>
      </c>
      <c r="O15" s="141">
        <v>129</v>
      </c>
      <c r="P15" s="141">
        <v>129</v>
      </c>
      <c r="Q15" s="141">
        <v>129</v>
      </c>
      <c r="R15" s="141">
        <v>129</v>
      </c>
      <c r="S15" s="141">
        <v>129</v>
      </c>
      <c r="T15" s="141">
        <v>129</v>
      </c>
      <c r="U15" s="141">
        <v>129</v>
      </c>
      <c r="V15" s="141">
        <v>129</v>
      </c>
      <c r="W15" s="141">
        <v>129</v>
      </c>
      <c r="X15" s="141">
        <v>129</v>
      </c>
      <c r="Y15" s="141">
        <v>129</v>
      </c>
      <c r="Z15" s="141">
        <v>129</v>
      </c>
      <c r="AA15" s="141">
        <v>129</v>
      </c>
      <c r="AB15" s="141">
        <v>129</v>
      </c>
      <c r="AC15" s="141">
        <v>129</v>
      </c>
      <c r="AD15" s="141">
        <v>129</v>
      </c>
      <c r="AE15" s="141">
        <v>129</v>
      </c>
      <c r="AF15" s="141">
        <v>0</v>
      </c>
      <c r="AG15" s="141">
        <v>129</v>
      </c>
      <c r="AH15" s="141">
        <v>0</v>
      </c>
      <c r="AI15" s="141">
        <v>129</v>
      </c>
      <c r="AJ15" s="141">
        <v>129</v>
      </c>
      <c r="AK15" s="141">
        <v>129</v>
      </c>
      <c r="AL15" s="141">
        <v>129</v>
      </c>
      <c r="AM15" s="141">
        <v>129</v>
      </c>
      <c r="AN15" s="141">
        <v>-5</v>
      </c>
      <c r="AO15" s="141">
        <v>129</v>
      </c>
      <c r="AP15" s="141">
        <v>129</v>
      </c>
      <c r="AQ15" s="141">
        <v>129</v>
      </c>
      <c r="AR15" s="141">
        <f t="shared" si="2"/>
        <v>4639</v>
      </c>
      <c r="AS15" s="158" t="s">
        <v>614</v>
      </c>
    </row>
    <row r="16" spans="1:45">
      <c r="A16" s="144">
        <f t="shared" si="3"/>
        <v>45758</v>
      </c>
      <c r="B16" s="141">
        <f>YEAR(Table7[[#This Row],[Date]])+IF(MONTH(Table7[[#This Row],[Date]])&gt;=4,1,0)</f>
        <v>2026</v>
      </c>
      <c r="C16" s="141">
        <f>YEAR(Table7[[#This Row],[Date]])</f>
        <v>2025</v>
      </c>
      <c r="D16" s="143">
        <f t="shared" si="1"/>
        <v>45748</v>
      </c>
      <c r="E16" s="141">
        <v>0</v>
      </c>
      <c r="F16" s="141">
        <v>0</v>
      </c>
      <c r="G16" s="141">
        <v>0</v>
      </c>
      <c r="H16" s="141">
        <v>0</v>
      </c>
      <c r="I16" s="141">
        <v>0</v>
      </c>
      <c r="J16" s="141">
        <v>0</v>
      </c>
      <c r="K16" s="141">
        <v>0</v>
      </c>
      <c r="L16" s="141">
        <v>0</v>
      </c>
      <c r="M16" s="141">
        <v>0</v>
      </c>
      <c r="N16" s="141">
        <v>0</v>
      </c>
      <c r="O16" s="141">
        <v>0</v>
      </c>
      <c r="P16" s="141">
        <v>0</v>
      </c>
      <c r="Q16" s="141">
        <v>0</v>
      </c>
      <c r="R16" s="141">
        <v>0</v>
      </c>
      <c r="S16" s="141">
        <v>0</v>
      </c>
      <c r="T16" s="141">
        <v>0</v>
      </c>
      <c r="U16" s="141">
        <v>0</v>
      </c>
      <c r="V16" s="141">
        <v>0</v>
      </c>
      <c r="W16" s="141">
        <v>0</v>
      </c>
      <c r="X16" s="141">
        <v>0</v>
      </c>
      <c r="Y16" s="141">
        <v>0</v>
      </c>
      <c r="Z16" s="141">
        <v>0</v>
      </c>
      <c r="AA16" s="141">
        <v>0</v>
      </c>
      <c r="AB16" s="141">
        <v>0</v>
      </c>
      <c r="AC16" s="141">
        <v>0</v>
      </c>
      <c r="AD16" s="141">
        <v>0</v>
      </c>
      <c r="AE16" s="141">
        <v>0</v>
      </c>
      <c r="AF16" s="141">
        <v>0</v>
      </c>
      <c r="AG16" s="141">
        <v>0</v>
      </c>
      <c r="AH16" s="141">
        <v>0</v>
      </c>
      <c r="AI16" s="141">
        <v>0</v>
      </c>
      <c r="AJ16" s="141">
        <v>0</v>
      </c>
      <c r="AK16" s="141">
        <v>0</v>
      </c>
      <c r="AL16" s="141">
        <v>0</v>
      </c>
      <c r="AM16" s="141">
        <v>0</v>
      </c>
      <c r="AN16" s="141">
        <v>0</v>
      </c>
      <c r="AO16" s="141">
        <v>0</v>
      </c>
      <c r="AP16" s="141">
        <v>0</v>
      </c>
      <c r="AQ16" s="141">
        <v>0</v>
      </c>
      <c r="AR16" s="141">
        <f t="shared" si="2"/>
        <v>0</v>
      </c>
      <c r="AS16" s="158" t="s">
        <v>614</v>
      </c>
    </row>
    <row r="17" spans="1:45">
      <c r="A17" s="144">
        <f t="shared" si="3"/>
        <v>45759</v>
      </c>
      <c r="B17" s="141">
        <f>YEAR(Table7[[#This Row],[Date]])+IF(MONTH(Table7[[#This Row],[Date]])&gt;=4,1,0)</f>
        <v>2026</v>
      </c>
      <c r="C17" s="141">
        <f>YEAR(Table7[[#This Row],[Date]])</f>
        <v>2025</v>
      </c>
      <c r="D17" s="143">
        <f t="shared" si="1"/>
        <v>45748</v>
      </c>
      <c r="E17" s="141">
        <v>99</v>
      </c>
      <c r="F17" s="141">
        <v>99</v>
      </c>
      <c r="G17" s="141">
        <v>99</v>
      </c>
      <c r="H17" s="141">
        <v>99</v>
      </c>
      <c r="I17" s="141">
        <v>99</v>
      </c>
      <c r="J17" s="141">
        <v>99</v>
      </c>
      <c r="K17" s="141">
        <v>99</v>
      </c>
      <c r="L17" s="141">
        <v>99</v>
      </c>
      <c r="M17" s="141">
        <v>99</v>
      </c>
      <c r="N17" s="141">
        <v>99</v>
      </c>
      <c r="O17" s="141">
        <v>99</v>
      </c>
      <c r="P17" s="141">
        <v>99</v>
      </c>
      <c r="Q17" s="141">
        <v>99</v>
      </c>
      <c r="R17" s="141">
        <v>99</v>
      </c>
      <c r="S17" s="141">
        <v>99</v>
      </c>
      <c r="T17" s="141">
        <v>99</v>
      </c>
      <c r="U17" s="141">
        <v>99</v>
      </c>
      <c r="V17" s="141">
        <v>99</v>
      </c>
      <c r="W17" s="141">
        <v>99</v>
      </c>
      <c r="X17" s="141">
        <v>99</v>
      </c>
      <c r="Y17" s="141">
        <v>99</v>
      </c>
      <c r="Z17" s="141">
        <v>99</v>
      </c>
      <c r="AA17" s="141">
        <v>99</v>
      </c>
      <c r="AB17" s="141">
        <v>99</v>
      </c>
      <c r="AC17" s="141">
        <v>99</v>
      </c>
      <c r="AD17" s="141">
        <v>99</v>
      </c>
      <c r="AE17" s="141">
        <v>99</v>
      </c>
      <c r="AF17" s="141">
        <v>0</v>
      </c>
      <c r="AG17" s="141">
        <v>99</v>
      </c>
      <c r="AH17" s="141">
        <v>0</v>
      </c>
      <c r="AI17" s="141">
        <v>99</v>
      </c>
      <c r="AJ17" s="141">
        <v>99</v>
      </c>
      <c r="AK17" s="141">
        <v>99</v>
      </c>
      <c r="AL17" s="141">
        <v>99</v>
      </c>
      <c r="AM17" s="141">
        <v>99</v>
      </c>
      <c r="AN17" s="141">
        <v>99</v>
      </c>
      <c r="AO17" s="141">
        <v>99</v>
      </c>
      <c r="AP17" s="141">
        <v>99</v>
      </c>
      <c r="AQ17" s="141">
        <v>99</v>
      </c>
      <c r="AR17" s="141">
        <f t="shared" si="2"/>
        <v>3663</v>
      </c>
      <c r="AS17" s="158" t="s">
        <v>614</v>
      </c>
    </row>
    <row r="18" spans="1:45">
      <c r="A18" s="144">
        <f t="shared" si="3"/>
        <v>45760</v>
      </c>
      <c r="B18" s="141">
        <f>YEAR(Table7[[#This Row],[Date]])+IF(MONTH(Table7[[#This Row],[Date]])&gt;=4,1,0)</f>
        <v>2026</v>
      </c>
      <c r="C18" s="141">
        <f>YEAR(Table7[[#This Row],[Date]])</f>
        <v>2025</v>
      </c>
      <c r="D18" s="143">
        <f t="shared" si="1"/>
        <v>45748</v>
      </c>
      <c r="E18" s="141">
        <v>129</v>
      </c>
      <c r="F18" s="141">
        <v>129</v>
      </c>
      <c r="G18" s="141">
        <v>129</v>
      </c>
      <c r="H18" s="141">
        <v>129</v>
      </c>
      <c r="I18" s="141">
        <v>129</v>
      </c>
      <c r="J18" s="141">
        <v>129</v>
      </c>
      <c r="K18" s="141">
        <v>129</v>
      </c>
      <c r="L18" s="141">
        <v>129</v>
      </c>
      <c r="M18" s="141">
        <v>129</v>
      </c>
      <c r="N18" s="141">
        <v>129</v>
      </c>
      <c r="O18" s="141">
        <v>129</v>
      </c>
      <c r="P18" s="141">
        <v>129</v>
      </c>
      <c r="Q18" s="141">
        <v>129</v>
      </c>
      <c r="R18" s="141">
        <v>129</v>
      </c>
      <c r="S18" s="141">
        <v>129</v>
      </c>
      <c r="T18" s="141">
        <v>129</v>
      </c>
      <c r="U18" s="141">
        <v>129</v>
      </c>
      <c r="V18" s="141">
        <v>129</v>
      </c>
      <c r="W18" s="141">
        <v>129</v>
      </c>
      <c r="X18" s="141">
        <v>129</v>
      </c>
      <c r="Y18" s="141">
        <v>129</v>
      </c>
      <c r="Z18" s="141">
        <v>129</v>
      </c>
      <c r="AA18" s="141">
        <v>129</v>
      </c>
      <c r="AB18" s="141">
        <v>129</v>
      </c>
      <c r="AC18" s="141">
        <v>129</v>
      </c>
      <c r="AD18" s="141">
        <v>129</v>
      </c>
      <c r="AE18" s="141">
        <v>129</v>
      </c>
      <c r="AF18" s="141">
        <v>0</v>
      </c>
      <c r="AG18" s="141">
        <v>129</v>
      </c>
      <c r="AH18" s="141">
        <v>0</v>
      </c>
      <c r="AI18" s="141">
        <v>129</v>
      </c>
      <c r="AJ18" s="141">
        <v>129</v>
      </c>
      <c r="AK18" s="141">
        <v>129</v>
      </c>
      <c r="AL18" s="141">
        <v>129</v>
      </c>
      <c r="AM18" s="141">
        <v>129</v>
      </c>
      <c r="AN18" s="141">
        <v>129</v>
      </c>
      <c r="AO18" s="141">
        <v>129</v>
      </c>
      <c r="AP18" s="141">
        <v>129</v>
      </c>
      <c r="AQ18" s="141">
        <v>129</v>
      </c>
      <c r="AR18" s="141">
        <f t="shared" si="2"/>
        <v>4773</v>
      </c>
      <c r="AS18" s="158" t="s">
        <v>614</v>
      </c>
    </row>
    <row r="19" spans="1:45">
      <c r="A19" s="144">
        <f t="shared" si="3"/>
        <v>45761</v>
      </c>
      <c r="B19" s="141">
        <f>YEAR(Table7[[#This Row],[Date]])+IF(MONTH(Table7[[#This Row],[Date]])&gt;=4,1,0)</f>
        <v>2026</v>
      </c>
      <c r="C19" s="141">
        <f>YEAR(Table7[[#This Row],[Date]])</f>
        <v>2025</v>
      </c>
      <c r="D19" s="143">
        <f t="shared" si="1"/>
        <v>45748</v>
      </c>
      <c r="E19" s="141">
        <v>129</v>
      </c>
      <c r="F19" s="141">
        <v>129</v>
      </c>
      <c r="G19" s="141">
        <v>129</v>
      </c>
      <c r="H19" s="141">
        <v>129</v>
      </c>
      <c r="I19" s="141">
        <v>129</v>
      </c>
      <c r="J19" s="141">
        <v>129</v>
      </c>
      <c r="K19" s="141">
        <v>129</v>
      </c>
      <c r="L19" s="141">
        <v>129</v>
      </c>
      <c r="M19" s="141">
        <v>129</v>
      </c>
      <c r="N19" s="141">
        <v>129</v>
      </c>
      <c r="O19" s="141">
        <v>129</v>
      </c>
      <c r="P19" s="141">
        <v>129</v>
      </c>
      <c r="Q19" s="141">
        <v>129</v>
      </c>
      <c r="R19" s="141">
        <v>129</v>
      </c>
      <c r="S19" s="141">
        <v>129</v>
      </c>
      <c r="T19" s="141">
        <v>129</v>
      </c>
      <c r="U19" s="141">
        <v>129</v>
      </c>
      <c r="V19" s="141">
        <v>129</v>
      </c>
      <c r="W19" s="141">
        <v>129</v>
      </c>
      <c r="X19" s="141">
        <v>129</v>
      </c>
      <c r="Y19" s="141">
        <v>129</v>
      </c>
      <c r="Z19" s="141">
        <v>129</v>
      </c>
      <c r="AA19" s="141">
        <v>129</v>
      </c>
      <c r="AB19" s="141">
        <v>129</v>
      </c>
      <c r="AC19" s="141">
        <v>129</v>
      </c>
      <c r="AD19" s="141">
        <v>129</v>
      </c>
      <c r="AE19" s="141">
        <v>129</v>
      </c>
      <c r="AF19" s="141">
        <v>0</v>
      </c>
      <c r="AG19" s="141">
        <v>129</v>
      </c>
      <c r="AH19" s="141">
        <v>0</v>
      </c>
      <c r="AI19" s="141">
        <v>129</v>
      </c>
      <c r="AJ19" s="141">
        <v>129</v>
      </c>
      <c r="AK19" s="141">
        <v>129</v>
      </c>
      <c r="AL19" s="141">
        <v>129</v>
      </c>
      <c r="AM19" s="141">
        <v>129</v>
      </c>
      <c r="AN19" s="141">
        <v>129</v>
      </c>
      <c r="AO19" s="141">
        <v>129</v>
      </c>
      <c r="AP19" s="141">
        <v>129</v>
      </c>
      <c r="AQ19" s="141">
        <v>129</v>
      </c>
      <c r="AR19" s="141">
        <f t="shared" si="2"/>
        <v>4773</v>
      </c>
      <c r="AS19" s="158" t="s">
        <v>614</v>
      </c>
    </row>
    <row r="20" spans="1:45">
      <c r="A20" s="144">
        <f t="shared" si="3"/>
        <v>45762</v>
      </c>
      <c r="B20" s="141">
        <f>YEAR(Table7[[#This Row],[Date]])+IF(MONTH(Table7[[#This Row],[Date]])&gt;=4,1,0)</f>
        <v>2026</v>
      </c>
      <c r="C20" s="141">
        <f>YEAR(Table7[[#This Row],[Date]])</f>
        <v>2025</v>
      </c>
      <c r="D20" s="143">
        <f t="shared" si="1"/>
        <v>45748</v>
      </c>
      <c r="E20" s="141">
        <v>129</v>
      </c>
      <c r="F20" s="141">
        <v>129</v>
      </c>
      <c r="G20" s="141">
        <v>129</v>
      </c>
      <c r="H20" s="141">
        <v>129</v>
      </c>
      <c r="I20" s="141">
        <v>129</v>
      </c>
      <c r="J20" s="141">
        <v>129</v>
      </c>
      <c r="K20" s="141">
        <v>129</v>
      </c>
      <c r="L20" s="141">
        <v>129</v>
      </c>
      <c r="M20" s="141">
        <v>129</v>
      </c>
      <c r="N20" s="141">
        <v>129</v>
      </c>
      <c r="O20" s="141">
        <v>129</v>
      </c>
      <c r="P20" s="141">
        <v>129</v>
      </c>
      <c r="Q20" s="141">
        <v>129</v>
      </c>
      <c r="R20" s="141">
        <v>129</v>
      </c>
      <c r="S20" s="141">
        <v>129</v>
      </c>
      <c r="T20" s="141">
        <v>129</v>
      </c>
      <c r="U20" s="141">
        <v>129</v>
      </c>
      <c r="V20" s="141">
        <v>129</v>
      </c>
      <c r="W20" s="141">
        <v>129</v>
      </c>
      <c r="X20" s="141">
        <v>129</v>
      </c>
      <c r="Y20" s="141">
        <v>129</v>
      </c>
      <c r="Z20" s="141">
        <v>129</v>
      </c>
      <c r="AA20" s="141">
        <v>129</v>
      </c>
      <c r="AB20" s="141">
        <v>129</v>
      </c>
      <c r="AC20" s="141">
        <v>129</v>
      </c>
      <c r="AD20" s="141">
        <v>129</v>
      </c>
      <c r="AE20" s="141">
        <v>129</v>
      </c>
      <c r="AF20" s="141">
        <v>0</v>
      </c>
      <c r="AG20" s="141">
        <v>129</v>
      </c>
      <c r="AH20" s="141">
        <v>0</v>
      </c>
      <c r="AI20" s="141">
        <v>129</v>
      </c>
      <c r="AJ20" s="141">
        <v>129</v>
      </c>
      <c r="AK20" s="141">
        <v>129</v>
      </c>
      <c r="AL20" s="141">
        <v>129</v>
      </c>
      <c r="AM20" s="141">
        <v>129</v>
      </c>
      <c r="AN20" s="141">
        <v>129</v>
      </c>
      <c r="AO20" s="141">
        <v>129</v>
      </c>
      <c r="AP20" s="141">
        <v>129</v>
      </c>
      <c r="AQ20" s="141">
        <v>129</v>
      </c>
      <c r="AR20" s="141">
        <f t="shared" si="2"/>
        <v>4773</v>
      </c>
      <c r="AS20" s="158" t="s">
        <v>614</v>
      </c>
    </row>
    <row r="21" spans="1:45">
      <c r="A21" s="144">
        <f t="shared" si="3"/>
        <v>45763</v>
      </c>
      <c r="B21" s="141">
        <f>YEAR(Table7[[#This Row],[Date]])+IF(MONTH(Table7[[#This Row],[Date]])&gt;=4,1,0)</f>
        <v>2026</v>
      </c>
      <c r="C21" s="141">
        <f>YEAR(Table7[[#This Row],[Date]])</f>
        <v>2025</v>
      </c>
      <c r="D21" s="143">
        <f t="shared" si="1"/>
        <v>45748</v>
      </c>
      <c r="E21" s="141">
        <v>97</v>
      </c>
      <c r="F21" s="141">
        <v>97</v>
      </c>
      <c r="G21" s="141">
        <v>97</v>
      </c>
      <c r="H21" s="141">
        <v>97</v>
      </c>
      <c r="I21" s="141">
        <v>97</v>
      </c>
      <c r="J21" s="141">
        <v>97</v>
      </c>
      <c r="K21" s="141">
        <v>97</v>
      </c>
      <c r="L21" s="141">
        <v>97</v>
      </c>
      <c r="M21" s="141">
        <v>97</v>
      </c>
      <c r="N21" s="141">
        <v>97</v>
      </c>
      <c r="O21" s="141">
        <v>97</v>
      </c>
      <c r="P21" s="141">
        <v>97</v>
      </c>
      <c r="Q21" s="141">
        <v>97</v>
      </c>
      <c r="R21" s="141">
        <v>97</v>
      </c>
      <c r="S21" s="141">
        <v>97</v>
      </c>
      <c r="T21" s="141">
        <v>97</v>
      </c>
      <c r="U21" s="141">
        <v>97</v>
      </c>
      <c r="V21" s="141">
        <v>97</v>
      </c>
      <c r="W21" s="141">
        <v>97</v>
      </c>
      <c r="X21" s="141">
        <v>97</v>
      </c>
      <c r="Y21" s="141">
        <v>97</v>
      </c>
      <c r="Z21" s="141">
        <v>97</v>
      </c>
      <c r="AA21" s="141">
        <v>97</v>
      </c>
      <c r="AB21" s="141">
        <v>97</v>
      </c>
      <c r="AC21" s="141">
        <v>97</v>
      </c>
      <c r="AD21" s="141">
        <v>97</v>
      </c>
      <c r="AE21" s="141">
        <v>97</v>
      </c>
      <c r="AF21" s="141">
        <v>0</v>
      </c>
      <c r="AG21" s="141">
        <v>97</v>
      </c>
      <c r="AH21" s="141">
        <v>0</v>
      </c>
      <c r="AI21" s="141">
        <v>97</v>
      </c>
      <c r="AJ21" s="141">
        <v>97</v>
      </c>
      <c r="AK21" s="141">
        <v>97</v>
      </c>
      <c r="AL21" s="141">
        <v>97</v>
      </c>
      <c r="AM21" s="141">
        <v>97</v>
      </c>
      <c r="AN21" s="141">
        <v>97</v>
      </c>
      <c r="AO21" s="141">
        <v>97</v>
      </c>
      <c r="AP21" s="141">
        <v>97</v>
      </c>
      <c r="AQ21" s="141">
        <v>97</v>
      </c>
      <c r="AR21" s="141">
        <f t="shared" si="2"/>
        <v>3589</v>
      </c>
      <c r="AS21" s="158" t="s">
        <v>614</v>
      </c>
    </row>
    <row r="22" spans="1:45">
      <c r="A22" s="144">
        <f t="shared" si="3"/>
        <v>45764</v>
      </c>
      <c r="B22" s="141">
        <f>YEAR(Table7[[#This Row],[Date]])+IF(MONTH(Table7[[#This Row],[Date]])&gt;=4,1,0)</f>
        <v>2026</v>
      </c>
      <c r="C22" s="141">
        <f>YEAR(Table7[[#This Row],[Date]])</f>
        <v>2025</v>
      </c>
      <c r="D22" s="143">
        <f t="shared" si="1"/>
        <v>45748</v>
      </c>
      <c r="E22" s="141">
        <v>97</v>
      </c>
      <c r="F22" s="141">
        <v>97</v>
      </c>
      <c r="G22" s="141">
        <v>97</v>
      </c>
      <c r="H22" s="141">
        <v>97</v>
      </c>
      <c r="I22" s="141">
        <v>97</v>
      </c>
      <c r="J22" s="141">
        <v>97</v>
      </c>
      <c r="K22" s="141">
        <v>97</v>
      </c>
      <c r="L22" s="141">
        <v>97</v>
      </c>
      <c r="M22" s="141">
        <v>97</v>
      </c>
      <c r="N22" s="141">
        <v>97</v>
      </c>
      <c r="O22" s="141">
        <v>97</v>
      </c>
      <c r="P22" s="141">
        <v>97</v>
      </c>
      <c r="Q22" s="141">
        <v>97</v>
      </c>
      <c r="R22" s="141">
        <v>97</v>
      </c>
      <c r="S22" s="141">
        <v>97</v>
      </c>
      <c r="T22" s="141">
        <v>97</v>
      </c>
      <c r="U22" s="141">
        <v>97</v>
      </c>
      <c r="V22" s="141">
        <v>97</v>
      </c>
      <c r="W22" s="141">
        <v>97</v>
      </c>
      <c r="X22" s="141">
        <v>97</v>
      </c>
      <c r="Y22" s="141">
        <v>97</v>
      </c>
      <c r="Z22" s="141">
        <v>97</v>
      </c>
      <c r="AA22" s="141">
        <v>97</v>
      </c>
      <c r="AB22" s="141">
        <v>97</v>
      </c>
      <c r="AC22" s="141">
        <v>97</v>
      </c>
      <c r="AD22" s="141">
        <v>97</v>
      </c>
      <c r="AE22" s="141">
        <v>97</v>
      </c>
      <c r="AF22" s="141">
        <v>0</v>
      </c>
      <c r="AG22" s="141">
        <v>97</v>
      </c>
      <c r="AH22" s="141">
        <v>0</v>
      </c>
      <c r="AI22" s="141">
        <v>97</v>
      </c>
      <c r="AJ22" s="141">
        <v>97</v>
      </c>
      <c r="AK22" s="141">
        <v>97</v>
      </c>
      <c r="AL22" s="141">
        <v>97</v>
      </c>
      <c r="AM22" s="141">
        <v>97</v>
      </c>
      <c r="AN22" s="141">
        <v>97</v>
      </c>
      <c r="AO22" s="141">
        <v>97</v>
      </c>
      <c r="AP22" s="141">
        <v>97</v>
      </c>
      <c r="AQ22" s="141">
        <v>97</v>
      </c>
      <c r="AR22" s="141">
        <f t="shared" si="2"/>
        <v>3589</v>
      </c>
      <c r="AS22" s="158" t="s">
        <v>614</v>
      </c>
    </row>
    <row r="23" spans="1:45">
      <c r="A23" s="144">
        <f t="shared" si="3"/>
        <v>45765</v>
      </c>
      <c r="B23" s="141">
        <f>YEAR(Table7[[#This Row],[Date]])+IF(MONTH(Table7[[#This Row],[Date]])&gt;=4,1,0)</f>
        <v>2026</v>
      </c>
      <c r="C23" s="141">
        <f>YEAR(Table7[[#This Row],[Date]])</f>
        <v>2025</v>
      </c>
      <c r="D23" s="143">
        <f t="shared" si="1"/>
        <v>45748</v>
      </c>
      <c r="E23" s="146">
        <v>194.59459459459458</v>
      </c>
      <c r="F23" s="146">
        <v>194.59459459459458</v>
      </c>
      <c r="G23" s="146">
        <v>194.59459459459458</v>
      </c>
      <c r="H23" s="146">
        <v>194.59459459459458</v>
      </c>
      <c r="I23" s="146">
        <v>194.59459459459458</v>
      </c>
      <c r="J23" s="146">
        <v>194.59459459459458</v>
      </c>
      <c r="K23" s="146">
        <v>194.59459459459458</v>
      </c>
      <c r="L23" s="146">
        <v>194.59459459459458</v>
      </c>
      <c r="M23" s="146">
        <v>194.59459459459458</v>
      </c>
      <c r="N23" s="146">
        <v>194.59459459459458</v>
      </c>
      <c r="O23" s="146">
        <v>194.59459459459458</v>
      </c>
      <c r="P23" s="146">
        <v>194.59459459459458</v>
      </c>
      <c r="Q23" s="146">
        <v>194.59459459459458</v>
      </c>
      <c r="R23" s="146">
        <v>194.59459459459458</v>
      </c>
      <c r="S23" s="146">
        <v>194.59459459459458</v>
      </c>
      <c r="T23" s="146">
        <v>194.59459459459458</v>
      </c>
      <c r="U23" s="146">
        <v>194.59459459459458</v>
      </c>
      <c r="V23" s="146">
        <v>194.59459459459458</v>
      </c>
      <c r="W23" s="146">
        <v>194.59459459459458</v>
      </c>
      <c r="X23" s="146">
        <v>194.59459459459458</v>
      </c>
      <c r="Y23" s="146">
        <v>194.59459459459458</v>
      </c>
      <c r="Z23" s="146">
        <v>194.59459459459458</v>
      </c>
      <c r="AA23" s="146">
        <v>194.59459459459458</v>
      </c>
      <c r="AB23" s="146">
        <v>194.59459459459458</v>
      </c>
      <c r="AC23" s="146">
        <v>194.59459459459458</v>
      </c>
      <c r="AD23" s="146">
        <v>194.59459459459458</v>
      </c>
      <c r="AE23" s="146">
        <v>194.59459459459458</v>
      </c>
      <c r="AF23" s="146">
        <v>0</v>
      </c>
      <c r="AG23" s="146">
        <v>194.59459459459458</v>
      </c>
      <c r="AH23" s="146">
        <v>0</v>
      </c>
      <c r="AI23" s="146">
        <v>194.59459459459458</v>
      </c>
      <c r="AJ23" s="146">
        <v>194.59459459459458</v>
      </c>
      <c r="AK23" s="146">
        <v>194.59459459459458</v>
      </c>
      <c r="AL23" s="146">
        <v>194.59459459459458</v>
      </c>
      <c r="AM23" s="146">
        <v>194.59459459459458</v>
      </c>
      <c r="AN23" s="146">
        <v>194.59459459459458</v>
      </c>
      <c r="AO23" s="146">
        <v>194.59459459459458</v>
      </c>
      <c r="AP23" s="146">
        <v>194.59459459459458</v>
      </c>
      <c r="AQ23" s="146">
        <v>194.59459459459458</v>
      </c>
      <c r="AR23" s="146">
        <f t="shared" si="2"/>
        <v>7200.0000000000055</v>
      </c>
      <c r="AS23" s="158" t="s">
        <v>614</v>
      </c>
    </row>
    <row r="24" spans="1:45">
      <c r="A24" s="144">
        <f t="shared" si="3"/>
        <v>45766</v>
      </c>
      <c r="B24" s="141">
        <f>YEAR(Table7[[#This Row],[Date]])+IF(MONTH(Table7[[#This Row],[Date]])&gt;=4,1,0)</f>
        <v>2026</v>
      </c>
      <c r="C24" s="141">
        <f>YEAR(Table7[[#This Row],[Date]])</f>
        <v>2025</v>
      </c>
      <c r="D24" s="143">
        <f t="shared" si="1"/>
        <v>45748</v>
      </c>
      <c r="E24" s="141">
        <v>0</v>
      </c>
      <c r="F24" s="141">
        <v>0</v>
      </c>
      <c r="G24" s="141">
        <v>0</v>
      </c>
      <c r="H24" s="141">
        <v>0</v>
      </c>
      <c r="I24" s="141">
        <v>0</v>
      </c>
      <c r="J24" s="141">
        <v>0</v>
      </c>
      <c r="K24" s="141">
        <v>0</v>
      </c>
      <c r="L24" s="141">
        <v>0</v>
      </c>
      <c r="M24" s="141">
        <v>0</v>
      </c>
      <c r="N24" s="141">
        <v>0</v>
      </c>
      <c r="O24" s="141">
        <v>0</v>
      </c>
      <c r="P24" s="141">
        <v>0</v>
      </c>
      <c r="Q24" s="141">
        <v>0</v>
      </c>
      <c r="R24" s="141">
        <v>0</v>
      </c>
      <c r="S24" s="141">
        <v>0</v>
      </c>
      <c r="T24" s="141">
        <v>0</v>
      </c>
      <c r="U24" s="141">
        <v>0</v>
      </c>
      <c r="V24" s="141">
        <v>0</v>
      </c>
      <c r="W24" s="141">
        <v>0</v>
      </c>
      <c r="X24" s="141">
        <v>0</v>
      </c>
      <c r="Y24" s="141">
        <v>0</v>
      </c>
      <c r="Z24" s="141">
        <v>0</v>
      </c>
      <c r="AA24" s="141">
        <v>0</v>
      </c>
      <c r="AB24" s="141">
        <v>0</v>
      </c>
      <c r="AC24" s="141">
        <v>0</v>
      </c>
      <c r="AD24" s="141">
        <v>0</v>
      </c>
      <c r="AE24" s="141">
        <v>0</v>
      </c>
      <c r="AF24" s="141">
        <v>0</v>
      </c>
      <c r="AG24" s="141">
        <v>0</v>
      </c>
      <c r="AH24" s="141">
        <v>0</v>
      </c>
      <c r="AI24" s="141">
        <v>0</v>
      </c>
      <c r="AJ24" s="141">
        <v>0</v>
      </c>
      <c r="AK24" s="141">
        <v>0</v>
      </c>
      <c r="AL24" s="141">
        <v>0</v>
      </c>
      <c r="AM24" s="141">
        <v>0</v>
      </c>
      <c r="AN24" s="141">
        <v>0</v>
      </c>
      <c r="AO24" s="141">
        <v>0</v>
      </c>
      <c r="AP24" s="141">
        <v>0</v>
      </c>
      <c r="AQ24" s="141">
        <v>0</v>
      </c>
      <c r="AR24" s="141">
        <f t="shared" si="2"/>
        <v>0</v>
      </c>
      <c r="AS24" s="158" t="s">
        <v>614</v>
      </c>
    </row>
    <row r="25" spans="1:45">
      <c r="A25" s="144">
        <f t="shared" si="3"/>
        <v>45767</v>
      </c>
      <c r="B25" s="141">
        <f>YEAR(Table7[[#This Row],[Date]])+IF(MONTH(Table7[[#This Row],[Date]])&gt;=4,1,0)</f>
        <v>2026</v>
      </c>
      <c r="C25" s="141">
        <f>YEAR(Table7[[#This Row],[Date]])</f>
        <v>2025</v>
      </c>
      <c r="D25" s="143">
        <f t="shared" si="1"/>
        <v>45748</v>
      </c>
      <c r="E25" s="141">
        <v>0</v>
      </c>
      <c r="F25" s="141">
        <v>0</v>
      </c>
      <c r="G25" s="141">
        <v>0</v>
      </c>
      <c r="H25" s="141">
        <v>0</v>
      </c>
      <c r="I25" s="141">
        <v>0</v>
      </c>
      <c r="J25" s="141">
        <v>0</v>
      </c>
      <c r="K25" s="141">
        <v>0</v>
      </c>
      <c r="L25" s="141">
        <v>0</v>
      </c>
      <c r="M25" s="141">
        <v>0</v>
      </c>
      <c r="N25" s="141">
        <v>0</v>
      </c>
      <c r="O25" s="141">
        <v>0</v>
      </c>
      <c r="P25" s="141">
        <v>0</v>
      </c>
      <c r="Q25" s="141">
        <v>0</v>
      </c>
      <c r="R25" s="141">
        <v>0</v>
      </c>
      <c r="S25" s="141">
        <v>0</v>
      </c>
      <c r="T25" s="141">
        <v>0</v>
      </c>
      <c r="U25" s="141">
        <v>0</v>
      </c>
      <c r="V25" s="141">
        <v>0</v>
      </c>
      <c r="W25" s="141">
        <v>0</v>
      </c>
      <c r="X25" s="141">
        <v>0</v>
      </c>
      <c r="Y25" s="141">
        <v>0</v>
      </c>
      <c r="Z25" s="141">
        <v>0</v>
      </c>
      <c r="AA25" s="141">
        <v>0</v>
      </c>
      <c r="AB25" s="141">
        <v>0</v>
      </c>
      <c r="AC25" s="141">
        <v>0</v>
      </c>
      <c r="AD25" s="141">
        <v>0</v>
      </c>
      <c r="AE25" s="141">
        <v>0</v>
      </c>
      <c r="AF25" s="141">
        <v>0</v>
      </c>
      <c r="AG25" s="141">
        <v>0</v>
      </c>
      <c r="AH25" s="141">
        <v>0</v>
      </c>
      <c r="AI25" s="141">
        <v>0</v>
      </c>
      <c r="AJ25" s="141">
        <v>0</v>
      </c>
      <c r="AK25" s="141">
        <v>0</v>
      </c>
      <c r="AL25" s="141">
        <v>0</v>
      </c>
      <c r="AM25" s="141">
        <v>0</v>
      </c>
      <c r="AN25" s="141">
        <v>0</v>
      </c>
      <c r="AO25" s="141">
        <v>0</v>
      </c>
      <c r="AP25" s="141">
        <v>0</v>
      </c>
      <c r="AQ25" s="141">
        <v>0</v>
      </c>
      <c r="AR25" s="141">
        <f t="shared" si="2"/>
        <v>0</v>
      </c>
      <c r="AS25" s="158" t="s">
        <v>614</v>
      </c>
    </row>
    <row r="26" spans="1:45">
      <c r="A26" s="144">
        <f t="shared" si="3"/>
        <v>45768</v>
      </c>
      <c r="B26" s="141">
        <f>YEAR(Table7[[#This Row],[Date]])+IF(MONTH(Table7[[#This Row],[Date]])&gt;=4,1,0)</f>
        <v>2026</v>
      </c>
      <c r="C26" s="141">
        <f>YEAR(Table7[[#This Row],[Date]])</f>
        <v>2025</v>
      </c>
      <c r="D26" s="143">
        <f t="shared" si="1"/>
        <v>45748</v>
      </c>
      <c r="E26" s="141">
        <v>227</v>
      </c>
      <c r="F26" s="141">
        <v>227</v>
      </c>
      <c r="G26" s="141">
        <v>227</v>
      </c>
      <c r="H26" s="141">
        <v>227</v>
      </c>
      <c r="I26" s="141">
        <v>227</v>
      </c>
      <c r="J26" s="141">
        <v>227</v>
      </c>
      <c r="K26" s="141">
        <v>227</v>
      </c>
      <c r="L26" s="141">
        <v>227</v>
      </c>
      <c r="M26" s="141">
        <v>227</v>
      </c>
      <c r="N26" s="141">
        <v>227</v>
      </c>
      <c r="O26" s="141">
        <v>227</v>
      </c>
      <c r="P26" s="141">
        <v>227</v>
      </c>
      <c r="Q26" s="141">
        <v>227</v>
      </c>
      <c r="R26" s="141">
        <v>227</v>
      </c>
      <c r="S26" s="141">
        <v>227</v>
      </c>
      <c r="T26" s="141">
        <v>227</v>
      </c>
      <c r="U26" s="141">
        <v>227</v>
      </c>
      <c r="V26" s="141">
        <v>227</v>
      </c>
      <c r="W26" s="141">
        <v>227</v>
      </c>
      <c r="X26" s="141">
        <v>227</v>
      </c>
      <c r="Y26" s="141">
        <v>227</v>
      </c>
      <c r="Z26" s="141">
        <v>227</v>
      </c>
      <c r="AA26" s="141">
        <v>227</v>
      </c>
      <c r="AB26" s="141">
        <v>227</v>
      </c>
      <c r="AC26" s="141">
        <v>227</v>
      </c>
      <c r="AD26" s="141">
        <v>227</v>
      </c>
      <c r="AE26" s="141">
        <v>227</v>
      </c>
      <c r="AF26" s="141">
        <v>0</v>
      </c>
      <c r="AG26" s="141">
        <v>227</v>
      </c>
      <c r="AH26" s="141">
        <v>0</v>
      </c>
      <c r="AI26" s="141">
        <v>227</v>
      </c>
      <c r="AJ26" s="141">
        <v>227</v>
      </c>
      <c r="AK26" s="141">
        <v>227</v>
      </c>
      <c r="AL26" s="141">
        <v>227</v>
      </c>
      <c r="AM26" s="141">
        <v>227</v>
      </c>
      <c r="AN26" s="141">
        <v>227</v>
      </c>
      <c r="AO26" s="141">
        <v>227</v>
      </c>
      <c r="AP26" s="141">
        <v>227</v>
      </c>
      <c r="AQ26" s="141">
        <v>227</v>
      </c>
      <c r="AR26" s="141">
        <f t="shared" si="2"/>
        <v>8399</v>
      </c>
      <c r="AS26" s="158" t="s">
        <v>614</v>
      </c>
    </row>
    <row r="27" spans="1:45">
      <c r="A27" s="144">
        <f t="shared" si="3"/>
        <v>45769</v>
      </c>
      <c r="B27" s="141">
        <f>YEAR(Table7[[#This Row],[Date]])+IF(MONTH(Table7[[#This Row],[Date]])&gt;=4,1,0)</f>
        <v>2026</v>
      </c>
      <c r="C27" s="141">
        <f>YEAR(Table7[[#This Row],[Date]])</f>
        <v>2025</v>
      </c>
      <c r="D27" s="143">
        <f t="shared" si="1"/>
        <v>45748</v>
      </c>
      <c r="E27" s="141">
        <v>227</v>
      </c>
      <c r="F27" s="141">
        <v>227</v>
      </c>
      <c r="G27" s="141">
        <v>227</v>
      </c>
      <c r="H27" s="141">
        <v>227</v>
      </c>
      <c r="I27" s="141">
        <v>227</v>
      </c>
      <c r="J27" s="141">
        <v>227</v>
      </c>
      <c r="K27" s="141">
        <v>227</v>
      </c>
      <c r="L27" s="141">
        <v>227</v>
      </c>
      <c r="M27" s="141">
        <v>227</v>
      </c>
      <c r="N27" s="141">
        <v>227</v>
      </c>
      <c r="O27" s="141">
        <v>227</v>
      </c>
      <c r="P27" s="141">
        <v>227</v>
      </c>
      <c r="Q27" s="141">
        <v>227</v>
      </c>
      <c r="R27" s="141">
        <v>227</v>
      </c>
      <c r="S27" s="141">
        <v>227</v>
      </c>
      <c r="T27" s="141">
        <v>227</v>
      </c>
      <c r="U27" s="141">
        <v>227</v>
      </c>
      <c r="V27" s="141">
        <v>227</v>
      </c>
      <c r="W27" s="141">
        <v>227</v>
      </c>
      <c r="X27" s="141">
        <v>227</v>
      </c>
      <c r="Y27" s="141">
        <v>227</v>
      </c>
      <c r="Z27" s="141">
        <v>227</v>
      </c>
      <c r="AA27" s="141">
        <v>227</v>
      </c>
      <c r="AB27" s="141">
        <v>227</v>
      </c>
      <c r="AC27" s="141">
        <v>227</v>
      </c>
      <c r="AD27" s="141">
        <v>227</v>
      </c>
      <c r="AE27" s="141">
        <v>227</v>
      </c>
      <c r="AF27" s="141">
        <v>0</v>
      </c>
      <c r="AG27" s="141">
        <v>227</v>
      </c>
      <c r="AH27" s="141">
        <v>0</v>
      </c>
      <c r="AI27" s="141">
        <v>227</v>
      </c>
      <c r="AJ27" s="141">
        <v>227</v>
      </c>
      <c r="AK27" s="141">
        <v>227</v>
      </c>
      <c r="AL27" s="141">
        <v>227</v>
      </c>
      <c r="AM27" s="141">
        <v>227</v>
      </c>
      <c r="AN27" s="141">
        <v>227</v>
      </c>
      <c r="AO27" s="141">
        <v>227</v>
      </c>
      <c r="AP27" s="141">
        <v>227</v>
      </c>
      <c r="AQ27" s="141">
        <v>227</v>
      </c>
      <c r="AR27" s="141">
        <f t="shared" si="2"/>
        <v>8399</v>
      </c>
      <c r="AS27" s="158" t="s">
        <v>614</v>
      </c>
    </row>
    <row r="28" spans="1:45">
      <c r="A28" s="144">
        <f t="shared" si="3"/>
        <v>45770</v>
      </c>
      <c r="B28" s="141">
        <f>YEAR(Table7[[#This Row],[Date]])+IF(MONTH(Table7[[#This Row],[Date]])&gt;=4,1,0)</f>
        <v>2026</v>
      </c>
      <c r="C28" s="141">
        <f>YEAR(Table7[[#This Row],[Date]])</f>
        <v>2025</v>
      </c>
      <c r="D28" s="143">
        <f t="shared" si="1"/>
        <v>45748</v>
      </c>
      <c r="E28" s="141">
        <v>195</v>
      </c>
      <c r="F28" s="141">
        <v>195</v>
      </c>
      <c r="G28" s="141">
        <v>195</v>
      </c>
      <c r="H28" s="141">
        <v>195</v>
      </c>
      <c r="I28" s="141">
        <v>195</v>
      </c>
      <c r="J28" s="141">
        <v>195</v>
      </c>
      <c r="K28" s="141">
        <v>195</v>
      </c>
      <c r="L28" s="141">
        <v>195</v>
      </c>
      <c r="M28" s="141">
        <v>195</v>
      </c>
      <c r="N28" s="141">
        <v>195</v>
      </c>
      <c r="O28" s="141">
        <v>195</v>
      </c>
      <c r="P28" s="141">
        <v>195</v>
      </c>
      <c r="Q28" s="141">
        <v>195</v>
      </c>
      <c r="R28" s="141">
        <v>195</v>
      </c>
      <c r="S28" s="141">
        <v>195</v>
      </c>
      <c r="T28" s="141">
        <v>195</v>
      </c>
      <c r="U28" s="141">
        <v>195</v>
      </c>
      <c r="V28" s="141">
        <v>195</v>
      </c>
      <c r="W28" s="141">
        <v>194</v>
      </c>
      <c r="X28" s="141">
        <v>195</v>
      </c>
      <c r="Y28" s="141">
        <v>195</v>
      </c>
      <c r="Z28" s="141">
        <v>193</v>
      </c>
      <c r="AA28" s="141">
        <v>195</v>
      </c>
      <c r="AB28" s="141">
        <v>185</v>
      </c>
      <c r="AC28" s="141">
        <v>195</v>
      </c>
      <c r="AD28" s="141">
        <v>195</v>
      </c>
      <c r="AE28" s="141">
        <v>195</v>
      </c>
      <c r="AF28" s="141">
        <v>0</v>
      </c>
      <c r="AG28" s="141">
        <v>195</v>
      </c>
      <c r="AH28" s="141">
        <v>0</v>
      </c>
      <c r="AI28" s="141">
        <v>193</v>
      </c>
      <c r="AJ28" s="141">
        <v>195</v>
      </c>
      <c r="AK28" s="141">
        <v>195</v>
      </c>
      <c r="AL28" s="141">
        <v>195</v>
      </c>
      <c r="AM28" s="141">
        <v>195</v>
      </c>
      <c r="AN28" s="141">
        <v>195</v>
      </c>
      <c r="AO28" s="141">
        <v>195</v>
      </c>
      <c r="AP28" s="141">
        <v>195</v>
      </c>
      <c r="AQ28" s="141">
        <v>195</v>
      </c>
      <c r="AR28" s="141">
        <f t="shared" si="2"/>
        <v>7200</v>
      </c>
      <c r="AS28" s="158" t="s">
        <v>614</v>
      </c>
    </row>
    <row r="29" spans="1:45">
      <c r="A29" s="144">
        <f t="shared" si="3"/>
        <v>45771</v>
      </c>
      <c r="B29" s="141">
        <f>YEAR(Table7[[#This Row],[Date]])+IF(MONTH(Table7[[#This Row],[Date]])&gt;=4,1,0)</f>
        <v>2026</v>
      </c>
      <c r="C29" s="141">
        <f>YEAR(Table7[[#This Row],[Date]])</f>
        <v>2025</v>
      </c>
      <c r="D29" s="143">
        <f t="shared" si="1"/>
        <v>45748</v>
      </c>
      <c r="E29" s="141">
        <v>259</v>
      </c>
      <c r="F29" s="141">
        <v>259</v>
      </c>
      <c r="G29" s="141">
        <v>259</v>
      </c>
      <c r="H29" s="141">
        <v>259</v>
      </c>
      <c r="I29" s="141">
        <v>259</v>
      </c>
      <c r="J29" s="141">
        <v>259</v>
      </c>
      <c r="K29" s="141">
        <v>259</v>
      </c>
      <c r="L29" s="141">
        <v>259</v>
      </c>
      <c r="M29" s="141">
        <v>259</v>
      </c>
      <c r="N29" s="141">
        <v>259</v>
      </c>
      <c r="O29" s="141">
        <v>259</v>
      </c>
      <c r="P29" s="141">
        <v>259</v>
      </c>
      <c r="Q29" s="141">
        <v>259</v>
      </c>
      <c r="R29" s="141">
        <v>259</v>
      </c>
      <c r="S29" s="141">
        <v>259</v>
      </c>
      <c r="T29" s="141">
        <v>259</v>
      </c>
      <c r="U29" s="141">
        <v>259</v>
      </c>
      <c r="V29" s="141">
        <v>259</v>
      </c>
      <c r="W29" s="141">
        <v>259</v>
      </c>
      <c r="X29" s="141">
        <v>259</v>
      </c>
      <c r="Y29" s="141">
        <v>259</v>
      </c>
      <c r="Z29" s="141">
        <v>259</v>
      </c>
      <c r="AA29" s="141">
        <v>259</v>
      </c>
      <c r="AB29" s="141">
        <v>259</v>
      </c>
      <c r="AC29" s="141">
        <v>259</v>
      </c>
      <c r="AD29" s="141">
        <v>259</v>
      </c>
      <c r="AE29" s="141">
        <v>259</v>
      </c>
      <c r="AF29" s="141">
        <v>0</v>
      </c>
      <c r="AG29" s="141">
        <v>259</v>
      </c>
      <c r="AH29" s="141">
        <v>0</v>
      </c>
      <c r="AI29" s="141">
        <v>259</v>
      </c>
      <c r="AJ29" s="141">
        <v>259</v>
      </c>
      <c r="AK29" s="141">
        <v>259</v>
      </c>
      <c r="AL29" s="141">
        <v>259</v>
      </c>
      <c r="AM29" s="141">
        <v>259</v>
      </c>
      <c r="AN29" s="141">
        <v>259</v>
      </c>
      <c r="AO29" s="141">
        <v>259</v>
      </c>
      <c r="AP29" s="141">
        <v>259</v>
      </c>
      <c r="AQ29" s="141">
        <v>259</v>
      </c>
      <c r="AR29" s="141">
        <f t="shared" si="2"/>
        <v>9583</v>
      </c>
      <c r="AS29" s="158" t="s">
        <v>614</v>
      </c>
    </row>
    <row r="30" spans="1:45">
      <c r="A30" s="144">
        <f t="shared" si="3"/>
        <v>45772</v>
      </c>
      <c r="B30" s="141">
        <f>YEAR(Table7[[#This Row],[Date]])+IF(MONTH(Table7[[#This Row],[Date]])&gt;=4,1,0)</f>
        <v>2026</v>
      </c>
      <c r="C30" s="141">
        <f>YEAR(Table7[[#This Row],[Date]])</f>
        <v>2025</v>
      </c>
      <c r="D30" s="143">
        <f t="shared" si="1"/>
        <v>45748</v>
      </c>
      <c r="E30" s="141">
        <v>65</v>
      </c>
      <c r="F30" s="141">
        <v>65</v>
      </c>
      <c r="G30" s="141">
        <v>65</v>
      </c>
      <c r="H30" s="141">
        <v>65</v>
      </c>
      <c r="I30" s="141">
        <v>65</v>
      </c>
      <c r="J30" s="141">
        <v>65</v>
      </c>
      <c r="K30" s="141">
        <v>65</v>
      </c>
      <c r="L30" s="141">
        <v>65</v>
      </c>
      <c r="M30" s="141">
        <v>65</v>
      </c>
      <c r="N30" s="141">
        <v>65</v>
      </c>
      <c r="O30" s="141">
        <v>65</v>
      </c>
      <c r="P30" s="141">
        <v>65</v>
      </c>
      <c r="Q30" s="141">
        <v>65</v>
      </c>
      <c r="R30" s="141">
        <v>65</v>
      </c>
      <c r="S30" s="141">
        <v>65</v>
      </c>
      <c r="T30" s="141">
        <v>65</v>
      </c>
      <c r="U30" s="141">
        <v>65</v>
      </c>
      <c r="V30" s="141">
        <v>65</v>
      </c>
      <c r="W30" s="141">
        <v>65</v>
      </c>
      <c r="X30" s="141">
        <v>65</v>
      </c>
      <c r="Y30" s="141">
        <v>65</v>
      </c>
      <c r="Z30" s="141">
        <v>65</v>
      </c>
      <c r="AA30" s="141">
        <v>65</v>
      </c>
      <c r="AB30" s="141">
        <v>65</v>
      </c>
      <c r="AC30" s="141">
        <v>65</v>
      </c>
      <c r="AD30" s="141">
        <v>65</v>
      </c>
      <c r="AE30" s="141">
        <v>65</v>
      </c>
      <c r="AF30" s="141">
        <v>0</v>
      </c>
      <c r="AG30" s="141">
        <v>65</v>
      </c>
      <c r="AH30" s="141">
        <v>0</v>
      </c>
      <c r="AI30" s="141">
        <v>65</v>
      </c>
      <c r="AJ30" s="141">
        <v>65</v>
      </c>
      <c r="AK30" s="141">
        <v>65</v>
      </c>
      <c r="AL30" s="141">
        <v>65</v>
      </c>
      <c r="AM30" s="141">
        <v>65</v>
      </c>
      <c r="AN30" s="141">
        <v>65</v>
      </c>
      <c r="AO30" s="141">
        <v>65</v>
      </c>
      <c r="AP30" s="141">
        <v>65</v>
      </c>
      <c r="AQ30" s="141">
        <v>65</v>
      </c>
      <c r="AR30" s="141">
        <f t="shared" si="2"/>
        <v>2405</v>
      </c>
      <c r="AS30" s="158" t="s">
        <v>614</v>
      </c>
    </row>
    <row r="31" spans="1:45">
      <c r="A31" s="144">
        <f t="shared" si="3"/>
        <v>45773</v>
      </c>
      <c r="B31" s="141">
        <f>YEAR(Table7[[#This Row],[Date]])+IF(MONTH(Table7[[#This Row],[Date]])&gt;=4,1,0)</f>
        <v>2026</v>
      </c>
      <c r="C31" s="141">
        <f>YEAR(Table7[[#This Row],[Date]])</f>
        <v>2025</v>
      </c>
      <c r="D31" s="143">
        <f t="shared" si="1"/>
        <v>45748</v>
      </c>
      <c r="E31" s="141">
        <v>65</v>
      </c>
      <c r="F31" s="141">
        <v>65</v>
      </c>
      <c r="G31" s="141">
        <v>65</v>
      </c>
      <c r="H31" s="141">
        <v>65</v>
      </c>
      <c r="I31" s="141">
        <v>65</v>
      </c>
      <c r="J31" s="141">
        <v>65</v>
      </c>
      <c r="K31" s="141">
        <v>65</v>
      </c>
      <c r="L31" s="141">
        <v>65</v>
      </c>
      <c r="M31" s="141">
        <v>65</v>
      </c>
      <c r="N31" s="141">
        <v>65</v>
      </c>
      <c r="O31" s="141">
        <v>65</v>
      </c>
      <c r="P31" s="141">
        <v>65</v>
      </c>
      <c r="Q31" s="141">
        <v>65</v>
      </c>
      <c r="R31" s="141">
        <v>65</v>
      </c>
      <c r="S31" s="141">
        <v>65</v>
      </c>
      <c r="T31" s="141">
        <v>65</v>
      </c>
      <c r="U31" s="141">
        <v>65</v>
      </c>
      <c r="V31" s="141">
        <v>65</v>
      </c>
      <c r="W31" s="141">
        <v>65</v>
      </c>
      <c r="X31" s="141">
        <v>65</v>
      </c>
      <c r="Y31" s="141">
        <v>65</v>
      </c>
      <c r="Z31" s="141">
        <v>65</v>
      </c>
      <c r="AA31" s="141">
        <v>65</v>
      </c>
      <c r="AB31" s="141">
        <v>65</v>
      </c>
      <c r="AC31" s="141">
        <v>65</v>
      </c>
      <c r="AD31" s="141">
        <v>65</v>
      </c>
      <c r="AE31" s="141">
        <v>65</v>
      </c>
      <c r="AF31" s="141">
        <v>0</v>
      </c>
      <c r="AG31" s="141">
        <v>65</v>
      </c>
      <c r="AH31" s="141">
        <v>0</v>
      </c>
      <c r="AI31" s="141">
        <v>65</v>
      </c>
      <c r="AJ31" s="141">
        <v>65</v>
      </c>
      <c r="AK31" s="141">
        <v>65</v>
      </c>
      <c r="AL31" s="141">
        <v>65</v>
      </c>
      <c r="AM31" s="141">
        <v>65</v>
      </c>
      <c r="AN31" s="141">
        <v>65</v>
      </c>
      <c r="AO31" s="141">
        <v>65</v>
      </c>
      <c r="AP31" s="141">
        <v>65</v>
      </c>
      <c r="AQ31" s="141">
        <v>65</v>
      </c>
      <c r="AR31" s="141">
        <f t="shared" si="2"/>
        <v>2405</v>
      </c>
      <c r="AS31" s="158" t="s">
        <v>614</v>
      </c>
    </row>
    <row r="32" spans="1:45">
      <c r="A32" s="144">
        <f t="shared" si="3"/>
        <v>45774</v>
      </c>
      <c r="B32" s="141">
        <f>YEAR(Table7[[#This Row],[Date]])+IF(MONTH(Table7[[#This Row],[Date]])&gt;=4,1,0)</f>
        <v>2026</v>
      </c>
      <c r="C32" s="141">
        <f>YEAR(Table7[[#This Row],[Date]])</f>
        <v>2025</v>
      </c>
      <c r="D32" s="143">
        <f t="shared" si="1"/>
        <v>45748</v>
      </c>
      <c r="E32" s="141">
        <v>227</v>
      </c>
      <c r="F32" s="141">
        <v>227</v>
      </c>
      <c r="G32" s="141">
        <v>227</v>
      </c>
      <c r="H32" s="141">
        <v>227</v>
      </c>
      <c r="I32" s="141">
        <v>227</v>
      </c>
      <c r="J32" s="141">
        <v>227</v>
      </c>
      <c r="K32" s="141">
        <v>227</v>
      </c>
      <c r="L32" s="141">
        <v>227</v>
      </c>
      <c r="M32" s="141">
        <v>227</v>
      </c>
      <c r="N32" s="141">
        <v>227</v>
      </c>
      <c r="O32" s="141">
        <v>227</v>
      </c>
      <c r="P32" s="141">
        <v>227</v>
      </c>
      <c r="Q32" s="141">
        <v>227</v>
      </c>
      <c r="R32" s="141">
        <v>227</v>
      </c>
      <c r="S32" s="141">
        <v>227</v>
      </c>
      <c r="T32" s="141">
        <v>227</v>
      </c>
      <c r="U32" s="141">
        <v>227</v>
      </c>
      <c r="V32" s="141">
        <v>227</v>
      </c>
      <c r="W32" s="141">
        <v>227</v>
      </c>
      <c r="X32" s="141">
        <v>227</v>
      </c>
      <c r="Y32" s="141">
        <v>227</v>
      </c>
      <c r="Z32" s="141">
        <v>227</v>
      </c>
      <c r="AA32" s="141">
        <v>227</v>
      </c>
      <c r="AB32" s="141">
        <v>227</v>
      </c>
      <c r="AC32" s="141">
        <v>227</v>
      </c>
      <c r="AD32" s="141">
        <v>227</v>
      </c>
      <c r="AE32" s="141">
        <v>227</v>
      </c>
      <c r="AF32" s="141">
        <v>0</v>
      </c>
      <c r="AG32" s="141">
        <v>227</v>
      </c>
      <c r="AH32" s="141">
        <v>0</v>
      </c>
      <c r="AI32" s="141">
        <v>227</v>
      </c>
      <c r="AJ32" s="141">
        <v>227</v>
      </c>
      <c r="AK32" s="141">
        <v>227</v>
      </c>
      <c r="AL32" s="141">
        <v>227</v>
      </c>
      <c r="AM32" s="141">
        <v>227</v>
      </c>
      <c r="AN32" s="141">
        <v>227</v>
      </c>
      <c r="AO32" s="141">
        <v>227</v>
      </c>
      <c r="AP32" s="141">
        <v>227</v>
      </c>
      <c r="AQ32" s="141">
        <v>227</v>
      </c>
      <c r="AR32" s="141">
        <f t="shared" si="2"/>
        <v>8399</v>
      </c>
      <c r="AS32" s="158" t="s">
        <v>614</v>
      </c>
    </row>
    <row r="33" spans="1:45">
      <c r="A33" s="144">
        <f t="shared" si="3"/>
        <v>45775</v>
      </c>
      <c r="B33" s="141">
        <f>YEAR(Table7[[#This Row],[Date]])+IF(MONTH(Table7[[#This Row],[Date]])&gt;=4,1,0)</f>
        <v>2026</v>
      </c>
      <c r="C33" s="141">
        <f>YEAR(Table7[[#This Row],[Date]])</f>
        <v>2025</v>
      </c>
      <c r="D33" s="143">
        <f t="shared" si="1"/>
        <v>45748</v>
      </c>
      <c r="E33" s="141">
        <v>162</v>
      </c>
      <c r="F33" s="141">
        <v>162</v>
      </c>
      <c r="G33" s="141">
        <v>162</v>
      </c>
      <c r="H33" s="141">
        <v>162</v>
      </c>
      <c r="I33" s="141">
        <v>162</v>
      </c>
      <c r="J33" s="141">
        <v>162</v>
      </c>
      <c r="K33" s="141">
        <v>162</v>
      </c>
      <c r="L33" s="141">
        <v>162</v>
      </c>
      <c r="M33" s="141">
        <v>162</v>
      </c>
      <c r="N33" s="141">
        <v>162</v>
      </c>
      <c r="O33" s="141">
        <v>162</v>
      </c>
      <c r="P33" s="141">
        <v>162</v>
      </c>
      <c r="Q33" s="141">
        <v>162</v>
      </c>
      <c r="R33" s="141">
        <v>162</v>
      </c>
      <c r="S33" s="141">
        <v>162</v>
      </c>
      <c r="T33" s="141">
        <v>162</v>
      </c>
      <c r="U33" s="141">
        <v>162</v>
      </c>
      <c r="V33" s="141">
        <v>162</v>
      </c>
      <c r="W33" s="141">
        <v>162</v>
      </c>
      <c r="X33" s="141">
        <v>162</v>
      </c>
      <c r="Y33" s="141">
        <v>162</v>
      </c>
      <c r="Z33" s="141">
        <v>162</v>
      </c>
      <c r="AA33" s="141">
        <v>162</v>
      </c>
      <c r="AB33" s="141">
        <v>162</v>
      </c>
      <c r="AC33" s="141">
        <v>162</v>
      </c>
      <c r="AD33" s="141">
        <v>162</v>
      </c>
      <c r="AE33" s="141">
        <v>162</v>
      </c>
      <c r="AF33" s="141">
        <v>0</v>
      </c>
      <c r="AG33" s="141">
        <v>162</v>
      </c>
      <c r="AH33" s="141">
        <v>0</v>
      </c>
      <c r="AI33" s="141">
        <v>162</v>
      </c>
      <c r="AJ33" s="141">
        <v>162</v>
      </c>
      <c r="AK33" s="141">
        <v>162</v>
      </c>
      <c r="AL33" s="141">
        <v>162</v>
      </c>
      <c r="AM33" s="141">
        <v>162</v>
      </c>
      <c r="AN33" s="141">
        <v>162</v>
      </c>
      <c r="AO33" s="141">
        <v>162</v>
      </c>
      <c r="AP33" s="141">
        <v>162</v>
      </c>
      <c r="AQ33" s="141">
        <v>162</v>
      </c>
      <c r="AR33" s="141">
        <f t="shared" si="2"/>
        <v>5994</v>
      </c>
      <c r="AS33" s="158" t="s">
        <v>614</v>
      </c>
    </row>
    <row r="34" spans="1:45">
      <c r="A34" s="144">
        <f t="shared" si="3"/>
        <v>45776</v>
      </c>
      <c r="B34" s="141">
        <f>YEAR(Table7[[#This Row],[Date]])+IF(MONTH(Table7[[#This Row],[Date]])&gt;=4,1,0)</f>
        <v>2026</v>
      </c>
      <c r="C34" s="141">
        <f>YEAR(Table7[[#This Row],[Date]])</f>
        <v>2025</v>
      </c>
      <c r="D34" s="143">
        <f t="shared" si="1"/>
        <v>45748</v>
      </c>
      <c r="E34" s="141">
        <v>195</v>
      </c>
      <c r="F34" s="141">
        <v>195</v>
      </c>
      <c r="G34" s="141">
        <v>195</v>
      </c>
      <c r="H34" s="141">
        <v>195</v>
      </c>
      <c r="I34" s="141">
        <v>195</v>
      </c>
      <c r="J34" s="141">
        <v>195</v>
      </c>
      <c r="K34" s="141">
        <v>195</v>
      </c>
      <c r="L34" s="141">
        <v>195</v>
      </c>
      <c r="M34" s="141">
        <v>195</v>
      </c>
      <c r="N34" s="141">
        <v>195</v>
      </c>
      <c r="O34" s="141">
        <v>195</v>
      </c>
      <c r="P34" s="141">
        <v>195</v>
      </c>
      <c r="Q34" s="141">
        <v>195</v>
      </c>
      <c r="R34" s="141">
        <v>195</v>
      </c>
      <c r="S34" s="141">
        <v>195</v>
      </c>
      <c r="T34" s="141">
        <v>195</v>
      </c>
      <c r="U34" s="141">
        <v>195</v>
      </c>
      <c r="V34" s="141">
        <v>195</v>
      </c>
      <c r="W34" s="141">
        <v>195</v>
      </c>
      <c r="X34" s="141">
        <v>195</v>
      </c>
      <c r="Y34" s="141">
        <v>195</v>
      </c>
      <c r="Z34" s="141">
        <v>195</v>
      </c>
      <c r="AA34" s="141">
        <v>195</v>
      </c>
      <c r="AB34" s="141">
        <v>195</v>
      </c>
      <c r="AC34" s="141">
        <v>195</v>
      </c>
      <c r="AD34" s="141">
        <v>195</v>
      </c>
      <c r="AE34" s="141">
        <v>195</v>
      </c>
      <c r="AF34" s="141">
        <v>0</v>
      </c>
      <c r="AG34" s="141">
        <v>195</v>
      </c>
      <c r="AH34" s="141">
        <v>0</v>
      </c>
      <c r="AI34" s="141">
        <v>195</v>
      </c>
      <c r="AJ34" s="141">
        <v>195</v>
      </c>
      <c r="AK34" s="141">
        <v>195</v>
      </c>
      <c r="AL34" s="141">
        <v>195</v>
      </c>
      <c r="AM34" s="141">
        <v>195</v>
      </c>
      <c r="AN34" s="141">
        <v>195</v>
      </c>
      <c r="AO34" s="141">
        <v>195</v>
      </c>
      <c r="AP34" s="141">
        <v>195</v>
      </c>
      <c r="AQ34" s="141">
        <v>195</v>
      </c>
      <c r="AR34" s="141">
        <f t="shared" si="2"/>
        <v>7215</v>
      </c>
      <c r="AS34" s="158" t="s">
        <v>614</v>
      </c>
    </row>
    <row r="35" spans="1:45">
      <c r="A35" s="144">
        <f t="shared" si="3"/>
        <v>45777</v>
      </c>
      <c r="B35" s="141">
        <f>YEAR(Table7[[#This Row],[Date]])+IF(MONTH(Table7[[#This Row],[Date]])&gt;=4,1,0)</f>
        <v>2026</v>
      </c>
      <c r="C35" s="141">
        <f>YEAR(Table7[[#This Row],[Date]])</f>
        <v>2025</v>
      </c>
      <c r="D35" s="143">
        <f t="shared" si="1"/>
        <v>45748</v>
      </c>
      <c r="E35" s="141">
        <v>65</v>
      </c>
      <c r="F35" s="141">
        <v>65</v>
      </c>
      <c r="G35" s="141">
        <v>65</v>
      </c>
      <c r="H35" s="141">
        <v>65</v>
      </c>
      <c r="I35" s="141">
        <v>65</v>
      </c>
      <c r="J35" s="141">
        <v>65</v>
      </c>
      <c r="K35" s="141">
        <v>65</v>
      </c>
      <c r="L35" s="141">
        <v>65</v>
      </c>
      <c r="M35" s="141">
        <v>65</v>
      </c>
      <c r="N35" s="141">
        <v>65</v>
      </c>
      <c r="O35" s="141">
        <v>65</v>
      </c>
      <c r="P35" s="141">
        <v>65</v>
      </c>
      <c r="Q35" s="141">
        <v>65</v>
      </c>
      <c r="R35" s="141">
        <v>65</v>
      </c>
      <c r="S35" s="141">
        <v>65</v>
      </c>
      <c r="T35" s="141">
        <v>65</v>
      </c>
      <c r="U35" s="141">
        <v>65</v>
      </c>
      <c r="V35" s="141">
        <v>65</v>
      </c>
      <c r="W35" s="141">
        <v>65</v>
      </c>
      <c r="X35" s="141">
        <v>65</v>
      </c>
      <c r="Y35" s="141">
        <v>65</v>
      </c>
      <c r="Z35" s="141">
        <v>65</v>
      </c>
      <c r="AA35" s="141">
        <v>65</v>
      </c>
      <c r="AB35" s="141">
        <v>65</v>
      </c>
      <c r="AC35" s="141">
        <v>65</v>
      </c>
      <c r="AD35" s="141">
        <v>65</v>
      </c>
      <c r="AE35" s="141">
        <v>65</v>
      </c>
      <c r="AF35" s="141">
        <v>0</v>
      </c>
      <c r="AG35" s="141">
        <v>65</v>
      </c>
      <c r="AH35" s="141">
        <v>0</v>
      </c>
      <c r="AI35" s="141">
        <v>65</v>
      </c>
      <c r="AJ35" s="141">
        <v>65</v>
      </c>
      <c r="AK35" s="141">
        <v>65</v>
      </c>
      <c r="AL35" s="141">
        <v>65</v>
      </c>
      <c r="AM35" s="141">
        <v>65</v>
      </c>
      <c r="AN35" s="141">
        <v>65</v>
      </c>
      <c r="AO35" s="141">
        <v>65</v>
      </c>
      <c r="AP35" s="141">
        <v>65</v>
      </c>
      <c r="AQ35" s="141">
        <v>65</v>
      </c>
      <c r="AR35" s="141">
        <f t="shared" si="2"/>
        <v>2405</v>
      </c>
      <c r="AS35" s="158" t="s">
        <v>614</v>
      </c>
    </row>
    <row r="36" spans="1:45">
      <c r="A36" s="144">
        <f t="shared" si="3"/>
        <v>45778</v>
      </c>
      <c r="B36" s="141">
        <f>YEAR(Table7[[#This Row],[Date]])+IF(MONTH(Table7[[#This Row],[Date]])&gt;=4,1,0)</f>
        <v>2026</v>
      </c>
      <c r="C36" s="141">
        <f>YEAR(Table7[[#This Row],[Date]])</f>
        <v>2025</v>
      </c>
      <c r="D36" s="143">
        <f t="shared" ref="D36:D99" si="4">A36-DAY(A36)+1</f>
        <v>45778</v>
      </c>
      <c r="E36" s="141">
        <v>0</v>
      </c>
      <c r="F36" s="141">
        <v>0</v>
      </c>
      <c r="G36" s="141">
        <v>0</v>
      </c>
      <c r="H36" s="141">
        <v>0</v>
      </c>
      <c r="I36" s="141">
        <v>0</v>
      </c>
      <c r="J36" s="141">
        <v>0</v>
      </c>
      <c r="K36" s="141">
        <v>0</v>
      </c>
      <c r="L36" s="141">
        <v>0</v>
      </c>
      <c r="M36" s="141">
        <v>0</v>
      </c>
      <c r="N36" s="141">
        <v>0</v>
      </c>
      <c r="O36" s="141">
        <v>0</v>
      </c>
      <c r="P36" s="141">
        <v>0</v>
      </c>
      <c r="Q36" s="141">
        <v>0</v>
      </c>
      <c r="R36" s="141">
        <v>0</v>
      </c>
      <c r="S36" s="141">
        <v>0</v>
      </c>
      <c r="T36" s="141">
        <v>0</v>
      </c>
      <c r="U36" s="141">
        <v>0</v>
      </c>
      <c r="V36" s="141">
        <v>0</v>
      </c>
      <c r="W36" s="141">
        <v>0</v>
      </c>
      <c r="X36" s="141">
        <v>0</v>
      </c>
      <c r="Y36" s="141">
        <v>0</v>
      </c>
      <c r="Z36" s="141">
        <v>0</v>
      </c>
      <c r="AA36" s="141">
        <v>0</v>
      </c>
      <c r="AB36" s="141">
        <v>0</v>
      </c>
      <c r="AC36" s="141">
        <v>0</v>
      </c>
      <c r="AD36" s="141">
        <v>0</v>
      </c>
      <c r="AE36" s="141">
        <v>0</v>
      </c>
      <c r="AF36" s="141">
        <v>0</v>
      </c>
      <c r="AG36" s="141">
        <v>0</v>
      </c>
      <c r="AH36" s="141">
        <v>0</v>
      </c>
      <c r="AI36" s="141">
        <v>0</v>
      </c>
      <c r="AJ36" s="141">
        <v>0</v>
      </c>
      <c r="AK36" s="141">
        <v>0</v>
      </c>
      <c r="AL36" s="141">
        <v>0</v>
      </c>
      <c r="AM36" s="141">
        <v>0</v>
      </c>
      <c r="AN36" s="141">
        <v>0</v>
      </c>
      <c r="AO36" s="141">
        <v>0</v>
      </c>
      <c r="AP36" s="141">
        <v>0</v>
      </c>
      <c r="AQ36" s="141">
        <v>0</v>
      </c>
      <c r="AR36" s="141">
        <f t="shared" si="2"/>
        <v>0</v>
      </c>
      <c r="AS36" s="158" t="s">
        <v>614</v>
      </c>
    </row>
    <row r="37" spans="1:45">
      <c r="A37" s="144">
        <f t="shared" si="3"/>
        <v>45779</v>
      </c>
      <c r="B37" s="141">
        <f>YEAR(Table7[[#This Row],[Date]])+IF(MONTH(Table7[[#This Row],[Date]])&gt;=4,1,0)</f>
        <v>2026</v>
      </c>
      <c r="C37" s="141">
        <f>YEAR(Table7[[#This Row],[Date]])</f>
        <v>2025</v>
      </c>
      <c r="D37" s="143">
        <f t="shared" si="4"/>
        <v>45778</v>
      </c>
      <c r="E37" s="141">
        <v>162</v>
      </c>
      <c r="F37" s="141">
        <v>162</v>
      </c>
      <c r="G37" s="141">
        <v>162</v>
      </c>
      <c r="H37" s="141">
        <v>162</v>
      </c>
      <c r="I37" s="141">
        <v>162</v>
      </c>
      <c r="J37" s="141">
        <v>162</v>
      </c>
      <c r="K37" s="141">
        <v>162</v>
      </c>
      <c r="L37" s="141">
        <v>162</v>
      </c>
      <c r="M37" s="141">
        <v>162</v>
      </c>
      <c r="N37" s="141">
        <v>162</v>
      </c>
      <c r="O37" s="141">
        <v>162</v>
      </c>
      <c r="P37" s="141">
        <v>162</v>
      </c>
      <c r="Q37" s="141">
        <v>162</v>
      </c>
      <c r="R37" s="141">
        <v>162</v>
      </c>
      <c r="S37" s="141">
        <v>162</v>
      </c>
      <c r="T37" s="141">
        <v>162</v>
      </c>
      <c r="U37" s="141">
        <v>162</v>
      </c>
      <c r="V37" s="141">
        <v>162</v>
      </c>
      <c r="W37" s="141">
        <v>162</v>
      </c>
      <c r="X37" s="141">
        <v>162</v>
      </c>
      <c r="Y37" s="141">
        <v>162</v>
      </c>
      <c r="Z37" s="141">
        <v>162</v>
      </c>
      <c r="AA37" s="141">
        <v>162</v>
      </c>
      <c r="AB37" s="141">
        <v>162</v>
      </c>
      <c r="AC37" s="141">
        <v>162</v>
      </c>
      <c r="AD37" s="141">
        <v>162</v>
      </c>
      <c r="AE37" s="141">
        <v>162</v>
      </c>
      <c r="AF37" s="141">
        <v>0</v>
      </c>
      <c r="AG37" s="141">
        <v>162</v>
      </c>
      <c r="AH37" s="141">
        <v>0</v>
      </c>
      <c r="AI37" s="141">
        <v>162</v>
      </c>
      <c r="AJ37" s="141">
        <v>162</v>
      </c>
      <c r="AK37" s="141">
        <v>162</v>
      </c>
      <c r="AL37" s="141">
        <v>162</v>
      </c>
      <c r="AM37" s="141">
        <v>162</v>
      </c>
      <c r="AN37" s="141">
        <v>162</v>
      </c>
      <c r="AO37" s="141">
        <v>162</v>
      </c>
      <c r="AP37" s="141">
        <v>162</v>
      </c>
      <c r="AQ37" s="141">
        <v>162</v>
      </c>
      <c r="AR37" s="141">
        <f t="shared" si="2"/>
        <v>5994</v>
      </c>
      <c r="AS37" s="158" t="s">
        <v>614</v>
      </c>
    </row>
    <row r="38" spans="1:45">
      <c r="A38" s="144">
        <f t="shared" ref="A38:A101" si="5">A37+1</f>
        <v>45780</v>
      </c>
      <c r="B38" s="141">
        <f>YEAR(Table7[[#This Row],[Date]])+IF(MONTH(Table7[[#This Row],[Date]])&gt;=4,1,0)</f>
        <v>2026</v>
      </c>
      <c r="C38" s="141">
        <f>YEAR(Table7[[#This Row],[Date]])</f>
        <v>2025</v>
      </c>
      <c r="D38" s="143">
        <f t="shared" si="4"/>
        <v>45778</v>
      </c>
      <c r="E38" s="141">
        <v>32</v>
      </c>
      <c r="F38" s="141">
        <v>32</v>
      </c>
      <c r="G38" s="141">
        <v>32</v>
      </c>
      <c r="H38" s="141">
        <v>32</v>
      </c>
      <c r="I38" s="141">
        <v>32</v>
      </c>
      <c r="J38" s="141">
        <v>32</v>
      </c>
      <c r="K38" s="141">
        <v>32</v>
      </c>
      <c r="L38" s="141">
        <v>32</v>
      </c>
      <c r="M38" s="141">
        <v>32</v>
      </c>
      <c r="N38" s="141">
        <v>32</v>
      </c>
      <c r="O38" s="141">
        <v>32</v>
      </c>
      <c r="P38" s="141">
        <v>32</v>
      </c>
      <c r="Q38" s="141">
        <v>32</v>
      </c>
      <c r="R38" s="141">
        <v>32</v>
      </c>
      <c r="S38" s="141">
        <v>32</v>
      </c>
      <c r="T38" s="141">
        <v>32</v>
      </c>
      <c r="U38" s="141">
        <v>32</v>
      </c>
      <c r="V38" s="141">
        <v>32</v>
      </c>
      <c r="W38" s="141">
        <v>32</v>
      </c>
      <c r="X38" s="141">
        <v>32</v>
      </c>
      <c r="Y38" s="141">
        <v>32</v>
      </c>
      <c r="Z38" s="141">
        <v>32</v>
      </c>
      <c r="AA38" s="141">
        <v>32</v>
      </c>
      <c r="AB38" s="141">
        <v>32</v>
      </c>
      <c r="AC38" s="141">
        <v>32</v>
      </c>
      <c r="AD38" s="141">
        <v>32</v>
      </c>
      <c r="AE38" s="141">
        <v>32</v>
      </c>
      <c r="AF38" s="141">
        <v>0</v>
      </c>
      <c r="AG38" s="141">
        <v>32</v>
      </c>
      <c r="AH38" s="141">
        <v>0</v>
      </c>
      <c r="AI38" s="141">
        <v>32</v>
      </c>
      <c r="AJ38" s="141">
        <v>32</v>
      </c>
      <c r="AK38" s="141">
        <v>32</v>
      </c>
      <c r="AL38" s="141">
        <v>32</v>
      </c>
      <c r="AM38" s="141">
        <v>32</v>
      </c>
      <c r="AN38" s="141">
        <v>32</v>
      </c>
      <c r="AO38" s="141">
        <v>32</v>
      </c>
      <c r="AP38" s="141">
        <v>32</v>
      </c>
      <c r="AQ38" s="141">
        <v>32</v>
      </c>
      <c r="AR38" s="141">
        <f t="shared" si="2"/>
        <v>1184</v>
      </c>
      <c r="AS38" s="158" t="s">
        <v>614</v>
      </c>
    </row>
    <row r="39" spans="1:45">
      <c r="A39" s="144">
        <f t="shared" si="5"/>
        <v>45781</v>
      </c>
      <c r="B39" s="141">
        <f>YEAR(Table7[[#This Row],[Date]])+IF(MONTH(Table7[[#This Row],[Date]])&gt;=4,1,0)</f>
        <v>2026</v>
      </c>
      <c r="C39" s="141">
        <f>YEAR(Table7[[#This Row],[Date]])</f>
        <v>2025</v>
      </c>
      <c r="D39" s="143">
        <f t="shared" si="4"/>
        <v>45778</v>
      </c>
      <c r="E39" s="141">
        <v>65</v>
      </c>
      <c r="F39" s="141">
        <v>65</v>
      </c>
      <c r="G39" s="141">
        <v>65</v>
      </c>
      <c r="H39" s="141">
        <v>65</v>
      </c>
      <c r="I39" s="141">
        <v>65</v>
      </c>
      <c r="J39" s="141">
        <v>65</v>
      </c>
      <c r="K39" s="141">
        <v>65</v>
      </c>
      <c r="L39" s="141">
        <v>65</v>
      </c>
      <c r="M39" s="141">
        <v>65</v>
      </c>
      <c r="N39" s="141">
        <v>65</v>
      </c>
      <c r="O39" s="141">
        <v>65</v>
      </c>
      <c r="P39" s="141">
        <v>65</v>
      </c>
      <c r="Q39" s="141">
        <v>65</v>
      </c>
      <c r="R39" s="141">
        <v>65</v>
      </c>
      <c r="S39" s="141">
        <v>65</v>
      </c>
      <c r="T39" s="141">
        <v>65</v>
      </c>
      <c r="U39" s="141">
        <v>65</v>
      </c>
      <c r="V39" s="141">
        <v>65</v>
      </c>
      <c r="W39" s="141">
        <v>65</v>
      </c>
      <c r="X39" s="141">
        <v>65</v>
      </c>
      <c r="Y39" s="141">
        <v>65</v>
      </c>
      <c r="Z39" s="141">
        <v>65</v>
      </c>
      <c r="AA39" s="141">
        <v>65</v>
      </c>
      <c r="AB39" s="141">
        <v>65</v>
      </c>
      <c r="AC39" s="141">
        <v>65</v>
      </c>
      <c r="AD39" s="141">
        <v>65</v>
      </c>
      <c r="AE39" s="141">
        <v>65</v>
      </c>
      <c r="AF39" s="141">
        <v>0</v>
      </c>
      <c r="AG39" s="141">
        <v>65</v>
      </c>
      <c r="AH39" s="141">
        <v>0</v>
      </c>
      <c r="AI39" s="141">
        <v>65</v>
      </c>
      <c r="AJ39" s="141">
        <v>65</v>
      </c>
      <c r="AK39" s="141">
        <v>65</v>
      </c>
      <c r="AL39" s="141">
        <v>65</v>
      </c>
      <c r="AM39" s="141">
        <v>65</v>
      </c>
      <c r="AN39" s="141">
        <v>65</v>
      </c>
      <c r="AO39" s="141">
        <v>65</v>
      </c>
      <c r="AP39" s="141">
        <v>65</v>
      </c>
      <c r="AQ39" s="141">
        <v>65</v>
      </c>
      <c r="AR39" s="141">
        <f t="shared" si="2"/>
        <v>2405</v>
      </c>
      <c r="AS39" s="169" t="s">
        <v>614</v>
      </c>
    </row>
    <row r="40" spans="1:45">
      <c r="A40" s="144">
        <f t="shared" si="5"/>
        <v>45782</v>
      </c>
      <c r="B40" s="141">
        <f>YEAR(Table7[[#This Row],[Date]])+IF(MONTH(Table7[[#This Row],[Date]])&gt;=4,1,0)</f>
        <v>2026</v>
      </c>
      <c r="C40" s="141">
        <f>YEAR(Table7[[#This Row],[Date]])</f>
        <v>2025</v>
      </c>
      <c r="D40" s="143">
        <f t="shared" si="4"/>
        <v>45778</v>
      </c>
      <c r="E40" s="141">
        <v>162</v>
      </c>
      <c r="F40" s="141">
        <v>162</v>
      </c>
      <c r="G40" s="141">
        <v>162</v>
      </c>
      <c r="H40" s="141">
        <v>162</v>
      </c>
      <c r="I40" s="141">
        <v>162</v>
      </c>
      <c r="J40" s="141">
        <v>162</v>
      </c>
      <c r="K40" s="141">
        <v>162</v>
      </c>
      <c r="L40" s="141">
        <v>162</v>
      </c>
      <c r="M40" s="141">
        <v>162</v>
      </c>
      <c r="N40" s="141">
        <v>162</v>
      </c>
      <c r="O40" s="141">
        <v>162</v>
      </c>
      <c r="P40" s="141">
        <v>162</v>
      </c>
      <c r="Q40" s="141">
        <v>162</v>
      </c>
      <c r="R40" s="141">
        <v>162</v>
      </c>
      <c r="S40" s="141">
        <v>162</v>
      </c>
      <c r="T40" s="141">
        <v>162</v>
      </c>
      <c r="U40" s="141">
        <v>162</v>
      </c>
      <c r="V40" s="141">
        <v>162</v>
      </c>
      <c r="W40" s="141">
        <v>162</v>
      </c>
      <c r="X40" s="141">
        <v>162</v>
      </c>
      <c r="Y40" s="141">
        <v>162</v>
      </c>
      <c r="Z40" s="141">
        <v>162</v>
      </c>
      <c r="AA40" s="141">
        <v>162</v>
      </c>
      <c r="AB40" s="141">
        <v>162</v>
      </c>
      <c r="AC40" s="141">
        <v>0</v>
      </c>
      <c r="AD40" s="141">
        <v>162</v>
      </c>
      <c r="AE40" s="141">
        <v>162</v>
      </c>
      <c r="AF40" s="141">
        <v>0</v>
      </c>
      <c r="AG40" s="141">
        <v>162</v>
      </c>
      <c r="AH40" s="141">
        <v>0</v>
      </c>
      <c r="AI40" s="141">
        <v>162</v>
      </c>
      <c r="AJ40" s="141">
        <v>162</v>
      </c>
      <c r="AK40" s="141">
        <v>162</v>
      </c>
      <c r="AL40" s="141">
        <v>162</v>
      </c>
      <c r="AM40" s="141">
        <v>162</v>
      </c>
      <c r="AN40" s="141">
        <v>162</v>
      </c>
      <c r="AO40" s="141">
        <v>162</v>
      </c>
      <c r="AP40" s="141">
        <v>162</v>
      </c>
      <c r="AQ40" s="141">
        <v>162</v>
      </c>
      <c r="AR40" s="141">
        <f t="shared" si="2"/>
        <v>5832</v>
      </c>
      <c r="AS40" s="169" t="s">
        <v>614</v>
      </c>
    </row>
    <row r="41" spans="1:45">
      <c r="A41" s="144">
        <f t="shared" si="5"/>
        <v>45783</v>
      </c>
      <c r="B41" s="141">
        <f>YEAR(Table7[[#This Row],[Date]])+IF(MONTH(Table7[[#This Row],[Date]])&gt;=4,1,0)</f>
        <v>2026</v>
      </c>
      <c r="C41" s="141">
        <f>YEAR(Table7[[#This Row],[Date]])</f>
        <v>2025</v>
      </c>
      <c r="D41" s="143">
        <f t="shared" si="4"/>
        <v>45778</v>
      </c>
      <c r="E41" s="141">
        <v>98</v>
      </c>
      <c r="F41" s="141">
        <v>98</v>
      </c>
      <c r="G41" s="141">
        <v>98</v>
      </c>
      <c r="H41" s="141">
        <v>98</v>
      </c>
      <c r="I41" s="141">
        <v>98</v>
      </c>
      <c r="J41" s="141">
        <v>98</v>
      </c>
      <c r="K41" s="141">
        <v>98</v>
      </c>
      <c r="L41" s="141">
        <v>98</v>
      </c>
      <c r="M41" s="141">
        <v>98</v>
      </c>
      <c r="N41" s="141">
        <v>98</v>
      </c>
      <c r="O41" s="141">
        <v>98</v>
      </c>
      <c r="P41" s="141">
        <v>98</v>
      </c>
      <c r="Q41" s="141">
        <v>98</v>
      </c>
      <c r="R41" s="141">
        <v>98</v>
      </c>
      <c r="S41" s="141">
        <v>98</v>
      </c>
      <c r="T41" s="141">
        <v>98</v>
      </c>
      <c r="U41" s="141">
        <v>98</v>
      </c>
      <c r="V41" s="141">
        <v>98</v>
      </c>
      <c r="W41" s="141">
        <v>98</v>
      </c>
      <c r="X41" s="141">
        <v>98</v>
      </c>
      <c r="Y41" s="141">
        <v>98</v>
      </c>
      <c r="Z41" s="141">
        <v>98</v>
      </c>
      <c r="AA41" s="141">
        <v>98</v>
      </c>
      <c r="AB41" s="141">
        <v>98</v>
      </c>
      <c r="AC41" s="141">
        <v>72</v>
      </c>
      <c r="AD41" s="141">
        <v>98</v>
      </c>
      <c r="AE41" s="141">
        <v>98</v>
      </c>
      <c r="AF41" s="141">
        <v>0</v>
      </c>
      <c r="AG41" s="141">
        <v>98</v>
      </c>
      <c r="AH41" s="141">
        <v>0</v>
      </c>
      <c r="AI41" s="141">
        <v>98</v>
      </c>
      <c r="AJ41" s="141">
        <v>98</v>
      </c>
      <c r="AK41" s="141">
        <v>98</v>
      </c>
      <c r="AL41" s="141">
        <v>98</v>
      </c>
      <c r="AM41" s="141">
        <v>98</v>
      </c>
      <c r="AN41" s="141">
        <v>98</v>
      </c>
      <c r="AO41" s="141">
        <v>98</v>
      </c>
      <c r="AP41" s="141">
        <v>98</v>
      </c>
      <c r="AQ41" s="141">
        <v>98</v>
      </c>
      <c r="AR41" s="141">
        <f t="shared" si="2"/>
        <v>3600</v>
      </c>
      <c r="AS41" s="169" t="s">
        <v>614</v>
      </c>
    </row>
    <row r="42" spans="1:45">
      <c r="A42" s="144">
        <f t="shared" si="5"/>
        <v>45784</v>
      </c>
      <c r="B42" s="141">
        <f>YEAR(Table7[[#This Row],[Date]])+IF(MONTH(Table7[[#This Row],[Date]])&gt;=4,1,0)</f>
        <v>2026</v>
      </c>
      <c r="C42" s="141">
        <f>YEAR(Table7[[#This Row],[Date]])</f>
        <v>2025</v>
      </c>
      <c r="D42" s="143">
        <f t="shared" si="4"/>
        <v>45778</v>
      </c>
      <c r="E42" s="141">
        <v>130</v>
      </c>
      <c r="F42" s="141">
        <v>130</v>
      </c>
      <c r="G42" s="141">
        <v>130</v>
      </c>
      <c r="H42" s="141">
        <v>130</v>
      </c>
      <c r="I42" s="141">
        <v>130</v>
      </c>
      <c r="J42" s="141">
        <v>130</v>
      </c>
      <c r="K42" s="141">
        <v>130</v>
      </c>
      <c r="L42" s="141">
        <v>130</v>
      </c>
      <c r="M42" s="141">
        <v>130</v>
      </c>
      <c r="N42" s="141">
        <v>130</v>
      </c>
      <c r="O42" s="141">
        <v>130</v>
      </c>
      <c r="P42" s="141">
        <v>130</v>
      </c>
      <c r="Q42" s="141">
        <v>130</v>
      </c>
      <c r="R42" s="141">
        <v>130</v>
      </c>
      <c r="S42" s="141">
        <v>130</v>
      </c>
      <c r="T42" s="141">
        <v>130</v>
      </c>
      <c r="U42" s="141">
        <v>130</v>
      </c>
      <c r="V42" s="141">
        <v>130</v>
      </c>
      <c r="W42" s="141">
        <v>130</v>
      </c>
      <c r="X42" s="141">
        <v>130</v>
      </c>
      <c r="Y42" s="141">
        <v>130</v>
      </c>
      <c r="Z42" s="141">
        <v>130</v>
      </c>
      <c r="AA42" s="141">
        <v>130</v>
      </c>
      <c r="AB42" s="141">
        <v>130</v>
      </c>
      <c r="AC42" s="141">
        <v>130</v>
      </c>
      <c r="AD42" s="141">
        <v>130</v>
      </c>
      <c r="AE42" s="141">
        <v>130</v>
      </c>
      <c r="AF42" s="141">
        <v>0</v>
      </c>
      <c r="AG42" s="141">
        <v>130</v>
      </c>
      <c r="AH42" s="141">
        <v>0</v>
      </c>
      <c r="AI42" s="141">
        <v>130</v>
      </c>
      <c r="AJ42" s="141">
        <v>130</v>
      </c>
      <c r="AK42" s="141">
        <v>130</v>
      </c>
      <c r="AL42" s="141">
        <v>130</v>
      </c>
      <c r="AM42" s="141">
        <v>130</v>
      </c>
      <c r="AN42" s="141">
        <v>130</v>
      </c>
      <c r="AO42" s="141">
        <v>130</v>
      </c>
      <c r="AP42" s="141">
        <v>130</v>
      </c>
      <c r="AQ42" s="141">
        <v>130</v>
      </c>
      <c r="AR42" s="141">
        <f t="shared" si="2"/>
        <v>4810</v>
      </c>
      <c r="AS42" s="169" t="s">
        <v>614</v>
      </c>
    </row>
    <row r="43" spans="1:45">
      <c r="A43" s="144">
        <f t="shared" si="5"/>
        <v>45785</v>
      </c>
      <c r="B43" s="141">
        <f>YEAR(Table7[[#This Row],[Date]])+IF(MONTH(Table7[[#This Row],[Date]])&gt;=4,1,0)</f>
        <v>2026</v>
      </c>
      <c r="C43" s="141">
        <f>YEAR(Table7[[#This Row],[Date]])</f>
        <v>2025</v>
      </c>
      <c r="D43" s="143">
        <f t="shared" si="4"/>
        <v>45778</v>
      </c>
      <c r="E43" s="141">
        <v>97</v>
      </c>
      <c r="F43" s="141">
        <v>97</v>
      </c>
      <c r="G43" s="141">
        <v>97</v>
      </c>
      <c r="H43" s="141">
        <v>97</v>
      </c>
      <c r="I43" s="141">
        <v>97</v>
      </c>
      <c r="J43" s="141">
        <v>97</v>
      </c>
      <c r="K43" s="141">
        <v>97</v>
      </c>
      <c r="L43" s="141">
        <v>97</v>
      </c>
      <c r="M43" s="141">
        <v>97</v>
      </c>
      <c r="N43" s="141">
        <v>97</v>
      </c>
      <c r="O43" s="141">
        <v>97</v>
      </c>
      <c r="P43" s="141">
        <v>97</v>
      </c>
      <c r="Q43" s="141">
        <v>97</v>
      </c>
      <c r="R43" s="141">
        <v>97</v>
      </c>
      <c r="S43" s="141">
        <v>97</v>
      </c>
      <c r="T43" s="141">
        <v>97</v>
      </c>
      <c r="U43" s="141">
        <v>97</v>
      </c>
      <c r="V43" s="141">
        <v>97</v>
      </c>
      <c r="W43" s="141">
        <v>97</v>
      </c>
      <c r="X43" s="141">
        <v>97</v>
      </c>
      <c r="Y43" s="141">
        <v>97</v>
      </c>
      <c r="Z43" s="141">
        <v>97</v>
      </c>
      <c r="AA43" s="141">
        <v>97</v>
      </c>
      <c r="AB43" s="141">
        <v>97</v>
      </c>
      <c r="AC43" s="141">
        <v>97</v>
      </c>
      <c r="AD43" s="141">
        <v>97</v>
      </c>
      <c r="AE43" s="141">
        <v>97</v>
      </c>
      <c r="AF43" s="141">
        <v>0</v>
      </c>
      <c r="AG43" s="141">
        <v>97</v>
      </c>
      <c r="AH43" s="141">
        <v>0</v>
      </c>
      <c r="AI43" s="141">
        <v>97</v>
      </c>
      <c r="AJ43" s="141">
        <v>97</v>
      </c>
      <c r="AK43" s="141">
        <v>97</v>
      </c>
      <c r="AL43" s="141">
        <v>97</v>
      </c>
      <c r="AM43" s="141">
        <v>97</v>
      </c>
      <c r="AN43" s="141">
        <v>97</v>
      </c>
      <c r="AO43" s="141">
        <v>97</v>
      </c>
      <c r="AP43" s="141">
        <v>97</v>
      </c>
      <c r="AQ43" s="141">
        <v>97</v>
      </c>
      <c r="AR43" s="141">
        <f t="shared" si="2"/>
        <v>3589</v>
      </c>
      <c r="AS43" s="169" t="s">
        <v>614</v>
      </c>
    </row>
    <row r="44" spans="1:45">
      <c r="A44" s="144">
        <f t="shared" si="5"/>
        <v>45786</v>
      </c>
      <c r="B44" s="141">
        <f>YEAR(Table7[[#This Row],[Date]])+IF(MONTH(Table7[[#This Row],[Date]])&gt;=4,1,0)</f>
        <v>2026</v>
      </c>
      <c r="C44" s="141">
        <f>YEAR(Table7[[#This Row],[Date]])</f>
        <v>2025</v>
      </c>
      <c r="D44" s="143">
        <f t="shared" si="4"/>
        <v>45778</v>
      </c>
      <c r="E44" s="141">
        <v>422</v>
      </c>
      <c r="F44" s="141">
        <v>422</v>
      </c>
      <c r="G44" s="141">
        <v>422</v>
      </c>
      <c r="H44" s="141">
        <v>422</v>
      </c>
      <c r="I44" s="141">
        <v>422</v>
      </c>
      <c r="J44" s="141">
        <v>422</v>
      </c>
      <c r="K44" s="141">
        <v>422</v>
      </c>
      <c r="L44" s="141">
        <v>422</v>
      </c>
      <c r="M44" s="141">
        <v>422</v>
      </c>
      <c r="N44" s="141">
        <v>422</v>
      </c>
      <c r="O44" s="141">
        <v>422</v>
      </c>
      <c r="P44" s="141">
        <v>422</v>
      </c>
      <c r="Q44" s="141">
        <v>422</v>
      </c>
      <c r="R44" s="141">
        <v>422</v>
      </c>
      <c r="S44" s="141">
        <v>422</v>
      </c>
      <c r="T44" s="141">
        <v>422</v>
      </c>
      <c r="U44" s="141">
        <v>422</v>
      </c>
      <c r="V44" s="141">
        <v>422</v>
      </c>
      <c r="W44" s="141">
        <v>422</v>
      </c>
      <c r="X44" s="141">
        <v>422</v>
      </c>
      <c r="Y44" s="141">
        <v>422</v>
      </c>
      <c r="Z44" s="141">
        <v>422</v>
      </c>
      <c r="AA44" s="141">
        <v>422</v>
      </c>
      <c r="AB44" s="141">
        <v>422</v>
      </c>
      <c r="AC44" s="141">
        <v>422</v>
      </c>
      <c r="AD44" s="141">
        <v>422</v>
      </c>
      <c r="AE44" s="141">
        <v>422</v>
      </c>
      <c r="AF44" s="141">
        <v>0</v>
      </c>
      <c r="AG44" s="141">
        <v>422</v>
      </c>
      <c r="AH44" s="141">
        <v>0</v>
      </c>
      <c r="AI44" s="141">
        <v>422</v>
      </c>
      <c r="AJ44" s="141">
        <v>422</v>
      </c>
      <c r="AK44" s="141">
        <v>422</v>
      </c>
      <c r="AL44" s="141">
        <v>422</v>
      </c>
      <c r="AM44" s="141">
        <v>422</v>
      </c>
      <c r="AN44" s="141">
        <v>422</v>
      </c>
      <c r="AO44" s="141">
        <v>422</v>
      </c>
      <c r="AP44" s="141">
        <v>422</v>
      </c>
      <c r="AQ44" s="141">
        <v>422</v>
      </c>
      <c r="AR44" s="141">
        <f t="shared" si="2"/>
        <v>15614</v>
      </c>
      <c r="AS44" s="169" t="s">
        <v>614</v>
      </c>
    </row>
    <row r="45" spans="1:45">
      <c r="A45" s="144">
        <f t="shared" si="5"/>
        <v>45787</v>
      </c>
      <c r="B45" s="141">
        <f>YEAR(Table7[[#This Row],[Date]])+IF(MONTH(Table7[[#This Row],[Date]])&gt;=4,1,0)</f>
        <v>2026</v>
      </c>
      <c r="C45" s="141">
        <f>YEAR(Table7[[#This Row],[Date]])</f>
        <v>2025</v>
      </c>
      <c r="D45" s="143">
        <f t="shared" si="4"/>
        <v>45778</v>
      </c>
      <c r="E45" s="141">
        <v>291</v>
      </c>
      <c r="F45" s="141">
        <v>291</v>
      </c>
      <c r="G45" s="141">
        <v>291</v>
      </c>
      <c r="H45" s="141">
        <v>291</v>
      </c>
      <c r="I45" s="141">
        <v>291</v>
      </c>
      <c r="J45" s="141">
        <v>291</v>
      </c>
      <c r="K45" s="141">
        <v>291</v>
      </c>
      <c r="L45" s="141">
        <v>291</v>
      </c>
      <c r="M45" s="141">
        <v>291</v>
      </c>
      <c r="N45" s="141">
        <v>291</v>
      </c>
      <c r="O45" s="141">
        <v>291</v>
      </c>
      <c r="P45" s="141">
        <v>291</v>
      </c>
      <c r="Q45" s="141">
        <v>291</v>
      </c>
      <c r="R45" s="141">
        <v>291</v>
      </c>
      <c r="S45" s="141">
        <v>291</v>
      </c>
      <c r="T45" s="141">
        <v>291</v>
      </c>
      <c r="U45" s="141">
        <v>291</v>
      </c>
      <c r="V45" s="141">
        <v>291</v>
      </c>
      <c r="W45" s="141">
        <v>291</v>
      </c>
      <c r="X45" s="141">
        <v>291</v>
      </c>
      <c r="Y45" s="141">
        <v>291</v>
      </c>
      <c r="Z45" s="141">
        <v>291</v>
      </c>
      <c r="AA45" s="141">
        <v>291</v>
      </c>
      <c r="AB45" s="141">
        <v>291</v>
      </c>
      <c r="AC45" s="141">
        <v>291</v>
      </c>
      <c r="AD45" s="141">
        <v>291</v>
      </c>
      <c r="AE45" s="141">
        <v>291</v>
      </c>
      <c r="AF45" s="141">
        <v>0</v>
      </c>
      <c r="AG45" s="141">
        <v>291</v>
      </c>
      <c r="AH45" s="141">
        <v>0</v>
      </c>
      <c r="AI45" s="141">
        <v>291</v>
      </c>
      <c r="AJ45" s="141">
        <v>291</v>
      </c>
      <c r="AK45" s="141">
        <v>291</v>
      </c>
      <c r="AL45" s="141">
        <v>291</v>
      </c>
      <c r="AM45" s="141">
        <v>291</v>
      </c>
      <c r="AN45" s="141">
        <v>291</v>
      </c>
      <c r="AO45" s="141">
        <v>291</v>
      </c>
      <c r="AP45" s="141">
        <v>291</v>
      </c>
      <c r="AQ45" s="141">
        <v>291</v>
      </c>
      <c r="AR45" s="141">
        <f t="shared" si="2"/>
        <v>10767</v>
      </c>
      <c r="AS45" s="169" t="s">
        <v>614</v>
      </c>
    </row>
    <row r="46" spans="1:45">
      <c r="A46" s="144">
        <f t="shared" si="5"/>
        <v>45788</v>
      </c>
      <c r="B46" s="141">
        <f>YEAR(Table7[[#This Row],[Date]])+IF(MONTH(Table7[[#This Row],[Date]])&gt;=4,1,0)</f>
        <v>2026</v>
      </c>
      <c r="C46" s="141">
        <f>YEAR(Table7[[#This Row],[Date]])</f>
        <v>2025</v>
      </c>
      <c r="D46" s="143">
        <f t="shared" si="4"/>
        <v>45778</v>
      </c>
      <c r="E46" s="141">
        <v>162</v>
      </c>
      <c r="F46" s="141">
        <v>162</v>
      </c>
      <c r="G46" s="141">
        <v>162</v>
      </c>
      <c r="H46" s="141">
        <v>162</v>
      </c>
      <c r="I46" s="141">
        <v>162</v>
      </c>
      <c r="J46" s="141">
        <v>162</v>
      </c>
      <c r="K46" s="141">
        <v>162</v>
      </c>
      <c r="L46" s="141">
        <v>162</v>
      </c>
      <c r="M46" s="141">
        <v>162</v>
      </c>
      <c r="N46" s="141">
        <v>162</v>
      </c>
      <c r="O46" s="141">
        <v>162</v>
      </c>
      <c r="P46" s="141">
        <v>162</v>
      </c>
      <c r="Q46" s="141">
        <v>162</v>
      </c>
      <c r="R46" s="141">
        <v>162</v>
      </c>
      <c r="S46" s="141">
        <v>162</v>
      </c>
      <c r="T46" s="141">
        <v>162</v>
      </c>
      <c r="U46" s="141">
        <v>162</v>
      </c>
      <c r="V46" s="141">
        <v>162</v>
      </c>
      <c r="W46" s="141">
        <v>162</v>
      </c>
      <c r="X46" s="141">
        <v>162</v>
      </c>
      <c r="Y46" s="141">
        <v>162</v>
      </c>
      <c r="Z46" s="141">
        <v>162</v>
      </c>
      <c r="AA46" s="141">
        <v>162</v>
      </c>
      <c r="AB46" s="141">
        <v>162</v>
      </c>
      <c r="AC46" s="141">
        <v>162</v>
      </c>
      <c r="AD46" s="141">
        <v>162</v>
      </c>
      <c r="AE46" s="141">
        <v>162</v>
      </c>
      <c r="AF46" s="141">
        <v>0</v>
      </c>
      <c r="AG46" s="141">
        <v>162</v>
      </c>
      <c r="AH46" s="141">
        <v>0</v>
      </c>
      <c r="AI46" s="141">
        <v>162</v>
      </c>
      <c r="AJ46" s="141">
        <v>162</v>
      </c>
      <c r="AK46" s="141">
        <v>162</v>
      </c>
      <c r="AL46" s="141">
        <v>162</v>
      </c>
      <c r="AM46" s="141">
        <v>162</v>
      </c>
      <c r="AN46" s="141">
        <v>162</v>
      </c>
      <c r="AO46" s="141">
        <v>162</v>
      </c>
      <c r="AP46" s="141">
        <v>162</v>
      </c>
      <c r="AQ46" s="141">
        <v>162</v>
      </c>
      <c r="AR46" s="141">
        <f t="shared" si="2"/>
        <v>5994</v>
      </c>
      <c r="AS46" s="169" t="s">
        <v>614</v>
      </c>
    </row>
    <row r="47" spans="1:45">
      <c r="A47" s="144">
        <f t="shared" si="5"/>
        <v>45789</v>
      </c>
      <c r="B47" s="141">
        <f>YEAR(Table7[[#This Row],[Date]])+IF(MONTH(Table7[[#This Row],[Date]])&gt;=4,1,0)</f>
        <v>2026</v>
      </c>
      <c r="C47" s="141">
        <f>YEAR(Table7[[#This Row],[Date]])</f>
        <v>2025</v>
      </c>
      <c r="D47" s="143">
        <f t="shared" si="4"/>
        <v>45778</v>
      </c>
      <c r="E47" s="141">
        <v>162</v>
      </c>
      <c r="F47" s="141">
        <v>162</v>
      </c>
      <c r="G47" s="141">
        <v>162</v>
      </c>
      <c r="H47" s="141">
        <v>162</v>
      </c>
      <c r="I47" s="141">
        <v>162</v>
      </c>
      <c r="J47" s="141">
        <v>162</v>
      </c>
      <c r="K47" s="141">
        <v>162</v>
      </c>
      <c r="L47" s="141">
        <v>162</v>
      </c>
      <c r="M47" s="141">
        <v>162</v>
      </c>
      <c r="N47" s="141">
        <v>162</v>
      </c>
      <c r="O47" s="141">
        <v>162</v>
      </c>
      <c r="P47" s="141">
        <v>162</v>
      </c>
      <c r="Q47" s="141">
        <v>162</v>
      </c>
      <c r="R47" s="141">
        <v>162</v>
      </c>
      <c r="S47" s="141">
        <v>162</v>
      </c>
      <c r="T47" s="141">
        <v>162</v>
      </c>
      <c r="U47" s="141">
        <v>162</v>
      </c>
      <c r="V47" s="141">
        <v>162</v>
      </c>
      <c r="W47" s="141">
        <v>162</v>
      </c>
      <c r="X47" s="141">
        <v>162</v>
      </c>
      <c r="Y47" s="141">
        <v>162</v>
      </c>
      <c r="Z47" s="141">
        <v>162</v>
      </c>
      <c r="AA47" s="141">
        <v>162</v>
      </c>
      <c r="AB47" s="141">
        <v>162</v>
      </c>
      <c r="AC47" s="141">
        <v>0</v>
      </c>
      <c r="AD47" s="141">
        <v>162</v>
      </c>
      <c r="AE47" s="141">
        <v>162</v>
      </c>
      <c r="AF47" s="141">
        <v>0</v>
      </c>
      <c r="AG47" s="141">
        <v>162</v>
      </c>
      <c r="AH47" s="141">
        <v>0</v>
      </c>
      <c r="AI47" s="141">
        <v>162</v>
      </c>
      <c r="AJ47" s="141">
        <v>162</v>
      </c>
      <c r="AK47" s="141">
        <v>162</v>
      </c>
      <c r="AL47" s="141">
        <v>162</v>
      </c>
      <c r="AM47" s="141">
        <v>162</v>
      </c>
      <c r="AN47" s="141">
        <v>162</v>
      </c>
      <c r="AO47" s="141">
        <v>162</v>
      </c>
      <c r="AP47" s="141">
        <v>162</v>
      </c>
      <c r="AQ47" s="141">
        <v>162</v>
      </c>
      <c r="AR47" s="141">
        <f t="shared" si="2"/>
        <v>5832</v>
      </c>
      <c r="AS47" s="169" t="s">
        <v>614</v>
      </c>
    </row>
    <row r="48" spans="1:45">
      <c r="A48" s="144">
        <f t="shared" si="5"/>
        <v>45790</v>
      </c>
      <c r="B48" s="141">
        <f>YEAR(Table7[[#This Row],[Date]])+IF(MONTH(Table7[[#This Row],[Date]])&gt;=4,1,0)</f>
        <v>2026</v>
      </c>
      <c r="C48" s="141">
        <f>YEAR(Table7[[#This Row],[Date]])</f>
        <v>2025</v>
      </c>
      <c r="D48" s="143">
        <f t="shared" si="4"/>
        <v>45778</v>
      </c>
      <c r="E48" s="141">
        <v>227</v>
      </c>
      <c r="F48" s="141">
        <v>227</v>
      </c>
      <c r="G48" s="141">
        <v>227</v>
      </c>
      <c r="H48" s="141">
        <v>227</v>
      </c>
      <c r="I48" s="141">
        <v>227</v>
      </c>
      <c r="J48" s="141">
        <v>227</v>
      </c>
      <c r="K48" s="141">
        <v>227</v>
      </c>
      <c r="L48" s="141">
        <v>227</v>
      </c>
      <c r="M48" s="141">
        <v>227</v>
      </c>
      <c r="N48" s="141">
        <v>227</v>
      </c>
      <c r="O48" s="141">
        <v>227</v>
      </c>
      <c r="P48" s="141">
        <v>227</v>
      </c>
      <c r="Q48" s="141">
        <v>227</v>
      </c>
      <c r="R48" s="141">
        <v>227</v>
      </c>
      <c r="S48" s="141">
        <v>227</v>
      </c>
      <c r="T48" s="141">
        <v>227</v>
      </c>
      <c r="U48" s="141">
        <v>227</v>
      </c>
      <c r="V48" s="141">
        <v>227</v>
      </c>
      <c r="W48" s="141">
        <v>227</v>
      </c>
      <c r="X48" s="141">
        <v>227</v>
      </c>
      <c r="Y48" s="141">
        <v>227</v>
      </c>
      <c r="Z48" s="141">
        <v>227</v>
      </c>
      <c r="AA48" s="141">
        <v>227</v>
      </c>
      <c r="AB48" s="141">
        <v>227</v>
      </c>
      <c r="AC48" s="141">
        <v>227</v>
      </c>
      <c r="AD48" s="141">
        <v>227</v>
      </c>
      <c r="AE48" s="141">
        <v>227</v>
      </c>
      <c r="AF48" s="141">
        <v>0</v>
      </c>
      <c r="AG48" s="141">
        <v>227</v>
      </c>
      <c r="AH48" s="141">
        <v>0</v>
      </c>
      <c r="AI48" s="141">
        <v>227</v>
      </c>
      <c r="AJ48" s="141">
        <v>227</v>
      </c>
      <c r="AK48" s="141">
        <v>227</v>
      </c>
      <c r="AL48" s="141">
        <v>227</v>
      </c>
      <c r="AM48" s="141">
        <v>227</v>
      </c>
      <c r="AN48" s="141">
        <v>227</v>
      </c>
      <c r="AO48" s="141">
        <v>227</v>
      </c>
      <c r="AP48" s="141">
        <v>227</v>
      </c>
      <c r="AQ48" s="141">
        <v>227</v>
      </c>
      <c r="AR48" s="141">
        <f t="shared" si="2"/>
        <v>8399</v>
      </c>
      <c r="AS48" s="169" t="s">
        <v>614</v>
      </c>
    </row>
    <row r="49" spans="1:45">
      <c r="A49" s="144">
        <f t="shared" si="5"/>
        <v>45791</v>
      </c>
      <c r="B49" s="141">
        <f>YEAR(Table7[[#This Row],[Date]])+IF(MONTH(Table7[[#This Row],[Date]])&gt;=4,1,0)</f>
        <v>2026</v>
      </c>
      <c r="C49" s="141">
        <f>YEAR(Table7[[#This Row],[Date]])</f>
        <v>2025</v>
      </c>
      <c r="D49" s="143">
        <f t="shared" si="4"/>
        <v>45778</v>
      </c>
      <c r="E49" s="141">
        <v>324</v>
      </c>
      <c r="F49" s="141">
        <v>324</v>
      </c>
      <c r="G49" s="141">
        <v>324</v>
      </c>
      <c r="H49" s="141">
        <v>324</v>
      </c>
      <c r="I49" s="141">
        <v>324</v>
      </c>
      <c r="J49" s="141">
        <v>324</v>
      </c>
      <c r="K49" s="141">
        <v>324</v>
      </c>
      <c r="L49" s="141">
        <v>324</v>
      </c>
      <c r="M49" s="141">
        <v>324</v>
      </c>
      <c r="N49" s="141">
        <v>324</v>
      </c>
      <c r="O49" s="141">
        <v>324</v>
      </c>
      <c r="P49" s="141">
        <v>324</v>
      </c>
      <c r="Q49" s="141">
        <v>324</v>
      </c>
      <c r="R49" s="141">
        <v>324</v>
      </c>
      <c r="S49" s="141">
        <v>324</v>
      </c>
      <c r="T49" s="141">
        <v>324</v>
      </c>
      <c r="U49" s="141">
        <v>324</v>
      </c>
      <c r="V49" s="141">
        <v>324</v>
      </c>
      <c r="W49" s="141">
        <v>324</v>
      </c>
      <c r="X49" s="141">
        <v>324</v>
      </c>
      <c r="Y49" s="141">
        <v>324</v>
      </c>
      <c r="Z49" s="141">
        <v>324</v>
      </c>
      <c r="AA49" s="141">
        <v>324</v>
      </c>
      <c r="AB49" s="141">
        <v>324</v>
      </c>
      <c r="AC49" s="141">
        <v>324</v>
      </c>
      <c r="AD49" s="141">
        <v>324</v>
      </c>
      <c r="AE49" s="141">
        <v>324</v>
      </c>
      <c r="AF49" s="141">
        <v>0</v>
      </c>
      <c r="AG49" s="141">
        <v>324</v>
      </c>
      <c r="AH49" s="141">
        <v>0</v>
      </c>
      <c r="AI49" s="141">
        <v>324</v>
      </c>
      <c r="AJ49" s="141">
        <v>324</v>
      </c>
      <c r="AK49" s="141">
        <v>324</v>
      </c>
      <c r="AL49" s="141">
        <v>324</v>
      </c>
      <c r="AM49" s="141">
        <v>324</v>
      </c>
      <c r="AN49" s="141">
        <v>324</v>
      </c>
      <c r="AO49" s="141">
        <v>324</v>
      </c>
      <c r="AP49" s="141">
        <v>324</v>
      </c>
      <c r="AQ49" s="141">
        <v>0</v>
      </c>
      <c r="AR49" s="141">
        <f t="shared" si="2"/>
        <v>11664</v>
      </c>
      <c r="AS49" s="169" t="s">
        <v>614</v>
      </c>
    </row>
    <row r="50" spans="1:45">
      <c r="A50" s="144">
        <f t="shared" si="5"/>
        <v>45792</v>
      </c>
      <c r="B50" s="141">
        <f>YEAR(Table7[[#This Row],[Date]])+IF(MONTH(Table7[[#This Row],[Date]])&gt;=4,1,0)</f>
        <v>2026</v>
      </c>
      <c r="C50" s="141">
        <f>YEAR(Table7[[#This Row],[Date]])</f>
        <v>2025</v>
      </c>
      <c r="D50" s="143">
        <f t="shared" si="4"/>
        <v>45778</v>
      </c>
      <c r="E50" s="141">
        <v>162</v>
      </c>
      <c r="F50" s="141">
        <v>162</v>
      </c>
      <c r="G50" s="141">
        <v>162</v>
      </c>
      <c r="H50" s="141">
        <v>162</v>
      </c>
      <c r="I50" s="141">
        <v>162</v>
      </c>
      <c r="J50" s="141">
        <v>162</v>
      </c>
      <c r="K50" s="141">
        <v>162</v>
      </c>
      <c r="L50" s="141">
        <v>162</v>
      </c>
      <c r="M50" s="141">
        <v>162</v>
      </c>
      <c r="N50" s="141">
        <v>162</v>
      </c>
      <c r="O50" s="141">
        <v>162</v>
      </c>
      <c r="P50" s="141">
        <v>162</v>
      </c>
      <c r="Q50" s="141">
        <v>162</v>
      </c>
      <c r="R50" s="141">
        <v>162</v>
      </c>
      <c r="S50" s="141">
        <v>162</v>
      </c>
      <c r="T50" s="141">
        <v>162</v>
      </c>
      <c r="U50" s="141">
        <v>162</v>
      </c>
      <c r="V50" s="141">
        <v>162</v>
      </c>
      <c r="W50" s="141">
        <v>162</v>
      </c>
      <c r="X50" s="141">
        <v>162</v>
      </c>
      <c r="Y50" s="141">
        <v>162</v>
      </c>
      <c r="Z50" s="141">
        <v>162</v>
      </c>
      <c r="AA50" s="141">
        <v>162</v>
      </c>
      <c r="AB50" s="141">
        <v>162</v>
      </c>
      <c r="AC50" s="141">
        <v>162</v>
      </c>
      <c r="AD50" s="141">
        <v>162</v>
      </c>
      <c r="AE50" s="141">
        <v>162</v>
      </c>
      <c r="AF50" s="141">
        <v>0</v>
      </c>
      <c r="AG50" s="141">
        <v>162</v>
      </c>
      <c r="AH50" s="141">
        <v>0</v>
      </c>
      <c r="AI50" s="141">
        <v>162</v>
      </c>
      <c r="AJ50" s="141">
        <v>162</v>
      </c>
      <c r="AK50" s="141">
        <v>162</v>
      </c>
      <c r="AL50" s="141">
        <v>162</v>
      </c>
      <c r="AM50" s="141">
        <v>162</v>
      </c>
      <c r="AN50" s="141">
        <v>162</v>
      </c>
      <c r="AO50" s="141">
        <v>162</v>
      </c>
      <c r="AP50" s="141">
        <v>162</v>
      </c>
      <c r="AQ50" s="141">
        <v>162</v>
      </c>
      <c r="AR50" s="141">
        <f t="shared" si="2"/>
        <v>5994</v>
      </c>
      <c r="AS50" s="169" t="s">
        <v>614</v>
      </c>
    </row>
    <row r="51" spans="1:45">
      <c r="A51" s="144">
        <f t="shared" si="5"/>
        <v>45793</v>
      </c>
      <c r="B51" s="141">
        <f>YEAR(Table7[[#This Row],[Date]])+IF(MONTH(Table7[[#This Row],[Date]])&gt;=4,1,0)</f>
        <v>2026</v>
      </c>
      <c r="C51" s="141">
        <f>YEAR(Table7[[#This Row],[Date]])</f>
        <v>2025</v>
      </c>
      <c r="D51" s="143">
        <f t="shared" si="4"/>
        <v>45778</v>
      </c>
      <c r="E51" s="141">
        <v>130</v>
      </c>
      <c r="F51" s="141">
        <v>130</v>
      </c>
      <c r="G51" s="141">
        <v>130</v>
      </c>
      <c r="H51" s="141">
        <v>130</v>
      </c>
      <c r="I51" s="141">
        <v>130</v>
      </c>
      <c r="J51" s="141">
        <v>130</v>
      </c>
      <c r="K51" s="141">
        <v>130</v>
      </c>
      <c r="L51" s="141">
        <v>130</v>
      </c>
      <c r="M51" s="141">
        <v>130</v>
      </c>
      <c r="N51" s="141">
        <v>130</v>
      </c>
      <c r="O51" s="141">
        <v>130</v>
      </c>
      <c r="P51" s="141">
        <v>130</v>
      </c>
      <c r="Q51" s="141">
        <v>130</v>
      </c>
      <c r="R51" s="141">
        <v>130</v>
      </c>
      <c r="S51" s="141">
        <v>130</v>
      </c>
      <c r="T51" s="141">
        <v>130</v>
      </c>
      <c r="U51" s="141">
        <v>130</v>
      </c>
      <c r="V51" s="141">
        <v>130</v>
      </c>
      <c r="W51" s="141">
        <v>130</v>
      </c>
      <c r="X51" s="141">
        <v>130</v>
      </c>
      <c r="Y51" s="141">
        <v>130</v>
      </c>
      <c r="Z51" s="141">
        <v>130</v>
      </c>
      <c r="AA51" s="141">
        <v>130</v>
      </c>
      <c r="AB51" s="141">
        <v>130</v>
      </c>
      <c r="AC51" s="141">
        <v>130</v>
      </c>
      <c r="AD51" s="141">
        <v>130</v>
      </c>
      <c r="AE51" s="141">
        <v>130</v>
      </c>
      <c r="AF51" s="141">
        <v>0</v>
      </c>
      <c r="AG51" s="141">
        <v>130</v>
      </c>
      <c r="AH51" s="141">
        <v>0</v>
      </c>
      <c r="AI51" s="141">
        <v>130</v>
      </c>
      <c r="AJ51" s="141">
        <v>130</v>
      </c>
      <c r="AK51" s="141">
        <v>130</v>
      </c>
      <c r="AL51" s="141">
        <v>130</v>
      </c>
      <c r="AM51" s="141">
        <v>130</v>
      </c>
      <c r="AN51" s="141">
        <v>130</v>
      </c>
      <c r="AO51" s="141">
        <v>130</v>
      </c>
      <c r="AP51" s="141">
        <v>130</v>
      </c>
      <c r="AQ51" s="141">
        <v>130</v>
      </c>
      <c r="AR51" s="141">
        <f t="shared" si="2"/>
        <v>4810</v>
      </c>
      <c r="AS51" s="169" t="s">
        <v>614</v>
      </c>
    </row>
    <row r="52" spans="1:45">
      <c r="A52" s="144">
        <f t="shared" si="5"/>
        <v>45794</v>
      </c>
      <c r="B52" s="141">
        <f>YEAR(Table7[[#This Row],[Date]])+IF(MONTH(Table7[[#This Row],[Date]])&gt;=4,1,0)</f>
        <v>2026</v>
      </c>
      <c r="C52" s="141">
        <f>YEAR(Table7[[#This Row],[Date]])</f>
        <v>2025</v>
      </c>
      <c r="D52" s="143">
        <f t="shared" si="4"/>
        <v>45778</v>
      </c>
      <c r="E52" s="141">
        <v>98</v>
      </c>
      <c r="F52" s="141">
        <v>98</v>
      </c>
      <c r="G52" s="141">
        <v>98</v>
      </c>
      <c r="H52" s="141">
        <v>98</v>
      </c>
      <c r="I52" s="141">
        <v>98</v>
      </c>
      <c r="J52" s="141">
        <v>98</v>
      </c>
      <c r="K52" s="141">
        <v>98</v>
      </c>
      <c r="L52" s="141">
        <v>98</v>
      </c>
      <c r="M52" s="141">
        <v>98</v>
      </c>
      <c r="N52" s="141">
        <v>98</v>
      </c>
      <c r="O52" s="141">
        <v>98</v>
      </c>
      <c r="P52" s="141">
        <v>98</v>
      </c>
      <c r="Q52" s="141">
        <v>98</v>
      </c>
      <c r="R52" s="141">
        <v>98</v>
      </c>
      <c r="S52" s="141">
        <v>98</v>
      </c>
      <c r="T52" s="141">
        <v>98</v>
      </c>
      <c r="U52" s="141">
        <v>98</v>
      </c>
      <c r="V52" s="141">
        <v>98</v>
      </c>
      <c r="W52" s="141">
        <v>98</v>
      </c>
      <c r="X52" s="141">
        <v>98</v>
      </c>
      <c r="Y52" s="141">
        <v>98</v>
      </c>
      <c r="Z52" s="141">
        <v>98</v>
      </c>
      <c r="AA52" s="141">
        <v>98</v>
      </c>
      <c r="AB52" s="141">
        <v>98</v>
      </c>
      <c r="AC52" s="141">
        <v>98</v>
      </c>
      <c r="AD52" s="141">
        <v>98</v>
      </c>
      <c r="AE52" s="141">
        <v>98</v>
      </c>
      <c r="AF52" s="141">
        <v>0</v>
      </c>
      <c r="AG52" s="141">
        <v>98</v>
      </c>
      <c r="AH52" s="141">
        <v>0</v>
      </c>
      <c r="AI52" s="141">
        <v>98</v>
      </c>
      <c r="AJ52" s="141">
        <v>98</v>
      </c>
      <c r="AK52" s="141">
        <v>98</v>
      </c>
      <c r="AL52" s="141">
        <v>98</v>
      </c>
      <c r="AM52" s="141">
        <v>98</v>
      </c>
      <c r="AN52" s="141">
        <v>98</v>
      </c>
      <c r="AO52" s="141">
        <v>98</v>
      </c>
      <c r="AP52" s="141">
        <v>98</v>
      </c>
      <c r="AQ52" s="141">
        <v>98</v>
      </c>
      <c r="AR52" s="141">
        <f t="shared" si="2"/>
        <v>3626</v>
      </c>
      <c r="AS52" s="169" t="s">
        <v>614</v>
      </c>
    </row>
    <row r="53" spans="1:45">
      <c r="A53" s="144">
        <f t="shared" si="5"/>
        <v>45795</v>
      </c>
      <c r="B53" s="141">
        <f>YEAR(Table7[[#This Row],[Date]])+IF(MONTH(Table7[[#This Row],[Date]])&gt;=4,1,0)</f>
        <v>2026</v>
      </c>
      <c r="C53" s="141">
        <f>YEAR(Table7[[#This Row],[Date]])</f>
        <v>2025</v>
      </c>
      <c r="D53" s="143">
        <f t="shared" si="4"/>
        <v>45778</v>
      </c>
      <c r="E53" s="141">
        <v>227</v>
      </c>
      <c r="F53" s="141">
        <v>227</v>
      </c>
      <c r="G53" s="141">
        <v>227</v>
      </c>
      <c r="H53" s="141">
        <v>227</v>
      </c>
      <c r="I53" s="141">
        <v>227</v>
      </c>
      <c r="J53" s="141">
        <v>227</v>
      </c>
      <c r="K53" s="141">
        <v>227</v>
      </c>
      <c r="L53" s="141">
        <v>227</v>
      </c>
      <c r="M53" s="141">
        <v>227</v>
      </c>
      <c r="N53" s="141">
        <v>227</v>
      </c>
      <c r="O53" s="141">
        <v>227</v>
      </c>
      <c r="P53" s="141">
        <v>227</v>
      </c>
      <c r="Q53" s="141">
        <v>227</v>
      </c>
      <c r="R53" s="141">
        <v>227</v>
      </c>
      <c r="S53" s="141">
        <v>227</v>
      </c>
      <c r="T53" s="141">
        <v>227</v>
      </c>
      <c r="U53" s="141">
        <v>227</v>
      </c>
      <c r="V53" s="141">
        <v>227</v>
      </c>
      <c r="W53" s="141">
        <v>227</v>
      </c>
      <c r="X53" s="141">
        <v>227</v>
      </c>
      <c r="Y53" s="141">
        <v>227</v>
      </c>
      <c r="Z53" s="141">
        <v>227</v>
      </c>
      <c r="AA53" s="141">
        <v>227</v>
      </c>
      <c r="AB53" s="141">
        <v>227</v>
      </c>
      <c r="AC53" s="141">
        <v>227</v>
      </c>
      <c r="AD53" s="141">
        <v>227</v>
      </c>
      <c r="AE53" s="141">
        <v>227</v>
      </c>
      <c r="AF53" s="141">
        <v>0</v>
      </c>
      <c r="AG53" s="141">
        <v>227</v>
      </c>
      <c r="AH53" s="141">
        <v>0</v>
      </c>
      <c r="AI53" s="141">
        <v>227</v>
      </c>
      <c r="AJ53" s="141">
        <v>227</v>
      </c>
      <c r="AK53" s="141">
        <v>227</v>
      </c>
      <c r="AL53" s="141">
        <v>227</v>
      </c>
      <c r="AM53" s="141">
        <v>227</v>
      </c>
      <c r="AN53" s="141">
        <v>227</v>
      </c>
      <c r="AO53" s="141">
        <v>227</v>
      </c>
      <c r="AP53" s="141">
        <v>227</v>
      </c>
      <c r="AQ53" s="141">
        <v>227</v>
      </c>
      <c r="AR53" s="141">
        <f t="shared" si="2"/>
        <v>8399</v>
      </c>
      <c r="AS53" s="169" t="s">
        <v>614</v>
      </c>
    </row>
    <row r="54" spans="1:45">
      <c r="A54" s="144">
        <f t="shared" si="5"/>
        <v>45796</v>
      </c>
      <c r="B54" s="141">
        <f>YEAR(Table7[[#This Row],[Date]])+IF(MONTH(Table7[[#This Row],[Date]])&gt;=4,1,0)</f>
        <v>2026</v>
      </c>
      <c r="C54" s="141">
        <f>YEAR(Table7[[#This Row],[Date]])</f>
        <v>2025</v>
      </c>
      <c r="D54" s="143">
        <f t="shared" si="4"/>
        <v>45778</v>
      </c>
      <c r="E54" s="141">
        <v>519</v>
      </c>
      <c r="F54" s="141">
        <v>519</v>
      </c>
      <c r="G54" s="141">
        <v>519</v>
      </c>
      <c r="H54" s="141">
        <v>519</v>
      </c>
      <c r="I54" s="141">
        <v>519</v>
      </c>
      <c r="J54" s="141">
        <v>519</v>
      </c>
      <c r="K54" s="141">
        <v>519</v>
      </c>
      <c r="L54" s="141">
        <v>519</v>
      </c>
      <c r="M54" s="141">
        <v>519</v>
      </c>
      <c r="N54" s="141">
        <v>519</v>
      </c>
      <c r="O54" s="141">
        <v>519</v>
      </c>
      <c r="P54" s="141">
        <v>519</v>
      </c>
      <c r="Q54" s="141">
        <v>519</v>
      </c>
      <c r="R54" s="141">
        <v>519</v>
      </c>
      <c r="S54" s="141">
        <v>519</v>
      </c>
      <c r="T54" s="141">
        <v>519</v>
      </c>
      <c r="U54" s="141">
        <v>519</v>
      </c>
      <c r="V54" s="141">
        <v>519</v>
      </c>
      <c r="W54" s="141">
        <v>519</v>
      </c>
      <c r="X54" s="141">
        <v>519</v>
      </c>
      <c r="Y54" s="141">
        <v>519</v>
      </c>
      <c r="Z54" s="141">
        <v>519</v>
      </c>
      <c r="AA54" s="141">
        <v>519</v>
      </c>
      <c r="AB54" s="141">
        <v>519</v>
      </c>
      <c r="AC54" s="141">
        <v>519</v>
      </c>
      <c r="AD54" s="141">
        <v>519</v>
      </c>
      <c r="AE54" s="141">
        <v>519</v>
      </c>
      <c r="AF54" s="141">
        <v>0</v>
      </c>
      <c r="AG54" s="141">
        <v>519</v>
      </c>
      <c r="AH54" s="141">
        <v>0</v>
      </c>
      <c r="AI54" s="141">
        <v>519</v>
      </c>
      <c r="AJ54" s="141">
        <v>519</v>
      </c>
      <c r="AK54" s="141">
        <v>519</v>
      </c>
      <c r="AL54" s="141">
        <v>519</v>
      </c>
      <c r="AM54" s="141">
        <v>519</v>
      </c>
      <c r="AN54" s="141">
        <v>519</v>
      </c>
      <c r="AO54" s="141">
        <v>519</v>
      </c>
      <c r="AP54" s="141">
        <v>519</v>
      </c>
      <c r="AQ54" s="141">
        <v>519</v>
      </c>
      <c r="AR54" s="141">
        <f t="shared" si="2"/>
        <v>19203</v>
      </c>
      <c r="AS54" s="169" t="s">
        <v>614</v>
      </c>
    </row>
    <row r="55" spans="1:45">
      <c r="A55" s="144">
        <f t="shared" si="5"/>
        <v>45797</v>
      </c>
      <c r="B55" s="141">
        <f>YEAR(Table7[[#This Row],[Date]])+IF(MONTH(Table7[[#This Row],[Date]])&gt;=4,1,0)</f>
        <v>2026</v>
      </c>
      <c r="C55" s="141">
        <f>YEAR(Table7[[#This Row],[Date]])</f>
        <v>2025</v>
      </c>
      <c r="D55" s="143">
        <f t="shared" si="4"/>
        <v>45778</v>
      </c>
      <c r="E55" s="141">
        <v>195</v>
      </c>
      <c r="F55" s="141">
        <v>195</v>
      </c>
      <c r="G55" s="141">
        <v>195</v>
      </c>
      <c r="H55" s="141">
        <v>195</v>
      </c>
      <c r="I55" s="141">
        <v>195</v>
      </c>
      <c r="J55" s="141">
        <v>195</v>
      </c>
      <c r="K55" s="141">
        <v>195</v>
      </c>
      <c r="L55" s="141">
        <v>195</v>
      </c>
      <c r="M55" s="141">
        <v>195</v>
      </c>
      <c r="N55" s="141">
        <v>195</v>
      </c>
      <c r="O55" s="141">
        <v>195</v>
      </c>
      <c r="P55" s="141">
        <v>195</v>
      </c>
      <c r="Q55" s="141">
        <v>195</v>
      </c>
      <c r="R55" s="141">
        <v>195</v>
      </c>
      <c r="S55" s="141">
        <v>195</v>
      </c>
      <c r="T55" s="141">
        <v>195</v>
      </c>
      <c r="U55" s="141">
        <v>195</v>
      </c>
      <c r="V55" s="141">
        <v>195</v>
      </c>
      <c r="W55" s="141">
        <v>195</v>
      </c>
      <c r="X55" s="141">
        <v>195</v>
      </c>
      <c r="Y55" s="141">
        <v>195</v>
      </c>
      <c r="Z55" s="141">
        <v>195</v>
      </c>
      <c r="AA55" s="141">
        <v>195</v>
      </c>
      <c r="AB55" s="141">
        <v>195</v>
      </c>
      <c r="AC55" s="141">
        <v>195</v>
      </c>
      <c r="AD55" s="141">
        <v>195</v>
      </c>
      <c r="AE55" s="141">
        <v>195</v>
      </c>
      <c r="AF55" s="141">
        <v>0</v>
      </c>
      <c r="AG55" s="141">
        <v>195</v>
      </c>
      <c r="AH55" s="141">
        <v>0</v>
      </c>
      <c r="AI55" s="141">
        <v>195</v>
      </c>
      <c r="AJ55" s="141">
        <v>195</v>
      </c>
      <c r="AK55" s="141">
        <v>195</v>
      </c>
      <c r="AL55" s="141">
        <v>195</v>
      </c>
      <c r="AM55" s="141">
        <v>195</v>
      </c>
      <c r="AN55" s="141">
        <v>195</v>
      </c>
      <c r="AO55" s="141">
        <v>195</v>
      </c>
      <c r="AP55" s="141">
        <v>195</v>
      </c>
      <c r="AQ55" s="141">
        <v>195</v>
      </c>
      <c r="AR55" s="141">
        <f t="shared" si="2"/>
        <v>7215</v>
      </c>
      <c r="AS55" s="169" t="s">
        <v>614</v>
      </c>
    </row>
    <row r="56" spans="1:45">
      <c r="A56" s="144">
        <f t="shared" si="5"/>
        <v>45798</v>
      </c>
      <c r="B56" s="141">
        <f>YEAR(Table7[[#This Row],[Date]])+IF(MONTH(Table7[[#This Row],[Date]])&gt;=4,1,0)</f>
        <v>2026</v>
      </c>
      <c r="C56" s="141">
        <f>YEAR(Table7[[#This Row],[Date]])</f>
        <v>2025</v>
      </c>
      <c r="D56" s="143">
        <f t="shared" si="4"/>
        <v>45778</v>
      </c>
      <c r="E56" s="141">
        <v>130</v>
      </c>
      <c r="F56" s="141">
        <v>130</v>
      </c>
      <c r="G56" s="141">
        <v>130</v>
      </c>
      <c r="H56" s="141">
        <v>130</v>
      </c>
      <c r="I56" s="141">
        <v>130</v>
      </c>
      <c r="J56" s="141">
        <v>130</v>
      </c>
      <c r="K56" s="141">
        <v>130</v>
      </c>
      <c r="L56" s="141">
        <v>130</v>
      </c>
      <c r="M56" s="141">
        <v>130</v>
      </c>
      <c r="N56" s="141">
        <v>130</v>
      </c>
      <c r="O56" s="141">
        <v>130</v>
      </c>
      <c r="P56" s="141">
        <v>130</v>
      </c>
      <c r="Q56" s="141">
        <v>130</v>
      </c>
      <c r="R56" s="141">
        <v>130</v>
      </c>
      <c r="S56" s="141">
        <v>130</v>
      </c>
      <c r="T56" s="141">
        <v>130</v>
      </c>
      <c r="U56" s="141">
        <v>130</v>
      </c>
      <c r="V56" s="141">
        <v>130</v>
      </c>
      <c r="W56" s="141">
        <v>130</v>
      </c>
      <c r="X56" s="141">
        <v>130</v>
      </c>
      <c r="Y56" s="141">
        <v>130</v>
      </c>
      <c r="Z56" s="141">
        <v>130</v>
      </c>
      <c r="AA56" s="141">
        <v>130</v>
      </c>
      <c r="AB56" s="141">
        <v>130</v>
      </c>
      <c r="AC56" s="141">
        <v>130</v>
      </c>
      <c r="AD56" s="141">
        <v>130</v>
      </c>
      <c r="AE56" s="141">
        <v>130</v>
      </c>
      <c r="AF56" s="141">
        <v>0</v>
      </c>
      <c r="AG56" s="141">
        <v>130</v>
      </c>
      <c r="AH56" s="141">
        <v>0</v>
      </c>
      <c r="AI56" s="141">
        <v>130</v>
      </c>
      <c r="AJ56" s="141">
        <v>130</v>
      </c>
      <c r="AK56" s="141">
        <v>130</v>
      </c>
      <c r="AL56" s="141">
        <v>130</v>
      </c>
      <c r="AM56" s="141">
        <v>130</v>
      </c>
      <c r="AN56" s="141">
        <v>130</v>
      </c>
      <c r="AO56" s="141">
        <v>130</v>
      </c>
      <c r="AP56" s="141">
        <v>130</v>
      </c>
      <c r="AQ56" s="141">
        <v>130</v>
      </c>
      <c r="AR56" s="141">
        <f t="shared" si="2"/>
        <v>4810</v>
      </c>
      <c r="AS56" s="169" t="s">
        <v>614</v>
      </c>
    </row>
    <row r="57" spans="1:45">
      <c r="A57" s="144">
        <f t="shared" si="5"/>
        <v>45799</v>
      </c>
      <c r="B57" s="141">
        <f>YEAR(Table7[[#This Row],[Date]])+IF(MONTH(Table7[[#This Row],[Date]])&gt;=4,1,0)</f>
        <v>2026</v>
      </c>
      <c r="C57" s="141">
        <f>YEAR(Table7[[#This Row],[Date]])</f>
        <v>2025</v>
      </c>
      <c r="D57" s="143">
        <f t="shared" si="4"/>
        <v>45778</v>
      </c>
      <c r="E57" s="141">
        <v>552</v>
      </c>
      <c r="F57" s="141">
        <v>552</v>
      </c>
      <c r="G57" s="141">
        <v>552</v>
      </c>
      <c r="H57" s="141">
        <v>552</v>
      </c>
      <c r="I57" s="141">
        <v>552</v>
      </c>
      <c r="J57" s="141">
        <v>552</v>
      </c>
      <c r="K57" s="141">
        <v>552</v>
      </c>
      <c r="L57" s="141">
        <v>552</v>
      </c>
      <c r="M57" s="141">
        <v>552</v>
      </c>
      <c r="N57" s="141">
        <v>552</v>
      </c>
      <c r="O57" s="141">
        <v>552</v>
      </c>
      <c r="P57" s="141">
        <v>552</v>
      </c>
      <c r="Q57" s="141">
        <v>552</v>
      </c>
      <c r="R57" s="141">
        <v>552</v>
      </c>
      <c r="S57" s="141">
        <v>552</v>
      </c>
      <c r="T57" s="141">
        <v>552</v>
      </c>
      <c r="U57" s="141">
        <v>552</v>
      </c>
      <c r="V57" s="141">
        <v>552</v>
      </c>
      <c r="W57" s="141">
        <v>552</v>
      </c>
      <c r="X57" s="141">
        <v>552</v>
      </c>
      <c r="Y57" s="141">
        <v>552</v>
      </c>
      <c r="Z57" s="141">
        <v>552</v>
      </c>
      <c r="AA57" s="141">
        <v>552</v>
      </c>
      <c r="AB57" s="141">
        <v>552</v>
      </c>
      <c r="AC57" s="141">
        <v>552</v>
      </c>
      <c r="AD57" s="141">
        <v>552</v>
      </c>
      <c r="AE57" s="141">
        <v>552</v>
      </c>
      <c r="AF57" s="141">
        <v>0</v>
      </c>
      <c r="AG57" s="141">
        <v>552</v>
      </c>
      <c r="AH57" s="141">
        <v>0</v>
      </c>
      <c r="AI57" s="141">
        <v>552</v>
      </c>
      <c r="AJ57" s="141">
        <v>552</v>
      </c>
      <c r="AK57" s="141">
        <v>552</v>
      </c>
      <c r="AL57" s="141">
        <v>552</v>
      </c>
      <c r="AM57" s="141">
        <v>552</v>
      </c>
      <c r="AN57" s="141">
        <v>552</v>
      </c>
      <c r="AO57" s="141">
        <v>552</v>
      </c>
      <c r="AP57" s="141">
        <v>552</v>
      </c>
      <c r="AQ57" s="141">
        <v>552</v>
      </c>
      <c r="AR57" s="141">
        <f t="shared" si="2"/>
        <v>20424</v>
      </c>
      <c r="AS57" s="169" t="s">
        <v>614</v>
      </c>
    </row>
    <row r="58" spans="1:45">
      <c r="A58" s="144">
        <f t="shared" si="5"/>
        <v>45800</v>
      </c>
      <c r="B58" s="141">
        <f>YEAR(Table7[[#This Row],[Date]])+IF(MONTH(Table7[[#This Row],[Date]])&gt;=4,1,0)</f>
        <v>2026</v>
      </c>
      <c r="C58" s="141">
        <f>YEAR(Table7[[#This Row],[Date]])</f>
        <v>2025</v>
      </c>
      <c r="D58" s="143">
        <f t="shared" si="4"/>
        <v>45778</v>
      </c>
      <c r="E58" s="141">
        <v>487</v>
      </c>
      <c r="F58" s="141">
        <v>487</v>
      </c>
      <c r="G58" s="141">
        <v>487</v>
      </c>
      <c r="H58" s="141">
        <v>487</v>
      </c>
      <c r="I58" s="141">
        <v>487</v>
      </c>
      <c r="J58" s="141">
        <v>487</v>
      </c>
      <c r="K58" s="141">
        <v>487</v>
      </c>
      <c r="L58" s="141">
        <v>487</v>
      </c>
      <c r="M58" s="141">
        <v>487</v>
      </c>
      <c r="N58" s="141">
        <v>487</v>
      </c>
      <c r="O58" s="141">
        <v>487</v>
      </c>
      <c r="P58" s="141">
        <v>487</v>
      </c>
      <c r="Q58" s="141">
        <v>487</v>
      </c>
      <c r="R58" s="141">
        <v>487</v>
      </c>
      <c r="S58" s="141">
        <v>487</v>
      </c>
      <c r="T58" s="141">
        <v>487</v>
      </c>
      <c r="U58" s="141">
        <v>487</v>
      </c>
      <c r="V58" s="141">
        <v>487</v>
      </c>
      <c r="W58" s="141">
        <v>487</v>
      </c>
      <c r="X58" s="141">
        <v>487</v>
      </c>
      <c r="Y58" s="141">
        <v>487</v>
      </c>
      <c r="Z58" s="141">
        <v>487</v>
      </c>
      <c r="AA58" s="141">
        <v>487</v>
      </c>
      <c r="AB58" s="141">
        <v>487</v>
      </c>
      <c r="AC58" s="141">
        <v>487</v>
      </c>
      <c r="AD58" s="141">
        <v>487</v>
      </c>
      <c r="AE58" s="141">
        <v>487</v>
      </c>
      <c r="AF58" s="141">
        <v>0</v>
      </c>
      <c r="AG58" s="141">
        <v>487</v>
      </c>
      <c r="AH58" s="141">
        <v>0</v>
      </c>
      <c r="AI58" s="141">
        <v>487</v>
      </c>
      <c r="AJ58" s="141">
        <v>487</v>
      </c>
      <c r="AK58" s="141">
        <v>487</v>
      </c>
      <c r="AL58" s="141">
        <v>487</v>
      </c>
      <c r="AM58" s="141">
        <v>487</v>
      </c>
      <c r="AN58" s="141">
        <v>487</v>
      </c>
      <c r="AO58" s="141">
        <v>487</v>
      </c>
      <c r="AP58" s="141">
        <v>487</v>
      </c>
      <c r="AQ58" s="141">
        <v>487</v>
      </c>
      <c r="AR58" s="141">
        <f t="shared" si="2"/>
        <v>18019</v>
      </c>
      <c r="AS58" s="169" t="s">
        <v>614</v>
      </c>
    </row>
    <row r="59" spans="1:45">
      <c r="A59" s="144">
        <f t="shared" si="5"/>
        <v>45801</v>
      </c>
      <c r="B59" s="141">
        <f>YEAR(Table7[[#This Row],[Date]])+IF(MONTH(Table7[[#This Row],[Date]])&gt;=4,1,0)</f>
        <v>2026</v>
      </c>
      <c r="C59" s="141">
        <f>YEAR(Table7[[#This Row],[Date]])</f>
        <v>2025</v>
      </c>
      <c r="D59" s="143">
        <f t="shared" si="4"/>
        <v>45778</v>
      </c>
      <c r="E59" s="141">
        <v>163</v>
      </c>
      <c r="F59" s="141">
        <v>163</v>
      </c>
      <c r="G59" s="141">
        <v>163</v>
      </c>
      <c r="H59" s="141">
        <v>163</v>
      </c>
      <c r="I59" s="141">
        <v>163</v>
      </c>
      <c r="J59" s="141">
        <v>163</v>
      </c>
      <c r="K59" s="141">
        <v>163</v>
      </c>
      <c r="L59" s="141">
        <v>163</v>
      </c>
      <c r="M59" s="141">
        <v>163</v>
      </c>
      <c r="N59" s="141">
        <v>163</v>
      </c>
      <c r="O59" s="141">
        <v>163</v>
      </c>
      <c r="P59" s="141">
        <v>163</v>
      </c>
      <c r="Q59" s="141">
        <v>163</v>
      </c>
      <c r="R59" s="141">
        <v>163</v>
      </c>
      <c r="S59" s="141">
        <v>163</v>
      </c>
      <c r="T59" s="141">
        <v>163</v>
      </c>
      <c r="U59" s="141">
        <v>163</v>
      </c>
      <c r="V59" s="141">
        <v>163</v>
      </c>
      <c r="W59" s="141">
        <v>163</v>
      </c>
      <c r="X59" s="141">
        <v>163</v>
      </c>
      <c r="Y59" s="141">
        <v>163</v>
      </c>
      <c r="Z59" s="141">
        <v>163</v>
      </c>
      <c r="AA59" s="141">
        <v>163</v>
      </c>
      <c r="AB59" s="141">
        <v>163</v>
      </c>
      <c r="AC59" s="141">
        <v>163</v>
      </c>
      <c r="AD59" s="141">
        <v>163</v>
      </c>
      <c r="AE59" s="141">
        <v>163</v>
      </c>
      <c r="AF59" s="141">
        <v>0</v>
      </c>
      <c r="AG59" s="141">
        <v>163</v>
      </c>
      <c r="AH59" s="141">
        <v>0</v>
      </c>
      <c r="AI59" s="141">
        <v>163</v>
      </c>
      <c r="AJ59" s="141">
        <v>163</v>
      </c>
      <c r="AK59" s="141">
        <v>163</v>
      </c>
      <c r="AL59" s="141">
        <v>163</v>
      </c>
      <c r="AM59" s="141">
        <v>163</v>
      </c>
      <c r="AN59" s="141">
        <v>163</v>
      </c>
      <c r="AO59" s="141">
        <v>163</v>
      </c>
      <c r="AP59" s="141">
        <v>163</v>
      </c>
      <c r="AQ59" s="141">
        <v>163</v>
      </c>
      <c r="AR59" s="141">
        <f t="shared" si="2"/>
        <v>6031</v>
      </c>
      <c r="AS59" s="169" t="s">
        <v>614</v>
      </c>
    </row>
    <row r="60" spans="1:45">
      <c r="A60" s="144">
        <f t="shared" si="5"/>
        <v>45802</v>
      </c>
      <c r="B60" s="141">
        <f>YEAR(Table7[[#This Row],[Date]])+IF(MONTH(Table7[[#This Row],[Date]])&gt;=4,1,0)</f>
        <v>2026</v>
      </c>
      <c r="C60" s="141">
        <f>YEAR(Table7[[#This Row],[Date]])</f>
        <v>2025</v>
      </c>
      <c r="D60" s="143">
        <f t="shared" si="4"/>
        <v>45778</v>
      </c>
      <c r="E60" s="141">
        <v>163</v>
      </c>
      <c r="F60" s="141">
        <v>163</v>
      </c>
      <c r="G60" s="141">
        <v>163</v>
      </c>
      <c r="H60" s="141">
        <v>163</v>
      </c>
      <c r="I60" s="141">
        <v>163</v>
      </c>
      <c r="J60" s="141">
        <v>163</v>
      </c>
      <c r="K60" s="141">
        <v>163</v>
      </c>
      <c r="L60" s="141">
        <v>163</v>
      </c>
      <c r="M60" s="141">
        <v>163</v>
      </c>
      <c r="N60" s="141">
        <v>163</v>
      </c>
      <c r="O60" s="141">
        <v>163</v>
      </c>
      <c r="P60" s="141">
        <v>163</v>
      </c>
      <c r="Q60" s="141">
        <v>163</v>
      </c>
      <c r="R60" s="141">
        <v>163</v>
      </c>
      <c r="S60" s="141">
        <v>163</v>
      </c>
      <c r="T60" s="141">
        <v>163</v>
      </c>
      <c r="U60" s="141">
        <v>163</v>
      </c>
      <c r="V60" s="141">
        <v>163</v>
      </c>
      <c r="W60" s="141">
        <v>163</v>
      </c>
      <c r="X60" s="141">
        <v>163</v>
      </c>
      <c r="Y60" s="141">
        <v>163</v>
      </c>
      <c r="Z60" s="141">
        <v>163</v>
      </c>
      <c r="AA60" s="141">
        <v>163</v>
      </c>
      <c r="AB60" s="141">
        <v>163</v>
      </c>
      <c r="AC60" s="141">
        <v>163</v>
      </c>
      <c r="AD60" s="141">
        <v>163</v>
      </c>
      <c r="AE60" s="141">
        <v>163</v>
      </c>
      <c r="AF60" s="141">
        <v>0</v>
      </c>
      <c r="AG60" s="141">
        <v>163</v>
      </c>
      <c r="AH60" s="141">
        <v>0</v>
      </c>
      <c r="AI60" s="141">
        <v>163</v>
      </c>
      <c r="AJ60" s="141">
        <v>163</v>
      </c>
      <c r="AK60" s="141">
        <v>163</v>
      </c>
      <c r="AL60" s="141">
        <v>163</v>
      </c>
      <c r="AM60" s="141">
        <v>163</v>
      </c>
      <c r="AN60" s="141">
        <v>163</v>
      </c>
      <c r="AO60" s="141">
        <v>163</v>
      </c>
      <c r="AP60" s="141">
        <v>163</v>
      </c>
      <c r="AQ60" s="141">
        <v>163</v>
      </c>
      <c r="AR60" s="141">
        <f t="shared" si="2"/>
        <v>6031</v>
      </c>
      <c r="AS60" s="169" t="s">
        <v>614</v>
      </c>
    </row>
    <row r="61" spans="1:45">
      <c r="A61" s="144">
        <f t="shared" si="5"/>
        <v>45803</v>
      </c>
      <c r="B61" s="141">
        <f>YEAR(Table7[[#This Row],[Date]])+IF(MONTH(Table7[[#This Row],[Date]])&gt;=4,1,0)</f>
        <v>2026</v>
      </c>
      <c r="C61" s="141">
        <f>YEAR(Table7[[#This Row],[Date]])</f>
        <v>2025</v>
      </c>
      <c r="D61" s="143">
        <f t="shared" si="4"/>
        <v>45778</v>
      </c>
      <c r="E61" s="141">
        <v>260</v>
      </c>
      <c r="F61" s="141">
        <v>260</v>
      </c>
      <c r="G61" s="141">
        <v>260</v>
      </c>
      <c r="H61" s="141">
        <v>260</v>
      </c>
      <c r="I61" s="141">
        <v>260</v>
      </c>
      <c r="J61" s="141">
        <v>260</v>
      </c>
      <c r="K61" s="141">
        <v>260</v>
      </c>
      <c r="L61" s="141">
        <v>260</v>
      </c>
      <c r="M61" s="141">
        <v>260</v>
      </c>
      <c r="N61" s="141">
        <v>260</v>
      </c>
      <c r="O61" s="141">
        <v>260</v>
      </c>
      <c r="P61" s="141">
        <v>260</v>
      </c>
      <c r="Q61" s="141">
        <v>260</v>
      </c>
      <c r="R61" s="141">
        <v>260</v>
      </c>
      <c r="S61" s="141">
        <v>260</v>
      </c>
      <c r="T61" s="141">
        <v>260</v>
      </c>
      <c r="U61" s="141">
        <v>260</v>
      </c>
      <c r="V61" s="141">
        <v>260</v>
      </c>
      <c r="W61" s="141">
        <v>260</v>
      </c>
      <c r="X61" s="141">
        <v>260</v>
      </c>
      <c r="Y61" s="141">
        <v>260</v>
      </c>
      <c r="Z61" s="141">
        <v>260</v>
      </c>
      <c r="AA61" s="141">
        <v>260</v>
      </c>
      <c r="AB61" s="141">
        <v>260</v>
      </c>
      <c r="AC61" s="141">
        <v>260</v>
      </c>
      <c r="AD61" s="141">
        <v>260</v>
      </c>
      <c r="AE61" s="141">
        <v>260</v>
      </c>
      <c r="AF61" s="141">
        <v>0</v>
      </c>
      <c r="AG61" s="141">
        <v>260</v>
      </c>
      <c r="AH61" s="141">
        <v>0</v>
      </c>
      <c r="AI61" s="141">
        <v>260</v>
      </c>
      <c r="AJ61" s="141">
        <v>260</v>
      </c>
      <c r="AK61" s="141">
        <v>260</v>
      </c>
      <c r="AL61" s="141">
        <v>260</v>
      </c>
      <c r="AM61" s="141">
        <v>260</v>
      </c>
      <c r="AN61" s="141">
        <v>260</v>
      </c>
      <c r="AO61" s="141">
        <v>260</v>
      </c>
      <c r="AP61" s="141">
        <v>260</v>
      </c>
      <c r="AQ61" s="141">
        <v>260</v>
      </c>
      <c r="AR61" s="141">
        <f t="shared" si="2"/>
        <v>9620</v>
      </c>
      <c r="AS61" s="169" t="s">
        <v>614</v>
      </c>
    </row>
    <row r="62" spans="1:45">
      <c r="A62" s="144">
        <f t="shared" si="5"/>
        <v>45804</v>
      </c>
      <c r="B62" s="141">
        <f>YEAR(Table7[[#This Row],[Date]])+IF(MONTH(Table7[[#This Row],[Date]])&gt;=4,1,0)</f>
        <v>2026</v>
      </c>
      <c r="C62" s="141">
        <f>YEAR(Table7[[#This Row],[Date]])</f>
        <v>2025</v>
      </c>
      <c r="D62" s="143">
        <f t="shared" si="4"/>
        <v>45778</v>
      </c>
      <c r="E62" s="141">
        <v>0</v>
      </c>
      <c r="F62" s="141">
        <v>0</v>
      </c>
      <c r="G62" s="141">
        <v>0</v>
      </c>
      <c r="H62" s="141">
        <v>0</v>
      </c>
      <c r="I62" s="141">
        <v>0</v>
      </c>
      <c r="J62" s="141">
        <v>0</v>
      </c>
      <c r="K62" s="141">
        <v>0</v>
      </c>
      <c r="L62" s="141">
        <v>0</v>
      </c>
      <c r="M62" s="141">
        <v>0</v>
      </c>
      <c r="N62" s="141">
        <v>0</v>
      </c>
      <c r="O62" s="141">
        <v>0</v>
      </c>
      <c r="P62" s="141">
        <v>0</v>
      </c>
      <c r="Q62" s="141">
        <v>0</v>
      </c>
      <c r="R62" s="141">
        <v>0</v>
      </c>
      <c r="S62" s="141">
        <v>0</v>
      </c>
      <c r="T62" s="141">
        <v>0</v>
      </c>
      <c r="U62" s="141">
        <v>0</v>
      </c>
      <c r="V62" s="141">
        <v>0</v>
      </c>
      <c r="W62" s="141">
        <v>0</v>
      </c>
      <c r="X62" s="141">
        <v>0</v>
      </c>
      <c r="Y62" s="141">
        <v>0</v>
      </c>
      <c r="Z62" s="141">
        <v>0</v>
      </c>
      <c r="AA62" s="141">
        <v>0</v>
      </c>
      <c r="AB62" s="141">
        <v>0</v>
      </c>
      <c r="AC62" s="141">
        <v>0</v>
      </c>
      <c r="AD62" s="141">
        <v>0</v>
      </c>
      <c r="AE62" s="141">
        <v>0</v>
      </c>
      <c r="AF62" s="141">
        <v>0</v>
      </c>
      <c r="AG62" s="141">
        <v>0</v>
      </c>
      <c r="AH62" s="141">
        <v>0</v>
      </c>
      <c r="AI62" s="141">
        <v>0</v>
      </c>
      <c r="AJ62" s="141">
        <v>0</v>
      </c>
      <c r="AK62" s="141">
        <v>0</v>
      </c>
      <c r="AL62" s="141">
        <v>0</v>
      </c>
      <c r="AM62" s="141">
        <v>0</v>
      </c>
      <c r="AN62" s="141">
        <v>0</v>
      </c>
      <c r="AO62" s="141">
        <v>0</v>
      </c>
      <c r="AP62" s="141">
        <v>0</v>
      </c>
      <c r="AQ62" s="141">
        <v>0</v>
      </c>
      <c r="AR62" s="141">
        <f t="shared" si="2"/>
        <v>0</v>
      </c>
      <c r="AS62" s="169" t="s">
        <v>614</v>
      </c>
    </row>
    <row r="63" spans="1:45">
      <c r="A63" s="144">
        <f t="shared" si="5"/>
        <v>45805</v>
      </c>
      <c r="B63" s="141">
        <f>YEAR(Table7[[#This Row],[Date]])+IF(MONTH(Table7[[#This Row],[Date]])&gt;=4,1,0)</f>
        <v>2026</v>
      </c>
      <c r="C63" s="141">
        <f>YEAR(Table7[[#This Row],[Date]])</f>
        <v>2025</v>
      </c>
      <c r="D63" s="143">
        <f t="shared" si="4"/>
        <v>45778</v>
      </c>
      <c r="E63" s="141">
        <v>130</v>
      </c>
      <c r="F63" s="141">
        <v>130</v>
      </c>
      <c r="G63" s="141">
        <v>130</v>
      </c>
      <c r="H63" s="141">
        <v>130</v>
      </c>
      <c r="I63" s="141">
        <v>130</v>
      </c>
      <c r="J63" s="141">
        <v>130</v>
      </c>
      <c r="K63" s="141">
        <v>130</v>
      </c>
      <c r="L63" s="141">
        <v>130</v>
      </c>
      <c r="M63" s="141">
        <v>130</v>
      </c>
      <c r="N63" s="141">
        <v>130</v>
      </c>
      <c r="O63" s="141">
        <v>130</v>
      </c>
      <c r="P63" s="141">
        <v>130</v>
      </c>
      <c r="Q63" s="141">
        <v>130</v>
      </c>
      <c r="R63" s="141">
        <v>130</v>
      </c>
      <c r="S63" s="141">
        <v>130</v>
      </c>
      <c r="T63" s="141">
        <v>130</v>
      </c>
      <c r="U63" s="141">
        <v>130</v>
      </c>
      <c r="V63" s="141">
        <v>130</v>
      </c>
      <c r="W63" s="141">
        <v>130</v>
      </c>
      <c r="X63" s="141">
        <v>130</v>
      </c>
      <c r="Y63" s="141">
        <v>130</v>
      </c>
      <c r="Z63" s="141">
        <v>130</v>
      </c>
      <c r="AA63" s="141">
        <v>130</v>
      </c>
      <c r="AB63" s="141">
        <v>130</v>
      </c>
      <c r="AC63" s="141">
        <v>130</v>
      </c>
      <c r="AD63" s="141">
        <v>130</v>
      </c>
      <c r="AE63" s="141">
        <v>130</v>
      </c>
      <c r="AF63" s="141">
        <v>0</v>
      </c>
      <c r="AG63" s="141">
        <v>130</v>
      </c>
      <c r="AH63" s="141">
        <v>0</v>
      </c>
      <c r="AI63" s="141">
        <v>130</v>
      </c>
      <c r="AJ63" s="141">
        <v>130</v>
      </c>
      <c r="AK63" s="141">
        <v>130</v>
      </c>
      <c r="AL63" s="141">
        <v>130</v>
      </c>
      <c r="AM63" s="141">
        <v>130</v>
      </c>
      <c r="AN63" s="141">
        <v>130</v>
      </c>
      <c r="AO63" s="141">
        <v>130</v>
      </c>
      <c r="AP63" s="141">
        <v>130</v>
      </c>
      <c r="AQ63" s="141">
        <v>130</v>
      </c>
      <c r="AR63" s="141">
        <f t="shared" si="2"/>
        <v>4810</v>
      </c>
      <c r="AS63" s="169" t="s">
        <v>614</v>
      </c>
    </row>
    <row r="64" spans="1:45">
      <c r="A64" s="144">
        <f t="shared" si="5"/>
        <v>45806</v>
      </c>
      <c r="B64" s="141">
        <f>YEAR(Table7[[#This Row],[Date]])+IF(MONTH(Table7[[#This Row],[Date]])&gt;=4,1,0)</f>
        <v>2026</v>
      </c>
      <c r="C64" s="141">
        <f>YEAR(Table7[[#This Row],[Date]])</f>
        <v>2025</v>
      </c>
      <c r="D64" s="143">
        <f t="shared" si="4"/>
        <v>45778</v>
      </c>
      <c r="E64" s="141">
        <v>33</v>
      </c>
      <c r="F64" s="141">
        <v>33</v>
      </c>
      <c r="G64" s="141">
        <v>33</v>
      </c>
      <c r="H64" s="141">
        <v>33</v>
      </c>
      <c r="I64" s="141">
        <v>33</v>
      </c>
      <c r="J64" s="141">
        <v>33</v>
      </c>
      <c r="K64" s="141">
        <v>33</v>
      </c>
      <c r="L64" s="141">
        <v>33</v>
      </c>
      <c r="M64" s="141">
        <v>33</v>
      </c>
      <c r="N64" s="141">
        <v>33</v>
      </c>
      <c r="O64" s="141">
        <v>33</v>
      </c>
      <c r="P64" s="141">
        <v>33</v>
      </c>
      <c r="Q64" s="141">
        <v>33</v>
      </c>
      <c r="R64" s="141">
        <v>33</v>
      </c>
      <c r="S64" s="141">
        <v>33</v>
      </c>
      <c r="T64" s="141">
        <v>33</v>
      </c>
      <c r="U64" s="141">
        <v>33</v>
      </c>
      <c r="V64" s="141">
        <v>33</v>
      </c>
      <c r="W64" s="141">
        <v>33</v>
      </c>
      <c r="X64" s="141">
        <v>33</v>
      </c>
      <c r="Y64" s="141">
        <v>33</v>
      </c>
      <c r="Z64" s="141">
        <v>33</v>
      </c>
      <c r="AA64" s="141">
        <v>33</v>
      </c>
      <c r="AB64" s="141">
        <v>33</v>
      </c>
      <c r="AC64" s="141">
        <v>33</v>
      </c>
      <c r="AD64" s="141">
        <v>33</v>
      </c>
      <c r="AE64" s="141">
        <v>33</v>
      </c>
      <c r="AF64" s="141">
        <v>0</v>
      </c>
      <c r="AG64" s="141">
        <v>33</v>
      </c>
      <c r="AH64" s="141">
        <v>0</v>
      </c>
      <c r="AI64" s="141">
        <v>33</v>
      </c>
      <c r="AJ64" s="141">
        <v>33</v>
      </c>
      <c r="AK64" s="141">
        <v>33</v>
      </c>
      <c r="AL64" s="141">
        <v>33</v>
      </c>
      <c r="AM64" s="141">
        <v>33</v>
      </c>
      <c r="AN64" s="141">
        <v>33</v>
      </c>
      <c r="AO64" s="141">
        <v>33</v>
      </c>
      <c r="AP64" s="141">
        <v>33</v>
      </c>
      <c r="AQ64" s="141">
        <v>33</v>
      </c>
      <c r="AR64" s="141">
        <f t="shared" si="2"/>
        <v>1221</v>
      </c>
      <c r="AS64" s="169" t="s">
        <v>614</v>
      </c>
    </row>
    <row r="65" spans="1:45">
      <c r="A65" s="144">
        <f t="shared" si="5"/>
        <v>45807</v>
      </c>
      <c r="B65" s="141">
        <f>YEAR(Table7[[#This Row],[Date]])+IF(MONTH(Table7[[#This Row],[Date]])&gt;=4,1,0)</f>
        <v>2026</v>
      </c>
      <c r="C65" s="141">
        <f>YEAR(Table7[[#This Row],[Date]])</f>
        <v>2025</v>
      </c>
      <c r="D65" s="143">
        <f t="shared" si="4"/>
        <v>45778</v>
      </c>
      <c r="E65" s="141">
        <v>33</v>
      </c>
      <c r="F65" s="141">
        <v>33</v>
      </c>
      <c r="G65" s="141">
        <v>33</v>
      </c>
      <c r="H65" s="141">
        <v>33</v>
      </c>
      <c r="I65" s="141">
        <v>33</v>
      </c>
      <c r="J65" s="141">
        <v>33</v>
      </c>
      <c r="K65" s="141">
        <v>33</v>
      </c>
      <c r="L65" s="141">
        <v>33</v>
      </c>
      <c r="M65" s="141">
        <v>33</v>
      </c>
      <c r="N65" s="141">
        <v>33</v>
      </c>
      <c r="O65" s="141">
        <v>33</v>
      </c>
      <c r="P65" s="141">
        <v>33</v>
      </c>
      <c r="Q65" s="141">
        <v>33</v>
      </c>
      <c r="R65" s="141">
        <v>33</v>
      </c>
      <c r="S65" s="141">
        <v>33</v>
      </c>
      <c r="T65" s="141">
        <v>33</v>
      </c>
      <c r="U65" s="141">
        <v>33</v>
      </c>
      <c r="V65" s="141">
        <v>33</v>
      </c>
      <c r="W65" s="141">
        <v>33</v>
      </c>
      <c r="X65" s="141">
        <v>33</v>
      </c>
      <c r="Y65" s="141">
        <v>33</v>
      </c>
      <c r="Z65" s="141">
        <v>33</v>
      </c>
      <c r="AA65" s="141">
        <v>33</v>
      </c>
      <c r="AB65" s="141">
        <v>33</v>
      </c>
      <c r="AC65" s="141">
        <v>33</v>
      </c>
      <c r="AD65" s="141">
        <v>33</v>
      </c>
      <c r="AE65" s="141">
        <v>33</v>
      </c>
      <c r="AF65" s="141">
        <v>0</v>
      </c>
      <c r="AG65" s="141">
        <v>33</v>
      </c>
      <c r="AH65" s="141">
        <v>0</v>
      </c>
      <c r="AI65" s="141">
        <v>33</v>
      </c>
      <c r="AJ65" s="141">
        <v>33</v>
      </c>
      <c r="AK65" s="141">
        <v>33</v>
      </c>
      <c r="AL65" s="141">
        <v>33</v>
      </c>
      <c r="AM65" s="141">
        <v>33</v>
      </c>
      <c r="AN65" s="141">
        <v>33</v>
      </c>
      <c r="AO65" s="141">
        <v>33</v>
      </c>
      <c r="AP65" s="141">
        <v>33</v>
      </c>
      <c r="AQ65" s="141">
        <v>33</v>
      </c>
      <c r="AR65" s="141">
        <f t="shared" si="2"/>
        <v>1221</v>
      </c>
      <c r="AS65" s="169" t="s">
        <v>614</v>
      </c>
    </row>
    <row r="66" spans="1:45">
      <c r="A66" s="144">
        <f t="shared" si="5"/>
        <v>45808</v>
      </c>
      <c r="B66" s="141">
        <f>YEAR(Table7[[#This Row],[Date]])+IF(MONTH(Table7[[#This Row],[Date]])&gt;=4,1,0)</f>
        <v>2026</v>
      </c>
      <c r="C66" s="141">
        <f>YEAR(Table7[[#This Row],[Date]])</f>
        <v>2025</v>
      </c>
      <c r="D66" s="143">
        <f t="shared" si="4"/>
        <v>45778</v>
      </c>
      <c r="E66" s="141">
        <v>0</v>
      </c>
      <c r="F66" s="141">
        <v>0</v>
      </c>
      <c r="G66" s="141">
        <v>0</v>
      </c>
      <c r="H66" s="141">
        <v>0</v>
      </c>
      <c r="I66" s="141">
        <v>0</v>
      </c>
      <c r="J66" s="141">
        <v>0</v>
      </c>
      <c r="K66" s="141">
        <v>0</v>
      </c>
      <c r="L66" s="141">
        <v>0</v>
      </c>
      <c r="M66" s="141">
        <v>0</v>
      </c>
      <c r="N66" s="141">
        <v>0</v>
      </c>
      <c r="O66" s="141">
        <v>0</v>
      </c>
      <c r="P66" s="141">
        <v>0</v>
      </c>
      <c r="Q66" s="141">
        <v>0</v>
      </c>
      <c r="R66" s="141">
        <v>0</v>
      </c>
      <c r="S66" s="141">
        <v>0</v>
      </c>
      <c r="T66" s="141">
        <v>0</v>
      </c>
      <c r="U66" s="141">
        <v>0</v>
      </c>
      <c r="V66" s="141">
        <v>0</v>
      </c>
      <c r="W66" s="141">
        <v>0</v>
      </c>
      <c r="X66" s="141">
        <v>0</v>
      </c>
      <c r="Y66" s="141">
        <v>0</v>
      </c>
      <c r="Z66" s="141">
        <v>0</v>
      </c>
      <c r="AA66" s="141">
        <v>0</v>
      </c>
      <c r="AB66" s="141">
        <v>0</v>
      </c>
      <c r="AC66" s="141">
        <v>0</v>
      </c>
      <c r="AD66" s="141">
        <v>0</v>
      </c>
      <c r="AE66" s="141">
        <v>0</v>
      </c>
      <c r="AF66" s="141">
        <v>0</v>
      </c>
      <c r="AG66" s="141">
        <v>0</v>
      </c>
      <c r="AH66" s="141">
        <v>0</v>
      </c>
      <c r="AI66" s="141">
        <v>0</v>
      </c>
      <c r="AJ66" s="141">
        <v>0</v>
      </c>
      <c r="AK66" s="141">
        <v>0</v>
      </c>
      <c r="AL66" s="141">
        <v>0</v>
      </c>
      <c r="AM66" s="141">
        <v>0</v>
      </c>
      <c r="AN66" s="141">
        <v>0</v>
      </c>
      <c r="AO66" s="141">
        <v>0</v>
      </c>
      <c r="AP66" s="141">
        <v>0</v>
      </c>
      <c r="AQ66" s="141">
        <v>0</v>
      </c>
      <c r="AR66" s="141">
        <f t="shared" si="2"/>
        <v>0</v>
      </c>
      <c r="AS66" s="169" t="s">
        <v>614</v>
      </c>
    </row>
    <row r="67" spans="1:45">
      <c r="A67" s="144">
        <f t="shared" si="5"/>
        <v>45809</v>
      </c>
      <c r="B67" s="141">
        <f>YEAR(Table7[[#This Row],[Date]])+IF(MONTH(Table7[[#This Row],[Date]])&gt;=4,1,0)</f>
        <v>2026</v>
      </c>
      <c r="C67" s="141">
        <f>YEAR(Table7[[#This Row],[Date]])</f>
        <v>2025</v>
      </c>
      <c r="D67" s="143">
        <f t="shared" si="4"/>
        <v>45809</v>
      </c>
      <c r="E67" s="141">
        <v>0</v>
      </c>
      <c r="F67" s="141">
        <v>0</v>
      </c>
      <c r="G67" s="141">
        <v>0</v>
      </c>
      <c r="H67" s="141">
        <v>0</v>
      </c>
      <c r="I67" s="141">
        <v>0</v>
      </c>
      <c r="J67" s="141">
        <v>0</v>
      </c>
      <c r="K67" s="141">
        <v>0</v>
      </c>
      <c r="L67" s="141">
        <v>0</v>
      </c>
      <c r="M67" s="141">
        <v>0</v>
      </c>
      <c r="N67" s="141">
        <v>0</v>
      </c>
      <c r="O67" s="141">
        <v>0</v>
      </c>
      <c r="P67" s="141">
        <v>0</v>
      </c>
      <c r="Q67" s="141">
        <v>0</v>
      </c>
      <c r="R67" s="141">
        <v>0</v>
      </c>
      <c r="S67" s="141">
        <v>0</v>
      </c>
      <c r="T67" s="141">
        <v>0</v>
      </c>
      <c r="U67" s="141">
        <v>0</v>
      </c>
      <c r="V67" s="141">
        <v>0</v>
      </c>
      <c r="W67" s="141">
        <v>0</v>
      </c>
      <c r="X67" s="141">
        <v>0</v>
      </c>
      <c r="Y67" s="141">
        <v>0</v>
      </c>
      <c r="Z67" s="141">
        <v>0</v>
      </c>
      <c r="AA67" s="141">
        <v>0</v>
      </c>
      <c r="AB67" s="141">
        <v>0</v>
      </c>
      <c r="AC67" s="141">
        <v>0</v>
      </c>
      <c r="AD67" s="141">
        <v>0</v>
      </c>
      <c r="AE67" s="141">
        <v>0</v>
      </c>
      <c r="AF67" s="141">
        <v>0</v>
      </c>
      <c r="AG67" s="141">
        <v>0</v>
      </c>
      <c r="AH67" s="141">
        <v>0</v>
      </c>
      <c r="AI67" s="141">
        <v>0</v>
      </c>
      <c r="AJ67" s="141">
        <v>0</v>
      </c>
      <c r="AK67" s="141">
        <v>0</v>
      </c>
      <c r="AL67" s="141">
        <v>0</v>
      </c>
      <c r="AM67" s="141">
        <v>0</v>
      </c>
      <c r="AN67" s="141">
        <v>0</v>
      </c>
      <c r="AO67" s="141">
        <v>0</v>
      </c>
      <c r="AP67" s="141">
        <v>0</v>
      </c>
      <c r="AQ67" s="141">
        <v>0</v>
      </c>
      <c r="AR67" s="141">
        <f t="shared" ref="AR67:AR130" si="6">SUM(E67:AQ67)</f>
        <v>0</v>
      </c>
      <c r="AS67" s="169" t="s">
        <v>614</v>
      </c>
    </row>
    <row r="68" spans="1:45">
      <c r="A68" s="144">
        <f t="shared" si="5"/>
        <v>45810</v>
      </c>
      <c r="B68" s="141">
        <f>YEAR(Table7[[#This Row],[Date]])+IF(MONTH(Table7[[#This Row],[Date]])&gt;=4,1,0)</f>
        <v>2026</v>
      </c>
      <c r="C68" s="141">
        <f>YEAR(Table7[[#This Row],[Date]])</f>
        <v>2025</v>
      </c>
      <c r="D68" s="143">
        <f t="shared" si="4"/>
        <v>45809</v>
      </c>
      <c r="E68" s="141">
        <v>0</v>
      </c>
      <c r="F68" s="141">
        <v>0</v>
      </c>
      <c r="G68" s="141">
        <v>0</v>
      </c>
      <c r="H68" s="141">
        <v>0</v>
      </c>
      <c r="I68" s="141">
        <v>0</v>
      </c>
      <c r="J68" s="141">
        <v>0</v>
      </c>
      <c r="K68" s="141">
        <v>0</v>
      </c>
      <c r="L68" s="141">
        <v>0</v>
      </c>
      <c r="M68" s="141">
        <v>0</v>
      </c>
      <c r="N68" s="141">
        <v>0</v>
      </c>
      <c r="O68" s="141">
        <v>0</v>
      </c>
      <c r="P68" s="141">
        <v>0</v>
      </c>
      <c r="Q68" s="141">
        <v>0</v>
      </c>
      <c r="R68" s="141">
        <v>0</v>
      </c>
      <c r="S68" s="141">
        <v>0</v>
      </c>
      <c r="T68" s="141">
        <v>0</v>
      </c>
      <c r="U68" s="141">
        <v>0</v>
      </c>
      <c r="V68" s="141">
        <v>0</v>
      </c>
      <c r="W68" s="141">
        <v>0</v>
      </c>
      <c r="X68" s="141">
        <v>0</v>
      </c>
      <c r="Y68" s="141">
        <v>0</v>
      </c>
      <c r="Z68" s="141">
        <v>0</v>
      </c>
      <c r="AA68" s="141">
        <v>0</v>
      </c>
      <c r="AB68" s="141">
        <v>0</v>
      </c>
      <c r="AC68" s="141">
        <v>0</v>
      </c>
      <c r="AD68" s="141">
        <v>0</v>
      </c>
      <c r="AE68" s="141">
        <v>0</v>
      </c>
      <c r="AF68" s="141">
        <v>0</v>
      </c>
      <c r="AG68" s="141">
        <v>0</v>
      </c>
      <c r="AH68" s="141">
        <v>0</v>
      </c>
      <c r="AI68" s="141">
        <v>0</v>
      </c>
      <c r="AJ68" s="141">
        <v>0</v>
      </c>
      <c r="AK68" s="141">
        <v>0</v>
      </c>
      <c r="AL68" s="141">
        <v>0</v>
      </c>
      <c r="AM68" s="141">
        <v>0</v>
      </c>
      <c r="AN68" s="141">
        <v>0</v>
      </c>
      <c r="AO68" s="141">
        <v>0</v>
      </c>
      <c r="AP68" s="141">
        <v>0</v>
      </c>
      <c r="AQ68" s="141">
        <v>0</v>
      </c>
      <c r="AR68" s="141">
        <f t="shared" si="6"/>
        <v>0</v>
      </c>
      <c r="AS68" s="169" t="s">
        <v>614</v>
      </c>
    </row>
    <row r="69" spans="1:45">
      <c r="A69" s="144">
        <f t="shared" si="5"/>
        <v>45811</v>
      </c>
      <c r="B69" s="141">
        <f>YEAR(Table7[[#This Row],[Date]])+IF(MONTH(Table7[[#This Row],[Date]])&gt;=4,1,0)</f>
        <v>2026</v>
      </c>
      <c r="C69" s="141">
        <f>YEAR(Table7[[#This Row],[Date]])</f>
        <v>2025</v>
      </c>
      <c r="D69" s="143">
        <f t="shared" si="4"/>
        <v>45809</v>
      </c>
      <c r="E69" s="141">
        <v>0</v>
      </c>
      <c r="F69" s="141">
        <v>0</v>
      </c>
      <c r="G69" s="141">
        <v>0</v>
      </c>
      <c r="H69" s="141">
        <v>0</v>
      </c>
      <c r="I69" s="141">
        <v>0</v>
      </c>
      <c r="J69" s="141">
        <v>0</v>
      </c>
      <c r="K69" s="141">
        <v>0</v>
      </c>
      <c r="L69" s="141">
        <v>0</v>
      </c>
      <c r="M69" s="141">
        <v>0</v>
      </c>
      <c r="N69" s="141">
        <v>0</v>
      </c>
      <c r="O69" s="141">
        <v>0</v>
      </c>
      <c r="P69" s="141">
        <v>0</v>
      </c>
      <c r="Q69" s="141">
        <v>0</v>
      </c>
      <c r="R69" s="141">
        <v>0</v>
      </c>
      <c r="S69" s="141">
        <v>0</v>
      </c>
      <c r="T69" s="141">
        <v>0</v>
      </c>
      <c r="U69" s="141">
        <v>0</v>
      </c>
      <c r="V69" s="141">
        <v>0</v>
      </c>
      <c r="W69" s="141">
        <v>0</v>
      </c>
      <c r="X69" s="141">
        <v>0</v>
      </c>
      <c r="Y69" s="141">
        <v>0</v>
      </c>
      <c r="Z69" s="141">
        <v>0</v>
      </c>
      <c r="AA69" s="141">
        <v>0</v>
      </c>
      <c r="AB69" s="141">
        <v>0</v>
      </c>
      <c r="AC69" s="141">
        <v>0</v>
      </c>
      <c r="AD69" s="141">
        <v>0</v>
      </c>
      <c r="AE69" s="141">
        <v>0</v>
      </c>
      <c r="AF69" s="141">
        <v>0</v>
      </c>
      <c r="AG69" s="141">
        <v>0</v>
      </c>
      <c r="AH69" s="141">
        <v>0</v>
      </c>
      <c r="AI69" s="141">
        <v>0</v>
      </c>
      <c r="AJ69" s="141">
        <v>0</v>
      </c>
      <c r="AK69" s="141">
        <v>0</v>
      </c>
      <c r="AL69" s="141">
        <v>0</v>
      </c>
      <c r="AM69" s="141">
        <v>0</v>
      </c>
      <c r="AN69" s="141">
        <v>0</v>
      </c>
      <c r="AO69" s="141">
        <v>0</v>
      </c>
      <c r="AP69" s="141">
        <v>0</v>
      </c>
      <c r="AQ69" s="141">
        <v>0</v>
      </c>
      <c r="AR69" s="141">
        <f t="shared" si="6"/>
        <v>0</v>
      </c>
      <c r="AS69" s="169" t="s">
        <v>614</v>
      </c>
    </row>
    <row r="70" spans="1:45">
      <c r="A70" s="144">
        <f t="shared" si="5"/>
        <v>45812</v>
      </c>
      <c r="B70" s="141">
        <f>YEAR(Table7[[#This Row],[Date]])+IF(MONTH(Table7[[#This Row],[Date]])&gt;=4,1,0)</f>
        <v>2026</v>
      </c>
      <c r="C70" s="141">
        <f>YEAR(Table7[[#This Row],[Date]])</f>
        <v>2025</v>
      </c>
      <c r="D70" s="143">
        <f t="shared" si="4"/>
        <v>45809</v>
      </c>
      <c r="E70" s="141">
        <v>65</v>
      </c>
      <c r="F70" s="141">
        <v>65</v>
      </c>
      <c r="G70" s="141">
        <v>65</v>
      </c>
      <c r="H70" s="141">
        <v>65</v>
      </c>
      <c r="I70" s="141">
        <v>65</v>
      </c>
      <c r="J70" s="141">
        <v>65</v>
      </c>
      <c r="K70" s="141">
        <v>65</v>
      </c>
      <c r="L70" s="141">
        <v>65</v>
      </c>
      <c r="M70" s="141">
        <v>65</v>
      </c>
      <c r="N70" s="141">
        <v>65</v>
      </c>
      <c r="O70" s="141">
        <v>65</v>
      </c>
      <c r="P70" s="141">
        <v>65</v>
      </c>
      <c r="Q70" s="141">
        <v>65</v>
      </c>
      <c r="R70" s="141">
        <v>65</v>
      </c>
      <c r="S70" s="141">
        <v>65</v>
      </c>
      <c r="T70" s="141">
        <v>65</v>
      </c>
      <c r="U70" s="141">
        <v>65</v>
      </c>
      <c r="V70" s="141">
        <v>65</v>
      </c>
      <c r="W70" s="141">
        <v>65</v>
      </c>
      <c r="X70" s="141">
        <v>65</v>
      </c>
      <c r="Y70" s="141">
        <v>65</v>
      </c>
      <c r="Z70" s="141">
        <v>65</v>
      </c>
      <c r="AA70" s="141">
        <v>65</v>
      </c>
      <c r="AB70" s="141">
        <v>65</v>
      </c>
      <c r="AC70" s="141">
        <v>65</v>
      </c>
      <c r="AD70" s="141">
        <v>65</v>
      </c>
      <c r="AE70" s="141">
        <v>65</v>
      </c>
      <c r="AF70" s="141">
        <v>0</v>
      </c>
      <c r="AG70" s="141">
        <v>65</v>
      </c>
      <c r="AH70" s="141">
        <v>0</v>
      </c>
      <c r="AI70" s="141">
        <v>65</v>
      </c>
      <c r="AJ70" s="141">
        <v>65</v>
      </c>
      <c r="AK70" s="141">
        <v>65</v>
      </c>
      <c r="AL70" s="141">
        <v>65</v>
      </c>
      <c r="AM70" s="141">
        <v>65</v>
      </c>
      <c r="AN70" s="141">
        <v>65</v>
      </c>
      <c r="AO70" s="141">
        <v>65</v>
      </c>
      <c r="AP70" s="141">
        <v>65</v>
      </c>
      <c r="AQ70" s="141">
        <v>65</v>
      </c>
      <c r="AR70" s="141">
        <f t="shared" si="6"/>
        <v>2405</v>
      </c>
      <c r="AS70" s="169" t="s">
        <v>614</v>
      </c>
    </row>
    <row r="71" spans="1:45">
      <c r="A71" s="144">
        <f t="shared" si="5"/>
        <v>45813</v>
      </c>
      <c r="B71" s="141">
        <f>YEAR(Table7[[#This Row],[Date]])+IF(MONTH(Table7[[#This Row],[Date]])&gt;=4,1,0)</f>
        <v>2026</v>
      </c>
      <c r="C71" s="141">
        <f>YEAR(Table7[[#This Row],[Date]])</f>
        <v>2025</v>
      </c>
      <c r="D71" s="143">
        <f t="shared" si="4"/>
        <v>45809</v>
      </c>
      <c r="E71" s="141">
        <v>163</v>
      </c>
      <c r="F71" s="141">
        <v>163</v>
      </c>
      <c r="G71" s="141">
        <v>163</v>
      </c>
      <c r="H71" s="141">
        <v>163</v>
      </c>
      <c r="I71" s="141">
        <v>163</v>
      </c>
      <c r="J71" s="141">
        <v>163</v>
      </c>
      <c r="K71" s="141">
        <v>163</v>
      </c>
      <c r="L71" s="141">
        <v>163</v>
      </c>
      <c r="M71" s="141">
        <v>163</v>
      </c>
      <c r="N71" s="141">
        <v>163</v>
      </c>
      <c r="O71" s="141">
        <v>163</v>
      </c>
      <c r="P71" s="141">
        <v>163</v>
      </c>
      <c r="Q71" s="141">
        <v>163</v>
      </c>
      <c r="R71" s="141">
        <v>163</v>
      </c>
      <c r="S71" s="141">
        <v>163</v>
      </c>
      <c r="T71" s="141">
        <v>163</v>
      </c>
      <c r="U71" s="141">
        <v>163</v>
      </c>
      <c r="V71" s="141">
        <v>163</v>
      </c>
      <c r="W71" s="141">
        <v>163</v>
      </c>
      <c r="X71" s="141">
        <v>163</v>
      </c>
      <c r="Y71" s="141">
        <v>163</v>
      </c>
      <c r="Z71" s="141">
        <v>163</v>
      </c>
      <c r="AA71" s="141">
        <v>163</v>
      </c>
      <c r="AB71" s="141">
        <v>163</v>
      </c>
      <c r="AC71" s="141">
        <v>163</v>
      </c>
      <c r="AD71" s="141">
        <v>163</v>
      </c>
      <c r="AE71" s="141">
        <v>163</v>
      </c>
      <c r="AF71" s="141">
        <v>0</v>
      </c>
      <c r="AG71" s="141">
        <v>163</v>
      </c>
      <c r="AH71" s="141">
        <v>0</v>
      </c>
      <c r="AI71" s="141">
        <v>163</v>
      </c>
      <c r="AJ71" s="141">
        <v>163</v>
      </c>
      <c r="AK71" s="141">
        <v>163</v>
      </c>
      <c r="AL71" s="141">
        <v>163</v>
      </c>
      <c r="AM71" s="141">
        <v>163</v>
      </c>
      <c r="AN71" s="141">
        <v>163</v>
      </c>
      <c r="AO71" s="141">
        <v>163</v>
      </c>
      <c r="AP71" s="141">
        <v>163</v>
      </c>
      <c r="AQ71" s="141">
        <v>163</v>
      </c>
      <c r="AR71" s="141">
        <f t="shared" si="6"/>
        <v>6031</v>
      </c>
      <c r="AS71" s="169" t="s">
        <v>614</v>
      </c>
    </row>
    <row r="72" spans="1:45">
      <c r="A72" s="144">
        <f t="shared" si="5"/>
        <v>45814</v>
      </c>
      <c r="B72" s="141">
        <f>YEAR(Table7[[#This Row],[Date]])+IF(MONTH(Table7[[#This Row],[Date]])&gt;=4,1,0)</f>
        <v>2026</v>
      </c>
      <c r="C72" s="141">
        <f>YEAR(Table7[[#This Row],[Date]])</f>
        <v>2025</v>
      </c>
      <c r="D72" s="143">
        <f t="shared" si="4"/>
        <v>45809</v>
      </c>
      <c r="E72" s="141">
        <v>33</v>
      </c>
      <c r="F72" s="141">
        <v>33</v>
      </c>
      <c r="G72" s="141">
        <v>33</v>
      </c>
      <c r="H72" s="141">
        <v>33</v>
      </c>
      <c r="I72" s="141">
        <v>33</v>
      </c>
      <c r="J72" s="141">
        <v>33</v>
      </c>
      <c r="K72" s="141">
        <v>33</v>
      </c>
      <c r="L72" s="141">
        <v>33</v>
      </c>
      <c r="M72" s="141">
        <v>33</v>
      </c>
      <c r="N72" s="141">
        <v>33</v>
      </c>
      <c r="O72" s="141">
        <v>33</v>
      </c>
      <c r="P72" s="141">
        <v>33</v>
      </c>
      <c r="Q72" s="141">
        <v>33</v>
      </c>
      <c r="R72" s="141">
        <v>33</v>
      </c>
      <c r="S72" s="141">
        <v>33</v>
      </c>
      <c r="T72" s="141">
        <v>33</v>
      </c>
      <c r="U72" s="141">
        <v>33</v>
      </c>
      <c r="V72" s="141">
        <v>33</v>
      </c>
      <c r="W72" s="141">
        <v>33</v>
      </c>
      <c r="X72" s="141">
        <v>33</v>
      </c>
      <c r="Y72" s="141">
        <v>33</v>
      </c>
      <c r="Z72" s="141">
        <v>33</v>
      </c>
      <c r="AA72" s="141">
        <v>33</v>
      </c>
      <c r="AB72" s="141">
        <v>33</v>
      </c>
      <c r="AC72" s="141">
        <v>33</v>
      </c>
      <c r="AD72" s="141">
        <v>33</v>
      </c>
      <c r="AE72" s="141">
        <v>33</v>
      </c>
      <c r="AF72" s="141">
        <v>0</v>
      </c>
      <c r="AG72" s="141">
        <v>33</v>
      </c>
      <c r="AH72" s="141">
        <v>0</v>
      </c>
      <c r="AI72" s="141">
        <v>33</v>
      </c>
      <c r="AJ72" s="141">
        <v>33</v>
      </c>
      <c r="AK72" s="141">
        <v>33</v>
      </c>
      <c r="AL72" s="141">
        <v>33</v>
      </c>
      <c r="AM72" s="141">
        <v>33</v>
      </c>
      <c r="AN72" s="141">
        <v>33</v>
      </c>
      <c r="AO72" s="141">
        <v>33</v>
      </c>
      <c r="AP72" s="141">
        <v>33</v>
      </c>
      <c r="AQ72" s="141">
        <v>33</v>
      </c>
      <c r="AR72" s="141">
        <f t="shared" si="6"/>
        <v>1221</v>
      </c>
      <c r="AS72" s="169" t="s">
        <v>614</v>
      </c>
    </row>
    <row r="73" spans="1:45">
      <c r="A73" s="144">
        <f t="shared" si="5"/>
        <v>45815</v>
      </c>
      <c r="B73" s="141">
        <f>YEAR(Table7[[#This Row],[Date]])+IF(MONTH(Table7[[#This Row],[Date]])&gt;=4,1,0)</f>
        <v>2026</v>
      </c>
      <c r="C73" s="141">
        <f>YEAR(Table7[[#This Row],[Date]])</f>
        <v>2025</v>
      </c>
      <c r="D73" s="143">
        <f t="shared" si="4"/>
        <v>45809</v>
      </c>
      <c r="E73" s="141">
        <v>0</v>
      </c>
      <c r="F73" s="141">
        <v>0</v>
      </c>
      <c r="G73" s="141">
        <v>0</v>
      </c>
      <c r="H73" s="141">
        <v>0</v>
      </c>
      <c r="I73" s="141">
        <v>0</v>
      </c>
      <c r="J73" s="141">
        <v>0</v>
      </c>
      <c r="K73" s="141">
        <v>0</v>
      </c>
      <c r="L73" s="141">
        <v>0</v>
      </c>
      <c r="M73" s="141">
        <v>0</v>
      </c>
      <c r="N73" s="141">
        <v>0</v>
      </c>
      <c r="O73" s="141">
        <v>0</v>
      </c>
      <c r="P73" s="141">
        <v>0</v>
      </c>
      <c r="Q73" s="141">
        <v>0</v>
      </c>
      <c r="R73" s="141">
        <v>0</v>
      </c>
      <c r="S73" s="141">
        <v>0</v>
      </c>
      <c r="T73" s="141">
        <v>0</v>
      </c>
      <c r="U73" s="141">
        <v>0</v>
      </c>
      <c r="V73" s="141">
        <v>0</v>
      </c>
      <c r="W73" s="141">
        <v>0</v>
      </c>
      <c r="X73" s="141">
        <v>0</v>
      </c>
      <c r="Y73" s="141">
        <v>0</v>
      </c>
      <c r="Z73" s="141">
        <v>0</v>
      </c>
      <c r="AA73" s="141">
        <v>0</v>
      </c>
      <c r="AB73" s="141">
        <v>0</v>
      </c>
      <c r="AC73" s="141">
        <v>0</v>
      </c>
      <c r="AD73" s="141">
        <v>0</v>
      </c>
      <c r="AE73" s="141">
        <v>0</v>
      </c>
      <c r="AF73" s="141">
        <v>0</v>
      </c>
      <c r="AG73" s="141">
        <v>0</v>
      </c>
      <c r="AH73" s="141">
        <v>0</v>
      </c>
      <c r="AI73" s="141">
        <v>0</v>
      </c>
      <c r="AJ73" s="141">
        <v>0</v>
      </c>
      <c r="AK73" s="141">
        <v>0</v>
      </c>
      <c r="AL73" s="141">
        <v>0</v>
      </c>
      <c r="AM73" s="141">
        <v>0</v>
      </c>
      <c r="AN73" s="141">
        <v>0</v>
      </c>
      <c r="AO73" s="141">
        <v>0</v>
      </c>
      <c r="AP73" s="141">
        <v>0</v>
      </c>
      <c r="AQ73" s="141">
        <v>0</v>
      </c>
      <c r="AR73" s="141">
        <f t="shared" si="6"/>
        <v>0</v>
      </c>
      <c r="AS73" s="169" t="s">
        <v>614</v>
      </c>
    </row>
    <row r="74" spans="1:45">
      <c r="A74" s="144">
        <f t="shared" si="5"/>
        <v>45816</v>
      </c>
      <c r="B74" s="141">
        <f>YEAR(Table7[[#This Row],[Date]])+IF(MONTH(Table7[[#This Row],[Date]])&gt;=4,1,0)</f>
        <v>2026</v>
      </c>
      <c r="C74" s="141">
        <f>YEAR(Table7[[#This Row],[Date]])</f>
        <v>2025</v>
      </c>
      <c r="D74" s="143">
        <f t="shared" si="4"/>
        <v>45809</v>
      </c>
      <c r="E74" s="141">
        <v>33</v>
      </c>
      <c r="F74" s="141">
        <v>33</v>
      </c>
      <c r="G74" s="141">
        <v>33</v>
      </c>
      <c r="H74" s="141">
        <v>33</v>
      </c>
      <c r="I74" s="141">
        <v>33</v>
      </c>
      <c r="J74" s="141">
        <v>33</v>
      </c>
      <c r="K74" s="141">
        <v>33</v>
      </c>
      <c r="L74" s="141">
        <v>33</v>
      </c>
      <c r="M74" s="141">
        <v>33</v>
      </c>
      <c r="N74" s="141">
        <v>33</v>
      </c>
      <c r="O74" s="141">
        <v>33</v>
      </c>
      <c r="P74" s="141">
        <v>33</v>
      </c>
      <c r="Q74" s="141">
        <v>33</v>
      </c>
      <c r="R74" s="141">
        <v>33</v>
      </c>
      <c r="S74" s="141">
        <v>33</v>
      </c>
      <c r="T74" s="141">
        <v>33</v>
      </c>
      <c r="U74" s="141">
        <v>33</v>
      </c>
      <c r="V74" s="141">
        <v>33</v>
      </c>
      <c r="W74" s="141">
        <v>33</v>
      </c>
      <c r="X74" s="141">
        <v>33</v>
      </c>
      <c r="Y74" s="141">
        <v>33</v>
      </c>
      <c r="Z74" s="141">
        <v>33</v>
      </c>
      <c r="AA74" s="141">
        <v>33</v>
      </c>
      <c r="AB74" s="141">
        <v>33</v>
      </c>
      <c r="AC74" s="141">
        <v>33</v>
      </c>
      <c r="AD74" s="141">
        <v>33</v>
      </c>
      <c r="AE74" s="141">
        <v>33</v>
      </c>
      <c r="AF74" s="141">
        <v>0</v>
      </c>
      <c r="AG74" s="141">
        <v>33</v>
      </c>
      <c r="AH74" s="141">
        <v>0</v>
      </c>
      <c r="AI74" s="141">
        <v>33</v>
      </c>
      <c r="AJ74" s="141">
        <v>33</v>
      </c>
      <c r="AK74" s="141">
        <v>33</v>
      </c>
      <c r="AL74" s="141">
        <v>33</v>
      </c>
      <c r="AM74" s="141">
        <v>33</v>
      </c>
      <c r="AN74" s="141">
        <v>33</v>
      </c>
      <c r="AO74" s="141">
        <v>33</v>
      </c>
      <c r="AP74" s="141">
        <v>33</v>
      </c>
      <c r="AQ74" s="141">
        <v>33</v>
      </c>
      <c r="AR74" s="141">
        <f t="shared" si="6"/>
        <v>1221</v>
      </c>
      <c r="AS74" s="169" t="s">
        <v>614</v>
      </c>
    </row>
    <row r="75" spans="1:45">
      <c r="A75" s="144">
        <f t="shared" si="5"/>
        <v>45817</v>
      </c>
      <c r="B75" s="141">
        <f>YEAR(Table7[[#This Row],[Date]])+IF(MONTH(Table7[[#This Row],[Date]])&gt;=4,1,0)</f>
        <v>2026</v>
      </c>
      <c r="C75" s="141">
        <f>YEAR(Table7[[#This Row],[Date]])</f>
        <v>2025</v>
      </c>
      <c r="D75" s="143">
        <f t="shared" si="4"/>
        <v>45809</v>
      </c>
      <c r="E75" s="141">
        <v>0</v>
      </c>
      <c r="F75" s="141">
        <v>0</v>
      </c>
      <c r="G75" s="141">
        <v>0</v>
      </c>
      <c r="H75" s="141">
        <v>0</v>
      </c>
      <c r="I75" s="141">
        <v>0</v>
      </c>
      <c r="J75" s="141">
        <v>0</v>
      </c>
      <c r="K75" s="141">
        <v>0</v>
      </c>
      <c r="L75" s="141">
        <v>0</v>
      </c>
      <c r="M75" s="141">
        <v>0</v>
      </c>
      <c r="N75" s="141">
        <v>0</v>
      </c>
      <c r="O75" s="141">
        <v>0</v>
      </c>
      <c r="P75" s="141">
        <v>0</v>
      </c>
      <c r="Q75" s="141">
        <v>0</v>
      </c>
      <c r="R75" s="141">
        <v>0</v>
      </c>
      <c r="S75" s="141">
        <v>0</v>
      </c>
      <c r="T75" s="141">
        <v>0</v>
      </c>
      <c r="U75" s="141">
        <v>0</v>
      </c>
      <c r="V75" s="141">
        <v>0</v>
      </c>
      <c r="W75" s="141">
        <v>0</v>
      </c>
      <c r="X75" s="141">
        <v>0</v>
      </c>
      <c r="Y75" s="141">
        <v>0</v>
      </c>
      <c r="Z75" s="141">
        <v>0</v>
      </c>
      <c r="AA75" s="141">
        <v>0</v>
      </c>
      <c r="AB75" s="141">
        <v>0</v>
      </c>
      <c r="AC75" s="141">
        <v>0</v>
      </c>
      <c r="AD75" s="141">
        <v>0</v>
      </c>
      <c r="AE75" s="141">
        <v>0</v>
      </c>
      <c r="AF75" s="141">
        <v>0</v>
      </c>
      <c r="AG75" s="141">
        <v>0</v>
      </c>
      <c r="AH75" s="141">
        <v>0</v>
      </c>
      <c r="AI75" s="141">
        <v>0</v>
      </c>
      <c r="AJ75" s="141">
        <v>0</v>
      </c>
      <c r="AK75" s="141">
        <v>0</v>
      </c>
      <c r="AL75" s="141">
        <v>0</v>
      </c>
      <c r="AM75" s="141">
        <v>0</v>
      </c>
      <c r="AN75" s="141">
        <v>0</v>
      </c>
      <c r="AO75" s="141">
        <v>0</v>
      </c>
      <c r="AP75" s="141">
        <v>0</v>
      </c>
      <c r="AQ75" s="141">
        <v>0</v>
      </c>
      <c r="AR75" s="141">
        <f t="shared" si="6"/>
        <v>0</v>
      </c>
      <c r="AS75" s="169" t="s">
        <v>614</v>
      </c>
    </row>
    <row r="76" spans="1:45">
      <c r="A76" s="144">
        <f t="shared" si="5"/>
        <v>45818</v>
      </c>
      <c r="B76" s="141">
        <f>YEAR(Table7[[#This Row],[Date]])+IF(MONTH(Table7[[#This Row],[Date]])&gt;=4,1,0)</f>
        <v>2026</v>
      </c>
      <c r="C76" s="141">
        <f>YEAR(Table7[[#This Row],[Date]])</f>
        <v>2025</v>
      </c>
      <c r="D76" s="143">
        <f t="shared" si="4"/>
        <v>45809</v>
      </c>
      <c r="E76" s="141">
        <v>98</v>
      </c>
      <c r="F76" s="141">
        <v>98</v>
      </c>
      <c r="G76" s="141">
        <v>98</v>
      </c>
      <c r="H76" s="141">
        <v>98</v>
      </c>
      <c r="I76" s="141">
        <v>98</v>
      </c>
      <c r="J76" s="141">
        <v>98</v>
      </c>
      <c r="K76" s="141">
        <v>98</v>
      </c>
      <c r="L76" s="141">
        <v>98</v>
      </c>
      <c r="M76" s="141">
        <v>98</v>
      </c>
      <c r="N76" s="141">
        <v>98</v>
      </c>
      <c r="O76" s="141">
        <v>98</v>
      </c>
      <c r="P76" s="141">
        <v>98</v>
      </c>
      <c r="Q76" s="141">
        <v>98</v>
      </c>
      <c r="R76" s="141">
        <v>98</v>
      </c>
      <c r="S76" s="141">
        <v>98</v>
      </c>
      <c r="T76" s="141">
        <v>98</v>
      </c>
      <c r="U76" s="141">
        <v>98</v>
      </c>
      <c r="V76" s="141">
        <v>98</v>
      </c>
      <c r="W76" s="141">
        <v>98</v>
      </c>
      <c r="X76" s="141">
        <v>98</v>
      </c>
      <c r="Y76" s="141">
        <v>98</v>
      </c>
      <c r="Z76" s="141">
        <v>98</v>
      </c>
      <c r="AA76" s="141">
        <v>98</v>
      </c>
      <c r="AB76" s="141">
        <v>98</v>
      </c>
      <c r="AC76" s="141">
        <v>98</v>
      </c>
      <c r="AD76" s="141">
        <v>98</v>
      </c>
      <c r="AE76" s="141">
        <v>98</v>
      </c>
      <c r="AF76" s="141">
        <v>0</v>
      </c>
      <c r="AG76" s="141">
        <v>98</v>
      </c>
      <c r="AH76" s="141">
        <v>0</v>
      </c>
      <c r="AI76" s="141">
        <v>98</v>
      </c>
      <c r="AJ76" s="141">
        <v>98</v>
      </c>
      <c r="AK76" s="141">
        <v>98</v>
      </c>
      <c r="AL76" s="141">
        <v>98</v>
      </c>
      <c r="AM76" s="141">
        <v>98</v>
      </c>
      <c r="AN76" s="141">
        <v>98</v>
      </c>
      <c r="AO76" s="141">
        <v>98</v>
      </c>
      <c r="AP76" s="141">
        <v>98</v>
      </c>
      <c r="AQ76" s="141">
        <v>98</v>
      </c>
      <c r="AR76" s="141">
        <f t="shared" si="6"/>
        <v>3626</v>
      </c>
      <c r="AS76" s="169" t="s">
        <v>614</v>
      </c>
    </row>
    <row r="77" spans="1:45">
      <c r="A77" s="144">
        <f t="shared" si="5"/>
        <v>45819</v>
      </c>
      <c r="B77" s="141">
        <f>YEAR(Table7[[#This Row],[Date]])+IF(MONTH(Table7[[#This Row],[Date]])&gt;=4,1,0)</f>
        <v>2026</v>
      </c>
      <c r="C77" s="141">
        <f>YEAR(Table7[[#This Row],[Date]])</f>
        <v>2025</v>
      </c>
      <c r="D77" s="143">
        <f t="shared" si="4"/>
        <v>45809</v>
      </c>
      <c r="E77" s="141">
        <v>33</v>
      </c>
      <c r="F77" s="141">
        <v>33</v>
      </c>
      <c r="G77" s="141">
        <v>33</v>
      </c>
      <c r="H77" s="141">
        <v>33</v>
      </c>
      <c r="I77" s="141">
        <v>33</v>
      </c>
      <c r="J77" s="141">
        <v>33</v>
      </c>
      <c r="K77" s="141">
        <v>33</v>
      </c>
      <c r="L77" s="141">
        <v>33</v>
      </c>
      <c r="M77" s="141">
        <v>33</v>
      </c>
      <c r="N77" s="141">
        <v>33</v>
      </c>
      <c r="O77" s="141">
        <v>33</v>
      </c>
      <c r="P77" s="141">
        <v>33</v>
      </c>
      <c r="Q77" s="141">
        <v>33</v>
      </c>
      <c r="R77" s="141">
        <v>33</v>
      </c>
      <c r="S77" s="141">
        <v>33</v>
      </c>
      <c r="T77" s="141">
        <v>33</v>
      </c>
      <c r="U77" s="141">
        <v>33</v>
      </c>
      <c r="V77" s="141">
        <v>33</v>
      </c>
      <c r="W77" s="141">
        <v>33</v>
      </c>
      <c r="X77" s="141">
        <v>33</v>
      </c>
      <c r="Y77" s="141">
        <v>33</v>
      </c>
      <c r="Z77" s="141">
        <v>33</v>
      </c>
      <c r="AA77" s="141">
        <v>33</v>
      </c>
      <c r="AB77" s="141">
        <v>33</v>
      </c>
      <c r="AC77" s="141">
        <v>33</v>
      </c>
      <c r="AD77" s="141">
        <v>33</v>
      </c>
      <c r="AE77" s="141">
        <v>33</v>
      </c>
      <c r="AF77" s="141">
        <v>0</v>
      </c>
      <c r="AG77" s="141">
        <v>33</v>
      </c>
      <c r="AH77" s="141">
        <v>0</v>
      </c>
      <c r="AI77" s="141">
        <v>33</v>
      </c>
      <c r="AJ77" s="141">
        <v>33</v>
      </c>
      <c r="AK77" s="141">
        <v>33</v>
      </c>
      <c r="AL77" s="141">
        <v>33</v>
      </c>
      <c r="AM77" s="141">
        <v>33</v>
      </c>
      <c r="AN77" s="141">
        <v>33</v>
      </c>
      <c r="AO77" s="141">
        <v>33</v>
      </c>
      <c r="AP77" s="141">
        <v>33</v>
      </c>
      <c r="AQ77" s="141">
        <v>33</v>
      </c>
      <c r="AR77" s="141">
        <f t="shared" si="6"/>
        <v>1221</v>
      </c>
      <c r="AS77" s="169" t="s">
        <v>614</v>
      </c>
    </row>
    <row r="78" spans="1:45">
      <c r="A78" s="144">
        <f t="shared" si="5"/>
        <v>45820</v>
      </c>
      <c r="B78" s="141">
        <f>YEAR(Table7[[#This Row],[Date]])+IF(MONTH(Table7[[#This Row],[Date]])&gt;=4,1,0)</f>
        <v>2026</v>
      </c>
      <c r="C78" s="141">
        <f>YEAR(Table7[[#This Row],[Date]])</f>
        <v>2025</v>
      </c>
      <c r="D78" s="143">
        <f t="shared" si="4"/>
        <v>45809</v>
      </c>
      <c r="E78" s="141">
        <v>163</v>
      </c>
      <c r="F78" s="141">
        <v>163</v>
      </c>
      <c r="G78" s="141">
        <v>163</v>
      </c>
      <c r="H78" s="141">
        <v>163</v>
      </c>
      <c r="I78" s="141">
        <v>163</v>
      </c>
      <c r="J78" s="141">
        <v>163</v>
      </c>
      <c r="K78" s="141">
        <v>163</v>
      </c>
      <c r="L78" s="141">
        <v>163</v>
      </c>
      <c r="M78" s="141">
        <v>163</v>
      </c>
      <c r="N78" s="141">
        <v>163</v>
      </c>
      <c r="O78" s="141">
        <v>163</v>
      </c>
      <c r="P78" s="141">
        <v>163</v>
      </c>
      <c r="Q78" s="141">
        <v>163</v>
      </c>
      <c r="R78" s="141">
        <v>163</v>
      </c>
      <c r="S78" s="141">
        <v>163</v>
      </c>
      <c r="T78" s="141">
        <v>163</v>
      </c>
      <c r="U78" s="141">
        <v>163</v>
      </c>
      <c r="V78" s="141">
        <v>163</v>
      </c>
      <c r="W78" s="141">
        <v>163</v>
      </c>
      <c r="X78" s="141">
        <v>163</v>
      </c>
      <c r="Y78" s="141">
        <v>163</v>
      </c>
      <c r="Z78" s="141">
        <v>163</v>
      </c>
      <c r="AA78" s="141">
        <v>163</v>
      </c>
      <c r="AB78" s="141">
        <v>163</v>
      </c>
      <c r="AC78" s="141">
        <v>163</v>
      </c>
      <c r="AD78" s="141">
        <v>163</v>
      </c>
      <c r="AE78" s="141">
        <v>163</v>
      </c>
      <c r="AF78" s="141">
        <v>0</v>
      </c>
      <c r="AG78" s="141">
        <v>163</v>
      </c>
      <c r="AH78" s="141">
        <v>0</v>
      </c>
      <c r="AI78" s="141">
        <v>163</v>
      </c>
      <c r="AJ78" s="141">
        <v>163</v>
      </c>
      <c r="AK78" s="141">
        <v>163</v>
      </c>
      <c r="AL78" s="141">
        <v>163</v>
      </c>
      <c r="AM78" s="141">
        <v>163</v>
      </c>
      <c r="AN78" s="141">
        <v>163</v>
      </c>
      <c r="AO78" s="141">
        <v>163</v>
      </c>
      <c r="AP78" s="141">
        <v>163</v>
      </c>
      <c r="AQ78" s="141">
        <v>163</v>
      </c>
      <c r="AR78" s="141">
        <f t="shared" si="6"/>
        <v>6031</v>
      </c>
      <c r="AS78" s="169" t="s">
        <v>614</v>
      </c>
    </row>
    <row r="79" spans="1:45">
      <c r="A79" s="144">
        <f t="shared" si="5"/>
        <v>45821</v>
      </c>
      <c r="B79" s="141">
        <f>YEAR(Table7[[#This Row],[Date]])+IF(MONTH(Table7[[#This Row],[Date]])&gt;=4,1,0)</f>
        <v>2026</v>
      </c>
      <c r="C79" s="141">
        <f>YEAR(Table7[[#This Row],[Date]])</f>
        <v>2025</v>
      </c>
      <c r="D79" s="143">
        <f t="shared" si="4"/>
        <v>45809</v>
      </c>
      <c r="E79" s="141">
        <v>390</v>
      </c>
      <c r="F79" s="141">
        <v>390</v>
      </c>
      <c r="G79" s="141">
        <v>390</v>
      </c>
      <c r="H79" s="141">
        <v>390</v>
      </c>
      <c r="I79" s="141">
        <v>390</v>
      </c>
      <c r="J79" s="141">
        <v>390</v>
      </c>
      <c r="K79" s="141">
        <v>390</v>
      </c>
      <c r="L79" s="141">
        <v>390</v>
      </c>
      <c r="M79" s="141">
        <v>390</v>
      </c>
      <c r="N79" s="141">
        <v>390</v>
      </c>
      <c r="O79" s="141">
        <v>390</v>
      </c>
      <c r="P79" s="141">
        <v>390</v>
      </c>
      <c r="Q79" s="141">
        <v>390</v>
      </c>
      <c r="R79" s="141">
        <v>390</v>
      </c>
      <c r="S79" s="141">
        <v>390</v>
      </c>
      <c r="T79" s="141">
        <v>390</v>
      </c>
      <c r="U79" s="141">
        <v>390</v>
      </c>
      <c r="V79" s="141">
        <v>390</v>
      </c>
      <c r="W79" s="141">
        <v>390</v>
      </c>
      <c r="X79" s="141">
        <v>390</v>
      </c>
      <c r="Y79" s="141">
        <v>390</v>
      </c>
      <c r="Z79" s="141">
        <v>390</v>
      </c>
      <c r="AA79" s="141">
        <v>390</v>
      </c>
      <c r="AB79" s="141">
        <v>390</v>
      </c>
      <c r="AC79" s="141">
        <v>390</v>
      </c>
      <c r="AD79" s="141">
        <v>390</v>
      </c>
      <c r="AE79" s="141">
        <v>390</v>
      </c>
      <c r="AF79" s="141">
        <v>0</v>
      </c>
      <c r="AG79" s="141">
        <v>390</v>
      </c>
      <c r="AH79" s="141">
        <v>0</v>
      </c>
      <c r="AI79" s="141">
        <v>390</v>
      </c>
      <c r="AJ79" s="141">
        <v>390</v>
      </c>
      <c r="AK79" s="141">
        <v>390</v>
      </c>
      <c r="AL79" s="141">
        <v>390</v>
      </c>
      <c r="AM79" s="141">
        <v>390</v>
      </c>
      <c r="AN79" s="141">
        <v>390</v>
      </c>
      <c r="AO79" s="141">
        <v>390</v>
      </c>
      <c r="AP79" s="141">
        <v>390</v>
      </c>
      <c r="AQ79" s="141">
        <v>390</v>
      </c>
      <c r="AR79" s="141">
        <f t="shared" si="6"/>
        <v>14430</v>
      </c>
      <c r="AS79" s="169" t="s">
        <v>614</v>
      </c>
    </row>
    <row r="80" spans="1:45">
      <c r="A80" s="144">
        <f t="shared" si="5"/>
        <v>45822</v>
      </c>
      <c r="B80" s="141">
        <f>YEAR(Table7[[#This Row],[Date]])+IF(MONTH(Table7[[#This Row],[Date]])&gt;=4,1,0)</f>
        <v>2026</v>
      </c>
      <c r="C80" s="141">
        <f>YEAR(Table7[[#This Row],[Date]])</f>
        <v>2025</v>
      </c>
      <c r="D80" s="143">
        <f t="shared" si="4"/>
        <v>45809</v>
      </c>
      <c r="E80" s="141">
        <v>486</v>
      </c>
      <c r="F80" s="141">
        <v>486</v>
      </c>
      <c r="G80" s="141">
        <v>486</v>
      </c>
      <c r="H80" s="141">
        <v>486</v>
      </c>
      <c r="I80" s="141">
        <v>486</v>
      </c>
      <c r="J80" s="141">
        <v>486</v>
      </c>
      <c r="K80" s="141">
        <v>486</v>
      </c>
      <c r="L80" s="141">
        <v>486</v>
      </c>
      <c r="M80" s="141">
        <v>486</v>
      </c>
      <c r="N80" s="141">
        <v>486</v>
      </c>
      <c r="O80" s="141">
        <v>486</v>
      </c>
      <c r="P80" s="141">
        <v>486</v>
      </c>
      <c r="Q80" s="141">
        <v>486</v>
      </c>
      <c r="R80" s="141">
        <v>486</v>
      </c>
      <c r="S80" s="141">
        <v>486</v>
      </c>
      <c r="T80" s="141">
        <v>486</v>
      </c>
      <c r="U80" s="141">
        <v>0</v>
      </c>
      <c r="V80" s="141">
        <v>486</v>
      </c>
      <c r="W80" s="141">
        <v>486</v>
      </c>
      <c r="X80" s="141">
        <v>486</v>
      </c>
      <c r="Y80" s="141">
        <v>486</v>
      </c>
      <c r="Z80" s="141">
        <v>486</v>
      </c>
      <c r="AA80" s="141">
        <v>486</v>
      </c>
      <c r="AB80" s="141">
        <v>486</v>
      </c>
      <c r="AC80" s="141">
        <v>486</v>
      </c>
      <c r="AD80" s="141">
        <v>486</v>
      </c>
      <c r="AE80" s="141">
        <v>486</v>
      </c>
      <c r="AF80" s="141">
        <v>0</v>
      </c>
      <c r="AG80" s="141">
        <v>486</v>
      </c>
      <c r="AH80" s="141">
        <v>0</v>
      </c>
      <c r="AI80" s="141">
        <v>486</v>
      </c>
      <c r="AJ80" s="141">
        <v>486</v>
      </c>
      <c r="AK80" s="141">
        <v>486</v>
      </c>
      <c r="AL80" s="141">
        <v>486</v>
      </c>
      <c r="AM80" s="141">
        <v>486</v>
      </c>
      <c r="AN80" s="141">
        <v>486</v>
      </c>
      <c r="AO80" s="141">
        <v>486</v>
      </c>
      <c r="AP80" s="141">
        <v>486</v>
      </c>
      <c r="AQ80" s="141">
        <v>486</v>
      </c>
      <c r="AR80" s="141">
        <f t="shared" si="6"/>
        <v>17496</v>
      </c>
      <c r="AS80" s="169" t="s">
        <v>614</v>
      </c>
    </row>
    <row r="81" spans="1:45">
      <c r="A81" s="144">
        <f t="shared" si="5"/>
        <v>45823</v>
      </c>
      <c r="B81" s="141">
        <f>YEAR(Table7[[#This Row],[Date]])+IF(MONTH(Table7[[#This Row],[Date]])&gt;=4,1,0)</f>
        <v>2026</v>
      </c>
      <c r="C81" s="141">
        <f>YEAR(Table7[[#This Row],[Date]])</f>
        <v>2025</v>
      </c>
      <c r="D81" s="143">
        <f t="shared" si="4"/>
        <v>45809</v>
      </c>
      <c r="E81" s="141">
        <v>65</v>
      </c>
      <c r="F81" s="141">
        <v>65</v>
      </c>
      <c r="G81" s="141">
        <v>65</v>
      </c>
      <c r="H81" s="141">
        <v>65</v>
      </c>
      <c r="I81" s="141">
        <v>65</v>
      </c>
      <c r="J81" s="141">
        <v>65</v>
      </c>
      <c r="K81" s="141">
        <v>65</v>
      </c>
      <c r="L81" s="141">
        <v>65</v>
      </c>
      <c r="M81" s="141">
        <v>65</v>
      </c>
      <c r="N81" s="141">
        <v>65</v>
      </c>
      <c r="O81" s="141">
        <v>65</v>
      </c>
      <c r="P81" s="141">
        <v>65</v>
      </c>
      <c r="Q81" s="141">
        <v>65</v>
      </c>
      <c r="R81" s="141">
        <v>65</v>
      </c>
      <c r="S81" s="141">
        <v>65</v>
      </c>
      <c r="T81" s="141">
        <v>65</v>
      </c>
      <c r="U81" s="141">
        <v>0</v>
      </c>
      <c r="V81" s="141">
        <v>65</v>
      </c>
      <c r="W81" s="141">
        <v>65</v>
      </c>
      <c r="X81" s="141">
        <v>65</v>
      </c>
      <c r="Y81" s="141">
        <v>65</v>
      </c>
      <c r="Z81" s="141">
        <v>65</v>
      </c>
      <c r="AA81" s="141">
        <v>65</v>
      </c>
      <c r="AB81" s="141">
        <v>65</v>
      </c>
      <c r="AC81" s="141">
        <v>65</v>
      </c>
      <c r="AD81" s="141">
        <v>65</v>
      </c>
      <c r="AE81" s="141">
        <v>65</v>
      </c>
      <c r="AF81" s="141">
        <v>0</v>
      </c>
      <c r="AG81" s="141">
        <v>65</v>
      </c>
      <c r="AH81" s="141">
        <v>0</v>
      </c>
      <c r="AI81" s="141">
        <v>65</v>
      </c>
      <c r="AJ81" s="141">
        <v>65</v>
      </c>
      <c r="AK81" s="141">
        <v>65</v>
      </c>
      <c r="AL81" s="141">
        <v>65</v>
      </c>
      <c r="AM81" s="141">
        <v>65</v>
      </c>
      <c r="AN81" s="141">
        <v>65</v>
      </c>
      <c r="AO81" s="141">
        <v>65</v>
      </c>
      <c r="AP81" s="141">
        <v>65</v>
      </c>
      <c r="AQ81" s="141">
        <v>65</v>
      </c>
      <c r="AR81" s="141">
        <f t="shared" si="6"/>
        <v>2340</v>
      </c>
      <c r="AS81" s="169" t="s">
        <v>614</v>
      </c>
    </row>
    <row r="82" spans="1:45">
      <c r="A82" s="144">
        <f t="shared" si="5"/>
        <v>45824</v>
      </c>
      <c r="B82" s="141">
        <f>YEAR(Table7[[#This Row],[Date]])+IF(MONTH(Table7[[#This Row],[Date]])&gt;=4,1,0)</f>
        <v>2026</v>
      </c>
      <c r="C82" s="141">
        <f>YEAR(Table7[[#This Row],[Date]])</f>
        <v>2025</v>
      </c>
      <c r="D82" s="143">
        <f t="shared" si="4"/>
        <v>45809</v>
      </c>
      <c r="E82" s="141">
        <v>32</v>
      </c>
      <c r="F82" s="141">
        <v>32</v>
      </c>
      <c r="G82" s="141">
        <v>32</v>
      </c>
      <c r="H82" s="141">
        <v>32</v>
      </c>
      <c r="I82" s="141">
        <v>32</v>
      </c>
      <c r="J82" s="141">
        <v>32</v>
      </c>
      <c r="K82" s="141">
        <v>32</v>
      </c>
      <c r="L82" s="141">
        <v>32</v>
      </c>
      <c r="M82" s="141">
        <v>32</v>
      </c>
      <c r="N82" s="141">
        <v>32</v>
      </c>
      <c r="O82" s="141">
        <v>32</v>
      </c>
      <c r="P82" s="141">
        <v>32</v>
      </c>
      <c r="Q82" s="141">
        <v>32</v>
      </c>
      <c r="R82" s="141">
        <v>32</v>
      </c>
      <c r="S82" s="141">
        <v>32</v>
      </c>
      <c r="T82" s="141">
        <v>32</v>
      </c>
      <c r="U82" s="141">
        <v>0</v>
      </c>
      <c r="V82" s="141">
        <v>32</v>
      </c>
      <c r="W82" s="141">
        <v>32</v>
      </c>
      <c r="X82" s="141">
        <v>32</v>
      </c>
      <c r="Y82" s="141">
        <v>32</v>
      </c>
      <c r="Z82" s="141">
        <v>32</v>
      </c>
      <c r="AA82" s="141">
        <v>32</v>
      </c>
      <c r="AB82" s="141">
        <v>32</v>
      </c>
      <c r="AC82" s="141">
        <v>32</v>
      </c>
      <c r="AD82" s="141">
        <v>32</v>
      </c>
      <c r="AE82" s="141">
        <v>32</v>
      </c>
      <c r="AF82" s="141">
        <v>0</v>
      </c>
      <c r="AG82" s="141">
        <v>32</v>
      </c>
      <c r="AH82" s="141">
        <v>0</v>
      </c>
      <c r="AI82" s="141">
        <v>32</v>
      </c>
      <c r="AJ82" s="141">
        <v>32</v>
      </c>
      <c r="AK82" s="141">
        <v>32</v>
      </c>
      <c r="AL82" s="141">
        <v>32</v>
      </c>
      <c r="AM82" s="141">
        <v>32</v>
      </c>
      <c r="AN82" s="141">
        <v>32</v>
      </c>
      <c r="AO82" s="141">
        <v>32</v>
      </c>
      <c r="AP82" s="141">
        <v>32</v>
      </c>
      <c r="AQ82" s="141">
        <v>32</v>
      </c>
      <c r="AR82" s="141">
        <f t="shared" si="6"/>
        <v>1152</v>
      </c>
      <c r="AS82" s="169" t="s">
        <v>614</v>
      </c>
    </row>
    <row r="83" spans="1:45">
      <c r="A83" s="144">
        <f t="shared" si="5"/>
        <v>45825</v>
      </c>
      <c r="B83" s="141">
        <f>YEAR(Table7[[#This Row],[Date]])+IF(MONTH(Table7[[#This Row],[Date]])&gt;=4,1,0)</f>
        <v>2026</v>
      </c>
      <c r="C83" s="141">
        <f>YEAR(Table7[[#This Row],[Date]])</f>
        <v>2025</v>
      </c>
      <c r="D83" s="143">
        <f t="shared" si="4"/>
        <v>45809</v>
      </c>
      <c r="E83" s="141">
        <v>0</v>
      </c>
      <c r="F83" s="141">
        <v>0</v>
      </c>
      <c r="G83" s="141">
        <v>0</v>
      </c>
      <c r="H83" s="141">
        <v>0</v>
      </c>
      <c r="I83" s="141">
        <v>0</v>
      </c>
      <c r="J83" s="141">
        <v>0</v>
      </c>
      <c r="K83" s="141">
        <v>0</v>
      </c>
      <c r="L83" s="141">
        <v>0</v>
      </c>
      <c r="M83" s="141">
        <v>0</v>
      </c>
      <c r="N83" s="141">
        <v>0</v>
      </c>
      <c r="O83" s="141">
        <v>0</v>
      </c>
      <c r="P83" s="141">
        <v>0</v>
      </c>
      <c r="Q83" s="141">
        <v>0</v>
      </c>
      <c r="R83" s="141">
        <v>0</v>
      </c>
      <c r="S83" s="141">
        <v>0</v>
      </c>
      <c r="T83" s="141">
        <v>0</v>
      </c>
      <c r="U83" s="141">
        <v>0</v>
      </c>
      <c r="V83" s="141">
        <v>0</v>
      </c>
      <c r="W83" s="141">
        <v>0</v>
      </c>
      <c r="X83" s="141">
        <v>0</v>
      </c>
      <c r="Y83" s="141">
        <v>0</v>
      </c>
      <c r="Z83" s="141">
        <v>0</v>
      </c>
      <c r="AA83" s="141">
        <v>0</v>
      </c>
      <c r="AB83" s="141">
        <v>0</v>
      </c>
      <c r="AC83" s="141">
        <v>0</v>
      </c>
      <c r="AD83" s="141">
        <v>0</v>
      </c>
      <c r="AE83" s="141">
        <v>0</v>
      </c>
      <c r="AF83" s="141">
        <v>0</v>
      </c>
      <c r="AG83" s="141">
        <v>0</v>
      </c>
      <c r="AH83" s="141">
        <v>0</v>
      </c>
      <c r="AI83" s="141">
        <v>0</v>
      </c>
      <c r="AJ83" s="141">
        <v>0</v>
      </c>
      <c r="AK83" s="141">
        <v>0</v>
      </c>
      <c r="AL83" s="141">
        <v>0</v>
      </c>
      <c r="AM83" s="141">
        <v>0</v>
      </c>
      <c r="AN83" s="141">
        <v>0</v>
      </c>
      <c r="AO83" s="141">
        <v>0</v>
      </c>
      <c r="AP83" s="141">
        <v>0</v>
      </c>
      <c r="AQ83" s="141">
        <v>0</v>
      </c>
      <c r="AR83" s="141">
        <f t="shared" si="6"/>
        <v>0</v>
      </c>
      <c r="AS83" s="169" t="s">
        <v>614</v>
      </c>
    </row>
    <row r="84" spans="1:45">
      <c r="A84" s="144">
        <f t="shared" si="5"/>
        <v>45826</v>
      </c>
      <c r="B84" s="141">
        <f>YEAR(Table7[[#This Row],[Date]])+IF(MONTH(Table7[[#This Row],[Date]])&gt;=4,1,0)</f>
        <v>2026</v>
      </c>
      <c r="C84" s="141">
        <f>YEAR(Table7[[#This Row],[Date]])</f>
        <v>2025</v>
      </c>
      <c r="D84" s="143">
        <f t="shared" si="4"/>
        <v>45809</v>
      </c>
      <c r="E84" s="141">
        <v>0</v>
      </c>
      <c r="F84" s="141">
        <v>0</v>
      </c>
      <c r="G84" s="141">
        <v>0</v>
      </c>
      <c r="H84" s="141">
        <v>0</v>
      </c>
      <c r="I84" s="141">
        <v>0</v>
      </c>
      <c r="J84" s="141">
        <v>0</v>
      </c>
      <c r="K84" s="141">
        <v>0</v>
      </c>
      <c r="L84" s="141">
        <v>0</v>
      </c>
      <c r="M84" s="141">
        <v>0</v>
      </c>
      <c r="N84" s="141">
        <v>0</v>
      </c>
      <c r="O84" s="141">
        <v>0</v>
      </c>
      <c r="P84" s="141">
        <v>0</v>
      </c>
      <c r="Q84" s="141">
        <v>0</v>
      </c>
      <c r="R84" s="141">
        <v>0</v>
      </c>
      <c r="S84" s="141">
        <v>0</v>
      </c>
      <c r="T84" s="141">
        <v>0</v>
      </c>
      <c r="U84" s="141">
        <v>0</v>
      </c>
      <c r="V84" s="141">
        <v>0</v>
      </c>
      <c r="W84" s="141">
        <v>0</v>
      </c>
      <c r="X84" s="141">
        <v>0</v>
      </c>
      <c r="Y84" s="141">
        <v>0</v>
      </c>
      <c r="Z84" s="141">
        <v>0</v>
      </c>
      <c r="AA84" s="141">
        <v>0</v>
      </c>
      <c r="AB84" s="141">
        <v>0</v>
      </c>
      <c r="AC84" s="141">
        <v>0</v>
      </c>
      <c r="AD84" s="141">
        <v>0</v>
      </c>
      <c r="AE84" s="141">
        <v>0</v>
      </c>
      <c r="AF84" s="141">
        <v>0</v>
      </c>
      <c r="AG84" s="141">
        <v>0</v>
      </c>
      <c r="AH84" s="141">
        <v>0</v>
      </c>
      <c r="AI84" s="141">
        <v>0</v>
      </c>
      <c r="AJ84" s="141">
        <v>0</v>
      </c>
      <c r="AK84" s="141">
        <v>0</v>
      </c>
      <c r="AL84" s="141">
        <v>0</v>
      </c>
      <c r="AM84" s="141">
        <v>0</v>
      </c>
      <c r="AN84" s="141">
        <v>0</v>
      </c>
      <c r="AO84" s="141">
        <v>0</v>
      </c>
      <c r="AP84" s="141">
        <v>0</v>
      </c>
      <c r="AQ84" s="141">
        <v>0</v>
      </c>
      <c r="AR84" s="141">
        <f t="shared" si="6"/>
        <v>0</v>
      </c>
      <c r="AS84" s="169" t="s">
        <v>614</v>
      </c>
    </row>
    <row r="85" spans="1:45">
      <c r="A85" s="144">
        <f t="shared" si="5"/>
        <v>45827</v>
      </c>
      <c r="B85" s="141">
        <f>YEAR(Table7[[#This Row],[Date]])+IF(MONTH(Table7[[#This Row],[Date]])&gt;=4,1,0)</f>
        <v>2026</v>
      </c>
      <c r="C85" s="141">
        <f>YEAR(Table7[[#This Row],[Date]])</f>
        <v>2025</v>
      </c>
      <c r="D85" s="143">
        <f t="shared" si="4"/>
        <v>45809</v>
      </c>
      <c r="E85" s="141">
        <v>0</v>
      </c>
      <c r="F85" s="141">
        <v>0</v>
      </c>
      <c r="G85" s="141">
        <v>0</v>
      </c>
      <c r="H85" s="141">
        <v>0</v>
      </c>
      <c r="I85" s="141">
        <v>0</v>
      </c>
      <c r="J85" s="141">
        <v>0</v>
      </c>
      <c r="K85" s="141">
        <v>0</v>
      </c>
      <c r="L85" s="141">
        <v>0</v>
      </c>
      <c r="M85" s="141">
        <v>0</v>
      </c>
      <c r="N85" s="141">
        <v>0</v>
      </c>
      <c r="O85" s="141">
        <v>0</v>
      </c>
      <c r="P85" s="141">
        <v>0</v>
      </c>
      <c r="Q85" s="141">
        <v>0</v>
      </c>
      <c r="R85" s="141">
        <v>0</v>
      </c>
      <c r="S85" s="141">
        <v>0</v>
      </c>
      <c r="T85" s="141">
        <v>0</v>
      </c>
      <c r="U85" s="141">
        <v>0</v>
      </c>
      <c r="V85" s="141">
        <v>0</v>
      </c>
      <c r="W85" s="141">
        <v>0</v>
      </c>
      <c r="X85" s="141">
        <v>0</v>
      </c>
      <c r="Y85" s="141">
        <v>0</v>
      </c>
      <c r="Z85" s="141">
        <v>0</v>
      </c>
      <c r="AA85" s="141">
        <v>0</v>
      </c>
      <c r="AB85" s="141">
        <v>0</v>
      </c>
      <c r="AC85" s="141">
        <v>0</v>
      </c>
      <c r="AD85" s="141">
        <v>0</v>
      </c>
      <c r="AE85" s="141">
        <v>0</v>
      </c>
      <c r="AF85" s="141">
        <v>0</v>
      </c>
      <c r="AG85" s="141">
        <v>0</v>
      </c>
      <c r="AH85" s="141">
        <v>0</v>
      </c>
      <c r="AI85" s="141">
        <v>0</v>
      </c>
      <c r="AJ85" s="141">
        <v>0</v>
      </c>
      <c r="AK85" s="141">
        <v>0</v>
      </c>
      <c r="AL85" s="141">
        <v>0</v>
      </c>
      <c r="AM85" s="141">
        <v>0</v>
      </c>
      <c r="AN85" s="141">
        <v>0</v>
      </c>
      <c r="AO85" s="141">
        <v>0</v>
      </c>
      <c r="AP85" s="141">
        <v>0</v>
      </c>
      <c r="AQ85" s="141">
        <v>0</v>
      </c>
      <c r="AR85" s="141">
        <f t="shared" si="6"/>
        <v>0</v>
      </c>
      <c r="AS85" s="169" t="s">
        <v>614</v>
      </c>
    </row>
    <row r="86" spans="1:45">
      <c r="A86" s="144">
        <f t="shared" si="5"/>
        <v>45828</v>
      </c>
      <c r="B86" s="141">
        <f>YEAR(Table7[[#This Row],[Date]])+IF(MONTH(Table7[[#This Row],[Date]])&gt;=4,1,0)</f>
        <v>2026</v>
      </c>
      <c r="C86" s="141">
        <f>YEAR(Table7[[#This Row],[Date]])</f>
        <v>2025</v>
      </c>
      <c r="D86" s="143">
        <f t="shared" si="4"/>
        <v>45809</v>
      </c>
      <c r="E86" s="141">
        <v>0</v>
      </c>
      <c r="F86" s="141">
        <v>0</v>
      </c>
      <c r="G86" s="141">
        <v>0</v>
      </c>
      <c r="H86" s="141">
        <v>0</v>
      </c>
      <c r="I86" s="141">
        <v>0</v>
      </c>
      <c r="J86" s="141">
        <v>0</v>
      </c>
      <c r="K86" s="141">
        <v>0</v>
      </c>
      <c r="L86" s="141">
        <v>0</v>
      </c>
      <c r="M86" s="141">
        <v>0</v>
      </c>
      <c r="N86" s="141">
        <v>0</v>
      </c>
      <c r="O86" s="141">
        <v>0</v>
      </c>
      <c r="P86" s="141">
        <v>0</v>
      </c>
      <c r="Q86" s="141">
        <v>0</v>
      </c>
      <c r="R86" s="141">
        <v>0</v>
      </c>
      <c r="S86" s="141">
        <v>0</v>
      </c>
      <c r="T86" s="141">
        <v>0</v>
      </c>
      <c r="U86" s="141">
        <v>0</v>
      </c>
      <c r="V86" s="141">
        <v>0</v>
      </c>
      <c r="W86" s="141">
        <v>0</v>
      </c>
      <c r="X86" s="141">
        <v>0</v>
      </c>
      <c r="Y86" s="141">
        <v>0</v>
      </c>
      <c r="Z86" s="141">
        <v>0</v>
      </c>
      <c r="AA86" s="141">
        <v>0</v>
      </c>
      <c r="AB86" s="141">
        <v>0</v>
      </c>
      <c r="AC86" s="141">
        <v>0</v>
      </c>
      <c r="AD86" s="141">
        <v>0</v>
      </c>
      <c r="AE86" s="141">
        <v>0</v>
      </c>
      <c r="AF86" s="141">
        <v>0</v>
      </c>
      <c r="AG86" s="141">
        <v>0</v>
      </c>
      <c r="AH86" s="141">
        <v>0</v>
      </c>
      <c r="AI86" s="141">
        <v>0</v>
      </c>
      <c r="AJ86" s="141">
        <v>0</v>
      </c>
      <c r="AK86" s="141">
        <v>0</v>
      </c>
      <c r="AL86" s="141">
        <v>0</v>
      </c>
      <c r="AM86" s="141">
        <v>0</v>
      </c>
      <c r="AN86" s="141">
        <v>0</v>
      </c>
      <c r="AO86" s="141">
        <v>0</v>
      </c>
      <c r="AP86" s="141">
        <v>0</v>
      </c>
      <c r="AQ86" s="141">
        <v>0</v>
      </c>
      <c r="AR86" s="141">
        <f t="shared" si="6"/>
        <v>0</v>
      </c>
      <c r="AS86" s="169" t="s">
        <v>614</v>
      </c>
    </row>
    <row r="87" spans="1:45">
      <c r="A87" s="144">
        <f t="shared" si="5"/>
        <v>45829</v>
      </c>
      <c r="B87" s="141">
        <f>YEAR(Table7[[#This Row],[Date]])+IF(MONTH(Table7[[#This Row],[Date]])&gt;=4,1,0)</f>
        <v>2026</v>
      </c>
      <c r="C87" s="141">
        <f>YEAR(Table7[[#This Row],[Date]])</f>
        <v>2025</v>
      </c>
      <c r="D87" s="143">
        <f t="shared" si="4"/>
        <v>45809</v>
      </c>
      <c r="E87" s="141">
        <v>0</v>
      </c>
      <c r="F87" s="141">
        <v>0</v>
      </c>
      <c r="G87" s="141">
        <v>0</v>
      </c>
      <c r="H87" s="141">
        <v>0</v>
      </c>
      <c r="I87" s="141">
        <v>0</v>
      </c>
      <c r="J87" s="141">
        <v>0</v>
      </c>
      <c r="K87" s="141">
        <v>0</v>
      </c>
      <c r="L87" s="141">
        <v>0</v>
      </c>
      <c r="M87" s="141">
        <v>0</v>
      </c>
      <c r="N87" s="141">
        <v>0</v>
      </c>
      <c r="O87" s="141">
        <v>0</v>
      </c>
      <c r="P87" s="141">
        <v>0</v>
      </c>
      <c r="Q87" s="141">
        <v>0</v>
      </c>
      <c r="R87" s="141">
        <v>0</v>
      </c>
      <c r="S87" s="141">
        <v>0</v>
      </c>
      <c r="T87" s="141">
        <v>0</v>
      </c>
      <c r="U87" s="141">
        <v>0</v>
      </c>
      <c r="V87" s="141">
        <v>0</v>
      </c>
      <c r="W87" s="141">
        <v>0</v>
      </c>
      <c r="X87" s="141">
        <v>0</v>
      </c>
      <c r="Y87" s="141">
        <v>0</v>
      </c>
      <c r="Z87" s="141">
        <v>0</v>
      </c>
      <c r="AA87" s="141">
        <v>0</v>
      </c>
      <c r="AB87" s="141">
        <v>0</v>
      </c>
      <c r="AC87" s="141">
        <v>0</v>
      </c>
      <c r="AD87" s="141">
        <v>0</v>
      </c>
      <c r="AE87" s="141">
        <v>0</v>
      </c>
      <c r="AF87" s="141">
        <v>0</v>
      </c>
      <c r="AG87" s="141">
        <v>0</v>
      </c>
      <c r="AH87" s="141">
        <v>0</v>
      </c>
      <c r="AI87" s="141">
        <v>0</v>
      </c>
      <c r="AJ87" s="141">
        <v>0</v>
      </c>
      <c r="AK87" s="141">
        <v>0</v>
      </c>
      <c r="AL87" s="141">
        <v>0</v>
      </c>
      <c r="AM87" s="141">
        <v>0</v>
      </c>
      <c r="AN87" s="141">
        <v>0</v>
      </c>
      <c r="AO87" s="141">
        <v>0</v>
      </c>
      <c r="AP87" s="141">
        <v>0</v>
      </c>
      <c r="AQ87" s="141">
        <v>0</v>
      </c>
      <c r="AR87" s="141">
        <f t="shared" si="6"/>
        <v>0</v>
      </c>
      <c r="AS87" s="169" t="s">
        <v>614</v>
      </c>
    </row>
    <row r="88" spans="1:45">
      <c r="A88" s="144">
        <f t="shared" si="5"/>
        <v>45830</v>
      </c>
      <c r="B88" s="141">
        <f>YEAR(Table7[[#This Row],[Date]])+IF(MONTH(Table7[[#This Row],[Date]])&gt;=4,1,0)</f>
        <v>2026</v>
      </c>
      <c r="C88" s="141">
        <f>YEAR(Table7[[#This Row],[Date]])</f>
        <v>2025</v>
      </c>
      <c r="D88" s="143">
        <f t="shared" si="4"/>
        <v>45809</v>
      </c>
      <c r="E88" s="141">
        <v>0</v>
      </c>
      <c r="F88" s="141">
        <v>0</v>
      </c>
      <c r="G88" s="141">
        <v>0</v>
      </c>
      <c r="H88" s="141">
        <v>0</v>
      </c>
      <c r="I88" s="141">
        <v>0</v>
      </c>
      <c r="J88" s="141">
        <v>0</v>
      </c>
      <c r="K88" s="141">
        <v>0</v>
      </c>
      <c r="L88" s="141">
        <v>0</v>
      </c>
      <c r="M88" s="141">
        <v>0</v>
      </c>
      <c r="N88" s="141">
        <v>0</v>
      </c>
      <c r="O88" s="141">
        <v>0</v>
      </c>
      <c r="P88" s="141">
        <v>0</v>
      </c>
      <c r="Q88" s="141">
        <v>0</v>
      </c>
      <c r="R88" s="141">
        <v>0</v>
      </c>
      <c r="S88" s="141">
        <v>0</v>
      </c>
      <c r="T88" s="141">
        <v>0</v>
      </c>
      <c r="U88" s="141">
        <v>0</v>
      </c>
      <c r="V88" s="141">
        <v>0</v>
      </c>
      <c r="W88" s="141">
        <v>0</v>
      </c>
      <c r="X88" s="141">
        <v>0</v>
      </c>
      <c r="Y88" s="141">
        <v>0</v>
      </c>
      <c r="Z88" s="141">
        <v>0</v>
      </c>
      <c r="AA88" s="141">
        <v>0</v>
      </c>
      <c r="AB88" s="141">
        <v>0</v>
      </c>
      <c r="AC88" s="141">
        <v>0</v>
      </c>
      <c r="AD88" s="141">
        <v>0</v>
      </c>
      <c r="AE88" s="141">
        <v>0</v>
      </c>
      <c r="AF88" s="141">
        <v>0</v>
      </c>
      <c r="AG88" s="141">
        <v>0</v>
      </c>
      <c r="AH88" s="141">
        <v>0</v>
      </c>
      <c r="AI88" s="141">
        <v>0</v>
      </c>
      <c r="AJ88" s="141">
        <v>0</v>
      </c>
      <c r="AK88" s="141">
        <v>0</v>
      </c>
      <c r="AL88" s="141">
        <v>0</v>
      </c>
      <c r="AM88" s="141">
        <v>0</v>
      </c>
      <c r="AN88" s="141">
        <v>0</v>
      </c>
      <c r="AO88" s="141">
        <v>0</v>
      </c>
      <c r="AP88" s="141">
        <v>0</v>
      </c>
      <c r="AQ88" s="141">
        <v>0</v>
      </c>
      <c r="AR88" s="141">
        <f t="shared" si="6"/>
        <v>0</v>
      </c>
      <c r="AS88" s="169" t="s">
        <v>614</v>
      </c>
    </row>
    <row r="89" spans="1:45">
      <c r="A89" s="144">
        <f t="shared" si="5"/>
        <v>45831</v>
      </c>
      <c r="B89" s="141">
        <f>YEAR(Table7[[#This Row],[Date]])+IF(MONTH(Table7[[#This Row],[Date]])&gt;=4,1,0)</f>
        <v>2026</v>
      </c>
      <c r="C89" s="141">
        <f>YEAR(Table7[[#This Row],[Date]])</f>
        <v>2025</v>
      </c>
      <c r="D89" s="143">
        <f t="shared" si="4"/>
        <v>45809</v>
      </c>
      <c r="E89" s="141">
        <v>0</v>
      </c>
      <c r="F89" s="141">
        <v>0</v>
      </c>
      <c r="G89" s="141">
        <v>0</v>
      </c>
      <c r="H89" s="141">
        <v>0</v>
      </c>
      <c r="I89" s="141">
        <v>0</v>
      </c>
      <c r="J89" s="141">
        <v>0</v>
      </c>
      <c r="K89" s="141">
        <v>0</v>
      </c>
      <c r="L89" s="141">
        <v>0</v>
      </c>
      <c r="M89" s="141">
        <v>0</v>
      </c>
      <c r="N89" s="141">
        <v>0</v>
      </c>
      <c r="O89" s="141">
        <v>0</v>
      </c>
      <c r="P89" s="141">
        <v>0</v>
      </c>
      <c r="Q89" s="141">
        <v>0</v>
      </c>
      <c r="R89" s="141">
        <v>0</v>
      </c>
      <c r="S89" s="141">
        <v>0</v>
      </c>
      <c r="T89" s="141">
        <v>0</v>
      </c>
      <c r="U89" s="141">
        <v>0</v>
      </c>
      <c r="V89" s="141">
        <v>0</v>
      </c>
      <c r="W89" s="141">
        <v>0</v>
      </c>
      <c r="X89" s="141">
        <v>0</v>
      </c>
      <c r="Y89" s="141">
        <v>0</v>
      </c>
      <c r="Z89" s="141">
        <v>0</v>
      </c>
      <c r="AA89" s="141">
        <v>0</v>
      </c>
      <c r="AB89" s="141">
        <v>0</v>
      </c>
      <c r="AC89" s="141">
        <v>0</v>
      </c>
      <c r="AD89" s="141">
        <v>0</v>
      </c>
      <c r="AE89" s="141">
        <v>0</v>
      </c>
      <c r="AF89" s="141">
        <v>0</v>
      </c>
      <c r="AG89" s="141">
        <v>0</v>
      </c>
      <c r="AH89" s="141">
        <v>0</v>
      </c>
      <c r="AI89" s="141">
        <v>0</v>
      </c>
      <c r="AJ89" s="141">
        <v>0</v>
      </c>
      <c r="AK89" s="141">
        <v>0</v>
      </c>
      <c r="AL89" s="141">
        <v>0</v>
      </c>
      <c r="AM89" s="141">
        <v>0</v>
      </c>
      <c r="AN89" s="141">
        <v>0</v>
      </c>
      <c r="AO89" s="141">
        <v>0</v>
      </c>
      <c r="AP89" s="141">
        <v>0</v>
      </c>
      <c r="AQ89" s="141">
        <v>0</v>
      </c>
      <c r="AR89" s="141">
        <f t="shared" si="6"/>
        <v>0</v>
      </c>
      <c r="AS89" s="169" t="s">
        <v>614</v>
      </c>
    </row>
    <row r="90" spans="1:45">
      <c r="A90" s="144">
        <f t="shared" si="5"/>
        <v>45832</v>
      </c>
      <c r="B90" s="141">
        <f>YEAR(Table7[[#This Row],[Date]])+IF(MONTH(Table7[[#This Row],[Date]])&gt;=4,1,0)</f>
        <v>2026</v>
      </c>
      <c r="C90" s="141">
        <f>YEAR(Table7[[#This Row],[Date]])</f>
        <v>2025</v>
      </c>
      <c r="D90" s="143">
        <f t="shared" si="4"/>
        <v>45809</v>
      </c>
      <c r="E90" s="141">
        <v>0</v>
      </c>
      <c r="F90" s="141">
        <v>0</v>
      </c>
      <c r="G90" s="141">
        <v>0</v>
      </c>
      <c r="H90" s="141">
        <v>0</v>
      </c>
      <c r="I90" s="141">
        <v>0</v>
      </c>
      <c r="J90" s="141">
        <v>0</v>
      </c>
      <c r="K90" s="141">
        <v>0</v>
      </c>
      <c r="L90" s="141">
        <v>0</v>
      </c>
      <c r="M90" s="141">
        <v>0</v>
      </c>
      <c r="N90" s="141">
        <v>0</v>
      </c>
      <c r="O90" s="141">
        <v>0</v>
      </c>
      <c r="P90" s="141">
        <v>0</v>
      </c>
      <c r="Q90" s="141">
        <v>0</v>
      </c>
      <c r="R90" s="141">
        <v>0</v>
      </c>
      <c r="S90" s="141">
        <v>0</v>
      </c>
      <c r="T90" s="141">
        <v>0</v>
      </c>
      <c r="U90" s="141">
        <v>0</v>
      </c>
      <c r="V90" s="141">
        <v>0</v>
      </c>
      <c r="W90" s="141">
        <v>0</v>
      </c>
      <c r="X90" s="141">
        <v>0</v>
      </c>
      <c r="Y90" s="141">
        <v>0</v>
      </c>
      <c r="Z90" s="141">
        <v>0</v>
      </c>
      <c r="AA90" s="141">
        <v>0</v>
      </c>
      <c r="AB90" s="141">
        <v>0</v>
      </c>
      <c r="AC90" s="141">
        <v>0</v>
      </c>
      <c r="AD90" s="141">
        <v>0</v>
      </c>
      <c r="AE90" s="141">
        <v>0</v>
      </c>
      <c r="AF90" s="141">
        <v>0</v>
      </c>
      <c r="AG90" s="141">
        <v>0</v>
      </c>
      <c r="AH90" s="141">
        <v>0</v>
      </c>
      <c r="AI90" s="141">
        <v>0</v>
      </c>
      <c r="AJ90" s="141">
        <v>0</v>
      </c>
      <c r="AK90" s="141">
        <v>0</v>
      </c>
      <c r="AL90" s="141">
        <v>0</v>
      </c>
      <c r="AM90" s="141">
        <v>0</v>
      </c>
      <c r="AN90" s="141">
        <v>0</v>
      </c>
      <c r="AO90" s="141">
        <v>0</v>
      </c>
      <c r="AP90" s="141">
        <v>0</v>
      </c>
      <c r="AQ90" s="141">
        <v>0</v>
      </c>
      <c r="AR90" s="141">
        <f t="shared" si="6"/>
        <v>0</v>
      </c>
      <c r="AS90" s="169" t="s">
        <v>614</v>
      </c>
    </row>
    <row r="91" spans="1:45">
      <c r="A91" s="144">
        <f t="shared" si="5"/>
        <v>45833</v>
      </c>
      <c r="B91" s="141">
        <f>YEAR(Table7[[#This Row],[Date]])+IF(MONTH(Table7[[#This Row],[Date]])&gt;=4,1,0)</f>
        <v>2026</v>
      </c>
      <c r="C91" s="141">
        <f>YEAR(Table7[[#This Row],[Date]])</f>
        <v>2025</v>
      </c>
      <c r="D91" s="143">
        <f t="shared" si="4"/>
        <v>45809</v>
      </c>
      <c r="E91" s="141">
        <v>0</v>
      </c>
      <c r="F91" s="141">
        <v>0</v>
      </c>
      <c r="G91" s="141">
        <v>0</v>
      </c>
      <c r="H91" s="141">
        <v>0</v>
      </c>
      <c r="I91" s="141">
        <v>0</v>
      </c>
      <c r="J91" s="141">
        <v>0</v>
      </c>
      <c r="K91" s="141">
        <v>0</v>
      </c>
      <c r="L91" s="141">
        <v>0</v>
      </c>
      <c r="M91" s="141">
        <v>0</v>
      </c>
      <c r="N91" s="141">
        <v>0</v>
      </c>
      <c r="O91" s="141">
        <v>0</v>
      </c>
      <c r="P91" s="141">
        <v>0</v>
      </c>
      <c r="Q91" s="141">
        <v>0</v>
      </c>
      <c r="R91" s="141">
        <v>0</v>
      </c>
      <c r="S91" s="141">
        <v>0</v>
      </c>
      <c r="T91" s="141">
        <v>0</v>
      </c>
      <c r="U91" s="141">
        <v>0</v>
      </c>
      <c r="V91" s="141">
        <v>0</v>
      </c>
      <c r="W91" s="141">
        <v>0</v>
      </c>
      <c r="X91" s="141">
        <v>0</v>
      </c>
      <c r="Y91" s="141">
        <v>0</v>
      </c>
      <c r="Z91" s="141">
        <v>0</v>
      </c>
      <c r="AA91" s="141">
        <v>0</v>
      </c>
      <c r="AB91" s="141">
        <v>0</v>
      </c>
      <c r="AC91" s="141">
        <v>0</v>
      </c>
      <c r="AD91" s="141">
        <v>0</v>
      </c>
      <c r="AE91" s="141">
        <v>0</v>
      </c>
      <c r="AF91" s="141">
        <v>0</v>
      </c>
      <c r="AG91" s="141">
        <v>0</v>
      </c>
      <c r="AH91" s="141">
        <v>0</v>
      </c>
      <c r="AI91" s="141">
        <v>0</v>
      </c>
      <c r="AJ91" s="141">
        <v>0</v>
      </c>
      <c r="AK91" s="141">
        <v>0</v>
      </c>
      <c r="AL91" s="141">
        <v>0</v>
      </c>
      <c r="AM91" s="141">
        <v>0</v>
      </c>
      <c r="AN91" s="141">
        <v>0</v>
      </c>
      <c r="AO91" s="141">
        <v>0</v>
      </c>
      <c r="AP91" s="141">
        <v>0</v>
      </c>
      <c r="AQ91" s="141">
        <v>0</v>
      </c>
      <c r="AR91" s="141">
        <f t="shared" si="6"/>
        <v>0</v>
      </c>
      <c r="AS91" s="169" t="s">
        <v>614</v>
      </c>
    </row>
    <row r="92" spans="1:45">
      <c r="A92" s="144">
        <f t="shared" si="5"/>
        <v>45834</v>
      </c>
      <c r="B92" s="141">
        <f>YEAR(Table7[[#This Row],[Date]])+IF(MONTH(Table7[[#This Row],[Date]])&gt;=4,1,0)</f>
        <v>2026</v>
      </c>
      <c r="C92" s="141">
        <f>YEAR(Table7[[#This Row],[Date]])</f>
        <v>2025</v>
      </c>
      <c r="D92" s="143">
        <f t="shared" si="4"/>
        <v>45809</v>
      </c>
      <c r="E92" s="141">
        <v>0</v>
      </c>
      <c r="F92" s="141">
        <v>0</v>
      </c>
      <c r="G92" s="141">
        <v>0</v>
      </c>
      <c r="H92" s="141">
        <v>0</v>
      </c>
      <c r="I92" s="141">
        <v>0</v>
      </c>
      <c r="J92" s="141">
        <v>0</v>
      </c>
      <c r="K92" s="141">
        <v>0</v>
      </c>
      <c r="L92" s="141">
        <v>0</v>
      </c>
      <c r="M92" s="141">
        <v>0</v>
      </c>
      <c r="N92" s="141">
        <v>0</v>
      </c>
      <c r="O92" s="141">
        <v>0</v>
      </c>
      <c r="P92" s="141">
        <v>0</v>
      </c>
      <c r="Q92" s="141">
        <v>0</v>
      </c>
      <c r="R92" s="141">
        <v>0</v>
      </c>
      <c r="S92" s="141">
        <v>0</v>
      </c>
      <c r="T92" s="141">
        <v>0</v>
      </c>
      <c r="U92" s="141">
        <v>0</v>
      </c>
      <c r="V92" s="141">
        <v>0</v>
      </c>
      <c r="W92" s="141">
        <v>0</v>
      </c>
      <c r="X92" s="141">
        <v>0</v>
      </c>
      <c r="Y92" s="141">
        <v>0</v>
      </c>
      <c r="Z92" s="141">
        <v>0</v>
      </c>
      <c r="AA92" s="141">
        <v>0</v>
      </c>
      <c r="AB92" s="141">
        <v>0</v>
      </c>
      <c r="AC92" s="141">
        <v>0</v>
      </c>
      <c r="AD92" s="141">
        <v>0</v>
      </c>
      <c r="AE92" s="141">
        <v>0</v>
      </c>
      <c r="AF92" s="141">
        <v>0</v>
      </c>
      <c r="AG92" s="141">
        <v>0</v>
      </c>
      <c r="AH92" s="141">
        <v>0</v>
      </c>
      <c r="AI92" s="141">
        <v>0</v>
      </c>
      <c r="AJ92" s="141">
        <v>0</v>
      </c>
      <c r="AK92" s="141">
        <v>0</v>
      </c>
      <c r="AL92" s="141">
        <v>0</v>
      </c>
      <c r="AM92" s="141">
        <v>0</v>
      </c>
      <c r="AN92" s="141">
        <v>0</v>
      </c>
      <c r="AO92" s="141">
        <v>0</v>
      </c>
      <c r="AP92" s="141">
        <v>0</v>
      </c>
      <c r="AQ92" s="141">
        <v>0</v>
      </c>
      <c r="AR92" s="141">
        <f t="shared" si="6"/>
        <v>0</v>
      </c>
      <c r="AS92" s="169" t="s">
        <v>614</v>
      </c>
    </row>
    <row r="93" spans="1:45">
      <c r="A93" s="144">
        <f t="shared" si="5"/>
        <v>45835</v>
      </c>
      <c r="B93" s="141">
        <f>YEAR(Table7[[#This Row],[Date]])+IF(MONTH(Table7[[#This Row],[Date]])&gt;=4,1,0)</f>
        <v>2026</v>
      </c>
      <c r="C93" s="141">
        <f>YEAR(Table7[[#This Row],[Date]])</f>
        <v>2025</v>
      </c>
      <c r="D93" s="143">
        <f t="shared" si="4"/>
        <v>45809</v>
      </c>
      <c r="E93" s="141">
        <v>0</v>
      </c>
      <c r="F93" s="141">
        <v>0</v>
      </c>
      <c r="G93" s="141">
        <v>0</v>
      </c>
      <c r="H93" s="141">
        <v>0</v>
      </c>
      <c r="I93" s="141">
        <v>0</v>
      </c>
      <c r="J93" s="141">
        <v>0</v>
      </c>
      <c r="K93" s="141">
        <v>0</v>
      </c>
      <c r="L93" s="141">
        <v>0</v>
      </c>
      <c r="M93" s="141">
        <v>0</v>
      </c>
      <c r="N93" s="141">
        <v>0</v>
      </c>
      <c r="O93" s="141">
        <v>0</v>
      </c>
      <c r="P93" s="141">
        <v>0</v>
      </c>
      <c r="Q93" s="141">
        <v>0</v>
      </c>
      <c r="R93" s="141">
        <v>0</v>
      </c>
      <c r="S93" s="141">
        <v>0</v>
      </c>
      <c r="T93" s="141">
        <v>0</v>
      </c>
      <c r="U93" s="141">
        <v>0</v>
      </c>
      <c r="V93" s="141">
        <v>0</v>
      </c>
      <c r="W93" s="141">
        <v>0</v>
      </c>
      <c r="X93" s="141">
        <v>0</v>
      </c>
      <c r="Y93" s="141">
        <v>0</v>
      </c>
      <c r="Z93" s="141">
        <v>0</v>
      </c>
      <c r="AA93" s="141">
        <v>0</v>
      </c>
      <c r="AB93" s="141">
        <v>0</v>
      </c>
      <c r="AC93" s="141">
        <v>0</v>
      </c>
      <c r="AD93" s="141">
        <v>0</v>
      </c>
      <c r="AE93" s="141">
        <v>0</v>
      </c>
      <c r="AF93" s="141">
        <v>0</v>
      </c>
      <c r="AG93" s="141">
        <v>0</v>
      </c>
      <c r="AH93" s="141">
        <v>0</v>
      </c>
      <c r="AI93" s="141">
        <v>0</v>
      </c>
      <c r="AJ93" s="141">
        <v>0</v>
      </c>
      <c r="AK93" s="141">
        <v>0</v>
      </c>
      <c r="AL93" s="141">
        <v>0</v>
      </c>
      <c r="AM93" s="141">
        <v>0</v>
      </c>
      <c r="AN93" s="141">
        <v>0</v>
      </c>
      <c r="AO93" s="141">
        <v>0</v>
      </c>
      <c r="AP93" s="141">
        <v>0</v>
      </c>
      <c r="AQ93" s="141">
        <v>0</v>
      </c>
      <c r="AR93" s="141">
        <f t="shared" si="6"/>
        <v>0</v>
      </c>
      <c r="AS93" s="169" t="s">
        <v>614</v>
      </c>
    </row>
    <row r="94" spans="1:45">
      <c r="A94" s="144">
        <f t="shared" si="5"/>
        <v>45836</v>
      </c>
      <c r="B94" s="141">
        <f>YEAR(Table7[[#This Row],[Date]])+IF(MONTH(Table7[[#This Row],[Date]])&gt;=4,1,0)</f>
        <v>2026</v>
      </c>
      <c r="C94" s="141">
        <f>YEAR(Table7[[#This Row],[Date]])</f>
        <v>2025</v>
      </c>
      <c r="D94" s="143">
        <f t="shared" si="4"/>
        <v>45809</v>
      </c>
      <c r="E94" s="146">
        <v>64.864864859999997</v>
      </c>
      <c r="F94" s="146">
        <v>64.864864859999997</v>
      </c>
      <c r="G94" s="146">
        <v>64.864864859999997</v>
      </c>
      <c r="H94" s="146">
        <v>64.864864859999997</v>
      </c>
      <c r="I94" s="146">
        <v>64.864864859999997</v>
      </c>
      <c r="J94" s="146">
        <v>64.864864859999997</v>
      </c>
      <c r="K94" s="146">
        <v>64.864864859999997</v>
      </c>
      <c r="L94" s="146">
        <v>64.864864859999997</v>
      </c>
      <c r="M94" s="146">
        <v>64.864864859999997</v>
      </c>
      <c r="N94" s="146">
        <v>64.864864859999997</v>
      </c>
      <c r="O94" s="146">
        <v>64.864864859999997</v>
      </c>
      <c r="P94" s="146">
        <v>64.864864859999997</v>
      </c>
      <c r="Q94" s="146">
        <v>64.864864859999997</v>
      </c>
      <c r="R94" s="146">
        <v>64.864864859999997</v>
      </c>
      <c r="S94" s="146">
        <v>64.864864859999997</v>
      </c>
      <c r="T94" s="146">
        <v>64.864864859999997</v>
      </c>
      <c r="U94" s="146">
        <v>0</v>
      </c>
      <c r="V94" s="146">
        <v>64.864864859999997</v>
      </c>
      <c r="W94" s="146">
        <v>64.864864859999997</v>
      </c>
      <c r="X94" s="146">
        <v>64.864864859999997</v>
      </c>
      <c r="Y94" s="146">
        <v>64.864864859999997</v>
      </c>
      <c r="Z94" s="146">
        <v>64.864864859999997</v>
      </c>
      <c r="AA94" s="146">
        <v>64.864864859999997</v>
      </c>
      <c r="AB94" s="146">
        <v>64.864864859999997</v>
      </c>
      <c r="AC94" s="146">
        <v>64.864864859999997</v>
      </c>
      <c r="AD94" s="146">
        <v>64.864864859999997</v>
      </c>
      <c r="AE94" s="146">
        <v>64.864864859999997</v>
      </c>
      <c r="AF94" s="146">
        <v>0</v>
      </c>
      <c r="AG94" s="146">
        <v>64.864864859999997</v>
      </c>
      <c r="AH94" s="146">
        <v>0</v>
      </c>
      <c r="AI94" s="146">
        <v>64.864864859999997</v>
      </c>
      <c r="AJ94" s="146">
        <v>64.864864859999997</v>
      </c>
      <c r="AK94" s="146">
        <v>64.864864859999997</v>
      </c>
      <c r="AL94" s="146">
        <v>64.864864859999997</v>
      </c>
      <c r="AM94" s="146">
        <v>64.864864859999997</v>
      </c>
      <c r="AN94" s="146">
        <v>64.864864859999997</v>
      </c>
      <c r="AO94" s="146">
        <v>64.864864859999997</v>
      </c>
      <c r="AP94" s="146">
        <v>64.864864859999997</v>
      </c>
      <c r="AQ94" s="146">
        <v>64.864864859999997</v>
      </c>
      <c r="AR94" s="146">
        <f t="shared" si="6"/>
        <v>2335.135134959999</v>
      </c>
      <c r="AS94" s="169" t="s">
        <v>614</v>
      </c>
    </row>
    <row r="95" spans="1:45">
      <c r="A95" s="144">
        <f t="shared" si="5"/>
        <v>45837</v>
      </c>
      <c r="B95" s="141">
        <f>YEAR(Table7[[#This Row],[Date]])+IF(MONTH(Table7[[#This Row],[Date]])&gt;=4,1,0)</f>
        <v>2026</v>
      </c>
      <c r="C95" s="141">
        <f>YEAR(Table7[[#This Row],[Date]])</f>
        <v>2025</v>
      </c>
      <c r="D95" s="143">
        <f t="shared" si="4"/>
        <v>45809</v>
      </c>
      <c r="E95" s="141">
        <v>0</v>
      </c>
      <c r="F95" s="141">
        <v>0</v>
      </c>
      <c r="G95" s="141">
        <v>0</v>
      </c>
      <c r="H95" s="141">
        <v>0</v>
      </c>
      <c r="I95" s="141">
        <v>0</v>
      </c>
      <c r="J95" s="141">
        <v>0</v>
      </c>
      <c r="K95" s="141">
        <v>0</v>
      </c>
      <c r="L95" s="141">
        <v>0</v>
      </c>
      <c r="M95" s="141">
        <v>0</v>
      </c>
      <c r="N95" s="141">
        <v>0</v>
      </c>
      <c r="O95" s="141">
        <v>0</v>
      </c>
      <c r="P95" s="141">
        <v>0</v>
      </c>
      <c r="Q95" s="141">
        <v>0</v>
      </c>
      <c r="R95" s="141">
        <v>0</v>
      </c>
      <c r="S95" s="141">
        <v>0</v>
      </c>
      <c r="T95" s="141">
        <v>0</v>
      </c>
      <c r="U95" s="141">
        <v>0</v>
      </c>
      <c r="V95" s="141">
        <v>0</v>
      </c>
      <c r="W95" s="141">
        <v>0</v>
      </c>
      <c r="X95" s="141">
        <v>0</v>
      </c>
      <c r="Y95" s="141">
        <v>0</v>
      </c>
      <c r="Z95" s="141">
        <v>0</v>
      </c>
      <c r="AA95" s="141">
        <v>0</v>
      </c>
      <c r="AB95" s="141">
        <v>0</v>
      </c>
      <c r="AC95" s="141">
        <v>0</v>
      </c>
      <c r="AD95" s="141">
        <v>0</v>
      </c>
      <c r="AE95" s="141">
        <v>0</v>
      </c>
      <c r="AF95" s="141">
        <v>0</v>
      </c>
      <c r="AG95" s="141">
        <v>0</v>
      </c>
      <c r="AH95" s="141">
        <v>0</v>
      </c>
      <c r="AI95" s="141">
        <v>0</v>
      </c>
      <c r="AJ95" s="141">
        <v>0</v>
      </c>
      <c r="AK95" s="141">
        <v>0</v>
      </c>
      <c r="AL95" s="141">
        <v>0</v>
      </c>
      <c r="AM95" s="141">
        <v>0</v>
      </c>
      <c r="AN95" s="141">
        <v>0</v>
      </c>
      <c r="AO95" s="141">
        <v>0</v>
      </c>
      <c r="AP95" s="141">
        <v>0</v>
      </c>
      <c r="AQ95" s="141">
        <v>0</v>
      </c>
      <c r="AR95" s="141">
        <f t="shared" si="6"/>
        <v>0</v>
      </c>
      <c r="AS95" s="169" t="s">
        <v>614</v>
      </c>
    </row>
    <row r="96" spans="1:45">
      <c r="A96" s="144">
        <f t="shared" si="5"/>
        <v>45838</v>
      </c>
      <c r="B96" s="141">
        <f>YEAR(Table7[[#This Row],[Date]])+IF(MONTH(Table7[[#This Row],[Date]])&gt;=4,1,0)</f>
        <v>2026</v>
      </c>
      <c r="C96" s="141">
        <f>YEAR(Table7[[#This Row],[Date]])</f>
        <v>2025</v>
      </c>
      <c r="D96" s="143">
        <f t="shared" si="4"/>
        <v>45809</v>
      </c>
      <c r="E96" s="141">
        <v>0</v>
      </c>
      <c r="F96" s="141">
        <v>0</v>
      </c>
      <c r="G96" s="141">
        <v>0</v>
      </c>
      <c r="H96" s="141">
        <v>0</v>
      </c>
      <c r="I96" s="141">
        <v>0</v>
      </c>
      <c r="J96" s="141">
        <v>0</v>
      </c>
      <c r="K96" s="141">
        <v>0</v>
      </c>
      <c r="L96" s="141">
        <v>0</v>
      </c>
      <c r="M96" s="141">
        <v>0</v>
      </c>
      <c r="N96" s="141">
        <v>0</v>
      </c>
      <c r="O96" s="141">
        <v>0</v>
      </c>
      <c r="P96" s="141">
        <v>0</v>
      </c>
      <c r="Q96" s="141">
        <v>0</v>
      </c>
      <c r="R96" s="141">
        <v>0</v>
      </c>
      <c r="S96" s="141">
        <v>0</v>
      </c>
      <c r="T96" s="141">
        <v>0</v>
      </c>
      <c r="U96" s="141">
        <v>0</v>
      </c>
      <c r="V96" s="141">
        <v>0</v>
      </c>
      <c r="W96" s="141">
        <v>0</v>
      </c>
      <c r="X96" s="141">
        <v>0</v>
      </c>
      <c r="Y96" s="141">
        <v>0</v>
      </c>
      <c r="Z96" s="141">
        <v>0</v>
      </c>
      <c r="AA96" s="141">
        <v>0</v>
      </c>
      <c r="AB96" s="141">
        <v>0</v>
      </c>
      <c r="AC96" s="141">
        <v>0</v>
      </c>
      <c r="AD96" s="141">
        <v>0</v>
      </c>
      <c r="AE96" s="141">
        <v>0</v>
      </c>
      <c r="AF96" s="141">
        <v>0</v>
      </c>
      <c r="AG96" s="141">
        <v>0</v>
      </c>
      <c r="AH96" s="141">
        <v>0</v>
      </c>
      <c r="AI96" s="141">
        <v>0</v>
      </c>
      <c r="AJ96" s="141">
        <v>0</v>
      </c>
      <c r="AK96" s="141">
        <v>0</v>
      </c>
      <c r="AL96" s="141">
        <v>0</v>
      </c>
      <c r="AM96" s="141">
        <v>0</v>
      </c>
      <c r="AN96" s="141">
        <v>0</v>
      </c>
      <c r="AO96" s="141">
        <v>0</v>
      </c>
      <c r="AP96" s="141">
        <v>0</v>
      </c>
      <c r="AQ96" s="141">
        <v>0</v>
      </c>
      <c r="AR96" s="141">
        <f t="shared" si="6"/>
        <v>0</v>
      </c>
      <c r="AS96" s="169" t="s">
        <v>614</v>
      </c>
    </row>
    <row r="97" spans="1:45">
      <c r="A97" s="144">
        <f t="shared" si="5"/>
        <v>45839</v>
      </c>
      <c r="B97" s="141">
        <f>YEAR(Table7[[#This Row],[Date]])+IF(MONTH(Table7[[#This Row],[Date]])&gt;=4,1,0)</f>
        <v>2026</v>
      </c>
      <c r="C97" s="141">
        <f>YEAR(Table7[[#This Row],[Date]])</f>
        <v>2025</v>
      </c>
      <c r="D97" s="143">
        <f t="shared" si="4"/>
        <v>45839</v>
      </c>
      <c r="E97" s="141">
        <v>0</v>
      </c>
      <c r="F97" s="141">
        <v>0</v>
      </c>
      <c r="G97" s="141">
        <v>0</v>
      </c>
      <c r="H97" s="141">
        <v>0</v>
      </c>
      <c r="I97" s="141">
        <v>0</v>
      </c>
      <c r="J97" s="141">
        <v>0</v>
      </c>
      <c r="K97" s="141">
        <v>0</v>
      </c>
      <c r="L97" s="141">
        <v>0</v>
      </c>
      <c r="M97" s="141">
        <v>0</v>
      </c>
      <c r="N97" s="141">
        <v>0</v>
      </c>
      <c r="O97" s="141">
        <v>0</v>
      </c>
      <c r="P97" s="141">
        <v>0</v>
      </c>
      <c r="Q97" s="141">
        <v>0</v>
      </c>
      <c r="R97" s="141">
        <v>0</v>
      </c>
      <c r="S97" s="141">
        <v>0</v>
      </c>
      <c r="T97" s="141">
        <v>0</v>
      </c>
      <c r="U97" s="141">
        <v>0</v>
      </c>
      <c r="V97" s="141">
        <v>0</v>
      </c>
      <c r="W97" s="141">
        <v>0</v>
      </c>
      <c r="X97" s="141">
        <v>0</v>
      </c>
      <c r="Y97" s="141">
        <v>0</v>
      </c>
      <c r="Z97" s="141">
        <v>0</v>
      </c>
      <c r="AA97" s="141">
        <v>0</v>
      </c>
      <c r="AB97" s="141">
        <v>0</v>
      </c>
      <c r="AC97" s="141">
        <v>0</v>
      </c>
      <c r="AD97" s="141">
        <v>0</v>
      </c>
      <c r="AE97" s="141">
        <v>0</v>
      </c>
      <c r="AF97" s="141">
        <v>0</v>
      </c>
      <c r="AG97" s="141">
        <v>0</v>
      </c>
      <c r="AH97" s="141">
        <v>0</v>
      </c>
      <c r="AI97" s="141">
        <v>0</v>
      </c>
      <c r="AJ97" s="141">
        <v>0</v>
      </c>
      <c r="AK97" s="141">
        <v>0</v>
      </c>
      <c r="AL97" s="141">
        <v>0</v>
      </c>
      <c r="AM97" s="141">
        <v>0</v>
      </c>
      <c r="AN97" s="141">
        <v>0</v>
      </c>
      <c r="AO97" s="141">
        <v>0</v>
      </c>
      <c r="AP97" s="141">
        <v>0</v>
      </c>
      <c r="AQ97" s="141">
        <v>0</v>
      </c>
      <c r="AR97" s="141">
        <f t="shared" si="6"/>
        <v>0</v>
      </c>
      <c r="AS97" s="169" t="s">
        <v>614</v>
      </c>
    </row>
    <row r="98" spans="1:45">
      <c r="A98" s="144">
        <f t="shared" si="5"/>
        <v>45840</v>
      </c>
      <c r="B98" s="141">
        <f>YEAR(Table7[[#This Row],[Date]])+IF(MONTH(Table7[[#This Row],[Date]])&gt;=4,1,0)</f>
        <v>2026</v>
      </c>
      <c r="C98" s="141">
        <f>YEAR(Table7[[#This Row],[Date]])</f>
        <v>2025</v>
      </c>
      <c r="D98" s="143">
        <f t="shared" si="4"/>
        <v>45839</v>
      </c>
      <c r="E98" s="141">
        <v>0</v>
      </c>
      <c r="F98" s="141">
        <v>0</v>
      </c>
      <c r="G98" s="141">
        <v>0</v>
      </c>
      <c r="H98" s="141">
        <v>0</v>
      </c>
      <c r="I98" s="141">
        <v>0</v>
      </c>
      <c r="J98" s="141">
        <v>0</v>
      </c>
      <c r="K98" s="141">
        <v>0</v>
      </c>
      <c r="L98" s="141">
        <v>0</v>
      </c>
      <c r="M98" s="141">
        <v>0</v>
      </c>
      <c r="N98" s="141">
        <v>0</v>
      </c>
      <c r="O98" s="141">
        <v>0</v>
      </c>
      <c r="P98" s="141">
        <v>0</v>
      </c>
      <c r="Q98" s="141">
        <v>0</v>
      </c>
      <c r="R98" s="141">
        <v>0</v>
      </c>
      <c r="S98" s="141">
        <v>0</v>
      </c>
      <c r="T98" s="141">
        <v>0</v>
      </c>
      <c r="U98" s="141">
        <v>0</v>
      </c>
      <c r="V98" s="141">
        <v>0</v>
      </c>
      <c r="W98" s="141">
        <v>0</v>
      </c>
      <c r="X98" s="141">
        <v>0</v>
      </c>
      <c r="Y98" s="141">
        <v>0</v>
      </c>
      <c r="Z98" s="141">
        <v>0</v>
      </c>
      <c r="AA98" s="141">
        <v>0</v>
      </c>
      <c r="AB98" s="141">
        <v>0</v>
      </c>
      <c r="AC98" s="141">
        <v>0</v>
      </c>
      <c r="AD98" s="141">
        <v>0</v>
      </c>
      <c r="AE98" s="141">
        <v>0</v>
      </c>
      <c r="AF98" s="141">
        <v>0</v>
      </c>
      <c r="AG98" s="141">
        <v>0</v>
      </c>
      <c r="AH98" s="141">
        <v>0</v>
      </c>
      <c r="AI98" s="141">
        <v>0</v>
      </c>
      <c r="AJ98" s="141">
        <v>0</v>
      </c>
      <c r="AK98" s="141">
        <v>0</v>
      </c>
      <c r="AL98" s="141">
        <v>0</v>
      </c>
      <c r="AM98" s="141">
        <v>0</v>
      </c>
      <c r="AN98" s="141">
        <v>0</v>
      </c>
      <c r="AO98" s="141">
        <v>0</v>
      </c>
      <c r="AP98" s="141">
        <v>0</v>
      </c>
      <c r="AQ98" s="141">
        <v>0</v>
      </c>
      <c r="AR98" s="141">
        <f t="shared" si="6"/>
        <v>0</v>
      </c>
      <c r="AS98" s="169" t="s">
        <v>614</v>
      </c>
    </row>
    <row r="99" spans="1:45">
      <c r="A99" s="144">
        <f t="shared" si="5"/>
        <v>45841</v>
      </c>
      <c r="B99" s="141">
        <f>YEAR(Table7[[#This Row],[Date]])+IF(MONTH(Table7[[#This Row],[Date]])&gt;=4,1,0)</f>
        <v>2026</v>
      </c>
      <c r="C99" s="141">
        <f>YEAR(Table7[[#This Row],[Date]])</f>
        <v>2025</v>
      </c>
      <c r="D99" s="143">
        <f t="shared" si="4"/>
        <v>45839</v>
      </c>
      <c r="E99" s="141">
        <v>0</v>
      </c>
      <c r="F99" s="141">
        <v>0</v>
      </c>
      <c r="G99" s="141">
        <v>0</v>
      </c>
      <c r="H99" s="141">
        <v>0</v>
      </c>
      <c r="I99" s="141">
        <v>0</v>
      </c>
      <c r="J99" s="141">
        <v>0</v>
      </c>
      <c r="K99" s="141">
        <v>0</v>
      </c>
      <c r="L99" s="141">
        <v>0</v>
      </c>
      <c r="M99" s="141">
        <v>0</v>
      </c>
      <c r="N99" s="141">
        <v>0</v>
      </c>
      <c r="O99" s="141">
        <v>0</v>
      </c>
      <c r="P99" s="141">
        <v>0</v>
      </c>
      <c r="Q99" s="141">
        <v>0</v>
      </c>
      <c r="R99" s="141">
        <v>0</v>
      </c>
      <c r="S99" s="141">
        <v>0</v>
      </c>
      <c r="T99" s="141">
        <v>0</v>
      </c>
      <c r="U99" s="141">
        <v>0</v>
      </c>
      <c r="V99" s="141">
        <v>0</v>
      </c>
      <c r="W99" s="141">
        <v>0</v>
      </c>
      <c r="X99" s="141">
        <v>0</v>
      </c>
      <c r="Y99" s="141">
        <v>0</v>
      </c>
      <c r="Z99" s="141">
        <v>0</v>
      </c>
      <c r="AA99" s="141">
        <v>0</v>
      </c>
      <c r="AB99" s="141">
        <v>0</v>
      </c>
      <c r="AC99" s="141">
        <v>0</v>
      </c>
      <c r="AD99" s="141">
        <v>0</v>
      </c>
      <c r="AE99" s="141">
        <v>0</v>
      </c>
      <c r="AF99" s="141">
        <v>0</v>
      </c>
      <c r="AG99" s="141">
        <v>0</v>
      </c>
      <c r="AH99" s="141">
        <v>0</v>
      </c>
      <c r="AI99" s="141">
        <v>0</v>
      </c>
      <c r="AJ99" s="141">
        <v>0</v>
      </c>
      <c r="AK99" s="141">
        <v>0</v>
      </c>
      <c r="AL99" s="141">
        <v>0</v>
      </c>
      <c r="AM99" s="141">
        <v>0</v>
      </c>
      <c r="AN99" s="141">
        <v>0</v>
      </c>
      <c r="AO99" s="141">
        <v>0</v>
      </c>
      <c r="AP99" s="141">
        <v>0</v>
      </c>
      <c r="AQ99" s="141">
        <v>0</v>
      </c>
      <c r="AR99" s="141">
        <f t="shared" si="6"/>
        <v>0</v>
      </c>
      <c r="AS99" s="169" t="s">
        <v>614</v>
      </c>
    </row>
    <row r="100" spans="1:45">
      <c r="A100" s="144">
        <f t="shared" si="5"/>
        <v>45842</v>
      </c>
      <c r="B100" s="141">
        <f>YEAR(Table7[[#This Row],[Date]])+IF(MONTH(Table7[[#This Row],[Date]])&gt;=4,1,0)</f>
        <v>2026</v>
      </c>
      <c r="C100" s="141">
        <f>YEAR(Table7[[#This Row],[Date]])</f>
        <v>2025</v>
      </c>
      <c r="D100" s="143">
        <f t="shared" ref="D100:D163" si="7">A100-DAY(A100)+1</f>
        <v>45839</v>
      </c>
      <c r="E100" s="141">
        <v>0</v>
      </c>
      <c r="F100" s="141">
        <v>0</v>
      </c>
      <c r="G100" s="141">
        <v>0</v>
      </c>
      <c r="H100" s="141">
        <v>0</v>
      </c>
      <c r="I100" s="141">
        <v>0</v>
      </c>
      <c r="J100" s="141">
        <v>0</v>
      </c>
      <c r="K100" s="141">
        <v>0</v>
      </c>
      <c r="L100" s="141">
        <v>0</v>
      </c>
      <c r="M100" s="141">
        <v>0</v>
      </c>
      <c r="N100" s="141">
        <v>0</v>
      </c>
      <c r="O100" s="141">
        <v>0</v>
      </c>
      <c r="P100" s="141">
        <v>0</v>
      </c>
      <c r="Q100" s="141">
        <v>0</v>
      </c>
      <c r="R100" s="141">
        <v>0</v>
      </c>
      <c r="S100" s="141">
        <v>0</v>
      </c>
      <c r="T100" s="141">
        <v>0</v>
      </c>
      <c r="U100" s="141">
        <v>0</v>
      </c>
      <c r="V100" s="141">
        <v>0</v>
      </c>
      <c r="W100" s="141">
        <v>0</v>
      </c>
      <c r="X100" s="141">
        <v>0</v>
      </c>
      <c r="Y100" s="141">
        <v>0</v>
      </c>
      <c r="Z100" s="141">
        <v>0</v>
      </c>
      <c r="AA100" s="141">
        <v>0</v>
      </c>
      <c r="AB100" s="141">
        <v>0</v>
      </c>
      <c r="AC100" s="141">
        <v>0</v>
      </c>
      <c r="AD100" s="141">
        <v>0</v>
      </c>
      <c r="AE100" s="141">
        <v>0</v>
      </c>
      <c r="AF100" s="141">
        <v>0</v>
      </c>
      <c r="AG100" s="141">
        <v>0</v>
      </c>
      <c r="AH100" s="141">
        <v>0</v>
      </c>
      <c r="AI100" s="141">
        <v>0</v>
      </c>
      <c r="AJ100" s="141">
        <v>0</v>
      </c>
      <c r="AK100" s="141">
        <v>0</v>
      </c>
      <c r="AL100" s="141">
        <v>0</v>
      </c>
      <c r="AM100" s="141">
        <v>0</v>
      </c>
      <c r="AN100" s="141">
        <v>0</v>
      </c>
      <c r="AO100" s="141">
        <v>0</v>
      </c>
      <c r="AP100" s="141">
        <v>0</v>
      </c>
      <c r="AQ100" s="141">
        <v>0</v>
      </c>
      <c r="AR100" s="141">
        <f t="shared" si="6"/>
        <v>0</v>
      </c>
      <c r="AS100" s="169" t="s">
        <v>614</v>
      </c>
    </row>
    <row r="101" spans="1:45">
      <c r="A101" s="144">
        <f t="shared" si="5"/>
        <v>45843</v>
      </c>
      <c r="B101" s="141">
        <f>YEAR(Table7[[#This Row],[Date]])+IF(MONTH(Table7[[#This Row],[Date]])&gt;=4,1,0)</f>
        <v>2026</v>
      </c>
      <c r="C101" s="141">
        <f>YEAR(Table7[[#This Row],[Date]])</f>
        <v>2025</v>
      </c>
      <c r="D101" s="143">
        <f t="shared" si="7"/>
        <v>45839</v>
      </c>
      <c r="E101" s="141">
        <v>0</v>
      </c>
      <c r="F101" s="141">
        <v>0</v>
      </c>
      <c r="G101" s="141">
        <v>0</v>
      </c>
      <c r="H101" s="141">
        <v>0</v>
      </c>
      <c r="I101" s="141">
        <v>0</v>
      </c>
      <c r="J101" s="141">
        <v>0</v>
      </c>
      <c r="K101" s="141">
        <v>0</v>
      </c>
      <c r="L101" s="141">
        <v>0</v>
      </c>
      <c r="M101" s="141">
        <v>0</v>
      </c>
      <c r="N101" s="141">
        <v>0</v>
      </c>
      <c r="O101" s="141">
        <v>0</v>
      </c>
      <c r="P101" s="141">
        <v>0</v>
      </c>
      <c r="Q101" s="141">
        <v>0</v>
      </c>
      <c r="R101" s="141">
        <v>0</v>
      </c>
      <c r="S101" s="141">
        <v>0</v>
      </c>
      <c r="T101" s="141">
        <v>0</v>
      </c>
      <c r="U101" s="141">
        <v>0</v>
      </c>
      <c r="V101" s="141">
        <v>0</v>
      </c>
      <c r="W101" s="141">
        <v>0</v>
      </c>
      <c r="X101" s="141">
        <v>0</v>
      </c>
      <c r="Y101" s="141">
        <v>0</v>
      </c>
      <c r="Z101" s="141">
        <v>0</v>
      </c>
      <c r="AA101" s="141">
        <v>0</v>
      </c>
      <c r="AB101" s="141">
        <v>0</v>
      </c>
      <c r="AC101" s="141">
        <v>0</v>
      </c>
      <c r="AD101" s="141">
        <v>0</v>
      </c>
      <c r="AE101" s="141">
        <v>0</v>
      </c>
      <c r="AF101" s="141">
        <v>0</v>
      </c>
      <c r="AG101" s="141">
        <v>0</v>
      </c>
      <c r="AH101" s="141">
        <v>0</v>
      </c>
      <c r="AI101" s="141">
        <v>0</v>
      </c>
      <c r="AJ101" s="141">
        <v>0</v>
      </c>
      <c r="AK101" s="141">
        <v>0</v>
      </c>
      <c r="AL101" s="141">
        <v>0</v>
      </c>
      <c r="AM101" s="141">
        <v>0</v>
      </c>
      <c r="AN101" s="141">
        <v>0</v>
      </c>
      <c r="AO101" s="141">
        <v>0</v>
      </c>
      <c r="AP101" s="141">
        <v>0</v>
      </c>
      <c r="AQ101" s="141">
        <v>0</v>
      </c>
      <c r="AR101" s="141">
        <f t="shared" si="6"/>
        <v>0</v>
      </c>
      <c r="AS101" s="169" t="s">
        <v>614</v>
      </c>
    </row>
    <row r="102" spans="1:45">
      <c r="A102" s="144">
        <f t="shared" ref="A102:A165" si="8">A101+1</f>
        <v>45844</v>
      </c>
      <c r="B102" s="141">
        <f>YEAR(Table7[[#This Row],[Date]])+IF(MONTH(Table7[[#This Row],[Date]])&gt;=4,1,0)</f>
        <v>2026</v>
      </c>
      <c r="C102" s="141">
        <f>YEAR(Table7[[#This Row],[Date]])</f>
        <v>2025</v>
      </c>
      <c r="D102" s="143">
        <f t="shared" si="7"/>
        <v>45839</v>
      </c>
      <c r="E102" s="141">
        <v>0</v>
      </c>
      <c r="F102" s="141">
        <v>0</v>
      </c>
      <c r="G102" s="141">
        <v>0</v>
      </c>
      <c r="H102" s="141">
        <v>0</v>
      </c>
      <c r="I102" s="141">
        <v>0</v>
      </c>
      <c r="J102" s="141">
        <v>0</v>
      </c>
      <c r="K102" s="141">
        <v>0</v>
      </c>
      <c r="L102" s="141">
        <v>0</v>
      </c>
      <c r="M102" s="141">
        <v>0</v>
      </c>
      <c r="N102" s="141">
        <v>0</v>
      </c>
      <c r="O102" s="141">
        <v>0</v>
      </c>
      <c r="P102" s="141">
        <v>0</v>
      </c>
      <c r="Q102" s="141">
        <v>0</v>
      </c>
      <c r="R102" s="141">
        <v>0</v>
      </c>
      <c r="S102" s="141">
        <v>0</v>
      </c>
      <c r="T102" s="141">
        <v>0</v>
      </c>
      <c r="U102" s="141">
        <v>0</v>
      </c>
      <c r="V102" s="141">
        <v>0</v>
      </c>
      <c r="W102" s="141">
        <v>0</v>
      </c>
      <c r="X102" s="141">
        <v>0</v>
      </c>
      <c r="Y102" s="141">
        <v>0</v>
      </c>
      <c r="Z102" s="141">
        <v>0</v>
      </c>
      <c r="AA102" s="141">
        <v>0</v>
      </c>
      <c r="AB102" s="141">
        <v>0</v>
      </c>
      <c r="AC102" s="141">
        <v>0</v>
      </c>
      <c r="AD102" s="141">
        <v>0</v>
      </c>
      <c r="AE102" s="141">
        <v>0</v>
      </c>
      <c r="AF102" s="141">
        <v>0</v>
      </c>
      <c r="AG102" s="141">
        <v>0</v>
      </c>
      <c r="AH102" s="141">
        <v>0</v>
      </c>
      <c r="AI102" s="141">
        <v>0</v>
      </c>
      <c r="AJ102" s="141">
        <v>0</v>
      </c>
      <c r="AK102" s="141">
        <v>0</v>
      </c>
      <c r="AL102" s="141">
        <v>0</v>
      </c>
      <c r="AM102" s="141">
        <v>0</v>
      </c>
      <c r="AN102" s="141">
        <v>0</v>
      </c>
      <c r="AO102" s="141">
        <v>0</v>
      </c>
      <c r="AP102" s="141">
        <v>0</v>
      </c>
      <c r="AQ102" s="141">
        <v>0</v>
      </c>
      <c r="AR102" s="146">
        <f t="shared" si="6"/>
        <v>0</v>
      </c>
      <c r="AS102" s="169" t="s">
        <v>614</v>
      </c>
    </row>
    <row r="103" spans="1:45">
      <c r="A103" s="144">
        <f t="shared" si="8"/>
        <v>45845</v>
      </c>
      <c r="B103" s="141">
        <f>YEAR(Table7[[#This Row],[Date]])+IF(MONTH(Table7[[#This Row],[Date]])&gt;=4,1,0)</f>
        <v>2026</v>
      </c>
      <c r="C103" s="141">
        <f>YEAR(Table7[[#This Row],[Date]])</f>
        <v>2025</v>
      </c>
      <c r="D103" s="143">
        <f t="shared" si="7"/>
        <v>45839</v>
      </c>
      <c r="E103" s="146">
        <v>64.86486486486487</v>
      </c>
      <c r="F103" s="146">
        <v>64.86486486486487</v>
      </c>
      <c r="G103" s="146">
        <v>64.86486486486487</v>
      </c>
      <c r="H103" s="146">
        <v>64.86486486486487</v>
      </c>
      <c r="I103" s="146">
        <v>64.86486486486487</v>
      </c>
      <c r="J103" s="146">
        <v>64.86486486486487</v>
      </c>
      <c r="K103" s="146">
        <v>64.86486486486487</v>
      </c>
      <c r="L103" s="146">
        <v>64.86486486486487</v>
      </c>
      <c r="M103" s="146">
        <v>64.86486486486487</v>
      </c>
      <c r="N103" s="146">
        <v>64.86486486486487</v>
      </c>
      <c r="O103" s="146">
        <v>64.86486486486487</v>
      </c>
      <c r="P103" s="146">
        <v>64.86486486486487</v>
      </c>
      <c r="Q103" s="146">
        <v>64.86486486486487</v>
      </c>
      <c r="R103" s="146">
        <v>64.86486486486487</v>
      </c>
      <c r="S103" s="146">
        <v>64.86486486486487</v>
      </c>
      <c r="T103" s="146">
        <v>64.86486486486487</v>
      </c>
      <c r="U103" s="146">
        <v>0</v>
      </c>
      <c r="V103" s="146">
        <v>64.86486486486487</v>
      </c>
      <c r="W103" s="146">
        <v>64.86486486486487</v>
      </c>
      <c r="X103" s="146">
        <v>64.86486486486487</v>
      </c>
      <c r="Y103" s="146">
        <v>64.86486486486487</v>
      </c>
      <c r="Z103" s="146">
        <v>64.86486486486487</v>
      </c>
      <c r="AA103" s="146">
        <v>64.86486486486487</v>
      </c>
      <c r="AB103" s="146">
        <v>64.86486486486487</v>
      </c>
      <c r="AC103" s="146">
        <v>64.86486486486487</v>
      </c>
      <c r="AD103" s="146">
        <v>64.86486486486487</v>
      </c>
      <c r="AE103" s="146">
        <v>64.86486486486487</v>
      </c>
      <c r="AF103" s="146">
        <v>0</v>
      </c>
      <c r="AG103" s="146">
        <v>64.86486486486487</v>
      </c>
      <c r="AH103" s="146">
        <v>0</v>
      </c>
      <c r="AI103" s="146">
        <v>64.86486486486487</v>
      </c>
      <c r="AJ103" s="146">
        <v>64.86486486486487</v>
      </c>
      <c r="AK103" s="146">
        <v>64.86486486486487</v>
      </c>
      <c r="AL103" s="146">
        <v>64.86486486486487</v>
      </c>
      <c r="AM103" s="146">
        <v>64.86486486486487</v>
      </c>
      <c r="AN103" s="146">
        <v>64.86486486486487</v>
      </c>
      <c r="AO103" s="146">
        <v>64.86486486486487</v>
      </c>
      <c r="AP103" s="146">
        <v>64.86486486486487</v>
      </c>
      <c r="AQ103" s="146">
        <v>64.86486486486487</v>
      </c>
      <c r="AR103" s="146">
        <f t="shared" si="6"/>
        <v>2335.135135135135</v>
      </c>
      <c r="AS103" s="169" t="s">
        <v>614</v>
      </c>
    </row>
    <row r="104" spans="1:45">
      <c r="A104" s="144">
        <f t="shared" si="8"/>
        <v>45846</v>
      </c>
      <c r="B104" s="141">
        <f>YEAR(Table7[[#This Row],[Date]])+IF(MONTH(Table7[[#This Row],[Date]])&gt;=4,1,0)</f>
        <v>2026</v>
      </c>
      <c r="C104" s="141">
        <f>YEAR(Table7[[#This Row],[Date]])</f>
        <v>2025</v>
      </c>
      <c r="D104" s="143">
        <f t="shared" si="7"/>
        <v>45839</v>
      </c>
      <c r="E104" s="141">
        <v>0</v>
      </c>
      <c r="F104" s="141">
        <v>0</v>
      </c>
      <c r="G104" s="141">
        <v>0</v>
      </c>
      <c r="H104" s="141">
        <v>0</v>
      </c>
      <c r="I104" s="141">
        <v>0</v>
      </c>
      <c r="J104" s="141">
        <v>0</v>
      </c>
      <c r="K104" s="141">
        <v>0</v>
      </c>
      <c r="L104" s="141">
        <v>0</v>
      </c>
      <c r="M104" s="141">
        <v>0</v>
      </c>
      <c r="N104" s="141">
        <v>0</v>
      </c>
      <c r="O104" s="141">
        <v>0</v>
      </c>
      <c r="P104" s="141">
        <v>0</v>
      </c>
      <c r="Q104" s="141">
        <v>0</v>
      </c>
      <c r="R104" s="141">
        <v>0</v>
      </c>
      <c r="S104" s="141">
        <v>0</v>
      </c>
      <c r="T104" s="141">
        <v>0</v>
      </c>
      <c r="U104" s="141">
        <v>0</v>
      </c>
      <c r="V104" s="141">
        <v>0</v>
      </c>
      <c r="W104" s="141">
        <v>0</v>
      </c>
      <c r="X104" s="141">
        <v>0</v>
      </c>
      <c r="Y104" s="141">
        <v>0</v>
      </c>
      <c r="Z104" s="141">
        <v>0</v>
      </c>
      <c r="AA104" s="141">
        <v>0</v>
      </c>
      <c r="AB104" s="141">
        <v>0</v>
      </c>
      <c r="AC104" s="141">
        <v>0</v>
      </c>
      <c r="AD104" s="141">
        <v>0</v>
      </c>
      <c r="AE104" s="141">
        <v>0</v>
      </c>
      <c r="AF104" s="141">
        <v>0</v>
      </c>
      <c r="AG104" s="141">
        <v>0</v>
      </c>
      <c r="AH104" s="141">
        <v>0</v>
      </c>
      <c r="AI104" s="141">
        <v>0</v>
      </c>
      <c r="AJ104" s="141">
        <v>0</v>
      </c>
      <c r="AK104" s="141">
        <v>0</v>
      </c>
      <c r="AL104" s="141">
        <v>0</v>
      </c>
      <c r="AM104" s="141">
        <v>0</v>
      </c>
      <c r="AN104" s="141">
        <v>0</v>
      </c>
      <c r="AO104" s="141">
        <v>0</v>
      </c>
      <c r="AP104" s="141">
        <v>0</v>
      </c>
      <c r="AQ104" s="141">
        <v>0</v>
      </c>
      <c r="AR104" s="141">
        <f t="shared" si="6"/>
        <v>0</v>
      </c>
      <c r="AS104" s="169" t="s">
        <v>614</v>
      </c>
    </row>
    <row r="105" spans="1:45">
      <c r="A105" s="144">
        <f t="shared" si="8"/>
        <v>45847</v>
      </c>
      <c r="B105" s="141">
        <f>YEAR(Table7[[#This Row],[Date]])+IF(MONTH(Table7[[#This Row],[Date]])&gt;=4,1,0)</f>
        <v>2026</v>
      </c>
      <c r="C105" s="141">
        <f>YEAR(Table7[[#This Row],[Date]])</f>
        <v>2025</v>
      </c>
      <c r="D105" s="143">
        <f t="shared" si="7"/>
        <v>45839</v>
      </c>
      <c r="E105" s="141">
        <v>0</v>
      </c>
      <c r="F105" s="141">
        <v>0</v>
      </c>
      <c r="G105" s="141">
        <v>0</v>
      </c>
      <c r="H105" s="141">
        <v>0</v>
      </c>
      <c r="I105" s="141">
        <v>0</v>
      </c>
      <c r="J105" s="141">
        <v>0</v>
      </c>
      <c r="K105" s="141">
        <v>0</v>
      </c>
      <c r="L105" s="141">
        <v>0</v>
      </c>
      <c r="M105" s="141">
        <v>0</v>
      </c>
      <c r="N105" s="141">
        <v>0</v>
      </c>
      <c r="O105" s="141">
        <v>0</v>
      </c>
      <c r="P105" s="141">
        <v>0</v>
      </c>
      <c r="Q105" s="141">
        <v>0</v>
      </c>
      <c r="R105" s="141">
        <v>0</v>
      </c>
      <c r="S105" s="141">
        <v>0</v>
      </c>
      <c r="T105" s="141">
        <v>0</v>
      </c>
      <c r="U105" s="141">
        <v>0</v>
      </c>
      <c r="V105" s="141">
        <v>0</v>
      </c>
      <c r="W105" s="141">
        <v>0</v>
      </c>
      <c r="X105" s="141">
        <v>0</v>
      </c>
      <c r="Y105" s="141">
        <v>0</v>
      </c>
      <c r="Z105" s="141">
        <v>0</v>
      </c>
      <c r="AA105" s="141">
        <v>0</v>
      </c>
      <c r="AB105" s="141">
        <v>0</v>
      </c>
      <c r="AC105" s="141">
        <v>0</v>
      </c>
      <c r="AD105" s="141">
        <v>0</v>
      </c>
      <c r="AE105" s="141">
        <v>0</v>
      </c>
      <c r="AF105" s="141">
        <v>0</v>
      </c>
      <c r="AG105" s="141">
        <v>0</v>
      </c>
      <c r="AH105" s="141">
        <v>0</v>
      </c>
      <c r="AI105" s="141">
        <v>0</v>
      </c>
      <c r="AJ105" s="141">
        <v>0</v>
      </c>
      <c r="AK105" s="141">
        <v>0</v>
      </c>
      <c r="AL105" s="141">
        <v>0</v>
      </c>
      <c r="AM105" s="141">
        <v>0</v>
      </c>
      <c r="AN105" s="141">
        <v>0</v>
      </c>
      <c r="AO105" s="141">
        <v>0</v>
      </c>
      <c r="AP105" s="141">
        <v>0</v>
      </c>
      <c r="AQ105" s="141">
        <v>0</v>
      </c>
      <c r="AR105" s="141">
        <f t="shared" si="6"/>
        <v>0</v>
      </c>
      <c r="AS105" s="169" t="s">
        <v>614</v>
      </c>
    </row>
    <row r="106" spans="1:45">
      <c r="A106" s="144">
        <f t="shared" si="8"/>
        <v>45848</v>
      </c>
      <c r="B106" s="141">
        <f>YEAR(Table7[[#This Row],[Date]])+IF(MONTH(Table7[[#This Row],[Date]])&gt;=4,1,0)</f>
        <v>2026</v>
      </c>
      <c r="C106" s="141">
        <f>YEAR(Table7[[#This Row],[Date]])</f>
        <v>2025</v>
      </c>
      <c r="D106" s="143">
        <f t="shared" si="7"/>
        <v>45839</v>
      </c>
      <c r="E106" s="146">
        <v>32.43</v>
      </c>
      <c r="F106" s="146">
        <v>32.43</v>
      </c>
      <c r="G106" s="146">
        <v>32.43</v>
      </c>
      <c r="H106" s="146">
        <v>32.43</v>
      </c>
      <c r="I106" s="146">
        <v>32.43</v>
      </c>
      <c r="J106" s="146">
        <v>32.43</v>
      </c>
      <c r="K106" s="146">
        <v>32.43</v>
      </c>
      <c r="L106" s="146">
        <v>32.43</v>
      </c>
      <c r="M106" s="141">
        <v>32</v>
      </c>
      <c r="N106" s="146">
        <v>32.43</v>
      </c>
      <c r="O106" s="146">
        <v>32.43</v>
      </c>
      <c r="P106" s="146">
        <v>32.43</v>
      </c>
      <c r="Q106" s="146">
        <v>32.43</v>
      </c>
      <c r="R106" s="146">
        <v>32.43</v>
      </c>
      <c r="S106" s="146">
        <v>32.43</v>
      </c>
      <c r="T106" s="146">
        <v>32.43</v>
      </c>
      <c r="U106" s="146">
        <v>0</v>
      </c>
      <c r="V106" s="146">
        <v>32.43</v>
      </c>
      <c r="W106" s="146">
        <v>32.43</v>
      </c>
      <c r="X106" s="146">
        <v>32.43</v>
      </c>
      <c r="Y106" s="146">
        <v>32.43</v>
      </c>
      <c r="Z106" s="146">
        <v>32.43</v>
      </c>
      <c r="AA106" s="146">
        <v>32.43</v>
      </c>
      <c r="AB106" s="146">
        <v>32.43</v>
      </c>
      <c r="AC106" s="146">
        <v>32.43</v>
      </c>
      <c r="AD106" s="141">
        <v>32</v>
      </c>
      <c r="AE106" s="146">
        <v>32.43</v>
      </c>
      <c r="AF106" s="146">
        <v>0</v>
      </c>
      <c r="AG106" s="146">
        <v>32.43</v>
      </c>
      <c r="AH106" s="146">
        <v>0</v>
      </c>
      <c r="AI106" s="146">
        <v>32.43</v>
      </c>
      <c r="AJ106" s="146">
        <v>32.43</v>
      </c>
      <c r="AK106" s="146">
        <v>32.43</v>
      </c>
      <c r="AL106" s="146">
        <v>32.43</v>
      </c>
      <c r="AM106" s="141">
        <v>32</v>
      </c>
      <c r="AN106" s="141">
        <v>32</v>
      </c>
      <c r="AO106" s="141">
        <v>32</v>
      </c>
      <c r="AP106" s="141">
        <v>32</v>
      </c>
      <c r="AQ106" s="141">
        <v>32</v>
      </c>
      <c r="AR106" s="141">
        <f t="shared" si="6"/>
        <v>1164.4699999999993</v>
      </c>
      <c r="AS106" s="169" t="s">
        <v>614</v>
      </c>
    </row>
    <row r="107" spans="1:45">
      <c r="A107" s="144">
        <f t="shared" si="8"/>
        <v>45849</v>
      </c>
      <c r="B107" s="141">
        <f>YEAR(Table7[[#This Row],[Date]])+IF(MONTH(Table7[[#This Row],[Date]])&gt;=4,1,0)</f>
        <v>2026</v>
      </c>
      <c r="C107" s="141">
        <f>YEAR(Table7[[#This Row],[Date]])</f>
        <v>2025</v>
      </c>
      <c r="D107" s="143">
        <f t="shared" si="7"/>
        <v>45839</v>
      </c>
      <c r="E107" s="146">
        <v>32.43</v>
      </c>
      <c r="F107" s="146">
        <v>32.43</v>
      </c>
      <c r="G107" s="146">
        <v>32.43</v>
      </c>
      <c r="H107" s="146">
        <v>32.43</v>
      </c>
      <c r="I107" s="146">
        <v>32.43</v>
      </c>
      <c r="J107" s="146">
        <v>32.43</v>
      </c>
      <c r="K107" s="146">
        <v>32.43</v>
      </c>
      <c r="L107" s="146">
        <v>32.43</v>
      </c>
      <c r="M107" s="141">
        <v>32</v>
      </c>
      <c r="N107" s="146">
        <v>32.43</v>
      </c>
      <c r="O107" s="146">
        <v>32.43</v>
      </c>
      <c r="P107" s="146">
        <v>32.43</v>
      </c>
      <c r="Q107" s="146">
        <v>32.43</v>
      </c>
      <c r="R107" s="146">
        <v>32.43</v>
      </c>
      <c r="S107" s="146">
        <v>32.43</v>
      </c>
      <c r="T107" s="146">
        <v>32.43</v>
      </c>
      <c r="U107" s="146">
        <v>0</v>
      </c>
      <c r="V107" s="146">
        <v>32.43</v>
      </c>
      <c r="W107" s="146">
        <v>32.43</v>
      </c>
      <c r="X107" s="146">
        <v>32.43</v>
      </c>
      <c r="Y107" s="146">
        <v>32.43</v>
      </c>
      <c r="Z107" s="146">
        <v>32.43</v>
      </c>
      <c r="AA107" s="146">
        <v>32.43</v>
      </c>
      <c r="AB107" s="146">
        <v>32.43</v>
      </c>
      <c r="AC107" s="146">
        <v>32.43</v>
      </c>
      <c r="AD107" s="141">
        <v>32</v>
      </c>
      <c r="AE107" s="146">
        <v>32.43</v>
      </c>
      <c r="AF107" s="146">
        <v>0</v>
      </c>
      <c r="AG107" s="146">
        <v>32.43</v>
      </c>
      <c r="AH107" s="146">
        <v>0</v>
      </c>
      <c r="AI107" s="146">
        <v>32.43</v>
      </c>
      <c r="AJ107" s="146">
        <v>32.43</v>
      </c>
      <c r="AK107" s="146">
        <v>32.43</v>
      </c>
      <c r="AL107" s="146">
        <v>32.43</v>
      </c>
      <c r="AM107" s="141">
        <v>32</v>
      </c>
      <c r="AN107" s="141">
        <v>32</v>
      </c>
      <c r="AO107" s="141">
        <v>32</v>
      </c>
      <c r="AP107" s="141">
        <v>32</v>
      </c>
      <c r="AQ107" s="141">
        <v>32</v>
      </c>
      <c r="AR107" s="141">
        <f t="shared" si="6"/>
        <v>1164.4699999999993</v>
      </c>
      <c r="AS107" s="169" t="s">
        <v>614</v>
      </c>
    </row>
    <row r="108" spans="1:45">
      <c r="A108" s="144">
        <f t="shared" si="8"/>
        <v>45850</v>
      </c>
      <c r="B108" s="141">
        <f>YEAR(Table7[[#This Row],[Date]])+IF(MONTH(Table7[[#This Row],[Date]])&gt;=4,1,0)</f>
        <v>2026</v>
      </c>
      <c r="C108" s="141">
        <f>YEAR(Table7[[#This Row],[Date]])</f>
        <v>2025</v>
      </c>
      <c r="D108" s="143">
        <f t="shared" si="7"/>
        <v>45839</v>
      </c>
      <c r="E108" s="141">
        <v>0</v>
      </c>
      <c r="F108" s="141">
        <v>0</v>
      </c>
      <c r="G108" s="141">
        <v>0</v>
      </c>
      <c r="H108" s="141">
        <v>0</v>
      </c>
      <c r="I108" s="141">
        <v>0</v>
      </c>
      <c r="J108" s="141">
        <v>0</v>
      </c>
      <c r="K108" s="141">
        <v>0</v>
      </c>
      <c r="L108" s="141">
        <v>0</v>
      </c>
      <c r="M108" s="141">
        <v>0</v>
      </c>
      <c r="N108" s="141">
        <v>0</v>
      </c>
      <c r="O108" s="141">
        <v>0</v>
      </c>
      <c r="P108" s="141">
        <v>0</v>
      </c>
      <c r="Q108" s="141">
        <v>0</v>
      </c>
      <c r="R108" s="141">
        <v>0</v>
      </c>
      <c r="S108" s="141">
        <v>0</v>
      </c>
      <c r="T108" s="141">
        <v>0</v>
      </c>
      <c r="U108" s="141">
        <v>0</v>
      </c>
      <c r="V108" s="141">
        <v>0</v>
      </c>
      <c r="W108" s="141">
        <v>0</v>
      </c>
      <c r="X108" s="141">
        <v>0</v>
      </c>
      <c r="Y108" s="141">
        <v>0</v>
      </c>
      <c r="Z108" s="141">
        <v>0</v>
      </c>
      <c r="AA108" s="141">
        <v>0</v>
      </c>
      <c r="AB108" s="141">
        <v>0</v>
      </c>
      <c r="AC108" s="141">
        <v>0</v>
      </c>
      <c r="AD108" s="141">
        <v>0</v>
      </c>
      <c r="AE108" s="141">
        <v>0</v>
      </c>
      <c r="AF108" s="141">
        <v>0</v>
      </c>
      <c r="AG108" s="141">
        <v>0</v>
      </c>
      <c r="AH108" s="141">
        <v>0</v>
      </c>
      <c r="AI108" s="141">
        <v>0</v>
      </c>
      <c r="AJ108" s="141">
        <v>0</v>
      </c>
      <c r="AK108" s="141">
        <v>0</v>
      </c>
      <c r="AL108" s="141">
        <v>0</v>
      </c>
      <c r="AM108" s="141">
        <v>0</v>
      </c>
      <c r="AN108" s="141">
        <v>0</v>
      </c>
      <c r="AO108" s="141">
        <v>0</v>
      </c>
      <c r="AP108" s="141">
        <v>0</v>
      </c>
      <c r="AQ108" s="141">
        <v>0</v>
      </c>
      <c r="AR108" s="141">
        <f t="shared" si="6"/>
        <v>0</v>
      </c>
      <c r="AS108" s="169" t="s">
        <v>614</v>
      </c>
    </row>
    <row r="109" spans="1:45">
      <c r="A109" s="144">
        <f t="shared" si="8"/>
        <v>45851</v>
      </c>
      <c r="B109" s="141">
        <f>YEAR(Table7[[#This Row],[Date]])+IF(MONTH(Table7[[#This Row],[Date]])&gt;=4,1,0)</f>
        <v>2026</v>
      </c>
      <c r="C109" s="141">
        <f>YEAR(Table7[[#This Row],[Date]])</f>
        <v>2025</v>
      </c>
      <c r="D109" s="143">
        <f t="shared" si="7"/>
        <v>45839</v>
      </c>
      <c r="E109" s="141">
        <v>0</v>
      </c>
      <c r="F109" s="141">
        <v>0</v>
      </c>
      <c r="G109" s="141">
        <v>0</v>
      </c>
      <c r="H109" s="141">
        <v>0</v>
      </c>
      <c r="I109" s="141">
        <v>0</v>
      </c>
      <c r="J109" s="141">
        <v>0</v>
      </c>
      <c r="K109" s="141">
        <v>0</v>
      </c>
      <c r="L109" s="141">
        <v>0</v>
      </c>
      <c r="M109" s="141">
        <v>0</v>
      </c>
      <c r="N109" s="141">
        <v>0</v>
      </c>
      <c r="O109" s="141">
        <v>0</v>
      </c>
      <c r="P109" s="141">
        <v>0</v>
      </c>
      <c r="Q109" s="141">
        <v>0</v>
      </c>
      <c r="R109" s="141">
        <v>0</v>
      </c>
      <c r="S109" s="141">
        <v>0</v>
      </c>
      <c r="T109" s="141">
        <v>0</v>
      </c>
      <c r="U109" s="141">
        <v>0</v>
      </c>
      <c r="V109" s="141">
        <v>0</v>
      </c>
      <c r="W109" s="141">
        <v>0</v>
      </c>
      <c r="X109" s="141">
        <v>0</v>
      </c>
      <c r="Y109" s="141">
        <v>0</v>
      </c>
      <c r="Z109" s="141">
        <v>0</v>
      </c>
      <c r="AA109" s="141">
        <v>0</v>
      </c>
      <c r="AB109" s="141">
        <v>0</v>
      </c>
      <c r="AC109" s="141">
        <v>0</v>
      </c>
      <c r="AD109" s="141">
        <v>0</v>
      </c>
      <c r="AE109" s="141">
        <v>0</v>
      </c>
      <c r="AF109" s="141">
        <v>0</v>
      </c>
      <c r="AG109" s="141">
        <v>0</v>
      </c>
      <c r="AH109" s="141">
        <v>0</v>
      </c>
      <c r="AI109" s="141">
        <v>0</v>
      </c>
      <c r="AJ109" s="141">
        <v>0</v>
      </c>
      <c r="AK109" s="141">
        <v>0</v>
      </c>
      <c r="AL109" s="141">
        <v>0</v>
      </c>
      <c r="AM109" s="141">
        <v>0</v>
      </c>
      <c r="AN109" s="141">
        <v>0</v>
      </c>
      <c r="AO109" s="141">
        <v>0</v>
      </c>
      <c r="AP109" s="141">
        <v>0</v>
      </c>
      <c r="AQ109" s="141">
        <v>0</v>
      </c>
      <c r="AR109" s="141">
        <f t="shared" si="6"/>
        <v>0</v>
      </c>
      <c r="AS109" s="169" t="s">
        <v>614</v>
      </c>
    </row>
    <row r="110" spans="1:45">
      <c r="A110" s="144">
        <f t="shared" si="8"/>
        <v>45852</v>
      </c>
      <c r="B110" s="141">
        <f>YEAR(Table7[[#This Row],[Date]])+IF(MONTH(Table7[[#This Row],[Date]])&gt;=4,1,0)</f>
        <v>2026</v>
      </c>
      <c r="C110" s="141">
        <f>YEAR(Table7[[#This Row],[Date]])</f>
        <v>2025</v>
      </c>
      <c r="D110" s="143">
        <f t="shared" si="7"/>
        <v>45839</v>
      </c>
      <c r="E110" s="141">
        <v>0</v>
      </c>
      <c r="F110" s="141">
        <v>0</v>
      </c>
      <c r="G110" s="141">
        <v>0</v>
      </c>
      <c r="H110" s="141">
        <v>0</v>
      </c>
      <c r="I110" s="141">
        <v>0</v>
      </c>
      <c r="J110" s="141">
        <v>0</v>
      </c>
      <c r="K110" s="141">
        <v>0</v>
      </c>
      <c r="L110" s="141">
        <v>0</v>
      </c>
      <c r="M110" s="141">
        <v>0</v>
      </c>
      <c r="N110" s="141">
        <v>0</v>
      </c>
      <c r="O110" s="141">
        <v>0</v>
      </c>
      <c r="P110" s="141">
        <v>0</v>
      </c>
      <c r="Q110" s="141">
        <v>0</v>
      </c>
      <c r="R110" s="141">
        <v>0</v>
      </c>
      <c r="S110" s="141">
        <v>0</v>
      </c>
      <c r="T110" s="141">
        <v>0</v>
      </c>
      <c r="U110" s="141">
        <v>0</v>
      </c>
      <c r="V110" s="141">
        <v>0</v>
      </c>
      <c r="W110" s="141">
        <v>0</v>
      </c>
      <c r="X110" s="141">
        <v>0</v>
      </c>
      <c r="Y110" s="141">
        <v>0</v>
      </c>
      <c r="Z110" s="141">
        <v>0</v>
      </c>
      <c r="AA110" s="141">
        <v>0</v>
      </c>
      <c r="AB110" s="141">
        <v>0</v>
      </c>
      <c r="AC110" s="141">
        <v>0</v>
      </c>
      <c r="AD110" s="141">
        <v>0</v>
      </c>
      <c r="AE110" s="141">
        <v>0</v>
      </c>
      <c r="AF110" s="141">
        <v>0</v>
      </c>
      <c r="AG110" s="141">
        <v>0</v>
      </c>
      <c r="AH110" s="141">
        <v>0</v>
      </c>
      <c r="AI110" s="141">
        <v>0</v>
      </c>
      <c r="AJ110" s="141">
        <v>0</v>
      </c>
      <c r="AK110" s="141">
        <v>0</v>
      </c>
      <c r="AL110" s="141">
        <v>0</v>
      </c>
      <c r="AM110" s="141">
        <v>0</v>
      </c>
      <c r="AN110" s="141">
        <v>0</v>
      </c>
      <c r="AO110" s="141">
        <v>0</v>
      </c>
      <c r="AP110" s="141">
        <v>0</v>
      </c>
      <c r="AQ110" s="141">
        <v>0</v>
      </c>
      <c r="AR110" s="141">
        <f t="shared" si="6"/>
        <v>0</v>
      </c>
      <c r="AS110" s="169" t="s">
        <v>614</v>
      </c>
    </row>
    <row r="111" spans="1:45">
      <c r="A111" s="144">
        <f t="shared" si="8"/>
        <v>45853</v>
      </c>
      <c r="B111" s="141">
        <f>YEAR(Table7[[#This Row],[Date]])+IF(MONTH(Table7[[#This Row],[Date]])&gt;=4,1,0)</f>
        <v>2026</v>
      </c>
      <c r="C111" s="141">
        <f>YEAR(Table7[[#This Row],[Date]])</f>
        <v>2025</v>
      </c>
      <c r="D111" s="143">
        <f t="shared" si="7"/>
        <v>45839</v>
      </c>
      <c r="E111" s="141">
        <v>0</v>
      </c>
      <c r="F111" s="141">
        <v>0</v>
      </c>
      <c r="G111" s="141">
        <v>0</v>
      </c>
      <c r="H111" s="141">
        <v>0</v>
      </c>
      <c r="I111" s="141">
        <v>0</v>
      </c>
      <c r="J111" s="141">
        <v>0</v>
      </c>
      <c r="K111" s="141">
        <v>0</v>
      </c>
      <c r="L111" s="141">
        <v>0</v>
      </c>
      <c r="M111" s="141">
        <v>0</v>
      </c>
      <c r="N111" s="141">
        <v>0</v>
      </c>
      <c r="O111" s="141">
        <v>0</v>
      </c>
      <c r="P111" s="141">
        <v>0</v>
      </c>
      <c r="Q111" s="141">
        <v>0</v>
      </c>
      <c r="R111" s="141">
        <v>0</v>
      </c>
      <c r="S111" s="141">
        <v>0</v>
      </c>
      <c r="T111" s="141">
        <v>0</v>
      </c>
      <c r="U111" s="141">
        <v>0</v>
      </c>
      <c r="V111" s="141">
        <v>0</v>
      </c>
      <c r="W111" s="141">
        <v>0</v>
      </c>
      <c r="X111" s="141">
        <v>0</v>
      </c>
      <c r="Y111" s="141">
        <v>0</v>
      </c>
      <c r="Z111" s="141">
        <v>0</v>
      </c>
      <c r="AA111" s="141">
        <v>0</v>
      </c>
      <c r="AB111" s="141">
        <v>0</v>
      </c>
      <c r="AC111" s="141">
        <v>0</v>
      </c>
      <c r="AD111" s="141">
        <v>0</v>
      </c>
      <c r="AE111" s="141">
        <v>0</v>
      </c>
      <c r="AF111" s="141">
        <v>0</v>
      </c>
      <c r="AG111" s="141">
        <v>0</v>
      </c>
      <c r="AH111" s="141">
        <v>0</v>
      </c>
      <c r="AI111" s="141">
        <v>0</v>
      </c>
      <c r="AJ111" s="141">
        <v>0</v>
      </c>
      <c r="AK111" s="141">
        <v>0</v>
      </c>
      <c r="AL111" s="141">
        <v>0</v>
      </c>
      <c r="AM111" s="141">
        <v>0</v>
      </c>
      <c r="AN111" s="141">
        <v>0</v>
      </c>
      <c r="AO111" s="141">
        <v>0</v>
      </c>
      <c r="AP111" s="141">
        <v>0</v>
      </c>
      <c r="AQ111" s="141">
        <v>0</v>
      </c>
      <c r="AR111" s="141">
        <f t="shared" si="6"/>
        <v>0</v>
      </c>
      <c r="AS111" s="169" t="s">
        <v>614</v>
      </c>
    </row>
    <row r="112" spans="1:45">
      <c r="A112" s="144">
        <f t="shared" si="8"/>
        <v>45854</v>
      </c>
      <c r="B112" s="141">
        <f>YEAR(Table7[[#This Row],[Date]])+IF(MONTH(Table7[[#This Row],[Date]])&gt;=4,1,0)</f>
        <v>2026</v>
      </c>
      <c r="C112" s="141">
        <f>YEAR(Table7[[#This Row],[Date]])</f>
        <v>2025</v>
      </c>
      <c r="D112" s="143">
        <f t="shared" si="7"/>
        <v>45839</v>
      </c>
      <c r="E112" s="141">
        <v>0</v>
      </c>
      <c r="F112" s="141">
        <v>0</v>
      </c>
      <c r="G112" s="141">
        <v>0</v>
      </c>
      <c r="H112" s="141">
        <v>0</v>
      </c>
      <c r="I112" s="141">
        <v>0</v>
      </c>
      <c r="J112" s="141">
        <v>0</v>
      </c>
      <c r="K112" s="141">
        <v>0</v>
      </c>
      <c r="L112" s="141">
        <v>0</v>
      </c>
      <c r="M112" s="141">
        <v>0</v>
      </c>
      <c r="N112" s="141">
        <v>0</v>
      </c>
      <c r="O112" s="141">
        <v>0</v>
      </c>
      <c r="P112" s="141">
        <v>0</v>
      </c>
      <c r="Q112" s="141">
        <v>0</v>
      </c>
      <c r="R112" s="141">
        <v>0</v>
      </c>
      <c r="S112" s="141">
        <v>0</v>
      </c>
      <c r="T112" s="141">
        <v>0</v>
      </c>
      <c r="U112" s="141">
        <v>0</v>
      </c>
      <c r="V112" s="141">
        <v>0</v>
      </c>
      <c r="W112" s="141">
        <v>0</v>
      </c>
      <c r="X112" s="141">
        <v>0</v>
      </c>
      <c r="Y112" s="141">
        <v>0</v>
      </c>
      <c r="Z112" s="141">
        <v>0</v>
      </c>
      <c r="AA112" s="141">
        <v>0</v>
      </c>
      <c r="AB112" s="141">
        <v>0</v>
      </c>
      <c r="AC112" s="141">
        <v>0</v>
      </c>
      <c r="AD112" s="141">
        <v>0</v>
      </c>
      <c r="AE112" s="141">
        <v>0</v>
      </c>
      <c r="AF112" s="141">
        <v>0</v>
      </c>
      <c r="AG112" s="141">
        <v>0</v>
      </c>
      <c r="AH112" s="141">
        <v>0</v>
      </c>
      <c r="AI112" s="141">
        <v>0</v>
      </c>
      <c r="AJ112" s="141">
        <v>0</v>
      </c>
      <c r="AK112" s="141">
        <v>0</v>
      </c>
      <c r="AL112" s="141">
        <v>0</v>
      </c>
      <c r="AM112" s="141">
        <v>0</v>
      </c>
      <c r="AN112" s="141">
        <v>0</v>
      </c>
      <c r="AO112" s="141">
        <v>0</v>
      </c>
      <c r="AP112" s="141">
        <v>0</v>
      </c>
      <c r="AQ112" s="141">
        <v>0</v>
      </c>
      <c r="AR112" s="141">
        <f t="shared" si="6"/>
        <v>0</v>
      </c>
      <c r="AS112" s="169" t="s">
        <v>614</v>
      </c>
    </row>
    <row r="113" spans="1:45">
      <c r="A113" s="144">
        <f t="shared" si="8"/>
        <v>45855</v>
      </c>
      <c r="B113" s="141">
        <f>YEAR(Table7[[#This Row],[Date]])+IF(MONTH(Table7[[#This Row],[Date]])&gt;=4,1,0)</f>
        <v>2026</v>
      </c>
      <c r="C113" s="141">
        <f>YEAR(Table7[[#This Row],[Date]])</f>
        <v>2025</v>
      </c>
      <c r="D113" s="143">
        <f t="shared" si="7"/>
        <v>45839</v>
      </c>
      <c r="E113" s="141">
        <v>390</v>
      </c>
      <c r="F113" s="141">
        <v>390</v>
      </c>
      <c r="G113" s="141">
        <v>390</v>
      </c>
      <c r="H113" s="141">
        <v>390</v>
      </c>
      <c r="I113" s="141">
        <v>390</v>
      </c>
      <c r="J113" s="141">
        <v>390</v>
      </c>
      <c r="K113" s="141">
        <v>390</v>
      </c>
      <c r="L113" s="141">
        <v>390</v>
      </c>
      <c r="M113" s="141">
        <v>390</v>
      </c>
      <c r="N113" s="141">
        <v>390</v>
      </c>
      <c r="O113" s="141">
        <v>390</v>
      </c>
      <c r="P113" s="141">
        <v>390</v>
      </c>
      <c r="Q113" s="141">
        <v>390</v>
      </c>
      <c r="R113" s="141">
        <v>390</v>
      </c>
      <c r="S113" s="141">
        <v>390</v>
      </c>
      <c r="T113" s="141">
        <v>390</v>
      </c>
      <c r="U113" s="141">
        <v>390</v>
      </c>
      <c r="V113" s="141">
        <v>390</v>
      </c>
      <c r="W113" s="141">
        <v>390</v>
      </c>
      <c r="X113" s="141">
        <v>390</v>
      </c>
      <c r="Y113" s="141">
        <v>390</v>
      </c>
      <c r="Z113" s="141">
        <v>390</v>
      </c>
      <c r="AA113" s="141">
        <v>390</v>
      </c>
      <c r="AB113" s="141">
        <v>390</v>
      </c>
      <c r="AC113" s="141">
        <v>390</v>
      </c>
      <c r="AD113" s="141">
        <v>390</v>
      </c>
      <c r="AE113" s="141">
        <v>390</v>
      </c>
      <c r="AF113" s="141">
        <v>0</v>
      </c>
      <c r="AG113" s="141">
        <v>390</v>
      </c>
      <c r="AH113" s="141">
        <v>0</v>
      </c>
      <c r="AI113" s="141">
        <v>390</v>
      </c>
      <c r="AJ113" s="141">
        <v>390</v>
      </c>
      <c r="AK113" s="141">
        <v>390</v>
      </c>
      <c r="AL113" s="141">
        <v>390</v>
      </c>
      <c r="AM113" s="141">
        <v>390</v>
      </c>
      <c r="AN113" s="141">
        <v>390</v>
      </c>
      <c r="AO113" s="141">
        <v>390</v>
      </c>
      <c r="AP113" s="141">
        <v>390</v>
      </c>
      <c r="AQ113" s="141">
        <v>390</v>
      </c>
      <c r="AR113" s="141">
        <f t="shared" si="6"/>
        <v>14430</v>
      </c>
      <c r="AS113" s="169" t="s">
        <v>614</v>
      </c>
    </row>
    <row r="114" spans="1:45">
      <c r="A114" s="144">
        <f t="shared" si="8"/>
        <v>45856</v>
      </c>
      <c r="B114" s="141">
        <f>YEAR(Table7[[#This Row],[Date]])+IF(MONTH(Table7[[#This Row],[Date]])&gt;=4,1,0)</f>
        <v>2026</v>
      </c>
      <c r="C114" s="141">
        <f>YEAR(Table7[[#This Row],[Date]])</f>
        <v>2025</v>
      </c>
      <c r="D114" s="143">
        <f t="shared" si="7"/>
        <v>45839</v>
      </c>
      <c r="E114" s="141">
        <v>390</v>
      </c>
      <c r="F114" s="141">
        <v>390</v>
      </c>
      <c r="G114" s="141">
        <v>390</v>
      </c>
      <c r="H114" s="141">
        <v>390</v>
      </c>
      <c r="I114" s="141">
        <v>390</v>
      </c>
      <c r="J114" s="141">
        <v>390</v>
      </c>
      <c r="K114" s="141">
        <v>390</v>
      </c>
      <c r="L114" s="141">
        <v>390</v>
      </c>
      <c r="M114" s="141">
        <v>390</v>
      </c>
      <c r="N114" s="141">
        <v>390</v>
      </c>
      <c r="O114" s="141">
        <v>390</v>
      </c>
      <c r="P114" s="141">
        <v>390</v>
      </c>
      <c r="Q114" s="141">
        <v>390</v>
      </c>
      <c r="R114" s="141">
        <v>390</v>
      </c>
      <c r="S114" s="141">
        <v>390</v>
      </c>
      <c r="T114" s="141">
        <v>390</v>
      </c>
      <c r="U114" s="141">
        <v>390</v>
      </c>
      <c r="V114" s="141">
        <v>390</v>
      </c>
      <c r="W114" s="141">
        <v>390</v>
      </c>
      <c r="X114" s="141">
        <v>390</v>
      </c>
      <c r="Y114" s="141">
        <v>390</v>
      </c>
      <c r="Z114" s="141">
        <v>390</v>
      </c>
      <c r="AA114" s="141">
        <v>390</v>
      </c>
      <c r="AB114" s="141">
        <v>390</v>
      </c>
      <c r="AC114" s="141">
        <v>390</v>
      </c>
      <c r="AD114" s="141">
        <v>390</v>
      </c>
      <c r="AE114" s="141">
        <v>390</v>
      </c>
      <c r="AF114" s="141">
        <v>0</v>
      </c>
      <c r="AG114" s="141">
        <v>390</v>
      </c>
      <c r="AH114" s="141">
        <v>0</v>
      </c>
      <c r="AI114" s="141">
        <v>390</v>
      </c>
      <c r="AJ114" s="141">
        <v>390</v>
      </c>
      <c r="AK114" s="141">
        <v>390</v>
      </c>
      <c r="AL114" s="141">
        <v>390</v>
      </c>
      <c r="AM114" s="141">
        <v>390</v>
      </c>
      <c r="AN114" s="141">
        <v>390</v>
      </c>
      <c r="AO114" s="141">
        <v>390</v>
      </c>
      <c r="AP114" s="141">
        <v>390</v>
      </c>
      <c r="AQ114" s="141">
        <v>390</v>
      </c>
      <c r="AR114" s="141">
        <f t="shared" si="6"/>
        <v>14430</v>
      </c>
      <c r="AS114" s="169" t="s">
        <v>614</v>
      </c>
    </row>
    <row r="115" spans="1:45">
      <c r="A115" s="144">
        <f t="shared" si="8"/>
        <v>45857</v>
      </c>
      <c r="B115" s="141">
        <f>YEAR(Table7[[#This Row],[Date]])+IF(MONTH(Table7[[#This Row],[Date]])&gt;=4,1,0)</f>
        <v>2026</v>
      </c>
      <c r="C115" s="141">
        <f>YEAR(Table7[[#This Row],[Date]])</f>
        <v>2025</v>
      </c>
      <c r="D115" s="143">
        <f t="shared" si="7"/>
        <v>45839</v>
      </c>
      <c r="E115" s="141">
        <v>195</v>
      </c>
      <c r="F115" s="141">
        <v>195</v>
      </c>
      <c r="G115" s="141">
        <v>195</v>
      </c>
      <c r="H115" s="141">
        <v>195</v>
      </c>
      <c r="I115" s="141">
        <v>195</v>
      </c>
      <c r="J115" s="141">
        <v>195</v>
      </c>
      <c r="K115" s="141">
        <v>195</v>
      </c>
      <c r="L115" s="141">
        <v>195</v>
      </c>
      <c r="M115" s="141">
        <v>195</v>
      </c>
      <c r="N115" s="141">
        <v>195</v>
      </c>
      <c r="O115" s="141">
        <v>195</v>
      </c>
      <c r="P115" s="141">
        <v>195</v>
      </c>
      <c r="Q115" s="141">
        <v>195</v>
      </c>
      <c r="R115" s="141">
        <v>195</v>
      </c>
      <c r="S115" s="141">
        <v>195</v>
      </c>
      <c r="T115" s="141">
        <v>195</v>
      </c>
      <c r="U115" s="141">
        <v>195</v>
      </c>
      <c r="V115" s="141">
        <v>195</v>
      </c>
      <c r="W115" s="141">
        <v>195</v>
      </c>
      <c r="X115" s="141">
        <v>195</v>
      </c>
      <c r="Y115" s="141">
        <v>195</v>
      </c>
      <c r="Z115" s="141">
        <v>195</v>
      </c>
      <c r="AA115" s="141">
        <v>195</v>
      </c>
      <c r="AB115" s="141">
        <v>195</v>
      </c>
      <c r="AC115" s="141">
        <v>195</v>
      </c>
      <c r="AD115" s="141">
        <v>195</v>
      </c>
      <c r="AE115" s="141">
        <v>195</v>
      </c>
      <c r="AF115" s="141">
        <v>0</v>
      </c>
      <c r="AG115" s="141">
        <v>195</v>
      </c>
      <c r="AH115" s="141">
        <v>0</v>
      </c>
      <c r="AI115" s="141">
        <v>195</v>
      </c>
      <c r="AJ115" s="141">
        <v>195</v>
      </c>
      <c r="AK115" s="141">
        <v>195</v>
      </c>
      <c r="AL115" s="141">
        <v>195</v>
      </c>
      <c r="AM115" s="141">
        <v>195</v>
      </c>
      <c r="AN115" s="141">
        <v>195</v>
      </c>
      <c r="AO115" s="141">
        <v>195</v>
      </c>
      <c r="AP115" s="141">
        <v>195</v>
      </c>
      <c r="AQ115" s="141">
        <v>195</v>
      </c>
      <c r="AR115" s="141">
        <f t="shared" si="6"/>
        <v>7215</v>
      </c>
      <c r="AS115" s="169" t="s">
        <v>614</v>
      </c>
    </row>
    <row r="116" spans="1:45">
      <c r="A116" s="144">
        <f t="shared" si="8"/>
        <v>45858</v>
      </c>
      <c r="B116" s="141">
        <f>YEAR(Table7[[#This Row],[Date]])+IF(MONTH(Table7[[#This Row],[Date]])&gt;=4,1,0)</f>
        <v>2026</v>
      </c>
      <c r="C116" s="141">
        <f>YEAR(Table7[[#This Row],[Date]])</f>
        <v>2025</v>
      </c>
      <c r="D116" s="143">
        <f t="shared" si="7"/>
        <v>45839</v>
      </c>
      <c r="E116" s="141">
        <v>285</v>
      </c>
      <c r="F116" s="141">
        <v>285</v>
      </c>
      <c r="G116" s="141">
        <v>285</v>
      </c>
      <c r="H116" s="141">
        <v>285</v>
      </c>
      <c r="I116" s="141">
        <v>285</v>
      </c>
      <c r="J116" s="141">
        <v>285</v>
      </c>
      <c r="K116" s="141">
        <v>285</v>
      </c>
      <c r="L116" s="141">
        <v>285</v>
      </c>
      <c r="M116" s="141">
        <v>285</v>
      </c>
      <c r="N116" s="141">
        <v>285</v>
      </c>
      <c r="O116" s="141">
        <v>285</v>
      </c>
      <c r="P116" s="141">
        <v>285</v>
      </c>
      <c r="Q116" s="141">
        <v>285</v>
      </c>
      <c r="R116" s="141">
        <v>285</v>
      </c>
      <c r="S116" s="141">
        <v>285</v>
      </c>
      <c r="T116" s="141">
        <v>285</v>
      </c>
      <c r="U116" s="141">
        <v>285</v>
      </c>
      <c r="V116" s="141">
        <v>285</v>
      </c>
      <c r="W116" s="141">
        <v>285</v>
      </c>
      <c r="X116" s="141">
        <v>285</v>
      </c>
      <c r="Y116" s="141">
        <v>285</v>
      </c>
      <c r="Z116" s="141">
        <v>285</v>
      </c>
      <c r="AA116" s="141">
        <v>285</v>
      </c>
      <c r="AB116" s="141">
        <v>285</v>
      </c>
      <c r="AC116" s="141">
        <v>285</v>
      </c>
      <c r="AD116" s="141">
        <v>285</v>
      </c>
      <c r="AE116" s="141">
        <v>285</v>
      </c>
      <c r="AF116" s="141">
        <v>0</v>
      </c>
      <c r="AG116" s="141">
        <v>285</v>
      </c>
      <c r="AH116" s="141">
        <v>285</v>
      </c>
      <c r="AI116" s="141">
        <v>285</v>
      </c>
      <c r="AJ116" s="141">
        <v>285</v>
      </c>
      <c r="AK116" s="141">
        <v>285</v>
      </c>
      <c r="AL116" s="141">
        <v>285</v>
      </c>
      <c r="AM116" s="141">
        <v>285</v>
      </c>
      <c r="AN116" s="141">
        <v>285</v>
      </c>
      <c r="AO116" s="141">
        <v>285</v>
      </c>
      <c r="AP116" s="141">
        <v>285</v>
      </c>
      <c r="AQ116" s="141">
        <v>285</v>
      </c>
      <c r="AR116" s="141">
        <f t="shared" si="6"/>
        <v>10830</v>
      </c>
      <c r="AS116" s="169" t="s">
        <v>614</v>
      </c>
    </row>
    <row r="117" spans="1:45">
      <c r="A117" s="144">
        <f t="shared" si="8"/>
        <v>45859</v>
      </c>
      <c r="B117" s="141">
        <f>YEAR(Table7[[#This Row],[Date]])+IF(MONTH(Table7[[#This Row],[Date]])&gt;=4,1,0)</f>
        <v>2026</v>
      </c>
      <c r="C117" s="141">
        <f>YEAR(Table7[[#This Row],[Date]])</f>
        <v>2025</v>
      </c>
      <c r="D117" s="143">
        <f t="shared" si="7"/>
        <v>45839</v>
      </c>
      <c r="E117" s="141">
        <v>127</v>
      </c>
      <c r="F117" s="141">
        <v>127</v>
      </c>
      <c r="G117" s="141">
        <v>127</v>
      </c>
      <c r="H117" s="141">
        <v>127</v>
      </c>
      <c r="I117" s="141">
        <v>127</v>
      </c>
      <c r="J117" s="141">
        <v>127</v>
      </c>
      <c r="K117" s="141">
        <v>127</v>
      </c>
      <c r="L117" s="141">
        <v>127</v>
      </c>
      <c r="M117" s="141">
        <v>127</v>
      </c>
      <c r="N117" s="141">
        <v>127</v>
      </c>
      <c r="O117" s="141">
        <v>127</v>
      </c>
      <c r="P117" s="141">
        <v>127</v>
      </c>
      <c r="Q117" s="141">
        <v>127</v>
      </c>
      <c r="R117" s="141">
        <v>127</v>
      </c>
      <c r="S117" s="141">
        <v>127</v>
      </c>
      <c r="T117" s="141">
        <v>127</v>
      </c>
      <c r="U117" s="141">
        <v>127</v>
      </c>
      <c r="V117" s="141">
        <v>127</v>
      </c>
      <c r="W117" s="141">
        <v>127</v>
      </c>
      <c r="X117" s="141">
        <v>127</v>
      </c>
      <c r="Y117" s="141">
        <v>127</v>
      </c>
      <c r="Z117" s="141">
        <v>127</v>
      </c>
      <c r="AA117" s="141">
        <v>127</v>
      </c>
      <c r="AB117" s="141">
        <v>127</v>
      </c>
      <c r="AC117" s="141">
        <v>127</v>
      </c>
      <c r="AD117" s="141">
        <v>127</v>
      </c>
      <c r="AE117" s="141">
        <v>127</v>
      </c>
      <c r="AF117" s="141">
        <v>0</v>
      </c>
      <c r="AG117" s="141">
        <v>127</v>
      </c>
      <c r="AH117" s="141">
        <v>127</v>
      </c>
      <c r="AI117" s="141">
        <v>127</v>
      </c>
      <c r="AJ117" s="141">
        <v>127</v>
      </c>
      <c r="AK117" s="141">
        <v>127</v>
      </c>
      <c r="AL117" s="141">
        <v>127</v>
      </c>
      <c r="AM117" s="141">
        <v>127</v>
      </c>
      <c r="AN117" s="141">
        <v>127</v>
      </c>
      <c r="AO117" s="141">
        <v>127</v>
      </c>
      <c r="AP117" s="141">
        <v>127</v>
      </c>
      <c r="AQ117" s="141">
        <v>127</v>
      </c>
      <c r="AR117" s="141">
        <f t="shared" si="6"/>
        <v>4826</v>
      </c>
      <c r="AS117" s="169" t="s">
        <v>614</v>
      </c>
    </row>
    <row r="118" spans="1:45">
      <c r="A118" s="144">
        <f t="shared" si="8"/>
        <v>45860</v>
      </c>
      <c r="B118" s="141">
        <f>YEAR(Table7[[#This Row],[Date]])+IF(MONTH(Table7[[#This Row],[Date]])&gt;=4,1,0)</f>
        <v>2026</v>
      </c>
      <c r="C118" s="141">
        <f>YEAR(Table7[[#This Row],[Date]])</f>
        <v>2025</v>
      </c>
      <c r="D118" s="143">
        <f t="shared" si="7"/>
        <v>45839</v>
      </c>
      <c r="E118" s="141">
        <v>0</v>
      </c>
      <c r="F118" s="141">
        <v>0</v>
      </c>
      <c r="G118" s="141">
        <v>0</v>
      </c>
      <c r="H118" s="141">
        <v>0</v>
      </c>
      <c r="I118" s="141">
        <v>0</v>
      </c>
      <c r="J118" s="141">
        <v>0</v>
      </c>
      <c r="K118" s="141">
        <v>0</v>
      </c>
      <c r="L118" s="141">
        <v>0</v>
      </c>
      <c r="M118" s="141">
        <v>0</v>
      </c>
      <c r="N118" s="141">
        <v>0</v>
      </c>
      <c r="O118" s="141">
        <v>0</v>
      </c>
      <c r="P118" s="141">
        <v>0</v>
      </c>
      <c r="Q118" s="141">
        <v>0</v>
      </c>
      <c r="R118" s="141">
        <v>0</v>
      </c>
      <c r="S118" s="141">
        <v>0</v>
      </c>
      <c r="T118" s="141">
        <v>0</v>
      </c>
      <c r="U118" s="141">
        <v>0</v>
      </c>
      <c r="V118" s="141">
        <v>0</v>
      </c>
      <c r="W118" s="141">
        <v>0</v>
      </c>
      <c r="X118" s="141">
        <v>0</v>
      </c>
      <c r="Y118" s="141">
        <v>0</v>
      </c>
      <c r="Z118" s="141">
        <v>0</v>
      </c>
      <c r="AA118" s="141">
        <v>0</v>
      </c>
      <c r="AB118" s="141">
        <v>0</v>
      </c>
      <c r="AC118" s="141">
        <v>0</v>
      </c>
      <c r="AD118" s="141">
        <v>0</v>
      </c>
      <c r="AE118" s="141">
        <v>0</v>
      </c>
      <c r="AF118" s="141">
        <v>0</v>
      </c>
      <c r="AG118" s="141">
        <v>0</v>
      </c>
      <c r="AH118" s="141">
        <v>0</v>
      </c>
      <c r="AI118" s="141">
        <v>0</v>
      </c>
      <c r="AJ118" s="141">
        <v>0</v>
      </c>
      <c r="AK118" s="141">
        <v>0</v>
      </c>
      <c r="AL118" s="141">
        <v>0</v>
      </c>
      <c r="AM118" s="141">
        <v>0</v>
      </c>
      <c r="AN118" s="141">
        <v>0</v>
      </c>
      <c r="AO118" s="141">
        <v>0</v>
      </c>
      <c r="AP118" s="141">
        <v>0</v>
      </c>
      <c r="AQ118" s="141">
        <v>0</v>
      </c>
      <c r="AR118" s="141">
        <f t="shared" si="6"/>
        <v>0</v>
      </c>
      <c r="AS118" s="169" t="s">
        <v>614</v>
      </c>
    </row>
    <row r="119" spans="1:45">
      <c r="A119" s="144">
        <f t="shared" si="8"/>
        <v>45861</v>
      </c>
      <c r="B119" s="141">
        <f>YEAR(Table7[[#This Row],[Date]])+IF(MONTH(Table7[[#This Row],[Date]])&gt;=4,1,0)</f>
        <v>2026</v>
      </c>
      <c r="C119" s="141">
        <f>YEAR(Table7[[#This Row],[Date]])</f>
        <v>2025</v>
      </c>
      <c r="D119" s="143">
        <f t="shared" si="7"/>
        <v>45839</v>
      </c>
      <c r="E119" s="141">
        <v>0</v>
      </c>
      <c r="F119" s="141">
        <v>0</v>
      </c>
      <c r="G119" s="141">
        <v>0</v>
      </c>
      <c r="H119" s="141">
        <v>0</v>
      </c>
      <c r="I119" s="141">
        <v>0</v>
      </c>
      <c r="J119" s="141">
        <v>0</v>
      </c>
      <c r="K119" s="141">
        <v>0</v>
      </c>
      <c r="L119" s="141">
        <v>0</v>
      </c>
      <c r="M119" s="141">
        <v>0</v>
      </c>
      <c r="N119" s="141">
        <v>0</v>
      </c>
      <c r="O119" s="141">
        <v>0</v>
      </c>
      <c r="P119" s="141">
        <v>0</v>
      </c>
      <c r="Q119" s="141">
        <v>0</v>
      </c>
      <c r="R119" s="141">
        <v>0</v>
      </c>
      <c r="S119" s="141">
        <v>0</v>
      </c>
      <c r="T119" s="141">
        <v>0</v>
      </c>
      <c r="U119" s="141">
        <v>0</v>
      </c>
      <c r="V119" s="141">
        <v>0</v>
      </c>
      <c r="W119" s="141">
        <v>0</v>
      </c>
      <c r="X119" s="141">
        <v>0</v>
      </c>
      <c r="Y119" s="141">
        <v>0</v>
      </c>
      <c r="Z119" s="141">
        <v>0</v>
      </c>
      <c r="AA119" s="141">
        <v>0</v>
      </c>
      <c r="AB119" s="141">
        <v>0</v>
      </c>
      <c r="AC119" s="141">
        <v>0</v>
      </c>
      <c r="AD119" s="141">
        <v>0</v>
      </c>
      <c r="AE119" s="141">
        <v>0</v>
      </c>
      <c r="AF119" s="141">
        <v>0</v>
      </c>
      <c r="AG119" s="141">
        <v>0</v>
      </c>
      <c r="AH119" s="141">
        <v>0</v>
      </c>
      <c r="AI119" s="141">
        <v>0</v>
      </c>
      <c r="AJ119" s="141">
        <v>0</v>
      </c>
      <c r="AK119" s="141">
        <v>0</v>
      </c>
      <c r="AL119" s="141">
        <v>0</v>
      </c>
      <c r="AM119" s="141">
        <v>0</v>
      </c>
      <c r="AN119" s="141">
        <v>0</v>
      </c>
      <c r="AO119" s="141">
        <v>0</v>
      </c>
      <c r="AP119" s="141">
        <v>0</v>
      </c>
      <c r="AQ119" s="141">
        <v>0</v>
      </c>
      <c r="AR119" s="141">
        <f t="shared" si="6"/>
        <v>0</v>
      </c>
      <c r="AS119" s="169" t="s">
        <v>614</v>
      </c>
    </row>
    <row r="120" spans="1:45">
      <c r="A120" s="144">
        <f t="shared" si="8"/>
        <v>45862</v>
      </c>
      <c r="B120" s="141">
        <f>YEAR(Table7[[#This Row],[Date]])+IF(MONTH(Table7[[#This Row],[Date]])&gt;=4,1,0)</f>
        <v>2026</v>
      </c>
      <c r="C120" s="141">
        <f>YEAR(Table7[[#This Row],[Date]])</f>
        <v>2025</v>
      </c>
      <c r="D120" s="143">
        <f t="shared" si="7"/>
        <v>45839</v>
      </c>
      <c r="AR120" s="141">
        <f t="shared" si="6"/>
        <v>0</v>
      </c>
    </row>
    <row r="121" spans="1:45">
      <c r="A121" s="144">
        <f t="shared" si="8"/>
        <v>45863</v>
      </c>
      <c r="B121" s="141">
        <f>YEAR(Table7[[#This Row],[Date]])+IF(MONTH(Table7[[#This Row],[Date]])&gt;=4,1,0)</f>
        <v>2026</v>
      </c>
      <c r="C121" s="141">
        <f>YEAR(Table7[[#This Row],[Date]])</f>
        <v>2025</v>
      </c>
      <c r="D121" s="143">
        <f t="shared" si="7"/>
        <v>45839</v>
      </c>
      <c r="AR121" s="141">
        <f t="shared" si="6"/>
        <v>0</v>
      </c>
    </row>
    <row r="122" spans="1:45">
      <c r="A122" s="144">
        <f t="shared" si="8"/>
        <v>45864</v>
      </c>
      <c r="B122" s="141">
        <f>YEAR(Table7[[#This Row],[Date]])+IF(MONTH(Table7[[#This Row],[Date]])&gt;=4,1,0)</f>
        <v>2026</v>
      </c>
      <c r="C122" s="141">
        <f>YEAR(Table7[[#This Row],[Date]])</f>
        <v>2025</v>
      </c>
      <c r="D122" s="143">
        <f t="shared" si="7"/>
        <v>45839</v>
      </c>
      <c r="AR122" s="141">
        <f t="shared" si="6"/>
        <v>0</v>
      </c>
    </row>
    <row r="123" spans="1:45">
      <c r="A123" s="144">
        <f t="shared" si="8"/>
        <v>45865</v>
      </c>
      <c r="B123" s="141">
        <f>YEAR(Table7[[#This Row],[Date]])+IF(MONTH(Table7[[#This Row],[Date]])&gt;=4,1,0)</f>
        <v>2026</v>
      </c>
      <c r="C123" s="141">
        <f>YEAR(Table7[[#This Row],[Date]])</f>
        <v>2025</v>
      </c>
      <c r="D123" s="143">
        <f t="shared" si="7"/>
        <v>45839</v>
      </c>
      <c r="AR123" s="141">
        <f t="shared" si="6"/>
        <v>0</v>
      </c>
    </row>
    <row r="124" spans="1:45">
      <c r="A124" s="144">
        <f t="shared" si="8"/>
        <v>45866</v>
      </c>
      <c r="B124" s="141">
        <f>YEAR(Table7[[#This Row],[Date]])+IF(MONTH(Table7[[#This Row],[Date]])&gt;=4,1,0)</f>
        <v>2026</v>
      </c>
      <c r="C124" s="141">
        <f>YEAR(Table7[[#This Row],[Date]])</f>
        <v>2025</v>
      </c>
      <c r="D124" s="143">
        <f t="shared" si="7"/>
        <v>45839</v>
      </c>
      <c r="AR124" s="141">
        <f t="shared" si="6"/>
        <v>0</v>
      </c>
    </row>
    <row r="125" spans="1:45">
      <c r="A125" s="144">
        <f t="shared" si="8"/>
        <v>45867</v>
      </c>
      <c r="B125" s="141">
        <f>YEAR(Table7[[#This Row],[Date]])+IF(MONTH(Table7[[#This Row],[Date]])&gt;=4,1,0)</f>
        <v>2026</v>
      </c>
      <c r="C125" s="141">
        <f>YEAR(Table7[[#This Row],[Date]])</f>
        <v>2025</v>
      </c>
      <c r="D125" s="143">
        <f t="shared" si="7"/>
        <v>45839</v>
      </c>
      <c r="AR125" s="141">
        <f t="shared" si="6"/>
        <v>0</v>
      </c>
    </row>
    <row r="126" spans="1:45">
      <c r="A126" s="144">
        <f t="shared" si="8"/>
        <v>45868</v>
      </c>
      <c r="B126" s="141">
        <f>YEAR(Table7[[#This Row],[Date]])+IF(MONTH(Table7[[#This Row],[Date]])&gt;=4,1,0)</f>
        <v>2026</v>
      </c>
      <c r="C126" s="141">
        <f>YEAR(Table7[[#This Row],[Date]])</f>
        <v>2025</v>
      </c>
      <c r="D126" s="143">
        <f t="shared" si="7"/>
        <v>45839</v>
      </c>
      <c r="AR126" s="141">
        <f t="shared" si="6"/>
        <v>0</v>
      </c>
    </row>
    <row r="127" spans="1:45">
      <c r="A127" s="144">
        <f t="shared" si="8"/>
        <v>45869</v>
      </c>
      <c r="B127" s="141">
        <f>YEAR(Table7[[#This Row],[Date]])+IF(MONTH(Table7[[#This Row],[Date]])&gt;=4,1,0)</f>
        <v>2026</v>
      </c>
      <c r="C127" s="141">
        <f>YEAR(Table7[[#This Row],[Date]])</f>
        <v>2025</v>
      </c>
      <c r="D127" s="143">
        <f t="shared" si="7"/>
        <v>45839</v>
      </c>
      <c r="AR127" s="141">
        <f t="shared" si="6"/>
        <v>0</v>
      </c>
    </row>
    <row r="128" spans="1:45">
      <c r="A128" s="144">
        <f t="shared" si="8"/>
        <v>45870</v>
      </c>
      <c r="B128" s="141">
        <f>YEAR(Table7[[#This Row],[Date]])+IF(MONTH(Table7[[#This Row],[Date]])&gt;=4,1,0)</f>
        <v>2026</v>
      </c>
      <c r="C128" s="141">
        <f>YEAR(Table7[[#This Row],[Date]])</f>
        <v>2025</v>
      </c>
      <c r="D128" s="143">
        <f t="shared" si="7"/>
        <v>45870</v>
      </c>
      <c r="AR128" s="141">
        <f t="shared" si="6"/>
        <v>0</v>
      </c>
    </row>
    <row r="129" spans="1:44">
      <c r="A129" s="144">
        <f t="shared" si="8"/>
        <v>45871</v>
      </c>
      <c r="B129" s="141">
        <f>YEAR(Table7[[#This Row],[Date]])+IF(MONTH(Table7[[#This Row],[Date]])&gt;=4,1,0)</f>
        <v>2026</v>
      </c>
      <c r="C129" s="141">
        <f>YEAR(Table7[[#This Row],[Date]])</f>
        <v>2025</v>
      </c>
      <c r="D129" s="143">
        <f t="shared" si="7"/>
        <v>45870</v>
      </c>
      <c r="AR129" s="141">
        <f t="shared" si="6"/>
        <v>0</v>
      </c>
    </row>
    <row r="130" spans="1:44">
      <c r="A130" s="144">
        <f t="shared" si="8"/>
        <v>45872</v>
      </c>
      <c r="B130" s="141">
        <f>YEAR(Table7[[#This Row],[Date]])+IF(MONTH(Table7[[#This Row],[Date]])&gt;=4,1,0)</f>
        <v>2026</v>
      </c>
      <c r="C130" s="141">
        <f>YEAR(Table7[[#This Row],[Date]])</f>
        <v>2025</v>
      </c>
      <c r="D130" s="143">
        <f t="shared" si="7"/>
        <v>45870</v>
      </c>
      <c r="AR130" s="141">
        <f t="shared" si="6"/>
        <v>0</v>
      </c>
    </row>
    <row r="131" spans="1:44">
      <c r="A131" s="144">
        <f t="shared" si="8"/>
        <v>45873</v>
      </c>
      <c r="B131" s="141">
        <f>YEAR(Table7[[#This Row],[Date]])+IF(MONTH(Table7[[#This Row],[Date]])&gt;=4,1,0)</f>
        <v>2026</v>
      </c>
      <c r="C131" s="141">
        <f>YEAR(Table7[[#This Row],[Date]])</f>
        <v>2025</v>
      </c>
      <c r="D131" s="143">
        <f t="shared" si="7"/>
        <v>45870</v>
      </c>
      <c r="AR131" s="141">
        <f t="shared" ref="AR131:AR194" si="9">SUM(E131:AQ131)</f>
        <v>0</v>
      </c>
    </row>
    <row r="132" spans="1:44">
      <c r="A132" s="144">
        <f t="shared" si="8"/>
        <v>45874</v>
      </c>
      <c r="B132" s="141">
        <f>YEAR(Table7[[#This Row],[Date]])+IF(MONTH(Table7[[#This Row],[Date]])&gt;=4,1,0)</f>
        <v>2026</v>
      </c>
      <c r="C132" s="141">
        <f>YEAR(Table7[[#This Row],[Date]])</f>
        <v>2025</v>
      </c>
      <c r="D132" s="143">
        <f t="shared" si="7"/>
        <v>45870</v>
      </c>
      <c r="AR132" s="141">
        <f t="shared" si="9"/>
        <v>0</v>
      </c>
    </row>
    <row r="133" spans="1:44">
      <c r="A133" s="144">
        <f t="shared" si="8"/>
        <v>45875</v>
      </c>
      <c r="B133" s="141">
        <f>YEAR(Table7[[#This Row],[Date]])+IF(MONTH(Table7[[#This Row],[Date]])&gt;=4,1,0)</f>
        <v>2026</v>
      </c>
      <c r="C133" s="141">
        <f>YEAR(Table7[[#This Row],[Date]])</f>
        <v>2025</v>
      </c>
      <c r="D133" s="143">
        <f t="shared" si="7"/>
        <v>45870</v>
      </c>
      <c r="AR133" s="141">
        <f t="shared" si="9"/>
        <v>0</v>
      </c>
    </row>
    <row r="134" spans="1:44">
      <c r="A134" s="144">
        <f t="shared" si="8"/>
        <v>45876</v>
      </c>
      <c r="B134" s="141">
        <f>YEAR(Table7[[#This Row],[Date]])+IF(MONTH(Table7[[#This Row],[Date]])&gt;=4,1,0)</f>
        <v>2026</v>
      </c>
      <c r="C134" s="141">
        <f>YEAR(Table7[[#This Row],[Date]])</f>
        <v>2025</v>
      </c>
      <c r="D134" s="143">
        <f t="shared" si="7"/>
        <v>45870</v>
      </c>
      <c r="AR134" s="141">
        <f t="shared" si="9"/>
        <v>0</v>
      </c>
    </row>
    <row r="135" spans="1:44">
      <c r="A135" s="144">
        <f t="shared" si="8"/>
        <v>45877</v>
      </c>
      <c r="B135" s="141">
        <f>YEAR(Table7[[#This Row],[Date]])+IF(MONTH(Table7[[#This Row],[Date]])&gt;=4,1,0)</f>
        <v>2026</v>
      </c>
      <c r="C135" s="141">
        <f>YEAR(Table7[[#This Row],[Date]])</f>
        <v>2025</v>
      </c>
      <c r="D135" s="143">
        <f t="shared" si="7"/>
        <v>45870</v>
      </c>
      <c r="AR135" s="141">
        <f t="shared" si="9"/>
        <v>0</v>
      </c>
    </row>
    <row r="136" spans="1:44">
      <c r="A136" s="144">
        <f t="shared" si="8"/>
        <v>45878</v>
      </c>
      <c r="B136" s="141">
        <f>YEAR(Table7[[#This Row],[Date]])+IF(MONTH(Table7[[#This Row],[Date]])&gt;=4,1,0)</f>
        <v>2026</v>
      </c>
      <c r="C136" s="141">
        <f>YEAR(Table7[[#This Row],[Date]])</f>
        <v>2025</v>
      </c>
      <c r="D136" s="143">
        <f t="shared" si="7"/>
        <v>45870</v>
      </c>
      <c r="AR136" s="141">
        <f t="shared" si="9"/>
        <v>0</v>
      </c>
    </row>
    <row r="137" spans="1:44">
      <c r="A137" s="144">
        <f t="shared" si="8"/>
        <v>45879</v>
      </c>
      <c r="B137" s="141">
        <f>YEAR(Table7[[#This Row],[Date]])+IF(MONTH(Table7[[#This Row],[Date]])&gt;=4,1,0)</f>
        <v>2026</v>
      </c>
      <c r="C137" s="141">
        <f>YEAR(Table7[[#This Row],[Date]])</f>
        <v>2025</v>
      </c>
      <c r="D137" s="143">
        <f t="shared" si="7"/>
        <v>45870</v>
      </c>
      <c r="AR137" s="141">
        <f t="shared" si="9"/>
        <v>0</v>
      </c>
    </row>
    <row r="138" spans="1:44">
      <c r="A138" s="144">
        <f t="shared" si="8"/>
        <v>45880</v>
      </c>
      <c r="B138" s="141">
        <f>YEAR(Table7[[#This Row],[Date]])+IF(MONTH(Table7[[#This Row],[Date]])&gt;=4,1,0)</f>
        <v>2026</v>
      </c>
      <c r="C138" s="141">
        <f>YEAR(Table7[[#This Row],[Date]])</f>
        <v>2025</v>
      </c>
      <c r="D138" s="143">
        <f t="shared" si="7"/>
        <v>45870</v>
      </c>
      <c r="AR138" s="141">
        <f t="shared" si="9"/>
        <v>0</v>
      </c>
    </row>
    <row r="139" spans="1:44">
      <c r="A139" s="144">
        <f t="shared" si="8"/>
        <v>45881</v>
      </c>
      <c r="B139" s="141">
        <f>YEAR(Table7[[#This Row],[Date]])+IF(MONTH(Table7[[#This Row],[Date]])&gt;=4,1,0)</f>
        <v>2026</v>
      </c>
      <c r="C139" s="141">
        <f>YEAR(Table7[[#This Row],[Date]])</f>
        <v>2025</v>
      </c>
      <c r="D139" s="143">
        <f t="shared" si="7"/>
        <v>45870</v>
      </c>
      <c r="AR139" s="141">
        <f t="shared" si="9"/>
        <v>0</v>
      </c>
    </row>
    <row r="140" spans="1:44">
      <c r="A140" s="144">
        <f t="shared" si="8"/>
        <v>45882</v>
      </c>
      <c r="B140" s="141">
        <f>YEAR(Table7[[#This Row],[Date]])+IF(MONTH(Table7[[#This Row],[Date]])&gt;=4,1,0)</f>
        <v>2026</v>
      </c>
      <c r="C140" s="141">
        <f>YEAR(Table7[[#This Row],[Date]])</f>
        <v>2025</v>
      </c>
      <c r="D140" s="143">
        <f t="shared" si="7"/>
        <v>45870</v>
      </c>
      <c r="AR140" s="141">
        <f t="shared" si="9"/>
        <v>0</v>
      </c>
    </row>
    <row r="141" spans="1:44">
      <c r="A141" s="144">
        <f t="shared" si="8"/>
        <v>45883</v>
      </c>
      <c r="B141" s="141">
        <f>YEAR(Table7[[#This Row],[Date]])+IF(MONTH(Table7[[#This Row],[Date]])&gt;=4,1,0)</f>
        <v>2026</v>
      </c>
      <c r="C141" s="141">
        <f>YEAR(Table7[[#This Row],[Date]])</f>
        <v>2025</v>
      </c>
      <c r="D141" s="143">
        <f t="shared" si="7"/>
        <v>45870</v>
      </c>
      <c r="AR141" s="141">
        <f t="shared" si="9"/>
        <v>0</v>
      </c>
    </row>
    <row r="142" spans="1:44">
      <c r="A142" s="144">
        <f t="shared" si="8"/>
        <v>45884</v>
      </c>
      <c r="B142" s="141">
        <f>YEAR(Table7[[#This Row],[Date]])+IF(MONTH(Table7[[#This Row],[Date]])&gt;=4,1,0)</f>
        <v>2026</v>
      </c>
      <c r="C142" s="141">
        <f>YEAR(Table7[[#This Row],[Date]])</f>
        <v>2025</v>
      </c>
      <c r="D142" s="143">
        <f t="shared" si="7"/>
        <v>45870</v>
      </c>
      <c r="AR142" s="141">
        <f t="shared" si="9"/>
        <v>0</v>
      </c>
    </row>
    <row r="143" spans="1:44">
      <c r="A143" s="144">
        <f t="shared" si="8"/>
        <v>45885</v>
      </c>
      <c r="B143" s="141">
        <f>YEAR(Table7[[#This Row],[Date]])+IF(MONTH(Table7[[#This Row],[Date]])&gt;=4,1,0)</f>
        <v>2026</v>
      </c>
      <c r="C143" s="141">
        <f>YEAR(Table7[[#This Row],[Date]])</f>
        <v>2025</v>
      </c>
      <c r="D143" s="143">
        <f t="shared" si="7"/>
        <v>45870</v>
      </c>
      <c r="AR143" s="141">
        <f t="shared" si="9"/>
        <v>0</v>
      </c>
    </row>
    <row r="144" spans="1:44">
      <c r="A144" s="144">
        <f t="shared" si="8"/>
        <v>45886</v>
      </c>
      <c r="B144" s="141">
        <f>YEAR(Table7[[#This Row],[Date]])+IF(MONTH(Table7[[#This Row],[Date]])&gt;=4,1,0)</f>
        <v>2026</v>
      </c>
      <c r="C144" s="141">
        <f>YEAR(Table7[[#This Row],[Date]])</f>
        <v>2025</v>
      </c>
      <c r="D144" s="143">
        <f t="shared" si="7"/>
        <v>45870</v>
      </c>
      <c r="AR144" s="141">
        <f t="shared" si="9"/>
        <v>0</v>
      </c>
    </row>
    <row r="145" spans="1:44">
      <c r="A145" s="144">
        <f t="shared" si="8"/>
        <v>45887</v>
      </c>
      <c r="B145" s="141">
        <f>YEAR(Table7[[#This Row],[Date]])+IF(MONTH(Table7[[#This Row],[Date]])&gt;=4,1,0)</f>
        <v>2026</v>
      </c>
      <c r="C145" s="141">
        <f>YEAR(Table7[[#This Row],[Date]])</f>
        <v>2025</v>
      </c>
      <c r="D145" s="143">
        <f t="shared" si="7"/>
        <v>45870</v>
      </c>
      <c r="AR145" s="141">
        <f t="shared" si="9"/>
        <v>0</v>
      </c>
    </row>
    <row r="146" spans="1:44">
      <c r="A146" s="144">
        <f t="shared" si="8"/>
        <v>45888</v>
      </c>
      <c r="B146" s="141">
        <f>YEAR(Table7[[#This Row],[Date]])+IF(MONTH(Table7[[#This Row],[Date]])&gt;=4,1,0)</f>
        <v>2026</v>
      </c>
      <c r="C146" s="141">
        <f>YEAR(Table7[[#This Row],[Date]])</f>
        <v>2025</v>
      </c>
      <c r="D146" s="143">
        <f t="shared" si="7"/>
        <v>45870</v>
      </c>
      <c r="AR146" s="141">
        <f t="shared" si="9"/>
        <v>0</v>
      </c>
    </row>
    <row r="147" spans="1:44">
      <c r="A147" s="144">
        <f t="shared" si="8"/>
        <v>45889</v>
      </c>
      <c r="B147" s="141">
        <f>YEAR(Table7[[#This Row],[Date]])+IF(MONTH(Table7[[#This Row],[Date]])&gt;=4,1,0)</f>
        <v>2026</v>
      </c>
      <c r="C147" s="141">
        <f>YEAR(Table7[[#This Row],[Date]])</f>
        <v>2025</v>
      </c>
      <c r="D147" s="143">
        <f t="shared" si="7"/>
        <v>45870</v>
      </c>
      <c r="AR147" s="141">
        <f t="shared" si="9"/>
        <v>0</v>
      </c>
    </row>
    <row r="148" spans="1:44">
      <c r="A148" s="144">
        <f t="shared" si="8"/>
        <v>45890</v>
      </c>
      <c r="B148" s="141">
        <f>YEAR(Table7[[#This Row],[Date]])+IF(MONTH(Table7[[#This Row],[Date]])&gt;=4,1,0)</f>
        <v>2026</v>
      </c>
      <c r="C148" s="141">
        <f>YEAR(Table7[[#This Row],[Date]])</f>
        <v>2025</v>
      </c>
      <c r="D148" s="143">
        <f t="shared" si="7"/>
        <v>45870</v>
      </c>
      <c r="AR148" s="141">
        <f t="shared" si="9"/>
        <v>0</v>
      </c>
    </row>
    <row r="149" spans="1:44">
      <c r="A149" s="144">
        <f t="shared" si="8"/>
        <v>45891</v>
      </c>
      <c r="B149" s="141">
        <f>YEAR(Table7[[#This Row],[Date]])+IF(MONTH(Table7[[#This Row],[Date]])&gt;=4,1,0)</f>
        <v>2026</v>
      </c>
      <c r="C149" s="141">
        <f>YEAR(Table7[[#This Row],[Date]])</f>
        <v>2025</v>
      </c>
      <c r="D149" s="143">
        <f t="shared" si="7"/>
        <v>45870</v>
      </c>
      <c r="AR149" s="141">
        <f t="shared" si="9"/>
        <v>0</v>
      </c>
    </row>
    <row r="150" spans="1:44">
      <c r="A150" s="144">
        <f t="shared" si="8"/>
        <v>45892</v>
      </c>
      <c r="B150" s="141">
        <f>YEAR(Table7[[#This Row],[Date]])+IF(MONTH(Table7[[#This Row],[Date]])&gt;=4,1,0)</f>
        <v>2026</v>
      </c>
      <c r="C150" s="141">
        <f>YEAR(Table7[[#This Row],[Date]])</f>
        <v>2025</v>
      </c>
      <c r="D150" s="143">
        <f t="shared" si="7"/>
        <v>45870</v>
      </c>
      <c r="AR150" s="141">
        <f t="shared" si="9"/>
        <v>0</v>
      </c>
    </row>
    <row r="151" spans="1:44">
      <c r="A151" s="144">
        <f t="shared" si="8"/>
        <v>45893</v>
      </c>
      <c r="B151" s="141">
        <f>YEAR(Table7[[#This Row],[Date]])+IF(MONTH(Table7[[#This Row],[Date]])&gt;=4,1,0)</f>
        <v>2026</v>
      </c>
      <c r="C151" s="141">
        <f>YEAR(Table7[[#This Row],[Date]])</f>
        <v>2025</v>
      </c>
      <c r="D151" s="143">
        <f t="shared" si="7"/>
        <v>45870</v>
      </c>
      <c r="AR151" s="141">
        <f t="shared" si="9"/>
        <v>0</v>
      </c>
    </row>
    <row r="152" spans="1:44">
      <c r="A152" s="144">
        <f t="shared" si="8"/>
        <v>45894</v>
      </c>
      <c r="B152" s="141">
        <f>YEAR(Table7[[#This Row],[Date]])+IF(MONTH(Table7[[#This Row],[Date]])&gt;=4,1,0)</f>
        <v>2026</v>
      </c>
      <c r="C152" s="141">
        <f>YEAR(Table7[[#This Row],[Date]])</f>
        <v>2025</v>
      </c>
      <c r="D152" s="143">
        <f t="shared" si="7"/>
        <v>45870</v>
      </c>
      <c r="AR152" s="141">
        <f t="shared" si="9"/>
        <v>0</v>
      </c>
    </row>
    <row r="153" spans="1:44">
      <c r="A153" s="144">
        <f t="shared" si="8"/>
        <v>45895</v>
      </c>
      <c r="B153" s="141">
        <f>YEAR(Table7[[#This Row],[Date]])+IF(MONTH(Table7[[#This Row],[Date]])&gt;=4,1,0)</f>
        <v>2026</v>
      </c>
      <c r="C153" s="141">
        <f>YEAR(Table7[[#This Row],[Date]])</f>
        <v>2025</v>
      </c>
      <c r="D153" s="143">
        <f t="shared" si="7"/>
        <v>45870</v>
      </c>
      <c r="AR153" s="141">
        <f t="shared" si="9"/>
        <v>0</v>
      </c>
    </row>
    <row r="154" spans="1:44">
      <c r="A154" s="144">
        <f t="shared" si="8"/>
        <v>45896</v>
      </c>
      <c r="B154" s="141">
        <f>YEAR(Table7[[#This Row],[Date]])+IF(MONTH(Table7[[#This Row],[Date]])&gt;=4,1,0)</f>
        <v>2026</v>
      </c>
      <c r="C154" s="141">
        <f>YEAR(Table7[[#This Row],[Date]])</f>
        <v>2025</v>
      </c>
      <c r="D154" s="143">
        <f t="shared" si="7"/>
        <v>45870</v>
      </c>
      <c r="AR154" s="141">
        <f t="shared" si="9"/>
        <v>0</v>
      </c>
    </row>
    <row r="155" spans="1:44">
      <c r="A155" s="144">
        <f t="shared" si="8"/>
        <v>45897</v>
      </c>
      <c r="B155" s="141">
        <f>YEAR(Table7[[#This Row],[Date]])+IF(MONTH(Table7[[#This Row],[Date]])&gt;=4,1,0)</f>
        <v>2026</v>
      </c>
      <c r="C155" s="141">
        <f>YEAR(Table7[[#This Row],[Date]])</f>
        <v>2025</v>
      </c>
      <c r="D155" s="143">
        <f t="shared" si="7"/>
        <v>45870</v>
      </c>
      <c r="AR155" s="141">
        <f t="shared" si="9"/>
        <v>0</v>
      </c>
    </row>
    <row r="156" spans="1:44">
      <c r="A156" s="144">
        <f t="shared" si="8"/>
        <v>45898</v>
      </c>
      <c r="B156" s="141">
        <f>YEAR(Table7[[#This Row],[Date]])+IF(MONTH(Table7[[#This Row],[Date]])&gt;=4,1,0)</f>
        <v>2026</v>
      </c>
      <c r="C156" s="141">
        <f>YEAR(Table7[[#This Row],[Date]])</f>
        <v>2025</v>
      </c>
      <c r="D156" s="143">
        <f t="shared" si="7"/>
        <v>45870</v>
      </c>
      <c r="AR156" s="141">
        <f t="shared" si="9"/>
        <v>0</v>
      </c>
    </row>
    <row r="157" spans="1:44">
      <c r="A157" s="144">
        <f t="shared" si="8"/>
        <v>45899</v>
      </c>
      <c r="B157" s="141">
        <f>YEAR(Table7[[#This Row],[Date]])+IF(MONTH(Table7[[#This Row],[Date]])&gt;=4,1,0)</f>
        <v>2026</v>
      </c>
      <c r="C157" s="141">
        <f>YEAR(Table7[[#This Row],[Date]])</f>
        <v>2025</v>
      </c>
      <c r="D157" s="143">
        <f t="shared" si="7"/>
        <v>45870</v>
      </c>
      <c r="AR157" s="141">
        <f t="shared" si="9"/>
        <v>0</v>
      </c>
    </row>
    <row r="158" spans="1:44">
      <c r="A158" s="144">
        <f t="shared" si="8"/>
        <v>45900</v>
      </c>
      <c r="B158" s="141">
        <f>YEAR(Table7[[#This Row],[Date]])+IF(MONTH(Table7[[#This Row],[Date]])&gt;=4,1,0)</f>
        <v>2026</v>
      </c>
      <c r="C158" s="141">
        <f>YEAR(Table7[[#This Row],[Date]])</f>
        <v>2025</v>
      </c>
      <c r="D158" s="143">
        <f t="shared" si="7"/>
        <v>45870</v>
      </c>
      <c r="AR158" s="141">
        <f t="shared" si="9"/>
        <v>0</v>
      </c>
    </row>
    <row r="159" spans="1:44">
      <c r="A159" s="144">
        <f t="shared" si="8"/>
        <v>45901</v>
      </c>
      <c r="B159" s="141">
        <f>YEAR(Table7[[#This Row],[Date]])+IF(MONTH(Table7[[#This Row],[Date]])&gt;=4,1,0)</f>
        <v>2026</v>
      </c>
      <c r="C159" s="141">
        <f>YEAR(Table7[[#This Row],[Date]])</f>
        <v>2025</v>
      </c>
      <c r="D159" s="143">
        <f t="shared" si="7"/>
        <v>45901</v>
      </c>
      <c r="AR159" s="141">
        <f t="shared" si="9"/>
        <v>0</v>
      </c>
    </row>
    <row r="160" spans="1:44">
      <c r="A160" s="144">
        <f t="shared" si="8"/>
        <v>45902</v>
      </c>
      <c r="B160" s="141">
        <f>YEAR(Table7[[#This Row],[Date]])+IF(MONTH(Table7[[#This Row],[Date]])&gt;=4,1,0)</f>
        <v>2026</v>
      </c>
      <c r="C160" s="141">
        <f>YEAR(Table7[[#This Row],[Date]])</f>
        <v>2025</v>
      </c>
      <c r="D160" s="143">
        <f t="shared" si="7"/>
        <v>45901</v>
      </c>
      <c r="AR160" s="141">
        <f t="shared" si="9"/>
        <v>0</v>
      </c>
    </row>
    <row r="161" spans="1:44">
      <c r="A161" s="144">
        <f t="shared" si="8"/>
        <v>45903</v>
      </c>
      <c r="B161" s="141">
        <f>YEAR(Table7[[#This Row],[Date]])+IF(MONTH(Table7[[#This Row],[Date]])&gt;=4,1,0)</f>
        <v>2026</v>
      </c>
      <c r="C161" s="141">
        <f>YEAR(Table7[[#This Row],[Date]])</f>
        <v>2025</v>
      </c>
      <c r="D161" s="143">
        <f t="shared" si="7"/>
        <v>45901</v>
      </c>
      <c r="AR161" s="141">
        <f t="shared" si="9"/>
        <v>0</v>
      </c>
    </row>
    <row r="162" spans="1:44">
      <c r="A162" s="144">
        <f t="shared" si="8"/>
        <v>45904</v>
      </c>
      <c r="B162" s="141">
        <f>YEAR(Table7[[#This Row],[Date]])+IF(MONTH(Table7[[#This Row],[Date]])&gt;=4,1,0)</f>
        <v>2026</v>
      </c>
      <c r="C162" s="141">
        <f>YEAR(Table7[[#This Row],[Date]])</f>
        <v>2025</v>
      </c>
      <c r="D162" s="143">
        <f t="shared" si="7"/>
        <v>45901</v>
      </c>
      <c r="AR162" s="141">
        <f t="shared" si="9"/>
        <v>0</v>
      </c>
    </row>
    <row r="163" spans="1:44">
      <c r="A163" s="144">
        <f t="shared" si="8"/>
        <v>45905</v>
      </c>
      <c r="B163" s="141">
        <f>YEAR(Table7[[#This Row],[Date]])+IF(MONTH(Table7[[#This Row],[Date]])&gt;=4,1,0)</f>
        <v>2026</v>
      </c>
      <c r="C163" s="141">
        <f>YEAR(Table7[[#This Row],[Date]])</f>
        <v>2025</v>
      </c>
      <c r="D163" s="143">
        <f t="shared" si="7"/>
        <v>45901</v>
      </c>
      <c r="AR163" s="141">
        <f t="shared" si="9"/>
        <v>0</v>
      </c>
    </row>
    <row r="164" spans="1:44">
      <c r="A164" s="144">
        <f t="shared" si="8"/>
        <v>45906</v>
      </c>
      <c r="B164" s="141">
        <f>YEAR(Table7[[#This Row],[Date]])+IF(MONTH(Table7[[#This Row],[Date]])&gt;=4,1,0)</f>
        <v>2026</v>
      </c>
      <c r="C164" s="141">
        <f>YEAR(Table7[[#This Row],[Date]])</f>
        <v>2025</v>
      </c>
      <c r="D164" s="143">
        <f t="shared" ref="D164:D227" si="10">A164-DAY(A164)+1</f>
        <v>45901</v>
      </c>
      <c r="AR164" s="141">
        <f t="shared" si="9"/>
        <v>0</v>
      </c>
    </row>
    <row r="165" spans="1:44">
      <c r="A165" s="144">
        <f t="shared" si="8"/>
        <v>45907</v>
      </c>
      <c r="B165" s="141">
        <f>YEAR(Table7[[#This Row],[Date]])+IF(MONTH(Table7[[#This Row],[Date]])&gt;=4,1,0)</f>
        <v>2026</v>
      </c>
      <c r="C165" s="141">
        <f>YEAR(Table7[[#This Row],[Date]])</f>
        <v>2025</v>
      </c>
      <c r="D165" s="143">
        <f t="shared" si="10"/>
        <v>45901</v>
      </c>
      <c r="AR165" s="141">
        <f t="shared" si="9"/>
        <v>0</v>
      </c>
    </row>
    <row r="166" spans="1:44">
      <c r="A166" s="144">
        <f t="shared" ref="A166:A229" si="11">A165+1</f>
        <v>45908</v>
      </c>
      <c r="B166" s="141">
        <f>YEAR(Table7[[#This Row],[Date]])+IF(MONTH(Table7[[#This Row],[Date]])&gt;=4,1,0)</f>
        <v>2026</v>
      </c>
      <c r="C166" s="141">
        <f>YEAR(Table7[[#This Row],[Date]])</f>
        <v>2025</v>
      </c>
      <c r="D166" s="143">
        <f t="shared" si="10"/>
        <v>45901</v>
      </c>
      <c r="AR166" s="141">
        <f t="shared" si="9"/>
        <v>0</v>
      </c>
    </row>
    <row r="167" spans="1:44">
      <c r="A167" s="144">
        <f t="shared" si="11"/>
        <v>45909</v>
      </c>
      <c r="B167" s="141">
        <f>YEAR(Table7[[#This Row],[Date]])+IF(MONTH(Table7[[#This Row],[Date]])&gt;=4,1,0)</f>
        <v>2026</v>
      </c>
      <c r="C167" s="141">
        <f>YEAR(Table7[[#This Row],[Date]])</f>
        <v>2025</v>
      </c>
      <c r="D167" s="143">
        <f t="shared" si="10"/>
        <v>45901</v>
      </c>
      <c r="AR167" s="141">
        <f t="shared" si="9"/>
        <v>0</v>
      </c>
    </row>
    <row r="168" spans="1:44">
      <c r="A168" s="144">
        <f t="shared" si="11"/>
        <v>45910</v>
      </c>
      <c r="B168" s="141">
        <f>YEAR(Table7[[#This Row],[Date]])+IF(MONTH(Table7[[#This Row],[Date]])&gt;=4,1,0)</f>
        <v>2026</v>
      </c>
      <c r="C168" s="141">
        <f>YEAR(Table7[[#This Row],[Date]])</f>
        <v>2025</v>
      </c>
      <c r="D168" s="143">
        <f t="shared" si="10"/>
        <v>45901</v>
      </c>
      <c r="AR168" s="141">
        <f t="shared" si="9"/>
        <v>0</v>
      </c>
    </row>
    <row r="169" spans="1:44">
      <c r="A169" s="144">
        <f t="shared" si="11"/>
        <v>45911</v>
      </c>
      <c r="B169" s="141">
        <f>YEAR(Table7[[#This Row],[Date]])+IF(MONTH(Table7[[#This Row],[Date]])&gt;=4,1,0)</f>
        <v>2026</v>
      </c>
      <c r="C169" s="141">
        <f>YEAR(Table7[[#This Row],[Date]])</f>
        <v>2025</v>
      </c>
      <c r="D169" s="143">
        <f t="shared" si="10"/>
        <v>45901</v>
      </c>
      <c r="AR169" s="141">
        <f t="shared" si="9"/>
        <v>0</v>
      </c>
    </row>
    <row r="170" spans="1:44">
      <c r="A170" s="144">
        <f t="shared" si="11"/>
        <v>45912</v>
      </c>
      <c r="B170" s="141">
        <f>YEAR(Table7[[#This Row],[Date]])+IF(MONTH(Table7[[#This Row],[Date]])&gt;=4,1,0)</f>
        <v>2026</v>
      </c>
      <c r="C170" s="141">
        <f>YEAR(Table7[[#This Row],[Date]])</f>
        <v>2025</v>
      </c>
      <c r="D170" s="143">
        <f t="shared" si="10"/>
        <v>45901</v>
      </c>
      <c r="AR170" s="141">
        <f t="shared" si="9"/>
        <v>0</v>
      </c>
    </row>
    <row r="171" spans="1:44">
      <c r="A171" s="144">
        <f t="shared" si="11"/>
        <v>45913</v>
      </c>
      <c r="B171" s="141">
        <f>YEAR(Table7[[#This Row],[Date]])+IF(MONTH(Table7[[#This Row],[Date]])&gt;=4,1,0)</f>
        <v>2026</v>
      </c>
      <c r="C171" s="141">
        <f>YEAR(Table7[[#This Row],[Date]])</f>
        <v>2025</v>
      </c>
      <c r="D171" s="143">
        <f t="shared" si="10"/>
        <v>45901</v>
      </c>
      <c r="AR171" s="141">
        <f t="shared" si="9"/>
        <v>0</v>
      </c>
    </row>
    <row r="172" spans="1:44">
      <c r="A172" s="144">
        <f t="shared" si="11"/>
        <v>45914</v>
      </c>
      <c r="B172" s="141">
        <f>YEAR(Table7[[#This Row],[Date]])+IF(MONTH(Table7[[#This Row],[Date]])&gt;=4,1,0)</f>
        <v>2026</v>
      </c>
      <c r="C172" s="141">
        <f>YEAR(Table7[[#This Row],[Date]])</f>
        <v>2025</v>
      </c>
      <c r="D172" s="143">
        <f t="shared" si="10"/>
        <v>45901</v>
      </c>
      <c r="AR172" s="141">
        <f t="shared" si="9"/>
        <v>0</v>
      </c>
    </row>
    <row r="173" spans="1:44">
      <c r="A173" s="144">
        <f t="shared" si="11"/>
        <v>45915</v>
      </c>
      <c r="B173" s="141">
        <f>YEAR(Table7[[#This Row],[Date]])+IF(MONTH(Table7[[#This Row],[Date]])&gt;=4,1,0)</f>
        <v>2026</v>
      </c>
      <c r="C173" s="141">
        <f>YEAR(Table7[[#This Row],[Date]])</f>
        <v>2025</v>
      </c>
      <c r="D173" s="143">
        <f t="shared" si="10"/>
        <v>45901</v>
      </c>
      <c r="AR173" s="141">
        <f t="shared" si="9"/>
        <v>0</v>
      </c>
    </row>
    <row r="174" spans="1:44">
      <c r="A174" s="144">
        <f t="shared" si="11"/>
        <v>45916</v>
      </c>
      <c r="B174" s="141">
        <f>YEAR(Table7[[#This Row],[Date]])+IF(MONTH(Table7[[#This Row],[Date]])&gt;=4,1,0)</f>
        <v>2026</v>
      </c>
      <c r="C174" s="141">
        <f>YEAR(Table7[[#This Row],[Date]])</f>
        <v>2025</v>
      </c>
      <c r="D174" s="143">
        <f t="shared" si="10"/>
        <v>45901</v>
      </c>
      <c r="AR174" s="141">
        <f t="shared" si="9"/>
        <v>0</v>
      </c>
    </row>
    <row r="175" spans="1:44">
      <c r="A175" s="144">
        <f t="shared" si="11"/>
        <v>45917</v>
      </c>
      <c r="B175" s="141">
        <f>YEAR(Table7[[#This Row],[Date]])+IF(MONTH(Table7[[#This Row],[Date]])&gt;=4,1,0)</f>
        <v>2026</v>
      </c>
      <c r="C175" s="141">
        <f>YEAR(Table7[[#This Row],[Date]])</f>
        <v>2025</v>
      </c>
      <c r="D175" s="143">
        <f t="shared" si="10"/>
        <v>45901</v>
      </c>
      <c r="AR175" s="141">
        <f t="shared" si="9"/>
        <v>0</v>
      </c>
    </row>
    <row r="176" spans="1:44">
      <c r="A176" s="144">
        <f t="shared" si="11"/>
        <v>45918</v>
      </c>
      <c r="B176" s="141">
        <f>YEAR(Table7[[#This Row],[Date]])+IF(MONTH(Table7[[#This Row],[Date]])&gt;=4,1,0)</f>
        <v>2026</v>
      </c>
      <c r="C176" s="141">
        <f>YEAR(Table7[[#This Row],[Date]])</f>
        <v>2025</v>
      </c>
      <c r="D176" s="143">
        <f t="shared" si="10"/>
        <v>45901</v>
      </c>
      <c r="AR176" s="141">
        <f t="shared" si="9"/>
        <v>0</v>
      </c>
    </row>
    <row r="177" spans="1:44">
      <c r="A177" s="144">
        <f t="shared" si="11"/>
        <v>45919</v>
      </c>
      <c r="B177" s="141">
        <f>YEAR(Table7[[#This Row],[Date]])+IF(MONTH(Table7[[#This Row],[Date]])&gt;=4,1,0)</f>
        <v>2026</v>
      </c>
      <c r="C177" s="141">
        <f>YEAR(Table7[[#This Row],[Date]])</f>
        <v>2025</v>
      </c>
      <c r="D177" s="143">
        <f t="shared" si="10"/>
        <v>45901</v>
      </c>
      <c r="AR177" s="141">
        <f t="shared" si="9"/>
        <v>0</v>
      </c>
    </row>
    <row r="178" spans="1:44">
      <c r="A178" s="144">
        <f t="shared" si="11"/>
        <v>45920</v>
      </c>
      <c r="B178" s="141">
        <f>YEAR(Table7[[#This Row],[Date]])+IF(MONTH(Table7[[#This Row],[Date]])&gt;=4,1,0)</f>
        <v>2026</v>
      </c>
      <c r="C178" s="141">
        <f>YEAR(Table7[[#This Row],[Date]])</f>
        <v>2025</v>
      </c>
      <c r="D178" s="143">
        <f t="shared" si="10"/>
        <v>45901</v>
      </c>
      <c r="AR178" s="141">
        <f t="shared" si="9"/>
        <v>0</v>
      </c>
    </row>
    <row r="179" spans="1:44">
      <c r="A179" s="144">
        <f t="shared" si="11"/>
        <v>45921</v>
      </c>
      <c r="B179" s="141">
        <f>YEAR(Table7[[#This Row],[Date]])+IF(MONTH(Table7[[#This Row],[Date]])&gt;=4,1,0)</f>
        <v>2026</v>
      </c>
      <c r="C179" s="141">
        <f>YEAR(Table7[[#This Row],[Date]])</f>
        <v>2025</v>
      </c>
      <c r="D179" s="143">
        <f t="shared" si="10"/>
        <v>45901</v>
      </c>
      <c r="AR179" s="141">
        <f t="shared" si="9"/>
        <v>0</v>
      </c>
    </row>
    <row r="180" spans="1:44">
      <c r="A180" s="144">
        <f t="shared" si="11"/>
        <v>45922</v>
      </c>
      <c r="B180" s="141">
        <f>YEAR(Table7[[#This Row],[Date]])+IF(MONTH(Table7[[#This Row],[Date]])&gt;=4,1,0)</f>
        <v>2026</v>
      </c>
      <c r="C180" s="141">
        <f>YEAR(Table7[[#This Row],[Date]])</f>
        <v>2025</v>
      </c>
      <c r="D180" s="143">
        <f t="shared" si="10"/>
        <v>45901</v>
      </c>
      <c r="AR180" s="141">
        <f t="shared" si="9"/>
        <v>0</v>
      </c>
    </row>
    <row r="181" spans="1:44">
      <c r="A181" s="144">
        <f t="shared" si="11"/>
        <v>45923</v>
      </c>
      <c r="B181" s="141">
        <f>YEAR(Table7[[#This Row],[Date]])+IF(MONTH(Table7[[#This Row],[Date]])&gt;=4,1,0)</f>
        <v>2026</v>
      </c>
      <c r="C181" s="141">
        <f>YEAR(Table7[[#This Row],[Date]])</f>
        <v>2025</v>
      </c>
      <c r="D181" s="143">
        <f t="shared" si="10"/>
        <v>45901</v>
      </c>
      <c r="AR181" s="141">
        <f t="shared" si="9"/>
        <v>0</v>
      </c>
    </row>
    <row r="182" spans="1:44">
      <c r="A182" s="144">
        <f t="shared" si="11"/>
        <v>45924</v>
      </c>
      <c r="B182" s="141">
        <f>YEAR(Table7[[#This Row],[Date]])+IF(MONTH(Table7[[#This Row],[Date]])&gt;=4,1,0)</f>
        <v>2026</v>
      </c>
      <c r="C182" s="141">
        <f>YEAR(Table7[[#This Row],[Date]])</f>
        <v>2025</v>
      </c>
      <c r="D182" s="143">
        <f t="shared" si="10"/>
        <v>45901</v>
      </c>
      <c r="AR182" s="141">
        <f t="shared" si="9"/>
        <v>0</v>
      </c>
    </row>
    <row r="183" spans="1:44">
      <c r="A183" s="144">
        <f t="shared" si="11"/>
        <v>45925</v>
      </c>
      <c r="B183" s="141">
        <f>YEAR(Table7[[#This Row],[Date]])+IF(MONTH(Table7[[#This Row],[Date]])&gt;=4,1,0)</f>
        <v>2026</v>
      </c>
      <c r="C183" s="141">
        <f>YEAR(Table7[[#This Row],[Date]])</f>
        <v>2025</v>
      </c>
      <c r="D183" s="143">
        <f t="shared" si="10"/>
        <v>45901</v>
      </c>
      <c r="AR183" s="141">
        <f t="shared" si="9"/>
        <v>0</v>
      </c>
    </row>
    <row r="184" spans="1:44">
      <c r="A184" s="144">
        <f t="shared" si="11"/>
        <v>45926</v>
      </c>
      <c r="B184" s="141">
        <f>YEAR(Table7[[#This Row],[Date]])+IF(MONTH(Table7[[#This Row],[Date]])&gt;=4,1,0)</f>
        <v>2026</v>
      </c>
      <c r="C184" s="141">
        <f>YEAR(Table7[[#This Row],[Date]])</f>
        <v>2025</v>
      </c>
      <c r="D184" s="143">
        <f t="shared" si="10"/>
        <v>45901</v>
      </c>
      <c r="AR184" s="141">
        <f t="shared" si="9"/>
        <v>0</v>
      </c>
    </row>
    <row r="185" spans="1:44">
      <c r="A185" s="144">
        <f t="shared" si="11"/>
        <v>45927</v>
      </c>
      <c r="B185" s="141">
        <f>YEAR(Table7[[#This Row],[Date]])+IF(MONTH(Table7[[#This Row],[Date]])&gt;=4,1,0)</f>
        <v>2026</v>
      </c>
      <c r="C185" s="141">
        <f>YEAR(Table7[[#This Row],[Date]])</f>
        <v>2025</v>
      </c>
      <c r="D185" s="143">
        <f t="shared" si="10"/>
        <v>45901</v>
      </c>
      <c r="AR185" s="141">
        <f t="shared" si="9"/>
        <v>0</v>
      </c>
    </row>
    <row r="186" spans="1:44">
      <c r="A186" s="144">
        <f t="shared" si="11"/>
        <v>45928</v>
      </c>
      <c r="B186" s="141">
        <f>YEAR(Table7[[#This Row],[Date]])+IF(MONTH(Table7[[#This Row],[Date]])&gt;=4,1,0)</f>
        <v>2026</v>
      </c>
      <c r="C186" s="141">
        <f>YEAR(Table7[[#This Row],[Date]])</f>
        <v>2025</v>
      </c>
      <c r="D186" s="143">
        <f t="shared" si="10"/>
        <v>45901</v>
      </c>
      <c r="AR186" s="141">
        <f t="shared" si="9"/>
        <v>0</v>
      </c>
    </row>
    <row r="187" spans="1:44">
      <c r="A187" s="144">
        <f t="shared" si="11"/>
        <v>45929</v>
      </c>
      <c r="B187" s="141">
        <f>YEAR(Table7[[#This Row],[Date]])+IF(MONTH(Table7[[#This Row],[Date]])&gt;=4,1,0)</f>
        <v>2026</v>
      </c>
      <c r="C187" s="141">
        <f>YEAR(Table7[[#This Row],[Date]])</f>
        <v>2025</v>
      </c>
      <c r="D187" s="143">
        <f t="shared" si="10"/>
        <v>45901</v>
      </c>
      <c r="AR187" s="141">
        <f t="shared" si="9"/>
        <v>0</v>
      </c>
    </row>
    <row r="188" spans="1:44">
      <c r="A188" s="144">
        <f t="shared" si="11"/>
        <v>45930</v>
      </c>
      <c r="B188" s="141">
        <f>YEAR(Table7[[#This Row],[Date]])+IF(MONTH(Table7[[#This Row],[Date]])&gt;=4,1,0)</f>
        <v>2026</v>
      </c>
      <c r="C188" s="141">
        <f>YEAR(Table7[[#This Row],[Date]])</f>
        <v>2025</v>
      </c>
      <c r="D188" s="143">
        <f t="shared" si="10"/>
        <v>45901</v>
      </c>
      <c r="AR188" s="141">
        <f t="shared" si="9"/>
        <v>0</v>
      </c>
    </row>
    <row r="189" spans="1:44">
      <c r="A189" s="144">
        <f t="shared" si="11"/>
        <v>45931</v>
      </c>
      <c r="B189" s="141">
        <f>YEAR(Table7[[#This Row],[Date]])+IF(MONTH(Table7[[#This Row],[Date]])&gt;=4,1,0)</f>
        <v>2026</v>
      </c>
      <c r="C189" s="141">
        <f>YEAR(Table7[[#This Row],[Date]])</f>
        <v>2025</v>
      </c>
      <c r="D189" s="143">
        <f t="shared" si="10"/>
        <v>45931</v>
      </c>
      <c r="AR189" s="141">
        <f t="shared" si="9"/>
        <v>0</v>
      </c>
    </row>
    <row r="190" spans="1:44">
      <c r="A190" s="144">
        <f t="shared" si="11"/>
        <v>45932</v>
      </c>
      <c r="B190" s="141">
        <f>YEAR(Table7[[#This Row],[Date]])+IF(MONTH(Table7[[#This Row],[Date]])&gt;=4,1,0)</f>
        <v>2026</v>
      </c>
      <c r="C190" s="141">
        <f>YEAR(Table7[[#This Row],[Date]])</f>
        <v>2025</v>
      </c>
      <c r="D190" s="143">
        <f t="shared" si="10"/>
        <v>45931</v>
      </c>
      <c r="AR190" s="141">
        <f t="shared" si="9"/>
        <v>0</v>
      </c>
    </row>
    <row r="191" spans="1:44">
      <c r="A191" s="144">
        <f t="shared" si="11"/>
        <v>45933</v>
      </c>
      <c r="B191" s="141">
        <f>YEAR(Table7[[#This Row],[Date]])+IF(MONTH(Table7[[#This Row],[Date]])&gt;=4,1,0)</f>
        <v>2026</v>
      </c>
      <c r="C191" s="141">
        <f>YEAR(Table7[[#This Row],[Date]])</f>
        <v>2025</v>
      </c>
      <c r="D191" s="143">
        <f t="shared" si="10"/>
        <v>45931</v>
      </c>
      <c r="AR191" s="141">
        <f t="shared" si="9"/>
        <v>0</v>
      </c>
    </row>
    <row r="192" spans="1:44">
      <c r="A192" s="144">
        <f t="shared" si="11"/>
        <v>45934</v>
      </c>
      <c r="B192" s="141">
        <f>YEAR(Table7[[#This Row],[Date]])+IF(MONTH(Table7[[#This Row],[Date]])&gt;=4,1,0)</f>
        <v>2026</v>
      </c>
      <c r="C192" s="141">
        <f>YEAR(Table7[[#This Row],[Date]])</f>
        <v>2025</v>
      </c>
      <c r="D192" s="143">
        <f t="shared" si="10"/>
        <v>45931</v>
      </c>
      <c r="AR192" s="141">
        <f t="shared" si="9"/>
        <v>0</v>
      </c>
    </row>
    <row r="193" spans="1:44">
      <c r="A193" s="144">
        <f t="shared" si="11"/>
        <v>45935</v>
      </c>
      <c r="B193" s="141">
        <f>YEAR(Table7[[#This Row],[Date]])+IF(MONTH(Table7[[#This Row],[Date]])&gt;=4,1,0)</f>
        <v>2026</v>
      </c>
      <c r="C193" s="141">
        <f>YEAR(Table7[[#This Row],[Date]])</f>
        <v>2025</v>
      </c>
      <c r="D193" s="143">
        <f t="shared" si="10"/>
        <v>45931</v>
      </c>
      <c r="AR193" s="141">
        <f t="shared" si="9"/>
        <v>0</v>
      </c>
    </row>
    <row r="194" spans="1:44">
      <c r="A194" s="144">
        <f t="shared" si="11"/>
        <v>45936</v>
      </c>
      <c r="B194" s="141">
        <f>YEAR(Table7[[#This Row],[Date]])+IF(MONTH(Table7[[#This Row],[Date]])&gt;=4,1,0)</f>
        <v>2026</v>
      </c>
      <c r="C194" s="141">
        <f>YEAR(Table7[[#This Row],[Date]])</f>
        <v>2025</v>
      </c>
      <c r="D194" s="143">
        <f t="shared" si="10"/>
        <v>45931</v>
      </c>
      <c r="AR194" s="141">
        <f t="shared" si="9"/>
        <v>0</v>
      </c>
    </row>
    <row r="195" spans="1:44">
      <c r="A195" s="144">
        <f t="shared" si="11"/>
        <v>45937</v>
      </c>
      <c r="B195" s="141">
        <f>YEAR(Table7[[#This Row],[Date]])+IF(MONTH(Table7[[#This Row],[Date]])&gt;=4,1,0)</f>
        <v>2026</v>
      </c>
      <c r="C195" s="141">
        <f>YEAR(Table7[[#This Row],[Date]])</f>
        <v>2025</v>
      </c>
      <c r="D195" s="143">
        <f t="shared" si="10"/>
        <v>45931</v>
      </c>
      <c r="AR195" s="141">
        <f t="shared" ref="AR195:AR258" si="12">SUM(E195:AQ195)</f>
        <v>0</v>
      </c>
    </row>
    <row r="196" spans="1:44">
      <c r="A196" s="144">
        <f t="shared" si="11"/>
        <v>45938</v>
      </c>
      <c r="B196" s="141">
        <f>YEAR(Table7[[#This Row],[Date]])+IF(MONTH(Table7[[#This Row],[Date]])&gt;=4,1,0)</f>
        <v>2026</v>
      </c>
      <c r="C196" s="141">
        <f>YEAR(Table7[[#This Row],[Date]])</f>
        <v>2025</v>
      </c>
      <c r="D196" s="143">
        <f t="shared" si="10"/>
        <v>45931</v>
      </c>
      <c r="AR196" s="141">
        <f t="shared" si="12"/>
        <v>0</v>
      </c>
    </row>
    <row r="197" spans="1:44">
      <c r="A197" s="144">
        <f t="shared" si="11"/>
        <v>45939</v>
      </c>
      <c r="B197" s="141">
        <f>YEAR(Table7[[#This Row],[Date]])+IF(MONTH(Table7[[#This Row],[Date]])&gt;=4,1,0)</f>
        <v>2026</v>
      </c>
      <c r="C197" s="141">
        <f>YEAR(Table7[[#This Row],[Date]])</f>
        <v>2025</v>
      </c>
      <c r="D197" s="143">
        <f t="shared" si="10"/>
        <v>45931</v>
      </c>
      <c r="AR197" s="141">
        <f t="shared" si="12"/>
        <v>0</v>
      </c>
    </row>
    <row r="198" spans="1:44">
      <c r="A198" s="144">
        <f t="shared" si="11"/>
        <v>45940</v>
      </c>
      <c r="B198" s="141">
        <f>YEAR(Table7[[#This Row],[Date]])+IF(MONTH(Table7[[#This Row],[Date]])&gt;=4,1,0)</f>
        <v>2026</v>
      </c>
      <c r="C198" s="141">
        <f>YEAR(Table7[[#This Row],[Date]])</f>
        <v>2025</v>
      </c>
      <c r="D198" s="143">
        <f t="shared" si="10"/>
        <v>45931</v>
      </c>
      <c r="AR198" s="141">
        <f t="shared" si="12"/>
        <v>0</v>
      </c>
    </row>
    <row r="199" spans="1:44">
      <c r="A199" s="144">
        <f t="shared" si="11"/>
        <v>45941</v>
      </c>
      <c r="B199" s="141">
        <f>YEAR(Table7[[#This Row],[Date]])+IF(MONTH(Table7[[#This Row],[Date]])&gt;=4,1,0)</f>
        <v>2026</v>
      </c>
      <c r="C199" s="141">
        <f>YEAR(Table7[[#This Row],[Date]])</f>
        <v>2025</v>
      </c>
      <c r="D199" s="143">
        <f t="shared" si="10"/>
        <v>45931</v>
      </c>
      <c r="AR199" s="141">
        <f t="shared" si="12"/>
        <v>0</v>
      </c>
    </row>
    <row r="200" spans="1:44">
      <c r="A200" s="144">
        <f t="shared" si="11"/>
        <v>45942</v>
      </c>
      <c r="B200" s="141">
        <f>YEAR(Table7[[#This Row],[Date]])+IF(MONTH(Table7[[#This Row],[Date]])&gt;=4,1,0)</f>
        <v>2026</v>
      </c>
      <c r="C200" s="141">
        <f>YEAR(Table7[[#This Row],[Date]])</f>
        <v>2025</v>
      </c>
      <c r="D200" s="143">
        <f t="shared" si="10"/>
        <v>45931</v>
      </c>
      <c r="AR200" s="141">
        <f t="shared" si="12"/>
        <v>0</v>
      </c>
    </row>
    <row r="201" spans="1:44">
      <c r="A201" s="144">
        <f t="shared" si="11"/>
        <v>45943</v>
      </c>
      <c r="B201" s="141">
        <f>YEAR(Table7[[#This Row],[Date]])+IF(MONTH(Table7[[#This Row],[Date]])&gt;=4,1,0)</f>
        <v>2026</v>
      </c>
      <c r="C201" s="141">
        <f>YEAR(Table7[[#This Row],[Date]])</f>
        <v>2025</v>
      </c>
      <c r="D201" s="143">
        <f t="shared" si="10"/>
        <v>45931</v>
      </c>
      <c r="AR201" s="141">
        <f t="shared" si="12"/>
        <v>0</v>
      </c>
    </row>
    <row r="202" spans="1:44">
      <c r="A202" s="144">
        <f t="shared" si="11"/>
        <v>45944</v>
      </c>
      <c r="B202" s="141">
        <f>YEAR(Table7[[#This Row],[Date]])+IF(MONTH(Table7[[#This Row],[Date]])&gt;=4,1,0)</f>
        <v>2026</v>
      </c>
      <c r="C202" s="141">
        <f>YEAR(Table7[[#This Row],[Date]])</f>
        <v>2025</v>
      </c>
      <c r="D202" s="143">
        <f t="shared" si="10"/>
        <v>45931</v>
      </c>
      <c r="AR202" s="141">
        <f t="shared" si="12"/>
        <v>0</v>
      </c>
    </row>
    <row r="203" spans="1:44">
      <c r="A203" s="144">
        <f t="shared" si="11"/>
        <v>45945</v>
      </c>
      <c r="B203" s="141">
        <f>YEAR(Table7[[#This Row],[Date]])+IF(MONTH(Table7[[#This Row],[Date]])&gt;=4,1,0)</f>
        <v>2026</v>
      </c>
      <c r="C203" s="141">
        <f>YEAR(Table7[[#This Row],[Date]])</f>
        <v>2025</v>
      </c>
      <c r="D203" s="143">
        <f t="shared" si="10"/>
        <v>45931</v>
      </c>
      <c r="AR203" s="141">
        <f t="shared" si="12"/>
        <v>0</v>
      </c>
    </row>
    <row r="204" spans="1:44">
      <c r="A204" s="144">
        <f t="shared" si="11"/>
        <v>45946</v>
      </c>
      <c r="B204" s="141">
        <f>YEAR(Table7[[#This Row],[Date]])+IF(MONTH(Table7[[#This Row],[Date]])&gt;=4,1,0)</f>
        <v>2026</v>
      </c>
      <c r="C204" s="141">
        <f>YEAR(Table7[[#This Row],[Date]])</f>
        <v>2025</v>
      </c>
      <c r="D204" s="143">
        <f t="shared" si="10"/>
        <v>45931</v>
      </c>
      <c r="AR204" s="141">
        <f t="shared" si="12"/>
        <v>0</v>
      </c>
    </row>
    <row r="205" spans="1:44">
      <c r="A205" s="144">
        <f t="shared" si="11"/>
        <v>45947</v>
      </c>
      <c r="B205" s="141">
        <f>YEAR(Table7[[#This Row],[Date]])+IF(MONTH(Table7[[#This Row],[Date]])&gt;=4,1,0)</f>
        <v>2026</v>
      </c>
      <c r="C205" s="141">
        <f>YEAR(Table7[[#This Row],[Date]])</f>
        <v>2025</v>
      </c>
      <c r="D205" s="143">
        <f t="shared" si="10"/>
        <v>45931</v>
      </c>
      <c r="AR205" s="141">
        <f t="shared" si="12"/>
        <v>0</v>
      </c>
    </row>
    <row r="206" spans="1:44">
      <c r="A206" s="144">
        <f t="shared" si="11"/>
        <v>45948</v>
      </c>
      <c r="B206" s="141">
        <f>YEAR(Table7[[#This Row],[Date]])+IF(MONTH(Table7[[#This Row],[Date]])&gt;=4,1,0)</f>
        <v>2026</v>
      </c>
      <c r="C206" s="141">
        <f>YEAR(Table7[[#This Row],[Date]])</f>
        <v>2025</v>
      </c>
      <c r="D206" s="143">
        <f t="shared" si="10"/>
        <v>45931</v>
      </c>
      <c r="AR206" s="141">
        <f t="shared" si="12"/>
        <v>0</v>
      </c>
    </row>
    <row r="207" spans="1:44">
      <c r="A207" s="144">
        <f t="shared" si="11"/>
        <v>45949</v>
      </c>
      <c r="B207" s="141">
        <f>YEAR(Table7[[#This Row],[Date]])+IF(MONTH(Table7[[#This Row],[Date]])&gt;=4,1,0)</f>
        <v>2026</v>
      </c>
      <c r="C207" s="141">
        <f>YEAR(Table7[[#This Row],[Date]])</f>
        <v>2025</v>
      </c>
      <c r="D207" s="143">
        <f t="shared" si="10"/>
        <v>45931</v>
      </c>
      <c r="AR207" s="141">
        <f t="shared" si="12"/>
        <v>0</v>
      </c>
    </row>
    <row r="208" spans="1:44">
      <c r="A208" s="144">
        <f t="shared" si="11"/>
        <v>45950</v>
      </c>
      <c r="B208" s="141">
        <f>YEAR(Table7[[#This Row],[Date]])+IF(MONTH(Table7[[#This Row],[Date]])&gt;=4,1,0)</f>
        <v>2026</v>
      </c>
      <c r="C208" s="141">
        <f>YEAR(Table7[[#This Row],[Date]])</f>
        <v>2025</v>
      </c>
      <c r="D208" s="143">
        <f t="shared" si="10"/>
        <v>45931</v>
      </c>
      <c r="AR208" s="141">
        <f t="shared" si="12"/>
        <v>0</v>
      </c>
    </row>
    <row r="209" spans="1:44">
      <c r="A209" s="144">
        <f t="shared" si="11"/>
        <v>45951</v>
      </c>
      <c r="B209" s="141">
        <f>YEAR(Table7[[#This Row],[Date]])+IF(MONTH(Table7[[#This Row],[Date]])&gt;=4,1,0)</f>
        <v>2026</v>
      </c>
      <c r="C209" s="141">
        <f>YEAR(Table7[[#This Row],[Date]])</f>
        <v>2025</v>
      </c>
      <c r="D209" s="143">
        <f t="shared" si="10"/>
        <v>45931</v>
      </c>
      <c r="AR209" s="141">
        <f t="shared" si="12"/>
        <v>0</v>
      </c>
    </row>
    <row r="210" spans="1:44">
      <c r="A210" s="144">
        <f t="shared" si="11"/>
        <v>45952</v>
      </c>
      <c r="B210" s="141">
        <f>YEAR(Table7[[#This Row],[Date]])+IF(MONTH(Table7[[#This Row],[Date]])&gt;=4,1,0)</f>
        <v>2026</v>
      </c>
      <c r="C210" s="141">
        <f>YEAR(Table7[[#This Row],[Date]])</f>
        <v>2025</v>
      </c>
      <c r="D210" s="143">
        <f t="shared" si="10"/>
        <v>45931</v>
      </c>
      <c r="AR210" s="141">
        <f t="shared" si="12"/>
        <v>0</v>
      </c>
    </row>
    <row r="211" spans="1:44">
      <c r="A211" s="144">
        <f t="shared" si="11"/>
        <v>45953</v>
      </c>
      <c r="B211" s="141">
        <f>YEAR(Table7[[#This Row],[Date]])+IF(MONTH(Table7[[#This Row],[Date]])&gt;=4,1,0)</f>
        <v>2026</v>
      </c>
      <c r="C211" s="141">
        <f>YEAR(Table7[[#This Row],[Date]])</f>
        <v>2025</v>
      </c>
      <c r="D211" s="143">
        <f t="shared" si="10"/>
        <v>45931</v>
      </c>
      <c r="AR211" s="141">
        <f t="shared" si="12"/>
        <v>0</v>
      </c>
    </row>
    <row r="212" spans="1:44">
      <c r="A212" s="144">
        <f t="shared" si="11"/>
        <v>45954</v>
      </c>
      <c r="B212" s="141">
        <f>YEAR(Table7[[#This Row],[Date]])+IF(MONTH(Table7[[#This Row],[Date]])&gt;=4,1,0)</f>
        <v>2026</v>
      </c>
      <c r="C212" s="141">
        <f>YEAR(Table7[[#This Row],[Date]])</f>
        <v>2025</v>
      </c>
      <c r="D212" s="143">
        <f t="shared" si="10"/>
        <v>45931</v>
      </c>
      <c r="AR212" s="141">
        <f t="shared" si="12"/>
        <v>0</v>
      </c>
    </row>
    <row r="213" spans="1:44">
      <c r="A213" s="144">
        <f t="shared" si="11"/>
        <v>45955</v>
      </c>
      <c r="B213" s="141">
        <f>YEAR(Table7[[#This Row],[Date]])+IF(MONTH(Table7[[#This Row],[Date]])&gt;=4,1,0)</f>
        <v>2026</v>
      </c>
      <c r="C213" s="141">
        <f>YEAR(Table7[[#This Row],[Date]])</f>
        <v>2025</v>
      </c>
      <c r="D213" s="143">
        <f t="shared" si="10"/>
        <v>45931</v>
      </c>
      <c r="AR213" s="141">
        <f t="shared" si="12"/>
        <v>0</v>
      </c>
    </row>
    <row r="214" spans="1:44">
      <c r="A214" s="144">
        <f t="shared" si="11"/>
        <v>45956</v>
      </c>
      <c r="B214" s="141">
        <f>YEAR(Table7[[#This Row],[Date]])+IF(MONTH(Table7[[#This Row],[Date]])&gt;=4,1,0)</f>
        <v>2026</v>
      </c>
      <c r="C214" s="141">
        <f>YEAR(Table7[[#This Row],[Date]])</f>
        <v>2025</v>
      </c>
      <c r="D214" s="143">
        <f t="shared" si="10"/>
        <v>45931</v>
      </c>
      <c r="AR214" s="141">
        <f t="shared" si="12"/>
        <v>0</v>
      </c>
    </row>
    <row r="215" spans="1:44">
      <c r="A215" s="144">
        <f t="shared" si="11"/>
        <v>45957</v>
      </c>
      <c r="B215" s="141">
        <f>YEAR(Table7[[#This Row],[Date]])+IF(MONTH(Table7[[#This Row],[Date]])&gt;=4,1,0)</f>
        <v>2026</v>
      </c>
      <c r="C215" s="141">
        <f>YEAR(Table7[[#This Row],[Date]])</f>
        <v>2025</v>
      </c>
      <c r="D215" s="143">
        <f t="shared" si="10"/>
        <v>45931</v>
      </c>
      <c r="AR215" s="141">
        <f t="shared" si="12"/>
        <v>0</v>
      </c>
    </row>
    <row r="216" spans="1:44">
      <c r="A216" s="144">
        <f t="shared" si="11"/>
        <v>45958</v>
      </c>
      <c r="B216" s="141">
        <f>YEAR(Table7[[#This Row],[Date]])+IF(MONTH(Table7[[#This Row],[Date]])&gt;=4,1,0)</f>
        <v>2026</v>
      </c>
      <c r="C216" s="141">
        <f>YEAR(Table7[[#This Row],[Date]])</f>
        <v>2025</v>
      </c>
      <c r="D216" s="143">
        <f t="shared" si="10"/>
        <v>45931</v>
      </c>
      <c r="AR216" s="141">
        <f t="shared" si="12"/>
        <v>0</v>
      </c>
    </row>
    <row r="217" spans="1:44">
      <c r="A217" s="144">
        <f t="shared" si="11"/>
        <v>45959</v>
      </c>
      <c r="B217" s="141">
        <f>YEAR(Table7[[#This Row],[Date]])+IF(MONTH(Table7[[#This Row],[Date]])&gt;=4,1,0)</f>
        <v>2026</v>
      </c>
      <c r="C217" s="141">
        <f>YEAR(Table7[[#This Row],[Date]])</f>
        <v>2025</v>
      </c>
      <c r="D217" s="143">
        <f t="shared" si="10"/>
        <v>45931</v>
      </c>
      <c r="AR217" s="141">
        <f t="shared" si="12"/>
        <v>0</v>
      </c>
    </row>
    <row r="218" spans="1:44">
      <c r="A218" s="144">
        <f t="shared" si="11"/>
        <v>45960</v>
      </c>
      <c r="B218" s="141">
        <f>YEAR(Table7[[#This Row],[Date]])+IF(MONTH(Table7[[#This Row],[Date]])&gt;=4,1,0)</f>
        <v>2026</v>
      </c>
      <c r="C218" s="141">
        <f>YEAR(Table7[[#This Row],[Date]])</f>
        <v>2025</v>
      </c>
      <c r="D218" s="143">
        <f t="shared" si="10"/>
        <v>45931</v>
      </c>
      <c r="AR218" s="141">
        <f t="shared" si="12"/>
        <v>0</v>
      </c>
    </row>
    <row r="219" spans="1:44">
      <c r="A219" s="144">
        <f t="shared" si="11"/>
        <v>45961</v>
      </c>
      <c r="B219" s="141">
        <f>YEAR(Table7[[#This Row],[Date]])+IF(MONTH(Table7[[#This Row],[Date]])&gt;=4,1,0)</f>
        <v>2026</v>
      </c>
      <c r="C219" s="141">
        <f>YEAR(Table7[[#This Row],[Date]])</f>
        <v>2025</v>
      </c>
      <c r="D219" s="143">
        <f t="shared" si="10"/>
        <v>45931</v>
      </c>
      <c r="AR219" s="141">
        <f t="shared" si="12"/>
        <v>0</v>
      </c>
    </row>
    <row r="220" spans="1:44">
      <c r="A220" s="144">
        <f t="shared" si="11"/>
        <v>45962</v>
      </c>
      <c r="B220" s="141">
        <f>YEAR(Table7[[#This Row],[Date]])+IF(MONTH(Table7[[#This Row],[Date]])&gt;=4,1,0)</f>
        <v>2026</v>
      </c>
      <c r="C220" s="141">
        <f>YEAR(Table7[[#This Row],[Date]])</f>
        <v>2025</v>
      </c>
      <c r="D220" s="143">
        <f t="shared" si="10"/>
        <v>45962</v>
      </c>
      <c r="AR220" s="141">
        <f t="shared" si="12"/>
        <v>0</v>
      </c>
    </row>
    <row r="221" spans="1:44">
      <c r="A221" s="144">
        <f t="shared" si="11"/>
        <v>45963</v>
      </c>
      <c r="B221" s="141">
        <f>YEAR(Table7[[#This Row],[Date]])+IF(MONTH(Table7[[#This Row],[Date]])&gt;=4,1,0)</f>
        <v>2026</v>
      </c>
      <c r="C221" s="141">
        <f>YEAR(Table7[[#This Row],[Date]])</f>
        <v>2025</v>
      </c>
      <c r="D221" s="143">
        <f t="shared" si="10"/>
        <v>45962</v>
      </c>
      <c r="AR221" s="141">
        <f t="shared" si="12"/>
        <v>0</v>
      </c>
    </row>
    <row r="222" spans="1:44">
      <c r="A222" s="144">
        <f t="shared" si="11"/>
        <v>45964</v>
      </c>
      <c r="B222" s="141">
        <f>YEAR(Table7[[#This Row],[Date]])+IF(MONTH(Table7[[#This Row],[Date]])&gt;=4,1,0)</f>
        <v>2026</v>
      </c>
      <c r="C222" s="141">
        <f>YEAR(Table7[[#This Row],[Date]])</f>
        <v>2025</v>
      </c>
      <c r="D222" s="143">
        <f t="shared" si="10"/>
        <v>45962</v>
      </c>
      <c r="AR222" s="141">
        <f t="shared" si="12"/>
        <v>0</v>
      </c>
    </row>
    <row r="223" spans="1:44">
      <c r="A223" s="144">
        <f t="shared" si="11"/>
        <v>45965</v>
      </c>
      <c r="B223" s="141">
        <f>YEAR(Table7[[#This Row],[Date]])+IF(MONTH(Table7[[#This Row],[Date]])&gt;=4,1,0)</f>
        <v>2026</v>
      </c>
      <c r="C223" s="141">
        <f>YEAR(Table7[[#This Row],[Date]])</f>
        <v>2025</v>
      </c>
      <c r="D223" s="143">
        <f t="shared" si="10"/>
        <v>45962</v>
      </c>
      <c r="AR223" s="141">
        <f t="shared" si="12"/>
        <v>0</v>
      </c>
    </row>
    <row r="224" spans="1:44">
      <c r="A224" s="144">
        <f t="shared" si="11"/>
        <v>45966</v>
      </c>
      <c r="B224" s="141">
        <f>YEAR(Table7[[#This Row],[Date]])+IF(MONTH(Table7[[#This Row],[Date]])&gt;=4,1,0)</f>
        <v>2026</v>
      </c>
      <c r="C224" s="141">
        <f>YEAR(Table7[[#This Row],[Date]])</f>
        <v>2025</v>
      </c>
      <c r="D224" s="143">
        <f t="shared" si="10"/>
        <v>45962</v>
      </c>
      <c r="AR224" s="141">
        <f t="shared" si="12"/>
        <v>0</v>
      </c>
    </row>
    <row r="225" spans="1:44">
      <c r="A225" s="144">
        <f t="shared" si="11"/>
        <v>45967</v>
      </c>
      <c r="B225" s="141">
        <f>YEAR(Table7[[#This Row],[Date]])+IF(MONTH(Table7[[#This Row],[Date]])&gt;=4,1,0)</f>
        <v>2026</v>
      </c>
      <c r="C225" s="141">
        <f>YEAR(Table7[[#This Row],[Date]])</f>
        <v>2025</v>
      </c>
      <c r="D225" s="143">
        <f t="shared" si="10"/>
        <v>45962</v>
      </c>
      <c r="AR225" s="141">
        <f t="shared" si="12"/>
        <v>0</v>
      </c>
    </row>
    <row r="226" spans="1:44">
      <c r="A226" s="144">
        <f t="shared" si="11"/>
        <v>45968</v>
      </c>
      <c r="B226" s="141">
        <f>YEAR(Table7[[#This Row],[Date]])+IF(MONTH(Table7[[#This Row],[Date]])&gt;=4,1,0)</f>
        <v>2026</v>
      </c>
      <c r="C226" s="141">
        <f>YEAR(Table7[[#This Row],[Date]])</f>
        <v>2025</v>
      </c>
      <c r="D226" s="143">
        <f t="shared" si="10"/>
        <v>45962</v>
      </c>
      <c r="AR226" s="141">
        <f t="shared" si="12"/>
        <v>0</v>
      </c>
    </row>
    <row r="227" spans="1:44">
      <c r="A227" s="144">
        <f t="shared" si="11"/>
        <v>45969</v>
      </c>
      <c r="B227" s="141">
        <f>YEAR(Table7[[#This Row],[Date]])+IF(MONTH(Table7[[#This Row],[Date]])&gt;=4,1,0)</f>
        <v>2026</v>
      </c>
      <c r="C227" s="141">
        <f>YEAR(Table7[[#This Row],[Date]])</f>
        <v>2025</v>
      </c>
      <c r="D227" s="143">
        <f t="shared" si="10"/>
        <v>45962</v>
      </c>
      <c r="AR227" s="141">
        <f t="shared" si="12"/>
        <v>0</v>
      </c>
    </row>
    <row r="228" spans="1:44">
      <c r="A228" s="144">
        <f t="shared" si="11"/>
        <v>45970</v>
      </c>
      <c r="B228" s="141">
        <f>YEAR(Table7[[#This Row],[Date]])+IF(MONTH(Table7[[#This Row],[Date]])&gt;=4,1,0)</f>
        <v>2026</v>
      </c>
      <c r="C228" s="141">
        <f>YEAR(Table7[[#This Row],[Date]])</f>
        <v>2025</v>
      </c>
      <c r="D228" s="143">
        <f t="shared" ref="D228:D280" si="13">A228-DAY(A228)+1</f>
        <v>45962</v>
      </c>
      <c r="AR228" s="141">
        <f t="shared" si="12"/>
        <v>0</v>
      </c>
    </row>
    <row r="229" spans="1:44">
      <c r="A229" s="144">
        <f t="shared" si="11"/>
        <v>45971</v>
      </c>
      <c r="B229" s="141">
        <f>YEAR(Table7[[#This Row],[Date]])+IF(MONTH(Table7[[#This Row],[Date]])&gt;=4,1,0)</f>
        <v>2026</v>
      </c>
      <c r="C229" s="141">
        <f>YEAR(Table7[[#This Row],[Date]])</f>
        <v>2025</v>
      </c>
      <c r="D229" s="143">
        <f t="shared" si="13"/>
        <v>45962</v>
      </c>
      <c r="AR229" s="141">
        <f t="shared" si="12"/>
        <v>0</v>
      </c>
    </row>
    <row r="230" spans="1:44">
      <c r="A230" s="144">
        <f t="shared" ref="A230:A280" si="14">A229+1</f>
        <v>45972</v>
      </c>
      <c r="B230" s="141">
        <f>YEAR(Table7[[#This Row],[Date]])+IF(MONTH(Table7[[#This Row],[Date]])&gt;=4,1,0)</f>
        <v>2026</v>
      </c>
      <c r="C230" s="141">
        <f>YEAR(Table7[[#This Row],[Date]])</f>
        <v>2025</v>
      </c>
      <c r="D230" s="143">
        <f t="shared" si="13"/>
        <v>45962</v>
      </c>
      <c r="AR230" s="141">
        <f t="shared" si="12"/>
        <v>0</v>
      </c>
    </row>
    <row r="231" spans="1:44">
      <c r="A231" s="144">
        <f t="shared" si="14"/>
        <v>45973</v>
      </c>
      <c r="B231" s="141">
        <f>YEAR(Table7[[#This Row],[Date]])+IF(MONTH(Table7[[#This Row],[Date]])&gt;=4,1,0)</f>
        <v>2026</v>
      </c>
      <c r="C231" s="141">
        <f>YEAR(Table7[[#This Row],[Date]])</f>
        <v>2025</v>
      </c>
      <c r="D231" s="143">
        <f t="shared" si="13"/>
        <v>45962</v>
      </c>
      <c r="AR231" s="141">
        <f t="shared" si="12"/>
        <v>0</v>
      </c>
    </row>
    <row r="232" spans="1:44">
      <c r="A232" s="144">
        <f t="shared" si="14"/>
        <v>45974</v>
      </c>
      <c r="B232" s="141">
        <f>YEAR(Table7[[#This Row],[Date]])+IF(MONTH(Table7[[#This Row],[Date]])&gt;=4,1,0)</f>
        <v>2026</v>
      </c>
      <c r="C232" s="141">
        <f>YEAR(Table7[[#This Row],[Date]])</f>
        <v>2025</v>
      </c>
      <c r="D232" s="143">
        <f t="shared" si="13"/>
        <v>45962</v>
      </c>
      <c r="AR232" s="141">
        <f t="shared" si="12"/>
        <v>0</v>
      </c>
    </row>
    <row r="233" spans="1:44">
      <c r="A233" s="144">
        <f t="shared" si="14"/>
        <v>45975</v>
      </c>
      <c r="B233" s="141">
        <f>YEAR(Table7[[#This Row],[Date]])+IF(MONTH(Table7[[#This Row],[Date]])&gt;=4,1,0)</f>
        <v>2026</v>
      </c>
      <c r="C233" s="141">
        <f>YEAR(Table7[[#This Row],[Date]])</f>
        <v>2025</v>
      </c>
      <c r="D233" s="143">
        <f t="shared" si="13"/>
        <v>45962</v>
      </c>
      <c r="AR233" s="141">
        <f t="shared" si="12"/>
        <v>0</v>
      </c>
    </row>
    <row r="234" spans="1:44">
      <c r="A234" s="144">
        <f t="shared" si="14"/>
        <v>45976</v>
      </c>
      <c r="B234" s="141">
        <f>YEAR(Table7[[#This Row],[Date]])+IF(MONTH(Table7[[#This Row],[Date]])&gt;=4,1,0)</f>
        <v>2026</v>
      </c>
      <c r="C234" s="141">
        <f>YEAR(Table7[[#This Row],[Date]])</f>
        <v>2025</v>
      </c>
      <c r="D234" s="143">
        <f t="shared" si="13"/>
        <v>45962</v>
      </c>
      <c r="AR234" s="141">
        <f t="shared" si="12"/>
        <v>0</v>
      </c>
    </row>
    <row r="235" spans="1:44">
      <c r="A235" s="144">
        <f t="shared" si="14"/>
        <v>45977</v>
      </c>
      <c r="B235" s="141">
        <f>YEAR(Table7[[#This Row],[Date]])+IF(MONTH(Table7[[#This Row],[Date]])&gt;=4,1,0)</f>
        <v>2026</v>
      </c>
      <c r="C235" s="141">
        <f>YEAR(Table7[[#This Row],[Date]])</f>
        <v>2025</v>
      </c>
      <c r="D235" s="143">
        <f t="shared" si="13"/>
        <v>45962</v>
      </c>
      <c r="AR235" s="141">
        <f t="shared" si="12"/>
        <v>0</v>
      </c>
    </row>
    <row r="236" spans="1:44">
      <c r="A236" s="144">
        <f t="shared" si="14"/>
        <v>45978</v>
      </c>
      <c r="B236" s="141">
        <f>YEAR(Table7[[#This Row],[Date]])+IF(MONTH(Table7[[#This Row],[Date]])&gt;=4,1,0)</f>
        <v>2026</v>
      </c>
      <c r="C236" s="141">
        <f>YEAR(Table7[[#This Row],[Date]])</f>
        <v>2025</v>
      </c>
      <c r="D236" s="143">
        <f t="shared" si="13"/>
        <v>45962</v>
      </c>
      <c r="AR236" s="141">
        <f t="shared" si="12"/>
        <v>0</v>
      </c>
    </row>
    <row r="237" spans="1:44">
      <c r="A237" s="144">
        <f t="shared" si="14"/>
        <v>45979</v>
      </c>
      <c r="B237" s="141">
        <f>YEAR(Table7[[#This Row],[Date]])+IF(MONTH(Table7[[#This Row],[Date]])&gt;=4,1,0)</f>
        <v>2026</v>
      </c>
      <c r="C237" s="141">
        <f>YEAR(Table7[[#This Row],[Date]])</f>
        <v>2025</v>
      </c>
      <c r="D237" s="143">
        <f t="shared" si="13"/>
        <v>45962</v>
      </c>
      <c r="AR237" s="141">
        <f t="shared" si="12"/>
        <v>0</v>
      </c>
    </row>
    <row r="238" spans="1:44">
      <c r="A238" s="144">
        <f t="shared" si="14"/>
        <v>45980</v>
      </c>
      <c r="B238" s="141">
        <f>YEAR(Table7[[#This Row],[Date]])+IF(MONTH(Table7[[#This Row],[Date]])&gt;=4,1,0)</f>
        <v>2026</v>
      </c>
      <c r="C238" s="141">
        <f>YEAR(Table7[[#This Row],[Date]])</f>
        <v>2025</v>
      </c>
      <c r="D238" s="143">
        <f t="shared" si="13"/>
        <v>45962</v>
      </c>
      <c r="AR238" s="141">
        <f t="shared" si="12"/>
        <v>0</v>
      </c>
    </row>
    <row r="239" spans="1:44">
      <c r="A239" s="144">
        <f t="shared" si="14"/>
        <v>45981</v>
      </c>
      <c r="B239" s="141">
        <f>YEAR(Table7[[#This Row],[Date]])+IF(MONTH(Table7[[#This Row],[Date]])&gt;=4,1,0)</f>
        <v>2026</v>
      </c>
      <c r="C239" s="141">
        <f>YEAR(Table7[[#This Row],[Date]])</f>
        <v>2025</v>
      </c>
      <c r="D239" s="143">
        <f t="shared" si="13"/>
        <v>45962</v>
      </c>
      <c r="AR239" s="141">
        <f t="shared" si="12"/>
        <v>0</v>
      </c>
    </row>
    <row r="240" spans="1:44">
      <c r="A240" s="144">
        <f t="shared" si="14"/>
        <v>45982</v>
      </c>
      <c r="B240" s="141">
        <f>YEAR(Table7[[#This Row],[Date]])+IF(MONTH(Table7[[#This Row],[Date]])&gt;=4,1,0)</f>
        <v>2026</v>
      </c>
      <c r="C240" s="141">
        <f>YEAR(Table7[[#This Row],[Date]])</f>
        <v>2025</v>
      </c>
      <c r="D240" s="143">
        <f t="shared" si="13"/>
        <v>45962</v>
      </c>
      <c r="AR240" s="141">
        <f t="shared" si="12"/>
        <v>0</v>
      </c>
    </row>
    <row r="241" spans="1:44">
      <c r="A241" s="144">
        <f t="shared" si="14"/>
        <v>45983</v>
      </c>
      <c r="B241" s="141">
        <f>YEAR(Table7[[#This Row],[Date]])+IF(MONTH(Table7[[#This Row],[Date]])&gt;=4,1,0)</f>
        <v>2026</v>
      </c>
      <c r="C241" s="141">
        <f>YEAR(Table7[[#This Row],[Date]])</f>
        <v>2025</v>
      </c>
      <c r="D241" s="143">
        <f t="shared" si="13"/>
        <v>45962</v>
      </c>
      <c r="AR241" s="141">
        <f t="shared" si="12"/>
        <v>0</v>
      </c>
    </row>
    <row r="242" spans="1:44">
      <c r="A242" s="144">
        <f t="shared" si="14"/>
        <v>45984</v>
      </c>
      <c r="B242" s="141">
        <f>YEAR(Table7[[#This Row],[Date]])+IF(MONTH(Table7[[#This Row],[Date]])&gt;=4,1,0)</f>
        <v>2026</v>
      </c>
      <c r="C242" s="141">
        <f>YEAR(Table7[[#This Row],[Date]])</f>
        <v>2025</v>
      </c>
      <c r="D242" s="143">
        <f t="shared" si="13"/>
        <v>45962</v>
      </c>
      <c r="AR242" s="141">
        <f t="shared" si="12"/>
        <v>0</v>
      </c>
    </row>
    <row r="243" spans="1:44">
      <c r="A243" s="144">
        <f t="shared" si="14"/>
        <v>45985</v>
      </c>
      <c r="B243" s="141">
        <f>YEAR(Table7[[#This Row],[Date]])+IF(MONTH(Table7[[#This Row],[Date]])&gt;=4,1,0)</f>
        <v>2026</v>
      </c>
      <c r="C243" s="141">
        <f>YEAR(Table7[[#This Row],[Date]])</f>
        <v>2025</v>
      </c>
      <c r="D243" s="143">
        <f t="shared" si="13"/>
        <v>45962</v>
      </c>
      <c r="AR243" s="141">
        <f t="shared" si="12"/>
        <v>0</v>
      </c>
    </row>
    <row r="244" spans="1:44">
      <c r="A244" s="144">
        <f t="shared" si="14"/>
        <v>45986</v>
      </c>
      <c r="B244" s="141">
        <f>YEAR(Table7[[#This Row],[Date]])+IF(MONTH(Table7[[#This Row],[Date]])&gt;=4,1,0)</f>
        <v>2026</v>
      </c>
      <c r="C244" s="141">
        <f>YEAR(Table7[[#This Row],[Date]])</f>
        <v>2025</v>
      </c>
      <c r="D244" s="143">
        <f t="shared" si="13"/>
        <v>45962</v>
      </c>
      <c r="AR244" s="141">
        <f t="shared" si="12"/>
        <v>0</v>
      </c>
    </row>
    <row r="245" spans="1:44">
      <c r="A245" s="144">
        <f t="shared" si="14"/>
        <v>45987</v>
      </c>
      <c r="B245" s="141">
        <f>YEAR(Table7[[#This Row],[Date]])+IF(MONTH(Table7[[#This Row],[Date]])&gt;=4,1,0)</f>
        <v>2026</v>
      </c>
      <c r="C245" s="141">
        <f>YEAR(Table7[[#This Row],[Date]])</f>
        <v>2025</v>
      </c>
      <c r="D245" s="143">
        <f t="shared" si="13"/>
        <v>45962</v>
      </c>
      <c r="AR245" s="141">
        <f t="shared" si="12"/>
        <v>0</v>
      </c>
    </row>
    <row r="246" spans="1:44">
      <c r="A246" s="144">
        <f t="shared" si="14"/>
        <v>45988</v>
      </c>
      <c r="B246" s="141">
        <f>YEAR(Table7[[#This Row],[Date]])+IF(MONTH(Table7[[#This Row],[Date]])&gt;=4,1,0)</f>
        <v>2026</v>
      </c>
      <c r="C246" s="141">
        <f>YEAR(Table7[[#This Row],[Date]])</f>
        <v>2025</v>
      </c>
      <c r="D246" s="143">
        <f t="shared" si="13"/>
        <v>45962</v>
      </c>
      <c r="AR246" s="141">
        <f t="shared" si="12"/>
        <v>0</v>
      </c>
    </row>
    <row r="247" spans="1:44">
      <c r="A247" s="144">
        <f t="shared" si="14"/>
        <v>45989</v>
      </c>
      <c r="B247" s="141">
        <f>YEAR(Table7[[#This Row],[Date]])+IF(MONTH(Table7[[#This Row],[Date]])&gt;=4,1,0)</f>
        <v>2026</v>
      </c>
      <c r="C247" s="141">
        <f>YEAR(Table7[[#This Row],[Date]])</f>
        <v>2025</v>
      </c>
      <c r="D247" s="143">
        <f t="shared" si="13"/>
        <v>45962</v>
      </c>
      <c r="AR247" s="141">
        <f t="shared" si="12"/>
        <v>0</v>
      </c>
    </row>
    <row r="248" spans="1:44">
      <c r="A248" s="144">
        <f t="shared" si="14"/>
        <v>45990</v>
      </c>
      <c r="B248" s="141">
        <f>YEAR(Table7[[#This Row],[Date]])+IF(MONTH(Table7[[#This Row],[Date]])&gt;=4,1,0)</f>
        <v>2026</v>
      </c>
      <c r="C248" s="141">
        <f>YEAR(Table7[[#This Row],[Date]])</f>
        <v>2025</v>
      </c>
      <c r="D248" s="143">
        <f t="shared" si="13"/>
        <v>45962</v>
      </c>
      <c r="AR248" s="141">
        <f t="shared" si="12"/>
        <v>0</v>
      </c>
    </row>
    <row r="249" spans="1:44">
      <c r="A249" s="144">
        <f t="shared" si="14"/>
        <v>45991</v>
      </c>
      <c r="B249" s="141">
        <f>YEAR(Table7[[#This Row],[Date]])+IF(MONTH(Table7[[#This Row],[Date]])&gt;=4,1,0)</f>
        <v>2026</v>
      </c>
      <c r="C249" s="141">
        <f>YEAR(Table7[[#This Row],[Date]])</f>
        <v>2025</v>
      </c>
      <c r="D249" s="143">
        <f t="shared" si="13"/>
        <v>45962</v>
      </c>
      <c r="AR249" s="141">
        <f t="shared" si="12"/>
        <v>0</v>
      </c>
    </row>
    <row r="250" spans="1:44">
      <c r="A250" s="144">
        <f t="shared" si="14"/>
        <v>45992</v>
      </c>
      <c r="B250" s="141">
        <f>YEAR(Table7[[#This Row],[Date]])+IF(MONTH(Table7[[#This Row],[Date]])&gt;=4,1,0)</f>
        <v>2026</v>
      </c>
      <c r="C250" s="141">
        <f>YEAR(Table7[[#This Row],[Date]])</f>
        <v>2025</v>
      </c>
      <c r="D250" s="143">
        <f t="shared" si="13"/>
        <v>45992</v>
      </c>
      <c r="AR250" s="141">
        <f t="shared" si="12"/>
        <v>0</v>
      </c>
    </row>
    <row r="251" spans="1:44">
      <c r="A251" s="144">
        <f t="shared" si="14"/>
        <v>45993</v>
      </c>
      <c r="B251" s="141">
        <f>YEAR(Table7[[#This Row],[Date]])+IF(MONTH(Table7[[#This Row],[Date]])&gt;=4,1,0)</f>
        <v>2026</v>
      </c>
      <c r="C251" s="141">
        <f>YEAR(Table7[[#This Row],[Date]])</f>
        <v>2025</v>
      </c>
      <c r="D251" s="143">
        <f t="shared" si="13"/>
        <v>45992</v>
      </c>
      <c r="AR251" s="141">
        <f t="shared" si="12"/>
        <v>0</v>
      </c>
    </row>
    <row r="252" spans="1:44">
      <c r="A252" s="144">
        <f t="shared" si="14"/>
        <v>45994</v>
      </c>
      <c r="B252" s="141">
        <f>YEAR(Table7[[#This Row],[Date]])+IF(MONTH(Table7[[#This Row],[Date]])&gt;=4,1,0)</f>
        <v>2026</v>
      </c>
      <c r="C252" s="141">
        <f>YEAR(Table7[[#This Row],[Date]])</f>
        <v>2025</v>
      </c>
      <c r="D252" s="143">
        <f t="shared" si="13"/>
        <v>45992</v>
      </c>
      <c r="AR252" s="141">
        <f t="shared" si="12"/>
        <v>0</v>
      </c>
    </row>
    <row r="253" spans="1:44">
      <c r="A253" s="144">
        <f t="shared" si="14"/>
        <v>45995</v>
      </c>
      <c r="B253" s="141">
        <f>YEAR(Table7[[#This Row],[Date]])+IF(MONTH(Table7[[#This Row],[Date]])&gt;=4,1,0)</f>
        <v>2026</v>
      </c>
      <c r="C253" s="141">
        <f>YEAR(Table7[[#This Row],[Date]])</f>
        <v>2025</v>
      </c>
      <c r="D253" s="143">
        <f t="shared" si="13"/>
        <v>45992</v>
      </c>
      <c r="AR253" s="141">
        <f t="shared" si="12"/>
        <v>0</v>
      </c>
    </row>
    <row r="254" spans="1:44">
      <c r="A254" s="144">
        <f t="shared" si="14"/>
        <v>45996</v>
      </c>
      <c r="B254" s="141">
        <f>YEAR(Table7[[#This Row],[Date]])+IF(MONTH(Table7[[#This Row],[Date]])&gt;=4,1,0)</f>
        <v>2026</v>
      </c>
      <c r="C254" s="141">
        <f>YEAR(Table7[[#This Row],[Date]])</f>
        <v>2025</v>
      </c>
      <c r="D254" s="143">
        <f t="shared" si="13"/>
        <v>45992</v>
      </c>
      <c r="AR254" s="141">
        <f t="shared" si="12"/>
        <v>0</v>
      </c>
    </row>
    <row r="255" spans="1:44">
      <c r="A255" s="144">
        <f t="shared" si="14"/>
        <v>45997</v>
      </c>
      <c r="B255" s="141">
        <f>YEAR(Table7[[#This Row],[Date]])+IF(MONTH(Table7[[#This Row],[Date]])&gt;=4,1,0)</f>
        <v>2026</v>
      </c>
      <c r="C255" s="141">
        <f>YEAR(Table7[[#This Row],[Date]])</f>
        <v>2025</v>
      </c>
      <c r="D255" s="143">
        <f t="shared" si="13"/>
        <v>45992</v>
      </c>
      <c r="AR255" s="141">
        <f t="shared" si="12"/>
        <v>0</v>
      </c>
    </row>
    <row r="256" spans="1:44">
      <c r="A256" s="144">
        <f t="shared" si="14"/>
        <v>45998</v>
      </c>
      <c r="B256" s="141">
        <f>YEAR(Table7[[#This Row],[Date]])+IF(MONTH(Table7[[#This Row],[Date]])&gt;=4,1,0)</f>
        <v>2026</v>
      </c>
      <c r="C256" s="141">
        <f>YEAR(Table7[[#This Row],[Date]])</f>
        <v>2025</v>
      </c>
      <c r="D256" s="143">
        <f t="shared" si="13"/>
        <v>45992</v>
      </c>
      <c r="AR256" s="141">
        <f t="shared" si="12"/>
        <v>0</v>
      </c>
    </row>
    <row r="257" spans="1:44">
      <c r="A257" s="144">
        <f t="shared" si="14"/>
        <v>45999</v>
      </c>
      <c r="B257" s="141">
        <f>YEAR(Table7[[#This Row],[Date]])+IF(MONTH(Table7[[#This Row],[Date]])&gt;=4,1,0)</f>
        <v>2026</v>
      </c>
      <c r="C257" s="141">
        <f>YEAR(Table7[[#This Row],[Date]])</f>
        <v>2025</v>
      </c>
      <c r="D257" s="143">
        <f t="shared" si="13"/>
        <v>45992</v>
      </c>
      <c r="AR257" s="141">
        <f t="shared" si="12"/>
        <v>0</v>
      </c>
    </row>
    <row r="258" spans="1:44">
      <c r="A258" s="144">
        <f t="shared" si="14"/>
        <v>46000</v>
      </c>
      <c r="B258" s="141">
        <f>YEAR(Table7[[#This Row],[Date]])+IF(MONTH(Table7[[#This Row],[Date]])&gt;=4,1,0)</f>
        <v>2026</v>
      </c>
      <c r="C258" s="141">
        <f>YEAR(Table7[[#This Row],[Date]])</f>
        <v>2025</v>
      </c>
      <c r="D258" s="143">
        <f t="shared" si="13"/>
        <v>45992</v>
      </c>
      <c r="AR258" s="141">
        <f t="shared" si="12"/>
        <v>0</v>
      </c>
    </row>
    <row r="259" spans="1:44">
      <c r="A259" s="144">
        <f t="shared" si="14"/>
        <v>46001</v>
      </c>
      <c r="B259" s="141">
        <f>YEAR(Table7[[#This Row],[Date]])+IF(MONTH(Table7[[#This Row],[Date]])&gt;=4,1,0)</f>
        <v>2026</v>
      </c>
      <c r="C259" s="141">
        <f>YEAR(Table7[[#This Row],[Date]])</f>
        <v>2025</v>
      </c>
      <c r="D259" s="143">
        <f t="shared" si="13"/>
        <v>45992</v>
      </c>
      <c r="AR259" s="141">
        <f t="shared" ref="AR259:AR280" si="15">SUM(E259:AQ259)</f>
        <v>0</v>
      </c>
    </row>
    <row r="260" spans="1:44">
      <c r="A260" s="144">
        <f t="shared" si="14"/>
        <v>46002</v>
      </c>
      <c r="B260" s="141">
        <f>YEAR(Table7[[#This Row],[Date]])+IF(MONTH(Table7[[#This Row],[Date]])&gt;=4,1,0)</f>
        <v>2026</v>
      </c>
      <c r="C260" s="141">
        <f>YEAR(Table7[[#This Row],[Date]])</f>
        <v>2025</v>
      </c>
      <c r="D260" s="143">
        <f t="shared" si="13"/>
        <v>45992</v>
      </c>
      <c r="AR260" s="141">
        <f t="shared" si="15"/>
        <v>0</v>
      </c>
    </row>
    <row r="261" spans="1:44">
      <c r="A261" s="144">
        <f t="shared" si="14"/>
        <v>46003</v>
      </c>
      <c r="B261" s="141">
        <f>YEAR(Table7[[#This Row],[Date]])+IF(MONTH(Table7[[#This Row],[Date]])&gt;=4,1,0)</f>
        <v>2026</v>
      </c>
      <c r="C261" s="141">
        <f>YEAR(Table7[[#This Row],[Date]])</f>
        <v>2025</v>
      </c>
      <c r="D261" s="143">
        <f t="shared" si="13"/>
        <v>45992</v>
      </c>
      <c r="AR261" s="141">
        <f t="shared" si="15"/>
        <v>0</v>
      </c>
    </row>
    <row r="262" spans="1:44">
      <c r="A262" s="144">
        <f t="shared" si="14"/>
        <v>46004</v>
      </c>
      <c r="B262" s="141">
        <f>YEAR(Table7[[#This Row],[Date]])+IF(MONTH(Table7[[#This Row],[Date]])&gt;=4,1,0)</f>
        <v>2026</v>
      </c>
      <c r="C262" s="141">
        <f>YEAR(Table7[[#This Row],[Date]])</f>
        <v>2025</v>
      </c>
      <c r="D262" s="143">
        <f t="shared" si="13"/>
        <v>45992</v>
      </c>
      <c r="AR262" s="141">
        <f t="shared" si="15"/>
        <v>0</v>
      </c>
    </row>
    <row r="263" spans="1:44">
      <c r="A263" s="144">
        <f t="shared" si="14"/>
        <v>46005</v>
      </c>
      <c r="B263" s="141">
        <f>YEAR(Table7[[#This Row],[Date]])+IF(MONTH(Table7[[#This Row],[Date]])&gt;=4,1,0)</f>
        <v>2026</v>
      </c>
      <c r="C263" s="141">
        <f>YEAR(Table7[[#This Row],[Date]])</f>
        <v>2025</v>
      </c>
      <c r="D263" s="143">
        <f t="shared" si="13"/>
        <v>45992</v>
      </c>
      <c r="AR263" s="141">
        <f t="shared" si="15"/>
        <v>0</v>
      </c>
    </row>
    <row r="264" spans="1:44">
      <c r="A264" s="144">
        <f t="shared" si="14"/>
        <v>46006</v>
      </c>
      <c r="B264" s="141">
        <f>YEAR(Table7[[#This Row],[Date]])+IF(MONTH(Table7[[#This Row],[Date]])&gt;=4,1,0)</f>
        <v>2026</v>
      </c>
      <c r="C264" s="141">
        <f>YEAR(Table7[[#This Row],[Date]])</f>
        <v>2025</v>
      </c>
      <c r="D264" s="143">
        <f t="shared" si="13"/>
        <v>45992</v>
      </c>
      <c r="AR264" s="141">
        <f t="shared" si="15"/>
        <v>0</v>
      </c>
    </row>
    <row r="265" spans="1:44">
      <c r="A265" s="144">
        <f t="shared" si="14"/>
        <v>46007</v>
      </c>
      <c r="B265" s="141">
        <f>YEAR(Table7[[#This Row],[Date]])+IF(MONTH(Table7[[#This Row],[Date]])&gt;=4,1,0)</f>
        <v>2026</v>
      </c>
      <c r="C265" s="141">
        <f>YEAR(Table7[[#This Row],[Date]])</f>
        <v>2025</v>
      </c>
      <c r="D265" s="143">
        <f t="shared" si="13"/>
        <v>45992</v>
      </c>
      <c r="AR265" s="141">
        <f t="shared" si="15"/>
        <v>0</v>
      </c>
    </row>
    <row r="266" spans="1:44">
      <c r="A266" s="144">
        <f t="shared" si="14"/>
        <v>46008</v>
      </c>
      <c r="B266" s="141">
        <f>YEAR(Table7[[#This Row],[Date]])+IF(MONTH(Table7[[#This Row],[Date]])&gt;=4,1,0)</f>
        <v>2026</v>
      </c>
      <c r="C266" s="141">
        <f>YEAR(Table7[[#This Row],[Date]])</f>
        <v>2025</v>
      </c>
      <c r="D266" s="143">
        <f t="shared" si="13"/>
        <v>45992</v>
      </c>
      <c r="AR266" s="141">
        <f t="shared" si="15"/>
        <v>0</v>
      </c>
    </row>
    <row r="267" spans="1:44">
      <c r="A267" s="144">
        <f t="shared" si="14"/>
        <v>46009</v>
      </c>
      <c r="B267" s="141">
        <f>YEAR(Table7[[#This Row],[Date]])+IF(MONTH(Table7[[#This Row],[Date]])&gt;=4,1,0)</f>
        <v>2026</v>
      </c>
      <c r="C267" s="141">
        <f>YEAR(Table7[[#This Row],[Date]])</f>
        <v>2025</v>
      </c>
      <c r="D267" s="143">
        <f t="shared" si="13"/>
        <v>45992</v>
      </c>
      <c r="AR267" s="141">
        <f t="shared" si="15"/>
        <v>0</v>
      </c>
    </row>
    <row r="268" spans="1:44">
      <c r="A268" s="144">
        <f t="shared" si="14"/>
        <v>46010</v>
      </c>
      <c r="B268" s="141">
        <f>YEAR(Table7[[#This Row],[Date]])+IF(MONTH(Table7[[#This Row],[Date]])&gt;=4,1,0)</f>
        <v>2026</v>
      </c>
      <c r="C268" s="141">
        <f>YEAR(Table7[[#This Row],[Date]])</f>
        <v>2025</v>
      </c>
      <c r="D268" s="143">
        <f t="shared" si="13"/>
        <v>45992</v>
      </c>
      <c r="AR268" s="141">
        <f t="shared" si="15"/>
        <v>0</v>
      </c>
    </row>
    <row r="269" spans="1:44">
      <c r="A269" s="144">
        <f t="shared" si="14"/>
        <v>46011</v>
      </c>
      <c r="B269" s="141">
        <f>YEAR(Table7[[#This Row],[Date]])+IF(MONTH(Table7[[#This Row],[Date]])&gt;=4,1,0)</f>
        <v>2026</v>
      </c>
      <c r="C269" s="141">
        <f>YEAR(Table7[[#This Row],[Date]])</f>
        <v>2025</v>
      </c>
      <c r="D269" s="143">
        <f t="shared" si="13"/>
        <v>45992</v>
      </c>
      <c r="AR269" s="141">
        <f t="shared" si="15"/>
        <v>0</v>
      </c>
    </row>
    <row r="270" spans="1:44">
      <c r="A270" s="144">
        <f t="shared" si="14"/>
        <v>46012</v>
      </c>
      <c r="B270" s="141">
        <f>YEAR(Table7[[#This Row],[Date]])+IF(MONTH(Table7[[#This Row],[Date]])&gt;=4,1,0)</f>
        <v>2026</v>
      </c>
      <c r="C270" s="141">
        <f>YEAR(Table7[[#This Row],[Date]])</f>
        <v>2025</v>
      </c>
      <c r="D270" s="143">
        <f t="shared" si="13"/>
        <v>45992</v>
      </c>
      <c r="AR270" s="141">
        <f t="shared" si="15"/>
        <v>0</v>
      </c>
    </row>
    <row r="271" spans="1:44">
      <c r="A271" s="144">
        <f t="shared" si="14"/>
        <v>46013</v>
      </c>
      <c r="B271" s="141">
        <f>YEAR(Table7[[#This Row],[Date]])+IF(MONTH(Table7[[#This Row],[Date]])&gt;=4,1,0)</f>
        <v>2026</v>
      </c>
      <c r="C271" s="141">
        <f>YEAR(Table7[[#This Row],[Date]])</f>
        <v>2025</v>
      </c>
      <c r="D271" s="143">
        <f t="shared" si="13"/>
        <v>45992</v>
      </c>
      <c r="AR271" s="141">
        <f t="shared" si="15"/>
        <v>0</v>
      </c>
    </row>
    <row r="272" spans="1:44">
      <c r="A272" s="144">
        <f t="shared" si="14"/>
        <v>46014</v>
      </c>
      <c r="B272" s="141">
        <f>YEAR(Table7[[#This Row],[Date]])+IF(MONTH(Table7[[#This Row],[Date]])&gt;=4,1,0)</f>
        <v>2026</v>
      </c>
      <c r="C272" s="141">
        <f>YEAR(Table7[[#This Row],[Date]])</f>
        <v>2025</v>
      </c>
      <c r="D272" s="143">
        <f t="shared" si="13"/>
        <v>45992</v>
      </c>
      <c r="AR272" s="141">
        <f t="shared" si="15"/>
        <v>0</v>
      </c>
    </row>
    <row r="273" spans="1:44">
      <c r="A273" s="144">
        <f t="shared" si="14"/>
        <v>46015</v>
      </c>
      <c r="B273" s="141">
        <f>YEAR(Table7[[#This Row],[Date]])+IF(MONTH(Table7[[#This Row],[Date]])&gt;=4,1,0)</f>
        <v>2026</v>
      </c>
      <c r="C273" s="141">
        <f>YEAR(Table7[[#This Row],[Date]])</f>
        <v>2025</v>
      </c>
      <c r="D273" s="143">
        <f t="shared" si="13"/>
        <v>45992</v>
      </c>
      <c r="AR273" s="141">
        <f t="shared" si="15"/>
        <v>0</v>
      </c>
    </row>
    <row r="274" spans="1:44">
      <c r="A274" s="144">
        <f t="shared" si="14"/>
        <v>46016</v>
      </c>
      <c r="B274" s="141">
        <f>YEAR(Table7[[#This Row],[Date]])+IF(MONTH(Table7[[#This Row],[Date]])&gt;=4,1,0)</f>
        <v>2026</v>
      </c>
      <c r="C274" s="141">
        <f>YEAR(Table7[[#This Row],[Date]])</f>
        <v>2025</v>
      </c>
      <c r="D274" s="143">
        <f t="shared" si="13"/>
        <v>45992</v>
      </c>
      <c r="AR274" s="141">
        <f t="shared" si="15"/>
        <v>0</v>
      </c>
    </row>
    <row r="275" spans="1:44">
      <c r="A275" s="144">
        <f t="shared" si="14"/>
        <v>46017</v>
      </c>
      <c r="B275" s="141">
        <f>YEAR(Table7[[#This Row],[Date]])+IF(MONTH(Table7[[#This Row],[Date]])&gt;=4,1,0)</f>
        <v>2026</v>
      </c>
      <c r="C275" s="141">
        <f>YEAR(Table7[[#This Row],[Date]])</f>
        <v>2025</v>
      </c>
      <c r="D275" s="143">
        <f t="shared" si="13"/>
        <v>45992</v>
      </c>
      <c r="AR275" s="141">
        <f t="shared" si="15"/>
        <v>0</v>
      </c>
    </row>
    <row r="276" spans="1:44">
      <c r="A276" s="144">
        <f t="shared" si="14"/>
        <v>46018</v>
      </c>
      <c r="B276" s="141">
        <f>YEAR(Table7[[#This Row],[Date]])+IF(MONTH(Table7[[#This Row],[Date]])&gt;=4,1,0)</f>
        <v>2026</v>
      </c>
      <c r="C276" s="141">
        <f>YEAR(Table7[[#This Row],[Date]])</f>
        <v>2025</v>
      </c>
      <c r="D276" s="143">
        <f t="shared" si="13"/>
        <v>45992</v>
      </c>
      <c r="AR276" s="141">
        <f t="shared" si="15"/>
        <v>0</v>
      </c>
    </row>
    <row r="277" spans="1:44">
      <c r="A277" s="144">
        <f t="shared" si="14"/>
        <v>46019</v>
      </c>
      <c r="B277" s="141">
        <f>YEAR(Table7[[#This Row],[Date]])+IF(MONTH(Table7[[#This Row],[Date]])&gt;=4,1,0)</f>
        <v>2026</v>
      </c>
      <c r="C277" s="141">
        <f>YEAR(Table7[[#This Row],[Date]])</f>
        <v>2025</v>
      </c>
      <c r="D277" s="143">
        <f t="shared" si="13"/>
        <v>45992</v>
      </c>
      <c r="AR277" s="141">
        <f t="shared" si="15"/>
        <v>0</v>
      </c>
    </row>
    <row r="278" spans="1:44">
      <c r="A278" s="144">
        <f t="shared" si="14"/>
        <v>46020</v>
      </c>
      <c r="B278" s="141">
        <f>YEAR(Table7[[#This Row],[Date]])+IF(MONTH(Table7[[#This Row],[Date]])&gt;=4,1,0)</f>
        <v>2026</v>
      </c>
      <c r="C278" s="141">
        <f>YEAR(Table7[[#This Row],[Date]])</f>
        <v>2025</v>
      </c>
      <c r="D278" s="143">
        <f t="shared" si="13"/>
        <v>45992</v>
      </c>
      <c r="AR278" s="141">
        <f t="shared" si="15"/>
        <v>0</v>
      </c>
    </row>
    <row r="279" spans="1:44">
      <c r="A279" s="144">
        <f t="shared" si="14"/>
        <v>46021</v>
      </c>
      <c r="B279" s="141">
        <f>YEAR(Table7[[#This Row],[Date]])+IF(MONTH(Table7[[#This Row],[Date]])&gt;=4,1,0)</f>
        <v>2026</v>
      </c>
      <c r="C279" s="141">
        <f>YEAR(Table7[[#This Row],[Date]])</f>
        <v>2025</v>
      </c>
      <c r="D279" s="143">
        <f t="shared" si="13"/>
        <v>45992</v>
      </c>
      <c r="AR279" s="141">
        <f t="shared" si="15"/>
        <v>0</v>
      </c>
    </row>
    <row r="280" spans="1:44">
      <c r="A280" s="144">
        <f t="shared" si="14"/>
        <v>46022</v>
      </c>
      <c r="B280" s="141">
        <f>YEAR(Table7[[#This Row],[Date]])+IF(MONTH(Table7[[#This Row],[Date]])&gt;=4,1,0)</f>
        <v>2026</v>
      </c>
      <c r="C280" s="141">
        <f>YEAR(Table7[[#This Row],[Date]])</f>
        <v>2025</v>
      </c>
      <c r="D280" s="143">
        <f t="shared" si="13"/>
        <v>45992</v>
      </c>
      <c r="E280" s="146">
        <v>2411.4870499999997</v>
      </c>
      <c r="F280" s="146">
        <v>891.6197333333331</v>
      </c>
      <c r="G280" s="146">
        <v>1879.9699166666667</v>
      </c>
      <c r="H280" s="146">
        <v>874.26264999999989</v>
      </c>
      <c r="I280" s="146">
        <v>880.47126666666634</v>
      </c>
      <c r="J280" s="146">
        <v>636.22654999999975</v>
      </c>
      <c r="K280" s="146">
        <v>372.88330000000008</v>
      </c>
      <c r="L280" s="146">
        <v>641.51903333333337</v>
      </c>
      <c r="M280" s="146">
        <v>906.08874999999966</v>
      </c>
      <c r="N280" s="146">
        <v>2260.3940000000007</v>
      </c>
      <c r="O280" s="146">
        <v>383.09098333333333</v>
      </c>
      <c r="P280" s="146">
        <v>377.68645000000021</v>
      </c>
      <c r="Q280" s="146">
        <v>2175.7977833333325</v>
      </c>
      <c r="R280" s="146">
        <v>1993.9216333333334</v>
      </c>
      <c r="S280" s="146">
        <v>1758.4656500000006</v>
      </c>
      <c r="T280" s="146">
        <v>2234.110716666667</v>
      </c>
      <c r="U280" s="146">
        <v>1964.6706833333335</v>
      </c>
      <c r="V280" s="146">
        <v>2190.6097833333329</v>
      </c>
      <c r="W280" s="146">
        <v>441.97923333333341</v>
      </c>
      <c r="X280" s="146">
        <v>670.5095333333328</v>
      </c>
      <c r="Y280" s="146">
        <v>1570.8375833333334</v>
      </c>
      <c r="Z280" s="146">
        <v>1180.1706999999994</v>
      </c>
      <c r="AA280" s="146">
        <v>1761.4244000000006</v>
      </c>
      <c r="AB280" s="146">
        <v>999.70584999999994</v>
      </c>
      <c r="AC280" s="146">
        <v>1757.0460333333331</v>
      </c>
      <c r="AD280" s="146">
        <v>677.21181666666666</v>
      </c>
      <c r="AE280" s="146">
        <v>333.81999999999994</v>
      </c>
      <c r="AF280" s="146">
        <v>0</v>
      </c>
      <c r="AG280" s="146">
        <v>1635.0767333333333</v>
      </c>
      <c r="AH280" s="146">
        <v>0</v>
      </c>
      <c r="AI280" s="146">
        <v>1909.0220500000016</v>
      </c>
      <c r="AJ280" s="146">
        <v>573.77486666666687</v>
      </c>
      <c r="AK280" s="146">
        <v>742.58261666666658</v>
      </c>
      <c r="AL280" s="146">
        <v>1713.1288333333325</v>
      </c>
      <c r="AM280" s="146">
        <v>1709.3144666666656</v>
      </c>
      <c r="AN280" s="146">
        <v>-8.1558666666666682</v>
      </c>
      <c r="AO280" s="146">
        <v>2496.8773666666675</v>
      </c>
      <c r="AP280" s="146">
        <v>783.47119999999995</v>
      </c>
      <c r="AQ280" s="146">
        <v>2020.9579999999989</v>
      </c>
      <c r="AR280" s="146">
        <f t="shared" si="15"/>
        <v>47802.031349999997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A445-497F-4493-9AD1-C9476974ED4E}">
  <sheetPr>
    <tabColor rgb="FF92D050"/>
  </sheetPr>
  <dimension ref="A1:BI47"/>
  <sheetViews>
    <sheetView topLeftCell="BB6" workbookViewId="0">
      <selection activeCell="BF9" sqref="BF9"/>
    </sheetView>
  </sheetViews>
  <sheetFormatPr defaultColWidth="9.140625" defaultRowHeight="15"/>
  <cols>
    <col min="1" max="1" width="9.28515625" style="281" bestFit="1" customWidth="1"/>
    <col min="2" max="2" width="9" style="175" customWidth="1"/>
    <col min="3" max="3" width="13.140625" style="175" bestFit="1" customWidth="1"/>
    <col min="4" max="4" width="13.5703125" style="175" bestFit="1" customWidth="1"/>
    <col min="5" max="5" width="11.7109375" style="175" customWidth="1"/>
    <col min="6" max="6" width="13" style="175" customWidth="1"/>
    <col min="7" max="7" width="11.5703125" style="175" customWidth="1"/>
    <col min="8" max="8" width="12.140625" style="175" customWidth="1"/>
    <col min="9" max="9" width="11.7109375" style="175" customWidth="1"/>
    <col min="10" max="10" width="12.28515625" style="175" customWidth="1"/>
    <col min="11" max="11" width="11.5703125" style="175" customWidth="1"/>
    <col min="12" max="12" width="12.28515625" style="175" customWidth="1"/>
    <col min="13" max="13" width="11.7109375" style="175" customWidth="1"/>
    <col min="14" max="14" width="12.5703125" style="175" customWidth="1"/>
    <col min="15" max="15" width="11.5703125" style="175" customWidth="1"/>
    <col min="16" max="16" width="15.28515625" style="175" customWidth="1"/>
    <col min="17" max="17" width="15.7109375" style="175" customWidth="1"/>
    <col min="18" max="19" width="15.28515625" style="175" customWidth="1"/>
    <col min="20" max="20" width="15.7109375" style="175" customWidth="1"/>
    <col min="21" max="22" width="13.5703125" style="175" customWidth="1"/>
    <col min="23" max="23" width="13" style="175" customWidth="1"/>
    <col min="24" max="24" width="13.42578125" style="175" customWidth="1"/>
    <col min="25" max="25" width="13" style="175" customWidth="1"/>
    <col min="26" max="26" width="13.5703125" style="175" customWidth="1"/>
    <col min="27" max="27" width="13" style="175" customWidth="1"/>
    <col min="28" max="28" width="13.42578125" style="175" customWidth="1"/>
    <col min="29" max="29" width="13" style="175" customWidth="1"/>
    <col min="30" max="30" width="13.5703125" style="175" customWidth="1"/>
    <col min="31" max="31" width="13" style="175" customWidth="1"/>
    <col min="32" max="32" width="9.85546875" style="175" customWidth="1"/>
    <col min="33" max="33" width="20.28515625" style="175" customWidth="1"/>
    <col min="34" max="34" width="10.28515625" style="175" customWidth="1"/>
    <col min="35" max="35" width="13" style="175" customWidth="1"/>
    <col min="36" max="37" width="13.5703125" style="175" customWidth="1"/>
    <col min="38" max="38" width="14.5703125" style="175" customWidth="1"/>
    <col min="39" max="39" width="12.85546875" style="175" customWidth="1"/>
    <col min="40" max="40" width="13.7109375" style="175" customWidth="1"/>
    <col min="41" max="42" width="19.5703125" style="282" customWidth="1"/>
    <col min="43" max="43" width="14.85546875" style="175" customWidth="1"/>
    <col min="44" max="44" width="14.85546875" style="283" customWidth="1"/>
    <col min="45" max="45" width="16.28515625" style="175" customWidth="1"/>
    <col min="46" max="46" width="26.42578125" style="175" customWidth="1"/>
    <col min="47" max="47" width="13.42578125" style="175" bestFit="1" customWidth="1"/>
    <col min="48" max="48" width="13" style="175" bestFit="1" customWidth="1"/>
    <col min="49" max="54" width="13" style="175" customWidth="1"/>
    <col min="55" max="55" width="19.5703125" style="175" customWidth="1"/>
    <col min="56" max="56" width="18.28515625" style="175" bestFit="1" customWidth="1"/>
    <col min="57" max="57" width="18.28515625" style="284" bestFit="1" customWidth="1"/>
    <col min="58" max="58" width="14.5703125" style="175" customWidth="1"/>
    <col min="59" max="59" width="16.140625" style="175" customWidth="1"/>
    <col min="60" max="60" width="19.140625" style="175" customWidth="1"/>
    <col min="61" max="61" width="55.42578125" style="175" bestFit="1" customWidth="1"/>
    <col min="62" max="16384" width="9.140625" style="175"/>
  </cols>
  <sheetData>
    <row r="1" spans="1:61" ht="15" customHeight="1">
      <c r="A1" s="401" t="s">
        <v>1013</v>
      </c>
      <c r="B1" s="402"/>
      <c r="C1" s="402"/>
      <c r="D1" s="402"/>
      <c r="E1" s="402"/>
      <c r="F1" s="402"/>
      <c r="G1" s="402"/>
      <c r="H1" s="402"/>
      <c r="I1" s="402"/>
      <c r="J1" s="402"/>
      <c r="K1" s="402"/>
      <c r="L1" s="402"/>
      <c r="M1" s="402"/>
      <c r="N1" s="402"/>
      <c r="O1" s="402"/>
      <c r="P1" s="402"/>
      <c r="Q1" s="402"/>
      <c r="R1" s="402"/>
      <c r="S1" s="402"/>
      <c r="T1" s="402"/>
      <c r="U1" s="402"/>
      <c r="V1" s="402"/>
      <c r="W1" s="402"/>
      <c r="X1" s="402"/>
      <c r="Y1" s="402"/>
      <c r="Z1" s="402"/>
      <c r="AA1" s="402"/>
      <c r="AB1" s="402"/>
      <c r="AC1" s="402"/>
      <c r="AD1" s="402"/>
      <c r="AE1" s="402"/>
      <c r="AF1" s="402"/>
      <c r="AG1" s="402"/>
      <c r="AH1" s="402"/>
      <c r="AI1" s="402"/>
      <c r="AJ1" s="402"/>
      <c r="AK1" s="402"/>
      <c r="AL1" s="402"/>
      <c r="AM1" s="402"/>
      <c r="AN1" s="402"/>
      <c r="AO1" s="402"/>
      <c r="AP1" s="402"/>
      <c r="AQ1" s="402"/>
      <c r="AR1" s="402"/>
      <c r="AS1" s="402"/>
      <c r="AT1" s="402"/>
      <c r="AU1" s="402"/>
      <c r="AV1" s="403"/>
      <c r="AW1" s="174"/>
      <c r="AX1" s="174"/>
      <c r="AY1" s="174"/>
      <c r="AZ1" s="174"/>
      <c r="BA1" s="174"/>
      <c r="BB1" s="174"/>
      <c r="BC1" s="174"/>
      <c r="BE1" s="175"/>
    </row>
    <row r="2" spans="1:61" ht="15" customHeight="1">
      <c r="A2" s="404"/>
      <c r="B2" s="405"/>
      <c r="C2" s="405"/>
      <c r="D2" s="405"/>
      <c r="E2" s="405"/>
      <c r="F2" s="405"/>
      <c r="G2" s="405"/>
      <c r="H2" s="405"/>
      <c r="I2" s="405"/>
      <c r="J2" s="405"/>
      <c r="K2" s="405"/>
      <c r="L2" s="405"/>
      <c r="M2" s="405"/>
      <c r="N2" s="405"/>
      <c r="O2" s="405"/>
      <c r="P2" s="405"/>
      <c r="Q2" s="405"/>
      <c r="R2" s="405"/>
      <c r="S2" s="405"/>
      <c r="T2" s="405"/>
      <c r="U2" s="405"/>
      <c r="V2" s="405"/>
      <c r="W2" s="405"/>
      <c r="X2" s="405"/>
      <c r="Y2" s="405"/>
      <c r="Z2" s="405"/>
      <c r="AA2" s="405"/>
      <c r="AB2" s="405"/>
      <c r="AC2" s="405"/>
      <c r="AD2" s="405"/>
      <c r="AE2" s="405"/>
      <c r="AF2" s="405"/>
      <c r="AG2" s="405"/>
      <c r="AH2" s="405"/>
      <c r="AI2" s="405"/>
      <c r="AJ2" s="405"/>
      <c r="AK2" s="405"/>
      <c r="AL2" s="405"/>
      <c r="AM2" s="405"/>
      <c r="AN2" s="405"/>
      <c r="AO2" s="405"/>
      <c r="AP2" s="405"/>
      <c r="AQ2" s="405"/>
      <c r="AR2" s="405"/>
      <c r="AS2" s="405"/>
      <c r="AT2" s="405"/>
      <c r="AU2" s="405"/>
      <c r="AV2" s="406"/>
      <c r="AW2" s="176"/>
      <c r="AX2" s="176"/>
      <c r="AY2" s="176"/>
      <c r="AZ2" s="176"/>
      <c r="BA2" s="176"/>
      <c r="BB2" s="176"/>
      <c r="BC2" s="176"/>
      <c r="BE2" s="175"/>
    </row>
    <row r="3" spans="1:61" ht="15" customHeight="1" thickBot="1">
      <c r="A3" s="404"/>
      <c r="B3" s="405"/>
      <c r="C3" s="405"/>
      <c r="D3" s="405"/>
      <c r="E3" s="405"/>
      <c r="F3" s="405"/>
      <c r="G3" s="405"/>
      <c r="H3" s="405"/>
      <c r="I3" s="405"/>
      <c r="J3" s="405"/>
      <c r="K3" s="405"/>
      <c r="L3" s="405"/>
      <c r="M3" s="405"/>
      <c r="N3" s="405"/>
      <c r="O3" s="405"/>
      <c r="P3" s="405"/>
      <c r="Q3" s="405"/>
      <c r="R3" s="405"/>
      <c r="S3" s="405"/>
      <c r="T3" s="405"/>
      <c r="U3" s="405"/>
      <c r="V3" s="405"/>
      <c r="W3" s="405"/>
      <c r="X3" s="405"/>
      <c r="Y3" s="405"/>
      <c r="Z3" s="405"/>
      <c r="AA3" s="405"/>
      <c r="AB3" s="405"/>
      <c r="AC3" s="405"/>
      <c r="AD3" s="405"/>
      <c r="AE3" s="405"/>
      <c r="AF3" s="405"/>
      <c r="AG3" s="405"/>
      <c r="AH3" s="405"/>
      <c r="AI3" s="405"/>
      <c r="AJ3" s="405"/>
      <c r="AK3" s="405"/>
      <c r="AL3" s="405"/>
      <c r="AM3" s="405"/>
      <c r="AN3" s="405"/>
      <c r="AO3" s="405"/>
      <c r="AP3" s="405"/>
      <c r="AQ3" s="405"/>
      <c r="AR3" s="405"/>
      <c r="AS3" s="405"/>
      <c r="AT3" s="405"/>
      <c r="AU3" s="405"/>
      <c r="AV3" s="406"/>
      <c r="AW3" s="176"/>
      <c r="AX3" s="176"/>
      <c r="AY3" s="176"/>
      <c r="AZ3" s="176"/>
      <c r="BA3" s="176"/>
      <c r="BB3" s="176"/>
      <c r="BC3" s="176"/>
      <c r="BE3" s="175"/>
    </row>
    <row r="4" spans="1:61" s="185" customFormat="1" ht="69" customHeight="1" thickBot="1">
      <c r="A4" s="177" t="s">
        <v>1014</v>
      </c>
      <c r="B4" s="178" t="s">
        <v>1015</v>
      </c>
      <c r="C4" s="178" t="s">
        <v>1016</v>
      </c>
      <c r="D4" s="178" t="s">
        <v>1017</v>
      </c>
      <c r="E4" s="178" t="s">
        <v>1018</v>
      </c>
      <c r="F4" s="178" t="s">
        <v>1019</v>
      </c>
      <c r="G4" s="178" t="s">
        <v>1020</v>
      </c>
      <c r="H4" s="178" t="s">
        <v>1019</v>
      </c>
      <c r="I4" s="178" t="s">
        <v>1021</v>
      </c>
      <c r="J4" s="178" t="s">
        <v>1019</v>
      </c>
      <c r="K4" s="178" t="s">
        <v>1022</v>
      </c>
      <c r="L4" s="178" t="s">
        <v>1019</v>
      </c>
      <c r="M4" s="178" t="s">
        <v>1023</v>
      </c>
      <c r="N4" s="178" t="s">
        <v>1019</v>
      </c>
      <c r="O4" s="178" t="s">
        <v>1024</v>
      </c>
      <c r="P4" s="178" t="s">
        <v>1019</v>
      </c>
      <c r="Q4" s="178" t="s">
        <v>1025</v>
      </c>
      <c r="R4" s="178" t="s">
        <v>1019</v>
      </c>
      <c r="S4" s="178" t="s">
        <v>1026</v>
      </c>
      <c r="T4" s="178" t="s">
        <v>1019</v>
      </c>
      <c r="U4" s="178" t="s">
        <v>1027</v>
      </c>
      <c r="V4" s="178" t="s">
        <v>1019</v>
      </c>
      <c r="W4" s="178" t="s">
        <v>1028</v>
      </c>
      <c r="X4" s="178" t="s">
        <v>1019</v>
      </c>
      <c r="Y4" s="178" t="s">
        <v>1029</v>
      </c>
      <c r="Z4" s="178" t="s">
        <v>1019</v>
      </c>
      <c r="AA4" s="178" t="s">
        <v>1030</v>
      </c>
      <c r="AB4" s="178" t="s">
        <v>1019</v>
      </c>
      <c r="AC4" s="178" t="s">
        <v>1031</v>
      </c>
      <c r="AD4" s="178" t="s">
        <v>1019</v>
      </c>
      <c r="AE4" s="178" t="s">
        <v>1032</v>
      </c>
      <c r="AF4" s="178" t="s">
        <v>1019</v>
      </c>
      <c r="AG4" s="178" t="s">
        <v>1033</v>
      </c>
      <c r="AH4" s="178" t="s">
        <v>1019</v>
      </c>
      <c r="AI4" s="178" t="s">
        <v>1034</v>
      </c>
      <c r="AJ4" s="178" t="s">
        <v>1019</v>
      </c>
      <c r="AK4" s="178" t="s">
        <v>1035</v>
      </c>
      <c r="AL4" s="178" t="s">
        <v>1036</v>
      </c>
      <c r="AM4" s="178" t="s">
        <v>1019</v>
      </c>
      <c r="AN4" s="178" t="s">
        <v>1035</v>
      </c>
      <c r="AO4" s="179" t="s">
        <v>1037</v>
      </c>
      <c r="AP4" s="179" t="s">
        <v>1038</v>
      </c>
      <c r="AQ4" s="178" t="s">
        <v>1039</v>
      </c>
      <c r="AR4" s="178" t="s">
        <v>1040</v>
      </c>
      <c r="AS4" s="180" t="s">
        <v>1035</v>
      </c>
      <c r="AT4" s="180" t="s">
        <v>1041</v>
      </c>
      <c r="AU4" s="181" t="s">
        <v>1042</v>
      </c>
      <c r="AV4" s="182" t="s">
        <v>1019</v>
      </c>
      <c r="AW4" s="183" t="s">
        <v>1035</v>
      </c>
      <c r="AX4" s="184" t="s">
        <v>1043</v>
      </c>
      <c r="AY4" s="181" t="s">
        <v>1044</v>
      </c>
      <c r="AZ4" s="181" t="s">
        <v>1045</v>
      </c>
      <c r="BA4" s="181" t="s">
        <v>1046</v>
      </c>
      <c r="BB4" s="181" t="s">
        <v>1035</v>
      </c>
      <c r="BC4" s="181" t="s">
        <v>1041</v>
      </c>
      <c r="BD4" s="317" t="s">
        <v>1157</v>
      </c>
      <c r="BE4" s="318" t="s">
        <v>1155</v>
      </c>
      <c r="BF4" s="318" t="s">
        <v>1156</v>
      </c>
      <c r="BG4" s="319" t="s">
        <v>1153</v>
      </c>
      <c r="BH4" s="320" t="s">
        <v>1154</v>
      </c>
      <c r="BI4" s="321" t="s">
        <v>12</v>
      </c>
    </row>
    <row r="5" spans="1:61" s="211" customFormat="1">
      <c r="A5" s="186">
        <v>1</v>
      </c>
      <c r="B5" s="187" t="s">
        <v>1047</v>
      </c>
      <c r="C5" s="188" t="s">
        <v>1048</v>
      </c>
      <c r="D5" s="187">
        <v>100261368</v>
      </c>
      <c r="E5" s="189">
        <v>41992</v>
      </c>
      <c r="F5" s="190">
        <v>41992</v>
      </c>
      <c r="G5" s="189">
        <v>42174</v>
      </c>
      <c r="H5" s="191">
        <v>42177</v>
      </c>
      <c r="I5" s="189">
        <v>42357</v>
      </c>
      <c r="J5" s="191">
        <v>42357</v>
      </c>
      <c r="K5" s="189">
        <v>42540</v>
      </c>
      <c r="L5" s="191">
        <v>42565</v>
      </c>
      <c r="M5" s="189">
        <v>42723</v>
      </c>
      <c r="N5" s="191">
        <v>42730</v>
      </c>
      <c r="O5" s="189">
        <v>42905</v>
      </c>
      <c r="P5" s="192">
        <v>42909</v>
      </c>
      <c r="Q5" s="189">
        <v>43088</v>
      </c>
      <c r="R5" s="192">
        <v>43111</v>
      </c>
      <c r="S5" s="189">
        <v>43270</v>
      </c>
      <c r="T5" s="192">
        <v>43318</v>
      </c>
      <c r="U5" s="193">
        <v>43448</v>
      </c>
      <c r="V5" s="194">
        <v>43493</v>
      </c>
      <c r="W5" s="193">
        <v>43715</v>
      </c>
      <c r="X5" s="194">
        <v>43712</v>
      </c>
      <c r="Y5" s="195">
        <v>43895</v>
      </c>
      <c r="Z5" s="196">
        <v>43946</v>
      </c>
      <c r="AA5" s="195">
        <v>44075</v>
      </c>
      <c r="AB5" s="196">
        <v>44187</v>
      </c>
      <c r="AC5" s="195">
        <v>44256</v>
      </c>
      <c r="AD5" s="196">
        <v>44281</v>
      </c>
      <c r="AE5" s="195">
        <v>44440</v>
      </c>
      <c r="AF5" s="196">
        <v>44700</v>
      </c>
      <c r="AG5" s="195">
        <v>44621</v>
      </c>
      <c r="AH5" s="196">
        <v>44700</v>
      </c>
      <c r="AI5" s="195">
        <v>44805</v>
      </c>
      <c r="AJ5" s="196">
        <v>44828</v>
      </c>
      <c r="AK5" s="197">
        <f t="shared" ref="AK5:AK44" si="0">AJ5-AI5</f>
        <v>23</v>
      </c>
      <c r="AL5" s="198">
        <v>44985</v>
      </c>
      <c r="AM5" s="199">
        <v>44999</v>
      </c>
      <c r="AN5" s="200">
        <f t="shared" ref="AN5:AN44" si="1">AM5-AL5</f>
        <v>14</v>
      </c>
      <c r="AO5" s="201">
        <v>45209</v>
      </c>
      <c r="AP5" s="201">
        <v>45210</v>
      </c>
      <c r="AQ5" s="202">
        <v>45276</v>
      </c>
      <c r="AR5" s="202">
        <v>45278</v>
      </c>
      <c r="AS5" s="203">
        <f>AR5-AP5</f>
        <v>68</v>
      </c>
      <c r="AT5" s="204"/>
      <c r="AU5" s="205">
        <v>45352</v>
      </c>
      <c r="AV5" s="206">
        <v>45355</v>
      </c>
      <c r="AW5" s="207">
        <v>3</v>
      </c>
      <c r="AX5" s="208"/>
      <c r="AY5" s="209"/>
      <c r="AZ5" s="209"/>
      <c r="BA5" s="209"/>
      <c r="BB5" s="209"/>
      <c r="BC5" s="210"/>
      <c r="BD5" s="298"/>
      <c r="BE5" s="314"/>
      <c r="BF5" s="305"/>
      <c r="BG5" s="305"/>
      <c r="BH5" s="315"/>
      <c r="BI5" s="316"/>
    </row>
    <row r="6" spans="1:61" s="211" customFormat="1">
      <c r="A6" s="212">
        <v>2</v>
      </c>
      <c r="B6" s="213" t="s">
        <v>1049</v>
      </c>
      <c r="C6" s="214" t="s">
        <v>1048</v>
      </c>
      <c r="D6" s="213">
        <v>100261366</v>
      </c>
      <c r="E6" s="215">
        <v>41994</v>
      </c>
      <c r="F6" s="216">
        <v>41994</v>
      </c>
      <c r="G6" s="215">
        <v>42176</v>
      </c>
      <c r="H6" s="217">
        <v>42217</v>
      </c>
      <c r="I6" s="215">
        <v>42359</v>
      </c>
      <c r="J6" s="217">
        <v>42359</v>
      </c>
      <c r="K6" s="215">
        <v>42542</v>
      </c>
      <c r="L6" s="217">
        <v>42572</v>
      </c>
      <c r="M6" s="215">
        <v>42725</v>
      </c>
      <c r="N6" s="217">
        <v>42732</v>
      </c>
      <c r="O6" s="215">
        <v>42907</v>
      </c>
      <c r="P6" s="218">
        <v>42910</v>
      </c>
      <c r="Q6" s="215">
        <v>43090</v>
      </c>
      <c r="R6" s="218">
        <v>43108</v>
      </c>
      <c r="S6" s="215">
        <v>43272</v>
      </c>
      <c r="T6" s="218">
        <v>43320</v>
      </c>
      <c r="U6" s="219">
        <v>43450</v>
      </c>
      <c r="V6" s="220">
        <v>43494</v>
      </c>
      <c r="W6" s="219">
        <v>43716</v>
      </c>
      <c r="X6" s="220">
        <v>43715</v>
      </c>
      <c r="Y6" s="221">
        <v>43896</v>
      </c>
      <c r="Z6" s="222">
        <v>43951</v>
      </c>
      <c r="AA6" s="221">
        <v>44076</v>
      </c>
      <c r="AB6" s="222">
        <v>44183</v>
      </c>
      <c r="AC6" s="221">
        <v>44257</v>
      </c>
      <c r="AD6" s="222">
        <v>44282</v>
      </c>
      <c r="AE6" s="221">
        <v>44440</v>
      </c>
      <c r="AF6" s="222">
        <v>44701</v>
      </c>
      <c r="AG6" s="221">
        <v>44622</v>
      </c>
      <c r="AH6" s="222">
        <v>44701</v>
      </c>
      <c r="AI6" s="221">
        <v>44805</v>
      </c>
      <c r="AJ6" s="222">
        <v>44829</v>
      </c>
      <c r="AK6" s="223">
        <f t="shared" si="0"/>
        <v>24</v>
      </c>
      <c r="AL6" s="224">
        <v>44985</v>
      </c>
      <c r="AM6" s="224">
        <v>45002</v>
      </c>
      <c r="AN6" s="225">
        <f t="shared" si="1"/>
        <v>17</v>
      </c>
      <c r="AO6" s="226">
        <v>45211</v>
      </c>
      <c r="AP6" s="226">
        <v>45212</v>
      </c>
      <c r="AQ6" s="227">
        <v>45209</v>
      </c>
      <c r="AR6" s="227">
        <v>45230</v>
      </c>
      <c r="AS6" s="228">
        <f>AR6-AP6</f>
        <v>18</v>
      </c>
      <c r="AT6" s="229"/>
      <c r="AU6" s="230">
        <v>45353</v>
      </c>
      <c r="AV6" s="231">
        <v>45356</v>
      </c>
      <c r="AW6" s="232">
        <v>3</v>
      </c>
      <c r="AX6" s="233">
        <v>45601</v>
      </c>
      <c r="AY6" s="234">
        <v>45602</v>
      </c>
      <c r="AZ6" s="234">
        <v>45602</v>
      </c>
      <c r="BA6" s="234">
        <v>45603</v>
      </c>
      <c r="BB6" s="235">
        <v>1</v>
      </c>
      <c r="BC6" s="236" t="s">
        <v>1050</v>
      </c>
      <c r="BD6" s="297" t="s">
        <v>1114</v>
      </c>
      <c r="BE6" s="285">
        <v>45773</v>
      </c>
      <c r="BF6" s="286">
        <v>45773</v>
      </c>
      <c r="BG6" s="302">
        <f t="shared" ref="BG6:BG44" si="2">BF6-BE6</f>
        <v>0</v>
      </c>
      <c r="BH6" s="303">
        <f t="shared" ref="BH6:BH18" si="3">IF(BG6&lt;-15,100-((-1*BG6-15)/90)*100,IF(BG6&gt;15,100-((BG6-15)/90)*100,1*100))</f>
        <v>100</v>
      </c>
      <c r="BI6" s="304" t="s">
        <v>1158</v>
      </c>
    </row>
    <row r="7" spans="1:61" s="211" customFormat="1">
      <c r="A7" s="212">
        <v>3</v>
      </c>
      <c r="B7" s="213" t="s">
        <v>1051</v>
      </c>
      <c r="C7" s="214" t="s">
        <v>1048</v>
      </c>
      <c r="D7" s="213">
        <v>100261367</v>
      </c>
      <c r="E7" s="215">
        <v>41996</v>
      </c>
      <c r="F7" s="216">
        <v>41996</v>
      </c>
      <c r="G7" s="215">
        <v>42178</v>
      </c>
      <c r="H7" s="217">
        <v>42172</v>
      </c>
      <c r="I7" s="215">
        <v>42361</v>
      </c>
      <c r="J7" s="217">
        <v>42360</v>
      </c>
      <c r="K7" s="215">
        <v>42544</v>
      </c>
      <c r="L7" s="217">
        <v>42573</v>
      </c>
      <c r="M7" s="215">
        <v>42727</v>
      </c>
      <c r="N7" s="217">
        <v>42731</v>
      </c>
      <c r="O7" s="215">
        <v>42909</v>
      </c>
      <c r="P7" s="218">
        <v>42923</v>
      </c>
      <c r="Q7" s="215">
        <v>43092</v>
      </c>
      <c r="R7" s="218">
        <v>43109</v>
      </c>
      <c r="S7" s="215">
        <v>43274</v>
      </c>
      <c r="T7" s="218">
        <v>43326</v>
      </c>
      <c r="U7" s="219">
        <v>43452</v>
      </c>
      <c r="V7" s="220">
        <v>43495</v>
      </c>
      <c r="W7" s="219">
        <v>43717</v>
      </c>
      <c r="X7" s="220">
        <v>43724</v>
      </c>
      <c r="Y7" s="221">
        <v>43897</v>
      </c>
      <c r="Z7" s="222">
        <v>43952</v>
      </c>
      <c r="AA7" s="221">
        <v>44077</v>
      </c>
      <c r="AB7" s="222">
        <v>44182</v>
      </c>
      <c r="AC7" s="221">
        <v>44258</v>
      </c>
      <c r="AD7" s="222">
        <v>44283</v>
      </c>
      <c r="AE7" s="221">
        <v>44442</v>
      </c>
      <c r="AF7" s="222">
        <v>44700</v>
      </c>
      <c r="AG7" s="221">
        <v>44623</v>
      </c>
      <c r="AH7" s="222">
        <v>44700</v>
      </c>
      <c r="AI7" s="221">
        <v>44807</v>
      </c>
      <c r="AJ7" s="222">
        <v>44830</v>
      </c>
      <c r="AK7" s="223">
        <f t="shared" si="0"/>
        <v>23</v>
      </c>
      <c r="AL7" s="224">
        <v>44987</v>
      </c>
      <c r="AM7" s="224">
        <v>45006</v>
      </c>
      <c r="AN7" s="225">
        <f t="shared" si="1"/>
        <v>19</v>
      </c>
      <c r="AO7" s="226">
        <v>45213</v>
      </c>
      <c r="AP7" s="226">
        <v>45214</v>
      </c>
      <c r="AQ7" s="227">
        <v>45278</v>
      </c>
      <c r="AR7" s="227">
        <v>45276</v>
      </c>
      <c r="AS7" s="228">
        <f>AR7-AP7</f>
        <v>62</v>
      </c>
      <c r="AT7" s="229"/>
      <c r="AU7" s="230">
        <v>45355</v>
      </c>
      <c r="AV7" s="231">
        <v>45357</v>
      </c>
      <c r="AW7" s="232">
        <v>2</v>
      </c>
      <c r="AX7" s="233">
        <v>45603</v>
      </c>
      <c r="AY7" s="234">
        <v>45604</v>
      </c>
      <c r="AZ7" s="234">
        <v>45604</v>
      </c>
      <c r="BA7" s="234">
        <v>45605</v>
      </c>
      <c r="BB7" s="235">
        <v>1</v>
      </c>
      <c r="BC7" s="236" t="s">
        <v>1050</v>
      </c>
      <c r="BD7" s="297" t="s">
        <v>1115</v>
      </c>
      <c r="BE7" s="287">
        <v>45774</v>
      </c>
      <c r="BF7" s="286">
        <v>45774</v>
      </c>
      <c r="BG7" s="302">
        <f t="shared" si="2"/>
        <v>0</v>
      </c>
      <c r="BH7" s="303">
        <f t="shared" si="3"/>
        <v>100</v>
      </c>
      <c r="BI7" s="304"/>
    </row>
    <row r="8" spans="1:61" s="211" customFormat="1">
      <c r="A8" s="212">
        <v>4</v>
      </c>
      <c r="B8" s="213" t="s">
        <v>1052</v>
      </c>
      <c r="C8" s="214" t="s">
        <v>1053</v>
      </c>
      <c r="D8" s="213">
        <v>100261341</v>
      </c>
      <c r="E8" s="215">
        <v>41998</v>
      </c>
      <c r="F8" s="216">
        <v>41998</v>
      </c>
      <c r="G8" s="215">
        <v>42180</v>
      </c>
      <c r="H8" s="217">
        <v>42176</v>
      </c>
      <c r="I8" s="215">
        <v>42363</v>
      </c>
      <c r="J8" s="217">
        <v>42364</v>
      </c>
      <c r="K8" s="215">
        <v>42546</v>
      </c>
      <c r="L8" s="217">
        <v>42574</v>
      </c>
      <c r="M8" s="215">
        <v>42729</v>
      </c>
      <c r="N8" s="217">
        <v>42737</v>
      </c>
      <c r="O8" s="215">
        <v>42911</v>
      </c>
      <c r="P8" s="218">
        <v>42935</v>
      </c>
      <c r="Q8" s="215">
        <v>43094</v>
      </c>
      <c r="R8" s="218">
        <v>43112</v>
      </c>
      <c r="S8" s="215">
        <v>43276</v>
      </c>
      <c r="T8" s="218">
        <v>43336</v>
      </c>
      <c r="U8" s="219">
        <v>43454</v>
      </c>
      <c r="V8" s="220">
        <v>43498</v>
      </c>
      <c r="W8" s="219">
        <v>43718</v>
      </c>
      <c r="X8" s="220">
        <v>43725</v>
      </c>
      <c r="Y8" s="221">
        <v>43898</v>
      </c>
      <c r="Z8" s="222">
        <v>43953</v>
      </c>
      <c r="AA8" s="221">
        <v>44078</v>
      </c>
      <c r="AB8" s="222">
        <v>44190</v>
      </c>
      <c r="AC8" s="221">
        <v>44259</v>
      </c>
      <c r="AD8" s="222">
        <v>44284</v>
      </c>
      <c r="AE8" s="221">
        <v>44442</v>
      </c>
      <c r="AF8" s="222">
        <v>44702</v>
      </c>
      <c r="AG8" s="221">
        <v>44624</v>
      </c>
      <c r="AH8" s="222">
        <v>44702</v>
      </c>
      <c r="AI8" s="221">
        <v>44807</v>
      </c>
      <c r="AJ8" s="222">
        <v>44831</v>
      </c>
      <c r="AK8" s="223">
        <f t="shared" si="0"/>
        <v>24</v>
      </c>
      <c r="AL8" s="224">
        <v>44987</v>
      </c>
      <c r="AM8" s="224">
        <v>45009</v>
      </c>
      <c r="AN8" s="225">
        <f t="shared" si="1"/>
        <v>22</v>
      </c>
      <c r="AO8" s="226">
        <v>45215</v>
      </c>
      <c r="AP8" s="226">
        <v>45216</v>
      </c>
      <c r="AQ8" s="227">
        <v>45218</v>
      </c>
      <c r="AR8" s="227">
        <v>45248</v>
      </c>
      <c r="AS8" s="228">
        <f t="shared" ref="AS8:AS44" si="4">AR8-AP8</f>
        <v>32</v>
      </c>
      <c r="AT8" s="237" t="s">
        <v>1054</v>
      </c>
      <c r="AU8" s="230">
        <v>45356</v>
      </c>
      <c r="AV8" s="231">
        <v>45359</v>
      </c>
      <c r="AW8" s="232">
        <v>3</v>
      </c>
      <c r="AX8" s="233">
        <v>45605</v>
      </c>
      <c r="AY8" s="234">
        <v>45607</v>
      </c>
      <c r="AZ8" s="234">
        <v>45614</v>
      </c>
      <c r="BA8" s="234">
        <v>45615</v>
      </c>
      <c r="BB8" s="235">
        <v>8</v>
      </c>
      <c r="BC8" s="236" t="s">
        <v>1055</v>
      </c>
      <c r="BD8" s="298" t="s">
        <v>1116</v>
      </c>
      <c r="BE8" s="288">
        <v>45815</v>
      </c>
      <c r="BF8" s="286">
        <v>45860</v>
      </c>
      <c r="BG8" s="305">
        <f t="shared" si="2"/>
        <v>45</v>
      </c>
      <c r="BH8" s="306">
        <f t="shared" si="3"/>
        <v>66.666666666666671</v>
      </c>
      <c r="BI8" s="307" t="s">
        <v>1159</v>
      </c>
    </row>
    <row r="9" spans="1:61" s="211" customFormat="1">
      <c r="A9" s="212">
        <v>5</v>
      </c>
      <c r="B9" s="213" t="s">
        <v>1056</v>
      </c>
      <c r="C9" s="214" t="s">
        <v>1053</v>
      </c>
      <c r="D9" s="213">
        <v>100261340</v>
      </c>
      <c r="E9" s="215">
        <v>42000</v>
      </c>
      <c r="F9" s="216">
        <v>42000</v>
      </c>
      <c r="G9" s="215">
        <v>42182</v>
      </c>
      <c r="H9" s="217">
        <v>42182</v>
      </c>
      <c r="I9" s="215">
        <v>42365</v>
      </c>
      <c r="J9" s="217">
        <v>42366</v>
      </c>
      <c r="K9" s="215">
        <v>42548</v>
      </c>
      <c r="L9" s="217">
        <v>42576</v>
      </c>
      <c r="M9" s="215">
        <v>42731</v>
      </c>
      <c r="N9" s="217">
        <v>42738</v>
      </c>
      <c r="O9" s="215">
        <v>42913</v>
      </c>
      <c r="P9" s="218">
        <v>42924</v>
      </c>
      <c r="Q9" s="215">
        <v>43096</v>
      </c>
      <c r="R9" s="218">
        <v>43113</v>
      </c>
      <c r="S9" s="215">
        <v>43278</v>
      </c>
      <c r="T9" s="218">
        <v>43329</v>
      </c>
      <c r="U9" s="219">
        <v>43456</v>
      </c>
      <c r="V9" s="220">
        <v>43497</v>
      </c>
      <c r="W9" s="219">
        <v>43719</v>
      </c>
      <c r="X9" s="220">
        <v>43726</v>
      </c>
      <c r="Y9" s="221">
        <v>43899</v>
      </c>
      <c r="Z9" s="222">
        <v>43954</v>
      </c>
      <c r="AA9" s="221">
        <v>44079</v>
      </c>
      <c r="AB9" s="222">
        <v>44189</v>
      </c>
      <c r="AC9" s="221">
        <v>44260</v>
      </c>
      <c r="AD9" s="222">
        <v>44285</v>
      </c>
      <c r="AE9" s="221">
        <v>44445</v>
      </c>
      <c r="AF9" s="222">
        <v>44704</v>
      </c>
      <c r="AG9" s="221">
        <v>44625</v>
      </c>
      <c r="AH9" s="222">
        <v>44704</v>
      </c>
      <c r="AI9" s="221">
        <v>44810</v>
      </c>
      <c r="AJ9" s="222">
        <v>44832</v>
      </c>
      <c r="AK9" s="223">
        <f t="shared" si="0"/>
        <v>22</v>
      </c>
      <c r="AL9" s="224">
        <v>44990</v>
      </c>
      <c r="AM9" s="224">
        <v>45012</v>
      </c>
      <c r="AN9" s="225">
        <f t="shared" si="1"/>
        <v>22</v>
      </c>
      <c r="AO9" s="226">
        <v>45217</v>
      </c>
      <c r="AP9" s="226">
        <v>45218</v>
      </c>
      <c r="AQ9" s="227">
        <v>45217</v>
      </c>
      <c r="AR9" s="227">
        <v>45237</v>
      </c>
      <c r="AS9" s="228">
        <f t="shared" si="4"/>
        <v>19</v>
      </c>
      <c r="AT9" s="237" t="s">
        <v>1054</v>
      </c>
      <c r="AU9" s="230">
        <v>45357</v>
      </c>
      <c r="AV9" s="231">
        <v>45360</v>
      </c>
      <c r="AW9" s="232">
        <v>3</v>
      </c>
      <c r="AX9" s="233">
        <v>45608</v>
      </c>
      <c r="AY9" s="234">
        <v>45609</v>
      </c>
      <c r="AZ9" s="234">
        <v>45619</v>
      </c>
      <c r="BA9" s="234">
        <v>45620</v>
      </c>
      <c r="BB9" s="235">
        <v>11</v>
      </c>
      <c r="BC9" s="236"/>
      <c r="BD9" s="297" t="s">
        <v>1117</v>
      </c>
      <c r="BE9" s="290">
        <v>45775</v>
      </c>
      <c r="BF9" s="286">
        <v>45775</v>
      </c>
      <c r="BG9" s="302">
        <f t="shared" si="2"/>
        <v>0</v>
      </c>
      <c r="BH9" s="303">
        <f t="shared" si="3"/>
        <v>100</v>
      </c>
      <c r="BI9" s="304"/>
    </row>
    <row r="10" spans="1:61" s="211" customFormat="1">
      <c r="A10" s="212">
        <v>6</v>
      </c>
      <c r="B10" s="213" t="s">
        <v>1057</v>
      </c>
      <c r="C10" s="214" t="s">
        <v>1053</v>
      </c>
      <c r="D10" s="213">
        <v>100261337</v>
      </c>
      <c r="E10" s="215">
        <v>42005</v>
      </c>
      <c r="F10" s="216">
        <v>42005</v>
      </c>
      <c r="G10" s="215">
        <v>42186</v>
      </c>
      <c r="H10" s="217">
        <v>42195</v>
      </c>
      <c r="I10" s="215">
        <v>42370</v>
      </c>
      <c r="J10" s="217">
        <v>42367</v>
      </c>
      <c r="K10" s="215">
        <v>42552</v>
      </c>
      <c r="L10" s="217">
        <v>42577</v>
      </c>
      <c r="M10" s="215">
        <v>42736</v>
      </c>
      <c r="N10" s="217">
        <v>42754</v>
      </c>
      <c r="O10" s="215">
        <v>42917</v>
      </c>
      <c r="P10" s="218">
        <v>42926</v>
      </c>
      <c r="Q10" s="215">
        <v>43101</v>
      </c>
      <c r="R10" s="218">
        <v>43115</v>
      </c>
      <c r="S10" s="215">
        <v>43282</v>
      </c>
      <c r="T10" s="218">
        <v>43328</v>
      </c>
      <c r="U10" s="219">
        <v>43461</v>
      </c>
      <c r="V10" s="220">
        <v>43496</v>
      </c>
      <c r="W10" s="219">
        <v>43720</v>
      </c>
      <c r="X10" s="220">
        <v>43729</v>
      </c>
      <c r="Y10" s="221">
        <v>43900</v>
      </c>
      <c r="Z10" s="222">
        <v>43955</v>
      </c>
      <c r="AA10" s="221">
        <v>44080</v>
      </c>
      <c r="AB10" s="222">
        <v>44188</v>
      </c>
      <c r="AC10" s="221">
        <v>44263</v>
      </c>
      <c r="AD10" s="222">
        <v>44286</v>
      </c>
      <c r="AE10" s="221">
        <v>44445</v>
      </c>
      <c r="AF10" s="222">
        <v>44705</v>
      </c>
      <c r="AG10" s="221">
        <v>44627</v>
      </c>
      <c r="AH10" s="222">
        <v>44705</v>
      </c>
      <c r="AI10" s="221">
        <v>44810</v>
      </c>
      <c r="AJ10" s="222">
        <v>44833</v>
      </c>
      <c r="AK10" s="223">
        <f t="shared" si="0"/>
        <v>23</v>
      </c>
      <c r="AL10" s="224">
        <v>44990</v>
      </c>
      <c r="AM10" s="224">
        <v>45013</v>
      </c>
      <c r="AN10" s="225">
        <f t="shared" si="1"/>
        <v>23</v>
      </c>
      <c r="AO10" s="226">
        <v>45219</v>
      </c>
      <c r="AP10" s="226">
        <v>45220</v>
      </c>
      <c r="AQ10" s="227">
        <v>45216</v>
      </c>
      <c r="AR10" s="227">
        <v>45236</v>
      </c>
      <c r="AS10" s="228">
        <f t="shared" si="4"/>
        <v>16</v>
      </c>
      <c r="AT10" s="237" t="s">
        <v>1054</v>
      </c>
      <c r="AU10" s="230">
        <v>45358</v>
      </c>
      <c r="AV10" s="231">
        <v>45362</v>
      </c>
      <c r="AW10" s="232">
        <v>4</v>
      </c>
      <c r="AX10" s="233">
        <v>45610</v>
      </c>
      <c r="AY10" s="234">
        <v>45611</v>
      </c>
      <c r="AZ10" s="234">
        <v>45617</v>
      </c>
      <c r="BA10" s="234">
        <v>45618</v>
      </c>
      <c r="BB10" s="235">
        <v>7</v>
      </c>
      <c r="BC10" s="236" t="s">
        <v>1050</v>
      </c>
      <c r="BD10" s="298" t="s">
        <v>1118</v>
      </c>
      <c r="BE10" s="288">
        <v>45816</v>
      </c>
      <c r="BF10" s="289"/>
      <c r="BG10" s="305">
        <f t="shared" si="2"/>
        <v>-45816</v>
      </c>
      <c r="BH10" s="306">
        <f t="shared" si="3"/>
        <v>-50790</v>
      </c>
      <c r="BI10" s="307" t="s">
        <v>1160</v>
      </c>
    </row>
    <row r="11" spans="1:61" s="211" customFormat="1">
      <c r="A11" s="212">
        <v>7</v>
      </c>
      <c r="B11" s="213" t="s">
        <v>1058</v>
      </c>
      <c r="C11" s="214" t="s">
        <v>1048</v>
      </c>
      <c r="D11" s="213">
        <v>100261333</v>
      </c>
      <c r="E11" s="215">
        <v>42008</v>
      </c>
      <c r="F11" s="216">
        <v>42008</v>
      </c>
      <c r="G11" s="215">
        <v>42189</v>
      </c>
      <c r="H11" s="217">
        <v>42217</v>
      </c>
      <c r="I11" s="215">
        <v>42373</v>
      </c>
      <c r="J11" s="217">
        <v>42373</v>
      </c>
      <c r="K11" s="215">
        <v>42555</v>
      </c>
      <c r="L11" s="217">
        <v>42581</v>
      </c>
      <c r="M11" s="215">
        <v>42739</v>
      </c>
      <c r="N11" s="217">
        <v>42758</v>
      </c>
      <c r="O11" s="215">
        <v>42920</v>
      </c>
      <c r="P11" s="218">
        <v>42949</v>
      </c>
      <c r="Q11" s="215">
        <v>43104</v>
      </c>
      <c r="R11" s="218">
        <v>43116</v>
      </c>
      <c r="S11" s="215">
        <v>43285</v>
      </c>
      <c r="T11" s="218">
        <v>43330</v>
      </c>
      <c r="U11" s="219">
        <v>43464</v>
      </c>
      <c r="V11" s="220">
        <v>43500</v>
      </c>
      <c r="W11" s="219">
        <v>43721</v>
      </c>
      <c r="X11" s="220">
        <v>43731</v>
      </c>
      <c r="Y11" s="221">
        <v>43901</v>
      </c>
      <c r="Z11" s="222">
        <v>43964</v>
      </c>
      <c r="AA11" s="221">
        <v>44081</v>
      </c>
      <c r="AB11" s="222">
        <v>44191</v>
      </c>
      <c r="AC11" s="221">
        <v>44264</v>
      </c>
      <c r="AD11" s="222">
        <v>44287</v>
      </c>
      <c r="AE11" s="221">
        <v>44447</v>
      </c>
      <c r="AF11" s="222">
        <v>44714</v>
      </c>
      <c r="AG11" s="221">
        <v>44628</v>
      </c>
      <c r="AH11" s="222">
        <v>44714</v>
      </c>
      <c r="AI11" s="221">
        <v>44812</v>
      </c>
      <c r="AJ11" s="222">
        <v>44835</v>
      </c>
      <c r="AK11" s="223">
        <f t="shared" si="0"/>
        <v>23</v>
      </c>
      <c r="AL11" s="224">
        <v>44992</v>
      </c>
      <c r="AM11" s="224">
        <v>45015</v>
      </c>
      <c r="AN11" s="225">
        <f t="shared" si="1"/>
        <v>23</v>
      </c>
      <c r="AO11" s="226">
        <v>45221</v>
      </c>
      <c r="AP11" s="226">
        <v>45222</v>
      </c>
      <c r="AQ11" s="227">
        <v>45246</v>
      </c>
      <c r="AR11" s="227">
        <v>45247</v>
      </c>
      <c r="AS11" s="228">
        <f t="shared" si="4"/>
        <v>25</v>
      </c>
      <c r="AT11" s="229"/>
      <c r="AU11" s="230">
        <v>45359</v>
      </c>
      <c r="AV11" s="231">
        <v>45363</v>
      </c>
      <c r="AW11" s="232">
        <v>4</v>
      </c>
      <c r="AX11" s="233">
        <v>45612</v>
      </c>
      <c r="AY11" s="234">
        <v>45614</v>
      </c>
      <c r="AZ11" s="234">
        <v>45606</v>
      </c>
      <c r="BA11" s="234">
        <v>45607</v>
      </c>
      <c r="BB11" s="235">
        <v>-7</v>
      </c>
      <c r="BC11" s="236" t="s">
        <v>1050</v>
      </c>
      <c r="BD11" s="297" t="s">
        <v>1119</v>
      </c>
      <c r="BE11" s="291">
        <v>45776</v>
      </c>
      <c r="BF11" s="286">
        <v>45776</v>
      </c>
      <c r="BG11" s="302">
        <f t="shared" si="2"/>
        <v>0</v>
      </c>
      <c r="BH11" s="303">
        <f t="shared" si="3"/>
        <v>100</v>
      </c>
      <c r="BI11" s="304"/>
    </row>
    <row r="12" spans="1:61" s="211" customFormat="1">
      <c r="A12" s="212">
        <v>8</v>
      </c>
      <c r="B12" s="213" t="s">
        <v>1059</v>
      </c>
      <c r="C12" s="214" t="s">
        <v>1048</v>
      </c>
      <c r="D12" s="213">
        <v>100261334</v>
      </c>
      <c r="E12" s="238">
        <v>42011</v>
      </c>
      <c r="F12" s="239">
        <v>42011</v>
      </c>
      <c r="G12" s="215">
        <v>42192</v>
      </c>
      <c r="H12" s="217">
        <v>42205</v>
      </c>
      <c r="I12" s="238">
        <v>42376</v>
      </c>
      <c r="J12" s="217">
        <v>42375</v>
      </c>
      <c r="K12" s="215">
        <v>42558</v>
      </c>
      <c r="L12" s="217">
        <v>42583</v>
      </c>
      <c r="M12" s="238">
        <v>42742</v>
      </c>
      <c r="N12" s="217">
        <v>42759</v>
      </c>
      <c r="O12" s="215">
        <v>42923</v>
      </c>
      <c r="P12" s="218">
        <v>42951</v>
      </c>
      <c r="Q12" s="238">
        <v>43107</v>
      </c>
      <c r="R12" s="218">
        <v>43117</v>
      </c>
      <c r="S12" s="215">
        <v>43288</v>
      </c>
      <c r="T12" s="218">
        <v>43332</v>
      </c>
      <c r="U12" s="219">
        <v>43467</v>
      </c>
      <c r="V12" s="220">
        <v>43502</v>
      </c>
      <c r="W12" s="219">
        <v>43722</v>
      </c>
      <c r="X12" s="220">
        <v>43733</v>
      </c>
      <c r="Y12" s="221">
        <v>43902</v>
      </c>
      <c r="Z12" s="222">
        <v>43965</v>
      </c>
      <c r="AA12" s="221">
        <v>44082</v>
      </c>
      <c r="AB12" s="222">
        <v>44192</v>
      </c>
      <c r="AC12" s="221">
        <v>44265</v>
      </c>
      <c r="AD12" s="222">
        <v>44288</v>
      </c>
      <c r="AE12" s="221">
        <v>44447</v>
      </c>
      <c r="AF12" s="222">
        <v>44715</v>
      </c>
      <c r="AG12" s="221">
        <v>44629</v>
      </c>
      <c r="AH12" s="222">
        <v>44715</v>
      </c>
      <c r="AI12" s="221">
        <v>44812</v>
      </c>
      <c r="AJ12" s="222">
        <v>44836</v>
      </c>
      <c r="AK12" s="223">
        <f t="shared" si="0"/>
        <v>24</v>
      </c>
      <c r="AL12" s="224">
        <v>44992</v>
      </c>
      <c r="AM12" s="224">
        <v>45016</v>
      </c>
      <c r="AN12" s="225">
        <f t="shared" si="1"/>
        <v>24</v>
      </c>
      <c r="AO12" s="226">
        <v>45223</v>
      </c>
      <c r="AP12" s="226">
        <v>45224</v>
      </c>
      <c r="AQ12" s="227">
        <v>45226</v>
      </c>
      <c r="AR12" s="227">
        <v>45238</v>
      </c>
      <c r="AS12" s="228">
        <f t="shared" si="4"/>
        <v>14</v>
      </c>
      <c r="AT12" s="237" t="s">
        <v>1054</v>
      </c>
      <c r="AU12" s="230">
        <v>45360</v>
      </c>
      <c r="AV12" s="231">
        <v>45366</v>
      </c>
      <c r="AW12" s="232">
        <v>6</v>
      </c>
      <c r="AX12" s="233">
        <v>45615</v>
      </c>
      <c r="AY12" s="234">
        <v>45616</v>
      </c>
      <c r="AZ12" s="234">
        <v>45608</v>
      </c>
      <c r="BA12" s="234">
        <v>45610</v>
      </c>
      <c r="BB12" s="235">
        <v>-6</v>
      </c>
      <c r="BC12" s="236" t="s">
        <v>1050</v>
      </c>
      <c r="BD12" s="297" t="s">
        <v>1120</v>
      </c>
      <c r="BE12" s="292">
        <v>45777</v>
      </c>
      <c r="BF12" s="286">
        <v>45777</v>
      </c>
      <c r="BG12" s="302">
        <f t="shared" si="2"/>
        <v>0</v>
      </c>
      <c r="BH12" s="303">
        <f t="shared" si="3"/>
        <v>100</v>
      </c>
      <c r="BI12" s="304"/>
    </row>
    <row r="13" spans="1:61" s="211" customFormat="1">
      <c r="A13" s="212">
        <v>9</v>
      </c>
      <c r="B13" s="213" t="s">
        <v>1060</v>
      </c>
      <c r="C13" s="214" t="s">
        <v>1048</v>
      </c>
      <c r="D13" s="213">
        <v>100261372</v>
      </c>
      <c r="E13" s="238">
        <v>42012</v>
      </c>
      <c r="F13" s="239">
        <v>42012</v>
      </c>
      <c r="G13" s="215">
        <v>42193</v>
      </c>
      <c r="H13" s="217">
        <v>42220</v>
      </c>
      <c r="I13" s="238">
        <v>42377</v>
      </c>
      <c r="J13" s="217">
        <v>42377</v>
      </c>
      <c r="K13" s="215">
        <v>42559</v>
      </c>
      <c r="L13" s="217">
        <v>42585</v>
      </c>
      <c r="M13" s="238">
        <v>42743</v>
      </c>
      <c r="N13" s="217">
        <v>42756</v>
      </c>
      <c r="O13" s="215">
        <v>42924</v>
      </c>
      <c r="P13" s="218">
        <v>42953</v>
      </c>
      <c r="Q13" s="238">
        <v>43108</v>
      </c>
      <c r="R13" s="218">
        <v>43118</v>
      </c>
      <c r="S13" s="215">
        <v>43289</v>
      </c>
      <c r="T13" s="218">
        <v>43333</v>
      </c>
      <c r="U13" s="219">
        <v>43468</v>
      </c>
      <c r="V13" s="220">
        <v>43503</v>
      </c>
      <c r="W13" s="219">
        <v>43723</v>
      </c>
      <c r="X13" s="220">
        <v>43734</v>
      </c>
      <c r="Y13" s="221">
        <v>43903</v>
      </c>
      <c r="Z13" s="222">
        <v>43957</v>
      </c>
      <c r="AA13" s="221">
        <v>44083</v>
      </c>
      <c r="AB13" s="222">
        <v>44193</v>
      </c>
      <c r="AC13" s="221">
        <v>44266</v>
      </c>
      <c r="AD13" s="222">
        <v>44289</v>
      </c>
      <c r="AE13" s="221">
        <v>44449</v>
      </c>
      <c r="AF13" s="222">
        <v>44718</v>
      </c>
      <c r="AG13" s="221">
        <v>44630</v>
      </c>
      <c r="AH13" s="222">
        <v>44718</v>
      </c>
      <c r="AI13" s="221">
        <v>44814</v>
      </c>
      <c r="AJ13" s="222">
        <v>44837</v>
      </c>
      <c r="AK13" s="223">
        <f t="shared" si="0"/>
        <v>23</v>
      </c>
      <c r="AL13" s="240">
        <v>44994</v>
      </c>
      <c r="AM13" s="240">
        <v>45020</v>
      </c>
      <c r="AN13" s="225">
        <f t="shared" si="1"/>
        <v>26</v>
      </c>
      <c r="AO13" s="226">
        <v>45225</v>
      </c>
      <c r="AP13" s="226">
        <v>45226</v>
      </c>
      <c r="AQ13" s="227">
        <v>45250</v>
      </c>
      <c r="AR13" s="227">
        <v>45251</v>
      </c>
      <c r="AS13" s="228">
        <f t="shared" si="4"/>
        <v>25</v>
      </c>
      <c r="AT13" s="229"/>
      <c r="AU13" s="230">
        <v>45362</v>
      </c>
      <c r="AV13" s="231">
        <v>45370</v>
      </c>
      <c r="AW13" s="232">
        <v>8</v>
      </c>
      <c r="AX13" s="233">
        <v>45617</v>
      </c>
      <c r="AY13" s="234">
        <v>45618</v>
      </c>
      <c r="AZ13" s="234">
        <v>45621</v>
      </c>
      <c r="BA13" s="234">
        <v>45622</v>
      </c>
      <c r="BB13" s="235">
        <v>4</v>
      </c>
      <c r="BC13" s="236" t="s">
        <v>1050</v>
      </c>
      <c r="BD13" s="297" t="s">
        <v>1121</v>
      </c>
      <c r="BE13" s="292">
        <v>45778</v>
      </c>
      <c r="BF13" s="286">
        <v>45778</v>
      </c>
      <c r="BG13" s="302">
        <f t="shared" si="2"/>
        <v>0</v>
      </c>
      <c r="BH13" s="303">
        <f t="shared" si="3"/>
        <v>100</v>
      </c>
      <c r="BI13" s="304"/>
    </row>
    <row r="14" spans="1:61" s="211" customFormat="1">
      <c r="A14" s="212">
        <v>10</v>
      </c>
      <c r="B14" s="213" t="s">
        <v>1061</v>
      </c>
      <c r="C14" s="214" t="s">
        <v>1048</v>
      </c>
      <c r="D14" s="213">
        <v>100261371</v>
      </c>
      <c r="E14" s="238">
        <v>42014</v>
      </c>
      <c r="F14" s="239">
        <v>42014</v>
      </c>
      <c r="G14" s="215">
        <v>42195</v>
      </c>
      <c r="H14" s="217">
        <v>42218</v>
      </c>
      <c r="I14" s="238">
        <v>42379</v>
      </c>
      <c r="J14" s="217">
        <v>42379</v>
      </c>
      <c r="K14" s="215">
        <v>42561</v>
      </c>
      <c r="L14" s="217">
        <v>42587</v>
      </c>
      <c r="M14" s="238">
        <v>42745</v>
      </c>
      <c r="N14" s="217">
        <v>42765</v>
      </c>
      <c r="O14" s="215">
        <v>42926</v>
      </c>
      <c r="P14" s="218">
        <v>42954</v>
      </c>
      <c r="Q14" s="238">
        <v>43110</v>
      </c>
      <c r="R14" s="218">
        <v>43119</v>
      </c>
      <c r="S14" s="215">
        <v>43291</v>
      </c>
      <c r="T14" s="218">
        <v>43339</v>
      </c>
      <c r="U14" s="219">
        <v>43470</v>
      </c>
      <c r="V14" s="220">
        <v>43504</v>
      </c>
      <c r="W14" s="219">
        <v>43724</v>
      </c>
      <c r="X14" s="220">
        <v>43735</v>
      </c>
      <c r="Y14" s="221">
        <v>43904</v>
      </c>
      <c r="Z14" s="222">
        <v>43965</v>
      </c>
      <c r="AA14" s="221">
        <v>44084</v>
      </c>
      <c r="AB14" s="222">
        <v>44197</v>
      </c>
      <c r="AC14" s="221">
        <v>44267</v>
      </c>
      <c r="AD14" s="222">
        <v>44290</v>
      </c>
      <c r="AE14" s="221">
        <v>44449</v>
      </c>
      <c r="AF14" s="222">
        <v>44717</v>
      </c>
      <c r="AG14" s="221">
        <v>44631</v>
      </c>
      <c r="AH14" s="222">
        <v>44717</v>
      </c>
      <c r="AI14" s="221">
        <v>44814</v>
      </c>
      <c r="AJ14" s="222">
        <v>44839</v>
      </c>
      <c r="AK14" s="223">
        <f t="shared" si="0"/>
        <v>25</v>
      </c>
      <c r="AL14" s="240">
        <v>44994</v>
      </c>
      <c r="AM14" s="240">
        <v>45019</v>
      </c>
      <c r="AN14" s="225">
        <f t="shared" si="1"/>
        <v>25</v>
      </c>
      <c r="AO14" s="226">
        <v>45227</v>
      </c>
      <c r="AP14" s="226">
        <v>45228</v>
      </c>
      <c r="AQ14" s="227">
        <v>45252</v>
      </c>
      <c r="AR14" s="227">
        <v>45253</v>
      </c>
      <c r="AS14" s="228">
        <f t="shared" si="4"/>
        <v>25</v>
      </c>
      <c r="AT14" s="229"/>
      <c r="AU14" s="230">
        <v>45363</v>
      </c>
      <c r="AV14" s="231">
        <v>45371</v>
      </c>
      <c r="AW14" s="232">
        <v>8</v>
      </c>
      <c r="AX14" s="233">
        <v>45619</v>
      </c>
      <c r="AY14" s="234">
        <v>45621</v>
      </c>
      <c r="AZ14" s="234">
        <v>45624</v>
      </c>
      <c r="BA14" s="234">
        <v>45625</v>
      </c>
      <c r="BB14" s="235">
        <v>4</v>
      </c>
      <c r="BC14" s="236" t="s">
        <v>1050</v>
      </c>
      <c r="BD14" s="297" t="s">
        <v>1122</v>
      </c>
      <c r="BE14" s="292">
        <v>45779</v>
      </c>
      <c r="BF14" s="286">
        <v>45780</v>
      </c>
      <c r="BG14" s="302">
        <f t="shared" si="2"/>
        <v>1</v>
      </c>
      <c r="BH14" s="303">
        <f t="shared" si="3"/>
        <v>100</v>
      </c>
      <c r="BI14" s="304" t="s">
        <v>1161</v>
      </c>
    </row>
    <row r="15" spans="1:61" s="211" customFormat="1">
      <c r="A15" s="212">
        <v>11</v>
      </c>
      <c r="B15" s="213" t="s">
        <v>1062</v>
      </c>
      <c r="C15" s="214" t="s">
        <v>1053</v>
      </c>
      <c r="D15" s="213">
        <v>100261338</v>
      </c>
      <c r="E15" s="238">
        <v>42017</v>
      </c>
      <c r="F15" s="239">
        <v>42017</v>
      </c>
      <c r="G15" s="215">
        <v>42198</v>
      </c>
      <c r="H15" s="217">
        <v>42221</v>
      </c>
      <c r="I15" s="238">
        <v>42382</v>
      </c>
      <c r="J15" s="217">
        <v>42382</v>
      </c>
      <c r="K15" s="215">
        <v>42564</v>
      </c>
      <c r="L15" s="217">
        <v>42594</v>
      </c>
      <c r="M15" s="238">
        <v>42748</v>
      </c>
      <c r="N15" s="217">
        <v>42760</v>
      </c>
      <c r="O15" s="215">
        <v>42929</v>
      </c>
      <c r="P15" s="218">
        <v>42955</v>
      </c>
      <c r="Q15" s="238">
        <v>43113</v>
      </c>
      <c r="R15" s="218">
        <v>43120</v>
      </c>
      <c r="S15" s="215">
        <v>43294</v>
      </c>
      <c r="T15" s="218">
        <v>43334</v>
      </c>
      <c r="U15" s="219">
        <v>43473</v>
      </c>
      <c r="V15" s="220">
        <v>43505</v>
      </c>
      <c r="W15" s="219">
        <v>43725</v>
      </c>
      <c r="X15" s="220">
        <v>43736</v>
      </c>
      <c r="Y15" s="221">
        <v>43905</v>
      </c>
      <c r="Z15" s="222">
        <v>43966</v>
      </c>
      <c r="AA15" s="221">
        <v>44085</v>
      </c>
      <c r="AB15" s="222">
        <v>44194</v>
      </c>
      <c r="AC15" s="221">
        <v>44270</v>
      </c>
      <c r="AD15" s="222">
        <v>44292</v>
      </c>
      <c r="AE15" s="221">
        <v>44452</v>
      </c>
      <c r="AF15" s="222">
        <v>44721</v>
      </c>
      <c r="AG15" s="221">
        <v>44632</v>
      </c>
      <c r="AH15" s="222">
        <v>44721</v>
      </c>
      <c r="AI15" s="221">
        <v>44817</v>
      </c>
      <c r="AJ15" s="222">
        <v>44840</v>
      </c>
      <c r="AK15" s="223">
        <f t="shared" si="0"/>
        <v>23</v>
      </c>
      <c r="AL15" s="240">
        <v>44997</v>
      </c>
      <c r="AM15" s="240">
        <v>45021</v>
      </c>
      <c r="AN15" s="225">
        <f t="shared" si="1"/>
        <v>24</v>
      </c>
      <c r="AO15" s="226">
        <v>45229</v>
      </c>
      <c r="AP15" s="226">
        <v>45230</v>
      </c>
      <c r="AQ15" s="227">
        <v>45254</v>
      </c>
      <c r="AR15" s="227">
        <v>45255</v>
      </c>
      <c r="AS15" s="228">
        <f t="shared" si="4"/>
        <v>25</v>
      </c>
      <c r="AT15" s="229"/>
      <c r="AU15" s="230">
        <v>45364</v>
      </c>
      <c r="AV15" s="231">
        <v>45372</v>
      </c>
      <c r="AW15" s="232">
        <v>8</v>
      </c>
      <c r="AX15" s="233">
        <v>45622</v>
      </c>
      <c r="AY15" s="234">
        <v>45623</v>
      </c>
      <c r="AZ15" s="234">
        <v>45626</v>
      </c>
      <c r="BA15" s="234">
        <v>45627</v>
      </c>
      <c r="BB15" s="235">
        <v>4</v>
      </c>
      <c r="BC15" s="236" t="s">
        <v>1050</v>
      </c>
      <c r="BD15" s="297" t="s">
        <v>1123</v>
      </c>
      <c r="BE15" s="292">
        <v>45780</v>
      </c>
      <c r="BF15" s="286">
        <v>45781</v>
      </c>
      <c r="BG15" s="302">
        <f t="shared" si="2"/>
        <v>1</v>
      </c>
      <c r="BH15" s="303">
        <f t="shared" si="3"/>
        <v>100</v>
      </c>
      <c r="BI15" s="304"/>
    </row>
    <row r="16" spans="1:61" s="211" customFormat="1">
      <c r="A16" s="212">
        <v>12</v>
      </c>
      <c r="B16" s="241" t="s">
        <v>1063</v>
      </c>
      <c r="C16" s="214" t="s">
        <v>1048</v>
      </c>
      <c r="D16" s="241">
        <v>100261403</v>
      </c>
      <c r="E16" s="238">
        <v>42024</v>
      </c>
      <c r="F16" s="239">
        <v>42024</v>
      </c>
      <c r="G16" s="215">
        <v>42205</v>
      </c>
      <c r="H16" s="217">
        <v>42205</v>
      </c>
      <c r="I16" s="238">
        <v>42389</v>
      </c>
      <c r="J16" s="217">
        <v>42386</v>
      </c>
      <c r="K16" s="215">
        <v>42571</v>
      </c>
      <c r="L16" s="217">
        <v>42595</v>
      </c>
      <c r="M16" s="238">
        <v>42755</v>
      </c>
      <c r="N16" s="217">
        <v>42768</v>
      </c>
      <c r="O16" s="215">
        <v>42936</v>
      </c>
      <c r="P16" s="218">
        <v>42956</v>
      </c>
      <c r="Q16" s="238">
        <v>43120</v>
      </c>
      <c r="R16" s="218">
        <v>43125</v>
      </c>
      <c r="S16" s="215">
        <v>43301</v>
      </c>
      <c r="T16" s="218">
        <v>43344</v>
      </c>
      <c r="U16" s="219">
        <v>43480</v>
      </c>
      <c r="V16" s="220">
        <v>43507</v>
      </c>
      <c r="W16" s="219">
        <v>43726</v>
      </c>
      <c r="X16" s="220">
        <v>43737</v>
      </c>
      <c r="Y16" s="221">
        <v>43906</v>
      </c>
      <c r="Z16" s="222">
        <v>43966</v>
      </c>
      <c r="AA16" s="221">
        <v>44086</v>
      </c>
      <c r="AB16" s="222">
        <v>44195</v>
      </c>
      <c r="AC16" s="221">
        <v>44271</v>
      </c>
      <c r="AD16" s="222">
        <v>44294</v>
      </c>
      <c r="AE16" s="221">
        <v>44452</v>
      </c>
      <c r="AF16" s="222">
        <v>44722</v>
      </c>
      <c r="AG16" s="221">
        <v>44634</v>
      </c>
      <c r="AH16" s="222">
        <v>44722</v>
      </c>
      <c r="AI16" s="221">
        <v>44817</v>
      </c>
      <c r="AJ16" s="222">
        <v>44842</v>
      </c>
      <c r="AK16" s="223">
        <f t="shared" si="0"/>
        <v>25</v>
      </c>
      <c r="AL16" s="240">
        <v>44997</v>
      </c>
      <c r="AM16" s="240">
        <v>45022</v>
      </c>
      <c r="AN16" s="225">
        <f t="shared" si="1"/>
        <v>25</v>
      </c>
      <c r="AO16" s="226">
        <v>45231</v>
      </c>
      <c r="AP16" s="226">
        <v>45232</v>
      </c>
      <c r="AQ16" s="227">
        <v>45255</v>
      </c>
      <c r="AR16" s="227">
        <v>45254</v>
      </c>
      <c r="AS16" s="228">
        <f t="shared" si="4"/>
        <v>22</v>
      </c>
      <c r="AT16" s="229"/>
      <c r="AU16" s="230">
        <v>45365</v>
      </c>
      <c r="AV16" s="231">
        <v>45374</v>
      </c>
      <c r="AW16" s="232">
        <v>9</v>
      </c>
      <c r="AX16" s="233">
        <v>45624</v>
      </c>
      <c r="AY16" s="234">
        <v>45625</v>
      </c>
      <c r="AZ16" s="234">
        <v>45628</v>
      </c>
      <c r="BA16" s="234">
        <v>45629</v>
      </c>
      <c r="BB16" s="235">
        <v>4</v>
      </c>
      <c r="BC16" s="236" t="s">
        <v>1050</v>
      </c>
      <c r="BD16" s="297" t="s">
        <v>1124</v>
      </c>
      <c r="BE16" s="292">
        <v>45781</v>
      </c>
      <c r="BF16" s="286">
        <v>45783</v>
      </c>
      <c r="BG16" s="302">
        <f t="shared" si="2"/>
        <v>2</v>
      </c>
      <c r="BH16" s="303">
        <f t="shared" si="3"/>
        <v>100</v>
      </c>
      <c r="BI16" s="304" t="s">
        <v>1162</v>
      </c>
    </row>
    <row r="17" spans="1:61" s="211" customFormat="1">
      <c r="A17" s="212">
        <v>13</v>
      </c>
      <c r="B17" s="213" t="s">
        <v>1064</v>
      </c>
      <c r="C17" s="214" t="s">
        <v>1048</v>
      </c>
      <c r="D17" s="213">
        <v>100261374</v>
      </c>
      <c r="E17" s="238">
        <v>42026</v>
      </c>
      <c r="F17" s="239">
        <v>42026</v>
      </c>
      <c r="G17" s="215">
        <v>42207</v>
      </c>
      <c r="H17" s="217">
        <v>42203</v>
      </c>
      <c r="I17" s="238">
        <v>42391</v>
      </c>
      <c r="J17" s="217">
        <v>42390</v>
      </c>
      <c r="K17" s="215">
        <v>42573</v>
      </c>
      <c r="L17" s="217">
        <v>42596</v>
      </c>
      <c r="M17" s="238">
        <v>42757</v>
      </c>
      <c r="N17" s="217">
        <v>42769</v>
      </c>
      <c r="O17" s="215">
        <v>42938</v>
      </c>
      <c r="P17" s="218">
        <v>42957</v>
      </c>
      <c r="Q17" s="238">
        <v>43122</v>
      </c>
      <c r="R17" s="218">
        <v>43127</v>
      </c>
      <c r="S17" s="215">
        <v>43303</v>
      </c>
      <c r="T17" s="218">
        <v>43346</v>
      </c>
      <c r="U17" s="219">
        <v>43482</v>
      </c>
      <c r="V17" s="220">
        <v>43508</v>
      </c>
      <c r="W17" s="219">
        <v>43727</v>
      </c>
      <c r="X17" s="220">
        <v>43738</v>
      </c>
      <c r="Y17" s="221">
        <v>43907</v>
      </c>
      <c r="Z17" s="222">
        <v>43967</v>
      </c>
      <c r="AA17" s="221">
        <v>44087</v>
      </c>
      <c r="AB17" s="222">
        <v>44117</v>
      </c>
      <c r="AC17" s="221">
        <v>44272</v>
      </c>
      <c r="AD17" s="222">
        <v>44307</v>
      </c>
      <c r="AE17" s="221">
        <v>44454</v>
      </c>
      <c r="AF17" s="222">
        <v>44723</v>
      </c>
      <c r="AG17" s="221">
        <v>44635</v>
      </c>
      <c r="AH17" s="222">
        <v>44723</v>
      </c>
      <c r="AI17" s="221">
        <v>44819</v>
      </c>
      <c r="AJ17" s="222">
        <v>44843</v>
      </c>
      <c r="AK17" s="223">
        <f t="shared" si="0"/>
        <v>24</v>
      </c>
      <c r="AL17" s="240">
        <v>44999</v>
      </c>
      <c r="AM17" s="240">
        <v>45023</v>
      </c>
      <c r="AN17" s="225">
        <f t="shared" si="1"/>
        <v>24</v>
      </c>
      <c r="AO17" s="226">
        <v>45233</v>
      </c>
      <c r="AP17" s="226">
        <v>45234</v>
      </c>
      <c r="AQ17" s="227">
        <v>45257</v>
      </c>
      <c r="AR17" s="227">
        <v>45258</v>
      </c>
      <c r="AS17" s="228">
        <f t="shared" si="4"/>
        <v>24</v>
      </c>
      <c r="AT17" s="229"/>
      <c r="AU17" s="230">
        <v>45366</v>
      </c>
      <c r="AV17" s="231">
        <v>45373</v>
      </c>
      <c r="AW17" s="232">
        <v>7</v>
      </c>
      <c r="AX17" s="233">
        <v>45626</v>
      </c>
      <c r="AY17" s="234">
        <v>45628</v>
      </c>
      <c r="AZ17" s="234">
        <v>45632</v>
      </c>
      <c r="BA17" s="234">
        <v>45633</v>
      </c>
      <c r="BB17" s="235">
        <v>5</v>
      </c>
      <c r="BC17" s="236" t="s">
        <v>1065</v>
      </c>
      <c r="BD17" s="301" t="s">
        <v>1125</v>
      </c>
      <c r="BE17" s="293">
        <v>45782</v>
      </c>
      <c r="BF17" s="286">
        <v>45784</v>
      </c>
      <c r="BG17" s="302">
        <f t="shared" si="2"/>
        <v>2</v>
      </c>
      <c r="BH17" s="303">
        <f t="shared" si="3"/>
        <v>100</v>
      </c>
      <c r="BI17" s="308"/>
    </row>
    <row r="18" spans="1:61" s="211" customFormat="1">
      <c r="A18" s="212">
        <v>14</v>
      </c>
      <c r="B18" s="213" t="s">
        <v>1066</v>
      </c>
      <c r="C18" s="214" t="s">
        <v>1053</v>
      </c>
      <c r="D18" s="213">
        <v>100261336</v>
      </c>
      <c r="E18" s="238">
        <v>42032</v>
      </c>
      <c r="F18" s="239">
        <v>42032</v>
      </c>
      <c r="G18" s="215">
        <v>42213</v>
      </c>
      <c r="H18" s="217">
        <v>42233</v>
      </c>
      <c r="I18" s="238">
        <v>42397</v>
      </c>
      <c r="J18" s="217">
        <v>42398</v>
      </c>
      <c r="K18" s="215">
        <v>42579</v>
      </c>
      <c r="L18" s="217">
        <v>42598</v>
      </c>
      <c r="M18" s="238">
        <v>42763</v>
      </c>
      <c r="N18" s="217">
        <v>42763</v>
      </c>
      <c r="O18" s="215">
        <v>42944</v>
      </c>
      <c r="P18" s="218">
        <v>42971</v>
      </c>
      <c r="Q18" s="238">
        <v>43128</v>
      </c>
      <c r="R18" s="218">
        <v>43129</v>
      </c>
      <c r="S18" s="215">
        <v>43309</v>
      </c>
      <c r="T18" s="218">
        <v>43409</v>
      </c>
      <c r="U18" s="219">
        <v>43488</v>
      </c>
      <c r="V18" s="220">
        <v>43509</v>
      </c>
      <c r="W18" s="219">
        <v>43728</v>
      </c>
      <c r="X18" s="220">
        <v>43740</v>
      </c>
      <c r="Y18" s="221">
        <v>43908</v>
      </c>
      <c r="Z18" s="222">
        <v>43956</v>
      </c>
      <c r="AA18" s="221">
        <v>44088</v>
      </c>
      <c r="AB18" s="222">
        <v>44118</v>
      </c>
      <c r="AC18" s="221">
        <v>44273</v>
      </c>
      <c r="AD18" s="222">
        <v>44295</v>
      </c>
      <c r="AE18" s="221">
        <v>44454</v>
      </c>
      <c r="AF18" s="222">
        <v>44724</v>
      </c>
      <c r="AG18" s="221">
        <v>44636</v>
      </c>
      <c r="AH18" s="222">
        <v>44724</v>
      </c>
      <c r="AI18" s="221">
        <v>44819</v>
      </c>
      <c r="AJ18" s="222">
        <v>44844</v>
      </c>
      <c r="AK18" s="223">
        <f t="shared" si="0"/>
        <v>25</v>
      </c>
      <c r="AL18" s="240">
        <v>44999</v>
      </c>
      <c r="AM18" s="240">
        <v>45028</v>
      </c>
      <c r="AN18" s="225">
        <f t="shared" si="1"/>
        <v>29</v>
      </c>
      <c r="AO18" s="226">
        <v>45235</v>
      </c>
      <c r="AP18" s="226">
        <v>45236</v>
      </c>
      <c r="AQ18" s="227">
        <v>45259</v>
      </c>
      <c r="AR18" s="227">
        <v>45257</v>
      </c>
      <c r="AS18" s="228">
        <f t="shared" si="4"/>
        <v>21</v>
      </c>
      <c r="AT18" s="237" t="s">
        <v>1067</v>
      </c>
      <c r="AU18" s="230">
        <v>45367</v>
      </c>
      <c r="AV18" s="231">
        <v>45376</v>
      </c>
      <c r="AW18" s="232">
        <v>9</v>
      </c>
      <c r="AX18" s="233">
        <v>45629</v>
      </c>
      <c r="AY18" s="234">
        <v>45630</v>
      </c>
      <c r="AZ18" s="234">
        <v>45634</v>
      </c>
      <c r="BA18" s="234">
        <v>45636</v>
      </c>
      <c r="BB18" s="235">
        <v>6</v>
      </c>
      <c r="BC18" s="236" t="s">
        <v>1068</v>
      </c>
      <c r="BD18" s="297" t="s">
        <v>1126</v>
      </c>
      <c r="BE18" s="293">
        <v>45783</v>
      </c>
      <c r="BF18" s="286">
        <v>45792</v>
      </c>
      <c r="BG18" s="302">
        <f t="shared" si="2"/>
        <v>9</v>
      </c>
      <c r="BH18" s="303">
        <f t="shared" si="3"/>
        <v>100</v>
      </c>
      <c r="BI18" s="304" t="s">
        <v>1163</v>
      </c>
    </row>
    <row r="19" spans="1:61" s="211" customFormat="1">
      <c r="A19" s="212">
        <v>15</v>
      </c>
      <c r="B19" s="241" t="s">
        <v>1069</v>
      </c>
      <c r="C19" s="214" t="s">
        <v>1048</v>
      </c>
      <c r="D19" s="241">
        <v>100261404</v>
      </c>
      <c r="E19" s="238">
        <v>42034</v>
      </c>
      <c r="F19" s="239">
        <v>42034</v>
      </c>
      <c r="G19" s="215">
        <v>42215</v>
      </c>
      <c r="H19" s="217">
        <v>42235</v>
      </c>
      <c r="I19" s="238">
        <v>42399</v>
      </c>
      <c r="J19" s="217">
        <v>42399</v>
      </c>
      <c r="K19" s="215">
        <v>42581</v>
      </c>
      <c r="L19" s="217">
        <v>42600</v>
      </c>
      <c r="M19" s="238">
        <v>42765</v>
      </c>
      <c r="N19" s="217">
        <v>42770</v>
      </c>
      <c r="O19" s="215">
        <v>42946</v>
      </c>
      <c r="P19" s="218">
        <v>42958</v>
      </c>
      <c r="Q19" s="238">
        <v>43130</v>
      </c>
      <c r="R19" s="218">
        <v>43130</v>
      </c>
      <c r="S19" s="215">
        <v>43311</v>
      </c>
      <c r="T19" s="218">
        <v>43410</v>
      </c>
      <c r="U19" s="219">
        <v>43490</v>
      </c>
      <c r="V19" s="220">
        <v>43516</v>
      </c>
      <c r="W19" s="219">
        <v>43729</v>
      </c>
      <c r="X19" s="220">
        <v>43741</v>
      </c>
      <c r="Y19" s="221">
        <v>43909</v>
      </c>
      <c r="Z19" s="222">
        <v>43967</v>
      </c>
      <c r="AA19" s="221">
        <v>44089</v>
      </c>
      <c r="AB19" s="222">
        <v>44124</v>
      </c>
      <c r="AC19" s="221">
        <v>44274</v>
      </c>
      <c r="AD19" s="222">
        <v>44305</v>
      </c>
      <c r="AE19" s="221">
        <v>44456</v>
      </c>
      <c r="AF19" s="222">
        <v>44725</v>
      </c>
      <c r="AG19" s="221">
        <v>44637</v>
      </c>
      <c r="AH19" s="222">
        <v>44725</v>
      </c>
      <c r="AI19" s="221">
        <v>44821</v>
      </c>
      <c r="AJ19" s="222">
        <v>44845</v>
      </c>
      <c r="AK19" s="223">
        <f t="shared" si="0"/>
        <v>24</v>
      </c>
      <c r="AL19" s="240">
        <v>45001</v>
      </c>
      <c r="AM19" s="240">
        <v>45030</v>
      </c>
      <c r="AN19" s="225">
        <f t="shared" si="1"/>
        <v>29</v>
      </c>
      <c r="AO19" s="226">
        <v>45237</v>
      </c>
      <c r="AP19" s="226">
        <v>45238</v>
      </c>
      <c r="AQ19" s="227">
        <v>45260</v>
      </c>
      <c r="AR19" s="227">
        <v>45261</v>
      </c>
      <c r="AS19" s="228">
        <f t="shared" si="4"/>
        <v>23</v>
      </c>
      <c r="AT19" s="237" t="s">
        <v>1070</v>
      </c>
      <c r="AU19" s="230">
        <v>45369</v>
      </c>
      <c r="AV19" s="231">
        <v>45377</v>
      </c>
      <c r="AW19" s="232">
        <v>8</v>
      </c>
      <c r="AX19" s="233">
        <v>45631</v>
      </c>
      <c r="AY19" s="234">
        <v>45632</v>
      </c>
      <c r="AZ19" s="234">
        <v>45638</v>
      </c>
      <c r="BA19" s="234">
        <v>45641</v>
      </c>
      <c r="BB19" s="235">
        <v>9</v>
      </c>
      <c r="BC19" s="236" t="s">
        <v>1071</v>
      </c>
      <c r="BD19" s="297" t="s">
        <v>1127</v>
      </c>
      <c r="BE19" s="293">
        <v>45785</v>
      </c>
      <c r="BF19" s="286">
        <v>45793</v>
      </c>
      <c r="BG19" s="302">
        <f t="shared" si="2"/>
        <v>8</v>
      </c>
      <c r="BH19" s="303">
        <f>IF(BG19&lt;-15,100-((-1*BG19-15)/90)*100,IF(BG19&gt;15,100-((BG19-15)/90)*100,1*100))</f>
        <v>100</v>
      </c>
      <c r="BI19" s="304"/>
    </row>
    <row r="20" spans="1:61" s="211" customFormat="1">
      <c r="A20" s="212">
        <v>16</v>
      </c>
      <c r="B20" s="241" t="s">
        <v>1072</v>
      </c>
      <c r="C20" s="214" t="s">
        <v>1048</v>
      </c>
      <c r="D20" s="241">
        <v>100261369</v>
      </c>
      <c r="E20" s="238">
        <v>42038</v>
      </c>
      <c r="F20" s="239">
        <v>42038</v>
      </c>
      <c r="G20" s="215">
        <v>42219</v>
      </c>
      <c r="H20" s="217">
        <v>42238</v>
      </c>
      <c r="I20" s="238">
        <v>42403</v>
      </c>
      <c r="J20" s="217">
        <v>42403</v>
      </c>
      <c r="K20" s="215">
        <v>42585</v>
      </c>
      <c r="L20" s="217">
        <v>42601</v>
      </c>
      <c r="M20" s="238">
        <v>42769</v>
      </c>
      <c r="N20" s="217">
        <v>42776</v>
      </c>
      <c r="O20" s="215">
        <v>42950</v>
      </c>
      <c r="P20" s="218">
        <v>42975</v>
      </c>
      <c r="Q20" s="238">
        <v>43134</v>
      </c>
      <c r="R20" s="218">
        <v>43143</v>
      </c>
      <c r="S20" s="215">
        <v>43315</v>
      </c>
      <c r="T20" s="218">
        <v>43411</v>
      </c>
      <c r="U20" s="219">
        <v>43494</v>
      </c>
      <c r="V20" s="220">
        <v>43517</v>
      </c>
      <c r="W20" s="219">
        <v>43730</v>
      </c>
      <c r="X20" s="220">
        <v>43744</v>
      </c>
      <c r="Y20" s="221">
        <v>43910</v>
      </c>
      <c r="Z20" s="222">
        <v>43968</v>
      </c>
      <c r="AA20" s="221">
        <v>44090</v>
      </c>
      <c r="AB20" s="222">
        <v>44125</v>
      </c>
      <c r="AC20" s="221">
        <v>44277</v>
      </c>
      <c r="AD20" s="222">
        <v>44306</v>
      </c>
      <c r="AE20" s="221">
        <v>44456</v>
      </c>
      <c r="AF20" s="222">
        <v>44726</v>
      </c>
      <c r="AG20" s="221">
        <v>44638</v>
      </c>
      <c r="AH20" s="222">
        <v>44726</v>
      </c>
      <c r="AI20" s="221">
        <v>44821</v>
      </c>
      <c r="AJ20" s="222">
        <v>44848</v>
      </c>
      <c r="AK20" s="223">
        <f t="shared" si="0"/>
        <v>27</v>
      </c>
      <c r="AL20" s="240">
        <v>45001</v>
      </c>
      <c r="AM20" s="240">
        <v>45033</v>
      </c>
      <c r="AN20" s="225">
        <f t="shared" si="1"/>
        <v>32</v>
      </c>
      <c r="AO20" s="226">
        <v>45239</v>
      </c>
      <c r="AP20" s="226">
        <v>45240</v>
      </c>
      <c r="AQ20" s="227">
        <v>45261</v>
      </c>
      <c r="AR20" s="227">
        <v>45262</v>
      </c>
      <c r="AS20" s="228">
        <f t="shared" si="4"/>
        <v>22</v>
      </c>
      <c r="AT20" s="237" t="s">
        <v>1073</v>
      </c>
      <c r="AU20" s="230">
        <v>45370</v>
      </c>
      <c r="AV20" s="231">
        <v>45367</v>
      </c>
      <c r="AW20" s="232">
        <v>3</v>
      </c>
      <c r="AX20" s="233">
        <v>45633</v>
      </c>
      <c r="AY20" s="234">
        <v>45635</v>
      </c>
      <c r="AZ20" s="234">
        <v>45642</v>
      </c>
      <c r="BA20" s="234">
        <v>45643</v>
      </c>
      <c r="BB20" s="235">
        <v>8</v>
      </c>
      <c r="BC20" s="236" t="s">
        <v>1074</v>
      </c>
      <c r="BD20" s="297" t="s">
        <v>1128</v>
      </c>
      <c r="BE20" s="293">
        <v>45786</v>
      </c>
      <c r="BF20" s="286">
        <v>45794</v>
      </c>
      <c r="BG20" s="302">
        <f t="shared" si="2"/>
        <v>8</v>
      </c>
      <c r="BH20" s="303">
        <f t="shared" ref="BH20:BH44" si="5">IF(BG20&lt;-15,100-((-1*BG20-15)/90)*100,IF(BG20&gt;15,100-((BG20-15)/90)*100,1*100))</f>
        <v>100</v>
      </c>
      <c r="BI20" s="304"/>
    </row>
    <row r="21" spans="1:61" s="211" customFormat="1">
      <c r="A21" s="212">
        <v>17</v>
      </c>
      <c r="B21" s="213" t="s">
        <v>1075</v>
      </c>
      <c r="C21" s="214" t="s">
        <v>1053</v>
      </c>
      <c r="D21" s="213">
        <v>100261339</v>
      </c>
      <c r="E21" s="238">
        <v>42039</v>
      </c>
      <c r="F21" s="239">
        <v>42039</v>
      </c>
      <c r="G21" s="215">
        <v>42220</v>
      </c>
      <c r="H21" s="217">
        <v>42244</v>
      </c>
      <c r="I21" s="238">
        <v>42404</v>
      </c>
      <c r="J21" s="217">
        <v>42404</v>
      </c>
      <c r="K21" s="215">
        <v>42586</v>
      </c>
      <c r="L21" s="217">
        <v>42605</v>
      </c>
      <c r="M21" s="238">
        <v>42770</v>
      </c>
      <c r="N21" s="217">
        <v>42775</v>
      </c>
      <c r="O21" s="215">
        <v>42951</v>
      </c>
      <c r="P21" s="218">
        <v>42979</v>
      </c>
      <c r="Q21" s="238">
        <v>43135</v>
      </c>
      <c r="R21" s="218">
        <v>43166</v>
      </c>
      <c r="S21" s="215">
        <v>43316</v>
      </c>
      <c r="T21" s="218">
        <v>43412</v>
      </c>
      <c r="U21" s="219">
        <v>43495</v>
      </c>
      <c r="V21" s="220">
        <v>43522</v>
      </c>
      <c r="W21" s="219">
        <v>43731</v>
      </c>
      <c r="X21" s="220">
        <v>43745</v>
      </c>
      <c r="Y21" s="221">
        <v>43911</v>
      </c>
      <c r="Z21" s="222">
        <v>43963</v>
      </c>
      <c r="AA21" s="221">
        <v>44091</v>
      </c>
      <c r="AB21" s="222">
        <v>44185</v>
      </c>
      <c r="AC21" s="221">
        <v>44278</v>
      </c>
      <c r="AD21" s="222">
        <v>44296</v>
      </c>
      <c r="AE21" s="221">
        <v>44459</v>
      </c>
      <c r="AF21" s="222">
        <v>44709</v>
      </c>
      <c r="AG21" s="221">
        <v>44639</v>
      </c>
      <c r="AH21" s="222">
        <v>44709</v>
      </c>
      <c r="AI21" s="221">
        <v>44824</v>
      </c>
      <c r="AJ21" s="222">
        <v>44834</v>
      </c>
      <c r="AK21" s="223">
        <f t="shared" si="0"/>
        <v>10</v>
      </c>
      <c r="AL21" s="240">
        <v>45004</v>
      </c>
      <c r="AM21" s="240">
        <v>45014</v>
      </c>
      <c r="AN21" s="225">
        <f t="shared" si="1"/>
        <v>10</v>
      </c>
      <c r="AO21" s="226">
        <v>45241</v>
      </c>
      <c r="AP21" s="226">
        <v>45242</v>
      </c>
      <c r="AQ21" s="227">
        <v>45210</v>
      </c>
      <c r="AR21" s="227">
        <v>45234</v>
      </c>
      <c r="AS21" s="228">
        <f t="shared" si="4"/>
        <v>-8</v>
      </c>
      <c r="AT21" s="237" t="s">
        <v>1076</v>
      </c>
      <c r="AU21" s="230">
        <v>45371</v>
      </c>
      <c r="AV21" s="231">
        <v>45378</v>
      </c>
      <c r="AW21" s="232">
        <v>7</v>
      </c>
      <c r="AX21" s="233">
        <v>45636</v>
      </c>
      <c r="AY21" s="234">
        <v>45637</v>
      </c>
      <c r="AZ21" s="234">
        <v>45646</v>
      </c>
      <c r="BA21" s="234">
        <v>45647</v>
      </c>
      <c r="BB21" s="235">
        <v>10</v>
      </c>
      <c r="BC21" s="236" t="s">
        <v>1050</v>
      </c>
      <c r="BD21" s="297" t="s">
        <v>1129</v>
      </c>
      <c r="BE21" s="293">
        <v>45787</v>
      </c>
      <c r="BF21" s="286">
        <v>45795</v>
      </c>
      <c r="BG21" s="302">
        <f t="shared" si="2"/>
        <v>8</v>
      </c>
      <c r="BH21" s="303">
        <f t="shared" si="5"/>
        <v>100</v>
      </c>
      <c r="BI21" s="304" t="s">
        <v>1050</v>
      </c>
    </row>
    <row r="22" spans="1:61" s="211" customFormat="1">
      <c r="A22" s="212">
        <v>18</v>
      </c>
      <c r="B22" s="241" t="s">
        <v>1077</v>
      </c>
      <c r="C22" s="214" t="s">
        <v>1053</v>
      </c>
      <c r="D22" s="241">
        <v>100261410</v>
      </c>
      <c r="E22" s="242">
        <v>42093</v>
      </c>
      <c r="F22" s="243">
        <v>42093</v>
      </c>
      <c r="G22" s="215">
        <v>42277</v>
      </c>
      <c r="H22" s="217">
        <v>42174</v>
      </c>
      <c r="I22" s="242">
        <v>42459</v>
      </c>
      <c r="J22" s="217">
        <v>42451</v>
      </c>
      <c r="K22" s="215">
        <v>42643</v>
      </c>
      <c r="L22" s="217">
        <v>42660</v>
      </c>
      <c r="M22" s="242">
        <v>42824</v>
      </c>
      <c r="N22" s="217">
        <v>42826</v>
      </c>
      <c r="O22" s="215">
        <v>43007</v>
      </c>
      <c r="P22" s="218">
        <v>43003</v>
      </c>
      <c r="Q22" s="242">
        <v>43189</v>
      </c>
      <c r="R22" s="217">
        <v>43270</v>
      </c>
      <c r="S22" s="215">
        <v>43372</v>
      </c>
      <c r="T22" s="218">
        <v>43413</v>
      </c>
      <c r="U22" s="219">
        <v>43549</v>
      </c>
      <c r="V22" s="220">
        <v>43530</v>
      </c>
      <c r="W22" s="219">
        <v>43732</v>
      </c>
      <c r="X22" s="220">
        <v>43747</v>
      </c>
      <c r="Y22" s="221">
        <v>43912</v>
      </c>
      <c r="Z22" s="222">
        <v>43968</v>
      </c>
      <c r="AA22" s="221">
        <v>44092</v>
      </c>
      <c r="AB22" s="222">
        <v>44122</v>
      </c>
      <c r="AC22" s="221">
        <v>44279</v>
      </c>
      <c r="AD22" s="222">
        <v>44297</v>
      </c>
      <c r="AE22" s="221">
        <v>44459</v>
      </c>
      <c r="AF22" s="222">
        <v>44739</v>
      </c>
      <c r="AG22" s="221">
        <v>44641</v>
      </c>
      <c r="AH22" s="222">
        <v>44739</v>
      </c>
      <c r="AI22" s="221">
        <v>44824</v>
      </c>
      <c r="AJ22" s="222">
        <v>44849</v>
      </c>
      <c r="AK22" s="223">
        <f t="shared" si="0"/>
        <v>25</v>
      </c>
      <c r="AL22" s="240">
        <v>45004</v>
      </c>
      <c r="AM22" s="240">
        <v>45034</v>
      </c>
      <c r="AN22" s="225">
        <f t="shared" si="1"/>
        <v>30</v>
      </c>
      <c r="AO22" s="226">
        <v>45243</v>
      </c>
      <c r="AP22" s="226">
        <v>45244</v>
      </c>
      <c r="AQ22" s="227">
        <v>45265</v>
      </c>
      <c r="AR22" s="227">
        <v>45266</v>
      </c>
      <c r="AS22" s="228">
        <f t="shared" si="4"/>
        <v>22</v>
      </c>
      <c r="AT22" s="229"/>
      <c r="AU22" s="230">
        <v>45373</v>
      </c>
      <c r="AV22" s="231">
        <v>45380</v>
      </c>
      <c r="AW22" s="232">
        <v>7</v>
      </c>
      <c r="AX22" s="233">
        <v>45638</v>
      </c>
      <c r="AY22" s="234">
        <v>45639</v>
      </c>
      <c r="AZ22" s="234">
        <v>45727</v>
      </c>
      <c r="BA22" s="234">
        <v>45731</v>
      </c>
      <c r="BB22" s="235" t="s">
        <v>1078</v>
      </c>
      <c r="BC22" s="236" t="s">
        <v>1079</v>
      </c>
      <c r="BD22" s="299" t="s">
        <v>1130</v>
      </c>
      <c r="BE22" s="294">
        <v>45788</v>
      </c>
      <c r="BF22" s="295">
        <v>45797</v>
      </c>
      <c r="BG22" s="309">
        <f t="shared" si="2"/>
        <v>9</v>
      </c>
      <c r="BH22" s="303">
        <f t="shared" si="5"/>
        <v>100</v>
      </c>
      <c r="BI22" s="310"/>
    </row>
    <row r="23" spans="1:61" s="211" customFormat="1">
      <c r="A23" s="212">
        <v>19</v>
      </c>
      <c r="B23" s="241" t="s">
        <v>1080</v>
      </c>
      <c r="C23" s="214" t="s">
        <v>1048</v>
      </c>
      <c r="D23" s="241">
        <v>100261399</v>
      </c>
      <c r="E23" s="242">
        <v>42094</v>
      </c>
      <c r="F23" s="243">
        <v>42094</v>
      </c>
      <c r="G23" s="215">
        <v>42277</v>
      </c>
      <c r="H23" s="217">
        <v>42250</v>
      </c>
      <c r="I23" s="242">
        <v>42460</v>
      </c>
      <c r="J23" s="217">
        <v>42458</v>
      </c>
      <c r="K23" s="215">
        <v>42644</v>
      </c>
      <c r="L23" s="217">
        <v>42647</v>
      </c>
      <c r="M23" s="242">
        <v>42825</v>
      </c>
      <c r="N23" s="217">
        <v>42829</v>
      </c>
      <c r="O23" s="215">
        <v>43008</v>
      </c>
      <c r="P23" s="218">
        <v>43004</v>
      </c>
      <c r="Q23" s="242">
        <v>43190</v>
      </c>
      <c r="R23" s="217">
        <v>43272</v>
      </c>
      <c r="S23" s="215">
        <v>43373</v>
      </c>
      <c r="T23" s="218">
        <v>43414</v>
      </c>
      <c r="U23" s="219">
        <v>43550</v>
      </c>
      <c r="V23" s="220">
        <v>43531</v>
      </c>
      <c r="W23" s="219">
        <v>43733</v>
      </c>
      <c r="X23" s="220">
        <v>43750</v>
      </c>
      <c r="Y23" s="221">
        <v>43913</v>
      </c>
      <c r="Z23" s="222">
        <v>43970</v>
      </c>
      <c r="AA23" s="221">
        <v>44093</v>
      </c>
      <c r="AB23" s="222">
        <v>44180</v>
      </c>
      <c r="AC23" s="221">
        <v>44280</v>
      </c>
      <c r="AD23" s="222">
        <v>44308</v>
      </c>
      <c r="AE23" s="221">
        <v>44461</v>
      </c>
      <c r="AF23" s="222">
        <v>44747</v>
      </c>
      <c r="AG23" s="221">
        <v>44642</v>
      </c>
      <c r="AH23" s="222">
        <v>44747</v>
      </c>
      <c r="AI23" s="221">
        <v>44826</v>
      </c>
      <c r="AJ23" s="222">
        <v>44850</v>
      </c>
      <c r="AK23" s="223">
        <f t="shared" si="0"/>
        <v>24</v>
      </c>
      <c r="AL23" s="240">
        <v>45006</v>
      </c>
      <c r="AM23" s="240">
        <v>45035</v>
      </c>
      <c r="AN23" s="225">
        <f t="shared" si="1"/>
        <v>29</v>
      </c>
      <c r="AO23" s="226">
        <v>45245</v>
      </c>
      <c r="AP23" s="226">
        <v>45246</v>
      </c>
      <c r="AQ23" s="227">
        <v>45264</v>
      </c>
      <c r="AR23" s="227">
        <v>45265</v>
      </c>
      <c r="AS23" s="228">
        <f t="shared" si="4"/>
        <v>19</v>
      </c>
      <c r="AT23" s="229"/>
      <c r="AU23" s="230">
        <v>45374</v>
      </c>
      <c r="AV23" s="231">
        <v>45381</v>
      </c>
      <c r="AW23" s="232">
        <v>7</v>
      </c>
      <c r="AX23" s="233">
        <v>45640</v>
      </c>
      <c r="AY23" s="234">
        <v>45642</v>
      </c>
      <c r="AZ23" s="234">
        <v>45653</v>
      </c>
      <c r="BA23" s="234">
        <v>45654</v>
      </c>
      <c r="BB23" s="235">
        <v>12</v>
      </c>
      <c r="BC23" s="236" t="s">
        <v>1050</v>
      </c>
      <c r="BD23" s="297" t="s">
        <v>1131</v>
      </c>
      <c r="BE23" s="294">
        <v>45789</v>
      </c>
      <c r="BF23" s="286">
        <v>45796</v>
      </c>
      <c r="BG23" s="302">
        <f t="shared" si="2"/>
        <v>7</v>
      </c>
      <c r="BH23" s="303">
        <f t="shared" si="5"/>
        <v>100</v>
      </c>
      <c r="BI23" s="304"/>
    </row>
    <row r="24" spans="1:61" s="211" customFormat="1">
      <c r="A24" s="212">
        <v>20</v>
      </c>
      <c r="B24" s="241" t="s">
        <v>1081</v>
      </c>
      <c r="C24" s="214" t="s">
        <v>1048</v>
      </c>
      <c r="D24" s="241">
        <v>100261392</v>
      </c>
      <c r="E24" s="242">
        <v>42095</v>
      </c>
      <c r="F24" s="243">
        <v>42095</v>
      </c>
      <c r="G24" s="215">
        <v>42278</v>
      </c>
      <c r="H24" s="217">
        <v>42177</v>
      </c>
      <c r="I24" s="242">
        <v>42461</v>
      </c>
      <c r="J24" s="217">
        <v>42460</v>
      </c>
      <c r="K24" s="215">
        <v>42645</v>
      </c>
      <c r="L24" s="217">
        <v>42661</v>
      </c>
      <c r="M24" s="242">
        <v>42826</v>
      </c>
      <c r="N24" s="217">
        <v>42832</v>
      </c>
      <c r="O24" s="215">
        <v>43009</v>
      </c>
      <c r="P24" s="218">
        <v>43053</v>
      </c>
      <c r="Q24" s="242">
        <v>43191</v>
      </c>
      <c r="R24" s="217">
        <v>43273</v>
      </c>
      <c r="S24" s="215">
        <v>43374</v>
      </c>
      <c r="T24" s="218">
        <v>43416</v>
      </c>
      <c r="U24" s="219">
        <v>43551</v>
      </c>
      <c r="V24" s="220">
        <v>43511</v>
      </c>
      <c r="W24" s="219">
        <v>43734</v>
      </c>
      <c r="X24" s="220">
        <v>43751</v>
      </c>
      <c r="Y24" s="221">
        <v>43914</v>
      </c>
      <c r="Z24" s="222">
        <v>43969</v>
      </c>
      <c r="AA24" s="221">
        <v>44094</v>
      </c>
      <c r="AB24" s="222">
        <v>44181</v>
      </c>
      <c r="AC24" s="221">
        <v>44281</v>
      </c>
      <c r="AD24" s="222">
        <v>44310</v>
      </c>
      <c r="AE24" s="221">
        <v>44461</v>
      </c>
      <c r="AF24" s="222">
        <v>44740</v>
      </c>
      <c r="AG24" s="221">
        <v>44643</v>
      </c>
      <c r="AH24" s="222">
        <v>44740</v>
      </c>
      <c r="AI24" s="221">
        <v>44826</v>
      </c>
      <c r="AJ24" s="222">
        <v>44915</v>
      </c>
      <c r="AK24" s="223">
        <f t="shared" si="0"/>
        <v>89</v>
      </c>
      <c r="AL24" s="240">
        <v>45006</v>
      </c>
      <c r="AM24" s="244">
        <v>45052</v>
      </c>
      <c r="AN24" s="225">
        <f t="shared" si="1"/>
        <v>46</v>
      </c>
      <c r="AO24" s="226">
        <v>45247</v>
      </c>
      <c r="AP24" s="226">
        <v>45248</v>
      </c>
      <c r="AQ24" s="245">
        <v>45364</v>
      </c>
      <c r="AR24" s="245">
        <v>45365</v>
      </c>
      <c r="AS24" s="228">
        <f t="shared" si="4"/>
        <v>117</v>
      </c>
      <c r="AT24" s="229" t="s">
        <v>1082</v>
      </c>
      <c r="AU24" s="230">
        <v>45376</v>
      </c>
      <c r="AV24" s="231">
        <v>45365</v>
      </c>
      <c r="AW24" s="232">
        <v>11</v>
      </c>
      <c r="AX24" s="233">
        <v>45643</v>
      </c>
      <c r="AY24" s="234">
        <v>45644</v>
      </c>
      <c r="AZ24" s="234">
        <v>45650</v>
      </c>
      <c r="BA24" s="234">
        <v>45652</v>
      </c>
      <c r="BB24" s="235">
        <v>8</v>
      </c>
      <c r="BC24" s="236" t="s">
        <v>1050</v>
      </c>
      <c r="BD24" s="297" t="s">
        <v>1132</v>
      </c>
      <c r="BE24" s="294">
        <v>45790</v>
      </c>
      <c r="BF24" s="286">
        <v>45798</v>
      </c>
      <c r="BG24" s="302">
        <f t="shared" si="2"/>
        <v>8</v>
      </c>
      <c r="BH24" s="303">
        <f t="shared" si="5"/>
        <v>100</v>
      </c>
      <c r="BI24" s="304"/>
    </row>
    <row r="25" spans="1:61" s="211" customFormat="1">
      <c r="A25" s="212">
        <v>21</v>
      </c>
      <c r="B25" s="241" t="s">
        <v>1083</v>
      </c>
      <c r="C25" s="214" t="s">
        <v>1048</v>
      </c>
      <c r="D25" s="241">
        <v>100261396</v>
      </c>
      <c r="E25" s="242">
        <v>42097</v>
      </c>
      <c r="F25" s="243">
        <v>42097</v>
      </c>
      <c r="G25" s="215">
        <v>42280</v>
      </c>
      <c r="H25" s="217">
        <v>42280</v>
      </c>
      <c r="I25" s="242">
        <v>42463</v>
      </c>
      <c r="J25" s="217">
        <v>42485</v>
      </c>
      <c r="K25" s="215">
        <v>42646</v>
      </c>
      <c r="L25" s="217">
        <v>42646</v>
      </c>
      <c r="M25" s="242">
        <v>42828</v>
      </c>
      <c r="N25" s="217">
        <v>42833</v>
      </c>
      <c r="O25" s="215">
        <v>43011</v>
      </c>
      <c r="P25" s="218">
        <v>43054</v>
      </c>
      <c r="Q25" s="242">
        <v>43193</v>
      </c>
      <c r="R25" s="217">
        <v>43278</v>
      </c>
      <c r="S25" s="215">
        <v>43376</v>
      </c>
      <c r="T25" s="218">
        <v>43418</v>
      </c>
      <c r="U25" s="219">
        <v>43553</v>
      </c>
      <c r="V25" s="220">
        <v>43532</v>
      </c>
      <c r="W25" s="219">
        <v>43735</v>
      </c>
      <c r="X25" s="220">
        <v>43752</v>
      </c>
      <c r="Y25" s="221">
        <v>43915</v>
      </c>
      <c r="Z25" s="222">
        <v>43946</v>
      </c>
      <c r="AA25" s="221">
        <v>44095</v>
      </c>
      <c r="AB25" s="222">
        <v>44176</v>
      </c>
      <c r="AC25" s="221">
        <v>44284</v>
      </c>
      <c r="AD25" s="222">
        <v>44311</v>
      </c>
      <c r="AE25" s="221">
        <v>44463</v>
      </c>
      <c r="AF25" s="222">
        <v>44736</v>
      </c>
      <c r="AG25" s="221">
        <v>44644</v>
      </c>
      <c r="AH25" s="222">
        <v>44736</v>
      </c>
      <c r="AI25" s="221">
        <v>44828</v>
      </c>
      <c r="AJ25" s="222">
        <v>44916</v>
      </c>
      <c r="AK25" s="223">
        <f t="shared" si="0"/>
        <v>88</v>
      </c>
      <c r="AL25" s="240">
        <v>45008</v>
      </c>
      <c r="AM25" s="244">
        <v>45053</v>
      </c>
      <c r="AN25" s="225">
        <f t="shared" si="1"/>
        <v>45</v>
      </c>
      <c r="AO25" s="226">
        <v>45249</v>
      </c>
      <c r="AP25" s="226">
        <v>45250</v>
      </c>
      <c r="AQ25" s="227">
        <v>45262</v>
      </c>
      <c r="AR25" s="227">
        <v>45264</v>
      </c>
      <c r="AS25" s="228">
        <f t="shared" si="4"/>
        <v>14</v>
      </c>
      <c r="AT25" s="229"/>
      <c r="AU25" s="230">
        <v>45377</v>
      </c>
      <c r="AV25" s="246">
        <v>45383</v>
      </c>
      <c r="AW25" s="232">
        <v>6</v>
      </c>
      <c r="AX25" s="247">
        <v>45645</v>
      </c>
      <c r="AY25" s="248">
        <v>45646</v>
      </c>
      <c r="AZ25" s="248">
        <v>45648</v>
      </c>
      <c r="BA25" s="248">
        <v>45649</v>
      </c>
      <c r="BB25" s="235">
        <v>3</v>
      </c>
      <c r="BC25" s="249" t="s">
        <v>1084</v>
      </c>
      <c r="BD25" s="297" t="s">
        <v>1133</v>
      </c>
      <c r="BE25" s="294">
        <v>45792</v>
      </c>
      <c r="BF25" s="286">
        <v>45799</v>
      </c>
      <c r="BG25" s="302">
        <f t="shared" si="2"/>
        <v>7</v>
      </c>
      <c r="BH25" s="303">
        <f t="shared" si="5"/>
        <v>100</v>
      </c>
      <c r="BI25" s="304"/>
    </row>
    <row r="26" spans="1:61" s="211" customFormat="1">
      <c r="A26" s="212">
        <v>22</v>
      </c>
      <c r="B26" s="241" t="s">
        <v>1085</v>
      </c>
      <c r="C26" s="214" t="s">
        <v>1048</v>
      </c>
      <c r="D26" s="241">
        <v>100261393</v>
      </c>
      <c r="E26" s="242">
        <v>42099</v>
      </c>
      <c r="F26" s="243">
        <v>42099</v>
      </c>
      <c r="G26" s="215">
        <v>42282</v>
      </c>
      <c r="H26" s="217">
        <v>42282</v>
      </c>
      <c r="I26" s="242">
        <v>42465</v>
      </c>
      <c r="J26" s="217">
        <v>42464</v>
      </c>
      <c r="K26" s="215">
        <v>42648</v>
      </c>
      <c r="L26" s="217">
        <v>42648</v>
      </c>
      <c r="M26" s="242">
        <v>42830</v>
      </c>
      <c r="N26" s="217">
        <v>42835</v>
      </c>
      <c r="O26" s="215">
        <v>43013</v>
      </c>
      <c r="P26" s="218">
        <v>43055</v>
      </c>
      <c r="Q26" s="242">
        <v>43195</v>
      </c>
      <c r="R26" s="217">
        <v>43282</v>
      </c>
      <c r="S26" s="215">
        <v>43378</v>
      </c>
      <c r="T26" s="218">
        <v>43420</v>
      </c>
      <c r="U26" s="219">
        <v>43555</v>
      </c>
      <c r="V26" s="220">
        <v>43533</v>
      </c>
      <c r="W26" s="219">
        <v>43736</v>
      </c>
      <c r="X26" s="220">
        <v>43753</v>
      </c>
      <c r="Y26" s="221">
        <v>43916</v>
      </c>
      <c r="Z26" s="222">
        <v>43947</v>
      </c>
      <c r="AA26" s="221">
        <v>44096</v>
      </c>
      <c r="AB26" s="222">
        <v>44126</v>
      </c>
      <c r="AC26" s="221">
        <v>44285</v>
      </c>
      <c r="AD26" s="222">
        <v>44312</v>
      </c>
      <c r="AE26" s="221">
        <v>44463</v>
      </c>
      <c r="AF26" s="222">
        <v>44732</v>
      </c>
      <c r="AG26" s="221">
        <v>44645</v>
      </c>
      <c r="AH26" s="222">
        <v>44732</v>
      </c>
      <c r="AI26" s="221">
        <v>44828</v>
      </c>
      <c r="AJ26" s="222">
        <v>44917</v>
      </c>
      <c r="AK26" s="223">
        <f t="shared" si="0"/>
        <v>89</v>
      </c>
      <c r="AL26" s="240">
        <v>45008</v>
      </c>
      <c r="AM26" s="244">
        <v>45054</v>
      </c>
      <c r="AN26" s="225">
        <f t="shared" si="1"/>
        <v>46</v>
      </c>
      <c r="AO26" s="226">
        <v>45251</v>
      </c>
      <c r="AP26" s="226">
        <v>45252</v>
      </c>
      <c r="AQ26" s="227">
        <v>45272</v>
      </c>
      <c r="AR26" s="227">
        <v>45273</v>
      </c>
      <c r="AS26" s="228">
        <f t="shared" si="4"/>
        <v>21</v>
      </c>
      <c r="AT26" s="229"/>
      <c r="AU26" s="230">
        <v>45378</v>
      </c>
      <c r="AV26" s="246">
        <v>45384</v>
      </c>
      <c r="AW26" s="232">
        <v>6</v>
      </c>
      <c r="AX26" s="247">
        <v>45647</v>
      </c>
      <c r="AY26" s="248">
        <v>45649</v>
      </c>
      <c r="AZ26" s="248">
        <v>45655</v>
      </c>
      <c r="BA26" s="248">
        <v>45656</v>
      </c>
      <c r="BB26" s="235">
        <v>7</v>
      </c>
      <c r="BC26" s="249" t="s">
        <v>1050</v>
      </c>
      <c r="BD26" s="297" t="s">
        <v>1134</v>
      </c>
      <c r="BE26" s="294">
        <v>45793</v>
      </c>
      <c r="BF26" s="286">
        <v>45800</v>
      </c>
      <c r="BG26" s="302">
        <f t="shared" si="2"/>
        <v>7</v>
      </c>
      <c r="BH26" s="303">
        <f t="shared" si="5"/>
        <v>100</v>
      </c>
      <c r="BI26" s="304"/>
    </row>
    <row r="27" spans="1:61" s="211" customFormat="1">
      <c r="A27" s="212">
        <v>23</v>
      </c>
      <c r="B27" s="241" t="s">
        <v>1086</v>
      </c>
      <c r="C27" s="214" t="s">
        <v>1048</v>
      </c>
      <c r="D27" s="241">
        <v>100261402</v>
      </c>
      <c r="E27" s="242">
        <v>42100</v>
      </c>
      <c r="F27" s="243">
        <v>42100</v>
      </c>
      <c r="G27" s="215">
        <v>42283</v>
      </c>
      <c r="H27" s="217">
        <v>42284</v>
      </c>
      <c r="I27" s="242">
        <v>42466</v>
      </c>
      <c r="J27" s="217">
        <v>42461</v>
      </c>
      <c r="K27" s="215">
        <v>42649</v>
      </c>
      <c r="L27" s="217">
        <v>42649</v>
      </c>
      <c r="M27" s="242">
        <v>42831</v>
      </c>
      <c r="N27" s="217">
        <v>42836</v>
      </c>
      <c r="O27" s="215">
        <v>43014</v>
      </c>
      <c r="P27" s="218">
        <v>43056</v>
      </c>
      <c r="Q27" s="242">
        <v>43196</v>
      </c>
      <c r="R27" s="217">
        <v>43283</v>
      </c>
      <c r="S27" s="215">
        <v>43379</v>
      </c>
      <c r="T27" s="218">
        <v>43421</v>
      </c>
      <c r="U27" s="219">
        <v>43556</v>
      </c>
      <c r="V27" s="220">
        <v>43535</v>
      </c>
      <c r="W27" s="219">
        <v>43737</v>
      </c>
      <c r="X27" s="220">
        <v>43754</v>
      </c>
      <c r="Y27" s="221">
        <v>43917</v>
      </c>
      <c r="Z27" s="222">
        <v>43947</v>
      </c>
      <c r="AA27" s="221">
        <v>44097</v>
      </c>
      <c r="AB27" s="222">
        <v>44127</v>
      </c>
      <c r="AC27" s="221">
        <v>44286</v>
      </c>
      <c r="AD27" s="222">
        <v>44313</v>
      </c>
      <c r="AE27" s="221">
        <v>44466</v>
      </c>
      <c r="AF27" s="222">
        <v>44707</v>
      </c>
      <c r="AG27" s="221">
        <v>44646</v>
      </c>
      <c r="AH27" s="222">
        <v>44707</v>
      </c>
      <c r="AI27" s="221">
        <v>44831</v>
      </c>
      <c r="AJ27" s="222">
        <v>44918</v>
      </c>
      <c r="AK27" s="223">
        <f t="shared" si="0"/>
        <v>87</v>
      </c>
      <c r="AL27" s="240">
        <v>45011</v>
      </c>
      <c r="AM27" s="244">
        <v>45055</v>
      </c>
      <c r="AN27" s="225">
        <f t="shared" si="1"/>
        <v>44</v>
      </c>
      <c r="AO27" s="226">
        <v>45253</v>
      </c>
      <c r="AP27" s="226">
        <v>45254</v>
      </c>
      <c r="AQ27" s="227">
        <v>45273</v>
      </c>
      <c r="AR27" s="227">
        <v>45272</v>
      </c>
      <c r="AS27" s="228">
        <f t="shared" si="4"/>
        <v>18</v>
      </c>
      <c r="AT27" s="229"/>
      <c r="AU27" s="230">
        <v>45380</v>
      </c>
      <c r="AV27" s="246">
        <v>45385</v>
      </c>
      <c r="AW27" s="232">
        <v>5</v>
      </c>
      <c r="AX27" s="247">
        <v>45650</v>
      </c>
      <c r="AY27" s="248">
        <v>45651</v>
      </c>
      <c r="AZ27" s="248">
        <v>45659</v>
      </c>
      <c r="BA27" s="248">
        <v>45660</v>
      </c>
      <c r="BB27" s="235">
        <v>9</v>
      </c>
      <c r="BC27" s="249" t="s">
        <v>1087</v>
      </c>
      <c r="BD27" s="299" t="s">
        <v>1135</v>
      </c>
      <c r="BE27" s="294">
        <v>45794</v>
      </c>
      <c r="BF27" s="286">
        <v>45801</v>
      </c>
      <c r="BG27" s="302">
        <f t="shared" si="2"/>
        <v>7</v>
      </c>
      <c r="BH27" s="303">
        <f t="shared" si="5"/>
        <v>100</v>
      </c>
      <c r="BI27" s="304"/>
    </row>
    <row r="28" spans="1:61" s="211" customFormat="1">
      <c r="A28" s="250">
        <v>24</v>
      </c>
      <c r="B28" s="241" t="s">
        <v>1088</v>
      </c>
      <c r="C28" s="214" t="s">
        <v>1048</v>
      </c>
      <c r="D28" s="241">
        <v>100261394</v>
      </c>
      <c r="E28" s="242">
        <v>42101</v>
      </c>
      <c r="F28" s="243">
        <v>42101</v>
      </c>
      <c r="G28" s="215">
        <v>42284</v>
      </c>
      <c r="H28" s="217">
        <v>42285</v>
      </c>
      <c r="I28" s="242">
        <v>42467</v>
      </c>
      <c r="J28" s="217">
        <v>42469</v>
      </c>
      <c r="K28" s="215">
        <v>42650</v>
      </c>
      <c r="L28" s="217">
        <v>42650</v>
      </c>
      <c r="M28" s="242">
        <v>42832</v>
      </c>
      <c r="N28" s="217">
        <v>42837</v>
      </c>
      <c r="O28" s="215">
        <v>43015</v>
      </c>
      <c r="P28" s="218">
        <v>43057</v>
      </c>
      <c r="Q28" s="242">
        <v>43197</v>
      </c>
      <c r="R28" s="217">
        <v>43301</v>
      </c>
      <c r="S28" s="215">
        <v>43380</v>
      </c>
      <c r="T28" s="218">
        <v>43422</v>
      </c>
      <c r="U28" s="219">
        <v>43557</v>
      </c>
      <c r="V28" s="220">
        <v>43536</v>
      </c>
      <c r="W28" s="219">
        <v>43738</v>
      </c>
      <c r="X28" s="220">
        <v>43755</v>
      </c>
      <c r="Y28" s="221">
        <v>43918</v>
      </c>
      <c r="Z28" s="222">
        <v>43948</v>
      </c>
      <c r="AA28" s="221">
        <v>44098</v>
      </c>
      <c r="AB28" s="222">
        <v>44128</v>
      </c>
      <c r="AC28" s="221">
        <v>44287</v>
      </c>
      <c r="AD28" s="222">
        <v>44315</v>
      </c>
      <c r="AE28" s="221">
        <v>44466</v>
      </c>
      <c r="AF28" s="222">
        <v>44699</v>
      </c>
      <c r="AG28" s="221">
        <v>44648</v>
      </c>
      <c r="AH28" s="222">
        <v>44699</v>
      </c>
      <c r="AI28" s="221">
        <v>44831</v>
      </c>
      <c r="AJ28" s="222">
        <v>44919</v>
      </c>
      <c r="AK28" s="223">
        <f t="shared" si="0"/>
        <v>88</v>
      </c>
      <c r="AL28" s="240">
        <v>45011</v>
      </c>
      <c r="AM28" s="244">
        <v>45074</v>
      </c>
      <c r="AN28" s="225">
        <f t="shared" si="1"/>
        <v>63</v>
      </c>
      <c r="AO28" s="226">
        <v>45255</v>
      </c>
      <c r="AP28" s="226">
        <v>45256</v>
      </c>
      <c r="AQ28" s="227">
        <v>45270</v>
      </c>
      <c r="AR28" s="227">
        <v>45271</v>
      </c>
      <c r="AS28" s="251">
        <f t="shared" si="4"/>
        <v>15</v>
      </c>
      <c r="AT28" s="229"/>
      <c r="AU28" s="230">
        <v>45381</v>
      </c>
      <c r="AV28" s="231">
        <v>45369</v>
      </c>
      <c r="AW28" s="232">
        <v>12</v>
      </c>
      <c r="AX28" s="233">
        <v>45652</v>
      </c>
      <c r="AY28" s="234">
        <v>45653</v>
      </c>
      <c r="AZ28" s="234">
        <v>45661</v>
      </c>
      <c r="BA28" s="234">
        <v>45663</v>
      </c>
      <c r="BB28" s="235">
        <v>10</v>
      </c>
      <c r="BC28" s="236" t="s">
        <v>1089</v>
      </c>
      <c r="BD28" s="299" t="s">
        <v>1136</v>
      </c>
      <c r="BE28" s="292">
        <v>45795</v>
      </c>
      <c r="BF28" s="286">
        <v>45802</v>
      </c>
      <c r="BG28" s="302">
        <f t="shared" si="2"/>
        <v>7</v>
      </c>
      <c r="BH28" s="303">
        <f t="shared" si="5"/>
        <v>100</v>
      </c>
      <c r="BI28" s="304"/>
    </row>
    <row r="29" spans="1:61" s="211" customFormat="1">
      <c r="A29" s="186">
        <v>25</v>
      </c>
      <c r="B29" s="252" t="s">
        <v>1090</v>
      </c>
      <c r="C29" s="188" t="s">
        <v>1048</v>
      </c>
      <c r="D29" s="252">
        <v>100261254</v>
      </c>
      <c r="E29" s="253">
        <v>42102</v>
      </c>
      <c r="F29" s="254">
        <v>42102</v>
      </c>
      <c r="G29" s="189">
        <v>42285</v>
      </c>
      <c r="H29" s="191">
        <v>42286</v>
      </c>
      <c r="I29" s="253">
        <v>42468</v>
      </c>
      <c r="J29" s="191">
        <v>42475</v>
      </c>
      <c r="K29" s="189">
        <v>42651</v>
      </c>
      <c r="L29" s="191">
        <v>42651</v>
      </c>
      <c r="M29" s="253">
        <v>42833</v>
      </c>
      <c r="N29" s="191">
        <v>42838</v>
      </c>
      <c r="O29" s="189">
        <v>43016</v>
      </c>
      <c r="P29" s="192">
        <v>43059</v>
      </c>
      <c r="Q29" s="253">
        <v>43198</v>
      </c>
      <c r="R29" s="191">
        <v>43297</v>
      </c>
      <c r="S29" s="189">
        <v>43381</v>
      </c>
      <c r="T29" s="192">
        <v>43423</v>
      </c>
      <c r="U29" s="193">
        <v>43558</v>
      </c>
      <c r="V29" s="194">
        <v>43537</v>
      </c>
      <c r="W29" s="193">
        <v>43739</v>
      </c>
      <c r="X29" s="194">
        <v>43756</v>
      </c>
      <c r="Y29" s="195">
        <v>43919</v>
      </c>
      <c r="Z29" s="196">
        <v>43948</v>
      </c>
      <c r="AA29" s="195">
        <v>44099</v>
      </c>
      <c r="AB29" s="196">
        <v>44172</v>
      </c>
      <c r="AC29" s="195">
        <v>44288</v>
      </c>
      <c r="AD29" s="196">
        <v>44316</v>
      </c>
      <c r="AE29" s="195">
        <v>44468</v>
      </c>
      <c r="AF29" s="196">
        <v>44743</v>
      </c>
      <c r="AG29" s="195">
        <v>44649</v>
      </c>
      <c r="AH29" s="196">
        <v>44743</v>
      </c>
      <c r="AI29" s="195">
        <v>44833</v>
      </c>
      <c r="AJ29" s="196">
        <v>44920</v>
      </c>
      <c r="AK29" s="197">
        <f t="shared" si="0"/>
        <v>87</v>
      </c>
      <c r="AL29" s="255">
        <v>45013</v>
      </c>
      <c r="AM29" s="256">
        <v>45075</v>
      </c>
      <c r="AN29" s="200">
        <f t="shared" si="1"/>
        <v>62</v>
      </c>
      <c r="AO29" s="201">
        <v>45257</v>
      </c>
      <c r="AP29" s="201">
        <v>45258</v>
      </c>
      <c r="AQ29" s="202">
        <v>45269</v>
      </c>
      <c r="AR29" s="202">
        <v>45271</v>
      </c>
      <c r="AS29" s="251">
        <f t="shared" si="4"/>
        <v>13</v>
      </c>
      <c r="AT29" s="229" t="s">
        <v>1091</v>
      </c>
      <c r="AU29" s="230">
        <v>45383</v>
      </c>
      <c r="AV29" s="246">
        <v>45386</v>
      </c>
      <c r="AW29" s="232">
        <v>3</v>
      </c>
      <c r="AX29" s="247">
        <v>45654</v>
      </c>
      <c r="AY29" s="248">
        <v>45656</v>
      </c>
      <c r="AZ29" s="248">
        <v>45664</v>
      </c>
      <c r="BA29" s="248">
        <v>45665</v>
      </c>
      <c r="BB29" s="235">
        <v>9</v>
      </c>
      <c r="BC29" s="249"/>
      <c r="BD29" s="299" t="s">
        <v>1137</v>
      </c>
      <c r="BE29" s="292">
        <v>45796</v>
      </c>
      <c r="BF29" s="286">
        <v>45803</v>
      </c>
      <c r="BG29" s="302">
        <f t="shared" si="2"/>
        <v>7</v>
      </c>
      <c r="BH29" s="303">
        <f t="shared" si="5"/>
        <v>100</v>
      </c>
      <c r="BI29" s="304"/>
    </row>
    <row r="30" spans="1:61" s="211" customFormat="1">
      <c r="A30" s="212">
        <v>26</v>
      </c>
      <c r="B30" s="241" t="s">
        <v>1092</v>
      </c>
      <c r="C30" s="214" t="s">
        <v>1048</v>
      </c>
      <c r="D30" s="241">
        <v>100261400</v>
      </c>
      <c r="E30" s="242">
        <v>42104</v>
      </c>
      <c r="F30" s="243">
        <v>42104</v>
      </c>
      <c r="G30" s="215">
        <v>42287</v>
      </c>
      <c r="H30" s="217">
        <v>42287</v>
      </c>
      <c r="I30" s="242">
        <v>42470</v>
      </c>
      <c r="J30" s="217">
        <v>42476</v>
      </c>
      <c r="K30" s="215">
        <v>42653</v>
      </c>
      <c r="L30" s="217">
        <v>42652</v>
      </c>
      <c r="M30" s="242">
        <v>42835</v>
      </c>
      <c r="N30" s="217">
        <v>42842</v>
      </c>
      <c r="O30" s="215">
        <v>43018</v>
      </c>
      <c r="P30" s="218">
        <v>43060</v>
      </c>
      <c r="Q30" s="242">
        <v>43200</v>
      </c>
      <c r="R30" s="217">
        <v>43300</v>
      </c>
      <c r="S30" s="215">
        <v>43383</v>
      </c>
      <c r="T30" s="218">
        <v>43424</v>
      </c>
      <c r="U30" s="219">
        <v>43560</v>
      </c>
      <c r="V30" s="220">
        <v>43538</v>
      </c>
      <c r="W30" s="219">
        <v>43740</v>
      </c>
      <c r="X30" s="220">
        <v>43758</v>
      </c>
      <c r="Y30" s="221">
        <v>43920</v>
      </c>
      <c r="Z30" s="222">
        <v>43949</v>
      </c>
      <c r="AA30" s="221">
        <v>44100</v>
      </c>
      <c r="AB30" s="222">
        <v>44169</v>
      </c>
      <c r="AC30" s="221">
        <v>44291</v>
      </c>
      <c r="AD30" s="222">
        <v>44320</v>
      </c>
      <c r="AE30" s="221">
        <v>44468</v>
      </c>
      <c r="AF30" s="222">
        <v>44729</v>
      </c>
      <c r="AG30" s="221">
        <v>44650</v>
      </c>
      <c r="AH30" s="222">
        <v>44729</v>
      </c>
      <c r="AI30" s="221">
        <v>44833</v>
      </c>
      <c r="AJ30" s="222">
        <v>44921</v>
      </c>
      <c r="AK30" s="223">
        <f t="shared" si="0"/>
        <v>88</v>
      </c>
      <c r="AL30" s="240">
        <v>45013</v>
      </c>
      <c r="AM30" s="244">
        <v>45075</v>
      </c>
      <c r="AN30" s="225">
        <f t="shared" si="1"/>
        <v>62</v>
      </c>
      <c r="AO30" s="226">
        <v>45259</v>
      </c>
      <c r="AP30" s="226">
        <v>45260</v>
      </c>
      <c r="AQ30" s="227">
        <v>45267</v>
      </c>
      <c r="AR30" s="227">
        <v>45268</v>
      </c>
      <c r="AS30" s="251">
        <f t="shared" si="4"/>
        <v>8</v>
      </c>
      <c r="AT30" s="229"/>
      <c r="AU30" s="230">
        <v>45384</v>
      </c>
      <c r="AV30" s="246">
        <v>45387</v>
      </c>
      <c r="AW30" s="232">
        <v>3</v>
      </c>
      <c r="AX30" s="247">
        <v>45657</v>
      </c>
      <c r="AY30" s="248">
        <v>45658</v>
      </c>
      <c r="AZ30" s="248">
        <v>45667</v>
      </c>
      <c r="BA30" s="248">
        <v>45668</v>
      </c>
      <c r="BB30" s="235">
        <v>10</v>
      </c>
      <c r="BC30" s="249" t="s">
        <v>1093</v>
      </c>
      <c r="BD30" s="299" t="s">
        <v>1138</v>
      </c>
      <c r="BE30" s="292">
        <v>45797</v>
      </c>
      <c r="BF30" s="286">
        <v>45803</v>
      </c>
      <c r="BG30" s="302">
        <f t="shared" si="2"/>
        <v>6</v>
      </c>
      <c r="BH30" s="303">
        <f t="shared" si="5"/>
        <v>100</v>
      </c>
      <c r="BI30" s="304"/>
    </row>
    <row r="31" spans="1:61" s="211" customFormat="1">
      <c r="A31" s="212">
        <v>27</v>
      </c>
      <c r="B31" s="241" t="s">
        <v>1094</v>
      </c>
      <c r="C31" s="214" t="s">
        <v>1048</v>
      </c>
      <c r="D31" s="241">
        <v>100261395</v>
      </c>
      <c r="E31" s="257">
        <v>42121</v>
      </c>
      <c r="F31" s="258">
        <v>42121</v>
      </c>
      <c r="G31" s="215">
        <v>42304</v>
      </c>
      <c r="H31" s="217">
        <v>42304</v>
      </c>
      <c r="I31" s="259">
        <v>42487</v>
      </c>
      <c r="J31" s="217">
        <v>42467</v>
      </c>
      <c r="K31" s="215">
        <v>42670</v>
      </c>
      <c r="L31" s="217">
        <v>42653</v>
      </c>
      <c r="M31" s="257">
        <v>42852</v>
      </c>
      <c r="N31" s="217">
        <v>42852</v>
      </c>
      <c r="O31" s="215">
        <v>43035</v>
      </c>
      <c r="P31" s="218">
        <v>43061</v>
      </c>
      <c r="Q31" s="257">
        <v>43217</v>
      </c>
      <c r="R31" s="217">
        <v>43298</v>
      </c>
      <c r="S31" s="215">
        <v>43400</v>
      </c>
      <c r="T31" s="218">
        <v>43429</v>
      </c>
      <c r="U31" s="219">
        <v>43577</v>
      </c>
      <c r="V31" s="220">
        <v>43540</v>
      </c>
      <c r="W31" s="219">
        <v>43741</v>
      </c>
      <c r="X31" s="220">
        <v>43759</v>
      </c>
      <c r="Y31" s="221">
        <v>43921</v>
      </c>
      <c r="Z31" s="222">
        <v>43949</v>
      </c>
      <c r="AA31" s="221">
        <v>44101</v>
      </c>
      <c r="AB31" s="222">
        <v>44174</v>
      </c>
      <c r="AC31" s="221">
        <v>44292</v>
      </c>
      <c r="AD31" s="222">
        <v>44321</v>
      </c>
      <c r="AE31" s="221">
        <v>44470</v>
      </c>
      <c r="AF31" s="222">
        <v>44742</v>
      </c>
      <c r="AG31" s="221">
        <v>44651</v>
      </c>
      <c r="AH31" s="222">
        <v>44742</v>
      </c>
      <c r="AI31" s="221">
        <v>44835</v>
      </c>
      <c r="AJ31" s="222">
        <v>44922</v>
      </c>
      <c r="AK31" s="223">
        <f t="shared" si="0"/>
        <v>87</v>
      </c>
      <c r="AL31" s="240">
        <v>45015</v>
      </c>
      <c r="AM31" s="244">
        <v>45076</v>
      </c>
      <c r="AN31" s="225">
        <f t="shared" si="1"/>
        <v>61</v>
      </c>
      <c r="AO31" s="226">
        <v>45261</v>
      </c>
      <c r="AP31" s="226">
        <v>45262</v>
      </c>
      <c r="AQ31" s="227">
        <v>45266</v>
      </c>
      <c r="AR31" s="227">
        <v>45267</v>
      </c>
      <c r="AS31" s="251">
        <f t="shared" si="4"/>
        <v>5</v>
      </c>
      <c r="AT31" s="229"/>
      <c r="AU31" s="230">
        <v>45385</v>
      </c>
      <c r="AV31" s="246">
        <v>45388</v>
      </c>
      <c r="AW31" s="232">
        <v>3</v>
      </c>
      <c r="AX31" s="247">
        <v>45659</v>
      </c>
      <c r="AY31" s="248">
        <v>45660</v>
      </c>
      <c r="AZ31" s="248">
        <v>45669</v>
      </c>
      <c r="BA31" s="248">
        <v>45670</v>
      </c>
      <c r="BB31" s="235">
        <v>10</v>
      </c>
      <c r="BC31" s="249" t="s">
        <v>1050</v>
      </c>
      <c r="BD31" s="299" t="s">
        <v>1139</v>
      </c>
      <c r="BE31" s="292">
        <v>45799</v>
      </c>
      <c r="BF31" s="286">
        <v>45804</v>
      </c>
      <c r="BG31" s="302">
        <f t="shared" si="2"/>
        <v>5</v>
      </c>
      <c r="BH31" s="303">
        <f t="shared" si="5"/>
        <v>100</v>
      </c>
      <c r="BI31" s="304"/>
    </row>
    <row r="32" spans="1:61" s="211" customFormat="1">
      <c r="A32" s="212">
        <v>28</v>
      </c>
      <c r="B32" s="241" t="s">
        <v>1095</v>
      </c>
      <c r="C32" s="214" t="s">
        <v>1053</v>
      </c>
      <c r="D32" s="241">
        <v>100261409</v>
      </c>
      <c r="E32" s="257">
        <v>42123</v>
      </c>
      <c r="F32" s="258">
        <v>42123</v>
      </c>
      <c r="G32" s="215">
        <v>42306</v>
      </c>
      <c r="H32" s="217">
        <v>42305</v>
      </c>
      <c r="I32" s="257">
        <v>42489</v>
      </c>
      <c r="J32" s="217">
        <v>42467</v>
      </c>
      <c r="K32" s="215">
        <v>42672</v>
      </c>
      <c r="L32" s="217">
        <v>42655</v>
      </c>
      <c r="M32" s="257">
        <v>42854</v>
      </c>
      <c r="N32" s="217">
        <v>42854</v>
      </c>
      <c r="O32" s="215">
        <v>43037</v>
      </c>
      <c r="P32" s="218">
        <v>43066</v>
      </c>
      <c r="Q32" s="257">
        <v>43219</v>
      </c>
      <c r="R32" s="217">
        <v>43304</v>
      </c>
      <c r="S32" s="215">
        <v>43402</v>
      </c>
      <c r="T32" s="218">
        <v>43430</v>
      </c>
      <c r="U32" s="219">
        <v>43579</v>
      </c>
      <c r="V32" s="220">
        <v>43558</v>
      </c>
      <c r="W32" s="219">
        <v>43742</v>
      </c>
      <c r="X32" s="220">
        <v>43760</v>
      </c>
      <c r="Y32" s="221">
        <v>43922</v>
      </c>
      <c r="Z32" s="222">
        <v>43950</v>
      </c>
      <c r="AA32" s="221">
        <v>44102</v>
      </c>
      <c r="AB32" s="222">
        <v>44132</v>
      </c>
      <c r="AC32" s="221">
        <v>44293</v>
      </c>
      <c r="AD32" s="222">
        <v>44301</v>
      </c>
      <c r="AE32" s="221">
        <v>44470</v>
      </c>
      <c r="AF32" s="222">
        <v>44746</v>
      </c>
      <c r="AG32" s="221">
        <v>44652</v>
      </c>
      <c r="AH32" s="222">
        <v>44746</v>
      </c>
      <c r="AI32" s="221">
        <v>44835</v>
      </c>
      <c r="AJ32" s="222">
        <v>44923</v>
      </c>
      <c r="AK32" s="223">
        <f t="shared" si="0"/>
        <v>88</v>
      </c>
      <c r="AL32" s="240">
        <v>45015</v>
      </c>
      <c r="AM32" s="244">
        <v>45076</v>
      </c>
      <c r="AN32" s="225">
        <f t="shared" si="1"/>
        <v>61</v>
      </c>
      <c r="AO32" s="226">
        <v>45263</v>
      </c>
      <c r="AP32" s="226">
        <v>45264</v>
      </c>
      <c r="AQ32" s="227">
        <v>45275</v>
      </c>
      <c r="AR32" s="227">
        <v>45274</v>
      </c>
      <c r="AS32" s="251">
        <f t="shared" si="4"/>
        <v>10</v>
      </c>
      <c r="AT32" s="229"/>
      <c r="AU32" s="230">
        <v>45386</v>
      </c>
      <c r="AV32" s="246">
        <v>45390</v>
      </c>
      <c r="AW32" s="232">
        <v>4</v>
      </c>
      <c r="AX32" s="247">
        <v>45661</v>
      </c>
      <c r="AY32" s="248">
        <v>45663</v>
      </c>
      <c r="AZ32" s="248">
        <v>45671</v>
      </c>
      <c r="BA32" s="248">
        <v>45677</v>
      </c>
      <c r="BB32" s="235">
        <v>14</v>
      </c>
      <c r="BC32" s="249" t="s">
        <v>1096</v>
      </c>
      <c r="BD32" s="299" t="s">
        <v>1140</v>
      </c>
      <c r="BE32" s="292">
        <v>45800</v>
      </c>
      <c r="BF32" s="286">
        <v>45805</v>
      </c>
      <c r="BG32" s="302">
        <f t="shared" si="2"/>
        <v>5</v>
      </c>
      <c r="BH32" s="303">
        <f t="shared" si="5"/>
        <v>100</v>
      </c>
      <c r="BI32" s="304"/>
    </row>
    <row r="33" spans="1:61" s="211" customFormat="1">
      <c r="A33" s="212">
        <v>29</v>
      </c>
      <c r="B33" s="241" t="s">
        <v>1097</v>
      </c>
      <c r="C33" s="214" t="s">
        <v>1053</v>
      </c>
      <c r="D33" s="241">
        <v>100261219</v>
      </c>
      <c r="E33" s="257">
        <v>42124</v>
      </c>
      <c r="F33" s="258">
        <v>42124</v>
      </c>
      <c r="G33" s="215">
        <v>42307</v>
      </c>
      <c r="H33" s="217">
        <v>42306</v>
      </c>
      <c r="I33" s="257">
        <v>42490</v>
      </c>
      <c r="J33" s="217">
        <v>42471</v>
      </c>
      <c r="K33" s="215">
        <v>42673</v>
      </c>
      <c r="L33" s="217">
        <v>42699</v>
      </c>
      <c r="M33" s="257">
        <v>42855</v>
      </c>
      <c r="N33" s="217">
        <v>42855</v>
      </c>
      <c r="O33" s="215">
        <v>43038</v>
      </c>
      <c r="P33" s="218">
        <v>43067</v>
      </c>
      <c r="Q33" s="257">
        <v>43220</v>
      </c>
      <c r="R33" s="217">
        <v>43305</v>
      </c>
      <c r="S33" s="215">
        <v>43403</v>
      </c>
      <c r="T33" s="218">
        <v>43431</v>
      </c>
      <c r="U33" s="219">
        <v>43580</v>
      </c>
      <c r="V33" s="220">
        <v>43559</v>
      </c>
      <c r="W33" s="219">
        <v>43743</v>
      </c>
      <c r="X33" s="220">
        <v>43761</v>
      </c>
      <c r="Y33" s="221">
        <v>43923</v>
      </c>
      <c r="Z33" s="222">
        <v>43950</v>
      </c>
      <c r="AA33" s="221">
        <v>44103</v>
      </c>
      <c r="AB33" s="222">
        <v>44167</v>
      </c>
      <c r="AC33" s="221">
        <v>44294</v>
      </c>
      <c r="AD33" s="222">
        <v>44322</v>
      </c>
      <c r="AE33" s="221">
        <v>44473</v>
      </c>
      <c r="AF33" s="222">
        <v>44745</v>
      </c>
      <c r="AG33" s="221">
        <v>44653</v>
      </c>
      <c r="AH33" s="222">
        <v>44745</v>
      </c>
      <c r="AI33" s="221">
        <v>44838</v>
      </c>
      <c r="AJ33" s="222">
        <v>44924</v>
      </c>
      <c r="AK33" s="223">
        <f t="shared" si="0"/>
        <v>86</v>
      </c>
      <c r="AL33" s="240">
        <v>45018</v>
      </c>
      <c r="AM33" s="244">
        <v>45077</v>
      </c>
      <c r="AN33" s="225">
        <f t="shared" si="1"/>
        <v>59</v>
      </c>
      <c r="AO33" s="226">
        <v>45265</v>
      </c>
      <c r="AP33" s="226">
        <v>45266</v>
      </c>
      <c r="AQ33" s="227">
        <v>45274</v>
      </c>
      <c r="AR33" s="227">
        <v>45275</v>
      </c>
      <c r="AS33" s="251">
        <f t="shared" si="4"/>
        <v>9</v>
      </c>
      <c r="AT33" s="229"/>
      <c r="AU33" s="230">
        <v>45387</v>
      </c>
      <c r="AV33" s="246">
        <v>45391</v>
      </c>
      <c r="AW33" s="232">
        <v>4</v>
      </c>
      <c r="AX33" s="247">
        <v>45664</v>
      </c>
      <c r="AY33" s="248">
        <v>45665</v>
      </c>
      <c r="AZ33" s="248">
        <v>45678</v>
      </c>
      <c r="BA33" s="248">
        <v>45679</v>
      </c>
      <c r="BB33" s="235">
        <v>14</v>
      </c>
      <c r="BC33" s="249" t="s">
        <v>1098</v>
      </c>
      <c r="BD33" s="299" t="s">
        <v>1141</v>
      </c>
      <c r="BE33" s="292">
        <v>45801</v>
      </c>
      <c r="BF33" s="286">
        <v>45806</v>
      </c>
      <c r="BG33" s="302">
        <f t="shared" si="2"/>
        <v>5</v>
      </c>
      <c r="BH33" s="303">
        <f t="shared" si="5"/>
        <v>100</v>
      </c>
      <c r="BI33" s="304"/>
    </row>
    <row r="34" spans="1:61" s="211" customFormat="1">
      <c r="A34" s="212">
        <v>30</v>
      </c>
      <c r="B34" s="241" t="s">
        <v>1099</v>
      </c>
      <c r="C34" s="214" t="s">
        <v>1048</v>
      </c>
      <c r="D34" s="241">
        <v>100261370</v>
      </c>
      <c r="E34" s="242">
        <v>42128</v>
      </c>
      <c r="F34" s="243">
        <v>42128</v>
      </c>
      <c r="G34" s="215">
        <v>42312</v>
      </c>
      <c r="H34" s="217">
        <v>42307</v>
      </c>
      <c r="I34" s="242">
        <v>42494</v>
      </c>
      <c r="J34" s="217">
        <v>42492</v>
      </c>
      <c r="K34" s="215">
        <v>42678</v>
      </c>
      <c r="L34" s="217">
        <v>42656</v>
      </c>
      <c r="M34" s="242">
        <v>42859</v>
      </c>
      <c r="N34" s="217">
        <v>42877</v>
      </c>
      <c r="O34" s="215">
        <v>43043</v>
      </c>
      <c r="P34" s="218">
        <v>43062</v>
      </c>
      <c r="Q34" s="242">
        <v>43224</v>
      </c>
      <c r="R34" s="217">
        <v>43312</v>
      </c>
      <c r="S34" s="215">
        <v>43408</v>
      </c>
      <c r="T34" s="218">
        <v>43432</v>
      </c>
      <c r="U34" s="219">
        <v>43584</v>
      </c>
      <c r="V34" s="220">
        <v>43562</v>
      </c>
      <c r="W34" s="219">
        <v>43744</v>
      </c>
      <c r="X34" s="220">
        <v>43762</v>
      </c>
      <c r="Y34" s="221">
        <v>43924</v>
      </c>
      <c r="Z34" s="222">
        <v>43951</v>
      </c>
      <c r="AA34" s="221">
        <v>44104</v>
      </c>
      <c r="AB34" s="222">
        <v>44165</v>
      </c>
      <c r="AC34" s="221">
        <v>44295</v>
      </c>
      <c r="AD34" s="222">
        <v>44323</v>
      </c>
      <c r="AE34" s="221">
        <v>44473</v>
      </c>
      <c r="AF34" s="222">
        <v>44744</v>
      </c>
      <c r="AG34" s="221">
        <v>44655</v>
      </c>
      <c r="AH34" s="222">
        <v>44744</v>
      </c>
      <c r="AI34" s="221">
        <v>44838</v>
      </c>
      <c r="AJ34" s="222">
        <v>44925</v>
      </c>
      <c r="AK34" s="223">
        <f t="shared" si="0"/>
        <v>87</v>
      </c>
      <c r="AL34" s="240">
        <v>45018</v>
      </c>
      <c r="AM34" s="244">
        <v>45077</v>
      </c>
      <c r="AN34" s="225">
        <f t="shared" si="1"/>
        <v>59</v>
      </c>
      <c r="AO34" s="226">
        <v>45267</v>
      </c>
      <c r="AP34" s="226">
        <v>45268</v>
      </c>
      <c r="AQ34" s="227">
        <v>45280</v>
      </c>
      <c r="AR34" s="227">
        <v>45279</v>
      </c>
      <c r="AS34" s="251">
        <f t="shared" si="4"/>
        <v>11</v>
      </c>
      <c r="AT34" s="229"/>
      <c r="AU34" s="230">
        <v>45388</v>
      </c>
      <c r="AV34" s="246">
        <v>45392</v>
      </c>
      <c r="AW34" s="232">
        <v>4</v>
      </c>
      <c r="AX34" s="247">
        <v>45666</v>
      </c>
      <c r="AY34" s="248">
        <v>45667</v>
      </c>
      <c r="AZ34" s="248">
        <v>45680</v>
      </c>
      <c r="BA34" s="248">
        <v>45681</v>
      </c>
      <c r="BB34" s="235">
        <v>14</v>
      </c>
      <c r="BC34" s="249" t="s">
        <v>1050</v>
      </c>
      <c r="BD34" s="299" t="s">
        <v>1142</v>
      </c>
      <c r="BE34" s="292">
        <v>45802</v>
      </c>
      <c r="BF34" s="286">
        <v>45808</v>
      </c>
      <c r="BG34" s="302">
        <f t="shared" si="2"/>
        <v>6</v>
      </c>
      <c r="BH34" s="303">
        <f t="shared" si="5"/>
        <v>100</v>
      </c>
      <c r="BI34" s="304"/>
    </row>
    <row r="35" spans="1:61" s="211" customFormat="1">
      <c r="A35" s="212">
        <v>31</v>
      </c>
      <c r="B35" s="241" t="s">
        <v>1100</v>
      </c>
      <c r="C35" s="214" t="s">
        <v>1048</v>
      </c>
      <c r="D35" s="241">
        <v>100261253</v>
      </c>
      <c r="E35" s="242">
        <v>42129</v>
      </c>
      <c r="F35" s="243">
        <v>42129</v>
      </c>
      <c r="G35" s="215">
        <v>42313</v>
      </c>
      <c r="H35" s="217">
        <v>42312</v>
      </c>
      <c r="I35" s="242">
        <v>42495</v>
      </c>
      <c r="J35" s="217">
        <v>42511</v>
      </c>
      <c r="K35" s="215">
        <v>42679</v>
      </c>
      <c r="L35" s="217">
        <v>42658</v>
      </c>
      <c r="M35" s="242">
        <v>42860</v>
      </c>
      <c r="N35" s="217">
        <v>42878</v>
      </c>
      <c r="O35" s="215">
        <v>43044</v>
      </c>
      <c r="P35" s="218">
        <v>43063</v>
      </c>
      <c r="Q35" s="242">
        <v>43225</v>
      </c>
      <c r="R35" s="217">
        <v>43306</v>
      </c>
      <c r="S35" s="215">
        <v>43409</v>
      </c>
      <c r="T35" s="218">
        <v>43434</v>
      </c>
      <c r="U35" s="219">
        <v>43585</v>
      </c>
      <c r="V35" s="220">
        <v>43561</v>
      </c>
      <c r="W35" s="219">
        <v>43745</v>
      </c>
      <c r="X35" s="220">
        <v>43763</v>
      </c>
      <c r="Y35" s="221">
        <v>43925</v>
      </c>
      <c r="Z35" s="222">
        <v>43952</v>
      </c>
      <c r="AA35" s="221">
        <v>44105</v>
      </c>
      <c r="AB35" s="222">
        <v>44135</v>
      </c>
      <c r="AC35" s="221">
        <v>44298</v>
      </c>
      <c r="AD35" s="222">
        <v>44324</v>
      </c>
      <c r="AE35" s="221">
        <v>44475</v>
      </c>
      <c r="AF35" s="222">
        <v>44719</v>
      </c>
      <c r="AG35" s="221">
        <v>44656</v>
      </c>
      <c r="AH35" s="222">
        <v>44719</v>
      </c>
      <c r="AI35" s="221">
        <v>44840</v>
      </c>
      <c r="AJ35" s="222">
        <v>44925</v>
      </c>
      <c r="AK35" s="223">
        <f t="shared" si="0"/>
        <v>85</v>
      </c>
      <c r="AL35" s="240">
        <v>45020</v>
      </c>
      <c r="AM35" s="244">
        <v>45078</v>
      </c>
      <c r="AN35" s="225">
        <f t="shared" si="1"/>
        <v>58</v>
      </c>
      <c r="AO35" s="226">
        <v>45269</v>
      </c>
      <c r="AP35" s="226">
        <v>45270</v>
      </c>
      <c r="AQ35" s="227">
        <v>45279</v>
      </c>
      <c r="AR35" s="227">
        <v>45280</v>
      </c>
      <c r="AS35" s="251">
        <f t="shared" si="4"/>
        <v>10</v>
      </c>
      <c r="AT35" s="229"/>
      <c r="AU35" s="230">
        <v>45390</v>
      </c>
      <c r="AV35" s="246">
        <v>45393</v>
      </c>
      <c r="AW35" s="232">
        <v>3</v>
      </c>
      <c r="AX35" s="247">
        <v>45668</v>
      </c>
      <c r="AY35" s="248">
        <v>45670</v>
      </c>
      <c r="AZ35" s="248">
        <v>45682</v>
      </c>
      <c r="BA35" s="248">
        <v>45684</v>
      </c>
      <c r="BB35" s="235">
        <v>14</v>
      </c>
      <c r="BC35" s="249" t="s">
        <v>1101</v>
      </c>
      <c r="BD35" s="299" t="s">
        <v>1143</v>
      </c>
      <c r="BE35" s="292">
        <v>45803</v>
      </c>
      <c r="BF35" s="286">
        <v>45809</v>
      </c>
      <c r="BG35" s="302">
        <f t="shared" si="2"/>
        <v>6</v>
      </c>
      <c r="BH35" s="303">
        <f t="shared" si="5"/>
        <v>100</v>
      </c>
      <c r="BI35" s="304"/>
    </row>
    <row r="36" spans="1:61" s="211" customFormat="1">
      <c r="A36" s="212">
        <v>32</v>
      </c>
      <c r="B36" s="241" t="s">
        <v>1102</v>
      </c>
      <c r="C36" s="214" t="s">
        <v>1048</v>
      </c>
      <c r="D36" s="241">
        <v>100261398</v>
      </c>
      <c r="E36" s="242">
        <v>42131</v>
      </c>
      <c r="F36" s="243">
        <v>42131</v>
      </c>
      <c r="G36" s="215">
        <v>42315</v>
      </c>
      <c r="H36" s="217">
        <v>42313</v>
      </c>
      <c r="I36" s="242">
        <v>42497</v>
      </c>
      <c r="J36" s="217">
        <v>42483</v>
      </c>
      <c r="K36" s="215">
        <v>42681</v>
      </c>
      <c r="L36" s="217">
        <v>42662</v>
      </c>
      <c r="M36" s="242">
        <v>42862</v>
      </c>
      <c r="N36" s="217">
        <v>42879</v>
      </c>
      <c r="O36" s="215">
        <v>43046</v>
      </c>
      <c r="P36" s="218">
        <v>43064</v>
      </c>
      <c r="Q36" s="242">
        <v>43227</v>
      </c>
      <c r="R36" s="217">
        <v>43307</v>
      </c>
      <c r="S36" s="215">
        <v>43411</v>
      </c>
      <c r="T36" s="218">
        <v>43435</v>
      </c>
      <c r="U36" s="219">
        <v>43587</v>
      </c>
      <c r="V36" s="220">
        <v>43564</v>
      </c>
      <c r="W36" s="219">
        <v>43746</v>
      </c>
      <c r="X36" s="220">
        <v>43764</v>
      </c>
      <c r="Y36" s="221">
        <v>43926</v>
      </c>
      <c r="Z36" s="222">
        <v>43953</v>
      </c>
      <c r="AA36" s="221">
        <v>44106</v>
      </c>
      <c r="AB36" s="222">
        <v>44157</v>
      </c>
      <c r="AC36" s="221">
        <v>44299</v>
      </c>
      <c r="AD36" s="222">
        <v>44325</v>
      </c>
      <c r="AE36" s="221">
        <v>44475</v>
      </c>
      <c r="AF36" s="222">
        <v>44741</v>
      </c>
      <c r="AG36" s="221">
        <v>44657</v>
      </c>
      <c r="AH36" s="222">
        <v>44741</v>
      </c>
      <c r="AI36" s="221">
        <v>44840</v>
      </c>
      <c r="AJ36" s="222">
        <v>44926</v>
      </c>
      <c r="AK36" s="223">
        <f t="shared" si="0"/>
        <v>86</v>
      </c>
      <c r="AL36" s="240">
        <v>45020</v>
      </c>
      <c r="AM36" s="244">
        <v>45078</v>
      </c>
      <c r="AN36" s="225">
        <f t="shared" si="1"/>
        <v>58</v>
      </c>
      <c r="AO36" s="226">
        <v>45271</v>
      </c>
      <c r="AP36" s="226">
        <v>45272</v>
      </c>
      <c r="AQ36" s="227">
        <v>45282</v>
      </c>
      <c r="AR36" s="227">
        <v>45281</v>
      </c>
      <c r="AS36" s="251">
        <f t="shared" si="4"/>
        <v>9</v>
      </c>
      <c r="AT36" s="229"/>
      <c r="AU36" s="230">
        <v>45391</v>
      </c>
      <c r="AV36" s="246">
        <v>45394</v>
      </c>
      <c r="AW36" s="232">
        <v>3</v>
      </c>
      <c r="AX36" s="247">
        <v>45671</v>
      </c>
      <c r="AY36" s="248">
        <v>45672</v>
      </c>
      <c r="AZ36" s="248">
        <v>45685</v>
      </c>
      <c r="BA36" s="248">
        <v>45686</v>
      </c>
      <c r="BB36" s="235">
        <v>14</v>
      </c>
      <c r="BC36" s="249" t="s">
        <v>1050</v>
      </c>
      <c r="BD36" s="299" t="s">
        <v>1144</v>
      </c>
      <c r="BE36" s="292">
        <v>45804</v>
      </c>
      <c r="BF36" s="286">
        <v>45810</v>
      </c>
      <c r="BG36" s="302">
        <f t="shared" si="2"/>
        <v>6</v>
      </c>
      <c r="BH36" s="303">
        <f t="shared" si="5"/>
        <v>100</v>
      </c>
      <c r="BI36" s="304"/>
    </row>
    <row r="37" spans="1:61" s="211" customFormat="1">
      <c r="A37" s="212">
        <v>33</v>
      </c>
      <c r="B37" s="241" t="s">
        <v>1103</v>
      </c>
      <c r="C37" s="214" t="s">
        <v>1053</v>
      </c>
      <c r="D37" s="241">
        <v>100261216</v>
      </c>
      <c r="E37" s="242">
        <v>42132</v>
      </c>
      <c r="F37" s="243">
        <v>42132</v>
      </c>
      <c r="G37" s="215">
        <v>42316</v>
      </c>
      <c r="H37" s="217">
        <v>42314</v>
      </c>
      <c r="I37" s="242">
        <v>42498</v>
      </c>
      <c r="J37" s="217">
        <v>42498</v>
      </c>
      <c r="K37" s="215">
        <v>42682</v>
      </c>
      <c r="L37" s="217">
        <v>42663</v>
      </c>
      <c r="M37" s="242">
        <v>42863</v>
      </c>
      <c r="N37" s="217">
        <v>42880</v>
      </c>
      <c r="O37" s="215">
        <v>43047</v>
      </c>
      <c r="P37" s="218">
        <v>43068</v>
      </c>
      <c r="Q37" s="242">
        <v>43228</v>
      </c>
      <c r="R37" s="217">
        <v>43308</v>
      </c>
      <c r="S37" s="215">
        <v>43412</v>
      </c>
      <c r="T37" s="218">
        <v>43436</v>
      </c>
      <c r="U37" s="219">
        <v>43588</v>
      </c>
      <c r="V37" s="220">
        <v>43606</v>
      </c>
      <c r="W37" s="219">
        <v>43747</v>
      </c>
      <c r="X37" s="220">
        <v>43766</v>
      </c>
      <c r="Y37" s="221">
        <v>43927</v>
      </c>
      <c r="Z37" s="222">
        <v>43954</v>
      </c>
      <c r="AA37" s="221">
        <v>44107</v>
      </c>
      <c r="AB37" s="222">
        <v>44186</v>
      </c>
      <c r="AC37" s="221">
        <v>44300</v>
      </c>
      <c r="AD37" s="222">
        <v>44326</v>
      </c>
      <c r="AE37" s="221">
        <v>44477</v>
      </c>
      <c r="AF37" s="222">
        <v>44738</v>
      </c>
      <c r="AG37" s="221">
        <v>44658</v>
      </c>
      <c r="AH37" s="222">
        <v>44738</v>
      </c>
      <c r="AI37" s="221">
        <v>44842</v>
      </c>
      <c r="AJ37" s="222">
        <v>44928</v>
      </c>
      <c r="AK37" s="223">
        <f t="shared" si="0"/>
        <v>86</v>
      </c>
      <c r="AL37" s="240">
        <v>45022</v>
      </c>
      <c r="AM37" s="240">
        <v>45080</v>
      </c>
      <c r="AN37" s="225">
        <f t="shared" si="1"/>
        <v>58</v>
      </c>
      <c r="AO37" s="226">
        <v>45273</v>
      </c>
      <c r="AP37" s="226">
        <v>45274</v>
      </c>
      <c r="AQ37" s="227">
        <v>45281</v>
      </c>
      <c r="AR37" s="227">
        <v>45282</v>
      </c>
      <c r="AS37" s="251">
        <f t="shared" si="4"/>
        <v>8</v>
      </c>
      <c r="AT37" s="229"/>
      <c r="AU37" s="230">
        <v>45392</v>
      </c>
      <c r="AV37" s="246">
        <v>45395</v>
      </c>
      <c r="AW37" s="232">
        <v>3</v>
      </c>
      <c r="AX37" s="247">
        <v>45673</v>
      </c>
      <c r="AY37" s="248">
        <v>45674</v>
      </c>
      <c r="AZ37" s="248">
        <v>45687</v>
      </c>
      <c r="BA37" s="248">
        <v>45688</v>
      </c>
      <c r="BB37" s="235">
        <v>14</v>
      </c>
      <c r="BC37" s="249" t="s">
        <v>1050</v>
      </c>
      <c r="BD37" s="299" t="s">
        <v>1145</v>
      </c>
      <c r="BE37" s="292">
        <v>45806</v>
      </c>
      <c r="BF37" s="286">
        <v>45813</v>
      </c>
      <c r="BG37" s="302">
        <f t="shared" si="2"/>
        <v>7</v>
      </c>
      <c r="BH37" s="303">
        <f t="shared" si="5"/>
        <v>100</v>
      </c>
      <c r="BI37" s="304"/>
    </row>
    <row r="38" spans="1:61" s="211" customFormat="1">
      <c r="A38" s="212">
        <v>34</v>
      </c>
      <c r="B38" s="241" t="s">
        <v>1104</v>
      </c>
      <c r="C38" s="214" t="s">
        <v>1048</v>
      </c>
      <c r="D38" s="241">
        <v>100261397</v>
      </c>
      <c r="E38" s="242">
        <v>42133</v>
      </c>
      <c r="F38" s="243">
        <v>42133</v>
      </c>
      <c r="G38" s="215">
        <v>42317</v>
      </c>
      <c r="H38" s="217">
        <v>42315</v>
      </c>
      <c r="I38" s="242">
        <v>42499</v>
      </c>
      <c r="J38" s="217">
        <v>42500</v>
      </c>
      <c r="K38" s="215">
        <v>42683</v>
      </c>
      <c r="L38" s="217">
        <v>42665</v>
      </c>
      <c r="M38" s="242">
        <v>42864</v>
      </c>
      <c r="N38" s="217">
        <v>42881</v>
      </c>
      <c r="O38" s="215">
        <v>43048</v>
      </c>
      <c r="P38" s="218">
        <v>43072</v>
      </c>
      <c r="Q38" s="242">
        <v>43229</v>
      </c>
      <c r="R38" s="217">
        <v>43309</v>
      </c>
      <c r="S38" s="215">
        <v>43413</v>
      </c>
      <c r="T38" s="218">
        <v>43437</v>
      </c>
      <c r="U38" s="219">
        <v>43589</v>
      </c>
      <c r="V38" s="220">
        <v>43607</v>
      </c>
      <c r="W38" s="219">
        <v>43748</v>
      </c>
      <c r="X38" s="220">
        <v>43768</v>
      </c>
      <c r="Y38" s="221">
        <v>43928</v>
      </c>
      <c r="Z38" s="222">
        <v>43955</v>
      </c>
      <c r="AA38" s="221">
        <v>44108</v>
      </c>
      <c r="AB38" s="222">
        <v>44139</v>
      </c>
      <c r="AC38" s="221">
        <v>44301</v>
      </c>
      <c r="AD38" s="222">
        <v>44327</v>
      </c>
      <c r="AE38" s="221">
        <v>44477</v>
      </c>
      <c r="AF38" s="222">
        <v>44737</v>
      </c>
      <c r="AG38" s="221">
        <v>44659</v>
      </c>
      <c r="AH38" s="222">
        <v>44737</v>
      </c>
      <c r="AI38" s="221">
        <v>44842</v>
      </c>
      <c r="AJ38" s="222">
        <v>44929</v>
      </c>
      <c r="AK38" s="223">
        <f t="shared" si="0"/>
        <v>87</v>
      </c>
      <c r="AL38" s="240">
        <v>45022</v>
      </c>
      <c r="AM38" s="240">
        <v>45080</v>
      </c>
      <c r="AN38" s="225">
        <f t="shared" si="1"/>
        <v>58</v>
      </c>
      <c r="AO38" s="226">
        <v>45275</v>
      </c>
      <c r="AP38" s="226">
        <v>45276</v>
      </c>
      <c r="AQ38" s="227">
        <v>45285</v>
      </c>
      <c r="AR38" s="227">
        <v>45283</v>
      </c>
      <c r="AS38" s="251">
        <f t="shared" si="4"/>
        <v>7</v>
      </c>
      <c r="AT38" s="229"/>
      <c r="AU38" s="230">
        <v>45393</v>
      </c>
      <c r="AV38" s="246">
        <v>45397</v>
      </c>
      <c r="AW38" s="232">
        <v>4</v>
      </c>
      <c r="AX38" s="247">
        <v>45675</v>
      </c>
      <c r="AY38" s="248">
        <v>45677</v>
      </c>
      <c r="AZ38" s="248">
        <v>45689</v>
      </c>
      <c r="BA38" s="248">
        <v>45693</v>
      </c>
      <c r="BB38" s="235">
        <v>16</v>
      </c>
      <c r="BC38" s="249" t="s">
        <v>1105</v>
      </c>
      <c r="BD38" s="299" t="s">
        <v>1146</v>
      </c>
      <c r="BE38" s="292">
        <v>45807</v>
      </c>
      <c r="BF38" s="286">
        <v>45814</v>
      </c>
      <c r="BG38" s="302">
        <f t="shared" si="2"/>
        <v>7</v>
      </c>
      <c r="BH38" s="303">
        <f t="shared" si="5"/>
        <v>100</v>
      </c>
      <c r="BI38" s="304"/>
    </row>
    <row r="39" spans="1:61" s="211" customFormat="1">
      <c r="A39" s="212">
        <v>35</v>
      </c>
      <c r="B39" s="241" t="s">
        <v>1106</v>
      </c>
      <c r="C39" s="214" t="s">
        <v>1053</v>
      </c>
      <c r="D39" s="241">
        <v>100261342</v>
      </c>
      <c r="E39" s="242">
        <v>42134</v>
      </c>
      <c r="F39" s="243">
        <v>42134</v>
      </c>
      <c r="G39" s="215">
        <v>42318</v>
      </c>
      <c r="H39" s="217">
        <v>42333</v>
      </c>
      <c r="I39" s="242">
        <v>42500</v>
      </c>
      <c r="J39" s="217">
        <v>42502</v>
      </c>
      <c r="K39" s="215">
        <v>42684</v>
      </c>
      <c r="L39" s="217">
        <v>42666</v>
      </c>
      <c r="M39" s="242">
        <v>42865</v>
      </c>
      <c r="N39" s="217">
        <v>42884</v>
      </c>
      <c r="O39" s="215">
        <v>43049</v>
      </c>
      <c r="P39" s="218">
        <v>43079</v>
      </c>
      <c r="Q39" s="242">
        <v>43230</v>
      </c>
      <c r="R39" s="217">
        <v>43314</v>
      </c>
      <c r="S39" s="215">
        <v>43414</v>
      </c>
      <c r="T39" s="218">
        <v>43438</v>
      </c>
      <c r="U39" s="219">
        <v>43590</v>
      </c>
      <c r="V39" s="220">
        <v>43611</v>
      </c>
      <c r="W39" s="219">
        <v>43749</v>
      </c>
      <c r="X39" s="220">
        <v>43769</v>
      </c>
      <c r="Y39" s="221">
        <v>43929</v>
      </c>
      <c r="Z39" s="222">
        <v>43956</v>
      </c>
      <c r="AA39" s="221">
        <v>44109</v>
      </c>
      <c r="AB39" s="222">
        <v>44155</v>
      </c>
      <c r="AC39" s="221">
        <v>44302</v>
      </c>
      <c r="AD39" s="222">
        <v>44341</v>
      </c>
      <c r="AE39" s="221">
        <v>44480</v>
      </c>
      <c r="AF39" s="222">
        <v>44734</v>
      </c>
      <c r="AG39" s="221">
        <v>44660</v>
      </c>
      <c r="AH39" s="222">
        <v>44734</v>
      </c>
      <c r="AI39" s="221">
        <v>44845</v>
      </c>
      <c r="AJ39" s="222">
        <v>44930</v>
      </c>
      <c r="AK39" s="223">
        <f t="shared" si="0"/>
        <v>85</v>
      </c>
      <c r="AL39" s="240">
        <v>45025</v>
      </c>
      <c r="AM39" s="240">
        <v>45081</v>
      </c>
      <c r="AN39" s="225">
        <f t="shared" si="1"/>
        <v>56</v>
      </c>
      <c r="AO39" s="226">
        <v>45277</v>
      </c>
      <c r="AP39" s="226">
        <v>45278</v>
      </c>
      <c r="AQ39" s="227">
        <v>45283</v>
      </c>
      <c r="AR39" s="227">
        <v>45285</v>
      </c>
      <c r="AS39" s="251">
        <f t="shared" si="4"/>
        <v>7</v>
      </c>
      <c r="AT39" s="229"/>
      <c r="AU39" s="230">
        <v>45394</v>
      </c>
      <c r="AV39" s="246">
        <v>45398</v>
      </c>
      <c r="AW39" s="232">
        <v>4</v>
      </c>
      <c r="AX39" s="247">
        <v>45678</v>
      </c>
      <c r="AY39" s="248">
        <v>45679</v>
      </c>
      <c r="AZ39" s="248">
        <v>45690</v>
      </c>
      <c r="BA39" s="248">
        <v>45692</v>
      </c>
      <c r="BB39" s="235">
        <v>13</v>
      </c>
      <c r="BC39" s="249" t="s">
        <v>1107</v>
      </c>
      <c r="BD39" s="297" t="s">
        <v>1147</v>
      </c>
      <c r="BE39" s="292">
        <v>45808</v>
      </c>
      <c r="BF39" s="286">
        <v>45815</v>
      </c>
      <c r="BG39" s="302">
        <f t="shared" si="2"/>
        <v>7</v>
      </c>
      <c r="BH39" s="303">
        <f t="shared" si="5"/>
        <v>100</v>
      </c>
      <c r="BI39" s="304"/>
    </row>
    <row r="40" spans="1:61" s="211" customFormat="1">
      <c r="A40" s="212">
        <v>36</v>
      </c>
      <c r="B40" s="241" t="s">
        <v>1108</v>
      </c>
      <c r="C40" s="214" t="s">
        <v>1048</v>
      </c>
      <c r="D40" s="241">
        <v>100261373</v>
      </c>
      <c r="E40" s="242">
        <v>42135</v>
      </c>
      <c r="F40" s="243">
        <v>42135</v>
      </c>
      <c r="G40" s="215">
        <v>42319</v>
      </c>
      <c r="H40" s="217">
        <v>42316</v>
      </c>
      <c r="I40" s="242">
        <v>42501</v>
      </c>
      <c r="J40" s="217">
        <v>42503</v>
      </c>
      <c r="K40" s="215">
        <v>42685</v>
      </c>
      <c r="L40" s="217">
        <v>42667</v>
      </c>
      <c r="M40" s="242">
        <v>42866</v>
      </c>
      <c r="N40" s="217">
        <v>42885</v>
      </c>
      <c r="O40" s="215">
        <v>43050</v>
      </c>
      <c r="P40" s="218">
        <v>43078</v>
      </c>
      <c r="Q40" s="242">
        <v>43231</v>
      </c>
      <c r="R40" s="217">
        <v>43313</v>
      </c>
      <c r="S40" s="215">
        <v>43415</v>
      </c>
      <c r="T40" s="218">
        <v>43439</v>
      </c>
      <c r="U40" s="219">
        <v>43591</v>
      </c>
      <c r="V40" s="220">
        <v>43612</v>
      </c>
      <c r="W40" s="219">
        <v>43750</v>
      </c>
      <c r="X40" s="220">
        <v>43773</v>
      </c>
      <c r="Y40" s="221">
        <v>43930</v>
      </c>
      <c r="Z40" s="222">
        <v>43957</v>
      </c>
      <c r="AA40" s="221">
        <v>44110</v>
      </c>
      <c r="AB40" s="222">
        <v>44153</v>
      </c>
      <c r="AC40" s="221">
        <v>44305</v>
      </c>
      <c r="AD40" s="222">
        <v>44342</v>
      </c>
      <c r="AE40" s="221">
        <v>44480</v>
      </c>
      <c r="AF40" s="222">
        <v>44733</v>
      </c>
      <c r="AG40" s="221">
        <v>44662</v>
      </c>
      <c r="AH40" s="222">
        <v>44733</v>
      </c>
      <c r="AI40" s="221">
        <v>44845</v>
      </c>
      <c r="AJ40" s="222">
        <v>44931</v>
      </c>
      <c r="AK40" s="223">
        <f t="shared" si="0"/>
        <v>86</v>
      </c>
      <c r="AL40" s="240">
        <v>45025</v>
      </c>
      <c r="AM40" s="240">
        <v>45082</v>
      </c>
      <c r="AN40" s="225">
        <f t="shared" si="1"/>
        <v>57</v>
      </c>
      <c r="AO40" s="226">
        <v>45279</v>
      </c>
      <c r="AP40" s="226">
        <v>45280</v>
      </c>
      <c r="AQ40" s="227">
        <v>45288</v>
      </c>
      <c r="AR40" s="227">
        <v>45289</v>
      </c>
      <c r="AS40" s="251">
        <f t="shared" si="4"/>
        <v>9</v>
      </c>
      <c r="AT40" s="229"/>
      <c r="AU40" s="230">
        <v>45395</v>
      </c>
      <c r="AV40" s="246">
        <v>45400</v>
      </c>
      <c r="AW40" s="232">
        <v>5</v>
      </c>
      <c r="AX40" s="247">
        <v>45680</v>
      </c>
      <c r="AY40" s="248">
        <v>45681</v>
      </c>
      <c r="AZ40" s="248">
        <v>45694</v>
      </c>
      <c r="BA40" s="248">
        <v>45695</v>
      </c>
      <c r="BB40" s="235">
        <v>14</v>
      </c>
      <c r="BC40" s="249" t="s">
        <v>1050</v>
      </c>
      <c r="BD40" s="297" t="s">
        <v>1148</v>
      </c>
      <c r="BE40" s="292">
        <v>45809</v>
      </c>
      <c r="BF40" s="286">
        <v>45818</v>
      </c>
      <c r="BG40" s="302">
        <f t="shared" si="2"/>
        <v>9</v>
      </c>
      <c r="BH40" s="303">
        <f t="shared" si="5"/>
        <v>100</v>
      </c>
      <c r="BI40" s="304"/>
    </row>
    <row r="41" spans="1:61" s="211" customFormat="1">
      <c r="A41" s="212">
        <v>37</v>
      </c>
      <c r="B41" s="241" t="s">
        <v>1109</v>
      </c>
      <c r="C41" s="214" t="s">
        <v>1053</v>
      </c>
      <c r="D41" s="241">
        <v>100261361</v>
      </c>
      <c r="E41" s="242">
        <v>42140</v>
      </c>
      <c r="F41" s="243">
        <v>42140</v>
      </c>
      <c r="G41" s="215">
        <v>42324</v>
      </c>
      <c r="H41" s="217">
        <v>42317</v>
      </c>
      <c r="I41" s="242">
        <v>42506</v>
      </c>
      <c r="J41" s="217">
        <v>42510</v>
      </c>
      <c r="K41" s="215">
        <v>42690</v>
      </c>
      <c r="L41" s="217">
        <v>42702</v>
      </c>
      <c r="M41" s="242">
        <v>42871</v>
      </c>
      <c r="N41" s="217">
        <v>42886</v>
      </c>
      <c r="O41" s="215">
        <v>43055</v>
      </c>
      <c r="P41" s="218">
        <v>43082</v>
      </c>
      <c r="Q41" s="242">
        <v>43236</v>
      </c>
      <c r="R41" s="217">
        <v>43311</v>
      </c>
      <c r="S41" s="215">
        <v>43420</v>
      </c>
      <c r="T41" s="218">
        <v>43440</v>
      </c>
      <c r="U41" s="219">
        <v>43596</v>
      </c>
      <c r="V41" s="220">
        <v>43613</v>
      </c>
      <c r="W41" s="219">
        <v>43751</v>
      </c>
      <c r="X41" s="220">
        <v>43771</v>
      </c>
      <c r="Y41" s="221">
        <v>43931</v>
      </c>
      <c r="Z41" s="222">
        <v>43958</v>
      </c>
      <c r="AA41" s="221">
        <v>44111</v>
      </c>
      <c r="AB41" s="222">
        <v>44146</v>
      </c>
      <c r="AC41" s="221">
        <v>44306</v>
      </c>
      <c r="AD41" s="222">
        <v>44299</v>
      </c>
      <c r="AE41" s="221">
        <v>44482</v>
      </c>
      <c r="AF41" s="222">
        <v>44731</v>
      </c>
      <c r="AG41" s="221">
        <v>44663</v>
      </c>
      <c r="AH41" s="222">
        <v>44731</v>
      </c>
      <c r="AI41" s="221">
        <v>44847</v>
      </c>
      <c r="AJ41" s="222">
        <v>44932</v>
      </c>
      <c r="AK41" s="223">
        <f t="shared" si="0"/>
        <v>85</v>
      </c>
      <c r="AL41" s="240">
        <v>45027</v>
      </c>
      <c r="AM41" s="240">
        <v>45082</v>
      </c>
      <c r="AN41" s="225">
        <f t="shared" si="1"/>
        <v>55</v>
      </c>
      <c r="AO41" s="226">
        <v>45281</v>
      </c>
      <c r="AP41" s="226">
        <v>45282</v>
      </c>
      <c r="AQ41" s="227">
        <v>45287</v>
      </c>
      <c r="AR41" s="227">
        <v>45286</v>
      </c>
      <c r="AS41" s="251">
        <f t="shared" si="4"/>
        <v>4</v>
      </c>
      <c r="AT41" s="229"/>
      <c r="AU41" s="230">
        <v>45397</v>
      </c>
      <c r="AV41" s="246">
        <v>45401</v>
      </c>
      <c r="AW41" s="232">
        <v>4</v>
      </c>
      <c r="AX41" s="247">
        <v>45682</v>
      </c>
      <c r="AY41" s="248">
        <v>45684</v>
      </c>
      <c r="AZ41" s="248">
        <v>45696</v>
      </c>
      <c r="BA41" s="248">
        <v>45698</v>
      </c>
      <c r="BB41" s="235">
        <v>14</v>
      </c>
      <c r="BC41" s="249" t="s">
        <v>1050</v>
      </c>
      <c r="BD41" s="297" t="s">
        <v>1149</v>
      </c>
      <c r="BE41" s="292">
        <v>45810</v>
      </c>
      <c r="BF41" s="286">
        <v>45819</v>
      </c>
      <c r="BG41" s="302">
        <f t="shared" si="2"/>
        <v>9</v>
      </c>
      <c r="BH41" s="303">
        <f t="shared" si="5"/>
        <v>100</v>
      </c>
      <c r="BI41" s="304" t="s">
        <v>1050</v>
      </c>
    </row>
    <row r="42" spans="1:61" s="211" customFormat="1">
      <c r="A42" s="212">
        <v>38</v>
      </c>
      <c r="B42" s="241" t="s">
        <v>1110</v>
      </c>
      <c r="C42" s="214" t="s">
        <v>1053</v>
      </c>
      <c r="D42" s="241">
        <v>100261335</v>
      </c>
      <c r="E42" s="242">
        <v>42141</v>
      </c>
      <c r="F42" s="243">
        <v>42141</v>
      </c>
      <c r="G42" s="215">
        <v>42325</v>
      </c>
      <c r="H42" s="217">
        <v>42318</v>
      </c>
      <c r="I42" s="242">
        <v>42507</v>
      </c>
      <c r="J42" s="217">
        <v>42506</v>
      </c>
      <c r="K42" s="215">
        <v>42691</v>
      </c>
      <c r="L42" s="217">
        <v>42703</v>
      </c>
      <c r="M42" s="242">
        <v>42872</v>
      </c>
      <c r="N42" s="217">
        <v>42887</v>
      </c>
      <c r="O42" s="215">
        <v>43056</v>
      </c>
      <c r="P42" s="218">
        <v>43083</v>
      </c>
      <c r="Q42" s="242">
        <v>43237</v>
      </c>
      <c r="R42" s="217">
        <v>43315</v>
      </c>
      <c r="S42" s="215">
        <v>43421</v>
      </c>
      <c r="T42" s="218">
        <v>43441</v>
      </c>
      <c r="U42" s="219">
        <v>43597</v>
      </c>
      <c r="V42" s="220">
        <v>43615</v>
      </c>
      <c r="W42" s="219">
        <v>43752</v>
      </c>
      <c r="X42" s="220">
        <v>43772</v>
      </c>
      <c r="Y42" s="221">
        <v>43932</v>
      </c>
      <c r="Z42" s="222">
        <v>43960</v>
      </c>
      <c r="AA42" s="221">
        <v>44112</v>
      </c>
      <c r="AB42" s="222">
        <v>44143</v>
      </c>
      <c r="AC42" s="221">
        <v>44307</v>
      </c>
      <c r="AD42" s="222">
        <v>44300</v>
      </c>
      <c r="AE42" s="221">
        <v>44482</v>
      </c>
      <c r="AF42" s="222">
        <v>44730</v>
      </c>
      <c r="AG42" s="221">
        <v>44664</v>
      </c>
      <c r="AH42" s="222">
        <v>44730</v>
      </c>
      <c r="AI42" s="221">
        <v>44847</v>
      </c>
      <c r="AJ42" s="222">
        <v>44933</v>
      </c>
      <c r="AK42" s="223">
        <f t="shared" si="0"/>
        <v>86</v>
      </c>
      <c r="AL42" s="240">
        <v>45027</v>
      </c>
      <c r="AM42" s="240">
        <v>45081</v>
      </c>
      <c r="AN42" s="225">
        <f t="shared" si="1"/>
        <v>54</v>
      </c>
      <c r="AO42" s="226">
        <v>45283</v>
      </c>
      <c r="AP42" s="226">
        <v>45284</v>
      </c>
      <c r="AQ42" s="227">
        <v>45286</v>
      </c>
      <c r="AR42" s="227">
        <v>45287</v>
      </c>
      <c r="AS42" s="251">
        <f t="shared" si="4"/>
        <v>3</v>
      </c>
      <c r="AT42" s="229"/>
      <c r="AU42" s="230">
        <v>45398</v>
      </c>
      <c r="AV42" s="246">
        <v>45403</v>
      </c>
      <c r="AW42" s="232">
        <v>5</v>
      </c>
      <c r="AX42" s="247">
        <v>45685</v>
      </c>
      <c r="AY42" s="248">
        <v>45686</v>
      </c>
      <c r="AZ42" s="248">
        <v>45699</v>
      </c>
      <c r="BA42" s="248">
        <v>45700</v>
      </c>
      <c r="BB42" s="235">
        <v>14</v>
      </c>
      <c r="BC42" s="249" t="s">
        <v>1050</v>
      </c>
      <c r="BD42" s="297" t="s">
        <v>1150</v>
      </c>
      <c r="BE42" s="292">
        <v>45811</v>
      </c>
      <c r="BF42" s="286">
        <v>45820</v>
      </c>
      <c r="BG42" s="302">
        <f t="shared" si="2"/>
        <v>9</v>
      </c>
      <c r="BH42" s="303">
        <f t="shared" si="5"/>
        <v>100</v>
      </c>
      <c r="BI42" s="304" t="s">
        <v>1050</v>
      </c>
    </row>
    <row r="43" spans="1:61" s="211" customFormat="1">
      <c r="A43" s="212">
        <v>39</v>
      </c>
      <c r="B43" s="241" t="s">
        <v>1111</v>
      </c>
      <c r="C43" s="214" t="s">
        <v>1048</v>
      </c>
      <c r="D43" s="241">
        <v>100261401</v>
      </c>
      <c r="E43" s="242">
        <v>42144</v>
      </c>
      <c r="F43" s="243">
        <v>42144</v>
      </c>
      <c r="G43" s="215">
        <v>42328</v>
      </c>
      <c r="H43" s="217">
        <v>42334</v>
      </c>
      <c r="I43" s="242">
        <v>42510</v>
      </c>
      <c r="J43" s="217">
        <v>42501</v>
      </c>
      <c r="K43" s="215">
        <v>42694</v>
      </c>
      <c r="L43" s="217">
        <v>42704</v>
      </c>
      <c r="M43" s="242">
        <v>42875</v>
      </c>
      <c r="N43" s="217">
        <v>42888</v>
      </c>
      <c r="O43" s="215">
        <v>43059</v>
      </c>
      <c r="P43" s="218">
        <v>43084</v>
      </c>
      <c r="Q43" s="242">
        <v>43240</v>
      </c>
      <c r="R43" s="217">
        <v>43280</v>
      </c>
      <c r="S43" s="215">
        <v>43424</v>
      </c>
      <c r="T43" s="218">
        <v>43442</v>
      </c>
      <c r="U43" s="219">
        <v>43600</v>
      </c>
      <c r="V43" s="220">
        <v>43614</v>
      </c>
      <c r="W43" s="219">
        <v>43753</v>
      </c>
      <c r="X43" s="220">
        <v>43774</v>
      </c>
      <c r="Y43" s="221">
        <v>43933</v>
      </c>
      <c r="Z43" s="222">
        <v>43961</v>
      </c>
      <c r="AA43" s="221">
        <v>44113</v>
      </c>
      <c r="AB43" s="222">
        <v>44161</v>
      </c>
      <c r="AC43" s="221">
        <v>44308</v>
      </c>
      <c r="AD43" s="222">
        <v>44343</v>
      </c>
      <c r="AE43" s="221">
        <v>44484</v>
      </c>
      <c r="AF43" s="222">
        <v>44728</v>
      </c>
      <c r="AG43" s="221">
        <v>44665</v>
      </c>
      <c r="AH43" s="222">
        <v>44728</v>
      </c>
      <c r="AI43" s="221">
        <v>44849</v>
      </c>
      <c r="AJ43" s="222">
        <v>44935</v>
      </c>
      <c r="AK43" s="223">
        <f t="shared" si="0"/>
        <v>86</v>
      </c>
      <c r="AL43" s="240">
        <v>45029</v>
      </c>
      <c r="AM43" s="240">
        <v>45079</v>
      </c>
      <c r="AN43" s="225">
        <f t="shared" si="1"/>
        <v>50</v>
      </c>
      <c r="AO43" s="226">
        <v>45285</v>
      </c>
      <c r="AP43" s="226">
        <v>45286</v>
      </c>
      <c r="AQ43" s="227">
        <v>45293</v>
      </c>
      <c r="AR43" s="227">
        <v>45291</v>
      </c>
      <c r="AS43" s="251">
        <f t="shared" si="4"/>
        <v>5</v>
      </c>
      <c r="AT43" s="229"/>
      <c r="AU43" s="230">
        <v>45399</v>
      </c>
      <c r="AV43" s="246">
        <v>45404</v>
      </c>
      <c r="AW43" s="232">
        <v>5</v>
      </c>
      <c r="AX43" s="247">
        <v>45687</v>
      </c>
      <c r="AY43" s="248">
        <v>45688</v>
      </c>
      <c r="AZ43" s="248">
        <v>45701</v>
      </c>
      <c r="BA43" s="248">
        <v>45702</v>
      </c>
      <c r="BB43" s="235">
        <v>14</v>
      </c>
      <c r="BC43" s="249" t="s">
        <v>1050</v>
      </c>
      <c r="BD43" s="297" t="s">
        <v>1151</v>
      </c>
      <c r="BE43" s="292">
        <v>45813</v>
      </c>
      <c r="BF43" s="286">
        <v>45821</v>
      </c>
      <c r="BG43" s="302">
        <f t="shared" si="2"/>
        <v>8</v>
      </c>
      <c r="BH43" s="303">
        <f t="shared" si="5"/>
        <v>100</v>
      </c>
      <c r="BI43" s="304" t="s">
        <v>1050</v>
      </c>
    </row>
    <row r="44" spans="1:61" s="211" customFormat="1" ht="15.75" thickBot="1">
      <c r="A44" s="260">
        <v>40</v>
      </c>
      <c r="B44" s="261" t="s">
        <v>1112</v>
      </c>
      <c r="C44" s="262" t="s">
        <v>1048</v>
      </c>
      <c r="D44" s="261">
        <v>100261173</v>
      </c>
      <c r="E44" s="263">
        <v>42145</v>
      </c>
      <c r="F44" s="264">
        <v>42145</v>
      </c>
      <c r="G44" s="265">
        <v>42329</v>
      </c>
      <c r="H44" s="266">
        <v>42293</v>
      </c>
      <c r="I44" s="263">
        <v>42511</v>
      </c>
      <c r="J44" s="266">
        <v>42507</v>
      </c>
      <c r="K44" s="265">
        <v>42695</v>
      </c>
      <c r="L44" s="266">
        <v>42705</v>
      </c>
      <c r="M44" s="263">
        <v>42876</v>
      </c>
      <c r="N44" s="266">
        <v>42889</v>
      </c>
      <c r="O44" s="265">
        <v>43060</v>
      </c>
      <c r="P44" s="267">
        <v>43085</v>
      </c>
      <c r="Q44" s="263">
        <v>43241</v>
      </c>
      <c r="R44" s="266">
        <v>43269</v>
      </c>
      <c r="S44" s="265">
        <v>43425</v>
      </c>
      <c r="T44" s="267">
        <v>43443</v>
      </c>
      <c r="U44" s="268">
        <v>43601</v>
      </c>
      <c r="V44" s="269">
        <v>43574</v>
      </c>
      <c r="W44" s="268">
        <v>43754</v>
      </c>
      <c r="X44" s="269">
        <v>43775</v>
      </c>
      <c r="Y44" s="270">
        <v>43934</v>
      </c>
      <c r="Z44" s="271">
        <v>43962</v>
      </c>
      <c r="AA44" s="270">
        <v>44114</v>
      </c>
      <c r="AB44" s="271">
        <v>44163</v>
      </c>
      <c r="AC44" s="270">
        <v>44309</v>
      </c>
      <c r="AD44" s="271">
        <v>44344</v>
      </c>
      <c r="AE44" s="270">
        <v>44484</v>
      </c>
      <c r="AF44" s="271">
        <v>44727</v>
      </c>
      <c r="AG44" s="270">
        <v>44666</v>
      </c>
      <c r="AH44" s="271">
        <v>44727</v>
      </c>
      <c r="AI44" s="270">
        <v>44849</v>
      </c>
      <c r="AJ44" s="271">
        <v>44934</v>
      </c>
      <c r="AK44" s="272">
        <f t="shared" si="0"/>
        <v>85</v>
      </c>
      <c r="AL44" s="273">
        <v>45029</v>
      </c>
      <c r="AM44" s="273">
        <v>45079</v>
      </c>
      <c r="AN44" s="274">
        <f t="shared" si="1"/>
        <v>50</v>
      </c>
      <c r="AO44" s="275">
        <v>45287</v>
      </c>
      <c r="AP44" s="275">
        <v>45288</v>
      </c>
      <c r="AQ44" s="276">
        <v>45289</v>
      </c>
      <c r="AR44" s="227">
        <v>45288</v>
      </c>
      <c r="AS44" s="251">
        <f t="shared" si="4"/>
        <v>0</v>
      </c>
      <c r="AT44" s="229"/>
      <c r="AU44" s="230">
        <v>45400</v>
      </c>
      <c r="AV44" s="246">
        <v>45405</v>
      </c>
      <c r="AW44" s="232">
        <v>5</v>
      </c>
      <c r="AX44" s="277">
        <v>45689</v>
      </c>
      <c r="AY44" s="278">
        <v>45690</v>
      </c>
      <c r="AZ44" s="278">
        <v>45703</v>
      </c>
      <c r="BA44" s="278">
        <v>45705</v>
      </c>
      <c r="BB44" s="279">
        <v>15</v>
      </c>
      <c r="BC44" s="280" t="s">
        <v>1113</v>
      </c>
      <c r="BD44" s="300" t="s">
        <v>1152</v>
      </c>
      <c r="BE44" s="296">
        <v>45814</v>
      </c>
      <c r="BF44" s="286">
        <v>45811</v>
      </c>
      <c r="BG44" s="311">
        <f t="shared" si="2"/>
        <v>-3</v>
      </c>
      <c r="BH44" s="312">
        <f t="shared" si="5"/>
        <v>100</v>
      </c>
      <c r="BI44" s="313"/>
    </row>
    <row r="47" spans="1:61" ht="27" customHeight="1"/>
  </sheetData>
  <mergeCells count="1">
    <mergeCell ref="A1:AV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88"/>
  <sheetViews>
    <sheetView workbookViewId="0">
      <pane xSplit="2" ySplit="2" topLeftCell="C175" activePane="bottomRight" state="frozen"/>
      <selection pane="topRight" activeCell="C1" sqref="C1"/>
      <selection pane="bottomLeft" activeCell="A3" sqref="A3"/>
      <selection pane="bottomRight" activeCell="A188" sqref="A188"/>
    </sheetView>
  </sheetViews>
  <sheetFormatPr defaultRowHeight="15"/>
  <cols>
    <col min="1" max="1" width="16.7109375" style="1" customWidth="1"/>
    <col min="2" max="3" width="16.7109375" customWidth="1"/>
    <col min="4" max="6" width="42.85546875" customWidth="1"/>
    <col min="7" max="7" width="16.7109375" customWidth="1"/>
  </cols>
  <sheetData>
    <row r="2" spans="1:7" s="105" customFormat="1">
      <c r="A2" s="105" t="s">
        <v>7</v>
      </c>
      <c r="B2" s="105" t="s">
        <v>73</v>
      </c>
      <c r="C2" s="105" t="s">
        <v>651</v>
      </c>
      <c r="D2" s="105" t="s">
        <v>652</v>
      </c>
      <c r="E2" s="105" t="s">
        <v>653</v>
      </c>
      <c r="F2" s="105" t="s">
        <v>654</v>
      </c>
      <c r="G2" s="105" t="s">
        <v>655</v>
      </c>
    </row>
    <row r="3" spans="1:7">
      <c r="A3" s="1">
        <v>1</v>
      </c>
      <c r="B3" s="106">
        <v>45745</v>
      </c>
      <c r="C3" t="s">
        <v>149</v>
      </c>
      <c r="D3" t="s">
        <v>670</v>
      </c>
      <c r="E3">
        <v>4</v>
      </c>
      <c r="F3" t="s">
        <v>659</v>
      </c>
    </row>
    <row r="4" spans="1:7">
      <c r="A4" s="1">
        <f t="shared" ref="A4:A36" si="0">A3+1</f>
        <v>2</v>
      </c>
      <c r="B4" s="106">
        <v>45745</v>
      </c>
      <c r="C4" t="s">
        <v>149</v>
      </c>
      <c r="D4" t="s">
        <v>672</v>
      </c>
      <c r="E4">
        <v>2</v>
      </c>
      <c r="F4" t="s">
        <v>659</v>
      </c>
    </row>
    <row r="5" spans="1:7">
      <c r="A5" s="1">
        <f t="shared" si="0"/>
        <v>3</v>
      </c>
      <c r="B5" s="106">
        <v>45746</v>
      </c>
      <c r="C5" t="s">
        <v>148</v>
      </c>
      <c r="D5" t="s">
        <v>673</v>
      </c>
      <c r="E5">
        <v>1</v>
      </c>
      <c r="F5" t="s">
        <v>659</v>
      </c>
    </row>
    <row r="6" spans="1:7">
      <c r="A6" s="1">
        <f t="shared" si="0"/>
        <v>4</v>
      </c>
      <c r="B6" s="106">
        <v>45746</v>
      </c>
      <c r="C6" t="s">
        <v>148</v>
      </c>
      <c r="D6" t="s">
        <v>674</v>
      </c>
      <c r="E6">
        <v>1</v>
      </c>
      <c r="F6" t="s">
        <v>659</v>
      </c>
    </row>
    <row r="7" spans="1:7">
      <c r="A7" s="1">
        <f t="shared" si="0"/>
        <v>5</v>
      </c>
      <c r="B7" s="106">
        <v>45746</v>
      </c>
      <c r="C7" t="s">
        <v>148</v>
      </c>
      <c r="D7" t="s">
        <v>675</v>
      </c>
      <c r="E7">
        <v>1</v>
      </c>
      <c r="F7" t="s">
        <v>659</v>
      </c>
    </row>
    <row r="8" spans="1:7">
      <c r="A8" s="1">
        <f t="shared" si="0"/>
        <v>6</v>
      </c>
      <c r="B8" s="106">
        <v>45746</v>
      </c>
      <c r="C8" t="s">
        <v>115</v>
      </c>
      <c r="D8" t="s">
        <v>673</v>
      </c>
      <c r="E8">
        <v>1</v>
      </c>
      <c r="F8" t="s">
        <v>659</v>
      </c>
    </row>
    <row r="9" spans="1:7">
      <c r="A9" s="1">
        <f t="shared" si="0"/>
        <v>7</v>
      </c>
      <c r="B9" s="106">
        <v>45748</v>
      </c>
      <c r="C9" t="s">
        <v>115</v>
      </c>
      <c r="D9" t="s">
        <v>676</v>
      </c>
      <c r="E9">
        <v>1</v>
      </c>
      <c r="F9" t="s">
        <v>659</v>
      </c>
    </row>
    <row r="10" spans="1:7">
      <c r="A10" s="1">
        <f t="shared" si="0"/>
        <v>8</v>
      </c>
      <c r="B10" s="106">
        <v>45748</v>
      </c>
      <c r="C10" t="s">
        <v>151</v>
      </c>
      <c r="D10" t="s">
        <v>656</v>
      </c>
      <c r="E10">
        <v>5</v>
      </c>
      <c r="F10" t="s">
        <v>657</v>
      </c>
    </row>
    <row r="11" spans="1:7">
      <c r="A11" s="1">
        <f t="shared" si="0"/>
        <v>9</v>
      </c>
      <c r="B11" s="106">
        <v>45748</v>
      </c>
      <c r="C11" t="s">
        <v>149</v>
      </c>
      <c r="D11" t="s">
        <v>677</v>
      </c>
      <c r="E11">
        <v>1</v>
      </c>
      <c r="F11" t="s">
        <v>659</v>
      </c>
    </row>
    <row r="12" spans="1:7">
      <c r="A12" s="1">
        <f t="shared" si="0"/>
        <v>10</v>
      </c>
      <c r="B12" s="106">
        <v>45748</v>
      </c>
      <c r="C12" t="s">
        <v>143</v>
      </c>
      <c r="D12" t="s">
        <v>678</v>
      </c>
      <c r="E12">
        <v>1</v>
      </c>
      <c r="F12" t="s">
        <v>659</v>
      </c>
    </row>
    <row r="13" spans="1:7">
      <c r="A13" s="1">
        <f t="shared" si="0"/>
        <v>11</v>
      </c>
      <c r="B13" s="106">
        <v>45750</v>
      </c>
      <c r="C13" t="s">
        <v>145</v>
      </c>
      <c r="D13" t="s">
        <v>679</v>
      </c>
      <c r="E13">
        <v>1</v>
      </c>
      <c r="F13" t="s">
        <v>659</v>
      </c>
    </row>
    <row r="14" spans="1:7">
      <c r="A14" s="1">
        <f t="shared" si="0"/>
        <v>12</v>
      </c>
      <c r="B14" s="106">
        <v>45750</v>
      </c>
      <c r="C14" t="s">
        <v>146</v>
      </c>
      <c r="D14" t="s">
        <v>680</v>
      </c>
      <c r="E14">
        <v>1</v>
      </c>
      <c r="F14" t="s">
        <v>659</v>
      </c>
    </row>
    <row r="15" spans="1:7">
      <c r="A15" s="1">
        <f t="shared" si="0"/>
        <v>13</v>
      </c>
      <c r="B15" s="106">
        <v>45751</v>
      </c>
      <c r="C15" t="s">
        <v>122</v>
      </c>
      <c r="D15" t="s">
        <v>663</v>
      </c>
      <c r="E15">
        <v>1</v>
      </c>
      <c r="F15" t="s">
        <v>659</v>
      </c>
    </row>
    <row r="16" spans="1:7">
      <c r="A16" s="1">
        <f t="shared" si="0"/>
        <v>14</v>
      </c>
      <c r="B16" s="106">
        <v>45754</v>
      </c>
      <c r="C16" t="s">
        <v>146</v>
      </c>
      <c r="D16" t="s">
        <v>660</v>
      </c>
      <c r="E16">
        <v>1</v>
      </c>
      <c r="F16" t="s">
        <v>658</v>
      </c>
    </row>
    <row r="17" spans="1:6">
      <c r="A17" s="1">
        <f t="shared" si="0"/>
        <v>15</v>
      </c>
      <c r="B17" s="106">
        <v>45754</v>
      </c>
      <c r="C17" t="s">
        <v>146</v>
      </c>
      <c r="D17" t="s">
        <v>666</v>
      </c>
      <c r="E17">
        <v>15</v>
      </c>
      <c r="F17" t="s">
        <v>657</v>
      </c>
    </row>
    <row r="18" spans="1:6">
      <c r="A18" s="1">
        <f t="shared" si="0"/>
        <v>16</v>
      </c>
      <c r="B18" s="106">
        <v>45756</v>
      </c>
      <c r="C18" t="s">
        <v>123</v>
      </c>
      <c r="D18" t="s">
        <v>668</v>
      </c>
      <c r="E18">
        <v>1</v>
      </c>
      <c r="F18" t="s">
        <v>659</v>
      </c>
    </row>
    <row r="19" spans="1:6">
      <c r="A19" s="1">
        <f t="shared" si="0"/>
        <v>17</v>
      </c>
      <c r="B19" s="106">
        <v>45756</v>
      </c>
      <c r="C19" t="s">
        <v>123</v>
      </c>
      <c r="D19" t="s">
        <v>681</v>
      </c>
      <c r="E19">
        <v>1</v>
      </c>
      <c r="F19" t="s">
        <v>659</v>
      </c>
    </row>
    <row r="20" spans="1:6">
      <c r="A20" s="1">
        <f t="shared" si="0"/>
        <v>18</v>
      </c>
      <c r="B20" s="106">
        <v>45756</v>
      </c>
      <c r="C20" t="s">
        <v>118</v>
      </c>
      <c r="D20" t="s">
        <v>662</v>
      </c>
      <c r="E20">
        <v>1</v>
      </c>
      <c r="F20" t="s">
        <v>659</v>
      </c>
    </row>
    <row r="21" spans="1:6">
      <c r="A21" s="1">
        <f t="shared" si="0"/>
        <v>19</v>
      </c>
      <c r="B21" s="106">
        <v>45757</v>
      </c>
      <c r="C21" t="s">
        <v>128</v>
      </c>
      <c r="D21" t="s">
        <v>660</v>
      </c>
      <c r="E21">
        <v>1</v>
      </c>
      <c r="F21" t="s">
        <v>658</v>
      </c>
    </row>
    <row r="22" spans="1:6">
      <c r="A22" s="1">
        <f t="shared" si="0"/>
        <v>20</v>
      </c>
      <c r="B22" s="106">
        <v>45757</v>
      </c>
      <c r="C22" t="s">
        <v>117</v>
      </c>
      <c r="D22" t="s">
        <v>671</v>
      </c>
      <c r="E22">
        <v>1</v>
      </c>
      <c r="F22" t="s">
        <v>659</v>
      </c>
    </row>
    <row r="23" spans="1:6">
      <c r="A23" s="1">
        <f t="shared" si="0"/>
        <v>21</v>
      </c>
      <c r="B23" s="106">
        <v>45758</v>
      </c>
      <c r="C23" t="s">
        <v>132</v>
      </c>
      <c r="D23" t="s">
        <v>682</v>
      </c>
      <c r="E23">
        <v>1</v>
      </c>
      <c r="F23" t="s">
        <v>658</v>
      </c>
    </row>
    <row r="24" spans="1:6">
      <c r="A24" s="1">
        <f t="shared" si="0"/>
        <v>22</v>
      </c>
      <c r="B24" s="106">
        <v>45760</v>
      </c>
      <c r="C24" t="s">
        <v>139</v>
      </c>
      <c r="D24" t="s">
        <v>671</v>
      </c>
      <c r="E24">
        <v>1</v>
      </c>
      <c r="F24" t="s">
        <v>659</v>
      </c>
    </row>
    <row r="25" spans="1:6">
      <c r="A25" s="1">
        <f t="shared" si="0"/>
        <v>23</v>
      </c>
      <c r="B25" s="106">
        <v>45762</v>
      </c>
      <c r="C25" t="s">
        <v>152</v>
      </c>
      <c r="D25" t="s">
        <v>660</v>
      </c>
      <c r="E25">
        <v>1</v>
      </c>
      <c r="F25" t="s">
        <v>658</v>
      </c>
    </row>
    <row r="26" spans="1:6">
      <c r="A26" s="1">
        <f t="shared" si="0"/>
        <v>24</v>
      </c>
      <c r="B26" s="106">
        <v>45762</v>
      </c>
      <c r="C26" t="s">
        <v>152</v>
      </c>
      <c r="D26" t="s">
        <v>683</v>
      </c>
      <c r="E26">
        <v>1</v>
      </c>
      <c r="F26" t="s">
        <v>659</v>
      </c>
    </row>
    <row r="27" spans="1:6">
      <c r="A27" s="1">
        <f t="shared" si="0"/>
        <v>25</v>
      </c>
      <c r="B27" s="106">
        <v>45762</v>
      </c>
      <c r="C27" t="s">
        <v>152</v>
      </c>
      <c r="D27" t="s">
        <v>665</v>
      </c>
      <c r="E27">
        <v>1</v>
      </c>
      <c r="F27" t="s">
        <v>659</v>
      </c>
    </row>
    <row r="28" spans="1:6">
      <c r="A28" s="1">
        <f t="shared" si="0"/>
        <v>26</v>
      </c>
      <c r="B28" s="106">
        <v>45764</v>
      </c>
      <c r="C28" t="s">
        <v>129</v>
      </c>
      <c r="D28" t="s">
        <v>667</v>
      </c>
      <c r="E28">
        <v>1</v>
      </c>
      <c r="F28" t="s">
        <v>659</v>
      </c>
    </row>
    <row r="29" spans="1:6">
      <c r="A29" s="1">
        <f t="shared" si="0"/>
        <v>27</v>
      </c>
      <c r="B29" s="106">
        <v>45766</v>
      </c>
      <c r="C29" t="s">
        <v>137</v>
      </c>
      <c r="D29" t="s">
        <v>683</v>
      </c>
      <c r="E29">
        <v>1</v>
      </c>
      <c r="F29" t="s">
        <v>659</v>
      </c>
    </row>
    <row r="30" spans="1:6">
      <c r="A30" s="1">
        <f t="shared" si="0"/>
        <v>28</v>
      </c>
      <c r="B30" s="106">
        <v>45766</v>
      </c>
      <c r="C30" t="s">
        <v>137</v>
      </c>
      <c r="D30" t="s">
        <v>660</v>
      </c>
      <c r="E30">
        <v>1</v>
      </c>
      <c r="F30" t="s">
        <v>659</v>
      </c>
    </row>
    <row r="31" spans="1:6">
      <c r="A31" s="1">
        <f t="shared" si="0"/>
        <v>29</v>
      </c>
      <c r="B31" s="106">
        <v>45766</v>
      </c>
      <c r="C31" t="s">
        <v>137</v>
      </c>
      <c r="D31" t="s">
        <v>664</v>
      </c>
      <c r="E31">
        <v>10</v>
      </c>
      <c r="F31" t="s">
        <v>657</v>
      </c>
    </row>
    <row r="32" spans="1:6">
      <c r="A32" s="1">
        <f t="shared" si="0"/>
        <v>30</v>
      </c>
      <c r="B32" s="106">
        <v>45768</v>
      </c>
      <c r="C32" t="s">
        <v>130</v>
      </c>
      <c r="D32" t="s">
        <v>684</v>
      </c>
      <c r="E32">
        <v>3</v>
      </c>
      <c r="F32" t="s">
        <v>659</v>
      </c>
    </row>
    <row r="33" spans="1:6">
      <c r="A33" s="1">
        <f t="shared" si="0"/>
        <v>31</v>
      </c>
      <c r="B33" s="106">
        <v>45768</v>
      </c>
      <c r="C33" t="s">
        <v>130</v>
      </c>
      <c r="D33" t="s">
        <v>685</v>
      </c>
      <c r="E33">
        <v>7</v>
      </c>
      <c r="F33" t="s">
        <v>659</v>
      </c>
    </row>
    <row r="34" spans="1:6">
      <c r="A34" s="1">
        <f t="shared" si="0"/>
        <v>32</v>
      </c>
      <c r="B34" s="106">
        <v>45769</v>
      </c>
      <c r="C34" t="s">
        <v>145</v>
      </c>
      <c r="D34" t="s">
        <v>686</v>
      </c>
      <c r="E34">
        <v>3</v>
      </c>
      <c r="F34" t="s">
        <v>659</v>
      </c>
    </row>
    <row r="35" spans="1:6">
      <c r="A35" s="1">
        <f t="shared" si="0"/>
        <v>33</v>
      </c>
      <c r="B35" s="106">
        <v>45769</v>
      </c>
      <c r="C35" t="s">
        <v>127</v>
      </c>
      <c r="D35" t="s">
        <v>668</v>
      </c>
      <c r="E35">
        <v>1</v>
      </c>
      <c r="F35" t="s">
        <v>659</v>
      </c>
    </row>
    <row r="36" spans="1:6">
      <c r="A36" s="1">
        <f t="shared" si="0"/>
        <v>34</v>
      </c>
      <c r="B36" s="106">
        <v>45770</v>
      </c>
      <c r="C36" t="s">
        <v>138</v>
      </c>
      <c r="D36" t="s">
        <v>686</v>
      </c>
      <c r="E36">
        <v>3</v>
      </c>
      <c r="F36" t="s">
        <v>659</v>
      </c>
    </row>
    <row r="37" spans="1:6">
      <c r="A37" s="1">
        <f t="shared" ref="A37:A100" si="1">A36+1</f>
        <v>35</v>
      </c>
      <c r="B37" s="106">
        <v>45771</v>
      </c>
      <c r="C37" t="s">
        <v>139</v>
      </c>
      <c r="D37" t="s">
        <v>686</v>
      </c>
      <c r="E37">
        <v>3</v>
      </c>
      <c r="F37" t="s">
        <v>659</v>
      </c>
    </row>
    <row r="38" spans="1:6">
      <c r="A38" s="1">
        <f t="shared" si="1"/>
        <v>36</v>
      </c>
      <c r="B38" s="106">
        <v>45771</v>
      </c>
      <c r="C38" t="s">
        <v>153</v>
      </c>
      <c r="D38" t="s">
        <v>686</v>
      </c>
      <c r="E38">
        <v>5</v>
      </c>
      <c r="F38" t="s">
        <v>659</v>
      </c>
    </row>
    <row r="39" spans="1:6">
      <c r="A39" s="1">
        <f t="shared" si="1"/>
        <v>37</v>
      </c>
      <c r="B39" s="106">
        <v>45772</v>
      </c>
      <c r="C39" t="s">
        <v>133</v>
      </c>
      <c r="D39" t="s">
        <v>669</v>
      </c>
      <c r="E39">
        <v>1</v>
      </c>
      <c r="F39" t="s">
        <v>659</v>
      </c>
    </row>
    <row r="40" spans="1:6">
      <c r="A40" s="1">
        <f t="shared" si="1"/>
        <v>38</v>
      </c>
      <c r="B40" s="106">
        <v>45772</v>
      </c>
      <c r="C40" t="s">
        <v>126</v>
      </c>
      <c r="D40" t="s">
        <v>687</v>
      </c>
      <c r="E40">
        <v>1</v>
      </c>
      <c r="F40" t="s">
        <v>659</v>
      </c>
    </row>
    <row r="41" spans="1:6">
      <c r="A41" s="1">
        <f t="shared" si="1"/>
        <v>39</v>
      </c>
      <c r="B41" s="106">
        <v>45772</v>
      </c>
      <c r="C41" t="s">
        <v>152</v>
      </c>
      <c r="D41" t="s">
        <v>660</v>
      </c>
      <c r="E41">
        <v>1</v>
      </c>
      <c r="F41" t="s">
        <v>659</v>
      </c>
    </row>
    <row r="42" spans="1:6">
      <c r="A42" s="1">
        <f t="shared" si="1"/>
        <v>40</v>
      </c>
      <c r="B42" s="106">
        <v>45773</v>
      </c>
      <c r="C42" t="s">
        <v>120</v>
      </c>
      <c r="D42" t="s">
        <v>686</v>
      </c>
      <c r="E42">
        <v>3</v>
      </c>
      <c r="F42" t="s">
        <v>659</v>
      </c>
    </row>
    <row r="43" spans="1:6">
      <c r="A43" s="1">
        <f t="shared" si="1"/>
        <v>41</v>
      </c>
      <c r="B43" s="106">
        <v>45775</v>
      </c>
      <c r="C43" t="s">
        <v>134</v>
      </c>
      <c r="D43" t="s">
        <v>688</v>
      </c>
      <c r="E43">
        <v>1</v>
      </c>
      <c r="F43" t="s">
        <v>659</v>
      </c>
    </row>
    <row r="44" spans="1:6">
      <c r="A44" s="1">
        <f t="shared" si="1"/>
        <v>42</v>
      </c>
      <c r="B44" s="106">
        <v>45776</v>
      </c>
      <c r="C44" t="s">
        <v>121</v>
      </c>
      <c r="D44" t="s">
        <v>689</v>
      </c>
      <c r="E44">
        <v>1</v>
      </c>
      <c r="F44" t="s">
        <v>659</v>
      </c>
    </row>
    <row r="45" spans="1:6">
      <c r="A45" s="1">
        <f t="shared" si="1"/>
        <v>43</v>
      </c>
      <c r="B45" s="106">
        <v>45776</v>
      </c>
      <c r="C45" t="s">
        <v>136</v>
      </c>
      <c r="D45" t="s">
        <v>690</v>
      </c>
      <c r="E45">
        <v>1</v>
      </c>
      <c r="F45" t="s">
        <v>659</v>
      </c>
    </row>
    <row r="46" spans="1:6">
      <c r="A46" s="1">
        <f t="shared" si="1"/>
        <v>44</v>
      </c>
      <c r="B46" s="106">
        <v>45776</v>
      </c>
      <c r="C46" t="s">
        <v>136</v>
      </c>
      <c r="D46" t="s">
        <v>671</v>
      </c>
      <c r="E46">
        <v>1</v>
      </c>
      <c r="F46" t="s">
        <v>659</v>
      </c>
    </row>
    <row r="47" spans="1:6">
      <c r="A47" s="1">
        <f t="shared" si="1"/>
        <v>45</v>
      </c>
      <c r="B47" s="106">
        <v>45776</v>
      </c>
      <c r="C47" t="s">
        <v>118</v>
      </c>
      <c r="D47" t="s">
        <v>691</v>
      </c>
      <c r="E47">
        <v>2</v>
      </c>
      <c r="F47" t="s">
        <v>659</v>
      </c>
    </row>
    <row r="48" spans="1:6">
      <c r="A48" s="1">
        <f t="shared" si="1"/>
        <v>46</v>
      </c>
      <c r="B48" s="106">
        <v>45776</v>
      </c>
      <c r="C48" t="s">
        <v>118</v>
      </c>
      <c r="D48" t="s">
        <v>692</v>
      </c>
      <c r="E48">
        <v>2</v>
      </c>
      <c r="F48" t="s">
        <v>659</v>
      </c>
    </row>
    <row r="49" spans="1:6">
      <c r="A49" s="1">
        <f t="shared" si="1"/>
        <v>47</v>
      </c>
      <c r="B49" s="106">
        <v>45777</v>
      </c>
      <c r="C49" t="s">
        <v>121</v>
      </c>
      <c r="D49" t="s">
        <v>660</v>
      </c>
      <c r="E49">
        <v>1</v>
      </c>
      <c r="F49" t="s">
        <v>658</v>
      </c>
    </row>
    <row r="50" spans="1:6">
      <c r="A50" s="1">
        <f t="shared" si="1"/>
        <v>48</v>
      </c>
      <c r="B50" s="106">
        <v>45777</v>
      </c>
      <c r="C50" t="s">
        <v>136</v>
      </c>
      <c r="D50" t="s">
        <v>693</v>
      </c>
      <c r="E50">
        <v>1</v>
      </c>
      <c r="F50" t="s">
        <v>659</v>
      </c>
    </row>
    <row r="51" spans="1:6">
      <c r="A51" s="1">
        <f t="shared" si="1"/>
        <v>49</v>
      </c>
      <c r="B51" s="106">
        <v>45777</v>
      </c>
      <c r="C51" t="s">
        <v>136</v>
      </c>
      <c r="D51" t="s">
        <v>694</v>
      </c>
      <c r="E51">
        <v>1</v>
      </c>
      <c r="F51" t="s">
        <v>659</v>
      </c>
    </row>
    <row r="52" spans="1:6">
      <c r="A52" s="1">
        <f t="shared" si="1"/>
        <v>50</v>
      </c>
      <c r="B52" s="106">
        <v>45779</v>
      </c>
      <c r="C52" t="s">
        <v>121</v>
      </c>
      <c r="D52" t="s">
        <v>660</v>
      </c>
      <c r="E52">
        <v>1</v>
      </c>
      <c r="F52" t="s">
        <v>658</v>
      </c>
    </row>
    <row r="53" spans="1:6">
      <c r="A53" s="1">
        <f t="shared" si="1"/>
        <v>51</v>
      </c>
      <c r="B53" s="106">
        <v>45779</v>
      </c>
      <c r="C53" t="s">
        <v>121</v>
      </c>
      <c r="D53" t="s">
        <v>664</v>
      </c>
      <c r="E53">
        <v>15</v>
      </c>
      <c r="F53" t="s">
        <v>657</v>
      </c>
    </row>
    <row r="54" spans="1:6">
      <c r="A54" s="1">
        <f t="shared" si="1"/>
        <v>52</v>
      </c>
      <c r="B54" s="106">
        <v>45779</v>
      </c>
      <c r="C54" t="s">
        <v>132</v>
      </c>
      <c r="D54" t="s">
        <v>684</v>
      </c>
      <c r="E54">
        <v>3</v>
      </c>
      <c r="F54" t="s">
        <v>659</v>
      </c>
    </row>
    <row r="55" spans="1:6">
      <c r="A55" s="1">
        <f t="shared" si="1"/>
        <v>53</v>
      </c>
      <c r="B55" s="106">
        <v>45779</v>
      </c>
      <c r="C55" t="s">
        <v>132</v>
      </c>
      <c r="D55" t="s">
        <v>685</v>
      </c>
      <c r="E55">
        <v>8</v>
      </c>
      <c r="F55" t="s">
        <v>659</v>
      </c>
    </row>
    <row r="56" spans="1:6">
      <c r="A56" s="1">
        <f t="shared" si="1"/>
        <v>54</v>
      </c>
      <c r="B56" s="106">
        <v>45780</v>
      </c>
      <c r="C56" t="s">
        <v>133</v>
      </c>
      <c r="D56" t="s">
        <v>660</v>
      </c>
      <c r="E56">
        <v>1</v>
      </c>
      <c r="F56" t="s">
        <v>658</v>
      </c>
    </row>
    <row r="57" spans="1:6">
      <c r="A57" s="1">
        <f t="shared" si="1"/>
        <v>55</v>
      </c>
      <c r="B57" s="106">
        <v>45782</v>
      </c>
      <c r="C57" t="s">
        <v>115</v>
      </c>
      <c r="D57" t="s">
        <v>695</v>
      </c>
      <c r="E57">
        <v>2</v>
      </c>
      <c r="F57" t="s">
        <v>658</v>
      </c>
    </row>
    <row r="58" spans="1:6">
      <c r="A58" s="1">
        <f t="shared" si="1"/>
        <v>56</v>
      </c>
      <c r="B58" s="106">
        <v>45783</v>
      </c>
      <c r="C58" t="s">
        <v>139</v>
      </c>
      <c r="D58" t="s">
        <v>696</v>
      </c>
      <c r="E58">
        <v>1</v>
      </c>
      <c r="F58" t="s">
        <v>659</v>
      </c>
    </row>
    <row r="59" spans="1:6">
      <c r="A59" s="1">
        <f t="shared" si="1"/>
        <v>57</v>
      </c>
      <c r="B59" s="106">
        <v>45783</v>
      </c>
      <c r="C59" t="s">
        <v>139</v>
      </c>
      <c r="D59" t="s">
        <v>664</v>
      </c>
      <c r="E59">
        <v>22</v>
      </c>
      <c r="F59" t="s">
        <v>657</v>
      </c>
    </row>
    <row r="60" spans="1:6">
      <c r="A60" s="1">
        <f t="shared" si="1"/>
        <v>58</v>
      </c>
      <c r="B60" s="106">
        <v>45785</v>
      </c>
      <c r="C60" t="s">
        <v>136</v>
      </c>
      <c r="D60" t="s">
        <v>697</v>
      </c>
      <c r="E60">
        <v>1</v>
      </c>
      <c r="F60" t="s">
        <v>659</v>
      </c>
    </row>
    <row r="61" spans="1:6">
      <c r="A61" s="1">
        <f t="shared" si="1"/>
        <v>59</v>
      </c>
      <c r="B61" s="106">
        <v>45785</v>
      </c>
      <c r="C61" t="s">
        <v>136</v>
      </c>
      <c r="D61" t="s">
        <v>698</v>
      </c>
      <c r="E61">
        <v>1</v>
      </c>
      <c r="F61" t="s">
        <v>659</v>
      </c>
    </row>
    <row r="62" spans="1:6">
      <c r="A62" s="1">
        <f t="shared" si="1"/>
        <v>60</v>
      </c>
      <c r="B62" s="106">
        <v>45785</v>
      </c>
      <c r="C62" t="s">
        <v>150</v>
      </c>
      <c r="D62" t="s">
        <v>660</v>
      </c>
      <c r="E62">
        <v>1</v>
      </c>
      <c r="F62" t="s">
        <v>659</v>
      </c>
    </row>
    <row r="63" spans="1:6">
      <c r="A63" s="1">
        <f t="shared" si="1"/>
        <v>61</v>
      </c>
      <c r="B63" s="106">
        <v>45786</v>
      </c>
      <c r="C63" t="s">
        <v>150</v>
      </c>
      <c r="D63" t="s">
        <v>699</v>
      </c>
      <c r="E63">
        <v>1</v>
      </c>
      <c r="F63" t="s">
        <v>659</v>
      </c>
    </row>
    <row r="64" spans="1:6">
      <c r="A64" s="1">
        <f t="shared" si="1"/>
        <v>62</v>
      </c>
      <c r="B64" s="106">
        <v>45786</v>
      </c>
      <c r="C64" t="s">
        <v>150</v>
      </c>
      <c r="D64" t="s">
        <v>700</v>
      </c>
      <c r="E64">
        <v>1</v>
      </c>
      <c r="F64" t="s">
        <v>659</v>
      </c>
    </row>
    <row r="65" spans="1:6">
      <c r="A65" s="1">
        <f t="shared" si="1"/>
        <v>63</v>
      </c>
      <c r="B65" s="106">
        <v>45787</v>
      </c>
      <c r="C65" t="s">
        <v>118</v>
      </c>
      <c r="D65" t="s">
        <v>701</v>
      </c>
      <c r="E65">
        <v>1</v>
      </c>
      <c r="F65" t="s">
        <v>659</v>
      </c>
    </row>
    <row r="66" spans="1:6">
      <c r="A66" s="1">
        <f t="shared" si="1"/>
        <v>64</v>
      </c>
      <c r="B66" s="106">
        <v>45787</v>
      </c>
      <c r="C66" t="s">
        <v>118</v>
      </c>
      <c r="D66" t="s">
        <v>702</v>
      </c>
      <c r="E66">
        <v>1</v>
      </c>
      <c r="F66" t="s">
        <v>659</v>
      </c>
    </row>
    <row r="67" spans="1:6">
      <c r="A67" s="1">
        <f t="shared" si="1"/>
        <v>65</v>
      </c>
      <c r="B67" s="106">
        <v>45787</v>
      </c>
      <c r="C67" t="s">
        <v>123</v>
      </c>
      <c r="D67" t="s">
        <v>703</v>
      </c>
      <c r="E67">
        <v>1</v>
      </c>
      <c r="F67" t="s">
        <v>659</v>
      </c>
    </row>
    <row r="68" spans="1:6">
      <c r="A68" s="1">
        <f t="shared" si="1"/>
        <v>66</v>
      </c>
      <c r="B68" s="106">
        <v>45788</v>
      </c>
      <c r="C68" t="s">
        <v>137</v>
      </c>
      <c r="D68" t="s">
        <v>1004</v>
      </c>
      <c r="E68">
        <v>1</v>
      </c>
      <c r="F68" t="s">
        <v>659</v>
      </c>
    </row>
    <row r="69" spans="1:6">
      <c r="A69" s="1">
        <f t="shared" si="1"/>
        <v>67</v>
      </c>
      <c r="B69" s="106">
        <v>45788</v>
      </c>
      <c r="C69" t="s">
        <v>137</v>
      </c>
      <c r="D69" t="s">
        <v>704</v>
      </c>
      <c r="E69">
        <v>1</v>
      </c>
      <c r="F69" t="s">
        <v>659</v>
      </c>
    </row>
    <row r="70" spans="1:6">
      <c r="A70" s="1">
        <f t="shared" si="1"/>
        <v>68</v>
      </c>
      <c r="B70" s="106">
        <v>45788</v>
      </c>
      <c r="C70" t="s">
        <v>135</v>
      </c>
      <c r="D70" t="s">
        <v>705</v>
      </c>
      <c r="E70">
        <v>1</v>
      </c>
      <c r="F70" t="s">
        <v>659</v>
      </c>
    </row>
    <row r="71" spans="1:6">
      <c r="A71" s="1">
        <f t="shared" si="1"/>
        <v>69</v>
      </c>
      <c r="B71" s="106">
        <v>45789</v>
      </c>
      <c r="C71" t="s">
        <v>137</v>
      </c>
      <c r="D71" t="s">
        <v>704</v>
      </c>
      <c r="E71">
        <v>1</v>
      </c>
      <c r="F71" t="s">
        <v>659</v>
      </c>
    </row>
    <row r="72" spans="1:6">
      <c r="A72" s="1">
        <f t="shared" si="1"/>
        <v>70</v>
      </c>
      <c r="B72" s="106">
        <v>45789</v>
      </c>
      <c r="C72" t="s">
        <v>118</v>
      </c>
      <c r="D72" t="s">
        <v>706</v>
      </c>
      <c r="E72">
        <v>1</v>
      </c>
      <c r="F72" t="s">
        <v>659</v>
      </c>
    </row>
    <row r="73" spans="1:6">
      <c r="A73" s="1">
        <f t="shared" si="1"/>
        <v>71</v>
      </c>
      <c r="B73" s="106">
        <v>45791</v>
      </c>
      <c r="C73" t="s">
        <v>128</v>
      </c>
      <c r="D73" t="s">
        <v>707</v>
      </c>
      <c r="E73">
        <v>3</v>
      </c>
      <c r="F73" t="s">
        <v>659</v>
      </c>
    </row>
    <row r="74" spans="1:6">
      <c r="A74" s="1">
        <f t="shared" si="1"/>
        <v>72</v>
      </c>
      <c r="B74" s="106">
        <v>45791</v>
      </c>
      <c r="C74" t="s">
        <v>128</v>
      </c>
      <c r="D74" t="s">
        <v>661</v>
      </c>
      <c r="E74">
        <v>3</v>
      </c>
      <c r="F74" t="s">
        <v>659</v>
      </c>
    </row>
    <row r="75" spans="1:6">
      <c r="A75" s="1">
        <f t="shared" si="1"/>
        <v>73</v>
      </c>
      <c r="B75" s="106">
        <v>45791</v>
      </c>
      <c r="C75" t="s">
        <v>128</v>
      </c>
      <c r="D75" t="s">
        <v>708</v>
      </c>
      <c r="E75">
        <v>2</v>
      </c>
      <c r="F75" t="s">
        <v>659</v>
      </c>
    </row>
    <row r="76" spans="1:6">
      <c r="A76" s="1">
        <f t="shared" si="1"/>
        <v>74</v>
      </c>
      <c r="B76" s="106">
        <v>45791</v>
      </c>
      <c r="C76" t="s">
        <v>128</v>
      </c>
      <c r="D76" t="s">
        <v>709</v>
      </c>
      <c r="E76">
        <v>1</v>
      </c>
      <c r="F76" t="s">
        <v>659</v>
      </c>
    </row>
    <row r="77" spans="1:6">
      <c r="A77" s="1">
        <f t="shared" si="1"/>
        <v>75</v>
      </c>
      <c r="B77" s="106">
        <v>45791</v>
      </c>
      <c r="C77" t="s">
        <v>128</v>
      </c>
      <c r="D77" t="s">
        <v>710</v>
      </c>
      <c r="E77">
        <v>6</v>
      </c>
      <c r="F77" t="s">
        <v>659</v>
      </c>
    </row>
    <row r="78" spans="1:6">
      <c r="A78" s="1">
        <f t="shared" si="1"/>
        <v>76</v>
      </c>
      <c r="B78" s="106">
        <v>45791</v>
      </c>
      <c r="C78" t="s">
        <v>118</v>
      </c>
      <c r="D78" t="s">
        <v>711</v>
      </c>
      <c r="E78">
        <v>1</v>
      </c>
      <c r="F78" t="s">
        <v>659</v>
      </c>
    </row>
    <row r="79" spans="1:6">
      <c r="A79" s="1">
        <f t="shared" si="1"/>
        <v>77</v>
      </c>
      <c r="B79" s="106">
        <v>45792</v>
      </c>
      <c r="C79" t="s">
        <v>146</v>
      </c>
      <c r="D79" t="s">
        <v>712</v>
      </c>
      <c r="E79">
        <v>1</v>
      </c>
      <c r="F79" t="s">
        <v>659</v>
      </c>
    </row>
    <row r="80" spans="1:6">
      <c r="A80" s="1">
        <f t="shared" si="1"/>
        <v>78</v>
      </c>
      <c r="B80" s="106">
        <v>45792</v>
      </c>
      <c r="C80" t="s">
        <v>146</v>
      </c>
      <c r="D80" t="s">
        <v>713</v>
      </c>
      <c r="E80">
        <v>1</v>
      </c>
      <c r="F80" t="s">
        <v>659</v>
      </c>
    </row>
    <row r="81" spans="1:6">
      <c r="A81" s="1">
        <f t="shared" si="1"/>
        <v>79</v>
      </c>
      <c r="B81" s="106">
        <v>45792</v>
      </c>
      <c r="C81" t="s">
        <v>153</v>
      </c>
      <c r="D81" t="s">
        <v>714</v>
      </c>
      <c r="E81">
        <v>1</v>
      </c>
      <c r="F81" t="s">
        <v>658</v>
      </c>
    </row>
    <row r="82" spans="1:6">
      <c r="A82" s="1">
        <f t="shared" si="1"/>
        <v>80</v>
      </c>
      <c r="B82" s="106">
        <v>45793</v>
      </c>
      <c r="C82" t="s">
        <v>118</v>
      </c>
      <c r="D82" t="s">
        <v>715</v>
      </c>
      <c r="E82">
        <v>1</v>
      </c>
      <c r="F82" t="s">
        <v>659</v>
      </c>
    </row>
    <row r="83" spans="1:6">
      <c r="A83" s="1">
        <f t="shared" si="1"/>
        <v>81</v>
      </c>
      <c r="B83" s="106">
        <v>45794</v>
      </c>
      <c r="C83" t="s">
        <v>133</v>
      </c>
      <c r="D83" t="s">
        <v>696</v>
      </c>
      <c r="E83">
        <v>1</v>
      </c>
      <c r="F83" t="s">
        <v>659</v>
      </c>
    </row>
    <row r="84" spans="1:6">
      <c r="A84" s="1">
        <f t="shared" si="1"/>
        <v>82</v>
      </c>
      <c r="B84" s="106">
        <v>45794</v>
      </c>
      <c r="C84" t="s">
        <v>120</v>
      </c>
      <c r="D84" t="s">
        <v>716</v>
      </c>
      <c r="E84">
        <v>1</v>
      </c>
      <c r="F84" t="s">
        <v>659</v>
      </c>
    </row>
    <row r="85" spans="1:6">
      <c r="A85" s="1">
        <f t="shared" si="1"/>
        <v>83</v>
      </c>
      <c r="B85" s="106">
        <v>45797</v>
      </c>
      <c r="C85" t="s">
        <v>124</v>
      </c>
      <c r="D85" t="s">
        <v>1003</v>
      </c>
      <c r="E85">
        <v>4</v>
      </c>
      <c r="F85" t="s">
        <v>659</v>
      </c>
    </row>
    <row r="86" spans="1:6">
      <c r="A86" s="1">
        <f t="shared" si="1"/>
        <v>84</v>
      </c>
      <c r="B86" s="106">
        <v>45798</v>
      </c>
      <c r="C86" t="s">
        <v>146</v>
      </c>
      <c r="D86" t="s">
        <v>1012</v>
      </c>
      <c r="E86">
        <v>10</v>
      </c>
      <c r="F86" t="s">
        <v>657</v>
      </c>
    </row>
    <row r="87" spans="1:6">
      <c r="A87" s="1">
        <f t="shared" si="1"/>
        <v>85</v>
      </c>
      <c r="B87" s="106">
        <v>45799</v>
      </c>
      <c r="C87" t="s">
        <v>151</v>
      </c>
      <c r="D87" t="s">
        <v>1165</v>
      </c>
      <c r="E87">
        <v>26</v>
      </c>
      <c r="F87" t="s">
        <v>659</v>
      </c>
    </row>
    <row r="88" spans="1:6">
      <c r="A88" s="1">
        <f t="shared" si="1"/>
        <v>86</v>
      </c>
      <c r="B88" s="106">
        <v>45799</v>
      </c>
      <c r="C88" t="s">
        <v>151</v>
      </c>
      <c r="D88" t="s">
        <v>1166</v>
      </c>
      <c r="E88">
        <v>4</v>
      </c>
      <c r="F88" t="s">
        <v>659</v>
      </c>
    </row>
    <row r="89" spans="1:6">
      <c r="A89" s="1">
        <f t="shared" si="1"/>
        <v>87</v>
      </c>
      <c r="B89" s="106">
        <v>45801</v>
      </c>
      <c r="C89" t="s">
        <v>139</v>
      </c>
      <c r="D89" t="s">
        <v>1178</v>
      </c>
      <c r="E89">
        <v>1</v>
      </c>
      <c r="F89" t="s">
        <v>659</v>
      </c>
    </row>
    <row r="90" spans="1:6">
      <c r="A90" s="1">
        <f t="shared" si="1"/>
        <v>88</v>
      </c>
      <c r="B90" s="106">
        <v>45803</v>
      </c>
      <c r="C90" t="s">
        <v>138</v>
      </c>
      <c r="D90" t="s">
        <v>697</v>
      </c>
      <c r="E90">
        <v>1</v>
      </c>
      <c r="F90" t="s">
        <v>659</v>
      </c>
    </row>
    <row r="91" spans="1:6">
      <c r="A91" s="1">
        <f t="shared" si="1"/>
        <v>89</v>
      </c>
      <c r="B91" s="106">
        <v>45803</v>
      </c>
      <c r="C91" t="s">
        <v>143</v>
      </c>
      <c r="D91" t="s">
        <v>683</v>
      </c>
      <c r="E91">
        <v>1</v>
      </c>
      <c r="F91" t="s">
        <v>659</v>
      </c>
    </row>
    <row r="92" spans="1:6">
      <c r="A92" s="1">
        <f t="shared" si="1"/>
        <v>90</v>
      </c>
      <c r="B92" s="106">
        <v>45805</v>
      </c>
      <c r="C92" t="s">
        <v>146</v>
      </c>
      <c r="D92" t="s">
        <v>1185</v>
      </c>
      <c r="E92">
        <v>1</v>
      </c>
      <c r="F92" t="s">
        <v>659</v>
      </c>
    </row>
    <row r="93" spans="1:6">
      <c r="A93" s="1">
        <f t="shared" si="1"/>
        <v>91</v>
      </c>
      <c r="B93" s="106">
        <v>45806</v>
      </c>
      <c r="C93" t="s">
        <v>146</v>
      </c>
      <c r="D93" t="s">
        <v>1188</v>
      </c>
      <c r="E93">
        <v>2</v>
      </c>
      <c r="F93" t="s">
        <v>659</v>
      </c>
    </row>
    <row r="94" spans="1:6">
      <c r="A94" s="1">
        <f t="shared" si="1"/>
        <v>92</v>
      </c>
      <c r="B94" s="106">
        <v>45807</v>
      </c>
      <c r="C94" t="s">
        <v>141</v>
      </c>
      <c r="D94" t="s">
        <v>667</v>
      </c>
      <c r="E94">
        <v>1</v>
      </c>
      <c r="F94" t="s">
        <v>659</v>
      </c>
    </row>
    <row r="95" spans="1:6">
      <c r="A95" s="1">
        <f t="shared" si="1"/>
        <v>93</v>
      </c>
      <c r="B95" s="106">
        <v>45807</v>
      </c>
      <c r="C95" t="s">
        <v>138</v>
      </c>
      <c r="D95" t="s">
        <v>1194</v>
      </c>
      <c r="E95">
        <v>1</v>
      </c>
      <c r="F95" t="s">
        <v>658</v>
      </c>
    </row>
    <row r="96" spans="1:6">
      <c r="A96" s="1">
        <f t="shared" si="1"/>
        <v>94</v>
      </c>
      <c r="B96" s="106">
        <v>45807</v>
      </c>
      <c r="C96" t="s">
        <v>130</v>
      </c>
      <c r="D96" t="s">
        <v>1195</v>
      </c>
      <c r="E96">
        <v>1</v>
      </c>
      <c r="F96" t="s">
        <v>659</v>
      </c>
    </row>
    <row r="97" spans="1:6">
      <c r="A97" s="1">
        <f t="shared" si="1"/>
        <v>95</v>
      </c>
      <c r="B97" s="106">
        <v>45807</v>
      </c>
      <c r="C97" t="s">
        <v>118</v>
      </c>
      <c r="D97" t="s">
        <v>701</v>
      </c>
      <c r="E97">
        <v>1</v>
      </c>
      <c r="F97" t="s">
        <v>659</v>
      </c>
    </row>
    <row r="98" spans="1:6">
      <c r="A98" s="1">
        <f t="shared" si="1"/>
        <v>96</v>
      </c>
      <c r="B98" s="106">
        <v>45808</v>
      </c>
      <c r="C98" t="s">
        <v>138</v>
      </c>
      <c r="D98" t="s">
        <v>1201</v>
      </c>
      <c r="E98">
        <v>1</v>
      </c>
      <c r="F98" t="s">
        <v>659</v>
      </c>
    </row>
    <row r="99" spans="1:6">
      <c r="A99" s="1">
        <f t="shared" si="1"/>
        <v>97</v>
      </c>
      <c r="B99" s="106">
        <v>45810</v>
      </c>
      <c r="C99" t="s">
        <v>118</v>
      </c>
      <c r="D99" t="s">
        <v>1204</v>
      </c>
      <c r="E99">
        <v>1</v>
      </c>
      <c r="F99" t="s">
        <v>659</v>
      </c>
    </row>
    <row r="100" spans="1:6">
      <c r="A100" s="1">
        <f t="shared" si="1"/>
        <v>98</v>
      </c>
      <c r="B100" s="106">
        <v>45810</v>
      </c>
      <c r="C100" t="s">
        <v>134</v>
      </c>
      <c r="D100" t="s">
        <v>1205</v>
      </c>
      <c r="E100">
        <v>1</v>
      </c>
      <c r="F100" t="s">
        <v>659</v>
      </c>
    </row>
    <row r="101" spans="1:6">
      <c r="A101" s="1">
        <f t="shared" ref="A101:A164" si="2">A100+1</f>
        <v>99</v>
      </c>
      <c r="B101" s="106">
        <v>45810</v>
      </c>
      <c r="C101" t="s">
        <v>146</v>
      </c>
      <c r="D101" t="s">
        <v>1206</v>
      </c>
      <c r="E101">
        <v>8</v>
      </c>
      <c r="F101" t="s">
        <v>659</v>
      </c>
    </row>
    <row r="102" spans="1:6">
      <c r="A102" s="1">
        <f t="shared" si="2"/>
        <v>100</v>
      </c>
      <c r="B102" s="106">
        <v>45810</v>
      </c>
      <c r="C102" t="s">
        <v>148</v>
      </c>
      <c r="D102" t="s">
        <v>1207</v>
      </c>
      <c r="E102">
        <v>10</v>
      </c>
      <c r="F102" t="s">
        <v>659</v>
      </c>
    </row>
    <row r="103" spans="1:6">
      <c r="A103" s="1">
        <f t="shared" si="2"/>
        <v>101</v>
      </c>
      <c r="B103" s="106">
        <v>45811</v>
      </c>
      <c r="C103" t="s">
        <v>134</v>
      </c>
      <c r="D103" t="s">
        <v>697</v>
      </c>
      <c r="E103">
        <v>1</v>
      </c>
      <c r="F103" t="s">
        <v>659</v>
      </c>
    </row>
    <row r="104" spans="1:6">
      <c r="A104" s="1">
        <f t="shared" si="2"/>
        <v>102</v>
      </c>
      <c r="B104" s="106">
        <v>45813</v>
      </c>
      <c r="C104" t="s">
        <v>149</v>
      </c>
      <c r="D104" t="s">
        <v>1218</v>
      </c>
      <c r="E104">
        <v>18</v>
      </c>
      <c r="F104" t="s">
        <v>659</v>
      </c>
    </row>
    <row r="105" spans="1:6">
      <c r="A105" s="1">
        <f t="shared" si="2"/>
        <v>103</v>
      </c>
      <c r="B105" s="106">
        <v>45813</v>
      </c>
      <c r="C105" t="s">
        <v>149</v>
      </c>
      <c r="D105" t="s">
        <v>1166</v>
      </c>
      <c r="E105">
        <v>4</v>
      </c>
      <c r="F105" t="s">
        <v>659</v>
      </c>
    </row>
    <row r="106" spans="1:6">
      <c r="A106" s="1">
        <f t="shared" si="2"/>
        <v>104</v>
      </c>
      <c r="B106" s="106">
        <v>45814</v>
      </c>
      <c r="C106" t="s">
        <v>128</v>
      </c>
      <c r="D106" t="s">
        <v>1220</v>
      </c>
      <c r="E106">
        <v>1</v>
      </c>
      <c r="F106" t="s">
        <v>659</v>
      </c>
    </row>
    <row r="107" spans="1:6">
      <c r="A107" s="1">
        <f t="shared" si="2"/>
        <v>105</v>
      </c>
      <c r="B107" s="106">
        <v>45814</v>
      </c>
      <c r="C107" t="s">
        <v>150</v>
      </c>
      <c r="D107" t="s">
        <v>688</v>
      </c>
      <c r="E107">
        <v>1</v>
      </c>
      <c r="F107" t="s">
        <v>659</v>
      </c>
    </row>
    <row r="108" spans="1:6">
      <c r="A108" s="1">
        <f t="shared" si="2"/>
        <v>106</v>
      </c>
      <c r="B108" s="106">
        <v>45818</v>
      </c>
      <c r="C108" t="s">
        <v>137</v>
      </c>
      <c r="D108" t="s">
        <v>1003</v>
      </c>
      <c r="E108">
        <v>1</v>
      </c>
      <c r="F108" t="s">
        <v>659</v>
      </c>
    </row>
    <row r="109" spans="1:6">
      <c r="A109" s="1">
        <f t="shared" si="2"/>
        <v>107</v>
      </c>
      <c r="B109" s="106">
        <v>45818</v>
      </c>
      <c r="C109" t="s">
        <v>137</v>
      </c>
      <c r="D109" t="s">
        <v>1218</v>
      </c>
      <c r="E109">
        <v>2</v>
      </c>
      <c r="F109" t="s">
        <v>659</v>
      </c>
    </row>
    <row r="110" spans="1:6">
      <c r="A110" s="1">
        <f t="shared" si="2"/>
        <v>108</v>
      </c>
      <c r="B110" s="106">
        <v>45818</v>
      </c>
      <c r="C110" t="s">
        <v>137</v>
      </c>
      <c r="D110" t="s">
        <v>1166</v>
      </c>
      <c r="E110">
        <v>1</v>
      </c>
      <c r="F110" t="s">
        <v>659</v>
      </c>
    </row>
    <row r="111" spans="1:6">
      <c r="A111" s="1">
        <f t="shared" si="2"/>
        <v>109</v>
      </c>
      <c r="B111" s="106">
        <v>45818</v>
      </c>
      <c r="C111" t="s">
        <v>129</v>
      </c>
      <c r="D111" t="s">
        <v>1234</v>
      </c>
      <c r="E111">
        <v>1</v>
      </c>
      <c r="F111" t="s">
        <v>659</v>
      </c>
    </row>
    <row r="112" spans="1:6">
      <c r="A112" s="1">
        <f t="shared" si="2"/>
        <v>110</v>
      </c>
      <c r="B112" s="106">
        <v>45818</v>
      </c>
      <c r="C112" t="s">
        <v>130</v>
      </c>
      <c r="D112" t="s">
        <v>1234</v>
      </c>
      <c r="E112">
        <v>1</v>
      </c>
      <c r="F112" t="s">
        <v>659</v>
      </c>
    </row>
    <row r="113" spans="1:6">
      <c r="A113" s="1">
        <f t="shared" si="2"/>
        <v>111</v>
      </c>
      <c r="B113" s="106">
        <v>45818</v>
      </c>
      <c r="C113" t="s">
        <v>128</v>
      </c>
      <c r="D113" t="s">
        <v>1235</v>
      </c>
      <c r="E113">
        <v>2</v>
      </c>
      <c r="F113" t="s">
        <v>659</v>
      </c>
    </row>
    <row r="114" spans="1:6">
      <c r="A114" s="1">
        <f t="shared" si="2"/>
        <v>112</v>
      </c>
      <c r="B114" s="106">
        <v>45818</v>
      </c>
      <c r="C114" t="s">
        <v>128</v>
      </c>
      <c r="D114" t="s">
        <v>1236</v>
      </c>
      <c r="E114">
        <v>2</v>
      </c>
      <c r="F114" t="s">
        <v>659</v>
      </c>
    </row>
    <row r="115" spans="1:6">
      <c r="A115" s="1">
        <f t="shared" si="2"/>
        <v>113</v>
      </c>
      <c r="B115" s="106"/>
    </row>
    <row r="116" spans="1:6">
      <c r="A116" s="1">
        <f>A115+1</f>
        <v>114</v>
      </c>
      <c r="B116" s="106">
        <v>45826</v>
      </c>
      <c r="C116" t="s">
        <v>121</v>
      </c>
      <c r="D116" t="s">
        <v>1261</v>
      </c>
      <c r="E116">
        <v>1</v>
      </c>
      <c r="F116" t="s">
        <v>659</v>
      </c>
    </row>
    <row r="117" spans="1:6">
      <c r="A117" s="1">
        <f t="shared" si="2"/>
        <v>115</v>
      </c>
      <c r="B117" s="106">
        <v>45826</v>
      </c>
      <c r="C117" t="s">
        <v>121</v>
      </c>
      <c r="D117" t="s">
        <v>1262</v>
      </c>
      <c r="E117">
        <v>1</v>
      </c>
      <c r="F117" t="s">
        <v>659</v>
      </c>
    </row>
    <row r="118" spans="1:6">
      <c r="A118" s="1">
        <f t="shared" si="2"/>
        <v>116</v>
      </c>
      <c r="B118" s="106">
        <v>45827</v>
      </c>
      <c r="C118" t="s">
        <v>117</v>
      </c>
      <c r="D118" t="s">
        <v>1267</v>
      </c>
      <c r="E118">
        <v>1</v>
      </c>
      <c r="F118" t="s">
        <v>659</v>
      </c>
    </row>
    <row r="119" spans="1:6">
      <c r="A119" s="1">
        <f t="shared" si="2"/>
        <v>117</v>
      </c>
      <c r="B119" s="106">
        <v>45827</v>
      </c>
      <c r="C119" t="s">
        <v>141</v>
      </c>
      <c r="D119" t="s">
        <v>1290</v>
      </c>
      <c r="E119">
        <v>1</v>
      </c>
      <c r="F119" t="s">
        <v>659</v>
      </c>
    </row>
    <row r="120" spans="1:6">
      <c r="A120" s="1">
        <f t="shared" si="2"/>
        <v>118</v>
      </c>
      <c r="B120" s="106">
        <v>45828</v>
      </c>
      <c r="C120" t="s">
        <v>125</v>
      </c>
      <c r="D120" t="s">
        <v>1291</v>
      </c>
      <c r="E120">
        <v>1</v>
      </c>
      <c r="F120" t="s">
        <v>659</v>
      </c>
    </row>
    <row r="121" spans="1:6">
      <c r="A121" s="1">
        <f t="shared" si="2"/>
        <v>119</v>
      </c>
      <c r="B121" s="106">
        <v>45828</v>
      </c>
      <c r="C121" t="s">
        <v>135</v>
      </c>
      <c r="D121" t="s">
        <v>1292</v>
      </c>
      <c r="E121">
        <v>1</v>
      </c>
      <c r="F121" t="s">
        <v>659</v>
      </c>
    </row>
    <row r="122" spans="1:6">
      <c r="A122" s="1">
        <f t="shared" si="2"/>
        <v>120</v>
      </c>
      <c r="B122" s="106">
        <v>45829</v>
      </c>
      <c r="C122" t="s">
        <v>146</v>
      </c>
      <c r="D122" t="s">
        <v>1267</v>
      </c>
      <c r="E122">
        <v>1</v>
      </c>
      <c r="F122" t="s">
        <v>659</v>
      </c>
    </row>
    <row r="123" spans="1:6">
      <c r="A123" s="1">
        <f t="shared" si="2"/>
        <v>121</v>
      </c>
      <c r="B123" s="106">
        <v>45829</v>
      </c>
      <c r="C123" t="s">
        <v>126</v>
      </c>
      <c r="D123" t="s">
        <v>1293</v>
      </c>
      <c r="E123">
        <v>1</v>
      </c>
      <c r="F123" t="s">
        <v>659</v>
      </c>
    </row>
    <row r="124" spans="1:6">
      <c r="A124" s="1">
        <f t="shared" si="2"/>
        <v>122</v>
      </c>
      <c r="B124" s="106">
        <v>45829</v>
      </c>
      <c r="C124" t="s">
        <v>126</v>
      </c>
      <c r="D124" t="s">
        <v>1294</v>
      </c>
      <c r="E124">
        <v>2</v>
      </c>
      <c r="F124" t="s">
        <v>659</v>
      </c>
    </row>
    <row r="125" spans="1:6">
      <c r="A125" s="1">
        <f t="shared" si="2"/>
        <v>123</v>
      </c>
      <c r="B125" s="106">
        <v>45829</v>
      </c>
      <c r="C125" t="s">
        <v>126</v>
      </c>
      <c r="D125" t="s">
        <v>1295</v>
      </c>
      <c r="E125">
        <v>1</v>
      </c>
      <c r="F125" t="s">
        <v>659</v>
      </c>
    </row>
    <row r="126" spans="1:6">
      <c r="A126" s="1">
        <f t="shared" si="2"/>
        <v>124</v>
      </c>
      <c r="B126" s="106">
        <v>45829</v>
      </c>
      <c r="C126" t="s">
        <v>124</v>
      </c>
      <c r="D126" t="s">
        <v>1296</v>
      </c>
      <c r="E126">
        <v>6</v>
      </c>
      <c r="F126" t="s">
        <v>659</v>
      </c>
    </row>
    <row r="127" spans="1:6">
      <c r="A127" s="1">
        <f t="shared" si="2"/>
        <v>125</v>
      </c>
      <c r="B127" s="106">
        <v>45830</v>
      </c>
      <c r="C127" t="s">
        <v>126</v>
      </c>
      <c r="D127" t="s">
        <v>1178</v>
      </c>
      <c r="E127">
        <v>1</v>
      </c>
      <c r="F127" t="s">
        <v>659</v>
      </c>
    </row>
    <row r="128" spans="1:6">
      <c r="A128" s="1">
        <f t="shared" si="2"/>
        <v>126</v>
      </c>
      <c r="B128" s="106">
        <v>45831</v>
      </c>
      <c r="C128" t="s">
        <v>134</v>
      </c>
      <c r="D128" t="s">
        <v>674</v>
      </c>
      <c r="E128">
        <v>1</v>
      </c>
      <c r="F128" t="s">
        <v>659</v>
      </c>
    </row>
    <row r="129" spans="1:6">
      <c r="A129" s="1">
        <f t="shared" si="2"/>
        <v>127</v>
      </c>
      <c r="B129" s="106">
        <v>45833</v>
      </c>
      <c r="C129" t="s">
        <v>130</v>
      </c>
      <c r="D129" t="s">
        <v>686</v>
      </c>
      <c r="E129">
        <v>2</v>
      </c>
      <c r="F129" t="s">
        <v>659</v>
      </c>
    </row>
    <row r="130" spans="1:6">
      <c r="A130" s="1">
        <f t="shared" si="2"/>
        <v>128</v>
      </c>
      <c r="B130" s="106">
        <v>45834</v>
      </c>
      <c r="C130" t="s">
        <v>127</v>
      </c>
      <c r="D130" t="s">
        <v>686</v>
      </c>
      <c r="E130">
        <v>4</v>
      </c>
      <c r="F130" t="s">
        <v>659</v>
      </c>
    </row>
    <row r="131" spans="1:6">
      <c r="A131" s="1">
        <f t="shared" si="2"/>
        <v>129</v>
      </c>
      <c r="B131" s="106">
        <v>45834</v>
      </c>
      <c r="C131" t="s">
        <v>150</v>
      </c>
      <c r="D131" t="s">
        <v>1305</v>
      </c>
      <c r="E131">
        <v>1</v>
      </c>
      <c r="F131" t="s">
        <v>659</v>
      </c>
    </row>
    <row r="132" spans="1:6">
      <c r="A132" s="1">
        <f t="shared" si="2"/>
        <v>130</v>
      </c>
      <c r="B132" s="106">
        <v>45834</v>
      </c>
      <c r="C132" t="s">
        <v>150</v>
      </c>
      <c r="D132" t="s">
        <v>1306</v>
      </c>
      <c r="E132">
        <v>90</v>
      </c>
      <c r="F132" t="s">
        <v>657</v>
      </c>
    </row>
    <row r="133" spans="1:6">
      <c r="A133" s="1">
        <f t="shared" si="2"/>
        <v>131</v>
      </c>
      <c r="B133" s="106">
        <v>45834</v>
      </c>
      <c r="C133" t="s">
        <v>117</v>
      </c>
      <c r="D133" t="s">
        <v>1307</v>
      </c>
      <c r="E133">
        <v>3</v>
      </c>
      <c r="F133" t="s">
        <v>659</v>
      </c>
    </row>
    <row r="134" spans="1:6">
      <c r="A134" s="1">
        <f t="shared" si="2"/>
        <v>132</v>
      </c>
      <c r="B134" s="106">
        <v>45834</v>
      </c>
      <c r="C134" t="s">
        <v>117</v>
      </c>
      <c r="D134" t="s">
        <v>1294</v>
      </c>
      <c r="E134">
        <v>2</v>
      </c>
      <c r="F134" t="s">
        <v>659</v>
      </c>
    </row>
    <row r="135" spans="1:6">
      <c r="A135" s="1">
        <f t="shared" si="2"/>
        <v>133</v>
      </c>
      <c r="B135" s="106">
        <v>45834</v>
      </c>
      <c r="C135" t="s">
        <v>116</v>
      </c>
      <c r="D135" t="s">
        <v>1294</v>
      </c>
      <c r="E135">
        <v>2</v>
      </c>
      <c r="F135" t="s">
        <v>659</v>
      </c>
    </row>
    <row r="136" spans="1:6">
      <c r="A136" s="1">
        <f t="shared" si="2"/>
        <v>134</v>
      </c>
      <c r="B136" s="106">
        <v>45834</v>
      </c>
      <c r="C136" t="s">
        <v>116</v>
      </c>
      <c r="D136" t="s">
        <v>1313</v>
      </c>
      <c r="E136">
        <v>1</v>
      </c>
      <c r="F136" t="s">
        <v>659</v>
      </c>
    </row>
    <row r="137" spans="1:6">
      <c r="A137" s="1">
        <f t="shared" si="2"/>
        <v>135</v>
      </c>
      <c r="B137" s="106">
        <v>45835</v>
      </c>
      <c r="C137" t="s">
        <v>115</v>
      </c>
      <c r="D137" t="s">
        <v>1313</v>
      </c>
      <c r="E137">
        <v>2</v>
      </c>
      <c r="F137" t="s">
        <v>659</v>
      </c>
    </row>
    <row r="138" spans="1:6">
      <c r="A138" s="1">
        <f t="shared" si="2"/>
        <v>136</v>
      </c>
      <c r="B138" s="106">
        <v>45835</v>
      </c>
      <c r="C138" t="s">
        <v>115</v>
      </c>
      <c r="D138" t="s">
        <v>1305</v>
      </c>
      <c r="E138">
        <v>1</v>
      </c>
      <c r="F138" t="s">
        <v>659</v>
      </c>
    </row>
    <row r="139" spans="1:6">
      <c r="A139" s="1">
        <f t="shared" si="2"/>
        <v>137</v>
      </c>
      <c r="B139" s="106">
        <v>45835</v>
      </c>
      <c r="C139" t="s">
        <v>141</v>
      </c>
      <c r="D139" t="s">
        <v>1314</v>
      </c>
      <c r="E139">
        <v>1</v>
      </c>
      <c r="F139" t="s">
        <v>659</v>
      </c>
    </row>
    <row r="140" spans="1:6">
      <c r="A140" s="1">
        <f t="shared" si="2"/>
        <v>138</v>
      </c>
      <c r="B140" s="106">
        <v>45835</v>
      </c>
      <c r="C140" t="s">
        <v>141</v>
      </c>
      <c r="D140" t="s">
        <v>1315</v>
      </c>
      <c r="E140">
        <v>1</v>
      </c>
      <c r="F140" t="s">
        <v>659</v>
      </c>
    </row>
    <row r="141" spans="1:6">
      <c r="A141" s="1">
        <f t="shared" si="2"/>
        <v>139</v>
      </c>
      <c r="B141" s="106">
        <v>45835</v>
      </c>
      <c r="C141" t="s">
        <v>141</v>
      </c>
      <c r="D141" t="s">
        <v>1316</v>
      </c>
      <c r="E141">
        <v>1</v>
      </c>
      <c r="F141" t="s">
        <v>659</v>
      </c>
    </row>
    <row r="142" spans="1:6">
      <c r="A142" s="1">
        <f t="shared" si="2"/>
        <v>140</v>
      </c>
      <c r="B142" s="106">
        <v>45836</v>
      </c>
      <c r="C142" t="s">
        <v>117</v>
      </c>
      <c r="D142" t="s">
        <v>1320</v>
      </c>
      <c r="E142">
        <v>1</v>
      </c>
      <c r="F142" t="s">
        <v>659</v>
      </c>
    </row>
    <row r="143" spans="1:6">
      <c r="A143" s="1">
        <f t="shared" si="2"/>
        <v>141</v>
      </c>
      <c r="B143" s="106">
        <v>45836</v>
      </c>
      <c r="C143" t="s">
        <v>116</v>
      </c>
      <c r="D143" t="s">
        <v>1321</v>
      </c>
      <c r="E143">
        <v>1</v>
      </c>
      <c r="F143" t="s">
        <v>659</v>
      </c>
    </row>
    <row r="144" spans="1:6">
      <c r="A144" s="1">
        <f t="shared" si="2"/>
        <v>142</v>
      </c>
      <c r="B144" s="106">
        <v>45839</v>
      </c>
      <c r="C144" t="s">
        <v>145</v>
      </c>
      <c r="D144" t="s">
        <v>1327</v>
      </c>
      <c r="E144">
        <v>1</v>
      </c>
      <c r="F144" t="s">
        <v>659</v>
      </c>
    </row>
    <row r="145" spans="1:6">
      <c r="A145" s="1">
        <f t="shared" si="2"/>
        <v>143</v>
      </c>
      <c r="B145" s="106">
        <v>45839</v>
      </c>
      <c r="C145" t="s">
        <v>136</v>
      </c>
      <c r="D145" t="s">
        <v>1327</v>
      </c>
      <c r="E145">
        <v>2</v>
      </c>
      <c r="F145" t="s">
        <v>659</v>
      </c>
    </row>
    <row r="146" spans="1:6">
      <c r="A146" s="1">
        <f t="shared" si="2"/>
        <v>144</v>
      </c>
      <c r="B146" s="106">
        <v>45840</v>
      </c>
      <c r="C146" t="s">
        <v>149</v>
      </c>
      <c r="D146" t="s">
        <v>1327</v>
      </c>
      <c r="E146">
        <v>2</v>
      </c>
      <c r="F146" t="s">
        <v>659</v>
      </c>
    </row>
    <row r="147" spans="1:6">
      <c r="A147" s="1">
        <f t="shared" si="2"/>
        <v>145</v>
      </c>
      <c r="B147" s="106">
        <v>45842</v>
      </c>
      <c r="C147" t="s">
        <v>118</v>
      </c>
      <c r="D147" t="s">
        <v>1330</v>
      </c>
      <c r="E147">
        <v>1</v>
      </c>
      <c r="F147" t="s">
        <v>659</v>
      </c>
    </row>
    <row r="148" spans="1:6">
      <c r="A148" s="1">
        <f t="shared" si="2"/>
        <v>146</v>
      </c>
      <c r="B148" s="106">
        <v>45842</v>
      </c>
      <c r="C148" t="s">
        <v>123</v>
      </c>
      <c r="D148" t="s">
        <v>693</v>
      </c>
      <c r="E148">
        <v>1</v>
      </c>
      <c r="F148" t="s">
        <v>659</v>
      </c>
    </row>
    <row r="149" spans="1:6">
      <c r="A149" s="1">
        <f t="shared" si="2"/>
        <v>147</v>
      </c>
      <c r="B149" s="106">
        <v>45844</v>
      </c>
      <c r="C149" t="s">
        <v>130</v>
      </c>
      <c r="D149" t="s">
        <v>1296</v>
      </c>
      <c r="E149">
        <v>4</v>
      </c>
      <c r="F149" t="s">
        <v>659</v>
      </c>
    </row>
    <row r="150" spans="1:6">
      <c r="A150" s="1">
        <f t="shared" si="2"/>
        <v>148</v>
      </c>
      <c r="B150" s="106">
        <v>45844</v>
      </c>
      <c r="C150" t="s">
        <v>130</v>
      </c>
      <c r="D150" t="s">
        <v>1335</v>
      </c>
      <c r="E150">
        <v>240</v>
      </c>
      <c r="F150" t="s">
        <v>1336</v>
      </c>
    </row>
    <row r="151" spans="1:6">
      <c r="A151" s="1">
        <f t="shared" si="2"/>
        <v>149</v>
      </c>
      <c r="B151" s="106">
        <v>45846</v>
      </c>
      <c r="C151" t="s">
        <v>115</v>
      </c>
      <c r="D151" t="s">
        <v>1341</v>
      </c>
      <c r="E151">
        <v>1</v>
      </c>
      <c r="F151" t="s">
        <v>659</v>
      </c>
    </row>
    <row r="152" spans="1:6">
      <c r="A152" s="1">
        <f t="shared" si="2"/>
        <v>150</v>
      </c>
      <c r="B152" s="106">
        <v>45846</v>
      </c>
      <c r="C152" t="s">
        <v>145</v>
      </c>
      <c r="D152" t="s">
        <v>1342</v>
      </c>
      <c r="E152">
        <v>1</v>
      </c>
      <c r="F152" t="s">
        <v>659</v>
      </c>
    </row>
    <row r="153" spans="1:6">
      <c r="A153" s="1">
        <f t="shared" si="2"/>
        <v>151</v>
      </c>
      <c r="B153" s="106">
        <v>45847</v>
      </c>
      <c r="C153" t="s">
        <v>131</v>
      </c>
      <c r="D153" t="s">
        <v>1364</v>
      </c>
      <c r="E153">
        <v>1</v>
      </c>
      <c r="F153" t="s">
        <v>659</v>
      </c>
    </row>
    <row r="154" spans="1:6">
      <c r="A154" s="1">
        <f t="shared" si="2"/>
        <v>152</v>
      </c>
      <c r="B154" s="106">
        <v>45847</v>
      </c>
      <c r="C154" t="s">
        <v>131</v>
      </c>
      <c r="D154" t="s">
        <v>1365</v>
      </c>
      <c r="E154">
        <v>1</v>
      </c>
      <c r="F154" t="s">
        <v>659</v>
      </c>
    </row>
    <row r="155" spans="1:6">
      <c r="A155" s="1">
        <f t="shared" si="2"/>
        <v>153</v>
      </c>
      <c r="B155" s="106">
        <v>45847</v>
      </c>
      <c r="C155" t="s">
        <v>131</v>
      </c>
      <c r="D155" t="s">
        <v>1366</v>
      </c>
      <c r="E155">
        <v>1</v>
      </c>
      <c r="F155" t="s">
        <v>659</v>
      </c>
    </row>
    <row r="156" spans="1:6">
      <c r="A156" s="1">
        <f t="shared" si="2"/>
        <v>154</v>
      </c>
      <c r="B156" s="106">
        <v>45847</v>
      </c>
      <c r="C156" t="s">
        <v>131</v>
      </c>
      <c r="D156" t="s">
        <v>1367</v>
      </c>
      <c r="E156">
        <v>1</v>
      </c>
      <c r="F156" t="s">
        <v>1368</v>
      </c>
    </row>
    <row r="157" spans="1:6">
      <c r="A157" s="1">
        <f t="shared" si="2"/>
        <v>155</v>
      </c>
      <c r="B157" s="106">
        <v>45847</v>
      </c>
      <c r="C157" t="s">
        <v>126</v>
      </c>
      <c r="D157" t="s">
        <v>1367</v>
      </c>
      <c r="E157">
        <v>1</v>
      </c>
      <c r="F157" t="s">
        <v>1368</v>
      </c>
    </row>
    <row r="158" spans="1:6">
      <c r="A158" s="1">
        <f t="shared" si="2"/>
        <v>156</v>
      </c>
      <c r="B158" s="106">
        <v>45849</v>
      </c>
      <c r="C158" t="s">
        <v>131</v>
      </c>
      <c r="D158" t="s">
        <v>1372</v>
      </c>
      <c r="E158">
        <v>1</v>
      </c>
      <c r="F158" t="s">
        <v>659</v>
      </c>
    </row>
    <row r="159" spans="1:6">
      <c r="A159" s="1">
        <f t="shared" si="2"/>
        <v>157</v>
      </c>
      <c r="B159" s="106">
        <v>45854</v>
      </c>
      <c r="C159" t="s">
        <v>131</v>
      </c>
      <c r="D159" t="s">
        <v>1364</v>
      </c>
      <c r="E159">
        <v>1</v>
      </c>
      <c r="F159" t="s">
        <v>659</v>
      </c>
    </row>
    <row r="160" spans="1:6">
      <c r="A160" s="1">
        <f t="shared" si="2"/>
        <v>158</v>
      </c>
      <c r="B160" s="106">
        <v>45854</v>
      </c>
      <c r="C160" t="s">
        <v>131</v>
      </c>
      <c r="D160" t="s">
        <v>1373</v>
      </c>
      <c r="E160">
        <v>1</v>
      </c>
      <c r="F160" t="s">
        <v>659</v>
      </c>
    </row>
    <row r="161" spans="1:6">
      <c r="A161" s="1">
        <f t="shared" si="2"/>
        <v>159</v>
      </c>
      <c r="B161" s="106">
        <v>45854</v>
      </c>
      <c r="C161" t="s">
        <v>131</v>
      </c>
      <c r="D161" t="s">
        <v>1367</v>
      </c>
      <c r="E161">
        <v>1</v>
      </c>
      <c r="F161" t="s">
        <v>659</v>
      </c>
    </row>
    <row r="162" spans="1:6">
      <c r="A162" s="1">
        <f t="shared" si="2"/>
        <v>160</v>
      </c>
      <c r="B162" s="106">
        <v>45854</v>
      </c>
      <c r="C162" t="s">
        <v>131</v>
      </c>
      <c r="D162" t="s">
        <v>1374</v>
      </c>
      <c r="E162">
        <v>1</v>
      </c>
      <c r="F162" t="s">
        <v>659</v>
      </c>
    </row>
    <row r="163" spans="1:6">
      <c r="A163" s="1">
        <f t="shared" si="2"/>
        <v>161</v>
      </c>
      <c r="B163" s="106">
        <v>45854</v>
      </c>
      <c r="C163" t="s">
        <v>131</v>
      </c>
      <c r="D163" t="s">
        <v>1375</v>
      </c>
      <c r="E163">
        <v>1</v>
      </c>
      <c r="F163" t="s">
        <v>659</v>
      </c>
    </row>
    <row r="164" spans="1:6">
      <c r="A164" s="1">
        <f t="shared" si="2"/>
        <v>162</v>
      </c>
      <c r="B164" s="106">
        <v>45855</v>
      </c>
      <c r="C164" t="s">
        <v>144</v>
      </c>
      <c r="D164" t="s">
        <v>1364</v>
      </c>
      <c r="E164">
        <v>1</v>
      </c>
      <c r="F164" t="s">
        <v>659</v>
      </c>
    </row>
    <row r="165" spans="1:6">
      <c r="A165" s="1">
        <f t="shared" ref="A165:A184" si="3">A164+1</f>
        <v>163</v>
      </c>
      <c r="B165" s="106">
        <v>45855</v>
      </c>
      <c r="C165" t="s">
        <v>144</v>
      </c>
      <c r="D165" t="s">
        <v>1373</v>
      </c>
      <c r="E165">
        <v>1</v>
      </c>
      <c r="F165" t="s">
        <v>659</v>
      </c>
    </row>
    <row r="166" spans="1:6">
      <c r="A166" s="1">
        <f t="shared" si="3"/>
        <v>164</v>
      </c>
      <c r="B166" s="106">
        <v>45855</v>
      </c>
      <c r="C166" t="s">
        <v>144</v>
      </c>
      <c r="D166" t="s">
        <v>683</v>
      </c>
      <c r="E166">
        <v>1</v>
      </c>
      <c r="F166" t="s">
        <v>659</v>
      </c>
    </row>
    <row r="167" spans="1:6">
      <c r="A167" s="1">
        <f t="shared" si="3"/>
        <v>165</v>
      </c>
      <c r="B167" s="106">
        <v>45855</v>
      </c>
      <c r="C167" t="s">
        <v>144</v>
      </c>
      <c r="D167" t="s">
        <v>676</v>
      </c>
      <c r="E167">
        <v>3</v>
      </c>
      <c r="F167" t="s">
        <v>659</v>
      </c>
    </row>
    <row r="168" spans="1:6">
      <c r="A168" s="1">
        <f t="shared" si="3"/>
        <v>166</v>
      </c>
      <c r="B168" s="106">
        <v>45855</v>
      </c>
      <c r="C168" t="s">
        <v>144</v>
      </c>
      <c r="D168" t="s">
        <v>1376</v>
      </c>
      <c r="E168">
        <v>1</v>
      </c>
      <c r="F168" t="s">
        <v>659</v>
      </c>
    </row>
    <row r="169" spans="1:6">
      <c r="A169" s="1">
        <f t="shared" si="3"/>
        <v>167</v>
      </c>
      <c r="B169" s="106">
        <v>45855</v>
      </c>
      <c r="C169" t="s">
        <v>144</v>
      </c>
      <c r="D169" t="s">
        <v>1377</v>
      </c>
      <c r="E169">
        <v>1</v>
      </c>
      <c r="F169" t="s">
        <v>659</v>
      </c>
    </row>
    <row r="170" spans="1:6">
      <c r="A170" s="1">
        <f t="shared" si="3"/>
        <v>168</v>
      </c>
      <c r="B170" s="106">
        <v>45855</v>
      </c>
      <c r="C170" t="s">
        <v>144</v>
      </c>
      <c r="D170" t="s">
        <v>1378</v>
      </c>
      <c r="E170">
        <v>1</v>
      </c>
      <c r="F170" t="s">
        <v>659</v>
      </c>
    </row>
    <row r="171" spans="1:6">
      <c r="A171" s="1">
        <f t="shared" si="3"/>
        <v>169</v>
      </c>
      <c r="B171" s="106">
        <v>45855</v>
      </c>
      <c r="C171" t="s">
        <v>144</v>
      </c>
      <c r="D171" t="s">
        <v>1379</v>
      </c>
      <c r="E171">
        <v>1</v>
      </c>
      <c r="F171" t="s">
        <v>659</v>
      </c>
    </row>
    <row r="172" spans="1:6">
      <c r="A172" s="1">
        <f t="shared" si="3"/>
        <v>170</v>
      </c>
      <c r="B172" s="106">
        <v>45855</v>
      </c>
      <c r="C172" t="s">
        <v>144</v>
      </c>
      <c r="D172" t="s">
        <v>1367</v>
      </c>
      <c r="E172">
        <v>1</v>
      </c>
      <c r="F172" t="s">
        <v>659</v>
      </c>
    </row>
    <row r="173" spans="1:6">
      <c r="A173" s="1">
        <f t="shared" si="3"/>
        <v>171</v>
      </c>
      <c r="B173" s="106">
        <v>45855</v>
      </c>
      <c r="C173" t="s">
        <v>144</v>
      </c>
      <c r="D173" t="s">
        <v>1374</v>
      </c>
      <c r="E173">
        <v>1</v>
      </c>
      <c r="F173" t="s">
        <v>659</v>
      </c>
    </row>
    <row r="174" spans="1:6">
      <c r="A174" s="1">
        <f t="shared" si="3"/>
        <v>172</v>
      </c>
      <c r="B174" s="106">
        <v>45855</v>
      </c>
      <c r="C174" t="s">
        <v>130</v>
      </c>
      <c r="D174" t="s">
        <v>683</v>
      </c>
      <c r="E174">
        <v>1</v>
      </c>
      <c r="F174" t="s">
        <v>659</v>
      </c>
    </row>
    <row r="175" spans="1:6">
      <c r="A175" s="1">
        <f t="shared" si="3"/>
        <v>173</v>
      </c>
      <c r="B175" s="106">
        <v>45856</v>
      </c>
      <c r="C175" t="s">
        <v>126</v>
      </c>
      <c r="D175" t="s">
        <v>1364</v>
      </c>
      <c r="E175">
        <v>1</v>
      </c>
      <c r="F175" t="s">
        <v>659</v>
      </c>
    </row>
    <row r="176" spans="1:6">
      <c r="A176" s="1">
        <f t="shared" si="3"/>
        <v>174</v>
      </c>
      <c r="B176" s="106">
        <v>45856</v>
      </c>
      <c r="C176" t="s">
        <v>126</v>
      </c>
      <c r="D176" t="s">
        <v>1385</v>
      </c>
      <c r="E176">
        <v>1</v>
      </c>
      <c r="F176" t="s">
        <v>659</v>
      </c>
    </row>
    <row r="177" spans="1:6">
      <c r="A177" s="1">
        <f t="shared" si="3"/>
        <v>175</v>
      </c>
      <c r="B177" s="106">
        <v>45856</v>
      </c>
      <c r="C177" t="s">
        <v>126</v>
      </c>
      <c r="D177" t="s">
        <v>1386</v>
      </c>
      <c r="E177">
        <v>7</v>
      </c>
      <c r="F177" t="s">
        <v>659</v>
      </c>
    </row>
    <row r="178" spans="1:6">
      <c r="A178" s="1">
        <f t="shared" si="3"/>
        <v>176</v>
      </c>
      <c r="B178" s="106">
        <v>45856</v>
      </c>
      <c r="C178" t="s">
        <v>126</v>
      </c>
      <c r="D178" t="s">
        <v>676</v>
      </c>
      <c r="E178">
        <v>2</v>
      </c>
      <c r="F178" t="s">
        <v>659</v>
      </c>
    </row>
    <row r="179" spans="1:6">
      <c r="A179" s="1">
        <f t="shared" si="3"/>
        <v>177</v>
      </c>
      <c r="B179" s="106">
        <v>45856</v>
      </c>
      <c r="C179" t="s">
        <v>126</v>
      </c>
      <c r="D179" t="s">
        <v>1387</v>
      </c>
      <c r="E179">
        <v>10</v>
      </c>
      <c r="F179" t="s">
        <v>659</v>
      </c>
    </row>
    <row r="180" spans="1:6">
      <c r="A180" s="1">
        <f t="shared" si="3"/>
        <v>178</v>
      </c>
      <c r="B180" s="106">
        <v>45857</v>
      </c>
      <c r="C180" t="s">
        <v>144</v>
      </c>
      <c r="D180" t="s">
        <v>1236</v>
      </c>
      <c r="E180">
        <v>2</v>
      </c>
      <c r="F180" t="s">
        <v>659</v>
      </c>
    </row>
    <row r="181" spans="1:6">
      <c r="A181" s="1">
        <f t="shared" si="3"/>
        <v>179</v>
      </c>
      <c r="B181" s="106">
        <v>45857</v>
      </c>
      <c r="C181" t="s">
        <v>144</v>
      </c>
      <c r="D181" t="s">
        <v>1388</v>
      </c>
      <c r="E181">
        <v>2</v>
      </c>
      <c r="F181" t="s">
        <v>659</v>
      </c>
    </row>
    <row r="182" spans="1:6">
      <c r="A182" s="1">
        <f t="shared" si="3"/>
        <v>180</v>
      </c>
      <c r="B182" s="106">
        <v>45857</v>
      </c>
      <c r="C182" t="s">
        <v>144</v>
      </c>
      <c r="D182" t="s">
        <v>1378</v>
      </c>
      <c r="E182">
        <v>1</v>
      </c>
      <c r="F182" t="s">
        <v>659</v>
      </c>
    </row>
    <row r="183" spans="1:6">
      <c r="A183" s="1">
        <f t="shared" si="3"/>
        <v>181</v>
      </c>
      <c r="B183" s="106">
        <v>45857</v>
      </c>
      <c r="C183" t="s">
        <v>144</v>
      </c>
      <c r="D183" t="s">
        <v>1389</v>
      </c>
      <c r="E183">
        <v>1</v>
      </c>
      <c r="F183" t="s">
        <v>659</v>
      </c>
    </row>
    <row r="184" spans="1:6">
      <c r="A184" s="1">
        <f t="shared" si="3"/>
        <v>182</v>
      </c>
      <c r="B184" s="106">
        <v>45857</v>
      </c>
      <c r="C184" t="s">
        <v>144</v>
      </c>
      <c r="D184" t="s">
        <v>672</v>
      </c>
      <c r="E184">
        <v>1</v>
      </c>
      <c r="F184" t="s">
        <v>659</v>
      </c>
    </row>
    <row r="185" spans="1:6">
      <c r="A185" s="1">
        <v>183</v>
      </c>
      <c r="B185" s="106">
        <v>45857</v>
      </c>
      <c r="C185" t="s">
        <v>144</v>
      </c>
      <c r="D185" t="s">
        <v>1390</v>
      </c>
      <c r="E185">
        <v>1</v>
      </c>
      <c r="F185" t="s">
        <v>659</v>
      </c>
    </row>
    <row r="186" spans="1:6">
      <c r="A186" s="1">
        <v>184</v>
      </c>
      <c r="B186" s="106">
        <v>45860</v>
      </c>
      <c r="C186" t="s">
        <v>136</v>
      </c>
      <c r="D186" t="s">
        <v>1218</v>
      </c>
      <c r="E186">
        <v>5</v>
      </c>
      <c r="F186" t="s">
        <v>659</v>
      </c>
    </row>
    <row r="187" spans="1:6">
      <c r="A187" s="1">
        <v>185</v>
      </c>
      <c r="B187" s="106">
        <v>45860</v>
      </c>
      <c r="C187" t="s">
        <v>136</v>
      </c>
      <c r="D187" t="s">
        <v>1395</v>
      </c>
      <c r="E187">
        <v>1</v>
      </c>
      <c r="F187" t="s">
        <v>659</v>
      </c>
    </row>
    <row r="188" spans="1:6">
      <c r="A188" s="1">
        <v>185</v>
      </c>
      <c r="B188" s="106">
        <v>45861</v>
      </c>
      <c r="C188" t="s">
        <v>130</v>
      </c>
      <c r="D188" t="s">
        <v>1364</v>
      </c>
      <c r="E188">
        <v>1</v>
      </c>
      <c r="F188" t="s">
        <v>659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BB3DC3D7EEBD4E965C95B4B8FA3504" ma:contentTypeVersion="6" ma:contentTypeDescription="Create a new document." ma:contentTypeScope="" ma:versionID="8aa82a68bd214f7d3d0f7f88fc697f2b">
  <xsd:schema xmlns:xsd="http://www.w3.org/2001/XMLSchema" xmlns:xs="http://www.w3.org/2001/XMLSchema" xmlns:p="http://schemas.microsoft.com/office/2006/metadata/properties" xmlns:ns2="fc7a6a76-1c0e-42c8-b8bb-e7dae130d739" xmlns:ns3="d16c97b0-8c68-4a48-9e8f-dd7460dbc509" targetNamespace="http://schemas.microsoft.com/office/2006/metadata/properties" ma:root="true" ma:fieldsID="c7b3109e5368c8001190694a4a849b63" ns2:_="" ns3:_="">
    <xsd:import namespace="fc7a6a76-1c0e-42c8-b8bb-e7dae130d739"/>
    <xsd:import namespace="d16c97b0-8c68-4a48-9e8f-dd7460dbc5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7a6a76-1c0e-42c8-b8bb-e7dae130d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6c97b0-8c68-4a48-9e8f-dd7460dbc5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E189CC-30F2-45D0-9889-4F0D3E12DE92}">
  <ds:schemaRefs>
    <ds:schemaRef ds:uri="http://purl.org/dc/elements/1.1/"/>
    <ds:schemaRef ds:uri="http://schemas.microsoft.com/office/2006/documentManagement/types"/>
    <ds:schemaRef ds:uri="http://schemas.microsoft.com/office/infopath/2007/PartnerControls"/>
    <ds:schemaRef ds:uri="http://schemas.microsoft.com/office/2006/metadata/properties"/>
    <ds:schemaRef ds:uri="fc7a6a76-1c0e-42c8-b8bb-e7dae130d739"/>
    <ds:schemaRef ds:uri="d16c97b0-8c68-4a48-9e8f-dd7460dbc509"/>
    <ds:schemaRef ds:uri="http://schemas.openxmlformats.org/package/2006/metadata/core-propertie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8FF9A66E-147B-4023-A1F8-9A26348707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7a6a76-1c0e-42c8-b8bb-e7dae130d739"/>
    <ds:schemaRef ds:uri="d16c97b0-8c68-4a48-9e8f-dd7460dbc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605C45-923F-4866-AF31-FBC254D9D7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O2Summary</vt:lpstr>
      <vt:lpstr>AnnualKPI</vt:lpstr>
      <vt:lpstr>MonthlyKPI</vt:lpstr>
      <vt:lpstr>Analytices</vt:lpstr>
      <vt:lpstr>Input_Raw</vt:lpstr>
      <vt:lpstr>Daily KPI</vt:lpstr>
      <vt:lpstr>Modelling New</vt:lpstr>
      <vt:lpstr>WTG_BD</vt:lpstr>
      <vt:lpstr>IGA_BD</vt:lpstr>
      <vt:lpstr>Grid_BD</vt:lpstr>
      <vt:lpstr>Basic Data</vt:lpstr>
      <vt:lpstr>WTG Reactive Power</vt:lpstr>
      <vt:lpstr>PM record</vt:lpstr>
      <vt:lpstr>Spar Parts Consumption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Kalpesh Umaretia</dc:creator>
  <cp:keywords/>
  <dc:description/>
  <cp:lastModifiedBy>Nilesh Suresh Waghmare</cp:lastModifiedBy>
  <cp:revision/>
  <dcterms:created xsi:type="dcterms:W3CDTF">2015-06-05T18:17:20Z</dcterms:created>
  <dcterms:modified xsi:type="dcterms:W3CDTF">2025-07-24T04:10:38Z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0x01010052BB3DC3D7EEBD4E965C95B4B8FA3504</vt:lpwstr>
  </property>
  <property fmtid="{D5CDD505-2E9C-101B-9397-08002B2CF9AE}" pid="3" name="MediaServiceImageTags">
    <vt:lpwstr/>
  </property>
</Properties>
</file>